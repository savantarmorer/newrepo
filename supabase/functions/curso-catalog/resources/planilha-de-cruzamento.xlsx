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18.xml" ContentType="application/vnd.openxmlformats-officedocument.spreadsheetml.comments+xml"/>
  <Override PartName="/xl/comments20.xml" ContentType="application/vnd.openxmlformats-officedocument.spreadsheetml.comments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16.xml" ContentType="application/vnd.openxmlformats-officedocument.spreadsheetml.comments+xml"/>
  <Override PartName="/xl/comments5.xml" ContentType="application/vnd.openxmlformats-officedocument.spreadsheetml.comments+xml"/>
  <Override PartName="/xl/comments15.xml" ContentType="application/vnd.openxmlformats-officedocument.spreadsheetml.comments+xml"/>
  <Override PartName="/xl/comments4.xml" ContentType="application/vnd.openxmlformats-officedocument.spreadsheetml.comments+xml"/>
  <Override PartName="/xl/comments14.xml" ContentType="application/vnd.openxmlformats-officedocument.spreadsheetml.comments+xml"/>
  <Override PartName="/xl/drawings/vmlDrawing16.vml" ContentType="application/vnd.openxmlformats-officedocument.vmlDrawing"/>
  <Override PartName="/xl/drawings/vmlDrawing15.vml" ContentType="application/vnd.openxmlformats-officedocument.vmlDrawing"/>
  <Override PartName="/xl/drawings/vmlDrawing9.vml" ContentType="application/vnd.openxmlformats-officedocument.vmlDrawing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vmlDrawing3.vml" ContentType="application/vnd.openxmlformats-officedocument.vmlDrawing"/>
  <Override PartName="/xl/drawings/drawing7.xml" ContentType="application/vnd.openxmlformats-officedocument.drawing+xml"/>
  <Override PartName="/xl/drawings/drawing5.xml" ContentType="application/vnd.openxmlformats-officedocument.drawing+xml"/>
  <Override PartName="/xl/drawings/drawing14.xml" ContentType="application/vnd.openxmlformats-officedocument.drawing+xml"/>
  <Override PartName="/xl/drawings/drawing8.xml" ContentType="application/vnd.openxmlformats-officedocument.drawing+xml"/>
  <Override PartName="/xl/drawings/drawing6.xml" ContentType="application/vnd.openxmlformats-officedocument.drawing+xml"/>
  <Override PartName="/xl/drawings/vmlDrawing17.vml" ContentType="application/vnd.openxmlformats-officedocument.vmlDrawing"/>
  <Override PartName="/xl/drawings/vmlDrawing18.vml" ContentType="application/vnd.openxmlformats-officedocument.vmlDrawing"/>
  <Override PartName="/xl/drawings/vmlDrawing19.vml" ContentType="application/vnd.openxmlformats-officedocument.vmlDrawing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drawing11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9.xml" ContentType="application/vnd.openxmlformats-officedocument.drawing+xml"/>
  <Override PartName="/xl/drawings/vmlDrawing14.vml" ContentType="application/vnd.openxmlformats-officedocument.vmlDrawing"/>
  <Override PartName="/xl/drawings/vmlDrawing8.vml" ContentType="application/vnd.openxmlformats-officedocument.vmlDrawing"/>
  <Override PartName="/xl/drawings/vmlDrawing4.vml" ContentType="application/vnd.openxmlformats-officedocument.vmlDrawing"/>
  <Override PartName="/xl/drawings/vmlDrawing10.vml" ContentType="application/vnd.openxmlformats-officedocument.vmlDrawing"/>
  <Override PartName="/xl/drawings/vmlDrawing5.vml" ContentType="application/vnd.openxmlformats-officedocument.vmlDrawing"/>
  <Override PartName="/xl/drawings/vmlDrawing11.vml" ContentType="application/vnd.openxmlformats-officedocument.vmlDrawing"/>
  <Override PartName="/xl/drawings/vmlDrawing6.vml" ContentType="application/vnd.openxmlformats-officedocument.vmlDrawing"/>
  <Override PartName="/xl/drawings/vmlDrawing12.vml" ContentType="application/vnd.openxmlformats-officedocument.vmlDrawing"/>
  <Override PartName="/xl/drawings/vmlDrawing7.vml" ContentType="application/vnd.openxmlformats-officedocument.vmlDrawing"/>
  <Override PartName="/xl/drawings/vmlDrawing13.vml" ContentType="application/vnd.openxmlformats-officedocument.vmlDrawing"/>
  <Override PartName="/xl/comments11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comments17.xml" ContentType="application/vnd.openxmlformats-officedocument.spreadsheetml.comments+xml"/>
  <Override PartName="/xl/comments13.xml" ContentType="application/vnd.openxmlformats-officedocument.spreadsheetml.comments+xml"/>
  <Override PartName="/xl/comments3.xml" ContentType="application/vnd.openxmlformats-officedocument.spreadsheetml.comments+xml"/>
  <Override PartName="/xl/comments19.xml" ContentType="application/vnd.openxmlformats-officedocument.spreadsheetml.comments+xml"/>
  <Override PartName="/xl/comments9.xml" ContentType="application/vnd.openxmlformats-officedocument.spreadsheetml.comment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15.xml.rels" ContentType="application/vnd.openxmlformats-package.relationships+xml"/>
  <Override PartName="/xl/worksheets/_rels/sheet14.xml.rels" ContentType="application/vnd.openxmlformats-package.relationships+xml"/>
  <Override PartName="/xl/worksheets/_rels/sheet19.xml.rels" ContentType="application/vnd.openxmlformats-package.relationships+xml"/>
  <Override PartName="/xl/worksheets/_rels/sheet2.xml.rels" ContentType="application/vnd.openxmlformats-package.relationships+xml"/>
  <Override PartName="/xl/worksheets/_rels/sheet20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comments12.xml" ContentType="application/vnd.openxmlformats-officedocument.spreadsheetml.comments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o usar" sheetId="1" state="visible" r:id="rId3"/>
    <sheet name="Bombas" sheetId="2" state="visible" r:id="rId4"/>
    <sheet name="Linha do tempo" sheetId="3" state="visible" r:id="rId5"/>
    <sheet name="Ética da pauta" sheetId="4" state="visible" r:id="rId6"/>
    <sheet name="Fontes" sheetId="5" state="visible" r:id="rId7"/>
    <sheet name="Log" sheetId="6" state="visible" r:id="rId8"/>
    <sheet name="Risco" sheetId="7" state="visible" r:id="rId9"/>
    <sheet name="Documentos" sheetId="8" state="visible" r:id="rId10"/>
    <sheet name="Prazos LAI" sheetId="9" state="visible" r:id="rId11"/>
    <sheet name="Pagamentos" sheetId="10" state="visible" r:id="rId12"/>
    <sheet name="Contratos" sheetId="11" state="visible" r:id="rId13"/>
    <sheet name="Sancoes" sheetId="12" state="visible" r:id="rId14"/>
    <sheet name="Empresas" sheetId="13" state="visible" r:id="rId15"/>
    <sheet name="Socios" sheetId="14" state="visible" r:id="rId16"/>
    <sheet name="Pessoas" sheetId="15" state="visible" r:id="rId17"/>
    <sheet name="Eleitoral" sheetId="16" state="visible" r:id="rId18"/>
    <sheet name="Processos" sheetId="17" state="visible" r:id="rId19"/>
    <sheet name="Sites" sheetId="18" state="visible" r:id="rId20"/>
    <sheet name="Perfis" sheetId="19" state="visible" r:id="rId21"/>
    <sheet name="Listas" sheetId="20" state="visible" r:id="rId22"/>
  </sheets>
  <definedNames>
    <definedName function="false" hidden="true" localSheetId="10" name="_xlnm._FilterDatabase" vbProcedure="false">Contratos!$A$1:$R$1001</definedName>
    <definedName function="false" hidden="true" localSheetId="7" name="_xlnm._FilterDatabase" vbProcedure="false">Documentos!$A$1:$G$101</definedName>
    <definedName function="false" hidden="true" localSheetId="12" name="_xlnm._FilterDatabase" vbProcedure="false">Empresas!$A$1:$T$501</definedName>
    <definedName function="false" hidden="true" localSheetId="4" name="_xlnm._FilterDatabase" vbProcedure="false">Fontes!$A$1:$K$51</definedName>
    <definedName function="false" hidden="true" localSheetId="2" name="_xlnm._FilterDatabase" vbProcedure="false">'Linha do tempo'!$A$1:$J$501</definedName>
    <definedName function="false" hidden="true" localSheetId="5" name="_xlnm._FilterDatabase" vbProcedure="false">Log!$A$1:$M$501</definedName>
    <definedName function="false" hidden="true" localSheetId="9" name="_xlnm._FilterDatabase" vbProcedure="false">Pagamentos!$A$1:$P$2001</definedName>
    <definedName function="false" hidden="true" localSheetId="14" name="_xlnm._FilterDatabase" vbProcedure="false">Pessoas!$A$1:$M$301</definedName>
    <definedName function="false" hidden="true" localSheetId="8" name="_xlnm._FilterDatabase" vbProcedure="false">'Prazos LAI'!$A$1:$P$101</definedName>
    <definedName function="false" hidden="true" localSheetId="16" name="_xlnm._FilterDatabase" vbProcedure="false">Processos!$A$1:$L$201</definedName>
    <definedName function="false" hidden="true" localSheetId="6" name="_xlnm._FilterDatabase" vbProcedure="false">Risco!$A$1:$G$51</definedName>
    <definedName function="false" hidden="true" localSheetId="11" name="_xlnm._FilterDatabase" vbProcedure="false">Sancoes!$A$1:$K$301</definedName>
    <definedName function="false" hidden="true" localSheetId="17" name="_xlnm._FilterDatabase" vbProcedure="false">Sites!$A$1:$J$101</definedName>
    <definedName function="false" hidden="true" localSheetId="13" name="_xlnm._FilterDatabase" vbProcedure="false">Socios!$A$1:$M$1001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O que chegou: print, áudio, mensagem, conversa. Uma por linha (aula 1.1).</t>
        </r>
      </text>
    </comment>
    <comment ref="C1" authorId="0">
      <text>
        <r>
          <rPr>
            <sz val="10"/>
            <rFont val="Arial"/>
            <family val="2"/>
          </rPr>
          <t xml:space="preserve">Um documento que você consegue ver agora, sem depender de quem contou. Escreva sim ou não e qual é o documento. “Alguém diz que existe” é não.</t>
        </r>
      </text>
    </comment>
    <comment ref="E1" authorId="0">
      <text>
        <r>
          <rPr>
            <sz val="10"/>
            <rFont val="Arial"/>
            <family val="2"/>
          </rPr>
          <t xml:space="preserve">Marque Sim em uma só. É a sua pauta do curso, até o módulo 8. A linha fica pintada.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Data exata (dd/mm/aaaa). Período, como “1º a 5/9/2023”? Use a primeira data e escreva o período no fato. Para ordenar: Dados &gt; Classificar por esta coluna.</t>
        </r>
      </text>
    </comment>
    <comment ref="B1" authorId="0">
      <text>
        <r>
          <rPr>
            <sz val="10"/>
            <rFont val="Arial"/>
            <family val="2"/>
          </rPr>
          <t xml:space="preserve">O que aconteceu, ou o que o ato diz (aula 4.1). Ausência documentada também é fato.</t>
        </r>
      </text>
    </comment>
    <comment ref="C1" authorId="0">
      <text>
        <r>
          <rPr>
            <sz val="10"/>
            <rFont val="Arial"/>
            <family val="2"/>
          </rPr>
          <t xml:space="preserve">O documento que prova. Sem documento, é lenda.</t>
        </r>
      </text>
    </comment>
    <comment ref="D1" authorId="0">
      <text>
        <r>
          <rPr>
            <sz val="10"/>
            <rFont val="Arial"/>
            <family val="2"/>
          </rPr>
          <t xml:space="preserve">Quem publicou o documento (ex.: Portal da Transparência, TCU) ou o ID do registro no Log (L001).</t>
        </r>
      </text>
    </comment>
    <comment ref="H1" authorId="0">
      <text>
        <r>
          <rPr>
            <sz val="10"/>
            <rFont val="Arial"/>
            <family val="2"/>
          </rPr>
          <t xml:space="preserve">Fato: o documento mostra. Indício: aponta para outra coisa. Versão: alguém diz, e vai atribuída (aula 5.1).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Se não couber em duas linhas, talvez a pauta não seja de interesse público (aula 1.4).</t>
        </r>
      </text>
    </comment>
    <comment ref="C1" authorId="0">
      <text>
        <r>
          <rPr>
            <sz val="10"/>
            <rFont val="Arial"/>
            <family val="2"/>
          </rPr>
          <t xml:space="preserve">Para o conflito de interesse: decida agora. Declarar ou passar a pauta adiante.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Código (F1, F2) ou descrição: “morador de um povoado”, “servidor de carreira”. Nunca o nome verdadeiro (aula 2.2). Na tela, nada de cargo, setor ou data de contato.</t>
        </r>
      </text>
    </comment>
    <comment ref="B1" authorId="0">
      <text>
        <r>
          <rPr>
            <sz val="10"/>
            <rFont val="Arial"/>
            <family val="2"/>
          </rPr>
          <t xml:space="preserve">Testemunha, gente do setor, de dentro do órgão, adversário político, alvo...</t>
        </r>
      </text>
    </comment>
    <comment ref="C1" authorId="0">
      <text>
        <r>
          <rPr>
            <sz val="10"/>
            <rFont val="Arial"/>
            <family val="2"/>
          </rPr>
          <t xml:space="preserve">Estava em posição de saber? Nota de 1 a 3 (aula 2.1).</t>
        </r>
      </text>
    </comment>
    <comment ref="D1" authorId="0">
      <text>
        <r>
          <rPr>
            <sz val="10"/>
            <rFont val="Arial"/>
            <family val="2"/>
          </rPr>
          <t xml:space="preserve">O que ganha se a matéria sair? E se não sair? Nota de 1 a 3.</t>
        </r>
      </text>
    </comment>
    <comment ref="E1" authorId="0">
      <text>
        <r>
          <rPr>
            <sz val="10"/>
            <rFont val="Arial"/>
            <family val="2"/>
          </rPr>
          <t xml:space="preserve">Já passou informação antes? Estava certa? Nota de 1 a 3. Em branco: nunca falou com você.</t>
        </r>
      </text>
    </comment>
    <comment ref="F1" authorId="0">
      <text>
        <r>
          <rPr>
            <sz val="10"/>
            <rFont val="Arial"/>
            <family val="2"/>
          </rPr>
          <t xml:space="preserve">Que documento ou outra fonte confirma. Nota de 1 a 3 ou o nome do documento.</t>
        </r>
      </text>
    </comment>
    <comment ref="G1" authorId="0">
      <text>
        <r>
          <rPr>
            <sz val="10"/>
            <rFont val="Arial"/>
            <family val="2"/>
          </rPr>
          <t xml:space="preserve">Da periferia para o centro. Quem está no centro fica por último.</t>
        </r>
      </text>
    </comment>
    <comment ref="H1" authorId="0">
      <text>
        <r>
          <rPr>
            <sz val="10"/>
            <rFont val="Arial"/>
            <family val="2"/>
          </rPr>
          <t xml:space="preserve">Combine antes de ouvir: on, off ou background (aula 2.1).</t>
        </r>
      </text>
    </comment>
    <comment ref="I1" authorId="0">
      <text>
        <r>
          <rPr>
            <sz val="10"/>
            <rFont val="Arial"/>
            <family val="2"/>
          </rPr>
          <t xml:space="preserve">Fonte muito exposta pede o protocolo da aula 2.2.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Endereço de onde veio, órgão que recebeu o pedido ou destinatário do e-mail. Fonte humana: só o código (F1).</t>
        </r>
      </text>
    </comment>
    <comment ref="C1" authorId="0">
      <text>
        <r>
          <rPr>
            <sz val="10"/>
            <rFont val="Arial"/>
            <family val="2"/>
          </rPr>
          <t xml:space="preserve">Navegador, Wayback, SingleFile, e-SIC, noScribe, OCRmyPDF, e-mail da pauta...</t>
        </r>
      </text>
    </comment>
    <comment ref="D1" authorId="0">
      <text>
        <r>
          <rPr>
            <sz val="10"/>
            <rFont val="Arial"/>
            <family val="2"/>
          </rPr>
          <t xml:space="preserve">Nome do arquivo salvo na pasta da pauta.</t>
        </r>
      </text>
    </comment>
    <comment ref="E1" authorId="0">
      <text>
        <r>
          <rPr>
            <sz val="10"/>
            <rFont val="Arial"/>
            <family val="2"/>
          </rPr>
          <t xml:space="preserve">Código de autenticidade do documento, número do pedido de LAI, do recurso ou do processo (aulas 2.3 e 3.2).</t>
        </r>
      </text>
    </comment>
    <comment ref="F1" authorId="0">
      <text>
        <r>
          <rPr>
            <sz val="10"/>
            <rFont val="Arial"/>
            <family val="2"/>
          </rPr>
          <t xml:space="preserve">Windows: certutil -hashfile arquivo SHA256. Mac ou Linux: shasum -a 256 arquivo. São 64 caracteres (aula 2.3).</t>
        </r>
      </text>
    </comment>
    <comment ref="G1" authorId="0">
      <text>
        <r>
          <rPr>
            <sz val="10"/>
            <rFont val="Arial"/>
            <family val="2"/>
          </rPr>
          <t xml:space="preserve">Numere em sequência: L001, L002... Cite o ID na coluna Fonte das outras abas. Não reaproveite números.</t>
        </r>
      </text>
    </comment>
    <comment ref="I1" authorId="0">
      <text>
        <r>
          <rPr>
            <sz val="10"/>
            <rFont val="Arial"/>
            <family val="2"/>
          </rPr>
          <t xml:space="preserve">O que é: o documento, o texto do pedido, o prazo, a decisão, a frase de método.</t>
        </r>
      </text>
    </comment>
    <comment ref="J1" authorId="0">
      <text>
        <r>
          <rPr>
            <sz val="10"/>
            <rFont val="Arial"/>
            <family val="2"/>
          </rPr>
          <t xml:space="preserve">Link da Wayback Machine ou do archive.today (OSINT 6.1).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baixa, média ou alta.</t>
        </r>
      </text>
    </comment>
    <comment ref="C1" authorId="0">
      <text>
        <r>
          <rPr>
            <sz val="10"/>
            <rFont val="Arial"/>
            <family val="2"/>
          </rPr>
          <t xml:space="preserve">baixo, médio ou alto.</t>
        </r>
      </text>
    </comment>
    <comment ref="F1" authorId="0">
      <text>
        <r>
          <rPr>
            <sz val="10"/>
            <rFont val="Arial"/>
            <family val="2"/>
          </rPr>
          <t xml:space="preserve">Você, a fonte, a equipe. O risco maior não é sempre o seu.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Um documento por linha. Nada de “informações sobre” (aula 3.2).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Arial"/>
            <family val="2"/>
          </rPr>
          <t xml:space="preserve">Marque Sim se o órgão comunicou a prorrogação de 10 dias (art. 11, §2º, da LAI).</t>
        </r>
      </text>
    </comment>
    <comment ref="H1" authorId="0">
      <text>
        <r>
          <rPr>
            <sz val="10"/>
            <rFont val="Arial"/>
            <family val="2"/>
          </rPr>
          <t xml:space="preserve">Atualize a cada resposta, inclusive decisões de recurso. O histórico fica no Log.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Texto, 14 caracteres, sem pontos, barra ou traço. É a chave de todos os cruzamentos. A célula fica vermelha se não tiver 14.</t>
        </r>
      </text>
    </comment>
    <comment ref="B1" authorId="0">
      <text>
        <r>
          <rPr>
            <sz val="10"/>
            <rFont val="Arial"/>
            <family val="2"/>
          </rPr>
          <t xml:space="preserve">Nome do credor como aparece na fonte.</t>
        </r>
      </text>
    </comment>
    <comment ref="E1" authorId="0">
      <text>
        <r>
          <rPr>
            <sz val="10"/>
            <rFont val="Arial"/>
            <family val="2"/>
          </rPr>
          <t xml:space="preserve">Quem publicou (Portal da Transparência, painel do TCU, portal municipal) ou o ID do Log.</t>
        </r>
      </text>
    </comment>
    <comment ref="F1" authorId="0">
      <text>
        <r>
          <rPr>
            <sz val="10"/>
            <rFont val="Arial"/>
            <family val="2"/>
          </rPr>
          <t xml:space="preserve">Empenho reserva o dinheiro; pagamento é o dinheiro que saiu. Não some os dois (aula 4.2).</t>
        </r>
      </text>
    </comment>
    <comment ref="G1" authorId="0">
      <text>
        <r>
          <rPr>
            <sz val="10"/>
            <rFont val="Arial"/>
            <family val="2"/>
          </rPr>
          <t xml:space="preserve">Atenção ao caminho do dinheiro: União para a prefeitura é um pagamento; prefeitura para a empresa é outro (inserto 4.2).</t>
        </r>
      </text>
    </comment>
    <comment ref="H1" authorId="0">
      <text>
        <r>
          <rPr>
            <sz val="10"/>
            <rFont val="Arial"/>
            <family val="2"/>
          </rPr>
          <t xml:space="preserve">Nota de empenho ou ordem bancária.</t>
        </r>
      </text>
    </comment>
    <comment ref="J1" authorId="0">
      <text>
        <r>
          <rPr>
            <sz val="10"/>
            <rFont val="Arial"/>
            <family val="2"/>
          </rPr>
          <t xml:space="preserve">O que a empresa declara fazer, trazido de Empresas. Compare com o objeto do gasto (inserto 4.6).</t>
        </r>
      </text>
    </comment>
    <comment ref="K1" authorId="0">
      <text>
        <r>
          <rPr>
            <sz val="10"/>
            <rFont val="Arial"/>
            <family val="2"/>
          </rPr>
          <t xml:space="preserve">Tipo de sanção, trazido de Sancoes. Leia a abrangência e o período antes de concluir (aula 4.2).</t>
        </r>
      </text>
    </comment>
    <comment ref="L1" authorId="0">
      <text>
        <r>
          <rPr>
            <sz val="10"/>
            <rFont val="Arial"/>
            <family val="2"/>
          </rPr>
          <t xml:space="preserve">Candidato e eleição, trazidos de Eleitoral, se o credor trabalhou numa campanha (aula 4.4).</t>
        </r>
      </text>
    </comment>
    <comment ref="M1" authorId="0">
      <text>
        <r>
          <rPr>
            <sz val="10"/>
            <rFont val="Arial"/>
            <family val="2"/>
          </rPr>
          <t xml:space="preserve">SIM quando há sanção, campanha ou sinal anotado em Empresas. Filtre por esta coluna (inserto 4.6).</t>
        </r>
      </text>
    </comment>
    <comment ref="N1" authorId="0">
      <text>
        <r>
          <rPr>
            <sz val="10"/>
            <rFont val="Arial"/>
            <family val="2"/>
          </rPr>
          <t xml:space="preserve">A pergunta, não a conclusão. Ela vai para o pedido de posicionamento (aulas 4.6 e 6.4).</t>
        </r>
      </text>
    </comment>
    <comment ref="O1" authorId="0">
      <text>
        <r>
          <rPr>
            <sz val="10"/>
            <rFont val="Arial"/>
            <family val="2"/>
          </rPr>
          <t xml:space="preserve">Para a tabela dinâmica de pagamentos por favorecido e por ano (aula 4.6).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Texto, 14 caracteres, sem pontos, barra ou traço.</t>
        </r>
      </text>
    </comment>
    <comment ref="D1" authorId="0">
      <text>
        <r>
          <rPr>
            <sz val="10"/>
            <rFont val="Arial"/>
            <family val="2"/>
          </rPr>
          <t xml:space="preserve">Valor inicial do contrato. Os aditivos vão na coluna N.</t>
        </r>
      </text>
    </comment>
    <comment ref="G1" authorId="0">
      <text>
        <r>
          <rPr>
            <sz val="10"/>
            <rFont val="Arial"/>
            <family val="2"/>
          </rPr>
          <t xml:space="preserve">Trazida de Empresas pelo CNPJ. Na aula: =PROCX(A2;Empresas!A:A;Empresas!C:C).</t>
        </r>
      </text>
    </comment>
    <comment ref="H1" authorId="0">
      <text>
        <r>
          <rPr>
            <sz val="10"/>
            <rFont val="Arial"/>
            <family val="2"/>
          </rPr>
          <t xml:space="preserve">Data de fim, ou o período, como aparece no PNCP.</t>
        </r>
      </text>
    </comment>
    <comment ref="I1" authorId="0">
      <text>
        <r>
          <rPr>
            <sz val="10"/>
            <rFont val="Arial"/>
            <family val="2"/>
          </rPr>
          <t xml:space="preserve">Na aula: =SE(F2-G2&lt;180;"ABERTA MENOS DE 6 MESES ANTES";""). É pergunta, não prova (aula 4.3).</t>
        </r>
      </text>
    </comment>
    <comment ref="J1" authorId="0">
      <text>
        <r>
          <rPr>
            <sz val="10"/>
            <rFont val="Arial"/>
            <family val="2"/>
          </rPr>
          <t xml:space="preserve">Na aula: =PROCX(A2;Sancoes!A:A;Sancoes!B:B;"não consta").</t>
        </r>
      </text>
    </comment>
    <comment ref="K1" authorId="0">
      <text>
        <r>
          <rPr>
            <sz val="10"/>
            <rFont val="Arial"/>
            <family val="2"/>
          </rPr>
          <t xml:space="preserve">Confere se havia sanção em vigor no dia do contrato. Impedimento vale só no ente que puniu (aula 4.2).</t>
        </r>
      </text>
    </comment>
    <comment ref="N1" authorId="0">
      <text>
        <r>
          <rPr>
            <sz val="10"/>
            <rFont val="Arial"/>
            <family val="2"/>
          </rPr>
          <t xml:space="preserve">Soma dos acréscimos de quantidade. Reajuste de preço não conta para o limite de 25%; em reforma, 50% (aula 4.1).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Texto, 14 caracteres, sem pontos, barra ou traço.</t>
        </r>
      </text>
    </comment>
    <comment ref="B1" authorId="0">
      <text>
        <r>
          <rPr>
            <sz val="10"/>
            <rFont val="Arial"/>
            <family val="2"/>
          </rPr>
          <t xml:space="preserve">Consultou e não achou? Registre “Não consta”: também é resultado (inserto 4.2). A data da consulta vai no Log.</t>
        </r>
      </text>
    </comment>
    <comment ref="C1" authorId="0">
      <text>
        <r>
          <rPr>
            <sz val="10"/>
            <rFont val="Arial"/>
            <family val="2"/>
          </rPr>
          <t xml:space="preserve">Impedimento de licitar vale no ente que puniu; declaração de inidoneidade vale para todos (aula 4.2).</t>
        </r>
      </text>
    </comment>
    <comment ref="E1" authorId="0">
      <text>
        <r>
          <rPr>
            <sz val="10"/>
            <rFont val="Arial"/>
            <family val="2"/>
          </rPr>
          <t xml:space="preserve">Deixe em branco se o cadastro não informa data de fim.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Texto, 14 caracteres, sem pontos, barra ou traço. Texto guarda o zero à esquerda e aceita o CNPJ com letras (aula 4.3).</t>
        </r>
      </text>
    </comment>
    <comment ref="D1" authorId="0">
      <text>
        <r>
          <rPr>
            <sz val="10"/>
            <rFont val="Arial"/>
            <family val="2"/>
          </rPr>
          <t xml:space="preserve">Código e descrição da atividade principal. É o que a empresa declara fazer.</t>
        </r>
      </text>
    </comment>
    <comment ref="F1" authorId="0">
      <text>
        <r>
          <rPr>
            <sz val="10"/>
            <rFont val="Arial"/>
            <family val="2"/>
          </rPr>
          <t xml:space="preserve">Confira no Street View (aula 4.3). Endereço residencial ou sala virtual é pergunta.</t>
        </r>
      </text>
    </comment>
    <comment ref="G1" authorId="0">
      <text>
        <r>
          <rPr>
            <sz val="10"/>
            <rFont val="Arial"/>
            <family val="2"/>
          </rPr>
          <t xml:space="preserve">Sinal não é conclusão, é a pergunta que vai no pedido de posicionamento. Exemplos (aula 4.3): CNAE sem relação com o objeto; capital baixo para contrato alto; aberta pouco antes do edital; endereço residencial ou sala virtual; sócios em comum com concorrentes.</t>
        </r>
      </text>
    </comment>
    <comment ref="O1" authorId="0">
      <text>
        <r>
          <rPr>
            <sz val="10"/>
            <rFont val="Arial"/>
            <family val="2"/>
          </rPr>
          <t xml:space="preserve">Capital declarado em relação ao valor dos contratos. Número baixo é pergunta, não prova (aula 4.3).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Texto, 14 caracteres, sem pontos, barra ou traço.</t>
        </r>
      </text>
    </comment>
    <comment ref="B1" authorId="0">
      <text>
        <r>
          <rPr>
            <sz val="10"/>
            <rFont val="Arial"/>
            <family val="2"/>
          </rPr>
          <t xml:space="preserve">Na tela, sócio pessoa física aparece com tarja, salvo quando for o centro de um fato já publicado (inserto 4.3).</t>
        </r>
      </text>
    </comment>
    <comment ref="C1" authorId="0">
      <text>
        <r>
          <rPr>
            <sz val="10"/>
            <rFont val="Arial"/>
            <family val="2"/>
          </rPr>
          <t xml:space="preserve">Como aparece no quadro de sócios da Receita, por exemplo ***123456**.</t>
        </r>
      </text>
    </comment>
    <comment ref="F1" authorId="0">
      <text>
        <r>
          <rPr>
            <sz val="10"/>
            <rFont val="Arial"/>
            <family val="2"/>
          </rPr>
          <t xml:space="preserve">Da junta comercial. O sócio que saiu pouco antes do contrato continua sendo uma pergunta (aula 4.3).</t>
        </r>
      </text>
    </comment>
    <comment ref="J1" authorId="0">
      <text>
        <r>
          <rPr>
            <sz val="10"/>
            <rFont val="Arial"/>
            <family val="2"/>
          </rPr>
          <t xml:space="preserve">Nome normalizado + 6 dígitos do meio do CPF. Nome sozinho não identifica ninguém (aula 4.6).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É a coluna que a fórmula da aula 4.6 procura em Socios: =CONT.SE(Socios!B:B;Pessoas!A2). Doador de campanha? Cadastre aqui, com os dígitos do CPF, e anote a doação em “Vínculo com a pauta”.</t>
        </r>
      </text>
    </comment>
    <comment ref="B1" authorId="0">
      <text>
        <r>
          <rPr>
            <sz val="10"/>
            <rFont val="Arial"/>
            <family val="2"/>
          </rPr>
          <t xml:space="preserve">Como aparece na fonte, por exemplo ***123456**. Sem os dígitos do CPF, a pessoa não é cruzada (aula 4.6).</t>
        </r>
      </text>
    </comment>
    <comment ref="K1" authorId="0">
      <text>
        <r>
          <rPr>
            <sz val="10"/>
            <rFont val="Arial"/>
            <family val="2"/>
          </rPr>
          <t xml:space="preserve">Conta por nome + CPF, que é mais seguro que o CONT.SE só pelo nome.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Texto, 14 caracteres, sem pontos, barra ou traço.</t>
        </r>
      </text>
    </comment>
    <comment ref="B1" authorId="0">
      <text>
        <r>
          <rPr>
            <sz val="10"/>
            <rFont val="Arial"/>
            <family val="2"/>
          </rPr>
          <t xml:space="preserve">Nome de urna, cargo e ano. Ex.: Sicrano Candidato — vereador, 2024.</t>
        </r>
      </text>
    </comment>
    <comment ref="F1" authorId="0">
      <text>
        <r>
          <rPr>
            <sz val="10"/>
            <rFont val="Arial"/>
            <family val="2"/>
          </rPr>
          <t xml:space="preserve">Procura o CNPJ em Contratos e Pagamentos. Coincidência documentada é o começo de uma pergunta (aula 4.4).</t>
        </r>
      </text>
    </comment>
    <comment ref="J1" authorId="0">
      <text>
        <r>
          <rPr>
            <sz val="10"/>
            <rFont val="Arial"/>
            <family val="2"/>
          </rPr>
          <t xml:space="preserve">Bens declarados por eleição, ao lado dos fornecedores (inserto 4.4). Um bem por linha.</t>
        </r>
      </text>
    </comment>
    <comment ref="N1" authorId="0">
      <text>
        <r>
          <rPr>
            <sz val="10"/>
            <rFont val="Arial"/>
            <family val="2"/>
          </rPr>
          <t xml:space="preserve">Valor declarado pelo candidato, em geral o de compra. Não é valor de mercado e não prova nada sozinho (aula 4.4).</t>
        </r>
      </text>
    </comment>
  </commentList>
</comments>
</file>

<file path=xl/comments1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Escolha a fase exata. A coluna ao lado dá a frase certa para o roteiro (aula 5.2). Tomada de contas especial e envio à PGR ou à PF não são condenação.</t>
        </r>
      </text>
    </comment>
    <comment ref="E1" authorId="0">
      <text>
        <r>
          <rPr>
            <sz val="10"/>
            <rFont val="Arial"/>
            <family val="2"/>
          </rPr>
          <t xml:space="preserve">Adapte o gênero e complete os colchetes.</t>
        </r>
      </text>
    </comment>
    <comment ref="H1" authorId="0">
      <text>
        <r>
          <rPr>
            <sz val="10"/>
            <rFont val="Arial"/>
            <family val="2"/>
          </rPr>
          <t xml:space="preserve">Nome sozinho engana. Confira CPF ou CNPJ, cidade e assunto antes de anotar (inserto 4.5).</t>
        </r>
      </text>
    </comment>
  </commentList>
</comments>
</file>

<file path=xl/comments1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No rodapé, “desenvolvido por”. Rodapé é documento (OSINT 6.4).</t>
        </r>
      </text>
    </comment>
    <comment ref="C1" authorId="0">
      <text>
        <r>
          <rPr>
            <sz val="10"/>
            <rFont val="Arial"/>
            <family val="2"/>
          </rPr>
          <t xml:space="preserve">Ctrl+U no site e busque “G-”, “UA-” e “GTM-”.</t>
        </r>
      </text>
    </comment>
    <comment ref="D1" authorId="0">
      <text>
        <r>
          <rPr>
            <sz val="10"/>
            <rFont val="Arial"/>
            <family val="2"/>
          </rPr>
          <t xml:space="preserve">Biblioteca de Anúncios da Meta: quem pagou, quanto e quando.</t>
        </r>
      </text>
    </comment>
    <comment ref="G1" authorId="0">
      <text>
        <r>
          <rPr>
            <sz val="10"/>
            <rFont val="Arial"/>
            <family val="2"/>
          </rPr>
          <t xml:space="preserve">Dez prefeituras com o mesmo código costumam ser os clientes de uma empresa. Não é escândalo; é mapa.</t>
        </r>
      </text>
    </comment>
  </commentList>
</comments>
</file>

<file path=xl/comments1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Arial"/>
            <family val="2"/>
          </rPr>
          <t xml:space="preserve">“Sobre esta conta” (Instagram) ou “Transparência da página” (Facebook).</t>
        </r>
      </text>
    </comment>
    <comment ref="E1" authorId="0">
      <text>
        <r>
          <rPr>
            <sz val="10"/>
            <rFont val="Arial"/>
            <family val="2"/>
          </rPr>
          <t xml:space="preserve">Post apagado só existe se você guardou antes (OSINT 6.5).</t>
        </r>
      </text>
    </comment>
    <comment ref="N5" authorId="0">
      <text>
        <r>
          <rPr>
            <sz val="10"/>
            <rFont val="Arial"/>
            <family val="2"/>
          </rPr>
          <t xml:space="preserve">Escrita antes de começar (OSINT 6.5). Fica abaixo das linhas de exemplo para não sumir quando você excluí-las.</t>
        </r>
      </text>
    </comment>
  </commentList>
</comments>
</file>

<file path=xl/comments2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Pode acrescentar opções no fim de uma coluna, mas amplie o intervalo em Dados &gt; Validação de dados. Não mude as opções usadas pelas fórmulas: Sim, Não, Atendido, Atendido em parte, Negado, CMRI, Empenho, Pagamento, Não consta, Em parte, Cidadão comum, Empresa e as de probabilidade e impacto.</t>
        </r>
      </text>
    </comment>
  </commentList>
</comments>
</file>

<file path=xl/sharedStrings.xml><?xml version="1.0" encoding="utf-8"?>
<sst xmlns="http://schemas.openxmlformats.org/spreadsheetml/2006/main" count="1076" uniqueCount="722">
  <si>
    <t xml:space="preserve">Planilha de cruzamento — o arquivo-mestre da pauta</t>
  </si>
  <si>
    <t xml:space="preserve">Jornalismo Investigativo na Prática · material bônus · alinhada aos roteiros das aulas e aos insertos de tela · setembro de 2026</t>
  </si>
  <si>
    <t xml:space="preserve">Como ler as cores</t>
  </si>
  <si>
    <t xml:space="preserve">Cabeçalho azul</t>
  </si>
  <si>
    <t xml:space="preserve">Você preenche.</t>
  </si>
  <si>
    <t xml:space="preserve">Cabeçalho cinza (auto)</t>
  </si>
  <si>
    <t xml:space="preserve">Fórmula automática. Não digite nessas colunas.</t>
  </si>
  <si>
    <t xml:space="preserve">Linha em itálico</t>
  </si>
  <si>
    <t xml:space="preserve">Exemplo fictício. Exclua as linhas inteiras (botão direito &gt; Excluir) antes de usar na sua pauta. Na aba Ética da pauta, apague só o texto em itálico.</t>
  </si>
  <si>
    <t xml:space="preserve">Vermelho ou laranja</t>
  </si>
  <si>
    <t xml:space="preserve">Alerta automático. Cada alerta é uma pergunta, não uma conclusão (aula 4.6).</t>
  </si>
  <si>
    <t xml:space="preserve">CNPJ em vermelho</t>
  </si>
  <si>
    <t xml:space="preserve">O CNPJ não tem 14 caracteres. Tire pontos, barra e traço.</t>
  </si>
  <si>
    <t xml:space="preserve">As abas, na ordem do curso</t>
  </si>
  <si>
    <t xml:space="preserve">Aba</t>
  </si>
  <si>
    <t xml:space="preserve">Para que serve</t>
  </si>
  <si>
    <t xml:space="preserve">Aulas e insertos</t>
  </si>
  <si>
    <t xml:space="preserve">Colunas, na ordem</t>
  </si>
  <si>
    <t xml:space="preserve">Pronta até a linha</t>
  </si>
  <si>
    <t xml:space="preserve">Bombas</t>
  </si>
  <si>
    <t xml:space="preserve">As bombas que chegaram e qual delas vira a pauta do curso.</t>
  </si>
  <si>
    <t xml:space="preserve">1.1</t>
  </si>
  <si>
    <t xml:space="preserve">bomba, quem mandou, documento verificável?, interesse público?</t>
  </si>
  <si>
    <t xml:space="preserve">Linha do tempo</t>
  </si>
  <si>
    <t xml:space="preserve">Os fatos em ordem de data, cada um com documento e fonte. É o arquivo-mestre.</t>
  </si>
  <si>
    <t xml:space="preserve">1.3, 4.1, OSINT 6.3, 7.2</t>
  </si>
  <si>
    <t xml:space="preserve">data, fato, documento, fonte</t>
  </si>
  <si>
    <t xml:space="preserve">Ética da pauta</t>
  </si>
  <si>
    <t xml:space="preserve">Interesse público em duas linhas, conflito de interesse e quem não será exposto.</t>
  </si>
  <si>
    <t xml:space="preserve">1.4</t>
  </si>
  <si>
    <t xml:space="preserve">uma linha por item: interesse público, conflito de interesse, quem não será exposto</t>
  </si>
  <si>
    <t xml:space="preserve">Fontes</t>
  </si>
  <si>
    <t xml:space="preserve">As fontes possíveis, com a matriz de credibilidade e a ordem de abordagem. Só código ou descrição, nunca o nome.</t>
  </si>
  <si>
    <t xml:space="preserve">2.1, 2.2</t>
  </si>
  <si>
    <t xml:space="preserve">fonte, tipo, acesso, interesse, histórico, corroboração, ordem de abordagem</t>
  </si>
  <si>
    <t xml:space="preserve">Log</t>
  </si>
  <si>
    <t xml:space="preserve">De onde veio cada dado e quando: documentos, bases, pedidos, arquivos, respostas, hashes.</t>
  </si>
  <si>
    <t xml:space="preserve">2.3, 3.2, 3.5, 4.6, OSINT 6.1, 6.6 e 6.7, 6.2 a 6.4</t>
  </si>
  <si>
    <t xml:space="preserve">origem, data e hora, ferramenta, arquivo, código ou protocolo, hash</t>
  </si>
  <si>
    <t xml:space="preserve">Risco</t>
  </si>
  <si>
    <t xml:space="preserve">A matriz de risco da pauta, com a prioridade de cada risco.</t>
  </si>
  <si>
    <t xml:space="preserve">2.4</t>
  </si>
  <si>
    <t xml:space="preserve">risco, probabilidade, impacto, medida</t>
  </si>
  <si>
    <t xml:space="preserve">Documentos</t>
  </si>
  <si>
    <t xml:space="preserve">Os documentos de que a pauta precisa, quem tem e se já estão publicados.</t>
  </si>
  <si>
    <t xml:space="preserve">3.1</t>
  </si>
  <si>
    <t xml:space="preserve">documento, quem tem, já está publicado?, onde</t>
  </si>
  <si>
    <t xml:space="preserve">Prazos LAI</t>
  </si>
  <si>
    <t xml:space="preserve">O calendário de cada pedido: prazo do órgão, recurso e reclamação.</t>
  </si>
  <si>
    <t xml:space="preserve">3.2 a 3.5</t>
  </si>
  <si>
    <t xml:space="preserve">protocolo, órgão, esfera, pedido, data do pedido e as datas seguintes</t>
  </si>
  <si>
    <t xml:space="preserve">Pagamentos</t>
  </si>
  <si>
    <t xml:space="preserve">Empenhos e pagamentos, com o cruzamento do inserto 4.6.</t>
  </si>
  <si>
    <t xml:space="preserve">4.2, 4.6</t>
  </si>
  <si>
    <t xml:space="preserve">CNPJ do credor, nome, valor, data, fonte</t>
  </si>
  <si>
    <t xml:space="preserve">Contratos</t>
  </si>
  <si>
    <t xml:space="preserve">Contratos, com data de abertura da empresa, sanção e aditivos.</t>
  </si>
  <si>
    <t xml:space="preserve">CNPJ do fornecedor, órgão, objeto, valor, modalidade, data do contrato, data de abertura (fórmula), vigência</t>
  </si>
  <si>
    <t xml:space="preserve">Sancoes</t>
  </si>
  <si>
    <t xml:space="preserve">CEIS, CNEP, CEPIM e outros cadastros. “Não consta” também é resultado.</t>
  </si>
  <si>
    <t xml:space="preserve">4.2</t>
  </si>
  <si>
    <t xml:space="preserve">CNPJ, tipo de sanção, abrangência, período (início e fim)</t>
  </si>
  <si>
    <t xml:space="preserve">Empresas</t>
  </si>
  <si>
    <t xml:space="preserve">Uma linha por CNPJ, com o sinal e o resumo do que as outras abas encontraram.</t>
  </si>
  <si>
    <t xml:space="preserve">4.3, 4.6</t>
  </si>
  <si>
    <t xml:space="preserve">CNPJ, razão social, data de abertura, CNAE, capital social, endereço, sinal</t>
  </si>
  <si>
    <t xml:space="preserve">Socios</t>
  </si>
  <si>
    <t xml:space="preserve">Quadro de sócios e administradores.</t>
  </si>
  <si>
    <t xml:space="preserve">CNPJ, nome do sócio, dígitos visíveis do CPF, data de entrada</t>
  </si>
  <si>
    <t xml:space="preserve">Pessoas</t>
  </si>
  <si>
    <t xml:space="preserve">Agentes públicos, doadores e pessoas ligadas à pauta. É a lista que o CONT.SE da aula 4.6 procura em Socios.</t>
  </si>
  <si>
    <t xml:space="preserve">4.4, 4.6</t>
  </si>
  <si>
    <t xml:space="preserve">nome, CPF (dígitos visíveis), cargo, órgão, nomeação, partido, vínculo</t>
  </si>
  <si>
    <t xml:space="preserve">Eleitoral</t>
  </si>
  <si>
    <t xml:space="preserve">Fornecedores de campanha e, ao lado, os bens declarados por eleição.</t>
  </si>
  <si>
    <t xml:space="preserve">CNPJ do fornecedor de campanha, candidato e eleição, valor; ao lado, bens declarados por eleição</t>
  </si>
  <si>
    <t xml:space="preserve">Processos</t>
  </si>
  <si>
    <t xml:space="preserve">Processos judiciais e de controle, com a fase exata e a frase certa para o roteiro.</t>
  </si>
  <si>
    <t xml:space="preserve">4.5, 5.2</t>
  </si>
  <si>
    <t xml:space="preserve">número, classe, fase, última decisão</t>
  </si>
  <si>
    <t xml:space="preserve">Sites</t>
  </si>
  <si>
    <t xml:space="preserve">Quem mantém os sites da pauta, os códigos de audiência e os anúncios.</t>
  </si>
  <si>
    <t xml:space="preserve">OSINT 6.4</t>
  </si>
  <si>
    <t xml:space="preserve">site, empresa responsável, códigos, anúncios</t>
  </si>
  <si>
    <t xml:space="preserve">Perfis</t>
  </si>
  <si>
    <t xml:space="preserve">Os perfis oficiais da pauta e a regra de observação.</t>
  </si>
  <si>
    <t xml:space="preserve">OSINT 6.5, 6.7</t>
  </si>
  <si>
    <t xml:space="preserve">nome, rede, link, data de criação, cópia arquivada</t>
  </si>
  <si>
    <t xml:space="preserve">Listas</t>
  </si>
  <si>
    <t xml:space="preserve">Opções das listas suspensas e a frase de cada fase processual.</t>
  </si>
  <si>
    <t xml:space="preserve">—</t>
  </si>
  <si>
    <t xml:space="preserve">Regras de uso</t>
  </si>
  <si>
    <t xml:space="preserve">O cabeçalho fica na linha 1 e os dados começam na linha 2. Por isso as fórmulas mostradas nas aulas, como =PROCX(A2;...), funcionam do jeito que aparecem na tela.</t>
  </si>
  <si>
    <t xml:space="preserve">O CNPJ é a chave. Fica sempre na coluna A de Pagamentos, Contratos, Sancoes, Empresas, Socios e Eleitoral, como texto, com 14 caracteres, sem pontos, barra ou traço. Texto guarda o zero à esquerda e aceita o CNPJ com letras (aula 4.3). Copiou com pontos? Limpe numa coluna ao lado com =SUBSTITUIR(SUBSTITUIR(SUBSTITUIR(A2;".";"");"/";"");"-";"") (aula 4.6) e cole o resultado como valor.</t>
  </si>
  <si>
    <t xml:space="preserve">Pessoa se cruza pelo nome mais os dígitos visíveis do CPF. Nunca só pelo nome (aula 4.6).</t>
  </si>
  <si>
    <t xml:space="preserve">Todo dado entra com fonte. No Log, dê a cada registro um ID (L001, L002...) e cite esse ID na coluna Fonte das outras abas. É o que responde à pergunta “como você sabe disso?”.</t>
  </si>
  <si>
    <t xml:space="preserve">Vínculo não é culpa. Cada alerta vira uma pergunta para os documentos e para as pessoas envolvidas (aula 4.6).</t>
  </si>
  <si>
    <t xml:space="preserve">Fonte humana entra só por código (F1, F2) ou por descrição. Nunca o nome verdadeiro (aula 2.2).</t>
  </si>
  <si>
    <t xml:space="preserve">Na tela, tarje CPF, endereço, telefone e o nome de sócio pessoa física, de servidor sem cargo de chefia e de cidadão comum, salvo quando forem o centro de um fato já publicado.</t>
  </si>
  <si>
    <t xml:space="preserve">As aulas mostram PROCX. Esta planilha usa ÍNDICE e CORRESP, que dão o mesmo resultado e funcionam em qualquer Excel, no LibreOffice e no Google Planilhas. A tabela abaixo mostra a equivalência.</t>
  </si>
  <si>
    <t xml:space="preserve">As abas Socios e Sancoes não têm acento para que as fórmulas das aulas funcionem como mostradas.</t>
  </si>
  <si>
    <t xml:space="preserve">A aba Prazos LAI conta dias corridos a partir da data de hoje do computador. Depois da 1ª instância, segue os degraus do governo federal; em estados e municípios, confira a norma local (aula 3.3).</t>
  </si>
  <si>
    <t xml:space="preserve">As fórmulas vão até a linha indicada na tabela das abas. Para mais linhas, copie a última linha da aba para baixo.</t>
  </si>
  <si>
    <t xml:space="preserve">OSINT 6.1 a 6.7 são as aulas do módulo de fontes abertas, que substitui a aula 4.7.</t>
  </si>
  <si>
    <t xml:space="preserve">Guarde a planilha em disco criptografado e faça backup (aula 2.4). Ela concentra a sua apuração.</t>
  </si>
  <si>
    <t xml:space="preserve">Os exemplos contam uma história fictícia de ponta a ponta, em Cidade Exemplo: siga os CNPJs da Alimentos Modelo e da Gráfica Exemplo pelas abas para ver os cruzamentos. Nomes, CNPJs, CPFs, protocolos, processos e links não existem.</t>
  </si>
  <si>
    <t xml:space="preserve">As fórmulas das aulas nesta planilha</t>
  </si>
  <si>
    <t xml:space="preserve">Na aula</t>
  </si>
  <si>
    <t xml:space="preserve">Nesta planilha</t>
  </si>
  <si>
    <t xml:space="preserve">Onde</t>
  </si>
  <si>
    <t xml:space="preserve">=PROCX(A2;Sancoes!A:A;Sancoes!B:B;"não consta")</t>
  </si>
  <si>
    <t xml:space="preserve">=SEERRO(ÍNDICE(Sancoes!B:B;CORRESP(A2;Sancoes!A:A;0));"não consta")</t>
  </si>
  <si>
    <t xml:space="preserve">Contratos, coluna J; Pagamentos, coluna K</t>
  </si>
  <si>
    <t xml:space="preserve">=PROCV(A2;Sancoes!A:C;2;FALSO)</t>
  </si>
  <si>
    <t xml:space="preserve">Funciona como está: o tipo de sanção fica na coluna B de Sancoes.</t>
  </si>
  <si>
    <t xml:space="preserve">Numa coluna nova de Contratos ou Pagamentos</t>
  </si>
  <si>
    <t xml:space="preserve">=CONT.SE(Socios!B:B;Pessoas!A2)</t>
  </si>
  <si>
    <t xml:space="preserve">Funciona como está. A coluna K de Pessoas faz o mesmo com nome e CPF, que é mais seguro.</t>
  </si>
  <si>
    <t xml:space="preserve">=PROCX(A2;Empresas!A:A;Empresas!C:C)</t>
  </si>
  <si>
    <t xml:space="preserve">=ÍNDICE(Empresas!C:C;CORRESP(A2;Empresas!A:A;0))</t>
  </si>
  <si>
    <t xml:space="preserve">Contratos, coluna G</t>
  </si>
  <si>
    <t xml:space="preserve">=SE(F2-G2&lt;180;"ABERTA MENOS DE 6 MESES ANTES";"")</t>
  </si>
  <si>
    <t xml:space="preserve">Igual, com um aviso a mais quando o contrato é anterior à abertura.</t>
  </si>
  <si>
    <t xml:space="preserve">Contratos, coluna I</t>
  </si>
  <si>
    <t xml:space="preserve">=PROCX(A2;Empresas!A:A;Empresas!D:D;"não consta")</t>
  </si>
  <si>
    <t xml:space="preserve">=SEERRO(ÍNDICE(Empresas!D:D;CORRESP(A2;Empresas!A:A;0));"não consta")</t>
  </si>
  <si>
    <t xml:space="preserve">Pagamentos, coluna J</t>
  </si>
  <si>
    <t xml:space="preserve">=PROCX(A2;Eleitoral!A:A;Eleitoral!B:B;"não consta")</t>
  </si>
  <si>
    <t xml:space="preserve">=SEERRO(ÍNDICE(Eleitoral!B:B;CORRESP(A2;Eleitoral!A:A;0));"não consta")</t>
  </si>
  <si>
    <t xml:space="preserve">Pagamentos, coluna L</t>
  </si>
  <si>
    <t xml:space="preserve">Tabela dinâmica de pagamentos por favorecido e por ano</t>
  </si>
  <si>
    <t xml:space="preserve">Inserir &gt; Tabela dinâmica sobre a aba Pagamentos: linhas, Nome; colunas, Ano; valores, soma de Valor.</t>
  </si>
  <si>
    <t xml:space="preserve">Pagamentos, colunas B, C e O</t>
  </si>
  <si>
    <t xml:space="preserve">Bomba</t>
  </si>
  <si>
    <t xml:space="preserve">Quem mandou</t>
  </si>
  <si>
    <t xml:space="preserve">Documento verificável?</t>
  </si>
  <si>
    <t xml:space="preserve">Interesse público?</t>
  </si>
  <si>
    <t xml:space="preserve">Escolhida para o curso?</t>
  </si>
  <si>
    <t xml:space="preserve">Observações</t>
  </si>
  <si>
    <t xml:space="preserve">Print: o secretário de saúde superfatura remédio</t>
  </si>
  <si>
    <t xml:space="preserve">Grupo de WhatsApp, sem autor</t>
  </si>
  <si>
    <t xml:space="preserve">Não</t>
  </si>
  <si>
    <t xml:space="preserve">Sim</t>
  </si>
  <si>
    <t xml:space="preserve">EXEMPLO — fica na gaveta até aparecer um documento</t>
  </si>
  <si>
    <t xml:space="preserve">Áudio: o prefeito tem apartamento em Miami</t>
  </si>
  <si>
    <t xml:space="preserve">“O primo de alguém”</t>
  </si>
  <si>
    <t xml:space="preserve">Depende de onde veio o dinheiro</t>
  </si>
  <si>
    <t xml:space="preserve">EXEMPLO — curiosidade até prova em contrário</t>
  </si>
  <si>
    <t xml:space="preserve">Empresa aberta cinco meses antes ganha contrato de merenda sem licitação em Cidade Exemplo</t>
  </si>
  <si>
    <t xml:space="preserve">Servidor da secretaria (F1)</t>
  </si>
  <si>
    <t xml:space="preserve">Sim: extrato do contrato no PNCP</t>
  </si>
  <si>
    <t xml:space="preserve">Sim: dinheiro da merenda escolar</t>
  </si>
  <si>
    <t xml:space="preserve">EXEMPLO — PAUTA DO CURSO</t>
  </si>
  <si>
    <t xml:space="preserve">Data</t>
  </si>
  <si>
    <t xml:space="preserve">Fato</t>
  </si>
  <si>
    <t xml:space="preserve">Documento</t>
  </si>
  <si>
    <t xml:space="preserve">Fonte</t>
  </si>
  <si>
    <t xml:space="preserve">Link</t>
  </si>
  <si>
    <t xml:space="preserve">Quem (pessoa ou empresa)</t>
  </si>
  <si>
    <t xml:space="preserve">Tipo</t>
  </si>
  <si>
    <t xml:space="preserve">Fato, indício ou versão?</t>
  </si>
  <si>
    <t xml:space="preserve">Registro no Log (auto)</t>
  </si>
  <si>
    <t xml:space="preserve">Fulano de Tal doa R$ 20 mil à campanha de Sicrano Candidato a vereador</t>
  </si>
  <si>
    <t xml:space="preserve">Prestação de contas da campanha de 2024</t>
  </si>
  <si>
    <t xml:space="preserve">L006</t>
  </si>
  <si>
    <t xml:space="preserve">Fulano de Tal; Sicrano Candidato</t>
  </si>
  <si>
    <t xml:space="preserve">Campanha ou eleição</t>
  </si>
  <si>
    <t xml:space="preserve">EXEMPLO — exclua esta linha</t>
  </si>
  <si>
    <t xml:space="preserve">Gráfica Exemplo recebe R$ 15 mil da campanha de Sicrano Candidato por santinhos e adesivos</t>
  </si>
  <si>
    <t xml:space="preserve">Gráfica Exemplo Ltda; Sicrano Candidato</t>
  </si>
  <si>
    <t xml:space="preserve">Fulano de Tal é nomeado assessor parlamentar no gabinete de Sicrano Candidato</t>
  </si>
  <si>
    <t xml:space="preserve">Ato de nomeação no diário oficial da Câmara</t>
  </si>
  <si>
    <t xml:space="preserve">L002</t>
  </si>
  <si>
    <t xml:space="preserve">Fulano de Tal</t>
  </si>
  <si>
    <t xml:space="preserve">Nomeação ou exoneração</t>
  </si>
  <si>
    <t xml:space="preserve">A Câmara contrata a Gráfica Exemplo por pregão, por R$ 95 mil</t>
  </si>
  <si>
    <t xml:space="preserve">Extrato do contrato 008/2025</t>
  </si>
  <si>
    <t xml:space="preserve">L003</t>
  </si>
  <si>
    <t xml:space="preserve">Gráfica Exemplo Ltda</t>
  </si>
  <si>
    <t xml:space="preserve">Contrato ou aditivo</t>
  </si>
  <si>
    <t xml:space="preserve">Alimentos Modelo Ltda é aberta, com Fulano de Tal como sócio-administrador</t>
  </si>
  <si>
    <t xml:space="preserve">Cadastro CNPJ e quadro de sócios</t>
  </si>
  <si>
    <t xml:space="preserve">L001</t>
  </si>
  <si>
    <t xml:space="preserve">Alimentos Modelo Ltda</t>
  </si>
  <si>
    <t xml:space="preserve">Empresa</t>
  </si>
  <si>
    <t xml:space="preserve">Segundo fonte em off (F1), a contratação foi acertada antes do processo</t>
  </si>
  <si>
    <t xml:space="preserve">Nenhum ainda</t>
  </si>
  <si>
    <t xml:space="preserve">L011</t>
  </si>
  <si>
    <t xml:space="preserve">Versão</t>
  </si>
  <si>
    <t xml:space="preserve">EXEMPLO — sem documento, é lenda: não vai ao ar sem confirmação independente</t>
  </si>
  <si>
    <t xml:space="preserve">Secretaria de Educação contrata a Alimentos Modelo por dispensa, por R$ 480 mil</t>
  </si>
  <si>
    <t xml:space="preserve">Extrato do contrato 045/2025</t>
  </si>
  <si>
    <t xml:space="preserve">Primeiro pagamento à Alimentos Modelo: R$ 120 mil</t>
  </si>
  <si>
    <t xml:space="preserve">Ordem bancária 2025OB000456</t>
  </si>
  <si>
    <t xml:space="preserve">L004</t>
  </si>
  <si>
    <t xml:space="preserve">Pagamento</t>
  </si>
  <si>
    <t xml:space="preserve">Justiça recebe ação de improbidade sobre a contratação</t>
  </si>
  <si>
    <t xml:space="preserve">Decisão de recebimento da ação</t>
  </si>
  <si>
    <t xml:space="preserve">L007</t>
  </si>
  <si>
    <t xml:space="preserve">Processo judicial</t>
  </si>
  <si>
    <t xml:space="preserve">Pedido de posicionamento enviado à empresa, ao gabinete do vereador e à Câmara</t>
  </si>
  <si>
    <t xml:space="preserve">E-mail com as perguntas e o prazo</t>
  </si>
  <si>
    <t xml:space="preserve">L012</t>
  </si>
  <si>
    <t xml:space="preserve">Alimentos Modelo Ltda; Sicrano Candidato</t>
  </si>
  <si>
    <t xml:space="preserve">Pedido de posicionamento</t>
  </si>
  <si>
    <t xml:space="preserve">Item</t>
  </si>
  <si>
    <t xml:space="preserve">Em duas linhas</t>
  </si>
  <si>
    <t xml:space="preserve">Como vou lidar</t>
  </si>
  <si>
    <t xml:space="preserve">Interesse público</t>
  </si>
  <si>
    <t xml:space="preserve">Dinheiro da merenda de Cidade Exemplo foi para uma empresa aberta cinco meses antes, contratada sem licitação. O mesmo caminho existe em qualquer prefeitura que compra por dispensa.</t>
  </si>
  <si>
    <t xml:space="preserve">EXEMPLO — apague o texto em itálico e escreva o seu</t>
  </si>
  <si>
    <t xml:space="preserve">Conflito de interesse</t>
  </si>
  <si>
    <t xml:space="preserve">Sem vínculo com a prefeitura, com a empresa ou com o vereador.</t>
  </si>
  <si>
    <t xml:space="preserve">Se surgir vínculo, declaro aqui ou passo a pauta adiante.</t>
  </si>
  <si>
    <t xml:space="preserve">EXEMPLO — apague o texto em itálico</t>
  </si>
  <si>
    <t xml:space="preserve">Quem não será exposto</t>
  </si>
  <si>
    <t xml:space="preserve">Sócia de fornecedora sem cargo público; merendeiras e alunos; servidores sem cargo de chefia.</t>
  </si>
  <si>
    <t xml:space="preserve">Aparecem só com tarja ou com autorização.</t>
  </si>
  <si>
    <t xml:space="preserve">Acesso</t>
  </si>
  <si>
    <t xml:space="preserve">Interesse</t>
  </si>
  <si>
    <t xml:space="preserve">Histórico</t>
  </si>
  <si>
    <t xml:space="preserve">Corroboração</t>
  </si>
  <si>
    <t xml:space="preserve">Ordem de abordagem</t>
  </si>
  <si>
    <t xml:space="preserve">Combinado</t>
  </si>
  <si>
    <t xml:space="preserve">Risco para a fonte</t>
  </si>
  <si>
    <t xml:space="preserve">Alerta (auto)</t>
  </si>
  <si>
    <t xml:space="preserve">Merendeira de uma escola atendida</t>
  </si>
  <si>
    <t xml:space="preserve">Testemunha</t>
  </si>
  <si>
    <t xml:space="preserve">Cardápio e fotos das entregas</t>
  </si>
  <si>
    <t xml:space="preserve">Off</t>
  </si>
  <si>
    <t xml:space="preserve">média</t>
  </si>
  <si>
    <t xml:space="preserve">Fornecedor concorrente que perdeu a disputa</t>
  </si>
  <si>
    <t xml:space="preserve">Gente do setor</t>
  </si>
  <si>
    <t xml:space="preserve">Propostas da dispensa</t>
  </si>
  <si>
    <t xml:space="preserve">Ainda não combinado</t>
  </si>
  <si>
    <t xml:space="preserve">baixa</t>
  </si>
  <si>
    <t xml:space="preserve">Vereador de oposição</t>
  </si>
  <si>
    <t xml:space="preserve">Adversário político</t>
  </si>
  <si>
    <t xml:space="preserve">On</t>
  </si>
  <si>
    <t xml:space="preserve">EXEMPLO — ouça e desconfie na mesma medida</t>
  </si>
  <si>
    <t xml:space="preserve">F1 — servidor de carreira do setor de compras</t>
  </si>
  <si>
    <t xml:space="preserve">De dentro do órgão</t>
  </si>
  <si>
    <t xml:space="preserve">alta</t>
  </si>
  <si>
    <t xml:space="preserve">EXEMPLO — protocolo da aula 2.2 antes do primeiro contato</t>
  </si>
  <si>
    <t xml:space="preserve">Sócio-administrador da Alimentos Modelo</t>
  </si>
  <si>
    <t xml:space="preserve">Alvo</t>
  </si>
  <si>
    <t xml:space="preserve">Contrato, pagamentos e cadastro CNPJ</t>
  </si>
  <si>
    <t xml:space="preserve">EXEMPLO — o centro fica por último, quando você já sabe o que perguntar</t>
  </si>
  <si>
    <t xml:space="preserve">Origem</t>
  </si>
  <si>
    <t xml:space="preserve">Data e hora</t>
  </si>
  <si>
    <t xml:space="preserve">Ferramenta</t>
  </si>
  <si>
    <t xml:space="preserve">Arquivo</t>
  </si>
  <si>
    <t xml:space="preserve">Código ou protocolo</t>
  </si>
  <si>
    <t xml:space="preserve">Hash SHA-256</t>
  </si>
  <si>
    <t xml:space="preserve">ID</t>
  </si>
  <si>
    <t xml:space="preserve">Descrição</t>
  </si>
  <si>
    <t xml:space="preserve">Cópia arquivada</t>
  </si>
  <si>
    <t xml:space="preserve">Citado na Linha do tempo (auto)</t>
  </si>
  <si>
    <t xml:space="preserve">Alertas (auto)</t>
  </si>
  <si>
    <t xml:space="preserve">https://minhareceita.org</t>
  </si>
  <si>
    <t xml:space="preserve">Minha Receita</t>
  </si>
  <si>
    <t xml:space="preserve">cnpj-empresas-da-pauta.json</t>
  </si>
  <si>
    <t xml:space="preserve">aaa3e37cae511b0b47a83f21815efd0f8f6fb2b73bf42c43eaaccda59a7cb22d</t>
  </si>
  <si>
    <t xml:space="preserve">Base de dados</t>
  </si>
  <si>
    <t xml:space="preserve">Cadastro CNPJ e quadro de sócios da Alimentos Modelo, da Construtora Exemplo e da Gráfica Exemplo</t>
  </si>
  <si>
    <t xml:space="preserve">Diário oficial da Câmara de Cidade Exemplo</t>
  </si>
  <si>
    <t xml:space="preserve">Navegador</t>
  </si>
  <si>
    <t xml:space="preserve">nomeacao-2025-01-15.pdf</t>
  </si>
  <si>
    <t xml:space="preserve">bfd323af355e2847ce1eb8b7394cbca20bd538632a64786095e032b35f655862</t>
  </si>
  <si>
    <t xml:space="preserve">Documento público baixado</t>
  </si>
  <si>
    <t xml:space="preserve">Ato de nomeação de Fulano de Tal (15/01/2025)</t>
  </si>
  <si>
    <t xml:space="preserve">https://pncp.gov.br</t>
  </si>
  <si>
    <t xml:space="preserve">contratos-045-2025-e-008-2025.pdf</t>
  </si>
  <si>
    <t xml:space="preserve">7dfb629af7bdb7d70391564cd53257273e071918e2c46294c171073eabfc3e48</t>
  </si>
  <si>
    <t xml:space="preserve">Extratos dos contratos 045/2025 (dispensa) e 008/2025 (pregão)</t>
  </si>
  <si>
    <t xml:space="preserve">Portal da transparência de Cidade Exemplo</t>
  </si>
  <si>
    <t xml:space="preserve">Exportação em CSV</t>
  </si>
  <si>
    <t xml:space="preserve">pagamentos-2023-2025.csv</t>
  </si>
  <si>
    <t xml:space="preserve">822c83d154a336001c9656b0da07d2d8695f9b315175af880fb62cd88809585c</t>
  </si>
  <si>
    <t xml:space="preserve">Empenhos e pagamentos a fornecedores, de 2023 a 2025</t>
  </si>
  <si>
    <t xml:space="preserve">https://portaldatransparencia.gov.br</t>
  </si>
  <si>
    <t xml:space="preserve">Consulta CEIS, CNEP e CEPIM</t>
  </si>
  <si>
    <t xml:space="preserve">sancoes-2026-09-02.pdf</t>
  </si>
  <si>
    <t xml:space="preserve">68ac4fae8b3bece5b4b82d1815c02c213b602c2f93dd55b4874136724bfb5bf6</t>
  </si>
  <si>
    <t xml:space="preserve">L005</t>
  </si>
  <si>
    <t xml:space="preserve">Construtora Exemplo no CEIS; Alimentos Modelo e Gráfica Exemplo: não consta</t>
  </si>
  <si>
    <t xml:space="preserve">https://divulgacandcontas.tse.jus.br</t>
  </si>
  <si>
    <t xml:space="preserve">tse-sicrano-2024-2026.pdf</t>
  </si>
  <si>
    <t xml:space="preserve">79a23d3eed159a1ef385b48a15099aad7823727f92ef85d1d2a5f58058c41de7</t>
  </si>
  <si>
    <t xml:space="preserve">Bens, doadores e fornecedores de campanha de Sicrano Candidato (2024 e 2026)</t>
  </si>
  <si>
    <t xml:space="preserve">Tribunal de Justiça — consulta processual</t>
  </si>
  <si>
    <t xml:space="preserve">decisao-recebimento.pdf</t>
  </si>
  <si>
    <t xml:space="preserve">0000001-00.2026.8.99.0001</t>
  </si>
  <si>
    <t xml:space="preserve">f27cd310c476f7a46c3647a5021e236d20c6905a39c134e8f17de1ad7c16f42c</t>
  </si>
  <si>
    <t xml:space="preserve">Decisão que recebeu a ação de improbidade</t>
  </si>
  <si>
    <t xml:space="preserve">FNDE</t>
  </si>
  <si>
    <t xml:space="preserve">Sistema federal de pedidos</t>
  </si>
  <si>
    <t xml:space="preserve">pedido-fnde.pdf</t>
  </si>
  <si>
    <t xml:space="preserve">99999.000001/2026-00</t>
  </si>
  <si>
    <t xml:space="preserve">L008</t>
  </si>
  <si>
    <t xml:space="preserve">Pedido LAI</t>
  </si>
  <si>
    <t xml:space="preserve">Repasses do PNAE a Cidade Exemplo em 2025, por mês</t>
  </si>
  <si>
    <t xml:space="preserve">Prefeitura de Cidade Exemplo</t>
  </si>
  <si>
    <t xml:space="preserve">e-SIC municipal</t>
  </si>
  <si>
    <t xml:space="preserve">pedido-dispensa.pdf</t>
  </si>
  <si>
    <t xml:space="preserve">99999.000002/2026-00</t>
  </si>
  <si>
    <t xml:space="preserve">L009</t>
  </si>
  <si>
    <t xml:space="preserve">Processo completo da dispensa 045/2025</t>
  </si>
  <si>
    <t xml:space="preserve">resposta-dispensa.pdf</t>
  </si>
  <si>
    <t xml:space="preserve">25ec1104eec583935e92060e29ffc342e6d78fe540d75ff4a6723cbdfa9b0e0a</t>
  </si>
  <si>
    <t xml:space="preserve">L010</t>
  </si>
  <si>
    <t xml:space="preserve">Resposta de órgão</t>
  </si>
  <si>
    <t xml:space="preserve">Resposta parcial: faltou a pesquisa de preços</t>
  </si>
  <si>
    <t xml:space="preserve">F1</t>
  </si>
  <si>
    <t xml:space="preserve">Signal</t>
  </si>
  <si>
    <t xml:space="preserve">Entrevista ou conversa</t>
  </si>
  <si>
    <t xml:space="preserve">Conversa em off com F1 sobre a contratação da merenda</t>
  </si>
  <si>
    <t xml:space="preserve">EXEMPLO — fonte humana só pelo código</t>
  </si>
  <si>
    <t xml:space="preserve">Alimentos Modelo; gabinete de Sicrano Candidato; Câmara Municipal</t>
  </si>
  <si>
    <t xml:space="preserve">E-mail da pauta</t>
  </si>
  <si>
    <t xml:space="preserve">posicionamento-2026-09-24.pdf</t>
  </si>
  <si>
    <t xml:space="preserve">349f0c3a08e2f88754adfc42972c8b0dfe9100b90f5d175ae4a3d41b746a25bb</t>
  </si>
  <si>
    <t xml:space="preserve">Perguntas enviadas com prazo até 29/09/2026, às 18h</t>
  </si>
  <si>
    <t xml:space="preserve">contrato-012-2023.pdf</t>
  </si>
  <si>
    <t xml:space="preserve">c45b173470e3c72ba90a82e3e2766dfe9a7f273d6ff256b455743dd157c200fb</t>
  </si>
  <si>
    <t xml:space="preserve">L013</t>
  </si>
  <si>
    <t xml:space="preserve">Extrato do contrato 012/2023 (Construtora Exemplo)</t>
  </si>
  <si>
    <t xml:space="preserve">Portal da transparência de Cidade Exemplo, página de despesas</t>
  </si>
  <si>
    <t xml:space="preserve">Wayback e SingleFile</t>
  </si>
  <si>
    <t xml:space="preserve">despesas-2025.html</t>
  </si>
  <si>
    <t xml:space="preserve">c4817b1a158db7615d452955cd88d428a3ab04b2372bed7fff52ce955aca48cc</t>
  </si>
  <si>
    <t xml:space="preserve">L014</t>
  </si>
  <si>
    <t xml:space="preserve">Página arquivada</t>
  </si>
  <si>
    <t xml:space="preserve">Página de despesas de 2025, arquivada em dois lugares</t>
  </si>
  <si>
    <t xml:space="preserve">https://web.archive.org/web/20260904100000/https://transparencia.cidadeexemplo.gov.br/despesas</t>
  </si>
  <si>
    <t xml:space="preserve">Tribunal de Contas do Estado — pesquisa de processos</t>
  </si>
  <si>
    <t xml:space="preserve">relatorio-tce.pdf</t>
  </si>
  <si>
    <t xml:space="preserve">TC-0000/2026</t>
  </si>
  <si>
    <t xml:space="preserve">d485a210907cd3156822ca520351a39a2ba5b7dba1e5c6978e08464078e7a2e1</t>
  </si>
  <si>
    <t xml:space="preserve">L015</t>
  </si>
  <si>
    <t xml:space="preserve">Relatório da área técnica na representação sobre a dispensa 045/2025</t>
  </si>
  <si>
    <t xml:space="preserve">Perfis de Sicrano Candidato e da prefeitura</t>
  </si>
  <si>
    <t xml:space="preserve">Wayback</t>
  </si>
  <si>
    <t xml:space="preserve">posts-merenda-2025.pdf</t>
  </si>
  <si>
    <t xml:space="preserve">2395eb89c89c59080c916955d51587ae3c6a7fbf25ba075b369e9449b7d2b200</t>
  </si>
  <si>
    <t xml:space="preserve">L016</t>
  </si>
  <si>
    <t xml:space="preserve">Posts sobre a merenda publicados em 2025, arquivados</t>
  </si>
  <si>
    <t xml:space="preserve">Probabilidade</t>
  </si>
  <si>
    <t xml:space="preserve">Impacto</t>
  </si>
  <si>
    <t xml:space="preserve">Medida</t>
  </si>
  <si>
    <t xml:space="preserve">Prioridade (auto)</t>
  </si>
  <si>
    <t xml:space="preserve">De quem é o risco</t>
  </si>
  <si>
    <t xml:space="preserve">Ataque on-line de apoiadores do vereador</t>
  </si>
  <si>
    <t xml:space="preserve">médio</t>
  </si>
  <si>
    <t xml:space="preserve">Arquivar tudo, não responder, registrar ocorrência se virar ameaça</t>
  </si>
  <si>
    <t xml:space="preserve">Você</t>
  </si>
  <si>
    <t xml:space="preserve">Processo de um dos citados</t>
  </si>
  <si>
    <t xml:space="preserve">alto</t>
  </si>
  <si>
    <t xml:space="preserve">Dossiê, pedido de posicionamento, redação na medida da prova (módulos 5 e 6)</t>
  </si>
  <si>
    <t xml:space="preserve">Visita ao endereço da empresa</t>
  </si>
  <si>
    <t xml:space="preserve">Não ir sozinho, avisar o roteiro, não postar em tempo real; ou ficar com Street View e documentos</t>
  </si>
  <si>
    <t xml:space="preserve">Exposição da fonte F1</t>
  </si>
  <si>
    <t xml:space="preserve">Protocolo da aula 2.2</t>
  </si>
  <si>
    <t xml:space="preserve">A fonte</t>
  </si>
  <si>
    <t xml:space="preserve">Conta de e-mail ou de rede invadida</t>
  </si>
  <si>
    <t xml:space="preserve">Verificação em duas etapas por aplicativo, hoje; gerenciador de senhas; disco criptografado</t>
  </si>
  <si>
    <t xml:space="preserve">Quem tem</t>
  </si>
  <si>
    <t xml:space="preserve">Já está publicado?</t>
  </si>
  <si>
    <t xml:space="preserve">Próximo passo (auto)</t>
  </si>
  <si>
    <t xml:space="preserve">Protocolo do pedido</t>
  </si>
  <si>
    <t xml:space="preserve">Secretaria Municipal de Educação</t>
  </si>
  <si>
    <t xml:space="preserve">PNCP</t>
  </si>
  <si>
    <t xml:space="preserve">Processo completo da dispensa 045/2025, com pesquisa de preços e parecer</t>
  </si>
  <si>
    <t xml:space="preserve">Notas fiscais e ordens bancárias dos pagamentos à Alimentos Modelo</t>
  </si>
  <si>
    <t xml:space="preserve">Prefeitura e Tribunal de Contas do Estado</t>
  </si>
  <si>
    <t xml:space="preserve">Em parte</t>
  </si>
  <si>
    <t xml:space="preserve">Portal da transparência municipal: só valores e datas</t>
  </si>
  <si>
    <t xml:space="preserve">Talvez</t>
  </si>
  <si>
    <t xml:space="preserve">Painel do FNDE?</t>
  </si>
  <si>
    <t xml:space="preserve">Tribunal de Justiça</t>
  </si>
  <si>
    <t xml:space="preserve">Consulta processual</t>
  </si>
  <si>
    <t xml:space="preserve">Protocolo</t>
  </si>
  <si>
    <t xml:space="preserve">Órgão</t>
  </si>
  <si>
    <t xml:space="preserve">Esfera</t>
  </si>
  <si>
    <t xml:space="preserve">O que foi pedido</t>
  </si>
  <si>
    <t xml:space="preserve">Data do pedido</t>
  </si>
  <si>
    <t xml:space="preserve">Prorrogado?</t>
  </si>
  <si>
    <t xml:space="preserve">Prazo de resposta (auto)</t>
  </si>
  <si>
    <t xml:space="preserve">Data da última resposta</t>
  </si>
  <si>
    <t xml:space="preserve">Resultado da última resposta</t>
  </si>
  <si>
    <t xml:space="preserve">Instância atual</t>
  </si>
  <si>
    <t xml:space="preserve">Data do último recurso ou reclamação</t>
  </si>
  <si>
    <t xml:space="preserve">Próxima data (auto)</t>
  </si>
  <si>
    <t xml:space="preserve">Dias até a próxima data (auto)</t>
  </si>
  <si>
    <t xml:space="preserve">Próxima ação (auto)</t>
  </si>
  <si>
    <t xml:space="preserve">Fonte (ID do Log)</t>
  </si>
  <si>
    <t xml:space="preserve">Federal</t>
  </si>
  <si>
    <t xml:space="preserve">Pedido</t>
  </si>
  <si>
    <t xml:space="preserve">Municipal</t>
  </si>
  <si>
    <t xml:space="preserve">Atendido em parte</t>
  </si>
  <si>
    <t xml:space="preserve">EXEMPLO — faltou a pesquisa de preços (L010)</t>
  </si>
  <si>
    <t xml:space="preserve">CNPJ do credor</t>
  </si>
  <si>
    <t xml:space="preserve">Nome</t>
  </si>
  <si>
    <t xml:space="preserve">Valor (R$)</t>
  </si>
  <si>
    <t xml:space="preserve">Fase</t>
  </si>
  <si>
    <t xml:space="preserve">Órgão pagador</t>
  </si>
  <si>
    <t xml:space="preserve">Nº do documento</t>
  </si>
  <si>
    <t xml:space="preserve">Programa, ação ou emenda</t>
  </si>
  <si>
    <t xml:space="preserve">CNAE do credor (auto)</t>
  </si>
  <si>
    <t xml:space="preserve">Sanção (auto)</t>
  </si>
  <si>
    <t xml:space="preserve">Fornecedor de campanha (auto)</t>
  </si>
  <si>
    <t xml:space="preserve">Algum sinal? (auto)</t>
  </si>
  <si>
    <t xml:space="preserve">Pergunta que o sinal levanta</t>
  </si>
  <si>
    <t xml:space="preserve">Ano (auto)</t>
  </si>
  <si>
    <t xml:space="preserve">11222333000186</t>
  </si>
  <si>
    <t xml:space="preserve">ALIMENTOS MODELO LTDA</t>
  </si>
  <si>
    <t xml:space="preserve">Empenho</t>
  </si>
  <si>
    <t xml:space="preserve">Secretaria Municipal de Educação de Cidade Exemplo</t>
  </si>
  <si>
    <t xml:space="preserve">2025NE000123</t>
  </si>
  <si>
    <t xml:space="preserve">Alimentação escolar</t>
  </si>
  <si>
    <t xml:space="preserve">Por que uma empresa aberta em março foi contratada sem licitação em agosto?</t>
  </si>
  <si>
    <t xml:space="preserve">2025OB000456</t>
  </si>
  <si>
    <t xml:space="preserve">2025OB000789</t>
  </si>
  <si>
    <t xml:space="preserve">44555666000186</t>
  </si>
  <si>
    <t xml:space="preserve">CONSTRUTORA EXEMPLO LTDA</t>
  </si>
  <si>
    <t xml:space="preserve">Secretaria Municipal de Obras de Cidade Exemplo</t>
  </si>
  <si>
    <t xml:space="preserve">2023OB000321</t>
  </si>
  <si>
    <t xml:space="preserve">Reforma de escolas</t>
  </si>
  <si>
    <t xml:space="preserve">A sanção aplicada por outra cidade valia aqui? Leia a abrangência.</t>
  </si>
  <si>
    <t xml:space="preserve">77888999000186</t>
  </si>
  <si>
    <t xml:space="preserve">GRÁFICA EXEMPLO LTDA</t>
  </si>
  <si>
    <t xml:space="preserve">Câmara Municipal de Cidade Exemplo</t>
  </si>
  <si>
    <t xml:space="preserve">2025OB000112</t>
  </si>
  <si>
    <t xml:space="preserve">Divulgação institucional</t>
  </si>
  <si>
    <t xml:space="preserve">Como a Câmara escolheu a gráfica que fez a campanha do vereador?</t>
  </si>
  <si>
    <t xml:space="preserve">CNPJ do fornecedor</t>
  </si>
  <si>
    <t xml:space="preserve">Objeto</t>
  </si>
  <si>
    <t xml:space="preserve">Modalidade</t>
  </si>
  <si>
    <t xml:space="preserve">Data do contrato</t>
  </si>
  <si>
    <t xml:space="preserve">Data de abertura (fórmula)</t>
  </si>
  <si>
    <t xml:space="preserve">Vigência</t>
  </si>
  <si>
    <t xml:space="preserve">Aberta menos de 6 meses antes? (auto)</t>
  </si>
  <si>
    <t xml:space="preserve">Sanção no cadastro (auto)</t>
  </si>
  <si>
    <t xml:space="preserve">Sanção vigente na data (auto)</t>
  </si>
  <si>
    <t xml:space="preserve">Fornecedor (auto)</t>
  </si>
  <si>
    <t xml:space="preserve">Nº do contrato</t>
  </si>
  <si>
    <t xml:space="preserve">Aditivos (R$)</t>
  </si>
  <si>
    <t xml:space="preserve">Acréscimo (auto)</t>
  </si>
  <si>
    <t xml:space="preserve">Alerta de aditivo (auto)</t>
  </si>
  <si>
    <t xml:space="preserve">Fornecimento de merenda escolar</t>
  </si>
  <si>
    <t xml:space="preserve">Dispensa</t>
  </si>
  <si>
    <t xml:space="preserve">045/2025</t>
  </si>
  <si>
    <t xml:space="preserve">Reforma de escola municipal</t>
  </si>
  <si>
    <t xml:space="preserve">Concorrência</t>
  </si>
  <si>
    <t xml:space="preserve">012/2023</t>
  </si>
  <si>
    <t xml:space="preserve">EXEMPLO — a sanção é de outra cidade e só vale lá: leia a abrangência antes de concluir</t>
  </si>
  <si>
    <t xml:space="preserve">Impressão de material gráfico</t>
  </si>
  <si>
    <t xml:space="preserve">Pregão</t>
  </si>
  <si>
    <t xml:space="preserve">008/2025</t>
  </si>
  <si>
    <t xml:space="preserve">EXEMPLO — a gráfica fez a campanha do vereador em 2024 (veja Eleitoral)</t>
  </si>
  <si>
    <t xml:space="preserve">CNPJ</t>
  </si>
  <si>
    <t xml:space="preserve">Tipo de sanção</t>
  </si>
  <si>
    <t xml:space="preserve">Abrangência</t>
  </si>
  <si>
    <t xml:space="preserve">Período: início</t>
  </si>
  <si>
    <t xml:space="preserve">Período: fim</t>
  </si>
  <si>
    <t xml:space="preserve">Cadastro</t>
  </si>
  <si>
    <t xml:space="preserve">Nome no cadastro</t>
  </si>
  <si>
    <t xml:space="preserve">Órgão que puniu</t>
  </si>
  <si>
    <t xml:space="preserve">Vigente hoje? (auto)</t>
  </si>
  <si>
    <t xml:space="preserve">Impedimento de licitar e contratar</t>
  </si>
  <si>
    <t xml:space="preserve">Só no ente que puniu</t>
  </si>
  <si>
    <t xml:space="preserve">CEIS</t>
  </si>
  <si>
    <t xml:space="preserve">Prefeitura de Outra Cidade</t>
  </si>
  <si>
    <t xml:space="preserve">Não consta</t>
  </si>
  <si>
    <t xml:space="preserve">EXEMPLO — CEIS, CNEP e CEPIM consultados em 02/09/2026</t>
  </si>
  <si>
    <t xml:space="preserve">Razão social</t>
  </si>
  <si>
    <t xml:space="preserve">Data de abertura</t>
  </si>
  <si>
    <t xml:space="preserve">CNAE</t>
  </si>
  <si>
    <t xml:space="preserve">Capital social (R$)</t>
  </si>
  <si>
    <t xml:space="preserve">Endereço</t>
  </si>
  <si>
    <t xml:space="preserve">Sinal</t>
  </si>
  <si>
    <t xml:space="preserve">Nome fantasia</t>
  </si>
  <si>
    <t xml:space="preserve">Situação cadastral</t>
  </si>
  <si>
    <t xml:space="preserve">Município/UF</t>
  </si>
  <si>
    <t xml:space="preserve">Contratos (auto)</t>
  </si>
  <si>
    <t xml:space="preserve">Valor contratado com aditivos (R$) (auto)</t>
  </si>
  <si>
    <t xml:space="preserve">Empenhado (R$) (auto)</t>
  </si>
  <si>
    <t xml:space="preserve">Pago (R$) (auto)</t>
  </si>
  <si>
    <t xml:space="preserve">Capital ÷ contratado (auto)</t>
  </si>
  <si>
    <t xml:space="preserve">Sanções registradas (auto)</t>
  </si>
  <si>
    <t xml:space="preserve">Sócios (auto)</t>
  </si>
  <si>
    <t xml:space="preserve">Sócios que estão em Pessoas (auto)</t>
  </si>
  <si>
    <t xml:space="preserve">5620-1/01 Fornecimento de alimentos preparados preponderantemente para empresas</t>
  </si>
  <si>
    <t xml:space="preserve">Rua Exemplo, 100, sala 2</t>
  </si>
  <si>
    <t xml:space="preserve">Aberta cinco meses antes do contrato; capital de R$ 10 mil para contrato de R$ 480 mil</t>
  </si>
  <si>
    <t xml:space="preserve">Modelo Alimentos</t>
  </si>
  <si>
    <t xml:space="preserve">Ativa</t>
  </si>
  <si>
    <t xml:space="preserve">Cidade Exemplo/UF</t>
  </si>
  <si>
    <t xml:space="preserve">EXEMPLO — CNPJ fictício; exclua esta linha</t>
  </si>
  <si>
    <t xml:space="preserve">4120-4/00 Construção de edifícios</t>
  </si>
  <si>
    <t xml:space="preserve">Avenida Modelo, 500</t>
  </si>
  <si>
    <t xml:space="preserve">Sanção no CEIS aplicada por outra cidade</t>
  </si>
  <si>
    <t xml:space="preserve">Construtora Exemplo</t>
  </si>
  <si>
    <t xml:space="preserve">1813-0/01 Impressão de material para uso publicitário</t>
  </si>
  <si>
    <t xml:space="preserve">Rua da Impressão, 20</t>
  </si>
  <si>
    <t xml:space="preserve">Fornecedora da campanha de 2024 do vereador</t>
  </si>
  <si>
    <t xml:space="preserve">Gráfica Exemplo</t>
  </si>
  <si>
    <t xml:space="preserve">Nome do sócio</t>
  </si>
  <si>
    <t xml:space="preserve">Dígitos visíveis do CPF</t>
  </si>
  <si>
    <t xml:space="preserve">Data de entrada</t>
  </si>
  <si>
    <t xml:space="preserve">Qualificação</t>
  </si>
  <si>
    <t xml:space="preserve">Saída da sociedade</t>
  </si>
  <si>
    <t xml:space="preserve">Empresa (auto)</t>
  </si>
  <si>
    <t xml:space="preserve">Nome normalizado (auto)</t>
  </si>
  <si>
    <t xml:space="preserve">CPF, 6 dígitos (auto)</t>
  </si>
  <si>
    <t xml:space="preserve">Chave (auto)</t>
  </si>
  <si>
    <t xml:space="preserve">Está em Pessoas? (auto)</t>
  </si>
  <si>
    <t xml:space="preserve">***123456**</t>
  </si>
  <si>
    <t xml:space="preserve">Sócio-administrador</t>
  </si>
  <si>
    <t xml:space="preserve">Maria Exemplo</t>
  </si>
  <si>
    <t xml:space="preserve">***654321**</t>
  </si>
  <si>
    <t xml:space="preserve">Sócia-administradora</t>
  </si>
  <si>
    <t xml:space="preserve">Beltrano Exemplo</t>
  </si>
  <si>
    <t xml:space="preserve">***777888**</t>
  </si>
  <si>
    <t xml:space="preserve">CPF (dígitos visíveis)</t>
  </si>
  <si>
    <t xml:space="preserve">Cargo ou função</t>
  </si>
  <si>
    <t xml:space="preserve">Nomeação ou posse</t>
  </si>
  <si>
    <t xml:space="preserve">Partido</t>
  </si>
  <si>
    <t xml:space="preserve">Vínculo com a pauta</t>
  </si>
  <si>
    <t xml:space="preserve">Sócio de empresas (auto)</t>
  </si>
  <si>
    <t xml:space="preserve">Assessor parlamentar</t>
  </si>
  <si>
    <t xml:space="preserve">Nomeado para o gabinete do vereador Sicrano Candidato; doou R$ 20 mil à campanha dele em 2024</t>
  </si>
  <si>
    <t xml:space="preserve">Sicrano Candidato</t>
  </si>
  <si>
    <t xml:space="preserve">Vereador</t>
  </si>
  <si>
    <t xml:space="preserve">Partido Exemplo</t>
  </si>
  <si>
    <t xml:space="preserve">Vereador; candidato a deputado estadual em 2026</t>
  </si>
  <si>
    <t xml:space="preserve">EXEMPLO — sem CPF, não é cruzado</t>
  </si>
  <si>
    <t xml:space="preserve">CNPJ do fornecedor de campanha</t>
  </si>
  <si>
    <t xml:space="preserve">Candidato e eleição</t>
  </si>
  <si>
    <t xml:space="preserve">Fornecedor</t>
  </si>
  <si>
    <t xml:space="preserve">O que forneceu</t>
  </si>
  <si>
    <t xml:space="preserve">Virou fornecedor do poder público? (auto)</t>
  </si>
  <si>
    <t xml:space="preserve">Bens: candidato</t>
  </si>
  <si>
    <t xml:space="preserve">Eleição (ano)</t>
  </si>
  <si>
    <t xml:space="preserve">Cargo disputado</t>
  </si>
  <si>
    <t xml:space="preserve">Bem declarado</t>
  </si>
  <si>
    <t xml:space="preserve">Valor declarado (R$)</t>
  </si>
  <si>
    <t xml:space="preserve">Total nesta eleição (auto)</t>
  </si>
  <si>
    <t xml:space="preserve">Eleição anterior (auto)</t>
  </si>
  <si>
    <t xml:space="preserve">Total na eleição anterior (auto)</t>
  </si>
  <si>
    <t xml:space="preserve">Variação (auto)</t>
  </si>
  <si>
    <t xml:space="preserve">Sicrano Candidato — vereador, 2024</t>
  </si>
  <si>
    <t xml:space="preserve">Santinhos e adesivos</t>
  </si>
  <si>
    <t xml:space="preserve">Casa em Cidade Exemplo</t>
  </si>
  <si>
    <t xml:space="preserve">55666777000186</t>
  </si>
  <si>
    <t xml:space="preserve">SOM E EVENTOS EXEMPLO LTDA</t>
  </si>
  <si>
    <t xml:space="preserve">Carro de som</t>
  </si>
  <si>
    <t xml:space="preserve">Deputado estadual</t>
  </si>
  <si>
    <t xml:space="preserve">Sicrano Candidato — deputado estadual, 2026</t>
  </si>
  <si>
    <t xml:space="preserve">Santinhos</t>
  </si>
  <si>
    <t xml:space="preserve">Fazenda em Outra Cidade</t>
  </si>
  <si>
    <t xml:space="preserve">Número</t>
  </si>
  <si>
    <t xml:space="preserve">Classe</t>
  </si>
  <si>
    <t xml:space="preserve">Última decisão</t>
  </si>
  <si>
    <t xml:space="preserve">Como escrever (auto)</t>
  </si>
  <si>
    <t xml:space="preserve">Tribunal ou órgão</t>
  </si>
  <si>
    <t xml:space="preserve">Assunto</t>
  </si>
  <si>
    <t xml:space="preserve">Parte ligada à pauta</t>
  </si>
  <si>
    <t xml:space="preserve">Data da última decisão</t>
  </si>
  <si>
    <t xml:space="preserve">Ação civil de improbidade administrativa</t>
  </si>
  <si>
    <t xml:space="preserve">Réu em ação de improbidade (cível)</t>
  </si>
  <si>
    <t xml:space="preserve">Recebida a petição inicial; réus citados para contestar</t>
  </si>
  <si>
    <t xml:space="preserve">Contratação direta de merenda escolar</t>
  </si>
  <si>
    <t xml:space="preserve">EXEMPLO — número fictício; exclua esta linha</t>
  </si>
  <si>
    <t xml:space="preserve">Representação</t>
  </si>
  <si>
    <t xml:space="preserve">Auditoria de tribunal de contas com apontamento</t>
  </si>
  <si>
    <t xml:space="preserve">Área técnica apontou falta de pesquisa de preços na dispensa 045/2025</t>
  </si>
  <si>
    <t xml:space="preserve">Tribunal de Contas do Estado</t>
  </si>
  <si>
    <t xml:space="preserve">Dispensa 045/2025</t>
  </si>
  <si>
    <t xml:space="preserve">Site</t>
  </si>
  <si>
    <t xml:space="preserve">Empresa responsável</t>
  </si>
  <si>
    <t xml:space="preserve">Códigos</t>
  </si>
  <si>
    <t xml:space="preserve">Anúncios</t>
  </si>
  <si>
    <t xml:space="preserve">CNPJ da empresa responsável</t>
  </si>
  <si>
    <t xml:space="preserve">Contrato com o órgão</t>
  </si>
  <si>
    <t xml:space="preserve">Outros sites com o mesmo código</t>
  </si>
  <si>
    <t xml:space="preserve">Pergunta que a ligação levanta</t>
  </si>
  <si>
    <t xml:space="preserve">https://transparencia.cidadeexemplo.gov.br</t>
  </si>
  <si>
    <t xml:space="preserve">Sistemas Exemplo Ltda</t>
  </si>
  <si>
    <t xml:space="preserve">G-EXEMPLO01</t>
  </si>
  <si>
    <t xml:space="preserve">Nenhum anúncio da prefeitura sobre merenda</t>
  </si>
  <si>
    <t xml:space="preserve">88999000000186</t>
  </si>
  <si>
    <t xml:space="preserve">Contrato 010/2024, no PNCP</t>
  </si>
  <si>
    <t xml:space="preserve">Nove prefeituras da região</t>
  </si>
  <si>
    <t xml:space="preserve">Por que as despesas de 2025 sumiram do portal?</t>
  </si>
  <si>
    <t xml:space="preserve">https://sicranocandidato.exemplo</t>
  </si>
  <si>
    <t xml:space="preserve">Agência Exemplo</t>
  </si>
  <si>
    <t xml:space="preserve">GTM-EXEMPLO2</t>
  </si>
  <si>
    <t xml:space="preserve">Dois anúncios em 2025 sobre “merenda nas escolas”, pagos pelo gabinete</t>
  </si>
  <si>
    <t xml:space="preserve">Site da Câmara Municipal</t>
  </si>
  <si>
    <t xml:space="preserve">A agência da campanha também atende a Câmara?</t>
  </si>
  <si>
    <t xml:space="preserve">Rede</t>
  </si>
  <si>
    <t xml:space="preserve">Data de criação</t>
  </si>
  <si>
    <t xml:space="preserve">Tipo de perfil</t>
  </si>
  <si>
    <t xml:space="preserve">Pode monitorar? (auto)</t>
  </si>
  <si>
    <t xml:space="preserve">Operado de (país)</t>
  </si>
  <si>
    <t xml:space="preserve">Mudanças de nome</t>
  </si>
  <si>
    <t xml:space="preserve">Posts relevantes</t>
  </si>
  <si>
    <t xml:space="preserve">Sicrano Candidato (perfil do mandato)</t>
  </si>
  <si>
    <t xml:space="preserve">Instagram</t>
  </si>
  <si>
    <t xml:space="preserve">https://www.instagram.com/perfil-exemplo</t>
  </si>
  <si>
    <t xml:space="preserve">https://web.archive.org/web/2026/https://www.instagram.com/perfil-exemplo</t>
  </si>
  <si>
    <t xml:space="preserve">Pessoa pública, sobre o cargo</t>
  </si>
  <si>
    <t xml:space="preserve">Brasil</t>
  </si>
  <si>
    <t xml:space="preserve">Nenhuma</t>
  </si>
  <si>
    <t xml:space="preserve">Post de 20/08/2025 sobre a merenda, arquivado</t>
  </si>
  <si>
    <t xml:space="preserve">Facebook</t>
  </si>
  <si>
    <t xml:space="preserve">https://www.facebook.com/pagina-exemplo</t>
  </si>
  <si>
    <t xml:space="preserve">Oficial (órgão ou mandato)</t>
  </si>
  <si>
    <t xml:space="preserve">Mudou de nome em janeiro de 2025, com a nova gestão</t>
  </si>
  <si>
    <t xml:space="preserve">Maria Exemplo (perfil pessoal)</t>
  </si>
  <si>
    <t xml:space="preserve">Cidadão comum</t>
  </si>
  <si>
    <t xml:space="preserve">EXEMPLO — isso não se faz: a linha mostra o alerta</t>
  </si>
  <si>
    <t xml:space="preserve">Regra de observação</t>
  </si>
  <si>
    <t xml:space="preserve">Nesta pauta</t>
  </si>
  <si>
    <t xml:space="preserve">Conta usada</t>
  </si>
  <si>
    <t xml:space="preserve">De pesquisa, identificada com o nome do canal</t>
  </si>
  <si>
    <t xml:space="preserve">Não faço</t>
  </si>
  <si>
    <t xml:space="preserve">Curtir, seguir perfis pessoais, entrar em grupo fechado</t>
  </si>
  <si>
    <t xml:space="preserve">Quem decide mudança</t>
  </si>
  <si>
    <t xml:space="preserve">Eu, por escrito, antes de mudar</t>
  </si>
  <si>
    <t xml:space="preserve">Tipo de registro (Log)</t>
  </si>
  <si>
    <t xml:space="preserve">Tipo de evento (Linha do tempo)</t>
  </si>
  <si>
    <t xml:space="preserve">Fato, indício ou versão</t>
  </si>
  <si>
    <t xml:space="preserve">Sim ou não</t>
  </si>
  <si>
    <t xml:space="preserve">Resultado (LAI)</t>
  </si>
  <si>
    <t xml:space="preserve">Instância</t>
  </si>
  <si>
    <t xml:space="preserve">Fase do gasto</t>
  </si>
  <si>
    <t xml:space="preserve">Cadastro de sanção</t>
  </si>
  <si>
    <t xml:space="preserve">Abrangência da sanção</t>
  </si>
  <si>
    <t xml:space="preserve">Probabilidade (e risco para a fonte)</t>
  </si>
  <si>
    <t xml:space="preserve">Combinado com a fonte</t>
  </si>
  <si>
    <t xml:space="preserve">Fase processual</t>
  </si>
  <si>
    <t xml:space="preserve">Como escrever (aula 5.2)</t>
  </si>
  <si>
    <t xml:space="preserve">Emenda ou transferência</t>
  </si>
  <si>
    <t xml:space="preserve">Atendido</t>
  </si>
  <si>
    <t xml:space="preserve">baixo</t>
  </si>
  <si>
    <t xml:space="preserve">Enviado para apuração (PGR, MP ou PF)</t>
  </si>
  <si>
    <t xml:space="preserve">o caso foi enviado [à PGR, ao Ministério Público ou à Polícia Federal] para apuração, o que ainda não é inquérito</t>
  </si>
  <si>
    <t xml:space="preserve">Documento recebido</t>
  </si>
  <si>
    <t xml:space="preserve">Indício</t>
  </si>
  <si>
    <t xml:space="preserve">Estadual</t>
  </si>
  <si>
    <t xml:space="preserve">1ª instância</t>
  </si>
  <si>
    <t xml:space="preserve">Liquidação</t>
  </si>
  <si>
    <t xml:space="preserve">CNEP</t>
  </si>
  <si>
    <t xml:space="preserve">Todos os entes</t>
  </si>
  <si>
    <t xml:space="preserve">Declaração de inidoneidade</t>
  </si>
  <si>
    <t xml:space="preserve">Investigação (inquérito ou procedimento)</t>
  </si>
  <si>
    <t xml:space="preserve">é investigado em [inquérito ou procedimento] no [órgão]</t>
  </si>
  <si>
    <t xml:space="preserve">Negado</t>
  </si>
  <si>
    <t xml:space="preserve">2ª instância</t>
  </si>
  <si>
    <t xml:space="preserve">Concurso</t>
  </si>
  <si>
    <t xml:space="preserve">CEPIM</t>
  </si>
  <si>
    <t xml:space="preserve">Não informada</t>
  </si>
  <si>
    <t xml:space="preserve">Suspensão</t>
  </si>
  <si>
    <t xml:space="preserve">Background</t>
  </si>
  <si>
    <t xml:space="preserve">Indiciado</t>
  </si>
  <si>
    <t xml:space="preserve">foi indiciado pela [Polícia Civil ou Federal] em [data]</t>
  </si>
  <si>
    <t xml:space="preserve">CGU</t>
  </si>
  <si>
    <t xml:space="preserve">Leilão</t>
  </si>
  <si>
    <t xml:space="preserve">Outro</t>
  </si>
  <si>
    <t xml:space="preserve">Multa</t>
  </si>
  <si>
    <t xml:space="preserve">Denunciado (denúncia ainda não recebida)</t>
  </si>
  <si>
    <t xml:space="preserve">foi denunciado pelo Ministério Público por [crime]</t>
  </si>
  <si>
    <t xml:space="preserve">Ato no diário oficial</t>
  </si>
  <si>
    <t xml:space="preserve">CMRI</t>
  </si>
  <si>
    <t xml:space="preserve">Diálogo competitivo</t>
  </si>
  <si>
    <t xml:space="preserve">Outra</t>
  </si>
  <si>
    <t xml:space="preserve">Réu em ação penal (denúncia recebida)</t>
  </si>
  <si>
    <t xml:space="preserve">é réu em ação penal por [crime]</t>
  </si>
  <si>
    <t xml:space="preserve">Recurso ou reclamação LAI</t>
  </si>
  <si>
    <t xml:space="preserve">Reclamação</t>
  </si>
  <si>
    <t xml:space="preserve">Prisão preventiva ou temporária</t>
  </si>
  <si>
    <t xml:space="preserve">está preso [preventiva ou temporariamente], o que não é condenação</t>
  </si>
  <si>
    <t xml:space="preserve">Inexigibilidade</t>
  </si>
  <si>
    <t xml:space="preserve">Condenado em 1ª instância</t>
  </si>
  <si>
    <t xml:space="preserve">foi condenado em primeira instância e pode recorrer</t>
  </si>
  <si>
    <t xml:space="preserve">Monitoramento de página</t>
  </si>
  <si>
    <t xml:space="preserve">Auditoria ou controle</t>
  </si>
  <si>
    <t xml:space="preserve">Adesão a ata</t>
  </si>
  <si>
    <t xml:space="preserve">Condenado em 2ª instância</t>
  </si>
  <si>
    <t xml:space="preserve">foi condenado em segunda instância e ainda pode recorrer</t>
  </si>
  <si>
    <t xml:space="preserve">Transcrição ou OCR</t>
  </si>
  <si>
    <t xml:space="preserve">Tomada de preços (lei antiga)</t>
  </si>
  <si>
    <t xml:space="preserve">Condenação definitiva (trânsito em julgado)</t>
  </si>
  <si>
    <t xml:space="preserve">foi condenado em decisão definitiva, da qual não cabe mais recurso</t>
  </si>
  <si>
    <t xml:space="preserve">Sanção</t>
  </si>
  <si>
    <t xml:space="preserve">Convite (lei antiga)</t>
  </si>
  <si>
    <t xml:space="preserve">Absolvido</t>
  </si>
  <si>
    <t xml:space="preserve">foi absolvido [em primeira instância ou em decisão definitiva]</t>
  </si>
  <si>
    <t xml:space="preserve">Resposta do citado</t>
  </si>
  <si>
    <t xml:space="preserve">Reportagem</t>
  </si>
  <si>
    <t xml:space="preserve">Arquivado</t>
  </si>
  <si>
    <t xml:space="preserve">a investigação foi arquivada</t>
  </si>
  <si>
    <t xml:space="preserve">Pedido de resposta</t>
  </si>
  <si>
    <t xml:space="preserve">Nota ou declaração</t>
  </si>
  <si>
    <t xml:space="preserve">Acordo de não persecução penal</t>
  </si>
  <si>
    <t xml:space="preserve">fez acordo com o Ministério Público, no qual admitiu os fatos, para não ser processado</t>
  </si>
  <si>
    <t xml:space="preserve">Imagem de satélite ou foto</t>
  </si>
  <si>
    <t xml:space="preserve">é réu em ação de improbidade administrativa, que é cível, não criminal</t>
  </si>
  <si>
    <t xml:space="preserve">Manifesto de hashes</t>
  </si>
  <si>
    <t xml:space="preserve">Réu em outra ação cível</t>
  </si>
  <si>
    <t xml:space="preserve">é réu em ação cível, não criminal</t>
  </si>
  <si>
    <t xml:space="preserve">Frase de método</t>
  </si>
  <si>
    <t xml:space="preserve">o [TCU ou TCE] apontou [achado] em auditoria, no processo [número]; é apontamento de controle, não condenação</t>
  </si>
  <si>
    <t xml:space="preserve">Publicação</t>
  </si>
  <si>
    <t xml:space="preserve">Tomada de contas especial</t>
  </si>
  <si>
    <t xml:space="preserve">é alvo de tomada de contas especial no [TCU ou TCE], processo administrativo que calcula o prejuízo e cobra de quem responde; não é processo criminal</t>
  </si>
  <si>
    <t xml:space="preserve">Contas julgadas irregulares (tribunal de contas)</t>
  </si>
  <si>
    <t xml:space="preserve">teve as contas julgadas irregulares pelo [TCU ou TCE], em decisão administrativa [da qual ainda cabe recurso ou definitiva]</t>
  </si>
  <si>
    <t xml:space="preserve">Ação sobre a regra no STF (ADI ou ADPF)</t>
  </si>
  <si>
    <t xml:space="preserve">o tema é discutido no STF na [ADI ou ADPF] [número], ação sobre a regra, em que ninguém é réu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</si>
</sst>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dd/mm/yyyy\ hh:mm"/>
    <numFmt numFmtId="167" formatCode="@"/>
    <numFmt numFmtId="168" formatCode="General"/>
    <numFmt numFmtId="169" formatCode="0"/>
    <numFmt numFmtId="170" formatCode="&quot;R$ &quot;#,##0.00"/>
    <numFmt numFmtId="171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1F1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u val="single"/>
      <sz val="10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i val="true"/>
      <sz val="10"/>
      <color rgb="FF404040"/>
      <name val="Arial"/>
      <family val="0"/>
      <charset val="1"/>
    </font>
    <font>
      <sz val="10"/>
      <color rgb="FF40404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7F7F7F"/>
        <bgColor rgb="FF969696"/>
      </patternFill>
    </fill>
    <fill>
      <patternFill patternType="solid">
        <fgColor rgb="FFFFC7CE"/>
        <bgColor rgb="FFFFEB9C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5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5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15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6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16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15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16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5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6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ont>
        <b val="1"/>
      </font>
      <fill>
        <patternFill>
          <bgColor rgb="FFFFF2CC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ont>
        <b val="1"/>
        <color rgb="FFC00000"/>
      </font>
    </dxf>
    <dxf>
      <fill>
        <patternFill patternType="solid">
          <fgColor rgb="FFC65911"/>
          <bgColor rgb="FF000000"/>
        </patternFill>
      </fill>
    </dxf>
    <dxf>
      <font>
        <b val="1"/>
        <color rgb="FFC65911"/>
      </font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C65911"/>
      <rgbColor rgb="FF595959"/>
      <rgbColor rgb="FF969696"/>
      <rgbColor rgb="FF003366"/>
      <rgbColor rgb="FF339966"/>
      <rgbColor rgb="FF003300"/>
      <rgbColor rgb="FF1F1F1F"/>
      <rgbColor rgb="FF9C57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6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7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8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9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10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11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2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3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4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5.v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6.v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7.v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8.v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19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0"/>
    <col collapsed="false" customWidth="true" hidden="false" outlineLevel="0" max="3" min="3" style="0" width="24"/>
    <col collapsed="false" customWidth="true" hidden="false" outlineLevel="0" max="4" min="4" style="0" width="52"/>
    <col collapsed="false" customWidth="true" hidden="false" outlineLevel="0" max="5" min="5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6" t="s">
        <v>5</v>
      </c>
      <c r="B6" s="5" t="s">
        <v>6</v>
      </c>
    </row>
    <row r="7" customFormat="false" ht="23.85" hidden="false" customHeight="false" outlineLevel="0" collapsed="false">
      <c r="A7" s="7" t="s">
        <v>7</v>
      </c>
      <c r="B7" s="5" t="s">
        <v>8</v>
      </c>
    </row>
    <row r="8" customFormat="false" ht="15" hidden="false" customHeight="false" outlineLevel="0" collapsed="false">
      <c r="A8" s="8" t="s">
        <v>9</v>
      </c>
      <c r="B8" s="5" t="s">
        <v>10</v>
      </c>
    </row>
    <row r="9" customFormat="false" ht="15" hidden="false" customHeight="false" outlineLevel="0" collapsed="false">
      <c r="A9" s="9" t="s">
        <v>11</v>
      </c>
      <c r="B9" s="5" t="s">
        <v>12</v>
      </c>
    </row>
    <row r="11" customFormat="false" ht="15" hidden="false" customHeight="false" outlineLevel="0" collapsed="false">
      <c r="A11" s="3" t="s">
        <v>13</v>
      </c>
    </row>
    <row r="12" customFormat="false" ht="23.85" hidden="false" customHeight="false" outlineLevel="0" collapsed="false">
      <c r="A12" s="10" t="s">
        <v>14</v>
      </c>
      <c r="B12" s="10" t="s">
        <v>15</v>
      </c>
      <c r="C12" s="10" t="s">
        <v>16</v>
      </c>
      <c r="D12" s="10" t="s">
        <v>17</v>
      </c>
      <c r="E12" s="10" t="s">
        <v>18</v>
      </c>
    </row>
    <row r="13" customFormat="false" ht="15" hidden="false" customHeight="false" outlineLevel="0" collapsed="false">
      <c r="A13" s="11" t="s">
        <v>19</v>
      </c>
      <c r="B13" s="5" t="s">
        <v>20</v>
      </c>
      <c r="C13" s="5" t="s">
        <v>21</v>
      </c>
      <c r="D13" s="5" t="s">
        <v>22</v>
      </c>
      <c r="E13" s="5" t="n">
        <v>51</v>
      </c>
    </row>
    <row r="14" customFormat="false" ht="15" hidden="false" customHeight="false" outlineLevel="0" collapsed="false">
      <c r="A14" s="11" t="s">
        <v>23</v>
      </c>
      <c r="B14" s="5" t="s">
        <v>24</v>
      </c>
      <c r="C14" s="5" t="s">
        <v>25</v>
      </c>
      <c r="D14" s="5" t="s">
        <v>26</v>
      </c>
      <c r="E14" s="5" t="n">
        <v>501</v>
      </c>
    </row>
    <row r="15" customFormat="false" ht="23.85" hidden="false" customHeight="false" outlineLevel="0" collapsed="false">
      <c r="A15" s="11" t="s">
        <v>27</v>
      </c>
      <c r="B15" s="5" t="s">
        <v>28</v>
      </c>
      <c r="C15" s="5" t="s">
        <v>29</v>
      </c>
      <c r="D15" s="5" t="s">
        <v>30</v>
      </c>
      <c r="E15" s="5" t="n">
        <v>4</v>
      </c>
    </row>
    <row r="16" customFormat="false" ht="23.85" hidden="false" customHeight="false" outlineLevel="0" collapsed="false">
      <c r="A16" s="11" t="s">
        <v>31</v>
      </c>
      <c r="B16" s="5" t="s">
        <v>32</v>
      </c>
      <c r="C16" s="5" t="s">
        <v>33</v>
      </c>
      <c r="D16" s="5" t="s">
        <v>34</v>
      </c>
      <c r="E16" s="5" t="n">
        <v>51</v>
      </c>
    </row>
    <row r="17" customFormat="false" ht="23.85" hidden="false" customHeight="false" outlineLevel="0" collapsed="false">
      <c r="A17" s="11" t="s">
        <v>35</v>
      </c>
      <c r="B17" s="5" t="s">
        <v>36</v>
      </c>
      <c r="C17" s="5" t="s">
        <v>37</v>
      </c>
      <c r="D17" s="5" t="s">
        <v>38</v>
      </c>
      <c r="E17" s="5" t="n">
        <v>501</v>
      </c>
    </row>
    <row r="18" customFormat="false" ht="15" hidden="false" customHeight="false" outlineLevel="0" collapsed="false">
      <c r="A18" s="11" t="s">
        <v>39</v>
      </c>
      <c r="B18" s="5" t="s">
        <v>40</v>
      </c>
      <c r="C18" s="5" t="s">
        <v>41</v>
      </c>
      <c r="D18" s="5" t="s">
        <v>42</v>
      </c>
      <c r="E18" s="5" t="n">
        <v>51</v>
      </c>
    </row>
    <row r="19" customFormat="false" ht="15" hidden="false" customHeight="false" outlineLevel="0" collapsed="false">
      <c r="A19" s="11" t="s">
        <v>43</v>
      </c>
      <c r="B19" s="5" t="s">
        <v>44</v>
      </c>
      <c r="C19" s="5" t="s">
        <v>45</v>
      </c>
      <c r="D19" s="5" t="s">
        <v>46</v>
      </c>
      <c r="E19" s="5" t="n">
        <v>101</v>
      </c>
    </row>
    <row r="20" customFormat="false" ht="15" hidden="false" customHeight="false" outlineLevel="0" collapsed="false">
      <c r="A20" s="11" t="s">
        <v>47</v>
      </c>
      <c r="B20" s="5" t="s">
        <v>48</v>
      </c>
      <c r="C20" s="5" t="s">
        <v>49</v>
      </c>
      <c r="D20" s="5" t="s">
        <v>50</v>
      </c>
      <c r="E20" s="5" t="n">
        <v>101</v>
      </c>
    </row>
    <row r="21" customFormat="false" ht="15" hidden="false" customHeight="false" outlineLevel="0" collapsed="false">
      <c r="A21" s="11" t="s">
        <v>51</v>
      </c>
      <c r="B21" s="5" t="s">
        <v>52</v>
      </c>
      <c r="C21" s="5" t="s">
        <v>53</v>
      </c>
      <c r="D21" s="5" t="s">
        <v>54</v>
      </c>
      <c r="E21" s="5" t="n">
        <v>2001</v>
      </c>
    </row>
    <row r="22" customFormat="false" ht="23.85" hidden="false" customHeight="false" outlineLevel="0" collapsed="false">
      <c r="A22" s="11" t="s">
        <v>55</v>
      </c>
      <c r="B22" s="5" t="s">
        <v>56</v>
      </c>
      <c r="C22" s="5" t="s">
        <v>53</v>
      </c>
      <c r="D22" s="5" t="s">
        <v>57</v>
      </c>
      <c r="E22" s="5" t="n">
        <v>1001</v>
      </c>
    </row>
    <row r="23" customFormat="false" ht="15" hidden="false" customHeight="false" outlineLevel="0" collapsed="false">
      <c r="A23" s="11" t="s">
        <v>58</v>
      </c>
      <c r="B23" s="5" t="s">
        <v>59</v>
      </c>
      <c r="C23" s="5" t="s">
        <v>60</v>
      </c>
      <c r="D23" s="5" t="s">
        <v>61</v>
      </c>
      <c r="E23" s="5" t="n">
        <v>301</v>
      </c>
    </row>
    <row r="24" customFormat="false" ht="15" hidden="false" customHeight="false" outlineLevel="0" collapsed="false">
      <c r="A24" s="11" t="s">
        <v>62</v>
      </c>
      <c r="B24" s="5" t="s">
        <v>63</v>
      </c>
      <c r="C24" s="5" t="s">
        <v>64</v>
      </c>
      <c r="D24" s="5" t="s">
        <v>65</v>
      </c>
      <c r="E24" s="5" t="n">
        <v>501</v>
      </c>
    </row>
    <row r="25" customFormat="false" ht="15" hidden="false" customHeight="false" outlineLevel="0" collapsed="false">
      <c r="A25" s="11" t="s">
        <v>66</v>
      </c>
      <c r="B25" s="5" t="s">
        <v>67</v>
      </c>
      <c r="C25" s="5" t="s">
        <v>64</v>
      </c>
      <c r="D25" s="5" t="s">
        <v>68</v>
      </c>
      <c r="E25" s="5" t="n">
        <v>1001</v>
      </c>
    </row>
    <row r="26" customFormat="false" ht="23.85" hidden="false" customHeight="false" outlineLevel="0" collapsed="false">
      <c r="A26" s="11" t="s">
        <v>69</v>
      </c>
      <c r="B26" s="5" t="s">
        <v>70</v>
      </c>
      <c r="C26" s="5" t="s">
        <v>71</v>
      </c>
      <c r="D26" s="5" t="s">
        <v>72</v>
      </c>
      <c r="E26" s="5" t="n">
        <v>301</v>
      </c>
    </row>
    <row r="27" customFormat="false" ht="23.85" hidden="false" customHeight="false" outlineLevel="0" collapsed="false">
      <c r="A27" s="11" t="s">
        <v>73</v>
      </c>
      <c r="B27" s="5" t="s">
        <v>74</v>
      </c>
      <c r="C27" s="5" t="s">
        <v>71</v>
      </c>
      <c r="D27" s="5" t="s">
        <v>75</v>
      </c>
      <c r="E27" s="5" t="n">
        <v>501</v>
      </c>
    </row>
    <row r="28" customFormat="false" ht="15" hidden="false" customHeight="false" outlineLevel="0" collapsed="false">
      <c r="A28" s="11" t="s">
        <v>76</v>
      </c>
      <c r="B28" s="5" t="s">
        <v>77</v>
      </c>
      <c r="C28" s="5" t="s">
        <v>78</v>
      </c>
      <c r="D28" s="5" t="s">
        <v>79</v>
      </c>
      <c r="E28" s="5" t="n">
        <v>201</v>
      </c>
    </row>
    <row r="29" customFormat="false" ht="15" hidden="false" customHeight="false" outlineLevel="0" collapsed="false">
      <c r="A29" s="11" t="s">
        <v>80</v>
      </c>
      <c r="B29" s="5" t="s">
        <v>81</v>
      </c>
      <c r="C29" s="5" t="s">
        <v>82</v>
      </c>
      <c r="D29" s="5" t="s">
        <v>83</v>
      </c>
      <c r="E29" s="5" t="n">
        <v>101</v>
      </c>
    </row>
    <row r="30" customFormat="false" ht="15" hidden="false" customHeight="false" outlineLevel="0" collapsed="false">
      <c r="A30" s="11" t="s">
        <v>84</v>
      </c>
      <c r="B30" s="5" t="s">
        <v>85</v>
      </c>
      <c r="C30" s="5" t="s">
        <v>86</v>
      </c>
      <c r="D30" s="5" t="s">
        <v>87</v>
      </c>
      <c r="E30" s="5" t="n">
        <v>201</v>
      </c>
    </row>
    <row r="31" customFormat="false" ht="15" hidden="false" customHeight="false" outlineLevel="0" collapsed="false">
      <c r="A31" s="11" t="s">
        <v>88</v>
      </c>
      <c r="B31" s="5" t="s">
        <v>89</v>
      </c>
      <c r="C31" s="5" t="s">
        <v>90</v>
      </c>
      <c r="D31" s="5" t="s">
        <v>90</v>
      </c>
      <c r="E31" s="5" t="s">
        <v>90</v>
      </c>
    </row>
    <row r="33" customFormat="false" ht="15" hidden="false" customHeight="false" outlineLevel="0" collapsed="false">
      <c r="A33" s="3" t="s">
        <v>91</v>
      </c>
    </row>
    <row r="34" customFormat="false" ht="23.85" hidden="false" customHeight="false" outlineLevel="0" collapsed="false">
      <c r="A34" s="12" t="n">
        <v>1</v>
      </c>
      <c r="B34" s="5" t="s">
        <v>92</v>
      </c>
    </row>
    <row r="35" customFormat="false" ht="46.25" hidden="false" customHeight="false" outlineLevel="0" collapsed="false">
      <c r="A35" s="12" t="n">
        <v>2</v>
      </c>
      <c r="B35" s="5" t="s">
        <v>93</v>
      </c>
    </row>
    <row r="36" customFormat="false" ht="15" hidden="false" customHeight="false" outlineLevel="0" collapsed="false">
      <c r="A36" s="12" t="n">
        <v>3</v>
      </c>
      <c r="B36" s="5" t="s">
        <v>94</v>
      </c>
    </row>
    <row r="37" customFormat="false" ht="23.85" hidden="false" customHeight="false" outlineLevel="0" collapsed="false">
      <c r="A37" s="12" t="n">
        <v>4</v>
      </c>
      <c r="B37" s="5" t="s">
        <v>95</v>
      </c>
    </row>
    <row r="38" customFormat="false" ht="23.85" hidden="false" customHeight="false" outlineLevel="0" collapsed="false">
      <c r="A38" s="12" t="n">
        <v>5</v>
      </c>
      <c r="B38" s="5" t="s">
        <v>96</v>
      </c>
    </row>
    <row r="39" customFormat="false" ht="15" hidden="false" customHeight="false" outlineLevel="0" collapsed="false">
      <c r="A39" s="12" t="n">
        <v>6</v>
      </c>
      <c r="B39" s="5" t="s">
        <v>97</v>
      </c>
    </row>
    <row r="40" customFormat="false" ht="23.85" hidden="false" customHeight="false" outlineLevel="0" collapsed="false">
      <c r="A40" s="12" t="n">
        <v>7</v>
      </c>
      <c r="B40" s="5" t="s">
        <v>98</v>
      </c>
    </row>
    <row r="41" customFormat="false" ht="23.85" hidden="false" customHeight="false" outlineLevel="0" collapsed="false">
      <c r="A41" s="12" t="n">
        <v>8</v>
      </c>
      <c r="B41" s="5" t="s">
        <v>99</v>
      </c>
    </row>
    <row r="42" customFormat="false" ht="15" hidden="false" customHeight="false" outlineLevel="0" collapsed="false">
      <c r="A42" s="12" t="n">
        <v>9</v>
      </c>
      <c r="B42" s="5" t="s">
        <v>100</v>
      </c>
    </row>
    <row r="43" customFormat="false" ht="23.85" hidden="false" customHeight="false" outlineLevel="0" collapsed="false">
      <c r="A43" s="12" t="n">
        <v>10</v>
      </c>
      <c r="B43" s="5" t="s">
        <v>101</v>
      </c>
    </row>
    <row r="44" customFormat="false" ht="23.85" hidden="false" customHeight="false" outlineLevel="0" collapsed="false">
      <c r="A44" s="12" t="n">
        <v>11</v>
      </c>
      <c r="B44" s="5" t="s">
        <v>102</v>
      </c>
    </row>
    <row r="45" customFormat="false" ht="15" hidden="false" customHeight="false" outlineLevel="0" collapsed="false">
      <c r="A45" s="12" t="n">
        <v>12</v>
      </c>
      <c r="B45" s="5" t="s">
        <v>103</v>
      </c>
    </row>
    <row r="46" customFormat="false" ht="15" hidden="false" customHeight="false" outlineLevel="0" collapsed="false">
      <c r="A46" s="12" t="n">
        <v>13</v>
      </c>
      <c r="B46" s="5" t="s">
        <v>104</v>
      </c>
    </row>
    <row r="47" customFormat="false" ht="35.05" hidden="false" customHeight="false" outlineLevel="0" collapsed="false">
      <c r="A47" s="12" t="n">
        <v>14</v>
      </c>
      <c r="B47" s="5" t="s">
        <v>105</v>
      </c>
    </row>
    <row r="49" customFormat="false" ht="15" hidden="false" customHeight="false" outlineLevel="0" collapsed="false">
      <c r="A49" s="3" t="s">
        <v>106</v>
      </c>
    </row>
    <row r="50" customFormat="false" ht="15" hidden="false" customHeight="false" outlineLevel="0" collapsed="false">
      <c r="A50" s="10" t="s">
        <v>107</v>
      </c>
      <c r="B50" s="10" t="s">
        <v>108</v>
      </c>
      <c r="C50" s="10" t="s">
        <v>109</v>
      </c>
    </row>
    <row r="51" customFormat="false" ht="23.85" hidden="false" customHeight="false" outlineLevel="0" collapsed="false">
      <c r="A51" s="5" t="s">
        <v>110</v>
      </c>
      <c r="B51" s="5" t="s">
        <v>111</v>
      </c>
      <c r="C51" s="5" t="s">
        <v>112</v>
      </c>
    </row>
    <row r="52" customFormat="false" ht="23.85" hidden="false" customHeight="false" outlineLevel="0" collapsed="false">
      <c r="A52" s="5" t="s">
        <v>113</v>
      </c>
      <c r="B52" s="5" t="s">
        <v>114</v>
      </c>
      <c r="C52" s="5" t="s">
        <v>115</v>
      </c>
    </row>
    <row r="53" customFormat="false" ht="15" hidden="false" customHeight="false" outlineLevel="0" collapsed="false">
      <c r="A53" s="5" t="s">
        <v>116</v>
      </c>
      <c r="B53" s="5" t="s">
        <v>117</v>
      </c>
      <c r="C53" s="5" t="s">
        <v>69</v>
      </c>
    </row>
    <row r="54" customFormat="false" ht="23.85" hidden="false" customHeight="false" outlineLevel="0" collapsed="false">
      <c r="A54" s="5" t="s">
        <v>118</v>
      </c>
      <c r="B54" s="5" t="s">
        <v>119</v>
      </c>
      <c r="C54" s="5" t="s">
        <v>120</v>
      </c>
    </row>
    <row r="55" customFormat="false" ht="23.85" hidden="false" customHeight="false" outlineLevel="0" collapsed="false">
      <c r="A55" s="5" t="s">
        <v>121</v>
      </c>
      <c r="B55" s="5" t="s">
        <v>122</v>
      </c>
      <c r="C55" s="5" t="s">
        <v>123</v>
      </c>
    </row>
    <row r="56" customFormat="false" ht="23.85" hidden="false" customHeight="false" outlineLevel="0" collapsed="false">
      <c r="A56" s="5" t="s">
        <v>124</v>
      </c>
      <c r="B56" s="5" t="s">
        <v>125</v>
      </c>
      <c r="C56" s="5" t="s">
        <v>126</v>
      </c>
    </row>
    <row r="57" customFormat="false" ht="23.85" hidden="false" customHeight="false" outlineLevel="0" collapsed="false">
      <c r="A57" s="5" t="s">
        <v>127</v>
      </c>
      <c r="B57" s="5" t="s">
        <v>128</v>
      </c>
      <c r="C57" s="5" t="s">
        <v>129</v>
      </c>
    </row>
    <row r="58" customFormat="false" ht="23.85" hidden="false" customHeight="false" outlineLevel="0" collapsed="false">
      <c r="A58" s="5" t="s">
        <v>130</v>
      </c>
      <c r="B58" s="5" t="s">
        <v>131</v>
      </c>
      <c r="C58" s="5" t="s">
        <v>132</v>
      </c>
    </row>
  </sheetData>
  <hyperlinks>
    <hyperlink ref="A13" location="'Bombas'!A1" display="Bombas"/>
    <hyperlink ref="A14" location="'Linha do tempo'!A1" display="Linha do tempo"/>
    <hyperlink ref="A15" location="'Ética da pauta'!A1" display="Ética da pauta"/>
    <hyperlink ref="A16" location="'Fontes'!A1" display="Fontes"/>
    <hyperlink ref="A17" location="'Log'!A1" display="Log"/>
    <hyperlink ref="A18" location="'Risco'!A1" display="Risco"/>
    <hyperlink ref="A19" location="'Documentos'!A1" display="Documentos"/>
    <hyperlink ref="A20" location="'Prazos LAI'!A1" display="Prazos LAI"/>
    <hyperlink ref="A21" location="'Pagamentos'!A1" display="Pagamentos"/>
    <hyperlink ref="A22" location="'Contratos'!A1" display="Contratos"/>
    <hyperlink ref="A23" location="'Sancoes'!A1" display="Sancoes"/>
    <hyperlink ref="A24" location="'Empresas'!A1" display="Empresas"/>
    <hyperlink ref="A25" location="'Socios'!A1" display="Socios"/>
    <hyperlink ref="A26" location="'Pessoas'!A1" display="Pessoas"/>
    <hyperlink ref="A27" location="'Eleitoral'!A1" display="Eleitoral"/>
    <hyperlink ref="A28" location="'Processos'!A1" display="Processos"/>
    <hyperlink ref="A29" location="'Sites'!A1" display="Sites"/>
    <hyperlink ref="A30" location="'Perfis'!A1" display="Perfis"/>
    <hyperlink ref="A31" location="'Listas'!A1" display="Lista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30"/>
  </cols>
  <sheetData>
    <row r="1" customFormat="false" ht="39.75" hidden="false" customHeight="true" outlineLevel="0" collapsed="false">
      <c r="A1" s="10" t="s">
        <v>133</v>
      </c>
      <c r="B1" s="10" t="s">
        <v>134</v>
      </c>
      <c r="C1" s="10" t="s">
        <v>135</v>
      </c>
      <c r="D1" s="10" t="s">
        <v>136</v>
      </c>
      <c r="E1" s="10" t="s">
        <v>137</v>
      </c>
      <c r="F1" s="10" t="s">
        <v>138</v>
      </c>
    </row>
    <row r="2" customFormat="false" ht="23.85" hidden="false" customHeight="false" outlineLevel="0" collapsed="false">
      <c r="A2" s="7" t="s">
        <v>139</v>
      </c>
      <c r="B2" s="7" t="s">
        <v>140</v>
      </c>
      <c r="C2" s="7" t="s">
        <v>141</v>
      </c>
      <c r="D2" s="7" t="s">
        <v>142</v>
      </c>
      <c r="E2" s="13" t="s">
        <v>141</v>
      </c>
      <c r="F2" s="7" t="s">
        <v>143</v>
      </c>
    </row>
    <row r="3" customFormat="false" ht="23.85" hidden="false" customHeight="false" outlineLevel="0" collapsed="false">
      <c r="A3" s="7" t="s">
        <v>144</v>
      </c>
      <c r="B3" s="7" t="s">
        <v>145</v>
      </c>
      <c r="C3" s="7" t="s">
        <v>141</v>
      </c>
      <c r="D3" s="7" t="s">
        <v>146</v>
      </c>
      <c r="E3" s="13" t="s">
        <v>141</v>
      </c>
      <c r="F3" s="7" t="s">
        <v>147</v>
      </c>
    </row>
    <row r="4" customFormat="false" ht="23.85" hidden="false" customHeight="false" outlineLevel="0" collapsed="false">
      <c r="A4" s="7" t="s">
        <v>148</v>
      </c>
      <c r="B4" s="7" t="s">
        <v>149</v>
      </c>
      <c r="C4" s="7" t="s">
        <v>150</v>
      </c>
      <c r="D4" s="7" t="s">
        <v>151</v>
      </c>
      <c r="E4" s="13" t="s">
        <v>142</v>
      </c>
      <c r="F4" s="7" t="s">
        <v>152</v>
      </c>
    </row>
    <row r="5" customFormat="false" ht="15" hidden="false" customHeight="false" outlineLevel="0" collapsed="false">
      <c r="A5" s="5"/>
      <c r="B5" s="5"/>
      <c r="C5" s="5"/>
      <c r="D5" s="5"/>
      <c r="E5" s="14"/>
      <c r="F5" s="5"/>
    </row>
    <row r="6" customFormat="false" ht="15" hidden="false" customHeight="false" outlineLevel="0" collapsed="false">
      <c r="A6" s="5"/>
      <c r="B6" s="5"/>
      <c r="C6" s="5"/>
      <c r="D6" s="5"/>
      <c r="E6" s="14"/>
      <c r="F6" s="5"/>
    </row>
    <row r="7" customFormat="false" ht="15" hidden="false" customHeight="false" outlineLevel="0" collapsed="false">
      <c r="A7" s="5"/>
      <c r="B7" s="5"/>
      <c r="C7" s="5"/>
      <c r="D7" s="5"/>
      <c r="E7" s="14"/>
      <c r="F7" s="5"/>
    </row>
    <row r="8" customFormat="false" ht="15" hidden="false" customHeight="false" outlineLevel="0" collapsed="false">
      <c r="A8" s="5"/>
      <c r="B8" s="5"/>
      <c r="C8" s="5"/>
      <c r="D8" s="5"/>
      <c r="E8" s="14"/>
      <c r="F8" s="5"/>
    </row>
    <row r="9" customFormat="false" ht="15" hidden="false" customHeight="false" outlineLevel="0" collapsed="false">
      <c r="A9" s="5"/>
      <c r="B9" s="5"/>
      <c r="C9" s="5"/>
      <c r="D9" s="5"/>
      <c r="E9" s="14"/>
      <c r="F9" s="5"/>
    </row>
    <row r="10" customFormat="false" ht="15" hidden="false" customHeight="false" outlineLevel="0" collapsed="false">
      <c r="A10" s="5"/>
      <c r="B10" s="5"/>
      <c r="C10" s="5"/>
      <c r="D10" s="5"/>
      <c r="E10" s="14"/>
      <c r="F10" s="5"/>
    </row>
    <row r="11" customFormat="false" ht="15" hidden="false" customHeight="false" outlineLevel="0" collapsed="false">
      <c r="A11" s="5"/>
      <c r="B11" s="5"/>
      <c r="C11" s="5"/>
      <c r="D11" s="5"/>
      <c r="E11" s="14"/>
      <c r="F11" s="5"/>
    </row>
    <row r="12" customFormat="false" ht="15" hidden="false" customHeight="false" outlineLevel="0" collapsed="false">
      <c r="A12" s="5"/>
      <c r="B12" s="5"/>
      <c r="C12" s="5"/>
      <c r="D12" s="5"/>
      <c r="E12" s="14"/>
      <c r="F12" s="5"/>
    </row>
    <row r="13" customFormat="false" ht="15" hidden="false" customHeight="false" outlineLevel="0" collapsed="false">
      <c r="A13" s="5"/>
      <c r="B13" s="5"/>
      <c r="C13" s="5"/>
      <c r="D13" s="5"/>
      <c r="E13" s="14"/>
      <c r="F13" s="5"/>
    </row>
    <row r="14" customFormat="false" ht="15" hidden="false" customHeight="false" outlineLevel="0" collapsed="false">
      <c r="A14" s="5"/>
      <c r="B14" s="5"/>
      <c r="C14" s="5"/>
      <c r="D14" s="5"/>
      <c r="E14" s="14"/>
      <c r="F14" s="5"/>
    </row>
    <row r="15" customFormat="false" ht="15" hidden="false" customHeight="false" outlineLevel="0" collapsed="false">
      <c r="A15" s="5"/>
      <c r="B15" s="5"/>
      <c r="C15" s="5"/>
      <c r="D15" s="5"/>
      <c r="E15" s="14"/>
      <c r="F15" s="5"/>
    </row>
    <row r="16" customFormat="false" ht="15" hidden="false" customHeight="false" outlineLevel="0" collapsed="false">
      <c r="A16" s="5"/>
      <c r="B16" s="5"/>
      <c r="C16" s="5"/>
      <c r="D16" s="5"/>
      <c r="E16" s="14"/>
      <c r="F16" s="5"/>
    </row>
    <row r="17" customFormat="false" ht="15" hidden="false" customHeight="false" outlineLevel="0" collapsed="false">
      <c r="A17" s="5"/>
      <c r="B17" s="5"/>
      <c r="C17" s="5"/>
      <c r="D17" s="5"/>
      <c r="E17" s="14"/>
      <c r="F17" s="5"/>
    </row>
    <row r="18" customFormat="false" ht="15" hidden="false" customHeight="false" outlineLevel="0" collapsed="false">
      <c r="A18" s="5"/>
      <c r="B18" s="5"/>
      <c r="C18" s="5"/>
      <c r="D18" s="5"/>
      <c r="E18" s="14"/>
      <c r="F18" s="5"/>
    </row>
    <row r="19" customFormat="false" ht="15" hidden="false" customHeight="false" outlineLevel="0" collapsed="false">
      <c r="A19" s="5"/>
      <c r="B19" s="5"/>
      <c r="C19" s="5"/>
      <c r="D19" s="5"/>
      <c r="E19" s="14"/>
      <c r="F19" s="5"/>
    </row>
    <row r="20" customFormat="false" ht="15" hidden="false" customHeight="false" outlineLevel="0" collapsed="false">
      <c r="A20" s="5"/>
      <c r="B20" s="5"/>
      <c r="C20" s="5"/>
      <c r="D20" s="5"/>
      <c r="E20" s="14"/>
      <c r="F20" s="5"/>
    </row>
    <row r="21" customFormat="false" ht="15" hidden="false" customHeight="false" outlineLevel="0" collapsed="false">
      <c r="A21" s="5"/>
      <c r="B21" s="5"/>
      <c r="C21" s="5"/>
      <c r="D21" s="5"/>
      <c r="E21" s="14"/>
      <c r="F21" s="5"/>
    </row>
    <row r="22" customFormat="false" ht="15" hidden="false" customHeight="false" outlineLevel="0" collapsed="false">
      <c r="A22" s="5"/>
      <c r="B22" s="5"/>
      <c r="C22" s="5"/>
      <c r="D22" s="5"/>
      <c r="E22" s="14"/>
      <c r="F22" s="5"/>
    </row>
    <row r="23" customFormat="false" ht="15" hidden="false" customHeight="false" outlineLevel="0" collapsed="false">
      <c r="A23" s="5"/>
      <c r="B23" s="5"/>
      <c r="C23" s="5"/>
      <c r="D23" s="5"/>
      <c r="E23" s="14"/>
      <c r="F23" s="5"/>
    </row>
    <row r="24" customFormat="false" ht="15" hidden="false" customHeight="false" outlineLevel="0" collapsed="false">
      <c r="A24" s="5"/>
      <c r="B24" s="5"/>
      <c r="C24" s="5"/>
      <c r="D24" s="5"/>
      <c r="E24" s="14"/>
      <c r="F24" s="5"/>
    </row>
    <row r="25" customFormat="false" ht="15" hidden="false" customHeight="false" outlineLevel="0" collapsed="false">
      <c r="A25" s="5"/>
      <c r="B25" s="5"/>
      <c r="C25" s="5"/>
      <c r="D25" s="5"/>
      <c r="E25" s="14"/>
      <c r="F25" s="5"/>
    </row>
    <row r="26" customFormat="false" ht="15" hidden="false" customHeight="false" outlineLevel="0" collapsed="false">
      <c r="A26" s="5"/>
      <c r="B26" s="5"/>
      <c r="C26" s="5"/>
      <c r="D26" s="5"/>
      <c r="E26" s="14"/>
      <c r="F26" s="5"/>
    </row>
    <row r="27" customFormat="false" ht="15" hidden="false" customHeight="false" outlineLevel="0" collapsed="false">
      <c r="A27" s="5"/>
      <c r="B27" s="5"/>
      <c r="C27" s="5"/>
      <c r="D27" s="5"/>
      <c r="E27" s="14"/>
      <c r="F27" s="5"/>
    </row>
    <row r="28" customFormat="false" ht="15" hidden="false" customHeight="false" outlineLevel="0" collapsed="false">
      <c r="A28" s="5"/>
      <c r="B28" s="5"/>
      <c r="C28" s="5"/>
      <c r="D28" s="5"/>
      <c r="E28" s="14"/>
      <c r="F28" s="5"/>
    </row>
    <row r="29" customFormat="false" ht="15" hidden="false" customHeight="false" outlineLevel="0" collapsed="false">
      <c r="A29" s="5"/>
      <c r="B29" s="5"/>
      <c r="C29" s="5"/>
      <c r="D29" s="5"/>
      <c r="E29" s="14"/>
      <c r="F29" s="5"/>
    </row>
    <row r="30" customFormat="false" ht="15" hidden="false" customHeight="false" outlineLevel="0" collapsed="false">
      <c r="A30" s="5"/>
      <c r="B30" s="5"/>
      <c r="C30" s="5"/>
      <c r="D30" s="5"/>
      <c r="E30" s="14"/>
      <c r="F30" s="5"/>
    </row>
    <row r="31" customFormat="false" ht="15" hidden="false" customHeight="false" outlineLevel="0" collapsed="false">
      <c r="A31" s="5"/>
      <c r="B31" s="5"/>
      <c r="C31" s="5"/>
      <c r="D31" s="5"/>
      <c r="E31" s="14"/>
      <c r="F31" s="5"/>
    </row>
    <row r="32" customFormat="false" ht="15" hidden="false" customHeight="false" outlineLevel="0" collapsed="false">
      <c r="A32" s="5"/>
      <c r="B32" s="5"/>
      <c r="C32" s="5"/>
      <c r="D32" s="5"/>
      <c r="E32" s="14"/>
      <c r="F32" s="5"/>
    </row>
    <row r="33" customFormat="false" ht="15" hidden="false" customHeight="false" outlineLevel="0" collapsed="false">
      <c r="A33" s="5"/>
      <c r="B33" s="5"/>
      <c r="C33" s="5"/>
      <c r="D33" s="5"/>
      <c r="E33" s="14"/>
      <c r="F33" s="5"/>
    </row>
    <row r="34" customFormat="false" ht="15" hidden="false" customHeight="false" outlineLevel="0" collapsed="false">
      <c r="A34" s="5"/>
      <c r="B34" s="5"/>
      <c r="C34" s="5"/>
      <c r="D34" s="5"/>
      <c r="E34" s="14"/>
      <c r="F34" s="5"/>
    </row>
    <row r="35" customFormat="false" ht="15" hidden="false" customHeight="false" outlineLevel="0" collapsed="false">
      <c r="A35" s="5"/>
      <c r="B35" s="5"/>
      <c r="C35" s="5"/>
      <c r="D35" s="5"/>
      <c r="E35" s="14"/>
      <c r="F35" s="5"/>
    </row>
    <row r="36" customFormat="false" ht="15" hidden="false" customHeight="false" outlineLevel="0" collapsed="false">
      <c r="A36" s="5"/>
      <c r="B36" s="5"/>
      <c r="C36" s="5"/>
      <c r="D36" s="5"/>
      <c r="E36" s="14"/>
      <c r="F36" s="5"/>
    </row>
    <row r="37" customFormat="false" ht="15" hidden="false" customHeight="false" outlineLevel="0" collapsed="false">
      <c r="A37" s="5"/>
      <c r="B37" s="5"/>
      <c r="C37" s="5"/>
      <c r="D37" s="5"/>
      <c r="E37" s="14"/>
      <c r="F37" s="5"/>
    </row>
    <row r="38" customFormat="false" ht="15" hidden="false" customHeight="false" outlineLevel="0" collapsed="false">
      <c r="A38" s="5"/>
      <c r="B38" s="5"/>
      <c r="C38" s="5"/>
      <c r="D38" s="5"/>
      <c r="E38" s="14"/>
      <c r="F38" s="5"/>
    </row>
    <row r="39" customFormat="false" ht="15" hidden="false" customHeight="false" outlineLevel="0" collapsed="false">
      <c r="A39" s="5"/>
      <c r="B39" s="5"/>
      <c r="C39" s="5"/>
      <c r="D39" s="5"/>
      <c r="E39" s="14"/>
      <c r="F39" s="5"/>
    </row>
    <row r="40" customFormat="false" ht="15" hidden="false" customHeight="false" outlineLevel="0" collapsed="false">
      <c r="A40" s="5"/>
      <c r="B40" s="5"/>
      <c r="C40" s="5"/>
      <c r="D40" s="5"/>
      <c r="E40" s="14"/>
      <c r="F40" s="5"/>
    </row>
    <row r="41" customFormat="false" ht="15" hidden="false" customHeight="false" outlineLevel="0" collapsed="false">
      <c r="A41" s="5"/>
      <c r="B41" s="5"/>
      <c r="C41" s="5"/>
      <c r="D41" s="5"/>
      <c r="E41" s="14"/>
      <c r="F41" s="5"/>
    </row>
    <row r="42" customFormat="false" ht="15" hidden="false" customHeight="false" outlineLevel="0" collapsed="false">
      <c r="A42" s="5"/>
      <c r="B42" s="5"/>
      <c r="C42" s="5"/>
      <c r="D42" s="5"/>
      <c r="E42" s="14"/>
      <c r="F42" s="5"/>
    </row>
    <row r="43" customFormat="false" ht="15" hidden="false" customHeight="false" outlineLevel="0" collapsed="false">
      <c r="A43" s="5"/>
      <c r="B43" s="5"/>
      <c r="C43" s="5"/>
      <c r="D43" s="5"/>
      <c r="E43" s="14"/>
      <c r="F43" s="5"/>
    </row>
    <row r="44" customFormat="false" ht="15" hidden="false" customHeight="false" outlineLevel="0" collapsed="false">
      <c r="A44" s="5"/>
      <c r="B44" s="5"/>
      <c r="C44" s="5"/>
      <c r="D44" s="5"/>
      <c r="E44" s="14"/>
      <c r="F44" s="5"/>
    </row>
    <row r="45" customFormat="false" ht="15" hidden="false" customHeight="false" outlineLevel="0" collapsed="false">
      <c r="A45" s="5"/>
      <c r="B45" s="5"/>
      <c r="C45" s="5"/>
      <c r="D45" s="5"/>
      <c r="E45" s="14"/>
      <c r="F45" s="5"/>
    </row>
    <row r="46" customFormat="false" ht="15" hidden="false" customHeight="false" outlineLevel="0" collapsed="false">
      <c r="A46" s="5"/>
      <c r="B46" s="5"/>
      <c r="C46" s="5"/>
      <c r="D46" s="5"/>
      <c r="E46" s="14"/>
      <c r="F46" s="5"/>
    </row>
    <row r="47" customFormat="false" ht="15" hidden="false" customHeight="false" outlineLevel="0" collapsed="false">
      <c r="A47" s="5"/>
      <c r="B47" s="5"/>
      <c r="C47" s="5"/>
      <c r="D47" s="5"/>
      <c r="E47" s="14"/>
      <c r="F47" s="5"/>
    </row>
    <row r="48" customFormat="false" ht="15" hidden="false" customHeight="false" outlineLevel="0" collapsed="false">
      <c r="A48" s="5"/>
      <c r="B48" s="5"/>
      <c r="C48" s="5"/>
      <c r="D48" s="5"/>
      <c r="E48" s="14"/>
      <c r="F48" s="5"/>
    </row>
    <row r="49" customFormat="false" ht="15" hidden="false" customHeight="false" outlineLevel="0" collapsed="false">
      <c r="A49" s="5"/>
      <c r="B49" s="5"/>
      <c r="C49" s="5"/>
      <c r="D49" s="5"/>
      <c r="E49" s="14"/>
      <c r="F49" s="5"/>
    </row>
    <row r="50" customFormat="false" ht="15" hidden="false" customHeight="false" outlineLevel="0" collapsed="false">
      <c r="A50" s="5"/>
      <c r="B50" s="5"/>
      <c r="C50" s="5"/>
      <c r="D50" s="5"/>
      <c r="E50" s="14"/>
      <c r="F50" s="5"/>
    </row>
    <row r="51" customFormat="false" ht="15" hidden="false" customHeight="false" outlineLevel="0" collapsed="false">
      <c r="A51" s="5"/>
      <c r="B51" s="5"/>
      <c r="C51" s="5"/>
      <c r="D51" s="5"/>
      <c r="E51" s="14"/>
      <c r="F51" s="5"/>
    </row>
  </sheetData>
  <conditionalFormatting sqref="A2:F51">
    <cfRule type="expression" priority="2" aboveAverage="0" equalAverage="0" bottom="0" percent="0" rank="0" text="" dxfId="0">
      <formula>$E2="Sim"</formula>
    </cfRule>
  </conditionalFormatting>
  <dataValidations count="1">
    <dataValidation allowBlank="true" error="Escolha uma opção da lista (as opções estão na aba Listas)." errorStyle="stop" operator="between" showDropDown="false" showErrorMessage="false" showInputMessage="false" sqref="E2:E51" type="list">
      <formula1>Listas!$E$2:$E$3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0"/>
    <col collapsed="false" customWidth="true" hidden="false" outlineLevel="0" max="3" min="3" style="0" width="34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24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30"/>
    <col collapsed="false" customWidth="true" hidden="false" outlineLevel="0" max="10" min="10" style="0" width="34"/>
  </cols>
  <sheetData>
    <row r="1" customFormat="false" ht="39.75" hidden="false" customHeight="true" outlineLevel="0" collapsed="false">
      <c r="A1" s="10" t="s">
        <v>153</v>
      </c>
      <c r="B1" s="10" t="s">
        <v>154</v>
      </c>
      <c r="C1" s="10" t="s">
        <v>155</v>
      </c>
      <c r="D1" s="10" t="s">
        <v>156</v>
      </c>
      <c r="E1" s="10" t="s">
        <v>157</v>
      </c>
      <c r="F1" s="10" t="s">
        <v>158</v>
      </c>
      <c r="G1" s="10" t="s">
        <v>159</v>
      </c>
      <c r="H1" s="10" t="s">
        <v>160</v>
      </c>
      <c r="I1" s="15" t="s">
        <v>161</v>
      </c>
      <c r="J1" s="10" t="s">
        <v>138</v>
      </c>
    </row>
    <row r="2" customFormat="false" ht="23.85" hidden="false" customHeight="false" outlineLevel="0" collapsed="false">
      <c r="A2" s="16" t="n">
        <v>45550</v>
      </c>
      <c r="B2" s="7" t="s">
        <v>162</v>
      </c>
      <c r="C2" s="7" t="s">
        <v>163</v>
      </c>
      <c r="D2" s="7" t="s">
        <v>164</v>
      </c>
      <c r="E2" s="7"/>
      <c r="F2" s="7" t="s">
        <v>165</v>
      </c>
      <c r="G2" s="13" t="s">
        <v>166</v>
      </c>
      <c r="H2" s="13" t="s">
        <v>154</v>
      </c>
      <c r="I2" s="17" t="str">
        <f aca="false">IF(D2="","",IFERROR(IF(INDEX(Log!$I:$I,MATCH(D2,Log!$G:$G,0))&amp;""="",INDEX(Log!$A:$A,MATCH(D2,Log!$G:$G,0))&amp;"",INDEX(Log!$I:$I,MATCH(D2,Log!$G:$G,0))&amp;""),IF(AND(LEN(D2)=4,LEFT(D2,1)="L",ISNUMBER(VALUE(MID(D2,2,3)))),"ID não encontrado no Log","")))</f>
        <v>Bens, doadores e fornecedores de campanha de Sicrano Candidato (2024 e 2026)</v>
      </c>
      <c r="J2" s="7" t="s">
        <v>167</v>
      </c>
    </row>
    <row r="3" customFormat="false" ht="23.85" hidden="false" customHeight="false" outlineLevel="0" collapsed="false">
      <c r="A3" s="16" t="n">
        <v>45555</v>
      </c>
      <c r="B3" s="7" t="s">
        <v>168</v>
      </c>
      <c r="C3" s="7" t="s">
        <v>163</v>
      </c>
      <c r="D3" s="7" t="s">
        <v>164</v>
      </c>
      <c r="E3" s="7"/>
      <c r="F3" s="7" t="s">
        <v>169</v>
      </c>
      <c r="G3" s="13" t="s">
        <v>166</v>
      </c>
      <c r="H3" s="13" t="s">
        <v>154</v>
      </c>
      <c r="I3" s="17" t="str">
        <f aca="false">IF(D3="","",IFERROR(IF(INDEX(Log!$I:$I,MATCH(D3,Log!$G:$G,0))&amp;""="",INDEX(Log!$A:$A,MATCH(D3,Log!$G:$G,0))&amp;"",INDEX(Log!$I:$I,MATCH(D3,Log!$G:$G,0))&amp;""),IF(AND(LEN(D3)=4,LEFT(D3,1)="L",ISNUMBER(VALUE(MID(D3,2,3)))),"ID não encontrado no Log","")))</f>
        <v>Bens, doadores e fornecedores de campanha de Sicrano Candidato (2024 e 2026)</v>
      </c>
      <c r="J3" s="7" t="s">
        <v>167</v>
      </c>
    </row>
    <row r="4" customFormat="false" ht="23.85" hidden="false" customHeight="false" outlineLevel="0" collapsed="false">
      <c r="A4" s="16" t="n">
        <v>45672</v>
      </c>
      <c r="B4" s="7" t="s">
        <v>170</v>
      </c>
      <c r="C4" s="7" t="s">
        <v>171</v>
      </c>
      <c r="D4" s="7" t="s">
        <v>172</v>
      </c>
      <c r="E4" s="7"/>
      <c r="F4" s="7" t="s">
        <v>173</v>
      </c>
      <c r="G4" s="13" t="s">
        <v>174</v>
      </c>
      <c r="H4" s="13" t="s">
        <v>154</v>
      </c>
      <c r="I4" s="17" t="str">
        <f aca="false">IF(D4="","",IFERROR(IF(INDEX(Log!$I:$I,MATCH(D4,Log!$G:$G,0))&amp;""="",INDEX(Log!$A:$A,MATCH(D4,Log!$G:$G,0))&amp;"",INDEX(Log!$I:$I,MATCH(D4,Log!$G:$G,0))&amp;""),IF(AND(LEN(D4)=4,LEFT(D4,1)="L",ISNUMBER(VALUE(MID(D4,2,3)))),"ID não encontrado no Log","")))</f>
        <v>Ato de nomeação de Fulano de Tal (15/01/2025)</v>
      </c>
      <c r="J4" s="7" t="s">
        <v>167</v>
      </c>
    </row>
    <row r="5" customFormat="false" ht="23.85" hidden="false" customHeight="false" outlineLevel="0" collapsed="false">
      <c r="A5" s="16" t="n">
        <v>45719</v>
      </c>
      <c r="B5" s="7" t="s">
        <v>175</v>
      </c>
      <c r="C5" s="7" t="s">
        <v>176</v>
      </c>
      <c r="D5" s="7" t="s">
        <v>177</v>
      </c>
      <c r="E5" s="7"/>
      <c r="F5" s="7" t="s">
        <v>178</v>
      </c>
      <c r="G5" s="13" t="s">
        <v>179</v>
      </c>
      <c r="H5" s="13" t="s">
        <v>154</v>
      </c>
      <c r="I5" s="17" t="str">
        <f aca="false">IF(D5="","",IFERROR(IF(INDEX(Log!$I:$I,MATCH(D5,Log!$G:$G,0))&amp;""="",INDEX(Log!$A:$A,MATCH(D5,Log!$G:$G,0))&amp;"",INDEX(Log!$I:$I,MATCH(D5,Log!$G:$G,0))&amp;""),IF(AND(LEN(D5)=4,LEFT(D5,1)="L",ISNUMBER(VALUE(MID(D5,2,3)))),"ID não encontrado no Log","")))</f>
        <v>Extratos dos contratos 045/2025 (dispensa) e 008/2025 (pregão)</v>
      </c>
      <c r="J5" s="7" t="s">
        <v>167</v>
      </c>
    </row>
    <row r="6" customFormat="false" ht="35.05" hidden="false" customHeight="false" outlineLevel="0" collapsed="false">
      <c r="A6" s="16" t="n">
        <v>45726</v>
      </c>
      <c r="B6" s="7" t="s">
        <v>180</v>
      </c>
      <c r="C6" s="7" t="s">
        <v>181</v>
      </c>
      <c r="D6" s="7" t="s">
        <v>182</v>
      </c>
      <c r="E6" s="7"/>
      <c r="F6" s="7" t="s">
        <v>183</v>
      </c>
      <c r="G6" s="13" t="s">
        <v>184</v>
      </c>
      <c r="H6" s="13" t="s">
        <v>154</v>
      </c>
      <c r="I6" s="17" t="str">
        <f aca="false">IF(D6="","",IFERROR(IF(INDEX(Log!$I:$I,MATCH(D6,Log!$G:$G,0))&amp;""="",INDEX(Log!$A:$A,MATCH(D6,Log!$G:$G,0))&amp;"",INDEX(Log!$I:$I,MATCH(D6,Log!$G:$G,0))&amp;""),IF(AND(LEN(D6)=4,LEFT(D6,1)="L",ISNUMBER(VALUE(MID(D6,2,3)))),"ID não encontrado no Log","")))</f>
        <v>Cadastro CNPJ e quadro de sócios da Alimentos Modelo, da Construtora Exemplo e da Gráfica Exemplo</v>
      </c>
      <c r="J6" s="7" t="s">
        <v>167</v>
      </c>
    </row>
    <row r="7" customFormat="false" ht="23.85" hidden="false" customHeight="false" outlineLevel="0" collapsed="false">
      <c r="A7" s="16" t="n">
        <v>45839</v>
      </c>
      <c r="B7" s="7" t="s">
        <v>185</v>
      </c>
      <c r="C7" s="7" t="s">
        <v>186</v>
      </c>
      <c r="D7" s="7" t="s">
        <v>187</v>
      </c>
      <c r="E7" s="7"/>
      <c r="F7" s="7" t="s">
        <v>183</v>
      </c>
      <c r="G7" s="13" t="s">
        <v>179</v>
      </c>
      <c r="H7" s="13" t="s">
        <v>188</v>
      </c>
      <c r="I7" s="17" t="str">
        <f aca="false">IF(D7="","",IFERROR(IF(INDEX(Log!$I:$I,MATCH(D7,Log!$G:$G,0))&amp;""="",INDEX(Log!$A:$A,MATCH(D7,Log!$G:$G,0))&amp;"",INDEX(Log!$I:$I,MATCH(D7,Log!$G:$G,0))&amp;""),IF(AND(LEN(D7)=4,LEFT(D7,1)="L",ISNUMBER(VALUE(MID(D7,2,3)))),"ID não encontrado no Log","")))</f>
        <v>Conversa em off com F1 sobre a contratação da merenda</v>
      </c>
      <c r="J7" s="7" t="s">
        <v>189</v>
      </c>
    </row>
    <row r="8" customFormat="false" ht="23.85" hidden="false" customHeight="false" outlineLevel="0" collapsed="false">
      <c r="A8" s="16" t="n">
        <v>45889</v>
      </c>
      <c r="B8" s="7" t="s">
        <v>190</v>
      </c>
      <c r="C8" s="7" t="s">
        <v>191</v>
      </c>
      <c r="D8" s="7" t="s">
        <v>177</v>
      </c>
      <c r="E8" s="7"/>
      <c r="F8" s="7" t="s">
        <v>183</v>
      </c>
      <c r="G8" s="13" t="s">
        <v>179</v>
      </c>
      <c r="H8" s="13" t="s">
        <v>154</v>
      </c>
      <c r="I8" s="17" t="str">
        <f aca="false">IF(D8="","",IFERROR(IF(INDEX(Log!$I:$I,MATCH(D8,Log!$G:$G,0))&amp;""="",INDEX(Log!$A:$A,MATCH(D8,Log!$G:$G,0))&amp;"",INDEX(Log!$I:$I,MATCH(D8,Log!$G:$G,0))&amp;""),IF(AND(LEN(D8)=4,LEFT(D8,1)="L",ISNUMBER(VALUE(MID(D8,2,3)))),"ID não encontrado no Log","")))</f>
        <v>Extratos dos contratos 045/2025 (dispensa) e 008/2025 (pregão)</v>
      </c>
      <c r="J8" s="7" t="s">
        <v>167</v>
      </c>
    </row>
    <row r="9" customFormat="false" ht="23.85" hidden="false" customHeight="false" outlineLevel="0" collapsed="false">
      <c r="A9" s="16" t="n">
        <v>45930</v>
      </c>
      <c r="B9" s="7" t="s">
        <v>192</v>
      </c>
      <c r="C9" s="7" t="s">
        <v>193</v>
      </c>
      <c r="D9" s="7" t="s">
        <v>194</v>
      </c>
      <c r="E9" s="7"/>
      <c r="F9" s="7" t="s">
        <v>183</v>
      </c>
      <c r="G9" s="13" t="s">
        <v>195</v>
      </c>
      <c r="H9" s="13" t="s">
        <v>154</v>
      </c>
      <c r="I9" s="17" t="str">
        <f aca="false">IF(D9="","",IFERROR(IF(INDEX(Log!$I:$I,MATCH(D9,Log!$G:$G,0))&amp;""="",INDEX(Log!$A:$A,MATCH(D9,Log!$G:$G,0))&amp;"",INDEX(Log!$I:$I,MATCH(D9,Log!$G:$G,0))&amp;""),IF(AND(LEN(D9)=4,LEFT(D9,1)="L",ISNUMBER(VALUE(MID(D9,2,3)))),"ID não encontrado no Log","")))</f>
        <v>Empenhos e pagamentos a fornecedores, de 2023 a 2025</v>
      </c>
      <c r="J9" s="7" t="s">
        <v>167</v>
      </c>
    </row>
    <row r="10" customFormat="false" ht="15" hidden="false" customHeight="false" outlineLevel="0" collapsed="false">
      <c r="A10" s="16" t="n">
        <v>46154</v>
      </c>
      <c r="B10" s="7" t="s">
        <v>196</v>
      </c>
      <c r="C10" s="7" t="s">
        <v>197</v>
      </c>
      <c r="D10" s="7" t="s">
        <v>198</v>
      </c>
      <c r="E10" s="7"/>
      <c r="F10" s="7" t="s">
        <v>183</v>
      </c>
      <c r="G10" s="13" t="s">
        <v>199</v>
      </c>
      <c r="H10" s="13" t="s">
        <v>154</v>
      </c>
      <c r="I10" s="17" t="str">
        <f aca="false">IF(D10="","",IFERROR(IF(INDEX(Log!$I:$I,MATCH(D10,Log!$G:$G,0))&amp;""="",INDEX(Log!$A:$A,MATCH(D10,Log!$G:$G,0))&amp;"",INDEX(Log!$I:$I,MATCH(D10,Log!$G:$G,0))&amp;""),IF(AND(LEN(D10)=4,LEFT(D10,1)="L",ISNUMBER(VALUE(MID(D10,2,3)))),"ID não encontrado no Log","")))</f>
        <v>Decisão que recebeu a ação de improbidade</v>
      </c>
      <c r="J10" s="7" t="s">
        <v>167</v>
      </c>
    </row>
    <row r="11" customFormat="false" ht="23.85" hidden="false" customHeight="false" outlineLevel="0" collapsed="false">
      <c r="A11" s="16" t="n">
        <v>46289</v>
      </c>
      <c r="B11" s="7" t="s">
        <v>200</v>
      </c>
      <c r="C11" s="7" t="s">
        <v>201</v>
      </c>
      <c r="D11" s="7" t="s">
        <v>202</v>
      </c>
      <c r="E11" s="7"/>
      <c r="F11" s="7" t="s">
        <v>203</v>
      </c>
      <c r="G11" s="13" t="s">
        <v>204</v>
      </c>
      <c r="H11" s="13" t="s">
        <v>154</v>
      </c>
      <c r="I11" s="17" t="str">
        <f aca="false">IF(D11="","",IFERROR(IF(INDEX(Log!$I:$I,MATCH(D11,Log!$G:$G,0))&amp;""="",INDEX(Log!$A:$A,MATCH(D11,Log!$G:$G,0))&amp;"",INDEX(Log!$I:$I,MATCH(D11,Log!$G:$G,0))&amp;""),IF(AND(LEN(D11)=4,LEFT(D11,1)="L",ISNUMBER(VALUE(MID(D11,2,3)))),"ID não encontrado no Log","")))</f>
        <v>Perguntas enviadas com prazo até 29/09/2026, às 18h</v>
      </c>
      <c r="J11" s="7" t="s">
        <v>167</v>
      </c>
    </row>
    <row r="12" customFormat="false" ht="15" hidden="false" customHeight="false" outlineLevel="0" collapsed="false">
      <c r="A12" s="18"/>
      <c r="B12" s="5"/>
      <c r="C12" s="5"/>
      <c r="D12" s="5"/>
      <c r="E12" s="5"/>
      <c r="F12" s="5"/>
      <c r="G12" s="14"/>
      <c r="H12" s="14"/>
      <c r="I12" s="19" t="str">
        <f aca="false">IF(D12="","",IFERROR(IF(INDEX(Log!$I:$I,MATCH(D12,Log!$G:$G,0))&amp;""="",INDEX(Log!$A:$A,MATCH(D12,Log!$G:$G,0))&amp;"",INDEX(Log!$I:$I,MATCH(D12,Log!$G:$G,0))&amp;""),IF(AND(LEN(D12)=4,LEFT(D12,1)="L",ISNUMBER(VALUE(MID(D12,2,3)))),"ID não encontrado no Log","")))</f>
        <v/>
      </c>
      <c r="J12" s="5"/>
    </row>
    <row r="13" customFormat="false" ht="15" hidden="false" customHeight="false" outlineLevel="0" collapsed="false">
      <c r="A13" s="18"/>
      <c r="B13" s="5"/>
      <c r="C13" s="5"/>
      <c r="D13" s="5"/>
      <c r="E13" s="5"/>
      <c r="F13" s="5"/>
      <c r="G13" s="14"/>
      <c r="H13" s="14"/>
      <c r="I13" s="19" t="str">
        <f aca="false">IF(D13="","",IFERROR(IF(INDEX(Log!$I:$I,MATCH(D13,Log!$G:$G,0))&amp;""="",INDEX(Log!$A:$A,MATCH(D13,Log!$G:$G,0))&amp;"",INDEX(Log!$I:$I,MATCH(D13,Log!$G:$G,0))&amp;""),IF(AND(LEN(D13)=4,LEFT(D13,1)="L",ISNUMBER(VALUE(MID(D13,2,3)))),"ID não encontrado no Log","")))</f>
        <v/>
      </c>
      <c r="J13" s="5"/>
    </row>
    <row r="14" customFormat="false" ht="15" hidden="false" customHeight="false" outlineLevel="0" collapsed="false">
      <c r="A14" s="18"/>
      <c r="B14" s="5"/>
      <c r="C14" s="5"/>
      <c r="D14" s="5"/>
      <c r="E14" s="5"/>
      <c r="F14" s="5"/>
      <c r="G14" s="14"/>
      <c r="H14" s="14"/>
      <c r="I14" s="19" t="str">
        <f aca="false">IF(D14="","",IFERROR(IF(INDEX(Log!$I:$I,MATCH(D14,Log!$G:$G,0))&amp;""="",INDEX(Log!$A:$A,MATCH(D14,Log!$G:$G,0))&amp;"",INDEX(Log!$I:$I,MATCH(D14,Log!$G:$G,0))&amp;""),IF(AND(LEN(D14)=4,LEFT(D14,1)="L",ISNUMBER(VALUE(MID(D14,2,3)))),"ID não encontrado no Log","")))</f>
        <v/>
      </c>
      <c r="J14" s="5"/>
    </row>
    <row r="15" customFormat="false" ht="15" hidden="false" customHeight="false" outlineLevel="0" collapsed="false">
      <c r="A15" s="18"/>
      <c r="B15" s="5"/>
      <c r="C15" s="5"/>
      <c r="D15" s="5"/>
      <c r="E15" s="5"/>
      <c r="F15" s="5"/>
      <c r="G15" s="14"/>
      <c r="H15" s="14"/>
      <c r="I15" s="19" t="str">
        <f aca="false">IF(D15="","",IFERROR(IF(INDEX(Log!$I:$I,MATCH(D15,Log!$G:$G,0))&amp;""="",INDEX(Log!$A:$A,MATCH(D15,Log!$G:$G,0))&amp;"",INDEX(Log!$I:$I,MATCH(D15,Log!$G:$G,0))&amp;""),IF(AND(LEN(D15)=4,LEFT(D15,1)="L",ISNUMBER(VALUE(MID(D15,2,3)))),"ID não encontrado no Log","")))</f>
        <v/>
      </c>
      <c r="J15" s="5"/>
    </row>
    <row r="16" customFormat="false" ht="15" hidden="false" customHeight="false" outlineLevel="0" collapsed="false">
      <c r="A16" s="18"/>
      <c r="B16" s="5"/>
      <c r="C16" s="5"/>
      <c r="D16" s="5"/>
      <c r="E16" s="5"/>
      <c r="F16" s="5"/>
      <c r="G16" s="14"/>
      <c r="H16" s="14"/>
      <c r="I16" s="19" t="str">
        <f aca="false">IF(D16="","",IFERROR(IF(INDEX(Log!$I:$I,MATCH(D16,Log!$G:$G,0))&amp;""="",INDEX(Log!$A:$A,MATCH(D16,Log!$G:$G,0))&amp;"",INDEX(Log!$I:$I,MATCH(D16,Log!$G:$G,0))&amp;""),IF(AND(LEN(D16)=4,LEFT(D16,1)="L",ISNUMBER(VALUE(MID(D16,2,3)))),"ID não encontrado no Log","")))</f>
        <v/>
      </c>
      <c r="J16" s="5"/>
    </row>
    <row r="17" customFormat="false" ht="15" hidden="false" customHeight="false" outlineLevel="0" collapsed="false">
      <c r="A17" s="18"/>
      <c r="B17" s="5"/>
      <c r="C17" s="5"/>
      <c r="D17" s="5"/>
      <c r="E17" s="5"/>
      <c r="F17" s="5"/>
      <c r="G17" s="14"/>
      <c r="H17" s="14"/>
      <c r="I17" s="19" t="str">
        <f aca="false">IF(D17="","",IFERROR(IF(INDEX(Log!$I:$I,MATCH(D17,Log!$G:$G,0))&amp;""="",INDEX(Log!$A:$A,MATCH(D17,Log!$G:$G,0))&amp;"",INDEX(Log!$I:$I,MATCH(D17,Log!$G:$G,0))&amp;""),IF(AND(LEN(D17)=4,LEFT(D17,1)="L",ISNUMBER(VALUE(MID(D17,2,3)))),"ID não encontrado no Log","")))</f>
        <v/>
      </c>
      <c r="J17" s="5"/>
    </row>
    <row r="18" customFormat="false" ht="15" hidden="false" customHeight="false" outlineLevel="0" collapsed="false">
      <c r="A18" s="18"/>
      <c r="B18" s="5"/>
      <c r="C18" s="5"/>
      <c r="D18" s="5"/>
      <c r="E18" s="5"/>
      <c r="F18" s="5"/>
      <c r="G18" s="14"/>
      <c r="H18" s="14"/>
      <c r="I18" s="19" t="str">
        <f aca="false">IF(D18="","",IFERROR(IF(INDEX(Log!$I:$I,MATCH(D18,Log!$G:$G,0))&amp;""="",INDEX(Log!$A:$A,MATCH(D18,Log!$G:$G,0))&amp;"",INDEX(Log!$I:$I,MATCH(D18,Log!$G:$G,0))&amp;""),IF(AND(LEN(D18)=4,LEFT(D18,1)="L",ISNUMBER(VALUE(MID(D18,2,3)))),"ID não encontrado no Log","")))</f>
        <v/>
      </c>
      <c r="J18" s="5"/>
    </row>
    <row r="19" customFormat="false" ht="15" hidden="false" customHeight="false" outlineLevel="0" collapsed="false">
      <c r="A19" s="18"/>
      <c r="B19" s="5"/>
      <c r="C19" s="5"/>
      <c r="D19" s="5"/>
      <c r="E19" s="5"/>
      <c r="F19" s="5"/>
      <c r="G19" s="14"/>
      <c r="H19" s="14"/>
      <c r="I19" s="19" t="str">
        <f aca="false">IF(D19="","",IFERROR(IF(INDEX(Log!$I:$I,MATCH(D19,Log!$G:$G,0))&amp;""="",INDEX(Log!$A:$A,MATCH(D19,Log!$G:$G,0))&amp;"",INDEX(Log!$I:$I,MATCH(D19,Log!$G:$G,0))&amp;""),IF(AND(LEN(D19)=4,LEFT(D19,1)="L",ISNUMBER(VALUE(MID(D19,2,3)))),"ID não encontrado no Log","")))</f>
        <v/>
      </c>
      <c r="J19" s="5"/>
    </row>
    <row r="20" customFormat="false" ht="15" hidden="false" customHeight="false" outlineLevel="0" collapsed="false">
      <c r="A20" s="18"/>
      <c r="B20" s="5"/>
      <c r="C20" s="5"/>
      <c r="D20" s="5"/>
      <c r="E20" s="5"/>
      <c r="F20" s="5"/>
      <c r="G20" s="14"/>
      <c r="H20" s="14"/>
      <c r="I20" s="19" t="str">
        <f aca="false">IF(D20="","",IFERROR(IF(INDEX(Log!$I:$I,MATCH(D20,Log!$G:$G,0))&amp;""="",INDEX(Log!$A:$A,MATCH(D20,Log!$G:$G,0))&amp;"",INDEX(Log!$I:$I,MATCH(D20,Log!$G:$G,0))&amp;""),IF(AND(LEN(D20)=4,LEFT(D20,1)="L",ISNUMBER(VALUE(MID(D20,2,3)))),"ID não encontrado no Log","")))</f>
        <v/>
      </c>
      <c r="J20" s="5"/>
    </row>
    <row r="21" customFormat="false" ht="15" hidden="false" customHeight="false" outlineLevel="0" collapsed="false">
      <c r="A21" s="18"/>
      <c r="B21" s="5"/>
      <c r="C21" s="5"/>
      <c r="D21" s="5"/>
      <c r="E21" s="5"/>
      <c r="F21" s="5"/>
      <c r="G21" s="14"/>
      <c r="H21" s="14"/>
      <c r="I21" s="19" t="str">
        <f aca="false">IF(D21="","",IFERROR(IF(INDEX(Log!$I:$I,MATCH(D21,Log!$G:$G,0))&amp;""="",INDEX(Log!$A:$A,MATCH(D21,Log!$G:$G,0))&amp;"",INDEX(Log!$I:$I,MATCH(D21,Log!$G:$G,0))&amp;""),IF(AND(LEN(D21)=4,LEFT(D21,1)="L",ISNUMBER(VALUE(MID(D21,2,3)))),"ID não encontrado no Log","")))</f>
        <v/>
      </c>
      <c r="J21" s="5"/>
    </row>
    <row r="22" customFormat="false" ht="15" hidden="false" customHeight="false" outlineLevel="0" collapsed="false">
      <c r="A22" s="18"/>
      <c r="B22" s="5"/>
      <c r="C22" s="5"/>
      <c r="D22" s="5"/>
      <c r="E22" s="5"/>
      <c r="F22" s="5"/>
      <c r="G22" s="14"/>
      <c r="H22" s="14"/>
      <c r="I22" s="19" t="str">
        <f aca="false">IF(D22="","",IFERROR(IF(INDEX(Log!$I:$I,MATCH(D22,Log!$G:$G,0))&amp;""="",INDEX(Log!$A:$A,MATCH(D22,Log!$G:$G,0))&amp;"",INDEX(Log!$I:$I,MATCH(D22,Log!$G:$G,0))&amp;""),IF(AND(LEN(D22)=4,LEFT(D22,1)="L",ISNUMBER(VALUE(MID(D22,2,3)))),"ID não encontrado no Log","")))</f>
        <v/>
      </c>
      <c r="J22" s="5"/>
    </row>
    <row r="23" customFormat="false" ht="15" hidden="false" customHeight="false" outlineLevel="0" collapsed="false">
      <c r="A23" s="18"/>
      <c r="B23" s="5"/>
      <c r="C23" s="5"/>
      <c r="D23" s="5"/>
      <c r="E23" s="5"/>
      <c r="F23" s="5"/>
      <c r="G23" s="14"/>
      <c r="H23" s="14"/>
      <c r="I23" s="19" t="str">
        <f aca="false">IF(D23="","",IFERROR(IF(INDEX(Log!$I:$I,MATCH(D23,Log!$G:$G,0))&amp;""="",INDEX(Log!$A:$A,MATCH(D23,Log!$G:$G,0))&amp;"",INDEX(Log!$I:$I,MATCH(D23,Log!$G:$G,0))&amp;""),IF(AND(LEN(D23)=4,LEFT(D23,1)="L",ISNUMBER(VALUE(MID(D23,2,3)))),"ID não encontrado no Log","")))</f>
        <v/>
      </c>
      <c r="J23" s="5"/>
    </row>
    <row r="24" customFormat="false" ht="15" hidden="false" customHeight="false" outlineLevel="0" collapsed="false">
      <c r="A24" s="18"/>
      <c r="B24" s="5"/>
      <c r="C24" s="5"/>
      <c r="D24" s="5"/>
      <c r="E24" s="5"/>
      <c r="F24" s="5"/>
      <c r="G24" s="14"/>
      <c r="H24" s="14"/>
      <c r="I24" s="19" t="str">
        <f aca="false">IF(D24="","",IFERROR(IF(INDEX(Log!$I:$I,MATCH(D24,Log!$G:$G,0))&amp;""="",INDEX(Log!$A:$A,MATCH(D24,Log!$G:$G,0))&amp;"",INDEX(Log!$I:$I,MATCH(D24,Log!$G:$G,0))&amp;""),IF(AND(LEN(D24)=4,LEFT(D24,1)="L",ISNUMBER(VALUE(MID(D24,2,3)))),"ID não encontrado no Log","")))</f>
        <v/>
      </c>
      <c r="J24" s="5"/>
    </row>
    <row r="25" customFormat="false" ht="15" hidden="false" customHeight="false" outlineLevel="0" collapsed="false">
      <c r="A25" s="18"/>
      <c r="B25" s="5"/>
      <c r="C25" s="5"/>
      <c r="D25" s="5"/>
      <c r="E25" s="5"/>
      <c r="F25" s="5"/>
      <c r="G25" s="14"/>
      <c r="H25" s="14"/>
      <c r="I25" s="19" t="str">
        <f aca="false">IF(D25="","",IFERROR(IF(INDEX(Log!$I:$I,MATCH(D25,Log!$G:$G,0))&amp;""="",INDEX(Log!$A:$A,MATCH(D25,Log!$G:$G,0))&amp;"",INDEX(Log!$I:$I,MATCH(D25,Log!$G:$G,0))&amp;""),IF(AND(LEN(D25)=4,LEFT(D25,1)="L",ISNUMBER(VALUE(MID(D25,2,3)))),"ID não encontrado no Log","")))</f>
        <v/>
      </c>
      <c r="J25" s="5"/>
    </row>
    <row r="26" customFormat="false" ht="15" hidden="false" customHeight="false" outlineLevel="0" collapsed="false">
      <c r="A26" s="18"/>
      <c r="B26" s="5"/>
      <c r="C26" s="5"/>
      <c r="D26" s="5"/>
      <c r="E26" s="5"/>
      <c r="F26" s="5"/>
      <c r="G26" s="14"/>
      <c r="H26" s="14"/>
      <c r="I26" s="19" t="str">
        <f aca="false">IF(D26="","",IFERROR(IF(INDEX(Log!$I:$I,MATCH(D26,Log!$G:$G,0))&amp;""="",INDEX(Log!$A:$A,MATCH(D26,Log!$G:$G,0))&amp;"",INDEX(Log!$I:$I,MATCH(D26,Log!$G:$G,0))&amp;""),IF(AND(LEN(D26)=4,LEFT(D26,1)="L",ISNUMBER(VALUE(MID(D26,2,3)))),"ID não encontrado no Log","")))</f>
        <v/>
      </c>
      <c r="J26" s="5"/>
    </row>
    <row r="27" customFormat="false" ht="15" hidden="false" customHeight="false" outlineLevel="0" collapsed="false">
      <c r="A27" s="18"/>
      <c r="B27" s="5"/>
      <c r="C27" s="5"/>
      <c r="D27" s="5"/>
      <c r="E27" s="5"/>
      <c r="F27" s="5"/>
      <c r="G27" s="14"/>
      <c r="H27" s="14"/>
      <c r="I27" s="19" t="str">
        <f aca="false">IF(D27="","",IFERROR(IF(INDEX(Log!$I:$I,MATCH(D27,Log!$G:$G,0))&amp;""="",INDEX(Log!$A:$A,MATCH(D27,Log!$G:$G,0))&amp;"",INDEX(Log!$I:$I,MATCH(D27,Log!$G:$G,0))&amp;""),IF(AND(LEN(D27)=4,LEFT(D27,1)="L",ISNUMBER(VALUE(MID(D27,2,3)))),"ID não encontrado no Log","")))</f>
        <v/>
      </c>
      <c r="J27" s="5"/>
    </row>
    <row r="28" customFormat="false" ht="15" hidden="false" customHeight="false" outlineLevel="0" collapsed="false">
      <c r="A28" s="18"/>
      <c r="B28" s="5"/>
      <c r="C28" s="5"/>
      <c r="D28" s="5"/>
      <c r="E28" s="5"/>
      <c r="F28" s="5"/>
      <c r="G28" s="14"/>
      <c r="H28" s="14"/>
      <c r="I28" s="19" t="str">
        <f aca="false">IF(D28="","",IFERROR(IF(INDEX(Log!$I:$I,MATCH(D28,Log!$G:$G,0))&amp;""="",INDEX(Log!$A:$A,MATCH(D28,Log!$G:$G,0))&amp;"",INDEX(Log!$I:$I,MATCH(D28,Log!$G:$G,0))&amp;""),IF(AND(LEN(D28)=4,LEFT(D28,1)="L",ISNUMBER(VALUE(MID(D28,2,3)))),"ID não encontrado no Log","")))</f>
        <v/>
      </c>
      <c r="J28" s="5"/>
    </row>
    <row r="29" customFormat="false" ht="15" hidden="false" customHeight="false" outlineLevel="0" collapsed="false">
      <c r="A29" s="18"/>
      <c r="B29" s="5"/>
      <c r="C29" s="5"/>
      <c r="D29" s="5"/>
      <c r="E29" s="5"/>
      <c r="F29" s="5"/>
      <c r="G29" s="14"/>
      <c r="H29" s="14"/>
      <c r="I29" s="19" t="str">
        <f aca="false">IF(D29="","",IFERROR(IF(INDEX(Log!$I:$I,MATCH(D29,Log!$G:$G,0))&amp;""="",INDEX(Log!$A:$A,MATCH(D29,Log!$G:$G,0))&amp;"",INDEX(Log!$I:$I,MATCH(D29,Log!$G:$G,0))&amp;""),IF(AND(LEN(D29)=4,LEFT(D29,1)="L",ISNUMBER(VALUE(MID(D29,2,3)))),"ID não encontrado no Log","")))</f>
        <v/>
      </c>
      <c r="J29" s="5"/>
    </row>
    <row r="30" customFormat="false" ht="15" hidden="false" customHeight="false" outlineLevel="0" collapsed="false">
      <c r="A30" s="18"/>
      <c r="B30" s="5"/>
      <c r="C30" s="5"/>
      <c r="D30" s="5"/>
      <c r="E30" s="5"/>
      <c r="F30" s="5"/>
      <c r="G30" s="14"/>
      <c r="H30" s="14"/>
      <c r="I30" s="19" t="str">
        <f aca="false">IF(D30="","",IFERROR(IF(INDEX(Log!$I:$I,MATCH(D30,Log!$G:$G,0))&amp;""="",INDEX(Log!$A:$A,MATCH(D30,Log!$G:$G,0))&amp;"",INDEX(Log!$I:$I,MATCH(D30,Log!$G:$G,0))&amp;""),IF(AND(LEN(D30)=4,LEFT(D30,1)="L",ISNUMBER(VALUE(MID(D30,2,3)))),"ID não encontrado no Log","")))</f>
        <v/>
      </c>
      <c r="J30" s="5"/>
    </row>
    <row r="31" customFormat="false" ht="15" hidden="false" customHeight="false" outlineLevel="0" collapsed="false">
      <c r="A31" s="18"/>
      <c r="B31" s="5"/>
      <c r="C31" s="5"/>
      <c r="D31" s="5"/>
      <c r="E31" s="5"/>
      <c r="F31" s="5"/>
      <c r="G31" s="14"/>
      <c r="H31" s="14"/>
      <c r="I31" s="19" t="str">
        <f aca="false">IF(D31="","",IFERROR(IF(INDEX(Log!$I:$I,MATCH(D31,Log!$G:$G,0))&amp;""="",INDEX(Log!$A:$A,MATCH(D31,Log!$G:$G,0))&amp;"",INDEX(Log!$I:$I,MATCH(D31,Log!$G:$G,0))&amp;""),IF(AND(LEN(D31)=4,LEFT(D31,1)="L",ISNUMBER(VALUE(MID(D31,2,3)))),"ID não encontrado no Log","")))</f>
        <v/>
      </c>
      <c r="J31" s="5"/>
    </row>
    <row r="32" customFormat="false" ht="15" hidden="false" customHeight="false" outlineLevel="0" collapsed="false">
      <c r="A32" s="18"/>
      <c r="B32" s="5"/>
      <c r="C32" s="5"/>
      <c r="D32" s="5"/>
      <c r="E32" s="5"/>
      <c r="F32" s="5"/>
      <c r="G32" s="14"/>
      <c r="H32" s="14"/>
      <c r="I32" s="19" t="str">
        <f aca="false">IF(D32="","",IFERROR(IF(INDEX(Log!$I:$I,MATCH(D32,Log!$G:$G,0))&amp;""="",INDEX(Log!$A:$A,MATCH(D32,Log!$G:$G,0))&amp;"",INDEX(Log!$I:$I,MATCH(D32,Log!$G:$G,0))&amp;""),IF(AND(LEN(D32)=4,LEFT(D32,1)="L",ISNUMBER(VALUE(MID(D32,2,3)))),"ID não encontrado no Log","")))</f>
        <v/>
      </c>
      <c r="J32" s="5"/>
    </row>
    <row r="33" customFormat="false" ht="15" hidden="false" customHeight="false" outlineLevel="0" collapsed="false">
      <c r="A33" s="18"/>
      <c r="B33" s="5"/>
      <c r="C33" s="5"/>
      <c r="D33" s="5"/>
      <c r="E33" s="5"/>
      <c r="F33" s="5"/>
      <c r="G33" s="14"/>
      <c r="H33" s="14"/>
      <c r="I33" s="19" t="str">
        <f aca="false">IF(D33="","",IFERROR(IF(INDEX(Log!$I:$I,MATCH(D33,Log!$G:$G,0))&amp;""="",INDEX(Log!$A:$A,MATCH(D33,Log!$G:$G,0))&amp;"",INDEX(Log!$I:$I,MATCH(D33,Log!$G:$G,0))&amp;""),IF(AND(LEN(D33)=4,LEFT(D33,1)="L",ISNUMBER(VALUE(MID(D33,2,3)))),"ID não encontrado no Log","")))</f>
        <v/>
      </c>
      <c r="J33" s="5"/>
    </row>
    <row r="34" customFormat="false" ht="15" hidden="false" customHeight="false" outlineLevel="0" collapsed="false">
      <c r="A34" s="18"/>
      <c r="B34" s="5"/>
      <c r="C34" s="5"/>
      <c r="D34" s="5"/>
      <c r="E34" s="5"/>
      <c r="F34" s="5"/>
      <c r="G34" s="14"/>
      <c r="H34" s="14"/>
      <c r="I34" s="19" t="str">
        <f aca="false">IF(D34="","",IFERROR(IF(INDEX(Log!$I:$I,MATCH(D34,Log!$G:$G,0))&amp;""="",INDEX(Log!$A:$A,MATCH(D34,Log!$G:$G,0))&amp;"",INDEX(Log!$I:$I,MATCH(D34,Log!$G:$G,0))&amp;""),IF(AND(LEN(D34)=4,LEFT(D34,1)="L",ISNUMBER(VALUE(MID(D34,2,3)))),"ID não encontrado no Log","")))</f>
        <v/>
      </c>
      <c r="J34" s="5"/>
    </row>
    <row r="35" customFormat="false" ht="15" hidden="false" customHeight="false" outlineLevel="0" collapsed="false">
      <c r="A35" s="18"/>
      <c r="B35" s="5"/>
      <c r="C35" s="5"/>
      <c r="D35" s="5"/>
      <c r="E35" s="5"/>
      <c r="F35" s="5"/>
      <c r="G35" s="14"/>
      <c r="H35" s="14"/>
      <c r="I35" s="19" t="str">
        <f aca="false">IF(D35="","",IFERROR(IF(INDEX(Log!$I:$I,MATCH(D35,Log!$G:$G,0))&amp;""="",INDEX(Log!$A:$A,MATCH(D35,Log!$G:$G,0))&amp;"",INDEX(Log!$I:$I,MATCH(D35,Log!$G:$G,0))&amp;""),IF(AND(LEN(D35)=4,LEFT(D35,1)="L",ISNUMBER(VALUE(MID(D35,2,3)))),"ID não encontrado no Log","")))</f>
        <v/>
      </c>
      <c r="J35" s="5"/>
    </row>
    <row r="36" customFormat="false" ht="15" hidden="false" customHeight="false" outlineLevel="0" collapsed="false">
      <c r="A36" s="18"/>
      <c r="B36" s="5"/>
      <c r="C36" s="5"/>
      <c r="D36" s="5"/>
      <c r="E36" s="5"/>
      <c r="F36" s="5"/>
      <c r="G36" s="14"/>
      <c r="H36" s="14"/>
      <c r="I36" s="19" t="str">
        <f aca="false">IF(D36="","",IFERROR(IF(INDEX(Log!$I:$I,MATCH(D36,Log!$G:$G,0))&amp;""="",INDEX(Log!$A:$A,MATCH(D36,Log!$G:$G,0))&amp;"",INDEX(Log!$I:$I,MATCH(D36,Log!$G:$G,0))&amp;""),IF(AND(LEN(D36)=4,LEFT(D36,1)="L",ISNUMBER(VALUE(MID(D36,2,3)))),"ID não encontrado no Log","")))</f>
        <v/>
      </c>
      <c r="J36" s="5"/>
    </row>
    <row r="37" customFormat="false" ht="15" hidden="false" customHeight="false" outlineLevel="0" collapsed="false">
      <c r="A37" s="18"/>
      <c r="B37" s="5"/>
      <c r="C37" s="5"/>
      <c r="D37" s="5"/>
      <c r="E37" s="5"/>
      <c r="F37" s="5"/>
      <c r="G37" s="14"/>
      <c r="H37" s="14"/>
      <c r="I37" s="19" t="str">
        <f aca="false">IF(D37="","",IFERROR(IF(INDEX(Log!$I:$I,MATCH(D37,Log!$G:$G,0))&amp;""="",INDEX(Log!$A:$A,MATCH(D37,Log!$G:$G,0))&amp;"",INDEX(Log!$I:$I,MATCH(D37,Log!$G:$G,0))&amp;""),IF(AND(LEN(D37)=4,LEFT(D37,1)="L",ISNUMBER(VALUE(MID(D37,2,3)))),"ID não encontrado no Log","")))</f>
        <v/>
      </c>
      <c r="J37" s="5"/>
    </row>
    <row r="38" customFormat="false" ht="15" hidden="false" customHeight="false" outlineLevel="0" collapsed="false">
      <c r="A38" s="18"/>
      <c r="B38" s="5"/>
      <c r="C38" s="5"/>
      <c r="D38" s="5"/>
      <c r="E38" s="5"/>
      <c r="F38" s="5"/>
      <c r="G38" s="14"/>
      <c r="H38" s="14"/>
      <c r="I38" s="19" t="str">
        <f aca="false">IF(D38="","",IFERROR(IF(INDEX(Log!$I:$I,MATCH(D38,Log!$G:$G,0))&amp;""="",INDEX(Log!$A:$A,MATCH(D38,Log!$G:$G,0))&amp;"",INDEX(Log!$I:$I,MATCH(D38,Log!$G:$G,0))&amp;""),IF(AND(LEN(D38)=4,LEFT(D38,1)="L",ISNUMBER(VALUE(MID(D38,2,3)))),"ID não encontrado no Log","")))</f>
        <v/>
      </c>
      <c r="J38" s="5"/>
    </row>
    <row r="39" customFormat="false" ht="15" hidden="false" customHeight="false" outlineLevel="0" collapsed="false">
      <c r="A39" s="18"/>
      <c r="B39" s="5"/>
      <c r="C39" s="5"/>
      <c r="D39" s="5"/>
      <c r="E39" s="5"/>
      <c r="F39" s="5"/>
      <c r="G39" s="14"/>
      <c r="H39" s="14"/>
      <c r="I39" s="19" t="str">
        <f aca="false">IF(D39="","",IFERROR(IF(INDEX(Log!$I:$I,MATCH(D39,Log!$G:$G,0))&amp;""="",INDEX(Log!$A:$A,MATCH(D39,Log!$G:$G,0))&amp;"",INDEX(Log!$I:$I,MATCH(D39,Log!$G:$G,0))&amp;""),IF(AND(LEN(D39)=4,LEFT(D39,1)="L",ISNUMBER(VALUE(MID(D39,2,3)))),"ID não encontrado no Log","")))</f>
        <v/>
      </c>
      <c r="J39" s="5"/>
    </row>
    <row r="40" customFormat="false" ht="15" hidden="false" customHeight="false" outlineLevel="0" collapsed="false">
      <c r="A40" s="18"/>
      <c r="B40" s="5"/>
      <c r="C40" s="5"/>
      <c r="D40" s="5"/>
      <c r="E40" s="5"/>
      <c r="F40" s="5"/>
      <c r="G40" s="14"/>
      <c r="H40" s="14"/>
      <c r="I40" s="19" t="str">
        <f aca="false">IF(D40="","",IFERROR(IF(INDEX(Log!$I:$I,MATCH(D40,Log!$G:$G,0))&amp;""="",INDEX(Log!$A:$A,MATCH(D40,Log!$G:$G,0))&amp;"",INDEX(Log!$I:$I,MATCH(D40,Log!$G:$G,0))&amp;""),IF(AND(LEN(D40)=4,LEFT(D40,1)="L",ISNUMBER(VALUE(MID(D40,2,3)))),"ID não encontrado no Log","")))</f>
        <v/>
      </c>
      <c r="J40" s="5"/>
    </row>
    <row r="41" customFormat="false" ht="15" hidden="false" customHeight="false" outlineLevel="0" collapsed="false">
      <c r="A41" s="18"/>
      <c r="B41" s="5"/>
      <c r="C41" s="5"/>
      <c r="D41" s="5"/>
      <c r="E41" s="5"/>
      <c r="F41" s="5"/>
      <c r="G41" s="14"/>
      <c r="H41" s="14"/>
      <c r="I41" s="19" t="str">
        <f aca="false">IF(D41="","",IFERROR(IF(INDEX(Log!$I:$I,MATCH(D41,Log!$G:$G,0))&amp;""="",INDEX(Log!$A:$A,MATCH(D41,Log!$G:$G,0))&amp;"",INDEX(Log!$I:$I,MATCH(D41,Log!$G:$G,0))&amp;""),IF(AND(LEN(D41)=4,LEFT(D41,1)="L",ISNUMBER(VALUE(MID(D41,2,3)))),"ID não encontrado no Log","")))</f>
        <v/>
      </c>
      <c r="J41" s="5"/>
    </row>
    <row r="42" customFormat="false" ht="15" hidden="false" customHeight="false" outlineLevel="0" collapsed="false">
      <c r="A42" s="18"/>
      <c r="B42" s="5"/>
      <c r="C42" s="5"/>
      <c r="D42" s="5"/>
      <c r="E42" s="5"/>
      <c r="F42" s="5"/>
      <c r="G42" s="14"/>
      <c r="H42" s="14"/>
      <c r="I42" s="19" t="str">
        <f aca="false">IF(D42="","",IFERROR(IF(INDEX(Log!$I:$I,MATCH(D42,Log!$G:$G,0))&amp;""="",INDEX(Log!$A:$A,MATCH(D42,Log!$G:$G,0))&amp;"",INDEX(Log!$I:$I,MATCH(D42,Log!$G:$G,0))&amp;""),IF(AND(LEN(D42)=4,LEFT(D42,1)="L",ISNUMBER(VALUE(MID(D42,2,3)))),"ID não encontrado no Log","")))</f>
        <v/>
      </c>
      <c r="J42" s="5"/>
    </row>
    <row r="43" customFormat="false" ht="15" hidden="false" customHeight="false" outlineLevel="0" collapsed="false">
      <c r="A43" s="18"/>
      <c r="B43" s="5"/>
      <c r="C43" s="5"/>
      <c r="D43" s="5"/>
      <c r="E43" s="5"/>
      <c r="F43" s="5"/>
      <c r="G43" s="14"/>
      <c r="H43" s="14"/>
      <c r="I43" s="19" t="str">
        <f aca="false">IF(D43="","",IFERROR(IF(INDEX(Log!$I:$I,MATCH(D43,Log!$G:$G,0))&amp;""="",INDEX(Log!$A:$A,MATCH(D43,Log!$G:$G,0))&amp;"",INDEX(Log!$I:$I,MATCH(D43,Log!$G:$G,0))&amp;""),IF(AND(LEN(D43)=4,LEFT(D43,1)="L",ISNUMBER(VALUE(MID(D43,2,3)))),"ID não encontrado no Log","")))</f>
        <v/>
      </c>
      <c r="J43" s="5"/>
    </row>
    <row r="44" customFormat="false" ht="15" hidden="false" customHeight="false" outlineLevel="0" collapsed="false">
      <c r="A44" s="18"/>
      <c r="B44" s="5"/>
      <c r="C44" s="5"/>
      <c r="D44" s="5"/>
      <c r="E44" s="5"/>
      <c r="F44" s="5"/>
      <c r="G44" s="14"/>
      <c r="H44" s="14"/>
      <c r="I44" s="19" t="str">
        <f aca="false">IF(D44="","",IFERROR(IF(INDEX(Log!$I:$I,MATCH(D44,Log!$G:$G,0))&amp;""="",INDEX(Log!$A:$A,MATCH(D44,Log!$G:$G,0))&amp;"",INDEX(Log!$I:$I,MATCH(D44,Log!$G:$G,0))&amp;""),IF(AND(LEN(D44)=4,LEFT(D44,1)="L",ISNUMBER(VALUE(MID(D44,2,3)))),"ID não encontrado no Log","")))</f>
        <v/>
      </c>
      <c r="J44" s="5"/>
    </row>
    <row r="45" customFormat="false" ht="15" hidden="false" customHeight="false" outlineLevel="0" collapsed="false">
      <c r="A45" s="18"/>
      <c r="B45" s="5"/>
      <c r="C45" s="5"/>
      <c r="D45" s="5"/>
      <c r="E45" s="5"/>
      <c r="F45" s="5"/>
      <c r="G45" s="14"/>
      <c r="H45" s="14"/>
      <c r="I45" s="19" t="str">
        <f aca="false">IF(D45="","",IFERROR(IF(INDEX(Log!$I:$I,MATCH(D45,Log!$G:$G,0))&amp;""="",INDEX(Log!$A:$A,MATCH(D45,Log!$G:$G,0))&amp;"",INDEX(Log!$I:$I,MATCH(D45,Log!$G:$G,0))&amp;""),IF(AND(LEN(D45)=4,LEFT(D45,1)="L",ISNUMBER(VALUE(MID(D45,2,3)))),"ID não encontrado no Log","")))</f>
        <v/>
      </c>
      <c r="J45" s="5"/>
    </row>
    <row r="46" customFormat="false" ht="15" hidden="false" customHeight="false" outlineLevel="0" collapsed="false">
      <c r="A46" s="18"/>
      <c r="B46" s="5"/>
      <c r="C46" s="5"/>
      <c r="D46" s="5"/>
      <c r="E46" s="5"/>
      <c r="F46" s="5"/>
      <c r="G46" s="14"/>
      <c r="H46" s="14"/>
      <c r="I46" s="19" t="str">
        <f aca="false">IF(D46="","",IFERROR(IF(INDEX(Log!$I:$I,MATCH(D46,Log!$G:$G,0))&amp;""="",INDEX(Log!$A:$A,MATCH(D46,Log!$G:$G,0))&amp;"",INDEX(Log!$I:$I,MATCH(D46,Log!$G:$G,0))&amp;""),IF(AND(LEN(D46)=4,LEFT(D46,1)="L",ISNUMBER(VALUE(MID(D46,2,3)))),"ID não encontrado no Log","")))</f>
        <v/>
      </c>
      <c r="J46" s="5"/>
    </row>
    <row r="47" customFormat="false" ht="15" hidden="false" customHeight="false" outlineLevel="0" collapsed="false">
      <c r="A47" s="18"/>
      <c r="B47" s="5"/>
      <c r="C47" s="5"/>
      <c r="D47" s="5"/>
      <c r="E47" s="5"/>
      <c r="F47" s="5"/>
      <c r="G47" s="14"/>
      <c r="H47" s="14"/>
      <c r="I47" s="19" t="str">
        <f aca="false">IF(D47="","",IFERROR(IF(INDEX(Log!$I:$I,MATCH(D47,Log!$G:$G,0))&amp;""="",INDEX(Log!$A:$A,MATCH(D47,Log!$G:$G,0))&amp;"",INDEX(Log!$I:$I,MATCH(D47,Log!$G:$G,0))&amp;""),IF(AND(LEN(D47)=4,LEFT(D47,1)="L",ISNUMBER(VALUE(MID(D47,2,3)))),"ID não encontrado no Log","")))</f>
        <v/>
      </c>
      <c r="J47" s="5"/>
    </row>
    <row r="48" customFormat="false" ht="15" hidden="false" customHeight="false" outlineLevel="0" collapsed="false">
      <c r="A48" s="18"/>
      <c r="B48" s="5"/>
      <c r="C48" s="5"/>
      <c r="D48" s="5"/>
      <c r="E48" s="5"/>
      <c r="F48" s="5"/>
      <c r="G48" s="14"/>
      <c r="H48" s="14"/>
      <c r="I48" s="19" t="str">
        <f aca="false">IF(D48="","",IFERROR(IF(INDEX(Log!$I:$I,MATCH(D48,Log!$G:$G,0))&amp;""="",INDEX(Log!$A:$A,MATCH(D48,Log!$G:$G,0))&amp;"",INDEX(Log!$I:$I,MATCH(D48,Log!$G:$G,0))&amp;""),IF(AND(LEN(D48)=4,LEFT(D48,1)="L",ISNUMBER(VALUE(MID(D48,2,3)))),"ID não encontrado no Log","")))</f>
        <v/>
      </c>
      <c r="J48" s="5"/>
    </row>
    <row r="49" customFormat="false" ht="15" hidden="false" customHeight="false" outlineLevel="0" collapsed="false">
      <c r="A49" s="18"/>
      <c r="B49" s="5"/>
      <c r="C49" s="5"/>
      <c r="D49" s="5"/>
      <c r="E49" s="5"/>
      <c r="F49" s="5"/>
      <c r="G49" s="14"/>
      <c r="H49" s="14"/>
      <c r="I49" s="19" t="str">
        <f aca="false">IF(D49="","",IFERROR(IF(INDEX(Log!$I:$I,MATCH(D49,Log!$G:$G,0))&amp;""="",INDEX(Log!$A:$A,MATCH(D49,Log!$G:$G,0))&amp;"",INDEX(Log!$I:$I,MATCH(D49,Log!$G:$G,0))&amp;""),IF(AND(LEN(D49)=4,LEFT(D49,1)="L",ISNUMBER(VALUE(MID(D49,2,3)))),"ID não encontrado no Log","")))</f>
        <v/>
      </c>
      <c r="J49" s="5"/>
    </row>
    <row r="50" customFormat="false" ht="15" hidden="false" customHeight="false" outlineLevel="0" collapsed="false">
      <c r="A50" s="18"/>
      <c r="B50" s="5"/>
      <c r="C50" s="5"/>
      <c r="D50" s="5"/>
      <c r="E50" s="5"/>
      <c r="F50" s="5"/>
      <c r="G50" s="14"/>
      <c r="H50" s="14"/>
      <c r="I50" s="19" t="str">
        <f aca="false">IF(D50="","",IFERROR(IF(INDEX(Log!$I:$I,MATCH(D50,Log!$G:$G,0))&amp;""="",INDEX(Log!$A:$A,MATCH(D50,Log!$G:$G,0))&amp;"",INDEX(Log!$I:$I,MATCH(D50,Log!$G:$G,0))&amp;""),IF(AND(LEN(D50)=4,LEFT(D50,1)="L",ISNUMBER(VALUE(MID(D50,2,3)))),"ID não encontrado no Log","")))</f>
        <v/>
      </c>
      <c r="J50" s="5"/>
    </row>
    <row r="51" customFormat="false" ht="15" hidden="false" customHeight="false" outlineLevel="0" collapsed="false">
      <c r="A51" s="18"/>
      <c r="B51" s="5"/>
      <c r="C51" s="5"/>
      <c r="D51" s="5"/>
      <c r="E51" s="5"/>
      <c r="F51" s="5"/>
      <c r="G51" s="14"/>
      <c r="H51" s="14"/>
      <c r="I51" s="19" t="str">
        <f aca="false">IF(D51="","",IFERROR(IF(INDEX(Log!$I:$I,MATCH(D51,Log!$G:$G,0))&amp;""="",INDEX(Log!$A:$A,MATCH(D51,Log!$G:$G,0))&amp;"",INDEX(Log!$I:$I,MATCH(D51,Log!$G:$G,0))&amp;""),IF(AND(LEN(D51)=4,LEFT(D51,1)="L",ISNUMBER(VALUE(MID(D51,2,3)))),"ID não encontrado no Log","")))</f>
        <v/>
      </c>
      <c r="J51" s="5"/>
    </row>
    <row r="52" customFormat="false" ht="15" hidden="false" customHeight="false" outlineLevel="0" collapsed="false">
      <c r="A52" s="18"/>
      <c r="B52" s="5"/>
      <c r="C52" s="5"/>
      <c r="D52" s="5"/>
      <c r="E52" s="5"/>
      <c r="F52" s="5"/>
      <c r="G52" s="14"/>
      <c r="H52" s="14"/>
      <c r="I52" s="19" t="str">
        <f aca="false">IF(D52="","",IFERROR(IF(INDEX(Log!$I:$I,MATCH(D52,Log!$G:$G,0))&amp;""="",INDEX(Log!$A:$A,MATCH(D52,Log!$G:$G,0))&amp;"",INDEX(Log!$I:$I,MATCH(D52,Log!$G:$G,0))&amp;""),IF(AND(LEN(D52)=4,LEFT(D52,1)="L",ISNUMBER(VALUE(MID(D52,2,3)))),"ID não encontrado no Log","")))</f>
        <v/>
      </c>
      <c r="J52" s="5"/>
    </row>
    <row r="53" customFormat="false" ht="15" hidden="false" customHeight="false" outlineLevel="0" collapsed="false">
      <c r="A53" s="18"/>
      <c r="B53" s="5"/>
      <c r="C53" s="5"/>
      <c r="D53" s="5"/>
      <c r="E53" s="5"/>
      <c r="F53" s="5"/>
      <c r="G53" s="14"/>
      <c r="H53" s="14"/>
      <c r="I53" s="19" t="str">
        <f aca="false">IF(D53="","",IFERROR(IF(INDEX(Log!$I:$I,MATCH(D53,Log!$G:$G,0))&amp;""="",INDEX(Log!$A:$A,MATCH(D53,Log!$G:$G,0))&amp;"",INDEX(Log!$I:$I,MATCH(D53,Log!$G:$G,0))&amp;""),IF(AND(LEN(D53)=4,LEFT(D53,1)="L",ISNUMBER(VALUE(MID(D53,2,3)))),"ID não encontrado no Log","")))</f>
        <v/>
      </c>
      <c r="J53" s="5"/>
    </row>
    <row r="54" customFormat="false" ht="15" hidden="false" customHeight="false" outlineLevel="0" collapsed="false">
      <c r="A54" s="18"/>
      <c r="B54" s="5"/>
      <c r="C54" s="5"/>
      <c r="D54" s="5"/>
      <c r="E54" s="5"/>
      <c r="F54" s="5"/>
      <c r="G54" s="14"/>
      <c r="H54" s="14"/>
      <c r="I54" s="19" t="str">
        <f aca="false">IF(D54="","",IFERROR(IF(INDEX(Log!$I:$I,MATCH(D54,Log!$G:$G,0))&amp;""="",INDEX(Log!$A:$A,MATCH(D54,Log!$G:$G,0))&amp;"",INDEX(Log!$I:$I,MATCH(D54,Log!$G:$G,0))&amp;""),IF(AND(LEN(D54)=4,LEFT(D54,1)="L",ISNUMBER(VALUE(MID(D54,2,3)))),"ID não encontrado no Log","")))</f>
        <v/>
      </c>
      <c r="J54" s="5"/>
    </row>
    <row r="55" customFormat="false" ht="15" hidden="false" customHeight="false" outlineLevel="0" collapsed="false">
      <c r="A55" s="18"/>
      <c r="B55" s="5"/>
      <c r="C55" s="5"/>
      <c r="D55" s="5"/>
      <c r="E55" s="5"/>
      <c r="F55" s="5"/>
      <c r="G55" s="14"/>
      <c r="H55" s="14"/>
      <c r="I55" s="19" t="str">
        <f aca="false">IF(D55="","",IFERROR(IF(INDEX(Log!$I:$I,MATCH(D55,Log!$G:$G,0))&amp;""="",INDEX(Log!$A:$A,MATCH(D55,Log!$G:$G,0))&amp;"",INDEX(Log!$I:$I,MATCH(D55,Log!$G:$G,0))&amp;""),IF(AND(LEN(D55)=4,LEFT(D55,1)="L",ISNUMBER(VALUE(MID(D55,2,3)))),"ID não encontrado no Log","")))</f>
        <v/>
      </c>
      <c r="J55" s="5"/>
    </row>
    <row r="56" customFormat="false" ht="15" hidden="false" customHeight="false" outlineLevel="0" collapsed="false">
      <c r="A56" s="18"/>
      <c r="B56" s="5"/>
      <c r="C56" s="5"/>
      <c r="D56" s="5"/>
      <c r="E56" s="5"/>
      <c r="F56" s="5"/>
      <c r="G56" s="14"/>
      <c r="H56" s="14"/>
      <c r="I56" s="19" t="str">
        <f aca="false">IF(D56="","",IFERROR(IF(INDEX(Log!$I:$I,MATCH(D56,Log!$G:$G,0))&amp;""="",INDEX(Log!$A:$A,MATCH(D56,Log!$G:$G,0))&amp;"",INDEX(Log!$I:$I,MATCH(D56,Log!$G:$G,0))&amp;""),IF(AND(LEN(D56)=4,LEFT(D56,1)="L",ISNUMBER(VALUE(MID(D56,2,3)))),"ID não encontrado no Log","")))</f>
        <v/>
      </c>
      <c r="J56" s="5"/>
    </row>
    <row r="57" customFormat="false" ht="15" hidden="false" customHeight="false" outlineLevel="0" collapsed="false">
      <c r="A57" s="18"/>
      <c r="B57" s="5"/>
      <c r="C57" s="5"/>
      <c r="D57" s="5"/>
      <c r="E57" s="5"/>
      <c r="F57" s="5"/>
      <c r="G57" s="14"/>
      <c r="H57" s="14"/>
      <c r="I57" s="19" t="str">
        <f aca="false">IF(D57="","",IFERROR(IF(INDEX(Log!$I:$I,MATCH(D57,Log!$G:$G,0))&amp;""="",INDEX(Log!$A:$A,MATCH(D57,Log!$G:$G,0))&amp;"",INDEX(Log!$I:$I,MATCH(D57,Log!$G:$G,0))&amp;""),IF(AND(LEN(D57)=4,LEFT(D57,1)="L",ISNUMBER(VALUE(MID(D57,2,3)))),"ID não encontrado no Log","")))</f>
        <v/>
      </c>
      <c r="J57" s="5"/>
    </row>
    <row r="58" customFormat="false" ht="15" hidden="false" customHeight="false" outlineLevel="0" collapsed="false">
      <c r="A58" s="18"/>
      <c r="B58" s="5"/>
      <c r="C58" s="5"/>
      <c r="D58" s="5"/>
      <c r="E58" s="5"/>
      <c r="F58" s="5"/>
      <c r="G58" s="14"/>
      <c r="H58" s="14"/>
      <c r="I58" s="19" t="str">
        <f aca="false">IF(D58="","",IFERROR(IF(INDEX(Log!$I:$I,MATCH(D58,Log!$G:$G,0))&amp;""="",INDEX(Log!$A:$A,MATCH(D58,Log!$G:$G,0))&amp;"",INDEX(Log!$I:$I,MATCH(D58,Log!$G:$G,0))&amp;""),IF(AND(LEN(D58)=4,LEFT(D58,1)="L",ISNUMBER(VALUE(MID(D58,2,3)))),"ID não encontrado no Log","")))</f>
        <v/>
      </c>
      <c r="J58" s="5"/>
    </row>
    <row r="59" customFormat="false" ht="15" hidden="false" customHeight="false" outlineLevel="0" collapsed="false">
      <c r="A59" s="18"/>
      <c r="B59" s="5"/>
      <c r="C59" s="5"/>
      <c r="D59" s="5"/>
      <c r="E59" s="5"/>
      <c r="F59" s="5"/>
      <c r="G59" s="14"/>
      <c r="H59" s="14"/>
      <c r="I59" s="19" t="str">
        <f aca="false">IF(D59="","",IFERROR(IF(INDEX(Log!$I:$I,MATCH(D59,Log!$G:$G,0))&amp;""="",INDEX(Log!$A:$A,MATCH(D59,Log!$G:$G,0))&amp;"",INDEX(Log!$I:$I,MATCH(D59,Log!$G:$G,0))&amp;""),IF(AND(LEN(D59)=4,LEFT(D59,1)="L",ISNUMBER(VALUE(MID(D59,2,3)))),"ID não encontrado no Log","")))</f>
        <v/>
      </c>
      <c r="J59" s="5"/>
    </row>
    <row r="60" customFormat="false" ht="15" hidden="false" customHeight="false" outlineLevel="0" collapsed="false">
      <c r="A60" s="18"/>
      <c r="B60" s="5"/>
      <c r="C60" s="5"/>
      <c r="D60" s="5"/>
      <c r="E60" s="5"/>
      <c r="F60" s="5"/>
      <c r="G60" s="14"/>
      <c r="H60" s="14"/>
      <c r="I60" s="19" t="str">
        <f aca="false">IF(D60="","",IFERROR(IF(INDEX(Log!$I:$I,MATCH(D60,Log!$G:$G,0))&amp;""="",INDEX(Log!$A:$A,MATCH(D60,Log!$G:$G,0))&amp;"",INDEX(Log!$I:$I,MATCH(D60,Log!$G:$G,0))&amp;""),IF(AND(LEN(D60)=4,LEFT(D60,1)="L",ISNUMBER(VALUE(MID(D60,2,3)))),"ID não encontrado no Log","")))</f>
        <v/>
      </c>
      <c r="J60" s="5"/>
    </row>
    <row r="61" customFormat="false" ht="15" hidden="false" customHeight="false" outlineLevel="0" collapsed="false">
      <c r="A61" s="18"/>
      <c r="B61" s="5"/>
      <c r="C61" s="5"/>
      <c r="D61" s="5"/>
      <c r="E61" s="5"/>
      <c r="F61" s="5"/>
      <c r="G61" s="14"/>
      <c r="H61" s="14"/>
      <c r="I61" s="19" t="str">
        <f aca="false">IF(D61="","",IFERROR(IF(INDEX(Log!$I:$I,MATCH(D61,Log!$G:$G,0))&amp;""="",INDEX(Log!$A:$A,MATCH(D61,Log!$G:$G,0))&amp;"",INDEX(Log!$I:$I,MATCH(D61,Log!$G:$G,0))&amp;""),IF(AND(LEN(D61)=4,LEFT(D61,1)="L",ISNUMBER(VALUE(MID(D61,2,3)))),"ID não encontrado no Log","")))</f>
        <v/>
      </c>
      <c r="J61" s="5"/>
    </row>
    <row r="62" customFormat="false" ht="15" hidden="false" customHeight="false" outlineLevel="0" collapsed="false">
      <c r="A62" s="18"/>
      <c r="B62" s="5"/>
      <c r="C62" s="5"/>
      <c r="D62" s="5"/>
      <c r="E62" s="5"/>
      <c r="F62" s="5"/>
      <c r="G62" s="14"/>
      <c r="H62" s="14"/>
      <c r="I62" s="19" t="str">
        <f aca="false">IF(D62="","",IFERROR(IF(INDEX(Log!$I:$I,MATCH(D62,Log!$G:$G,0))&amp;""="",INDEX(Log!$A:$A,MATCH(D62,Log!$G:$G,0))&amp;"",INDEX(Log!$I:$I,MATCH(D62,Log!$G:$G,0))&amp;""),IF(AND(LEN(D62)=4,LEFT(D62,1)="L",ISNUMBER(VALUE(MID(D62,2,3)))),"ID não encontrado no Log","")))</f>
        <v/>
      </c>
      <c r="J62" s="5"/>
    </row>
    <row r="63" customFormat="false" ht="15" hidden="false" customHeight="false" outlineLevel="0" collapsed="false">
      <c r="A63" s="18"/>
      <c r="B63" s="5"/>
      <c r="C63" s="5"/>
      <c r="D63" s="5"/>
      <c r="E63" s="5"/>
      <c r="F63" s="5"/>
      <c r="G63" s="14"/>
      <c r="H63" s="14"/>
      <c r="I63" s="19" t="str">
        <f aca="false">IF(D63="","",IFERROR(IF(INDEX(Log!$I:$I,MATCH(D63,Log!$G:$G,0))&amp;""="",INDEX(Log!$A:$A,MATCH(D63,Log!$G:$G,0))&amp;"",INDEX(Log!$I:$I,MATCH(D63,Log!$G:$G,0))&amp;""),IF(AND(LEN(D63)=4,LEFT(D63,1)="L",ISNUMBER(VALUE(MID(D63,2,3)))),"ID não encontrado no Log","")))</f>
        <v/>
      </c>
      <c r="J63" s="5"/>
    </row>
    <row r="64" customFormat="false" ht="15" hidden="false" customHeight="false" outlineLevel="0" collapsed="false">
      <c r="A64" s="18"/>
      <c r="B64" s="5"/>
      <c r="C64" s="5"/>
      <c r="D64" s="5"/>
      <c r="E64" s="5"/>
      <c r="F64" s="5"/>
      <c r="G64" s="14"/>
      <c r="H64" s="14"/>
      <c r="I64" s="19" t="str">
        <f aca="false">IF(D64="","",IFERROR(IF(INDEX(Log!$I:$I,MATCH(D64,Log!$G:$G,0))&amp;""="",INDEX(Log!$A:$A,MATCH(D64,Log!$G:$G,0))&amp;"",INDEX(Log!$I:$I,MATCH(D64,Log!$G:$G,0))&amp;""),IF(AND(LEN(D64)=4,LEFT(D64,1)="L",ISNUMBER(VALUE(MID(D64,2,3)))),"ID não encontrado no Log","")))</f>
        <v/>
      </c>
      <c r="J64" s="5"/>
    </row>
    <row r="65" customFormat="false" ht="15" hidden="false" customHeight="false" outlineLevel="0" collapsed="false">
      <c r="A65" s="18"/>
      <c r="B65" s="5"/>
      <c r="C65" s="5"/>
      <c r="D65" s="5"/>
      <c r="E65" s="5"/>
      <c r="F65" s="5"/>
      <c r="G65" s="14"/>
      <c r="H65" s="14"/>
      <c r="I65" s="19" t="str">
        <f aca="false">IF(D65="","",IFERROR(IF(INDEX(Log!$I:$I,MATCH(D65,Log!$G:$G,0))&amp;""="",INDEX(Log!$A:$A,MATCH(D65,Log!$G:$G,0))&amp;"",INDEX(Log!$I:$I,MATCH(D65,Log!$G:$G,0))&amp;""),IF(AND(LEN(D65)=4,LEFT(D65,1)="L",ISNUMBER(VALUE(MID(D65,2,3)))),"ID não encontrado no Log","")))</f>
        <v/>
      </c>
      <c r="J65" s="5"/>
    </row>
    <row r="66" customFormat="false" ht="15" hidden="false" customHeight="false" outlineLevel="0" collapsed="false">
      <c r="A66" s="18"/>
      <c r="B66" s="5"/>
      <c r="C66" s="5"/>
      <c r="D66" s="5"/>
      <c r="E66" s="5"/>
      <c r="F66" s="5"/>
      <c r="G66" s="14"/>
      <c r="H66" s="14"/>
      <c r="I66" s="19" t="str">
        <f aca="false">IF(D66="","",IFERROR(IF(INDEX(Log!$I:$I,MATCH(D66,Log!$G:$G,0))&amp;""="",INDEX(Log!$A:$A,MATCH(D66,Log!$G:$G,0))&amp;"",INDEX(Log!$I:$I,MATCH(D66,Log!$G:$G,0))&amp;""),IF(AND(LEN(D66)=4,LEFT(D66,1)="L",ISNUMBER(VALUE(MID(D66,2,3)))),"ID não encontrado no Log","")))</f>
        <v/>
      </c>
      <c r="J66" s="5"/>
    </row>
    <row r="67" customFormat="false" ht="15" hidden="false" customHeight="false" outlineLevel="0" collapsed="false">
      <c r="A67" s="18"/>
      <c r="B67" s="5"/>
      <c r="C67" s="5"/>
      <c r="D67" s="5"/>
      <c r="E67" s="5"/>
      <c r="F67" s="5"/>
      <c r="G67" s="14"/>
      <c r="H67" s="14"/>
      <c r="I67" s="19" t="str">
        <f aca="false">IF(D67="","",IFERROR(IF(INDEX(Log!$I:$I,MATCH(D67,Log!$G:$G,0))&amp;""="",INDEX(Log!$A:$A,MATCH(D67,Log!$G:$G,0))&amp;"",INDEX(Log!$I:$I,MATCH(D67,Log!$G:$G,0))&amp;""),IF(AND(LEN(D67)=4,LEFT(D67,1)="L",ISNUMBER(VALUE(MID(D67,2,3)))),"ID não encontrado no Log","")))</f>
        <v/>
      </c>
      <c r="J67" s="5"/>
    </row>
    <row r="68" customFormat="false" ht="15" hidden="false" customHeight="false" outlineLevel="0" collapsed="false">
      <c r="A68" s="18"/>
      <c r="B68" s="5"/>
      <c r="C68" s="5"/>
      <c r="D68" s="5"/>
      <c r="E68" s="5"/>
      <c r="F68" s="5"/>
      <c r="G68" s="14"/>
      <c r="H68" s="14"/>
      <c r="I68" s="19" t="str">
        <f aca="false">IF(D68="","",IFERROR(IF(INDEX(Log!$I:$I,MATCH(D68,Log!$G:$G,0))&amp;""="",INDEX(Log!$A:$A,MATCH(D68,Log!$G:$G,0))&amp;"",INDEX(Log!$I:$I,MATCH(D68,Log!$G:$G,0))&amp;""),IF(AND(LEN(D68)=4,LEFT(D68,1)="L",ISNUMBER(VALUE(MID(D68,2,3)))),"ID não encontrado no Log","")))</f>
        <v/>
      </c>
      <c r="J68" s="5"/>
    </row>
    <row r="69" customFormat="false" ht="15" hidden="false" customHeight="false" outlineLevel="0" collapsed="false">
      <c r="A69" s="18"/>
      <c r="B69" s="5"/>
      <c r="C69" s="5"/>
      <c r="D69" s="5"/>
      <c r="E69" s="5"/>
      <c r="F69" s="5"/>
      <c r="G69" s="14"/>
      <c r="H69" s="14"/>
      <c r="I69" s="19" t="str">
        <f aca="false">IF(D69="","",IFERROR(IF(INDEX(Log!$I:$I,MATCH(D69,Log!$G:$G,0))&amp;""="",INDEX(Log!$A:$A,MATCH(D69,Log!$G:$G,0))&amp;"",INDEX(Log!$I:$I,MATCH(D69,Log!$G:$G,0))&amp;""),IF(AND(LEN(D69)=4,LEFT(D69,1)="L",ISNUMBER(VALUE(MID(D69,2,3)))),"ID não encontrado no Log","")))</f>
        <v/>
      </c>
      <c r="J69" s="5"/>
    </row>
    <row r="70" customFormat="false" ht="15" hidden="false" customHeight="false" outlineLevel="0" collapsed="false">
      <c r="A70" s="18"/>
      <c r="B70" s="5"/>
      <c r="C70" s="5"/>
      <c r="D70" s="5"/>
      <c r="E70" s="5"/>
      <c r="F70" s="5"/>
      <c r="G70" s="14"/>
      <c r="H70" s="14"/>
      <c r="I70" s="19" t="str">
        <f aca="false">IF(D70="","",IFERROR(IF(INDEX(Log!$I:$I,MATCH(D70,Log!$G:$G,0))&amp;""="",INDEX(Log!$A:$A,MATCH(D70,Log!$G:$G,0))&amp;"",INDEX(Log!$I:$I,MATCH(D70,Log!$G:$G,0))&amp;""),IF(AND(LEN(D70)=4,LEFT(D70,1)="L",ISNUMBER(VALUE(MID(D70,2,3)))),"ID não encontrado no Log","")))</f>
        <v/>
      </c>
      <c r="J70" s="5"/>
    </row>
    <row r="71" customFormat="false" ht="15" hidden="false" customHeight="false" outlineLevel="0" collapsed="false">
      <c r="A71" s="18"/>
      <c r="B71" s="5"/>
      <c r="C71" s="5"/>
      <c r="D71" s="5"/>
      <c r="E71" s="5"/>
      <c r="F71" s="5"/>
      <c r="G71" s="14"/>
      <c r="H71" s="14"/>
      <c r="I71" s="19" t="str">
        <f aca="false">IF(D71="","",IFERROR(IF(INDEX(Log!$I:$I,MATCH(D71,Log!$G:$G,0))&amp;""="",INDEX(Log!$A:$A,MATCH(D71,Log!$G:$G,0))&amp;"",INDEX(Log!$I:$I,MATCH(D71,Log!$G:$G,0))&amp;""),IF(AND(LEN(D71)=4,LEFT(D71,1)="L",ISNUMBER(VALUE(MID(D71,2,3)))),"ID não encontrado no Log","")))</f>
        <v/>
      </c>
      <c r="J71" s="5"/>
    </row>
    <row r="72" customFormat="false" ht="15" hidden="false" customHeight="false" outlineLevel="0" collapsed="false">
      <c r="A72" s="18"/>
      <c r="B72" s="5"/>
      <c r="C72" s="5"/>
      <c r="D72" s="5"/>
      <c r="E72" s="5"/>
      <c r="F72" s="5"/>
      <c r="G72" s="14"/>
      <c r="H72" s="14"/>
      <c r="I72" s="19" t="str">
        <f aca="false">IF(D72="","",IFERROR(IF(INDEX(Log!$I:$I,MATCH(D72,Log!$G:$G,0))&amp;""="",INDEX(Log!$A:$A,MATCH(D72,Log!$G:$G,0))&amp;"",INDEX(Log!$I:$I,MATCH(D72,Log!$G:$G,0))&amp;""),IF(AND(LEN(D72)=4,LEFT(D72,1)="L",ISNUMBER(VALUE(MID(D72,2,3)))),"ID não encontrado no Log","")))</f>
        <v/>
      </c>
      <c r="J72" s="5"/>
    </row>
    <row r="73" customFormat="false" ht="15" hidden="false" customHeight="false" outlineLevel="0" collapsed="false">
      <c r="A73" s="18"/>
      <c r="B73" s="5"/>
      <c r="C73" s="5"/>
      <c r="D73" s="5"/>
      <c r="E73" s="5"/>
      <c r="F73" s="5"/>
      <c r="G73" s="14"/>
      <c r="H73" s="14"/>
      <c r="I73" s="19" t="str">
        <f aca="false">IF(D73="","",IFERROR(IF(INDEX(Log!$I:$I,MATCH(D73,Log!$G:$G,0))&amp;""="",INDEX(Log!$A:$A,MATCH(D73,Log!$G:$G,0))&amp;"",INDEX(Log!$I:$I,MATCH(D73,Log!$G:$G,0))&amp;""),IF(AND(LEN(D73)=4,LEFT(D73,1)="L",ISNUMBER(VALUE(MID(D73,2,3)))),"ID não encontrado no Log","")))</f>
        <v/>
      </c>
      <c r="J73" s="5"/>
    </row>
    <row r="74" customFormat="false" ht="15" hidden="false" customHeight="false" outlineLevel="0" collapsed="false">
      <c r="A74" s="18"/>
      <c r="B74" s="5"/>
      <c r="C74" s="5"/>
      <c r="D74" s="5"/>
      <c r="E74" s="5"/>
      <c r="F74" s="5"/>
      <c r="G74" s="14"/>
      <c r="H74" s="14"/>
      <c r="I74" s="19" t="str">
        <f aca="false">IF(D74="","",IFERROR(IF(INDEX(Log!$I:$I,MATCH(D74,Log!$G:$G,0))&amp;""="",INDEX(Log!$A:$A,MATCH(D74,Log!$G:$G,0))&amp;"",INDEX(Log!$I:$I,MATCH(D74,Log!$G:$G,0))&amp;""),IF(AND(LEN(D74)=4,LEFT(D74,1)="L",ISNUMBER(VALUE(MID(D74,2,3)))),"ID não encontrado no Log","")))</f>
        <v/>
      </c>
      <c r="J74" s="5"/>
    </row>
    <row r="75" customFormat="false" ht="15" hidden="false" customHeight="false" outlineLevel="0" collapsed="false">
      <c r="A75" s="18"/>
      <c r="B75" s="5"/>
      <c r="C75" s="5"/>
      <c r="D75" s="5"/>
      <c r="E75" s="5"/>
      <c r="F75" s="5"/>
      <c r="G75" s="14"/>
      <c r="H75" s="14"/>
      <c r="I75" s="19" t="str">
        <f aca="false">IF(D75="","",IFERROR(IF(INDEX(Log!$I:$I,MATCH(D75,Log!$G:$G,0))&amp;""="",INDEX(Log!$A:$A,MATCH(D75,Log!$G:$G,0))&amp;"",INDEX(Log!$I:$I,MATCH(D75,Log!$G:$G,0))&amp;""),IF(AND(LEN(D75)=4,LEFT(D75,1)="L",ISNUMBER(VALUE(MID(D75,2,3)))),"ID não encontrado no Log","")))</f>
        <v/>
      </c>
      <c r="J75" s="5"/>
    </row>
    <row r="76" customFormat="false" ht="15" hidden="false" customHeight="false" outlineLevel="0" collapsed="false">
      <c r="A76" s="18"/>
      <c r="B76" s="5"/>
      <c r="C76" s="5"/>
      <c r="D76" s="5"/>
      <c r="E76" s="5"/>
      <c r="F76" s="5"/>
      <c r="G76" s="14"/>
      <c r="H76" s="14"/>
      <c r="I76" s="19" t="str">
        <f aca="false">IF(D76="","",IFERROR(IF(INDEX(Log!$I:$I,MATCH(D76,Log!$G:$G,0))&amp;""="",INDEX(Log!$A:$A,MATCH(D76,Log!$G:$G,0))&amp;"",INDEX(Log!$I:$I,MATCH(D76,Log!$G:$G,0))&amp;""),IF(AND(LEN(D76)=4,LEFT(D76,1)="L",ISNUMBER(VALUE(MID(D76,2,3)))),"ID não encontrado no Log","")))</f>
        <v/>
      </c>
      <c r="J76" s="5"/>
    </row>
    <row r="77" customFormat="false" ht="15" hidden="false" customHeight="false" outlineLevel="0" collapsed="false">
      <c r="A77" s="18"/>
      <c r="B77" s="5"/>
      <c r="C77" s="5"/>
      <c r="D77" s="5"/>
      <c r="E77" s="5"/>
      <c r="F77" s="5"/>
      <c r="G77" s="14"/>
      <c r="H77" s="14"/>
      <c r="I77" s="19" t="str">
        <f aca="false">IF(D77="","",IFERROR(IF(INDEX(Log!$I:$I,MATCH(D77,Log!$G:$G,0))&amp;""="",INDEX(Log!$A:$A,MATCH(D77,Log!$G:$G,0))&amp;"",INDEX(Log!$I:$I,MATCH(D77,Log!$G:$G,0))&amp;""),IF(AND(LEN(D77)=4,LEFT(D77,1)="L",ISNUMBER(VALUE(MID(D77,2,3)))),"ID não encontrado no Log","")))</f>
        <v/>
      </c>
      <c r="J77" s="5"/>
    </row>
    <row r="78" customFormat="false" ht="15" hidden="false" customHeight="false" outlineLevel="0" collapsed="false">
      <c r="A78" s="18"/>
      <c r="B78" s="5"/>
      <c r="C78" s="5"/>
      <c r="D78" s="5"/>
      <c r="E78" s="5"/>
      <c r="F78" s="5"/>
      <c r="G78" s="14"/>
      <c r="H78" s="14"/>
      <c r="I78" s="19" t="str">
        <f aca="false">IF(D78="","",IFERROR(IF(INDEX(Log!$I:$I,MATCH(D78,Log!$G:$G,0))&amp;""="",INDEX(Log!$A:$A,MATCH(D78,Log!$G:$G,0))&amp;"",INDEX(Log!$I:$I,MATCH(D78,Log!$G:$G,0))&amp;""),IF(AND(LEN(D78)=4,LEFT(D78,1)="L",ISNUMBER(VALUE(MID(D78,2,3)))),"ID não encontrado no Log","")))</f>
        <v/>
      </c>
      <c r="J78" s="5"/>
    </row>
    <row r="79" customFormat="false" ht="15" hidden="false" customHeight="false" outlineLevel="0" collapsed="false">
      <c r="A79" s="18"/>
      <c r="B79" s="5"/>
      <c r="C79" s="5"/>
      <c r="D79" s="5"/>
      <c r="E79" s="5"/>
      <c r="F79" s="5"/>
      <c r="G79" s="14"/>
      <c r="H79" s="14"/>
      <c r="I79" s="19" t="str">
        <f aca="false">IF(D79="","",IFERROR(IF(INDEX(Log!$I:$I,MATCH(D79,Log!$G:$G,0))&amp;""="",INDEX(Log!$A:$A,MATCH(D79,Log!$G:$G,0))&amp;"",INDEX(Log!$I:$I,MATCH(D79,Log!$G:$G,0))&amp;""),IF(AND(LEN(D79)=4,LEFT(D79,1)="L",ISNUMBER(VALUE(MID(D79,2,3)))),"ID não encontrado no Log","")))</f>
        <v/>
      </c>
      <c r="J79" s="5"/>
    </row>
    <row r="80" customFormat="false" ht="15" hidden="false" customHeight="false" outlineLevel="0" collapsed="false">
      <c r="A80" s="18"/>
      <c r="B80" s="5"/>
      <c r="C80" s="5"/>
      <c r="D80" s="5"/>
      <c r="E80" s="5"/>
      <c r="F80" s="5"/>
      <c r="G80" s="14"/>
      <c r="H80" s="14"/>
      <c r="I80" s="19" t="str">
        <f aca="false">IF(D80="","",IFERROR(IF(INDEX(Log!$I:$I,MATCH(D80,Log!$G:$G,0))&amp;""="",INDEX(Log!$A:$A,MATCH(D80,Log!$G:$G,0))&amp;"",INDEX(Log!$I:$I,MATCH(D80,Log!$G:$G,0))&amp;""),IF(AND(LEN(D80)=4,LEFT(D80,1)="L",ISNUMBER(VALUE(MID(D80,2,3)))),"ID não encontrado no Log","")))</f>
        <v/>
      </c>
      <c r="J80" s="5"/>
    </row>
    <row r="81" customFormat="false" ht="15" hidden="false" customHeight="false" outlineLevel="0" collapsed="false">
      <c r="A81" s="18"/>
      <c r="B81" s="5"/>
      <c r="C81" s="5"/>
      <c r="D81" s="5"/>
      <c r="E81" s="5"/>
      <c r="F81" s="5"/>
      <c r="G81" s="14"/>
      <c r="H81" s="14"/>
      <c r="I81" s="19" t="str">
        <f aca="false">IF(D81="","",IFERROR(IF(INDEX(Log!$I:$I,MATCH(D81,Log!$G:$G,0))&amp;""="",INDEX(Log!$A:$A,MATCH(D81,Log!$G:$G,0))&amp;"",INDEX(Log!$I:$I,MATCH(D81,Log!$G:$G,0))&amp;""),IF(AND(LEN(D81)=4,LEFT(D81,1)="L",ISNUMBER(VALUE(MID(D81,2,3)))),"ID não encontrado no Log","")))</f>
        <v/>
      </c>
      <c r="J81" s="5"/>
    </row>
    <row r="82" customFormat="false" ht="15" hidden="false" customHeight="false" outlineLevel="0" collapsed="false">
      <c r="A82" s="18"/>
      <c r="B82" s="5"/>
      <c r="C82" s="5"/>
      <c r="D82" s="5"/>
      <c r="E82" s="5"/>
      <c r="F82" s="5"/>
      <c r="G82" s="14"/>
      <c r="H82" s="14"/>
      <c r="I82" s="19" t="str">
        <f aca="false">IF(D82="","",IFERROR(IF(INDEX(Log!$I:$I,MATCH(D82,Log!$G:$G,0))&amp;""="",INDEX(Log!$A:$A,MATCH(D82,Log!$G:$G,0))&amp;"",INDEX(Log!$I:$I,MATCH(D82,Log!$G:$G,0))&amp;""),IF(AND(LEN(D82)=4,LEFT(D82,1)="L",ISNUMBER(VALUE(MID(D82,2,3)))),"ID não encontrado no Log","")))</f>
        <v/>
      </c>
      <c r="J82" s="5"/>
    </row>
    <row r="83" customFormat="false" ht="15" hidden="false" customHeight="false" outlineLevel="0" collapsed="false">
      <c r="A83" s="18"/>
      <c r="B83" s="5"/>
      <c r="C83" s="5"/>
      <c r="D83" s="5"/>
      <c r="E83" s="5"/>
      <c r="F83" s="5"/>
      <c r="G83" s="14"/>
      <c r="H83" s="14"/>
      <c r="I83" s="19" t="str">
        <f aca="false">IF(D83="","",IFERROR(IF(INDEX(Log!$I:$I,MATCH(D83,Log!$G:$G,0))&amp;""="",INDEX(Log!$A:$A,MATCH(D83,Log!$G:$G,0))&amp;"",INDEX(Log!$I:$I,MATCH(D83,Log!$G:$G,0))&amp;""),IF(AND(LEN(D83)=4,LEFT(D83,1)="L",ISNUMBER(VALUE(MID(D83,2,3)))),"ID não encontrado no Log","")))</f>
        <v/>
      </c>
      <c r="J83" s="5"/>
    </row>
    <row r="84" customFormat="false" ht="15" hidden="false" customHeight="false" outlineLevel="0" collapsed="false">
      <c r="A84" s="18"/>
      <c r="B84" s="5"/>
      <c r="C84" s="5"/>
      <c r="D84" s="5"/>
      <c r="E84" s="5"/>
      <c r="F84" s="5"/>
      <c r="G84" s="14"/>
      <c r="H84" s="14"/>
      <c r="I84" s="19" t="str">
        <f aca="false">IF(D84="","",IFERROR(IF(INDEX(Log!$I:$I,MATCH(D84,Log!$G:$G,0))&amp;""="",INDEX(Log!$A:$A,MATCH(D84,Log!$G:$G,0))&amp;"",INDEX(Log!$I:$I,MATCH(D84,Log!$G:$G,0))&amp;""),IF(AND(LEN(D84)=4,LEFT(D84,1)="L",ISNUMBER(VALUE(MID(D84,2,3)))),"ID não encontrado no Log","")))</f>
        <v/>
      </c>
      <c r="J84" s="5"/>
    </row>
    <row r="85" customFormat="false" ht="15" hidden="false" customHeight="false" outlineLevel="0" collapsed="false">
      <c r="A85" s="18"/>
      <c r="B85" s="5"/>
      <c r="C85" s="5"/>
      <c r="D85" s="5"/>
      <c r="E85" s="5"/>
      <c r="F85" s="5"/>
      <c r="G85" s="14"/>
      <c r="H85" s="14"/>
      <c r="I85" s="19" t="str">
        <f aca="false">IF(D85="","",IFERROR(IF(INDEX(Log!$I:$I,MATCH(D85,Log!$G:$G,0))&amp;""="",INDEX(Log!$A:$A,MATCH(D85,Log!$G:$G,0))&amp;"",INDEX(Log!$I:$I,MATCH(D85,Log!$G:$G,0))&amp;""),IF(AND(LEN(D85)=4,LEFT(D85,1)="L",ISNUMBER(VALUE(MID(D85,2,3)))),"ID não encontrado no Log","")))</f>
        <v/>
      </c>
      <c r="J85" s="5"/>
    </row>
    <row r="86" customFormat="false" ht="15" hidden="false" customHeight="false" outlineLevel="0" collapsed="false">
      <c r="A86" s="18"/>
      <c r="B86" s="5"/>
      <c r="C86" s="5"/>
      <c r="D86" s="5"/>
      <c r="E86" s="5"/>
      <c r="F86" s="5"/>
      <c r="G86" s="14"/>
      <c r="H86" s="14"/>
      <c r="I86" s="19" t="str">
        <f aca="false">IF(D86="","",IFERROR(IF(INDEX(Log!$I:$I,MATCH(D86,Log!$G:$G,0))&amp;""="",INDEX(Log!$A:$A,MATCH(D86,Log!$G:$G,0))&amp;"",INDEX(Log!$I:$I,MATCH(D86,Log!$G:$G,0))&amp;""),IF(AND(LEN(D86)=4,LEFT(D86,1)="L",ISNUMBER(VALUE(MID(D86,2,3)))),"ID não encontrado no Log","")))</f>
        <v/>
      </c>
      <c r="J86" s="5"/>
    </row>
    <row r="87" customFormat="false" ht="15" hidden="false" customHeight="false" outlineLevel="0" collapsed="false">
      <c r="A87" s="18"/>
      <c r="B87" s="5"/>
      <c r="C87" s="5"/>
      <c r="D87" s="5"/>
      <c r="E87" s="5"/>
      <c r="F87" s="5"/>
      <c r="G87" s="14"/>
      <c r="H87" s="14"/>
      <c r="I87" s="19" t="str">
        <f aca="false">IF(D87="","",IFERROR(IF(INDEX(Log!$I:$I,MATCH(D87,Log!$G:$G,0))&amp;""="",INDEX(Log!$A:$A,MATCH(D87,Log!$G:$G,0))&amp;"",INDEX(Log!$I:$I,MATCH(D87,Log!$G:$G,0))&amp;""),IF(AND(LEN(D87)=4,LEFT(D87,1)="L",ISNUMBER(VALUE(MID(D87,2,3)))),"ID não encontrado no Log","")))</f>
        <v/>
      </c>
      <c r="J87" s="5"/>
    </row>
    <row r="88" customFormat="false" ht="15" hidden="false" customHeight="false" outlineLevel="0" collapsed="false">
      <c r="A88" s="18"/>
      <c r="B88" s="5"/>
      <c r="C88" s="5"/>
      <c r="D88" s="5"/>
      <c r="E88" s="5"/>
      <c r="F88" s="5"/>
      <c r="G88" s="14"/>
      <c r="H88" s="14"/>
      <c r="I88" s="19" t="str">
        <f aca="false">IF(D88="","",IFERROR(IF(INDEX(Log!$I:$I,MATCH(D88,Log!$G:$G,0))&amp;""="",INDEX(Log!$A:$A,MATCH(D88,Log!$G:$G,0))&amp;"",INDEX(Log!$I:$I,MATCH(D88,Log!$G:$G,0))&amp;""),IF(AND(LEN(D88)=4,LEFT(D88,1)="L",ISNUMBER(VALUE(MID(D88,2,3)))),"ID não encontrado no Log","")))</f>
        <v/>
      </c>
      <c r="J88" s="5"/>
    </row>
    <row r="89" customFormat="false" ht="15" hidden="false" customHeight="false" outlineLevel="0" collapsed="false">
      <c r="A89" s="18"/>
      <c r="B89" s="5"/>
      <c r="C89" s="5"/>
      <c r="D89" s="5"/>
      <c r="E89" s="5"/>
      <c r="F89" s="5"/>
      <c r="G89" s="14"/>
      <c r="H89" s="14"/>
      <c r="I89" s="19" t="str">
        <f aca="false">IF(D89="","",IFERROR(IF(INDEX(Log!$I:$I,MATCH(D89,Log!$G:$G,0))&amp;""="",INDEX(Log!$A:$A,MATCH(D89,Log!$G:$G,0))&amp;"",INDEX(Log!$I:$I,MATCH(D89,Log!$G:$G,0))&amp;""),IF(AND(LEN(D89)=4,LEFT(D89,1)="L",ISNUMBER(VALUE(MID(D89,2,3)))),"ID não encontrado no Log","")))</f>
        <v/>
      </c>
      <c r="J89" s="5"/>
    </row>
    <row r="90" customFormat="false" ht="15" hidden="false" customHeight="false" outlineLevel="0" collapsed="false">
      <c r="A90" s="18"/>
      <c r="B90" s="5"/>
      <c r="C90" s="5"/>
      <c r="D90" s="5"/>
      <c r="E90" s="5"/>
      <c r="F90" s="5"/>
      <c r="G90" s="14"/>
      <c r="H90" s="14"/>
      <c r="I90" s="19" t="str">
        <f aca="false">IF(D90="","",IFERROR(IF(INDEX(Log!$I:$I,MATCH(D90,Log!$G:$G,0))&amp;""="",INDEX(Log!$A:$A,MATCH(D90,Log!$G:$G,0))&amp;"",INDEX(Log!$I:$I,MATCH(D90,Log!$G:$G,0))&amp;""),IF(AND(LEN(D90)=4,LEFT(D90,1)="L",ISNUMBER(VALUE(MID(D90,2,3)))),"ID não encontrado no Log","")))</f>
        <v/>
      </c>
      <c r="J90" s="5"/>
    </row>
    <row r="91" customFormat="false" ht="15" hidden="false" customHeight="false" outlineLevel="0" collapsed="false">
      <c r="A91" s="18"/>
      <c r="B91" s="5"/>
      <c r="C91" s="5"/>
      <c r="D91" s="5"/>
      <c r="E91" s="5"/>
      <c r="F91" s="5"/>
      <c r="G91" s="14"/>
      <c r="H91" s="14"/>
      <c r="I91" s="19" t="str">
        <f aca="false">IF(D91="","",IFERROR(IF(INDEX(Log!$I:$I,MATCH(D91,Log!$G:$G,0))&amp;""="",INDEX(Log!$A:$A,MATCH(D91,Log!$G:$G,0))&amp;"",INDEX(Log!$I:$I,MATCH(D91,Log!$G:$G,0))&amp;""),IF(AND(LEN(D91)=4,LEFT(D91,1)="L",ISNUMBER(VALUE(MID(D91,2,3)))),"ID não encontrado no Log","")))</f>
        <v/>
      </c>
      <c r="J91" s="5"/>
    </row>
    <row r="92" customFormat="false" ht="15" hidden="false" customHeight="false" outlineLevel="0" collapsed="false">
      <c r="A92" s="18"/>
      <c r="B92" s="5"/>
      <c r="C92" s="5"/>
      <c r="D92" s="5"/>
      <c r="E92" s="5"/>
      <c r="F92" s="5"/>
      <c r="G92" s="14"/>
      <c r="H92" s="14"/>
      <c r="I92" s="19" t="str">
        <f aca="false">IF(D92="","",IFERROR(IF(INDEX(Log!$I:$I,MATCH(D92,Log!$G:$G,0))&amp;""="",INDEX(Log!$A:$A,MATCH(D92,Log!$G:$G,0))&amp;"",INDEX(Log!$I:$I,MATCH(D92,Log!$G:$G,0))&amp;""),IF(AND(LEN(D92)=4,LEFT(D92,1)="L",ISNUMBER(VALUE(MID(D92,2,3)))),"ID não encontrado no Log","")))</f>
        <v/>
      </c>
      <c r="J92" s="5"/>
    </row>
    <row r="93" customFormat="false" ht="15" hidden="false" customHeight="false" outlineLevel="0" collapsed="false">
      <c r="A93" s="18"/>
      <c r="B93" s="5"/>
      <c r="C93" s="5"/>
      <c r="D93" s="5"/>
      <c r="E93" s="5"/>
      <c r="F93" s="5"/>
      <c r="G93" s="14"/>
      <c r="H93" s="14"/>
      <c r="I93" s="19" t="str">
        <f aca="false">IF(D93="","",IFERROR(IF(INDEX(Log!$I:$I,MATCH(D93,Log!$G:$G,0))&amp;""="",INDEX(Log!$A:$A,MATCH(D93,Log!$G:$G,0))&amp;"",INDEX(Log!$I:$I,MATCH(D93,Log!$G:$G,0))&amp;""),IF(AND(LEN(D93)=4,LEFT(D93,1)="L",ISNUMBER(VALUE(MID(D93,2,3)))),"ID não encontrado no Log","")))</f>
        <v/>
      </c>
      <c r="J93" s="5"/>
    </row>
    <row r="94" customFormat="false" ht="15" hidden="false" customHeight="false" outlineLevel="0" collapsed="false">
      <c r="A94" s="18"/>
      <c r="B94" s="5"/>
      <c r="C94" s="5"/>
      <c r="D94" s="5"/>
      <c r="E94" s="5"/>
      <c r="F94" s="5"/>
      <c r="G94" s="14"/>
      <c r="H94" s="14"/>
      <c r="I94" s="19" t="str">
        <f aca="false">IF(D94="","",IFERROR(IF(INDEX(Log!$I:$I,MATCH(D94,Log!$G:$G,0))&amp;""="",INDEX(Log!$A:$A,MATCH(D94,Log!$G:$G,0))&amp;"",INDEX(Log!$I:$I,MATCH(D94,Log!$G:$G,0))&amp;""),IF(AND(LEN(D94)=4,LEFT(D94,1)="L",ISNUMBER(VALUE(MID(D94,2,3)))),"ID não encontrado no Log","")))</f>
        <v/>
      </c>
      <c r="J94" s="5"/>
    </row>
    <row r="95" customFormat="false" ht="15" hidden="false" customHeight="false" outlineLevel="0" collapsed="false">
      <c r="A95" s="18"/>
      <c r="B95" s="5"/>
      <c r="C95" s="5"/>
      <c r="D95" s="5"/>
      <c r="E95" s="5"/>
      <c r="F95" s="5"/>
      <c r="G95" s="14"/>
      <c r="H95" s="14"/>
      <c r="I95" s="19" t="str">
        <f aca="false">IF(D95="","",IFERROR(IF(INDEX(Log!$I:$I,MATCH(D95,Log!$G:$G,0))&amp;""="",INDEX(Log!$A:$A,MATCH(D95,Log!$G:$G,0))&amp;"",INDEX(Log!$I:$I,MATCH(D95,Log!$G:$G,0))&amp;""),IF(AND(LEN(D95)=4,LEFT(D95,1)="L",ISNUMBER(VALUE(MID(D95,2,3)))),"ID não encontrado no Log","")))</f>
        <v/>
      </c>
      <c r="J95" s="5"/>
    </row>
    <row r="96" customFormat="false" ht="15" hidden="false" customHeight="false" outlineLevel="0" collapsed="false">
      <c r="A96" s="18"/>
      <c r="B96" s="5"/>
      <c r="C96" s="5"/>
      <c r="D96" s="5"/>
      <c r="E96" s="5"/>
      <c r="F96" s="5"/>
      <c r="G96" s="14"/>
      <c r="H96" s="14"/>
      <c r="I96" s="19" t="str">
        <f aca="false">IF(D96="","",IFERROR(IF(INDEX(Log!$I:$I,MATCH(D96,Log!$G:$G,0))&amp;""="",INDEX(Log!$A:$A,MATCH(D96,Log!$G:$G,0))&amp;"",INDEX(Log!$I:$I,MATCH(D96,Log!$G:$G,0))&amp;""),IF(AND(LEN(D96)=4,LEFT(D96,1)="L",ISNUMBER(VALUE(MID(D96,2,3)))),"ID não encontrado no Log","")))</f>
        <v/>
      </c>
      <c r="J96" s="5"/>
    </row>
    <row r="97" customFormat="false" ht="15" hidden="false" customHeight="false" outlineLevel="0" collapsed="false">
      <c r="A97" s="18"/>
      <c r="B97" s="5"/>
      <c r="C97" s="5"/>
      <c r="D97" s="5"/>
      <c r="E97" s="5"/>
      <c r="F97" s="5"/>
      <c r="G97" s="14"/>
      <c r="H97" s="14"/>
      <c r="I97" s="19" t="str">
        <f aca="false">IF(D97="","",IFERROR(IF(INDEX(Log!$I:$I,MATCH(D97,Log!$G:$G,0))&amp;""="",INDEX(Log!$A:$A,MATCH(D97,Log!$G:$G,0))&amp;"",INDEX(Log!$I:$I,MATCH(D97,Log!$G:$G,0))&amp;""),IF(AND(LEN(D97)=4,LEFT(D97,1)="L",ISNUMBER(VALUE(MID(D97,2,3)))),"ID não encontrado no Log","")))</f>
        <v/>
      </c>
      <c r="J97" s="5"/>
    </row>
    <row r="98" customFormat="false" ht="15" hidden="false" customHeight="false" outlineLevel="0" collapsed="false">
      <c r="A98" s="18"/>
      <c r="B98" s="5"/>
      <c r="C98" s="5"/>
      <c r="D98" s="5"/>
      <c r="E98" s="5"/>
      <c r="F98" s="5"/>
      <c r="G98" s="14"/>
      <c r="H98" s="14"/>
      <c r="I98" s="19" t="str">
        <f aca="false">IF(D98="","",IFERROR(IF(INDEX(Log!$I:$I,MATCH(D98,Log!$G:$G,0))&amp;""="",INDEX(Log!$A:$A,MATCH(D98,Log!$G:$G,0))&amp;"",INDEX(Log!$I:$I,MATCH(D98,Log!$G:$G,0))&amp;""),IF(AND(LEN(D98)=4,LEFT(D98,1)="L",ISNUMBER(VALUE(MID(D98,2,3)))),"ID não encontrado no Log","")))</f>
        <v/>
      </c>
      <c r="J98" s="5"/>
    </row>
    <row r="99" customFormat="false" ht="15" hidden="false" customHeight="false" outlineLevel="0" collapsed="false">
      <c r="A99" s="18"/>
      <c r="B99" s="5"/>
      <c r="C99" s="5"/>
      <c r="D99" s="5"/>
      <c r="E99" s="5"/>
      <c r="F99" s="5"/>
      <c r="G99" s="14"/>
      <c r="H99" s="14"/>
      <c r="I99" s="19" t="str">
        <f aca="false">IF(D99="","",IFERROR(IF(INDEX(Log!$I:$I,MATCH(D99,Log!$G:$G,0))&amp;""="",INDEX(Log!$A:$A,MATCH(D99,Log!$G:$G,0))&amp;"",INDEX(Log!$I:$I,MATCH(D99,Log!$G:$G,0))&amp;""),IF(AND(LEN(D99)=4,LEFT(D99,1)="L",ISNUMBER(VALUE(MID(D99,2,3)))),"ID não encontrado no Log","")))</f>
        <v/>
      </c>
      <c r="J99" s="5"/>
    </row>
    <row r="100" customFormat="false" ht="15" hidden="false" customHeight="false" outlineLevel="0" collapsed="false">
      <c r="A100" s="18"/>
      <c r="B100" s="5"/>
      <c r="C100" s="5"/>
      <c r="D100" s="5"/>
      <c r="E100" s="5"/>
      <c r="F100" s="5"/>
      <c r="G100" s="14"/>
      <c r="H100" s="14"/>
      <c r="I100" s="19" t="str">
        <f aca="false">IF(D100="","",IFERROR(IF(INDEX(Log!$I:$I,MATCH(D100,Log!$G:$G,0))&amp;""="",INDEX(Log!$A:$A,MATCH(D100,Log!$G:$G,0))&amp;"",INDEX(Log!$I:$I,MATCH(D100,Log!$G:$G,0))&amp;""),IF(AND(LEN(D100)=4,LEFT(D100,1)="L",ISNUMBER(VALUE(MID(D100,2,3)))),"ID não encontrado no Log","")))</f>
        <v/>
      </c>
      <c r="J100" s="5"/>
    </row>
    <row r="101" customFormat="false" ht="15" hidden="false" customHeight="false" outlineLevel="0" collapsed="false">
      <c r="A101" s="18"/>
      <c r="B101" s="5"/>
      <c r="C101" s="5"/>
      <c r="D101" s="5"/>
      <c r="E101" s="5"/>
      <c r="F101" s="5"/>
      <c r="G101" s="14"/>
      <c r="H101" s="14"/>
      <c r="I101" s="19" t="str">
        <f aca="false">IF(D101="","",IFERROR(IF(INDEX(Log!$I:$I,MATCH(D101,Log!$G:$G,0))&amp;""="",INDEX(Log!$A:$A,MATCH(D101,Log!$G:$G,0))&amp;"",INDEX(Log!$I:$I,MATCH(D101,Log!$G:$G,0))&amp;""),IF(AND(LEN(D101)=4,LEFT(D101,1)="L",ISNUMBER(VALUE(MID(D101,2,3)))),"ID não encontrado no Log","")))</f>
        <v/>
      </c>
      <c r="J101" s="5"/>
    </row>
    <row r="102" customFormat="false" ht="15" hidden="false" customHeight="false" outlineLevel="0" collapsed="false">
      <c r="A102" s="18"/>
      <c r="B102" s="5"/>
      <c r="C102" s="5"/>
      <c r="D102" s="5"/>
      <c r="E102" s="5"/>
      <c r="F102" s="5"/>
      <c r="G102" s="14"/>
      <c r="H102" s="14"/>
      <c r="I102" s="19" t="str">
        <f aca="false">IF(D102="","",IFERROR(IF(INDEX(Log!$I:$I,MATCH(D102,Log!$G:$G,0))&amp;""="",INDEX(Log!$A:$A,MATCH(D102,Log!$G:$G,0))&amp;"",INDEX(Log!$I:$I,MATCH(D102,Log!$G:$G,0))&amp;""),IF(AND(LEN(D102)=4,LEFT(D102,1)="L",ISNUMBER(VALUE(MID(D102,2,3)))),"ID não encontrado no Log","")))</f>
        <v/>
      </c>
      <c r="J102" s="5"/>
    </row>
    <row r="103" customFormat="false" ht="15" hidden="false" customHeight="false" outlineLevel="0" collapsed="false">
      <c r="A103" s="18"/>
      <c r="B103" s="5"/>
      <c r="C103" s="5"/>
      <c r="D103" s="5"/>
      <c r="E103" s="5"/>
      <c r="F103" s="5"/>
      <c r="G103" s="14"/>
      <c r="H103" s="14"/>
      <c r="I103" s="19" t="str">
        <f aca="false">IF(D103="","",IFERROR(IF(INDEX(Log!$I:$I,MATCH(D103,Log!$G:$G,0))&amp;""="",INDEX(Log!$A:$A,MATCH(D103,Log!$G:$G,0))&amp;"",INDEX(Log!$I:$I,MATCH(D103,Log!$G:$G,0))&amp;""),IF(AND(LEN(D103)=4,LEFT(D103,1)="L",ISNUMBER(VALUE(MID(D103,2,3)))),"ID não encontrado no Log","")))</f>
        <v/>
      </c>
      <c r="J103" s="5"/>
    </row>
    <row r="104" customFormat="false" ht="15" hidden="false" customHeight="false" outlineLevel="0" collapsed="false">
      <c r="A104" s="18"/>
      <c r="B104" s="5"/>
      <c r="C104" s="5"/>
      <c r="D104" s="5"/>
      <c r="E104" s="5"/>
      <c r="F104" s="5"/>
      <c r="G104" s="14"/>
      <c r="H104" s="14"/>
      <c r="I104" s="19" t="str">
        <f aca="false">IF(D104="","",IFERROR(IF(INDEX(Log!$I:$I,MATCH(D104,Log!$G:$G,0))&amp;""="",INDEX(Log!$A:$A,MATCH(D104,Log!$G:$G,0))&amp;"",INDEX(Log!$I:$I,MATCH(D104,Log!$G:$G,0))&amp;""),IF(AND(LEN(D104)=4,LEFT(D104,1)="L",ISNUMBER(VALUE(MID(D104,2,3)))),"ID não encontrado no Log","")))</f>
        <v/>
      </c>
      <c r="J104" s="5"/>
    </row>
    <row r="105" customFormat="false" ht="15" hidden="false" customHeight="false" outlineLevel="0" collapsed="false">
      <c r="A105" s="18"/>
      <c r="B105" s="5"/>
      <c r="C105" s="5"/>
      <c r="D105" s="5"/>
      <c r="E105" s="5"/>
      <c r="F105" s="5"/>
      <c r="G105" s="14"/>
      <c r="H105" s="14"/>
      <c r="I105" s="19" t="str">
        <f aca="false">IF(D105="","",IFERROR(IF(INDEX(Log!$I:$I,MATCH(D105,Log!$G:$G,0))&amp;""="",INDEX(Log!$A:$A,MATCH(D105,Log!$G:$G,0))&amp;"",INDEX(Log!$I:$I,MATCH(D105,Log!$G:$G,0))&amp;""),IF(AND(LEN(D105)=4,LEFT(D105,1)="L",ISNUMBER(VALUE(MID(D105,2,3)))),"ID não encontrado no Log","")))</f>
        <v/>
      </c>
      <c r="J105" s="5"/>
    </row>
    <row r="106" customFormat="false" ht="15" hidden="false" customHeight="false" outlineLevel="0" collapsed="false">
      <c r="A106" s="18"/>
      <c r="B106" s="5"/>
      <c r="C106" s="5"/>
      <c r="D106" s="5"/>
      <c r="E106" s="5"/>
      <c r="F106" s="5"/>
      <c r="G106" s="14"/>
      <c r="H106" s="14"/>
      <c r="I106" s="19" t="str">
        <f aca="false">IF(D106="","",IFERROR(IF(INDEX(Log!$I:$I,MATCH(D106,Log!$G:$G,0))&amp;""="",INDEX(Log!$A:$A,MATCH(D106,Log!$G:$G,0))&amp;"",INDEX(Log!$I:$I,MATCH(D106,Log!$G:$G,0))&amp;""),IF(AND(LEN(D106)=4,LEFT(D106,1)="L",ISNUMBER(VALUE(MID(D106,2,3)))),"ID não encontrado no Log","")))</f>
        <v/>
      </c>
      <c r="J106" s="5"/>
    </row>
    <row r="107" customFormat="false" ht="15" hidden="false" customHeight="false" outlineLevel="0" collapsed="false">
      <c r="A107" s="18"/>
      <c r="B107" s="5"/>
      <c r="C107" s="5"/>
      <c r="D107" s="5"/>
      <c r="E107" s="5"/>
      <c r="F107" s="5"/>
      <c r="G107" s="14"/>
      <c r="H107" s="14"/>
      <c r="I107" s="19" t="str">
        <f aca="false">IF(D107="","",IFERROR(IF(INDEX(Log!$I:$I,MATCH(D107,Log!$G:$G,0))&amp;""="",INDEX(Log!$A:$A,MATCH(D107,Log!$G:$G,0))&amp;"",INDEX(Log!$I:$I,MATCH(D107,Log!$G:$G,0))&amp;""),IF(AND(LEN(D107)=4,LEFT(D107,1)="L",ISNUMBER(VALUE(MID(D107,2,3)))),"ID não encontrado no Log","")))</f>
        <v/>
      </c>
      <c r="J107" s="5"/>
    </row>
    <row r="108" customFormat="false" ht="15" hidden="false" customHeight="false" outlineLevel="0" collapsed="false">
      <c r="A108" s="18"/>
      <c r="B108" s="5"/>
      <c r="C108" s="5"/>
      <c r="D108" s="5"/>
      <c r="E108" s="5"/>
      <c r="F108" s="5"/>
      <c r="G108" s="14"/>
      <c r="H108" s="14"/>
      <c r="I108" s="19" t="str">
        <f aca="false">IF(D108="","",IFERROR(IF(INDEX(Log!$I:$I,MATCH(D108,Log!$G:$G,0))&amp;""="",INDEX(Log!$A:$A,MATCH(D108,Log!$G:$G,0))&amp;"",INDEX(Log!$I:$I,MATCH(D108,Log!$G:$G,0))&amp;""),IF(AND(LEN(D108)=4,LEFT(D108,1)="L",ISNUMBER(VALUE(MID(D108,2,3)))),"ID não encontrado no Log","")))</f>
        <v/>
      </c>
      <c r="J108" s="5"/>
    </row>
    <row r="109" customFormat="false" ht="15" hidden="false" customHeight="false" outlineLevel="0" collapsed="false">
      <c r="A109" s="18"/>
      <c r="B109" s="5"/>
      <c r="C109" s="5"/>
      <c r="D109" s="5"/>
      <c r="E109" s="5"/>
      <c r="F109" s="5"/>
      <c r="G109" s="14"/>
      <c r="H109" s="14"/>
      <c r="I109" s="19" t="str">
        <f aca="false">IF(D109="","",IFERROR(IF(INDEX(Log!$I:$I,MATCH(D109,Log!$G:$G,0))&amp;""="",INDEX(Log!$A:$A,MATCH(D109,Log!$G:$G,0))&amp;"",INDEX(Log!$I:$I,MATCH(D109,Log!$G:$G,0))&amp;""),IF(AND(LEN(D109)=4,LEFT(D109,1)="L",ISNUMBER(VALUE(MID(D109,2,3)))),"ID não encontrado no Log","")))</f>
        <v/>
      </c>
      <c r="J109" s="5"/>
    </row>
    <row r="110" customFormat="false" ht="15" hidden="false" customHeight="false" outlineLevel="0" collapsed="false">
      <c r="A110" s="18"/>
      <c r="B110" s="5"/>
      <c r="C110" s="5"/>
      <c r="D110" s="5"/>
      <c r="E110" s="5"/>
      <c r="F110" s="5"/>
      <c r="G110" s="14"/>
      <c r="H110" s="14"/>
      <c r="I110" s="19" t="str">
        <f aca="false">IF(D110="","",IFERROR(IF(INDEX(Log!$I:$I,MATCH(D110,Log!$G:$G,0))&amp;""="",INDEX(Log!$A:$A,MATCH(D110,Log!$G:$G,0))&amp;"",INDEX(Log!$I:$I,MATCH(D110,Log!$G:$G,0))&amp;""),IF(AND(LEN(D110)=4,LEFT(D110,1)="L",ISNUMBER(VALUE(MID(D110,2,3)))),"ID não encontrado no Log","")))</f>
        <v/>
      </c>
      <c r="J110" s="5"/>
    </row>
    <row r="111" customFormat="false" ht="15" hidden="false" customHeight="false" outlineLevel="0" collapsed="false">
      <c r="A111" s="18"/>
      <c r="B111" s="5"/>
      <c r="C111" s="5"/>
      <c r="D111" s="5"/>
      <c r="E111" s="5"/>
      <c r="F111" s="5"/>
      <c r="G111" s="14"/>
      <c r="H111" s="14"/>
      <c r="I111" s="19" t="str">
        <f aca="false">IF(D111="","",IFERROR(IF(INDEX(Log!$I:$I,MATCH(D111,Log!$G:$G,0))&amp;""="",INDEX(Log!$A:$A,MATCH(D111,Log!$G:$G,0))&amp;"",INDEX(Log!$I:$I,MATCH(D111,Log!$G:$G,0))&amp;""),IF(AND(LEN(D111)=4,LEFT(D111,1)="L",ISNUMBER(VALUE(MID(D111,2,3)))),"ID não encontrado no Log","")))</f>
        <v/>
      </c>
      <c r="J111" s="5"/>
    </row>
    <row r="112" customFormat="false" ht="15" hidden="false" customHeight="false" outlineLevel="0" collapsed="false">
      <c r="A112" s="18"/>
      <c r="B112" s="5"/>
      <c r="C112" s="5"/>
      <c r="D112" s="5"/>
      <c r="E112" s="5"/>
      <c r="F112" s="5"/>
      <c r="G112" s="14"/>
      <c r="H112" s="14"/>
      <c r="I112" s="19" t="str">
        <f aca="false">IF(D112="","",IFERROR(IF(INDEX(Log!$I:$I,MATCH(D112,Log!$G:$G,0))&amp;""="",INDEX(Log!$A:$A,MATCH(D112,Log!$G:$G,0))&amp;"",INDEX(Log!$I:$I,MATCH(D112,Log!$G:$G,0))&amp;""),IF(AND(LEN(D112)=4,LEFT(D112,1)="L",ISNUMBER(VALUE(MID(D112,2,3)))),"ID não encontrado no Log","")))</f>
        <v/>
      </c>
      <c r="J112" s="5"/>
    </row>
    <row r="113" customFormat="false" ht="15" hidden="false" customHeight="false" outlineLevel="0" collapsed="false">
      <c r="A113" s="18"/>
      <c r="B113" s="5"/>
      <c r="C113" s="5"/>
      <c r="D113" s="5"/>
      <c r="E113" s="5"/>
      <c r="F113" s="5"/>
      <c r="G113" s="14"/>
      <c r="H113" s="14"/>
      <c r="I113" s="19" t="str">
        <f aca="false">IF(D113="","",IFERROR(IF(INDEX(Log!$I:$I,MATCH(D113,Log!$G:$G,0))&amp;""="",INDEX(Log!$A:$A,MATCH(D113,Log!$G:$G,0))&amp;"",INDEX(Log!$I:$I,MATCH(D113,Log!$G:$G,0))&amp;""),IF(AND(LEN(D113)=4,LEFT(D113,1)="L",ISNUMBER(VALUE(MID(D113,2,3)))),"ID não encontrado no Log","")))</f>
        <v/>
      </c>
      <c r="J113" s="5"/>
    </row>
    <row r="114" customFormat="false" ht="15" hidden="false" customHeight="false" outlineLevel="0" collapsed="false">
      <c r="A114" s="18"/>
      <c r="B114" s="5"/>
      <c r="C114" s="5"/>
      <c r="D114" s="5"/>
      <c r="E114" s="5"/>
      <c r="F114" s="5"/>
      <c r="G114" s="14"/>
      <c r="H114" s="14"/>
      <c r="I114" s="19" t="str">
        <f aca="false">IF(D114="","",IFERROR(IF(INDEX(Log!$I:$I,MATCH(D114,Log!$G:$G,0))&amp;""="",INDEX(Log!$A:$A,MATCH(D114,Log!$G:$G,0))&amp;"",INDEX(Log!$I:$I,MATCH(D114,Log!$G:$G,0))&amp;""),IF(AND(LEN(D114)=4,LEFT(D114,1)="L",ISNUMBER(VALUE(MID(D114,2,3)))),"ID não encontrado no Log","")))</f>
        <v/>
      </c>
      <c r="J114" s="5"/>
    </row>
    <row r="115" customFormat="false" ht="15" hidden="false" customHeight="false" outlineLevel="0" collapsed="false">
      <c r="A115" s="18"/>
      <c r="B115" s="5"/>
      <c r="C115" s="5"/>
      <c r="D115" s="5"/>
      <c r="E115" s="5"/>
      <c r="F115" s="5"/>
      <c r="G115" s="14"/>
      <c r="H115" s="14"/>
      <c r="I115" s="19" t="str">
        <f aca="false">IF(D115="","",IFERROR(IF(INDEX(Log!$I:$I,MATCH(D115,Log!$G:$G,0))&amp;""="",INDEX(Log!$A:$A,MATCH(D115,Log!$G:$G,0))&amp;"",INDEX(Log!$I:$I,MATCH(D115,Log!$G:$G,0))&amp;""),IF(AND(LEN(D115)=4,LEFT(D115,1)="L",ISNUMBER(VALUE(MID(D115,2,3)))),"ID não encontrado no Log","")))</f>
        <v/>
      </c>
      <c r="J115" s="5"/>
    </row>
    <row r="116" customFormat="false" ht="15" hidden="false" customHeight="false" outlineLevel="0" collapsed="false">
      <c r="A116" s="18"/>
      <c r="B116" s="5"/>
      <c r="C116" s="5"/>
      <c r="D116" s="5"/>
      <c r="E116" s="5"/>
      <c r="F116" s="5"/>
      <c r="G116" s="14"/>
      <c r="H116" s="14"/>
      <c r="I116" s="19" t="str">
        <f aca="false">IF(D116="","",IFERROR(IF(INDEX(Log!$I:$I,MATCH(D116,Log!$G:$G,0))&amp;""="",INDEX(Log!$A:$A,MATCH(D116,Log!$G:$G,0))&amp;"",INDEX(Log!$I:$I,MATCH(D116,Log!$G:$G,0))&amp;""),IF(AND(LEN(D116)=4,LEFT(D116,1)="L",ISNUMBER(VALUE(MID(D116,2,3)))),"ID não encontrado no Log","")))</f>
        <v/>
      </c>
      <c r="J116" s="5"/>
    </row>
    <row r="117" customFormat="false" ht="15" hidden="false" customHeight="false" outlineLevel="0" collapsed="false">
      <c r="A117" s="18"/>
      <c r="B117" s="5"/>
      <c r="C117" s="5"/>
      <c r="D117" s="5"/>
      <c r="E117" s="5"/>
      <c r="F117" s="5"/>
      <c r="G117" s="14"/>
      <c r="H117" s="14"/>
      <c r="I117" s="19" t="str">
        <f aca="false">IF(D117="","",IFERROR(IF(INDEX(Log!$I:$I,MATCH(D117,Log!$G:$G,0))&amp;""="",INDEX(Log!$A:$A,MATCH(D117,Log!$G:$G,0))&amp;"",INDEX(Log!$I:$I,MATCH(D117,Log!$G:$G,0))&amp;""),IF(AND(LEN(D117)=4,LEFT(D117,1)="L",ISNUMBER(VALUE(MID(D117,2,3)))),"ID não encontrado no Log","")))</f>
        <v/>
      </c>
      <c r="J117" s="5"/>
    </row>
    <row r="118" customFormat="false" ht="15" hidden="false" customHeight="false" outlineLevel="0" collapsed="false">
      <c r="A118" s="18"/>
      <c r="B118" s="5"/>
      <c r="C118" s="5"/>
      <c r="D118" s="5"/>
      <c r="E118" s="5"/>
      <c r="F118" s="5"/>
      <c r="G118" s="14"/>
      <c r="H118" s="14"/>
      <c r="I118" s="19" t="str">
        <f aca="false">IF(D118="","",IFERROR(IF(INDEX(Log!$I:$I,MATCH(D118,Log!$G:$G,0))&amp;""="",INDEX(Log!$A:$A,MATCH(D118,Log!$G:$G,0))&amp;"",INDEX(Log!$I:$I,MATCH(D118,Log!$G:$G,0))&amp;""),IF(AND(LEN(D118)=4,LEFT(D118,1)="L",ISNUMBER(VALUE(MID(D118,2,3)))),"ID não encontrado no Log","")))</f>
        <v/>
      </c>
      <c r="J118" s="5"/>
    </row>
    <row r="119" customFormat="false" ht="15" hidden="false" customHeight="false" outlineLevel="0" collapsed="false">
      <c r="A119" s="18"/>
      <c r="B119" s="5"/>
      <c r="C119" s="5"/>
      <c r="D119" s="5"/>
      <c r="E119" s="5"/>
      <c r="F119" s="5"/>
      <c r="G119" s="14"/>
      <c r="H119" s="14"/>
      <c r="I119" s="19" t="str">
        <f aca="false">IF(D119="","",IFERROR(IF(INDEX(Log!$I:$I,MATCH(D119,Log!$G:$G,0))&amp;""="",INDEX(Log!$A:$A,MATCH(D119,Log!$G:$G,0))&amp;"",INDEX(Log!$I:$I,MATCH(D119,Log!$G:$G,0))&amp;""),IF(AND(LEN(D119)=4,LEFT(D119,1)="L",ISNUMBER(VALUE(MID(D119,2,3)))),"ID não encontrado no Log","")))</f>
        <v/>
      </c>
      <c r="J119" s="5"/>
    </row>
    <row r="120" customFormat="false" ht="15" hidden="false" customHeight="false" outlineLevel="0" collapsed="false">
      <c r="A120" s="18"/>
      <c r="B120" s="5"/>
      <c r="C120" s="5"/>
      <c r="D120" s="5"/>
      <c r="E120" s="5"/>
      <c r="F120" s="5"/>
      <c r="G120" s="14"/>
      <c r="H120" s="14"/>
      <c r="I120" s="19" t="str">
        <f aca="false">IF(D120="","",IFERROR(IF(INDEX(Log!$I:$I,MATCH(D120,Log!$G:$G,0))&amp;""="",INDEX(Log!$A:$A,MATCH(D120,Log!$G:$G,0))&amp;"",INDEX(Log!$I:$I,MATCH(D120,Log!$G:$G,0))&amp;""),IF(AND(LEN(D120)=4,LEFT(D120,1)="L",ISNUMBER(VALUE(MID(D120,2,3)))),"ID não encontrado no Log","")))</f>
        <v/>
      </c>
      <c r="J120" s="5"/>
    </row>
    <row r="121" customFormat="false" ht="15" hidden="false" customHeight="false" outlineLevel="0" collapsed="false">
      <c r="A121" s="18"/>
      <c r="B121" s="5"/>
      <c r="C121" s="5"/>
      <c r="D121" s="5"/>
      <c r="E121" s="5"/>
      <c r="F121" s="5"/>
      <c r="G121" s="14"/>
      <c r="H121" s="14"/>
      <c r="I121" s="19" t="str">
        <f aca="false">IF(D121="","",IFERROR(IF(INDEX(Log!$I:$I,MATCH(D121,Log!$G:$G,0))&amp;""="",INDEX(Log!$A:$A,MATCH(D121,Log!$G:$G,0))&amp;"",INDEX(Log!$I:$I,MATCH(D121,Log!$G:$G,0))&amp;""),IF(AND(LEN(D121)=4,LEFT(D121,1)="L",ISNUMBER(VALUE(MID(D121,2,3)))),"ID não encontrado no Log","")))</f>
        <v/>
      </c>
      <c r="J121" s="5"/>
    </row>
    <row r="122" customFormat="false" ht="15" hidden="false" customHeight="false" outlineLevel="0" collapsed="false">
      <c r="A122" s="18"/>
      <c r="B122" s="5"/>
      <c r="C122" s="5"/>
      <c r="D122" s="5"/>
      <c r="E122" s="5"/>
      <c r="F122" s="5"/>
      <c r="G122" s="14"/>
      <c r="H122" s="14"/>
      <c r="I122" s="19" t="str">
        <f aca="false">IF(D122="","",IFERROR(IF(INDEX(Log!$I:$I,MATCH(D122,Log!$G:$G,0))&amp;""="",INDEX(Log!$A:$A,MATCH(D122,Log!$G:$G,0))&amp;"",INDEX(Log!$I:$I,MATCH(D122,Log!$G:$G,0))&amp;""),IF(AND(LEN(D122)=4,LEFT(D122,1)="L",ISNUMBER(VALUE(MID(D122,2,3)))),"ID não encontrado no Log","")))</f>
        <v/>
      </c>
      <c r="J122" s="5"/>
    </row>
    <row r="123" customFormat="false" ht="15" hidden="false" customHeight="false" outlineLevel="0" collapsed="false">
      <c r="A123" s="18"/>
      <c r="B123" s="5"/>
      <c r="C123" s="5"/>
      <c r="D123" s="5"/>
      <c r="E123" s="5"/>
      <c r="F123" s="5"/>
      <c r="G123" s="14"/>
      <c r="H123" s="14"/>
      <c r="I123" s="19" t="str">
        <f aca="false">IF(D123="","",IFERROR(IF(INDEX(Log!$I:$I,MATCH(D123,Log!$G:$G,0))&amp;""="",INDEX(Log!$A:$A,MATCH(D123,Log!$G:$G,0))&amp;"",INDEX(Log!$I:$I,MATCH(D123,Log!$G:$G,0))&amp;""),IF(AND(LEN(D123)=4,LEFT(D123,1)="L",ISNUMBER(VALUE(MID(D123,2,3)))),"ID não encontrado no Log","")))</f>
        <v/>
      </c>
      <c r="J123" s="5"/>
    </row>
    <row r="124" customFormat="false" ht="15" hidden="false" customHeight="false" outlineLevel="0" collapsed="false">
      <c r="A124" s="18"/>
      <c r="B124" s="5"/>
      <c r="C124" s="5"/>
      <c r="D124" s="5"/>
      <c r="E124" s="5"/>
      <c r="F124" s="5"/>
      <c r="G124" s="14"/>
      <c r="H124" s="14"/>
      <c r="I124" s="19" t="str">
        <f aca="false">IF(D124="","",IFERROR(IF(INDEX(Log!$I:$I,MATCH(D124,Log!$G:$G,0))&amp;""="",INDEX(Log!$A:$A,MATCH(D124,Log!$G:$G,0))&amp;"",INDEX(Log!$I:$I,MATCH(D124,Log!$G:$G,0))&amp;""),IF(AND(LEN(D124)=4,LEFT(D124,1)="L",ISNUMBER(VALUE(MID(D124,2,3)))),"ID não encontrado no Log","")))</f>
        <v/>
      </c>
      <c r="J124" s="5"/>
    </row>
    <row r="125" customFormat="false" ht="15" hidden="false" customHeight="false" outlineLevel="0" collapsed="false">
      <c r="A125" s="18"/>
      <c r="B125" s="5"/>
      <c r="C125" s="5"/>
      <c r="D125" s="5"/>
      <c r="E125" s="5"/>
      <c r="F125" s="5"/>
      <c r="G125" s="14"/>
      <c r="H125" s="14"/>
      <c r="I125" s="19" t="str">
        <f aca="false">IF(D125="","",IFERROR(IF(INDEX(Log!$I:$I,MATCH(D125,Log!$G:$G,0))&amp;""="",INDEX(Log!$A:$A,MATCH(D125,Log!$G:$G,0))&amp;"",INDEX(Log!$I:$I,MATCH(D125,Log!$G:$G,0))&amp;""),IF(AND(LEN(D125)=4,LEFT(D125,1)="L",ISNUMBER(VALUE(MID(D125,2,3)))),"ID não encontrado no Log","")))</f>
        <v/>
      </c>
      <c r="J125" s="5"/>
    </row>
    <row r="126" customFormat="false" ht="15" hidden="false" customHeight="false" outlineLevel="0" collapsed="false">
      <c r="A126" s="18"/>
      <c r="B126" s="5"/>
      <c r="C126" s="5"/>
      <c r="D126" s="5"/>
      <c r="E126" s="5"/>
      <c r="F126" s="5"/>
      <c r="G126" s="14"/>
      <c r="H126" s="14"/>
      <c r="I126" s="19" t="str">
        <f aca="false">IF(D126="","",IFERROR(IF(INDEX(Log!$I:$I,MATCH(D126,Log!$G:$G,0))&amp;""="",INDEX(Log!$A:$A,MATCH(D126,Log!$G:$G,0))&amp;"",INDEX(Log!$I:$I,MATCH(D126,Log!$G:$G,0))&amp;""),IF(AND(LEN(D126)=4,LEFT(D126,1)="L",ISNUMBER(VALUE(MID(D126,2,3)))),"ID não encontrado no Log","")))</f>
        <v/>
      </c>
      <c r="J126" s="5"/>
    </row>
    <row r="127" customFormat="false" ht="15" hidden="false" customHeight="false" outlineLevel="0" collapsed="false">
      <c r="A127" s="18"/>
      <c r="B127" s="5"/>
      <c r="C127" s="5"/>
      <c r="D127" s="5"/>
      <c r="E127" s="5"/>
      <c r="F127" s="5"/>
      <c r="G127" s="14"/>
      <c r="H127" s="14"/>
      <c r="I127" s="19" t="str">
        <f aca="false">IF(D127="","",IFERROR(IF(INDEX(Log!$I:$I,MATCH(D127,Log!$G:$G,0))&amp;""="",INDEX(Log!$A:$A,MATCH(D127,Log!$G:$G,0))&amp;"",INDEX(Log!$I:$I,MATCH(D127,Log!$G:$G,0))&amp;""),IF(AND(LEN(D127)=4,LEFT(D127,1)="L",ISNUMBER(VALUE(MID(D127,2,3)))),"ID não encontrado no Log","")))</f>
        <v/>
      </c>
      <c r="J127" s="5"/>
    </row>
    <row r="128" customFormat="false" ht="15" hidden="false" customHeight="false" outlineLevel="0" collapsed="false">
      <c r="A128" s="18"/>
      <c r="B128" s="5"/>
      <c r="C128" s="5"/>
      <c r="D128" s="5"/>
      <c r="E128" s="5"/>
      <c r="F128" s="5"/>
      <c r="G128" s="14"/>
      <c r="H128" s="14"/>
      <c r="I128" s="19" t="str">
        <f aca="false">IF(D128="","",IFERROR(IF(INDEX(Log!$I:$I,MATCH(D128,Log!$G:$G,0))&amp;""="",INDEX(Log!$A:$A,MATCH(D128,Log!$G:$G,0))&amp;"",INDEX(Log!$I:$I,MATCH(D128,Log!$G:$G,0))&amp;""),IF(AND(LEN(D128)=4,LEFT(D128,1)="L",ISNUMBER(VALUE(MID(D128,2,3)))),"ID não encontrado no Log","")))</f>
        <v/>
      </c>
      <c r="J128" s="5"/>
    </row>
    <row r="129" customFormat="false" ht="15" hidden="false" customHeight="false" outlineLevel="0" collapsed="false">
      <c r="A129" s="18"/>
      <c r="B129" s="5"/>
      <c r="C129" s="5"/>
      <c r="D129" s="5"/>
      <c r="E129" s="5"/>
      <c r="F129" s="5"/>
      <c r="G129" s="14"/>
      <c r="H129" s="14"/>
      <c r="I129" s="19" t="str">
        <f aca="false">IF(D129="","",IFERROR(IF(INDEX(Log!$I:$I,MATCH(D129,Log!$G:$G,0))&amp;""="",INDEX(Log!$A:$A,MATCH(D129,Log!$G:$G,0))&amp;"",INDEX(Log!$I:$I,MATCH(D129,Log!$G:$G,0))&amp;""),IF(AND(LEN(D129)=4,LEFT(D129,1)="L",ISNUMBER(VALUE(MID(D129,2,3)))),"ID não encontrado no Log","")))</f>
        <v/>
      </c>
      <c r="J129" s="5"/>
    </row>
    <row r="130" customFormat="false" ht="15" hidden="false" customHeight="false" outlineLevel="0" collapsed="false">
      <c r="A130" s="18"/>
      <c r="B130" s="5"/>
      <c r="C130" s="5"/>
      <c r="D130" s="5"/>
      <c r="E130" s="5"/>
      <c r="F130" s="5"/>
      <c r="G130" s="14"/>
      <c r="H130" s="14"/>
      <c r="I130" s="19" t="str">
        <f aca="false">IF(D130="","",IFERROR(IF(INDEX(Log!$I:$I,MATCH(D130,Log!$G:$G,0))&amp;""="",INDEX(Log!$A:$A,MATCH(D130,Log!$G:$G,0))&amp;"",INDEX(Log!$I:$I,MATCH(D130,Log!$G:$G,0))&amp;""),IF(AND(LEN(D130)=4,LEFT(D130,1)="L",ISNUMBER(VALUE(MID(D130,2,3)))),"ID não encontrado no Log","")))</f>
        <v/>
      </c>
      <c r="J130" s="5"/>
    </row>
    <row r="131" customFormat="false" ht="15" hidden="false" customHeight="false" outlineLevel="0" collapsed="false">
      <c r="A131" s="18"/>
      <c r="B131" s="5"/>
      <c r="C131" s="5"/>
      <c r="D131" s="5"/>
      <c r="E131" s="5"/>
      <c r="F131" s="5"/>
      <c r="G131" s="14"/>
      <c r="H131" s="14"/>
      <c r="I131" s="19" t="str">
        <f aca="false">IF(D131="","",IFERROR(IF(INDEX(Log!$I:$I,MATCH(D131,Log!$G:$G,0))&amp;""="",INDEX(Log!$A:$A,MATCH(D131,Log!$G:$G,0))&amp;"",INDEX(Log!$I:$I,MATCH(D131,Log!$G:$G,0))&amp;""),IF(AND(LEN(D131)=4,LEFT(D131,1)="L",ISNUMBER(VALUE(MID(D131,2,3)))),"ID não encontrado no Log","")))</f>
        <v/>
      </c>
      <c r="J131" s="5"/>
    </row>
    <row r="132" customFormat="false" ht="15" hidden="false" customHeight="false" outlineLevel="0" collapsed="false">
      <c r="A132" s="18"/>
      <c r="B132" s="5"/>
      <c r="C132" s="5"/>
      <c r="D132" s="5"/>
      <c r="E132" s="5"/>
      <c r="F132" s="5"/>
      <c r="G132" s="14"/>
      <c r="H132" s="14"/>
      <c r="I132" s="19" t="str">
        <f aca="false">IF(D132="","",IFERROR(IF(INDEX(Log!$I:$I,MATCH(D132,Log!$G:$G,0))&amp;""="",INDEX(Log!$A:$A,MATCH(D132,Log!$G:$G,0))&amp;"",INDEX(Log!$I:$I,MATCH(D132,Log!$G:$G,0))&amp;""),IF(AND(LEN(D132)=4,LEFT(D132,1)="L",ISNUMBER(VALUE(MID(D132,2,3)))),"ID não encontrado no Log","")))</f>
        <v/>
      </c>
      <c r="J132" s="5"/>
    </row>
    <row r="133" customFormat="false" ht="15" hidden="false" customHeight="false" outlineLevel="0" collapsed="false">
      <c r="A133" s="18"/>
      <c r="B133" s="5"/>
      <c r="C133" s="5"/>
      <c r="D133" s="5"/>
      <c r="E133" s="5"/>
      <c r="F133" s="5"/>
      <c r="G133" s="14"/>
      <c r="H133" s="14"/>
      <c r="I133" s="19" t="str">
        <f aca="false">IF(D133="","",IFERROR(IF(INDEX(Log!$I:$I,MATCH(D133,Log!$G:$G,0))&amp;""="",INDEX(Log!$A:$A,MATCH(D133,Log!$G:$G,0))&amp;"",INDEX(Log!$I:$I,MATCH(D133,Log!$G:$G,0))&amp;""),IF(AND(LEN(D133)=4,LEFT(D133,1)="L",ISNUMBER(VALUE(MID(D133,2,3)))),"ID não encontrado no Log","")))</f>
        <v/>
      </c>
      <c r="J133" s="5"/>
    </row>
    <row r="134" customFormat="false" ht="15" hidden="false" customHeight="false" outlineLevel="0" collapsed="false">
      <c r="A134" s="18"/>
      <c r="B134" s="5"/>
      <c r="C134" s="5"/>
      <c r="D134" s="5"/>
      <c r="E134" s="5"/>
      <c r="F134" s="5"/>
      <c r="G134" s="14"/>
      <c r="H134" s="14"/>
      <c r="I134" s="19" t="str">
        <f aca="false">IF(D134="","",IFERROR(IF(INDEX(Log!$I:$I,MATCH(D134,Log!$G:$G,0))&amp;""="",INDEX(Log!$A:$A,MATCH(D134,Log!$G:$G,0))&amp;"",INDEX(Log!$I:$I,MATCH(D134,Log!$G:$G,0))&amp;""),IF(AND(LEN(D134)=4,LEFT(D134,1)="L",ISNUMBER(VALUE(MID(D134,2,3)))),"ID não encontrado no Log","")))</f>
        <v/>
      </c>
      <c r="J134" s="5"/>
    </row>
    <row r="135" customFormat="false" ht="15" hidden="false" customHeight="false" outlineLevel="0" collapsed="false">
      <c r="A135" s="18"/>
      <c r="B135" s="5"/>
      <c r="C135" s="5"/>
      <c r="D135" s="5"/>
      <c r="E135" s="5"/>
      <c r="F135" s="5"/>
      <c r="G135" s="14"/>
      <c r="H135" s="14"/>
      <c r="I135" s="19" t="str">
        <f aca="false">IF(D135="","",IFERROR(IF(INDEX(Log!$I:$I,MATCH(D135,Log!$G:$G,0))&amp;""="",INDEX(Log!$A:$A,MATCH(D135,Log!$G:$G,0))&amp;"",INDEX(Log!$I:$I,MATCH(D135,Log!$G:$G,0))&amp;""),IF(AND(LEN(D135)=4,LEFT(D135,1)="L",ISNUMBER(VALUE(MID(D135,2,3)))),"ID não encontrado no Log","")))</f>
        <v/>
      </c>
      <c r="J135" s="5"/>
    </row>
    <row r="136" customFormat="false" ht="15" hidden="false" customHeight="false" outlineLevel="0" collapsed="false">
      <c r="A136" s="18"/>
      <c r="B136" s="5"/>
      <c r="C136" s="5"/>
      <c r="D136" s="5"/>
      <c r="E136" s="5"/>
      <c r="F136" s="5"/>
      <c r="G136" s="14"/>
      <c r="H136" s="14"/>
      <c r="I136" s="19" t="str">
        <f aca="false">IF(D136="","",IFERROR(IF(INDEX(Log!$I:$I,MATCH(D136,Log!$G:$G,0))&amp;""="",INDEX(Log!$A:$A,MATCH(D136,Log!$G:$G,0))&amp;"",INDEX(Log!$I:$I,MATCH(D136,Log!$G:$G,0))&amp;""),IF(AND(LEN(D136)=4,LEFT(D136,1)="L",ISNUMBER(VALUE(MID(D136,2,3)))),"ID não encontrado no Log","")))</f>
        <v/>
      </c>
      <c r="J136" s="5"/>
    </row>
    <row r="137" customFormat="false" ht="15" hidden="false" customHeight="false" outlineLevel="0" collapsed="false">
      <c r="A137" s="18"/>
      <c r="B137" s="5"/>
      <c r="C137" s="5"/>
      <c r="D137" s="5"/>
      <c r="E137" s="5"/>
      <c r="F137" s="5"/>
      <c r="G137" s="14"/>
      <c r="H137" s="14"/>
      <c r="I137" s="19" t="str">
        <f aca="false">IF(D137="","",IFERROR(IF(INDEX(Log!$I:$I,MATCH(D137,Log!$G:$G,0))&amp;""="",INDEX(Log!$A:$A,MATCH(D137,Log!$G:$G,0))&amp;"",INDEX(Log!$I:$I,MATCH(D137,Log!$G:$G,0))&amp;""),IF(AND(LEN(D137)=4,LEFT(D137,1)="L",ISNUMBER(VALUE(MID(D137,2,3)))),"ID não encontrado no Log","")))</f>
        <v/>
      </c>
      <c r="J137" s="5"/>
    </row>
    <row r="138" customFormat="false" ht="15" hidden="false" customHeight="false" outlineLevel="0" collapsed="false">
      <c r="A138" s="18"/>
      <c r="B138" s="5"/>
      <c r="C138" s="5"/>
      <c r="D138" s="5"/>
      <c r="E138" s="5"/>
      <c r="F138" s="5"/>
      <c r="G138" s="14"/>
      <c r="H138" s="14"/>
      <c r="I138" s="19" t="str">
        <f aca="false">IF(D138="","",IFERROR(IF(INDEX(Log!$I:$I,MATCH(D138,Log!$G:$G,0))&amp;""="",INDEX(Log!$A:$A,MATCH(D138,Log!$G:$G,0))&amp;"",INDEX(Log!$I:$I,MATCH(D138,Log!$G:$G,0))&amp;""),IF(AND(LEN(D138)=4,LEFT(D138,1)="L",ISNUMBER(VALUE(MID(D138,2,3)))),"ID não encontrado no Log","")))</f>
        <v/>
      </c>
      <c r="J138" s="5"/>
    </row>
    <row r="139" customFormat="false" ht="15" hidden="false" customHeight="false" outlineLevel="0" collapsed="false">
      <c r="A139" s="18"/>
      <c r="B139" s="5"/>
      <c r="C139" s="5"/>
      <c r="D139" s="5"/>
      <c r="E139" s="5"/>
      <c r="F139" s="5"/>
      <c r="G139" s="14"/>
      <c r="H139" s="14"/>
      <c r="I139" s="19" t="str">
        <f aca="false">IF(D139="","",IFERROR(IF(INDEX(Log!$I:$I,MATCH(D139,Log!$G:$G,0))&amp;""="",INDEX(Log!$A:$A,MATCH(D139,Log!$G:$G,0))&amp;"",INDEX(Log!$I:$I,MATCH(D139,Log!$G:$G,0))&amp;""),IF(AND(LEN(D139)=4,LEFT(D139,1)="L",ISNUMBER(VALUE(MID(D139,2,3)))),"ID não encontrado no Log","")))</f>
        <v/>
      </c>
      <c r="J139" s="5"/>
    </row>
    <row r="140" customFormat="false" ht="15" hidden="false" customHeight="false" outlineLevel="0" collapsed="false">
      <c r="A140" s="18"/>
      <c r="B140" s="5"/>
      <c r="C140" s="5"/>
      <c r="D140" s="5"/>
      <c r="E140" s="5"/>
      <c r="F140" s="5"/>
      <c r="G140" s="14"/>
      <c r="H140" s="14"/>
      <c r="I140" s="19" t="str">
        <f aca="false">IF(D140="","",IFERROR(IF(INDEX(Log!$I:$I,MATCH(D140,Log!$G:$G,0))&amp;""="",INDEX(Log!$A:$A,MATCH(D140,Log!$G:$G,0))&amp;"",INDEX(Log!$I:$I,MATCH(D140,Log!$G:$G,0))&amp;""),IF(AND(LEN(D140)=4,LEFT(D140,1)="L",ISNUMBER(VALUE(MID(D140,2,3)))),"ID não encontrado no Log","")))</f>
        <v/>
      </c>
      <c r="J140" s="5"/>
    </row>
    <row r="141" customFormat="false" ht="15" hidden="false" customHeight="false" outlineLevel="0" collapsed="false">
      <c r="A141" s="18"/>
      <c r="B141" s="5"/>
      <c r="C141" s="5"/>
      <c r="D141" s="5"/>
      <c r="E141" s="5"/>
      <c r="F141" s="5"/>
      <c r="G141" s="14"/>
      <c r="H141" s="14"/>
      <c r="I141" s="19" t="str">
        <f aca="false">IF(D141="","",IFERROR(IF(INDEX(Log!$I:$I,MATCH(D141,Log!$G:$G,0))&amp;""="",INDEX(Log!$A:$A,MATCH(D141,Log!$G:$G,0))&amp;"",INDEX(Log!$I:$I,MATCH(D141,Log!$G:$G,0))&amp;""),IF(AND(LEN(D141)=4,LEFT(D141,1)="L",ISNUMBER(VALUE(MID(D141,2,3)))),"ID não encontrado no Log","")))</f>
        <v/>
      </c>
      <c r="J141" s="5"/>
    </row>
    <row r="142" customFormat="false" ht="15" hidden="false" customHeight="false" outlineLevel="0" collapsed="false">
      <c r="A142" s="18"/>
      <c r="B142" s="5"/>
      <c r="C142" s="5"/>
      <c r="D142" s="5"/>
      <c r="E142" s="5"/>
      <c r="F142" s="5"/>
      <c r="G142" s="14"/>
      <c r="H142" s="14"/>
      <c r="I142" s="19" t="str">
        <f aca="false">IF(D142="","",IFERROR(IF(INDEX(Log!$I:$I,MATCH(D142,Log!$G:$G,0))&amp;""="",INDEX(Log!$A:$A,MATCH(D142,Log!$G:$G,0))&amp;"",INDEX(Log!$I:$I,MATCH(D142,Log!$G:$G,0))&amp;""),IF(AND(LEN(D142)=4,LEFT(D142,1)="L",ISNUMBER(VALUE(MID(D142,2,3)))),"ID não encontrado no Log","")))</f>
        <v/>
      </c>
      <c r="J142" s="5"/>
    </row>
    <row r="143" customFormat="false" ht="15" hidden="false" customHeight="false" outlineLevel="0" collapsed="false">
      <c r="A143" s="18"/>
      <c r="B143" s="5"/>
      <c r="C143" s="5"/>
      <c r="D143" s="5"/>
      <c r="E143" s="5"/>
      <c r="F143" s="5"/>
      <c r="G143" s="14"/>
      <c r="H143" s="14"/>
      <c r="I143" s="19" t="str">
        <f aca="false">IF(D143="","",IFERROR(IF(INDEX(Log!$I:$I,MATCH(D143,Log!$G:$G,0))&amp;""="",INDEX(Log!$A:$A,MATCH(D143,Log!$G:$G,0))&amp;"",INDEX(Log!$I:$I,MATCH(D143,Log!$G:$G,0))&amp;""),IF(AND(LEN(D143)=4,LEFT(D143,1)="L",ISNUMBER(VALUE(MID(D143,2,3)))),"ID não encontrado no Log","")))</f>
        <v/>
      </c>
      <c r="J143" s="5"/>
    </row>
    <row r="144" customFormat="false" ht="15" hidden="false" customHeight="false" outlineLevel="0" collapsed="false">
      <c r="A144" s="18"/>
      <c r="B144" s="5"/>
      <c r="C144" s="5"/>
      <c r="D144" s="5"/>
      <c r="E144" s="5"/>
      <c r="F144" s="5"/>
      <c r="G144" s="14"/>
      <c r="H144" s="14"/>
      <c r="I144" s="19" t="str">
        <f aca="false">IF(D144="","",IFERROR(IF(INDEX(Log!$I:$I,MATCH(D144,Log!$G:$G,0))&amp;""="",INDEX(Log!$A:$A,MATCH(D144,Log!$G:$G,0))&amp;"",INDEX(Log!$I:$I,MATCH(D144,Log!$G:$G,0))&amp;""),IF(AND(LEN(D144)=4,LEFT(D144,1)="L",ISNUMBER(VALUE(MID(D144,2,3)))),"ID não encontrado no Log","")))</f>
        <v/>
      </c>
      <c r="J144" s="5"/>
    </row>
    <row r="145" customFormat="false" ht="15" hidden="false" customHeight="false" outlineLevel="0" collapsed="false">
      <c r="A145" s="18"/>
      <c r="B145" s="5"/>
      <c r="C145" s="5"/>
      <c r="D145" s="5"/>
      <c r="E145" s="5"/>
      <c r="F145" s="5"/>
      <c r="G145" s="14"/>
      <c r="H145" s="14"/>
      <c r="I145" s="19" t="str">
        <f aca="false">IF(D145="","",IFERROR(IF(INDEX(Log!$I:$I,MATCH(D145,Log!$G:$G,0))&amp;""="",INDEX(Log!$A:$A,MATCH(D145,Log!$G:$G,0))&amp;"",INDEX(Log!$I:$I,MATCH(D145,Log!$G:$G,0))&amp;""),IF(AND(LEN(D145)=4,LEFT(D145,1)="L",ISNUMBER(VALUE(MID(D145,2,3)))),"ID não encontrado no Log","")))</f>
        <v/>
      </c>
      <c r="J145" s="5"/>
    </row>
    <row r="146" customFormat="false" ht="15" hidden="false" customHeight="false" outlineLevel="0" collapsed="false">
      <c r="A146" s="18"/>
      <c r="B146" s="5"/>
      <c r="C146" s="5"/>
      <c r="D146" s="5"/>
      <c r="E146" s="5"/>
      <c r="F146" s="5"/>
      <c r="G146" s="14"/>
      <c r="H146" s="14"/>
      <c r="I146" s="19" t="str">
        <f aca="false">IF(D146="","",IFERROR(IF(INDEX(Log!$I:$I,MATCH(D146,Log!$G:$G,0))&amp;""="",INDEX(Log!$A:$A,MATCH(D146,Log!$G:$G,0))&amp;"",INDEX(Log!$I:$I,MATCH(D146,Log!$G:$G,0))&amp;""),IF(AND(LEN(D146)=4,LEFT(D146,1)="L",ISNUMBER(VALUE(MID(D146,2,3)))),"ID não encontrado no Log","")))</f>
        <v/>
      </c>
      <c r="J146" s="5"/>
    </row>
    <row r="147" customFormat="false" ht="15" hidden="false" customHeight="false" outlineLevel="0" collapsed="false">
      <c r="A147" s="18"/>
      <c r="B147" s="5"/>
      <c r="C147" s="5"/>
      <c r="D147" s="5"/>
      <c r="E147" s="5"/>
      <c r="F147" s="5"/>
      <c r="G147" s="14"/>
      <c r="H147" s="14"/>
      <c r="I147" s="19" t="str">
        <f aca="false">IF(D147="","",IFERROR(IF(INDEX(Log!$I:$I,MATCH(D147,Log!$G:$G,0))&amp;""="",INDEX(Log!$A:$A,MATCH(D147,Log!$G:$G,0))&amp;"",INDEX(Log!$I:$I,MATCH(D147,Log!$G:$G,0))&amp;""),IF(AND(LEN(D147)=4,LEFT(D147,1)="L",ISNUMBER(VALUE(MID(D147,2,3)))),"ID não encontrado no Log","")))</f>
        <v/>
      </c>
      <c r="J147" s="5"/>
    </row>
    <row r="148" customFormat="false" ht="15" hidden="false" customHeight="false" outlineLevel="0" collapsed="false">
      <c r="A148" s="18"/>
      <c r="B148" s="5"/>
      <c r="C148" s="5"/>
      <c r="D148" s="5"/>
      <c r="E148" s="5"/>
      <c r="F148" s="5"/>
      <c r="G148" s="14"/>
      <c r="H148" s="14"/>
      <c r="I148" s="19" t="str">
        <f aca="false">IF(D148="","",IFERROR(IF(INDEX(Log!$I:$I,MATCH(D148,Log!$G:$G,0))&amp;""="",INDEX(Log!$A:$A,MATCH(D148,Log!$G:$G,0))&amp;"",INDEX(Log!$I:$I,MATCH(D148,Log!$G:$G,0))&amp;""),IF(AND(LEN(D148)=4,LEFT(D148,1)="L",ISNUMBER(VALUE(MID(D148,2,3)))),"ID não encontrado no Log","")))</f>
        <v/>
      </c>
      <c r="J148" s="5"/>
    </row>
    <row r="149" customFormat="false" ht="15" hidden="false" customHeight="false" outlineLevel="0" collapsed="false">
      <c r="A149" s="18"/>
      <c r="B149" s="5"/>
      <c r="C149" s="5"/>
      <c r="D149" s="5"/>
      <c r="E149" s="5"/>
      <c r="F149" s="5"/>
      <c r="G149" s="14"/>
      <c r="H149" s="14"/>
      <c r="I149" s="19" t="str">
        <f aca="false">IF(D149="","",IFERROR(IF(INDEX(Log!$I:$I,MATCH(D149,Log!$G:$G,0))&amp;""="",INDEX(Log!$A:$A,MATCH(D149,Log!$G:$G,0))&amp;"",INDEX(Log!$I:$I,MATCH(D149,Log!$G:$G,0))&amp;""),IF(AND(LEN(D149)=4,LEFT(D149,1)="L",ISNUMBER(VALUE(MID(D149,2,3)))),"ID não encontrado no Log","")))</f>
        <v/>
      </c>
      <c r="J149" s="5"/>
    </row>
    <row r="150" customFormat="false" ht="15" hidden="false" customHeight="false" outlineLevel="0" collapsed="false">
      <c r="A150" s="18"/>
      <c r="B150" s="5"/>
      <c r="C150" s="5"/>
      <c r="D150" s="5"/>
      <c r="E150" s="5"/>
      <c r="F150" s="5"/>
      <c r="G150" s="14"/>
      <c r="H150" s="14"/>
      <c r="I150" s="19" t="str">
        <f aca="false">IF(D150="","",IFERROR(IF(INDEX(Log!$I:$I,MATCH(D150,Log!$G:$G,0))&amp;""="",INDEX(Log!$A:$A,MATCH(D150,Log!$G:$G,0))&amp;"",INDEX(Log!$I:$I,MATCH(D150,Log!$G:$G,0))&amp;""),IF(AND(LEN(D150)=4,LEFT(D150,1)="L",ISNUMBER(VALUE(MID(D150,2,3)))),"ID não encontrado no Log","")))</f>
        <v/>
      </c>
      <c r="J150" s="5"/>
    </row>
    <row r="151" customFormat="false" ht="15" hidden="false" customHeight="false" outlineLevel="0" collapsed="false">
      <c r="A151" s="18"/>
      <c r="B151" s="5"/>
      <c r="C151" s="5"/>
      <c r="D151" s="5"/>
      <c r="E151" s="5"/>
      <c r="F151" s="5"/>
      <c r="G151" s="14"/>
      <c r="H151" s="14"/>
      <c r="I151" s="19" t="str">
        <f aca="false">IF(D151="","",IFERROR(IF(INDEX(Log!$I:$I,MATCH(D151,Log!$G:$G,0))&amp;""="",INDEX(Log!$A:$A,MATCH(D151,Log!$G:$G,0))&amp;"",INDEX(Log!$I:$I,MATCH(D151,Log!$G:$G,0))&amp;""),IF(AND(LEN(D151)=4,LEFT(D151,1)="L",ISNUMBER(VALUE(MID(D151,2,3)))),"ID não encontrado no Log","")))</f>
        <v/>
      </c>
      <c r="J151" s="5"/>
    </row>
    <row r="152" customFormat="false" ht="15" hidden="false" customHeight="false" outlineLevel="0" collapsed="false">
      <c r="A152" s="18"/>
      <c r="B152" s="5"/>
      <c r="C152" s="5"/>
      <c r="D152" s="5"/>
      <c r="E152" s="5"/>
      <c r="F152" s="5"/>
      <c r="G152" s="14"/>
      <c r="H152" s="14"/>
      <c r="I152" s="19" t="str">
        <f aca="false">IF(D152="","",IFERROR(IF(INDEX(Log!$I:$I,MATCH(D152,Log!$G:$G,0))&amp;""="",INDEX(Log!$A:$A,MATCH(D152,Log!$G:$G,0))&amp;"",INDEX(Log!$I:$I,MATCH(D152,Log!$G:$G,0))&amp;""),IF(AND(LEN(D152)=4,LEFT(D152,1)="L",ISNUMBER(VALUE(MID(D152,2,3)))),"ID não encontrado no Log","")))</f>
        <v/>
      </c>
      <c r="J152" s="5"/>
    </row>
    <row r="153" customFormat="false" ht="15" hidden="false" customHeight="false" outlineLevel="0" collapsed="false">
      <c r="A153" s="18"/>
      <c r="B153" s="5"/>
      <c r="C153" s="5"/>
      <c r="D153" s="5"/>
      <c r="E153" s="5"/>
      <c r="F153" s="5"/>
      <c r="G153" s="14"/>
      <c r="H153" s="14"/>
      <c r="I153" s="19" t="str">
        <f aca="false">IF(D153="","",IFERROR(IF(INDEX(Log!$I:$I,MATCH(D153,Log!$G:$G,0))&amp;""="",INDEX(Log!$A:$A,MATCH(D153,Log!$G:$G,0))&amp;"",INDEX(Log!$I:$I,MATCH(D153,Log!$G:$G,0))&amp;""),IF(AND(LEN(D153)=4,LEFT(D153,1)="L",ISNUMBER(VALUE(MID(D153,2,3)))),"ID não encontrado no Log","")))</f>
        <v/>
      </c>
      <c r="J153" s="5"/>
    </row>
    <row r="154" customFormat="false" ht="15" hidden="false" customHeight="false" outlineLevel="0" collapsed="false">
      <c r="A154" s="18"/>
      <c r="B154" s="5"/>
      <c r="C154" s="5"/>
      <c r="D154" s="5"/>
      <c r="E154" s="5"/>
      <c r="F154" s="5"/>
      <c r="G154" s="14"/>
      <c r="H154" s="14"/>
      <c r="I154" s="19" t="str">
        <f aca="false">IF(D154="","",IFERROR(IF(INDEX(Log!$I:$I,MATCH(D154,Log!$G:$G,0))&amp;""="",INDEX(Log!$A:$A,MATCH(D154,Log!$G:$G,0))&amp;"",INDEX(Log!$I:$I,MATCH(D154,Log!$G:$G,0))&amp;""),IF(AND(LEN(D154)=4,LEFT(D154,1)="L",ISNUMBER(VALUE(MID(D154,2,3)))),"ID não encontrado no Log","")))</f>
        <v/>
      </c>
      <c r="J154" s="5"/>
    </row>
    <row r="155" customFormat="false" ht="15" hidden="false" customHeight="false" outlineLevel="0" collapsed="false">
      <c r="A155" s="18"/>
      <c r="B155" s="5"/>
      <c r="C155" s="5"/>
      <c r="D155" s="5"/>
      <c r="E155" s="5"/>
      <c r="F155" s="5"/>
      <c r="G155" s="14"/>
      <c r="H155" s="14"/>
      <c r="I155" s="19" t="str">
        <f aca="false">IF(D155="","",IFERROR(IF(INDEX(Log!$I:$I,MATCH(D155,Log!$G:$G,0))&amp;""="",INDEX(Log!$A:$A,MATCH(D155,Log!$G:$G,0))&amp;"",INDEX(Log!$I:$I,MATCH(D155,Log!$G:$G,0))&amp;""),IF(AND(LEN(D155)=4,LEFT(D155,1)="L",ISNUMBER(VALUE(MID(D155,2,3)))),"ID não encontrado no Log","")))</f>
        <v/>
      </c>
      <c r="J155" s="5"/>
    </row>
    <row r="156" customFormat="false" ht="15" hidden="false" customHeight="false" outlineLevel="0" collapsed="false">
      <c r="A156" s="18"/>
      <c r="B156" s="5"/>
      <c r="C156" s="5"/>
      <c r="D156" s="5"/>
      <c r="E156" s="5"/>
      <c r="F156" s="5"/>
      <c r="G156" s="14"/>
      <c r="H156" s="14"/>
      <c r="I156" s="19" t="str">
        <f aca="false">IF(D156="","",IFERROR(IF(INDEX(Log!$I:$I,MATCH(D156,Log!$G:$G,0))&amp;""="",INDEX(Log!$A:$A,MATCH(D156,Log!$G:$G,0))&amp;"",INDEX(Log!$I:$I,MATCH(D156,Log!$G:$G,0))&amp;""),IF(AND(LEN(D156)=4,LEFT(D156,1)="L",ISNUMBER(VALUE(MID(D156,2,3)))),"ID não encontrado no Log","")))</f>
        <v/>
      </c>
      <c r="J156" s="5"/>
    </row>
    <row r="157" customFormat="false" ht="15" hidden="false" customHeight="false" outlineLevel="0" collapsed="false">
      <c r="A157" s="18"/>
      <c r="B157" s="5"/>
      <c r="C157" s="5"/>
      <c r="D157" s="5"/>
      <c r="E157" s="5"/>
      <c r="F157" s="5"/>
      <c r="G157" s="14"/>
      <c r="H157" s="14"/>
      <c r="I157" s="19" t="str">
        <f aca="false">IF(D157="","",IFERROR(IF(INDEX(Log!$I:$I,MATCH(D157,Log!$G:$G,0))&amp;""="",INDEX(Log!$A:$A,MATCH(D157,Log!$G:$G,0))&amp;"",INDEX(Log!$I:$I,MATCH(D157,Log!$G:$G,0))&amp;""),IF(AND(LEN(D157)=4,LEFT(D157,1)="L",ISNUMBER(VALUE(MID(D157,2,3)))),"ID não encontrado no Log","")))</f>
        <v/>
      </c>
      <c r="J157" s="5"/>
    </row>
    <row r="158" customFormat="false" ht="15" hidden="false" customHeight="false" outlineLevel="0" collapsed="false">
      <c r="A158" s="18"/>
      <c r="B158" s="5"/>
      <c r="C158" s="5"/>
      <c r="D158" s="5"/>
      <c r="E158" s="5"/>
      <c r="F158" s="5"/>
      <c r="G158" s="14"/>
      <c r="H158" s="14"/>
      <c r="I158" s="19" t="str">
        <f aca="false">IF(D158="","",IFERROR(IF(INDEX(Log!$I:$I,MATCH(D158,Log!$G:$G,0))&amp;""="",INDEX(Log!$A:$A,MATCH(D158,Log!$G:$G,0))&amp;"",INDEX(Log!$I:$I,MATCH(D158,Log!$G:$G,0))&amp;""),IF(AND(LEN(D158)=4,LEFT(D158,1)="L",ISNUMBER(VALUE(MID(D158,2,3)))),"ID não encontrado no Log","")))</f>
        <v/>
      </c>
      <c r="J158" s="5"/>
    </row>
    <row r="159" customFormat="false" ht="15" hidden="false" customHeight="false" outlineLevel="0" collapsed="false">
      <c r="A159" s="18"/>
      <c r="B159" s="5"/>
      <c r="C159" s="5"/>
      <c r="D159" s="5"/>
      <c r="E159" s="5"/>
      <c r="F159" s="5"/>
      <c r="G159" s="14"/>
      <c r="H159" s="14"/>
      <c r="I159" s="19" t="str">
        <f aca="false">IF(D159="","",IFERROR(IF(INDEX(Log!$I:$I,MATCH(D159,Log!$G:$G,0))&amp;""="",INDEX(Log!$A:$A,MATCH(D159,Log!$G:$G,0))&amp;"",INDEX(Log!$I:$I,MATCH(D159,Log!$G:$G,0))&amp;""),IF(AND(LEN(D159)=4,LEFT(D159,1)="L",ISNUMBER(VALUE(MID(D159,2,3)))),"ID não encontrado no Log","")))</f>
        <v/>
      </c>
      <c r="J159" s="5"/>
    </row>
    <row r="160" customFormat="false" ht="15" hidden="false" customHeight="false" outlineLevel="0" collapsed="false">
      <c r="A160" s="18"/>
      <c r="B160" s="5"/>
      <c r="C160" s="5"/>
      <c r="D160" s="5"/>
      <c r="E160" s="5"/>
      <c r="F160" s="5"/>
      <c r="G160" s="14"/>
      <c r="H160" s="14"/>
      <c r="I160" s="19" t="str">
        <f aca="false">IF(D160="","",IFERROR(IF(INDEX(Log!$I:$I,MATCH(D160,Log!$G:$G,0))&amp;""="",INDEX(Log!$A:$A,MATCH(D160,Log!$G:$G,0))&amp;"",INDEX(Log!$I:$I,MATCH(D160,Log!$G:$G,0))&amp;""),IF(AND(LEN(D160)=4,LEFT(D160,1)="L",ISNUMBER(VALUE(MID(D160,2,3)))),"ID não encontrado no Log","")))</f>
        <v/>
      </c>
      <c r="J160" s="5"/>
    </row>
    <row r="161" customFormat="false" ht="15" hidden="false" customHeight="false" outlineLevel="0" collapsed="false">
      <c r="A161" s="18"/>
      <c r="B161" s="5"/>
      <c r="C161" s="5"/>
      <c r="D161" s="5"/>
      <c r="E161" s="5"/>
      <c r="F161" s="5"/>
      <c r="G161" s="14"/>
      <c r="H161" s="14"/>
      <c r="I161" s="19" t="str">
        <f aca="false">IF(D161="","",IFERROR(IF(INDEX(Log!$I:$I,MATCH(D161,Log!$G:$G,0))&amp;""="",INDEX(Log!$A:$A,MATCH(D161,Log!$G:$G,0))&amp;"",INDEX(Log!$I:$I,MATCH(D161,Log!$G:$G,0))&amp;""),IF(AND(LEN(D161)=4,LEFT(D161,1)="L",ISNUMBER(VALUE(MID(D161,2,3)))),"ID não encontrado no Log","")))</f>
        <v/>
      </c>
      <c r="J161" s="5"/>
    </row>
    <row r="162" customFormat="false" ht="15" hidden="false" customHeight="false" outlineLevel="0" collapsed="false">
      <c r="A162" s="18"/>
      <c r="B162" s="5"/>
      <c r="C162" s="5"/>
      <c r="D162" s="5"/>
      <c r="E162" s="5"/>
      <c r="F162" s="5"/>
      <c r="G162" s="14"/>
      <c r="H162" s="14"/>
      <c r="I162" s="19" t="str">
        <f aca="false">IF(D162="","",IFERROR(IF(INDEX(Log!$I:$I,MATCH(D162,Log!$G:$G,0))&amp;""="",INDEX(Log!$A:$A,MATCH(D162,Log!$G:$G,0))&amp;"",INDEX(Log!$I:$I,MATCH(D162,Log!$G:$G,0))&amp;""),IF(AND(LEN(D162)=4,LEFT(D162,1)="L",ISNUMBER(VALUE(MID(D162,2,3)))),"ID não encontrado no Log","")))</f>
        <v/>
      </c>
      <c r="J162" s="5"/>
    </row>
    <row r="163" customFormat="false" ht="15" hidden="false" customHeight="false" outlineLevel="0" collapsed="false">
      <c r="A163" s="18"/>
      <c r="B163" s="5"/>
      <c r="C163" s="5"/>
      <c r="D163" s="5"/>
      <c r="E163" s="5"/>
      <c r="F163" s="5"/>
      <c r="G163" s="14"/>
      <c r="H163" s="14"/>
      <c r="I163" s="19" t="str">
        <f aca="false">IF(D163="","",IFERROR(IF(INDEX(Log!$I:$I,MATCH(D163,Log!$G:$G,0))&amp;""="",INDEX(Log!$A:$A,MATCH(D163,Log!$G:$G,0))&amp;"",INDEX(Log!$I:$I,MATCH(D163,Log!$G:$G,0))&amp;""),IF(AND(LEN(D163)=4,LEFT(D163,1)="L",ISNUMBER(VALUE(MID(D163,2,3)))),"ID não encontrado no Log","")))</f>
        <v/>
      </c>
      <c r="J163" s="5"/>
    </row>
    <row r="164" customFormat="false" ht="15" hidden="false" customHeight="false" outlineLevel="0" collapsed="false">
      <c r="A164" s="18"/>
      <c r="B164" s="5"/>
      <c r="C164" s="5"/>
      <c r="D164" s="5"/>
      <c r="E164" s="5"/>
      <c r="F164" s="5"/>
      <c r="G164" s="14"/>
      <c r="H164" s="14"/>
      <c r="I164" s="19" t="str">
        <f aca="false">IF(D164="","",IFERROR(IF(INDEX(Log!$I:$I,MATCH(D164,Log!$G:$G,0))&amp;""="",INDEX(Log!$A:$A,MATCH(D164,Log!$G:$G,0))&amp;"",INDEX(Log!$I:$I,MATCH(D164,Log!$G:$G,0))&amp;""),IF(AND(LEN(D164)=4,LEFT(D164,1)="L",ISNUMBER(VALUE(MID(D164,2,3)))),"ID não encontrado no Log","")))</f>
        <v/>
      </c>
      <c r="J164" s="5"/>
    </row>
    <row r="165" customFormat="false" ht="15" hidden="false" customHeight="false" outlineLevel="0" collapsed="false">
      <c r="A165" s="18"/>
      <c r="B165" s="5"/>
      <c r="C165" s="5"/>
      <c r="D165" s="5"/>
      <c r="E165" s="5"/>
      <c r="F165" s="5"/>
      <c r="G165" s="14"/>
      <c r="H165" s="14"/>
      <c r="I165" s="19" t="str">
        <f aca="false">IF(D165="","",IFERROR(IF(INDEX(Log!$I:$I,MATCH(D165,Log!$G:$G,0))&amp;""="",INDEX(Log!$A:$A,MATCH(D165,Log!$G:$G,0))&amp;"",INDEX(Log!$I:$I,MATCH(D165,Log!$G:$G,0))&amp;""),IF(AND(LEN(D165)=4,LEFT(D165,1)="L",ISNUMBER(VALUE(MID(D165,2,3)))),"ID não encontrado no Log","")))</f>
        <v/>
      </c>
      <c r="J165" s="5"/>
    </row>
    <row r="166" customFormat="false" ht="15" hidden="false" customHeight="false" outlineLevel="0" collapsed="false">
      <c r="A166" s="18"/>
      <c r="B166" s="5"/>
      <c r="C166" s="5"/>
      <c r="D166" s="5"/>
      <c r="E166" s="5"/>
      <c r="F166" s="5"/>
      <c r="G166" s="14"/>
      <c r="H166" s="14"/>
      <c r="I166" s="19" t="str">
        <f aca="false">IF(D166="","",IFERROR(IF(INDEX(Log!$I:$I,MATCH(D166,Log!$G:$G,0))&amp;""="",INDEX(Log!$A:$A,MATCH(D166,Log!$G:$G,0))&amp;"",INDEX(Log!$I:$I,MATCH(D166,Log!$G:$G,0))&amp;""),IF(AND(LEN(D166)=4,LEFT(D166,1)="L",ISNUMBER(VALUE(MID(D166,2,3)))),"ID não encontrado no Log","")))</f>
        <v/>
      </c>
      <c r="J166" s="5"/>
    </row>
    <row r="167" customFormat="false" ht="15" hidden="false" customHeight="false" outlineLevel="0" collapsed="false">
      <c r="A167" s="18"/>
      <c r="B167" s="5"/>
      <c r="C167" s="5"/>
      <c r="D167" s="5"/>
      <c r="E167" s="5"/>
      <c r="F167" s="5"/>
      <c r="G167" s="14"/>
      <c r="H167" s="14"/>
      <c r="I167" s="19" t="str">
        <f aca="false">IF(D167="","",IFERROR(IF(INDEX(Log!$I:$I,MATCH(D167,Log!$G:$G,0))&amp;""="",INDEX(Log!$A:$A,MATCH(D167,Log!$G:$G,0))&amp;"",INDEX(Log!$I:$I,MATCH(D167,Log!$G:$G,0))&amp;""),IF(AND(LEN(D167)=4,LEFT(D167,1)="L",ISNUMBER(VALUE(MID(D167,2,3)))),"ID não encontrado no Log","")))</f>
        <v/>
      </c>
      <c r="J167" s="5"/>
    </row>
    <row r="168" customFormat="false" ht="15" hidden="false" customHeight="false" outlineLevel="0" collapsed="false">
      <c r="A168" s="18"/>
      <c r="B168" s="5"/>
      <c r="C168" s="5"/>
      <c r="D168" s="5"/>
      <c r="E168" s="5"/>
      <c r="F168" s="5"/>
      <c r="G168" s="14"/>
      <c r="H168" s="14"/>
      <c r="I168" s="19" t="str">
        <f aca="false">IF(D168="","",IFERROR(IF(INDEX(Log!$I:$I,MATCH(D168,Log!$G:$G,0))&amp;""="",INDEX(Log!$A:$A,MATCH(D168,Log!$G:$G,0))&amp;"",INDEX(Log!$I:$I,MATCH(D168,Log!$G:$G,0))&amp;""),IF(AND(LEN(D168)=4,LEFT(D168,1)="L",ISNUMBER(VALUE(MID(D168,2,3)))),"ID não encontrado no Log","")))</f>
        <v/>
      </c>
      <c r="J168" s="5"/>
    </row>
    <row r="169" customFormat="false" ht="15" hidden="false" customHeight="false" outlineLevel="0" collapsed="false">
      <c r="A169" s="18"/>
      <c r="B169" s="5"/>
      <c r="C169" s="5"/>
      <c r="D169" s="5"/>
      <c r="E169" s="5"/>
      <c r="F169" s="5"/>
      <c r="G169" s="14"/>
      <c r="H169" s="14"/>
      <c r="I169" s="19" t="str">
        <f aca="false">IF(D169="","",IFERROR(IF(INDEX(Log!$I:$I,MATCH(D169,Log!$G:$G,0))&amp;""="",INDEX(Log!$A:$A,MATCH(D169,Log!$G:$G,0))&amp;"",INDEX(Log!$I:$I,MATCH(D169,Log!$G:$G,0))&amp;""),IF(AND(LEN(D169)=4,LEFT(D169,1)="L",ISNUMBER(VALUE(MID(D169,2,3)))),"ID não encontrado no Log","")))</f>
        <v/>
      </c>
      <c r="J169" s="5"/>
    </row>
    <row r="170" customFormat="false" ht="15" hidden="false" customHeight="false" outlineLevel="0" collapsed="false">
      <c r="A170" s="18"/>
      <c r="B170" s="5"/>
      <c r="C170" s="5"/>
      <c r="D170" s="5"/>
      <c r="E170" s="5"/>
      <c r="F170" s="5"/>
      <c r="G170" s="14"/>
      <c r="H170" s="14"/>
      <c r="I170" s="19" t="str">
        <f aca="false">IF(D170="","",IFERROR(IF(INDEX(Log!$I:$I,MATCH(D170,Log!$G:$G,0))&amp;""="",INDEX(Log!$A:$A,MATCH(D170,Log!$G:$G,0))&amp;"",INDEX(Log!$I:$I,MATCH(D170,Log!$G:$G,0))&amp;""),IF(AND(LEN(D170)=4,LEFT(D170,1)="L",ISNUMBER(VALUE(MID(D170,2,3)))),"ID não encontrado no Log","")))</f>
        <v/>
      </c>
      <c r="J170" s="5"/>
    </row>
    <row r="171" customFormat="false" ht="15" hidden="false" customHeight="false" outlineLevel="0" collapsed="false">
      <c r="A171" s="18"/>
      <c r="B171" s="5"/>
      <c r="C171" s="5"/>
      <c r="D171" s="5"/>
      <c r="E171" s="5"/>
      <c r="F171" s="5"/>
      <c r="G171" s="14"/>
      <c r="H171" s="14"/>
      <c r="I171" s="19" t="str">
        <f aca="false">IF(D171="","",IFERROR(IF(INDEX(Log!$I:$I,MATCH(D171,Log!$G:$G,0))&amp;""="",INDEX(Log!$A:$A,MATCH(D171,Log!$G:$G,0))&amp;"",INDEX(Log!$I:$I,MATCH(D171,Log!$G:$G,0))&amp;""),IF(AND(LEN(D171)=4,LEFT(D171,1)="L",ISNUMBER(VALUE(MID(D171,2,3)))),"ID não encontrado no Log","")))</f>
        <v/>
      </c>
      <c r="J171" s="5"/>
    </row>
    <row r="172" customFormat="false" ht="15" hidden="false" customHeight="false" outlineLevel="0" collapsed="false">
      <c r="A172" s="18"/>
      <c r="B172" s="5"/>
      <c r="C172" s="5"/>
      <c r="D172" s="5"/>
      <c r="E172" s="5"/>
      <c r="F172" s="5"/>
      <c r="G172" s="14"/>
      <c r="H172" s="14"/>
      <c r="I172" s="19" t="str">
        <f aca="false">IF(D172="","",IFERROR(IF(INDEX(Log!$I:$I,MATCH(D172,Log!$G:$G,0))&amp;""="",INDEX(Log!$A:$A,MATCH(D172,Log!$G:$G,0))&amp;"",INDEX(Log!$I:$I,MATCH(D172,Log!$G:$G,0))&amp;""),IF(AND(LEN(D172)=4,LEFT(D172,1)="L",ISNUMBER(VALUE(MID(D172,2,3)))),"ID não encontrado no Log","")))</f>
        <v/>
      </c>
      <c r="J172" s="5"/>
    </row>
    <row r="173" customFormat="false" ht="15" hidden="false" customHeight="false" outlineLevel="0" collapsed="false">
      <c r="A173" s="18"/>
      <c r="B173" s="5"/>
      <c r="C173" s="5"/>
      <c r="D173" s="5"/>
      <c r="E173" s="5"/>
      <c r="F173" s="5"/>
      <c r="G173" s="14"/>
      <c r="H173" s="14"/>
      <c r="I173" s="19" t="str">
        <f aca="false">IF(D173="","",IFERROR(IF(INDEX(Log!$I:$I,MATCH(D173,Log!$G:$G,0))&amp;""="",INDEX(Log!$A:$A,MATCH(D173,Log!$G:$G,0))&amp;"",INDEX(Log!$I:$I,MATCH(D173,Log!$G:$G,0))&amp;""),IF(AND(LEN(D173)=4,LEFT(D173,1)="L",ISNUMBER(VALUE(MID(D173,2,3)))),"ID não encontrado no Log","")))</f>
        <v/>
      </c>
      <c r="J173" s="5"/>
    </row>
    <row r="174" customFormat="false" ht="15" hidden="false" customHeight="false" outlineLevel="0" collapsed="false">
      <c r="A174" s="18"/>
      <c r="B174" s="5"/>
      <c r="C174" s="5"/>
      <c r="D174" s="5"/>
      <c r="E174" s="5"/>
      <c r="F174" s="5"/>
      <c r="G174" s="14"/>
      <c r="H174" s="14"/>
      <c r="I174" s="19" t="str">
        <f aca="false">IF(D174="","",IFERROR(IF(INDEX(Log!$I:$I,MATCH(D174,Log!$G:$G,0))&amp;""="",INDEX(Log!$A:$A,MATCH(D174,Log!$G:$G,0))&amp;"",INDEX(Log!$I:$I,MATCH(D174,Log!$G:$G,0))&amp;""),IF(AND(LEN(D174)=4,LEFT(D174,1)="L",ISNUMBER(VALUE(MID(D174,2,3)))),"ID não encontrado no Log","")))</f>
        <v/>
      </c>
      <c r="J174" s="5"/>
    </row>
    <row r="175" customFormat="false" ht="15" hidden="false" customHeight="false" outlineLevel="0" collapsed="false">
      <c r="A175" s="18"/>
      <c r="B175" s="5"/>
      <c r="C175" s="5"/>
      <c r="D175" s="5"/>
      <c r="E175" s="5"/>
      <c r="F175" s="5"/>
      <c r="G175" s="14"/>
      <c r="H175" s="14"/>
      <c r="I175" s="19" t="str">
        <f aca="false">IF(D175="","",IFERROR(IF(INDEX(Log!$I:$I,MATCH(D175,Log!$G:$G,0))&amp;""="",INDEX(Log!$A:$A,MATCH(D175,Log!$G:$G,0))&amp;"",INDEX(Log!$I:$I,MATCH(D175,Log!$G:$G,0))&amp;""),IF(AND(LEN(D175)=4,LEFT(D175,1)="L",ISNUMBER(VALUE(MID(D175,2,3)))),"ID não encontrado no Log","")))</f>
        <v/>
      </c>
      <c r="J175" s="5"/>
    </row>
    <row r="176" customFormat="false" ht="15" hidden="false" customHeight="false" outlineLevel="0" collapsed="false">
      <c r="A176" s="18"/>
      <c r="B176" s="5"/>
      <c r="C176" s="5"/>
      <c r="D176" s="5"/>
      <c r="E176" s="5"/>
      <c r="F176" s="5"/>
      <c r="G176" s="14"/>
      <c r="H176" s="14"/>
      <c r="I176" s="19" t="str">
        <f aca="false">IF(D176="","",IFERROR(IF(INDEX(Log!$I:$I,MATCH(D176,Log!$G:$G,0))&amp;""="",INDEX(Log!$A:$A,MATCH(D176,Log!$G:$G,0))&amp;"",INDEX(Log!$I:$I,MATCH(D176,Log!$G:$G,0))&amp;""),IF(AND(LEN(D176)=4,LEFT(D176,1)="L",ISNUMBER(VALUE(MID(D176,2,3)))),"ID não encontrado no Log","")))</f>
        <v/>
      </c>
      <c r="J176" s="5"/>
    </row>
    <row r="177" customFormat="false" ht="15" hidden="false" customHeight="false" outlineLevel="0" collapsed="false">
      <c r="A177" s="18"/>
      <c r="B177" s="5"/>
      <c r="C177" s="5"/>
      <c r="D177" s="5"/>
      <c r="E177" s="5"/>
      <c r="F177" s="5"/>
      <c r="G177" s="14"/>
      <c r="H177" s="14"/>
      <c r="I177" s="19" t="str">
        <f aca="false">IF(D177="","",IFERROR(IF(INDEX(Log!$I:$I,MATCH(D177,Log!$G:$G,0))&amp;""="",INDEX(Log!$A:$A,MATCH(D177,Log!$G:$G,0))&amp;"",INDEX(Log!$I:$I,MATCH(D177,Log!$G:$G,0))&amp;""),IF(AND(LEN(D177)=4,LEFT(D177,1)="L",ISNUMBER(VALUE(MID(D177,2,3)))),"ID não encontrado no Log","")))</f>
        <v/>
      </c>
      <c r="J177" s="5"/>
    </row>
    <row r="178" customFormat="false" ht="15" hidden="false" customHeight="false" outlineLevel="0" collapsed="false">
      <c r="A178" s="18"/>
      <c r="B178" s="5"/>
      <c r="C178" s="5"/>
      <c r="D178" s="5"/>
      <c r="E178" s="5"/>
      <c r="F178" s="5"/>
      <c r="G178" s="14"/>
      <c r="H178" s="14"/>
      <c r="I178" s="19" t="str">
        <f aca="false">IF(D178="","",IFERROR(IF(INDEX(Log!$I:$I,MATCH(D178,Log!$G:$G,0))&amp;""="",INDEX(Log!$A:$A,MATCH(D178,Log!$G:$G,0))&amp;"",INDEX(Log!$I:$I,MATCH(D178,Log!$G:$G,0))&amp;""),IF(AND(LEN(D178)=4,LEFT(D178,1)="L",ISNUMBER(VALUE(MID(D178,2,3)))),"ID não encontrado no Log","")))</f>
        <v/>
      </c>
      <c r="J178" s="5"/>
    </row>
    <row r="179" customFormat="false" ht="15" hidden="false" customHeight="false" outlineLevel="0" collapsed="false">
      <c r="A179" s="18"/>
      <c r="B179" s="5"/>
      <c r="C179" s="5"/>
      <c r="D179" s="5"/>
      <c r="E179" s="5"/>
      <c r="F179" s="5"/>
      <c r="G179" s="14"/>
      <c r="H179" s="14"/>
      <c r="I179" s="19" t="str">
        <f aca="false">IF(D179="","",IFERROR(IF(INDEX(Log!$I:$I,MATCH(D179,Log!$G:$G,0))&amp;""="",INDEX(Log!$A:$A,MATCH(D179,Log!$G:$G,0))&amp;"",INDEX(Log!$I:$I,MATCH(D179,Log!$G:$G,0))&amp;""),IF(AND(LEN(D179)=4,LEFT(D179,1)="L",ISNUMBER(VALUE(MID(D179,2,3)))),"ID não encontrado no Log","")))</f>
        <v/>
      </c>
      <c r="J179" s="5"/>
    </row>
    <row r="180" customFormat="false" ht="15" hidden="false" customHeight="false" outlineLevel="0" collapsed="false">
      <c r="A180" s="18"/>
      <c r="B180" s="5"/>
      <c r="C180" s="5"/>
      <c r="D180" s="5"/>
      <c r="E180" s="5"/>
      <c r="F180" s="5"/>
      <c r="G180" s="14"/>
      <c r="H180" s="14"/>
      <c r="I180" s="19" t="str">
        <f aca="false">IF(D180="","",IFERROR(IF(INDEX(Log!$I:$I,MATCH(D180,Log!$G:$G,0))&amp;""="",INDEX(Log!$A:$A,MATCH(D180,Log!$G:$G,0))&amp;"",INDEX(Log!$I:$I,MATCH(D180,Log!$G:$G,0))&amp;""),IF(AND(LEN(D180)=4,LEFT(D180,1)="L",ISNUMBER(VALUE(MID(D180,2,3)))),"ID não encontrado no Log","")))</f>
        <v/>
      </c>
      <c r="J180" s="5"/>
    </row>
    <row r="181" customFormat="false" ht="15" hidden="false" customHeight="false" outlineLevel="0" collapsed="false">
      <c r="A181" s="18"/>
      <c r="B181" s="5"/>
      <c r="C181" s="5"/>
      <c r="D181" s="5"/>
      <c r="E181" s="5"/>
      <c r="F181" s="5"/>
      <c r="G181" s="14"/>
      <c r="H181" s="14"/>
      <c r="I181" s="19" t="str">
        <f aca="false">IF(D181="","",IFERROR(IF(INDEX(Log!$I:$I,MATCH(D181,Log!$G:$G,0))&amp;""="",INDEX(Log!$A:$A,MATCH(D181,Log!$G:$G,0))&amp;"",INDEX(Log!$I:$I,MATCH(D181,Log!$G:$G,0))&amp;""),IF(AND(LEN(D181)=4,LEFT(D181,1)="L",ISNUMBER(VALUE(MID(D181,2,3)))),"ID não encontrado no Log","")))</f>
        <v/>
      </c>
      <c r="J181" s="5"/>
    </row>
    <row r="182" customFormat="false" ht="15" hidden="false" customHeight="false" outlineLevel="0" collapsed="false">
      <c r="A182" s="18"/>
      <c r="B182" s="5"/>
      <c r="C182" s="5"/>
      <c r="D182" s="5"/>
      <c r="E182" s="5"/>
      <c r="F182" s="5"/>
      <c r="G182" s="14"/>
      <c r="H182" s="14"/>
      <c r="I182" s="19" t="str">
        <f aca="false">IF(D182="","",IFERROR(IF(INDEX(Log!$I:$I,MATCH(D182,Log!$G:$G,0))&amp;""="",INDEX(Log!$A:$A,MATCH(D182,Log!$G:$G,0))&amp;"",INDEX(Log!$I:$I,MATCH(D182,Log!$G:$G,0))&amp;""),IF(AND(LEN(D182)=4,LEFT(D182,1)="L",ISNUMBER(VALUE(MID(D182,2,3)))),"ID não encontrado no Log","")))</f>
        <v/>
      </c>
      <c r="J182" s="5"/>
    </row>
    <row r="183" customFormat="false" ht="15" hidden="false" customHeight="false" outlineLevel="0" collapsed="false">
      <c r="A183" s="18"/>
      <c r="B183" s="5"/>
      <c r="C183" s="5"/>
      <c r="D183" s="5"/>
      <c r="E183" s="5"/>
      <c r="F183" s="5"/>
      <c r="G183" s="14"/>
      <c r="H183" s="14"/>
      <c r="I183" s="19" t="str">
        <f aca="false">IF(D183="","",IFERROR(IF(INDEX(Log!$I:$I,MATCH(D183,Log!$G:$G,0))&amp;""="",INDEX(Log!$A:$A,MATCH(D183,Log!$G:$G,0))&amp;"",INDEX(Log!$I:$I,MATCH(D183,Log!$G:$G,0))&amp;""),IF(AND(LEN(D183)=4,LEFT(D183,1)="L",ISNUMBER(VALUE(MID(D183,2,3)))),"ID não encontrado no Log","")))</f>
        <v/>
      </c>
      <c r="J183" s="5"/>
    </row>
    <row r="184" customFormat="false" ht="15" hidden="false" customHeight="false" outlineLevel="0" collapsed="false">
      <c r="A184" s="18"/>
      <c r="B184" s="5"/>
      <c r="C184" s="5"/>
      <c r="D184" s="5"/>
      <c r="E184" s="5"/>
      <c r="F184" s="5"/>
      <c r="G184" s="14"/>
      <c r="H184" s="14"/>
      <c r="I184" s="19" t="str">
        <f aca="false">IF(D184="","",IFERROR(IF(INDEX(Log!$I:$I,MATCH(D184,Log!$G:$G,0))&amp;""="",INDEX(Log!$A:$A,MATCH(D184,Log!$G:$G,0))&amp;"",INDEX(Log!$I:$I,MATCH(D184,Log!$G:$G,0))&amp;""),IF(AND(LEN(D184)=4,LEFT(D184,1)="L",ISNUMBER(VALUE(MID(D184,2,3)))),"ID não encontrado no Log","")))</f>
        <v/>
      </c>
      <c r="J184" s="5"/>
    </row>
    <row r="185" customFormat="false" ht="15" hidden="false" customHeight="false" outlineLevel="0" collapsed="false">
      <c r="A185" s="18"/>
      <c r="B185" s="5"/>
      <c r="C185" s="5"/>
      <c r="D185" s="5"/>
      <c r="E185" s="5"/>
      <c r="F185" s="5"/>
      <c r="G185" s="14"/>
      <c r="H185" s="14"/>
      <c r="I185" s="19" t="str">
        <f aca="false">IF(D185="","",IFERROR(IF(INDEX(Log!$I:$I,MATCH(D185,Log!$G:$G,0))&amp;""="",INDEX(Log!$A:$A,MATCH(D185,Log!$G:$G,0))&amp;"",INDEX(Log!$I:$I,MATCH(D185,Log!$G:$G,0))&amp;""),IF(AND(LEN(D185)=4,LEFT(D185,1)="L",ISNUMBER(VALUE(MID(D185,2,3)))),"ID não encontrado no Log","")))</f>
        <v/>
      </c>
      <c r="J185" s="5"/>
    </row>
    <row r="186" customFormat="false" ht="15" hidden="false" customHeight="false" outlineLevel="0" collapsed="false">
      <c r="A186" s="18"/>
      <c r="B186" s="5"/>
      <c r="C186" s="5"/>
      <c r="D186" s="5"/>
      <c r="E186" s="5"/>
      <c r="F186" s="5"/>
      <c r="G186" s="14"/>
      <c r="H186" s="14"/>
      <c r="I186" s="19" t="str">
        <f aca="false">IF(D186="","",IFERROR(IF(INDEX(Log!$I:$I,MATCH(D186,Log!$G:$G,0))&amp;""="",INDEX(Log!$A:$A,MATCH(D186,Log!$G:$G,0))&amp;"",INDEX(Log!$I:$I,MATCH(D186,Log!$G:$G,0))&amp;""),IF(AND(LEN(D186)=4,LEFT(D186,1)="L",ISNUMBER(VALUE(MID(D186,2,3)))),"ID não encontrado no Log","")))</f>
        <v/>
      </c>
      <c r="J186" s="5"/>
    </row>
    <row r="187" customFormat="false" ht="15" hidden="false" customHeight="false" outlineLevel="0" collapsed="false">
      <c r="A187" s="18"/>
      <c r="B187" s="5"/>
      <c r="C187" s="5"/>
      <c r="D187" s="5"/>
      <c r="E187" s="5"/>
      <c r="F187" s="5"/>
      <c r="G187" s="14"/>
      <c r="H187" s="14"/>
      <c r="I187" s="19" t="str">
        <f aca="false">IF(D187="","",IFERROR(IF(INDEX(Log!$I:$I,MATCH(D187,Log!$G:$G,0))&amp;""="",INDEX(Log!$A:$A,MATCH(D187,Log!$G:$G,0))&amp;"",INDEX(Log!$I:$I,MATCH(D187,Log!$G:$G,0))&amp;""),IF(AND(LEN(D187)=4,LEFT(D187,1)="L",ISNUMBER(VALUE(MID(D187,2,3)))),"ID não encontrado no Log","")))</f>
        <v/>
      </c>
      <c r="J187" s="5"/>
    </row>
    <row r="188" customFormat="false" ht="15" hidden="false" customHeight="false" outlineLevel="0" collapsed="false">
      <c r="A188" s="18"/>
      <c r="B188" s="5"/>
      <c r="C188" s="5"/>
      <c r="D188" s="5"/>
      <c r="E188" s="5"/>
      <c r="F188" s="5"/>
      <c r="G188" s="14"/>
      <c r="H188" s="14"/>
      <c r="I188" s="19" t="str">
        <f aca="false">IF(D188="","",IFERROR(IF(INDEX(Log!$I:$I,MATCH(D188,Log!$G:$G,0))&amp;""="",INDEX(Log!$A:$A,MATCH(D188,Log!$G:$G,0))&amp;"",INDEX(Log!$I:$I,MATCH(D188,Log!$G:$G,0))&amp;""),IF(AND(LEN(D188)=4,LEFT(D188,1)="L",ISNUMBER(VALUE(MID(D188,2,3)))),"ID não encontrado no Log","")))</f>
        <v/>
      </c>
      <c r="J188" s="5"/>
    </row>
    <row r="189" customFormat="false" ht="15" hidden="false" customHeight="false" outlineLevel="0" collapsed="false">
      <c r="A189" s="18"/>
      <c r="B189" s="5"/>
      <c r="C189" s="5"/>
      <c r="D189" s="5"/>
      <c r="E189" s="5"/>
      <c r="F189" s="5"/>
      <c r="G189" s="14"/>
      <c r="H189" s="14"/>
      <c r="I189" s="19" t="str">
        <f aca="false">IF(D189="","",IFERROR(IF(INDEX(Log!$I:$I,MATCH(D189,Log!$G:$G,0))&amp;""="",INDEX(Log!$A:$A,MATCH(D189,Log!$G:$G,0))&amp;"",INDEX(Log!$I:$I,MATCH(D189,Log!$G:$G,0))&amp;""),IF(AND(LEN(D189)=4,LEFT(D189,1)="L",ISNUMBER(VALUE(MID(D189,2,3)))),"ID não encontrado no Log","")))</f>
        <v/>
      </c>
      <c r="J189" s="5"/>
    </row>
    <row r="190" customFormat="false" ht="15" hidden="false" customHeight="false" outlineLevel="0" collapsed="false">
      <c r="A190" s="18"/>
      <c r="B190" s="5"/>
      <c r="C190" s="5"/>
      <c r="D190" s="5"/>
      <c r="E190" s="5"/>
      <c r="F190" s="5"/>
      <c r="G190" s="14"/>
      <c r="H190" s="14"/>
      <c r="I190" s="19" t="str">
        <f aca="false">IF(D190="","",IFERROR(IF(INDEX(Log!$I:$I,MATCH(D190,Log!$G:$G,0))&amp;""="",INDEX(Log!$A:$A,MATCH(D190,Log!$G:$G,0))&amp;"",INDEX(Log!$I:$I,MATCH(D190,Log!$G:$G,0))&amp;""),IF(AND(LEN(D190)=4,LEFT(D190,1)="L",ISNUMBER(VALUE(MID(D190,2,3)))),"ID não encontrado no Log","")))</f>
        <v/>
      </c>
      <c r="J190" s="5"/>
    </row>
    <row r="191" customFormat="false" ht="15" hidden="false" customHeight="false" outlineLevel="0" collapsed="false">
      <c r="A191" s="18"/>
      <c r="B191" s="5"/>
      <c r="C191" s="5"/>
      <c r="D191" s="5"/>
      <c r="E191" s="5"/>
      <c r="F191" s="5"/>
      <c r="G191" s="14"/>
      <c r="H191" s="14"/>
      <c r="I191" s="19" t="str">
        <f aca="false">IF(D191="","",IFERROR(IF(INDEX(Log!$I:$I,MATCH(D191,Log!$G:$G,0))&amp;""="",INDEX(Log!$A:$A,MATCH(D191,Log!$G:$G,0))&amp;"",INDEX(Log!$I:$I,MATCH(D191,Log!$G:$G,0))&amp;""),IF(AND(LEN(D191)=4,LEFT(D191,1)="L",ISNUMBER(VALUE(MID(D191,2,3)))),"ID não encontrado no Log","")))</f>
        <v/>
      </c>
      <c r="J191" s="5"/>
    </row>
    <row r="192" customFormat="false" ht="15" hidden="false" customHeight="false" outlineLevel="0" collapsed="false">
      <c r="A192" s="18"/>
      <c r="B192" s="5"/>
      <c r="C192" s="5"/>
      <c r="D192" s="5"/>
      <c r="E192" s="5"/>
      <c r="F192" s="5"/>
      <c r="G192" s="14"/>
      <c r="H192" s="14"/>
      <c r="I192" s="19" t="str">
        <f aca="false">IF(D192="","",IFERROR(IF(INDEX(Log!$I:$I,MATCH(D192,Log!$G:$G,0))&amp;""="",INDEX(Log!$A:$A,MATCH(D192,Log!$G:$G,0))&amp;"",INDEX(Log!$I:$I,MATCH(D192,Log!$G:$G,0))&amp;""),IF(AND(LEN(D192)=4,LEFT(D192,1)="L",ISNUMBER(VALUE(MID(D192,2,3)))),"ID não encontrado no Log","")))</f>
        <v/>
      </c>
      <c r="J192" s="5"/>
    </row>
    <row r="193" customFormat="false" ht="15" hidden="false" customHeight="false" outlineLevel="0" collapsed="false">
      <c r="A193" s="18"/>
      <c r="B193" s="5"/>
      <c r="C193" s="5"/>
      <c r="D193" s="5"/>
      <c r="E193" s="5"/>
      <c r="F193" s="5"/>
      <c r="G193" s="14"/>
      <c r="H193" s="14"/>
      <c r="I193" s="19" t="str">
        <f aca="false">IF(D193="","",IFERROR(IF(INDEX(Log!$I:$I,MATCH(D193,Log!$G:$G,0))&amp;""="",INDEX(Log!$A:$A,MATCH(D193,Log!$G:$G,0))&amp;"",INDEX(Log!$I:$I,MATCH(D193,Log!$G:$G,0))&amp;""),IF(AND(LEN(D193)=4,LEFT(D193,1)="L",ISNUMBER(VALUE(MID(D193,2,3)))),"ID não encontrado no Log","")))</f>
        <v/>
      </c>
      <c r="J193" s="5"/>
    </row>
    <row r="194" customFormat="false" ht="15" hidden="false" customHeight="false" outlineLevel="0" collapsed="false">
      <c r="A194" s="18"/>
      <c r="B194" s="5"/>
      <c r="C194" s="5"/>
      <c r="D194" s="5"/>
      <c r="E194" s="5"/>
      <c r="F194" s="5"/>
      <c r="G194" s="14"/>
      <c r="H194" s="14"/>
      <c r="I194" s="19" t="str">
        <f aca="false">IF(D194="","",IFERROR(IF(INDEX(Log!$I:$I,MATCH(D194,Log!$G:$G,0))&amp;""="",INDEX(Log!$A:$A,MATCH(D194,Log!$G:$G,0))&amp;"",INDEX(Log!$I:$I,MATCH(D194,Log!$G:$G,0))&amp;""),IF(AND(LEN(D194)=4,LEFT(D194,1)="L",ISNUMBER(VALUE(MID(D194,2,3)))),"ID não encontrado no Log","")))</f>
        <v/>
      </c>
      <c r="J194" s="5"/>
    </row>
    <row r="195" customFormat="false" ht="15" hidden="false" customHeight="false" outlineLevel="0" collapsed="false">
      <c r="A195" s="18"/>
      <c r="B195" s="5"/>
      <c r="C195" s="5"/>
      <c r="D195" s="5"/>
      <c r="E195" s="5"/>
      <c r="F195" s="5"/>
      <c r="G195" s="14"/>
      <c r="H195" s="14"/>
      <c r="I195" s="19" t="str">
        <f aca="false">IF(D195="","",IFERROR(IF(INDEX(Log!$I:$I,MATCH(D195,Log!$G:$G,0))&amp;""="",INDEX(Log!$A:$A,MATCH(D195,Log!$G:$G,0))&amp;"",INDEX(Log!$I:$I,MATCH(D195,Log!$G:$G,0))&amp;""),IF(AND(LEN(D195)=4,LEFT(D195,1)="L",ISNUMBER(VALUE(MID(D195,2,3)))),"ID não encontrado no Log","")))</f>
        <v/>
      </c>
      <c r="J195" s="5"/>
    </row>
    <row r="196" customFormat="false" ht="15" hidden="false" customHeight="false" outlineLevel="0" collapsed="false">
      <c r="A196" s="18"/>
      <c r="B196" s="5"/>
      <c r="C196" s="5"/>
      <c r="D196" s="5"/>
      <c r="E196" s="5"/>
      <c r="F196" s="5"/>
      <c r="G196" s="14"/>
      <c r="H196" s="14"/>
      <c r="I196" s="19" t="str">
        <f aca="false">IF(D196="","",IFERROR(IF(INDEX(Log!$I:$I,MATCH(D196,Log!$G:$G,0))&amp;""="",INDEX(Log!$A:$A,MATCH(D196,Log!$G:$G,0))&amp;"",INDEX(Log!$I:$I,MATCH(D196,Log!$G:$G,0))&amp;""),IF(AND(LEN(D196)=4,LEFT(D196,1)="L",ISNUMBER(VALUE(MID(D196,2,3)))),"ID não encontrado no Log","")))</f>
        <v/>
      </c>
      <c r="J196" s="5"/>
    </row>
    <row r="197" customFormat="false" ht="15" hidden="false" customHeight="false" outlineLevel="0" collapsed="false">
      <c r="A197" s="18"/>
      <c r="B197" s="5"/>
      <c r="C197" s="5"/>
      <c r="D197" s="5"/>
      <c r="E197" s="5"/>
      <c r="F197" s="5"/>
      <c r="G197" s="14"/>
      <c r="H197" s="14"/>
      <c r="I197" s="19" t="str">
        <f aca="false">IF(D197="","",IFERROR(IF(INDEX(Log!$I:$I,MATCH(D197,Log!$G:$G,0))&amp;""="",INDEX(Log!$A:$A,MATCH(D197,Log!$G:$G,0))&amp;"",INDEX(Log!$I:$I,MATCH(D197,Log!$G:$G,0))&amp;""),IF(AND(LEN(D197)=4,LEFT(D197,1)="L",ISNUMBER(VALUE(MID(D197,2,3)))),"ID não encontrado no Log","")))</f>
        <v/>
      </c>
      <c r="J197" s="5"/>
    </row>
    <row r="198" customFormat="false" ht="15" hidden="false" customHeight="false" outlineLevel="0" collapsed="false">
      <c r="A198" s="18"/>
      <c r="B198" s="5"/>
      <c r="C198" s="5"/>
      <c r="D198" s="5"/>
      <c r="E198" s="5"/>
      <c r="F198" s="5"/>
      <c r="G198" s="14"/>
      <c r="H198" s="14"/>
      <c r="I198" s="19" t="str">
        <f aca="false">IF(D198="","",IFERROR(IF(INDEX(Log!$I:$I,MATCH(D198,Log!$G:$G,0))&amp;""="",INDEX(Log!$A:$A,MATCH(D198,Log!$G:$G,0))&amp;"",INDEX(Log!$I:$I,MATCH(D198,Log!$G:$G,0))&amp;""),IF(AND(LEN(D198)=4,LEFT(D198,1)="L",ISNUMBER(VALUE(MID(D198,2,3)))),"ID não encontrado no Log","")))</f>
        <v/>
      </c>
      <c r="J198" s="5"/>
    </row>
    <row r="199" customFormat="false" ht="15" hidden="false" customHeight="false" outlineLevel="0" collapsed="false">
      <c r="A199" s="18"/>
      <c r="B199" s="5"/>
      <c r="C199" s="5"/>
      <c r="D199" s="5"/>
      <c r="E199" s="5"/>
      <c r="F199" s="5"/>
      <c r="G199" s="14"/>
      <c r="H199" s="14"/>
      <c r="I199" s="19" t="str">
        <f aca="false">IF(D199="","",IFERROR(IF(INDEX(Log!$I:$I,MATCH(D199,Log!$G:$G,0))&amp;""="",INDEX(Log!$A:$A,MATCH(D199,Log!$G:$G,0))&amp;"",INDEX(Log!$I:$I,MATCH(D199,Log!$G:$G,0))&amp;""),IF(AND(LEN(D199)=4,LEFT(D199,1)="L",ISNUMBER(VALUE(MID(D199,2,3)))),"ID não encontrado no Log","")))</f>
        <v/>
      </c>
      <c r="J199" s="5"/>
    </row>
    <row r="200" customFormat="false" ht="15" hidden="false" customHeight="false" outlineLevel="0" collapsed="false">
      <c r="A200" s="18"/>
      <c r="B200" s="5"/>
      <c r="C200" s="5"/>
      <c r="D200" s="5"/>
      <c r="E200" s="5"/>
      <c r="F200" s="5"/>
      <c r="G200" s="14"/>
      <c r="H200" s="14"/>
      <c r="I200" s="19" t="str">
        <f aca="false">IF(D200="","",IFERROR(IF(INDEX(Log!$I:$I,MATCH(D200,Log!$G:$G,0))&amp;""="",INDEX(Log!$A:$A,MATCH(D200,Log!$G:$G,0))&amp;"",INDEX(Log!$I:$I,MATCH(D200,Log!$G:$G,0))&amp;""),IF(AND(LEN(D200)=4,LEFT(D200,1)="L",ISNUMBER(VALUE(MID(D200,2,3)))),"ID não encontrado no Log","")))</f>
        <v/>
      </c>
      <c r="J200" s="5"/>
    </row>
    <row r="201" customFormat="false" ht="15" hidden="false" customHeight="false" outlineLevel="0" collapsed="false">
      <c r="A201" s="18"/>
      <c r="B201" s="5"/>
      <c r="C201" s="5"/>
      <c r="D201" s="5"/>
      <c r="E201" s="5"/>
      <c r="F201" s="5"/>
      <c r="G201" s="14"/>
      <c r="H201" s="14"/>
      <c r="I201" s="19" t="str">
        <f aca="false">IF(D201="","",IFERROR(IF(INDEX(Log!$I:$I,MATCH(D201,Log!$G:$G,0))&amp;""="",INDEX(Log!$A:$A,MATCH(D201,Log!$G:$G,0))&amp;"",INDEX(Log!$I:$I,MATCH(D201,Log!$G:$G,0))&amp;""),IF(AND(LEN(D201)=4,LEFT(D201,1)="L",ISNUMBER(VALUE(MID(D201,2,3)))),"ID não encontrado no Log","")))</f>
        <v/>
      </c>
      <c r="J201" s="5"/>
    </row>
    <row r="202" customFormat="false" ht="15" hidden="false" customHeight="false" outlineLevel="0" collapsed="false">
      <c r="A202" s="18"/>
      <c r="B202" s="5"/>
      <c r="C202" s="5"/>
      <c r="D202" s="5"/>
      <c r="E202" s="5"/>
      <c r="F202" s="5"/>
      <c r="G202" s="14"/>
      <c r="H202" s="14"/>
      <c r="I202" s="19" t="str">
        <f aca="false">IF(D202="","",IFERROR(IF(INDEX(Log!$I:$I,MATCH(D202,Log!$G:$G,0))&amp;""="",INDEX(Log!$A:$A,MATCH(D202,Log!$G:$G,0))&amp;"",INDEX(Log!$I:$I,MATCH(D202,Log!$G:$G,0))&amp;""),IF(AND(LEN(D202)=4,LEFT(D202,1)="L",ISNUMBER(VALUE(MID(D202,2,3)))),"ID não encontrado no Log","")))</f>
        <v/>
      </c>
      <c r="J202" s="5"/>
    </row>
    <row r="203" customFormat="false" ht="15" hidden="false" customHeight="false" outlineLevel="0" collapsed="false">
      <c r="A203" s="18"/>
      <c r="B203" s="5"/>
      <c r="C203" s="5"/>
      <c r="D203" s="5"/>
      <c r="E203" s="5"/>
      <c r="F203" s="5"/>
      <c r="G203" s="14"/>
      <c r="H203" s="14"/>
      <c r="I203" s="19" t="str">
        <f aca="false">IF(D203="","",IFERROR(IF(INDEX(Log!$I:$I,MATCH(D203,Log!$G:$G,0))&amp;""="",INDEX(Log!$A:$A,MATCH(D203,Log!$G:$G,0))&amp;"",INDEX(Log!$I:$I,MATCH(D203,Log!$G:$G,0))&amp;""),IF(AND(LEN(D203)=4,LEFT(D203,1)="L",ISNUMBER(VALUE(MID(D203,2,3)))),"ID não encontrado no Log","")))</f>
        <v/>
      </c>
      <c r="J203" s="5"/>
    </row>
    <row r="204" customFormat="false" ht="15" hidden="false" customHeight="false" outlineLevel="0" collapsed="false">
      <c r="A204" s="18"/>
      <c r="B204" s="5"/>
      <c r="C204" s="5"/>
      <c r="D204" s="5"/>
      <c r="E204" s="5"/>
      <c r="F204" s="5"/>
      <c r="G204" s="14"/>
      <c r="H204" s="14"/>
      <c r="I204" s="19" t="str">
        <f aca="false">IF(D204="","",IFERROR(IF(INDEX(Log!$I:$I,MATCH(D204,Log!$G:$G,0))&amp;""="",INDEX(Log!$A:$A,MATCH(D204,Log!$G:$G,0))&amp;"",INDEX(Log!$I:$I,MATCH(D204,Log!$G:$G,0))&amp;""),IF(AND(LEN(D204)=4,LEFT(D204,1)="L",ISNUMBER(VALUE(MID(D204,2,3)))),"ID não encontrado no Log","")))</f>
        <v/>
      </c>
      <c r="J204" s="5"/>
    </row>
    <row r="205" customFormat="false" ht="15" hidden="false" customHeight="false" outlineLevel="0" collapsed="false">
      <c r="A205" s="18"/>
      <c r="B205" s="5"/>
      <c r="C205" s="5"/>
      <c r="D205" s="5"/>
      <c r="E205" s="5"/>
      <c r="F205" s="5"/>
      <c r="G205" s="14"/>
      <c r="H205" s="14"/>
      <c r="I205" s="19" t="str">
        <f aca="false">IF(D205="","",IFERROR(IF(INDEX(Log!$I:$I,MATCH(D205,Log!$G:$G,0))&amp;""="",INDEX(Log!$A:$A,MATCH(D205,Log!$G:$G,0))&amp;"",INDEX(Log!$I:$I,MATCH(D205,Log!$G:$G,0))&amp;""),IF(AND(LEN(D205)=4,LEFT(D205,1)="L",ISNUMBER(VALUE(MID(D205,2,3)))),"ID não encontrado no Log","")))</f>
        <v/>
      </c>
      <c r="J205" s="5"/>
    </row>
    <row r="206" customFormat="false" ht="15" hidden="false" customHeight="false" outlineLevel="0" collapsed="false">
      <c r="A206" s="18"/>
      <c r="B206" s="5"/>
      <c r="C206" s="5"/>
      <c r="D206" s="5"/>
      <c r="E206" s="5"/>
      <c r="F206" s="5"/>
      <c r="G206" s="14"/>
      <c r="H206" s="14"/>
      <c r="I206" s="19" t="str">
        <f aca="false">IF(D206="","",IFERROR(IF(INDEX(Log!$I:$I,MATCH(D206,Log!$G:$G,0))&amp;""="",INDEX(Log!$A:$A,MATCH(D206,Log!$G:$G,0))&amp;"",INDEX(Log!$I:$I,MATCH(D206,Log!$G:$G,0))&amp;""),IF(AND(LEN(D206)=4,LEFT(D206,1)="L",ISNUMBER(VALUE(MID(D206,2,3)))),"ID não encontrado no Log","")))</f>
        <v/>
      </c>
      <c r="J206" s="5"/>
    </row>
    <row r="207" customFormat="false" ht="15" hidden="false" customHeight="false" outlineLevel="0" collapsed="false">
      <c r="A207" s="18"/>
      <c r="B207" s="5"/>
      <c r="C207" s="5"/>
      <c r="D207" s="5"/>
      <c r="E207" s="5"/>
      <c r="F207" s="5"/>
      <c r="G207" s="14"/>
      <c r="H207" s="14"/>
      <c r="I207" s="19" t="str">
        <f aca="false">IF(D207="","",IFERROR(IF(INDEX(Log!$I:$I,MATCH(D207,Log!$G:$G,0))&amp;""="",INDEX(Log!$A:$A,MATCH(D207,Log!$G:$G,0))&amp;"",INDEX(Log!$I:$I,MATCH(D207,Log!$G:$G,0))&amp;""),IF(AND(LEN(D207)=4,LEFT(D207,1)="L",ISNUMBER(VALUE(MID(D207,2,3)))),"ID não encontrado no Log","")))</f>
        <v/>
      </c>
      <c r="J207" s="5"/>
    </row>
    <row r="208" customFormat="false" ht="15" hidden="false" customHeight="false" outlineLevel="0" collapsed="false">
      <c r="A208" s="18"/>
      <c r="B208" s="5"/>
      <c r="C208" s="5"/>
      <c r="D208" s="5"/>
      <c r="E208" s="5"/>
      <c r="F208" s="5"/>
      <c r="G208" s="14"/>
      <c r="H208" s="14"/>
      <c r="I208" s="19" t="str">
        <f aca="false">IF(D208="","",IFERROR(IF(INDEX(Log!$I:$I,MATCH(D208,Log!$G:$G,0))&amp;""="",INDEX(Log!$A:$A,MATCH(D208,Log!$G:$G,0))&amp;"",INDEX(Log!$I:$I,MATCH(D208,Log!$G:$G,0))&amp;""),IF(AND(LEN(D208)=4,LEFT(D208,1)="L",ISNUMBER(VALUE(MID(D208,2,3)))),"ID não encontrado no Log","")))</f>
        <v/>
      </c>
      <c r="J208" s="5"/>
    </row>
    <row r="209" customFormat="false" ht="15" hidden="false" customHeight="false" outlineLevel="0" collapsed="false">
      <c r="A209" s="18"/>
      <c r="B209" s="5"/>
      <c r="C209" s="5"/>
      <c r="D209" s="5"/>
      <c r="E209" s="5"/>
      <c r="F209" s="5"/>
      <c r="G209" s="14"/>
      <c r="H209" s="14"/>
      <c r="I209" s="19" t="str">
        <f aca="false">IF(D209="","",IFERROR(IF(INDEX(Log!$I:$I,MATCH(D209,Log!$G:$G,0))&amp;""="",INDEX(Log!$A:$A,MATCH(D209,Log!$G:$G,0))&amp;"",INDEX(Log!$I:$I,MATCH(D209,Log!$G:$G,0))&amp;""),IF(AND(LEN(D209)=4,LEFT(D209,1)="L",ISNUMBER(VALUE(MID(D209,2,3)))),"ID não encontrado no Log","")))</f>
        <v/>
      </c>
      <c r="J209" s="5"/>
    </row>
    <row r="210" customFormat="false" ht="15" hidden="false" customHeight="false" outlineLevel="0" collapsed="false">
      <c r="A210" s="18"/>
      <c r="B210" s="5"/>
      <c r="C210" s="5"/>
      <c r="D210" s="5"/>
      <c r="E210" s="5"/>
      <c r="F210" s="5"/>
      <c r="G210" s="14"/>
      <c r="H210" s="14"/>
      <c r="I210" s="19" t="str">
        <f aca="false">IF(D210="","",IFERROR(IF(INDEX(Log!$I:$I,MATCH(D210,Log!$G:$G,0))&amp;""="",INDEX(Log!$A:$A,MATCH(D210,Log!$G:$G,0))&amp;"",INDEX(Log!$I:$I,MATCH(D210,Log!$G:$G,0))&amp;""),IF(AND(LEN(D210)=4,LEFT(D210,1)="L",ISNUMBER(VALUE(MID(D210,2,3)))),"ID não encontrado no Log","")))</f>
        <v/>
      </c>
      <c r="J210" s="5"/>
    </row>
    <row r="211" customFormat="false" ht="15" hidden="false" customHeight="false" outlineLevel="0" collapsed="false">
      <c r="A211" s="18"/>
      <c r="B211" s="5"/>
      <c r="C211" s="5"/>
      <c r="D211" s="5"/>
      <c r="E211" s="5"/>
      <c r="F211" s="5"/>
      <c r="G211" s="14"/>
      <c r="H211" s="14"/>
      <c r="I211" s="19" t="str">
        <f aca="false">IF(D211="","",IFERROR(IF(INDEX(Log!$I:$I,MATCH(D211,Log!$G:$G,0))&amp;""="",INDEX(Log!$A:$A,MATCH(D211,Log!$G:$G,0))&amp;"",INDEX(Log!$I:$I,MATCH(D211,Log!$G:$G,0))&amp;""),IF(AND(LEN(D211)=4,LEFT(D211,1)="L",ISNUMBER(VALUE(MID(D211,2,3)))),"ID não encontrado no Log","")))</f>
        <v/>
      </c>
      <c r="J211" s="5"/>
    </row>
    <row r="212" customFormat="false" ht="15" hidden="false" customHeight="false" outlineLevel="0" collapsed="false">
      <c r="A212" s="18"/>
      <c r="B212" s="5"/>
      <c r="C212" s="5"/>
      <c r="D212" s="5"/>
      <c r="E212" s="5"/>
      <c r="F212" s="5"/>
      <c r="G212" s="14"/>
      <c r="H212" s="14"/>
      <c r="I212" s="19" t="str">
        <f aca="false">IF(D212="","",IFERROR(IF(INDEX(Log!$I:$I,MATCH(D212,Log!$G:$G,0))&amp;""="",INDEX(Log!$A:$A,MATCH(D212,Log!$G:$G,0))&amp;"",INDEX(Log!$I:$I,MATCH(D212,Log!$G:$G,0))&amp;""),IF(AND(LEN(D212)=4,LEFT(D212,1)="L",ISNUMBER(VALUE(MID(D212,2,3)))),"ID não encontrado no Log","")))</f>
        <v/>
      </c>
      <c r="J212" s="5"/>
    </row>
    <row r="213" customFormat="false" ht="15" hidden="false" customHeight="false" outlineLevel="0" collapsed="false">
      <c r="A213" s="18"/>
      <c r="B213" s="5"/>
      <c r="C213" s="5"/>
      <c r="D213" s="5"/>
      <c r="E213" s="5"/>
      <c r="F213" s="5"/>
      <c r="G213" s="14"/>
      <c r="H213" s="14"/>
      <c r="I213" s="19" t="str">
        <f aca="false">IF(D213="","",IFERROR(IF(INDEX(Log!$I:$I,MATCH(D213,Log!$G:$G,0))&amp;""="",INDEX(Log!$A:$A,MATCH(D213,Log!$G:$G,0))&amp;"",INDEX(Log!$I:$I,MATCH(D213,Log!$G:$G,0))&amp;""),IF(AND(LEN(D213)=4,LEFT(D213,1)="L",ISNUMBER(VALUE(MID(D213,2,3)))),"ID não encontrado no Log","")))</f>
        <v/>
      </c>
      <c r="J213" s="5"/>
    </row>
    <row r="214" customFormat="false" ht="15" hidden="false" customHeight="false" outlineLevel="0" collapsed="false">
      <c r="A214" s="18"/>
      <c r="B214" s="5"/>
      <c r="C214" s="5"/>
      <c r="D214" s="5"/>
      <c r="E214" s="5"/>
      <c r="F214" s="5"/>
      <c r="G214" s="14"/>
      <c r="H214" s="14"/>
      <c r="I214" s="19" t="str">
        <f aca="false">IF(D214="","",IFERROR(IF(INDEX(Log!$I:$I,MATCH(D214,Log!$G:$G,0))&amp;""="",INDEX(Log!$A:$A,MATCH(D214,Log!$G:$G,0))&amp;"",INDEX(Log!$I:$I,MATCH(D214,Log!$G:$G,0))&amp;""),IF(AND(LEN(D214)=4,LEFT(D214,1)="L",ISNUMBER(VALUE(MID(D214,2,3)))),"ID não encontrado no Log","")))</f>
        <v/>
      </c>
      <c r="J214" s="5"/>
    </row>
    <row r="215" customFormat="false" ht="15" hidden="false" customHeight="false" outlineLevel="0" collapsed="false">
      <c r="A215" s="18"/>
      <c r="B215" s="5"/>
      <c r="C215" s="5"/>
      <c r="D215" s="5"/>
      <c r="E215" s="5"/>
      <c r="F215" s="5"/>
      <c r="G215" s="14"/>
      <c r="H215" s="14"/>
      <c r="I215" s="19" t="str">
        <f aca="false">IF(D215="","",IFERROR(IF(INDEX(Log!$I:$I,MATCH(D215,Log!$G:$G,0))&amp;""="",INDEX(Log!$A:$A,MATCH(D215,Log!$G:$G,0))&amp;"",INDEX(Log!$I:$I,MATCH(D215,Log!$G:$G,0))&amp;""),IF(AND(LEN(D215)=4,LEFT(D215,1)="L",ISNUMBER(VALUE(MID(D215,2,3)))),"ID não encontrado no Log","")))</f>
        <v/>
      </c>
      <c r="J215" s="5"/>
    </row>
    <row r="216" customFormat="false" ht="15" hidden="false" customHeight="false" outlineLevel="0" collapsed="false">
      <c r="A216" s="18"/>
      <c r="B216" s="5"/>
      <c r="C216" s="5"/>
      <c r="D216" s="5"/>
      <c r="E216" s="5"/>
      <c r="F216" s="5"/>
      <c r="G216" s="14"/>
      <c r="H216" s="14"/>
      <c r="I216" s="19" t="str">
        <f aca="false">IF(D216="","",IFERROR(IF(INDEX(Log!$I:$I,MATCH(D216,Log!$G:$G,0))&amp;""="",INDEX(Log!$A:$A,MATCH(D216,Log!$G:$G,0))&amp;"",INDEX(Log!$I:$I,MATCH(D216,Log!$G:$G,0))&amp;""),IF(AND(LEN(D216)=4,LEFT(D216,1)="L",ISNUMBER(VALUE(MID(D216,2,3)))),"ID não encontrado no Log","")))</f>
        <v/>
      </c>
      <c r="J216" s="5"/>
    </row>
    <row r="217" customFormat="false" ht="15" hidden="false" customHeight="false" outlineLevel="0" collapsed="false">
      <c r="A217" s="18"/>
      <c r="B217" s="5"/>
      <c r="C217" s="5"/>
      <c r="D217" s="5"/>
      <c r="E217" s="5"/>
      <c r="F217" s="5"/>
      <c r="G217" s="14"/>
      <c r="H217" s="14"/>
      <c r="I217" s="19" t="str">
        <f aca="false">IF(D217="","",IFERROR(IF(INDEX(Log!$I:$I,MATCH(D217,Log!$G:$G,0))&amp;""="",INDEX(Log!$A:$A,MATCH(D217,Log!$G:$G,0))&amp;"",INDEX(Log!$I:$I,MATCH(D217,Log!$G:$G,0))&amp;""),IF(AND(LEN(D217)=4,LEFT(D217,1)="L",ISNUMBER(VALUE(MID(D217,2,3)))),"ID não encontrado no Log","")))</f>
        <v/>
      </c>
      <c r="J217" s="5"/>
    </row>
    <row r="218" customFormat="false" ht="15" hidden="false" customHeight="false" outlineLevel="0" collapsed="false">
      <c r="A218" s="18"/>
      <c r="B218" s="5"/>
      <c r="C218" s="5"/>
      <c r="D218" s="5"/>
      <c r="E218" s="5"/>
      <c r="F218" s="5"/>
      <c r="G218" s="14"/>
      <c r="H218" s="14"/>
      <c r="I218" s="19" t="str">
        <f aca="false">IF(D218="","",IFERROR(IF(INDEX(Log!$I:$I,MATCH(D218,Log!$G:$G,0))&amp;""="",INDEX(Log!$A:$A,MATCH(D218,Log!$G:$G,0))&amp;"",INDEX(Log!$I:$I,MATCH(D218,Log!$G:$G,0))&amp;""),IF(AND(LEN(D218)=4,LEFT(D218,1)="L",ISNUMBER(VALUE(MID(D218,2,3)))),"ID não encontrado no Log","")))</f>
        <v/>
      </c>
      <c r="J218" s="5"/>
    </row>
    <row r="219" customFormat="false" ht="15" hidden="false" customHeight="false" outlineLevel="0" collapsed="false">
      <c r="A219" s="18"/>
      <c r="B219" s="5"/>
      <c r="C219" s="5"/>
      <c r="D219" s="5"/>
      <c r="E219" s="5"/>
      <c r="F219" s="5"/>
      <c r="G219" s="14"/>
      <c r="H219" s="14"/>
      <c r="I219" s="19" t="str">
        <f aca="false">IF(D219="","",IFERROR(IF(INDEX(Log!$I:$I,MATCH(D219,Log!$G:$G,0))&amp;""="",INDEX(Log!$A:$A,MATCH(D219,Log!$G:$G,0))&amp;"",INDEX(Log!$I:$I,MATCH(D219,Log!$G:$G,0))&amp;""),IF(AND(LEN(D219)=4,LEFT(D219,1)="L",ISNUMBER(VALUE(MID(D219,2,3)))),"ID não encontrado no Log","")))</f>
        <v/>
      </c>
      <c r="J219" s="5"/>
    </row>
    <row r="220" customFormat="false" ht="15" hidden="false" customHeight="false" outlineLevel="0" collapsed="false">
      <c r="A220" s="18"/>
      <c r="B220" s="5"/>
      <c r="C220" s="5"/>
      <c r="D220" s="5"/>
      <c r="E220" s="5"/>
      <c r="F220" s="5"/>
      <c r="G220" s="14"/>
      <c r="H220" s="14"/>
      <c r="I220" s="19" t="str">
        <f aca="false">IF(D220="","",IFERROR(IF(INDEX(Log!$I:$I,MATCH(D220,Log!$G:$G,0))&amp;""="",INDEX(Log!$A:$A,MATCH(D220,Log!$G:$G,0))&amp;"",INDEX(Log!$I:$I,MATCH(D220,Log!$G:$G,0))&amp;""),IF(AND(LEN(D220)=4,LEFT(D220,1)="L",ISNUMBER(VALUE(MID(D220,2,3)))),"ID não encontrado no Log","")))</f>
        <v/>
      </c>
      <c r="J220" s="5"/>
    </row>
    <row r="221" customFormat="false" ht="15" hidden="false" customHeight="false" outlineLevel="0" collapsed="false">
      <c r="A221" s="18"/>
      <c r="B221" s="5"/>
      <c r="C221" s="5"/>
      <c r="D221" s="5"/>
      <c r="E221" s="5"/>
      <c r="F221" s="5"/>
      <c r="G221" s="14"/>
      <c r="H221" s="14"/>
      <c r="I221" s="19" t="str">
        <f aca="false">IF(D221="","",IFERROR(IF(INDEX(Log!$I:$I,MATCH(D221,Log!$G:$G,0))&amp;""="",INDEX(Log!$A:$A,MATCH(D221,Log!$G:$G,0))&amp;"",INDEX(Log!$I:$I,MATCH(D221,Log!$G:$G,0))&amp;""),IF(AND(LEN(D221)=4,LEFT(D221,1)="L",ISNUMBER(VALUE(MID(D221,2,3)))),"ID não encontrado no Log","")))</f>
        <v/>
      </c>
      <c r="J221" s="5"/>
    </row>
    <row r="222" customFormat="false" ht="15" hidden="false" customHeight="false" outlineLevel="0" collapsed="false">
      <c r="A222" s="18"/>
      <c r="B222" s="5"/>
      <c r="C222" s="5"/>
      <c r="D222" s="5"/>
      <c r="E222" s="5"/>
      <c r="F222" s="5"/>
      <c r="G222" s="14"/>
      <c r="H222" s="14"/>
      <c r="I222" s="19" t="str">
        <f aca="false">IF(D222="","",IFERROR(IF(INDEX(Log!$I:$I,MATCH(D222,Log!$G:$G,0))&amp;""="",INDEX(Log!$A:$A,MATCH(D222,Log!$G:$G,0))&amp;"",INDEX(Log!$I:$I,MATCH(D222,Log!$G:$G,0))&amp;""),IF(AND(LEN(D222)=4,LEFT(D222,1)="L",ISNUMBER(VALUE(MID(D222,2,3)))),"ID não encontrado no Log","")))</f>
        <v/>
      </c>
      <c r="J222" s="5"/>
    </row>
    <row r="223" customFormat="false" ht="15" hidden="false" customHeight="false" outlineLevel="0" collapsed="false">
      <c r="A223" s="18"/>
      <c r="B223" s="5"/>
      <c r="C223" s="5"/>
      <c r="D223" s="5"/>
      <c r="E223" s="5"/>
      <c r="F223" s="5"/>
      <c r="G223" s="14"/>
      <c r="H223" s="14"/>
      <c r="I223" s="19" t="str">
        <f aca="false">IF(D223="","",IFERROR(IF(INDEX(Log!$I:$I,MATCH(D223,Log!$G:$G,0))&amp;""="",INDEX(Log!$A:$A,MATCH(D223,Log!$G:$G,0))&amp;"",INDEX(Log!$I:$I,MATCH(D223,Log!$G:$G,0))&amp;""),IF(AND(LEN(D223)=4,LEFT(D223,1)="L",ISNUMBER(VALUE(MID(D223,2,3)))),"ID não encontrado no Log","")))</f>
        <v/>
      </c>
      <c r="J223" s="5"/>
    </row>
    <row r="224" customFormat="false" ht="15" hidden="false" customHeight="false" outlineLevel="0" collapsed="false">
      <c r="A224" s="18"/>
      <c r="B224" s="5"/>
      <c r="C224" s="5"/>
      <c r="D224" s="5"/>
      <c r="E224" s="5"/>
      <c r="F224" s="5"/>
      <c r="G224" s="14"/>
      <c r="H224" s="14"/>
      <c r="I224" s="19" t="str">
        <f aca="false">IF(D224="","",IFERROR(IF(INDEX(Log!$I:$I,MATCH(D224,Log!$G:$G,0))&amp;""="",INDEX(Log!$A:$A,MATCH(D224,Log!$G:$G,0))&amp;"",INDEX(Log!$I:$I,MATCH(D224,Log!$G:$G,0))&amp;""),IF(AND(LEN(D224)=4,LEFT(D224,1)="L",ISNUMBER(VALUE(MID(D224,2,3)))),"ID não encontrado no Log","")))</f>
        <v/>
      </c>
      <c r="J224" s="5"/>
    </row>
    <row r="225" customFormat="false" ht="15" hidden="false" customHeight="false" outlineLevel="0" collapsed="false">
      <c r="A225" s="18"/>
      <c r="B225" s="5"/>
      <c r="C225" s="5"/>
      <c r="D225" s="5"/>
      <c r="E225" s="5"/>
      <c r="F225" s="5"/>
      <c r="G225" s="14"/>
      <c r="H225" s="14"/>
      <c r="I225" s="19" t="str">
        <f aca="false">IF(D225="","",IFERROR(IF(INDEX(Log!$I:$I,MATCH(D225,Log!$G:$G,0))&amp;""="",INDEX(Log!$A:$A,MATCH(D225,Log!$G:$G,0))&amp;"",INDEX(Log!$I:$I,MATCH(D225,Log!$G:$G,0))&amp;""),IF(AND(LEN(D225)=4,LEFT(D225,1)="L",ISNUMBER(VALUE(MID(D225,2,3)))),"ID não encontrado no Log","")))</f>
        <v/>
      </c>
      <c r="J225" s="5"/>
    </row>
    <row r="226" customFormat="false" ht="15" hidden="false" customHeight="false" outlineLevel="0" collapsed="false">
      <c r="A226" s="18"/>
      <c r="B226" s="5"/>
      <c r="C226" s="5"/>
      <c r="D226" s="5"/>
      <c r="E226" s="5"/>
      <c r="F226" s="5"/>
      <c r="G226" s="14"/>
      <c r="H226" s="14"/>
      <c r="I226" s="19" t="str">
        <f aca="false">IF(D226="","",IFERROR(IF(INDEX(Log!$I:$I,MATCH(D226,Log!$G:$G,0))&amp;""="",INDEX(Log!$A:$A,MATCH(D226,Log!$G:$G,0))&amp;"",INDEX(Log!$I:$I,MATCH(D226,Log!$G:$G,0))&amp;""),IF(AND(LEN(D226)=4,LEFT(D226,1)="L",ISNUMBER(VALUE(MID(D226,2,3)))),"ID não encontrado no Log","")))</f>
        <v/>
      </c>
      <c r="J226" s="5"/>
    </row>
    <row r="227" customFormat="false" ht="15" hidden="false" customHeight="false" outlineLevel="0" collapsed="false">
      <c r="A227" s="18"/>
      <c r="B227" s="5"/>
      <c r="C227" s="5"/>
      <c r="D227" s="5"/>
      <c r="E227" s="5"/>
      <c r="F227" s="5"/>
      <c r="G227" s="14"/>
      <c r="H227" s="14"/>
      <c r="I227" s="19" t="str">
        <f aca="false">IF(D227="","",IFERROR(IF(INDEX(Log!$I:$I,MATCH(D227,Log!$G:$G,0))&amp;""="",INDEX(Log!$A:$A,MATCH(D227,Log!$G:$G,0))&amp;"",INDEX(Log!$I:$I,MATCH(D227,Log!$G:$G,0))&amp;""),IF(AND(LEN(D227)=4,LEFT(D227,1)="L",ISNUMBER(VALUE(MID(D227,2,3)))),"ID não encontrado no Log","")))</f>
        <v/>
      </c>
      <c r="J227" s="5"/>
    </row>
    <row r="228" customFormat="false" ht="15" hidden="false" customHeight="false" outlineLevel="0" collapsed="false">
      <c r="A228" s="18"/>
      <c r="B228" s="5"/>
      <c r="C228" s="5"/>
      <c r="D228" s="5"/>
      <c r="E228" s="5"/>
      <c r="F228" s="5"/>
      <c r="G228" s="14"/>
      <c r="H228" s="14"/>
      <c r="I228" s="19" t="str">
        <f aca="false">IF(D228="","",IFERROR(IF(INDEX(Log!$I:$I,MATCH(D228,Log!$G:$G,0))&amp;""="",INDEX(Log!$A:$A,MATCH(D228,Log!$G:$G,0))&amp;"",INDEX(Log!$I:$I,MATCH(D228,Log!$G:$G,0))&amp;""),IF(AND(LEN(D228)=4,LEFT(D228,1)="L",ISNUMBER(VALUE(MID(D228,2,3)))),"ID não encontrado no Log","")))</f>
        <v/>
      </c>
      <c r="J228" s="5"/>
    </row>
    <row r="229" customFormat="false" ht="15" hidden="false" customHeight="false" outlineLevel="0" collapsed="false">
      <c r="A229" s="18"/>
      <c r="B229" s="5"/>
      <c r="C229" s="5"/>
      <c r="D229" s="5"/>
      <c r="E229" s="5"/>
      <c r="F229" s="5"/>
      <c r="G229" s="14"/>
      <c r="H229" s="14"/>
      <c r="I229" s="19" t="str">
        <f aca="false">IF(D229="","",IFERROR(IF(INDEX(Log!$I:$I,MATCH(D229,Log!$G:$G,0))&amp;""="",INDEX(Log!$A:$A,MATCH(D229,Log!$G:$G,0))&amp;"",INDEX(Log!$I:$I,MATCH(D229,Log!$G:$G,0))&amp;""),IF(AND(LEN(D229)=4,LEFT(D229,1)="L",ISNUMBER(VALUE(MID(D229,2,3)))),"ID não encontrado no Log","")))</f>
        <v/>
      </c>
      <c r="J229" s="5"/>
    </row>
    <row r="230" customFormat="false" ht="15" hidden="false" customHeight="false" outlineLevel="0" collapsed="false">
      <c r="A230" s="18"/>
      <c r="B230" s="5"/>
      <c r="C230" s="5"/>
      <c r="D230" s="5"/>
      <c r="E230" s="5"/>
      <c r="F230" s="5"/>
      <c r="G230" s="14"/>
      <c r="H230" s="14"/>
      <c r="I230" s="19" t="str">
        <f aca="false">IF(D230="","",IFERROR(IF(INDEX(Log!$I:$I,MATCH(D230,Log!$G:$G,0))&amp;""="",INDEX(Log!$A:$A,MATCH(D230,Log!$G:$G,0))&amp;"",INDEX(Log!$I:$I,MATCH(D230,Log!$G:$G,0))&amp;""),IF(AND(LEN(D230)=4,LEFT(D230,1)="L",ISNUMBER(VALUE(MID(D230,2,3)))),"ID não encontrado no Log","")))</f>
        <v/>
      </c>
      <c r="J230" s="5"/>
    </row>
    <row r="231" customFormat="false" ht="15" hidden="false" customHeight="false" outlineLevel="0" collapsed="false">
      <c r="A231" s="18"/>
      <c r="B231" s="5"/>
      <c r="C231" s="5"/>
      <c r="D231" s="5"/>
      <c r="E231" s="5"/>
      <c r="F231" s="5"/>
      <c r="G231" s="14"/>
      <c r="H231" s="14"/>
      <c r="I231" s="19" t="str">
        <f aca="false">IF(D231="","",IFERROR(IF(INDEX(Log!$I:$I,MATCH(D231,Log!$G:$G,0))&amp;""="",INDEX(Log!$A:$A,MATCH(D231,Log!$G:$G,0))&amp;"",INDEX(Log!$I:$I,MATCH(D231,Log!$G:$G,0))&amp;""),IF(AND(LEN(D231)=4,LEFT(D231,1)="L",ISNUMBER(VALUE(MID(D231,2,3)))),"ID não encontrado no Log","")))</f>
        <v/>
      </c>
      <c r="J231" s="5"/>
    </row>
    <row r="232" customFormat="false" ht="15" hidden="false" customHeight="false" outlineLevel="0" collapsed="false">
      <c r="A232" s="18"/>
      <c r="B232" s="5"/>
      <c r="C232" s="5"/>
      <c r="D232" s="5"/>
      <c r="E232" s="5"/>
      <c r="F232" s="5"/>
      <c r="G232" s="14"/>
      <c r="H232" s="14"/>
      <c r="I232" s="19" t="str">
        <f aca="false">IF(D232="","",IFERROR(IF(INDEX(Log!$I:$I,MATCH(D232,Log!$G:$G,0))&amp;""="",INDEX(Log!$A:$A,MATCH(D232,Log!$G:$G,0))&amp;"",INDEX(Log!$I:$I,MATCH(D232,Log!$G:$G,0))&amp;""),IF(AND(LEN(D232)=4,LEFT(D232,1)="L",ISNUMBER(VALUE(MID(D232,2,3)))),"ID não encontrado no Log","")))</f>
        <v/>
      </c>
      <c r="J232" s="5"/>
    </row>
    <row r="233" customFormat="false" ht="15" hidden="false" customHeight="false" outlineLevel="0" collapsed="false">
      <c r="A233" s="18"/>
      <c r="B233" s="5"/>
      <c r="C233" s="5"/>
      <c r="D233" s="5"/>
      <c r="E233" s="5"/>
      <c r="F233" s="5"/>
      <c r="G233" s="14"/>
      <c r="H233" s="14"/>
      <c r="I233" s="19" t="str">
        <f aca="false">IF(D233="","",IFERROR(IF(INDEX(Log!$I:$I,MATCH(D233,Log!$G:$G,0))&amp;""="",INDEX(Log!$A:$A,MATCH(D233,Log!$G:$G,0))&amp;"",INDEX(Log!$I:$I,MATCH(D233,Log!$G:$G,0))&amp;""),IF(AND(LEN(D233)=4,LEFT(D233,1)="L",ISNUMBER(VALUE(MID(D233,2,3)))),"ID não encontrado no Log","")))</f>
        <v/>
      </c>
      <c r="J233" s="5"/>
    </row>
    <row r="234" customFormat="false" ht="15" hidden="false" customHeight="false" outlineLevel="0" collapsed="false">
      <c r="A234" s="18"/>
      <c r="B234" s="5"/>
      <c r="C234" s="5"/>
      <c r="D234" s="5"/>
      <c r="E234" s="5"/>
      <c r="F234" s="5"/>
      <c r="G234" s="14"/>
      <c r="H234" s="14"/>
      <c r="I234" s="19" t="str">
        <f aca="false">IF(D234="","",IFERROR(IF(INDEX(Log!$I:$I,MATCH(D234,Log!$G:$G,0))&amp;""="",INDEX(Log!$A:$A,MATCH(D234,Log!$G:$G,0))&amp;"",INDEX(Log!$I:$I,MATCH(D234,Log!$G:$G,0))&amp;""),IF(AND(LEN(D234)=4,LEFT(D234,1)="L",ISNUMBER(VALUE(MID(D234,2,3)))),"ID não encontrado no Log","")))</f>
        <v/>
      </c>
      <c r="J234" s="5"/>
    </row>
    <row r="235" customFormat="false" ht="15" hidden="false" customHeight="false" outlineLevel="0" collapsed="false">
      <c r="A235" s="18"/>
      <c r="B235" s="5"/>
      <c r="C235" s="5"/>
      <c r="D235" s="5"/>
      <c r="E235" s="5"/>
      <c r="F235" s="5"/>
      <c r="G235" s="14"/>
      <c r="H235" s="14"/>
      <c r="I235" s="19" t="str">
        <f aca="false">IF(D235="","",IFERROR(IF(INDEX(Log!$I:$I,MATCH(D235,Log!$G:$G,0))&amp;""="",INDEX(Log!$A:$A,MATCH(D235,Log!$G:$G,0))&amp;"",INDEX(Log!$I:$I,MATCH(D235,Log!$G:$G,0))&amp;""),IF(AND(LEN(D235)=4,LEFT(D235,1)="L",ISNUMBER(VALUE(MID(D235,2,3)))),"ID não encontrado no Log","")))</f>
        <v/>
      </c>
      <c r="J235" s="5"/>
    </row>
    <row r="236" customFormat="false" ht="15" hidden="false" customHeight="false" outlineLevel="0" collapsed="false">
      <c r="A236" s="18"/>
      <c r="B236" s="5"/>
      <c r="C236" s="5"/>
      <c r="D236" s="5"/>
      <c r="E236" s="5"/>
      <c r="F236" s="5"/>
      <c r="G236" s="14"/>
      <c r="H236" s="14"/>
      <c r="I236" s="19" t="str">
        <f aca="false">IF(D236="","",IFERROR(IF(INDEX(Log!$I:$I,MATCH(D236,Log!$G:$G,0))&amp;""="",INDEX(Log!$A:$A,MATCH(D236,Log!$G:$G,0))&amp;"",INDEX(Log!$I:$I,MATCH(D236,Log!$G:$G,0))&amp;""),IF(AND(LEN(D236)=4,LEFT(D236,1)="L",ISNUMBER(VALUE(MID(D236,2,3)))),"ID não encontrado no Log","")))</f>
        <v/>
      </c>
      <c r="J236" s="5"/>
    </row>
    <row r="237" customFormat="false" ht="15" hidden="false" customHeight="false" outlineLevel="0" collapsed="false">
      <c r="A237" s="18"/>
      <c r="B237" s="5"/>
      <c r="C237" s="5"/>
      <c r="D237" s="5"/>
      <c r="E237" s="5"/>
      <c r="F237" s="5"/>
      <c r="G237" s="14"/>
      <c r="H237" s="14"/>
      <c r="I237" s="19" t="str">
        <f aca="false">IF(D237="","",IFERROR(IF(INDEX(Log!$I:$I,MATCH(D237,Log!$G:$G,0))&amp;""="",INDEX(Log!$A:$A,MATCH(D237,Log!$G:$G,0))&amp;"",INDEX(Log!$I:$I,MATCH(D237,Log!$G:$G,0))&amp;""),IF(AND(LEN(D237)=4,LEFT(D237,1)="L",ISNUMBER(VALUE(MID(D237,2,3)))),"ID não encontrado no Log","")))</f>
        <v/>
      </c>
      <c r="J237" s="5"/>
    </row>
    <row r="238" customFormat="false" ht="15" hidden="false" customHeight="false" outlineLevel="0" collapsed="false">
      <c r="A238" s="18"/>
      <c r="B238" s="5"/>
      <c r="C238" s="5"/>
      <c r="D238" s="5"/>
      <c r="E238" s="5"/>
      <c r="F238" s="5"/>
      <c r="G238" s="14"/>
      <c r="H238" s="14"/>
      <c r="I238" s="19" t="str">
        <f aca="false">IF(D238="","",IFERROR(IF(INDEX(Log!$I:$I,MATCH(D238,Log!$G:$G,0))&amp;""="",INDEX(Log!$A:$A,MATCH(D238,Log!$G:$G,0))&amp;"",INDEX(Log!$I:$I,MATCH(D238,Log!$G:$G,0))&amp;""),IF(AND(LEN(D238)=4,LEFT(D238,1)="L",ISNUMBER(VALUE(MID(D238,2,3)))),"ID não encontrado no Log","")))</f>
        <v/>
      </c>
      <c r="J238" s="5"/>
    </row>
    <row r="239" customFormat="false" ht="15" hidden="false" customHeight="false" outlineLevel="0" collapsed="false">
      <c r="A239" s="18"/>
      <c r="B239" s="5"/>
      <c r="C239" s="5"/>
      <c r="D239" s="5"/>
      <c r="E239" s="5"/>
      <c r="F239" s="5"/>
      <c r="G239" s="14"/>
      <c r="H239" s="14"/>
      <c r="I239" s="19" t="str">
        <f aca="false">IF(D239="","",IFERROR(IF(INDEX(Log!$I:$I,MATCH(D239,Log!$G:$G,0))&amp;""="",INDEX(Log!$A:$A,MATCH(D239,Log!$G:$G,0))&amp;"",INDEX(Log!$I:$I,MATCH(D239,Log!$G:$G,0))&amp;""),IF(AND(LEN(D239)=4,LEFT(D239,1)="L",ISNUMBER(VALUE(MID(D239,2,3)))),"ID não encontrado no Log","")))</f>
        <v/>
      </c>
      <c r="J239" s="5"/>
    </row>
    <row r="240" customFormat="false" ht="15" hidden="false" customHeight="false" outlineLevel="0" collapsed="false">
      <c r="A240" s="18"/>
      <c r="B240" s="5"/>
      <c r="C240" s="5"/>
      <c r="D240" s="5"/>
      <c r="E240" s="5"/>
      <c r="F240" s="5"/>
      <c r="G240" s="14"/>
      <c r="H240" s="14"/>
      <c r="I240" s="19" t="str">
        <f aca="false">IF(D240="","",IFERROR(IF(INDEX(Log!$I:$I,MATCH(D240,Log!$G:$G,0))&amp;""="",INDEX(Log!$A:$A,MATCH(D240,Log!$G:$G,0))&amp;"",INDEX(Log!$I:$I,MATCH(D240,Log!$G:$G,0))&amp;""),IF(AND(LEN(D240)=4,LEFT(D240,1)="L",ISNUMBER(VALUE(MID(D240,2,3)))),"ID não encontrado no Log","")))</f>
        <v/>
      </c>
      <c r="J240" s="5"/>
    </row>
    <row r="241" customFormat="false" ht="15" hidden="false" customHeight="false" outlineLevel="0" collapsed="false">
      <c r="A241" s="18"/>
      <c r="B241" s="5"/>
      <c r="C241" s="5"/>
      <c r="D241" s="5"/>
      <c r="E241" s="5"/>
      <c r="F241" s="5"/>
      <c r="G241" s="14"/>
      <c r="H241" s="14"/>
      <c r="I241" s="19" t="str">
        <f aca="false">IF(D241="","",IFERROR(IF(INDEX(Log!$I:$I,MATCH(D241,Log!$G:$G,0))&amp;""="",INDEX(Log!$A:$A,MATCH(D241,Log!$G:$G,0))&amp;"",INDEX(Log!$I:$I,MATCH(D241,Log!$G:$G,0))&amp;""),IF(AND(LEN(D241)=4,LEFT(D241,1)="L",ISNUMBER(VALUE(MID(D241,2,3)))),"ID não encontrado no Log","")))</f>
        <v/>
      </c>
      <c r="J241" s="5"/>
    </row>
    <row r="242" customFormat="false" ht="15" hidden="false" customHeight="false" outlineLevel="0" collapsed="false">
      <c r="A242" s="18"/>
      <c r="B242" s="5"/>
      <c r="C242" s="5"/>
      <c r="D242" s="5"/>
      <c r="E242" s="5"/>
      <c r="F242" s="5"/>
      <c r="G242" s="14"/>
      <c r="H242" s="14"/>
      <c r="I242" s="19" t="str">
        <f aca="false">IF(D242="","",IFERROR(IF(INDEX(Log!$I:$I,MATCH(D242,Log!$G:$G,0))&amp;""="",INDEX(Log!$A:$A,MATCH(D242,Log!$G:$G,0))&amp;"",INDEX(Log!$I:$I,MATCH(D242,Log!$G:$G,0))&amp;""),IF(AND(LEN(D242)=4,LEFT(D242,1)="L",ISNUMBER(VALUE(MID(D242,2,3)))),"ID não encontrado no Log","")))</f>
        <v/>
      </c>
      <c r="J242" s="5"/>
    </row>
    <row r="243" customFormat="false" ht="15" hidden="false" customHeight="false" outlineLevel="0" collapsed="false">
      <c r="A243" s="18"/>
      <c r="B243" s="5"/>
      <c r="C243" s="5"/>
      <c r="D243" s="5"/>
      <c r="E243" s="5"/>
      <c r="F243" s="5"/>
      <c r="G243" s="14"/>
      <c r="H243" s="14"/>
      <c r="I243" s="19" t="str">
        <f aca="false">IF(D243="","",IFERROR(IF(INDEX(Log!$I:$I,MATCH(D243,Log!$G:$G,0))&amp;""="",INDEX(Log!$A:$A,MATCH(D243,Log!$G:$G,0))&amp;"",INDEX(Log!$I:$I,MATCH(D243,Log!$G:$G,0))&amp;""),IF(AND(LEN(D243)=4,LEFT(D243,1)="L",ISNUMBER(VALUE(MID(D243,2,3)))),"ID não encontrado no Log","")))</f>
        <v/>
      </c>
      <c r="J243" s="5"/>
    </row>
    <row r="244" customFormat="false" ht="15" hidden="false" customHeight="false" outlineLevel="0" collapsed="false">
      <c r="A244" s="18"/>
      <c r="B244" s="5"/>
      <c r="C244" s="5"/>
      <c r="D244" s="5"/>
      <c r="E244" s="5"/>
      <c r="F244" s="5"/>
      <c r="G244" s="14"/>
      <c r="H244" s="14"/>
      <c r="I244" s="19" t="str">
        <f aca="false">IF(D244="","",IFERROR(IF(INDEX(Log!$I:$I,MATCH(D244,Log!$G:$G,0))&amp;""="",INDEX(Log!$A:$A,MATCH(D244,Log!$G:$G,0))&amp;"",INDEX(Log!$I:$I,MATCH(D244,Log!$G:$G,0))&amp;""),IF(AND(LEN(D244)=4,LEFT(D244,1)="L",ISNUMBER(VALUE(MID(D244,2,3)))),"ID não encontrado no Log","")))</f>
        <v/>
      </c>
      <c r="J244" s="5"/>
    </row>
    <row r="245" customFormat="false" ht="15" hidden="false" customHeight="false" outlineLevel="0" collapsed="false">
      <c r="A245" s="18"/>
      <c r="B245" s="5"/>
      <c r="C245" s="5"/>
      <c r="D245" s="5"/>
      <c r="E245" s="5"/>
      <c r="F245" s="5"/>
      <c r="G245" s="14"/>
      <c r="H245" s="14"/>
      <c r="I245" s="19" t="str">
        <f aca="false">IF(D245="","",IFERROR(IF(INDEX(Log!$I:$I,MATCH(D245,Log!$G:$G,0))&amp;""="",INDEX(Log!$A:$A,MATCH(D245,Log!$G:$G,0))&amp;"",INDEX(Log!$I:$I,MATCH(D245,Log!$G:$G,0))&amp;""),IF(AND(LEN(D245)=4,LEFT(D245,1)="L",ISNUMBER(VALUE(MID(D245,2,3)))),"ID não encontrado no Log","")))</f>
        <v/>
      </c>
      <c r="J245" s="5"/>
    </row>
    <row r="246" customFormat="false" ht="15" hidden="false" customHeight="false" outlineLevel="0" collapsed="false">
      <c r="A246" s="18"/>
      <c r="B246" s="5"/>
      <c r="C246" s="5"/>
      <c r="D246" s="5"/>
      <c r="E246" s="5"/>
      <c r="F246" s="5"/>
      <c r="G246" s="14"/>
      <c r="H246" s="14"/>
      <c r="I246" s="19" t="str">
        <f aca="false">IF(D246="","",IFERROR(IF(INDEX(Log!$I:$I,MATCH(D246,Log!$G:$G,0))&amp;""="",INDEX(Log!$A:$A,MATCH(D246,Log!$G:$G,0))&amp;"",INDEX(Log!$I:$I,MATCH(D246,Log!$G:$G,0))&amp;""),IF(AND(LEN(D246)=4,LEFT(D246,1)="L",ISNUMBER(VALUE(MID(D246,2,3)))),"ID não encontrado no Log","")))</f>
        <v/>
      </c>
      <c r="J246" s="5"/>
    </row>
    <row r="247" customFormat="false" ht="15" hidden="false" customHeight="false" outlineLevel="0" collapsed="false">
      <c r="A247" s="18"/>
      <c r="B247" s="5"/>
      <c r="C247" s="5"/>
      <c r="D247" s="5"/>
      <c r="E247" s="5"/>
      <c r="F247" s="5"/>
      <c r="G247" s="14"/>
      <c r="H247" s="14"/>
      <c r="I247" s="19" t="str">
        <f aca="false">IF(D247="","",IFERROR(IF(INDEX(Log!$I:$I,MATCH(D247,Log!$G:$G,0))&amp;""="",INDEX(Log!$A:$A,MATCH(D247,Log!$G:$G,0))&amp;"",INDEX(Log!$I:$I,MATCH(D247,Log!$G:$G,0))&amp;""),IF(AND(LEN(D247)=4,LEFT(D247,1)="L",ISNUMBER(VALUE(MID(D247,2,3)))),"ID não encontrado no Log","")))</f>
        <v/>
      </c>
      <c r="J247" s="5"/>
    </row>
    <row r="248" customFormat="false" ht="15" hidden="false" customHeight="false" outlineLevel="0" collapsed="false">
      <c r="A248" s="18"/>
      <c r="B248" s="5"/>
      <c r="C248" s="5"/>
      <c r="D248" s="5"/>
      <c r="E248" s="5"/>
      <c r="F248" s="5"/>
      <c r="G248" s="14"/>
      <c r="H248" s="14"/>
      <c r="I248" s="19" t="str">
        <f aca="false">IF(D248="","",IFERROR(IF(INDEX(Log!$I:$I,MATCH(D248,Log!$G:$G,0))&amp;""="",INDEX(Log!$A:$A,MATCH(D248,Log!$G:$G,0))&amp;"",INDEX(Log!$I:$I,MATCH(D248,Log!$G:$G,0))&amp;""),IF(AND(LEN(D248)=4,LEFT(D248,1)="L",ISNUMBER(VALUE(MID(D248,2,3)))),"ID não encontrado no Log","")))</f>
        <v/>
      </c>
      <c r="J248" s="5"/>
    </row>
    <row r="249" customFormat="false" ht="15" hidden="false" customHeight="false" outlineLevel="0" collapsed="false">
      <c r="A249" s="18"/>
      <c r="B249" s="5"/>
      <c r="C249" s="5"/>
      <c r="D249" s="5"/>
      <c r="E249" s="5"/>
      <c r="F249" s="5"/>
      <c r="G249" s="14"/>
      <c r="H249" s="14"/>
      <c r="I249" s="19" t="str">
        <f aca="false">IF(D249="","",IFERROR(IF(INDEX(Log!$I:$I,MATCH(D249,Log!$G:$G,0))&amp;""="",INDEX(Log!$A:$A,MATCH(D249,Log!$G:$G,0))&amp;"",INDEX(Log!$I:$I,MATCH(D249,Log!$G:$G,0))&amp;""),IF(AND(LEN(D249)=4,LEFT(D249,1)="L",ISNUMBER(VALUE(MID(D249,2,3)))),"ID não encontrado no Log","")))</f>
        <v/>
      </c>
      <c r="J249" s="5"/>
    </row>
    <row r="250" customFormat="false" ht="15" hidden="false" customHeight="false" outlineLevel="0" collapsed="false">
      <c r="A250" s="18"/>
      <c r="B250" s="5"/>
      <c r="C250" s="5"/>
      <c r="D250" s="5"/>
      <c r="E250" s="5"/>
      <c r="F250" s="5"/>
      <c r="G250" s="14"/>
      <c r="H250" s="14"/>
      <c r="I250" s="19" t="str">
        <f aca="false">IF(D250="","",IFERROR(IF(INDEX(Log!$I:$I,MATCH(D250,Log!$G:$G,0))&amp;""="",INDEX(Log!$A:$A,MATCH(D250,Log!$G:$G,0))&amp;"",INDEX(Log!$I:$I,MATCH(D250,Log!$G:$G,0))&amp;""),IF(AND(LEN(D250)=4,LEFT(D250,1)="L",ISNUMBER(VALUE(MID(D250,2,3)))),"ID não encontrado no Log","")))</f>
        <v/>
      </c>
      <c r="J250" s="5"/>
    </row>
    <row r="251" customFormat="false" ht="15" hidden="false" customHeight="false" outlineLevel="0" collapsed="false">
      <c r="A251" s="18"/>
      <c r="B251" s="5"/>
      <c r="C251" s="5"/>
      <c r="D251" s="5"/>
      <c r="E251" s="5"/>
      <c r="F251" s="5"/>
      <c r="G251" s="14"/>
      <c r="H251" s="14"/>
      <c r="I251" s="19" t="str">
        <f aca="false">IF(D251="","",IFERROR(IF(INDEX(Log!$I:$I,MATCH(D251,Log!$G:$G,0))&amp;""="",INDEX(Log!$A:$A,MATCH(D251,Log!$G:$G,0))&amp;"",INDEX(Log!$I:$I,MATCH(D251,Log!$G:$G,0))&amp;""),IF(AND(LEN(D251)=4,LEFT(D251,1)="L",ISNUMBER(VALUE(MID(D251,2,3)))),"ID não encontrado no Log","")))</f>
        <v/>
      </c>
      <c r="J251" s="5"/>
    </row>
    <row r="252" customFormat="false" ht="15" hidden="false" customHeight="false" outlineLevel="0" collapsed="false">
      <c r="A252" s="18"/>
      <c r="B252" s="5"/>
      <c r="C252" s="5"/>
      <c r="D252" s="5"/>
      <c r="E252" s="5"/>
      <c r="F252" s="5"/>
      <c r="G252" s="14"/>
      <c r="H252" s="14"/>
      <c r="I252" s="19" t="str">
        <f aca="false">IF(D252="","",IFERROR(IF(INDEX(Log!$I:$I,MATCH(D252,Log!$G:$G,0))&amp;""="",INDEX(Log!$A:$A,MATCH(D252,Log!$G:$G,0))&amp;"",INDEX(Log!$I:$I,MATCH(D252,Log!$G:$G,0))&amp;""),IF(AND(LEN(D252)=4,LEFT(D252,1)="L",ISNUMBER(VALUE(MID(D252,2,3)))),"ID não encontrado no Log","")))</f>
        <v/>
      </c>
      <c r="J252" s="5"/>
    </row>
    <row r="253" customFormat="false" ht="15" hidden="false" customHeight="false" outlineLevel="0" collapsed="false">
      <c r="A253" s="18"/>
      <c r="B253" s="5"/>
      <c r="C253" s="5"/>
      <c r="D253" s="5"/>
      <c r="E253" s="5"/>
      <c r="F253" s="5"/>
      <c r="G253" s="14"/>
      <c r="H253" s="14"/>
      <c r="I253" s="19" t="str">
        <f aca="false">IF(D253="","",IFERROR(IF(INDEX(Log!$I:$I,MATCH(D253,Log!$G:$G,0))&amp;""="",INDEX(Log!$A:$A,MATCH(D253,Log!$G:$G,0))&amp;"",INDEX(Log!$I:$I,MATCH(D253,Log!$G:$G,0))&amp;""),IF(AND(LEN(D253)=4,LEFT(D253,1)="L",ISNUMBER(VALUE(MID(D253,2,3)))),"ID não encontrado no Log","")))</f>
        <v/>
      </c>
      <c r="J253" s="5"/>
    </row>
    <row r="254" customFormat="false" ht="15" hidden="false" customHeight="false" outlineLevel="0" collapsed="false">
      <c r="A254" s="18"/>
      <c r="B254" s="5"/>
      <c r="C254" s="5"/>
      <c r="D254" s="5"/>
      <c r="E254" s="5"/>
      <c r="F254" s="5"/>
      <c r="G254" s="14"/>
      <c r="H254" s="14"/>
      <c r="I254" s="19" t="str">
        <f aca="false">IF(D254="","",IFERROR(IF(INDEX(Log!$I:$I,MATCH(D254,Log!$G:$G,0))&amp;""="",INDEX(Log!$A:$A,MATCH(D254,Log!$G:$G,0))&amp;"",INDEX(Log!$I:$I,MATCH(D254,Log!$G:$G,0))&amp;""),IF(AND(LEN(D254)=4,LEFT(D254,1)="L",ISNUMBER(VALUE(MID(D254,2,3)))),"ID não encontrado no Log","")))</f>
        <v/>
      </c>
      <c r="J254" s="5"/>
    </row>
    <row r="255" customFormat="false" ht="15" hidden="false" customHeight="false" outlineLevel="0" collapsed="false">
      <c r="A255" s="18"/>
      <c r="B255" s="5"/>
      <c r="C255" s="5"/>
      <c r="D255" s="5"/>
      <c r="E255" s="5"/>
      <c r="F255" s="5"/>
      <c r="G255" s="14"/>
      <c r="H255" s="14"/>
      <c r="I255" s="19" t="str">
        <f aca="false">IF(D255="","",IFERROR(IF(INDEX(Log!$I:$I,MATCH(D255,Log!$G:$G,0))&amp;""="",INDEX(Log!$A:$A,MATCH(D255,Log!$G:$G,0))&amp;"",INDEX(Log!$I:$I,MATCH(D255,Log!$G:$G,0))&amp;""),IF(AND(LEN(D255)=4,LEFT(D255,1)="L",ISNUMBER(VALUE(MID(D255,2,3)))),"ID não encontrado no Log","")))</f>
        <v/>
      </c>
      <c r="J255" s="5"/>
    </row>
    <row r="256" customFormat="false" ht="15" hidden="false" customHeight="false" outlineLevel="0" collapsed="false">
      <c r="A256" s="18"/>
      <c r="B256" s="5"/>
      <c r="C256" s="5"/>
      <c r="D256" s="5"/>
      <c r="E256" s="5"/>
      <c r="F256" s="5"/>
      <c r="G256" s="14"/>
      <c r="H256" s="14"/>
      <c r="I256" s="19" t="str">
        <f aca="false">IF(D256="","",IFERROR(IF(INDEX(Log!$I:$I,MATCH(D256,Log!$G:$G,0))&amp;""="",INDEX(Log!$A:$A,MATCH(D256,Log!$G:$G,0))&amp;"",INDEX(Log!$I:$I,MATCH(D256,Log!$G:$G,0))&amp;""),IF(AND(LEN(D256)=4,LEFT(D256,1)="L",ISNUMBER(VALUE(MID(D256,2,3)))),"ID não encontrado no Log","")))</f>
        <v/>
      </c>
      <c r="J256" s="5"/>
    </row>
    <row r="257" customFormat="false" ht="15" hidden="false" customHeight="false" outlineLevel="0" collapsed="false">
      <c r="A257" s="18"/>
      <c r="B257" s="5"/>
      <c r="C257" s="5"/>
      <c r="D257" s="5"/>
      <c r="E257" s="5"/>
      <c r="F257" s="5"/>
      <c r="G257" s="14"/>
      <c r="H257" s="14"/>
      <c r="I257" s="19" t="str">
        <f aca="false">IF(D257="","",IFERROR(IF(INDEX(Log!$I:$I,MATCH(D257,Log!$G:$G,0))&amp;""="",INDEX(Log!$A:$A,MATCH(D257,Log!$G:$G,0))&amp;"",INDEX(Log!$I:$I,MATCH(D257,Log!$G:$G,0))&amp;""),IF(AND(LEN(D257)=4,LEFT(D257,1)="L",ISNUMBER(VALUE(MID(D257,2,3)))),"ID não encontrado no Log","")))</f>
        <v/>
      </c>
      <c r="J257" s="5"/>
    </row>
    <row r="258" customFormat="false" ht="15" hidden="false" customHeight="false" outlineLevel="0" collapsed="false">
      <c r="A258" s="18"/>
      <c r="B258" s="5"/>
      <c r="C258" s="5"/>
      <c r="D258" s="5"/>
      <c r="E258" s="5"/>
      <c r="F258" s="5"/>
      <c r="G258" s="14"/>
      <c r="H258" s="14"/>
      <c r="I258" s="19" t="str">
        <f aca="false">IF(D258="","",IFERROR(IF(INDEX(Log!$I:$I,MATCH(D258,Log!$G:$G,0))&amp;""="",INDEX(Log!$A:$A,MATCH(D258,Log!$G:$G,0))&amp;"",INDEX(Log!$I:$I,MATCH(D258,Log!$G:$G,0))&amp;""),IF(AND(LEN(D258)=4,LEFT(D258,1)="L",ISNUMBER(VALUE(MID(D258,2,3)))),"ID não encontrado no Log","")))</f>
        <v/>
      </c>
      <c r="J258" s="5"/>
    </row>
    <row r="259" customFormat="false" ht="15" hidden="false" customHeight="false" outlineLevel="0" collapsed="false">
      <c r="A259" s="18"/>
      <c r="B259" s="5"/>
      <c r="C259" s="5"/>
      <c r="D259" s="5"/>
      <c r="E259" s="5"/>
      <c r="F259" s="5"/>
      <c r="G259" s="14"/>
      <c r="H259" s="14"/>
      <c r="I259" s="19" t="str">
        <f aca="false">IF(D259="","",IFERROR(IF(INDEX(Log!$I:$I,MATCH(D259,Log!$G:$G,0))&amp;""="",INDEX(Log!$A:$A,MATCH(D259,Log!$G:$G,0))&amp;"",INDEX(Log!$I:$I,MATCH(D259,Log!$G:$G,0))&amp;""),IF(AND(LEN(D259)=4,LEFT(D259,1)="L",ISNUMBER(VALUE(MID(D259,2,3)))),"ID não encontrado no Log","")))</f>
        <v/>
      </c>
      <c r="J259" s="5"/>
    </row>
    <row r="260" customFormat="false" ht="15" hidden="false" customHeight="false" outlineLevel="0" collapsed="false">
      <c r="A260" s="18"/>
      <c r="B260" s="5"/>
      <c r="C260" s="5"/>
      <c r="D260" s="5"/>
      <c r="E260" s="5"/>
      <c r="F260" s="5"/>
      <c r="G260" s="14"/>
      <c r="H260" s="14"/>
      <c r="I260" s="19" t="str">
        <f aca="false">IF(D260="","",IFERROR(IF(INDEX(Log!$I:$I,MATCH(D260,Log!$G:$G,0))&amp;""="",INDEX(Log!$A:$A,MATCH(D260,Log!$G:$G,0))&amp;"",INDEX(Log!$I:$I,MATCH(D260,Log!$G:$G,0))&amp;""),IF(AND(LEN(D260)=4,LEFT(D260,1)="L",ISNUMBER(VALUE(MID(D260,2,3)))),"ID não encontrado no Log","")))</f>
        <v/>
      </c>
      <c r="J260" s="5"/>
    </row>
    <row r="261" customFormat="false" ht="15" hidden="false" customHeight="false" outlineLevel="0" collapsed="false">
      <c r="A261" s="18"/>
      <c r="B261" s="5"/>
      <c r="C261" s="5"/>
      <c r="D261" s="5"/>
      <c r="E261" s="5"/>
      <c r="F261" s="5"/>
      <c r="G261" s="14"/>
      <c r="H261" s="14"/>
      <c r="I261" s="19" t="str">
        <f aca="false">IF(D261="","",IFERROR(IF(INDEX(Log!$I:$I,MATCH(D261,Log!$G:$G,0))&amp;""="",INDEX(Log!$A:$A,MATCH(D261,Log!$G:$G,0))&amp;"",INDEX(Log!$I:$I,MATCH(D261,Log!$G:$G,0))&amp;""),IF(AND(LEN(D261)=4,LEFT(D261,1)="L",ISNUMBER(VALUE(MID(D261,2,3)))),"ID não encontrado no Log","")))</f>
        <v/>
      </c>
      <c r="J261" s="5"/>
    </row>
    <row r="262" customFormat="false" ht="15" hidden="false" customHeight="false" outlineLevel="0" collapsed="false">
      <c r="A262" s="18"/>
      <c r="B262" s="5"/>
      <c r="C262" s="5"/>
      <c r="D262" s="5"/>
      <c r="E262" s="5"/>
      <c r="F262" s="5"/>
      <c r="G262" s="14"/>
      <c r="H262" s="14"/>
      <c r="I262" s="19" t="str">
        <f aca="false">IF(D262="","",IFERROR(IF(INDEX(Log!$I:$I,MATCH(D262,Log!$G:$G,0))&amp;""="",INDEX(Log!$A:$A,MATCH(D262,Log!$G:$G,0))&amp;"",INDEX(Log!$I:$I,MATCH(D262,Log!$G:$G,0))&amp;""),IF(AND(LEN(D262)=4,LEFT(D262,1)="L",ISNUMBER(VALUE(MID(D262,2,3)))),"ID não encontrado no Log","")))</f>
        <v/>
      </c>
      <c r="J262" s="5"/>
    </row>
    <row r="263" customFormat="false" ht="15" hidden="false" customHeight="false" outlineLevel="0" collapsed="false">
      <c r="A263" s="18"/>
      <c r="B263" s="5"/>
      <c r="C263" s="5"/>
      <c r="D263" s="5"/>
      <c r="E263" s="5"/>
      <c r="F263" s="5"/>
      <c r="G263" s="14"/>
      <c r="H263" s="14"/>
      <c r="I263" s="19" t="str">
        <f aca="false">IF(D263="","",IFERROR(IF(INDEX(Log!$I:$I,MATCH(D263,Log!$G:$G,0))&amp;""="",INDEX(Log!$A:$A,MATCH(D263,Log!$G:$G,0))&amp;"",INDEX(Log!$I:$I,MATCH(D263,Log!$G:$G,0))&amp;""),IF(AND(LEN(D263)=4,LEFT(D263,1)="L",ISNUMBER(VALUE(MID(D263,2,3)))),"ID não encontrado no Log","")))</f>
        <v/>
      </c>
      <c r="J263" s="5"/>
    </row>
    <row r="264" customFormat="false" ht="15" hidden="false" customHeight="false" outlineLevel="0" collapsed="false">
      <c r="A264" s="18"/>
      <c r="B264" s="5"/>
      <c r="C264" s="5"/>
      <c r="D264" s="5"/>
      <c r="E264" s="5"/>
      <c r="F264" s="5"/>
      <c r="G264" s="14"/>
      <c r="H264" s="14"/>
      <c r="I264" s="19" t="str">
        <f aca="false">IF(D264="","",IFERROR(IF(INDEX(Log!$I:$I,MATCH(D264,Log!$G:$G,0))&amp;""="",INDEX(Log!$A:$A,MATCH(D264,Log!$G:$G,0))&amp;"",INDEX(Log!$I:$I,MATCH(D264,Log!$G:$G,0))&amp;""),IF(AND(LEN(D264)=4,LEFT(D264,1)="L",ISNUMBER(VALUE(MID(D264,2,3)))),"ID não encontrado no Log","")))</f>
        <v/>
      </c>
      <c r="J264" s="5"/>
    </row>
    <row r="265" customFormat="false" ht="15" hidden="false" customHeight="false" outlineLevel="0" collapsed="false">
      <c r="A265" s="18"/>
      <c r="B265" s="5"/>
      <c r="C265" s="5"/>
      <c r="D265" s="5"/>
      <c r="E265" s="5"/>
      <c r="F265" s="5"/>
      <c r="G265" s="14"/>
      <c r="H265" s="14"/>
      <c r="I265" s="19" t="str">
        <f aca="false">IF(D265="","",IFERROR(IF(INDEX(Log!$I:$I,MATCH(D265,Log!$G:$G,0))&amp;""="",INDEX(Log!$A:$A,MATCH(D265,Log!$G:$G,0))&amp;"",INDEX(Log!$I:$I,MATCH(D265,Log!$G:$G,0))&amp;""),IF(AND(LEN(D265)=4,LEFT(D265,1)="L",ISNUMBER(VALUE(MID(D265,2,3)))),"ID não encontrado no Log","")))</f>
        <v/>
      </c>
      <c r="J265" s="5"/>
    </row>
    <row r="266" customFormat="false" ht="15" hidden="false" customHeight="false" outlineLevel="0" collapsed="false">
      <c r="A266" s="18"/>
      <c r="B266" s="5"/>
      <c r="C266" s="5"/>
      <c r="D266" s="5"/>
      <c r="E266" s="5"/>
      <c r="F266" s="5"/>
      <c r="G266" s="14"/>
      <c r="H266" s="14"/>
      <c r="I266" s="19" t="str">
        <f aca="false">IF(D266="","",IFERROR(IF(INDEX(Log!$I:$I,MATCH(D266,Log!$G:$G,0))&amp;""="",INDEX(Log!$A:$A,MATCH(D266,Log!$G:$G,0))&amp;"",INDEX(Log!$I:$I,MATCH(D266,Log!$G:$G,0))&amp;""),IF(AND(LEN(D266)=4,LEFT(D266,1)="L",ISNUMBER(VALUE(MID(D266,2,3)))),"ID não encontrado no Log","")))</f>
        <v/>
      </c>
      <c r="J266" s="5"/>
    </row>
    <row r="267" customFormat="false" ht="15" hidden="false" customHeight="false" outlineLevel="0" collapsed="false">
      <c r="A267" s="18"/>
      <c r="B267" s="5"/>
      <c r="C267" s="5"/>
      <c r="D267" s="5"/>
      <c r="E267" s="5"/>
      <c r="F267" s="5"/>
      <c r="G267" s="14"/>
      <c r="H267" s="14"/>
      <c r="I267" s="19" t="str">
        <f aca="false">IF(D267="","",IFERROR(IF(INDEX(Log!$I:$I,MATCH(D267,Log!$G:$G,0))&amp;""="",INDEX(Log!$A:$A,MATCH(D267,Log!$G:$G,0))&amp;"",INDEX(Log!$I:$I,MATCH(D267,Log!$G:$G,0))&amp;""),IF(AND(LEN(D267)=4,LEFT(D267,1)="L",ISNUMBER(VALUE(MID(D267,2,3)))),"ID não encontrado no Log","")))</f>
        <v/>
      </c>
      <c r="J267" s="5"/>
    </row>
    <row r="268" customFormat="false" ht="15" hidden="false" customHeight="false" outlineLevel="0" collapsed="false">
      <c r="A268" s="18"/>
      <c r="B268" s="5"/>
      <c r="C268" s="5"/>
      <c r="D268" s="5"/>
      <c r="E268" s="5"/>
      <c r="F268" s="5"/>
      <c r="G268" s="14"/>
      <c r="H268" s="14"/>
      <c r="I268" s="19" t="str">
        <f aca="false">IF(D268="","",IFERROR(IF(INDEX(Log!$I:$I,MATCH(D268,Log!$G:$G,0))&amp;""="",INDEX(Log!$A:$A,MATCH(D268,Log!$G:$G,0))&amp;"",INDEX(Log!$I:$I,MATCH(D268,Log!$G:$G,0))&amp;""),IF(AND(LEN(D268)=4,LEFT(D268,1)="L",ISNUMBER(VALUE(MID(D268,2,3)))),"ID não encontrado no Log","")))</f>
        <v/>
      </c>
      <c r="J268" s="5"/>
    </row>
    <row r="269" customFormat="false" ht="15" hidden="false" customHeight="false" outlineLevel="0" collapsed="false">
      <c r="A269" s="18"/>
      <c r="B269" s="5"/>
      <c r="C269" s="5"/>
      <c r="D269" s="5"/>
      <c r="E269" s="5"/>
      <c r="F269" s="5"/>
      <c r="G269" s="14"/>
      <c r="H269" s="14"/>
      <c r="I269" s="19" t="str">
        <f aca="false">IF(D269="","",IFERROR(IF(INDEX(Log!$I:$I,MATCH(D269,Log!$G:$G,0))&amp;""="",INDEX(Log!$A:$A,MATCH(D269,Log!$G:$G,0))&amp;"",INDEX(Log!$I:$I,MATCH(D269,Log!$G:$G,0))&amp;""),IF(AND(LEN(D269)=4,LEFT(D269,1)="L",ISNUMBER(VALUE(MID(D269,2,3)))),"ID não encontrado no Log","")))</f>
        <v/>
      </c>
      <c r="J269" s="5"/>
    </row>
    <row r="270" customFormat="false" ht="15" hidden="false" customHeight="false" outlineLevel="0" collapsed="false">
      <c r="A270" s="18"/>
      <c r="B270" s="5"/>
      <c r="C270" s="5"/>
      <c r="D270" s="5"/>
      <c r="E270" s="5"/>
      <c r="F270" s="5"/>
      <c r="G270" s="14"/>
      <c r="H270" s="14"/>
      <c r="I270" s="19" t="str">
        <f aca="false">IF(D270="","",IFERROR(IF(INDEX(Log!$I:$I,MATCH(D270,Log!$G:$G,0))&amp;""="",INDEX(Log!$A:$A,MATCH(D270,Log!$G:$G,0))&amp;"",INDEX(Log!$I:$I,MATCH(D270,Log!$G:$G,0))&amp;""),IF(AND(LEN(D270)=4,LEFT(D270,1)="L",ISNUMBER(VALUE(MID(D270,2,3)))),"ID não encontrado no Log","")))</f>
        <v/>
      </c>
      <c r="J270" s="5"/>
    </row>
    <row r="271" customFormat="false" ht="15" hidden="false" customHeight="false" outlineLevel="0" collapsed="false">
      <c r="A271" s="18"/>
      <c r="B271" s="5"/>
      <c r="C271" s="5"/>
      <c r="D271" s="5"/>
      <c r="E271" s="5"/>
      <c r="F271" s="5"/>
      <c r="G271" s="14"/>
      <c r="H271" s="14"/>
      <c r="I271" s="19" t="str">
        <f aca="false">IF(D271="","",IFERROR(IF(INDEX(Log!$I:$I,MATCH(D271,Log!$G:$G,0))&amp;""="",INDEX(Log!$A:$A,MATCH(D271,Log!$G:$G,0))&amp;"",INDEX(Log!$I:$I,MATCH(D271,Log!$G:$G,0))&amp;""),IF(AND(LEN(D271)=4,LEFT(D271,1)="L",ISNUMBER(VALUE(MID(D271,2,3)))),"ID não encontrado no Log","")))</f>
        <v/>
      </c>
      <c r="J271" s="5"/>
    </row>
    <row r="272" customFormat="false" ht="15" hidden="false" customHeight="false" outlineLevel="0" collapsed="false">
      <c r="A272" s="18"/>
      <c r="B272" s="5"/>
      <c r="C272" s="5"/>
      <c r="D272" s="5"/>
      <c r="E272" s="5"/>
      <c r="F272" s="5"/>
      <c r="G272" s="14"/>
      <c r="H272" s="14"/>
      <c r="I272" s="19" t="str">
        <f aca="false">IF(D272="","",IFERROR(IF(INDEX(Log!$I:$I,MATCH(D272,Log!$G:$G,0))&amp;""="",INDEX(Log!$A:$A,MATCH(D272,Log!$G:$G,0))&amp;"",INDEX(Log!$I:$I,MATCH(D272,Log!$G:$G,0))&amp;""),IF(AND(LEN(D272)=4,LEFT(D272,1)="L",ISNUMBER(VALUE(MID(D272,2,3)))),"ID não encontrado no Log","")))</f>
        <v/>
      </c>
      <c r="J272" s="5"/>
    </row>
    <row r="273" customFormat="false" ht="15" hidden="false" customHeight="false" outlineLevel="0" collapsed="false">
      <c r="A273" s="18"/>
      <c r="B273" s="5"/>
      <c r="C273" s="5"/>
      <c r="D273" s="5"/>
      <c r="E273" s="5"/>
      <c r="F273" s="5"/>
      <c r="G273" s="14"/>
      <c r="H273" s="14"/>
      <c r="I273" s="19" t="str">
        <f aca="false">IF(D273="","",IFERROR(IF(INDEX(Log!$I:$I,MATCH(D273,Log!$G:$G,0))&amp;""="",INDEX(Log!$A:$A,MATCH(D273,Log!$G:$G,0))&amp;"",INDEX(Log!$I:$I,MATCH(D273,Log!$G:$G,0))&amp;""),IF(AND(LEN(D273)=4,LEFT(D273,1)="L",ISNUMBER(VALUE(MID(D273,2,3)))),"ID não encontrado no Log","")))</f>
        <v/>
      </c>
      <c r="J273" s="5"/>
    </row>
    <row r="274" customFormat="false" ht="15" hidden="false" customHeight="false" outlineLevel="0" collapsed="false">
      <c r="A274" s="18"/>
      <c r="B274" s="5"/>
      <c r="C274" s="5"/>
      <c r="D274" s="5"/>
      <c r="E274" s="5"/>
      <c r="F274" s="5"/>
      <c r="G274" s="14"/>
      <c r="H274" s="14"/>
      <c r="I274" s="19" t="str">
        <f aca="false">IF(D274="","",IFERROR(IF(INDEX(Log!$I:$I,MATCH(D274,Log!$G:$G,0))&amp;""="",INDEX(Log!$A:$A,MATCH(D274,Log!$G:$G,0))&amp;"",INDEX(Log!$I:$I,MATCH(D274,Log!$G:$G,0))&amp;""),IF(AND(LEN(D274)=4,LEFT(D274,1)="L",ISNUMBER(VALUE(MID(D274,2,3)))),"ID não encontrado no Log","")))</f>
        <v/>
      </c>
      <c r="J274" s="5"/>
    </row>
    <row r="275" customFormat="false" ht="15" hidden="false" customHeight="false" outlineLevel="0" collapsed="false">
      <c r="A275" s="18"/>
      <c r="B275" s="5"/>
      <c r="C275" s="5"/>
      <c r="D275" s="5"/>
      <c r="E275" s="5"/>
      <c r="F275" s="5"/>
      <c r="G275" s="14"/>
      <c r="H275" s="14"/>
      <c r="I275" s="19" t="str">
        <f aca="false">IF(D275="","",IFERROR(IF(INDEX(Log!$I:$I,MATCH(D275,Log!$G:$G,0))&amp;""="",INDEX(Log!$A:$A,MATCH(D275,Log!$G:$G,0))&amp;"",INDEX(Log!$I:$I,MATCH(D275,Log!$G:$G,0))&amp;""),IF(AND(LEN(D275)=4,LEFT(D275,1)="L",ISNUMBER(VALUE(MID(D275,2,3)))),"ID não encontrado no Log","")))</f>
        <v/>
      </c>
      <c r="J275" s="5"/>
    </row>
    <row r="276" customFormat="false" ht="15" hidden="false" customHeight="false" outlineLevel="0" collapsed="false">
      <c r="A276" s="18"/>
      <c r="B276" s="5"/>
      <c r="C276" s="5"/>
      <c r="D276" s="5"/>
      <c r="E276" s="5"/>
      <c r="F276" s="5"/>
      <c r="G276" s="14"/>
      <c r="H276" s="14"/>
      <c r="I276" s="19" t="str">
        <f aca="false">IF(D276="","",IFERROR(IF(INDEX(Log!$I:$I,MATCH(D276,Log!$G:$G,0))&amp;""="",INDEX(Log!$A:$A,MATCH(D276,Log!$G:$G,0))&amp;"",INDEX(Log!$I:$I,MATCH(D276,Log!$G:$G,0))&amp;""),IF(AND(LEN(D276)=4,LEFT(D276,1)="L",ISNUMBER(VALUE(MID(D276,2,3)))),"ID não encontrado no Log","")))</f>
        <v/>
      </c>
      <c r="J276" s="5"/>
    </row>
    <row r="277" customFormat="false" ht="15" hidden="false" customHeight="false" outlineLevel="0" collapsed="false">
      <c r="A277" s="18"/>
      <c r="B277" s="5"/>
      <c r="C277" s="5"/>
      <c r="D277" s="5"/>
      <c r="E277" s="5"/>
      <c r="F277" s="5"/>
      <c r="G277" s="14"/>
      <c r="H277" s="14"/>
      <c r="I277" s="19" t="str">
        <f aca="false">IF(D277="","",IFERROR(IF(INDEX(Log!$I:$I,MATCH(D277,Log!$G:$G,0))&amp;""="",INDEX(Log!$A:$A,MATCH(D277,Log!$G:$G,0))&amp;"",INDEX(Log!$I:$I,MATCH(D277,Log!$G:$G,0))&amp;""),IF(AND(LEN(D277)=4,LEFT(D277,1)="L",ISNUMBER(VALUE(MID(D277,2,3)))),"ID não encontrado no Log","")))</f>
        <v/>
      </c>
      <c r="J277" s="5"/>
    </row>
    <row r="278" customFormat="false" ht="15" hidden="false" customHeight="false" outlineLevel="0" collapsed="false">
      <c r="A278" s="18"/>
      <c r="B278" s="5"/>
      <c r="C278" s="5"/>
      <c r="D278" s="5"/>
      <c r="E278" s="5"/>
      <c r="F278" s="5"/>
      <c r="G278" s="14"/>
      <c r="H278" s="14"/>
      <c r="I278" s="19" t="str">
        <f aca="false">IF(D278="","",IFERROR(IF(INDEX(Log!$I:$I,MATCH(D278,Log!$G:$G,0))&amp;""="",INDEX(Log!$A:$A,MATCH(D278,Log!$G:$G,0))&amp;"",INDEX(Log!$I:$I,MATCH(D278,Log!$G:$G,0))&amp;""),IF(AND(LEN(D278)=4,LEFT(D278,1)="L",ISNUMBER(VALUE(MID(D278,2,3)))),"ID não encontrado no Log","")))</f>
        <v/>
      </c>
      <c r="J278" s="5"/>
    </row>
    <row r="279" customFormat="false" ht="15" hidden="false" customHeight="false" outlineLevel="0" collapsed="false">
      <c r="A279" s="18"/>
      <c r="B279" s="5"/>
      <c r="C279" s="5"/>
      <c r="D279" s="5"/>
      <c r="E279" s="5"/>
      <c r="F279" s="5"/>
      <c r="G279" s="14"/>
      <c r="H279" s="14"/>
      <c r="I279" s="19" t="str">
        <f aca="false">IF(D279="","",IFERROR(IF(INDEX(Log!$I:$I,MATCH(D279,Log!$G:$G,0))&amp;""="",INDEX(Log!$A:$A,MATCH(D279,Log!$G:$G,0))&amp;"",INDEX(Log!$I:$I,MATCH(D279,Log!$G:$G,0))&amp;""),IF(AND(LEN(D279)=4,LEFT(D279,1)="L",ISNUMBER(VALUE(MID(D279,2,3)))),"ID não encontrado no Log","")))</f>
        <v/>
      </c>
      <c r="J279" s="5"/>
    </row>
    <row r="280" customFormat="false" ht="15" hidden="false" customHeight="false" outlineLevel="0" collapsed="false">
      <c r="A280" s="18"/>
      <c r="B280" s="5"/>
      <c r="C280" s="5"/>
      <c r="D280" s="5"/>
      <c r="E280" s="5"/>
      <c r="F280" s="5"/>
      <c r="G280" s="14"/>
      <c r="H280" s="14"/>
      <c r="I280" s="19" t="str">
        <f aca="false">IF(D280="","",IFERROR(IF(INDEX(Log!$I:$I,MATCH(D280,Log!$G:$G,0))&amp;""="",INDEX(Log!$A:$A,MATCH(D280,Log!$G:$G,0))&amp;"",INDEX(Log!$I:$I,MATCH(D280,Log!$G:$G,0))&amp;""),IF(AND(LEN(D280)=4,LEFT(D280,1)="L",ISNUMBER(VALUE(MID(D280,2,3)))),"ID não encontrado no Log","")))</f>
        <v/>
      </c>
      <c r="J280" s="5"/>
    </row>
    <row r="281" customFormat="false" ht="15" hidden="false" customHeight="false" outlineLevel="0" collapsed="false">
      <c r="A281" s="18"/>
      <c r="B281" s="5"/>
      <c r="C281" s="5"/>
      <c r="D281" s="5"/>
      <c r="E281" s="5"/>
      <c r="F281" s="5"/>
      <c r="G281" s="14"/>
      <c r="H281" s="14"/>
      <c r="I281" s="19" t="str">
        <f aca="false">IF(D281="","",IFERROR(IF(INDEX(Log!$I:$I,MATCH(D281,Log!$G:$G,0))&amp;""="",INDEX(Log!$A:$A,MATCH(D281,Log!$G:$G,0))&amp;"",INDEX(Log!$I:$I,MATCH(D281,Log!$G:$G,0))&amp;""),IF(AND(LEN(D281)=4,LEFT(D281,1)="L",ISNUMBER(VALUE(MID(D281,2,3)))),"ID não encontrado no Log","")))</f>
        <v/>
      </c>
      <c r="J281" s="5"/>
    </row>
    <row r="282" customFormat="false" ht="15" hidden="false" customHeight="false" outlineLevel="0" collapsed="false">
      <c r="A282" s="18"/>
      <c r="B282" s="5"/>
      <c r="C282" s="5"/>
      <c r="D282" s="5"/>
      <c r="E282" s="5"/>
      <c r="F282" s="5"/>
      <c r="G282" s="14"/>
      <c r="H282" s="14"/>
      <c r="I282" s="19" t="str">
        <f aca="false">IF(D282="","",IFERROR(IF(INDEX(Log!$I:$I,MATCH(D282,Log!$G:$G,0))&amp;""="",INDEX(Log!$A:$A,MATCH(D282,Log!$G:$G,0))&amp;"",INDEX(Log!$I:$I,MATCH(D282,Log!$G:$G,0))&amp;""),IF(AND(LEN(D282)=4,LEFT(D282,1)="L",ISNUMBER(VALUE(MID(D282,2,3)))),"ID não encontrado no Log","")))</f>
        <v/>
      </c>
      <c r="J282" s="5"/>
    </row>
    <row r="283" customFormat="false" ht="15" hidden="false" customHeight="false" outlineLevel="0" collapsed="false">
      <c r="A283" s="18"/>
      <c r="B283" s="5"/>
      <c r="C283" s="5"/>
      <c r="D283" s="5"/>
      <c r="E283" s="5"/>
      <c r="F283" s="5"/>
      <c r="G283" s="14"/>
      <c r="H283" s="14"/>
      <c r="I283" s="19" t="str">
        <f aca="false">IF(D283="","",IFERROR(IF(INDEX(Log!$I:$I,MATCH(D283,Log!$G:$G,0))&amp;""="",INDEX(Log!$A:$A,MATCH(D283,Log!$G:$G,0))&amp;"",INDEX(Log!$I:$I,MATCH(D283,Log!$G:$G,0))&amp;""),IF(AND(LEN(D283)=4,LEFT(D283,1)="L",ISNUMBER(VALUE(MID(D283,2,3)))),"ID não encontrado no Log","")))</f>
        <v/>
      </c>
      <c r="J283" s="5"/>
    </row>
    <row r="284" customFormat="false" ht="15" hidden="false" customHeight="false" outlineLevel="0" collapsed="false">
      <c r="A284" s="18"/>
      <c r="B284" s="5"/>
      <c r="C284" s="5"/>
      <c r="D284" s="5"/>
      <c r="E284" s="5"/>
      <c r="F284" s="5"/>
      <c r="G284" s="14"/>
      <c r="H284" s="14"/>
      <c r="I284" s="19" t="str">
        <f aca="false">IF(D284="","",IFERROR(IF(INDEX(Log!$I:$I,MATCH(D284,Log!$G:$G,0))&amp;""="",INDEX(Log!$A:$A,MATCH(D284,Log!$G:$G,0))&amp;"",INDEX(Log!$I:$I,MATCH(D284,Log!$G:$G,0))&amp;""),IF(AND(LEN(D284)=4,LEFT(D284,1)="L",ISNUMBER(VALUE(MID(D284,2,3)))),"ID não encontrado no Log","")))</f>
        <v/>
      </c>
      <c r="J284" s="5"/>
    </row>
    <row r="285" customFormat="false" ht="15" hidden="false" customHeight="false" outlineLevel="0" collapsed="false">
      <c r="A285" s="18"/>
      <c r="B285" s="5"/>
      <c r="C285" s="5"/>
      <c r="D285" s="5"/>
      <c r="E285" s="5"/>
      <c r="F285" s="5"/>
      <c r="G285" s="14"/>
      <c r="H285" s="14"/>
      <c r="I285" s="19" t="str">
        <f aca="false">IF(D285="","",IFERROR(IF(INDEX(Log!$I:$I,MATCH(D285,Log!$G:$G,0))&amp;""="",INDEX(Log!$A:$A,MATCH(D285,Log!$G:$G,0))&amp;"",INDEX(Log!$I:$I,MATCH(D285,Log!$G:$G,0))&amp;""),IF(AND(LEN(D285)=4,LEFT(D285,1)="L",ISNUMBER(VALUE(MID(D285,2,3)))),"ID não encontrado no Log","")))</f>
        <v/>
      </c>
      <c r="J285" s="5"/>
    </row>
    <row r="286" customFormat="false" ht="15" hidden="false" customHeight="false" outlineLevel="0" collapsed="false">
      <c r="A286" s="18"/>
      <c r="B286" s="5"/>
      <c r="C286" s="5"/>
      <c r="D286" s="5"/>
      <c r="E286" s="5"/>
      <c r="F286" s="5"/>
      <c r="G286" s="14"/>
      <c r="H286" s="14"/>
      <c r="I286" s="19" t="str">
        <f aca="false">IF(D286="","",IFERROR(IF(INDEX(Log!$I:$I,MATCH(D286,Log!$G:$G,0))&amp;""="",INDEX(Log!$A:$A,MATCH(D286,Log!$G:$G,0))&amp;"",INDEX(Log!$I:$I,MATCH(D286,Log!$G:$G,0))&amp;""),IF(AND(LEN(D286)=4,LEFT(D286,1)="L",ISNUMBER(VALUE(MID(D286,2,3)))),"ID não encontrado no Log","")))</f>
        <v/>
      </c>
      <c r="J286" s="5"/>
    </row>
    <row r="287" customFormat="false" ht="15" hidden="false" customHeight="false" outlineLevel="0" collapsed="false">
      <c r="A287" s="18"/>
      <c r="B287" s="5"/>
      <c r="C287" s="5"/>
      <c r="D287" s="5"/>
      <c r="E287" s="5"/>
      <c r="F287" s="5"/>
      <c r="G287" s="14"/>
      <c r="H287" s="14"/>
      <c r="I287" s="19" t="str">
        <f aca="false">IF(D287="","",IFERROR(IF(INDEX(Log!$I:$I,MATCH(D287,Log!$G:$G,0))&amp;""="",INDEX(Log!$A:$A,MATCH(D287,Log!$G:$G,0))&amp;"",INDEX(Log!$I:$I,MATCH(D287,Log!$G:$G,0))&amp;""),IF(AND(LEN(D287)=4,LEFT(D287,1)="L",ISNUMBER(VALUE(MID(D287,2,3)))),"ID não encontrado no Log","")))</f>
        <v/>
      </c>
      <c r="J287" s="5"/>
    </row>
    <row r="288" customFormat="false" ht="15" hidden="false" customHeight="false" outlineLevel="0" collapsed="false">
      <c r="A288" s="18"/>
      <c r="B288" s="5"/>
      <c r="C288" s="5"/>
      <c r="D288" s="5"/>
      <c r="E288" s="5"/>
      <c r="F288" s="5"/>
      <c r="G288" s="14"/>
      <c r="H288" s="14"/>
      <c r="I288" s="19" t="str">
        <f aca="false">IF(D288="","",IFERROR(IF(INDEX(Log!$I:$I,MATCH(D288,Log!$G:$G,0))&amp;""="",INDEX(Log!$A:$A,MATCH(D288,Log!$G:$G,0))&amp;"",INDEX(Log!$I:$I,MATCH(D288,Log!$G:$G,0))&amp;""),IF(AND(LEN(D288)=4,LEFT(D288,1)="L",ISNUMBER(VALUE(MID(D288,2,3)))),"ID não encontrado no Log","")))</f>
        <v/>
      </c>
      <c r="J288" s="5"/>
    </row>
    <row r="289" customFormat="false" ht="15" hidden="false" customHeight="false" outlineLevel="0" collapsed="false">
      <c r="A289" s="18"/>
      <c r="B289" s="5"/>
      <c r="C289" s="5"/>
      <c r="D289" s="5"/>
      <c r="E289" s="5"/>
      <c r="F289" s="5"/>
      <c r="G289" s="14"/>
      <c r="H289" s="14"/>
      <c r="I289" s="19" t="str">
        <f aca="false">IF(D289="","",IFERROR(IF(INDEX(Log!$I:$I,MATCH(D289,Log!$G:$G,0))&amp;""="",INDEX(Log!$A:$A,MATCH(D289,Log!$G:$G,0))&amp;"",INDEX(Log!$I:$I,MATCH(D289,Log!$G:$G,0))&amp;""),IF(AND(LEN(D289)=4,LEFT(D289,1)="L",ISNUMBER(VALUE(MID(D289,2,3)))),"ID não encontrado no Log","")))</f>
        <v/>
      </c>
      <c r="J289" s="5"/>
    </row>
    <row r="290" customFormat="false" ht="15" hidden="false" customHeight="false" outlineLevel="0" collapsed="false">
      <c r="A290" s="18"/>
      <c r="B290" s="5"/>
      <c r="C290" s="5"/>
      <c r="D290" s="5"/>
      <c r="E290" s="5"/>
      <c r="F290" s="5"/>
      <c r="G290" s="14"/>
      <c r="H290" s="14"/>
      <c r="I290" s="19" t="str">
        <f aca="false">IF(D290="","",IFERROR(IF(INDEX(Log!$I:$I,MATCH(D290,Log!$G:$G,0))&amp;""="",INDEX(Log!$A:$A,MATCH(D290,Log!$G:$G,0))&amp;"",INDEX(Log!$I:$I,MATCH(D290,Log!$G:$G,0))&amp;""),IF(AND(LEN(D290)=4,LEFT(D290,1)="L",ISNUMBER(VALUE(MID(D290,2,3)))),"ID não encontrado no Log","")))</f>
        <v/>
      </c>
      <c r="J290" s="5"/>
    </row>
    <row r="291" customFormat="false" ht="15" hidden="false" customHeight="false" outlineLevel="0" collapsed="false">
      <c r="A291" s="18"/>
      <c r="B291" s="5"/>
      <c r="C291" s="5"/>
      <c r="D291" s="5"/>
      <c r="E291" s="5"/>
      <c r="F291" s="5"/>
      <c r="G291" s="14"/>
      <c r="H291" s="14"/>
      <c r="I291" s="19" t="str">
        <f aca="false">IF(D291="","",IFERROR(IF(INDEX(Log!$I:$I,MATCH(D291,Log!$G:$G,0))&amp;""="",INDEX(Log!$A:$A,MATCH(D291,Log!$G:$G,0))&amp;"",INDEX(Log!$I:$I,MATCH(D291,Log!$G:$G,0))&amp;""),IF(AND(LEN(D291)=4,LEFT(D291,1)="L",ISNUMBER(VALUE(MID(D291,2,3)))),"ID não encontrado no Log","")))</f>
        <v/>
      </c>
      <c r="J291" s="5"/>
    </row>
    <row r="292" customFormat="false" ht="15" hidden="false" customHeight="false" outlineLevel="0" collapsed="false">
      <c r="A292" s="18"/>
      <c r="B292" s="5"/>
      <c r="C292" s="5"/>
      <c r="D292" s="5"/>
      <c r="E292" s="5"/>
      <c r="F292" s="5"/>
      <c r="G292" s="14"/>
      <c r="H292" s="14"/>
      <c r="I292" s="19" t="str">
        <f aca="false">IF(D292="","",IFERROR(IF(INDEX(Log!$I:$I,MATCH(D292,Log!$G:$G,0))&amp;""="",INDEX(Log!$A:$A,MATCH(D292,Log!$G:$G,0))&amp;"",INDEX(Log!$I:$I,MATCH(D292,Log!$G:$G,0))&amp;""),IF(AND(LEN(D292)=4,LEFT(D292,1)="L",ISNUMBER(VALUE(MID(D292,2,3)))),"ID não encontrado no Log","")))</f>
        <v/>
      </c>
      <c r="J292" s="5"/>
    </row>
    <row r="293" customFormat="false" ht="15" hidden="false" customHeight="false" outlineLevel="0" collapsed="false">
      <c r="A293" s="18"/>
      <c r="B293" s="5"/>
      <c r="C293" s="5"/>
      <c r="D293" s="5"/>
      <c r="E293" s="5"/>
      <c r="F293" s="5"/>
      <c r="G293" s="14"/>
      <c r="H293" s="14"/>
      <c r="I293" s="19" t="str">
        <f aca="false">IF(D293="","",IFERROR(IF(INDEX(Log!$I:$I,MATCH(D293,Log!$G:$G,0))&amp;""="",INDEX(Log!$A:$A,MATCH(D293,Log!$G:$G,0))&amp;"",INDEX(Log!$I:$I,MATCH(D293,Log!$G:$G,0))&amp;""),IF(AND(LEN(D293)=4,LEFT(D293,1)="L",ISNUMBER(VALUE(MID(D293,2,3)))),"ID não encontrado no Log","")))</f>
        <v/>
      </c>
      <c r="J293" s="5"/>
    </row>
    <row r="294" customFormat="false" ht="15" hidden="false" customHeight="false" outlineLevel="0" collapsed="false">
      <c r="A294" s="18"/>
      <c r="B294" s="5"/>
      <c r="C294" s="5"/>
      <c r="D294" s="5"/>
      <c r="E294" s="5"/>
      <c r="F294" s="5"/>
      <c r="G294" s="14"/>
      <c r="H294" s="14"/>
      <c r="I294" s="19" t="str">
        <f aca="false">IF(D294="","",IFERROR(IF(INDEX(Log!$I:$I,MATCH(D294,Log!$G:$G,0))&amp;""="",INDEX(Log!$A:$A,MATCH(D294,Log!$G:$G,0))&amp;"",INDEX(Log!$I:$I,MATCH(D294,Log!$G:$G,0))&amp;""),IF(AND(LEN(D294)=4,LEFT(D294,1)="L",ISNUMBER(VALUE(MID(D294,2,3)))),"ID não encontrado no Log","")))</f>
        <v/>
      </c>
      <c r="J294" s="5"/>
    </row>
    <row r="295" customFormat="false" ht="15" hidden="false" customHeight="false" outlineLevel="0" collapsed="false">
      <c r="A295" s="18"/>
      <c r="B295" s="5"/>
      <c r="C295" s="5"/>
      <c r="D295" s="5"/>
      <c r="E295" s="5"/>
      <c r="F295" s="5"/>
      <c r="G295" s="14"/>
      <c r="H295" s="14"/>
      <c r="I295" s="19" t="str">
        <f aca="false">IF(D295="","",IFERROR(IF(INDEX(Log!$I:$I,MATCH(D295,Log!$G:$G,0))&amp;""="",INDEX(Log!$A:$A,MATCH(D295,Log!$G:$G,0))&amp;"",INDEX(Log!$I:$I,MATCH(D295,Log!$G:$G,0))&amp;""),IF(AND(LEN(D295)=4,LEFT(D295,1)="L",ISNUMBER(VALUE(MID(D295,2,3)))),"ID não encontrado no Log","")))</f>
        <v/>
      </c>
      <c r="J295" s="5"/>
    </row>
    <row r="296" customFormat="false" ht="15" hidden="false" customHeight="false" outlineLevel="0" collapsed="false">
      <c r="A296" s="18"/>
      <c r="B296" s="5"/>
      <c r="C296" s="5"/>
      <c r="D296" s="5"/>
      <c r="E296" s="5"/>
      <c r="F296" s="5"/>
      <c r="G296" s="14"/>
      <c r="H296" s="14"/>
      <c r="I296" s="19" t="str">
        <f aca="false">IF(D296="","",IFERROR(IF(INDEX(Log!$I:$I,MATCH(D296,Log!$G:$G,0))&amp;""="",INDEX(Log!$A:$A,MATCH(D296,Log!$G:$G,0))&amp;"",INDEX(Log!$I:$I,MATCH(D296,Log!$G:$G,0))&amp;""),IF(AND(LEN(D296)=4,LEFT(D296,1)="L",ISNUMBER(VALUE(MID(D296,2,3)))),"ID não encontrado no Log","")))</f>
        <v/>
      </c>
      <c r="J296" s="5"/>
    </row>
    <row r="297" customFormat="false" ht="15" hidden="false" customHeight="false" outlineLevel="0" collapsed="false">
      <c r="A297" s="18"/>
      <c r="B297" s="5"/>
      <c r="C297" s="5"/>
      <c r="D297" s="5"/>
      <c r="E297" s="5"/>
      <c r="F297" s="5"/>
      <c r="G297" s="14"/>
      <c r="H297" s="14"/>
      <c r="I297" s="19" t="str">
        <f aca="false">IF(D297="","",IFERROR(IF(INDEX(Log!$I:$I,MATCH(D297,Log!$G:$G,0))&amp;""="",INDEX(Log!$A:$A,MATCH(D297,Log!$G:$G,0))&amp;"",INDEX(Log!$I:$I,MATCH(D297,Log!$G:$G,0))&amp;""),IF(AND(LEN(D297)=4,LEFT(D297,1)="L",ISNUMBER(VALUE(MID(D297,2,3)))),"ID não encontrado no Log","")))</f>
        <v/>
      </c>
      <c r="J297" s="5"/>
    </row>
    <row r="298" customFormat="false" ht="15" hidden="false" customHeight="false" outlineLevel="0" collapsed="false">
      <c r="A298" s="18"/>
      <c r="B298" s="5"/>
      <c r="C298" s="5"/>
      <c r="D298" s="5"/>
      <c r="E298" s="5"/>
      <c r="F298" s="5"/>
      <c r="G298" s="14"/>
      <c r="H298" s="14"/>
      <c r="I298" s="19" t="str">
        <f aca="false">IF(D298="","",IFERROR(IF(INDEX(Log!$I:$I,MATCH(D298,Log!$G:$G,0))&amp;""="",INDEX(Log!$A:$A,MATCH(D298,Log!$G:$G,0))&amp;"",INDEX(Log!$I:$I,MATCH(D298,Log!$G:$G,0))&amp;""),IF(AND(LEN(D298)=4,LEFT(D298,1)="L",ISNUMBER(VALUE(MID(D298,2,3)))),"ID não encontrado no Log","")))</f>
        <v/>
      </c>
      <c r="J298" s="5"/>
    </row>
    <row r="299" customFormat="false" ht="15" hidden="false" customHeight="false" outlineLevel="0" collapsed="false">
      <c r="A299" s="18"/>
      <c r="B299" s="5"/>
      <c r="C299" s="5"/>
      <c r="D299" s="5"/>
      <c r="E299" s="5"/>
      <c r="F299" s="5"/>
      <c r="G299" s="14"/>
      <c r="H299" s="14"/>
      <c r="I299" s="19" t="str">
        <f aca="false">IF(D299="","",IFERROR(IF(INDEX(Log!$I:$I,MATCH(D299,Log!$G:$G,0))&amp;""="",INDEX(Log!$A:$A,MATCH(D299,Log!$G:$G,0))&amp;"",INDEX(Log!$I:$I,MATCH(D299,Log!$G:$G,0))&amp;""),IF(AND(LEN(D299)=4,LEFT(D299,1)="L",ISNUMBER(VALUE(MID(D299,2,3)))),"ID não encontrado no Log","")))</f>
        <v/>
      </c>
      <c r="J299" s="5"/>
    </row>
    <row r="300" customFormat="false" ht="15" hidden="false" customHeight="false" outlineLevel="0" collapsed="false">
      <c r="A300" s="18"/>
      <c r="B300" s="5"/>
      <c r="C300" s="5"/>
      <c r="D300" s="5"/>
      <c r="E300" s="5"/>
      <c r="F300" s="5"/>
      <c r="G300" s="14"/>
      <c r="H300" s="14"/>
      <c r="I300" s="19" t="str">
        <f aca="false">IF(D300="","",IFERROR(IF(INDEX(Log!$I:$I,MATCH(D300,Log!$G:$G,0))&amp;""="",INDEX(Log!$A:$A,MATCH(D300,Log!$G:$G,0))&amp;"",INDEX(Log!$I:$I,MATCH(D300,Log!$G:$G,0))&amp;""),IF(AND(LEN(D300)=4,LEFT(D300,1)="L",ISNUMBER(VALUE(MID(D300,2,3)))),"ID não encontrado no Log","")))</f>
        <v/>
      </c>
      <c r="J300" s="5"/>
    </row>
    <row r="301" customFormat="false" ht="15" hidden="false" customHeight="false" outlineLevel="0" collapsed="false">
      <c r="A301" s="18"/>
      <c r="B301" s="5"/>
      <c r="C301" s="5"/>
      <c r="D301" s="5"/>
      <c r="E301" s="5"/>
      <c r="F301" s="5"/>
      <c r="G301" s="14"/>
      <c r="H301" s="14"/>
      <c r="I301" s="19" t="str">
        <f aca="false">IF(D301="","",IFERROR(IF(INDEX(Log!$I:$I,MATCH(D301,Log!$G:$G,0))&amp;""="",INDEX(Log!$A:$A,MATCH(D301,Log!$G:$G,0))&amp;"",INDEX(Log!$I:$I,MATCH(D301,Log!$G:$G,0))&amp;""),IF(AND(LEN(D301)=4,LEFT(D301,1)="L",ISNUMBER(VALUE(MID(D301,2,3)))),"ID não encontrado no Log","")))</f>
        <v/>
      </c>
      <c r="J301" s="5"/>
    </row>
    <row r="302" customFormat="false" ht="15" hidden="false" customHeight="false" outlineLevel="0" collapsed="false">
      <c r="A302" s="18"/>
      <c r="B302" s="5"/>
      <c r="C302" s="5"/>
      <c r="D302" s="5"/>
      <c r="E302" s="5"/>
      <c r="F302" s="5"/>
      <c r="G302" s="14"/>
      <c r="H302" s="14"/>
      <c r="I302" s="19" t="str">
        <f aca="false">IF(D302="","",IFERROR(IF(INDEX(Log!$I:$I,MATCH(D302,Log!$G:$G,0))&amp;""="",INDEX(Log!$A:$A,MATCH(D302,Log!$G:$G,0))&amp;"",INDEX(Log!$I:$I,MATCH(D302,Log!$G:$G,0))&amp;""),IF(AND(LEN(D302)=4,LEFT(D302,1)="L",ISNUMBER(VALUE(MID(D302,2,3)))),"ID não encontrado no Log","")))</f>
        <v/>
      </c>
      <c r="J302" s="5"/>
    </row>
    <row r="303" customFormat="false" ht="15" hidden="false" customHeight="false" outlineLevel="0" collapsed="false">
      <c r="A303" s="18"/>
      <c r="B303" s="5"/>
      <c r="C303" s="5"/>
      <c r="D303" s="5"/>
      <c r="E303" s="5"/>
      <c r="F303" s="5"/>
      <c r="G303" s="14"/>
      <c r="H303" s="14"/>
      <c r="I303" s="19" t="str">
        <f aca="false">IF(D303="","",IFERROR(IF(INDEX(Log!$I:$I,MATCH(D303,Log!$G:$G,0))&amp;""="",INDEX(Log!$A:$A,MATCH(D303,Log!$G:$G,0))&amp;"",INDEX(Log!$I:$I,MATCH(D303,Log!$G:$G,0))&amp;""),IF(AND(LEN(D303)=4,LEFT(D303,1)="L",ISNUMBER(VALUE(MID(D303,2,3)))),"ID não encontrado no Log","")))</f>
        <v/>
      </c>
      <c r="J303" s="5"/>
    </row>
    <row r="304" customFormat="false" ht="15" hidden="false" customHeight="false" outlineLevel="0" collapsed="false">
      <c r="A304" s="18"/>
      <c r="B304" s="5"/>
      <c r="C304" s="5"/>
      <c r="D304" s="5"/>
      <c r="E304" s="5"/>
      <c r="F304" s="5"/>
      <c r="G304" s="14"/>
      <c r="H304" s="14"/>
      <c r="I304" s="19" t="str">
        <f aca="false">IF(D304="","",IFERROR(IF(INDEX(Log!$I:$I,MATCH(D304,Log!$G:$G,0))&amp;""="",INDEX(Log!$A:$A,MATCH(D304,Log!$G:$G,0))&amp;"",INDEX(Log!$I:$I,MATCH(D304,Log!$G:$G,0))&amp;""),IF(AND(LEN(D304)=4,LEFT(D304,1)="L",ISNUMBER(VALUE(MID(D304,2,3)))),"ID não encontrado no Log","")))</f>
        <v/>
      </c>
      <c r="J304" s="5"/>
    </row>
    <row r="305" customFormat="false" ht="15" hidden="false" customHeight="false" outlineLevel="0" collapsed="false">
      <c r="A305" s="18"/>
      <c r="B305" s="5"/>
      <c r="C305" s="5"/>
      <c r="D305" s="5"/>
      <c r="E305" s="5"/>
      <c r="F305" s="5"/>
      <c r="G305" s="14"/>
      <c r="H305" s="14"/>
      <c r="I305" s="19" t="str">
        <f aca="false">IF(D305="","",IFERROR(IF(INDEX(Log!$I:$I,MATCH(D305,Log!$G:$G,0))&amp;""="",INDEX(Log!$A:$A,MATCH(D305,Log!$G:$G,0))&amp;"",INDEX(Log!$I:$I,MATCH(D305,Log!$G:$G,0))&amp;""),IF(AND(LEN(D305)=4,LEFT(D305,1)="L",ISNUMBER(VALUE(MID(D305,2,3)))),"ID não encontrado no Log","")))</f>
        <v/>
      </c>
      <c r="J305" s="5"/>
    </row>
    <row r="306" customFormat="false" ht="15" hidden="false" customHeight="false" outlineLevel="0" collapsed="false">
      <c r="A306" s="18"/>
      <c r="B306" s="5"/>
      <c r="C306" s="5"/>
      <c r="D306" s="5"/>
      <c r="E306" s="5"/>
      <c r="F306" s="5"/>
      <c r="G306" s="14"/>
      <c r="H306" s="14"/>
      <c r="I306" s="19" t="str">
        <f aca="false">IF(D306="","",IFERROR(IF(INDEX(Log!$I:$I,MATCH(D306,Log!$G:$G,0))&amp;""="",INDEX(Log!$A:$A,MATCH(D306,Log!$G:$G,0))&amp;"",INDEX(Log!$I:$I,MATCH(D306,Log!$G:$G,0))&amp;""),IF(AND(LEN(D306)=4,LEFT(D306,1)="L",ISNUMBER(VALUE(MID(D306,2,3)))),"ID não encontrado no Log","")))</f>
        <v/>
      </c>
      <c r="J306" s="5"/>
    </row>
    <row r="307" customFormat="false" ht="15" hidden="false" customHeight="false" outlineLevel="0" collapsed="false">
      <c r="A307" s="18"/>
      <c r="B307" s="5"/>
      <c r="C307" s="5"/>
      <c r="D307" s="5"/>
      <c r="E307" s="5"/>
      <c r="F307" s="5"/>
      <c r="G307" s="14"/>
      <c r="H307" s="14"/>
      <c r="I307" s="19" t="str">
        <f aca="false">IF(D307="","",IFERROR(IF(INDEX(Log!$I:$I,MATCH(D307,Log!$G:$G,0))&amp;""="",INDEX(Log!$A:$A,MATCH(D307,Log!$G:$G,0))&amp;"",INDEX(Log!$I:$I,MATCH(D307,Log!$G:$G,0))&amp;""),IF(AND(LEN(D307)=4,LEFT(D307,1)="L",ISNUMBER(VALUE(MID(D307,2,3)))),"ID não encontrado no Log","")))</f>
        <v/>
      </c>
      <c r="J307" s="5"/>
    </row>
    <row r="308" customFormat="false" ht="15" hidden="false" customHeight="false" outlineLevel="0" collapsed="false">
      <c r="A308" s="18"/>
      <c r="B308" s="5"/>
      <c r="C308" s="5"/>
      <c r="D308" s="5"/>
      <c r="E308" s="5"/>
      <c r="F308" s="5"/>
      <c r="G308" s="14"/>
      <c r="H308" s="14"/>
      <c r="I308" s="19" t="str">
        <f aca="false">IF(D308="","",IFERROR(IF(INDEX(Log!$I:$I,MATCH(D308,Log!$G:$G,0))&amp;""="",INDEX(Log!$A:$A,MATCH(D308,Log!$G:$G,0))&amp;"",INDEX(Log!$I:$I,MATCH(D308,Log!$G:$G,0))&amp;""),IF(AND(LEN(D308)=4,LEFT(D308,1)="L",ISNUMBER(VALUE(MID(D308,2,3)))),"ID não encontrado no Log","")))</f>
        <v/>
      </c>
      <c r="J308" s="5"/>
    </row>
    <row r="309" customFormat="false" ht="15" hidden="false" customHeight="false" outlineLevel="0" collapsed="false">
      <c r="A309" s="18"/>
      <c r="B309" s="5"/>
      <c r="C309" s="5"/>
      <c r="D309" s="5"/>
      <c r="E309" s="5"/>
      <c r="F309" s="5"/>
      <c r="G309" s="14"/>
      <c r="H309" s="14"/>
      <c r="I309" s="19" t="str">
        <f aca="false">IF(D309="","",IFERROR(IF(INDEX(Log!$I:$I,MATCH(D309,Log!$G:$G,0))&amp;""="",INDEX(Log!$A:$A,MATCH(D309,Log!$G:$G,0))&amp;"",INDEX(Log!$I:$I,MATCH(D309,Log!$G:$G,0))&amp;""),IF(AND(LEN(D309)=4,LEFT(D309,1)="L",ISNUMBER(VALUE(MID(D309,2,3)))),"ID não encontrado no Log","")))</f>
        <v/>
      </c>
      <c r="J309" s="5"/>
    </row>
    <row r="310" customFormat="false" ht="15" hidden="false" customHeight="false" outlineLevel="0" collapsed="false">
      <c r="A310" s="18"/>
      <c r="B310" s="5"/>
      <c r="C310" s="5"/>
      <c r="D310" s="5"/>
      <c r="E310" s="5"/>
      <c r="F310" s="5"/>
      <c r="G310" s="14"/>
      <c r="H310" s="14"/>
      <c r="I310" s="19" t="str">
        <f aca="false">IF(D310="","",IFERROR(IF(INDEX(Log!$I:$I,MATCH(D310,Log!$G:$G,0))&amp;""="",INDEX(Log!$A:$A,MATCH(D310,Log!$G:$G,0))&amp;"",INDEX(Log!$I:$I,MATCH(D310,Log!$G:$G,0))&amp;""),IF(AND(LEN(D310)=4,LEFT(D310,1)="L",ISNUMBER(VALUE(MID(D310,2,3)))),"ID não encontrado no Log","")))</f>
        <v/>
      </c>
      <c r="J310" s="5"/>
    </row>
    <row r="311" customFormat="false" ht="15" hidden="false" customHeight="false" outlineLevel="0" collapsed="false">
      <c r="A311" s="18"/>
      <c r="B311" s="5"/>
      <c r="C311" s="5"/>
      <c r="D311" s="5"/>
      <c r="E311" s="5"/>
      <c r="F311" s="5"/>
      <c r="G311" s="14"/>
      <c r="H311" s="14"/>
      <c r="I311" s="19" t="str">
        <f aca="false">IF(D311="","",IFERROR(IF(INDEX(Log!$I:$I,MATCH(D311,Log!$G:$G,0))&amp;""="",INDEX(Log!$A:$A,MATCH(D311,Log!$G:$G,0))&amp;"",INDEX(Log!$I:$I,MATCH(D311,Log!$G:$G,0))&amp;""),IF(AND(LEN(D311)=4,LEFT(D311,1)="L",ISNUMBER(VALUE(MID(D311,2,3)))),"ID não encontrado no Log","")))</f>
        <v/>
      </c>
      <c r="J311" s="5"/>
    </row>
    <row r="312" customFormat="false" ht="15" hidden="false" customHeight="false" outlineLevel="0" collapsed="false">
      <c r="A312" s="18"/>
      <c r="B312" s="5"/>
      <c r="C312" s="5"/>
      <c r="D312" s="5"/>
      <c r="E312" s="5"/>
      <c r="F312" s="5"/>
      <c r="G312" s="14"/>
      <c r="H312" s="14"/>
      <c r="I312" s="19" t="str">
        <f aca="false">IF(D312="","",IFERROR(IF(INDEX(Log!$I:$I,MATCH(D312,Log!$G:$G,0))&amp;""="",INDEX(Log!$A:$A,MATCH(D312,Log!$G:$G,0))&amp;"",INDEX(Log!$I:$I,MATCH(D312,Log!$G:$G,0))&amp;""),IF(AND(LEN(D312)=4,LEFT(D312,1)="L",ISNUMBER(VALUE(MID(D312,2,3)))),"ID não encontrado no Log","")))</f>
        <v/>
      </c>
      <c r="J312" s="5"/>
    </row>
    <row r="313" customFormat="false" ht="15" hidden="false" customHeight="false" outlineLevel="0" collapsed="false">
      <c r="A313" s="18"/>
      <c r="B313" s="5"/>
      <c r="C313" s="5"/>
      <c r="D313" s="5"/>
      <c r="E313" s="5"/>
      <c r="F313" s="5"/>
      <c r="G313" s="14"/>
      <c r="H313" s="14"/>
      <c r="I313" s="19" t="str">
        <f aca="false">IF(D313="","",IFERROR(IF(INDEX(Log!$I:$I,MATCH(D313,Log!$G:$G,0))&amp;""="",INDEX(Log!$A:$A,MATCH(D313,Log!$G:$G,0))&amp;"",INDEX(Log!$I:$I,MATCH(D313,Log!$G:$G,0))&amp;""),IF(AND(LEN(D313)=4,LEFT(D313,1)="L",ISNUMBER(VALUE(MID(D313,2,3)))),"ID não encontrado no Log","")))</f>
        <v/>
      </c>
      <c r="J313" s="5"/>
    </row>
    <row r="314" customFormat="false" ht="15" hidden="false" customHeight="false" outlineLevel="0" collapsed="false">
      <c r="A314" s="18"/>
      <c r="B314" s="5"/>
      <c r="C314" s="5"/>
      <c r="D314" s="5"/>
      <c r="E314" s="5"/>
      <c r="F314" s="5"/>
      <c r="G314" s="14"/>
      <c r="H314" s="14"/>
      <c r="I314" s="19" t="str">
        <f aca="false">IF(D314="","",IFERROR(IF(INDEX(Log!$I:$I,MATCH(D314,Log!$G:$G,0))&amp;""="",INDEX(Log!$A:$A,MATCH(D314,Log!$G:$G,0))&amp;"",INDEX(Log!$I:$I,MATCH(D314,Log!$G:$G,0))&amp;""),IF(AND(LEN(D314)=4,LEFT(D314,1)="L",ISNUMBER(VALUE(MID(D314,2,3)))),"ID não encontrado no Log","")))</f>
        <v/>
      </c>
      <c r="J314" s="5"/>
    </row>
    <row r="315" customFormat="false" ht="15" hidden="false" customHeight="false" outlineLevel="0" collapsed="false">
      <c r="A315" s="18"/>
      <c r="B315" s="5"/>
      <c r="C315" s="5"/>
      <c r="D315" s="5"/>
      <c r="E315" s="5"/>
      <c r="F315" s="5"/>
      <c r="G315" s="14"/>
      <c r="H315" s="14"/>
      <c r="I315" s="19" t="str">
        <f aca="false">IF(D315="","",IFERROR(IF(INDEX(Log!$I:$I,MATCH(D315,Log!$G:$G,0))&amp;""="",INDEX(Log!$A:$A,MATCH(D315,Log!$G:$G,0))&amp;"",INDEX(Log!$I:$I,MATCH(D315,Log!$G:$G,0))&amp;""),IF(AND(LEN(D315)=4,LEFT(D315,1)="L",ISNUMBER(VALUE(MID(D315,2,3)))),"ID não encontrado no Log","")))</f>
        <v/>
      </c>
      <c r="J315" s="5"/>
    </row>
    <row r="316" customFormat="false" ht="15" hidden="false" customHeight="false" outlineLevel="0" collapsed="false">
      <c r="A316" s="18"/>
      <c r="B316" s="5"/>
      <c r="C316" s="5"/>
      <c r="D316" s="5"/>
      <c r="E316" s="5"/>
      <c r="F316" s="5"/>
      <c r="G316" s="14"/>
      <c r="H316" s="14"/>
      <c r="I316" s="19" t="str">
        <f aca="false">IF(D316="","",IFERROR(IF(INDEX(Log!$I:$I,MATCH(D316,Log!$G:$G,0))&amp;""="",INDEX(Log!$A:$A,MATCH(D316,Log!$G:$G,0))&amp;"",INDEX(Log!$I:$I,MATCH(D316,Log!$G:$G,0))&amp;""),IF(AND(LEN(D316)=4,LEFT(D316,1)="L",ISNUMBER(VALUE(MID(D316,2,3)))),"ID não encontrado no Log","")))</f>
        <v/>
      </c>
      <c r="J316" s="5"/>
    </row>
    <row r="317" customFormat="false" ht="15" hidden="false" customHeight="false" outlineLevel="0" collapsed="false">
      <c r="A317" s="18"/>
      <c r="B317" s="5"/>
      <c r="C317" s="5"/>
      <c r="D317" s="5"/>
      <c r="E317" s="5"/>
      <c r="F317" s="5"/>
      <c r="G317" s="14"/>
      <c r="H317" s="14"/>
      <c r="I317" s="19" t="str">
        <f aca="false">IF(D317="","",IFERROR(IF(INDEX(Log!$I:$I,MATCH(D317,Log!$G:$G,0))&amp;""="",INDEX(Log!$A:$A,MATCH(D317,Log!$G:$G,0))&amp;"",INDEX(Log!$I:$I,MATCH(D317,Log!$G:$G,0))&amp;""),IF(AND(LEN(D317)=4,LEFT(D317,1)="L",ISNUMBER(VALUE(MID(D317,2,3)))),"ID não encontrado no Log","")))</f>
        <v/>
      </c>
      <c r="J317" s="5"/>
    </row>
    <row r="318" customFormat="false" ht="15" hidden="false" customHeight="false" outlineLevel="0" collapsed="false">
      <c r="A318" s="18"/>
      <c r="B318" s="5"/>
      <c r="C318" s="5"/>
      <c r="D318" s="5"/>
      <c r="E318" s="5"/>
      <c r="F318" s="5"/>
      <c r="G318" s="14"/>
      <c r="H318" s="14"/>
      <c r="I318" s="19" t="str">
        <f aca="false">IF(D318="","",IFERROR(IF(INDEX(Log!$I:$I,MATCH(D318,Log!$G:$G,0))&amp;""="",INDEX(Log!$A:$A,MATCH(D318,Log!$G:$G,0))&amp;"",INDEX(Log!$I:$I,MATCH(D318,Log!$G:$G,0))&amp;""),IF(AND(LEN(D318)=4,LEFT(D318,1)="L",ISNUMBER(VALUE(MID(D318,2,3)))),"ID não encontrado no Log","")))</f>
        <v/>
      </c>
      <c r="J318" s="5"/>
    </row>
    <row r="319" customFormat="false" ht="15" hidden="false" customHeight="false" outlineLevel="0" collapsed="false">
      <c r="A319" s="18"/>
      <c r="B319" s="5"/>
      <c r="C319" s="5"/>
      <c r="D319" s="5"/>
      <c r="E319" s="5"/>
      <c r="F319" s="5"/>
      <c r="G319" s="14"/>
      <c r="H319" s="14"/>
      <c r="I319" s="19" t="str">
        <f aca="false">IF(D319="","",IFERROR(IF(INDEX(Log!$I:$I,MATCH(D319,Log!$G:$G,0))&amp;""="",INDEX(Log!$A:$A,MATCH(D319,Log!$G:$G,0))&amp;"",INDEX(Log!$I:$I,MATCH(D319,Log!$G:$G,0))&amp;""),IF(AND(LEN(D319)=4,LEFT(D319,1)="L",ISNUMBER(VALUE(MID(D319,2,3)))),"ID não encontrado no Log","")))</f>
        <v/>
      </c>
      <c r="J319" s="5"/>
    </row>
    <row r="320" customFormat="false" ht="15" hidden="false" customHeight="false" outlineLevel="0" collapsed="false">
      <c r="A320" s="18"/>
      <c r="B320" s="5"/>
      <c r="C320" s="5"/>
      <c r="D320" s="5"/>
      <c r="E320" s="5"/>
      <c r="F320" s="5"/>
      <c r="G320" s="14"/>
      <c r="H320" s="14"/>
      <c r="I320" s="19" t="str">
        <f aca="false">IF(D320="","",IFERROR(IF(INDEX(Log!$I:$I,MATCH(D320,Log!$G:$G,0))&amp;""="",INDEX(Log!$A:$A,MATCH(D320,Log!$G:$G,0))&amp;"",INDEX(Log!$I:$I,MATCH(D320,Log!$G:$G,0))&amp;""),IF(AND(LEN(D320)=4,LEFT(D320,1)="L",ISNUMBER(VALUE(MID(D320,2,3)))),"ID não encontrado no Log","")))</f>
        <v/>
      </c>
      <c r="J320" s="5"/>
    </row>
    <row r="321" customFormat="false" ht="15" hidden="false" customHeight="false" outlineLevel="0" collapsed="false">
      <c r="A321" s="18"/>
      <c r="B321" s="5"/>
      <c r="C321" s="5"/>
      <c r="D321" s="5"/>
      <c r="E321" s="5"/>
      <c r="F321" s="5"/>
      <c r="G321" s="14"/>
      <c r="H321" s="14"/>
      <c r="I321" s="19" t="str">
        <f aca="false">IF(D321="","",IFERROR(IF(INDEX(Log!$I:$I,MATCH(D321,Log!$G:$G,0))&amp;""="",INDEX(Log!$A:$A,MATCH(D321,Log!$G:$G,0))&amp;"",INDEX(Log!$I:$I,MATCH(D321,Log!$G:$G,0))&amp;""),IF(AND(LEN(D321)=4,LEFT(D321,1)="L",ISNUMBER(VALUE(MID(D321,2,3)))),"ID não encontrado no Log","")))</f>
        <v/>
      </c>
      <c r="J321" s="5"/>
    </row>
    <row r="322" customFormat="false" ht="15" hidden="false" customHeight="false" outlineLevel="0" collapsed="false">
      <c r="A322" s="18"/>
      <c r="B322" s="5"/>
      <c r="C322" s="5"/>
      <c r="D322" s="5"/>
      <c r="E322" s="5"/>
      <c r="F322" s="5"/>
      <c r="G322" s="14"/>
      <c r="H322" s="14"/>
      <c r="I322" s="19" t="str">
        <f aca="false">IF(D322="","",IFERROR(IF(INDEX(Log!$I:$I,MATCH(D322,Log!$G:$G,0))&amp;""="",INDEX(Log!$A:$A,MATCH(D322,Log!$G:$G,0))&amp;"",INDEX(Log!$I:$I,MATCH(D322,Log!$G:$G,0))&amp;""),IF(AND(LEN(D322)=4,LEFT(D322,1)="L",ISNUMBER(VALUE(MID(D322,2,3)))),"ID não encontrado no Log","")))</f>
        <v/>
      </c>
      <c r="J322" s="5"/>
    </row>
    <row r="323" customFormat="false" ht="15" hidden="false" customHeight="false" outlineLevel="0" collapsed="false">
      <c r="A323" s="18"/>
      <c r="B323" s="5"/>
      <c r="C323" s="5"/>
      <c r="D323" s="5"/>
      <c r="E323" s="5"/>
      <c r="F323" s="5"/>
      <c r="G323" s="14"/>
      <c r="H323" s="14"/>
      <c r="I323" s="19" t="str">
        <f aca="false">IF(D323="","",IFERROR(IF(INDEX(Log!$I:$I,MATCH(D323,Log!$G:$G,0))&amp;""="",INDEX(Log!$A:$A,MATCH(D323,Log!$G:$G,0))&amp;"",INDEX(Log!$I:$I,MATCH(D323,Log!$G:$G,0))&amp;""),IF(AND(LEN(D323)=4,LEFT(D323,1)="L",ISNUMBER(VALUE(MID(D323,2,3)))),"ID não encontrado no Log","")))</f>
        <v/>
      </c>
      <c r="J323" s="5"/>
    </row>
    <row r="324" customFormat="false" ht="15" hidden="false" customHeight="false" outlineLevel="0" collapsed="false">
      <c r="A324" s="18"/>
      <c r="B324" s="5"/>
      <c r="C324" s="5"/>
      <c r="D324" s="5"/>
      <c r="E324" s="5"/>
      <c r="F324" s="5"/>
      <c r="G324" s="14"/>
      <c r="H324" s="14"/>
      <c r="I324" s="19" t="str">
        <f aca="false">IF(D324="","",IFERROR(IF(INDEX(Log!$I:$I,MATCH(D324,Log!$G:$G,0))&amp;""="",INDEX(Log!$A:$A,MATCH(D324,Log!$G:$G,0))&amp;"",INDEX(Log!$I:$I,MATCH(D324,Log!$G:$G,0))&amp;""),IF(AND(LEN(D324)=4,LEFT(D324,1)="L",ISNUMBER(VALUE(MID(D324,2,3)))),"ID não encontrado no Log","")))</f>
        <v/>
      </c>
      <c r="J324" s="5"/>
    </row>
    <row r="325" customFormat="false" ht="15" hidden="false" customHeight="false" outlineLevel="0" collapsed="false">
      <c r="A325" s="18"/>
      <c r="B325" s="5"/>
      <c r="C325" s="5"/>
      <c r="D325" s="5"/>
      <c r="E325" s="5"/>
      <c r="F325" s="5"/>
      <c r="G325" s="14"/>
      <c r="H325" s="14"/>
      <c r="I325" s="19" t="str">
        <f aca="false">IF(D325="","",IFERROR(IF(INDEX(Log!$I:$I,MATCH(D325,Log!$G:$G,0))&amp;""="",INDEX(Log!$A:$A,MATCH(D325,Log!$G:$G,0))&amp;"",INDEX(Log!$I:$I,MATCH(D325,Log!$G:$G,0))&amp;""),IF(AND(LEN(D325)=4,LEFT(D325,1)="L",ISNUMBER(VALUE(MID(D325,2,3)))),"ID não encontrado no Log","")))</f>
        <v/>
      </c>
      <c r="J325" s="5"/>
    </row>
    <row r="326" customFormat="false" ht="15" hidden="false" customHeight="false" outlineLevel="0" collapsed="false">
      <c r="A326" s="18"/>
      <c r="B326" s="5"/>
      <c r="C326" s="5"/>
      <c r="D326" s="5"/>
      <c r="E326" s="5"/>
      <c r="F326" s="5"/>
      <c r="G326" s="14"/>
      <c r="H326" s="14"/>
      <c r="I326" s="19" t="str">
        <f aca="false">IF(D326="","",IFERROR(IF(INDEX(Log!$I:$I,MATCH(D326,Log!$G:$G,0))&amp;""="",INDEX(Log!$A:$A,MATCH(D326,Log!$G:$G,0))&amp;"",INDEX(Log!$I:$I,MATCH(D326,Log!$G:$G,0))&amp;""),IF(AND(LEN(D326)=4,LEFT(D326,1)="L",ISNUMBER(VALUE(MID(D326,2,3)))),"ID não encontrado no Log","")))</f>
        <v/>
      </c>
      <c r="J326" s="5"/>
    </row>
    <row r="327" customFormat="false" ht="15" hidden="false" customHeight="false" outlineLevel="0" collapsed="false">
      <c r="A327" s="18"/>
      <c r="B327" s="5"/>
      <c r="C327" s="5"/>
      <c r="D327" s="5"/>
      <c r="E327" s="5"/>
      <c r="F327" s="5"/>
      <c r="G327" s="14"/>
      <c r="H327" s="14"/>
      <c r="I327" s="19" t="str">
        <f aca="false">IF(D327="","",IFERROR(IF(INDEX(Log!$I:$I,MATCH(D327,Log!$G:$G,0))&amp;""="",INDEX(Log!$A:$A,MATCH(D327,Log!$G:$G,0))&amp;"",INDEX(Log!$I:$I,MATCH(D327,Log!$G:$G,0))&amp;""),IF(AND(LEN(D327)=4,LEFT(D327,1)="L",ISNUMBER(VALUE(MID(D327,2,3)))),"ID não encontrado no Log","")))</f>
        <v/>
      </c>
      <c r="J327" s="5"/>
    </row>
    <row r="328" customFormat="false" ht="15" hidden="false" customHeight="false" outlineLevel="0" collapsed="false">
      <c r="A328" s="18"/>
      <c r="B328" s="5"/>
      <c r="C328" s="5"/>
      <c r="D328" s="5"/>
      <c r="E328" s="5"/>
      <c r="F328" s="5"/>
      <c r="G328" s="14"/>
      <c r="H328" s="14"/>
      <c r="I328" s="19" t="str">
        <f aca="false">IF(D328="","",IFERROR(IF(INDEX(Log!$I:$I,MATCH(D328,Log!$G:$G,0))&amp;""="",INDEX(Log!$A:$A,MATCH(D328,Log!$G:$G,0))&amp;"",INDEX(Log!$I:$I,MATCH(D328,Log!$G:$G,0))&amp;""),IF(AND(LEN(D328)=4,LEFT(D328,1)="L",ISNUMBER(VALUE(MID(D328,2,3)))),"ID não encontrado no Log","")))</f>
        <v/>
      </c>
      <c r="J328" s="5"/>
    </row>
    <row r="329" customFormat="false" ht="15" hidden="false" customHeight="false" outlineLevel="0" collapsed="false">
      <c r="A329" s="18"/>
      <c r="B329" s="5"/>
      <c r="C329" s="5"/>
      <c r="D329" s="5"/>
      <c r="E329" s="5"/>
      <c r="F329" s="5"/>
      <c r="G329" s="14"/>
      <c r="H329" s="14"/>
      <c r="I329" s="19" t="str">
        <f aca="false">IF(D329="","",IFERROR(IF(INDEX(Log!$I:$I,MATCH(D329,Log!$G:$G,0))&amp;""="",INDEX(Log!$A:$A,MATCH(D329,Log!$G:$G,0))&amp;"",INDEX(Log!$I:$I,MATCH(D329,Log!$G:$G,0))&amp;""),IF(AND(LEN(D329)=4,LEFT(D329,1)="L",ISNUMBER(VALUE(MID(D329,2,3)))),"ID não encontrado no Log","")))</f>
        <v/>
      </c>
      <c r="J329" s="5"/>
    </row>
    <row r="330" customFormat="false" ht="15" hidden="false" customHeight="false" outlineLevel="0" collapsed="false">
      <c r="A330" s="18"/>
      <c r="B330" s="5"/>
      <c r="C330" s="5"/>
      <c r="D330" s="5"/>
      <c r="E330" s="5"/>
      <c r="F330" s="5"/>
      <c r="G330" s="14"/>
      <c r="H330" s="14"/>
      <c r="I330" s="19" t="str">
        <f aca="false">IF(D330="","",IFERROR(IF(INDEX(Log!$I:$I,MATCH(D330,Log!$G:$G,0))&amp;""="",INDEX(Log!$A:$A,MATCH(D330,Log!$G:$G,0))&amp;"",INDEX(Log!$I:$I,MATCH(D330,Log!$G:$G,0))&amp;""),IF(AND(LEN(D330)=4,LEFT(D330,1)="L",ISNUMBER(VALUE(MID(D330,2,3)))),"ID não encontrado no Log","")))</f>
        <v/>
      </c>
      <c r="J330" s="5"/>
    </row>
    <row r="331" customFormat="false" ht="15" hidden="false" customHeight="false" outlineLevel="0" collapsed="false">
      <c r="A331" s="18"/>
      <c r="B331" s="5"/>
      <c r="C331" s="5"/>
      <c r="D331" s="5"/>
      <c r="E331" s="5"/>
      <c r="F331" s="5"/>
      <c r="G331" s="14"/>
      <c r="H331" s="14"/>
      <c r="I331" s="19" t="str">
        <f aca="false">IF(D331="","",IFERROR(IF(INDEX(Log!$I:$I,MATCH(D331,Log!$G:$G,0))&amp;""="",INDEX(Log!$A:$A,MATCH(D331,Log!$G:$G,0))&amp;"",INDEX(Log!$I:$I,MATCH(D331,Log!$G:$G,0))&amp;""),IF(AND(LEN(D331)=4,LEFT(D331,1)="L",ISNUMBER(VALUE(MID(D331,2,3)))),"ID não encontrado no Log","")))</f>
        <v/>
      </c>
      <c r="J331" s="5"/>
    </row>
    <row r="332" customFormat="false" ht="15" hidden="false" customHeight="false" outlineLevel="0" collapsed="false">
      <c r="A332" s="18"/>
      <c r="B332" s="5"/>
      <c r="C332" s="5"/>
      <c r="D332" s="5"/>
      <c r="E332" s="5"/>
      <c r="F332" s="5"/>
      <c r="G332" s="14"/>
      <c r="H332" s="14"/>
      <c r="I332" s="19" t="str">
        <f aca="false">IF(D332="","",IFERROR(IF(INDEX(Log!$I:$I,MATCH(D332,Log!$G:$G,0))&amp;""="",INDEX(Log!$A:$A,MATCH(D332,Log!$G:$G,0))&amp;"",INDEX(Log!$I:$I,MATCH(D332,Log!$G:$G,0))&amp;""),IF(AND(LEN(D332)=4,LEFT(D332,1)="L",ISNUMBER(VALUE(MID(D332,2,3)))),"ID não encontrado no Log","")))</f>
        <v/>
      </c>
      <c r="J332" s="5"/>
    </row>
    <row r="333" customFormat="false" ht="15" hidden="false" customHeight="false" outlineLevel="0" collapsed="false">
      <c r="A333" s="18"/>
      <c r="B333" s="5"/>
      <c r="C333" s="5"/>
      <c r="D333" s="5"/>
      <c r="E333" s="5"/>
      <c r="F333" s="5"/>
      <c r="G333" s="14"/>
      <c r="H333" s="14"/>
      <c r="I333" s="19" t="str">
        <f aca="false">IF(D333="","",IFERROR(IF(INDEX(Log!$I:$I,MATCH(D333,Log!$G:$G,0))&amp;""="",INDEX(Log!$A:$A,MATCH(D333,Log!$G:$G,0))&amp;"",INDEX(Log!$I:$I,MATCH(D333,Log!$G:$G,0))&amp;""),IF(AND(LEN(D333)=4,LEFT(D333,1)="L",ISNUMBER(VALUE(MID(D333,2,3)))),"ID não encontrado no Log","")))</f>
        <v/>
      </c>
      <c r="J333" s="5"/>
    </row>
    <row r="334" customFormat="false" ht="15" hidden="false" customHeight="false" outlineLevel="0" collapsed="false">
      <c r="A334" s="18"/>
      <c r="B334" s="5"/>
      <c r="C334" s="5"/>
      <c r="D334" s="5"/>
      <c r="E334" s="5"/>
      <c r="F334" s="5"/>
      <c r="G334" s="14"/>
      <c r="H334" s="14"/>
      <c r="I334" s="19" t="str">
        <f aca="false">IF(D334="","",IFERROR(IF(INDEX(Log!$I:$I,MATCH(D334,Log!$G:$G,0))&amp;""="",INDEX(Log!$A:$A,MATCH(D334,Log!$G:$G,0))&amp;"",INDEX(Log!$I:$I,MATCH(D334,Log!$G:$G,0))&amp;""),IF(AND(LEN(D334)=4,LEFT(D334,1)="L",ISNUMBER(VALUE(MID(D334,2,3)))),"ID não encontrado no Log","")))</f>
        <v/>
      </c>
      <c r="J334" s="5"/>
    </row>
    <row r="335" customFormat="false" ht="15" hidden="false" customHeight="false" outlineLevel="0" collapsed="false">
      <c r="A335" s="18"/>
      <c r="B335" s="5"/>
      <c r="C335" s="5"/>
      <c r="D335" s="5"/>
      <c r="E335" s="5"/>
      <c r="F335" s="5"/>
      <c r="G335" s="14"/>
      <c r="H335" s="14"/>
      <c r="I335" s="19" t="str">
        <f aca="false">IF(D335="","",IFERROR(IF(INDEX(Log!$I:$I,MATCH(D335,Log!$G:$G,0))&amp;""="",INDEX(Log!$A:$A,MATCH(D335,Log!$G:$G,0))&amp;"",INDEX(Log!$I:$I,MATCH(D335,Log!$G:$G,0))&amp;""),IF(AND(LEN(D335)=4,LEFT(D335,1)="L",ISNUMBER(VALUE(MID(D335,2,3)))),"ID não encontrado no Log","")))</f>
        <v/>
      </c>
      <c r="J335" s="5"/>
    </row>
    <row r="336" customFormat="false" ht="15" hidden="false" customHeight="false" outlineLevel="0" collapsed="false">
      <c r="A336" s="18"/>
      <c r="B336" s="5"/>
      <c r="C336" s="5"/>
      <c r="D336" s="5"/>
      <c r="E336" s="5"/>
      <c r="F336" s="5"/>
      <c r="G336" s="14"/>
      <c r="H336" s="14"/>
      <c r="I336" s="19" t="str">
        <f aca="false">IF(D336="","",IFERROR(IF(INDEX(Log!$I:$I,MATCH(D336,Log!$G:$G,0))&amp;""="",INDEX(Log!$A:$A,MATCH(D336,Log!$G:$G,0))&amp;"",INDEX(Log!$I:$I,MATCH(D336,Log!$G:$G,0))&amp;""),IF(AND(LEN(D336)=4,LEFT(D336,1)="L",ISNUMBER(VALUE(MID(D336,2,3)))),"ID não encontrado no Log","")))</f>
        <v/>
      </c>
      <c r="J336" s="5"/>
    </row>
    <row r="337" customFormat="false" ht="15" hidden="false" customHeight="false" outlineLevel="0" collapsed="false">
      <c r="A337" s="18"/>
      <c r="B337" s="5"/>
      <c r="C337" s="5"/>
      <c r="D337" s="5"/>
      <c r="E337" s="5"/>
      <c r="F337" s="5"/>
      <c r="G337" s="14"/>
      <c r="H337" s="14"/>
      <c r="I337" s="19" t="str">
        <f aca="false">IF(D337="","",IFERROR(IF(INDEX(Log!$I:$I,MATCH(D337,Log!$G:$G,0))&amp;""="",INDEX(Log!$A:$A,MATCH(D337,Log!$G:$G,0))&amp;"",INDEX(Log!$I:$I,MATCH(D337,Log!$G:$G,0))&amp;""),IF(AND(LEN(D337)=4,LEFT(D337,1)="L",ISNUMBER(VALUE(MID(D337,2,3)))),"ID não encontrado no Log","")))</f>
        <v/>
      </c>
      <c r="J337" s="5"/>
    </row>
    <row r="338" customFormat="false" ht="15" hidden="false" customHeight="false" outlineLevel="0" collapsed="false">
      <c r="A338" s="18"/>
      <c r="B338" s="5"/>
      <c r="C338" s="5"/>
      <c r="D338" s="5"/>
      <c r="E338" s="5"/>
      <c r="F338" s="5"/>
      <c r="G338" s="14"/>
      <c r="H338" s="14"/>
      <c r="I338" s="19" t="str">
        <f aca="false">IF(D338="","",IFERROR(IF(INDEX(Log!$I:$I,MATCH(D338,Log!$G:$G,0))&amp;""="",INDEX(Log!$A:$A,MATCH(D338,Log!$G:$G,0))&amp;"",INDEX(Log!$I:$I,MATCH(D338,Log!$G:$G,0))&amp;""),IF(AND(LEN(D338)=4,LEFT(D338,1)="L",ISNUMBER(VALUE(MID(D338,2,3)))),"ID não encontrado no Log","")))</f>
        <v/>
      </c>
      <c r="J338" s="5"/>
    </row>
    <row r="339" customFormat="false" ht="15" hidden="false" customHeight="false" outlineLevel="0" collapsed="false">
      <c r="A339" s="18"/>
      <c r="B339" s="5"/>
      <c r="C339" s="5"/>
      <c r="D339" s="5"/>
      <c r="E339" s="5"/>
      <c r="F339" s="5"/>
      <c r="G339" s="14"/>
      <c r="H339" s="14"/>
      <c r="I339" s="19" t="str">
        <f aca="false">IF(D339="","",IFERROR(IF(INDEX(Log!$I:$I,MATCH(D339,Log!$G:$G,0))&amp;""="",INDEX(Log!$A:$A,MATCH(D339,Log!$G:$G,0))&amp;"",INDEX(Log!$I:$I,MATCH(D339,Log!$G:$G,0))&amp;""),IF(AND(LEN(D339)=4,LEFT(D339,1)="L",ISNUMBER(VALUE(MID(D339,2,3)))),"ID não encontrado no Log","")))</f>
        <v/>
      </c>
      <c r="J339" s="5"/>
    </row>
    <row r="340" customFormat="false" ht="15" hidden="false" customHeight="false" outlineLevel="0" collapsed="false">
      <c r="A340" s="18"/>
      <c r="B340" s="5"/>
      <c r="C340" s="5"/>
      <c r="D340" s="5"/>
      <c r="E340" s="5"/>
      <c r="F340" s="5"/>
      <c r="G340" s="14"/>
      <c r="H340" s="14"/>
      <c r="I340" s="19" t="str">
        <f aca="false">IF(D340="","",IFERROR(IF(INDEX(Log!$I:$I,MATCH(D340,Log!$G:$G,0))&amp;""="",INDEX(Log!$A:$A,MATCH(D340,Log!$G:$G,0))&amp;"",INDEX(Log!$I:$I,MATCH(D340,Log!$G:$G,0))&amp;""),IF(AND(LEN(D340)=4,LEFT(D340,1)="L",ISNUMBER(VALUE(MID(D340,2,3)))),"ID não encontrado no Log","")))</f>
        <v/>
      </c>
      <c r="J340" s="5"/>
    </row>
    <row r="341" customFormat="false" ht="15" hidden="false" customHeight="false" outlineLevel="0" collapsed="false">
      <c r="A341" s="18"/>
      <c r="B341" s="5"/>
      <c r="C341" s="5"/>
      <c r="D341" s="5"/>
      <c r="E341" s="5"/>
      <c r="F341" s="5"/>
      <c r="G341" s="14"/>
      <c r="H341" s="14"/>
      <c r="I341" s="19" t="str">
        <f aca="false">IF(D341="","",IFERROR(IF(INDEX(Log!$I:$I,MATCH(D341,Log!$G:$G,0))&amp;""="",INDEX(Log!$A:$A,MATCH(D341,Log!$G:$G,0))&amp;"",INDEX(Log!$I:$I,MATCH(D341,Log!$G:$G,0))&amp;""),IF(AND(LEN(D341)=4,LEFT(D341,1)="L",ISNUMBER(VALUE(MID(D341,2,3)))),"ID não encontrado no Log","")))</f>
        <v/>
      </c>
      <c r="J341" s="5"/>
    </row>
    <row r="342" customFormat="false" ht="15" hidden="false" customHeight="false" outlineLevel="0" collapsed="false">
      <c r="A342" s="18"/>
      <c r="B342" s="5"/>
      <c r="C342" s="5"/>
      <c r="D342" s="5"/>
      <c r="E342" s="5"/>
      <c r="F342" s="5"/>
      <c r="G342" s="14"/>
      <c r="H342" s="14"/>
      <c r="I342" s="19" t="str">
        <f aca="false">IF(D342="","",IFERROR(IF(INDEX(Log!$I:$I,MATCH(D342,Log!$G:$G,0))&amp;""="",INDEX(Log!$A:$A,MATCH(D342,Log!$G:$G,0))&amp;"",INDEX(Log!$I:$I,MATCH(D342,Log!$G:$G,0))&amp;""),IF(AND(LEN(D342)=4,LEFT(D342,1)="L",ISNUMBER(VALUE(MID(D342,2,3)))),"ID não encontrado no Log","")))</f>
        <v/>
      </c>
      <c r="J342" s="5"/>
    </row>
    <row r="343" customFormat="false" ht="15" hidden="false" customHeight="false" outlineLevel="0" collapsed="false">
      <c r="A343" s="18"/>
      <c r="B343" s="5"/>
      <c r="C343" s="5"/>
      <c r="D343" s="5"/>
      <c r="E343" s="5"/>
      <c r="F343" s="5"/>
      <c r="G343" s="14"/>
      <c r="H343" s="14"/>
      <c r="I343" s="19" t="str">
        <f aca="false">IF(D343="","",IFERROR(IF(INDEX(Log!$I:$I,MATCH(D343,Log!$G:$G,0))&amp;""="",INDEX(Log!$A:$A,MATCH(D343,Log!$G:$G,0))&amp;"",INDEX(Log!$I:$I,MATCH(D343,Log!$G:$G,0))&amp;""),IF(AND(LEN(D343)=4,LEFT(D343,1)="L",ISNUMBER(VALUE(MID(D343,2,3)))),"ID não encontrado no Log","")))</f>
        <v/>
      </c>
      <c r="J343" s="5"/>
    </row>
    <row r="344" customFormat="false" ht="15" hidden="false" customHeight="false" outlineLevel="0" collapsed="false">
      <c r="A344" s="18"/>
      <c r="B344" s="5"/>
      <c r="C344" s="5"/>
      <c r="D344" s="5"/>
      <c r="E344" s="5"/>
      <c r="F344" s="5"/>
      <c r="G344" s="14"/>
      <c r="H344" s="14"/>
      <c r="I344" s="19" t="str">
        <f aca="false">IF(D344="","",IFERROR(IF(INDEX(Log!$I:$I,MATCH(D344,Log!$G:$G,0))&amp;""="",INDEX(Log!$A:$A,MATCH(D344,Log!$G:$G,0))&amp;"",INDEX(Log!$I:$I,MATCH(D344,Log!$G:$G,0))&amp;""),IF(AND(LEN(D344)=4,LEFT(D344,1)="L",ISNUMBER(VALUE(MID(D344,2,3)))),"ID não encontrado no Log","")))</f>
        <v/>
      </c>
      <c r="J344" s="5"/>
    </row>
    <row r="345" customFormat="false" ht="15" hidden="false" customHeight="false" outlineLevel="0" collapsed="false">
      <c r="A345" s="18"/>
      <c r="B345" s="5"/>
      <c r="C345" s="5"/>
      <c r="D345" s="5"/>
      <c r="E345" s="5"/>
      <c r="F345" s="5"/>
      <c r="G345" s="14"/>
      <c r="H345" s="14"/>
      <c r="I345" s="19" t="str">
        <f aca="false">IF(D345="","",IFERROR(IF(INDEX(Log!$I:$I,MATCH(D345,Log!$G:$G,0))&amp;""="",INDEX(Log!$A:$A,MATCH(D345,Log!$G:$G,0))&amp;"",INDEX(Log!$I:$I,MATCH(D345,Log!$G:$G,0))&amp;""),IF(AND(LEN(D345)=4,LEFT(D345,1)="L",ISNUMBER(VALUE(MID(D345,2,3)))),"ID não encontrado no Log","")))</f>
        <v/>
      </c>
      <c r="J345" s="5"/>
    </row>
    <row r="346" customFormat="false" ht="15" hidden="false" customHeight="false" outlineLevel="0" collapsed="false">
      <c r="A346" s="18"/>
      <c r="B346" s="5"/>
      <c r="C346" s="5"/>
      <c r="D346" s="5"/>
      <c r="E346" s="5"/>
      <c r="F346" s="5"/>
      <c r="G346" s="14"/>
      <c r="H346" s="14"/>
      <c r="I346" s="19" t="str">
        <f aca="false">IF(D346="","",IFERROR(IF(INDEX(Log!$I:$I,MATCH(D346,Log!$G:$G,0))&amp;""="",INDEX(Log!$A:$A,MATCH(D346,Log!$G:$G,0))&amp;"",INDEX(Log!$I:$I,MATCH(D346,Log!$G:$G,0))&amp;""),IF(AND(LEN(D346)=4,LEFT(D346,1)="L",ISNUMBER(VALUE(MID(D346,2,3)))),"ID não encontrado no Log","")))</f>
        <v/>
      </c>
      <c r="J346" s="5"/>
    </row>
    <row r="347" customFormat="false" ht="15" hidden="false" customHeight="false" outlineLevel="0" collapsed="false">
      <c r="A347" s="18"/>
      <c r="B347" s="5"/>
      <c r="C347" s="5"/>
      <c r="D347" s="5"/>
      <c r="E347" s="5"/>
      <c r="F347" s="5"/>
      <c r="G347" s="14"/>
      <c r="H347" s="14"/>
      <c r="I347" s="19" t="str">
        <f aca="false">IF(D347="","",IFERROR(IF(INDEX(Log!$I:$I,MATCH(D347,Log!$G:$G,0))&amp;""="",INDEX(Log!$A:$A,MATCH(D347,Log!$G:$G,0))&amp;"",INDEX(Log!$I:$I,MATCH(D347,Log!$G:$G,0))&amp;""),IF(AND(LEN(D347)=4,LEFT(D347,1)="L",ISNUMBER(VALUE(MID(D347,2,3)))),"ID não encontrado no Log","")))</f>
        <v/>
      </c>
      <c r="J347" s="5"/>
    </row>
    <row r="348" customFormat="false" ht="15" hidden="false" customHeight="false" outlineLevel="0" collapsed="false">
      <c r="A348" s="18"/>
      <c r="B348" s="5"/>
      <c r="C348" s="5"/>
      <c r="D348" s="5"/>
      <c r="E348" s="5"/>
      <c r="F348" s="5"/>
      <c r="G348" s="14"/>
      <c r="H348" s="14"/>
      <c r="I348" s="19" t="str">
        <f aca="false">IF(D348="","",IFERROR(IF(INDEX(Log!$I:$I,MATCH(D348,Log!$G:$G,0))&amp;""="",INDEX(Log!$A:$A,MATCH(D348,Log!$G:$G,0))&amp;"",INDEX(Log!$I:$I,MATCH(D348,Log!$G:$G,0))&amp;""),IF(AND(LEN(D348)=4,LEFT(D348,1)="L",ISNUMBER(VALUE(MID(D348,2,3)))),"ID não encontrado no Log","")))</f>
        <v/>
      </c>
      <c r="J348" s="5"/>
    </row>
    <row r="349" customFormat="false" ht="15" hidden="false" customHeight="false" outlineLevel="0" collapsed="false">
      <c r="A349" s="18"/>
      <c r="B349" s="5"/>
      <c r="C349" s="5"/>
      <c r="D349" s="5"/>
      <c r="E349" s="5"/>
      <c r="F349" s="5"/>
      <c r="G349" s="14"/>
      <c r="H349" s="14"/>
      <c r="I349" s="19" t="str">
        <f aca="false">IF(D349="","",IFERROR(IF(INDEX(Log!$I:$I,MATCH(D349,Log!$G:$G,0))&amp;""="",INDEX(Log!$A:$A,MATCH(D349,Log!$G:$G,0))&amp;"",INDEX(Log!$I:$I,MATCH(D349,Log!$G:$G,0))&amp;""),IF(AND(LEN(D349)=4,LEFT(D349,1)="L",ISNUMBER(VALUE(MID(D349,2,3)))),"ID não encontrado no Log","")))</f>
        <v/>
      </c>
      <c r="J349" s="5"/>
    </row>
    <row r="350" customFormat="false" ht="15" hidden="false" customHeight="false" outlineLevel="0" collapsed="false">
      <c r="A350" s="18"/>
      <c r="B350" s="5"/>
      <c r="C350" s="5"/>
      <c r="D350" s="5"/>
      <c r="E350" s="5"/>
      <c r="F350" s="5"/>
      <c r="G350" s="14"/>
      <c r="H350" s="14"/>
      <c r="I350" s="19" t="str">
        <f aca="false">IF(D350="","",IFERROR(IF(INDEX(Log!$I:$I,MATCH(D350,Log!$G:$G,0))&amp;""="",INDEX(Log!$A:$A,MATCH(D350,Log!$G:$G,0))&amp;"",INDEX(Log!$I:$I,MATCH(D350,Log!$G:$G,0))&amp;""),IF(AND(LEN(D350)=4,LEFT(D350,1)="L",ISNUMBER(VALUE(MID(D350,2,3)))),"ID não encontrado no Log","")))</f>
        <v/>
      </c>
      <c r="J350" s="5"/>
    </row>
    <row r="351" customFormat="false" ht="15" hidden="false" customHeight="false" outlineLevel="0" collapsed="false">
      <c r="A351" s="18"/>
      <c r="B351" s="5"/>
      <c r="C351" s="5"/>
      <c r="D351" s="5"/>
      <c r="E351" s="5"/>
      <c r="F351" s="5"/>
      <c r="G351" s="14"/>
      <c r="H351" s="14"/>
      <c r="I351" s="19" t="str">
        <f aca="false">IF(D351="","",IFERROR(IF(INDEX(Log!$I:$I,MATCH(D351,Log!$G:$G,0))&amp;""="",INDEX(Log!$A:$A,MATCH(D351,Log!$G:$G,0))&amp;"",INDEX(Log!$I:$I,MATCH(D351,Log!$G:$G,0))&amp;""),IF(AND(LEN(D351)=4,LEFT(D351,1)="L",ISNUMBER(VALUE(MID(D351,2,3)))),"ID não encontrado no Log","")))</f>
        <v/>
      </c>
      <c r="J351" s="5"/>
    </row>
    <row r="352" customFormat="false" ht="15" hidden="false" customHeight="false" outlineLevel="0" collapsed="false">
      <c r="A352" s="18"/>
      <c r="B352" s="5"/>
      <c r="C352" s="5"/>
      <c r="D352" s="5"/>
      <c r="E352" s="5"/>
      <c r="F352" s="5"/>
      <c r="G352" s="14"/>
      <c r="H352" s="14"/>
      <c r="I352" s="19" t="str">
        <f aca="false">IF(D352="","",IFERROR(IF(INDEX(Log!$I:$I,MATCH(D352,Log!$G:$G,0))&amp;""="",INDEX(Log!$A:$A,MATCH(D352,Log!$G:$G,0))&amp;"",INDEX(Log!$I:$I,MATCH(D352,Log!$G:$G,0))&amp;""),IF(AND(LEN(D352)=4,LEFT(D352,1)="L",ISNUMBER(VALUE(MID(D352,2,3)))),"ID não encontrado no Log","")))</f>
        <v/>
      </c>
      <c r="J352" s="5"/>
    </row>
    <row r="353" customFormat="false" ht="15" hidden="false" customHeight="false" outlineLevel="0" collapsed="false">
      <c r="A353" s="18"/>
      <c r="B353" s="5"/>
      <c r="C353" s="5"/>
      <c r="D353" s="5"/>
      <c r="E353" s="5"/>
      <c r="F353" s="5"/>
      <c r="G353" s="14"/>
      <c r="H353" s="14"/>
      <c r="I353" s="19" t="str">
        <f aca="false">IF(D353="","",IFERROR(IF(INDEX(Log!$I:$I,MATCH(D353,Log!$G:$G,0))&amp;""="",INDEX(Log!$A:$A,MATCH(D353,Log!$G:$G,0))&amp;"",INDEX(Log!$I:$I,MATCH(D353,Log!$G:$G,0))&amp;""),IF(AND(LEN(D353)=4,LEFT(D353,1)="L",ISNUMBER(VALUE(MID(D353,2,3)))),"ID não encontrado no Log","")))</f>
        <v/>
      </c>
      <c r="J353" s="5"/>
    </row>
    <row r="354" customFormat="false" ht="15" hidden="false" customHeight="false" outlineLevel="0" collapsed="false">
      <c r="A354" s="18"/>
      <c r="B354" s="5"/>
      <c r="C354" s="5"/>
      <c r="D354" s="5"/>
      <c r="E354" s="5"/>
      <c r="F354" s="5"/>
      <c r="G354" s="14"/>
      <c r="H354" s="14"/>
      <c r="I354" s="19" t="str">
        <f aca="false">IF(D354="","",IFERROR(IF(INDEX(Log!$I:$I,MATCH(D354,Log!$G:$G,0))&amp;""="",INDEX(Log!$A:$A,MATCH(D354,Log!$G:$G,0))&amp;"",INDEX(Log!$I:$I,MATCH(D354,Log!$G:$G,0))&amp;""),IF(AND(LEN(D354)=4,LEFT(D354,1)="L",ISNUMBER(VALUE(MID(D354,2,3)))),"ID não encontrado no Log","")))</f>
        <v/>
      </c>
      <c r="J354" s="5"/>
    </row>
    <row r="355" customFormat="false" ht="15" hidden="false" customHeight="false" outlineLevel="0" collapsed="false">
      <c r="A355" s="18"/>
      <c r="B355" s="5"/>
      <c r="C355" s="5"/>
      <c r="D355" s="5"/>
      <c r="E355" s="5"/>
      <c r="F355" s="5"/>
      <c r="G355" s="14"/>
      <c r="H355" s="14"/>
      <c r="I355" s="19" t="str">
        <f aca="false">IF(D355="","",IFERROR(IF(INDEX(Log!$I:$I,MATCH(D355,Log!$G:$G,0))&amp;""="",INDEX(Log!$A:$A,MATCH(D355,Log!$G:$G,0))&amp;"",INDEX(Log!$I:$I,MATCH(D355,Log!$G:$G,0))&amp;""),IF(AND(LEN(D355)=4,LEFT(D355,1)="L",ISNUMBER(VALUE(MID(D355,2,3)))),"ID não encontrado no Log","")))</f>
        <v/>
      </c>
      <c r="J355" s="5"/>
    </row>
    <row r="356" customFormat="false" ht="15" hidden="false" customHeight="false" outlineLevel="0" collapsed="false">
      <c r="A356" s="18"/>
      <c r="B356" s="5"/>
      <c r="C356" s="5"/>
      <c r="D356" s="5"/>
      <c r="E356" s="5"/>
      <c r="F356" s="5"/>
      <c r="G356" s="14"/>
      <c r="H356" s="14"/>
      <c r="I356" s="19" t="str">
        <f aca="false">IF(D356="","",IFERROR(IF(INDEX(Log!$I:$I,MATCH(D356,Log!$G:$G,0))&amp;""="",INDEX(Log!$A:$A,MATCH(D356,Log!$G:$G,0))&amp;"",INDEX(Log!$I:$I,MATCH(D356,Log!$G:$G,0))&amp;""),IF(AND(LEN(D356)=4,LEFT(D356,1)="L",ISNUMBER(VALUE(MID(D356,2,3)))),"ID não encontrado no Log","")))</f>
        <v/>
      </c>
      <c r="J356" s="5"/>
    </row>
    <row r="357" customFormat="false" ht="15" hidden="false" customHeight="false" outlineLevel="0" collapsed="false">
      <c r="A357" s="18"/>
      <c r="B357" s="5"/>
      <c r="C357" s="5"/>
      <c r="D357" s="5"/>
      <c r="E357" s="5"/>
      <c r="F357" s="5"/>
      <c r="G357" s="14"/>
      <c r="H357" s="14"/>
      <c r="I357" s="19" t="str">
        <f aca="false">IF(D357="","",IFERROR(IF(INDEX(Log!$I:$I,MATCH(D357,Log!$G:$G,0))&amp;""="",INDEX(Log!$A:$A,MATCH(D357,Log!$G:$G,0))&amp;"",INDEX(Log!$I:$I,MATCH(D357,Log!$G:$G,0))&amp;""),IF(AND(LEN(D357)=4,LEFT(D357,1)="L",ISNUMBER(VALUE(MID(D357,2,3)))),"ID não encontrado no Log","")))</f>
        <v/>
      </c>
      <c r="J357" s="5"/>
    </row>
    <row r="358" customFormat="false" ht="15" hidden="false" customHeight="false" outlineLevel="0" collapsed="false">
      <c r="A358" s="18"/>
      <c r="B358" s="5"/>
      <c r="C358" s="5"/>
      <c r="D358" s="5"/>
      <c r="E358" s="5"/>
      <c r="F358" s="5"/>
      <c r="G358" s="14"/>
      <c r="H358" s="14"/>
      <c r="I358" s="19" t="str">
        <f aca="false">IF(D358="","",IFERROR(IF(INDEX(Log!$I:$I,MATCH(D358,Log!$G:$G,0))&amp;""="",INDEX(Log!$A:$A,MATCH(D358,Log!$G:$G,0))&amp;"",INDEX(Log!$I:$I,MATCH(D358,Log!$G:$G,0))&amp;""),IF(AND(LEN(D358)=4,LEFT(D358,1)="L",ISNUMBER(VALUE(MID(D358,2,3)))),"ID não encontrado no Log","")))</f>
        <v/>
      </c>
      <c r="J358" s="5"/>
    </row>
    <row r="359" customFormat="false" ht="15" hidden="false" customHeight="false" outlineLevel="0" collapsed="false">
      <c r="A359" s="18"/>
      <c r="B359" s="5"/>
      <c r="C359" s="5"/>
      <c r="D359" s="5"/>
      <c r="E359" s="5"/>
      <c r="F359" s="5"/>
      <c r="G359" s="14"/>
      <c r="H359" s="14"/>
      <c r="I359" s="19" t="str">
        <f aca="false">IF(D359="","",IFERROR(IF(INDEX(Log!$I:$I,MATCH(D359,Log!$G:$G,0))&amp;""="",INDEX(Log!$A:$A,MATCH(D359,Log!$G:$G,0))&amp;"",INDEX(Log!$I:$I,MATCH(D359,Log!$G:$G,0))&amp;""),IF(AND(LEN(D359)=4,LEFT(D359,1)="L",ISNUMBER(VALUE(MID(D359,2,3)))),"ID não encontrado no Log","")))</f>
        <v/>
      </c>
      <c r="J359" s="5"/>
    </row>
    <row r="360" customFormat="false" ht="15" hidden="false" customHeight="false" outlineLevel="0" collapsed="false">
      <c r="A360" s="18"/>
      <c r="B360" s="5"/>
      <c r="C360" s="5"/>
      <c r="D360" s="5"/>
      <c r="E360" s="5"/>
      <c r="F360" s="5"/>
      <c r="G360" s="14"/>
      <c r="H360" s="14"/>
      <c r="I360" s="19" t="str">
        <f aca="false">IF(D360="","",IFERROR(IF(INDEX(Log!$I:$I,MATCH(D360,Log!$G:$G,0))&amp;""="",INDEX(Log!$A:$A,MATCH(D360,Log!$G:$G,0))&amp;"",INDEX(Log!$I:$I,MATCH(D360,Log!$G:$G,0))&amp;""),IF(AND(LEN(D360)=4,LEFT(D360,1)="L",ISNUMBER(VALUE(MID(D360,2,3)))),"ID não encontrado no Log","")))</f>
        <v/>
      </c>
      <c r="J360" s="5"/>
    </row>
    <row r="361" customFormat="false" ht="15" hidden="false" customHeight="false" outlineLevel="0" collapsed="false">
      <c r="A361" s="18"/>
      <c r="B361" s="5"/>
      <c r="C361" s="5"/>
      <c r="D361" s="5"/>
      <c r="E361" s="5"/>
      <c r="F361" s="5"/>
      <c r="G361" s="14"/>
      <c r="H361" s="14"/>
      <c r="I361" s="19" t="str">
        <f aca="false">IF(D361="","",IFERROR(IF(INDEX(Log!$I:$I,MATCH(D361,Log!$G:$G,0))&amp;""="",INDEX(Log!$A:$A,MATCH(D361,Log!$G:$G,0))&amp;"",INDEX(Log!$I:$I,MATCH(D361,Log!$G:$G,0))&amp;""),IF(AND(LEN(D361)=4,LEFT(D361,1)="L",ISNUMBER(VALUE(MID(D361,2,3)))),"ID não encontrado no Log","")))</f>
        <v/>
      </c>
      <c r="J361" s="5"/>
    </row>
    <row r="362" customFormat="false" ht="15" hidden="false" customHeight="false" outlineLevel="0" collapsed="false">
      <c r="A362" s="18"/>
      <c r="B362" s="5"/>
      <c r="C362" s="5"/>
      <c r="D362" s="5"/>
      <c r="E362" s="5"/>
      <c r="F362" s="5"/>
      <c r="G362" s="14"/>
      <c r="H362" s="14"/>
      <c r="I362" s="19" t="str">
        <f aca="false">IF(D362="","",IFERROR(IF(INDEX(Log!$I:$I,MATCH(D362,Log!$G:$G,0))&amp;""="",INDEX(Log!$A:$A,MATCH(D362,Log!$G:$G,0))&amp;"",INDEX(Log!$I:$I,MATCH(D362,Log!$G:$G,0))&amp;""),IF(AND(LEN(D362)=4,LEFT(D362,1)="L",ISNUMBER(VALUE(MID(D362,2,3)))),"ID não encontrado no Log","")))</f>
        <v/>
      </c>
      <c r="J362" s="5"/>
    </row>
    <row r="363" customFormat="false" ht="15" hidden="false" customHeight="false" outlineLevel="0" collapsed="false">
      <c r="A363" s="18"/>
      <c r="B363" s="5"/>
      <c r="C363" s="5"/>
      <c r="D363" s="5"/>
      <c r="E363" s="5"/>
      <c r="F363" s="5"/>
      <c r="G363" s="14"/>
      <c r="H363" s="14"/>
      <c r="I363" s="19" t="str">
        <f aca="false">IF(D363="","",IFERROR(IF(INDEX(Log!$I:$I,MATCH(D363,Log!$G:$G,0))&amp;""="",INDEX(Log!$A:$A,MATCH(D363,Log!$G:$G,0))&amp;"",INDEX(Log!$I:$I,MATCH(D363,Log!$G:$G,0))&amp;""),IF(AND(LEN(D363)=4,LEFT(D363,1)="L",ISNUMBER(VALUE(MID(D363,2,3)))),"ID não encontrado no Log","")))</f>
        <v/>
      </c>
      <c r="J363" s="5"/>
    </row>
    <row r="364" customFormat="false" ht="15" hidden="false" customHeight="false" outlineLevel="0" collapsed="false">
      <c r="A364" s="18"/>
      <c r="B364" s="5"/>
      <c r="C364" s="5"/>
      <c r="D364" s="5"/>
      <c r="E364" s="5"/>
      <c r="F364" s="5"/>
      <c r="G364" s="14"/>
      <c r="H364" s="14"/>
      <c r="I364" s="19" t="str">
        <f aca="false">IF(D364="","",IFERROR(IF(INDEX(Log!$I:$I,MATCH(D364,Log!$G:$G,0))&amp;""="",INDEX(Log!$A:$A,MATCH(D364,Log!$G:$G,0))&amp;"",INDEX(Log!$I:$I,MATCH(D364,Log!$G:$G,0))&amp;""),IF(AND(LEN(D364)=4,LEFT(D364,1)="L",ISNUMBER(VALUE(MID(D364,2,3)))),"ID não encontrado no Log","")))</f>
        <v/>
      </c>
      <c r="J364" s="5"/>
    </row>
    <row r="365" customFormat="false" ht="15" hidden="false" customHeight="false" outlineLevel="0" collapsed="false">
      <c r="A365" s="18"/>
      <c r="B365" s="5"/>
      <c r="C365" s="5"/>
      <c r="D365" s="5"/>
      <c r="E365" s="5"/>
      <c r="F365" s="5"/>
      <c r="G365" s="14"/>
      <c r="H365" s="14"/>
      <c r="I365" s="19" t="str">
        <f aca="false">IF(D365="","",IFERROR(IF(INDEX(Log!$I:$I,MATCH(D365,Log!$G:$G,0))&amp;""="",INDEX(Log!$A:$A,MATCH(D365,Log!$G:$G,0))&amp;"",INDEX(Log!$I:$I,MATCH(D365,Log!$G:$G,0))&amp;""),IF(AND(LEN(D365)=4,LEFT(D365,1)="L",ISNUMBER(VALUE(MID(D365,2,3)))),"ID não encontrado no Log","")))</f>
        <v/>
      </c>
      <c r="J365" s="5"/>
    </row>
    <row r="366" customFormat="false" ht="15" hidden="false" customHeight="false" outlineLevel="0" collapsed="false">
      <c r="A366" s="18"/>
      <c r="B366" s="5"/>
      <c r="C366" s="5"/>
      <c r="D366" s="5"/>
      <c r="E366" s="5"/>
      <c r="F366" s="5"/>
      <c r="G366" s="14"/>
      <c r="H366" s="14"/>
      <c r="I366" s="19" t="str">
        <f aca="false">IF(D366="","",IFERROR(IF(INDEX(Log!$I:$I,MATCH(D366,Log!$G:$G,0))&amp;""="",INDEX(Log!$A:$A,MATCH(D366,Log!$G:$G,0))&amp;"",INDEX(Log!$I:$I,MATCH(D366,Log!$G:$G,0))&amp;""),IF(AND(LEN(D366)=4,LEFT(D366,1)="L",ISNUMBER(VALUE(MID(D366,2,3)))),"ID não encontrado no Log","")))</f>
        <v/>
      </c>
      <c r="J366" s="5"/>
    </row>
    <row r="367" customFormat="false" ht="15" hidden="false" customHeight="false" outlineLevel="0" collapsed="false">
      <c r="A367" s="18"/>
      <c r="B367" s="5"/>
      <c r="C367" s="5"/>
      <c r="D367" s="5"/>
      <c r="E367" s="5"/>
      <c r="F367" s="5"/>
      <c r="G367" s="14"/>
      <c r="H367" s="14"/>
      <c r="I367" s="19" t="str">
        <f aca="false">IF(D367="","",IFERROR(IF(INDEX(Log!$I:$I,MATCH(D367,Log!$G:$G,0))&amp;""="",INDEX(Log!$A:$A,MATCH(D367,Log!$G:$G,0))&amp;"",INDEX(Log!$I:$I,MATCH(D367,Log!$G:$G,0))&amp;""),IF(AND(LEN(D367)=4,LEFT(D367,1)="L",ISNUMBER(VALUE(MID(D367,2,3)))),"ID não encontrado no Log","")))</f>
        <v/>
      </c>
      <c r="J367" s="5"/>
    </row>
    <row r="368" customFormat="false" ht="15" hidden="false" customHeight="false" outlineLevel="0" collapsed="false">
      <c r="A368" s="18"/>
      <c r="B368" s="5"/>
      <c r="C368" s="5"/>
      <c r="D368" s="5"/>
      <c r="E368" s="5"/>
      <c r="F368" s="5"/>
      <c r="G368" s="14"/>
      <c r="H368" s="14"/>
      <c r="I368" s="19" t="str">
        <f aca="false">IF(D368="","",IFERROR(IF(INDEX(Log!$I:$I,MATCH(D368,Log!$G:$G,0))&amp;""="",INDEX(Log!$A:$A,MATCH(D368,Log!$G:$G,0))&amp;"",INDEX(Log!$I:$I,MATCH(D368,Log!$G:$G,0))&amp;""),IF(AND(LEN(D368)=4,LEFT(D368,1)="L",ISNUMBER(VALUE(MID(D368,2,3)))),"ID não encontrado no Log","")))</f>
        <v/>
      </c>
      <c r="J368" s="5"/>
    </row>
    <row r="369" customFormat="false" ht="15" hidden="false" customHeight="false" outlineLevel="0" collapsed="false">
      <c r="A369" s="18"/>
      <c r="B369" s="5"/>
      <c r="C369" s="5"/>
      <c r="D369" s="5"/>
      <c r="E369" s="5"/>
      <c r="F369" s="5"/>
      <c r="G369" s="14"/>
      <c r="H369" s="14"/>
      <c r="I369" s="19" t="str">
        <f aca="false">IF(D369="","",IFERROR(IF(INDEX(Log!$I:$I,MATCH(D369,Log!$G:$G,0))&amp;""="",INDEX(Log!$A:$A,MATCH(D369,Log!$G:$G,0))&amp;"",INDEX(Log!$I:$I,MATCH(D369,Log!$G:$G,0))&amp;""),IF(AND(LEN(D369)=4,LEFT(D369,1)="L",ISNUMBER(VALUE(MID(D369,2,3)))),"ID não encontrado no Log","")))</f>
        <v/>
      </c>
      <c r="J369" s="5"/>
    </row>
    <row r="370" customFormat="false" ht="15" hidden="false" customHeight="false" outlineLevel="0" collapsed="false">
      <c r="A370" s="18"/>
      <c r="B370" s="5"/>
      <c r="C370" s="5"/>
      <c r="D370" s="5"/>
      <c r="E370" s="5"/>
      <c r="F370" s="5"/>
      <c r="G370" s="14"/>
      <c r="H370" s="14"/>
      <c r="I370" s="19" t="str">
        <f aca="false">IF(D370="","",IFERROR(IF(INDEX(Log!$I:$I,MATCH(D370,Log!$G:$G,0))&amp;""="",INDEX(Log!$A:$A,MATCH(D370,Log!$G:$G,0))&amp;"",INDEX(Log!$I:$I,MATCH(D370,Log!$G:$G,0))&amp;""),IF(AND(LEN(D370)=4,LEFT(D370,1)="L",ISNUMBER(VALUE(MID(D370,2,3)))),"ID não encontrado no Log","")))</f>
        <v/>
      </c>
      <c r="J370" s="5"/>
    </row>
    <row r="371" customFormat="false" ht="15" hidden="false" customHeight="false" outlineLevel="0" collapsed="false">
      <c r="A371" s="18"/>
      <c r="B371" s="5"/>
      <c r="C371" s="5"/>
      <c r="D371" s="5"/>
      <c r="E371" s="5"/>
      <c r="F371" s="5"/>
      <c r="G371" s="14"/>
      <c r="H371" s="14"/>
      <c r="I371" s="19" t="str">
        <f aca="false">IF(D371="","",IFERROR(IF(INDEX(Log!$I:$I,MATCH(D371,Log!$G:$G,0))&amp;""="",INDEX(Log!$A:$A,MATCH(D371,Log!$G:$G,0))&amp;"",INDEX(Log!$I:$I,MATCH(D371,Log!$G:$G,0))&amp;""),IF(AND(LEN(D371)=4,LEFT(D371,1)="L",ISNUMBER(VALUE(MID(D371,2,3)))),"ID não encontrado no Log","")))</f>
        <v/>
      </c>
      <c r="J371" s="5"/>
    </row>
    <row r="372" customFormat="false" ht="15" hidden="false" customHeight="false" outlineLevel="0" collapsed="false">
      <c r="A372" s="18"/>
      <c r="B372" s="5"/>
      <c r="C372" s="5"/>
      <c r="D372" s="5"/>
      <c r="E372" s="5"/>
      <c r="F372" s="5"/>
      <c r="G372" s="14"/>
      <c r="H372" s="14"/>
      <c r="I372" s="19" t="str">
        <f aca="false">IF(D372="","",IFERROR(IF(INDEX(Log!$I:$I,MATCH(D372,Log!$G:$G,0))&amp;""="",INDEX(Log!$A:$A,MATCH(D372,Log!$G:$G,0))&amp;"",INDEX(Log!$I:$I,MATCH(D372,Log!$G:$G,0))&amp;""),IF(AND(LEN(D372)=4,LEFT(D372,1)="L",ISNUMBER(VALUE(MID(D372,2,3)))),"ID não encontrado no Log","")))</f>
        <v/>
      </c>
      <c r="J372" s="5"/>
    </row>
    <row r="373" customFormat="false" ht="15" hidden="false" customHeight="false" outlineLevel="0" collapsed="false">
      <c r="A373" s="18"/>
      <c r="B373" s="5"/>
      <c r="C373" s="5"/>
      <c r="D373" s="5"/>
      <c r="E373" s="5"/>
      <c r="F373" s="5"/>
      <c r="G373" s="14"/>
      <c r="H373" s="14"/>
      <c r="I373" s="19" t="str">
        <f aca="false">IF(D373="","",IFERROR(IF(INDEX(Log!$I:$I,MATCH(D373,Log!$G:$G,0))&amp;""="",INDEX(Log!$A:$A,MATCH(D373,Log!$G:$G,0))&amp;"",INDEX(Log!$I:$I,MATCH(D373,Log!$G:$G,0))&amp;""),IF(AND(LEN(D373)=4,LEFT(D373,1)="L",ISNUMBER(VALUE(MID(D373,2,3)))),"ID não encontrado no Log","")))</f>
        <v/>
      </c>
      <c r="J373" s="5"/>
    </row>
    <row r="374" customFormat="false" ht="15" hidden="false" customHeight="false" outlineLevel="0" collapsed="false">
      <c r="A374" s="18"/>
      <c r="B374" s="5"/>
      <c r="C374" s="5"/>
      <c r="D374" s="5"/>
      <c r="E374" s="5"/>
      <c r="F374" s="5"/>
      <c r="G374" s="14"/>
      <c r="H374" s="14"/>
      <c r="I374" s="19" t="str">
        <f aca="false">IF(D374="","",IFERROR(IF(INDEX(Log!$I:$I,MATCH(D374,Log!$G:$G,0))&amp;""="",INDEX(Log!$A:$A,MATCH(D374,Log!$G:$G,0))&amp;"",INDEX(Log!$I:$I,MATCH(D374,Log!$G:$G,0))&amp;""),IF(AND(LEN(D374)=4,LEFT(D374,1)="L",ISNUMBER(VALUE(MID(D374,2,3)))),"ID não encontrado no Log","")))</f>
        <v/>
      </c>
      <c r="J374" s="5"/>
    </row>
    <row r="375" customFormat="false" ht="15" hidden="false" customHeight="false" outlineLevel="0" collapsed="false">
      <c r="A375" s="18"/>
      <c r="B375" s="5"/>
      <c r="C375" s="5"/>
      <c r="D375" s="5"/>
      <c r="E375" s="5"/>
      <c r="F375" s="5"/>
      <c r="G375" s="14"/>
      <c r="H375" s="14"/>
      <c r="I375" s="19" t="str">
        <f aca="false">IF(D375="","",IFERROR(IF(INDEX(Log!$I:$I,MATCH(D375,Log!$G:$G,0))&amp;""="",INDEX(Log!$A:$A,MATCH(D375,Log!$G:$G,0))&amp;"",INDEX(Log!$I:$I,MATCH(D375,Log!$G:$G,0))&amp;""),IF(AND(LEN(D375)=4,LEFT(D375,1)="L",ISNUMBER(VALUE(MID(D375,2,3)))),"ID não encontrado no Log","")))</f>
        <v/>
      </c>
      <c r="J375" s="5"/>
    </row>
    <row r="376" customFormat="false" ht="15" hidden="false" customHeight="false" outlineLevel="0" collapsed="false">
      <c r="A376" s="18"/>
      <c r="B376" s="5"/>
      <c r="C376" s="5"/>
      <c r="D376" s="5"/>
      <c r="E376" s="5"/>
      <c r="F376" s="5"/>
      <c r="G376" s="14"/>
      <c r="H376" s="14"/>
      <c r="I376" s="19" t="str">
        <f aca="false">IF(D376="","",IFERROR(IF(INDEX(Log!$I:$I,MATCH(D376,Log!$G:$G,0))&amp;""="",INDEX(Log!$A:$A,MATCH(D376,Log!$G:$G,0))&amp;"",INDEX(Log!$I:$I,MATCH(D376,Log!$G:$G,0))&amp;""),IF(AND(LEN(D376)=4,LEFT(D376,1)="L",ISNUMBER(VALUE(MID(D376,2,3)))),"ID não encontrado no Log","")))</f>
        <v/>
      </c>
      <c r="J376" s="5"/>
    </row>
    <row r="377" customFormat="false" ht="15" hidden="false" customHeight="false" outlineLevel="0" collapsed="false">
      <c r="A377" s="18"/>
      <c r="B377" s="5"/>
      <c r="C377" s="5"/>
      <c r="D377" s="5"/>
      <c r="E377" s="5"/>
      <c r="F377" s="5"/>
      <c r="G377" s="14"/>
      <c r="H377" s="14"/>
      <c r="I377" s="19" t="str">
        <f aca="false">IF(D377="","",IFERROR(IF(INDEX(Log!$I:$I,MATCH(D377,Log!$G:$G,0))&amp;""="",INDEX(Log!$A:$A,MATCH(D377,Log!$G:$G,0))&amp;"",INDEX(Log!$I:$I,MATCH(D377,Log!$G:$G,0))&amp;""),IF(AND(LEN(D377)=4,LEFT(D377,1)="L",ISNUMBER(VALUE(MID(D377,2,3)))),"ID não encontrado no Log","")))</f>
        <v/>
      </c>
      <c r="J377" s="5"/>
    </row>
    <row r="378" customFormat="false" ht="15" hidden="false" customHeight="false" outlineLevel="0" collapsed="false">
      <c r="A378" s="18"/>
      <c r="B378" s="5"/>
      <c r="C378" s="5"/>
      <c r="D378" s="5"/>
      <c r="E378" s="5"/>
      <c r="F378" s="5"/>
      <c r="G378" s="14"/>
      <c r="H378" s="14"/>
      <c r="I378" s="19" t="str">
        <f aca="false">IF(D378="","",IFERROR(IF(INDEX(Log!$I:$I,MATCH(D378,Log!$G:$G,0))&amp;""="",INDEX(Log!$A:$A,MATCH(D378,Log!$G:$G,0))&amp;"",INDEX(Log!$I:$I,MATCH(D378,Log!$G:$G,0))&amp;""),IF(AND(LEN(D378)=4,LEFT(D378,1)="L",ISNUMBER(VALUE(MID(D378,2,3)))),"ID não encontrado no Log","")))</f>
        <v/>
      </c>
      <c r="J378" s="5"/>
    </row>
    <row r="379" customFormat="false" ht="15" hidden="false" customHeight="false" outlineLevel="0" collapsed="false">
      <c r="A379" s="18"/>
      <c r="B379" s="5"/>
      <c r="C379" s="5"/>
      <c r="D379" s="5"/>
      <c r="E379" s="5"/>
      <c r="F379" s="5"/>
      <c r="G379" s="14"/>
      <c r="H379" s="14"/>
      <c r="I379" s="19" t="str">
        <f aca="false">IF(D379="","",IFERROR(IF(INDEX(Log!$I:$I,MATCH(D379,Log!$G:$G,0))&amp;""="",INDEX(Log!$A:$A,MATCH(D379,Log!$G:$G,0))&amp;"",INDEX(Log!$I:$I,MATCH(D379,Log!$G:$G,0))&amp;""),IF(AND(LEN(D379)=4,LEFT(D379,1)="L",ISNUMBER(VALUE(MID(D379,2,3)))),"ID não encontrado no Log","")))</f>
        <v/>
      </c>
      <c r="J379" s="5"/>
    </row>
    <row r="380" customFormat="false" ht="15" hidden="false" customHeight="false" outlineLevel="0" collapsed="false">
      <c r="A380" s="18"/>
      <c r="B380" s="5"/>
      <c r="C380" s="5"/>
      <c r="D380" s="5"/>
      <c r="E380" s="5"/>
      <c r="F380" s="5"/>
      <c r="G380" s="14"/>
      <c r="H380" s="14"/>
      <c r="I380" s="19" t="str">
        <f aca="false">IF(D380="","",IFERROR(IF(INDEX(Log!$I:$I,MATCH(D380,Log!$G:$G,0))&amp;""="",INDEX(Log!$A:$A,MATCH(D380,Log!$G:$G,0))&amp;"",INDEX(Log!$I:$I,MATCH(D380,Log!$G:$G,0))&amp;""),IF(AND(LEN(D380)=4,LEFT(D380,1)="L",ISNUMBER(VALUE(MID(D380,2,3)))),"ID não encontrado no Log","")))</f>
        <v/>
      </c>
      <c r="J380" s="5"/>
    </row>
    <row r="381" customFormat="false" ht="15" hidden="false" customHeight="false" outlineLevel="0" collapsed="false">
      <c r="A381" s="18"/>
      <c r="B381" s="5"/>
      <c r="C381" s="5"/>
      <c r="D381" s="5"/>
      <c r="E381" s="5"/>
      <c r="F381" s="5"/>
      <c r="G381" s="14"/>
      <c r="H381" s="14"/>
      <c r="I381" s="19" t="str">
        <f aca="false">IF(D381="","",IFERROR(IF(INDEX(Log!$I:$I,MATCH(D381,Log!$G:$G,0))&amp;""="",INDEX(Log!$A:$A,MATCH(D381,Log!$G:$G,0))&amp;"",INDEX(Log!$I:$I,MATCH(D381,Log!$G:$G,0))&amp;""),IF(AND(LEN(D381)=4,LEFT(D381,1)="L",ISNUMBER(VALUE(MID(D381,2,3)))),"ID não encontrado no Log","")))</f>
        <v/>
      </c>
      <c r="J381" s="5"/>
    </row>
    <row r="382" customFormat="false" ht="15" hidden="false" customHeight="false" outlineLevel="0" collapsed="false">
      <c r="A382" s="18"/>
      <c r="B382" s="5"/>
      <c r="C382" s="5"/>
      <c r="D382" s="5"/>
      <c r="E382" s="5"/>
      <c r="F382" s="5"/>
      <c r="G382" s="14"/>
      <c r="H382" s="14"/>
      <c r="I382" s="19" t="str">
        <f aca="false">IF(D382="","",IFERROR(IF(INDEX(Log!$I:$I,MATCH(D382,Log!$G:$G,0))&amp;""="",INDEX(Log!$A:$A,MATCH(D382,Log!$G:$G,0))&amp;"",INDEX(Log!$I:$I,MATCH(D382,Log!$G:$G,0))&amp;""),IF(AND(LEN(D382)=4,LEFT(D382,1)="L",ISNUMBER(VALUE(MID(D382,2,3)))),"ID não encontrado no Log","")))</f>
        <v/>
      </c>
      <c r="J382" s="5"/>
    </row>
    <row r="383" customFormat="false" ht="15" hidden="false" customHeight="false" outlineLevel="0" collapsed="false">
      <c r="A383" s="18"/>
      <c r="B383" s="5"/>
      <c r="C383" s="5"/>
      <c r="D383" s="5"/>
      <c r="E383" s="5"/>
      <c r="F383" s="5"/>
      <c r="G383" s="14"/>
      <c r="H383" s="14"/>
      <c r="I383" s="19" t="str">
        <f aca="false">IF(D383="","",IFERROR(IF(INDEX(Log!$I:$I,MATCH(D383,Log!$G:$G,0))&amp;""="",INDEX(Log!$A:$A,MATCH(D383,Log!$G:$G,0))&amp;"",INDEX(Log!$I:$I,MATCH(D383,Log!$G:$G,0))&amp;""),IF(AND(LEN(D383)=4,LEFT(D383,1)="L",ISNUMBER(VALUE(MID(D383,2,3)))),"ID não encontrado no Log","")))</f>
        <v/>
      </c>
      <c r="J383" s="5"/>
    </row>
    <row r="384" customFormat="false" ht="15" hidden="false" customHeight="false" outlineLevel="0" collapsed="false">
      <c r="A384" s="18"/>
      <c r="B384" s="5"/>
      <c r="C384" s="5"/>
      <c r="D384" s="5"/>
      <c r="E384" s="5"/>
      <c r="F384" s="5"/>
      <c r="G384" s="14"/>
      <c r="H384" s="14"/>
      <c r="I384" s="19" t="str">
        <f aca="false">IF(D384="","",IFERROR(IF(INDEX(Log!$I:$I,MATCH(D384,Log!$G:$G,0))&amp;""="",INDEX(Log!$A:$A,MATCH(D384,Log!$G:$G,0))&amp;"",INDEX(Log!$I:$I,MATCH(D384,Log!$G:$G,0))&amp;""),IF(AND(LEN(D384)=4,LEFT(D384,1)="L",ISNUMBER(VALUE(MID(D384,2,3)))),"ID não encontrado no Log","")))</f>
        <v/>
      </c>
      <c r="J384" s="5"/>
    </row>
    <row r="385" customFormat="false" ht="15" hidden="false" customHeight="false" outlineLevel="0" collapsed="false">
      <c r="A385" s="18"/>
      <c r="B385" s="5"/>
      <c r="C385" s="5"/>
      <c r="D385" s="5"/>
      <c r="E385" s="5"/>
      <c r="F385" s="5"/>
      <c r="G385" s="14"/>
      <c r="H385" s="14"/>
      <c r="I385" s="19" t="str">
        <f aca="false">IF(D385="","",IFERROR(IF(INDEX(Log!$I:$I,MATCH(D385,Log!$G:$G,0))&amp;""="",INDEX(Log!$A:$A,MATCH(D385,Log!$G:$G,0))&amp;"",INDEX(Log!$I:$I,MATCH(D385,Log!$G:$G,0))&amp;""),IF(AND(LEN(D385)=4,LEFT(D385,1)="L",ISNUMBER(VALUE(MID(D385,2,3)))),"ID não encontrado no Log","")))</f>
        <v/>
      </c>
      <c r="J385" s="5"/>
    </row>
    <row r="386" customFormat="false" ht="15" hidden="false" customHeight="false" outlineLevel="0" collapsed="false">
      <c r="A386" s="18"/>
      <c r="B386" s="5"/>
      <c r="C386" s="5"/>
      <c r="D386" s="5"/>
      <c r="E386" s="5"/>
      <c r="F386" s="5"/>
      <c r="G386" s="14"/>
      <c r="H386" s="14"/>
      <c r="I386" s="19" t="str">
        <f aca="false">IF(D386="","",IFERROR(IF(INDEX(Log!$I:$I,MATCH(D386,Log!$G:$G,0))&amp;""="",INDEX(Log!$A:$A,MATCH(D386,Log!$G:$G,0))&amp;"",INDEX(Log!$I:$I,MATCH(D386,Log!$G:$G,0))&amp;""),IF(AND(LEN(D386)=4,LEFT(D386,1)="L",ISNUMBER(VALUE(MID(D386,2,3)))),"ID não encontrado no Log","")))</f>
        <v/>
      </c>
      <c r="J386" s="5"/>
    </row>
    <row r="387" customFormat="false" ht="15" hidden="false" customHeight="false" outlineLevel="0" collapsed="false">
      <c r="A387" s="18"/>
      <c r="B387" s="5"/>
      <c r="C387" s="5"/>
      <c r="D387" s="5"/>
      <c r="E387" s="5"/>
      <c r="F387" s="5"/>
      <c r="G387" s="14"/>
      <c r="H387" s="14"/>
      <c r="I387" s="19" t="str">
        <f aca="false">IF(D387="","",IFERROR(IF(INDEX(Log!$I:$I,MATCH(D387,Log!$G:$G,0))&amp;""="",INDEX(Log!$A:$A,MATCH(D387,Log!$G:$G,0))&amp;"",INDEX(Log!$I:$I,MATCH(D387,Log!$G:$G,0))&amp;""),IF(AND(LEN(D387)=4,LEFT(D387,1)="L",ISNUMBER(VALUE(MID(D387,2,3)))),"ID não encontrado no Log","")))</f>
        <v/>
      </c>
      <c r="J387" s="5"/>
    </row>
    <row r="388" customFormat="false" ht="15" hidden="false" customHeight="false" outlineLevel="0" collapsed="false">
      <c r="A388" s="18"/>
      <c r="B388" s="5"/>
      <c r="C388" s="5"/>
      <c r="D388" s="5"/>
      <c r="E388" s="5"/>
      <c r="F388" s="5"/>
      <c r="G388" s="14"/>
      <c r="H388" s="14"/>
      <c r="I388" s="19" t="str">
        <f aca="false">IF(D388="","",IFERROR(IF(INDEX(Log!$I:$I,MATCH(D388,Log!$G:$G,0))&amp;""="",INDEX(Log!$A:$A,MATCH(D388,Log!$G:$G,0))&amp;"",INDEX(Log!$I:$I,MATCH(D388,Log!$G:$G,0))&amp;""),IF(AND(LEN(D388)=4,LEFT(D388,1)="L",ISNUMBER(VALUE(MID(D388,2,3)))),"ID não encontrado no Log","")))</f>
        <v/>
      </c>
      <c r="J388" s="5"/>
    </row>
    <row r="389" customFormat="false" ht="15" hidden="false" customHeight="false" outlineLevel="0" collapsed="false">
      <c r="A389" s="18"/>
      <c r="B389" s="5"/>
      <c r="C389" s="5"/>
      <c r="D389" s="5"/>
      <c r="E389" s="5"/>
      <c r="F389" s="5"/>
      <c r="G389" s="14"/>
      <c r="H389" s="14"/>
      <c r="I389" s="19" t="str">
        <f aca="false">IF(D389="","",IFERROR(IF(INDEX(Log!$I:$I,MATCH(D389,Log!$G:$G,0))&amp;""="",INDEX(Log!$A:$A,MATCH(D389,Log!$G:$G,0))&amp;"",INDEX(Log!$I:$I,MATCH(D389,Log!$G:$G,0))&amp;""),IF(AND(LEN(D389)=4,LEFT(D389,1)="L",ISNUMBER(VALUE(MID(D389,2,3)))),"ID não encontrado no Log","")))</f>
        <v/>
      </c>
      <c r="J389" s="5"/>
    </row>
    <row r="390" customFormat="false" ht="15" hidden="false" customHeight="false" outlineLevel="0" collapsed="false">
      <c r="A390" s="18"/>
      <c r="B390" s="5"/>
      <c r="C390" s="5"/>
      <c r="D390" s="5"/>
      <c r="E390" s="5"/>
      <c r="F390" s="5"/>
      <c r="G390" s="14"/>
      <c r="H390" s="14"/>
      <c r="I390" s="19" t="str">
        <f aca="false">IF(D390="","",IFERROR(IF(INDEX(Log!$I:$I,MATCH(D390,Log!$G:$G,0))&amp;""="",INDEX(Log!$A:$A,MATCH(D390,Log!$G:$G,0))&amp;"",INDEX(Log!$I:$I,MATCH(D390,Log!$G:$G,0))&amp;""),IF(AND(LEN(D390)=4,LEFT(D390,1)="L",ISNUMBER(VALUE(MID(D390,2,3)))),"ID não encontrado no Log","")))</f>
        <v/>
      </c>
      <c r="J390" s="5"/>
    </row>
    <row r="391" customFormat="false" ht="15" hidden="false" customHeight="false" outlineLevel="0" collapsed="false">
      <c r="A391" s="18"/>
      <c r="B391" s="5"/>
      <c r="C391" s="5"/>
      <c r="D391" s="5"/>
      <c r="E391" s="5"/>
      <c r="F391" s="5"/>
      <c r="G391" s="14"/>
      <c r="H391" s="14"/>
      <c r="I391" s="19" t="str">
        <f aca="false">IF(D391="","",IFERROR(IF(INDEX(Log!$I:$I,MATCH(D391,Log!$G:$G,0))&amp;""="",INDEX(Log!$A:$A,MATCH(D391,Log!$G:$G,0))&amp;"",INDEX(Log!$I:$I,MATCH(D391,Log!$G:$G,0))&amp;""),IF(AND(LEN(D391)=4,LEFT(D391,1)="L",ISNUMBER(VALUE(MID(D391,2,3)))),"ID não encontrado no Log","")))</f>
        <v/>
      </c>
      <c r="J391" s="5"/>
    </row>
    <row r="392" customFormat="false" ht="15" hidden="false" customHeight="false" outlineLevel="0" collapsed="false">
      <c r="A392" s="18"/>
      <c r="B392" s="5"/>
      <c r="C392" s="5"/>
      <c r="D392" s="5"/>
      <c r="E392" s="5"/>
      <c r="F392" s="5"/>
      <c r="G392" s="14"/>
      <c r="H392" s="14"/>
      <c r="I392" s="19" t="str">
        <f aca="false">IF(D392="","",IFERROR(IF(INDEX(Log!$I:$I,MATCH(D392,Log!$G:$G,0))&amp;""="",INDEX(Log!$A:$A,MATCH(D392,Log!$G:$G,0))&amp;"",INDEX(Log!$I:$I,MATCH(D392,Log!$G:$G,0))&amp;""),IF(AND(LEN(D392)=4,LEFT(D392,1)="L",ISNUMBER(VALUE(MID(D392,2,3)))),"ID não encontrado no Log","")))</f>
        <v/>
      </c>
      <c r="J392" s="5"/>
    </row>
    <row r="393" customFormat="false" ht="15" hidden="false" customHeight="false" outlineLevel="0" collapsed="false">
      <c r="A393" s="18"/>
      <c r="B393" s="5"/>
      <c r="C393" s="5"/>
      <c r="D393" s="5"/>
      <c r="E393" s="5"/>
      <c r="F393" s="5"/>
      <c r="G393" s="14"/>
      <c r="H393" s="14"/>
      <c r="I393" s="19" t="str">
        <f aca="false">IF(D393="","",IFERROR(IF(INDEX(Log!$I:$I,MATCH(D393,Log!$G:$G,0))&amp;""="",INDEX(Log!$A:$A,MATCH(D393,Log!$G:$G,0))&amp;"",INDEX(Log!$I:$I,MATCH(D393,Log!$G:$G,0))&amp;""),IF(AND(LEN(D393)=4,LEFT(D393,1)="L",ISNUMBER(VALUE(MID(D393,2,3)))),"ID não encontrado no Log","")))</f>
        <v/>
      </c>
      <c r="J393" s="5"/>
    </row>
    <row r="394" customFormat="false" ht="15" hidden="false" customHeight="false" outlineLevel="0" collapsed="false">
      <c r="A394" s="18"/>
      <c r="B394" s="5"/>
      <c r="C394" s="5"/>
      <c r="D394" s="5"/>
      <c r="E394" s="5"/>
      <c r="F394" s="5"/>
      <c r="G394" s="14"/>
      <c r="H394" s="14"/>
      <c r="I394" s="19" t="str">
        <f aca="false">IF(D394="","",IFERROR(IF(INDEX(Log!$I:$I,MATCH(D394,Log!$G:$G,0))&amp;""="",INDEX(Log!$A:$A,MATCH(D394,Log!$G:$G,0))&amp;"",INDEX(Log!$I:$I,MATCH(D394,Log!$G:$G,0))&amp;""),IF(AND(LEN(D394)=4,LEFT(D394,1)="L",ISNUMBER(VALUE(MID(D394,2,3)))),"ID não encontrado no Log","")))</f>
        <v/>
      </c>
      <c r="J394" s="5"/>
    </row>
    <row r="395" customFormat="false" ht="15" hidden="false" customHeight="false" outlineLevel="0" collapsed="false">
      <c r="A395" s="18"/>
      <c r="B395" s="5"/>
      <c r="C395" s="5"/>
      <c r="D395" s="5"/>
      <c r="E395" s="5"/>
      <c r="F395" s="5"/>
      <c r="G395" s="14"/>
      <c r="H395" s="14"/>
      <c r="I395" s="19" t="str">
        <f aca="false">IF(D395="","",IFERROR(IF(INDEX(Log!$I:$I,MATCH(D395,Log!$G:$G,0))&amp;""="",INDEX(Log!$A:$A,MATCH(D395,Log!$G:$G,0))&amp;"",INDEX(Log!$I:$I,MATCH(D395,Log!$G:$G,0))&amp;""),IF(AND(LEN(D395)=4,LEFT(D395,1)="L",ISNUMBER(VALUE(MID(D395,2,3)))),"ID não encontrado no Log","")))</f>
        <v/>
      </c>
      <c r="J395" s="5"/>
    </row>
    <row r="396" customFormat="false" ht="15" hidden="false" customHeight="false" outlineLevel="0" collapsed="false">
      <c r="A396" s="18"/>
      <c r="B396" s="5"/>
      <c r="C396" s="5"/>
      <c r="D396" s="5"/>
      <c r="E396" s="5"/>
      <c r="F396" s="5"/>
      <c r="G396" s="14"/>
      <c r="H396" s="14"/>
      <c r="I396" s="19" t="str">
        <f aca="false">IF(D396="","",IFERROR(IF(INDEX(Log!$I:$I,MATCH(D396,Log!$G:$G,0))&amp;""="",INDEX(Log!$A:$A,MATCH(D396,Log!$G:$G,0))&amp;"",INDEX(Log!$I:$I,MATCH(D396,Log!$G:$G,0))&amp;""),IF(AND(LEN(D396)=4,LEFT(D396,1)="L",ISNUMBER(VALUE(MID(D396,2,3)))),"ID não encontrado no Log","")))</f>
        <v/>
      </c>
      <c r="J396" s="5"/>
    </row>
    <row r="397" customFormat="false" ht="15" hidden="false" customHeight="false" outlineLevel="0" collapsed="false">
      <c r="A397" s="18"/>
      <c r="B397" s="5"/>
      <c r="C397" s="5"/>
      <c r="D397" s="5"/>
      <c r="E397" s="5"/>
      <c r="F397" s="5"/>
      <c r="G397" s="14"/>
      <c r="H397" s="14"/>
      <c r="I397" s="19" t="str">
        <f aca="false">IF(D397="","",IFERROR(IF(INDEX(Log!$I:$I,MATCH(D397,Log!$G:$G,0))&amp;""="",INDEX(Log!$A:$A,MATCH(D397,Log!$G:$G,0))&amp;"",INDEX(Log!$I:$I,MATCH(D397,Log!$G:$G,0))&amp;""),IF(AND(LEN(D397)=4,LEFT(D397,1)="L",ISNUMBER(VALUE(MID(D397,2,3)))),"ID não encontrado no Log","")))</f>
        <v/>
      </c>
      <c r="J397" s="5"/>
    </row>
    <row r="398" customFormat="false" ht="15" hidden="false" customHeight="false" outlineLevel="0" collapsed="false">
      <c r="A398" s="18"/>
      <c r="B398" s="5"/>
      <c r="C398" s="5"/>
      <c r="D398" s="5"/>
      <c r="E398" s="5"/>
      <c r="F398" s="5"/>
      <c r="G398" s="14"/>
      <c r="H398" s="14"/>
      <c r="I398" s="19" t="str">
        <f aca="false">IF(D398="","",IFERROR(IF(INDEX(Log!$I:$I,MATCH(D398,Log!$G:$G,0))&amp;""="",INDEX(Log!$A:$A,MATCH(D398,Log!$G:$G,0))&amp;"",INDEX(Log!$I:$I,MATCH(D398,Log!$G:$G,0))&amp;""),IF(AND(LEN(D398)=4,LEFT(D398,1)="L",ISNUMBER(VALUE(MID(D398,2,3)))),"ID não encontrado no Log","")))</f>
        <v/>
      </c>
      <c r="J398" s="5"/>
    </row>
    <row r="399" customFormat="false" ht="15" hidden="false" customHeight="false" outlineLevel="0" collapsed="false">
      <c r="A399" s="18"/>
      <c r="B399" s="5"/>
      <c r="C399" s="5"/>
      <c r="D399" s="5"/>
      <c r="E399" s="5"/>
      <c r="F399" s="5"/>
      <c r="G399" s="14"/>
      <c r="H399" s="14"/>
      <c r="I399" s="19" t="str">
        <f aca="false">IF(D399="","",IFERROR(IF(INDEX(Log!$I:$I,MATCH(D399,Log!$G:$G,0))&amp;""="",INDEX(Log!$A:$A,MATCH(D399,Log!$G:$G,0))&amp;"",INDEX(Log!$I:$I,MATCH(D399,Log!$G:$G,0))&amp;""),IF(AND(LEN(D399)=4,LEFT(D399,1)="L",ISNUMBER(VALUE(MID(D399,2,3)))),"ID não encontrado no Log","")))</f>
        <v/>
      </c>
      <c r="J399" s="5"/>
    </row>
    <row r="400" customFormat="false" ht="15" hidden="false" customHeight="false" outlineLevel="0" collapsed="false">
      <c r="A400" s="18"/>
      <c r="B400" s="5"/>
      <c r="C400" s="5"/>
      <c r="D400" s="5"/>
      <c r="E400" s="5"/>
      <c r="F400" s="5"/>
      <c r="G400" s="14"/>
      <c r="H400" s="14"/>
      <c r="I400" s="19" t="str">
        <f aca="false">IF(D400="","",IFERROR(IF(INDEX(Log!$I:$I,MATCH(D400,Log!$G:$G,0))&amp;""="",INDEX(Log!$A:$A,MATCH(D400,Log!$G:$G,0))&amp;"",INDEX(Log!$I:$I,MATCH(D400,Log!$G:$G,0))&amp;""),IF(AND(LEN(D400)=4,LEFT(D400,1)="L",ISNUMBER(VALUE(MID(D400,2,3)))),"ID não encontrado no Log","")))</f>
        <v/>
      </c>
      <c r="J400" s="5"/>
    </row>
    <row r="401" customFormat="false" ht="15" hidden="false" customHeight="false" outlineLevel="0" collapsed="false">
      <c r="A401" s="18"/>
      <c r="B401" s="5"/>
      <c r="C401" s="5"/>
      <c r="D401" s="5"/>
      <c r="E401" s="5"/>
      <c r="F401" s="5"/>
      <c r="G401" s="14"/>
      <c r="H401" s="14"/>
      <c r="I401" s="19" t="str">
        <f aca="false">IF(D401="","",IFERROR(IF(INDEX(Log!$I:$I,MATCH(D401,Log!$G:$G,0))&amp;""="",INDEX(Log!$A:$A,MATCH(D401,Log!$G:$G,0))&amp;"",INDEX(Log!$I:$I,MATCH(D401,Log!$G:$G,0))&amp;""),IF(AND(LEN(D401)=4,LEFT(D401,1)="L",ISNUMBER(VALUE(MID(D401,2,3)))),"ID não encontrado no Log","")))</f>
        <v/>
      </c>
      <c r="J401" s="5"/>
    </row>
    <row r="402" customFormat="false" ht="15" hidden="false" customHeight="false" outlineLevel="0" collapsed="false">
      <c r="A402" s="18"/>
      <c r="B402" s="5"/>
      <c r="C402" s="5"/>
      <c r="D402" s="5"/>
      <c r="E402" s="5"/>
      <c r="F402" s="5"/>
      <c r="G402" s="14"/>
      <c r="H402" s="14"/>
      <c r="I402" s="19" t="str">
        <f aca="false">IF(D402="","",IFERROR(IF(INDEX(Log!$I:$I,MATCH(D402,Log!$G:$G,0))&amp;""="",INDEX(Log!$A:$A,MATCH(D402,Log!$G:$G,0))&amp;"",INDEX(Log!$I:$I,MATCH(D402,Log!$G:$G,0))&amp;""),IF(AND(LEN(D402)=4,LEFT(D402,1)="L",ISNUMBER(VALUE(MID(D402,2,3)))),"ID não encontrado no Log","")))</f>
        <v/>
      </c>
      <c r="J402" s="5"/>
    </row>
    <row r="403" customFormat="false" ht="15" hidden="false" customHeight="false" outlineLevel="0" collapsed="false">
      <c r="A403" s="18"/>
      <c r="B403" s="5"/>
      <c r="C403" s="5"/>
      <c r="D403" s="5"/>
      <c r="E403" s="5"/>
      <c r="F403" s="5"/>
      <c r="G403" s="14"/>
      <c r="H403" s="14"/>
      <c r="I403" s="19" t="str">
        <f aca="false">IF(D403="","",IFERROR(IF(INDEX(Log!$I:$I,MATCH(D403,Log!$G:$G,0))&amp;""="",INDEX(Log!$A:$A,MATCH(D403,Log!$G:$G,0))&amp;"",INDEX(Log!$I:$I,MATCH(D403,Log!$G:$G,0))&amp;""),IF(AND(LEN(D403)=4,LEFT(D403,1)="L",ISNUMBER(VALUE(MID(D403,2,3)))),"ID não encontrado no Log","")))</f>
        <v/>
      </c>
      <c r="J403" s="5"/>
    </row>
    <row r="404" customFormat="false" ht="15" hidden="false" customHeight="false" outlineLevel="0" collapsed="false">
      <c r="A404" s="18"/>
      <c r="B404" s="5"/>
      <c r="C404" s="5"/>
      <c r="D404" s="5"/>
      <c r="E404" s="5"/>
      <c r="F404" s="5"/>
      <c r="G404" s="14"/>
      <c r="H404" s="14"/>
      <c r="I404" s="19" t="str">
        <f aca="false">IF(D404="","",IFERROR(IF(INDEX(Log!$I:$I,MATCH(D404,Log!$G:$G,0))&amp;""="",INDEX(Log!$A:$A,MATCH(D404,Log!$G:$G,0))&amp;"",INDEX(Log!$I:$I,MATCH(D404,Log!$G:$G,0))&amp;""),IF(AND(LEN(D404)=4,LEFT(D404,1)="L",ISNUMBER(VALUE(MID(D404,2,3)))),"ID não encontrado no Log","")))</f>
        <v/>
      </c>
      <c r="J404" s="5"/>
    </row>
    <row r="405" customFormat="false" ht="15" hidden="false" customHeight="false" outlineLevel="0" collapsed="false">
      <c r="A405" s="18"/>
      <c r="B405" s="5"/>
      <c r="C405" s="5"/>
      <c r="D405" s="5"/>
      <c r="E405" s="5"/>
      <c r="F405" s="5"/>
      <c r="G405" s="14"/>
      <c r="H405" s="14"/>
      <c r="I405" s="19" t="str">
        <f aca="false">IF(D405="","",IFERROR(IF(INDEX(Log!$I:$I,MATCH(D405,Log!$G:$G,0))&amp;""="",INDEX(Log!$A:$A,MATCH(D405,Log!$G:$G,0))&amp;"",INDEX(Log!$I:$I,MATCH(D405,Log!$G:$G,0))&amp;""),IF(AND(LEN(D405)=4,LEFT(D405,1)="L",ISNUMBER(VALUE(MID(D405,2,3)))),"ID não encontrado no Log","")))</f>
        <v/>
      </c>
      <c r="J405" s="5"/>
    </row>
    <row r="406" customFormat="false" ht="15" hidden="false" customHeight="false" outlineLevel="0" collapsed="false">
      <c r="A406" s="18"/>
      <c r="B406" s="5"/>
      <c r="C406" s="5"/>
      <c r="D406" s="5"/>
      <c r="E406" s="5"/>
      <c r="F406" s="5"/>
      <c r="G406" s="14"/>
      <c r="H406" s="14"/>
      <c r="I406" s="19" t="str">
        <f aca="false">IF(D406="","",IFERROR(IF(INDEX(Log!$I:$I,MATCH(D406,Log!$G:$G,0))&amp;""="",INDEX(Log!$A:$A,MATCH(D406,Log!$G:$G,0))&amp;"",INDEX(Log!$I:$I,MATCH(D406,Log!$G:$G,0))&amp;""),IF(AND(LEN(D406)=4,LEFT(D406,1)="L",ISNUMBER(VALUE(MID(D406,2,3)))),"ID não encontrado no Log","")))</f>
        <v/>
      </c>
      <c r="J406" s="5"/>
    </row>
    <row r="407" customFormat="false" ht="15" hidden="false" customHeight="false" outlineLevel="0" collapsed="false">
      <c r="A407" s="18"/>
      <c r="B407" s="5"/>
      <c r="C407" s="5"/>
      <c r="D407" s="5"/>
      <c r="E407" s="5"/>
      <c r="F407" s="5"/>
      <c r="G407" s="14"/>
      <c r="H407" s="14"/>
      <c r="I407" s="19" t="str">
        <f aca="false">IF(D407="","",IFERROR(IF(INDEX(Log!$I:$I,MATCH(D407,Log!$G:$G,0))&amp;""="",INDEX(Log!$A:$A,MATCH(D407,Log!$G:$G,0))&amp;"",INDEX(Log!$I:$I,MATCH(D407,Log!$G:$G,0))&amp;""),IF(AND(LEN(D407)=4,LEFT(D407,1)="L",ISNUMBER(VALUE(MID(D407,2,3)))),"ID não encontrado no Log","")))</f>
        <v/>
      </c>
      <c r="J407" s="5"/>
    </row>
    <row r="408" customFormat="false" ht="15" hidden="false" customHeight="false" outlineLevel="0" collapsed="false">
      <c r="A408" s="18"/>
      <c r="B408" s="5"/>
      <c r="C408" s="5"/>
      <c r="D408" s="5"/>
      <c r="E408" s="5"/>
      <c r="F408" s="5"/>
      <c r="G408" s="14"/>
      <c r="H408" s="14"/>
      <c r="I408" s="19" t="str">
        <f aca="false">IF(D408="","",IFERROR(IF(INDEX(Log!$I:$I,MATCH(D408,Log!$G:$G,0))&amp;""="",INDEX(Log!$A:$A,MATCH(D408,Log!$G:$G,0))&amp;"",INDEX(Log!$I:$I,MATCH(D408,Log!$G:$G,0))&amp;""),IF(AND(LEN(D408)=4,LEFT(D408,1)="L",ISNUMBER(VALUE(MID(D408,2,3)))),"ID não encontrado no Log","")))</f>
        <v/>
      </c>
      <c r="J408" s="5"/>
    </row>
    <row r="409" customFormat="false" ht="15" hidden="false" customHeight="false" outlineLevel="0" collapsed="false">
      <c r="A409" s="18"/>
      <c r="B409" s="5"/>
      <c r="C409" s="5"/>
      <c r="D409" s="5"/>
      <c r="E409" s="5"/>
      <c r="F409" s="5"/>
      <c r="G409" s="14"/>
      <c r="H409" s="14"/>
      <c r="I409" s="19" t="str">
        <f aca="false">IF(D409="","",IFERROR(IF(INDEX(Log!$I:$I,MATCH(D409,Log!$G:$G,0))&amp;""="",INDEX(Log!$A:$A,MATCH(D409,Log!$G:$G,0))&amp;"",INDEX(Log!$I:$I,MATCH(D409,Log!$G:$G,0))&amp;""),IF(AND(LEN(D409)=4,LEFT(D409,1)="L",ISNUMBER(VALUE(MID(D409,2,3)))),"ID não encontrado no Log","")))</f>
        <v/>
      </c>
      <c r="J409" s="5"/>
    </row>
    <row r="410" customFormat="false" ht="15" hidden="false" customHeight="false" outlineLevel="0" collapsed="false">
      <c r="A410" s="18"/>
      <c r="B410" s="5"/>
      <c r="C410" s="5"/>
      <c r="D410" s="5"/>
      <c r="E410" s="5"/>
      <c r="F410" s="5"/>
      <c r="G410" s="14"/>
      <c r="H410" s="14"/>
      <c r="I410" s="19" t="str">
        <f aca="false">IF(D410="","",IFERROR(IF(INDEX(Log!$I:$I,MATCH(D410,Log!$G:$G,0))&amp;""="",INDEX(Log!$A:$A,MATCH(D410,Log!$G:$G,0))&amp;"",INDEX(Log!$I:$I,MATCH(D410,Log!$G:$G,0))&amp;""),IF(AND(LEN(D410)=4,LEFT(D410,1)="L",ISNUMBER(VALUE(MID(D410,2,3)))),"ID não encontrado no Log","")))</f>
        <v/>
      </c>
      <c r="J410" s="5"/>
    </row>
    <row r="411" customFormat="false" ht="15" hidden="false" customHeight="false" outlineLevel="0" collapsed="false">
      <c r="A411" s="18"/>
      <c r="B411" s="5"/>
      <c r="C411" s="5"/>
      <c r="D411" s="5"/>
      <c r="E411" s="5"/>
      <c r="F411" s="5"/>
      <c r="G411" s="14"/>
      <c r="H411" s="14"/>
      <c r="I411" s="19" t="str">
        <f aca="false">IF(D411="","",IFERROR(IF(INDEX(Log!$I:$I,MATCH(D411,Log!$G:$G,0))&amp;""="",INDEX(Log!$A:$A,MATCH(D411,Log!$G:$G,0))&amp;"",INDEX(Log!$I:$I,MATCH(D411,Log!$G:$G,0))&amp;""),IF(AND(LEN(D411)=4,LEFT(D411,1)="L",ISNUMBER(VALUE(MID(D411,2,3)))),"ID não encontrado no Log","")))</f>
        <v/>
      </c>
      <c r="J411" s="5"/>
    </row>
    <row r="412" customFormat="false" ht="15" hidden="false" customHeight="false" outlineLevel="0" collapsed="false">
      <c r="A412" s="18"/>
      <c r="B412" s="5"/>
      <c r="C412" s="5"/>
      <c r="D412" s="5"/>
      <c r="E412" s="5"/>
      <c r="F412" s="5"/>
      <c r="G412" s="14"/>
      <c r="H412" s="14"/>
      <c r="I412" s="19" t="str">
        <f aca="false">IF(D412="","",IFERROR(IF(INDEX(Log!$I:$I,MATCH(D412,Log!$G:$G,0))&amp;""="",INDEX(Log!$A:$A,MATCH(D412,Log!$G:$G,0))&amp;"",INDEX(Log!$I:$I,MATCH(D412,Log!$G:$G,0))&amp;""),IF(AND(LEN(D412)=4,LEFT(D412,1)="L",ISNUMBER(VALUE(MID(D412,2,3)))),"ID não encontrado no Log","")))</f>
        <v/>
      </c>
      <c r="J412" s="5"/>
    </row>
    <row r="413" customFormat="false" ht="15" hidden="false" customHeight="false" outlineLevel="0" collapsed="false">
      <c r="A413" s="18"/>
      <c r="B413" s="5"/>
      <c r="C413" s="5"/>
      <c r="D413" s="5"/>
      <c r="E413" s="5"/>
      <c r="F413" s="5"/>
      <c r="G413" s="14"/>
      <c r="H413" s="14"/>
      <c r="I413" s="19" t="str">
        <f aca="false">IF(D413="","",IFERROR(IF(INDEX(Log!$I:$I,MATCH(D413,Log!$G:$G,0))&amp;""="",INDEX(Log!$A:$A,MATCH(D413,Log!$G:$G,0))&amp;"",INDEX(Log!$I:$I,MATCH(D413,Log!$G:$G,0))&amp;""),IF(AND(LEN(D413)=4,LEFT(D413,1)="L",ISNUMBER(VALUE(MID(D413,2,3)))),"ID não encontrado no Log","")))</f>
        <v/>
      </c>
      <c r="J413" s="5"/>
    </row>
    <row r="414" customFormat="false" ht="15" hidden="false" customHeight="false" outlineLevel="0" collapsed="false">
      <c r="A414" s="18"/>
      <c r="B414" s="5"/>
      <c r="C414" s="5"/>
      <c r="D414" s="5"/>
      <c r="E414" s="5"/>
      <c r="F414" s="5"/>
      <c r="G414" s="14"/>
      <c r="H414" s="14"/>
      <c r="I414" s="19" t="str">
        <f aca="false">IF(D414="","",IFERROR(IF(INDEX(Log!$I:$I,MATCH(D414,Log!$G:$G,0))&amp;""="",INDEX(Log!$A:$A,MATCH(D414,Log!$G:$G,0))&amp;"",INDEX(Log!$I:$I,MATCH(D414,Log!$G:$G,0))&amp;""),IF(AND(LEN(D414)=4,LEFT(D414,1)="L",ISNUMBER(VALUE(MID(D414,2,3)))),"ID não encontrado no Log","")))</f>
        <v/>
      </c>
      <c r="J414" s="5"/>
    </row>
    <row r="415" customFormat="false" ht="15" hidden="false" customHeight="false" outlineLevel="0" collapsed="false">
      <c r="A415" s="18"/>
      <c r="B415" s="5"/>
      <c r="C415" s="5"/>
      <c r="D415" s="5"/>
      <c r="E415" s="5"/>
      <c r="F415" s="5"/>
      <c r="G415" s="14"/>
      <c r="H415" s="14"/>
      <c r="I415" s="19" t="str">
        <f aca="false">IF(D415="","",IFERROR(IF(INDEX(Log!$I:$I,MATCH(D415,Log!$G:$G,0))&amp;""="",INDEX(Log!$A:$A,MATCH(D415,Log!$G:$G,0))&amp;"",INDEX(Log!$I:$I,MATCH(D415,Log!$G:$G,0))&amp;""),IF(AND(LEN(D415)=4,LEFT(D415,1)="L",ISNUMBER(VALUE(MID(D415,2,3)))),"ID não encontrado no Log","")))</f>
        <v/>
      </c>
      <c r="J415" s="5"/>
    </row>
    <row r="416" customFormat="false" ht="15" hidden="false" customHeight="false" outlineLevel="0" collapsed="false">
      <c r="A416" s="18"/>
      <c r="B416" s="5"/>
      <c r="C416" s="5"/>
      <c r="D416" s="5"/>
      <c r="E416" s="5"/>
      <c r="F416" s="5"/>
      <c r="G416" s="14"/>
      <c r="H416" s="14"/>
      <c r="I416" s="19" t="str">
        <f aca="false">IF(D416="","",IFERROR(IF(INDEX(Log!$I:$I,MATCH(D416,Log!$G:$G,0))&amp;""="",INDEX(Log!$A:$A,MATCH(D416,Log!$G:$G,0))&amp;"",INDEX(Log!$I:$I,MATCH(D416,Log!$G:$G,0))&amp;""),IF(AND(LEN(D416)=4,LEFT(D416,1)="L",ISNUMBER(VALUE(MID(D416,2,3)))),"ID não encontrado no Log","")))</f>
        <v/>
      </c>
      <c r="J416" s="5"/>
    </row>
    <row r="417" customFormat="false" ht="15" hidden="false" customHeight="false" outlineLevel="0" collapsed="false">
      <c r="A417" s="18"/>
      <c r="B417" s="5"/>
      <c r="C417" s="5"/>
      <c r="D417" s="5"/>
      <c r="E417" s="5"/>
      <c r="F417" s="5"/>
      <c r="G417" s="14"/>
      <c r="H417" s="14"/>
      <c r="I417" s="19" t="str">
        <f aca="false">IF(D417="","",IFERROR(IF(INDEX(Log!$I:$I,MATCH(D417,Log!$G:$G,0))&amp;""="",INDEX(Log!$A:$A,MATCH(D417,Log!$G:$G,0))&amp;"",INDEX(Log!$I:$I,MATCH(D417,Log!$G:$G,0))&amp;""),IF(AND(LEN(D417)=4,LEFT(D417,1)="L",ISNUMBER(VALUE(MID(D417,2,3)))),"ID não encontrado no Log","")))</f>
        <v/>
      </c>
      <c r="J417" s="5"/>
    </row>
    <row r="418" customFormat="false" ht="15" hidden="false" customHeight="false" outlineLevel="0" collapsed="false">
      <c r="A418" s="18"/>
      <c r="B418" s="5"/>
      <c r="C418" s="5"/>
      <c r="D418" s="5"/>
      <c r="E418" s="5"/>
      <c r="F418" s="5"/>
      <c r="G418" s="14"/>
      <c r="H418" s="14"/>
      <c r="I418" s="19" t="str">
        <f aca="false">IF(D418="","",IFERROR(IF(INDEX(Log!$I:$I,MATCH(D418,Log!$G:$G,0))&amp;""="",INDEX(Log!$A:$A,MATCH(D418,Log!$G:$G,0))&amp;"",INDEX(Log!$I:$I,MATCH(D418,Log!$G:$G,0))&amp;""),IF(AND(LEN(D418)=4,LEFT(D418,1)="L",ISNUMBER(VALUE(MID(D418,2,3)))),"ID não encontrado no Log","")))</f>
        <v/>
      </c>
      <c r="J418" s="5"/>
    </row>
    <row r="419" customFormat="false" ht="15" hidden="false" customHeight="false" outlineLevel="0" collapsed="false">
      <c r="A419" s="18"/>
      <c r="B419" s="5"/>
      <c r="C419" s="5"/>
      <c r="D419" s="5"/>
      <c r="E419" s="5"/>
      <c r="F419" s="5"/>
      <c r="G419" s="14"/>
      <c r="H419" s="14"/>
      <c r="I419" s="19" t="str">
        <f aca="false">IF(D419="","",IFERROR(IF(INDEX(Log!$I:$I,MATCH(D419,Log!$G:$G,0))&amp;""="",INDEX(Log!$A:$A,MATCH(D419,Log!$G:$G,0))&amp;"",INDEX(Log!$I:$I,MATCH(D419,Log!$G:$G,0))&amp;""),IF(AND(LEN(D419)=4,LEFT(D419,1)="L",ISNUMBER(VALUE(MID(D419,2,3)))),"ID não encontrado no Log","")))</f>
        <v/>
      </c>
      <c r="J419" s="5"/>
    </row>
    <row r="420" customFormat="false" ht="15" hidden="false" customHeight="false" outlineLevel="0" collapsed="false">
      <c r="A420" s="18"/>
      <c r="B420" s="5"/>
      <c r="C420" s="5"/>
      <c r="D420" s="5"/>
      <c r="E420" s="5"/>
      <c r="F420" s="5"/>
      <c r="G420" s="14"/>
      <c r="H420" s="14"/>
      <c r="I420" s="19" t="str">
        <f aca="false">IF(D420="","",IFERROR(IF(INDEX(Log!$I:$I,MATCH(D420,Log!$G:$G,0))&amp;""="",INDEX(Log!$A:$A,MATCH(D420,Log!$G:$G,0))&amp;"",INDEX(Log!$I:$I,MATCH(D420,Log!$G:$G,0))&amp;""),IF(AND(LEN(D420)=4,LEFT(D420,1)="L",ISNUMBER(VALUE(MID(D420,2,3)))),"ID não encontrado no Log","")))</f>
        <v/>
      </c>
      <c r="J420" s="5"/>
    </row>
    <row r="421" customFormat="false" ht="15" hidden="false" customHeight="false" outlineLevel="0" collapsed="false">
      <c r="A421" s="18"/>
      <c r="B421" s="5"/>
      <c r="C421" s="5"/>
      <c r="D421" s="5"/>
      <c r="E421" s="5"/>
      <c r="F421" s="5"/>
      <c r="G421" s="14"/>
      <c r="H421" s="14"/>
      <c r="I421" s="19" t="str">
        <f aca="false">IF(D421="","",IFERROR(IF(INDEX(Log!$I:$I,MATCH(D421,Log!$G:$G,0))&amp;""="",INDEX(Log!$A:$A,MATCH(D421,Log!$G:$G,0))&amp;"",INDEX(Log!$I:$I,MATCH(D421,Log!$G:$G,0))&amp;""),IF(AND(LEN(D421)=4,LEFT(D421,1)="L",ISNUMBER(VALUE(MID(D421,2,3)))),"ID não encontrado no Log","")))</f>
        <v/>
      </c>
      <c r="J421" s="5"/>
    </row>
    <row r="422" customFormat="false" ht="15" hidden="false" customHeight="false" outlineLevel="0" collapsed="false">
      <c r="A422" s="18"/>
      <c r="B422" s="5"/>
      <c r="C422" s="5"/>
      <c r="D422" s="5"/>
      <c r="E422" s="5"/>
      <c r="F422" s="5"/>
      <c r="G422" s="14"/>
      <c r="H422" s="14"/>
      <c r="I422" s="19" t="str">
        <f aca="false">IF(D422="","",IFERROR(IF(INDEX(Log!$I:$I,MATCH(D422,Log!$G:$G,0))&amp;""="",INDEX(Log!$A:$A,MATCH(D422,Log!$G:$G,0))&amp;"",INDEX(Log!$I:$I,MATCH(D422,Log!$G:$G,0))&amp;""),IF(AND(LEN(D422)=4,LEFT(D422,1)="L",ISNUMBER(VALUE(MID(D422,2,3)))),"ID não encontrado no Log","")))</f>
        <v/>
      </c>
      <c r="J422" s="5"/>
    </row>
    <row r="423" customFormat="false" ht="15" hidden="false" customHeight="false" outlineLevel="0" collapsed="false">
      <c r="A423" s="18"/>
      <c r="B423" s="5"/>
      <c r="C423" s="5"/>
      <c r="D423" s="5"/>
      <c r="E423" s="5"/>
      <c r="F423" s="5"/>
      <c r="G423" s="14"/>
      <c r="H423" s="14"/>
      <c r="I423" s="19" t="str">
        <f aca="false">IF(D423="","",IFERROR(IF(INDEX(Log!$I:$I,MATCH(D423,Log!$G:$G,0))&amp;""="",INDEX(Log!$A:$A,MATCH(D423,Log!$G:$G,0))&amp;"",INDEX(Log!$I:$I,MATCH(D423,Log!$G:$G,0))&amp;""),IF(AND(LEN(D423)=4,LEFT(D423,1)="L",ISNUMBER(VALUE(MID(D423,2,3)))),"ID não encontrado no Log","")))</f>
        <v/>
      </c>
      <c r="J423" s="5"/>
    </row>
    <row r="424" customFormat="false" ht="15" hidden="false" customHeight="false" outlineLevel="0" collapsed="false">
      <c r="A424" s="18"/>
      <c r="B424" s="5"/>
      <c r="C424" s="5"/>
      <c r="D424" s="5"/>
      <c r="E424" s="5"/>
      <c r="F424" s="5"/>
      <c r="G424" s="14"/>
      <c r="H424" s="14"/>
      <c r="I424" s="19" t="str">
        <f aca="false">IF(D424="","",IFERROR(IF(INDEX(Log!$I:$I,MATCH(D424,Log!$G:$G,0))&amp;""="",INDEX(Log!$A:$A,MATCH(D424,Log!$G:$G,0))&amp;"",INDEX(Log!$I:$I,MATCH(D424,Log!$G:$G,0))&amp;""),IF(AND(LEN(D424)=4,LEFT(D424,1)="L",ISNUMBER(VALUE(MID(D424,2,3)))),"ID não encontrado no Log","")))</f>
        <v/>
      </c>
      <c r="J424" s="5"/>
    </row>
    <row r="425" customFormat="false" ht="15" hidden="false" customHeight="false" outlineLevel="0" collapsed="false">
      <c r="A425" s="18"/>
      <c r="B425" s="5"/>
      <c r="C425" s="5"/>
      <c r="D425" s="5"/>
      <c r="E425" s="5"/>
      <c r="F425" s="5"/>
      <c r="G425" s="14"/>
      <c r="H425" s="14"/>
      <c r="I425" s="19" t="str">
        <f aca="false">IF(D425="","",IFERROR(IF(INDEX(Log!$I:$I,MATCH(D425,Log!$G:$G,0))&amp;""="",INDEX(Log!$A:$A,MATCH(D425,Log!$G:$G,0))&amp;"",INDEX(Log!$I:$I,MATCH(D425,Log!$G:$G,0))&amp;""),IF(AND(LEN(D425)=4,LEFT(D425,1)="L",ISNUMBER(VALUE(MID(D425,2,3)))),"ID não encontrado no Log","")))</f>
        <v/>
      </c>
      <c r="J425" s="5"/>
    </row>
    <row r="426" customFormat="false" ht="15" hidden="false" customHeight="false" outlineLevel="0" collapsed="false">
      <c r="A426" s="18"/>
      <c r="B426" s="5"/>
      <c r="C426" s="5"/>
      <c r="D426" s="5"/>
      <c r="E426" s="5"/>
      <c r="F426" s="5"/>
      <c r="G426" s="14"/>
      <c r="H426" s="14"/>
      <c r="I426" s="19" t="str">
        <f aca="false">IF(D426="","",IFERROR(IF(INDEX(Log!$I:$I,MATCH(D426,Log!$G:$G,0))&amp;""="",INDEX(Log!$A:$A,MATCH(D426,Log!$G:$G,0))&amp;"",INDEX(Log!$I:$I,MATCH(D426,Log!$G:$G,0))&amp;""),IF(AND(LEN(D426)=4,LEFT(D426,1)="L",ISNUMBER(VALUE(MID(D426,2,3)))),"ID não encontrado no Log","")))</f>
        <v/>
      </c>
      <c r="J426" s="5"/>
    </row>
    <row r="427" customFormat="false" ht="15" hidden="false" customHeight="false" outlineLevel="0" collapsed="false">
      <c r="A427" s="18"/>
      <c r="B427" s="5"/>
      <c r="C427" s="5"/>
      <c r="D427" s="5"/>
      <c r="E427" s="5"/>
      <c r="F427" s="5"/>
      <c r="G427" s="14"/>
      <c r="H427" s="14"/>
      <c r="I427" s="19" t="str">
        <f aca="false">IF(D427="","",IFERROR(IF(INDEX(Log!$I:$I,MATCH(D427,Log!$G:$G,0))&amp;""="",INDEX(Log!$A:$A,MATCH(D427,Log!$G:$G,0))&amp;"",INDEX(Log!$I:$I,MATCH(D427,Log!$G:$G,0))&amp;""),IF(AND(LEN(D427)=4,LEFT(D427,1)="L",ISNUMBER(VALUE(MID(D427,2,3)))),"ID não encontrado no Log","")))</f>
        <v/>
      </c>
      <c r="J427" s="5"/>
    </row>
    <row r="428" customFormat="false" ht="15" hidden="false" customHeight="false" outlineLevel="0" collapsed="false">
      <c r="A428" s="18"/>
      <c r="B428" s="5"/>
      <c r="C428" s="5"/>
      <c r="D428" s="5"/>
      <c r="E428" s="5"/>
      <c r="F428" s="5"/>
      <c r="G428" s="14"/>
      <c r="H428" s="14"/>
      <c r="I428" s="19" t="str">
        <f aca="false">IF(D428="","",IFERROR(IF(INDEX(Log!$I:$I,MATCH(D428,Log!$G:$G,0))&amp;""="",INDEX(Log!$A:$A,MATCH(D428,Log!$G:$G,0))&amp;"",INDEX(Log!$I:$I,MATCH(D428,Log!$G:$G,0))&amp;""),IF(AND(LEN(D428)=4,LEFT(D428,1)="L",ISNUMBER(VALUE(MID(D428,2,3)))),"ID não encontrado no Log","")))</f>
        <v/>
      </c>
      <c r="J428" s="5"/>
    </row>
    <row r="429" customFormat="false" ht="15" hidden="false" customHeight="false" outlineLevel="0" collapsed="false">
      <c r="A429" s="18"/>
      <c r="B429" s="5"/>
      <c r="C429" s="5"/>
      <c r="D429" s="5"/>
      <c r="E429" s="5"/>
      <c r="F429" s="5"/>
      <c r="G429" s="14"/>
      <c r="H429" s="14"/>
      <c r="I429" s="19" t="str">
        <f aca="false">IF(D429="","",IFERROR(IF(INDEX(Log!$I:$I,MATCH(D429,Log!$G:$G,0))&amp;""="",INDEX(Log!$A:$A,MATCH(D429,Log!$G:$G,0))&amp;"",INDEX(Log!$I:$I,MATCH(D429,Log!$G:$G,0))&amp;""),IF(AND(LEN(D429)=4,LEFT(D429,1)="L",ISNUMBER(VALUE(MID(D429,2,3)))),"ID não encontrado no Log","")))</f>
        <v/>
      </c>
      <c r="J429" s="5"/>
    </row>
    <row r="430" customFormat="false" ht="15" hidden="false" customHeight="false" outlineLevel="0" collapsed="false">
      <c r="A430" s="18"/>
      <c r="B430" s="5"/>
      <c r="C430" s="5"/>
      <c r="D430" s="5"/>
      <c r="E430" s="5"/>
      <c r="F430" s="5"/>
      <c r="G430" s="14"/>
      <c r="H430" s="14"/>
      <c r="I430" s="19" t="str">
        <f aca="false">IF(D430="","",IFERROR(IF(INDEX(Log!$I:$I,MATCH(D430,Log!$G:$G,0))&amp;""="",INDEX(Log!$A:$A,MATCH(D430,Log!$G:$G,0))&amp;"",INDEX(Log!$I:$I,MATCH(D430,Log!$G:$G,0))&amp;""),IF(AND(LEN(D430)=4,LEFT(D430,1)="L",ISNUMBER(VALUE(MID(D430,2,3)))),"ID não encontrado no Log","")))</f>
        <v/>
      </c>
      <c r="J430" s="5"/>
    </row>
    <row r="431" customFormat="false" ht="15" hidden="false" customHeight="false" outlineLevel="0" collapsed="false">
      <c r="A431" s="18"/>
      <c r="B431" s="5"/>
      <c r="C431" s="5"/>
      <c r="D431" s="5"/>
      <c r="E431" s="5"/>
      <c r="F431" s="5"/>
      <c r="G431" s="14"/>
      <c r="H431" s="14"/>
      <c r="I431" s="19" t="str">
        <f aca="false">IF(D431="","",IFERROR(IF(INDEX(Log!$I:$I,MATCH(D431,Log!$G:$G,0))&amp;""="",INDEX(Log!$A:$A,MATCH(D431,Log!$G:$G,0))&amp;"",INDEX(Log!$I:$I,MATCH(D431,Log!$G:$G,0))&amp;""),IF(AND(LEN(D431)=4,LEFT(D431,1)="L",ISNUMBER(VALUE(MID(D431,2,3)))),"ID não encontrado no Log","")))</f>
        <v/>
      </c>
      <c r="J431" s="5"/>
    </row>
    <row r="432" customFormat="false" ht="15" hidden="false" customHeight="false" outlineLevel="0" collapsed="false">
      <c r="A432" s="18"/>
      <c r="B432" s="5"/>
      <c r="C432" s="5"/>
      <c r="D432" s="5"/>
      <c r="E432" s="5"/>
      <c r="F432" s="5"/>
      <c r="G432" s="14"/>
      <c r="H432" s="14"/>
      <c r="I432" s="19" t="str">
        <f aca="false">IF(D432="","",IFERROR(IF(INDEX(Log!$I:$I,MATCH(D432,Log!$G:$G,0))&amp;""="",INDEX(Log!$A:$A,MATCH(D432,Log!$G:$G,0))&amp;"",INDEX(Log!$I:$I,MATCH(D432,Log!$G:$G,0))&amp;""),IF(AND(LEN(D432)=4,LEFT(D432,1)="L",ISNUMBER(VALUE(MID(D432,2,3)))),"ID não encontrado no Log","")))</f>
        <v/>
      </c>
      <c r="J432" s="5"/>
    </row>
    <row r="433" customFormat="false" ht="15" hidden="false" customHeight="false" outlineLevel="0" collapsed="false">
      <c r="A433" s="18"/>
      <c r="B433" s="5"/>
      <c r="C433" s="5"/>
      <c r="D433" s="5"/>
      <c r="E433" s="5"/>
      <c r="F433" s="5"/>
      <c r="G433" s="14"/>
      <c r="H433" s="14"/>
      <c r="I433" s="19" t="str">
        <f aca="false">IF(D433="","",IFERROR(IF(INDEX(Log!$I:$I,MATCH(D433,Log!$G:$G,0))&amp;""="",INDEX(Log!$A:$A,MATCH(D433,Log!$G:$G,0))&amp;"",INDEX(Log!$I:$I,MATCH(D433,Log!$G:$G,0))&amp;""),IF(AND(LEN(D433)=4,LEFT(D433,1)="L",ISNUMBER(VALUE(MID(D433,2,3)))),"ID não encontrado no Log","")))</f>
        <v/>
      </c>
      <c r="J433" s="5"/>
    </row>
    <row r="434" customFormat="false" ht="15" hidden="false" customHeight="false" outlineLevel="0" collapsed="false">
      <c r="A434" s="18"/>
      <c r="B434" s="5"/>
      <c r="C434" s="5"/>
      <c r="D434" s="5"/>
      <c r="E434" s="5"/>
      <c r="F434" s="5"/>
      <c r="G434" s="14"/>
      <c r="H434" s="14"/>
      <c r="I434" s="19" t="str">
        <f aca="false">IF(D434="","",IFERROR(IF(INDEX(Log!$I:$I,MATCH(D434,Log!$G:$G,0))&amp;""="",INDEX(Log!$A:$A,MATCH(D434,Log!$G:$G,0))&amp;"",INDEX(Log!$I:$I,MATCH(D434,Log!$G:$G,0))&amp;""),IF(AND(LEN(D434)=4,LEFT(D434,1)="L",ISNUMBER(VALUE(MID(D434,2,3)))),"ID não encontrado no Log","")))</f>
        <v/>
      </c>
      <c r="J434" s="5"/>
    </row>
    <row r="435" customFormat="false" ht="15" hidden="false" customHeight="false" outlineLevel="0" collapsed="false">
      <c r="A435" s="18"/>
      <c r="B435" s="5"/>
      <c r="C435" s="5"/>
      <c r="D435" s="5"/>
      <c r="E435" s="5"/>
      <c r="F435" s="5"/>
      <c r="G435" s="14"/>
      <c r="H435" s="14"/>
      <c r="I435" s="19" t="str">
        <f aca="false">IF(D435="","",IFERROR(IF(INDEX(Log!$I:$I,MATCH(D435,Log!$G:$G,0))&amp;""="",INDEX(Log!$A:$A,MATCH(D435,Log!$G:$G,0))&amp;"",INDEX(Log!$I:$I,MATCH(D435,Log!$G:$G,0))&amp;""),IF(AND(LEN(D435)=4,LEFT(D435,1)="L",ISNUMBER(VALUE(MID(D435,2,3)))),"ID não encontrado no Log","")))</f>
        <v/>
      </c>
      <c r="J435" s="5"/>
    </row>
    <row r="436" customFormat="false" ht="15" hidden="false" customHeight="false" outlineLevel="0" collapsed="false">
      <c r="A436" s="18"/>
      <c r="B436" s="5"/>
      <c r="C436" s="5"/>
      <c r="D436" s="5"/>
      <c r="E436" s="5"/>
      <c r="F436" s="5"/>
      <c r="G436" s="14"/>
      <c r="H436" s="14"/>
      <c r="I436" s="19" t="str">
        <f aca="false">IF(D436="","",IFERROR(IF(INDEX(Log!$I:$I,MATCH(D436,Log!$G:$G,0))&amp;""="",INDEX(Log!$A:$A,MATCH(D436,Log!$G:$G,0))&amp;"",INDEX(Log!$I:$I,MATCH(D436,Log!$G:$G,0))&amp;""),IF(AND(LEN(D436)=4,LEFT(D436,1)="L",ISNUMBER(VALUE(MID(D436,2,3)))),"ID não encontrado no Log","")))</f>
        <v/>
      </c>
      <c r="J436" s="5"/>
    </row>
    <row r="437" customFormat="false" ht="15" hidden="false" customHeight="false" outlineLevel="0" collapsed="false">
      <c r="A437" s="18"/>
      <c r="B437" s="5"/>
      <c r="C437" s="5"/>
      <c r="D437" s="5"/>
      <c r="E437" s="5"/>
      <c r="F437" s="5"/>
      <c r="G437" s="14"/>
      <c r="H437" s="14"/>
      <c r="I437" s="19" t="str">
        <f aca="false">IF(D437="","",IFERROR(IF(INDEX(Log!$I:$I,MATCH(D437,Log!$G:$G,0))&amp;""="",INDEX(Log!$A:$A,MATCH(D437,Log!$G:$G,0))&amp;"",INDEX(Log!$I:$I,MATCH(D437,Log!$G:$G,0))&amp;""),IF(AND(LEN(D437)=4,LEFT(D437,1)="L",ISNUMBER(VALUE(MID(D437,2,3)))),"ID não encontrado no Log","")))</f>
        <v/>
      </c>
      <c r="J437" s="5"/>
    </row>
    <row r="438" customFormat="false" ht="15" hidden="false" customHeight="false" outlineLevel="0" collapsed="false">
      <c r="A438" s="18"/>
      <c r="B438" s="5"/>
      <c r="C438" s="5"/>
      <c r="D438" s="5"/>
      <c r="E438" s="5"/>
      <c r="F438" s="5"/>
      <c r="G438" s="14"/>
      <c r="H438" s="14"/>
      <c r="I438" s="19" t="str">
        <f aca="false">IF(D438="","",IFERROR(IF(INDEX(Log!$I:$I,MATCH(D438,Log!$G:$G,0))&amp;""="",INDEX(Log!$A:$A,MATCH(D438,Log!$G:$G,0))&amp;"",INDEX(Log!$I:$I,MATCH(D438,Log!$G:$G,0))&amp;""),IF(AND(LEN(D438)=4,LEFT(D438,1)="L",ISNUMBER(VALUE(MID(D438,2,3)))),"ID não encontrado no Log","")))</f>
        <v/>
      </c>
      <c r="J438" s="5"/>
    </row>
    <row r="439" customFormat="false" ht="15" hidden="false" customHeight="false" outlineLevel="0" collapsed="false">
      <c r="A439" s="18"/>
      <c r="B439" s="5"/>
      <c r="C439" s="5"/>
      <c r="D439" s="5"/>
      <c r="E439" s="5"/>
      <c r="F439" s="5"/>
      <c r="G439" s="14"/>
      <c r="H439" s="14"/>
      <c r="I439" s="19" t="str">
        <f aca="false">IF(D439="","",IFERROR(IF(INDEX(Log!$I:$I,MATCH(D439,Log!$G:$G,0))&amp;""="",INDEX(Log!$A:$A,MATCH(D439,Log!$G:$G,0))&amp;"",INDEX(Log!$I:$I,MATCH(D439,Log!$G:$G,0))&amp;""),IF(AND(LEN(D439)=4,LEFT(D439,1)="L",ISNUMBER(VALUE(MID(D439,2,3)))),"ID não encontrado no Log","")))</f>
        <v/>
      </c>
      <c r="J439" s="5"/>
    </row>
    <row r="440" customFormat="false" ht="15" hidden="false" customHeight="false" outlineLevel="0" collapsed="false">
      <c r="A440" s="18"/>
      <c r="B440" s="5"/>
      <c r="C440" s="5"/>
      <c r="D440" s="5"/>
      <c r="E440" s="5"/>
      <c r="F440" s="5"/>
      <c r="G440" s="14"/>
      <c r="H440" s="14"/>
      <c r="I440" s="19" t="str">
        <f aca="false">IF(D440="","",IFERROR(IF(INDEX(Log!$I:$I,MATCH(D440,Log!$G:$G,0))&amp;""="",INDEX(Log!$A:$A,MATCH(D440,Log!$G:$G,0))&amp;"",INDEX(Log!$I:$I,MATCH(D440,Log!$G:$G,0))&amp;""),IF(AND(LEN(D440)=4,LEFT(D440,1)="L",ISNUMBER(VALUE(MID(D440,2,3)))),"ID não encontrado no Log","")))</f>
        <v/>
      </c>
      <c r="J440" s="5"/>
    </row>
    <row r="441" customFormat="false" ht="15" hidden="false" customHeight="false" outlineLevel="0" collapsed="false">
      <c r="A441" s="18"/>
      <c r="B441" s="5"/>
      <c r="C441" s="5"/>
      <c r="D441" s="5"/>
      <c r="E441" s="5"/>
      <c r="F441" s="5"/>
      <c r="G441" s="14"/>
      <c r="H441" s="14"/>
      <c r="I441" s="19" t="str">
        <f aca="false">IF(D441="","",IFERROR(IF(INDEX(Log!$I:$I,MATCH(D441,Log!$G:$G,0))&amp;""="",INDEX(Log!$A:$A,MATCH(D441,Log!$G:$G,0))&amp;"",INDEX(Log!$I:$I,MATCH(D441,Log!$G:$G,0))&amp;""),IF(AND(LEN(D441)=4,LEFT(D441,1)="L",ISNUMBER(VALUE(MID(D441,2,3)))),"ID não encontrado no Log","")))</f>
        <v/>
      </c>
      <c r="J441" s="5"/>
    </row>
    <row r="442" customFormat="false" ht="15" hidden="false" customHeight="false" outlineLevel="0" collapsed="false">
      <c r="A442" s="18"/>
      <c r="B442" s="5"/>
      <c r="C442" s="5"/>
      <c r="D442" s="5"/>
      <c r="E442" s="5"/>
      <c r="F442" s="5"/>
      <c r="G442" s="14"/>
      <c r="H442" s="14"/>
      <c r="I442" s="19" t="str">
        <f aca="false">IF(D442="","",IFERROR(IF(INDEX(Log!$I:$I,MATCH(D442,Log!$G:$G,0))&amp;""="",INDEX(Log!$A:$A,MATCH(D442,Log!$G:$G,0))&amp;"",INDEX(Log!$I:$I,MATCH(D442,Log!$G:$G,0))&amp;""),IF(AND(LEN(D442)=4,LEFT(D442,1)="L",ISNUMBER(VALUE(MID(D442,2,3)))),"ID não encontrado no Log","")))</f>
        <v/>
      </c>
      <c r="J442" s="5"/>
    </row>
    <row r="443" customFormat="false" ht="15" hidden="false" customHeight="false" outlineLevel="0" collapsed="false">
      <c r="A443" s="18"/>
      <c r="B443" s="5"/>
      <c r="C443" s="5"/>
      <c r="D443" s="5"/>
      <c r="E443" s="5"/>
      <c r="F443" s="5"/>
      <c r="G443" s="14"/>
      <c r="H443" s="14"/>
      <c r="I443" s="19" t="str">
        <f aca="false">IF(D443="","",IFERROR(IF(INDEX(Log!$I:$I,MATCH(D443,Log!$G:$G,0))&amp;""="",INDEX(Log!$A:$A,MATCH(D443,Log!$G:$G,0))&amp;"",INDEX(Log!$I:$I,MATCH(D443,Log!$G:$G,0))&amp;""),IF(AND(LEN(D443)=4,LEFT(D443,1)="L",ISNUMBER(VALUE(MID(D443,2,3)))),"ID não encontrado no Log","")))</f>
        <v/>
      </c>
      <c r="J443" s="5"/>
    </row>
    <row r="444" customFormat="false" ht="15" hidden="false" customHeight="false" outlineLevel="0" collapsed="false">
      <c r="A444" s="18"/>
      <c r="B444" s="5"/>
      <c r="C444" s="5"/>
      <c r="D444" s="5"/>
      <c r="E444" s="5"/>
      <c r="F444" s="5"/>
      <c r="G444" s="14"/>
      <c r="H444" s="14"/>
      <c r="I444" s="19" t="str">
        <f aca="false">IF(D444="","",IFERROR(IF(INDEX(Log!$I:$I,MATCH(D444,Log!$G:$G,0))&amp;""="",INDEX(Log!$A:$A,MATCH(D444,Log!$G:$G,0))&amp;"",INDEX(Log!$I:$I,MATCH(D444,Log!$G:$G,0))&amp;""),IF(AND(LEN(D444)=4,LEFT(D444,1)="L",ISNUMBER(VALUE(MID(D444,2,3)))),"ID não encontrado no Log","")))</f>
        <v/>
      </c>
      <c r="J444" s="5"/>
    </row>
    <row r="445" customFormat="false" ht="15" hidden="false" customHeight="false" outlineLevel="0" collapsed="false">
      <c r="A445" s="18"/>
      <c r="B445" s="5"/>
      <c r="C445" s="5"/>
      <c r="D445" s="5"/>
      <c r="E445" s="5"/>
      <c r="F445" s="5"/>
      <c r="G445" s="14"/>
      <c r="H445" s="14"/>
      <c r="I445" s="19" t="str">
        <f aca="false">IF(D445="","",IFERROR(IF(INDEX(Log!$I:$I,MATCH(D445,Log!$G:$G,0))&amp;""="",INDEX(Log!$A:$A,MATCH(D445,Log!$G:$G,0))&amp;"",INDEX(Log!$I:$I,MATCH(D445,Log!$G:$G,0))&amp;""),IF(AND(LEN(D445)=4,LEFT(D445,1)="L",ISNUMBER(VALUE(MID(D445,2,3)))),"ID não encontrado no Log","")))</f>
        <v/>
      </c>
      <c r="J445" s="5"/>
    </row>
    <row r="446" customFormat="false" ht="15" hidden="false" customHeight="false" outlineLevel="0" collapsed="false">
      <c r="A446" s="18"/>
      <c r="B446" s="5"/>
      <c r="C446" s="5"/>
      <c r="D446" s="5"/>
      <c r="E446" s="5"/>
      <c r="F446" s="5"/>
      <c r="G446" s="14"/>
      <c r="H446" s="14"/>
      <c r="I446" s="19" t="str">
        <f aca="false">IF(D446="","",IFERROR(IF(INDEX(Log!$I:$I,MATCH(D446,Log!$G:$G,0))&amp;""="",INDEX(Log!$A:$A,MATCH(D446,Log!$G:$G,0))&amp;"",INDEX(Log!$I:$I,MATCH(D446,Log!$G:$G,0))&amp;""),IF(AND(LEN(D446)=4,LEFT(D446,1)="L",ISNUMBER(VALUE(MID(D446,2,3)))),"ID não encontrado no Log","")))</f>
        <v/>
      </c>
      <c r="J446" s="5"/>
    </row>
    <row r="447" customFormat="false" ht="15" hidden="false" customHeight="false" outlineLevel="0" collapsed="false">
      <c r="A447" s="18"/>
      <c r="B447" s="5"/>
      <c r="C447" s="5"/>
      <c r="D447" s="5"/>
      <c r="E447" s="5"/>
      <c r="F447" s="5"/>
      <c r="G447" s="14"/>
      <c r="H447" s="14"/>
      <c r="I447" s="19" t="str">
        <f aca="false">IF(D447="","",IFERROR(IF(INDEX(Log!$I:$I,MATCH(D447,Log!$G:$G,0))&amp;""="",INDEX(Log!$A:$A,MATCH(D447,Log!$G:$G,0))&amp;"",INDEX(Log!$I:$I,MATCH(D447,Log!$G:$G,0))&amp;""),IF(AND(LEN(D447)=4,LEFT(D447,1)="L",ISNUMBER(VALUE(MID(D447,2,3)))),"ID não encontrado no Log","")))</f>
        <v/>
      </c>
      <c r="J447" s="5"/>
    </row>
    <row r="448" customFormat="false" ht="15" hidden="false" customHeight="false" outlineLevel="0" collapsed="false">
      <c r="A448" s="18"/>
      <c r="B448" s="5"/>
      <c r="C448" s="5"/>
      <c r="D448" s="5"/>
      <c r="E448" s="5"/>
      <c r="F448" s="5"/>
      <c r="G448" s="14"/>
      <c r="H448" s="14"/>
      <c r="I448" s="19" t="str">
        <f aca="false">IF(D448="","",IFERROR(IF(INDEX(Log!$I:$I,MATCH(D448,Log!$G:$G,0))&amp;""="",INDEX(Log!$A:$A,MATCH(D448,Log!$G:$G,0))&amp;"",INDEX(Log!$I:$I,MATCH(D448,Log!$G:$G,0))&amp;""),IF(AND(LEN(D448)=4,LEFT(D448,1)="L",ISNUMBER(VALUE(MID(D448,2,3)))),"ID não encontrado no Log","")))</f>
        <v/>
      </c>
      <c r="J448" s="5"/>
    </row>
    <row r="449" customFormat="false" ht="15" hidden="false" customHeight="false" outlineLevel="0" collapsed="false">
      <c r="A449" s="18"/>
      <c r="B449" s="5"/>
      <c r="C449" s="5"/>
      <c r="D449" s="5"/>
      <c r="E449" s="5"/>
      <c r="F449" s="5"/>
      <c r="G449" s="14"/>
      <c r="H449" s="14"/>
      <c r="I449" s="19" t="str">
        <f aca="false">IF(D449="","",IFERROR(IF(INDEX(Log!$I:$I,MATCH(D449,Log!$G:$G,0))&amp;""="",INDEX(Log!$A:$A,MATCH(D449,Log!$G:$G,0))&amp;"",INDEX(Log!$I:$I,MATCH(D449,Log!$G:$G,0))&amp;""),IF(AND(LEN(D449)=4,LEFT(D449,1)="L",ISNUMBER(VALUE(MID(D449,2,3)))),"ID não encontrado no Log","")))</f>
        <v/>
      </c>
      <c r="J449" s="5"/>
    </row>
    <row r="450" customFormat="false" ht="15" hidden="false" customHeight="false" outlineLevel="0" collapsed="false">
      <c r="A450" s="18"/>
      <c r="B450" s="5"/>
      <c r="C450" s="5"/>
      <c r="D450" s="5"/>
      <c r="E450" s="5"/>
      <c r="F450" s="5"/>
      <c r="G450" s="14"/>
      <c r="H450" s="14"/>
      <c r="I450" s="19" t="str">
        <f aca="false">IF(D450="","",IFERROR(IF(INDEX(Log!$I:$I,MATCH(D450,Log!$G:$G,0))&amp;""="",INDEX(Log!$A:$A,MATCH(D450,Log!$G:$G,0))&amp;"",INDEX(Log!$I:$I,MATCH(D450,Log!$G:$G,0))&amp;""),IF(AND(LEN(D450)=4,LEFT(D450,1)="L",ISNUMBER(VALUE(MID(D450,2,3)))),"ID não encontrado no Log","")))</f>
        <v/>
      </c>
      <c r="J450" s="5"/>
    </row>
    <row r="451" customFormat="false" ht="15" hidden="false" customHeight="false" outlineLevel="0" collapsed="false">
      <c r="A451" s="18"/>
      <c r="B451" s="5"/>
      <c r="C451" s="5"/>
      <c r="D451" s="5"/>
      <c r="E451" s="5"/>
      <c r="F451" s="5"/>
      <c r="G451" s="14"/>
      <c r="H451" s="14"/>
      <c r="I451" s="19" t="str">
        <f aca="false">IF(D451="","",IFERROR(IF(INDEX(Log!$I:$I,MATCH(D451,Log!$G:$G,0))&amp;""="",INDEX(Log!$A:$A,MATCH(D451,Log!$G:$G,0))&amp;"",INDEX(Log!$I:$I,MATCH(D451,Log!$G:$G,0))&amp;""),IF(AND(LEN(D451)=4,LEFT(D451,1)="L",ISNUMBER(VALUE(MID(D451,2,3)))),"ID não encontrado no Log","")))</f>
        <v/>
      </c>
      <c r="J451" s="5"/>
    </row>
    <row r="452" customFormat="false" ht="15" hidden="false" customHeight="false" outlineLevel="0" collapsed="false">
      <c r="A452" s="18"/>
      <c r="B452" s="5"/>
      <c r="C452" s="5"/>
      <c r="D452" s="5"/>
      <c r="E452" s="5"/>
      <c r="F452" s="5"/>
      <c r="G452" s="14"/>
      <c r="H452" s="14"/>
      <c r="I452" s="19" t="str">
        <f aca="false">IF(D452="","",IFERROR(IF(INDEX(Log!$I:$I,MATCH(D452,Log!$G:$G,0))&amp;""="",INDEX(Log!$A:$A,MATCH(D452,Log!$G:$G,0))&amp;"",INDEX(Log!$I:$I,MATCH(D452,Log!$G:$G,0))&amp;""),IF(AND(LEN(D452)=4,LEFT(D452,1)="L",ISNUMBER(VALUE(MID(D452,2,3)))),"ID não encontrado no Log","")))</f>
        <v/>
      </c>
      <c r="J452" s="5"/>
    </row>
    <row r="453" customFormat="false" ht="15" hidden="false" customHeight="false" outlineLevel="0" collapsed="false">
      <c r="A453" s="18"/>
      <c r="B453" s="5"/>
      <c r="C453" s="5"/>
      <c r="D453" s="5"/>
      <c r="E453" s="5"/>
      <c r="F453" s="5"/>
      <c r="G453" s="14"/>
      <c r="H453" s="14"/>
      <c r="I453" s="19" t="str">
        <f aca="false">IF(D453="","",IFERROR(IF(INDEX(Log!$I:$I,MATCH(D453,Log!$G:$G,0))&amp;""="",INDEX(Log!$A:$A,MATCH(D453,Log!$G:$G,0))&amp;"",INDEX(Log!$I:$I,MATCH(D453,Log!$G:$G,0))&amp;""),IF(AND(LEN(D453)=4,LEFT(D453,1)="L",ISNUMBER(VALUE(MID(D453,2,3)))),"ID não encontrado no Log","")))</f>
        <v/>
      </c>
      <c r="J453" s="5"/>
    </row>
    <row r="454" customFormat="false" ht="15" hidden="false" customHeight="false" outlineLevel="0" collapsed="false">
      <c r="A454" s="18"/>
      <c r="B454" s="5"/>
      <c r="C454" s="5"/>
      <c r="D454" s="5"/>
      <c r="E454" s="5"/>
      <c r="F454" s="5"/>
      <c r="G454" s="14"/>
      <c r="H454" s="14"/>
      <c r="I454" s="19" t="str">
        <f aca="false">IF(D454="","",IFERROR(IF(INDEX(Log!$I:$I,MATCH(D454,Log!$G:$G,0))&amp;""="",INDEX(Log!$A:$A,MATCH(D454,Log!$G:$G,0))&amp;"",INDEX(Log!$I:$I,MATCH(D454,Log!$G:$G,0))&amp;""),IF(AND(LEN(D454)=4,LEFT(D454,1)="L",ISNUMBER(VALUE(MID(D454,2,3)))),"ID não encontrado no Log","")))</f>
        <v/>
      </c>
      <c r="J454" s="5"/>
    </row>
    <row r="455" customFormat="false" ht="15" hidden="false" customHeight="false" outlineLevel="0" collapsed="false">
      <c r="A455" s="18"/>
      <c r="B455" s="5"/>
      <c r="C455" s="5"/>
      <c r="D455" s="5"/>
      <c r="E455" s="5"/>
      <c r="F455" s="5"/>
      <c r="G455" s="14"/>
      <c r="H455" s="14"/>
      <c r="I455" s="19" t="str">
        <f aca="false">IF(D455="","",IFERROR(IF(INDEX(Log!$I:$I,MATCH(D455,Log!$G:$G,0))&amp;""="",INDEX(Log!$A:$A,MATCH(D455,Log!$G:$G,0))&amp;"",INDEX(Log!$I:$I,MATCH(D455,Log!$G:$G,0))&amp;""),IF(AND(LEN(D455)=4,LEFT(D455,1)="L",ISNUMBER(VALUE(MID(D455,2,3)))),"ID não encontrado no Log","")))</f>
        <v/>
      </c>
      <c r="J455" s="5"/>
    </row>
    <row r="456" customFormat="false" ht="15" hidden="false" customHeight="false" outlineLevel="0" collapsed="false">
      <c r="A456" s="18"/>
      <c r="B456" s="5"/>
      <c r="C456" s="5"/>
      <c r="D456" s="5"/>
      <c r="E456" s="5"/>
      <c r="F456" s="5"/>
      <c r="G456" s="14"/>
      <c r="H456" s="14"/>
      <c r="I456" s="19" t="str">
        <f aca="false">IF(D456="","",IFERROR(IF(INDEX(Log!$I:$I,MATCH(D456,Log!$G:$G,0))&amp;""="",INDEX(Log!$A:$A,MATCH(D456,Log!$G:$G,0))&amp;"",INDEX(Log!$I:$I,MATCH(D456,Log!$G:$G,0))&amp;""),IF(AND(LEN(D456)=4,LEFT(D456,1)="L",ISNUMBER(VALUE(MID(D456,2,3)))),"ID não encontrado no Log","")))</f>
        <v/>
      </c>
      <c r="J456" s="5"/>
    </row>
    <row r="457" customFormat="false" ht="15" hidden="false" customHeight="false" outlineLevel="0" collapsed="false">
      <c r="A457" s="18"/>
      <c r="B457" s="5"/>
      <c r="C457" s="5"/>
      <c r="D457" s="5"/>
      <c r="E457" s="5"/>
      <c r="F457" s="5"/>
      <c r="G457" s="14"/>
      <c r="H457" s="14"/>
      <c r="I457" s="19" t="str">
        <f aca="false">IF(D457="","",IFERROR(IF(INDEX(Log!$I:$I,MATCH(D457,Log!$G:$G,0))&amp;""="",INDEX(Log!$A:$A,MATCH(D457,Log!$G:$G,0))&amp;"",INDEX(Log!$I:$I,MATCH(D457,Log!$G:$G,0))&amp;""),IF(AND(LEN(D457)=4,LEFT(D457,1)="L",ISNUMBER(VALUE(MID(D457,2,3)))),"ID não encontrado no Log","")))</f>
        <v/>
      </c>
      <c r="J457" s="5"/>
    </row>
    <row r="458" customFormat="false" ht="15" hidden="false" customHeight="false" outlineLevel="0" collapsed="false">
      <c r="A458" s="18"/>
      <c r="B458" s="5"/>
      <c r="C458" s="5"/>
      <c r="D458" s="5"/>
      <c r="E458" s="5"/>
      <c r="F458" s="5"/>
      <c r="G458" s="14"/>
      <c r="H458" s="14"/>
      <c r="I458" s="19" t="str">
        <f aca="false">IF(D458="","",IFERROR(IF(INDEX(Log!$I:$I,MATCH(D458,Log!$G:$G,0))&amp;""="",INDEX(Log!$A:$A,MATCH(D458,Log!$G:$G,0))&amp;"",INDEX(Log!$I:$I,MATCH(D458,Log!$G:$G,0))&amp;""),IF(AND(LEN(D458)=4,LEFT(D458,1)="L",ISNUMBER(VALUE(MID(D458,2,3)))),"ID não encontrado no Log","")))</f>
        <v/>
      </c>
      <c r="J458" s="5"/>
    </row>
    <row r="459" customFormat="false" ht="15" hidden="false" customHeight="false" outlineLevel="0" collapsed="false">
      <c r="A459" s="18"/>
      <c r="B459" s="5"/>
      <c r="C459" s="5"/>
      <c r="D459" s="5"/>
      <c r="E459" s="5"/>
      <c r="F459" s="5"/>
      <c r="G459" s="14"/>
      <c r="H459" s="14"/>
      <c r="I459" s="19" t="str">
        <f aca="false">IF(D459="","",IFERROR(IF(INDEX(Log!$I:$I,MATCH(D459,Log!$G:$G,0))&amp;""="",INDEX(Log!$A:$A,MATCH(D459,Log!$G:$G,0))&amp;"",INDEX(Log!$I:$I,MATCH(D459,Log!$G:$G,0))&amp;""),IF(AND(LEN(D459)=4,LEFT(D459,1)="L",ISNUMBER(VALUE(MID(D459,2,3)))),"ID não encontrado no Log","")))</f>
        <v/>
      </c>
      <c r="J459" s="5"/>
    </row>
    <row r="460" customFormat="false" ht="15" hidden="false" customHeight="false" outlineLevel="0" collapsed="false">
      <c r="A460" s="18"/>
      <c r="B460" s="5"/>
      <c r="C460" s="5"/>
      <c r="D460" s="5"/>
      <c r="E460" s="5"/>
      <c r="F460" s="5"/>
      <c r="G460" s="14"/>
      <c r="H460" s="14"/>
      <c r="I460" s="19" t="str">
        <f aca="false">IF(D460="","",IFERROR(IF(INDEX(Log!$I:$I,MATCH(D460,Log!$G:$G,0))&amp;""="",INDEX(Log!$A:$A,MATCH(D460,Log!$G:$G,0))&amp;"",INDEX(Log!$I:$I,MATCH(D460,Log!$G:$G,0))&amp;""),IF(AND(LEN(D460)=4,LEFT(D460,1)="L",ISNUMBER(VALUE(MID(D460,2,3)))),"ID não encontrado no Log","")))</f>
        <v/>
      </c>
      <c r="J460" s="5"/>
    </row>
    <row r="461" customFormat="false" ht="15" hidden="false" customHeight="false" outlineLevel="0" collapsed="false">
      <c r="A461" s="18"/>
      <c r="B461" s="5"/>
      <c r="C461" s="5"/>
      <c r="D461" s="5"/>
      <c r="E461" s="5"/>
      <c r="F461" s="5"/>
      <c r="G461" s="14"/>
      <c r="H461" s="14"/>
      <c r="I461" s="19" t="str">
        <f aca="false">IF(D461="","",IFERROR(IF(INDEX(Log!$I:$I,MATCH(D461,Log!$G:$G,0))&amp;""="",INDEX(Log!$A:$A,MATCH(D461,Log!$G:$G,0))&amp;"",INDEX(Log!$I:$I,MATCH(D461,Log!$G:$G,0))&amp;""),IF(AND(LEN(D461)=4,LEFT(D461,1)="L",ISNUMBER(VALUE(MID(D461,2,3)))),"ID não encontrado no Log","")))</f>
        <v/>
      </c>
      <c r="J461" s="5"/>
    </row>
    <row r="462" customFormat="false" ht="15" hidden="false" customHeight="false" outlineLevel="0" collapsed="false">
      <c r="A462" s="18"/>
      <c r="B462" s="5"/>
      <c r="C462" s="5"/>
      <c r="D462" s="5"/>
      <c r="E462" s="5"/>
      <c r="F462" s="5"/>
      <c r="G462" s="14"/>
      <c r="H462" s="14"/>
      <c r="I462" s="19" t="str">
        <f aca="false">IF(D462="","",IFERROR(IF(INDEX(Log!$I:$I,MATCH(D462,Log!$G:$G,0))&amp;""="",INDEX(Log!$A:$A,MATCH(D462,Log!$G:$G,0))&amp;"",INDEX(Log!$I:$I,MATCH(D462,Log!$G:$G,0))&amp;""),IF(AND(LEN(D462)=4,LEFT(D462,1)="L",ISNUMBER(VALUE(MID(D462,2,3)))),"ID não encontrado no Log","")))</f>
        <v/>
      </c>
      <c r="J462" s="5"/>
    </row>
    <row r="463" customFormat="false" ht="15" hidden="false" customHeight="false" outlineLevel="0" collapsed="false">
      <c r="A463" s="18"/>
      <c r="B463" s="5"/>
      <c r="C463" s="5"/>
      <c r="D463" s="5"/>
      <c r="E463" s="5"/>
      <c r="F463" s="5"/>
      <c r="G463" s="14"/>
      <c r="H463" s="14"/>
      <c r="I463" s="19" t="str">
        <f aca="false">IF(D463="","",IFERROR(IF(INDEX(Log!$I:$I,MATCH(D463,Log!$G:$G,0))&amp;""="",INDEX(Log!$A:$A,MATCH(D463,Log!$G:$G,0))&amp;"",INDEX(Log!$I:$I,MATCH(D463,Log!$G:$G,0))&amp;""),IF(AND(LEN(D463)=4,LEFT(D463,1)="L",ISNUMBER(VALUE(MID(D463,2,3)))),"ID não encontrado no Log","")))</f>
        <v/>
      </c>
      <c r="J463" s="5"/>
    </row>
    <row r="464" customFormat="false" ht="15" hidden="false" customHeight="false" outlineLevel="0" collapsed="false">
      <c r="A464" s="18"/>
      <c r="B464" s="5"/>
      <c r="C464" s="5"/>
      <c r="D464" s="5"/>
      <c r="E464" s="5"/>
      <c r="F464" s="5"/>
      <c r="G464" s="14"/>
      <c r="H464" s="14"/>
      <c r="I464" s="19" t="str">
        <f aca="false">IF(D464="","",IFERROR(IF(INDEX(Log!$I:$I,MATCH(D464,Log!$G:$G,0))&amp;""="",INDEX(Log!$A:$A,MATCH(D464,Log!$G:$G,0))&amp;"",INDEX(Log!$I:$I,MATCH(D464,Log!$G:$G,0))&amp;""),IF(AND(LEN(D464)=4,LEFT(D464,1)="L",ISNUMBER(VALUE(MID(D464,2,3)))),"ID não encontrado no Log","")))</f>
        <v/>
      </c>
      <c r="J464" s="5"/>
    </row>
    <row r="465" customFormat="false" ht="15" hidden="false" customHeight="false" outlineLevel="0" collapsed="false">
      <c r="A465" s="18"/>
      <c r="B465" s="5"/>
      <c r="C465" s="5"/>
      <c r="D465" s="5"/>
      <c r="E465" s="5"/>
      <c r="F465" s="5"/>
      <c r="G465" s="14"/>
      <c r="H465" s="14"/>
      <c r="I465" s="19" t="str">
        <f aca="false">IF(D465="","",IFERROR(IF(INDEX(Log!$I:$I,MATCH(D465,Log!$G:$G,0))&amp;""="",INDEX(Log!$A:$A,MATCH(D465,Log!$G:$G,0))&amp;"",INDEX(Log!$I:$I,MATCH(D465,Log!$G:$G,0))&amp;""),IF(AND(LEN(D465)=4,LEFT(D465,1)="L",ISNUMBER(VALUE(MID(D465,2,3)))),"ID não encontrado no Log","")))</f>
        <v/>
      </c>
      <c r="J465" s="5"/>
    </row>
    <row r="466" customFormat="false" ht="15" hidden="false" customHeight="false" outlineLevel="0" collapsed="false">
      <c r="A466" s="18"/>
      <c r="B466" s="5"/>
      <c r="C466" s="5"/>
      <c r="D466" s="5"/>
      <c r="E466" s="5"/>
      <c r="F466" s="5"/>
      <c r="G466" s="14"/>
      <c r="H466" s="14"/>
      <c r="I466" s="19" t="str">
        <f aca="false">IF(D466="","",IFERROR(IF(INDEX(Log!$I:$I,MATCH(D466,Log!$G:$G,0))&amp;""="",INDEX(Log!$A:$A,MATCH(D466,Log!$G:$G,0))&amp;"",INDEX(Log!$I:$I,MATCH(D466,Log!$G:$G,0))&amp;""),IF(AND(LEN(D466)=4,LEFT(D466,1)="L",ISNUMBER(VALUE(MID(D466,2,3)))),"ID não encontrado no Log","")))</f>
        <v/>
      </c>
      <c r="J466" s="5"/>
    </row>
    <row r="467" customFormat="false" ht="15" hidden="false" customHeight="false" outlineLevel="0" collapsed="false">
      <c r="A467" s="18"/>
      <c r="B467" s="5"/>
      <c r="C467" s="5"/>
      <c r="D467" s="5"/>
      <c r="E467" s="5"/>
      <c r="F467" s="5"/>
      <c r="G467" s="14"/>
      <c r="H467" s="14"/>
      <c r="I467" s="19" t="str">
        <f aca="false">IF(D467="","",IFERROR(IF(INDEX(Log!$I:$I,MATCH(D467,Log!$G:$G,0))&amp;""="",INDEX(Log!$A:$A,MATCH(D467,Log!$G:$G,0))&amp;"",INDEX(Log!$I:$I,MATCH(D467,Log!$G:$G,0))&amp;""),IF(AND(LEN(D467)=4,LEFT(D467,1)="L",ISNUMBER(VALUE(MID(D467,2,3)))),"ID não encontrado no Log","")))</f>
        <v/>
      </c>
      <c r="J467" s="5"/>
    </row>
    <row r="468" customFormat="false" ht="15" hidden="false" customHeight="false" outlineLevel="0" collapsed="false">
      <c r="A468" s="18"/>
      <c r="B468" s="5"/>
      <c r="C468" s="5"/>
      <c r="D468" s="5"/>
      <c r="E468" s="5"/>
      <c r="F468" s="5"/>
      <c r="G468" s="14"/>
      <c r="H468" s="14"/>
      <c r="I468" s="19" t="str">
        <f aca="false">IF(D468="","",IFERROR(IF(INDEX(Log!$I:$I,MATCH(D468,Log!$G:$G,0))&amp;""="",INDEX(Log!$A:$A,MATCH(D468,Log!$G:$G,0))&amp;"",INDEX(Log!$I:$I,MATCH(D468,Log!$G:$G,0))&amp;""),IF(AND(LEN(D468)=4,LEFT(D468,1)="L",ISNUMBER(VALUE(MID(D468,2,3)))),"ID não encontrado no Log","")))</f>
        <v/>
      </c>
      <c r="J468" s="5"/>
    </row>
    <row r="469" customFormat="false" ht="15" hidden="false" customHeight="false" outlineLevel="0" collapsed="false">
      <c r="A469" s="18"/>
      <c r="B469" s="5"/>
      <c r="C469" s="5"/>
      <c r="D469" s="5"/>
      <c r="E469" s="5"/>
      <c r="F469" s="5"/>
      <c r="G469" s="14"/>
      <c r="H469" s="14"/>
      <c r="I469" s="19" t="str">
        <f aca="false">IF(D469="","",IFERROR(IF(INDEX(Log!$I:$I,MATCH(D469,Log!$G:$G,0))&amp;""="",INDEX(Log!$A:$A,MATCH(D469,Log!$G:$G,0))&amp;"",INDEX(Log!$I:$I,MATCH(D469,Log!$G:$G,0))&amp;""),IF(AND(LEN(D469)=4,LEFT(D469,1)="L",ISNUMBER(VALUE(MID(D469,2,3)))),"ID não encontrado no Log","")))</f>
        <v/>
      </c>
      <c r="J469" s="5"/>
    </row>
    <row r="470" customFormat="false" ht="15" hidden="false" customHeight="false" outlineLevel="0" collapsed="false">
      <c r="A470" s="18"/>
      <c r="B470" s="5"/>
      <c r="C470" s="5"/>
      <c r="D470" s="5"/>
      <c r="E470" s="5"/>
      <c r="F470" s="5"/>
      <c r="G470" s="14"/>
      <c r="H470" s="14"/>
      <c r="I470" s="19" t="str">
        <f aca="false">IF(D470="","",IFERROR(IF(INDEX(Log!$I:$I,MATCH(D470,Log!$G:$G,0))&amp;""="",INDEX(Log!$A:$A,MATCH(D470,Log!$G:$G,0))&amp;"",INDEX(Log!$I:$I,MATCH(D470,Log!$G:$G,0))&amp;""),IF(AND(LEN(D470)=4,LEFT(D470,1)="L",ISNUMBER(VALUE(MID(D470,2,3)))),"ID não encontrado no Log","")))</f>
        <v/>
      </c>
      <c r="J470" s="5"/>
    </row>
    <row r="471" customFormat="false" ht="15" hidden="false" customHeight="false" outlineLevel="0" collapsed="false">
      <c r="A471" s="18"/>
      <c r="B471" s="5"/>
      <c r="C471" s="5"/>
      <c r="D471" s="5"/>
      <c r="E471" s="5"/>
      <c r="F471" s="5"/>
      <c r="G471" s="14"/>
      <c r="H471" s="14"/>
      <c r="I471" s="19" t="str">
        <f aca="false">IF(D471="","",IFERROR(IF(INDEX(Log!$I:$I,MATCH(D471,Log!$G:$G,0))&amp;""="",INDEX(Log!$A:$A,MATCH(D471,Log!$G:$G,0))&amp;"",INDEX(Log!$I:$I,MATCH(D471,Log!$G:$G,0))&amp;""),IF(AND(LEN(D471)=4,LEFT(D471,1)="L",ISNUMBER(VALUE(MID(D471,2,3)))),"ID não encontrado no Log","")))</f>
        <v/>
      </c>
      <c r="J471" s="5"/>
    </row>
    <row r="472" customFormat="false" ht="15" hidden="false" customHeight="false" outlineLevel="0" collapsed="false">
      <c r="A472" s="18"/>
      <c r="B472" s="5"/>
      <c r="C472" s="5"/>
      <c r="D472" s="5"/>
      <c r="E472" s="5"/>
      <c r="F472" s="5"/>
      <c r="G472" s="14"/>
      <c r="H472" s="14"/>
      <c r="I472" s="19" t="str">
        <f aca="false">IF(D472="","",IFERROR(IF(INDEX(Log!$I:$I,MATCH(D472,Log!$G:$G,0))&amp;""="",INDEX(Log!$A:$A,MATCH(D472,Log!$G:$G,0))&amp;"",INDEX(Log!$I:$I,MATCH(D472,Log!$G:$G,0))&amp;""),IF(AND(LEN(D472)=4,LEFT(D472,1)="L",ISNUMBER(VALUE(MID(D472,2,3)))),"ID não encontrado no Log","")))</f>
        <v/>
      </c>
      <c r="J472" s="5"/>
    </row>
    <row r="473" customFormat="false" ht="15" hidden="false" customHeight="false" outlineLevel="0" collapsed="false">
      <c r="A473" s="18"/>
      <c r="B473" s="5"/>
      <c r="C473" s="5"/>
      <c r="D473" s="5"/>
      <c r="E473" s="5"/>
      <c r="F473" s="5"/>
      <c r="G473" s="14"/>
      <c r="H473" s="14"/>
      <c r="I473" s="19" t="str">
        <f aca="false">IF(D473="","",IFERROR(IF(INDEX(Log!$I:$I,MATCH(D473,Log!$G:$G,0))&amp;""="",INDEX(Log!$A:$A,MATCH(D473,Log!$G:$G,0))&amp;"",INDEX(Log!$I:$I,MATCH(D473,Log!$G:$G,0))&amp;""),IF(AND(LEN(D473)=4,LEFT(D473,1)="L",ISNUMBER(VALUE(MID(D473,2,3)))),"ID não encontrado no Log","")))</f>
        <v/>
      </c>
      <c r="J473" s="5"/>
    </row>
    <row r="474" customFormat="false" ht="15" hidden="false" customHeight="false" outlineLevel="0" collapsed="false">
      <c r="A474" s="18"/>
      <c r="B474" s="5"/>
      <c r="C474" s="5"/>
      <c r="D474" s="5"/>
      <c r="E474" s="5"/>
      <c r="F474" s="5"/>
      <c r="G474" s="14"/>
      <c r="H474" s="14"/>
      <c r="I474" s="19" t="str">
        <f aca="false">IF(D474="","",IFERROR(IF(INDEX(Log!$I:$I,MATCH(D474,Log!$G:$G,0))&amp;""="",INDEX(Log!$A:$A,MATCH(D474,Log!$G:$G,0))&amp;"",INDEX(Log!$I:$I,MATCH(D474,Log!$G:$G,0))&amp;""),IF(AND(LEN(D474)=4,LEFT(D474,1)="L",ISNUMBER(VALUE(MID(D474,2,3)))),"ID não encontrado no Log","")))</f>
        <v/>
      </c>
      <c r="J474" s="5"/>
    </row>
    <row r="475" customFormat="false" ht="15" hidden="false" customHeight="false" outlineLevel="0" collapsed="false">
      <c r="A475" s="18"/>
      <c r="B475" s="5"/>
      <c r="C475" s="5"/>
      <c r="D475" s="5"/>
      <c r="E475" s="5"/>
      <c r="F475" s="5"/>
      <c r="G475" s="14"/>
      <c r="H475" s="14"/>
      <c r="I475" s="19" t="str">
        <f aca="false">IF(D475="","",IFERROR(IF(INDEX(Log!$I:$I,MATCH(D475,Log!$G:$G,0))&amp;""="",INDEX(Log!$A:$A,MATCH(D475,Log!$G:$G,0))&amp;"",INDEX(Log!$I:$I,MATCH(D475,Log!$G:$G,0))&amp;""),IF(AND(LEN(D475)=4,LEFT(D475,1)="L",ISNUMBER(VALUE(MID(D475,2,3)))),"ID não encontrado no Log","")))</f>
        <v/>
      </c>
      <c r="J475" s="5"/>
    </row>
    <row r="476" customFormat="false" ht="15" hidden="false" customHeight="false" outlineLevel="0" collapsed="false">
      <c r="A476" s="18"/>
      <c r="B476" s="5"/>
      <c r="C476" s="5"/>
      <c r="D476" s="5"/>
      <c r="E476" s="5"/>
      <c r="F476" s="5"/>
      <c r="G476" s="14"/>
      <c r="H476" s="14"/>
      <c r="I476" s="19" t="str">
        <f aca="false">IF(D476="","",IFERROR(IF(INDEX(Log!$I:$I,MATCH(D476,Log!$G:$G,0))&amp;""="",INDEX(Log!$A:$A,MATCH(D476,Log!$G:$G,0))&amp;"",INDEX(Log!$I:$I,MATCH(D476,Log!$G:$G,0))&amp;""),IF(AND(LEN(D476)=4,LEFT(D476,1)="L",ISNUMBER(VALUE(MID(D476,2,3)))),"ID não encontrado no Log","")))</f>
        <v/>
      </c>
      <c r="J476" s="5"/>
    </row>
    <row r="477" customFormat="false" ht="15" hidden="false" customHeight="false" outlineLevel="0" collapsed="false">
      <c r="A477" s="18"/>
      <c r="B477" s="5"/>
      <c r="C477" s="5"/>
      <c r="D477" s="5"/>
      <c r="E477" s="5"/>
      <c r="F477" s="5"/>
      <c r="G477" s="14"/>
      <c r="H477" s="14"/>
      <c r="I477" s="19" t="str">
        <f aca="false">IF(D477="","",IFERROR(IF(INDEX(Log!$I:$I,MATCH(D477,Log!$G:$G,0))&amp;""="",INDEX(Log!$A:$A,MATCH(D477,Log!$G:$G,0))&amp;"",INDEX(Log!$I:$I,MATCH(D477,Log!$G:$G,0))&amp;""),IF(AND(LEN(D477)=4,LEFT(D477,1)="L",ISNUMBER(VALUE(MID(D477,2,3)))),"ID não encontrado no Log","")))</f>
        <v/>
      </c>
      <c r="J477" s="5"/>
    </row>
    <row r="478" customFormat="false" ht="15" hidden="false" customHeight="false" outlineLevel="0" collapsed="false">
      <c r="A478" s="18"/>
      <c r="B478" s="5"/>
      <c r="C478" s="5"/>
      <c r="D478" s="5"/>
      <c r="E478" s="5"/>
      <c r="F478" s="5"/>
      <c r="G478" s="14"/>
      <c r="H478" s="14"/>
      <c r="I478" s="19" t="str">
        <f aca="false">IF(D478="","",IFERROR(IF(INDEX(Log!$I:$I,MATCH(D478,Log!$G:$G,0))&amp;""="",INDEX(Log!$A:$A,MATCH(D478,Log!$G:$G,0))&amp;"",INDEX(Log!$I:$I,MATCH(D478,Log!$G:$G,0))&amp;""),IF(AND(LEN(D478)=4,LEFT(D478,1)="L",ISNUMBER(VALUE(MID(D478,2,3)))),"ID não encontrado no Log","")))</f>
        <v/>
      </c>
      <c r="J478" s="5"/>
    </row>
    <row r="479" customFormat="false" ht="15" hidden="false" customHeight="false" outlineLevel="0" collapsed="false">
      <c r="A479" s="18"/>
      <c r="B479" s="5"/>
      <c r="C479" s="5"/>
      <c r="D479" s="5"/>
      <c r="E479" s="5"/>
      <c r="F479" s="5"/>
      <c r="G479" s="14"/>
      <c r="H479" s="14"/>
      <c r="I479" s="19" t="str">
        <f aca="false">IF(D479="","",IFERROR(IF(INDEX(Log!$I:$I,MATCH(D479,Log!$G:$G,0))&amp;""="",INDEX(Log!$A:$A,MATCH(D479,Log!$G:$G,0))&amp;"",INDEX(Log!$I:$I,MATCH(D479,Log!$G:$G,0))&amp;""),IF(AND(LEN(D479)=4,LEFT(D479,1)="L",ISNUMBER(VALUE(MID(D479,2,3)))),"ID não encontrado no Log","")))</f>
        <v/>
      </c>
      <c r="J479" s="5"/>
    </row>
    <row r="480" customFormat="false" ht="15" hidden="false" customHeight="false" outlineLevel="0" collapsed="false">
      <c r="A480" s="18"/>
      <c r="B480" s="5"/>
      <c r="C480" s="5"/>
      <c r="D480" s="5"/>
      <c r="E480" s="5"/>
      <c r="F480" s="5"/>
      <c r="G480" s="14"/>
      <c r="H480" s="14"/>
      <c r="I480" s="19" t="str">
        <f aca="false">IF(D480="","",IFERROR(IF(INDEX(Log!$I:$I,MATCH(D480,Log!$G:$G,0))&amp;""="",INDEX(Log!$A:$A,MATCH(D480,Log!$G:$G,0))&amp;"",INDEX(Log!$I:$I,MATCH(D480,Log!$G:$G,0))&amp;""),IF(AND(LEN(D480)=4,LEFT(D480,1)="L",ISNUMBER(VALUE(MID(D480,2,3)))),"ID não encontrado no Log","")))</f>
        <v/>
      </c>
      <c r="J480" s="5"/>
    </row>
    <row r="481" customFormat="false" ht="15" hidden="false" customHeight="false" outlineLevel="0" collapsed="false">
      <c r="A481" s="18"/>
      <c r="B481" s="5"/>
      <c r="C481" s="5"/>
      <c r="D481" s="5"/>
      <c r="E481" s="5"/>
      <c r="F481" s="5"/>
      <c r="G481" s="14"/>
      <c r="H481" s="14"/>
      <c r="I481" s="19" t="str">
        <f aca="false">IF(D481="","",IFERROR(IF(INDEX(Log!$I:$I,MATCH(D481,Log!$G:$G,0))&amp;""="",INDEX(Log!$A:$A,MATCH(D481,Log!$G:$G,0))&amp;"",INDEX(Log!$I:$I,MATCH(D481,Log!$G:$G,0))&amp;""),IF(AND(LEN(D481)=4,LEFT(D481,1)="L",ISNUMBER(VALUE(MID(D481,2,3)))),"ID não encontrado no Log","")))</f>
        <v/>
      </c>
      <c r="J481" s="5"/>
    </row>
    <row r="482" customFormat="false" ht="15" hidden="false" customHeight="false" outlineLevel="0" collapsed="false">
      <c r="A482" s="18"/>
      <c r="B482" s="5"/>
      <c r="C482" s="5"/>
      <c r="D482" s="5"/>
      <c r="E482" s="5"/>
      <c r="F482" s="5"/>
      <c r="G482" s="14"/>
      <c r="H482" s="14"/>
      <c r="I482" s="19" t="str">
        <f aca="false">IF(D482="","",IFERROR(IF(INDEX(Log!$I:$I,MATCH(D482,Log!$G:$G,0))&amp;""="",INDEX(Log!$A:$A,MATCH(D482,Log!$G:$G,0))&amp;"",INDEX(Log!$I:$I,MATCH(D482,Log!$G:$G,0))&amp;""),IF(AND(LEN(D482)=4,LEFT(D482,1)="L",ISNUMBER(VALUE(MID(D482,2,3)))),"ID não encontrado no Log","")))</f>
        <v/>
      </c>
      <c r="J482" s="5"/>
    </row>
    <row r="483" customFormat="false" ht="15" hidden="false" customHeight="false" outlineLevel="0" collapsed="false">
      <c r="A483" s="18"/>
      <c r="B483" s="5"/>
      <c r="C483" s="5"/>
      <c r="D483" s="5"/>
      <c r="E483" s="5"/>
      <c r="F483" s="5"/>
      <c r="G483" s="14"/>
      <c r="H483" s="14"/>
      <c r="I483" s="19" t="str">
        <f aca="false">IF(D483="","",IFERROR(IF(INDEX(Log!$I:$I,MATCH(D483,Log!$G:$G,0))&amp;""="",INDEX(Log!$A:$A,MATCH(D483,Log!$G:$G,0))&amp;"",INDEX(Log!$I:$I,MATCH(D483,Log!$G:$G,0))&amp;""),IF(AND(LEN(D483)=4,LEFT(D483,1)="L",ISNUMBER(VALUE(MID(D483,2,3)))),"ID não encontrado no Log","")))</f>
        <v/>
      </c>
      <c r="J483" s="5"/>
    </row>
    <row r="484" customFormat="false" ht="15" hidden="false" customHeight="false" outlineLevel="0" collapsed="false">
      <c r="A484" s="18"/>
      <c r="B484" s="5"/>
      <c r="C484" s="5"/>
      <c r="D484" s="5"/>
      <c r="E484" s="5"/>
      <c r="F484" s="5"/>
      <c r="G484" s="14"/>
      <c r="H484" s="14"/>
      <c r="I484" s="19" t="str">
        <f aca="false">IF(D484="","",IFERROR(IF(INDEX(Log!$I:$I,MATCH(D484,Log!$G:$G,0))&amp;""="",INDEX(Log!$A:$A,MATCH(D484,Log!$G:$G,0))&amp;"",INDEX(Log!$I:$I,MATCH(D484,Log!$G:$G,0))&amp;""),IF(AND(LEN(D484)=4,LEFT(D484,1)="L",ISNUMBER(VALUE(MID(D484,2,3)))),"ID não encontrado no Log","")))</f>
        <v/>
      </c>
      <c r="J484" s="5"/>
    </row>
    <row r="485" customFormat="false" ht="15" hidden="false" customHeight="false" outlineLevel="0" collapsed="false">
      <c r="A485" s="18"/>
      <c r="B485" s="5"/>
      <c r="C485" s="5"/>
      <c r="D485" s="5"/>
      <c r="E485" s="5"/>
      <c r="F485" s="5"/>
      <c r="G485" s="14"/>
      <c r="H485" s="14"/>
      <c r="I485" s="19" t="str">
        <f aca="false">IF(D485="","",IFERROR(IF(INDEX(Log!$I:$I,MATCH(D485,Log!$G:$G,0))&amp;""="",INDEX(Log!$A:$A,MATCH(D485,Log!$G:$G,0))&amp;"",INDEX(Log!$I:$I,MATCH(D485,Log!$G:$G,0))&amp;""),IF(AND(LEN(D485)=4,LEFT(D485,1)="L",ISNUMBER(VALUE(MID(D485,2,3)))),"ID não encontrado no Log","")))</f>
        <v/>
      </c>
      <c r="J485" s="5"/>
    </row>
    <row r="486" customFormat="false" ht="15" hidden="false" customHeight="false" outlineLevel="0" collapsed="false">
      <c r="A486" s="18"/>
      <c r="B486" s="5"/>
      <c r="C486" s="5"/>
      <c r="D486" s="5"/>
      <c r="E486" s="5"/>
      <c r="F486" s="5"/>
      <c r="G486" s="14"/>
      <c r="H486" s="14"/>
      <c r="I486" s="19" t="str">
        <f aca="false">IF(D486="","",IFERROR(IF(INDEX(Log!$I:$I,MATCH(D486,Log!$G:$G,0))&amp;""="",INDEX(Log!$A:$A,MATCH(D486,Log!$G:$G,0))&amp;"",INDEX(Log!$I:$I,MATCH(D486,Log!$G:$G,0))&amp;""),IF(AND(LEN(D486)=4,LEFT(D486,1)="L",ISNUMBER(VALUE(MID(D486,2,3)))),"ID não encontrado no Log","")))</f>
        <v/>
      </c>
      <c r="J486" s="5"/>
    </row>
    <row r="487" customFormat="false" ht="15" hidden="false" customHeight="false" outlineLevel="0" collapsed="false">
      <c r="A487" s="18"/>
      <c r="B487" s="5"/>
      <c r="C487" s="5"/>
      <c r="D487" s="5"/>
      <c r="E487" s="5"/>
      <c r="F487" s="5"/>
      <c r="G487" s="14"/>
      <c r="H487" s="14"/>
      <c r="I487" s="19" t="str">
        <f aca="false">IF(D487="","",IFERROR(IF(INDEX(Log!$I:$I,MATCH(D487,Log!$G:$G,0))&amp;""="",INDEX(Log!$A:$A,MATCH(D487,Log!$G:$G,0))&amp;"",INDEX(Log!$I:$I,MATCH(D487,Log!$G:$G,0))&amp;""),IF(AND(LEN(D487)=4,LEFT(D487,1)="L",ISNUMBER(VALUE(MID(D487,2,3)))),"ID não encontrado no Log","")))</f>
        <v/>
      </c>
      <c r="J487" s="5"/>
    </row>
    <row r="488" customFormat="false" ht="15" hidden="false" customHeight="false" outlineLevel="0" collapsed="false">
      <c r="A488" s="18"/>
      <c r="B488" s="5"/>
      <c r="C488" s="5"/>
      <c r="D488" s="5"/>
      <c r="E488" s="5"/>
      <c r="F488" s="5"/>
      <c r="G488" s="14"/>
      <c r="H488" s="14"/>
      <c r="I488" s="19" t="str">
        <f aca="false">IF(D488="","",IFERROR(IF(INDEX(Log!$I:$I,MATCH(D488,Log!$G:$G,0))&amp;""="",INDEX(Log!$A:$A,MATCH(D488,Log!$G:$G,0))&amp;"",INDEX(Log!$I:$I,MATCH(D488,Log!$G:$G,0))&amp;""),IF(AND(LEN(D488)=4,LEFT(D488,1)="L",ISNUMBER(VALUE(MID(D488,2,3)))),"ID não encontrado no Log","")))</f>
        <v/>
      </c>
      <c r="J488" s="5"/>
    </row>
    <row r="489" customFormat="false" ht="15" hidden="false" customHeight="false" outlineLevel="0" collapsed="false">
      <c r="A489" s="18"/>
      <c r="B489" s="5"/>
      <c r="C489" s="5"/>
      <c r="D489" s="5"/>
      <c r="E489" s="5"/>
      <c r="F489" s="5"/>
      <c r="G489" s="14"/>
      <c r="H489" s="14"/>
      <c r="I489" s="19" t="str">
        <f aca="false">IF(D489="","",IFERROR(IF(INDEX(Log!$I:$I,MATCH(D489,Log!$G:$G,0))&amp;""="",INDEX(Log!$A:$A,MATCH(D489,Log!$G:$G,0))&amp;"",INDEX(Log!$I:$I,MATCH(D489,Log!$G:$G,0))&amp;""),IF(AND(LEN(D489)=4,LEFT(D489,1)="L",ISNUMBER(VALUE(MID(D489,2,3)))),"ID não encontrado no Log","")))</f>
        <v/>
      </c>
      <c r="J489" s="5"/>
    </row>
    <row r="490" customFormat="false" ht="15" hidden="false" customHeight="false" outlineLevel="0" collapsed="false">
      <c r="A490" s="18"/>
      <c r="B490" s="5"/>
      <c r="C490" s="5"/>
      <c r="D490" s="5"/>
      <c r="E490" s="5"/>
      <c r="F490" s="5"/>
      <c r="G490" s="14"/>
      <c r="H490" s="14"/>
      <c r="I490" s="19" t="str">
        <f aca="false">IF(D490="","",IFERROR(IF(INDEX(Log!$I:$I,MATCH(D490,Log!$G:$G,0))&amp;""="",INDEX(Log!$A:$A,MATCH(D490,Log!$G:$G,0))&amp;"",INDEX(Log!$I:$I,MATCH(D490,Log!$G:$G,0))&amp;""),IF(AND(LEN(D490)=4,LEFT(D490,1)="L",ISNUMBER(VALUE(MID(D490,2,3)))),"ID não encontrado no Log","")))</f>
        <v/>
      </c>
      <c r="J490" s="5"/>
    </row>
    <row r="491" customFormat="false" ht="15" hidden="false" customHeight="false" outlineLevel="0" collapsed="false">
      <c r="A491" s="18"/>
      <c r="B491" s="5"/>
      <c r="C491" s="5"/>
      <c r="D491" s="5"/>
      <c r="E491" s="5"/>
      <c r="F491" s="5"/>
      <c r="G491" s="14"/>
      <c r="H491" s="14"/>
      <c r="I491" s="19" t="str">
        <f aca="false">IF(D491="","",IFERROR(IF(INDEX(Log!$I:$I,MATCH(D491,Log!$G:$G,0))&amp;""="",INDEX(Log!$A:$A,MATCH(D491,Log!$G:$G,0))&amp;"",INDEX(Log!$I:$I,MATCH(D491,Log!$G:$G,0))&amp;""),IF(AND(LEN(D491)=4,LEFT(D491,1)="L",ISNUMBER(VALUE(MID(D491,2,3)))),"ID não encontrado no Log","")))</f>
        <v/>
      </c>
      <c r="J491" s="5"/>
    </row>
    <row r="492" customFormat="false" ht="15" hidden="false" customHeight="false" outlineLevel="0" collapsed="false">
      <c r="A492" s="18"/>
      <c r="B492" s="5"/>
      <c r="C492" s="5"/>
      <c r="D492" s="5"/>
      <c r="E492" s="5"/>
      <c r="F492" s="5"/>
      <c r="G492" s="14"/>
      <c r="H492" s="14"/>
      <c r="I492" s="19" t="str">
        <f aca="false">IF(D492="","",IFERROR(IF(INDEX(Log!$I:$I,MATCH(D492,Log!$G:$G,0))&amp;""="",INDEX(Log!$A:$A,MATCH(D492,Log!$G:$G,0))&amp;"",INDEX(Log!$I:$I,MATCH(D492,Log!$G:$G,0))&amp;""),IF(AND(LEN(D492)=4,LEFT(D492,1)="L",ISNUMBER(VALUE(MID(D492,2,3)))),"ID não encontrado no Log","")))</f>
        <v/>
      </c>
      <c r="J492" s="5"/>
    </row>
    <row r="493" customFormat="false" ht="15" hidden="false" customHeight="false" outlineLevel="0" collapsed="false">
      <c r="A493" s="18"/>
      <c r="B493" s="5"/>
      <c r="C493" s="5"/>
      <c r="D493" s="5"/>
      <c r="E493" s="5"/>
      <c r="F493" s="5"/>
      <c r="G493" s="14"/>
      <c r="H493" s="14"/>
      <c r="I493" s="19" t="str">
        <f aca="false">IF(D493="","",IFERROR(IF(INDEX(Log!$I:$I,MATCH(D493,Log!$G:$G,0))&amp;""="",INDEX(Log!$A:$A,MATCH(D493,Log!$G:$G,0))&amp;"",INDEX(Log!$I:$I,MATCH(D493,Log!$G:$G,0))&amp;""),IF(AND(LEN(D493)=4,LEFT(D493,1)="L",ISNUMBER(VALUE(MID(D493,2,3)))),"ID não encontrado no Log","")))</f>
        <v/>
      </c>
      <c r="J493" s="5"/>
    </row>
    <row r="494" customFormat="false" ht="15" hidden="false" customHeight="false" outlineLevel="0" collapsed="false">
      <c r="A494" s="18"/>
      <c r="B494" s="5"/>
      <c r="C494" s="5"/>
      <c r="D494" s="5"/>
      <c r="E494" s="5"/>
      <c r="F494" s="5"/>
      <c r="G494" s="14"/>
      <c r="H494" s="14"/>
      <c r="I494" s="19" t="str">
        <f aca="false">IF(D494="","",IFERROR(IF(INDEX(Log!$I:$I,MATCH(D494,Log!$G:$G,0))&amp;""="",INDEX(Log!$A:$A,MATCH(D494,Log!$G:$G,0))&amp;"",INDEX(Log!$I:$I,MATCH(D494,Log!$G:$G,0))&amp;""),IF(AND(LEN(D494)=4,LEFT(D494,1)="L",ISNUMBER(VALUE(MID(D494,2,3)))),"ID não encontrado no Log","")))</f>
        <v/>
      </c>
      <c r="J494" s="5"/>
    </row>
    <row r="495" customFormat="false" ht="15" hidden="false" customHeight="false" outlineLevel="0" collapsed="false">
      <c r="A495" s="18"/>
      <c r="B495" s="5"/>
      <c r="C495" s="5"/>
      <c r="D495" s="5"/>
      <c r="E495" s="5"/>
      <c r="F495" s="5"/>
      <c r="G495" s="14"/>
      <c r="H495" s="14"/>
      <c r="I495" s="19" t="str">
        <f aca="false">IF(D495="","",IFERROR(IF(INDEX(Log!$I:$I,MATCH(D495,Log!$G:$G,0))&amp;""="",INDEX(Log!$A:$A,MATCH(D495,Log!$G:$G,0))&amp;"",INDEX(Log!$I:$I,MATCH(D495,Log!$G:$G,0))&amp;""),IF(AND(LEN(D495)=4,LEFT(D495,1)="L",ISNUMBER(VALUE(MID(D495,2,3)))),"ID não encontrado no Log","")))</f>
        <v/>
      </c>
      <c r="J495" s="5"/>
    </row>
    <row r="496" customFormat="false" ht="15" hidden="false" customHeight="false" outlineLevel="0" collapsed="false">
      <c r="A496" s="18"/>
      <c r="B496" s="5"/>
      <c r="C496" s="5"/>
      <c r="D496" s="5"/>
      <c r="E496" s="5"/>
      <c r="F496" s="5"/>
      <c r="G496" s="14"/>
      <c r="H496" s="14"/>
      <c r="I496" s="19" t="str">
        <f aca="false">IF(D496="","",IFERROR(IF(INDEX(Log!$I:$I,MATCH(D496,Log!$G:$G,0))&amp;""="",INDEX(Log!$A:$A,MATCH(D496,Log!$G:$G,0))&amp;"",INDEX(Log!$I:$I,MATCH(D496,Log!$G:$G,0))&amp;""),IF(AND(LEN(D496)=4,LEFT(D496,1)="L",ISNUMBER(VALUE(MID(D496,2,3)))),"ID não encontrado no Log","")))</f>
        <v/>
      </c>
      <c r="J496" s="5"/>
    </row>
    <row r="497" customFormat="false" ht="15" hidden="false" customHeight="false" outlineLevel="0" collapsed="false">
      <c r="A497" s="18"/>
      <c r="B497" s="5"/>
      <c r="C497" s="5"/>
      <c r="D497" s="5"/>
      <c r="E497" s="5"/>
      <c r="F497" s="5"/>
      <c r="G497" s="14"/>
      <c r="H497" s="14"/>
      <c r="I497" s="19" t="str">
        <f aca="false">IF(D497="","",IFERROR(IF(INDEX(Log!$I:$I,MATCH(D497,Log!$G:$G,0))&amp;""="",INDEX(Log!$A:$A,MATCH(D497,Log!$G:$G,0))&amp;"",INDEX(Log!$I:$I,MATCH(D497,Log!$G:$G,0))&amp;""),IF(AND(LEN(D497)=4,LEFT(D497,1)="L",ISNUMBER(VALUE(MID(D497,2,3)))),"ID não encontrado no Log","")))</f>
        <v/>
      </c>
      <c r="J497" s="5"/>
    </row>
    <row r="498" customFormat="false" ht="15" hidden="false" customHeight="false" outlineLevel="0" collapsed="false">
      <c r="A498" s="18"/>
      <c r="B498" s="5"/>
      <c r="C498" s="5"/>
      <c r="D498" s="5"/>
      <c r="E498" s="5"/>
      <c r="F498" s="5"/>
      <c r="G498" s="14"/>
      <c r="H498" s="14"/>
      <c r="I498" s="19" t="str">
        <f aca="false">IF(D498="","",IFERROR(IF(INDEX(Log!$I:$I,MATCH(D498,Log!$G:$G,0))&amp;""="",INDEX(Log!$A:$A,MATCH(D498,Log!$G:$G,0))&amp;"",INDEX(Log!$I:$I,MATCH(D498,Log!$G:$G,0))&amp;""),IF(AND(LEN(D498)=4,LEFT(D498,1)="L",ISNUMBER(VALUE(MID(D498,2,3)))),"ID não encontrado no Log","")))</f>
        <v/>
      </c>
      <c r="J498" s="5"/>
    </row>
    <row r="499" customFormat="false" ht="15" hidden="false" customHeight="false" outlineLevel="0" collapsed="false">
      <c r="A499" s="18"/>
      <c r="B499" s="5"/>
      <c r="C499" s="5"/>
      <c r="D499" s="5"/>
      <c r="E499" s="5"/>
      <c r="F499" s="5"/>
      <c r="G499" s="14"/>
      <c r="H499" s="14"/>
      <c r="I499" s="19" t="str">
        <f aca="false">IF(D499="","",IFERROR(IF(INDEX(Log!$I:$I,MATCH(D499,Log!$G:$G,0))&amp;""="",INDEX(Log!$A:$A,MATCH(D499,Log!$G:$G,0))&amp;"",INDEX(Log!$I:$I,MATCH(D499,Log!$G:$G,0))&amp;""),IF(AND(LEN(D499)=4,LEFT(D499,1)="L",ISNUMBER(VALUE(MID(D499,2,3)))),"ID não encontrado no Log","")))</f>
        <v/>
      </c>
      <c r="J499" s="5"/>
    </row>
    <row r="500" customFormat="false" ht="15" hidden="false" customHeight="false" outlineLevel="0" collapsed="false">
      <c r="A500" s="18"/>
      <c r="B500" s="5"/>
      <c r="C500" s="5"/>
      <c r="D500" s="5"/>
      <c r="E500" s="5"/>
      <c r="F500" s="5"/>
      <c r="G500" s="14"/>
      <c r="H500" s="14"/>
      <c r="I500" s="19" t="str">
        <f aca="false">IF(D500="","",IFERROR(IF(INDEX(Log!$I:$I,MATCH(D500,Log!$G:$G,0))&amp;""="",INDEX(Log!$A:$A,MATCH(D500,Log!$G:$G,0))&amp;"",INDEX(Log!$I:$I,MATCH(D500,Log!$G:$G,0))&amp;""),IF(AND(LEN(D500)=4,LEFT(D500,1)="L",ISNUMBER(VALUE(MID(D500,2,3)))),"ID não encontrado no Log","")))</f>
        <v/>
      </c>
      <c r="J500" s="5"/>
    </row>
    <row r="501" customFormat="false" ht="15" hidden="false" customHeight="false" outlineLevel="0" collapsed="false">
      <c r="A501" s="18"/>
      <c r="B501" s="5"/>
      <c r="C501" s="5"/>
      <c r="D501" s="5"/>
      <c r="E501" s="5"/>
      <c r="F501" s="5"/>
      <c r="G501" s="14"/>
      <c r="H501" s="14"/>
      <c r="I501" s="19" t="str">
        <f aca="false">IF(D501="","",IFERROR(IF(INDEX(Log!$I:$I,MATCH(D501,Log!$G:$G,0))&amp;""="",INDEX(Log!$A:$A,MATCH(D501,Log!$G:$G,0))&amp;"",INDEX(Log!$I:$I,MATCH(D501,Log!$G:$G,0))&amp;""),IF(AND(LEN(D501)=4,LEFT(D501,1)="L",ISNUMBER(VALUE(MID(D501,2,3)))),"ID não encontrado no Log","")))</f>
        <v/>
      </c>
      <c r="J501" s="5"/>
    </row>
  </sheetData>
  <autoFilter ref="A1:J501"/>
  <dataValidations count="2">
    <dataValidation allowBlank="true" error="Escolha uma opção da lista (as opções estão na aba Listas)." errorStyle="stop" operator="between" showDropDown="false" showErrorMessage="false" showInputMessage="false" sqref="G2:G501" type="list">
      <formula1>Listas!$B$2:$B$18</formula1>
      <formula2>0</formula2>
    </dataValidation>
    <dataValidation allowBlank="true" error="Escolha uma opção da lista (as opções estão na aba Listas)." errorStyle="stop" operator="between" showDropDown="false" showErrorMessage="false" showInputMessage="false" sqref="H2:H501" type="list">
      <formula1>Listas!$C$2:$C$4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  <col collapsed="false" customWidth="true" hidden="false" outlineLevel="0" max="3" min="3" style="0" width="44"/>
    <col collapsed="false" customWidth="true" hidden="false" outlineLevel="0" max="4" min="4" style="0" width="34"/>
  </cols>
  <sheetData>
    <row r="1" customFormat="false" ht="39.75" hidden="false" customHeight="true" outlineLevel="0" collapsed="false">
      <c r="A1" s="10" t="s">
        <v>205</v>
      </c>
      <c r="B1" s="10" t="s">
        <v>206</v>
      </c>
      <c r="C1" s="10" t="s">
        <v>207</v>
      </c>
      <c r="D1" s="10" t="s">
        <v>138</v>
      </c>
    </row>
    <row r="2" customFormat="false" ht="48" hidden="false" customHeight="true" outlineLevel="0" collapsed="false">
      <c r="A2" s="20" t="s">
        <v>208</v>
      </c>
      <c r="B2" s="7" t="s">
        <v>209</v>
      </c>
      <c r="C2" s="7"/>
      <c r="D2" s="7" t="s">
        <v>210</v>
      </c>
    </row>
    <row r="3" customFormat="false" ht="48" hidden="false" customHeight="true" outlineLevel="0" collapsed="false">
      <c r="A3" s="20" t="s">
        <v>211</v>
      </c>
      <c r="B3" s="7" t="s">
        <v>212</v>
      </c>
      <c r="C3" s="7" t="s">
        <v>213</v>
      </c>
      <c r="D3" s="7" t="s">
        <v>214</v>
      </c>
    </row>
    <row r="4" customFormat="false" ht="48" hidden="false" customHeight="true" outlineLevel="0" collapsed="false">
      <c r="A4" s="20" t="s">
        <v>215</v>
      </c>
      <c r="B4" s="7" t="s">
        <v>216</v>
      </c>
      <c r="C4" s="7" t="s">
        <v>217</v>
      </c>
      <c r="D4" s="7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5" min="4" style="0" width="10"/>
    <col collapsed="false" customWidth="true" hidden="false" outlineLevel="0" max="6" min="6" style="0" width="28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1" min="10" style="0" width="30"/>
  </cols>
  <sheetData>
    <row r="1" customFormat="false" ht="39.75" hidden="false" customHeight="true" outlineLevel="0" collapsed="false">
      <c r="A1" s="10" t="s">
        <v>156</v>
      </c>
      <c r="B1" s="10" t="s">
        <v>159</v>
      </c>
      <c r="C1" s="10" t="s">
        <v>218</v>
      </c>
      <c r="D1" s="10" t="s">
        <v>219</v>
      </c>
      <c r="E1" s="10" t="s">
        <v>220</v>
      </c>
      <c r="F1" s="10" t="s">
        <v>221</v>
      </c>
      <c r="G1" s="10" t="s">
        <v>222</v>
      </c>
      <c r="H1" s="10" t="s">
        <v>223</v>
      </c>
      <c r="I1" s="10" t="s">
        <v>224</v>
      </c>
      <c r="J1" s="15" t="s">
        <v>225</v>
      </c>
      <c r="K1" s="10" t="s">
        <v>138</v>
      </c>
    </row>
    <row r="2" customFormat="false" ht="15" hidden="false" customHeight="false" outlineLevel="0" collapsed="false">
      <c r="A2" s="7" t="s">
        <v>226</v>
      </c>
      <c r="B2" s="7" t="s">
        <v>227</v>
      </c>
      <c r="C2" s="13" t="n">
        <v>3</v>
      </c>
      <c r="D2" s="13" t="n">
        <v>1</v>
      </c>
      <c r="E2" s="13"/>
      <c r="F2" s="7" t="s">
        <v>228</v>
      </c>
      <c r="G2" s="13" t="n">
        <v>1</v>
      </c>
      <c r="H2" s="13" t="s">
        <v>229</v>
      </c>
      <c r="I2" s="13" t="s">
        <v>230</v>
      </c>
      <c r="J2" s="17" t="str">
        <f aca="false">IF(A2="","",IF(AND(C2=3,D2=3,OR(F2="",F2=1,LOWER(F2&amp;"")="não",LOWER(F2&amp;"")="nenhuma")),"Muito acesso, muito interesse, sem corroboração: a mais perigosa (aula 2.1)",""))</f>
        <v/>
      </c>
      <c r="K2" s="7" t="s">
        <v>167</v>
      </c>
    </row>
    <row r="3" customFormat="false" ht="15" hidden="false" customHeight="false" outlineLevel="0" collapsed="false">
      <c r="A3" s="7" t="s">
        <v>231</v>
      </c>
      <c r="B3" s="7" t="s">
        <v>232</v>
      </c>
      <c r="C3" s="13" t="n">
        <v>2</v>
      </c>
      <c r="D3" s="13" t="n">
        <v>3</v>
      </c>
      <c r="E3" s="13" t="n">
        <v>1</v>
      </c>
      <c r="F3" s="7" t="s">
        <v>233</v>
      </c>
      <c r="G3" s="13" t="n">
        <v>2</v>
      </c>
      <c r="H3" s="13" t="s">
        <v>234</v>
      </c>
      <c r="I3" s="13" t="s">
        <v>235</v>
      </c>
      <c r="J3" s="17" t="str">
        <f aca="false">IF(A3="","",IF(AND(C3=3,D3=3,OR(F3="",F3=1,LOWER(F3&amp;"")="não",LOWER(F3&amp;"")="nenhuma")),"Muito acesso, muito interesse, sem corroboração: a mais perigosa (aula 2.1)",""))</f>
        <v/>
      </c>
      <c r="K3" s="7" t="s">
        <v>167</v>
      </c>
    </row>
    <row r="4" customFormat="false" ht="23.85" hidden="false" customHeight="false" outlineLevel="0" collapsed="false">
      <c r="A4" s="7" t="s">
        <v>236</v>
      </c>
      <c r="B4" s="7" t="s">
        <v>237</v>
      </c>
      <c r="C4" s="13" t="n">
        <v>2</v>
      </c>
      <c r="D4" s="13" t="n">
        <v>3</v>
      </c>
      <c r="E4" s="13" t="n">
        <v>2</v>
      </c>
      <c r="F4" s="7"/>
      <c r="G4" s="13" t="n">
        <v>3</v>
      </c>
      <c r="H4" s="13" t="s">
        <v>238</v>
      </c>
      <c r="I4" s="13" t="s">
        <v>235</v>
      </c>
      <c r="J4" s="17" t="str">
        <f aca="false">IF(A4="","",IF(AND(C4=3,D4=3,OR(F4="",F4=1,LOWER(F4&amp;"")="não",LOWER(F4&amp;"")="nenhuma")),"Muito acesso, muito interesse, sem corroboração: a mais perigosa (aula 2.1)",""))</f>
        <v/>
      </c>
      <c r="K4" s="7" t="s">
        <v>239</v>
      </c>
    </row>
    <row r="5" customFormat="false" ht="23.85" hidden="false" customHeight="false" outlineLevel="0" collapsed="false">
      <c r="A5" s="7" t="s">
        <v>240</v>
      </c>
      <c r="B5" s="7" t="s">
        <v>241</v>
      </c>
      <c r="C5" s="13" t="n">
        <v>3</v>
      </c>
      <c r="D5" s="13" t="n">
        <v>3</v>
      </c>
      <c r="E5" s="13" t="n">
        <v>1</v>
      </c>
      <c r="F5" s="7"/>
      <c r="G5" s="13" t="n">
        <v>4</v>
      </c>
      <c r="H5" s="13" t="s">
        <v>229</v>
      </c>
      <c r="I5" s="13" t="s">
        <v>242</v>
      </c>
      <c r="J5" s="17" t="str">
        <f aca="false">IF(A5="","",IF(AND(C5=3,D5=3,OR(F5="",F5=1,LOWER(F5&amp;"")="não",LOWER(F5&amp;"")="nenhuma")),"Muito acesso, muito interesse, sem corroboração: a mais perigosa (aula 2.1)",""))</f>
        <v>Muito acesso, muito interesse, sem corroboração: a mais perigosa (aula 2.1)</v>
      </c>
      <c r="K5" s="7" t="s">
        <v>243</v>
      </c>
    </row>
    <row r="6" customFormat="false" ht="23.85" hidden="false" customHeight="false" outlineLevel="0" collapsed="false">
      <c r="A6" s="7" t="s">
        <v>244</v>
      </c>
      <c r="B6" s="7" t="s">
        <v>245</v>
      </c>
      <c r="C6" s="13" t="n">
        <v>3</v>
      </c>
      <c r="D6" s="13" t="n">
        <v>3</v>
      </c>
      <c r="E6" s="13"/>
      <c r="F6" s="7" t="s">
        <v>246</v>
      </c>
      <c r="G6" s="13" t="n">
        <v>5</v>
      </c>
      <c r="H6" s="13" t="s">
        <v>238</v>
      </c>
      <c r="I6" s="13" t="s">
        <v>235</v>
      </c>
      <c r="J6" s="17" t="str">
        <f aca="false">IF(A6="","",IF(AND(C6=3,D6=3,OR(F6="",F6=1,LOWER(F6&amp;"")="não",LOWER(F6&amp;"")="nenhuma")),"Muito acesso, muito interesse, sem corroboração: a mais perigosa (aula 2.1)",""))</f>
        <v/>
      </c>
      <c r="K6" s="7" t="s">
        <v>247</v>
      </c>
    </row>
    <row r="7" customFormat="false" ht="15" hidden="false" customHeight="false" outlineLevel="0" collapsed="false">
      <c r="A7" s="5"/>
      <c r="B7" s="5"/>
      <c r="C7" s="14"/>
      <c r="D7" s="14"/>
      <c r="E7" s="14"/>
      <c r="F7" s="5"/>
      <c r="G7" s="14"/>
      <c r="H7" s="14"/>
      <c r="I7" s="14"/>
      <c r="J7" s="19" t="str">
        <f aca="false">IF(A7="","",IF(AND(C7=3,D7=3,OR(F7="",F7=1,LOWER(F7&amp;"")="não",LOWER(F7&amp;"")="nenhuma")),"Muito acesso, muito interesse, sem corroboração: a mais perigosa (aula 2.1)",""))</f>
        <v/>
      </c>
      <c r="K7" s="5"/>
    </row>
    <row r="8" customFormat="false" ht="15" hidden="false" customHeight="false" outlineLevel="0" collapsed="false">
      <c r="A8" s="5"/>
      <c r="B8" s="5"/>
      <c r="C8" s="14"/>
      <c r="D8" s="14"/>
      <c r="E8" s="14"/>
      <c r="F8" s="5"/>
      <c r="G8" s="14"/>
      <c r="H8" s="14"/>
      <c r="I8" s="14"/>
      <c r="J8" s="19" t="str">
        <f aca="false">IF(A8="","",IF(AND(C8=3,D8=3,OR(F8="",F8=1,LOWER(F8&amp;"")="não",LOWER(F8&amp;"")="nenhuma")),"Muito acesso, muito interesse, sem corroboração: a mais perigosa (aula 2.1)",""))</f>
        <v/>
      </c>
      <c r="K8" s="5"/>
    </row>
    <row r="9" customFormat="false" ht="15" hidden="false" customHeight="false" outlineLevel="0" collapsed="false">
      <c r="A9" s="5"/>
      <c r="B9" s="5"/>
      <c r="C9" s="14"/>
      <c r="D9" s="14"/>
      <c r="E9" s="14"/>
      <c r="F9" s="5"/>
      <c r="G9" s="14"/>
      <c r="H9" s="14"/>
      <c r="I9" s="14"/>
      <c r="J9" s="19" t="str">
        <f aca="false">IF(A9="","",IF(AND(C9=3,D9=3,OR(F9="",F9=1,LOWER(F9&amp;"")="não",LOWER(F9&amp;"")="nenhuma")),"Muito acesso, muito interesse, sem corroboração: a mais perigosa (aula 2.1)",""))</f>
        <v/>
      </c>
      <c r="K9" s="5"/>
    </row>
    <row r="10" customFormat="false" ht="15" hidden="false" customHeight="false" outlineLevel="0" collapsed="false">
      <c r="A10" s="5"/>
      <c r="B10" s="5"/>
      <c r="C10" s="14"/>
      <c r="D10" s="14"/>
      <c r="E10" s="14"/>
      <c r="F10" s="5"/>
      <c r="G10" s="14"/>
      <c r="H10" s="14"/>
      <c r="I10" s="14"/>
      <c r="J10" s="19" t="str">
        <f aca="false">IF(A10="","",IF(AND(C10=3,D10=3,OR(F10="",F10=1,LOWER(F10&amp;"")="não",LOWER(F10&amp;"")="nenhuma")),"Muito acesso, muito interesse, sem corroboração: a mais perigosa (aula 2.1)",""))</f>
        <v/>
      </c>
      <c r="K10" s="5"/>
    </row>
    <row r="11" customFormat="false" ht="15" hidden="false" customHeight="false" outlineLevel="0" collapsed="false">
      <c r="A11" s="5"/>
      <c r="B11" s="5"/>
      <c r="C11" s="14"/>
      <c r="D11" s="14"/>
      <c r="E11" s="14"/>
      <c r="F11" s="5"/>
      <c r="G11" s="14"/>
      <c r="H11" s="14"/>
      <c r="I11" s="14"/>
      <c r="J11" s="19" t="str">
        <f aca="false">IF(A11="","",IF(AND(C11=3,D11=3,OR(F11="",F11=1,LOWER(F11&amp;"")="não",LOWER(F11&amp;"")="nenhuma")),"Muito acesso, muito interesse, sem corroboração: a mais perigosa (aula 2.1)",""))</f>
        <v/>
      </c>
      <c r="K11" s="5"/>
    </row>
    <row r="12" customFormat="false" ht="15" hidden="false" customHeight="false" outlineLevel="0" collapsed="false">
      <c r="A12" s="5"/>
      <c r="B12" s="5"/>
      <c r="C12" s="14"/>
      <c r="D12" s="14"/>
      <c r="E12" s="14"/>
      <c r="F12" s="5"/>
      <c r="G12" s="14"/>
      <c r="H12" s="14"/>
      <c r="I12" s="14"/>
      <c r="J12" s="19" t="str">
        <f aca="false">IF(A12="","",IF(AND(C12=3,D12=3,OR(F12="",F12=1,LOWER(F12&amp;"")="não",LOWER(F12&amp;"")="nenhuma")),"Muito acesso, muito interesse, sem corroboração: a mais perigosa (aula 2.1)",""))</f>
        <v/>
      </c>
      <c r="K12" s="5"/>
    </row>
    <row r="13" customFormat="false" ht="15" hidden="false" customHeight="false" outlineLevel="0" collapsed="false">
      <c r="A13" s="5"/>
      <c r="B13" s="5"/>
      <c r="C13" s="14"/>
      <c r="D13" s="14"/>
      <c r="E13" s="14"/>
      <c r="F13" s="5"/>
      <c r="G13" s="14"/>
      <c r="H13" s="14"/>
      <c r="I13" s="14"/>
      <c r="J13" s="19" t="str">
        <f aca="false">IF(A13="","",IF(AND(C13=3,D13=3,OR(F13="",F13=1,LOWER(F13&amp;"")="não",LOWER(F13&amp;"")="nenhuma")),"Muito acesso, muito interesse, sem corroboração: a mais perigosa (aula 2.1)",""))</f>
        <v/>
      </c>
      <c r="K13" s="5"/>
    </row>
    <row r="14" customFormat="false" ht="15" hidden="false" customHeight="false" outlineLevel="0" collapsed="false">
      <c r="A14" s="5"/>
      <c r="B14" s="5"/>
      <c r="C14" s="14"/>
      <c r="D14" s="14"/>
      <c r="E14" s="14"/>
      <c r="F14" s="5"/>
      <c r="G14" s="14"/>
      <c r="H14" s="14"/>
      <c r="I14" s="14"/>
      <c r="J14" s="19" t="str">
        <f aca="false">IF(A14="","",IF(AND(C14=3,D14=3,OR(F14="",F14=1,LOWER(F14&amp;"")="não",LOWER(F14&amp;"")="nenhuma")),"Muito acesso, muito interesse, sem corroboração: a mais perigosa (aula 2.1)",""))</f>
        <v/>
      </c>
      <c r="K14" s="5"/>
    </row>
    <row r="15" customFormat="false" ht="15" hidden="false" customHeight="false" outlineLevel="0" collapsed="false">
      <c r="A15" s="5"/>
      <c r="B15" s="5"/>
      <c r="C15" s="14"/>
      <c r="D15" s="14"/>
      <c r="E15" s="14"/>
      <c r="F15" s="5"/>
      <c r="G15" s="14"/>
      <c r="H15" s="14"/>
      <c r="I15" s="14"/>
      <c r="J15" s="19" t="str">
        <f aca="false">IF(A15="","",IF(AND(C15=3,D15=3,OR(F15="",F15=1,LOWER(F15&amp;"")="não",LOWER(F15&amp;"")="nenhuma")),"Muito acesso, muito interesse, sem corroboração: a mais perigosa (aula 2.1)",""))</f>
        <v/>
      </c>
      <c r="K15" s="5"/>
    </row>
    <row r="16" customFormat="false" ht="15" hidden="false" customHeight="false" outlineLevel="0" collapsed="false">
      <c r="A16" s="5"/>
      <c r="B16" s="5"/>
      <c r="C16" s="14"/>
      <c r="D16" s="14"/>
      <c r="E16" s="14"/>
      <c r="F16" s="5"/>
      <c r="G16" s="14"/>
      <c r="H16" s="14"/>
      <c r="I16" s="14"/>
      <c r="J16" s="19" t="str">
        <f aca="false">IF(A16="","",IF(AND(C16=3,D16=3,OR(F16="",F16=1,LOWER(F16&amp;"")="não",LOWER(F16&amp;"")="nenhuma")),"Muito acesso, muito interesse, sem corroboração: a mais perigosa (aula 2.1)",""))</f>
        <v/>
      </c>
      <c r="K16" s="5"/>
    </row>
    <row r="17" customFormat="false" ht="15" hidden="false" customHeight="false" outlineLevel="0" collapsed="false">
      <c r="A17" s="5"/>
      <c r="B17" s="5"/>
      <c r="C17" s="14"/>
      <c r="D17" s="14"/>
      <c r="E17" s="14"/>
      <c r="F17" s="5"/>
      <c r="G17" s="14"/>
      <c r="H17" s="14"/>
      <c r="I17" s="14"/>
      <c r="J17" s="19" t="str">
        <f aca="false">IF(A17="","",IF(AND(C17=3,D17=3,OR(F17="",F17=1,LOWER(F17&amp;"")="não",LOWER(F17&amp;"")="nenhuma")),"Muito acesso, muito interesse, sem corroboração: a mais perigosa (aula 2.1)",""))</f>
        <v/>
      </c>
      <c r="K17" s="5"/>
    </row>
    <row r="18" customFormat="false" ht="15" hidden="false" customHeight="false" outlineLevel="0" collapsed="false">
      <c r="A18" s="5"/>
      <c r="B18" s="5"/>
      <c r="C18" s="14"/>
      <c r="D18" s="14"/>
      <c r="E18" s="14"/>
      <c r="F18" s="5"/>
      <c r="G18" s="14"/>
      <c r="H18" s="14"/>
      <c r="I18" s="14"/>
      <c r="J18" s="19" t="str">
        <f aca="false">IF(A18="","",IF(AND(C18=3,D18=3,OR(F18="",F18=1,LOWER(F18&amp;"")="não",LOWER(F18&amp;"")="nenhuma")),"Muito acesso, muito interesse, sem corroboração: a mais perigosa (aula 2.1)",""))</f>
        <v/>
      </c>
      <c r="K18" s="5"/>
    </row>
    <row r="19" customFormat="false" ht="15" hidden="false" customHeight="false" outlineLevel="0" collapsed="false">
      <c r="A19" s="5"/>
      <c r="B19" s="5"/>
      <c r="C19" s="14"/>
      <c r="D19" s="14"/>
      <c r="E19" s="14"/>
      <c r="F19" s="5"/>
      <c r="G19" s="14"/>
      <c r="H19" s="14"/>
      <c r="I19" s="14"/>
      <c r="J19" s="19" t="str">
        <f aca="false">IF(A19="","",IF(AND(C19=3,D19=3,OR(F19="",F19=1,LOWER(F19&amp;"")="não",LOWER(F19&amp;"")="nenhuma")),"Muito acesso, muito interesse, sem corroboração: a mais perigosa (aula 2.1)",""))</f>
        <v/>
      </c>
      <c r="K19" s="5"/>
    </row>
    <row r="20" customFormat="false" ht="15" hidden="false" customHeight="false" outlineLevel="0" collapsed="false">
      <c r="A20" s="5"/>
      <c r="B20" s="5"/>
      <c r="C20" s="14"/>
      <c r="D20" s="14"/>
      <c r="E20" s="14"/>
      <c r="F20" s="5"/>
      <c r="G20" s="14"/>
      <c r="H20" s="14"/>
      <c r="I20" s="14"/>
      <c r="J20" s="19" t="str">
        <f aca="false">IF(A20="","",IF(AND(C20=3,D20=3,OR(F20="",F20=1,LOWER(F20&amp;"")="não",LOWER(F20&amp;"")="nenhuma")),"Muito acesso, muito interesse, sem corroboração: a mais perigosa (aula 2.1)",""))</f>
        <v/>
      </c>
      <c r="K20" s="5"/>
    </row>
    <row r="21" customFormat="false" ht="15" hidden="false" customHeight="false" outlineLevel="0" collapsed="false">
      <c r="A21" s="5"/>
      <c r="B21" s="5"/>
      <c r="C21" s="14"/>
      <c r="D21" s="14"/>
      <c r="E21" s="14"/>
      <c r="F21" s="5"/>
      <c r="G21" s="14"/>
      <c r="H21" s="14"/>
      <c r="I21" s="14"/>
      <c r="J21" s="19" t="str">
        <f aca="false">IF(A21="","",IF(AND(C21=3,D21=3,OR(F21="",F21=1,LOWER(F21&amp;"")="não",LOWER(F21&amp;"")="nenhuma")),"Muito acesso, muito interesse, sem corroboração: a mais perigosa (aula 2.1)",""))</f>
        <v/>
      </c>
      <c r="K21" s="5"/>
    </row>
    <row r="22" customFormat="false" ht="15" hidden="false" customHeight="false" outlineLevel="0" collapsed="false">
      <c r="A22" s="5"/>
      <c r="B22" s="5"/>
      <c r="C22" s="14"/>
      <c r="D22" s="14"/>
      <c r="E22" s="14"/>
      <c r="F22" s="5"/>
      <c r="G22" s="14"/>
      <c r="H22" s="14"/>
      <c r="I22" s="14"/>
      <c r="J22" s="19" t="str">
        <f aca="false">IF(A22="","",IF(AND(C22=3,D22=3,OR(F22="",F22=1,LOWER(F22&amp;"")="não",LOWER(F22&amp;"")="nenhuma")),"Muito acesso, muito interesse, sem corroboração: a mais perigosa (aula 2.1)",""))</f>
        <v/>
      </c>
      <c r="K22" s="5"/>
    </row>
    <row r="23" customFormat="false" ht="15" hidden="false" customHeight="false" outlineLevel="0" collapsed="false">
      <c r="A23" s="5"/>
      <c r="B23" s="5"/>
      <c r="C23" s="14"/>
      <c r="D23" s="14"/>
      <c r="E23" s="14"/>
      <c r="F23" s="5"/>
      <c r="G23" s="14"/>
      <c r="H23" s="14"/>
      <c r="I23" s="14"/>
      <c r="J23" s="19" t="str">
        <f aca="false">IF(A23="","",IF(AND(C23=3,D23=3,OR(F23="",F23=1,LOWER(F23&amp;"")="não",LOWER(F23&amp;"")="nenhuma")),"Muito acesso, muito interesse, sem corroboração: a mais perigosa (aula 2.1)",""))</f>
        <v/>
      </c>
      <c r="K23" s="5"/>
    </row>
    <row r="24" customFormat="false" ht="15" hidden="false" customHeight="false" outlineLevel="0" collapsed="false">
      <c r="A24" s="5"/>
      <c r="B24" s="5"/>
      <c r="C24" s="14"/>
      <c r="D24" s="14"/>
      <c r="E24" s="14"/>
      <c r="F24" s="5"/>
      <c r="G24" s="14"/>
      <c r="H24" s="14"/>
      <c r="I24" s="14"/>
      <c r="J24" s="19" t="str">
        <f aca="false">IF(A24="","",IF(AND(C24=3,D24=3,OR(F24="",F24=1,LOWER(F24&amp;"")="não",LOWER(F24&amp;"")="nenhuma")),"Muito acesso, muito interesse, sem corroboração: a mais perigosa (aula 2.1)",""))</f>
        <v/>
      </c>
      <c r="K24" s="5"/>
    </row>
    <row r="25" customFormat="false" ht="15" hidden="false" customHeight="false" outlineLevel="0" collapsed="false">
      <c r="A25" s="5"/>
      <c r="B25" s="5"/>
      <c r="C25" s="14"/>
      <c r="D25" s="14"/>
      <c r="E25" s="14"/>
      <c r="F25" s="5"/>
      <c r="G25" s="14"/>
      <c r="H25" s="14"/>
      <c r="I25" s="14"/>
      <c r="J25" s="19" t="str">
        <f aca="false">IF(A25="","",IF(AND(C25=3,D25=3,OR(F25="",F25=1,LOWER(F25&amp;"")="não",LOWER(F25&amp;"")="nenhuma")),"Muito acesso, muito interesse, sem corroboração: a mais perigosa (aula 2.1)",""))</f>
        <v/>
      </c>
      <c r="K25" s="5"/>
    </row>
    <row r="26" customFormat="false" ht="15" hidden="false" customHeight="false" outlineLevel="0" collapsed="false">
      <c r="A26" s="5"/>
      <c r="B26" s="5"/>
      <c r="C26" s="14"/>
      <c r="D26" s="14"/>
      <c r="E26" s="14"/>
      <c r="F26" s="5"/>
      <c r="G26" s="14"/>
      <c r="H26" s="14"/>
      <c r="I26" s="14"/>
      <c r="J26" s="19" t="str">
        <f aca="false">IF(A26="","",IF(AND(C26=3,D26=3,OR(F26="",F26=1,LOWER(F26&amp;"")="não",LOWER(F26&amp;"")="nenhuma")),"Muito acesso, muito interesse, sem corroboração: a mais perigosa (aula 2.1)",""))</f>
        <v/>
      </c>
      <c r="K26" s="5"/>
    </row>
    <row r="27" customFormat="false" ht="15" hidden="false" customHeight="false" outlineLevel="0" collapsed="false">
      <c r="A27" s="5"/>
      <c r="B27" s="5"/>
      <c r="C27" s="14"/>
      <c r="D27" s="14"/>
      <c r="E27" s="14"/>
      <c r="F27" s="5"/>
      <c r="G27" s="14"/>
      <c r="H27" s="14"/>
      <c r="I27" s="14"/>
      <c r="J27" s="19" t="str">
        <f aca="false">IF(A27="","",IF(AND(C27=3,D27=3,OR(F27="",F27=1,LOWER(F27&amp;"")="não",LOWER(F27&amp;"")="nenhuma")),"Muito acesso, muito interesse, sem corroboração: a mais perigosa (aula 2.1)",""))</f>
        <v/>
      </c>
      <c r="K27" s="5"/>
    </row>
    <row r="28" customFormat="false" ht="15" hidden="false" customHeight="false" outlineLevel="0" collapsed="false">
      <c r="A28" s="5"/>
      <c r="B28" s="5"/>
      <c r="C28" s="14"/>
      <c r="D28" s="14"/>
      <c r="E28" s="14"/>
      <c r="F28" s="5"/>
      <c r="G28" s="14"/>
      <c r="H28" s="14"/>
      <c r="I28" s="14"/>
      <c r="J28" s="19" t="str">
        <f aca="false">IF(A28="","",IF(AND(C28=3,D28=3,OR(F28="",F28=1,LOWER(F28&amp;"")="não",LOWER(F28&amp;"")="nenhuma")),"Muito acesso, muito interesse, sem corroboração: a mais perigosa (aula 2.1)",""))</f>
        <v/>
      </c>
      <c r="K28" s="5"/>
    </row>
    <row r="29" customFormat="false" ht="15" hidden="false" customHeight="false" outlineLevel="0" collapsed="false">
      <c r="A29" s="5"/>
      <c r="B29" s="5"/>
      <c r="C29" s="14"/>
      <c r="D29" s="14"/>
      <c r="E29" s="14"/>
      <c r="F29" s="5"/>
      <c r="G29" s="14"/>
      <c r="H29" s="14"/>
      <c r="I29" s="14"/>
      <c r="J29" s="19" t="str">
        <f aca="false">IF(A29="","",IF(AND(C29=3,D29=3,OR(F29="",F29=1,LOWER(F29&amp;"")="não",LOWER(F29&amp;"")="nenhuma")),"Muito acesso, muito interesse, sem corroboração: a mais perigosa (aula 2.1)",""))</f>
        <v/>
      </c>
      <c r="K29" s="5"/>
    </row>
    <row r="30" customFormat="false" ht="15" hidden="false" customHeight="false" outlineLevel="0" collapsed="false">
      <c r="A30" s="5"/>
      <c r="B30" s="5"/>
      <c r="C30" s="14"/>
      <c r="D30" s="14"/>
      <c r="E30" s="14"/>
      <c r="F30" s="5"/>
      <c r="G30" s="14"/>
      <c r="H30" s="14"/>
      <c r="I30" s="14"/>
      <c r="J30" s="19" t="str">
        <f aca="false">IF(A30="","",IF(AND(C30=3,D30=3,OR(F30="",F30=1,LOWER(F30&amp;"")="não",LOWER(F30&amp;"")="nenhuma")),"Muito acesso, muito interesse, sem corroboração: a mais perigosa (aula 2.1)",""))</f>
        <v/>
      </c>
      <c r="K30" s="5"/>
    </row>
    <row r="31" customFormat="false" ht="15" hidden="false" customHeight="false" outlineLevel="0" collapsed="false">
      <c r="A31" s="5"/>
      <c r="B31" s="5"/>
      <c r="C31" s="14"/>
      <c r="D31" s="14"/>
      <c r="E31" s="14"/>
      <c r="F31" s="5"/>
      <c r="G31" s="14"/>
      <c r="H31" s="14"/>
      <c r="I31" s="14"/>
      <c r="J31" s="19" t="str">
        <f aca="false">IF(A31="","",IF(AND(C31=3,D31=3,OR(F31="",F31=1,LOWER(F31&amp;"")="não",LOWER(F31&amp;"")="nenhuma")),"Muito acesso, muito interesse, sem corroboração: a mais perigosa (aula 2.1)",""))</f>
        <v/>
      </c>
      <c r="K31" s="5"/>
    </row>
    <row r="32" customFormat="false" ht="15" hidden="false" customHeight="false" outlineLevel="0" collapsed="false">
      <c r="A32" s="5"/>
      <c r="B32" s="5"/>
      <c r="C32" s="14"/>
      <c r="D32" s="14"/>
      <c r="E32" s="14"/>
      <c r="F32" s="5"/>
      <c r="G32" s="14"/>
      <c r="H32" s="14"/>
      <c r="I32" s="14"/>
      <c r="J32" s="19" t="str">
        <f aca="false">IF(A32="","",IF(AND(C32=3,D32=3,OR(F32="",F32=1,LOWER(F32&amp;"")="não",LOWER(F32&amp;"")="nenhuma")),"Muito acesso, muito interesse, sem corroboração: a mais perigosa (aula 2.1)",""))</f>
        <v/>
      </c>
      <c r="K32" s="5"/>
    </row>
    <row r="33" customFormat="false" ht="15" hidden="false" customHeight="false" outlineLevel="0" collapsed="false">
      <c r="A33" s="5"/>
      <c r="B33" s="5"/>
      <c r="C33" s="14"/>
      <c r="D33" s="14"/>
      <c r="E33" s="14"/>
      <c r="F33" s="5"/>
      <c r="G33" s="14"/>
      <c r="H33" s="14"/>
      <c r="I33" s="14"/>
      <c r="J33" s="19" t="str">
        <f aca="false">IF(A33="","",IF(AND(C33=3,D33=3,OR(F33="",F33=1,LOWER(F33&amp;"")="não",LOWER(F33&amp;"")="nenhuma")),"Muito acesso, muito interesse, sem corroboração: a mais perigosa (aula 2.1)",""))</f>
        <v/>
      </c>
      <c r="K33" s="5"/>
    </row>
    <row r="34" customFormat="false" ht="15" hidden="false" customHeight="false" outlineLevel="0" collapsed="false">
      <c r="A34" s="5"/>
      <c r="B34" s="5"/>
      <c r="C34" s="14"/>
      <c r="D34" s="14"/>
      <c r="E34" s="14"/>
      <c r="F34" s="5"/>
      <c r="G34" s="14"/>
      <c r="H34" s="14"/>
      <c r="I34" s="14"/>
      <c r="J34" s="19" t="str">
        <f aca="false">IF(A34="","",IF(AND(C34=3,D34=3,OR(F34="",F34=1,LOWER(F34&amp;"")="não",LOWER(F34&amp;"")="nenhuma")),"Muito acesso, muito interesse, sem corroboração: a mais perigosa (aula 2.1)",""))</f>
        <v/>
      </c>
      <c r="K34" s="5"/>
    </row>
    <row r="35" customFormat="false" ht="15" hidden="false" customHeight="false" outlineLevel="0" collapsed="false">
      <c r="A35" s="5"/>
      <c r="B35" s="5"/>
      <c r="C35" s="14"/>
      <c r="D35" s="14"/>
      <c r="E35" s="14"/>
      <c r="F35" s="5"/>
      <c r="G35" s="14"/>
      <c r="H35" s="14"/>
      <c r="I35" s="14"/>
      <c r="J35" s="19" t="str">
        <f aca="false">IF(A35="","",IF(AND(C35=3,D35=3,OR(F35="",F35=1,LOWER(F35&amp;"")="não",LOWER(F35&amp;"")="nenhuma")),"Muito acesso, muito interesse, sem corroboração: a mais perigosa (aula 2.1)",""))</f>
        <v/>
      </c>
      <c r="K35" s="5"/>
    </row>
    <row r="36" customFormat="false" ht="15" hidden="false" customHeight="false" outlineLevel="0" collapsed="false">
      <c r="A36" s="5"/>
      <c r="B36" s="5"/>
      <c r="C36" s="14"/>
      <c r="D36" s="14"/>
      <c r="E36" s="14"/>
      <c r="F36" s="5"/>
      <c r="G36" s="14"/>
      <c r="H36" s="14"/>
      <c r="I36" s="14"/>
      <c r="J36" s="19" t="str">
        <f aca="false">IF(A36="","",IF(AND(C36=3,D36=3,OR(F36="",F36=1,LOWER(F36&amp;"")="não",LOWER(F36&amp;"")="nenhuma")),"Muito acesso, muito interesse, sem corroboração: a mais perigosa (aula 2.1)",""))</f>
        <v/>
      </c>
      <c r="K36" s="5"/>
    </row>
    <row r="37" customFormat="false" ht="15" hidden="false" customHeight="false" outlineLevel="0" collapsed="false">
      <c r="A37" s="5"/>
      <c r="B37" s="5"/>
      <c r="C37" s="14"/>
      <c r="D37" s="14"/>
      <c r="E37" s="14"/>
      <c r="F37" s="5"/>
      <c r="G37" s="14"/>
      <c r="H37" s="14"/>
      <c r="I37" s="14"/>
      <c r="J37" s="19" t="str">
        <f aca="false">IF(A37="","",IF(AND(C37=3,D37=3,OR(F37="",F37=1,LOWER(F37&amp;"")="não",LOWER(F37&amp;"")="nenhuma")),"Muito acesso, muito interesse, sem corroboração: a mais perigosa (aula 2.1)",""))</f>
        <v/>
      </c>
      <c r="K37" s="5"/>
    </row>
    <row r="38" customFormat="false" ht="15" hidden="false" customHeight="false" outlineLevel="0" collapsed="false">
      <c r="A38" s="5"/>
      <c r="B38" s="5"/>
      <c r="C38" s="14"/>
      <c r="D38" s="14"/>
      <c r="E38" s="14"/>
      <c r="F38" s="5"/>
      <c r="G38" s="14"/>
      <c r="H38" s="14"/>
      <c r="I38" s="14"/>
      <c r="J38" s="19" t="str">
        <f aca="false">IF(A38="","",IF(AND(C38=3,D38=3,OR(F38="",F38=1,LOWER(F38&amp;"")="não",LOWER(F38&amp;"")="nenhuma")),"Muito acesso, muito interesse, sem corroboração: a mais perigosa (aula 2.1)",""))</f>
        <v/>
      </c>
      <c r="K38" s="5"/>
    </row>
    <row r="39" customFormat="false" ht="15" hidden="false" customHeight="false" outlineLevel="0" collapsed="false">
      <c r="A39" s="5"/>
      <c r="B39" s="5"/>
      <c r="C39" s="14"/>
      <c r="D39" s="14"/>
      <c r="E39" s="14"/>
      <c r="F39" s="5"/>
      <c r="G39" s="14"/>
      <c r="H39" s="14"/>
      <c r="I39" s="14"/>
      <c r="J39" s="19" t="str">
        <f aca="false">IF(A39="","",IF(AND(C39=3,D39=3,OR(F39="",F39=1,LOWER(F39&amp;"")="não",LOWER(F39&amp;"")="nenhuma")),"Muito acesso, muito interesse, sem corroboração: a mais perigosa (aula 2.1)",""))</f>
        <v/>
      </c>
      <c r="K39" s="5"/>
    </row>
    <row r="40" customFormat="false" ht="15" hidden="false" customHeight="false" outlineLevel="0" collapsed="false">
      <c r="A40" s="5"/>
      <c r="B40" s="5"/>
      <c r="C40" s="14"/>
      <c r="D40" s="14"/>
      <c r="E40" s="14"/>
      <c r="F40" s="5"/>
      <c r="G40" s="14"/>
      <c r="H40" s="14"/>
      <c r="I40" s="14"/>
      <c r="J40" s="19" t="str">
        <f aca="false">IF(A40="","",IF(AND(C40=3,D40=3,OR(F40="",F40=1,LOWER(F40&amp;"")="não",LOWER(F40&amp;"")="nenhuma")),"Muito acesso, muito interesse, sem corroboração: a mais perigosa (aula 2.1)",""))</f>
        <v/>
      </c>
      <c r="K40" s="5"/>
    </row>
    <row r="41" customFormat="false" ht="15" hidden="false" customHeight="false" outlineLevel="0" collapsed="false">
      <c r="A41" s="5"/>
      <c r="B41" s="5"/>
      <c r="C41" s="14"/>
      <c r="D41" s="14"/>
      <c r="E41" s="14"/>
      <c r="F41" s="5"/>
      <c r="G41" s="14"/>
      <c r="H41" s="14"/>
      <c r="I41" s="14"/>
      <c r="J41" s="19" t="str">
        <f aca="false">IF(A41="","",IF(AND(C41=3,D41=3,OR(F41="",F41=1,LOWER(F41&amp;"")="não",LOWER(F41&amp;"")="nenhuma")),"Muito acesso, muito interesse, sem corroboração: a mais perigosa (aula 2.1)",""))</f>
        <v/>
      </c>
      <c r="K41" s="5"/>
    </row>
    <row r="42" customFormat="false" ht="15" hidden="false" customHeight="false" outlineLevel="0" collapsed="false">
      <c r="A42" s="5"/>
      <c r="B42" s="5"/>
      <c r="C42" s="14"/>
      <c r="D42" s="14"/>
      <c r="E42" s="14"/>
      <c r="F42" s="5"/>
      <c r="G42" s="14"/>
      <c r="H42" s="14"/>
      <c r="I42" s="14"/>
      <c r="J42" s="19" t="str">
        <f aca="false">IF(A42="","",IF(AND(C42=3,D42=3,OR(F42="",F42=1,LOWER(F42&amp;"")="não",LOWER(F42&amp;"")="nenhuma")),"Muito acesso, muito interesse, sem corroboração: a mais perigosa (aula 2.1)",""))</f>
        <v/>
      </c>
      <c r="K42" s="5"/>
    </row>
    <row r="43" customFormat="false" ht="15" hidden="false" customHeight="false" outlineLevel="0" collapsed="false">
      <c r="A43" s="5"/>
      <c r="B43" s="5"/>
      <c r="C43" s="14"/>
      <c r="D43" s="14"/>
      <c r="E43" s="14"/>
      <c r="F43" s="5"/>
      <c r="G43" s="14"/>
      <c r="H43" s="14"/>
      <c r="I43" s="14"/>
      <c r="J43" s="19" t="str">
        <f aca="false">IF(A43="","",IF(AND(C43=3,D43=3,OR(F43="",F43=1,LOWER(F43&amp;"")="não",LOWER(F43&amp;"")="nenhuma")),"Muito acesso, muito interesse, sem corroboração: a mais perigosa (aula 2.1)",""))</f>
        <v/>
      </c>
      <c r="K43" s="5"/>
    </row>
    <row r="44" customFormat="false" ht="15" hidden="false" customHeight="false" outlineLevel="0" collapsed="false">
      <c r="A44" s="5"/>
      <c r="B44" s="5"/>
      <c r="C44" s="14"/>
      <c r="D44" s="14"/>
      <c r="E44" s="14"/>
      <c r="F44" s="5"/>
      <c r="G44" s="14"/>
      <c r="H44" s="14"/>
      <c r="I44" s="14"/>
      <c r="J44" s="19" t="str">
        <f aca="false">IF(A44="","",IF(AND(C44=3,D44=3,OR(F44="",F44=1,LOWER(F44&amp;"")="não",LOWER(F44&amp;"")="nenhuma")),"Muito acesso, muito interesse, sem corroboração: a mais perigosa (aula 2.1)",""))</f>
        <v/>
      </c>
      <c r="K44" s="5"/>
    </row>
    <row r="45" customFormat="false" ht="15" hidden="false" customHeight="false" outlineLevel="0" collapsed="false">
      <c r="A45" s="5"/>
      <c r="B45" s="5"/>
      <c r="C45" s="14"/>
      <c r="D45" s="14"/>
      <c r="E45" s="14"/>
      <c r="F45" s="5"/>
      <c r="G45" s="14"/>
      <c r="H45" s="14"/>
      <c r="I45" s="14"/>
      <c r="J45" s="19" t="str">
        <f aca="false">IF(A45="","",IF(AND(C45=3,D45=3,OR(F45="",F45=1,LOWER(F45&amp;"")="não",LOWER(F45&amp;"")="nenhuma")),"Muito acesso, muito interesse, sem corroboração: a mais perigosa (aula 2.1)",""))</f>
        <v/>
      </c>
      <c r="K45" s="5"/>
    </row>
    <row r="46" customFormat="false" ht="15" hidden="false" customHeight="false" outlineLevel="0" collapsed="false">
      <c r="A46" s="5"/>
      <c r="B46" s="5"/>
      <c r="C46" s="14"/>
      <c r="D46" s="14"/>
      <c r="E46" s="14"/>
      <c r="F46" s="5"/>
      <c r="G46" s="14"/>
      <c r="H46" s="14"/>
      <c r="I46" s="14"/>
      <c r="J46" s="19" t="str">
        <f aca="false">IF(A46="","",IF(AND(C46=3,D46=3,OR(F46="",F46=1,LOWER(F46&amp;"")="não",LOWER(F46&amp;"")="nenhuma")),"Muito acesso, muito interesse, sem corroboração: a mais perigosa (aula 2.1)",""))</f>
        <v/>
      </c>
      <c r="K46" s="5"/>
    </row>
    <row r="47" customFormat="false" ht="15" hidden="false" customHeight="false" outlineLevel="0" collapsed="false">
      <c r="A47" s="5"/>
      <c r="B47" s="5"/>
      <c r="C47" s="14"/>
      <c r="D47" s="14"/>
      <c r="E47" s="14"/>
      <c r="F47" s="5"/>
      <c r="G47" s="14"/>
      <c r="H47" s="14"/>
      <c r="I47" s="14"/>
      <c r="J47" s="19" t="str">
        <f aca="false">IF(A47="","",IF(AND(C47=3,D47=3,OR(F47="",F47=1,LOWER(F47&amp;"")="não",LOWER(F47&amp;"")="nenhuma")),"Muito acesso, muito interesse, sem corroboração: a mais perigosa (aula 2.1)",""))</f>
        <v/>
      </c>
      <c r="K47" s="5"/>
    </row>
    <row r="48" customFormat="false" ht="15" hidden="false" customHeight="false" outlineLevel="0" collapsed="false">
      <c r="A48" s="5"/>
      <c r="B48" s="5"/>
      <c r="C48" s="14"/>
      <c r="D48" s="14"/>
      <c r="E48" s="14"/>
      <c r="F48" s="5"/>
      <c r="G48" s="14"/>
      <c r="H48" s="14"/>
      <c r="I48" s="14"/>
      <c r="J48" s="19" t="str">
        <f aca="false">IF(A48="","",IF(AND(C48=3,D48=3,OR(F48="",F48=1,LOWER(F48&amp;"")="não",LOWER(F48&amp;"")="nenhuma")),"Muito acesso, muito interesse, sem corroboração: a mais perigosa (aula 2.1)",""))</f>
        <v/>
      </c>
      <c r="K48" s="5"/>
    </row>
    <row r="49" customFormat="false" ht="15" hidden="false" customHeight="false" outlineLevel="0" collapsed="false">
      <c r="A49" s="5"/>
      <c r="B49" s="5"/>
      <c r="C49" s="14"/>
      <c r="D49" s="14"/>
      <c r="E49" s="14"/>
      <c r="F49" s="5"/>
      <c r="G49" s="14"/>
      <c r="H49" s="14"/>
      <c r="I49" s="14"/>
      <c r="J49" s="19" t="str">
        <f aca="false">IF(A49="","",IF(AND(C49=3,D49=3,OR(F49="",F49=1,LOWER(F49&amp;"")="não",LOWER(F49&amp;"")="nenhuma")),"Muito acesso, muito interesse, sem corroboração: a mais perigosa (aula 2.1)",""))</f>
        <v/>
      </c>
      <c r="K49" s="5"/>
    </row>
    <row r="50" customFormat="false" ht="15" hidden="false" customHeight="false" outlineLevel="0" collapsed="false">
      <c r="A50" s="5"/>
      <c r="B50" s="5"/>
      <c r="C50" s="14"/>
      <c r="D50" s="14"/>
      <c r="E50" s="14"/>
      <c r="F50" s="5"/>
      <c r="G50" s="14"/>
      <c r="H50" s="14"/>
      <c r="I50" s="14"/>
      <c r="J50" s="19" t="str">
        <f aca="false">IF(A50="","",IF(AND(C50=3,D50=3,OR(F50="",F50=1,LOWER(F50&amp;"")="não",LOWER(F50&amp;"")="nenhuma")),"Muito acesso, muito interesse, sem corroboração: a mais perigosa (aula 2.1)",""))</f>
        <v/>
      </c>
      <c r="K50" s="5"/>
    </row>
    <row r="51" customFormat="false" ht="15" hidden="false" customHeight="false" outlineLevel="0" collapsed="false">
      <c r="A51" s="5"/>
      <c r="B51" s="5"/>
      <c r="C51" s="14"/>
      <c r="D51" s="14"/>
      <c r="E51" s="14"/>
      <c r="F51" s="5"/>
      <c r="G51" s="14"/>
      <c r="H51" s="14"/>
      <c r="I51" s="14"/>
      <c r="J51" s="19" t="str">
        <f aca="false">IF(A51="","",IF(AND(C51=3,D51=3,OR(F51="",F51=1,LOWER(F51&amp;"")="não",LOWER(F51&amp;"")="nenhuma")),"Muito acesso, muito interesse, sem corroboração: a mais perigosa (aula 2.1)",""))</f>
        <v/>
      </c>
      <c r="K51" s="5"/>
    </row>
  </sheetData>
  <autoFilter ref="A1:K51"/>
  <conditionalFormatting sqref="J2:J51">
    <cfRule type="expression" priority="2" aboveAverage="0" equalAverage="0" bottom="0" percent="0" rank="0" text="" dxfId="8">
      <formula>LEN(J2)&gt;0</formula>
    </cfRule>
  </conditionalFormatting>
  <dataValidations count="4">
    <dataValidation allowBlank="true" error="Use um número inteiro de 1 a 3." errorStyle="warning" errorTitle="Número inteiro" operator="between" showDropDown="false" showErrorMessage="true" showInputMessage="false" sqref="C2:E51" type="whole">
      <formula1>1</formula1>
      <formula2>3</formula2>
    </dataValidation>
    <dataValidation allowBlank="true" error="Use um número inteiro de 1 a 50." errorStyle="warning" errorTitle="Número inteiro" operator="between" showDropDown="false" showErrorMessage="true" showInputMessage="false" sqref="G2:G51" type="whole">
      <formula1>1</formula1>
      <formula2>50</formula2>
    </dataValidation>
    <dataValidation allowBlank="true" error="Escolha uma opção da lista (as opções estão na aba Listas)." errorStyle="stop" operator="between" showDropDown="false" showErrorMessage="false" showInputMessage="false" sqref="H2:H51" type="list">
      <formula1>Listas!$P$2:$P$5</formula1>
      <formula2>0</formula2>
    </dataValidation>
    <dataValidation allowBlank="true" error="Escolha uma opção da lista (as opções estão na aba Listas)." errorStyle="stop" operator="between" showDropDown="false" showErrorMessage="false" showInputMessage="false" sqref="I2:I51" type="list">
      <formula1>Listas!$N$2:$N$4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6" min="6" style="0" width="30"/>
    <col collapsed="false" customWidth="true" hidden="false" outlineLevel="0" max="7" min="7" style="0" width="8"/>
    <col collapsed="false" customWidth="true" hidden="false" outlineLevel="0" max="8" min="8" style="0" width="22"/>
    <col collapsed="false" customWidth="true" hidden="false" outlineLevel="0" max="9" min="9" style="0" width="40"/>
    <col collapsed="false" customWidth="true" hidden="false" outlineLevel="0" max="10" min="10" style="0" width="30"/>
    <col collapsed="false" customWidth="true" hidden="false" outlineLevel="0" max="11" min="11" style="0" width="12"/>
    <col collapsed="false" customWidth="true" hidden="false" outlineLevel="0" max="12" min="12" style="0" width="24"/>
    <col collapsed="false" customWidth="true" hidden="false" outlineLevel="0" max="13" min="13" style="0" width="30"/>
  </cols>
  <sheetData>
    <row r="1" customFormat="false" ht="39.75" hidden="false" customHeight="true" outlineLevel="0" collapsed="false">
      <c r="A1" s="10" t="s">
        <v>248</v>
      </c>
      <c r="B1" s="10" t="s">
        <v>249</v>
      </c>
      <c r="C1" s="10" t="s">
        <v>250</v>
      </c>
      <c r="D1" s="10" t="s">
        <v>251</v>
      </c>
      <c r="E1" s="10" t="s">
        <v>252</v>
      </c>
      <c r="F1" s="10" t="s">
        <v>253</v>
      </c>
      <c r="G1" s="10" t="s">
        <v>254</v>
      </c>
      <c r="H1" s="10" t="s">
        <v>159</v>
      </c>
      <c r="I1" s="10" t="s">
        <v>255</v>
      </c>
      <c r="J1" s="10" t="s">
        <v>256</v>
      </c>
      <c r="K1" s="15" t="s">
        <v>257</v>
      </c>
      <c r="L1" s="15" t="s">
        <v>258</v>
      </c>
      <c r="M1" s="10" t="s">
        <v>138</v>
      </c>
    </row>
    <row r="2" customFormat="false" ht="23.85" hidden="false" customHeight="false" outlineLevel="0" collapsed="false">
      <c r="A2" s="7" t="s">
        <v>259</v>
      </c>
      <c r="B2" s="21" t="n">
        <v>46266.425</v>
      </c>
      <c r="C2" s="7" t="s">
        <v>260</v>
      </c>
      <c r="D2" s="7" t="s">
        <v>261</v>
      </c>
      <c r="E2" s="22"/>
      <c r="F2" s="22" t="s">
        <v>262</v>
      </c>
      <c r="G2" s="23" t="s">
        <v>182</v>
      </c>
      <c r="H2" s="13" t="s">
        <v>263</v>
      </c>
      <c r="I2" s="7" t="s">
        <v>264</v>
      </c>
      <c r="J2" s="7"/>
      <c r="K2" s="24" t="n">
        <f aca="false">IF(G2="","",COUNTIF('Linha do tempo'!$D:$D,G2))</f>
        <v>1</v>
      </c>
      <c r="L2" s="17" t="str">
        <f aca="false">IF(AND(G2="",F2=""),"",TRIM(IF(AND(G2&lt;&gt;"",COUNTIF($G:$G,G2)&gt;1),"ID repetido. ","")&amp;IF(AND(F2&lt;&gt;"",LEN(TRIM(F2))&lt;&gt;64),"Hash deve ter 64 caracteres.","")))</f>
        <v/>
      </c>
      <c r="M2" s="7" t="s">
        <v>167</v>
      </c>
    </row>
    <row r="3" customFormat="false" ht="23.85" hidden="false" customHeight="false" outlineLevel="0" collapsed="false">
      <c r="A3" s="7" t="s">
        <v>265</v>
      </c>
      <c r="B3" s="21" t="n">
        <v>46266.4791666667</v>
      </c>
      <c r="C3" s="7" t="s">
        <v>266</v>
      </c>
      <c r="D3" s="7" t="s">
        <v>267</v>
      </c>
      <c r="E3" s="22"/>
      <c r="F3" s="22" t="s">
        <v>268</v>
      </c>
      <c r="G3" s="23" t="s">
        <v>172</v>
      </c>
      <c r="H3" s="13" t="s">
        <v>269</v>
      </c>
      <c r="I3" s="7" t="s">
        <v>270</v>
      </c>
      <c r="J3" s="7"/>
      <c r="K3" s="24" t="n">
        <f aca="false">IF(G3="","",COUNTIF('Linha do tempo'!$D:$D,G3))</f>
        <v>1</v>
      </c>
      <c r="L3" s="17" t="str">
        <f aca="false">IF(AND(G3="",F3=""),"",TRIM(IF(AND(G3&lt;&gt;"",COUNTIF($G:$G,G3)&gt;1),"ID repetido. ","")&amp;IF(AND(F3&lt;&gt;"",LEN(TRIM(F3))&lt;&gt;64),"Hash deve ter 64 caracteres.","")))</f>
        <v/>
      </c>
      <c r="M3" s="7" t="s">
        <v>167</v>
      </c>
    </row>
    <row r="4" customFormat="false" ht="23.85" hidden="false" customHeight="false" outlineLevel="0" collapsed="false">
      <c r="A4" s="7" t="s">
        <v>271</v>
      </c>
      <c r="B4" s="21" t="n">
        <v>46267.4027777778</v>
      </c>
      <c r="C4" s="7" t="s">
        <v>266</v>
      </c>
      <c r="D4" s="7" t="s">
        <v>272</v>
      </c>
      <c r="E4" s="22"/>
      <c r="F4" s="22" t="s">
        <v>273</v>
      </c>
      <c r="G4" s="23" t="s">
        <v>177</v>
      </c>
      <c r="H4" s="13" t="s">
        <v>269</v>
      </c>
      <c r="I4" s="7" t="s">
        <v>274</v>
      </c>
      <c r="J4" s="7"/>
      <c r="K4" s="24" t="n">
        <f aca="false">IF(G4="","",COUNTIF('Linha do tempo'!$D:$D,G4))</f>
        <v>2</v>
      </c>
      <c r="L4" s="17" t="str">
        <f aca="false">IF(AND(G4="",F4=""),"",TRIM(IF(AND(G4&lt;&gt;"",COUNTIF($G:$G,G4)&gt;1),"ID repetido. ","")&amp;IF(AND(F4&lt;&gt;"",LEN(TRIM(F4))&lt;&gt;64),"Hash deve ter 64 caracteres.","")))</f>
        <v/>
      </c>
      <c r="M4" s="7" t="s">
        <v>167</v>
      </c>
    </row>
    <row r="5" customFormat="false" ht="23.85" hidden="false" customHeight="false" outlineLevel="0" collapsed="false">
      <c r="A5" s="7" t="s">
        <v>275</v>
      </c>
      <c r="B5" s="21" t="n">
        <v>46267.4201388889</v>
      </c>
      <c r="C5" s="7" t="s">
        <v>276</v>
      </c>
      <c r="D5" s="7" t="s">
        <v>277</v>
      </c>
      <c r="E5" s="22"/>
      <c r="F5" s="22" t="s">
        <v>278</v>
      </c>
      <c r="G5" s="23" t="s">
        <v>194</v>
      </c>
      <c r="H5" s="13" t="s">
        <v>263</v>
      </c>
      <c r="I5" s="7" t="s">
        <v>279</v>
      </c>
      <c r="J5" s="7"/>
      <c r="K5" s="24" t="n">
        <f aca="false">IF(G5="","",COUNTIF('Linha do tempo'!$D:$D,G5))</f>
        <v>1</v>
      </c>
      <c r="L5" s="17" t="str">
        <f aca="false">IF(AND(G5="",F5=""),"",TRIM(IF(AND(G5&lt;&gt;"",COUNTIF($G:$G,G5)&gt;1),"ID repetido. ","")&amp;IF(AND(F5&lt;&gt;"",LEN(TRIM(F5))&lt;&gt;64),"Hash deve ter 64 caracteres.","")))</f>
        <v/>
      </c>
      <c r="M5" s="7" t="s">
        <v>167</v>
      </c>
    </row>
    <row r="6" customFormat="false" ht="23.85" hidden="false" customHeight="false" outlineLevel="0" collapsed="false">
      <c r="A6" s="7" t="s">
        <v>280</v>
      </c>
      <c r="B6" s="21" t="n">
        <v>46267.4375</v>
      </c>
      <c r="C6" s="7" t="s">
        <v>281</v>
      </c>
      <c r="D6" s="7" t="s">
        <v>282</v>
      </c>
      <c r="E6" s="22"/>
      <c r="F6" s="22" t="s">
        <v>283</v>
      </c>
      <c r="G6" s="23" t="s">
        <v>284</v>
      </c>
      <c r="H6" s="13" t="s">
        <v>263</v>
      </c>
      <c r="I6" s="7" t="s">
        <v>285</v>
      </c>
      <c r="J6" s="7"/>
      <c r="K6" s="24" t="n">
        <f aca="false">IF(G6="","",COUNTIF('Linha do tempo'!$D:$D,G6))</f>
        <v>0</v>
      </c>
      <c r="L6" s="17" t="str">
        <f aca="false">IF(AND(G6="",F6=""),"",TRIM(IF(AND(G6&lt;&gt;"",COUNTIF($G:$G,G6)&gt;1),"ID repetido. ","")&amp;IF(AND(F6&lt;&gt;"",LEN(TRIM(F6))&lt;&gt;64),"Hash deve ter 64 caracteres.","")))</f>
        <v/>
      </c>
      <c r="M6" s="7" t="s">
        <v>167</v>
      </c>
    </row>
    <row r="7" customFormat="false" ht="23.85" hidden="false" customHeight="false" outlineLevel="0" collapsed="false">
      <c r="A7" s="7" t="s">
        <v>286</v>
      </c>
      <c r="B7" s="21" t="n">
        <v>46268.3854166667</v>
      </c>
      <c r="C7" s="7" t="s">
        <v>266</v>
      </c>
      <c r="D7" s="7" t="s">
        <v>287</v>
      </c>
      <c r="E7" s="22"/>
      <c r="F7" s="22" t="s">
        <v>288</v>
      </c>
      <c r="G7" s="23" t="s">
        <v>164</v>
      </c>
      <c r="H7" s="13" t="s">
        <v>263</v>
      </c>
      <c r="I7" s="7" t="s">
        <v>289</v>
      </c>
      <c r="J7" s="7"/>
      <c r="K7" s="24" t="n">
        <f aca="false">IF(G7="","",COUNTIF('Linha do tempo'!$D:$D,G7))</f>
        <v>2</v>
      </c>
      <c r="L7" s="17" t="str">
        <f aca="false">IF(AND(G7="",F7=""),"",TRIM(IF(AND(G7&lt;&gt;"",COUNTIF($G:$G,G7)&gt;1),"ID repetido. ","")&amp;IF(AND(F7&lt;&gt;"",LEN(TRIM(F7))&lt;&gt;64),"Hash deve ter 64 caracteres.","")))</f>
        <v/>
      </c>
      <c r="M7" s="7" t="s">
        <v>167</v>
      </c>
    </row>
    <row r="8" customFormat="false" ht="23.85" hidden="false" customHeight="false" outlineLevel="0" collapsed="false">
      <c r="A8" s="7" t="s">
        <v>290</v>
      </c>
      <c r="B8" s="21" t="n">
        <v>46268.5972222222</v>
      </c>
      <c r="C8" s="7" t="s">
        <v>266</v>
      </c>
      <c r="D8" s="7" t="s">
        <v>291</v>
      </c>
      <c r="E8" s="22" t="s">
        <v>292</v>
      </c>
      <c r="F8" s="22" t="s">
        <v>293</v>
      </c>
      <c r="G8" s="23" t="s">
        <v>198</v>
      </c>
      <c r="H8" s="13" t="s">
        <v>269</v>
      </c>
      <c r="I8" s="7" t="s">
        <v>294</v>
      </c>
      <c r="J8" s="7"/>
      <c r="K8" s="24" t="n">
        <f aca="false">IF(G8="","",COUNTIF('Linha do tempo'!$D:$D,G8))</f>
        <v>1</v>
      </c>
      <c r="L8" s="17" t="str">
        <f aca="false">IF(AND(G8="",F8=""),"",TRIM(IF(AND(G8&lt;&gt;"",COUNTIF($G:$G,G8)&gt;1),"ID repetido. ","")&amp;IF(AND(F8&lt;&gt;"",LEN(TRIM(F8))&lt;&gt;64),"Hash deve ter 64 caracteres.","")))</f>
        <v/>
      </c>
      <c r="M8" s="7" t="s">
        <v>167</v>
      </c>
    </row>
    <row r="9" customFormat="false" ht="15" hidden="false" customHeight="false" outlineLevel="0" collapsed="false">
      <c r="A9" s="7" t="s">
        <v>295</v>
      </c>
      <c r="B9" s="21" t="n">
        <v>46267.6666666667</v>
      </c>
      <c r="C9" s="7" t="s">
        <v>296</v>
      </c>
      <c r="D9" s="7" t="s">
        <v>297</v>
      </c>
      <c r="E9" s="22" t="s">
        <v>298</v>
      </c>
      <c r="F9" s="22"/>
      <c r="G9" s="23" t="s">
        <v>299</v>
      </c>
      <c r="H9" s="13" t="s">
        <v>300</v>
      </c>
      <c r="I9" s="7" t="s">
        <v>301</v>
      </c>
      <c r="J9" s="7"/>
      <c r="K9" s="24" t="n">
        <f aca="false">IF(G9="","",COUNTIF('Linha do tempo'!$D:$D,G9))</f>
        <v>0</v>
      </c>
      <c r="L9" s="17" t="str">
        <f aca="false">IF(AND(G9="",F9=""),"",TRIM(IF(AND(G9&lt;&gt;"",COUNTIF($G:$G,G9)&gt;1),"ID repetido. ","")&amp;IF(AND(F9&lt;&gt;"",LEN(TRIM(F9))&lt;&gt;64),"Hash deve ter 64 caracteres.","")))</f>
        <v/>
      </c>
      <c r="M9" s="7" t="s">
        <v>167</v>
      </c>
    </row>
    <row r="10" customFormat="false" ht="15" hidden="false" customHeight="false" outlineLevel="0" collapsed="false">
      <c r="A10" s="7" t="s">
        <v>302</v>
      </c>
      <c r="B10" s="21" t="n">
        <v>46254.6319444445</v>
      </c>
      <c r="C10" s="7" t="s">
        <v>303</v>
      </c>
      <c r="D10" s="7" t="s">
        <v>304</v>
      </c>
      <c r="E10" s="22" t="s">
        <v>305</v>
      </c>
      <c r="F10" s="22"/>
      <c r="G10" s="23" t="s">
        <v>306</v>
      </c>
      <c r="H10" s="13" t="s">
        <v>300</v>
      </c>
      <c r="I10" s="7" t="s">
        <v>307</v>
      </c>
      <c r="J10" s="7"/>
      <c r="K10" s="24" t="n">
        <f aca="false">IF(G10="","",COUNTIF('Linha do tempo'!$D:$D,G10))</f>
        <v>0</v>
      </c>
      <c r="L10" s="17" t="str">
        <f aca="false">IF(AND(G10="",F10=""),"",TRIM(IF(AND(G10&lt;&gt;"",COUNTIF($G:$G,G10)&gt;1),"ID repetido. ","")&amp;IF(AND(F10&lt;&gt;"",LEN(TRIM(F10))&lt;&gt;64),"Hash deve ter 64 caracteres.","")))</f>
        <v/>
      </c>
      <c r="M10" s="7" t="s">
        <v>167</v>
      </c>
    </row>
    <row r="11" customFormat="false" ht="23.85" hidden="false" customHeight="false" outlineLevel="0" collapsed="false">
      <c r="A11" s="7" t="s">
        <v>302</v>
      </c>
      <c r="B11" s="21" t="n">
        <v>46283.7395833333</v>
      </c>
      <c r="C11" s="7" t="s">
        <v>303</v>
      </c>
      <c r="D11" s="7" t="s">
        <v>308</v>
      </c>
      <c r="E11" s="22" t="s">
        <v>305</v>
      </c>
      <c r="F11" s="22" t="s">
        <v>309</v>
      </c>
      <c r="G11" s="23" t="s">
        <v>310</v>
      </c>
      <c r="H11" s="13" t="s">
        <v>311</v>
      </c>
      <c r="I11" s="7" t="s">
        <v>312</v>
      </c>
      <c r="J11" s="7"/>
      <c r="K11" s="24" t="n">
        <f aca="false">IF(G11="","",COUNTIF('Linha do tempo'!$D:$D,G11))</f>
        <v>0</v>
      </c>
      <c r="L11" s="17" t="str">
        <f aca="false">IF(AND(G11="",F11=""),"",TRIM(IF(AND(G11&lt;&gt;"",COUNTIF($G:$G,G11)&gt;1),"ID repetido. ","")&amp;IF(AND(F11&lt;&gt;"",LEN(TRIM(F11))&lt;&gt;64),"Hash deve ter 64 caracteres.","")))</f>
        <v/>
      </c>
      <c r="M11" s="7" t="s">
        <v>167</v>
      </c>
    </row>
    <row r="12" customFormat="false" ht="15" hidden="false" customHeight="false" outlineLevel="0" collapsed="false">
      <c r="A12" s="7" t="s">
        <v>313</v>
      </c>
      <c r="B12" s="21" t="n">
        <v>46270.7916666667</v>
      </c>
      <c r="C12" s="7" t="s">
        <v>314</v>
      </c>
      <c r="D12" s="7"/>
      <c r="E12" s="22"/>
      <c r="F12" s="22"/>
      <c r="G12" s="23" t="s">
        <v>187</v>
      </c>
      <c r="H12" s="13" t="s">
        <v>315</v>
      </c>
      <c r="I12" s="7" t="s">
        <v>316</v>
      </c>
      <c r="J12" s="7"/>
      <c r="K12" s="24" t="n">
        <f aca="false">IF(G12="","",COUNTIF('Linha do tempo'!$D:$D,G12))</f>
        <v>1</v>
      </c>
      <c r="L12" s="17" t="str">
        <f aca="false">IF(AND(G12="",F12=""),"",TRIM(IF(AND(G12&lt;&gt;"",COUNTIF($G:$G,G12)&gt;1),"ID repetido. ","")&amp;IF(AND(F12&lt;&gt;"",LEN(TRIM(F12))&lt;&gt;64),"Hash deve ter 64 caracteres.","")))</f>
        <v/>
      </c>
      <c r="M12" s="7" t="s">
        <v>317</v>
      </c>
    </row>
    <row r="13" customFormat="false" ht="23.85" hidden="false" customHeight="false" outlineLevel="0" collapsed="false">
      <c r="A13" s="7" t="s">
        <v>318</v>
      </c>
      <c r="B13" s="21" t="n">
        <v>46289.4166666667</v>
      </c>
      <c r="C13" s="7" t="s">
        <v>319</v>
      </c>
      <c r="D13" s="7" t="s">
        <v>320</v>
      </c>
      <c r="E13" s="22"/>
      <c r="F13" s="22" t="s">
        <v>321</v>
      </c>
      <c r="G13" s="23" t="s">
        <v>202</v>
      </c>
      <c r="H13" s="13" t="s">
        <v>204</v>
      </c>
      <c r="I13" s="7" t="s">
        <v>322</v>
      </c>
      <c r="J13" s="7"/>
      <c r="K13" s="24" t="n">
        <f aca="false">IF(G13="","",COUNTIF('Linha do tempo'!$D:$D,G13))</f>
        <v>1</v>
      </c>
      <c r="L13" s="17" t="str">
        <f aca="false">IF(AND(G13="",F13=""),"",TRIM(IF(AND(G13&lt;&gt;"",COUNTIF($G:$G,G13)&gt;1),"ID repetido. ","")&amp;IF(AND(F13&lt;&gt;"",LEN(TRIM(F13))&lt;&gt;64),"Hash deve ter 64 caracteres.","")))</f>
        <v/>
      </c>
      <c r="M13" s="7" t="s">
        <v>167</v>
      </c>
    </row>
    <row r="14" customFormat="false" ht="23.85" hidden="false" customHeight="false" outlineLevel="0" collapsed="false">
      <c r="A14" s="7" t="s">
        <v>271</v>
      </c>
      <c r="B14" s="21" t="n">
        <v>46269.3888888889</v>
      </c>
      <c r="C14" s="7" t="s">
        <v>266</v>
      </c>
      <c r="D14" s="7" t="s">
        <v>323</v>
      </c>
      <c r="E14" s="22"/>
      <c r="F14" s="22" t="s">
        <v>324</v>
      </c>
      <c r="G14" s="23" t="s">
        <v>325</v>
      </c>
      <c r="H14" s="13" t="s">
        <v>269</v>
      </c>
      <c r="I14" s="7" t="s">
        <v>326</v>
      </c>
      <c r="J14" s="7"/>
      <c r="K14" s="24" t="n">
        <f aca="false">IF(G14="","",COUNTIF('Linha do tempo'!$D:$D,G14))</f>
        <v>0</v>
      </c>
      <c r="L14" s="17" t="str">
        <f aca="false">IF(AND(G14="",F14=""),"",TRIM(IF(AND(G14&lt;&gt;"",COUNTIF($G:$G,G14)&gt;1),"ID repetido. ","")&amp;IF(AND(F14&lt;&gt;"",LEN(TRIM(F14))&lt;&gt;64),"Hash deve ter 64 caracteres.","")))</f>
        <v/>
      </c>
      <c r="M14" s="7" t="s">
        <v>167</v>
      </c>
    </row>
    <row r="15" customFormat="false" ht="46.25" hidden="false" customHeight="false" outlineLevel="0" collapsed="false">
      <c r="A15" s="7" t="s">
        <v>327</v>
      </c>
      <c r="B15" s="21" t="n">
        <v>46269.4166666667</v>
      </c>
      <c r="C15" s="7" t="s">
        <v>328</v>
      </c>
      <c r="D15" s="7" t="s">
        <v>329</v>
      </c>
      <c r="E15" s="22"/>
      <c r="F15" s="22" t="s">
        <v>330</v>
      </c>
      <c r="G15" s="23" t="s">
        <v>331</v>
      </c>
      <c r="H15" s="13" t="s">
        <v>332</v>
      </c>
      <c r="I15" s="7" t="s">
        <v>333</v>
      </c>
      <c r="J15" s="7" t="s">
        <v>334</v>
      </c>
      <c r="K15" s="24" t="n">
        <f aca="false">IF(G15="","",COUNTIF('Linha do tempo'!$D:$D,G15))</f>
        <v>0</v>
      </c>
      <c r="L15" s="17" t="str">
        <f aca="false">IF(AND(G15="",F15=""),"",TRIM(IF(AND(G15&lt;&gt;"",COUNTIF($G:$G,G15)&gt;1),"ID repetido. ","")&amp;IF(AND(F15&lt;&gt;"",LEN(TRIM(F15))&lt;&gt;64),"Hash deve ter 64 caracteres.","")))</f>
        <v/>
      </c>
      <c r="M15" s="7" t="s">
        <v>167</v>
      </c>
    </row>
    <row r="16" customFormat="false" ht="23.85" hidden="false" customHeight="false" outlineLevel="0" collapsed="false">
      <c r="A16" s="7" t="s">
        <v>335</v>
      </c>
      <c r="B16" s="21" t="n">
        <v>46275.4583333333</v>
      </c>
      <c r="C16" s="7" t="s">
        <v>266</v>
      </c>
      <c r="D16" s="7" t="s">
        <v>336</v>
      </c>
      <c r="E16" s="22" t="s">
        <v>337</v>
      </c>
      <c r="F16" s="22" t="s">
        <v>338</v>
      </c>
      <c r="G16" s="23" t="s">
        <v>339</v>
      </c>
      <c r="H16" s="13" t="s">
        <v>269</v>
      </c>
      <c r="I16" s="7" t="s">
        <v>340</v>
      </c>
      <c r="J16" s="7"/>
      <c r="K16" s="24" t="n">
        <f aca="false">IF(G16="","",COUNTIF('Linha do tempo'!$D:$D,G16))</f>
        <v>0</v>
      </c>
      <c r="L16" s="17" t="str">
        <f aca="false">IF(AND(G16="",F16=""),"",TRIM(IF(AND(G16&lt;&gt;"",COUNTIF($G:$G,G16)&gt;1),"ID repetido. ","")&amp;IF(AND(F16&lt;&gt;"",LEN(TRIM(F16))&lt;&gt;64),"Hash deve ter 64 caracteres.","")))</f>
        <v/>
      </c>
      <c r="M16" s="7" t="s">
        <v>167</v>
      </c>
    </row>
    <row r="17" customFormat="false" ht="23.85" hidden="false" customHeight="false" outlineLevel="0" collapsed="false">
      <c r="A17" s="7" t="s">
        <v>341</v>
      </c>
      <c r="B17" s="21" t="n">
        <v>46276.6458333333</v>
      </c>
      <c r="C17" s="7" t="s">
        <v>342</v>
      </c>
      <c r="D17" s="7" t="s">
        <v>343</v>
      </c>
      <c r="E17" s="22"/>
      <c r="F17" s="22" t="s">
        <v>344</v>
      </c>
      <c r="G17" s="23" t="s">
        <v>345</v>
      </c>
      <c r="H17" s="13" t="s">
        <v>332</v>
      </c>
      <c r="I17" s="7" t="s">
        <v>346</v>
      </c>
      <c r="J17" s="7"/>
      <c r="K17" s="24" t="n">
        <f aca="false">IF(G17="","",COUNTIF('Linha do tempo'!$D:$D,G17))</f>
        <v>0</v>
      </c>
      <c r="L17" s="17" t="str">
        <f aca="false">IF(AND(G17="",F17=""),"",TRIM(IF(AND(G17&lt;&gt;"",COUNTIF($G:$G,G17)&gt;1),"ID repetido. ","")&amp;IF(AND(F17&lt;&gt;"",LEN(TRIM(F17))&lt;&gt;64),"Hash deve ter 64 caracteres.","")))</f>
        <v/>
      </c>
      <c r="M17" s="7" t="s">
        <v>167</v>
      </c>
    </row>
    <row r="18" customFormat="false" ht="15" hidden="false" customHeight="false" outlineLevel="0" collapsed="false">
      <c r="A18" s="5"/>
      <c r="B18" s="25"/>
      <c r="C18" s="5"/>
      <c r="D18" s="5"/>
      <c r="E18" s="26"/>
      <c r="F18" s="26"/>
      <c r="G18" s="27"/>
      <c r="H18" s="14"/>
      <c r="I18" s="5"/>
      <c r="J18" s="5"/>
      <c r="K18" s="28" t="str">
        <f aca="false">IF(G18="","",COUNTIF('Linha do tempo'!$D:$D,G18))</f>
        <v/>
      </c>
      <c r="L18" s="19" t="str">
        <f aca="false">IF(AND(G18="",F18=""),"",TRIM(IF(AND(G18&lt;&gt;"",COUNTIF($G:$G,G18)&gt;1),"ID repetido. ","")&amp;IF(AND(F18&lt;&gt;"",LEN(TRIM(F18))&lt;&gt;64),"Hash deve ter 64 caracteres.","")))</f>
        <v/>
      </c>
      <c r="M18" s="5"/>
    </row>
    <row r="19" customFormat="false" ht="15" hidden="false" customHeight="false" outlineLevel="0" collapsed="false">
      <c r="A19" s="5"/>
      <c r="B19" s="25"/>
      <c r="C19" s="5"/>
      <c r="D19" s="5"/>
      <c r="E19" s="26"/>
      <c r="F19" s="26"/>
      <c r="G19" s="27"/>
      <c r="H19" s="14"/>
      <c r="I19" s="5"/>
      <c r="J19" s="5"/>
      <c r="K19" s="28" t="str">
        <f aca="false">IF(G19="","",COUNTIF('Linha do tempo'!$D:$D,G19))</f>
        <v/>
      </c>
      <c r="L19" s="19" t="str">
        <f aca="false">IF(AND(G19="",F19=""),"",TRIM(IF(AND(G19&lt;&gt;"",COUNTIF($G:$G,G19)&gt;1),"ID repetido. ","")&amp;IF(AND(F19&lt;&gt;"",LEN(TRIM(F19))&lt;&gt;64),"Hash deve ter 64 caracteres.","")))</f>
        <v/>
      </c>
      <c r="M19" s="5"/>
    </row>
    <row r="20" customFormat="false" ht="15" hidden="false" customHeight="false" outlineLevel="0" collapsed="false">
      <c r="A20" s="5"/>
      <c r="B20" s="25"/>
      <c r="C20" s="5"/>
      <c r="D20" s="5"/>
      <c r="E20" s="26"/>
      <c r="F20" s="26"/>
      <c r="G20" s="27"/>
      <c r="H20" s="14"/>
      <c r="I20" s="5"/>
      <c r="J20" s="5"/>
      <c r="K20" s="28" t="str">
        <f aca="false">IF(G20="","",COUNTIF('Linha do tempo'!$D:$D,G20))</f>
        <v/>
      </c>
      <c r="L20" s="19" t="str">
        <f aca="false">IF(AND(G20="",F20=""),"",TRIM(IF(AND(G20&lt;&gt;"",COUNTIF($G:$G,G20)&gt;1),"ID repetido. ","")&amp;IF(AND(F20&lt;&gt;"",LEN(TRIM(F20))&lt;&gt;64),"Hash deve ter 64 caracteres.","")))</f>
        <v/>
      </c>
      <c r="M20" s="5"/>
    </row>
    <row r="21" customFormat="false" ht="15" hidden="false" customHeight="false" outlineLevel="0" collapsed="false">
      <c r="A21" s="5"/>
      <c r="B21" s="25"/>
      <c r="C21" s="5"/>
      <c r="D21" s="5"/>
      <c r="E21" s="26"/>
      <c r="F21" s="26"/>
      <c r="G21" s="27"/>
      <c r="H21" s="14"/>
      <c r="I21" s="5"/>
      <c r="J21" s="5"/>
      <c r="K21" s="28" t="str">
        <f aca="false">IF(G21="","",COUNTIF('Linha do tempo'!$D:$D,G21))</f>
        <v/>
      </c>
      <c r="L21" s="19" t="str">
        <f aca="false">IF(AND(G21="",F21=""),"",TRIM(IF(AND(G21&lt;&gt;"",COUNTIF($G:$G,G21)&gt;1),"ID repetido. ","")&amp;IF(AND(F21&lt;&gt;"",LEN(TRIM(F21))&lt;&gt;64),"Hash deve ter 64 caracteres.","")))</f>
        <v/>
      </c>
      <c r="M21" s="5"/>
    </row>
    <row r="22" customFormat="false" ht="15" hidden="false" customHeight="false" outlineLevel="0" collapsed="false">
      <c r="A22" s="5"/>
      <c r="B22" s="25"/>
      <c r="C22" s="5"/>
      <c r="D22" s="5"/>
      <c r="E22" s="26"/>
      <c r="F22" s="26"/>
      <c r="G22" s="27"/>
      <c r="H22" s="14"/>
      <c r="I22" s="5"/>
      <c r="J22" s="5"/>
      <c r="K22" s="28" t="str">
        <f aca="false">IF(G22="","",COUNTIF('Linha do tempo'!$D:$D,G22))</f>
        <v/>
      </c>
      <c r="L22" s="19" t="str">
        <f aca="false">IF(AND(G22="",F22=""),"",TRIM(IF(AND(G22&lt;&gt;"",COUNTIF($G:$G,G22)&gt;1),"ID repetido. ","")&amp;IF(AND(F22&lt;&gt;"",LEN(TRIM(F22))&lt;&gt;64),"Hash deve ter 64 caracteres.","")))</f>
        <v/>
      </c>
      <c r="M22" s="5"/>
    </row>
    <row r="23" customFormat="false" ht="15" hidden="false" customHeight="false" outlineLevel="0" collapsed="false">
      <c r="A23" s="5"/>
      <c r="B23" s="25"/>
      <c r="C23" s="5"/>
      <c r="D23" s="5"/>
      <c r="E23" s="26"/>
      <c r="F23" s="26"/>
      <c r="G23" s="27"/>
      <c r="H23" s="14"/>
      <c r="I23" s="5"/>
      <c r="J23" s="5"/>
      <c r="K23" s="28" t="str">
        <f aca="false">IF(G23="","",COUNTIF('Linha do tempo'!$D:$D,G23))</f>
        <v/>
      </c>
      <c r="L23" s="19" t="str">
        <f aca="false">IF(AND(G23="",F23=""),"",TRIM(IF(AND(G23&lt;&gt;"",COUNTIF($G:$G,G23)&gt;1),"ID repetido. ","")&amp;IF(AND(F23&lt;&gt;"",LEN(TRIM(F23))&lt;&gt;64),"Hash deve ter 64 caracteres.","")))</f>
        <v/>
      </c>
      <c r="M23" s="5"/>
    </row>
    <row r="24" customFormat="false" ht="15" hidden="false" customHeight="false" outlineLevel="0" collapsed="false">
      <c r="A24" s="5"/>
      <c r="B24" s="25"/>
      <c r="C24" s="5"/>
      <c r="D24" s="5"/>
      <c r="E24" s="26"/>
      <c r="F24" s="26"/>
      <c r="G24" s="27"/>
      <c r="H24" s="14"/>
      <c r="I24" s="5"/>
      <c r="J24" s="5"/>
      <c r="K24" s="28" t="str">
        <f aca="false">IF(G24="","",COUNTIF('Linha do tempo'!$D:$D,G24))</f>
        <v/>
      </c>
      <c r="L24" s="19" t="str">
        <f aca="false">IF(AND(G24="",F24=""),"",TRIM(IF(AND(G24&lt;&gt;"",COUNTIF($G:$G,G24)&gt;1),"ID repetido. ","")&amp;IF(AND(F24&lt;&gt;"",LEN(TRIM(F24))&lt;&gt;64),"Hash deve ter 64 caracteres.","")))</f>
        <v/>
      </c>
      <c r="M24" s="5"/>
    </row>
    <row r="25" customFormat="false" ht="15" hidden="false" customHeight="false" outlineLevel="0" collapsed="false">
      <c r="A25" s="5"/>
      <c r="B25" s="25"/>
      <c r="C25" s="5"/>
      <c r="D25" s="5"/>
      <c r="E25" s="26"/>
      <c r="F25" s="26"/>
      <c r="G25" s="27"/>
      <c r="H25" s="14"/>
      <c r="I25" s="5"/>
      <c r="J25" s="5"/>
      <c r="K25" s="28" t="str">
        <f aca="false">IF(G25="","",COUNTIF('Linha do tempo'!$D:$D,G25))</f>
        <v/>
      </c>
      <c r="L25" s="19" t="str">
        <f aca="false">IF(AND(G25="",F25=""),"",TRIM(IF(AND(G25&lt;&gt;"",COUNTIF($G:$G,G25)&gt;1),"ID repetido. ","")&amp;IF(AND(F25&lt;&gt;"",LEN(TRIM(F25))&lt;&gt;64),"Hash deve ter 64 caracteres.","")))</f>
        <v/>
      </c>
      <c r="M25" s="5"/>
    </row>
    <row r="26" customFormat="false" ht="15" hidden="false" customHeight="false" outlineLevel="0" collapsed="false">
      <c r="A26" s="5"/>
      <c r="B26" s="25"/>
      <c r="C26" s="5"/>
      <c r="D26" s="5"/>
      <c r="E26" s="26"/>
      <c r="F26" s="26"/>
      <c r="G26" s="27"/>
      <c r="H26" s="14"/>
      <c r="I26" s="5"/>
      <c r="J26" s="5"/>
      <c r="K26" s="28" t="str">
        <f aca="false">IF(G26="","",COUNTIF('Linha do tempo'!$D:$D,G26))</f>
        <v/>
      </c>
      <c r="L26" s="19" t="str">
        <f aca="false">IF(AND(G26="",F26=""),"",TRIM(IF(AND(G26&lt;&gt;"",COUNTIF($G:$G,G26)&gt;1),"ID repetido. ","")&amp;IF(AND(F26&lt;&gt;"",LEN(TRIM(F26))&lt;&gt;64),"Hash deve ter 64 caracteres.","")))</f>
        <v/>
      </c>
      <c r="M26" s="5"/>
    </row>
    <row r="27" customFormat="false" ht="15" hidden="false" customHeight="false" outlineLevel="0" collapsed="false">
      <c r="A27" s="5"/>
      <c r="B27" s="25"/>
      <c r="C27" s="5"/>
      <c r="D27" s="5"/>
      <c r="E27" s="26"/>
      <c r="F27" s="26"/>
      <c r="G27" s="27"/>
      <c r="H27" s="14"/>
      <c r="I27" s="5"/>
      <c r="J27" s="5"/>
      <c r="K27" s="28" t="str">
        <f aca="false">IF(G27="","",COUNTIF('Linha do tempo'!$D:$D,G27))</f>
        <v/>
      </c>
      <c r="L27" s="19" t="str">
        <f aca="false">IF(AND(G27="",F27=""),"",TRIM(IF(AND(G27&lt;&gt;"",COUNTIF($G:$G,G27)&gt;1),"ID repetido. ","")&amp;IF(AND(F27&lt;&gt;"",LEN(TRIM(F27))&lt;&gt;64),"Hash deve ter 64 caracteres.","")))</f>
        <v/>
      </c>
      <c r="M27" s="5"/>
    </row>
    <row r="28" customFormat="false" ht="15" hidden="false" customHeight="false" outlineLevel="0" collapsed="false">
      <c r="A28" s="5"/>
      <c r="B28" s="25"/>
      <c r="C28" s="5"/>
      <c r="D28" s="5"/>
      <c r="E28" s="26"/>
      <c r="F28" s="26"/>
      <c r="G28" s="27"/>
      <c r="H28" s="14"/>
      <c r="I28" s="5"/>
      <c r="J28" s="5"/>
      <c r="K28" s="28" t="str">
        <f aca="false">IF(G28="","",COUNTIF('Linha do tempo'!$D:$D,G28))</f>
        <v/>
      </c>
      <c r="L28" s="19" t="str">
        <f aca="false">IF(AND(G28="",F28=""),"",TRIM(IF(AND(G28&lt;&gt;"",COUNTIF($G:$G,G28)&gt;1),"ID repetido. ","")&amp;IF(AND(F28&lt;&gt;"",LEN(TRIM(F28))&lt;&gt;64),"Hash deve ter 64 caracteres.","")))</f>
        <v/>
      </c>
      <c r="M28" s="5"/>
    </row>
    <row r="29" customFormat="false" ht="15" hidden="false" customHeight="false" outlineLevel="0" collapsed="false">
      <c r="A29" s="5"/>
      <c r="B29" s="25"/>
      <c r="C29" s="5"/>
      <c r="D29" s="5"/>
      <c r="E29" s="26"/>
      <c r="F29" s="26"/>
      <c r="G29" s="27"/>
      <c r="H29" s="14"/>
      <c r="I29" s="5"/>
      <c r="J29" s="5"/>
      <c r="K29" s="28" t="str">
        <f aca="false">IF(G29="","",COUNTIF('Linha do tempo'!$D:$D,G29))</f>
        <v/>
      </c>
      <c r="L29" s="19" t="str">
        <f aca="false">IF(AND(G29="",F29=""),"",TRIM(IF(AND(G29&lt;&gt;"",COUNTIF($G:$G,G29)&gt;1),"ID repetido. ","")&amp;IF(AND(F29&lt;&gt;"",LEN(TRIM(F29))&lt;&gt;64),"Hash deve ter 64 caracteres.","")))</f>
        <v/>
      </c>
      <c r="M29" s="5"/>
    </row>
    <row r="30" customFormat="false" ht="15" hidden="false" customHeight="false" outlineLevel="0" collapsed="false">
      <c r="A30" s="5"/>
      <c r="B30" s="25"/>
      <c r="C30" s="5"/>
      <c r="D30" s="5"/>
      <c r="E30" s="26"/>
      <c r="F30" s="26"/>
      <c r="G30" s="27"/>
      <c r="H30" s="14"/>
      <c r="I30" s="5"/>
      <c r="J30" s="5"/>
      <c r="K30" s="28" t="str">
        <f aca="false">IF(G30="","",COUNTIF('Linha do tempo'!$D:$D,G30))</f>
        <v/>
      </c>
      <c r="L30" s="19" t="str">
        <f aca="false">IF(AND(G30="",F30=""),"",TRIM(IF(AND(G30&lt;&gt;"",COUNTIF($G:$G,G30)&gt;1),"ID repetido. ","")&amp;IF(AND(F30&lt;&gt;"",LEN(TRIM(F30))&lt;&gt;64),"Hash deve ter 64 caracteres.","")))</f>
        <v/>
      </c>
      <c r="M30" s="5"/>
    </row>
    <row r="31" customFormat="false" ht="15" hidden="false" customHeight="false" outlineLevel="0" collapsed="false">
      <c r="A31" s="5"/>
      <c r="B31" s="25"/>
      <c r="C31" s="5"/>
      <c r="D31" s="5"/>
      <c r="E31" s="26"/>
      <c r="F31" s="26"/>
      <c r="G31" s="27"/>
      <c r="H31" s="14"/>
      <c r="I31" s="5"/>
      <c r="J31" s="5"/>
      <c r="K31" s="28" t="str">
        <f aca="false">IF(G31="","",COUNTIF('Linha do tempo'!$D:$D,G31))</f>
        <v/>
      </c>
      <c r="L31" s="19" t="str">
        <f aca="false">IF(AND(G31="",F31=""),"",TRIM(IF(AND(G31&lt;&gt;"",COUNTIF($G:$G,G31)&gt;1),"ID repetido. ","")&amp;IF(AND(F31&lt;&gt;"",LEN(TRIM(F31))&lt;&gt;64),"Hash deve ter 64 caracteres.","")))</f>
        <v/>
      </c>
      <c r="M31" s="5"/>
    </row>
    <row r="32" customFormat="false" ht="15" hidden="false" customHeight="false" outlineLevel="0" collapsed="false">
      <c r="A32" s="5"/>
      <c r="B32" s="25"/>
      <c r="C32" s="5"/>
      <c r="D32" s="5"/>
      <c r="E32" s="26"/>
      <c r="F32" s="26"/>
      <c r="G32" s="27"/>
      <c r="H32" s="14"/>
      <c r="I32" s="5"/>
      <c r="J32" s="5"/>
      <c r="K32" s="28" t="str">
        <f aca="false">IF(G32="","",COUNTIF('Linha do tempo'!$D:$D,G32))</f>
        <v/>
      </c>
      <c r="L32" s="19" t="str">
        <f aca="false">IF(AND(G32="",F32=""),"",TRIM(IF(AND(G32&lt;&gt;"",COUNTIF($G:$G,G32)&gt;1),"ID repetido. ","")&amp;IF(AND(F32&lt;&gt;"",LEN(TRIM(F32))&lt;&gt;64),"Hash deve ter 64 caracteres.","")))</f>
        <v/>
      </c>
      <c r="M32" s="5"/>
    </row>
    <row r="33" customFormat="false" ht="15" hidden="false" customHeight="false" outlineLevel="0" collapsed="false">
      <c r="A33" s="5"/>
      <c r="B33" s="25"/>
      <c r="C33" s="5"/>
      <c r="D33" s="5"/>
      <c r="E33" s="26"/>
      <c r="F33" s="26"/>
      <c r="G33" s="27"/>
      <c r="H33" s="14"/>
      <c r="I33" s="5"/>
      <c r="J33" s="5"/>
      <c r="K33" s="28" t="str">
        <f aca="false">IF(G33="","",COUNTIF('Linha do tempo'!$D:$D,G33))</f>
        <v/>
      </c>
      <c r="L33" s="19" t="str">
        <f aca="false">IF(AND(G33="",F33=""),"",TRIM(IF(AND(G33&lt;&gt;"",COUNTIF($G:$G,G33)&gt;1),"ID repetido. ","")&amp;IF(AND(F33&lt;&gt;"",LEN(TRIM(F33))&lt;&gt;64),"Hash deve ter 64 caracteres.","")))</f>
        <v/>
      </c>
      <c r="M33" s="5"/>
    </row>
    <row r="34" customFormat="false" ht="15" hidden="false" customHeight="false" outlineLevel="0" collapsed="false">
      <c r="A34" s="5"/>
      <c r="B34" s="25"/>
      <c r="C34" s="5"/>
      <c r="D34" s="5"/>
      <c r="E34" s="26"/>
      <c r="F34" s="26"/>
      <c r="G34" s="27"/>
      <c r="H34" s="14"/>
      <c r="I34" s="5"/>
      <c r="J34" s="5"/>
      <c r="K34" s="28" t="str">
        <f aca="false">IF(G34="","",COUNTIF('Linha do tempo'!$D:$D,G34))</f>
        <v/>
      </c>
      <c r="L34" s="19" t="str">
        <f aca="false">IF(AND(G34="",F34=""),"",TRIM(IF(AND(G34&lt;&gt;"",COUNTIF($G:$G,G34)&gt;1),"ID repetido. ","")&amp;IF(AND(F34&lt;&gt;"",LEN(TRIM(F34))&lt;&gt;64),"Hash deve ter 64 caracteres.","")))</f>
        <v/>
      </c>
      <c r="M34" s="5"/>
    </row>
    <row r="35" customFormat="false" ht="15" hidden="false" customHeight="false" outlineLevel="0" collapsed="false">
      <c r="A35" s="5"/>
      <c r="B35" s="25"/>
      <c r="C35" s="5"/>
      <c r="D35" s="5"/>
      <c r="E35" s="26"/>
      <c r="F35" s="26"/>
      <c r="G35" s="27"/>
      <c r="H35" s="14"/>
      <c r="I35" s="5"/>
      <c r="J35" s="5"/>
      <c r="K35" s="28" t="str">
        <f aca="false">IF(G35="","",COUNTIF('Linha do tempo'!$D:$D,G35))</f>
        <v/>
      </c>
      <c r="L35" s="19" t="str">
        <f aca="false">IF(AND(G35="",F35=""),"",TRIM(IF(AND(G35&lt;&gt;"",COUNTIF($G:$G,G35)&gt;1),"ID repetido. ","")&amp;IF(AND(F35&lt;&gt;"",LEN(TRIM(F35))&lt;&gt;64),"Hash deve ter 64 caracteres.","")))</f>
        <v/>
      </c>
      <c r="M35" s="5"/>
    </row>
    <row r="36" customFormat="false" ht="15" hidden="false" customHeight="false" outlineLevel="0" collapsed="false">
      <c r="A36" s="5"/>
      <c r="B36" s="25"/>
      <c r="C36" s="5"/>
      <c r="D36" s="5"/>
      <c r="E36" s="26"/>
      <c r="F36" s="26"/>
      <c r="G36" s="27"/>
      <c r="H36" s="14"/>
      <c r="I36" s="5"/>
      <c r="J36" s="5"/>
      <c r="K36" s="28" t="str">
        <f aca="false">IF(G36="","",COUNTIF('Linha do tempo'!$D:$D,G36))</f>
        <v/>
      </c>
      <c r="L36" s="19" t="str">
        <f aca="false">IF(AND(G36="",F36=""),"",TRIM(IF(AND(G36&lt;&gt;"",COUNTIF($G:$G,G36)&gt;1),"ID repetido. ","")&amp;IF(AND(F36&lt;&gt;"",LEN(TRIM(F36))&lt;&gt;64),"Hash deve ter 64 caracteres.","")))</f>
        <v/>
      </c>
      <c r="M36" s="5"/>
    </row>
    <row r="37" customFormat="false" ht="15" hidden="false" customHeight="false" outlineLevel="0" collapsed="false">
      <c r="A37" s="5"/>
      <c r="B37" s="25"/>
      <c r="C37" s="5"/>
      <c r="D37" s="5"/>
      <c r="E37" s="26"/>
      <c r="F37" s="26"/>
      <c r="G37" s="27"/>
      <c r="H37" s="14"/>
      <c r="I37" s="5"/>
      <c r="J37" s="5"/>
      <c r="K37" s="28" t="str">
        <f aca="false">IF(G37="","",COUNTIF('Linha do tempo'!$D:$D,G37))</f>
        <v/>
      </c>
      <c r="L37" s="19" t="str">
        <f aca="false">IF(AND(G37="",F37=""),"",TRIM(IF(AND(G37&lt;&gt;"",COUNTIF($G:$G,G37)&gt;1),"ID repetido. ","")&amp;IF(AND(F37&lt;&gt;"",LEN(TRIM(F37))&lt;&gt;64),"Hash deve ter 64 caracteres.","")))</f>
        <v/>
      </c>
      <c r="M37" s="5"/>
    </row>
    <row r="38" customFormat="false" ht="15" hidden="false" customHeight="false" outlineLevel="0" collapsed="false">
      <c r="A38" s="5"/>
      <c r="B38" s="25"/>
      <c r="C38" s="5"/>
      <c r="D38" s="5"/>
      <c r="E38" s="26"/>
      <c r="F38" s="26"/>
      <c r="G38" s="27"/>
      <c r="H38" s="14"/>
      <c r="I38" s="5"/>
      <c r="J38" s="5"/>
      <c r="K38" s="28" t="str">
        <f aca="false">IF(G38="","",COUNTIF('Linha do tempo'!$D:$D,G38))</f>
        <v/>
      </c>
      <c r="L38" s="19" t="str">
        <f aca="false">IF(AND(G38="",F38=""),"",TRIM(IF(AND(G38&lt;&gt;"",COUNTIF($G:$G,G38)&gt;1),"ID repetido. ","")&amp;IF(AND(F38&lt;&gt;"",LEN(TRIM(F38))&lt;&gt;64),"Hash deve ter 64 caracteres.","")))</f>
        <v/>
      </c>
      <c r="M38" s="5"/>
    </row>
    <row r="39" customFormat="false" ht="15" hidden="false" customHeight="false" outlineLevel="0" collapsed="false">
      <c r="A39" s="5"/>
      <c r="B39" s="25"/>
      <c r="C39" s="5"/>
      <c r="D39" s="5"/>
      <c r="E39" s="26"/>
      <c r="F39" s="26"/>
      <c r="G39" s="27"/>
      <c r="H39" s="14"/>
      <c r="I39" s="5"/>
      <c r="J39" s="5"/>
      <c r="K39" s="28" t="str">
        <f aca="false">IF(G39="","",COUNTIF('Linha do tempo'!$D:$D,G39))</f>
        <v/>
      </c>
      <c r="L39" s="19" t="str">
        <f aca="false">IF(AND(G39="",F39=""),"",TRIM(IF(AND(G39&lt;&gt;"",COUNTIF($G:$G,G39)&gt;1),"ID repetido. ","")&amp;IF(AND(F39&lt;&gt;"",LEN(TRIM(F39))&lt;&gt;64),"Hash deve ter 64 caracteres.","")))</f>
        <v/>
      </c>
      <c r="M39" s="5"/>
    </row>
    <row r="40" customFormat="false" ht="15" hidden="false" customHeight="false" outlineLevel="0" collapsed="false">
      <c r="A40" s="5"/>
      <c r="B40" s="25"/>
      <c r="C40" s="5"/>
      <c r="D40" s="5"/>
      <c r="E40" s="26"/>
      <c r="F40" s="26"/>
      <c r="G40" s="27"/>
      <c r="H40" s="14"/>
      <c r="I40" s="5"/>
      <c r="J40" s="5"/>
      <c r="K40" s="28" t="str">
        <f aca="false">IF(G40="","",COUNTIF('Linha do tempo'!$D:$D,G40))</f>
        <v/>
      </c>
      <c r="L40" s="19" t="str">
        <f aca="false">IF(AND(G40="",F40=""),"",TRIM(IF(AND(G40&lt;&gt;"",COUNTIF($G:$G,G40)&gt;1),"ID repetido. ","")&amp;IF(AND(F40&lt;&gt;"",LEN(TRIM(F40))&lt;&gt;64),"Hash deve ter 64 caracteres.","")))</f>
        <v/>
      </c>
      <c r="M40" s="5"/>
    </row>
    <row r="41" customFormat="false" ht="15" hidden="false" customHeight="false" outlineLevel="0" collapsed="false">
      <c r="A41" s="5"/>
      <c r="B41" s="25"/>
      <c r="C41" s="5"/>
      <c r="D41" s="5"/>
      <c r="E41" s="26"/>
      <c r="F41" s="26"/>
      <c r="G41" s="27"/>
      <c r="H41" s="14"/>
      <c r="I41" s="5"/>
      <c r="J41" s="5"/>
      <c r="K41" s="28" t="str">
        <f aca="false">IF(G41="","",COUNTIF('Linha do tempo'!$D:$D,G41))</f>
        <v/>
      </c>
      <c r="L41" s="19" t="str">
        <f aca="false">IF(AND(G41="",F41=""),"",TRIM(IF(AND(G41&lt;&gt;"",COUNTIF($G:$G,G41)&gt;1),"ID repetido. ","")&amp;IF(AND(F41&lt;&gt;"",LEN(TRIM(F41))&lt;&gt;64),"Hash deve ter 64 caracteres.","")))</f>
        <v/>
      </c>
      <c r="M41" s="5"/>
    </row>
    <row r="42" customFormat="false" ht="15" hidden="false" customHeight="false" outlineLevel="0" collapsed="false">
      <c r="A42" s="5"/>
      <c r="B42" s="25"/>
      <c r="C42" s="5"/>
      <c r="D42" s="5"/>
      <c r="E42" s="26"/>
      <c r="F42" s="26"/>
      <c r="G42" s="27"/>
      <c r="H42" s="14"/>
      <c r="I42" s="5"/>
      <c r="J42" s="5"/>
      <c r="K42" s="28" t="str">
        <f aca="false">IF(G42="","",COUNTIF('Linha do tempo'!$D:$D,G42))</f>
        <v/>
      </c>
      <c r="L42" s="19" t="str">
        <f aca="false">IF(AND(G42="",F42=""),"",TRIM(IF(AND(G42&lt;&gt;"",COUNTIF($G:$G,G42)&gt;1),"ID repetido. ","")&amp;IF(AND(F42&lt;&gt;"",LEN(TRIM(F42))&lt;&gt;64),"Hash deve ter 64 caracteres.","")))</f>
        <v/>
      </c>
      <c r="M42" s="5"/>
    </row>
    <row r="43" customFormat="false" ht="15" hidden="false" customHeight="false" outlineLevel="0" collapsed="false">
      <c r="A43" s="5"/>
      <c r="B43" s="25"/>
      <c r="C43" s="5"/>
      <c r="D43" s="5"/>
      <c r="E43" s="26"/>
      <c r="F43" s="26"/>
      <c r="G43" s="27"/>
      <c r="H43" s="14"/>
      <c r="I43" s="5"/>
      <c r="J43" s="5"/>
      <c r="K43" s="28" t="str">
        <f aca="false">IF(G43="","",COUNTIF('Linha do tempo'!$D:$D,G43))</f>
        <v/>
      </c>
      <c r="L43" s="19" t="str">
        <f aca="false">IF(AND(G43="",F43=""),"",TRIM(IF(AND(G43&lt;&gt;"",COUNTIF($G:$G,G43)&gt;1),"ID repetido. ","")&amp;IF(AND(F43&lt;&gt;"",LEN(TRIM(F43))&lt;&gt;64),"Hash deve ter 64 caracteres.","")))</f>
        <v/>
      </c>
      <c r="M43" s="5"/>
    </row>
    <row r="44" customFormat="false" ht="15" hidden="false" customHeight="false" outlineLevel="0" collapsed="false">
      <c r="A44" s="5"/>
      <c r="B44" s="25"/>
      <c r="C44" s="5"/>
      <c r="D44" s="5"/>
      <c r="E44" s="26"/>
      <c r="F44" s="26"/>
      <c r="G44" s="27"/>
      <c r="H44" s="14"/>
      <c r="I44" s="5"/>
      <c r="J44" s="5"/>
      <c r="K44" s="28" t="str">
        <f aca="false">IF(G44="","",COUNTIF('Linha do tempo'!$D:$D,G44))</f>
        <v/>
      </c>
      <c r="L44" s="19" t="str">
        <f aca="false">IF(AND(G44="",F44=""),"",TRIM(IF(AND(G44&lt;&gt;"",COUNTIF($G:$G,G44)&gt;1),"ID repetido. ","")&amp;IF(AND(F44&lt;&gt;"",LEN(TRIM(F44))&lt;&gt;64),"Hash deve ter 64 caracteres.","")))</f>
        <v/>
      </c>
      <c r="M44" s="5"/>
    </row>
    <row r="45" customFormat="false" ht="15" hidden="false" customHeight="false" outlineLevel="0" collapsed="false">
      <c r="A45" s="5"/>
      <c r="B45" s="25"/>
      <c r="C45" s="5"/>
      <c r="D45" s="5"/>
      <c r="E45" s="26"/>
      <c r="F45" s="26"/>
      <c r="G45" s="27"/>
      <c r="H45" s="14"/>
      <c r="I45" s="5"/>
      <c r="J45" s="5"/>
      <c r="K45" s="28" t="str">
        <f aca="false">IF(G45="","",COUNTIF('Linha do tempo'!$D:$D,G45))</f>
        <v/>
      </c>
      <c r="L45" s="19" t="str">
        <f aca="false">IF(AND(G45="",F45=""),"",TRIM(IF(AND(G45&lt;&gt;"",COUNTIF($G:$G,G45)&gt;1),"ID repetido. ","")&amp;IF(AND(F45&lt;&gt;"",LEN(TRIM(F45))&lt;&gt;64),"Hash deve ter 64 caracteres.","")))</f>
        <v/>
      </c>
      <c r="M45" s="5"/>
    </row>
    <row r="46" customFormat="false" ht="15" hidden="false" customHeight="false" outlineLevel="0" collapsed="false">
      <c r="A46" s="5"/>
      <c r="B46" s="25"/>
      <c r="C46" s="5"/>
      <c r="D46" s="5"/>
      <c r="E46" s="26"/>
      <c r="F46" s="26"/>
      <c r="G46" s="27"/>
      <c r="H46" s="14"/>
      <c r="I46" s="5"/>
      <c r="J46" s="5"/>
      <c r="K46" s="28" t="str">
        <f aca="false">IF(G46="","",COUNTIF('Linha do tempo'!$D:$D,G46))</f>
        <v/>
      </c>
      <c r="L46" s="19" t="str">
        <f aca="false">IF(AND(G46="",F46=""),"",TRIM(IF(AND(G46&lt;&gt;"",COUNTIF($G:$G,G46)&gt;1),"ID repetido. ","")&amp;IF(AND(F46&lt;&gt;"",LEN(TRIM(F46))&lt;&gt;64),"Hash deve ter 64 caracteres.","")))</f>
        <v/>
      </c>
      <c r="M46" s="5"/>
    </row>
    <row r="47" customFormat="false" ht="15" hidden="false" customHeight="false" outlineLevel="0" collapsed="false">
      <c r="A47" s="5"/>
      <c r="B47" s="25"/>
      <c r="C47" s="5"/>
      <c r="D47" s="5"/>
      <c r="E47" s="26"/>
      <c r="F47" s="26"/>
      <c r="G47" s="27"/>
      <c r="H47" s="14"/>
      <c r="I47" s="5"/>
      <c r="J47" s="5"/>
      <c r="K47" s="28" t="str">
        <f aca="false">IF(G47="","",COUNTIF('Linha do tempo'!$D:$D,G47))</f>
        <v/>
      </c>
      <c r="L47" s="19" t="str">
        <f aca="false">IF(AND(G47="",F47=""),"",TRIM(IF(AND(G47&lt;&gt;"",COUNTIF($G:$G,G47)&gt;1),"ID repetido. ","")&amp;IF(AND(F47&lt;&gt;"",LEN(TRIM(F47))&lt;&gt;64),"Hash deve ter 64 caracteres.","")))</f>
        <v/>
      </c>
      <c r="M47" s="5"/>
    </row>
    <row r="48" customFormat="false" ht="15" hidden="false" customHeight="false" outlineLevel="0" collapsed="false">
      <c r="A48" s="5"/>
      <c r="B48" s="25"/>
      <c r="C48" s="5"/>
      <c r="D48" s="5"/>
      <c r="E48" s="26"/>
      <c r="F48" s="26"/>
      <c r="G48" s="27"/>
      <c r="H48" s="14"/>
      <c r="I48" s="5"/>
      <c r="J48" s="5"/>
      <c r="K48" s="28" t="str">
        <f aca="false">IF(G48="","",COUNTIF('Linha do tempo'!$D:$D,G48))</f>
        <v/>
      </c>
      <c r="L48" s="19" t="str">
        <f aca="false">IF(AND(G48="",F48=""),"",TRIM(IF(AND(G48&lt;&gt;"",COUNTIF($G:$G,G48)&gt;1),"ID repetido. ","")&amp;IF(AND(F48&lt;&gt;"",LEN(TRIM(F48))&lt;&gt;64),"Hash deve ter 64 caracteres.","")))</f>
        <v/>
      </c>
      <c r="M48" s="5"/>
    </row>
    <row r="49" customFormat="false" ht="15" hidden="false" customHeight="false" outlineLevel="0" collapsed="false">
      <c r="A49" s="5"/>
      <c r="B49" s="25"/>
      <c r="C49" s="5"/>
      <c r="D49" s="5"/>
      <c r="E49" s="26"/>
      <c r="F49" s="26"/>
      <c r="G49" s="27"/>
      <c r="H49" s="14"/>
      <c r="I49" s="5"/>
      <c r="J49" s="5"/>
      <c r="K49" s="28" t="str">
        <f aca="false">IF(G49="","",COUNTIF('Linha do tempo'!$D:$D,G49))</f>
        <v/>
      </c>
      <c r="L49" s="19" t="str">
        <f aca="false">IF(AND(G49="",F49=""),"",TRIM(IF(AND(G49&lt;&gt;"",COUNTIF($G:$G,G49)&gt;1),"ID repetido. ","")&amp;IF(AND(F49&lt;&gt;"",LEN(TRIM(F49))&lt;&gt;64),"Hash deve ter 64 caracteres.","")))</f>
        <v/>
      </c>
      <c r="M49" s="5"/>
    </row>
    <row r="50" customFormat="false" ht="15" hidden="false" customHeight="false" outlineLevel="0" collapsed="false">
      <c r="A50" s="5"/>
      <c r="B50" s="25"/>
      <c r="C50" s="5"/>
      <c r="D50" s="5"/>
      <c r="E50" s="26"/>
      <c r="F50" s="26"/>
      <c r="G50" s="27"/>
      <c r="H50" s="14"/>
      <c r="I50" s="5"/>
      <c r="J50" s="5"/>
      <c r="K50" s="28" t="str">
        <f aca="false">IF(G50="","",COUNTIF('Linha do tempo'!$D:$D,G50))</f>
        <v/>
      </c>
      <c r="L50" s="19" t="str">
        <f aca="false">IF(AND(G50="",F50=""),"",TRIM(IF(AND(G50&lt;&gt;"",COUNTIF($G:$G,G50)&gt;1),"ID repetido. ","")&amp;IF(AND(F50&lt;&gt;"",LEN(TRIM(F50))&lt;&gt;64),"Hash deve ter 64 caracteres.","")))</f>
        <v/>
      </c>
      <c r="M50" s="5"/>
    </row>
    <row r="51" customFormat="false" ht="15" hidden="false" customHeight="false" outlineLevel="0" collapsed="false">
      <c r="A51" s="5"/>
      <c r="B51" s="25"/>
      <c r="C51" s="5"/>
      <c r="D51" s="5"/>
      <c r="E51" s="26"/>
      <c r="F51" s="26"/>
      <c r="G51" s="27"/>
      <c r="H51" s="14"/>
      <c r="I51" s="5"/>
      <c r="J51" s="5"/>
      <c r="K51" s="28" t="str">
        <f aca="false">IF(G51="","",COUNTIF('Linha do tempo'!$D:$D,G51))</f>
        <v/>
      </c>
      <c r="L51" s="19" t="str">
        <f aca="false">IF(AND(G51="",F51=""),"",TRIM(IF(AND(G51&lt;&gt;"",COUNTIF($G:$G,G51)&gt;1),"ID repetido. ","")&amp;IF(AND(F51&lt;&gt;"",LEN(TRIM(F51))&lt;&gt;64),"Hash deve ter 64 caracteres.","")))</f>
        <v/>
      </c>
      <c r="M51" s="5"/>
    </row>
    <row r="52" customFormat="false" ht="15" hidden="false" customHeight="false" outlineLevel="0" collapsed="false">
      <c r="A52" s="5"/>
      <c r="B52" s="25"/>
      <c r="C52" s="5"/>
      <c r="D52" s="5"/>
      <c r="E52" s="26"/>
      <c r="F52" s="26"/>
      <c r="G52" s="27"/>
      <c r="H52" s="14"/>
      <c r="I52" s="5"/>
      <c r="J52" s="5"/>
      <c r="K52" s="28" t="str">
        <f aca="false">IF(G52="","",COUNTIF('Linha do tempo'!$D:$D,G52))</f>
        <v/>
      </c>
      <c r="L52" s="19" t="str">
        <f aca="false">IF(AND(G52="",F52=""),"",TRIM(IF(AND(G52&lt;&gt;"",COUNTIF($G:$G,G52)&gt;1),"ID repetido. ","")&amp;IF(AND(F52&lt;&gt;"",LEN(TRIM(F52))&lt;&gt;64),"Hash deve ter 64 caracteres.","")))</f>
        <v/>
      </c>
      <c r="M52" s="5"/>
    </row>
    <row r="53" customFormat="false" ht="15" hidden="false" customHeight="false" outlineLevel="0" collapsed="false">
      <c r="A53" s="5"/>
      <c r="B53" s="25"/>
      <c r="C53" s="5"/>
      <c r="D53" s="5"/>
      <c r="E53" s="26"/>
      <c r="F53" s="26"/>
      <c r="G53" s="27"/>
      <c r="H53" s="14"/>
      <c r="I53" s="5"/>
      <c r="J53" s="5"/>
      <c r="K53" s="28" t="str">
        <f aca="false">IF(G53="","",COUNTIF('Linha do tempo'!$D:$D,G53))</f>
        <v/>
      </c>
      <c r="L53" s="19" t="str">
        <f aca="false">IF(AND(G53="",F53=""),"",TRIM(IF(AND(G53&lt;&gt;"",COUNTIF($G:$G,G53)&gt;1),"ID repetido. ","")&amp;IF(AND(F53&lt;&gt;"",LEN(TRIM(F53))&lt;&gt;64),"Hash deve ter 64 caracteres.","")))</f>
        <v/>
      </c>
      <c r="M53" s="5"/>
    </row>
    <row r="54" customFormat="false" ht="15" hidden="false" customHeight="false" outlineLevel="0" collapsed="false">
      <c r="A54" s="5"/>
      <c r="B54" s="25"/>
      <c r="C54" s="5"/>
      <c r="D54" s="5"/>
      <c r="E54" s="26"/>
      <c r="F54" s="26"/>
      <c r="G54" s="27"/>
      <c r="H54" s="14"/>
      <c r="I54" s="5"/>
      <c r="J54" s="5"/>
      <c r="K54" s="28" t="str">
        <f aca="false">IF(G54="","",COUNTIF('Linha do tempo'!$D:$D,G54))</f>
        <v/>
      </c>
      <c r="L54" s="19" t="str">
        <f aca="false">IF(AND(G54="",F54=""),"",TRIM(IF(AND(G54&lt;&gt;"",COUNTIF($G:$G,G54)&gt;1),"ID repetido. ","")&amp;IF(AND(F54&lt;&gt;"",LEN(TRIM(F54))&lt;&gt;64),"Hash deve ter 64 caracteres.","")))</f>
        <v/>
      </c>
      <c r="M54" s="5"/>
    </row>
    <row r="55" customFormat="false" ht="15" hidden="false" customHeight="false" outlineLevel="0" collapsed="false">
      <c r="A55" s="5"/>
      <c r="B55" s="25"/>
      <c r="C55" s="5"/>
      <c r="D55" s="5"/>
      <c r="E55" s="26"/>
      <c r="F55" s="26"/>
      <c r="G55" s="27"/>
      <c r="H55" s="14"/>
      <c r="I55" s="5"/>
      <c r="J55" s="5"/>
      <c r="K55" s="28" t="str">
        <f aca="false">IF(G55="","",COUNTIF('Linha do tempo'!$D:$D,G55))</f>
        <v/>
      </c>
      <c r="L55" s="19" t="str">
        <f aca="false">IF(AND(G55="",F55=""),"",TRIM(IF(AND(G55&lt;&gt;"",COUNTIF($G:$G,G55)&gt;1),"ID repetido. ","")&amp;IF(AND(F55&lt;&gt;"",LEN(TRIM(F55))&lt;&gt;64),"Hash deve ter 64 caracteres.","")))</f>
        <v/>
      </c>
      <c r="M55" s="5"/>
    </row>
    <row r="56" customFormat="false" ht="15" hidden="false" customHeight="false" outlineLevel="0" collapsed="false">
      <c r="A56" s="5"/>
      <c r="B56" s="25"/>
      <c r="C56" s="5"/>
      <c r="D56" s="5"/>
      <c r="E56" s="26"/>
      <c r="F56" s="26"/>
      <c r="G56" s="27"/>
      <c r="H56" s="14"/>
      <c r="I56" s="5"/>
      <c r="J56" s="5"/>
      <c r="K56" s="28" t="str">
        <f aca="false">IF(G56="","",COUNTIF('Linha do tempo'!$D:$D,G56))</f>
        <v/>
      </c>
      <c r="L56" s="19" t="str">
        <f aca="false">IF(AND(G56="",F56=""),"",TRIM(IF(AND(G56&lt;&gt;"",COUNTIF($G:$G,G56)&gt;1),"ID repetido. ","")&amp;IF(AND(F56&lt;&gt;"",LEN(TRIM(F56))&lt;&gt;64),"Hash deve ter 64 caracteres.","")))</f>
        <v/>
      </c>
      <c r="M56" s="5"/>
    </row>
    <row r="57" customFormat="false" ht="15" hidden="false" customHeight="false" outlineLevel="0" collapsed="false">
      <c r="A57" s="5"/>
      <c r="B57" s="25"/>
      <c r="C57" s="5"/>
      <c r="D57" s="5"/>
      <c r="E57" s="26"/>
      <c r="F57" s="26"/>
      <c r="G57" s="27"/>
      <c r="H57" s="14"/>
      <c r="I57" s="5"/>
      <c r="J57" s="5"/>
      <c r="K57" s="28" t="str">
        <f aca="false">IF(G57="","",COUNTIF('Linha do tempo'!$D:$D,G57))</f>
        <v/>
      </c>
      <c r="L57" s="19" t="str">
        <f aca="false">IF(AND(G57="",F57=""),"",TRIM(IF(AND(G57&lt;&gt;"",COUNTIF($G:$G,G57)&gt;1),"ID repetido. ","")&amp;IF(AND(F57&lt;&gt;"",LEN(TRIM(F57))&lt;&gt;64),"Hash deve ter 64 caracteres.","")))</f>
        <v/>
      </c>
      <c r="M57" s="5"/>
    </row>
    <row r="58" customFormat="false" ht="15" hidden="false" customHeight="false" outlineLevel="0" collapsed="false">
      <c r="A58" s="5"/>
      <c r="B58" s="25"/>
      <c r="C58" s="5"/>
      <c r="D58" s="5"/>
      <c r="E58" s="26"/>
      <c r="F58" s="26"/>
      <c r="G58" s="27"/>
      <c r="H58" s="14"/>
      <c r="I58" s="5"/>
      <c r="J58" s="5"/>
      <c r="K58" s="28" t="str">
        <f aca="false">IF(G58="","",COUNTIF('Linha do tempo'!$D:$D,G58))</f>
        <v/>
      </c>
      <c r="L58" s="19" t="str">
        <f aca="false">IF(AND(G58="",F58=""),"",TRIM(IF(AND(G58&lt;&gt;"",COUNTIF($G:$G,G58)&gt;1),"ID repetido. ","")&amp;IF(AND(F58&lt;&gt;"",LEN(TRIM(F58))&lt;&gt;64),"Hash deve ter 64 caracteres.","")))</f>
        <v/>
      </c>
      <c r="M58" s="5"/>
    </row>
    <row r="59" customFormat="false" ht="15" hidden="false" customHeight="false" outlineLevel="0" collapsed="false">
      <c r="A59" s="5"/>
      <c r="B59" s="25"/>
      <c r="C59" s="5"/>
      <c r="D59" s="5"/>
      <c r="E59" s="26"/>
      <c r="F59" s="26"/>
      <c r="G59" s="27"/>
      <c r="H59" s="14"/>
      <c r="I59" s="5"/>
      <c r="J59" s="5"/>
      <c r="K59" s="28" t="str">
        <f aca="false">IF(G59="","",COUNTIF('Linha do tempo'!$D:$D,G59))</f>
        <v/>
      </c>
      <c r="L59" s="19" t="str">
        <f aca="false">IF(AND(G59="",F59=""),"",TRIM(IF(AND(G59&lt;&gt;"",COUNTIF($G:$G,G59)&gt;1),"ID repetido. ","")&amp;IF(AND(F59&lt;&gt;"",LEN(TRIM(F59))&lt;&gt;64),"Hash deve ter 64 caracteres.","")))</f>
        <v/>
      </c>
      <c r="M59" s="5"/>
    </row>
    <row r="60" customFormat="false" ht="15" hidden="false" customHeight="false" outlineLevel="0" collapsed="false">
      <c r="A60" s="5"/>
      <c r="B60" s="25"/>
      <c r="C60" s="5"/>
      <c r="D60" s="5"/>
      <c r="E60" s="26"/>
      <c r="F60" s="26"/>
      <c r="G60" s="27"/>
      <c r="H60" s="14"/>
      <c r="I60" s="5"/>
      <c r="J60" s="5"/>
      <c r="K60" s="28" t="str">
        <f aca="false">IF(G60="","",COUNTIF('Linha do tempo'!$D:$D,G60))</f>
        <v/>
      </c>
      <c r="L60" s="19" t="str">
        <f aca="false">IF(AND(G60="",F60=""),"",TRIM(IF(AND(G60&lt;&gt;"",COUNTIF($G:$G,G60)&gt;1),"ID repetido. ","")&amp;IF(AND(F60&lt;&gt;"",LEN(TRIM(F60))&lt;&gt;64),"Hash deve ter 64 caracteres.","")))</f>
        <v/>
      </c>
      <c r="M60" s="5"/>
    </row>
    <row r="61" customFormat="false" ht="15" hidden="false" customHeight="false" outlineLevel="0" collapsed="false">
      <c r="A61" s="5"/>
      <c r="B61" s="25"/>
      <c r="C61" s="5"/>
      <c r="D61" s="5"/>
      <c r="E61" s="26"/>
      <c r="F61" s="26"/>
      <c r="G61" s="27"/>
      <c r="H61" s="14"/>
      <c r="I61" s="5"/>
      <c r="J61" s="5"/>
      <c r="K61" s="28" t="str">
        <f aca="false">IF(G61="","",COUNTIF('Linha do tempo'!$D:$D,G61))</f>
        <v/>
      </c>
      <c r="L61" s="19" t="str">
        <f aca="false">IF(AND(G61="",F61=""),"",TRIM(IF(AND(G61&lt;&gt;"",COUNTIF($G:$G,G61)&gt;1),"ID repetido. ","")&amp;IF(AND(F61&lt;&gt;"",LEN(TRIM(F61))&lt;&gt;64),"Hash deve ter 64 caracteres.","")))</f>
        <v/>
      </c>
      <c r="M61" s="5"/>
    </row>
    <row r="62" customFormat="false" ht="15" hidden="false" customHeight="false" outlineLevel="0" collapsed="false">
      <c r="A62" s="5"/>
      <c r="B62" s="25"/>
      <c r="C62" s="5"/>
      <c r="D62" s="5"/>
      <c r="E62" s="26"/>
      <c r="F62" s="26"/>
      <c r="G62" s="27"/>
      <c r="H62" s="14"/>
      <c r="I62" s="5"/>
      <c r="J62" s="5"/>
      <c r="K62" s="28" t="str">
        <f aca="false">IF(G62="","",COUNTIF('Linha do tempo'!$D:$D,G62))</f>
        <v/>
      </c>
      <c r="L62" s="19" t="str">
        <f aca="false">IF(AND(G62="",F62=""),"",TRIM(IF(AND(G62&lt;&gt;"",COUNTIF($G:$G,G62)&gt;1),"ID repetido. ","")&amp;IF(AND(F62&lt;&gt;"",LEN(TRIM(F62))&lt;&gt;64),"Hash deve ter 64 caracteres.","")))</f>
        <v/>
      </c>
      <c r="M62" s="5"/>
    </row>
    <row r="63" customFormat="false" ht="15" hidden="false" customHeight="false" outlineLevel="0" collapsed="false">
      <c r="A63" s="5"/>
      <c r="B63" s="25"/>
      <c r="C63" s="5"/>
      <c r="D63" s="5"/>
      <c r="E63" s="26"/>
      <c r="F63" s="26"/>
      <c r="G63" s="27"/>
      <c r="H63" s="14"/>
      <c r="I63" s="5"/>
      <c r="J63" s="5"/>
      <c r="K63" s="28" t="str">
        <f aca="false">IF(G63="","",COUNTIF('Linha do tempo'!$D:$D,G63))</f>
        <v/>
      </c>
      <c r="L63" s="19" t="str">
        <f aca="false">IF(AND(G63="",F63=""),"",TRIM(IF(AND(G63&lt;&gt;"",COUNTIF($G:$G,G63)&gt;1),"ID repetido. ","")&amp;IF(AND(F63&lt;&gt;"",LEN(TRIM(F63))&lt;&gt;64),"Hash deve ter 64 caracteres.","")))</f>
        <v/>
      </c>
      <c r="M63" s="5"/>
    </row>
    <row r="64" customFormat="false" ht="15" hidden="false" customHeight="false" outlineLevel="0" collapsed="false">
      <c r="A64" s="5"/>
      <c r="B64" s="25"/>
      <c r="C64" s="5"/>
      <c r="D64" s="5"/>
      <c r="E64" s="26"/>
      <c r="F64" s="26"/>
      <c r="G64" s="27"/>
      <c r="H64" s="14"/>
      <c r="I64" s="5"/>
      <c r="J64" s="5"/>
      <c r="K64" s="28" t="str">
        <f aca="false">IF(G64="","",COUNTIF('Linha do tempo'!$D:$D,G64))</f>
        <v/>
      </c>
      <c r="L64" s="19" t="str">
        <f aca="false">IF(AND(G64="",F64=""),"",TRIM(IF(AND(G64&lt;&gt;"",COUNTIF($G:$G,G64)&gt;1),"ID repetido. ","")&amp;IF(AND(F64&lt;&gt;"",LEN(TRIM(F64))&lt;&gt;64),"Hash deve ter 64 caracteres.","")))</f>
        <v/>
      </c>
      <c r="M64" s="5"/>
    </row>
    <row r="65" customFormat="false" ht="15" hidden="false" customHeight="false" outlineLevel="0" collapsed="false">
      <c r="A65" s="5"/>
      <c r="B65" s="25"/>
      <c r="C65" s="5"/>
      <c r="D65" s="5"/>
      <c r="E65" s="26"/>
      <c r="F65" s="26"/>
      <c r="G65" s="27"/>
      <c r="H65" s="14"/>
      <c r="I65" s="5"/>
      <c r="J65" s="5"/>
      <c r="K65" s="28" t="str">
        <f aca="false">IF(G65="","",COUNTIF('Linha do tempo'!$D:$D,G65))</f>
        <v/>
      </c>
      <c r="L65" s="19" t="str">
        <f aca="false">IF(AND(G65="",F65=""),"",TRIM(IF(AND(G65&lt;&gt;"",COUNTIF($G:$G,G65)&gt;1),"ID repetido. ","")&amp;IF(AND(F65&lt;&gt;"",LEN(TRIM(F65))&lt;&gt;64),"Hash deve ter 64 caracteres.","")))</f>
        <v/>
      </c>
      <c r="M65" s="5"/>
    </row>
    <row r="66" customFormat="false" ht="15" hidden="false" customHeight="false" outlineLevel="0" collapsed="false">
      <c r="A66" s="5"/>
      <c r="B66" s="25"/>
      <c r="C66" s="5"/>
      <c r="D66" s="5"/>
      <c r="E66" s="26"/>
      <c r="F66" s="26"/>
      <c r="G66" s="27"/>
      <c r="H66" s="14"/>
      <c r="I66" s="5"/>
      <c r="J66" s="5"/>
      <c r="K66" s="28" t="str">
        <f aca="false">IF(G66="","",COUNTIF('Linha do tempo'!$D:$D,G66))</f>
        <v/>
      </c>
      <c r="L66" s="19" t="str">
        <f aca="false">IF(AND(G66="",F66=""),"",TRIM(IF(AND(G66&lt;&gt;"",COUNTIF($G:$G,G66)&gt;1),"ID repetido. ","")&amp;IF(AND(F66&lt;&gt;"",LEN(TRIM(F66))&lt;&gt;64),"Hash deve ter 64 caracteres.","")))</f>
        <v/>
      </c>
      <c r="M66" s="5"/>
    </row>
    <row r="67" customFormat="false" ht="15" hidden="false" customHeight="false" outlineLevel="0" collapsed="false">
      <c r="A67" s="5"/>
      <c r="B67" s="25"/>
      <c r="C67" s="5"/>
      <c r="D67" s="5"/>
      <c r="E67" s="26"/>
      <c r="F67" s="26"/>
      <c r="G67" s="27"/>
      <c r="H67" s="14"/>
      <c r="I67" s="5"/>
      <c r="J67" s="5"/>
      <c r="K67" s="28" t="str">
        <f aca="false">IF(G67="","",COUNTIF('Linha do tempo'!$D:$D,G67))</f>
        <v/>
      </c>
      <c r="L67" s="19" t="str">
        <f aca="false">IF(AND(G67="",F67=""),"",TRIM(IF(AND(G67&lt;&gt;"",COUNTIF($G:$G,G67)&gt;1),"ID repetido. ","")&amp;IF(AND(F67&lt;&gt;"",LEN(TRIM(F67))&lt;&gt;64),"Hash deve ter 64 caracteres.","")))</f>
        <v/>
      </c>
      <c r="M67" s="5"/>
    </row>
    <row r="68" customFormat="false" ht="15" hidden="false" customHeight="false" outlineLevel="0" collapsed="false">
      <c r="A68" s="5"/>
      <c r="B68" s="25"/>
      <c r="C68" s="5"/>
      <c r="D68" s="5"/>
      <c r="E68" s="26"/>
      <c r="F68" s="26"/>
      <c r="G68" s="27"/>
      <c r="H68" s="14"/>
      <c r="I68" s="5"/>
      <c r="J68" s="5"/>
      <c r="K68" s="28" t="str">
        <f aca="false">IF(G68="","",COUNTIF('Linha do tempo'!$D:$D,G68))</f>
        <v/>
      </c>
      <c r="L68" s="19" t="str">
        <f aca="false">IF(AND(G68="",F68=""),"",TRIM(IF(AND(G68&lt;&gt;"",COUNTIF($G:$G,G68)&gt;1),"ID repetido. ","")&amp;IF(AND(F68&lt;&gt;"",LEN(TRIM(F68))&lt;&gt;64),"Hash deve ter 64 caracteres.","")))</f>
        <v/>
      </c>
      <c r="M68" s="5"/>
    </row>
    <row r="69" customFormat="false" ht="15" hidden="false" customHeight="false" outlineLevel="0" collapsed="false">
      <c r="A69" s="5"/>
      <c r="B69" s="25"/>
      <c r="C69" s="5"/>
      <c r="D69" s="5"/>
      <c r="E69" s="26"/>
      <c r="F69" s="26"/>
      <c r="G69" s="27"/>
      <c r="H69" s="14"/>
      <c r="I69" s="5"/>
      <c r="J69" s="5"/>
      <c r="K69" s="28" t="str">
        <f aca="false">IF(G69="","",COUNTIF('Linha do tempo'!$D:$D,G69))</f>
        <v/>
      </c>
      <c r="L69" s="19" t="str">
        <f aca="false">IF(AND(G69="",F69=""),"",TRIM(IF(AND(G69&lt;&gt;"",COUNTIF($G:$G,G69)&gt;1),"ID repetido. ","")&amp;IF(AND(F69&lt;&gt;"",LEN(TRIM(F69))&lt;&gt;64),"Hash deve ter 64 caracteres.","")))</f>
        <v/>
      </c>
      <c r="M69" s="5"/>
    </row>
    <row r="70" customFormat="false" ht="15" hidden="false" customHeight="false" outlineLevel="0" collapsed="false">
      <c r="A70" s="5"/>
      <c r="B70" s="25"/>
      <c r="C70" s="5"/>
      <c r="D70" s="5"/>
      <c r="E70" s="26"/>
      <c r="F70" s="26"/>
      <c r="G70" s="27"/>
      <c r="H70" s="14"/>
      <c r="I70" s="5"/>
      <c r="J70" s="5"/>
      <c r="K70" s="28" t="str">
        <f aca="false">IF(G70="","",COUNTIF('Linha do tempo'!$D:$D,G70))</f>
        <v/>
      </c>
      <c r="L70" s="19" t="str">
        <f aca="false">IF(AND(G70="",F70=""),"",TRIM(IF(AND(G70&lt;&gt;"",COUNTIF($G:$G,G70)&gt;1),"ID repetido. ","")&amp;IF(AND(F70&lt;&gt;"",LEN(TRIM(F70))&lt;&gt;64),"Hash deve ter 64 caracteres.","")))</f>
        <v/>
      </c>
      <c r="M70" s="5"/>
    </row>
    <row r="71" customFormat="false" ht="15" hidden="false" customHeight="false" outlineLevel="0" collapsed="false">
      <c r="A71" s="5"/>
      <c r="B71" s="25"/>
      <c r="C71" s="5"/>
      <c r="D71" s="5"/>
      <c r="E71" s="26"/>
      <c r="F71" s="26"/>
      <c r="G71" s="27"/>
      <c r="H71" s="14"/>
      <c r="I71" s="5"/>
      <c r="J71" s="5"/>
      <c r="K71" s="28" t="str">
        <f aca="false">IF(G71="","",COUNTIF('Linha do tempo'!$D:$D,G71))</f>
        <v/>
      </c>
      <c r="L71" s="19" t="str">
        <f aca="false">IF(AND(G71="",F71=""),"",TRIM(IF(AND(G71&lt;&gt;"",COUNTIF($G:$G,G71)&gt;1),"ID repetido. ","")&amp;IF(AND(F71&lt;&gt;"",LEN(TRIM(F71))&lt;&gt;64),"Hash deve ter 64 caracteres.","")))</f>
        <v/>
      </c>
      <c r="M71" s="5"/>
    </row>
    <row r="72" customFormat="false" ht="15" hidden="false" customHeight="false" outlineLevel="0" collapsed="false">
      <c r="A72" s="5"/>
      <c r="B72" s="25"/>
      <c r="C72" s="5"/>
      <c r="D72" s="5"/>
      <c r="E72" s="26"/>
      <c r="F72" s="26"/>
      <c r="G72" s="27"/>
      <c r="H72" s="14"/>
      <c r="I72" s="5"/>
      <c r="J72" s="5"/>
      <c r="K72" s="28" t="str">
        <f aca="false">IF(G72="","",COUNTIF('Linha do tempo'!$D:$D,G72))</f>
        <v/>
      </c>
      <c r="L72" s="19" t="str">
        <f aca="false">IF(AND(G72="",F72=""),"",TRIM(IF(AND(G72&lt;&gt;"",COUNTIF($G:$G,G72)&gt;1),"ID repetido. ","")&amp;IF(AND(F72&lt;&gt;"",LEN(TRIM(F72))&lt;&gt;64),"Hash deve ter 64 caracteres.","")))</f>
        <v/>
      </c>
      <c r="M72" s="5"/>
    </row>
    <row r="73" customFormat="false" ht="15" hidden="false" customHeight="false" outlineLevel="0" collapsed="false">
      <c r="A73" s="5"/>
      <c r="B73" s="25"/>
      <c r="C73" s="5"/>
      <c r="D73" s="5"/>
      <c r="E73" s="26"/>
      <c r="F73" s="26"/>
      <c r="G73" s="27"/>
      <c r="H73" s="14"/>
      <c r="I73" s="5"/>
      <c r="J73" s="5"/>
      <c r="K73" s="28" t="str">
        <f aca="false">IF(G73="","",COUNTIF('Linha do tempo'!$D:$D,G73))</f>
        <v/>
      </c>
      <c r="L73" s="19" t="str">
        <f aca="false">IF(AND(G73="",F73=""),"",TRIM(IF(AND(G73&lt;&gt;"",COUNTIF($G:$G,G73)&gt;1),"ID repetido. ","")&amp;IF(AND(F73&lt;&gt;"",LEN(TRIM(F73))&lt;&gt;64),"Hash deve ter 64 caracteres.","")))</f>
        <v/>
      </c>
      <c r="M73" s="5"/>
    </row>
    <row r="74" customFormat="false" ht="15" hidden="false" customHeight="false" outlineLevel="0" collapsed="false">
      <c r="A74" s="5"/>
      <c r="B74" s="25"/>
      <c r="C74" s="5"/>
      <c r="D74" s="5"/>
      <c r="E74" s="26"/>
      <c r="F74" s="26"/>
      <c r="G74" s="27"/>
      <c r="H74" s="14"/>
      <c r="I74" s="5"/>
      <c r="J74" s="5"/>
      <c r="K74" s="28" t="str">
        <f aca="false">IF(G74="","",COUNTIF('Linha do tempo'!$D:$D,G74))</f>
        <v/>
      </c>
      <c r="L74" s="19" t="str">
        <f aca="false">IF(AND(G74="",F74=""),"",TRIM(IF(AND(G74&lt;&gt;"",COUNTIF($G:$G,G74)&gt;1),"ID repetido. ","")&amp;IF(AND(F74&lt;&gt;"",LEN(TRIM(F74))&lt;&gt;64),"Hash deve ter 64 caracteres.","")))</f>
        <v/>
      </c>
      <c r="M74" s="5"/>
    </row>
    <row r="75" customFormat="false" ht="15" hidden="false" customHeight="false" outlineLevel="0" collapsed="false">
      <c r="A75" s="5"/>
      <c r="B75" s="25"/>
      <c r="C75" s="5"/>
      <c r="D75" s="5"/>
      <c r="E75" s="26"/>
      <c r="F75" s="26"/>
      <c r="G75" s="27"/>
      <c r="H75" s="14"/>
      <c r="I75" s="5"/>
      <c r="J75" s="5"/>
      <c r="K75" s="28" t="str">
        <f aca="false">IF(G75="","",COUNTIF('Linha do tempo'!$D:$D,G75))</f>
        <v/>
      </c>
      <c r="L75" s="19" t="str">
        <f aca="false">IF(AND(G75="",F75=""),"",TRIM(IF(AND(G75&lt;&gt;"",COUNTIF($G:$G,G75)&gt;1),"ID repetido. ","")&amp;IF(AND(F75&lt;&gt;"",LEN(TRIM(F75))&lt;&gt;64),"Hash deve ter 64 caracteres.","")))</f>
        <v/>
      </c>
      <c r="M75" s="5"/>
    </row>
    <row r="76" customFormat="false" ht="15" hidden="false" customHeight="false" outlineLevel="0" collapsed="false">
      <c r="A76" s="5"/>
      <c r="B76" s="25"/>
      <c r="C76" s="5"/>
      <c r="D76" s="5"/>
      <c r="E76" s="26"/>
      <c r="F76" s="26"/>
      <c r="G76" s="27"/>
      <c r="H76" s="14"/>
      <c r="I76" s="5"/>
      <c r="J76" s="5"/>
      <c r="K76" s="28" t="str">
        <f aca="false">IF(G76="","",COUNTIF('Linha do tempo'!$D:$D,G76))</f>
        <v/>
      </c>
      <c r="L76" s="19" t="str">
        <f aca="false">IF(AND(G76="",F76=""),"",TRIM(IF(AND(G76&lt;&gt;"",COUNTIF($G:$G,G76)&gt;1),"ID repetido. ","")&amp;IF(AND(F76&lt;&gt;"",LEN(TRIM(F76))&lt;&gt;64),"Hash deve ter 64 caracteres.","")))</f>
        <v/>
      </c>
      <c r="M76" s="5"/>
    </row>
    <row r="77" customFormat="false" ht="15" hidden="false" customHeight="false" outlineLevel="0" collapsed="false">
      <c r="A77" s="5"/>
      <c r="B77" s="25"/>
      <c r="C77" s="5"/>
      <c r="D77" s="5"/>
      <c r="E77" s="26"/>
      <c r="F77" s="26"/>
      <c r="G77" s="27"/>
      <c r="H77" s="14"/>
      <c r="I77" s="5"/>
      <c r="J77" s="5"/>
      <c r="K77" s="28" t="str">
        <f aca="false">IF(G77="","",COUNTIF('Linha do tempo'!$D:$D,G77))</f>
        <v/>
      </c>
      <c r="L77" s="19" t="str">
        <f aca="false">IF(AND(G77="",F77=""),"",TRIM(IF(AND(G77&lt;&gt;"",COUNTIF($G:$G,G77)&gt;1),"ID repetido. ","")&amp;IF(AND(F77&lt;&gt;"",LEN(TRIM(F77))&lt;&gt;64),"Hash deve ter 64 caracteres.","")))</f>
        <v/>
      </c>
      <c r="M77" s="5"/>
    </row>
    <row r="78" customFormat="false" ht="15" hidden="false" customHeight="false" outlineLevel="0" collapsed="false">
      <c r="A78" s="5"/>
      <c r="B78" s="25"/>
      <c r="C78" s="5"/>
      <c r="D78" s="5"/>
      <c r="E78" s="26"/>
      <c r="F78" s="26"/>
      <c r="G78" s="27"/>
      <c r="H78" s="14"/>
      <c r="I78" s="5"/>
      <c r="J78" s="5"/>
      <c r="K78" s="28" t="str">
        <f aca="false">IF(G78="","",COUNTIF('Linha do tempo'!$D:$D,G78))</f>
        <v/>
      </c>
      <c r="L78" s="19" t="str">
        <f aca="false">IF(AND(G78="",F78=""),"",TRIM(IF(AND(G78&lt;&gt;"",COUNTIF($G:$G,G78)&gt;1),"ID repetido. ","")&amp;IF(AND(F78&lt;&gt;"",LEN(TRIM(F78))&lt;&gt;64),"Hash deve ter 64 caracteres.","")))</f>
        <v/>
      </c>
      <c r="M78" s="5"/>
    </row>
    <row r="79" customFormat="false" ht="15" hidden="false" customHeight="false" outlineLevel="0" collapsed="false">
      <c r="A79" s="5"/>
      <c r="B79" s="25"/>
      <c r="C79" s="5"/>
      <c r="D79" s="5"/>
      <c r="E79" s="26"/>
      <c r="F79" s="26"/>
      <c r="G79" s="27"/>
      <c r="H79" s="14"/>
      <c r="I79" s="5"/>
      <c r="J79" s="5"/>
      <c r="K79" s="28" t="str">
        <f aca="false">IF(G79="","",COUNTIF('Linha do tempo'!$D:$D,G79))</f>
        <v/>
      </c>
      <c r="L79" s="19" t="str">
        <f aca="false">IF(AND(G79="",F79=""),"",TRIM(IF(AND(G79&lt;&gt;"",COUNTIF($G:$G,G79)&gt;1),"ID repetido. ","")&amp;IF(AND(F79&lt;&gt;"",LEN(TRIM(F79))&lt;&gt;64),"Hash deve ter 64 caracteres.","")))</f>
        <v/>
      </c>
      <c r="M79" s="5"/>
    </row>
    <row r="80" customFormat="false" ht="15" hidden="false" customHeight="false" outlineLevel="0" collapsed="false">
      <c r="A80" s="5"/>
      <c r="B80" s="25"/>
      <c r="C80" s="5"/>
      <c r="D80" s="5"/>
      <c r="E80" s="26"/>
      <c r="F80" s="26"/>
      <c r="G80" s="27"/>
      <c r="H80" s="14"/>
      <c r="I80" s="5"/>
      <c r="J80" s="5"/>
      <c r="K80" s="28" t="str">
        <f aca="false">IF(G80="","",COUNTIF('Linha do tempo'!$D:$D,G80))</f>
        <v/>
      </c>
      <c r="L80" s="19" t="str">
        <f aca="false">IF(AND(G80="",F80=""),"",TRIM(IF(AND(G80&lt;&gt;"",COUNTIF($G:$G,G80)&gt;1),"ID repetido. ","")&amp;IF(AND(F80&lt;&gt;"",LEN(TRIM(F80))&lt;&gt;64),"Hash deve ter 64 caracteres.","")))</f>
        <v/>
      </c>
      <c r="M80" s="5"/>
    </row>
    <row r="81" customFormat="false" ht="15" hidden="false" customHeight="false" outlineLevel="0" collapsed="false">
      <c r="A81" s="5"/>
      <c r="B81" s="25"/>
      <c r="C81" s="5"/>
      <c r="D81" s="5"/>
      <c r="E81" s="26"/>
      <c r="F81" s="26"/>
      <c r="G81" s="27"/>
      <c r="H81" s="14"/>
      <c r="I81" s="5"/>
      <c r="J81" s="5"/>
      <c r="K81" s="28" t="str">
        <f aca="false">IF(G81="","",COUNTIF('Linha do tempo'!$D:$D,G81))</f>
        <v/>
      </c>
      <c r="L81" s="19" t="str">
        <f aca="false">IF(AND(G81="",F81=""),"",TRIM(IF(AND(G81&lt;&gt;"",COUNTIF($G:$G,G81)&gt;1),"ID repetido. ","")&amp;IF(AND(F81&lt;&gt;"",LEN(TRIM(F81))&lt;&gt;64),"Hash deve ter 64 caracteres.","")))</f>
        <v/>
      </c>
      <c r="M81" s="5"/>
    </row>
    <row r="82" customFormat="false" ht="15" hidden="false" customHeight="false" outlineLevel="0" collapsed="false">
      <c r="A82" s="5"/>
      <c r="B82" s="25"/>
      <c r="C82" s="5"/>
      <c r="D82" s="5"/>
      <c r="E82" s="26"/>
      <c r="F82" s="26"/>
      <c r="G82" s="27"/>
      <c r="H82" s="14"/>
      <c r="I82" s="5"/>
      <c r="J82" s="5"/>
      <c r="K82" s="28" t="str">
        <f aca="false">IF(G82="","",COUNTIF('Linha do tempo'!$D:$D,G82))</f>
        <v/>
      </c>
      <c r="L82" s="19" t="str">
        <f aca="false">IF(AND(G82="",F82=""),"",TRIM(IF(AND(G82&lt;&gt;"",COUNTIF($G:$G,G82)&gt;1),"ID repetido. ","")&amp;IF(AND(F82&lt;&gt;"",LEN(TRIM(F82))&lt;&gt;64),"Hash deve ter 64 caracteres.","")))</f>
        <v/>
      </c>
      <c r="M82" s="5"/>
    </row>
    <row r="83" customFormat="false" ht="15" hidden="false" customHeight="false" outlineLevel="0" collapsed="false">
      <c r="A83" s="5"/>
      <c r="B83" s="25"/>
      <c r="C83" s="5"/>
      <c r="D83" s="5"/>
      <c r="E83" s="26"/>
      <c r="F83" s="26"/>
      <c r="G83" s="27"/>
      <c r="H83" s="14"/>
      <c r="I83" s="5"/>
      <c r="J83" s="5"/>
      <c r="K83" s="28" t="str">
        <f aca="false">IF(G83="","",COUNTIF('Linha do tempo'!$D:$D,G83))</f>
        <v/>
      </c>
      <c r="L83" s="19" t="str">
        <f aca="false">IF(AND(G83="",F83=""),"",TRIM(IF(AND(G83&lt;&gt;"",COUNTIF($G:$G,G83)&gt;1),"ID repetido. ","")&amp;IF(AND(F83&lt;&gt;"",LEN(TRIM(F83))&lt;&gt;64),"Hash deve ter 64 caracteres.","")))</f>
        <v/>
      </c>
      <c r="M83" s="5"/>
    </row>
    <row r="84" customFormat="false" ht="15" hidden="false" customHeight="false" outlineLevel="0" collapsed="false">
      <c r="A84" s="5"/>
      <c r="B84" s="25"/>
      <c r="C84" s="5"/>
      <c r="D84" s="5"/>
      <c r="E84" s="26"/>
      <c r="F84" s="26"/>
      <c r="G84" s="27"/>
      <c r="H84" s="14"/>
      <c r="I84" s="5"/>
      <c r="J84" s="5"/>
      <c r="K84" s="28" t="str">
        <f aca="false">IF(G84="","",COUNTIF('Linha do tempo'!$D:$D,G84))</f>
        <v/>
      </c>
      <c r="L84" s="19" t="str">
        <f aca="false">IF(AND(G84="",F84=""),"",TRIM(IF(AND(G84&lt;&gt;"",COUNTIF($G:$G,G84)&gt;1),"ID repetido. ","")&amp;IF(AND(F84&lt;&gt;"",LEN(TRIM(F84))&lt;&gt;64),"Hash deve ter 64 caracteres.","")))</f>
        <v/>
      </c>
      <c r="M84" s="5"/>
    </row>
    <row r="85" customFormat="false" ht="15" hidden="false" customHeight="false" outlineLevel="0" collapsed="false">
      <c r="A85" s="5"/>
      <c r="B85" s="25"/>
      <c r="C85" s="5"/>
      <c r="D85" s="5"/>
      <c r="E85" s="26"/>
      <c r="F85" s="26"/>
      <c r="G85" s="27"/>
      <c r="H85" s="14"/>
      <c r="I85" s="5"/>
      <c r="J85" s="5"/>
      <c r="K85" s="28" t="str">
        <f aca="false">IF(G85="","",COUNTIF('Linha do tempo'!$D:$D,G85))</f>
        <v/>
      </c>
      <c r="L85" s="19" t="str">
        <f aca="false">IF(AND(G85="",F85=""),"",TRIM(IF(AND(G85&lt;&gt;"",COUNTIF($G:$G,G85)&gt;1),"ID repetido. ","")&amp;IF(AND(F85&lt;&gt;"",LEN(TRIM(F85))&lt;&gt;64),"Hash deve ter 64 caracteres.","")))</f>
        <v/>
      </c>
      <c r="M85" s="5"/>
    </row>
    <row r="86" customFormat="false" ht="15" hidden="false" customHeight="false" outlineLevel="0" collapsed="false">
      <c r="A86" s="5"/>
      <c r="B86" s="25"/>
      <c r="C86" s="5"/>
      <c r="D86" s="5"/>
      <c r="E86" s="26"/>
      <c r="F86" s="26"/>
      <c r="G86" s="27"/>
      <c r="H86" s="14"/>
      <c r="I86" s="5"/>
      <c r="J86" s="5"/>
      <c r="K86" s="28" t="str">
        <f aca="false">IF(G86="","",COUNTIF('Linha do tempo'!$D:$D,G86))</f>
        <v/>
      </c>
      <c r="L86" s="19" t="str">
        <f aca="false">IF(AND(G86="",F86=""),"",TRIM(IF(AND(G86&lt;&gt;"",COUNTIF($G:$G,G86)&gt;1),"ID repetido. ","")&amp;IF(AND(F86&lt;&gt;"",LEN(TRIM(F86))&lt;&gt;64),"Hash deve ter 64 caracteres.","")))</f>
        <v/>
      </c>
      <c r="M86" s="5"/>
    </row>
    <row r="87" customFormat="false" ht="15" hidden="false" customHeight="false" outlineLevel="0" collapsed="false">
      <c r="A87" s="5"/>
      <c r="B87" s="25"/>
      <c r="C87" s="5"/>
      <c r="D87" s="5"/>
      <c r="E87" s="26"/>
      <c r="F87" s="26"/>
      <c r="G87" s="27"/>
      <c r="H87" s="14"/>
      <c r="I87" s="5"/>
      <c r="J87" s="5"/>
      <c r="K87" s="28" t="str">
        <f aca="false">IF(G87="","",COUNTIF('Linha do tempo'!$D:$D,G87))</f>
        <v/>
      </c>
      <c r="L87" s="19" t="str">
        <f aca="false">IF(AND(G87="",F87=""),"",TRIM(IF(AND(G87&lt;&gt;"",COUNTIF($G:$G,G87)&gt;1),"ID repetido. ","")&amp;IF(AND(F87&lt;&gt;"",LEN(TRIM(F87))&lt;&gt;64),"Hash deve ter 64 caracteres.","")))</f>
        <v/>
      </c>
      <c r="M87" s="5"/>
    </row>
    <row r="88" customFormat="false" ht="15" hidden="false" customHeight="false" outlineLevel="0" collapsed="false">
      <c r="A88" s="5"/>
      <c r="B88" s="25"/>
      <c r="C88" s="5"/>
      <c r="D88" s="5"/>
      <c r="E88" s="26"/>
      <c r="F88" s="26"/>
      <c r="G88" s="27"/>
      <c r="H88" s="14"/>
      <c r="I88" s="5"/>
      <c r="J88" s="5"/>
      <c r="K88" s="28" t="str">
        <f aca="false">IF(G88="","",COUNTIF('Linha do tempo'!$D:$D,G88))</f>
        <v/>
      </c>
      <c r="L88" s="19" t="str">
        <f aca="false">IF(AND(G88="",F88=""),"",TRIM(IF(AND(G88&lt;&gt;"",COUNTIF($G:$G,G88)&gt;1),"ID repetido. ","")&amp;IF(AND(F88&lt;&gt;"",LEN(TRIM(F88))&lt;&gt;64),"Hash deve ter 64 caracteres.","")))</f>
        <v/>
      </c>
      <c r="M88" s="5"/>
    </row>
    <row r="89" customFormat="false" ht="15" hidden="false" customHeight="false" outlineLevel="0" collapsed="false">
      <c r="A89" s="5"/>
      <c r="B89" s="25"/>
      <c r="C89" s="5"/>
      <c r="D89" s="5"/>
      <c r="E89" s="26"/>
      <c r="F89" s="26"/>
      <c r="G89" s="27"/>
      <c r="H89" s="14"/>
      <c r="I89" s="5"/>
      <c r="J89" s="5"/>
      <c r="K89" s="28" t="str">
        <f aca="false">IF(G89="","",COUNTIF('Linha do tempo'!$D:$D,G89))</f>
        <v/>
      </c>
      <c r="L89" s="19" t="str">
        <f aca="false">IF(AND(G89="",F89=""),"",TRIM(IF(AND(G89&lt;&gt;"",COUNTIF($G:$G,G89)&gt;1),"ID repetido. ","")&amp;IF(AND(F89&lt;&gt;"",LEN(TRIM(F89))&lt;&gt;64),"Hash deve ter 64 caracteres.","")))</f>
        <v/>
      </c>
      <c r="M89" s="5"/>
    </row>
    <row r="90" customFormat="false" ht="15" hidden="false" customHeight="false" outlineLevel="0" collapsed="false">
      <c r="A90" s="5"/>
      <c r="B90" s="25"/>
      <c r="C90" s="5"/>
      <c r="D90" s="5"/>
      <c r="E90" s="26"/>
      <c r="F90" s="26"/>
      <c r="G90" s="27"/>
      <c r="H90" s="14"/>
      <c r="I90" s="5"/>
      <c r="J90" s="5"/>
      <c r="K90" s="28" t="str">
        <f aca="false">IF(G90="","",COUNTIF('Linha do tempo'!$D:$D,G90))</f>
        <v/>
      </c>
      <c r="L90" s="19" t="str">
        <f aca="false">IF(AND(G90="",F90=""),"",TRIM(IF(AND(G90&lt;&gt;"",COUNTIF($G:$G,G90)&gt;1),"ID repetido. ","")&amp;IF(AND(F90&lt;&gt;"",LEN(TRIM(F90))&lt;&gt;64),"Hash deve ter 64 caracteres.","")))</f>
        <v/>
      </c>
      <c r="M90" s="5"/>
    </row>
    <row r="91" customFormat="false" ht="15" hidden="false" customHeight="false" outlineLevel="0" collapsed="false">
      <c r="A91" s="5"/>
      <c r="B91" s="25"/>
      <c r="C91" s="5"/>
      <c r="D91" s="5"/>
      <c r="E91" s="26"/>
      <c r="F91" s="26"/>
      <c r="G91" s="27"/>
      <c r="H91" s="14"/>
      <c r="I91" s="5"/>
      <c r="J91" s="5"/>
      <c r="K91" s="28" t="str">
        <f aca="false">IF(G91="","",COUNTIF('Linha do tempo'!$D:$D,G91))</f>
        <v/>
      </c>
      <c r="L91" s="19" t="str">
        <f aca="false">IF(AND(G91="",F91=""),"",TRIM(IF(AND(G91&lt;&gt;"",COUNTIF($G:$G,G91)&gt;1),"ID repetido. ","")&amp;IF(AND(F91&lt;&gt;"",LEN(TRIM(F91))&lt;&gt;64),"Hash deve ter 64 caracteres.","")))</f>
        <v/>
      </c>
      <c r="M91" s="5"/>
    </row>
    <row r="92" customFormat="false" ht="15" hidden="false" customHeight="false" outlineLevel="0" collapsed="false">
      <c r="A92" s="5"/>
      <c r="B92" s="25"/>
      <c r="C92" s="5"/>
      <c r="D92" s="5"/>
      <c r="E92" s="26"/>
      <c r="F92" s="26"/>
      <c r="G92" s="27"/>
      <c r="H92" s="14"/>
      <c r="I92" s="5"/>
      <c r="J92" s="5"/>
      <c r="K92" s="28" t="str">
        <f aca="false">IF(G92="","",COUNTIF('Linha do tempo'!$D:$D,G92))</f>
        <v/>
      </c>
      <c r="L92" s="19" t="str">
        <f aca="false">IF(AND(G92="",F92=""),"",TRIM(IF(AND(G92&lt;&gt;"",COUNTIF($G:$G,G92)&gt;1),"ID repetido. ","")&amp;IF(AND(F92&lt;&gt;"",LEN(TRIM(F92))&lt;&gt;64),"Hash deve ter 64 caracteres.","")))</f>
        <v/>
      </c>
      <c r="M92" s="5"/>
    </row>
    <row r="93" customFormat="false" ht="15" hidden="false" customHeight="false" outlineLevel="0" collapsed="false">
      <c r="A93" s="5"/>
      <c r="B93" s="25"/>
      <c r="C93" s="5"/>
      <c r="D93" s="5"/>
      <c r="E93" s="26"/>
      <c r="F93" s="26"/>
      <c r="G93" s="27"/>
      <c r="H93" s="14"/>
      <c r="I93" s="5"/>
      <c r="J93" s="5"/>
      <c r="K93" s="28" t="str">
        <f aca="false">IF(G93="","",COUNTIF('Linha do tempo'!$D:$D,G93))</f>
        <v/>
      </c>
      <c r="L93" s="19" t="str">
        <f aca="false">IF(AND(G93="",F93=""),"",TRIM(IF(AND(G93&lt;&gt;"",COUNTIF($G:$G,G93)&gt;1),"ID repetido. ","")&amp;IF(AND(F93&lt;&gt;"",LEN(TRIM(F93))&lt;&gt;64),"Hash deve ter 64 caracteres.","")))</f>
        <v/>
      </c>
      <c r="M93" s="5"/>
    </row>
    <row r="94" customFormat="false" ht="15" hidden="false" customHeight="false" outlineLevel="0" collapsed="false">
      <c r="A94" s="5"/>
      <c r="B94" s="25"/>
      <c r="C94" s="5"/>
      <c r="D94" s="5"/>
      <c r="E94" s="26"/>
      <c r="F94" s="26"/>
      <c r="G94" s="27"/>
      <c r="H94" s="14"/>
      <c r="I94" s="5"/>
      <c r="J94" s="5"/>
      <c r="K94" s="28" t="str">
        <f aca="false">IF(G94="","",COUNTIF('Linha do tempo'!$D:$D,G94))</f>
        <v/>
      </c>
      <c r="L94" s="19" t="str">
        <f aca="false">IF(AND(G94="",F94=""),"",TRIM(IF(AND(G94&lt;&gt;"",COUNTIF($G:$G,G94)&gt;1),"ID repetido. ","")&amp;IF(AND(F94&lt;&gt;"",LEN(TRIM(F94))&lt;&gt;64),"Hash deve ter 64 caracteres.","")))</f>
        <v/>
      </c>
      <c r="M94" s="5"/>
    </row>
    <row r="95" customFormat="false" ht="15" hidden="false" customHeight="false" outlineLevel="0" collapsed="false">
      <c r="A95" s="5"/>
      <c r="B95" s="25"/>
      <c r="C95" s="5"/>
      <c r="D95" s="5"/>
      <c r="E95" s="26"/>
      <c r="F95" s="26"/>
      <c r="G95" s="27"/>
      <c r="H95" s="14"/>
      <c r="I95" s="5"/>
      <c r="J95" s="5"/>
      <c r="K95" s="28" t="str">
        <f aca="false">IF(G95="","",COUNTIF('Linha do tempo'!$D:$D,G95))</f>
        <v/>
      </c>
      <c r="L95" s="19" t="str">
        <f aca="false">IF(AND(G95="",F95=""),"",TRIM(IF(AND(G95&lt;&gt;"",COUNTIF($G:$G,G95)&gt;1),"ID repetido. ","")&amp;IF(AND(F95&lt;&gt;"",LEN(TRIM(F95))&lt;&gt;64),"Hash deve ter 64 caracteres.","")))</f>
        <v/>
      </c>
      <c r="M95" s="5"/>
    </row>
    <row r="96" customFormat="false" ht="15" hidden="false" customHeight="false" outlineLevel="0" collapsed="false">
      <c r="A96" s="5"/>
      <c r="B96" s="25"/>
      <c r="C96" s="5"/>
      <c r="D96" s="5"/>
      <c r="E96" s="26"/>
      <c r="F96" s="26"/>
      <c r="G96" s="27"/>
      <c r="H96" s="14"/>
      <c r="I96" s="5"/>
      <c r="J96" s="5"/>
      <c r="K96" s="28" t="str">
        <f aca="false">IF(G96="","",COUNTIF('Linha do tempo'!$D:$D,G96))</f>
        <v/>
      </c>
      <c r="L96" s="19" t="str">
        <f aca="false">IF(AND(G96="",F96=""),"",TRIM(IF(AND(G96&lt;&gt;"",COUNTIF($G:$G,G96)&gt;1),"ID repetido. ","")&amp;IF(AND(F96&lt;&gt;"",LEN(TRIM(F96))&lt;&gt;64),"Hash deve ter 64 caracteres.","")))</f>
        <v/>
      </c>
      <c r="M96" s="5"/>
    </row>
    <row r="97" customFormat="false" ht="15" hidden="false" customHeight="false" outlineLevel="0" collapsed="false">
      <c r="A97" s="5"/>
      <c r="B97" s="25"/>
      <c r="C97" s="5"/>
      <c r="D97" s="5"/>
      <c r="E97" s="26"/>
      <c r="F97" s="26"/>
      <c r="G97" s="27"/>
      <c r="H97" s="14"/>
      <c r="I97" s="5"/>
      <c r="J97" s="5"/>
      <c r="K97" s="28" t="str">
        <f aca="false">IF(G97="","",COUNTIF('Linha do tempo'!$D:$D,G97))</f>
        <v/>
      </c>
      <c r="L97" s="19" t="str">
        <f aca="false">IF(AND(G97="",F97=""),"",TRIM(IF(AND(G97&lt;&gt;"",COUNTIF($G:$G,G97)&gt;1),"ID repetido. ","")&amp;IF(AND(F97&lt;&gt;"",LEN(TRIM(F97))&lt;&gt;64),"Hash deve ter 64 caracteres.","")))</f>
        <v/>
      </c>
      <c r="M97" s="5"/>
    </row>
    <row r="98" customFormat="false" ht="15" hidden="false" customHeight="false" outlineLevel="0" collapsed="false">
      <c r="A98" s="5"/>
      <c r="B98" s="25"/>
      <c r="C98" s="5"/>
      <c r="D98" s="5"/>
      <c r="E98" s="26"/>
      <c r="F98" s="26"/>
      <c r="G98" s="27"/>
      <c r="H98" s="14"/>
      <c r="I98" s="5"/>
      <c r="J98" s="5"/>
      <c r="K98" s="28" t="str">
        <f aca="false">IF(G98="","",COUNTIF('Linha do tempo'!$D:$D,G98))</f>
        <v/>
      </c>
      <c r="L98" s="19" t="str">
        <f aca="false">IF(AND(G98="",F98=""),"",TRIM(IF(AND(G98&lt;&gt;"",COUNTIF($G:$G,G98)&gt;1),"ID repetido. ","")&amp;IF(AND(F98&lt;&gt;"",LEN(TRIM(F98))&lt;&gt;64),"Hash deve ter 64 caracteres.","")))</f>
        <v/>
      </c>
      <c r="M98" s="5"/>
    </row>
    <row r="99" customFormat="false" ht="15" hidden="false" customHeight="false" outlineLevel="0" collapsed="false">
      <c r="A99" s="5"/>
      <c r="B99" s="25"/>
      <c r="C99" s="5"/>
      <c r="D99" s="5"/>
      <c r="E99" s="26"/>
      <c r="F99" s="26"/>
      <c r="G99" s="27"/>
      <c r="H99" s="14"/>
      <c r="I99" s="5"/>
      <c r="J99" s="5"/>
      <c r="K99" s="28" t="str">
        <f aca="false">IF(G99="","",COUNTIF('Linha do tempo'!$D:$D,G99))</f>
        <v/>
      </c>
      <c r="L99" s="19" t="str">
        <f aca="false">IF(AND(G99="",F99=""),"",TRIM(IF(AND(G99&lt;&gt;"",COUNTIF($G:$G,G99)&gt;1),"ID repetido. ","")&amp;IF(AND(F99&lt;&gt;"",LEN(TRIM(F99))&lt;&gt;64),"Hash deve ter 64 caracteres.","")))</f>
        <v/>
      </c>
      <c r="M99" s="5"/>
    </row>
    <row r="100" customFormat="false" ht="15" hidden="false" customHeight="false" outlineLevel="0" collapsed="false">
      <c r="A100" s="5"/>
      <c r="B100" s="25"/>
      <c r="C100" s="5"/>
      <c r="D100" s="5"/>
      <c r="E100" s="26"/>
      <c r="F100" s="26"/>
      <c r="G100" s="27"/>
      <c r="H100" s="14"/>
      <c r="I100" s="5"/>
      <c r="J100" s="5"/>
      <c r="K100" s="28" t="str">
        <f aca="false">IF(G100="","",COUNTIF('Linha do tempo'!$D:$D,G100))</f>
        <v/>
      </c>
      <c r="L100" s="19" t="str">
        <f aca="false">IF(AND(G100="",F100=""),"",TRIM(IF(AND(G100&lt;&gt;"",COUNTIF($G:$G,G100)&gt;1),"ID repetido. ","")&amp;IF(AND(F100&lt;&gt;"",LEN(TRIM(F100))&lt;&gt;64),"Hash deve ter 64 caracteres.","")))</f>
        <v/>
      </c>
      <c r="M100" s="5"/>
    </row>
    <row r="101" customFormat="false" ht="15" hidden="false" customHeight="false" outlineLevel="0" collapsed="false">
      <c r="A101" s="5"/>
      <c r="B101" s="25"/>
      <c r="C101" s="5"/>
      <c r="D101" s="5"/>
      <c r="E101" s="26"/>
      <c r="F101" s="26"/>
      <c r="G101" s="27"/>
      <c r="H101" s="14"/>
      <c r="I101" s="5"/>
      <c r="J101" s="5"/>
      <c r="K101" s="28" t="str">
        <f aca="false">IF(G101="","",COUNTIF('Linha do tempo'!$D:$D,G101))</f>
        <v/>
      </c>
      <c r="L101" s="19" t="str">
        <f aca="false">IF(AND(G101="",F101=""),"",TRIM(IF(AND(G101&lt;&gt;"",COUNTIF($G:$G,G101)&gt;1),"ID repetido. ","")&amp;IF(AND(F101&lt;&gt;"",LEN(TRIM(F101))&lt;&gt;64),"Hash deve ter 64 caracteres.","")))</f>
        <v/>
      </c>
      <c r="M101" s="5"/>
    </row>
    <row r="102" customFormat="false" ht="15" hidden="false" customHeight="false" outlineLevel="0" collapsed="false">
      <c r="A102" s="5"/>
      <c r="B102" s="25"/>
      <c r="C102" s="5"/>
      <c r="D102" s="5"/>
      <c r="E102" s="26"/>
      <c r="F102" s="26"/>
      <c r="G102" s="27"/>
      <c r="H102" s="14"/>
      <c r="I102" s="5"/>
      <c r="J102" s="5"/>
      <c r="K102" s="28" t="str">
        <f aca="false">IF(G102="","",COUNTIF('Linha do tempo'!$D:$D,G102))</f>
        <v/>
      </c>
      <c r="L102" s="19" t="str">
        <f aca="false">IF(AND(G102="",F102=""),"",TRIM(IF(AND(G102&lt;&gt;"",COUNTIF($G:$G,G102)&gt;1),"ID repetido. ","")&amp;IF(AND(F102&lt;&gt;"",LEN(TRIM(F102))&lt;&gt;64),"Hash deve ter 64 caracteres.","")))</f>
        <v/>
      </c>
      <c r="M102" s="5"/>
    </row>
    <row r="103" customFormat="false" ht="15" hidden="false" customHeight="false" outlineLevel="0" collapsed="false">
      <c r="A103" s="5"/>
      <c r="B103" s="25"/>
      <c r="C103" s="5"/>
      <c r="D103" s="5"/>
      <c r="E103" s="26"/>
      <c r="F103" s="26"/>
      <c r="G103" s="27"/>
      <c r="H103" s="14"/>
      <c r="I103" s="5"/>
      <c r="J103" s="5"/>
      <c r="K103" s="28" t="str">
        <f aca="false">IF(G103="","",COUNTIF('Linha do tempo'!$D:$D,G103))</f>
        <v/>
      </c>
      <c r="L103" s="19" t="str">
        <f aca="false">IF(AND(G103="",F103=""),"",TRIM(IF(AND(G103&lt;&gt;"",COUNTIF($G:$G,G103)&gt;1),"ID repetido. ","")&amp;IF(AND(F103&lt;&gt;"",LEN(TRIM(F103))&lt;&gt;64),"Hash deve ter 64 caracteres.","")))</f>
        <v/>
      </c>
      <c r="M103" s="5"/>
    </row>
    <row r="104" customFormat="false" ht="15" hidden="false" customHeight="false" outlineLevel="0" collapsed="false">
      <c r="A104" s="5"/>
      <c r="B104" s="25"/>
      <c r="C104" s="5"/>
      <c r="D104" s="5"/>
      <c r="E104" s="26"/>
      <c r="F104" s="26"/>
      <c r="G104" s="27"/>
      <c r="H104" s="14"/>
      <c r="I104" s="5"/>
      <c r="J104" s="5"/>
      <c r="K104" s="28" t="str">
        <f aca="false">IF(G104="","",COUNTIF('Linha do tempo'!$D:$D,G104))</f>
        <v/>
      </c>
      <c r="L104" s="19" t="str">
        <f aca="false">IF(AND(G104="",F104=""),"",TRIM(IF(AND(G104&lt;&gt;"",COUNTIF($G:$G,G104)&gt;1),"ID repetido. ","")&amp;IF(AND(F104&lt;&gt;"",LEN(TRIM(F104))&lt;&gt;64),"Hash deve ter 64 caracteres.","")))</f>
        <v/>
      </c>
      <c r="M104" s="5"/>
    </row>
    <row r="105" customFormat="false" ht="15" hidden="false" customHeight="false" outlineLevel="0" collapsed="false">
      <c r="A105" s="5"/>
      <c r="B105" s="25"/>
      <c r="C105" s="5"/>
      <c r="D105" s="5"/>
      <c r="E105" s="26"/>
      <c r="F105" s="26"/>
      <c r="G105" s="27"/>
      <c r="H105" s="14"/>
      <c r="I105" s="5"/>
      <c r="J105" s="5"/>
      <c r="K105" s="28" t="str">
        <f aca="false">IF(G105="","",COUNTIF('Linha do tempo'!$D:$D,G105))</f>
        <v/>
      </c>
      <c r="L105" s="19" t="str">
        <f aca="false">IF(AND(G105="",F105=""),"",TRIM(IF(AND(G105&lt;&gt;"",COUNTIF($G:$G,G105)&gt;1),"ID repetido. ","")&amp;IF(AND(F105&lt;&gt;"",LEN(TRIM(F105))&lt;&gt;64),"Hash deve ter 64 caracteres.","")))</f>
        <v/>
      </c>
      <c r="M105" s="5"/>
    </row>
    <row r="106" customFormat="false" ht="15" hidden="false" customHeight="false" outlineLevel="0" collapsed="false">
      <c r="A106" s="5"/>
      <c r="B106" s="25"/>
      <c r="C106" s="5"/>
      <c r="D106" s="5"/>
      <c r="E106" s="26"/>
      <c r="F106" s="26"/>
      <c r="G106" s="27"/>
      <c r="H106" s="14"/>
      <c r="I106" s="5"/>
      <c r="J106" s="5"/>
      <c r="K106" s="28" t="str">
        <f aca="false">IF(G106="","",COUNTIF('Linha do tempo'!$D:$D,G106))</f>
        <v/>
      </c>
      <c r="L106" s="19" t="str">
        <f aca="false">IF(AND(G106="",F106=""),"",TRIM(IF(AND(G106&lt;&gt;"",COUNTIF($G:$G,G106)&gt;1),"ID repetido. ","")&amp;IF(AND(F106&lt;&gt;"",LEN(TRIM(F106))&lt;&gt;64),"Hash deve ter 64 caracteres.","")))</f>
        <v/>
      </c>
      <c r="M106" s="5"/>
    </row>
    <row r="107" customFormat="false" ht="15" hidden="false" customHeight="false" outlineLevel="0" collapsed="false">
      <c r="A107" s="5"/>
      <c r="B107" s="25"/>
      <c r="C107" s="5"/>
      <c r="D107" s="5"/>
      <c r="E107" s="26"/>
      <c r="F107" s="26"/>
      <c r="G107" s="27"/>
      <c r="H107" s="14"/>
      <c r="I107" s="5"/>
      <c r="J107" s="5"/>
      <c r="K107" s="28" t="str">
        <f aca="false">IF(G107="","",COUNTIF('Linha do tempo'!$D:$D,G107))</f>
        <v/>
      </c>
      <c r="L107" s="19" t="str">
        <f aca="false">IF(AND(G107="",F107=""),"",TRIM(IF(AND(G107&lt;&gt;"",COUNTIF($G:$G,G107)&gt;1),"ID repetido. ","")&amp;IF(AND(F107&lt;&gt;"",LEN(TRIM(F107))&lt;&gt;64),"Hash deve ter 64 caracteres.","")))</f>
        <v/>
      </c>
      <c r="M107" s="5"/>
    </row>
    <row r="108" customFormat="false" ht="15" hidden="false" customHeight="false" outlineLevel="0" collapsed="false">
      <c r="A108" s="5"/>
      <c r="B108" s="25"/>
      <c r="C108" s="5"/>
      <c r="D108" s="5"/>
      <c r="E108" s="26"/>
      <c r="F108" s="26"/>
      <c r="G108" s="27"/>
      <c r="H108" s="14"/>
      <c r="I108" s="5"/>
      <c r="J108" s="5"/>
      <c r="K108" s="28" t="str">
        <f aca="false">IF(G108="","",COUNTIF('Linha do tempo'!$D:$D,G108))</f>
        <v/>
      </c>
      <c r="L108" s="19" t="str">
        <f aca="false">IF(AND(G108="",F108=""),"",TRIM(IF(AND(G108&lt;&gt;"",COUNTIF($G:$G,G108)&gt;1),"ID repetido. ","")&amp;IF(AND(F108&lt;&gt;"",LEN(TRIM(F108))&lt;&gt;64),"Hash deve ter 64 caracteres.","")))</f>
        <v/>
      </c>
      <c r="M108" s="5"/>
    </row>
    <row r="109" customFormat="false" ht="15" hidden="false" customHeight="false" outlineLevel="0" collapsed="false">
      <c r="A109" s="5"/>
      <c r="B109" s="25"/>
      <c r="C109" s="5"/>
      <c r="D109" s="5"/>
      <c r="E109" s="26"/>
      <c r="F109" s="26"/>
      <c r="G109" s="27"/>
      <c r="H109" s="14"/>
      <c r="I109" s="5"/>
      <c r="J109" s="5"/>
      <c r="K109" s="28" t="str">
        <f aca="false">IF(G109="","",COUNTIF('Linha do tempo'!$D:$D,G109))</f>
        <v/>
      </c>
      <c r="L109" s="19" t="str">
        <f aca="false">IF(AND(G109="",F109=""),"",TRIM(IF(AND(G109&lt;&gt;"",COUNTIF($G:$G,G109)&gt;1),"ID repetido. ","")&amp;IF(AND(F109&lt;&gt;"",LEN(TRIM(F109))&lt;&gt;64),"Hash deve ter 64 caracteres.","")))</f>
        <v/>
      </c>
      <c r="M109" s="5"/>
    </row>
    <row r="110" customFormat="false" ht="15" hidden="false" customHeight="false" outlineLevel="0" collapsed="false">
      <c r="A110" s="5"/>
      <c r="B110" s="25"/>
      <c r="C110" s="5"/>
      <c r="D110" s="5"/>
      <c r="E110" s="26"/>
      <c r="F110" s="26"/>
      <c r="G110" s="27"/>
      <c r="H110" s="14"/>
      <c r="I110" s="5"/>
      <c r="J110" s="5"/>
      <c r="K110" s="28" t="str">
        <f aca="false">IF(G110="","",COUNTIF('Linha do tempo'!$D:$D,G110))</f>
        <v/>
      </c>
      <c r="L110" s="19" t="str">
        <f aca="false">IF(AND(G110="",F110=""),"",TRIM(IF(AND(G110&lt;&gt;"",COUNTIF($G:$G,G110)&gt;1),"ID repetido. ","")&amp;IF(AND(F110&lt;&gt;"",LEN(TRIM(F110))&lt;&gt;64),"Hash deve ter 64 caracteres.","")))</f>
        <v/>
      </c>
      <c r="M110" s="5"/>
    </row>
    <row r="111" customFormat="false" ht="15" hidden="false" customHeight="false" outlineLevel="0" collapsed="false">
      <c r="A111" s="5"/>
      <c r="B111" s="25"/>
      <c r="C111" s="5"/>
      <c r="D111" s="5"/>
      <c r="E111" s="26"/>
      <c r="F111" s="26"/>
      <c r="G111" s="27"/>
      <c r="H111" s="14"/>
      <c r="I111" s="5"/>
      <c r="J111" s="5"/>
      <c r="K111" s="28" t="str">
        <f aca="false">IF(G111="","",COUNTIF('Linha do tempo'!$D:$D,G111))</f>
        <v/>
      </c>
      <c r="L111" s="19" t="str">
        <f aca="false">IF(AND(G111="",F111=""),"",TRIM(IF(AND(G111&lt;&gt;"",COUNTIF($G:$G,G111)&gt;1),"ID repetido. ","")&amp;IF(AND(F111&lt;&gt;"",LEN(TRIM(F111))&lt;&gt;64),"Hash deve ter 64 caracteres.","")))</f>
        <v/>
      </c>
      <c r="M111" s="5"/>
    </row>
    <row r="112" customFormat="false" ht="15" hidden="false" customHeight="false" outlineLevel="0" collapsed="false">
      <c r="A112" s="5"/>
      <c r="B112" s="25"/>
      <c r="C112" s="5"/>
      <c r="D112" s="5"/>
      <c r="E112" s="26"/>
      <c r="F112" s="26"/>
      <c r="G112" s="27"/>
      <c r="H112" s="14"/>
      <c r="I112" s="5"/>
      <c r="J112" s="5"/>
      <c r="K112" s="28" t="str">
        <f aca="false">IF(G112="","",COUNTIF('Linha do tempo'!$D:$D,G112))</f>
        <v/>
      </c>
      <c r="L112" s="19" t="str">
        <f aca="false">IF(AND(G112="",F112=""),"",TRIM(IF(AND(G112&lt;&gt;"",COUNTIF($G:$G,G112)&gt;1),"ID repetido. ","")&amp;IF(AND(F112&lt;&gt;"",LEN(TRIM(F112))&lt;&gt;64),"Hash deve ter 64 caracteres.","")))</f>
        <v/>
      </c>
      <c r="M112" s="5"/>
    </row>
    <row r="113" customFormat="false" ht="15" hidden="false" customHeight="false" outlineLevel="0" collapsed="false">
      <c r="A113" s="5"/>
      <c r="B113" s="25"/>
      <c r="C113" s="5"/>
      <c r="D113" s="5"/>
      <c r="E113" s="26"/>
      <c r="F113" s="26"/>
      <c r="G113" s="27"/>
      <c r="H113" s="14"/>
      <c r="I113" s="5"/>
      <c r="J113" s="5"/>
      <c r="K113" s="28" t="str">
        <f aca="false">IF(G113="","",COUNTIF('Linha do tempo'!$D:$D,G113))</f>
        <v/>
      </c>
      <c r="L113" s="19" t="str">
        <f aca="false">IF(AND(G113="",F113=""),"",TRIM(IF(AND(G113&lt;&gt;"",COUNTIF($G:$G,G113)&gt;1),"ID repetido. ","")&amp;IF(AND(F113&lt;&gt;"",LEN(TRIM(F113))&lt;&gt;64),"Hash deve ter 64 caracteres.","")))</f>
        <v/>
      </c>
      <c r="M113" s="5"/>
    </row>
    <row r="114" customFormat="false" ht="15" hidden="false" customHeight="false" outlineLevel="0" collapsed="false">
      <c r="A114" s="5"/>
      <c r="B114" s="25"/>
      <c r="C114" s="5"/>
      <c r="D114" s="5"/>
      <c r="E114" s="26"/>
      <c r="F114" s="26"/>
      <c r="G114" s="27"/>
      <c r="H114" s="14"/>
      <c r="I114" s="5"/>
      <c r="J114" s="5"/>
      <c r="K114" s="28" t="str">
        <f aca="false">IF(G114="","",COUNTIF('Linha do tempo'!$D:$D,G114))</f>
        <v/>
      </c>
      <c r="L114" s="19" t="str">
        <f aca="false">IF(AND(G114="",F114=""),"",TRIM(IF(AND(G114&lt;&gt;"",COUNTIF($G:$G,G114)&gt;1),"ID repetido. ","")&amp;IF(AND(F114&lt;&gt;"",LEN(TRIM(F114))&lt;&gt;64),"Hash deve ter 64 caracteres.","")))</f>
        <v/>
      </c>
      <c r="M114" s="5"/>
    </row>
    <row r="115" customFormat="false" ht="15" hidden="false" customHeight="false" outlineLevel="0" collapsed="false">
      <c r="A115" s="5"/>
      <c r="B115" s="25"/>
      <c r="C115" s="5"/>
      <c r="D115" s="5"/>
      <c r="E115" s="26"/>
      <c r="F115" s="26"/>
      <c r="G115" s="27"/>
      <c r="H115" s="14"/>
      <c r="I115" s="5"/>
      <c r="J115" s="5"/>
      <c r="K115" s="28" t="str">
        <f aca="false">IF(G115="","",COUNTIF('Linha do tempo'!$D:$D,G115))</f>
        <v/>
      </c>
      <c r="L115" s="19" t="str">
        <f aca="false">IF(AND(G115="",F115=""),"",TRIM(IF(AND(G115&lt;&gt;"",COUNTIF($G:$G,G115)&gt;1),"ID repetido. ","")&amp;IF(AND(F115&lt;&gt;"",LEN(TRIM(F115))&lt;&gt;64),"Hash deve ter 64 caracteres.","")))</f>
        <v/>
      </c>
      <c r="M115" s="5"/>
    </row>
    <row r="116" customFormat="false" ht="15" hidden="false" customHeight="false" outlineLevel="0" collapsed="false">
      <c r="A116" s="5"/>
      <c r="B116" s="25"/>
      <c r="C116" s="5"/>
      <c r="D116" s="5"/>
      <c r="E116" s="26"/>
      <c r="F116" s="26"/>
      <c r="G116" s="27"/>
      <c r="H116" s="14"/>
      <c r="I116" s="5"/>
      <c r="J116" s="5"/>
      <c r="K116" s="28" t="str">
        <f aca="false">IF(G116="","",COUNTIF('Linha do tempo'!$D:$D,G116))</f>
        <v/>
      </c>
      <c r="L116" s="19" t="str">
        <f aca="false">IF(AND(G116="",F116=""),"",TRIM(IF(AND(G116&lt;&gt;"",COUNTIF($G:$G,G116)&gt;1),"ID repetido. ","")&amp;IF(AND(F116&lt;&gt;"",LEN(TRIM(F116))&lt;&gt;64),"Hash deve ter 64 caracteres.","")))</f>
        <v/>
      </c>
      <c r="M116" s="5"/>
    </row>
    <row r="117" customFormat="false" ht="15" hidden="false" customHeight="false" outlineLevel="0" collapsed="false">
      <c r="A117" s="5"/>
      <c r="B117" s="25"/>
      <c r="C117" s="5"/>
      <c r="D117" s="5"/>
      <c r="E117" s="26"/>
      <c r="F117" s="26"/>
      <c r="G117" s="27"/>
      <c r="H117" s="14"/>
      <c r="I117" s="5"/>
      <c r="J117" s="5"/>
      <c r="K117" s="28" t="str">
        <f aca="false">IF(G117="","",COUNTIF('Linha do tempo'!$D:$D,G117))</f>
        <v/>
      </c>
      <c r="L117" s="19" t="str">
        <f aca="false">IF(AND(G117="",F117=""),"",TRIM(IF(AND(G117&lt;&gt;"",COUNTIF($G:$G,G117)&gt;1),"ID repetido. ","")&amp;IF(AND(F117&lt;&gt;"",LEN(TRIM(F117))&lt;&gt;64),"Hash deve ter 64 caracteres.","")))</f>
        <v/>
      </c>
      <c r="M117" s="5"/>
    </row>
    <row r="118" customFormat="false" ht="15" hidden="false" customHeight="false" outlineLevel="0" collapsed="false">
      <c r="A118" s="5"/>
      <c r="B118" s="25"/>
      <c r="C118" s="5"/>
      <c r="D118" s="5"/>
      <c r="E118" s="26"/>
      <c r="F118" s="26"/>
      <c r="G118" s="27"/>
      <c r="H118" s="14"/>
      <c r="I118" s="5"/>
      <c r="J118" s="5"/>
      <c r="K118" s="28" t="str">
        <f aca="false">IF(G118="","",COUNTIF('Linha do tempo'!$D:$D,G118))</f>
        <v/>
      </c>
      <c r="L118" s="19" t="str">
        <f aca="false">IF(AND(G118="",F118=""),"",TRIM(IF(AND(G118&lt;&gt;"",COUNTIF($G:$G,G118)&gt;1),"ID repetido. ","")&amp;IF(AND(F118&lt;&gt;"",LEN(TRIM(F118))&lt;&gt;64),"Hash deve ter 64 caracteres.","")))</f>
        <v/>
      </c>
      <c r="M118" s="5"/>
    </row>
    <row r="119" customFormat="false" ht="15" hidden="false" customHeight="false" outlineLevel="0" collapsed="false">
      <c r="A119" s="5"/>
      <c r="B119" s="25"/>
      <c r="C119" s="5"/>
      <c r="D119" s="5"/>
      <c r="E119" s="26"/>
      <c r="F119" s="26"/>
      <c r="G119" s="27"/>
      <c r="H119" s="14"/>
      <c r="I119" s="5"/>
      <c r="J119" s="5"/>
      <c r="K119" s="28" t="str">
        <f aca="false">IF(G119="","",COUNTIF('Linha do tempo'!$D:$D,G119))</f>
        <v/>
      </c>
      <c r="L119" s="19" t="str">
        <f aca="false">IF(AND(G119="",F119=""),"",TRIM(IF(AND(G119&lt;&gt;"",COUNTIF($G:$G,G119)&gt;1),"ID repetido. ","")&amp;IF(AND(F119&lt;&gt;"",LEN(TRIM(F119))&lt;&gt;64),"Hash deve ter 64 caracteres.","")))</f>
        <v/>
      </c>
      <c r="M119" s="5"/>
    </row>
    <row r="120" customFormat="false" ht="15" hidden="false" customHeight="false" outlineLevel="0" collapsed="false">
      <c r="A120" s="5"/>
      <c r="B120" s="25"/>
      <c r="C120" s="5"/>
      <c r="D120" s="5"/>
      <c r="E120" s="26"/>
      <c r="F120" s="26"/>
      <c r="G120" s="27"/>
      <c r="H120" s="14"/>
      <c r="I120" s="5"/>
      <c r="J120" s="5"/>
      <c r="K120" s="28" t="str">
        <f aca="false">IF(G120="","",COUNTIF('Linha do tempo'!$D:$D,G120))</f>
        <v/>
      </c>
      <c r="L120" s="19" t="str">
        <f aca="false">IF(AND(G120="",F120=""),"",TRIM(IF(AND(G120&lt;&gt;"",COUNTIF($G:$G,G120)&gt;1),"ID repetido. ","")&amp;IF(AND(F120&lt;&gt;"",LEN(TRIM(F120))&lt;&gt;64),"Hash deve ter 64 caracteres.","")))</f>
        <v/>
      </c>
      <c r="M120" s="5"/>
    </row>
    <row r="121" customFormat="false" ht="15" hidden="false" customHeight="false" outlineLevel="0" collapsed="false">
      <c r="A121" s="5"/>
      <c r="B121" s="25"/>
      <c r="C121" s="5"/>
      <c r="D121" s="5"/>
      <c r="E121" s="26"/>
      <c r="F121" s="26"/>
      <c r="G121" s="27"/>
      <c r="H121" s="14"/>
      <c r="I121" s="5"/>
      <c r="J121" s="5"/>
      <c r="K121" s="28" t="str">
        <f aca="false">IF(G121="","",COUNTIF('Linha do tempo'!$D:$D,G121))</f>
        <v/>
      </c>
      <c r="L121" s="19" t="str">
        <f aca="false">IF(AND(G121="",F121=""),"",TRIM(IF(AND(G121&lt;&gt;"",COUNTIF($G:$G,G121)&gt;1),"ID repetido. ","")&amp;IF(AND(F121&lt;&gt;"",LEN(TRIM(F121))&lt;&gt;64),"Hash deve ter 64 caracteres.","")))</f>
        <v/>
      </c>
      <c r="M121" s="5"/>
    </row>
    <row r="122" customFormat="false" ht="15" hidden="false" customHeight="false" outlineLevel="0" collapsed="false">
      <c r="A122" s="5"/>
      <c r="B122" s="25"/>
      <c r="C122" s="5"/>
      <c r="D122" s="5"/>
      <c r="E122" s="26"/>
      <c r="F122" s="26"/>
      <c r="G122" s="27"/>
      <c r="H122" s="14"/>
      <c r="I122" s="5"/>
      <c r="J122" s="5"/>
      <c r="K122" s="28" t="str">
        <f aca="false">IF(G122="","",COUNTIF('Linha do tempo'!$D:$D,G122))</f>
        <v/>
      </c>
      <c r="L122" s="19" t="str">
        <f aca="false">IF(AND(G122="",F122=""),"",TRIM(IF(AND(G122&lt;&gt;"",COUNTIF($G:$G,G122)&gt;1),"ID repetido. ","")&amp;IF(AND(F122&lt;&gt;"",LEN(TRIM(F122))&lt;&gt;64),"Hash deve ter 64 caracteres.","")))</f>
        <v/>
      </c>
      <c r="M122" s="5"/>
    </row>
    <row r="123" customFormat="false" ht="15" hidden="false" customHeight="false" outlineLevel="0" collapsed="false">
      <c r="A123" s="5"/>
      <c r="B123" s="25"/>
      <c r="C123" s="5"/>
      <c r="D123" s="5"/>
      <c r="E123" s="26"/>
      <c r="F123" s="26"/>
      <c r="G123" s="27"/>
      <c r="H123" s="14"/>
      <c r="I123" s="5"/>
      <c r="J123" s="5"/>
      <c r="K123" s="28" t="str">
        <f aca="false">IF(G123="","",COUNTIF('Linha do tempo'!$D:$D,G123))</f>
        <v/>
      </c>
      <c r="L123" s="19" t="str">
        <f aca="false">IF(AND(G123="",F123=""),"",TRIM(IF(AND(G123&lt;&gt;"",COUNTIF($G:$G,G123)&gt;1),"ID repetido. ","")&amp;IF(AND(F123&lt;&gt;"",LEN(TRIM(F123))&lt;&gt;64),"Hash deve ter 64 caracteres.","")))</f>
        <v/>
      </c>
      <c r="M123" s="5"/>
    </row>
    <row r="124" customFormat="false" ht="15" hidden="false" customHeight="false" outlineLevel="0" collapsed="false">
      <c r="A124" s="5"/>
      <c r="B124" s="25"/>
      <c r="C124" s="5"/>
      <c r="D124" s="5"/>
      <c r="E124" s="26"/>
      <c r="F124" s="26"/>
      <c r="G124" s="27"/>
      <c r="H124" s="14"/>
      <c r="I124" s="5"/>
      <c r="J124" s="5"/>
      <c r="K124" s="28" t="str">
        <f aca="false">IF(G124="","",COUNTIF('Linha do tempo'!$D:$D,G124))</f>
        <v/>
      </c>
      <c r="L124" s="19" t="str">
        <f aca="false">IF(AND(G124="",F124=""),"",TRIM(IF(AND(G124&lt;&gt;"",COUNTIF($G:$G,G124)&gt;1),"ID repetido. ","")&amp;IF(AND(F124&lt;&gt;"",LEN(TRIM(F124))&lt;&gt;64),"Hash deve ter 64 caracteres.","")))</f>
        <v/>
      </c>
      <c r="M124" s="5"/>
    </row>
    <row r="125" customFormat="false" ht="15" hidden="false" customHeight="false" outlineLevel="0" collapsed="false">
      <c r="A125" s="5"/>
      <c r="B125" s="25"/>
      <c r="C125" s="5"/>
      <c r="D125" s="5"/>
      <c r="E125" s="26"/>
      <c r="F125" s="26"/>
      <c r="G125" s="27"/>
      <c r="H125" s="14"/>
      <c r="I125" s="5"/>
      <c r="J125" s="5"/>
      <c r="K125" s="28" t="str">
        <f aca="false">IF(G125="","",COUNTIF('Linha do tempo'!$D:$D,G125))</f>
        <v/>
      </c>
      <c r="L125" s="19" t="str">
        <f aca="false">IF(AND(G125="",F125=""),"",TRIM(IF(AND(G125&lt;&gt;"",COUNTIF($G:$G,G125)&gt;1),"ID repetido. ","")&amp;IF(AND(F125&lt;&gt;"",LEN(TRIM(F125))&lt;&gt;64),"Hash deve ter 64 caracteres.","")))</f>
        <v/>
      </c>
      <c r="M125" s="5"/>
    </row>
    <row r="126" customFormat="false" ht="15" hidden="false" customHeight="false" outlineLevel="0" collapsed="false">
      <c r="A126" s="5"/>
      <c r="B126" s="25"/>
      <c r="C126" s="5"/>
      <c r="D126" s="5"/>
      <c r="E126" s="26"/>
      <c r="F126" s="26"/>
      <c r="G126" s="27"/>
      <c r="H126" s="14"/>
      <c r="I126" s="5"/>
      <c r="J126" s="5"/>
      <c r="K126" s="28" t="str">
        <f aca="false">IF(G126="","",COUNTIF('Linha do tempo'!$D:$D,G126))</f>
        <v/>
      </c>
      <c r="L126" s="19" t="str">
        <f aca="false">IF(AND(G126="",F126=""),"",TRIM(IF(AND(G126&lt;&gt;"",COUNTIF($G:$G,G126)&gt;1),"ID repetido. ","")&amp;IF(AND(F126&lt;&gt;"",LEN(TRIM(F126))&lt;&gt;64),"Hash deve ter 64 caracteres.","")))</f>
        <v/>
      </c>
      <c r="M126" s="5"/>
    </row>
    <row r="127" customFormat="false" ht="15" hidden="false" customHeight="false" outlineLevel="0" collapsed="false">
      <c r="A127" s="5"/>
      <c r="B127" s="25"/>
      <c r="C127" s="5"/>
      <c r="D127" s="5"/>
      <c r="E127" s="26"/>
      <c r="F127" s="26"/>
      <c r="G127" s="27"/>
      <c r="H127" s="14"/>
      <c r="I127" s="5"/>
      <c r="J127" s="5"/>
      <c r="K127" s="28" t="str">
        <f aca="false">IF(G127="","",COUNTIF('Linha do tempo'!$D:$D,G127))</f>
        <v/>
      </c>
      <c r="L127" s="19" t="str">
        <f aca="false">IF(AND(G127="",F127=""),"",TRIM(IF(AND(G127&lt;&gt;"",COUNTIF($G:$G,G127)&gt;1),"ID repetido. ","")&amp;IF(AND(F127&lt;&gt;"",LEN(TRIM(F127))&lt;&gt;64),"Hash deve ter 64 caracteres.","")))</f>
        <v/>
      </c>
      <c r="M127" s="5"/>
    </row>
    <row r="128" customFormat="false" ht="15" hidden="false" customHeight="false" outlineLevel="0" collapsed="false">
      <c r="A128" s="5"/>
      <c r="B128" s="25"/>
      <c r="C128" s="5"/>
      <c r="D128" s="5"/>
      <c r="E128" s="26"/>
      <c r="F128" s="26"/>
      <c r="G128" s="27"/>
      <c r="H128" s="14"/>
      <c r="I128" s="5"/>
      <c r="J128" s="5"/>
      <c r="K128" s="28" t="str">
        <f aca="false">IF(G128="","",COUNTIF('Linha do tempo'!$D:$D,G128))</f>
        <v/>
      </c>
      <c r="L128" s="19" t="str">
        <f aca="false">IF(AND(G128="",F128=""),"",TRIM(IF(AND(G128&lt;&gt;"",COUNTIF($G:$G,G128)&gt;1),"ID repetido. ","")&amp;IF(AND(F128&lt;&gt;"",LEN(TRIM(F128))&lt;&gt;64),"Hash deve ter 64 caracteres.","")))</f>
        <v/>
      </c>
      <c r="M128" s="5"/>
    </row>
    <row r="129" customFormat="false" ht="15" hidden="false" customHeight="false" outlineLevel="0" collapsed="false">
      <c r="A129" s="5"/>
      <c r="B129" s="25"/>
      <c r="C129" s="5"/>
      <c r="D129" s="5"/>
      <c r="E129" s="26"/>
      <c r="F129" s="26"/>
      <c r="G129" s="27"/>
      <c r="H129" s="14"/>
      <c r="I129" s="5"/>
      <c r="J129" s="5"/>
      <c r="K129" s="28" t="str">
        <f aca="false">IF(G129="","",COUNTIF('Linha do tempo'!$D:$D,G129))</f>
        <v/>
      </c>
      <c r="L129" s="19" t="str">
        <f aca="false">IF(AND(G129="",F129=""),"",TRIM(IF(AND(G129&lt;&gt;"",COUNTIF($G:$G,G129)&gt;1),"ID repetido. ","")&amp;IF(AND(F129&lt;&gt;"",LEN(TRIM(F129))&lt;&gt;64),"Hash deve ter 64 caracteres.","")))</f>
        <v/>
      </c>
      <c r="M129" s="5"/>
    </row>
    <row r="130" customFormat="false" ht="15" hidden="false" customHeight="false" outlineLevel="0" collapsed="false">
      <c r="A130" s="5"/>
      <c r="B130" s="25"/>
      <c r="C130" s="5"/>
      <c r="D130" s="5"/>
      <c r="E130" s="26"/>
      <c r="F130" s="26"/>
      <c r="G130" s="27"/>
      <c r="H130" s="14"/>
      <c r="I130" s="5"/>
      <c r="J130" s="5"/>
      <c r="K130" s="28" t="str">
        <f aca="false">IF(G130="","",COUNTIF('Linha do tempo'!$D:$D,G130))</f>
        <v/>
      </c>
      <c r="L130" s="19" t="str">
        <f aca="false">IF(AND(G130="",F130=""),"",TRIM(IF(AND(G130&lt;&gt;"",COUNTIF($G:$G,G130)&gt;1),"ID repetido. ","")&amp;IF(AND(F130&lt;&gt;"",LEN(TRIM(F130))&lt;&gt;64),"Hash deve ter 64 caracteres.","")))</f>
        <v/>
      </c>
      <c r="M130" s="5"/>
    </row>
    <row r="131" customFormat="false" ht="15" hidden="false" customHeight="false" outlineLevel="0" collapsed="false">
      <c r="A131" s="5"/>
      <c r="B131" s="25"/>
      <c r="C131" s="5"/>
      <c r="D131" s="5"/>
      <c r="E131" s="26"/>
      <c r="F131" s="26"/>
      <c r="G131" s="27"/>
      <c r="H131" s="14"/>
      <c r="I131" s="5"/>
      <c r="J131" s="5"/>
      <c r="K131" s="28" t="str">
        <f aca="false">IF(G131="","",COUNTIF('Linha do tempo'!$D:$D,G131))</f>
        <v/>
      </c>
      <c r="L131" s="19" t="str">
        <f aca="false">IF(AND(G131="",F131=""),"",TRIM(IF(AND(G131&lt;&gt;"",COUNTIF($G:$G,G131)&gt;1),"ID repetido. ","")&amp;IF(AND(F131&lt;&gt;"",LEN(TRIM(F131))&lt;&gt;64),"Hash deve ter 64 caracteres.","")))</f>
        <v/>
      </c>
      <c r="M131" s="5"/>
    </row>
    <row r="132" customFormat="false" ht="15" hidden="false" customHeight="false" outlineLevel="0" collapsed="false">
      <c r="A132" s="5"/>
      <c r="B132" s="25"/>
      <c r="C132" s="5"/>
      <c r="D132" s="5"/>
      <c r="E132" s="26"/>
      <c r="F132" s="26"/>
      <c r="G132" s="27"/>
      <c r="H132" s="14"/>
      <c r="I132" s="5"/>
      <c r="J132" s="5"/>
      <c r="K132" s="28" t="str">
        <f aca="false">IF(G132="","",COUNTIF('Linha do tempo'!$D:$D,G132))</f>
        <v/>
      </c>
      <c r="L132" s="19" t="str">
        <f aca="false">IF(AND(G132="",F132=""),"",TRIM(IF(AND(G132&lt;&gt;"",COUNTIF($G:$G,G132)&gt;1),"ID repetido. ","")&amp;IF(AND(F132&lt;&gt;"",LEN(TRIM(F132))&lt;&gt;64),"Hash deve ter 64 caracteres.","")))</f>
        <v/>
      </c>
      <c r="M132" s="5"/>
    </row>
    <row r="133" customFormat="false" ht="15" hidden="false" customHeight="false" outlineLevel="0" collapsed="false">
      <c r="A133" s="5"/>
      <c r="B133" s="25"/>
      <c r="C133" s="5"/>
      <c r="D133" s="5"/>
      <c r="E133" s="26"/>
      <c r="F133" s="26"/>
      <c r="G133" s="27"/>
      <c r="H133" s="14"/>
      <c r="I133" s="5"/>
      <c r="J133" s="5"/>
      <c r="K133" s="28" t="str">
        <f aca="false">IF(G133="","",COUNTIF('Linha do tempo'!$D:$D,G133))</f>
        <v/>
      </c>
      <c r="L133" s="19" t="str">
        <f aca="false">IF(AND(G133="",F133=""),"",TRIM(IF(AND(G133&lt;&gt;"",COUNTIF($G:$G,G133)&gt;1),"ID repetido. ","")&amp;IF(AND(F133&lt;&gt;"",LEN(TRIM(F133))&lt;&gt;64),"Hash deve ter 64 caracteres.","")))</f>
        <v/>
      </c>
      <c r="M133" s="5"/>
    </row>
    <row r="134" customFormat="false" ht="15" hidden="false" customHeight="false" outlineLevel="0" collapsed="false">
      <c r="A134" s="5"/>
      <c r="B134" s="25"/>
      <c r="C134" s="5"/>
      <c r="D134" s="5"/>
      <c r="E134" s="26"/>
      <c r="F134" s="26"/>
      <c r="G134" s="27"/>
      <c r="H134" s="14"/>
      <c r="I134" s="5"/>
      <c r="J134" s="5"/>
      <c r="K134" s="28" t="str">
        <f aca="false">IF(G134="","",COUNTIF('Linha do tempo'!$D:$D,G134))</f>
        <v/>
      </c>
      <c r="L134" s="19" t="str">
        <f aca="false">IF(AND(G134="",F134=""),"",TRIM(IF(AND(G134&lt;&gt;"",COUNTIF($G:$G,G134)&gt;1),"ID repetido. ","")&amp;IF(AND(F134&lt;&gt;"",LEN(TRIM(F134))&lt;&gt;64),"Hash deve ter 64 caracteres.","")))</f>
        <v/>
      </c>
      <c r="M134" s="5"/>
    </row>
    <row r="135" customFormat="false" ht="15" hidden="false" customHeight="false" outlineLevel="0" collapsed="false">
      <c r="A135" s="5"/>
      <c r="B135" s="25"/>
      <c r="C135" s="5"/>
      <c r="D135" s="5"/>
      <c r="E135" s="26"/>
      <c r="F135" s="26"/>
      <c r="G135" s="27"/>
      <c r="H135" s="14"/>
      <c r="I135" s="5"/>
      <c r="J135" s="5"/>
      <c r="K135" s="28" t="str">
        <f aca="false">IF(G135="","",COUNTIF('Linha do tempo'!$D:$D,G135))</f>
        <v/>
      </c>
      <c r="L135" s="19" t="str">
        <f aca="false">IF(AND(G135="",F135=""),"",TRIM(IF(AND(G135&lt;&gt;"",COUNTIF($G:$G,G135)&gt;1),"ID repetido. ","")&amp;IF(AND(F135&lt;&gt;"",LEN(TRIM(F135))&lt;&gt;64),"Hash deve ter 64 caracteres.","")))</f>
        <v/>
      </c>
      <c r="M135" s="5"/>
    </row>
    <row r="136" customFormat="false" ht="15" hidden="false" customHeight="false" outlineLevel="0" collapsed="false">
      <c r="A136" s="5"/>
      <c r="B136" s="25"/>
      <c r="C136" s="5"/>
      <c r="D136" s="5"/>
      <c r="E136" s="26"/>
      <c r="F136" s="26"/>
      <c r="G136" s="27"/>
      <c r="H136" s="14"/>
      <c r="I136" s="5"/>
      <c r="J136" s="5"/>
      <c r="K136" s="28" t="str">
        <f aca="false">IF(G136="","",COUNTIF('Linha do tempo'!$D:$D,G136))</f>
        <v/>
      </c>
      <c r="L136" s="19" t="str">
        <f aca="false">IF(AND(G136="",F136=""),"",TRIM(IF(AND(G136&lt;&gt;"",COUNTIF($G:$G,G136)&gt;1),"ID repetido. ","")&amp;IF(AND(F136&lt;&gt;"",LEN(TRIM(F136))&lt;&gt;64),"Hash deve ter 64 caracteres.","")))</f>
        <v/>
      </c>
      <c r="M136" s="5"/>
    </row>
    <row r="137" customFormat="false" ht="15" hidden="false" customHeight="false" outlineLevel="0" collapsed="false">
      <c r="A137" s="5"/>
      <c r="B137" s="25"/>
      <c r="C137" s="5"/>
      <c r="D137" s="5"/>
      <c r="E137" s="26"/>
      <c r="F137" s="26"/>
      <c r="G137" s="27"/>
      <c r="H137" s="14"/>
      <c r="I137" s="5"/>
      <c r="J137" s="5"/>
      <c r="K137" s="28" t="str">
        <f aca="false">IF(G137="","",COUNTIF('Linha do tempo'!$D:$D,G137))</f>
        <v/>
      </c>
      <c r="L137" s="19" t="str">
        <f aca="false">IF(AND(G137="",F137=""),"",TRIM(IF(AND(G137&lt;&gt;"",COUNTIF($G:$G,G137)&gt;1),"ID repetido. ","")&amp;IF(AND(F137&lt;&gt;"",LEN(TRIM(F137))&lt;&gt;64),"Hash deve ter 64 caracteres.","")))</f>
        <v/>
      </c>
      <c r="M137" s="5"/>
    </row>
    <row r="138" customFormat="false" ht="15" hidden="false" customHeight="false" outlineLevel="0" collapsed="false">
      <c r="A138" s="5"/>
      <c r="B138" s="25"/>
      <c r="C138" s="5"/>
      <c r="D138" s="5"/>
      <c r="E138" s="26"/>
      <c r="F138" s="26"/>
      <c r="G138" s="27"/>
      <c r="H138" s="14"/>
      <c r="I138" s="5"/>
      <c r="J138" s="5"/>
      <c r="K138" s="28" t="str">
        <f aca="false">IF(G138="","",COUNTIF('Linha do tempo'!$D:$D,G138))</f>
        <v/>
      </c>
      <c r="L138" s="19" t="str">
        <f aca="false">IF(AND(G138="",F138=""),"",TRIM(IF(AND(G138&lt;&gt;"",COUNTIF($G:$G,G138)&gt;1),"ID repetido. ","")&amp;IF(AND(F138&lt;&gt;"",LEN(TRIM(F138))&lt;&gt;64),"Hash deve ter 64 caracteres.","")))</f>
        <v/>
      </c>
      <c r="M138" s="5"/>
    </row>
    <row r="139" customFormat="false" ht="15" hidden="false" customHeight="false" outlineLevel="0" collapsed="false">
      <c r="A139" s="5"/>
      <c r="B139" s="25"/>
      <c r="C139" s="5"/>
      <c r="D139" s="5"/>
      <c r="E139" s="26"/>
      <c r="F139" s="26"/>
      <c r="G139" s="27"/>
      <c r="H139" s="14"/>
      <c r="I139" s="5"/>
      <c r="J139" s="5"/>
      <c r="K139" s="28" t="str">
        <f aca="false">IF(G139="","",COUNTIF('Linha do tempo'!$D:$D,G139))</f>
        <v/>
      </c>
      <c r="L139" s="19" t="str">
        <f aca="false">IF(AND(G139="",F139=""),"",TRIM(IF(AND(G139&lt;&gt;"",COUNTIF($G:$G,G139)&gt;1),"ID repetido. ","")&amp;IF(AND(F139&lt;&gt;"",LEN(TRIM(F139))&lt;&gt;64),"Hash deve ter 64 caracteres.","")))</f>
        <v/>
      </c>
      <c r="M139" s="5"/>
    </row>
    <row r="140" customFormat="false" ht="15" hidden="false" customHeight="false" outlineLevel="0" collapsed="false">
      <c r="A140" s="5"/>
      <c r="B140" s="25"/>
      <c r="C140" s="5"/>
      <c r="D140" s="5"/>
      <c r="E140" s="26"/>
      <c r="F140" s="26"/>
      <c r="G140" s="27"/>
      <c r="H140" s="14"/>
      <c r="I140" s="5"/>
      <c r="J140" s="5"/>
      <c r="K140" s="28" t="str">
        <f aca="false">IF(G140="","",COUNTIF('Linha do tempo'!$D:$D,G140))</f>
        <v/>
      </c>
      <c r="L140" s="19" t="str">
        <f aca="false">IF(AND(G140="",F140=""),"",TRIM(IF(AND(G140&lt;&gt;"",COUNTIF($G:$G,G140)&gt;1),"ID repetido. ","")&amp;IF(AND(F140&lt;&gt;"",LEN(TRIM(F140))&lt;&gt;64),"Hash deve ter 64 caracteres.","")))</f>
        <v/>
      </c>
      <c r="M140" s="5"/>
    </row>
    <row r="141" customFormat="false" ht="15" hidden="false" customHeight="false" outlineLevel="0" collapsed="false">
      <c r="A141" s="5"/>
      <c r="B141" s="25"/>
      <c r="C141" s="5"/>
      <c r="D141" s="5"/>
      <c r="E141" s="26"/>
      <c r="F141" s="26"/>
      <c r="G141" s="27"/>
      <c r="H141" s="14"/>
      <c r="I141" s="5"/>
      <c r="J141" s="5"/>
      <c r="K141" s="28" t="str">
        <f aca="false">IF(G141="","",COUNTIF('Linha do tempo'!$D:$D,G141))</f>
        <v/>
      </c>
      <c r="L141" s="19" t="str">
        <f aca="false">IF(AND(G141="",F141=""),"",TRIM(IF(AND(G141&lt;&gt;"",COUNTIF($G:$G,G141)&gt;1),"ID repetido. ","")&amp;IF(AND(F141&lt;&gt;"",LEN(TRIM(F141))&lt;&gt;64),"Hash deve ter 64 caracteres.","")))</f>
        <v/>
      </c>
      <c r="M141" s="5"/>
    </row>
    <row r="142" customFormat="false" ht="15" hidden="false" customHeight="false" outlineLevel="0" collapsed="false">
      <c r="A142" s="5"/>
      <c r="B142" s="25"/>
      <c r="C142" s="5"/>
      <c r="D142" s="5"/>
      <c r="E142" s="26"/>
      <c r="F142" s="26"/>
      <c r="G142" s="27"/>
      <c r="H142" s="14"/>
      <c r="I142" s="5"/>
      <c r="J142" s="5"/>
      <c r="K142" s="28" t="str">
        <f aca="false">IF(G142="","",COUNTIF('Linha do tempo'!$D:$D,G142))</f>
        <v/>
      </c>
      <c r="L142" s="19" t="str">
        <f aca="false">IF(AND(G142="",F142=""),"",TRIM(IF(AND(G142&lt;&gt;"",COUNTIF($G:$G,G142)&gt;1),"ID repetido. ","")&amp;IF(AND(F142&lt;&gt;"",LEN(TRIM(F142))&lt;&gt;64),"Hash deve ter 64 caracteres.","")))</f>
        <v/>
      </c>
      <c r="M142" s="5"/>
    </row>
    <row r="143" customFormat="false" ht="15" hidden="false" customHeight="false" outlineLevel="0" collapsed="false">
      <c r="A143" s="5"/>
      <c r="B143" s="25"/>
      <c r="C143" s="5"/>
      <c r="D143" s="5"/>
      <c r="E143" s="26"/>
      <c r="F143" s="26"/>
      <c r="G143" s="27"/>
      <c r="H143" s="14"/>
      <c r="I143" s="5"/>
      <c r="J143" s="5"/>
      <c r="K143" s="28" t="str">
        <f aca="false">IF(G143="","",COUNTIF('Linha do tempo'!$D:$D,G143))</f>
        <v/>
      </c>
      <c r="L143" s="19" t="str">
        <f aca="false">IF(AND(G143="",F143=""),"",TRIM(IF(AND(G143&lt;&gt;"",COUNTIF($G:$G,G143)&gt;1),"ID repetido. ","")&amp;IF(AND(F143&lt;&gt;"",LEN(TRIM(F143))&lt;&gt;64),"Hash deve ter 64 caracteres.","")))</f>
        <v/>
      </c>
      <c r="M143" s="5"/>
    </row>
    <row r="144" customFormat="false" ht="15" hidden="false" customHeight="false" outlineLevel="0" collapsed="false">
      <c r="A144" s="5"/>
      <c r="B144" s="25"/>
      <c r="C144" s="5"/>
      <c r="D144" s="5"/>
      <c r="E144" s="26"/>
      <c r="F144" s="26"/>
      <c r="G144" s="27"/>
      <c r="H144" s="14"/>
      <c r="I144" s="5"/>
      <c r="J144" s="5"/>
      <c r="K144" s="28" t="str">
        <f aca="false">IF(G144="","",COUNTIF('Linha do tempo'!$D:$D,G144))</f>
        <v/>
      </c>
      <c r="L144" s="19" t="str">
        <f aca="false">IF(AND(G144="",F144=""),"",TRIM(IF(AND(G144&lt;&gt;"",COUNTIF($G:$G,G144)&gt;1),"ID repetido. ","")&amp;IF(AND(F144&lt;&gt;"",LEN(TRIM(F144))&lt;&gt;64),"Hash deve ter 64 caracteres.","")))</f>
        <v/>
      </c>
      <c r="M144" s="5"/>
    </row>
    <row r="145" customFormat="false" ht="15" hidden="false" customHeight="false" outlineLevel="0" collapsed="false">
      <c r="A145" s="5"/>
      <c r="B145" s="25"/>
      <c r="C145" s="5"/>
      <c r="D145" s="5"/>
      <c r="E145" s="26"/>
      <c r="F145" s="26"/>
      <c r="G145" s="27"/>
      <c r="H145" s="14"/>
      <c r="I145" s="5"/>
      <c r="J145" s="5"/>
      <c r="K145" s="28" t="str">
        <f aca="false">IF(G145="","",COUNTIF('Linha do tempo'!$D:$D,G145))</f>
        <v/>
      </c>
      <c r="L145" s="19" t="str">
        <f aca="false">IF(AND(G145="",F145=""),"",TRIM(IF(AND(G145&lt;&gt;"",COUNTIF($G:$G,G145)&gt;1),"ID repetido. ","")&amp;IF(AND(F145&lt;&gt;"",LEN(TRIM(F145))&lt;&gt;64),"Hash deve ter 64 caracteres.","")))</f>
        <v/>
      </c>
      <c r="M145" s="5"/>
    </row>
    <row r="146" customFormat="false" ht="15" hidden="false" customHeight="false" outlineLevel="0" collapsed="false">
      <c r="A146" s="5"/>
      <c r="B146" s="25"/>
      <c r="C146" s="5"/>
      <c r="D146" s="5"/>
      <c r="E146" s="26"/>
      <c r="F146" s="26"/>
      <c r="G146" s="27"/>
      <c r="H146" s="14"/>
      <c r="I146" s="5"/>
      <c r="J146" s="5"/>
      <c r="K146" s="28" t="str">
        <f aca="false">IF(G146="","",COUNTIF('Linha do tempo'!$D:$D,G146))</f>
        <v/>
      </c>
      <c r="L146" s="19" t="str">
        <f aca="false">IF(AND(G146="",F146=""),"",TRIM(IF(AND(G146&lt;&gt;"",COUNTIF($G:$G,G146)&gt;1),"ID repetido. ","")&amp;IF(AND(F146&lt;&gt;"",LEN(TRIM(F146))&lt;&gt;64),"Hash deve ter 64 caracteres.","")))</f>
        <v/>
      </c>
      <c r="M146" s="5"/>
    </row>
    <row r="147" customFormat="false" ht="15" hidden="false" customHeight="false" outlineLevel="0" collapsed="false">
      <c r="A147" s="5"/>
      <c r="B147" s="25"/>
      <c r="C147" s="5"/>
      <c r="D147" s="5"/>
      <c r="E147" s="26"/>
      <c r="F147" s="26"/>
      <c r="G147" s="27"/>
      <c r="H147" s="14"/>
      <c r="I147" s="5"/>
      <c r="J147" s="5"/>
      <c r="K147" s="28" t="str">
        <f aca="false">IF(G147="","",COUNTIF('Linha do tempo'!$D:$D,G147))</f>
        <v/>
      </c>
      <c r="L147" s="19" t="str">
        <f aca="false">IF(AND(G147="",F147=""),"",TRIM(IF(AND(G147&lt;&gt;"",COUNTIF($G:$G,G147)&gt;1),"ID repetido. ","")&amp;IF(AND(F147&lt;&gt;"",LEN(TRIM(F147))&lt;&gt;64),"Hash deve ter 64 caracteres.","")))</f>
        <v/>
      </c>
      <c r="M147" s="5"/>
    </row>
    <row r="148" customFormat="false" ht="15" hidden="false" customHeight="false" outlineLevel="0" collapsed="false">
      <c r="A148" s="5"/>
      <c r="B148" s="25"/>
      <c r="C148" s="5"/>
      <c r="D148" s="5"/>
      <c r="E148" s="26"/>
      <c r="F148" s="26"/>
      <c r="G148" s="27"/>
      <c r="H148" s="14"/>
      <c r="I148" s="5"/>
      <c r="J148" s="5"/>
      <c r="K148" s="28" t="str">
        <f aca="false">IF(G148="","",COUNTIF('Linha do tempo'!$D:$D,G148))</f>
        <v/>
      </c>
      <c r="L148" s="19" t="str">
        <f aca="false">IF(AND(G148="",F148=""),"",TRIM(IF(AND(G148&lt;&gt;"",COUNTIF($G:$G,G148)&gt;1),"ID repetido. ","")&amp;IF(AND(F148&lt;&gt;"",LEN(TRIM(F148))&lt;&gt;64),"Hash deve ter 64 caracteres.","")))</f>
        <v/>
      </c>
      <c r="M148" s="5"/>
    </row>
    <row r="149" customFormat="false" ht="15" hidden="false" customHeight="false" outlineLevel="0" collapsed="false">
      <c r="A149" s="5"/>
      <c r="B149" s="25"/>
      <c r="C149" s="5"/>
      <c r="D149" s="5"/>
      <c r="E149" s="26"/>
      <c r="F149" s="26"/>
      <c r="G149" s="27"/>
      <c r="H149" s="14"/>
      <c r="I149" s="5"/>
      <c r="J149" s="5"/>
      <c r="K149" s="28" t="str">
        <f aca="false">IF(G149="","",COUNTIF('Linha do tempo'!$D:$D,G149))</f>
        <v/>
      </c>
      <c r="L149" s="19" t="str">
        <f aca="false">IF(AND(G149="",F149=""),"",TRIM(IF(AND(G149&lt;&gt;"",COUNTIF($G:$G,G149)&gt;1),"ID repetido. ","")&amp;IF(AND(F149&lt;&gt;"",LEN(TRIM(F149))&lt;&gt;64),"Hash deve ter 64 caracteres.","")))</f>
        <v/>
      </c>
      <c r="M149" s="5"/>
    </row>
    <row r="150" customFormat="false" ht="15" hidden="false" customHeight="false" outlineLevel="0" collapsed="false">
      <c r="A150" s="5"/>
      <c r="B150" s="25"/>
      <c r="C150" s="5"/>
      <c r="D150" s="5"/>
      <c r="E150" s="26"/>
      <c r="F150" s="26"/>
      <c r="G150" s="27"/>
      <c r="H150" s="14"/>
      <c r="I150" s="5"/>
      <c r="J150" s="5"/>
      <c r="K150" s="28" t="str">
        <f aca="false">IF(G150="","",COUNTIF('Linha do tempo'!$D:$D,G150))</f>
        <v/>
      </c>
      <c r="L150" s="19" t="str">
        <f aca="false">IF(AND(G150="",F150=""),"",TRIM(IF(AND(G150&lt;&gt;"",COUNTIF($G:$G,G150)&gt;1),"ID repetido. ","")&amp;IF(AND(F150&lt;&gt;"",LEN(TRIM(F150))&lt;&gt;64),"Hash deve ter 64 caracteres.","")))</f>
        <v/>
      </c>
      <c r="M150" s="5"/>
    </row>
    <row r="151" customFormat="false" ht="15" hidden="false" customHeight="false" outlineLevel="0" collapsed="false">
      <c r="A151" s="5"/>
      <c r="B151" s="25"/>
      <c r="C151" s="5"/>
      <c r="D151" s="5"/>
      <c r="E151" s="26"/>
      <c r="F151" s="26"/>
      <c r="G151" s="27"/>
      <c r="H151" s="14"/>
      <c r="I151" s="5"/>
      <c r="J151" s="5"/>
      <c r="K151" s="28" t="str">
        <f aca="false">IF(G151="","",COUNTIF('Linha do tempo'!$D:$D,G151))</f>
        <v/>
      </c>
      <c r="L151" s="19" t="str">
        <f aca="false">IF(AND(G151="",F151=""),"",TRIM(IF(AND(G151&lt;&gt;"",COUNTIF($G:$G,G151)&gt;1),"ID repetido. ","")&amp;IF(AND(F151&lt;&gt;"",LEN(TRIM(F151))&lt;&gt;64),"Hash deve ter 64 caracteres.","")))</f>
        <v/>
      </c>
      <c r="M151" s="5"/>
    </row>
    <row r="152" customFormat="false" ht="15" hidden="false" customHeight="false" outlineLevel="0" collapsed="false">
      <c r="A152" s="5"/>
      <c r="B152" s="25"/>
      <c r="C152" s="5"/>
      <c r="D152" s="5"/>
      <c r="E152" s="26"/>
      <c r="F152" s="26"/>
      <c r="G152" s="27"/>
      <c r="H152" s="14"/>
      <c r="I152" s="5"/>
      <c r="J152" s="5"/>
      <c r="K152" s="28" t="str">
        <f aca="false">IF(G152="","",COUNTIF('Linha do tempo'!$D:$D,G152))</f>
        <v/>
      </c>
      <c r="L152" s="19" t="str">
        <f aca="false">IF(AND(G152="",F152=""),"",TRIM(IF(AND(G152&lt;&gt;"",COUNTIF($G:$G,G152)&gt;1),"ID repetido. ","")&amp;IF(AND(F152&lt;&gt;"",LEN(TRIM(F152))&lt;&gt;64),"Hash deve ter 64 caracteres.","")))</f>
        <v/>
      </c>
      <c r="M152" s="5"/>
    </row>
    <row r="153" customFormat="false" ht="15" hidden="false" customHeight="false" outlineLevel="0" collapsed="false">
      <c r="A153" s="5"/>
      <c r="B153" s="25"/>
      <c r="C153" s="5"/>
      <c r="D153" s="5"/>
      <c r="E153" s="26"/>
      <c r="F153" s="26"/>
      <c r="G153" s="27"/>
      <c r="H153" s="14"/>
      <c r="I153" s="5"/>
      <c r="J153" s="5"/>
      <c r="K153" s="28" t="str">
        <f aca="false">IF(G153="","",COUNTIF('Linha do tempo'!$D:$D,G153))</f>
        <v/>
      </c>
      <c r="L153" s="19" t="str">
        <f aca="false">IF(AND(G153="",F153=""),"",TRIM(IF(AND(G153&lt;&gt;"",COUNTIF($G:$G,G153)&gt;1),"ID repetido. ","")&amp;IF(AND(F153&lt;&gt;"",LEN(TRIM(F153))&lt;&gt;64),"Hash deve ter 64 caracteres.","")))</f>
        <v/>
      </c>
      <c r="M153" s="5"/>
    </row>
    <row r="154" customFormat="false" ht="15" hidden="false" customHeight="false" outlineLevel="0" collapsed="false">
      <c r="A154" s="5"/>
      <c r="B154" s="25"/>
      <c r="C154" s="5"/>
      <c r="D154" s="5"/>
      <c r="E154" s="26"/>
      <c r="F154" s="26"/>
      <c r="G154" s="27"/>
      <c r="H154" s="14"/>
      <c r="I154" s="5"/>
      <c r="J154" s="5"/>
      <c r="K154" s="28" t="str">
        <f aca="false">IF(G154="","",COUNTIF('Linha do tempo'!$D:$D,G154))</f>
        <v/>
      </c>
      <c r="L154" s="19" t="str">
        <f aca="false">IF(AND(G154="",F154=""),"",TRIM(IF(AND(G154&lt;&gt;"",COUNTIF($G:$G,G154)&gt;1),"ID repetido. ","")&amp;IF(AND(F154&lt;&gt;"",LEN(TRIM(F154))&lt;&gt;64),"Hash deve ter 64 caracteres.","")))</f>
        <v/>
      </c>
      <c r="M154" s="5"/>
    </row>
    <row r="155" customFormat="false" ht="15" hidden="false" customHeight="false" outlineLevel="0" collapsed="false">
      <c r="A155" s="5"/>
      <c r="B155" s="25"/>
      <c r="C155" s="5"/>
      <c r="D155" s="5"/>
      <c r="E155" s="26"/>
      <c r="F155" s="26"/>
      <c r="G155" s="27"/>
      <c r="H155" s="14"/>
      <c r="I155" s="5"/>
      <c r="J155" s="5"/>
      <c r="K155" s="28" t="str">
        <f aca="false">IF(G155="","",COUNTIF('Linha do tempo'!$D:$D,G155))</f>
        <v/>
      </c>
      <c r="L155" s="19" t="str">
        <f aca="false">IF(AND(G155="",F155=""),"",TRIM(IF(AND(G155&lt;&gt;"",COUNTIF($G:$G,G155)&gt;1),"ID repetido. ","")&amp;IF(AND(F155&lt;&gt;"",LEN(TRIM(F155))&lt;&gt;64),"Hash deve ter 64 caracteres.","")))</f>
        <v/>
      </c>
      <c r="M155" s="5"/>
    </row>
    <row r="156" customFormat="false" ht="15" hidden="false" customHeight="false" outlineLevel="0" collapsed="false">
      <c r="A156" s="5"/>
      <c r="B156" s="25"/>
      <c r="C156" s="5"/>
      <c r="D156" s="5"/>
      <c r="E156" s="26"/>
      <c r="F156" s="26"/>
      <c r="G156" s="27"/>
      <c r="H156" s="14"/>
      <c r="I156" s="5"/>
      <c r="J156" s="5"/>
      <c r="K156" s="28" t="str">
        <f aca="false">IF(G156="","",COUNTIF('Linha do tempo'!$D:$D,G156))</f>
        <v/>
      </c>
      <c r="L156" s="19" t="str">
        <f aca="false">IF(AND(G156="",F156=""),"",TRIM(IF(AND(G156&lt;&gt;"",COUNTIF($G:$G,G156)&gt;1),"ID repetido. ","")&amp;IF(AND(F156&lt;&gt;"",LEN(TRIM(F156))&lt;&gt;64),"Hash deve ter 64 caracteres.","")))</f>
        <v/>
      </c>
      <c r="M156" s="5"/>
    </row>
    <row r="157" customFormat="false" ht="15" hidden="false" customHeight="false" outlineLevel="0" collapsed="false">
      <c r="A157" s="5"/>
      <c r="B157" s="25"/>
      <c r="C157" s="5"/>
      <c r="D157" s="5"/>
      <c r="E157" s="26"/>
      <c r="F157" s="26"/>
      <c r="G157" s="27"/>
      <c r="H157" s="14"/>
      <c r="I157" s="5"/>
      <c r="J157" s="5"/>
      <c r="K157" s="28" t="str">
        <f aca="false">IF(G157="","",COUNTIF('Linha do tempo'!$D:$D,G157))</f>
        <v/>
      </c>
      <c r="L157" s="19" t="str">
        <f aca="false">IF(AND(G157="",F157=""),"",TRIM(IF(AND(G157&lt;&gt;"",COUNTIF($G:$G,G157)&gt;1),"ID repetido. ","")&amp;IF(AND(F157&lt;&gt;"",LEN(TRIM(F157))&lt;&gt;64),"Hash deve ter 64 caracteres.","")))</f>
        <v/>
      </c>
      <c r="M157" s="5"/>
    </row>
    <row r="158" customFormat="false" ht="15" hidden="false" customHeight="false" outlineLevel="0" collapsed="false">
      <c r="A158" s="5"/>
      <c r="B158" s="25"/>
      <c r="C158" s="5"/>
      <c r="D158" s="5"/>
      <c r="E158" s="26"/>
      <c r="F158" s="26"/>
      <c r="G158" s="27"/>
      <c r="H158" s="14"/>
      <c r="I158" s="5"/>
      <c r="J158" s="5"/>
      <c r="K158" s="28" t="str">
        <f aca="false">IF(G158="","",COUNTIF('Linha do tempo'!$D:$D,G158))</f>
        <v/>
      </c>
      <c r="L158" s="19" t="str">
        <f aca="false">IF(AND(G158="",F158=""),"",TRIM(IF(AND(G158&lt;&gt;"",COUNTIF($G:$G,G158)&gt;1),"ID repetido. ","")&amp;IF(AND(F158&lt;&gt;"",LEN(TRIM(F158))&lt;&gt;64),"Hash deve ter 64 caracteres.","")))</f>
        <v/>
      </c>
      <c r="M158" s="5"/>
    </row>
    <row r="159" customFormat="false" ht="15" hidden="false" customHeight="false" outlineLevel="0" collapsed="false">
      <c r="A159" s="5"/>
      <c r="B159" s="25"/>
      <c r="C159" s="5"/>
      <c r="D159" s="5"/>
      <c r="E159" s="26"/>
      <c r="F159" s="26"/>
      <c r="G159" s="27"/>
      <c r="H159" s="14"/>
      <c r="I159" s="5"/>
      <c r="J159" s="5"/>
      <c r="K159" s="28" t="str">
        <f aca="false">IF(G159="","",COUNTIF('Linha do tempo'!$D:$D,G159))</f>
        <v/>
      </c>
      <c r="L159" s="19" t="str">
        <f aca="false">IF(AND(G159="",F159=""),"",TRIM(IF(AND(G159&lt;&gt;"",COUNTIF($G:$G,G159)&gt;1),"ID repetido. ","")&amp;IF(AND(F159&lt;&gt;"",LEN(TRIM(F159))&lt;&gt;64),"Hash deve ter 64 caracteres.","")))</f>
        <v/>
      </c>
      <c r="M159" s="5"/>
    </row>
    <row r="160" customFormat="false" ht="15" hidden="false" customHeight="false" outlineLevel="0" collapsed="false">
      <c r="A160" s="5"/>
      <c r="B160" s="25"/>
      <c r="C160" s="5"/>
      <c r="D160" s="5"/>
      <c r="E160" s="26"/>
      <c r="F160" s="26"/>
      <c r="G160" s="27"/>
      <c r="H160" s="14"/>
      <c r="I160" s="5"/>
      <c r="J160" s="5"/>
      <c r="K160" s="28" t="str">
        <f aca="false">IF(G160="","",COUNTIF('Linha do tempo'!$D:$D,G160))</f>
        <v/>
      </c>
      <c r="L160" s="19" t="str">
        <f aca="false">IF(AND(G160="",F160=""),"",TRIM(IF(AND(G160&lt;&gt;"",COUNTIF($G:$G,G160)&gt;1),"ID repetido. ","")&amp;IF(AND(F160&lt;&gt;"",LEN(TRIM(F160))&lt;&gt;64),"Hash deve ter 64 caracteres.","")))</f>
        <v/>
      </c>
      <c r="M160" s="5"/>
    </row>
    <row r="161" customFormat="false" ht="15" hidden="false" customHeight="false" outlineLevel="0" collapsed="false">
      <c r="A161" s="5"/>
      <c r="B161" s="25"/>
      <c r="C161" s="5"/>
      <c r="D161" s="5"/>
      <c r="E161" s="26"/>
      <c r="F161" s="26"/>
      <c r="G161" s="27"/>
      <c r="H161" s="14"/>
      <c r="I161" s="5"/>
      <c r="J161" s="5"/>
      <c r="K161" s="28" t="str">
        <f aca="false">IF(G161="","",COUNTIF('Linha do tempo'!$D:$D,G161))</f>
        <v/>
      </c>
      <c r="L161" s="19" t="str">
        <f aca="false">IF(AND(G161="",F161=""),"",TRIM(IF(AND(G161&lt;&gt;"",COUNTIF($G:$G,G161)&gt;1),"ID repetido. ","")&amp;IF(AND(F161&lt;&gt;"",LEN(TRIM(F161))&lt;&gt;64),"Hash deve ter 64 caracteres.","")))</f>
        <v/>
      </c>
      <c r="M161" s="5"/>
    </row>
    <row r="162" customFormat="false" ht="15" hidden="false" customHeight="false" outlineLevel="0" collapsed="false">
      <c r="A162" s="5"/>
      <c r="B162" s="25"/>
      <c r="C162" s="5"/>
      <c r="D162" s="5"/>
      <c r="E162" s="26"/>
      <c r="F162" s="26"/>
      <c r="G162" s="27"/>
      <c r="H162" s="14"/>
      <c r="I162" s="5"/>
      <c r="J162" s="5"/>
      <c r="K162" s="28" t="str">
        <f aca="false">IF(G162="","",COUNTIF('Linha do tempo'!$D:$D,G162))</f>
        <v/>
      </c>
      <c r="L162" s="19" t="str">
        <f aca="false">IF(AND(G162="",F162=""),"",TRIM(IF(AND(G162&lt;&gt;"",COUNTIF($G:$G,G162)&gt;1),"ID repetido. ","")&amp;IF(AND(F162&lt;&gt;"",LEN(TRIM(F162))&lt;&gt;64),"Hash deve ter 64 caracteres.","")))</f>
        <v/>
      </c>
      <c r="M162" s="5"/>
    </row>
    <row r="163" customFormat="false" ht="15" hidden="false" customHeight="false" outlineLevel="0" collapsed="false">
      <c r="A163" s="5"/>
      <c r="B163" s="25"/>
      <c r="C163" s="5"/>
      <c r="D163" s="5"/>
      <c r="E163" s="26"/>
      <c r="F163" s="26"/>
      <c r="G163" s="27"/>
      <c r="H163" s="14"/>
      <c r="I163" s="5"/>
      <c r="J163" s="5"/>
      <c r="K163" s="28" t="str">
        <f aca="false">IF(G163="","",COUNTIF('Linha do tempo'!$D:$D,G163))</f>
        <v/>
      </c>
      <c r="L163" s="19" t="str">
        <f aca="false">IF(AND(G163="",F163=""),"",TRIM(IF(AND(G163&lt;&gt;"",COUNTIF($G:$G,G163)&gt;1),"ID repetido. ","")&amp;IF(AND(F163&lt;&gt;"",LEN(TRIM(F163))&lt;&gt;64),"Hash deve ter 64 caracteres.","")))</f>
        <v/>
      </c>
      <c r="M163" s="5"/>
    </row>
    <row r="164" customFormat="false" ht="15" hidden="false" customHeight="false" outlineLevel="0" collapsed="false">
      <c r="A164" s="5"/>
      <c r="B164" s="25"/>
      <c r="C164" s="5"/>
      <c r="D164" s="5"/>
      <c r="E164" s="26"/>
      <c r="F164" s="26"/>
      <c r="G164" s="27"/>
      <c r="H164" s="14"/>
      <c r="I164" s="5"/>
      <c r="J164" s="5"/>
      <c r="K164" s="28" t="str">
        <f aca="false">IF(G164="","",COUNTIF('Linha do tempo'!$D:$D,G164))</f>
        <v/>
      </c>
      <c r="L164" s="19" t="str">
        <f aca="false">IF(AND(G164="",F164=""),"",TRIM(IF(AND(G164&lt;&gt;"",COUNTIF($G:$G,G164)&gt;1),"ID repetido. ","")&amp;IF(AND(F164&lt;&gt;"",LEN(TRIM(F164))&lt;&gt;64),"Hash deve ter 64 caracteres.","")))</f>
        <v/>
      </c>
      <c r="M164" s="5"/>
    </row>
    <row r="165" customFormat="false" ht="15" hidden="false" customHeight="false" outlineLevel="0" collapsed="false">
      <c r="A165" s="5"/>
      <c r="B165" s="25"/>
      <c r="C165" s="5"/>
      <c r="D165" s="5"/>
      <c r="E165" s="26"/>
      <c r="F165" s="26"/>
      <c r="G165" s="27"/>
      <c r="H165" s="14"/>
      <c r="I165" s="5"/>
      <c r="J165" s="5"/>
      <c r="K165" s="28" t="str">
        <f aca="false">IF(G165="","",COUNTIF('Linha do tempo'!$D:$D,G165))</f>
        <v/>
      </c>
      <c r="L165" s="19" t="str">
        <f aca="false">IF(AND(G165="",F165=""),"",TRIM(IF(AND(G165&lt;&gt;"",COUNTIF($G:$G,G165)&gt;1),"ID repetido. ","")&amp;IF(AND(F165&lt;&gt;"",LEN(TRIM(F165))&lt;&gt;64),"Hash deve ter 64 caracteres.","")))</f>
        <v/>
      </c>
      <c r="M165" s="5"/>
    </row>
    <row r="166" customFormat="false" ht="15" hidden="false" customHeight="false" outlineLevel="0" collapsed="false">
      <c r="A166" s="5"/>
      <c r="B166" s="25"/>
      <c r="C166" s="5"/>
      <c r="D166" s="5"/>
      <c r="E166" s="26"/>
      <c r="F166" s="26"/>
      <c r="G166" s="27"/>
      <c r="H166" s="14"/>
      <c r="I166" s="5"/>
      <c r="J166" s="5"/>
      <c r="K166" s="28" t="str">
        <f aca="false">IF(G166="","",COUNTIF('Linha do tempo'!$D:$D,G166))</f>
        <v/>
      </c>
      <c r="L166" s="19" t="str">
        <f aca="false">IF(AND(G166="",F166=""),"",TRIM(IF(AND(G166&lt;&gt;"",COUNTIF($G:$G,G166)&gt;1),"ID repetido. ","")&amp;IF(AND(F166&lt;&gt;"",LEN(TRIM(F166))&lt;&gt;64),"Hash deve ter 64 caracteres.","")))</f>
        <v/>
      </c>
      <c r="M166" s="5"/>
    </row>
    <row r="167" customFormat="false" ht="15" hidden="false" customHeight="false" outlineLevel="0" collapsed="false">
      <c r="A167" s="5"/>
      <c r="B167" s="25"/>
      <c r="C167" s="5"/>
      <c r="D167" s="5"/>
      <c r="E167" s="26"/>
      <c r="F167" s="26"/>
      <c r="G167" s="27"/>
      <c r="H167" s="14"/>
      <c r="I167" s="5"/>
      <c r="J167" s="5"/>
      <c r="K167" s="28" t="str">
        <f aca="false">IF(G167="","",COUNTIF('Linha do tempo'!$D:$D,G167))</f>
        <v/>
      </c>
      <c r="L167" s="19" t="str">
        <f aca="false">IF(AND(G167="",F167=""),"",TRIM(IF(AND(G167&lt;&gt;"",COUNTIF($G:$G,G167)&gt;1),"ID repetido. ","")&amp;IF(AND(F167&lt;&gt;"",LEN(TRIM(F167))&lt;&gt;64),"Hash deve ter 64 caracteres.","")))</f>
        <v/>
      </c>
      <c r="M167" s="5"/>
    </row>
    <row r="168" customFormat="false" ht="15" hidden="false" customHeight="false" outlineLevel="0" collapsed="false">
      <c r="A168" s="5"/>
      <c r="B168" s="25"/>
      <c r="C168" s="5"/>
      <c r="D168" s="5"/>
      <c r="E168" s="26"/>
      <c r="F168" s="26"/>
      <c r="G168" s="27"/>
      <c r="H168" s="14"/>
      <c r="I168" s="5"/>
      <c r="J168" s="5"/>
      <c r="K168" s="28" t="str">
        <f aca="false">IF(G168="","",COUNTIF('Linha do tempo'!$D:$D,G168))</f>
        <v/>
      </c>
      <c r="L168" s="19" t="str">
        <f aca="false">IF(AND(G168="",F168=""),"",TRIM(IF(AND(G168&lt;&gt;"",COUNTIF($G:$G,G168)&gt;1),"ID repetido. ","")&amp;IF(AND(F168&lt;&gt;"",LEN(TRIM(F168))&lt;&gt;64),"Hash deve ter 64 caracteres.","")))</f>
        <v/>
      </c>
      <c r="M168" s="5"/>
    </row>
    <row r="169" customFormat="false" ht="15" hidden="false" customHeight="false" outlineLevel="0" collapsed="false">
      <c r="A169" s="5"/>
      <c r="B169" s="25"/>
      <c r="C169" s="5"/>
      <c r="D169" s="5"/>
      <c r="E169" s="26"/>
      <c r="F169" s="26"/>
      <c r="G169" s="27"/>
      <c r="H169" s="14"/>
      <c r="I169" s="5"/>
      <c r="J169" s="5"/>
      <c r="K169" s="28" t="str">
        <f aca="false">IF(G169="","",COUNTIF('Linha do tempo'!$D:$D,G169))</f>
        <v/>
      </c>
      <c r="L169" s="19" t="str">
        <f aca="false">IF(AND(G169="",F169=""),"",TRIM(IF(AND(G169&lt;&gt;"",COUNTIF($G:$G,G169)&gt;1),"ID repetido. ","")&amp;IF(AND(F169&lt;&gt;"",LEN(TRIM(F169))&lt;&gt;64),"Hash deve ter 64 caracteres.","")))</f>
        <v/>
      </c>
      <c r="M169" s="5"/>
    </row>
    <row r="170" customFormat="false" ht="15" hidden="false" customHeight="false" outlineLevel="0" collapsed="false">
      <c r="A170" s="5"/>
      <c r="B170" s="25"/>
      <c r="C170" s="5"/>
      <c r="D170" s="5"/>
      <c r="E170" s="26"/>
      <c r="F170" s="26"/>
      <c r="G170" s="27"/>
      <c r="H170" s="14"/>
      <c r="I170" s="5"/>
      <c r="J170" s="5"/>
      <c r="K170" s="28" t="str">
        <f aca="false">IF(G170="","",COUNTIF('Linha do tempo'!$D:$D,G170))</f>
        <v/>
      </c>
      <c r="L170" s="19" t="str">
        <f aca="false">IF(AND(G170="",F170=""),"",TRIM(IF(AND(G170&lt;&gt;"",COUNTIF($G:$G,G170)&gt;1),"ID repetido. ","")&amp;IF(AND(F170&lt;&gt;"",LEN(TRIM(F170))&lt;&gt;64),"Hash deve ter 64 caracteres.","")))</f>
        <v/>
      </c>
      <c r="M170" s="5"/>
    </row>
    <row r="171" customFormat="false" ht="15" hidden="false" customHeight="false" outlineLevel="0" collapsed="false">
      <c r="A171" s="5"/>
      <c r="B171" s="25"/>
      <c r="C171" s="5"/>
      <c r="D171" s="5"/>
      <c r="E171" s="26"/>
      <c r="F171" s="26"/>
      <c r="G171" s="27"/>
      <c r="H171" s="14"/>
      <c r="I171" s="5"/>
      <c r="J171" s="5"/>
      <c r="K171" s="28" t="str">
        <f aca="false">IF(G171="","",COUNTIF('Linha do tempo'!$D:$D,G171))</f>
        <v/>
      </c>
      <c r="L171" s="19" t="str">
        <f aca="false">IF(AND(G171="",F171=""),"",TRIM(IF(AND(G171&lt;&gt;"",COUNTIF($G:$G,G171)&gt;1),"ID repetido. ","")&amp;IF(AND(F171&lt;&gt;"",LEN(TRIM(F171))&lt;&gt;64),"Hash deve ter 64 caracteres.","")))</f>
        <v/>
      </c>
      <c r="M171" s="5"/>
    </row>
    <row r="172" customFormat="false" ht="15" hidden="false" customHeight="false" outlineLevel="0" collapsed="false">
      <c r="A172" s="5"/>
      <c r="B172" s="25"/>
      <c r="C172" s="5"/>
      <c r="D172" s="5"/>
      <c r="E172" s="26"/>
      <c r="F172" s="26"/>
      <c r="G172" s="27"/>
      <c r="H172" s="14"/>
      <c r="I172" s="5"/>
      <c r="J172" s="5"/>
      <c r="K172" s="28" t="str">
        <f aca="false">IF(G172="","",COUNTIF('Linha do tempo'!$D:$D,G172))</f>
        <v/>
      </c>
      <c r="L172" s="19" t="str">
        <f aca="false">IF(AND(G172="",F172=""),"",TRIM(IF(AND(G172&lt;&gt;"",COUNTIF($G:$G,G172)&gt;1),"ID repetido. ","")&amp;IF(AND(F172&lt;&gt;"",LEN(TRIM(F172))&lt;&gt;64),"Hash deve ter 64 caracteres.","")))</f>
        <v/>
      </c>
      <c r="M172" s="5"/>
    </row>
    <row r="173" customFormat="false" ht="15" hidden="false" customHeight="false" outlineLevel="0" collapsed="false">
      <c r="A173" s="5"/>
      <c r="B173" s="25"/>
      <c r="C173" s="5"/>
      <c r="D173" s="5"/>
      <c r="E173" s="26"/>
      <c r="F173" s="26"/>
      <c r="G173" s="27"/>
      <c r="H173" s="14"/>
      <c r="I173" s="5"/>
      <c r="J173" s="5"/>
      <c r="K173" s="28" t="str">
        <f aca="false">IF(G173="","",COUNTIF('Linha do tempo'!$D:$D,G173))</f>
        <v/>
      </c>
      <c r="L173" s="19" t="str">
        <f aca="false">IF(AND(G173="",F173=""),"",TRIM(IF(AND(G173&lt;&gt;"",COUNTIF($G:$G,G173)&gt;1),"ID repetido. ","")&amp;IF(AND(F173&lt;&gt;"",LEN(TRIM(F173))&lt;&gt;64),"Hash deve ter 64 caracteres.","")))</f>
        <v/>
      </c>
      <c r="M173" s="5"/>
    </row>
    <row r="174" customFormat="false" ht="15" hidden="false" customHeight="false" outlineLevel="0" collapsed="false">
      <c r="A174" s="5"/>
      <c r="B174" s="25"/>
      <c r="C174" s="5"/>
      <c r="D174" s="5"/>
      <c r="E174" s="26"/>
      <c r="F174" s="26"/>
      <c r="G174" s="27"/>
      <c r="H174" s="14"/>
      <c r="I174" s="5"/>
      <c r="J174" s="5"/>
      <c r="K174" s="28" t="str">
        <f aca="false">IF(G174="","",COUNTIF('Linha do tempo'!$D:$D,G174))</f>
        <v/>
      </c>
      <c r="L174" s="19" t="str">
        <f aca="false">IF(AND(G174="",F174=""),"",TRIM(IF(AND(G174&lt;&gt;"",COUNTIF($G:$G,G174)&gt;1),"ID repetido. ","")&amp;IF(AND(F174&lt;&gt;"",LEN(TRIM(F174))&lt;&gt;64),"Hash deve ter 64 caracteres.","")))</f>
        <v/>
      </c>
      <c r="M174" s="5"/>
    </row>
    <row r="175" customFormat="false" ht="15" hidden="false" customHeight="false" outlineLevel="0" collapsed="false">
      <c r="A175" s="5"/>
      <c r="B175" s="25"/>
      <c r="C175" s="5"/>
      <c r="D175" s="5"/>
      <c r="E175" s="26"/>
      <c r="F175" s="26"/>
      <c r="G175" s="27"/>
      <c r="H175" s="14"/>
      <c r="I175" s="5"/>
      <c r="J175" s="5"/>
      <c r="K175" s="28" t="str">
        <f aca="false">IF(G175="","",COUNTIF('Linha do tempo'!$D:$D,G175))</f>
        <v/>
      </c>
      <c r="L175" s="19" t="str">
        <f aca="false">IF(AND(G175="",F175=""),"",TRIM(IF(AND(G175&lt;&gt;"",COUNTIF($G:$G,G175)&gt;1),"ID repetido. ","")&amp;IF(AND(F175&lt;&gt;"",LEN(TRIM(F175))&lt;&gt;64),"Hash deve ter 64 caracteres.","")))</f>
        <v/>
      </c>
      <c r="M175" s="5"/>
    </row>
    <row r="176" customFormat="false" ht="15" hidden="false" customHeight="false" outlineLevel="0" collapsed="false">
      <c r="A176" s="5"/>
      <c r="B176" s="25"/>
      <c r="C176" s="5"/>
      <c r="D176" s="5"/>
      <c r="E176" s="26"/>
      <c r="F176" s="26"/>
      <c r="G176" s="27"/>
      <c r="H176" s="14"/>
      <c r="I176" s="5"/>
      <c r="J176" s="5"/>
      <c r="K176" s="28" t="str">
        <f aca="false">IF(G176="","",COUNTIF('Linha do tempo'!$D:$D,G176))</f>
        <v/>
      </c>
      <c r="L176" s="19" t="str">
        <f aca="false">IF(AND(G176="",F176=""),"",TRIM(IF(AND(G176&lt;&gt;"",COUNTIF($G:$G,G176)&gt;1),"ID repetido. ","")&amp;IF(AND(F176&lt;&gt;"",LEN(TRIM(F176))&lt;&gt;64),"Hash deve ter 64 caracteres.","")))</f>
        <v/>
      </c>
      <c r="M176" s="5"/>
    </row>
    <row r="177" customFormat="false" ht="15" hidden="false" customHeight="false" outlineLevel="0" collapsed="false">
      <c r="A177" s="5"/>
      <c r="B177" s="25"/>
      <c r="C177" s="5"/>
      <c r="D177" s="5"/>
      <c r="E177" s="26"/>
      <c r="F177" s="26"/>
      <c r="G177" s="27"/>
      <c r="H177" s="14"/>
      <c r="I177" s="5"/>
      <c r="J177" s="5"/>
      <c r="K177" s="28" t="str">
        <f aca="false">IF(G177="","",COUNTIF('Linha do tempo'!$D:$D,G177))</f>
        <v/>
      </c>
      <c r="L177" s="19" t="str">
        <f aca="false">IF(AND(G177="",F177=""),"",TRIM(IF(AND(G177&lt;&gt;"",COUNTIF($G:$G,G177)&gt;1),"ID repetido. ","")&amp;IF(AND(F177&lt;&gt;"",LEN(TRIM(F177))&lt;&gt;64),"Hash deve ter 64 caracteres.","")))</f>
        <v/>
      </c>
      <c r="M177" s="5"/>
    </row>
    <row r="178" customFormat="false" ht="15" hidden="false" customHeight="false" outlineLevel="0" collapsed="false">
      <c r="A178" s="5"/>
      <c r="B178" s="25"/>
      <c r="C178" s="5"/>
      <c r="D178" s="5"/>
      <c r="E178" s="26"/>
      <c r="F178" s="26"/>
      <c r="G178" s="27"/>
      <c r="H178" s="14"/>
      <c r="I178" s="5"/>
      <c r="J178" s="5"/>
      <c r="K178" s="28" t="str">
        <f aca="false">IF(G178="","",COUNTIF('Linha do tempo'!$D:$D,G178))</f>
        <v/>
      </c>
      <c r="L178" s="19" t="str">
        <f aca="false">IF(AND(G178="",F178=""),"",TRIM(IF(AND(G178&lt;&gt;"",COUNTIF($G:$G,G178)&gt;1),"ID repetido. ","")&amp;IF(AND(F178&lt;&gt;"",LEN(TRIM(F178))&lt;&gt;64),"Hash deve ter 64 caracteres.","")))</f>
        <v/>
      </c>
      <c r="M178" s="5"/>
    </row>
    <row r="179" customFormat="false" ht="15" hidden="false" customHeight="false" outlineLevel="0" collapsed="false">
      <c r="A179" s="5"/>
      <c r="B179" s="25"/>
      <c r="C179" s="5"/>
      <c r="D179" s="5"/>
      <c r="E179" s="26"/>
      <c r="F179" s="26"/>
      <c r="G179" s="27"/>
      <c r="H179" s="14"/>
      <c r="I179" s="5"/>
      <c r="J179" s="5"/>
      <c r="K179" s="28" t="str">
        <f aca="false">IF(G179="","",COUNTIF('Linha do tempo'!$D:$D,G179))</f>
        <v/>
      </c>
      <c r="L179" s="19" t="str">
        <f aca="false">IF(AND(G179="",F179=""),"",TRIM(IF(AND(G179&lt;&gt;"",COUNTIF($G:$G,G179)&gt;1),"ID repetido. ","")&amp;IF(AND(F179&lt;&gt;"",LEN(TRIM(F179))&lt;&gt;64),"Hash deve ter 64 caracteres.","")))</f>
        <v/>
      </c>
      <c r="M179" s="5"/>
    </row>
    <row r="180" customFormat="false" ht="15" hidden="false" customHeight="false" outlineLevel="0" collapsed="false">
      <c r="A180" s="5"/>
      <c r="B180" s="25"/>
      <c r="C180" s="5"/>
      <c r="D180" s="5"/>
      <c r="E180" s="26"/>
      <c r="F180" s="26"/>
      <c r="G180" s="27"/>
      <c r="H180" s="14"/>
      <c r="I180" s="5"/>
      <c r="J180" s="5"/>
      <c r="K180" s="28" t="str">
        <f aca="false">IF(G180="","",COUNTIF('Linha do tempo'!$D:$D,G180))</f>
        <v/>
      </c>
      <c r="L180" s="19" t="str">
        <f aca="false">IF(AND(G180="",F180=""),"",TRIM(IF(AND(G180&lt;&gt;"",COUNTIF($G:$G,G180)&gt;1),"ID repetido. ","")&amp;IF(AND(F180&lt;&gt;"",LEN(TRIM(F180))&lt;&gt;64),"Hash deve ter 64 caracteres.","")))</f>
        <v/>
      </c>
      <c r="M180" s="5"/>
    </row>
    <row r="181" customFormat="false" ht="15" hidden="false" customHeight="false" outlineLevel="0" collapsed="false">
      <c r="A181" s="5"/>
      <c r="B181" s="25"/>
      <c r="C181" s="5"/>
      <c r="D181" s="5"/>
      <c r="E181" s="26"/>
      <c r="F181" s="26"/>
      <c r="G181" s="27"/>
      <c r="H181" s="14"/>
      <c r="I181" s="5"/>
      <c r="J181" s="5"/>
      <c r="K181" s="28" t="str">
        <f aca="false">IF(G181="","",COUNTIF('Linha do tempo'!$D:$D,G181))</f>
        <v/>
      </c>
      <c r="L181" s="19" t="str">
        <f aca="false">IF(AND(G181="",F181=""),"",TRIM(IF(AND(G181&lt;&gt;"",COUNTIF($G:$G,G181)&gt;1),"ID repetido. ","")&amp;IF(AND(F181&lt;&gt;"",LEN(TRIM(F181))&lt;&gt;64),"Hash deve ter 64 caracteres.","")))</f>
        <v/>
      </c>
      <c r="M181" s="5"/>
    </row>
    <row r="182" customFormat="false" ht="15" hidden="false" customHeight="false" outlineLevel="0" collapsed="false">
      <c r="A182" s="5"/>
      <c r="B182" s="25"/>
      <c r="C182" s="5"/>
      <c r="D182" s="5"/>
      <c r="E182" s="26"/>
      <c r="F182" s="26"/>
      <c r="G182" s="27"/>
      <c r="H182" s="14"/>
      <c r="I182" s="5"/>
      <c r="J182" s="5"/>
      <c r="K182" s="28" t="str">
        <f aca="false">IF(G182="","",COUNTIF('Linha do tempo'!$D:$D,G182))</f>
        <v/>
      </c>
      <c r="L182" s="19" t="str">
        <f aca="false">IF(AND(G182="",F182=""),"",TRIM(IF(AND(G182&lt;&gt;"",COUNTIF($G:$G,G182)&gt;1),"ID repetido. ","")&amp;IF(AND(F182&lt;&gt;"",LEN(TRIM(F182))&lt;&gt;64),"Hash deve ter 64 caracteres.","")))</f>
        <v/>
      </c>
      <c r="M182" s="5"/>
    </row>
    <row r="183" customFormat="false" ht="15" hidden="false" customHeight="false" outlineLevel="0" collapsed="false">
      <c r="A183" s="5"/>
      <c r="B183" s="25"/>
      <c r="C183" s="5"/>
      <c r="D183" s="5"/>
      <c r="E183" s="26"/>
      <c r="F183" s="26"/>
      <c r="G183" s="27"/>
      <c r="H183" s="14"/>
      <c r="I183" s="5"/>
      <c r="J183" s="5"/>
      <c r="K183" s="28" t="str">
        <f aca="false">IF(G183="","",COUNTIF('Linha do tempo'!$D:$D,G183))</f>
        <v/>
      </c>
      <c r="L183" s="19" t="str">
        <f aca="false">IF(AND(G183="",F183=""),"",TRIM(IF(AND(G183&lt;&gt;"",COUNTIF($G:$G,G183)&gt;1),"ID repetido. ","")&amp;IF(AND(F183&lt;&gt;"",LEN(TRIM(F183))&lt;&gt;64),"Hash deve ter 64 caracteres.","")))</f>
        <v/>
      </c>
      <c r="M183" s="5"/>
    </row>
    <row r="184" customFormat="false" ht="15" hidden="false" customHeight="false" outlineLevel="0" collapsed="false">
      <c r="A184" s="5"/>
      <c r="B184" s="25"/>
      <c r="C184" s="5"/>
      <c r="D184" s="5"/>
      <c r="E184" s="26"/>
      <c r="F184" s="26"/>
      <c r="G184" s="27"/>
      <c r="H184" s="14"/>
      <c r="I184" s="5"/>
      <c r="J184" s="5"/>
      <c r="K184" s="28" t="str">
        <f aca="false">IF(G184="","",COUNTIF('Linha do tempo'!$D:$D,G184))</f>
        <v/>
      </c>
      <c r="L184" s="19" t="str">
        <f aca="false">IF(AND(G184="",F184=""),"",TRIM(IF(AND(G184&lt;&gt;"",COUNTIF($G:$G,G184)&gt;1),"ID repetido. ","")&amp;IF(AND(F184&lt;&gt;"",LEN(TRIM(F184))&lt;&gt;64),"Hash deve ter 64 caracteres.","")))</f>
        <v/>
      </c>
      <c r="M184" s="5"/>
    </row>
    <row r="185" customFormat="false" ht="15" hidden="false" customHeight="false" outlineLevel="0" collapsed="false">
      <c r="A185" s="5"/>
      <c r="B185" s="25"/>
      <c r="C185" s="5"/>
      <c r="D185" s="5"/>
      <c r="E185" s="26"/>
      <c r="F185" s="26"/>
      <c r="G185" s="27"/>
      <c r="H185" s="14"/>
      <c r="I185" s="5"/>
      <c r="J185" s="5"/>
      <c r="K185" s="28" t="str">
        <f aca="false">IF(G185="","",COUNTIF('Linha do tempo'!$D:$D,G185))</f>
        <v/>
      </c>
      <c r="L185" s="19" t="str">
        <f aca="false">IF(AND(G185="",F185=""),"",TRIM(IF(AND(G185&lt;&gt;"",COUNTIF($G:$G,G185)&gt;1),"ID repetido. ","")&amp;IF(AND(F185&lt;&gt;"",LEN(TRIM(F185))&lt;&gt;64),"Hash deve ter 64 caracteres.","")))</f>
        <v/>
      </c>
      <c r="M185" s="5"/>
    </row>
    <row r="186" customFormat="false" ht="15" hidden="false" customHeight="false" outlineLevel="0" collapsed="false">
      <c r="A186" s="5"/>
      <c r="B186" s="25"/>
      <c r="C186" s="5"/>
      <c r="D186" s="5"/>
      <c r="E186" s="26"/>
      <c r="F186" s="26"/>
      <c r="G186" s="27"/>
      <c r="H186" s="14"/>
      <c r="I186" s="5"/>
      <c r="J186" s="5"/>
      <c r="K186" s="28" t="str">
        <f aca="false">IF(G186="","",COUNTIF('Linha do tempo'!$D:$D,G186))</f>
        <v/>
      </c>
      <c r="L186" s="19" t="str">
        <f aca="false">IF(AND(G186="",F186=""),"",TRIM(IF(AND(G186&lt;&gt;"",COUNTIF($G:$G,G186)&gt;1),"ID repetido. ","")&amp;IF(AND(F186&lt;&gt;"",LEN(TRIM(F186))&lt;&gt;64),"Hash deve ter 64 caracteres.","")))</f>
        <v/>
      </c>
      <c r="M186" s="5"/>
    </row>
    <row r="187" customFormat="false" ht="15" hidden="false" customHeight="false" outlineLevel="0" collapsed="false">
      <c r="A187" s="5"/>
      <c r="B187" s="25"/>
      <c r="C187" s="5"/>
      <c r="D187" s="5"/>
      <c r="E187" s="26"/>
      <c r="F187" s="26"/>
      <c r="G187" s="27"/>
      <c r="H187" s="14"/>
      <c r="I187" s="5"/>
      <c r="J187" s="5"/>
      <c r="K187" s="28" t="str">
        <f aca="false">IF(G187="","",COUNTIF('Linha do tempo'!$D:$D,G187))</f>
        <v/>
      </c>
      <c r="L187" s="19" t="str">
        <f aca="false">IF(AND(G187="",F187=""),"",TRIM(IF(AND(G187&lt;&gt;"",COUNTIF($G:$G,G187)&gt;1),"ID repetido. ","")&amp;IF(AND(F187&lt;&gt;"",LEN(TRIM(F187))&lt;&gt;64),"Hash deve ter 64 caracteres.","")))</f>
        <v/>
      </c>
      <c r="M187" s="5"/>
    </row>
    <row r="188" customFormat="false" ht="15" hidden="false" customHeight="false" outlineLevel="0" collapsed="false">
      <c r="A188" s="5"/>
      <c r="B188" s="25"/>
      <c r="C188" s="5"/>
      <c r="D188" s="5"/>
      <c r="E188" s="26"/>
      <c r="F188" s="26"/>
      <c r="G188" s="27"/>
      <c r="H188" s="14"/>
      <c r="I188" s="5"/>
      <c r="J188" s="5"/>
      <c r="K188" s="28" t="str">
        <f aca="false">IF(G188="","",COUNTIF('Linha do tempo'!$D:$D,G188))</f>
        <v/>
      </c>
      <c r="L188" s="19" t="str">
        <f aca="false">IF(AND(G188="",F188=""),"",TRIM(IF(AND(G188&lt;&gt;"",COUNTIF($G:$G,G188)&gt;1),"ID repetido. ","")&amp;IF(AND(F188&lt;&gt;"",LEN(TRIM(F188))&lt;&gt;64),"Hash deve ter 64 caracteres.","")))</f>
        <v/>
      </c>
      <c r="M188" s="5"/>
    </row>
    <row r="189" customFormat="false" ht="15" hidden="false" customHeight="false" outlineLevel="0" collapsed="false">
      <c r="A189" s="5"/>
      <c r="B189" s="25"/>
      <c r="C189" s="5"/>
      <c r="D189" s="5"/>
      <c r="E189" s="26"/>
      <c r="F189" s="26"/>
      <c r="G189" s="27"/>
      <c r="H189" s="14"/>
      <c r="I189" s="5"/>
      <c r="J189" s="5"/>
      <c r="K189" s="28" t="str">
        <f aca="false">IF(G189="","",COUNTIF('Linha do tempo'!$D:$D,G189))</f>
        <v/>
      </c>
      <c r="L189" s="19" t="str">
        <f aca="false">IF(AND(G189="",F189=""),"",TRIM(IF(AND(G189&lt;&gt;"",COUNTIF($G:$G,G189)&gt;1),"ID repetido. ","")&amp;IF(AND(F189&lt;&gt;"",LEN(TRIM(F189))&lt;&gt;64),"Hash deve ter 64 caracteres.","")))</f>
        <v/>
      </c>
      <c r="M189" s="5"/>
    </row>
    <row r="190" customFormat="false" ht="15" hidden="false" customHeight="false" outlineLevel="0" collapsed="false">
      <c r="A190" s="5"/>
      <c r="B190" s="25"/>
      <c r="C190" s="5"/>
      <c r="D190" s="5"/>
      <c r="E190" s="26"/>
      <c r="F190" s="26"/>
      <c r="G190" s="27"/>
      <c r="H190" s="14"/>
      <c r="I190" s="5"/>
      <c r="J190" s="5"/>
      <c r="K190" s="28" t="str">
        <f aca="false">IF(G190="","",COUNTIF('Linha do tempo'!$D:$D,G190))</f>
        <v/>
      </c>
      <c r="L190" s="19" t="str">
        <f aca="false">IF(AND(G190="",F190=""),"",TRIM(IF(AND(G190&lt;&gt;"",COUNTIF($G:$G,G190)&gt;1),"ID repetido. ","")&amp;IF(AND(F190&lt;&gt;"",LEN(TRIM(F190))&lt;&gt;64),"Hash deve ter 64 caracteres.","")))</f>
        <v/>
      </c>
      <c r="M190" s="5"/>
    </row>
    <row r="191" customFormat="false" ht="15" hidden="false" customHeight="false" outlineLevel="0" collapsed="false">
      <c r="A191" s="5"/>
      <c r="B191" s="25"/>
      <c r="C191" s="5"/>
      <c r="D191" s="5"/>
      <c r="E191" s="26"/>
      <c r="F191" s="26"/>
      <c r="G191" s="27"/>
      <c r="H191" s="14"/>
      <c r="I191" s="5"/>
      <c r="J191" s="5"/>
      <c r="K191" s="28" t="str">
        <f aca="false">IF(G191="","",COUNTIF('Linha do tempo'!$D:$D,G191))</f>
        <v/>
      </c>
      <c r="L191" s="19" t="str">
        <f aca="false">IF(AND(G191="",F191=""),"",TRIM(IF(AND(G191&lt;&gt;"",COUNTIF($G:$G,G191)&gt;1),"ID repetido. ","")&amp;IF(AND(F191&lt;&gt;"",LEN(TRIM(F191))&lt;&gt;64),"Hash deve ter 64 caracteres.","")))</f>
        <v/>
      </c>
      <c r="M191" s="5"/>
    </row>
    <row r="192" customFormat="false" ht="15" hidden="false" customHeight="false" outlineLevel="0" collapsed="false">
      <c r="A192" s="5"/>
      <c r="B192" s="25"/>
      <c r="C192" s="5"/>
      <c r="D192" s="5"/>
      <c r="E192" s="26"/>
      <c r="F192" s="26"/>
      <c r="G192" s="27"/>
      <c r="H192" s="14"/>
      <c r="I192" s="5"/>
      <c r="J192" s="5"/>
      <c r="K192" s="28" t="str">
        <f aca="false">IF(G192="","",COUNTIF('Linha do tempo'!$D:$D,G192))</f>
        <v/>
      </c>
      <c r="L192" s="19" t="str">
        <f aca="false">IF(AND(G192="",F192=""),"",TRIM(IF(AND(G192&lt;&gt;"",COUNTIF($G:$G,G192)&gt;1),"ID repetido. ","")&amp;IF(AND(F192&lt;&gt;"",LEN(TRIM(F192))&lt;&gt;64),"Hash deve ter 64 caracteres.","")))</f>
        <v/>
      </c>
      <c r="M192" s="5"/>
    </row>
    <row r="193" customFormat="false" ht="15" hidden="false" customHeight="false" outlineLevel="0" collapsed="false">
      <c r="A193" s="5"/>
      <c r="B193" s="25"/>
      <c r="C193" s="5"/>
      <c r="D193" s="5"/>
      <c r="E193" s="26"/>
      <c r="F193" s="26"/>
      <c r="G193" s="27"/>
      <c r="H193" s="14"/>
      <c r="I193" s="5"/>
      <c r="J193" s="5"/>
      <c r="K193" s="28" t="str">
        <f aca="false">IF(G193="","",COUNTIF('Linha do tempo'!$D:$D,G193))</f>
        <v/>
      </c>
      <c r="L193" s="19" t="str">
        <f aca="false">IF(AND(G193="",F193=""),"",TRIM(IF(AND(G193&lt;&gt;"",COUNTIF($G:$G,G193)&gt;1),"ID repetido. ","")&amp;IF(AND(F193&lt;&gt;"",LEN(TRIM(F193))&lt;&gt;64),"Hash deve ter 64 caracteres.","")))</f>
        <v/>
      </c>
      <c r="M193" s="5"/>
    </row>
    <row r="194" customFormat="false" ht="15" hidden="false" customHeight="false" outlineLevel="0" collapsed="false">
      <c r="A194" s="5"/>
      <c r="B194" s="25"/>
      <c r="C194" s="5"/>
      <c r="D194" s="5"/>
      <c r="E194" s="26"/>
      <c r="F194" s="26"/>
      <c r="G194" s="27"/>
      <c r="H194" s="14"/>
      <c r="I194" s="5"/>
      <c r="J194" s="5"/>
      <c r="K194" s="28" t="str">
        <f aca="false">IF(G194="","",COUNTIF('Linha do tempo'!$D:$D,G194))</f>
        <v/>
      </c>
      <c r="L194" s="19" t="str">
        <f aca="false">IF(AND(G194="",F194=""),"",TRIM(IF(AND(G194&lt;&gt;"",COUNTIF($G:$G,G194)&gt;1),"ID repetido. ","")&amp;IF(AND(F194&lt;&gt;"",LEN(TRIM(F194))&lt;&gt;64),"Hash deve ter 64 caracteres.","")))</f>
        <v/>
      </c>
      <c r="M194" s="5"/>
    </row>
    <row r="195" customFormat="false" ht="15" hidden="false" customHeight="false" outlineLevel="0" collapsed="false">
      <c r="A195" s="5"/>
      <c r="B195" s="25"/>
      <c r="C195" s="5"/>
      <c r="D195" s="5"/>
      <c r="E195" s="26"/>
      <c r="F195" s="26"/>
      <c r="G195" s="27"/>
      <c r="H195" s="14"/>
      <c r="I195" s="5"/>
      <c r="J195" s="5"/>
      <c r="K195" s="28" t="str">
        <f aca="false">IF(G195="","",COUNTIF('Linha do tempo'!$D:$D,G195))</f>
        <v/>
      </c>
      <c r="L195" s="19" t="str">
        <f aca="false">IF(AND(G195="",F195=""),"",TRIM(IF(AND(G195&lt;&gt;"",COUNTIF($G:$G,G195)&gt;1),"ID repetido. ","")&amp;IF(AND(F195&lt;&gt;"",LEN(TRIM(F195))&lt;&gt;64),"Hash deve ter 64 caracteres.","")))</f>
        <v/>
      </c>
      <c r="M195" s="5"/>
    </row>
    <row r="196" customFormat="false" ht="15" hidden="false" customHeight="false" outlineLevel="0" collapsed="false">
      <c r="A196" s="5"/>
      <c r="B196" s="25"/>
      <c r="C196" s="5"/>
      <c r="D196" s="5"/>
      <c r="E196" s="26"/>
      <c r="F196" s="26"/>
      <c r="G196" s="27"/>
      <c r="H196" s="14"/>
      <c r="I196" s="5"/>
      <c r="J196" s="5"/>
      <c r="K196" s="28" t="str">
        <f aca="false">IF(G196="","",COUNTIF('Linha do tempo'!$D:$D,G196))</f>
        <v/>
      </c>
      <c r="L196" s="19" t="str">
        <f aca="false">IF(AND(G196="",F196=""),"",TRIM(IF(AND(G196&lt;&gt;"",COUNTIF($G:$G,G196)&gt;1),"ID repetido. ","")&amp;IF(AND(F196&lt;&gt;"",LEN(TRIM(F196))&lt;&gt;64),"Hash deve ter 64 caracteres.","")))</f>
        <v/>
      </c>
      <c r="M196" s="5"/>
    </row>
    <row r="197" customFormat="false" ht="15" hidden="false" customHeight="false" outlineLevel="0" collapsed="false">
      <c r="A197" s="5"/>
      <c r="B197" s="25"/>
      <c r="C197" s="5"/>
      <c r="D197" s="5"/>
      <c r="E197" s="26"/>
      <c r="F197" s="26"/>
      <c r="G197" s="27"/>
      <c r="H197" s="14"/>
      <c r="I197" s="5"/>
      <c r="J197" s="5"/>
      <c r="K197" s="28" t="str">
        <f aca="false">IF(G197="","",COUNTIF('Linha do tempo'!$D:$D,G197))</f>
        <v/>
      </c>
      <c r="L197" s="19" t="str">
        <f aca="false">IF(AND(G197="",F197=""),"",TRIM(IF(AND(G197&lt;&gt;"",COUNTIF($G:$G,G197)&gt;1),"ID repetido. ","")&amp;IF(AND(F197&lt;&gt;"",LEN(TRIM(F197))&lt;&gt;64),"Hash deve ter 64 caracteres.","")))</f>
        <v/>
      </c>
      <c r="M197" s="5"/>
    </row>
    <row r="198" customFormat="false" ht="15" hidden="false" customHeight="false" outlineLevel="0" collapsed="false">
      <c r="A198" s="5"/>
      <c r="B198" s="25"/>
      <c r="C198" s="5"/>
      <c r="D198" s="5"/>
      <c r="E198" s="26"/>
      <c r="F198" s="26"/>
      <c r="G198" s="27"/>
      <c r="H198" s="14"/>
      <c r="I198" s="5"/>
      <c r="J198" s="5"/>
      <c r="K198" s="28" t="str">
        <f aca="false">IF(G198="","",COUNTIF('Linha do tempo'!$D:$D,G198))</f>
        <v/>
      </c>
      <c r="L198" s="19" t="str">
        <f aca="false">IF(AND(G198="",F198=""),"",TRIM(IF(AND(G198&lt;&gt;"",COUNTIF($G:$G,G198)&gt;1),"ID repetido. ","")&amp;IF(AND(F198&lt;&gt;"",LEN(TRIM(F198))&lt;&gt;64),"Hash deve ter 64 caracteres.","")))</f>
        <v/>
      </c>
      <c r="M198" s="5"/>
    </row>
    <row r="199" customFormat="false" ht="15" hidden="false" customHeight="false" outlineLevel="0" collapsed="false">
      <c r="A199" s="5"/>
      <c r="B199" s="25"/>
      <c r="C199" s="5"/>
      <c r="D199" s="5"/>
      <c r="E199" s="26"/>
      <c r="F199" s="26"/>
      <c r="G199" s="27"/>
      <c r="H199" s="14"/>
      <c r="I199" s="5"/>
      <c r="J199" s="5"/>
      <c r="K199" s="28" t="str">
        <f aca="false">IF(G199="","",COUNTIF('Linha do tempo'!$D:$D,G199))</f>
        <v/>
      </c>
      <c r="L199" s="19" t="str">
        <f aca="false">IF(AND(G199="",F199=""),"",TRIM(IF(AND(G199&lt;&gt;"",COUNTIF($G:$G,G199)&gt;1),"ID repetido. ","")&amp;IF(AND(F199&lt;&gt;"",LEN(TRIM(F199))&lt;&gt;64),"Hash deve ter 64 caracteres.","")))</f>
        <v/>
      </c>
      <c r="M199" s="5"/>
    </row>
    <row r="200" customFormat="false" ht="15" hidden="false" customHeight="false" outlineLevel="0" collapsed="false">
      <c r="A200" s="5"/>
      <c r="B200" s="25"/>
      <c r="C200" s="5"/>
      <c r="D200" s="5"/>
      <c r="E200" s="26"/>
      <c r="F200" s="26"/>
      <c r="G200" s="27"/>
      <c r="H200" s="14"/>
      <c r="I200" s="5"/>
      <c r="J200" s="5"/>
      <c r="K200" s="28" t="str">
        <f aca="false">IF(G200="","",COUNTIF('Linha do tempo'!$D:$D,G200))</f>
        <v/>
      </c>
      <c r="L200" s="19" t="str">
        <f aca="false">IF(AND(G200="",F200=""),"",TRIM(IF(AND(G200&lt;&gt;"",COUNTIF($G:$G,G200)&gt;1),"ID repetido. ","")&amp;IF(AND(F200&lt;&gt;"",LEN(TRIM(F200))&lt;&gt;64),"Hash deve ter 64 caracteres.","")))</f>
        <v/>
      </c>
      <c r="M200" s="5"/>
    </row>
    <row r="201" customFormat="false" ht="15" hidden="false" customHeight="false" outlineLevel="0" collapsed="false">
      <c r="A201" s="5"/>
      <c r="B201" s="25"/>
      <c r="C201" s="5"/>
      <c r="D201" s="5"/>
      <c r="E201" s="26"/>
      <c r="F201" s="26"/>
      <c r="G201" s="27"/>
      <c r="H201" s="14"/>
      <c r="I201" s="5"/>
      <c r="J201" s="5"/>
      <c r="K201" s="28" t="str">
        <f aca="false">IF(G201="","",COUNTIF('Linha do tempo'!$D:$D,G201))</f>
        <v/>
      </c>
      <c r="L201" s="19" t="str">
        <f aca="false">IF(AND(G201="",F201=""),"",TRIM(IF(AND(G201&lt;&gt;"",COUNTIF($G:$G,G201)&gt;1),"ID repetido. ","")&amp;IF(AND(F201&lt;&gt;"",LEN(TRIM(F201))&lt;&gt;64),"Hash deve ter 64 caracteres.","")))</f>
        <v/>
      </c>
      <c r="M201" s="5"/>
    </row>
    <row r="202" customFormat="false" ht="15" hidden="false" customHeight="false" outlineLevel="0" collapsed="false">
      <c r="A202" s="5"/>
      <c r="B202" s="25"/>
      <c r="C202" s="5"/>
      <c r="D202" s="5"/>
      <c r="E202" s="26"/>
      <c r="F202" s="26"/>
      <c r="G202" s="27"/>
      <c r="H202" s="14"/>
      <c r="I202" s="5"/>
      <c r="J202" s="5"/>
      <c r="K202" s="28" t="str">
        <f aca="false">IF(G202="","",COUNTIF('Linha do tempo'!$D:$D,G202))</f>
        <v/>
      </c>
      <c r="L202" s="19" t="str">
        <f aca="false">IF(AND(G202="",F202=""),"",TRIM(IF(AND(G202&lt;&gt;"",COUNTIF($G:$G,G202)&gt;1),"ID repetido. ","")&amp;IF(AND(F202&lt;&gt;"",LEN(TRIM(F202))&lt;&gt;64),"Hash deve ter 64 caracteres.","")))</f>
        <v/>
      </c>
      <c r="M202" s="5"/>
    </row>
    <row r="203" customFormat="false" ht="15" hidden="false" customHeight="false" outlineLevel="0" collapsed="false">
      <c r="A203" s="5"/>
      <c r="B203" s="25"/>
      <c r="C203" s="5"/>
      <c r="D203" s="5"/>
      <c r="E203" s="26"/>
      <c r="F203" s="26"/>
      <c r="G203" s="27"/>
      <c r="H203" s="14"/>
      <c r="I203" s="5"/>
      <c r="J203" s="5"/>
      <c r="K203" s="28" t="str">
        <f aca="false">IF(G203="","",COUNTIF('Linha do tempo'!$D:$D,G203))</f>
        <v/>
      </c>
      <c r="L203" s="19" t="str">
        <f aca="false">IF(AND(G203="",F203=""),"",TRIM(IF(AND(G203&lt;&gt;"",COUNTIF($G:$G,G203)&gt;1),"ID repetido. ","")&amp;IF(AND(F203&lt;&gt;"",LEN(TRIM(F203))&lt;&gt;64),"Hash deve ter 64 caracteres.","")))</f>
        <v/>
      </c>
      <c r="M203" s="5"/>
    </row>
    <row r="204" customFormat="false" ht="15" hidden="false" customHeight="false" outlineLevel="0" collapsed="false">
      <c r="A204" s="5"/>
      <c r="B204" s="25"/>
      <c r="C204" s="5"/>
      <c r="D204" s="5"/>
      <c r="E204" s="26"/>
      <c r="F204" s="26"/>
      <c r="G204" s="27"/>
      <c r="H204" s="14"/>
      <c r="I204" s="5"/>
      <c r="J204" s="5"/>
      <c r="K204" s="28" t="str">
        <f aca="false">IF(G204="","",COUNTIF('Linha do tempo'!$D:$D,G204))</f>
        <v/>
      </c>
      <c r="L204" s="19" t="str">
        <f aca="false">IF(AND(G204="",F204=""),"",TRIM(IF(AND(G204&lt;&gt;"",COUNTIF($G:$G,G204)&gt;1),"ID repetido. ","")&amp;IF(AND(F204&lt;&gt;"",LEN(TRIM(F204))&lt;&gt;64),"Hash deve ter 64 caracteres.","")))</f>
        <v/>
      </c>
      <c r="M204" s="5"/>
    </row>
    <row r="205" customFormat="false" ht="15" hidden="false" customHeight="false" outlineLevel="0" collapsed="false">
      <c r="A205" s="5"/>
      <c r="B205" s="25"/>
      <c r="C205" s="5"/>
      <c r="D205" s="5"/>
      <c r="E205" s="26"/>
      <c r="F205" s="26"/>
      <c r="G205" s="27"/>
      <c r="H205" s="14"/>
      <c r="I205" s="5"/>
      <c r="J205" s="5"/>
      <c r="K205" s="28" t="str">
        <f aca="false">IF(G205="","",COUNTIF('Linha do tempo'!$D:$D,G205))</f>
        <v/>
      </c>
      <c r="L205" s="19" t="str">
        <f aca="false">IF(AND(G205="",F205=""),"",TRIM(IF(AND(G205&lt;&gt;"",COUNTIF($G:$G,G205)&gt;1),"ID repetido. ","")&amp;IF(AND(F205&lt;&gt;"",LEN(TRIM(F205))&lt;&gt;64),"Hash deve ter 64 caracteres.","")))</f>
        <v/>
      </c>
      <c r="M205" s="5"/>
    </row>
    <row r="206" customFormat="false" ht="15" hidden="false" customHeight="false" outlineLevel="0" collapsed="false">
      <c r="A206" s="5"/>
      <c r="B206" s="25"/>
      <c r="C206" s="5"/>
      <c r="D206" s="5"/>
      <c r="E206" s="26"/>
      <c r="F206" s="26"/>
      <c r="G206" s="27"/>
      <c r="H206" s="14"/>
      <c r="I206" s="5"/>
      <c r="J206" s="5"/>
      <c r="K206" s="28" t="str">
        <f aca="false">IF(G206="","",COUNTIF('Linha do tempo'!$D:$D,G206))</f>
        <v/>
      </c>
      <c r="L206" s="19" t="str">
        <f aca="false">IF(AND(G206="",F206=""),"",TRIM(IF(AND(G206&lt;&gt;"",COUNTIF($G:$G,G206)&gt;1),"ID repetido. ","")&amp;IF(AND(F206&lt;&gt;"",LEN(TRIM(F206))&lt;&gt;64),"Hash deve ter 64 caracteres.","")))</f>
        <v/>
      </c>
      <c r="M206" s="5"/>
    </row>
    <row r="207" customFormat="false" ht="15" hidden="false" customHeight="false" outlineLevel="0" collapsed="false">
      <c r="A207" s="5"/>
      <c r="B207" s="25"/>
      <c r="C207" s="5"/>
      <c r="D207" s="5"/>
      <c r="E207" s="26"/>
      <c r="F207" s="26"/>
      <c r="G207" s="27"/>
      <c r="H207" s="14"/>
      <c r="I207" s="5"/>
      <c r="J207" s="5"/>
      <c r="K207" s="28" t="str">
        <f aca="false">IF(G207="","",COUNTIF('Linha do tempo'!$D:$D,G207))</f>
        <v/>
      </c>
      <c r="L207" s="19" t="str">
        <f aca="false">IF(AND(G207="",F207=""),"",TRIM(IF(AND(G207&lt;&gt;"",COUNTIF($G:$G,G207)&gt;1),"ID repetido. ","")&amp;IF(AND(F207&lt;&gt;"",LEN(TRIM(F207))&lt;&gt;64),"Hash deve ter 64 caracteres.","")))</f>
        <v/>
      </c>
      <c r="M207" s="5"/>
    </row>
    <row r="208" customFormat="false" ht="15" hidden="false" customHeight="false" outlineLevel="0" collapsed="false">
      <c r="A208" s="5"/>
      <c r="B208" s="25"/>
      <c r="C208" s="5"/>
      <c r="D208" s="5"/>
      <c r="E208" s="26"/>
      <c r="F208" s="26"/>
      <c r="G208" s="27"/>
      <c r="H208" s="14"/>
      <c r="I208" s="5"/>
      <c r="J208" s="5"/>
      <c r="K208" s="28" t="str">
        <f aca="false">IF(G208="","",COUNTIF('Linha do tempo'!$D:$D,G208))</f>
        <v/>
      </c>
      <c r="L208" s="19" t="str">
        <f aca="false">IF(AND(G208="",F208=""),"",TRIM(IF(AND(G208&lt;&gt;"",COUNTIF($G:$G,G208)&gt;1),"ID repetido. ","")&amp;IF(AND(F208&lt;&gt;"",LEN(TRIM(F208))&lt;&gt;64),"Hash deve ter 64 caracteres.","")))</f>
        <v/>
      </c>
      <c r="M208" s="5"/>
    </row>
    <row r="209" customFormat="false" ht="15" hidden="false" customHeight="false" outlineLevel="0" collapsed="false">
      <c r="A209" s="5"/>
      <c r="B209" s="25"/>
      <c r="C209" s="5"/>
      <c r="D209" s="5"/>
      <c r="E209" s="26"/>
      <c r="F209" s="26"/>
      <c r="G209" s="27"/>
      <c r="H209" s="14"/>
      <c r="I209" s="5"/>
      <c r="J209" s="5"/>
      <c r="K209" s="28" t="str">
        <f aca="false">IF(G209="","",COUNTIF('Linha do tempo'!$D:$D,G209))</f>
        <v/>
      </c>
      <c r="L209" s="19" t="str">
        <f aca="false">IF(AND(G209="",F209=""),"",TRIM(IF(AND(G209&lt;&gt;"",COUNTIF($G:$G,G209)&gt;1),"ID repetido. ","")&amp;IF(AND(F209&lt;&gt;"",LEN(TRIM(F209))&lt;&gt;64),"Hash deve ter 64 caracteres.","")))</f>
        <v/>
      </c>
      <c r="M209" s="5"/>
    </row>
    <row r="210" customFormat="false" ht="15" hidden="false" customHeight="false" outlineLevel="0" collapsed="false">
      <c r="A210" s="5"/>
      <c r="B210" s="25"/>
      <c r="C210" s="5"/>
      <c r="D210" s="5"/>
      <c r="E210" s="26"/>
      <c r="F210" s="26"/>
      <c r="G210" s="27"/>
      <c r="H210" s="14"/>
      <c r="I210" s="5"/>
      <c r="J210" s="5"/>
      <c r="K210" s="28" t="str">
        <f aca="false">IF(G210="","",COUNTIF('Linha do tempo'!$D:$D,G210))</f>
        <v/>
      </c>
      <c r="L210" s="19" t="str">
        <f aca="false">IF(AND(G210="",F210=""),"",TRIM(IF(AND(G210&lt;&gt;"",COUNTIF($G:$G,G210)&gt;1),"ID repetido. ","")&amp;IF(AND(F210&lt;&gt;"",LEN(TRIM(F210))&lt;&gt;64),"Hash deve ter 64 caracteres.","")))</f>
        <v/>
      </c>
      <c r="M210" s="5"/>
    </row>
    <row r="211" customFormat="false" ht="15" hidden="false" customHeight="false" outlineLevel="0" collapsed="false">
      <c r="A211" s="5"/>
      <c r="B211" s="25"/>
      <c r="C211" s="5"/>
      <c r="D211" s="5"/>
      <c r="E211" s="26"/>
      <c r="F211" s="26"/>
      <c r="G211" s="27"/>
      <c r="H211" s="14"/>
      <c r="I211" s="5"/>
      <c r="J211" s="5"/>
      <c r="K211" s="28" t="str">
        <f aca="false">IF(G211="","",COUNTIF('Linha do tempo'!$D:$D,G211))</f>
        <v/>
      </c>
      <c r="L211" s="19" t="str">
        <f aca="false">IF(AND(G211="",F211=""),"",TRIM(IF(AND(G211&lt;&gt;"",COUNTIF($G:$G,G211)&gt;1),"ID repetido. ","")&amp;IF(AND(F211&lt;&gt;"",LEN(TRIM(F211))&lt;&gt;64),"Hash deve ter 64 caracteres.","")))</f>
        <v/>
      </c>
      <c r="M211" s="5"/>
    </row>
    <row r="212" customFormat="false" ht="15" hidden="false" customHeight="false" outlineLevel="0" collapsed="false">
      <c r="A212" s="5"/>
      <c r="B212" s="25"/>
      <c r="C212" s="5"/>
      <c r="D212" s="5"/>
      <c r="E212" s="26"/>
      <c r="F212" s="26"/>
      <c r="G212" s="27"/>
      <c r="H212" s="14"/>
      <c r="I212" s="5"/>
      <c r="J212" s="5"/>
      <c r="K212" s="28" t="str">
        <f aca="false">IF(G212="","",COUNTIF('Linha do tempo'!$D:$D,G212))</f>
        <v/>
      </c>
      <c r="L212" s="19" t="str">
        <f aca="false">IF(AND(G212="",F212=""),"",TRIM(IF(AND(G212&lt;&gt;"",COUNTIF($G:$G,G212)&gt;1),"ID repetido. ","")&amp;IF(AND(F212&lt;&gt;"",LEN(TRIM(F212))&lt;&gt;64),"Hash deve ter 64 caracteres.","")))</f>
        <v/>
      </c>
      <c r="M212" s="5"/>
    </row>
    <row r="213" customFormat="false" ht="15" hidden="false" customHeight="false" outlineLevel="0" collapsed="false">
      <c r="A213" s="5"/>
      <c r="B213" s="25"/>
      <c r="C213" s="5"/>
      <c r="D213" s="5"/>
      <c r="E213" s="26"/>
      <c r="F213" s="26"/>
      <c r="G213" s="27"/>
      <c r="H213" s="14"/>
      <c r="I213" s="5"/>
      <c r="J213" s="5"/>
      <c r="K213" s="28" t="str">
        <f aca="false">IF(G213="","",COUNTIF('Linha do tempo'!$D:$D,G213))</f>
        <v/>
      </c>
      <c r="L213" s="19" t="str">
        <f aca="false">IF(AND(G213="",F213=""),"",TRIM(IF(AND(G213&lt;&gt;"",COUNTIF($G:$G,G213)&gt;1),"ID repetido. ","")&amp;IF(AND(F213&lt;&gt;"",LEN(TRIM(F213))&lt;&gt;64),"Hash deve ter 64 caracteres.","")))</f>
        <v/>
      </c>
      <c r="M213" s="5"/>
    </row>
    <row r="214" customFormat="false" ht="15" hidden="false" customHeight="false" outlineLevel="0" collapsed="false">
      <c r="A214" s="5"/>
      <c r="B214" s="25"/>
      <c r="C214" s="5"/>
      <c r="D214" s="5"/>
      <c r="E214" s="26"/>
      <c r="F214" s="26"/>
      <c r="G214" s="27"/>
      <c r="H214" s="14"/>
      <c r="I214" s="5"/>
      <c r="J214" s="5"/>
      <c r="K214" s="28" t="str">
        <f aca="false">IF(G214="","",COUNTIF('Linha do tempo'!$D:$D,G214))</f>
        <v/>
      </c>
      <c r="L214" s="19" t="str">
        <f aca="false">IF(AND(G214="",F214=""),"",TRIM(IF(AND(G214&lt;&gt;"",COUNTIF($G:$G,G214)&gt;1),"ID repetido. ","")&amp;IF(AND(F214&lt;&gt;"",LEN(TRIM(F214))&lt;&gt;64),"Hash deve ter 64 caracteres.","")))</f>
        <v/>
      </c>
      <c r="M214" s="5"/>
    </row>
    <row r="215" customFormat="false" ht="15" hidden="false" customHeight="false" outlineLevel="0" collapsed="false">
      <c r="A215" s="5"/>
      <c r="B215" s="25"/>
      <c r="C215" s="5"/>
      <c r="D215" s="5"/>
      <c r="E215" s="26"/>
      <c r="F215" s="26"/>
      <c r="G215" s="27"/>
      <c r="H215" s="14"/>
      <c r="I215" s="5"/>
      <c r="J215" s="5"/>
      <c r="K215" s="28" t="str">
        <f aca="false">IF(G215="","",COUNTIF('Linha do tempo'!$D:$D,G215))</f>
        <v/>
      </c>
      <c r="L215" s="19" t="str">
        <f aca="false">IF(AND(G215="",F215=""),"",TRIM(IF(AND(G215&lt;&gt;"",COUNTIF($G:$G,G215)&gt;1),"ID repetido. ","")&amp;IF(AND(F215&lt;&gt;"",LEN(TRIM(F215))&lt;&gt;64),"Hash deve ter 64 caracteres.","")))</f>
        <v/>
      </c>
      <c r="M215" s="5"/>
    </row>
    <row r="216" customFormat="false" ht="15" hidden="false" customHeight="false" outlineLevel="0" collapsed="false">
      <c r="A216" s="5"/>
      <c r="B216" s="25"/>
      <c r="C216" s="5"/>
      <c r="D216" s="5"/>
      <c r="E216" s="26"/>
      <c r="F216" s="26"/>
      <c r="G216" s="27"/>
      <c r="H216" s="14"/>
      <c r="I216" s="5"/>
      <c r="J216" s="5"/>
      <c r="K216" s="28" t="str">
        <f aca="false">IF(G216="","",COUNTIF('Linha do tempo'!$D:$D,G216))</f>
        <v/>
      </c>
      <c r="L216" s="19" t="str">
        <f aca="false">IF(AND(G216="",F216=""),"",TRIM(IF(AND(G216&lt;&gt;"",COUNTIF($G:$G,G216)&gt;1),"ID repetido. ","")&amp;IF(AND(F216&lt;&gt;"",LEN(TRIM(F216))&lt;&gt;64),"Hash deve ter 64 caracteres.","")))</f>
        <v/>
      </c>
      <c r="M216" s="5"/>
    </row>
    <row r="217" customFormat="false" ht="15" hidden="false" customHeight="false" outlineLevel="0" collapsed="false">
      <c r="A217" s="5"/>
      <c r="B217" s="25"/>
      <c r="C217" s="5"/>
      <c r="D217" s="5"/>
      <c r="E217" s="26"/>
      <c r="F217" s="26"/>
      <c r="G217" s="27"/>
      <c r="H217" s="14"/>
      <c r="I217" s="5"/>
      <c r="J217" s="5"/>
      <c r="K217" s="28" t="str">
        <f aca="false">IF(G217="","",COUNTIF('Linha do tempo'!$D:$D,G217))</f>
        <v/>
      </c>
      <c r="L217" s="19" t="str">
        <f aca="false">IF(AND(G217="",F217=""),"",TRIM(IF(AND(G217&lt;&gt;"",COUNTIF($G:$G,G217)&gt;1),"ID repetido. ","")&amp;IF(AND(F217&lt;&gt;"",LEN(TRIM(F217))&lt;&gt;64),"Hash deve ter 64 caracteres.","")))</f>
        <v/>
      </c>
      <c r="M217" s="5"/>
    </row>
    <row r="218" customFormat="false" ht="15" hidden="false" customHeight="false" outlineLevel="0" collapsed="false">
      <c r="A218" s="5"/>
      <c r="B218" s="25"/>
      <c r="C218" s="5"/>
      <c r="D218" s="5"/>
      <c r="E218" s="26"/>
      <c r="F218" s="26"/>
      <c r="G218" s="27"/>
      <c r="H218" s="14"/>
      <c r="I218" s="5"/>
      <c r="J218" s="5"/>
      <c r="K218" s="28" t="str">
        <f aca="false">IF(G218="","",COUNTIF('Linha do tempo'!$D:$D,G218))</f>
        <v/>
      </c>
      <c r="L218" s="19" t="str">
        <f aca="false">IF(AND(G218="",F218=""),"",TRIM(IF(AND(G218&lt;&gt;"",COUNTIF($G:$G,G218)&gt;1),"ID repetido. ","")&amp;IF(AND(F218&lt;&gt;"",LEN(TRIM(F218))&lt;&gt;64),"Hash deve ter 64 caracteres.","")))</f>
        <v/>
      </c>
      <c r="M218" s="5"/>
    </row>
    <row r="219" customFormat="false" ht="15" hidden="false" customHeight="false" outlineLevel="0" collapsed="false">
      <c r="A219" s="5"/>
      <c r="B219" s="25"/>
      <c r="C219" s="5"/>
      <c r="D219" s="5"/>
      <c r="E219" s="26"/>
      <c r="F219" s="26"/>
      <c r="G219" s="27"/>
      <c r="H219" s="14"/>
      <c r="I219" s="5"/>
      <c r="J219" s="5"/>
      <c r="K219" s="28" t="str">
        <f aca="false">IF(G219="","",COUNTIF('Linha do tempo'!$D:$D,G219))</f>
        <v/>
      </c>
      <c r="L219" s="19" t="str">
        <f aca="false">IF(AND(G219="",F219=""),"",TRIM(IF(AND(G219&lt;&gt;"",COUNTIF($G:$G,G219)&gt;1),"ID repetido. ","")&amp;IF(AND(F219&lt;&gt;"",LEN(TRIM(F219))&lt;&gt;64),"Hash deve ter 64 caracteres.","")))</f>
        <v/>
      </c>
      <c r="M219" s="5"/>
    </row>
    <row r="220" customFormat="false" ht="15" hidden="false" customHeight="false" outlineLevel="0" collapsed="false">
      <c r="A220" s="5"/>
      <c r="B220" s="25"/>
      <c r="C220" s="5"/>
      <c r="D220" s="5"/>
      <c r="E220" s="26"/>
      <c r="F220" s="26"/>
      <c r="G220" s="27"/>
      <c r="H220" s="14"/>
      <c r="I220" s="5"/>
      <c r="J220" s="5"/>
      <c r="K220" s="28" t="str">
        <f aca="false">IF(G220="","",COUNTIF('Linha do tempo'!$D:$D,G220))</f>
        <v/>
      </c>
      <c r="L220" s="19" t="str">
        <f aca="false">IF(AND(G220="",F220=""),"",TRIM(IF(AND(G220&lt;&gt;"",COUNTIF($G:$G,G220)&gt;1),"ID repetido. ","")&amp;IF(AND(F220&lt;&gt;"",LEN(TRIM(F220))&lt;&gt;64),"Hash deve ter 64 caracteres.","")))</f>
        <v/>
      </c>
      <c r="M220" s="5"/>
    </row>
    <row r="221" customFormat="false" ht="15" hidden="false" customHeight="false" outlineLevel="0" collapsed="false">
      <c r="A221" s="5"/>
      <c r="B221" s="25"/>
      <c r="C221" s="5"/>
      <c r="D221" s="5"/>
      <c r="E221" s="26"/>
      <c r="F221" s="26"/>
      <c r="G221" s="27"/>
      <c r="H221" s="14"/>
      <c r="I221" s="5"/>
      <c r="J221" s="5"/>
      <c r="K221" s="28" t="str">
        <f aca="false">IF(G221="","",COUNTIF('Linha do tempo'!$D:$D,G221))</f>
        <v/>
      </c>
      <c r="L221" s="19" t="str">
        <f aca="false">IF(AND(G221="",F221=""),"",TRIM(IF(AND(G221&lt;&gt;"",COUNTIF($G:$G,G221)&gt;1),"ID repetido. ","")&amp;IF(AND(F221&lt;&gt;"",LEN(TRIM(F221))&lt;&gt;64),"Hash deve ter 64 caracteres.","")))</f>
        <v/>
      </c>
      <c r="M221" s="5"/>
    </row>
    <row r="222" customFormat="false" ht="15" hidden="false" customHeight="false" outlineLevel="0" collapsed="false">
      <c r="A222" s="5"/>
      <c r="B222" s="25"/>
      <c r="C222" s="5"/>
      <c r="D222" s="5"/>
      <c r="E222" s="26"/>
      <c r="F222" s="26"/>
      <c r="G222" s="27"/>
      <c r="H222" s="14"/>
      <c r="I222" s="5"/>
      <c r="J222" s="5"/>
      <c r="K222" s="28" t="str">
        <f aca="false">IF(G222="","",COUNTIF('Linha do tempo'!$D:$D,G222))</f>
        <v/>
      </c>
      <c r="L222" s="19" t="str">
        <f aca="false">IF(AND(G222="",F222=""),"",TRIM(IF(AND(G222&lt;&gt;"",COUNTIF($G:$G,G222)&gt;1),"ID repetido. ","")&amp;IF(AND(F222&lt;&gt;"",LEN(TRIM(F222))&lt;&gt;64),"Hash deve ter 64 caracteres.","")))</f>
        <v/>
      </c>
      <c r="M222" s="5"/>
    </row>
    <row r="223" customFormat="false" ht="15" hidden="false" customHeight="false" outlineLevel="0" collapsed="false">
      <c r="A223" s="5"/>
      <c r="B223" s="25"/>
      <c r="C223" s="5"/>
      <c r="D223" s="5"/>
      <c r="E223" s="26"/>
      <c r="F223" s="26"/>
      <c r="G223" s="27"/>
      <c r="H223" s="14"/>
      <c r="I223" s="5"/>
      <c r="J223" s="5"/>
      <c r="K223" s="28" t="str">
        <f aca="false">IF(G223="","",COUNTIF('Linha do tempo'!$D:$D,G223))</f>
        <v/>
      </c>
      <c r="L223" s="19" t="str">
        <f aca="false">IF(AND(G223="",F223=""),"",TRIM(IF(AND(G223&lt;&gt;"",COUNTIF($G:$G,G223)&gt;1),"ID repetido. ","")&amp;IF(AND(F223&lt;&gt;"",LEN(TRIM(F223))&lt;&gt;64),"Hash deve ter 64 caracteres.","")))</f>
        <v/>
      </c>
      <c r="M223" s="5"/>
    </row>
    <row r="224" customFormat="false" ht="15" hidden="false" customHeight="false" outlineLevel="0" collapsed="false">
      <c r="A224" s="5"/>
      <c r="B224" s="25"/>
      <c r="C224" s="5"/>
      <c r="D224" s="5"/>
      <c r="E224" s="26"/>
      <c r="F224" s="26"/>
      <c r="G224" s="27"/>
      <c r="H224" s="14"/>
      <c r="I224" s="5"/>
      <c r="J224" s="5"/>
      <c r="K224" s="28" t="str">
        <f aca="false">IF(G224="","",COUNTIF('Linha do tempo'!$D:$D,G224))</f>
        <v/>
      </c>
      <c r="L224" s="19" t="str">
        <f aca="false">IF(AND(G224="",F224=""),"",TRIM(IF(AND(G224&lt;&gt;"",COUNTIF($G:$G,G224)&gt;1),"ID repetido. ","")&amp;IF(AND(F224&lt;&gt;"",LEN(TRIM(F224))&lt;&gt;64),"Hash deve ter 64 caracteres.","")))</f>
        <v/>
      </c>
      <c r="M224" s="5"/>
    </row>
    <row r="225" customFormat="false" ht="15" hidden="false" customHeight="false" outlineLevel="0" collapsed="false">
      <c r="A225" s="5"/>
      <c r="B225" s="25"/>
      <c r="C225" s="5"/>
      <c r="D225" s="5"/>
      <c r="E225" s="26"/>
      <c r="F225" s="26"/>
      <c r="G225" s="27"/>
      <c r="H225" s="14"/>
      <c r="I225" s="5"/>
      <c r="J225" s="5"/>
      <c r="K225" s="28" t="str">
        <f aca="false">IF(G225="","",COUNTIF('Linha do tempo'!$D:$D,G225))</f>
        <v/>
      </c>
      <c r="L225" s="19" t="str">
        <f aca="false">IF(AND(G225="",F225=""),"",TRIM(IF(AND(G225&lt;&gt;"",COUNTIF($G:$G,G225)&gt;1),"ID repetido. ","")&amp;IF(AND(F225&lt;&gt;"",LEN(TRIM(F225))&lt;&gt;64),"Hash deve ter 64 caracteres.","")))</f>
        <v/>
      </c>
      <c r="M225" s="5"/>
    </row>
    <row r="226" customFormat="false" ht="15" hidden="false" customHeight="false" outlineLevel="0" collapsed="false">
      <c r="A226" s="5"/>
      <c r="B226" s="25"/>
      <c r="C226" s="5"/>
      <c r="D226" s="5"/>
      <c r="E226" s="26"/>
      <c r="F226" s="26"/>
      <c r="G226" s="27"/>
      <c r="H226" s="14"/>
      <c r="I226" s="5"/>
      <c r="J226" s="5"/>
      <c r="K226" s="28" t="str">
        <f aca="false">IF(G226="","",COUNTIF('Linha do tempo'!$D:$D,G226))</f>
        <v/>
      </c>
      <c r="L226" s="19" t="str">
        <f aca="false">IF(AND(G226="",F226=""),"",TRIM(IF(AND(G226&lt;&gt;"",COUNTIF($G:$G,G226)&gt;1),"ID repetido. ","")&amp;IF(AND(F226&lt;&gt;"",LEN(TRIM(F226))&lt;&gt;64),"Hash deve ter 64 caracteres.","")))</f>
        <v/>
      </c>
      <c r="M226" s="5"/>
    </row>
    <row r="227" customFormat="false" ht="15" hidden="false" customHeight="false" outlineLevel="0" collapsed="false">
      <c r="A227" s="5"/>
      <c r="B227" s="25"/>
      <c r="C227" s="5"/>
      <c r="D227" s="5"/>
      <c r="E227" s="26"/>
      <c r="F227" s="26"/>
      <c r="G227" s="27"/>
      <c r="H227" s="14"/>
      <c r="I227" s="5"/>
      <c r="J227" s="5"/>
      <c r="K227" s="28" t="str">
        <f aca="false">IF(G227="","",COUNTIF('Linha do tempo'!$D:$D,G227))</f>
        <v/>
      </c>
      <c r="L227" s="19" t="str">
        <f aca="false">IF(AND(G227="",F227=""),"",TRIM(IF(AND(G227&lt;&gt;"",COUNTIF($G:$G,G227)&gt;1),"ID repetido. ","")&amp;IF(AND(F227&lt;&gt;"",LEN(TRIM(F227))&lt;&gt;64),"Hash deve ter 64 caracteres.","")))</f>
        <v/>
      </c>
      <c r="M227" s="5"/>
    </row>
    <row r="228" customFormat="false" ht="15" hidden="false" customHeight="false" outlineLevel="0" collapsed="false">
      <c r="A228" s="5"/>
      <c r="B228" s="25"/>
      <c r="C228" s="5"/>
      <c r="D228" s="5"/>
      <c r="E228" s="26"/>
      <c r="F228" s="26"/>
      <c r="G228" s="27"/>
      <c r="H228" s="14"/>
      <c r="I228" s="5"/>
      <c r="J228" s="5"/>
      <c r="K228" s="28" t="str">
        <f aca="false">IF(G228="","",COUNTIF('Linha do tempo'!$D:$D,G228))</f>
        <v/>
      </c>
      <c r="L228" s="19" t="str">
        <f aca="false">IF(AND(G228="",F228=""),"",TRIM(IF(AND(G228&lt;&gt;"",COUNTIF($G:$G,G228)&gt;1),"ID repetido. ","")&amp;IF(AND(F228&lt;&gt;"",LEN(TRIM(F228))&lt;&gt;64),"Hash deve ter 64 caracteres.","")))</f>
        <v/>
      </c>
      <c r="M228" s="5"/>
    </row>
    <row r="229" customFormat="false" ht="15" hidden="false" customHeight="false" outlineLevel="0" collapsed="false">
      <c r="A229" s="5"/>
      <c r="B229" s="25"/>
      <c r="C229" s="5"/>
      <c r="D229" s="5"/>
      <c r="E229" s="26"/>
      <c r="F229" s="26"/>
      <c r="G229" s="27"/>
      <c r="H229" s="14"/>
      <c r="I229" s="5"/>
      <c r="J229" s="5"/>
      <c r="K229" s="28" t="str">
        <f aca="false">IF(G229="","",COUNTIF('Linha do tempo'!$D:$D,G229))</f>
        <v/>
      </c>
      <c r="L229" s="19" t="str">
        <f aca="false">IF(AND(G229="",F229=""),"",TRIM(IF(AND(G229&lt;&gt;"",COUNTIF($G:$G,G229)&gt;1),"ID repetido. ","")&amp;IF(AND(F229&lt;&gt;"",LEN(TRIM(F229))&lt;&gt;64),"Hash deve ter 64 caracteres.","")))</f>
        <v/>
      </c>
      <c r="M229" s="5"/>
    </row>
    <row r="230" customFormat="false" ht="15" hidden="false" customHeight="false" outlineLevel="0" collapsed="false">
      <c r="A230" s="5"/>
      <c r="B230" s="25"/>
      <c r="C230" s="5"/>
      <c r="D230" s="5"/>
      <c r="E230" s="26"/>
      <c r="F230" s="26"/>
      <c r="G230" s="27"/>
      <c r="H230" s="14"/>
      <c r="I230" s="5"/>
      <c r="J230" s="5"/>
      <c r="K230" s="28" t="str">
        <f aca="false">IF(G230="","",COUNTIF('Linha do tempo'!$D:$D,G230))</f>
        <v/>
      </c>
      <c r="L230" s="19" t="str">
        <f aca="false">IF(AND(G230="",F230=""),"",TRIM(IF(AND(G230&lt;&gt;"",COUNTIF($G:$G,G230)&gt;1),"ID repetido. ","")&amp;IF(AND(F230&lt;&gt;"",LEN(TRIM(F230))&lt;&gt;64),"Hash deve ter 64 caracteres.","")))</f>
        <v/>
      </c>
      <c r="M230" s="5"/>
    </row>
    <row r="231" customFormat="false" ht="15" hidden="false" customHeight="false" outlineLevel="0" collapsed="false">
      <c r="A231" s="5"/>
      <c r="B231" s="25"/>
      <c r="C231" s="5"/>
      <c r="D231" s="5"/>
      <c r="E231" s="26"/>
      <c r="F231" s="26"/>
      <c r="G231" s="27"/>
      <c r="H231" s="14"/>
      <c r="I231" s="5"/>
      <c r="J231" s="5"/>
      <c r="K231" s="28" t="str">
        <f aca="false">IF(G231="","",COUNTIF('Linha do tempo'!$D:$D,G231))</f>
        <v/>
      </c>
      <c r="L231" s="19" t="str">
        <f aca="false">IF(AND(G231="",F231=""),"",TRIM(IF(AND(G231&lt;&gt;"",COUNTIF($G:$G,G231)&gt;1),"ID repetido. ","")&amp;IF(AND(F231&lt;&gt;"",LEN(TRIM(F231))&lt;&gt;64),"Hash deve ter 64 caracteres.","")))</f>
        <v/>
      </c>
      <c r="M231" s="5"/>
    </row>
    <row r="232" customFormat="false" ht="15" hidden="false" customHeight="false" outlineLevel="0" collapsed="false">
      <c r="A232" s="5"/>
      <c r="B232" s="25"/>
      <c r="C232" s="5"/>
      <c r="D232" s="5"/>
      <c r="E232" s="26"/>
      <c r="F232" s="26"/>
      <c r="G232" s="27"/>
      <c r="H232" s="14"/>
      <c r="I232" s="5"/>
      <c r="J232" s="5"/>
      <c r="K232" s="28" t="str">
        <f aca="false">IF(G232="","",COUNTIF('Linha do tempo'!$D:$D,G232))</f>
        <v/>
      </c>
      <c r="L232" s="19" t="str">
        <f aca="false">IF(AND(G232="",F232=""),"",TRIM(IF(AND(G232&lt;&gt;"",COUNTIF($G:$G,G232)&gt;1),"ID repetido. ","")&amp;IF(AND(F232&lt;&gt;"",LEN(TRIM(F232))&lt;&gt;64),"Hash deve ter 64 caracteres.","")))</f>
        <v/>
      </c>
      <c r="M232" s="5"/>
    </row>
    <row r="233" customFormat="false" ht="15" hidden="false" customHeight="false" outlineLevel="0" collapsed="false">
      <c r="A233" s="5"/>
      <c r="B233" s="25"/>
      <c r="C233" s="5"/>
      <c r="D233" s="5"/>
      <c r="E233" s="26"/>
      <c r="F233" s="26"/>
      <c r="G233" s="27"/>
      <c r="H233" s="14"/>
      <c r="I233" s="5"/>
      <c r="J233" s="5"/>
      <c r="K233" s="28" t="str">
        <f aca="false">IF(G233="","",COUNTIF('Linha do tempo'!$D:$D,G233))</f>
        <v/>
      </c>
      <c r="L233" s="19" t="str">
        <f aca="false">IF(AND(G233="",F233=""),"",TRIM(IF(AND(G233&lt;&gt;"",COUNTIF($G:$G,G233)&gt;1),"ID repetido. ","")&amp;IF(AND(F233&lt;&gt;"",LEN(TRIM(F233))&lt;&gt;64),"Hash deve ter 64 caracteres.","")))</f>
        <v/>
      </c>
      <c r="M233" s="5"/>
    </row>
    <row r="234" customFormat="false" ht="15" hidden="false" customHeight="false" outlineLevel="0" collapsed="false">
      <c r="A234" s="5"/>
      <c r="B234" s="25"/>
      <c r="C234" s="5"/>
      <c r="D234" s="5"/>
      <c r="E234" s="26"/>
      <c r="F234" s="26"/>
      <c r="G234" s="27"/>
      <c r="H234" s="14"/>
      <c r="I234" s="5"/>
      <c r="J234" s="5"/>
      <c r="K234" s="28" t="str">
        <f aca="false">IF(G234="","",COUNTIF('Linha do tempo'!$D:$D,G234))</f>
        <v/>
      </c>
      <c r="L234" s="19" t="str">
        <f aca="false">IF(AND(G234="",F234=""),"",TRIM(IF(AND(G234&lt;&gt;"",COUNTIF($G:$G,G234)&gt;1),"ID repetido. ","")&amp;IF(AND(F234&lt;&gt;"",LEN(TRIM(F234))&lt;&gt;64),"Hash deve ter 64 caracteres.","")))</f>
        <v/>
      </c>
      <c r="M234" s="5"/>
    </row>
    <row r="235" customFormat="false" ht="15" hidden="false" customHeight="false" outlineLevel="0" collapsed="false">
      <c r="A235" s="5"/>
      <c r="B235" s="25"/>
      <c r="C235" s="5"/>
      <c r="D235" s="5"/>
      <c r="E235" s="26"/>
      <c r="F235" s="26"/>
      <c r="G235" s="27"/>
      <c r="H235" s="14"/>
      <c r="I235" s="5"/>
      <c r="J235" s="5"/>
      <c r="K235" s="28" t="str">
        <f aca="false">IF(G235="","",COUNTIF('Linha do tempo'!$D:$D,G235))</f>
        <v/>
      </c>
      <c r="L235" s="19" t="str">
        <f aca="false">IF(AND(G235="",F235=""),"",TRIM(IF(AND(G235&lt;&gt;"",COUNTIF($G:$G,G235)&gt;1),"ID repetido. ","")&amp;IF(AND(F235&lt;&gt;"",LEN(TRIM(F235))&lt;&gt;64),"Hash deve ter 64 caracteres.","")))</f>
        <v/>
      </c>
      <c r="M235" s="5"/>
    </row>
    <row r="236" customFormat="false" ht="15" hidden="false" customHeight="false" outlineLevel="0" collapsed="false">
      <c r="A236" s="5"/>
      <c r="B236" s="25"/>
      <c r="C236" s="5"/>
      <c r="D236" s="5"/>
      <c r="E236" s="26"/>
      <c r="F236" s="26"/>
      <c r="G236" s="27"/>
      <c r="H236" s="14"/>
      <c r="I236" s="5"/>
      <c r="J236" s="5"/>
      <c r="K236" s="28" t="str">
        <f aca="false">IF(G236="","",COUNTIF('Linha do tempo'!$D:$D,G236))</f>
        <v/>
      </c>
      <c r="L236" s="19" t="str">
        <f aca="false">IF(AND(G236="",F236=""),"",TRIM(IF(AND(G236&lt;&gt;"",COUNTIF($G:$G,G236)&gt;1),"ID repetido. ","")&amp;IF(AND(F236&lt;&gt;"",LEN(TRIM(F236))&lt;&gt;64),"Hash deve ter 64 caracteres.","")))</f>
        <v/>
      </c>
      <c r="M236" s="5"/>
    </row>
    <row r="237" customFormat="false" ht="15" hidden="false" customHeight="false" outlineLevel="0" collapsed="false">
      <c r="A237" s="5"/>
      <c r="B237" s="25"/>
      <c r="C237" s="5"/>
      <c r="D237" s="5"/>
      <c r="E237" s="26"/>
      <c r="F237" s="26"/>
      <c r="G237" s="27"/>
      <c r="H237" s="14"/>
      <c r="I237" s="5"/>
      <c r="J237" s="5"/>
      <c r="K237" s="28" t="str">
        <f aca="false">IF(G237="","",COUNTIF('Linha do tempo'!$D:$D,G237))</f>
        <v/>
      </c>
      <c r="L237" s="19" t="str">
        <f aca="false">IF(AND(G237="",F237=""),"",TRIM(IF(AND(G237&lt;&gt;"",COUNTIF($G:$G,G237)&gt;1),"ID repetido. ","")&amp;IF(AND(F237&lt;&gt;"",LEN(TRIM(F237))&lt;&gt;64),"Hash deve ter 64 caracteres.","")))</f>
        <v/>
      </c>
      <c r="M237" s="5"/>
    </row>
    <row r="238" customFormat="false" ht="15" hidden="false" customHeight="false" outlineLevel="0" collapsed="false">
      <c r="A238" s="5"/>
      <c r="B238" s="25"/>
      <c r="C238" s="5"/>
      <c r="D238" s="5"/>
      <c r="E238" s="26"/>
      <c r="F238" s="26"/>
      <c r="G238" s="27"/>
      <c r="H238" s="14"/>
      <c r="I238" s="5"/>
      <c r="J238" s="5"/>
      <c r="K238" s="28" t="str">
        <f aca="false">IF(G238="","",COUNTIF('Linha do tempo'!$D:$D,G238))</f>
        <v/>
      </c>
      <c r="L238" s="19" t="str">
        <f aca="false">IF(AND(G238="",F238=""),"",TRIM(IF(AND(G238&lt;&gt;"",COUNTIF($G:$G,G238)&gt;1),"ID repetido. ","")&amp;IF(AND(F238&lt;&gt;"",LEN(TRIM(F238))&lt;&gt;64),"Hash deve ter 64 caracteres.","")))</f>
        <v/>
      </c>
      <c r="M238" s="5"/>
    </row>
    <row r="239" customFormat="false" ht="15" hidden="false" customHeight="false" outlineLevel="0" collapsed="false">
      <c r="A239" s="5"/>
      <c r="B239" s="25"/>
      <c r="C239" s="5"/>
      <c r="D239" s="5"/>
      <c r="E239" s="26"/>
      <c r="F239" s="26"/>
      <c r="G239" s="27"/>
      <c r="H239" s="14"/>
      <c r="I239" s="5"/>
      <c r="J239" s="5"/>
      <c r="K239" s="28" t="str">
        <f aca="false">IF(G239="","",COUNTIF('Linha do tempo'!$D:$D,G239))</f>
        <v/>
      </c>
      <c r="L239" s="19" t="str">
        <f aca="false">IF(AND(G239="",F239=""),"",TRIM(IF(AND(G239&lt;&gt;"",COUNTIF($G:$G,G239)&gt;1),"ID repetido. ","")&amp;IF(AND(F239&lt;&gt;"",LEN(TRIM(F239))&lt;&gt;64),"Hash deve ter 64 caracteres.","")))</f>
        <v/>
      </c>
      <c r="M239" s="5"/>
    </row>
    <row r="240" customFormat="false" ht="15" hidden="false" customHeight="false" outlineLevel="0" collapsed="false">
      <c r="A240" s="5"/>
      <c r="B240" s="25"/>
      <c r="C240" s="5"/>
      <c r="D240" s="5"/>
      <c r="E240" s="26"/>
      <c r="F240" s="26"/>
      <c r="G240" s="27"/>
      <c r="H240" s="14"/>
      <c r="I240" s="5"/>
      <c r="J240" s="5"/>
      <c r="K240" s="28" t="str">
        <f aca="false">IF(G240="","",COUNTIF('Linha do tempo'!$D:$D,G240))</f>
        <v/>
      </c>
      <c r="L240" s="19" t="str">
        <f aca="false">IF(AND(G240="",F240=""),"",TRIM(IF(AND(G240&lt;&gt;"",COUNTIF($G:$G,G240)&gt;1),"ID repetido. ","")&amp;IF(AND(F240&lt;&gt;"",LEN(TRIM(F240))&lt;&gt;64),"Hash deve ter 64 caracteres.","")))</f>
        <v/>
      </c>
      <c r="M240" s="5"/>
    </row>
    <row r="241" customFormat="false" ht="15" hidden="false" customHeight="false" outlineLevel="0" collapsed="false">
      <c r="A241" s="5"/>
      <c r="B241" s="25"/>
      <c r="C241" s="5"/>
      <c r="D241" s="5"/>
      <c r="E241" s="26"/>
      <c r="F241" s="26"/>
      <c r="G241" s="27"/>
      <c r="H241" s="14"/>
      <c r="I241" s="5"/>
      <c r="J241" s="5"/>
      <c r="K241" s="28" t="str">
        <f aca="false">IF(G241="","",COUNTIF('Linha do tempo'!$D:$D,G241))</f>
        <v/>
      </c>
      <c r="L241" s="19" t="str">
        <f aca="false">IF(AND(G241="",F241=""),"",TRIM(IF(AND(G241&lt;&gt;"",COUNTIF($G:$G,G241)&gt;1),"ID repetido. ","")&amp;IF(AND(F241&lt;&gt;"",LEN(TRIM(F241))&lt;&gt;64),"Hash deve ter 64 caracteres.","")))</f>
        <v/>
      </c>
      <c r="M241" s="5"/>
    </row>
    <row r="242" customFormat="false" ht="15" hidden="false" customHeight="false" outlineLevel="0" collapsed="false">
      <c r="A242" s="5"/>
      <c r="B242" s="25"/>
      <c r="C242" s="5"/>
      <c r="D242" s="5"/>
      <c r="E242" s="26"/>
      <c r="F242" s="26"/>
      <c r="G242" s="27"/>
      <c r="H242" s="14"/>
      <c r="I242" s="5"/>
      <c r="J242" s="5"/>
      <c r="K242" s="28" t="str">
        <f aca="false">IF(G242="","",COUNTIF('Linha do tempo'!$D:$D,G242))</f>
        <v/>
      </c>
      <c r="L242" s="19" t="str">
        <f aca="false">IF(AND(G242="",F242=""),"",TRIM(IF(AND(G242&lt;&gt;"",COUNTIF($G:$G,G242)&gt;1),"ID repetido. ","")&amp;IF(AND(F242&lt;&gt;"",LEN(TRIM(F242))&lt;&gt;64),"Hash deve ter 64 caracteres.","")))</f>
        <v/>
      </c>
      <c r="M242" s="5"/>
    </row>
    <row r="243" customFormat="false" ht="15" hidden="false" customHeight="false" outlineLevel="0" collapsed="false">
      <c r="A243" s="5"/>
      <c r="B243" s="25"/>
      <c r="C243" s="5"/>
      <c r="D243" s="5"/>
      <c r="E243" s="26"/>
      <c r="F243" s="26"/>
      <c r="G243" s="27"/>
      <c r="H243" s="14"/>
      <c r="I243" s="5"/>
      <c r="J243" s="5"/>
      <c r="K243" s="28" t="str">
        <f aca="false">IF(G243="","",COUNTIF('Linha do tempo'!$D:$D,G243))</f>
        <v/>
      </c>
      <c r="L243" s="19" t="str">
        <f aca="false">IF(AND(G243="",F243=""),"",TRIM(IF(AND(G243&lt;&gt;"",COUNTIF($G:$G,G243)&gt;1),"ID repetido. ","")&amp;IF(AND(F243&lt;&gt;"",LEN(TRIM(F243))&lt;&gt;64),"Hash deve ter 64 caracteres.","")))</f>
        <v/>
      </c>
      <c r="M243" s="5"/>
    </row>
    <row r="244" customFormat="false" ht="15" hidden="false" customHeight="false" outlineLevel="0" collapsed="false">
      <c r="A244" s="5"/>
      <c r="B244" s="25"/>
      <c r="C244" s="5"/>
      <c r="D244" s="5"/>
      <c r="E244" s="26"/>
      <c r="F244" s="26"/>
      <c r="G244" s="27"/>
      <c r="H244" s="14"/>
      <c r="I244" s="5"/>
      <c r="J244" s="5"/>
      <c r="K244" s="28" t="str">
        <f aca="false">IF(G244="","",COUNTIF('Linha do tempo'!$D:$D,G244))</f>
        <v/>
      </c>
      <c r="L244" s="19" t="str">
        <f aca="false">IF(AND(G244="",F244=""),"",TRIM(IF(AND(G244&lt;&gt;"",COUNTIF($G:$G,G244)&gt;1),"ID repetido. ","")&amp;IF(AND(F244&lt;&gt;"",LEN(TRIM(F244))&lt;&gt;64),"Hash deve ter 64 caracteres.","")))</f>
        <v/>
      </c>
      <c r="M244" s="5"/>
    </row>
    <row r="245" customFormat="false" ht="15" hidden="false" customHeight="false" outlineLevel="0" collapsed="false">
      <c r="A245" s="5"/>
      <c r="B245" s="25"/>
      <c r="C245" s="5"/>
      <c r="D245" s="5"/>
      <c r="E245" s="26"/>
      <c r="F245" s="26"/>
      <c r="G245" s="27"/>
      <c r="H245" s="14"/>
      <c r="I245" s="5"/>
      <c r="J245" s="5"/>
      <c r="K245" s="28" t="str">
        <f aca="false">IF(G245="","",COUNTIF('Linha do tempo'!$D:$D,G245))</f>
        <v/>
      </c>
      <c r="L245" s="19" t="str">
        <f aca="false">IF(AND(G245="",F245=""),"",TRIM(IF(AND(G245&lt;&gt;"",COUNTIF($G:$G,G245)&gt;1),"ID repetido. ","")&amp;IF(AND(F245&lt;&gt;"",LEN(TRIM(F245))&lt;&gt;64),"Hash deve ter 64 caracteres.","")))</f>
        <v/>
      </c>
      <c r="M245" s="5"/>
    </row>
    <row r="246" customFormat="false" ht="15" hidden="false" customHeight="false" outlineLevel="0" collapsed="false">
      <c r="A246" s="5"/>
      <c r="B246" s="25"/>
      <c r="C246" s="5"/>
      <c r="D246" s="5"/>
      <c r="E246" s="26"/>
      <c r="F246" s="26"/>
      <c r="G246" s="27"/>
      <c r="H246" s="14"/>
      <c r="I246" s="5"/>
      <c r="J246" s="5"/>
      <c r="K246" s="28" t="str">
        <f aca="false">IF(G246="","",COUNTIF('Linha do tempo'!$D:$D,G246))</f>
        <v/>
      </c>
      <c r="L246" s="19" t="str">
        <f aca="false">IF(AND(G246="",F246=""),"",TRIM(IF(AND(G246&lt;&gt;"",COUNTIF($G:$G,G246)&gt;1),"ID repetido. ","")&amp;IF(AND(F246&lt;&gt;"",LEN(TRIM(F246))&lt;&gt;64),"Hash deve ter 64 caracteres.","")))</f>
        <v/>
      </c>
      <c r="M246" s="5"/>
    </row>
    <row r="247" customFormat="false" ht="15" hidden="false" customHeight="false" outlineLevel="0" collapsed="false">
      <c r="A247" s="5"/>
      <c r="B247" s="25"/>
      <c r="C247" s="5"/>
      <c r="D247" s="5"/>
      <c r="E247" s="26"/>
      <c r="F247" s="26"/>
      <c r="G247" s="27"/>
      <c r="H247" s="14"/>
      <c r="I247" s="5"/>
      <c r="J247" s="5"/>
      <c r="K247" s="28" t="str">
        <f aca="false">IF(G247="","",COUNTIF('Linha do tempo'!$D:$D,G247))</f>
        <v/>
      </c>
      <c r="L247" s="19" t="str">
        <f aca="false">IF(AND(G247="",F247=""),"",TRIM(IF(AND(G247&lt;&gt;"",COUNTIF($G:$G,G247)&gt;1),"ID repetido. ","")&amp;IF(AND(F247&lt;&gt;"",LEN(TRIM(F247))&lt;&gt;64),"Hash deve ter 64 caracteres.","")))</f>
        <v/>
      </c>
      <c r="M247" s="5"/>
    </row>
    <row r="248" customFormat="false" ht="15" hidden="false" customHeight="false" outlineLevel="0" collapsed="false">
      <c r="A248" s="5"/>
      <c r="B248" s="25"/>
      <c r="C248" s="5"/>
      <c r="D248" s="5"/>
      <c r="E248" s="26"/>
      <c r="F248" s="26"/>
      <c r="G248" s="27"/>
      <c r="H248" s="14"/>
      <c r="I248" s="5"/>
      <c r="J248" s="5"/>
      <c r="K248" s="28" t="str">
        <f aca="false">IF(G248="","",COUNTIF('Linha do tempo'!$D:$D,G248))</f>
        <v/>
      </c>
      <c r="L248" s="19" t="str">
        <f aca="false">IF(AND(G248="",F248=""),"",TRIM(IF(AND(G248&lt;&gt;"",COUNTIF($G:$G,G248)&gt;1),"ID repetido. ","")&amp;IF(AND(F248&lt;&gt;"",LEN(TRIM(F248))&lt;&gt;64),"Hash deve ter 64 caracteres.","")))</f>
        <v/>
      </c>
      <c r="M248" s="5"/>
    </row>
    <row r="249" customFormat="false" ht="15" hidden="false" customHeight="false" outlineLevel="0" collapsed="false">
      <c r="A249" s="5"/>
      <c r="B249" s="25"/>
      <c r="C249" s="5"/>
      <c r="D249" s="5"/>
      <c r="E249" s="26"/>
      <c r="F249" s="26"/>
      <c r="G249" s="27"/>
      <c r="H249" s="14"/>
      <c r="I249" s="5"/>
      <c r="J249" s="5"/>
      <c r="K249" s="28" t="str">
        <f aca="false">IF(G249="","",COUNTIF('Linha do tempo'!$D:$D,G249))</f>
        <v/>
      </c>
      <c r="L249" s="19" t="str">
        <f aca="false">IF(AND(G249="",F249=""),"",TRIM(IF(AND(G249&lt;&gt;"",COUNTIF($G:$G,G249)&gt;1),"ID repetido. ","")&amp;IF(AND(F249&lt;&gt;"",LEN(TRIM(F249))&lt;&gt;64),"Hash deve ter 64 caracteres.","")))</f>
        <v/>
      </c>
      <c r="M249" s="5"/>
    </row>
    <row r="250" customFormat="false" ht="15" hidden="false" customHeight="false" outlineLevel="0" collapsed="false">
      <c r="A250" s="5"/>
      <c r="B250" s="25"/>
      <c r="C250" s="5"/>
      <c r="D250" s="5"/>
      <c r="E250" s="26"/>
      <c r="F250" s="26"/>
      <c r="G250" s="27"/>
      <c r="H250" s="14"/>
      <c r="I250" s="5"/>
      <c r="J250" s="5"/>
      <c r="K250" s="28" t="str">
        <f aca="false">IF(G250="","",COUNTIF('Linha do tempo'!$D:$D,G250))</f>
        <v/>
      </c>
      <c r="L250" s="19" t="str">
        <f aca="false">IF(AND(G250="",F250=""),"",TRIM(IF(AND(G250&lt;&gt;"",COUNTIF($G:$G,G250)&gt;1),"ID repetido. ","")&amp;IF(AND(F250&lt;&gt;"",LEN(TRIM(F250))&lt;&gt;64),"Hash deve ter 64 caracteres.","")))</f>
        <v/>
      </c>
      <c r="M250" s="5"/>
    </row>
    <row r="251" customFormat="false" ht="15" hidden="false" customHeight="false" outlineLevel="0" collapsed="false">
      <c r="A251" s="5"/>
      <c r="B251" s="25"/>
      <c r="C251" s="5"/>
      <c r="D251" s="5"/>
      <c r="E251" s="26"/>
      <c r="F251" s="26"/>
      <c r="G251" s="27"/>
      <c r="H251" s="14"/>
      <c r="I251" s="5"/>
      <c r="J251" s="5"/>
      <c r="K251" s="28" t="str">
        <f aca="false">IF(G251="","",COUNTIF('Linha do tempo'!$D:$D,G251))</f>
        <v/>
      </c>
      <c r="L251" s="19" t="str">
        <f aca="false">IF(AND(G251="",F251=""),"",TRIM(IF(AND(G251&lt;&gt;"",COUNTIF($G:$G,G251)&gt;1),"ID repetido. ","")&amp;IF(AND(F251&lt;&gt;"",LEN(TRIM(F251))&lt;&gt;64),"Hash deve ter 64 caracteres.","")))</f>
        <v/>
      </c>
      <c r="M251" s="5"/>
    </row>
    <row r="252" customFormat="false" ht="15" hidden="false" customHeight="false" outlineLevel="0" collapsed="false">
      <c r="A252" s="5"/>
      <c r="B252" s="25"/>
      <c r="C252" s="5"/>
      <c r="D252" s="5"/>
      <c r="E252" s="26"/>
      <c r="F252" s="26"/>
      <c r="G252" s="27"/>
      <c r="H252" s="14"/>
      <c r="I252" s="5"/>
      <c r="J252" s="5"/>
      <c r="K252" s="28" t="str">
        <f aca="false">IF(G252="","",COUNTIF('Linha do tempo'!$D:$D,G252))</f>
        <v/>
      </c>
      <c r="L252" s="19" t="str">
        <f aca="false">IF(AND(G252="",F252=""),"",TRIM(IF(AND(G252&lt;&gt;"",COUNTIF($G:$G,G252)&gt;1),"ID repetido. ","")&amp;IF(AND(F252&lt;&gt;"",LEN(TRIM(F252))&lt;&gt;64),"Hash deve ter 64 caracteres.","")))</f>
        <v/>
      </c>
      <c r="M252" s="5"/>
    </row>
    <row r="253" customFormat="false" ht="15" hidden="false" customHeight="false" outlineLevel="0" collapsed="false">
      <c r="A253" s="5"/>
      <c r="B253" s="25"/>
      <c r="C253" s="5"/>
      <c r="D253" s="5"/>
      <c r="E253" s="26"/>
      <c r="F253" s="26"/>
      <c r="G253" s="27"/>
      <c r="H253" s="14"/>
      <c r="I253" s="5"/>
      <c r="J253" s="5"/>
      <c r="K253" s="28" t="str">
        <f aca="false">IF(G253="","",COUNTIF('Linha do tempo'!$D:$D,G253))</f>
        <v/>
      </c>
      <c r="L253" s="19" t="str">
        <f aca="false">IF(AND(G253="",F253=""),"",TRIM(IF(AND(G253&lt;&gt;"",COUNTIF($G:$G,G253)&gt;1),"ID repetido. ","")&amp;IF(AND(F253&lt;&gt;"",LEN(TRIM(F253))&lt;&gt;64),"Hash deve ter 64 caracteres.","")))</f>
        <v/>
      </c>
      <c r="M253" s="5"/>
    </row>
    <row r="254" customFormat="false" ht="15" hidden="false" customHeight="false" outlineLevel="0" collapsed="false">
      <c r="A254" s="5"/>
      <c r="B254" s="25"/>
      <c r="C254" s="5"/>
      <c r="D254" s="5"/>
      <c r="E254" s="26"/>
      <c r="F254" s="26"/>
      <c r="G254" s="27"/>
      <c r="H254" s="14"/>
      <c r="I254" s="5"/>
      <c r="J254" s="5"/>
      <c r="K254" s="28" t="str">
        <f aca="false">IF(G254="","",COUNTIF('Linha do tempo'!$D:$D,G254))</f>
        <v/>
      </c>
      <c r="L254" s="19" t="str">
        <f aca="false">IF(AND(G254="",F254=""),"",TRIM(IF(AND(G254&lt;&gt;"",COUNTIF($G:$G,G254)&gt;1),"ID repetido. ","")&amp;IF(AND(F254&lt;&gt;"",LEN(TRIM(F254))&lt;&gt;64),"Hash deve ter 64 caracteres.","")))</f>
        <v/>
      </c>
      <c r="M254" s="5"/>
    </row>
    <row r="255" customFormat="false" ht="15" hidden="false" customHeight="false" outlineLevel="0" collapsed="false">
      <c r="A255" s="5"/>
      <c r="B255" s="25"/>
      <c r="C255" s="5"/>
      <c r="D255" s="5"/>
      <c r="E255" s="26"/>
      <c r="F255" s="26"/>
      <c r="G255" s="27"/>
      <c r="H255" s="14"/>
      <c r="I255" s="5"/>
      <c r="J255" s="5"/>
      <c r="K255" s="28" t="str">
        <f aca="false">IF(G255="","",COUNTIF('Linha do tempo'!$D:$D,G255))</f>
        <v/>
      </c>
      <c r="L255" s="19" t="str">
        <f aca="false">IF(AND(G255="",F255=""),"",TRIM(IF(AND(G255&lt;&gt;"",COUNTIF($G:$G,G255)&gt;1),"ID repetido. ","")&amp;IF(AND(F255&lt;&gt;"",LEN(TRIM(F255))&lt;&gt;64),"Hash deve ter 64 caracteres.","")))</f>
        <v/>
      </c>
      <c r="M255" s="5"/>
    </row>
    <row r="256" customFormat="false" ht="15" hidden="false" customHeight="false" outlineLevel="0" collapsed="false">
      <c r="A256" s="5"/>
      <c r="B256" s="25"/>
      <c r="C256" s="5"/>
      <c r="D256" s="5"/>
      <c r="E256" s="26"/>
      <c r="F256" s="26"/>
      <c r="G256" s="27"/>
      <c r="H256" s="14"/>
      <c r="I256" s="5"/>
      <c r="J256" s="5"/>
      <c r="K256" s="28" t="str">
        <f aca="false">IF(G256="","",COUNTIF('Linha do tempo'!$D:$D,G256))</f>
        <v/>
      </c>
      <c r="L256" s="19" t="str">
        <f aca="false">IF(AND(G256="",F256=""),"",TRIM(IF(AND(G256&lt;&gt;"",COUNTIF($G:$G,G256)&gt;1),"ID repetido. ","")&amp;IF(AND(F256&lt;&gt;"",LEN(TRIM(F256))&lt;&gt;64),"Hash deve ter 64 caracteres.","")))</f>
        <v/>
      </c>
      <c r="M256" s="5"/>
    </row>
    <row r="257" customFormat="false" ht="15" hidden="false" customHeight="false" outlineLevel="0" collapsed="false">
      <c r="A257" s="5"/>
      <c r="B257" s="25"/>
      <c r="C257" s="5"/>
      <c r="D257" s="5"/>
      <c r="E257" s="26"/>
      <c r="F257" s="26"/>
      <c r="G257" s="27"/>
      <c r="H257" s="14"/>
      <c r="I257" s="5"/>
      <c r="J257" s="5"/>
      <c r="K257" s="28" t="str">
        <f aca="false">IF(G257="","",COUNTIF('Linha do tempo'!$D:$D,G257))</f>
        <v/>
      </c>
      <c r="L257" s="19" t="str">
        <f aca="false">IF(AND(G257="",F257=""),"",TRIM(IF(AND(G257&lt;&gt;"",COUNTIF($G:$G,G257)&gt;1),"ID repetido. ","")&amp;IF(AND(F257&lt;&gt;"",LEN(TRIM(F257))&lt;&gt;64),"Hash deve ter 64 caracteres.","")))</f>
        <v/>
      </c>
      <c r="M257" s="5"/>
    </row>
    <row r="258" customFormat="false" ht="15" hidden="false" customHeight="false" outlineLevel="0" collapsed="false">
      <c r="A258" s="5"/>
      <c r="B258" s="25"/>
      <c r="C258" s="5"/>
      <c r="D258" s="5"/>
      <c r="E258" s="26"/>
      <c r="F258" s="26"/>
      <c r="G258" s="27"/>
      <c r="H258" s="14"/>
      <c r="I258" s="5"/>
      <c r="J258" s="5"/>
      <c r="K258" s="28" t="str">
        <f aca="false">IF(G258="","",COUNTIF('Linha do tempo'!$D:$D,G258))</f>
        <v/>
      </c>
      <c r="L258" s="19" t="str">
        <f aca="false">IF(AND(G258="",F258=""),"",TRIM(IF(AND(G258&lt;&gt;"",COUNTIF($G:$G,G258)&gt;1),"ID repetido. ","")&amp;IF(AND(F258&lt;&gt;"",LEN(TRIM(F258))&lt;&gt;64),"Hash deve ter 64 caracteres.","")))</f>
        <v/>
      </c>
      <c r="M258" s="5"/>
    </row>
    <row r="259" customFormat="false" ht="15" hidden="false" customHeight="false" outlineLevel="0" collapsed="false">
      <c r="A259" s="5"/>
      <c r="B259" s="25"/>
      <c r="C259" s="5"/>
      <c r="D259" s="5"/>
      <c r="E259" s="26"/>
      <c r="F259" s="26"/>
      <c r="G259" s="27"/>
      <c r="H259" s="14"/>
      <c r="I259" s="5"/>
      <c r="J259" s="5"/>
      <c r="K259" s="28" t="str">
        <f aca="false">IF(G259="","",COUNTIF('Linha do tempo'!$D:$D,G259))</f>
        <v/>
      </c>
      <c r="L259" s="19" t="str">
        <f aca="false">IF(AND(G259="",F259=""),"",TRIM(IF(AND(G259&lt;&gt;"",COUNTIF($G:$G,G259)&gt;1),"ID repetido. ","")&amp;IF(AND(F259&lt;&gt;"",LEN(TRIM(F259))&lt;&gt;64),"Hash deve ter 64 caracteres.","")))</f>
        <v/>
      </c>
      <c r="M259" s="5"/>
    </row>
    <row r="260" customFormat="false" ht="15" hidden="false" customHeight="false" outlineLevel="0" collapsed="false">
      <c r="A260" s="5"/>
      <c r="B260" s="25"/>
      <c r="C260" s="5"/>
      <c r="D260" s="5"/>
      <c r="E260" s="26"/>
      <c r="F260" s="26"/>
      <c r="G260" s="27"/>
      <c r="H260" s="14"/>
      <c r="I260" s="5"/>
      <c r="J260" s="5"/>
      <c r="K260" s="28" t="str">
        <f aca="false">IF(G260="","",COUNTIF('Linha do tempo'!$D:$D,G260))</f>
        <v/>
      </c>
      <c r="L260" s="19" t="str">
        <f aca="false">IF(AND(G260="",F260=""),"",TRIM(IF(AND(G260&lt;&gt;"",COUNTIF($G:$G,G260)&gt;1),"ID repetido. ","")&amp;IF(AND(F260&lt;&gt;"",LEN(TRIM(F260))&lt;&gt;64),"Hash deve ter 64 caracteres.","")))</f>
        <v/>
      </c>
      <c r="M260" s="5"/>
    </row>
    <row r="261" customFormat="false" ht="15" hidden="false" customHeight="false" outlineLevel="0" collapsed="false">
      <c r="A261" s="5"/>
      <c r="B261" s="25"/>
      <c r="C261" s="5"/>
      <c r="D261" s="5"/>
      <c r="E261" s="26"/>
      <c r="F261" s="26"/>
      <c r="G261" s="27"/>
      <c r="H261" s="14"/>
      <c r="I261" s="5"/>
      <c r="J261" s="5"/>
      <c r="K261" s="28" t="str">
        <f aca="false">IF(G261="","",COUNTIF('Linha do tempo'!$D:$D,G261))</f>
        <v/>
      </c>
      <c r="L261" s="19" t="str">
        <f aca="false">IF(AND(G261="",F261=""),"",TRIM(IF(AND(G261&lt;&gt;"",COUNTIF($G:$G,G261)&gt;1),"ID repetido. ","")&amp;IF(AND(F261&lt;&gt;"",LEN(TRIM(F261))&lt;&gt;64),"Hash deve ter 64 caracteres.","")))</f>
        <v/>
      </c>
      <c r="M261" s="5"/>
    </row>
    <row r="262" customFormat="false" ht="15" hidden="false" customHeight="false" outlineLevel="0" collapsed="false">
      <c r="A262" s="5"/>
      <c r="B262" s="25"/>
      <c r="C262" s="5"/>
      <c r="D262" s="5"/>
      <c r="E262" s="26"/>
      <c r="F262" s="26"/>
      <c r="G262" s="27"/>
      <c r="H262" s="14"/>
      <c r="I262" s="5"/>
      <c r="J262" s="5"/>
      <c r="K262" s="28" t="str">
        <f aca="false">IF(G262="","",COUNTIF('Linha do tempo'!$D:$D,G262))</f>
        <v/>
      </c>
      <c r="L262" s="19" t="str">
        <f aca="false">IF(AND(G262="",F262=""),"",TRIM(IF(AND(G262&lt;&gt;"",COUNTIF($G:$G,G262)&gt;1),"ID repetido. ","")&amp;IF(AND(F262&lt;&gt;"",LEN(TRIM(F262))&lt;&gt;64),"Hash deve ter 64 caracteres.","")))</f>
        <v/>
      </c>
      <c r="M262" s="5"/>
    </row>
    <row r="263" customFormat="false" ht="15" hidden="false" customHeight="false" outlineLevel="0" collapsed="false">
      <c r="A263" s="5"/>
      <c r="B263" s="25"/>
      <c r="C263" s="5"/>
      <c r="D263" s="5"/>
      <c r="E263" s="26"/>
      <c r="F263" s="26"/>
      <c r="G263" s="27"/>
      <c r="H263" s="14"/>
      <c r="I263" s="5"/>
      <c r="J263" s="5"/>
      <c r="K263" s="28" t="str">
        <f aca="false">IF(G263="","",COUNTIF('Linha do tempo'!$D:$D,G263))</f>
        <v/>
      </c>
      <c r="L263" s="19" t="str">
        <f aca="false">IF(AND(G263="",F263=""),"",TRIM(IF(AND(G263&lt;&gt;"",COUNTIF($G:$G,G263)&gt;1),"ID repetido. ","")&amp;IF(AND(F263&lt;&gt;"",LEN(TRIM(F263))&lt;&gt;64),"Hash deve ter 64 caracteres.","")))</f>
        <v/>
      </c>
      <c r="M263" s="5"/>
    </row>
    <row r="264" customFormat="false" ht="15" hidden="false" customHeight="false" outlineLevel="0" collapsed="false">
      <c r="A264" s="5"/>
      <c r="B264" s="25"/>
      <c r="C264" s="5"/>
      <c r="D264" s="5"/>
      <c r="E264" s="26"/>
      <c r="F264" s="26"/>
      <c r="G264" s="27"/>
      <c r="H264" s="14"/>
      <c r="I264" s="5"/>
      <c r="J264" s="5"/>
      <c r="K264" s="28" t="str">
        <f aca="false">IF(G264="","",COUNTIF('Linha do tempo'!$D:$D,G264))</f>
        <v/>
      </c>
      <c r="L264" s="19" t="str">
        <f aca="false">IF(AND(G264="",F264=""),"",TRIM(IF(AND(G264&lt;&gt;"",COUNTIF($G:$G,G264)&gt;1),"ID repetido. ","")&amp;IF(AND(F264&lt;&gt;"",LEN(TRIM(F264))&lt;&gt;64),"Hash deve ter 64 caracteres.","")))</f>
        <v/>
      </c>
      <c r="M264" s="5"/>
    </row>
    <row r="265" customFormat="false" ht="15" hidden="false" customHeight="false" outlineLevel="0" collapsed="false">
      <c r="A265" s="5"/>
      <c r="B265" s="25"/>
      <c r="C265" s="5"/>
      <c r="D265" s="5"/>
      <c r="E265" s="26"/>
      <c r="F265" s="26"/>
      <c r="G265" s="27"/>
      <c r="H265" s="14"/>
      <c r="I265" s="5"/>
      <c r="J265" s="5"/>
      <c r="K265" s="28" t="str">
        <f aca="false">IF(G265="","",COUNTIF('Linha do tempo'!$D:$D,G265))</f>
        <v/>
      </c>
      <c r="L265" s="19" t="str">
        <f aca="false">IF(AND(G265="",F265=""),"",TRIM(IF(AND(G265&lt;&gt;"",COUNTIF($G:$G,G265)&gt;1),"ID repetido. ","")&amp;IF(AND(F265&lt;&gt;"",LEN(TRIM(F265))&lt;&gt;64),"Hash deve ter 64 caracteres.","")))</f>
        <v/>
      </c>
      <c r="M265" s="5"/>
    </row>
    <row r="266" customFormat="false" ht="15" hidden="false" customHeight="false" outlineLevel="0" collapsed="false">
      <c r="A266" s="5"/>
      <c r="B266" s="25"/>
      <c r="C266" s="5"/>
      <c r="D266" s="5"/>
      <c r="E266" s="26"/>
      <c r="F266" s="26"/>
      <c r="G266" s="27"/>
      <c r="H266" s="14"/>
      <c r="I266" s="5"/>
      <c r="J266" s="5"/>
      <c r="K266" s="28" t="str">
        <f aca="false">IF(G266="","",COUNTIF('Linha do tempo'!$D:$D,G266))</f>
        <v/>
      </c>
      <c r="L266" s="19" t="str">
        <f aca="false">IF(AND(G266="",F266=""),"",TRIM(IF(AND(G266&lt;&gt;"",COUNTIF($G:$G,G266)&gt;1),"ID repetido. ","")&amp;IF(AND(F266&lt;&gt;"",LEN(TRIM(F266))&lt;&gt;64),"Hash deve ter 64 caracteres.","")))</f>
        <v/>
      </c>
      <c r="M266" s="5"/>
    </row>
    <row r="267" customFormat="false" ht="15" hidden="false" customHeight="false" outlineLevel="0" collapsed="false">
      <c r="A267" s="5"/>
      <c r="B267" s="25"/>
      <c r="C267" s="5"/>
      <c r="D267" s="5"/>
      <c r="E267" s="26"/>
      <c r="F267" s="26"/>
      <c r="G267" s="27"/>
      <c r="H267" s="14"/>
      <c r="I267" s="5"/>
      <c r="J267" s="5"/>
      <c r="K267" s="28" t="str">
        <f aca="false">IF(G267="","",COUNTIF('Linha do tempo'!$D:$D,G267))</f>
        <v/>
      </c>
      <c r="L267" s="19" t="str">
        <f aca="false">IF(AND(G267="",F267=""),"",TRIM(IF(AND(G267&lt;&gt;"",COUNTIF($G:$G,G267)&gt;1),"ID repetido. ","")&amp;IF(AND(F267&lt;&gt;"",LEN(TRIM(F267))&lt;&gt;64),"Hash deve ter 64 caracteres.","")))</f>
        <v/>
      </c>
      <c r="M267" s="5"/>
    </row>
    <row r="268" customFormat="false" ht="15" hidden="false" customHeight="false" outlineLevel="0" collapsed="false">
      <c r="A268" s="5"/>
      <c r="B268" s="25"/>
      <c r="C268" s="5"/>
      <c r="D268" s="5"/>
      <c r="E268" s="26"/>
      <c r="F268" s="26"/>
      <c r="G268" s="27"/>
      <c r="H268" s="14"/>
      <c r="I268" s="5"/>
      <c r="J268" s="5"/>
      <c r="K268" s="28" t="str">
        <f aca="false">IF(G268="","",COUNTIF('Linha do tempo'!$D:$D,G268))</f>
        <v/>
      </c>
      <c r="L268" s="19" t="str">
        <f aca="false">IF(AND(G268="",F268=""),"",TRIM(IF(AND(G268&lt;&gt;"",COUNTIF($G:$G,G268)&gt;1),"ID repetido. ","")&amp;IF(AND(F268&lt;&gt;"",LEN(TRIM(F268))&lt;&gt;64),"Hash deve ter 64 caracteres.","")))</f>
        <v/>
      </c>
      <c r="M268" s="5"/>
    </row>
    <row r="269" customFormat="false" ht="15" hidden="false" customHeight="false" outlineLevel="0" collapsed="false">
      <c r="A269" s="5"/>
      <c r="B269" s="25"/>
      <c r="C269" s="5"/>
      <c r="D269" s="5"/>
      <c r="E269" s="26"/>
      <c r="F269" s="26"/>
      <c r="G269" s="27"/>
      <c r="H269" s="14"/>
      <c r="I269" s="5"/>
      <c r="J269" s="5"/>
      <c r="K269" s="28" t="str">
        <f aca="false">IF(G269="","",COUNTIF('Linha do tempo'!$D:$D,G269))</f>
        <v/>
      </c>
      <c r="L269" s="19" t="str">
        <f aca="false">IF(AND(G269="",F269=""),"",TRIM(IF(AND(G269&lt;&gt;"",COUNTIF($G:$G,G269)&gt;1),"ID repetido. ","")&amp;IF(AND(F269&lt;&gt;"",LEN(TRIM(F269))&lt;&gt;64),"Hash deve ter 64 caracteres.","")))</f>
        <v/>
      </c>
      <c r="M269" s="5"/>
    </row>
    <row r="270" customFormat="false" ht="15" hidden="false" customHeight="false" outlineLevel="0" collapsed="false">
      <c r="A270" s="5"/>
      <c r="B270" s="25"/>
      <c r="C270" s="5"/>
      <c r="D270" s="5"/>
      <c r="E270" s="26"/>
      <c r="F270" s="26"/>
      <c r="G270" s="27"/>
      <c r="H270" s="14"/>
      <c r="I270" s="5"/>
      <c r="J270" s="5"/>
      <c r="K270" s="28" t="str">
        <f aca="false">IF(G270="","",COUNTIF('Linha do tempo'!$D:$D,G270))</f>
        <v/>
      </c>
      <c r="L270" s="19" t="str">
        <f aca="false">IF(AND(G270="",F270=""),"",TRIM(IF(AND(G270&lt;&gt;"",COUNTIF($G:$G,G270)&gt;1),"ID repetido. ","")&amp;IF(AND(F270&lt;&gt;"",LEN(TRIM(F270))&lt;&gt;64),"Hash deve ter 64 caracteres.","")))</f>
        <v/>
      </c>
      <c r="M270" s="5"/>
    </row>
    <row r="271" customFormat="false" ht="15" hidden="false" customHeight="false" outlineLevel="0" collapsed="false">
      <c r="A271" s="5"/>
      <c r="B271" s="25"/>
      <c r="C271" s="5"/>
      <c r="D271" s="5"/>
      <c r="E271" s="26"/>
      <c r="F271" s="26"/>
      <c r="G271" s="27"/>
      <c r="H271" s="14"/>
      <c r="I271" s="5"/>
      <c r="J271" s="5"/>
      <c r="K271" s="28" t="str">
        <f aca="false">IF(G271="","",COUNTIF('Linha do tempo'!$D:$D,G271))</f>
        <v/>
      </c>
      <c r="L271" s="19" t="str">
        <f aca="false">IF(AND(G271="",F271=""),"",TRIM(IF(AND(G271&lt;&gt;"",COUNTIF($G:$G,G271)&gt;1),"ID repetido. ","")&amp;IF(AND(F271&lt;&gt;"",LEN(TRIM(F271))&lt;&gt;64),"Hash deve ter 64 caracteres.","")))</f>
        <v/>
      </c>
      <c r="M271" s="5"/>
    </row>
    <row r="272" customFormat="false" ht="15" hidden="false" customHeight="false" outlineLevel="0" collapsed="false">
      <c r="A272" s="5"/>
      <c r="B272" s="25"/>
      <c r="C272" s="5"/>
      <c r="D272" s="5"/>
      <c r="E272" s="26"/>
      <c r="F272" s="26"/>
      <c r="G272" s="27"/>
      <c r="H272" s="14"/>
      <c r="I272" s="5"/>
      <c r="J272" s="5"/>
      <c r="K272" s="28" t="str">
        <f aca="false">IF(G272="","",COUNTIF('Linha do tempo'!$D:$D,G272))</f>
        <v/>
      </c>
      <c r="L272" s="19" t="str">
        <f aca="false">IF(AND(G272="",F272=""),"",TRIM(IF(AND(G272&lt;&gt;"",COUNTIF($G:$G,G272)&gt;1),"ID repetido. ","")&amp;IF(AND(F272&lt;&gt;"",LEN(TRIM(F272))&lt;&gt;64),"Hash deve ter 64 caracteres.","")))</f>
        <v/>
      </c>
      <c r="M272" s="5"/>
    </row>
    <row r="273" customFormat="false" ht="15" hidden="false" customHeight="false" outlineLevel="0" collapsed="false">
      <c r="A273" s="5"/>
      <c r="B273" s="25"/>
      <c r="C273" s="5"/>
      <c r="D273" s="5"/>
      <c r="E273" s="26"/>
      <c r="F273" s="26"/>
      <c r="G273" s="27"/>
      <c r="H273" s="14"/>
      <c r="I273" s="5"/>
      <c r="J273" s="5"/>
      <c r="K273" s="28" t="str">
        <f aca="false">IF(G273="","",COUNTIF('Linha do tempo'!$D:$D,G273))</f>
        <v/>
      </c>
      <c r="L273" s="19" t="str">
        <f aca="false">IF(AND(G273="",F273=""),"",TRIM(IF(AND(G273&lt;&gt;"",COUNTIF($G:$G,G273)&gt;1),"ID repetido. ","")&amp;IF(AND(F273&lt;&gt;"",LEN(TRIM(F273))&lt;&gt;64),"Hash deve ter 64 caracteres.","")))</f>
        <v/>
      </c>
      <c r="M273" s="5"/>
    </row>
    <row r="274" customFormat="false" ht="15" hidden="false" customHeight="false" outlineLevel="0" collapsed="false">
      <c r="A274" s="5"/>
      <c r="B274" s="25"/>
      <c r="C274" s="5"/>
      <c r="D274" s="5"/>
      <c r="E274" s="26"/>
      <c r="F274" s="26"/>
      <c r="G274" s="27"/>
      <c r="H274" s="14"/>
      <c r="I274" s="5"/>
      <c r="J274" s="5"/>
      <c r="K274" s="28" t="str">
        <f aca="false">IF(G274="","",COUNTIF('Linha do tempo'!$D:$D,G274))</f>
        <v/>
      </c>
      <c r="L274" s="19" t="str">
        <f aca="false">IF(AND(G274="",F274=""),"",TRIM(IF(AND(G274&lt;&gt;"",COUNTIF($G:$G,G274)&gt;1),"ID repetido. ","")&amp;IF(AND(F274&lt;&gt;"",LEN(TRIM(F274))&lt;&gt;64),"Hash deve ter 64 caracteres.","")))</f>
        <v/>
      </c>
      <c r="M274" s="5"/>
    </row>
    <row r="275" customFormat="false" ht="15" hidden="false" customHeight="false" outlineLevel="0" collapsed="false">
      <c r="A275" s="5"/>
      <c r="B275" s="25"/>
      <c r="C275" s="5"/>
      <c r="D275" s="5"/>
      <c r="E275" s="26"/>
      <c r="F275" s="26"/>
      <c r="G275" s="27"/>
      <c r="H275" s="14"/>
      <c r="I275" s="5"/>
      <c r="J275" s="5"/>
      <c r="K275" s="28" t="str">
        <f aca="false">IF(G275="","",COUNTIF('Linha do tempo'!$D:$D,G275))</f>
        <v/>
      </c>
      <c r="L275" s="19" t="str">
        <f aca="false">IF(AND(G275="",F275=""),"",TRIM(IF(AND(G275&lt;&gt;"",COUNTIF($G:$G,G275)&gt;1),"ID repetido. ","")&amp;IF(AND(F275&lt;&gt;"",LEN(TRIM(F275))&lt;&gt;64),"Hash deve ter 64 caracteres.","")))</f>
        <v/>
      </c>
      <c r="M275" s="5"/>
    </row>
    <row r="276" customFormat="false" ht="15" hidden="false" customHeight="false" outlineLevel="0" collapsed="false">
      <c r="A276" s="5"/>
      <c r="B276" s="25"/>
      <c r="C276" s="5"/>
      <c r="D276" s="5"/>
      <c r="E276" s="26"/>
      <c r="F276" s="26"/>
      <c r="G276" s="27"/>
      <c r="H276" s="14"/>
      <c r="I276" s="5"/>
      <c r="J276" s="5"/>
      <c r="K276" s="28" t="str">
        <f aca="false">IF(G276="","",COUNTIF('Linha do tempo'!$D:$D,G276))</f>
        <v/>
      </c>
      <c r="L276" s="19" t="str">
        <f aca="false">IF(AND(G276="",F276=""),"",TRIM(IF(AND(G276&lt;&gt;"",COUNTIF($G:$G,G276)&gt;1),"ID repetido. ","")&amp;IF(AND(F276&lt;&gt;"",LEN(TRIM(F276))&lt;&gt;64),"Hash deve ter 64 caracteres.","")))</f>
        <v/>
      </c>
      <c r="M276" s="5"/>
    </row>
    <row r="277" customFormat="false" ht="15" hidden="false" customHeight="false" outlineLevel="0" collapsed="false">
      <c r="A277" s="5"/>
      <c r="B277" s="25"/>
      <c r="C277" s="5"/>
      <c r="D277" s="5"/>
      <c r="E277" s="26"/>
      <c r="F277" s="26"/>
      <c r="G277" s="27"/>
      <c r="H277" s="14"/>
      <c r="I277" s="5"/>
      <c r="J277" s="5"/>
      <c r="K277" s="28" t="str">
        <f aca="false">IF(G277="","",COUNTIF('Linha do tempo'!$D:$D,G277))</f>
        <v/>
      </c>
      <c r="L277" s="19" t="str">
        <f aca="false">IF(AND(G277="",F277=""),"",TRIM(IF(AND(G277&lt;&gt;"",COUNTIF($G:$G,G277)&gt;1),"ID repetido. ","")&amp;IF(AND(F277&lt;&gt;"",LEN(TRIM(F277))&lt;&gt;64),"Hash deve ter 64 caracteres.","")))</f>
        <v/>
      </c>
      <c r="M277" s="5"/>
    </row>
    <row r="278" customFormat="false" ht="15" hidden="false" customHeight="false" outlineLevel="0" collapsed="false">
      <c r="A278" s="5"/>
      <c r="B278" s="25"/>
      <c r="C278" s="5"/>
      <c r="D278" s="5"/>
      <c r="E278" s="26"/>
      <c r="F278" s="26"/>
      <c r="G278" s="27"/>
      <c r="H278" s="14"/>
      <c r="I278" s="5"/>
      <c r="J278" s="5"/>
      <c r="K278" s="28" t="str">
        <f aca="false">IF(G278="","",COUNTIF('Linha do tempo'!$D:$D,G278))</f>
        <v/>
      </c>
      <c r="L278" s="19" t="str">
        <f aca="false">IF(AND(G278="",F278=""),"",TRIM(IF(AND(G278&lt;&gt;"",COUNTIF($G:$G,G278)&gt;1),"ID repetido. ","")&amp;IF(AND(F278&lt;&gt;"",LEN(TRIM(F278))&lt;&gt;64),"Hash deve ter 64 caracteres.","")))</f>
        <v/>
      </c>
      <c r="M278" s="5"/>
    </row>
    <row r="279" customFormat="false" ht="15" hidden="false" customHeight="false" outlineLevel="0" collapsed="false">
      <c r="A279" s="5"/>
      <c r="B279" s="25"/>
      <c r="C279" s="5"/>
      <c r="D279" s="5"/>
      <c r="E279" s="26"/>
      <c r="F279" s="26"/>
      <c r="G279" s="27"/>
      <c r="H279" s="14"/>
      <c r="I279" s="5"/>
      <c r="J279" s="5"/>
      <c r="K279" s="28" t="str">
        <f aca="false">IF(G279="","",COUNTIF('Linha do tempo'!$D:$D,G279))</f>
        <v/>
      </c>
      <c r="L279" s="19" t="str">
        <f aca="false">IF(AND(G279="",F279=""),"",TRIM(IF(AND(G279&lt;&gt;"",COUNTIF($G:$G,G279)&gt;1),"ID repetido. ","")&amp;IF(AND(F279&lt;&gt;"",LEN(TRIM(F279))&lt;&gt;64),"Hash deve ter 64 caracteres.","")))</f>
        <v/>
      </c>
      <c r="M279" s="5"/>
    </row>
    <row r="280" customFormat="false" ht="15" hidden="false" customHeight="false" outlineLevel="0" collapsed="false">
      <c r="A280" s="5"/>
      <c r="B280" s="25"/>
      <c r="C280" s="5"/>
      <c r="D280" s="5"/>
      <c r="E280" s="26"/>
      <c r="F280" s="26"/>
      <c r="G280" s="27"/>
      <c r="H280" s="14"/>
      <c r="I280" s="5"/>
      <c r="J280" s="5"/>
      <c r="K280" s="28" t="str">
        <f aca="false">IF(G280="","",COUNTIF('Linha do tempo'!$D:$D,G280))</f>
        <v/>
      </c>
      <c r="L280" s="19" t="str">
        <f aca="false">IF(AND(G280="",F280=""),"",TRIM(IF(AND(G280&lt;&gt;"",COUNTIF($G:$G,G280)&gt;1),"ID repetido. ","")&amp;IF(AND(F280&lt;&gt;"",LEN(TRIM(F280))&lt;&gt;64),"Hash deve ter 64 caracteres.","")))</f>
        <v/>
      </c>
      <c r="M280" s="5"/>
    </row>
    <row r="281" customFormat="false" ht="15" hidden="false" customHeight="false" outlineLevel="0" collapsed="false">
      <c r="A281" s="5"/>
      <c r="B281" s="25"/>
      <c r="C281" s="5"/>
      <c r="D281" s="5"/>
      <c r="E281" s="26"/>
      <c r="F281" s="26"/>
      <c r="G281" s="27"/>
      <c r="H281" s="14"/>
      <c r="I281" s="5"/>
      <c r="J281" s="5"/>
      <c r="K281" s="28" t="str">
        <f aca="false">IF(G281="","",COUNTIF('Linha do tempo'!$D:$D,G281))</f>
        <v/>
      </c>
      <c r="L281" s="19" t="str">
        <f aca="false">IF(AND(G281="",F281=""),"",TRIM(IF(AND(G281&lt;&gt;"",COUNTIF($G:$G,G281)&gt;1),"ID repetido. ","")&amp;IF(AND(F281&lt;&gt;"",LEN(TRIM(F281))&lt;&gt;64),"Hash deve ter 64 caracteres.","")))</f>
        <v/>
      </c>
      <c r="M281" s="5"/>
    </row>
    <row r="282" customFormat="false" ht="15" hidden="false" customHeight="false" outlineLevel="0" collapsed="false">
      <c r="A282" s="5"/>
      <c r="B282" s="25"/>
      <c r="C282" s="5"/>
      <c r="D282" s="5"/>
      <c r="E282" s="26"/>
      <c r="F282" s="26"/>
      <c r="G282" s="27"/>
      <c r="H282" s="14"/>
      <c r="I282" s="5"/>
      <c r="J282" s="5"/>
      <c r="K282" s="28" t="str">
        <f aca="false">IF(G282="","",COUNTIF('Linha do tempo'!$D:$D,G282))</f>
        <v/>
      </c>
      <c r="L282" s="19" t="str">
        <f aca="false">IF(AND(G282="",F282=""),"",TRIM(IF(AND(G282&lt;&gt;"",COUNTIF($G:$G,G282)&gt;1),"ID repetido. ","")&amp;IF(AND(F282&lt;&gt;"",LEN(TRIM(F282))&lt;&gt;64),"Hash deve ter 64 caracteres.","")))</f>
        <v/>
      </c>
      <c r="M282" s="5"/>
    </row>
    <row r="283" customFormat="false" ht="15" hidden="false" customHeight="false" outlineLevel="0" collapsed="false">
      <c r="A283" s="5"/>
      <c r="B283" s="25"/>
      <c r="C283" s="5"/>
      <c r="D283" s="5"/>
      <c r="E283" s="26"/>
      <c r="F283" s="26"/>
      <c r="G283" s="27"/>
      <c r="H283" s="14"/>
      <c r="I283" s="5"/>
      <c r="J283" s="5"/>
      <c r="K283" s="28" t="str">
        <f aca="false">IF(G283="","",COUNTIF('Linha do tempo'!$D:$D,G283))</f>
        <v/>
      </c>
      <c r="L283" s="19" t="str">
        <f aca="false">IF(AND(G283="",F283=""),"",TRIM(IF(AND(G283&lt;&gt;"",COUNTIF($G:$G,G283)&gt;1),"ID repetido. ","")&amp;IF(AND(F283&lt;&gt;"",LEN(TRIM(F283))&lt;&gt;64),"Hash deve ter 64 caracteres.","")))</f>
        <v/>
      </c>
      <c r="M283" s="5"/>
    </row>
    <row r="284" customFormat="false" ht="15" hidden="false" customHeight="false" outlineLevel="0" collapsed="false">
      <c r="A284" s="5"/>
      <c r="B284" s="25"/>
      <c r="C284" s="5"/>
      <c r="D284" s="5"/>
      <c r="E284" s="26"/>
      <c r="F284" s="26"/>
      <c r="G284" s="27"/>
      <c r="H284" s="14"/>
      <c r="I284" s="5"/>
      <c r="J284" s="5"/>
      <c r="K284" s="28" t="str">
        <f aca="false">IF(G284="","",COUNTIF('Linha do tempo'!$D:$D,G284))</f>
        <v/>
      </c>
      <c r="L284" s="19" t="str">
        <f aca="false">IF(AND(G284="",F284=""),"",TRIM(IF(AND(G284&lt;&gt;"",COUNTIF($G:$G,G284)&gt;1),"ID repetido. ","")&amp;IF(AND(F284&lt;&gt;"",LEN(TRIM(F284))&lt;&gt;64),"Hash deve ter 64 caracteres.","")))</f>
        <v/>
      </c>
      <c r="M284" s="5"/>
    </row>
    <row r="285" customFormat="false" ht="15" hidden="false" customHeight="false" outlineLevel="0" collapsed="false">
      <c r="A285" s="5"/>
      <c r="B285" s="25"/>
      <c r="C285" s="5"/>
      <c r="D285" s="5"/>
      <c r="E285" s="26"/>
      <c r="F285" s="26"/>
      <c r="G285" s="27"/>
      <c r="H285" s="14"/>
      <c r="I285" s="5"/>
      <c r="J285" s="5"/>
      <c r="K285" s="28" t="str">
        <f aca="false">IF(G285="","",COUNTIF('Linha do tempo'!$D:$D,G285))</f>
        <v/>
      </c>
      <c r="L285" s="19" t="str">
        <f aca="false">IF(AND(G285="",F285=""),"",TRIM(IF(AND(G285&lt;&gt;"",COUNTIF($G:$G,G285)&gt;1),"ID repetido. ","")&amp;IF(AND(F285&lt;&gt;"",LEN(TRIM(F285))&lt;&gt;64),"Hash deve ter 64 caracteres.","")))</f>
        <v/>
      </c>
      <c r="M285" s="5"/>
    </row>
    <row r="286" customFormat="false" ht="15" hidden="false" customHeight="false" outlineLevel="0" collapsed="false">
      <c r="A286" s="5"/>
      <c r="B286" s="25"/>
      <c r="C286" s="5"/>
      <c r="D286" s="5"/>
      <c r="E286" s="26"/>
      <c r="F286" s="26"/>
      <c r="G286" s="27"/>
      <c r="H286" s="14"/>
      <c r="I286" s="5"/>
      <c r="J286" s="5"/>
      <c r="K286" s="28" t="str">
        <f aca="false">IF(G286="","",COUNTIF('Linha do tempo'!$D:$D,G286))</f>
        <v/>
      </c>
      <c r="L286" s="19" t="str">
        <f aca="false">IF(AND(G286="",F286=""),"",TRIM(IF(AND(G286&lt;&gt;"",COUNTIF($G:$G,G286)&gt;1),"ID repetido. ","")&amp;IF(AND(F286&lt;&gt;"",LEN(TRIM(F286))&lt;&gt;64),"Hash deve ter 64 caracteres.","")))</f>
        <v/>
      </c>
      <c r="M286" s="5"/>
    </row>
    <row r="287" customFormat="false" ht="15" hidden="false" customHeight="false" outlineLevel="0" collapsed="false">
      <c r="A287" s="5"/>
      <c r="B287" s="25"/>
      <c r="C287" s="5"/>
      <c r="D287" s="5"/>
      <c r="E287" s="26"/>
      <c r="F287" s="26"/>
      <c r="G287" s="27"/>
      <c r="H287" s="14"/>
      <c r="I287" s="5"/>
      <c r="J287" s="5"/>
      <c r="K287" s="28" t="str">
        <f aca="false">IF(G287="","",COUNTIF('Linha do tempo'!$D:$D,G287))</f>
        <v/>
      </c>
      <c r="L287" s="19" t="str">
        <f aca="false">IF(AND(G287="",F287=""),"",TRIM(IF(AND(G287&lt;&gt;"",COUNTIF($G:$G,G287)&gt;1),"ID repetido. ","")&amp;IF(AND(F287&lt;&gt;"",LEN(TRIM(F287))&lt;&gt;64),"Hash deve ter 64 caracteres.","")))</f>
        <v/>
      </c>
      <c r="M287" s="5"/>
    </row>
    <row r="288" customFormat="false" ht="15" hidden="false" customHeight="false" outlineLevel="0" collapsed="false">
      <c r="A288" s="5"/>
      <c r="B288" s="25"/>
      <c r="C288" s="5"/>
      <c r="D288" s="5"/>
      <c r="E288" s="26"/>
      <c r="F288" s="26"/>
      <c r="G288" s="27"/>
      <c r="H288" s="14"/>
      <c r="I288" s="5"/>
      <c r="J288" s="5"/>
      <c r="K288" s="28" t="str">
        <f aca="false">IF(G288="","",COUNTIF('Linha do tempo'!$D:$D,G288))</f>
        <v/>
      </c>
      <c r="L288" s="19" t="str">
        <f aca="false">IF(AND(G288="",F288=""),"",TRIM(IF(AND(G288&lt;&gt;"",COUNTIF($G:$G,G288)&gt;1),"ID repetido. ","")&amp;IF(AND(F288&lt;&gt;"",LEN(TRIM(F288))&lt;&gt;64),"Hash deve ter 64 caracteres.","")))</f>
        <v/>
      </c>
      <c r="M288" s="5"/>
    </row>
    <row r="289" customFormat="false" ht="15" hidden="false" customHeight="false" outlineLevel="0" collapsed="false">
      <c r="A289" s="5"/>
      <c r="B289" s="25"/>
      <c r="C289" s="5"/>
      <c r="D289" s="5"/>
      <c r="E289" s="26"/>
      <c r="F289" s="26"/>
      <c r="G289" s="27"/>
      <c r="H289" s="14"/>
      <c r="I289" s="5"/>
      <c r="J289" s="5"/>
      <c r="K289" s="28" t="str">
        <f aca="false">IF(G289="","",COUNTIF('Linha do tempo'!$D:$D,G289))</f>
        <v/>
      </c>
      <c r="L289" s="19" t="str">
        <f aca="false">IF(AND(G289="",F289=""),"",TRIM(IF(AND(G289&lt;&gt;"",COUNTIF($G:$G,G289)&gt;1),"ID repetido. ","")&amp;IF(AND(F289&lt;&gt;"",LEN(TRIM(F289))&lt;&gt;64),"Hash deve ter 64 caracteres.","")))</f>
        <v/>
      </c>
      <c r="M289" s="5"/>
    </row>
    <row r="290" customFormat="false" ht="15" hidden="false" customHeight="false" outlineLevel="0" collapsed="false">
      <c r="A290" s="5"/>
      <c r="B290" s="25"/>
      <c r="C290" s="5"/>
      <c r="D290" s="5"/>
      <c r="E290" s="26"/>
      <c r="F290" s="26"/>
      <c r="G290" s="27"/>
      <c r="H290" s="14"/>
      <c r="I290" s="5"/>
      <c r="J290" s="5"/>
      <c r="K290" s="28" t="str">
        <f aca="false">IF(G290="","",COUNTIF('Linha do tempo'!$D:$D,G290))</f>
        <v/>
      </c>
      <c r="L290" s="19" t="str">
        <f aca="false">IF(AND(G290="",F290=""),"",TRIM(IF(AND(G290&lt;&gt;"",COUNTIF($G:$G,G290)&gt;1),"ID repetido. ","")&amp;IF(AND(F290&lt;&gt;"",LEN(TRIM(F290))&lt;&gt;64),"Hash deve ter 64 caracteres.","")))</f>
        <v/>
      </c>
      <c r="M290" s="5"/>
    </row>
    <row r="291" customFormat="false" ht="15" hidden="false" customHeight="false" outlineLevel="0" collapsed="false">
      <c r="A291" s="5"/>
      <c r="B291" s="25"/>
      <c r="C291" s="5"/>
      <c r="D291" s="5"/>
      <c r="E291" s="26"/>
      <c r="F291" s="26"/>
      <c r="G291" s="27"/>
      <c r="H291" s="14"/>
      <c r="I291" s="5"/>
      <c r="J291" s="5"/>
      <c r="K291" s="28" t="str">
        <f aca="false">IF(G291="","",COUNTIF('Linha do tempo'!$D:$D,G291))</f>
        <v/>
      </c>
      <c r="L291" s="19" t="str">
        <f aca="false">IF(AND(G291="",F291=""),"",TRIM(IF(AND(G291&lt;&gt;"",COUNTIF($G:$G,G291)&gt;1),"ID repetido. ","")&amp;IF(AND(F291&lt;&gt;"",LEN(TRIM(F291))&lt;&gt;64),"Hash deve ter 64 caracteres.","")))</f>
        <v/>
      </c>
      <c r="M291" s="5"/>
    </row>
    <row r="292" customFormat="false" ht="15" hidden="false" customHeight="false" outlineLevel="0" collapsed="false">
      <c r="A292" s="5"/>
      <c r="B292" s="25"/>
      <c r="C292" s="5"/>
      <c r="D292" s="5"/>
      <c r="E292" s="26"/>
      <c r="F292" s="26"/>
      <c r="G292" s="27"/>
      <c r="H292" s="14"/>
      <c r="I292" s="5"/>
      <c r="J292" s="5"/>
      <c r="K292" s="28" t="str">
        <f aca="false">IF(G292="","",COUNTIF('Linha do tempo'!$D:$D,G292))</f>
        <v/>
      </c>
      <c r="L292" s="19" t="str">
        <f aca="false">IF(AND(G292="",F292=""),"",TRIM(IF(AND(G292&lt;&gt;"",COUNTIF($G:$G,G292)&gt;1),"ID repetido. ","")&amp;IF(AND(F292&lt;&gt;"",LEN(TRIM(F292))&lt;&gt;64),"Hash deve ter 64 caracteres.","")))</f>
        <v/>
      </c>
      <c r="M292" s="5"/>
    </row>
    <row r="293" customFormat="false" ht="15" hidden="false" customHeight="false" outlineLevel="0" collapsed="false">
      <c r="A293" s="5"/>
      <c r="B293" s="25"/>
      <c r="C293" s="5"/>
      <c r="D293" s="5"/>
      <c r="E293" s="26"/>
      <c r="F293" s="26"/>
      <c r="G293" s="27"/>
      <c r="H293" s="14"/>
      <c r="I293" s="5"/>
      <c r="J293" s="5"/>
      <c r="K293" s="28" t="str">
        <f aca="false">IF(G293="","",COUNTIF('Linha do tempo'!$D:$D,G293))</f>
        <v/>
      </c>
      <c r="L293" s="19" t="str">
        <f aca="false">IF(AND(G293="",F293=""),"",TRIM(IF(AND(G293&lt;&gt;"",COUNTIF($G:$G,G293)&gt;1),"ID repetido. ","")&amp;IF(AND(F293&lt;&gt;"",LEN(TRIM(F293))&lt;&gt;64),"Hash deve ter 64 caracteres.","")))</f>
        <v/>
      </c>
      <c r="M293" s="5"/>
    </row>
    <row r="294" customFormat="false" ht="15" hidden="false" customHeight="false" outlineLevel="0" collapsed="false">
      <c r="A294" s="5"/>
      <c r="B294" s="25"/>
      <c r="C294" s="5"/>
      <c r="D294" s="5"/>
      <c r="E294" s="26"/>
      <c r="F294" s="26"/>
      <c r="G294" s="27"/>
      <c r="H294" s="14"/>
      <c r="I294" s="5"/>
      <c r="J294" s="5"/>
      <c r="K294" s="28" t="str">
        <f aca="false">IF(G294="","",COUNTIF('Linha do tempo'!$D:$D,G294))</f>
        <v/>
      </c>
      <c r="L294" s="19" t="str">
        <f aca="false">IF(AND(G294="",F294=""),"",TRIM(IF(AND(G294&lt;&gt;"",COUNTIF($G:$G,G294)&gt;1),"ID repetido. ","")&amp;IF(AND(F294&lt;&gt;"",LEN(TRIM(F294))&lt;&gt;64),"Hash deve ter 64 caracteres.","")))</f>
        <v/>
      </c>
      <c r="M294" s="5"/>
    </row>
    <row r="295" customFormat="false" ht="15" hidden="false" customHeight="false" outlineLevel="0" collapsed="false">
      <c r="A295" s="5"/>
      <c r="B295" s="25"/>
      <c r="C295" s="5"/>
      <c r="D295" s="5"/>
      <c r="E295" s="26"/>
      <c r="F295" s="26"/>
      <c r="G295" s="27"/>
      <c r="H295" s="14"/>
      <c r="I295" s="5"/>
      <c r="J295" s="5"/>
      <c r="K295" s="28" t="str">
        <f aca="false">IF(G295="","",COUNTIF('Linha do tempo'!$D:$D,G295))</f>
        <v/>
      </c>
      <c r="L295" s="19" t="str">
        <f aca="false">IF(AND(G295="",F295=""),"",TRIM(IF(AND(G295&lt;&gt;"",COUNTIF($G:$G,G295)&gt;1),"ID repetido. ","")&amp;IF(AND(F295&lt;&gt;"",LEN(TRIM(F295))&lt;&gt;64),"Hash deve ter 64 caracteres.","")))</f>
        <v/>
      </c>
      <c r="M295" s="5"/>
    </row>
    <row r="296" customFormat="false" ht="15" hidden="false" customHeight="false" outlineLevel="0" collapsed="false">
      <c r="A296" s="5"/>
      <c r="B296" s="25"/>
      <c r="C296" s="5"/>
      <c r="D296" s="5"/>
      <c r="E296" s="26"/>
      <c r="F296" s="26"/>
      <c r="G296" s="27"/>
      <c r="H296" s="14"/>
      <c r="I296" s="5"/>
      <c r="J296" s="5"/>
      <c r="K296" s="28" t="str">
        <f aca="false">IF(G296="","",COUNTIF('Linha do tempo'!$D:$D,G296))</f>
        <v/>
      </c>
      <c r="L296" s="19" t="str">
        <f aca="false">IF(AND(G296="",F296=""),"",TRIM(IF(AND(G296&lt;&gt;"",COUNTIF($G:$G,G296)&gt;1),"ID repetido. ","")&amp;IF(AND(F296&lt;&gt;"",LEN(TRIM(F296))&lt;&gt;64),"Hash deve ter 64 caracteres.","")))</f>
        <v/>
      </c>
      <c r="M296" s="5"/>
    </row>
    <row r="297" customFormat="false" ht="15" hidden="false" customHeight="false" outlineLevel="0" collapsed="false">
      <c r="A297" s="5"/>
      <c r="B297" s="25"/>
      <c r="C297" s="5"/>
      <c r="D297" s="5"/>
      <c r="E297" s="26"/>
      <c r="F297" s="26"/>
      <c r="G297" s="27"/>
      <c r="H297" s="14"/>
      <c r="I297" s="5"/>
      <c r="J297" s="5"/>
      <c r="K297" s="28" t="str">
        <f aca="false">IF(G297="","",COUNTIF('Linha do tempo'!$D:$D,G297))</f>
        <v/>
      </c>
      <c r="L297" s="19" t="str">
        <f aca="false">IF(AND(G297="",F297=""),"",TRIM(IF(AND(G297&lt;&gt;"",COUNTIF($G:$G,G297)&gt;1),"ID repetido. ","")&amp;IF(AND(F297&lt;&gt;"",LEN(TRIM(F297))&lt;&gt;64),"Hash deve ter 64 caracteres.","")))</f>
        <v/>
      </c>
      <c r="M297" s="5"/>
    </row>
    <row r="298" customFormat="false" ht="15" hidden="false" customHeight="false" outlineLevel="0" collapsed="false">
      <c r="A298" s="5"/>
      <c r="B298" s="25"/>
      <c r="C298" s="5"/>
      <c r="D298" s="5"/>
      <c r="E298" s="26"/>
      <c r="F298" s="26"/>
      <c r="G298" s="27"/>
      <c r="H298" s="14"/>
      <c r="I298" s="5"/>
      <c r="J298" s="5"/>
      <c r="K298" s="28" t="str">
        <f aca="false">IF(G298="","",COUNTIF('Linha do tempo'!$D:$D,G298))</f>
        <v/>
      </c>
      <c r="L298" s="19" t="str">
        <f aca="false">IF(AND(G298="",F298=""),"",TRIM(IF(AND(G298&lt;&gt;"",COUNTIF($G:$G,G298)&gt;1),"ID repetido. ","")&amp;IF(AND(F298&lt;&gt;"",LEN(TRIM(F298))&lt;&gt;64),"Hash deve ter 64 caracteres.","")))</f>
        <v/>
      </c>
      <c r="M298" s="5"/>
    </row>
    <row r="299" customFormat="false" ht="15" hidden="false" customHeight="false" outlineLevel="0" collapsed="false">
      <c r="A299" s="5"/>
      <c r="B299" s="25"/>
      <c r="C299" s="5"/>
      <c r="D299" s="5"/>
      <c r="E299" s="26"/>
      <c r="F299" s="26"/>
      <c r="G299" s="27"/>
      <c r="H299" s="14"/>
      <c r="I299" s="5"/>
      <c r="J299" s="5"/>
      <c r="K299" s="28" t="str">
        <f aca="false">IF(G299="","",COUNTIF('Linha do tempo'!$D:$D,G299))</f>
        <v/>
      </c>
      <c r="L299" s="19" t="str">
        <f aca="false">IF(AND(G299="",F299=""),"",TRIM(IF(AND(G299&lt;&gt;"",COUNTIF($G:$G,G299)&gt;1),"ID repetido. ","")&amp;IF(AND(F299&lt;&gt;"",LEN(TRIM(F299))&lt;&gt;64),"Hash deve ter 64 caracteres.","")))</f>
        <v/>
      </c>
      <c r="M299" s="5"/>
    </row>
    <row r="300" customFormat="false" ht="15" hidden="false" customHeight="false" outlineLevel="0" collapsed="false">
      <c r="A300" s="5"/>
      <c r="B300" s="25"/>
      <c r="C300" s="5"/>
      <c r="D300" s="5"/>
      <c r="E300" s="26"/>
      <c r="F300" s="26"/>
      <c r="G300" s="27"/>
      <c r="H300" s="14"/>
      <c r="I300" s="5"/>
      <c r="J300" s="5"/>
      <c r="K300" s="28" t="str">
        <f aca="false">IF(G300="","",COUNTIF('Linha do tempo'!$D:$D,G300))</f>
        <v/>
      </c>
      <c r="L300" s="19" t="str">
        <f aca="false">IF(AND(G300="",F300=""),"",TRIM(IF(AND(G300&lt;&gt;"",COUNTIF($G:$G,G300)&gt;1),"ID repetido. ","")&amp;IF(AND(F300&lt;&gt;"",LEN(TRIM(F300))&lt;&gt;64),"Hash deve ter 64 caracteres.","")))</f>
        <v/>
      </c>
      <c r="M300" s="5"/>
    </row>
    <row r="301" customFormat="false" ht="15" hidden="false" customHeight="false" outlineLevel="0" collapsed="false">
      <c r="A301" s="5"/>
      <c r="B301" s="25"/>
      <c r="C301" s="5"/>
      <c r="D301" s="5"/>
      <c r="E301" s="26"/>
      <c r="F301" s="26"/>
      <c r="G301" s="27"/>
      <c r="H301" s="14"/>
      <c r="I301" s="5"/>
      <c r="J301" s="5"/>
      <c r="K301" s="28" t="str">
        <f aca="false">IF(G301="","",COUNTIF('Linha do tempo'!$D:$D,G301))</f>
        <v/>
      </c>
      <c r="L301" s="19" t="str">
        <f aca="false">IF(AND(G301="",F301=""),"",TRIM(IF(AND(G301&lt;&gt;"",COUNTIF($G:$G,G301)&gt;1),"ID repetido. ","")&amp;IF(AND(F301&lt;&gt;"",LEN(TRIM(F301))&lt;&gt;64),"Hash deve ter 64 caracteres.","")))</f>
        <v/>
      </c>
      <c r="M301" s="5"/>
    </row>
    <row r="302" customFormat="false" ht="15" hidden="false" customHeight="false" outlineLevel="0" collapsed="false">
      <c r="A302" s="5"/>
      <c r="B302" s="25"/>
      <c r="C302" s="5"/>
      <c r="D302" s="5"/>
      <c r="E302" s="26"/>
      <c r="F302" s="26"/>
      <c r="G302" s="27"/>
      <c r="H302" s="14"/>
      <c r="I302" s="5"/>
      <c r="J302" s="5"/>
      <c r="K302" s="28" t="str">
        <f aca="false">IF(G302="","",COUNTIF('Linha do tempo'!$D:$D,G302))</f>
        <v/>
      </c>
      <c r="L302" s="19" t="str">
        <f aca="false">IF(AND(G302="",F302=""),"",TRIM(IF(AND(G302&lt;&gt;"",COUNTIF($G:$G,G302)&gt;1),"ID repetido. ","")&amp;IF(AND(F302&lt;&gt;"",LEN(TRIM(F302))&lt;&gt;64),"Hash deve ter 64 caracteres.","")))</f>
        <v/>
      </c>
      <c r="M302" s="5"/>
    </row>
    <row r="303" customFormat="false" ht="15" hidden="false" customHeight="false" outlineLevel="0" collapsed="false">
      <c r="A303" s="5"/>
      <c r="B303" s="25"/>
      <c r="C303" s="5"/>
      <c r="D303" s="5"/>
      <c r="E303" s="26"/>
      <c r="F303" s="26"/>
      <c r="G303" s="27"/>
      <c r="H303" s="14"/>
      <c r="I303" s="5"/>
      <c r="J303" s="5"/>
      <c r="K303" s="28" t="str">
        <f aca="false">IF(G303="","",COUNTIF('Linha do tempo'!$D:$D,G303))</f>
        <v/>
      </c>
      <c r="L303" s="19" t="str">
        <f aca="false">IF(AND(G303="",F303=""),"",TRIM(IF(AND(G303&lt;&gt;"",COUNTIF($G:$G,G303)&gt;1),"ID repetido. ","")&amp;IF(AND(F303&lt;&gt;"",LEN(TRIM(F303))&lt;&gt;64),"Hash deve ter 64 caracteres.","")))</f>
        <v/>
      </c>
      <c r="M303" s="5"/>
    </row>
    <row r="304" customFormat="false" ht="15" hidden="false" customHeight="false" outlineLevel="0" collapsed="false">
      <c r="A304" s="5"/>
      <c r="B304" s="25"/>
      <c r="C304" s="5"/>
      <c r="D304" s="5"/>
      <c r="E304" s="26"/>
      <c r="F304" s="26"/>
      <c r="G304" s="27"/>
      <c r="H304" s="14"/>
      <c r="I304" s="5"/>
      <c r="J304" s="5"/>
      <c r="K304" s="28" t="str">
        <f aca="false">IF(G304="","",COUNTIF('Linha do tempo'!$D:$D,G304))</f>
        <v/>
      </c>
      <c r="L304" s="19" t="str">
        <f aca="false">IF(AND(G304="",F304=""),"",TRIM(IF(AND(G304&lt;&gt;"",COUNTIF($G:$G,G304)&gt;1),"ID repetido. ","")&amp;IF(AND(F304&lt;&gt;"",LEN(TRIM(F304))&lt;&gt;64),"Hash deve ter 64 caracteres.","")))</f>
        <v/>
      </c>
      <c r="M304" s="5"/>
    </row>
    <row r="305" customFormat="false" ht="15" hidden="false" customHeight="false" outlineLevel="0" collapsed="false">
      <c r="A305" s="5"/>
      <c r="B305" s="25"/>
      <c r="C305" s="5"/>
      <c r="D305" s="5"/>
      <c r="E305" s="26"/>
      <c r="F305" s="26"/>
      <c r="G305" s="27"/>
      <c r="H305" s="14"/>
      <c r="I305" s="5"/>
      <c r="J305" s="5"/>
      <c r="K305" s="28" t="str">
        <f aca="false">IF(G305="","",COUNTIF('Linha do tempo'!$D:$D,G305))</f>
        <v/>
      </c>
      <c r="L305" s="19" t="str">
        <f aca="false">IF(AND(G305="",F305=""),"",TRIM(IF(AND(G305&lt;&gt;"",COUNTIF($G:$G,G305)&gt;1),"ID repetido. ","")&amp;IF(AND(F305&lt;&gt;"",LEN(TRIM(F305))&lt;&gt;64),"Hash deve ter 64 caracteres.","")))</f>
        <v/>
      </c>
      <c r="M305" s="5"/>
    </row>
    <row r="306" customFormat="false" ht="15" hidden="false" customHeight="false" outlineLevel="0" collapsed="false">
      <c r="A306" s="5"/>
      <c r="B306" s="25"/>
      <c r="C306" s="5"/>
      <c r="D306" s="5"/>
      <c r="E306" s="26"/>
      <c r="F306" s="26"/>
      <c r="G306" s="27"/>
      <c r="H306" s="14"/>
      <c r="I306" s="5"/>
      <c r="J306" s="5"/>
      <c r="K306" s="28" t="str">
        <f aca="false">IF(G306="","",COUNTIF('Linha do tempo'!$D:$D,G306))</f>
        <v/>
      </c>
      <c r="L306" s="19" t="str">
        <f aca="false">IF(AND(G306="",F306=""),"",TRIM(IF(AND(G306&lt;&gt;"",COUNTIF($G:$G,G306)&gt;1),"ID repetido. ","")&amp;IF(AND(F306&lt;&gt;"",LEN(TRIM(F306))&lt;&gt;64),"Hash deve ter 64 caracteres.","")))</f>
        <v/>
      </c>
      <c r="M306" s="5"/>
    </row>
    <row r="307" customFormat="false" ht="15" hidden="false" customHeight="false" outlineLevel="0" collapsed="false">
      <c r="A307" s="5"/>
      <c r="B307" s="25"/>
      <c r="C307" s="5"/>
      <c r="D307" s="5"/>
      <c r="E307" s="26"/>
      <c r="F307" s="26"/>
      <c r="G307" s="27"/>
      <c r="H307" s="14"/>
      <c r="I307" s="5"/>
      <c r="J307" s="5"/>
      <c r="K307" s="28" t="str">
        <f aca="false">IF(G307="","",COUNTIF('Linha do tempo'!$D:$D,G307))</f>
        <v/>
      </c>
      <c r="L307" s="19" t="str">
        <f aca="false">IF(AND(G307="",F307=""),"",TRIM(IF(AND(G307&lt;&gt;"",COUNTIF($G:$G,G307)&gt;1),"ID repetido. ","")&amp;IF(AND(F307&lt;&gt;"",LEN(TRIM(F307))&lt;&gt;64),"Hash deve ter 64 caracteres.","")))</f>
        <v/>
      </c>
      <c r="M307" s="5"/>
    </row>
    <row r="308" customFormat="false" ht="15" hidden="false" customHeight="false" outlineLevel="0" collapsed="false">
      <c r="A308" s="5"/>
      <c r="B308" s="25"/>
      <c r="C308" s="5"/>
      <c r="D308" s="5"/>
      <c r="E308" s="26"/>
      <c r="F308" s="26"/>
      <c r="G308" s="27"/>
      <c r="H308" s="14"/>
      <c r="I308" s="5"/>
      <c r="J308" s="5"/>
      <c r="K308" s="28" t="str">
        <f aca="false">IF(G308="","",COUNTIF('Linha do tempo'!$D:$D,G308))</f>
        <v/>
      </c>
      <c r="L308" s="19" t="str">
        <f aca="false">IF(AND(G308="",F308=""),"",TRIM(IF(AND(G308&lt;&gt;"",COUNTIF($G:$G,G308)&gt;1),"ID repetido. ","")&amp;IF(AND(F308&lt;&gt;"",LEN(TRIM(F308))&lt;&gt;64),"Hash deve ter 64 caracteres.","")))</f>
        <v/>
      </c>
      <c r="M308" s="5"/>
    </row>
    <row r="309" customFormat="false" ht="15" hidden="false" customHeight="false" outlineLevel="0" collapsed="false">
      <c r="A309" s="5"/>
      <c r="B309" s="25"/>
      <c r="C309" s="5"/>
      <c r="D309" s="5"/>
      <c r="E309" s="26"/>
      <c r="F309" s="26"/>
      <c r="G309" s="27"/>
      <c r="H309" s="14"/>
      <c r="I309" s="5"/>
      <c r="J309" s="5"/>
      <c r="K309" s="28" t="str">
        <f aca="false">IF(G309="","",COUNTIF('Linha do tempo'!$D:$D,G309))</f>
        <v/>
      </c>
      <c r="L309" s="19" t="str">
        <f aca="false">IF(AND(G309="",F309=""),"",TRIM(IF(AND(G309&lt;&gt;"",COUNTIF($G:$G,G309)&gt;1),"ID repetido. ","")&amp;IF(AND(F309&lt;&gt;"",LEN(TRIM(F309))&lt;&gt;64),"Hash deve ter 64 caracteres.","")))</f>
        <v/>
      </c>
      <c r="M309" s="5"/>
    </row>
    <row r="310" customFormat="false" ht="15" hidden="false" customHeight="false" outlineLevel="0" collapsed="false">
      <c r="A310" s="5"/>
      <c r="B310" s="25"/>
      <c r="C310" s="5"/>
      <c r="D310" s="5"/>
      <c r="E310" s="26"/>
      <c r="F310" s="26"/>
      <c r="G310" s="27"/>
      <c r="H310" s="14"/>
      <c r="I310" s="5"/>
      <c r="J310" s="5"/>
      <c r="K310" s="28" t="str">
        <f aca="false">IF(G310="","",COUNTIF('Linha do tempo'!$D:$D,G310))</f>
        <v/>
      </c>
      <c r="L310" s="19" t="str">
        <f aca="false">IF(AND(G310="",F310=""),"",TRIM(IF(AND(G310&lt;&gt;"",COUNTIF($G:$G,G310)&gt;1),"ID repetido. ","")&amp;IF(AND(F310&lt;&gt;"",LEN(TRIM(F310))&lt;&gt;64),"Hash deve ter 64 caracteres.","")))</f>
        <v/>
      </c>
      <c r="M310" s="5"/>
    </row>
    <row r="311" customFormat="false" ht="15" hidden="false" customHeight="false" outlineLevel="0" collapsed="false">
      <c r="A311" s="5"/>
      <c r="B311" s="25"/>
      <c r="C311" s="5"/>
      <c r="D311" s="5"/>
      <c r="E311" s="26"/>
      <c r="F311" s="26"/>
      <c r="G311" s="27"/>
      <c r="H311" s="14"/>
      <c r="I311" s="5"/>
      <c r="J311" s="5"/>
      <c r="K311" s="28" t="str">
        <f aca="false">IF(G311="","",COUNTIF('Linha do tempo'!$D:$D,G311))</f>
        <v/>
      </c>
      <c r="L311" s="19" t="str">
        <f aca="false">IF(AND(G311="",F311=""),"",TRIM(IF(AND(G311&lt;&gt;"",COUNTIF($G:$G,G311)&gt;1),"ID repetido. ","")&amp;IF(AND(F311&lt;&gt;"",LEN(TRIM(F311))&lt;&gt;64),"Hash deve ter 64 caracteres.","")))</f>
        <v/>
      </c>
      <c r="M311" s="5"/>
    </row>
    <row r="312" customFormat="false" ht="15" hidden="false" customHeight="false" outlineLevel="0" collapsed="false">
      <c r="A312" s="5"/>
      <c r="B312" s="25"/>
      <c r="C312" s="5"/>
      <c r="D312" s="5"/>
      <c r="E312" s="26"/>
      <c r="F312" s="26"/>
      <c r="G312" s="27"/>
      <c r="H312" s="14"/>
      <c r="I312" s="5"/>
      <c r="J312" s="5"/>
      <c r="K312" s="28" t="str">
        <f aca="false">IF(G312="","",COUNTIF('Linha do tempo'!$D:$D,G312))</f>
        <v/>
      </c>
      <c r="L312" s="19" t="str">
        <f aca="false">IF(AND(G312="",F312=""),"",TRIM(IF(AND(G312&lt;&gt;"",COUNTIF($G:$G,G312)&gt;1),"ID repetido. ","")&amp;IF(AND(F312&lt;&gt;"",LEN(TRIM(F312))&lt;&gt;64),"Hash deve ter 64 caracteres.","")))</f>
        <v/>
      </c>
      <c r="M312" s="5"/>
    </row>
    <row r="313" customFormat="false" ht="15" hidden="false" customHeight="false" outlineLevel="0" collapsed="false">
      <c r="A313" s="5"/>
      <c r="B313" s="25"/>
      <c r="C313" s="5"/>
      <c r="D313" s="5"/>
      <c r="E313" s="26"/>
      <c r="F313" s="26"/>
      <c r="G313" s="27"/>
      <c r="H313" s="14"/>
      <c r="I313" s="5"/>
      <c r="J313" s="5"/>
      <c r="K313" s="28" t="str">
        <f aca="false">IF(G313="","",COUNTIF('Linha do tempo'!$D:$D,G313))</f>
        <v/>
      </c>
      <c r="L313" s="19" t="str">
        <f aca="false">IF(AND(G313="",F313=""),"",TRIM(IF(AND(G313&lt;&gt;"",COUNTIF($G:$G,G313)&gt;1),"ID repetido. ","")&amp;IF(AND(F313&lt;&gt;"",LEN(TRIM(F313))&lt;&gt;64),"Hash deve ter 64 caracteres.","")))</f>
        <v/>
      </c>
      <c r="M313" s="5"/>
    </row>
    <row r="314" customFormat="false" ht="15" hidden="false" customHeight="false" outlineLevel="0" collapsed="false">
      <c r="A314" s="5"/>
      <c r="B314" s="25"/>
      <c r="C314" s="5"/>
      <c r="D314" s="5"/>
      <c r="E314" s="26"/>
      <c r="F314" s="26"/>
      <c r="G314" s="27"/>
      <c r="H314" s="14"/>
      <c r="I314" s="5"/>
      <c r="J314" s="5"/>
      <c r="K314" s="28" t="str">
        <f aca="false">IF(G314="","",COUNTIF('Linha do tempo'!$D:$D,G314))</f>
        <v/>
      </c>
      <c r="L314" s="19" t="str">
        <f aca="false">IF(AND(G314="",F314=""),"",TRIM(IF(AND(G314&lt;&gt;"",COUNTIF($G:$G,G314)&gt;1),"ID repetido. ","")&amp;IF(AND(F314&lt;&gt;"",LEN(TRIM(F314))&lt;&gt;64),"Hash deve ter 64 caracteres.","")))</f>
        <v/>
      </c>
      <c r="M314" s="5"/>
    </row>
    <row r="315" customFormat="false" ht="15" hidden="false" customHeight="false" outlineLevel="0" collapsed="false">
      <c r="A315" s="5"/>
      <c r="B315" s="25"/>
      <c r="C315" s="5"/>
      <c r="D315" s="5"/>
      <c r="E315" s="26"/>
      <c r="F315" s="26"/>
      <c r="G315" s="27"/>
      <c r="H315" s="14"/>
      <c r="I315" s="5"/>
      <c r="J315" s="5"/>
      <c r="K315" s="28" t="str">
        <f aca="false">IF(G315="","",COUNTIF('Linha do tempo'!$D:$D,G315))</f>
        <v/>
      </c>
      <c r="L315" s="19" t="str">
        <f aca="false">IF(AND(G315="",F315=""),"",TRIM(IF(AND(G315&lt;&gt;"",COUNTIF($G:$G,G315)&gt;1),"ID repetido. ","")&amp;IF(AND(F315&lt;&gt;"",LEN(TRIM(F315))&lt;&gt;64),"Hash deve ter 64 caracteres.","")))</f>
        <v/>
      </c>
      <c r="M315" s="5"/>
    </row>
    <row r="316" customFormat="false" ht="15" hidden="false" customHeight="false" outlineLevel="0" collapsed="false">
      <c r="A316" s="5"/>
      <c r="B316" s="25"/>
      <c r="C316" s="5"/>
      <c r="D316" s="5"/>
      <c r="E316" s="26"/>
      <c r="F316" s="26"/>
      <c r="G316" s="27"/>
      <c r="H316" s="14"/>
      <c r="I316" s="5"/>
      <c r="J316" s="5"/>
      <c r="K316" s="28" t="str">
        <f aca="false">IF(G316="","",COUNTIF('Linha do tempo'!$D:$D,G316))</f>
        <v/>
      </c>
      <c r="L316" s="19" t="str">
        <f aca="false">IF(AND(G316="",F316=""),"",TRIM(IF(AND(G316&lt;&gt;"",COUNTIF($G:$G,G316)&gt;1),"ID repetido. ","")&amp;IF(AND(F316&lt;&gt;"",LEN(TRIM(F316))&lt;&gt;64),"Hash deve ter 64 caracteres.","")))</f>
        <v/>
      </c>
      <c r="M316" s="5"/>
    </row>
    <row r="317" customFormat="false" ht="15" hidden="false" customHeight="false" outlineLevel="0" collapsed="false">
      <c r="A317" s="5"/>
      <c r="B317" s="25"/>
      <c r="C317" s="5"/>
      <c r="D317" s="5"/>
      <c r="E317" s="26"/>
      <c r="F317" s="26"/>
      <c r="G317" s="27"/>
      <c r="H317" s="14"/>
      <c r="I317" s="5"/>
      <c r="J317" s="5"/>
      <c r="K317" s="28" t="str">
        <f aca="false">IF(G317="","",COUNTIF('Linha do tempo'!$D:$D,G317))</f>
        <v/>
      </c>
      <c r="L317" s="19" t="str">
        <f aca="false">IF(AND(G317="",F317=""),"",TRIM(IF(AND(G317&lt;&gt;"",COUNTIF($G:$G,G317)&gt;1),"ID repetido. ","")&amp;IF(AND(F317&lt;&gt;"",LEN(TRIM(F317))&lt;&gt;64),"Hash deve ter 64 caracteres.","")))</f>
        <v/>
      </c>
      <c r="M317" s="5"/>
    </row>
    <row r="318" customFormat="false" ht="15" hidden="false" customHeight="false" outlineLevel="0" collapsed="false">
      <c r="A318" s="5"/>
      <c r="B318" s="25"/>
      <c r="C318" s="5"/>
      <c r="D318" s="5"/>
      <c r="E318" s="26"/>
      <c r="F318" s="26"/>
      <c r="G318" s="27"/>
      <c r="H318" s="14"/>
      <c r="I318" s="5"/>
      <c r="J318" s="5"/>
      <c r="K318" s="28" t="str">
        <f aca="false">IF(G318="","",COUNTIF('Linha do tempo'!$D:$D,G318))</f>
        <v/>
      </c>
      <c r="L318" s="19" t="str">
        <f aca="false">IF(AND(G318="",F318=""),"",TRIM(IF(AND(G318&lt;&gt;"",COUNTIF($G:$G,G318)&gt;1),"ID repetido. ","")&amp;IF(AND(F318&lt;&gt;"",LEN(TRIM(F318))&lt;&gt;64),"Hash deve ter 64 caracteres.","")))</f>
        <v/>
      </c>
      <c r="M318" s="5"/>
    </row>
    <row r="319" customFormat="false" ht="15" hidden="false" customHeight="false" outlineLevel="0" collapsed="false">
      <c r="A319" s="5"/>
      <c r="B319" s="25"/>
      <c r="C319" s="5"/>
      <c r="D319" s="5"/>
      <c r="E319" s="26"/>
      <c r="F319" s="26"/>
      <c r="G319" s="27"/>
      <c r="H319" s="14"/>
      <c r="I319" s="5"/>
      <c r="J319" s="5"/>
      <c r="K319" s="28" t="str">
        <f aca="false">IF(G319="","",COUNTIF('Linha do tempo'!$D:$D,G319))</f>
        <v/>
      </c>
      <c r="L319" s="19" t="str">
        <f aca="false">IF(AND(G319="",F319=""),"",TRIM(IF(AND(G319&lt;&gt;"",COUNTIF($G:$G,G319)&gt;1),"ID repetido. ","")&amp;IF(AND(F319&lt;&gt;"",LEN(TRIM(F319))&lt;&gt;64),"Hash deve ter 64 caracteres.","")))</f>
        <v/>
      </c>
      <c r="M319" s="5"/>
    </row>
    <row r="320" customFormat="false" ht="15" hidden="false" customHeight="false" outlineLevel="0" collapsed="false">
      <c r="A320" s="5"/>
      <c r="B320" s="25"/>
      <c r="C320" s="5"/>
      <c r="D320" s="5"/>
      <c r="E320" s="26"/>
      <c r="F320" s="26"/>
      <c r="G320" s="27"/>
      <c r="H320" s="14"/>
      <c r="I320" s="5"/>
      <c r="J320" s="5"/>
      <c r="K320" s="28" t="str">
        <f aca="false">IF(G320="","",COUNTIF('Linha do tempo'!$D:$D,G320))</f>
        <v/>
      </c>
      <c r="L320" s="19" t="str">
        <f aca="false">IF(AND(G320="",F320=""),"",TRIM(IF(AND(G320&lt;&gt;"",COUNTIF($G:$G,G320)&gt;1),"ID repetido. ","")&amp;IF(AND(F320&lt;&gt;"",LEN(TRIM(F320))&lt;&gt;64),"Hash deve ter 64 caracteres.","")))</f>
        <v/>
      </c>
      <c r="M320" s="5"/>
    </row>
    <row r="321" customFormat="false" ht="15" hidden="false" customHeight="false" outlineLevel="0" collapsed="false">
      <c r="A321" s="5"/>
      <c r="B321" s="25"/>
      <c r="C321" s="5"/>
      <c r="D321" s="5"/>
      <c r="E321" s="26"/>
      <c r="F321" s="26"/>
      <c r="G321" s="27"/>
      <c r="H321" s="14"/>
      <c r="I321" s="5"/>
      <c r="J321" s="5"/>
      <c r="K321" s="28" t="str">
        <f aca="false">IF(G321="","",COUNTIF('Linha do tempo'!$D:$D,G321))</f>
        <v/>
      </c>
      <c r="L321" s="19" t="str">
        <f aca="false">IF(AND(G321="",F321=""),"",TRIM(IF(AND(G321&lt;&gt;"",COUNTIF($G:$G,G321)&gt;1),"ID repetido. ","")&amp;IF(AND(F321&lt;&gt;"",LEN(TRIM(F321))&lt;&gt;64),"Hash deve ter 64 caracteres.","")))</f>
        <v/>
      </c>
      <c r="M321" s="5"/>
    </row>
    <row r="322" customFormat="false" ht="15" hidden="false" customHeight="false" outlineLevel="0" collapsed="false">
      <c r="A322" s="5"/>
      <c r="B322" s="25"/>
      <c r="C322" s="5"/>
      <c r="D322" s="5"/>
      <c r="E322" s="26"/>
      <c r="F322" s="26"/>
      <c r="G322" s="27"/>
      <c r="H322" s="14"/>
      <c r="I322" s="5"/>
      <c r="J322" s="5"/>
      <c r="K322" s="28" t="str">
        <f aca="false">IF(G322="","",COUNTIF('Linha do tempo'!$D:$D,G322))</f>
        <v/>
      </c>
      <c r="L322" s="19" t="str">
        <f aca="false">IF(AND(G322="",F322=""),"",TRIM(IF(AND(G322&lt;&gt;"",COUNTIF($G:$G,G322)&gt;1),"ID repetido. ","")&amp;IF(AND(F322&lt;&gt;"",LEN(TRIM(F322))&lt;&gt;64),"Hash deve ter 64 caracteres.","")))</f>
        <v/>
      </c>
      <c r="M322" s="5"/>
    </row>
    <row r="323" customFormat="false" ht="15" hidden="false" customHeight="false" outlineLevel="0" collapsed="false">
      <c r="A323" s="5"/>
      <c r="B323" s="25"/>
      <c r="C323" s="5"/>
      <c r="D323" s="5"/>
      <c r="E323" s="26"/>
      <c r="F323" s="26"/>
      <c r="G323" s="27"/>
      <c r="H323" s="14"/>
      <c r="I323" s="5"/>
      <c r="J323" s="5"/>
      <c r="K323" s="28" t="str">
        <f aca="false">IF(G323="","",COUNTIF('Linha do tempo'!$D:$D,G323))</f>
        <v/>
      </c>
      <c r="L323" s="19" t="str">
        <f aca="false">IF(AND(G323="",F323=""),"",TRIM(IF(AND(G323&lt;&gt;"",COUNTIF($G:$G,G323)&gt;1),"ID repetido. ","")&amp;IF(AND(F323&lt;&gt;"",LEN(TRIM(F323))&lt;&gt;64),"Hash deve ter 64 caracteres.","")))</f>
        <v/>
      </c>
      <c r="M323" s="5"/>
    </row>
    <row r="324" customFormat="false" ht="15" hidden="false" customHeight="false" outlineLevel="0" collapsed="false">
      <c r="A324" s="5"/>
      <c r="B324" s="25"/>
      <c r="C324" s="5"/>
      <c r="D324" s="5"/>
      <c r="E324" s="26"/>
      <c r="F324" s="26"/>
      <c r="G324" s="27"/>
      <c r="H324" s="14"/>
      <c r="I324" s="5"/>
      <c r="J324" s="5"/>
      <c r="K324" s="28" t="str">
        <f aca="false">IF(G324="","",COUNTIF('Linha do tempo'!$D:$D,G324))</f>
        <v/>
      </c>
      <c r="L324" s="19" t="str">
        <f aca="false">IF(AND(G324="",F324=""),"",TRIM(IF(AND(G324&lt;&gt;"",COUNTIF($G:$G,G324)&gt;1),"ID repetido. ","")&amp;IF(AND(F324&lt;&gt;"",LEN(TRIM(F324))&lt;&gt;64),"Hash deve ter 64 caracteres.","")))</f>
        <v/>
      </c>
      <c r="M324" s="5"/>
    </row>
    <row r="325" customFormat="false" ht="15" hidden="false" customHeight="false" outlineLevel="0" collapsed="false">
      <c r="A325" s="5"/>
      <c r="B325" s="25"/>
      <c r="C325" s="5"/>
      <c r="D325" s="5"/>
      <c r="E325" s="26"/>
      <c r="F325" s="26"/>
      <c r="G325" s="27"/>
      <c r="H325" s="14"/>
      <c r="I325" s="5"/>
      <c r="J325" s="5"/>
      <c r="K325" s="28" t="str">
        <f aca="false">IF(G325="","",COUNTIF('Linha do tempo'!$D:$D,G325))</f>
        <v/>
      </c>
      <c r="L325" s="19" t="str">
        <f aca="false">IF(AND(G325="",F325=""),"",TRIM(IF(AND(G325&lt;&gt;"",COUNTIF($G:$G,G325)&gt;1),"ID repetido. ","")&amp;IF(AND(F325&lt;&gt;"",LEN(TRIM(F325))&lt;&gt;64),"Hash deve ter 64 caracteres.","")))</f>
        <v/>
      </c>
      <c r="M325" s="5"/>
    </row>
    <row r="326" customFormat="false" ht="15" hidden="false" customHeight="false" outlineLevel="0" collapsed="false">
      <c r="A326" s="5"/>
      <c r="B326" s="25"/>
      <c r="C326" s="5"/>
      <c r="D326" s="5"/>
      <c r="E326" s="26"/>
      <c r="F326" s="26"/>
      <c r="G326" s="27"/>
      <c r="H326" s="14"/>
      <c r="I326" s="5"/>
      <c r="J326" s="5"/>
      <c r="K326" s="28" t="str">
        <f aca="false">IF(G326="","",COUNTIF('Linha do tempo'!$D:$D,G326))</f>
        <v/>
      </c>
      <c r="L326" s="19" t="str">
        <f aca="false">IF(AND(G326="",F326=""),"",TRIM(IF(AND(G326&lt;&gt;"",COUNTIF($G:$G,G326)&gt;1),"ID repetido. ","")&amp;IF(AND(F326&lt;&gt;"",LEN(TRIM(F326))&lt;&gt;64),"Hash deve ter 64 caracteres.","")))</f>
        <v/>
      </c>
      <c r="M326" s="5"/>
    </row>
    <row r="327" customFormat="false" ht="15" hidden="false" customHeight="false" outlineLevel="0" collapsed="false">
      <c r="A327" s="5"/>
      <c r="B327" s="25"/>
      <c r="C327" s="5"/>
      <c r="D327" s="5"/>
      <c r="E327" s="26"/>
      <c r="F327" s="26"/>
      <c r="G327" s="27"/>
      <c r="H327" s="14"/>
      <c r="I327" s="5"/>
      <c r="J327" s="5"/>
      <c r="K327" s="28" t="str">
        <f aca="false">IF(G327="","",COUNTIF('Linha do tempo'!$D:$D,G327))</f>
        <v/>
      </c>
      <c r="L327" s="19" t="str">
        <f aca="false">IF(AND(G327="",F327=""),"",TRIM(IF(AND(G327&lt;&gt;"",COUNTIF($G:$G,G327)&gt;1),"ID repetido. ","")&amp;IF(AND(F327&lt;&gt;"",LEN(TRIM(F327))&lt;&gt;64),"Hash deve ter 64 caracteres.","")))</f>
        <v/>
      </c>
      <c r="M327" s="5"/>
    </row>
    <row r="328" customFormat="false" ht="15" hidden="false" customHeight="false" outlineLevel="0" collapsed="false">
      <c r="A328" s="5"/>
      <c r="B328" s="25"/>
      <c r="C328" s="5"/>
      <c r="D328" s="5"/>
      <c r="E328" s="26"/>
      <c r="F328" s="26"/>
      <c r="G328" s="27"/>
      <c r="H328" s="14"/>
      <c r="I328" s="5"/>
      <c r="J328" s="5"/>
      <c r="K328" s="28" t="str">
        <f aca="false">IF(G328="","",COUNTIF('Linha do tempo'!$D:$D,G328))</f>
        <v/>
      </c>
      <c r="L328" s="19" t="str">
        <f aca="false">IF(AND(G328="",F328=""),"",TRIM(IF(AND(G328&lt;&gt;"",COUNTIF($G:$G,G328)&gt;1),"ID repetido. ","")&amp;IF(AND(F328&lt;&gt;"",LEN(TRIM(F328))&lt;&gt;64),"Hash deve ter 64 caracteres.","")))</f>
        <v/>
      </c>
      <c r="M328" s="5"/>
    </row>
    <row r="329" customFormat="false" ht="15" hidden="false" customHeight="false" outlineLevel="0" collapsed="false">
      <c r="A329" s="5"/>
      <c r="B329" s="25"/>
      <c r="C329" s="5"/>
      <c r="D329" s="5"/>
      <c r="E329" s="26"/>
      <c r="F329" s="26"/>
      <c r="G329" s="27"/>
      <c r="H329" s="14"/>
      <c r="I329" s="5"/>
      <c r="J329" s="5"/>
      <c r="K329" s="28" t="str">
        <f aca="false">IF(G329="","",COUNTIF('Linha do tempo'!$D:$D,G329))</f>
        <v/>
      </c>
      <c r="L329" s="19" t="str">
        <f aca="false">IF(AND(G329="",F329=""),"",TRIM(IF(AND(G329&lt;&gt;"",COUNTIF($G:$G,G329)&gt;1),"ID repetido. ","")&amp;IF(AND(F329&lt;&gt;"",LEN(TRIM(F329))&lt;&gt;64),"Hash deve ter 64 caracteres.","")))</f>
        <v/>
      </c>
      <c r="M329" s="5"/>
    </row>
    <row r="330" customFormat="false" ht="15" hidden="false" customHeight="false" outlineLevel="0" collapsed="false">
      <c r="A330" s="5"/>
      <c r="B330" s="25"/>
      <c r="C330" s="5"/>
      <c r="D330" s="5"/>
      <c r="E330" s="26"/>
      <c r="F330" s="26"/>
      <c r="G330" s="27"/>
      <c r="H330" s="14"/>
      <c r="I330" s="5"/>
      <c r="J330" s="5"/>
      <c r="K330" s="28" t="str">
        <f aca="false">IF(G330="","",COUNTIF('Linha do tempo'!$D:$D,G330))</f>
        <v/>
      </c>
      <c r="L330" s="19" t="str">
        <f aca="false">IF(AND(G330="",F330=""),"",TRIM(IF(AND(G330&lt;&gt;"",COUNTIF($G:$G,G330)&gt;1),"ID repetido. ","")&amp;IF(AND(F330&lt;&gt;"",LEN(TRIM(F330))&lt;&gt;64),"Hash deve ter 64 caracteres.","")))</f>
        <v/>
      </c>
      <c r="M330" s="5"/>
    </row>
    <row r="331" customFormat="false" ht="15" hidden="false" customHeight="false" outlineLevel="0" collapsed="false">
      <c r="A331" s="5"/>
      <c r="B331" s="25"/>
      <c r="C331" s="5"/>
      <c r="D331" s="5"/>
      <c r="E331" s="26"/>
      <c r="F331" s="26"/>
      <c r="G331" s="27"/>
      <c r="H331" s="14"/>
      <c r="I331" s="5"/>
      <c r="J331" s="5"/>
      <c r="K331" s="28" t="str">
        <f aca="false">IF(G331="","",COUNTIF('Linha do tempo'!$D:$D,G331))</f>
        <v/>
      </c>
      <c r="L331" s="19" t="str">
        <f aca="false">IF(AND(G331="",F331=""),"",TRIM(IF(AND(G331&lt;&gt;"",COUNTIF($G:$G,G331)&gt;1),"ID repetido. ","")&amp;IF(AND(F331&lt;&gt;"",LEN(TRIM(F331))&lt;&gt;64),"Hash deve ter 64 caracteres.","")))</f>
        <v/>
      </c>
      <c r="M331" s="5"/>
    </row>
    <row r="332" customFormat="false" ht="15" hidden="false" customHeight="false" outlineLevel="0" collapsed="false">
      <c r="A332" s="5"/>
      <c r="B332" s="25"/>
      <c r="C332" s="5"/>
      <c r="D332" s="5"/>
      <c r="E332" s="26"/>
      <c r="F332" s="26"/>
      <c r="G332" s="27"/>
      <c r="H332" s="14"/>
      <c r="I332" s="5"/>
      <c r="J332" s="5"/>
      <c r="K332" s="28" t="str">
        <f aca="false">IF(G332="","",COUNTIF('Linha do tempo'!$D:$D,G332))</f>
        <v/>
      </c>
      <c r="L332" s="19" t="str">
        <f aca="false">IF(AND(G332="",F332=""),"",TRIM(IF(AND(G332&lt;&gt;"",COUNTIF($G:$G,G332)&gt;1),"ID repetido. ","")&amp;IF(AND(F332&lt;&gt;"",LEN(TRIM(F332))&lt;&gt;64),"Hash deve ter 64 caracteres.","")))</f>
        <v/>
      </c>
      <c r="M332" s="5"/>
    </row>
    <row r="333" customFormat="false" ht="15" hidden="false" customHeight="false" outlineLevel="0" collapsed="false">
      <c r="A333" s="5"/>
      <c r="B333" s="25"/>
      <c r="C333" s="5"/>
      <c r="D333" s="5"/>
      <c r="E333" s="26"/>
      <c r="F333" s="26"/>
      <c r="G333" s="27"/>
      <c r="H333" s="14"/>
      <c r="I333" s="5"/>
      <c r="J333" s="5"/>
      <c r="K333" s="28" t="str">
        <f aca="false">IF(G333="","",COUNTIF('Linha do tempo'!$D:$D,G333))</f>
        <v/>
      </c>
      <c r="L333" s="19" t="str">
        <f aca="false">IF(AND(G333="",F333=""),"",TRIM(IF(AND(G333&lt;&gt;"",COUNTIF($G:$G,G333)&gt;1),"ID repetido. ","")&amp;IF(AND(F333&lt;&gt;"",LEN(TRIM(F333))&lt;&gt;64),"Hash deve ter 64 caracteres.","")))</f>
        <v/>
      </c>
      <c r="M333" s="5"/>
    </row>
    <row r="334" customFormat="false" ht="15" hidden="false" customHeight="false" outlineLevel="0" collapsed="false">
      <c r="A334" s="5"/>
      <c r="B334" s="25"/>
      <c r="C334" s="5"/>
      <c r="D334" s="5"/>
      <c r="E334" s="26"/>
      <c r="F334" s="26"/>
      <c r="G334" s="27"/>
      <c r="H334" s="14"/>
      <c r="I334" s="5"/>
      <c r="J334" s="5"/>
      <c r="K334" s="28" t="str">
        <f aca="false">IF(G334="","",COUNTIF('Linha do tempo'!$D:$D,G334))</f>
        <v/>
      </c>
      <c r="L334" s="19" t="str">
        <f aca="false">IF(AND(G334="",F334=""),"",TRIM(IF(AND(G334&lt;&gt;"",COUNTIF($G:$G,G334)&gt;1),"ID repetido. ","")&amp;IF(AND(F334&lt;&gt;"",LEN(TRIM(F334))&lt;&gt;64),"Hash deve ter 64 caracteres.","")))</f>
        <v/>
      </c>
      <c r="M334" s="5"/>
    </row>
    <row r="335" customFormat="false" ht="15" hidden="false" customHeight="false" outlineLevel="0" collapsed="false">
      <c r="A335" s="5"/>
      <c r="B335" s="25"/>
      <c r="C335" s="5"/>
      <c r="D335" s="5"/>
      <c r="E335" s="26"/>
      <c r="F335" s="26"/>
      <c r="G335" s="27"/>
      <c r="H335" s="14"/>
      <c r="I335" s="5"/>
      <c r="J335" s="5"/>
      <c r="K335" s="28" t="str">
        <f aca="false">IF(G335="","",COUNTIF('Linha do tempo'!$D:$D,G335))</f>
        <v/>
      </c>
      <c r="L335" s="19" t="str">
        <f aca="false">IF(AND(G335="",F335=""),"",TRIM(IF(AND(G335&lt;&gt;"",COUNTIF($G:$G,G335)&gt;1),"ID repetido. ","")&amp;IF(AND(F335&lt;&gt;"",LEN(TRIM(F335))&lt;&gt;64),"Hash deve ter 64 caracteres.","")))</f>
        <v/>
      </c>
      <c r="M335" s="5"/>
    </row>
    <row r="336" customFormat="false" ht="15" hidden="false" customHeight="false" outlineLevel="0" collapsed="false">
      <c r="A336" s="5"/>
      <c r="B336" s="25"/>
      <c r="C336" s="5"/>
      <c r="D336" s="5"/>
      <c r="E336" s="26"/>
      <c r="F336" s="26"/>
      <c r="G336" s="27"/>
      <c r="H336" s="14"/>
      <c r="I336" s="5"/>
      <c r="J336" s="5"/>
      <c r="K336" s="28" t="str">
        <f aca="false">IF(G336="","",COUNTIF('Linha do tempo'!$D:$D,G336))</f>
        <v/>
      </c>
      <c r="L336" s="19" t="str">
        <f aca="false">IF(AND(G336="",F336=""),"",TRIM(IF(AND(G336&lt;&gt;"",COUNTIF($G:$G,G336)&gt;1),"ID repetido. ","")&amp;IF(AND(F336&lt;&gt;"",LEN(TRIM(F336))&lt;&gt;64),"Hash deve ter 64 caracteres.","")))</f>
        <v/>
      </c>
      <c r="M336" s="5"/>
    </row>
    <row r="337" customFormat="false" ht="15" hidden="false" customHeight="false" outlineLevel="0" collapsed="false">
      <c r="A337" s="5"/>
      <c r="B337" s="25"/>
      <c r="C337" s="5"/>
      <c r="D337" s="5"/>
      <c r="E337" s="26"/>
      <c r="F337" s="26"/>
      <c r="G337" s="27"/>
      <c r="H337" s="14"/>
      <c r="I337" s="5"/>
      <c r="J337" s="5"/>
      <c r="K337" s="28" t="str">
        <f aca="false">IF(G337="","",COUNTIF('Linha do tempo'!$D:$D,G337))</f>
        <v/>
      </c>
      <c r="L337" s="19" t="str">
        <f aca="false">IF(AND(G337="",F337=""),"",TRIM(IF(AND(G337&lt;&gt;"",COUNTIF($G:$G,G337)&gt;1),"ID repetido. ","")&amp;IF(AND(F337&lt;&gt;"",LEN(TRIM(F337))&lt;&gt;64),"Hash deve ter 64 caracteres.","")))</f>
        <v/>
      </c>
      <c r="M337" s="5"/>
    </row>
    <row r="338" customFormat="false" ht="15" hidden="false" customHeight="false" outlineLevel="0" collapsed="false">
      <c r="A338" s="5"/>
      <c r="B338" s="25"/>
      <c r="C338" s="5"/>
      <c r="D338" s="5"/>
      <c r="E338" s="26"/>
      <c r="F338" s="26"/>
      <c r="G338" s="27"/>
      <c r="H338" s="14"/>
      <c r="I338" s="5"/>
      <c r="J338" s="5"/>
      <c r="K338" s="28" t="str">
        <f aca="false">IF(G338="","",COUNTIF('Linha do tempo'!$D:$D,G338))</f>
        <v/>
      </c>
      <c r="L338" s="19" t="str">
        <f aca="false">IF(AND(G338="",F338=""),"",TRIM(IF(AND(G338&lt;&gt;"",COUNTIF($G:$G,G338)&gt;1),"ID repetido. ","")&amp;IF(AND(F338&lt;&gt;"",LEN(TRIM(F338))&lt;&gt;64),"Hash deve ter 64 caracteres.","")))</f>
        <v/>
      </c>
      <c r="M338" s="5"/>
    </row>
    <row r="339" customFormat="false" ht="15" hidden="false" customHeight="false" outlineLevel="0" collapsed="false">
      <c r="A339" s="5"/>
      <c r="B339" s="25"/>
      <c r="C339" s="5"/>
      <c r="D339" s="5"/>
      <c r="E339" s="26"/>
      <c r="F339" s="26"/>
      <c r="G339" s="27"/>
      <c r="H339" s="14"/>
      <c r="I339" s="5"/>
      <c r="J339" s="5"/>
      <c r="K339" s="28" t="str">
        <f aca="false">IF(G339="","",COUNTIF('Linha do tempo'!$D:$D,G339))</f>
        <v/>
      </c>
      <c r="L339" s="19" t="str">
        <f aca="false">IF(AND(G339="",F339=""),"",TRIM(IF(AND(G339&lt;&gt;"",COUNTIF($G:$G,G339)&gt;1),"ID repetido. ","")&amp;IF(AND(F339&lt;&gt;"",LEN(TRIM(F339))&lt;&gt;64),"Hash deve ter 64 caracteres.","")))</f>
        <v/>
      </c>
      <c r="M339" s="5"/>
    </row>
    <row r="340" customFormat="false" ht="15" hidden="false" customHeight="false" outlineLevel="0" collapsed="false">
      <c r="A340" s="5"/>
      <c r="B340" s="25"/>
      <c r="C340" s="5"/>
      <c r="D340" s="5"/>
      <c r="E340" s="26"/>
      <c r="F340" s="26"/>
      <c r="G340" s="27"/>
      <c r="H340" s="14"/>
      <c r="I340" s="5"/>
      <c r="J340" s="5"/>
      <c r="K340" s="28" t="str">
        <f aca="false">IF(G340="","",COUNTIF('Linha do tempo'!$D:$D,G340))</f>
        <v/>
      </c>
      <c r="L340" s="19" t="str">
        <f aca="false">IF(AND(G340="",F340=""),"",TRIM(IF(AND(G340&lt;&gt;"",COUNTIF($G:$G,G340)&gt;1),"ID repetido. ","")&amp;IF(AND(F340&lt;&gt;"",LEN(TRIM(F340))&lt;&gt;64),"Hash deve ter 64 caracteres.","")))</f>
        <v/>
      </c>
      <c r="M340" s="5"/>
    </row>
    <row r="341" customFormat="false" ht="15" hidden="false" customHeight="false" outlineLevel="0" collapsed="false">
      <c r="A341" s="5"/>
      <c r="B341" s="25"/>
      <c r="C341" s="5"/>
      <c r="D341" s="5"/>
      <c r="E341" s="26"/>
      <c r="F341" s="26"/>
      <c r="G341" s="27"/>
      <c r="H341" s="14"/>
      <c r="I341" s="5"/>
      <c r="J341" s="5"/>
      <c r="K341" s="28" t="str">
        <f aca="false">IF(G341="","",COUNTIF('Linha do tempo'!$D:$D,G341))</f>
        <v/>
      </c>
      <c r="L341" s="19" t="str">
        <f aca="false">IF(AND(G341="",F341=""),"",TRIM(IF(AND(G341&lt;&gt;"",COUNTIF($G:$G,G341)&gt;1),"ID repetido. ","")&amp;IF(AND(F341&lt;&gt;"",LEN(TRIM(F341))&lt;&gt;64),"Hash deve ter 64 caracteres.","")))</f>
        <v/>
      </c>
      <c r="M341" s="5"/>
    </row>
    <row r="342" customFormat="false" ht="15" hidden="false" customHeight="false" outlineLevel="0" collapsed="false">
      <c r="A342" s="5"/>
      <c r="B342" s="25"/>
      <c r="C342" s="5"/>
      <c r="D342" s="5"/>
      <c r="E342" s="26"/>
      <c r="F342" s="26"/>
      <c r="G342" s="27"/>
      <c r="H342" s="14"/>
      <c r="I342" s="5"/>
      <c r="J342" s="5"/>
      <c r="K342" s="28" t="str">
        <f aca="false">IF(G342="","",COUNTIF('Linha do tempo'!$D:$D,G342))</f>
        <v/>
      </c>
      <c r="L342" s="19" t="str">
        <f aca="false">IF(AND(G342="",F342=""),"",TRIM(IF(AND(G342&lt;&gt;"",COUNTIF($G:$G,G342)&gt;1),"ID repetido. ","")&amp;IF(AND(F342&lt;&gt;"",LEN(TRIM(F342))&lt;&gt;64),"Hash deve ter 64 caracteres.","")))</f>
        <v/>
      </c>
      <c r="M342" s="5"/>
    </row>
    <row r="343" customFormat="false" ht="15" hidden="false" customHeight="false" outlineLevel="0" collapsed="false">
      <c r="A343" s="5"/>
      <c r="B343" s="25"/>
      <c r="C343" s="5"/>
      <c r="D343" s="5"/>
      <c r="E343" s="26"/>
      <c r="F343" s="26"/>
      <c r="G343" s="27"/>
      <c r="H343" s="14"/>
      <c r="I343" s="5"/>
      <c r="J343" s="5"/>
      <c r="K343" s="28" t="str">
        <f aca="false">IF(G343="","",COUNTIF('Linha do tempo'!$D:$D,G343))</f>
        <v/>
      </c>
      <c r="L343" s="19" t="str">
        <f aca="false">IF(AND(G343="",F343=""),"",TRIM(IF(AND(G343&lt;&gt;"",COUNTIF($G:$G,G343)&gt;1),"ID repetido. ","")&amp;IF(AND(F343&lt;&gt;"",LEN(TRIM(F343))&lt;&gt;64),"Hash deve ter 64 caracteres.","")))</f>
        <v/>
      </c>
      <c r="M343" s="5"/>
    </row>
    <row r="344" customFormat="false" ht="15" hidden="false" customHeight="false" outlineLevel="0" collapsed="false">
      <c r="A344" s="5"/>
      <c r="B344" s="25"/>
      <c r="C344" s="5"/>
      <c r="D344" s="5"/>
      <c r="E344" s="26"/>
      <c r="F344" s="26"/>
      <c r="G344" s="27"/>
      <c r="H344" s="14"/>
      <c r="I344" s="5"/>
      <c r="J344" s="5"/>
      <c r="K344" s="28" t="str">
        <f aca="false">IF(G344="","",COUNTIF('Linha do tempo'!$D:$D,G344))</f>
        <v/>
      </c>
      <c r="L344" s="19" t="str">
        <f aca="false">IF(AND(G344="",F344=""),"",TRIM(IF(AND(G344&lt;&gt;"",COUNTIF($G:$G,G344)&gt;1),"ID repetido. ","")&amp;IF(AND(F344&lt;&gt;"",LEN(TRIM(F344))&lt;&gt;64),"Hash deve ter 64 caracteres.","")))</f>
        <v/>
      </c>
      <c r="M344" s="5"/>
    </row>
    <row r="345" customFormat="false" ht="15" hidden="false" customHeight="false" outlineLevel="0" collapsed="false">
      <c r="A345" s="5"/>
      <c r="B345" s="25"/>
      <c r="C345" s="5"/>
      <c r="D345" s="5"/>
      <c r="E345" s="26"/>
      <c r="F345" s="26"/>
      <c r="G345" s="27"/>
      <c r="H345" s="14"/>
      <c r="I345" s="5"/>
      <c r="J345" s="5"/>
      <c r="K345" s="28" t="str">
        <f aca="false">IF(G345="","",COUNTIF('Linha do tempo'!$D:$D,G345))</f>
        <v/>
      </c>
      <c r="L345" s="19" t="str">
        <f aca="false">IF(AND(G345="",F345=""),"",TRIM(IF(AND(G345&lt;&gt;"",COUNTIF($G:$G,G345)&gt;1),"ID repetido. ","")&amp;IF(AND(F345&lt;&gt;"",LEN(TRIM(F345))&lt;&gt;64),"Hash deve ter 64 caracteres.","")))</f>
        <v/>
      </c>
      <c r="M345" s="5"/>
    </row>
    <row r="346" customFormat="false" ht="15" hidden="false" customHeight="false" outlineLevel="0" collapsed="false">
      <c r="A346" s="5"/>
      <c r="B346" s="25"/>
      <c r="C346" s="5"/>
      <c r="D346" s="5"/>
      <c r="E346" s="26"/>
      <c r="F346" s="26"/>
      <c r="G346" s="27"/>
      <c r="H346" s="14"/>
      <c r="I346" s="5"/>
      <c r="J346" s="5"/>
      <c r="K346" s="28" t="str">
        <f aca="false">IF(G346="","",COUNTIF('Linha do tempo'!$D:$D,G346))</f>
        <v/>
      </c>
      <c r="L346" s="19" t="str">
        <f aca="false">IF(AND(G346="",F346=""),"",TRIM(IF(AND(G346&lt;&gt;"",COUNTIF($G:$G,G346)&gt;1),"ID repetido. ","")&amp;IF(AND(F346&lt;&gt;"",LEN(TRIM(F346))&lt;&gt;64),"Hash deve ter 64 caracteres.","")))</f>
        <v/>
      </c>
      <c r="M346" s="5"/>
    </row>
    <row r="347" customFormat="false" ht="15" hidden="false" customHeight="false" outlineLevel="0" collapsed="false">
      <c r="A347" s="5"/>
      <c r="B347" s="25"/>
      <c r="C347" s="5"/>
      <c r="D347" s="5"/>
      <c r="E347" s="26"/>
      <c r="F347" s="26"/>
      <c r="G347" s="27"/>
      <c r="H347" s="14"/>
      <c r="I347" s="5"/>
      <c r="J347" s="5"/>
      <c r="K347" s="28" t="str">
        <f aca="false">IF(G347="","",COUNTIF('Linha do tempo'!$D:$D,G347))</f>
        <v/>
      </c>
      <c r="L347" s="19" t="str">
        <f aca="false">IF(AND(G347="",F347=""),"",TRIM(IF(AND(G347&lt;&gt;"",COUNTIF($G:$G,G347)&gt;1),"ID repetido. ","")&amp;IF(AND(F347&lt;&gt;"",LEN(TRIM(F347))&lt;&gt;64),"Hash deve ter 64 caracteres.","")))</f>
        <v/>
      </c>
      <c r="M347" s="5"/>
    </row>
    <row r="348" customFormat="false" ht="15" hidden="false" customHeight="false" outlineLevel="0" collapsed="false">
      <c r="A348" s="5"/>
      <c r="B348" s="25"/>
      <c r="C348" s="5"/>
      <c r="D348" s="5"/>
      <c r="E348" s="26"/>
      <c r="F348" s="26"/>
      <c r="G348" s="27"/>
      <c r="H348" s="14"/>
      <c r="I348" s="5"/>
      <c r="J348" s="5"/>
      <c r="K348" s="28" t="str">
        <f aca="false">IF(G348="","",COUNTIF('Linha do tempo'!$D:$D,G348))</f>
        <v/>
      </c>
      <c r="L348" s="19" t="str">
        <f aca="false">IF(AND(G348="",F348=""),"",TRIM(IF(AND(G348&lt;&gt;"",COUNTIF($G:$G,G348)&gt;1),"ID repetido. ","")&amp;IF(AND(F348&lt;&gt;"",LEN(TRIM(F348))&lt;&gt;64),"Hash deve ter 64 caracteres.","")))</f>
        <v/>
      </c>
      <c r="M348" s="5"/>
    </row>
    <row r="349" customFormat="false" ht="15" hidden="false" customHeight="false" outlineLevel="0" collapsed="false">
      <c r="A349" s="5"/>
      <c r="B349" s="25"/>
      <c r="C349" s="5"/>
      <c r="D349" s="5"/>
      <c r="E349" s="26"/>
      <c r="F349" s="26"/>
      <c r="G349" s="27"/>
      <c r="H349" s="14"/>
      <c r="I349" s="5"/>
      <c r="J349" s="5"/>
      <c r="K349" s="28" t="str">
        <f aca="false">IF(G349="","",COUNTIF('Linha do tempo'!$D:$D,G349))</f>
        <v/>
      </c>
      <c r="L349" s="19" t="str">
        <f aca="false">IF(AND(G349="",F349=""),"",TRIM(IF(AND(G349&lt;&gt;"",COUNTIF($G:$G,G349)&gt;1),"ID repetido. ","")&amp;IF(AND(F349&lt;&gt;"",LEN(TRIM(F349))&lt;&gt;64),"Hash deve ter 64 caracteres.","")))</f>
        <v/>
      </c>
      <c r="M349" s="5"/>
    </row>
    <row r="350" customFormat="false" ht="15" hidden="false" customHeight="false" outlineLevel="0" collapsed="false">
      <c r="A350" s="5"/>
      <c r="B350" s="25"/>
      <c r="C350" s="5"/>
      <c r="D350" s="5"/>
      <c r="E350" s="26"/>
      <c r="F350" s="26"/>
      <c r="G350" s="27"/>
      <c r="H350" s="14"/>
      <c r="I350" s="5"/>
      <c r="J350" s="5"/>
      <c r="K350" s="28" t="str">
        <f aca="false">IF(G350="","",COUNTIF('Linha do tempo'!$D:$D,G350))</f>
        <v/>
      </c>
      <c r="L350" s="19" t="str">
        <f aca="false">IF(AND(G350="",F350=""),"",TRIM(IF(AND(G350&lt;&gt;"",COUNTIF($G:$G,G350)&gt;1),"ID repetido. ","")&amp;IF(AND(F350&lt;&gt;"",LEN(TRIM(F350))&lt;&gt;64),"Hash deve ter 64 caracteres.","")))</f>
        <v/>
      </c>
      <c r="M350" s="5"/>
    </row>
    <row r="351" customFormat="false" ht="15" hidden="false" customHeight="false" outlineLevel="0" collapsed="false">
      <c r="A351" s="5"/>
      <c r="B351" s="25"/>
      <c r="C351" s="5"/>
      <c r="D351" s="5"/>
      <c r="E351" s="26"/>
      <c r="F351" s="26"/>
      <c r="G351" s="27"/>
      <c r="H351" s="14"/>
      <c r="I351" s="5"/>
      <c r="J351" s="5"/>
      <c r="K351" s="28" t="str">
        <f aca="false">IF(G351="","",COUNTIF('Linha do tempo'!$D:$D,G351))</f>
        <v/>
      </c>
      <c r="L351" s="19" t="str">
        <f aca="false">IF(AND(G351="",F351=""),"",TRIM(IF(AND(G351&lt;&gt;"",COUNTIF($G:$G,G351)&gt;1),"ID repetido. ","")&amp;IF(AND(F351&lt;&gt;"",LEN(TRIM(F351))&lt;&gt;64),"Hash deve ter 64 caracteres.","")))</f>
        <v/>
      </c>
      <c r="M351" s="5"/>
    </row>
    <row r="352" customFormat="false" ht="15" hidden="false" customHeight="false" outlineLevel="0" collapsed="false">
      <c r="A352" s="5"/>
      <c r="B352" s="25"/>
      <c r="C352" s="5"/>
      <c r="D352" s="5"/>
      <c r="E352" s="26"/>
      <c r="F352" s="26"/>
      <c r="G352" s="27"/>
      <c r="H352" s="14"/>
      <c r="I352" s="5"/>
      <c r="J352" s="5"/>
      <c r="K352" s="28" t="str">
        <f aca="false">IF(G352="","",COUNTIF('Linha do tempo'!$D:$D,G352))</f>
        <v/>
      </c>
      <c r="L352" s="19" t="str">
        <f aca="false">IF(AND(G352="",F352=""),"",TRIM(IF(AND(G352&lt;&gt;"",COUNTIF($G:$G,G352)&gt;1),"ID repetido. ","")&amp;IF(AND(F352&lt;&gt;"",LEN(TRIM(F352))&lt;&gt;64),"Hash deve ter 64 caracteres.","")))</f>
        <v/>
      </c>
      <c r="M352" s="5"/>
    </row>
    <row r="353" customFormat="false" ht="15" hidden="false" customHeight="false" outlineLevel="0" collapsed="false">
      <c r="A353" s="5"/>
      <c r="B353" s="25"/>
      <c r="C353" s="5"/>
      <c r="D353" s="5"/>
      <c r="E353" s="26"/>
      <c r="F353" s="26"/>
      <c r="G353" s="27"/>
      <c r="H353" s="14"/>
      <c r="I353" s="5"/>
      <c r="J353" s="5"/>
      <c r="K353" s="28" t="str">
        <f aca="false">IF(G353="","",COUNTIF('Linha do tempo'!$D:$D,G353))</f>
        <v/>
      </c>
      <c r="L353" s="19" t="str">
        <f aca="false">IF(AND(G353="",F353=""),"",TRIM(IF(AND(G353&lt;&gt;"",COUNTIF($G:$G,G353)&gt;1),"ID repetido. ","")&amp;IF(AND(F353&lt;&gt;"",LEN(TRIM(F353))&lt;&gt;64),"Hash deve ter 64 caracteres.","")))</f>
        <v/>
      </c>
      <c r="M353" s="5"/>
    </row>
    <row r="354" customFormat="false" ht="15" hidden="false" customHeight="false" outlineLevel="0" collapsed="false">
      <c r="A354" s="5"/>
      <c r="B354" s="25"/>
      <c r="C354" s="5"/>
      <c r="D354" s="5"/>
      <c r="E354" s="26"/>
      <c r="F354" s="26"/>
      <c r="G354" s="27"/>
      <c r="H354" s="14"/>
      <c r="I354" s="5"/>
      <c r="J354" s="5"/>
      <c r="K354" s="28" t="str">
        <f aca="false">IF(G354="","",COUNTIF('Linha do tempo'!$D:$D,G354))</f>
        <v/>
      </c>
      <c r="L354" s="19" t="str">
        <f aca="false">IF(AND(G354="",F354=""),"",TRIM(IF(AND(G354&lt;&gt;"",COUNTIF($G:$G,G354)&gt;1),"ID repetido. ","")&amp;IF(AND(F354&lt;&gt;"",LEN(TRIM(F354))&lt;&gt;64),"Hash deve ter 64 caracteres.","")))</f>
        <v/>
      </c>
      <c r="M354" s="5"/>
    </row>
    <row r="355" customFormat="false" ht="15" hidden="false" customHeight="false" outlineLevel="0" collapsed="false">
      <c r="A355" s="5"/>
      <c r="B355" s="25"/>
      <c r="C355" s="5"/>
      <c r="D355" s="5"/>
      <c r="E355" s="26"/>
      <c r="F355" s="26"/>
      <c r="G355" s="27"/>
      <c r="H355" s="14"/>
      <c r="I355" s="5"/>
      <c r="J355" s="5"/>
      <c r="K355" s="28" t="str">
        <f aca="false">IF(G355="","",COUNTIF('Linha do tempo'!$D:$D,G355))</f>
        <v/>
      </c>
      <c r="L355" s="19" t="str">
        <f aca="false">IF(AND(G355="",F355=""),"",TRIM(IF(AND(G355&lt;&gt;"",COUNTIF($G:$G,G355)&gt;1),"ID repetido. ","")&amp;IF(AND(F355&lt;&gt;"",LEN(TRIM(F355))&lt;&gt;64),"Hash deve ter 64 caracteres.","")))</f>
        <v/>
      </c>
      <c r="M355" s="5"/>
    </row>
    <row r="356" customFormat="false" ht="15" hidden="false" customHeight="false" outlineLevel="0" collapsed="false">
      <c r="A356" s="5"/>
      <c r="B356" s="25"/>
      <c r="C356" s="5"/>
      <c r="D356" s="5"/>
      <c r="E356" s="26"/>
      <c r="F356" s="26"/>
      <c r="G356" s="27"/>
      <c r="H356" s="14"/>
      <c r="I356" s="5"/>
      <c r="J356" s="5"/>
      <c r="K356" s="28" t="str">
        <f aca="false">IF(G356="","",COUNTIF('Linha do tempo'!$D:$D,G356))</f>
        <v/>
      </c>
      <c r="L356" s="19" t="str">
        <f aca="false">IF(AND(G356="",F356=""),"",TRIM(IF(AND(G356&lt;&gt;"",COUNTIF($G:$G,G356)&gt;1),"ID repetido. ","")&amp;IF(AND(F356&lt;&gt;"",LEN(TRIM(F356))&lt;&gt;64),"Hash deve ter 64 caracteres.","")))</f>
        <v/>
      </c>
      <c r="M356" s="5"/>
    </row>
    <row r="357" customFormat="false" ht="15" hidden="false" customHeight="false" outlineLevel="0" collapsed="false">
      <c r="A357" s="5"/>
      <c r="B357" s="25"/>
      <c r="C357" s="5"/>
      <c r="D357" s="5"/>
      <c r="E357" s="26"/>
      <c r="F357" s="26"/>
      <c r="G357" s="27"/>
      <c r="H357" s="14"/>
      <c r="I357" s="5"/>
      <c r="J357" s="5"/>
      <c r="K357" s="28" t="str">
        <f aca="false">IF(G357="","",COUNTIF('Linha do tempo'!$D:$D,G357))</f>
        <v/>
      </c>
      <c r="L357" s="19" t="str">
        <f aca="false">IF(AND(G357="",F357=""),"",TRIM(IF(AND(G357&lt;&gt;"",COUNTIF($G:$G,G357)&gt;1),"ID repetido. ","")&amp;IF(AND(F357&lt;&gt;"",LEN(TRIM(F357))&lt;&gt;64),"Hash deve ter 64 caracteres.","")))</f>
        <v/>
      </c>
      <c r="M357" s="5"/>
    </row>
    <row r="358" customFormat="false" ht="15" hidden="false" customHeight="false" outlineLevel="0" collapsed="false">
      <c r="A358" s="5"/>
      <c r="B358" s="25"/>
      <c r="C358" s="5"/>
      <c r="D358" s="5"/>
      <c r="E358" s="26"/>
      <c r="F358" s="26"/>
      <c r="G358" s="27"/>
      <c r="H358" s="14"/>
      <c r="I358" s="5"/>
      <c r="J358" s="5"/>
      <c r="K358" s="28" t="str">
        <f aca="false">IF(G358="","",COUNTIF('Linha do tempo'!$D:$D,G358))</f>
        <v/>
      </c>
      <c r="L358" s="19" t="str">
        <f aca="false">IF(AND(G358="",F358=""),"",TRIM(IF(AND(G358&lt;&gt;"",COUNTIF($G:$G,G358)&gt;1),"ID repetido. ","")&amp;IF(AND(F358&lt;&gt;"",LEN(TRIM(F358))&lt;&gt;64),"Hash deve ter 64 caracteres.","")))</f>
        <v/>
      </c>
      <c r="M358" s="5"/>
    </row>
    <row r="359" customFormat="false" ht="15" hidden="false" customHeight="false" outlineLevel="0" collapsed="false">
      <c r="A359" s="5"/>
      <c r="B359" s="25"/>
      <c r="C359" s="5"/>
      <c r="D359" s="5"/>
      <c r="E359" s="26"/>
      <c r="F359" s="26"/>
      <c r="G359" s="27"/>
      <c r="H359" s="14"/>
      <c r="I359" s="5"/>
      <c r="J359" s="5"/>
      <c r="K359" s="28" t="str">
        <f aca="false">IF(G359="","",COUNTIF('Linha do tempo'!$D:$D,G359))</f>
        <v/>
      </c>
      <c r="L359" s="19" t="str">
        <f aca="false">IF(AND(G359="",F359=""),"",TRIM(IF(AND(G359&lt;&gt;"",COUNTIF($G:$G,G359)&gt;1),"ID repetido. ","")&amp;IF(AND(F359&lt;&gt;"",LEN(TRIM(F359))&lt;&gt;64),"Hash deve ter 64 caracteres.","")))</f>
        <v/>
      </c>
      <c r="M359" s="5"/>
    </row>
    <row r="360" customFormat="false" ht="15" hidden="false" customHeight="false" outlineLevel="0" collapsed="false">
      <c r="A360" s="5"/>
      <c r="B360" s="25"/>
      <c r="C360" s="5"/>
      <c r="D360" s="5"/>
      <c r="E360" s="26"/>
      <c r="F360" s="26"/>
      <c r="G360" s="27"/>
      <c r="H360" s="14"/>
      <c r="I360" s="5"/>
      <c r="J360" s="5"/>
      <c r="K360" s="28" t="str">
        <f aca="false">IF(G360="","",COUNTIF('Linha do tempo'!$D:$D,G360))</f>
        <v/>
      </c>
      <c r="L360" s="19" t="str">
        <f aca="false">IF(AND(G360="",F360=""),"",TRIM(IF(AND(G360&lt;&gt;"",COUNTIF($G:$G,G360)&gt;1),"ID repetido. ","")&amp;IF(AND(F360&lt;&gt;"",LEN(TRIM(F360))&lt;&gt;64),"Hash deve ter 64 caracteres.","")))</f>
        <v/>
      </c>
      <c r="M360" s="5"/>
    </row>
    <row r="361" customFormat="false" ht="15" hidden="false" customHeight="false" outlineLevel="0" collapsed="false">
      <c r="A361" s="5"/>
      <c r="B361" s="25"/>
      <c r="C361" s="5"/>
      <c r="D361" s="5"/>
      <c r="E361" s="26"/>
      <c r="F361" s="26"/>
      <c r="G361" s="27"/>
      <c r="H361" s="14"/>
      <c r="I361" s="5"/>
      <c r="J361" s="5"/>
      <c r="K361" s="28" t="str">
        <f aca="false">IF(G361="","",COUNTIF('Linha do tempo'!$D:$D,G361))</f>
        <v/>
      </c>
      <c r="L361" s="19" t="str">
        <f aca="false">IF(AND(G361="",F361=""),"",TRIM(IF(AND(G361&lt;&gt;"",COUNTIF($G:$G,G361)&gt;1),"ID repetido. ","")&amp;IF(AND(F361&lt;&gt;"",LEN(TRIM(F361))&lt;&gt;64),"Hash deve ter 64 caracteres.","")))</f>
        <v/>
      </c>
      <c r="M361" s="5"/>
    </row>
    <row r="362" customFormat="false" ht="15" hidden="false" customHeight="false" outlineLevel="0" collapsed="false">
      <c r="A362" s="5"/>
      <c r="B362" s="25"/>
      <c r="C362" s="5"/>
      <c r="D362" s="5"/>
      <c r="E362" s="26"/>
      <c r="F362" s="26"/>
      <c r="G362" s="27"/>
      <c r="H362" s="14"/>
      <c r="I362" s="5"/>
      <c r="J362" s="5"/>
      <c r="K362" s="28" t="str">
        <f aca="false">IF(G362="","",COUNTIF('Linha do tempo'!$D:$D,G362))</f>
        <v/>
      </c>
      <c r="L362" s="19" t="str">
        <f aca="false">IF(AND(G362="",F362=""),"",TRIM(IF(AND(G362&lt;&gt;"",COUNTIF($G:$G,G362)&gt;1),"ID repetido. ","")&amp;IF(AND(F362&lt;&gt;"",LEN(TRIM(F362))&lt;&gt;64),"Hash deve ter 64 caracteres.","")))</f>
        <v/>
      </c>
      <c r="M362" s="5"/>
    </row>
    <row r="363" customFormat="false" ht="15" hidden="false" customHeight="false" outlineLevel="0" collapsed="false">
      <c r="A363" s="5"/>
      <c r="B363" s="25"/>
      <c r="C363" s="5"/>
      <c r="D363" s="5"/>
      <c r="E363" s="26"/>
      <c r="F363" s="26"/>
      <c r="G363" s="27"/>
      <c r="H363" s="14"/>
      <c r="I363" s="5"/>
      <c r="J363" s="5"/>
      <c r="K363" s="28" t="str">
        <f aca="false">IF(G363="","",COUNTIF('Linha do tempo'!$D:$D,G363))</f>
        <v/>
      </c>
      <c r="L363" s="19" t="str">
        <f aca="false">IF(AND(G363="",F363=""),"",TRIM(IF(AND(G363&lt;&gt;"",COUNTIF($G:$G,G363)&gt;1),"ID repetido. ","")&amp;IF(AND(F363&lt;&gt;"",LEN(TRIM(F363))&lt;&gt;64),"Hash deve ter 64 caracteres.","")))</f>
        <v/>
      </c>
      <c r="M363" s="5"/>
    </row>
    <row r="364" customFormat="false" ht="15" hidden="false" customHeight="false" outlineLevel="0" collapsed="false">
      <c r="A364" s="5"/>
      <c r="B364" s="25"/>
      <c r="C364" s="5"/>
      <c r="D364" s="5"/>
      <c r="E364" s="26"/>
      <c r="F364" s="26"/>
      <c r="G364" s="27"/>
      <c r="H364" s="14"/>
      <c r="I364" s="5"/>
      <c r="J364" s="5"/>
      <c r="K364" s="28" t="str">
        <f aca="false">IF(G364="","",COUNTIF('Linha do tempo'!$D:$D,G364))</f>
        <v/>
      </c>
      <c r="L364" s="19" t="str">
        <f aca="false">IF(AND(G364="",F364=""),"",TRIM(IF(AND(G364&lt;&gt;"",COUNTIF($G:$G,G364)&gt;1),"ID repetido. ","")&amp;IF(AND(F364&lt;&gt;"",LEN(TRIM(F364))&lt;&gt;64),"Hash deve ter 64 caracteres.","")))</f>
        <v/>
      </c>
      <c r="M364" s="5"/>
    </row>
    <row r="365" customFormat="false" ht="15" hidden="false" customHeight="false" outlineLevel="0" collapsed="false">
      <c r="A365" s="5"/>
      <c r="B365" s="25"/>
      <c r="C365" s="5"/>
      <c r="D365" s="5"/>
      <c r="E365" s="26"/>
      <c r="F365" s="26"/>
      <c r="G365" s="27"/>
      <c r="H365" s="14"/>
      <c r="I365" s="5"/>
      <c r="J365" s="5"/>
      <c r="K365" s="28" t="str">
        <f aca="false">IF(G365="","",COUNTIF('Linha do tempo'!$D:$D,G365))</f>
        <v/>
      </c>
      <c r="L365" s="19" t="str">
        <f aca="false">IF(AND(G365="",F365=""),"",TRIM(IF(AND(G365&lt;&gt;"",COUNTIF($G:$G,G365)&gt;1),"ID repetido. ","")&amp;IF(AND(F365&lt;&gt;"",LEN(TRIM(F365))&lt;&gt;64),"Hash deve ter 64 caracteres.","")))</f>
        <v/>
      </c>
      <c r="M365" s="5"/>
    </row>
    <row r="366" customFormat="false" ht="15" hidden="false" customHeight="false" outlineLevel="0" collapsed="false">
      <c r="A366" s="5"/>
      <c r="B366" s="25"/>
      <c r="C366" s="5"/>
      <c r="D366" s="5"/>
      <c r="E366" s="26"/>
      <c r="F366" s="26"/>
      <c r="G366" s="27"/>
      <c r="H366" s="14"/>
      <c r="I366" s="5"/>
      <c r="J366" s="5"/>
      <c r="K366" s="28" t="str">
        <f aca="false">IF(G366="","",COUNTIF('Linha do tempo'!$D:$D,G366))</f>
        <v/>
      </c>
      <c r="L366" s="19" t="str">
        <f aca="false">IF(AND(G366="",F366=""),"",TRIM(IF(AND(G366&lt;&gt;"",COUNTIF($G:$G,G366)&gt;1),"ID repetido. ","")&amp;IF(AND(F366&lt;&gt;"",LEN(TRIM(F366))&lt;&gt;64),"Hash deve ter 64 caracteres.","")))</f>
        <v/>
      </c>
      <c r="M366" s="5"/>
    </row>
    <row r="367" customFormat="false" ht="15" hidden="false" customHeight="false" outlineLevel="0" collapsed="false">
      <c r="A367" s="5"/>
      <c r="B367" s="25"/>
      <c r="C367" s="5"/>
      <c r="D367" s="5"/>
      <c r="E367" s="26"/>
      <c r="F367" s="26"/>
      <c r="G367" s="27"/>
      <c r="H367" s="14"/>
      <c r="I367" s="5"/>
      <c r="J367" s="5"/>
      <c r="K367" s="28" t="str">
        <f aca="false">IF(G367="","",COUNTIF('Linha do tempo'!$D:$D,G367))</f>
        <v/>
      </c>
      <c r="L367" s="19" t="str">
        <f aca="false">IF(AND(G367="",F367=""),"",TRIM(IF(AND(G367&lt;&gt;"",COUNTIF($G:$G,G367)&gt;1),"ID repetido. ","")&amp;IF(AND(F367&lt;&gt;"",LEN(TRIM(F367))&lt;&gt;64),"Hash deve ter 64 caracteres.","")))</f>
        <v/>
      </c>
      <c r="M367" s="5"/>
    </row>
    <row r="368" customFormat="false" ht="15" hidden="false" customHeight="false" outlineLevel="0" collapsed="false">
      <c r="A368" s="5"/>
      <c r="B368" s="25"/>
      <c r="C368" s="5"/>
      <c r="D368" s="5"/>
      <c r="E368" s="26"/>
      <c r="F368" s="26"/>
      <c r="G368" s="27"/>
      <c r="H368" s="14"/>
      <c r="I368" s="5"/>
      <c r="J368" s="5"/>
      <c r="K368" s="28" t="str">
        <f aca="false">IF(G368="","",COUNTIF('Linha do tempo'!$D:$D,G368))</f>
        <v/>
      </c>
      <c r="L368" s="19" t="str">
        <f aca="false">IF(AND(G368="",F368=""),"",TRIM(IF(AND(G368&lt;&gt;"",COUNTIF($G:$G,G368)&gt;1),"ID repetido. ","")&amp;IF(AND(F368&lt;&gt;"",LEN(TRIM(F368))&lt;&gt;64),"Hash deve ter 64 caracteres.","")))</f>
        <v/>
      </c>
      <c r="M368" s="5"/>
    </row>
    <row r="369" customFormat="false" ht="15" hidden="false" customHeight="false" outlineLevel="0" collapsed="false">
      <c r="A369" s="5"/>
      <c r="B369" s="25"/>
      <c r="C369" s="5"/>
      <c r="D369" s="5"/>
      <c r="E369" s="26"/>
      <c r="F369" s="26"/>
      <c r="G369" s="27"/>
      <c r="H369" s="14"/>
      <c r="I369" s="5"/>
      <c r="J369" s="5"/>
      <c r="K369" s="28" t="str">
        <f aca="false">IF(G369="","",COUNTIF('Linha do tempo'!$D:$D,G369))</f>
        <v/>
      </c>
      <c r="L369" s="19" t="str">
        <f aca="false">IF(AND(G369="",F369=""),"",TRIM(IF(AND(G369&lt;&gt;"",COUNTIF($G:$G,G369)&gt;1),"ID repetido. ","")&amp;IF(AND(F369&lt;&gt;"",LEN(TRIM(F369))&lt;&gt;64),"Hash deve ter 64 caracteres.","")))</f>
        <v/>
      </c>
      <c r="M369" s="5"/>
    </row>
    <row r="370" customFormat="false" ht="15" hidden="false" customHeight="false" outlineLevel="0" collapsed="false">
      <c r="A370" s="5"/>
      <c r="B370" s="25"/>
      <c r="C370" s="5"/>
      <c r="D370" s="5"/>
      <c r="E370" s="26"/>
      <c r="F370" s="26"/>
      <c r="G370" s="27"/>
      <c r="H370" s="14"/>
      <c r="I370" s="5"/>
      <c r="J370" s="5"/>
      <c r="K370" s="28" t="str">
        <f aca="false">IF(G370="","",COUNTIF('Linha do tempo'!$D:$D,G370))</f>
        <v/>
      </c>
      <c r="L370" s="19" t="str">
        <f aca="false">IF(AND(G370="",F370=""),"",TRIM(IF(AND(G370&lt;&gt;"",COUNTIF($G:$G,G370)&gt;1),"ID repetido. ","")&amp;IF(AND(F370&lt;&gt;"",LEN(TRIM(F370))&lt;&gt;64),"Hash deve ter 64 caracteres.","")))</f>
        <v/>
      </c>
      <c r="M370" s="5"/>
    </row>
    <row r="371" customFormat="false" ht="15" hidden="false" customHeight="false" outlineLevel="0" collapsed="false">
      <c r="A371" s="5"/>
      <c r="B371" s="25"/>
      <c r="C371" s="5"/>
      <c r="D371" s="5"/>
      <c r="E371" s="26"/>
      <c r="F371" s="26"/>
      <c r="G371" s="27"/>
      <c r="H371" s="14"/>
      <c r="I371" s="5"/>
      <c r="J371" s="5"/>
      <c r="K371" s="28" t="str">
        <f aca="false">IF(G371="","",COUNTIF('Linha do tempo'!$D:$D,G371))</f>
        <v/>
      </c>
      <c r="L371" s="19" t="str">
        <f aca="false">IF(AND(G371="",F371=""),"",TRIM(IF(AND(G371&lt;&gt;"",COUNTIF($G:$G,G371)&gt;1),"ID repetido. ","")&amp;IF(AND(F371&lt;&gt;"",LEN(TRIM(F371))&lt;&gt;64),"Hash deve ter 64 caracteres.","")))</f>
        <v/>
      </c>
      <c r="M371" s="5"/>
    </row>
    <row r="372" customFormat="false" ht="15" hidden="false" customHeight="false" outlineLevel="0" collapsed="false">
      <c r="A372" s="5"/>
      <c r="B372" s="25"/>
      <c r="C372" s="5"/>
      <c r="D372" s="5"/>
      <c r="E372" s="26"/>
      <c r="F372" s="26"/>
      <c r="G372" s="27"/>
      <c r="H372" s="14"/>
      <c r="I372" s="5"/>
      <c r="J372" s="5"/>
      <c r="K372" s="28" t="str">
        <f aca="false">IF(G372="","",COUNTIF('Linha do tempo'!$D:$D,G372))</f>
        <v/>
      </c>
      <c r="L372" s="19" t="str">
        <f aca="false">IF(AND(G372="",F372=""),"",TRIM(IF(AND(G372&lt;&gt;"",COUNTIF($G:$G,G372)&gt;1),"ID repetido. ","")&amp;IF(AND(F372&lt;&gt;"",LEN(TRIM(F372))&lt;&gt;64),"Hash deve ter 64 caracteres.","")))</f>
        <v/>
      </c>
      <c r="M372" s="5"/>
    </row>
    <row r="373" customFormat="false" ht="15" hidden="false" customHeight="false" outlineLevel="0" collapsed="false">
      <c r="A373" s="5"/>
      <c r="B373" s="25"/>
      <c r="C373" s="5"/>
      <c r="D373" s="5"/>
      <c r="E373" s="26"/>
      <c r="F373" s="26"/>
      <c r="G373" s="27"/>
      <c r="H373" s="14"/>
      <c r="I373" s="5"/>
      <c r="J373" s="5"/>
      <c r="K373" s="28" t="str">
        <f aca="false">IF(G373="","",COUNTIF('Linha do tempo'!$D:$D,G373))</f>
        <v/>
      </c>
      <c r="L373" s="19" t="str">
        <f aca="false">IF(AND(G373="",F373=""),"",TRIM(IF(AND(G373&lt;&gt;"",COUNTIF($G:$G,G373)&gt;1),"ID repetido. ","")&amp;IF(AND(F373&lt;&gt;"",LEN(TRIM(F373))&lt;&gt;64),"Hash deve ter 64 caracteres.","")))</f>
        <v/>
      </c>
      <c r="M373" s="5"/>
    </row>
    <row r="374" customFormat="false" ht="15" hidden="false" customHeight="false" outlineLevel="0" collapsed="false">
      <c r="A374" s="5"/>
      <c r="B374" s="25"/>
      <c r="C374" s="5"/>
      <c r="D374" s="5"/>
      <c r="E374" s="26"/>
      <c r="F374" s="26"/>
      <c r="G374" s="27"/>
      <c r="H374" s="14"/>
      <c r="I374" s="5"/>
      <c r="J374" s="5"/>
      <c r="K374" s="28" t="str">
        <f aca="false">IF(G374="","",COUNTIF('Linha do tempo'!$D:$D,G374))</f>
        <v/>
      </c>
      <c r="L374" s="19" t="str">
        <f aca="false">IF(AND(G374="",F374=""),"",TRIM(IF(AND(G374&lt;&gt;"",COUNTIF($G:$G,G374)&gt;1),"ID repetido. ","")&amp;IF(AND(F374&lt;&gt;"",LEN(TRIM(F374))&lt;&gt;64),"Hash deve ter 64 caracteres.","")))</f>
        <v/>
      </c>
      <c r="M374" s="5"/>
    </row>
    <row r="375" customFormat="false" ht="15" hidden="false" customHeight="false" outlineLevel="0" collapsed="false">
      <c r="A375" s="5"/>
      <c r="B375" s="25"/>
      <c r="C375" s="5"/>
      <c r="D375" s="5"/>
      <c r="E375" s="26"/>
      <c r="F375" s="26"/>
      <c r="G375" s="27"/>
      <c r="H375" s="14"/>
      <c r="I375" s="5"/>
      <c r="J375" s="5"/>
      <c r="K375" s="28" t="str">
        <f aca="false">IF(G375="","",COUNTIF('Linha do tempo'!$D:$D,G375))</f>
        <v/>
      </c>
      <c r="L375" s="19" t="str">
        <f aca="false">IF(AND(G375="",F375=""),"",TRIM(IF(AND(G375&lt;&gt;"",COUNTIF($G:$G,G375)&gt;1),"ID repetido. ","")&amp;IF(AND(F375&lt;&gt;"",LEN(TRIM(F375))&lt;&gt;64),"Hash deve ter 64 caracteres.","")))</f>
        <v/>
      </c>
      <c r="M375" s="5"/>
    </row>
    <row r="376" customFormat="false" ht="15" hidden="false" customHeight="false" outlineLevel="0" collapsed="false">
      <c r="A376" s="5"/>
      <c r="B376" s="25"/>
      <c r="C376" s="5"/>
      <c r="D376" s="5"/>
      <c r="E376" s="26"/>
      <c r="F376" s="26"/>
      <c r="G376" s="27"/>
      <c r="H376" s="14"/>
      <c r="I376" s="5"/>
      <c r="J376" s="5"/>
      <c r="K376" s="28" t="str">
        <f aca="false">IF(G376="","",COUNTIF('Linha do tempo'!$D:$D,G376))</f>
        <v/>
      </c>
      <c r="L376" s="19" t="str">
        <f aca="false">IF(AND(G376="",F376=""),"",TRIM(IF(AND(G376&lt;&gt;"",COUNTIF($G:$G,G376)&gt;1),"ID repetido. ","")&amp;IF(AND(F376&lt;&gt;"",LEN(TRIM(F376))&lt;&gt;64),"Hash deve ter 64 caracteres.","")))</f>
        <v/>
      </c>
      <c r="M376" s="5"/>
    </row>
    <row r="377" customFormat="false" ht="15" hidden="false" customHeight="false" outlineLevel="0" collapsed="false">
      <c r="A377" s="5"/>
      <c r="B377" s="25"/>
      <c r="C377" s="5"/>
      <c r="D377" s="5"/>
      <c r="E377" s="26"/>
      <c r="F377" s="26"/>
      <c r="G377" s="27"/>
      <c r="H377" s="14"/>
      <c r="I377" s="5"/>
      <c r="J377" s="5"/>
      <c r="K377" s="28" t="str">
        <f aca="false">IF(G377="","",COUNTIF('Linha do tempo'!$D:$D,G377))</f>
        <v/>
      </c>
      <c r="L377" s="19" t="str">
        <f aca="false">IF(AND(G377="",F377=""),"",TRIM(IF(AND(G377&lt;&gt;"",COUNTIF($G:$G,G377)&gt;1),"ID repetido. ","")&amp;IF(AND(F377&lt;&gt;"",LEN(TRIM(F377))&lt;&gt;64),"Hash deve ter 64 caracteres.","")))</f>
        <v/>
      </c>
      <c r="M377" s="5"/>
    </row>
    <row r="378" customFormat="false" ht="15" hidden="false" customHeight="false" outlineLevel="0" collapsed="false">
      <c r="A378" s="5"/>
      <c r="B378" s="25"/>
      <c r="C378" s="5"/>
      <c r="D378" s="5"/>
      <c r="E378" s="26"/>
      <c r="F378" s="26"/>
      <c r="G378" s="27"/>
      <c r="H378" s="14"/>
      <c r="I378" s="5"/>
      <c r="J378" s="5"/>
      <c r="K378" s="28" t="str">
        <f aca="false">IF(G378="","",COUNTIF('Linha do tempo'!$D:$D,G378))</f>
        <v/>
      </c>
      <c r="L378" s="19" t="str">
        <f aca="false">IF(AND(G378="",F378=""),"",TRIM(IF(AND(G378&lt;&gt;"",COUNTIF($G:$G,G378)&gt;1),"ID repetido. ","")&amp;IF(AND(F378&lt;&gt;"",LEN(TRIM(F378))&lt;&gt;64),"Hash deve ter 64 caracteres.","")))</f>
        <v/>
      </c>
      <c r="M378" s="5"/>
    </row>
    <row r="379" customFormat="false" ht="15" hidden="false" customHeight="false" outlineLevel="0" collapsed="false">
      <c r="A379" s="5"/>
      <c r="B379" s="25"/>
      <c r="C379" s="5"/>
      <c r="D379" s="5"/>
      <c r="E379" s="26"/>
      <c r="F379" s="26"/>
      <c r="G379" s="27"/>
      <c r="H379" s="14"/>
      <c r="I379" s="5"/>
      <c r="J379" s="5"/>
      <c r="K379" s="28" t="str">
        <f aca="false">IF(G379="","",COUNTIF('Linha do tempo'!$D:$D,G379))</f>
        <v/>
      </c>
      <c r="L379" s="19" t="str">
        <f aca="false">IF(AND(G379="",F379=""),"",TRIM(IF(AND(G379&lt;&gt;"",COUNTIF($G:$G,G379)&gt;1),"ID repetido. ","")&amp;IF(AND(F379&lt;&gt;"",LEN(TRIM(F379))&lt;&gt;64),"Hash deve ter 64 caracteres.","")))</f>
        <v/>
      </c>
      <c r="M379" s="5"/>
    </row>
    <row r="380" customFormat="false" ht="15" hidden="false" customHeight="false" outlineLevel="0" collapsed="false">
      <c r="A380" s="5"/>
      <c r="B380" s="25"/>
      <c r="C380" s="5"/>
      <c r="D380" s="5"/>
      <c r="E380" s="26"/>
      <c r="F380" s="26"/>
      <c r="G380" s="27"/>
      <c r="H380" s="14"/>
      <c r="I380" s="5"/>
      <c r="J380" s="5"/>
      <c r="K380" s="28" t="str">
        <f aca="false">IF(G380="","",COUNTIF('Linha do tempo'!$D:$D,G380))</f>
        <v/>
      </c>
      <c r="L380" s="19" t="str">
        <f aca="false">IF(AND(G380="",F380=""),"",TRIM(IF(AND(G380&lt;&gt;"",COUNTIF($G:$G,G380)&gt;1),"ID repetido. ","")&amp;IF(AND(F380&lt;&gt;"",LEN(TRIM(F380))&lt;&gt;64),"Hash deve ter 64 caracteres.","")))</f>
        <v/>
      </c>
      <c r="M380" s="5"/>
    </row>
    <row r="381" customFormat="false" ht="15" hidden="false" customHeight="false" outlineLevel="0" collapsed="false">
      <c r="A381" s="5"/>
      <c r="B381" s="25"/>
      <c r="C381" s="5"/>
      <c r="D381" s="5"/>
      <c r="E381" s="26"/>
      <c r="F381" s="26"/>
      <c r="G381" s="27"/>
      <c r="H381" s="14"/>
      <c r="I381" s="5"/>
      <c r="J381" s="5"/>
      <c r="K381" s="28" t="str">
        <f aca="false">IF(G381="","",COUNTIF('Linha do tempo'!$D:$D,G381))</f>
        <v/>
      </c>
      <c r="L381" s="19" t="str">
        <f aca="false">IF(AND(G381="",F381=""),"",TRIM(IF(AND(G381&lt;&gt;"",COUNTIF($G:$G,G381)&gt;1),"ID repetido. ","")&amp;IF(AND(F381&lt;&gt;"",LEN(TRIM(F381))&lt;&gt;64),"Hash deve ter 64 caracteres.","")))</f>
        <v/>
      </c>
      <c r="M381" s="5"/>
    </row>
    <row r="382" customFormat="false" ht="15" hidden="false" customHeight="false" outlineLevel="0" collapsed="false">
      <c r="A382" s="5"/>
      <c r="B382" s="25"/>
      <c r="C382" s="5"/>
      <c r="D382" s="5"/>
      <c r="E382" s="26"/>
      <c r="F382" s="26"/>
      <c r="G382" s="27"/>
      <c r="H382" s="14"/>
      <c r="I382" s="5"/>
      <c r="J382" s="5"/>
      <c r="K382" s="28" t="str">
        <f aca="false">IF(G382="","",COUNTIF('Linha do tempo'!$D:$D,G382))</f>
        <v/>
      </c>
      <c r="L382" s="19" t="str">
        <f aca="false">IF(AND(G382="",F382=""),"",TRIM(IF(AND(G382&lt;&gt;"",COUNTIF($G:$G,G382)&gt;1),"ID repetido. ","")&amp;IF(AND(F382&lt;&gt;"",LEN(TRIM(F382))&lt;&gt;64),"Hash deve ter 64 caracteres.","")))</f>
        <v/>
      </c>
      <c r="M382" s="5"/>
    </row>
    <row r="383" customFormat="false" ht="15" hidden="false" customHeight="false" outlineLevel="0" collapsed="false">
      <c r="A383" s="5"/>
      <c r="B383" s="25"/>
      <c r="C383" s="5"/>
      <c r="D383" s="5"/>
      <c r="E383" s="26"/>
      <c r="F383" s="26"/>
      <c r="G383" s="27"/>
      <c r="H383" s="14"/>
      <c r="I383" s="5"/>
      <c r="J383" s="5"/>
      <c r="K383" s="28" t="str">
        <f aca="false">IF(G383="","",COUNTIF('Linha do tempo'!$D:$D,G383))</f>
        <v/>
      </c>
      <c r="L383" s="19" t="str">
        <f aca="false">IF(AND(G383="",F383=""),"",TRIM(IF(AND(G383&lt;&gt;"",COUNTIF($G:$G,G383)&gt;1),"ID repetido. ","")&amp;IF(AND(F383&lt;&gt;"",LEN(TRIM(F383))&lt;&gt;64),"Hash deve ter 64 caracteres.","")))</f>
        <v/>
      </c>
      <c r="M383" s="5"/>
    </row>
    <row r="384" customFormat="false" ht="15" hidden="false" customHeight="false" outlineLevel="0" collapsed="false">
      <c r="A384" s="5"/>
      <c r="B384" s="25"/>
      <c r="C384" s="5"/>
      <c r="D384" s="5"/>
      <c r="E384" s="26"/>
      <c r="F384" s="26"/>
      <c r="G384" s="27"/>
      <c r="H384" s="14"/>
      <c r="I384" s="5"/>
      <c r="J384" s="5"/>
      <c r="K384" s="28" t="str">
        <f aca="false">IF(G384="","",COUNTIF('Linha do tempo'!$D:$D,G384))</f>
        <v/>
      </c>
      <c r="L384" s="19" t="str">
        <f aca="false">IF(AND(G384="",F384=""),"",TRIM(IF(AND(G384&lt;&gt;"",COUNTIF($G:$G,G384)&gt;1),"ID repetido. ","")&amp;IF(AND(F384&lt;&gt;"",LEN(TRIM(F384))&lt;&gt;64),"Hash deve ter 64 caracteres.","")))</f>
        <v/>
      </c>
      <c r="M384" s="5"/>
    </row>
    <row r="385" customFormat="false" ht="15" hidden="false" customHeight="false" outlineLevel="0" collapsed="false">
      <c r="A385" s="5"/>
      <c r="B385" s="25"/>
      <c r="C385" s="5"/>
      <c r="D385" s="5"/>
      <c r="E385" s="26"/>
      <c r="F385" s="26"/>
      <c r="G385" s="27"/>
      <c r="H385" s="14"/>
      <c r="I385" s="5"/>
      <c r="J385" s="5"/>
      <c r="K385" s="28" t="str">
        <f aca="false">IF(G385="","",COUNTIF('Linha do tempo'!$D:$D,G385))</f>
        <v/>
      </c>
      <c r="L385" s="19" t="str">
        <f aca="false">IF(AND(G385="",F385=""),"",TRIM(IF(AND(G385&lt;&gt;"",COUNTIF($G:$G,G385)&gt;1),"ID repetido. ","")&amp;IF(AND(F385&lt;&gt;"",LEN(TRIM(F385))&lt;&gt;64),"Hash deve ter 64 caracteres.","")))</f>
        <v/>
      </c>
      <c r="M385" s="5"/>
    </row>
    <row r="386" customFormat="false" ht="15" hidden="false" customHeight="false" outlineLevel="0" collapsed="false">
      <c r="A386" s="5"/>
      <c r="B386" s="25"/>
      <c r="C386" s="5"/>
      <c r="D386" s="5"/>
      <c r="E386" s="26"/>
      <c r="F386" s="26"/>
      <c r="G386" s="27"/>
      <c r="H386" s="14"/>
      <c r="I386" s="5"/>
      <c r="J386" s="5"/>
      <c r="K386" s="28" t="str">
        <f aca="false">IF(G386="","",COUNTIF('Linha do tempo'!$D:$D,G386))</f>
        <v/>
      </c>
      <c r="L386" s="19" t="str">
        <f aca="false">IF(AND(G386="",F386=""),"",TRIM(IF(AND(G386&lt;&gt;"",COUNTIF($G:$G,G386)&gt;1),"ID repetido. ","")&amp;IF(AND(F386&lt;&gt;"",LEN(TRIM(F386))&lt;&gt;64),"Hash deve ter 64 caracteres.","")))</f>
        <v/>
      </c>
      <c r="M386" s="5"/>
    </row>
    <row r="387" customFormat="false" ht="15" hidden="false" customHeight="false" outlineLevel="0" collapsed="false">
      <c r="A387" s="5"/>
      <c r="B387" s="25"/>
      <c r="C387" s="5"/>
      <c r="D387" s="5"/>
      <c r="E387" s="26"/>
      <c r="F387" s="26"/>
      <c r="G387" s="27"/>
      <c r="H387" s="14"/>
      <c r="I387" s="5"/>
      <c r="J387" s="5"/>
      <c r="K387" s="28" t="str">
        <f aca="false">IF(G387="","",COUNTIF('Linha do tempo'!$D:$D,G387))</f>
        <v/>
      </c>
      <c r="L387" s="19" t="str">
        <f aca="false">IF(AND(G387="",F387=""),"",TRIM(IF(AND(G387&lt;&gt;"",COUNTIF($G:$G,G387)&gt;1),"ID repetido. ","")&amp;IF(AND(F387&lt;&gt;"",LEN(TRIM(F387))&lt;&gt;64),"Hash deve ter 64 caracteres.","")))</f>
        <v/>
      </c>
      <c r="M387" s="5"/>
    </row>
    <row r="388" customFormat="false" ht="15" hidden="false" customHeight="false" outlineLevel="0" collapsed="false">
      <c r="A388" s="5"/>
      <c r="B388" s="25"/>
      <c r="C388" s="5"/>
      <c r="D388" s="5"/>
      <c r="E388" s="26"/>
      <c r="F388" s="26"/>
      <c r="G388" s="27"/>
      <c r="H388" s="14"/>
      <c r="I388" s="5"/>
      <c r="J388" s="5"/>
      <c r="K388" s="28" t="str">
        <f aca="false">IF(G388="","",COUNTIF('Linha do tempo'!$D:$D,G388))</f>
        <v/>
      </c>
      <c r="L388" s="19" t="str">
        <f aca="false">IF(AND(G388="",F388=""),"",TRIM(IF(AND(G388&lt;&gt;"",COUNTIF($G:$G,G388)&gt;1),"ID repetido. ","")&amp;IF(AND(F388&lt;&gt;"",LEN(TRIM(F388))&lt;&gt;64),"Hash deve ter 64 caracteres.","")))</f>
        <v/>
      </c>
      <c r="M388" s="5"/>
    </row>
    <row r="389" customFormat="false" ht="15" hidden="false" customHeight="false" outlineLevel="0" collapsed="false">
      <c r="A389" s="5"/>
      <c r="B389" s="25"/>
      <c r="C389" s="5"/>
      <c r="D389" s="5"/>
      <c r="E389" s="26"/>
      <c r="F389" s="26"/>
      <c r="G389" s="27"/>
      <c r="H389" s="14"/>
      <c r="I389" s="5"/>
      <c r="J389" s="5"/>
      <c r="K389" s="28" t="str">
        <f aca="false">IF(G389="","",COUNTIF('Linha do tempo'!$D:$D,G389))</f>
        <v/>
      </c>
      <c r="L389" s="19" t="str">
        <f aca="false">IF(AND(G389="",F389=""),"",TRIM(IF(AND(G389&lt;&gt;"",COUNTIF($G:$G,G389)&gt;1),"ID repetido. ","")&amp;IF(AND(F389&lt;&gt;"",LEN(TRIM(F389))&lt;&gt;64),"Hash deve ter 64 caracteres.","")))</f>
        <v/>
      </c>
      <c r="M389" s="5"/>
    </row>
    <row r="390" customFormat="false" ht="15" hidden="false" customHeight="false" outlineLevel="0" collapsed="false">
      <c r="A390" s="5"/>
      <c r="B390" s="25"/>
      <c r="C390" s="5"/>
      <c r="D390" s="5"/>
      <c r="E390" s="26"/>
      <c r="F390" s="26"/>
      <c r="G390" s="27"/>
      <c r="H390" s="14"/>
      <c r="I390" s="5"/>
      <c r="J390" s="5"/>
      <c r="K390" s="28" t="str">
        <f aca="false">IF(G390="","",COUNTIF('Linha do tempo'!$D:$D,G390))</f>
        <v/>
      </c>
      <c r="L390" s="19" t="str">
        <f aca="false">IF(AND(G390="",F390=""),"",TRIM(IF(AND(G390&lt;&gt;"",COUNTIF($G:$G,G390)&gt;1),"ID repetido. ","")&amp;IF(AND(F390&lt;&gt;"",LEN(TRIM(F390))&lt;&gt;64),"Hash deve ter 64 caracteres.","")))</f>
        <v/>
      </c>
      <c r="M390" s="5"/>
    </row>
    <row r="391" customFormat="false" ht="15" hidden="false" customHeight="false" outlineLevel="0" collapsed="false">
      <c r="A391" s="5"/>
      <c r="B391" s="25"/>
      <c r="C391" s="5"/>
      <c r="D391" s="5"/>
      <c r="E391" s="26"/>
      <c r="F391" s="26"/>
      <c r="G391" s="27"/>
      <c r="H391" s="14"/>
      <c r="I391" s="5"/>
      <c r="J391" s="5"/>
      <c r="K391" s="28" t="str">
        <f aca="false">IF(G391="","",COUNTIF('Linha do tempo'!$D:$D,G391))</f>
        <v/>
      </c>
      <c r="L391" s="19" t="str">
        <f aca="false">IF(AND(G391="",F391=""),"",TRIM(IF(AND(G391&lt;&gt;"",COUNTIF($G:$G,G391)&gt;1),"ID repetido. ","")&amp;IF(AND(F391&lt;&gt;"",LEN(TRIM(F391))&lt;&gt;64),"Hash deve ter 64 caracteres.","")))</f>
        <v/>
      </c>
      <c r="M391" s="5"/>
    </row>
    <row r="392" customFormat="false" ht="15" hidden="false" customHeight="false" outlineLevel="0" collapsed="false">
      <c r="A392" s="5"/>
      <c r="B392" s="25"/>
      <c r="C392" s="5"/>
      <c r="D392" s="5"/>
      <c r="E392" s="26"/>
      <c r="F392" s="26"/>
      <c r="G392" s="27"/>
      <c r="H392" s="14"/>
      <c r="I392" s="5"/>
      <c r="J392" s="5"/>
      <c r="K392" s="28" t="str">
        <f aca="false">IF(G392="","",COUNTIF('Linha do tempo'!$D:$D,G392))</f>
        <v/>
      </c>
      <c r="L392" s="19" t="str">
        <f aca="false">IF(AND(G392="",F392=""),"",TRIM(IF(AND(G392&lt;&gt;"",COUNTIF($G:$G,G392)&gt;1),"ID repetido. ","")&amp;IF(AND(F392&lt;&gt;"",LEN(TRIM(F392))&lt;&gt;64),"Hash deve ter 64 caracteres.","")))</f>
        <v/>
      </c>
      <c r="M392" s="5"/>
    </row>
    <row r="393" customFormat="false" ht="15" hidden="false" customHeight="false" outlineLevel="0" collapsed="false">
      <c r="A393" s="5"/>
      <c r="B393" s="25"/>
      <c r="C393" s="5"/>
      <c r="D393" s="5"/>
      <c r="E393" s="26"/>
      <c r="F393" s="26"/>
      <c r="G393" s="27"/>
      <c r="H393" s="14"/>
      <c r="I393" s="5"/>
      <c r="J393" s="5"/>
      <c r="K393" s="28" t="str">
        <f aca="false">IF(G393="","",COUNTIF('Linha do tempo'!$D:$D,G393))</f>
        <v/>
      </c>
      <c r="L393" s="19" t="str">
        <f aca="false">IF(AND(G393="",F393=""),"",TRIM(IF(AND(G393&lt;&gt;"",COUNTIF($G:$G,G393)&gt;1),"ID repetido. ","")&amp;IF(AND(F393&lt;&gt;"",LEN(TRIM(F393))&lt;&gt;64),"Hash deve ter 64 caracteres.","")))</f>
        <v/>
      </c>
      <c r="M393" s="5"/>
    </row>
    <row r="394" customFormat="false" ht="15" hidden="false" customHeight="false" outlineLevel="0" collapsed="false">
      <c r="A394" s="5"/>
      <c r="B394" s="25"/>
      <c r="C394" s="5"/>
      <c r="D394" s="5"/>
      <c r="E394" s="26"/>
      <c r="F394" s="26"/>
      <c r="G394" s="27"/>
      <c r="H394" s="14"/>
      <c r="I394" s="5"/>
      <c r="J394" s="5"/>
      <c r="K394" s="28" t="str">
        <f aca="false">IF(G394="","",COUNTIF('Linha do tempo'!$D:$D,G394))</f>
        <v/>
      </c>
      <c r="L394" s="19" t="str">
        <f aca="false">IF(AND(G394="",F394=""),"",TRIM(IF(AND(G394&lt;&gt;"",COUNTIF($G:$G,G394)&gt;1),"ID repetido. ","")&amp;IF(AND(F394&lt;&gt;"",LEN(TRIM(F394))&lt;&gt;64),"Hash deve ter 64 caracteres.","")))</f>
        <v/>
      </c>
      <c r="M394" s="5"/>
    </row>
    <row r="395" customFormat="false" ht="15" hidden="false" customHeight="false" outlineLevel="0" collapsed="false">
      <c r="A395" s="5"/>
      <c r="B395" s="25"/>
      <c r="C395" s="5"/>
      <c r="D395" s="5"/>
      <c r="E395" s="26"/>
      <c r="F395" s="26"/>
      <c r="G395" s="27"/>
      <c r="H395" s="14"/>
      <c r="I395" s="5"/>
      <c r="J395" s="5"/>
      <c r="K395" s="28" t="str">
        <f aca="false">IF(G395="","",COUNTIF('Linha do tempo'!$D:$D,G395))</f>
        <v/>
      </c>
      <c r="L395" s="19" t="str">
        <f aca="false">IF(AND(G395="",F395=""),"",TRIM(IF(AND(G395&lt;&gt;"",COUNTIF($G:$G,G395)&gt;1),"ID repetido. ","")&amp;IF(AND(F395&lt;&gt;"",LEN(TRIM(F395))&lt;&gt;64),"Hash deve ter 64 caracteres.","")))</f>
        <v/>
      </c>
      <c r="M395" s="5"/>
    </row>
    <row r="396" customFormat="false" ht="15" hidden="false" customHeight="false" outlineLevel="0" collapsed="false">
      <c r="A396" s="5"/>
      <c r="B396" s="25"/>
      <c r="C396" s="5"/>
      <c r="D396" s="5"/>
      <c r="E396" s="26"/>
      <c r="F396" s="26"/>
      <c r="G396" s="27"/>
      <c r="H396" s="14"/>
      <c r="I396" s="5"/>
      <c r="J396" s="5"/>
      <c r="K396" s="28" t="str">
        <f aca="false">IF(G396="","",COUNTIF('Linha do tempo'!$D:$D,G396))</f>
        <v/>
      </c>
      <c r="L396" s="19" t="str">
        <f aca="false">IF(AND(G396="",F396=""),"",TRIM(IF(AND(G396&lt;&gt;"",COUNTIF($G:$G,G396)&gt;1),"ID repetido. ","")&amp;IF(AND(F396&lt;&gt;"",LEN(TRIM(F396))&lt;&gt;64),"Hash deve ter 64 caracteres.","")))</f>
        <v/>
      </c>
      <c r="M396" s="5"/>
    </row>
    <row r="397" customFormat="false" ht="15" hidden="false" customHeight="false" outlineLevel="0" collapsed="false">
      <c r="A397" s="5"/>
      <c r="B397" s="25"/>
      <c r="C397" s="5"/>
      <c r="D397" s="5"/>
      <c r="E397" s="26"/>
      <c r="F397" s="26"/>
      <c r="G397" s="27"/>
      <c r="H397" s="14"/>
      <c r="I397" s="5"/>
      <c r="J397" s="5"/>
      <c r="K397" s="28" t="str">
        <f aca="false">IF(G397="","",COUNTIF('Linha do tempo'!$D:$D,G397))</f>
        <v/>
      </c>
      <c r="L397" s="19" t="str">
        <f aca="false">IF(AND(G397="",F397=""),"",TRIM(IF(AND(G397&lt;&gt;"",COUNTIF($G:$G,G397)&gt;1),"ID repetido. ","")&amp;IF(AND(F397&lt;&gt;"",LEN(TRIM(F397))&lt;&gt;64),"Hash deve ter 64 caracteres.","")))</f>
        <v/>
      </c>
      <c r="M397" s="5"/>
    </row>
    <row r="398" customFormat="false" ht="15" hidden="false" customHeight="false" outlineLevel="0" collapsed="false">
      <c r="A398" s="5"/>
      <c r="B398" s="25"/>
      <c r="C398" s="5"/>
      <c r="D398" s="5"/>
      <c r="E398" s="26"/>
      <c r="F398" s="26"/>
      <c r="G398" s="27"/>
      <c r="H398" s="14"/>
      <c r="I398" s="5"/>
      <c r="J398" s="5"/>
      <c r="K398" s="28" t="str">
        <f aca="false">IF(G398="","",COUNTIF('Linha do tempo'!$D:$D,G398))</f>
        <v/>
      </c>
      <c r="L398" s="19" t="str">
        <f aca="false">IF(AND(G398="",F398=""),"",TRIM(IF(AND(G398&lt;&gt;"",COUNTIF($G:$G,G398)&gt;1),"ID repetido. ","")&amp;IF(AND(F398&lt;&gt;"",LEN(TRIM(F398))&lt;&gt;64),"Hash deve ter 64 caracteres.","")))</f>
        <v/>
      </c>
      <c r="M398" s="5"/>
    </row>
    <row r="399" customFormat="false" ht="15" hidden="false" customHeight="false" outlineLevel="0" collapsed="false">
      <c r="A399" s="5"/>
      <c r="B399" s="25"/>
      <c r="C399" s="5"/>
      <c r="D399" s="5"/>
      <c r="E399" s="26"/>
      <c r="F399" s="26"/>
      <c r="G399" s="27"/>
      <c r="H399" s="14"/>
      <c r="I399" s="5"/>
      <c r="J399" s="5"/>
      <c r="K399" s="28" t="str">
        <f aca="false">IF(G399="","",COUNTIF('Linha do tempo'!$D:$D,G399))</f>
        <v/>
      </c>
      <c r="L399" s="19" t="str">
        <f aca="false">IF(AND(G399="",F399=""),"",TRIM(IF(AND(G399&lt;&gt;"",COUNTIF($G:$G,G399)&gt;1),"ID repetido. ","")&amp;IF(AND(F399&lt;&gt;"",LEN(TRIM(F399))&lt;&gt;64),"Hash deve ter 64 caracteres.","")))</f>
        <v/>
      </c>
      <c r="M399" s="5"/>
    </row>
    <row r="400" customFormat="false" ht="15" hidden="false" customHeight="false" outlineLevel="0" collapsed="false">
      <c r="A400" s="5"/>
      <c r="B400" s="25"/>
      <c r="C400" s="5"/>
      <c r="D400" s="5"/>
      <c r="E400" s="26"/>
      <c r="F400" s="26"/>
      <c r="G400" s="27"/>
      <c r="H400" s="14"/>
      <c r="I400" s="5"/>
      <c r="J400" s="5"/>
      <c r="K400" s="28" t="str">
        <f aca="false">IF(G400="","",COUNTIF('Linha do tempo'!$D:$D,G400))</f>
        <v/>
      </c>
      <c r="L400" s="19" t="str">
        <f aca="false">IF(AND(G400="",F400=""),"",TRIM(IF(AND(G400&lt;&gt;"",COUNTIF($G:$G,G400)&gt;1),"ID repetido. ","")&amp;IF(AND(F400&lt;&gt;"",LEN(TRIM(F400))&lt;&gt;64),"Hash deve ter 64 caracteres.","")))</f>
        <v/>
      </c>
      <c r="M400" s="5"/>
    </row>
    <row r="401" customFormat="false" ht="15" hidden="false" customHeight="false" outlineLevel="0" collapsed="false">
      <c r="A401" s="5"/>
      <c r="B401" s="25"/>
      <c r="C401" s="5"/>
      <c r="D401" s="5"/>
      <c r="E401" s="26"/>
      <c r="F401" s="26"/>
      <c r="G401" s="27"/>
      <c r="H401" s="14"/>
      <c r="I401" s="5"/>
      <c r="J401" s="5"/>
      <c r="K401" s="28" t="str">
        <f aca="false">IF(G401="","",COUNTIF('Linha do tempo'!$D:$D,G401))</f>
        <v/>
      </c>
      <c r="L401" s="19" t="str">
        <f aca="false">IF(AND(G401="",F401=""),"",TRIM(IF(AND(G401&lt;&gt;"",COUNTIF($G:$G,G401)&gt;1),"ID repetido. ","")&amp;IF(AND(F401&lt;&gt;"",LEN(TRIM(F401))&lt;&gt;64),"Hash deve ter 64 caracteres.","")))</f>
        <v/>
      </c>
      <c r="M401" s="5"/>
    </row>
    <row r="402" customFormat="false" ht="15" hidden="false" customHeight="false" outlineLevel="0" collapsed="false">
      <c r="A402" s="5"/>
      <c r="B402" s="25"/>
      <c r="C402" s="5"/>
      <c r="D402" s="5"/>
      <c r="E402" s="26"/>
      <c r="F402" s="26"/>
      <c r="G402" s="27"/>
      <c r="H402" s="14"/>
      <c r="I402" s="5"/>
      <c r="J402" s="5"/>
      <c r="K402" s="28" t="str">
        <f aca="false">IF(G402="","",COUNTIF('Linha do tempo'!$D:$D,G402))</f>
        <v/>
      </c>
      <c r="L402" s="19" t="str">
        <f aca="false">IF(AND(G402="",F402=""),"",TRIM(IF(AND(G402&lt;&gt;"",COUNTIF($G:$G,G402)&gt;1),"ID repetido. ","")&amp;IF(AND(F402&lt;&gt;"",LEN(TRIM(F402))&lt;&gt;64),"Hash deve ter 64 caracteres.","")))</f>
        <v/>
      </c>
      <c r="M402" s="5"/>
    </row>
    <row r="403" customFormat="false" ht="15" hidden="false" customHeight="false" outlineLevel="0" collapsed="false">
      <c r="A403" s="5"/>
      <c r="B403" s="25"/>
      <c r="C403" s="5"/>
      <c r="D403" s="5"/>
      <c r="E403" s="26"/>
      <c r="F403" s="26"/>
      <c r="G403" s="27"/>
      <c r="H403" s="14"/>
      <c r="I403" s="5"/>
      <c r="J403" s="5"/>
      <c r="K403" s="28" t="str">
        <f aca="false">IF(G403="","",COUNTIF('Linha do tempo'!$D:$D,G403))</f>
        <v/>
      </c>
      <c r="L403" s="19" t="str">
        <f aca="false">IF(AND(G403="",F403=""),"",TRIM(IF(AND(G403&lt;&gt;"",COUNTIF($G:$G,G403)&gt;1),"ID repetido. ","")&amp;IF(AND(F403&lt;&gt;"",LEN(TRIM(F403))&lt;&gt;64),"Hash deve ter 64 caracteres.","")))</f>
        <v/>
      </c>
      <c r="M403" s="5"/>
    </row>
    <row r="404" customFormat="false" ht="15" hidden="false" customHeight="false" outlineLevel="0" collapsed="false">
      <c r="A404" s="5"/>
      <c r="B404" s="25"/>
      <c r="C404" s="5"/>
      <c r="D404" s="5"/>
      <c r="E404" s="26"/>
      <c r="F404" s="26"/>
      <c r="G404" s="27"/>
      <c r="H404" s="14"/>
      <c r="I404" s="5"/>
      <c r="J404" s="5"/>
      <c r="K404" s="28" t="str">
        <f aca="false">IF(G404="","",COUNTIF('Linha do tempo'!$D:$D,G404))</f>
        <v/>
      </c>
      <c r="L404" s="19" t="str">
        <f aca="false">IF(AND(G404="",F404=""),"",TRIM(IF(AND(G404&lt;&gt;"",COUNTIF($G:$G,G404)&gt;1),"ID repetido. ","")&amp;IF(AND(F404&lt;&gt;"",LEN(TRIM(F404))&lt;&gt;64),"Hash deve ter 64 caracteres.","")))</f>
        <v/>
      </c>
      <c r="M404" s="5"/>
    </row>
    <row r="405" customFormat="false" ht="15" hidden="false" customHeight="false" outlineLevel="0" collapsed="false">
      <c r="A405" s="5"/>
      <c r="B405" s="25"/>
      <c r="C405" s="5"/>
      <c r="D405" s="5"/>
      <c r="E405" s="26"/>
      <c r="F405" s="26"/>
      <c r="G405" s="27"/>
      <c r="H405" s="14"/>
      <c r="I405" s="5"/>
      <c r="J405" s="5"/>
      <c r="K405" s="28" t="str">
        <f aca="false">IF(G405="","",COUNTIF('Linha do tempo'!$D:$D,G405))</f>
        <v/>
      </c>
      <c r="L405" s="19" t="str">
        <f aca="false">IF(AND(G405="",F405=""),"",TRIM(IF(AND(G405&lt;&gt;"",COUNTIF($G:$G,G405)&gt;1),"ID repetido. ","")&amp;IF(AND(F405&lt;&gt;"",LEN(TRIM(F405))&lt;&gt;64),"Hash deve ter 64 caracteres.","")))</f>
        <v/>
      </c>
      <c r="M405" s="5"/>
    </row>
    <row r="406" customFormat="false" ht="15" hidden="false" customHeight="false" outlineLevel="0" collapsed="false">
      <c r="A406" s="5"/>
      <c r="B406" s="25"/>
      <c r="C406" s="5"/>
      <c r="D406" s="5"/>
      <c r="E406" s="26"/>
      <c r="F406" s="26"/>
      <c r="G406" s="27"/>
      <c r="H406" s="14"/>
      <c r="I406" s="5"/>
      <c r="J406" s="5"/>
      <c r="K406" s="28" t="str">
        <f aca="false">IF(G406="","",COUNTIF('Linha do tempo'!$D:$D,G406))</f>
        <v/>
      </c>
      <c r="L406" s="19" t="str">
        <f aca="false">IF(AND(G406="",F406=""),"",TRIM(IF(AND(G406&lt;&gt;"",COUNTIF($G:$G,G406)&gt;1),"ID repetido. ","")&amp;IF(AND(F406&lt;&gt;"",LEN(TRIM(F406))&lt;&gt;64),"Hash deve ter 64 caracteres.","")))</f>
        <v/>
      </c>
      <c r="M406" s="5"/>
    </row>
    <row r="407" customFormat="false" ht="15" hidden="false" customHeight="false" outlineLevel="0" collapsed="false">
      <c r="A407" s="5"/>
      <c r="B407" s="25"/>
      <c r="C407" s="5"/>
      <c r="D407" s="5"/>
      <c r="E407" s="26"/>
      <c r="F407" s="26"/>
      <c r="G407" s="27"/>
      <c r="H407" s="14"/>
      <c r="I407" s="5"/>
      <c r="J407" s="5"/>
      <c r="K407" s="28" t="str">
        <f aca="false">IF(G407="","",COUNTIF('Linha do tempo'!$D:$D,G407))</f>
        <v/>
      </c>
      <c r="L407" s="19" t="str">
        <f aca="false">IF(AND(G407="",F407=""),"",TRIM(IF(AND(G407&lt;&gt;"",COUNTIF($G:$G,G407)&gt;1),"ID repetido. ","")&amp;IF(AND(F407&lt;&gt;"",LEN(TRIM(F407))&lt;&gt;64),"Hash deve ter 64 caracteres.","")))</f>
        <v/>
      </c>
      <c r="M407" s="5"/>
    </row>
    <row r="408" customFormat="false" ht="15" hidden="false" customHeight="false" outlineLevel="0" collapsed="false">
      <c r="A408" s="5"/>
      <c r="B408" s="25"/>
      <c r="C408" s="5"/>
      <c r="D408" s="5"/>
      <c r="E408" s="26"/>
      <c r="F408" s="26"/>
      <c r="G408" s="27"/>
      <c r="H408" s="14"/>
      <c r="I408" s="5"/>
      <c r="J408" s="5"/>
      <c r="K408" s="28" t="str">
        <f aca="false">IF(G408="","",COUNTIF('Linha do tempo'!$D:$D,G408))</f>
        <v/>
      </c>
      <c r="L408" s="19" t="str">
        <f aca="false">IF(AND(G408="",F408=""),"",TRIM(IF(AND(G408&lt;&gt;"",COUNTIF($G:$G,G408)&gt;1),"ID repetido. ","")&amp;IF(AND(F408&lt;&gt;"",LEN(TRIM(F408))&lt;&gt;64),"Hash deve ter 64 caracteres.","")))</f>
        <v/>
      </c>
      <c r="M408" s="5"/>
    </row>
    <row r="409" customFormat="false" ht="15" hidden="false" customHeight="false" outlineLevel="0" collapsed="false">
      <c r="A409" s="5"/>
      <c r="B409" s="25"/>
      <c r="C409" s="5"/>
      <c r="D409" s="5"/>
      <c r="E409" s="26"/>
      <c r="F409" s="26"/>
      <c r="G409" s="27"/>
      <c r="H409" s="14"/>
      <c r="I409" s="5"/>
      <c r="J409" s="5"/>
      <c r="K409" s="28" t="str">
        <f aca="false">IF(G409="","",COUNTIF('Linha do tempo'!$D:$D,G409))</f>
        <v/>
      </c>
      <c r="L409" s="19" t="str">
        <f aca="false">IF(AND(G409="",F409=""),"",TRIM(IF(AND(G409&lt;&gt;"",COUNTIF($G:$G,G409)&gt;1),"ID repetido. ","")&amp;IF(AND(F409&lt;&gt;"",LEN(TRIM(F409))&lt;&gt;64),"Hash deve ter 64 caracteres.","")))</f>
        <v/>
      </c>
      <c r="M409" s="5"/>
    </row>
    <row r="410" customFormat="false" ht="15" hidden="false" customHeight="false" outlineLevel="0" collapsed="false">
      <c r="A410" s="5"/>
      <c r="B410" s="25"/>
      <c r="C410" s="5"/>
      <c r="D410" s="5"/>
      <c r="E410" s="26"/>
      <c r="F410" s="26"/>
      <c r="G410" s="27"/>
      <c r="H410" s="14"/>
      <c r="I410" s="5"/>
      <c r="J410" s="5"/>
      <c r="K410" s="28" t="str">
        <f aca="false">IF(G410="","",COUNTIF('Linha do tempo'!$D:$D,G410))</f>
        <v/>
      </c>
      <c r="L410" s="19" t="str">
        <f aca="false">IF(AND(G410="",F410=""),"",TRIM(IF(AND(G410&lt;&gt;"",COUNTIF($G:$G,G410)&gt;1),"ID repetido. ","")&amp;IF(AND(F410&lt;&gt;"",LEN(TRIM(F410))&lt;&gt;64),"Hash deve ter 64 caracteres.","")))</f>
        <v/>
      </c>
      <c r="M410" s="5"/>
    </row>
    <row r="411" customFormat="false" ht="15" hidden="false" customHeight="false" outlineLevel="0" collapsed="false">
      <c r="A411" s="5"/>
      <c r="B411" s="25"/>
      <c r="C411" s="5"/>
      <c r="D411" s="5"/>
      <c r="E411" s="26"/>
      <c r="F411" s="26"/>
      <c r="G411" s="27"/>
      <c r="H411" s="14"/>
      <c r="I411" s="5"/>
      <c r="J411" s="5"/>
      <c r="K411" s="28" t="str">
        <f aca="false">IF(G411="","",COUNTIF('Linha do tempo'!$D:$D,G411))</f>
        <v/>
      </c>
      <c r="L411" s="19" t="str">
        <f aca="false">IF(AND(G411="",F411=""),"",TRIM(IF(AND(G411&lt;&gt;"",COUNTIF($G:$G,G411)&gt;1),"ID repetido. ","")&amp;IF(AND(F411&lt;&gt;"",LEN(TRIM(F411))&lt;&gt;64),"Hash deve ter 64 caracteres.","")))</f>
        <v/>
      </c>
      <c r="M411" s="5"/>
    </row>
    <row r="412" customFormat="false" ht="15" hidden="false" customHeight="false" outlineLevel="0" collapsed="false">
      <c r="A412" s="5"/>
      <c r="B412" s="25"/>
      <c r="C412" s="5"/>
      <c r="D412" s="5"/>
      <c r="E412" s="26"/>
      <c r="F412" s="26"/>
      <c r="G412" s="27"/>
      <c r="H412" s="14"/>
      <c r="I412" s="5"/>
      <c r="J412" s="5"/>
      <c r="K412" s="28" t="str">
        <f aca="false">IF(G412="","",COUNTIF('Linha do tempo'!$D:$D,G412))</f>
        <v/>
      </c>
      <c r="L412" s="19" t="str">
        <f aca="false">IF(AND(G412="",F412=""),"",TRIM(IF(AND(G412&lt;&gt;"",COUNTIF($G:$G,G412)&gt;1),"ID repetido. ","")&amp;IF(AND(F412&lt;&gt;"",LEN(TRIM(F412))&lt;&gt;64),"Hash deve ter 64 caracteres.","")))</f>
        <v/>
      </c>
      <c r="M412" s="5"/>
    </row>
    <row r="413" customFormat="false" ht="15" hidden="false" customHeight="false" outlineLevel="0" collapsed="false">
      <c r="A413" s="5"/>
      <c r="B413" s="25"/>
      <c r="C413" s="5"/>
      <c r="D413" s="5"/>
      <c r="E413" s="26"/>
      <c r="F413" s="26"/>
      <c r="G413" s="27"/>
      <c r="H413" s="14"/>
      <c r="I413" s="5"/>
      <c r="J413" s="5"/>
      <c r="K413" s="28" t="str">
        <f aca="false">IF(G413="","",COUNTIF('Linha do tempo'!$D:$D,G413))</f>
        <v/>
      </c>
      <c r="L413" s="19" t="str">
        <f aca="false">IF(AND(G413="",F413=""),"",TRIM(IF(AND(G413&lt;&gt;"",COUNTIF($G:$G,G413)&gt;1),"ID repetido. ","")&amp;IF(AND(F413&lt;&gt;"",LEN(TRIM(F413))&lt;&gt;64),"Hash deve ter 64 caracteres.","")))</f>
        <v/>
      </c>
      <c r="M413" s="5"/>
    </row>
    <row r="414" customFormat="false" ht="15" hidden="false" customHeight="false" outlineLevel="0" collapsed="false">
      <c r="A414" s="5"/>
      <c r="B414" s="25"/>
      <c r="C414" s="5"/>
      <c r="D414" s="5"/>
      <c r="E414" s="26"/>
      <c r="F414" s="26"/>
      <c r="G414" s="27"/>
      <c r="H414" s="14"/>
      <c r="I414" s="5"/>
      <c r="J414" s="5"/>
      <c r="K414" s="28" t="str">
        <f aca="false">IF(G414="","",COUNTIF('Linha do tempo'!$D:$D,G414))</f>
        <v/>
      </c>
      <c r="L414" s="19" t="str">
        <f aca="false">IF(AND(G414="",F414=""),"",TRIM(IF(AND(G414&lt;&gt;"",COUNTIF($G:$G,G414)&gt;1),"ID repetido. ","")&amp;IF(AND(F414&lt;&gt;"",LEN(TRIM(F414))&lt;&gt;64),"Hash deve ter 64 caracteres.","")))</f>
        <v/>
      </c>
      <c r="M414" s="5"/>
    </row>
    <row r="415" customFormat="false" ht="15" hidden="false" customHeight="false" outlineLevel="0" collapsed="false">
      <c r="A415" s="5"/>
      <c r="B415" s="25"/>
      <c r="C415" s="5"/>
      <c r="D415" s="5"/>
      <c r="E415" s="26"/>
      <c r="F415" s="26"/>
      <c r="G415" s="27"/>
      <c r="H415" s="14"/>
      <c r="I415" s="5"/>
      <c r="J415" s="5"/>
      <c r="K415" s="28" t="str">
        <f aca="false">IF(G415="","",COUNTIF('Linha do tempo'!$D:$D,G415))</f>
        <v/>
      </c>
      <c r="L415" s="19" t="str">
        <f aca="false">IF(AND(G415="",F415=""),"",TRIM(IF(AND(G415&lt;&gt;"",COUNTIF($G:$G,G415)&gt;1),"ID repetido. ","")&amp;IF(AND(F415&lt;&gt;"",LEN(TRIM(F415))&lt;&gt;64),"Hash deve ter 64 caracteres.","")))</f>
        <v/>
      </c>
      <c r="M415" s="5"/>
    </row>
    <row r="416" customFormat="false" ht="15" hidden="false" customHeight="false" outlineLevel="0" collapsed="false">
      <c r="A416" s="5"/>
      <c r="B416" s="25"/>
      <c r="C416" s="5"/>
      <c r="D416" s="5"/>
      <c r="E416" s="26"/>
      <c r="F416" s="26"/>
      <c r="G416" s="27"/>
      <c r="H416" s="14"/>
      <c r="I416" s="5"/>
      <c r="J416" s="5"/>
      <c r="K416" s="28" t="str">
        <f aca="false">IF(G416="","",COUNTIF('Linha do tempo'!$D:$D,G416))</f>
        <v/>
      </c>
      <c r="L416" s="19" t="str">
        <f aca="false">IF(AND(G416="",F416=""),"",TRIM(IF(AND(G416&lt;&gt;"",COUNTIF($G:$G,G416)&gt;1),"ID repetido. ","")&amp;IF(AND(F416&lt;&gt;"",LEN(TRIM(F416))&lt;&gt;64),"Hash deve ter 64 caracteres.","")))</f>
        <v/>
      </c>
      <c r="M416" s="5"/>
    </row>
    <row r="417" customFormat="false" ht="15" hidden="false" customHeight="false" outlineLevel="0" collapsed="false">
      <c r="A417" s="5"/>
      <c r="B417" s="25"/>
      <c r="C417" s="5"/>
      <c r="D417" s="5"/>
      <c r="E417" s="26"/>
      <c r="F417" s="26"/>
      <c r="G417" s="27"/>
      <c r="H417" s="14"/>
      <c r="I417" s="5"/>
      <c r="J417" s="5"/>
      <c r="K417" s="28" t="str">
        <f aca="false">IF(G417="","",COUNTIF('Linha do tempo'!$D:$D,G417))</f>
        <v/>
      </c>
      <c r="L417" s="19" t="str">
        <f aca="false">IF(AND(G417="",F417=""),"",TRIM(IF(AND(G417&lt;&gt;"",COUNTIF($G:$G,G417)&gt;1),"ID repetido. ","")&amp;IF(AND(F417&lt;&gt;"",LEN(TRIM(F417))&lt;&gt;64),"Hash deve ter 64 caracteres.","")))</f>
        <v/>
      </c>
      <c r="M417" s="5"/>
    </row>
    <row r="418" customFormat="false" ht="15" hidden="false" customHeight="false" outlineLevel="0" collapsed="false">
      <c r="A418" s="5"/>
      <c r="B418" s="25"/>
      <c r="C418" s="5"/>
      <c r="D418" s="5"/>
      <c r="E418" s="26"/>
      <c r="F418" s="26"/>
      <c r="G418" s="27"/>
      <c r="H418" s="14"/>
      <c r="I418" s="5"/>
      <c r="J418" s="5"/>
      <c r="K418" s="28" t="str">
        <f aca="false">IF(G418="","",COUNTIF('Linha do tempo'!$D:$D,G418))</f>
        <v/>
      </c>
      <c r="L418" s="19" t="str">
        <f aca="false">IF(AND(G418="",F418=""),"",TRIM(IF(AND(G418&lt;&gt;"",COUNTIF($G:$G,G418)&gt;1),"ID repetido. ","")&amp;IF(AND(F418&lt;&gt;"",LEN(TRIM(F418))&lt;&gt;64),"Hash deve ter 64 caracteres.","")))</f>
        <v/>
      </c>
      <c r="M418" s="5"/>
    </row>
    <row r="419" customFormat="false" ht="15" hidden="false" customHeight="false" outlineLevel="0" collapsed="false">
      <c r="A419" s="5"/>
      <c r="B419" s="25"/>
      <c r="C419" s="5"/>
      <c r="D419" s="5"/>
      <c r="E419" s="26"/>
      <c r="F419" s="26"/>
      <c r="G419" s="27"/>
      <c r="H419" s="14"/>
      <c r="I419" s="5"/>
      <c r="J419" s="5"/>
      <c r="K419" s="28" t="str">
        <f aca="false">IF(G419="","",COUNTIF('Linha do tempo'!$D:$D,G419))</f>
        <v/>
      </c>
      <c r="L419" s="19" t="str">
        <f aca="false">IF(AND(G419="",F419=""),"",TRIM(IF(AND(G419&lt;&gt;"",COUNTIF($G:$G,G419)&gt;1),"ID repetido. ","")&amp;IF(AND(F419&lt;&gt;"",LEN(TRIM(F419))&lt;&gt;64),"Hash deve ter 64 caracteres.","")))</f>
        <v/>
      </c>
      <c r="M419" s="5"/>
    </row>
    <row r="420" customFormat="false" ht="15" hidden="false" customHeight="false" outlineLevel="0" collapsed="false">
      <c r="A420" s="5"/>
      <c r="B420" s="25"/>
      <c r="C420" s="5"/>
      <c r="D420" s="5"/>
      <c r="E420" s="26"/>
      <c r="F420" s="26"/>
      <c r="G420" s="27"/>
      <c r="H420" s="14"/>
      <c r="I420" s="5"/>
      <c r="J420" s="5"/>
      <c r="K420" s="28" t="str">
        <f aca="false">IF(G420="","",COUNTIF('Linha do tempo'!$D:$D,G420))</f>
        <v/>
      </c>
      <c r="L420" s="19" t="str">
        <f aca="false">IF(AND(G420="",F420=""),"",TRIM(IF(AND(G420&lt;&gt;"",COUNTIF($G:$G,G420)&gt;1),"ID repetido. ","")&amp;IF(AND(F420&lt;&gt;"",LEN(TRIM(F420))&lt;&gt;64),"Hash deve ter 64 caracteres.","")))</f>
        <v/>
      </c>
      <c r="M420" s="5"/>
    </row>
    <row r="421" customFormat="false" ht="15" hidden="false" customHeight="false" outlineLevel="0" collapsed="false">
      <c r="A421" s="5"/>
      <c r="B421" s="25"/>
      <c r="C421" s="5"/>
      <c r="D421" s="5"/>
      <c r="E421" s="26"/>
      <c r="F421" s="26"/>
      <c r="G421" s="27"/>
      <c r="H421" s="14"/>
      <c r="I421" s="5"/>
      <c r="J421" s="5"/>
      <c r="K421" s="28" t="str">
        <f aca="false">IF(G421="","",COUNTIF('Linha do tempo'!$D:$D,G421))</f>
        <v/>
      </c>
      <c r="L421" s="19" t="str">
        <f aca="false">IF(AND(G421="",F421=""),"",TRIM(IF(AND(G421&lt;&gt;"",COUNTIF($G:$G,G421)&gt;1),"ID repetido. ","")&amp;IF(AND(F421&lt;&gt;"",LEN(TRIM(F421))&lt;&gt;64),"Hash deve ter 64 caracteres.","")))</f>
        <v/>
      </c>
      <c r="M421" s="5"/>
    </row>
    <row r="422" customFormat="false" ht="15" hidden="false" customHeight="false" outlineLevel="0" collapsed="false">
      <c r="A422" s="5"/>
      <c r="B422" s="25"/>
      <c r="C422" s="5"/>
      <c r="D422" s="5"/>
      <c r="E422" s="26"/>
      <c r="F422" s="26"/>
      <c r="G422" s="27"/>
      <c r="H422" s="14"/>
      <c r="I422" s="5"/>
      <c r="J422" s="5"/>
      <c r="K422" s="28" t="str">
        <f aca="false">IF(G422="","",COUNTIF('Linha do tempo'!$D:$D,G422))</f>
        <v/>
      </c>
      <c r="L422" s="19" t="str">
        <f aca="false">IF(AND(G422="",F422=""),"",TRIM(IF(AND(G422&lt;&gt;"",COUNTIF($G:$G,G422)&gt;1),"ID repetido. ","")&amp;IF(AND(F422&lt;&gt;"",LEN(TRIM(F422))&lt;&gt;64),"Hash deve ter 64 caracteres.","")))</f>
        <v/>
      </c>
      <c r="M422" s="5"/>
    </row>
    <row r="423" customFormat="false" ht="15" hidden="false" customHeight="false" outlineLevel="0" collapsed="false">
      <c r="A423" s="5"/>
      <c r="B423" s="25"/>
      <c r="C423" s="5"/>
      <c r="D423" s="5"/>
      <c r="E423" s="26"/>
      <c r="F423" s="26"/>
      <c r="G423" s="27"/>
      <c r="H423" s="14"/>
      <c r="I423" s="5"/>
      <c r="J423" s="5"/>
      <c r="K423" s="28" t="str">
        <f aca="false">IF(G423="","",COUNTIF('Linha do tempo'!$D:$D,G423))</f>
        <v/>
      </c>
      <c r="L423" s="19" t="str">
        <f aca="false">IF(AND(G423="",F423=""),"",TRIM(IF(AND(G423&lt;&gt;"",COUNTIF($G:$G,G423)&gt;1),"ID repetido. ","")&amp;IF(AND(F423&lt;&gt;"",LEN(TRIM(F423))&lt;&gt;64),"Hash deve ter 64 caracteres.","")))</f>
        <v/>
      </c>
      <c r="M423" s="5"/>
    </row>
    <row r="424" customFormat="false" ht="15" hidden="false" customHeight="false" outlineLevel="0" collapsed="false">
      <c r="A424" s="5"/>
      <c r="B424" s="25"/>
      <c r="C424" s="5"/>
      <c r="D424" s="5"/>
      <c r="E424" s="26"/>
      <c r="F424" s="26"/>
      <c r="G424" s="27"/>
      <c r="H424" s="14"/>
      <c r="I424" s="5"/>
      <c r="J424" s="5"/>
      <c r="K424" s="28" t="str">
        <f aca="false">IF(G424="","",COUNTIF('Linha do tempo'!$D:$D,G424))</f>
        <v/>
      </c>
      <c r="L424" s="19" t="str">
        <f aca="false">IF(AND(G424="",F424=""),"",TRIM(IF(AND(G424&lt;&gt;"",COUNTIF($G:$G,G424)&gt;1),"ID repetido. ","")&amp;IF(AND(F424&lt;&gt;"",LEN(TRIM(F424))&lt;&gt;64),"Hash deve ter 64 caracteres.","")))</f>
        <v/>
      </c>
      <c r="M424" s="5"/>
    </row>
    <row r="425" customFormat="false" ht="15" hidden="false" customHeight="false" outlineLevel="0" collapsed="false">
      <c r="A425" s="5"/>
      <c r="B425" s="25"/>
      <c r="C425" s="5"/>
      <c r="D425" s="5"/>
      <c r="E425" s="26"/>
      <c r="F425" s="26"/>
      <c r="G425" s="27"/>
      <c r="H425" s="14"/>
      <c r="I425" s="5"/>
      <c r="J425" s="5"/>
      <c r="K425" s="28" t="str">
        <f aca="false">IF(G425="","",COUNTIF('Linha do tempo'!$D:$D,G425))</f>
        <v/>
      </c>
      <c r="L425" s="19" t="str">
        <f aca="false">IF(AND(G425="",F425=""),"",TRIM(IF(AND(G425&lt;&gt;"",COUNTIF($G:$G,G425)&gt;1),"ID repetido. ","")&amp;IF(AND(F425&lt;&gt;"",LEN(TRIM(F425))&lt;&gt;64),"Hash deve ter 64 caracteres.","")))</f>
        <v/>
      </c>
      <c r="M425" s="5"/>
    </row>
    <row r="426" customFormat="false" ht="15" hidden="false" customHeight="false" outlineLevel="0" collapsed="false">
      <c r="A426" s="5"/>
      <c r="B426" s="25"/>
      <c r="C426" s="5"/>
      <c r="D426" s="5"/>
      <c r="E426" s="26"/>
      <c r="F426" s="26"/>
      <c r="G426" s="27"/>
      <c r="H426" s="14"/>
      <c r="I426" s="5"/>
      <c r="J426" s="5"/>
      <c r="K426" s="28" t="str">
        <f aca="false">IF(G426="","",COUNTIF('Linha do tempo'!$D:$D,G426))</f>
        <v/>
      </c>
      <c r="L426" s="19" t="str">
        <f aca="false">IF(AND(G426="",F426=""),"",TRIM(IF(AND(G426&lt;&gt;"",COUNTIF($G:$G,G426)&gt;1),"ID repetido. ","")&amp;IF(AND(F426&lt;&gt;"",LEN(TRIM(F426))&lt;&gt;64),"Hash deve ter 64 caracteres.","")))</f>
        <v/>
      </c>
      <c r="M426" s="5"/>
    </row>
    <row r="427" customFormat="false" ht="15" hidden="false" customHeight="false" outlineLevel="0" collapsed="false">
      <c r="A427" s="5"/>
      <c r="B427" s="25"/>
      <c r="C427" s="5"/>
      <c r="D427" s="5"/>
      <c r="E427" s="26"/>
      <c r="F427" s="26"/>
      <c r="G427" s="27"/>
      <c r="H427" s="14"/>
      <c r="I427" s="5"/>
      <c r="J427" s="5"/>
      <c r="K427" s="28" t="str">
        <f aca="false">IF(G427="","",COUNTIF('Linha do tempo'!$D:$D,G427))</f>
        <v/>
      </c>
      <c r="L427" s="19" t="str">
        <f aca="false">IF(AND(G427="",F427=""),"",TRIM(IF(AND(G427&lt;&gt;"",COUNTIF($G:$G,G427)&gt;1),"ID repetido. ","")&amp;IF(AND(F427&lt;&gt;"",LEN(TRIM(F427))&lt;&gt;64),"Hash deve ter 64 caracteres.","")))</f>
        <v/>
      </c>
      <c r="M427" s="5"/>
    </row>
    <row r="428" customFormat="false" ht="15" hidden="false" customHeight="false" outlineLevel="0" collapsed="false">
      <c r="A428" s="5"/>
      <c r="B428" s="25"/>
      <c r="C428" s="5"/>
      <c r="D428" s="5"/>
      <c r="E428" s="26"/>
      <c r="F428" s="26"/>
      <c r="G428" s="27"/>
      <c r="H428" s="14"/>
      <c r="I428" s="5"/>
      <c r="J428" s="5"/>
      <c r="K428" s="28" t="str">
        <f aca="false">IF(G428="","",COUNTIF('Linha do tempo'!$D:$D,G428))</f>
        <v/>
      </c>
      <c r="L428" s="19" t="str">
        <f aca="false">IF(AND(G428="",F428=""),"",TRIM(IF(AND(G428&lt;&gt;"",COUNTIF($G:$G,G428)&gt;1),"ID repetido. ","")&amp;IF(AND(F428&lt;&gt;"",LEN(TRIM(F428))&lt;&gt;64),"Hash deve ter 64 caracteres.","")))</f>
        <v/>
      </c>
      <c r="M428" s="5"/>
    </row>
    <row r="429" customFormat="false" ht="15" hidden="false" customHeight="false" outlineLevel="0" collapsed="false">
      <c r="A429" s="5"/>
      <c r="B429" s="25"/>
      <c r="C429" s="5"/>
      <c r="D429" s="5"/>
      <c r="E429" s="26"/>
      <c r="F429" s="26"/>
      <c r="G429" s="27"/>
      <c r="H429" s="14"/>
      <c r="I429" s="5"/>
      <c r="J429" s="5"/>
      <c r="K429" s="28" t="str">
        <f aca="false">IF(G429="","",COUNTIF('Linha do tempo'!$D:$D,G429))</f>
        <v/>
      </c>
      <c r="L429" s="19" t="str">
        <f aca="false">IF(AND(G429="",F429=""),"",TRIM(IF(AND(G429&lt;&gt;"",COUNTIF($G:$G,G429)&gt;1),"ID repetido. ","")&amp;IF(AND(F429&lt;&gt;"",LEN(TRIM(F429))&lt;&gt;64),"Hash deve ter 64 caracteres.","")))</f>
        <v/>
      </c>
      <c r="M429" s="5"/>
    </row>
    <row r="430" customFormat="false" ht="15" hidden="false" customHeight="false" outlineLevel="0" collapsed="false">
      <c r="A430" s="5"/>
      <c r="B430" s="25"/>
      <c r="C430" s="5"/>
      <c r="D430" s="5"/>
      <c r="E430" s="26"/>
      <c r="F430" s="26"/>
      <c r="G430" s="27"/>
      <c r="H430" s="14"/>
      <c r="I430" s="5"/>
      <c r="J430" s="5"/>
      <c r="K430" s="28" t="str">
        <f aca="false">IF(G430="","",COUNTIF('Linha do tempo'!$D:$D,G430))</f>
        <v/>
      </c>
      <c r="L430" s="19" t="str">
        <f aca="false">IF(AND(G430="",F430=""),"",TRIM(IF(AND(G430&lt;&gt;"",COUNTIF($G:$G,G430)&gt;1),"ID repetido. ","")&amp;IF(AND(F430&lt;&gt;"",LEN(TRIM(F430))&lt;&gt;64),"Hash deve ter 64 caracteres.","")))</f>
        <v/>
      </c>
      <c r="M430" s="5"/>
    </row>
    <row r="431" customFormat="false" ht="15" hidden="false" customHeight="false" outlineLevel="0" collapsed="false">
      <c r="A431" s="5"/>
      <c r="B431" s="25"/>
      <c r="C431" s="5"/>
      <c r="D431" s="5"/>
      <c r="E431" s="26"/>
      <c r="F431" s="26"/>
      <c r="G431" s="27"/>
      <c r="H431" s="14"/>
      <c r="I431" s="5"/>
      <c r="J431" s="5"/>
      <c r="K431" s="28" t="str">
        <f aca="false">IF(G431="","",COUNTIF('Linha do tempo'!$D:$D,G431))</f>
        <v/>
      </c>
      <c r="L431" s="19" t="str">
        <f aca="false">IF(AND(G431="",F431=""),"",TRIM(IF(AND(G431&lt;&gt;"",COUNTIF($G:$G,G431)&gt;1),"ID repetido. ","")&amp;IF(AND(F431&lt;&gt;"",LEN(TRIM(F431))&lt;&gt;64),"Hash deve ter 64 caracteres.","")))</f>
        <v/>
      </c>
      <c r="M431" s="5"/>
    </row>
    <row r="432" customFormat="false" ht="15" hidden="false" customHeight="false" outlineLevel="0" collapsed="false">
      <c r="A432" s="5"/>
      <c r="B432" s="25"/>
      <c r="C432" s="5"/>
      <c r="D432" s="5"/>
      <c r="E432" s="26"/>
      <c r="F432" s="26"/>
      <c r="G432" s="27"/>
      <c r="H432" s="14"/>
      <c r="I432" s="5"/>
      <c r="J432" s="5"/>
      <c r="K432" s="28" t="str">
        <f aca="false">IF(G432="","",COUNTIF('Linha do tempo'!$D:$D,G432))</f>
        <v/>
      </c>
      <c r="L432" s="19" t="str">
        <f aca="false">IF(AND(G432="",F432=""),"",TRIM(IF(AND(G432&lt;&gt;"",COUNTIF($G:$G,G432)&gt;1),"ID repetido. ","")&amp;IF(AND(F432&lt;&gt;"",LEN(TRIM(F432))&lt;&gt;64),"Hash deve ter 64 caracteres.","")))</f>
        <v/>
      </c>
      <c r="M432" s="5"/>
    </row>
    <row r="433" customFormat="false" ht="15" hidden="false" customHeight="false" outlineLevel="0" collapsed="false">
      <c r="A433" s="5"/>
      <c r="B433" s="25"/>
      <c r="C433" s="5"/>
      <c r="D433" s="5"/>
      <c r="E433" s="26"/>
      <c r="F433" s="26"/>
      <c r="G433" s="27"/>
      <c r="H433" s="14"/>
      <c r="I433" s="5"/>
      <c r="J433" s="5"/>
      <c r="K433" s="28" t="str">
        <f aca="false">IF(G433="","",COUNTIF('Linha do tempo'!$D:$D,G433))</f>
        <v/>
      </c>
      <c r="L433" s="19" t="str">
        <f aca="false">IF(AND(G433="",F433=""),"",TRIM(IF(AND(G433&lt;&gt;"",COUNTIF($G:$G,G433)&gt;1),"ID repetido. ","")&amp;IF(AND(F433&lt;&gt;"",LEN(TRIM(F433))&lt;&gt;64),"Hash deve ter 64 caracteres.","")))</f>
        <v/>
      </c>
      <c r="M433" s="5"/>
    </row>
    <row r="434" customFormat="false" ht="15" hidden="false" customHeight="false" outlineLevel="0" collapsed="false">
      <c r="A434" s="5"/>
      <c r="B434" s="25"/>
      <c r="C434" s="5"/>
      <c r="D434" s="5"/>
      <c r="E434" s="26"/>
      <c r="F434" s="26"/>
      <c r="G434" s="27"/>
      <c r="H434" s="14"/>
      <c r="I434" s="5"/>
      <c r="J434" s="5"/>
      <c r="K434" s="28" t="str">
        <f aca="false">IF(G434="","",COUNTIF('Linha do tempo'!$D:$D,G434))</f>
        <v/>
      </c>
      <c r="L434" s="19" t="str">
        <f aca="false">IF(AND(G434="",F434=""),"",TRIM(IF(AND(G434&lt;&gt;"",COUNTIF($G:$G,G434)&gt;1),"ID repetido. ","")&amp;IF(AND(F434&lt;&gt;"",LEN(TRIM(F434))&lt;&gt;64),"Hash deve ter 64 caracteres.","")))</f>
        <v/>
      </c>
      <c r="M434" s="5"/>
    </row>
    <row r="435" customFormat="false" ht="15" hidden="false" customHeight="false" outlineLevel="0" collapsed="false">
      <c r="A435" s="5"/>
      <c r="B435" s="25"/>
      <c r="C435" s="5"/>
      <c r="D435" s="5"/>
      <c r="E435" s="26"/>
      <c r="F435" s="26"/>
      <c r="G435" s="27"/>
      <c r="H435" s="14"/>
      <c r="I435" s="5"/>
      <c r="J435" s="5"/>
      <c r="K435" s="28" t="str">
        <f aca="false">IF(G435="","",COUNTIF('Linha do tempo'!$D:$D,G435))</f>
        <v/>
      </c>
      <c r="L435" s="19" t="str">
        <f aca="false">IF(AND(G435="",F435=""),"",TRIM(IF(AND(G435&lt;&gt;"",COUNTIF($G:$G,G435)&gt;1),"ID repetido. ","")&amp;IF(AND(F435&lt;&gt;"",LEN(TRIM(F435))&lt;&gt;64),"Hash deve ter 64 caracteres.","")))</f>
        <v/>
      </c>
      <c r="M435" s="5"/>
    </row>
    <row r="436" customFormat="false" ht="15" hidden="false" customHeight="false" outlineLevel="0" collapsed="false">
      <c r="A436" s="5"/>
      <c r="B436" s="25"/>
      <c r="C436" s="5"/>
      <c r="D436" s="5"/>
      <c r="E436" s="26"/>
      <c r="F436" s="26"/>
      <c r="G436" s="27"/>
      <c r="H436" s="14"/>
      <c r="I436" s="5"/>
      <c r="J436" s="5"/>
      <c r="K436" s="28" t="str">
        <f aca="false">IF(G436="","",COUNTIF('Linha do tempo'!$D:$D,G436))</f>
        <v/>
      </c>
      <c r="L436" s="19" t="str">
        <f aca="false">IF(AND(G436="",F436=""),"",TRIM(IF(AND(G436&lt;&gt;"",COUNTIF($G:$G,G436)&gt;1),"ID repetido. ","")&amp;IF(AND(F436&lt;&gt;"",LEN(TRIM(F436))&lt;&gt;64),"Hash deve ter 64 caracteres.","")))</f>
        <v/>
      </c>
      <c r="M436" s="5"/>
    </row>
    <row r="437" customFormat="false" ht="15" hidden="false" customHeight="false" outlineLevel="0" collapsed="false">
      <c r="A437" s="5"/>
      <c r="B437" s="25"/>
      <c r="C437" s="5"/>
      <c r="D437" s="5"/>
      <c r="E437" s="26"/>
      <c r="F437" s="26"/>
      <c r="G437" s="27"/>
      <c r="H437" s="14"/>
      <c r="I437" s="5"/>
      <c r="J437" s="5"/>
      <c r="K437" s="28" t="str">
        <f aca="false">IF(G437="","",COUNTIF('Linha do tempo'!$D:$D,G437))</f>
        <v/>
      </c>
      <c r="L437" s="19" t="str">
        <f aca="false">IF(AND(G437="",F437=""),"",TRIM(IF(AND(G437&lt;&gt;"",COUNTIF($G:$G,G437)&gt;1),"ID repetido. ","")&amp;IF(AND(F437&lt;&gt;"",LEN(TRIM(F437))&lt;&gt;64),"Hash deve ter 64 caracteres.","")))</f>
        <v/>
      </c>
      <c r="M437" s="5"/>
    </row>
    <row r="438" customFormat="false" ht="15" hidden="false" customHeight="false" outlineLevel="0" collapsed="false">
      <c r="A438" s="5"/>
      <c r="B438" s="25"/>
      <c r="C438" s="5"/>
      <c r="D438" s="5"/>
      <c r="E438" s="26"/>
      <c r="F438" s="26"/>
      <c r="G438" s="27"/>
      <c r="H438" s="14"/>
      <c r="I438" s="5"/>
      <c r="J438" s="5"/>
      <c r="K438" s="28" t="str">
        <f aca="false">IF(G438="","",COUNTIF('Linha do tempo'!$D:$D,G438))</f>
        <v/>
      </c>
      <c r="L438" s="19" t="str">
        <f aca="false">IF(AND(G438="",F438=""),"",TRIM(IF(AND(G438&lt;&gt;"",COUNTIF($G:$G,G438)&gt;1),"ID repetido. ","")&amp;IF(AND(F438&lt;&gt;"",LEN(TRIM(F438))&lt;&gt;64),"Hash deve ter 64 caracteres.","")))</f>
        <v/>
      </c>
      <c r="M438" s="5"/>
    </row>
    <row r="439" customFormat="false" ht="15" hidden="false" customHeight="false" outlineLevel="0" collapsed="false">
      <c r="A439" s="5"/>
      <c r="B439" s="25"/>
      <c r="C439" s="5"/>
      <c r="D439" s="5"/>
      <c r="E439" s="26"/>
      <c r="F439" s="26"/>
      <c r="G439" s="27"/>
      <c r="H439" s="14"/>
      <c r="I439" s="5"/>
      <c r="J439" s="5"/>
      <c r="K439" s="28" t="str">
        <f aca="false">IF(G439="","",COUNTIF('Linha do tempo'!$D:$D,G439))</f>
        <v/>
      </c>
      <c r="L439" s="19" t="str">
        <f aca="false">IF(AND(G439="",F439=""),"",TRIM(IF(AND(G439&lt;&gt;"",COUNTIF($G:$G,G439)&gt;1),"ID repetido. ","")&amp;IF(AND(F439&lt;&gt;"",LEN(TRIM(F439))&lt;&gt;64),"Hash deve ter 64 caracteres.","")))</f>
        <v/>
      </c>
      <c r="M439" s="5"/>
    </row>
    <row r="440" customFormat="false" ht="15" hidden="false" customHeight="false" outlineLevel="0" collapsed="false">
      <c r="A440" s="5"/>
      <c r="B440" s="25"/>
      <c r="C440" s="5"/>
      <c r="D440" s="5"/>
      <c r="E440" s="26"/>
      <c r="F440" s="26"/>
      <c r="G440" s="27"/>
      <c r="H440" s="14"/>
      <c r="I440" s="5"/>
      <c r="J440" s="5"/>
      <c r="K440" s="28" t="str">
        <f aca="false">IF(G440="","",COUNTIF('Linha do tempo'!$D:$D,G440))</f>
        <v/>
      </c>
      <c r="L440" s="19" t="str">
        <f aca="false">IF(AND(G440="",F440=""),"",TRIM(IF(AND(G440&lt;&gt;"",COUNTIF($G:$G,G440)&gt;1),"ID repetido. ","")&amp;IF(AND(F440&lt;&gt;"",LEN(TRIM(F440))&lt;&gt;64),"Hash deve ter 64 caracteres.","")))</f>
        <v/>
      </c>
      <c r="M440" s="5"/>
    </row>
    <row r="441" customFormat="false" ht="15" hidden="false" customHeight="false" outlineLevel="0" collapsed="false">
      <c r="A441" s="5"/>
      <c r="B441" s="25"/>
      <c r="C441" s="5"/>
      <c r="D441" s="5"/>
      <c r="E441" s="26"/>
      <c r="F441" s="26"/>
      <c r="G441" s="27"/>
      <c r="H441" s="14"/>
      <c r="I441" s="5"/>
      <c r="J441" s="5"/>
      <c r="K441" s="28" t="str">
        <f aca="false">IF(G441="","",COUNTIF('Linha do tempo'!$D:$D,G441))</f>
        <v/>
      </c>
      <c r="L441" s="19" t="str">
        <f aca="false">IF(AND(G441="",F441=""),"",TRIM(IF(AND(G441&lt;&gt;"",COUNTIF($G:$G,G441)&gt;1),"ID repetido. ","")&amp;IF(AND(F441&lt;&gt;"",LEN(TRIM(F441))&lt;&gt;64),"Hash deve ter 64 caracteres.","")))</f>
        <v/>
      </c>
      <c r="M441" s="5"/>
    </row>
    <row r="442" customFormat="false" ht="15" hidden="false" customHeight="false" outlineLevel="0" collapsed="false">
      <c r="A442" s="5"/>
      <c r="B442" s="25"/>
      <c r="C442" s="5"/>
      <c r="D442" s="5"/>
      <c r="E442" s="26"/>
      <c r="F442" s="26"/>
      <c r="G442" s="27"/>
      <c r="H442" s="14"/>
      <c r="I442" s="5"/>
      <c r="J442" s="5"/>
      <c r="K442" s="28" t="str">
        <f aca="false">IF(G442="","",COUNTIF('Linha do tempo'!$D:$D,G442))</f>
        <v/>
      </c>
      <c r="L442" s="19" t="str">
        <f aca="false">IF(AND(G442="",F442=""),"",TRIM(IF(AND(G442&lt;&gt;"",COUNTIF($G:$G,G442)&gt;1),"ID repetido. ","")&amp;IF(AND(F442&lt;&gt;"",LEN(TRIM(F442))&lt;&gt;64),"Hash deve ter 64 caracteres.","")))</f>
        <v/>
      </c>
      <c r="M442" s="5"/>
    </row>
    <row r="443" customFormat="false" ht="15" hidden="false" customHeight="false" outlineLevel="0" collapsed="false">
      <c r="A443" s="5"/>
      <c r="B443" s="25"/>
      <c r="C443" s="5"/>
      <c r="D443" s="5"/>
      <c r="E443" s="26"/>
      <c r="F443" s="26"/>
      <c r="G443" s="27"/>
      <c r="H443" s="14"/>
      <c r="I443" s="5"/>
      <c r="J443" s="5"/>
      <c r="K443" s="28" t="str">
        <f aca="false">IF(G443="","",COUNTIF('Linha do tempo'!$D:$D,G443))</f>
        <v/>
      </c>
      <c r="L443" s="19" t="str">
        <f aca="false">IF(AND(G443="",F443=""),"",TRIM(IF(AND(G443&lt;&gt;"",COUNTIF($G:$G,G443)&gt;1),"ID repetido. ","")&amp;IF(AND(F443&lt;&gt;"",LEN(TRIM(F443))&lt;&gt;64),"Hash deve ter 64 caracteres.","")))</f>
        <v/>
      </c>
      <c r="M443" s="5"/>
    </row>
    <row r="444" customFormat="false" ht="15" hidden="false" customHeight="false" outlineLevel="0" collapsed="false">
      <c r="A444" s="5"/>
      <c r="B444" s="25"/>
      <c r="C444" s="5"/>
      <c r="D444" s="5"/>
      <c r="E444" s="26"/>
      <c r="F444" s="26"/>
      <c r="G444" s="27"/>
      <c r="H444" s="14"/>
      <c r="I444" s="5"/>
      <c r="J444" s="5"/>
      <c r="K444" s="28" t="str">
        <f aca="false">IF(G444="","",COUNTIF('Linha do tempo'!$D:$D,G444))</f>
        <v/>
      </c>
      <c r="L444" s="19" t="str">
        <f aca="false">IF(AND(G444="",F444=""),"",TRIM(IF(AND(G444&lt;&gt;"",COUNTIF($G:$G,G444)&gt;1),"ID repetido. ","")&amp;IF(AND(F444&lt;&gt;"",LEN(TRIM(F444))&lt;&gt;64),"Hash deve ter 64 caracteres.","")))</f>
        <v/>
      </c>
      <c r="M444" s="5"/>
    </row>
    <row r="445" customFormat="false" ht="15" hidden="false" customHeight="false" outlineLevel="0" collapsed="false">
      <c r="A445" s="5"/>
      <c r="B445" s="25"/>
      <c r="C445" s="5"/>
      <c r="D445" s="5"/>
      <c r="E445" s="26"/>
      <c r="F445" s="26"/>
      <c r="G445" s="27"/>
      <c r="H445" s="14"/>
      <c r="I445" s="5"/>
      <c r="J445" s="5"/>
      <c r="K445" s="28" t="str">
        <f aca="false">IF(G445="","",COUNTIF('Linha do tempo'!$D:$D,G445))</f>
        <v/>
      </c>
      <c r="L445" s="19" t="str">
        <f aca="false">IF(AND(G445="",F445=""),"",TRIM(IF(AND(G445&lt;&gt;"",COUNTIF($G:$G,G445)&gt;1),"ID repetido. ","")&amp;IF(AND(F445&lt;&gt;"",LEN(TRIM(F445))&lt;&gt;64),"Hash deve ter 64 caracteres.","")))</f>
        <v/>
      </c>
      <c r="M445" s="5"/>
    </row>
    <row r="446" customFormat="false" ht="15" hidden="false" customHeight="false" outlineLevel="0" collapsed="false">
      <c r="A446" s="5"/>
      <c r="B446" s="25"/>
      <c r="C446" s="5"/>
      <c r="D446" s="5"/>
      <c r="E446" s="26"/>
      <c r="F446" s="26"/>
      <c r="G446" s="27"/>
      <c r="H446" s="14"/>
      <c r="I446" s="5"/>
      <c r="J446" s="5"/>
      <c r="K446" s="28" t="str">
        <f aca="false">IF(G446="","",COUNTIF('Linha do tempo'!$D:$D,G446))</f>
        <v/>
      </c>
      <c r="L446" s="19" t="str">
        <f aca="false">IF(AND(G446="",F446=""),"",TRIM(IF(AND(G446&lt;&gt;"",COUNTIF($G:$G,G446)&gt;1),"ID repetido. ","")&amp;IF(AND(F446&lt;&gt;"",LEN(TRIM(F446))&lt;&gt;64),"Hash deve ter 64 caracteres.","")))</f>
        <v/>
      </c>
      <c r="M446" s="5"/>
    </row>
    <row r="447" customFormat="false" ht="15" hidden="false" customHeight="false" outlineLevel="0" collapsed="false">
      <c r="A447" s="5"/>
      <c r="B447" s="25"/>
      <c r="C447" s="5"/>
      <c r="D447" s="5"/>
      <c r="E447" s="26"/>
      <c r="F447" s="26"/>
      <c r="G447" s="27"/>
      <c r="H447" s="14"/>
      <c r="I447" s="5"/>
      <c r="J447" s="5"/>
      <c r="K447" s="28" t="str">
        <f aca="false">IF(G447="","",COUNTIF('Linha do tempo'!$D:$D,G447))</f>
        <v/>
      </c>
      <c r="L447" s="19" t="str">
        <f aca="false">IF(AND(G447="",F447=""),"",TRIM(IF(AND(G447&lt;&gt;"",COUNTIF($G:$G,G447)&gt;1),"ID repetido. ","")&amp;IF(AND(F447&lt;&gt;"",LEN(TRIM(F447))&lt;&gt;64),"Hash deve ter 64 caracteres.","")))</f>
        <v/>
      </c>
      <c r="M447" s="5"/>
    </row>
    <row r="448" customFormat="false" ht="15" hidden="false" customHeight="false" outlineLevel="0" collapsed="false">
      <c r="A448" s="5"/>
      <c r="B448" s="25"/>
      <c r="C448" s="5"/>
      <c r="D448" s="5"/>
      <c r="E448" s="26"/>
      <c r="F448" s="26"/>
      <c r="G448" s="27"/>
      <c r="H448" s="14"/>
      <c r="I448" s="5"/>
      <c r="J448" s="5"/>
      <c r="K448" s="28" t="str">
        <f aca="false">IF(G448="","",COUNTIF('Linha do tempo'!$D:$D,G448))</f>
        <v/>
      </c>
      <c r="L448" s="19" t="str">
        <f aca="false">IF(AND(G448="",F448=""),"",TRIM(IF(AND(G448&lt;&gt;"",COUNTIF($G:$G,G448)&gt;1),"ID repetido. ","")&amp;IF(AND(F448&lt;&gt;"",LEN(TRIM(F448))&lt;&gt;64),"Hash deve ter 64 caracteres.","")))</f>
        <v/>
      </c>
      <c r="M448" s="5"/>
    </row>
    <row r="449" customFormat="false" ht="15" hidden="false" customHeight="false" outlineLevel="0" collapsed="false">
      <c r="A449" s="5"/>
      <c r="B449" s="25"/>
      <c r="C449" s="5"/>
      <c r="D449" s="5"/>
      <c r="E449" s="26"/>
      <c r="F449" s="26"/>
      <c r="G449" s="27"/>
      <c r="H449" s="14"/>
      <c r="I449" s="5"/>
      <c r="J449" s="5"/>
      <c r="K449" s="28" t="str">
        <f aca="false">IF(G449="","",COUNTIF('Linha do tempo'!$D:$D,G449))</f>
        <v/>
      </c>
      <c r="L449" s="19" t="str">
        <f aca="false">IF(AND(G449="",F449=""),"",TRIM(IF(AND(G449&lt;&gt;"",COUNTIF($G:$G,G449)&gt;1),"ID repetido. ","")&amp;IF(AND(F449&lt;&gt;"",LEN(TRIM(F449))&lt;&gt;64),"Hash deve ter 64 caracteres.","")))</f>
        <v/>
      </c>
      <c r="M449" s="5"/>
    </row>
    <row r="450" customFormat="false" ht="15" hidden="false" customHeight="false" outlineLevel="0" collapsed="false">
      <c r="A450" s="5"/>
      <c r="B450" s="25"/>
      <c r="C450" s="5"/>
      <c r="D450" s="5"/>
      <c r="E450" s="26"/>
      <c r="F450" s="26"/>
      <c r="G450" s="27"/>
      <c r="H450" s="14"/>
      <c r="I450" s="5"/>
      <c r="J450" s="5"/>
      <c r="K450" s="28" t="str">
        <f aca="false">IF(G450="","",COUNTIF('Linha do tempo'!$D:$D,G450))</f>
        <v/>
      </c>
      <c r="L450" s="19" t="str">
        <f aca="false">IF(AND(G450="",F450=""),"",TRIM(IF(AND(G450&lt;&gt;"",COUNTIF($G:$G,G450)&gt;1),"ID repetido. ","")&amp;IF(AND(F450&lt;&gt;"",LEN(TRIM(F450))&lt;&gt;64),"Hash deve ter 64 caracteres.","")))</f>
        <v/>
      </c>
      <c r="M450" s="5"/>
    </row>
    <row r="451" customFormat="false" ht="15" hidden="false" customHeight="false" outlineLevel="0" collapsed="false">
      <c r="A451" s="5"/>
      <c r="B451" s="25"/>
      <c r="C451" s="5"/>
      <c r="D451" s="5"/>
      <c r="E451" s="26"/>
      <c r="F451" s="26"/>
      <c r="G451" s="27"/>
      <c r="H451" s="14"/>
      <c r="I451" s="5"/>
      <c r="J451" s="5"/>
      <c r="K451" s="28" t="str">
        <f aca="false">IF(G451="","",COUNTIF('Linha do tempo'!$D:$D,G451))</f>
        <v/>
      </c>
      <c r="L451" s="19" t="str">
        <f aca="false">IF(AND(G451="",F451=""),"",TRIM(IF(AND(G451&lt;&gt;"",COUNTIF($G:$G,G451)&gt;1),"ID repetido. ","")&amp;IF(AND(F451&lt;&gt;"",LEN(TRIM(F451))&lt;&gt;64),"Hash deve ter 64 caracteres.","")))</f>
        <v/>
      </c>
      <c r="M451" s="5"/>
    </row>
    <row r="452" customFormat="false" ht="15" hidden="false" customHeight="false" outlineLevel="0" collapsed="false">
      <c r="A452" s="5"/>
      <c r="B452" s="25"/>
      <c r="C452" s="5"/>
      <c r="D452" s="5"/>
      <c r="E452" s="26"/>
      <c r="F452" s="26"/>
      <c r="G452" s="27"/>
      <c r="H452" s="14"/>
      <c r="I452" s="5"/>
      <c r="J452" s="5"/>
      <c r="K452" s="28" t="str">
        <f aca="false">IF(G452="","",COUNTIF('Linha do tempo'!$D:$D,G452))</f>
        <v/>
      </c>
      <c r="L452" s="19" t="str">
        <f aca="false">IF(AND(G452="",F452=""),"",TRIM(IF(AND(G452&lt;&gt;"",COUNTIF($G:$G,G452)&gt;1),"ID repetido. ","")&amp;IF(AND(F452&lt;&gt;"",LEN(TRIM(F452))&lt;&gt;64),"Hash deve ter 64 caracteres.","")))</f>
        <v/>
      </c>
      <c r="M452" s="5"/>
    </row>
    <row r="453" customFormat="false" ht="15" hidden="false" customHeight="false" outlineLevel="0" collapsed="false">
      <c r="A453" s="5"/>
      <c r="B453" s="25"/>
      <c r="C453" s="5"/>
      <c r="D453" s="5"/>
      <c r="E453" s="26"/>
      <c r="F453" s="26"/>
      <c r="G453" s="27"/>
      <c r="H453" s="14"/>
      <c r="I453" s="5"/>
      <c r="J453" s="5"/>
      <c r="K453" s="28" t="str">
        <f aca="false">IF(G453="","",COUNTIF('Linha do tempo'!$D:$D,G453))</f>
        <v/>
      </c>
      <c r="L453" s="19" t="str">
        <f aca="false">IF(AND(G453="",F453=""),"",TRIM(IF(AND(G453&lt;&gt;"",COUNTIF($G:$G,G453)&gt;1),"ID repetido. ","")&amp;IF(AND(F453&lt;&gt;"",LEN(TRIM(F453))&lt;&gt;64),"Hash deve ter 64 caracteres.","")))</f>
        <v/>
      </c>
      <c r="M453" s="5"/>
    </row>
    <row r="454" customFormat="false" ht="15" hidden="false" customHeight="false" outlineLevel="0" collapsed="false">
      <c r="A454" s="5"/>
      <c r="B454" s="25"/>
      <c r="C454" s="5"/>
      <c r="D454" s="5"/>
      <c r="E454" s="26"/>
      <c r="F454" s="26"/>
      <c r="G454" s="27"/>
      <c r="H454" s="14"/>
      <c r="I454" s="5"/>
      <c r="J454" s="5"/>
      <c r="K454" s="28" t="str">
        <f aca="false">IF(G454="","",COUNTIF('Linha do tempo'!$D:$D,G454))</f>
        <v/>
      </c>
      <c r="L454" s="19" t="str">
        <f aca="false">IF(AND(G454="",F454=""),"",TRIM(IF(AND(G454&lt;&gt;"",COUNTIF($G:$G,G454)&gt;1),"ID repetido. ","")&amp;IF(AND(F454&lt;&gt;"",LEN(TRIM(F454))&lt;&gt;64),"Hash deve ter 64 caracteres.","")))</f>
        <v/>
      </c>
      <c r="M454" s="5"/>
    </row>
    <row r="455" customFormat="false" ht="15" hidden="false" customHeight="false" outlineLevel="0" collapsed="false">
      <c r="A455" s="5"/>
      <c r="B455" s="25"/>
      <c r="C455" s="5"/>
      <c r="D455" s="5"/>
      <c r="E455" s="26"/>
      <c r="F455" s="26"/>
      <c r="G455" s="27"/>
      <c r="H455" s="14"/>
      <c r="I455" s="5"/>
      <c r="J455" s="5"/>
      <c r="K455" s="28" t="str">
        <f aca="false">IF(G455="","",COUNTIF('Linha do tempo'!$D:$D,G455))</f>
        <v/>
      </c>
      <c r="L455" s="19" t="str">
        <f aca="false">IF(AND(G455="",F455=""),"",TRIM(IF(AND(G455&lt;&gt;"",COUNTIF($G:$G,G455)&gt;1),"ID repetido. ","")&amp;IF(AND(F455&lt;&gt;"",LEN(TRIM(F455))&lt;&gt;64),"Hash deve ter 64 caracteres.","")))</f>
        <v/>
      </c>
      <c r="M455" s="5"/>
    </row>
    <row r="456" customFormat="false" ht="15" hidden="false" customHeight="false" outlineLevel="0" collapsed="false">
      <c r="A456" s="5"/>
      <c r="B456" s="25"/>
      <c r="C456" s="5"/>
      <c r="D456" s="5"/>
      <c r="E456" s="26"/>
      <c r="F456" s="26"/>
      <c r="G456" s="27"/>
      <c r="H456" s="14"/>
      <c r="I456" s="5"/>
      <c r="J456" s="5"/>
      <c r="K456" s="28" t="str">
        <f aca="false">IF(G456="","",COUNTIF('Linha do tempo'!$D:$D,G456))</f>
        <v/>
      </c>
      <c r="L456" s="19" t="str">
        <f aca="false">IF(AND(G456="",F456=""),"",TRIM(IF(AND(G456&lt;&gt;"",COUNTIF($G:$G,G456)&gt;1),"ID repetido. ","")&amp;IF(AND(F456&lt;&gt;"",LEN(TRIM(F456))&lt;&gt;64),"Hash deve ter 64 caracteres.","")))</f>
        <v/>
      </c>
      <c r="M456" s="5"/>
    </row>
    <row r="457" customFormat="false" ht="15" hidden="false" customHeight="false" outlineLevel="0" collapsed="false">
      <c r="A457" s="5"/>
      <c r="B457" s="25"/>
      <c r="C457" s="5"/>
      <c r="D457" s="5"/>
      <c r="E457" s="26"/>
      <c r="F457" s="26"/>
      <c r="G457" s="27"/>
      <c r="H457" s="14"/>
      <c r="I457" s="5"/>
      <c r="J457" s="5"/>
      <c r="K457" s="28" t="str">
        <f aca="false">IF(G457="","",COUNTIF('Linha do tempo'!$D:$D,G457))</f>
        <v/>
      </c>
      <c r="L457" s="19" t="str">
        <f aca="false">IF(AND(G457="",F457=""),"",TRIM(IF(AND(G457&lt;&gt;"",COUNTIF($G:$G,G457)&gt;1),"ID repetido. ","")&amp;IF(AND(F457&lt;&gt;"",LEN(TRIM(F457))&lt;&gt;64),"Hash deve ter 64 caracteres.","")))</f>
        <v/>
      </c>
      <c r="M457" s="5"/>
    </row>
    <row r="458" customFormat="false" ht="15" hidden="false" customHeight="false" outlineLevel="0" collapsed="false">
      <c r="A458" s="5"/>
      <c r="B458" s="25"/>
      <c r="C458" s="5"/>
      <c r="D458" s="5"/>
      <c r="E458" s="26"/>
      <c r="F458" s="26"/>
      <c r="G458" s="27"/>
      <c r="H458" s="14"/>
      <c r="I458" s="5"/>
      <c r="J458" s="5"/>
      <c r="K458" s="28" t="str">
        <f aca="false">IF(G458="","",COUNTIF('Linha do tempo'!$D:$D,G458))</f>
        <v/>
      </c>
      <c r="L458" s="19" t="str">
        <f aca="false">IF(AND(G458="",F458=""),"",TRIM(IF(AND(G458&lt;&gt;"",COUNTIF($G:$G,G458)&gt;1),"ID repetido. ","")&amp;IF(AND(F458&lt;&gt;"",LEN(TRIM(F458))&lt;&gt;64),"Hash deve ter 64 caracteres.","")))</f>
        <v/>
      </c>
      <c r="M458" s="5"/>
    </row>
    <row r="459" customFormat="false" ht="15" hidden="false" customHeight="false" outlineLevel="0" collapsed="false">
      <c r="A459" s="5"/>
      <c r="B459" s="25"/>
      <c r="C459" s="5"/>
      <c r="D459" s="5"/>
      <c r="E459" s="26"/>
      <c r="F459" s="26"/>
      <c r="G459" s="27"/>
      <c r="H459" s="14"/>
      <c r="I459" s="5"/>
      <c r="J459" s="5"/>
      <c r="K459" s="28" t="str">
        <f aca="false">IF(G459="","",COUNTIF('Linha do tempo'!$D:$D,G459))</f>
        <v/>
      </c>
      <c r="L459" s="19" t="str">
        <f aca="false">IF(AND(G459="",F459=""),"",TRIM(IF(AND(G459&lt;&gt;"",COUNTIF($G:$G,G459)&gt;1),"ID repetido. ","")&amp;IF(AND(F459&lt;&gt;"",LEN(TRIM(F459))&lt;&gt;64),"Hash deve ter 64 caracteres.","")))</f>
        <v/>
      </c>
      <c r="M459" s="5"/>
    </row>
    <row r="460" customFormat="false" ht="15" hidden="false" customHeight="false" outlineLevel="0" collapsed="false">
      <c r="A460" s="5"/>
      <c r="B460" s="25"/>
      <c r="C460" s="5"/>
      <c r="D460" s="5"/>
      <c r="E460" s="26"/>
      <c r="F460" s="26"/>
      <c r="G460" s="27"/>
      <c r="H460" s="14"/>
      <c r="I460" s="5"/>
      <c r="J460" s="5"/>
      <c r="K460" s="28" t="str">
        <f aca="false">IF(G460="","",COUNTIF('Linha do tempo'!$D:$D,G460))</f>
        <v/>
      </c>
      <c r="L460" s="19" t="str">
        <f aca="false">IF(AND(G460="",F460=""),"",TRIM(IF(AND(G460&lt;&gt;"",COUNTIF($G:$G,G460)&gt;1),"ID repetido. ","")&amp;IF(AND(F460&lt;&gt;"",LEN(TRIM(F460))&lt;&gt;64),"Hash deve ter 64 caracteres.","")))</f>
        <v/>
      </c>
      <c r="M460" s="5"/>
    </row>
    <row r="461" customFormat="false" ht="15" hidden="false" customHeight="false" outlineLevel="0" collapsed="false">
      <c r="A461" s="5"/>
      <c r="B461" s="25"/>
      <c r="C461" s="5"/>
      <c r="D461" s="5"/>
      <c r="E461" s="26"/>
      <c r="F461" s="26"/>
      <c r="G461" s="27"/>
      <c r="H461" s="14"/>
      <c r="I461" s="5"/>
      <c r="J461" s="5"/>
      <c r="K461" s="28" t="str">
        <f aca="false">IF(G461="","",COUNTIF('Linha do tempo'!$D:$D,G461))</f>
        <v/>
      </c>
      <c r="L461" s="19" t="str">
        <f aca="false">IF(AND(G461="",F461=""),"",TRIM(IF(AND(G461&lt;&gt;"",COUNTIF($G:$G,G461)&gt;1),"ID repetido. ","")&amp;IF(AND(F461&lt;&gt;"",LEN(TRIM(F461))&lt;&gt;64),"Hash deve ter 64 caracteres.","")))</f>
        <v/>
      </c>
      <c r="M461" s="5"/>
    </row>
    <row r="462" customFormat="false" ht="15" hidden="false" customHeight="false" outlineLevel="0" collapsed="false">
      <c r="A462" s="5"/>
      <c r="B462" s="25"/>
      <c r="C462" s="5"/>
      <c r="D462" s="5"/>
      <c r="E462" s="26"/>
      <c r="F462" s="26"/>
      <c r="G462" s="27"/>
      <c r="H462" s="14"/>
      <c r="I462" s="5"/>
      <c r="J462" s="5"/>
      <c r="K462" s="28" t="str">
        <f aca="false">IF(G462="","",COUNTIF('Linha do tempo'!$D:$D,G462))</f>
        <v/>
      </c>
      <c r="L462" s="19" t="str">
        <f aca="false">IF(AND(G462="",F462=""),"",TRIM(IF(AND(G462&lt;&gt;"",COUNTIF($G:$G,G462)&gt;1),"ID repetido. ","")&amp;IF(AND(F462&lt;&gt;"",LEN(TRIM(F462))&lt;&gt;64),"Hash deve ter 64 caracteres.","")))</f>
        <v/>
      </c>
      <c r="M462" s="5"/>
    </row>
    <row r="463" customFormat="false" ht="15" hidden="false" customHeight="false" outlineLevel="0" collapsed="false">
      <c r="A463" s="5"/>
      <c r="B463" s="25"/>
      <c r="C463" s="5"/>
      <c r="D463" s="5"/>
      <c r="E463" s="26"/>
      <c r="F463" s="26"/>
      <c r="G463" s="27"/>
      <c r="H463" s="14"/>
      <c r="I463" s="5"/>
      <c r="J463" s="5"/>
      <c r="K463" s="28" t="str">
        <f aca="false">IF(G463="","",COUNTIF('Linha do tempo'!$D:$D,G463))</f>
        <v/>
      </c>
      <c r="L463" s="19" t="str">
        <f aca="false">IF(AND(G463="",F463=""),"",TRIM(IF(AND(G463&lt;&gt;"",COUNTIF($G:$G,G463)&gt;1),"ID repetido. ","")&amp;IF(AND(F463&lt;&gt;"",LEN(TRIM(F463))&lt;&gt;64),"Hash deve ter 64 caracteres.","")))</f>
        <v/>
      </c>
      <c r="M463" s="5"/>
    </row>
    <row r="464" customFormat="false" ht="15" hidden="false" customHeight="false" outlineLevel="0" collapsed="false">
      <c r="A464" s="5"/>
      <c r="B464" s="25"/>
      <c r="C464" s="5"/>
      <c r="D464" s="5"/>
      <c r="E464" s="26"/>
      <c r="F464" s="26"/>
      <c r="G464" s="27"/>
      <c r="H464" s="14"/>
      <c r="I464" s="5"/>
      <c r="J464" s="5"/>
      <c r="K464" s="28" t="str">
        <f aca="false">IF(G464="","",COUNTIF('Linha do tempo'!$D:$D,G464))</f>
        <v/>
      </c>
      <c r="L464" s="19" t="str">
        <f aca="false">IF(AND(G464="",F464=""),"",TRIM(IF(AND(G464&lt;&gt;"",COUNTIF($G:$G,G464)&gt;1),"ID repetido. ","")&amp;IF(AND(F464&lt;&gt;"",LEN(TRIM(F464))&lt;&gt;64),"Hash deve ter 64 caracteres.","")))</f>
        <v/>
      </c>
      <c r="M464" s="5"/>
    </row>
    <row r="465" customFormat="false" ht="15" hidden="false" customHeight="false" outlineLevel="0" collapsed="false">
      <c r="A465" s="5"/>
      <c r="B465" s="25"/>
      <c r="C465" s="5"/>
      <c r="D465" s="5"/>
      <c r="E465" s="26"/>
      <c r="F465" s="26"/>
      <c r="G465" s="27"/>
      <c r="H465" s="14"/>
      <c r="I465" s="5"/>
      <c r="J465" s="5"/>
      <c r="K465" s="28" t="str">
        <f aca="false">IF(G465="","",COUNTIF('Linha do tempo'!$D:$D,G465))</f>
        <v/>
      </c>
      <c r="L465" s="19" t="str">
        <f aca="false">IF(AND(G465="",F465=""),"",TRIM(IF(AND(G465&lt;&gt;"",COUNTIF($G:$G,G465)&gt;1),"ID repetido. ","")&amp;IF(AND(F465&lt;&gt;"",LEN(TRIM(F465))&lt;&gt;64),"Hash deve ter 64 caracteres.","")))</f>
        <v/>
      </c>
      <c r="M465" s="5"/>
    </row>
    <row r="466" customFormat="false" ht="15" hidden="false" customHeight="false" outlineLevel="0" collapsed="false">
      <c r="A466" s="5"/>
      <c r="B466" s="25"/>
      <c r="C466" s="5"/>
      <c r="D466" s="5"/>
      <c r="E466" s="26"/>
      <c r="F466" s="26"/>
      <c r="G466" s="27"/>
      <c r="H466" s="14"/>
      <c r="I466" s="5"/>
      <c r="J466" s="5"/>
      <c r="K466" s="28" t="str">
        <f aca="false">IF(G466="","",COUNTIF('Linha do tempo'!$D:$D,G466))</f>
        <v/>
      </c>
      <c r="L466" s="19" t="str">
        <f aca="false">IF(AND(G466="",F466=""),"",TRIM(IF(AND(G466&lt;&gt;"",COUNTIF($G:$G,G466)&gt;1),"ID repetido. ","")&amp;IF(AND(F466&lt;&gt;"",LEN(TRIM(F466))&lt;&gt;64),"Hash deve ter 64 caracteres.","")))</f>
        <v/>
      </c>
      <c r="M466" s="5"/>
    </row>
    <row r="467" customFormat="false" ht="15" hidden="false" customHeight="false" outlineLevel="0" collapsed="false">
      <c r="A467" s="5"/>
      <c r="B467" s="25"/>
      <c r="C467" s="5"/>
      <c r="D467" s="5"/>
      <c r="E467" s="26"/>
      <c r="F467" s="26"/>
      <c r="G467" s="27"/>
      <c r="H467" s="14"/>
      <c r="I467" s="5"/>
      <c r="J467" s="5"/>
      <c r="K467" s="28" t="str">
        <f aca="false">IF(G467="","",COUNTIF('Linha do tempo'!$D:$D,G467))</f>
        <v/>
      </c>
      <c r="L467" s="19" t="str">
        <f aca="false">IF(AND(G467="",F467=""),"",TRIM(IF(AND(G467&lt;&gt;"",COUNTIF($G:$G,G467)&gt;1),"ID repetido. ","")&amp;IF(AND(F467&lt;&gt;"",LEN(TRIM(F467))&lt;&gt;64),"Hash deve ter 64 caracteres.","")))</f>
        <v/>
      </c>
      <c r="M467" s="5"/>
    </row>
    <row r="468" customFormat="false" ht="15" hidden="false" customHeight="false" outlineLevel="0" collapsed="false">
      <c r="A468" s="5"/>
      <c r="B468" s="25"/>
      <c r="C468" s="5"/>
      <c r="D468" s="5"/>
      <c r="E468" s="26"/>
      <c r="F468" s="26"/>
      <c r="G468" s="27"/>
      <c r="H468" s="14"/>
      <c r="I468" s="5"/>
      <c r="J468" s="5"/>
      <c r="K468" s="28" t="str">
        <f aca="false">IF(G468="","",COUNTIF('Linha do tempo'!$D:$D,G468))</f>
        <v/>
      </c>
      <c r="L468" s="19" t="str">
        <f aca="false">IF(AND(G468="",F468=""),"",TRIM(IF(AND(G468&lt;&gt;"",COUNTIF($G:$G,G468)&gt;1),"ID repetido. ","")&amp;IF(AND(F468&lt;&gt;"",LEN(TRIM(F468))&lt;&gt;64),"Hash deve ter 64 caracteres.","")))</f>
        <v/>
      </c>
      <c r="M468" s="5"/>
    </row>
    <row r="469" customFormat="false" ht="15" hidden="false" customHeight="false" outlineLevel="0" collapsed="false">
      <c r="A469" s="5"/>
      <c r="B469" s="25"/>
      <c r="C469" s="5"/>
      <c r="D469" s="5"/>
      <c r="E469" s="26"/>
      <c r="F469" s="26"/>
      <c r="G469" s="27"/>
      <c r="H469" s="14"/>
      <c r="I469" s="5"/>
      <c r="J469" s="5"/>
      <c r="K469" s="28" t="str">
        <f aca="false">IF(G469="","",COUNTIF('Linha do tempo'!$D:$D,G469))</f>
        <v/>
      </c>
      <c r="L469" s="19" t="str">
        <f aca="false">IF(AND(G469="",F469=""),"",TRIM(IF(AND(G469&lt;&gt;"",COUNTIF($G:$G,G469)&gt;1),"ID repetido. ","")&amp;IF(AND(F469&lt;&gt;"",LEN(TRIM(F469))&lt;&gt;64),"Hash deve ter 64 caracteres.","")))</f>
        <v/>
      </c>
      <c r="M469" s="5"/>
    </row>
    <row r="470" customFormat="false" ht="15" hidden="false" customHeight="false" outlineLevel="0" collapsed="false">
      <c r="A470" s="5"/>
      <c r="B470" s="25"/>
      <c r="C470" s="5"/>
      <c r="D470" s="5"/>
      <c r="E470" s="26"/>
      <c r="F470" s="26"/>
      <c r="G470" s="27"/>
      <c r="H470" s="14"/>
      <c r="I470" s="5"/>
      <c r="J470" s="5"/>
      <c r="K470" s="28" t="str">
        <f aca="false">IF(G470="","",COUNTIF('Linha do tempo'!$D:$D,G470))</f>
        <v/>
      </c>
      <c r="L470" s="19" t="str">
        <f aca="false">IF(AND(G470="",F470=""),"",TRIM(IF(AND(G470&lt;&gt;"",COUNTIF($G:$G,G470)&gt;1),"ID repetido. ","")&amp;IF(AND(F470&lt;&gt;"",LEN(TRIM(F470))&lt;&gt;64),"Hash deve ter 64 caracteres.","")))</f>
        <v/>
      </c>
      <c r="M470" s="5"/>
    </row>
    <row r="471" customFormat="false" ht="15" hidden="false" customHeight="false" outlineLevel="0" collapsed="false">
      <c r="A471" s="5"/>
      <c r="B471" s="25"/>
      <c r="C471" s="5"/>
      <c r="D471" s="5"/>
      <c r="E471" s="26"/>
      <c r="F471" s="26"/>
      <c r="G471" s="27"/>
      <c r="H471" s="14"/>
      <c r="I471" s="5"/>
      <c r="J471" s="5"/>
      <c r="K471" s="28" t="str">
        <f aca="false">IF(G471="","",COUNTIF('Linha do tempo'!$D:$D,G471))</f>
        <v/>
      </c>
      <c r="L471" s="19" t="str">
        <f aca="false">IF(AND(G471="",F471=""),"",TRIM(IF(AND(G471&lt;&gt;"",COUNTIF($G:$G,G471)&gt;1),"ID repetido. ","")&amp;IF(AND(F471&lt;&gt;"",LEN(TRIM(F471))&lt;&gt;64),"Hash deve ter 64 caracteres.","")))</f>
        <v/>
      </c>
      <c r="M471" s="5"/>
    </row>
    <row r="472" customFormat="false" ht="15" hidden="false" customHeight="false" outlineLevel="0" collapsed="false">
      <c r="A472" s="5"/>
      <c r="B472" s="25"/>
      <c r="C472" s="5"/>
      <c r="D472" s="5"/>
      <c r="E472" s="26"/>
      <c r="F472" s="26"/>
      <c r="G472" s="27"/>
      <c r="H472" s="14"/>
      <c r="I472" s="5"/>
      <c r="J472" s="5"/>
      <c r="K472" s="28" t="str">
        <f aca="false">IF(G472="","",COUNTIF('Linha do tempo'!$D:$D,G472))</f>
        <v/>
      </c>
      <c r="L472" s="19" t="str">
        <f aca="false">IF(AND(G472="",F472=""),"",TRIM(IF(AND(G472&lt;&gt;"",COUNTIF($G:$G,G472)&gt;1),"ID repetido. ","")&amp;IF(AND(F472&lt;&gt;"",LEN(TRIM(F472))&lt;&gt;64),"Hash deve ter 64 caracteres.","")))</f>
        <v/>
      </c>
      <c r="M472" s="5"/>
    </row>
    <row r="473" customFormat="false" ht="15" hidden="false" customHeight="false" outlineLevel="0" collapsed="false">
      <c r="A473" s="5"/>
      <c r="B473" s="25"/>
      <c r="C473" s="5"/>
      <c r="D473" s="5"/>
      <c r="E473" s="26"/>
      <c r="F473" s="26"/>
      <c r="G473" s="27"/>
      <c r="H473" s="14"/>
      <c r="I473" s="5"/>
      <c r="J473" s="5"/>
      <c r="K473" s="28" t="str">
        <f aca="false">IF(G473="","",COUNTIF('Linha do tempo'!$D:$D,G473))</f>
        <v/>
      </c>
      <c r="L473" s="19" t="str">
        <f aca="false">IF(AND(G473="",F473=""),"",TRIM(IF(AND(G473&lt;&gt;"",COUNTIF($G:$G,G473)&gt;1),"ID repetido. ","")&amp;IF(AND(F473&lt;&gt;"",LEN(TRIM(F473))&lt;&gt;64),"Hash deve ter 64 caracteres.","")))</f>
        <v/>
      </c>
      <c r="M473" s="5"/>
    </row>
    <row r="474" customFormat="false" ht="15" hidden="false" customHeight="false" outlineLevel="0" collapsed="false">
      <c r="A474" s="5"/>
      <c r="B474" s="25"/>
      <c r="C474" s="5"/>
      <c r="D474" s="5"/>
      <c r="E474" s="26"/>
      <c r="F474" s="26"/>
      <c r="G474" s="27"/>
      <c r="H474" s="14"/>
      <c r="I474" s="5"/>
      <c r="J474" s="5"/>
      <c r="K474" s="28" t="str">
        <f aca="false">IF(G474="","",COUNTIF('Linha do tempo'!$D:$D,G474))</f>
        <v/>
      </c>
      <c r="L474" s="19" t="str">
        <f aca="false">IF(AND(G474="",F474=""),"",TRIM(IF(AND(G474&lt;&gt;"",COUNTIF($G:$G,G474)&gt;1),"ID repetido. ","")&amp;IF(AND(F474&lt;&gt;"",LEN(TRIM(F474))&lt;&gt;64),"Hash deve ter 64 caracteres.","")))</f>
        <v/>
      </c>
      <c r="M474" s="5"/>
    </row>
    <row r="475" customFormat="false" ht="15" hidden="false" customHeight="false" outlineLevel="0" collapsed="false">
      <c r="A475" s="5"/>
      <c r="B475" s="25"/>
      <c r="C475" s="5"/>
      <c r="D475" s="5"/>
      <c r="E475" s="26"/>
      <c r="F475" s="26"/>
      <c r="G475" s="27"/>
      <c r="H475" s="14"/>
      <c r="I475" s="5"/>
      <c r="J475" s="5"/>
      <c r="K475" s="28" t="str">
        <f aca="false">IF(G475="","",COUNTIF('Linha do tempo'!$D:$D,G475))</f>
        <v/>
      </c>
      <c r="L475" s="19" t="str">
        <f aca="false">IF(AND(G475="",F475=""),"",TRIM(IF(AND(G475&lt;&gt;"",COUNTIF($G:$G,G475)&gt;1),"ID repetido. ","")&amp;IF(AND(F475&lt;&gt;"",LEN(TRIM(F475))&lt;&gt;64),"Hash deve ter 64 caracteres.","")))</f>
        <v/>
      </c>
      <c r="M475" s="5"/>
    </row>
    <row r="476" customFormat="false" ht="15" hidden="false" customHeight="false" outlineLevel="0" collapsed="false">
      <c r="A476" s="5"/>
      <c r="B476" s="25"/>
      <c r="C476" s="5"/>
      <c r="D476" s="5"/>
      <c r="E476" s="26"/>
      <c r="F476" s="26"/>
      <c r="G476" s="27"/>
      <c r="H476" s="14"/>
      <c r="I476" s="5"/>
      <c r="J476" s="5"/>
      <c r="K476" s="28" t="str">
        <f aca="false">IF(G476="","",COUNTIF('Linha do tempo'!$D:$D,G476))</f>
        <v/>
      </c>
      <c r="L476" s="19" t="str">
        <f aca="false">IF(AND(G476="",F476=""),"",TRIM(IF(AND(G476&lt;&gt;"",COUNTIF($G:$G,G476)&gt;1),"ID repetido. ","")&amp;IF(AND(F476&lt;&gt;"",LEN(TRIM(F476))&lt;&gt;64),"Hash deve ter 64 caracteres.","")))</f>
        <v/>
      </c>
      <c r="M476" s="5"/>
    </row>
    <row r="477" customFormat="false" ht="15" hidden="false" customHeight="false" outlineLevel="0" collapsed="false">
      <c r="A477" s="5"/>
      <c r="B477" s="25"/>
      <c r="C477" s="5"/>
      <c r="D477" s="5"/>
      <c r="E477" s="26"/>
      <c r="F477" s="26"/>
      <c r="G477" s="27"/>
      <c r="H477" s="14"/>
      <c r="I477" s="5"/>
      <c r="J477" s="5"/>
      <c r="K477" s="28" t="str">
        <f aca="false">IF(G477="","",COUNTIF('Linha do tempo'!$D:$D,G477))</f>
        <v/>
      </c>
      <c r="L477" s="19" t="str">
        <f aca="false">IF(AND(G477="",F477=""),"",TRIM(IF(AND(G477&lt;&gt;"",COUNTIF($G:$G,G477)&gt;1),"ID repetido. ","")&amp;IF(AND(F477&lt;&gt;"",LEN(TRIM(F477))&lt;&gt;64),"Hash deve ter 64 caracteres.","")))</f>
        <v/>
      </c>
      <c r="M477" s="5"/>
    </row>
    <row r="478" customFormat="false" ht="15" hidden="false" customHeight="false" outlineLevel="0" collapsed="false">
      <c r="A478" s="5"/>
      <c r="B478" s="25"/>
      <c r="C478" s="5"/>
      <c r="D478" s="5"/>
      <c r="E478" s="26"/>
      <c r="F478" s="26"/>
      <c r="G478" s="27"/>
      <c r="H478" s="14"/>
      <c r="I478" s="5"/>
      <c r="J478" s="5"/>
      <c r="K478" s="28" t="str">
        <f aca="false">IF(G478="","",COUNTIF('Linha do tempo'!$D:$D,G478))</f>
        <v/>
      </c>
      <c r="L478" s="19" t="str">
        <f aca="false">IF(AND(G478="",F478=""),"",TRIM(IF(AND(G478&lt;&gt;"",COUNTIF($G:$G,G478)&gt;1),"ID repetido. ","")&amp;IF(AND(F478&lt;&gt;"",LEN(TRIM(F478))&lt;&gt;64),"Hash deve ter 64 caracteres.","")))</f>
        <v/>
      </c>
      <c r="M478" s="5"/>
    </row>
    <row r="479" customFormat="false" ht="15" hidden="false" customHeight="false" outlineLevel="0" collapsed="false">
      <c r="A479" s="5"/>
      <c r="B479" s="25"/>
      <c r="C479" s="5"/>
      <c r="D479" s="5"/>
      <c r="E479" s="26"/>
      <c r="F479" s="26"/>
      <c r="G479" s="27"/>
      <c r="H479" s="14"/>
      <c r="I479" s="5"/>
      <c r="J479" s="5"/>
      <c r="K479" s="28" t="str">
        <f aca="false">IF(G479="","",COUNTIF('Linha do tempo'!$D:$D,G479))</f>
        <v/>
      </c>
      <c r="L479" s="19" t="str">
        <f aca="false">IF(AND(G479="",F479=""),"",TRIM(IF(AND(G479&lt;&gt;"",COUNTIF($G:$G,G479)&gt;1),"ID repetido. ","")&amp;IF(AND(F479&lt;&gt;"",LEN(TRIM(F479))&lt;&gt;64),"Hash deve ter 64 caracteres.","")))</f>
        <v/>
      </c>
      <c r="M479" s="5"/>
    </row>
    <row r="480" customFormat="false" ht="15" hidden="false" customHeight="false" outlineLevel="0" collapsed="false">
      <c r="A480" s="5"/>
      <c r="B480" s="25"/>
      <c r="C480" s="5"/>
      <c r="D480" s="5"/>
      <c r="E480" s="26"/>
      <c r="F480" s="26"/>
      <c r="G480" s="27"/>
      <c r="H480" s="14"/>
      <c r="I480" s="5"/>
      <c r="J480" s="5"/>
      <c r="K480" s="28" t="str">
        <f aca="false">IF(G480="","",COUNTIF('Linha do tempo'!$D:$D,G480))</f>
        <v/>
      </c>
      <c r="L480" s="19" t="str">
        <f aca="false">IF(AND(G480="",F480=""),"",TRIM(IF(AND(G480&lt;&gt;"",COUNTIF($G:$G,G480)&gt;1),"ID repetido. ","")&amp;IF(AND(F480&lt;&gt;"",LEN(TRIM(F480))&lt;&gt;64),"Hash deve ter 64 caracteres.","")))</f>
        <v/>
      </c>
      <c r="M480" s="5"/>
    </row>
    <row r="481" customFormat="false" ht="15" hidden="false" customHeight="false" outlineLevel="0" collapsed="false">
      <c r="A481" s="5"/>
      <c r="B481" s="25"/>
      <c r="C481" s="5"/>
      <c r="D481" s="5"/>
      <c r="E481" s="26"/>
      <c r="F481" s="26"/>
      <c r="G481" s="27"/>
      <c r="H481" s="14"/>
      <c r="I481" s="5"/>
      <c r="J481" s="5"/>
      <c r="K481" s="28" t="str">
        <f aca="false">IF(G481="","",COUNTIF('Linha do tempo'!$D:$D,G481))</f>
        <v/>
      </c>
      <c r="L481" s="19" t="str">
        <f aca="false">IF(AND(G481="",F481=""),"",TRIM(IF(AND(G481&lt;&gt;"",COUNTIF($G:$G,G481)&gt;1),"ID repetido. ","")&amp;IF(AND(F481&lt;&gt;"",LEN(TRIM(F481))&lt;&gt;64),"Hash deve ter 64 caracteres.","")))</f>
        <v/>
      </c>
      <c r="M481" s="5"/>
    </row>
    <row r="482" customFormat="false" ht="15" hidden="false" customHeight="false" outlineLevel="0" collapsed="false">
      <c r="A482" s="5"/>
      <c r="B482" s="25"/>
      <c r="C482" s="5"/>
      <c r="D482" s="5"/>
      <c r="E482" s="26"/>
      <c r="F482" s="26"/>
      <c r="G482" s="27"/>
      <c r="H482" s="14"/>
      <c r="I482" s="5"/>
      <c r="J482" s="5"/>
      <c r="K482" s="28" t="str">
        <f aca="false">IF(G482="","",COUNTIF('Linha do tempo'!$D:$D,G482))</f>
        <v/>
      </c>
      <c r="L482" s="19" t="str">
        <f aca="false">IF(AND(G482="",F482=""),"",TRIM(IF(AND(G482&lt;&gt;"",COUNTIF($G:$G,G482)&gt;1),"ID repetido. ","")&amp;IF(AND(F482&lt;&gt;"",LEN(TRIM(F482))&lt;&gt;64),"Hash deve ter 64 caracteres.","")))</f>
        <v/>
      </c>
      <c r="M482" s="5"/>
    </row>
    <row r="483" customFormat="false" ht="15" hidden="false" customHeight="false" outlineLevel="0" collapsed="false">
      <c r="A483" s="5"/>
      <c r="B483" s="25"/>
      <c r="C483" s="5"/>
      <c r="D483" s="5"/>
      <c r="E483" s="26"/>
      <c r="F483" s="26"/>
      <c r="G483" s="27"/>
      <c r="H483" s="14"/>
      <c r="I483" s="5"/>
      <c r="J483" s="5"/>
      <c r="K483" s="28" t="str">
        <f aca="false">IF(G483="","",COUNTIF('Linha do tempo'!$D:$D,G483))</f>
        <v/>
      </c>
      <c r="L483" s="19" t="str">
        <f aca="false">IF(AND(G483="",F483=""),"",TRIM(IF(AND(G483&lt;&gt;"",COUNTIF($G:$G,G483)&gt;1),"ID repetido. ","")&amp;IF(AND(F483&lt;&gt;"",LEN(TRIM(F483))&lt;&gt;64),"Hash deve ter 64 caracteres.","")))</f>
        <v/>
      </c>
      <c r="M483" s="5"/>
    </row>
    <row r="484" customFormat="false" ht="15" hidden="false" customHeight="false" outlineLevel="0" collapsed="false">
      <c r="A484" s="5"/>
      <c r="B484" s="25"/>
      <c r="C484" s="5"/>
      <c r="D484" s="5"/>
      <c r="E484" s="26"/>
      <c r="F484" s="26"/>
      <c r="G484" s="27"/>
      <c r="H484" s="14"/>
      <c r="I484" s="5"/>
      <c r="J484" s="5"/>
      <c r="K484" s="28" t="str">
        <f aca="false">IF(G484="","",COUNTIF('Linha do tempo'!$D:$D,G484))</f>
        <v/>
      </c>
      <c r="L484" s="19" t="str">
        <f aca="false">IF(AND(G484="",F484=""),"",TRIM(IF(AND(G484&lt;&gt;"",COUNTIF($G:$G,G484)&gt;1),"ID repetido. ","")&amp;IF(AND(F484&lt;&gt;"",LEN(TRIM(F484))&lt;&gt;64),"Hash deve ter 64 caracteres.","")))</f>
        <v/>
      </c>
      <c r="M484" s="5"/>
    </row>
    <row r="485" customFormat="false" ht="15" hidden="false" customHeight="false" outlineLevel="0" collapsed="false">
      <c r="A485" s="5"/>
      <c r="B485" s="25"/>
      <c r="C485" s="5"/>
      <c r="D485" s="5"/>
      <c r="E485" s="26"/>
      <c r="F485" s="26"/>
      <c r="G485" s="27"/>
      <c r="H485" s="14"/>
      <c r="I485" s="5"/>
      <c r="J485" s="5"/>
      <c r="K485" s="28" t="str">
        <f aca="false">IF(G485="","",COUNTIF('Linha do tempo'!$D:$D,G485))</f>
        <v/>
      </c>
      <c r="L485" s="19" t="str">
        <f aca="false">IF(AND(G485="",F485=""),"",TRIM(IF(AND(G485&lt;&gt;"",COUNTIF($G:$G,G485)&gt;1),"ID repetido. ","")&amp;IF(AND(F485&lt;&gt;"",LEN(TRIM(F485))&lt;&gt;64),"Hash deve ter 64 caracteres.","")))</f>
        <v/>
      </c>
      <c r="M485" s="5"/>
    </row>
    <row r="486" customFormat="false" ht="15" hidden="false" customHeight="false" outlineLevel="0" collapsed="false">
      <c r="A486" s="5"/>
      <c r="B486" s="25"/>
      <c r="C486" s="5"/>
      <c r="D486" s="5"/>
      <c r="E486" s="26"/>
      <c r="F486" s="26"/>
      <c r="G486" s="27"/>
      <c r="H486" s="14"/>
      <c r="I486" s="5"/>
      <c r="J486" s="5"/>
      <c r="K486" s="28" t="str">
        <f aca="false">IF(G486="","",COUNTIF('Linha do tempo'!$D:$D,G486))</f>
        <v/>
      </c>
      <c r="L486" s="19" t="str">
        <f aca="false">IF(AND(G486="",F486=""),"",TRIM(IF(AND(G486&lt;&gt;"",COUNTIF($G:$G,G486)&gt;1),"ID repetido. ","")&amp;IF(AND(F486&lt;&gt;"",LEN(TRIM(F486))&lt;&gt;64),"Hash deve ter 64 caracteres.","")))</f>
        <v/>
      </c>
      <c r="M486" s="5"/>
    </row>
    <row r="487" customFormat="false" ht="15" hidden="false" customHeight="false" outlineLevel="0" collapsed="false">
      <c r="A487" s="5"/>
      <c r="B487" s="25"/>
      <c r="C487" s="5"/>
      <c r="D487" s="5"/>
      <c r="E487" s="26"/>
      <c r="F487" s="26"/>
      <c r="G487" s="27"/>
      <c r="H487" s="14"/>
      <c r="I487" s="5"/>
      <c r="J487" s="5"/>
      <c r="K487" s="28" t="str">
        <f aca="false">IF(G487="","",COUNTIF('Linha do tempo'!$D:$D,G487))</f>
        <v/>
      </c>
      <c r="L487" s="19" t="str">
        <f aca="false">IF(AND(G487="",F487=""),"",TRIM(IF(AND(G487&lt;&gt;"",COUNTIF($G:$G,G487)&gt;1),"ID repetido. ","")&amp;IF(AND(F487&lt;&gt;"",LEN(TRIM(F487))&lt;&gt;64),"Hash deve ter 64 caracteres.","")))</f>
        <v/>
      </c>
      <c r="M487" s="5"/>
    </row>
    <row r="488" customFormat="false" ht="15" hidden="false" customHeight="false" outlineLevel="0" collapsed="false">
      <c r="A488" s="5"/>
      <c r="B488" s="25"/>
      <c r="C488" s="5"/>
      <c r="D488" s="5"/>
      <c r="E488" s="26"/>
      <c r="F488" s="26"/>
      <c r="G488" s="27"/>
      <c r="H488" s="14"/>
      <c r="I488" s="5"/>
      <c r="J488" s="5"/>
      <c r="K488" s="28" t="str">
        <f aca="false">IF(G488="","",COUNTIF('Linha do tempo'!$D:$D,G488))</f>
        <v/>
      </c>
      <c r="L488" s="19" t="str">
        <f aca="false">IF(AND(G488="",F488=""),"",TRIM(IF(AND(G488&lt;&gt;"",COUNTIF($G:$G,G488)&gt;1),"ID repetido. ","")&amp;IF(AND(F488&lt;&gt;"",LEN(TRIM(F488))&lt;&gt;64),"Hash deve ter 64 caracteres.","")))</f>
        <v/>
      </c>
      <c r="M488" s="5"/>
    </row>
    <row r="489" customFormat="false" ht="15" hidden="false" customHeight="false" outlineLevel="0" collapsed="false">
      <c r="A489" s="5"/>
      <c r="B489" s="25"/>
      <c r="C489" s="5"/>
      <c r="D489" s="5"/>
      <c r="E489" s="26"/>
      <c r="F489" s="26"/>
      <c r="G489" s="27"/>
      <c r="H489" s="14"/>
      <c r="I489" s="5"/>
      <c r="J489" s="5"/>
      <c r="K489" s="28" t="str">
        <f aca="false">IF(G489="","",COUNTIF('Linha do tempo'!$D:$D,G489))</f>
        <v/>
      </c>
      <c r="L489" s="19" t="str">
        <f aca="false">IF(AND(G489="",F489=""),"",TRIM(IF(AND(G489&lt;&gt;"",COUNTIF($G:$G,G489)&gt;1),"ID repetido. ","")&amp;IF(AND(F489&lt;&gt;"",LEN(TRIM(F489))&lt;&gt;64),"Hash deve ter 64 caracteres.","")))</f>
        <v/>
      </c>
      <c r="M489" s="5"/>
    </row>
    <row r="490" customFormat="false" ht="15" hidden="false" customHeight="false" outlineLevel="0" collapsed="false">
      <c r="A490" s="5"/>
      <c r="B490" s="25"/>
      <c r="C490" s="5"/>
      <c r="D490" s="5"/>
      <c r="E490" s="26"/>
      <c r="F490" s="26"/>
      <c r="G490" s="27"/>
      <c r="H490" s="14"/>
      <c r="I490" s="5"/>
      <c r="J490" s="5"/>
      <c r="K490" s="28" t="str">
        <f aca="false">IF(G490="","",COUNTIF('Linha do tempo'!$D:$D,G490))</f>
        <v/>
      </c>
      <c r="L490" s="19" t="str">
        <f aca="false">IF(AND(G490="",F490=""),"",TRIM(IF(AND(G490&lt;&gt;"",COUNTIF($G:$G,G490)&gt;1),"ID repetido. ","")&amp;IF(AND(F490&lt;&gt;"",LEN(TRIM(F490))&lt;&gt;64),"Hash deve ter 64 caracteres.","")))</f>
        <v/>
      </c>
      <c r="M490" s="5"/>
    </row>
    <row r="491" customFormat="false" ht="15" hidden="false" customHeight="false" outlineLevel="0" collapsed="false">
      <c r="A491" s="5"/>
      <c r="B491" s="25"/>
      <c r="C491" s="5"/>
      <c r="D491" s="5"/>
      <c r="E491" s="26"/>
      <c r="F491" s="26"/>
      <c r="G491" s="27"/>
      <c r="H491" s="14"/>
      <c r="I491" s="5"/>
      <c r="J491" s="5"/>
      <c r="K491" s="28" t="str">
        <f aca="false">IF(G491="","",COUNTIF('Linha do tempo'!$D:$D,G491))</f>
        <v/>
      </c>
      <c r="L491" s="19" t="str">
        <f aca="false">IF(AND(G491="",F491=""),"",TRIM(IF(AND(G491&lt;&gt;"",COUNTIF($G:$G,G491)&gt;1),"ID repetido. ","")&amp;IF(AND(F491&lt;&gt;"",LEN(TRIM(F491))&lt;&gt;64),"Hash deve ter 64 caracteres.","")))</f>
        <v/>
      </c>
      <c r="M491" s="5"/>
    </row>
    <row r="492" customFormat="false" ht="15" hidden="false" customHeight="false" outlineLevel="0" collapsed="false">
      <c r="A492" s="5"/>
      <c r="B492" s="25"/>
      <c r="C492" s="5"/>
      <c r="D492" s="5"/>
      <c r="E492" s="26"/>
      <c r="F492" s="26"/>
      <c r="G492" s="27"/>
      <c r="H492" s="14"/>
      <c r="I492" s="5"/>
      <c r="J492" s="5"/>
      <c r="K492" s="28" t="str">
        <f aca="false">IF(G492="","",COUNTIF('Linha do tempo'!$D:$D,G492))</f>
        <v/>
      </c>
      <c r="L492" s="19" t="str">
        <f aca="false">IF(AND(G492="",F492=""),"",TRIM(IF(AND(G492&lt;&gt;"",COUNTIF($G:$G,G492)&gt;1),"ID repetido. ","")&amp;IF(AND(F492&lt;&gt;"",LEN(TRIM(F492))&lt;&gt;64),"Hash deve ter 64 caracteres.","")))</f>
        <v/>
      </c>
      <c r="M492" s="5"/>
    </row>
    <row r="493" customFormat="false" ht="15" hidden="false" customHeight="false" outlineLevel="0" collapsed="false">
      <c r="A493" s="5"/>
      <c r="B493" s="25"/>
      <c r="C493" s="5"/>
      <c r="D493" s="5"/>
      <c r="E493" s="26"/>
      <c r="F493" s="26"/>
      <c r="G493" s="27"/>
      <c r="H493" s="14"/>
      <c r="I493" s="5"/>
      <c r="J493" s="5"/>
      <c r="K493" s="28" t="str">
        <f aca="false">IF(G493="","",COUNTIF('Linha do tempo'!$D:$D,G493))</f>
        <v/>
      </c>
      <c r="L493" s="19" t="str">
        <f aca="false">IF(AND(G493="",F493=""),"",TRIM(IF(AND(G493&lt;&gt;"",COUNTIF($G:$G,G493)&gt;1),"ID repetido. ","")&amp;IF(AND(F493&lt;&gt;"",LEN(TRIM(F493))&lt;&gt;64),"Hash deve ter 64 caracteres.","")))</f>
        <v/>
      </c>
      <c r="M493" s="5"/>
    </row>
    <row r="494" customFormat="false" ht="15" hidden="false" customHeight="false" outlineLevel="0" collapsed="false">
      <c r="A494" s="5"/>
      <c r="B494" s="25"/>
      <c r="C494" s="5"/>
      <c r="D494" s="5"/>
      <c r="E494" s="26"/>
      <c r="F494" s="26"/>
      <c r="G494" s="27"/>
      <c r="H494" s="14"/>
      <c r="I494" s="5"/>
      <c r="J494" s="5"/>
      <c r="K494" s="28" t="str">
        <f aca="false">IF(G494="","",COUNTIF('Linha do tempo'!$D:$D,G494))</f>
        <v/>
      </c>
      <c r="L494" s="19" t="str">
        <f aca="false">IF(AND(G494="",F494=""),"",TRIM(IF(AND(G494&lt;&gt;"",COUNTIF($G:$G,G494)&gt;1),"ID repetido. ","")&amp;IF(AND(F494&lt;&gt;"",LEN(TRIM(F494))&lt;&gt;64),"Hash deve ter 64 caracteres.","")))</f>
        <v/>
      </c>
      <c r="M494" s="5"/>
    </row>
    <row r="495" customFormat="false" ht="15" hidden="false" customHeight="false" outlineLevel="0" collapsed="false">
      <c r="A495" s="5"/>
      <c r="B495" s="25"/>
      <c r="C495" s="5"/>
      <c r="D495" s="5"/>
      <c r="E495" s="26"/>
      <c r="F495" s="26"/>
      <c r="G495" s="27"/>
      <c r="H495" s="14"/>
      <c r="I495" s="5"/>
      <c r="J495" s="5"/>
      <c r="K495" s="28" t="str">
        <f aca="false">IF(G495="","",COUNTIF('Linha do tempo'!$D:$D,G495))</f>
        <v/>
      </c>
      <c r="L495" s="19" t="str">
        <f aca="false">IF(AND(G495="",F495=""),"",TRIM(IF(AND(G495&lt;&gt;"",COUNTIF($G:$G,G495)&gt;1),"ID repetido. ","")&amp;IF(AND(F495&lt;&gt;"",LEN(TRIM(F495))&lt;&gt;64),"Hash deve ter 64 caracteres.","")))</f>
        <v/>
      </c>
      <c r="M495" s="5"/>
    </row>
    <row r="496" customFormat="false" ht="15" hidden="false" customHeight="false" outlineLevel="0" collapsed="false">
      <c r="A496" s="5"/>
      <c r="B496" s="25"/>
      <c r="C496" s="5"/>
      <c r="D496" s="5"/>
      <c r="E496" s="26"/>
      <c r="F496" s="26"/>
      <c r="G496" s="27"/>
      <c r="H496" s="14"/>
      <c r="I496" s="5"/>
      <c r="J496" s="5"/>
      <c r="K496" s="28" t="str">
        <f aca="false">IF(G496="","",COUNTIF('Linha do tempo'!$D:$D,G496))</f>
        <v/>
      </c>
      <c r="L496" s="19" t="str">
        <f aca="false">IF(AND(G496="",F496=""),"",TRIM(IF(AND(G496&lt;&gt;"",COUNTIF($G:$G,G496)&gt;1),"ID repetido. ","")&amp;IF(AND(F496&lt;&gt;"",LEN(TRIM(F496))&lt;&gt;64),"Hash deve ter 64 caracteres.","")))</f>
        <v/>
      </c>
      <c r="M496" s="5"/>
    </row>
    <row r="497" customFormat="false" ht="15" hidden="false" customHeight="false" outlineLevel="0" collapsed="false">
      <c r="A497" s="5"/>
      <c r="B497" s="25"/>
      <c r="C497" s="5"/>
      <c r="D497" s="5"/>
      <c r="E497" s="26"/>
      <c r="F497" s="26"/>
      <c r="G497" s="27"/>
      <c r="H497" s="14"/>
      <c r="I497" s="5"/>
      <c r="J497" s="5"/>
      <c r="K497" s="28" t="str">
        <f aca="false">IF(G497="","",COUNTIF('Linha do tempo'!$D:$D,G497))</f>
        <v/>
      </c>
      <c r="L497" s="19" t="str">
        <f aca="false">IF(AND(G497="",F497=""),"",TRIM(IF(AND(G497&lt;&gt;"",COUNTIF($G:$G,G497)&gt;1),"ID repetido. ","")&amp;IF(AND(F497&lt;&gt;"",LEN(TRIM(F497))&lt;&gt;64),"Hash deve ter 64 caracteres.","")))</f>
        <v/>
      </c>
      <c r="M497" s="5"/>
    </row>
    <row r="498" customFormat="false" ht="15" hidden="false" customHeight="false" outlineLevel="0" collapsed="false">
      <c r="A498" s="5"/>
      <c r="B498" s="25"/>
      <c r="C498" s="5"/>
      <c r="D498" s="5"/>
      <c r="E498" s="26"/>
      <c r="F498" s="26"/>
      <c r="G498" s="27"/>
      <c r="H498" s="14"/>
      <c r="I498" s="5"/>
      <c r="J498" s="5"/>
      <c r="K498" s="28" t="str">
        <f aca="false">IF(G498="","",COUNTIF('Linha do tempo'!$D:$D,G498))</f>
        <v/>
      </c>
      <c r="L498" s="19" t="str">
        <f aca="false">IF(AND(G498="",F498=""),"",TRIM(IF(AND(G498&lt;&gt;"",COUNTIF($G:$G,G498)&gt;1),"ID repetido. ","")&amp;IF(AND(F498&lt;&gt;"",LEN(TRIM(F498))&lt;&gt;64),"Hash deve ter 64 caracteres.","")))</f>
        <v/>
      </c>
      <c r="M498" s="5"/>
    </row>
    <row r="499" customFormat="false" ht="15" hidden="false" customHeight="false" outlineLevel="0" collapsed="false">
      <c r="A499" s="5"/>
      <c r="B499" s="25"/>
      <c r="C499" s="5"/>
      <c r="D499" s="5"/>
      <c r="E499" s="26"/>
      <c r="F499" s="26"/>
      <c r="G499" s="27"/>
      <c r="H499" s="14"/>
      <c r="I499" s="5"/>
      <c r="J499" s="5"/>
      <c r="K499" s="28" t="str">
        <f aca="false">IF(G499="","",COUNTIF('Linha do tempo'!$D:$D,G499))</f>
        <v/>
      </c>
      <c r="L499" s="19" t="str">
        <f aca="false">IF(AND(G499="",F499=""),"",TRIM(IF(AND(G499&lt;&gt;"",COUNTIF($G:$G,G499)&gt;1),"ID repetido. ","")&amp;IF(AND(F499&lt;&gt;"",LEN(TRIM(F499))&lt;&gt;64),"Hash deve ter 64 caracteres.","")))</f>
        <v/>
      </c>
      <c r="M499" s="5"/>
    </row>
    <row r="500" customFormat="false" ht="15" hidden="false" customHeight="false" outlineLevel="0" collapsed="false">
      <c r="A500" s="5"/>
      <c r="B500" s="25"/>
      <c r="C500" s="5"/>
      <c r="D500" s="5"/>
      <c r="E500" s="26"/>
      <c r="F500" s="26"/>
      <c r="G500" s="27"/>
      <c r="H500" s="14"/>
      <c r="I500" s="5"/>
      <c r="J500" s="5"/>
      <c r="K500" s="28" t="str">
        <f aca="false">IF(G500="","",COUNTIF('Linha do tempo'!$D:$D,G500))</f>
        <v/>
      </c>
      <c r="L500" s="19" t="str">
        <f aca="false">IF(AND(G500="",F500=""),"",TRIM(IF(AND(G500&lt;&gt;"",COUNTIF($G:$G,G500)&gt;1),"ID repetido. ","")&amp;IF(AND(F500&lt;&gt;"",LEN(TRIM(F500))&lt;&gt;64),"Hash deve ter 64 caracteres.","")))</f>
        <v/>
      </c>
      <c r="M500" s="5"/>
    </row>
    <row r="501" customFormat="false" ht="15" hidden="false" customHeight="false" outlineLevel="0" collapsed="false">
      <c r="A501" s="5"/>
      <c r="B501" s="25"/>
      <c r="C501" s="5"/>
      <c r="D501" s="5"/>
      <c r="E501" s="26"/>
      <c r="F501" s="26"/>
      <c r="G501" s="27"/>
      <c r="H501" s="14"/>
      <c r="I501" s="5"/>
      <c r="J501" s="5"/>
      <c r="K501" s="28" t="str">
        <f aca="false">IF(G501="","",COUNTIF('Linha do tempo'!$D:$D,G501))</f>
        <v/>
      </c>
      <c r="L501" s="19" t="str">
        <f aca="false">IF(AND(G501="",F501=""),"",TRIM(IF(AND(G501&lt;&gt;"",COUNTIF($G:$G,G501)&gt;1),"ID repetido. ","")&amp;IF(AND(F501&lt;&gt;"",LEN(TRIM(F501))&lt;&gt;64),"Hash deve ter 64 caracteres.","")))</f>
        <v/>
      </c>
      <c r="M501" s="5"/>
    </row>
  </sheetData>
  <autoFilter ref="A1:M501"/>
  <conditionalFormatting sqref="L2:L501">
    <cfRule type="expression" priority="2" aboveAverage="0" equalAverage="0" bottom="0" percent="0" rank="0" text="" dxfId="8">
      <formula>LEN(L2)&gt;0</formula>
    </cfRule>
  </conditionalFormatting>
  <dataValidations count="1">
    <dataValidation allowBlank="true" error="Escolha uma opção da lista (as opções estão na aba Listas)." errorStyle="stop" operator="between" showDropDown="false" showErrorMessage="false" showInputMessage="false" sqref="H2:H501" type="list">
      <formula1>Listas!$A$2:$A$17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50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30"/>
  </cols>
  <sheetData>
    <row r="1" customFormat="false" ht="39.75" hidden="false" customHeight="true" outlineLevel="0" collapsed="false">
      <c r="A1" s="10" t="s">
        <v>39</v>
      </c>
      <c r="B1" s="10" t="s">
        <v>347</v>
      </c>
      <c r="C1" s="10" t="s">
        <v>348</v>
      </c>
      <c r="D1" s="10" t="s">
        <v>349</v>
      </c>
      <c r="E1" s="15" t="s">
        <v>350</v>
      </c>
      <c r="F1" s="10" t="s">
        <v>351</v>
      </c>
      <c r="G1" s="10" t="s">
        <v>138</v>
      </c>
    </row>
    <row r="2" customFormat="false" ht="23.85" hidden="false" customHeight="false" outlineLevel="0" collapsed="false">
      <c r="A2" s="7" t="s">
        <v>352</v>
      </c>
      <c r="B2" s="13" t="s">
        <v>242</v>
      </c>
      <c r="C2" s="13" t="s">
        <v>353</v>
      </c>
      <c r="D2" s="7" t="s">
        <v>354</v>
      </c>
      <c r="E2" s="17" t="str">
        <f aca="false">IF(OR(B2="",C2=""),"",IF(IFERROR(MATCH(B2,Listas!$N$2:$N$4,0)*MATCH(C2,Listas!$O$2:$O$4,0),0)=0,"escolha na lista",IF(MATCH(B2,Listas!$N$2:$N$4,0)*MATCH(C2,Listas!$O$2:$O$4,0)&gt;=6,"ALTA — medida antes de seguir",IF(MATCH(B2,Listas!$N$2:$N$4,0)*MATCH(C2,Listas!$O$2:$O$4,0)&gt;=3,"MÉDIA","baixa"))))</f>
        <v>ALTA — medida antes de seguir</v>
      </c>
      <c r="F2" s="13" t="s">
        <v>355</v>
      </c>
      <c r="G2" s="7" t="s">
        <v>167</v>
      </c>
    </row>
    <row r="3" customFormat="false" ht="23.85" hidden="false" customHeight="false" outlineLevel="0" collapsed="false">
      <c r="A3" s="7" t="s">
        <v>356</v>
      </c>
      <c r="B3" s="13" t="s">
        <v>230</v>
      </c>
      <c r="C3" s="13" t="s">
        <v>357</v>
      </c>
      <c r="D3" s="7" t="s">
        <v>358</v>
      </c>
      <c r="E3" s="17" t="str">
        <f aca="false">IF(OR(B3="",C3=""),"",IF(IFERROR(MATCH(B3,Listas!$N$2:$N$4,0)*MATCH(C3,Listas!$O$2:$O$4,0),0)=0,"escolha na lista",IF(MATCH(B3,Listas!$N$2:$N$4,0)*MATCH(C3,Listas!$O$2:$O$4,0)&gt;=6,"ALTA — medida antes de seguir",IF(MATCH(B3,Listas!$N$2:$N$4,0)*MATCH(C3,Listas!$O$2:$O$4,0)&gt;=3,"MÉDIA","baixa"))))</f>
        <v>ALTA — medida antes de seguir</v>
      </c>
      <c r="F3" s="13" t="s">
        <v>355</v>
      </c>
      <c r="G3" s="7" t="s">
        <v>167</v>
      </c>
    </row>
    <row r="4" customFormat="false" ht="23.85" hidden="false" customHeight="false" outlineLevel="0" collapsed="false">
      <c r="A4" s="7" t="s">
        <v>359</v>
      </c>
      <c r="B4" s="13" t="s">
        <v>235</v>
      </c>
      <c r="C4" s="13" t="s">
        <v>357</v>
      </c>
      <c r="D4" s="7" t="s">
        <v>360</v>
      </c>
      <c r="E4" s="17" t="str">
        <f aca="false">IF(OR(B4="",C4=""),"",IF(IFERROR(MATCH(B4,Listas!$N$2:$N$4,0)*MATCH(C4,Listas!$O$2:$O$4,0),0)=0,"escolha na lista",IF(MATCH(B4,Listas!$N$2:$N$4,0)*MATCH(C4,Listas!$O$2:$O$4,0)&gt;=6,"ALTA — medida antes de seguir",IF(MATCH(B4,Listas!$N$2:$N$4,0)*MATCH(C4,Listas!$O$2:$O$4,0)&gt;=3,"MÉDIA","baixa"))))</f>
        <v>MÉDIA</v>
      </c>
      <c r="F4" s="13" t="s">
        <v>355</v>
      </c>
      <c r="G4" s="7" t="s">
        <v>167</v>
      </c>
    </row>
    <row r="5" customFormat="false" ht="23.85" hidden="false" customHeight="false" outlineLevel="0" collapsed="false">
      <c r="A5" s="7" t="s">
        <v>361</v>
      </c>
      <c r="B5" s="13" t="s">
        <v>230</v>
      </c>
      <c r="C5" s="13" t="s">
        <v>357</v>
      </c>
      <c r="D5" s="7" t="s">
        <v>362</v>
      </c>
      <c r="E5" s="17" t="str">
        <f aca="false">IF(OR(B5="",C5=""),"",IF(IFERROR(MATCH(B5,Listas!$N$2:$N$4,0)*MATCH(C5,Listas!$O$2:$O$4,0),0)=0,"escolha na lista",IF(MATCH(B5,Listas!$N$2:$N$4,0)*MATCH(C5,Listas!$O$2:$O$4,0)&gt;=6,"ALTA — medida antes de seguir",IF(MATCH(B5,Listas!$N$2:$N$4,0)*MATCH(C5,Listas!$O$2:$O$4,0)&gt;=3,"MÉDIA","baixa"))))</f>
        <v>ALTA — medida antes de seguir</v>
      </c>
      <c r="F5" s="13" t="s">
        <v>363</v>
      </c>
      <c r="G5" s="7" t="s">
        <v>167</v>
      </c>
    </row>
    <row r="6" customFormat="false" ht="23.85" hidden="false" customHeight="false" outlineLevel="0" collapsed="false">
      <c r="A6" s="7" t="s">
        <v>364</v>
      </c>
      <c r="B6" s="13" t="s">
        <v>230</v>
      </c>
      <c r="C6" s="13" t="s">
        <v>357</v>
      </c>
      <c r="D6" s="7" t="s">
        <v>365</v>
      </c>
      <c r="E6" s="17" t="str">
        <f aca="false">IF(OR(B6="",C6=""),"",IF(IFERROR(MATCH(B6,Listas!$N$2:$N$4,0)*MATCH(C6,Listas!$O$2:$O$4,0),0)=0,"escolha na lista",IF(MATCH(B6,Listas!$N$2:$N$4,0)*MATCH(C6,Listas!$O$2:$O$4,0)&gt;=6,"ALTA — medida antes de seguir",IF(MATCH(B6,Listas!$N$2:$N$4,0)*MATCH(C6,Listas!$O$2:$O$4,0)&gt;=3,"MÉDIA","baixa"))))</f>
        <v>ALTA — medida antes de seguir</v>
      </c>
      <c r="F6" s="13" t="s">
        <v>355</v>
      </c>
      <c r="G6" s="7" t="s">
        <v>167</v>
      </c>
    </row>
    <row r="7" customFormat="false" ht="15" hidden="false" customHeight="false" outlineLevel="0" collapsed="false">
      <c r="A7" s="5"/>
      <c r="B7" s="14"/>
      <c r="C7" s="14"/>
      <c r="D7" s="5"/>
      <c r="E7" s="19" t="str">
        <f aca="false">IF(OR(B7="",C7=""),"",IF(IFERROR(MATCH(B7,Listas!$N$2:$N$4,0)*MATCH(C7,Listas!$O$2:$O$4,0),0)=0,"escolha na lista",IF(MATCH(B7,Listas!$N$2:$N$4,0)*MATCH(C7,Listas!$O$2:$O$4,0)&gt;=6,"ALTA — medida antes de seguir",IF(MATCH(B7,Listas!$N$2:$N$4,0)*MATCH(C7,Listas!$O$2:$O$4,0)&gt;=3,"MÉDIA","baixa"))))</f>
        <v/>
      </c>
      <c r="F7" s="14"/>
      <c r="G7" s="5"/>
    </row>
    <row r="8" customFormat="false" ht="15" hidden="false" customHeight="false" outlineLevel="0" collapsed="false">
      <c r="A8" s="5"/>
      <c r="B8" s="14"/>
      <c r="C8" s="14"/>
      <c r="D8" s="5"/>
      <c r="E8" s="19" t="str">
        <f aca="false">IF(OR(B8="",C8=""),"",IF(IFERROR(MATCH(B8,Listas!$N$2:$N$4,0)*MATCH(C8,Listas!$O$2:$O$4,0),0)=0,"escolha na lista",IF(MATCH(B8,Listas!$N$2:$N$4,0)*MATCH(C8,Listas!$O$2:$O$4,0)&gt;=6,"ALTA — medida antes de seguir",IF(MATCH(B8,Listas!$N$2:$N$4,0)*MATCH(C8,Listas!$O$2:$O$4,0)&gt;=3,"MÉDIA","baixa"))))</f>
        <v/>
      </c>
      <c r="F8" s="14"/>
      <c r="G8" s="5"/>
    </row>
    <row r="9" customFormat="false" ht="15" hidden="false" customHeight="false" outlineLevel="0" collapsed="false">
      <c r="A9" s="5"/>
      <c r="B9" s="14"/>
      <c r="C9" s="14"/>
      <c r="D9" s="5"/>
      <c r="E9" s="19" t="str">
        <f aca="false">IF(OR(B9="",C9=""),"",IF(IFERROR(MATCH(B9,Listas!$N$2:$N$4,0)*MATCH(C9,Listas!$O$2:$O$4,0),0)=0,"escolha na lista",IF(MATCH(B9,Listas!$N$2:$N$4,0)*MATCH(C9,Listas!$O$2:$O$4,0)&gt;=6,"ALTA — medida antes de seguir",IF(MATCH(B9,Listas!$N$2:$N$4,0)*MATCH(C9,Listas!$O$2:$O$4,0)&gt;=3,"MÉDIA","baixa"))))</f>
        <v/>
      </c>
      <c r="F9" s="14"/>
      <c r="G9" s="5"/>
    </row>
    <row r="10" customFormat="false" ht="15" hidden="false" customHeight="false" outlineLevel="0" collapsed="false">
      <c r="A10" s="5"/>
      <c r="B10" s="14"/>
      <c r="C10" s="14"/>
      <c r="D10" s="5"/>
      <c r="E10" s="19" t="str">
        <f aca="false">IF(OR(B10="",C10=""),"",IF(IFERROR(MATCH(B10,Listas!$N$2:$N$4,0)*MATCH(C10,Listas!$O$2:$O$4,0),0)=0,"escolha na lista",IF(MATCH(B10,Listas!$N$2:$N$4,0)*MATCH(C10,Listas!$O$2:$O$4,0)&gt;=6,"ALTA — medida antes de seguir",IF(MATCH(B10,Listas!$N$2:$N$4,0)*MATCH(C10,Listas!$O$2:$O$4,0)&gt;=3,"MÉDIA","baixa"))))</f>
        <v/>
      </c>
      <c r="F10" s="14"/>
      <c r="G10" s="5"/>
    </row>
    <row r="11" customFormat="false" ht="15" hidden="false" customHeight="false" outlineLevel="0" collapsed="false">
      <c r="A11" s="5"/>
      <c r="B11" s="14"/>
      <c r="C11" s="14"/>
      <c r="D11" s="5"/>
      <c r="E11" s="19" t="str">
        <f aca="false">IF(OR(B11="",C11=""),"",IF(IFERROR(MATCH(B11,Listas!$N$2:$N$4,0)*MATCH(C11,Listas!$O$2:$O$4,0),0)=0,"escolha na lista",IF(MATCH(B11,Listas!$N$2:$N$4,0)*MATCH(C11,Listas!$O$2:$O$4,0)&gt;=6,"ALTA — medida antes de seguir",IF(MATCH(B11,Listas!$N$2:$N$4,0)*MATCH(C11,Listas!$O$2:$O$4,0)&gt;=3,"MÉDIA","baixa"))))</f>
        <v/>
      </c>
      <c r="F11" s="14"/>
      <c r="G11" s="5"/>
    </row>
    <row r="12" customFormat="false" ht="15" hidden="false" customHeight="false" outlineLevel="0" collapsed="false">
      <c r="A12" s="5"/>
      <c r="B12" s="14"/>
      <c r="C12" s="14"/>
      <c r="D12" s="5"/>
      <c r="E12" s="19" t="str">
        <f aca="false">IF(OR(B12="",C12=""),"",IF(IFERROR(MATCH(B12,Listas!$N$2:$N$4,0)*MATCH(C12,Listas!$O$2:$O$4,0),0)=0,"escolha na lista",IF(MATCH(B12,Listas!$N$2:$N$4,0)*MATCH(C12,Listas!$O$2:$O$4,0)&gt;=6,"ALTA — medida antes de seguir",IF(MATCH(B12,Listas!$N$2:$N$4,0)*MATCH(C12,Listas!$O$2:$O$4,0)&gt;=3,"MÉDIA","baixa"))))</f>
        <v/>
      </c>
      <c r="F12" s="14"/>
      <c r="G12" s="5"/>
    </row>
    <row r="13" customFormat="false" ht="15" hidden="false" customHeight="false" outlineLevel="0" collapsed="false">
      <c r="A13" s="5"/>
      <c r="B13" s="14"/>
      <c r="C13" s="14"/>
      <c r="D13" s="5"/>
      <c r="E13" s="19" t="str">
        <f aca="false">IF(OR(B13="",C13=""),"",IF(IFERROR(MATCH(B13,Listas!$N$2:$N$4,0)*MATCH(C13,Listas!$O$2:$O$4,0),0)=0,"escolha na lista",IF(MATCH(B13,Listas!$N$2:$N$4,0)*MATCH(C13,Listas!$O$2:$O$4,0)&gt;=6,"ALTA — medida antes de seguir",IF(MATCH(B13,Listas!$N$2:$N$4,0)*MATCH(C13,Listas!$O$2:$O$4,0)&gt;=3,"MÉDIA","baixa"))))</f>
        <v/>
      </c>
      <c r="F13" s="14"/>
      <c r="G13" s="5"/>
    </row>
    <row r="14" customFormat="false" ht="15" hidden="false" customHeight="false" outlineLevel="0" collapsed="false">
      <c r="A14" s="5"/>
      <c r="B14" s="14"/>
      <c r="C14" s="14"/>
      <c r="D14" s="5"/>
      <c r="E14" s="19" t="str">
        <f aca="false">IF(OR(B14="",C14=""),"",IF(IFERROR(MATCH(B14,Listas!$N$2:$N$4,0)*MATCH(C14,Listas!$O$2:$O$4,0),0)=0,"escolha na lista",IF(MATCH(B14,Listas!$N$2:$N$4,0)*MATCH(C14,Listas!$O$2:$O$4,0)&gt;=6,"ALTA — medida antes de seguir",IF(MATCH(B14,Listas!$N$2:$N$4,0)*MATCH(C14,Listas!$O$2:$O$4,0)&gt;=3,"MÉDIA","baixa"))))</f>
        <v/>
      </c>
      <c r="F14" s="14"/>
      <c r="G14" s="5"/>
    </row>
    <row r="15" customFormat="false" ht="15" hidden="false" customHeight="false" outlineLevel="0" collapsed="false">
      <c r="A15" s="5"/>
      <c r="B15" s="14"/>
      <c r="C15" s="14"/>
      <c r="D15" s="5"/>
      <c r="E15" s="19" t="str">
        <f aca="false">IF(OR(B15="",C15=""),"",IF(IFERROR(MATCH(B15,Listas!$N$2:$N$4,0)*MATCH(C15,Listas!$O$2:$O$4,0),0)=0,"escolha na lista",IF(MATCH(B15,Listas!$N$2:$N$4,0)*MATCH(C15,Listas!$O$2:$O$4,0)&gt;=6,"ALTA — medida antes de seguir",IF(MATCH(B15,Listas!$N$2:$N$4,0)*MATCH(C15,Listas!$O$2:$O$4,0)&gt;=3,"MÉDIA","baixa"))))</f>
        <v/>
      </c>
      <c r="F15" s="14"/>
      <c r="G15" s="5"/>
    </row>
    <row r="16" customFormat="false" ht="15" hidden="false" customHeight="false" outlineLevel="0" collapsed="false">
      <c r="A16" s="5"/>
      <c r="B16" s="14"/>
      <c r="C16" s="14"/>
      <c r="D16" s="5"/>
      <c r="E16" s="19" t="str">
        <f aca="false">IF(OR(B16="",C16=""),"",IF(IFERROR(MATCH(B16,Listas!$N$2:$N$4,0)*MATCH(C16,Listas!$O$2:$O$4,0),0)=0,"escolha na lista",IF(MATCH(B16,Listas!$N$2:$N$4,0)*MATCH(C16,Listas!$O$2:$O$4,0)&gt;=6,"ALTA — medida antes de seguir",IF(MATCH(B16,Listas!$N$2:$N$4,0)*MATCH(C16,Listas!$O$2:$O$4,0)&gt;=3,"MÉDIA","baixa"))))</f>
        <v/>
      </c>
      <c r="F16" s="14"/>
      <c r="G16" s="5"/>
    </row>
    <row r="17" customFormat="false" ht="15" hidden="false" customHeight="false" outlineLevel="0" collapsed="false">
      <c r="A17" s="5"/>
      <c r="B17" s="14"/>
      <c r="C17" s="14"/>
      <c r="D17" s="5"/>
      <c r="E17" s="19" t="str">
        <f aca="false">IF(OR(B17="",C17=""),"",IF(IFERROR(MATCH(B17,Listas!$N$2:$N$4,0)*MATCH(C17,Listas!$O$2:$O$4,0),0)=0,"escolha na lista",IF(MATCH(B17,Listas!$N$2:$N$4,0)*MATCH(C17,Listas!$O$2:$O$4,0)&gt;=6,"ALTA — medida antes de seguir",IF(MATCH(B17,Listas!$N$2:$N$4,0)*MATCH(C17,Listas!$O$2:$O$4,0)&gt;=3,"MÉDIA","baixa"))))</f>
        <v/>
      </c>
      <c r="F17" s="14"/>
      <c r="G17" s="5"/>
    </row>
    <row r="18" customFormat="false" ht="15" hidden="false" customHeight="false" outlineLevel="0" collapsed="false">
      <c r="A18" s="5"/>
      <c r="B18" s="14"/>
      <c r="C18" s="14"/>
      <c r="D18" s="5"/>
      <c r="E18" s="19" t="str">
        <f aca="false">IF(OR(B18="",C18=""),"",IF(IFERROR(MATCH(B18,Listas!$N$2:$N$4,0)*MATCH(C18,Listas!$O$2:$O$4,0),0)=0,"escolha na lista",IF(MATCH(B18,Listas!$N$2:$N$4,0)*MATCH(C18,Listas!$O$2:$O$4,0)&gt;=6,"ALTA — medida antes de seguir",IF(MATCH(B18,Listas!$N$2:$N$4,0)*MATCH(C18,Listas!$O$2:$O$4,0)&gt;=3,"MÉDIA","baixa"))))</f>
        <v/>
      </c>
      <c r="F18" s="14"/>
      <c r="G18" s="5"/>
    </row>
    <row r="19" customFormat="false" ht="15" hidden="false" customHeight="false" outlineLevel="0" collapsed="false">
      <c r="A19" s="5"/>
      <c r="B19" s="14"/>
      <c r="C19" s="14"/>
      <c r="D19" s="5"/>
      <c r="E19" s="19" t="str">
        <f aca="false">IF(OR(B19="",C19=""),"",IF(IFERROR(MATCH(B19,Listas!$N$2:$N$4,0)*MATCH(C19,Listas!$O$2:$O$4,0),0)=0,"escolha na lista",IF(MATCH(B19,Listas!$N$2:$N$4,0)*MATCH(C19,Listas!$O$2:$O$4,0)&gt;=6,"ALTA — medida antes de seguir",IF(MATCH(B19,Listas!$N$2:$N$4,0)*MATCH(C19,Listas!$O$2:$O$4,0)&gt;=3,"MÉDIA","baixa"))))</f>
        <v/>
      </c>
      <c r="F19" s="14"/>
      <c r="G19" s="5"/>
    </row>
    <row r="20" customFormat="false" ht="15" hidden="false" customHeight="false" outlineLevel="0" collapsed="false">
      <c r="A20" s="5"/>
      <c r="B20" s="14"/>
      <c r="C20" s="14"/>
      <c r="D20" s="5"/>
      <c r="E20" s="19" t="str">
        <f aca="false">IF(OR(B20="",C20=""),"",IF(IFERROR(MATCH(B20,Listas!$N$2:$N$4,0)*MATCH(C20,Listas!$O$2:$O$4,0),0)=0,"escolha na lista",IF(MATCH(B20,Listas!$N$2:$N$4,0)*MATCH(C20,Listas!$O$2:$O$4,0)&gt;=6,"ALTA — medida antes de seguir",IF(MATCH(B20,Listas!$N$2:$N$4,0)*MATCH(C20,Listas!$O$2:$O$4,0)&gt;=3,"MÉDIA","baixa"))))</f>
        <v/>
      </c>
      <c r="F20" s="14"/>
      <c r="G20" s="5"/>
    </row>
    <row r="21" customFormat="false" ht="15" hidden="false" customHeight="false" outlineLevel="0" collapsed="false">
      <c r="A21" s="5"/>
      <c r="B21" s="14"/>
      <c r="C21" s="14"/>
      <c r="D21" s="5"/>
      <c r="E21" s="19" t="str">
        <f aca="false">IF(OR(B21="",C21=""),"",IF(IFERROR(MATCH(B21,Listas!$N$2:$N$4,0)*MATCH(C21,Listas!$O$2:$O$4,0),0)=0,"escolha na lista",IF(MATCH(B21,Listas!$N$2:$N$4,0)*MATCH(C21,Listas!$O$2:$O$4,0)&gt;=6,"ALTA — medida antes de seguir",IF(MATCH(B21,Listas!$N$2:$N$4,0)*MATCH(C21,Listas!$O$2:$O$4,0)&gt;=3,"MÉDIA","baixa"))))</f>
        <v/>
      </c>
      <c r="F21" s="14"/>
      <c r="G21" s="5"/>
    </row>
    <row r="22" customFormat="false" ht="15" hidden="false" customHeight="false" outlineLevel="0" collapsed="false">
      <c r="A22" s="5"/>
      <c r="B22" s="14"/>
      <c r="C22" s="14"/>
      <c r="D22" s="5"/>
      <c r="E22" s="19" t="str">
        <f aca="false">IF(OR(B22="",C22=""),"",IF(IFERROR(MATCH(B22,Listas!$N$2:$N$4,0)*MATCH(C22,Listas!$O$2:$O$4,0),0)=0,"escolha na lista",IF(MATCH(B22,Listas!$N$2:$N$4,0)*MATCH(C22,Listas!$O$2:$O$4,0)&gt;=6,"ALTA — medida antes de seguir",IF(MATCH(B22,Listas!$N$2:$N$4,0)*MATCH(C22,Listas!$O$2:$O$4,0)&gt;=3,"MÉDIA","baixa"))))</f>
        <v/>
      </c>
      <c r="F22" s="14"/>
      <c r="G22" s="5"/>
    </row>
    <row r="23" customFormat="false" ht="15" hidden="false" customHeight="false" outlineLevel="0" collapsed="false">
      <c r="A23" s="5"/>
      <c r="B23" s="14"/>
      <c r="C23" s="14"/>
      <c r="D23" s="5"/>
      <c r="E23" s="19" t="str">
        <f aca="false">IF(OR(B23="",C23=""),"",IF(IFERROR(MATCH(B23,Listas!$N$2:$N$4,0)*MATCH(C23,Listas!$O$2:$O$4,0),0)=0,"escolha na lista",IF(MATCH(B23,Listas!$N$2:$N$4,0)*MATCH(C23,Listas!$O$2:$O$4,0)&gt;=6,"ALTA — medida antes de seguir",IF(MATCH(B23,Listas!$N$2:$N$4,0)*MATCH(C23,Listas!$O$2:$O$4,0)&gt;=3,"MÉDIA","baixa"))))</f>
        <v/>
      </c>
      <c r="F23" s="14"/>
      <c r="G23" s="5"/>
    </row>
    <row r="24" customFormat="false" ht="15" hidden="false" customHeight="false" outlineLevel="0" collapsed="false">
      <c r="A24" s="5"/>
      <c r="B24" s="14"/>
      <c r="C24" s="14"/>
      <c r="D24" s="5"/>
      <c r="E24" s="19" t="str">
        <f aca="false">IF(OR(B24="",C24=""),"",IF(IFERROR(MATCH(B24,Listas!$N$2:$N$4,0)*MATCH(C24,Listas!$O$2:$O$4,0),0)=0,"escolha na lista",IF(MATCH(B24,Listas!$N$2:$N$4,0)*MATCH(C24,Listas!$O$2:$O$4,0)&gt;=6,"ALTA — medida antes de seguir",IF(MATCH(B24,Listas!$N$2:$N$4,0)*MATCH(C24,Listas!$O$2:$O$4,0)&gt;=3,"MÉDIA","baixa"))))</f>
        <v/>
      </c>
      <c r="F24" s="14"/>
      <c r="G24" s="5"/>
    </row>
    <row r="25" customFormat="false" ht="15" hidden="false" customHeight="false" outlineLevel="0" collapsed="false">
      <c r="A25" s="5"/>
      <c r="B25" s="14"/>
      <c r="C25" s="14"/>
      <c r="D25" s="5"/>
      <c r="E25" s="19" t="str">
        <f aca="false">IF(OR(B25="",C25=""),"",IF(IFERROR(MATCH(B25,Listas!$N$2:$N$4,0)*MATCH(C25,Listas!$O$2:$O$4,0),0)=0,"escolha na lista",IF(MATCH(B25,Listas!$N$2:$N$4,0)*MATCH(C25,Listas!$O$2:$O$4,0)&gt;=6,"ALTA — medida antes de seguir",IF(MATCH(B25,Listas!$N$2:$N$4,0)*MATCH(C25,Listas!$O$2:$O$4,0)&gt;=3,"MÉDIA","baixa"))))</f>
        <v/>
      </c>
      <c r="F25" s="14"/>
      <c r="G25" s="5"/>
    </row>
    <row r="26" customFormat="false" ht="15" hidden="false" customHeight="false" outlineLevel="0" collapsed="false">
      <c r="A26" s="5"/>
      <c r="B26" s="14"/>
      <c r="C26" s="14"/>
      <c r="D26" s="5"/>
      <c r="E26" s="19" t="str">
        <f aca="false">IF(OR(B26="",C26=""),"",IF(IFERROR(MATCH(B26,Listas!$N$2:$N$4,0)*MATCH(C26,Listas!$O$2:$O$4,0),0)=0,"escolha na lista",IF(MATCH(B26,Listas!$N$2:$N$4,0)*MATCH(C26,Listas!$O$2:$O$4,0)&gt;=6,"ALTA — medida antes de seguir",IF(MATCH(B26,Listas!$N$2:$N$4,0)*MATCH(C26,Listas!$O$2:$O$4,0)&gt;=3,"MÉDIA","baixa"))))</f>
        <v/>
      </c>
      <c r="F26" s="14"/>
      <c r="G26" s="5"/>
    </row>
    <row r="27" customFormat="false" ht="15" hidden="false" customHeight="false" outlineLevel="0" collapsed="false">
      <c r="A27" s="5"/>
      <c r="B27" s="14"/>
      <c r="C27" s="14"/>
      <c r="D27" s="5"/>
      <c r="E27" s="19" t="str">
        <f aca="false">IF(OR(B27="",C27=""),"",IF(IFERROR(MATCH(B27,Listas!$N$2:$N$4,0)*MATCH(C27,Listas!$O$2:$O$4,0),0)=0,"escolha na lista",IF(MATCH(B27,Listas!$N$2:$N$4,0)*MATCH(C27,Listas!$O$2:$O$4,0)&gt;=6,"ALTA — medida antes de seguir",IF(MATCH(B27,Listas!$N$2:$N$4,0)*MATCH(C27,Listas!$O$2:$O$4,0)&gt;=3,"MÉDIA","baixa"))))</f>
        <v/>
      </c>
      <c r="F27" s="14"/>
      <c r="G27" s="5"/>
    </row>
    <row r="28" customFormat="false" ht="15" hidden="false" customHeight="false" outlineLevel="0" collapsed="false">
      <c r="A28" s="5"/>
      <c r="B28" s="14"/>
      <c r="C28" s="14"/>
      <c r="D28" s="5"/>
      <c r="E28" s="19" t="str">
        <f aca="false">IF(OR(B28="",C28=""),"",IF(IFERROR(MATCH(B28,Listas!$N$2:$N$4,0)*MATCH(C28,Listas!$O$2:$O$4,0),0)=0,"escolha na lista",IF(MATCH(B28,Listas!$N$2:$N$4,0)*MATCH(C28,Listas!$O$2:$O$4,0)&gt;=6,"ALTA — medida antes de seguir",IF(MATCH(B28,Listas!$N$2:$N$4,0)*MATCH(C28,Listas!$O$2:$O$4,0)&gt;=3,"MÉDIA","baixa"))))</f>
        <v/>
      </c>
      <c r="F28" s="14"/>
      <c r="G28" s="5"/>
    </row>
    <row r="29" customFormat="false" ht="15" hidden="false" customHeight="false" outlineLevel="0" collapsed="false">
      <c r="A29" s="5"/>
      <c r="B29" s="14"/>
      <c r="C29" s="14"/>
      <c r="D29" s="5"/>
      <c r="E29" s="19" t="str">
        <f aca="false">IF(OR(B29="",C29=""),"",IF(IFERROR(MATCH(B29,Listas!$N$2:$N$4,0)*MATCH(C29,Listas!$O$2:$O$4,0),0)=0,"escolha na lista",IF(MATCH(B29,Listas!$N$2:$N$4,0)*MATCH(C29,Listas!$O$2:$O$4,0)&gt;=6,"ALTA — medida antes de seguir",IF(MATCH(B29,Listas!$N$2:$N$4,0)*MATCH(C29,Listas!$O$2:$O$4,0)&gt;=3,"MÉDIA","baixa"))))</f>
        <v/>
      </c>
      <c r="F29" s="14"/>
      <c r="G29" s="5"/>
    </row>
    <row r="30" customFormat="false" ht="15" hidden="false" customHeight="false" outlineLevel="0" collapsed="false">
      <c r="A30" s="5"/>
      <c r="B30" s="14"/>
      <c r="C30" s="14"/>
      <c r="D30" s="5"/>
      <c r="E30" s="19" t="str">
        <f aca="false">IF(OR(B30="",C30=""),"",IF(IFERROR(MATCH(B30,Listas!$N$2:$N$4,0)*MATCH(C30,Listas!$O$2:$O$4,0),0)=0,"escolha na lista",IF(MATCH(B30,Listas!$N$2:$N$4,0)*MATCH(C30,Listas!$O$2:$O$4,0)&gt;=6,"ALTA — medida antes de seguir",IF(MATCH(B30,Listas!$N$2:$N$4,0)*MATCH(C30,Listas!$O$2:$O$4,0)&gt;=3,"MÉDIA","baixa"))))</f>
        <v/>
      </c>
      <c r="F30" s="14"/>
      <c r="G30" s="5"/>
    </row>
    <row r="31" customFormat="false" ht="15" hidden="false" customHeight="false" outlineLevel="0" collapsed="false">
      <c r="A31" s="5"/>
      <c r="B31" s="14"/>
      <c r="C31" s="14"/>
      <c r="D31" s="5"/>
      <c r="E31" s="19" t="str">
        <f aca="false">IF(OR(B31="",C31=""),"",IF(IFERROR(MATCH(B31,Listas!$N$2:$N$4,0)*MATCH(C31,Listas!$O$2:$O$4,0),0)=0,"escolha na lista",IF(MATCH(B31,Listas!$N$2:$N$4,0)*MATCH(C31,Listas!$O$2:$O$4,0)&gt;=6,"ALTA — medida antes de seguir",IF(MATCH(B31,Listas!$N$2:$N$4,0)*MATCH(C31,Listas!$O$2:$O$4,0)&gt;=3,"MÉDIA","baixa"))))</f>
        <v/>
      </c>
      <c r="F31" s="14"/>
      <c r="G31" s="5"/>
    </row>
    <row r="32" customFormat="false" ht="15" hidden="false" customHeight="false" outlineLevel="0" collapsed="false">
      <c r="A32" s="5"/>
      <c r="B32" s="14"/>
      <c r="C32" s="14"/>
      <c r="D32" s="5"/>
      <c r="E32" s="19" t="str">
        <f aca="false">IF(OR(B32="",C32=""),"",IF(IFERROR(MATCH(B32,Listas!$N$2:$N$4,0)*MATCH(C32,Listas!$O$2:$O$4,0),0)=0,"escolha na lista",IF(MATCH(B32,Listas!$N$2:$N$4,0)*MATCH(C32,Listas!$O$2:$O$4,0)&gt;=6,"ALTA — medida antes de seguir",IF(MATCH(B32,Listas!$N$2:$N$4,0)*MATCH(C32,Listas!$O$2:$O$4,0)&gt;=3,"MÉDIA","baixa"))))</f>
        <v/>
      </c>
      <c r="F32" s="14"/>
      <c r="G32" s="5"/>
    </row>
    <row r="33" customFormat="false" ht="15" hidden="false" customHeight="false" outlineLevel="0" collapsed="false">
      <c r="A33" s="5"/>
      <c r="B33" s="14"/>
      <c r="C33" s="14"/>
      <c r="D33" s="5"/>
      <c r="E33" s="19" t="str">
        <f aca="false">IF(OR(B33="",C33=""),"",IF(IFERROR(MATCH(B33,Listas!$N$2:$N$4,0)*MATCH(C33,Listas!$O$2:$O$4,0),0)=0,"escolha na lista",IF(MATCH(B33,Listas!$N$2:$N$4,0)*MATCH(C33,Listas!$O$2:$O$4,0)&gt;=6,"ALTA — medida antes de seguir",IF(MATCH(B33,Listas!$N$2:$N$4,0)*MATCH(C33,Listas!$O$2:$O$4,0)&gt;=3,"MÉDIA","baixa"))))</f>
        <v/>
      </c>
      <c r="F33" s="14"/>
      <c r="G33" s="5"/>
    </row>
    <row r="34" customFormat="false" ht="15" hidden="false" customHeight="false" outlineLevel="0" collapsed="false">
      <c r="A34" s="5"/>
      <c r="B34" s="14"/>
      <c r="C34" s="14"/>
      <c r="D34" s="5"/>
      <c r="E34" s="19" t="str">
        <f aca="false">IF(OR(B34="",C34=""),"",IF(IFERROR(MATCH(B34,Listas!$N$2:$N$4,0)*MATCH(C34,Listas!$O$2:$O$4,0),0)=0,"escolha na lista",IF(MATCH(B34,Listas!$N$2:$N$4,0)*MATCH(C34,Listas!$O$2:$O$4,0)&gt;=6,"ALTA — medida antes de seguir",IF(MATCH(B34,Listas!$N$2:$N$4,0)*MATCH(C34,Listas!$O$2:$O$4,0)&gt;=3,"MÉDIA","baixa"))))</f>
        <v/>
      </c>
      <c r="F34" s="14"/>
      <c r="G34" s="5"/>
    </row>
    <row r="35" customFormat="false" ht="15" hidden="false" customHeight="false" outlineLevel="0" collapsed="false">
      <c r="A35" s="5"/>
      <c r="B35" s="14"/>
      <c r="C35" s="14"/>
      <c r="D35" s="5"/>
      <c r="E35" s="19" t="str">
        <f aca="false">IF(OR(B35="",C35=""),"",IF(IFERROR(MATCH(B35,Listas!$N$2:$N$4,0)*MATCH(C35,Listas!$O$2:$O$4,0),0)=0,"escolha na lista",IF(MATCH(B35,Listas!$N$2:$N$4,0)*MATCH(C35,Listas!$O$2:$O$4,0)&gt;=6,"ALTA — medida antes de seguir",IF(MATCH(B35,Listas!$N$2:$N$4,0)*MATCH(C35,Listas!$O$2:$O$4,0)&gt;=3,"MÉDIA","baixa"))))</f>
        <v/>
      </c>
      <c r="F35" s="14"/>
      <c r="G35" s="5"/>
    </row>
    <row r="36" customFormat="false" ht="15" hidden="false" customHeight="false" outlineLevel="0" collapsed="false">
      <c r="A36" s="5"/>
      <c r="B36" s="14"/>
      <c r="C36" s="14"/>
      <c r="D36" s="5"/>
      <c r="E36" s="19" t="str">
        <f aca="false">IF(OR(B36="",C36=""),"",IF(IFERROR(MATCH(B36,Listas!$N$2:$N$4,0)*MATCH(C36,Listas!$O$2:$O$4,0),0)=0,"escolha na lista",IF(MATCH(B36,Listas!$N$2:$N$4,0)*MATCH(C36,Listas!$O$2:$O$4,0)&gt;=6,"ALTA — medida antes de seguir",IF(MATCH(B36,Listas!$N$2:$N$4,0)*MATCH(C36,Listas!$O$2:$O$4,0)&gt;=3,"MÉDIA","baixa"))))</f>
        <v/>
      </c>
      <c r="F36" s="14"/>
      <c r="G36" s="5"/>
    </row>
    <row r="37" customFormat="false" ht="15" hidden="false" customHeight="false" outlineLevel="0" collapsed="false">
      <c r="A37" s="5"/>
      <c r="B37" s="14"/>
      <c r="C37" s="14"/>
      <c r="D37" s="5"/>
      <c r="E37" s="19" t="str">
        <f aca="false">IF(OR(B37="",C37=""),"",IF(IFERROR(MATCH(B37,Listas!$N$2:$N$4,0)*MATCH(C37,Listas!$O$2:$O$4,0),0)=0,"escolha na lista",IF(MATCH(B37,Listas!$N$2:$N$4,0)*MATCH(C37,Listas!$O$2:$O$4,0)&gt;=6,"ALTA — medida antes de seguir",IF(MATCH(B37,Listas!$N$2:$N$4,0)*MATCH(C37,Listas!$O$2:$O$4,0)&gt;=3,"MÉDIA","baixa"))))</f>
        <v/>
      </c>
      <c r="F37" s="14"/>
      <c r="G37" s="5"/>
    </row>
    <row r="38" customFormat="false" ht="15" hidden="false" customHeight="false" outlineLevel="0" collapsed="false">
      <c r="A38" s="5"/>
      <c r="B38" s="14"/>
      <c r="C38" s="14"/>
      <c r="D38" s="5"/>
      <c r="E38" s="19" t="str">
        <f aca="false">IF(OR(B38="",C38=""),"",IF(IFERROR(MATCH(B38,Listas!$N$2:$N$4,0)*MATCH(C38,Listas!$O$2:$O$4,0),0)=0,"escolha na lista",IF(MATCH(B38,Listas!$N$2:$N$4,0)*MATCH(C38,Listas!$O$2:$O$4,0)&gt;=6,"ALTA — medida antes de seguir",IF(MATCH(B38,Listas!$N$2:$N$4,0)*MATCH(C38,Listas!$O$2:$O$4,0)&gt;=3,"MÉDIA","baixa"))))</f>
        <v/>
      </c>
      <c r="F38" s="14"/>
      <c r="G38" s="5"/>
    </row>
    <row r="39" customFormat="false" ht="15" hidden="false" customHeight="false" outlineLevel="0" collapsed="false">
      <c r="A39" s="5"/>
      <c r="B39" s="14"/>
      <c r="C39" s="14"/>
      <c r="D39" s="5"/>
      <c r="E39" s="19" t="str">
        <f aca="false">IF(OR(B39="",C39=""),"",IF(IFERROR(MATCH(B39,Listas!$N$2:$N$4,0)*MATCH(C39,Listas!$O$2:$O$4,0),0)=0,"escolha na lista",IF(MATCH(B39,Listas!$N$2:$N$4,0)*MATCH(C39,Listas!$O$2:$O$4,0)&gt;=6,"ALTA — medida antes de seguir",IF(MATCH(B39,Listas!$N$2:$N$4,0)*MATCH(C39,Listas!$O$2:$O$4,0)&gt;=3,"MÉDIA","baixa"))))</f>
        <v/>
      </c>
      <c r="F39" s="14"/>
      <c r="G39" s="5"/>
    </row>
    <row r="40" customFormat="false" ht="15" hidden="false" customHeight="false" outlineLevel="0" collapsed="false">
      <c r="A40" s="5"/>
      <c r="B40" s="14"/>
      <c r="C40" s="14"/>
      <c r="D40" s="5"/>
      <c r="E40" s="19" t="str">
        <f aca="false">IF(OR(B40="",C40=""),"",IF(IFERROR(MATCH(B40,Listas!$N$2:$N$4,0)*MATCH(C40,Listas!$O$2:$O$4,0),0)=0,"escolha na lista",IF(MATCH(B40,Listas!$N$2:$N$4,0)*MATCH(C40,Listas!$O$2:$O$4,0)&gt;=6,"ALTA — medida antes de seguir",IF(MATCH(B40,Listas!$N$2:$N$4,0)*MATCH(C40,Listas!$O$2:$O$4,0)&gt;=3,"MÉDIA","baixa"))))</f>
        <v/>
      </c>
      <c r="F40" s="14"/>
      <c r="G40" s="5"/>
    </row>
    <row r="41" customFormat="false" ht="15" hidden="false" customHeight="false" outlineLevel="0" collapsed="false">
      <c r="A41" s="5"/>
      <c r="B41" s="14"/>
      <c r="C41" s="14"/>
      <c r="D41" s="5"/>
      <c r="E41" s="19" t="str">
        <f aca="false">IF(OR(B41="",C41=""),"",IF(IFERROR(MATCH(B41,Listas!$N$2:$N$4,0)*MATCH(C41,Listas!$O$2:$O$4,0),0)=0,"escolha na lista",IF(MATCH(B41,Listas!$N$2:$N$4,0)*MATCH(C41,Listas!$O$2:$O$4,0)&gt;=6,"ALTA — medida antes de seguir",IF(MATCH(B41,Listas!$N$2:$N$4,0)*MATCH(C41,Listas!$O$2:$O$4,0)&gt;=3,"MÉDIA","baixa"))))</f>
        <v/>
      </c>
      <c r="F41" s="14"/>
      <c r="G41" s="5"/>
    </row>
    <row r="42" customFormat="false" ht="15" hidden="false" customHeight="false" outlineLevel="0" collapsed="false">
      <c r="A42" s="5"/>
      <c r="B42" s="14"/>
      <c r="C42" s="14"/>
      <c r="D42" s="5"/>
      <c r="E42" s="19" t="str">
        <f aca="false">IF(OR(B42="",C42=""),"",IF(IFERROR(MATCH(B42,Listas!$N$2:$N$4,0)*MATCH(C42,Listas!$O$2:$O$4,0),0)=0,"escolha na lista",IF(MATCH(B42,Listas!$N$2:$N$4,0)*MATCH(C42,Listas!$O$2:$O$4,0)&gt;=6,"ALTA — medida antes de seguir",IF(MATCH(B42,Listas!$N$2:$N$4,0)*MATCH(C42,Listas!$O$2:$O$4,0)&gt;=3,"MÉDIA","baixa"))))</f>
        <v/>
      </c>
      <c r="F42" s="14"/>
      <c r="G42" s="5"/>
    </row>
    <row r="43" customFormat="false" ht="15" hidden="false" customHeight="false" outlineLevel="0" collapsed="false">
      <c r="A43" s="5"/>
      <c r="B43" s="14"/>
      <c r="C43" s="14"/>
      <c r="D43" s="5"/>
      <c r="E43" s="19" t="str">
        <f aca="false">IF(OR(B43="",C43=""),"",IF(IFERROR(MATCH(B43,Listas!$N$2:$N$4,0)*MATCH(C43,Listas!$O$2:$O$4,0),0)=0,"escolha na lista",IF(MATCH(B43,Listas!$N$2:$N$4,0)*MATCH(C43,Listas!$O$2:$O$4,0)&gt;=6,"ALTA — medida antes de seguir",IF(MATCH(B43,Listas!$N$2:$N$4,0)*MATCH(C43,Listas!$O$2:$O$4,0)&gt;=3,"MÉDIA","baixa"))))</f>
        <v/>
      </c>
      <c r="F43" s="14"/>
      <c r="G43" s="5"/>
    </row>
    <row r="44" customFormat="false" ht="15" hidden="false" customHeight="false" outlineLevel="0" collapsed="false">
      <c r="A44" s="5"/>
      <c r="B44" s="14"/>
      <c r="C44" s="14"/>
      <c r="D44" s="5"/>
      <c r="E44" s="19" t="str">
        <f aca="false">IF(OR(B44="",C44=""),"",IF(IFERROR(MATCH(B44,Listas!$N$2:$N$4,0)*MATCH(C44,Listas!$O$2:$O$4,0),0)=0,"escolha na lista",IF(MATCH(B44,Listas!$N$2:$N$4,0)*MATCH(C44,Listas!$O$2:$O$4,0)&gt;=6,"ALTA — medida antes de seguir",IF(MATCH(B44,Listas!$N$2:$N$4,0)*MATCH(C44,Listas!$O$2:$O$4,0)&gt;=3,"MÉDIA","baixa"))))</f>
        <v/>
      </c>
      <c r="F44" s="14"/>
      <c r="G44" s="5"/>
    </row>
    <row r="45" customFormat="false" ht="15" hidden="false" customHeight="false" outlineLevel="0" collapsed="false">
      <c r="A45" s="5"/>
      <c r="B45" s="14"/>
      <c r="C45" s="14"/>
      <c r="D45" s="5"/>
      <c r="E45" s="19" t="str">
        <f aca="false">IF(OR(B45="",C45=""),"",IF(IFERROR(MATCH(B45,Listas!$N$2:$N$4,0)*MATCH(C45,Listas!$O$2:$O$4,0),0)=0,"escolha na lista",IF(MATCH(B45,Listas!$N$2:$N$4,0)*MATCH(C45,Listas!$O$2:$O$4,0)&gt;=6,"ALTA — medida antes de seguir",IF(MATCH(B45,Listas!$N$2:$N$4,0)*MATCH(C45,Listas!$O$2:$O$4,0)&gt;=3,"MÉDIA","baixa"))))</f>
        <v/>
      </c>
      <c r="F45" s="14"/>
      <c r="G45" s="5"/>
    </row>
    <row r="46" customFormat="false" ht="15" hidden="false" customHeight="false" outlineLevel="0" collapsed="false">
      <c r="A46" s="5"/>
      <c r="B46" s="14"/>
      <c r="C46" s="14"/>
      <c r="D46" s="5"/>
      <c r="E46" s="19" t="str">
        <f aca="false">IF(OR(B46="",C46=""),"",IF(IFERROR(MATCH(B46,Listas!$N$2:$N$4,0)*MATCH(C46,Listas!$O$2:$O$4,0),0)=0,"escolha na lista",IF(MATCH(B46,Listas!$N$2:$N$4,0)*MATCH(C46,Listas!$O$2:$O$4,0)&gt;=6,"ALTA — medida antes de seguir",IF(MATCH(B46,Listas!$N$2:$N$4,0)*MATCH(C46,Listas!$O$2:$O$4,0)&gt;=3,"MÉDIA","baixa"))))</f>
        <v/>
      </c>
      <c r="F46" s="14"/>
      <c r="G46" s="5"/>
    </row>
    <row r="47" customFormat="false" ht="15" hidden="false" customHeight="false" outlineLevel="0" collapsed="false">
      <c r="A47" s="5"/>
      <c r="B47" s="14"/>
      <c r="C47" s="14"/>
      <c r="D47" s="5"/>
      <c r="E47" s="19" t="str">
        <f aca="false">IF(OR(B47="",C47=""),"",IF(IFERROR(MATCH(B47,Listas!$N$2:$N$4,0)*MATCH(C47,Listas!$O$2:$O$4,0),0)=0,"escolha na lista",IF(MATCH(B47,Listas!$N$2:$N$4,0)*MATCH(C47,Listas!$O$2:$O$4,0)&gt;=6,"ALTA — medida antes de seguir",IF(MATCH(B47,Listas!$N$2:$N$4,0)*MATCH(C47,Listas!$O$2:$O$4,0)&gt;=3,"MÉDIA","baixa"))))</f>
        <v/>
      </c>
      <c r="F47" s="14"/>
      <c r="G47" s="5"/>
    </row>
    <row r="48" customFormat="false" ht="15" hidden="false" customHeight="false" outlineLevel="0" collapsed="false">
      <c r="A48" s="5"/>
      <c r="B48" s="14"/>
      <c r="C48" s="14"/>
      <c r="D48" s="5"/>
      <c r="E48" s="19" t="str">
        <f aca="false">IF(OR(B48="",C48=""),"",IF(IFERROR(MATCH(B48,Listas!$N$2:$N$4,0)*MATCH(C48,Listas!$O$2:$O$4,0),0)=0,"escolha na lista",IF(MATCH(B48,Listas!$N$2:$N$4,0)*MATCH(C48,Listas!$O$2:$O$4,0)&gt;=6,"ALTA — medida antes de seguir",IF(MATCH(B48,Listas!$N$2:$N$4,0)*MATCH(C48,Listas!$O$2:$O$4,0)&gt;=3,"MÉDIA","baixa"))))</f>
        <v/>
      </c>
      <c r="F48" s="14"/>
      <c r="G48" s="5"/>
    </row>
    <row r="49" customFormat="false" ht="15" hidden="false" customHeight="false" outlineLevel="0" collapsed="false">
      <c r="A49" s="5"/>
      <c r="B49" s="14"/>
      <c r="C49" s="14"/>
      <c r="D49" s="5"/>
      <c r="E49" s="19" t="str">
        <f aca="false">IF(OR(B49="",C49=""),"",IF(IFERROR(MATCH(B49,Listas!$N$2:$N$4,0)*MATCH(C49,Listas!$O$2:$O$4,0),0)=0,"escolha na lista",IF(MATCH(B49,Listas!$N$2:$N$4,0)*MATCH(C49,Listas!$O$2:$O$4,0)&gt;=6,"ALTA — medida antes de seguir",IF(MATCH(B49,Listas!$N$2:$N$4,0)*MATCH(C49,Listas!$O$2:$O$4,0)&gt;=3,"MÉDIA","baixa"))))</f>
        <v/>
      </c>
      <c r="F49" s="14"/>
      <c r="G49" s="5"/>
    </row>
    <row r="50" customFormat="false" ht="15" hidden="false" customHeight="false" outlineLevel="0" collapsed="false">
      <c r="A50" s="5"/>
      <c r="B50" s="14"/>
      <c r="C50" s="14"/>
      <c r="D50" s="5"/>
      <c r="E50" s="19" t="str">
        <f aca="false">IF(OR(B50="",C50=""),"",IF(IFERROR(MATCH(B50,Listas!$N$2:$N$4,0)*MATCH(C50,Listas!$O$2:$O$4,0),0)=0,"escolha na lista",IF(MATCH(B50,Listas!$N$2:$N$4,0)*MATCH(C50,Listas!$O$2:$O$4,0)&gt;=6,"ALTA — medida antes de seguir",IF(MATCH(B50,Listas!$N$2:$N$4,0)*MATCH(C50,Listas!$O$2:$O$4,0)&gt;=3,"MÉDIA","baixa"))))</f>
        <v/>
      </c>
      <c r="F50" s="14"/>
      <c r="G50" s="5"/>
    </row>
    <row r="51" customFormat="false" ht="15" hidden="false" customHeight="false" outlineLevel="0" collapsed="false">
      <c r="A51" s="5"/>
      <c r="B51" s="14"/>
      <c r="C51" s="14"/>
      <c r="D51" s="5"/>
      <c r="E51" s="19" t="str">
        <f aca="false">IF(OR(B51="",C51=""),"",IF(IFERROR(MATCH(B51,Listas!$N$2:$N$4,0)*MATCH(C51,Listas!$O$2:$O$4,0),0)=0,"escolha na lista",IF(MATCH(B51,Listas!$N$2:$N$4,0)*MATCH(C51,Listas!$O$2:$O$4,0)&gt;=6,"ALTA — medida antes de seguir",IF(MATCH(B51,Listas!$N$2:$N$4,0)*MATCH(C51,Listas!$O$2:$O$4,0)&gt;=3,"MÉDIA","baixa"))))</f>
        <v/>
      </c>
      <c r="F51" s="14"/>
      <c r="G51" s="5"/>
    </row>
  </sheetData>
  <autoFilter ref="A1:G51"/>
  <conditionalFormatting sqref="E2:E51">
    <cfRule type="expression" priority="2" aboveAverage="0" equalAverage="0" bottom="0" percent="0" rank="0" text="" dxfId="8">
      <formula>LEFT(E2,4)="ALTA"</formula>
    </cfRule>
    <cfRule type="expression" priority="3" aboveAverage="0" equalAverage="0" bottom="0" percent="0" rank="0" text="" dxfId="10">
      <formula>LEFT(E2,5)="MÉDIA"</formula>
    </cfRule>
  </conditionalFormatting>
  <dataValidations count="2">
    <dataValidation allowBlank="true" error="Escolha uma opção da lista (as opções estão na aba Listas)." errorStyle="stop" operator="between" showDropDown="false" showErrorMessage="false" showInputMessage="false" sqref="B2:B51" type="list">
      <formula1>Listas!$N$2:$N$4</formula1>
      <formula2>0</formula2>
    </dataValidation>
    <dataValidation allowBlank="true" error="Escolha uma opção da lista (as opções estão na aba Listas)." errorStyle="stop" operator="between" showDropDown="false" showErrorMessage="false" showInputMessage="false" sqref="C2:C51" type="list">
      <formula1>Listas!$O$2:$O$4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5" min="4" style="0" width="34"/>
    <col collapsed="false" customWidth="true" hidden="false" outlineLevel="0" max="6" min="6" style="0" width="22"/>
    <col collapsed="false" customWidth="true" hidden="false" outlineLevel="0" max="7" min="7" style="0" width="30"/>
  </cols>
  <sheetData>
    <row r="1" customFormat="false" ht="39.75" hidden="false" customHeight="true" outlineLevel="0" collapsed="false">
      <c r="A1" s="10" t="s">
        <v>155</v>
      </c>
      <c r="B1" s="10" t="s">
        <v>366</v>
      </c>
      <c r="C1" s="10" t="s">
        <v>367</v>
      </c>
      <c r="D1" s="10" t="s">
        <v>109</v>
      </c>
      <c r="E1" s="15" t="s">
        <v>368</v>
      </c>
      <c r="F1" s="10" t="s">
        <v>369</v>
      </c>
      <c r="G1" s="10" t="s">
        <v>138</v>
      </c>
    </row>
    <row r="2" customFormat="false" ht="15" hidden="false" customHeight="false" outlineLevel="0" collapsed="false">
      <c r="A2" s="7" t="s">
        <v>191</v>
      </c>
      <c r="B2" s="7" t="s">
        <v>370</v>
      </c>
      <c r="C2" s="13" t="s">
        <v>142</v>
      </c>
      <c r="D2" s="7" t="s">
        <v>371</v>
      </c>
      <c r="E2" s="17" t="str">
        <f aca="false">IF(C2="","",IF(C2="Sim","Baixe e registre no Log",IF(C2="Não","Peça pela LAI (aula 3.2) e anote em Prazos LAI",IF(C2="Em parte","Baixe o que está publicado e peça o resto pela LAI","Procure antes de pedir: pedir o que já está publicado é perder 20 dias"))))</f>
        <v>Baixe e registre no Log</v>
      </c>
      <c r="F2" s="23"/>
      <c r="G2" s="7" t="s">
        <v>167</v>
      </c>
    </row>
    <row r="3" customFormat="false" ht="23.85" hidden="false" customHeight="false" outlineLevel="0" collapsed="false">
      <c r="A3" s="7" t="s">
        <v>372</v>
      </c>
      <c r="B3" s="7" t="s">
        <v>370</v>
      </c>
      <c r="C3" s="13" t="s">
        <v>141</v>
      </c>
      <c r="D3" s="7"/>
      <c r="E3" s="17" t="str">
        <f aca="false">IF(C3="","",IF(C3="Sim","Baixe e registre no Log",IF(C3="Não","Peça pela LAI (aula 3.2) e anote em Prazos LAI",IF(C3="Em parte","Baixe o que está publicado e peça o resto pela LAI","Procure antes de pedir: pedir o que já está publicado é perder 20 dias"))))</f>
        <v>Peça pela LAI (aula 3.2) e anote em Prazos LAI</v>
      </c>
      <c r="F3" s="23" t="s">
        <v>305</v>
      </c>
      <c r="G3" s="7" t="s">
        <v>167</v>
      </c>
    </row>
    <row r="4" customFormat="false" ht="23.85" hidden="false" customHeight="false" outlineLevel="0" collapsed="false">
      <c r="A4" s="7" t="s">
        <v>373</v>
      </c>
      <c r="B4" s="7" t="s">
        <v>374</v>
      </c>
      <c r="C4" s="13" t="s">
        <v>375</v>
      </c>
      <c r="D4" s="7" t="s">
        <v>376</v>
      </c>
      <c r="E4" s="17" t="str">
        <f aca="false">IF(C4="","",IF(C4="Sim","Baixe e registre no Log",IF(C4="Não","Peça pela LAI (aula 3.2) e anote em Prazos LAI",IF(C4="Em parte","Baixe o que está publicado e peça o resto pela LAI","Procure antes de pedir: pedir o que já está publicado é perder 20 dias"))))</f>
        <v>Baixe o que está publicado e peça o resto pela LAI</v>
      </c>
      <c r="F4" s="23"/>
      <c r="G4" s="7" t="s">
        <v>167</v>
      </c>
    </row>
    <row r="5" customFormat="false" ht="23.85" hidden="false" customHeight="false" outlineLevel="0" collapsed="false">
      <c r="A5" s="7" t="s">
        <v>301</v>
      </c>
      <c r="B5" s="7" t="s">
        <v>295</v>
      </c>
      <c r="C5" s="13" t="s">
        <v>377</v>
      </c>
      <c r="D5" s="7" t="s">
        <v>378</v>
      </c>
      <c r="E5" s="17" t="str">
        <f aca="false">IF(C5="","",IF(C5="Sim","Baixe e registre no Log",IF(C5="Não","Peça pela LAI (aula 3.2) e anote em Prazos LAI",IF(C5="Em parte","Baixe o que está publicado e peça o resto pela LAI","Procure antes de pedir: pedir o que já está publicado é perder 20 dias"))))</f>
        <v>Procure antes de pedir: pedir o que já está publicado é perder 20 dias</v>
      </c>
      <c r="F5" s="23" t="s">
        <v>298</v>
      </c>
      <c r="G5" s="7" t="s">
        <v>167</v>
      </c>
    </row>
    <row r="6" customFormat="false" ht="15" hidden="false" customHeight="false" outlineLevel="0" collapsed="false">
      <c r="A6" s="7" t="s">
        <v>294</v>
      </c>
      <c r="B6" s="7" t="s">
        <v>379</v>
      </c>
      <c r="C6" s="13" t="s">
        <v>142</v>
      </c>
      <c r="D6" s="7" t="s">
        <v>380</v>
      </c>
      <c r="E6" s="17" t="str">
        <f aca="false">IF(C6="","",IF(C6="Sim","Baixe e registre no Log",IF(C6="Não","Peça pela LAI (aula 3.2) e anote em Prazos LAI",IF(C6="Em parte","Baixe o que está publicado e peça o resto pela LAI","Procure antes de pedir: pedir o que já está publicado é perder 20 dias"))))</f>
        <v>Baixe e registre no Log</v>
      </c>
      <c r="F6" s="23"/>
      <c r="G6" s="7" t="s">
        <v>167</v>
      </c>
    </row>
    <row r="7" customFormat="false" ht="15" hidden="false" customHeight="false" outlineLevel="0" collapsed="false">
      <c r="A7" s="5"/>
      <c r="B7" s="5"/>
      <c r="C7" s="14"/>
      <c r="D7" s="5"/>
      <c r="E7" s="19" t="str">
        <f aca="false">IF(C7="","",IF(C7="Sim","Baixe e registre no Log",IF(C7="Não","Peça pela LAI (aula 3.2) e anote em Prazos LAI",IF(C7="Em parte","Baixe o que está publicado e peça o resto pela LAI","Procure antes de pedir: pedir o que já está publicado é perder 20 dias"))))</f>
        <v/>
      </c>
      <c r="F7" s="27"/>
      <c r="G7" s="5"/>
    </row>
    <row r="8" customFormat="false" ht="15" hidden="false" customHeight="false" outlineLevel="0" collapsed="false">
      <c r="A8" s="5"/>
      <c r="B8" s="5"/>
      <c r="C8" s="14"/>
      <c r="D8" s="5"/>
      <c r="E8" s="19" t="str">
        <f aca="false">IF(C8="","",IF(C8="Sim","Baixe e registre no Log",IF(C8="Não","Peça pela LAI (aula 3.2) e anote em Prazos LAI",IF(C8="Em parte","Baixe o que está publicado e peça o resto pela LAI","Procure antes de pedir: pedir o que já está publicado é perder 20 dias"))))</f>
        <v/>
      </c>
      <c r="F8" s="27"/>
      <c r="G8" s="5"/>
    </row>
    <row r="9" customFormat="false" ht="15" hidden="false" customHeight="false" outlineLevel="0" collapsed="false">
      <c r="A9" s="5"/>
      <c r="B9" s="5"/>
      <c r="C9" s="14"/>
      <c r="D9" s="5"/>
      <c r="E9" s="19" t="str">
        <f aca="false">IF(C9="","",IF(C9="Sim","Baixe e registre no Log",IF(C9="Não","Peça pela LAI (aula 3.2) e anote em Prazos LAI",IF(C9="Em parte","Baixe o que está publicado e peça o resto pela LAI","Procure antes de pedir: pedir o que já está publicado é perder 20 dias"))))</f>
        <v/>
      </c>
      <c r="F9" s="27"/>
      <c r="G9" s="5"/>
    </row>
    <row r="10" customFormat="false" ht="15" hidden="false" customHeight="false" outlineLevel="0" collapsed="false">
      <c r="A10" s="5"/>
      <c r="B10" s="5"/>
      <c r="C10" s="14"/>
      <c r="D10" s="5"/>
      <c r="E10" s="19" t="str">
        <f aca="false">IF(C10="","",IF(C10="Sim","Baixe e registre no Log",IF(C10="Não","Peça pela LAI (aula 3.2) e anote em Prazos LAI",IF(C10="Em parte","Baixe o que está publicado e peça o resto pela LAI","Procure antes de pedir: pedir o que já está publicado é perder 20 dias"))))</f>
        <v/>
      </c>
      <c r="F10" s="27"/>
      <c r="G10" s="5"/>
    </row>
    <row r="11" customFormat="false" ht="15" hidden="false" customHeight="false" outlineLevel="0" collapsed="false">
      <c r="A11" s="5"/>
      <c r="B11" s="5"/>
      <c r="C11" s="14"/>
      <c r="D11" s="5"/>
      <c r="E11" s="19" t="str">
        <f aca="false">IF(C11="","",IF(C11="Sim","Baixe e registre no Log",IF(C11="Não","Peça pela LAI (aula 3.2) e anote em Prazos LAI",IF(C11="Em parte","Baixe o que está publicado e peça o resto pela LAI","Procure antes de pedir: pedir o que já está publicado é perder 20 dias"))))</f>
        <v/>
      </c>
      <c r="F11" s="27"/>
      <c r="G11" s="5"/>
    </row>
    <row r="12" customFormat="false" ht="15" hidden="false" customHeight="false" outlineLevel="0" collapsed="false">
      <c r="A12" s="5"/>
      <c r="B12" s="5"/>
      <c r="C12" s="14"/>
      <c r="D12" s="5"/>
      <c r="E12" s="19" t="str">
        <f aca="false">IF(C12="","",IF(C12="Sim","Baixe e registre no Log",IF(C12="Não","Peça pela LAI (aula 3.2) e anote em Prazos LAI",IF(C12="Em parte","Baixe o que está publicado e peça o resto pela LAI","Procure antes de pedir: pedir o que já está publicado é perder 20 dias"))))</f>
        <v/>
      </c>
      <c r="F12" s="27"/>
      <c r="G12" s="5"/>
    </row>
    <row r="13" customFormat="false" ht="15" hidden="false" customHeight="false" outlineLevel="0" collapsed="false">
      <c r="A13" s="5"/>
      <c r="B13" s="5"/>
      <c r="C13" s="14"/>
      <c r="D13" s="5"/>
      <c r="E13" s="19" t="str">
        <f aca="false">IF(C13="","",IF(C13="Sim","Baixe e registre no Log",IF(C13="Não","Peça pela LAI (aula 3.2) e anote em Prazos LAI",IF(C13="Em parte","Baixe o que está publicado e peça o resto pela LAI","Procure antes de pedir: pedir o que já está publicado é perder 20 dias"))))</f>
        <v/>
      </c>
      <c r="F13" s="27"/>
      <c r="G13" s="5"/>
    </row>
    <row r="14" customFormat="false" ht="15" hidden="false" customHeight="false" outlineLevel="0" collapsed="false">
      <c r="A14" s="5"/>
      <c r="B14" s="5"/>
      <c r="C14" s="14"/>
      <c r="D14" s="5"/>
      <c r="E14" s="19" t="str">
        <f aca="false">IF(C14="","",IF(C14="Sim","Baixe e registre no Log",IF(C14="Não","Peça pela LAI (aula 3.2) e anote em Prazos LAI",IF(C14="Em parte","Baixe o que está publicado e peça o resto pela LAI","Procure antes de pedir: pedir o que já está publicado é perder 20 dias"))))</f>
        <v/>
      </c>
      <c r="F14" s="27"/>
      <c r="G14" s="5"/>
    </row>
    <row r="15" customFormat="false" ht="15" hidden="false" customHeight="false" outlineLevel="0" collapsed="false">
      <c r="A15" s="5"/>
      <c r="B15" s="5"/>
      <c r="C15" s="14"/>
      <c r="D15" s="5"/>
      <c r="E15" s="19" t="str">
        <f aca="false">IF(C15="","",IF(C15="Sim","Baixe e registre no Log",IF(C15="Não","Peça pela LAI (aula 3.2) e anote em Prazos LAI",IF(C15="Em parte","Baixe o que está publicado e peça o resto pela LAI","Procure antes de pedir: pedir o que já está publicado é perder 20 dias"))))</f>
        <v/>
      </c>
      <c r="F15" s="27"/>
      <c r="G15" s="5"/>
    </row>
    <row r="16" customFormat="false" ht="15" hidden="false" customHeight="false" outlineLevel="0" collapsed="false">
      <c r="A16" s="5"/>
      <c r="B16" s="5"/>
      <c r="C16" s="14"/>
      <c r="D16" s="5"/>
      <c r="E16" s="19" t="str">
        <f aca="false">IF(C16="","",IF(C16="Sim","Baixe e registre no Log",IF(C16="Não","Peça pela LAI (aula 3.2) e anote em Prazos LAI",IF(C16="Em parte","Baixe o que está publicado e peça o resto pela LAI","Procure antes de pedir: pedir o que já está publicado é perder 20 dias"))))</f>
        <v/>
      </c>
      <c r="F16" s="27"/>
      <c r="G16" s="5"/>
    </row>
    <row r="17" customFormat="false" ht="15" hidden="false" customHeight="false" outlineLevel="0" collapsed="false">
      <c r="A17" s="5"/>
      <c r="B17" s="5"/>
      <c r="C17" s="14"/>
      <c r="D17" s="5"/>
      <c r="E17" s="19" t="str">
        <f aca="false">IF(C17="","",IF(C17="Sim","Baixe e registre no Log",IF(C17="Não","Peça pela LAI (aula 3.2) e anote em Prazos LAI",IF(C17="Em parte","Baixe o que está publicado e peça o resto pela LAI","Procure antes de pedir: pedir o que já está publicado é perder 20 dias"))))</f>
        <v/>
      </c>
      <c r="F17" s="27"/>
      <c r="G17" s="5"/>
    </row>
    <row r="18" customFormat="false" ht="15" hidden="false" customHeight="false" outlineLevel="0" collapsed="false">
      <c r="A18" s="5"/>
      <c r="B18" s="5"/>
      <c r="C18" s="14"/>
      <c r="D18" s="5"/>
      <c r="E18" s="19" t="str">
        <f aca="false">IF(C18="","",IF(C18="Sim","Baixe e registre no Log",IF(C18="Não","Peça pela LAI (aula 3.2) e anote em Prazos LAI",IF(C18="Em parte","Baixe o que está publicado e peça o resto pela LAI","Procure antes de pedir: pedir o que já está publicado é perder 20 dias"))))</f>
        <v/>
      </c>
      <c r="F18" s="27"/>
      <c r="G18" s="5"/>
    </row>
    <row r="19" customFormat="false" ht="15" hidden="false" customHeight="false" outlineLevel="0" collapsed="false">
      <c r="A19" s="5"/>
      <c r="B19" s="5"/>
      <c r="C19" s="14"/>
      <c r="D19" s="5"/>
      <c r="E19" s="19" t="str">
        <f aca="false">IF(C19="","",IF(C19="Sim","Baixe e registre no Log",IF(C19="Não","Peça pela LAI (aula 3.2) e anote em Prazos LAI",IF(C19="Em parte","Baixe o que está publicado e peça o resto pela LAI","Procure antes de pedir: pedir o que já está publicado é perder 20 dias"))))</f>
        <v/>
      </c>
      <c r="F19" s="27"/>
      <c r="G19" s="5"/>
    </row>
    <row r="20" customFormat="false" ht="15" hidden="false" customHeight="false" outlineLevel="0" collapsed="false">
      <c r="A20" s="5"/>
      <c r="B20" s="5"/>
      <c r="C20" s="14"/>
      <c r="D20" s="5"/>
      <c r="E20" s="19" t="str">
        <f aca="false">IF(C20="","",IF(C20="Sim","Baixe e registre no Log",IF(C20="Não","Peça pela LAI (aula 3.2) e anote em Prazos LAI",IF(C20="Em parte","Baixe o que está publicado e peça o resto pela LAI","Procure antes de pedir: pedir o que já está publicado é perder 20 dias"))))</f>
        <v/>
      </c>
      <c r="F20" s="27"/>
      <c r="G20" s="5"/>
    </row>
    <row r="21" customFormat="false" ht="15" hidden="false" customHeight="false" outlineLevel="0" collapsed="false">
      <c r="A21" s="5"/>
      <c r="B21" s="5"/>
      <c r="C21" s="14"/>
      <c r="D21" s="5"/>
      <c r="E21" s="19" t="str">
        <f aca="false">IF(C21="","",IF(C21="Sim","Baixe e registre no Log",IF(C21="Não","Peça pela LAI (aula 3.2) e anote em Prazos LAI",IF(C21="Em parte","Baixe o que está publicado e peça o resto pela LAI","Procure antes de pedir: pedir o que já está publicado é perder 20 dias"))))</f>
        <v/>
      </c>
      <c r="F21" s="27"/>
      <c r="G21" s="5"/>
    </row>
    <row r="22" customFormat="false" ht="15" hidden="false" customHeight="false" outlineLevel="0" collapsed="false">
      <c r="A22" s="5"/>
      <c r="B22" s="5"/>
      <c r="C22" s="14"/>
      <c r="D22" s="5"/>
      <c r="E22" s="19" t="str">
        <f aca="false">IF(C22="","",IF(C22="Sim","Baixe e registre no Log",IF(C22="Não","Peça pela LAI (aula 3.2) e anote em Prazos LAI",IF(C22="Em parte","Baixe o que está publicado e peça o resto pela LAI","Procure antes de pedir: pedir o que já está publicado é perder 20 dias"))))</f>
        <v/>
      </c>
      <c r="F22" s="27"/>
      <c r="G22" s="5"/>
    </row>
    <row r="23" customFormat="false" ht="15" hidden="false" customHeight="false" outlineLevel="0" collapsed="false">
      <c r="A23" s="5"/>
      <c r="B23" s="5"/>
      <c r="C23" s="14"/>
      <c r="D23" s="5"/>
      <c r="E23" s="19" t="str">
        <f aca="false">IF(C23="","",IF(C23="Sim","Baixe e registre no Log",IF(C23="Não","Peça pela LAI (aula 3.2) e anote em Prazos LAI",IF(C23="Em parte","Baixe o que está publicado e peça o resto pela LAI","Procure antes de pedir: pedir o que já está publicado é perder 20 dias"))))</f>
        <v/>
      </c>
      <c r="F23" s="27"/>
      <c r="G23" s="5"/>
    </row>
    <row r="24" customFormat="false" ht="15" hidden="false" customHeight="false" outlineLevel="0" collapsed="false">
      <c r="A24" s="5"/>
      <c r="B24" s="5"/>
      <c r="C24" s="14"/>
      <c r="D24" s="5"/>
      <c r="E24" s="19" t="str">
        <f aca="false">IF(C24="","",IF(C24="Sim","Baixe e registre no Log",IF(C24="Não","Peça pela LAI (aula 3.2) e anote em Prazos LAI",IF(C24="Em parte","Baixe o que está publicado e peça o resto pela LAI","Procure antes de pedir: pedir o que já está publicado é perder 20 dias"))))</f>
        <v/>
      </c>
      <c r="F24" s="27"/>
      <c r="G24" s="5"/>
    </row>
    <row r="25" customFormat="false" ht="15" hidden="false" customHeight="false" outlineLevel="0" collapsed="false">
      <c r="A25" s="5"/>
      <c r="B25" s="5"/>
      <c r="C25" s="14"/>
      <c r="D25" s="5"/>
      <c r="E25" s="19" t="str">
        <f aca="false">IF(C25="","",IF(C25="Sim","Baixe e registre no Log",IF(C25="Não","Peça pela LAI (aula 3.2) e anote em Prazos LAI",IF(C25="Em parte","Baixe o que está publicado e peça o resto pela LAI","Procure antes de pedir: pedir o que já está publicado é perder 20 dias"))))</f>
        <v/>
      </c>
      <c r="F25" s="27"/>
      <c r="G25" s="5"/>
    </row>
    <row r="26" customFormat="false" ht="15" hidden="false" customHeight="false" outlineLevel="0" collapsed="false">
      <c r="A26" s="5"/>
      <c r="B26" s="5"/>
      <c r="C26" s="14"/>
      <c r="D26" s="5"/>
      <c r="E26" s="19" t="str">
        <f aca="false">IF(C26="","",IF(C26="Sim","Baixe e registre no Log",IF(C26="Não","Peça pela LAI (aula 3.2) e anote em Prazos LAI",IF(C26="Em parte","Baixe o que está publicado e peça o resto pela LAI","Procure antes de pedir: pedir o que já está publicado é perder 20 dias"))))</f>
        <v/>
      </c>
      <c r="F26" s="27"/>
      <c r="G26" s="5"/>
    </row>
    <row r="27" customFormat="false" ht="15" hidden="false" customHeight="false" outlineLevel="0" collapsed="false">
      <c r="A27" s="5"/>
      <c r="B27" s="5"/>
      <c r="C27" s="14"/>
      <c r="D27" s="5"/>
      <c r="E27" s="19" t="str">
        <f aca="false">IF(C27="","",IF(C27="Sim","Baixe e registre no Log",IF(C27="Não","Peça pela LAI (aula 3.2) e anote em Prazos LAI",IF(C27="Em parte","Baixe o que está publicado e peça o resto pela LAI","Procure antes de pedir: pedir o que já está publicado é perder 20 dias"))))</f>
        <v/>
      </c>
      <c r="F27" s="27"/>
      <c r="G27" s="5"/>
    </row>
    <row r="28" customFormat="false" ht="15" hidden="false" customHeight="false" outlineLevel="0" collapsed="false">
      <c r="A28" s="5"/>
      <c r="B28" s="5"/>
      <c r="C28" s="14"/>
      <c r="D28" s="5"/>
      <c r="E28" s="19" t="str">
        <f aca="false">IF(C28="","",IF(C28="Sim","Baixe e registre no Log",IF(C28="Não","Peça pela LAI (aula 3.2) e anote em Prazos LAI",IF(C28="Em parte","Baixe o que está publicado e peça o resto pela LAI","Procure antes de pedir: pedir o que já está publicado é perder 20 dias"))))</f>
        <v/>
      </c>
      <c r="F28" s="27"/>
      <c r="G28" s="5"/>
    </row>
    <row r="29" customFormat="false" ht="15" hidden="false" customHeight="false" outlineLevel="0" collapsed="false">
      <c r="A29" s="5"/>
      <c r="B29" s="5"/>
      <c r="C29" s="14"/>
      <c r="D29" s="5"/>
      <c r="E29" s="19" t="str">
        <f aca="false">IF(C29="","",IF(C29="Sim","Baixe e registre no Log",IF(C29="Não","Peça pela LAI (aula 3.2) e anote em Prazos LAI",IF(C29="Em parte","Baixe o que está publicado e peça o resto pela LAI","Procure antes de pedir: pedir o que já está publicado é perder 20 dias"))))</f>
        <v/>
      </c>
      <c r="F29" s="27"/>
      <c r="G29" s="5"/>
    </row>
    <row r="30" customFormat="false" ht="15" hidden="false" customHeight="false" outlineLevel="0" collapsed="false">
      <c r="A30" s="5"/>
      <c r="B30" s="5"/>
      <c r="C30" s="14"/>
      <c r="D30" s="5"/>
      <c r="E30" s="19" t="str">
        <f aca="false">IF(C30="","",IF(C30="Sim","Baixe e registre no Log",IF(C30="Não","Peça pela LAI (aula 3.2) e anote em Prazos LAI",IF(C30="Em parte","Baixe o que está publicado e peça o resto pela LAI","Procure antes de pedir: pedir o que já está publicado é perder 20 dias"))))</f>
        <v/>
      </c>
      <c r="F30" s="27"/>
      <c r="G30" s="5"/>
    </row>
    <row r="31" customFormat="false" ht="15" hidden="false" customHeight="false" outlineLevel="0" collapsed="false">
      <c r="A31" s="5"/>
      <c r="B31" s="5"/>
      <c r="C31" s="14"/>
      <c r="D31" s="5"/>
      <c r="E31" s="19" t="str">
        <f aca="false">IF(C31="","",IF(C31="Sim","Baixe e registre no Log",IF(C31="Não","Peça pela LAI (aula 3.2) e anote em Prazos LAI",IF(C31="Em parte","Baixe o que está publicado e peça o resto pela LAI","Procure antes de pedir: pedir o que já está publicado é perder 20 dias"))))</f>
        <v/>
      </c>
      <c r="F31" s="27"/>
      <c r="G31" s="5"/>
    </row>
    <row r="32" customFormat="false" ht="15" hidden="false" customHeight="false" outlineLevel="0" collapsed="false">
      <c r="A32" s="5"/>
      <c r="B32" s="5"/>
      <c r="C32" s="14"/>
      <c r="D32" s="5"/>
      <c r="E32" s="19" t="str">
        <f aca="false">IF(C32="","",IF(C32="Sim","Baixe e registre no Log",IF(C32="Não","Peça pela LAI (aula 3.2) e anote em Prazos LAI",IF(C32="Em parte","Baixe o que está publicado e peça o resto pela LAI","Procure antes de pedir: pedir o que já está publicado é perder 20 dias"))))</f>
        <v/>
      </c>
      <c r="F32" s="27"/>
      <c r="G32" s="5"/>
    </row>
    <row r="33" customFormat="false" ht="15" hidden="false" customHeight="false" outlineLevel="0" collapsed="false">
      <c r="A33" s="5"/>
      <c r="B33" s="5"/>
      <c r="C33" s="14"/>
      <c r="D33" s="5"/>
      <c r="E33" s="19" t="str">
        <f aca="false">IF(C33="","",IF(C33="Sim","Baixe e registre no Log",IF(C33="Não","Peça pela LAI (aula 3.2) e anote em Prazos LAI",IF(C33="Em parte","Baixe o que está publicado e peça o resto pela LAI","Procure antes de pedir: pedir o que já está publicado é perder 20 dias"))))</f>
        <v/>
      </c>
      <c r="F33" s="27"/>
      <c r="G33" s="5"/>
    </row>
    <row r="34" customFormat="false" ht="15" hidden="false" customHeight="false" outlineLevel="0" collapsed="false">
      <c r="A34" s="5"/>
      <c r="B34" s="5"/>
      <c r="C34" s="14"/>
      <c r="D34" s="5"/>
      <c r="E34" s="19" t="str">
        <f aca="false">IF(C34="","",IF(C34="Sim","Baixe e registre no Log",IF(C34="Não","Peça pela LAI (aula 3.2) e anote em Prazos LAI",IF(C34="Em parte","Baixe o que está publicado e peça o resto pela LAI","Procure antes de pedir: pedir o que já está publicado é perder 20 dias"))))</f>
        <v/>
      </c>
      <c r="F34" s="27"/>
      <c r="G34" s="5"/>
    </row>
    <row r="35" customFormat="false" ht="15" hidden="false" customHeight="false" outlineLevel="0" collapsed="false">
      <c r="A35" s="5"/>
      <c r="B35" s="5"/>
      <c r="C35" s="14"/>
      <c r="D35" s="5"/>
      <c r="E35" s="19" t="str">
        <f aca="false">IF(C35="","",IF(C35="Sim","Baixe e registre no Log",IF(C35="Não","Peça pela LAI (aula 3.2) e anote em Prazos LAI",IF(C35="Em parte","Baixe o que está publicado e peça o resto pela LAI","Procure antes de pedir: pedir o que já está publicado é perder 20 dias"))))</f>
        <v/>
      </c>
      <c r="F35" s="27"/>
      <c r="G35" s="5"/>
    </row>
    <row r="36" customFormat="false" ht="15" hidden="false" customHeight="false" outlineLevel="0" collapsed="false">
      <c r="A36" s="5"/>
      <c r="B36" s="5"/>
      <c r="C36" s="14"/>
      <c r="D36" s="5"/>
      <c r="E36" s="19" t="str">
        <f aca="false">IF(C36="","",IF(C36="Sim","Baixe e registre no Log",IF(C36="Não","Peça pela LAI (aula 3.2) e anote em Prazos LAI",IF(C36="Em parte","Baixe o que está publicado e peça o resto pela LAI","Procure antes de pedir: pedir o que já está publicado é perder 20 dias"))))</f>
        <v/>
      </c>
      <c r="F36" s="27"/>
      <c r="G36" s="5"/>
    </row>
    <row r="37" customFormat="false" ht="15" hidden="false" customHeight="false" outlineLevel="0" collapsed="false">
      <c r="A37" s="5"/>
      <c r="B37" s="5"/>
      <c r="C37" s="14"/>
      <c r="D37" s="5"/>
      <c r="E37" s="19" t="str">
        <f aca="false">IF(C37="","",IF(C37="Sim","Baixe e registre no Log",IF(C37="Não","Peça pela LAI (aula 3.2) e anote em Prazos LAI",IF(C37="Em parte","Baixe o que está publicado e peça o resto pela LAI","Procure antes de pedir: pedir o que já está publicado é perder 20 dias"))))</f>
        <v/>
      </c>
      <c r="F37" s="27"/>
      <c r="G37" s="5"/>
    </row>
    <row r="38" customFormat="false" ht="15" hidden="false" customHeight="false" outlineLevel="0" collapsed="false">
      <c r="A38" s="5"/>
      <c r="B38" s="5"/>
      <c r="C38" s="14"/>
      <c r="D38" s="5"/>
      <c r="E38" s="19" t="str">
        <f aca="false">IF(C38="","",IF(C38="Sim","Baixe e registre no Log",IF(C38="Não","Peça pela LAI (aula 3.2) e anote em Prazos LAI",IF(C38="Em parte","Baixe o que está publicado e peça o resto pela LAI","Procure antes de pedir: pedir o que já está publicado é perder 20 dias"))))</f>
        <v/>
      </c>
      <c r="F38" s="27"/>
      <c r="G38" s="5"/>
    </row>
    <row r="39" customFormat="false" ht="15" hidden="false" customHeight="false" outlineLevel="0" collapsed="false">
      <c r="A39" s="5"/>
      <c r="B39" s="5"/>
      <c r="C39" s="14"/>
      <c r="D39" s="5"/>
      <c r="E39" s="19" t="str">
        <f aca="false">IF(C39="","",IF(C39="Sim","Baixe e registre no Log",IF(C39="Não","Peça pela LAI (aula 3.2) e anote em Prazos LAI",IF(C39="Em parte","Baixe o que está publicado e peça o resto pela LAI","Procure antes de pedir: pedir o que já está publicado é perder 20 dias"))))</f>
        <v/>
      </c>
      <c r="F39" s="27"/>
      <c r="G39" s="5"/>
    </row>
    <row r="40" customFormat="false" ht="15" hidden="false" customHeight="false" outlineLevel="0" collapsed="false">
      <c r="A40" s="5"/>
      <c r="B40" s="5"/>
      <c r="C40" s="14"/>
      <c r="D40" s="5"/>
      <c r="E40" s="19" t="str">
        <f aca="false">IF(C40="","",IF(C40="Sim","Baixe e registre no Log",IF(C40="Não","Peça pela LAI (aula 3.2) e anote em Prazos LAI",IF(C40="Em parte","Baixe o que está publicado e peça o resto pela LAI","Procure antes de pedir: pedir o que já está publicado é perder 20 dias"))))</f>
        <v/>
      </c>
      <c r="F40" s="27"/>
      <c r="G40" s="5"/>
    </row>
    <row r="41" customFormat="false" ht="15" hidden="false" customHeight="false" outlineLevel="0" collapsed="false">
      <c r="A41" s="5"/>
      <c r="B41" s="5"/>
      <c r="C41" s="14"/>
      <c r="D41" s="5"/>
      <c r="E41" s="19" t="str">
        <f aca="false">IF(C41="","",IF(C41="Sim","Baixe e registre no Log",IF(C41="Não","Peça pela LAI (aula 3.2) e anote em Prazos LAI",IF(C41="Em parte","Baixe o que está publicado e peça o resto pela LAI","Procure antes de pedir: pedir o que já está publicado é perder 20 dias"))))</f>
        <v/>
      </c>
      <c r="F41" s="27"/>
      <c r="G41" s="5"/>
    </row>
    <row r="42" customFormat="false" ht="15" hidden="false" customHeight="false" outlineLevel="0" collapsed="false">
      <c r="A42" s="5"/>
      <c r="B42" s="5"/>
      <c r="C42" s="14"/>
      <c r="D42" s="5"/>
      <c r="E42" s="19" t="str">
        <f aca="false">IF(C42="","",IF(C42="Sim","Baixe e registre no Log",IF(C42="Não","Peça pela LAI (aula 3.2) e anote em Prazos LAI",IF(C42="Em parte","Baixe o que está publicado e peça o resto pela LAI","Procure antes de pedir: pedir o que já está publicado é perder 20 dias"))))</f>
        <v/>
      </c>
      <c r="F42" s="27"/>
      <c r="G42" s="5"/>
    </row>
    <row r="43" customFormat="false" ht="15" hidden="false" customHeight="false" outlineLevel="0" collapsed="false">
      <c r="A43" s="5"/>
      <c r="B43" s="5"/>
      <c r="C43" s="14"/>
      <c r="D43" s="5"/>
      <c r="E43" s="19" t="str">
        <f aca="false">IF(C43="","",IF(C43="Sim","Baixe e registre no Log",IF(C43="Não","Peça pela LAI (aula 3.2) e anote em Prazos LAI",IF(C43="Em parte","Baixe o que está publicado e peça o resto pela LAI","Procure antes de pedir: pedir o que já está publicado é perder 20 dias"))))</f>
        <v/>
      </c>
      <c r="F43" s="27"/>
      <c r="G43" s="5"/>
    </row>
    <row r="44" customFormat="false" ht="15" hidden="false" customHeight="false" outlineLevel="0" collapsed="false">
      <c r="A44" s="5"/>
      <c r="B44" s="5"/>
      <c r="C44" s="14"/>
      <c r="D44" s="5"/>
      <c r="E44" s="19" t="str">
        <f aca="false">IF(C44="","",IF(C44="Sim","Baixe e registre no Log",IF(C44="Não","Peça pela LAI (aula 3.2) e anote em Prazos LAI",IF(C44="Em parte","Baixe o que está publicado e peça o resto pela LAI","Procure antes de pedir: pedir o que já está publicado é perder 20 dias"))))</f>
        <v/>
      </c>
      <c r="F44" s="27"/>
      <c r="G44" s="5"/>
    </row>
    <row r="45" customFormat="false" ht="15" hidden="false" customHeight="false" outlineLevel="0" collapsed="false">
      <c r="A45" s="5"/>
      <c r="B45" s="5"/>
      <c r="C45" s="14"/>
      <c r="D45" s="5"/>
      <c r="E45" s="19" t="str">
        <f aca="false">IF(C45="","",IF(C45="Sim","Baixe e registre no Log",IF(C45="Não","Peça pela LAI (aula 3.2) e anote em Prazos LAI",IF(C45="Em parte","Baixe o que está publicado e peça o resto pela LAI","Procure antes de pedir: pedir o que já está publicado é perder 20 dias"))))</f>
        <v/>
      </c>
      <c r="F45" s="27"/>
      <c r="G45" s="5"/>
    </row>
    <row r="46" customFormat="false" ht="15" hidden="false" customHeight="false" outlineLevel="0" collapsed="false">
      <c r="A46" s="5"/>
      <c r="B46" s="5"/>
      <c r="C46" s="14"/>
      <c r="D46" s="5"/>
      <c r="E46" s="19" t="str">
        <f aca="false">IF(C46="","",IF(C46="Sim","Baixe e registre no Log",IF(C46="Não","Peça pela LAI (aula 3.2) e anote em Prazos LAI",IF(C46="Em parte","Baixe o que está publicado e peça o resto pela LAI","Procure antes de pedir: pedir o que já está publicado é perder 20 dias"))))</f>
        <v/>
      </c>
      <c r="F46" s="27"/>
      <c r="G46" s="5"/>
    </row>
    <row r="47" customFormat="false" ht="15" hidden="false" customHeight="false" outlineLevel="0" collapsed="false">
      <c r="A47" s="5"/>
      <c r="B47" s="5"/>
      <c r="C47" s="14"/>
      <c r="D47" s="5"/>
      <c r="E47" s="19" t="str">
        <f aca="false">IF(C47="","",IF(C47="Sim","Baixe e registre no Log",IF(C47="Não","Peça pela LAI (aula 3.2) e anote em Prazos LAI",IF(C47="Em parte","Baixe o que está publicado e peça o resto pela LAI","Procure antes de pedir: pedir o que já está publicado é perder 20 dias"))))</f>
        <v/>
      </c>
      <c r="F47" s="27"/>
      <c r="G47" s="5"/>
    </row>
    <row r="48" customFormat="false" ht="15" hidden="false" customHeight="false" outlineLevel="0" collapsed="false">
      <c r="A48" s="5"/>
      <c r="B48" s="5"/>
      <c r="C48" s="14"/>
      <c r="D48" s="5"/>
      <c r="E48" s="19" t="str">
        <f aca="false">IF(C48="","",IF(C48="Sim","Baixe e registre no Log",IF(C48="Não","Peça pela LAI (aula 3.2) e anote em Prazos LAI",IF(C48="Em parte","Baixe o que está publicado e peça o resto pela LAI","Procure antes de pedir: pedir o que já está publicado é perder 20 dias"))))</f>
        <v/>
      </c>
      <c r="F48" s="27"/>
      <c r="G48" s="5"/>
    </row>
    <row r="49" customFormat="false" ht="15" hidden="false" customHeight="false" outlineLevel="0" collapsed="false">
      <c r="A49" s="5"/>
      <c r="B49" s="5"/>
      <c r="C49" s="14"/>
      <c r="D49" s="5"/>
      <c r="E49" s="19" t="str">
        <f aca="false">IF(C49="","",IF(C49="Sim","Baixe e registre no Log",IF(C49="Não","Peça pela LAI (aula 3.2) e anote em Prazos LAI",IF(C49="Em parte","Baixe o que está publicado e peça o resto pela LAI","Procure antes de pedir: pedir o que já está publicado é perder 20 dias"))))</f>
        <v/>
      </c>
      <c r="F49" s="27"/>
      <c r="G49" s="5"/>
    </row>
    <row r="50" customFormat="false" ht="15" hidden="false" customHeight="false" outlineLevel="0" collapsed="false">
      <c r="A50" s="5"/>
      <c r="B50" s="5"/>
      <c r="C50" s="14"/>
      <c r="D50" s="5"/>
      <c r="E50" s="19" t="str">
        <f aca="false">IF(C50="","",IF(C50="Sim","Baixe e registre no Log",IF(C50="Não","Peça pela LAI (aula 3.2) e anote em Prazos LAI",IF(C50="Em parte","Baixe o que está publicado e peça o resto pela LAI","Procure antes de pedir: pedir o que já está publicado é perder 20 dias"))))</f>
        <v/>
      </c>
      <c r="F50" s="27"/>
      <c r="G50" s="5"/>
    </row>
    <row r="51" customFormat="false" ht="15" hidden="false" customHeight="false" outlineLevel="0" collapsed="false">
      <c r="A51" s="5"/>
      <c r="B51" s="5"/>
      <c r="C51" s="14"/>
      <c r="D51" s="5"/>
      <c r="E51" s="19" t="str">
        <f aca="false">IF(C51="","",IF(C51="Sim","Baixe e registre no Log",IF(C51="Não","Peça pela LAI (aula 3.2) e anote em Prazos LAI",IF(C51="Em parte","Baixe o que está publicado e peça o resto pela LAI","Procure antes de pedir: pedir o que já está publicado é perder 20 dias"))))</f>
        <v/>
      </c>
      <c r="F51" s="27"/>
      <c r="G51" s="5"/>
    </row>
    <row r="52" customFormat="false" ht="15" hidden="false" customHeight="false" outlineLevel="0" collapsed="false">
      <c r="A52" s="5"/>
      <c r="B52" s="5"/>
      <c r="C52" s="14"/>
      <c r="D52" s="5"/>
      <c r="E52" s="19" t="str">
        <f aca="false">IF(C52="","",IF(C52="Sim","Baixe e registre no Log",IF(C52="Não","Peça pela LAI (aula 3.2) e anote em Prazos LAI",IF(C52="Em parte","Baixe o que está publicado e peça o resto pela LAI","Procure antes de pedir: pedir o que já está publicado é perder 20 dias"))))</f>
        <v/>
      </c>
      <c r="F52" s="27"/>
      <c r="G52" s="5"/>
    </row>
    <row r="53" customFormat="false" ht="15" hidden="false" customHeight="false" outlineLevel="0" collapsed="false">
      <c r="A53" s="5"/>
      <c r="B53" s="5"/>
      <c r="C53" s="14"/>
      <c r="D53" s="5"/>
      <c r="E53" s="19" t="str">
        <f aca="false">IF(C53="","",IF(C53="Sim","Baixe e registre no Log",IF(C53="Não","Peça pela LAI (aula 3.2) e anote em Prazos LAI",IF(C53="Em parte","Baixe o que está publicado e peça o resto pela LAI","Procure antes de pedir: pedir o que já está publicado é perder 20 dias"))))</f>
        <v/>
      </c>
      <c r="F53" s="27"/>
      <c r="G53" s="5"/>
    </row>
    <row r="54" customFormat="false" ht="15" hidden="false" customHeight="false" outlineLevel="0" collapsed="false">
      <c r="A54" s="5"/>
      <c r="B54" s="5"/>
      <c r="C54" s="14"/>
      <c r="D54" s="5"/>
      <c r="E54" s="19" t="str">
        <f aca="false">IF(C54="","",IF(C54="Sim","Baixe e registre no Log",IF(C54="Não","Peça pela LAI (aula 3.2) e anote em Prazos LAI",IF(C54="Em parte","Baixe o que está publicado e peça o resto pela LAI","Procure antes de pedir: pedir o que já está publicado é perder 20 dias"))))</f>
        <v/>
      </c>
      <c r="F54" s="27"/>
      <c r="G54" s="5"/>
    </row>
    <row r="55" customFormat="false" ht="15" hidden="false" customHeight="false" outlineLevel="0" collapsed="false">
      <c r="A55" s="5"/>
      <c r="B55" s="5"/>
      <c r="C55" s="14"/>
      <c r="D55" s="5"/>
      <c r="E55" s="19" t="str">
        <f aca="false">IF(C55="","",IF(C55="Sim","Baixe e registre no Log",IF(C55="Não","Peça pela LAI (aula 3.2) e anote em Prazos LAI",IF(C55="Em parte","Baixe o que está publicado e peça o resto pela LAI","Procure antes de pedir: pedir o que já está publicado é perder 20 dias"))))</f>
        <v/>
      </c>
      <c r="F55" s="27"/>
      <c r="G55" s="5"/>
    </row>
    <row r="56" customFormat="false" ht="15" hidden="false" customHeight="false" outlineLevel="0" collapsed="false">
      <c r="A56" s="5"/>
      <c r="B56" s="5"/>
      <c r="C56" s="14"/>
      <c r="D56" s="5"/>
      <c r="E56" s="19" t="str">
        <f aca="false">IF(C56="","",IF(C56="Sim","Baixe e registre no Log",IF(C56="Não","Peça pela LAI (aula 3.2) e anote em Prazos LAI",IF(C56="Em parte","Baixe o que está publicado e peça o resto pela LAI","Procure antes de pedir: pedir o que já está publicado é perder 20 dias"))))</f>
        <v/>
      </c>
      <c r="F56" s="27"/>
      <c r="G56" s="5"/>
    </row>
    <row r="57" customFormat="false" ht="15" hidden="false" customHeight="false" outlineLevel="0" collapsed="false">
      <c r="A57" s="5"/>
      <c r="B57" s="5"/>
      <c r="C57" s="14"/>
      <c r="D57" s="5"/>
      <c r="E57" s="19" t="str">
        <f aca="false">IF(C57="","",IF(C57="Sim","Baixe e registre no Log",IF(C57="Não","Peça pela LAI (aula 3.2) e anote em Prazos LAI",IF(C57="Em parte","Baixe o que está publicado e peça o resto pela LAI","Procure antes de pedir: pedir o que já está publicado é perder 20 dias"))))</f>
        <v/>
      </c>
      <c r="F57" s="27"/>
      <c r="G57" s="5"/>
    </row>
    <row r="58" customFormat="false" ht="15" hidden="false" customHeight="false" outlineLevel="0" collapsed="false">
      <c r="A58" s="5"/>
      <c r="B58" s="5"/>
      <c r="C58" s="14"/>
      <c r="D58" s="5"/>
      <c r="E58" s="19" t="str">
        <f aca="false">IF(C58="","",IF(C58="Sim","Baixe e registre no Log",IF(C58="Não","Peça pela LAI (aula 3.2) e anote em Prazos LAI",IF(C58="Em parte","Baixe o que está publicado e peça o resto pela LAI","Procure antes de pedir: pedir o que já está publicado é perder 20 dias"))))</f>
        <v/>
      </c>
      <c r="F58" s="27"/>
      <c r="G58" s="5"/>
    </row>
    <row r="59" customFormat="false" ht="15" hidden="false" customHeight="false" outlineLevel="0" collapsed="false">
      <c r="A59" s="5"/>
      <c r="B59" s="5"/>
      <c r="C59" s="14"/>
      <c r="D59" s="5"/>
      <c r="E59" s="19" t="str">
        <f aca="false">IF(C59="","",IF(C59="Sim","Baixe e registre no Log",IF(C59="Não","Peça pela LAI (aula 3.2) e anote em Prazos LAI",IF(C59="Em parte","Baixe o que está publicado e peça o resto pela LAI","Procure antes de pedir: pedir o que já está publicado é perder 20 dias"))))</f>
        <v/>
      </c>
      <c r="F59" s="27"/>
      <c r="G59" s="5"/>
    </row>
    <row r="60" customFormat="false" ht="15" hidden="false" customHeight="false" outlineLevel="0" collapsed="false">
      <c r="A60" s="5"/>
      <c r="B60" s="5"/>
      <c r="C60" s="14"/>
      <c r="D60" s="5"/>
      <c r="E60" s="19" t="str">
        <f aca="false">IF(C60="","",IF(C60="Sim","Baixe e registre no Log",IF(C60="Não","Peça pela LAI (aula 3.2) e anote em Prazos LAI",IF(C60="Em parte","Baixe o que está publicado e peça o resto pela LAI","Procure antes de pedir: pedir o que já está publicado é perder 20 dias"))))</f>
        <v/>
      </c>
      <c r="F60" s="27"/>
      <c r="G60" s="5"/>
    </row>
    <row r="61" customFormat="false" ht="15" hidden="false" customHeight="false" outlineLevel="0" collapsed="false">
      <c r="A61" s="5"/>
      <c r="B61" s="5"/>
      <c r="C61" s="14"/>
      <c r="D61" s="5"/>
      <c r="E61" s="19" t="str">
        <f aca="false">IF(C61="","",IF(C61="Sim","Baixe e registre no Log",IF(C61="Não","Peça pela LAI (aula 3.2) e anote em Prazos LAI",IF(C61="Em parte","Baixe o que está publicado e peça o resto pela LAI","Procure antes de pedir: pedir o que já está publicado é perder 20 dias"))))</f>
        <v/>
      </c>
      <c r="F61" s="27"/>
      <c r="G61" s="5"/>
    </row>
    <row r="62" customFormat="false" ht="15" hidden="false" customHeight="false" outlineLevel="0" collapsed="false">
      <c r="A62" s="5"/>
      <c r="B62" s="5"/>
      <c r="C62" s="14"/>
      <c r="D62" s="5"/>
      <c r="E62" s="19" t="str">
        <f aca="false">IF(C62="","",IF(C62="Sim","Baixe e registre no Log",IF(C62="Não","Peça pela LAI (aula 3.2) e anote em Prazos LAI",IF(C62="Em parte","Baixe o que está publicado e peça o resto pela LAI","Procure antes de pedir: pedir o que já está publicado é perder 20 dias"))))</f>
        <v/>
      </c>
      <c r="F62" s="27"/>
      <c r="G62" s="5"/>
    </row>
    <row r="63" customFormat="false" ht="15" hidden="false" customHeight="false" outlineLevel="0" collapsed="false">
      <c r="A63" s="5"/>
      <c r="B63" s="5"/>
      <c r="C63" s="14"/>
      <c r="D63" s="5"/>
      <c r="E63" s="19" t="str">
        <f aca="false">IF(C63="","",IF(C63="Sim","Baixe e registre no Log",IF(C63="Não","Peça pela LAI (aula 3.2) e anote em Prazos LAI",IF(C63="Em parte","Baixe o que está publicado e peça o resto pela LAI","Procure antes de pedir: pedir o que já está publicado é perder 20 dias"))))</f>
        <v/>
      </c>
      <c r="F63" s="27"/>
      <c r="G63" s="5"/>
    </row>
    <row r="64" customFormat="false" ht="15" hidden="false" customHeight="false" outlineLevel="0" collapsed="false">
      <c r="A64" s="5"/>
      <c r="B64" s="5"/>
      <c r="C64" s="14"/>
      <c r="D64" s="5"/>
      <c r="E64" s="19" t="str">
        <f aca="false">IF(C64="","",IF(C64="Sim","Baixe e registre no Log",IF(C64="Não","Peça pela LAI (aula 3.2) e anote em Prazos LAI",IF(C64="Em parte","Baixe o que está publicado e peça o resto pela LAI","Procure antes de pedir: pedir o que já está publicado é perder 20 dias"))))</f>
        <v/>
      </c>
      <c r="F64" s="27"/>
      <c r="G64" s="5"/>
    </row>
    <row r="65" customFormat="false" ht="15" hidden="false" customHeight="false" outlineLevel="0" collapsed="false">
      <c r="A65" s="5"/>
      <c r="B65" s="5"/>
      <c r="C65" s="14"/>
      <c r="D65" s="5"/>
      <c r="E65" s="19" t="str">
        <f aca="false">IF(C65="","",IF(C65="Sim","Baixe e registre no Log",IF(C65="Não","Peça pela LAI (aula 3.2) e anote em Prazos LAI",IF(C65="Em parte","Baixe o que está publicado e peça o resto pela LAI","Procure antes de pedir: pedir o que já está publicado é perder 20 dias"))))</f>
        <v/>
      </c>
      <c r="F65" s="27"/>
      <c r="G65" s="5"/>
    </row>
    <row r="66" customFormat="false" ht="15" hidden="false" customHeight="false" outlineLevel="0" collapsed="false">
      <c r="A66" s="5"/>
      <c r="B66" s="5"/>
      <c r="C66" s="14"/>
      <c r="D66" s="5"/>
      <c r="E66" s="19" t="str">
        <f aca="false">IF(C66="","",IF(C66="Sim","Baixe e registre no Log",IF(C66="Não","Peça pela LAI (aula 3.2) e anote em Prazos LAI",IF(C66="Em parte","Baixe o que está publicado e peça o resto pela LAI","Procure antes de pedir: pedir o que já está publicado é perder 20 dias"))))</f>
        <v/>
      </c>
      <c r="F66" s="27"/>
      <c r="G66" s="5"/>
    </row>
    <row r="67" customFormat="false" ht="15" hidden="false" customHeight="false" outlineLevel="0" collapsed="false">
      <c r="A67" s="5"/>
      <c r="B67" s="5"/>
      <c r="C67" s="14"/>
      <c r="D67" s="5"/>
      <c r="E67" s="19" t="str">
        <f aca="false">IF(C67="","",IF(C67="Sim","Baixe e registre no Log",IF(C67="Não","Peça pela LAI (aula 3.2) e anote em Prazos LAI",IF(C67="Em parte","Baixe o que está publicado e peça o resto pela LAI","Procure antes de pedir: pedir o que já está publicado é perder 20 dias"))))</f>
        <v/>
      </c>
      <c r="F67" s="27"/>
      <c r="G67" s="5"/>
    </row>
    <row r="68" customFormat="false" ht="15" hidden="false" customHeight="false" outlineLevel="0" collapsed="false">
      <c r="A68" s="5"/>
      <c r="B68" s="5"/>
      <c r="C68" s="14"/>
      <c r="D68" s="5"/>
      <c r="E68" s="19" t="str">
        <f aca="false">IF(C68="","",IF(C68="Sim","Baixe e registre no Log",IF(C68="Não","Peça pela LAI (aula 3.2) e anote em Prazos LAI",IF(C68="Em parte","Baixe o que está publicado e peça o resto pela LAI","Procure antes de pedir: pedir o que já está publicado é perder 20 dias"))))</f>
        <v/>
      </c>
      <c r="F68" s="27"/>
      <c r="G68" s="5"/>
    </row>
    <row r="69" customFormat="false" ht="15" hidden="false" customHeight="false" outlineLevel="0" collapsed="false">
      <c r="A69" s="5"/>
      <c r="B69" s="5"/>
      <c r="C69" s="14"/>
      <c r="D69" s="5"/>
      <c r="E69" s="19" t="str">
        <f aca="false">IF(C69="","",IF(C69="Sim","Baixe e registre no Log",IF(C69="Não","Peça pela LAI (aula 3.2) e anote em Prazos LAI",IF(C69="Em parte","Baixe o que está publicado e peça o resto pela LAI","Procure antes de pedir: pedir o que já está publicado é perder 20 dias"))))</f>
        <v/>
      </c>
      <c r="F69" s="27"/>
      <c r="G69" s="5"/>
    </row>
    <row r="70" customFormat="false" ht="15" hidden="false" customHeight="false" outlineLevel="0" collapsed="false">
      <c r="A70" s="5"/>
      <c r="B70" s="5"/>
      <c r="C70" s="14"/>
      <c r="D70" s="5"/>
      <c r="E70" s="19" t="str">
        <f aca="false">IF(C70="","",IF(C70="Sim","Baixe e registre no Log",IF(C70="Não","Peça pela LAI (aula 3.2) e anote em Prazos LAI",IF(C70="Em parte","Baixe o que está publicado e peça o resto pela LAI","Procure antes de pedir: pedir o que já está publicado é perder 20 dias"))))</f>
        <v/>
      </c>
      <c r="F70" s="27"/>
      <c r="G70" s="5"/>
    </row>
    <row r="71" customFormat="false" ht="15" hidden="false" customHeight="false" outlineLevel="0" collapsed="false">
      <c r="A71" s="5"/>
      <c r="B71" s="5"/>
      <c r="C71" s="14"/>
      <c r="D71" s="5"/>
      <c r="E71" s="19" t="str">
        <f aca="false">IF(C71="","",IF(C71="Sim","Baixe e registre no Log",IF(C71="Não","Peça pela LAI (aula 3.2) e anote em Prazos LAI",IF(C71="Em parte","Baixe o que está publicado e peça o resto pela LAI","Procure antes de pedir: pedir o que já está publicado é perder 20 dias"))))</f>
        <v/>
      </c>
      <c r="F71" s="27"/>
      <c r="G71" s="5"/>
    </row>
    <row r="72" customFormat="false" ht="15" hidden="false" customHeight="false" outlineLevel="0" collapsed="false">
      <c r="A72" s="5"/>
      <c r="B72" s="5"/>
      <c r="C72" s="14"/>
      <c r="D72" s="5"/>
      <c r="E72" s="19" t="str">
        <f aca="false">IF(C72="","",IF(C72="Sim","Baixe e registre no Log",IF(C72="Não","Peça pela LAI (aula 3.2) e anote em Prazos LAI",IF(C72="Em parte","Baixe o que está publicado e peça o resto pela LAI","Procure antes de pedir: pedir o que já está publicado é perder 20 dias"))))</f>
        <v/>
      </c>
      <c r="F72" s="27"/>
      <c r="G72" s="5"/>
    </row>
    <row r="73" customFormat="false" ht="15" hidden="false" customHeight="false" outlineLevel="0" collapsed="false">
      <c r="A73" s="5"/>
      <c r="B73" s="5"/>
      <c r="C73" s="14"/>
      <c r="D73" s="5"/>
      <c r="E73" s="19" t="str">
        <f aca="false">IF(C73="","",IF(C73="Sim","Baixe e registre no Log",IF(C73="Não","Peça pela LAI (aula 3.2) e anote em Prazos LAI",IF(C73="Em parte","Baixe o que está publicado e peça o resto pela LAI","Procure antes de pedir: pedir o que já está publicado é perder 20 dias"))))</f>
        <v/>
      </c>
      <c r="F73" s="27"/>
      <c r="G73" s="5"/>
    </row>
    <row r="74" customFormat="false" ht="15" hidden="false" customHeight="false" outlineLevel="0" collapsed="false">
      <c r="A74" s="5"/>
      <c r="B74" s="5"/>
      <c r="C74" s="14"/>
      <c r="D74" s="5"/>
      <c r="E74" s="19" t="str">
        <f aca="false">IF(C74="","",IF(C74="Sim","Baixe e registre no Log",IF(C74="Não","Peça pela LAI (aula 3.2) e anote em Prazos LAI",IF(C74="Em parte","Baixe o que está publicado e peça o resto pela LAI","Procure antes de pedir: pedir o que já está publicado é perder 20 dias"))))</f>
        <v/>
      </c>
      <c r="F74" s="27"/>
      <c r="G74" s="5"/>
    </row>
    <row r="75" customFormat="false" ht="15" hidden="false" customHeight="false" outlineLevel="0" collapsed="false">
      <c r="A75" s="5"/>
      <c r="B75" s="5"/>
      <c r="C75" s="14"/>
      <c r="D75" s="5"/>
      <c r="E75" s="19" t="str">
        <f aca="false">IF(C75="","",IF(C75="Sim","Baixe e registre no Log",IF(C75="Não","Peça pela LAI (aula 3.2) e anote em Prazos LAI",IF(C75="Em parte","Baixe o que está publicado e peça o resto pela LAI","Procure antes de pedir: pedir o que já está publicado é perder 20 dias"))))</f>
        <v/>
      </c>
      <c r="F75" s="27"/>
      <c r="G75" s="5"/>
    </row>
    <row r="76" customFormat="false" ht="15" hidden="false" customHeight="false" outlineLevel="0" collapsed="false">
      <c r="A76" s="5"/>
      <c r="B76" s="5"/>
      <c r="C76" s="14"/>
      <c r="D76" s="5"/>
      <c r="E76" s="19" t="str">
        <f aca="false">IF(C76="","",IF(C76="Sim","Baixe e registre no Log",IF(C76="Não","Peça pela LAI (aula 3.2) e anote em Prazos LAI",IF(C76="Em parte","Baixe o que está publicado e peça o resto pela LAI","Procure antes de pedir: pedir o que já está publicado é perder 20 dias"))))</f>
        <v/>
      </c>
      <c r="F76" s="27"/>
      <c r="G76" s="5"/>
    </row>
    <row r="77" customFormat="false" ht="15" hidden="false" customHeight="false" outlineLevel="0" collapsed="false">
      <c r="A77" s="5"/>
      <c r="B77" s="5"/>
      <c r="C77" s="14"/>
      <c r="D77" s="5"/>
      <c r="E77" s="19" t="str">
        <f aca="false">IF(C77="","",IF(C77="Sim","Baixe e registre no Log",IF(C77="Não","Peça pela LAI (aula 3.2) e anote em Prazos LAI",IF(C77="Em parte","Baixe o que está publicado e peça o resto pela LAI","Procure antes de pedir: pedir o que já está publicado é perder 20 dias"))))</f>
        <v/>
      </c>
      <c r="F77" s="27"/>
      <c r="G77" s="5"/>
    </row>
    <row r="78" customFormat="false" ht="15" hidden="false" customHeight="false" outlineLevel="0" collapsed="false">
      <c r="A78" s="5"/>
      <c r="B78" s="5"/>
      <c r="C78" s="14"/>
      <c r="D78" s="5"/>
      <c r="E78" s="19" t="str">
        <f aca="false">IF(C78="","",IF(C78="Sim","Baixe e registre no Log",IF(C78="Não","Peça pela LAI (aula 3.2) e anote em Prazos LAI",IF(C78="Em parte","Baixe o que está publicado e peça o resto pela LAI","Procure antes de pedir: pedir o que já está publicado é perder 20 dias"))))</f>
        <v/>
      </c>
      <c r="F78" s="27"/>
      <c r="G78" s="5"/>
    </row>
    <row r="79" customFormat="false" ht="15" hidden="false" customHeight="false" outlineLevel="0" collapsed="false">
      <c r="A79" s="5"/>
      <c r="B79" s="5"/>
      <c r="C79" s="14"/>
      <c r="D79" s="5"/>
      <c r="E79" s="19" t="str">
        <f aca="false">IF(C79="","",IF(C79="Sim","Baixe e registre no Log",IF(C79="Não","Peça pela LAI (aula 3.2) e anote em Prazos LAI",IF(C79="Em parte","Baixe o que está publicado e peça o resto pela LAI","Procure antes de pedir: pedir o que já está publicado é perder 20 dias"))))</f>
        <v/>
      </c>
      <c r="F79" s="27"/>
      <c r="G79" s="5"/>
    </row>
    <row r="80" customFormat="false" ht="15" hidden="false" customHeight="false" outlineLevel="0" collapsed="false">
      <c r="A80" s="5"/>
      <c r="B80" s="5"/>
      <c r="C80" s="14"/>
      <c r="D80" s="5"/>
      <c r="E80" s="19" t="str">
        <f aca="false">IF(C80="","",IF(C80="Sim","Baixe e registre no Log",IF(C80="Não","Peça pela LAI (aula 3.2) e anote em Prazos LAI",IF(C80="Em parte","Baixe o que está publicado e peça o resto pela LAI","Procure antes de pedir: pedir o que já está publicado é perder 20 dias"))))</f>
        <v/>
      </c>
      <c r="F80" s="27"/>
      <c r="G80" s="5"/>
    </row>
    <row r="81" customFormat="false" ht="15" hidden="false" customHeight="false" outlineLevel="0" collapsed="false">
      <c r="A81" s="5"/>
      <c r="B81" s="5"/>
      <c r="C81" s="14"/>
      <c r="D81" s="5"/>
      <c r="E81" s="19" t="str">
        <f aca="false">IF(C81="","",IF(C81="Sim","Baixe e registre no Log",IF(C81="Não","Peça pela LAI (aula 3.2) e anote em Prazos LAI",IF(C81="Em parte","Baixe o que está publicado e peça o resto pela LAI","Procure antes de pedir: pedir o que já está publicado é perder 20 dias"))))</f>
        <v/>
      </c>
      <c r="F81" s="27"/>
      <c r="G81" s="5"/>
    </row>
    <row r="82" customFormat="false" ht="15" hidden="false" customHeight="false" outlineLevel="0" collapsed="false">
      <c r="A82" s="5"/>
      <c r="B82" s="5"/>
      <c r="C82" s="14"/>
      <c r="D82" s="5"/>
      <c r="E82" s="19" t="str">
        <f aca="false">IF(C82="","",IF(C82="Sim","Baixe e registre no Log",IF(C82="Não","Peça pela LAI (aula 3.2) e anote em Prazos LAI",IF(C82="Em parte","Baixe o que está publicado e peça o resto pela LAI","Procure antes de pedir: pedir o que já está publicado é perder 20 dias"))))</f>
        <v/>
      </c>
      <c r="F82" s="27"/>
      <c r="G82" s="5"/>
    </row>
    <row r="83" customFormat="false" ht="15" hidden="false" customHeight="false" outlineLevel="0" collapsed="false">
      <c r="A83" s="5"/>
      <c r="B83" s="5"/>
      <c r="C83" s="14"/>
      <c r="D83" s="5"/>
      <c r="E83" s="19" t="str">
        <f aca="false">IF(C83="","",IF(C83="Sim","Baixe e registre no Log",IF(C83="Não","Peça pela LAI (aula 3.2) e anote em Prazos LAI",IF(C83="Em parte","Baixe o que está publicado e peça o resto pela LAI","Procure antes de pedir: pedir o que já está publicado é perder 20 dias"))))</f>
        <v/>
      </c>
      <c r="F83" s="27"/>
      <c r="G83" s="5"/>
    </row>
    <row r="84" customFormat="false" ht="15" hidden="false" customHeight="false" outlineLevel="0" collapsed="false">
      <c r="A84" s="5"/>
      <c r="B84" s="5"/>
      <c r="C84" s="14"/>
      <c r="D84" s="5"/>
      <c r="E84" s="19" t="str">
        <f aca="false">IF(C84="","",IF(C84="Sim","Baixe e registre no Log",IF(C84="Não","Peça pela LAI (aula 3.2) e anote em Prazos LAI",IF(C84="Em parte","Baixe o que está publicado e peça o resto pela LAI","Procure antes de pedir: pedir o que já está publicado é perder 20 dias"))))</f>
        <v/>
      </c>
      <c r="F84" s="27"/>
      <c r="G84" s="5"/>
    </row>
    <row r="85" customFormat="false" ht="15" hidden="false" customHeight="false" outlineLevel="0" collapsed="false">
      <c r="A85" s="5"/>
      <c r="B85" s="5"/>
      <c r="C85" s="14"/>
      <c r="D85" s="5"/>
      <c r="E85" s="19" t="str">
        <f aca="false">IF(C85="","",IF(C85="Sim","Baixe e registre no Log",IF(C85="Não","Peça pela LAI (aula 3.2) e anote em Prazos LAI",IF(C85="Em parte","Baixe o que está publicado e peça o resto pela LAI","Procure antes de pedir: pedir o que já está publicado é perder 20 dias"))))</f>
        <v/>
      </c>
      <c r="F85" s="27"/>
      <c r="G85" s="5"/>
    </row>
    <row r="86" customFormat="false" ht="15" hidden="false" customHeight="false" outlineLevel="0" collapsed="false">
      <c r="A86" s="5"/>
      <c r="B86" s="5"/>
      <c r="C86" s="14"/>
      <c r="D86" s="5"/>
      <c r="E86" s="19" t="str">
        <f aca="false">IF(C86="","",IF(C86="Sim","Baixe e registre no Log",IF(C86="Não","Peça pela LAI (aula 3.2) e anote em Prazos LAI",IF(C86="Em parte","Baixe o que está publicado e peça o resto pela LAI","Procure antes de pedir: pedir o que já está publicado é perder 20 dias"))))</f>
        <v/>
      </c>
      <c r="F86" s="27"/>
      <c r="G86" s="5"/>
    </row>
    <row r="87" customFormat="false" ht="15" hidden="false" customHeight="false" outlineLevel="0" collapsed="false">
      <c r="A87" s="5"/>
      <c r="B87" s="5"/>
      <c r="C87" s="14"/>
      <c r="D87" s="5"/>
      <c r="E87" s="19" t="str">
        <f aca="false">IF(C87="","",IF(C87="Sim","Baixe e registre no Log",IF(C87="Não","Peça pela LAI (aula 3.2) e anote em Prazos LAI",IF(C87="Em parte","Baixe o que está publicado e peça o resto pela LAI","Procure antes de pedir: pedir o que já está publicado é perder 20 dias"))))</f>
        <v/>
      </c>
      <c r="F87" s="27"/>
      <c r="G87" s="5"/>
    </row>
    <row r="88" customFormat="false" ht="15" hidden="false" customHeight="false" outlineLevel="0" collapsed="false">
      <c r="A88" s="5"/>
      <c r="B88" s="5"/>
      <c r="C88" s="14"/>
      <c r="D88" s="5"/>
      <c r="E88" s="19" t="str">
        <f aca="false">IF(C88="","",IF(C88="Sim","Baixe e registre no Log",IF(C88="Não","Peça pela LAI (aula 3.2) e anote em Prazos LAI",IF(C88="Em parte","Baixe o que está publicado e peça o resto pela LAI","Procure antes de pedir: pedir o que já está publicado é perder 20 dias"))))</f>
        <v/>
      </c>
      <c r="F88" s="27"/>
      <c r="G88" s="5"/>
    </row>
    <row r="89" customFormat="false" ht="15" hidden="false" customHeight="false" outlineLevel="0" collapsed="false">
      <c r="A89" s="5"/>
      <c r="B89" s="5"/>
      <c r="C89" s="14"/>
      <c r="D89" s="5"/>
      <c r="E89" s="19" t="str">
        <f aca="false">IF(C89="","",IF(C89="Sim","Baixe e registre no Log",IF(C89="Não","Peça pela LAI (aula 3.2) e anote em Prazos LAI",IF(C89="Em parte","Baixe o que está publicado e peça o resto pela LAI","Procure antes de pedir: pedir o que já está publicado é perder 20 dias"))))</f>
        <v/>
      </c>
      <c r="F89" s="27"/>
      <c r="G89" s="5"/>
    </row>
    <row r="90" customFormat="false" ht="15" hidden="false" customHeight="false" outlineLevel="0" collapsed="false">
      <c r="A90" s="5"/>
      <c r="B90" s="5"/>
      <c r="C90" s="14"/>
      <c r="D90" s="5"/>
      <c r="E90" s="19" t="str">
        <f aca="false">IF(C90="","",IF(C90="Sim","Baixe e registre no Log",IF(C90="Não","Peça pela LAI (aula 3.2) e anote em Prazos LAI",IF(C90="Em parte","Baixe o que está publicado e peça o resto pela LAI","Procure antes de pedir: pedir o que já está publicado é perder 20 dias"))))</f>
        <v/>
      </c>
      <c r="F90" s="27"/>
      <c r="G90" s="5"/>
    </row>
    <row r="91" customFormat="false" ht="15" hidden="false" customHeight="false" outlineLevel="0" collapsed="false">
      <c r="A91" s="5"/>
      <c r="B91" s="5"/>
      <c r="C91" s="14"/>
      <c r="D91" s="5"/>
      <c r="E91" s="19" t="str">
        <f aca="false">IF(C91="","",IF(C91="Sim","Baixe e registre no Log",IF(C91="Não","Peça pela LAI (aula 3.2) e anote em Prazos LAI",IF(C91="Em parte","Baixe o que está publicado e peça o resto pela LAI","Procure antes de pedir: pedir o que já está publicado é perder 20 dias"))))</f>
        <v/>
      </c>
      <c r="F91" s="27"/>
      <c r="G91" s="5"/>
    </row>
    <row r="92" customFormat="false" ht="15" hidden="false" customHeight="false" outlineLevel="0" collapsed="false">
      <c r="A92" s="5"/>
      <c r="B92" s="5"/>
      <c r="C92" s="14"/>
      <c r="D92" s="5"/>
      <c r="E92" s="19" t="str">
        <f aca="false">IF(C92="","",IF(C92="Sim","Baixe e registre no Log",IF(C92="Não","Peça pela LAI (aula 3.2) e anote em Prazos LAI",IF(C92="Em parte","Baixe o que está publicado e peça o resto pela LAI","Procure antes de pedir: pedir o que já está publicado é perder 20 dias"))))</f>
        <v/>
      </c>
      <c r="F92" s="27"/>
      <c r="G92" s="5"/>
    </row>
    <row r="93" customFormat="false" ht="15" hidden="false" customHeight="false" outlineLevel="0" collapsed="false">
      <c r="A93" s="5"/>
      <c r="B93" s="5"/>
      <c r="C93" s="14"/>
      <c r="D93" s="5"/>
      <c r="E93" s="19" t="str">
        <f aca="false">IF(C93="","",IF(C93="Sim","Baixe e registre no Log",IF(C93="Não","Peça pela LAI (aula 3.2) e anote em Prazos LAI",IF(C93="Em parte","Baixe o que está publicado e peça o resto pela LAI","Procure antes de pedir: pedir o que já está publicado é perder 20 dias"))))</f>
        <v/>
      </c>
      <c r="F93" s="27"/>
      <c r="G93" s="5"/>
    </row>
    <row r="94" customFormat="false" ht="15" hidden="false" customHeight="false" outlineLevel="0" collapsed="false">
      <c r="A94" s="5"/>
      <c r="B94" s="5"/>
      <c r="C94" s="14"/>
      <c r="D94" s="5"/>
      <c r="E94" s="19" t="str">
        <f aca="false">IF(C94="","",IF(C94="Sim","Baixe e registre no Log",IF(C94="Não","Peça pela LAI (aula 3.2) e anote em Prazos LAI",IF(C94="Em parte","Baixe o que está publicado e peça o resto pela LAI","Procure antes de pedir: pedir o que já está publicado é perder 20 dias"))))</f>
        <v/>
      </c>
      <c r="F94" s="27"/>
      <c r="G94" s="5"/>
    </row>
    <row r="95" customFormat="false" ht="15" hidden="false" customHeight="false" outlineLevel="0" collapsed="false">
      <c r="A95" s="5"/>
      <c r="B95" s="5"/>
      <c r="C95" s="14"/>
      <c r="D95" s="5"/>
      <c r="E95" s="19" t="str">
        <f aca="false">IF(C95="","",IF(C95="Sim","Baixe e registre no Log",IF(C95="Não","Peça pela LAI (aula 3.2) e anote em Prazos LAI",IF(C95="Em parte","Baixe o que está publicado e peça o resto pela LAI","Procure antes de pedir: pedir o que já está publicado é perder 20 dias"))))</f>
        <v/>
      </c>
      <c r="F95" s="27"/>
      <c r="G95" s="5"/>
    </row>
    <row r="96" customFormat="false" ht="15" hidden="false" customHeight="false" outlineLevel="0" collapsed="false">
      <c r="A96" s="5"/>
      <c r="B96" s="5"/>
      <c r="C96" s="14"/>
      <c r="D96" s="5"/>
      <c r="E96" s="19" t="str">
        <f aca="false">IF(C96="","",IF(C96="Sim","Baixe e registre no Log",IF(C96="Não","Peça pela LAI (aula 3.2) e anote em Prazos LAI",IF(C96="Em parte","Baixe o que está publicado e peça o resto pela LAI","Procure antes de pedir: pedir o que já está publicado é perder 20 dias"))))</f>
        <v/>
      </c>
      <c r="F96" s="27"/>
      <c r="G96" s="5"/>
    </row>
    <row r="97" customFormat="false" ht="15" hidden="false" customHeight="false" outlineLevel="0" collapsed="false">
      <c r="A97" s="5"/>
      <c r="B97" s="5"/>
      <c r="C97" s="14"/>
      <c r="D97" s="5"/>
      <c r="E97" s="19" t="str">
        <f aca="false">IF(C97="","",IF(C97="Sim","Baixe e registre no Log",IF(C97="Não","Peça pela LAI (aula 3.2) e anote em Prazos LAI",IF(C97="Em parte","Baixe o que está publicado e peça o resto pela LAI","Procure antes de pedir: pedir o que já está publicado é perder 20 dias"))))</f>
        <v/>
      </c>
      <c r="F97" s="27"/>
      <c r="G97" s="5"/>
    </row>
    <row r="98" customFormat="false" ht="15" hidden="false" customHeight="false" outlineLevel="0" collapsed="false">
      <c r="A98" s="5"/>
      <c r="B98" s="5"/>
      <c r="C98" s="14"/>
      <c r="D98" s="5"/>
      <c r="E98" s="19" t="str">
        <f aca="false">IF(C98="","",IF(C98="Sim","Baixe e registre no Log",IF(C98="Não","Peça pela LAI (aula 3.2) e anote em Prazos LAI",IF(C98="Em parte","Baixe o que está publicado e peça o resto pela LAI","Procure antes de pedir: pedir o que já está publicado é perder 20 dias"))))</f>
        <v/>
      </c>
      <c r="F98" s="27"/>
      <c r="G98" s="5"/>
    </row>
    <row r="99" customFormat="false" ht="15" hidden="false" customHeight="false" outlineLevel="0" collapsed="false">
      <c r="A99" s="5"/>
      <c r="B99" s="5"/>
      <c r="C99" s="14"/>
      <c r="D99" s="5"/>
      <c r="E99" s="19" t="str">
        <f aca="false">IF(C99="","",IF(C99="Sim","Baixe e registre no Log",IF(C99="Não","Peça pela LAI (aula 3.2) e anote em Prazos LAI",IF(C99="Em parte","Baixe o que está publicado e peça o resto pela LAI","Procure antes de pedir: pedir o que já está publicado é perder 20 dias"))))</f>
        <v/>
      </c>
      <c r="F99" s="27"/>
      <c r="G99" s="5"/>
    </row>
    <row r="100" customFormat="false" ht="15" hidden="false" customHeight="false" outlineLevel="0" collapsed="false">
      <c r="A100" s="5"/>
      <c r="B100" s="5"/>
      <c r="C100" s="14"/>
      <c r="D100" s="5"/>
      <c r="E100" s="19" t="str">
        <f aca="false">IF(C100="","",IF(C100="Sim","Baixe e registre no Log",IF(C100="Não","Peça pela LAI (aula 3.2) e anote em Prazos LAI",IF(C100="Em parte","Baixe o que está publicado e peça o resto pela LAI","Procure antes de pedir: pedir o que já está publicado é perder 20 dias"))))</f>
        <v/>
      </c>
      <c r="F100" s="27"/>
      <c r="G100" s="5"/>
    </row>
    <row r="101" customFormat="false" ht="15" hidden="false" customHeight="false" outlineLevel="0" collapsed="false">
      <c r="A101" s="5"/>
      <c r="B101" s="5"/>
      <c r="C101" s="14"/>
      <c r="D101" s="5"/>
      <c r="E101" s="19" t="str">
        <f aca="false">IF(C101="","",IF(C101="Sim","Baixe e registre no Log",IF(C101="Não","Peça pela LAI (aula 3.2) e anote em Prazos LAI",IF(C101="Em parte","Baixe o que está publicado e peça o resto pela LAI","Procure antes de pedir: pedir o que já está publicado é perder 20 dias"))))</f>
        <v/>
      </c>
      <c r="F101" s="27"/>
      <c r="G101" s="5"/>
    </row>
  </sheetData>
  <autoFilter ref="A1:G101"/>
  <dataValidations count="1">
    <dataValidation allowBlank="true" error="Escolha uma opção da lista (as opções estão na aba Listas)." errorStyle="stop" operator="between" showDropDown="false" showErrorMessage="false" showInputMessage="false" sqref="C2:C101" type="list">
      <formula1>Listas!$M$2:$M$5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34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8" min="7" style="0" width="12"/>
    <col collapsed="false" customWidth="true" hidden="false" outlineLevel="0" max="9" min="9" style="0" width="16"/>
    <col collapsed="false" customWidth="true" hidden="false" outlineLevel="0" max="11" min="10" style="0" width="14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36"/>
    <col collapsed="false" customWidth="true" hidden="false" outlineLevel="0" max="15" min="15" style="0" width="11"/>
    <col collapsed="false" customWidth="true" hidden="false" outlineLevel="0" max="16" min="16" style="0" width="30"/>
  </cols>
  <sheetData>
    <row r="1" customFormat="false" ht="39.75" hidden="false" customHeight="true" outlineLevel="0" collapsed="false">
      <c r="A1" s="10" t="s">
        <v>381</v>
      </c>
      <c r="B1" s="10" t="s">
        <v>382</v>
      </c>
      <c r="C1" s="10" t="s">
        <v>383</v>
      </c>
      <c r="D1" s="10" t="s">
        <v>384</v>
      </c>
      <c r="E1" s="10" t="s">
        <v>385</v>
      </c>
      <c r="F1" s="10" t="s">
        <v>386</v>
      </c>
      <c r="G1" s="15" t="s">
        <v>387</v>
      </c>
      <c r="H1" s="10" t="s">
        <v>388</v>
      </c>
      <c r="I1" s="10" t="s">
        <v>389</v>
      </c>
      <c r="J1" s="10" t="s">
        <v>390</v>
      </c>
      <c r="K1" s="10" t="s">
        <v>391</v>
      </c>
      <c r="L1" s="15" t="s">
        <v>392</v>
      </c>
      <c r="M1" s="15" t="s">
        <v>393</v>
      </c>
      <c r="N1" s="15" t="s">
        <v>394</v>
      </c>
      <c r="O1" s="10" t="s">
        <v>395</v>
      </c>
      <c r="P1" s="10" t="s">
        <v>138</v>
      </c>
    </row>
    <row r="2" customFormat="false" ht="23.85" hidden="false" customHeight="false" outlineLevel="0" collapsed="false">
      <c r="A2" s="23" t="s">
        <v>298</v>
      </c>
      <c r="B2" s="7" t="s">
        <v>295</v>
      </c>
      <c r="C2" s="13" t="s">
        <v>396</v>
      </c>
      <c r="D2" s="7" t="s">
        <v>301</v>
      </c>
      <c r="E2" s="16" t="n">
        <v>46267</v>
      </c>
      <c r="F2" s="13" t="s">
        <v>141</v>
      </c>
      <c r="G2" s="29" t="n">
        <f aca="false">IF(E2="","",E2+IF(F2="Sim",30,20))</f>
        <v>46287</v>
      </c>
      <c r="H2" s="16"/>
      <c r="I2" s="13"/>
      <c r="J2" s="13" t="s">
        <v>397</v>
      </c>
      <c r="K2" s="16"/>
      <c r="L2" s="29" t="n">
        <f aca="true">IF(E2="","",IF(AND(K2&lt;&gt;"",OR(H2="",K2&gt;=H2)),IF(J2="CMRI","",K2+5),IF(H2="",IF(TODAY()&lt;=G2,G2,IF(TODAY()&lt;E2+30,E2+30,E2+40)),IF(OR(I2="Negado",I2="Atendido em parte"),H2+10,""))))</f>
        <v>46297</v>
      </c>
      <c r="M2" s="30" t="n">
        <f aca="true">IF(L2="","",L2-TODAY())</f>
        <v>2</v>
      </c>
      <c r="N2" s="17" t="str">
        <f aca="true">IF(E2="","",IF(AND(K2&lt;&gt;"",OR(H2="",K2&gt;=H2)),IF(J2="CMRI","Aguardar a CMRI (até a 3ª reunião mensal depois da autuação)","Aguardar decisão do recurso ou da reclamação"),IF(H2="",IF(TODAY()&lt;=G2,"Aguardar resposta do órgão",IF(TODAY()&lt;E2+30,"Prazo vencido: reclamação (modelo E) a partir da próxima data",IF(TODAY()&lt;=E2+40,"Fazer reclamação (modelo E) até a próxima data","Janela de reclamação encerrada: novo pedido ou modelo G"))),IF(I2="Atendido","Concluído: registre a resposta no Log",IF(OR(I2="Negado",I2="Atendido em parte"),"Recorrer (modelo B ou D) até a próxima data","Preencha o resultado da resposta")))))</f>
        <v>Prazo vencido: reclamação (modelo E) a partir da próxima data</v>
      </c>
      <c r="O2" s="23" t="s">
        <v>299</v>
      </c>
      <c r="P2" s="7" t="s">
        <v>167</v>
      </c>
    </row>
    <row r="3" customFormat="false" ht="23.85" hidden="false" customHeight="false" outlineLevel="0" collapsed="false">
      <c r="A3" s="23" t="s">
        <v>305</v>
      </c>
      <c r="B3" s="7" t="s">
        <v>302</v>
      </c>
      <c r="C3" s="13" t="s">
        <v>398</v>
      </c>
      <c r="D3" s="7" t="s">
        <v>307</v>
      </c>
      <c r="E3" s="16" t="n">
        <v>46254</v>
      </c>
      <c r="F3" s="13" t="s">
        <v>142</v>
      </c>
      <c r="G3" s="29" t="n">
        <f aca="false">IF(E3="","",E3+IF(F3="Sim",30,20))</f>
        <v>46284</v>
      </c>
      <c r="H3" s="16" t="n">
        <v>46283</v>
      </c>
      <c r="I3" s="13" t="s">
        <v>399</v>
      </c>
      <c r="J3" s="13" t="s">
        <v>397</v>
      </c>
      <c r="K3" s="16"/>
      <c r="L3" s="29" t="n">
        <f aca="true">IF(E3="","",IF(AND(K3&lt;&gt;"",OR(H3="",K3&gt;=H3)),IF(J3="CMRI","",K3+5),IF(H3="",IF(TODAY()&lt;=G3,G3,IF(TODAY()&lt;E3+30,E3+30,E3+40)),IF(OR(I3="Negado",I3="Atendido em parte"),H3+10,""))))</f>
        <v>46293</v>
      </c>
      <c r="M3" s="30" t="n">
        <f aca="true">IF(L3="","",L3-TODAY())</f>
        <v>-2</v>
      </c>
      <c r="N3" s="17" t="str">
        <f aca="true">IF(E3="","",IF(AND(K3&lt;&gt;"",OR(H3="",K3&gt;=H3)),IF(J3="CMRI","Aguardar a CMRI (até a 3ª reunião mensal depois da autuação)","Aguardar decisão do recurso ou da reclamação"),IF(H3="",IF(TODAY()&lt;=G3,"Aguardar resposta do órgão",IF(TODAY()&lt;E3+30,"Prazo vencido: reclamação (modelo E) a partir da próxima data",IF(TODAY()&lt;=E3+40,"Fazer reclamação (modelo E) até a próxima data","Janela de reclamação encerrada: novo pedido ou modelo G"))),IF(I3="Atendido","Concluído: registre a resposta no Log",IF(OR(I3="Negado",I3="Atendido em parte"),"Recorrer (modelo B ou D) até a próxima data","Preencha o resultado da resposta")))))</f>
        <v>Recorrer (modelo B ou D) até a próxima data</v>
      </c>
      <c r="O3" s="23" t="s">
        <v>306</v>
      </c>
      <c r="P3" s="7" t="s">
        <v>400</v>
      </c>
    </row>
    <row r="4" customFormat="false" ht="15" hidden="false" customHeight="false" outlineLevel="0" collapsed="false">
      <c r="A4" s="27"/>
      <c r="B4" s="5"/>
      <c r="C4" s="14"/>
      <c r="D4" s="5"/>
      <c r="E4" s="18"/>
      <c r="F4" s="14"/>
      <c r="G4" s="31" t="str">
        <f aca="false">IF(E4="","",E4+IF(F4="Sim",30,20))</f>
        <v/>
      </c>
      <c r="H4" s="18"/>
      <c r="I4" s="14"/>
      <c r="J4" s="14"/>
      <c r="K4" s="18"/>
      <c r="L4" s="31" t="str">
        <f aca="true">IF(E4="","",IF(AND(K4&lt;&gt;"",OR(H4="",K4&gt;=H4)),IF(J4="CMRI","",K4+5),IF(H4="",IF(TODAY()&lt;=G4,G4,IF(TODAY()&lt;E4+30,E4+30,E4+40)),IF(OR(I4="Negado",I4="Atendido em parte"),H4+10,""))))</f>
        <v/>
      </c>
      <c r="M4" s="32" t="str">
        <f aca="true">IF(L4="","",L4-TODAY())</f>
        <v/>
      </c>
      <c r="N4" s="19" t="str">
        <f aca="true">IF(E4="","",IF(AND(K4&lt;&gt;"",OR(H4="",K4&gt;=H4)),IF(J4="CMRI","Aguardar a CMRI (até a 3ª reunião mensal depois da autuação)","Aguardar decisão do recurso ou da reclamação"),IF(H4="",IF(TODAY()&lt;=G4,"Aguardar resposta do órgão",IF(TODAY()&lt;E4+30,"Prazo vencido: reclamação (modelo E) a partir da próxima data",IF(TODAY()&lt;=E4+40,"Fazer reclamação (modelo E) até a próxima data","Janela de reclamação encerrada: novo pedido ou modelo G"))),IF(I4="Atendido","Concluído: registre a resposta no Log",IF(OR(I4="Negado",I4="Atendido em parte"),"Recorrer (modelo B ou D) até a próxima data","Preencha o resultado da resposta")))))</f>
        <v/>
      </c>
      <c r="O4" s="27"/>
      <c r="P4" s="5"/>
    </row>
    <row r="5" customFormat="false" ht="15" hidden="false" customHeight="false" outlineLevel="0" collapsed="false">
      <c r="A5" s="27"/>
      <c r="B5" s="5"/>
      <c r="C5" s="14"/>
      <c r="D5" s="5"/>
      <c r="E5" s="18"/>
      <c r="F5" s="14"/>
      <c r="G5" s="31" t="str">
        <f aca="false">IF(E5="","",E5+IF(F5="Sim",30,20))</f>
        <v/>
      </c>
      <c r="H5" s="18"/>
      <c r="I5" s="14"/>
      <c r="J5" s="14"/>
      <c r="K5" s="18"/>
      <c r="L5" s="31" t="str">
        <f aca="true">IF(E5="","",IF(AND(K5&lt;&gt;"",OR(H5="",K5&gt;=H5)),IF(J5="CMRI","",K5+5),IF(H5="",IF(TODAY()&lt;=G5,G5,IF(TODAY()&lt;E5+30,E5+30,E5+40)),IF(OR(I5="Negado",I5="Atendido em parte"),H5+10,""))))</f>
        <v/>
      </c>
      <c r="M5" s="32" t="str">
        <f aca="true">IF(L5="","",L5-TODAY())</f>
        <v/>
      </c>
      <c r="N5" s="19" t="str">
        <f aca="true">IF(E5="","",IF(AND(K5&lt;&gt;"",OR(H5="",K5&gt;=H5)),IF(J5="CMRI","Aguardar a CMRI (até a 3ª reunião mensal depois da autuação)","Aguardar decisão do recurso ou da reclamação"),IF(H5="",IF(TODAY()&lt;=G5,"Aguardar resposta do órgão",IF(TODAY()&lt;E5+30,"Prazo vencido: reclamação (modelo E) a partir da próxima data",IF(TODAY()&lt;=E5+40,"Fazer reclamação (modelo E) até a próxima data","Janela de reclamação encerrada: novo pedido ou modelo G"))),IF(I5="Atendido","Concluído: registre a resposta no Log",IF(OR(I5="Negado",I5="Atendido em parte"),"Recorrer (modelo B ou D) até a próxima data","Preencha o resultado da resposta")))))</f>
        <v/>
      </c>
      <c r="O5" s="27"/>
      <c r="P5" s="5"/>
    </row>
    <row r="6" customFormat="false" ht="15" hidden="false" customHeight="false" outlineLevel="0" collapsed="false">
      <c r="A6" s="27"/>
      <c r="B6" s="5"/>
      <c r="C6" s="14"/>
      <c r="D6" s="5"/>
      <c r="E6" s="18"/>
      <c r="F6" s="14"/>
      <c r="G6" s="31" t="str">
        <f aca="false">IF(E6="","",E6+IF(F6="Sim",30,20))</f>
        <v/>
      </c>
      <c r="H6" s="18"/>
      <c r="I6" s="14"/>
      <c r="J6" s="14"/>
      <c r="K6" s="18"/>
      <c r="L6" s="31" t="str">
        <f aca="true">IF(E6="","",IF(AND(K6&lt;&gt;"",OR(H6="",K6&gt;=H6)),IF(J6="CMRI","",K6+5),IF(H6="",IF(TODAY()&lt;=G6,G6,IF(TODAY()&lt;E6+30,E6+30,E6+40)),IF(OR(I6="Negado",I6="Atendido em parte"),H6+10,""))))</f>
        <v/>
      </c>
      <c r="M6" s="32" t="str">
        <f aca="true">IF(L6="","",L6-TODAY())</f>
        <v/>
      </c>
      <c r="N6" s="19" t="str">
        <f aca="true">IF(E6="","",IF(AND(K6&lt;&gt;"",OR(H6="",K6&gt;=H6)),IF(J6="CMRI","Aguardar a CMRI (até a 3ª reunião mensal depois da autuação)","Aguardar decisão do recurso ou da reclamação"),IF(H6="",IF(TODAY()&lt;=G6,"Aguardar resposta do órgão",IF(TODAY()&lt;E6+30,"Prazo vencido: reclamação (modelo E) a partir da próxima data",IF(TODAY()&lt;=E6+40,"Fazer reclamação (modelo E) até a próxima data","Janela de reclamação encerrada: novo pedido ou modelo G"))),IF(I6="Atendido","Concluído: registre a resposta no Log",IF(OR(I6="Negado",I6="Atendido em parte"),"Recorrer (modelo B ou D) até a próxima data","Preencha o resultado da resposta")))))</f>
        <v/>
      </c>
      <c r="O6" s="27"/>
      <c r="P6" s="5"/>
    </row>
    <row r="7" customFormat="false" ht="15" hidden="false" customHeight="false" outlineLevel="0" collapsed="false">
      <c r="A7" s="27"/>
      <c r="B7" s="5"/>
      <c r="C7" s="14"/>
      <c r="D7" s="5"/>
      <c r="E7" s="18"/>
      <c r="F7" s="14"/>
      <c r="G7" s="31" t="str">
        <f aca="false">IF(E7="","",E7+IF(F7="Sim",30,20))</f>
        <v/>
      </c>
      <c r="H7" s="18"/>
      <c r="I7" s="14"/>
      <c r="J7" s="14"/>
      <c r="K7" s="18"/>
      <c r="L7" s="31" t="str">
        <f aca="true">IF(E7="","",IF(AND(K7&lt;&gt;"",OR(H7="",K7&gt;=H7)),IF(J7="CMRI","",K7+5),IF(H7="",IF(TODAY()&lt;=G7,G7,IF(TODAY()&lt;E7+30,E7+30,E7+40)),IF(OR(I7="Negado",I7="Atendido em parte"),H7+10,""))))</f>
        <v/>
      </c>
      <c r="M7" s="32" t="str">
        <f aca="true">IF(L7="","",L7-TODAY())</f>
        <v/>
      </c>
      <c r="N7" s="19" t="str">
        <f aca="true">IF(E7="","",IF(AND(K7&lt;&gt;"",OR(H7="",K7&gt;=H7)),IF(J7="CMRI","Aguardar a CMRI (até a 3ª reunião mensal depois da autuação)","Aguardar decisão do recurso ou da reclamação"),IF(H7="",IF(TODAY()&lt;=G7,"Aguardar resposta do órgão",IF(TODAY()&lt;E7+30,"Prazo vencido: reclamação (modelo E) a partir da próxima data",IF(TODAY()&lt;=E7+40,"Fazer reclamação (modelo E) até a próxima data","Janela de reclamação encerrada: novo pedido ou modelo G"))),IF(I7="Atendido","Concluído: registre a resposta no Log",IF(OR(I7="Negado",I7="Atendido em parte"),"Recorrer (modelo B ou D) até a próxima data","Preencha o resultado da resposta")))))</f>
        <v/>
      </c>
      <c r="O7" s="27"/>
      <c r="P7" s="5"/>
    </row>
    <row r="8" customFormat="false" ht="15" hidden="false" customHeight="false" outlineLevel="0" collapsed="false">
      <c r="A8" s="27"/>
      <c r="B8" s="5"/>
      <c r="C8" s="14"/>
      <c r="D8" s="5"/>
      <c r="E8" s="18"/>
      <c r="F8" s="14"/>
      <c r="G8" s="31" t="str">
        <f aca="false">IF(E8="","",E8+IF(F8="Sim",30,20))</f>
        <v/>
      </c>
      <c r="H8" s="18"/>
      <c r="I8" s="14"/>
      <c r="J8" s="14"/>
      <c r="K8" s="18"/>
      <c r="L8" s="31" t="str">
        <f aca="true">IF(E8="","",IF(AND(K8&lt;&gt;"",OR(H8="",K8&gt;=H8)),IF(J8="CMRI","",K8+5),IF(H8="",IF(TODAY()&lt;=G8,G8,IF(TODAY()&lt;E8+30,E8+30,E8+40)),IF(OR(I8="Negado",I8="Atendido em parte"),H8+10,""))))</f>
        <v/>
      </c>
      <c r="M8" s="32" t="str">
        <f aca="true">IF(L8="","",L8-TODAY())</f>
        <v/>
      </c>
      <c r="N8" s="19" t="str">
        <f aca="true">IF(E8="","",IF(AND(K8&lt;&gt;"",OR(H8="",K8&gt;=H8)),IF(J8="CMRI","Aguardar a CMRI (até a 3ª reunião mensal depois da autuação)","Aguardar decisão do recurso ou da reclamação"),IF(H8="",IF(TODAY()&lt;=G8,"Aguardar resposta do órgão",IF(TODAY()&lt;E8+30,"Prazo vencido: reclamação (modelo E) a partir da próxima data",IF(TODAY()&lt;=E8+40,"Fazer reclamação (modelo E) até a próxima data","Janela de reclamação encerrada: novo pedido ou modelo G"))),IF(I8="Atendido","Concluído: registre a resposta no Log",IF(OR(I8="Negado",I8="Atendido em parte"),"Recorrer (modelo B ou D) até a próxima data","Preencha o resultado da resposta")))))</f>
        <v/>
      </c>
      <c r="O8" s="27"/>
      <c r="P8" s="5"/>
    </row>
    <row r="9" customFormat="false" ht="15" hidden="false" customHeight="false" outlineLevel="0" collapsed="false">
      <c r="A9" s="27"/>
      <c r="B9" s="5"/>
      <c r="C9" s="14"/>
      <c r="D9" s="5"/>
      <c r="E9" s="18"/>
      <c r="F9" s="14"/>
      <c r="G9" s="31" t="str">
        <f aca="false">IF(E9="","",E9+IF(F9="Sim",30,20))</f>
        <v/>
      </c>
      <c r="H9" s="18"/>
      <c r="I9" s="14"/>
      <c r="J9" s="14"/>
      <c r="K9" s="18"/>
      <c r="L9" s="31" t="str">
        <f aca="true">IF(E9="","",IF(AND(K9&lt;&gt;"",OR(H9="",K9&gt;=H9)),IF(J9="CMRI","",K9+5),IF(H9="",IF(TODAY()&lt;=G9,G9,IF(TODAY()&lt;E9+30,E9+30,E9+40)),IF(OR(I9="Negado",I9="Atendido em parte"),H9+10,""))))</f>
        <v/>
      </c>
      <c r="M9" s="32" t="str">
        <f aca="true">IF(L9="","",L9-TODAY())</f>
        <v/>
      </c>
      <c r="N9" s="19" t="str">
        <f aca="true">IF(E9="","",IF(AND(K9&lt;&gt;"",OR(H9="",K9&gt;=H9)),IF(J9="CMRI","Aguardar a CMRI (até a 3ª reunião mensal depois da autuação)","Aguardar decisão do recurso ou da reclamação"),IF(H9="",IF(TODAY()&lt;=G9,"Aguardar resposta do órgão",IF(TODAY()&lt;E9+30,"Prazo vencido: reclamação (modelo E) a partir da próxima data",IF(TODAY()&lt;=E9+40,"Fazer reclamação (modelo E) até a próxima data","Janela de reclamação encerrada: novo pedido ou modelo G"))),IF(I9="Atendido","Concluído: registre a resposta no Log",IF(OR(I9="Negado",I9="Atendido em parte"),"Recorrer (modelo B ou D) até a próxima data","Preencha o resultado da resposta")))))</f>
        <v/>
      </c>
      <c r="O9" s="27"/>
      <c r="P9" s="5"/>
    </row>
    <row r="10" customFormat="false" ht="15" hidden="false" customHeight="false" outlineLevel="0" collapsed="false">
      <c r="A10" s="27"/>
      <c r="B10" s="5"/>
      <c r="C10" s="14"/>
      <c r="D10" s="5"/>
      <c r="E10" s="18"/>
      <c r="F10" s="14"/>
      <c r="G10" s="31" t="str">
        <f aca="false">IF(E10="","",E10+IF(F10="Sim",30,20))</f>
        <v/>
      </c>
      <c r="H10" s="18"/>
      <c r="I10" s="14"/>
      <c r="J10" s="14"/>
      <c r="K10" s="18"/>
      <c r="L10" s="31" t="str">
        <f aca="true">IF(E10="","",IF(AND(K10&lt;&gt;"",OR(H10="",K10&gt;=H10)),IF(J10="CMRI","",K10+5),IF(H10="",IF(TODAY()&lt;=G10,G10,IF(TODAY()&lt;E10+30,E10+30,E10+40)),IF(OR(I10="Negado",I10="Atendido em parte"),H10+10,""))))</f>
        <v/>
      </c>
      <c r="M10" s="32" t="str">
        <f aca="true">IF(L10="","",L10-TODAY())</f>
        <v/>
      </c>
      <c r="N10" s="19" t="str">
        <f aca="true">IF(E10="","",IF(AND(K10&lt;&gt;"",OR(H10="",K10&gt;=H10)),IF(J10="CMRI","Aguardar a CMRI (até a 3ª reunião mensal depois da autuação)","Aguardar decisão do recurso ou da reclamação"),IF(H10="",IF(TODAY()&lt;=G10,"Aguardar resposta do órgão",IF(TODAY()&lt;E10+30,"Prazo vencido: reclamação (modelo E) a partir da próxima data",IF(TODAY()&lt;=E10+40,"Fazer reclamação (modelo E) até a próxima data","Janela de reclamação encerrada: novo pedido ou modelo G"))),IF(I10="Atendido","Concluído: registre a resposta no Log",IF(OR(I10="Negado",I10="Atendido em parte"),"Recorrer (modelo B ou D) até a próxima data","Preencha o resultado da resposta")))))</f>
        <v/>
      </c>
      <c r="O10" s="27"/>
      <c r="P10" s="5"/>
    </row>
    <row r="11" customFormat="false" ht="15" hidden="false" customHeight="false" outlineLevel="0" collapsed="false">
      <c r="A11" s="27"/>
      <c r="B11" s="5"/>
      <c r="C11" s="14"/>
      <c r="D11" s="5"/>
      <c r="E11" s="18"/>
      <c r="F11" s="14"/>
      <c r="G11" s="31" t="str">
        <f aca="false">IF(E11="","",E11+IF(F11="Sim",30,20))</f>
        <v/>
      </c>
      <c r="H11" s="18"/>
      <c r="I11" s="14"/>
      <c r="J11" s="14"/>
      <c r="K11" s="18"/>
      <c r="L11" s="31" t="str">
        <f aca="true">IF(E11="","",IF(AND(K11&lt;&gt;"",OR(H11="",K11&gt;=H11)),IF(J11="CMRI","",K11+5),IF(H11="",IF(TODAY()&lt;=G11,G11,IF(TODAY()&lt;E11+30,E11+30,E11+40)),IF(OR(I11="Negado",I11="Atendido em parte"),H11+10,""))))</f>
        <v/>
      </c>
      <c r="M11" s="32" t="str">
        <f aca="true">IF(L11="","",L11-TODAY())</f>
        <v/>
      </c>
      <c r="N11" s="19" t="str">
        <f aca="true">IF(E11="","",IF(AND(K11&lt;&gt;"",OR(H11="",K11&gt;=H11)),IF(J11="CMRI","Aguardar a CMRI (até a 3ª reunião mensal depois da autuação)","Aguardar decisão do recurso ou da reclamação"),IF(H11="",IF(TODAY()&lt;=G11,"Aguardar resposta do órgão",IF(TODAY()&lt;E11+30,"Prazo vencido: reclamação (modelo E) a partir da próxima data",IF(TODAY()&lt;=E11+40,"Fazer reclamação (modelo E) até a próxima data","Janela de reclamação encerrada: novo pedido ou modelo G"))),IF(I11="Atendido","Concluído: registre a resposta no Log",IF(OR(I11="Negado",I11="Atendido em parte"),"Recorrer (modelo B ou D) até a próxima data","Preencha o resultado da resposta")))))</f>
        <v/>
      </c>
      <c r="O11" s="27"/>
      <c r="P11" s="5"/>
    </row>
    <row r="12" customFormat="false" ht="15" hidden="false" customHeight="false" outlineLevel="0" collapsed="false">
      <c r="A12" s="27"/>
      <c r="B12" s="5"/>
      <c r="C12" s="14"/>
      <c r="D12" s="5"/>
      <c r="E12" s="18"/>
      <c r="F12" s="14"/>
      <c r="G12" s="31" t="str">
        <f aca="false">IF(E12="","",E12+IF(F12="Sim",30,20))</f>
        <v/>
      </c>
      <c r="H12" s="18"/>
      <c r="I12" s="14"/>
      <c r="J12" s="14"/>
      <c r="K12" s="18"/>
      <c r="L12" s="31" t="str">
        <f aca="true">IF(E12="","",IF(AND(K12&lt;&gt;"",OR(H12="",K12&gt;=H12)),IF(J12="CMRI","",K12+5),IF(H12="",IF(TODAY()&lt;=G12,G12,IF(TODAY()&lt;E12+30,E12+30,E12+40)),IF(OR(I12="Negado",I12="Atendido em parte"),H12+10,""))))</f>
        <v/>
      </c>
      <c r="M12" s="32" t="str">
        <f aca="true">IF(L12="","",L12-TODAY())</f>
        <v/>
      </c>
      <c r="N12" s="19" t="str">
        <f aca="true">IF(E12="","",IF(AND(K12&lt;&gt;"",OR(H12="",K12&gt;=H12)),IF(J12="CMRI","Aguardar a CMRI (até a 3ª reunião mensal depois da autuação)","Aguardar decisão do recurso ou da reclamação"),IF(H12="",IF(TODAY()&lt;=G12,"Aguardar resposta do órgão",IF(TODAY()&lt;E12+30,"Prazo vencido: reclamação (modelo E) a partir da próxima data",IF(TODAY()&lt;=E12+40,"Fazer reclamação (modelo E) até a próxima data","Janela de reclamação encerrada: novo pedido ou modelo G"))),IF(I12="Atendido","Concluído: registre a resposta no Log",IF(OR(I12="Negado",I12="Atendido em parte"),"Recorrer (modelo B ou D) até a próxima data","Preencha o resultado da resposta")))))</f>
        <v/>
      </c>
      <c r="O12" s="27"/>
      <c r="P12" s="5"/>
    </row>
    <row r="13" customFormat="false" ht="15" hidden="false" customHeight="false" outlineLevel="0" collapsed="false">
      <c r="A13" s="27"/>
      <c r="B13" s="5"/>
      <c r="C13" s="14"/>
      <c r="D13" s="5"/>
      <c r="E13" s="18"/>
      <c r="F13" s="14"/>
      <c r="G13" s="31" t="str">
        <f aca="false">IF(E13="","",E13+IF(F13="Sim",30,20))</f>
        <v/>
      </c>
      <c r="H13" s="18"/>
      <c r="I13" s="14"/>
      <c r="J13" s="14"/>
      <c r="K13" s="18"/>
      <c r="L13" s="31" t="str">
        <f aca="true">IF(E13="","",IF(AND(K13&lt;&gt;"",OR(H13="",K13&gt;=H13)),IF(J13="CMRI","",K13+5),IF(H13="",IF(TODAY()&lt;=G13,G13,IF(TODAY()&lt;E13+30,E13+30,E13+40)),IF(OR(I13="Negado",I13="Atendido em parte"),H13+10,""))))</f>
        <v/>
      </c>
      <c r="M13" s="32" t="str">
        <f aca="true">IF(L13="","",L13-TODAY())</f>
        <v/>
      </c>
      <c r="N13" s="19" t="str">
        <f aca="true">IF(E13="","",IF(AND(K13&lt;&gt;"",OR(H13="",K13&gt;=H13)),IF(J13="CMRI","Aguardar a CMRI (até a 3ª reunião mensal depois da autuação)","Aguardar decisão do recurso ou da reclamação"),IF(H13="",IF(TODAY()&lt;=G13,"Aguardar resposta do órgão",IF(TODAY()&lt;E13+30,"Prazo vencido: reclamação (modelo E) a partir da próxima data",IF(TODAY()&lt;=E13+40,"Fazer reclamação (modelo E) até a próxima data","Janela de reclamação encerrada: novo pedido ou modelo G"))),IF(I13="Atendido","Concluído: registre a resposta no Log",IF(OR(I13="Negado",I13="Atendido em parte"),"Recorrer (modelo B ou D) até a próxima data","Preencha o resultado da resposta")))))</f>
        <v/>
      </c>
      <c r="O13" s="27"/>
      <c r="P13" s="5"/>
    </row>
    <row r="14" customFormat="false" ht="15" hidden="false" customHeight="false" outlineLevel="0" collapsed="false">
      <c r="A14" s="27"/>
      <c r="B14" s="5"/>
      <c r="C14" s="14"/>
      <c r="D14" s="5"/>
      <c r="E14" s="18"/>
      <c r="F14" s="14"/>
      <c r="G14" s="31" t="str">
        <f aca="false">IF(E14="","",E14+IF(F14="Sim",30,20))</f>
        <v/>
      </c>
      <c r="H14" s="18"/>
      <c r="I14" s="14"/>
      <c r="J14" s="14"/>
      <c r="K14" s="18"/>
      <c r="L14" s="31" t="str">
        <f aca="true">IF(E14="","",IF(AND(K14&lt;&gt;"",OR(H14="",K14&gt;=H14)),IF(J14="CMRI","",K14+5),IF(H14="",IF(TODAY()&lt;=G14,G14,IF(TODAY()&lt;E14+30,E14+30,E14+40)),IF(OR(I14="Negado",I14="Atendido em parte"),H14+10,""))))</f>
        <v/>
      </c>
      <c r="M14" s="32" t="str">
        <f aca="true">IF(L14="","",L14-TODAY())</f>
        <v/>
      </c>
      <c r="N14" s="19" t="str">
        <f aca="true">IF(E14="","",IF(AND(K14&lt;&gt;"",OR(H14="",K14&gt;=H14)),IF(J14="CMRI","Aguardar a CMRI (até a 3ª reunião mensal depois da autuação)","Aguardar decisão do recurso ou da reclamação"),IF(H14="",IF(TODAY()&lt;=G14,"Aguardar resposta do órgão",IF(TODAY()&lt;E14+30,"Prazo vencido: reclamação (modelo E) a partir da próxima data",IF(TODAY()&lt;=E14+40,"Fazer reclamação (modelo E) até a próxima data","Janela de reclamação encerrada: novo pedido ou modelo G"))),IF(I14="Atendido","Concluído: registre a resposta no Log",IF(OR(I14="Negado",I14="Atendido em parte"),"Recorrer (modelo B ou D) até a próxima data","Preencha o resultado da resposta")))))</f>
        <v/>
      </c>
      <c r="O14" s="27"/>
      <c r="P14" s="5"/>
    </row>
    <row r="15" customFormat="false" ht="15" hidden="false" customHeight="false" outlineLevel="0" collapsed="false">
      <c r="A15" s="27"/>
      <c r="B15" s="5"/>
      <c r="C15" s="14"/>
      <c r="D15" s="5"/>
      <c r="E15" s="18"/>
      <c r="F15" s="14"/>
      <c r="G15" s="31" t="str">
        <f aca="false">IF(E15="","",E15+IF(F15="Sim",30,20))</f>
        <v/>
      </c>
      <c r="H15" s="18"/>
      <c r="I15" s="14"/>
      <c r="J15" s="14"/>
      <c r="K15" s="18"/>
      <c r="L15" s="31" t="str">
        <f aca="true">IF(E15="","",IF(AND(K15&lt;&gt;"",OR(H15="",K15&gt;=H15)),IF(J15="CMRI","",K15+5),IF(H15="",IF(TODAY()&lt;=G15,G15,IF(TODAY()&lt;E15+30,E15+30,E15+40)),IF(OR(I15="Negado",I15="Atendido em parte"),H15+10,""))))</f>
        <v/>
      </c>
      <c r="M15" s="32" t="str">
        <f aca="true">IF(L15="","",L15-TODAY())</f>
        <v/>
      </c>
      <c r="N15" s="19" t="str">
        <f aca="true">IF(E15="","",IF(AND(K15&lt;&gt;"",OR(H15="",K15&gt;=H15)),IF(J15="CMRI","Aguardar a CMRI (até a 3ª reunião mensal depois da autuação)","Aguardar decisão do recurso ou da reclamação"),IF(H15="",IF(TODAY()&lt;=G15,"Aguardar resposta do órgão",IF(TODAY()&lt;E15+30,"Prazo vencido: reclamação (modelo E) a partir da próxima data",IF(TODAY()&lt;=E15+40,"Fazer reclamação (modelo E) até a próxima data","Janela de reclamação encerrada: novo pedido ou modelo G"))),IF(I15="Atendido","Concluído: registre a resposta no Log",IF(OR(I15="Negado",I15="Atendido em parte"),"Recorrer (modelo B ou D) até a próxima data","Preencha o resultado da resposta")))))</f>
        <v/>
      </c>
      <c r="O15" s="27"/>
      <c r="P15" s="5"/>
    </row>
    <row r="16" customFormat="false" ht="15" hidden="false" customHeight="false" outlineLevel="0" collapsed="false">
      <c r="A16" s="27"/>
      <c r="B16" s="5"/>
      <c r="C16" s="14"/>
      <c r="D16" s="5"/>
      <c r="E16" s="18"/>
      <c r="F16" s="14"/>
      <c r="G16" s="31" t="str">
        <f aca="false">IF(E16="","",E16+IF(F16="Sim",30,20))</f>
        <v/>
      </c>
      <c r="H16" s="18"/>
      <c r="I16" s="14"/>
      <c r="J16" s="14"/>
      <c r="K16" s="18"/>
      <c r="L16" s="31" t="str">
        <f aca="true">IF(E16="","",IF(AND(K16&lt;&gt;"",OR(H16="",K16&gt;=H16)),IF(J16="CMRI","",K16+5),IF(H16="",IF(TODAY()&lt;=G16,G16,IF(TODAY()&lt;E16+30,E16+30,E16+40)),IF(OR(I16="Negado",I16="Atendido em parte"),H16+10,""))))</f>
        <v/>
      </c>
      <c r="M16" s="32" t="str">
        <f aca="true">IF(L16="","",L16-TODAY())</f>
        <v/>
      </c>
      <c r="N16" s="19" t="str">
        <f aca="true">IF(E16="","",IF(AND(K16&lt;&gt;"",OR(H16="",K16&gt;=H16)),IF(J16="CMRI","Aguardar a CMRI (até a 3ª reunião mensal depois da autuação)","Aguardar decisão do recurso ou da reclamação"),IF(H16="",IF(TODAY()&lt;=G16,"Aguardar resposta do órgão",IF(TODAY()&lt;E16+30,"Prazo vencido: reclamação (modelo E) a partir da próxima data",IF(TODAY()&lt;=E16+40,"Fazer reclamação (modelo E) até a próxima data","Janela de reclamação encerrada: novo pedido ou modelo G"))),IF(I16="Atendido","Concluído: registre a resposta no Log",IF(OR(I16="Negado",I16="Atendido em parte"),"Recorrer (modelo B ou D) até a próxima data","Preencha o resultado da resposta")))))</f>
        <v/>
      </c>
      <c r="O16" s="27"/>
      <c r="P16" s="5"/>
    </row>
    <row r="17" customFormat="false" ht="15" hidden="false" customHeight="false" outlineLevel="0" collapsed="false">
      <c r="A17" s="27"/>
      <c r="B17" s="5"/>
      <c r="C17" s="14"/>
      <c r="D17" s="5"/>
      <c r="E17" s="18"/>
      <c r="F17" s="14"/>
      <c r="G17" s="31" t="str">
        <f aca="false">IF(E17="","",E17+IF(F17="Sim",30,20))</f>
        <v/>
      </c>
      <c r="H17" s="18"/>
      <c r="I17" s="14"/>
      <c r="J17" s="14"/>
      <c r="K17" s="18"/>
      <c r="L17" s="31" t="str">
        <f aca="true">IF(E17="","",IF(AND(K17&lt;&gt;"",OR(H17="",K17&gt;=H17)),IF(J17="CMRI","",K17+5),IF(H17="",IF(TODAY()&lt;=G17,G17,IF(TODAY()&lt;E17+30,E17+30,E17+40)),IF(OR(I17="Negado",I17="Atendido em parte"),H17+10,""))))</f>
        <v/>
      </c>
      <c r="M17" s="32" t="str">
        <f aca="true">IF(L17="","",L17-TODAY())</f>
        <v/>
      </c>
      <c r="N17" s="19" t="str">
        <f aca="true">IF(E17="","",IF(AND(K17&lt;&gt;"",OR(H17="",K17&gt;=H17)),IF(J17="CMRI","Aguardar a CMRI (até a 3ª reunião mensal depois da autuação)","Aguardar decisão do recurso ou da reclamação"),IF(H17="",IF(TODAY()&lt;=G17,"Aguardar resposta do órgão",IF(TODAY()&lt;E17+30,"Prazo vencido: reclamação (modelo E) a partir da próxima data",IF(TODAY()&lt;=E17+40,"Fazer reclamação (modelo E) até a próxima data","Janela de reclamação encerrada: novo pedido ou modelo G"))),IF(I17="Atendido","Concluído: registre a resposta no Log",IF(OR(I17="Negado",I17="Atendido em parte"),"Recorrer (modelo B ou D) até a próxima data","Preencha o resultado da resposta")))))</f>
        <v/>
      </c>
      <c r="O17" s="27"/>
      <c r="P17" s="5"/>
    </row>
    <row r="18" customFormat="false" ht="15" hidden="false" customHeight="false" outlineLevel="0" collapsed="false">
      <c r="A18" s="27"/>
      <c r="B18" s="5"/>
      <c r="C18" s="14"/>
      <c r="D18" s="5"/>
      <c r="E18" s="18"/>
      <c r="F18" s="14"/>
      <c r="G18" s="31" t="str">
        <f aca="false">IF(E18="","",E18+IF(F18="Sim",30,20))</f>
        <v/>
      </c>
      <c r="H18" s="18"/>
      <c r="I18" s="14"/>
      <c r="J18" s="14"/>
      <c r="K18" s="18"/>
      <c r="L18" s="31" t="str">
        <f aca="true">IF(E18="","",IF(AND(K18&lt;&gt;"",OR(H18="",K18&gt;=H18)),IF(J18="CMRI","",K18+5),IF(H18="",IF(TODAY()&lt;=G18,G18,IF(TODAY()&lt;E18+30,E18+30,E18+40)),IF(OR(I18="Negado",I18="Atendido em parte"),H18+10,""))))</f>
        <v/>
      </c>
      <c r="M18" s="32" t="str">
        <f aca="true">IF(L18="","",L18-TODAY())</f>
        <v/>
      </c>
      <c r="N18" s="19" t="str">
        <f aca="true">IF(E18="","",IF(AND(K18&lt;&gt;"",OR(H18="",K18&gt;=H18)),IF(J18="CMRI","Aguardar a CMRI (até a 3ª reunião mensal depois da autuação)","Aguardar decisão do recurso ou da reclamação"),IF(H18="",IF(TODAY()&lt;=G18,"Aguardar resposta do órgão",IF(TODAY()&lt;E18+30,"Prazo vencido: reclamação (modelo E) a partir da próxima data",IF(TODAY()&lt;=E18+40,"Fazer reclamação (modelo E) até a próxima data","Janela de reclamação encerrada: novo pedido ou modelo G"))),IF(I18="Atendido","Concluído: registre a resposta no Log",IF(OR(I18="Negado",I18="Atendido em parte"),"Recorrer (modelo B ou D) até a próxima data","Preencha o resultado da resposta")))))</f>
        <v/>
      </c>
      <c r="O18" s="27"/>
      <c r="P18" s="5"/>
    </row>
    <row r="19" customFormat="false" ht="15" hidden="false" customHeight="false" outlineLevel="0" collapsed="false">
      <c r="A19" s="27"/>
      <c r="B19" s="5"/>
      <c r="C19" s="14"/>
      <c r="D19" s="5"/>
      <c r="E19" s="18"/>
      <c r="F19" s="14"/>
      <c r="G19" s="31" t="str">
        <f aca="false">IF(E19="","",E19+IF(F19="Sim",30,20))</f>
        <v/>
      </c>
      <c r="H19" s="18"/>
      <c r="I19" s="14"/>
      <c r="J19" s="14"/>
      <c r="K19" s="18"/>
      <c r="L19" s="31" t="str">
        <f aca="true">IF(E19="","",IF(AND(K19&lt;&gt;"",OR(H19="",K19&gt;=H19)),IF(J19="CMRI","",K19+5),IF(H19="",IF(TODAY()&lt;=G19,G19,IF(TODAY()&lt;E19+30,E19+30,E19+40)),IF(OR(I19="Negado",I19="Atendido em parte"),H19+10,""))))</f>
        <v/>
      </c>
      <c r="M19" s="32" t="str">
        <f aca="true">IF(L19="","",L19-TODAY())</f>
        <v/>
      </c>
      <c r="N19" s="19" t="str">
        <f aca="true">IF(E19="","",IF(AND(K19&lt;&gt;"",OR(H19="",K19&gt;=H19)),IF(J19="CMRI","Aguardar a CMRI (até a 3ª reunião mensal depois da autuação)","Aguardar decisão do recurso ou da reclamação"),IF(H19="",IF(TODAY()&lt;=G19,"Aguardar resposta do órgão",IF(TODAY()&lt;E19+30,"Prazo vencido: reclamação (modelo E) a partir da próxima data",IF(TODAY()&lt;=E19+40,"Fazer reclamação (modelo E) até a próxima data","Janela de reclamação encerrada: novo pedido ou modelo G"))),IF(I19="Atendido","Concluído: registre a resposta no Log",IF(OR(I19="Negado",I19="Atendido em parte"),"Recorrer (modelo B ou D) até a próxima data","Preencha o resultado da resposta")))))</f>
        <v/>
      </c>
      <c r="O19" s="27"/>
      <c r="P19" s="5"/>
    </row>
    <row r="20" customFormat="false" ht="15" hidden="false" customHeight="false" outlineLevel="0" collapsed="false">
      <c r="A20" s="27"/>
      <c r="B20" s="5"/>
      <c r="C20" s="14"/>
      <c r="D20" s="5"/>
      <c r="E20" s="18"/>
      <c r="F20" s="14"/>
      <c r="G20" s="31" t="str">
        <f aca="false">IF(E20="","",E20+IF(F20="Sim",30,20))</f>
        <v/>
      </c>
      <c r="H20" s="18"/>
      <c r="I20" s="14"/>
      <c r="J20" s="14"/>
      <c r="K20" s="18"/>
      <c r="L20" s="31" t="str">
        <f aca="true">IF(E20="","",IF(AND(K20&lt;&gt;"",OR(H20="",K20&gt;=H20)),IF(J20="CMRI","",K20+5),IF(H20="",IF(TODAY()&lt;=G20,G20,IF(TODAY()&lt;E20+30,E20+30,E20+40)),IF(OR(I20="Negado",I20="Atendido em parte"),H20+10,""))))</f>
        <v/>
      </c>
      <c r="M20" s="32" t="str">
        <f aca="true">IF(L20="","",L20-TODAY())</f>
        <v/>
      </c>
      <c r="N20" s="19" t="str">
        <f aca="true">IF(E20="","",IF(AND(K20&lt;&gt;"",OR(H20="",K20&gt;=H20)),IF(J20="CMRI","Aguardar a CMRI (até a 3ª reunião mensal depois da autuação)","Aguardar decisão do recurso ou da reclamação"),IF(H20="",IF(TODAY()&lt;=G20,"Aguardar resposta do órgão",IF(TODAY()&lt;E20+30,"Prazo vencido: reclamação (modelo E) a partir da próxima data",IF(TODAY()&lt;=E20+40,"Fazer reclamação (modelo E) até a próxima data","Janela de reclamação encerrada: novo pedido ou modelo G"))),IF(I20="Atendido","Concluído: registre a resposta no Log",IF(OR(I20="Negado",I20="Atendido em parte"),"Recorrer (modelo B ou D) até a próxima data","Preencha o resultado da resposta")))))</f>
        <v/>
      </c>
      <c r="O20" s="27"/>
      <c r="P20" s="5"/>
    </row>
    <row r="21" customFormat="false" ht="15" hidden="false" customHeight="false" outlineLevel="0" collapsed="false">
      <c r="A21" s="27"/>
      <c r="B21" s="5"/>
      <c r="C21" s="14"/>
      <c r="D21" s="5"/>
      <c r="E21" s="18"/>
      <c r="F21" s="14"/>
      <c r="G21" s="31" t="str">
        <f aca="false">IF(E21="","",E21+IF(F21="Sim",30,20))</f>
        <v/>
      </c>
      <c r="H21" s="18"/>
      <c r="I21" s="14"/>
      <c r="J21" s="14"/>
      <c r="K21" s="18"/>
      <c r="L21" s="31" t="str">
        <f aca="true">IF(E21="","",IF(AND(K21&lt;&gt;"",OR(H21="",K21&gt;=H21)),IF(J21="CMRI","",K21+5),IF(H21="",IF(TODAY()&lt;=G21,G21,IF(TODAY()&lt;E21+30,E21+30,E21+40)),IF(OR(I21="Negado",I21="Atendido em parte"),H21+10,""))))</f>
        <v/>
      </c>
      <c r="M21" s="32" t="str">
        <f aca="true">IF(L21="","",L21-TODAY())</f>
        <v/>
      </c>
      <c r="N21" s="19" t="str">
        <f aca="true">IF(E21="","",IF(AND(K21&lt;&gt;"",OR(H21="",K21&gt;=H21)),IF(J21="CMRI","Aguardar a CMRI (até a 3ª reunião mensal depois da autuação)","Aguardar decisão do recurso ou da reclamação"),IF(H21="",IF(TODAY()&lt;=G21,"Aguardar resposta do órgão",IF(TODAY()&lt;E21+30,"Prazo vencido: reclamação (modelo E) a partir da próxima data",IF(TODAY()&lt;=E21+40,"Fazer reclamação (modelo E) até a próxima data","Janela de reclamação encerrada: novo pedido ou modelo G"))),IF(I21="Atendido","Concluído: registre a resposta no Log",IF(OR(I21="Negado",I21="Atendido em parte"),"Recorrer (modelo B ou D) até a próxima data","Preencha o resultado da resposta")))))</f>
        <v/>
      </c>
      <c r="O21" s="27"/>
      <c r="P21" s="5"/>
    </row>
    <row r="22" customFormat="false" ht="15" hidden="false" customHeight="false" outlineLevel="0" collapsed="false">
      <c r="A22" s="27"/>
      <c r="B22" s="5"/>
      <c r="C22" s="14"/>
      <c r="D22" s="5"/>
      <c r="E22" s="18"/>
      <c r="F22" s="14"/>
      <c r="G22" s="31" t="str">
        <f aca="false">IF(E22="","",E22+IF(F22="Sim",30,20))</f>
        <v/>
      </c>
      <c r="H22" s="18"/>
      <c r="I22" s="14"/>
      <c r="J22" s="14"/>
      <c r="K22" s="18"/>
      <c r="L22" s="31" t="str">
        <f aca="true">IF(E22="","",IF(AND(K22&lt;&gt;"",OR(H22="",K22&gt;=H22)),IF(J22="CMRI","",K22+5),IF(H22="",IF(TODAY()&lt;=G22,G22,IF(TODAY()&lt;E22+30,E22+30,E22+40)),IF(OR(I22="Negado",I22="Atendido em parte"),H22+10,""))))</f>
        <v/>
      </c>
      <c r="M22" s="32" t="str">
        <f aca="true">IF(L22="","",L22-TODAY())</f>
        <v/>
      </c>
      <c r="N22" s="19" t="str">
        <f aca="true">IF(E22="","",IF(AND(K22&lt;&gt;"",OR(H22="",K22&gt;=H22)),IF(J22="CMRI","Aguardar a CMRI (até a 3ª reunião mensal depois da autuação)","Aguardar decisão do recurso ou da reclamação"),IF(H22="",IF(TODAY()&lt;=G22,"Aguardar resposta do órgão",IF(TODAY()&lt;E22+30,"Prazo vencido: reclamação (modelo E) a partir da próxima data",IF(TODAY()&lt;=E22+40,"Fazer reclamação (modelo E) até a próxima data","Janela de reclamação encerrada: novo pedido ou modelo G"))),IF(I22="Atendido","Concluído: registre a resposta no Log",IF(OR(I22="Negado",I22="Atendido em parte"),"Recorrer (modelo B ou D) até a próxima data","Preencha o resultado da resposta")))))</f>
        <v/>
      </c>
      <c r="O22" s="27"/>
      <c r="P22" s="5"/>
    </row>
    <row r="23" customFormat="false" ht="15" hidden="false" customHeight="false" outlineLevel="0" collapsed="false">
      <c r="A23" s="27"/>
      <c r="B23" s="5"/>
      <c r="C23" s="14"/>
      <c r="D23" s="5"/>
      <c r="E23" s="18"/>
      <c r="F23" s="14"/>
      <c r="G23" s="31" t="str">
        <f aca="false">IF(E23="","",E23+IF(F23="Sim",30,20))</f>
        <v/>
      </c>
      <c r="H23" s="18"/>
      <c r="I23" s="14"/>
      <c r="J23" s="14"/>
      <c r="K23" s="18"/>
      <c r="L23" s="31" t="str">
        <f aca="true">IF(E23="","",IF(AND(K23&lt;&gt;"",OR(H23="",K23&gt;=H23)),IF(J23="CMRI","",K23+5),IF(H23="",IF(TODAY()&lt;=G23,G23,IF(TODAY()&lt;E23+30,E23+30,E23+40)),IF(OR(I23="Negado",I23="Atendido em parte"),H23+10,""))))</f>
        <v/>
      </c>
      <c r="M23" s="32" t="str">
        <f aca="true">IF(L23="","",L23-TODAY())</f>
        <v/>
      </c>
      <c r="N23" s="19" t="str">
        <f aca="true">IF(E23="","",IF(AND(K23&lt;&gt;"",OR(H23="",K23&gt;=H23)),IF(J23="CMRI","Aguardar a CMRI (até a 3ª reunião mensal depois da autuação)","Aguardar decisão do recurso ou da reclamação"),IF(H23="",IF(TODAY()&lt;=G23,"Aguardar resposta do órgão",IF(TODAY()&lt;E23+30,"Prazo vencido: reclamação (modelo E) a partir da próxima data",IF(TODAY()&lt;=E23+40,"Fazer reclamação (modelo E) até a próxima data","Janela de reclamação encerrada: novo pedido ou modelo G"))),IF(I23="Atendido","Concluído: registre a resposta no Log",IF(OR(I23="Negado",I23="Atendido em parte"),"Recorrer (modelo B ou D) até a próxima data","Preencha o resultado da resposta")))))</f>
        <v/>
      </c>
      <c r="O23" s="27"/>
      <c r="P23" s="5"/>
    </row>
    <row r="24" customFormat="false" ht="15" hidden="false" customHeight="false" outlineLevel="0" collapsed="false">
      <c r="A24" s="27"/>
      <c r="B24" s="5"/>
      <c r="C24" s="14"/>
      <c r="D24" s="5"/>
      <c r="E24" s="18"/>
      <c r="F24" s="14"/>
      <c r="G24" s="31" t="str">
        <f aca="false">IF(E24="","",E24+IF(F24="Sim",30,20))</f>
        <v/>
      </c>
      <c r="H24" s="18"/>
      <c r="I24" s="14"/>
      <c r="J24" s="14"/>
      <c r="K24" s="18"/>
      <c r="L24" s="31" t="str">
        <f aca="true">IF(E24="","",IF(AND(K24&lt;&gt;"",OR(H24="",K24&gt;=H24)),IF(J24="CMRI","",K24+5),IF(H24="",IF(TODAY()&lt;=G24,G24,IF(TODAY()&lt;E24+30,E24+30,E24+40)),IF(OR(I24="Negado",I24="Atendido em parte"),H24+10,""))))</f>
        <v/>
      </c>
      <c r="M24" s="32" t="str">
        <f aca="true">IF(L24="","",L24-TODAY())</f>
        <v/>
      </c>
      <c r="N24" s="19" t="str">
        <f aca="true">IF(E24="","",IF(AND(K24&lt;&gt;"",OR(H24="",K24&gt;=H24)),IF(J24="CMRI","Aguardar a CMRI (até a 3ª reunião mensal depois da autuação)","Aguardar decisão do recurso ou da reclamação"),IF(H24="",IF(TODAY()&lt;=G24,"Aguardar resposta do órgão",IF(TODAY()&lt;E24+30,"Prazo vencido: reclamação (modelo E) a partir da próxima data",IF(TODAY()&lt;=E24+40,"Fazer reclamação (modelo E) até a próxima data","Janela de reclamação encerrada: novo pedido ou modelo G"))),IF(I24="Atendido","Concluído: registre a resposta no Log",IF(OR(I24="Negado",I24="Atendido em parte"),"Recorrer (modelo B ou D) até a próxima data","Preencha o resultado da resposta")))))</f>
        <v/>
      </c>
      <c r="O24" s="27"/>
      <c r="P24" s="5"/>
    </row>
    <row r="25" customFormat="false" ht="15" hidden="false" customHeight="false" outlineLevel="0" collapsed="false">
      <c r="A25" s="27"/>
      <c r="B25" s="5"/>
      <c r="C25" s="14"/>
      <c r="D25" s="5"/>
      <c r="E25" s="18"/>
      <c r="F25" s="14"/>
      <c r="G25" s="31" t="str">
        <f aca="false">IF(E25="","",E25+IF(F25="Sim",30,20))</f>
        <v/>
      </c>
      <c r="H25" s="18"/>
      <c r="I25" s="14"/>
      <c r="J25" s="14"/>
      <c r="K25" s="18"/>
      <c r="L25" s="31" t="str">
        <f aca="true">IF(E25="","",IF(AND(K25&lt;&gt;"",OR(H25="",K25&gt;=H25)),IF(J25="CMRI","",K25+5),IF(H25="",IF(TODAY()&lt;=G25,G25,IF(TODAY()&lt;E25+30,E25+30,E25+40)),IF(OR(I25="Negado",I25="Atendido em parte"),H25+10,""))))</f>
        <v/>
      </c>
      <c r="M25" s="32" t="str">
        <f aca="true">IF(L25="","",L25-TODAY())</f>
        <v/>
      </c>
      <c r="N25" s="19" t="str">
        <f aca="true">IF(E25="","",IF(AND(K25&lt;&gt;"",OR(H25="",K25&gt;=H25)),IF(J25="CMRI","Aguardar a CMRI (até a 3ª reunião mensal depois da autuação)","Aguardar decisão do recurso ou da reclamação"),IF(H25="",IF(TODAY()&lt;=G25,"Aguardar resposta do órgão",IF(TODAY()&lt;E25+30,"Prazo vencido: reclamação (modelo E) a partir da próxima data",IF(TODAY()&lt;=E25+40,"Fazer reclamação (modelo E) até a próxima data","Janela de reclamação encerrada: novo pedido ou modelo G"))),IF(I25="Atendido","Concluído: registre a resposta no Log",IF(OR(I25="Negado",I25="Atendido em parte"),"Recorrer (modelo B ou D) até a próxima data","Preencha o resultado da resposta")))))</f>
        <v/>
      </c>
      <c r="O25" s="27"/>
      <c r="P25" s="5"/>
    </row>
    <row r="26" customFormat="false" ht="15" hidden="false" customHeight="false" outlineLevel="0" collapsed="false">
      <c r="A26" s="27"/>
      <c r="B26" s="5"/>
      <c r="C26" s="14"/>
      <c r="D26" s="5"/>
      <c r="E26" s="18"/>
      <c r="F26" s="14"/>
      <c r="G26" s="31" t="str">
        <f aca="false">IF(E26="","",E26+IF(F26="Sim",30,20))</f>
        <v/>
      </c>
      <c r="H26" s="18"/>
      <c r="I26" s="14"/>
      <c r="J26" s="14"/>
      <c r="K26" s="18"/>
      <c r="L26" s="31" t="str">
        <f aca="true">IF(E26="","",IF(AND(K26&lt;&gt;"",OR(H26="",K26&gt;=H26)),IF(J26="CMRI","",K26+5),IF(H26="",IF(TODAY()&lt;=G26,G26,IF(TODAY()&lt;E26+30,E26+30,E26+40)),IF(OR(I26="Negado",I26="Atendido em parte"),H26+10,""))))</f>
        <v/>
      </c>
      <c r="M26" s="32" t="str">
        <f aca="true">IF(L26="","",L26-TODAY())</f>
        <v/>
      </c>
      <c r="N26" s="19" t="str">
        <f aca="true">IF(E26="","",IF(AND(K26&lt;&gt;"",OR(H26="",K26&gt;=H26)),IF(J26="CMRI","Aguardar a CMRI (até a 3ª reunião mensal depois da autuação)","Aguardar decisão do recurso ou da reclamação"),IF(H26="",IF(TODAY()&lt;=G26,"Aguardar resposta do órgão",IF(TODAY()&lt;E26+30,"Prazo vencido: reclamação (modelo E) a partir da próxima data",IF(TODAY()&lt;=E26+40,"Fazer reclamação (modelo E) até a próxima data","Janela de reclamação encerrada: novo pedido ou modelo G"))),IF(I26="Atendido","Concluído: registre a resposta no Log",IF(OR(I26="Negado",I26="Atendido em parte"),"Recorrer (modelo B ou D) até a próxima data","Preencha o resultado da resposta")))))</f>
        <v/>
      </c>
      <c r="O26" s="27"/>
      <c r="P26" s="5"/>
    </row>
    <row r="27" customFormat="false" ht="15" hidden="false" customHeight="false" outlineLevel="0" collapsed="false">
      <c r="A27" s="27"/>
      <c r="B27" s="5"/>
      <c r="C27" s="14"/>
      <c r="D27" s="5"/>
      <c r="E27" s="18"/>
      <c r="F27" s="14"/>
      <c r="G27" s="31" t="str">
        <f aca="false">IF(E27="","",E27+IF(F27="Sim",30,20))</f>
        <v/>
      </c>
      <c r="H27" s="18"/>
      <c r="I27" s="14"/>
      <c r="J27" s="14"/>
      <c r="K27" s="18"/>
      <c r="L27" s="31" t="str">
        <f aca="true">IF(E27="","",IF(AND(K27&lt;&gt;"",OR(H27="",K27&gt;=H27)),IF(J27="CMRI","",K27+5),IF(H27="",IF(TODAY()&lt;=G27,G27,IF(TODAY()&lt;E27+30,E27+30,E27+40)),IF(OR(I27="Negado",I27="Atendido em parte"),H27+10,""))))</f>
        <v/>
      </c>
      <c r="M27" s="32" t="str">
        <f aca="true">IF(L27="","",L27-TODAY())</f>
        <v/>
      </c>
      <c r="N27" s="19" t="str">
        <f aca="true">IF(E27="","",IF(AND(K27&lt;&gt;"",OR(H27="",K27&gt;=H27)),IF(J27="CMRI","Aguardar a CMRI (até a 3ª reunião mensal depois da autuação)","Aguardar decisão do recurso ou da reclamação"),IF(H27="",IF(TODAY()&lt;=G27,"Aguardar resposta do órgão",IF(TODAY()&lt;E27+30,"Prazo vencido: reclamação (modelo E) a partir da próxima data",IF(TODAY()&lt;=E27+40,"Fazer reclamação (modelo E) até a próxima data","Janela de reclamação encerrada: novo pedido ou modelo G"))),IF(I27="Atendido","Concluído: registre a resposta no Log",IF(OR(I27="Negado",I27="Atendido em parte"),"Recorrer (modelo B ou D) até a próxima data","Preencha o resultado da resposta")))))</f>
        <v/>
      </c>
      <c r="O27" s="27"/>
      <c r="P27" s="5"/>
    </row>
    <row r="28" customFormat="false" ht="15" hidden="false" customHeight="false" outlineLevel="0" collapsed="false">
      <c r="A28" s="27"/>
      <c r="B28" s="5"/>
      <c r="C28" s="14"/>
      <c r="D28" s="5"/>
      <c r="E28" s="18"/>
      <c r="F28" s="14"/>
      <c r="G28" s="31" t="str">
        <f aca="false">IF(E28="","",E28+IF(F28="Sim",30,20))</f>
        <v/>
      </c>
      <c r="H28" s="18"/>
      <c r="I28" s="14"/>
      <c r="J28" s="14"/>
      <c r="K28" s="18"/>
      <c r="L28" s="31" t="str">
        <f aca="true">IF(E28="","",IF(AND(K28&lt;&gt;"",OR(H28="",K28&gt;=H28)),IF(J28="CMRI","",K28+5),IF(H28="",IF(TODAY()&lt;=G28,G28,IF(TODAY()&lt;E28+30,E28+30,E28+40)),IF(OR(I28="Negado",I28="Atendido em parte"),H28+10,""))))</f>
        <v/>
      </c>
      <c r="M28" s="32" t="str">
        <f aca="true">IF(L28="","",L28-TODAY())</f>
        <v/>
      </c>
      <c r="N28" s="19" t="str">
        <f aca="true">IF(E28="","",IF(AND(K28&lt;&gt;"",OR(H28="",K28&gt;=H28)),IF(J28="CMRI","Aguardar a CMRI (até a 3ª reunião mensal depois da autuação)","Aguardar decisão do recurso ou da reclamação"),IF(H28="",IF(TODAY()&lt;=G28,"Aguardar resposta do órgão",IF(TODAY()&lt;E28+30,"Prazo vencido: reclamação (modelo E) a partir da próxima data",IF(TODAY()&lt;=E28+40,"Fazer reclamação (modelo E) até a próxima data","Janela de reclamação encerrada: novo pedido ou modelo G"))),IF(I28="Atendido","Concluído: registre a resposta no Log",IF(OR(I28="Negado",I28="Atendido em parte"),"Recorrer (modelo B ou D) até a próxima data","Preencha o resultado da resposta")))))</f>
        <v/>
      </c>
      <c r="O28" s="27"/>
      <c r="P28" s="5"/>
    </row>
    <row r="29" customFormat="false" ht="15" hidden="false" customHeight="false" outlineLevel="0" collapsed="false">
      <c r="A29" s="27"/>
      <c r="B29" s="5"/>
      <c r="C29" s="14"/>
      <c r="D29" s="5"/>
      <c r="E29" s="18"/>
      <c r="F29" s="14"/>
      <c r="G29" s="31" t="str">
        <f aca="false">IF(E29="","",E29+IF(F29="Sim",30,20))</f>
        <v/>
      </c>
      <c r="H29" s="18"/>
      <c r="I29" s="14"/>
      <c r="J29" s="14"/>
      <c r="K29" s="18"/>
      <c r="L29" s="31" t="str">
        <f aca="true">IF(E29="","",IF(AND(K29&lt;&gt;"",OR(H29="",K29&gt;=H29)),IF(J29="CMRI","",K29+5),IF(H29="",IF(TODAY()&lt;=G29,G29,IF(TODAY()&lt;E29+30,E29+30,E29+40)),IF(OR(I29="Negado",I29="Atendido em parte"),H29+10,""))))</f>
        <v/>
      </c>
      <c r="M29" s="32" t="str">
        <f aca="true">IF(L29="","",L29-TODAY())</f>
        <v/>
      </c>
      <c r="N29" s="19" t="str">
        <f aca="true">IF(E29="","",IF(AND(K29&lt;&gt;"",OR(H29="",K29&gt;=H29)),IF(J29="CMRI","Aguardar a CMRI (até a 3ª reunião mensal depois da autuação)","Aguardar decisão do recurso ou da reclamação"),IF(H29="",IF(TODAY()&lt;=G29,"Aguardar resposta do órgão",IF(TODAY()&lt;E29+30,"Prazo vencido: reclamação (modelo E) a partir da próxima data",IF(TODAY()&lt;=E29+40,"Fazer reclamação (modelo E) até a próxima data","Janela de reclamação encerrada: novo pedido ou modelo G"))),IF(I29="Atendido","Concluído: registre a resposta no Log",IF(OR(I29="Negado",I29="Atendido em parte"),"Recorrer (modelo B ou D) até a próxima data","Preencha o resultado da resposta")))))</f>
        <v/>
      </c>
      <c r="O29" s="27"/>
      <c r="P29" s="5"/>
    </row>
    <row r="30" customFormat="false" ht="15" hidden="false" customHeight="false" outlineLevel="0" collapsed="false">
      <c r="A30" s="27"/>
      <c r="B30" s="5"/>
      <c r="C30" s="14"/>
      <c r="D30" s="5"/>
      <c r="E30" s="18"/>
      <c r="F30" s="14"/>
      <c r="G30" s="31" t="str">
        <f aca="false">IF(E30="","",E30+IF(F30="Sim",30,20))</f>
        <v/>
      </c>
      <c r="H30" s="18"/>
      <c r="I30" s="14"/>
      <c r="J30" s="14"/>
      <c r="K30" s="18"/>
      <c r="L30" s="31" t="str">
        <f aca="true">IF(E30="","",IF(AND(K30&lt;&gt;"",OR(H30="",K30&gt;=H30)),IF(J30="CMRI","",K30+5),IF(H30="",IF(TODAY()&lt;=G30,G30,IF(TODAY()&lt;E30+30,E30+30,E30+40)),IF(OR(I30="Negado",I30="Atendido em parte"),H30+10,""))))</f>
        <v/>
      </c>
      <c r="M30" s="32" t="str">
        <f aca="true">IF(L30="","",L30-TODAY())</f>
        <v/>
      </c>
      <c r="N30" s="19" t="str">
        <f aca="true">IF(E30="","",IF(AND(K30&lt;&gt;"",OR(H30="",K30&gt;=H30)),IF(J30="CMRI","Aguardar a CMRI (até a 3ª reunião mensal depois da autuação)","Aguardar decisão do recurso ou da reclamação"),IF(H30="",IF(TODAY()&lt;=G30,"Aguardar resposta do órgão",IF(TODAY()&lt;E30+30,"Prazo vencido: reclamação (modelo E) a partir da próxima data",IF(TODAY()&lt;=E30+40,"Fazer reclamação (modelo E) até a próxima data","Janela de reclamação encerrada: novo pedido ou modelo G"))),IF(I30="Atendido","Concluído: registre a resposta no Log",IF(OR(I30="Negado",I30="Atendido em parte"),"Recorrer (modelo B ou D) até a próxima data","Preencha o resultado da resposta")))))</f>
        <v/>
      </c>
      <c r="O30" s="27"/>
      <c r="P30" s="5"/>
    </row>
    <row r="31" customFormat="false" ht="15" hidden="false" customHeight="false" outlineLevel="0" collapsed="false">
      <c r="A31" s="27"/>
      <c r="B31" s="5"/>
      <c r="C31" s="14"/>
      <c r="D31" s="5"/>
      <c r="E31" s="18"/>
      <c r="F31" s="14"/>
      <c r="G31" s="31" t="str">
        <f aca="false">IF(E31="","",E31+IF(F31="Sim",30,20))</f>
        <v/>
      </c>
      <c r="H31" s="18"/>
      <c r="I31" s="14"/>
      <c r="J31" s="14"/>
      <c r="K31" s="18"/>
      <c r="L31" s="31" t="str">
        <f aca="true">IF(E31="","",IF(AND(K31&lt;&gt;"",OR(H31="",K31&gt;=H31)),IF(J31="CMRI","",K31+5),IF(H31="",IF(TODAY()&lt;=G31,G31,IF(TODAY()&lt;E31+30,E31+30,E31+40)),IF(OR(I31="Negado",I31="Atendido em parte"),H31+10,""))))</f>
        <v/>
      </c>
      <c r="M31" s="32" t="str">
        <f aca="true">IF(L31="","",L31-TODAY())</f>
        <v/>
      </c>
      <c r="N31" s="19" t="str">
        <f aca="true">IF(E31="","",IF(AND(K31&lt;&gt;"",OR(H31="",K31&gt;=H31)),IF(J31="CMRI","Aguardar a CMRI (até a 3ª reunião mensal depois da autuação)","Aguardar decisão do recurso ou da reclamação"),IF(H31="",IF(TODAY()&lt;=G31,"Aguardar resposta do órgão",IF(TODAY()&lt;E31+30,"Prazo vencido: reclamação (modelo E) a partir da próxima data",IF(TODAY()&lt;=E31+40,"Fazer reclamação (modelo E) até a próxima data","Janela de reclamação encerrada: novo pedido ou modelo G"))),IF(I31="Atendido","Concluído: registre a resposta no Log",IF(OR(I31="Negado",I31="Atendido em parte"),"Recorrer (modelo B ou D) até a próxima data","Preencha o resultado da resposta")))))</f>
        <v/>
      </c>
      <c r="O31" s="27"/>
      <c r="P31" s="5"/>
    </row>
    <row r="32" customFormat="false" ht="15" hidden="false" customHeight="false" outlineLevel="0" collapsed="false">
      <c r="A32" s="27"/>
      <c r="B32" s="5"/>
      <c r="C32" s="14"/>
      <c r="D32" s="5"/>
      <c r="E32" s="18"/>
      <c r="F32" s="14"/>
      <c r="G32" s="31" t="str">
        <f aca="false">IF(E32="","",E32+IF(F32="Sim",30,20))</f>
        <v/>
      </c>
      <c r="H32" s="18"/>
      <c r="I32" s="14"/>
      <c r="J32" s="14"/>
      <c r="K32" s="18"/>
      <c r="L32" s="31" t="str">
        <f aca="true">IF(E32="","",IF(AND(K32&lt;&gt;"",OR(H32="",K32&gt;=H32)),IF(J32="CMRI","",K32+5),IF(H32="",IF(TODAY()&lt;=G32,G32,IF(TODAY()&lt;E32+30,E32+30,E32+40)),IF(OR(I32="Negado",I32="Atendido em parte"),H32+10,""))))</f>
        <v/>
      </c>
      <c r="M32" s="32" t="str">
        <f aca="true">IF(L32="","",L32-TODAY())</f>
        <v/>
      </c>
      <c r="N32" s="19" t="str">
        <f aca="true">IF(E32="","",IF(AND(K32&lt;&gt;"",OR(H32="",K32&gt;=H32)),IF(J32="CMRI","Aguardar a CMRI (até a 3ª reunião mensal depois da autuação)","Aguardar decisão do recurso ou da reclamação"),IF(H32="",IF(TODAY()&lt;=G32,"Aguardar resposta do órgão",IF(TODAY()&lt;E32+30,"Prazo vencido: reclamação (modelo E) a partir da próxima data",IF(TODAY()&lt;=E32+40,"Fazer reclamação (modelo E) até a próxima data","Janela de reclamação encerrada: novo pedido ou modelo G"))),IF(I32="Atendido","Concluído: registre a resposta no Log",IF(OR(I32="Negado",I32="Atendido em parte"),"Recorrer (modelo B ou D) até a próxima data","Preencha o resultado da resposta")))))</f>
        <v/>
      </c>
      <c r="O32" s="27"/>
      <c r="P32" s="5"/>
    </row>
    <row r="33" customFormat="false" ht="15" hidden="false" customHeight="false" outlineLevel="0" collapsed="false">
      <c r="A33" s="27"/>
      <c r="B33" s="5"/>
      <c r="C33" s="14"/>
      <c r="D33" s="5"/>
      <c r="E33" s="18"/>
      <c r="F33" s="14"/>
      <c r="G33" s="31" t="str">
        <f aca="false">IF(E33="","",E33+IF(F33="Sim",30,20))</f>
        <v/>
      </c>
      <c r="H33" s="18"/>
      <c r="I33" s="14"/>
      <c r="J33" s="14"/>
      <c r="K33" s="18"/>
      <c r="L33" s="31" t="str">
        <f aca="true">IF(E33="","",IF(AND(K33&lt;&gt;"",OR(H33="",K33&gt;=H33)),IF(J33="CMRI","",K33+5),IF(H33="",IF(TODAY()&lt;=G33,G33,IF(TODAY()&lt;E33+30,E33+30,E33+40)),IF(OR(I33="Negado",I33="Atendido em parte"),H33+10,""))))</f>
        <v/>
      </c>
      <c r="M33" s="32" t="str">
        <f aca="true">IF(L33="","",L33-TODAY())</f>
        <v/>
      </c>
      <c r="N33" s="19" t="str">
        <f aca="true">IF(E33="","",IF(AND(K33&lt;&gt;"",OR(H33="",K33&gt;=H33)),IF(J33="CMRI","Aguardar a CMRI (até a 3ª reunião mensal depois da autuação)","Aguardar decisão do recurso ou da reclamação"),IF(H33="",IF(TODAY()&lt;=G33,"Aguardar resposta do órgão",IF(TODAY()&lt;E33+30,"Prazo vencido: reclamação (modelo E) a partir da próxima data",IF(TODAY()&lt;=E33+40,"Fazer reclamação (modelo E) até a próxima data","Janela de reclamação encerrada: novo pedido ou modelo G"))),IF(I33="Atendido","Concluído: registre a resposta no Log",IF(OR(I33="Negado",I33="Atendido em parte"),"Recorrer (modelo B ou D) até a próxima data","Preencha o resultado da resposta")))))</f>
        <v/>
      </c>
      <c r="O33" s="27"/>
      <c r="P33" s="5"/>
    </row>
    <row r="34" customFormat="false" ht="15" hidden="false" customHeight="false" outlineLevel="0" collapsed="false">
      <c r="A34" s="27"/>
      <c r="B34" s="5"/>
      <c r="C34" s="14"/>
      <c r="D34" s="5"/>
      <c r="E34" s="18"/>
      <c r="F34" s="14"/>
      <c r="G34" s="31" t="str">
        <f aca="false">IF(E34="","",E34+IF(F34="Sim",30,20))</f>
        <v/>
      </c>
      <c r="H34" s="18"/>
      <c r="I34" s="14"/>
      <c r="J34" s="14"/>
      <c r="K34" s="18"/>
      <c r="L34" s="31" t="str">
        <f aca="true">IF(E34="","",IF(AND(K34&lt;&gt;"",OR(H34="",K34&gt;=H34)),IF(J34="CMRI","",K34+5),IF(H34="",IF(TODAY()&lt;=G34,G34,IF(TODAY()&lt;E34+30,E34+30,E34+40)),IF(OR(I34="Negado",I34="Atendido em parte"),H34+10,""))))</f>
        <v/>
      </c>
      <c r="M34" s="32" t="str">
        <f aca="true">IF(L34="","",L34-TODAY())</f>
        <v/>
      </c>
      <c r="N34" s="19" t="str">
        <f aca="true">IF(E34="","",IF(AND(K34&lt;&gt;"",OR(H34="",K34&gt;=H34)),IF(J34="CMRI","Aguardar a CMRI (até a 3ª reunião mensal depois da autuação)","Aguardar decisão do recurso ou da reclamação"),IF(H34="",IF(TODAY()&lt;=G34,"Aguardar resposta do órgão",IF(TODAY()&lt;E34+30,"Prazo vencido: reclamação (modelo E) a partir da próxima data",IF(TODAY()&lt;=E34+40,"Fazer reclamação (modelo E) até a próxima data","Janela de reclamação encerrada: novo pedido ou modelo G"))),IF(I34="Atendido","Concluído: registre a resposta no Log",IF(OR(I34="Negado",I34="Atendido em parte"),"Recorrer (modelo B ou D) até a próxima data","Preencha o resultado da resposta")))))</f>
        <v/>
      </c>
      <c r="O34" s="27"/>
      <c r="P34" s="5"/>
    </row>
    <row r="35" customFormat="false" ht="15" hidden="false" customHeight="false" outlineLevel="0" collapsed="false">
      <c r="A35" s="27"/>
      <c r="B35" s="5"/>
      <c r="C35" s="14"/>
      <c r="D35" s="5"/>
      <c r="E35" s="18"/>
      <c r="F35" s="14"/>
      <c r="G35" s="31" t="str">
        <f aca="false">IF(E35="","",E35+IF(F35="Sim",30,20))</f>
        <v/>
      </c>
      <c r="H35" s="18"/>
      <c r="I35" s="14"/>
      <c r="J35" s="14"/>
      <c r="K35" s="18"/>
      <c r="L35" s="31" t="str">
        <f aca="true">IF(E35="","",IF(AND(K35&lt;&gt;"",OR(H35="",K35&gt;=H35)),IF(J35="CMRI","",K35+5),IF(H35="",IF(TODAY()&lt;=G35,G35,IF(TODAY()&lt;E35+30,E35+30,E35+40)),IF(OR(I35="Negado",I35="Atendido em parte"),H35+10,""))))</f>
        <v/>
      </c>
      <c r="M35" s="32" t="str">
        <f aca="true">IF(L35="","",L35-TODAY())</f>
        <v/>
      </c>
      <c r="N35" s="19" t="str">
        <f aca="true">IF(E35="","",IF(AND(K35&lt;&gt;"",OR(H35="",K35&gt;=H35)),IF(J35="CMRI","Aguardar a CMRI (até a 3ª reunião mensal depois da autuação)","Aguardar decisão do recurso ou da reclamação"),IF(H35="",IF(TODAY()&lt;=G35,"Aguardar resposta do órgão",IF(TODAY()&lt;E35+30,"Prazo vencido: reclamação (modelo E) a partir da próxima data",IF(TODAY()&lt;=E35+40,"Fazer reclamação (modelo E) até a próxima data","Janela de reclamação encerrada: novo pedido ou modelo G"))),IF(I35="Atendido","Concluído: registre a resposta no Log",IF(OR(I35="Negado",I35="Atendido em parte"),"Recorrer (modelo B ou D) até a próxima data","Preencha o resultado da resposta")))))</f>
        <v/>
      </c>
      <c r="O35" s="27"/>
      <c r="P35" s="5"/>
    </row>
    <row r="36" customFormat="false" ht="15" hidden="false" customHeight="false" outlineLevel="0" collapsed="false">
      <c r="A36" s="27"/>
      <c r="B36" s="5"/>
      <c r="C36" s="14"/>
      <c r="D36" s="5"/>
      <c r="E36" s="18"/>
      <c r="F36" s="14"/>
      <c r="G36" s="31" t="str">
        <f aca="false">IF(E36="","",E36+IF(F36="Sim",30,20))</f>
        <v/>
      </c>
      <c r="H36" s="18"/>
      <c r="I36" s="14"/>
      <c r="J36" s="14"/>
      <c r="K36" s="18"/>
      <c r="L36" s="31" t="str">
        <f aca="true">IF(E36="","",IF(AND(K36&lt;&gt;"",OR(H36="",K36&gt;=H36)),IF(J36="CMRI","",K36+5),IF(H36="",IF(TODAY()&lt;=G36,G36,IF(TODAY()&lt;E36+30,E36+30,E36+40)),IF(OR(I36="Negado",I36="Atendido em parte"),H36+10,""))))</f>
        <v/>
      </c>
      <c r="M36" s="32" t="str">
        <f aca="true">IF(L36="","",L36-TODAY())</f>
        <v/>
      </c>
      <c r="N36" s="19" t="str">
        <f aca="true">IF(E36="","",IF(AND(K36&lt;&gt;"",OR(H36="",K36&gt;=H36)),IF(J36="CMRI","Aguardar a CMRI (até a 3ª reunião mensal depois da autuação)","Aguardar decisão do recurso ou da reclamação"),IF(H36="",IF(TODAY()&lt;=G36,"Aguardar resposta do órgão",IF(TODAY()&lt;E36+30,"Prazo vencido: reclamação (modelo E) a partir da próxima data",IF(TODAY()&lt;=E36+40,"Fazer reclamação (modelo E) até a próxima data","Janela de reclamação encerrada: novo pedido ou modelo G"))),IF(I36="Atendido","Concluído: registre a resposta no Log",IF(OR(I36="Negado",I36="Atendido em parte"),"Recorrer (modelo B ou D) até a próxima data","Preencha o resultado da resposta")))))</f>
        <v/>
      </c>
      <c r="O36" s="27"/>
      <c r="P36" s="5"/>
    </row>
    <row r="37" customFormat="false" ht="15" hidden="false" customHeight="false" outlineLevel="0" collapsed="false">
      <c r="A37" s="27"/>
      <c r="B37" s="5"/>
      <c r="C37" s="14"/>
      <c r="D37" s="5"/>
      <c r="E37" s="18"/>
      <c r="F37" s="14"/>
      <c r="G37" s="31" t="str">
        <f aca="false">IF(E37="","",E37+IF(F37="Sim",30,20))</f>
        <v/>
      </c>
      <c r="H37" s="18"/>
      <c r="I37" s="14"/>
      <c r="J37" s="14"/>
      <c r="K37" s="18"/>
      <c r="L37" s="31" t="str">
        <f aca="true">IF(E37="","",IF(AND(K37&lt;&gt;"",OR(H37="",K37&gt;=H37)),IF(J37="CMRI","",K37+5),IF(H37="",IF(TODAY()&lt;=G37,G37,IF(TODAY()&lt;E37+30,E37+30,E37+40)),IF(OR(I37="Negado",I37="Atendido em parte"),H37+10,""))))</f>
        <v/>
      </c>
      <c r="M37" s="32" t="str">
        <f aca="true">IF(L37="","",L37-TODAY())</f>
        <v/>
      </c>
      <c r="N37" s="19" t="str">
        <f aca="true">IF(E37="","",IF(AND(K37&lt;&gt;"",OR(H37="",K37&gt;=H37)),IF(J37="CMRI","Aguardar a CMRI (até a 3ª reunião mensal depois da autuação)","Aguardar decisão do recurso ou da reclamação"),IF(H37="",IF(TODAY()&lt;=G37,"Aguardar resposta do órgão",IF(TODAY()&lt;E37+30,"Prazo vencido: reclamação (modelo E) a partir da próxima data",IF(TODAY()&lt;=E37+40,"Fazer reclamação (modelo E) até a próxima data","Janela de reclamação encerrada: novo pedido ou modelo G"))),IF(I37="Atendido","Concluído: registre a resposta no Log",IF(OR(I37="Negado",I37="Atendido em parte"),"Recorrer (modelo B ou D) até a próxima data","Preencha o resultado da resposta")))))</f>
        <v/>
      </c>
      <c r="O37" s="27"/>
      <c r="P37" s="5"/>
    </row>
    <row r="38" customFormat="false" ht="15" hidden="false" customHeight="false" outlineLevel="0" collapsed="false">
      <c r="A38" s="27"/>
      <c r="B38" s="5"/>
      <c r="C38" s="14"/>
      <c r="D38" s="5"/>
      <c r="E38" s="18"/>
      <c r="F38" s="14"/>
      <c r="G38" s="31" t="str">
        <f aca="false">IF(E38="","",E38+IF(F38="Sim",30,20))</f>
        <v/>
      </c>
      <c r="H38" s="18"/>
      <c r="I38" s="14"/>
      <c r="J38" s="14"/>
      <c r="K38" s="18"/>
      <c r="L38" s="31" t="str">
        <f aca="true">IF(E38="","",IF(AND(K38&lt;&gt;"",OR(H38="",K38&gt;=H38)),IF(J38="CMRI","",K38+5),IF(H38="",IF(TODAY()&lt;=G38,G38,IF(TODAY()&lt;E38+30,E38+30,E38+40)),IF(OR(I38="Negado",I38="Atendido em parte"),H38+10,""))))</f>
        <v/>
      </c>
      <c r="M38" s="32" t="str">
        <f aca="true">IF(L38="","",L38-TODAY())</f>
        <v/>
      </c>
      <c r="N38" s="19" t="str">
        <f aca="true">IF(E38="","",IF(AND(K38&lt;&gt;"",OR(H38="",K38&gt;=H38)),IF(J38="CMRI","Aguardar a CMRI (até a 3ª reunião mensal depois da autuação)","Aguardar decisão do recurso ou da reclamação"),IF(H38="",IF(TODAY()&lt;=G38,"Aguardar resposta do órgão",IF(TODAY()&lt;E38+30,"Prazo vencido: reclamação (modelo E) a partir da próxima data",IF(TODAY()&lt;=E38+40,"Fazer reclamação (modelo E) até a próxima data","Janela de reclamação encerrada: novo pedido ou modelo G"))),IF(I38="Atendido","Concluído: registre a resposta no Log",IF(OR(I38="Negado",I38="Atendido em parte"),"Recorrer (modelo B ou D) até a próxima data","Preencha o resultado da resposta")))))</f>
        <v/>
      </c>
      <c r="O38" s="27"/>
      <c r="P38" s="5"/>
    </row>
    <row r="39" customFormat="false" ht="15" hidden="false" customHeight="false" outlineLevel="0" collapsed="false">
      <c r="A39" s="27"/>
      <c r="B39" s="5"/>
      <c r="C39" s="14"/>
      <c r="D39" s="5"/>
      <c r="E39" s="18"/>
      <c r="F39" s="14"/>
      <c r="G39" s="31" t="str">
        <f aca="false">IF(E39="","",E39+IF(F39="Sim",30,20))</f>
        <v/>
      </c>
      <c r="H39" s="18"/>
      <c r="I39" s="14"/>
      <c r="J39" s="14"/>
      <c r="K39" s="18"/>
      <c r="L39" s="31" t="str">
        <f aca="true">IF(E39="","",IF(AND(K39&lt;&gt;"",OR(H39="",K39&gt;=H39)),IF(J39="CMRI","",K39+5),IF(H39="",IF(TODAY()&lt;=G39,G39,IF(TODAY()&lt;E39+30,E39+30,E39+40)),IF(OR(I39="Negado",I39="Atendido em parte"),H39+10,""))))</f>
        <v/>
      </c>
      <c r="M39" s="32" t="str">
        <f aca="true">IF(L39="","",L39-TODAY())</f>
        <v/>
      </c>
      <c r="N39" s="19" t="str">
        <f aca="true">IF(E39="","",IF(AND(K39&lt;&gt;"",OR(H39="",K39&gt;=H39)),IF(J39="CMRI","Aguardar a CMRI (até a 3ª reunião mensal depois da autuação)","Aguardar decisão do recurso ou da reclamação"),IF(H39="",IF(TODAY()&lt;=G39,"Aguardar resposta do órgão",IF(TODAY()&lt;E39+30,"Prazo vencido: reclamação (modelo E) a partir da próxima data",IF(TODAY()&lt;=E39+40,"Fazer reclamação (modelo E) até a próxima data","Janela de reclamação encerrada: novo pedido ou modelo G"))),IF(I39="Atendido","Concluído: registre a resposta no Log",IF(OR(I39="Negado",I39="Atendido em parte"),"Recorrer (modelo B ou D) até a próxima data","Preencha o resultado da resposta")))))</f>
        <v/>
      </c>
      <c r="O39" s="27"/>
      <c r="P39" s="5"/>
    </row>
    <row r="40" customFormat="false" ht="15" hidden="false" customHeight="false" outlineLevel="0" collapsed="false">
      <c r="A40" s="27"/>
      <c r="B40" s="5"/>
      <c r="C40" s="14"/>
      <c r="D40" s="5"/>
      <c r="E40" s="18"/>
      <c r="F40" s="14"/>
      <c r="G40" s="31" t="str">
        <f aca="false">IF(E40="","",E40+IF(F40="Sim",30,20))</f>
        <v/>
      </c>
      <c r="H40" s="18"/>
      <c r="I40" s="14"/>
      <c r="J40" s="14"/>
      <c r="K40" s="18"/>
      <c r="L40" s="31" t="str">
        <f aca="true">IF(E40="","",IF(AND(K40&lt;&gt;"",OR(H40="",K40&gt;=H40)),IF(J40="CMRI","",K40+5),IF(H40="",IF(TODAY()&lt;=G40,G40,IF(TODAY()&lt;E40+30,E40+30,E40+40)),IF(OR(I40="Negado",I40="Atendido em parte"),H40+10,""))))</f>
        <v/>
      </c>
      <c r="M40" s="32" t="str">
        <f aca="true">IF(L40="","",L40-TODAY())</f>
        <v/>
      </c>
      <c r="N40" s="19" t="str">
        <f aca="true">IF(E40="","",IF(AND(K40&lt;&gt;"",OR(H40="",K40&gt;=H40)),IF(J40="CMRI","Aguardar a CMRI (até a 3ª reunião mensal depois da autuação)","Aguardar decisão do recurso ou da reclamação"),IF(H40="",IF(TODAY()&lt;=G40,"Aguardar resposta do órgão",IF(TODAY()&lt;E40+30,"Prazo vencido: reclamação (modelo E) a partir da próxima data",IF(TODAY()&lt;=E40+40,"Fazer reclamação (modelo E) até a próxima data","Janela de reclamação encerrada: novo pedido ou modelo G"))),IF(I40="Atendido","Concluído: registre a resposta no Log",IF(OR(I40="Negado",I40="Atendido em parte"),"Recorrer (modelo B ou D) até a próxima data","Preencha o resultado da resposta")))))</f>
        <v/>
      </c>
      <c r="O40" s="27"/>
      <c r="P40" s="5"/>
    </row>
    <row r="41" customFormat="false" ht="15" hidden="false" customHeight="false" outlineLevel="0" collapsed="false">
      <c r="A41" s="27"/>
      <c r="B41" s="5"/>
      <c r="C41" s="14"/>
      <c r="D41" s="5"/>
      <c r="E41" s="18"/>
      <c r="F41" s="14"/>
      <c r="G41" s="31" t="str">
        <f aca="false">IF(E41="","",E41+IF(F41="Sim",30,20))</f>
        <v/>
      </c>
      <c r="H41" s="18"/>
      <c r="I41" s="14"/>
      <c r="J41" s="14"/>
      <c r="K41" s="18"/>
      <c r="L41" s="31" t="str">
        <f aca="true">IF(E41="","",IF(AND(K41&lt;&gt;"",OR(H41="",K41&gt;=H41)),IF(J41="CMRI","",K41+5),IF(H41="",IF(TODAY()&lt;=G41,G41,IF(TODAY()&lt;E41+30,E41+30,E41+40)),IF(OR(I41="Negado",I41="Atendido em parte"),H41+10,""))))</f>
        <v/>
      </c>
      <c r="M41" s="32" t="str">
        <f aca="true">IF(L41="","",L41-TODAY())</f>
        <v/>
      </c>
      <c r="N41" s="19" t="str">
        <f aca="true">IF(E41="","",IF(AND(K41&lt;&gt;"",OR(H41="",K41&gt;=H41)),IF(J41="CMRI","Aguardar a CMRI (até a 3ª reunião mensal depois da autuação)","Aguardar decisão do recurso ou da reclamação"),IF(H41="",IF(TODAY()&lt;=G41,"Aguardar resposta do órgão",IF(TODAY()&lt;E41+30,"Prazo vencido: reclamação (modelo E) a partir da próxima data",IF(TODAY()&lt;=E41+40,"Fazer reclamação (modelo E) até a próxima data","Janela de reclamação encerrada: novo pedido ou modelo G"))),IF(I41="Atendido","Concluído: registre a resposta no Log",IF(OR(I41="Negado",I41="Atendido em parte"),"Recorrer (modelo B ou D) até a próxima data","Preencha o resultado da resposta")))))</f>
        <v/>
      </c>
      <c r="O41" s="27"/>
      <c r="P41" s="5"/>
    </row>
    <row r="42" customFormat="false" ht="15" hidden="false" customHeight="false" outlineLevel="0" collapsed="false">
      <c r="A42" s="27"/>
      <c r="B42" s="5"/>
      <c r="C42" s="14"/>
      <c r="D42" s="5"/>
      <c r="E42" s="18"/>
      <c r="F42" s="14"/>
      <c r="G42" s="31" t="str">
        <f aca="false">IF(E42="","",E42+IF(F42="Sim",30,20))</f>
        <v/>
      </c>
      <c r="H42" s="18"/>
      <c r="I42" s="14"/>
      <c r="J42" s="14"/>
      <c r="K42" s="18"/>
      <c r="L42" s="31" t="str">
        <f aca="true">IF(E42="","",IF(AND(K42&lt;&gt;"",OR(H42="",K42&gt;=H42)),IF(J42="CMRI","",K42+5),IF(H42="",IF(TODAY()&lt;=G42,G42,IF(TODAY()&lt;E42+30,E42+30,E42+40)),IF(OR(I42="Negado",I42="Atendido em parte"),H42+10,""))))</f>
        <v/>
      </c>
      <c r="M42" s="32" t="str">
        <f aca="true">IF(L42="","",L42-TODAY())</f>
        <v/>
      </c>
      <c r="N42" s="19" t="str">
        <f aca="true">IF(E42="","",IF(AND(K42&lt;&gt;"",OR(H42="",K42&gt;=H42)),IF(J42="CMRI","Aguardar a CMRI (até a 3ª reunião mensal depois da autuação)","Aguardar decisão do recurso ou da reclamação"),IF(H42="",IF(TODAY()&lt;=G42,"Aguardar resposta do órgão",IF(TODAY()&lt;E42+30,"Prazo vencido: reclamação (modelo E) a partir da próxima data",IF(TODAY()&lt;=E42+40,"Fazer reclamação (modelo E) até a próxima data","Janela de reclamação encerrada: novo pedido ou modelo G"))),IF(I42="Atendido","Concluído: registre a resposta no Log",IF(OR(I42="Negado",I42="Atendido em parte"),"Recorrer (modelo B ou D) até a próxima data","Preencha o resultado da resposta")))))</f>
        <v/>
      </c>
      <c r="O42" s="27"/>
      <c r="P42" s="5"/>
    </row>
    <row r="43" customFormat="false" ht="15" hidden="false" customHeight="false" outlineLevel="0" collapsed="false">
      <c r="A43" s="27"/>
      <c r="B43" s="5"/>
      <c r="C43" s="14"/>
      <c r="D43" s="5"/>
      <c r="E43" s="18"/>
      <c r="F43" s="14"/>
      <c r="G43" s="31" t="str">
        <f aca="false">IF(E43="","",E43+IF(F43="Sim",30,20))</f>
        <v/>
      </c>
      <c r="H43" s="18"/>
      <c r="I43" s="14"/>
      <c r="J43" s="14"/>
      <c r="K43" s="18"/>
      <c r="L43" s="31" t="str">
        <f aca="true">IF(E43="","",IF(AND(K43&lt;&gt;"",OR(H43="",K43&gt;=H43)),IF(J43="CMRI","",K43+5),IF(H43="",IF(TODAY()&lt;=G43,G43,IF(TODAY()&lt;E43+30,E43+30,E43+40)),IF(OR(I43="Negado",I43="Atendido em parte"),H43+10,""))))</f>
        <v/>
      </c>
      <c r="M43" s="32" t="str">
        <f aca="true">IF(L43="","",L43-TODAY())</f>
        <v/>
      </c>
      <c r="N43" s="19" t="str">
        <f aca="true">IF(E43="","",IF(AND(K43&lt;&gt;"",OR(H43="",K43&gt;=H43)),IF(J43="CMRI","Aguardar a CMRI (até a 3ª reunião mensal depois da autuação)","Aguardar decisão do recurso ou da reclamação"),IF(H43="",IF(TODAY()&lt;=G43,"Aguardar resposta do órgão",IF(TODAY()&lt;E43+30,"Prazo vencido: reclamação (modelo E) a partir da próxima data",IF(TODAY()&lt;=E43+40,"Fazer reclamação (modelo E) até a próxima data","Janela de reclamação encerrada: novo pedido ou modelo G"))),IF(I43="Atendido","Concluído: registre a resposta no Log",IF(OR(I43="Negado",I43="Atendido em parte"),"Recorrer (modelo B ou D) até a próxima data","Preencha o resultado da resposta")))))</f>
        <v/>
      </c>
      <c r="O43" s="27"/>
      <c r="P43" s="5"/>
    </row>
    <row r="44" customFormat="false" ht="15" hidden="false" customHeight="false" outlineLevel="0" collapsed="false">
      <c r="A44" s="27"/>
      <c r="B44" s="5"/>
      <c r="C44" s="14"/>
      <c r="D44" s="5"/>
      <c r="E44" s="18"/>
      <c r="F44" s="14"/>
      <c r="G44" s="31" t="str">
        <f aca="false">IF(E44="","",E44+IF(F44="Sim",30,20))</f>
        <v/>
      </c>
      <c r="H44" s="18"/>
      <c r="I44" s="14"/>
      <c r="J44" s="14"/>
      <c r="K44" s="18"/>
      <c r="L44" s="31" t="str">
        <f aca="true">IF(E44="","",IF(AND(K44&lt;&gt;"",OR(H44="",K44&gt;=H44)),IF(J44="CMRI","",K44+5),IF(H44="",IF(TODAY()&lt;=G44,G44,IF(TODAY()&lt;E44+30,E44+30,E44+40)),IF(OR(I44="Negado",I44="Atendido em parte"),H44+10,""))))</f>
        <v/>
      </c>
      <c r="M44" s="32" t="str">
        <f aca="true">IF(L44="","",L44-TODAY())</f>
        <v/>
      </c>
      <c r="N44" s="19" t="str">
        <f aca="true">IF(E44="","",IF(AND(K44&lt;&gt;"",OR(H44="",K44&gt;=H44)),IF(J44="CMRI","Aguardar a CMRI (até a 3ª reunião mensal depois da autuação)","Aguardar decisão do recurso ou da reclamação"),IF(H44="",IF(TODAY()&lt;=G44,"Aguardar resposta do órgão",IF(TODAY()&lt;E44+30,"Prazo vencido: reclamação (modelo E) a partir da próxima data",IF(TODAY()&lt;=E44+40,"Fazer reclamação (modelo E) até a próxima data","Janela de reclamação encerrada: novo pedido ou modelo G"))),IF(I44="Atendido","Concluído: registre a resposta no Log",IF(OR(I44="Negado",I44="Atendido em parte"),"Recorrer (modelo B ou D) até a próxima data","Preencha o resultado da resposta")))))</f>
        <v/>
      </c>
      <c r="O44" s="27"/>
      <c r="P44" s="5"/>
    </row>
    <row r="45" customFormat="false" ht="15" hidden="false" customHeight="false" outlineLevel="0" collapsed="false">
      <c r="A45" s="27"/>
      <c r="B45" s="5"/>
      <c r="C45" s="14"/>
      <c r="D45" s="5"/>
      <c r="E45" s="18"/>
      <c r="F45" s="14"/>
      <c r="G45" s="31" t="str">
        <f aca="false">IF(E45="","",E45+IF(F45="Sim",30,20))</f>
        <v/>
      </c>
      <c r="H45" s="18"/>
      <c r="I45" s="14"/>
      <c r="J45" s="14"/>
      <c r="K45" s="18"/>
      <c r="L45" s="31" t="str">
        <f aca="true">IF(E45="","",IF(AND(K45&lt;&gt;"",OR(H45="",K45&gt;=H45)),IF(J45="CMRI","",K45+5),IF(H45="",IF(TODAY()&lt;=G45,G45,IF(TODAY()&lt;E45+30,E45+30,E45+40)),IF(OR(I45="Negado",I45="Atendido em parte"),H45+10,""))))</f>
        <v/>
      </c>
      <c r="M45" s="32" t="str">
        <f aca="true">IF(L45="","",L45-TODAY())</f>
        <v/>
      </c>
      <c r="N45" s="19" t="str">
        <f aca="true">IF(E45="","",IF(AND(K45&lt;&gt;"",OR(H45="",K45&gt;=H45)),IF(J45="CMRI","Aguardar a CMRI (até a 3ª reunião mensal depois da autuação)","Aguardar decisão do recurso ou da reclamação"),IF(H45="",IF(TODAY()&lt;=G45,"Aguardar resposta do órgão",IF(TODAY()&lt;E45+30,"Prazo vencido: reclamação (modelo E) a partir da próxima data",IF(TODAY()&lt;=E45+40,"Fazer reclamação (modelo E) até a próxima data","Janela de reclamação encerrada: novo pedido ou modelo G"))),IF(I45="Atendido","Concluído: registre a resposta no Log",IF(OR(I45="Negado",I45="Atendido em parte"),"Recorrer (modelo B ou D) até a próxima data","Preencha o resultado da resposta")))))</f>
        <v/>
      </c>
      <c r="O45" s="27"/>
      <c r="P45" s="5"/>
    </row>
    <row r="46" customFormat="false" ht="15" hidden="false" customHeight="false" outlineLevel="0" collapsed="false">
      <c r="A46" s="27"/>
      <c r="B46" s="5"/>
      <c r="C46" s="14"/>
      <c r="D46" s="5"/>
      <c r="E46" s="18"/>
      <c r="F46" s="14"/>
      <c r="G46" s="31" t="str">
        <f aca="false">IF(E46="","",E46+IF(F46="Sim",30,20))</f>
        <v/>
      </c>
      <c r="H46" s="18"/>
      <c r="I46" s="14"/>
      <c r="J46" s="14"/>
      <c r="K46" s="18"/>
      <c r="L46" s="31" t="str">
        <f aca="true">IF(E46="","",IF(AND(K46&lt;&gt;"",OR(H46="",K46&gt;=H46)),IF(J46="CMRI","",K46+5),IF(H46="",IF(TODAY()&lt;=G46,G46,IF(TODAY()&lt;E46+30,E46+30,E46+40)),IF(OR(I46="Negado",I46="Atendido em parte"),H46+10,""))))</f>
        <v/>
      </c>
      <c r="M46" s="32" t="str">
        <f aca="true">IF(L46="","",L46-TODAY())</f>
        <v/>
      </c>
      <c r="N46" s="19" t="str">
        <f aca="true">IF(E46="","",IF(AND(K46&lt;&gt;"",OR(H46="",K46&gt;=H46)),IF(J46="CMRI","Aguardar a CMRI (até a 3ª reunião mensal depois da autuação)","Aguardar decisão do recurso ou da reclamação"),IF(H46="",IF(TODAY()&lt;=G46,"Aguardar resposta do órgão",IF(TODAY()&lt;E46+30,"Prazo vencido: reclamação (modelo E) a partir da próxima data",IF(TODAY()&lt;=E46+40,"Fazer reclamação (modelo E) até a próxima data","Janela de reclamação encerrada: novo pedido ou modelo G"))),IF(I46="Atendido","Concluído: registre a resposta no Log",IF(OR(I46="Negado",I46="Atendido em parte"),"Recorrer (modelo B ou D) até a próxima data","Preencha o resultado da resposta")))))</f>
        <v/>
      </c>
      <c r="O46" s="27"/>
      <c r="P46" s="5"/>
    </row>
    <row r="47" customFormat="false" ht="15" hidden="false" customHeight="false" outlineLevel="0" collapsed="false">
      <c r="A47" s="27"/>
      <c r="B47" s="5"/>
      <c r="C47" s="14"/>
      <c r="D47" s="5"/>
      <c r="E47" s="18"/>
      <c r="F47" s="14"/>
      <c r="G47" s="31" t="str">
        <f aca="false">IF(E47="","",E47+IF(F47="Sim",30,20))</f>
        <v/>
      </c>
      <c r="H47" s="18"/>
      <c r="I47" s="14"/>
      <c r="J47" s="14"/>
      <c r="K47" s="18"/>
      <c r="L47" s="31" t="str">
        <f aca="true">IF(E47="","",IF(AND(K47&lt;&gt;"",OR(H47="",K47&gt;=H47)),IF(J47="CMRI","",K47+5),IF(H47="",IF(TODAY()&lt;=G47,G47,IF(TODAY()&lt;E47+30,E47+30,E47+40)),IF(OR(I47="Negado",I47="Atendido em parte"),H47+10,""))))</f>
        <v/>
      </c>
      <c r="M47" s="32" t="str">
        <f aca="true">IF(L47="","",L47-TODAY())</f>
        <v/>
      </c>
      <c r="N47" s="19" t="str">
        <f aca="true">IF(E47="","",IF(AND(K47&lt;&gt;"",OR(H47="",K47&gt;=H47)),IF(J47="CMRI","Aguardar a CMRI (até a 3ª reunião mensal depois da autuação)","Aguardar decisão do recurso ou da reclamação"),IF(H47="",IF(TODAY()&lt;=G47,"Aguardar resposta do órgão",IF(TODAY()&lt;E47+30,"Prazo vencido: reclamação (modelo E) a partir da próxima data",IF(TODAY()&lt;=E47+40,"Fazer reclamação (modelo E) até a próxima data","Janela de reclamação encerrada: novo pedido ou modelo G"))),IF(I47="Atendido","Concluído: registre a resposta no Log",IF(OR(I47="Negado",I47="Atendido em parte"),"Recorrer (modelo B ou D) até a próxima data","Preencha o resultado da resposta")))))</f>
        <v/>
      </c>
      <c r="O47" s="27"/>
      <c r="P47" s="5"/>
    </row>
    <row r="48" customFormat="false" ht="15" hidden="false" customHeight="false" outlineLevel="0" collapsed="false">
      <c r="A48" s="27"/>
      <c r="B48" s="5"/>
      <c r="C48" s="14"/>
      <c r="D48" s="5"/>
      <c r="E48" s="18"/>
      <c r="F48" s="14"/>
      <c r="G48" s="31" t="str">
        <f aca="false">IF(E48="","",E48+IF(F48="Sim",30,20))</f>
        <v/>
      </c>
      <c r="H48" s="18"/>
      <c r="I48" s="14"/>
      <c r="J48" s="14"/>
      <c r="K48" s="18"/>
      <c r="L48" s="31" t="str">
        <f aca="true">IF(E48="","",IF(AND(K48&lt;&gt;"",OR(H48="",K48&gt;=H48)),IF(J48="CMRI","",K48+5),IF(H48="",IF(TODAY()&lt;=G48,G48,IF(TODAY()&lt;E48+30,E48+30,E48+40)),IF(OR(I48="Negado",I48="Atendido em parte"),H48+10,""))))</f>
        <v/>
      </c>
      <c r="M48" s="32" t="str">
        <f aca="true">IF(L48="","",L48-TODAY())</f>
        <v/>
      </c>
      <c r="N48" s="19" t="str">
        <f aca="true">IF(E48="","",IF(AND(K48&lt;&gt;"",OR(H48="",K48&gt;=H48)),IF(J48="CMRI","Aguardar a CMRI (até a 3ª reunião mensal depois da autuação)","Aguardar decisão do recurso ou da reclamação"),IF(H48="",IF(TODAY()&lt;=G48,"Aguardar resposta do órgão",IF(TODAY()&lt;E48+30,"Prazo vencido: reclamação (modelo E) a partir da próxima data",IF(TODAY()&lt;=E48+40,"Fazer reclamação (modelo E) até a próxima data","Janela de reclamação encerrada: novo pedido ou modelo G"))),IF(I48="Atendido","Concluído: registre a resposta no Log",IF(OR(I48="Negado",I48="Atendido em parte"),"Recorrer (modelo B ou D) até a próxima data","Preencha o resultado da resposta")))))</f>
        <v/>
      </c>
      <c r="O48" s="27"/>
      <c r="P48" s="5"/>
    </row>
    <row r="49" customFormat="false" ht="15" hidden="false" customHeight="false" outlineLevel="0" collapsed="false">
      <c r="A49" s="27"/>
      <c r="B49" s="5"/>
      <c r="C49" s="14"/>
      <c r="D49" s="5"/>
      <c r="E49" s="18"/>
      <c r="F49" s="14"/>
      <c r="G49" s="31" t="str">
        <f aca="false">IF(E49="","",E49+IF(F49="Sim",30,20))</f>
        <v/>
      </c>
      <c r="H49" s="18"/>
      <c r="I49" s="14"/>
      <c r="J49" s="14"/>
      <c r="K49" s="18"/>
      <c r="L49" s="31" t="str">
        <f aca="true">IF(E49="","",IF(AND(K49&lt;&gt;"",OR(H49="",K49&gt;=H49)),IF(J49="CMRI","",K49+5),IF(H49="",IF(TODAY()&lt;=G49,G49,IF(TODAY()&lt;E49+30,E49+30,E49+40)),IF(OR(I49="Negado",I49="Atendido em parte"),H49+10,""))))</f>
        <v/>
      </c>
      <c r="M49" s="32" t="str">
        <f aca="true">IF(L49="","",L49-TODAY())</f>
        <v/>
      </c>
      <c r="N49" s="19" t="str">
        <f aca="true">IF(E49="","",IF(AND(K49&lt;&gt;"",OR(H49="",K49&gt;=H49)),IF(J49="CMRI","Aguardar a CMRI (até a 3ª reunião mensal depois da autuação)","Aguardar decisão do recurso ou da reclamação"),IF(H49="",IF(TODAY()&lt;=G49,"Aguardar resposta do órgão",IF(TODAY()&lt;E49+30,"Prazo vencido: reclamação (modelo E) a partir da próxima data",IF(TODAY()&lt;=E49+40,"Fazer reclamação (modelo E) até a próxima data","Janela de reclamação encerrada: novo pedido ou modelo G"))),IF(I49="Atendido","Concluído: registre a resposta no Log",IF(OR(I49="Negado",I49="Atendido em parte"),"Recorrer (modelo B ou D) até a próxima data","Preencha o resultado da resposta")))))</f>
        <v/>
      </c>
      <c r="O49" s="27"/>
      <c r="P49" s="5"/>
    </row>
    <row r="50" customFormat="false" ht="15" hidden="false" customHeight="false" outlineLevel="0" collapsed="false">
      <c r="A50" s="27"/>
      <c r="B50" s="5"/>
      <c r="C50" s="14"/>
      <c r="D50" s="5"/>
      <c r="E50" s="18"/>
      <c r="F50" s="14"/>
      <c r="G50" s="31" t="str">
        <f aca="false">IF(E50="","",E50+IF(F50="Sim",30,20))</f>
        <v/>
      </c>
      <c r="H50" s="18"/>
      <c r="I50" s="14"/>
      <c r="J50" s="14"/>
      <c r="K50" s="18"/>
      <c r="L50" s="31" t="str">
        <f aca="true">IF(E50="","",IF(AND(K50&lt;&gt;"",OR(H50="",K50&gt;=H50)),IF(J50="CMRI","",K50+5),IF(H50="",IF(TODAY()&lt;=G50,G50,IF(TODAY()&lt;E50+30,E50+30,E50+40)),IF(OR(I50="Negado",I50="Atendido em parte"),H50+10,""))))</f>
        <v/>
      </c>
      <c r="M50" s="32" t="str">
        <f aca="true">IF(L50="","",L50-TODAY())</f>
        <v/>
      </c>
      <c r="N50" s="19" t="str">
        <f aca="true">IF(E50="","",IF(AND(K50&lt;&gt;"",OR(H50="",K50&gt;=H50)),IF(J50="CMRI","Aguardar a CMRI (até a 3ª reunião mensal depois da autuação)","Aguardar decisão do recurso ou da reclamação"),IF(H50="",IF(TODAY()&lt;=G50,"Aguardar resposta do órgão",IF(TODAY()&lt;E50+30,"Prazo vencido: reclamação (modelo E) a partir da próxima data",IF(TODAY()&lt;=E50+40,"Fazer reclamação (modelo E) até a próxima data","Janela de reclamação encerrada: novo pedido ou modelo G"))),IF(I50="Atendido","Concluído: registre a resposta no Log",IF(OR(I50="Negado",I50="Atendido em parte"),"Recorrer (modelo B ou D) até a próxima data","Preencha o resultado da resposta")))))</f>
        <v/>
      </c>
      <c r="O50" s="27"/>
      <c r="P50" s="5"/>
    </row>
    <row r="51" customFormat="false" ht="15" hidden="false" customHeight="false" outlineLevel="0" collapsed="false">
      <c r="A51" s="27"/>
      <c r="B51" s="5"/>
      <c r="C51" s="14"/>
      <c r="D51" s="5"/>
      <c r="E51" s="18"/>
      <c r="F51" s="14"/>
      <c r="G51" s="31" t="str">
        <f aca="false">IF(E51="","",E51+IF(F51="Sim",30,20))</f>
        <v/>
      </c>
      <c r="H51" s="18"/>
      <c r="I51" s="14"/>
      <c r="J51" s="14"/>
      <c r="K51" s="18"/>
      <c r="L51" s="31" t="str">
        <f aca="true">IF(E51="","",IF(AND(K51&lt;&gt;"",OR(H51="",K51&gt;=H51)),IF(J51="CMRI","",K51+5),IF(H51="",IF(TODAY()&lt;=G51,G51,IF(TODAY()&lt;E51+30,E51+30,E51+40)),IF(OR(I51="Negado",I51="Atendido em parte"),H51+10,""))))</f>
        <v/>
      </c>
      <c r="M51" s="32" t="str">
        <f aca="true">IF(L51="","",L51-TODAY())</f>
        <v/>
      </c>
      <c r="N51" s="19" t="str">
        <f aca="true">IF(E51="","",IF(AND(K51&lt;&gt;"",OR(H51="",K51&gt;=H51)),IF(J51="CMRI","Aguardar a CMRI (até a 3ª reunião mensal depois da autuação)","Aguardar decisão do recurso ou da reclamação"),IF(H51="",IF(TODAY()&lt;=G51,"Aguardar resposta do órgão",IF(TODAY()&lt;E51+30,"Prazo vencido: reclamação (modelo E) a partir da próxima data",IF(TODAY()&lt;=E51+40,"Fazer reclamação (modelo E) até a próxima data","Janela de reclamação encerrada: novo pedido ou modelo G"))),IF(I51="Atendido","Concluído: registre a resposta no Log",IF(OR(I51="Negado",I51="Atendido em parte"),"Recorrer (modelo B ou D) até a próxima data","Preencha o resultado da resposta")))))</f>
        <v/>
      </c>
      <c r="O51" s="27"/>
      <c r="P51" s="5"/>
    </row>
    <row r="52" customFormat="false" ht="15" hidden="false" customHeight="false" outlineLevel="0" collapsed="false">
      <c r="A52" s="27"/>
      <c r="B52" s="5"/>
      <c r="C52" s="14"/>
      <c r="D52" s="5"/>
      <c r="E52" s="18"/>
      <c r="F52" s="14"/>
      <c r="G52" s="31" t="str">
        <f aca="false">IF(E52="","",E52+IF(F52="Sim",30,20))</f>
        <v/>
      </c>
      <c r="H52" s="18"/>
      <c r="I52" s="14"/>
      <c r="J52" s="14"/>
      <c r="K52" s="18"/>
      <c r="L52" s="31" t="str">
        <f aca="true">IF(E52="","",IF(AND(K52&lt;&gt;"",OR(H52="",K52&gt;=H52)),IF(J52="CMRI","",K52+5),IF(H52="",IF(TODAY()&lt;=G52,G52,IF(TODAY()&lt;E52+30,E52+30,E52+40)),IF(OR(I52="Negado",I52="Atendido em parte"),H52+10,""))))</f>
        <v/>
      </c>
      <c r="M52" s="32" t="str">
        <f aca="true">IF(L52="","",L52-TODAY())</f>
        <v/>
      </c>
      <c r="N52" s="19" t="str">
        <f aca="true">IF(E52="","",IF(AND(K52&lt;&gt;"",OR(H52="",K52&gt;=H52)),IF(J52="CMRI","Aguardar a CMRI (até a 3ª reunião mensal depois da autuação)","Aguardar decisão do recurso ou da reclamação"),IF(H52="",IF(TODAY()&lt;=G52,"Aguardar resposta do órgão",IF(TODAY()&lt;E52+30,"Prazo vencido: reclamação (modelo E) a partir da próxima data",IF(TODAY()&lt;=E52+40,"Fazer reclamação (modelo E) até a próxima data","Janela de reclamação encerrada: novo pedido ou modelo G"))),IF(I52="Atendido","Concluído: registre a resposta no Log",IF(OR(I52="Negado",I52="Atendido em parte"),"Recorrer (modelo B ou D) até a próxima data","Preencha o resultado da resposta")))))</f>
        <v/>
      </c>
      <c r="O52" s="27"/>
      <c r="P52" s="5"/>
    </row>
    <row r="53" customFormat="false" ht="15" hidden="false" customHeight="false" outlineLevel="0" collapsed="false">
      <c r="A53" s="27"/>
      <c r="B53" s="5"/>
      <c r="C53" s="14"/>
      <c r="D53" s="5"/>
      <c r="E53" s="18"/>
      <c r="F53" s="14"/>
      <c r="G53" s="31" t="str">
        <f aca="false">IF(E53="","",E53+IF(F53="Sim",30,20))</f>
        <v/>
      </c>
      <c r="H53" s="18"/>
      <c r="I53" s="14"/>
      <c r="J53" s="14"/>
      <c r="K53" s="18"/>
      <c r="L53" s="31" t="str">
        <f aca="true">IF(E53="","",IF(AND(K53&lt;&gt;"",OR(H53="",K53&gt;=H53)),IF(J53="CMRI","",K53+5),IF(H53="",IF(TODAY()&lt;=G53,G53,IF(TODAY()&lt;E53+30,E53+30,E53+40)),IF(OR(I53="Negado",I53="Atendido em parte"),H53+10,""))))</f>
        <v/>
      </c>
      <c r="M53" s="32" t="str">
        <f aca="true">IF(L53="","",L53-TODAY())</f>
        <v/>
      </c>
      <c r="N53" s="19" t="str">
        <f aca="true">IF(E53="","",IF(AND(K53&lt;&gt;"",OR(H53="",K53&gt;=H53)),IF(J53="CMRI","Aguardar a CMRI (até a 3ª reunião mensal depois da autuação)","Aguardar decisão do recurso ou da reclamação"),IF(H53="",IF(TODAY()&lt;=G53,"Aguardar resposta do órgão",IF(TODAY()&lt;E53+30,"Prazo vencido: reclamação (modelo E) a partir da próxima data",IF(TODAY()&lt;=E53+40,"Fazer reclamação (modelo E) até a próxima data","Janela de reclamação encerrada: novo pedido ou modelo G"))),IF(I53="Atendido","Concluído: registre a resposta no Log",IF(OR(I53="Negado",I53="Atendido em parte"),"Recorrer (modelo B ou D) até a próxima data","Preencha o resultado da resposta")))))</f>
        <v/>
      </c>
      <c r="O53" s="27"/>
      <c r="P53" s="5"/>
    </row>
    <row r="54" customFormat="false" ht="15" hidden="false" customHeight="false" outlineLevel="0" collapsed="false">
      <c r="A54" s="27"/>
      <c r="B54" s="5"/>
      <c r="C54" s="14"/>
      <c r="D54" s="5"/>
      <c r="E54" s="18"/>
      <c r="F54" s="14"/>
      <c r="G54" s="31" t="str">
        <f aca="false">IF(E54="","",E54+IF(F54="Sim",30,20))</f>
        <v/>
      </c>
      <c r="H54" s="18"/>
      <c r="I54" s="14"/>
      <c r="J54" s="14"/>
      <c r="K54" s="18"/>
      <c r="L54" s="31" t="str">
        <f aca="true">IF(E54="","",IF(AND(K54&lt;&gt;"",OR(H54="",K54&gt;=H54)),IF(J54="CMRI","",K54+5),IF(H54="",IF(TODAY()&lt;=G54,G54,IF(TODAY()&lt;E54+30,E54+30,E54+40)),IF(OR(I54="Negado",I54="Atendido em parte"),H54+10,""))))</f>
        <v/>
      </c>
      <c r="M54" s="32" t="str">
        <f aca="true">IF(L54="","",L54-TODAY())</f>
        <v/>
      </c>
      <c r="N54" s="19" t="str">
        <f aca="true">IF(E54="","",IF(AND(K54&lt;&gt;"",OR(H54="",K54&gt;=H54)),IF(J54="CMRI","Aguardar a CMRI (até a 3ª reunião mensal depois da autuação)","Aguardar decisão do recurso ou da reclamação"),IF(H54="",IF(TODAY()&lt;=G54,"Aguardar resposta do órgão",IF(TODAY()&lt;E54+30,"Prazo vencido: reclamação (modelo E) a partir da próxima data",IF(TODAY()&lt;=E54+40,"Fazer reclamação (modelo E) até a próxima data","Janela de reclamação encerrada: novo pedido ou modelo G"))),IF(I54="Atendido","Concluído: registre a resposta no Log",IF(OR(I54="Negado",I54="Atendido em parte"),"Recorrer (modelo B ou D) até a próxima data","Preencha o resultado da resposta")))))</f>
        <v/>
      </c>
      <c r="O54" s="27"/>
      <c r="P54" s="5"/>
    </row>
    <row r="55" customFormat="false" ht="15" hidden="false" customHeight="false" outlineLevel="0" collapsed="false">
      <c r="A55" s="27"/>
      <c r="B55" s="5"/>
      <c r="C55" s="14"/>
      <c r="D55" s="5"/>
      <c r="E55" s="18"/>
      <c r="F55" s="14"/>
      <c r="G55" s="31" t="str">
        <f aca="false">IF(E55="","",E55+IF(F55="Sim",30,20))</f>
        <v/>
      </c>
      <c r="H55" s="18"/>
      <c r="I55" s="14"/>
      <c r="J55" s="14"/>
      <c r="K55" s="18"/>
      <c r="L55" s="31" t="str">
        <f aca="true">IF(E55="","",IF(AND(K55&lt;&gt;"",OR(H55="",K55&gt;=H55)),IF(J55="CMRI","",K55+5),IF(H55="",IF(TODAY()&lt;=G55,G55,IF(TODAY()&lt;E55+30,E55+30,E55+40)),IF(OR(I55="Negado",I55="Atendido em parte"),H55+10,""))))</f>
        <v/>
      </c>
      <c r="M55" s="32" t="str">
        <f aca="true">IF(L55="","",L55-TODAY())</f>
        <v/>
      </c>
      <c r="N55" s="19" t="str">
        <f aca="true">IF(E55="","",IF(AND(K55&lt;&gt;"",OR(H55="",K55&gt;=H55)),IF(J55="CMRI","Aguardar a CMRI (até a 3ª reunião mensal depois da autuação)","Aguardar decisão do recurso ou da reclamação"),IF(H55="",IF(TODAY()&lt;=G55,"Aguardar resposta do órgão",IF(TODAY()&lt;E55+30,"Prazo vencido: reclamação (modelo E) a partir da próxima data",IF(TODAY()&lt;=E55+40,"Fazer reclamação (modelo E) até a próxima data","Janela de reclamação encerrada: novo pedido ou modelo G"))),IF(I55="Atendido","Concluído: registre a resposta no Log",IF(OR(I55="Negado",I55="Atendido em parte"),"Recorrer (modelo B ou D) até a próxima data","Preencha o resultado da resposta")))))</f>
        <v/>
      </c>
      <c r="O55" s="27"/>
      <c r="P55" s="5"/>
    </row>
    <row r="56" customFormat="false" ht="15" hidden="false" customHeight="false" outlineLevel="0" collapsed="false">
      <c r="A56" s="27"/>
      <c r="B56" s="5"/>
      <c r="C56" s="14"/>
      <c r="D56" s="5"/>
      <c r="E56" s="18"/>
      <c r="F56" s="14"/>
      <c r="G56" s="31" t="str">
        <f aca="false">IF(E56="","",E56+IF(F56="Sim",30,20))</f>
        <v/>
      </c>
      <c r="H56" s="18"/>
      <c r="I56" s="14"/>
      <c r="J56" s="14"/>
      <c r="K56" s="18"/>
      <c r="L56" s="31" t="str">
        <f aca="true">IF(E56="","",IF(AND(K56&lt;&gt;"",OR(H56="",K56&gt;=H56)),IF(J56="CMRI","",K56+5),IF(H56="",IF(TODAY()&lt;=G56,G56,IF(TODAY()&lt;E56+30,E56+30,E56+40)),IF(OR(I56="Negado",I56="Atendido em parte"),H56+10,""))))</f>
        <v/>
      </c>
      <c r="M56" s="32" t="str">
        <f aca="true">IF(L56="","",L56-TODAY())</f>
        <v/>
      </c>
      <c r="N56" s="19" t="str">
        <f aca="true">IF(E56="","",IF(AND(K56&lt;&gt;"",OR(H56="",K56&gt;=H56)),IF(J56="CMRI","Aguardar a CMRI (até a 3ª reunião mensal depois da autuação)","Aguardar decisão do recurso ou da reclamação"),IF(H56="",IF(TODAY()&lt;=G56,"Aguardar resposta do órgão",IF(TODAY()&lt;E56+30,"Prazo vencido: reclamação (modelo E) a partir da próxima data",IF(TODAY()&lt;=E56+40,"Fazer reclamação (modelo E) até a próxima data","Janela de reclamação encerrada: novo pedido ou modelo G"))),IF(I56="Atendido","Concluído: registre a resposta no Log",IF(OR(I56="Negado",I56="Atendido em parte"),"Recorrer (modelo B ou D) até a próxima data","Preencha o resultado da resposta")))))</f>
        <v/>
      </c>
      <c r="O56" s="27"/>
      <c r="P56" s="5"/>
    </row>
    <row r="57" customFormat="false" ht="15" hidden="false" customHeight="false" outlineLevel="0" collapsed="false">
      <c r="A57" s="27"/>
      <c r="B57" s="5"/>
      <c r="C57" s="14"/>
      <c r="D57" s="5"/>
      <c r="E57" s="18"/>
      <c r="F57" s="14"/>
      <c r="G57" s="31" t="str">
        <f aca="false">IF(E57="","",E57+IF(F57="Sim",30,20))</f>
        <v/>
      </c>
      <c r="H57" s="18"/>
      <c r="I57" s="14"/>
      <c r="J57" s="14"/>
      <c r="K57" s="18"/>
      <c r="L57" s="31" t="str">
        <f aca="true">IF(E57="","",IF(AND(K57&lt;&gt;"",OR(H57="",K57&gt;=H57)),IF(J57="CMRI","",K57+5),IF(H57="",IF(TODAY()&lt;=G57,G57,IF(TODAY()&lt;E57+30,E57+30,E57+40)),IF(OR(I57="Negado",I57="Atendido em parte"),H57+10,""))))</f>
        <v/>
      </c>
      <c r="M57" s="32" t="str">
        <f aca="true">IF(L57="","",L57-TODAY())</f>
        <v/>
      </c>
      <c r="N57" s="19" t="str">
        <f aca="true">IF(E57="","",IF(AND(K57&lt;&gt;"",OR(H57="",K57&gt;=H57)),IF(J57="CMRI","Aguardar a CMRI (até a 3ª reunião mensal depois da autuação)","Aguardar decisão do recurso ou da reclamação"),IF(H57="",IF(TODAY()&lt;=G57,"Aguardar resposta do órgão",IF(TODAY()&lt;E57+30,"Prazo vencido: reclamação (modelo E) a partir da próxima data",IF(TODAY()&lt;=E57+40,"Fazer reclamação (modelo E) até a próxima data","Janela de reclamação encerrada: novo pedido ou modelo G"))),IF(I57="Atendido","Concluído: registre a resposta no Log",IF(OR(I57="Negado",I57="Atendido em parte"),"Recorrer (modelo B ou D) até a próxima data","Preencha o resultado da resposta")))))</f>
        <v/>
      </c>
      <c r="O57" s="27"/>
      <c r="P57" s="5"/>
    </row>
    <row r="58" customFormat="false" ht="15" hidden="false" customHeight="false" outlineLevel="0" collapsed="false">
      <c r="A58" s="27"/>
      <c r="B58" s="5"/>
      <c r="C58" s="14"/>
      <c r="D58" s="5"/>
      <c r="E58" s="18"/>
      <c r="F58" s="14"/>
      <c r="G58" s="31" t="str">
        <f aca="false">IF(E58="","",E58+IF(F58="Sim",30,20))</f>
        <v/>
      </c>
      <c r="H58" s="18"/>
      <c r="I58" s="14"/>
      <c r="J58" s="14"/>
      <c r="K58" s="18"/>
      <c r="L58" s="31" t="str">
        <f aca="true">IF(E58="","",IF(AND(K58&lt;&gt;"",OR(H58="",K58&gt;=H58)),IF(J58="CMRI","",K58+5),IF(H58="",IF(TODAY()&lt;=G58,G58,IF(TODAY()&lt;E58+30,E58+30,E58+40)),IF(OR(I58="Negado",I58="Atendido em parte"),H58+10,""))))</f>
        <v/>
      </c>
      <c r="M58" s="32" t="str">
        <f aca="true">IF(L58="","",L58-TODAY())</f>
        <v/>
      </c>
      <c r="N58" s="19" t="str">
        <f aca="true">IF(E58="","",IF(AND(K58&lt;&gt;"",OR(H58="",K58&gt;=H58)),IF(J58="CMRI","Aguardar a CMRI (até a 3ª reunião mensal depois da autuação)","Aguardar decisão do recurso ou da reclamação"),IF(H58="",IF(TODAY()&lt;=G58,"Aguardar resposta do órgão",IF(TODAY()&lt;E58+30,"Prazo vencido: reclamação (modelo E) a partir da próxima data",IF(TODAY()&lt;=E58+40,"Fazer reclamação (modelo E) até a próxima data","Janela de reclamação encerrada: novo pedido ou modelo G"))),IF(I58="Atendido","Concluído: registre a resposta no Log",IF(OR(I58="Negado",I58="Atendido em parte"),"Recorrer (modelo B ou D) até a próxima data","Preencha o resultado da resposta")))))</f>
        <v/>
      </c>
      <c r="O58" s="27"/>
      <c r="P58" s="5"/>
    </row>
    <row r="59" customFormat="false" ht="15" hidden="false" customHeight="false" outlineLevel="0" collapsed="false">
      <c r="A59" s="27"/>
      <c r="B59" s="5"/>
      <c r="C59" s="14"/>
      <c r="D59" s="5"/>
      <c r="E59" s="18"/>
      <c r="F59" s="14"/>
      <c r="G59" s="31" t="str">
        <f aca="false">IF(E59="","",E59+IF(F59="Sim",30,20))</f>
        <v/>
      </c>
      <c r="H59" s="18"/>
      <c r="I59" s="14"/>
      <c r="J59" s="14"/>
      <c r="K59" s="18"/>
      <c r="L59" s="31" t="str">
        <f aca="true">IF(E59="","",IF(AND(K59&lt;&gt;"",OR(H59="",K59&gt;=H59)),IF(J59="CMRI","",K59+5),IF(H59="",IF(TODAY()&lt;=G59,G59,IF(TODAY()&lt;E59+30,E59+30,E59+40)),IF(OR(I59="Negado",I59="Atendido em parte"),H59+10,""))))</f>
        <v/>
      </c>
      <c r="M59" s="32" t="str">
        <f aca="true">IF(L59="","",L59-TODAY())</f>
        <v/>
      </c>
      <c r="N59" s="19" t="str">
        <f aca="true">IF(E59="","",IF(AND(K59&lt;&gt;"",OR(H59="",K59&gt;=H59)),IF(J59="CMRI","Aguardar a CMRI (até a 3ª reunião mensal depois da autuação)","Aguardar decisão do recurso ou da reclamação"),IF(H59="",IF(TODAY()&lt;=G59,"Aguardar resposta do órgão",IF(TODAY()&lt;E59+30,"Prazo vencido: reclamação (modelo E) a partir da próxima data",IF(TODAY()&lt;=E59+40,"Fazer reclamação (modelo E) até a próxima data","Janela de reclamação encerrada: novo pedido ou modelo G"))),IF(I59="Atendido","Concluído: registre a resposta no Log",IF(OR(I59="Negado",I59="Atendido em parte"),"Recorrer (modelo B ou D) até a próxima data","Preencha o resultado da resposta")))))</f>
        <v/>
      </c>
      <c r="O59" s="27"/>
      <c r="P59" s="5"/>
    </row>
    <row r="60" customFormat="false" ht="15" hidden="false" customHeight="false" outlineLevel="0" collapsed="false">
      <c r="A60" s="27"/>
      <c r="B60" s="5"/>
      <c r="C60" s="14"/>
      <c r="D60" s="5"/>
      <c r="E60" s="18"/>
      <c r="F60" s="14"/>
      <c r="G60" s="31" t="str">
        <f aca="false">IF(E60="","",E60+IF(F60="Sim",30,20))</f>
        <v/>
      </c>
      <c r="H60" s="18"/>
      <c r="I60" s="14"/>
      <c r="J60" s="14"/>
      <c r="K60" s="18"/>
      <c r="L60" s="31" t="str">
        <f aca="true">IF(E60="","",IF(AND(K60&lt;&gt;"",OR(H60="",K60&gt;=H60)),IF(J60="CMRI","",K60+5),IF(H60="",IF(TODAY()&lt;=G60,G60,IF(TODAY()&lt;E60+30,E60+30,E60+40)),IF(OR(I60="Negado",I60="Atendido em parte"),H60+10,""))))</f>
        <v/>
      </c>
      <c r="M60" s="32" t="str">
        <f aca="true">IF(L60="","",L60-TODAY())</f>
        <v/>
      </c>
      <c r="N60" s="19" t="str">
        <f aca="true">IF(E60="","",IF(AND(K60&lt;&gt;"",OR(H60="",K60&gt;=H60)),IF(J60="CMRI","Aguardar a CMRI (até a 3ª reunião mensal depois da autuação)","Aguardar decisão do recurso ou da reclamação"),IF(H60="",IF(TODAY()&lt;=G60,"Aguardar resposta do órgão",IF(TODAY()&lt;E60+30,"Prazo vencido: reclamação (modelo E) a partir da próxima data",IF(TODAY()&lt;=E60+40,"Fazer reclamação (modelo E) até a próxima data","Janela de reclamação encerrada: novo pedido ou modelo G"))),IF(I60="Atendido","Concluído: registre a resposta no Log",IF(OR(I60="Negado",I60="Atendido em parte"),"Recorrer (modelo B ou D) até a próxima data","Preencha o resultado da resposta")))))</f>
        <v/>
      </c>
      <c r="O60" s="27"/>
      <c r="P60" s="5"/>
    </row>
    <row r="61" customFormat="false" ht="15" hidden="false" customHeight="false" outlineLevel="0" collapsed="false">
      <c r="A61" s="27"/>
      <c r="B61" s="5"/>
      <c r="C61" s="14"/>
      <c r="D61" s="5"/>
      <c r="E61" s="18"/>
      <c r="F61" s="14"/>
      <c r="G61" s="31" t="str">
        <f aca="false">IF(E61="","",E61+IF(F61="Sim",30,20))</f>
        <v/>
      </c>
      <c r="H61" s="18"/>
      <c r="I61" s="14"/>
      <c r="J61" s="14"/>
      <c r="K61" s="18"/>
      <c r="L61" s="31" t="str">
        <f aca="true">IF(E61="","",IF(AND(K61&lt;&gt;"",OR(H61="",K61&gt;=H61)),IF(J61="CMRI","",K61+5),IF(H61="",IF(TODAY()&lt;=G61,G61,IF(TODAY()&lt;E61+30,E61+30,E61+40)),IF(OR(I61="Negado",I61="Atendido em parte"),H61+10,""))))</f>
        <v/>
      </c>
      <c r="M61" s="32" t="str">
        <f aca="true">IF(L61="","",L61-TODAY())</f>
        <v/>
      </c>
      <c r="N61" s="19" t="str">
        <f aca="true">IF(E61="","",IF(AND(K61&lt;&gt;"",OR(H61="",K61&gt;=H61)),IF(J61="CMRI","Aguardar a CMRI (até a 3ª reunião mensal depois da autuação)","Aguardar decisão do recurso ou da reclamação"),IF(H61="",IF(TODAY()&lt;=G61,"Aguardar resposta do órgão",IF(TODAY()&lt;E61+30,"Prazo vencido: reclamação (modelo E) a partir da próxima data",IF(TODAY()&lt;=E61+40,"Fazer reclamação (modelo E) até a próxima data","Janela de reclamação encerrada: novo pedido ou modelo G"))),IF(I61="Atendido","Concluído: registre a resposta no Log",IF(OR(I61="Negado",I61="Atendido em parte"),"Recorrer (modelo B ou D) até a próxima data","Preencha o resultado da resposta")))))</f>
        <v/>
      </c>
      <c r="O61" s="27"/>
      <c r="P61" s="5"/>
    </row>
    <row r="62" customFormat="false" ht="15" hidden="false" customHeight="false" outlineLevel="0" collapsed="false">
      <c r="A62" s="27"/>
      <c r="B62" s="5"/>
      <c r="C62" s="14"/>
      <c r="D62" s="5"/>
      <c r="E62" s="18"/>
      <c r="F62" s="14"/>
      <c r="G62" s="31" t="str">
        <f aca="false">IF(E62="","",E62+IF(F62="Sim",30,20))</f>
        <v/>
      </c>
      <c r="H62" s="18"/>
      <c r="I62" s="14"/>
      <c r="J62" s="14"/>
      <c r="K62" s="18"/>
      <c r="L62" s="31" t="str">
        <f aca="true">IF(E62="","",IF(AND(K62&lt;&gt;"",OR(H62="",K62&gt;=H62)),IF(J62="CMRI","",K62+5),IF(H62="",IF(TODAY()&lt;=G62,G62,IF(TODAY()&lt;E62+30,E62+30,E62+40)),IF(OR(I62="Negado",I62="Atendido em parte"),H62+10,""))))</f>
        <v/>
      </c>
      <c r="M62" s="32" t="str">
        <f aca="true">IF(L62="","",L62-TODAY())</f>
        <v/>
      </c>
      <c r="N62" s="19" t="str">
        <f aca="true">IF(E62="","",IF(AND(K62&lt;&gt;"",OR(H62="",K62&gt;=H62)),IF(J62="CMRI","Aguardar a CMRI (até a 3ª reunião mensal depois da autuação)","Aguardar decisão do recurso ou da reclamação"),IF(H62="",IF(TODAY()&lt;=G62,"Aguardar resposta do órgão",IF(TODAY()&lt;E62+30,"Prazo vencido: reclamação (modelo E) a partir da próxima data",IF(TODAY()&lt;=E62+40,"Fazer reclamação (modelo E) até a próxima data","Janela de reclamação encerrada: novo pedido ou modelo G"))),IF(I62="Atendido","Concluído: registre a resposta no Log",IF(OR(I62="Negado",I62="Atendido em parte"),"Recorrer (modelo B ou D) até a próxima data","Preencha o resultado da resposta")))))</f>
        <v/>
      </c>
      <c r="O62" s="27"/>
      <c r="P62" s="5"/>
    </row>
    <row r="63" customFormat="false" ht="15" hidden="false" customHeight="false" outlineLevel="0" collapsed="false">
      <c r="A63" s="27"/>
      <c r="B63" s="5"/>
      <c r="C63" s="14"/>
      <c r="D63" s="5"/>
      <c r="E63" s="18"/>
      <c r="F63" s="14"/>
      <c r="G63" s="31" t="str">
        <f aca="false">IF(E63="","",E63+IF(F63="Sim",30,20))</f>
        <v/>
      </c>
      <c r="H63" s="18"/>
      <c r="I63" s="14"/>
      <c r="J63" s="14"/>
      <c r="K63" s="18"/>
      <c r="L63" s="31" t="str">
        <f aca="true">IF(E63="","",IF(AND(K63&lt;&gt;"",OR(H63="",K63&gt;=H63)),IF(J63="CMRI","",K63+5),IF(H63="",IF(TODAY()&lt;=G63,G63,IF(TODAY()&lt;E63+30,E63+30,E63+40)),IF(OR(I63="Negado",I63="Atendido em parte"),H63+10,""))))</f>
        <v/>
      </c>
      <c r="M63" s="32" t="str">
        <f aca="true">IF(L63="","",L63-TODAY())</f>
        <v/>
      </c>
      <c r="N63" s="19" t="str">
        <f aca="true">IF(E63="","",IF(AND(K63&lt;&gt;"",OR(H63="",K63&gt;=H63)),IF(J63="CMRI","Aguardar a CMRI (até a 3ª reunião mensal depois da autuação)","Aguardar decisão do recurso ou da reclamação"),IF(H63="",IF(TODAY()&lt;=G63,"Aguardar resposta do órgão",IF(TODAY()&lt;E63+30,"Prazo vencido: reclamação (modelo E) a partir da próxima data",IF(TODAY()&lt;=E63+40,"Fazer reclamação (modelo E) até a próxima data","Janela de reclamação encerrada: novo pedido ou modelo G"))),IF(I63="Atendido","Concluído: registre a resposta no Log",IF(OR(I63="Negado",I63="Atendido em parte"),"Recorrer (modelo B ou D) até a próxima data","Preencha o resultado da resposta")))))</f>
        <v/>
      </c>
      <c r="O63" s="27"/>
      <c r="P63" s="5"/>
    </row>
    <row r="64" customFormat="false" ht="15" hidden="false" customHeight="false" outlineLevel="0" collapsed="false">
      <c r="A64" s="27"/>
      <c r="B64" s="5"/>
      <c r="C64" s="14"/>
      <c r="D64" s="5"/>
      <c r="E64" s="18"/>
      <c r="F64" s="14"/>
      <c r="G64" s="31" t="str">
        <f aca="false">IF(E64="","",E64+IF(F64="Sim",30,20))</f>
        <v/>
      </c>
      <c r="H64" s="18"/>
      <c r="I64" s="14"/>
      <c r="J64" s="14"/>
      <c r="K64" s="18"/>
      <c r="L64" s="31" t="str">
        <f aca="true">IF(E64="","",IF(AND(K64&lt;&gt;"",OR(H64="",K64&gt;=H64)),IF(J64="CMRI","",K64+5),IF(H64="",IF(TODAY()&lt;=G64,G64,IF(TODAY()&lt;E64+30,E64+30,E64+40)),IF(OR(I64="Negado",I64="Atendido em parte"),H64+10,""))))</f>
        <v/>
      </c>
      <c r="M64" s="32" t="str">
        <f aca="true">IF(L64="","",L64-TODAY())</f>
        <v/>
      </c>
      <c r="N64" s="19" t="str">
        <f aca="true">IF(E64="","",IF(AND(K64&lt;&gt;"",OR(H64="",K64&gt;=H64)),IF(J64="CMRI","Aguardar a CMRI (até a 3ª reunião mensal depois da autuação)","Aguardar decisão do recurso ou da reclamação"),IF(H64="",IF(TODAY()&lt;=G64,"Aguardar resposta do órgão",IF(TODAY()&lt;E64+30,"Prazo vencido: reclamação (modelo E) a partir da próxima data",IF(TODAY()&lt;=E64+40,"Fazer reclamação (modelo E) até a próxima data","Janela de reclamação encerrada: novo pedido ou modelo G"))),IF(I64="Atendido","Concluído: registre a resposta no Log",IF(OR(I64="Negado",I64="Atendido em parte"),"Recorrer (modelo B ou D) até a próxima data","Preencha o resultado da resposta")))))</f>
        <v/>
      </c>
      <c r="O64" s="27"/>
      <c r="P64" s="5"/>
    </row>
    <row r="65" customFormat="false" ht="15" hidden="false" customHeight="false" outlineLevel="0" collapsed="false">
      <c r="A65" s="27"/>
      <c r="B65" s="5"/>
      <c r="C65" s="14"/>
      <c r="D65" s="5"/>
      <c r="E65" s="18"/>
      <c r="F65" s="14"/>
      <c r="G65" s="31" t="str">
        <f aca="false">IF(E65="","",E65+IF(F65="Sim",30,20))</f>
        <v/>
      </c>
      <c r="H65" s="18"/>
      <c r="I65" s="14"/>
      <c r="J65" s="14"/>
      <c r="K65" s="18"/>
      <c r="L65" s="31" t="str">
        <f aca="true">IF(E65="","",IF(AND(K65&lt;&gt;"",OR(H65="",K65&gt;=H65)),IF(J65="CMRI","",K65+5),IF(H65="",IF(TODAY()&lt;=G65,G65,IF(TODAY()&lt;E65+30,E65+30,E65+40)),IF(OR(I65="Negado",I65="Atendido em parte"),H65+10,""))))</f>
        <v/>
      </c>
      <c r="M65" s="32" t="str">
        <f aca="true">IF(L65="","",L65-TODAY())</f>
        <v/>
      </c>
      <c r="N65" s="19" t="str">
        <f aca="true">IF(E65="","",IF(AND(K65&lt;&gt;"",OR(H65="",K65&gt;=H65)),IF(J65="CMRI","Aguardar a CMRI (até a 3ª reunião mensal depois da autuação)","Aguardar decisão do recurso ou da reclamação"),IF(H65="",IF(TODAY()&lt;=G65,"Aguardar resposta do órgão",IF(TODAY()&lt;E65+30,"Prazo vencido: reclamação (modelo E) a partir da próxima data",IF(TODAY()&lt;=E65+40,"Fazer reclamação (modelo E) até a próxima data","Janela de reclamação encerrada: novo pedido ou modelo G"))),IF(I65="Atendido","Concluído: registre a resposta no Log",IF(OR(I65="Negado",I65="Atendido em parte"),"Recorrer (modelo B ou D) até a próxima data","Preencha o resultado da resposta")))))</f>
        <v/>
      </c>
      <c r="O65" s="27"/>
      <c r="P65" s="5"/>
    </row>
    <row r="66" customFormat="false" ht="15" hidden="false" customHeight="false" outlineLevel="0" collapsed="false">
      <c r="A66" s="27"/>
      <c r="B66" s="5"/>
      <c r="C66" s="14"/>
      <c r="D66" s="5"/>
      <c r="E66" s="18"/>
      <c r="F66" s="14"/>
      <c r="G66" s="31" t="str">
        <f aca="false">IF(E66="","",E66+IF(F66="Sim",30,20))</f>
        <v/>
      </c>
      <c r="H66" s="18"/>
      <c r="I66" s="14"/>
      <c r="J66" s="14"/>
      <c r="K66" s="18"/>
      <c r="L66" s="31" t="str">
        <f aca="true">IF(E66="","",IF(AND(K66&lt;&gt;"",OR(H66="",K66&gt;=H66)),IF(J66="CMRI","",K66+5),IF(H66="",IF(TODAY()&lt;=G66,G66,IF(TODAY()&lt;E66+30,E66+30,E66+40)),IF(OR(I66="Negado",I66="Atendido em parte"),H66+10,""))))</f>
        <v/>
      </c>
      <c r="M66" s="32" t="str">
        <f aca="true">IF(L66="","",L66-TODAY())</f>
        <v/>
      </c>
      <c r="N66" s="19" t="str">
        <f aca="true">IF(E66="","",IF(AND(K66&lt;&gt;"",OR(H66="",K66&gt;=H66)),IF(J66="CMRI","Aguardar a CMRI (até a 3ª reunião mensal depois da autuação)","Aguardar decisão do recurso ou da reclamação"),IF(H66="",IF(TODAY()&lt;=G66,"Aguardar resposta do órgão",IF(TODAY()&lt;E66+30,"Prazo vencido: reclamação (modelo E) a partir da próxima data",IF(TODAY()&lt;=E66+40,"Fazer reclamação (modelo E) até a próxima data","Janela de reclamação encerrada: novo pedido ou modelo G"))),IF(I66="Atendido","Concluído: registre a resposta no Log",IF(OR(I66="Negado",I66="Atendido em parte"),"Recorrer (modelo B ou D) até a próxima data","Preencha o resultado da resposta")))))</f>
        <v/>
      </c>
      <c r="O66" s="27"/>
      <c r="P66" s="5"/>
    </row>
    <row r="67" customFormat="false" ht="15" hidden="false" customHeight="false" outlineLevel="0" collapsed="false">
      <c r="A67" s="27"/>
      <c r="B67" s="5"/>
      <c r="C67" s="14"/>
      <c r="D67" s="5"/>
      <c r="E67" s="18"/>
      <c r="F67" s="14"/>
      <c r="G67" s="31" t="str">
        <f aca="false">IF(E67="","",E67+IF(F67="Sim",30,20))</f>
        <v/>
      </c>
      <c r="H67" s="18"/>
      <c r="I67" s="14"/>
      <c r="J67" s="14"/>
      <c r="K67" s="18"/>
      <c r="L67" s="31" t="str">
        <f aca="true">IF(E67="","",IF(AND(K67&lt;&gt;"",OR(H67="",K67&gt;=H67)),IF(J67="CMRI","",K67+5),IF(H67="",IF(TODAY()&lt;=G67,G67,IF(TODAY()&lt;E67+30,E67+30,E67+40)),IF(OR(I67="Negado",I67="Atendido em parte"),H67+10,""))))</f>
        <v/>
      </c>
      <c r="M67" s="32" t="str">
        <f aca="true">IF(L67="","",L67-TODAY())</f>
        <v/>
      </c>
      <c r="N67" s="19" t="str">
        <f aca="true">IF(E67="","",IF(AND(K67&lt;&gt;"",OR(H67="",K67&gt;=H67)),IF(J67="CMRI","Aguardar a CMRI (até a 3ª reunião mensal depois da autuação)","Aguardar decisão do recurso ou da reclamação"),IF(H67="",IF(TODAY()&lt;=G67,"Aguardar resposta do órgão",IF(TODAY()&lt;E67+30,"Prazo vencido: reclamação (modelo E) a partir da próxima data",IF(TODAY()&lt;=E67+40,"Fazer reclamação (modelo E) até a próxima data","Janela de reclamação encerrada: novo pedido ou modelo G"))),IF(I67="Atendido","Concluído: registre a resposta no Log",IF(OR(I67="Negado",I67="Atendido em parte"),"Recorrer (modelo B ou D) até a próxima data","Preencha o resultado da resposta")))))</f>
        <v/>
      </c>
      <c r="O67" s="27"/>
      <c r="P67" s="5"/>
    </row>
    <row r="68" customFormat="false" ht="15" hidden="false" customHeight="false" outlineLevel="0" collapsed="false">
      <c r="A68" s="27"/>
      <c r="B68" s="5"/>
      <c r="C68" s="14"/>
      <c r="D68" s="5"/>
      <c r="E68" s="18"/>
      <c r="F68" s="14"/>
      <c r="G68" s="31" t="str">
        <f aca="false">IF(E68="","",E68+IF(F68="Sim",30,20))</f>
        <v/>
      </c>
      <c r="H68" s="18"/>
      <c r="I68" s="14"/>
      <c r="J68" s="14"/>
      <c r="K68" s="18"/>
      <c r="L68" s="31" t="str">
        <f aca="true">IF(E68="","",IF(AND(K68&lt;&gt;"",OR(H68="",K68&gt;=H68)),IF(J68="CMRI","",K68+5),IF(H68="",IF(TODAY()&lt;=G68,G68,IF(TODAY()&lt;E68+30,E68+30,E68+40)),IF(OR(I68="Negado",I68="Atendido em parte"),H68+10,""))))</f>
        <v/>
      </c>
      <c r="M68" s="32" t="str">
        <f aca="true">IF(L68="","",L68-TODAY())</f>
        <v/>
      </c>
      <c r="N68" s="19" t="str">
        <f aca="true">IF(E68="","",IF(AND(K68&lt;&gt;"",OR(H68="",K68&gt;=H68)),IF(J68="CMRI","Aguardar a CMRI (até a 3ª reunião mensal depois da autuação)","Aguardar decisão do recurso ou da reclamação"),IF(H68="",IF(TODAY()&lt;=G68,"Aguardar resposta do órgão",IF(TODAY()&lt;E68+30,"Prazo vencido: reclamação (modelo E) a partir da próxima data",IF(TODAY()&lt;=E68+40,"Fazer reclamação (modelo E) até a próxima data","Janela de reclamação encerrada: novo pedido ou modelo G"))),IF(I68="Atendido","Concluído: registre a resposta no Log",IF(OR(I68="Negado",I68="Atendido em parte"),"Recorrer (modelo B ou D) até a próxima data","Preencha o resultado da resposta")))))</f>
        <v/>
      </c>
      <c r="O68" s="27"/>
      <c r="P68" s="5"/>
    </row>
    <row r="69" customFormat="false" ht="15" hidden="false" customHeight="false" outlineLevel="0" collapsed="false">
      <c r="A69" s="27"/>
      <c r="B69" s="5"/>
      <c r="C69" s="14"/>
      <c r="D69" s="5"/>
      <c r="E69" s="18"/>
      <c r="F69" s="14"/>
      <c r="G69" s="31" t="str">
        <f aca="false">IF(E69="","",E69+IF(F69="Sim",30,20))</f>
        <v/>
      </c>
      <c r="H69" s="18"/>
      <c r="I69" s="14"/>
      <c r="J69" s="14"/>
      <c r="K69" s="18"/>
      <c r="L69" s="31" t="str">
        <f aca="true">IF(E69="","",IF(AND(K69&lt;&gt;"",OR(H69="",K69&gt;=H69)),IF(J69="CMRI","",K69+5),IF(H69="",IF(TODAY()&lt;=G69,G69,IF(TODAY()&lt;E69+30,E69+30,E69+40)),IF(OR(I69="Negado",I69="Atendido em parte"),H69+10,""))))</f>
        <v/>
      </c>
      <c r="M69" s="32" t="str">
        <f aca="true">IF(L69="","",L69-TODAY())</f>
        <v/>
      </c>
      <c r="N69" s="19" t="str">
        <f aca="true">IF(E69="","",IF(AND(K69&lt;&gt;"",OR(H69="",K69&gt;=H69)),IF(J69="CMRI","Aguardar a CMRI (até a 3ª reunião mensal depois da autuação)","Aguardar decisão do recurso ou da reclamação"),IF(H69="",IF(TODAY()&lt;=G69,"Aguardar resposta do órgão",IF(TODAY()&lt;E69+30,"Prazo vencido: reclamação (modelo E) a partir da próxima data",IF(TODAY()&lt;=E69+40,"Fazer reclamação (modelo E) até a próxima data","Janela de reclamação encerrada: novo pedido ou modelo G"))),IF(I69="Atendido","Concluído: registre a resposta no Log",IF(OR(I69="Negado",I69="Atendido em parte"),"Recorrer (modelo B ou D) até a próxima data","Preencha o resultado da resposta")))))</f>
        <v/>
      </c>
      <c r="O69" s="27"/>
      <c r="P69" s="5"/>
    </row>
    <row r="70" customFormat="false" ht="15" hidden="false" customHeight="false" outlineLevel="0" collapsed="false">
      <c r="A70" s="27"/>
      <c r="B70" s="5"/>
      <c r="C70" s="14"/>
      <c r="D70" s="5"/>
      <c r="E70" s="18"/>
      <c r="F70" s="14"/>
      <c r="G70" s="31" t="str">
        <f aca="false">IF(E70="","",E70+IF(F70="Sim",30,20))</f>
        <v/>
      </c>
      <c r="H70" s="18"/>
      <c r="I70" s="14"/>
      <c r="J70" s="14"/>
      <c r="K70" s="18"/>
      <c r="L70" s="31" t="str">
        <f aca="true">IF(E70="","",IF(AND(K70&lt;&gt;"",OR(H70="",K70&gt;=H70)),IF(J70="CMRI","",K70+5),IF(H70="",IF(TODAY()&lt;=G70,G70,IF(TODAY()&lt;E70+30,E70+30,E70+40)),IF(OR(I70="Negado",I70="Atendido em parte"),H70+10,""))))</f>
        <v/>
      </c>
      <c r="M70" s="32" t="str">
        <f aca="true">IF(L70="","",L70-TODAY())</f>
        <v/>
      </c>
      <c r="N70" s="19" t="str">
        <f aca="true">IF(E70="","",IF(AND(K70&lt;&gt;"",OR(H70="",K70&gt;=H70)),IF(J70="CMRI","Aguardar a CMRI (até a 3ª reunião mensal depois da autuação)","Aguardar decisão do recurso ou da reclamação"),IF(H70="",IF(TODAY()&lt;=G70,"Aguardar resposta do órgão",IF(TODAY()&lt;E70+30,"Prazo vencido: reclamação (modelo E) a partir da próxima data",IF(TODAY()&lt;=E70+40,"Fazer reclamação (modelo E) até a próxima data","Janela de reclamação encerrada: novo pedido ou modelo G"))),IF(I70="Atendido","Concluído: registre a resposta no Log",IF(OR(I70="Negado",I70="Atendido em parte"),"Recorrer (modelo B ou D) até a próxima data","Preencha o resultado da resposta")))))</f>
        <v/>
      </c>
      <c r="O70" s="27"/>
      <c r="P70" s="5"/>
    </row>
    <row r="71" customFormat="false" ht="15" hidden="false" customHeight="false" outlineLevel="0" collapsed="false">
      <c r="A71" s="27"/>
      <c r="B71" s="5"/>
      <c r="C71" s="14"/>
      <c r="D71" s="5"/>
      <c r="E71" s="18"/>
      <c r="F71" s="14"/>
      <c r="G71" s="31" t="str">
        <f aca="false">IF(E71="","",E71+IF(F71="Sim",30,20))</f>
        <v/>
      </c>
      <c r="H71" s="18"/>
      <c r="I71" s="14"/>
      <c r="J71" s="14"/>
      <c r="K71" s="18"/>
      <c r="L71" s="31" t="str">
        <f aca="true">IF(E71="","",IF(AND(K71&lt;&gt;"",OR(H71="",K71&gt;=H71)),IF(J71="CMRI","",K71+5),IF(H71="",IF(TODAY()&lt;=G71,G71,IF(TODAY()&lt;E71+30,E71+30,E71+40)),IF(OR(I71="Negado",I71="Atendido em parte"),H71+10,""))))</f>
        <v/>
      </c>
      <c r="M71" s="32" t="str">
        <f aca="true">IF(L71="","",L71-TODAY())</f>
        <v/>
      </c>
      <c r="N71" s="19" t="str">
        <f aca="true">IF(E71="","",IF(AND(K71&lt;&gt;"",OR(H71="",K71&gt;=H71)),IF(J71="CMRI","Aguardar a CMRI (até a 3ª reunião mensal depois da autuação)","Aguardar decisão do recurso ou da reclamação"),IF(H71="",IF(TODAY()&lt;=G71,"Aguardar resposta do órgão",IF(TODAY()&lt;E71+30,"Prazo vencido: reclamação (modelo E) a partir da próxima data",IF(TODAY()&lt;=E71+40,"Fazer reclamação (modelo E) até a próxima data","Janela de reclamação encerrada: novo pedido ou modelo G"))),IF(I71="Atendido","Concluído: registre a resposta no Log",IF(OR(I71="Negado",I71="Atendido em parte"),"Recorrer (modelo B ou D) até a próxima data","Preencha o resultado da resposta")))))</f>
        <v/>
      </c>
      <c r="O71" s="27"/>
      <c r="P71" s="5"/>
    </row>
    <row r="72" customFormat="false" ht="15" hidden="false" customHeight="false" outlineLevel="0" collapsed="false">
      <c r="A72" s="27"/>
      <c r="B72" s="5"/>
      <c r="C72" s="14"/>
      <c r="D72" s="5"/>
      <c r="E72" s="18"/>
      <c r="F72" s="14"/>
      <c r="G72" s="31" t="str">
        <f aca="false">IF(E72="","",E72+IF(F72="Sim",30,20))</f>
        <v/>
      </c>
      <c r="H72" s="18"/>
      <c r="I72" s="14"/>
      <c r="J72" s="14"/>
      <c r="K72" s="18"/>
      <c r="L72" s="31" t="str">
        <f aca="true">IF(E72="","",IF(AND(K72&lt;&gt;"",OR(H72="",K72&gt;=H72)),IF(J72="CMRI","",K72+5),IF(H72="",IF(TODAY()&lt;=G72,G72,IF(TODAY()&lt;E72+30,E72+30,E72+40)),IF(OR(I72="Negado",I72="Atendido em parte"),H72+10,""))))</f>
        <v/>
      </c>
      <c r="M72" s="32" t="str">
        <f aca="true">IF(L72="","",L72-TODAY())</f>
        <v/>
      </c>
      <c r="N72" s="19" t="str">
        <f aca="true">IF(E72="","",IF(AND(K72&lt;&gt;"",OR(H72="",K72&gt;=H72)),IF(J72="CMRI","Aguardar a CMRI (até a 3ª reunião mensal depois da autuação)","Aguardar decisão do recurso ou da reclamação"),IF(H72="",IF(TODAY()&lt;=G72,"Aguardar resposta do órgão",IF(TODAY()&lt;E72+30,"Prazo vencido: reclamação (modelo E) a partir da próxima data",IF(TODAY()&lt;=E72+40,"Fazer reclamação (modelo E) até a próxima data","Janela de reclamação encerrada: novo pedido ou modelo G"))),IF(I72="Atendido","Concluído: registre a resposta no Log",IF(OR(I72="Negado",I72="Atendido em parte"),"Recorrer (modelo B ou D) até a próxima data","Preencha o resultado da resposta")))))</f>
        <v/>
      </c>
      <c r="O72" s="27"/>
      <c r="P72" s="5"/>
    </row>
    <row r="73" customFormat="false" ht="15" hidden="false" customHeight="false" outlineLevel="0" collapsed="false">
      <c r="A73" s="27"/>
      <c r="B73" s="5"/>
      <c r="C73" s="14"/>
      <c r="D73" s="5"/>
      <c r="E73" s="18"/>
      <c r="F73" s="14"/>
      <c r="G73" s="31" t="str">
        <f aca="false">IF(E73="","",E73+IF(F73="Sim",30,20))</f>
        <v/>
      </c>
      <c r="H73" s="18"/>
      <c r="I73" s="14"/>
      <c r="J73" s="14"/>
      <c r="K73" s="18"/>
      <c r="L73" s="31" t="str">
        <f aca="true">IF(E73="","",IF(AND(K73&lt;&gt;"",OR(H73="",K73&gt;=H73)),IF(J73="CMRI","",K73+5),IF(H73="",IF(TODAY()&lt;=G73,G73,IF(TODAY()&lt;E73+30,E73+30,E73+40)),IF(OR(I73="Negado",I73="Atendido em parte"),H73+10,""))))</f>
        <v/>
      </c>
      <c r="M73" s="32" t="str">
        <f aca="true">IF(L73="","",L73-TODAY())</f>
        <v/>
      </c>
      <c r="N73" s="19" t="str">
        <f aca="true">IF(E73="","",IF(AND(K73&lt;&gt;"",OR(H73="",K73&gt;=H73)),IF(J73="CMRI","Aguardar a CMRI (até a 3ª reunião mensal depois da autuação)","Aguardar decisão do recurso ou da reclamação"),IF(H73="",IF(TODAY()&lt;=G73,"Aguardar resposta do órgão",IF(TODAY()&lt;E73+30,"Prazo vencido: reclamação (modelo E) a partir da próxima data",IF(TODAY()&lt;=E73+40,"Fazer reclamação (modelo E) até a próxima data","Janela de reclamação encerrada: novo pedido ou modelo G"))),IF(I73="Atendido","Concluído: registre a resposta no Log",IF(OR(I73="Negado",I73="Atendido em parte"),"Recorrer (modelo B ou D) até a próxima data","Preencha o resultado da resposta")))))</f>
        <v/>
      </c>
      <c r="O73" s="27"/>
      <c r="P73" s="5"/>
    </row>
    <row r="74" customFormat="false" ht="15" hidden="false" customHeight="false" outlineLevel="0" collapsed="false">
      <c r="A74" s="27"/>
      <c r="B74" s="5"/>
      <c r="C74" s="14"/>
      <c r="D74" s="5"/>
      <c r="E74" s="18"/>
      <c r="F74" s="14"/>
      <c r="G74" s="31" t="str">
        <f aca="false">IF(E74="","",E74+IF(F74="Sim",30,20))</f>
        <v/>
      </c>
      <c r="H74" s="18"/>
      <c r="I74" s="14"/>
      <c r="J74" s="14"/>
      <c r="K74" s="18"/>
      <c r="L74" s="31" t="str">
        <f aca="true">IF(E74="","",IF(AND(K74&lt;&gt;"",OR(H74="",K74&gt;=H74)),IF(J74="CMRI","",K74+5),IF(H74="",IF(TODAY()&lt;=G74,G74,IF(TODAY()&lt;E74+30,E74+30,E74+40)),IF(OR(I74="Negado",I74="Atendido em parte"),H74+10,""))))</f>
        <v/>
      </c>
      <c r="M74" s="32" t="str">
        <f aca="true">IF(L74="","",L74-TODAY())</f>
        <v/>
      </c>
      <c r="N74" s="19" t="str">
        <f aca="true">IF(E74="","",IF(AND(K74&lt;&gt;"",OR(H74="",K74&gt;=H74)),IF(J74="CMRI","Aguardar a CMRI (até a 3ª reunião mensal depois da autuação)","Aguardar decisão do recurso ou da reclamação"),IF(H74="",IF(TODAY()&lt;=G74,"Aguardar resposta do órgão",IF(TODAY()&lt;E74+30,"Prazo vencido: reclamação (modelo E) a partir da próxima data",IF(TODAY()&lt;=E74+40,"Fazer reclamação (modelo E) até a próxima data","Janela de reclamação encerrada: novo pedido ou modelo G"))),IF(I74="Atendido","Concluído: registre a resposta no Log",IF(OR(I74="Negado",I74="Atendido em parte"),"Recorrer (modelo B ou D) até a próxima data","Preencha o resultado da resposta")))))</f>
        <v/>
      </c>
      <c r="O74" s="27"/>
      <c r="P74" s="5"/>
    </row>
    <row r="75" customFormat="false" ht="15" hidden="false" customHeight="false" outlineLevel="0" collapsed="false">
      <c r="A75" s="27"/>
      <c r="B75" s="5"/>
      <c r="C75" s="14"/>
      <c r="D75" s="5"/>
      <c r="E75" s="18"/>
      <c r="F75" s="14"/>
      <c r="G75" s="31" t="str">
        <f aca="false">IF(E75="","",E75+IF(F75="Sim",30,20))</f>
        <v/>
      </c>
      <c r="H75" s="18"/>
      <c r="I75" s="14"/>
      <c r="J75" s="14"/>
      <c r="K75" s="18"/>
      <c r="L75" s="31" t="str">
        <f aca="true">IF(E75="","",IF(AND(K75&lt;&gt;"",OR(H75="",K75&gt;=H75)),IF(J75="CMRI","",K75+5),IF(H75="",IF(TODAY()&lt;=G75,G75,IF(TODAY()&lt;E75+30,E75+30,E75+40)),IF(OR(I75="Negado",I75="Atendido em parte"),H75+10,""))))</f>
        <v/>
      </c>
      <c r="M75" s="32" t="str">
        <f aca="true">IF(L75="","",L75-TODAY())</f>
        <v/>
      </c>
      <c r="N75" s="19" t="str">
        <f aca="true">IF(E75="","",IF(AND(K75&lt;&gt;"",OR(H75="",K75&gt;=H75)),IF(J75="CMRI","Aguardar a CMRI (até a 3ª reunião mensal depois da autuação)","Aguardar decisão do recurso ou da reclamação"),IF(H75="",IF(TODAY()&lt;=G75,"Aguardar resposta do órgão",IF(TODAY()&lt;E75+30,"Prazo vencido: reclamação (modelo E) a partir da próxima data",IF(TODAY()&lt;=E75+40,"Fazer reclamação (modelo E) até a próxima data","Janela de reclamação encerrada: novo pedido ou modelo G"))),IF(I75="Atendido","Concluído: registre a resposta no Log",IF(OR(I75="Negado",I75="Atendido em parte"),"Recorrer (modelo B ou D) até a próxima data","Preencha o resultado da resposta")))))</f>
        <v/>
      </c>
      <c r="O75" s="27"/>
      <c r="P75" s="5"/>
    </row>
    <row r="76" customFormat="false" ht="15" hidden="false" customHeight="false" outlineLevel="0" collapsed="false">
      <c r="A76" s="27"/>
      <c r="B76" s="5"/>
      <c r="C76" s="14"/>
      <c r="D76" s="5"/>
      <c r="E76" s="18"/>
      <c r="F76" s="14"/>
      <c r="G76" s="31" t="str">
        <f aca="false">IF(E76="","",E76+IF(F76="Sim",30,20))</f>
        <v/>
      </c>
      <c r="H76" s="18"/>
      <c r="I76" s="14"/>
      <c r="J76" s="14"/>
      <c r="K76" s="18"/>
      <c r="L76" s="31" t="str">
        <f aca="true">IF(E76="","",IF(AND(K76&lt;&gt;"",OR(H76="",K76&gt;=H76)),IF(J76="CMRI","",K76+5),IF(H76="",IF(TODAY()&lt;=G76,G76,IF(TODAY()&lt;E76+30,E76+30,E76+40)),IF(OR(I76="Negado",I76="Atendido em parte"),H76+10,""))))</f>
        <v/>
      </c>
      <c r="M76" s="32" t="str">
        <f aca="true">IF(L76="","",L76-TODAY())</f>
        <v/>
      </c>
      <c r="N76" s="19" t="str">
        <f aca="true">IF(E76="","",IF(AND(K76&lt;&gt;"",OR(H76="",K76&gt;=H76)),IF(J76="CMRI","Aguardar a CMRI (até a 3ª reunião mensal depois da autuação)","Aguardar decisão do recurso ou da reclamação"),IF(H76="",IF(TODAY()&lt;=G76,"Aguardar resposta do órgão",IF(TODAY()&lt;E76+30,"Prazo vencido: reclamação (modelo E) a partir da próxima data",IF(TODAY()&lt;=E76+40,"Fazer reclamação (modelo E) até a próxima data","Janela de reclamação encerrada: novo pedido ou modelo G"))),IF(I76="Atendido","Concluído: registre a resposta no Log",IF(OR(I76="Negado",I76="Atendido em parte"),"Recorrer (modelo B ou D) até a próxima data","Preencha o resultado da resposta")))))</f>
        <v/>
      </c>
      <c r="O76" s="27"/>
      <c r="P76" s="5"/>
    </row>
    <row r="77" customFormat="false" ht="15" hidden="false" customHeight="false" outlineLevel="0" collapsed="false">
      <c r="A77" s="27"/>
      <c r="B77" s="5"/>
      <c r="C77" s="14"/>
      <c r="D77" s="5"/>
      <c r="E77" s="18"/>
      <c r="F77" s="14"/>
      <c r="G77" s="31" t="str">
        <f aca="false">IF(E77="","",E77+IF(F77="Sim",30,20))</f>
        <v/>
      </c>
      <c r="H77" s="18"/>
      <c r="I77" s="14"/>
      <c r="J77" s="14"/>
      <c r="K77" s="18"/>
      <c r="L77" s="31" t="str">
        <f aca="true">IF(E77="","",IF(AND(K77&lt;&gt;"",OR(H77="",K77&gt;=H77)),IF(J77="CMRI","",K77+5),IF(H77="",IF(TODAY()&lt;=G77,G77,IF(TODAY()&lt;E77+30,E77+30,E77+40)),IF(OR(I77="Negado",I77="Atendido em parte"),H77+10,""))))</f>
        <v/>
      </c>
      <c r="M77" s="32" t="str">
        <f aca="true">IF(L77="","",L77-TODAY())</f>
        <v/>
      </c>
      <c r="N77" s="19" t="str">
        <f aca="true">IF(E77="","",IF(AND(K77&lt;&gt;"",OR(H77="",K77&gt;=H77)),IF(J77="CMRI","Aguardar a CMRI (até a 3ª reunião mensal depois da autuação)","Aguardar decisão do recurso ou da reclamação"),IF(H77="",IF(TODAY()&lt;=G77,"Aguardar resposta do órgão",IF(TODAY()&lt;E77+30,"Prazo vencido: reclamação (modelo E) a partir da próxima data",IF(TODAY()&lt;=E77+40,"Fazer reclamação (modelo E) até a próxima data","Janela de reclamação encerrada: novo pedido ou modelo G"))),IF(I77="Atendido","Concluído: registre a resposta no Log",IF(OR(I77="Negado",I77="Atendido em parte"),"Recorrer (modelo B ou D) até a próxima data","Preencha o resultado da resposta")))))</f>
        <v/>
      </c>
      <c r="O77" s="27"/>
      <c r="P77" s="5"/>
    </row>
    <row r="78" customFormat="false" ht="15" hidden="false" customHeight="false" outlineLevel="0" collapsed="false">
      <c r="A78" s="27"/>
      <c r="B78" s="5"/>
      <c r="C78" s="14"/>
      <c r="D78" s="5"/>
      <c r="E78" s="18"/>
      <c r="F78" s="14"/>
      <c r="G78" s="31" t="str">
        <f aca="false">IF(E78="","",E78+IF(F78="Sim",30,20))</f>
        <v/>
      </c>
      <c r="H78" s="18"/>
      <c r="I78" s="14"/>
      <c r="J78" s="14"/>
      <c r="K78" s="18"/>
      <c r="L78" s="31" t="str">
        <f aca="true">IF(E78="","",IF(AND(K78&lt;&gt;"",OR(H78="",K78&gt;=H78)),IF(J78="CMRI","",K78+5),IF(H78="",IF(TODAY()&lt;=G78,G78,IF(TODAY()&lt;E78+30,E78+30,E78+40)),IF(OR(I78="Negado",I78="Atendido em parte"),H78+10,""))))</f>
        <v/>
      </c>
      <c r="M78" s="32" t="str">
        <f aca="true">IF(L78="","",L78-TODAY())</f>
        <v/>
      </c>
      <c r="N78" s="19" t="str">
        <f aca="true">IF(E78="","",IF(AND(K78&lt;&gt;"",OR(H78="",K78&gt;=H78)),IF(J78="CMRI","Aguardar a CMRI (até a 3ª reunião mensal depois da autuação)","Aguardar decisão do recurso ou da reclamação"),IF(H78="",IF(TODAY()&lt;=G78,"Aguardar resposta do órgão",IF(TODAY()&lt;E78+30,"Prazo vencido: reclamação (modelo E) a partir da próxima data",IF(TODAY()&lt;=E78+40,"Fazer reclamação (modelo E) até a próxima data","Janela de reclamação encerrada: novo pedido ou modelo G"))),IF(I78="Atendido","Concluído: registre a resposta no Log",IF(OR(I78="Negado",I78="Atendido em parte"),"Recorrer (modelo B ou D) até a próxima data","Preencha o resultado da resposta")))))</f>
        <v/>
      </c>
      <c r="O78" s="27"/>
      <c r="P78" s="5"/>
    </row>
    <row r="79" customFormat="false" ht="15" hidden="false" customHeight="false" outlineLevel="0" collapsed="false">
      <c r="A79" s="27"/>
      <c r="B79" s="5"/>
      <c r="C79" s="14"/>
      <c r="D79" s="5"/>
      <c r="E79" s="18"/>
      <c r="F79" s="14"/>
      <c r="G79" s="31" t="str">
        <f aca="false">IF(E79="","",E79+IF(F79="Sim",30,20))</f>
        <v/>
      </c>
      <c r="H79" s="18"/>
      <c r="I79" s="14"/>
      <c r="J79" s="14"/>
      <c r="K79" s="18"/>
      <c r="L79" s="31" t="str">
        <f aca="true">IF(E79="","",IF(AND(K79&lt;&gt;"",OR(H79="",K79&gt;=H79)),IF(J79="CMRI","",K79+5),IF(H79="",IF(TODAY()&lt;=G79,G79,IF(TODAY()&lt;E79+30,E79+30,E79+40)),IF(OR(I79="Negado",I79="Atendido em parte"),H79+10,""))))</f>
        <v/>
      </c>
      <c r="M79" s="32" t="str">
        <f aca="true">IF(L79="","",L79-TODAY())</f>
        <v/>
      </c>
      <c r="N79" s="19" t="str">
        <f aca="true">IF(E79="","",IF(AND(K79&lt;&gt;"",OR(H79="",K79&gt;=H79)),IF(J79="CMRI","Aguardar a CMRI (até a 3ª reunião mensal depois da autuação)","Aguardar decisão do recurso ou da reclamação"),IF(H79="",IF(TODAY()&lt;=G79,"Aguardar resposta do órgão",IF(TODAY()&lt;E79+30,"Prazo vencido: reclamação (modelo E) a partir da próxima data",IF(TODAY()&lt;=E79+40,"Fazer reclamação (modelo E) até a próxima data","Janela de reclamação encerrada: novo pedido ou modelo G"))),IF(I79="Atendido","Concluído: registre a resposta no Log",IF(OR(I79="Negado",I79="Atendido em parte"),"Recorrer (modelo B ou D) até a próxima data","Preencha o resultado da resposta")))))</f>
        <v/>
      </c>
      <c r="O79" s="27"/>
      <c r="P79" s="5"/>
    </row>
    <row r="80" customFormat="false" ht="15" hidden="false" customHeight="false" outlineLevel="0" collapsed="false">
      <c r="A80" s="27"/>
      <c r="B80" s="5"/>
      <c r="C80" s="14"/>
      <c r="D80" s="5"/>
      <c r="E80" s="18"/>
      <c r="F80" s="14"/>
      <c r="G80" s="31" t="str">
        <f aca="false">IF(E80="","",E80+IF(F80="Sim",30,20))</f>
        <v/>
      </c>
      <c r="H80" s="18"/>
      <c r="I80" s="14"/>
      <c r="J80" s="14"/>
      <c r="K80" s="18"/>
      <c r="L80" s="31" t="str">
        <f aca="true">IF(E80="","",IF(AND(K80&lt;&gt;"",OR(H80="",K80&gt;=H80)),IF(J80="CMRI","",K80+5),IF(H80="",IF(TODAY()&lt;=G80,G80,IF(TODAY()&lt;E80+30,E80+30,E80+40)),IF(OR(I80="Negado",I80="Atendido em parte"),H80+10,""))))</f>
        <v/>
      </c>
      <c r="M80" s="32" t="str">
        <f aca="true">IF(L80="","",L80-TODAY())</f>
        <v/>
      </c>
      <c r="N80" s="19" t="str">
        <f aca="true">IF(E80="","",IF(AND(K80&lt;&gt;"",OR(H80="",K80&gt;=H80)),IF(J80="CMRI","Aguardar a CMRI (até a 3ª reunião mensal depois da autuação)","Aguardar decisão do recurso ou da reclamação"),IF(H80="",IF(TODAY()&lt;=G80,"Aguardar resposta do órgão",IF(TODAY()&lt;E80+30,"Prazo vencido: reclamação (modelo E) a partir da próxima data",IF(TODAY()&lt;=E80+40,"Fazer reclamação (modelo E) até a próxima data","Janela de reclamação encerrada: novo pedido ou modelo G"))),IF(I80="Atendido","Concluído: registre a resposta no Log",IF(OR(I80="Negado",I80="Atendido em parte"),"Recorrer (modelo B ou D) até a próxima data","Preencha o resultado da resposta")))))</f>
        <v/>
      </c>
      <c r="O80" s="27"/>
      <c r="P80" s="5"/>
    </row>
    <row r="81" customFormat="false" ht="15" hidden="false" customHeight="false" outlineLevel="0" collapsed="false">
      <c r="A81" s="27"/>
      <c r="B81" s="5"/>
      <c r="C81" s="14"/>
      <c r="D81" s="5"/>
      <c r="E81" s="18"/>
      <c r="F81" s="14"/>
      <c r="G81" s="31" t="str">
        <f aca="false">IF(E81="","",E81+IF(F81="Sim",30,20))</f>
        <v/>
      </c>
      <c r="H81" s="18"/>
      <c r="I81" s="14"/>
      <c r="J81" s="14"/>
      <c r="K81" s="18"/>
      <c r="L81" s="31" t="str">
        <f aca="true">IF(E81="","",IF(AND(K81&lt;&gt;"",OR(H81="",K81&gt;=H81)),IF(J81="CMRI","",K81+5),IF(H81="",IF(TODAY()&lt;=G81,G81,IF(TODAY()&lt;E81+30,E81+30,E81+40)),IF(OR(I81="Negado",I81="Atendido em parte"),H81+10,""))))</f>
        <v/>
      </c>
      <c r="M81" s="32" t="str">
        <f aca="true">IF(L81="","",L81-TODAY())</f>
        <v/>
      </c>
      <c r="N81" s="19" t="str">
        <f aca="true">IF(E81="","",IF(AND(K81&lt;&gt;"",OR(H81="",K81&gt;=H81)),IF(J81="CMRI","Aguardar a CMRI (até a 3ª reunião mensal depois da autuação)","Aguardar decisão do recurso ou da reclamação"),IF(H81="",IF(TODAY()&lt;=G81,"Aguardar resposta do órgão",IF(TODAY()&lt;E81+30,"Prazo vencido: reclamação (modelo E) a partir da próxima data",IF(TODAY()&lt;=E81+40,"Fazer reclamação (modelo E) até a próxima data","Janela de reclamação encerrada: novo pedido ou modelo G"))),IF(I81="Atendido","Concluído: registre a resposta no Log",IF(OR(I81="Negado",I81="Atendido em parte"),"Recorrer (modelo B ou D) até a próxima data","Preencha o resultado da resposta")))))</f>
        <v/>
      </c>
      <c r="O81" s="27"/>
      <c r="P81" s="5"/>
    </row>
    <row r="82" customFormat="false" ht="15" hidden="false" customHeight="false" outlineLevel="0" collapsed="false">
      <c r="A82" s="27"/>
      <c r="B82" s="5"/>
      <c r="C82" s="14"/>
      <c r="D82" s="5"/>
      <c r="E82" s="18"/>
      <c r="F82" s="14"/>
      <c r="G82" s="31" t="str">
        <f aca="false">IF(E82="","",E82+IF(F82="Sim",30,20))</f>
        <v/>
      </c>
      <c r="H82" s="18"/>
      <c r="I82" s="14"/>
      <c r="J82" s="14"/>
      <c r="K82" s="18"/>
      <c r="L82" s="31" t="str">
        <f aca="true">IF(E82="","",IF(AND(K82&lt;&gt;"",OR(H82="",K82&gt;=H82)),IF(J82="CMRI","",K82+5),IF(H82="",IF(TODAY()&lt;=G82,G82,IF(TODAY()&lt;E82+30,E82+30,E82+40)),IF(OR(I82="Negado",I82="Atendido em parte"),H82+10,""))))</f>
        <v/>
      </c>
      <c r="M82" s="32" t="str">
        <f aca="true">IF(L82="","",L82-TODAY())</f>
        <v/>
      </c>
      <c r="N82" s="19" t="str">
        <f aca="true">IF(E82="","",IF(AND(K82&lt;&gt;"",OR(H82="",K82&gt;=H82)),IF(J82="CMRI","Aguardar a CMRI (até a 3ª reunião mensal depois da autuação)","Aguardar decisão do recurso ou da reclamação"),IF(H82="",IF(TODAY()&lt;=G82,"Aguardar resposta do órgão",IF(TODAY()&lt;E82+30,"Prazo vencido: reclamação (modelo E) a partir da próxima data",IF(TODAY()&lt;=E82+40,"Fazer reclamação (modelo E) até a próxima data","Janela de reclamação encerrada: novo pedido ou modelo G"))),IF(I82="Atendido","Concluído: registre a resposta no Log",IF(OR(I82="Negado",I82="Atendido em parte"),"Recorrer (modelo B ou D) até a próxima data","Preencha o resultado da resposta")))))</f>
        <v/>
      </c>
      <c r="O82" s="27"/>
      <c r="P82" s="5"/>
    </row>
    <row r="83" customFormat="false" ht="15" hidden="false" customHeight="false" outlineLevel="0" collapsed="false">
      <c r="A83" s="27"/>
      <c r="B83" s="5"/>
      <c r="C83" s="14"/>
      <c r="D83" s="5"/>
      <c r="E83" s="18"/>
      <c r="F83" s="14"/>
      <c r="G83" s="31" t="str">
        <f aca="false">IF(E83="","",E83+IF(F83="Sim",30,20))</f>
        <v/>
      </c>
      <c r="H83" s="18"/>
      <c r="I83" s="14"/>
      <c r="J83" s="14"/>
      <c r="K83" s="18"/>
      <c r="L83" s="31" t="str">
        <f aca="true">IF(E83="","",IF(AND(K83&lt;&gt;"",OR(H83="",K83&gt;=H83)),IF(J83="CMRI","",K83+5),IF(H83="",IF(TODAY()&lt;=G83,G83,IF(TODAY()&lt;E83+30,E83+30,E83+40)),IF(OR(I83="Negado",I83="Atendido em parte"),H83+10,""))))</f>
        <v/>
      </c>
      <c r="M83" s="32" t="str">
        <f aca="true">IF(L83="","",L83-TODAY())</f>
        <v/>
      </c>
      <c r="N83" s="19" t="str">
        <f aca="true">IF(E83="","",IF(AND(K83&lt;&gt;"",OR(H83="",K83&gt;=H83)),IF(J83="CMRI","Aguardar a CMRI (até a 3ª reunião mensal depois da autuação)","Aguardar decisão do recurso ou da reclamação"),IF(H83="",IF(TODAY()&lt;=G83,"Aguardar resposta do órgão",IF(TODAY()&lt;E83+30,"Prazo vencido: reclamação (modelo E) a partir da próxima data",IF(TODAY()&lt;=E83+40,"Fazer reclamação (modelo E) até a próxima data","Janela de reclamação encerrada: novo pedido ou modelo G"))),IF(I83="Atendido","Concluído: registre a resposta no Log",IF(OR(I83="Negado",I83="Atendido em parte"),"Recorrer (modelo B ou D) até a próxima data","Preencha o resultado da resposta")))))</f>
        <v/>
      </c>
      <c r="O83" s="27"/>
      <c r="P83" s="5"/>
    </row>
    <row r="84" customFormat="false" ht="15" hidden="false" customHeight="false" outlineLevel="0" collapsed="false">
      <c r="A84" s="27"/>
      <c r="B84" s="5"/>
      <c r="C84" s="14"/>
      <c r="D84" s="5"/>
      <c r="E84" s="18"/>
      <c r="F84" s="14"/>
      <c r="G84" s="31" t="str">
        <f aca="false">IF(E84="","",E84+IF(F84="Sim",30,20))</f>
        <v/>
      </c>
      <c r="H84" s="18"/>
      <c r="I84" s="14"/>
      <c r="J84" s="14"/>
      <c r="K84" s="18"/>
      <c r="L84" s="31" t="str">
        <f aca="true">IF(E84="","",IF(AND(K84&lt;&gt;"",OR(H84="",K84&gt;=H84)),IF(J84="CMRI","",K84+5),IF(H84="",IF(TODAY()&lt;=G84,G84,IF(TODAY()&lt;E84+30,E84+30,E84+40)),IF(OR(I84="Negado",I84="Atendido em parte"),H84+10,""))))</f>
        <v/>
      </c>
      <c r="M84" s="32" t="str">
        <f aca="true">IF(L84="","",L84-TODAY())</f>
        <v/>
      </c>
      <c r="N84" s="19" t="str">
        <f aca="true">IF(E84="","",IF(AND(K84&lt;&gt;"",OR(H84="",K84&gt;=H84)),IF(J84="CMRI","Aguardar a CMRI (até a 3ª reunião mensal depois da autuação)","Aguardar decisão do recurso ou da reclamação"),IF(H84="",IF(TODAY()&lt;=G84,"Aguardar resposta do órgão",IF(TODAY()&lt;E84+30,"Prazo vencido: reclamação (modelo E) a partir da próxima data",IF(TODAY()&lt;=E84+40,"Fazer reclamação (modelo E) até a próxima data","Janela de reclamação encerrada: novo pedido ou modelo G"))),IF(I84="Atendido","Concluído: registre a resposta no Log",IF(OR(I84="Negado",I84="Atendido em parte"),"Recorrer (modelo B ou D) até a próxima data","Preencha o resultado da resposta")))))</f>
        <v/>
      </c>
      <c r="O84" s="27"/>
      <c r="P84" s="5"/>
    </row>
    <row r="85" customFormat="false" ht="15" hidden="false" customHeight="false" outlineLevel="0" collapsed="false">
      <c r="A85" s="27"/>
      <c r="B85" s="5"/>
      <c r="C85" s="14"/>
      <c r="D85" s="5"/>
      <c r="E85" s="18"/>
      <c r="F85" s="14"/>
      <c r="G85" s="31" t="str">
        <f aca="false">IF(E85="","",E85+IF(F85="Sim",30,20))</f>
        <v/>
      </c>
      <c r="H85" s="18"/>
      <c r="I85" s="14"/>
      <c r="J85" s="14"/>
      <c r="K85" s="18"/>
      <c r="L85" s="31" t="str">
        <f aca="true">IF(E85="","",IF(AND(K85&lt;&gt;"",OR(H85="",K85&gt;=H85)),IF(J85="CMRI","",K85+5),IF(H85="",IF(TODAY()&lt;=G85,G85,IF(TODAY()&lt;E85+30,E85+30,E85+40)),IF(OR(I85="Negado",I85="Atendido em parte"),H85+10,""))))</f>
        <v/>
      </c>
      <c r="M85" s="32" t="str">
        <f aca="true">IF(L85="","",L85-TODAY())</f>
        <v/>
      </c>
      <c r="N85" s="19" t="str">
        <f aca="true">IF(E85="","",IF(AND(K85&lt;&gt;"",OR(H85="",K85&gt;=H85)),IF(J85="CMRI","Aguardar a CMRI (até a 3ª reunião mensal depois da autuação)","Aguardar decisão do recurso ou da reclamação"),IF(H85="",IF(TODAY()&lt;=G85,"Aguardar resposta do órgão",IF(TODAY()&lt;E85+30,"Prazo vencido: reclamação (modelo E) a partir da próxima data",IF(TODAY()&lt;=E85+40,"Fazer reclamação (modelo E) até a próxima data","Janela de reclamação encerrada: novo pedido ou modelo G"))),IF(I85="Atendido","Concluído: registre a resposta no Log",IF(OR(I85="Negado",I85="Atendido em parte"),"Recorrer (modelo B ou D) até a próxima data","Preencha o resultado da resposta")))))</f>
        <v/>
      </c>
      <c r="O85" s="27"/>
      <c r="P85" s="5"/>
    </row>
    <row r="86" customFormat="false" ht="15" hidden="false" customHeight="false" outlineLevel="0" collapsed="false">
      <c r="A86" s="27"/>
      <c r="B86" s="5"/>
      <c r="C86" s="14"/>
      <c r="D86" s="5"/>
      <c r="E86" s="18"/>
      <c r="F86" s="14"/>
      <c r="G86" s="31" t="str">
        <f aca="false">IF(E86="","",E86+IF(F86="Sim",30,20))</f>
        <v/>
      </c>
      <c r="H86" s="18"/>
      <c r="I86" s="14"/>
      <c r="J86" s="14"/>
      <c r="K86" s="18"/>
      <c r="L86" s="31" t="str">
        <f aca="true">IF(E86="","",IF(AND(K86&lt;&gt;"",OR(H86="",K86&gt;=H86)),IF(J86="CMRI","",K86+5),IF(H86="",IF(TODAY()&lt;=G86,G86,IF(TODAY()&lt;E86+30,E86+30,E86+40)),IF(OR(I86="Negado",I86="Atendido em parte"),H86+10,""))))</f>
        <v/>
      </c>
      <c r="M86" s="32" t="str">
        <f aca="true">IF(L86="","",L86-TODAY())</f>
        <v/>
      </c>
      <c r="N86" s="19" t="str">
        <f aca="true">IF(E86="","",IF(AND(K86&lt;&gt;"",OR(H86="",K86&gt;=H86)),IF(J86="CMRI","Aguardar a CMRI (até a 3ª reunião mensal depois da autuação)","Aguardar decisão do recurso ou da reclamação"),IF(H86="",IF(TODAY()&lt;=G86,"Aguardar resposta do órgão",IF(TODAY()&lt;E86+30,"Prazo vencido: reclamação (modelo E) a partir da próxima data",IF(TODAY()&lt;=E86+40,"Fazer reclamação (modelo E) até a próxima data","Janela de reclamação encerrada: novo pedido ou modelo G"))),IF(I86="Atendido","Concluído: registre a resposta no Log",IF(OR(I86="Negado",I86="Atendido em parte"),"Recorrer (modelo B ou D) até a próxima data","Preencha o resultado da resposta")))))</f>
        <v/>
      </c>
      <c r="O86" s="27"/>
      <c r="P86" s="5"/>
    </row>
    <row r="87" customFormat="false" ht="15" hidden="false" customHeight="false" outlineLevel="0" collapsed="false">
      <c r="A87" s="27"/>
      <c r="B87" s="5"/>
      <c r="C87" s="14"/>
      <c r="D87" s="5"/>
      <c r="E87" s="18"/>
      <c r="F87" s="14"/>
      <c r="G87" s="31" t="str">
        <f aca="false">IF(E87="","",E87+IF(F87="Sim",30,20))</f>
        <v/>
      </c>
      <c r="H87" s="18"/>
      <c r="I87" s="14"/>
      <c r="J87" s="14"/>
      <c r="K87" s="18"/>
      <c r="L87" s="31" t="str">
        <f aca="true">IF(E87="","",IF(AND(K87&lt;&gt;"",OR(H87="",K87&gt;=H87)),IF(J87="CMRI","",K87+5),IF(H87="",IF(TODAY()&lt;=G87,G87,IF(TODAY()&lt;E87+30,E87+30,E87+40)),IF(OR(I87="Negado",I87="Atendido em parte"),H87+10,""))))</f>
        <v/>
      </c>
      <c r="M87" s="32" t="str">
        <f aca="true">IF(L87="","",L87-TODAY())</f>
        <v/>
      </c>
      <c r="N87" s="19" t="str">
        <f aca="true">IF(E87="","",IF(AND(K87&lt;&gt;"",OR(H87="",K87&gt;=H87)),IF(J87="CMRI","Aguardar a CMRI (até a 3ª reunião mensal depois da autuação)","Aguardar decisão do recurso ou da reclamação"),IF(H87="",IF(TODAY()&lt;=G87,"Aguardar resposta do órgão",IF(TODAY()&lt;E87+30,"Prazo vencido: reclamação (modelo E) a partir da próxima data",IF(TODAY()&lt;=E87+40,"Fazer reclamação (modelo E) até a próxima data","Janela de reclamação encerrada: novo pedido ou modelo G"))),IF(I87="Atendido","Concluído: registre a resposta no Log",IF(OR(I87="Negado",I87="Atendido em parte"),"Recorrer (modelo B ou D) até a próxima data","Preencha o resultado da resposta")))))</f>
        <v/>
      </c>
      <c r="O87" s="27"/>
      <c r="P87" s="5"/>
    </row>
    <row r="88" customFormat="false" ht="15" hidden="false" customHeight="false" outlineLevel="0" collapsed="false">
      <c r="A88" s="27"/>
      <c r="B88" s="5"/>
      <c r="C88" s="14"/>
      <c r="D88" s="5"/>
      <c r="E88" s="18"/>
      <c r="F88" s="14"/>
      <c r="G88" s="31" t="str">
        <f aca="false">IF(E88="","",E88+IF(F88="Sim",30,20))</f>
        <v/>
      </c>
      <c r="H88" s="18"/>
      <c r="I88" s="14"/>
      <c r="J88" s="14"/>
      <c r="K88" s="18"/>
      <c r="L88" s="31" t="str">
        <f aca="true">IF(E88="","",IF(AND(K88&lt;&gt;"",OR(H88="",K88&gt;=H88)),IF(J88="CMRI","",K88+5),IF(H88="",IF(TODAY()&lt;=G88,G88,IF(TODAY()&lt;E88+30,E88+30,E88+40)),IF(OR(I88="Negado",I88="Atendido em parte"),H88+10,""))))</f>
        <v/>
      </c>
      <c r="M88" s="32" t="str">
        <f aca="true">IF(L88="","",L88-TODAY())</f>
        <v/>
      </c>
      <c r="N88" s="19" t="str">
        <f aca="true">IF(E88="","",IF(AND(K88&lt;&gt;"",OR(H88="",K88&gt;=H88)),IF(J88="CMRI","Aguardar a CMRI (até a 3ª reunião mensal depois da autuação)","Aguardar decisão do recurso ou da reclamação"),IF(H88="",IF(TODAY()&lt;=G88,"Aguardar resposta do órgão",IF(TODAY()&lt;E88+30,"Prazo vencido: reclamação (modelo E) a partir da próxima data",IF(TODAY()&lt;=E88+40,"Fazer reclamação (modelo E) até a próxima data","Janela de reclamação encerrada: novo pedido ou modelo G"))),IF(I88="Atendido","Concluído: registre a resposta no Log",IF(OR(I88="Negado",I88="Atendido em parte"),"Recorrer (modelo B ou D) até a próxima data","Preencha o resultado da resposta")))))</f>
        <v/>
      </c>
      <c r="O88" s="27"/>
      <c r="P88" s="5"/>
    </row>
    <row r="89" customFormat="false" ht="15" hidden="false" customHeight="false" outlineLevel="0" collapsed="false">
      <c r="A89" s="27"/>
      <c r="B89" s="5"/>
      <c r="C89" s="14"/>
      <c r="D89" s="5"/>
      <c r="E89" s="18"/>
      <c r="F89" s="14"/>
      <c r="G89" s="31" t="str">
        <f aca="false">IF(E89="","",E89+IF(F89="Sim",30,20))</f>
        <v/>
      </c>
      <c r="H89" s="18"/>
      <c r="I89" s="14"/>
      <c r="J89" s="14"/>
      <c r="K89" s="18"/>
      <c r="L89" s="31" t="str">
        <f aca="true">IF(E89="","",IF(AND(K89&lt;&gt;"",OR(H89="",K89&gt;=H89)),IF(J89="CMRI","",K89+5),IF(H89="",IF(TODAY()&lt;=G89,G89,IF(TODAY()&lt;E89+30,E89+30,E89+40)),IF(OR(I89="Negado",I89="Atendido em parte"),H89+10,""))))</f>
        <v/>
      </c>
      <c r="M89" s="32" t="str">
        <f aca="true">IF(L89="","",L89-TODAY())</f>
        <v/>
      </c>
      <c r="N89" s="19" t="str">
        <f aca="true">IF(E89="","",IF(AND(K89&lt;&gt;"",OR(H89="",K89&gt;=H89)),IF(J89="CMRI","Aguardar a CMRI (até a 3ª reunião mensal depois da autuação)","Aguardar decisão do recurso ou da reclamação"),IF(H89="",IF(TODAY()&lt;=G89,"Aguardar resposta do órgão",IF(TODAY()&lt;E89+30,"Prazo vencido: reclamação (modelo E) a partir da próxima data",IF(TODAY()&lt;=E89+40,"Fazer reclamação (modelo E) até a próxima data","Janela de reclamação encerrada: novo pedido ou modelo G"))),IF(I89="Atendido","Concluído: registre a resposta no Log",IF(OR(I89="Negado",I89="Atendido em parte"),"Recorrer (modelo B ou D) até a próxima data","Preencha o resultado da resposta")))))</f>
        <v/>
      </c>
      <c r="O89" s="27"/>
      <c r="P89" s="5"/>
    </row>
    <row r="90" customFormat="false" ht="15" hidden="false" customHeight="false" outlineLevel="0" collapsed="false">
      <c r="A90" s="27"/>
      <c r="B90" s="5"/>
      <c r="C90" s="14"/>
      <c r="D90" s="5"/>
      <c r="E90" s="18"/>
      <c r="F90" s="14"/>
      <c r="G90" s="31" t="str">
        <f aca="false">IF(E90="","",E90+IF(F90="Sim",30,20))</f>
        <v/>
      </c>
      <c r="H90" s="18"/>
      <c r="I90" s="14"/>
      <c r="J90" s="14"/>
      <c r="K90" s="18"/>
      <c r="L90" s="31" t="str">
        <f aca="true">IF(E90="","",IF(AND(K90&lt;&gt;"",OR(H90="",K90&gt;=H90)),IF(J90="CMRI","",K90+5),IF(H90="",IF(TODAY()&lt;=G90,G90,IF(TODAY()&lt;E90+30,E90+30,E90+40)),IF(OR(I90="Negado",I90="Atendido em parte"),H90+10,""))))</f>
        <v/>
      </c>
      <c r="M90" s="32" t="str">
        <f aca="true">IF(L90="","",L90-TODAY())</f>
        <v/>
      </c>
      <c r="N90" s="19" t="str">
        <f aca="true">IF(E90="","",IF(AND(K90&lt;&gt;"",OR(H90="",K90&gt;=H90)),IF(J90="CMRI","Aguardar a CMRI (até a 3ª reunião mensal depois da autuação)","Aguardar decisão do recurso ou da reclamação"),IF(H90="",IF(TODAY()&lt;=G90,"Aguardar resposta do órgão",IF(TODAY()&lt;E90+30,"Prazo vencido: reclamação (modelo E) a partir da próxima data",IF(TODAY()&lt;=E90+40,"Fazer reclamação (modelo E) até a próxima data","Janela de reclamação encerrada: novo pedido ou modelo G"))),IF(I90="Atendido","Concluído: registre a resposta no Log",IF(OR(I90="Negado",I90="Atendido em parte"),"Recorrer (modelo B ou D) até a próxima data","Preencha o resultado da resposta")))))</f>
        <v/>
      </c>
      <c r="O90" s="27"/>
      <c r="P90" s="5"/>
    </row>
    <row r="91" customFormat="false" ht="15" hidden="false" customHeight="false" outlineLevel="0" collapsed="false">
      <c r="A91" s="27"/>
      <c r="B91" s="5"/>
      <c r="C91" s="14"/>
      <c r="D91" s="5"/>
      <c r="E91" s="18"/>
      <c r="F91" s="14"/>
      <c r="G91" s="31" t="str">
        <f aca="false">IF(E91="","",E91+IF(F91="Sim",30,20))</f>
        <v/>
      </c>
      <c r="H91" s="18"/>
      <c r="I91" s="14"/>
      <c r="J91" s="14"/>
      <c r="K91" s="18"/>
      <c r="L91" s="31" t="str">
        <f aca="true">IF(E91="","",IF(AND(K91&lt;&gt;"",OR(H91="",K91&gt;=H91)),IF(J91="CMRI","",K91+5),IF(H91="",IF(TODAY()&lt;=G91,G91,IF(TODAY()&lt;E91+30,E91+30,E91+40)),IF(OR(I91="Negado",I91="Atendido em parte"),H91+10,""))))</f>
        <v/>
      </c>
      <c r="M91" s="32" t="str">
        <f aca="true">IF(L91="","",L91-TODAY())</f>
        <v/>
      </c>
      <c r="N91" s="19" t="str">
        <f aca="true">IF(E91="","",IF(AND(K91&lt;&gt;"",OR(H91="",K91&gt;=H91)),IF(J91="CMRI","Aguardar a CMRI (até a 3ª reunião mensal depois da autuação)","Aguardar decisão do recurso ou da reclamação"),IF(H91="",IF(TODAY()&lt;=G91,"Aguardar resposta do órgão",IF(TODAY()&lt;E91+30,"Prazo vencido: reclamação (modelo E) a partir da próxima data",IF(TODAY()&lt;=E91+40,"Fazer reclamação (modelo E) até a próxima data","Janela de reclamação encerrada: novo pedido ou modelo G"))),IF(I91="Atendido","Concluído: registre a resposta no Log",IF(OR(I91="Negado",I91="Atendido em parte"),"Recorrer (modelo B ou D) até a próxima data","Preencha o resultado da resposta")))))</f>
        <v/>
      </c>
      <c r="O91" s="27"/>
      <c r="P91" s="5"/>
    </row>
    <row r="92" customFormat="false" ht="15" hidden="false" customHeight="false" outlineLevel="0" collapsed="false">
      <c r="A92" s="27"/>
      <c r="B92" s="5"/>
      <c r="C92" s="14"/>
      <c r="D92" s="5"/>
      <c r="E92" s="18"/>
      <c r="F92" s="14"/>
      <c r="G92" s="31" t="str">
        <f aca="false">IF(E92="","",E92+IF(F92="Sim",30,20))</f>
        <v/>
      </c>
      <c r="H92" s="18"/>
      <c r="I92" s="14"/>
      <c r="J92" s="14"/>
      <c r="K92" s="18"/>
      <c r="L92" s="31" t="str">
        <f aca="true">IF(E92="","",IF(AND(K92&lt;&gt;"",OR(H92="",K92&gt;=H92)),IF(J92="CMRI","",K92+5),IF(H92="",IF(TODAY()&lt;=G92,G92,IF(TODAY()&lt;E92+30,E92+30,E92+40)),IF(OR(I92="Negado",I92="Atendido em parte"),H92+10,""))))</f>
        <v/>
      </c>
      <c r="M92" s="32" t="str">
        <f aca="true">IF(L92="","",L92-TODAY())</f>
        <v/>
      </c>
      <c r="N92" s="19" t="str">
        <f aca="true">IF(E92="","",IF(AND(K92&lt;&gt;"",OR(H92="",K92&gt;=H92)),IF(J92="CMRI","Aguardar a CMRI (até a 3ª reunião mensal depois da autuação)","Aguardar decisão do recurso ou da reclamação"),IF(H92="",IF(TODAY()&lt;=G92,"Aguardar resposta do órgão",IF(TODAY()&lt;E92+30,"Prazo vencido: reclamação (modelo E) a partir da próxima data",IF(TODAY()&lt;=E92+40,"Fazer reclamação (modelo E) até a próxima data","Janela de reclamação encerrada: novo pedido ou modelo G"))),IF(I92="Atendido","Concluído: registre a resposta no Log",IF(OR(I92="Negado",I92="Atendido em parte"),"Recorrer (modelo B ou D) até a próxima data","Preencha o resultado da resposta")))))</f>
        <v/>
      </c>
      <c r="O92" s="27"/>
      <c r="P92" s="5"/>
    </row>
    <row r="93" customFormat="false" ht="15" hidden="false" customHeight="false" outlineLevel="0" collapsed="false">
      <c r="A93" s="27"/>
      <c r="B93" s="5"/>
      <c r="C93" s="14"/>
      <c r="D93" s="5"/>
      <c r="E93" s="18"/>
      <c r="F93" s="14"/>
      <c r="G93" s="31" t="str">
        <f aca="false">IF(E93="","",E93+IF(F93="Sim",30,20))</f>
        <v/>
      </c>
      <c r="H93" s="18"/>
      <c r="I93" s="14"/>
      <c r="J93" s="14"/>
      <c r="K93" s="18"/>
      <c r="L93" s="31" t="str">
        <f aca="true">IF(E93="","",IF(AND(K93&lt;&gt;"",OR(H93="",K93&gt;=H93)),IF(J93="CMRI","",K93+5),IF(H93="",IF(TODAY()&lt;=G93,G93,IF(TODAY()&lt;E93+30,E93+30,E93+40)),IF(OR(I93="Negado",I93="Atendido em parte"),H93+10,""))))</f>
        <v/>
      </c>
      <c r="M93" s="32" t="str">
        <f aca="true">IF(L93="","",L93-TODAY())</f>
        <v/>
      </c>
      <c r="N93" s="19" t="str">
        <f aca="true">IF(E93="","",IF(AND(K93&lt;&gt;"",OR(H93="",K93&gt;=H93)),IF(J93="CMRI","Aguardar a CMRI (até a 3ª reunião mensal depois da autuação)","Aguardar decisão do recurso ou da reclamação"),IF(H93="",IF(TODAY()&lt;=G93,"Aguardar resposta do órgão",IF(TODAY()&lt;E93+30,"Prazo vencido: reclamação (modelo E) a partir da próxima data",IF(TODAY()&lt;=E93+40,"Fazer reclamação (modelo E) até a próxima data","Janela de reclamação encerrada: novo pedido ou modelo G"))),IF(I93="Atendido","Concluído: registre a resposta no Log",IF(OR(I93="Negado",I93="Atendido em parte"),"Recorrer (modelo B ou D) até a próxima data","Preencha o resultado da resposta")))))</f>
        <v/>
      </c>
      <c r="O93" s="27"/>
      <c r="P93" s="5"/>
    </row>
    <row r="94" customFormat="false" ht="15" hidden="false" customHeight="false" outlineLevel="0" collapsed="false">
      <c r="A94" s="27"/>
      <c r="B94" s="5"/>
      <c r="C94" s="14"/>
      <c r="D94" s="5"/>
      <c r="E94" s="18"/>
      <c r="F94" s="14"/>
      <c r="G94" s="31" t="str">
        <f aca="false">IF(E94="","",E94+IF(F94="Sim",30,20))</f>
        <v/>
      </c>
      <c r="H94" s="18"/>
      <c r="I94" s="14"/>
      <c r="J94" s="14"/>
      <c r="K94" s="18"/>
      <c r="L94" s="31" t="str">
        <f aca="true">IF(E94="","",IF(AND(K94&lt;&gt;"",OR(H94="",K94&gt;=H94)),IF(J94="CMRI","",K94+5),IF(H94="",IF(TODAY()&lt;=G94,G94,IF(TODAY()&lt;E94+30,E94+30,E94+40)),IF(OR(I94="Negado",I94="Atendido em parte"),H94+10,""))))</f>
        <v/>
      </c>
      <c r="M94" s="32" t="str">
        <f aca="true">IF(L94="","",L94-TODAY())</f>
        <v/>
      </c>
      <c r="N94" s="19" t="str">
        <f aca="true">IF(E94="","",IF(AND(K94&lt;&gt;"",OR(H94="",K94&gt;=H94)),IF(J94="CMRI","Aguardar a CMRI (até a 3ª reunião mensal depois da autuação)","Aguardar decisão do recurso ou da reclamação"),IF(H94="",IF(TODAY()&lt;=G94,"Aguardar resposta do órgão",IF(TODAY()&lt;E94+30,"Prazo vencido: reclamação (modelo E) a partir da próxima data",IF(TODAY()&lt;=E94+40,"Fazer reclamação (modelo E) até a próxima data","Janela de reclamação encerrada: novo pedido ou modelo G"))),IF(I94="Atendido","Concluído: registre a resposta no Log",IF(OR(I94="Negado",I94="Atendido em parte"),"Recorrer (modelo B ou D) até a próxima data","Preencha o resultado da resposta")))))</f>
        <v/>
      </c>
      <c r="O94" s="27"/>
      <c r="P94" s="5"/>
    </row>
    <row r="95" customFormat="false" ht="15" hidden="false" customHeight="false" outlineLevel="0" collapsed="false">
      <c r="A95" s="27"/>
      <c r="B95" s="5"/>
      <c r="C95" s="14"/>
      <c r="D95" s="5"/>
      <c r="E95" s="18"/>
      <c r="F95" s="14"/>
      <c r="G95" s="31" t="str">
        <f aca="false">IF(E95="","",E95+IF(F95="Sim",30,20))</f>
        <v/>
      </c>
      <c r="H95" s="18"/>
      <c r="I95" s="14"/>
      <c r="J95" s="14"/>
      <c r="K95" s="18"/>
      <c r="L95" s="31" t="str">
        <f aca="true">IF(E95="","",IF(AND(K95&lt;&gt;"",OR(H95="",K95&gt;=H95)),IF(J95="CMRI","",K95+5),IF(H95="",IF(TODAY()&lt;=G95,G95,IF(TODAY()&lt;E95+30,E95+30,E95+40)),IF(OR(I95="Negado",I95="Atendido em parte"),H95+10,""))))</f>
        <v/>
      </c>
      <c r="M95" s="32" t="str">
        <f aca="true">IF(L95="","",L95-TODAY())</f>
        <v/>
      </c>
      <c r="N95" s="19" t="str">
        <f aca="true">IF(E95="","",IF(AND(K95&lt;&gt;"",OR(H95="",K95&gt;=H95)),IF(J95="CMRI","Aguardar a CMRI (até a 3ª reunião mensal depois da autuação)","Aguardar decisão do recurso ou da reclamação"),IF(H95="",IF(TODAY()&lt;=G95,"Aguardar resposta do órgão",IF(TODAY()&lt;E95+30,"Prazo vencido: reclamação (modelo E) a partir da próxima data",IF(TODAY()&lt;=E95+40,"Fazer reclamação (modelo E) até a próxima data","Janela de reclamação encerrada: novo pedido ou modelo G"))),IF(I95="Atendido","Concluído: registre a resposta no Log",IF(OR(I95="Negado",I95="Atendido em parte"),"Recorrer (modelo B ou D) até a próxima data","Preencha o resultado da resposta")))))</f>
        <v/>
      </c>
      <c r="O95" s="27"/>
      <c r="P95" s="5"/>
    </row>
    <row r="96" customFormat="false" ht="15" hidden="false" customHeight="false" outlineLevel="0" collapsed="false">
      <c r="A96" s="27"/>
      <c r="B96" s="5"/>
      <c r="C96" s="14"/>
      <c r="D96" s="5"/>
      <c r="E96" s="18"/>
      <c r="F96" s="14"/>
      <c r="G96" s="31" t="str">
        <f aca="false">IF(E96="","",E96+IF(F96="Sim",30,20))</f>
        <v/>
      </c>
      <c r="H96" s="18"/>
      <c r="I96" s="14"/>
      <c r="J96" s="14"/>
      <c r="K96" s="18"/>
      <c r="L96" s="31" t="str">
        <f aca="true">IF(E96="","",IF(AND(K96&lt;&gt;"",OR(H96="",K96&gt;=H96)),IF(J96="CMRI","",K96+5),IF(H96="",IF(TODAY()&lt;=G96,G96,IF(TODAY()&lt;E96+30,E96+30,E96+40)),IF(OR(I96="Negado",I96="Atendido em parte"),H96+10,""))))</f>
        <v/>
      </c>
      <c r="M96" s="32" t="str">
        <f aca="true">IF(L96="","",L96-TODAY())</f>
        <v/>
      </c>
      <c r="N96" s="19" t="str">
        <f aca="true">IF(E96="","",IF(AND(K96&lt;&gt;"",OR(H96="",K96&gt;=H96)),IF(J96="CMRI","Aguardar a CMRI (até a 3ª reunião mensal depois da autuação)","Aguardar decisão do recurso ou da reclamação"),IF(H96="",IF(TODAY()&lt;=G96,"Aguardar resposta do órgão",IF(TODAY()&lt;E96+30,"Prazo vencido: reclamação (modelo E) a partir da próxima data",IF(TODAY()&lt;=E96+40,"Fazer reclamação (modelo E) até a próxima data","Janela de reclamação encerrada: novo pedido ou modelo G"))),IF(I96="Atendido","Concluído: registre a resposta no Log",IF(OR(I96="Negado",I96="Atendido em parte"),"Recorrer (modelo B ou D) até a próxima data","Preencha o resultado da resposta")))))</f>
        <v/>
      </c>
      <c r="O96" s="27"/>
      <c r="P96" s="5"/>
    </row>
    <row r="97" customFormat="false" ht="15" hidden="false" customHeight="false" outlineLevel="0" collapsed="false">
      <c r="A97" s="27"/>
      <c r="B97" s="5"/>
      <c r="C97" s="14"/>
      <c r="D97" s="5"/>
      <c r="E97" s="18"/>
      <c r="F97" s="14"/>
      <c r="G97" s="31" t="str">
        <f aca="false">IF(E97="","",E97+IF(F97="Sim",30,20))</f>
        <v/>
      </c>
      <c r="H97" s="18"/>
      <c r="I97" s="14"/>
      <c r="J97" s="14"/>
      <c r="K97" s="18"/>
      <c r="L97" s="31" t="str">
        <f aca="true">IF(E97="","",IF(AND(K97&lt;&gt;"",OR(H97="",K97&gt;=H97)),IF(J97="CMRI","",K97+5),IF(H97="",IF(TODAY()&lt;=G97,G97,IF(TODAY()&lt;E97+30,E97+30,E97+40)),IF(OR(I97="Negado",I97="Atendido em parte"),H97+10,""))))</f>
        <v/>
      </c>
      <c r="M97" s="32" t="str">
        <f aca="true">IF(L97="","",L97-TODAY())</f>
        <v/>
      </c>
      <c r="N97" s="19" t="str">
        <f aca="true">IF(E97="","",IF(AND(K97&lt;&gt;"",OR(H97="",K97&gt;=H97)),IF(J97="CMRI","Aguardar a CMRI (até a 3ª reunião mensal depois da autuação)","Aguardar decisão do recurso ou da reclamação"),IF(H97="",IF(TODAY()&lt;=G97,"Aguardar resposta do órgão",IF(TODAY()&lt;E97+30,"Prazo vencido: reclamação (modelo E) a partir da próxima data",IF(TODAY()&lt;=E97+40,"Fazer reclamação (modelo E) até a próxima data","Janela de reclamação encerrada: novo pedido ou modelo G"))),IF(I97="Atendido","Concluído: registre a resposta no Log",IF(OR(I97="Negado",I97="Atendido em parte"),"Recorrer (modelo B ou D) até a próxima data","Preencha o resultado da resposta")))))</f>
        <v/>
      </c>
      <c r="O97" s="27"/>
      <c r="P97" s="5"/>
    </row>
    <row r="98" customFormat="false" ht="15" hidden="false" customHeight="false" outlineLevel="0" collapsed="false">
      <c r="A98" s="27"/>
      <c r="B98" s="5"/>
      <c r="C98" s="14"/>
      <c r="D98" s="5"/>
      <c r="E98" s="18"/>
      <c r="F98" s="14"/>
      <c r="G98" s="31" t="str">
        <f aca="false">IF(E98="","",E98+IF(F98="Sim",30,20))</f>
        <v/>
      </c>
      <c r="H98" s="18"/>
      <c r="I98" s="14"/>
      <c r="J98" s="14"/>
      <c r="K98" s="18"/>
      <c r="L98" s="31" t="str">
        <f aca="true">IF(E98="","",IF(AND(K98&lt;&gt;"",OR(H98="",K98&gt;=H98)),IF(J98="CMRI","",K98+5),IF(H98="",IF(TODAY()&lt;=G98,G98,IF(TODAY()&lt;E98+30,E98+30,E98+40)),IF(OR(I98="Negado",I98="Atendido em parte"),H98+10,""))))</f>
        <v/>
      </c>
      <c r="M98" s="32" t="str">
        <f aca="true">IF(L98="","",L98-TODAY())</f>
        <v/>
      </c>
      <c r="N98" s="19" t="str">
        <f aca="true">IF(E98="","",IF(AND(K98&lt;&gt;"",OR(H98="",K98&gt;=H98)),IF(J98="CMRI","Aguardar a CMRI (até a 3ª reunião mensal depois da autuação)","Aguardar decisão do recurso ou da reclamação"),IF(H98="",IF(TODAY()&lt;=G98,"Aguardar resposta do órgão",IF(TODAY()&lt;E98+30,"Prazo vencido: reclamação (modelo E) a partir da próxima data",IF(TODAY()&lt;=E98+40,"Fazer reclamação (modelo E) até a próxima data","Janela de reclamação encerrada: novo pedido ou modelo G"))),IF(I98="Atendido","Concluído: registre a resposta no Log",IF(OR(I98="Negado",I98="Atendido em parte"),"Recorrer (modelo B ou D) até a próxima data","Preencha o resultado da resposta")))))</f>
        <v/>
      </c>
      <c r="O98" s="27"/>
      <c r="P98" s="5"/>
    </row>
    <row r="99" customFormat="false" ht="15" hidden="false" customHeight="false" outlineLevel="0" collapsed="false">
      <c r="A99" s="27"/>
      <c r="B99" s="5"/>
      <c r="C99" s="14"/>
      <c r="D99" s="5"/>
      <c r="E99" s="18"/>
      <c r="F99" s="14"/>
      <c r="G99" s="31" t="str">
        <f aca="false">IF(E99="","",E99+IF(F99="Sim",30,20))</f>
        <v/>
      </c>
      <c r="H99" s="18"/>
      <c r="I99" s="14"/>
      <c r="J99" s="14"/>
      <c r="K99" s="18"/>
      <c r="L99" s="31" t="str">
        <f aca="true">IF(E99="","",IF(AND(K99&lt;&gt;"",OR(H99="",K99&gt;=H99)),IF(J99="CMRI","",K99+5),IF(H99="",IF(TODAY()&lt;=G99,G99,IF(TODAY()&lt;E99+30,E99+30,E99+40)),IF(OR(I99="Negado",I99="Atendido em parte"),H99+10,""))))</f>
        <v/>
      </c>
      <c r="M99" s="32" t="str">
        <f aca="true">IF(L99="","",L99-TODAY())</f>
        <v/>
      </c>
      <c r="N99" s="19" t="str">
        <f aca="true">IF(E99="","",IF(AND(K99&lt;&gt;"",OR(H99="",K99&gt;=H99)),IF(J99="CMRI","Aguardar a CMRI (até a 3ª reunião mensal depois da autuação)","Aguardar decisão do recurso ou da reclamação"),IF(H99="",IF(TODAY()&lt;=G99,"Aguardar resposta do órgão",IF(TODAY()&lt;E99+30,"Prazo vencido: reclamação (modelo E) a partir da próxima data",IF(TODAY()&lt;=E99+40,"Fazer reclamação (modelo E) até a próxima data","Janela de reclamação encerrada: novo pedido ou modelo G"))),IF(I99="Atendido","Concluído: registre a resposta no Log",IF(OR(I99="Negado",I99="Atendido em parte"),"Recorrer (modelo B ou D) até a próxima data","Preencha o resultado da resposta")))))</f>
        <v/>
      </c>
      <c r="O99" s="27"/>
      <c r="P99" s="5"/>
    </row>
    <row r="100" customFormat="false" ht="15" hidden="false" customHeight="false" outlineLevel="0" collapsed="false">
      <c r="A100" s="27"/>
      <c r="B100" s="5"/>
      <c r="C100" s="14"/>
      <c r="D100" s="5"/>
      <c r="E100" s="18"/>
      <c r="F100" s="14"/>
      <c r="G100" s="31" t="str">
        <f aca="false">IF(E100="","",E100+IF(F100="Sim",30,20))</f>
        <v/>
      </c>
      <c r="H100" s="18"/>
      <c r="I100" s="14"/>
      <c r="J100" s="14"/>
      <c r="K100" s="18"/>
      <c r="L100" s="31" t="str">
        <f aca="true">IF(E100="","",IF(AND(K100&lt;&gt;"",OR(H100="",K100&gt;=H100)),IF(J100="CMRI","",K100+5),IF(H100="",IF(TODAY()&lt;=G100,G100,IF(TODAY()&lt;E100+30,E100+30,E100+40)),IF(OR(I100="Negado",I100="Atendido em parte"),H100+10,""))))</f>
        <v/>
      </c>
      <c r="M100" s="32" t="str">
        <f aca="true">IF(L100="","",L100-TODAY())</f>
        <v/>
      </c>
      <c r="N100" s="19" t="str">
        <f aca="true">IF(E100="","",IF(AND(K100&lt;&gt;"",OR(H100="",K100&gt;=H100)),IF(J100="CMRI","Aguardar a CMRI (até a 3ª reunião mensal depois da autuação)","Aguardar decisão do recurso ou da reclamação"),IF(H100="",IF(TODAY()&lt;=G100,"Aguardar resposta do órgão",IF(TODAY()&lt;E100+30,"Prazo vencido: reclamação (modelo E) a partir da próxima data",IF(TODAY()&lt;=E100+40,"Fazer reclamação (modelo E) até a próxima data","Janela de reclamação encerrada: novo pedido ou modelo G"))),IF(I100="Atendido","Concluído: registre a resposta no Log",IF(OR(I100="Negado",I100="Atendido em parte"),"Recorrer (modelo B ou D) até a próxima data","Preencha o resultado da resposta")))))</f>
        <v/>
      </c>
      <c r="O100" s="27"/>
      <c r="P100" s="5"/>
    </row>
    <row r="101" customFormat="false" ht="15" hidden="false" customHeight="false" outlineLevel="0" collapsed="false">
      <c r="A101" s="27"/>
      <c r="B101" s="5"/>
      <c r="C101" s="14"/>
      <c r="D101" s="5"/>
      <c r="E101" s="18"/>
      <c r="F101" s="14"/>
      <c r="G101" s="31" t="str">
        <f aca="false">IF(E101="","",E101+IF(F101="Sim",30,20))</f>
        <v/>
      </c>
      <c r="H101" s="18"/>
      <c r="I101" s="14"/>
      <c r="J101" s="14"/>
      <c r="K101" s="18"/>
      <c r="L101" s="31" t="str">
        <f aca="true">IF(E101="","",IF(AND(K101&lt;&gt;"",OR(H101="",K101&gt;=H101)),IF(J101="CMRI","",K101+5),IF(H101="",IF(TODAY()&lt;=G101,G101,IF(TODAY()&lt;E101+30,E101+30,E101+40)),IF(OR(I101="Negado",I101="Atendido em parte"),H101+10,""))))</f>
        <v/>
      </c>
      <c r="M101" s="32" t="str">
        <f aca="true">IF(L101="","",L101-TODAY())</f>
        <v/>
      </c>
      <c r="N101" s="19" t="str">
        <f aca="true">IF(E101="","",IF(AND(K101&lt;&gt;"",OR(H101="",K101&gt;=H101)),IF(J101="CMRI","Aguardar a CMRI (até a 3ª reunião mensal depois da autuação)","Aguardar decisão do recurso ou da reclamação"),IF(H101="",IF(TODAY()&lt;=G101,"Aguardar resposta do órgão",IF(TODAY()&lt;E101+30,"Prazo vencido: reclamação (modelo E) a partir da próxima data",IF(TODAY()&lt;=E101+40,"Fazer reclamação (modelo E) até a próxima data","Janela de reclamação encerrada: novo pedido ou modelo G"))),IF(I101="Atendido","Concluído: registre a resposta no Log",IF(OR(I101="Negado",I101="Atendido em parte"),"Recorrer (modelo B ou D) até a próxima data","Preencha o resultado da resposta")))))</f>
        <v/>
      </c>
      <c r="O101" s="27"/>
      <c r="P101" s="5"/>
    </row>
  </sheetData>
  <autoFilter ref="A1:P101"/>
  <conditionalFormatting sqref="M2:M101">
    <cfRule type="expression" priority="2" aboveAverage="0" equalAverage="0" bottom="0" percent="0" rank="0" text="" dxfId="15">
      <formula>AND(ISNUMBER(M2),M2&lt;0)</formula>
    </cfRule>
    <cfRule type="expression" priority="3" aboveAverage="0" equalAverage="0" bottom="0" percent="0" rank="0" text="" dxfId="16">
      <formula>AND(ISNUMBER(M2),M2&gt;=0,M2&lt;=3)</formula>
    </cfRule>
  </conditionalFormatting>
  <conditionalFormatting sqref="N2:N101">
    <cfRule type="expression" priority="4" aboveAverage="0" equalAverage="0" bottom="0" percent="0" rank="0" text="" dxfId="8">
      <formula>OR(LEFT(N2,8)="Recorrer",LEFT(N2,16)="Fazer reclamação")</formula>
    </cfRule>
  </conditionalFormatting>
  <dataValidations count="4">
    <dataValidation allowBlank="true" error="Escolha uma opção da lista (as opções estão na aba Listas)." errorStyle="stop" operator="between" showDropDown="false" showErrorMessage="false" showInputMessage="false" sqref="C2:C101" type="list">
      <formula1>Listas!$D$2:$D$4</formula1>
      <formula2>0</formula2>
    </dataValidation>
    <dataValidation allowBlank="true" error="Escolha uma opção da lista (as opções estão na aba Listas)." errorStyle="stop" operator="between" showDropDown="false" showErrorMessage="false" showInputMessage="false" sqref="F2:F101" type="list">
      <formula1>Listas!$E$2:$E$3</formula1>
      <formula2>0</formula2>
    </dataValidation>
    <dataValidation allowBlank="true" error="Escolha uma opção da lista (as opções estão na aba Listas)." errorStyle="stop" operator="between" showDropDown="false" showErrorMessage="false" showInputMessage="false" sqref="I2:I101" type="list">
      <formula1>Listas!$F$2:$F$4</formula1>
      <formula2>0</formula2>
    </dataValidation>
    <dataValidation allowBlank="true" error="Escolha uma opção da lista (as opções estão na aba Listas)." errorStyle="stop" operator="between" showDropDown="false" showErrorMessage="false" showInputMessage="false" sqref="J2:J101" type="list">
      <formula1>Listas!$G$2:$G$7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28"/>
    <col collapsed="false" customWidth="true" hidden="false" outlineLevel="0" max="8" min="8" style="0" width="16"/>
    <col collapsed="false" customWidth="true" hidden="false" outlineLevel="0" max="9" min="9" style="0" width="24"/>
    <col collapsed="false" customWidth="true" hidden="false" outlineLevel="0" max="10" min="10" style="0" width="30"/>
    <col collapsed="false" customWidth="true" hidden="false" outlineLevel="0" max="11" min="11" style="0" width="22"/>
    <col collapsed="false" customWidth="true" hidden="false" outlineLevel="0" max="12" min="12" style="0" width="24"/>
    <col collapsed="false" customWidth="true" hidden="false" outlineLevel="0" max="13" min="13" style="0" width="10"/>
    <col collapsed="false" customWidth="true" hidden="false" outlineLevel="0" max="14" min="14" style="0" width="40"/>
    <col collapsed="false" customWidth="true" hidden="false" outlineLevel="0" max="15" min="15" style="0" width="8"/>
    <col collapsed="false" customWidth="true" hidden="false" outlineLevel="0" max="16" min="16" style="0" width="30"/>
  </cols>
  <sheetData>
    <row r="1" customFormat="false" ht="39.75" hidden="false" customHeight="true" outlineLevel="0" collapsed="false">
      <c r="A1" s="10" t="s">
        <v>401</v>
      </c>
      <c r="B1" s="10" t="s">
        <v>402</v>
      </c>
      <c r="C1" s="10" t="s">
        <v>403</v>
      </c>
      <c r="D1" s="10" t="s">
        <v>153</v>
      </c>
      <c r="E1" s="10" t="s">
        <v>156</v>
      </c>
      <c r="F1" s="10" t="s">
        <v>404</v>
      </c>
      <c r="G1" s="10" t="s">
        <v>405</v>
      </c>
      <c r="H1" s="10" t="s">
        <v>406</v>
      </c>
      <c r="I1" s="10" t="s">
        <v>407</v>
      </c>
      <c r="J1" s="15" t="s">
        <v>408</v>
      </c>
      <c r="K1" s="15" t="s">
        <v>409</v>
      </c>
      <c r="L1" s="15" t="s">
        <v>410</v>
      </c>
      <c r="M1" s="15" t="s">
        <v>411</v>
      </c>
      <c r="N1" s="10" t="s">
        <v>412</v>
      </c>
      <c r="O1" s="15" t="s">
        <v>413</v>
      </c>
      <c r="P1" s="10" t="s">
        <v>138</v>
      </c>
    </row>
    <row r="2" customFormat="false" ht="35.05" hidden="false" customHeight="false" outlineLevel="0" collapsed="false">
      <c r="A2" s="23" t="s">
        <v>414</v>
      </c>
      <c r="B2" s="7" t="s">
        <v>415</v>
      </c>
      <c r="C2" s="33" t="n">
        <v>480000</v>
      </c>
      <c r="D2" s="16" t="n">
        <v>45895</v>
      </c>
      <c r="E2" s="7" t="s">
        <v>194</v>
      </c>
      <c r="F2" s="13" t="s">
        <v>416</v>
      </c>
      <c r="G2" s="7" t="s">
        <v>417</v>
      </c>
      <c r="H2" s="23" t="s">
        <v>418</v>
      </c>
      <c r="I2" s="7" t="s">
        <v>419</v>
      </c>
      <c r="J2" s="17" t="str">
        <f aca="false">IF(A2="","",IFERROR(INDEX(Empresas!$D:$D,MATCH(A2,Empresas!$A:$A,0))&amp;"","não consta"))</f>
        <v>5620-1/01 Fornecimento de alimentos preparados preponderantemente para empresas</v>
      </c>
      <c r="K2" s="17" t="str">
        <f aca="false">IF(A2="","",IFERROR(INDEX(Sancoes!$B:$B,MATCH(A2,Sancoes!$A:$A,0))&amp;"","não consta"))</f>
        <v>Não consta</v>
      </c>
      <c r="L2" s="17" t="str">
        <f aca="false">IF(A2="","",IFERROR(INDEX(Eleitoral!$B:$B,MATCH(A2,Eleitoral!$A:$A,0))&amp;"","não consta"))</f>
        <v>não consta</v>
      </c>
      <c r="M2" s="34" t="str">
        <f aca="false">IF(A2="","",IF(OR(AND(K2&lt;&gt;"",LOWER(K2)&lt;&gt;"não consta"),AND(L2&lt;&gt;"",LOWER(L2)&lt;&gt;"não consta"),IFERROR(INDEX(Empresas!$G:$G,MATCH(A2,Empresas!$A:$A,0))&amp;"","")&lt;&gt;""),"SIM",""))</f>
        <v>SIM</v>
      </c>
      <c r="N2" s="7" t="s">
        <v>420</v>
      </c>
      <c r="O2" s="30" t="n">
        <f aca="false">IF(D2="","",YEAR(D2))</f>
        <v>2025</v>
      </c>
      <c r="P2" s="7" t="s">
        <v>167</v>
      </c>
    </row>
    <row r="3" customFormat="false" ht="35.05" hidden="false" customHeight="false" outlineLevel="0" collapsed="false">
      <c r="A3" s="23" t="s">
        <v>414</v>
      </c>
      <c r="B3" s="7" t="s">
        <v>415</v>
      </c>
      <c r="C3" s="33" t="n">
        <v>120000</v>
      </c>
      <c r="D3" s="16" t="n">
        <v>45930</v>
      </c>
      <c r="E3" s="7" t="s">
        <v>194</v>
      </c>
      <c r="F3" s="13" t="s">
        <v>195</v>
      </c>
      <c r="G3" s="7" t="s">
        <v>417</v>
      </c>
      <c r="H3" s="23" t="s">
        <v>421</v>
      </c>
      <c r="I3" s="7" t="s">
        <v>419</v>
      </c>
      <c r="J3" s="17" t="str">
        <f aca="false">IF(A3="","",IFERROR(INDEX(Empresas!$D:$D,MATCH(A3,Empresas!$A:$A,0))&amp;"","não consta"))</f>
        <v>5620-1/01 Fornecimento de alimentos preparados preponderantemente para empresas</v>
      </c>
      <c r="K3" s="17" t="str">
        <f aca="false">IF(A3="","",IFERROR(INDEX(Sancoes!$B:$B,MATCH(A3,Sancoes!$A:$A,0))&amp;"","não consta"))</f>
        <v>Não consta</v>
      </c>
      <c r="L3" s="17" t="str">
        <f aca="false">IF(A3="","",IFERROR(INDEX(Eleitoral!$B:$B,MATCH(A3,Eleitoral!$A:$A,0))&amp;"","não consta"))</f>
        <v>não consta</v>
      </c>
      <c r="M3" s="34" t="str">
        <f aca="false">IF(A3="","",IF(OR(AND(K3&lt;&gt;"",LOWER(K3)&lt;&gt;"não consta"),AND(L3&lt;&gt;"",LOWER(L3)&lt;&gt;"não consta"),IFERROR(INDEX(Empresas!$G:$G,MATCH(A3,Empresas!$A:$A,0))&amp;"","")&lt;&gt;""),"SIM",""))</f>
        <v>SIM</v>
      </c>
      <c r="N3" s="7"/>
      <c r="O3" s="30" t="n">
        <f aca="false">IF(D3="","",YEAR(D3))</f>
        <v>2025</v>
      </c>
      <c r="P3" s="7" t="s">
        <v>167</v>
      </c>
    </row>
    <row r="4" customFormat="false" ht="35.05" hidden="false" customHeight="false" outlineLevel="0" collapsed="false">
      <c r="A4" s="23" t="s">
        <v>414</v>
      </c>
      <c r="B4" s="7" t="s">
        <v>415</v>
      </c>
      <c r="C4" s="33" t="n">
        <v>120000</v>
      </c>
      <c r="D4" s="16" t="n">
        <v>45961</v>
      </c>
      <c r="E4" s="7" t="s">
        <v>194</v>
      </c>
      <c r="F4" s="13" t="s">
        <v>195</v>
      </c>
      <c r="G4" s="7" t="s">
        <v>417</v>
      </c>
      <c r="H4" s="23" t="s">
        <v>422</v>
      </c>
      <c r="I4" s="7" t="s">
        <v>419</v>
      </c>
      <c r="J4" s="17" t="str">
        <f aca="false">IF(A4="","",IFERROR(INDEX(Empresas!$D:$D,MATCH(A4,Empresas!$A:$A,0))&amp;"","não consta"))</f>
        <v>5620-1/01 Fornecimento de alimentos preparados preponderantemente para empresas</v>
      </c>
      <c r="K4" s="17" t="str">
        <f aca="false">IF(A4="","",IFERROR(INDEX(Sancoes!$B:$B,MATCH(A4,Sancoes!$A:$A,0))&amp;"","não consta"))</f>
        <v>Não consta</v>
      </c>
      <c r="L4" s="17" t="str">
        <f aca="false">IF(A4="","",IFERROR(INDEX(Eleitoral!$B:$B,MATCH(A4,Eleitoral!$A:$A,0))&amp;"","não consta"))</f>
        <v>não consta</v>
      </c>
      <c r="M4" s="34" t="str">
        <f aca="false">IF(A4="","",IF(OR(AND(K4&lt;&gt;"",LOWER(K4)&lt;&gt;"não consta"),AND(L4&lt;&gt;"",LOWER(L4)&lt;&gt;"não consta"),IFERROR(INDEX(Empresas!$G:$G,MATCH(A4,Empresas!$A:$A,0))&amp;"","")&lt;&gt;""),"SIM",""))</f>
        <v>SIM</v>
      </c>
      <c r="N4" s="7"/>
      <c r="O4" s="30" t="n">
        <f aca="false">IF(D4="","",YEAR(D4))</f>
        <v>2025</v>
      </c>
      <c r="P4" s="7" t="s">
        <v>167</v>
      </c>
    </row>
    <row r="5" customFormat="false" ht="23.85" hidden="false" customHeight="false" outlineLevel="0" collapsed="false">
      <c r="A5" s="23" t="s">
        <v>423</v>
      </c>
      <c r="B5" s="7" t="s">
        <v>424</v>
      </c>
      <c r="C5" s="33" t="n">
        <v>460000</v>
      </c>
      <c r="D5" s="16" t="n">
        <v>45107</v>
      </c>
      <c r="E5" s="7" t="s">
        <v>194</v>
      </c>
      <c r="F5" s="13" t="s">
        <v>195</v>
      </c>
      <c r="G5" s="7" t="s">
        <v>425</v>
      </c>
      <c r="H5" s="23" t="s">
        <v>426</v>
      </c>
      <c r="I5" s="7" t="s">
        <v>427</v>
      </c>
      <c r="J5" s="17" t="str">
        <f aca="false">IF(A5="","",IFERROR(INDEX(Empresas!$D:$D,MATCH(A5,Empresas!$A:$A,0))&amp;"","não consta"))</f>
        <v>4120-4/00 Construção de edifícios</v>
      </c>
      <c r="K5" s="17" t="str">
        <f aca="false">IF(A5="","",IFERROR(INDEX(Sancoes!$B:$B,MATCH(A5,Sancoes!$A:$A,0))&amp;"","não consta"))</f>
        <v>Impedimento de licitar e contratar</v>
      </c>
      <c r="L5" s="17" t="str">
        <f aca="false">IF(A5="","",IFERROR(INDEX(Eleitoral!$B:$B,MATCH(A5,Eleitoral!$A:$A,0))&amp;"","não consta"))</f>
        <v>não consta</v>
      </c>
      <c r="M5" s="34" t="str">
        <f aca="false">IF(A5="","",IF(OR(AND(K5&lt;&gt;"",LOWER(K5)&lt;&gt;"não consta"),AND(L5&lt;&gt;"",LOWER(L5)&lt;&gt;"não consta"),IFERROR(INDEX(Empresas!$G:$G,MATCH(A5,Empresas!$A:$A,0))&amp;"","")&lt;&gt;""),"SIM",""))</f>
        <v>SIM</v>
      </c>
      <c r="N5" s="7" t="s">
        <v>428</v>
      </c>
      <c r="O5" s="30" t="n">
        <f aca="false">IF(D5="","",YEAR(D5))</f>
        <v>2023</v>
      </c>
      <c r="P5" s="7" t="s">
        <v>167</v>
      </c>
    </row>
    <row r="6" customFormat="false" ht="23.85" hidden="false" customHeight="false" outlineLevel="0" collapsed="false">
      <c r="A6" s="23" t="s">
        <v>429</v>
      </c>
      <c r="B6" s="7" t="s">
        <v>430</v>
      </c>
      <c r="C6" s="33" t="n">
        <v>38000</v>
      </c>
      <c r="D6" s="16" t="n">
        <v>45762</v>
      </c>
      <c r="E6" s="7" t="s">
        <v>194</v>
      </c>
      <c r="F6" s="13" t="s">
        <v>195</v>
      </c>
      <c r="G6" s="7" t="s">
        <v>431</v>
      </c>
      <c r="H6" s="23" t="s">
        <v>432</v>
      </c>
      <c r="I6" s="7" t="s">
        <v>433</v>
      </c>
      <c r="J6" s="17" t="str">
        <f aca="false">IF(A6="","",IFERROR(INDEX(Empresas!$D:$D,MATCH(A6,Empresas!$A:$A,0))&amp;"","não consta"))</f>
        <v>1813-0/01 Impressão de material para uso publicitário</v>
      </c>
      <c r="K6" s="17" t="str">
        <f aca="false">IF(A6="","",IFERROR(INDEX(Sancoes!$B:$B,MATCH(A6,Sancoes!$A:$A,0))&amp;"","não consta"))</f>
        <v>Não consta</v>
      </c>
      <c r="L6" s="17" t="str">
        <f aca="false">IF(A6="","",IFERROR(INDEX(Eleitoral!$B:$B,MATCH(A6,Eleitoral!$A:$A,0))&amp;"","não consta"))</f>
        <v>Sicrano Candidato — vereador, 2024</v>
      </c>
      <c r="M6" s="34" t="str">
        <f aca="false">IF(A6="","",IF(OR(AND(K6&lt;&gt;"",LOWER(K6)&lt;&gt;"não consta"),AND(L6&lt;&gt;"",LOWER(L6)&lt;&gt;"não consta"),IFERROR(INDEX(Empresas!$G:$G,MATCH(A6,Empresas!$A:$A,0))&amp;"","")&lt;&gt;""),"SIM",""))</f>
        <v>SIM</v>
      </c>
      <c r="N6" s="7" t="s">
        <v>434</v>
      </c>
      <c r="O6" s="30" t="n">
        <f aca="false">IF(D6="","",YEAR(D6))</f>
        <v>2025</v>
      </c>
      <c r="P6" s="7" t="s">
        <v>167</v>
      </c>
    </row>
    <row r="7" customFormat="false" ht="15" hidden="false" customHeight="false" outlineLevel="0" collapsed="false">
      <c r="A7" s="27"/>
      <c r="B7" s="5"/>
      <c r="C7" s="35"/>
      <c r="D7" s="18"/>
      <c r="E7" s="5"/>
      <c r="F7" s="14"/>
      <c r="G7" s="5"/>
      <c r="H7" s="27"/>
      <c r="I7" s="5"/>
      <c r="J7" s="19" t="str">
        <f aca="false">IF(A7="","",IFERROR(INDEX(Empresas!$D:$D,MATCH(A7,Empresas!$A:$A,0))&amp;"","não consta"))</f>
        <v/>
      </c>
      <c r="K7" s="19" t="str">
        <f aca="false">IF(A7="","",IFERROR(INDEX(Sancoes!$B:$B,MATCH(A7,Sancoes!$A:$A,0))&amp;"","não consta"))</f>
        <v/>
      </c>
      <c r="L7" s="19" t="str">
        <f aca="false">IF(A7="","",IFERROR(INDEX(Eleitoral!$B:$B,MATCH(A7,Eleitoral!$A:$A,0))&amp;"","não consta"))</f>
        <v/>
      </c>
      <c r="M7" s="28" t="str">
        <f aca="false">IF(A7="","",IF(OR(AND(K7&lt;&gt;"",LOWER(K7)&lt;&gt;"não consta"),AND(L7&lt;&gt;"",LOWER(L7)&lt;&gt;"não consta"),IFERROR(INDEX(Empresas!$G:$G,MATCH(A7,Empresas!$A:$A,0))&amp;"","")&lt;&gt;""),"SIM",""))</f>
        <v/>
      </c>
      <c r="N7" s="5"/>
      <c r="O7" s="32" t="str">
        <f aca="false">IF(D7="","",YEAR(D7))</f>
        <v/>
      </c>
      <c r="P7" s="5"/>
    </row>
    <row r="8" customFormat="false" ht="15" hidden="false" customHeight="false" outlineLevel="0" collapsed="false">
      <c r="A8" s="27"/>
      <c r="B8" s="5"/>
      <c r="C8" s="35"/>
      <c r="D8" s="18"/>
      <c r="E8" s="5"/>
      <c r="F8" s="14"/>
      <c r="G8" s="5"/>
      <c r="H8" s="27"/>
      <c r="I8" s="5"/>
      <c r="J8" s="19" t="str">
        <f aca="false">IF(A8="","",IFERROR(INDEX(Empresas!$D:$D,MATCH(A8,Empresas!$A:$A,0))&amp;"","não consta"))</f>
        <v/>
      </c>
      <c r="K8" s="19" t="str">
        <f aca="false">IF(A8="","",IFERROR(INDEX(Sancoes!$B:$B,MATCH(A8,Sancoes!$A:$A,0))&amp;"","não consta"))</f>
        <v/>
      </c>
      <c r="L8" s="19" t="str">
        <f aca="false">IF(A8="","",IFERROR(INDEX(Eleitoral!$B:$B,MATCH(A8,Eleitoral!$A:$A,0))&amp;"","não consta"))</f>
        <v/>
      </c>
      <c r="M8" s="28" t="str">
        <f aca="false">IF(A8="","",IF(OR(AND(K8&lt;&gt;"",LOWER(K8)&lt;&gt;"não consta"),AND(L8&lt;&gt;"",LOWER(L8)&lt;&gt;"não consta"),IFERROR(INDEX(Empresas!$G:$G,MATCH(A8,Empresas!$A:$A,0))&amp;"","")&lt;&gt;""),"SIM",""))</f>
        <v/>
      </c>
      <c r="N8" s="5"/>
      <c r="O8" s="32" t="str">
        <f aca="false">IF(D8="","",YEAR(D8))</f>
        <v/>
      </c>
      <c r="P8" s="5"/>
    </row>
    <row r="9" customFormat="false" ht="15" hidden="false" customHeight="false" outlineLevel="0" collapsed="false">
      <c r="A9" s="27"/>
      <c r="B9" s="5"/>
      <c r="C9" s="35"/>
      <c r="D9" s="18"/>
      <c r="E9" s="5"/>
      <c r="F9" s="14"/>
      <c r="G9" s="5"/>
      <c r="H9" s="27"/>
      <c r="I9" s="5"/>
      <c r="J9" s="19" t="str">
        <f aca="false">IF(A9="","",IFERROR(INDEX(Empresas!$D:$D,MATCH(A9,Empresas!$A:$A,0))&amp;"","não consta"))</f>
        <v/>
      </c>
      <c r="K9" s="19" t="str">
        <f aca="false">IF(A9="","",IFERROR(INDEX(Sancoes!$B:$B,MATCH(A9,Sancoes!$A:$A,0))&amp;"","não consta"))</f>
        <v/>
      </c>
      <c r="L9" s="19" t="str">
        <f aca="false">IF(A9="","",IFERROR(INDEX(Eleitoral!$B:$B,MATCH(A9,Eleitoral!$A:$A,0))&amp;"","não consta"))</f>
        <v/>
      </c>
      <c r="M9" s="28" t="str">
        <f aca="false">IF(A9="","",IF(OR(AND(K9&lt;&gt;"",LOWER(K9)&lt;&gt;"não consta"),AND(L9&lt;&gt;"",LOWER(L9)&lt;&gt;"não consta"),IFERROR(INDEX(Empresas!$G:$G,MATCH(A9,Empresas!$A:$A,0))&amp;"","")&lt;&gt;""),"SIM",""))</f>
        <v/>
      </c>
      <c r="N9" s="5"/>
      <c r="O9" s="32" t="str">
        <f aca="false">IF(D9="","",YEAR(D9))</f>
        <v/>
      </c>
      <c r="P9" s="5"/>
    </row>
    <row r="10" customFormat="false" ht="15" hidden="false" customHeight="false" outlineLevel="0" collapsed="false">
      <c r="A10" s="27"/>
      <c r="B10" s="5"/>
      <c r="C10" s="35"/>
      <c r="D10" s="18"/>
      <c r="E10" s="5"/>
      <c r="F10" s="14"/>
      <c r="G10" s="5"/>
      <c r="H10" s="27"/>
      <c r="I10" s="5"/>
      <c r="J10" s="19" t="str">
        <f aca="false">IF(A10="","",IFERROR(INDEX(Empresas!$D:$D,MATCH(A10,Empresas!$A:$A,0))&amp;"","não consta"))</f>
        <v/>
      </c>
      <c r="K10" s="19" t="str">
        <f aca="false">IF(A10="","",IFERROR(INDEX(Sancoes!$B:$B,MATCH(A10,Sancoes!$A:$A,0))&amp;"","não consta"))</f>
        <v/>
      </c>
      <c r="L10" s="19" t="str">
        <f aca="false">IF(A10="","",IFERROR(INDEX(Eleitoral!$B:$B,MATCH(A10,Eleitoral!$A:$A,0))&amp;"","não consta"))</f>
        <v/>
      </c>
      <c r="M10" s="28" t="str">
        <f aca="false">IF(A10="","",IF(OR(AND(K10&lt;&gt;"",LOWER(K10)&lt;&gt;"não consta"),AND(L10&lt;&gt;"",LOWER(L10)&lt;&gt;"não consta"),IFERROR(INDEX(Empresas!$G:$G,MATCH(A10,Empresas!$A:$A,0))&amp;"","")&lt;&gt;""),"SIM",""))</f>
        <v/>
      </c>
      <c r="N10" s="5"/>
      <c r="O10" s="32" t="str">
        <f aca="false">IF(D10="","",YEAR(D10))</f>
        <v/>
      </c>
      <c r="P10" s="5"/>
    </row>
    <row r="11" customFormat="false" ht="15" hidden="false" customHeight="false" outlineLevel="0" collapsed="false">
      <c r="A11" s="27"/>
      <c r="B11" s="5"/>
      <c r="C11" s="35"/>
      <c r="D11" s="18"/>
      <c r="E11" s="5"/>
      <c r="F11" s="14"/>
      <c r="G11" s="5"/>
      <c r="H11" s="27"/>
      <c r="I11" s="5"/>
      <c r="J11" s="19" t="str">
        <f aca="false">IF(A11="","",IFERROR(INDEX(Empresas!$D:$D,MATCH(A11,Empresas!$A:$A,0))&amp;"","não consta"))</f>
        <v/>
      </c>
      <c r="K11" s="19" t="str">
        <f aca="false">IF(A11="","",IFERROR(INDEX(Sancoes!$B:$B,MATCH(A11,Sancoes!$A:$A,0))&amp;"","não consta"))</f>
        <v/>
      </c>
      <c r="L11" s="19" t="str">
        <f aca="false">IF(A11="","",IFERROR(INDEX(Eleitoral!$B:$B,MATCH(A11,Eleitoral!$A:$A,0))&amp;"","não consta"))</f>
        <v/>
      </c>
      <c r="M11" s="28" t="str">
        <f aca="false">IF(A11="","",IF(OR(AND(K11&lt;&gt;"",LOWER(K11)&lt;&gt;"não consta"),AND(L11&lt;&gt;"",LOWER(L11)&lt;&gt;"não consta"),IFERROR(INDEX(Empresas!$G:$G,MATCH(A11,Empresas!$A:$A,0))&amp;"","")&lt;&gt;""),"SIM",""))</f>
        <v/>
      </c>
      <c r="N11" s="5"/>
      <c r="O11" s="32" t="str">
        <f aca="false">IF(D11="","",YEAR(D11))</f>
        <v/>
      </c>
      <c r="P11" s="5"/>
    </row>
    <row r="12" customFormat="false" ht="15" hidden="false" customHeight="false" outlineLevel="0" collapsed="false">
      <c r="A12" s="27"/>
      <c r="B12" s="5"/>
      <c r="C12" s="35"/>
      <c r="D12" s="18"/>
      <c r="E12" s="5"/>
      <c r="F12" s="14"/>
      <c r="G12" s="5"/>
      <c r="H12" s="27"/>
      <c r="I12" s="5"/>
      <c r="J12" s="19" t="str">
        <f aca="false">IF(A12="","",IFERROR(INDEX(Empresas!$D:$D,MATCH(A12,Empresas!$A:$A,0))&amp;"","não consta"))</f>
        <v/>
      </c>
      <c r="K12" s="19" t="str">
        <f aca="false">IF(A12="","",IFERROR(INDEX(Sancoes!$B:$B,MATCH(A12,Sancoes!$A:$A,0))&amp;"","não consta"))</f>
        <v/>
      </c>
      <c r="L12" s="19" t="str">
        <f aca="false">IF(A12="","",IFERROR(INDEX(Eleitoral!$B:$B,MATCH(A12,Eleitoral!$A:$A,0))&amp;"","não consta"))</f>
        <v/>
      </c>
      <c r="M12" s="28" t="str">
        <f aca="false">IF(A12="","",IF(OR(AND(K12&lt;&gt;"",LOWER(K12)&lt;&gt;"não consta"),AND(L12&lt;&gt;"",LOWER(L12)&lt;&gt;"não consta"),IFERROR(INDEX(Empresas!$G:$G,MATCH(A12,Empresas!$A:$A,0))&amp;"","")&lt;&gt;""),"SIM",""))</f>
        <v/>
      </c>
      <c r="N12" s="5"/>
      <c r="O12" s="32" t="str">
        <f aca="false">IF(D12="","",YEAR(D12))</f>
        <v/>
      </c>
      <c r="P12" s="5"/>
    </row>
    <row r="13" customFormat="false" ht="15" hidden="false" customHeight="false" outlineLevel="0" collapsed="false">
      <c r="A13" s="27"/>
      <c r="B13" s="5"/>
      <c r="C13" s="35"/>
      <c r="D13" s="18"/>
      <c r="E13" s="5"/>
      <c r="F13" s="14"/>
      <c r="G13" s="5"/>
      <c r="H13" s="27"/>
      <c r="I13" s="5"/>
      <c r="J13" s="19" t="str">
        <f aca="false">IF(A13="","",IFERROR(INDEX(Empresas!$D:$D,MATCH(A13,Empresas!$A:$A,0))&amp;"","não consta"))</f>
        <v/>
      </c>
      <c r="K13" s="19" t="str">
        <f aca="false">IF(A13="","",IFERROR(INDEX(Sancoes!$B:$B,MATCH(A13,Sancoes!$A:$A,0))&amp;"","não consta"))</f>
        <v/>
      </c>
      <c r="L13" s="19" t="str">
        <f aca="false">IF(A13="","",IFERROR(INDEX(Eleitoral!$B:$B,MATCH(A13,Eleitoral!$A:$A,0))&amp;"","não consta"))</f>
        <v/>
      </c>
      <c r="M13" s="28" t="str">
        <f aca="false">IF(A13="","",IF(OR(AND(K13&lt;&gt;"",LOWER(K13)&lt;&gt;"não consta"),AND(L13&lt;&gt;"",LOWER(L13)&lt;&gt;"não consta"),IFERROR(INDEX(Empresas!$G:$G,MATCH(A13,Empresas!$A:$A,0))&amp;"","")&lt;&gt;""),"SIM",""))</f>
        <v/>
      </c>
      <c r="N13" s="5"/>
      <c r="O13" s="32" t="str">
        <f aca="false">IF(D13="","",YEAR(D13))</f>
        <v/>
      </c>
      <c r="P13" s="5"/>
    </row>
    <row r="14" customFormat="false" ht="15" hidden="false" customHeight="false" outlineLevel="0" collapsed="false">
      <c r="A14" s="27"/>
      <c r="B14" s="5"/>
      <c r="C14" s="35"/>
      <c r="D14" s="18"/>
      <c r="E14" s="5"/>
      <c r="F14" s="14"/>
      <c r="G14" s="5"/>
      <c r="H14" s="27"/>
      <c r="I14" s="5"/>
      <c r="J14" s="19" t="str">
        <f aca="false">IF(A14="","",IFERROR(INDEX(Empresas!$D:$D,MATCH(A14,Empresas!$A:$A,0))&amp;"","não consta"))</f>
        <v/>
      </c>
      <c r="K14" s="19" t="str">
        <f aca="false">IF(A14="","",IFERROR(INDEX(Sancoes!$B:$B,MATCH(A14,Sancoes!$A:$A,0))&amp;"","não consta"))</f>
        <v/>
      </c>
      <c r="L14" s="19" t="str">
        <f aca="false">IF(A14="","",IFERROR(INDEX(Eleitoral!$B:$B,MATCH(A14,Eleitoral!$A:$A,0))&amp;"","não consta"))</f>
        <v/>
      </c>
      <c r="M14" s="28" t="str">
        <f aca="false">IF(A14="","",IF(OR(AND(K14&lt;&gt;"",LOWER(K14)&lt;&gt;"não consta"),AND(L14&lt;&gt;"",LOWER(L14)&lt;&gt;"não consta"),IFERROR(INDEX(Empresas!$G:$G,MATCH(A14,Empresas!$A:$A,0))&amp;"","")&lt;&gt;""),"SIM",""))</f>
        <v/>
      </c>
      <c r="N14" s="5"/>
      <c r="O14" s="32" t="str">
        <f aca="false">IF(D14="","",YEAR(D14))</f>
        <v/>
      </c>
      <c r="P14" s="5"/>
    </row>
    <row r="15" customFormat="false" ht="15" hidden="false" customHeight="false" outlineLevel="0" collapsed="false">
      <c r="A15" s="27"/>
      <c r="B15" s="5"/>
      <c r="C15" s="35"/>
      <c r="D15" s="18"/>
      <c r="E15" s="5"/>
      <c r="F15" s="14"/>
      <c r="G15" s="5"/>
      <c r="H15" s="27"/>
      <c r="I15" s="5"/>
      <c r="J15" s="19" t="str">
        <f aca="false">IF(A15="","",IFERROR(INDEX(Empresas!$D:$D,MATCH(A15,Empresas!$A:$A,0))&amp;"","não consta"))</f>
        <v/>
      </c>
      <c r="K15" s="19" t="str">
        <f aca="false">IF(A15="","",IFERROR(INDEX(Sancoes!$B:$B,MATCH(A15,Sancoes!$A:$A,0))&amp;"","não consta"))</f>
        <v/>
      </c>
      <c r="L15" s="19" t="str">
        <f aca="false">IF(A15="","",IFERROR(INDEX(Eleitoral!$B:$B,MATCH(A15,Eleitoral!$A:$A,0))&amp;"","não consta"))</f>
        <v/>
      </c>
      <c r="M15" s="28" t="str">
        <f aca="false">IF(A15="","",IF(OR(AND(K15&lt;&gt;"",LOWER(K15)&lt;&gt;"não consta"),AND(L15&lt;&gt;"",LOWER(L15)&lt;&gt;"não consta"),IFERROR(INDEX(Empresas!$G:$G,MATCH(A15,Empresas!$A:$A,0))&amp;"","")&lt;&gt;""),"SIM",""))</f>
        <v/>
      </c>
      <c r="N15" s="5"/>
      <c r="O15" s="32" t="str">
        <f aca="false">IF(D15="","",YEAR(D15))</f>
        <v/>
      </c>
      <c r="P15" s="5"/>
    </row>
    <row r="16" customFormat="false" ht="15" hidden="false" customHeight="false" outlineLevel="0" collapsed="false">
      <c r="A16" s="27"/>
      <c r="B16" s="5"/>
      <c r="C16" s="35"/>
      <c r="D16" s="18"/>
      <c r="E16" s="5"/>
      <c r="F16" s="14"/>
      <c r="G16" s="5"/>
      <c r="H16" s="27"/>
      <c r="I16" s="5"/>
      <c r="J16" s="19" t="str">
        <f aca="false">IF(A16="","",IFERROR(INDEX(Empresas!$D:$D,MATCH(A16,Empresas!$A:$A,0))&amp;"","não consta"))</f>
        <v/>
      </c>
      <c r="K16" s="19" t="str">
        <f aca="false">IF(A16="","",IFERROR(INDEX(Sancoes!$B:$B,MATCH(A16,Sancoes!$A:$A,0))&amp;"","não consta"))</f>
        <v/>
      </c>
      <c r="L16" s="19" t="str">
        <f aca="false">IF(A16="","",IFERROR(INDEX(Eleitoral!$B:$B,MATCH(A16,Eleitoral!$A:$A,0))&amp;"","não consta"))</f>
        <v/>
      </c>
      <c r="M16" s="28" t="str">
        <f aca="false">IF(A16="","",IF(OR(AND(K16&lt;&gt;"",LOWER(K16)&lt;&gt;"não consta"),AND(L16&lt;&gt;"",LOWER(L16)&lt;&gt;"não consta"),IFERROR(INDEX(Empresas!$G:$G,MATCH(A16,Empresas!$A:$A,0))&amp;"","")&lt;&gt;""),"SIM",""))</f>
        <v/>
      </c>
      <c r="N16" s="5"/>
      <c r="O16" s="32" t="str">
        <f aca="false">IF(D16="","",YEAR(D16))</f>
        <v/>
      </c>
      <c r="P16" s="5"/>
    </row>
    <row r="17" customFormat="false" ht="15" hidden="false" customHeight="false" outlineLevel="0" collapsed="false">
      <c r="A17" s="27"/>
      <c r="B17" s="5"/>
      <c r="C17" s="35"/>
      <c r="D17" s="18"/>
      <c r="E17" s="5"/>
      <c r="F17" s="14"/>
      <c r="G17" s="5"/>
      <c r="H17" s="27"/>
      <c r="I17" s="5"/>
      <c r="J17" s="19" t="str">
        <f aca="false">IF(A17="","",IFERROR(INDEX(Empresas!$D:$D,MATCH(A17,Empresas!$A:$A,0))&amp;"","não consta"))</f>
        <v/>
      </c>
      <c r="K17" s="19" t="str">
        <f aca="false">IF(A17="","",IFERROR(INDEX(Sancoes!$B:$B,MATCH(A17,Sancoes!$A:$A,0))&amp;"","não consta"))</f>
        <v/>
      </c>
      <c r="L17" s="19" t="str">
        <f aca="false">IF(A17="","",IFERROR(INDEX(Eleitoral!$B:$B,MATCH(A17,Eleitoral!$A:$A,0))&amp;"","não consta"))</f>
        <v/>
      </c>
      <c r="M17" s="28" t="str">
        <f aca="false">IF(A17="","",IF(OR(AND(K17&lt;&gt;"",LOWER(K17)&lt;&gt;"não consta"),AND(L17&lt;&gt;"",LOWER(L17)&lt;&gt;"não consta"),IFERROR(INDEX(Empresas!$G:$G,MATCH(A17,Empresas!$A:$A,0))&amp;"","")&lt;&gt;""),"SIM",""))</f>
        <v/>
      </c>
      <c r="N17" s="5"/>
      <c r="O17" s="32" t="str">
        <f aca="false">IF(D17="","",YEAR(D17))</f>
        <v/>
      </c>
      <c r="P17" s="5"/>
    </row>
    <row r="18" customFormat="false" ht="15" hidden="false" customHeight="false" outlineLevel="0" collapsed="false">
      <c r="A18" s="27"/>
      <c r="B18" s="5"/>
      <c r="C18" s="35"/>
      <c r="D18" s="18"/>
      <c r="E18" s="5"/>
      <c r="F18" s="14"/>
      <c r="G18" s="5"/>
      <c r="H18" s="27"/>
      <c r="I18" s="5"/>
      <c r="J18" s="19" t="str">
        <f aca="false">IF(A18="","",IFERROR(INDEX(Empresas!$D:$D,MATCH(A18,Empresas!$A:$A,0))&amp;"","não consta"))</f>
        <v/>
      </c>
      <c r="K18" s="19" t="str">
        <f aca="false">IF(A18="","",IFERROR(INDEX(Sancoes!$B:$B,MATCH(A18,Sancoes!$A:$A,0))&amp;"","não consta"))</f>
        <v/>
      </c>
      <c r="L18" s="19" t="str">
        <f aca="false">IF(A18="","",IFERROR(INDEX(Eleitoral!$B:$B,MATCH(A18,Eleitoral!$A:$A,0))&amp;"","não consta"))</f>
        <v/>
      </c>
      <c r="M18" s="28" t="str">
        <f aca="false">IF(A18="","",IF(OR(AND(K18&lt;&gt;"",LOWER(K18)&lt;&gt;"não consta"),AND(L18&lt;&gt;"",LOWER(L18)&lt;&gt;"não consta"),IFERROR(INDEX(Empresas!$G:$G,MATCH(A18,Empresas!$A:$A,0))&amp;"","")&lt;&gt;""),"SIM",""))</f>
        <v/>
      </c>
      <c r="N18" s="5"/>
      <c r="O18" s="32" t="str">
        <f aca="false">IF(D18="","",YEAR(D18))</f>
        <v/>
      </c>
      <c r="P18" s="5"/>
    </row>
    <row r="19" customFormat="false" ht="15" hidden="false" customHeight="false" outlineLevel="0" collapsed="false">
      <c r="A19" s="27"/>
      <c r="B19" s="5"/>
      <c r="C19" s="35"/>
      <c r="D19" s="18"/>
      <c r="E19" s="5"/>
      <c r="F19" s="14"/>
      <c r="G19" s="5"/>
      <c r="H19" s="27"/>
      <c r="I19" s="5"/>
      <c r="J19" s="19" t="str">
        <f aca="false">IF(A19="","",IFERROR(INDEX(Empresas!$D:$D,MATCH(A19,Empresas!$A:$A,0))&amp;"","não consta"))</f>
        <v/>
      </c>
      <c r="K19" s="19" t="str">
        <f aca="false">IF(A19="","",IFERROR(INDEX(Sancoes!$B:$B,MATCH(A19,Sancoes!$A:$A,0))&amp;"","não consta"))</f>
        <v/>
      </c>
      <c r="L19" s="19" t="str">
        <f aca="false">IF(A19="","",IFERROR(INDEX(Eleitoral!$B:$B,MATCH(A19,Eleitoral!$A:$A,0))&amp;"","não consta"))</f>
        <v/>
      </c>
      <c r="M19" s="28" t="str">
        <f aca="false">IF(A19="","",IF(OR(AND(K19&lt;&gt;"",LOWER(K19)&lt;&gt;"não consta"),AND(L19&lt;&gt;"",LOWER(L19)&lt;&gt;"não consta"),IFERROR(INDEX(Empresas!$G:$G,MATCH(A19,Empresas!$A:$A,0))&amp;"","")&lt;&gt;""),"SIM",""))</f>
        <v/>
      </c>
      <c r="N19" s="5"/>
      <c r="O19" s="32" t="str">
        <f aca="false">IF(D19="","",YEAR(D19))</f>
        <v/>
      </c>
      <c r="P19" s="5"/>
    </row>
    <row r="20" customFormat="false" ht="15" hidden="false" customHeight="false" outlineLevel="0" collapsed="false">
      <c r="A20" s="27"/>
      <c r="B20" s="5"/>
      <c r="C20" s="35"/>
      <c r="D20" s="18"/>
      <c r="E20" s="5"/>
      <c r="F20" s="14"/>
      <c r="G20" s="5"/>
      <c r="H20" s="27"/>
      <c r="I20" s="5"/>
      <c r="J20" s="19" t="str">
        <f aca="false">IF(A20="","",IFERROR(INDEX(Empresas!$D:$D,MATCH(A20,Empresas!$A:$A,0))&amp;"","não consta"))</f>
        <v/>
      </c>
      <c r="K20" s="19" t="str">
        <f aca="false">IF(A20="","",IFERROR(INDEX(Sancoes!$B:$B,MATCH(A20,Sancoes!$A:$A,0))&amp;"","não consta"))</f>
        <v/>
      </c>
      <c r="L20" s="19" t="str">
        <f aca="false">IF(A20="","",IFERROR(INDEX(Eleitoral!$B:$B,MATCH(A20,Eleitoral!$A:$A,0))&amp;"","não consta"))</f>
        <v/>
      </c>
      <c r="M20" s="28" t="str">
        <f aca="false">IF(A20="","",IF(OR(AND(K20&lt;&gt;"",LOWER(K20)&lt;&gt;"não consta"),AND(L20&lt;&gt;"",LOWER(L20)&lt;&gt;"não consta"),IFERROR(INDEX(Empresas!$G:$G,MATCH(A20,Empresas!$A:$A,0))&amp;"","")&lt;&gt;""),"SIM",""))</f>
        <v/>
      </c>
      <c r="N20" s="5"/>
      <c r="O20" s="32" t="str">
        <f aca="false">IF(D20="","",YEAR(D20))</f>
        <v/>
      </c>
      <c r="P20" s="5"/>
    </row>
    <row r="21" customFormat="false" ht="15" hidden="false" customHeight="false" outlineLevel="0" collapsed="false">
      <c r="A21" s="27"/>
      <c r="B21" s="5"/>
      <c r="C21" s="35"/>
      <c r="D21" s="18"/>
      <c r="E21" s="5"/>
      <c r="F21" s="14"/>
      <c r="G21" s="5"/>
      <c r="H21" s="27"/>
      <c r="I21" s="5"/>
      <c r="J21" s="19" t="str">
        <f aca="false">IF(A21="","",IFERROR(INDEX(Empresas!$D:$D,MATCH(A21,Empresas!$A:$A,0))&amp;"","não consta"))</f>
        <v/>
      </c>
      <c r="K21" s="19" t="str">
        <f aca="false">IF(A21="","",IFERROR(INDEX(Sancoes!$B:$B,MATCH(A21,Sancoes!$A:$A,0))&amp;"","não consta"))</f>
        <v/>
      </c>
      <c r="L21" s="19" t="str">
        <f aca="false">IF(A21="","",IFERROR(INDEX(Eleitoral!$B:$B,MATCH(A21,Eleitoral!$A:$A,0))&amp;"","não consta"))</f>
        <v/>
      </c>
      <c r="M21" s="28" t="str">
        <f aca="false">IF(A21="","",IF(OR(AND(K21&lt;&gt;"",LOWER(K21)&lt;&gt;"não consta"),AND(L21&lt;&gt;"",LOWER(L21)&lt;&gt;"não consta"),IFERROR(INDEX(Empresas!$G:$G,MATCH(A21,Empresas!$A:$A,0))&amp;"","")&lt;&gt;""),"SIM",""))</f>
        <v/>
      </c>
      <c r="N21" s="5"/>
      <c r="O21" s="32" t="str">
        <f aca="false">IF(D21="","",YEAR(D21))</f>
        <v/>
      </c>
      <c r="P21" s="5"/>
    </row>
    <row r="22" customFormat="false" ht="15" hidden="false" customHeight="false" outlineLevel="0" collapsed="false">
      <c r="A22" s="27"/>
      <c r="B22" s="5"/>
      <c r="C22" s="35"/>
      <c r="D22" s="18"/>
      <c r="E22" s="5"/>
      <c r="F22" s="14"/>
      <c r="G22" s="5"/>
      <c r="H22" s="27"/>
      <c r="I22" s="5"/>
      <c r="J22" s="19" t="str">
        <f aca="false">IF(A22="","",IFERROR(INDEX(Empresas!$D:$D,MATCH(A22,Empresas!$A:$A,0))&amp;"","não consta"))</f>
        <v/>
      </c>
      <c r="K22" s="19" t="str">
        <f aca="false">IF(A22="","",IFERROR(INDEX(Sancoes!$B:$B,MATCH(A22,Sancoes!$A:$A,0))&amp;"","não consta"))</f>
        <v/>
      </c>
      <c r="L22" s="19" t="str">
        <f aca="false">IF(A22="","",IFERROR(INDEX(Eleitoral!$B:$B,MATCH(A22,Eleitoral!$A:$A,0))&amp;"","não consta"))</f>
        <v/>
      </c>
      <c r="M22" s="28" t="str">
        <f aca="false">IF(A22="","",IF(OR(AND(K22&lt;&gt;"",LOWER(K22)&lt;&gt;"não consta"),AND(L22&lt;&gt;"",LOWER(L22)&lt;&gt;"não consta"),IFERROR(INDEX(Empresas!$G:$G,MATCH(A22,Empresas!$A:$A,0))&amp;"","")&lt;&gt;""),"SIM",""))</f>
        <v/>
      </c>
      <c r="N22" s="5"/>
      <c r="O22" s="32" t="str">
        <f aca="false">IF(D22="","",YEAR(D22))</f>
        <v/>
      </c>
      <c r="P22" s="5"/>
    </row>
    <row r="23" customFormat="false" ht="15" hidden="false" customHeight="false" outlineLevel="0" collapsed="false">
      <c r="A23" s="27"/>
      <c r="B23" s="5"/>
      <c r="C23" s="35"/>
      <c r="D23" s="18"/>
      <c r="E23" s="5"/>
      <c r="F23" s="14"/>
      <c r="G23" s="5"/>
      <c r="H23" s="27"/>
      <c r="I23" s="5"/>
      <c r="J23" s="19" t="str">
        <f aca="false">IF(A23="","",IFERROR(INDEX(Empresas!$D:$D,MATCH(A23,Empresas!$A:$A,0))&amp;"","não consta"))</f>
        <v/>
      </c>
      <c r="K23" s="19" t="str">
        <f aca="false">IF(A23="","",IFERROR(INDEX(Sancoes!$B:$B,MATCH(A23,Sancoes!$A:$A,0))&amp;"","não consta"))</f>
        <v/>
      </c>
      <c r="L23" s="19" t="str">
        <f aca="false">IF(A23="","",IFERROR(INDEX(Eleitoral!$B:$B,MATCH(A23,Eleitoral!$A:$A,0))&amp;"","não consta"))</f>
        <v/>
      </c>
      <c r="M23" s="28" t="str">
        <f aca="false">IF(A23="","",IF(OR(AND(K23&lt;&gt;"",LOWER(K23)&lt;&gt;"não consta"),AND(L23&lt;&gt;"",LOWER(L23)&lt;&gt;"não consta"),IFERROR(INDEX(Empresas!$G:$G,MATCH(A23,Empresas!$A:$A,0))&amp;"","")&lt;&gt;""),"SIM",""))</f>
        <v/>
      </c>
      <c r="N23" s="5"/>
      <c r="O23" s="32" t="str">
        <f aca="false">IF(D23="","",YEAR(D23))</f>
        <v/>
      </c>
      <c r="P23" s="5"/>
    </row>
    <row r="24" customFormat="false" ht="15" hidden="false" customHeight="false" outlineLevel="0" collapsed="false">
      <c r="A24" s="27"/>
      <c r="B24" s="5"/>
      <c r="C24" s="35"/>
      <c r="D24" s="18"/>
      <c r="E24" s="5"/>
      <c r="F24" s="14"/>
      <c r="G24" s="5"/>
      <c r="H24" s="27"/>
      <c r="I24" s="5"/>
      <c r="J24" s="19" t="str">
        <f aca="false">IF(A24="","",IFERROR(INDEX(Empresas!$D:$D,MATCH(A24,Empresas!$A:$A,0))&amp;"","não consta"))</f>
        <v/>
      </c>
      <c r="K24" s="19" t="str">
        <f aca="false">IF(A24="","",IFERROR(INDEX(Sancoes!$B:$B,MATCH(A24,Sancoes!$A:$A,0))&amp;"","não consta"))</f>
        <v/>
      </c>
      <c r="L24" s="19" t="str">
        <f aca="false">IF(A24="","",IFERROR(INDEX(Eleitoral!$B:$B,MATCH(A24,Eleitoral!$A:$A,0))&amp;"","não consta"))</f>
        <v/>
      </c>
      <c r="M24" s="28" t="str">
        <f aca="false">IF(A24="","",IF(OR(AND(K24&lt;&gt;"",LOWER(K24)&lt;&gt;"não consta"),AND(L24&lt;&gt;"",LOWER(L24)&lt;&gt;"não consta"),IFERROR(INDEX(Empresas!$G:$G,MATCH(A24,Empresas!$A:$A,0))&amp;"","")&lt;&gt;""),"SIM",""))</f>
        <v/>
      </c>
      <c r="N24" s="5"/>
      <c r="O24" s="32" t="str">
        <f aca="false">IF(D24="","",YEAR(D24))</f>
        <v/>
      </c>
      <c r="P24" s="5"/>
    </row>
    <row r="25" customFormat="false" ht="15" hidden="false" customHeight="false" outlineLevel="0" collapsed="false">
      <c r="A25" s="27"/>
      <c r="B25" s="5"/>
      <c r="C25" s="35"/>
      <c r="D25" s="18"/>
      <c r="E25" s="5"/>
      <c r="F25" s="14"/>
      <c r="G25" s="5"/>
      <c r="H25" s="27"/>
      <c r="I25" s="5"/>
      <c r="J25" s="19" t="str">
        <f aca="false">IF(A25="","",IFERROR(INDEX(Empresas!$D:$D,MATCH(A25,Empresas!$A:$A,0))&amp;"","não consta"))</f>
        <v/>
      </c>
      <c r="K25" s="19" t="str">
        <f aca="false">IF(A25="","",IFERROR(INDEX(Sancoes!$B:$B,MATCH(A25,Sancoes!$A:$A,0))&amp;"","não consta"))</f>
        <v/>
      </c>
      <c r="L25" s="19" t="str">
        <f aca="false">IF(A25="","",IFERROR(INDEX(Eleitoral!$B:$B,MATCH(A25,Eleitoral!$A:$A,0))&amp;"","não consta"))</f>
        <v/>
      </c>
      <c r="M25" s="28" t="str">
        <f aca="false">IF(A25="","",IF(OR(AND(K25&lt;&gt;"",LOWER(K25)&lt;&gt;"não consta"),AND(L25&lt;&gt;"",LOWER(L25)&lt;&gt;"não consta"),IFERROR(INDEX(Empresas!$G:$G,MATCH(A25,Empresas!$A:$A,0))&amp;"","")&lt;&gt;""),"SIM",""))</f>
        <v/>
      </c>
      <c r="N25" s="5"/>
      <c r="O25" s="32" t="str">
        <f aca="false">IF(D25="","",YEAR(D25))</f>
        <v/>
      </c>
      <c r="P25" s="5"/>
    </row>
    <row r="26" customFormat="false" ht="15" hidden="false" customHeight="false" outlineLevel="0" collapsed="false">
      <c r="A26" s="27"/>
      <c r="B26" s="5"/>
      <c r="C26" s="35"/>
      <c r="D26" s="18"/>
      <c r="E26" s="5"/>
      <c r="F26" s="14"/>
      <c r="G26" s="5"/>
      <c r="H26" s="27"/>
      <c r="I26" s="5"/>
      <c r="J26" s="19" t="str">
        <f aca="false">IF(A26="","",IFERROR(INDEX(Empresas!$D:$D,MATCH(A26,Empresas!$A:$A,0))&amp;"","não consta"))</f>
        <v/>
      </c>
      <c r="K26" s="19" t="str">
        <f aca="false">IF(A26="","",IFERROR(INDEX(Sancoes!$B:$B,MATCH(A26,Sancoes!$A:$A,0))&amp;"","não consta"))</f>
        <v/>
      </c>
      <c r="L26" s="19" t="str">
        <f aca="false">IF(A26="","",IFERROR(INDEX(Eleitoral!$B:$B,MATCH(A26,Eleitoral!$A:$A,0))&amp;"","não consta"))</f>
        <v/>
      </c>
      <c r="M26" s="28" t="str">
        <f aca="false">IF(A26="","",IF(OR(AND(K26&lt;&gt;"",LOWER(K26)&lt;&gt;"não consta"),AND(L26&lt;&gt;"",LOWER(L26)&lt;&gt;"não consta"),IFERROR(INDEX(Empresas!$G:$G,MATCH(A26,Empresas!$A:$A,0))&amp;"","")&lt;&gt;""),"SIM",""))</f>
        <v/>
      </c>
      <c r="N26" s="5"/>
      <c r="O26" s="32" t="str">
        <f aca="false">IF(D26="","",YEAR(D26))</f>
        <v/>
      </c>
      <c r="P26" s="5"/>
    </row>
    <row r="27" customFormat="false" ht="15" hidden="false" customHeight="false" outlineLevel="0" collapsed="false">
      <c r="A27" s="27"/>
      <c r="B27" s="5"/>
      <c r="C27" s="35"/>
      <c r="D27" s="18"/>
      <c r="E27" s="5"/>
      <c r="F27" s="14"/>
      <c r="G27" s="5"/>
      <c r="H27" s="27"/>
      <c r="I27" s="5"/>
      <c r="J27" s="19" t="str">
        <f aca="false">IF(A27="","",IFERROR(INDEX(Empresas!$D:$D,MATCH(A27,Empresas!$A:$A,0))&amp;"","não consta"))</f>
        <v/>
      </c>
      <c r="K27" s="19" t="str">
        <f aca="false">IF(A27="","",IFERROR(INDEX(Sancoes!$B:$B,MATCH(A27,Sancoes!$A:$A,0))&amp;"","não consta"))</f>
        <v/>
      </c>
      <c r="L27" s="19" t="str">
        <f aca="false">IF(A27="","",IFERROR(INDEX(Eleitoral!$B:$B,MATCH(A27,Eleitoral!$A:$A,0))&amp;"","não consta"))</f>
        <v/>
      </c>
      <c r="M27" s="28" t="str">
        <f aca="false">IF(A27="","",IF(OR(AND(K27&lt;&gt;"",LOWER(K27)&lt;&gt;"não consta"),AND(L27&lt;&gt;"",LOWER(L27)&lt;&gt;"não consta"),IFERROR(INDEX(Empresas!$G:$G,MATCH(A27,Empresas!$A:$A,0))&amp;"","")&lt;&gt;""),"SIM",""))</f>
        <v/>
      </c>
      <c r="N27" s="5"/>
      <c r="O27" s="32" t="str">
        <f aca="false">IF(D27="","",YEAR(D27))</f>
        <v/>
      </c>
      <c r="P27" s="5"/>
    </row>
    <row r="28" customFormat="false" ht="15" hidden="false" customHeight="false" outlineLevel="0" collapsed="false">
      <c r="A28" s="27"/>
      <c r="B28" s="5"/>
      <c r="C28" s="35"/>
      <c r="D28" s="18"/>
      <c r="E28" s="5"/>
      <c r="F28" s="14"/>
      <c r="G28" s="5"/>
      <c r="H28" s="27"/>
      <c r="I28" s="5"/>
      <c r="J28" s="19" t="str">
        <f aca="false">IF(A28="","",IFERROR(INDEX(Empresas!$D:$D,MATCH(A28,Empresas!$A:$A,0))&amp;"","não consta"))</f>
        <v/>
      </c>
      <c r="K28" s="19" t="str">
        <f aca="false">IF(A28="","",IFERROR(INDEX(Sancoes!$B:$B,MATCH(A28,Sancoes!$A:$A,0))&amp;"","não consta"))</f>
        <v/>
      </c>
      <c r="L28" s="19" t="str">
        <f aca="false">IF(A28="","",IFERROR(INDEX(Eleitoral!$B:$B,MATCH(A28,Eleitoral!$A:$A,0))&amp;"","não consta"))</f>
        <v/>
      </c>
      <c r="M28" s="28" t="str">
        <f aca="false">IF(A28="","",IF(OR(AND(K28&lt;&gt;"",LOWER(K28)&lt;&gt;"não consta"),AND(L28&lt;&gt;"",LOWER(L28)&lt;&gt;"não consta"),IFERROR(INDEX(Empresas!$G:$G,MATCH(A28,Empresas!$A:$A,0))&amp;"","")&lt;&gt;""),"SIM",""))</f>
        <v/>
      </c>
      <c r="N28" s="5"/>
      <c r="O28" s="32" t="str">
        <f aca="false">IF(D28="","",YEAR(D28))</f>
        <v/>
      </c>
      <c r="P28" s="5"/>
    </row>
    <row r="29" customFormat="false" ht="15" hidden="false" customHeight="false" outlineLevel="0" collapsed="false">
      <c r="A29" s="27"/>
      <c r="B29" s="5"/>
      <c r="C29" s="35"/>
      <c r="D29" s="18"/>
      <c r="E29" s="5"/>
      <c r="F29" s="14"/>
      <c r="G29" s="5"/>
      <c r="H29" s="27"/>
      <c r="I29" s="5"/>
      <c r="J29" s="19" t="str">
        <f aca="false">IF(A29="","",IFERROR(INDEX(Empresas!$D:$D,MATCH(A29,Empresas!$A:$A,0))&amp;"","não consta"))</f>
        <v/>
      </c>
      <c r="K29" s="19" t="str">
        <f aca="false">IF(A29="","",IFERROR(INDEX(Sancoes!$B:$B,MATCH(A29,Sancoes!$A:$A,0))&amp;"","não consta"))</f>
        <v/>
      </c>
      <c r="L29" s="19" t="str">
        <f aca="false">IF(A29="","",IFERROR(INDEX(Eleitoral!$B:$B,MATCH(A29,Eleitoral!$A:$A,0))&amp;"","não consta"))</f>
        <v/>
      </c>
      <c r="M29" s="28" t="str">
        <f aca="false">IF(A29="","",IF(OR(AND(K29&lt;&gt;"",LOWER(K29)&lt;&gt;"não consta"),AND(L29&lt;&gt;"",LOWER(L29)&lt;&gt;"não consta"),IFERROR(INDEX(Empresas!$G:$G,MATCH(A29,Empresas!$A:$A,0))&amp;"","")&lt;&gt;""),"SIM",""))</f>
        <v/>
      </c>
      <c r="N29" s="5"/>
      <c r="O29" s="32" t="str">
        <f aca="false">IF(D29="","",YEAR(D29))</f>
        <v/>
      </c>
      <c r="P29" s="5"/>
    </row>
    <row r="30" customFormat="false" ht="15" hidden="false" customHeight="false" outlineLevel="0" collapsed="false">
      <c r="A30" s="27"/>
      <c r="B30" s="5"/>
      <c r="C30" s="35"/>
      <c r="D30" s="18"/>
      <c r="E30" s="5"/>
      <c r="F30" s="14"/>
      <c r="G30" s="5"/>
      <c r="H30" s="27"/>
      <c r="I30" s="5"/>
      <c r="J30" s="19" t="str">
        <f aca="false">IF(A30="","",IFERROR(INDEX(Empresas!$D:$D,MATCH(A30,Empresas!$A:$A,0))&amp;"","não consta"))</f>
        <v/>
      </c>
      <c r="K30" s="19" t="str">
        <f aca="false">IF(A30="","",IFERROR(INDEX(Sancoes!$B:$B,MATCH(A30,Sancoes!$A:$A,0))&amp;"","não consta"))</f>
        <v/>
      </c>
      <c r="L30" s="19" t="str">
        <f aca="false">IF(A30="","",IFERROR(INDEX(Eleitoral!$B:$B,MATCH(A30,Eleitoral!$A:$A,0))&amp;"","não consta"))</f>
        <v/>
      </c>
      <c r="M30" s="28" t="str">
        <f aca="false">IF(A30="","",IF(OR(AND(K30&lt;&gt;"",LOWER(K30)&lt;&gt;"não consta"),AND(L30&lt;&gt;"",LOWER(L30)&lt;&gt;"não consta"),IFERROR(INDEX(Empresas!$G:$G,MATCH(A30,Empresas!$A:$A,0))&amp;"","")&lt;&gt;""),"SIM",""))</f>
        <v/>
      </c>
      <c r="N30" s="5"/>
      <c r="O30" s="32" t="str">
        <f aca="false">IF(D30="","",YEAR(D30))</f>
        <v/>
      </c>
      <c r="P30" s="5"/>
    </row>
    <row r="31" customFormat="false" ht="15" hidden="false" customHeight="false" outlineLevel="0" collapsed="false">
      <c r="A31" s="27"/>
      <c r="B31" s="5"/>
      <c r="C31" s="35"/>
      <c r="D31" s="18"/>
      <c r="E31" s="5"/>
      <c r="F31" s="14"/>
      <c r="G31" s="5"/>
      <c r="H31" s="27"/>
      <c r="I31" s="5"/>
      <c r="J31" s="19" t="str">
        <f aca="false">IF(A31="","",IFERROR(INDEX(Empresas!$D:$D,MATCH(A31,Empresas!$A:$A,0))&amp;"","não consta"))</f>
        <v/>
      </c>
      <c r="K31" s="19" t="str">
        <f aca="false">IF(A31="","",IFERROR(INDEX(Sancoes!$B:$B,MATCH(A31,Sancoes!$A:$A,0))&amp;"","não consta"))</f>
        <v/>
      </c>
      <c r="L31" s="19" t="str">
        <f aca="false">IF(A31="","",IFERROR(INDEX(Eleitoral!$B:$B,MATCH(A31,Eleitoral!$A:$A,0))&amp;"","não consta"))</f>
        <v/>
      </c>
      <c r="M31" s="28" t="str">
        <f aca="false">IF(A31="","",IF(OR(AND(K31&lt;&gt;"",LOWER(K31)&lt;&gt;"não consta"),AND(L31&lt;&gt;"",LOWER(L31)&lt;&gt;"não consta"),IFERROR(INDEX(Empresas!$G:$G,MATCH(A31,Empresas!$A:$A,0))&amp;"","")&lt;&gt;""),"SIM",""))</f>
        <v/>
      </c>
      <c r="N31" s="5"/>
      <c r="O31" s="32" t="str">
        <f aca="false">IF(D31="","",YEAR(D31))</f>
        <v/>
      </c>
      <c r="P31" s="5"/>
    </row>
    <row r="32" customFormat="false" ht="15" hidden="false" customHeight="false" outlineLevel="0" collapsed="false">
      <c r="A32" s="27"/>
      <c r="B32" s="5"/>
      <c r="C32" s="35"/>
      <c r="D32" s="18"/>
      <c r="E32" s="5"/>
      <c r="F32" s="14"/>
      <c r="G32" s="5"/>
      <c r="H32" s="27"/>
      <c r="I32" s="5"/>
      <c r="J32" s="19" t="str">
        <f aca="false">IF(A32="","",IFERROR(INDEX(Empresas!$D:$D,MATCH(A32,Empresas!$A:$A,0))&amp;"","não consta"))</f>
        <v/>
      </c>
      <c r="K32" s="19" t="str">
        <f aca="false">IF(A32="","",IFERROR(INDEX(Sancoes!$B:$B,MATCH(A32,Sancoes!$A:$A,0))&amp;"","não consta"))</f>
        <v/>
      </c>
      <c r="L32" s="19" t="str">
        <f aca="false">IF(A32="","",IFERROR(INDEX(Eleitoral!$B:$B,MATCH(A32,Eleitoral!$A:$A,0))&amp;"","não consta"))</f>
        <v/>
      </c>
      <c r="M32" s="28" t="str">
        <f aca="false">IF(A32="","",IF(OR(AND(K32&lt;&gt;"",LOWER(K32)&lt;&gt;"não consta"),AND(L32&lt;&gt;"",LOWER(L32)&lt;&gt;"não consta"),IFERROR(INDEX(Empresas!$G:$G,MATCH(A32,Empresas!$A:$A,0))&amp;"","")&lt;&gt;""),"SIM",""))</f>
        <v/>
      </c>
      <c r="N32" s="5"/>
      <c r="O32" s="32" t="str">
        <f aca="false">IF(D32="","",YEAR(D32))</f>
        <v/>
      </c>
      <c r="P32" s="5"/>
    </row>
    <row r="33" customFormat="false" ht="15" hidden="false" customHeight="false" outlineLevel="0" collapsed="false">
      <c r="A33" s="27"/>
      <c r="B33" s="5"/>
      <c r="C33" s="35"/>
      <c r="D33" s="18"/>
      <c r="E33" s="5"/>
      <c r="F33" s="14"/>
      <c r="G33" s="5"/>
      <c r="H33" s="27"/>
      <c r="I33" s="5"/>
      <c r="J33" s="19" t="str">
        <f aca="false">IF(A33="","",IFERROR(INDEX(Empresas!$D:$D,MATCH(A33,Empresas!$A:$A,0))&amp;"","não consta"))</f>
        <v/>
      </c>
      <c r="K33" s="19" t="str">
        <f aca="false">IF(A33="","",IFERROR(INDEX(Sancoes!$B:$B,MATCH(A33,Sancoes!$A:$A,0))&amp;"","não consta"))</f>
        <v/>
      </c>
      <c r="L33" s="19" t="str">
        <f aca="false">IF(A33="","",IFERROR(INDEX(Eleitoral!$B:$B,MATCH(A33,Eleitoral!$A:$A,0))&amp;"","não consta"))</f>
        <v/>
      </c>
      <c r="M33" s="28" t="str">
        <f aca="false">IF(A33="","",IF(OR(AND(K33&lt;&gt;"",LOWER(K33)&lt;&gt;"não consta"),AND(L33&lt;&gt;"",LOWER(L33)&lt;&gt;"não consta"),IFERROR(INDEX(Empresas!$G:$G,MATCH(A33,Empresas!$A:$A,0))&amp;"","")&lt;&gt;""),"SIM",""))</f>
        <v/>
      </c>
      <c r="N33" s="5"/>
      <c r="O33" s="32" t="str">
        <f aca="false">IF(D33="","",YEAR(D33))</f>
        <v/>
      </c>
      <c r="P33" s="5"/>
    </row>
    <row r="34" customFormat="false" ht="15" hidden="false" customHeight="false" outlineLevel="0" collapsed="false">
      <c r="A34" s="27"/>
      <c r="B34" s="5"/>
      <c r="C34" s="35"/>
      <c r="D34" s="18"/>
      <c r="E34" s="5"/>
      <c r="F34" s="14"/>
      <c r="G34" s="5"/>
      <c r="H34" s="27"/>
      <c r="I34" s="5"/>
      <c r="J34" s="19" t="str">
        <f aca="false">IF(A34="","",IFERROR(INDEX(Empresas!$D:$D,MATCH(A34,Empresas!$A:$A,0))&amp;"","não consta"))</f>
        <v/>
      </c>
      <c r="K34" s="19" t="str">
        <f aca="false">IF(A34="","",IFERROR(INDEX(Sancoes!$B:$B,MATCH(A34,Sancoes!$A:$A,0))&amp;"","não consta"))</f>
        <v/>
      </c>
      <c r="L34" s="19" t="str">
        <f aca="false">IF(A34="","",IFERROR(INDEX(Eleitoral!$B:$B,MATCH(A34,Eleitoral!$A:$A,0))&amp;"","não consta"))</f>
        <v/>
      </c>
      <c r="M34" s="28" t="str">
        <f aca="false">IF(A34="","",IF(OR(AND(K34&lt;&gt;"",LOWER(K34)&lt;&gt;"não consta"),AND(L34&lt;&gt;"",LOWER(L34)&lt;&gt;"não consta"),IFERROR(INDEX(Empresas!$G:$G,MATCH(A34,Empresas!$A:$A,0))&amp;"","")&lt;&gt;""),"SIM",""))</f>
        <v/>
      </c>
      <c r="N34" s="5"/>
      <c r="O34" s="32" t="str">
        <f aca="false">IF(D34="","",YEAR(D34))</f>
        <v/>
      </c>
      <c r="P34" s="5"/>
    </row>
    <row r="35" customFormat="false" ht="15" hidden="false" customHeight="false" outlineLevel="0" collapsed="false">
      <c r="A35" s="27"/>
      <c r="B35" s="5"/>
      <c r="C35" s="35"/>
      <c r="D35" s="18"/>
      <c r="E35" s="5"/>
      <c r="F35" s="14"/>
      <c r="G35" s="5"/>
      <c r="H35" s="27"/>
      <c r="I35" s="5"/>
      <c r="J35" s="19" t="str">
        <f aca="false">IF(A35="","",IFERROR(INDEX(Empresas!$D:$D,MATCH(A35,Empresas!$A:$A,0))&amp;"","não consta"))</f>
        <v/>
      </c>
      <c r="K35" s="19" t="str">
        <f aca="false">IF(A35="","",IFERROR(INDEX(Sancoes!$B:$B,MATCH(A35,Sancoes!$A:$A,0))&amp;"","não consta"))</f>
        <v/>
      </c>
      <c r="L35" s="19" t="str">
        <f aca="false">IF(A35="","",IFERROR(INDEX(Eleitoral!$B:$B,MATCH(A35,Eleitoral!$A:$A,0))&amp;"","não consta"))</f>
        <v/>
      </c>
      <c r="M35" s="28" t="str">
        <f aca="false">IF(A35="","",IF(OR(AND(K35&lt;&gt;"",LOWER(K35)&lt;&gt;"não consta"),AND(L35&lt;&gt;"",LOWER(L35)&lt;&gt;"não consta"),IFERROR(INDEX(Empresas!$G:$G,MATCH(A35,Empresas!$A:$A,0))&amp;"","")&lt;&gt;""),"SIM",""))</f>
        <v/>
      </c>
      <c r="N35" s="5"/>
      <c r="O35" s="32" t="str">
        <f aca="false">IF(D35="","",YEAR(D35))</f>
        <v/>
      </c>
      <c r="P35" s="5"/>
    </row>
    <row r="36" customFormat="false" ht="15" hidden="false" customHeight="false" outlineLevel="0" collapsed="false">
      <c r="A36" s="27"/>
      <c r="B36" s="5"/>
      <c r="C36" s="35"/>
      <c r="D36" s="18"/>
      <c r="E36" s="5"/>
      <c r="F36" s="14"/>
      <c r="G36" s="5"/>
      <c r="H36" s="27"/>
      <c r="I36" s="5"/>
      <c r="J36" s="19" t="str">
        <f aca="false">IF(A36="","",IFERROR(INDEX(Empresas!$D:$D,MATCH(A36,Empresas!$A:$A,0))&amp;"","não consta"))</f>
        <v/>
      </c>
      <c r="K36" s="19" t="str">
        <f aca="false">IF(A36="","",IFERROR(INDEX(Sancoes!$B:$B,MATCH(A36,Sancoes!$A:$A,0))&amp;"","não consta"))</f>
        <v/>
      </c>
      <c r="L36" s="19" t="str">
        <f aca="false">IF(A36="","",IFERROR(INDEX(Eleitoral!$B:$B,MATCH(A36,Eleitoral!$A:$A,0))&amp;"","não consta"))</f>
        <v/>
      </c>
      <c r="M36" s="28" t="str">
        <f aca="false">IF(A36="","",IF(OR(AND(K36&lt;&gt;"",LOWER(K36)&lt;&gt;"não consta"),AND(L36&lt;&gt;"",LOWER(L36)&lt;&gt;"não consta"),IFERROR(INDEX(Empresas!$G:$G,MATCH(A36,Empresas!$A:$A,0))&amp;"","")&lt;&gt;""),"SIM",""))</f>
        <v/>
      </c>
      <c r="N36" s="5"/>
      <c r="O36" s="32" t="str">
        <f aca="false">IF(D36="","",YEAR(D36))</f>
        <v/>
      </c>
      <c r="P36" s="5"/>
    </row>
    <row r="37" customFormat="false" ht="15" hidden="false" customHeight="false" outlineLevel="0" collapsed="false">
      <c r="A37" s="27"/>
      <c r="B37" s="5"/>
      <c r="C37" s="35"/>
      <c r="D37" s="18"/>
      <c r="E37" s="5"/>
      <c r="F37" s="14"/>
      <c r="G37" s="5"/>
      <c r="H37" s="27"/>
      <c r="I37" s="5"/>
      <c r="J37" s="19" t="str">
        <f aca="false">IF(A37="","",IFERROR(INDEX(Empresas!$D:$D,MATCH(A37,Empresas!$A:$A,0))&amp;"","não consta"))</f>
        <v/>
      </c>
      <c r="K37" s="19" t="str">
        <f aca="false">IF(A37="","",IFERROR(INDEX(Sancoes!$B:$B,MATCH(A37,Sancoes!$A:$A,0))&amp;"","não consta"))</f>
        <v/>
      </c>
      <c r="L37" s="19" t="str">
        <f aca="false">IF(A37="","",IFERROR(INDEX(Eleitoral!$B:$B,MATCH(A37,Eleitoral!$A:$A,0))&amp;"","não consta"))</f>
        <v/>
      </c>
      <c r="M37" s="28" t="str">
        <f aca="false">IF(A37="","",IF(OR(AND(K37&lt;&gt;"",LOWER(K37)&lt;&gt;"não consta"),AND(L37&lt;&gt;"",LOWER(L37)&lt;&gt;"não consta"),IFERROR(INDEX(Empresas!$G:$G,MATCH(A37,Empresas!$A:$A,0))&amp;"","")&lt;&gt;""),"SIM",""))</f>
        <v/>
      </c>
      <c r="N37" s="5"/>
      <c r="O37" s="32" t="str">
        <f aca="false">IF(D37="","",YEAR(D37))</f>
        <v/>
      </c>
      <c r="P37" s="5"/>
    </row>
    <row r="38" customFormat="false" ht="15" hidden="false" customHeight="false" outlineLevel="0" collapsed="false">
      <c r="A38" s="27"/>
      <c r="B38" s="5"/>
      <c r="C38" s="35"/>
      <c r="D38" s="18"/>
      <c r="E38" s="5"/>
      <c r="F38" s="14"/>
      <c r="G38" s="5"/>
      <c r="H38" s="27"/>
      <c r="I38" s="5"/>
      <c r="J38" s="19" t="str">
        <f aca="false">IF(A38="","",IFERROR(INDEX(Empresas!$D:$D,MATCH(A38,Empresas!$A:$A,0))&amp;"","não consta"))</f>
        <v/>
      </c>
      <c r="K38" s="19" t="str">
        <f aca="false">IF(A38="","",IFERROR(INDEX(Sancoes!$B:$B,MATCH(A38,Sancoes!$A:$A,0))&amp;"","não consta"))</f>
        <v/>
      </c>
      <c r="L38" s="19" t="str">
        <f aca="false">IF(A38="","",IFERROR(INDEX(Eleitoral!$B:$B,MATCH(A38,Eleitoral!$A:$A,0))&amp;"","não consta"))</f>
        <v/>
      </c>
      <c r="M38" s="28" t="str">
        <f aca="false">IF(A38="","",IF(OR(AND(K38&lt;&gt;"",LOWER(K38)&lt;&gt;"não consta"),AND(L38&lt;&gt;"",LOWER(L38)&lt;&gt;"não consta"),IFERROR(INDEX(Empresas!$G:$G,MATCH(A38,Empresas!$A:$A,0))&amp;"","")&lt;&gt;""),"SIM",""))</f>
        <v/>
      </c>
      <c r="N38" s="5"/>
      <c r="O38" s="32" t="str">
        <f aca="false">IF(D38="","",YEAR(D38))</f>
        <v/>
      </c>
      <c r="P38" s="5"/>
    </row>
    <row r="39" customFormat="false" ht="15" hidden="false" customHeight="false" outlineLevel="0" collapsed="false">
      <c r="A39" s="27"/>
      <c r="B39" s="5"/>
      <c r="C39" s="35"/>
      <c r="D39" s="18"/>
      <c r="E39" s="5"/>
      <c r="F39" s="14"/>
      <c r="G39" s="5"/>
      <c r="H39" s="27"/>
      <c r="I39" s="5"/>
      <c r="J39" s="19" t="str">
        <f aca="false">IF(A39="","",IFERROR(INDEX(Empresas!$D:$D,MATCH(A39,Empresas!$A:$A,0))&amp;"","não consta"))</f>
        <v/>
      </c>
      <c r="K39" s="19" t="str">
        <f aca="false">IF(A39="","",IFERROR(INDEX(Sancoes!$B:$B,MATCH(A39,Sancoes!$A:$A,0))&amp;"","não consta"))</f>
        <v/>
      </c>
      <c r="L39" s="19" t="str">
        <f aca="false">IF(A39="","",IFERROR(INDEX(Eleitoral!$B:$B,MATCH(A39,Eleitoral!$A:$A,0))&amp;"","não consta"))</f>
        <v/>
      </c>
      <c r="M39" s="28" t="str">
        <f aca="false">IF(A39="","",IF(OR(AND(K39&lt;&gt;"",LOWER(K39)&lt;&gt;"não consta"),AND(L39&lt;&gt;"",LOWER(L39)&lt;&gt;"não consta"),IFERROR(INDEX(Empresas!$G:$G,MATCH(A39,Empresas!$A:$A,0))&amp;"","")&lt;&gt;""),"SIM",""))</f>
        <v/>
      </c>
      <c r="N39" s="5"/>
      <c r="O39" s="32" t="str">
        <f aca="false">IF(D39="","",YEAR(D39))</f>
        <v/>
      </c>
      <c r="P39" s="5"/>
    </row>
    <row r="40" customFormat="false" ht="15" hidden="false" customHeight="false" outlineLevel="0" collapsed="false">
      <c r="A40" s="27"/>
      <c r="B40" s="5"/>
      <c r="C40" s="35"/>
      <c r="D40" s="18"/>
      <c r="E40" s="5"/>
      <c r="F40" s="14"/>
      <c r="G40" s="5"/>
      <c r="H40" s="27"/>
      <c r="I40" s="5"/>
      <c r="J40" s="19" t="str">
        <f aca="false">IF(A40="","",IFERROR(INDEX(Empresas!$D:$D,MATCH(A40,Empresas!$A:$A,0))&amp;"","não consta"))</f>
        <v/>
      </c>
      <c r="K40" s="19" t="str">
        <f aca="false">IF(A40="","",IFERROR(INDEX(Sancoes!$B:$B,MATCH(A40,Sancoes!$A:$A,0))&amp;"","não consta"))</f>
        <v/>
      </c>
      <c r="L40" s="19" t="str">
        <f aca="false">IF(A40="","",IFERROR(INDEX(Eleitoral!$B:$B,MATCH(A40,Eleitoral!$A:$A,0))&amp;"","não consta"))</f>
        <v/>
      </c>
      <c r="M40" s="28" t="str">
        <f aca="false">IF(A40="","",IF(OR(AND(K40&lt;&gt;"",LOWER(K40)&lt;&gt;"não consta"),AND(L40&lt;&gt;"",LOWER(L40)&lt;&gt;"não consta"),IFERROR(INDEX(Empresas!$G:$G,MATCH(A40,Empresas!$A:$A,0))&amp;"","")&lt;&gt;""),"SIM",""))</f>
        <v/>
      </c>
      <c r="N40" s="5"/>
      <c r="O40" s="32" t="str">
        <f aca="false">IF(D40="","",YEAR(D40))</f>
        <v/>
      </c>
      <c r="P40" s="5"/>
    </row>
    <row r="41" customFormat="false" ht="15" hidden="false" customHeight="false" outlineLevel="0" collapsed="false">
      <c r="A41" s="27"/>
      <c r="B41" s="5"/>
      <c r="C41" s="35"/>
      <c r="D41" s="18"/>
      <c r="E41" s="5"/>
      <c r="F41" s="14"/>
      <c r="G41" s="5"/>
      <c r="H41" s="27"/>
      <c r="I41" s="5"/>
      <c r="J41" s="19" t="str">
        <f aca="false">IF(A41="","",IFERROR(INDEX(Empresas!$D:$D,MATCH(A41,Empresas!$A:$A,0))&amp;"","não consta"))</f>
        <v/>
      </c>
      <c r="K41" s="19" t="str">
        <f aca="false">IF(A41="","",IFERROR(INDEX(Sancoes!$B:$B,MATCH(A41,Sancoes!$A:$A,0))&amp;"","não consta"))</f>
        <v/>
      </c>
      <c r="L41" s="19" t="str">
        <f aca="false">IF(A41="","",IFERROR(INDEX(Eleitoral!$B:$B,MATCH(A41,Eleitoral!$A:$A,0))&amp;"","não consta"))</f>
        <v/>
      </c>
      <c r="M41" s="28" t="str">
        <f aca="false">IF(A41="","",IF(OR(AND(K41&lt;&gt;"",LOWER(K41)&lt;&gt;"não consta"),AND(L41&lt;&gt;"",LOWER(L41)&lt;&gt;"não consta"),IFERROR(INDEX(Empresas!$G:$G,MATCH(A41,Empresas!$A:$A,0))&amp;"","")&lt;&gt;""),"SIM",""))</f>
        <v/>
      </c>
      <c r="N41" s="5"/>
      <c r="O41" s="32" t="str">
        <f aca="false">IF(D41="","",YEAR(D41))</f>
        <v/>
      </c>
      <c r="P41" s="5"/>
    </row>
    <row r="42" customFormat="false" ht="15" hidden="false" customHeight="false" outlineLevel="0" collapsed="false">
      <c r="A42" s="27"/>
      <c r="B42" s="5"/>
      <c r="C42" s="35"/>
      <c r="D42" s="18"/>
      <c r="E42" s="5"/>
      <c r="F42" s="14"/>
      <c r="G42" s="5"/>
      <c r="H42" s="27"/>
      <c r="I42" s="5"/>
      <c r="J42" s="19" t="str">
        <f aca="false">IF(A42="","",IFERROR(INDEX(Empresas!$D:$D,MATCH(A42,Empresas!$A:$A,0))&amp;"","não consta"))</f>
        <v/>
      </c>
      <c r="K42" s="19" t="str">
        <f aca="false">IF(A42="","",IFERROR(INDEX(Sancoes!$B:$B,MATCH(A42,Sancoes!$A:$A,0))&amp;"","não consta"))</f>
        <v/>
      </c>
      <c r="L42" s="19" t="str">
        <f aca="false">IF(A42="","",IFERROR(INDEX(Eleitoral!$B:$B,MATCH(A42,Eleitoral!$A:$A,0))&amp;"","não consta"))</f>
        <v/>
      </c>
      <c r="M42" s="28" t="str">
        <f aca="false">IF(A42="","",IF(OR(AND(K42&lt;&gt;"",LOWER(K42)&lt;&gt;"não consta"),AND(L42&lt;&gt;"",LOWER(L42)&lt;&gt;"não consta"),IFERROR(INDEX(Empresas!$G:$G,MATCH(A42,Empresas!$A:$A,0))&amp;"","")&lt;&gt;""),"SIM",""))</f>
        <v/>
      </c>
      <c r="N42" s="5"/>
      <c r="O42" s="32" t="str">
        <f aca="false">IF(D42="","",YEAR(D42))</f>
        <v/>
      </c>
      <c r="P42" s="5"/>
    </row>
    <row r="43" customFormat="false" ht="15" hidden="false" customHeight="false" outlineLevel="0" collapsed="false">
      <c r="A43" s="27"/>
      <c r="B43" s="5"/>
      <c r="C43" s="35"/>
      <c r="D43" s="18"/>
      <c r="E43" s="5"/>
      <c r="F43" s="14"/>
      <c r="G43" s="5"/>
      <c r="H43" s="27"/>
      <c r="I43" s="5"/>
      <c r="J43" s="19" t="str">
        <f aca="false">IF(A43="","",IFERROR(INDEX(Empresas!$D:$D,MATCH(A43,Empresas!$A:$A,0))&amp;"","não consta"))</f>
        <v/>
      </c>
      <c r="K43" s="19" t="str">
        <f aca="false">IF(A43="","",IFERROR(INDEX(Sancoes!$B:$B,MATCH(A43,Sancoes!$A:$A,0))&amp;"","não consta"))</f>
        <v/>
      </c>
      <c r="L43" s="19" t="str">
        <f aca="false">IF(A43="","",IFERROR(INDEX(Eleitoral!$B:$B,MATCH(A43,Eleitoral!$A:$A,0))&amp;"","não consta"))</f>
        <v/>
      </c>
      <c r="M43" s="28" t="str">
        <f aca="false">IF(A43="","",IF(OR(AND(K43&lt;&gt;"",LOWER(K43)&lt;&gt;"não consta"),AND(L43&lt;&gt;"",LOWER(L43)&lt;&gt;"não consta"),IFERROR(INDEX(Empresas!$G:$G,MATCH(A43,Empresas!$A:$A,0))&amp;"","")&lt;&gt;""),"SIM",""))</f>
        <v/>
      </c>
      <c r="N43" s="5"/>
      <c r="O43" s="32" t="str">
        <f aca="false">IF(D43="","",YEAR(D43))</f>
        <v/>
      </c>
      <c r="P43" s="5"/>
    </row>
    <row r="44" customFormat="false" ht="15" hidden="false" customHeight="false" outlineLevel="0" collapsed="false">
      <c r="A44" s="27"/>
      <c r="B44" s="5"/>
      <c r="C44" s="35"/>
      <c r="D44" s="18"/>
      <c r="E44" s="5"/>
      <c r="F44" s="14"/>
      <c r="G44" s="5"/>
      <c r="H44" s="27"/>
      <c r="I44" s="5"/>
      <c r="J44" s="19" t="str">
        <f aca="false">IF(A44="","",IFERROR(INDEX(Empresas!$D:$D,MATCH(A44,Empresas!$A:$A,0))&amp;"","não consta"))</f>
        <v/>
      </c>
      <c r="K44" s="19" t="str">
        <f aca="false">IF(A44="","",IFERROR(INDEX(Sancoes!$B:$B,MATCH(A44,Sancoes!$A:$A,0))&amp;"","não consta"))</f>
        <v/>
      </c>
      <c r="L44" s="19" t="str">
        <f aca="false">IF(A44="","",IFERROR(INDEX(Eleitoral!$B:$B,MATCH(A44,Eleitoral!$A:$A,0))&amp;"","não consta"))</f>
        <v/>
      </c>
      <c r="M44" s="28" t="str">
        <f aca="false">IF(A44="","",IF(OR(AND(K44&lt;&gt;"",LOWER(K44)&lt;&gt;"não consta"),AND(L44&lt;&gt;"",LOWER(L44)&lt;&gt;"não consta"),IFERROR(INDEX(Empresas!$G:$G,MATCH(A44,Empresas!$A:$A,0))&amp;"","")&lt;&gt;""),"SIM",""))</f>
        <v/>
      </c>
      <c r="N44" s="5"/>
      <c r="O44" s="32" t="str">
        <f aca="false">IF(D44="","",YEAR(D44))</f>
        <v/>
      </c>
      <c r="P44" s="5"/>
    </row>
    <row r="45" customFormat="false" ht="15" hidden="false" customHeight="false" outlineLevel="0" collapsed="false">
      <c r="A45" s="27"/>
      <c r="B45" s="5"/>
      <c r="C45" s="35"/>
      <c r="D45" s="18"/>
      <c r="E45" s="5"/>
      <c r="F45" s="14"/>
      <c r="G45" s="5"/>
      <c r="H45" s="27"/>
      <c r="I45" s="5"/>
      <c r="J45" s="19" t="str">
        <f aca="false">IF(A45="","",IFERROR(INDEX(Empresas!$D:$D,MATCH(A45,Empresas!$A:$A,0))&amp;"","não consta"))</f>
        <v/>
      </c>
      <c r="K45" s="19" t="str">
        <f aca="false">IF(A45="","",IFERROR(INDEX(Sancoes!$B:$B,MATCH(A45,Sancoes!$A:$A,0))&amp;"","não consta"))</f>
        <v/>
      </c>
      <c r="L45" s="19" t="str">
        <f aca="false">IF(A45="","",IFERROR(INDEX(Eleitoral!$B:$B,MATCH(A45,Eleitoral!$A:$A,0))&amp;"","não consta"))</f>
        <v/>
      </c>
      <c r="M45" s="28" t="str">
        <f aca="false">IF(A45="","",IF(OR(AND(K45&lt;&gt;"",LOWER(K45)&lt;&gt;"não consta"),AND(L45&lt;&gt;"",LOWER(L45)&lt;&gt;"não consta"),IFERROR(INDEX(Empresas!$G:$G,MATCH(A45,Empresas!$A:$A,0))&amp;"","")&lt;&gt;""),"SIM",""))</f>
        <v/>
      </c>
      <c r="N45" s="5"/>
      <c r="O45" s="32" t="str">
        <f aca="false">IF(D45="","",YEAR(D45))</f>
        <v/>
      </c>
      <c r="P45" s="5"/>
    </row>
    <row r="46" customFormat="false" ht="15" hidden="false" customHeight="false" outlineLevel="0" collapsed="false">
      <c r="A46" s="27"/>
      <c r="B46" s="5"/>
      <c r="C46" s="35"/>
      <c r="D46" s="18"/>
      <c r="E46" s="5"/>
      <c r="F46" s="14"/>
      <c r="G46" s="5"/>
      <c r="H46" s="27"/>
      <c r="I46" s="5"/>
      <c r="J46" s="19" t="str">
        <f aca="false">IF(A46="","",IFERROR(INDEX(Empresas!$D:$D,MATCH(A46,Empresas!$A:$A,0))&amp;"","não consta"))</f>
        <v/>
      </c>
      <c r="K46" s="19" t="str">
        <f aca="false">IF(A46="","",IFERROR(INDEX(Sancoes!$B:$B,MATCH(A46,Sancoes!$A:$A,0))&amp;"","não consta"))</f>
        <v/>
      </c>
      <c r="L46" s="19" t="str">
        <f aca="false">IF(A46="","",IFERROR(INDEX(Eleitoral!$B:$B,MATCH(A46,Eleitoral!$A:$A,0))&amp;"","não consta"))</f>
        <v/>
      </c>
      <c r="M46" s="28" t="str">
        <f aca="false">IF(A46="","",IF(OR(AND(K46&lt;&gt;"",LOWER(K46)&lt;&gt;"não consta"),AND(L46&lt;&gt;"",LOWER(L46)&lt;&gt;"não consta"),IFERROR(INDEX(Empresas!$G:$G,MATCH(A46,Empresas!$A:$A,0))&amp;"","")&lt;&gt;""),"SIM",""))</f>
        <v/>
      </c>
      <c r="N46" s="5"/>
      <c r="O46" s="32" t="str">
        <f aca="false">IF(D46="","",YEAR(D46))</f>
        <v/>
      </c>
      <c r="P46" s="5"/>
    </row>
    <row r="47" customFormat="false" ht="15" hidden="false" customHeight="false" outlineLevel="0" collapsed="false">
      <c r="A47" s="27"/>
      <c r="B47" s="5"/>
      <c r="C47" s="35"/>
      <c r="D47" s="18"/>
      <c r="E47" s="5"/>
      <c r="F47" s="14"/>
      <c r="G47" s="5"/>
      <c r="H47" s="27"/>
      <c r="I47" s="5"/>
      <c r="J47" s="19" t="str">
        <f aca="false">IF(A47="","",IFERROR(INDEX(Empresas!$D:$D,MATCH(A47,Empresas!$A:$A,0))&amp;"","não consta"))</f>
        <v/>
      </c>
      <c r="K47" s="19" t="str">
        <f aca="false">IF(A47="","",IFERROR(INDEX(Sancoes!$B:$B,MATCH(A47,Sancoes!$A:$A,0))&amp;"","não consta"))</f>
        <v/>
      </c>
      <c r="L47" s="19" t="str">
        <f aca="false">IF(A47="","",IFERROR(INDEX(Eleitoral!$B:$B,MATCH(A47,Eleitoral!$A:$A,0))&amp;"","não consta"))</f>
        <v/>
      </c>
      <c r="M47" s="28" t="str">
        <f aca="false">IF(A47="","",IF(OR(AND(K47&lt;&gt;"",LOWER(K47)&lt;&gt;"não consta"),AND(L47&lt;&gt;"",LOWER(L47)&lt;&gt;"não consta"),IFERROR(INDEX(Empresas!$G:$G,MATCH(A47,Empresas!$A:$A,0))&amp;"","")&lt;&gt;""),"SIM",""))</f>
        <v/>
      </c>
      <c r="N47" s="5"/>
      <c r="O47" s="32" t="str">
        <f aca="false">IF(D47="","",YEAR(D47))</f>
        <v/>
      </c>
      <c r="P47" s="5"/>
    </row>
    <row r="48" customFormat="false" ht="15" hidden="false" customHeight="false" outlineLevel="0" collapsed="false">
      <c r="A48" s="27"/>
      <c r="B48" s="5"/>
      <c r="C48" s="35"/>
      <c r="D48" s="18"/>
      <c r="E48" s="5"/>
      <c r="F48" s="14"/>
      <c r="G48" s="5"/>
      <c r="H48" s="27"/>
      <c r="I48" s="5"/>
      <c r="J48" s="19" t="str">
        <f aca="false">IF(A48="","",IFERROR(INDEX(Empresas!$D:$D,MATCH(A48,Empresas!$A:$A,0))&amp;"","não consta"))</f>
        <v/>
      </c>
      <c r="K48" s="19" t="str">
        <f aca="false">IF(A48="","",IFERROR(INDEX(Sancoes!$B:$B,MATCH(A48,Sancoes!$A:$A,0))&amp;"","não consta"))</f>
        <v/>
      </c>
      <c r="L48" s="19" t="str">
        <f aca="false">IF(A48="","",IFERROR(INDEX(Eleitoral!$B:$B,MATCH(A48,Eleitoral!$A:$A,0))&amp;"","não consta"))</f>
        <v/>
      </c>
      <c r="M48" s="28" t="str">
        <f aca="false">IF(A48="","",IF(OR(AND(K48&lt;&gt;"",LOWER(K48)&lt;&gt;"não consta"),AND(L48&lt;&gt;"",LOWER(L48)&lt;&gt;"não consta"),IFERROR(INDEX(Empresas!$G:$G,MATCH(A48,Empresas!$A:$A,0))&amp;"","")&lt;&gt;""),"SIM",""))</f>
        <v/>
      </c>
      <c r="N48" s="5"/>
      <c r="O48" s="32" t="str">
        <f aca="false">IF(D48="","",YEAR(D48))</f>
        <v/>
      </c>
      <c r="P48" s="5"/>
    </row>
    <row r="49" customFormat="false" ht="15" hidden="false" customHeight="false" outlineLevel="0" collapsed="false">
      <c r="A49" s="27"/>
      <c r="B49" s="5"/>
      <c r="C49" s="35"/>
      <c r="D49" s="18"/>
      <c r="E49" s="5"/>
      <c r="F49" s="14"/>
      <c r="G49" s="5"/>
      <c r="H49" s="27"/>
      <c r="I49" s="5"/>
      <c r="J49" s="19" t="str">
        <f aca="false">IF(A49="","",IFERROR(INDEX(Empresas!$D:$D,MATCH(A49,Empresas!$A:$A,0))&amp;"","não consta"))</f>
        <v/>
      </c>
      <c r="K49" s="19" t="str">
        <f aca="false">IF(A49="","",IFERROR(INDEX(Sancoes!$B:$B,MATCH(A49,Sancoes!$A:$A,0))&amp;"","não consta"))</f>
        <v/>
      </c>
      <c r="L49" s="19" t="str">
        <f aca="false">IF(A49="","",IFERROR(INDEX(Eleitoral!$B:$B,MATCH(A49,Eleitoral!$A:$A,0))&amp;"","não consta"))</f>
        <v/>
      </c>
      <c r="M49" s="28" t="str">
        <f aca="false">IF(A49="","",IF(OR(AND(K49&lt;&gt;"",LOWER(K49)&lt;&gt;"não consta"),AND(L49&lt;&gt;"",LOWER(L49)&lt;&gt;"não consta"),IFERROR(INDEX(Empresas!$G:$G,MATCH(A49,Empresas!$A:$A,0))&amp;"","")&lt;&gt;""),"SIM",""))</f>
        <v/>
      </c>
      <c r="N49" s="5"/>
      <c r="O49" s="32" t="str">
        <f aca="false">IF(D49="","",YEAR(D49))</f>
        <v/>
      </c>
      <c r="P49" s="5"/>
    </row>
    <row r="50" customFormat="false" ht="15" hidden="false" customHeight="false" outlineLevel="0" collapsed="false">
      <c r="A50" s="27"/>
      <c r="B50" s="5"/>
      <c r="C50" s="35"/>
      <c r="D50" s="18"/>
      <c r="E50" s="5"/>
      <c r="F50" s="14"/>
      <c r="G50" s="5"/>
      <c r="H50" s="27"/>
      <c r="I50" s="5"/>
      <c r="J50" s="19" t="str">
        <f aca="false">IF(A50="","",IFERROR(INDEX(Empresas!$D:$D,MATCH(A50,Empresas!$A:$A,0))&amp;"","não consta"))</f>
        <v/>
      </c>
      <c r="K50" s="19" t="str">
        <f aca="false">IF(A50="","",IFERROR(INDEX(Sancoes!$B:$B,MATCH(A50,Sancoes!$A:$A,0))&amp;"","não consta"))</f>
        <v/>
      </c>
      <c r="L50" s="19" t="str">
        <f aca="false">IF(A50="","",IFERROR(INDEX(Eleitoral!$B:$B,MATCH(A50,Eleitoral!$A:$A,0))&amp;"","não consta"))</f>
        <v/>
      </c>
      <c r="M50" s="28" t="str">
        <f aca="false">IF(A50="","",IF(OR(AND(K50&lt;&gt;"",LOWER(K50)&lt;&gt;"não consta"),AND(L50&lt;&gt;"",LOWER(L50)&lt;&gt;"não consta"),IFERROR(INDEX(Empresas!$G:$G,MATCH(A50,Empresas!$A:$A,0))&amp;"","")&lt;&gt;""),"SIM",""))</f>
        <v/>
      </c>
      <c r="N50" s="5"/>
      <c r="O50" s="32" t="str">
        <f aca="false">IF(D50="","",YEAR(D50))</f>
        <v/>
      </c>
      <c r="P50" s="5"/>
    </row>
    <row r="51" customFormat="false" ht="15" hidden="false" customHeight="false" outlineLevel="0" collapsed="false">
      <c r="A51" s="27"/>
      <c r="B51" s="5"/>
      <c r="C51" s="35"/>
      <c r="D51" s="18"/>
      <c r="E51" s="5"/>
      <c r="F51" s="14"/>
      <c r="G51" s="5"/>
      <c r="H51" s="27"/>
      <c r="I51" s="5"/>
      <c r="J51" s="19" t="str">
        <f aca="false">IF(A51="","",IFERROR(INDEX(Empresas!$D:$D,MATCH(A51,Empresas!$A:$A,0))&amp;"","não consta"))</f>
        <v/>
      </c>
      <c r="K51" s="19" t="str">
        <f aca="false">IF(A51="","",IFERROR(INDEX(Sancoes!$B:$B,MATCH(A51,Sancoes!$A:$A,0))&amp;"","não consta"))</f>
        <v/>
      </c>
      <c r="L51" s="19" t="str">
        <f aca="false">IF(A51="","",IFERROR(INDEX(Eleitoral!$B:$B,MATCH(A51,Eleitoral!$A:$A,0))&amp;"","não consta"))</f>
        <v/>
      </c>
      <c r="M51" s="28" t="str">
        <f aca="false">IF(A51="","",IF(OR(AND(K51&lt;&gt;"",LOWER(K51)&lt;&gt;"não consta"),AND(L51&lt;&gt;"",LOWER(L51)&lt;&gt;"não consta"),IFERROR(INDEX(Empresas!$G:$G,MATCH(A51,Empresas!$A:$A,0))&amp;"","")&lt;&gt;""),"SIM",""))</f>
        <v/>
      </c>
      <c r="N51" s="5"/>
      <c r="O51" s="32" t="str">
        <f aca="false">IF(D51="","",YEAR(D51))</f>
        <v/>
      </c>
      <c r="P51" s="5"/>
    </row>
    <row r="52" customFormat="false" ht="15" hidden="false" customHeight="false" outlineLevel="0" collapsed="false">
      <c r="A52" s="27"/>
      <c r="B52" s="5"/>
      <c r="C52" s="35"/>
      <c r="D52" s="18"/>
      <c r="E52" s="5"/>
      <c r="F52" s="14"/>
      <c r="G52" s="5"/>
      <c r="H52" s="27"/>
      <c r="I52" s="5"/>
      <c r="J52" s="19" t="str">
        <f aca="false">IF(A52="","",IFERROR(INDEX(Empresas!$D:$D,MATCH(A52,Empresas!$A:$A,0))&amp;"","não consta"))</f>
        <v/>
      </c>
      <c r="K52" s="19" t="str">
        <f aca="false">IF(A52="","",IFERROR(INDEX(Sancoes!$B:$B,MATCH(A52,Sancoes!$A:$A,0))&amp;"","não consta"))</f>
        <v/>
      </c>
      <c r="L52" s="19" t="str">
        <f aca="false">IF(A52="","",IFERROR(INDEX(Eleitoral!$B:$B,MATCH(A52,Eleitoral!$A:$A,0))&amp;"","não consta"))</f>
        <v/>
      </c>
      <c r="M52" s="28" t="str">
        <f aca="false">IF(A52="","",IF(OR(AND(K52&lt;&gt;"",LOWER(K52)&lt;&gt;"não consta"),AND(L52&lt;&gt;"",LOWER(L52)&lt;&gt;"não consta"),IFERROR(INDEX(Empresas!$G:$G,MATCH(A52,Empresas!$A:$A,0))&amp;"","")&lt;&gt;""),"SIM",""))</f>
        <v/>
      </c>
      <c r="N52" s="5"/>
      <c r="O52" s="32" t="str">
        <f aca="false">IF(D52="","",YEAR(D52))</f>
        <v/>
      </c>
      <c r="P52" s="5"/>
    </row>
    <row r="53" customFormat="false" ht="15" hidden="false" customHeight="false" outlineLevel="0" collapsed="false">
      <c r="A53" s="27"/>
      <c r="B53" s="5"/>
      <c r="C53" s="35"/>
      <c r="D53" s="18"/>
      <c r="E53" s="5"/>
      <c r="F53" s="14"/>
      <c r="G53" s="5"/>
      <c r="H53" s="27"/>
      <c r="I53" s="5"/>
      <c r="J53" s="19" t="str">
        <f aca="false">IF(A53="","",IFERROR(INDEX(Empresas!$D:$D,MATCH(A53,Empresas!$A:$A,0))&amp;"","não consta"))</f>
        <v/>
      </c>
      <c r="K53" s="19" t="str">
        <f aca="false">IF(A53="","",IFERROR(INDEX(Sancoes!$B:$B,MATCH(A53,Sancoes!$A:$A,0))&amp;"","não consta"))</f>
        <v/>
      </c>
      <c r="L53" s="19" t="str">
        <f aca="false">IF(A53="","",IFERROR(INDEX(Eleitoral!$B:$B,MATCH(A53,Eleitoral!$A:$A,0))&amp;"","não consta"))</f>
        <v/>
      </c>
      <c r="M53" s="28" t="str">
        <f aca="false">IF(A53="","",IF(OR(AND(K53&lt;&gt;"",LOWER(K53)&lt;&gt;"não consta"),AND(L53&lt;&gt;"",LOWER(L53)&lt;&gt;"não consta"),IFERROR(INDEX(Empresas!$G:$G,MATCH(A53,Empresas!$A:$A,0))&amp;"","")&lt;&gt;""),"SIM",""))</f>
        <v/>
      </c>
      <c r="N53" s="5"/>
      <c r="O53" s="32" t="str">
        <f aca="false">IF(D53="","",YEAR(D53))</f>
        <v/>
      </c>
      <c r="P53" s="5"/>
    </row>
    <row r="54" customFormat="false" ht="15" hidden="false" customHeight="false" outlineLevel="0" collapsed="false">
      <c r="A54" s="27"/>
      <c r="B54" s="5"/>
      <c r="C54" s="35"/>
      <c r="D54" s="18"/>
      <c r="E54" s="5"/>
      <c r="F54" s="14"/>
      <c r="G54" s="5"/>
      <c r="H54" s="27"/>
      <c r="I54" s="5"/>
      <c r="J54" s="19" t="str">
        <f aca="false">IF(A54="","",IFERROR(INDEX(Empresas!$D:$D,MATCH(A54,Empresas!$A:$A,0))&amp;"","não consta"))</f>
        <v/>
      </c>
      <c r="K54" s="19" t="str">
        <f aca="false">IF(A54="","",IFERROR(INDEX(Sancoes!$B:$B,MATCH(A54,Sancoes!$A:$A,0))&amp;"","não consta"))</f>
        <v/>
      </c>
      <c r="L54" s="19" t="str">
        <f aca="false">IF(A54="","",IFERROR(INDEX(Eleitoral!$B:$B,MATCH(A54,Eleitoral!$A:$A,0))&amp;"","não consta"))</f>
        <v/>
      </c>
      <c r="M54" s="28" t="str">
        <f aca="false">IF(A54="","",IF(OR(AND(K54&lt;&gt;"",LOWER(K54)&lt;&gt;"não consta"),AND(L54&lt;&gt;"",LOWER(L54)&lt;&gt;"não consta"),IFERROR(INDEX(Empresas!$G:$G,MATCH(A54,Empresas!$A:$A,0))&amp;"","")&lt;&gt;""),"SIM",""))</f>
        <v/>
      </c>
      <c r="N54" s="5"/>
      <c r="O54" s="32" t="str">
        <f aca="false">IF(D54="","",YEAR(D54))</f>
        <v/>
      </c>
      <c r="P54" s="5"/>
    </row>
    <row r="55" customFormat="false" ht="15" hidden="false" customHeight="false" outlineLevel="0" collapsed="false">
      <c r="A55" s="27"/>
      <c r="B55" s="5"/>
      <c r="C55" s="35"/>
      <c r="D55" s="18"/>
      <c r="E55" s="5"/>
      <c r="F55" s="14"/>
      <c r="G55" s="5"/>
      <c r="H55" s="27"/>
      <c r="I55" s="5"/>
      <c r="J55" s="19" t="str">
        <f aca="false">IF(A55="","",IFERROR(INDEX(Empresas!$D:$D,MATCH(A55,Empresas!$A:$A,0))&amp;"","não consta"))</f>
        <v/>
      </c>
      <c r="K55" s="19" t="str">
        <f aca="false">IF(A55="","",IFERROR(INDEX(Sancoes!$B:$B,MATCH(A55,Sancoes!$A:$A,0))&amp;"","não consta"))</f>
        <v/>
      </c>
      <c r="L55" s="19" t="str">
        <f aca="false">IF(A55="","",IFERROR(INDEX(Eleitoral!$B:$B,MATCH(A55,Eleitoral!$A:$A,0))&amp;"","não consta"))</f>
        <v/>
      </c>
      <c r="M55" s="28" t="str">
        <f aca="false">IF(A55="","",IF(OR(AND(K55&lt;&gt;"",LOWER(K55)&lt;&gt;"não consta"),AND(L55&lt;&gt;"",LOWER(L55)&lt;&gt;"não consta"),IFERROR(INDEX(Empresas!$G:$G,MATCH(A55,Empresas!$A:$A,0))&amp;"","")&lt;&gt;""),"SIM",""))</f>
        <v/>
      </c>
      <c r="N55" s="5"/>
      <c r="O55" s="32" t="str">
        <f aca="false">IF(D55="","",YEAR(D55))</f>
        <v/>
      </c>
      <c r="P55" s="5"/>
    </row>
    <row r="56" customFormat="false" ht="15" hidden="false" customHeight="false" outlineLevel="0" collapsed="false">
      <c r="A56" s="27"/>
      <c r="B56" s="5"/>
      <c r="C56" s="35"/>
      <c r="D56" s="18"/>
      <c r="E56" s="5"/>
      <c r="F56" s="14"/>
      <c r="G56" s="5"/>
      <c r="H56" s="27"/>
      <c r="I56" s="5"/>
      <c r="J56" s="19" t="str">
        <f aca="false">IF(A56="","",IFERROR(INDEX(Empresas!$D:$D,MATCH(A56,Empresas!$A:$A,0))&amp;"","não consta"))</f>
        <v/>
      </c>
      <c r="K56" s="19" t="str">
        <f aca="false">IF(A56="","",IFERROR(INDEX(Sancoes!$B:$B,MATCH(A56,Sancoes!$A:$A,0))&amp;"","não consta"))</f>
        <v/>
      </c>
      <c r="L56" s="19" t="str">
        <f aca="false">IF(A56="","",IFERROR(INDEX(Eleitoral!$B:$B,MATCH(A56,Eleitoral!$A:$A,0))&amp;"","não consta"))</f>
        <v/>
      </c>
      <c r="M56" s="28" t="str">
        <f aca="false">IF(A56="","",IF(OR(AND(K56&lt;&gt;"",LOWER(K56)&lt;&gt;"não consta"),AND(L56&lt;&gt;"",LOWER(L56)&lt;&gt;"não consta"),IFERROR(INDEX(Empresas!$G:$G,MATCH(A56,Empresas!$A:$A,0))&amp;"","")&lt;&gt;""),"SIM",""))</f>
        <v/>
      </c>
      <c r="N56" s="5"/>
      <c r="O56" s="32" t="str">
        <f aca="false">IF(D56="","",YEAR(D56))</f>
        <v/>
      </c>
      <c r="P56" s="5"/>
    </row>
    <row r="57" customFormat="false" ht="15" hidden="false" customHeight="false" outlineLevel="0" collapsed="false">
      <c r="A57" s="27"/>
      <c r="B57" s="5"/>
      <c r="C57" s="35"/>
      <c r="D57" s="18"/>
      <c r="E57" s="5"/>
      <c r="F57" s="14"/>
      <c r="G57" s="5"/>
      <c r="H57" s="27"/>
      <c r="I57" s="5"/>
      <c r="J57" s="19" t="str">
        <f aca="false">IF(A57="","",IFERROR(INDEX(Empresas!$D:$D,MATCH(A57,Empresas!$A:$A,0))&amp;"","não consta"))</f>
        <v/>
      </c>
      <c r="K57" s="19" t="str">
        <f aca="false">IF(A57="","",IFERROR(INDEX(Sancoes!$B:$B,MATCH(A57,Sancoes!$A:$A,0))&amp;"","não consta"))</f>
        <v/>
      </c>
      <c r="L57" s="19" t="str">
        <f aca="false">IF(A57="","",IFERROR(INDEX(Eleitoral!$B:$B,MATCH(A57,Eleitoral!$A:$A,0))&amp;"","não consta"))</f>
        <v/>
      </c>
      <c r="M57" s="28" t="str">
        <f aca="false">IF(A57="","",IF(OR(AND(K57&lt;&gt;"",LOWER(K57)&lt;&gt;"não consta"),AND(L57&lt;&gt;"",LOWER(L57)&lt;&gt;"não consta"),IFERROR(INDEX(Empresas!$G:$G,MATCH(A57,Empresas!$A:$A,0))&amp;"","")&lt;&gt;""),"SIM",""))</f>
        <v/>
      </c>
      <c r="N57" s="5"/>
      <c r="O57" s="32" t="str">
        <f aca="false">IF(D57="","",YEAR(D57))</f>
        <v/>
      </c>
      <c r="P57" s="5"/>
    </row>
    <row r="58" customFormat="false" ht="15" hidden="false" customHeight="false" outlineLevel="0" collapsed="false">
      <c r="A58" s="27"/>
      <c r="B58" s="5"/>
      <c r="C58" s="35"/>
      <c r="D58" s="18"/>
      <c r="E58" s="5"/>
      <c r="F58" s="14"/>
      <c r="G58" s="5"/>
      <c r="H58" s="27"/>
      <c r="I58" s="5"/>
      <c r="J58" s="19" t="str">
        <f aca="false">IF(A58="","",IFERROR(INDEX(Empresas!$D:$D,MATCH(A58,Empresas!$A:$A,0))&amp;"","não consta"))</f>
        <v/>
      </c>
      <c r="K58" s="19" t="str">
        <f aca="false">IF(A58="","",IFERROR(INDEX(Sancoes!$B:$B,MATCH(A58,Sancoes!$A:$A,0))&amp;"","não consta"))</f>
        <v/>
      </c>
      <c r="L58" s="19" t="str">
        <f aca="false">IF(A58="","",IFERROR(INDEX(Eleitoral!$B:$B,MATCH(A58,Eleitoral!$A:$A,0))&amp;"","não consta"))</f>
        <v/>
      </c>
      <c r="M58" s="28" t="str">
        <f aca="false">IF(A58="","",IF(OR(AND(K58&lt;&gt;"",LOWER(K58)&lt;&gt;"não consta"),AND(L58&lt;&gt;"",LOWER(L58)&lt;&gt;"não consta"),IFERROR(INDEX(Empresas!$G:$G,MATCH(A58,Empresas!$A:$A,0))&amp;"","")&lt;&gt;""),"SIM",""))</f>
        <v/>
      </c>
      <c r="N58" s="5"/>
      <c r="O58" s="32" t="str">
        <f aca="false">IF(D58="","",YEAR(D58))</f>
        <v/>
      </c>
      <c r="P58" s="5"/>
    </row>
    <row r="59" customFormat="false" ht="15" hidden="false" customHeight="false" outlineLevel="0" collapsed="false">
      <c r="A59" s="27"/>
      <c r="B59" s="5"/>
      <c r="C59" s="35"/>
      <c r="D59" s="18"/>
      <c r="E59" s="5"/>
      <c r="F59" s="14"/>
      <c r="G59" s="5"/>
      <c r="H59" s="27"/>
      <c r="I59" s="5"/>
      <c r="J59" s="19" t="str">
        <f aca="false">IF(A59="","",IFERROR(INDEX(Empresas!$D:$D,MATCH(A59,Empresas!$A:$A,0))&amp;"","não consta"))</f>
        <v/>
      </c>
      <c r="K59" s="19" t="str">
        <f aca="false">IF(A59="","",IFERROR(INDEX(Sancoes!$B:$B,MATCH(A59,Sancoes!$A:$A,0))&amp;"","não consta"))</f>
        <v/>
      </c>
      <c r="L59" s="19" t="str">
        <f aca="false">IF(A59="","",IFERROR(INDEX(Eleitoral!$B:$B,MATCH(A59,Eleitoral!$A:$A,0))&amp;"","não consta"))</f>
        <v/>
      </c>
      <c r="M59" s="28" t="str">
        <f aca="false">IF(A59="","",IF(OR(AND(K59&lt;&gt;"",LOWER(K59)&lt;&gt;"não consta"),AND(L59&lt;&gt;"",LOWER(L59)&lt;&gt;"não consta"),IFERROR(INDEX(Empresas!$G:$G,MATCH(A59,Empresas!$A:$A,0))&amp;"","")&lt;&gt;""),"SIM",""))</f>
        <v/>
      </c>
      <c r="N59" s="5"/>
      <c r="O59" s="32" t="str">
        <f aca="false">IF(D59="","",YEAR(D59))</f>
        <v/>
      </c>
      <c r="P59" s="5"/>
    </row>
    <row r="60" customFormat="false" ht="15" hidden="false" customHeight="false" outlineLevel="0" collapsed="false">
      <c r="A60" s="27"/>
      <c r="B60" s="5"/>
      <c r="C60" s="35"/>
      <c r="D60" s="18"/>
      <c r="E60" s="5"/>
      <c r="F60" s="14"/>
      <c r="G60" s="5"/>
      <c r="H60" s="27"/>
      <c r="I60" s="5"/>
      <c r="J60" s="19" t="str">
        <f aca="false">IF(A60="","",IFERROR(INDEX(Empresas!$D:$D,MATCH(A60,Empresas!$A:$A,0))&amp;"","não consta"))</f>
        <v/>
      </c>
      <c r="K60" s="19" t="str">
        <f aca="false">IF(A60="","",IFERROR(INDEX(Sancoes!$B:$B,MATCH(A60,Sancoes!$A:$A,0))&amp;"","não consta"))</f>
        <v/>
      </c>
      <c r="L60" s="19" t="str">
        <f aca="false">IF(A60="","",IFERROR(INDEX(Eleitoral!$B:$B,MATCH(A60,Eleitoral!$A:$A,0))&amp;"","não consta"))</f>
        <v/>
      </c>
      <c r="M60" s="28" t="str">
        <f aca="false">IF(A60="","",IF(OR(AND(K60&lt;&gt;"",LOWER(K60)&lt;&gt;"não consta"),AND(L60&lt;&gt;"",LOWER(L60)&lt;&gt;"não consta"),IFERROR(INDEX(Empresas!$G:$G,MATCH(A60,Empresas!$A:$A,0))&amp;"","")&lt;&gt;""),"SIM",""))</f>
        <v/>
      </c>
      <c r="N60" s="5"/>
      <c r="O60" s="32" t="str">
        <f aca="false">IF(D60="","",YEAR(D60))</f>
        <v/>
      </c>
      <c r="P60" s="5"/>
    </row>
    <row r="61" customFormat="false" ht="15" hidden="false" customHeight="false" outlineLevel="0" collapsed="false">
      <c r="A61" s="27"/>
      <c r="B61" s="5"/>
      <c r="C61" s="35"/>
      <c r="D61" s="18"/>
      <c r="E61" s="5"/>
      <c r="F61" s="14"/>
      <c r="G61" s="5"/>
      <c r="H61" s="27"/>
      <c r="I61" s="5"/>
      <c r="J61" s="19" t="str">
        <f aca="false">IF(A61="","",IFERROR(INDEX(Empresas!$D:$D,MATCH(A61,Empresas!$A:$A,0))&amp;"","não consta"))</f>
        <v/>
      </c>
      <c r="K61" s="19" t="str">
        <f aca="false">IF(A61="","",IFERROR(INDEX(Sancoes!$B:$B,MATCH(A61,Sancoes!$A:$A,0))&amp;"","não consta"))</f>
        <v/>
      </c>
      <c r="L61" s="19" t="str">
        <f aca="false">IF(A61="","",IFERROR(INDEX(Eleitoral!$B:$B,MATCH(A61,Eleitoral!$A:$A,0))&amp;"","não consta"))</f>
        <v/>
      </c>
      <c r="M61" s="28" t="str">
        <f aca="false">IF(A61="","",IF(OR(AND(K61&lt;&gt;"",LOWER(K61)&lt;&gt;"não consta"),AND(L61&lt;&gt;"",LOWER(L61)&lt;&gt;"não consta"),IFERROR(INDEX(Empresas!$G:$G,MATCH(A61,Empresas!$A:$A,0))&amp;"","")&lt;&gt;""),"SIM",""))</f>
        <v/>
      </c>
      <c r="N61" s="5"/>
      <c r="O61" s="32" t="str">
        <f aca="false">IF(D61="","",YEAR(D61))</f>
        <v/>
      </c>
      <c r="P61" s="5"/>
    </row>
    <row r="62" customFormat="false" ht="15" hidden="false" customHeight="false" outlineLevel="0" collapsed="false">
      <c r="A62" s="27"/>
      <c r="B62" s="5"/>
      <c r="C62" s="35"/>
      <c r="D62" s="18"/>
      <c r="E62" s="5"/>
      <c r="F62" s="14"/>
      <c r="G62" s="5"/>
      <c r="H62" s="27"/>
      <c r="I62" s="5"/>
      <c r="J62" s="19" t="str">
        <f aca="false">IF(A62="","",IFERROR(INDEX(Empresas!$D:$D,MATCH(A62,Empresas!$A:$A,0))&amp;"","não consta"))</f>
        <v/>
      </c>
      <c r="K62" s="19" t="str">
        <f aca="false">IF(A62="","",IFERROR(INDEX(Sancoes!$B:$B,MATCH(A62,Sancoes!$A:$A,0))&amp;"","não consta"))</f>
        <v/>
      </c>
      <c r="L62" s="19" t="str">
        <f aca="false">IF(A62="","",IFERROR(INDEX(Eleitoral!$B:$B,MATCH(A62,Eleitoral!$A:$A,0))&amp;"","não consta"))</f>
        <v/>
      </c>
      <c r="M62" s="28" t="str">
        <f aca="false">IF(A62="","",IF(OR(AND(K62&lt;&gt;"",LOWER(K62)&lt;&gt;"não consta"),AND(L62&lt;&gt;"",LOWER(L62)&lt;&gt;"não consta"),IFERROR(INDEX(Empresas!$G:$G,MATCH(A62,Empresas!$A:$A,0))&amp;"","")&lt;&gt;""),"SIM",""))</f>
        <v/>
      </c>
      <c r="N62" s="5"/>
      <c r="O62" s="32" t="str">
        <f aca="false">IF(D62="","",YEAR(D62))</f>
        <v/>
      </c>
      <c r="P62" s="5"/>
    </row>
    <row r="63" customFormat="false" ht="15" hidden="false" customHeight="false" outlineLevel="0" collapsed="false">
      <c r="A63" s="27"/>
      <c r="B63" s="5"/>
      <c r="C63" s="35"/>
      <c r="D63" s="18"/>
      <c r="E63" s="5"/>
      <c r="F63" s="14"/>
      <c r="G63" s="5"/>
      <c r="H63" s="27"/>
      <c r="I63" s="5"/>
      <c r="J63" s="19" t="str">
        <f aca="false">IF(A63="","",IFERROR(INDEX(Empresas!$D:$D,MATCH(A63,Empresas!$A:$A,0))&amp;"","não consta"))</f>
        <v/>
      </c>
      <c r="K63" s="19" t="str">
        <f aca="false">IF(A63="","",IFERROR(INDEX(Sancoes!$B:$B,MATCH(A63,Sancoes!$A:$A,0))&amp;"","não consta"))</f>
        <v/>
      </c>
      <c r="L63" s="19" t="str">
        <f aca="false">IF(A63="","",IFERROR(INDEX(Eleitoral!$B:$B,MATCH(A63,Eleitoral!$A:$A,0))&amp;"","não consta"))</f>
        <v/>
      </c>
      <c r="M63" s="28" t="str">
        <f aca="false">IF(A63="","",IF(OR(AND(K63&lt;&gt;"",LOWER(K63)&lt;&gt;"não consta"),AND(L63&lt;&gt;"",LOWER(L63)&lt;&gt;"não consta"),IFERROR(INDEX(Empresas!$G:$G,MATCH(A63,Empresas!$A:$A,0))&amp;"","")&lt;&gt;""),"SIM",""))</f>
        <v/>
      </c>
      <c r="N63" s="5"/>
      <c r="O63" s="32" t="str">
        <f aca="false">IF(D63="","",YEAR(D63))</f>
        <v/>
      </c>
      <c r="P63" s="5"/>
    </row>
    <row r="64" customFormat="false" ht="15" hidden="false" customHeight="false" outlineLevel="0" collapsed="false">
      <c r="A64" s="27"/>
      <c r="B64" s="5"/>
      <c r="C64" s="35"/>
      <c r="D64" s="18"/>
      <c r="E64" s="5"/>
      <c r="F64" s="14"/>
      <c r="G64" s="5"/>
      <c r="H64" s="27"/>
      <c r="I64" s="5"/>
      <c r="J64" s="19" t="str">
        <f aca="false">IF(A64="","",IFERROR(INDEX(Empresas!$D:$D,MATCH(A64,Empresas!$A:$A,0))&amp;"","não consta"))</f>
        <v/>
      </c>
      <c r="K64" s="19" t="str">
        <f aca="false">IF(A64="","",IFERROR(INDEX(Sancoes!$B:$B,MATCH(A64,Sancoes!$A:$A,0))&amp;"","não consta"))</f>
        <v/>
      </c>
      <c r="L64" s="19" t="str">
        <f aca="false">IF(A64="","",IFERROR(INDEX(Eleitoral!$B:$B,MATCH(A64,Eleitoral!$A:$A,0))&amp;"","não consta"))</f>
        <v/>
      </c>
      <c r="M64" s="28" t="str">
        <f aca="false">IF(A64="","",IF(OR(AND(K64&lt;&gt;"",LOWER(K64)&lt;&gt;"não consta"),AND(L64&lt;&gt;"",LOWER(L64)&lt;&gt;"não consta"),IFERROR(INDEX(Empresas!$G:$G,MATCH(A64,Empresas!$A:$A,0))&amp;"","")&lt;&gt;""),"SIM",""))</f>
        <v/>
      </c>
      <c r="N64" s="5"/>
      <c r="O64" s="32" t="str">
        <f aca="false">IF(D64="","",YEAR(D64))</f>
        <v/>
      </c>
      <c r="P64" s="5"/>
    </row>
    <row r="65" customFormat="false" ht="15" hidden="false" customHeight="false" outlineLevel="0" collapsed="false">
      <c r="A65" s="27"/>
      <c r="B65" s="5"/>
      <c r="C65" s="35"/>
      <c r="D65" s="18"/>
      <c r="E65" s="5"/>
      <c r="F65" s="14"/>
      <c r="G65" s="5"/>
      <c r="H65" s="27"/>
      <c r="I65" s="5"/>
      <c r="J65" s="19" t="str">
        <f aca="false">IF(A65="","",IFERROR(INDEX(Empresas!$D:$D,MATCH(A65,Empresas!$A:$A,0))&amp;"","não consta"))</f>
        <v/>
      </c>
      <c r="K65" s="19" t="str">
        <f aca="false">IF(A65="","",IFERROR(INDEX(Sancoes!$B:$B,MATCH(A65,Sancoes!$A:$A,0))&amp;"","não consta"))</f>
        <v/>
      </c>
      <c r="L65" s="19" t="str">
        <f aca="false">IF(A65="","",IFERROR(INDEX(Eleitoral!$B:$B,MATCH(A65,Eleitoral!$A:$A,0))&amp;"","não consta"))</f>
        <v/>
      </c>
      <c r="M65" s="28" t="str">
        <f aca="false">IF(A65="","",IF(OR(AND(K65&lt;&gt;"",LOWER(K65)&lt;&gt;"não consta"),AND(L65&lt;&gt;"",LOWER(L65)&lt;&gt;"não consta"),IFERROR(INDEX(Empresas!$G:$G,MATCH(A65,Empresas!$A:$A,0))&amp;"","")&lt;&gt;""),"SIM",""))</f>
        <v/>
      </c>
      <c r="N65" s="5"/>
      <c r="O65" s="32" t="str">
        <f aca="false">IF(D65="","",YEAR(D65))</f>
        <v/>
      </c>
      <c r="P65" s="5"/>
    </row>
    <row r="66" customFormat="false" ht="15" hidden="false" customHeight="false" outlineLevel="0" collapsed="false">
      <c r="A66" s="27"/>
      <c r="B66" s="5"/>
      <c r="C66" s="35"/>
      <c r="D66" s="18"/>
      <c r="E66" s="5"/>
      <c r="F66" s="14"/>
      <c r="G66" s="5"/>
      <c r="H66" s="27"/>
      <c r="I66" s="5"/>
      <c r="J66" s="19" t="str">
        <f aca="false">IF(A66="","",IFERROR(INDEX(Empresas!$D:$D,MATCH(A66,Empresas!$A:$A,0))&amp;"","não consta"))</f>
        <v/>
      </c>
      <c r="K66" s="19" t="str">
        <f aca="false">IF(A66="","",IFERROR(INDEX(Sancoes!$B:$B,MATCH(A66,Sancoes!$A:$A,0))&amp;"","não consta"))</f>
        <v/>
      </c>
      <c r="L66" s="19" t="str">
        <f aca="false">IF(A66="","",IFERROR(INDEX(Eleitoral!$B:$B,MATCH(A66,Eleitoral!$A:$A,0))&amp;"","não consta"))</f>
        <v/>
      </c>
      <c r="M66" s="28" t="str">
        <f aca="false">IF(A66="","",IF(OR(AND(K66&lt;&gt;"",LOWER(K66)&lt;&gt;"não consta"),AND(L66&lt;&gt;"",LOWER(L66)&lt;&gt;"não consta"),IFERROR(INDEX(Empresas!$G:$G,MATCH(A66,Empresas!$A:$A,0))&amp;"","")&lt;&gt;""),"SIM",""))</f>
        <v/>
      </c>
      <c r="N66" s="5"/>
      <c r="O66" s="32" t="str">
        <f aca="false">IF(D66="","",YEAR(D66))</f>
        <v/>
      </c>
      <c r="P66" s="5"/>
    </row>
    <row r="67" customFormat="false" ht="15" hidden="false" customHeight="false" outlineLevel="0" collapsed="false">
      <c r="A67" s="27"/>
      <c r="B67" s="5"/>
      <c r="C67" s="35"/>
      <c r="D67" s="18"/>
      <c r="E67" s="5"/>
      <c r="F67" s="14"/>
      <c r="G67" s="5"/>
      <c r="H67" s="27"/>
      <c r="I67" s="5"/>
      <c r="J67" s="19" t="str">
        <f aca="false">IF(A67="","",IFERROR(INDEX(Empresas!$D:$D,MATCH(A67,Empresas!$A:$A,0))&amp;"","não consta"))</f>
        <v/>
      </c>
      <c r="K67" s="19" t="str">
        <f aca="false">IF(A67="","",IFERROR(INDEX(Sancoes!$B:$B,MATCH(A67,Sancoes!$A:$A,0))&amp;"","não consta"))</f>
        <v/>
      </c>
      <c r="L67" s="19" t="str">
        <f aca="false">IF(A67="","",IFERROR(INDEX(Eleitoral!$B:$B,MATCH(A67,Eleitoral!$A:$A,0))&amp;"","não consta"))</f>
        <v/>
      </c>
      <c r="M67" s="28" t="str">
        <f aca="false">IF(A67="","",IF(OR(AND(K67&lt;&gt;"",LOWER(K67)&lt;&gt;"não consta"),AND(L67&lt;&gt;"",LOWER(L67)&lt;&gt;"não consta"),IFERROR(INDEX(Empresas!$G:$G,MATCH(A67,Empresas!$A:$A,0))&amp;"","")&lt;&gt;""),"SIM",""))</f>
        <v/>
      </c>
      <c r="N67" s="5"/>
      <c r="O67" s="32" t="str">
        <f aca="false">IF(D67="","",YEAR(D67))</f>
        <v/>
      </c>
      <c r="P67" s="5"/>
    </row>
    <row r="68" customFormat="false" ht="15" hidden="false" customHeight="false" outlineLevel="0" collapsed="false">
      <c r="A68" s="27"/>
      <c r="B68" s="5"/>
      <c r="C68" s="35"/>
      <c r="D68" s="18"/>
      <c r="E68" s="5"/>
      <c r="F68" s="14"/>
      <c r="G68" s="5"/>
      <c r="H68" s="27"/>
      <c r="I68" s="5"/>
      <c r="J68" s="19" t="str">
        <f aca="false">IF(A68="","",IFERROR(INDEX(Empresas!$D:$D,MATCH(A68,Empresas!$A:$A,0))&amp;"","não consta"))</f>
        <v/>
      </c>
      <c r="K68" s="19" t="str">
        <f aca="false">IF(A68="","",IFERROR(INDEX(Sancoes!$B:$B,MATCH(A68,Sancoes!$A:$A,0))&amp;"","não consta"))</f>
        <v/>
      </c>
      <c r="L68" s="19" t="str">
        <f aca="false">IF(A68="","",IFERROR(INDEX(Eleitoral!$B:$B,MATCH(A68,Eleitoral!$A:$A,0))&amp;"","não consta"))</f>
        <v/>
      </c>
      <c r="M68" s="28" t="str">
        <f aca="false">IF(A68="","",IF(OR(AND(K68&lt;&gt;"",LOWER(K68)&lt;&gt;"não consta"),AND(L68&lt;&gt;"",LOWER(L68)&lt;&gt;"não consta"),IFERROR(INDEX(Empresas!$G:$G,MATCH(A68,Empresas!$A:$A,0))&amp;"","")&lt;&gt;""),"SIM",""))</f>
        <v/>
      </c>
      <c r="N68" s="5"/>
      <c r="O68" s="32" t="str">
        <f aca="false">IF(D68="","",YEAR(D68))</f>
        <v/>
      </c>
      <c r="P68" s="5"/>
    </row>
    <row r="69" customFormat="false" ht="15" hidden="false" customHeight="false" outlineLevel="0" collapsed="false">
      <c r="A69" s="27"/>
      <c r="B69" s="5"/>
      <c r="C69" s="35"/>
      <c r="D69" s="18"/>
      <c r="E69" s="5"/>
      <c r="F69" s="14"/>
      <c r="G69" s="5"/>
      <c r="H69" s="27"/>
      <c r="I69" s="5"/>
      <c r="J69" s="19" t="str">
        <f aca="false">IF(A69="","",IFERROR(INDEX(Empresas!$D:$D,MATCH(A69,Empresas!$A:$A,0))&amp;"","não consta"))</f>
        <v/>
      </c>
      <c r="K69" s="19" t="str">
        <f aca="false">IF(A69="","",IFERROR(INDEX(Sancoes!$B:$B,MATCH(A69,Sancoes!$A:$A,0))&amp;"","não consta"))</f>
        <v/>
      </c>
      <c r="L69" s="19" t="str">
        <f aca="false">IF(A69="","",IFERROR(INDEX(Eleitoral!$B:$B,MATCH(A69,Eleitoral!$A:$A,0))&amp;"","não consta"))</f>
        <v/>
      </c>
      <c r="M69" s="28" t="str">
        <f aca="false">IF(A69="","",IF(OR(AND(K69&lt;&gt;"",LOWER(K69)&lt;&gt;"não consta"),AND(L69&lt;&gt;"",LOWER(L69)&lt;&gt;"não consta"),IFERROR(INDEX(Empresas!$G:$G,MATCH(A69,Empresas!$A:$A,0))&amp;"","")&lt;&gt;""),"SIM",""))</f>
        <v/>
      </c>
      <c r="N69" s="5"/>
      <c r="O69" s="32" t="str">
        <f aca="false">IF(D69="","",YEAR(D69))</f>
        <v/>
      </c>
      <c r="P69" s="5"/>
    </row>
    <row r="70" customFormat="false" ht="15" hidden="false" customHeight="false" outlineLevel="0" collapsed="false">
      <c r="A70" s="27"/>
      <c r="B70" s="5"/>
      <c r="C70" s="35"/>
      <c r="D70" s="18"/>
      <c r="E70" s="5"/>
      <c r="F70" s="14"/>
      <c r="G70" s="5"/>
      <c r="H70" s="27"/>
      <c r="I70" s="5"/>
      <c r="J70" s="19" t="str">
        <f aca="false">IF(A70="","",IFERROR(INDEX(Empresas!$D:$D,MATCH(A70,Empresas!$A:$A,0))&amp;"","não consta"))</f>
        <v/>
      </c>
      <c r="K70" s="19" t="str">
        <f aca="false">IF(A70="","",IFERROR(INDEX(Sancoes!$B:$B,MATCH(A70,Sancoes!$A:$A,0))&amp;"","não consta"))</f>
        <v/>
      </c>
      <c r="L70" s="19" t="str">
        <f aca="false">IF(A70="","",IFERROR(INDEX(Eleitoral!$B:$B,MATCH(A70,Eleitoral!$A:$A,0))&amp;"","não consta"))</f>
        <v/>
      </c>
      <c r="M70" s="28" t="str">
        <f aca="false">IF(A70="","",IF(OR(AND(K70&lt;&gt;"",LOWER(K70)&lt;&gt;"não consta"),AND(L70&lt;&gt;"",LOWER(L70)&lt;&gt;"não consta"),IFERROR(INDEX(Empresas!$G:$G,MATCH(A70,Empresas!$A:$A,0))&amp;"","")&lt;&gt;""),"SIM",""))</f>
        <v/>
      </c>
      <c r="N70" s="5"/>
      <c r="O70" s="32" t="str">
        <f aca="false">IF(D70="","",YEAR(D70))</f>
        <v/>
      </c>
      <c r="P70" s="5"/>
    </row>
    <row r="71" customFormat="false" ht="15" hidden="false" customHeight="false" outlineLevel="0" collapsed="false">
      <c r="A71" s="27"/>
      <c r="B71" s="5"/>
      <c r="C71" s="35"/>
      <c r="D71" s="18"/>
      <c r="E71" s="5"/>
      <c r="F71" s="14"/>
      <c r="G71" s="5"/>
      <c r="H71" s="27"/>
      <c r="I71" s="5"/>
      <c r="J71" s="19" t="str">
        <f aca="false">IF(A71="","",IFERROR(INDEX(Empresas!$D:$D,MATCH(A71,Empresas!$A:$A,0))&amp;"","não consta"))</f>
        <v/>
      </c>
      <c r="K71" s="19" t="str">
        <f aca="false">IF(A71="","",IFERROR(INDEX(Sancoes!$B:$B,MATCH(A71,Sancoes!$A:$A,0))&amp;"","não consta"))</f>
        <v/>
      </c>
      <c r="L71" s="19" t="str">
        <f aca="false">IF(A71="","",IFERROR(INDEX(Eleitoral!$B:$B,MATCH(A71,Eleitoral!$A:$A,0))&amp;"","não consta"))</f>
        <v/>
      </c>
      <c r="M71" s="28" t="str">
        <f aca="false">IF(A71="","",IF(OR(AND(K71&lt;&gt;"",LOWER(K71)&lt;&gt;"não consta"),AND(L71&lt;&gt;"",LOWER(L71)&lt;&gt;"não consta"),IFERROR(INDEX(Empresas!$G:$G,MATCH(A71,Empresas!$A:$A,0))&amp;"","")&lt;&gt;""),"SIM",""))</f>
        <v/>
      </c>
      <c r="N71" s="5"/>
      <c r="O71" s="32" t="str">
        <f aca="false">IF(D71="","",YEAR(D71))</f>
        <v/>
      </c>
      <c r="P71" s="5"/>
    </row>
    <row r="72" customFormat="false" ht="15" hidden="false" customHeight="false" outlineLevel="0" collapsed="false">
      <c r="A72" s="27"/>
      <c r="B72" s="5"/>
      <c r="C72" s="35"/>
      <c r="D72" s="18"/>
      <c r="E72" s="5"/>
      <c r="F72" s="14"/>
      <c r="G72" s="5"/>
      <c r="H72" s="27"/>
      <c r="I72" s="5"/>
      <c r="J72" s="19" t="str">
        <f aca="false">IF(A72="","",IFERROR(INDEX(Empresas!$D:$D,MATCH(A72,Empresas!$A:$A,0))&amp;"","não consta"))</f>
        <v/>
      </c>
      <c r="K72" s="19" t="str">
        <f aca="false">IF(A72="","",IFERROR(INDEX(Sancoes!$B:$B,MATCH(A72,Sancoes!$A:$A,0))&amp;"","não consta"))</f>
        <v/>
      </c>
      <c r="L72" s="19" t="str">
        <f aca="false">IF(A72="","",IFERROR(INDEX(Eleitoral!$B:$B,MATCH(A72,Eleitoral!$A:$A,0))&amp;"","não consta"))</f>
        <v/>
      </c>
      <c r="M72" s="28" t="str">
        <f aca="false">IF(A72="","",IF(OR(AND(K72&lt;&gt;"",LOWER(K72)&lt;&gt;"não consta"),AND(L72&lt;&gt;"",LOWER(L72)&lt;&gt;"não consta"),IFERROR(INDEX(Empresas!$G:$G,MATCH(A72,Empresas!$A:$A,0))&amp;"","")&lt;&gt;""),"SIM",""))</f>
        <v/>
      </c>
      <c r="N72" s="5"/>
      <c r="O72" s="32" t="str">
        <f aca="false">IF(D72="","",YEAR(D72))</f>
        <v/>
      </c>
      <c r="P72" s="5"/>
    </row>
    <row r="73" customFormat="false" ht="15" hidden="false" customHeight="false" outlineLevel="0" collapsed="false">
      <c r="A73" s="27"/>
      <c r="B73" s="5"/>
      <c r="C73" s="35"/>
      <c r="D73" s="18"/>
      <c r="E73" s="5"/>
      <c r="F73" s="14"/>
      <c r="G73" s="5"/>
      <c r="H73" s="27"/>
      <c r="I73" s="5"/>
      <c r="J73" s="19" t="str">
        <f aca="false">IF(A73="","",IFERROR(INDEX(Empresas!$D:$D,MATCH(A73,Empresas!$A:$A,0))&amp;"","não consta"))</f>
        <v/>
      </c>
      <c r="K73" s="19" t="str">
        <f aca="false">IF(A73="","",IFERROR(INDEX(Sancoes!$B:$B,MATCH(A73,Sancoes!$A:$A,0))&amp;"","não consta"))</f>
        <v/>
      </c>
      <c r="L73" s="19" t="str">
        <f aca="false">IF(A73="","",IFERROR(INDEX(Eleitoral!$B:$B,MATCH(A73,Eleitoral!$A:$A,0))&amp;"","não consta"))</f>
        <v/>
      </c>
      <c r="M73" s="28" t="str">
        <f aca="false">IF(A73="","",IF(OR(AND(K73&lt;&gt;"",LOWER(K73)&lt;&gt;"não consta"),AND(L73&lt;&gt;"",LOWER(L73)&lt;&gt;"não consta"),IFERROR(INDEX(Empresas!$G:$G,MATCH(A73,Empresas!$A:$A,0))&amp;"","")&lt;&gt;""),"SIM",""))</f>
        <v/>
      </c>
      <c r="N73" s="5"/>
      <c r="O73" s="32" t="str">
        <f aca="false">IF(D73="","",YEAR(D73))</f>
        <v/>
      </c>
      <c r="P73" s="5"/>
    </row>
    <row r="74" customFormat="false" ht="15" hidden="false" customHeight="false" outlineLevel="0" collapsed="false">
      <c r="A74" s="27"/>
      <c r="B74" s="5"/>
      <c r="C74" s="35"/>
      <c r="D74" s="18"/>
      <c r="E74" s="5"/>
      <c r="F74" s="14"/>
      <c r="G74" s="5"/>
      <c r="H74" s="27"/>
      <c r="I74" s="5"/>
      <c r="J74" s="19" t="str">
        <f aca="false">IF(A74="","",IFERROR(INDEX(Empresas!$D:$D,MATCH(A74,Empresas!$A:$A,0))&amp;"","não consta"))</f>
        <v/>
      </c>
      <c r="K74" s="19" t="str">
        <f aca="false">IF(A74="","",IFERROR(INDEX(Sancoes!$B:$B,MATCH(A74,Sancoes!$A:$A,0))&amp;"","não consta"))</f>
        <v/>
      </c>
      <c r="L74" s="19" t="str">
        <f aca="false">IF(A74="","",IFERROR(INDEX(Eleitoral!$B:$B,MATCH(A74,Eleitoral!$A:$A,0))&amp;"","não consta"))</f>
        <v/>
      </c>
      <c r="M74" s="28" t="str">
        <f aca="false">IF(A74="","",IF(OR(AND(K74&lt;&gt;"",LOWER(K74)&lt;&gt;"não consta"),AND(L74&lt;&gt;"",LOWER(L74)&lt;&gt;"não consta"),IFERROR(INDEX(Empresas!$G:$G,MATCH(A74,Empresas!$A:$A,0))&amp;"","")&lt;&gt;""),"SIM",""))</f>
        <v/>
      </c>
      <c r="N74" s="5"/>
      <c r="O74" s="32" t="str">
        <f aca="false">IF(D74="","",YEAR(D74))</f>
        <v/>
      </c>
      <c r="P74" s="5"/>
    </row>
    <row r="75" customFormat="false" ht="15" hidden="false" customHeight="false" outlineLevel="0" collapsed="false">
      <c r="A75" s="27"/>
      <c r="B75" s="5"/>
      <c r="C75" s="35"/>
      <c r="D75" s="18"/>
      <c r="E75" s="5"/>
      <c r="F75" s="14"/>
      <c r="G75" s="5"/>
      <c r="H75" s="27"/>
      <c r="I75" s="5"/>
      <c r="J75" s="19" t="str">
        <f aca="false">IF(A75="","",IFERROR(INDEX(Empresas!$D:$D,MATCH(A75,Empresas!$A:$A,0))&amp;"","não consta"))</f>
        <v/>
      </c>
      <c r="K75" s="19" t="str">
        <f aca="false">IF(A75="","",IFERROR(INDEX(Sancoes!$B:$B,MATCH(A75,Sancoes!$A:$A,0))&amp;"","não consta"))</f>
        <v/>
      </c>
      <c r="L75" s="19" t="str">
        <f aca="false">IF(A75="","",IFERROR(INDEX(Eleitoral!$B:$B,MATCH(A75,Eleitoral!$A:$A,0))&amp;"","não consta"))</f>
        <v/>
      </c>
      <c r="M75" s="28" t="str">
        <f aca="false">IF(A75="","",IF(OR(AND(K75&lt;&gt;"",LOWER(K75)&lt;&gt;"não consta"),AND(L75&lt;&gt;"",LOWER(L75)&lt;&gt;"não consta"),IFERROR(INDEX(Empresas!$G:$G,MATCH(A75,Empresas!$A:$A,0))&amp;"","")&lt;&gt;""),"SIM",""))</f>
        <v/>
      </c>
      <c r="N75" s="5"/>
      <c r="O75" s="32" t="str">
        <f aca="false">IF(D75="","",YEAR(D75))</f>
        <v/>
      </c>
      <c r="P75" s="5"/>
    </row>
    <row r="76" customFormat="false" ht="15" hidden="false" customHeight="false" outlineLevel="0" collapsed="false">
      <c r="A76" s="27"/>
      <c r="B76" s="5"/>
      <c r="C76" s="35"/>
      <c r="D76" s="18"/>
      <c r="E76" s="5"/>
      <c r="F76" s="14"/>
      <c r="G76" s="5"/>
      <c r="H76" s="27"/>
      <c r="I76" s="5"/>
      <c r="J76" s="19" t="str">
        <f aca="false">IF(A76="","",IFERROR(INDEX(Empresas!$D:$D,MATCH(A76,Empresas!$A:$A,0))&amp;"","não consta"))</f>
        <v/>
      </c>
      <c r="K76" s="19" t="str">
        <f aca="false">IF(A76="","",IFERROR(INDEX(Sancoes!$B:$B,MATCH(A76,Sancoes!$A:$A,0))&amp;"","não consta"))</f>
        <v/>
      </c>
      <c r="L76" s="19" t="str">
        <f aca="false">IF(A76="","",IFERROR(INDEX(Eleitoral!$B:$B,MATCH(A76,Eleitoral!$A:$A,0))&amp;"","não consta"))</f>
        <v/>
      </c>
      <c r="M76" s="28" t="str">
        <f aca="false">IF(A76="","",IF(OR(AND(K76&lt;&gt;"",LOWER(K76)&lt;&gt;"não consta"),AND(L76&lt;&gt;"",LOWER(L76)&lt;&gt;"não consta"),IFERROR(INDEX(Empresas!$G:$G,MATCH(A76,Empresas!$A:$A,0))&amp;"","")&lt;&gt;""),"SIM",""))</f>
        <v/>
      </c>
      <c r="N76" s="5"/>
      <c r="O76" s="32" t="str">
        <f aca="false">IF(D76="","",YEAR(D76))</f>
        <v/>
      </c>
      <c r="P76" s="5"/>
    </row>
    <row r="77" customFormat="false" ht="15" hidden="false" customHeight="false" outlineLevel="0" collapsed="false">
      <c r="A77" s="27"/>
      <c r="B77" s="5"/>
      <c r="C77" s="35"/>
      <c r="D77" s="18"/>
      <c r="E77" s="5"/>
      <c r="F77" s="14"/>
      <c r="G77" s="5"/>
      <c r="H77" s="27"/>
      <c r="I77" s="5"/>
      <c r="J77" s="19" t="str">
        <f aca="false">IF(A77="","",IFERROR(INDEX(Empresas!$D:$D,MATCH(A77,Empresas!$A:$A,0))&amp;"","não consta"))</f>
        <v/>
      </c>
      <c r="K77" s="19" t="str">
        <f aca="false">IF(A77="","",IFERROR(INDEX(Sancoes!$B:$B,MATCH(A77,Sancoes!$A:$A,0))&amp;"","não consta"))</f>
        <v/>
      </c>
      <c r="L77" s="19" t="str">
        <f aca="false">IF(A77="","",IFERROR(INDEX(Eleitoral!$B:$B,MATCH(A77,Eleitoral!$A:$A,0))&amp;"","não consta"))</f>
        <v/>
      </c>
      <c r="M77" s="28" t="str">
        <f aca="false">IF(A77="","",IF(OR(AND(K77&lt;&gt;"",LOWER(K77)&lt;&gt;"não consta"),AND(L77&lt;&gt;"",LOWER(L77)&lt;&gt;"não consta"),IFERROR(INDEX(Empresas!$G:$G,MATCH(A77,Empresas!$A:$A,0))&amp;"","")&lt;&gt;""),"SIM",""))</f>
        <v/>
      </c>
      <c r="N77" s="5"/>
      <c r="O77" s="32" t="str">
        <f aca="false">IF(D77="","",YEAR(D77))</f>
        <v/>
      </c>
      <c r="P77" s="5"/>
    </row>
    <row r="78" customFormat="false" ht="15" hidden="false" customHeight="false" outlineLevel="0" collapsed="false">
      <c r="A78" s="27"/>
      <c r="B78" s="5"/>
      <c r="C78" s="35"/>
      <c r="D78" s="18"/>
      <c r="E78" s="5"/>
      <c r="F78" s="14"/>
      <c r="G78" s="5"/>
      <c r="H78" s="27"/>
      <c r="I78" s="5"/>
      <c r="J78" s="19" t="str">
        <f aca="false">IF(A78="","",IFERROR(INDEX(Empresas!$D:$D,MATCH(A78,Empresas!$A:$A,0))&amp;"","não consta"))</f>
        <v/>
      </c>
      <c r="K78" s="19" t="str">
        <f aca="false">IF(A78="","",IFERROR(INDEX(Sancoes!$B:$B,MATCH(A78,Sancoes!$A:$A,0))&amp;"","não consta"))</f>
        <v/>
      </c>
      <c r="L78" s="19" t="str">
        <f aca="false">IF(A78="","",IFERROR(INDEX(Eleitoral!$B:$B,MATCH(A78,Eleitoral!$A:$A,0))&amp;"","não consta"))</f>
        <v/>
      </c>
      <c r="M78" s="28" t="str">
        <f aca="false">IF(A78="","",IF(OR(AND(K78&lt;&gt;"",LOWER(K78)&lt;&gt;"não consta"),AND(L78&lt;&gt;"",LOWER(L78)&lt;&gt;"não consta"),IFERROR(INDEX(Empresas!$G:$G,MATCH(A78,Empresas!$A:$A,0))&amp;"","")&lt;&gt;""),"SIM",""))</f>
        <v/>
      </c>
      <c r="N78" s="5"/>
      <c r="O78" s="32" t="str">
        <f aca="false">IF(D78="","",YEAR(D78))</f>
        <v/>
      </c>
      <c r="P78" s="5"/>
    </row>
    <row r="79" customFormat="false" ht="15" hidden="false" customHeight="false" outlineLevel="0" collapsed="false">
      <c r="A79" s="27"/>
      <c r="B79" s="5"/>
      <c r="C79" s="35"/>
      <c r="D79" s="18"/>
      <c r="E79" s="5"/>
      <c r="F79" s="14"/>
      <c r="G79" s="5"/>
      <c r="H79" s="27"/>
      <c r="I79" s="5"/>
      <c r="J79" s="19" t="str">
        <f aca="false">IF(A79="","",IFERROR(INDEX(Empresas!$D:$D,MATCH(A79,Empresas!$A:$A,0))&amp;"","não consta"))</f>
        <v/>
      </c>
      <c r="K79" s="19" t="str">
        <f aca="false">IF(A79="","",IFERROR(INDEX(Sancoes!$B:$B,MATCH(A79,Sancoes!$A:$A,0))&amp;"","não consta"))</f>
        <v/>
      </c>
      <c r="L79" s="19" t="str">
        <f aca="false">IF(A79="","",IFERROR(INDEX(Eleitoral!$B:$B,MATCH(A79,Eleitoral!$A:$A,0))&amp;"","não consta"))</f>
        <v/>
      </c>
      <c r="M79" s="28" t="str">
        <f aca="false">IF(A79="","",IF(OR(AND(K79&lt;&gt;"",LOWER(K79)&lt;&gt;"não consta"),AND(L79&lt;&gt;"",LOWER(L79)&lt;&gt;"não consta"),IFERROR(INDEX(Empresas!$G:$G,MATCH(A79,Empresas!$A:$A,0))&amp;"","")&lt;&gt;""),"SIM",""))</f>
        <v/>
      </c>
      <c r="N79" s="5"/>
      <c r="O79" s="32" t="str">
        <f aca="false">IF(D79="","",YEAR(D79))</f>
        <v/>
      </c>
      <c r="P79" s="5"/>
    </row>
    <row r="80" customFormat="false" ht="15" hidden="false" customHeight="false" outlineLevel="0" collapsed="false">
      <c r="A80" s="27"/>
      <c r="B80" s="5"/>
      <c r="C80" s="35"/>
      <c r="D80" s="18"/>
      <c r="E80" s="5"/>
      <c r="F80" s="14"/>
      <c r="G80" s="5"/>
      <c r="H80" s="27"/>
      <c r="I80" s="5"/>
      <c r="J80" s="19" t="str">
        <f aca="false">IF(A80="","",IFERROR(INDEX(Empresas!$D:$D,MATCH(A80,Empresas!$A:$A,0))&amp;"","não consta"))</f>
        <v/>
      </c>
      <c r="K80" s="19" t="str">
        <f aca="false">IF(A80="","",IFERROR(INDEX(Sancoes!$B:$B,MATCH(A80,Sancoes!$A:$A,0))&amp;"","não consta"))</f>
        <v/>
      </c>
      <c r="L80" s="19" t="str">
        <f aca="false">IF(A80="","",IFERROR(INDEX(Eleitoral!$B:$B,MATCH(A80,Eleitoral!$A:$A,0))&amp;"","não consta"))</f>
        <v/>
      </c>
      <c r="M80" s="28" t="str">
        <f aca="false">IF(A80="","",IF(OR(AND(K80&lt;&gt;"",LOWER(K80)&lt;&gt;"não consta"),AND(L80&lt;&gt;"",LOWER(L80)&lt;&gt;"não consta"),IFERROR(INDEX(Empresas!$G:$G,MATCH(A80,Empresas!$A:$A,0))&amp;"","")&lt;&gt;""),"SIM",""))</f>
        <v/>
      </c>
      <c r="N80" s="5"/>
      <c r="O80" s="32" t="str">
        <f aca="false">IF(D80="","",YEAR(D80))</f>
        <v/>
      </c>
      <c r="P80" s="5"/>
    </row>
    <row r="81" customFormat="false" ht="15" hidden="false" customHeight="false" outlineLevel="0" collapsed="false">
      <c r="A81" s="27"/>
      <c r="B81" s="5"/>
      <c r="C81" s="35"/>
      <c r="D81" s="18"/>
      <c r="E81" s="5"/>
      <c r="F81" s="14"/>
      <c r="G81" s="5"/>
      <c r="H81" s="27"/>
      <c r="I81" s="5"/>
      <c r="J81" s="19" t="str">
        <f aca="false">IF(A81="","",IFERROR(INDEX(Empresas!$D:$D,MATCH(A81,Empresas!$A:$A,0))&amp;"","não consta"))</f>
        <v/>
      </c>
      <c r="K81" s="19" t="str">
        <f aca="false">IF(A81="","",IFERROR(INDEX(Sancoes!$B:$B,MATCH(A81,Sancoes!$A:$A,0))&amp;"","não consta"))</f>
        <v/>
      </c>
      <c r="L81" s="19" t="str">
        <f aca="false">IF(A81="","",IFERROR(INDEX(Eleitoral!$B:$B,MATCH(A81,Eleitoral!$A:$A,0))&amp;"","não consta"))</f>
        <v/>
      </c>
      <c r="M81" s="28" t="str">
        <f aca="false">IF(A81="","",IF(OR(AND(K81&lt;&gt;"",LOWER(K81)&lt;&gt;"não consta"),AND(L81&lt;&gt;"",LOWER(L81)&lt;&gt;"não consta"),IFERROR(INDEX(Empresas!$G:$G,MATCH(A81,Empresas!$A:$A,0))&amp;"","")&lt;&gt;""),"SIM",""))</f>
        <v/>
      </c>
      <c r="N81" s="5"/>
      <c r="O81" s="32" t="str">
        <f aca="false">IF(D81="","",YEAR(D81))</f>
        <v/>
      </c>
      <c r="P81" s="5"/>
    </row>
    <row r="82" customFormat="false" ht="15" hidden="false" customHeight="false" outlineLevel="0" collapsed="false">
      <c r="A82" s="27"/>
      <c r="B82" s="5"/>
      <c r="C82" s="35"/>
      <c r="D82" s="18"/>
      <c r="E82" s="5"/>
      <c r="F82" s="14"/>
      <c r="G82" s="5"/>
      <c r="H82" s="27"/>
      <c r="I82" s="5"/>
      <c r="J82" s="19" t="str">
        <f aca="false">IF(A82="","",IFERROR(INDEX(Empresas!$D:$D,MATCH(A82,Empresas!$A:$A,0))&amp;"","não consta"))</f>
        <v/>
      </c>
      <c r="K82" s="19" t="str">
        <f aca="false">IF(A82="","",IFERROR(INDEX(Sancoes!$B:$B,MATCH(A82,Sancoes!$A:$A,0))&amp;"","não consta"))</f>
        <v/>
      </c>
      <c r="L82" s="19" t="str">
        <f aca="false">IF(A82="","",IFERROR(INDEX(Eleitoral!$B:$B,MATCH(A82,Eleitoral!$A:$A,0))&amp;"","não consta"))</f>
        <v/>
      </c>
      <c r="M82" s="28" t="str">
        <f aca="false">IF(A82="","",IF(OR(AND(K82&lt;&gt;"",LOWER(K82)&lt;&gt;"não consta"),AND(L82&lt;&gt;"",LOWER(L82)&lt;&gt;"não consta"),IFERROR(INDEX(Empresas!$G:$G,MATCH(A82,Empresas!$A:$A,0))&amp;"","")&lt;&gt;""),"SIM",""))</f>
        <v/>
      </c>
      <c r="N82" s="5"/>
      <c r="O82" s="32" t="str">
        <f aca="false">IF(D82="","",YEAR(D82))</f>
        <v/>
      </c>
      <c r="P82" s="5"/>
    </row>
    <row r="83" customFormat="false" ht="15" hidden="false" customHeight="false" outlineLevel="0" collapsed="false">
      <c r="A83" s="27"/>
      <c r="B83" s="5"/>
      <c r="C83" s="35"/>
      <c r="D83" s="18"/>
      <c r="E83" s="5"/>
      <c r="F83" s="14"/>
      <c r="G83" s="5"/>
      <c r="H83" s="27"/>
      <c r="I83" s="5"/>
      <c r="J83" s="19" t="str">
        <f aca="false">IF(A83="","",IFERROR(INDEX(Empresas!$D:$D,MATCH(A83,Empresas!$A:$A,0))&amp;"","não consta"))</f>
        <v/>
      </c>
      <c r="K83" s="19" t="str">
        <f aca="false">IF(A83="","",IFERROR(INDEX(Sancoes!$B:$B,MATCH(A83,Sancoes!$A:$A,0))&amp;"","não consta"))</f>
        <v/>
      </c>
      <c r="L83" s="19" t="str">
        <f aca="false">IF(A83="","",IFERROR(INDEX(Eleitoral!$B:$B,MATCH(A83,Eleitoral!$A:$A,0))&amp;"","não consta"))</f>
        <v/>
      </c>
      <c r="M83" s="28" t="str">
        <f aca="false">IF(A83="","",IF(OR(AND(K83&lt;&gt;"",LOWER(K83)&lt;&gt;"não consta"),AND(L83&lt;&gt;"",LOWER(L83)&lt;&gt;"não consta"),IFERROR(INDEX(Empresas!$G:$G,MATCH(A83,Empresas!$A:$A,0))&amp;"","")&lt;&gt;""),"SIM",""))</f>
        <v/>
      </c>
      <c r="N83" s="5"/>
      <c r="O83" s="32" t="str">
        <f aca="false">IF(D83="","",YEAR(D83))</f>
        <v/>
      </c>
      <c r="P83" s="5"/>
    </row>
    <row r="84" customFormat="false" ht="15" hidden="false" customHeight="false" outlineLevel="0" collapsed="false">
      <c r="A84" s="27"/>
      <c r="B84" s="5"/>
      <c r="C84" s="35"/>
      <c r="D84" s="18"/>
      <c r="E84" s="5"/>
      <c r="F84" s="14"/>
      <c r="G84" s="5"/>
      <c r="H84" s="27"/>
      <c r="I84" s="5"/>
      <c r="J84" s="19" t="str">
        <f aca="false">IF(A84="","",IFERROR(INDEX(Empresas!$D:$D,MATCH(A84,Empresas!$A:$A,0))&amp;"","não consta"))</f>
        <v/>
      </c>
      <c r="K84" s="19" t="str">
        <f aca="false">IF(A84="","",IFERROR(INDEX(Sancoes!$B:$B,MATCH(A84,Sancoes!$A:$A,0))&amp;"","não consta"))</f>
        <v/>
      </c>
      <c r="L84" s="19" t="str">
        <f aca="false">IF(A84="","",IFERROR(INDEX(Eleitoral!$B:$B,MATCH(A84,Eleitoral!$A:$A,0))&amp;"","não consta"))</f>
        <v/>
      </c>
      <c r="M84" s="28" t="str">
        <f aca="false">IF(A84="","",IF(OR(AND(K84&lt;&gt;"",LOWER(K84)&lt;&gt;"não consta"),AND(L84&lt;&gt;"",LOWER(L84)&lt;&gt;"não consta"),IFERROR(INDEX(Empresas!$G:$G,MATCH(A84,Empresas!$A:$A,0))&amp;"","")&lt;&gt;""),"SIM",""))</f>
        <v/>
      </c>
      <c r="N84" s="5"/>
      <c r="O84" s="32" t="str">
        <f aca="false">IF(D84="","",YEAR(D84))</f>
        <v/>
      </c>
      <c r="P84" s="5"/>
    </row>
    <row r="85" customFormat="false" ht="15" hidden="false" customHeight="false" outlineLevel="0" collapsed="false">
      <c r="A85" s="27"/>
      <c r="B85" s="5"/>
      <c r="C85" s="35"/>
      <c r="D85" s="18"/>
      <c r="E85" s="5"/>
      <c r="F85" s="14"/>
      <c r="G85" s="5"/>
      <c r="H85" s="27"/>
      <c r="I85" s="5"/>
      <c r="J85" s="19" t="str">
        <f aca="false">IF(A85="","",IFERROR(INDEX(Empresas!$D:$D,MATCH(A85,Empresas!$A:$A,0))&amp;"","não consta"))</f>
        <v/>
      </c>
      <c r="K85" s="19" t="str">
        <f aca="false">IF(A85="","",IFERROR(INDEX(Sancoes!$B:$B,MATCH(A85,Sancoes!$A:$A,0))&amp;"","não consta"))</f>
        <v/>
      </c>
      <c r="L85" s="19" t="str">
        <f aca="false">IF(A85="","",IFERROR(INDEX(Eleitoral!$B:$B,MATCH(A85,Eleitoral!$A:$A,0))&amp;"","não consta"))</f>
        <v/>
      </c>
      <c r="M85" s="28" t="str">
        <f aca="false">IF(A85="","",IF(OR(AND(K85&lt;&gt;"",LOWER(K85)&lt;&gt;"não consta"),AND(L85&lt;&gt;"",LOWER(L85)&lt;&gt;"não consta"),IFERROR(INDEX(Empresas!$G:$G,MATCH(A85,Empresas!$A:$A,0))&amp;"","")&lt;&gt;""),"SIM",""))</f>
        <v/>
      </c>
      <c r="N85" s="5"/>
      <c r="O85" s="32" t="str">
        <f aca="false">IF(D85="","",YEAR(D85))</f>
        <v/>
      </c>
      <c r="P85" s="5"/>
    </row>
    <row r="86" customFormat="false" ht="15" hidden="false" customHeight="false" outlineLevel="0" collapsed="false">
      <c r="A86" s="27"/>
      <c r="B86" s="5"/>
      <c r="C86" s="35"/>
      <c r="D86" s="18"/>
      <c r="E86" s="5"/>
      <c r="F86" s="14"/>
      <c r="G86" s="5"/>
      <c r="H86" s="27"/>
      <c r="I86" s="5"/>
      <c r="J86" s="19" t="str">
        <f aca="false">IF(A86="","",IFERROR(INDEX(Empresas!$D:$D,MATCH(A86,Empresas!$A:$A,0))&amp;"","não consta"))</f>
        <v/>
      </c>
      <c r="K86" s="19" t="str">
        <f aca="false">IF(A86="","",IFERROR(INDEX(Sancoes!$B:$B,MATCH(A86,Sancoes!$A:$A,0))&amp;"","não consta"))</f>
        <v/>
      </c>
      <c r="L86" s="19" t="str">
        <f aca="false">IF(A86="","",IFERROR(INDEX(Eleitoral!$B:$B,MATCH(A86,Eleitoral!$A:$A,0))&amp;"","não consta"))</f>
        <v/>
      </c>
      <c r="M86" s="28" t="str">
        <f aca="false">IF(A86="","",IF(OR(AND(K86&lt;&gt;"",LOWER(K86)&lt;&gt;"não consta"),AND(L86&lt;&gt;"",LOWER(L86)&lt;&gt;"não consta"),IFERROR(INDEX(Empresas!$G:$G,MATCH(A86,Empresas!$A:$A,0))&amp;"","")&lt;&gt;""),"SIM",""))</f>
        <v/>
      </c>
      <c r="N86" s="5"/>
      <c r="O86" s="32" t="str">
        <f aca="false">IF(D86="","",YEAR(D86))</f>
        <v/>
      </c>
      <c r="P86" s="5"/>
    </row>
    <row r="87" customFormat="false" ht="15" hidden="false" customHeight="false" outlineLevel="0" collapsed="false">
      <c r="A87" s="27"/>
      <c r="B87" s="5"/>
      <c r="C87" s="35"/>
      <c r="D87" s="18"/>
      <c r="E87" s="5"/>
      <c r="F87" s="14"/>
      <c r="G87" s="5"/>
      <c r="H87" s="27"/>
      <c r="I87" s="5"/>
      <c r="J87" s="19" t="str">
        <f aca="false">IF(A87="","",IFERROR(INDEX(Empresas!$D:$D,MATCH(A87,Empresas!$A:$A,0))&amp;"","não consta"))</f>
        <v/>
      </c>
      <c r="K87" s="19" t="str">
        <f aca="false">IF(A87="","",IFERROR(INDEX(Sancoes!$B:$B,MATCH(A87,Sancoes!$A:$A,0))&amp;"","não consta"))</f>
        <v/>
      </c>
      <c r="L87" s="19" t="str">
        <f aca="false">IF(A87="","",IFERROR(INDEX(Eleitoral!$B:$B,MATCH(A87,Eleitoral!$A:$A,0))&amp;"","não consta"))</f>
        <v/>
      </c>
      <c r="M87" s="28" t="str">
        <f aca="false">IF(A87="","",IF(OR(AND(K87&lt;&gt;"",LOWER(K87)&lt;&gt;"não consta"),AND(L87&lt;&gt;"",LOWER(L87)&lt;&gt;"não consta"),IFERROR(INDEX(Empresas!$G:$G,MATCH(A87,Empresas!$A:$A,0))&amp;"","")&lt;&gt;""),"SIM",""))</f>
        <v/>
      </c>
      <c r="N87" s="5"/>
      <c r="O87" s="32" t="str">
        <f aca="false">IF(D87="","",YEAR(D87))</f>
        <v/>
      </c>
      <c r="P87" s="5"/>
    </row>
    <row r="88" customFormat="false" ht="15" hidden="false" customHeight="false" outlineLevel="0" collapsed="false">
      <c r="A88" s="27"/>
      <c r="B88" s="5"/>
      <c r="C88" s="35"/>
      <c r="D88" s="18"/>
      <c r="E88" s="5"/>
      <c r="F88" s="14"/>
      <c r="G88" s="5"/>
      <c r="H88" s="27"/>
      <c r="I88" s="5"/>
      <c r="J88" s="19" t="str">
        <f aca="false">IF(A88="","",IFERROR(INDEX(Empresas!$D:$D,MATCH(A88,Empresas!$A:$A,0))&amp;"","não consta"))</f>
        <v/>
      </c>
      <c r="K88" s="19" t="str">
        <f aca="false">IF(A88="","",IFERROR(INDEX(Sancoes!$B:$B,MATCH(A88,Sancoes!$A:$A,0))&amp;"","não consta"))</f>
        <v/>
      </c>
      <c r="L88" s="19" t="str">
        <f aca="false">IF(A88="","",IFERROR(INDEX(Eleitoral!$B:$B,MATCH(A88,Eleitoral!$A:$A,0))&amp;"","não consta"))</f>
        <v/>
      </c>
      <c r="M88" s="28" t="str">
        <f aca="false">IF(A88="","",IF(OR(AND(K88&lt;&gt;"",LOWER(K88)&lt;&gt;"não consta"),AND(L88&lt;&gt;"",LOWER(L88)&lt;&gt;"não consta"),IFERROR(INDEX(Empresas!$G:$G,MATCH(A88,Empresas!$A:$A,0))&amp;"","")&lt;&gt;""),"SIM",""))</f>
        <v/>
      </c>
      <c r="N88" s="5"/>
      <c r="O88" s="32" t="str">
        <f aca="false">IF(D88="","",YEAR(D88))</f>
        <v/>
      </c>
      <c r="P88" s="5"/>
    </row>
    <row r="89" customFormat="false" ht="15" hidden="false" customHeight="false" outlineLevel="0" collapsed="false">
      <c r="A89" s="27"/>
      <c r="B89" s="5"/>
      <c r="C89" s="35"/>
      <c r="D89" s="18"/>
      <c r="E89" s="5"/>
      <c r="F89" s="14"/>
      <c r="G89" s="5"/>
      <c r="H89" s="27"/>
      <c r="I89" s="5"/>
      <c r="J89" s="19" t="str">
        <f aca="false">IF(A89="","",IFERROR(INDEX(Empresas!$D:$D,MATCH(A89,Empresas!$A:$A,0))&amp;"","não consta"))</f>
        <v/>
      </c>
      <c r="K89" s="19" t="str">
        <f aca="false">IF(A89="","",IFERROR(INDEX(Sancoes!$B:$B,MATCH(A89,Sancoes!$A:$A,0))&amp;"","não consta"))</f>
        <v/>
      </c>
      <c r="L89" s="19" t="str">
        <f aca="false">IF(A89="","",IFERROR(INDEX(Eleitoral!$B:$B,MATCH(A89,Eleitoral!$A:$A,0))&amp;"","não consta"))</f>
        <v/>
      </c>
      <c r="M89" s="28" t="str">
        <f aca="false">IF(A89="","",IF(OR(AND(K89&lt;&gt;"",LOWER(K89)&lt;&gt;"não consta"),AND(L89&lt;&gt;"",LOWER(L89)&lt;&gt;"não consta"),IFERROR(INDEX(Empresas!$G:$G,MATCH(A89,Empresas!$A:$A,0))&amp;"","")&lt;&gt;""),"SIM",""))</f>
        <v/>
      </c>
      <c r="N89" s="5"/>
      <c r="O89" s="32" t="str">
        <f aca="false">IF(D89="","",YEAR(D89))</f>
        <v/>
      </c>
      <c r="P89" s="5"/>
    </row>
    <row r="90" customFormat="false" ht="15" hidden="false" customHeight="false" outlineLevel="0" collapsed="false">
      <c r="A90" s="27"/>
      <c r="B90" s="5"/>
      <c r="C90" s="35"/>
      <c r="D90" s="18"/>
      <c r="E90" s="5"/>
      <c r="F90" s="14"/>
      <c r="G90" s="5"/>
      <c r="H90" s="27"/>
      <c r="I90" s="5"/>
      <c r="J90" s="19" t="str">
        <f aca="false">IF(A90="","",IFERROR(INDEX(Empresas!$D:$D,MATCH(A90,Empresas!$A:$A,0))&amp;"","não consta"))</f>
        <v/>
      </c>
      <c r="K90" s="19" t="str">
        <f aca="false">IF(A90="","",IFERROR(INDEX(Sancoes!$B:$B,MATCH(A90,Sancoes!$A:$A,0))&amp;"","não consta"))</f>
        <v/>
      </c>
      <c r="L90" s="19" t="str">
        <f aca="false">IF(A90="","",IFERROR(INDEX(Eleitoral!$B:$B,MATCH(A90,Eleitoral!$A:$A,0))&amp;"","não consta"))</f>
        <v/>
      </c>
      <c r="M90" s="28" t="str">
        <f aca="false">IF(A90="","",IF(OR(AND(K90&lt;&gt;"",LOWER(K90)&lt;&gt;"não consta"),AND(L90&lt;&gt;"",LOWER(L90)&lt;&gt;"não consta"),IFERROR(INDEX(Empresas!$G:$G,MATCH(A90,Empresas!$A:$A,0))&amp;"","")&lt;&gt;""),"SIM",""))</f>
        <v/>
      </c>
      <c r="N90" s="5"/>
      <c r="O90" s="32" t="str">
        <f aca="false">IF(D90="","",YEAR(D90))</f>
        <v/>
      </c>
      <c r="P90" s="5"/>
    </row>
    <row r="91" customFormat="false" ht="15" hidden="false" customHeight="false" outlineLevel="0" collapsed="false">
      <c r="A91" s="27"/>
      <c r="B91" s="5"/>
      <c r="C91" s="35"/>
      <c r="D91" s="18"/>
      <c r="E91" s="5"/>
      <c r="F91" s="14"/>
      <c r="G91" s="5"/>
      <c r="H91" s="27"/>
      <c r="I91" s="5"/>
      <c r="J91" s="19" t="str">
        <f aca="false">IF(A91="","",IFERROR(INDEX(Empresas!$D:$D,MATCH(A91,Empresas!$A:$A,0))&amp;"","não consta"))</f>
        <v/>
      </c>
      <c r="K91" s="19" t="str">
        <f aca="false">IF(A91="","",IFERROR(INDEX(Sancoes!$B:$B,MATCH(A91,Sancoes!$A:$A,0))&amp;"","não consta"))</f>
        <v/>
      </c>
      <c r="L91" s="19" t="str">
        <f aca="false">IF(A91="","",IFERROR(INDEX(Eleitoral!$B:$B,MATCH(A91,Eleitoral!$A:$A,0))&amp;"","não consta"))</f>
        <v/>
      </c>
      <c r="M91" s="28" t="str">
        <f aca="false">IF(A91="","",IF(OR(AND(K91&lt;&gt;"",LOWER(K91)&lt;&gt;"não consta"),AND(L91&lt;&gt;"",LOWER(L91)&lt;&gt;"não consta"),IFERROR(INDEX(Empresas!$G:$G,MATCH(A91,Empresas!$A:$A,0))&amp;"","")&lt;&gt;""),"SIM",""))</f>
        <v/>
      </c>
      <c r="N91" s="5"/>
      <c r="O91" s="32" t="str">
        <f aca="false">IF(D91="","",YEAR(D91))</f>
        <v/>
      </c>
      <c r="P91" s="5"/>
    </row>
    <row r="92" customFormat="false" ht="15" hidden="false" customHeight="false" outlineLevel="0" collapsed="false">
      <c r="A92" s="27"/>
      <c r="B92" s="5"/>
      <c r="C92" s="35"/>
      <c r="D92" s="18"/>
      <c r="E92" s="5"/>
      <c r="F92" s="14"/>
      <c r="G92" s="5"/>
      <c r="H92" s="27"/>
      <c r="I92" s="5"/>
      <c r="J92" s="19" t="str">
        <f aca="false">IF(A92="","",IFERROR(INDEX(Empresas!$D:$D,MATCH(A92,Empresas!$A:$A,0))&amp;"","não consta"))</f>
        <v/>
      </c>
      <c r="K92" s="19" t="str">
        <f aca="false">IF(A92="","",IFERROR(INDEX(Sancoes!$B:$B,MATCH(A92,Sancoes!$A:$A,0))&amp;"","não consta"))</f>
        <v/>
      </c>
      <c r="L92" s="19" t="str">
        <f aca="false">IF(A92="","",IFERROR(INDEX(Eleitoral!$B:$B,MATCH(A92,Eleitoral!$A:$A,0))&amp;"","não consta"))</f>
        <v/>
      </c>
      <c r="M92" s="28" t="str">
        <f aca="false">IF(A92="","",IF(OR(AND(K92&lt;&gt;"",LOWER(K92)&lt;&gt;"não consta"),AND(L92&lt;&gt;"",LOWER(L92)&lt;&gt;"não consta"),IFERROR(INDEX(Empresas!$G:$G,MATCH(A92,Empresas!$A:$A,0))&amp;"","")&lt;&gt;""),"SIM",""))</f>
        <v/>
      </c>
      <c r="N92" s="5"/>
      <c r="O92" s="32" t="str">
        <f aca="false">IF(D92="","",YEAR(D92))</f>
        <v/>
      </c>
      <c r="P92" s="5"/>
    </row>
    <row r="93" customFormat="false" ht="15" hidden="false" customHeight="false" outlineLevel="0" collapsed="false">
      <c r="A93" s="27"/>
      <c r="B93" s="5"/>
      <c r="C93" s="35"/>
      <c r="D93" s="18"/>
      <c r="E93" s="5"/>
      <c r="F93" s="14"/>
      <c r="G93" s="5"/>
      <c r="H93" s="27"/>
      <c r="I93" s="5"/>
      <c r="J93" s="19" t="str">
        <f aca="false">IF(A93="","",IFERROR(INDEX(Empresas!$D:$D,MATCH(A93,Empresas!$A:$A,0))&amp;"","não consta"))</f>
        <v/>
      </c>
      <c r="K93" s="19" t="str">
        <f aca="false">IF(A93="","",IFERROR(INDEX(Sancoes!$B:$B,MATCH(A93,Sancoes!$A:$A,0))&amp;"","não consta"))</f>
        <v/>
      </c>
      <c r="L93" s="19" t="str">
        <f aca="false">IF(A93="","",IFERROR(INDEX(Eleitoral!$B:$B,MATCH(A93,Eleitoral!$A:$A,0))&amp;"","não consta"))</f>
        <v/>
      </c>
      <c r="M93" s="28" t="str">
        <f aca="false">IF(A93="","",IF(OR(AND(K93&lt;&gt;"",LOWER(K93)&lt;&gt;"não consta"),AND(L93&lt;&gt;"",LOWER(L93)&lt;&gt;"não consta"),IFERROR(INDEX(Empresas!$G:$G,MATCH(A93,Empresas!$A:$A,0))&amp;"","")&lt;&gt;""),"SIM",""))</f>
        <v/>
      </c>
      <c r="N93" s="5"/>
      <c r="O93" s="32" t="str">
        <f aca="false">IF(D93="","",YEAR(D93))</f>
        <v/>
      </c>
      <c r="P93" s="5"/>
    </row>
    <row r="94" customFormat="false" ht="15" hidden="false" customHeight="false" outlineLevel="0" collapsed="false">
      <c r="A94" s="27"/>
      <c r="B94" s="5"/>
      <c r="C94" s="35"/>
      <c r="D94" s="18"/>
      <c r="E94" s="5"/>
      <c r="F94" s="14"/>
      <c r="G94" s="5"/>
      <c r="H94" s="27"/>
      <c r="I94" s="5"/>
      <c r="J94" s="19" t="str">
        <f aca="false">IF(A94="","",IFERROR(INDEX(Empresas!$D:$D,MATCH(A94,Empresas!$A:$A,0))&amp;"","não consta"))</f>
        <v/>
      </c>
      <c r="K94" s="19" t="str">
        <f aca="false">IF(A94="","",IFERROR(INDEX(Sancoes!$B:$B,MATCH(A94,Sancoes!$A:$A,0))&amp;"","não consta"))</f>
        <v/>
      </c>
      <c r="L94" s="19" t="str">
        <f aca="false">IF(A94="","",IFERROR(INDEX(Eleitoral!$B:$B,MATCH(A94,Eleitoral!$A:$A,0))&amp;"","não consta"))</f>
        <v/>
      </c>
      <c r="M94" s="28" t="str">
        <f aca="false">IF(A94="","",IF(OR(AND(K94&lt;&gt;"",LOWER(K94)&lt;&gt;"não consta"),AND(L94&lt;&gt;"",LOWER(L94)&lt;&gt;"não consta"),IFERROR(INDEX(Empresas!$G:$G,MATCH(A94,Empresas!$A:$A,0))&amp;"","")&lt;&gt;""),"SIM",""))</f>
        <v/>
      </c>
      <c r="N94" s="5"/>
      <c r="O94" s="32" t="str">
        <f aca="false">IF(D94="","",YEAR(D94))</f>
        <v/>
      </c>
      <c r="P94" s="5"/>
    </row>
    <row r="95" customFormat="false" ht="15" hidden="false" customHeight="false" outlineLevel="0" collapsed="false">
      <c r="A95" s="27"/>
      <c r="B95" s="5"/>
      <c r="C95" s="35"/>
      <c r="D95" s="18"/>
      <c r="E95" s="5"/>
      <c r="F95" s="14"/>
      <c r="G95" s="5"/>
      <c r="H95" s="27"/>
      <c r="I95" s="5"/>
      <c r="J95" s="19" t="str">
        <f aca="false">IF(A95="","",IFERROR(INDEX(Empresas!$D:$D,MATCH(A95,Empresas!$A:$A,0))&amp;"","não consta"))</f>
        <v/>
      </c>
      <c r="K95" s="19" t="str">
        <f aca="false">IF(A95="","",IFERROR(INDEX(Sancoes!$B:$B,MATCH(A95,Sancoes!$A:$A,0))&amp;"","não consta"))</f>
        <v/>
      </c>
      <c r="L95" s="19" t="str">
        <f aca="false">IF(A95="","",IFERROR(INDEX(Eleitoral!$B:$B,MATCH(A95,Eleitoral!$A:$A,0))&amp;"","não consta"))</f>
        <v/>
      </c>
      <c r="M95" s="28" t="str">
        <f aca="false">IF(A95="","",IF(OR(AND(K95&lt;&gt;"",LOWER(K95)&lt;&gt;"não consta"),AND(L95&lt;&gt;"",LOWER(L95)&lt;&gt;"não consta"),IFERROR(INDEX(Empresas!$G:$G,MATCH(A95,Empresas!$A:$A,0))&amp;"","")&lt;&gt;""),"SIM",""))</f>
        <v/>
      </c>
      <c r="N95" s="5"/>
      <c r="O95" s="32" t="str">
        <f aca="false">IF(D95="","",YEAR(D95))</f>
        <v/>
      </c>
      <c r="P95" s="5"/>
    </row>
    <row r="96" customFormat="false" ht="15" hidden="false" customHeight="false" outlineLevel="0" collapsed="false">
      <c r="A96" s="27"/>
      <c r="B96" s="5"/>
      <c r="C96" s="35"/>
      <c r="D96" s="18"/>
      <c r="E96" s="5"/>
      <c r="F96" s="14"/>
      <c r="G96" s="5"/>
      <c r="H96" s="27"/>
      <c r="I96" s="5"/>
      <c r="J96" s="19" t="str">
        <f aca="false">IF(A96="","",IFERROR(INDEX(Empresas!$D:$D,MATCH(A96,Empresas!$A:$A,0))&amp;"","não consta"))</f>
        <v/>
      </c>
      <c r="K96" s="19" t="str">
        <f aca="false">IF(A96="","",IFERROR(INDEX(Sancoes!$B:$B,MATCH(A96,Sancoes!$A:$A,0))&amp;"","não consta"))</f>
        <v/>
      </c>
      <c r="L96" s="19" t="str">
        <f aca="false">IF(A96="","",IFERROR(INDEX(Eleitoral!$B:$B,MATCH(A96,Eleitoral!$A:$A,0))&amp;"","não consta"))</f>
        <v/>
      </c>
      <c r="M96" s="28" t="str">
        <f aca="false">IF(A96="","",IF(OR(AND(K96&lt;&gt;"",LOWER(K96)&lt;&gt;"não consta"),AND(L96&lt;&gt;"",LOWER(L96)&lt;&gt;"não consta"),IFERROR(INDEX(Empresas!$G:$G,MATCH(A96,Empresas!$A:$A,0))&amp;"","")&lt;&gt;""),"SIM",""))</f>
        <v/>
      </c>
      <c r="N96" s="5"/>
      <c r="O96" s="32" t="str">
        <f aca="false">IF(D96="","",YEAR(D96))</f>
        <v/>
      </c>
      <c r="P96" s="5"/>
    </row>
    <row r="97" customFormat="false" ht="15" hidden="false" customHeight="false" outlineLevel="0" collapsed="false">
      <c r="A97" s="27"/>
      <c r="B97" s="5"/>
      <c r="C97" s="35"/>
      <c r="D97" s="18"/>
      <c r="E97" s="5"/>
      <c r="F97" s="14"/>
      <c r="G97" s="5"/>
      <c r="H97" s="27"/>
      <c r="I97" s="5"/>
      <c r="J97" s="19" t="str">
        <f aca="false">IF(A97="","",IFERROR(INDEX(Empresas!$D:$D,MATCH(A97,Empresas!$A:$A,0))&amp;"","não consta"))</f>
        <v/>
      </c>
      <c r="K97" s="19" t="str">
        <f aca="false">IF(A97="","",IFERROR(INDEX(Sancoes!$B:$B,MATCH(A97,Sancoes!$A:$A,0))&amp;"","não consta"))</f>
        <v/>
      </c>
      <c r="L97" s="19" t="str">
        <f aca="false">IF(A97="","",IFERROR(INDEX(Eleitoral!$B:$B,MATCH(A97,Eleitoral!$A:$A,0))&amp;"","não consta"))</f>
        <v/>
      </c>
      <c r="M97" s="28" t="str">
        <f aca="false">IF(A97="","",IF(OR(AND(K97&lt;&gt;"",LOWER(K97)&lt;&gt;"não consta"),AND(L97&lt;&gt;"",LOWER(L97)&lt;&gt;"não consta"),IFERROR(INDEX(Empresas!$G:$G,MATCH(A97,Empresas!$A:$A,0))&amp;"","")&lt;&gt;""),"SIM",""))</f>
        <v/>
      </c>
      <c r="N97" s="5"/>
      <c r="O97" s="32" t="str">
        <f aca="false">IF(D97="","",YEAR(D97))</f>
        <v/>
      </c>
      <c r="P97" s="5"/>
    </row>
    <row r="98" customFormat="false" ht="15" hidden="false" customHeight="false" outlineLevel="0" collapsed="false">
      <c r="A98" s="27"/>
      <c r="B98" s="5"/>
      <c r="C98" s="35"/>
      <c r="D98" s="18"/>
      <c r="E98" s="5"/>
      <c r="F98" s="14"/>
      <c r="G98" s="5"/>
      <c r="H98" s="27"/>
      <c r="I98" s="5"/>
      <c r="J98" s="19" t="str">
        <f aca="false">IF(A98="","",IFERROR(INDEX(Empresas!$D:$D,MATCH(A98,Empresas!$A:$A,0))&amp;"","não consta"))</f>
        <v/>
      </c>
      <c r="K98" s="19" t="str">
        <f aca="false">IF(A98="","",IFERROR(INDEX(Sancoes!$B:$B,MATCH(A98,Sancoes!$A:$A,0))&amp;"","não consta"))</f>
        <v/>
      </c>
      <c r="L98" s="19" t="str">
        <f aca="false">IF(A98="","",IFERROR(INDEX(Eleitoral!$B:$B,MATCH(A98,Eleitoral!$A:$A,0))&amp;"","não consta"))</f>
        <v/>
      </c>
      <c r="M98" s="28" t="str">
        <f aca="false">IF(A98="","",IF(OR(AND(K98&lt;&gt;"",LOWER(K98)&lt;&gt;"não consta"),AND(L98&lt;&gt;"",LOWER(L98)&lt;&gt;"não consta"),IFERROR(INDEX(Empresas!$G:$G,MATCH(A98,Empresas!$A:$A,0))&amp;"","")&lt;&gt;""),"SIM",""))</f>
        <v/>
      </c>
      <c r="N98" s="5"/>
      <c r="O98" s="32" t="str">
        <f aca="false">IF(D98="","",YEAR(D98))</f>
        <v/>
      </c>
      <c r="P98" s="5"/>
    </row>
    <row r="99" customFormat="false" ht="15" hidden="false" customHeight="false" outlineLevel="0" collapsed="false">
      <c r="A99" s="27"/>
      <c r="B99" s="5"/>
      <c r="C99" s="35"/>
      <c r="D99" s="18"/>
      <c r="E99" s="5"/>
      <c r="F99" s="14"/>
      <c r="G99" s="5"/>
      <c r="H99" s="27"/>
      <c r="I99" s="5"/>
      <c r="J99" s="19" t="str">
        <f aca="false">IF(A99="","",IFERROR(INDEX(Empresas!$D:$D,MATCH(A99,Empresas!$A:$A,0))&amp;"","não consta"))</f>
        <v/>
      </c>
      <c r="K99" s="19" t="str">
        <f aca="false">IF(A99="","",IFERROR(INDEX(Sancoes!$B:$B,MATCH(A99,Sancoes!$A:$A,0))&amp;"","não consta"))</f>
        <v/>
      </c>
      <c r="L99" s="19" t="str">
        <f aca="false">IF(A99="","",IFERROR(INDEX(Eleitoral!$B:$B,MATCH(A99,Eleitoral!$A:$A,0))&amp;"","não consta"))</f>
        <v/>
      </c>
      <c r="M99" s="28" t="str">
        <f aca="false">IF(A99="","",IF(OR(AND(K99&lt;&gt;"",LOWER(K99)&lt;&gt;"não consta"),AND(L99&lt;&gt;"",LOWER(L99)&lt;&gt;"não consta"),IFERROR(INDEX(Empresas!$G:$G,MATCH(A99,Empresas!$A:$A,0))&amp;"","")&lt;&gt;""),"SIM",""))</f>
        <v/>
      </c>
      <c r="N99" s="5"/>
      <c r="O99" s="32" t="str">
        <f aca="false">IF(D99="","",YEAR(D99))</f>
        <v/>
      </c>
      <c r="P99" s="5"/>
    </row>
    <row r="100" customFormat="false" ht="15" hidden="false" customHeight="false" outlineLevel="0" collapsed="false">
      <c r="A100" s="27"/>
      <c r="B100" s="5"/>
      <c r="C100" s="35"/>
      <c r="D100" s="18"/>
      <c r="E100" s="5"/>
      <c r="F100" s="14"/>
      <c r="G100" s="5"/>
      <c r="H100" s="27"/>
      <c r="I100" s="5"/>
      <c r="J100" s="19" t="str">
        <f aca="false">IF(A100="","",IFERROR(INDEX(Empresas!$D:$D,MATCH(A100,Empresas!$A:$A,0))&amp;"","não consta"))</f>
        <v/>
      </c>
      <c r="K100" s="19" t="str">
        <f aca="false">IF(A100="","",IFERROR(INDEX(Sancoes!$B:$B,MATCH(A100,Sancoes!$A:$A,0))&amp;"","não consta"))</f>
        <v/>
      </c>
      <c r="L100" s="19" t="str">
        <f aca="false">IF(A100="","",IFERROR(INDEX(Eleitoral!$B:$B,MATCH(A100,Eleitoral!$A:$A,0))&amp;"","não consta"))</f>
        <v/>
      </c>
      <c r="M100" s="28" t="str">
        <f aca="false">IF(A100="","",IF(OR(AND(K100&lt;&gt;"",LOWER(K100)&lt;&gt;"não consta"),AND(L100&lt;&gt;"",LOWER(L100)&lt;&gt;"não consta"),IFERROR(INDEX(Empresas!$G:$G,MATCH(A100,Empresas!$A:$A,0))&amp;"","")&lt;&gt;""),"SIM",""))</f>
        <v/>
      </c>
      <c r="N100" s="5"/>
      <c r="O100" s="32" t="str">
        <f aca="false">IF(D100="","",YEAR(D100))</f>
        <v/>
      </c>
      <c r="P100" s="5"/>
    </row>
    <row r="101" customFormat="false" ht="15" hidden="false" customHeight="false" outlineLevel="0" collapsed="false">
      <c r="A101" s="27"/>
      <c r="B101" s="5"/>
      <c r="C101" s="35"/>
      <c r="D101" s="18"/>
      <c r="E101" s="5"/>
      <c r="F101" s="14"/>
      <c r="G101" s="5"/>
      <c r="H101" s="27"/>
      <c r="I101" s="5"/>
      <c r="J101" s="19" t="str">
        <f aca="false">IF(A101="","",IFERROR(INDEX(Empresas!$D:$D,MATCH(A101,Empresas!$A:$A,0))&amp;"","não consta"))</f>
        <v/>
      </c>
      <c r="K101" s="19" t="str">
        <f aca="false">IF(A101="","",IFERROR(INDEX(Sancoes!$B:$B,MATCH(A101,Sancoes!$A:$A,0))&amp;"","não consta"))</f>
        <v/>
      </c>
      <c r="L101" s="19" t="str">
        <f aca="false">IF(A101="","",IFERROR(INDEX(Eleitoral!$B:$B,MATCH(A101,Eleitoral!$A:$A,0))&amp;"","não consta"))</f>
        <v/>
      </c>
      <c r="M101" s="28" t="str">
        <f aca="false">IF(A101="","",IF(OR(AND(K101&lt;&gt;"",LOWER(K101)&lt;&gt;"não consta"),AND(L101&lt;&gt;"",LOWER(L101)&lt;&gt;"não consta"),IFERROR(INDEX(Empresas!$G:$G,MATCH(A101,Empresas!$A:$A,0))&amp;"","")&lt;&gt;""),"SIM",""))</f>
        <v/>
      </c>
      <c r="N101" s="5"/>
      <c r="O101" s="32" t="str">
        <f aca="false">IF(D101="","",YEAR(D101))</f>
        <v/>
      </c>
      <c r="P101" s="5"/>
    </row>
    <row r="102" customFormat="false" ht="15" hidden="false" customHeight="false" outlineLevel="0" collapsed="false">
      <c r="A102" s="27"/>
      <c r="B102" s="5"/>
      <c r="C102" s="35"/>
      <c r="D102" s="18"/>
      <c r="E102" s="5"/>
      <c r="F102" s="14"/>
      <c r="G102" s="5"/>
      <c r="H102" s="27"/>
      <c r="I102" s="5"/>
      <c r="J102" s="19" t="str">
        <f aca="false">IF(A102="","",IFERROR(INDEX(Empresas!$D:$D,MATCH(A102,Empresas!$A:$A,0))&amp;"","não consta"))</f>
        <v/>
      </c>
      <c r="K102" s="19" t="str">
        <f aca="false">IF(A102="","",IFERROR(INDEX(Sancoes!$B:$B,MATCH(A102,Sancoes!$A:$A,0))&amp;"","não consta"))</f>
        <v/>
      </c>
      <c r="L102" s="19" t="str">
        <f aca="false">IF(A102="","",IFERROR(INDEX(Eleitoral!$B:$B,MATCH(A102,Eleitoral!$A:$A,0))&amp;"","não consta"))</f>
        <v/>
      </c>
      <c r="M102" s="28" t="str">
        <f aca="false">IF(A102="","",IF(OR(AND(K102&lt;&gt;"",LOWER(K102)&lt;&gt;"não consta"),AND(L102&lt;&gt;"",LOWER(L102)&lt;&gt;"não consta"),IFERROR(INDEX(Empresas!$G:$G,MATCH(A102,Empresas!$A:$A,0))&amp;"","")&lt;&gt;""),"SIM",""))</f>
        <v/>
      </c>
      <c r="N102" s="5"/>
      <c r="O102" s="32" t="str">
        <f aca="false">IF(D102="","",YEAR(D102))</f>
        <v/>
      </c>
      <c r="P102" s="5"/>
    </row>
    <row r="103" customFormat="false" ht="15" hidden="false" customHeight="false" outlineLevel="0" collapsed="false">
      <c r="A103" s="27"/>
      <c r="B103" s="5"/>
      <c r="C103" s="35"/>
      <c r="D103" s="18"/>
      <c r="E103" s="5"/>
      <c r="F103" s="14"/>
      <c r="G103" s="5"/>
      <c r="H103" s="27"/>
      <c r="I103" s="5"/>
      <c r="J103" s="19" t="str">
        <f aca="false">IF(A103="","",IFERROR(INDEX(Empresas!$D:$D,MATCH(A103,Empresas!$A:$A,0))&amp;"","não consta"))</f>
        <v/>
      </c>
      <c r="K103" s="19" t="str">
        <f aca="false">IF(A103="","",IFERROR(INDEX(Sancoes!$B:$B,MATCH(A103,Sancoes!$A:$A,0))&amp;"","não consta"))</f>
        <v/>
      </c>
      <c r="L103" s="19" t="str">
        <f aca="false">IF(A103="","",IFERROR(INDEX(Eleitoral!$B:$B,MATCH(A103,Eleitoral!$A:$A,0))&amp;"","não consta"))</f>
        <v/>
      </c>
      <c r="M103" s="28" t="str">
        <f aca="false">IF(A103="","",IF(OR(AND(K103&lt;&gt;"",LOWER(K103)&lt;&gt;"não consta"),AND(L103&lt;&gt;"",LOWER(L103)&lt;&gt;"não consta"),IFERROR(INDEX(Empresas!$G:$G,MATCH(A103,Empresas!$A:$A,0))&amp;"","")&lt;&gt;""),"SIM",""))</f>
        <v/>
      </c>
      <c r="N103" s="5"/>
      <c r="O103" s="32" t="str">
        <f aca="false">IF(D103="","",YEAR(D103))</f>
        <v/>
      </c>
      <c r="P103" s="5"/>
    </row>
    <row r="104" customFormat="false" ht="15" hidden="false" customHeight="false" outlineLevel="0" collapsed="false">
      <c r="A104" s="27"/>
      <c r="B104" s="5"/>
      <c r="C104" s="35"/>
      <c r="D104" s="18"/>
      <c r="E104" s="5"/>
      <c r="F104" s="14"/>
      <c r="G104" s="5"/>
      <c r="H104" s="27"/>
      <c r="I104" s="5"/>
      <c r="J104" s="19" t="str">
        <f aca="false">IF(A104="","",IFERROR(INDEX(Empresas!$D:$D,MATCH(A104,Empresas!$A:$A,0))&amp;"","não consta"))</f>
        <v/>
      </c>
      <c r="K104" s="19" t="str">
        <f aca="false">IF(A104="","",IFERROR(INDEX(Sancoes!$B:$B,MATCH(A104,Sancoes!$A:$A,0))&amp;"","não consta"))</f>
        <v/>
      </c>
      <c r="L104" s="19" t="str">
        <f aca="false">IF(A104="","",IFERROR(INDEX(Eleitoral!$B:$B,MATCH(A104,Eleitoral!$A:$A,0))&amp;"","não consta"))</f>
        <v/>
      </c>
      <c r="M104" s="28" t="str">
        <f aca="false">IF(A104="","",IF(OR(AND(K104&lt;&gt;"",LOWER(K104)&lt;&gt;"não consta"),AND(L104&lt;&gt;"",LOWER(L104)&lt;&gt;"não consta"),IFERROR(INDEX(Empresas!$G:$G,MATCH(A104,Empresas!$A:$A,0))&amp;"","")&lt;&gt;""),"SIM",""))</f>
        <v/>
      </c>
      <c r="N104" s="5"/>
      <c r="O104" s="32" t="str">
        <f aca="false">IF(D104="","",YEAR(D104))</f>
        <v/>
      </c>
      <c r="P104" s="5"/>
    </row>
    <row r="105" customFormat="false" ht="15" hidden="false" customHeight="false" outlineLevel="0" collapsed="false">
      <c r="A105" s="27"/>
      <c r="B105" s="5"/>
      <c r="C105" s="35"/>
      <c r="D105" s="18"/>
      <c r="E105" s="5"/>
      <c r="F105" s="14"/>
      <c r="G105" s="5"/>
      <c r="H105" s="27"/>
      <c r="I105" s="5"/>
      <c r="J105" s="19" t="str">
        <f aca="false">IF(A105="","",IFERROR(INDEX(Empresas!$D:$D,MATCH(A105,Empresas!$A:$A,0))&amp;"","não consta"))</f>
        <v/>
      </c>
      <c r="K105" s="19" t="str">
        <f aca="false">IF(A105="","",IFERROR(INDEX(Sancoes!$B:$B,MATCH(A105,Sancoes!$A:$A,0))&amp;"","não consta"))</f>
        <v/>
      </c>
      <c r="L105" s="19" t="str">
        <f aca="false">IF(A105="","",IFERROR(INDEX(Eleitoral!$B:$B,MATCH(A105,Eleitoral!$A:$A,0))&amp;"","não consta"))</f>
        <v/>
      </c>
      <c r="M105" s="28" t="str">
        <f aca="false">IF(A105="","",IF(OR(AND(K105&lt;&gt;"",LOWER(K105)&lt;&gt;"não consta"),AND(L105&lt;&gt;"",LOWER(L105)&lt;&gt;"não consta"),IFERROR(INDEX(Empresas!$G:$G,MATCH(A105,Empresas!$A:$A,0))&amp;"","")&lt;&gt;""),"SIM",""))</f>
        <v/>
      </c>
      <c r="N105" s="5"/>
      <c r="O105" s="32" t="str">
        <f aca="false">IF(D105="","",YEAR(D105))</f>
        <v/>
      </c>
      <c r="P105" s="5"/>
    </row>
    <row r="106" customFormat="false" ht="15" hidden="false" customHeight="false" outlineLevel="0" collapsed="false">
      <c r="A106" s="27"/>
      <c r="B106" s="5"/>
      <c r="C106" s="35"/>
      <c r="D106" s="18"/>
      <c r="E106" s="5"/>
      <c r="F106" s="14"/>
      <c r="G106" s="5"/>
      <c r="H106" s="27"/>
      <c r="I106" s="5"/>
      <c r="J106" s="19" t="str">
        <f aca="false">IF(A106="","",IFERROR(INDEX(Empresas!$D:$D,MATCH(A106,Empresas!$A:$A,0))&amp;"","não consta"))</f>
        <v/>
      </c>
      <c r="K106" s="19" t="str">
        <f aca="false">IF(A106="","",IFERROR(INDEX(Sancoes!$B:$B,MATCH(A106,Sancoes!$A:$A,0))&amp;"","não consta"))</f>
        <v/>
      </c>
      <c r="L106" s="19" t="str">
        <f aca="false">IF(A106="","",IFERROR(INDEX(Eleitoral!$B:$B,MATCH(A106,Eleitoral!$A:$A,0))&amp;"","não consta"))</f>
        <v/>
      </c>
      <c r="M106" s="28" t="str">
        <f aca="false">IF(A106="","",IF(OR(AND(K106&lt;&gt;"",LOWER(K106)&lt;&gt;"não consta"),AND(L106&lt;&gt;"",LOWER(L106)&lt;&gt;"não consta"),IFERROR(INDEX(Empresas!$G:$G,MATCH(A106,Empresas!$A:$A,0))&amp;"","")&lt;&gt;""),"SIM",""))</f>
        <v/>
      </c>
      <c r="N106" s="5"/>
      <c r="O106" s="32" t="str">
        <f aca="false">IF(D106="","",YEAR(D106))</f>
        <v/>
      </c>
      <c r="P106" s="5"/>
    </row>
    <row r="107" customFormat="false" ht="15" hidden="false" customHeight="false" outlineLevel="0" collapsed="false">
      <c r="A107" s="27"/>
      <c r="B107" s="5"/>
      <c r="C107" s="35"/>
      <c r="D107" s="18"/>
      <c r="E107" s="5"/>
      <c r="F107" s="14"/>
      <c r="G107" s="5"/>
      <c r="H107" s="27"/>
      <c r="I107" s="5"/>
      <c r="J107" s="19" t="str">
        <f aca="false">IF(A107="","",IFERROR(INDEX(Empresas!$D:$D,MATCH(A107,Empresas!$A:$A,0))&amp;"","não consta"))</f>
        <v/>
      </c>
      <c r="K107" s="19" t="str">
        <f aca="false">IF(A107="","",IFERROR(INDEX(Sancoes!$B:$B,MATCH(A107,Sancoes!$A:$A,0))&amp;"","não consta"))</f>
        <v/>
      </c>
      <c r="L107" s="19" t="str">
        <f aca="false">IF(A107="","",IFERROR(INDEX(Eleitoral!$B:$B,MATCH(A107,Eleitoral!$A:$A,0))&amp;"","não consta"))</f>
        <v/>
      </c>
      <c r="M107" s="28" t="str">
        <f aca="false">IF(A107="","",IF(OR(AND(K107&lt;&gt;"",LOWER(K107)&lt;&gt;"não consta"),AND(L107&lt;&gt;"",LOWER(L107)&lt;&gt;"não consta"),IFERROR(INDEX(Empresas!$G:$G,MATCH(A107,Empresas!$A:$A,0))&amp;"","")&lt;&gt;""),"SIM",""))</f>
        <v/>
      </c>
      <c r="N107" s="5"/>
      <c r="O107" s="32" t="str">
        <f aca="false">IF(D107="","",YEAR(D107))</f>
        <v/>
      </c>
      <c r="P107" s="5"/>
    </row>
    <row r="108" customFormat="false" ht="15" hidden="false" customHeight="false" outlineLevel="0" collapsed="false">
      <c r="A108" s="27"/>
      <c r="B108" s="5"/>
      <c r="C108" s="35"/>
      <c r="D108" s="18"/>
      <c r="E108" s="5"/>
      <c r="F108" s="14"/>
      <c r="G108" s="5"/>
      <c r="H108" s="27"/>
      <c r="I108" s="5"/>
      <c r="J108" s="19" t="str">
        <f aca="false">IF(A108="","",IFERROR(INDEX(Empresas!$D:$D,MATCH(A108,Empresas!$A:$A,0))&amp;"","não consta"))</f>
        <v/>
      </c>
      <c r="K108" s="19" t="str">
        <f aca="false">IF(A108="","",IFERROR(INDEX(Sancoes!$B:$B,MATCH(A108,Sancoes!$A:$A,0))&amp;"","não consta"))</f>
        <v/>
      </c>
      <c r="L108" s="19" t="str">
        <f aca="false">IF(A108="","",IFERROR(INDEX(Eleitoral!$B:$B,MATCH(A108,Eleitoral!$A:$A,0))&amp;"","não consta"))</f>
        <v/>
      </c>
      <c r="M108" s="28" t="str">
        <f aca="false">IF(A108="","",IF(OR(AND(K108&lt;&gt;"",LOWER(K108)&lt;&gt;"não consta"),AND(L108&lt;&gt;"",LOWER(L108)&lt;&gt;"não consta"),IFERROR(INDEX(Empresas!$G:$G,MATCH(A108,Empresas!$A:$A,0))&amp;"","")&lt;&gt;""),"SIM",""))</f>
        <v/>
      </c>
      <c r="N108" s="5"/>
      <c r="O108" s="32" t="str">
        <f aca="false">IF(D108="","",YEAR(D108))</f>
        <v/>
      </c>
      <c r="P108" s="5"/>
    </row>
    <row r="109" customFormat="false" ht="15" hidden="false" customHeight="false" outlineLevel="0" collapsed="false">
      <c r="A109" s="27"/>
      <c r="B109" s="5"/>
      <c r="C109" s="35"/>
      <c r="D109" s="18"/>
      <c r="E109" s="5"/>
      <c r="F109" s="14"/>
      <c r="G109" s="5"/>
      <c r="H109" s="27"/>
      <c r="I109" s="5"/>
      <c r="J109" s="19" t="str">
        <f aca="false">IF(A109="","",IFERROR(INDEX(Empresas!$D:$D,MATCH(A109,Empresas!$A:$A,0))&amp;"","não consta"))</f>
        <v/>
      </c>
      <c r="K109" s="19" t="str">
        <f aca="false">IF(A109="","",IFERROR(INDEX(Sancoes!$B:$B,MATCH(A109,Sancoes!$A:$A,0))&amp;"","não consta"))</f>
        <v/>
      </c>
      <c r="L109" s="19" t="str">
        <f aca="false">IF(A109="","",IFERROR(INDEX(Eleitoral!$B:$B,MATCH(A109,Eleitoral!$A:$A,0))&amp;"","não consta"))</f>
        <v/>
      </c>
      <c r="M109" s="28" t="str">
        <f aca="false">IF(A109="","",IF(OR(AND(K109&lt;&gt;"",LOWER(K109)&lt;&gt;"não consta"),AND(L109&lt;&gt;"",LOWER(L109)&lt;&gt;"não consta"),IFERROR(INDEX(Empresas!$G:$G,MATCH(A109,Empresas!$A:$A,0))&amp;"","")&lt;&gt;""),"SIM",""))</f>
        <v/>
      </c>
      <c r="N109" s="5"/>
      <c r="O109" s="32" t="str">
        <f aca="false">IF(D109="","",YEAR(D109))</f>
        <v/>
      </c>
      <c r="P109" s="5"/>
    </row>
    <row r="110" customFormat="false" ht="15" hidden="false" customHeight="false" outlineLevel="0" collapsed="false">
      <c r="A110" s="27"/>
      <c r="B110" s="5"/>
      <c r="C110" s="35"/>
      <c r="D110" s="18"/>
      <c r="E110" s="5"/>
      <c r="F110" s="14"/>
      <c r="G110" s="5"/>
      <c r="H110" s="27"/>
      <c r="I110" s="5"/>
      <c r="J110" s="19" t="str">
        <f aca="false">IF(A110="","",IFERROR(INDEX(Empresas!$D:$D,MATCH(A110,Empresas!$A:$A,0))&amp;"","não consta"))</f>
        <v/>
      </c>
      <c r="K110" s="19" t="str">
        <f aca="false">IF(A110="","",IFERROR(INDEX(Sancoes!$B:$B,MATCH(A110,Sancoes!$A:$A,0))&amp;"","não consta"))</f>
        <v/>
      </c>
      <c r="L110" s="19" t="str">
        <f aca="false">IF(A110="","",IFERROR(INDEX(Eleitoral!$B:$B,MATCH(A110,Eleitoral!$A:$A,0))&amp;"","não consta"))</f>
        <v/>
      </c>
      <c r="M110" s="28" t="str">
        <f aca="false">IF(A110="","",IF(OR(AND(K110&lt;&gt;"",LOWER(K110)&lt;&gt;"não consta"),AND(L110&lt;&gt;"",LOWER(L110)&lt;&gt;"não consta"),IFERROR(INDEX(Empresas!$G:$G,MATCH(A110,Empresas!$A:$A,0))&amp;"","")&lt;&gt;""),"SIM",""))</f>
        <v/>
      </c>
      <c r="N110" s="5"/>
      <c r="O110" s="32" t="str">
        <f aca="false">IF(D110="","",YEAR(D110))</f>
        <v/>
      </c>
      <c r="P110" s="5"/>
    </row>
    <row r="111" customFormat="false" ht="15" hidden="false" customHeight="false" outlineLevel="0" collapsed="false">
      <c r="A111" s="27"/>
      <c r="B111" s="5"/>
      <c r="C111" s="35"/>
      <c r="D111" s="18"/>
      <c r="E111" s="5"/>
      <c r="F111" s="14"/>
      <c r="G111" s="5"/>
      <c r="H111" s="27"/>
      <c r="I111" s="5"/>
      <c r="J111" s="19" t="str">
        <f aca="false">IF(A111="","",IFERROR(INDEX(Empresas!$D:$D,MATCH(A111,Empresas!$A:$A,0))&amp;"","não consta"))</f>
        <v/>
      </c>
      <c r="K111" s="19" t="str">
        <f aca="false">IF(A111="","",IFERROR(INDEX(Sancoes!$B:$B,MATCH(A111,Sancoes!$A:$A,0))&amp;"","não consta"))</f>
        <v/>
      </c>
      <c r="L111" s="19" t="str">
        <f aca="false">IF(A111="","",IFERROR(INDEX(Eleitoral!$B:$B,MATCH(A111,Eleitoral!$A:$A,0))&amp;"","não consta"))</f>
        <v/>
      </c>
      <c r="M111" s="28" t="str">
        <f aca="false">IF(A111="","",IF(OR(AND(K111&lt;&gt;"",LOWER(K111)&lt;&gt;"não consta"),AND(L111&lt;&gt;"",LOWER(L111)&lt;&gt;"não consta"),IFERROR(INDEX(Empresas!$G:$G,MATCH(A111,Empresas!$A:$A,0))&amp;"","")&lt;&gt;""),"SIM",""))</f>
        <v/>
      </c>
      <c r="N111" s="5"/>
      <c r="O111" s="32" t="str">
        <f aca="false">IF(D111="","",YEAR(D111))</f>
        <v/>
      </c>
      <c r="P111" s="5"/>
    </row>
    <row r="112" customFormat="false" ht="15" hidden="false" customHeight="false" outlineLevel="0" collapsed="false">
      <c r="A112" s="27"/>
      <c r="B112" s="5"/>
      <c r="C112" s="35"/>
      <c r="D112" s="18"/>
      <c r="E112" s="5"/>
      <c r="F112" s="14"/>
      <c r="G112" s="5"/>
      <c r="H112" s="27"/>
      <c r="I112" s="5"/>
      <c r="J112" s="19" t="str">
        <f aca="false">IF(A112="","",IFERROR(INDEX(Empresas!$D:$D,MATCH(A112,Empresas!$A:$A,0))&amp;"","não consta"))</f>
        <v/>
      </c>
      <c r="K112" s="19" t="str">
        <f aca="false">IF(A112="","",IFERROR(INDEX(Sancoes!$B:$B,MATCH(A112,Sancoes!$A:$A,0))&amp;"","não consta"))</f>
        <v/>
      </c>
      <c r="L112" s="19" t="str">
        <f aca="false">IF(A112="","",IFERROR(INDEX(Eleitoral!$B:$B,MATCH(A112,Eleitoral!$A:$A,0))&amp;"","não consta"))</f>
        <v/>
      </c>
      <c r="M112" s="28" t="str">
        <f aca="false">IF(A112="","",IF(OR(AND(K112&lt;&gt;"",LOWER(K112)&lt;&gt;"não consta"),AND(L112&lt;&gt;"",LOWER(L112)&lt;&gt;"não consta"),IFERROR(INDEX(Empresas!$G:$G,MATCH(A112,Empresas!$A:$A,0))&amp;"","")&lt;&gt;""),"SIM",""))</f>
        <v/>
      </c>
      <c r="N112" s="5"/>
      <c r="O112" s="32" t="str">
        <f aca="false">IF(D112="","",YEAR(D112))</f>
        <v/>
      </c>
      <c r="P112" s="5"/>
    </row>
    <row r="113" customFormat="false" ht="15" hidden="false" customHeight="false" outlineLevel="0" collapsed="false">
      <c r="A113" s="27"/>
      <c r="B113" s="5"/>
      <c r="C113" s="35"/>
      <c r="D113" s="18"/>
      <c r="E113" s="5"/>
      <c r="F113" s="14"/>
      <c r="G113" s="5"/>
      <c r="H113" s="27"/>
      <c r="I113" s="5"/>
      <c r="J113" s="19" t="str">
        <f aca="false">IF(A113="","",IFERROR(INDEX(Empresas!$D:$D,MATCH(A113,Empresas!$A:$A,0))&amp;"","não consta"))</f>
        <v/>
      </c>
      <c r="K113" s="19" t="str">
        <f aca="false">IF(A113="","",IFERROR(INDEX(Sancoes!$B:$B,MATCH(A113,Sancoes!$A:$A,0))&amp;"","não consta"))</f>
        <v/>
      </c>
      <c r="L113" s="19" t="str">
        <f aca="false">IF(A113="","",IFERROR(INDEX(Eleitoral!$B:$B,MATCH(A113,Eleitoral!$A:$A,0))&amp;"","não consta"))</f>
        <v/>
      </c>
      <c r="M113" s="28" t="str">
        <f aca="false">IF(A113="","",IF(OR(AND(K113&lt;&gt;"",LOWER(K113)&lt;&gt;"não consta"),AND(L113&lt;&gt;"",LOWER(L113)&lt;&gt;"não consta"),IFERROR(INDEX(Empresas!$G:$G,MATCH(A113,Empresas!$A:$A,0))&amp;"","")&lt;&gt;""),"SIM",""))</f>
        <v/>
      </c>
      <c r="N113" s="5"/>
      <c r="O113" s="32" t="str">
        <f aca="false">IF(D113="","",YEAR(D113))</f>
        <v/>
      </c>
      <c r="P113" s="5"/>
    </row>
    <row r="114" customFormat="false" ht="15" hidden="false" customHeight="false" outlineLevel="0" collapsed="false">
      <c r="A114" s="27"/>
      <c r="B114" s="5"/>
      <c r="C114" s="35"/>
      <c r="D114" s="18"/>
      <c r="E114" s="5"/>
      <c r="F114" s="14"/>
      <c r="G114" s="5"/>
      <c r="H114" s="27"/>
      <c r="I114" s="5"/>
      <c r="J114" s="19" t="str">
        <f aca="false">IF(A114="","",IFERROR(INDEX(Empresas!$D:$D,MATCH(A114,Empresas!$A:$A,0))&amp;"","não consta"))</f>
        <v/>
      </c>
      <c r="K114" s="19" t="str">
        <f aca="false">IF(A114="","",IFERROR(INDEX(Sancoes!$B:$B,MATCH(A114,Sancoes!$A:$A,0))&amp;"","não consta"))</f>
        <v/>
      </c>
      <c r="L114" s="19" t="str">
        <f aca="false">IF(A114="","",IFERROR(INDEX(Eleitoral!$B:$B,MATCH(A114,Eleitoral!$A:$A,0))&amp;"","não consta"))</f>
        <v/>
      </c>
      <c r="M114" s="28" t="str">
        <f aca="false">IF(A114="","",IF(OR(AND(K114&lt;&gt;"",LOWER(K114)&lt;&gt;"não consta"),AND(L114&lt;&gt;"",LOWER(L114)&lt;&gt;"não consta"),IFERROR(INDEX(Empresas!$G:$G,MATCH(A114,Empresas!$A:$A,0))&amp;"","")&lt;&gt;""),"SIM",""))</f>
        <v/>
      </c>
      <c r="N114" s="5"/>
      <c r="O114" s="32" t="str">
        <f aca="false">IF(D114="","",YEAR(D114))</f>
        <v/>
      </c>
      <c r="P114" s="5"/>
    </row>
    <row r="115" customFormat="false" ht="15" hidden="false" customHeight="false" outlineLevel="0" collapsed="false">
      <c r="A115" s="27"/>
      <c r="B115" s="5"/>
      <c r="C115" s="35"/>
      <c r="D115" s="18"/>
      <c r="E115" s="5"/>
      <c r="F115" s="14"/>
      <c r="G115" s="5"/>
      <c r="H115" s="27"/>
      <c r="I115" s="5"/>
      <c r="J115" s="19" t="str">
        <f aca="false">IF(A115="","",IFERROR(INDEX(Empresas!$D:$D,MATCH(A115,Empresas!$A:$A,0))&amp;"","não consta"))</f>
        <v/>
      </c>
      <c r="K115" s="19" t="str">
        <f aca="false">IF(A115="","",IFERROR(INDEX(Sancoes!$B:$B,MATCH(A115,Sancoes!$A:$A,0))&amp;"","não consta"))</f>
        <v/>
      </c>
      <c r="L115" s="19" t="str">
        <f aca="false">IF(A115="","",IFERROR(INDEX(Eleitoral!$B:$B,MATCH(A115,Eleitoral!$A:$A,0))&amp;"","não consta"))</f>
        <v/>
      </c>
      <c r="M115" s="28" t="str">
        <f aca="false">IF(A115="","",IF(OR(AND(K115&lt;&gt;"",LOWER(K115)&lt;&gt;"não consta"),AND(L115&lt;&gt;"",LOWER(L115)&lt;&gt;"não consta"),IFERROR(INDEX(Empresas!$G:$G,MATCH(A115,Empresas!$A:$A,0))&amp;"","")&lt;&gt;""),"SIM",""))</f>
        <v/>
      </c>
      <c r="N115" s="5"/>
      <c r="O115" s="32" t="str">
        <f aca="false">IF(D115="","",YEAR(D115))</f>
        <v/>
      </c>
      <c r="P115" s="5"/>
    </row>
    <row r="116" customFormat="false" ht="15" hidden="false" customHeight="false" outlineLevel="0" collapsed="false">
      <c r="A116" s="27"/>
      <c r="B116" s="5"/>
      <c r="C116" s="35"/>
      <c r="D116" s="18"/>
      <c r="E116" s="5"/>
      <c r="F116" s="14"/>
      <c r="G116" s="5"/>
      <c r="H116" s="27"/>
      <c r="I116" s="5"/>
      <c r="J116" s="19" t="str">
        <f aca="false">IF(A116="","",IFERROR(INDEX(Empresas!$D:$D,MATCH(A116,Empresas!$A:$A,0))&amp;"","não consta"))</f>
        <v/>
      </c>
      <c r="K116" s="19" t="str">
        <f aca="false">IF(A116="","",IFERROR(INDEX(Sancoes!$B:$B,MATCH(A116,Sancoes!$A:$A,0))&amp;"","não consta"))</f>
        <v/>
      </c>
      <c r="L116" s="19" t="str">
        <f aca="false">IF(A116="","",IFERROR(INDEX(Eleitoral!$B:$B,MATCH(A116,Eleitoral!$A:$A,0))&amp;"","não consta"))</f>
        <v/>
      </c>
      <c r="M116" s="28" t="str">
        <f aca="false">IF(A116="","",IF(OR(AND(K116&lt;&gt;"",LOWER(K116)&lt;&gt;"não consta"),AND(L116&lt;&gt;"",LOWER(L116)&lt;&gt;"não consta"),IFERROR(INDEX(Empresas!$G:$G,MATCH(A116,Empresas!$A:$A,0))&amp;"","")&lt;&gt;""),"SIM",""))</f>
        <v/>
      </c>
      <c r="N116" s="5"/>
      <c r="O116" s="32" t="str">
        <f aca="false">IF(D116="","",YEAR(D116))</f>
        <v/>
      </c>
      <c r="P116" s="5"/>
    </row>
    <row r="117" customFormat="false" ht="15" hidden="false" customHeight="false" outlineLevel="0" collapsed="false">
      <c r="A117" s="27"/>
      <c r="B117" s="5"/>
      <c r="C117" s="35"/>
      <c r="D117" s="18"/>
      <c r="E117" s="5"/>
      <c r="F117" s="14"/>
      <c r="G117" s="5"/>
      <c r="H117" s="27"/>
      <c r="I117" s="5"/>
      <c r="J117" s="19" t="str">
        <f aca="false">IF(A117="","",IFERROR(INDEX(Empresas!$D:$D,MATCH(A117,Empresas!$A:$A,0))&amp;"","não consta"))</f>
        <v/>
      </c>
      <c r="K117" s="19" t="str">
        <f aca="false">IF(A117="","",IFERROR(INDEX(Sancoes!$B:$B,MATCH(A117,Sancoes!$A:$A,0))&amp;"","não consta"))</f>
        <v/>
      </c>
      <c r="L117" s="19" t="str">
        <f aca="false">IF(A117="","",IFERROR(INDEX(Eleitoral!$B:$B,MATCH(A117,Eleitoral!$A:$A,0))&amp;"","não consta"))</f>
        <v/>
      </c>
      <c r="M117" s="28" t="str">
        <f aca="false">IF(A117="","",IF(OR(AND(K117&lt;&gt;"",LOWER(K117)&lt;&gt;"não consta"),AND(L117&lt;&gt;"",LOWER(L117)&lt;&gt;"não consta"),IFERROR(INDEX(Empresas!$G:$G,MATCH(A117,Empresas!$A:$A,0))&amp;"","")&lt;&gt;""),"SIM",""))</f>
        <v/>
      </c>
      <c r="N117" s="5"/>
      <c r="O117" s="32" t="str">
        <f aca="false">IF(D117="","",YEAR(D117))</f>
        <v/>
      </c>
      <c r="P117" s="5"/>
    </row>
    <row r="118" customFormat="false" ht="15" hidden="false" customHeight="false" outlineLevel="0" collapsed="false">
      <c r="A118" s="27"/>
      <c r="B118" s="5"/>
      <c r="C118" s="35"/>
      <c r="D118" s="18"/>
      <c r="E118" s="5"/>
      <c r="F118" s="14"/>
      <c r="G118" s="5"/>
      <c r="H118" s="27"/>
      <c r="I118" s="5"/>
      <c r="J118" s="19" t="str">
        <f aca="false">IF(A118="","",IFERROR(INDEX(Empresas!$D:$D,MATCH(A118,Empresas!$A:$A,0))&amp;"","não consta"))</f>
        <v/>
      </c>
      <c r="K118" s="19" t="str">
        <f aca="false">IF(A118="","",IFERROR(INDEX(Sancoes!$B:$B,MATCH(A118,Sancoes!$A:$A,0))&amp;"","não consta"))</f>
        <v/>
      </c>
      <c r="L118" s="19" t="str">
        <f aca="false">IF(A118="","",IFERROR(INDEX(Eleitoral!$B:$B,MATCH(A118,Eleitoral!$A:$A,0))&amp;"","não consta"))</f>
        <v/>
      </c>
      <c r="M118" s="28" t="str">
        <f aca="false">IF(A118="","",IF(OR(AND(K118&lt;&gt;"",LOWER(K118)&lt;&gt;"não consta"),AND(L118&lt;&gt;"",LOWER(L118)&lt;&gt;"não consta"),IFERROR(INDEX(Empresas!$G:$G,MATCH(A118,Empresas!$A:$A,0))&amp;"","")&lt;&gt;""),"SIM",""))</f>
        <v/>
      </c>
      <c r="N118" s="5"/>
      <c r="O118" s="32" t="str">
        <f aca="false">IF(D118="","",YEAR(D118))</f>
        <v/>
      </c>
      <c r="P118" s="5"/>
    </row>
    <row r="119" customFormat="false" ht="15" hidden="false" customHeight="false" outlineLevel="0" collapsed="false">
      <c r="A119" s="27"/>
      <c r="B119" s="5"/>
      <c r="C119" s="35"/>
      <c r="D119" s="18"/>
      <c r="E119" s="5"/>
      <c r="F119" s="14"/>
      <c r="G119" s="5"/>
      <c r="H119" s="27"/>
      <c r="I119" s="5"/>
      <c r="J119" s="19" t="str">
        <f aca="false">IF(A119="","",IFERROR(INDEX(Empresas!$D:$D,MATCH(A119,Empresas!$A:$A,0))&amp;"","não consta"))</f>
        <v/>
      </c>
      <c r="K119" s="19" t="str">
        <f aca="false">IF(A119="","",IFERROR(INDEX(Sancoes!$B:$B,MATCH(A119,Sancoes!$A:$A,0))&amp;"","não consta"))</f>
        <v/>
      </c>
      <c r="L119" s="19" t="str">
        <f aca="false">IF(A119="","",IFERROR(INDEX(Eleitoral!$B:$B,MATCH(A119,Eleitoral!$A:$A,0))&amp;"","não consta"))</f>
        <v/>
      </c>
      <c r="M119" s="28" t="str">
        <f aca="false">IF(A119="","",IF(OR(AND(K119&lt;&gt;"",LOWER(K119)&lt;&gt;"não consta"),AND(L119&lt;&gt;"",LOWER(L119)&lt;&gt;"não consta"),IFERROR(INDEX(Empresas!$G:$G,MATCH(A119,Empresas!$A:$A,0))&amp;"","")&lt;&gt;""),"SIM",""))</f>
        <v/>
      </c>
      <c r="N119" s="5"/>
      <c r="O119" s="32" t="str">
        <f aca="false">IF(D119="","",YEAR(D119))</f>
        <v/>
      </c>
      <c r="P119" s="5"/>
    </row>
    <row r="120" customFormat="false" ht="15" hidden="false" customHeight="false" outlineLevel="0" collapsed="false">
      <c r="A120" s="27"/>
      <c r="B120" s="5"/>
      <c r="C120" s="35"/>
      <c r="D120" s="18"/>
      <c r="E120" s="5"/>
      <c r="F120" s="14"/>
      <c r="G120" s="5"/>
      <c r="H120" s="27"/>
      <c r="I120" s="5"/>
      <c r="J120" s="19" t="str">
        <f aca="false">IF(A120="","",IFERROR(INDEX(Empresas!$D:$D,MATCH(A120,Empresas!$A:$A,0))&amp;"","não consta"))</f>
        <v/>
      </c>
      <c r="K120" s="19" t="str">
        <f aca="false">IF(A120="","",IFERROR(INDEX(Sancoes!$B:$B,MATCH(A120,Sancoes!$A:$A,0))&amp;"","não consta"))</f>
        <v/>
      </c>
      <c r="L120" s="19" t="str">
        <f aca="false">IF(A120="","",IFERROR(INDEX(Eleitoral!$B:$B,MATCH(A120,Eleitoral!$A:$A,0))&amp;"","não consta"))</f>
        <v/>
      </c>
      <c r="M120" s="28" t="str">
        <f aca="false">IF(A120="","",IF(OR(AND(K120&lt;&gt;"",LOWER(K120)&lt;&gt;"não consta"),AND(L120&lt;&gt;"",LOWER(L120)&lt;&gt;"não consta"),IFERROR(INDEX(Empresas!$G:$G,MATCH(A120,Empresas!$A:$A,0))&amp;"","")&lt;&gt;""),"SIM",""))</f>
        <v/>
      </c>
      <c r="N120" s="5"/>
      <c r="O120" s="32" t="str">
        <f aca="false">IF(D120="","",YEAR(D120))</f>
        <v/>
      </c>
      <c r="P120" s="5"/>
    </row>
    <row r="121" customFormat="false" ht="15" hidden="false" customHeight="false" outlineLevel="0" collapsed="false">
      <c r="A121" s="27"/>
      <c r="B121" s="5"/>
      <c r="C121" s="35"/>
      <c r="D121" s="18"/>
      <c r="E121" s="5"/>
      <c r="F121" s="14"/>
      <c r="G121" s="5"/>
      <c r="H121" s="27"/>
      <c r="I121" s="5"/>
      <c r="J121" s="19" t="str">
        <f aca="false">IF(A121="","",IFERROR(INDEX(Empresas!$D:$D,MATCH(A121,Empresas!$A:$A,0))&amp;"","não consta"))</f>
        <v/>
      </c>
      <c r="K121" s="19" t="str">
        <f aca="false">IF(A121="","",IFERROR(INDEX(Sancoes!$B:$B,MATCH(A121,Sancoes!$A:$A,0))&amp;"","não consta"))</f>
        <v/>
      </c>
      <c r="L121" s="19" t="str">
        <f aca="false">IF(A121="","",IFERROR(INDEX(Eleitoral!$B:$B,MATCH(A121,Eleitoral!$A:$A,0))&amp;"","não consta"))</f>
        <v/>
      </c>
      <c r="M121" s="28" t="str">
        <f aca="false">IF(A121="","",IF(OR(AND(K121&lt;&gt;"",LOWER(K121)&lt;&gt;"não consta"),AND(L121&lt;&gt;"",LOWER(L121)&lt;&gt;"não consta"),IFERROR(INDEX(Empresas!$G:$G,MATCH(A121,Empresas!$A:$A,0))&amp;"","")&lt;&gt;""),"SIM",""))</f>
        <v/>
      </c>
      <c r="N121" s="5"/>
      <c r="O121" s="32" t="str">
        <f aca="false">IF(D121="","",YEAR(D121))</f>
        <v/>
      </c>
      <c r="P121" s="5"/>
    </row>
    <row r="122" customFormat="false" ht="15" hidden="false" customHeight="false" outlineLevel="0" collapsed="false">
      <c r="A122" s="27"/>
      <c r="B122" s="5"/>
      <c r="C122" s="35"/>
      <c r="D122" s="18"/>
      <c r="E122" s="5"/>
      <c r="F122" s="14"/>
      <c r="G122" s="5"/>
      <c r="H122" s="27"/>
      <c r="I122" s="5"/>
      <c r="J122" s="19" t="str">
        <f aca="false">IF(A122="","",IFERROR(INDEX(Empresas!$D:$D,MATCH(A122,Empresas!$A:$A,0))&amp;"","não consta"))</f>
        <v/>
      </c>
      <c r="K122" s="19" t="str">
        <f aca="false">IF(A122="","",IFERROR(INDEX(Sancoes!$B:$B,MATCH(A122,Sancoes!$A:$A,0))&amp;"","não consta"))</f>
        <v/>
      </c>
      <c r="L122" s="19" t="str">
        <f aca="false">IF(A122="","",IFERROR(INDEX(Eleitoral!$B:$B,MATCH(A122,Eleitoral!$A:$A,0))&amp;"","não consta"))</f>
        <v/>
      </c>
      <c r="M122" s="28" t="str">
        <f aca="false">IF(A122="","",IF(OR(AND(K122&lt;&gt;"",LOWER(K122)&lt;&gt;"não consta"),AND(L122&lt;&gt;"",LOWER(L122)&lt;&gt;"não consta"),IFERROR(INDEX(Empresas!$G:$G,MATCH(A122,Empresas!$A:$A,0))&amp;"","")&lt;&gt;""),"SIM",""))</f>
        <v/>
      </c>
      <c r="N122" s="5"/>
      <c r="O122" s="32" t="str">
        <f aca="false">IF(D122="","",YEAR(D122))</f>
        <v/>
      </c>
      <c r="P122" s="5"/>
    </row>
    <row r="123" customFormat="false" ht="15" hidden="false" customHeight="false" outlineLevel="0" collapsed="false">
      <c r="A123" s="27"/>
      <c r="B123" s="5"/>
      <c r="C123" s="35"/>
      <c r="D123" s="18"/>
      <c r="E123" s="5"/>
      <c r="F123" s="14"/>
      <c r="G123" s="5"/>
      <c r="H123" s="27"/>
      <c r="I123" s="5"/>
      <c r="J123" s="19" t="str">
        <f aca="false">IF(A123="","",IFERROR(INDEX(Empresas!$D:$D,MATCH(A123,Empresas!$A:$A,0))&amp;"","não consta"))</f>
        <v/>
      </c>
      <c r="K123" s="19" t="str">
        <f aca="false">IF(A123="","",IFERROR(INDEX(Sancoes!$B:$B,MATCH(A123,Sancoes!$A:$A,0))&amp;"","não consta"))</f>
        <v/>
      </c>
      <c r="L123" s="19" t="str">
        <f aca="false">IF(A123="","",IFERROR(INDEX(Eleitoral!$B:$B,MATCH(A123,Eleitoral!$A:$A,0))&amp;"","não consta"))</f>
        <v/>
      </c>
      <c r="M123" s="28" t="str">
        <f aca="false">IF(A123="","",IF(OR(AND(K123&lt;&gt;"",LOWER(K123)&lt;&gt;"não consta"),AND(L123&lt;&gt;"",LOWER(L123)&lt;&gt;"não consta"),IFERROR(INDEX(Empresas!$G:$G,MATCH(A123,Empresas!$A:$A,0))&amp;"","")&lt;&gt;""),"SIM",""))</f>
        <v/>
      </c>
      <c r="N123" s="5"/>
      <c r="O123" s="32" t="str">
        <f aca="false">IF(D123="","",YEAR(D123))</f>
        <v/>
      </c>
      <c r="P123" s="5"/>
    </row>
    <row r="124" customFormat="false" ht="15" hidden="false" customHeight="false" outlineLevel="0" collapsed="false">
      <c r="A124" s="27"/>
      <c r="B124" s="5"/>
      <c r="C124" s="35"/>
      <c r="D124" s="18"/>
      <c r="E124" s="5"/>
      <c r="F124" s="14"/>
      <c r="G124" s="5"/>
      <c r="H124" s="27"/>
      <c r="I124" s="5"/>
      <c r="J124" s="19" t="str">
        <f aca="false">IF(A124="","",IFERROR(INDEX(Empresas!$D:$D,MATCH(A124,Empresas!$A:$A,0))&amp;"","não consta"))</f>
        <v/>
      </c>
      <c r="K124" s="19" t="str">
        <f aca="false">IF(A124="","",IFERROR(INDEX(Sancoes!$B:$B,MATCH(A124,Sancoes!$A:$A,0))&amp;"","não consta"))</f>
        <v/>
      </c>
      <c r="L124" s="19" t="str">
        <f aca="false">IF(A124="","",IFERROR(INDEX(Eleitoral!$B:$B,MATCH(A124,Eleitoral!$A:$A,0))&amp;"","não consta"))</f>
        <v/>
      </c>
      <c r="M124" s="28" t="str">
        <f aca="false">IF(A124="","",IF(OR(AND(K124&lt;&gt;"",LOWER(K124)&lt;&gt;"não consta"),AND(L124&lt;&gt;"",LOWER(L124)&lt;&gt;"não consta"),IFERROR(INDEX(Empresas!$G:$G,MATCH(A124,Empresas!$A:$A,0))&amp;"","")&lt;&gt;""),"SIM",""))</f>
        <v/>
      </c>
      <c r="N124" s="5"/>
      <c r="O124" s="32" t="str">
        <f aca="false">IF(D124="","",YEAR(D124))</f>
        <v/>
      </c>
      <c r="P124" s="5"/>
    </row>
    <row r="125" customFormat="false" ht="15" hidden="false" customHeight="false" outlineLevel="0" collapsed="false">
      <c r="A125" s="27"/>
      <c r="B125" s="5"/>
      <c r="C125" s="35"/>
      <c r="D125" s="18"/>
      <c r="E125" s="5"/>
      <c r="F125" s="14"/>
      <c r="G125" s="5"/>
      <c r="H125" s="27"/>
      <c r="I125" s="5"/>
      <c r="J125" s="19" t="str">
        <f aca="false">IF(A125="","",IFERROR(INDEX(Empresas!$D:$D,MATCH(A125,Empresas!$A:$A,0))&amp;"","não consta"))</f>
        <v/>
      </c>
      <c r="K125" s="19" t="str">
        <f aca="false">IF(A125="","",IFERROR(INDEX(Sancoes!$B:$B,MATCH(A125,Sancoes!$A:$A,0))&amp;"","não consta"))</f>
        <v/>
      </c>
      <c r="L125" s="19" t="str">
        <f aca="false">IF(A125="","",IFERROR(INDEX(Eleitoral!$B:$B,MATCH(A125,Eleitoral!$A:$A,0))&amp;"","não consta"))</f>
        <v/>
      </c>
      <c r="M125" s="28" t="str">
        <f aca="false">IF(A125="","",IF(OR(AND(K125&lt;&gt;"",LOWER(K125)&lt;&gt;"não consta"),AND(L125&lt;&gt;"",LOWER(L125)&lt;&gt;"não consta"),IFERROR(INDEX(Empresas!$G:$G,MATCH(A125,Empresas!$A:$A,0))&amp;"","")&lt;&gt;""),"SIM",""))</f>
        <v/>
      </c>
      <c r="N125" s="5"/>
      <c r="O125" s="32" t="str">
        <f aca="false">IF(D125="","",YEAR(D125))</f>
        <v/>
      </c>
      <c r="P125" s="5"/>
    </row>
    <row r="126" customFormat="false" ht="15" hidden="false" customHeight="false" outlineLevel="0" collapsed="false">
      <c r="A126" s="27"/>
      <c r="B126" s="5"/>
      <c r="C126" s="35"/>
      <c r="D126" s="18"/>
      <c r="E126" s="5"/>
      <c r="F126" s="14"/>
      <c r="G126" s="5"/>
      <c r="H126" s="27"/>
      <c r="I126" s="5"/>
      <c r="J126" s="19" t="str">
        <f aca="false">IF(A126="","",IFERROR(INDEX(Empresas!$D:$D,MATCH(A126,Empresas!$A:$A,0))&amp;"","não consta"))</f>
        <v/>
      </c>
      <c r="K126" s="19" t="str">
        <f aca="false">IF(A126="","",IFERROR(INDEX(Sancoes!$B:$B,MATCH(A126,Sancoes!$A:$A,0))&amp;"","não consta"))</f>
        <v/>
      </c>
      <c r="L126" s="19" t="str">
        <f aca="false">IF(A126="","",IFERROR(INDEX(Eleitoral!$B:$B,MATCH(A126,Eleitoral!$A:$A,0))&amp;"","não consta"))</f>
        <v/>
      </c>
      <c r="M126" s="28" t="str">
        <f aca="false">IF(A126="","",IF(OR(AND(K126&lt;&gt;"",LOWER(K126)&lt;&gt;"não consta"),AND(L126&lt;&gt;"",LOWER(L126)&lt;&gt;"não consta"),IFERROR(INDEX(Empresas!$G:$G,MATCH(A126,Empresas!$A:$A,0))&amp;"","")&lt;&gt;""),"SIM",""))</f>
        <v/>
      </c>
      <c r="N126" s="5"/>
      <c r="O126" s="32" t="str">
        <f aca="false">IF(D126="","",YEAR(D126))</f>
        <v/>
      </c>
      <c r="P126" s="5"/>
    </row>
    <row r="127" customFormat="false" ht="15" hidden="false" customHeight="false" outlineLevel="0" collapsed="false">
      <c r="A127" s="27"/>
      <c r="B127" s="5"/>
      <c r="C127" s="35"/>
      <c r="D127" s="18"/>
      <c r="E127" s="5"/>
      <c r="F127" s="14"/>
      <c r="G127" s="5"/>
      <c r="H127" s="27"/>
      <c r="I127" s="5"/>
      <c r="J127" s="19" t="str">
        <f aca="false">IF(A127="","",IFERROR(INDEX(Empresas!$D:$D,MATCH(A127,Empresas!$A:$A,0))&amp;"","não consta"))</f>
        <v/>
      </c>
      <c r="K127" s="19" t="str">
        <f aca="false">IF(A127="","",IFERROR(INDEX(Sancoes!$B:$B,MATCH(A127,Sancoes!$A:$A,0))&amp;"","não consta"))</f>
        <v/>
      </c>
      <c r="L127" s="19" t="str">
        <f aca="false">IF(A127="","",IFERROR(INDEX(Eleitoral!$B:$B,MATCH(A127,Eleitoral!$A:$A,0))&amp;"","não consta"))</f>
        <v/>
      </c>
      <c r="M127" s="28" t="str">
        <f aca="false">IF(A127="","",IF(OR(AND(K127&lt;&gt;"",LOWER(K127)&lt;&gt;"não consta"),AND(L127&lt;&gt;"",LOWER(L127)&lt;&gt;"não consta"),IFERROR(INDEX(Empresas!$G:$G,MATCH(A127,Empresas!$A:$A,0))&amp;"","")&lt;&gt;""),"SIM",""))</f>
        <v/>
      </c>
      <c r="N127" s="5"/>
      <c r="O127" s="32" t="str">
        <f aca="false">IF(D127="","",YEAR(D127))</f>
        <v/>
      </c>
      <c r="P127" s="5"/>
    </row>
    <row r="128" customFormat="false" ht="15" hidden="false" customHeight="false" outlineLevel="0" collapsed="false">
      <c r="A128" s="27"/>
      <c r="B128" s="5"/>
      <c r="C128" s="35"/>
      <c r="D128" s="18"/>
      <c r="E128" s="5"/>
      <c r="F128" s="14"/>
      <c r="G128" s="5"/>
      <c r="H128" s="27"/>
      <c r="I128" s="5"/>
      <c r="J128" s="19" t="str">
        <f aca="false">IF(A128="","",IFERROR(INDEX(Empresas!$D:$D,MATCH(A128,Empresas!$A:$A,0))&amp;"","não consta"))</f>
        <v/>
      </c>
      <c r="K128" s="19" t="str">
        <f aca="false">IF(A128="","",IFERROR(INDEX(Sancoes!$B:$B,MATCH(A128,Sancoes!$A:$A,0))&amp;"","não consta"))</f>
        <v/>
      </c>
      <c r="L128" s="19" t="str">
        <f aca="false">IF(A128="","",IFERROR(INDEX(Eleitoral!$B:$B,MATCH(A128,Eleitoral!$A:$A,0))&amp;"","não consta"))</f>
        <v/>
      </c>
      <c r="M128" s="28" t="str">
        <f aca="false">IF(A128="","",IF(OR(AND(K128&lt;&gt;"",LOWER(K128)&lt;&gt;"não consta"),AND(L128&lt;&gt;"",LOWER(L128)&lt;&gt;"não consta"),IFERROR(INDEX(Empresas!$G:$G,MATCH(A128,Empresas!$A:$A,0))&amp;"","")&lt;&gt;""),"SIM",""))</f>
        <v/>
      </c>
      <c r="N128" s="5"/>
      <c r="O128" s="32" t="str">
        <f aca="false">IF(D128="","",YEAR(D128))</f>
        <v/>
      </c>
      <c r="P128" s="5"/>
    </row>
    <row r="129" customFormat="false" ht="15" hidden="false" customHeight="false" outlineLevel="0" collapsed="false">
      <c r="A129" s="27"/>
      <c r="B129" s="5"/>
      <c r="C129" s="35"/>
      <c r="D129" s="18"/>
      <c r="E129" s="5"/>
      <c r="F129" s="14"/>
      <c r="G129" s="5"/>
      <c r="H129" s="27"/>
      <c r="I129" s="5"/>
      <c r="J129" s="19" t="str">
        <f aca="false">IF(A129="","",IFERROR(INDEX(Empresas!$D:$D,MATCH(A129,Empresas!$A:$A,0))&amp;"","não consta"))</f>
        <v/>
      </c>
      <c r="K129" s="19" t="str">
        <f aca="false">IF(A129="","",IFERROR(INDEX(Sancoes!$B:$B,MATCH(A129,Sancoes!$A:$A,0))&amp;"","não consta"))</f>
        <v/>
      </c>
      <c r="L129" s="19" t="str">
        <f aca="false">IF(A129="","",IFERROR(INDEX(Eleitoral!$B:$B,MATCH(A129,Eleitoral!$A:$A,0))&amp;"","não consta"))</f>
        <v/>
      </c>
      <c r="M129" s="28" t="str">
        <f aca="false">IF(A129="","",IF(OR(AND(K129&lt;&gt;"",LOWER(K129)&lt;&gt;"não consta"),AND(L129&lt;&gt;"",LOWER(L129)&lt;&gt;"não consta"),IFERROR(INDEX(Empresas!$G:$G,MATCH(A129,Empresas!$A:$A,0))&amp;"","")&lt;&gt;""),"SIM",""))</f>
        <v/>
      </c>
      <c r="N129" s="5"/>
      <c r="O129" s="32" t="str">
        <f aca="false">IF(D129="","",YEAR(D129))</f>
        <v/>
      </c>
      <c r="P129" s="5"/>
    </row>
    <row r="130" customFormat="false" ht="15" hidden="false" customHeight="false" outlineLevel="0" collapsed="false">
      <c r="A130" s="27"/>
      <c r="B130" s="5"/>
      <c r="C130" s="35"/>
      <c r="D130" s="18"/>
      <c r="E130" s="5"/>
      <c r="F130" s="14"/>
      <c r="G130" s="5"/>
      <c r="H130" s="27"/>
      <c r="I130" s="5"/>
      <c r="J130" s="19" t="str">
        <f aca="false">IF(A130="","",IFERROR(INDEX(Empresas!$D:$D,MATCH(A130,Empresas!$A:$A,0))&amp;"","não consta"))</f>
        <v/>
      </c>
      <c r="K130" s="19" t="str">
        <f aca="false">IF(A130="","",IFERROR(INDEX(Sancoes!$B:$B,MATCH(A130,Sancoes!$A:$A,0))&amp;"","não consta"))</f>
        <v/>
      </c>
      <c r="L130" s="19" t="str">
        <f aca="false">IF(A130="","",IFERROR(INDEX(Eleitoral!$B:$B,MATCH(A130,Eleitoral!$A:$A,0))&amp;"","não consta"))</f>
        <v/>
      </c>
      <c r="M130" s="28" t="str">
        <f aca="false">IF(A130="","",IF(OR(AND(K130&lt;&gt;"",LOWER(K130)&lt;&gt;"não consta"),AND(L130&lt;&gt;"",LOWER(L130)&lt;&gt;"não consta"),IFERROR(INDEX(Empresas!$G:$G,MATCH(A130,Empresas!$A:$A,0))&amp;"","")&lt;&gt;""),"SIM",""))</f>
        <v/>
      </c>
      <c r="N130" s="5"/>
      <c r="O130" s="32" t="str">
        <f aca="false">IF(D130="","",YEAR(D130))</f>
        <v/>
      </c>
      <c r="P130" s="5"/>
    </row>
    <row r="131" customFormat="false" ht="15" hidden="false" customHeight="false" outlineLevel="0" collapsed="false">
      <c r="A131" s="27"/>
      <c r="B131" s="5"/>
      <c r="C131" s="35"/>
      <c r="D131" s="18"/>
      <c r="E131" s="5"/>
      <c r="F131" s="14"/>
      <c r="G131" s="5"/>
      <c r="H131" s="27"/>
      <c r="I131" s="5"/>
      <c r="J131" s="19" t="str">
        <f aca="false">IF(A131="","",IFERROR(INDEX(Empresas!$D:$D,MATCH(A131,Empresas!$A:$A,0))&amp;"","não consta"))</f>
        <v/>
      </c>
      <c r="K131" s="19" t="str">
        <f aca="false">IF(A131="","",IFERROR(INDEX(Sancoes!$B:$B,MATCH(A131,Sancoes!$A:$A,0))&amp;"","não consta"))</f>
        <v/>
      </c>
      <c r="L131" s="19" t="str">
        <f aca="false">IF(A131="","",IFERROR(INDEX(Eleitoral!$B:$B,MATCH(A131,Eleitoral!$A:$A,0))&amp;"","não consta"))</f>
        <v/>
      </c>
      <c r="M131" s="28" t="str">
        <f aca="false">IF(A131="","",IF(OR(AND(K131&lt;&gt;"",LOWER(K131)&lt;&gt;"não consta"),AND(L131&lt;&gt;"",LOWER(L131)&lt;&gt;"não consta"),IFERROR(INDEX(Empresas!$G:$G,MATCH(A131,Empresas!$A:$A,0))&amp;"","")&lt;&gt;""),"SIM",""))</f>
        <v/>
      </c>
      <c r="N131" s="5"/>
      <c r="O131" s="32" t="str">
        <f aca="false">IF(D131="","",YEAR(D131))</f>
        <v/>
      </c>
      <c r="P131" s="5"/>
    </row>
    <row r="132" customFormat="false" ht="15" hidden="false" customHeight="false" outlineLevel="0" collapsed="false">
      <c r="A132" s="27"/>
      <c r="B132" s="5"/>
      <c r="C132" s="35"/>
      <c r="D132" s="18"/>
      <c r="E132" s="5"/>
      <c r="F132" s="14"/>
      <c r="G132" s="5"/>
      <c r="H132" s="27"/>
      <c r="I132" s="5"/>
      <c r="J132" s="19" t="str">
        <f aca="false">IF(A132="","",IFERROR(INDEX(Empresas!$D:$D,MATCH(A132,Empresas!$A:$A,0))&amp;"","não consta"))</f>
        <v/>
      </c>
      <c r="K132" s="19" t="str">
        <f aca="false">IF(A132="","",IFERROR(INDEX(Sancoes!$B:$B,MATCH(A132,Sancoes!$A:$A,0))&amp;"","não consta"))</f>
        <v/>
      </c>
      <c r="L132" s="19" t="str">
        <f aca="false">IF(A132="","",IFERROR(INDEX(Eleitoral!$B:$B,MATCH(A132,Eleitoral!$A:$A,0))&amp;"","não consta"))</f>
        <v/>
      </c>
      <c r="M132" s="28" t="str">
        <f aca="false">IF(A132="","",IF(OR(AND(K132&lt;&gt;"",LOWER(K132)&lt;&gt;"não consta"),AND(L132&lt;&gt;"",LOWER(L132)&lt;&gt;"não consta"),IFERROR(INDEX(Empresas!$G:$G,MATCH(A132,Empresas!$A:$A,0))&amp;"","")&lt;&gt;""),"SIM",""))</f>
        <v/>
      </c>
      <c r="N132" s="5"/>
      <c r="O132" s="32" t="str">
        <f aca="false">IF(D132="","",YEAR(D132))</f>
        <v/>
      </c>
      <c r="P132" s="5"/>
    </row>
    <row r="133" customFormat="false" ht="15" hidden="false" customHeight="false" outlineLevel="0" collapsed="false">
      <c r="A133" s="27"/>
      <c r="B133" s="5"/>
      <c r="C133" s="35"/>
      <c r="D133" s="18"/>
      <c r="E133" s="5"/>
      <c r="F133" s="14"/>
      <c r="G133" s="5"/>
      <c r="H133" s="27"/>
      <c r="I133" s="5"/>
      <c r="J133" s="19" t="str">
        <f aca="false">IF(A133="","",IFERROR(INDEX(Empresas!$D:$D,MATCH(A133,Empresas!$A:$A,0))&amp;"","não consta"))</f>
        <v/>
      </c>
      <c r="K133" s="19" t="str">
        <f aca="false">IF(A133="","",IFERROR(INDEX(Sancoes!$B:$B,MATCH(A133,Sancoes!$A:$A,0))&amp;"","não consta"))</f>
        <v/>
      </c>
      <c r="L133" s="19" t="str">
        <f aca="false">IF(A133="","",IFERROR(INDEX(Eleitoral!$B:$B,MATCH(A133,Eleitoral!$A:$A,0))&amp;"","não consta"))</f>
        <v/>
      </c>
      <c r="M133" s="28" t="str">
        <f aca="false">IF(A133="","",IF(OR(AND(K133&lt;&gt;"",LOWER(K133)&lt;&gt;"não consta"),AND(L133&lt;&gt;"",LOWER(L133)&lt;&gt;"não consta"),IFERROR(INDEX(Empresas!$G:$G,MATCH(A133,Empresas!$A:$A,0))&amp;"","")&lt;&gt;""),"SIM",""))</f>
        <v/>
      </c>
      <c r="N133" s="5"/>
      <c r="O133" s="32" t="str">
        <f aca="false">IF(D133="","",YEAR(D133))</f>
        <v/>
      </c>
      <c r="P133" s="5"/>
    </row>
    <row r="134" customFormat="false" ht="15" hidden="false" customHeight="false" outlineLevel="0" collapsed="false">
      <c r="A134" s="27"/>
      <c r="B134" s="5"/>
      <c r="C134" s="35"/>
      <c r="D134" s="18"/>
      <c r="E134" s="5"/>
      <c r="F134" s="14"/>
      <c r="G134" s="5"/>
      <c r="H134" s="27"/>
      <c r="I134" s="5"/>
      <c r="J134" s="19" t="str">
        <f aca="false">IF(A134="","",IFERROR(INDEX(Empresas!$D:$D,MATCH(A134,Empresas!$A:$A,0))&amp;"","não consta"))</f>
        <v/>
      </c>
      <c r="K134" s="19" t="str">
        <f aca="false">IF(A134="","",IFERROR(INDEX(Sancoes!$B:$B,MATCH(A134,Sancoes!$A:$A,0))&amp;"","não consta"))</f>
        <v/>
      </c>
      <c r="L134" s="19" t="str">
        <f aca="false">IF(A134="","",IFERROR(INDEX(Eleitoral!$B:$B,MATCH(A134,Eleitoral!$A:$A,0))&amp;"","não consta"))</f>
        <v/>
      </c>
      <c r="M134" s="28" t="str">
        <f aca="false">IF(A134="","",IF(OR(AND(K134&lt;&gt;"",LOWER(K134)&lt;&gt;"não consta"),AND(L134&lt;&gt;"",LOWER(L134)&lt;&gt;"não consta"),IFERROR(INDEX(Empresas!$G:$G,MATCH(A134,Empresas!$A:$A,0))&amp;"","")&lt;&gt;""),"SIM",""))</f>
        <v/>
      </c>
      <c r="N134" s="5"/>
      <c r="O134" s="32" t="str">
        <f aca="false">IF(D134="","",YEAR(D134))</f>
        <v/>
      </c>
      <c r="P134" s="5"/>
    </row>
    <row r="135" customFormat="false" ht="15" hidden="false" customHeight="false" outlineLevel="0" collapsed="false">
      <c r="A135" s="27"/>
      <c r="B135" s="5"/>
      <c r="C135" s="35"/>
      <c r="D135" s="18"/>
      <c r="E135" s="5"/>
      <c r="F135" s="14"/>
      <c r="G135" s="5"/>
      <c r="H135" s="27"/>
      <c r="I135" s="5"/>
      <c r="J135" s="19" t="str">
        <f aca="false">IF(A135="","",IFERROR(INDEX(Empresas!$D:$D,MATCH(A135,Empresas!$A:$A,0))&amp;"","não consta"))</f>
        <v/>
      </c>
      <c r="K135" s="19" t="str">
        <f aca="false">IF(A135="","",IFERROR(INDEX(Sancoes!$B:$B,MATCH(A135,Sancoes!$A:$A,0))&amp;"","não consta"))</f>
        <v/>
      </c>
      <c r="L135" s="19" t="str">
        <f aca="false">IF(A135="","",IFERROR(INDEX(Eleitoral!$B:$B,MATCH(A135,Eleitoral!$A:$A,0))&amp;"","não consta"))</f>
        <v/>
      </c>
      <c r="M135" s="28" t="str">
        <f aca="false">IF(A135="","",IF(OR(AND(K135&lt;&gt;"",LOWER(K135)&lt;&gt;"não consta"),AND(L135&lt;&gt;"",LOWER(L135)&lt;&gt;"não consta"),IFERROR(INDEX(Empresas!$G:$G,MATCH(A135,Empresas!$A:$A,0))&amp;"","")&lt;&gt;""),"SIM",""))</f>
        <v/>
      </c>
      <c r="N135" s="5"/>
      <c r="O135" s="32" t="str">
        <f aca="false">IF(D135="","",YEAR(D135))</f>
        <v/>
      </c>
      <c r="P135" s="5"/>
    </row>
    <row r="136" customFormat="false" ht="15" hidden="false" customHeight="false" outlineLevel="0" collapsed="false">
      <c r="A136" s="27"/>
      <c r="B136" s="5"/>
      <c r="C136" s="35"/>
      <c r="D136" s="18"/>
      <c r="E136" s="5"/>
      <c r="F136" s="14"/>
      <c r="G136" s="5"/>
      <c r="H136" s="27"/>
      <c r="I136" s="5"/>
      <c r="J136" s="19" t="str">
        <f aca="false">IF(A136="","",IFERROR(INDEX(Empresas!$D:$D,MATCH(A136,Empresas!$A:$A,0))&amp;"","não consta"))</f>
        <v/>
      </c>
      <c r="K136" s="19" t="str">
        <f aca="false">IF(A136="","",IFERROR(INDEX(Sancoes!$B:$B,MATCH(A136,Sancoes!$A:$A,0))&amp;"","não consta"))</f>
        <v/>
      </c>
      <c r="L136" s="19" t="str">
        <f aca="false">IF(A136="","",IFERROR(INDEX(Eleitoral!$B:$B,MATCH(A136,Eleitoral!$A:$A,0))&amp;"","não consta"))</f>
        <v/>
      </c>
      <c r="M136" s="28" t="str">
        <f aca="false">IF(A136="","",IF(OR(AND(K136&lt;&gt;"",LOWER(K136)&lt;&gt;"não consta"),AND(L136&lt;&gt;"",LOWER(L136)&lt;&gt;"não consta"),IFERROR(INDEX(Empresas!$G:$G,MATCH(A136,Empresas!$A:$A,0))&amp;"","")&lt;&gt;""),"SIM",""))</f>
        <v/>
      </c>
      <c r="N136" s="5"/>
      <c r="O136" s="32" t="str">
        <f aca="false">IF(D136="","",YEAR(D136))</f>
        <v/>
      </c>
      <c r="P136" s="5"/>
    </row>
    <row r="137" customFormat="false" ht="15" hidden="false" customHeight="false" outlineLevel="0" collapsed="false">
      <c r="A137" s="27"/>
      <c r="B137" s="5"/>
      <c r="C137" s="35"/>
      <c r="D137" s="18"/>
      <c r="E137" s="5"/>
      <c r="F137" s="14"/>
      <c r="G137" s="5"/>
      <c r="H137" s="27"/>
      <c r="I137" s="5"/>
      <c r="J137" s="19" t="str">
        <f aca="false">IF(A137="","",IFERROR(INDEX(Empresas!$D:$D,MATCH(A137,Empresas!$A:$A,0))&amp;"","não consta"))</f>
        <v/>
      </c>
      <c r="K137" s="19" t="str">
        <f aca="false">IF(A137="","",IFERROR(INDEX(Sancoes!$B:$B,MATCH(A137,Sancoes!$A:$A,0))&amp;"","não consta"))</f>
        <v/>
      </c>
      <c r="L137" s="19" t="str">
        <f aca="false">IF(A137="","",IFERROR(INDEX(Eleitoral!$B:$B,MATCH(A137,Eleitoral!$A:$A,0))&amp;"","não consta"))</f>
        <v/>
      </c>
      <c r="M137" s="28" t="str">
        <f aca="false">IF(A137="","",IF(OR(AND(K137&lt;&gt;"",LOWER(K137)&lt;&gt;"não consta"),AND(L137&lt;&gt;"",LOWER(L137)&lt;&gt;"não consta"),IFERROR(INDEX(Empresas!$G:$G,MATCH(A137,Empresas!$A:$A,0))&amp;"","")&lt;&gt;""),"SIM",""))</f>
        <v/>
      </c>
      <c r="N137" s="5"/>
      <c r="O137" s="32" t="str">
        <f aca="false">IF(D137="","",YEAR(D137))</f>
        <v/>
      </c>
      <c r="P137" s="5"/>
    </row>
    <row r="138" customFormat="false" ht="15" hidden="false" customHeight="false" outlineLevel="0" collapsed="false">
      <c r="A138" s="27"/>
      <c r="B138" s="5"/>
      <c r="C138" s="35"/>
      <c r="D138" s="18"/>
      <c r="E138" s="5"/>
      <c r="F138" s="14"/>
      <c r="G138" s="5"/>
      <c r="H138" s="27"/>
      <c r="I138" s="5"/>
      <c r="J138" s="19" t="str">
        <f aca="false">IF(A138="","",IFERROR(INDEX(Empresas!$D:$D,MATCH(A138,Empresas!$A:$A,0))&amp;"","não consta"))</f>
        <v/>
      </c>
      <c r="K138" s="19" t="str">
        <f aca="false">IF(A138="","",IFERROR(INDEX(Sancoes!$B:$B,MATCH(A138,Sancoes!$A:$A,0))&amp;"","não consta"))</f>
        <v/>
      </c>
      <c r="L138" s="19" t="str">
        <f aca="false">IF(A138="","",IFERROR(INDEX(Eleitoral!$B:$B,MATCH(A138,Eleitoral!$A:$A,0))&amp;"","não consta"))</f>
        <v/>
      </c>
      <c r="M138" s="28" t="str">
        <f aca="false">IF(A138="","",IF(OR(AND(K138&lt;&gt;"",LOWER(K138)&lt;&gt;"não consta"),AND(L138&lt;&gt;"",LOWER(L138)&lt;&gt;"não consta"),IFERROR(INDEX(Empresas!$G:$G,MATCH(A138,Empresas!$A:$A,0))&amp;"","")&lt;&gt;""),"SIM",""))</f>
        <v/>
      </c>
      <c r="N138" s="5"/>
      <c r="O138" s="32" t="str">
        <f aca="false">IF(D138="","",YEAR(D138))</f>
        <v/>
      </c>
      <c r="P138" s="5"/>
    </row>
    <row r="139" customFormat="false" ht="15" hidden="false" customHeight="false" outlineLevel="0" collapsed="false">
      <c r="A139" s="27"/>
      <c r="B139" s="5"/>
      <c r="C139" s="35"/>
      <c r="D139" s="18"/>
      <c r="E139" s="5"/>
      <c r="F139" s="14"/>
      <c r="G139" s="5"/>
      <c r="H139" s="27"/>
      <c r="I139" s="5"/>
      <c r="J139" s="19" t="str">
        <f aca="false">IF(A139="","",IFERROR(INDEX(Empresas!$D:$D,MATCH(A139,Empresas!$A:$A,0))&amp;"","não consta"))</f>
        <v/>
      </c>
      <c r="K139" s="19" t="str">
        <f aca="false">IF(A139="","",IFERROR(INDEX(Sancoes!$B:$B,MATCH(A139,Sancoes!$A:$A,0))&amp;"","não consta"))</f>
        <v/>
      </c>
      <c r="L139" s="19" t="str">
        <f aca="false">IF(A139="","",IFERROR(INDEX(Eleitoral!$B:$B,MATCH(A139,Eleitoral!$A:$A,0))&amp;"","não consta"))</f>
        <v/>
      </c>
      <c r="M139" s="28" t="str">
        <f aca="false">IF(A139="","",IF(OR(AND(K139&lt;&gt;"",LOWER(K139)&lt;&gt;"não consta"),AND(L139&lt;&gt;"",LOWER(L139)&lt;&gt;"não consta"),IFERROR(INDEX(Empresas!$G:$G,MATCH(A139,Empresas!$A:$A,0))&amp;"","")&lt;&gt;""),"SIM",""))</f>
        <v/>
      </c>
      <c r="N139" s="5"/>
      <c r="O139" s="32" t="str">
        <f aca="false">IF(D139="","",YEAR(D139))</f>
        <v/>
      </c>
      <c r="P139" s="5"/>
    </row>
    <row r="140" customFormat="false" ht="15" hidden="false" customHeight="false" outlineLevel="0" collapsed="false">
      <c r="A140" s="27"/>
      <c r="B140" s="5"/>
      <c r="C140" s="35"/>
      <c r="D140" s="18"/>
      <c r="E140" s="5"/>
      <c r="F140" s="14"/>
      <c r="G140" s="5"/>
      <c r="H140" s="27"/>
      <c r="I140" s="5"/>
      <c r="J140" s="19" t="str">
        <f aca="false">IF(A140="","",IFERROR(INDEX(Empresas!$D:$D,MATCH(A140,Empresas!$A:$A,0))&amp;"","não consta"))</f>
        <v/>
      </c>
      <c r="K140" s="19" t="str">
        <f aca="false">IF(A140="","",IFERROR(INDEX(Sancoes!$B:$B,MATCH(A140,Sancoes!$A:$A,0))&amp;"","não consta"))</f>
        <v/>
      </c>
      <c r="L140" s="19" t="str">
        <f aca="false">IF(A140="","",IFERROR(INDEX(Eleitoral!$B:$B,MATCH(A140,Eleitoral!$A:$A,0))&amp;"","não consta"))</f>
        <v/>
      </c>
      <c r="M140" s="28" t="str">
        <f aca="false">IF(A140="","",IF(OR(AND(K140&lt;&gt;"",LOWER(K140)&lt;&gt;"não consta"),AND(L140&lt;&gt;"",LOWER(L140)&lt;&gt;"não consta"),IFERROR(INDEX(Empresas!$G:$G,MATCH(A140,Empresas!$A:$A,0))&amp;"","")&lt;&gt;""),"SIM",""))</f>
        <v/>
      </c>
      <c r="N140" s="5"/>
      <c r="O140" s="32" t="str">
        <f aca="false">IF(D140="","",YEAR(D140))</f>
        <v/>
      </c>
      <c r="P140" s="5"/>
    </row>
    <row r="141" customFormat="false" ht="15" hidden="false" customHeight="false" outlineLevel="0" collapsed="false">
      <c r="A141" s="27"/>
      <c r="B141" s="5"/>
      <c r="C141" s="35"/>
      <c r="D141" s="18"/>
      <c r="E141" s="5"/>
      <c r="F141" s="14"/>
      <c r="G141" s="5"/>
      <c r="H141" s="27"/>
      <c r="I141" s="5"/>
      <c r="J141" s="19" t="str">
        <f aca="false">IF(A141="","",IFERROR(INDEX(Empresas!$D:$D,MATCH(A141,Empresas!$A:$A,0))&amp;"","não consta"))</f>
        <v/>
      </c>
      <c r="K141" s="19" t="str">
        <f aca="false">IF(A141="","",IFERROR(INDEX(Sancoes!$B:$B,MATCH(A141,Sancoes!$A:$A,0))&amp;"","não consta"))</f>
        <v/>
      </c>
      <c r="L141" s="19" t="str">
        <f aca="false">IF(A141="","",IFERROR(INDEX(Eleitoral!$B:$B,MATCH(A141,Eleitoral!$A:$A,0))&amp;"","não consta"))</f>
        <v/>
      </c>
      <c r="M141" s="28" t="str">
        <f aca="false">IF(A141="","",IF(OR(AND(K141&lt;&gt;"",LOWER(K141)&lt;&gt;"não consta"),AND(L141&lt;&gt;"",LOWER(L141)&lt;&gt;"não consta"),IFERROR(INDEX(Empresas!$G:$G,MATCH(A141,Empresas!$A:$A,0))&amp;"","")&lt;&gt;""),"SIM",""))</f>
        <v/>
      </c>
      <c r="N141" s="5"/>
      <c r="O141" s="32" t="str">
        <f aca="false">IF(D141="","",YEAR(D141))</f>
        <v/>
      </c>
      <c r="P141" s="5"/>
    </row>
    <row r="142" customFormat="false" ht="15" hidden="false" customHeight="false" outlineLevel="0" collapsed="false">
      <c r="A142" s="27"/>
      <c r="B142" s="5"/>
      <c r="C142" s="35"/>
      <c r="D142" s="18"/>
      <c r="E142" s="5"/>
      <c r="F142" s="14"/>
      <c r="G142" s="5"/>
      <c r="H142" s="27"/>
      <c r="I142" s="5"/>
      <c r="J142" s="19" t="str">
        <f aca="false">IF(A142="","",IFERROR(INDEX(Empresas!$D:$D,MATCH(A142,Empresas!$A:$A,0))&amp;"","não consta"))</f>
        <v/>
      </c>
      <c r="K142" s="19" t="str">
        <f aca="false">IF(A142="","",IFERROR(INDEX(Sancoes!$B:$B,MATCH(A142,Sancoes!$A:$A,0))&amp;"","não consta"))</f>
        <v/>
      </c>
      <c r="L142" s="19" t="str">
        <f aca="false">IF(A142="","",IFERROR(INDEX(Eleitoral!$B:$B,MATCH(A142,Eleitoral!$A:$A,0))&amp;"","não consta"))</f>
        <v/>
      </c>
      <c r="M142" s="28" t="str">
        <f aca="false">IF(A142="","",IF(OR(AND(K142&lt;&gt;"",LOWER(K142)&lt;&gt;"não consta"),AND(L142&lt;&gt;"",LOWER(L142)&lt;&gt;"não consta"),IFERROR(INDEX(Empresas!$G:$G,MATCH(A142,Empresas!$A:$A,0))&amp;"","")&lt;&gt;""),"SIM",""))</f>
        <v/>
      </c>
      <c r="N142" s="5"/>
      <c r="O142" s="32" t="str">
        <f aca="false">IF(D142="","",YEAR(D142))</f>
        <v/>
      </c>
      <c r="P142" s="5"/>
    </row>
    <row r="143" customFormat="false" ht="15" hidden="false" customHeight="false" outlineLevel="0" collapsed="false">
      <c r="A143" s="27"/>
      <c r="B143" s="5"/>
      <c r="C143" s="35"/>
      <c r="D143" s="18"/>
      <c r="E143" s="5"/>
      <c r="F143" s="14"/>
      <c r="G143" s="5"/>
      <c r="H143" s="27"/>
      <c r="I143" s="5"/>
      <c r="J143" s="19" t="str">
        <f aca="false">IF(A143="","",IFERROR(INDEX(Empresas!$D:$D,MATCH(A143,Empresas!$A:$A,0))&amp;"","não consta"))</f>
        <v/>
      </c>
      <c r="K143" s="19" t="str">
        <f aca="false">IF(A143="","",IFERROR(INDEX(Sancoes!$B:$B,MATCH(A143,Sancoes!$A:$A,0))&amp;"","não consta"))</f>
        <v/>
      </c>
      <c r="L143" s="19" t="str">
        <f aca="false">IF(A143="","",IFERROR(INDEX(Eleitoral!$B:$B,MATCH(A143,Eleitoral!$A:$A,0))&amp;"","não consta"))</f>
        <v/>
      </c>
      <c r="M143" s="28" t="str">
        <f aca="false">IF(A143="","",IF(OR(AND(K143&lt;&gt;"",LOWER(K143)&lt;&gt;"não consta"),AND(L143&lt;&gt;"",LOWER(L143)&lt;&gt;"não consta"),IFERROR(INDEX(Empresas!$G:$G,MATCH(A143,Empresas!$A:$A,0))&amp;"","")&lt;&gt;""),"SIM",""))</f>
        <v/>
      </c>
      <c r="N143" s="5"/>
      <c r="O143" s="32" t="str">
        <f aca="false">IF(D143="","",YEAR(D143))</f>
        <v/>
      </c>
      <c r="P143" s="5"/>
    </row>
    <row r="144" customFormat="false" ht="15" hidden="false" customHeight="false" outlineLevel="0" collapsed="false">
      <c r="A144" s="27"/>
      <c r="B144" s="5"/>
      <c r="C144" s="35"/>
      <c r="D144" s="18"/>
      <c r="E144" s="5"/>
      <c r="F144" s="14"/>
      <c r="G144" s="5"/>
      <c r="H144" s="27"/>
      <c r="I144" s="5"/>
      <c r="J144" s="19" t="str">
        <f aca="false">IF(A144="","",IFERROR(INDEX(Empresas!$D:$D,MATCH(A144,Empresas!$A:$A,0))&amp;"","não consta"))</f>
        <v/>
      </c>
      <c r="K144" s="19" t="str">
        <f aca="false">IF(A144="","",IFERROR(INDEX(Sancoes!$B:$B,MATCH(A144,Sancoes!$A:$A,0))&amp;"","não consta"))</f>
        <v/>
      </c>
      <c r="L144" s="19" t="str">
        <f aca="false">IF(A144="","",IFERROR(INDEX(Eleitoral!$B:$B,MATCH(A144,Eleitoral!$A:$A,0))&amp;"","não consta"))</f>
        <v/>
      </c>
      <c r="M144" s="28" t="str">
        <f aca="false">IF(A144="","",IF(OR(AND(K144&lt;&gt;"",LOWER(K144)&lt;&gt;"não consta"),AND(L144&lt;&gt;"",LOWER(L144)&lt;&gt;"não consta"),IFERROR(INDEX(Empresas!$G:$G,MATCH(A144,Empresas!$A:$A,0))&amp;"","")&lt;&gt;""),"SIM",""))</f>
        <v/>
      </c>
      <c r="N144" s="5"/>
      <c r="O144" s="32" t="str">
        <f aca="false">IF(D144="","",YEAR(D144))</f>
        <v/>
      </c>
      <c r="P144" s="5"/>
    </row>
    <row r="145" customFormat="false" ht="15" hidden="false" customHeight="false" outlineLevel="0" collapsed="false">
      <c r="A145" s="27"/>
      <c r="B145" s="5"/>
      <c r="C145" s="35"/>
      <c r="D145" s="18"/>
      <c r="E145" s="5"/>
      <c r="F145" s="14"/>
      <c r="G145" s="5"/>
      <c r="H145" s="27"/>
      <c r="I145" s="5"/>
      <c r="J145" s="19" t="str">
        <f aca="false">IF(A145="","",IFERROR(INDEX(Empresas!$D:$D,MATCH(A145,Empresas!$A:$A,0))&amp;"","não consta"))</f>
        <v/>
      </c>
      <c r="K145" s="19" t="str">
        <f aca="false">IF(A145="","",IFERROR(INDEX(Sancoes!$B:$B,MATCH(A145,Sancoes!$A:$A,0))&amp;"","não consta"))</f>
        <v/>
      </c>
      <c r="L145" s="19" t="str">
        <f aca="false">IF(A145="","",IFERROR(INDEX(Eleitoral!$B:$B,MATCH(A145,Eleitoral!$A:$A,0))&amp;"","não consta"))</f>
        <v/>
      </c>
      <c r="M145" s="28" t="str">
        <f aca="false">IF(A145="","",IF(OR(AND(K145&lt;&gt;"",LOWER(K145)&lt;&gt;"não consta"),AND(L145&lt;&gt;"",LOWER(L145)&lt;&gt;"não consta"),IFERROR(INDEX(Empresas!$G:$G,MATCH(A145,Empresas!$A:$A,0))&amp;"","")&lt;&gt;""),"SIM",""))</f>
        <v/>
      </c>
      <c r="N145" s="5"/>
      <c r="O145" s="32" t="str">
        <f aca="false">IF(D145="","",YEAR(D145))</f>
        <v/>
      </c>
      <c r="P145" s="5"/>
    </row>
    <row r="146" customFormat="false" ht="15" hidden="false" customHeight="false" outlineLevel="0" collapsed="false">
      <c r="A146" s="27"/>
      <c r="B146" s="5"/>
      <c r="C146" s="35"/>
      <c r="D146" s="18"/>
      <c r="E146" s="5"/>
      <c r="F146" s="14"/>
      <c r="G146" s="5"/>
      <c r="H146" s="27"/>
      <c r="I146" s="5"/>
      <c r="J146" s="19" t="str">
        <f aca="false">IF(A146="","",IFERROR(INDEX(Empresas!$D:$D,MATCH(A146,Empresas!$A:$A,0))&amp;"","não consta"))</f>
        <v/>
      </c>
      <c r="K146" s="19" t="str">
        <f aca="false">IF(A146="","",IFERROR(INDEX(Sancoes!$B:$B,MATCH(A146,Sancoes!$A:$A,0))&amp;"","não consta"))</f>
        <v/>
      </c>
      <c r="L146" s="19" t="str">
        <f aca="false">IF(A146="","",IFERROR(INDEX(Eleitoral!$B:$B,MATCH(A146,Eleitoral!$A:$A,0))&amp;"","não consta"))</f>
        <v/>
      </c>
      <c r="M146" s="28" t="str">
        <f aca="false">IF(A146="","",IF(OR(AND(K146&lt;&gt;"",LOWER(K146)&lt;&gt;"não consta"),AND(L146&lt;&gt;"",LOWER(L146)&lt;&gt;"não consta"),IFERROR(INDEX(Empresas!$G:$G,MATCH(A146,Empresas!$A:$A,0))&amp;"","")&lt;&gt;""),"SIM",""))</f>
        <v/>
      </c>
      <c r="N146" s="5"/>
      <c r="O146" s="32" t="str">
        <f aca="false">IF(D146="","",YEAR(D146))</f>
        <v/>
      </c>
      <c r="P146" s="5"/>
    </row>
    <row r="147" customFormat="false" ht="15" hidden="false" customHeight="false" outlineLevel="0" collapsed="false">
      <c r="A147" s="27"/>
      <c r="B147" s="5"/>
      <c r="C147" s="35"/>
      <c r="D147" s="18"/>
      <c r="E147" s="5"/>
      <c r="F147" s="14"/>
      <c r="G147" s="5"/>
      <c r="H147" s="27"/>
      <c r="I147" s="5"/>
      <c r="J147" s="19" t="str">
        <f aca="false">IF(A147="","",IFERROR(INDEX(Empresas!$D:$D,MATCH(A147,Empresas!$A:$A,0))&amp;"","não consta"))</f>
        <v/>
      </c>
      <c r="K147" s="19" t="str">
        <f aca="false">IF(A147="","",IFERROR(INDEX(Sancoes!$B:$B,MATCH(A147,Sancoes!$A:$A,0))&amp;"","não consta"))</f>
        <v/>
      </c>
      <c r="L147" s="19" t="str">
        <f aca="false">IF(A147="","",IFERROR(INDEX(Eleitoral!$B:$B,MATCH(A147,Eleitoral!$A:$A,0))&amp;"","não consta"))</f>
        <v/>
      </c>
      <c r="M147" s="28" t="str">
        <f aca="false">IF(A147="","",IF(OR(AND(K147&lt;&gt;"",LOWER(K147)&lt;&gt;"não consta"),AND(L147&lt;&gt;"",LOWER(L147)&lt;&gt;"não consta"),IFERROR(INDEX(Empresas!$G:$G,MATCH(A147,Empresas!$A:$A,0))&amp;"","")&lt;&gt;""),"SIM",""))</f>
        <v/>
      </c>
      <c r="N147" s="5"/>
      <c r="O147" s="32" t="str">
        <f aca="false">IF(D147="","",YEAR(D147))</f>
        <v/>
      </c>
      <c r="P147" s="5"/>
    </row>
    <row r="148" customFormat="false" ht="15" hidden="false" customHeight="false" outlineLevel="0" collapsed="false">
      <c r="A148" s="27"/>
      <c r="B148" s="5"/>
      <c r="C148" s="35"/>
      <c r="D148" s="18"/>
      <c r="E148" s="5"/>
      <c r="F148" s="14"/>
      <c r="G148" s="5"/>
      <c r="H148" s="27"/>
      <c r="I148" s="5"/>
      <c r="J148" s="19" t="str">
        <f aca="false">IF(A148="","",IFERROR(INDEX(Empresas!$D:$D,MATCH(A148,Empresas!$A:$A,0))&amp;"","não consta"))</f>
        <v/>
      </c>
      <c r="K148" s="19" t="str">
        <f aca="false">IF(A148="","",IFERROR(INDEX(Sancoes!$B:$B,MATCH(A148,Sancoes!$A:$A,0))&amp;"","não consta"))</f>
        <v/>
      </c>
      <c r="L148" s="19" t="str">
        <f aca="false">IF(A148="","",IFERROR(INDEX(Eleitoral!$B:$B,MATCH(A148,Eleitoral!$A:$A,0))&amp;"","não consta"))</f>
        <v/>
      </c>
      <c r="M148" s="28" t="str">
        <f aca="false">IF(A148="","",IF(OR(AND(K148&lt;&gt;"",LOWER(K148)&lt;&gt;"não consta"),AND(L148&lt;&gt;"",LOWER(L148)&lt;&gt;"não consta"),IFERROR(INDEX(Empresas!$G:$G,MATCH(A148,Empresas!$A:$A,0))&amp;"","")&lt;&gt;""),"SIM",""))</f>
        <v/>
      </c>
      <c r="N148" s="5"/>
      <c r="O148" s="32" t="str">
        <f aca="false">IF(D148="","",YEAR(D148))</f>
        <v/>
      </c>
      <c r="P148" s="5"/>
    </row>
    <row r="149" customFormat="false" ht="15" hidden="false" customHeight="false" outlineLevel="0" collapsed="false">
      <c r="A149" s="27"/>
      <c r="B149" s="5"/>
      <c r="C149" s="35"/>
      <c r="D149" s="18"/>
      <c r="E149" s="5"/>
      <c r="F149" s="14"/>
      <c r="G149" s="5"/>
      <c r="H149" s="27"/>
      <c r="I149" s="5"/>
      <c r="J149" s="19" t="str">
        <f aca="false">IF(A149="","",IFERROR(INDEX(Empresas!$D:$D,MATCH(A149,Empresas!$A:$A,0))&amp;"","não consta"))</f>
        <v/>
      </c>
      <c r="K149" s="19" t="str">
        <f aca="false">IF(A149="","",IFERROR(INDEX(Sancoes!$B:$B,MATCH(A149,Sancoes!$A:$A,0))&amp;"","não consta"))</f>
        <v/>
      </c>
      <c r="L149" s="19" t="str">
        <f aca="false">IF(A149="","",IFERROR(INDEX(Eleitoral!$B:$B,MATCH(A149,Eleitoral!$A:$A,0))&amp;"","não consta"))</f>
        <v/>
      </c>
      <c r="M149" s="28" t="str">
        <f aca="false">IF(A149="","",IF(OR(AND(K149&lt;&gt;"",LOWER(K149)&lt;&gt;"não consta"),AND(L149&lt;&gt;"",LOWER(L149)&lt;&gt;"não consta"),IFERROR(INDEX(Empresas!$G:$G,MATCH(A149,Empresas!$A:$A,0))&amp;"","")&lt;&gt;""),"SIM",""))</f>
        <v/>
      </c>
      <c r="N149" s="5"/>
      <c r="O149" s="32" t="str">
        <f aca="false">IF(D149="","",YEAR(D149))</f>
        <v/>
      </c>
      <c r="P149" s="5"/>
    </row>
    <row r="150" customFormat="false" ht="15" hidden="false" customHeight="false" outlineLevel="0" collapsed="false">
      <c r="A150" s="27"/>
      <c r="B150" s="5"/>
      <c r="C150" s="35"/>
      <c r="D150" s="18"/>
      <c r="E150" s="5"/>
      <c r="F150" s="14"/>
      <c r="G150" s="5"/>
      <c r="H150" s="27"/>
      <c r="I150" s="5"/>
      <c r="J150" s="19" t="str">
        <f aca="false">IF(A150="","",IFERROR(INDEX(Empresas!$D:$D,MATCH(A150,Empresas!$A:$A,0))&amp;"","não consta"))</f>
        <v/>
      </c>
      <c r="K150" s="19" t="str">
        <f aca="false">IF(A150="","",IFERROR(INDEX(Sancoes!$B:$B,MATCH(A150,Sancoes!$A:$A,0))&amp;"","não consta"))</f>
        <v/>
      </c>
      <c r="L150" s="19" t="str">
        <f aca="false">IF(A150="","",IFERROR(INDEX(Eleitoral!$B:$B,MATCH(A150,Eleitoral!$A:$A,0))&amp;"","não consta"))</f>
        <v/>
      </c>
      <c r="M150" s="28" t="str">
        <f aca="false">IF(A150="","",IF(OR(AND(K150&lt;&gt;"",LOWER(K150)&lt;&gt;"não consta"),AND(L150&lt;&gt;"",LOWER(L150)&lt;&gt;"não consta"),IFERROR(INDEX(Empresas!$G:$G,MATCH(A150,Empresas!$A:$A,0))&amp;"","")&lt;&gt;""),"SIM",""))</f>
        <v/>
      </c>
      <c r="N150" s="5"/>
      <c r="O150" s="32" t="str">
        <f aca="false">IF(D150="","",YEAR(D150))</f>
        <v/>
      </c>
      <c r="P150" s="5"/>
    </row>
    <row r="151" customFormat="false" ht="15" hidden="false" customHeight="false" outlineLevel="0" collapsed="false">
      <c r="A151" s="27"/>
      <c r="B151" s="5"/>
      <c r="C151" s="35"/>
      <c r="D151" s="18"/>
      <c r="E151" s="5"/>
      <c r="F151" s="14"/>
      <c r="G151" s="5"/>
      <c r="H151" s="27"/>
      <c r="I151" s="5"/>
      <c r="J151" s="19" t="str">
        <f aca="false">IF(A151="","",IFERROR(INDEX(Empresas!$D:$D,MATCH(A151,Empresas!$A:$A,0))&amp;"","não consta"))</f>
        <v/>
      </c>
      <c r="K151" s="19" t="str">
        <f aca="false">IF(A151="","",IFERROR(INDEX(Sancoes!$B:$B,MATCH(A151,Sancoes!$A:$A,0))&amp;"","não consta"))</f>
        <v/>
      </c>
      <c r="L151" s="19" t="str">
        <f aca="false">IF(A151="","",IFERROR(INDEX(Eleitoral!$B:$B,MATCH(A151,Eleitoral!$A:$A,0))&amp;"","não consta"))</f>
        <v/>
      </c>
      <c r="M151" s="28" t="str">
        <f aca="false">IF(A151="","",IF(OR(AND(K151&lt;&gt;"",LOWER(K151)&lt;&gt;"não consta"),AND(L151&lt;&gt;"",LOWER(L151)&lt;&gt;"não consta"),IFERROR(INDEX(Empresas!$G:$G,MATCH(A151,Empresas!$A:$A,0))&amp;"","")&lt;&gt;""),"SIM",""))</f>
        <v/>
      </c>
      <c r="N151" s="5"/>
      <c r="O151" s="32" t="str">
        <f aca="false">IF(D151="","",YEAR(D151))</f>
        <v/>
      </c>
      <c r="P151" s="5"/>
    </row>
    <row r="152" customFormat="false" ht="15" hidden="false" customHeight="false" outlineLevel="0" collapsed="false">
      <c r="A152" s="27"/>
      <c r="B152" s="5"/>
      <c r="C152" s="35"/>
      <c r="D152" s="18"/>
      <c r="E152" s="5"/>
      <c r="F152" s="14"/>
      <c r="G152" s="5"/>
      <c r="H152" s="27"/>
      <c r="I152" s="5"/>
      <c r="J152" s="19" t="str">
        <f aca="false">IF(A152="","",IFERROR(INDEX(Empresas!$D:$D,MATCH(A152,Empresas!$A:$A,0))&amp;"","não consta"))</f>
        <v/>
      </c>
      <c r="K152" s="19" t="str">
        <f aca="false">IF(A152="","",IFERROR(INDEX(Sancoes!$B:$B,MATCH(A152,Sancoes!$A:$A,0))&amp;"","não consta"))</f>
        <v/>
      </c>
      <c r="L152" s="19" t="str">
        <f aca="false">IF(A152="","",IFERROR(INDEX(Eleitoral!$B:$B,MATCH(A152,Eleitoral!$A:$A,0))&amp;"","não consta"))</f>
        <v/>
      </c>
      <c r="M152" s="28" t="str">
        <f aca="false">IF(A152="","",IF(OR(AND(K152&lt;&gt;"",LOWER(K152)&lt;&gt;"não consta"),AND(L152&lt;&gt;"",LOWER(L152)&lt;&gt;"não consta"),IFERROR(INDEX(Empresas!$G:$G,MATCH(A152,Empresas!$A:$A,0))&amp;"","")&lt;&gt;""),"SIM",""))</f>
        <v/>
      </c>
      <c r="N152" s="5"/>
      <c r="O152" s="32" t="str">
        <f aca="false">IF(D152="","",YEAR(D152))</f>
        <v/>
      </c>
      <c r="P152" s="5"/>
    </row>
    <row r="153" customFormat="false" ht="15" hidden="false" customHeight="false" outlineLevel="0" collapsed="false">
      <c r="A153" s="27"/>
      <c r="B153" s="5"/>
      <c r="C153" s="35"/>
      <c r="D153" s="18"/>
      <c r="E153" s="5"/>
      <c r="F153" s="14"/>
      <c r="G153" s="5"/>
      <c r="H153" s="27"/>
      <c r="I153" s="5"/>
      <c r="J153" s="19" t="str">
        <f aca="false">IF(A153="","",IFERROR(INDEX(Empresas!$D:$D,MATCH(A153,Empresas!$A:$A,0))&amp;"","não consta"))</f>
        <v/>
      </c>
      <c r="K153" s="19" t="str">
        <f aca="false">IF(A153="","",IFERROR(INDEX(Sancoes!$B:$B,MATCH(A153,Sancoes!$A:$A,0))&amp;"","não consta"))</f>
        <v/>
      </c>
      <c r="L153" s="19" t="str">
        <f aca="false">IF(A153="","",IFERROR(INDEX(Eleitoral!$B:$B,MATCH(A153,Eleitoral!$A:$A,0))&amp;"","não consta"))</f>
        <v/>
      </c>
      <c r="M153" s="28" t="str">
        <f aca="false">IF(A153="","",IF(OR(AND(K153&lt;&gt;"",LOWER(K153)&lt;&gt;"não consta"),AND(L153&lt;&gt;"",LOWER(L153)&lt;&gt;"não consta"),IFERROR(INDEX(Empresas!$G:$G,MATCH(A153,Empresas!$A:$A,0))&amp;"","")&lt;&gt;""),"SIM",""))</f>
        <v/>
      </c>
      <c r="N153" s="5"/>
      <c r="O153" s="32" t="str">
        <f aca="false">IF(D153="","",YEAR(D153))</f>
        <v/>
      </c>
      <c r="P153" s="5"/>
    </row>
    <row r="154" customFormat="false" ht="15" hidden="false" customHeight="false" outlineLevel="0" collapsed="false">
      <c r="A154" s="27"/>
      <c r="B154" s="5"/>
      <c r="C154" s="35"/>
      <c r="D154" s="18"/>
      <c r="E154" s="5"/>
      <c r="F154" s="14"/>
      <c r="G154" s="5"/>
      <c r="H154" s="27"/>
      <c r="I154" s="5"/>
      <c r="J154" s="19" t="str">
        <f aca="false">IF(A154="","",IFERROR(INDEX(Empresas!$D:$D,MATCH(A154,Empresas!$A:$A,0))&amp;"","não consta"))</f>
        <v/>
      </c>
      <c r="K154" s="19" t="str">
        <f aca="false">IF(A154="","",IFERROR(INDEX(Sancoes!$B:$B,MATCH(A154,Sancoes!$A:$A,0))&amp;"","não consta"))</f>
        <v/>
      </c>
      <c r="L154" s="19" t="str">
        <f aca="false">IF(A154="","",IFERROR(INDEX(Eleitoral!$B:$B,MATCH(A154,Eleitoral!$A:$A,0))&amp;"","não consta"))</f>
        <v/>
      </c>
      <c r="M154" s="28" t="str">
        <f aca="false">IF(A154="","",IF(OR(AND(K154&lt;&gt;"",LOWER(K154)&lt;&gt;"não consta"),AND(L154&lt;&gt;"",LOWER(L154)&lt;&gt;"não consta"),IFERROR(INDEX(Empresas!$G:$G,MATCH(A154,Empresas!$A:$A,0))&amp;"","")&lt;&gt;""),"SIM",""))</f>
        <v/>
      </c>
      <c r="N154" s="5"/>
      <c r="O154" s="32" t="str">
        <f aca="false">IF(D154="","",YEAR(D154))</f>
        <v/>
      </c>
      <c r="P154" s="5"/>
    </row>
    <row r="155" customFormat="false" ht="15" hidden="false" customHeight="false" outlineLevel="0" collapsed="false">
      <c r="A155" s="27"/>
      <c r="B155" s="5"/>
      <c r="C155" s="35"/>
      <c r="D155" s="18"/>
      <c r="E155" s="5"/>
      <c r="F155" s="14"/>
      <c r="G155" s="5"/>
      <c r="H155" s="27"/>
      <c r="I155" s="5"/>
      <c r="J155" s="19" t="str">
        <f aca="false">IF(A155="","",IFERROR(INDEX(Empresas!$D:$D,MATCH(A155,Empresas!$A:$A,0))&amp;"","não consta"))</f>
        <v/>
      </c>
      <c r="K155" s="19" t="str">
        <f aca="false">IF(A155="","",IFERROR(INDEX(Sancoes!$B:$B,MATCH(A155,Sancoes!$A:$A,0))&amp;"","não consta"))</f>
        <v/>
      </c>
      <c r="L155" s="19" t="str">
        <f aca="false">IF(A155="","",IFERROR(INDEX(Eleitoral!$B:$B,MATCH(A155,Eleitoral!$A:$A,0))&amp;"","não consta"))</f>
        <v/>
      </c>
      <c r="M155" s="28" t="str">
        <f aca="false">IF(A155="","",IF(OR(AND(K155&lt;&gt;"",LOWER(K155)&lt;&gt;"não consta"),AND(L155&lt;&gt;"",LOWER(L155)&lt;&gt;"não consta"),IFERROR(INDEX(Empresas!$G:$G,MATCH(A155,Empresas!$A:$A,0))&amp;"","")&lt;&gt;""),"SIM",""))</f>
        <v/>
      </c>
      <c r="N155" s="5"/>
      <c r="O155" s="32" t="str">
        <f aca="false">IF(D155="","",YEAR(D155))</f>
        <v/>
      </c>
      <c r="P155" s="5"/>
    </row>
    <row r="156" customFormat="false" ht="15" hidden="false" customHeight="false" outlineLevel="0" collapsed="false">
      <c r="A156" s="27"/>
      <c r="B156" s="5"/>
      <c r="C156" s="35"/>
      <c r="D156" s="18"/>
      <c r="E156" s="5"/>
      <c r="F156" s="14"/>
      <c r="G156" s="5"/>
      <c r="H156" s="27"/>
      <c r="I156" s="5"/>
      <c r="J156" s="19" t="str">
        <f aca="false">IF(A156="","",IFERROR(INDEX(Empresas!$D:$D,MATCH(A156,Empresas!$A:$A,0))&amp;"","não consta"))</f>
        <v/>
      </c>
      <c r="K156" s="19" t="str">
        <f aca="false">IF(A156="","",IFERROR(INDEX(Sancoes!$B:$B,MATCH(A156,Sancoes!$A:$A,0))&amp;"","não consta"))</f>
        <v/>
      </c>
      <c r="L156" s="19" t="str">
        <f aca="false">IF(A156="","",IFERROR(INDEX(Eleitoral!$B:$B,MATCH(A156,Eleitoral!$A:$A,0))&amp;"","não consta"))</f>
        <v/>
      </c>
      <c r="M156" s="28" t="str">
        <f aca="false">IF(A156="","",IF(OR(AND(K156&lt;&gt;"",LOWER(K156)&lt;&gt;"não consta"),AND(L156&lt;&gt;"",LOWER(L156)&lt;&gt;"não consta"),IFERROR(INDEX(Empresas!$G:$G,MATCH(A156,Empresas!$A:$A,0))&amp;"","")&lt;&gt;""),"SIM",""))</f>
        <v/>
      </c>
      <c r="N156" s="5"/>
      <c r="O156" s="32" t="str">
        <f aca="false">IF(D156="","",YEAR(D156))</f>
        <v/>
      </c>
      <c r="P156" s="5"/>
    </row>
    <row r="157" customFormat="false" ht="15" hidden="false" customHeight="false" outlineLevel="0" collapsed="false">
      <c r="A157" s="27"/>
      <c r="B157" s="5"/>
      <c r="C157" s="35"/>
      <c r="D157" s="18"/>
      <c r="E157" s="5"/>
      <c r="F157" s="14"/>
      <c r="G157" s="5"/>
      <c r="H157" s="27"/>
      <c r="I157" s="5"/>
      <c r="J157" s="19" t="str">
        <f aca="false">IF(A157="","",IFERROR(INDEX(Empresas!$D:$D,MATCH(A157,Empresas!$A:$A,0))&amp;"","não consta"))</f>
        <v/>
      </c>
      <c r="K157" s="19" t="str">
        <f aca="false">IF(A157="","",IFERROR(INDEX(Sancoes!$B:$B,MATCH(A157,Sancoes!$A:$A,0))&amp;"","não consta"))</f>
        <v/>
      </c>
      <c r="L157" s="19" t="str">
        <f aca="false">IF(A157="","",IFERROR(INDEX(Eleitoral!$B:$B,MATCH(A157,Eleitoral!$A:$A,0))&amp;"","não consta"))</f>
        <v/>
      </c>
      <c r="M157" s="28" t="str">
        <f aca="false">IF(A157="","",IF(OR(AND(K157&lt;&gt;"",LOWER(K157)&lt;&gt;"não consta"),AND(L157&lt;&gt;"",LOWER(L157)&lt;&gt;"não consta"),IFERROR(INDEX(Empresas!$G:$G,MATCH(A157,Empresas!$A:$A,0))&amp;"","")&lt;&gt;""),"SIM",""))</f>
        <v/>
      </c>
      <c r="N157" s="5"/>
      <c r="O157" s="32" t="str">
        <f aca="false">IF(D157="","",YEAR(D157))</f>
        <v/>
      </c>
      <c r="P157" s="5"/>
    </row>
    <row r="158" customFormat="false" ht="15" hidden="false" customHeight="false" outlineLevel="0" collapsed="false">
      <c r="A158" s="27"/>
      <c r="B158" s="5"/>
      <c r="C158" s="35"/>
      <c r="D158" s="18"/>
      <c r="E158" s="5"/>
      <c r="F158" s="14"/>
      <c r="G158" s="5"/>
      <c r="H158" s="27"/>
      <c r="I158" s="5"/>
      <c r="J158" s="19" t="str">
        <f aca="false">IF(A158="","",IFERROR(INDEX(Empresas!$D:$D,MATCH(A158,Empresas!$A:$A,0))&amp;"","não consta"))</f>
        <v/>
      </c>
      <c r="K158" s="19" t="str">
        <f aca="false">IF(A158="","",IFERROR(INDEX(Sancoes!$B:$B,MATCH(A158,Sancoes!$A:$A,0))&amp;"","não consta"))</f>
        <v/>
      </c>
      <c r="L158" s="19" t="str">
        <f aca="false">IF(A158="","",IFERROR(INDEX(Eleitoral!$B:$B,MATCH(A158,Eleitoral!$A:$A,0))&amp;"","não consta"))</f>
        <v/>
      </c>
      <c r="M158" s="28" t="str">
        <f aca="false">IF(A158="","",IF(OR(AND(K158&lt;&gt;"",LOWER(K158)&lt;&gt;"não consta"),AND(L158&lt;&gt;"",LOWER(L158)&lt;&gt;"não consta"),IFERROR(INDEX(Empresas!$G:$G,MATCH(A158,Empresas!$A:$A,0))&amp;"","")&lt;&gt;""),"SIM",""))</f>
        <v/>
      </c>
      <c r="N158" s="5"/>
      <c r="O158" s="32" t="str">
        <f aca="false">IF(D158="","",YEAR(D158))</f>
        <v/>
      </c>
      <c r="P158" s="5"/>
    </row>
    <row r="159" customFormat="false" ht="15" hidden="false" customHeight="false" outlineLevel="0" collapsed="false">
      <c r="A159" s="27"/>
      <c r="B159" s="5"/>
      <c r="C159" s="35"/>
      <c r="D159" s="18"/>
      <c r="E159" s="5"/>
      <c r="F159" s="14"/>
      <c r="G159" s="5"/>
      <c r="H159" s="27"/>
      <c r="I159" s="5"/>
      <c r="J159" s="19" t="str">
        <f aca="false">IF(A159="","",IFERROR(INDEX(Empresas!$D:$D,MATCH(A159,Empresas!$A:$A,0))&amp;"","não consta"))</f>
        <v/>
      </c>
      <c r="K159" s="19" t="str">
        <f aca="false">IF(A159="","",IFERROR(INDEX(Sancoes!$B:$B,MATCH(A159,Sancoes!$A:$A,0))&amp;"","não consta"))</f>
        <v/>
      </c>
      <c r="L159" s="19" t="str">
        <f aca="false">IF(A159="","",IFERROR(INDEX(Eleitoral!$B:$B,MATCH(A159,Eleitoral!$A:$A,0))&amp;"","não consta"))</f>
        <v/>
      </c>
      <c r="M159" s="28" t="str">
        <f aca="false">IF(A159="","",IF(OR(AND(K159&lt;&gt;"",LOWER(K159)&lt;&gt;"não consta"),AND(L159&lt;&gt;"",LOWER(L159)&lt;&gt;"não consta"),IFERROR(INDEX(Empresas!$G:$G,MATCH(A159,Empresas!$A:$A,0))&amp;"","")&lt;&gt;""),"SIM",""))</f>
        <v/>
      </c>
      <c r="N159" s="5"/>
      <c r="O159" s="32" t="str">
        <f aca="false">IF(D159="","",YEAR(D159))</f>
        <v/>
      </c>
      <c r="P159" s="5"/>
    </row>
    <row r="160" customFormat="false" ht="15" hidden="false" customHeight="false" outlineLevel="0" collapsed="false">
      <c r="A160" s="27"/>
      <c r="B160" s="5"/>
      <c r="C160" s="35"/>
      <c r="D160" s="18"/>
      <c r="E160" s="5"/>
      <c r="F160" s="14"/>
      <c r="G160" s="5"/>
      <c r="H160" s="27"/>
      <c r="I160" s="5"/>
      <c r="J160" s="19" t="str">
        <f aca="false">IF(A160="","",IFERROR(INDEX(Empresas!$D:$D,MATCH(A160,Empresas!$A:$A,0))&amp;"","não consta"))</f>
        <v/>
      </c>
      <c r="K160" s="19" t="str">
        <f aca="false">IF(A160="","",IFERROR(INDEX(Sancoes!$B:$B,MATCH(A160,Sancoes!$A:$A,0))&amp;"","não consta"))</f>
        <v/>
      </c>
      <c r="L160" s="19" t="str">
        <f aca="false">IF(A160="","",IFERROR(INDEX(Eleitoral!$B:$B,MATCH(A160,Eleitoral!$A:$A,0))&amp;"","não consta"))</f>
        <v/>
      </c>
      <c r="M160" s="28" t="str">
        <f aca="false">IF(A160="","",IF(OR(AND(K160&lt;&gt;"",LOWER(K160)&lt;&gt;"não consta"),AND(L160&lt;&gt;"",LOWER(L160)&lt;&gt;"não consta"),IFERROR(INDEX(Empresas!$G:$G,MATCH(A160,Empresas!$A:$A,0))&amp;"","")&lt;&gt;""),"SIM",""))</f>
        <v/>
      </c>
      <c r="N160" s="5"/>
      <c r="O160" s="32" t="str">
        <f aca="false">IF(D160="","",YEAR(D160))</f>
        <v/>
      </c>
      <c r="P160" s="5"/>
    </row>
    <row r="161" customFormat="false" ht="15" hidden="false" customHeight="false" outlineLevel="0" collapsed="false">
      <c r="A161" s="27"/>
      <c r="B161" s="5"/>
      <c r="C161" s="35"/>
      <c r="D161" s="18"/>
      <c r="E161" s="5"/>
      <c r="F161" s="14"/>
      <c r="G161" s="5"/>
      <c r="H161" s="27"/>
      <c r="I161" s="5"/>
      <c r="J161" s="19" t="str">
        <f aca="false">IF(A161="","",IFERROR(INDEX(Empresas!$D:$D,MATCH(A161,Empresas!$A:$A,0))&amp;"","não consta"))</f>
        <v/>
      </c>
      <c r="K161" s="19" t="str">
        <f aca="false">IF(A161="","",IFERROR(INDEX(Sancoes!$B:$B,MATCH(A161,Sancoes!$A:$A,0))&amp;"","não consta"))</f>
        <v/>
      </c>
      <c r="L161" s="19" t="str">
        <f aca="false">IF(A161="","",IFERROR(INDEX(Eleitoral!$B:$B,MATCH(A161,Eleitoral!$A:$A,0))&amp;"","não consta"))</f>
        <v/>
      </c>
      <c r="M161" s="28" t="str">
        <f aca="false">IF(A161="","",IF(OR(AND(K161&lt;&gt;"",LOWER(K161)&lt;&gt;"não consta"),AND(L161&lt;&gt;"",LOWER(L161)&lt;&gt;"não consta"),IFERROR(INDEX(Empresas!$G:$G,MATCH(A161,Empresas!$A:$A,0))&amp;"","")&lt;&gt;""),"SIM",""))</f>
        <v/>
      </c>
      <c r="N161" s="5"/>
      <c r="O161" s="32" t="str">
        <f aca="false">IF(D161="","",YEAR(D161))</f>
        <v/>
      </c>
      <c r="P161" s="5"/>
    </row>
    <row r="162" customFormat="false" ht="15" hidden="false" customHeight="false" outlineLevel="0" collapsed="false">
      <c r="A162" s="27"/>
      <c r="B162" s="5"/>
      <c r="C162" s="35"/>
      <c r="D162" s="18"/>
      <c r="E162" s="5"/>
      <c r="F162" s="14"/>
      <c r="G162" s="5"/>
      <c r="H162" s="27"/>
      <c r="I162" s="5"/>
      <c r="J162" s="19" t="str">
        <f aca="false">IF(A162="","",IFERROR(INDEX(Empresas!$D:$D,MATCH(A162,Empresas!$A:$A,0))&amp;"","não consta"))</f>
        <v/>
      </c>
      <c r="K162" s="19" t="str">
        <f aca="false">IF(A162="","",IFERROR(INDEX(Sancoes!$B:$B,MATCH(A162,Sancoes!$A:$A,0))&amp;"","não consta"))</f>
        <v/>
      </c>
      <c r="L162" s="19" t="str">
        <f aca="false">IF(A162="","",IFERROR(INDEX(Eleitoral!$B:$B,MATCH(A162,Eleitoral!$A:$A,0))&amp;"","não consta"))</f>
        <v/>
      </c>
      <c r="M162" s="28" t="str">
        <f aca="false">IF(A162="","",IF(OR(AND(K162&lt;&gt;"",LOWER(K162)&lt;&gt;"não consta"),AND(L162&lt;&gt;"",LOWER(L162)&lt;&gt;"não consta"),IFERROR(INDEX(Empresas!$G:$G,MATCH(A162,Empresas!$A:$A,0))&amp;"","")&lt;&gt;""),"SIM",""))</f>
        <v/>
      </c>
      <c r="N162" s="5"/>
      <c r="O162" s="32" t="str">
        <f aca="false">IF(D162="","",YEAR(D162))</f>
        <v/>
      </c>
      <c r="P162" s="5"/>
    </row>
    <row r="163" customFormat="false" ht="15" hidden="false" customHeight="false" outlineLevel="0" collapsed="false">
      <c r="A163" s="27"/>
      <c r="B163" s="5"/>
      <c r="C163" s="35"/>
      <c r="D163" s="18"/>
      <c r="E163" s="5"/>
      <c r="F163" s="14"/>
      <c r="G163" s="5"/>
      <c r="H163" s="27"/>
      <c r="I163" s="5"/>
      <c r="J163" s="19" t="str">
        <f aca="false">IF(A163="","",IFERROR(INDEX(Empresas!$D:$D,MATCH(A163,Empresas!$A:$A,0))&amp;"","não consta"))</f>
        <v/>
      </c>
      <c r="K163" s="19" t="str">
        <f aca="false">IF(A163="","",IFERROR(INDEX(Sancoes!$B:$B,MATCH(A163,Sancoes!$A:$A,0))&amp;"","não consta"))</f>
        <v/>
      </c>
      <c r="L163" s="19" t="str">
        <f aca="false">IF(A163="","",IFERROR(INDEX(Eleitoral!$B:$B,MATCH(A163,Eleitoral!$A:$A,0))&amp;"","não consta"))</f>
        <v/>
      </c>
      <c r="M163" s="28" t="str">
        <f aca="false">IF(A163="","",IF(OR(AND(K163&lt;&gt;"",LOWER(K163)&lt;&gt;"não consta"),AND(L163&lt;&gt;"",LOWER(L163)&lt;&gt;"não consta"),IFERROR(INDEX(Empresas!$G:$G,MATCH(A163,Empresas!$A:$A,0))&amp;"","")&lt;&gt;""),"SIM",""))</f>
        <v/>
      </c>
      <c r="N163" s="5"/>
      <c r="O163" s="32" t="str">
        <f aca="false">IF(D163="","",YEAR(D163))</f>
        <v/>
      </c>
      <c r="P163" s="5"/>
    </row>
    <row r="164" customFormat="false" ht="15" hidden="false" customHeight="false" outlineLevel="0" collapsed="false">
      <c r="A164" s="27"/>
      <c r="B164" s="5"/>
      <c r="C164" s="35"/>
      <c r="D164" s="18"/>
      <c r="E164" s="5"/>
      <c r="F164" s="14"/>
      <c r="G164" s="5"/>
      <c r="H164" s="27"/>
      <c r="I164" s="5"/>
      <c r="J164" s="19" t="str">
        <f aca="false">IF(A164="","",IFERROR(INDEX(Empresas!$D:$D,MATCH(A164,Empresas!$A:$A,0))&amp;"","não consta"))</f>
        <v/>
      </c>
      <c r="K164" s="19" t="str">
        <f aca="false">IF(A164="","",IFERROR(INDEX(Sancoes!$B:$B,MATCH(A164,Sancoes!$A:$A,0))&amp;"","não consta"))</f>
        <v/>
      </c>
      <c r="L164" s="19" t="str">
        <f aca="false">IF(A164="","",IFERROR(INDEX(Eleitoral!$B:$B,MATCH(A164,Eleitoral!$A:$A,0))&amp;"","não consta"))</f>
        <v/>
      </c>
      <c r="M164" s="28" t="str">
        <f aca="false">IF(A164="","",IF(OR(AND(K164&lt;&gt;"",LOWER(K164)&lt;&gt;"não consta"),AND(L164&lt;&gt;"",LOWER(L164)&lt;&gt;"não consta"),IFERROR(INDEX(Empresas!$G:$G,MATCH(A164,Empresas!$A:$A,0))&amp;"","")&lt;&gt;""),"SIM",""))</f>
        <v/>
      </c>
      <c r="N164" s="5"/>
      <c r="O164" s="32" t="str">
        <f aca="false">IF(D164="","",YEAR(D164))</f>
        <v/>
      </c>
      <c r="P164" s="5"/>
    </row>
    <row r="165" customFormat="false" ht="15" hidden="false" customHeight="false" outlineLevel="0" collapsed="false">
      <c r="A165" s="27"/>
      <c r="B165" s="5"/>
      <c r="C165" s="35"/>
      <c r="D165" s="18"/>
      <c r="E165" s="5"/>
      <c r="F165" s="14"/>
      <c r="G165" s="5"/>
      <c r="H165" s="27"/>
      <c r="I165" s="5"/>
      <c r="J165" s="19" t="str">
        <f aca="false">IF(A165="","",IFERROR(INDEX(Empresas!$D:$D,MATCH(A165,Empresas!$A:$A,0))&amp;"","não consta"))</f>
        <v/>
      </c>
      <c r="K165" s="19" t="str">
        <f aca="false">IF(A165="","",IFERROR(INDEX(Sancoes!$B:$B,MATCH(A165,Sancoes!$A:$A,0))&amp;"","não consta"))</f>
        <v/>
      </c>
      <c r="L165" s="19" t="str">
        <f aca="false">IF(A165="","",IFERROR(INDEX(Eleitoral!$B:$B,MATCH(A165,Eleitoral!$A:$A,0))&amp;"","não consta"))</f>
        <v/>
      </c>
      <c r="M165" s="28" t="str">
        <f aca="false">IF(A165="","",IF(OR(AND(K165&lt;&gt;"",LOWER(K165)&lt;&gt;"não consta"),AND(L165&lt;&gt;"",LOWER(L165)&lt;&gt;"não consta"),IFERROR(INDEX(Empresas!$G:$G,MATCH(A165,Empresas!$A:$A,0))&amp;"","")&lt;&gt;""),"SIM",""))</f>
        <v/>
      </c>
      <c r="N165" s="5"/>
      <c r="O165" s="32" t="str">
        <f aca="false">IF(D165="","",YEAR(D165))</f>
        <v/>
      </c>
      <c r="P165" s="5"/>
    </row>
    <row r="166" customFormat="false" ht="15" hidden="false" customHeight="false" outlineLevel="0" collapsed="false">
      <c r="A166" s="27"/>
      <c r="B166" s="5"/>
      <c r="C166" s="35"/>
      <c r="D166" s="18"/>
      <c r="E166" s="5"/>
      <c r="F166" s="14"/>
      <c r="G166" s="5"/>
      <c r="H166" s="27"/>
      <c r="I166" s="5"/>
      <c r="J166" s="19" t="str">
        <f aca="false">IF(A166="","",IFERROR(INDEX(Empresas!$D:$D,MATCH(A166,Empresas!$A:$A,0))&amp;"","não consta"))</f>
        <v/>
      </c>
      <c r="K166" s="19" t="str">
        <f aca="false">IF(A166="","",IFERROR(INDEX(Sancoes!$B:$B,MATCH(A166,Sancoes!$A:$A,0))&amp;"","não consta"))</f>
        <v/>
      </c>
      <c r="L166" s="19" t="str">
        <f aca="false">IF(A166="","",IFERROR(INDEX(Eleitoral!$B:$B,MATCH(A166,Eleitoral!$A:$A,0))&amp;"","não consta"))</f>
        <v/>
      </c>
      <c r="M166" s="28" t="str">
        <f aca="false">IF(A166="","",IF(OR(AND(K166&lt;&gt;"",LOWER(K166)&lt;&gt;"não consta"),AND(L166&lt;&gt;"",LOWER(L166)&lt;&gt;"não consta"),IFERROR(INDEX(Empresas!$G:$G,MATCH(A166,Empresas!$A:$A,0))&amp;"","")&lt;&gt;""),"SIM",""))</f>
        <v/>
      </c>
      <c r="N166" s="5"/>
      <c r="O166" s="32" t="str">
        <f aca="false">IF(D166="","",YEAR(D166))</f>
        <v/>
      </c>
      <c r="P166" s="5"/>
    </row>
    <row r="167" customFormat="false" ht="15" hidden="false" customHeight="false" outlineLevel="0" collapsed="false">
      <c r="A167" s="27"/>
      <c r="B167" s="5"/>
      <c r="C167" s="35"/>
      <c r="D167" s="18"/>
      <c r="E167" s="5"/>
      <c r="F167" s="14"/>
      <c r="G167" s="5"/>
      <c r="H167" s="27"/>
      <c r="I167" s="5"/>
      <c r="J167" s="19" t="str">
        <f aca="false">IF(A167="","",IFERROR(INDEX(Empresas!$D:$D,MATCH(A167,Empresas!$A:$A,0))&amp;"","não consta"))</f>
        <v/>
      </c>
      <c r="K167" s="19" t="str">
        <f aca="false">IF(A167="","",IFERROR(INDEX(Sancoes!$B:$B,MATCH(A167,Sancoes!$A:$A,0))&amp;"","não consta"))</f>
        <v/>
      </c>
      <c r="L167" s="19" t="str">
        <f aca="false">IF(A167="","",IFERROR(INDEX(Eleitoral!$B:$B,MATCH(A167,Eleitoral!$A:$A,0))&amp;"","não consta"))</f>
        <v/>
      </c>
      <c r="M167" s="28" t="str">
        <f aca="false">IF(A167="","",IF(OR(AND(K167&lt;&gt;"",LOWER(K167)&lt;&gt;"não consta"),AND(L167&lt;&gt;"",LOWER(L167)&lt;&gt;"não consta"),IFERROR(INDEX(Empresas!$G:$G,MATCH(A167,Empresas!$A:$A,0))&amp;"","")&lt;&gt;""),"SIM",""))</f>
        <v/>
      </c>
      <c r="N167" s="5"/>
      <c r="O167" s="32" t="str">
        <f aca="false">IF(D167="","",YEAR(D167))</f>
        <v/>
      </c>
      <c r="P167" s="5"/>
    </row>
    <row r="168" customFormat="false" ht="15" hidden="false" customHeight="false" outlineLevel="0" collapsed="false">
      <c r="A168" s="27"/>
      <c r="B168" s="5"/>
      <c r="C168" s="35"/>
      <c r="D168" s="18"/>
      <c r="E168" s="5"/>
      <c r="F168" s="14"/>
      <c r="G168" s="5"/>
      <c r="H168" s="27"/>
      <c r="I168" s="5"/>
      <c r="J168" s="19" t="str">
        <f aca="false">IF(A168="","",IFERROR(INDEX(Empresas!$D:$D,MATCH(A168,Empresas!$A:$A,0))&amp;"","não consta"))</f>
        <v/>
      </c>
      <c r="K168" s="19" t="str">
        <f aca="false">IF(A168="","",IFERROR(INDEX(Sancoes!$B:$B,MATCH(A168,Sancoes!$A:$A,0))&amp;"","não consta"))</f>
        <v/>
      </c>
      <c r="L168" s="19" t="str">
        <f aca="false">IF(A168="","",IFERROR(INDEX(Eleitoral!$B:$B,MATCH(A168,Eleitoral!$A:$A,0))&amp;"","não consta"))</f>
        <v/>
      </c>
      <c r="M168" s="28" t="str">
        <f aca="false">IF(A168="","",IF(OR(AND(K168&lt;&gt;"",LOWER(K168)&lt;&gt;"não consta"),AND(L168&lt;&gt;"",LOWER(L168)&lt;&gt;"não consta"),IFERROR(INDEX(Empresas!$G:$G,MATCH(A168,Empresas!$A:$A,0))&amp;"","")&lt;&gt;""),"SIM",""))</f>
        <v/>
      </c>
      <c r="N168" s="5"/>
      <c r="O168" s="32" t="str">
        <f aca="false">IF(D168="","",YEAR(D168))</f>
        <v/>
      </c>
      <c r="P168" s="5"/>
    </row>
    <row r="169" customFormat="false" ht="15" hidden="false" customHeight="false" outlineLevel="0" collapsed="false">
      <c r="A169" s="27"/>
      <c r="B169" s="5"/>
      <c r="C169" s="35"/>
      <c r="D169" s="18"/>
      <c r="E169" s="5"/>
      <c r="F169" s="14"/>
      <c r="G169" s="5"/>
      <c r="H169" s="27"/>
      <c r="I169" s="5"/>
      <c r="J169" s="19" t="str">
        <f aca="false">IF(A169="","",IFERROR(INDEX(Empresas!$D:$D,MATCH(A169,Empresas!$A:$A,0))&amp;"","não consta"))</f>
        <v/>
      </c>
      <c r="K169" s="19" t="str">
        <f aca="false">IF(A169="","",IFERROR(INDEX(Sancoes!$B:$B,MATCH(A169,Sancoes!$A:$A,0))&amp;"","não consta"))</f>
        <v/>
      </c>
      <c r="L169" s="19" t="str">
        <f aca="false">IF(A169="","",IFERROR(INDEX(Eleitoral!$B:$B,MATCH(A169,Eleitoral!$A:$A,0))&amp;"","não consta"))</f>
        <v/>
      </c>
      <c r="M169" s="28" t="str">
        <f aca="false">IF(A169="","",IF(OR(AND(K169&lt;&gt;"",LOWER(K169)&lt;&gt;"não consta"),AND(L169&lt;&gt;"",LOWER(L169)&lt;&gt;"não consta"),IFERROR(INDEX(Empresas!$G:$G,MATCH(A169,Empresas!$A:$A,0))&amp;"","")&lt;&gt;""),"SIM",""))</f>
        <v/>
      </c>
      <c r="N169" s="5"/>
      <c r="O169" s="32" t="str">
        <f aca="false">IF(D169="","",YEAR(D169))</f>
        <v/>
      </c>
      <c r="P169" s="5"/>
    </row>
    <row r="170" customFormat="false" ht="15" hidden="false" customHeight="false" outlineLevel="0" collapsed="false">
      <c r="A170" s="27"/>
      <c r="B170" s="5"/>
      <c r="C170" s="35"/>
      <c r="D170" s="18"/>
      <c r="E170" s="5"/>
      <c r="F170" s="14"/>
      <c r="G170" s="5"/>
      <c r="H170" s="27"/>
      <c r="I170" s="5"/>
      <c r="J170" s="19" t="str">
        <f aca="false">IF(A170="","",IFERROR(INDEX(Empresas!$D:$D,MATCH(A170,Empresas!$A:$A,0))&amp;"","não consta"))</f>
        <v/>
      </c>
      <c r="K170" s="19" t="str">
        <f aca="false">IF(A170="","",IFERROR(INDEX(Sancoes!$B:$B,MATCH(A170,Sancoes!$A:$A,0))&amp;"","não consta"))</f>
        <v/>
      </c>
      <c r="L170" s="19" t="str">
        <f aca="false">IF(A170="","",IFERROR(INDEX(Eleitoral!$B:$B,MATCH(A170,Eleitoral!$A:$A,0))&amp;"","não consta"))</f>
        <v/>
      </c>
      <c r="M170" s="28" t="str">
        <f aca="false">IF(A170="","",IF(OR(AND(K170&lt;&gt;"",LOWER(K170)&lt;&gt;"não consta"),AND(L170&lt;&gt;"",LOWER(L170)&lt;&gt;"não consta"),IFERROR(INDEX(Empresas!$G:$G,MATCH(A170,Empresas!$A:$A,0))&amp;"","")&lt;&gt;""),"SIM",""))</f>
        <v/>
      </c>
      <c r="N170" s="5"/>
      <c r="O170" s="32" t="str">
        <f aca="false">IF(D170="","",YEAR(D170))</f>
        <v/>
      </c>
      <c r="P170" s="5"/>
    </row>
    <row r="171" customFormat="false" ht="15" hidden="false" customHeight="false" outlineLevel="0" collapsed="false">
      <c r="A171" s="27"/>
      <c r="B171" s="5"/>
      <c r="C171" s="35"/>
      <c r="D171" s="18"/>
      <c r="E171" s="5"/>
      <c r="F171" s="14"/>
      <c r="G171" s="5"/>
      <c r="H171" s="27"/>
      <c r="I171" s="5"/>
      <c r="J171" s="19" t="str">
        <f aca="false">IF(A171="","",IFERROR(INDEX(Empresas!$D:$D,MATCH(A171,Empresas!$A:$A,0))&amp;"","não consta"))</f>
        <v/>
      </c>
      <c r="K171" s="19" t="str">
        <f aca="false">IF(A171="","",IFERROR(INDEX(Sancoes!$B:$B,MATCH(A171,Sancoes!$A:$A,0))&amp;"","não consta"))</f>
        <v/>
      </c>
      <c r="L171" s="19" t="str">
        <f aca="false">IF(A171="","",IFERROR(INDEX(Eleitoral!$B:$B,MATCH(A171,Eleitoral!$A:$A,0))&amp;"","não consta"))</f>
        <v/>
      </c>
      <c r="M171" s="28" t="str">
        <f aca="false">IF(A171="","",IF(OR(AND(K171&lt;&gt;"",LOWER(K171)&lt;&gt;"não consta"),AND(L171&lt;&gt;"",LOWER(L171)&lt;&gt;"não consta"),IFERROR(INDEX(Empresas!$G:$G,MATCH(A171,Empresas!$A:$A,0))&amp;"","")&lt;&gt;""),"SIM",""))</f>
        <v/>
      </c>
      <c r="N171" s="5"/>
      <c r="O171" s="32" t="str">
        <f aca="false">IF(D171="","",YEAR(D171))</f>
        <v/>
      </c>
      <c r="P171" s="5"/>
    </row>
    <row r="172" customFormat="false" ht="15" hidden="false" customHeight="false" outlineLevel="0" collapsed="false">
      <c r="A172" s="27"/>
      <c r="B172" s="5"/>
      <c r="C172" s="35"/>
      <c r="D172" s="18"/>
      <c r="E172" s="5"/>
      <c r="F172" s="14"/>
      <c r="G172" s="5"/>
      <c r="H172" s="27"/>
      <c r="I172" s="5"/>
      <c r="J172" s="19" t="str">
        <f aca="false">IF(A172="","",IFERROR(INDEX(Empresas!$D:$D,MATCH(A172,Empresas!$A:$A,0))&amp;"","não consta"))</f>
        <v/>
      </c>
      <c r="K172" s="19" t="str">
        <f aca="false">IF(A172="","",IFERROR(INDEX(Sancoes!$B:$B,MATCH(A172,Sancoes!$A:$A,0))&amp;"","não consta"))</f>
        <v/>
      </c>
      <c r="L172" s="19" t="str">
        <f aca="false">IF(A172="","",IFERROR(INDEX(Eleitoral!$B:$B,MATCH(A172,Eleitoral!$A:$A,0))&amp;"","não consta"))</f>
        <v/>
      </c>
      <c r="M172" s="28" t="str">
        <f aca="false">IF(A172="","",IF(OR(AND(K172&lt;&gt;"",LOWER(K172)&lt;&gt;"não consta"),AND(L172&lt;&gt;"",LOWER(L172)&lt;&gt;"não consta"),IFERROR(INDEX(Empresas!$G:$G,MATCH(A172,Empresas!$A:$A,0))&amp;"","")&lt;&gt;""),"SIM",""))</f>
        <v/>
      </c>
      <c r="N172" s="5"/>
      <c r="O172" s="32" t="str">
        <f aca="false">IF(D172="","",YEAR(D172))</f>
        <v/>
      </c>
      <c r="P172" s="5"/>
    </row>
    <row r="173" customFormat="false" ht="15" hidden="false" customHeight="false" outlineLevel="0" collapsed="false">
      <c r="A173" s="27"/>
      <c r="B173" s="5"/>
      <c r="C173" s="35"/>
      <c r="D173" s="18"/>
      <c r="E173" s="5"/>
      <c r="F173" s="14"/>
      <c r="G173" s="5"/>
      <c r="H173" s="27"/>
      <c r="I173" s="5"/>
      <c r="J173" s="19" t="str">
        <f aca="false">IF(A173="","",IFERROR(INDEX(Empresas!$D:$D,MATCH(A173,Empresas!$A:$A,0))&amp;"","não consta"))</f>
        <v/>
      </c>
      <c r="K173" s="19" t="str">
        <f aca="false">IF(A173="","",IFERROR(INDEX(Sancoes!$B:$B,MATCH(A173,Sancoes!$A:$A,0))&amp;"","não consta"))</f>
        <v/>
      </c>
      <c r="L173" s="19" t="str">
        <f aca="false">IF(A173="","",IFERROR(INDEX(Eleitoral!$B:$B,MATCH(A173,Eleitoral!$A:$A,0))&amp;"","não consta"))</f>
        <v/>
      </c>
      <c r="M173" s="28" t="str">
        <f aca="false">IF(A173="","",IF(OR(AND(K173&lt;&gt;"",LOWER(K173)&lt;&gt;"não consta"),AND(L173&lt;&gt;"",LOWER(L173)&lt;&gt;"não consta"),IFERROR(INDEX(Empresas!$G:$G,MATCH(A173,Empresas!$A:$A,0))&amp;"","")&lt;&gt;""),"SIM",""))</f>
        <v/>
      </c>
      <c r="N173" s="5"/>
      <c r="O173" s="32" t="str">
        <f aca="false">IF(D173="","",YEAR(D173))</f>
        <v/>
      </c>
      <c r="P173" s="5"/>
    </row>
    <row r="174" customFormat="false" ht="15" hidden="false" customHeight="false" outlineLevel="0" collapsed="false">
      <c r="A174" s="27"/>
      <c r="B174" s="5"/>
      <c r="C174" s="35"/>
      <c r="D174" s="18"/>
      <c r="E174" s="5"/>
      <c r="F174" s="14"/>
      <c r="G174" s="5"/>
      <c r="H174" s="27"/>
      <c r="I174" s="5"/>
      <c r="J174" s="19" t="str">
        <f aca="false">IF(A174="","",IFERROR(INDEX(Empresas!$D:$D,MATCH(A174,Empresas!$A:$A,0))&amp;"","não consta"))</f>
        <v/>
      </c>
      <c r="K174" s="19" t="str">
        <f aca="false">IF(A174="","",IFERROR(INDEX(Sancoes!$B:$B,MATCH(A174,Sancoes!$A:$A,0))&amp;"","não consta"))</f>
        <v/>
      </c>
      <c r="L174" s="19" t="str">
        <f aca="false">IF(A174="","",IFERROR(INDEX(Eleitoral!$B:$B,MATCH(A174,Eleitoral!$A:$A,0))&amp;"","não consta"))</f>
        <v/>
      </c>
      <c r="M174" s="28" t="str">
        <f aca="false">IF(A174="","",IF(OR(AND(K174&lt;&gt;"",LOWER(K174)&lt;&gt;"não consta"),AND(L174&lt;&gt;"",LOWER(L174)&lt;&gt;"não consta"),IFERROR(INDEX(Empresas!$G:$G,MATCH(A174,Empresas!$A:$A,0))&amp;"","")&lt;&gt;""),"SIM",""))</f>
        <v/>
      </c>
      <c r="N174" s="5"/>
      <c r="O174" s="32" t="str">
        <f aca="false">IF(D174="","",YEAR(D174))</f>
        <v/>
      </c>
      <c r="P174" s="5"/>
    </row>
    <row r="175" customFormat="false" ht="15" hidden="false" customHeight="false" outlineLevel="0" collapsed="false">
      <c r="A175" s="27"/>
      <c r="B175" s="5"/>
      <c r="C175" s="35"/>
      <c r="D175" s="18"/>
      <c r="E175" s="5"/>
      <c r="F175" s="14"/>
      <c r="G175" s="5"/>
      <c r="H175" s="27"/>
      <c r="I175" s="5"/>
      <c r="J175" s="19" t="str">
        <f aca="false">IF(A175="","",IFERROR(INDEX(Empresas!$D:$D,MATCH(A175,Empresas!$A:$A,0))&amp;"","não consta"))</f>
        <v/>
      </c>
      <c r="K175" s="19" t="str">
        <f aca="false">IF(A175="","",IFERROR(INDEX(Sancoes!$B:$B,MATCH(A175,Sancoes!$A:$A,0))&amp;"","não consta"))</f>
        <v/>
      </c>
      <c r="L175" s="19" t="str">
        <f aca="false">IF(A175="","",IFERROR(INDEX(Eleitoral!$B:$B,MATCH(A175,Eleitoral!$A:$A,0))&amp;"","não consta"))</f>
        <v/>
      </c>
      <c r="M175" s="28" t="str">
        <f aca="false">IF(A175="","",IF(OR(AND(K175&lt;&gt;"",LOWER(K175)&lt;&gt;"não consta"),AND(L175&lt;&gt;"",LOWER(L175)&lt;&gt;"não consta"),IFERROR(INDEX(Empresas!$G:$G,MATCH(A175,Empresas!$A:$A,0))&amp;"","")&lt;&gt;""),"SIM",""))</f>
        <v/>
      </c>
      <c r="N175" s="5"/>
      <c r="O175" s="32" t="str">
        <f aca="false">IF(D175="","",YEAR(D175))</f>
        <v/>
      </c>
      <c r="P175" s="5"/>
    </row>
    <row r="176" customFormat="false" ht="15" hidden="false" customHeight="false" outlineLevel="0" collapsed="false">
      <c r="A176" s="27"/>
      <c r="B176" s="5"/>
      <c r="C176" s="35"/>
      <c r="D176" s="18"/>
      <c r="E176" s="5"/>
      <c r="F176" s="14"/>
      <c r="G176" s="5"/>
      <c r="H176" s="27"/>
      <c r="I176" s="5"/>
      <c r="J176" s="19" t="str">
        <f aca="false">IF(A176="","",IFERROR(INDEX(Empresas!$D:$D,MATCH(A176,Empresas!$A:$A,0))&amp;"","não consta"))</f>
        <v/>
      </c>
      <c r="K176" s="19" t="str">
        <f aca="false">IF(A176="","",IFERROR(INDEX(Sancoes!$B:$B,MATCH(A176,Sancoes!$A:$A,0))&amp;"","não consta"))</f>
        <v/>
      </c>
      <c r="L176" s="19" t="str">
        <f aca="false">IF(A176="","",IFERROR(INDEX(Eleitoral!$B:$B,MATCH(A176,Eleitoral!$A:$A,0))&amp;"","não consta"))</f>
        <v/>
      </c>
      <c r="M176" s="28" t="str">
        <f aca="false">IF(A176="","",IF(OR(AND(K176&lt;&gt;"",LOWER(K176)&lt;&gt;"não consta"),AND(L176&lt;&gt;"",LOWER(L176)&lt;&gt;"não consta"),IFERROR(INDEX(Empresas!$G:$G,MATCH(A176,Empresas!$A:$A,0))&amp;"","")&lt;&gt;""),"SIM",""))</f>
        <v/>
      </c>
      <c r="N176" s="5"/>
      <c r="O176" s="32" t="str">
        <f aca="false">IF(D176="","",YEAR(D176))</f>
        <v/>
      </c>
      <c r="P176" s="5"/>
    </row>
    <row r="177" customFormat="false" ht="15" hidden="false" customHeight="false" outlineLevel="0" collapsed="false">
      <c r="A177" s="27"/>
      <c r="B177" s="5"/>
      <c r="C177" s="35"/>
      <c r="D177" s="18"/>
      <c r="E177" s="5"/>
      <c r="F177" s="14"/>
      <c r="G177" s="5"/>
      <c r="H177" s="27"/>
      <c r="I177" s="5"/>
      <c r="J177" s="19" t="str">
        <f aca="false">IF(A177="","",IFERROR(INDEX(Empresas!$D:$D,MATCH(A177,Empresas!$A:$A,0))&amp;"","não consta"))</f>
        <v/>
      </c>
      <c r="K177" s="19" t="str">
        <f aca="false">IF(A177="","",IFERROR(INDEX(Sancoes!$B:$B,MATCH(A177,Sancoes!$A:$A,0))&amp;"","não consta"))</f>
        <v/>
      </c>
      <c r="L177" s="19" t="str">
        <f aca="false">IF(A177="","",IFERROR(INDEX(Eleitoral!$B:$B,MATCH(A177,Eleitoral!$A:$A,0))&amp;"","não consta"))</f>
        <v/>
      </c>
      <c r="M177" s="28" t="str">
        <f aca="false">IF(A177="","",IF(OR(AND(K177&lt;&gt;"",LOWER(K177)&lt;&gt;"não consta"),AND(L177&lt;&gt;"",LOWER(L177)&lt;&gt;"não consta"),IFERROR(INDEX(Empresas!$G:$G,MATCH(A177,Empresas!$A:$A,0))&amp;"","")&lt;&gt;""),"SIM",""))</f>
        <v/>
      </c>
      <c r="N177" s="5"/>
      <c r="O177" s="32" t="str">
        <f aca="false">IF(D177="","",YEAR(D177))</f>
        <v/>
      </c>
      <c r="P177" s="5"/>
    </row>
    <row r="178" customFormat="false" ht="15" hidden="false" customHeight="false" outlineLevel="0" collapsed="false">
      <c r="A178" s="27"/>
      <c r="B178" s="5"/>
      <c r="C178" s="35"/>
      <c r="D178" s="18"/>
      <c r="E178" s="5"/>
      <c r="F178" s="14"/>
      <c r="G178" s="5"/>
      <c r="H178" s="27"/>
      <c r="I178" s="5"/>
      <c r="J178" s="19" t="str">
        <f aca="false">IF(A178="","",IFERROR(INDEX(Empresas!$D:$D,MATCH(A178,Empresas!$A:$A,0))&amp;"","não consta"))</f>
        <v/>
      </c>
      <c r="K178" s="19" t="str">
        <f aca="false">IF(A178="","",IFERROR(INDEX(Sancoes!$B:$B,MATCH(A178,Sancoes!$A:$A,0))&amp;"","não consta"))</f>
        <v/>
      </c>
      <c r="L178" s="19" t="str">
        <f aca="false">IF(A178="","",IFERROR(INDEX(Eleitoral!$B:$B,MATCH(A178,Eleitoral!$A:$A,0))&amp;"","não consta"))</f>
        <v/>
      </c>
      <c r="M178" s="28" t="str">
        <f aca="false">IF(A178="","",IF(OR(AND(K178&lt;&gt;"",LOWER(K178)&lt;&gt;"não consta"),AND(L178&lt;&gt;"",LOWER(L178)&lt;&gt;"não consta"),IFERROR(INDEX(Empresas!$G:$G,MATCH(A178,Empresas!$A:$A,0))&amp;"","")&lt;&gt;""),"SIM",""))</f>
        <v/>
      </c>
      <c r="N178" s="5"/>
      <c r="O178" s="32" t="str">
        <f aca="false">IF(D178="","",YEAR(D178))</f>
        <v/>
      </c>
      <c r="P178" s="5"/>
    </row>
    <row r="179" customFormat="false" ht="15" hidden="false" customHeight="false" outlineLevel="0" collapsed="false">
      <c r="A179" s="27"/>
      <c r="B179" s="5"/>
      <c r="C179" s="35"/>
      <c r="D179" s="18"/>
      <c r="E179" s="5"/>
      <c r="F179" s="14"/>
      <c r="G179" s="5"/>
      <c r="H179" s="27"/>
      <c r="I179" s="5"/>
      <c r="J179" s="19" t="str">
        <f aca="false">IF(A179="","",IFERROR(INDEX(Empresas!$D:$D,MATCH(A179,Empresas!$A:$A,0))&amp;"","não consta"))</f>
        <v/>
      </c>
      <c r="K179" s="19" t="str">
        <f aca="false">IF(A179="","",IFERROR(INDEX(Sancoes!$B:$B,MATCH(A179,Sancoes!$A:$A,0))&amp;"","não consta"))</f>
        <v/>
      </c>
      <c r="L179" s="19" t="str">
        <f aca="false">IF(A179="","",IFERROR(INDEX(Eleitoral!$B:$B,MATCH(A179,Eleitoral!$A:$A,0))&amp;"","não consta"))</f>
        <v/>
      </c>
      <c r="M179" s="28" t="str">
        <f aca="false">IF(A179="","",IF(OR(AND(K179&lt;&gt;"",LOWER(K179)&lt;&gt;"não consta"),AND(L179&lt;&gt;"",LOWER(L179)&lt;&gt;"não consta"),IFERROR(INDEX(Empresas!$G:$G,MATCH(A179,Empresas!$A:$A,0))&amp;"","")&lt;&gt;""),"SIM",""))</f>
        <v/>
      </c>
      <c r="N179" s="5"/>
      <c r="O179" s="32" t="str">
        <f aca="false">IF(D179="","",YEAR(D179))</f>
        <v/>
      </c>
      <c r="P179" s="5"/>
    </row>
    <row r="180" customFormat="false" ht="15" hidden="false" customHeight="false" outlineLevel="0" collapsed="false">
      <c r="A180" s="27"/>
      <c r="B180" s="5"/>
      <c r="C180" s="35"/>
      <c r="D180" s="18"/>
      <c r="E180" s="5"/>
      <c r="F180" s="14"/>
      <c r="G180" s="5"/>
      <c r="H180" s="27"/>
      <c r="I180" s="5"/>
      <c r="J180" s="19" t="str">
        <f aca="false">IF(A180="","",IFERROR(INDEX(Empresas!$D:$D,MATCH(A180,Empresas!$A:$A,0))&amp;"","não consta"))</f>
        <v/>
      </c>
      <c r="K180" s="19" t="str">
        <f aca="false">IF(A180="","",IFERROR(INDEX(Sancoes!$B:$B,MATCH(A180,Sancoes!$A:$A,0))&amp;"","não consta"))</f>
        <v/>
      </c>
      <c r="L180" s="19" t="str">
        <f aca="false">IF(A180="","",IFERROR(INDEX(Eleitoral!$B:$B,MATCH(A180,Eleitoral!$A:$A,0))&amp;"","não consta"))</f>
        <v/>
      </c>
      <c r="M180" s="28" t="str">
        <f aca="false">IF(A180="","",IF(OR(AND(K180&lt;&gt;"",LOWER(K180)&lt;&gt;"não consta"),AND(L180&lt;&gt;"",LOWER(L180)&lt;&gt;"não consta"),IFERROR(INDEX(Empresas!$G:$G,MATCH(A180,Empresas!$A:$A,0))&amp;"","")&lt;&gt;""),"SIM",""))</f>
        <v/>
      </c>
      <c r="N180" s="5"/>
      <c r="O180" s="32" t="str">
        <f aca="false">IF(D180="","",YEAR(D180))</f>
        <v/>
      </c>
      <c r="P180" s="5"/>
    </row>
    <row r="181" customFormat="false" ht="15" hidden="false" customHeight="false" outlineLevel="0" collapsed="false">
      <c r="A181" s="27"/>
      <c r="B181" s="5"/>
      <c r="C181" s="35"/>
      <c r="D181" s="18"/>
      <c r="E181" s="5"/>
      <c r="F181" s="14"/>
      <c r="G181" s="5"/>
      <c r="H181" s="27"/>
      <c r="I181" s="5"/>
      <c r="J181" s="19" t="str">
        <f aca="false">IF(A181="","",IFERROR(INDEX(Empresas!$D:$D,MATCH(A181,Empresas!$A:$A,0))&amp;"","não consta"))</f>
        <v/>
      </c>
      <c r="K181" s="19" t="str">
        <f aca="false">IF(A181="","",IFERROR(INDEX(Sancoes!$B:$B,MATCH(A181,Sancoes!$A:$A,0))&amp;"","não consta"))</f>
        <v/>
      </c>
      <c r="L181" s="19" t="str">
        <f aca="false">IF(A181="","",IFERROR(INDEX(Eleitoral!$B:$B,MATCH(A181,Eleitoral!$A:$A,0))&amp;"","não consta"))</f>
        <v/>
      </c>
      <c r="M181" s="28" t="str">
        <f aca="false">IF(A181="","",IF(OR(AND(K181&lt;&gt;"",LOWER(K181)&lt;&gt;"não consta"),AND(L181&lt;&gt;"",LOWER(L181)&lt;&gt;"não consta"),IFERROR(INDEX(Empresas!$G:$G,MATCH(A181,Empresas!$A:$A,0))&amp;"","")&lt;&gt;""),"SIM",""))</f>
        <v/>
      </c>
      <c r="N181" s="5"/>
      <c r="O181" s="32" t="str">
        <f aca="false">IF(D181="","",YEAR(D181))</f>
        <v/>
      </c>
      <c r="P181" s="5"/>
    </row>
    <row r="182" customFormat="false" ht="15" hidden="false" customHeight="false" outlineLevel="0" collapsed="false">
      <c r="A182" s="27"/>
      <c r="B182" s="5"/>
      <c r="C182" s="35"/>
      <c r="D182" s="18"/>
      <c r="E182" s="5"/>
      <c r="F182" s="14"/>
      <c r="G182" s="5"/>
      <c r="H182" s="27"/>
      <c r="I182" s="5"/>
      <c r="J182" s="19" t="str">
        <f aca="false">IF(A182="","",IFERROR(INDEX(Empresas!$D:$D,MATCH(A182,Empresas!$A:$A,0))&amp;"","não consta"))</f>
        <v/>
      </c>
      <c r="K182" s="19" t="str">
        <f aca="false">IF(A182="","",IFERROR(INDEX(Sancoes!$B:$B,MATCH(A182,Sancoes!$A:$A,0))&amp;"","não consta"))</f>
        <v/>
      </c>
      <c r="L182" s="19" t="str">
        <f aca="false">IF(A182="","",IFERROR(INDEX(Eleitoral!$B:$B,MATCH(A182,Eleitoral!$A:$A,0))&amp;"","não consta"))</f>
        <v/>
      </c>
      <c r="M182" s="28" t="str">
        <f aca="false">IF(A182="","",IF(OR(AND(K182&lt;&gt;"",LOWER(K182)&lt;&gt;"não consta"),AND(L182&lt;&gt;"",LOWER(L182)&lt;&gt;"não consta"),IFERROR(INDEX(Empresas!$G:$G,MATCH(A182,Empresas!$A:$A,0))&amp;"","")&lt;&gt;""),"SIM",""))</f>
        <v/>
      </c>
      <c r="N182" s="5"/>
      <c r="O182" s="32" t="str">
        <f aca="false">IF(D182="","",YEAR(D182))</f>
        <v/>
      </c>
      <c r="P182" s="5"/>
    </row>
    <row r="183" customFormat="false" ht="15" hidden="false" customHeight="false" outlineLevel="0" collapsed="false">
      <c r="A183" s="27"/>
      <c r="B183" s="5"/>
      <c r="C183" s="35"/>
      <c r="D183" s="18"/>
      <c r="E183" s="5"/>
      <c r="F183" s="14"/>
      <c r="G183" s="5"/>
      <c r="H183" s="27"/>
      <c r="I183" s="5"/>
      <c r="J183" s="19" t="str">
        <f aca="false">IF(A183="","",IFERROR(INDEX(Empresas!$D:$D,MATCH(A183,Empresas!$A:$A,0))&amp;"","não consta"))</f>
        <v/>
      </c>
      <c r="K183" s="19" t="str">
        <f aca="false">IF(A183="","",IFERROR(INDEX(Sancoes!$B:$B,MATCH(A183,Sancoes!$A:$A,0))&amp;"","não consta"))</f>
        <v/>
      </c>
      <c r="L183" s="19" t="str">
        <f aca="false">IF(A183="","",IFERROR(INDEX(Eleitoral!$B:$B,MATCH(A183,Eleitoral!$A:$A,0))&amp;"","não consta"))</f>
        <v/>
      </c>
      <c r="M183" s="28" t="str">
        <f aca="false">IF(A183="","",IF(OR(AND(K183&lt;&gt;"",LOWER(K183)&lt;&gt;"não consta"),AND(L183&lt;&gt;"",LOWER(L183)&lt;&gt;"não consta"),IFERROR(INDEX(Empresas!$G:$G,MATCH(A183,Empresas!$A:$A,0))&amp;"","")&lt;&gt;""),"SIM",""))</f>
        <v/>
      </c>
      <c r="N183" s="5"/>
      <c r="O183" s="32" t="str">
        <f aca="false">IF(D183="","",YEAR(D183))</f>
        <v/>
      </c>
      <c r="P183" s="5"/>
    </row>
    <row r="184" customFormat="false" ht="15" hidden="false" customHeight="false" outlineLevel="0" collapsed="false">
      <c r="A184" s="27"/>
      <c r="B184" s="5"/>
      <c r="C184" s="35"/>
      <c r="D184" s="18"/>
      <c r="E184" s="5"/>
      <c r="F184" s="14"/>
      <c r="G184" s="5"/>
      <c r="H184" s="27"/>
      <c r="I184" s="5"/>
      <c r="J184" s="19" t="str">
        <f aca="false">IF(A184="","",IFERROR(INDEX(Empresas!$D:$D,MATCH(A184,Empresas!$A:$A,0))&amp;"","não consta"))</f>
        <v/>
      </c>
      <c r="K184" s="19" t="str">
        <f aca="false">IF(A184="","",IFERROR(INDEX(Sancoes!$B:$B,MATCH(A184,Sancoes!$A:$A,0))&amp;"","não consta"))</f>
        <v/>
      </c>
      <c r="L184" s="19" t="str">
        <f aca="false">IF(A184="","",IFERROR(INDEX(Eleitoral!$B:$B,MATCH(A184,Eleitoral!$A:$A,0))&amp;"","não consta"))</f>
        <v/>
      </c>
      <c r="M184" s="28" t="str">
        <f aca="false">IF(A184="","",IF(OR(AND(K184&lt;&gt;"",LOWER(K184)&lt;&gt;"não consta"),AND(L184&lt;&gt;"",LOWER(L184)&lt;&gt;"não consta"),IFERROR(INDEX(Empresas!$G:$G,MATCH(A184,Empresas!$A:$A,0))&amp;"","")&lt;&gt;""),"SIM",""))</f>
        <v/>
      </c>
      <c r="N184" s="5"/>
      <c r="O184" s="32" t="str">
        <f aca="false">IF(D184="","",YEAR(D184))</f>
        <v/>
      </c>
      <c r="P184" s="5"/>
    </row>
    <row r="185" customFormat="false" ht="15" hidden="false" customHeight="false" outlineLevel="0" collapsed="false">
      <c r="A185" s="27"/>
      <c r="B185" s="5"/>
      <c r="C185" s="35"/>
      <c r="D185" s="18"/>
      <c r="E185" s="5"/>
      <c r="F185" s="14"/>
      <c r="G185" s="5"/>
      <c r="H185" s="27"/>
      <c r="I185" s="5"/>
      <c r="J185" s="19" t="str">
        <f aca="false">IF(A185="","",IFERROR(INDEX(Empresas!$D:$D,MATCH(A185,Empresas!$A:$A,0))&amp;"","não consta"))</f>
        <v/>
      </c>
      <c r="K185" s="19" t="str">
        <f aca="false">IF(A185="","",IFERROR(INDEX(Sancoes!$B:$B,MATCH(A185,Sancoes!$A:$A,0))&amp;"","não consta"))</f>
        <v/>
      </c>
      <c r="L185" s="19" t="str">
        <f aca="false">IF(A185="","",IFERROR(INDEX(Eleitoral!$B:$B,MATCH(A185,Eleitoral!$A:$A,0))&amp;"","não consta"))</f>
        <v/>
      </c>
      <c r="M185" s="28" t="str">
        <f aca="false">IF(A185="","",IF(OR(AND(K185&lt;&gt;"",LOWER(K185)&lt;&gt;"não consta"),AND(L185&lt;&gt;"",LOWER(L185)&lt;&gt;"não consta"),IFERROR(INDEX(Empresas!$G:$G,MATCH(A185,Empresas!$A:$A,0))&amp;"","")&lt;&gt;""),"SIM",""))</f>
        <v/>
      </c>
      <c r="N185" s="5"/>
      <c r="O185" s="32" t="str">
        <f aca="false">IF(D185="","",YEAR(D185))</f>
        <v/>
      </c>
      <c r="P185" s="5"/>
    </row>
    <row r="186" customFormat="false" ht="15" hidden="false" customHeight="false" outlineLevel="0" collapsed="false">
      <c r="A186" s="27"/>
      <c r="B186" s="5"/>
      <c r="C186" s="35"/>
      <c r="D186" s="18"/>
      <c r="E186" s="5"/>
      <c r="F186" s="14"/>
      <c r="G186" s="5"/>
      <c r="H186" s="27"/>
      <c r="I186" s="5"/>
      <c r="J186" s="19" t="str">
        <f aca="false">IF(A186="","",IFERROR(INDEX(Empresas!$D:$D,MATCH(A186,Empresas!$A:$A,0))&amp;"","não consta"))</f>
        <v/>
      </c>
      <c r="K186" s="19" t="str">
        <f aca="false">IF(A186="","",IFERROR(INDEX(Sancoes!$B:$B,MATCH(A186,Sancoes!$A:$A,0))&amp;"","não consta"))</f>
        <v/>
      </c>
      <c r="L186" s="19" t="str">
        <f aca="false">IF(A186="","",IFERROR(INDEX(Eleitoral!$B:$B,MATCH(A186,Eleitoral!$A:$A,0))&amp;"","não consta"))</f>
        <v/>
      </c>
      <c r="M186" s="28" t="str">
        <f aca="false">IF(A186="","",IF(OR(AND(K186&lt;&gt;"",LOWER(K186)&lt;&gt;"não consta"),AND(L186&lt;&gt;"",LOWER(L186)&lt;&gt;"não consta"),IFERROR(INDEX(Empresas!$G:$G,MATCH(A186,Empresas!$A:$A,0))&amp;"","")&lt;&gt;""),"SIM",""))</f>
        <v/>
      </c>
      <c r="N186" s="5"/>
      <c r="O186" s="32" t="str">
        <f aca="false">IF(D186="","",YEAR(D186))</f>
        <v/>
      </c>
      <c r="P186" s="5"/>
    </row>
    <row r="187" customFormat="false" ht="15" hidden="false" customHeight="false" outlineLevel="0" collapsed="false">
      <c r="A187" s="27"/>
      <c r="B187" s="5"/>
      <c r="C187" s="35"/>
      <c r="D187" s="18"/>
      <c r="E187" s="5"/>
      <c r="F187" s="14"/>
      <c r="G187" s="5"/>
      <c r="H187" s="27"/>
      <c r="I187" s="5"/>
      <c r="J187" s="19" t="str">
        <f aca="false">IF(A187="","",IFERROR(INDEX(Empresas!$D:$D,MATCH(A187,Empresas!$A:$A,0))&amp;"","não consta"))</f>
        <v/>
      </c>
      <c r="K187" s="19" t="str">
        <f aca="false">IF(A187="","",IFERROR(INDEX(Sancoes!$B:$B,MATCH(A187,Sancoes!$A:$A,0))&amp;"","não consta"))</f>
        <v/>
      </c>
      <c r="L187" s="19" t="str">
        <f aca="false">IF(A187="","",IFERROR(INDEX(Eleitoral!$B:$B,MATCH(A187,Eleitoral!$A:$A,0))&amp;"","não consta"))</f>
        <v/>
      </c>
      <c r="M187" s="28" t="str">
        <f aca="false">IF(A187="","",IF(OR(AND(K187&lt;&gt;"",LOWER(K187)&lt;&gt;"não consta"),AND(L187&lt;&gt;"",LOWER(L187)&lt;&gt;"não consta"),IFERROR(INDEX(Empresas!$G:$G,MATCH(A187,Empresas!$A:$A,0))&amp;"","")&lt;&gt;""),"SIM",""))</f>
        <v/>
      </c>
      <c r="N187" s="5"/>
      <c r="O187" s="32" t="str">
        <f aca="false">IF(D187="","",YEAR(D187))</f>
        <v/>
      </c>
      <c r="P187" s="5"/>
    </row>
    <row r="188" customFormat="false" ht="15" hidden="false" customHeight="false" outlineLevel="0" collapsed="false">
      <c r="A188" s="27"/>
      <c r="B188" s="5"/>
      <c r="C188" s="35"/>
      <c r="D188" s="18"/>
      <c r="E188" s="5"/>
      <c r="F188" s="14"/>
      <c r="G188" s="5"/>
      <c r="H188" s="27"/>
      <c r="I188" s="5"/>
      <c r="J188" s="19" t="str">
        <f aca="false">IF(A188="","",IFERROR(INDEX(Empresas!$D:$D,MATCH(A188,Empresas!$A:$A,0))&amp;"","não consta"))</f>
        <v/>
      </c>
      <c r="K188" s="19" t="str">
        <f aca="false">IF(A188="","",IFERROR(INDEX(Sancoes!$B:$B,MATCH(A188,Sancoes!$A:$A,0))&amp;"","não consta"))</f>
        <v/>
      </c>
      <c r="L188" s="19" t="str">
        <f aca="false">IF(A188="","",IFERROR(INDEX(Eleitoral!$B:$B,MATCH(A188,Eleitoral!$A:$A,0))&amp;"","não consta"))</f>
        <v/>
      </c>
      <c r="M188" s="28" t="str">
        <f aca="false">IF(A188="","",IF(OR(AND(K188&lt;&gt;"",LOWER(K188)&lt;&gt;"não consta"),AND(L188&lt;&gt;"",LOWER(L188)&lt;&gt;"não consta"),IFERROR(INDEX(Empresas!$G:$G,MATCH(A188,Empresas!$A:$A,0))&amp;"","")&lt;&gt;""),"SIM",""))</f>
        <v/>
      </c>
      <c r="N188" s="5"/>
      <c r="O188" s="32" t="str">
        <f aca="false">IF(D188="","",YEAR(D188))</f>
        <v/>
      </c>
      <c r="P188" s="5"/>
    </row>
    <row r="189" customFormat="false" ht="15" hidden="false" customHeight="false" outlineLevel="0" collapsed="false">
      <c r="A189" s="27"/>
      <c r="B189" s="5"/>
      <c r="C189" s="35"/>
      <c r="D189" s="18"/>
      <c r="E189" s="5"/>
      <c r="F189" s="14"/>
      <c r="G189" s="5"/>
      <c r="H189" s="27"/>
      <c r="I189" s="5"/>
      <c r="J189" s="19" t="str">
        <f aca="false">IF(A189="","",IFERROR(INDEX(Empresas!$D:$D,MATCH(A189,Empresas!$A:$A,0))&amp;"","não consta"))</f>
        <v/>
      </c>
      <c r="K189" s="19" t="str">
        <f aca="false">IF(A189="","",IFERROR(INDEX(Sancoes!$B:$B,MATCH(A189,Sancoes!$A:$A,0))&amp;"","não consta"))</f>
        <v/>
      </c>
      <c r="L189" s="19" t="str">
        <f aca="false">IF(A189="","",IFERROR(INDEX(Eleitoral!$B:$B,MATCH(A189,Eleitoral!$A:$A,0))&amp;"","não consta"))</f>
        <v/>
      </c>
      <c r="M189" s="28" t="str">
        <f aca="false">IF(A189="","",IF(OR(AND(K189&lt;&gt;"",LOWER(K189)&lt;&gt;"não consta"),AND(L189&lt;&gt;"",LOWER(L189)&lt;&gt;"não consta"),IFERROR(INDEX(Empresas!$G:$G,MATCH(A189,Empresas!$A:$A,0))&amp;"","")&lt;&gt;""),"SIM",""))</f>
        <v/>
      </c>
      <c r="N189" s="5"/>
      <c r="O189" s="32" t="str">
        <f aca="false">IF(D189="","",YEAR(D189))</f>
        <v/>
      </c>
      <c r="P189" s="5"/>
    </row>
    <row r="190" customFormat="false" ht="15" hidden="false" customHeight="false" outlineLevel="0" collapsed="false">
      <c r="A190" s="27"/>
      <c r="B190" s="5"/>
      <c r="C190" s="35"/>
      <c r="D190" s="18"/>
      <c r="E190" s="5"/>
      <c r="F190" s="14"/>
      <c r="G190" s="5"/>
      <c r="H190" s="27"/>
      <c r="I190" s="5"/>
      <c r="J190" s="19" t="str">
        <f aca="false">IF(A190="","",IFERROR(INDEX(Empresas!$D:$D,MATCH(A190,Empresas!$A:$A,0))&amp;"","não consta"))</f>
        <v/>
      </c>
      <c r="K190" s="19" t="str">
        <f aca="false">IF(A190="","",IFERROR(INDEX(Sancoes!$B:$B,MATCH(A190,Sancoes!$A:$A,0))&amp;"","não consta"))</f>
        <v/>
      </c>
      <c r="L190" s="19" t="str">
        <f aca="false">IF(A190="","",IFERROR(INDEX(Eleitoral!$B:$B,MATCH(A190,Eleitoral!$A:$A,0))&amp;"","não consta"))</f>
        <v/>
      </c>
      <c r="M190" s="28" t="str">
        <f aca="false">IF(A190="","",IF(OR(AND(K190&lt;&gt;"",LOWER(K190)&lt;&gt;"não consta"),AND(L190&lt;&gt;"",LOWER(L190)&lt;&gt;"não consta"),IFERROR(INDEX(Empresas!$G:$G,MATCH(A190,Empresas!$A:$A,0))&amp;"","")&lt;&gt;""),"SIM",""))</f>
        <v/>
      </c>
      <c r="N190" s="5"/>
      <c r="O190" s="32" t="str">
        <f aca="false">IF(D190="","",YEAR(D190))</f>
        <v/>
      </c>
      <c r="P190" s="5"/>
    </row>
    <row r="191" customFormat="false" ht="15" hidden="false" customHeight="false" outlineLevel="0" collapsed="false">
      <c r="A191" s="27"/>
      <c r="B191" s="5"/>
      <c r="C191" s="35"/>
      <c r="D191" s="18"/>
      <c r="E191" s="5"/>
      <c r="F191" s="14"/>
      <c r="G191" s="5"/>
      <c r="H191" s="27"/>
      <c r="I191" s="5"/>
      <c r="J191" s="19" t="str">
        <f aca="false">IF(A191="","",IFERROR(INDEX(Empresas!$D:$D,MATCH(A191,Empresas!$A:$A,0))&amp;"","não consta"))</f>
        <v/>
      </c>
      <c r="K191" s="19" t="str">
        <f aca="false">IF(A191="","",IFERROR(INDEX(Sancoes!$B:$B,MATCH(A191,Sancoes!$A:$A,0))&amp;"","não consta"))</f>
        <v/>
      </c>
      <c r="L191" s="19" t="str">
        <f aca="false">IF(A191="","",IFERROR(INDEX(Eleitoral!$B:$B,MATCH(A191,Eleitoral!$A:$A,0))&amp;"","não consta"))</f>
        <v/>
      </c>
      <c r="M191" s="28" t="str">
        <f aca="false">IF(A191="","",IF(OR(AND(K191&lt;&gt;"",LOWER(K191)&lt;&gt;"não consta"),AND(L191&lt;&gt;"",LOWER(L191)&lt;&gt;"não consta"),IFERROR(INDEX(Empresas!$G:$G,MATCH(A191,Empresas!$A:$A,0))&amp;"","")&lt;&gt;""),"SIM",""))</f>
        <v/>
      </c>
      <c r="N191" s="5"/>
      <c r="O191" s="32" t="str">
        <f aca="false">IF(D191="","",YEAR(D191))</f>
        <v/>
      </c>
      <c r="P191" s="5"/>
    </row>
    <row r="192" customFormat="false" ht="15" hidden="false" customHeight="false" outlineLevel="0" collapsed="false">
      <c r="A192" s="27"/>
      <c r="B192" s="5"/>
      <c r="C192" s="35"/>
      <c r="D192" s="18"/>
      <c r="E192" s="5"/>
      <c r="F192" s="14"/>
      <c r="G192" s="5"/>
      <c r="H192" s="27"/>
      <c r="I192" s="5"/>
      <c r="J192" s="19" t="str">
        <f aca="false">IF(A192="","",IFERROR(INDEX(Empresas!$D:$D,MATCH(A192,Empresas!$A:$A,0))&amp;"","não consta"))</f>
        <v/>
      </c>
      <c r="K192" s="19" t="str">
        <f aca="false">IF(A192="","",IFERROR(INDEX(Sancoes!$B:$B,MATCH(A192,Sancoes!$A:$A,0))&amp;"","não consta"))</f>
        <v/>
      </c>
      <c r="L192" s="19" t="str">
        <f aca="false">IF(A192="","",IFERROR(INDEX(Eleitoral!$B:$B,MATCH(A192,Eleitoral!$A:$A,0))&amp;"","não consta"))</f>
        <v/>
      </c>
      <c r="M192" s="28" t="str">
        <f aca="false">IF(A192="","",IF(OR(AND(K192&lt;&gt;"",LOWER(K192)&lt;&gt;"não consta"),AND(L192&lt;&gt;"",LOWER(L192)&lt;&gt;"não consta"),IFERROR(INDEX(Empresas!$G:$G,MATCH(A192,Empresas!$A:$A,0))&amp;"","")&lt;&gt;""),"SIM",""))</f>
        <v/>
      </c>
      <c r="N192" s="5"/>
      <c r="O192" s="32" t="str">
        <f aca="false">IF(D192="","",YEAR(D192))</f>
        <v/>
      </c>
      <c r="P192" s="5"/>
    </row>
    <row r="193" customFormat="false" ht="15" hidden="false" customHeight="false" outlineLevel="0" collapsed="false">
      <c r="A193" s="27"/>
      <c r="B193" s="5"/>
      <c r="C193" s="35"/>
      <c r="D193" s="18"/>
      <c r="E193" s="5"/>
      <c r="F193" s="14"/>
      <c r="G193" s="5"/>
      <c r="H193" s="27"/>
      <c r="I193" s="5"/>
      <c r="J193" s="19" t="str">
        <f aca="false">IF(A193="","",IFERROR(INDEX(Empresas!$D:$D,MATCH(A193,Empresas!$A:$A,0))&amp;"","não consta"))</f>
        <v/>
      </c>
      <c r="K193" s="19" t="str">
        <f aca="false">IF(A193="","",IFERROR(INDEX(Sancoes!$B:$B,MATCH(A193,Sancoes!$A:$A,0))&amp;"","não consta"))</f>
        <v/>
      </c>
      <c r="L193" s="19" t="str">
        <f aca="false">IF(A193="","",IFERROR(INDEX(Eleitoral!$B:$B,MATCH(A193,Eleitoral!$A:$A,0))&amp;"","não consta"))</f>
        <v/>
      </c>
      <c r="M193" s="28" t="str">
        <f aca="false">IF(A193="","",IF(OR(AND(K193&lt;&gt;"",LOWER(K193)&lt;&gt;"não consta"),AND(L193&lt;&gt;"",LOWER(L193)&lt;&gt;"não consta"),IFERROR(INDEX(Empresas!$G:$G,MATCH(A193,Empresas!$A:$A,0))&amp;"","")&lt;&gt;""),"SIM",""))</f>
        <v/>
      </c>
      <c r="N193" s="5"/>
      <c r="O193" s="32" t="str">
        <f aca="false">IF(D193="","",YEAR(D193))</f>
        <v/>
      </c>
      <c r="P193" s="5"/>
    </row>
    <row r="194" customFormat="false" ht="15" hidden="false" customHeight="false" outlineLevel="0" collapsed="false">
      <c r="A194" s="27"/>
      <c r="B194" s="5"/>
      <c r="C194" s="35"/>
      <c r="D194" s="18"/>
      <c r="E194" s="5"/>
      <c r="F194" s="14"/>
      <c r="G194" s="5"/>
      <c r="H194" s="27"/>
      <c r="I194" s="5"/>
      <c r="J194" s="19" t="str">
        <f aca="false">IF(A194="","",IFERROR(INDEX(Empresas!$D:$D,MATCH(A194,Empresas!$A:$A,0))&amp;"","não consta"))</f>
        <v/>
      </c>
      <c r="K194" s="19" t="str">
        <f aca="false">IF(A194="","",IFERROR(INDEX(Sancoes!$B:$B,MATCH(A194,Sancoes!$A:$A,0))&amp;"","não consta"))</f>
        <v/>
      </c>
      <c r="L194" s="19" t="str">
        <f aca="false">IF(A194="","",IFERROR(INDEX(Eleitoral!$B:$B,MATCH(A194,Eleitoral!$A:$A,0))&amp;"","não consta"))</f>
        <v/>
      </c>
      <c r="M194" s="28" t="str">
        <f aca="false">IF(A194="","",IF(OR(AND(K194&lt;&gt;"",LOWER(K194)&lt;&gt;"não consta"),AND(L194&lt;&gt;"",LOWER(L194)&lt;&gt;"não consta"),IFERROR(INDEX(Empresas!$G:$G,MATCH(A194,Empresas!$A:$A,0))&amp;"","")&lt;&gt;""),"SIM",""))</f>
        <v/>
      </c>
      <c r="N194" s="5"/>
      <c r="O194" s="32" t="str">
        <f aca="false">IF(D194="","",YEAR(D194))</f>
        <v/>
      </c>
      <c r="P194" s="5"/>
    </row>
    <row r="195" customFormat="false" ht="15" hidden="false" customHeight="false" outlineLevel="0" collapsed="false">
      <c r="A195" s="27"/>
      <c r="B195" s="5"/>
      <c r="C195" s="35"/>
      <c r="D195" s="18"/>
      <c r="E195" s="5"/>
      <c r="F195" s="14"/>
      <c r="G195" s="5"/>
      <c r="H195" s="27"/>
      <c r="I195" s="5"/>
      <c r="J195" s="19" t="str">
        <f aca="false">IF(A195="","",IFERROR(INDEX(Empresas!$D:$D,MATCH(A195,Empresas!$A:$A,0))&amp;"","não consta"))</f>
        <v/>
      </c>
      <c r="K195" s="19" t="str">
        <f aca="false">IF(A195="","",IFERROR(INDEX(Sancoes!$B:$B,MATCH(A195,Sancoes!$A:$A,0))&amp;"","não consta"))</f>
        <v/>
      </c>
      <c r="L195" s="19" t="str">
        <f aca="false">IF(A195="","",IFERROR(INDEX(Eleitoral!$B:$B,MATCH(A195,Eleitoral!$A:$A,0))&amp;"","não consta"))</f>
        <v/>
      </c>
      <c r="M195" s="28" t="str">
        <f aca="false">IF(A195="","",IF(OR(AND(K195&lt;&gt;"",LOWER(K195)&lt;&gt;"não consta"),AND(L195&lt;&gt;"",LOWER(L195)&lt;&gt;"não consta"),IFERROR(INDEX(Empresas!$G:$G,MATCH(A195,Empresas!$A:$A,0))&amp;"","")&lt;&gt;""),"SIM",""))</f>
        <v/>
      </c>
      <c r="N195" s="5"/>
      <c r="O195" s="32" t="str">
        <f aca="false">IF(D195="","",YEAR(D195))</f>
        <v/>
      </c>
      <c r="P195" s="5"/>
    </row>
    <row r="196" customFormat="false" ht="15" hidden="false" customHeight="false" outlineLevel="0" collapsed="false">
      <c r="A196" s="27"/>
      <c r="B196" s="5"/>
      <c r="C196" s="35"/>
      <c r="D196" s="18"/>
      <c r="E196" s="5"/>
      <c r="F196" s="14"/>
      <c r="G196" s="5"/>
      <c r="H196" s="27"/>
      <c r="I196" s="5"/>
      <c r="J196" s="19" t="str">
        <f aca="false">IF(A196="","",IFERROR(INDEX(Empresas!$D:$D,MATCH(A196,Empresas!$A:$A,0))&amp;"","não consta"))</f>
        <v/>
      </c>
      <c r="K196" s="19" t="str">
        <f aca="false">IF(A196="","",IFERROR(INDEX(Sancoes!$B:$B,MATCH(A196,Sancoes!$A:$A,0))&amp;"","não consta"))</f>
        <v/>
      </c>
      <c r="L196" s="19" t="str">
        <f aca="false">IF(A196="","",IFERROR(INDEX(Eleitoral!$B:$B,MATCH(A196,Eleitoral!$A:$A,0))&amp;"","não consta"))</f>
        <v/>
      </c>
      <c r="M196" s="28" t="str">
        <f aca="false">IF(A196="","",IF(OR(AND(K196&lt;&gt;"",LOWER(K196)&lt;&gt;"não consta"),AND(L196&lt;&gt;"",LOWER(L196)&lt;&gt;"não consta"),IFERROR(INDEX(Empresas!$G:$G,MATCH(A196,Empresas!$A:$A,0))&amp;"","")&lt;&gt;""),"SIM",""))</f>
        <v/>
      </c>
      <c r="N196" s="5"/>
      <c r="O196" s="32" t="str">
        <f aca="false">IF(D196="","",YEAR(D196))</f>
        <v/>
      </c>
      <c r="P196" s="5"/>
    </row>
    <row r="197" customFormat="false" ht="15" hidden="false" customHeight="false" outlineLevel="0" collapsed="false">
      <c r="A197" s="27"/>
      <c r="B197" s="5"/>
      <c r="C197" s="35"/>
      <c r="D197" s="18"/>
      <c r="E197" s="5"/>
      <c r="F197" s="14"/>
      <c r="G197" s="5"/>
      <c r="H197" s="27"/>
      <c r="I197" s="5"/>
      <c r="J197" s="19" t="str">
        <f aca="false">IF(A197="","",IFERROR(INDEX(Empresas!$D:$D,MATCH(A197,Empresas!$A:$A,0))&amp;"","não consta"))</f>
        <v/>
      </c>
      <c r="K197" s="19" t="str">
        <f aca="false">IF(A197="","",IFERROR(INDEX(Sancoes!$B:$B,MATCH(A197,Sancoes!$A:$A,0))&amp;"","não consta"))</f>
        <v/>
      </c>
      <c r="L197" s="19" t="str">
        <f aca="false">IF(A197="","",IFERROR(INDEX(Eleitoral!$B:$B,MATCH(A197,Eleitoral!$A:$A,0))&amp;"","não consta"))</f>
        <v/>
      </c>
      <c r="M197" s="28" t="str">
        <f aca="false">IF(A197="","",IF(OR(AND(K197&lt;&gt;"",LOWER(K197)&lt;&gt;"não consta"),AND(L197&lt;&gt;"",LOWER(L197)&lt;&gt;"não consta"),IFERROR(INDEX(Empresas!$G:$G,MATCH(A197,Empresas!$A:$A,0))&amp;"","")&lt;&gt;""),"SIM",""))</f>
        <v/>
      </c>
      <c r="N197" s="5"/>
      <c r="O197" s="32" t="str">
        <f aca="false">IF(D197="","",YEAR(D197))</f>
        <v/>
      </c>
      <c r="P197" s="5"/>
    </row>
    <row r="198" customFormat="false" ht="15" hidden="false" customHeight="false" outlineLevel="0" collapsed="false">
      <c r="A198" s="27"/>
      <c r="B198" s="5"/>
      <c r="C198" s="35"/>
      <c r="D198" s="18"/>
      <c r="E198" s="5"/>
      <c r="F198" s="14"/>
      <c r="G198" s="5"/>
      <c r="H198" s="27"/>
      <c r="I198" s="5"/>
      <c r="J198" s="19" t="str">
        <f aca="false">IF(A198="","",IFERROR(INDEX(Empresas!$D:$D,MATCH(A198,Empresas!$A:$A,0))&amp;"","não consta"))</f>
        <v/>
      </c>
      <c r="K198" s="19" t="str">
        <f aca="false">IF(A198="","",IFERROR(INDEX(Sancoes!$B:$B,MATCH(A198,Sancoes!$A:$A,0))&amp;"","não consta"))</f>
        <v/>
      </c>
      <c r="L198" s="19" t="str">
        <f aca="false">IF(A198="","",IFERROR(INDEX(Eleitoral!$B:$B,MATCH(A198,Eleitoral!$A:$A,0))&amp;"","não consta"))</f>
        <v/>
      </c>
      <c r="M198" s="28" t="str">
        <f aca="false">IF(A198="","",IF(OR(AND(K198&lt;&gt;"",LOWER(K198)&lt;&gt;"não consta"),AND(L198&lt;&gt;"",LOWER(L198)&lt;&gt;"não consta"),IFERROR(INDEX(Empresas!$G:$G,MATCH(A198,Empresas!$A:$A,0))&amp;"","")&lt;&gt;""),"SIM",""))</f>
        <v/>
      </c>
      <c r="N198" s="5"/>
      <c r="O198" s="32" t="str">
        <f aca="false">IF(D198="","",YEAR(D198))</f>
        <v/>
      </c>
      <c r="P198" s="5"/>
    </row>
    <row r="199" customFormat="false" ht="15" hidden="false" customHeight="false" outlineLevel="0" collapsed="false">
      <c r="A199" s="27"/>
      <c r="B199" s="5"/>
      <c r="C199" s="35"/>
      <c r="D199" s="18"/>
      <c r="E199" s="5"/>
      <c r="F199" s="14"/>
      <c r="G199" s="5"/>
      <c r="H199" s="27"/>
      <c r="I199" s="5"/>
      <c r="J199" s="19" t="str">
        <f aca="false">IF(A199="","",IFERROR(INDEX(Empresas!$D:$D,MATCH(A199,Empresas!$A:$A,0))&amp;"","não consta"))</f>
        <v/>
      </c>
      <c r="K199" s="19" t="str">
        <f aca="false">IF(A199="","",IFERROR(INDEX(Sancoes!$B:$B,MATCH(A199,Sancoes!$A:$A,0))&amp;"","não consta"))</f>
        <v/>
      </c>
      <c r="L199" s="19" t="str">
        <f aca="false">IF(A199="","",IFERROR(INDEX(Eleitoral!$B:$B,MATCH(A199,Eleitoral!$A:$A,0))&amp;"","não consta"))</f>
        <v/>
      </c>
      <c r="M199" s="28" t="str">
        <f aca="false">IF(A199="","",IF(OR(AND(K199&lt;&gt;"",LOWER(K199)&lt;&gt;"não consta"),AND(L199&lt;&gt;"",LOWER(L199)&lt;&gt;"não consta"),IFERROR(INDEX(Empresas!$G:$G,MATCH(A199,Empresas!$A:$A,0))&amp;"","")&lt;&gt;""),"SIM",""))</f>
        <v/>
      </c>
      <c r="N199" s="5"/>
      <c r="O199" s="32" t="str">
        <f aca="false">IF(D199="","",YEAR(D199))</f>
        <v/>
      </c>
      <c r="P199" s="5"/>
    </row>
    <row r="200" customFormat="false" ht="15" hidden="false" customHeight="false" outlineLevel="0" collapsed="false">
      <c r="A200" s="27"/>
      <c r="B200" s="5"/>
      <c r="C200" s="35"/>
      <c r="D200" s="18"/>
      <c r="E200" s="5"/>
      <c r="F200" s="14"/>
      <c r="G200" s="5"/>
      <c r="H200" s="27"/>
      <c r="I200" s="5"/>
      <c r="J200" s="19" t="str">
        <f aca="false">IF(A200="","",IFERROR(INDEX(Empresas!$D:$D,MATCH(A200,Empresas!$A:$A,0))&amp;"","não consta"))</f>
        <v/>
      </c>
      <c r="K200" s="19" t="str">
        <f aca="false">IF(A200="","",IFERROR(INDEX(Sancoes!$B:$B,MATCH(A200,Sancoes!$A:$A,0))&amp;"","não consta"))</f>
        <v/>
      </c>
      <c r="L200" s="19" t="str">
        <f aca="false">IF(A200="","",IFERROR(INDEX(Eleitoral!$B:$B,MATCH(A200,Eleitoral!$A:$A,0))&amp;"","não consta"))</f>
        <v/>
      </c>
      <c r="M200" s="28" t="str">
        <f aca="false">IF(A200="","",IF(OR(AND(K200&lt;&gt;"",LOWER(K200)&lt;&gt;"não consta"),AND(L200&lt;&gt;"",LOWER(L200)&lt;&gt;"não consta"),IFERROR(INDEX(Empresas!$G:$G,MATCH(A200,Empresas!$A:$A,0))&amp;"","")&lt;&gt;""),"SIM",""))</f>
        <v/>
      </c>
      <c r="N200" s="5"/>
      <c r="O200" s="32" t="str">
        <f aca="false">IF(D200="","",YEAR(D200))</f>
        <v/>
      </c>
      <c r="P200" s="5"/>
    </row>
    <row r="201" customFormat="false" ht="15" hidden="false" customHeight="false" outlineLevel="0" collapsed="false">
      <c r="A201" s="27"/>
      <c r="B201" s="5"/>
      <c r="C201" s="35"/>
      <c r="D201" s="18"/>
      <c r="E201" s="5"/>
      <c r="F201" s="14"/>
      <c r="G201" s="5"/>
      <c r="H201" s="27"/>
      <c r="I201" s="5"/>
      <c r="J201" s="19" t="str">
        <f aca="false">IF(A201="","",IFERROR(INDEX(Empresas!$D:$D,MATCH(A201,Empresas!$A:$A,0))&amp;"","não consta"))</f>
        <v/>
      </c>
      <c r="K201" s="19" t="str">
        <f aca="false">IF(A201="","",IFERROR(INDEX(Sancoes!$B:$B,MATCH(A201,Sancoes!$A:$A,0))&amp;"","não consta"))</f>
        <v/>
      </c>
      <c r="L201" s="19" t="str">
        <f aca="false">IF(A201="","",IFERROR(INDEX(Eleitoral!$B:$B,MATCH(A201,Eleitoral!$A:$A,0))&amp;"","não consta"))</f>
        <v/>
      </c>
      <c r="M201" s="28" t="str">
        <f aca="false">IF(A201="","",IF(OR(AND(K201&lt;&gt;"",LOWER(K201)&lt;&gt;"não consta"),AND(L201&lt;&gt;"",LOWER(L201)&lt;&gt;"não consta"),IFERROR(INDEX(Empresas!$G:$G,MATCH(A201,Empresas!$A:$A,0))&amp;"","")&lt;&gt;""),"SIM",""))</f>
        <v/>
      </c>
      <c r="N201" s="5"/>
      <c r="O201" s="32" t="str">
        <f aca="false">IF(D201="","",YEAR(D201))</f>
        <v/>
      </c>
      <c r="P201" s="5"/>
    </row>
    <row r="202" customFormat="false" ht="15" hidden="false" customHeight="false" outlineLevel="0" collapsed="false">
      <c r="A202" s="27"/>
      <c r="B202" s="5"/>
      <c r="C202" s="35"/>
      <c r="D202" s="18"/>
      <c r="E202" s="5"/>
      <c r="F202" s="14"/>
      <c r="G202" s="5"/>
      <c r="H202" s="27"/>
      <c r="I202" s="5"/>
      <c r="J202" s="19" t="str">
        <f aca="false">IF(A202="","",IFERROR(INDEX(Empresas!$D:$D,MATCH(A202,Empresas!$A:$A,0))&amp;"","não consta"))</f>
        <v/>
      </c>
      <c r="K202" s="19" t="str">
        <f aca="false">IF(A202="","",IFERROR(INDEX(Sancoes!$B:$B,MATCH(A202,Sancoes!$A:$A,0))&amp;"","não consta"))</f>
        <v/>
      </c>
      <c r="L202" s="19" t="str">
        <f aca="false">IF(A202="","",IFERROR(INDEX(Eleitoral!$B:$B,MATCH(A202,Eleitoral!$A:$A,0))&amp;"","não consta"))</f>
        <v/>
      </c>
      <c r="M202" s="28" t="str">
        <f aca="false">IF(A202="","",IF(OR(AND(K202&lt;&gt;"",LOWER(K202)&lt;&gt;"não consta"),AND(L202&lt;&gt;"",LOWER(L202)&lt;&gt;"não consta"),IFERROR(INDEX(Empresas!$G:$G,MATCH(A202,Empresas!$A:$A,0))&amp;"","")&lt;&gt;""),"SIM",""))</f>
        <v/>
      </c>
      <c r="N202" s="5"/>
      <c r="O202" s="32" t="str">
        <f aca="false">IF(D202="","",YEAR(D202))</f>
        <v/>
      </c>
      <c r="P202" s="5"/>
    </row>
    <row r="203" customFormat="false" ht="15" hidden="false" customHeight="false" outlineLevel="0" collapsed="false">
      <c r="A203" s="27"/>
      <c r="B203" s="5"/>
      <c r="C203" s="35"/>
      <c r="D203" s="18"/>
      <c r="E203" s="5"/>
      <c r="F203" s="14"/>
      <c r="G203" s="5"/>
      <c r="H203" s="27"/>
      <c r="I203" s="5"/>
      <c r="J203" s="19" t="str">
        <f aca="false">IF(A203="","",IFERROR(INDEX(Empresas!$D:$D,MATCH(A203,Empresas!$A:$A,0))&amp;"","não consta"))</f>
        <v/>
      </c>
      <c r="K203" s="19" t="str">
        <f aca="false">IF(A203="","",IFERROR(INDEX(Sancoes!$B:$B,MATCH(A203,Sancoes!$A:$A,0))&amp;"","não consta"))</f>
        <v/>
      </c>
      <c r="L203" s="19" t="str">
        <f aca="false">IF(A203="","",IFERROR(INDEX(Eleitoral!$B:$B,MATCH(A203,Eleitoral!$A:$A,0))&amp;"","não consta"))</f>
        <v/>
      </c>
      <c r="M203" s="28" t="str">
        <f aca="false">IF(A203="","",IF(OR(AND(K203&lt;&gt;"",LOWER(K203)&lt;&gt;"não consta"),AND(L203&lt;&gt;"",LOWER(L203)&lt;&gt;"não consta"),IFERROR(INDEX(Empresas!$G:$G,MATCH(A203,Empresas!$A:$A,0))&amp;"","")&lt;&gt;""),"SIM",""))</f>
        <v/>
      </c>
      <c r="N203" s="5"/>
      <c r="O203" s="32" t="str">
        <f aca="false">IF(D203="","",YEAR(D203))</f>
        <v/>
      </c>
      <c r="P203" s="5"/>
    </row>
    <row r="204" customFormat="false" ht="15" hidden="false" customHeight="false" outlineLevel="0" collapsed="false">
      <c r="A204" s="27"/>
      <c r="B204" s="5"/>
      <c r="C204" s="35"/>
      <c r="D204" s="18"/>
      <c r="E204" s="5"/>
      <c r="F204" s="14"/>
      <c r="G204" s="5"/>
      <c r="H204" s="27"/>
      <c r="I204" s="5"/>
      <c r="J204" s="19" t="str">
        <f aca="false">IF(A204="","",IFERROR(INDEX(Empresas!$D:$D,MATCH(A204,Empresas!$A:$A,0))&amp;"","não consta"))</f>
        <v/>
      </c>
      <c r="K204" s="19" t="str">
        <f aca="false">IF(A204="","",IFERROR(INDEX(Sancoes!$B:$B,MATCH(A204,Sancoes!$A:$A,0))&amp;"","não consta"))</f>
        <v/>
      </c>
      <c r="L204" s="19" t="str">
        <f aca="false">IF(A204="","",IFERROR(INDEX(Eleitoral!$B:$B,MATCH(A204,Eleitoral!$A:$A,0))&amp;"","não consta"))</f>
        <v/>
      </c>
      <c r="M204" s="28" t="str">
        <f aca="false">IF(A204="","",IF(OR(AND(K204&lt;&gt;"",LOWER(K204)&lt;&gt;"não consta"),AND(L204&lt;&gt;"",LOWER(L204)&lt;&gt;"não consta"),IFERROR(INDEX(Empresas!$G:$G,MATCH(A204,Empresas!$A:$A,0))&amp;"","")&lt;&gt;""),"SIM",""))</f>
        <v/>
      </c>
      <c r="N204" s="5"/>
      <c r="O204" s="32" t="str">
        <f aca="false">IF(D204="","",YEAR(D204))</f>
        <v/>
      </c>
      <c r="P204" s="5"/>
    </row>
    <row r="205" customFormat="false" ht="15" hidden="false" customHeight="false" outlineLevel="0" collapsed="false">
      <c r="A205" s="27"/>
      <c r="B205" s="5"/>
      <c r="C205" s="35"/>
      <c r="D205" s="18"/>
      <c r="E205" s="5"/>
      <c r="F205" s="14"/>
      <c r="G205" s="5"/>
      <c r="H205" s="27"/>
      <c r="I205" s="5"/>
      <c r="J205" s="19" t="str">
        <f aca="false">IF(A205="","",IFERROR(INDEX(Empresas!$D:$D,MATCH(A205,Empresas!$A:$A,0))&amp;"","não consta"))</f>
        <v/>
      </c>
      <c r="K205" s="19" t="str">
        <f aca="false">IF(A205="","",IFERROR(INDEX(Sancoes!$B:$B,MATCH(A205,Sancoes!$A:$A,0))&amp;"","não consta"))</f>
        <v/>
      </c>
      <c r="L205" s="19" t="str">
        <f aca="false">IF(A205="","",IFERROR(INDEX(Eleitoral!$B:$B,MATCH(A205,Eleitoral!$A:$A,0))&amp;"","não consta"))</f>
        <v/>
      </c>
      <c r="M205" s="28" t="str">
        <f aca="false">IF(A205="","",IF(OR(AND(K205&lt;&gt;"",LOWER(K205)&lt;&gt;"não consta"),AND(L205&lt;&gt;"",LOWER(L205)&lt;&gt;"não consta"),IFERROR(INDEX(Empresas!$G:$G,MATCH(A205,Empresas!$A:$A,0))&amp;"","")&lt;&gt;""),"SIM",""))</f>
        <v/>
      </c>
      <c r="N205" s="5"/>
      <c r="O205" s="32" t="str">
        <f aca="false">IF(D205="","",YEAR(D205))</f>
        <v/>
      </c>
      <c r="P205" s="5"/>
    </row>
    <row r="206" customFormat="false" ht="15" hidden="false" customHeight="false" outlineLevel="0" collapsed="false">
      <c r="A206" s="27"/>
      <c r="B206" s="5"/>
      <c r="C206" s="35"/>
      <c r="D206" s="18"/>
      <c r="E206" s="5"/>
      <c r="F206" s="14"/>
      <c r="G206" s="5"/>
      <c r="H206" s="27"/>
      <c r="I206" s="5"/>
      <c r="J206" s="19" t="str">
        <f aca="false">IF(A206="","",IFERROR(INDEX(Empresas!$D:$D,MATCH(A206,Empresas!$A:$A,0))&amp;"","não consta"))</f>
        <v/>
      </c>
      <c r="K206" s="19" t="str">
        <f aca="false">IF(A206="","",IFERROR(INDEX(Sancoes!$B:$B,MATCH(A206,Sancoes!$A:$A,0))&amp;"","não consta"))</f>
        <v/>
      </c>
      <c r="L206" s="19" t="str">
        <f aca="false">IF(A206="","",IFERROR(INDEX(Eleitoral!$B:$B,MATCH(A206,Eleitoral!$A:$A,0))&amp;"","não consta"))</f>
        <v/>
      </c>
      <c r="M206" s="28" t="str">
        <f aca="false">IF(A206="","",IF(OR(AND(K206&lt;&gt;"",LOWER(K206)&lt;&gt;"não consta"),AND(L206&lt;&gt;"",LOWER(L206)&lt;&gt;"não consta"),IFERROR(INDEX(Empresas!$G:$G,MATCH(A206,Empresas!$A:$A,0))&amp;"","")&lt;&gt;""),"SIM",""))</f>
        <v/>
      </c>
      <c r="N206" s="5"/>
      <c r="O206" s="32" t="str">
        <f aca="false">IF(D206="","",YEAR(D206))</f>
        <v/>
      </c>
      <c r="P206" s="5"/>
    </row>
    <row r="207" customFormat="false" ht="15" hidden="false" customHeight="false" outlineLevel="0" collapsed="false">
      <c r="A207" s="27"/>
      <c r="B207" s="5"/>
      <c r="C207" s="35"/>
      <c r="D207" s="18"/>
      <c r="E207" s="5"/>
      <c r="F207" s="14"/>
      <c r="G207" s="5"/>
      <c r="H207" s="27"/>
      <c r="I207" s="5"/>
      <c r="J207" s="19" t="str">
        <f aca="false">IF(A207="","",IFERROR(INDEX(Empresas!$D:$D,MATCH(A207,Empresas!$A:$A,0))&amp;"","não consta"))</f>
        <v/>
      </c>
      <c r="K207" s="19" t="str">
        <f aca="false">IF(A207="","",IFERROR(INDEX(Sancoes!$B:$B,MATCH(A207,Sancoes!$A:$A,0))&amp;"","não consta"))</f>
        <v/>
      </c>
      <c r="L207" s="19" t="str">
        <f aca="false">IF(A207="","",IFERROR(INDEX(Eleitoral!$B:$B,MATCH(A207,Eleitoral!$A:$A,0))&amp;"","não consta"))</f>
        <v/>
      </c>
      <c r="M207" s="28" t="str">
        <f aca="false">IF(A207="","",IF(OR(AND(K207&lt;&gt;"",LOWER(K207)&lt;&gt;"não consta"),AND(L207&lt;&gt;"",LOWER(L207)&lt;&gt;"não consta"),IFERROR(INDEX(Empresas!$G:$G,MATCH(A207,Empresas!$A:$A,0))&amp;"","")&lt;&gt;""),"SIM",""))</f>
        <v/>
      </c>
      <c r="N207" s="5"/>
      <c r="O207" s="32" t="str">
        <f aca="false">IF(D207="","",YEAR(D207))</f>
        <v/>
      </c>
      <c r="P207" s="5"/>
    </row>
    <row r="208" customFormat="false" ht="15" hidden="false" customHeight="false" outlineLevel="0" collapsed="false">
      <c r="A208" s="27"/>
      <c r="B208" s="5"/>
      <c r="C208" s="35"/>
      <c r="D208" s="18"/>
      <c r="E208" s="5"/>
      <c r="F208" s="14"/>
      <c r="G208" s="5"/>
      <c r="H208" s="27"/>
      <c r="I208" s="5"/>
      <c r="J208" s="19" t="str">
        <f aca="false">IF(A208="","",IFERROR(INDEX(Empresas!$D:$D,MATCH(A208,Empresas!$A:$A,0))&amp;"","não consta"))</f>
        <v/>
      </c>
      <c r="K208" s="19" t="str">
        <f aca="false">IF(A208="","",IFERROR(INDEX(Sancoes!$B:$B,MATCH(A208,Sancoes!$A:$A,0))&amp;"","não consta"))</f>
        <v/>
      </c>
      <c r="L208" s="19" t="str">
        <f aca="false">IF(A208="","",IFERROR(INDEX(Eleitoral!$B:$B,MATCH(A208,Eleitoral!$A:$A,0))&amp;"","não consta"))</f>
        <v/>
      </c>
      <c r="M208" s="28" t="str">
        <f aca="false">IF(A208="","",IF(OR(AND(K208&lt;&gt;"",LOWER(K208)&lt;&gt;"não consta"),AND(L208&lt;&gt;"",LOWER(L208)&lt;&gt;"não consta"),IFERROR(INDEX(Empresas!$G:$G,MATCH(A208,Empresas!$A:$A,0))&amp;"","")&lt;&gt;""),"SIM",""))</f>
        <v/>
      </c>
      <c r="N208" s="5"/>
      <c r="O208" s="32" t="str">
        <f aca="false">IF(D208="","",YEAR(D208))</f>
        <v/>
      </c>
      <c r="P208" s="5"/>
    </row>
    <row r="209" customFormat="false" ht="15" hidden="false" customHeight="false" outlineLevel="0" collapsed="false">
      <c r="A209" s="27"/>
      <c r="B209" s="5"/>
      <c r="C209" s="35"/>
      <c r="D209" s="18"/>
      <c r="E209" s="5"/>
      <c r="F209" s="14"/>
      <c r="G209" s="5"/>
      <c r="H209" s="27"/>
      <c r="I209" s="5"/>
      <c r="J209" s="19" t="str">
        <f aca="false">IF(A209="","",IFERROR(INDEX(Empresas!$D:$D,MATCH(A209,Empresas!$A:$A,0))&amp;"","não consta"))</f>
        <v/>
      </c>
      <c r="K209" s="19" t="str">
        <f aca="false">IF(A209="","",IFERROR(INDEX(Sancoes!$B:$B,MATCH(A209,Sancoes!$A:$A,0))&amp;"","não consta"))</f>
        <v/>
      </c>
      <c r="L209" s="19" t="str">
        <f aca="false">IF(A209="","",IFERROR(INDEX(Eleitoral!$B:$B,MATCH(A209,Eleitoral!$A:$A,0))&amp;"","não consta"))</f>
        <v/>
      </c>
      <c r="M209" s="28" t="str">
        <f aca="false">IF(A209="","",IF(OR(AND(K209&lt;&gt;"",LOWER(K209)&lt;&gt;"não consta"),AND(L209&lt;&gt;"",LOWER(L209)&lt;&gt;"não consta"),IFERROR(INDEX(Empresas!$G:$G,MATCH(A209,Empresas!$A:$A,0))&amp;"","")&lt;&gt;""),"SIM",""))</f>
        <v/>
      </c>
      <c r="N209" s="5"/>
      <c r="O209" s="32" t="str">
        <f aca="false">IF(D209="","",YEAR(D209))</f>
        <v/>
      </c>
      <c r="P209" s="5"/>
    </row>
    <row r="210" customFormat="false" ht="15" hidden="false" customHeight="false" outlineLevel="0" collapsed="false">
      <c r="A210" s="27"/>
      <c r="B210" s="5"/>
      <c r="C210" s="35"/>
      <c r="D210" s="18"/>
      <c r="E210" s="5"/>
      <c r="F210" s="14"/>
      <c r="G210" s="5"/>
      <c r="H210" s="27"/>
      <c r="I210" s="5"/>
      <c r="J210" s="19" t="str">
        <f aca="false">IF(A210="","",IFERROR(INDEX(Empresas!$D:$D,MATCH(A210,Empresas!$A:$A,0))&amp;"","não consta"))</f>
        <v/>
      </c>
      <c r="K210" s="19" t="str">
        <f aca="false">IF(A210="","",IFERROR(INDEX(Sancoes!$B:$B,MATCH(A210,Sancoes!$A:$A,0))&amp;"","não consta"))</f>
        <v/>
      </c>
      <c r="L210" s="19" t="str">
        <f aca="false">IF(A210="","",IFERROR(INDEX(Eleitoral!$B:$B,MATCH(A210,Eleitoral!$A:$A,0))&amp;"","não consta"))</f>
        <v/>
      </c>
      <c r="M210" s="28" t="str">
        <f aca="false">IF(A210="","",IF(OR(AND(K210&lt;&gt;"",LOWER(K210)&lt;&gt;"não consta"),AND(L210&lt;&gt;"",LOWER(L210)&lt;&gt;"não consta"),IFERROR(INDEX(Empresas!$G:$G,MATCH(A210,Empresas!$A:$A,0))&amp;"","")&lt;&gt;""),"SIM",""))</f>
        <v/>
      </c>
      <c r="N210" s="5"/>
      <c r="O210" s="32" t="str">
        <f aca="false">IF(D210="","",YEAR(D210))</f>
        <v/>
      </c>
      <c r="P210" s="5"/>
    </row>
    <row r="211" customFormat="false" ht="15" hidden="false" customHeight="false" outlineLevel="0" collapsed="false">
      <c r="A211" s="27"/>
      <c r="B211" s="5"/>
      <c r="C211" s="35"/>
      <c r="D211" s="18"/>
      <c r="E211" s="5"/>
      <c r="F211" s="14"/>
      <c r="G211" s="5"/>
      <c r="H211" s="27"/>
      <c r="I211" s="5"/>
      <c r="J211" s="19" t="str">
        <f aca="false">IF(A211="","",IFERROR(INDEX(Empresas!$D:$D,MATCH(A211,Empresas!$A:$A,0))&amp;"","não consta"))</f>
        <v/>
      </c>
      <c r="K211" s="19" t="str">
        <f aca="false">IF(A211="","",IFERROR(INDEX(Sancoes!$B:$B,MATCH(A211,Sancoes!$A:$A,0))&amp;"","não consta"))</f>
        <v/>
      </c>
      <c r="L211" s="19" t="str">
        <f aca="false">IF(A211="","",IFERROR(INDEX(Eleitoral!$B:$B,MATCH(A211,Eleitoral!$A:$A,0))&amp;"","não consta"))</f>
        <v/>
      </c>
      <c r="M211" s="28" t="str">
        <f aca="false">IF(A211="","",IF(OR(AND(K211&lt;&gt;"",LOWER(K211)&lt;&gt;"não consta"),AND(L211&lt;&gt;"",LOWER(L211)&lt;&gt;"não consta"),IFERROR(INDEX(Empresas!$G:$G,MATCH(A211,Empresas!$A:$A,0))&amp;"","")&lt;&gt;""),"SIM",""))</f>
        <v/>
      </c>
      <c r="N211" s="5"/>
      <c r="O211" s="32" t="str">
        <f aca="false">IF(D211="","",YEAR(D211))</f>
        <v/>
      </c>
      <c r="P211" s="5"/>
    </row>
    <row r="212" customFormat="false" ht="15" hidden="false" customHeight="false" outlineLevel="0" collapsed="false">
      <c r="A212" s="27"/>
      <c r="B212" s="5"/>
      <c r="C212" s="35"/>
      <c r="D212" s="18"/>
      <c r="E212" s="5"/>
      <c r="F212" s="14"/>
      <c r="G212" s="5"/>
      <c r="H212" s="27"/>
      <c r="I212" s="5"/>
      <c r="J212" s="19" t="str">
        <f aca="false">IF(A212="","",IFERROR(INDEX(Empresas!$D:$D,MATCH(A212,Empresas!$A:$A,0))&amp;"","não consta"))</f>
        <v/>
      </c>
      <c r="K212" s="19" t="str">
        <f aca="false">IF(A212="","",IFERROR(INDEX(Sancoes!$B:$B,MATCH(A212,Sancoes!$A:$A,0))&amp;"","não consta"))</f>
        <v/>
      </c>
      <c r="L212" s="19" t="str">
        <f aca="false">IF(A212="","",IFERROR(INDEX(Eleitoral!$B:$B,MATCH(A212,Eleitoral!$A:$A,0))&amp;"","não consta"))</f>
        <v/>
      </c>
      <c r="M212" s="28" t="str">
        <f aca="false">IF(A212="","",IF(OR(AND(K212&lt;&gt;"",LOWER(K212)&lt;&gt;"não consta"),AND(L212&lt;&gt;"",LOWER(L212)&lt;&gt;"não consta"),IFERROR(INDEX(Empresas!$G:$G,MATCH(A212,Empresas!$A:$A,0))&amp;"","")&lt;&gt;""),"SIM",""))</f>
        <v/>
      </c>
      <c r="N212" s="5"/>
      <c r="O212" s="32" t="str">
        <f aca="false">IF(D212="","",YEAR(D212))</f>
        <v/>
      </c>
      <c r="P212" s="5"/>
    </row>
    <row r="213" customFormat="false" ht="15" hidden="false" customHeight="false" outlineLevel="0" collapsed="false">
      <c r="A213" s="27"/>
      <c r="B213" s="5"/>
      <c r="C213" s="35"/>
      <c r="D213" s="18"/>
      <c r="E213" s="5"/>
      <c r="F213" s="14"/>
      <c r="G213" s="5"/>
      <c r="H213" s="27"/>
      <c r="I213" s="5"/>
      <c r="J213" s="19" t="str">
        <f aca="false">IF(A213="","",IFERROR(INDEX(Empresas!$D:$D,MATCH(A213,Empresas!$A:$A,0))&amp;"","não consta"))</f>
        <v/>
      </c>
      <c r="K213" s="19" t="str">
        <f aca="false">IF(A213="","",IFERROR(INDEX(Sancoes!$B:$B,MATCH(A213,Sancoes!$A:$A,0))&amp;"","não consta"))</f>
        <v/>
      </c>
      <c r="L213" s="19" t="str">
        <f aca="false">IF(A213="","",IFERROR(INDEX(Eleitoral!$B:$B,MATCH(A213,Eleitoral!$A:$A,0))&amp;"","não consta"))</f>
        <v/>
      </c>
      <c r="M213" s="28" t="str">
        <f aca="false">IF(A213="","",IF(OR(AND(K213&lt;&gt;"",LOWER(K213)&lt;&gt;"não consta"),AND(L213&lt;&gt;"",LOWER(L213)&lt;&gt;"não consta"),IFERROR(INDEX(Empresas!$G:$G,MATCH(A213,Empresas!$A:$A,0))&amp;"","")&lt;&gt;""),"SIM",""))</f>
        <v/>
      </c>
      <c r="N213" s="5"/>
      <c r="O213" s="32" t="str">
        <f aca="false">IF(D213="","",YEAR(D213))</f>
        <v/>
      </c>
      <c r="P213" s="5"/>
    </row>
    <row r="214" customFormat="false" ht="15" hidden="false" customHeight="false" outlineLevel="0" collapsed="false">
      <c r="A214" s="27"/>
      <c r="B214" s="5"/>
      <c r="C214" s="35"/>
      <c r="D214" s="18"/>
      <c r="E214" s="5"/>
      <c r="F214" s="14"/>
      <c r="G214" s="5"/>
      <c r="H214" s="27"/>
      <c r="I214" s="5"/>
      <c r="J214" s="19" t="str">
        <f aca="false">IF(A214="","",IFERROR(INDEX(Empresas!$D:$D,MATCH(A214,Empresas!$A:$A,0))&amp;"","não consta"))</f>
        <v/>
      </c>
      <c r="K214" s="19" t="str">
        <f aca="false">IF(A214="","",IFERROR(INDEX(Sancoes!$B:$B,MATCH(A214,Sancoes!$A:$A,0))&amp;"","não consta"))</f>
        <v/>
      </c>
      <c r="L214" s="19" t="str">
        <f aca="false">IF(A214="","",IFERROR(INDEX(Eleitoral!$B:$B,MATCH(A214,Eleitoral!$A:$A,0))&amp;"","não consta"))</f>
        <v/>
      </c>
      <c r="M214" s="28" t="str">
        <f aca="false">IF(A214="","",IF(OR(AND(K214&lt;&gt;"",LOWER(K214)&lt;&gt;"não consta"),AND(L214&lt;&gt;"",LOWER(L214)&lt;&gt;"não consta"),IFERROR(INDEX(Empresas!$G:$G,MATCH(A214,Empresas!$A:$A,0))&amp;"","")&lt;&gt;""),"SIM",""))</f>
        <v/>
      </c>
      <c r="N214" s="5"/>
      <c r="O214" s="32" t="str">
        <f aca="false">IF(D214="","",YEAR(D214))</f>
        <v/>
      </c>
      <c r="P214" s="5"/>
    </row>
    <row r="215" customFormat="false" ht="15" hidden="false" customHeight="false" outlineLevel="0" collapsed="false">
      <c r="A215" s="27"/>
      <c r="B215" s="5"/>
      <c r="C215" s="35"/>
      <c r="D215" s="18"/>
      <c r="E215" s="5"/>
      <c r="F215" s="14"/>
      <c r="G215" s="5"/>
      <c r="H215" s="27"/>
      <c r="I215" s="5"/>
      <c r="J215" s="19" t="str">
        <f aca="false">IF(A215="","",IFERROR(INDEX(Empresas!$D:$D,MATCH(A215,Empresas!$A:$A,0))&amp;"","não consta"))</f>
        <v/>
      </c>
      <c r="K215" s="19" t="str">
        <f aca="false">IF(A215="","",IFERROR(INDEX(Sancoes!$B:$B,MATCH(A215,Sancoes!$A:$A,0))&amp;"","não consta"))</f>
        <v/>
      </c>
      <c r="L215" s="19" t="str">
        <f aca="false">IF(A215="","",IFERROR(INDEX(Eleitoral!$B:$B,MATCH(A215,Eleitoral!$A:$A,0))&amp;"","não consta"))</f>
        <v/>
      </c>
      <c r="M215" s="28" t="str">
        <f aca="false">IF(A215="","",IF(OR(AND(K215&lt;&gt;"",LOWER(K215)&lt;&gt;"não consta"),AND(L215&lt;&gt;"",LOWER(L215)&lt;&gt;"não consta"),IFERROR(INDEX(Empresas!$G:$G,MATCH(A215,Empresas!$A:$A,0))&amp;"","")&lt;&gt;""),"SIM",""))</f>
        <v/>
      </c>
      <c r="N215" s="5"/>
      <c r="O215" s="32" t="str">
        <f aca="false">IF(D215="","",YEAR(D215))</f>
        <v/>
      </c>
      <c r="P215" s="5"/>
    </row>
    <row r="216" customFormat="false" ht="15" hidden="false" customHeight="false" outlineLevel="0" collapsed="false">
      <c r="A216" s="27"/>
      <c r="B216" s="5"/>
      <c r="C216" s="35"/>
      <c r="D216" s="18"/>
      <c r="E216" s="5"/>
      <c r="F216" s="14"/>
      <c r="G216" s="5"/>
      <c r="H216" s="27"/>
      <c r="I216" s="5"/>
      <c r="J216" s="19" t="str">
        <f aca="false">IF(A216="","",IFERROR(INDEX(Empresas!$D:$D,MATCH(A216,Empresas!$A:$A,0))&amp;"","não consta"))</f>
        <v/>
      </c>
      <c r="K216" s="19" t="str">
        <f aca="false">IF(A216="","",IFERROR(INDEX(Sancoes!$B:$B,MATCH(A216,Sancoes!$A:$A,0))&amp;"","não consta"))</f>
        <v/>
      </c>
      <c r="L216" s="19" t="str">
        <f aca="false">IF(A216="","",IFERROR(INDEX(Eleitoral!$B:$B,MATCH(A216,Eleitoral!$A:$A,0))&amp;"","não consta"))</f>
        <v/>
      </c>
      <c r="M216" s="28" t="str">
        <f aca="false">IF(A216="","",IF(OR(AND(K216&lt;&gt;"",LOWER(K216)&lt;&gt;"não consta"),AND(L216&lt;&gt;"",LOWER(L216)&lt;&gt;"não consta"),IFERROR(INDEX(Empresas!$G:$G,MATCH(A216,Empresas!$A:$A,0))&amp;"","")&lt;&gt;""),"SIM",""))</f>
        <v/>
      </c>
      <c r="N216" s="5"/>
      <c r="O216" s="32" t="str">
        <f aca="false">IF(D216="","",YEAR(D216))</f>
        <v/>
      </c>
      <c r="P216" s="5"/>
    </row>
    <row r="217" customFormat="false" ht="15" hidden="false" customHeight="false" outlineLevel="0" collapsed="false">
      <c r="A217" s="27"/>
      <c r="B217" s="5"/>
      <c r="C217" s="35"/>
      <c r="D217" s="18"/>
      <c r="E217" s="5"/>
      <c r="F217" s="14"/>
      <c r="G217" s="5"/>
      <c r="H217" s="27"/>
      <c r="I217" s="5"/>
      <c r="J217" s="19" t="str">
        <f aca="false">IF(A217="","",IFERROR(INDEX(Empresas!$D:$D,MATCH(A217,Empresas!$A:$A,0))&amp;"","não consta"))</f>
        <v/>
      </c>
      <c r="K217" s="19" t="str">
        <f aca="false">IF(A217="","",IFERROR(INDEX(Sancoes!$B:$B,MATCH(A217,Sancoes!$A:$A,0))&amp;"","não consta"))</f>
        <v/>
      </c>
      <c r="L217" s="19" t="str">
        <f aca="false">IF(A217="","",IFERROR(INDEX(Eleitoral!$B:$B,MATCH(A217,Eleitoral!$A:$A,0))&amp;"","não consta"))</f>
        <v/>
      </c>
      <c r="M217" s="28" t="str">
        <f aca="false">IF(A217="","",IF(OR(AND(K217&lt;&gt;"",LOWER(K217)&lt;&gt;"não consta"),AND(L217&lt;&gt;"",LOWER(L217)&lt;&gt;"não consta"),IFERROR(INDEX(Empresas!$G:$G,MATCH(A217,Empresas!$A:$A,0))&amp;"","")&lt;&gt;""),"SIM",""))</f>
        <v/>
      </c>
      <c r="N217" s="5"/>
      <c r="O217" s="32" t="str">
        <f aca="false">IF(D217="","",YEAR(D217))</f>
        <v/>
      </c>
      <c r="P217" s="5"/>
    </row>
    <row r="218" customFormat="false" ht="15" hidden="false" customHeight="false" outlineLevel="0" collapsed="false">
      <c r="A218" s="27"/>
      <c r="B218" s="5"/>
      <c r="C218" s="35"/>
      <c r="D218" s="18"/>
      <c r="E218" s="5"/>
      <c r="F218" s="14"/>
      <c r="G218" s="5"/>
      <c r="H218" s="27"/>
      <c r="I218" s="5"/>
      <c r="J218" s="19" t="str">
        <f aca="false">IF(A218="","",IFERROR(INDEX(Empresas!$D:$D,MATCH(A218,Empresas!$A:$A,0))&amp;"","não consta"))</f>
        <v/>
      </c>
      <c r="K218" s="19" t="str">
        <f aca="false">IF(A218="","",IFERROR(INDEX(Sancoes!$B:$B,MATCH(A218,Sancoes!$A:$A,0))&amp;"","não consta"))</f>
        <v/>
      </c>
      <c r="L218" s="19" t="str">
        <f aca="false">IF(A218="","",IFERROR(INDEX(Eleitoral!$B:$B,MATCH(A218,Eleitoral!$A:$A,0))&amp;"","não consta"))</f>
        <v/>
      </c>
      <c r="M218" s="28" t="str">
        <f aca="false">IF(A218="","",IF(OR(AND(K218&lt;&gt;"",LOWER(K218)&lt;&gt;"não consta"),AND(L218&lt;&gt;"",LOWER(L218)&lt;&gt;"não consta"),IFERROR(INDEX(Empresas!$G:$G,MATCH(A218,Empresas!$A:$A,0))&amp;"","")&lt;&gt;""),"SIM",""))</f>
        <v/>
      </c>
      <c r="N218" s="5"/>
      <c r="O218" s="32" t="str">
        <f aca="false">IF(D218="","",YEAR(D218))</f>
        <v/>
      </c>
      <c r="P218" s="5"/>
    </row>
    <row r="219" customFormat="false" ht="15" hidden="false" customHeight="false" outlineLevel="0" collapsed="false">
      <c r="A219" s="27"/>
      <c r="B219" s="5"/>
      <c r="C219" s="35"/>
      <c r="D219" s="18"/>
      <c r="E219" s="5"/>
      <c r="F219" s="14"/>
      <c r="G219" s="5"/>
      <c r="H219" s="27"/>
      <c r="I219" s="5"/>
      <c r="J219" s="19" t="str">
        <f aca="false">IF(A219="","",IFERROR(INDEX(Empresas!$D:$D,MATCH(A219,Empresas!$A:$A,0))&amp;"","não consta"))</f>
        <v/>
      </c>
      <c r="K219" s="19" t="str">
        <f aca="false">IF(A219="","",IFERROR(INDEX(Sancoes!$B:$B,MATCH(A219,Sancoes!$A:$A,0))&amp;"","não consta"))</f>
        <v/>
      </c>
      <c r="L219" s="19" t="str">
        <f aca="false">IF(A219="","",IFERROR(INDEX(Eleitoral!$B:$B,MATCH(A219,Eleitoral!$A:$A,0))&amp;"","não consta"))</f>
        <v/>
      </c>
      <c r="M219" s="28" t="str">
        <f aca="false">IF(A219="","",IF(OR(AND(K219&lt;&gt;"",LOWER(K219)&lt;&gt;"não consta"),AND(L219&lt;&gt;"",LOWER(L219)&lt;&gt;"não consta"),IFERROR(INDEX(Empresas!$G:$G,MATCH(A219,Empresas!$A:$A,0))&amp;"","")&lt;&gt;""),"SIM",""))</f>
        <v/>
      </c>
      <c r="N219" s="5"/>
      <c r="O219" s="32" t="str">
        <f aca="false">IF(D219="","",YEAR(D219))</f>
        <v/>
      </c>
      <c r="P219" s="5"/>
    </row>
    <row r="220" customFormat="false" ht="15" hidden="false" customHeight="false" outlineLevel="0" collapsed="false">
      <c r="A220" s="27"/>
      <c r="B220" s="5"/>
      <c r="C220" s="35"/>
      <c r="D220" s="18"/>
      <c r="E220" s="5"/>
      <c r="F220" s="14"/>
      <c r="G220" s="5"/>
      <c r="H220" s="27"/>
      <c r="I220" s="5"/>
      <c r="J220" s="19" t="str">
        <f aca="false">IF(A220="","",IFERROR(INDEX(Empresas!$D:$D,MATCH(A220,Empresas!$A:$A,0))&amp;"","não consta"))</f>
        <v/>
      </c>
      <c r="K220" s="19" t="str">
        <f aca="false">IF(A220="","",IFERROR(INDEX(Sancoes!$B:$B,MATCH(A220,Sancoes!$A:$A,0))&amp;"","não consta"))</f>
        <v/>
      </c>
      <c r="L220" s="19" t="str">
        <f aca="false">IF(A220="","",IFERROR(INDEX(Eleitoral!$B:$B,MATCH(A220,Eleitoral!$A:$A,0))&amp;"","não consta"))</f>
        <v/>
      </c>
      <c r="M220" s="28" t="str">
        <f aca="false">IF(A220="","",IF(OR(AND(K220&lt;&gt;"",LOWER(K220)&lt;&gt;"não consta"),AND(L220&lt;&gt;"",LOWER(L220)&lt;&gt;"não consta"),IFERROR(INDEX(Empresas!$G:$G,MATCH(A220,Empresas!$A:$A,0))&amp;"","")&lt;&gt;""),"SIM",""))</f>
        <v/>
      </c>
      <c r="N220" s="5"/>
      <c r="O220" s="32" t="str">
        <f aca="false">IF(D220="","",YEAR(D220))</f>
        <v/>
      </c>
      <c r="P220" s="5"/>
    </row>
    <row r="221" customFormat="false" ht="15" hidden="false" customHeight="false" outlineLevel="0" collapsed="false">
      <c r="A221" s="27"/>
      <c r="B221" s="5"/>
      <c r="C221" s="35"/>
      <c r="D221" s="18"/>
      <c r="E221" s="5"/>
      <c r="F221" s="14"/>
      <c r="G221" s="5"/>
      <c r="H221" s="27"/>
      <c r="I221" s="5"/>
      <c r="J221" s="19" t="str">
        <f aca="false">IF(A221="","",IFERROR(INDEX(Empresas!$D:$D,MATCH(A221,Empresas!$A:$A,0))&amp;"","não consta"))</f>
        <v/>
      </c>
      <c r="K221" s="19" t="str">
        <f aca="false">IF(A221="","",IFERROR(INDEX(Sancoes!$B:$B,MATCH(A221,Sancoes!$A:$A,0))&amp;"","não consta"))</f>
        <v/>
      </c>
      <c r="L221" s="19" t="str">
        <f aca="false">IF(A221="","",IFERROR(INDEX(Eleitoral!$B:$B,MATCH(A221,Eleitoral!$A:$A,0))&amp;"","não consta"))</f>
        <v/>
      </c>
      <c r="M221" s="28" t="str">
        <f aca="false">IF(A221="","",IF(OR(AND(K221&lt;&gt;"",LOWER(K221)&lt;&gt;"não consta"),AND(L221&lt;&gt;"",LOWER(L221)&lt;&gt;"não consta"),IFERROR(INDEX(Empresas!$G:$G,MATCH(A221,Empresas!$A:$A,0))&amp;"","")&lt;&gt;""),"SIM",""))</f>
        <v/>
      </c>
      <c r="N221" s="5"/>
      <c r="O221" s="32" t="str">
        <f aca="false">IF(D221="","",YEAR(D221))</f>
        <v/>
      </c>
      <c r="P221" s="5"/>
    </row>
    <row r="222" customFormat="false" ht="15" hidden="false" customHeight="false" outlineLevel="0" collapsed="false">
      <c r="A222" s="27"/>
      <c r="B222" s="5"/>
      <c r="C222" s="35"/>
      <c r="D222" s="18"/>
      <c r="E222" s="5"/>
      <c r="F222" s="14"/>
      <c r="G222" s="5"/>
      <c r="H222" s="27"/>
      <c r="I222" s="5"/>
      <c r="J222" s="19" t="str">
        <f aca="false">IF(A222="","",IFERROR(INDEX(Empresas!$D:$D,MATCH(A222,Empresas!$A:$A,0))&amp;"","não consta"))</f>
        <v/>
      </c>
      <c r="K222" s="19" t="str">
        <f aca="false">IF(A222="","",IFERROR(INDEX(Sancoes!$B:$B,MATCH(A222,Sancoes!$A:$A,0))&amp;"","não consta"))</f>
        <v/>
      </c>
      <c r="L222" s="19" t="str">
        <f aca="false">IF(A222="","",IFERROR(INDEX(Eleitoral!$B:$B,MATCH(A222,Eleitoral!$A:$A,0))&amp;"","não consta"))</f>
        <v/>
      </c>
      <c r="M222" s="28" t="str">
        <f aca="false">IF(A222="","",IF(OR(AND(K222&lt;&gt;"",LOWER(K222)&lt;&gt;"não consta"),AND(L222&lt;&gt;"",LOWER(L222)&lt;&gt;"não consta"),IFERROR(INDEX(Empresas!$G:$G,MATCH(A222,Empresas!$A:$A,0))&amp;"","")&lt;&gt;""),"SIM",""))</f>
        <v/>
      </c>
      <c r="N222" s="5"/>
      <c r="O222" s="32" t="str">
        <f aca="false">IF(D222="","",YEAR(D222))</f>
        <v/>
      </c>
      <c r="P222" s="5"/>
    </row>
    <row r="223" customFormat="false" ht="15" hidden="false" customHeight="false" outlineLevel="0" collapsed="false">
      <c r="A223" s="27"/>
      <c r="B223" s="5"/>
      <c r="C223" s="35"/>
      <c r="D223" s="18"/>
      <c r="E223" s="5"/>
      <c r="F223" s="14"/>
      <c r="G223" s="5"/>
      <c r="H223" s="27"/>
      <c r="I223" s="5"/>
      <c r="J223" s="19" t="str">
        <f aca="false">IF(A223="","",IFERROR(INDEX(Empresas!$D:$D,MATCH(A223,Empresas!$A:$A,0))&amp;"","não consta"))</f>
        <v/>
      </c>
      <c r="K223" s="19" t="str">
        <f aca="false">IF(A223="","",IFERROR(INDEX(Sancoes!$B:$B,MATCH(A223,Sancoes!$A:$A,0))&amp;"","não consta"))</f>
        <v/>
      </c>
      <c r="L223" s="19" t="str">
        <f aca="false">IF(A223="","",IFERROR(INDEX(Eleitoral!$B:$B,MATCH(A223,Eleitoral!$A:$A,0))&amp;"","não consta"))</f>
        <v/>
      </c>
      <c r="M223" s="28" t="str">
        <f aca="false">IF(A223="","",IF(OR(AND(K223&lt;&gt;"",LOWER(K223)&lt;&gt;"não consta"),AND(L223&lt;&gt;"",LOWER(L223)&lt;&gt;"não consta"),IFERROR(INDEX(Empresas!$G:$G,MATCH(A223,Empresas!$A:$A,0))&amp;"","")&lt;&gt;""),"SIM",""))</f>
        <v/>
      </c>
      <c r="N223" s="5"/>
      <c r="O223" s="32" t="str">
        <f aca="false">IF(D223="","",YEAR(D223))</f>
        <v/>
      </c>
      <c r="P223" s="5"/>
    </row>
    <row r="224" customFormat="false" ht="15" hidden="false" customHeight="false" outlineLevel="0" collapsed="false">
      <c r="A224" s="27"/>
      <c r="B224" s="5"/>
      <c r="C224" s="35"/>
      <c r="D224" s="18"/>
      <c r="E224" s="5"/>
      <c r="F224" s="14"/>
      <c r="G224" s="5"/>
      <c r="H224" s="27"/>
      <c r="I224" s="5"/>
      <c r="J224" s="19" t="str">
        <f aca="false">IF(A224="","",IFERROR(INDEX(Empresas!$D:$D,MATCH(A224,Empresas!$A:$A,0))&amp;"","não consta"))</f>
        <v/>
      </c>
      <c r="K224" s="19" t="str">
        <f aca="false">IF(A224="","",IFERROR(INDEX(Sancoes!$B:$B,MATCH(A224,Sancoes!$A:$A,0))&amp;"","não consta"))</f>
        <v/>
      </c>
      <c r="L224" s="19" t="str">
        <f aca="false">IF(A224="","",IFERROR(INDEX(Eleitoral!$B:$B,MATCH(A224,Eleitoral!$A:$A,0))&amp;"","não consta"))</f>
        <v/>
      </c>
      <c r="M224" s="28" t="str">
        <f aca="false">IF(A224="","",IF(OR(AND(K224&lt;&gt;"",LOWER(K224)&lt;&gt;"não consta"),AND(L224&lt;&gt;"",LOWER(L224)&lt;&gt;"não consta"),IFERROR(INDEX(Empresas!$G:$G,MATCH(A224,Empresas!$A:$A,0))&amp;"","")&lt;&gt;""),"SIM",""))</f>
        <v/>
      </c>
      <c r="N224" s="5"/>
      <c r="O224" s="32" t="str">
        <f aca="false">IF(D224="","",YEAR(D224))</f>
        <v/>
      </c>
      <c r="P224" s="5"/>
    </row>
    <row r="225" customFormat="false" ht="15" hidden="false" customHeight="false" outlineLevel="0" collapsed="false">
      <c r="A225" s="27"/>
      <c r="B225" s="5"/>
      <c r="C225" s="35"/>
      <c r="D225" s="18"/>
      <c r="E225" s="5"/>
      <c r="F225" s="14"/>
      <c r="G225" s="5"/>
      <c r="H225" s="27"/>
      <c r="I225" s="5"/>
      <c r="J225" s="19" t="str">
        <f aca="false">IF(A225="","",IFERROR(INDEX(Empresas!$D:$D,MATCH(A225,Empresas!$A:$A,0))&amp;"","não consta"))</f>
        <v/>
      </c>
      <c r="K225" s="19" t="str">
        <f aca="false">IF(A225="","",IFERROR(INDEX(Sancoes!$B:$B,MATCH(A225,Sancoes!$A:$A,0))&amp;"","não consta"))</f>
        <v/>
      </c>
      <c r="L225" s="19" t="str">
        <f aca="false">IF(A225="","",IFERROR(INDEX(Eleitoral!$B:$B,MATCH(A225,Eleitoral!$A:$A,0))&amp;"","não consta"))</f>
        <v/>
      </c>
      <c r="M225" s="28" t="str">
        <f aca="false">IF(A225="","",IF(OR(AND(K225&lt;&gt;"",LOWER(K225)&lt;&gt;"não consta"),AND(L225&lt;&gt;"",LOWER(L225)&lt;&gt;"não consta"),IFERROR(INDEX(Empresas!$G:$G,MATCH(A225,Empresas!$A:$A,0))&amp;"","")&lt;&gt;""),"SIM",""))</f>
        <v/>
      </c>
      <c r="N225" s="5"/>
      <c r="O225" s="32" t="str">
        <f aca="false">IF(D225="","",YEAR(D225))</f>
        <v/>
      </c>
      <c r="P225" s="5"/>
    </row>
    <row r="226" customFormat="false" ht="15" hidden="false" customHeight="false" outlineLevel="0" collapsed="false">
      <c r="A226" s="27"/>
      <c r="B226" s="5"/>
      <c r="C226" s="35"/>
      <c r="D226" s="18"/>
      <c r="E226" s="5"/>
      <c r="F226" s="14"/>
      <c r="G226" s="5"/>
      <c r="H226" s="27"/>
      <c r="I226" s="5"/>
      <c r="J226" s="19" t="str">
        <f aca="false">IF(A226="","",IFERROR(INDEX(Empresas!$D:$D,MATCH(A226,Empresas!$A:$A,0))&amp;"","não consta"))</f>
        <v/>
      </c>
      <c r="K226" s="19" t="str">
        <f aca="false">IF(A226="","",IFERROR(INDEX(Sancoes!$B:$B,MATCH(A226,Sancoes!$A:$A,0))&amp;"","não consta"))</f>
        <v/>
      </c>
      <c r="L226" s="19" t="str">
        <f aca="false">IF(A226="","",IFERROR(INDEX(Eleitoral!$B:$B,MATCH(A226,Eleitoral!$A:$A,0))&amp;"","não consta"))</f>
        <v/>
      </c>
      <c r="M226" s="28" t="str">
        <f aca="false">IF(A226="","",IF(OR(AND(K226&lt;&gt;"",LOWER(K226)&lt;&gt;"não consta"),AND(L226&lt;&gt;"",LOWER(L226)&lt;&gt;"não consta"),IFERROR(INDEX(Empresas!$G:$G,MATCH(A226,Empresas!$A:$A,0))&amp;"","")&lt;&gt;""),"SIM",""))</f>
        <v/>
      </c>
      <c r="N226" s="5"/>
      <c r="O226" s="32" t="str">
        <f aca="false">IF(D226="","",YEAR(D226))</f>
        <v/>
      </c>
      <c r="P226" s="5"/>
    </row>
    <row r="227" customFormat="false" ht="15" hidden="false" customHeight="false" outlineLevel="0" collapsed="false">
      <c r="A227" s="27"/>
      <c r="B227" s="5"/>
      <c r="C227" s="35"/>
      <c r="D227" s="18"/>
      <c r="E227" s="5"/>
      <c r="F227" s="14"/>
      <c r="G227" s="5"/>
      <c r="H227" s="27"/>
      <c r="I227" s="5"/>
      <c r="J227" s="19" t="str">
        <f aca="false">IF(A227="","",IFERROR(INDEX(Empresas!$D:$D,MATCH(A227,Empresas!$A:$A,0))&amp;"","não consta"))</f>
        <v/>
      </c>
      <c r="K227" s="19" t="str">
        <f aca="false">IF(A227="","",IFERROR(INDEX(Sancoes!$B:$B,MATCH(A227,Sancoes!$A:$A,0))&amp;"","não consta"))</f>
        <v/>
      </c>
      <c r="L227" s="19" t="str">
        <f aca="false">IF(A227="","",IFERROR(INDEX(Eleitoral!$B:$B,MATCH(A227,Eleitoral!$A:$A,0))&amp;"","não consta"))</f>
        <v/>
      </c>
      <c r="M227" s="28" t="str">
        <f aca="false">IF(A227="","",IF(OR(AND(K227&lt;&gt;"",LOWER(K227)&lt;&gt;"não consta"),AND(L227&lt;&gt;"",LOWER(L227)&lt;&gt;"não consta"),IFERROR(INDEX(Empresas!$G:$G,MATCH(A227,Empresas!$A:$A,0))&amp;"","")&lt;&gt;""),"SIM",""))</f>
        <v/>
      </c>
      <c r="N227" s="5"/>
      <c r="O227" s="32" t="str">
        <f aca="false">IF(D227="","",YEAR(D227))</f>
        <v/>
      </c>
      <c r="P227" s="5"/>
    </row>
    <row r="228" customFormat="false" ht="15" hidden="false" customHeight="false" outlineLevel="0" collapsed="false">
      <c r="A228" s="27"/>
      <c r="B228" s="5"/>
      <c r="C228" s="35"/>
      <c r="D228" s="18"/>
      <c r="E228" s="5"/>
      <c r="F228" s="14"/>
      <c r="G228" s="5"/>
      <c r="H228" s="27"/>
      <c r="I228" s="5"/>
      <c r="J228" s="19" t="str">
        <f aca="false">IF(A228="","",IFERROR(INDEX(Empresas!$D:$D,MATCH(A228,Empresas!$A:$A,0))&amp;"","não consta"))</f>
        <v/>
      </c>
      <c r="K228" s="19" t="str">
        <f aca="false">IF(A228="","",IFERROR(INDEX(Sancoes!$B:$B,MATCH(A228,Sancoes!$A:$A,0))&amp;"","não consta"))</f>
        <v/>
      </c>
      <c r="L228" s="19" t="str">
        <f aca="false">IF(A228="","",IFERROR(INDEX(Eleitoral!$B:$B,MATCH(A228,Eleitoral!$A:$A,0))&amp;"","não consta"))</f>
        <v/>
      </c>
      <c r="M228" s="28" t="str">
        <f aca="false">IF(A228="","",IF(OR(AND(K228&lt;&gt;"",LOWER(K228)&lt;&gt;"não consta"),AND(L228&lt;&gt;"",LOWER(L228)&lt;&gt;"não consta"),IFERROR(INDEX(Empresas!$G:$G,MATCH(A228,Empresas!$A:$A,0))&amp;"","")&lt;&gt;""),"SIM",""))</f>
        <v/>
      </c>
      <c r="N228" s="5"/>
      <c r="O228" s="32" t="str">
        <f aca="false">IF(D228="","",YEAR(D228))</f>
        <v/>
      </c>
      <c r="P228" s="5"/>
    </row>
    <row r="229" customFormat="false" ht="15" hidden="false" customHeight="false" outlineLevel="0" collapsed="false">
      <c r="A229" s="27"/>
      <c r="B229" s="5"/>
      <c r="C229" s="35"/>
      <c r="D229" s="18"/>
      <c r="E229" s="5"/>
      <c r="F229" s="14"/>
      <c r="G229" s="5"/>
      <c r="H229" s="27"/>
      <c r="I229" s="5"/>
      <c r="J229" s="19" t="str">
        <f aca="false">IF(A229="","",IFERROR(INDEX(Empresas!$D:$D,MATCH(A229,Empresas!$A:$A,0))&amp;"","não consta"))</f>
        <v/>
      </c>
      <c r="K229" s="19" t="str">
        <f aca="false">IF(A229="","",IFERROR(INDEX(Sancoes!$B:$B,MATCH(A229,Sancoes!$A:$A,0))&amp;"","não consta"))</f>
        <v/>
      </c>
      <c r="L229" s="19" t="str">
        <f aca="false">IF(A229="","",IFERROR(INDEX(Eleitoral!$B:$B,MATCH(A229,Eleitoral!$A:$A,0))&amp;"","não consta"))</f>
        <v/>
      </c>
      <c r="M229" s="28" t="str">
        <f aca="false">IF(A229="","",IF(OR(AND(K229&lt;&gt;"",LOWER(K229)&lt;&gt;"não consta"),AND(L229&lt;&gt;"",LOWER(L229)&lt;&gt;"não consta"),IFERROR(INDEX(Empresas!$G:$G,MATCH(A229,Empresas!$A:$A,0))&amp;"","")&lt;&gt;""),"SIM",""))</f>
        <v/>
      </c>
      <c r="N229" s="5"/>
      <c r="O229" s="32" t="str">
        <f aca="false">IF(D229="","",YEAR(D229))</f>
        <v/>
      </c>
      <c r="P229" s="5"/>
    </row>
    <row r="230" customFormat="false" ht="15" hidden="false" customHeight="false" outlineLevel="0" collapsed="false">
      <c r="A230" s="27"/>
      <c r="B230" s="5"/>
      <c r="C230" s="35"/>
      <c r="D230" s="18"/>
      <c r="E230" s="5"/>
      <c r="F230" s="14"/>
      <c r="G230" s="5"/>
      <c r="H230" s="27"/>
      <c r="I230" s="5"/>
      <c r="J230" s="19" t="str">
        <f aca="false">IF(A230="","",IFERROR(INDEX(Empresas!$D:$D,MATCH(A230,Empresas!$A:$A,0))&amp;"","não consta"))</f>
        <v/>
      </c>
      <c r="K230" s="19" t="str">
        <f aca="false">IF(A230="","",IFERROR(INDEX(Sancoes!$B:$B,MATCH(A230,Sancoes!$A:$A,0))&amp;"","não consta"))</f>
        <v/>
      </c>
      <c r="L230" s="19" t="str">
        <f aca="false">IF(A230="","",IFERROR(INDEX(Eleitoral!$B:$B,MATCH(A230,Eleitoral!$A:$A,0))&amp;"","não consta"))</f>
        <v/>
      </c>
      <c r="M230" s="28" t="str">
        <f aca="false">IF(A230="","",IF(OR(AND(K230&lt;&gt;"",LOWER(K230)&lt;&gt;"não consta"),AND(L230&lt;&gt;"",LOWER(L230)&lt;&gt;"não consta"),IFERROR(INDEX(Empresas!$G:$G,MATCH(A230,Empresas!$A:$A,0))&amp;"","")&lt;&gt;""),"SIM",""))</f>
        <v/>
      </c>
      <c r="N230" s="5"/>
      <c r="O230" s="32" t="str">
        <f aca="false">IF(D230="","",YEAR(D230))</f>
        <v/>
      </c>
      <c r="P230" s="5"/>
    </row>
    <row r="231" customFormat="false" ht="15" hidden="false" customHeight="false" outlineLevel="0" collapsed="false">
      <c r="A231" s="27"/>
      <c r="B231" s="5"/>
      <c r="C231" s="35"/>
      <c r="D231" s="18"/>
      <c r="E231" s="5"/>
      <c r="F231" s="14"/>
      <c r="G231" s="5"/>
      <c r="H231" s="27"/>
      <c r="I231" s="5"/>
      <c r="J231" s="19" t="str">
        <f aca="false">IF(A231="","",IFERROR(INDEX(Empresas!$D:$D,MATCH(A231,Empresas!$A:$A,0))&amp;"","não consta"))</f>
        <v/>
      </c>
      <c r="K231" s="19" t="str">
        <f aca="false">IF(A231="","",IFERROR(INDEX(Sancoes!$B:$B,MATCH(A231,Sancoes!$A:$A,0))&amp;"","não consta"))</f>
        <v/>
      </c>
      <c r="L231" s="19" t="str">
        <f aca="false">IF(A231="","",IFERROR(INDEX(Eleitoral!$B:$B,MATCH(A231,Eleitoral!$A:$A,0))&amp;"","não consta"))</f>
        <v/>
      </c>
      <c r="M231" s="28" t="str">
        <f aca="false">IF(A231="","",IF(OR(AND(K231&lt;&gt;"",LOWER(K231)&lt;&gt;"não consta"),AND(L231&lt;&gt;"",LOWER(L231)&lt;&gt;"não consta"),IFERROR(INDEX(Empresas!$G:$G,MATCH(A231,Empresas!$A:$A,0))&amp;"","")&lt;&gt;""),"SIM",""))</f>
        <v/>
      </c>
      <c r="N231" s="5"/>
      <c r="O231" s="32" t="str">
        <f aca="false">IF(D231="","",YEAR(D231))</f>
        <v/>
      </c>
      <c r="P231" s="5"/>
    </row>
    <row r="232" customFormat="false" ht="15" hidden="false" customHeight="false" outlineLevel="0" collapsed="false">
      <c r="A232" s="27"/>
      <c r="B232" s="5"/>
      <c r="C232" s="35"/>
      <c r="D232" s="18"/>
      <c r="E232" s="5"/>
      <c r="F232" s="14"/>
      <c r="G232" s="5"/>
      <c r="H232" s="27"/>
      <c r="I232" s="5"/>
      <c r="J232" s="19" t="str">
        <f aca="false">IF(A232="","",IFERROR(INDEX(Empresas!$D:$D,MATCH(A232,Empresas!$A:$A,0))&amp;"","não consta"))</f>
        <v/>
      </c>
      <c r="K232" s="19" t="str">
        <f aca="false">IF(A232="","",IFERROR(INDEX(Sancoes!$B:$B,MATCH(A232,Sancoes!$A:$A,0))&amp;"","não consta"))</f>
        <v/>
      </c>
      <c r="L232" s="19" t="str">
        <f aca="false">IF(A232="","",IFERROR(INDEX(Eleitoral!$B:$B,MATCH(A232,Eleitoral!$A:$A,0))&amp;"","não consta"))</f>
        <v/>
      </c>
      <c r="M232" s="28" t="str">
        <f aca="false">IF(A232="","",IF(OR(AND(K232&lt;&gt;"",LOWER(K232)&lt;&gt;"não consta"),AND(L232&lt;&gt;"",LOWER(L232)&lt;&gt;"não consta"),IFERROR(INDEX(Empresas!$G:$G,MATCH(A232,Empresas!$A:$A,0))&amp;"","")&lt;&gt;""),"SIM",""))</f>
        <v/>
      </c>
      <c r="N232" s="5"/>
      <c r="O232" s="32" t="str">
        <f aca="false">IF(D232="","",YEAR(D232))</f>
        <v/>
      </c>
      <c r="P232" s="5"/>
    </row>
    <row r="233" customFormat="false" ht="15" hidden="false" customHeight="false" outlineLevel="0" collapsed="false">
      <c r="A233" s="27"/>
      <c r="B233" s="5"/>
      <c r="C233" s="35"/>
      <c r="D233" s="18"/>
      <c r="E233" s="5"/>
      <c r="F233" s="14"/>
      <c r="G233" s="5"/>
      <c r="H233" s="27"/>
      <c r="I233" s="5"/>
      <c r="J233" s="19" t="str">
        <f aca="false">IF(A233="","",IFERROR(INDEX(Empresas!$D:$D,MATCH(A233,Empresas!$A:$A,0))&amp;"","não consta"))</f>
        <v/>
      </c>
      <c r="K233" s="19" t="str">
        <f aca="false">IF(A233="","",IFERROR(INDEX(Sancoes!$B:$B,MATCH(A233,Sancoes!$A:$A,0))&amp;"","não consta"))</f>
        <v/>
      </c>
      <c r="L233" s="19" t="str">
        <f aca="false">IF(A233="","",IFERROR(INDEX(Eleitoral!$B:$B,MATCH(A233,Eleitoral!$A:$A,0))&amp;"","não consta"))</f>
        <v/>
      </c>
      <c r="M233" s="28" t="str">
        <f aca="false">IF(A233="","",IF(OR(AND(K233&lt;&gt;"",LOWER(K233)&lt;&gt;"não consta"),AND(L233&lt;&gt;"",LOWER(L233)&lt;&gt;"não consta"),IFERROR(INDEX(Empresas!$G:$G,MATCH(A233,Empresas!$A:$A,0))&amp;"","")&lt;&gt;""),"SIM",""))</f>
        <v/>
      </c>
      <c r="N233" s="5"/>
      <c r="O233" s="32" t="str">
        <f aca="false">IF(D233="","",YEAR(D233))</f>
        <v/>
      </c>
      <c r="P233" s="5"/>
    </row>
    <row r="234" customFormat="false" ht="15" hidden="false" customHeight="false" outlineLevel="0" collapsed="false">
      <c r="A234" s="27"/>
      <c r="B234" s="5"/>
      <c r="C234" s="35"/>
      <c r="D234" s="18"/>
      <c r="E234" s="5"/>
      <c r="F234" s="14"/>
      <c r="G234" s="5"/>
      <c r="H234" s="27"/>
      <c r="I234" s="5"/>
      <c r="J234" s="19" t="str">
        <f aca="false">IF(A234="","",IFERROR(INDEX(Empresas!$D:$D,MATCH(A234,Empresas!$A:$A,0))&amp;"","não consta"))</f>
        <v/>
      </c>
      <c r="K234" s="19" t="str">
        <f aca="false">IF(A234="","",IFERROR(INDEX(Sancoes!$B:$B,MATCH(A234,Sancoes!$A:$A,0))&amp;"","não consta"))</f>
        <v/>
      </c>
      <c r="L234" s="19" t="str">
        <f aca="false">IF(A234="","",IFERROR(INDEX(Eleitoral!$B:$B,MATCH(A234,Eleitoral!$A:$A,0))&amp;"","não consta"))</f>
        <v/>
      </c>
      <c r="M234" s="28" t="str">
        <f aca="false">IF(A234="","",IF(OR(AND(K234&lt;&gt;"",LOWER(K234)&lt;&gt;"não consta"),AND(L234&lt;&gt;"",LOWER(L234)&lt;&gt;"não consta"),IFERROR(INDEX(Empresas!$G:$G,MATCH(A234,Empresas!$A:$A,0))&amp;"","")&lt;&gt;""),"SIM",""))</f>
        <v/>
      </c>
      <c r="N234" s="5"/>
      <c r="O234" s="32" t="str">
        <f aca="false">IF(D234="","",YEAR(D234))</f>
        <v/>
      </c>
      <c r="P234" s="5"/>
    </row>
    <row r="235" customFormat="false" ht="15" hidden="false" customHeight="false" outlineLevel="0" collapsed="false">
      <c r="A235" s="27"/>
      <c r="B235" s="5"/>
      <c r="C235" s="35"/>
      <c r="D235" s="18"/>
      <c r="E235" s="5"/>
      <c r="F235" s="14"/>
      <c r="G235" s="5"/>
      <c r="H235" s="27"/>
      <c r="I235" s="5"/>
      <c r="J235" s="19" t="str">
        <f aca="false">IF(A235="","",IFERROR(INDEX(Empresas!$D:$D,MATCH(A235,Empresas!$A:$A,0))&amp;"","não consta"))</f>
        <v/>
      </c>
      <c r="K235" s="19" t="str">
        <f aca="false">IF(A235="","",IFERROR(INDEX(Sancoes!$B:$B,MATCH(A235,Sancoes!$A:$A,0))&amp;"","não consta"))</f>
        <v/>
      </c>
      <c r="L235" s="19" t="str">
        <f aca="false">IF(A235="","",IFERROR(INDEX(Eleitoral!$B:$B,MATCH(A235,Eleitoral!$A:$A,0))&amp;"","não consta"))</f>
        <v/>
      </c>
      <c r="M235" s="28" t="str">
        <f aca="false">IF(A235="","",IF(OR(AND(K235&lt;&gt;"",LOWER(K235)&lt;&gt;"não consta"),AND(L235&lt;&gt;"",LOWER(L235)&lt;&gt;"não consta"),IFERROR(INDEX(Empresas!$G:$G,MATCH(A235,Empresas!$A:$A,0))&amp;"","")&lt;&gt;""),"SIM",""))</f>
        <v/>
      </c>
      <c r="N235" s="5"/>
      <c r="O235" s="32" t="str">
        <f aca="false">IF(D235="","",YEAR(D235))</f>
        <v/>
      </c>
      <c r="P235" s="5"/>
    </row>
    <row r="236" customFormat="false" ht="15" hidden="false" customHeight="false" outlineLevel="0" collapsed="false">
      <c r="A236" s="27"/>
      <c r="B236" s="5"/>
      <c r="C236" s="35"/>
      <c r="D236" s="18"/>
      <c r="E236" s="5"/>
      <c r="F236" s="14"/>
      <c r="G236" s="5"/>
      <c r="H236" s="27"/>
      <c r="I236" s="5"/>
      <c r="J236" s="19" t="str">
        <f aca="false">IF(A236="","",IFERROR(INDEX(Empresas!$D:$D,MATCH(A236,Empresas!$A:$A,0))&amp;"","não consta"))</f>
        <v/>
      </c>
      <c r="K236" s="19" t="str">
        <f aca="false">IF(A236="","",IFERROR(INDEX(Sancoes!$B:$B,MATCH(A236,Sancoes!$A:$A,0))&amp;"","não consta"))</f>
        <v/>
      </c>
      <c r="L236" s="19" t="str">
        <f aca="false">IF(A236="","",IFERROR(INDEX(Eleitoral!$B:$B,MATCH(A236,Eleitoral!$A:$A,0))&amp;"","não consta"))</f>
        <v/>
      </c>
      <c r="M236" s="28" t="str">
        <f aca="false">IF(A236="","",IF(OR(AND(K236&lt;&gt;"",LOWER(K236)&lt;&gt;"não consta"),AND(L236&lt;&gt;"",LOWER(L236)&lt;&gt;"não consta"),IFERROR(INDEX(Empresas!$G:$G,MATCH(A236,Empresas!$A:$A,0))&amp;"","")&lt;&gt;""),"SIM",""))</f>
        <v/>
      </c>
      <c r="N236" s="5"/>
      <c r="O236" s="32" t="str">
        <f aca="false">IF(D236="","",YEAR(D236))</f>
        <v/>
      </c>
      <c r="P236" s="5"/>
    </row>
    <row r="237" customFormat="false" ht="15" hidden="false" customHeight="false" outlineLevel="0" collapsed="false">
      <c r="A237" s="27"/>
      <c r="B237" s="5"/>
      <c r="C237" s="35"/>
      <c r="D237" s="18"/>
      <c r="E237" s="5"/>
      <c r="F237" s="14"/>
      <c r="G237" s="5"/>
      <c r="H237" s="27"/>
      <c r="I237" s="5"/>
      <c r="J237" s="19" t="str">
        <f aca="false">IF(A237="","",IFERROR(INDEX(Empresas!$D:$D,MATCH(A237,Empresas!$A:$A,0))&amp;"","não consta"))</f>
        <v/>
      </c>
      <c r="K237" s="19" t="str">
        <f aca="false">IF(A237="","",IFERROR(INDEX(Sancoes!$B:$B,MATCH(A237,Sancoes!$A:$A,0))&amp;"","não consta"))</f>
        <v/>
      </c>
      <c r="L237" s="19" t="str">
        <f aca="false">IF(A237="","",IFERROR(INDEX(Eleitoral!$B:$B,MATCH(A237,Eleitoral!$A:$A,0))&amp;"","não consta"))</f>
        <v/>
      </c>
      <c r="M237" s="28" t="str">
        <f aca="false">IF(A237="","",IF(OR(AND(K237&lt;&gt;"",LOWER(K237)&lt;&gt;"não consta"),AND(L237&lt;&gt;"",LOWER(L237)&lt;&gt;"não consta"),IFERROR(INDEX(Empresas!$G:$G,MATCH(A237,Empresas!$A:$A,0))&amp;"","")&lt;&gt;""),"SIM",""))</f>
        <v/>
      </c>
      <c r="N237" s="5"/>
      <c r="O237" s="32" t="str">
        <f aca="false">IF(D237="","",YEAR(D237))</f>
        <v/>
      </c>
      <c r="P237" s="5"/>
    </row>
    <row r="238" customFormat="false" ht="15" hidden="false" customHeight="false" outlineLevel="0" collapsed="false">
      <c r="A238" s="27"/>
      <c r="B238" s="5"/>
      <c r="C238" s="35"/>
      <c r="D238" s="18"/>
      <c r="E238" s="5"/>
      <c r="F238" s="14"/>
      <c r="G238" s="5"/>
      <c r="H238" s="27"/>
      <c r="I238" s="5"/>
      <c r="J238" s="19" t="str">
        <f aca="false">IF(A238="","",IFERROR(INDEX(Empresas!$D:$D,MATCH(A238,Empresas!$A:$A,0))&amp;"","não consta"))</f>
        <v/>
      </c>
      <c r="K238" s="19" t="str">
        <f aca="false">IF(A238="","",IFERROR(INDEX(Sancoes!$B:$B,MATCH(A238,Sancoes!$A:$A,0))&amp;"","não consta"))</f>
        <v/>
      </c>
      <c r="L238" s="19" t="str">
        <f aca="false">IF(A238="","",IFERROR(INDEX(Eleitoral!$B:$B,MATCH(A238,Eleitoral!$A:$A,0))&amp;"","não consta"))</f>
        <v/>
      </c>
      <c r="M238" s="28" t="str">
        <f aca="false">IF(A238="","",IF(OR(AND(K238&lt;&gt;"",LOWER(K238)&lt;&gt;"não consta"),AND(L238&lt;&gt;"",LOWER(L238)&lt;&gt;"não consta"),IFERROR(INDEX(Empresas!$G:$G,MATCH(A238,Empresas!$A:$A,0))&amp;"","")&lt;&gt;""),"SIM",""))</f>
        <v/>
      </c>
      <c r="N238" s="5"/>
      <c r="O238" s="32" t="str">
        <f aca="false">IF(D238="","",YEAR(D238))</f>
        <v/>
      </c>
      <c r="P238" s="5"/>
    </row>
    <row r="239" customFormat="false" ht="15" hidden="false" customHeight="false" outlineLevel="0" collapsed="false">
      <c r="A239" s="27"/>
      <c r="B239" s="5"/>
      <c r="C239" s="35"/>
      <c r="D239" s="18"/>
      <c r="E239" s="5"/>
      <c r="F239" s="14"/>
      <c r="G239" s="5"/>
      <c r="H239" s="27"/>
      <c r="I239" s="5"/>
      <c r="J239" s="19" t="str">
        <f aca="false">IF(A239="","",IFERROR(INDEX(Empresas!$D:$D,MATCH(A239,Empresas!$A:$A,0))&amp;"","não consta"))</f>
        <v/>
      </c>
      <c r="K239" s="19" t="str">
        <f aca="false">IF(A239="","",IFERROR(INDEX(Sancoes!$B:$B,MATCH(A239,Sancoes!$A:$A,0))&amp;"","não consta"))</f>
        <v/>
      </c>
      <c r="L239" s="19" t="str">
        <f aca="false">IF(A239="","",IFERROR(INDEX(Eleitoral!$B:$B,MATCH(A239,Eleitoral!$A:$A,0))&amp;"","não consta"))</f>
        <v/>
      </c>
      <c r="M239" s="28" t="str">
        <f aca="false">IF(A239="","",IF(OR(AND(K239&lt;&gt;"",LOWER(K239)&lt;&gt;"não consta"),AND(L239&lt;&gt;"",LOWER(L239)&lt;&gt;"não consta"),IFERROR(INDEX(Empresas!$G:$G,MATCH(A239,Empresas!$A:$A,0))&amp;"","")&lt;&gt;""),"SIM",""))</f>
        <v/>
      </c>
      <c r="N239" s="5"/>
      <c r="O239" s="32" t="str">
        <f aca="false">IF(D239="","",YEAR(D239))</f>
        <v/>
      </c>
      <c r="P239" s="5"/>
    </row>
    <row r="240" customFormat="false" ht="15" hidden="false" customHeight="false" outlineLevel="0" collapsed="false">
      <c r="A240" s="27"/>
      <c r="B240" s="5"/>
      <c r="C240" s="35"/>
      <c r="D240" s="18"/>
      <c r="E240" s="5"/>
      <c r="F240" s="14"/>
      <c r="G240" s="5"/>
      <c r="H240" s="27"/>
      <c r="I240" s="5"/>
      <c r="J240" s="19" t="str">
        <f aca="false">IF(A240="","",IFERROR(INDEX(Empresas!$D:$D,MATCH(A240,Empresas!$A:$A,0))&amp;"","não consta"))</f>
        <v/>
      </c>
      <c r="K240" s="19" t="str">
        <f aca="false">IF(A240="","",IFERROR(INDEX(Sancoes!$B:$B,MATCH(A240,Sancoes!$A:$A,0))&amp;"","não consta"))</f>
        <v/>
      </c>
      <c r="L240" s="19" t="str">
        <f aca="false">IF(A240="","",IFERROR(INDEX(Eleitoral!$B:$B,MATCH(A240,Eleitoral!$A:$A,0))&amp;"","não consta"))</f>
        <v/>
      </c>
      <c r="M240" s="28" t="str">
        <f aca="false">IF(A240="","",IF(OR(AND(K240&lt;&gt;"",LOWER(K240)&lt;&gt;"não consta"),AND(L240&lt;&gt;"",LOWER(L240)&lt;&gt;"não consta"),IFERROR(INDEX(Empresas!$G:$G,MATCH(A240,Empresas!$A:$A,0))&amp;"","")&lt;&gt;""),"SIM",""))</f>
        <v/>
      </c>
      <c r="N240" s="5"/>
      <c r="O240" s="32" t="str">
        <f aca="false">IF(D240="","",YEAR(D240))</f>
        <v/>
      </c>
      <c r="P240" s="5"/>
    </row>
    <row r="241" customFormat="false" ht="15" hidden="false" customHeight="false" outlineLevel="0" collapsed="false">
      <c r="A241" s="27"/>
      <c r="B241" s="5"/>
      <c r="C241" s="35"/>
      <c r="D241" s="18"/>
      <c r="E241" s="5"/>
      <c r="F241" s="14"/>
      <c r="G241" s="5"/>
      <c r="H241" s="27"/>
      <c r="I241" s="5"/>
      <c r="J241" s="19" t="str">
        <f aca="false">IF(A241="","",IFERROR(INDEX(Empresas!$D:$D,MATCH(A241,Empresas!$A:$A,0))&amp;"","não consta"))</f>
        <v/>
      </c>
      <c r="K241" s="19" t="str">
        <f aca="false">IF(A241="","",IFERROR(INDEX(Sancoes!$B:$B,MATCH(A241,Sancoes!$A:$A,0))&amp;"","não consta"))</f>
        <v/>
      </c>
      <c r="L241" s="19" t="str">
        <f aca="false">IF(A241="","",IFERROR(INDEX(Eleitoral!$B:$B,MATCH(A241,Eleitoral!$A:$A,0))&amp;"","não consta"))</f>
        <v/>
      </c>
      <c r="M241" s="28" t="str">
        <f aca="false">IF(A241="","",IF(OR(AND(K241&lt;&gt;"",LOWER(K241)&lt;&gt;"não consta"),AND(L241&lt;&gt;"",LOWER(L241)&lt;&gt;"não consta"),IFERROR(INDEX(Empresas!$G:$G,MATCH(A241,Empresas!$A:$A,0))&amp;"","")&lt;&gt;""),"SIM",""))</f>
        <v/>
      </c>
      <c r="N241" s="5"/>
      <c r="O241" s="32" t="str">
        <f aca="false">IF(D241="","",YEAR(D241))</f>
        <v/>
      </c>
      <c r="P241" s="5"/>
    </row>
    <row r="242" customFormat="false" ht="15" hidden="false" customHeight="false" outlineLevel="0" collapsed="false">
      <c r="A242" s="27"/>
      <c r="B242" s="5"/>
      <c r="C242" s="35"/>
      <c r="D242" s="18"/>
      <c r="E242" s="5"/>
      <c r="F242" s="14"/>
      <c r="G242" s="5"/>
      <c r="H242" s="27"/>
      <c r="I242" s="5"/>
      <c r="J242" s="19" t="str">
        <f aca="false">IF(A242="","",IFERROR(INDEX(Empresas!$D:$D,MATCH(A242,Empresas!$A:$A,0))&amp;"","não consta"))</f>
        <v/>
      </c>
      <c r="K242" s="19" t="str">
        <f aca="false">IF(A242="","",IFERROR(INDEX(Sancoes!$B:$B,MATCH(A242,Sancoes!$A:$A,0))&amp;"","não consta"))</f>
        <v/>
      </c>
      <c r="L242" s="19" t="str">
        <f aca="false">IF(A242="","",IFERROR(INDEX(Eleitoral!$B:$B,MATCH(A242,Eleitoral!$A:$A,0))&amp;"","não consta"))</f>
        <v/>
      </c>
      <c r="M242" s="28" t="str">
        <f aca="false">IF(A242="","",IF(OR(AND(K242&lt;&gt;"",LOWER(K242)&lt;&gt;"não consta"),AND(L242&lt;&gt;"",LOWER(L242)&lt;&gt;"não consta"),IFERROR(INDEX(Empresas!$G:$G,MATCH(A242,Empresas!$A:$A,0))&amp;"","")&lt;&gt;""),"SIM",""))</f>
        <v/>
      </c>
      <c r="N242" s="5"/>
      <c r="O242" s="32" t="str">
        <f aca="false">IF(D242="","",YEAR(D242))</f>
        <v/>
      </c>
      <c r="P242" s="5"/>
    </row>
    <row r="243" customFormat="false" ht="15" hidden="false" customHeight="false" outlineLevel="0" collapsed="false">
      <c r="A243" s="27"/>
      <c r="B243" s="5"/>
      <c r="C243" s="35"/>
      <c r="D243" s="18"/>
      <c r="E243" s="5"/>
      <c r="F243" s="14"/>
      <c r="G243" s="5"/>
      <c r="H243" s="27"/>
      <c r="I243" s="5"/>
      <c r="J243" s="19" t="str">
        <f aca="false">IF(A243="","",IFERROR(INDEX(Empresas!$D:$D,MATCH(A243,Empresas!$A:$A,0))&amp;"","não consta"))</f>
        <v/>
      </c>
      <c r="K243" s="19" t="str">
        <f aca="false">IF(A243="","",IFERROR(INDEX(Sancoes!$B:$B,MATCH(A243,Sancoes!$A:$A,0))&amp;"","não consta"))</f>
        <v/>
      </c>
      <c r="L243" s="19" t="str">
        <f aca="false">IF(A243="","",IFERROR(INDEX(Eleitoral!$B:$B,MATCH(A243,Eleitoral!$A:$A,0))&amp;"","não consta"))</f>
        <v/>
      </c>
      <c r="M243" s="28" t="str">
        <f aca="false">IF(A243="","",IF(OR(AND(K243&lt;&gt;"",LOWER(K243)&lt;&gt;"não consta"),AND(L243&lt;&gt;"",LOWER(L243)&lt;&gt;"não consta"),IFERROR(INDEX(Empresas!$G:$G,MATCH(A243,Empresas!$A:$A,0))&amp;"","")&lt;&gt;""),"SIM",""))</f>
        <v/>
      </c>
      <c r="N243" s="5"/>
      <c r="O243" s="32" t="str">
        <f aca="false">IF(D243="","",YEAR(D243))</f>
        <v/>
      </c>
      <c r="P243" s="5"/>
    </row>
    <row r="244" customFormat="false" ht="15" hidden="false" customHeight="false" outlineLevel="0" collapsed="false">
      <c r="A244" s="27"/>
      <c r="B244" s="5"/>
      <c r="C244" s="35"/>
      <c r="D244" s="18"/>
      <c r="E244" s="5"/>
      <c r="F244" s="14"/>
      <c r="G244" s="5"/>
      <c r="H244" s="27"/>
      <c r="I244" s="5"/>
      <c r="J244" s="19" t="str">
        <f aca="false">IF(A244="","",IFERROR(INDEX(Empresas!$D:$D,MATCH(A244,Empresas!$A:$A,0))&amp;"","não consta"))</f>
        <v/>
      </c>
      <c r="K244" s="19" t="str">
        <f aca="false">IF(A244="","",IFERROR(INDEX(Sancoes!$B:$B,MATCH(A244,Sancoes!$A:$A,0))&amp;"","não consta"))</f>
        <v/>
      </c>
      <c r="L244" s="19" t="str">
        <f aca="false">IF(A244="","",IFERROR(INDEX(Eleitoral!$B:$B,MATCH(A244,Eleitoral!$A:$A,0))&amp;"","não consta"))</f>
        <v/>
      </c>
      <c r="M244" s="28" t="str">
        <f aca="false">IF(A244="","",IF(OR(AND(K244&lt;&gt;"",LOWER(K244)&lt;&gt;"não consta"),AND(L244&lt;&gt;"",LOWER(L244)&lt;&gt;"não consta"),IFERROR(INDEX(Empresas!$G:$G,MATCH(A244,Empresas!$A:$A,0))&amp;"","")&lt;&gt;""),"SIM",""))</f>
        <v/>
      </c>
      <c r="N244" s="5"/>
      <c r="O244" s="32" t="str">
        <f aca="false">IF(D244="","",YEAR(D244))</f>
        <v/>
      </c>
      <c r="P244" s="5"/>
    </row>
    <row r="245" customFormat="false" ht="15" hidden="false" customHeight="false" outlineLevel="0" collapsed="false">
      <c r="A245" s="27"/>
      <c r="B245" s="5"/>
      <c r="C245" s="35"/>
      <c r="D245" s="18"/>
      <c r="E245" s="5"/>
      <c r="F245" s="14"/>
      <c r="G245" s="5"/>
      <c r="H245" s="27"/>
      <c r="I245" s="5"/>
      <c r="J245" s="19" t="str">
        <f aca="false">IF(A245="","",IFERROR(INDEX(Empresas!$D:$D,MATCH(A245,Empresas!$A:$A,0))&amp;"","não consta"))</f>
        <v/>
      </c>
      <c r="K245" s="19" t="str">
        <f aca="false">IF(A245="","",IFERROR(INDEX(Sancoes!$B:$B,MATCH(A245,Sancoes!$A:$A,0))&amp;"","não consta"))</f>
        <v/>
      </c>
      <c r="L245" s="19" t="str">
        <f aca="false">IF(A245="","",IFERROR(INDEX(Eleitoral!$B:$B,MATCH(A245,Eleitoral!$A:$A,0))&amp;"","não consta"))</f>
        <v/>
      </c>
      <c r="M245" s="28" t="str">
        <f aca="false">IF(A245="","",IF(OR(AND(K245&lt;&gt;"",LOWER(K245)&lt;&gt;"não consta"),AND(L245&lt;&gt;"",LOWER(L245)&lt;&gt;"não consta"),IFERROR(INDEX(Empresas!$G:$G,MATCH(A245,Empresas!$A:$A,0))&amp;"","")&lt;&gt;""),"SIM",""))</f>
        <v/>
      </c>
      <c r="N245" s="5"/>
      <c r="O245" s="32" t="str">
        <f aca="false">IF(D245="","",YEAR(D245))</f>
        <v/>
      </c>
      <c r="P245" s="5"/>
    </row>
    <row r="246" customFormat="false" ht="15" hidden="false" customHeight="false" outlineLevel="0" collapsed="false">
      <c r="A246" s="27"/>
      <c r="B246" s="5"/>
      <c r="C246" s="35"/>
      <c r="D246" s="18"/>
      <c r="E246" s="5"/>
      <c r="F246" s="14"/>
      <c r="G246" s="5"/>
      <c r="H246" s="27"/>
      <c r="I246" s="5"/>
      <c r="J246" s="19" t="str">
        <f aca="false">IF(A246="","",IFERROR(INDEX(Empresas!$D:$D,MATCH(A246,Empresas!$A:$A,0))&amp;"","não consta"))</f>
        <v/>
      </c>
      <c r="K246" s="19" t="str">
        <f aca="false">IF(A246="","",IFERROR(INDEX(Sancoes!$B:$B,MATCH(A246,Sancoes!$A:$A,0))&amp;"","não consta"))</f>
        <v/>
      </c>
      <c r="L246" s="19" t="str">
        <f aca="false">IF(A246="","",IFERROR(INDEX(Eleitoral!$B:$B,MATCH(A246,Eleitoral!$A:$A,0))&amp;"","não consta"))</f>
        <v/>
      </c>
      <c r="M246" s="28" t="str">
        <f aca="false">IF(A246="","",IF(OR(AND(K246&lt;&gt;"",LOWER(K246)&lt;&gt;"não consta"),AND(L246&lt;&gt;"",LOWER(L246)&lt;&gt;"não consta"),IFERROR(INDEX(Empresas!$G:$G,MATCH(A246,Empresas!$A:$A,0))&amp;"","")&lt;&gt;""),"SIM",""))</f>
        <v/>
      </c>
      <c r="N246" s="5"/>
      <c r="O246" s="32" t="str">
        <f aca="false">IF(D246="","",YEAR(D246))</f>
        <v/>
      </c>
      <c r="P246" s="5"/>
    </row>
    <row r="247" customFormat="false" ht="15" hidden="false" customHeight="false" outlineLevel="0" collapsed="false">
      <c r="A247" s="27"/>
      <c r="B247" s="5"/>
      <c r="C247" s="35"/>
      <c r="D247" s="18"/>
      <c r="E247" s="5"/>
      <c r="F247" s="14"/>
      <c r="G247" s="5"/>
      <c r="H247" s="27"/>
      <c r="I247" s="5"/>
      <c r="J247" s="19" t="str">
        <f aca="false">IF(A247="","",IFERROR(INDEX(Empresas!$D:$D,MATCH(A247,Empresas!$A:$A,0))&amp;"","não consta"))</f>
        <v/>
      </c>
      <c r="K247" s="19" t="str">
        <f aca="false">IF(A247="","",IFERROR(INDEX(Sancoes!$B:$B,MATCH(A247,Sancoes!$A:$A,0))&amp;"","não consta"))</f>
        <v/>
      </c>
      <c r="L247" s="19" t="str">
        <f aca="false">IF(A247="","",IFERROR(INDEX(Eleitoral!$B:$B,MATCH(A247,Eleitoral!$A:$A,0))&amp;"","não consta"))</f>
        <v/>
      </c>
      <c r="M247" s="28" t="str">
        <f aca="false">IF(A247="","",IF(OR(AND(K247&lt;&gt;"",LOWER(K247)&lt;&gt;"não consta"),AND(L247&lt;&gt;"",LOWER(L247)&lt;&gt;"não consta"),IFERROR(INDEX(Empresas!$G:$G,MATCH(A247,Empresas!$A:$A,0))&amp;"","")&lt;&gt;""),"SIM",""))</f>
        <v/>
      </c>
      <c r="N247" s="5"/>
      <c r="O247" s="32" t="str">
        <f aca="false">IF(D247="","",YEAR(D247))</f>
        <v/>
      </c>
      <c r="P247" s="5"/>
    </row>
    <row r="248" customFormat="false" ht="15" hidden="false" customHeight="false" outlineLevel="0" collapsed="false">
      <c r="A248" s="27"/>
      <c r="B248" s="5"/>
      <c r="C248" s="35"/>
      <c r="D248" s="18"/>
      <c r="E248" s="5"/>
      <c r="F248" s="14"/>
      <c r="G248" s="5"/>
      <c r="H248" s="27"/>
      <c r="I248" s="5"/>
      <c r="J248" s="19" t="str">
        <f aca="false">IF(A248="","",IFERROR(INDEX(Empresas!$D:$D,MATCH(A248,Empresas!$A:$A,0))&amp;"","não consta"))</f>
        <v/>
      </c>
      <c r="K248" s="19" t="str">
        <f aca="false">IF(A248="","",IFERROR(INDEX(Sancoes!$B:$B,MATCH(A248,Sancoes!$A:$A,0))&amp;"","não consta"))</f>
        <v/>
      </c>
      <c r="L248" s="19" t="str">
        <f aca="false">IF(A248="","",IFERROR(INDEX(Eleitoral!$B:$B,MATCH(A248,Eleitoral!$A:$A,0))&amp;"","não consta"))</f>
        <v/>
      </c>
      <c r="M248" s="28" t="str">
        <f aca="false">IF(A248="","",IF(OR(AND(K248&lt;&gt;"",LOWER(K248)&lt;&gt;"não consta"),AND(L248&lt;&gt;"",LOWER(L248)&lt;&gt;"não consta"),IFERROR(INDEX(Empresas!$G:$G,MATCH(A248,Empresas!$A:$A,0))&amp;"","")&lt;&gt;""),"SIM",""))</f>
        <v/>
      </c>
      <c r="N248" s="5"/>
      <c r="O248" s="32" t="str">
        <f aca="false">IF(D248="","",YEAR(D248))</f>
        <v/>
      </c>
      <c r="P248" s="5"/>
    </row>
    <row r="249" customFormat="false" ht="15" hidden="false" customHeight="false" outlineLevel="0" collapsed="false">
      <c r="A249" s="27"/>
      <c r="B249" s="5"/>
      <c r="C249" s="35"/>
      <c r="D249" s="18"/>
      <c r="E249" s="5"/>
      <c r="F249" s="14"/>
      <c r="G249" s="5"/>
      <c r="H249" s="27"/>
      <c r="I249" s="5"/>
      <c r="J249" s="19" t="str">
        <f aca="false">IF(A249="","",IFERROR(INDEX(Empresas!$D:$D,MATCH(A249,Empresas!$A:$A,0))&amp;"","não consta"))</f>
        <v/>
      </c>
      <c r="K249" s="19" t="str">
        <f aca="false">IF(A249="","",IFERROR(INDEX(Sancoes!$B:$B,MATCH(A249,Sancoes!$A:$A,0))&amp;"","não consta"))</f>
        <v/>
      </c>
      <c r="L249" s="19" t="str">
        <f aca="false">IF(A249="","",IFERROR(INDEX(Eleitoral!$B:$B,MATCH(A249,Eleitoral!$A:$A,0))&amp;"","não consta"))</f>
        <v/>
      </c>
      <c r="M249" s="28" t="str">
        <f aca="false">IF(A249="","",IF(OR(AND(K249&lt;&gt;"",LOWER(K249)&lt;&gt;"não consta"),AND(L249&lt;&gt;"",LOWER(L249)&lt;&gt;"não consta"),IFERROR(INDEX(Empresas!$G:$G,MATCH(A249,Empresas!$A:$A,0))&amp;"","")&lt;&gt;""),"SIM",""))</f>
        <v/>
      </c>
      <c r="N249" s="5"/>
      <c r="O249" s="32" t="str">
        <f aca="false">IF(D249="","",YEAR(D249))</f>
        <v/>
      </c>
      <c r="P249" s="5"/>
    </row>
    <row r="250" customFormat="false" ht="15" hidden="false" customHeight="false" outlineLevel="0" collapsed="false">
      <c r="A250" s="27"/>
      <c r="B250" s="5"/>
      <c r="C250" s="35"/>
      <c r="D250" s="18"/>
      <c r="E250" s="5"/>
      <c r="F250" s="14"/>
      <c r="G250" s="5"/>
      <c r="H250" s="27"/>
      <c r="I250" s="5"/>
      <c r="J250" s="19" t="str">
        <f aca="false">IF(A250="","",IFERROR(INDEX(Empresas!$D:$D,MATCH(A250,Empresas!$A:$A,0))&amp;"","não consta"))</f>
        <v/>
      </c>
      <c r="K250" s="19" t="str">
        <f aca="false">IF(A250="","",IFERROR(INDEX(Sancoes!$B:$B,MATCH(A250,Sancoes!$A:$A,0))&amp;"","não consta"))</f>
        <v/>
      </c>
      <c r="L250" s="19" t="str">
        <f aca="false">IF(A250="","",IFERROR(INDEX(Eleitoral!$B:$B,MATCH(A250,Eleitoral!$A:$A,0))&amp;"","não consta"))</f>
        <v/>
      </c>
      <c r="M250" s="28" t="str">
        <f aca="false">IF(A250="","",IF(OR(AND(K250&lt;&gt;"",LOWER(K250)&lt;&gt;"não consta"),AND(L250&lt;&gt;"",LOWER(L250)&lt;&gt;"não consta"),IFERROR(INDEX(Empresas!$G:$G,MATCH(A250,Empresas!$A:$A,0))&amp;"","")&lt;&gt;""),"SIM",""))</f>
        <v/>
      </c>
      <c r="N250" s="5"/>
      <c r="O250" s="32" t="str">
        <f aca="false">IF(D250="","",YEAR(D250))</f>
        <v/>
      </c>
      <c r="P250" s="5"/>
    </row>
    <row r="251" customFormat="false" ht="15" hidden="false" customHeight="false" outlineLevel="0" collapsed="false">
      <c r="A251" s="27"/>
      <c r="B251" s="5"/>
      <c r="C251" s="35"/>
      <c r="D251" s="18"/>
      <c r="E251" s="5"/>
      <c r="F251" s="14"/>
      <c r="G251" s="5"/>
      <c r="H251" s="27"/>
      <c r="I251" s="5"/>
      <c r="J251" s="19" t="str">
        <f aca="false">IF(A251="","",IFERROR(INDEX(Empresas!$D:$D,MATCH(A251,Empresas!$A:$A,0))&amp;"","não consta"))</f>
        <v/>
      </c>
      <c r="K251" s="19" t="str">
        <f aca="false">IF(A251="","",IFERROR(INDEX(Sancoes!$B:$B,MATCH(A251,Sancoes!$A:$A,0))&amp;"","não consta"))</f>
        <v/>
      </c>
      <c r="L251" s="19" t="str">
        <f aca="false">IF(A251="","",IFERROR(INDEX(Eleitoral!$B:$B,MATCH(A251,Eleitoral!$A:$A,0))&amp;"","não consta"))</f>
        <v/>
      </c>
      <c r="M251" s="28" t="str">
        <f aca="false">IF(A251="","",IF(OR(AND(K251&lt;&gt;"",LOWER(K251)&lt;&gt;"não consta"),AND(L251&lt;&gt;"",LOWER(L251)&lt;&gt;"não consta"),IFERROR(INDEX(Empresas!$G:$G,MATCH(A251,Empresas!$A:$A,0))&amp;"","")&lt;&gt;""),"SIM",""))</f>
        <v/>
      </c>
      <c r="N251" s="5"/>
      <c r="O251" s="32" t="str">
        <f aca="false">IF(D251="","",YEAR(D251))</f>
        <v/>
      </c>
      <c r="P251" s="5"/>
    </row>
    <row r="252" customFormat="false" ht="15" hidden="false" customHeight="false" outlineLevel="0" collapsed="false">
      <c r="A252" s="27"/>
      <c r="B252" s="5"/>
      <c r="C252" s="35"/>
      <c r="D252" s="18"/>
      <c r="E252" s="5"/>
      <c r="F252" s="14"/>
      <c r="G252" s="5"/>
      <c r="H252" s="27"/>
      <c r="I252" s="5"/>
      <c r="J252" s="19" t="str">
        <f aca="false">IF(A252="","",IFERROR(INDEX(Empresas!$D:$D,MATCH(A252,Empresas!$A:$A,0))&amp;"","não consta"))</f>
        <v/>
      </c>
      <c r="K252" s="19" t="str">
        <f aca="false">IF(A252="","",IFERROR(INDEX(Sancoes!$B:$B,MATCH(A252,Sancoes!$A:$A,0))&amp;"","não consta"))</f>
        <v/>
      </c>
      <c r="L252" s="19" t="str">
        <f aca="false">IF(A252="","",IFERROR(INDEX(Eleitoral!$B:$B,MATCH(A252,Eleitoral!$A:$A,0))&amp;"","não consta"))</f>
        <v/>
      </c>
      <c r="M252" s="28" t="str">
        <f aca="false">IF(A252="","",IF(OR(AND(K252&lt;&gt;"",LOWER(K252)&lt;&gt;"não consta"),AND(L252&lt;&gt;"",LOWER(L252)&lt;&gt;"não consta"),IFERROR(INDEX(Empresas!$G:$G,MATCH(A252,Empresas!$A:$A,0))&amp;"","")&lt;&gt;""),"SIM",""))</f>
        <v/>
      </c>
      <c r="N252" s="5"/>
      <c r="O252" s="32" t="str">
        <f aca="false">IF(D252="","",YEAR(D252))</f>
        <v/>
      </c>
      <c r="P252" s="5"/>
    </row>
    <row r="253" customFormat="false" ht="15" hidden="false" customHeight="false" outlineLevel="0" collapsed="false">
      <c r="A253" s="27"/>
      <c r="B253" s="5"/>
      <c r="C253" s="35"/>
      <c r="D253" s="18"/>
      <c r="E253" s="5"/>
      <c r="F253" s="14"/>
      <c r="G253" s="5"/>
      <c r="H253" s="27"/>
      <c r="I253" s="5"/>
      <c r="J253" s="19" t="str">
        <f aca="false">IF(A253="","",IFERROR(INDEX(Empresas!$D:$D,MATCH(A253,Empresas!$A:$A,0))&amp;"","não consta"))</f>
        <v/>
      </c>
      <c r="K253" s="19" t="str">
        <f aca="false">IF(A253="","",IFERROR(INDEX(Sancoes!$B:$B,MATCH(A253,Sancoes!$A:$A,0))&amp;"","não consta"))</f>
        <v/>
      </c>
      <c r="L253" s="19" t="str">
        <f aca="false">IF(A253="","",IFERROR(INDEX(Eleitoral!$B:$B,MATCH(A253,Eleitoral!$A:$A,0))&amp;"","não consta"))</f>
        <v/>
      </c>
      <c r="M253" s="28" t="str">
        <f aca="false">IF(A253="","",IF(OR(AND(K253&lt;&gt;"",LOWER(K253)&lt;&gt;"não consta"),AND(L253&lt;&gt;"",LOWER(L253)&lt;&gt;"não consta"),IFERROR(INDEX(Empresas!$G:$G,MATCH(A253,Empresas!$A:$A,0))&amp;"","")&lt;&gt;""),"SIM",""))</f>
        <v/>
      </c>
      <c r="N253" s="5"/>
      <c r="O253" s="32" t="str">
        <f aca="false">IF(D253="","",YEAR(D253))</f>
        <v/>
      </c>
      <c r="P253" s="5"/>
    </row>
    <row r="254" customFormat="false" ht="15" hidden="false" customHeight="false" outlineLevel="0" collapsed="false">
      <c r="A254" s="27"/>
      <c r="B254" s="5"/>
      <c r="C254" s="35"/>
      <c r="D254" s="18"/>
      <c r="E254" s="5"/>
      <c r="F254" s="14"/>
      <c r="G254" s="5"/>
      <c r="H254" s="27"/>
      <c r="I254" s="5"/>
      <c r="J254" s="19" t="str">
        <f aca="false">IF(A254="","",IFERROR(INDEX(Empresas!$D:$D,MATCH(A254,Empresas!$A:$A,0))&amp;"","não consta"))</f>
        <v/>
      </c>
      <c r="K254" s="19" t="str">
        <f aca="false">IF(A254="","",IFERROR(INDEX(Sancoes!$B:$B,MATCH(A254,Sancoes!$A:$A,0))&amp;"","não consta"))</f>
        <v/>
      </c>
      <c r="L254" s="19" t="str">
        <f aca="false">IF(A254="","",IFERROR(INDEX(Eleitoral!$B:$B,MATCH(A254,Eleitoral!$A:$A,0))&amp;"","não consta"))</f>
        <v/>
      </c>
      <c r="M254" s="28" t="str">
        <f aca="false">IF(A254="","",IF(OR(AND(K254&lt;&gt;"",LOWER(K254)&lt;&gt;"não consta"),AND(L254&lt;&gt;"",LOWER(L254)&lt;&gt;"não consta"),IFERROR(INDEX(Empresas!$G:$G,MATCH(A254,Empresas!$A:$A,0))&amp;"","")&lt;&gt;""),"SIM",""))</f>
        <v/>
      </c>
      <c r="N254" s="5"/>
      <c r="O254" s="32" t="str">
        <f aca="false">IF(D254="","",YEAR(D254))</f>
        <v/>
      </c>
      <c r="P254" s="5"/>
    </row>
    <row r="255" customFormat="false" ht="15" hidden="false" customHeight="false" outlineLevel="0" collapsed="false">
      <c r="A255" s="27"/>
      <c r="B255" s="5"/>
      <c r="C255" s="35"/>
      <c r="D255" s="18"/>
      <c r="E255" s="5"/>
      <c r="F255" s="14"/>
      <c r="G255" s="5"/>
      <c r="H255" s="27"/>
      <c r="I255" s="5"/>
      <c r="J255" s="19" t="str">
        <f aca="false">IF(A255="","",IFERROR(INDEX(Empresas!$D:$D,MATCH(A255,Empresas!$A:$A,0))&amp;"","não consta"))</f>
        <v/>
      </c>
      <c r="K255" s="19" t="str">
        <f aca="false">IF(A255="","",IFERROR(INDEX(Sancoes!$B:$B,MATCH(A255,Sancoes!$A:$A,0))&amp;"","não consta"))</f>
        <v/>
      </c>
      <c r="L255" s="19" t="str">
        <f aca="false">IF(A255="","",IFERROR(INDEX(Eleitoral!$B:$B,MATCH(A255,Eleitoral!$A:$A,0))&amp;"","não consta"))</f>
        <v/>
      </c>
      <c r="M255" s="28" t="str">
        <f aca="false">IF(A255="","",IF(OR(AND(K255&lt;&gt;"",LOWER(K255)&lt;&gt;"não consta"),AND(L255&lt;&gt;"",LOWER(L255)&lt;&gt;"não consta"),IFERROR(INDEX(Empresas!$G:$G,MATCH(A255,Empresas!$A:$A,0))&amp;"","")&lt;&gt;""),"SIM",""))</f>
        <v/>
      </c>
      <c r="N255" s="5"/>
      <c r="O255" s="32" t="str">
        <f aca="false">IF(D255="","",YEAR(D255))</f>
        <v/>
      </c>
      <c r="P255" s="5"/>
    </row>
    <row r="256" customFormat="false" ht="15" hidden="false" customHeight="false" outlineLevel="0" collapsed="false">
      <c r="A256" s="27"/>
      <c r="B256" s="5"/>
      <c r="C256" s="35"/>
      <c r="D256" s="18"/>
      <c r="E256" s="5"/>
      <c r="F256" s="14"/>
      <c r="G256" s="5"/>
      <c r="H256" s="27"/>
      <c r="I256" s="5"/>
      <c r="J256" s="19" t="str">
        <f aca="false">IF(A256="","",IFERROR(INDEX(Empresas!$D:$D,MATCH(A256,Empresas!$A:$A,0))&amp;"","não consta"))</f>
        <v/>
      </c>
      <c r="K256" s="19" t="str">
        <f aca="false">IF(A256="","",IFERROR(INDEX(Sancoes!$B:$B,MATCH(A256,Sancoes!$A:$A,0))&amp;"","não consta"))</f>
        <v/>
      </c>
      <c r="L256" s="19" t="str">
        <f aca="false">IF(A256="","",IFERROR(INDEX(Eleitoral!$B:$B,MATCH(A256,Eleitoral!$A:$A,0))&amp;"","não consta"))</f>
        <v/>
      </c>
      <c r="M256" s="28" t="str">
        <f aca="false">IF(A256="","",IF(OR(AND(K256&lt;&gt;"",LOWER(K256)&lt;&gt;"não consta"),AND(L256&lt;&gt;"",LOWER(L256)&lt;&gt;"não consta"),IFERROR(INDEX(Empresas!$G:$G,MATCH(A256,Empresas!$A:$A,0))&amp;"","")&lt;&gt;""),"SIM",""))</f>
        <v/>
      </c>
      <c r="N256" s="5"/>
      <c r="O256" s="32" t="str">
        <f aca="false">IF(D256="","",YEAR(D256))</f>
        <v/>
      </c>
      <c r="P256" s="5"/>
    </row>
    <row r="257" customFormat="false" ht="15" hidden="false" customHeight="false" outlineLevel="0" collapsed="false">
      <c r="A257" s="27"/>
      <c r="B257" s="5"/>
      <c r="C257" s="35"/>
      <c r="D257" s="18"/>
      <c r="E257" s="5"/>
      <c r="F257" s="14"/>
      <c r="G257" s="5"/>
      <c r="H257" s="27"/>
      <c r="I257" s="5"/>
      <c r="J257" s="19" t="str">
        <f aca="false">IF(A257="","",IFERROR(INDEX(Empresas!$D:$D,MATCH(A257,Empresas!$A:$A,0))&amp;"","não consta"))</f>
        <v/>
      </c>
      <c r="K257" s="19" t="str">
        <f aca="false">IF(A257="","",IFERROR(INDEX(Sancoes!$B:$B,MATCH(A257,Sancoes!$A:$A,0))&amp;"","não consta"))</f>
        <v/>
      </c>
      <c r="L257" s="19" t="str">
        <f aca="false">IF(A257="","",IFERROR(INDEX(Eleitoral!$B:$B,MATCH(A257,Eleitoral!$A:$A,0))&amp;"","não consta"))</f>
        <v/>
      </c>
      <c r="M257" s="28" t="str">
        <f aca="false">IF(A257="","",IF(OR(AND(K257&lt;&gt;"",LOWER(K257)&lt;&gt;"não consta"),AND(L257&lt;&gt;"",LOWER(L257)&lt;&gt;"não consta"),IFERROR(INDEX(Empresas!$G:$G,MATCH(A257,Empresas!$A:$A,0))&amp;"","")&lt;&gt;""),"SIM",""))</f>
        <v/>
      </c>
      <c r="N257" s="5"/>
      <c r="O257" s="32" t="str">
        <f aca="false">IF(D257="","",YEAR(D257))</f>
        <v/>
      </c>
      <c r="P257" s="5"/>
    </row>
    <row r="258" customFormat="false" ht="15" hidden="false" customHeight="false" outlineLevel="0" collapsed="false">
      <c r="A258" s="27"/>
      <c r="B258" s="5"/>
      <c r="C258" s="35"/>
      <c r="D258" s="18"/>
      <c r="E258" s="5"/>
      <c r="F258" s="14"/>
      <c r="G258" s="5"/>
      <c r="H258" s="27"/>
      <c r="I258" s="5"/>
      <c r="J258" s="19" t="str">
        <f aca="false">IF(A258="","",IFERROR(INDEX(Empresas!$D:$D,MATCH(A258,Empresas!$A:$A,0))&amp;"","não consta"))</f>
        <v/>
      </c>
      <c r="K258" s="19" t="str">
        <f aca="false">IF(A258="","",IFERROR(INDEX(Sancoes!$B:$B,MATCH(A258,Sancoes!$A:$A,0))&amp;"","não consta"))</f>
        <v/>
      </c>
      <c r="L258" s="19" t="str">
        <f aca="false">IF(A258="","",IFERROR(INDEX(Eleitoral!$B:$B,MATCH(A258,Eleitoral!$A:$A,0))&amp;"","não consta"))</f>
        <v/>
      </c>
      <c r="M258" s="28" t="str">
        <f aca="false">IF(A258="","",IF(OR(AND(K258&lt;&gt;"",LOWER(K258)&lt;&gt;"não consta"),AND(L258&lt;&gt;"",LOWER(L258)&lt;&gt;"não consta"),IFERROR(INDEX(Empresas!$G:$G,MATCH(A258,Empresas!$A:$A,0))&amp;"","")&lt;&gt;""),"SIM",""))</f>
        <v/>
      </c>
      <c r="N258" s="5"/>
      <c r="O258" s="32" t="str">
        <f aca="false">IF(D258="","",YEAR(D258))</f>
        <v/>
      </c>
      <c r="P258" s="5"/>
    </row>
    <row r="259" customFormat="false" ht="15" hidden="false" customHeight="false" outlineLevel="0" collapsed="false">
      <c r="A259" s="27"/>
      <c r="B259" s="5"/>
      <c r="C259" s="35"/>
      <c r="D259" s="18"/>
      <c r="E259" s="5"/>
      <c r="F259" s="14"/>
      <c r="G259" s="5"/>
      <c r="H259" s="27"/>
      <c r="I259" s="5"/>
      <c r="J259" s="19" t="str">
        <f aca="false">IF(A259="","",IFERROR(INDEX(Empresas!$D:$D,MATCH(A259,Empresas!$A:$A,0))&amp;"","não consta"))</f>
        <v/>
      </c>
      <c r="K259" s="19" t="str">
        <f aca="false">IF(A259="","",IFERROR(INDEX(Sancoes!$B:$B,MATCH(A259,Sancoes!$A:$A,0))&amp;"","não consta"))</f>
        <v/>
      </c>
      <c r="L259" s="19" t="str">
        <f aca="false">IF(A259="","",IFERROR(INDEX(Eleitoral!$B:$B,MATCH(A259,Eleitoral!$A:$A,0))&amp;"","não consta"))</f>
        <v/>
      </c>
      <c r="M259" s="28" t="str">
        <f aca="false">IF(A259="","",IF(OR(AND(K259&lt;&gt;"",LOWER(K259)&lt;&gt;"não consta"),AND(L259&lt;&gt;"",LOWER(L259)&lt;&gt;"não consta"),IFERROR(INDEX(Empresas!$G:$G,MATCH(A259,Empresas!$A:$A,0))&amp;"","")&lt;&gt;""),"SIM",""))</f>
        <v/>
      </c>
      <c r="N259" s="5"/>
      <c r="O259" s="32" t="str">
        <f aca="false">IF(D259="","",YEAR(D259))</f>
        <v/>
      </c>
      <c r="P259" s="5"/>
    </row>
    <row r="260" customFormat="false" ht="15" hidden="false" customHeight="false" outlineLevel="0" collapsed="false">
      <c r="A260" s="27"/>
      <c r="B260" s="5"/>
      <c r="C260" s="35"/>
      <c r="D260" s="18"/>
      <c r="E260" s="5"/>
      <c r="F260" s="14"/>
      <c r="G260" s="5"/>
      <c r="H260" s="27"/>
      <c r="I260" s="5"/>
      <c r="J260" s="19" t="str">
        <f aca="false">IF(A260="","",IFERROR(INDEX(Empresas!$D:$D,MATCH(A260,Empresas!$A:$A,0))&amp;"","não consta"))</f>
        <v/>
      </c>
      <c r="K260" s="19" t="str">
        <f aca="false">IF(A260="","",IFERROR(INDEX(Sancoes!$B:$B,MATCH(A260,Sancoes!$A:$A,0))&amp;"","não consta"))</f>
        <v/>
      </c>
      <c r="L260" s="19" t="str">
        <f aca="false">IF(A260="","",IFERROR(INDEX(Eleitoral!$B:$B,MATCH(A260,Eleitoral!$A:$A,0))&amp;"","não consta"))</f>
        <v/>
      </c>
      <c r="M260" s="28" t="str">
        <f aca="false">IF(A260="","",IF(OR(AND(K260&lt;&gt;"",LOWER(K260)&lt;&gt;"não consta"),AND(L260&lt;&gt;"",LOWER(L260)&lt;&gt;"não consta"),IFERROR(INDEX(Empresas!$G:$G,MATCH(A260,Empresas!$A:$A,0))&amp;"","")&lt;&gt;""),"SIM",""))</f>
        <v/>
      </c>
      <c r="N260" s="5"/>
      <c r="O260" s="32" t="str">
        <f aca="false">IF(D260="","",YEAR(D260))</f>
        <v/>
      </c>
      <c r="P260" s="5"/>
    </row>
    <row r="261" customFormat="false" ht="15" hidden="false" customHeight="false" outlineLevel="0" collapsed="false">
      <c r="A261" s="27"/>
      <c r="B261" s="5"/>
      <c r="C261" s="35"/>
      <c r="D261" s="18"/>
      <c r="E261" s="5"/>
      <c r="F261" s="14"/>
      <c r="G261" s="5"/>
      <c r="H261" s="27"/>
      <c r="I261" s="5"/>
      <c r="J261" s="19" t="str">
        <f aca="false">IF(A261="","",IFERROR(INDEX(Empresas!$D:$D,MATCH(A261,Empresas!$A:$A,0))&amp;"","não consta"))</f>
        <v/>
      </c>
      <c r="K261" s="19" t="str">
        <f aca="false">IF(A261="","",IFERROR(INDEX(Sancoes!$B:$B,MATCH(A261,Sancoes!$A:$A,0))&amp;"","não consta"))</f>
        <v/>
      </c>
      <c r="L261" s="19" t="str">
        <f aca="false">IF(A261="","",IFERROR(INDEX(Eleitoral!$B:$B,MATCH(A261,Eleitoral!$A:$A,0))&amp;"","não consta"))</f>
        <v/>
      </c>
      <c r="M261" s="28" t="str">
        <f aca="false">IF(A261="","",IF(OR(AND(K261&lt;&gt;"",LOWER(K261)&lt;&gt;"não consta"),AND(L261&lt;&gt;"",LOWER(L261)&lt;&gt;"não consta"),IFERROR(INDEX(Empresas!$G:$G,MATCH(A261,Empresas!$A:$A,0))&amp;"","")&lt;&gt;""),"SIM",""))</f>
        <v/>
      </c>
      <c r="N261" s="5"/>
      <c r="O261" s="32" t="str">
        <f aca="false">IF(D261="","",YEAR(D261))</f>
        <v/>
      </c>
      <c r="P261" s="5"/>
    </row>
    <row r="262" customFormat="false" ht="15" hidden="false" customHeight="false" outlineLevel="0" collapsed="false">
      <c r="A262" s="27"/>
      <c r="B262" s="5"/>
      <c r="C262" s="35"/>
      <c r="D262" s="18"/>
      <c r="E262" s="5"/>
      <c r="F262" s="14"/>
      <c r="G262" s="5"/>
      <c r="H262" s="27"/>
      <c r="I262" s="5"/>
      <c r="J262" s="19" t="str">
        <f aca="false">IF(A262="","",IFERROR(INDEX(Empresas!$D:$D,MATCH(A262,Empresas!$A:$A,0))&amp;"","não consta"))</f>
        <v/>
      </c>
      <c r="K262" s="19" t="str">
        <f aca="false">IF(A262="","",IFERROR(INDEX(Sancoes!$B:$B,MATCH(A262,Sancoes!$A:$A,0))&amp;"","não consta"))</f>
        <v/>
      </c>
      <c r="L262" s="19" t="str">
        <f aca="false">IF(A262="","",IFERROR(INDEX(Eleitoral!$B:$B,MATCH(A262,Eleitoral!$A:$A,0))&amp;"","não consta"))</f>
        <v/>
      </c>
      <c r="M262" s="28" t="str">
        <f aca="false">IF(A262="","",IF(OR(AND(K262&lt;&gt;"",LOWER(K262)&lt;&gt;"não consta"),AND(L262&lt;&gt;"",LOWER(L262)&lt;&gt;"não consta"),IFERROR(INDEX(Empresas!$G:$G,MATCH(A262,Empresas!$A:$A,0))&amp;"","")&lt;&gt;""),"SIM",""))</f>
        <v/>
      </c>
      <c r="N262" s="5"/>
      <c r="O262" s="32" t="str">
        <f aca="false">IF(D262="","",YEAR(D262))</f>
        <v/>
      </c>
      <c r="P262" s="5"/>
    </row>
    <row r="263" customFormat="false" ht="15" hidden="false" customHeight="false" outlineLevel="0" collapsed="false">
      <c r="A263" s="27"/>
      <c r="B263" s="5"/>
      <c r="C263" s="35"/>
      <c r="D263" s="18"/>
      <c r="E263" s="5"/>
      <c r="F263" s="14"/>
      <c r="G263" s="5"/>
      <c r="H263" s="27"/>
      <c r="I263" s="5"/>
      <c r="J263" s="19" t="str">
        <f aca="false">IF(A263="","",IFERROR(INDEX(Empresas!$D:$D,MATCH(A263,Empresas!$A:$A,0))&amp;"","não consta"))</f>
        <v/>
      </c>
      <c r="K263" s="19" t="str">
        <f aca="false">IF(A263="","",IFERROR(INDEX(Sancoes!$B:$B,MATCH(A263,Sancoes!$A:$A,0))&amp;"","não consta"))</f>
        <v/>
      </c>
      <c r="L263" s="19" t="str">
        <f aca="false">IF(A263="","",IFERROR(INDEX(Eleitoral!$B:$B,MATCH(A263,Eleitoral!$A:$A,0))&amp;"","não consta"))</f>
        <v/>
      </c>
      <c r="M263" s="28" t="str">
        <f aca="false">IF(A263="","",IF(OR(AND(K263&lt;&gt;"",LOWER(K263)&lt;&gt;"não consta"),AND(L263&lt;&gt;"",LOWER(L263)&lt;&gt;"não consta"),IFERROR(INDEX(Empresas!$G:$G,MATCH(A263,Empresas!$A:$A,0))&amp;"","")&lt;&gt;""),"SIM",""))</f>
        <v/>
      </c>
      <c r="N263" s="5"/>
      <c r="O263" s="32" t="str">
        <f aca="false">IF(D263="","",YEAR(D263))</f>
        <v/>
      </c>
      <c r="P263" s="5"/>
    </row>
    <row r="264" customFormat="false" ht="15" hidden="false" customHeight="false" outlineLevel="0" collapsed="false">
      <c r="A264" s="27"/>
      <c r="B264" s="5"/>
      <c r="C264" s="35"/>
      <c r="D264" s="18"/>
      <c r="E264" s="5"/>
      <c r="F264" s="14"/>
      <c r="G264" s="5"/>
      <c r="H264" s="27"/>
      <c r="I264" s="5"/>
      <c r="J264" s="19" t="str">
        <f aca="false">IF(A264="","",IFERROR(INDEX(Empresas!$D:$D,MATCH(A264,Empresas!$A:$A,0))&amp;"","não consta"))</f>
        <v/>
      </c>
      <c r="K264" s="19" t="str">
        <f aca="false">IF(A264="","",IFERROR(INDEX(Sancoes!$B:$B,MATCH(A264,Sancoes!$A:$A,0))&amp;"","não consta"))</f>
        <v/>
      </c>
      <c r="L264" s="19" t="str">
        <f aca="false">IF(A264="","",IFERROR(INDEX(Eleitoral!$B:$B,MATCH(A264,Eleitoral!$A:$A,0))&amp;"","não consta"))</f>
        <v/>
      </c>
      <c r="M264" s="28" t="str">
        <f aca="false">IF(A264="","",IF(OR(AND(K264&lt;&gt;"",LOWER(K264)&lt;&gt;"não consta"),AND(L264&lt;&gt;"",LOWER(L264)&lt;&gt;"não consta"),IFERROR(INDEX(Empresas!$G:$G,MATCH(A264,Empresas!$A:$A,0))&amp;"","")&lt;&gt;""),"SIM",""))</f>
        <v/>
      </c>
      <c r="N264" s="5"/>
      <c r="O264" s="32" t="str">
        <f aca="false">IF(D264="","",YEAR(D264))</f>
        <v/>
      </c>
      <c r="P264" s="5"/>
    </row>
    <row r="265" customFormat="false" ht="15" hidden="false" customHeight="false" outlineLevel="0" collapsed="false">
      <c r="A265" s="27"/>
      <c r="B265" s="5"/>
      <c r="C265" s="35"/>
      <c r="D265" s="18"/>
      <c r="E265" s="5"/>
      <c r="F265" s="14"/>
      <c r="G265" s="5"/>
      <c r="H265" s="27"/>
      <c r="I265" s="5"/>
      <c r="J265" s="19" t="str">
        <f aca="false">IF(A265="","",IFERROR(INDEX(Empresas!$D:$D,MATCH(A265,Empresas!$A:$A,0))&amp;"","não consta"))</f>
        <v/>
      </c>
      <c r="K265" s="19" t="str">
        <f aca="false">IF(A265="","",IFERROR(INDEX(Sancoes!$B:$B,MATCH(A265,Sancoes!$A:$A,0))&amp;"","não consta"))</f>
        <v/>
      </c>
      <c r="L265" s="19" t="str">
        <f aca="false">IF(A265="","",IFERROR(INDEX(Eleitoral!$B:$B,MATCH(A265,Eleitoral!$A:$A,0))&amp;"","não consta"))</f>
        <v/>
      </c>
      <c r="M265" s="28" t="str">
        <f aca="false">IF(A265="","",IF(OR(AND(K265&lt;&gt;"",LOWER(K265)&lt;&gt;"não consta"),AND(L265&lt;&gt;"",LOWER(L265)&lt;&gt;"não consta"),IFERROR(INDEX(Empresas!$G:$G,MATCH(A265,Empresas!$A:$A,0))&amp;"","")&lt;&gt;""),"SIM",""))</f>
        <v/>
      </c>
      <c r="N265" s="5"/>
      <c r="O265" s="32" t="str">
        <f aca="false">IF(D265="","",YEAR(D265))</f>
        <v/>
      </c>
      <c r="P265" s="5"/>
    </row>
    <row r="266" customFormat="false" ht="15" hidden="false" customHeight="false" outlineLevel="0" collapsed="false">
      <c r="A266" s="27"/>
      <c r="B266" s="5"/>
      <c r="C266" s="35"/>
      <c r="D266" s="18"/>
      <c r="E266" s="5"/>
      <c r="F266" s="14"/>
      <c r="G266" s="5"/>
      <c r="H266" s="27"/>
      <c r="I266" s="5"/>
      <c r="J266" s="19" t="str">
        <f aca="false">IF(A266="","",IFERROR(INDEX(Empresas!$D:$D,MATCH(A266,Empresas!$A:$A,0))&amp;"","não consta"))</f>
        <v/>
      </c>
      <c r="K266" s="19" t="str">
        <f aca="false">IF(A266="","",IFERROR(INDEX(Sancoes!$B:$B,MATCH(A266,Sancoes!$A:$A,0))&amp;"","não consta"))</f>
        <v/>
      </c>
      <c r="L266" s="19" t="str">
        <f aca="false">IF(A266="","",IFERROR(INDEX(Eleitoral!$B:$B,MATCH(A266,Eleitoral!$A:$A,0))&amp;"","não consta"))</f>
        <v/>
      </c>
      <c r="M266" s="28" t="str">
        <f aca="false">IF(A266="","",IF(OR(AND(K266&lt;&gt;"",LOWER(K266)&lt;&gt;"não consta"),AND(L266&lt;&gt;"",LOWER(L266)&lt;&gt;"não consta"),IFERROR(INDEX(Empresas!$G:$G,MATCH(A266,Empresas!$A:$A,0))&amp;"","")&lt;&gt;""),"SIM",""))</f>
        <v/>
      </c>
      <c r="N266" s="5"/>
      <c r="O266" s="32" t="str">
        <f aca="false">IF(D266="","",YEAR(D266))</f>
        <v/>
      </c>
      <c r="P266" s="5"/>
    </row>
    <row r="267" customFormat="false" ht="15" hidden="false" customHeight="false" outlineLevel="0" collapsed="false">
      <c r="A267" s="27"/>
      <c r="B267" s="5"/>
      <c r="C267" s="35"/>
      <c r="D267" s="18"/>
      <c r="E267" s="5"/>
      <c r="F267" s="14"/>
      <c r="G267" s="5"/>
      <c r="H267" s="27"/>
      <c r="I267" s="5"/>
      <c r="J267" s="19" t="str">
        <f aca="false">IF(A267="","",IFERROR(INDEX(Empresas!$D:$D,MATCH(A267,Empresas!$A:$A,0))&amp;"","não consta"))</f>
        <v/>
      </c>
      <c r="K267" s="19" t="str">
        <f aca="false">IF(A267="","",IFERROR(INDEX(Sancoes!$B:$B,MATCH(A267,Sancoes!$A:$A,0))&amp;"","não consta"))</f>
        <v/>
      </c>
      <c r="L267" s="19" t="str">
        <f aca="false">IF(A267="","",IFERROR(INDEX(Eleitoral!$B:$B,MATCH(A267,Eleitoral!$A:$A,0))&amp;"","não consta"))</f>
        <v/>
      </c>
      <c r="M267" s="28" t="str">
        <f aca="false">IF(A267="","",IF(OR(AND(K267&lt;&gt;"",LOWER(K267)&lt;&gt;"não consta"),AND(L267&lt;&gt;"",LOWER(L267)&lt;&gt;"não consta"),IFERROR(INDEX(Empresas!$G:$G,MATCH(A267,Empresas!$A:$A,0))&amp;"","")&lt;&gt;""),"SIM",""))</f>
        <v/>
      </c>
      <c r="N267" s="5"/>
      <c r="O267" s="32" t="str">
        <f aca="false">IF(D267="","",YEAR(D267))</f>
        <v/>
      </c>
      <c r="P267" s="5"/>
    </row>
    <row r="268" customFormat="false" ht="15" hidden="false" customHeight="false" outlineLevel="0" collapsed="false">
      <c r="A268" s="27"/>
      <c r="B268" s="5"/>
      <c r="C268" s="35"/>
      <c r="D268" s="18"/>
      <c r="E268" s="5"/>
      <c r="F268" s="14"/>
      <c r="G268" s="5"/>
      <c r="H268" s="27"/>
      <c r="I268" s="5"/>
      <c r="J268" s="19" t="str">
        <f aca="false">IF(A268="","",IFERROR(INDEX(Empresas!$D:$D,MATCH(A268,Empresas!$A:$A,0))&amp;"","não consta"))</f>
        <v/>
      </c>
      <c r="K268" s="19" t="str">
        <f aca="false">IF(A268="","",IFERROR(INDEX(Sancoes!$B:$B,MATCH(A268,Sancoes!$A:$A,0))&amp;"","não consta"))</f>
        <v/>
      </c>
      <c r="L268" s="19" t="str">
        <f aca="false">IF(A268="","",IFERROR(INDEX(Eleitoral!$B:$B,MATCH(A268,Eleitoral!$A:$A,0))&amp;"","não consta"))</f>
        <v/>
      </c>
      <c r="M268" s="28" t="str">
        <f aca="false">IF(A268="","",IF(OR(AND(K268&lt;&gt;"",LOWER(K268)&lt;&gt;"não consta"),AND(L268&lt;&gt;"",LOWER(L268)&lt;&gt;"não consta"),IFERROR(INDEX(Empresas!$G:$G,MATCH(A268,Empresas!$A:$A,0))&amp;"","")&lt;&gt;""),"SIM",""))</f>
        <v/>
      </c>
      <c r="N268" s="5"/>
      <c r="O268" s="32" t="str">
        <f aca="false">IF(D268="","",YEAR(D268))</f>
        <v/>
      </c>
      <c r="P268" s="5"/>
    </row>
    <row r="269" customFormat="false" ht="15" hidden="false" customHeight="false" outlineLevel="0" collapsed="false">
      <c r="A269" s="27"/>
      <c r="B269" s="5"/>
      <c r="C269" s="35"/>
      <c r="D269" s="18"/>
      <c r="E269" s="5"/>
      <c r="F269" s="14"/>
      <c r="G269" s="5"/>
      <c r="H269" s="27"/>
      <c r="I269" s="5"/>
      <c r="J269" s="19" t="str">
        <f aca="false">IF(A269="","",IFERROR(INDEX(Empresas!$D:$D,MATCH(A269,Empresas!$A:$A,0))&amp;"","não consta"))</f>
        <v/>
      </c>
      <c r="K269" s="19" t="str">
        <f aca="false">IF(A269="","",IFERROR(INDEX(Sancoes!$B:$B,MATCH(A269,Sancoes!$A:$A,0))&amp;"","não consta"))</f>
        <v/>
      </c>
      <c r="L269" s="19" t="str">
        <f aca="false">IF(A269="","",IFERROR(INDEX(Eleitoral!$B:$B,MATCH(A269,Eleitoral!$A:$A,0))&amp;"","não consta"))</f>
        <v/>
      </c>
      <c r="M269" s="28" t="str">
        <f aca="false">IF(A269="","",IF(OR(AND(K269&lt;&gt;"",LOWER(K269)&lt;&gt;"não consta"),AND(L269&lt;&gt;"",LOWER(L269)&lt;&gt;"não consta"),IFERROR(INDEX(Empresas!$G:$G,MATCH(A269,Empresas!$A:$A,0))&amp;"","")&lt;&gt;""),"SIM",""))</f>
        <v/>
      </c>
      <c r="N269" s="5"/>
      <c r="O269" s="32" t="str">
        <f aca="false">IF(D269="","",YEAR(D269))</f>
        <v/>
      </c>
      <c r="P269" s="5"/>
    </row>
    <row r="270" customFormat="false" ht="15" hidden="false" customHeight="false" outlineLevel="0" collapsed="false">
      <c r="A270" s="27"/>
      <c r="B270" s="5"/>
      <c r="C270" s="35"/>
      <c r="D270" s="18"/>
      <c r="E270" s="5"/>
      <c r="F270" s="14"/>
      <c r="G270" s="5"/>
      <c r="H270" s="27"/>
      <c r="I270" s="5"/>
      <c r="J270" s="19" t="str">
        <f aca="false">IF(A270="","",IFERROR(INDEX(Empresas!$D:$D,MATCH(A270,Empresas!$A:$A,0))&amp;"","não consta"))</f>
        <v/>
      </c>
      <c r="K270" s="19" t="str">
        <f aca="false">IF(A270="","",IFERROR(INDEX(Sancoes!$B:$B,MATCH(A270,Sancoes!$A:$A,0))&amp;"","não consta"))</f>
        <v/>
      </c>
      <c r="L270" s="19" t="str">
        <f aca="false">IF(A270="","",IFERROR(INDEX(Eleitoral!$B:$B,MATCH(A270,Eleitoral!$A:$A,0))&amp;"","não consta"))</f>
        <v/>
      </c>
      <c r="M270" s="28" t="str">
        <f aca="false">IF(A270="","",IF(OR(AND(K270&lt;&gt;"",LOWER(K270)&lt;&gt;"não consta"),AND(L270&lt;&gt;"",LOWER(L270)&lt;&gt;"não consta"),IFERROR(INDEX(Empresas!$G:$G,MATCH(A270,Empresas!$A:$A,0))&amp;"","")&lt;&gt;""),"SIM",""))</f>
        <v/>
      </c>
      <c r="N270" s="5"/>
      <c r="O270" s="32" t="str">
        <f aca="false">IF(D270="","",YEAR(D270))</f>
        <v/>
      </c>
      <c r="P270" s="5"/>
    </row>
    <row r="271" customFormat="false" ht="15" hidden="false" customHeight="false" outlineLevel="0" collapsed="false">
      <c r="A271" s="27"/>
      <c r="B271" s="5"/>
      <c r="C271" s="35"/>
      <c r="D271" s="18"/>
      <c r="E271" s="5"/>
      <c r="F271" s="14"/>
      <c r="G271" s="5"/>
      <c r="H271" s="27"/>
      <c r="I271" s="5"/>
      <c r="J271" s="19" t="str">
        <f aca="false">IF(A271="","",IFERROR(INDEX(Empresas!$D:$D,MATCH(A271,Empresas!$A:$A,0))&amp;"","não consta"))</f>
        <v/>
      </c>
      <c r="K271" s="19" t="str">
        <f aca="false">IF(A271="","",IFERROR(INDEX(Sancoes!$B:$B,MATCH(A271,Sancoes!$A:$A,0))&amp;"","não consta"))</f>
        <v/>
      </c>
      <c r="L271" s="19" t="str">
        <f aca="false">IF(A271="","",IFERROR(INDEX(Eleitoral!$B:$B,MATCH(A271,Eleitoral!$A:$A,0))&amp;"","não consta"))</f>
        <v/>
      </c>
      <c r="M271" s="28" t="str">
        <f aca="false">IF(A271="","",IF(OR(AND(K271&lt;&gt;"",LOWER(K271)&lt;&gt;"não consta"),AND(L271&lt;&gt;"",LOWER(L271)&lt;&gt;"não consta"),IFERROR(INDEX(Empresas!$G:$G,MATCH(A271,Empresas!$A:$A,0))&amp;"","")&lt;&gt;""),"SIM",""))</f>
        <v/>
      </c>
      <c r="N271" s="5"/>
      <c r="O271" s="32" t="str">
        <f aca="false">IF(D271="","",YEAR(D271))</f>
        <v/>
      </c>
      <c r="P271" s="5"/>
    </row>
    <row r="272" customFormat="false" ht="15" hidden="false" customHeight="false" outlineLevel="0" collapsed="false">
      <c r="A272" s="27"/>
      <c r="B272" s="5"/>
      <c r="C272" s="35"/>
      <c r="D272" s="18"/>
      <c r="E272" s="5"/>
      <c r="F272" s="14"/>
      <c r="G272" s="5"/>
      <c r="H272" s="27"/>
      <c r="I272" s="5"/>
      <c r="J272" s="19" t="str">
        <f aca="false">IF(A272="","",IFERROR(INDEX(Empresas!$D:$D,MATCH(A272,Empresas!$A:$A,0))&amp;"","não consta"))</f>
        <v/>
      </c>
      <c r="K272" s="19" t="str">
        <f aca="false">IF(A272="","",IFERROR(INDEX(Sancoes!$B:$B,MATCH(A272,Sancoes!$A:$A,0))&amp;"","não consta"))</f>
        <v/>
      </c>
      <c r="L272" s="19" t="str">
        <f aca="false">IF(A272="","",IFERROR(INDEX(Eleitoral!$B:$B,MATCH(A272,Eleitoral!$A:$A,0))&amp;"","não consta"))</f>
        <v/>
      </c>
      <c r="M272" s="28" t="str">
        <f aca="false">IF(A272="","",IF(OR(AND(K272&lt;&gt;"",LOWER(K272)&lt;&gt;"não consta"),AND(L272&lt;&gt;"",LOWER(L272)&lt;&gt;"não consta"),IFERROR(INDEX(Empresas!$G:$G,MATCH(A272,Empresas!$A:$A,0))&amp;"","")&lt;&gt;""),"SIM",""))</f>
        <v/>
      </c>
      <c r="N272" s="5"/>
      <c r="O272" s="32" t="str">
        <f aca="false">IF(D272="","",YEAR(D272))</f>
        <v/>
      </c>
      <c r="P272" s="5"/>
    </row>
    <row r="273" customFormat="false" ht="15" hidden="false" customHeight="false" outlineLevel="0" collapsed="false">
      <c r="A273" s="27"/>
      <c r="B273" s="5"/>
      <c r="C273" s="35"/>
      <c r="D273" s="18"/>
      <c r="E273" s="5"/>
      <c r="F273" s="14"/>
      <c r="G273" s="5"/>
      <c r="H273" s="27"/>
      <c r="I273" s="5"/>
      <c r="J273" s="19" t="str">
        <f aca="false">IF(A273="","",IFERROR(INDEX(Empresas!$D:$D,MATCH(A273,Empresas!$A:$A,0))&amp;"","não consta"))</f>
        <v/>
      </c>
      <c r="K273" s="19" t="str">
        <f aca="false">IF(A273="","",IFERROR(INDEX(Sancoes!$B:$B,MATCH(A273,Sancoes!$A:$A,0))&amp;"","não consta"))</f>
        <v/>
      </c>
      <c r="L273" s="19" t="str">
        <f aca="false">IF(A273="","",IFERROR(INDEX(Eleitoral!$B:$B,MATCH(A273,Eleitoral!$A:$A,0))&amp;"","não consta"))</f>
        <v/>
      </c>
      <c r="M273" s="28" t="str">
        <f aca="false">IF(A273="","",IF(OR(AND(K273&lt;&gt;"",LOWER(K273)&lt;&gt;"não consta"),AND(L273&lt;&gt;"",LOWER(L273)&lt;&gt;"não consta"),IFERROR(INDEX(Empresas!$G:$G,MATCH(A273,Empresas!$A:$A,0))&amp;"","")&lt;&gt;""),"SIM",""))</f>
        <v/>
      </c>
      <c r="N273" s="5"/>
      <c r="O273" s="32" t="str">
        <f aca="false">IF(D273="","",YEAR(D273))</f>
        <v/>
      </c>
      <c r="P273" s="5"/>
    </row>
    <row r="274" customFormat="false" ht="15" hidden="false" customHeight="false" outlineLevel="0" collapsed="false">
      <c r="A274" s="27"/>
      <c r="B274" s="5"/>
      <c r="C274" s="35"/>
      <c r="D274" s="18"/>
      <c r="E274" s="5"/>
      <c r="F274" s="14"/>
      <c r="G274" s="5"/>
      <c r="H274" s="27"/>
      <c r="I274" s="5"/>
      <c r="J274" s="19" t="str">
        <f aca="false">IF(A274="","",IFERROR(INDEX(Empresas!$D:$D,MATCH(A274,Empresas!$A:$A,0))&amp;"","não consta"))</f>
        <v/>
      </c>
      <c r="K274" s="19" t="str">
        <f aca="false">IF(A274="","",IFERROR(INDEX(Sancoes!$B:$B,MATCH(A274,Sancoes!$A:$A,0))&amp;"","não consta"))</f>
        <v/>
      </c>
      <c r="L274" s="19" t="str">
        <f aca="false">IF(A274="","",IFERROR(INDEX(Eleitoral!$B:$B,MATCH(A274,Eleitoral!$A:$A,0))&amp;"","não consta"))</f>
        <v/>
      </c>
      <c r="M274" s="28" t="str">
        <f aca="false">IF(A274="","",IF(OR(AND(K274&lt;&gt;"",LOWER(K274)&lt;&gt;"não consta"),AND(L274&lt;&gt;"",LOWER(L274)&lt;&gt;"não consta"),IFERROR(INDEX(Empresas!$G:$G,MATCH(A274,Empresas!$A:$A,0))&amp;"","")&lt;&gt;""),"SIM",""))</f>
        <v/>
      </c>
      <c r="N274" s="5"/>
      <c r="O274" s="32" t="str">
        <f aca="false">IF(D274="","",YEAR(D274))</f>
        <v/>
      </c>
      <c r="P274" s="5"/>
    </row>
    <row r="275" customFormat="false" ht="15" hidden="false" customHeight="false" outlineLevel="0" collapsed="false">
      <c r="A275" s="27"/>
      <c r="B275" s="5"/>
      <c r="C275" s="35"/>
      <c r="D275" s="18"/>
      <c r="E275" s="5"/>
      <c r="F275" s="14"/>
      <c r="G275" s="5"/>
      <c r="H275" s="27"/>
      <c r="I275" s="5"/>
      <c r="J275" s="19" t="str">
        <f aca="false">IF(A275="","",IFERROR(INDEX(Empresas!$D:$D,MATCH(A275,Empresas!$A:$A,0))&amp;"","não consta"))</f>
        <v/>
      </c>
      <c r="K275" s="19" t="str">
        <f aca="false">IF(A275="","",IFERROR(INDEX(Sancoes!$B:$B,MATCH(A275,Sancoes!$A:$A,0))&amp;"","não consta"))</f>
        <v/>
      </c>
      <c r="L275" s="19" t="str">
        <f aca="false">IF(A275="","",IFERROR(INDEX(Eleitoral!$B:$B,MATCH(A275,Eleitoral!$A:$A,0))&amp;"","não consta"))</f>
        <v/>
      </c>
      <c r="M275" s="28" t="str">
        <f aca="false">IF(A275="","",IF(OR(AND(K275&lt;&gt;"",LOWER(K275)&lt;&gt;"não consta"),AND(L275&lt;&gt;"",LOWER(L275)&lt;&gt;"não consta"),IFERROR(INDEX(Empresas!$G:$G,MATCH(A275,Empresas!$A:$A,0))&amp;"","")&lt;&gt;""),"SIM",""))</f>
        <v/>
      </c>
      <c r="N275" s="5"/>
      <c r="O275" s="32" t="str">
        <f aca="false">IF(D275="","",YEAR(D275))</f>
        <v/>
      </c>
      <c r="P275" s="5"/>
    </row>
    <row r="276" customFormat="false" ht="15" hidden="false" customHeight="false" outlineLevel="0" collapsed="false">
      <c r="A276" s="27"/>
      <c r="B276" s="5"/>
      <c r="C276" s="35"/>
      <c r="D276" s="18"/>
      <c r="E276" s="5"/>
      <c r="F276" s="14"/>
      <c r="G276" s="5"/>
      <c r="H276" s="27"/>
      <c r="I276" s="5"/>
      <c r="J276" s="19" t="str">
        <f aca="false">IF(A276="","",IFERROR(INDEX(Empresas!$D:$D,MATCH(A276,Empresas!$A:$A,0))&amp;"","não consta"))</f>
        <v/>
      </c>
      <c r="K276" s="19" t="str">
        <f aca="false">IF(A276="","",IFERROR(INDEX(Sancoes!$B:$B,MATCH(A276,Sancoes!$A:$A,0))&amp;"","não consta"))</f>
        <v/>
      </c>
      <c r="L276" s="19" t="str">
        <f aca="false">IF(A276="","",IFERROR(INDEX(Eleitoral!$B:$B,MATCH(A276,Eleitoral!$A:$A,0))&amp;"","não consta"))</f>
        <v/>
      </c>
      <c r="M276" s="28" t="str">
        <f aca="false">IF(A276="","",IF(OR(AND(K276&lt;&gt;"",LOWER(K276)&lt;&gt;"não consta"),AND(L276&lt;&gt;"",LOWER(L276)&lt;&gt;"não consta"),IFERROR(INDEX(Empresas!$G:$G,MATCH(A276,Empresas!$A:$A,0))&amp;"","")&lt;&gt;""),"SIM",""))</f>
        <v/>
      </c>
      <c r="N276" s="5"/>
      <c r="O276" s="32" t="str">
        <f aca="false">IF(D276="","",YEAR(D276))</f>
        <v/>
      </c>
      <c r="P276" s="5"/>
    </row>
    <row r="277" customFormat="false" ht="15" hidden="false" customHeight="false" outlineLevel="0" collapsed="false">
      <c r="A277" s="27"/>
      <c r="B277" s="5"/>
      <c r="C277" s="35"/>
      <c r="D277" s="18"/>
      <c r="E277" s="5"/>
      <c r="F277" s="14"/>
      <c r="G277" s="5"/>
      <c r="H277" s="27"/>
      <c r="I277" s="5"/>
      <c r="J277" s="19" t="str">
        <f aca="false">IF(A277="","",IFERROR(INDEX(Empresas!$D:$D,MATCH(A277,Empresas!$A:$A,0))&amp;"","não consta"))</f>
        <v/>
      </c>
      <c r="K277" s="19" t="str">
        <f aca="false">IF(A277="","",IFERROR(INDEX(Sancoes!$B:$B,MATCH(A277,Sancoes!$A:$A,0))&amp;"","não consta"))</f>
        <v/>
      </c>
      <c r="L277" s="19" t="str">
        <f aca="false">IF(A277="","",IFERROR(INDEX(Eleitoral!$B:$B,MATCH(A277,Eleitoral!$A:$A,0))&amp;"","não consta"))</f>
        <v/>
      </c>
      <c r="M277" s="28" t="str">
        <f aca="false">IF(A277="","",IF(OR(AND(K277&lt;&gt;"",LOWER(K277)&lt;&gt;"não consta"),AND(L277&lt;&gt;"",LOWER(L277)&lt;&gt;"não consta"),IFERROR(INDEX(Empresas!$G:$G,MATCH(A277,Empresas!$A:$A,0))&amp;"","")&lt;&gt;""),"SIM",""))</f>
        <v/>
      </c>
      <c r="N277" s="5"/>
      <c r="O277" s="32" t="str">
        <f aca="false">IF(D277="","",YEAR(D277))</f>
        <v/>
      </c>
      <c r="P277" s="5"/>
    </row>
    <row r="278" customFormat="false" ht="15" hidden="false" customHeight="false" outlineLevel="0" collapsed="false">
      <c r="A278" s="27"/>
      <c r="B278" s="5"/>
      <c r="C278" s="35"/>
      <c r="D278" s="18"/>
      <c r="E278" s="5"/>
      <c r="F278" s="14"/>
      <c r="G278" s="5"/>
      <c r="H278" s="27"/>
      <c r="I278" s="5"/>
      <c r="J278" s="19" t="str">
        <f aca="false">IF(A278="","",IFERROR(INDEX(Empresas!$D:$D,MATCH(A278,Empresas!$A:$A,0))&amp;"","não consta"))</f>
        <v/>
      </c>
      <c r="K278" s="19" t="str">
        <f aca="false">IF(A278="","",IFERROR(INDEX(Sancoes!$B:$B,MATCH(A278,Sancoes!$A:$A,0))&amp;"","não consta"))</f>
        <v/>
      </c>
      <c r="L278" s="19" t="str">
        <f aca="false">IF(A278="","",IFERROR(INDEX(Eleitoral!$B:$B,MATCH(A278,Eleitoral!$A:$A,0))&amp;"","não consta"))</f>
        <v/>
      </c>
      <c r="M278" s="28" t="str">
        <f aca="false">IF(A278="","",IF(OR(AND(K278&lt;&gt;"",LOWER(K278)&lt;&gt;"não consta"),AND(L278&lt;&gt;"",LOWER(L278)&lt;&gt;"não consta"),IFERROR(INDEX(Empresas!$G:$G,MATCH(A278,Empresas!$A:$A,0))&amp;"","")&lt;&gt;""),"SIM",""))</f>
        <v/>
      </c>
      <c r="N278" s="5"/>
      <c r="O278" s="32" t="str">
        <f aca="false">IF(D278="","",YEAR(D278))</f>
        <v/>
      </c>
      <c r="P278" s="5"/>
    </row>
    <row r="279" customFormat="false" ht="15" hidden="false" customHeight="false" outlineLevel="0" collapsed="false">
      <c r="A279" s="27"/>
      <c r="B279" s="5"/>
      <c r="C279" s="35"/>
      <c r="D279" s="18"/>
      <c r="E279" s="5"/>
      <c r="F279" s="14"/>
      <c r="G279" s="5"/>
      <c r="H279" s="27"/>
      <c r="I279" s="5"/>
      <c r="J279" s="19" t="str">
        <f aca="false">IF(A279="","",IFERROR(INDEX(Empresas!$D:$D,MATCH(A279,Empresas!$A:$A,0))&amp;"","não consta"))</f>
        <v/>
      </c>
      <c r="K279" s="19" t="str">
        <f aca="false">IF(A279="","",IFERROR(INDEX(Sancoes!$B:$B,MATCH(A279,Sancoes!$A:$A,0))&amp;"","não consta"))</f>
        <v/>
      </c>
      <c r="L279" s="19" t="str">
        <f aca="false">IF(A279="","",IFERROR(INDEX(Eleitoral!$B:$B,MATCH(A279,Eleitoral!$A:$A,0))&amp;"","não consta"))</f>
        <v/>
      </c>
      <c r="M279" s="28" t="str">
        <f aca="false">IF(A279="","",IF(OR(AND(K279&lt;&gt;"",LOWER(K279)&lt;&gt;"não consta"),AND(L279&lt;&gt;"",LOWER(L279)&lt;&gt;"não consta"),IFERROR(INDEX(Empresas!$G:$G,MATCH(A279,Empresas!$A:$A,0))&amp;"","")&lt;&gt;""),"SIM",""))</f>
        <v/>
      </c>
      <c r="N279" s="5"/>
      <c r="O279" s="32" t="str">
        <f aca="false">IF(D279="","",YEAR(D279))</f>
        <v/>
      </c>
      <c r="P279" s="5"/>
    </row>
    <row r="280" customFormat="false" ht="15" hidden="false" customHeight="false" outlineLevel="0" collapsed="false">
      <c r="A280" s="27"/>
      <c r="B280" s="5"/>
      <c r="C280" s="35"/>
      <c r="D280" s="18"/>
      <c r="E280" s="5"/>
      <c r="F280" s="14"/>
      <c r="G280" s="5"/>
      <c r="H280" s="27"/>
      <c r="I280" s="5"/>
      <c r="J280" s="19" t="str">
        <f aca="false">IF(A280="","",IFERROR(INDEX(Empresas!$D:$D,MATCH(A280,Empresas!$A:$A,0))&amp;"","não consta"))</f>
        <v/>
      </c>
      <c r="K280" s="19" t="str">
        <f aca="false">IF(A280="","",IFERROR(INDEX(Sancoes!$B:$B,MATCH(A280,Sancoes!$A:$A,0))&amp;"","não consta"))</f>
        <v/>
      </c>
      <c r="L280" s="19" t="str">
        <f aca="false">IF(A280="","",IFERROR(INDEX(Eleitoral!$B:$B,MATCH(A280,Eleitoral!$A:$A,0))&amp;"","não consta"))</f>
        <v/>
      </c>
      <c r="M280" s="28" t="str">
        <f aca="false">IF(A280="","",IF(OR(AND(K280&lt;&gt;"",LOWER(K280)&lt;&gt;"não consta"),AND(L280&lt;&gt;"",LOWER(L280)&lt;&gt;"não consta"),IFERROR(INDEX(Empresas!$G:$G,MATCH(A280,Empresas!$A:$A,0))&amp;"","")&lt;&gt;""),"SIM",""))</f>
        <v/>
      </c>
      <c r="N280" s="5"/>
      <c r="O280" s="32" t="str">
        <f aca="false">IF(D280="","",YEAR(D280))</f>
        <v/>
      </c>
      <c r="P280" s="5"/>
    </row>
    <row r="281" customFormat="false" ht="15" hidden="false" customHeight="false" outlineLevel="0" collapsed="false">
      <c r="A281" s="27"/>
      <c r="B281" s="5"/>
      <c r="C281" s="35"/>
      <c r="D281" s="18"/>
      <c r="E281" s="5"/>
      <c r="F281" s="14"/>
      <c r="G281" s="5"/>
      <c r="H281" s="27"/>
      <c r="I281" s="5"/>
      <c r="J281" s="19" t="str">
        <f aca="false">IF(A281="","",IFERROR(INDEX(Empresas!$D:$D,MATCH(A281,Empresas!$A:$A,0))&amp;"","não consta"))</f>
        <v/>
      </c>
      <c r="K281" s="19" t="str">
        <f aca="false">IF(A281="","",IFERROR(INDEX(Sancoes!$B:$B,MATCH(A281,Sancoes!$A:$A,0))&amp;"","não consta"))</f>
        <v/>
      </c>
      <c r="L281" s="19" t="str">
        <f aca="false">IF(A281="","",IFERROR(INDEX(Eleitoral!$B:$B,MATCH(A281,Eleitoral!$A:$A,0))&amp;"","não consta"))</f>
        <v/>
      </c>
      <c r="M281" s="28" t="str">
        <f aca="false">IF(A281="","",IF(OR(AND(K281&lt;&gt;"",LOWER(K281)&lt;&gt;"não consta"),AND(L281&lt;&gt;"",LOWER(L281)&lt;&gt;"não consta"),IFERROR(INDEX(Empresas!$G:$G,MATCH(A281,Empresas!$A:$A,0))&amp;"","")&lt;&gt;""),"SIM",""))</f>
        <v/>
      </c>
      <c r="N281" s="5"/>
      <c r="O281" s="32" t="str">
        <f aca="false">IF(D281="","",YEAR(D281))</f>
        <v/>
      </c>
      <c r="P281" s="5"/>
    </row>
    <row r="282" customFormat="false" ht="15" hidden="false" customHeight="false" outlineLevel="0" collapsed="false">
      <c r="A282" s="27"/>
      <c r="B282" s="5"/>
      <c r="C282" s="35"/>
      <c r="D282" s="18"/>
      <c r="E282" s="5"/>
      <c r="F282" s="14"/>
      <c r="G282" s="5"/>
      <c r="H282" s="27"/>
      <c r="I282" s="5"/>
      <c r="J282" s="19" t="str">
        <f aca="false">IF(A282="","",IFERROR(INDEX(Empresas!$D:$D,MATCH(A282,Empresas!$A:$A,0))&amp;"","não consta"))</f>
        <v/>
      </c>
      <c r="K282" s="19" t="str">
        <f aca="false">IF(A282="","",IFERROR(INDEX(Sancoes!$B:$B,MATCH(A282,Sancoes!$A:$A,0))&amp;"","não consta"))</f>
        <v/>
      </c>
      <c r="L282" s="19" t="str">
        <f aca="false">IF(A282="","",IFERROR(INDEX(Eleitoral!$B:$B,MATCH(A282,Eleitoral!$A:$A,0))&amp;"","não consta"))</f>
        <v/>
      </c>
      <c r="M282" s="28" t="str">
        <f aca="false">IF(A282="","",IF(OR(AND(K282&lt;&gt;"",LOWER(K282)&lt;&gt;"não consta"),AND(L282&lt;&gt;"",LOWER(L282)&lt;&gt;"não consta"),IFERROR(INDEX(Empresas!$G:$G,MATCH(A282,Empresas!$A:$A,0))&amp;"","")&lt;&gt;""),"SIM",""))</f>
        <v/>
      </c>
      <c r="N282" s="5"/>
      <c r="O282" s="32" t="str">
        <f aca="false">IF(D282="","",YEAR(D282))</f>
        <v/>
      </c>
      <c r="P282" s="5"/>
    </row>
    <row r="283" customFormat="false" ht="15" hidden="false" customHeight="false" outlineLevel="0" collapsed="false">
      <c r="A283" s="27"/>
      <c r="B283" s="5"/>
      <c r="C283" s="35"/>
      <c r="D283" s="18"/>
      <c r="E283" s="5"/>
      <c r="F283" s="14"/>
      <c r="G283" s="5"/>
      <c r="H283" s="27"/>
      <c r="I283" s="5"/>
      <c r="J283" s="19" t="str">
        <f aca="false">IF(A283="","",IFERROR(INDEX(Empresas!$D:$D,MATCH(A283,Empresas!$A:$A,0))&amp;"","não consta"))</f>
        <v/>
      </c>
      <c r="K283" s="19" t="str">
        <f aca="false">IF(A283="","",IFERROR(INDEX(Sancoes!$B:$B,MATCH(A283,Sancoes!$A:$A,0))&amp;"","não consta"))</f>
        <v/>
      </c>
      <c r="L283" s="19" t="str">
        <f aca="false">IF(A283="","",IFERROR(INDEX(Eleitoral!$B:$B,MATCH(A283,Eleitoral!$A:$A,0))&amp;"","não consta"))</f>
        <v/>
      </c>
      <c r="M283" s="28" t="str">
        <f aca="false">IF(A283="","",IF(OR(AND(K283&lt;&gt;"",LOWER(K283)&lt;&gt;"não consta"),AND(L283&lt;&gt;"",LOWER(L283)&lt;&gt;"não consta"),IFERROR(INDEX(Empresas!$G:$G,MATCH(A283,Empresas!$A:$A,0))&amp;"","")&lt;&gt;""),"SIM",""))</f>
        <v/>
      </c>
      <c r="N283" s="5"/>
      <c r="O283" s="32" t="str">
        <f aca="false">IF(D283="","",YEAR(D283))</f>
        <v/>
      </c>
      <c r="P283" s="5"/>
    </row>
    <row r="284" customFormat="false" ht="15" hidden="false" customHeight="false" outlineLevel="0" collapsed="false">
      <c r="A284" s="27"/>
      <c r="B284" s="5"/>
      <c r="C284" s="35"/>
      <c r="D284" s="18"/>
      <c r="E284" s="5"/>
      <c r="F284" s="14"/>
      <c r="G284" s="5"/>
      <c r="H284" s="27"/>
      <c r="I284" s="5"/>
      <c r="J284" s="19" t="str">
        <f aca="false">IF(A284="","",IFERROR(INDEX(Empresas!$D:$D,MATCH(A284,Empresas!$A:$A,0))&amp;"","não consta"))</f>
        <v/>
      </c>
      <c r="K284" s="19" t="str">
        <f aca="false">IF(A284="","",IFERROR(INDEX(Sancoes!$B:$B,MATCH(A284,Sancoes!$A:$A,0))&amp;"","não consta"))</f>
        <v/>
      </c>
      <c r="L284" s="19" t="str">
        <f aca="false">IF(A284="","",IFERROR(INDEX(Eleitoral!$B:$B,MATCH(A284,Eleitoral!$A:$A,0))&amp;"","não consta"))</f>
        <v/>
      </c>
      <c r="M284" s="28" t="str">
        <f aca="false">IF(A284="","",IF(OR(AND(K284&lt;&gt;"",LOWER(K284)&lt;&gt;"não consta"),AND(L284&lt;&gt;"",LOWER(L284)&lt;&gt;"não consta"),IFERROR(INDEX(Empresas!$G:$G,MATCH(A284,Empresas!$A:$A,0))&amp;"","")&lt;&gt;""),"SIM",""))</f>
        <v/>
      </c>
      <c r="N284" s="5"/>
      <c r="O284" s="32" t="str">
        <f aca="false">IF(D284="","",YEAR(D284))</f>
        <v/>
      </c>
      <c r="P284" s="5"/>
    </row>
    <row r="285" customFormat="false" ht="15" hidden="false" customHeight="false" outlineLevel="0" collapsed="false">
      <c r="A285" s="27"/>
      <c r="B285" s="5"/>
      <c r="C285" s="35"/>
      <c r="D285" s="18"/>
      <c r="E285" s="5"/>
      <c r="F285" s="14"/>
      <c r="G285" s="5"/>
      <c r="H285" s="27"/>
      <c r="I285" s="5"/>
      <c r="J285" s="19" t="str">
        <f aca="false">IF(A285="","",IFERROR(INDEX(Empresas!$D:$D,MATCH(A285,Empresas!$A:$A,0))&amp;"","não consta"))</f>
        <v/>
      </c>
      <c r="K285" s="19" t="str">
        <f aca="false">IF(A285="","",IFERROR(INDEX(Sancoes!$B:$B,MATCH(A285,Sancoes!$A:$A,0))&amp;"","não consta"))</f>
        <v/>
      </c>
      <c r="L285" s="19" t="str">
        <f aca="false">IF(A285="","",IFERROR(INDEX(Eleitoral!$B:$B,MATCH(A285,Eleitoral!$A:$A,0))&amp;"","não consta"))</f>
        <v/>
      </c>
      <c r="M285" s="28" t="str">
        <f aca="false">IF(A285="","",IF(OR(AND(K285&lt;&gt;"",LOWER(K285)&lt;&gt;"não consta"),AND(L285&lt;&gt;"",LOWER(L285)&lt;&gt;"não consta"),IFERROR(INDEX(Empresas!$G:$G,MATCH(A285,Empresas!$A:$A,0))&amp;"","")&lt;&gt;""),"SIM",""))</f>
        <v/>
      </c>
      <c r="N285" s="5"/>
      <c r="O285" s="32" t="str">
        <f aca="false">IF(D285="","",YEAR(D285))</f>
        <v/>
      </c>
      <c r="P285" s="5"/>
    </row>
    <row r="286" customFormat="false" ht="15" hidden="false" customHeight="false" outlineLevel="0" collapsed="false">
      <c r="A286" s="27"/>
      <c r="B286" s="5"/>
      <c r="C286" s="35"/>
      <c r="D286" s="18"/>
      <c r="E286" s="5"/>
      <c r="F286" s="14"/>
      <c r="G286" s="5"/>
      <c r="H286" s="27"/>
      <c r="I286" s="5"/>
      <c r="J286" s="19" t="str">
        <f aca="false">IF(A286="","",IFERROR(INDEX(Empresas!$D:$D,MATCH(A286,Empresas!$A:$A,0))&amp;"","não consta"))</f>
        <v/>
      </c>
      <c r="K286" s="19" t="str">
        <f aca="false">IF(A286="","",IFERROR(INDEX(Sancoes!$B:$B,MATCH(A286,Sancoes!$A:$A,0))&amp;"","não consta"))</f>
        <v/>
      </c>
      <c r="L286" s="19" t="str">
        <f aca="false">IF(A286="","",IFERROR(INDEX(Eleitoral!$B:$B,MATCH(A286,Eleitoral!$A:$A,0))&amp;"","não consta"))</f>
        <v/>
      </c>
      <c r="M286" s="28" t="str">
        <f aca="false">IF(A286="","",IF(OR(AND(K286&lt;&gt;"",LOWER(K286)&lt;&gt;"não consta"),AND(L286&lt;&gt;"",LOWER(L286)&lt;&gt;"não consta"),IFERROR(INDEX(Empresas!$G:$G,MATCH(A286,Empresas!$A:$A,0))&amp;"","")&lt;&gt;""),"SIM",""))</f>
        <v/>
      </c>
      <c r="N286" s="5"/>
      <c r="O286" s="32" t="str">
        <f aca="false">IF(D286="","",YEAR(D286))</f>
        <v/>
      </c>
      <c r="P286" s="5"/>
    </row>
    <row r="287" customFormat="false" ht="15" hidden="false" customHeight="false" outlineLevel="0" collapsed="false">
      <c r="A287" s="27"/>
      <c r="B287" s="5"/>
      <c r="C287" s="35"/>
      <c r="D287" s="18"/>
      <c r="E287" s="5"/>
      <c r="F287" s="14"/>
      <c r="G287" s="5"/>
      <c r="H287" s="27"/>
      <c r="I287" s="5"/>
      <c r="J287" s="19" t="str">
        <f aca="false">IF(A287="","",IFERROR(INDEX(Empresas!$D:$D,MATCH(A287,Empresas!$A:$A,0))&amp;"","não consta"))</f>
        <v/>
      </c>
      <c r="K287" s="19" t="str">
        <f aca="false">IF(A287="","",IFERROR(INDEX(Sancoes!$B:$B,MATCH(A287,Sancoes!$A:$A,0))&amp;"","não consta"))</f>
        <v/>
      </c>
      <c r="L287" s="19" t="str">
        <f aca="false">IF(A287="","",IFERROR(INDEX(Eleitoral!$B:$B,MATCH(A287,Eleitoral!$A:$A,0))&amp;"","não consta"))</f>
        <v/>
      </c>
      <c r="M287" s="28" t="str">
        <f aca="false">IF(A287="","",IF(OR(AND(K287&lt;&gt;"",LOWER(K287)&lt;&gt;"não consta"),AND(L287&lt;&gt;"",LOWER(L287)&lt;&gt;"não consta"),IFERROR(INDEX(Empresas!$G:$G,MATCH(A287,Empresas!$A:$A,0))&amp;"","")&lt;&gt;""),"SIM",""))</f>
        <v/>
      </c>
      <c r="N287" s="5"/>
      <c r="O287" s="32" t="str">
        <f aca="false">IF(D287="","",YEAR(D287))</f>
        <v/>
      </c>
      <c r="P287" s="5"/>
    </row>
    <row r="288" customFormat="false" ht="15" hidden="false" customHeight="false" outlineLevel="0" collapsed="false">
      <c r="A288" s="27"/>
      <c r="B288" s="5"/>
      <c r="C288" s="35"/>
      <c r="D288" s="18"/>
      <c r="E288" s="5"/>
      <c r="F288" s="14"/>
      <c r="G288" s="5"/>
      <c r="H288" s="27"/>
      <c r="I288" s="5"/>
      <c r="J288" s="19" t="str">
        <f aca="false">IF(A288="","",IFERROR(INDEX(Empresas!$D:$D,MATCH(A288,Empresas!$A:$A,0))&amp;"","não consta"))</f>
        <v/>
      </c>
      <c r="K288" s="19" t="str">
        <f aca="false">IF(A288="","",IFERROR(INDEX(Sancoes!$B:$B,MATCH(A288,Sancoes!$A:$A,0))&amp;"","não consta"))</f>
        <v/>
      </c>
      <c r="L288" s="19" t="str">
        <f aca="false">IF(A288="","",IFERROR(INDEX(Eleitoral!$B:$B,MATCH(A288,Eleitoral!$A:$A,0))&amp;"","não consta"))</f>
        <v/>
      </c>
      <c r="M288" s="28" t="str">
        <f aca="false">IF(A288="","",IF(OR(AND(K288&lt;&gt;"",LOWER(K288)&lt;&gt;"não consta"),AND(L288&lt;&gt;"",LOWER(L288)&lt;&gt;"não consta"),IFERROR(INDEX(Empresas!$G:$G,MATCH(A288,Empresas!$A:$A,0))&amp;"","")&lt;&gt;""),"SIM",""))</f>
        <v/>
      </c>
      <c r="N288" s="5"/>
      <c r="O288" s="32" t="str">
        <f aca="false">IF(D288="","",YEAR(D288))</f>
        <v/>
      </c>
      <c r="P288" s="5"/>
    </row>
    <row r="289" customFormat="false" ht="15" hidden="false" customHeight="false" outlineLevel="0" collapsed="false">
      <c r="A289" s="27"/>
      <c r="B289" s="5"/>
      <c r="C289" s="35"/>
      <c r="D289" s="18"/>
      <c r="E289" s="5"/>
      <c r="F289" s="14"/>
      <c r="G289" s="5"/>
      <c r="H289" s="27"/>
      <c r="I289" s="5"/>
      <c r="J289" s="19" t="str">
        <f aca="false">IF(A289="","",IFERROR(INDEX(Empresas!$D:$D,MATCH(A289,Empresas!$A:$A,0))&amp;"","não consta"))</f>
        <v/>
      </c>
      <c r="K289" s="19" t="str">
        <f aca="false">IF(A289="","",IFERROR(INDEX(Sancoes!$B:$B,MATCH(A289,Sancoes!$A:$A,0))&amp;"","não consta"))</f>
        <v/>
      </c>
      <c r="L289" s="19" t="str">
        <f aca="false">IF(A289="","",IFERROR(INDEX(Eleitoral!$B:$B,MATCH(A289,Eleitoral!$A:$A,0))&amp;"","não consta"))</f>
        <v/>
      </c>
      <c r="M289" s="28" t="str">
        <f aca="false">IF(A289="","",IF(OR(AND(K289&lt;&gt;"",LOWER(K289)&lt;&gt;"não consta"),AND(L289&lt;&gt;"",LOWER(L289)&lt;&gt;"não consta"),IFERROR(INDEX(Empresas!$G:$G,MATCH(A289,Empresas!$A:$A,0))&amp;"","")&lt;&gt;""),"SIM",""))</f>
        <v/>
      </c>
      <c r="N289" s="5"/>
      <c r="O289" s="32" t="str">
        <f aca="false">IF(D289="","",YEAR(D289))</f>
        <v/>
      </c>
      <c r="P289" s="5"/>
    </row>
    <row r="290" customFormat="false" ht="15" hidden="false" customHeight="false" outlineLevel="0" collapsed="false">
      <c r="A290" s="27"/>
      <c r="B290" s="5"/>
      <c r="C290" s="35"/>
      <c r="D290" s="18"/>
      <c r="E290" s="5"/>
      <c r="F290" s="14"/>
      <c r="G290" s="5"/>
      <c r="H290" s="27"/>
      <c r="I290" s="5"/>
      <c r="J290" s="19" t="str">
        <f aca="false">IF(A290="","",IFERROR(INDEX(Empresas!$D:$D,MATCH(A290,Empresas!$A:$A,0))&amp;"","não consta"))</f>
        <v/>
      </c>
      <c r="K290" s="19" t="str">
        <f aca="false">IF(A290="","",IFERROR(INDEX(Sancoes!$B:$B,MATCH(A290,Sancoes!$A:$A,0))&amp;"","não consta"))</f>
        <v/>
      </c>
      <c r="L290" s="19" t="str">
        <f aca="false">IF(A290="","",IFERROR(INDEX(Eleitoral!$B:$B,MATCH(A290,Eleitoral!$A:$A,0))&amp;"","não consta"))</f>
        <v/>
      </c>
      <c r="M290" s="28" t="str">
        <f aca="false">IF(A290="","",IF(OR(AND(K290&lt;&gt;"",LOWER(K290)&lt;&gt;"não consta"),AND(L290&lt;&gt;"",LOWER(L290)&lt;&gt;"não consta"),IFERROR(INDEX(Empresas!$G:$G,MATCH(A290,Empresas!$A:$A,0))&amp;"","")&lt;&gt;""),"SIM",""))</f>
        <v/>
      </c>
      <c r="N290" s="5"/>
      <c r="O290" s="32" t="str">
        <f aca="false">IF(D290="","",YEAR(D290))</f>
        <v/>
      </c>
      <c r="P290" s="5"/>
    </row>
    <row r="291" customFormat="false" ht="15" hidden="false" customHeight="false" outlineLevel="0" collapsed="false">
      <c r="A291" s="27"/>
      <c r="B291" s="5"/>
      <c r="C291" s="35"/>
      <c r="D291" s="18"/>
      <c r="E291" s="5"/>
      <c r="F291" s="14"/>
      <c r="G291" s="5"/>
      <c r="H291" s="27"/>
      <c r="I291" s="5"/>
      <c r="J291" s="19" t="str">
        <f aca="false">IF(A291="","",IFERROR(INDEX(Empresas!$D:$D,MATCH(A291,Empresas!$A:$A,0))&amp;"","não consta"))</f>
        <v/>
      </c>
      <c r="K291" s="19" t="str">
        <f aca="false">IF(A291="","",IFERROR(INDEX(Sancoes!$B:$B,MATCH(A291,Sancoes!$A:$A,0))&amp;"","não consta"))</f>
        <v/>
      </c>
      <c r="L291" s="19" t="str">
        <f aca="false">IF(A291="","",IFERROR(INDEX(Eleitoral!$B:$B,MATCH(A291,Eleitoral!$A:$A,0))&amp;"","não consta"))</f>
        <v/>
      </c>
      <c r="M291" s="28" t="str">
        <f aca="false">IF(A291="","",IF(OR(AND(K291&lt;&gt;"",LOWER(K291)&lt;&gt;"não consta"),AND(L291&lt;&gt;"",LOWER(L291)&lt;&gt;"não consta"),IFERROR(INDEX(Empresas!$G:$G,MATCH(A291,Empresas!$A:$A,0))&amp;"","")&lt;&gt;""),"SIM",""))</f>
        <v/>
      </c>
      <c r="N291" s="5"/>
      <c r="O291" s="32" t="str">
        <f aca="false">IF(D291="","",YEAR(D291))</f>
        <v/>
      </c>
      <c r="P291" s="5"/>
    </row>
    <row r="292" customFormat="false" ht="15" hidden="false" customHeight="false" outlineLevel="0" collapsed="false">
      <c r="A292" s="27"/>
      <c r="B292" s="5"/>
      <c r="C292" s="35"/>
      <c r="D292" s="18"/>
      <c r="E292" s="5"/>
      <c r="F292" s="14"/>
      <c r="G292" s="5"/>
      <c r="H292" s="27"/>
      <c r="I292" s="5"/>
      <c r="J292" s="19" t="str">
        <f aca="false">IF(A292="","",IFERROR(INDEX(Empresas!$D:$D,MATCH(A292,Empresas!$A:$A,0))&amp;"","não consta"))</f>
        <v/>
      </c>
      <c r="K292" s="19" t="str">
        <f aca="false">IF(A292="","",IFERROR(INDEX(Sancoes!$B:$B,MATCH(A292,Sancoes!$A:$A,0))&amp;"","não consta"))</f>
        <v/>
      </c>
      <c r="L292" s="19" t="str">
        <f aca="false">IF(A292="","",IFERROR(INDEX(Eleitoral!$B:$B,MATCH(A292,Eleitoral!$A:$A,0))&amp;"","não consta"))</f>
        <v/>
      </c>
      <c r="M292" s="28" t="str">
        <f aca="false">IF(A292="","",IF(OR(AND(K292&lt;&gt;"",LOWER(K292)&lt;&gt;"não consta"),AND(L292&lt;&gt;"",LOWER(L292)&lt;&gt;"não consta"),IFERROR(INDEX(Empresas!$G:$G,MATCH(A292,Empresas!$A:$A,0))&amp;"","")&lt;&gt;""),"SIM",""))</f>
        <v/>
      </c>
      <c r="N292" s="5"/>
      <c r="O292" s="32" t="str">
        <f aca="false">IF(D292="","",YEAR(D292))</f>
        <v/>
      </c>
      <c r="P292" s="5"/>
    </row>
    <row r="293" customFormat="false" ht="15" hidden="false" customHeight="false" outlineLevel="0" collapsed="false">
      <c r="A293" s="27"/>
      <c r="B293" s="5"/>
      <c r="C293" s="35"/>
      <c r="D293" s="18"/>
      <c r="E293" s="5"/>
      <c r="F293" s="14"/>
      <c r="G293" s="5"/>
      <c r="H293" s="27"/>
      <c r="I293" s="5"/>
      <c r="J293" s="19" t="str">
        <f aca="false">IF(A293="","",IFERROR(INDEX(Empresas!$D:$D,MATCH(A293,Empresas!$A:$A,0))&amp;"","não consta"))</f>
        <v/>
      </c>
      <c r="K293" s="19" t="str">
        <f aca="false">IF(A293="","",IFERROR(INDEX(Sancoes!$B:$B,MATCH(A293,Sancoes!$A:$A,0))&amp;"","não consta"))</f>
        <v/>
      </c>
      <c r="L293" s="19" t="str">
        <f aca="false">IF(A293="","",IFERROR(INDEX(Eleitoral!$B:$B,MATCH(A293,Eleitoral!$A:$A,0))&amp;"","não consta"))</f>
        <v/>
      </c>
      <c r="M293" s="28" t="str">
        <f aca="false">IF(A293="","",IF(OR(AND(K293&lt;&gt;"",LOWER(K293)&lt;&gt;"não consta"),AND(L293&lt;&gt;"",LOWER(L293)&lt;&gt;"não consta"),IFERROR(INDEX(Empresas!$G:$G,MATCH(A293,Empresas!$A:$A,0))&amp;"","")&lt;&gt;""),"SIM",""))</f>
        <v/>
      </c>
      <c r="N293" s="5"/>
      <c r="O293" s="32" t="str">
        <f aca="false">IF(D293="","",YEAR(D293))</f>
        <v/>
      </c>
      <c r="P293" s="5"/>
    </row>
    <row r="294" customFormat="false" ht="15" hidden="false" customHeight="false" outlineLevel="0" collapsed="false">
      <c r="A294" s="27"/>
      <c r="B294" s="5"/>
      <c r="C294" s="35"/>
      <c r="D294" s="18"/>
      <c r="E294" s="5"/>
      <c r="F294" s="14"/>
      <c r="G294" s="5"/>
      <c r="H294" s="27"/>
      <c r="I294" s="5"/>
      <c r="J294" s="19" t="str">
        <f aca="false">IF(A294="","",IFERROR(INDEX(Empresas!$D:$D,MATCH(A294,Empresas!$A:$A,0))&amp;"","não consta"))</f>
        <v/>
      </c>
      <c r="K294" s="19" t="str">
        <f aca="false">IF(A294="","",IFERROR(INDEX(Sancoes!$B:$B,MATCH(A294,Sancoes!$A:$A,0))&amp;"","não consta"))</f>
        <v/>
      </c>
      <c r="L294" s="19" t="str">
        <f aca="false">IF(A294="","",IFERROR(INDEX(Eleitoral!$B:$B,MATCH(A294,Eleitoral!$A:$A,0))&amp;"","não consta"))</f>
        <v/>
      </c>
      <c r="M294" s="28" t="str">
        <f aca="false">IF(A294="","",IF(OR(AND(K294&lt;&gt;"",LOWER(K294)&lt;&gt;"não consta"),AND(L294&lt;&gt;"",LOWER(L294)&lt;&gt;"não consta"),IFERROR(INDEX(Empresas!$G:$G,MATCH(A294,Empresas!$A:$A,0))&amp;"","")&lt;&gt;""),"SIM",""))</f>
        <v/>
      </c>
      <c r="N294" s="5"/>
      <c r="O294" s="32" t="str">
        <f aca="false">IF(D294="","",YEAR(D294))</f>
        <v/>
      </c>
      <c r="P294" s="5"/>
    </row>
    <row r="295" customFormat="false" ht="15" hidden="false" customHeight="false" outlineLevel="0" collapsed="false">
      <c r="A295" s="27"/>
      <c r="B295" s="5"/>
      <c r="C295" s="35"/>
      <c r="D295" s="18"/>
      <c r="E295" s="5"/>
      <c r="F295" s="14"/>
      <c r="G295" s="5"/>
      <c r="H295" s="27"/>
      <c r="I295" s="5"/>
      <c r="J295" s="19" t="str">
        <f aca="false">IF(A295="","",IFERROR(INDEX(Empresas!$D:$D,MATCH(A295,Empresas!$A:$A,0))&amp;"","não consta"))</f>
        <v/>
      </c>
      <c r="K295" s="19" t="str">
        <f aca="false">IF(A295="","",IFERROR(INDEX(Sancoes!$B:$B,MATCH(A295,Sancoes!$A:$A,0))&amp;"","não consta"))</f>
        <v/>
      </c>
      <c r="L295" s="19" t="str">
        <f aca="false">IF(A295="","",IFERROR(INDEX(Eleitoral!$B:$B,MATCH(A295,Eleitoral!$A:$A,0))&amp;"","não consta"))</f>
        <v/>
      </c>
      <c r="M295" s="28" t="str">
        <f aca="false">IF(A295="","",IF(OR(AND(K295&lt;&gt;"",LOWER(K295)&lt;&gt;"não consta"),AND(L295&lt;&gt;"",LOWER(L295)&lt;&gt;"não consta"),IFERROR(INDEX(Empresas!$G:$G,MATCH(A295,Empresas!$A:$A,0))&amp;"","")&lt;&gt;""),"SIM",""))</f>
        <v/>
      </c>
      <c r="N295" s="5"/>
      <c r="O295" s="32" t="str">
        <f aca="false">IF(D295="","",YEAR(D295))</f>
        <v/>
      </c>
      <c r="P295" s="5"/>
    </row>
    <row r="296" customFormat="false" ht="15" hidden="false" customHeight="false" outlineLevel="0" collapsed="false">
      <c r="A296" s="27"/>
      <c r="B296" s="5"/>
      <c r="C296" s="35"/>
      <c r="D296" s="18"/>
      <c r="E296" s="5"/>
      <c r="F296" s="14"/>
      <c r="G296" s="5"/>
      <c r="H296" s="27"/>
      <c r="I296" s="5"/>
      <c r="J296" s="19" t="str">
        <f aca="false">IF(A296="","",IFERROR(INDEX(Empresas!$D:$D,MATCH(A296,Empresas!$A:$A,0))&amp;"","não consta"))</f>
        <v/>
      </c>
      <c r="K296" s="19" t="str">
        <f aca="false">IF(A296="","",IFERROR(INDEX(Sancoes!$B:$B,MATCH(A296,Sancoes!$A:$A,0))&amp;"","não consta"))</f>
        <v/>
      </c>
      <c r="L296" s="19" t="str">
        <f aca="false">IF(A296="","",IFERROR(INDEX(Eleitoral!$B:$B,MATCH(A296,Eleitoral!$A:$A,0))&amp;"","não consta"))</f>
        <v/>
      </c>
      <c r="M296" s="28" t="str">
        <f aca="false">IF(A296="","",IF(OR(AND(K296&lt;&gt;"",LOWER(K296)&lt;&gt;"não consta"),AND(L296&lt;&gt;"",LOWER(L296)&lt;&gt;"não consta"),IFERROR(INDEX(Empresas!$G:$G,MATCH(A296,Empresas!$A:$A,0))&amp;"","")&lt;&gt;""),"SIM",""))</f>
        <v/>
      </c>
      <c r="N296" s="5"/>
      <c r="O296" s="32" t="str">
        <f aca="false">IF(D296="","",YEAR(D296))</f>
        <v/>
      </c>
      <c r="P296" s="5"/>
    </row>
    <row r="297" customFormat="false" ht="15" hidden="false" customHeight="false" outlineLevel="0" collapsed="false">
      <c r="A297" s="27"/>
      <c r="B297" s="5"/>
      <c r="C297" s="35"/>
      <c r="D297" s="18"/>
      <c r="E297" s="5"/>
      <c r="F297" s="14"/>
      <c r="G297" s="5"/>
      <c r="H297" s="27"/>
      <c r="I297" s="5"/>
      <c r="J297" s="19" t="str">
        <f aca="false">IF(A297="","",IFERROR(INDEX(Empresas!$D:$D,MATCH(A297,Empresas!$A:$A,0))&amp;"","não consta"))</f>
        <v/>
      </c>
      <c r="K297" s="19" t="str">
        <f aca="false">IF(A297="","",IFERROR(INDEX(Sancoes!$B:$B,MATCH(A297,Sancoes!$A:$A,0))&amp;"","não consta"))</f>
        <v/>
      </c>
      <c r="L297" s="19" t="str">
        <f aca="false">IF(A297="","",IFERROR(INDEX(Eleitoral!$B:$B,MATCH(A297,Eleitoral!$A:$A,0))&amp;"","não consta"))</f>
        <v/>
      </c>
      <c r="M297" s="28" t="str">
        <f aca="false">IF(A297="","",IF(OR(AND(K297&lt;&gt;"",LOWER(K297)&lt;&gt;"não consta"),AND(L297&lt;&gt;"",LOWER(L297)&lt;&gt;"não consta"),IFERROR(INDEX(Empresas!$G:$G,MATCH(A297,Empresas!$A:$A,0))&amp;"","")&lt;&gt;""),"SIM",""))</f>
        <v/>
      </c>
      <c r="N297" s="5"/>
      <c r="O297" s="32" t="str">
        <f aca="false">IF(D297="","",YEAR(D297))</f>
        <v/>
      </c>
      <c r="P297" s="5"/>
    </row>
    <row r="298" customFormat="false" ht="15" hidden="false" customHeight="false" outlineLevel="0" collapsed="false">
      <c r="A298" s="27"/>
      <c r="B298" s="5"/>
      <c r="C298" s="35"/>
      <c r="D298" s="18"/>
      <c r="E298" s="5"/>
      <c r="F298" s="14"/>
      <c r="G298" s="5"/>
      <c r="H298" s="27"/>
      <c r="I298" s="5"/>
      <c r="J298" s="19" t="str">
        <f aca="false">IF(A298="","",IFERROR(INDEX(Empresas!$D:$D,MATCH(A298,Empresas!$A:$A,0))&amp;"","não consta"))</f>
        <v/>
      </c>
      <c r="K298" s="19" t="str">
        <f aca="false">IF(A298="","",IFERROR(INDEX(Sancoes!$B:$B,MATCH(A298,Sancoes!$A:$A,0))&amp;"","não consta"))</f>
        <v/>
      </c>
      <c r="L298" s="19" t="str">
        <f aca="false">IF(A298="","",IFERROR(INDEX(Eleitoral!$B:$B,MATCH(A298,Eleitoral!$A:$A,0))&amp;"","não consta"))</f>
        <v/>
      </c>
      <c r="M298" s="28" t="str">
        <f aca="false">IF(A298="","",IF(OR(AND(K298&lt;&gt;"",LOWER(K298)&lt;&gt;"não consta"),AND(L298&lt;&gt;"",LOWER(L298)&lt;&gt;"não consta"),IFERROR(INDEX(Empresas!$G:$G,MATCH(A298,Empresas!$A:$A,0))&amp;"","")&lt;&gt;""),"SIM",""))</f>
        <v/>
      </c>
      <c r="N298" s="5"/>
      <c r="O298" s="32" t="str">
        <f aca="false">IF(D298="","",YEAR(D298))</f>
        <v/>
      </c>
      <c r="P298" s="5"/>
    </row>
    <row r="299" customFormat="false" ht="15" hidden="false" customHeight="false" outlineLevel="0" collapsed="false">
      <c r="A299" s="27"/>
      <c r="B299" s="5"/>
      <c r="C299" s="35"/>
      <c r="D299" s="18"/>
      <c r="E299" s="5"/>
      <c r="F299" s="14"/>
      <c r="G299" s="5"/>
      <c r="H299" s="27"/>
      <c r="I299" s="5"/>
      <c r="J299" s="19" t="str">
        <f aca="false">IF(A299="","",IFERROR(INDEX(Empresas!$D:$D,MATCH(A299,Empresas!$A:$A,0))&amp;"","não consta"))</f>
        <v/>
      </c>
      <c r="K299" s="19" t="str">
        <f aca="false">IF(A299="","",IFERROR(INDEX(Sancoes!$B:$B,MATCH(A299,Sancoes!$A:$A,0))&amp;"","não consta"))</f>
        <v/>
      </c>
      <c r="L299" s="19" t="str">
        <f aca="false">IF(A299="","",IFERROR(INDEX(Eleitoral!$B:$B,MATCH(A299,Eleitoral!$A:$A,0))&amp;"","não consta"))</f>
        <v/>
      </c>
      <c r="M299" s="28" t="str">
        <f aca="false">IF(A299="","",IF(OR(AND(K299&lt;&gt;"",LOWER(K299)&lt;&gt;"não consta"),AND(L299&lt;&gt;"",LOWER(L299)&lt;&gt;"não consta"),IFERROR(INDEX(Empresas!$G:$G,MATCH(A299,Empresas!$A:$A,0))&amp;"","")&lt;&gt;""),"SIM",""))</f>
        <v/>
      </c>
      <c r="N299" s="5"/>
      <c r="O299" s="32" t="str">
        <f aca="false">IF(D299="","",YEAR(D299))</f>
        <v/>
      </c>
      <c r="P299" s="5"/>
    </row>
    <row r="300" customFormat="false" ht="15" hidden="false" customHeight="false" outlineLevel="0" collapsed="false">
      <c r="A300" s="27"/>
      <c r="B300" s="5"/>
      <c r="C300" s="35"/>
      <c r="D300" s="18"/>
      <c r="E300" s="5"/>
      <c r="F300" s="14"/>
      <c r="G300" s="5"/>
      <c r="H300" s="27"/>
      <c r="I300" s="5"/>
      <c r="J300" s="19" t="str">
        <f aca="false">IF(A300="","",IFERROR(INDEX(Empresas!$D:$D,MATCH(A300,Empresas!$A:$A,0))&amp;"","não consta"))</f>
        <v/>
      </c>
      <c r="K300" s="19" t="str">
        <f aca="false">IF(A300="","",IFERROR(INDEX(Sancoes!$B:$B,MATCH(A300,Sancoes!$A:$A,0))&amp;"","não consta"))</f>
        <v/>
      </c>
      <c r="L300" s="19" t="str">
        <f aca="false">IF(A300="","",IFERROR(INDEX(Eleitoral!$B:$B,MATCH(A300,Eleitoral!$A:$A,0))&amp;"","não consta"))</f>
        <v/>
      </c>
      <c r="M300" s="28" t="str">
        <f aca="false">IF(A300="","",IF(OR(AND(K300&lt;&gt;"",LOWER(K300)&lt;&gt;"não consta"),AND(L300&lt;&gt;"",LOWER(L300)&lt;&gt;"não consta"),IFERROR(INDEX(Empresas!$G:$G,MATCH(A300,Empresas!$A:$A,0))&amp;"","")&lt;&gt;""),"SIM",""))</f>
        <v/>
      </c>
      <c r="N300" s="5"/>
      <c r="O300" s="32" t="str">
        <f aca="false">IF(D300="","",YEAR(D300))</f>
        <v/>
      </c>
      <c r="P300" s="5"/>
    </row>
    <row r="301" customFormat="false" ht="15" hidden="false" customHeight="false" outlineLevel="0" collapsed="false">
      <c r="A301" s="27"/>
      <c r="B301" s="5"/>
      <c r="C301" s="35"/>
      <c r="D301" s="18"/>
      <c r="E301" s="5"/>
      <c r="F301" s="14"/>
      <c r="G301" s="5"/>
      <c r="H301" s="27"/>
      <c r="I301" s="5"/>
      <c r="J301" s="19" t="str">
        <f aca="false">IF(A301="","",IFERROR(INDEX(Empresas!$D:$D,MATCH(A301,Empresas!$A:$A,0))&amp;"","não consta"))</f>
        <v/>
      </c>
      <c r="K301" s="19" t="str">
        <f aca="false">IF(A301="","",IFERROR(INDEX(Sancoes!$B:$B,MATCH(A301,Sancoes!$A:$A,0))&amp;"","não consta"))</f>
        <v/>
      </c>
      <c r="L301" s="19" t="str">
        <f aca="false">IF(A301="","",IFERROR(INDEX(Eleitoral!$B:$B,MATCH(A301,Eleitoral!$A:$A,0))&amp;"","não consta"))</f>
        <v/>
      </c>
      <c r="M301" s="28" t="str">
        <f aca="false">IF(A301="","",IF(OR(AND(K301&lt;&gt;"",LOWER(K301)&lt;&gt;"não consta"),AND(L301&lt;&gt;"",LOWER(L301)&lt;&gt;"não consta"),IFERROR(INDEX(Empresas!$G:$G,MATCH(A301,Empresas!$A:$A,0))&amp;"","")&lt;&gt;""),"SIM",""))</f>
        <v/>
      </c>
      <c r="N301" s="5"/>
      <c r="O301" s="32" t="str">
        <f aca="false">IF(D301="","",YEAR(D301))</f>
        <v/>
      </c>
      <c r="P301" s="5"/>
    </row>
    <row r="302" customFormat="false" ht="15" hidden="false" customHeight="false" outlineLevel="0" collapsed="false">
      <c r="A302" s="27"/>
      <c r="B302" s="5"/>
      <c r="C302" s="35"/>
      <c r="D302" s="18"/>
      <c r="E302" s="5"/>
      <c r="F302" s="14"/>
      <c r="G302" s="5"/>
      <c r="H302" s="27"/>
      <c r="I302" s="5"/>
      <c r="J302" s="19" t="str">
        <f aca="false">IF(A302="","",IFERROR(INDEX(Empresas!$D:$D,MATCH(A302,Empresas!$A:$A,0))&amp;"","não consta"))</f>
        <v/>
      </c>
      <c r="K302" s="19" t="str">
        <f aca="false">IF(A302="","",IFERROR(INDEX(Sancoes!$B:$B,MATCH(A302,Sancoes!$A:$A,0))&amp;"","não consta"))</f>
        <v/>
      </c>
      <c r="L302" s="19" t="str">
        <f aca="false">IF(A302="","",IFERROR(INDEX(Eleitoral!$B:$B,MATCH(A302,Eleitoral!$A:$A,0))&amp;"","não consta"))</f>
        <v/>
      </c>
      <c r="M302" s="28" t="str">
        <f aca="false">IF(A302="","",IF(OR(AND(K302&lt;&gt;"",LOWER(K302)&lt;&gt;"não consta"),AND(L302&lt;&gt;"",LOWER(L302)&lt;&gt;"não consta"),IFERROR(INDEX(Empresas!$G:$G,MATCH(A302,Empresas!$A:$A,0))&amp;"","")&lt;&gt;""),"SIM",""))</f>
        <v/>
      </c>
      <c r="N302" s="5"/>
      <c r="O302" s="32" t="str">
        <f aca="false">IF(D302="","",YEAR(D302))</f>
        <v/>
      </c>
      <c r="P302" s="5"/>
    </row>
    <row r="303" customFormat="false" ht="15" hidden="false" customHeight="false" outlineLevel="0" collapsed="false">
      <c r="A303" s="27"/>
      <c r="B303" s="5"/>
      <c r="C303" s="35"/>
      <c r="D303" s="18"/>
      <c r="E303" s="5"/>
      <c r="F303" s="14"/>
      <c r="G303" s="5"/>
      <c r="H303" s="27"/>
      <c r="I303" s="5"/>
      <c r="J303" s="19" t="str">
        <f aca="false">IF(A303="","",IFERROR(INDEX(Empresas!$D:$D,MATCH(A303,Empresas!$A:$A,0))&amp;"","não consta"))</f>
        <v/>
      </c>
      <c r="K303" s="19" t="str">
        <f aca="false">IF(A303="","",IFERROR(INDEX(Sancoes!$B:$B,MATCH(A303,Sancoes!$A:$A,0))&amp;"","não consta"))</f>
        <v/>
      </c>
      <c r="L303" s="19" t="str">
        <f aca="false">IF(A303="","",IFERROR(INDEX(Eleitoral!$B:$B,MATCH(A303,Eleitoral!$A:$A,0))&amp;"","não consta"))</f>
        <v/>
      </c>
      <c r="M303" s="28" t="str">
        <f aca="false">IF(A303="","",IF(OR(AND(K303&lt;&gt;"",LOWER(K303)&lt;&gt;"não consta"),AND(L303&lt;&gt;"",LOWER(L303)&lt;&gt;"não consta"),IFERROR(INDEX(Empresas!$G:$G,MATCH(A303,Empresas!$A:$A,0))&amp;"","")&lt;&gt;""),"SIM",""))</f>
        <v/>
      </c>
      <c r="N303" s="5"/>
      <c r="O303" s="32" t="str">
        <f aca="false">IF(D303="","",YEAR(D303))</f>
        <v/>
      </c>
      <c r="P303" s="5"/>
    </row>
    <row r="304" customFormat="false" ht="15" hidden="false" customHeight="false" outlineLevel="0" collapsed="false">
      <c r="A304" s="27"/>
      <c r="B304" s="5"/>
      <c r="C304" s="35"/>
      <c r="D304" s="18"/>
      <c r="E304" s="5"/>
      <c r="F304" s="14"/>
      <c r="G304" s="5"/>
      <c r="H304" s="27"/>
      <c r="I304" s="5"/>
      <c r="J304" s="19" t="str">
        <f aca="false">IF(A304="","",IFERROR(INDEX(Empresas!$D:$D,MATCH(A304,Empresas!$A:$A,0))&amp;"","não consta"))</f>
        <v/>
      </c>
      <c r="K304" s="19" t="str">
        <f aca="false">IF(A304="","",IFERROR(INDEX(Sancoes!$B:$B,MATCH(A304,Sancoes!$A:$A,0))&amp;"","não consta"))</f>
        <v/>
      </c>
      <c r="L304" s="19" t="str">
        <f aca="false">IF(A304="","",IFERROR(INDEX(Eleitoral!$B:$B,MATCH(A304,Eleitoral!$A:$A,0))&amp;"","não consta"))</f>
        <v/>
      </c>
      <c r="M304" s="28" t="str">
        <f aca="false">IF(A304="","",IF(OR(AND(K304&lt;&gt;"",LOWER(K304)&lt;&gt;"não consta"),AND(L304&lt;&gt;"",LOWER(L304)&lt;&gt;"não consta"),IFERROR(INDEX(Empresas!$G:$G,MATCH(A304,Empresas!$A:$A,0))&amp;"","")&lt;&gt;""),"SIM",""))</f>
        <v/>
      </c>
      <c r="N304" s="5"/>
      <c r="O304" s="32" t="str">
        <f aca="false">IF(D304="","",YEAR(D304))</f>
        <v/>
      </c>
      <c r="P304" s="5"/>
    </row>
    <row r="305" customFormat="false" ht="15" hidden="false" customHeight="false" outlineLevel="0" collapsed="false">
      <c r="A305" s="27"/>
      <c r="B305" s="5"/>
      <c r="C305" s="35"/>
      <c r="D305" s="18"/>
      <c r="E305" s="5"/>
      <c r="F305" s="14"/>
      <c r="G305" s="5"/>
      <c r="H305" s="27"/>
      <c r="I305" s="5"/>
      <c r="J305" s="19" t="str">
        <f aca="false">IF(A305="","",IFERROR(INDEX(Empresas!$D:$D,MATCH(A305,Empresas!$A:$A,0))&amp;"","não consta"))</f>
        <v/>
      </c>
      <c r="K305" s="19" t="str">
        <f aca="false">IF(A305="","",IFERROR(INDEX(Sancoes!$B:$B,MATCH(A305,Sancoes!$A:$A,0))&amp;"","não consta"))</f>
        <v/>
      </c>
      <c r="L305" s="19" t="str">
        <f aca="false">IF(A305="","",IFERROR(INDEX(Eleitoral!$B:$B,MATCH(A305,Eleitoral!$A:$A,0))&amp;"","não consta"))</f>
        <v/>
      </c>
      <c r="M305" s="28" t="str">
        <f aca="false">IF(A305="","",IF(OR(AND(K305&lt;&gt;"",LOWER(K305)&lt;&gt;"não consta"),AND(L305&lt;&gt;"",LOWER(L305)&lt;&gt;"não consta"),IFERROR(INDEX(Empresas!$G:$G,MATCH(A305,Empresas!$A:$A,0))&amp;"","")&lt;&gt;""),"SIM",""))</f>
        <v/>
      </c>
      <c r="N305" s="5"/>
      <c r="O305" s="32" t="str">
        <f aca="false">IF(D305="","",YEAR(D305))</f>
        <v/>
      </c>
      <c r="P305" s="5"/>
    </row>
    <row r="306" customFormat="false" ht="15" hidden="false" customHeight="false" outlineLevel="0" collapsed="false">
      <c r="A306" s="27"/>
      <c r="B306" s="5"/>
      <c r="C306" s="35"/>
      <c r="D306" s="18"/>
      <c r="E306" s="5"/>
      <c r="F306" s="14"/>
      <c r="G306" s="5"/>
      <c r="H306" s="27"/>
      <c r="I306" s="5"/>
      <c r="J306" s="19" t="str">
        <f aca="false">IF(A306="","",IFERROR(INDEX(Empresas!$D:$D,MATCH(A306,Empresas!$A:$A,0))&amp;"","não consta"))</f>
        <v/>
      </c>
      <c r="K306" s="19" t="str">
        <f aca="false">IF(A306="","",IFERROR(INDEX(Sancoes!$B:$B,MATCH(A306,Sancoes!$A:$A,0))&amp;"","não consta"))</f>
        <v/>
      </c>
      <c r="L306" s="19" t="str">
        <f aca="false">IF(A306="","",IFERROR(INDEX(Eleitoral!$B:$B,MATCH(A306,Eleitoral!$A:$A,0))&amp;"","não consta"))</f>
        <v/>
      </c>
      <c r="M306" s="28" t="str">
        <f aca="false">IF(A306="","",IF(OR(AND(K306&lt;&gt;"",LOWER(K306)&lt;&gt;"não consta"),AND(L306&lt;&gt;"",LOWER(L306)&lt;&gt;"não consta"),IFERROR(INDEX(Empresas!$G:$G,MATCH(A306,Empresas!$A:$A,0))&amp;"","")&lt;&gt;""),"SIM",""))</f>
        <v/>
      </c>
      <c r="N306" s="5"/>
      <c r="O306" s="32" t="str">
        <f aca="false">IF(D306="","",YEAR(D306))</f>
        <v/>
      </c>
      <c r="P306" s="5"/>
    </row>
    <row r="307" customFormat="false" ht="15" hidden="false" customHeight="false" outlineLevel="0" collapsed="false">
      <c r="A307" s="27"/>
      <c r="B307" s="5"/>
      <c r="C307" s="35"/>
      <c r="D307" s="18"/>
      <c r="E307" s="5"/>
      <c r="F307" s="14"/>
      <c r="G307" s="5"/>
      <c r="H307" s="27"/>
      <c r="I307" s="5"/>
      <c r="J307" s="19" t="str">
        <f aca="false">IF(A307="","",IFERROR(INDEX(Empresas!$D:$D,MATCH(A307,Empresas!$A:$A,0))&amp;"","não consta"))</f>
        <v/>
      </c>
      <c r="K307" s="19" t="str">
        <f aca="false">IF(A307="","",IFERROR(INDEX(Sancoes!$B:$B,MATCH(A307,Sancoes!$A:$A,0))&amp;"","não consta"))</f>
        <v/>
      </c>
      <c r="L307" s="19" t="str">
        <f aca="false">IF(A307="","",IFERROR(INDEX(Eleitoral!$B:$B,MATCH(A307,Eleitoral!$A:$A,0))&amp;"","não consta"))</f>
        <v/>
      </c>
      <c r="M307" s="28" t="str">
        <f aca="false">IF(A307="","",IF(OR(AND(K307&lt;&gt;"",LOWER(K307)&lt;&gt;"não consta"),AND(L307&lt;&gt;"",LOWER(L307)&lt;&gt;"não consta"),IFERROR(INDEX(Empresas!$G:$G,MATCH(A307,Empresas!$A:$A,0))&amp;"","")&lt;&gt;""),"SIM",""))</f>
        <v/>
      </c>
      <c r="N307" s="5"/>
      <c r="O307" s="32" t="str">
        <f aca="false">IF(D307="","",YEAR(D307))</f>
        <v/>
      </c>
      <c r="P307" s="5"/>
    </row>
    <row r="308" customFormat="false" ht="15" hidden="false" customHeight="false" outlineLevel="0" collapsed="false">
      <c r="A308" s="27"/>
      <c r="B308" s="5"/>
      <c r="C308" s="35"/>
      <c r="D308" s="18"/>
      <c r="E308" s="5"/>
      <c r="F308" s="14"/>
      <c r="G308" s="5"/>
      <c r="H308" s="27"/>
      <c r="I308" s="5"/>
      <c r="J308" s="19" t="str">
        <f aca="false">IF(A308="","",IFERROR(INDEX(Empresas!$D:$D,MATCH(A308,Empresas!$A:$A,0))&amp;"","não consta"))</f>
        <v/>
      </c>
      <c r="K308" s="19" t="str">
        <f aca="false">IF(A308="","",IFERROR(INDEX(Sancoes!$B:$B,MATCH(A308,Sancoes!$A:$A,0))&amp;"","não consta"))</f>
        <v/>
      </c>
      <c r="L308" s="19" t="str">
        <f aca="false">IF(A308="","",IFERROR(INDEX(Eleitoral!$B:$B,MATCH(A308,Eleitoral!$A:$A,0))&amp;"","não consta"))</f>
        <v/>
      </c>
      <c r="M308" s="28" t="str">
        <f aca="false">IF(A308="","",IF(OR(AND(K308&lt;&gt;"",LOWER(K308)&lt;&gt;"não consta"),AND(L308&lt;&gt;"",LOWER(L308)&lt;&gt;"não consta"),IFERROR(INDEX(Empresas!$G:$G,MATCH(A308,Empresas!$A:$A,0))&amp;"","")&lt;&gt;""),"SIM",""))</f>
        <v/>
      </c>
      <c r="N308" s="5"/>
      <c r="O308" s="32" t="str">
        <f aca="false">IF(D308="","",YEAR(D308))</f>
        <v/>
      </c>
      <c r="P308" s="5"/>
    </row>
    <row r="309" customFormat="false" ht="15" hidden="false" customHeight="false" outlineLevel="0" collapsed="false">
      <c r="A309" s="27"/>
      <c r="B309" s="5"/>
      <c r="C309" s="35"/>
      <c r="D309" s="18"/>
      <c r="E309" s="5"/>
      <c r="F309" s="14"/>
      <c r="G309" s="5"/>
      <c r="H309" s="27"/>
      <c r="I309" s="5"/>
      <c r="J309" s="19" t="str">
        <f aca="false">IF(A309="","",IFERROR(INDEX(Empresas!$D:$D,MATCH(A309,Empresas!$A:$A,0))&amp;"","não consta"))</f>
        <v/>
      </c>
      <c r="K309" s="19" t="str">
        <f aca="false">IF(A309="","",IFERROR(INDEX(Sancoes!$B:$B,MATCH(A309,Sancoes!$A:$A,0))&amp;"","não consta"))</f>
        <v/>
      </c>
      <c r="L309" s="19" t="str">
        <f aca="false">IF(A309="","",IFERROR(INDEX(Eleitoral!$B:$B,MATCH(A309,Eleitoral!$A:$A,0))&amp;"","não consta"))</f>
        <v/>
      </c>
      <c r="M309" s="28" t="str">
        <f aca="false">IF(A309="","",IF(OR(AND(K309&lt;&gt;"",LOWER(K309)&lt;&gt;"não consta"),AND(L309&lt;&gt;"",LOWER(L309)&lt;&gt;"não consta"),IFERROR(INDEX(Empresas!$G:$G,MATCH(A309,Empresas!$A:$A,0))&amp;"","")&lt;&gt;""),"SIM",""))</f>
        <v/>
      </c>
      <c r="N309" s="5"/>
      <c r="O309" s="32" t="str">
        <f aca="false">IF(D309="","",YEAR(D309))</f>
        <v/>
      </c>
      <c r="P309" s="5"/>
    </row>
    <row r="310" customFormat="false" ht="15" hidden="false" customHeight="false" outlineLevel="0" collapsed="false">
      <c r="A310" s="27"/>
      <c r="B310" s="5"/>
      <c r="C310" s="35"/>
      <c r="D310" s="18"/>
      <c r="E310" s="5"/>
      <c r="F310" s="14"/>
      <c r="G310" s="5"/>
      <c r="H310" s="27"/>
      <c r="I310" s="5"/>
      <c r="J310" s="19" t="str">
        <f aca="false">IF(A310="","",IFERROR(INDEX(Empresas!$D:$D,MATCH(A310,Empresas!$A:$A,0))&amp;"","não consta"))</f>
        <v/>
      </c>
      <c r="K310" s="19" t="str">
        <f aca="false">IF(A310="","",IFERROR(INDEX(Sancoes!$B:$B,MATCH(A310,Sancoes!$A:$A,0))&amp;"","não consta"))</f>
        <v/>
      </c>
      <c r="L310" s="19" t="str">
        <f aca="false">IF(A310="","",IFERROR(INDEX(Eleitoral!$B:$B,MATCH(A310,Eleitoral!$A:$A,0))&amp;"","não consta"))</f>
        <v/>
      </c>
      <c r="M310" s="28" t="str">
        <f aca="false">IF(A310="","",IF(OR(AND(K310&lt;&gt;"",LOWER(K310)&lt;&gt;"não consta"),AND(L310&lt;&gt;"",LOWER(L310)&lt;&gt;"não consta"),IFERROR(INDEX(Empresas!$G:$G,MATCH(A310,Empresas!$A:$A,0))&amp;"","")&lt;&gt;""),"SIM",""))</f>
        <v/>
      </c>
      <c r="N310" s="5"/>
      <c r="O310" s="32" t="str">
        <f aca="false">IF(D310="","",YEAR(D310))</f>
        <v/>
      </c>
      <c r="P310" s="5"/>
    </row>
    <row r="311" customFormat="false" ht="15" hidden="false" customHeight="false" outlineLevel="0" collapsed="false">
      <c r="A311" s="27"/>
      <c r="B311" s="5"/>
      <c r="C311" s="35"/>
      <c r="D311" s="18"/>
      <c r="E311" s="5"/>
      <c r="F311" s="14"/>
      <c r="G311" s="5"/>
      <c r="H311" s="27"/>
      <c r="I311" s="5"/>
      <c r="J311" s="19" t="str">
        <f aca="false">IF(A311="","",IFERROR(INDEX(Empresas!$D:$D,MATCH(A311,Empresas!$A:$A,0))&amp;"","não consta"))</f>
        <v/>
      </c>
      <c r="K311" s="19" t="str">
        <f aca="false">IF(A311="","",IFERROR(INDEX(Sancoes!$B:$B,MATCH(A311,Sancoes!$A:$A,0))&amp;"","não consta"))</f>
        <v/>
      </c>
      <c r="L311" s="19" t="str">
        <f aca="false">IF(A311="","",IFERROR(INDEX(Eleitoral!$B:$B,MATCH(A311,Eleitoral!$A:$A,0))&amp;"","não consta"))</f>
        <v/>
      </c>
      <c r="M311" s="28" t="str">
        <f aca="false">IF(A311="","",IF(OR(AND(K311&lt;&gt;"",LOWER(K311)&lt;&gt;"não consta"),AND(L311&lt;&gt;"",LOWER(L311)&lt;&gt;"não consta"),IFERROR(INDEX(Empresas!$G:$G,MATCH(A311,Empresas!$A:$A,0))&amp;"","")&lt;&gt;""),"SIM",""))</f>
        <v/>
      </c>
      <c r="N311" s="5"/>
      <c r="O311" s="32" t="str">
        <f aca="false">IF(D311="","",YEAR(D311))</f>
        <v/>
      </c>
      <c r="P311" s="5"/>
    </row>
    <row r="312" customFormat="false" ht="15" hidden="false" customHeight="false" outlineLevel="0" collapsed="false">
      <c r="A312" s="27"/>
      <c r="B312" s="5"/>
      <c r="C312" s="35"/>
      <c r="D312" s="18"/>
      <c r="E312" s="5"/>
      <c r="F312" s="14"/>
      <c r="G312" s="5"/>
      <c r="H312" s="27"/>
      <c r="I312" s="5"/>
      <c r="J312" s="19" t="str">
        <f aca="false">IF(A312="","",IFERROR(INDEX(Empresas!$D:$D,MATCH(A312,Empresas!$A:$A,0))&amp;"","não consta"))</f>
        <v/>
      </c>
      <c r="K312" s="19" t="str">
        <f aca="false">IF(A312="","",IFERROR(INDEX(Sancoes!$B:$B,MATCH(A312,Sancoes!$A:$A,0))&amp;"","não consta"))</f>
        <v/>
      </c>
      <c r="L312" s="19" t="str">
        <f aca="false">IF(A312="","",IFERROR(INDEX(Eleitoral!$B:$B,MATCH(A312,Eleitoral!$A:$A,0))&amp;"","não consta"))</f>
        <v/>
      </c>
      <c r="M312" s="28" t="str">
        <f aca="false">IF(A312="","",IF(OR(AND(K312&lt;&gt;"",LOWER(K312)&lt;&gt;"não consta"),AND(L312&lt;&gt;"",LOWER(L312)&lt;&gt;"não consta"),IFERROR(INDEX(Empresas!$G:$G,MATCH(A312,Empresas!$A:$A,0))&amp;"","")&lt;&gt;""),"SIM",""))</f>
        <v/>
      </c>
      <c r="N312" s="5"/>
      <c r="O312" s="32" t="str">
        <f aca="false">IF(D312="","",YEAR(D312))</f>
        <v/>
      </c>
      <c r="P312" s="5"/>
    </row>
    <row r="313" customFormat="false" ht="15" hidden="false" customHeight="false" outlineLevel="0" collapsed="false">
      <c r="A313" s="27"/>
      <c r="B313" s="5"/>
      <c r="C313" s="35"/>
      <c r="D313" s="18"/>
      <c r="E313" s="5"/>
      <c r="F313" s="14"/>
      <c r="G313" s="5"/>
      <c r="H313" s="27"/>
      <c r="I313" s="5"/>
      <c r="J313" s="19" t="str">
        <f aca="false">IF(A313="","",IFERROR(INDEX(Empresas!$D:$D,MATCH(A313,Empresas!$A:$A,0))&amp;"","não consta"))</f>
        <v/>
      </c>
      <c r="K313" s="19" t="str">
        <f aca="false">IF(A313="","",IFERROR(INDEX(Sancoes!$B:$B,MATCH(A313,Sancoes!$A:$A,0))&amp;"","não consta"))</f>
        <v/>
      </c>
      <c r="L313" s="19" t="str">
        <f aca="false">IF(A313="","",IFERROR(INDEX(Eleitoral!$B:$B,MATCH(A313,Eleitoral!$A:$A,0))&amp;"","não consta"))</f>
        <v/>
      </c>
      <c r="M313" s="28" t="str">
        <f aca="false">IF(A313="","",IF(OR(AND(K313&lt;&gt;"",LOWER(K313)&lt;&gt;"não consta"),AND(L313&lt;&gt;"",LOWER(L313)&lt;&gt;"não consta"),IFERROR(INDEX(Empresas!$G:$G,MATCH(A313,Empresas!$A:$A,0))&amp;"","")&lt;&gt;""),"SIM",""))</f>
        <v/>
      </c>
      <c r="N313" s="5"/>
      <c r="O313" s="32" t="str">
        <f aca="false">IF(D313="","",YEAR(D313))</f>
        <v/>
      </c>
      <c r="P313" s="5"/>
    </row>
    <row r="314" customFormat="false" ht="15" hidden="false" customHeight="false" outlineLevel="0" collapsed="false">
      <c r="A314" s="27"/>
      <c r="B314" s="5"/>
      <c r="C314" s="35"/>
      <c r="D314" s="18"/>
      <c r="E314" s="5"/>
      <c r="F314" s="14"/>
      <c r="G314" s="5"/>
      <c r="H314" s="27"/>
      <c r="I314" s="5"/>
      <c r="J314" s="19" t="str">
        <f aca="false">IF(A314="","",IFERROR(INDEX(Empresas!$D:$D,MATCH(A314,Empresas!$A:$A,0))&amp;"","não consta"))</f>
        <v/>
      </c>
      <c r="K314" s="19" t="str">
        <f aca="false">IF(A314="","",IFERROR(INDEX(Sancoes!$B:$B,MATCH(A314,Sancoes!$A:$A,0))&amp;"","não consta"))</f>
        <v/>
      </c>
      <c r="L314" s="19" t="str">
        <f aca="false">IF(A314="","",IFERROR(INDEX(Eleitoral!$B:$B,MATCH(A314,Eleitoral!$A:$A,0))&amp;"","não consta"))</f>
        <v/>
      </c>
      <c r="M314" s="28" t="str">
        <f aca="false">IF(A314="","",IF(OR(AND(K314&lt;&gt;"",LOWER(K314)&lt;&gt;"não consta"),AND(L314&lt;&gt;"",LOWER(L314)&lt;&gt;"não consta"),IFERROR(INDEX(Empresas!$G:$G,MATCH(A314,Empresas!$A:$A,0))&amp;"","")&lt;&gt;""),"SIM",""))</f>
        <v/>
      </c>
      <c r="N314" s="5"/>
      <c r="O314" s="32" t="str">
        <f aca="false">IF(D314="","",YEAR(D314))</f>
        <v/>
      </c>
      <c r="P314" s="5"/>
    </row>
    <row r="315" customFormat="false" ht="15" hidden="false" customHeight="false" outlineLevel="0" collapsed="false">
      <c r="A315" s="27"/>
      <c r="B315" s="5"/>
      <c r="C315" s="35"/>
      <c r="D315" s="18"/>
      <c r="E315" s="5"/>
      <c r="F315" s="14"/>
      <c r="G315" s="5"/>
      <c r="H315" s="27"/>
      <c r="I315" s="5"/>
      <c r="J315" s="19" t="str">
        <f aca="false">IF(A315="","",IFERROR(INDEX(Empresas!$D:$D,MATCH(A315,Empresas!$A:$A,0))&amp;"","não consta"))</f>
        <v/>
      </c>
      <c r="K315" s="19" t="str">
        <f aca="false">IF(A315="","",IFERROR(INDEX(Sancoes!$B:$B,MATCH(A315,Sancoes!$A:$A,0))&amp;"","não consta"))</f>
        <v/>
      </c>
      <c r="L315" s="19" t="str">
        <f aca="false">IF(A315="","",IFERROR(INDEX(Eleitoral!$B:$B,MATCH(A315,Eleitoral!$A:$A,0))&amp;"","não consta"))</f>
        <v/>
      </c>
      <c r="M315" s="28" t="str">
        <f aca="false">IF(A315="","",IF(OR(AND(K315&lt;&gt;"",LOWER(K315)&lt;&gt;"não consta"),AND(L315&lt;&gt;"",LOWER(L315)&lt;&gt;"não consta"),IFERROR(INDEX(Empresas!$G:$G,MATCH(A315,Empresas!$A:$A,0))&amp;"","")&lt;&gt;""),"SIM",""))</f>
        <v/>
      </c>
      <c r="N315" s="5"/>
      <c r="O315" s="32" t="str">
        <f aca="false">IF(D315="","",YEAR(D315))</f>
        <v/>
      </c>
      <c r="P315" s="5"/>
    </row>
    <row r="316" customFormat="false" ht="15" hidden="false" customHeight="false" outlineLevel="0" collapsed="false">
      <c r="A316" s="27"/>
      <c r="B316" s="5"/>
      <c r="C316" s="35"/>
      <c r="D316" s="18"/>
      <c r="E316" s="5"/>
      <c r="F316" s="14"/>
      <c r="G316" s="5"/>
      <c r="H316" s="27"/>
      <c r="I316" s="5"/>
      <c r="J316" s="19" t="str">
        <f aca="false">IF(A316="","",IFERROR(INDEX(Empresas!$D:$D,MATCH(A316,Empresas!$A:$A,0))&amp;"","não consta"))</f>
        <v/>
      </c>
      <c r="K316" s="19" t="str">
        <f aca="false">IF(A316="","",IFERROR(INDEX(Sancoes!$B:$B,MATCH(A316,Sancoes!$A:$A,0))&amp;"","não consta"))</f>
        <v/>
      </c>
      <c r="L316" s="19" t="str">
        <f aca="false">IF(A316="","",IFERROR(INDEX(Eleitoral!$B:$B,MATCH(A316,Eleitoral!$A:$A,0))&amp;"","não consta"))</f>
        <v/>
      </c>
      <c r="M316" s="28" t="str">
        <f aca="false">IF(A316="","",IF(OR(AND(K316&lt;&gt;"",LOWER(K316)&lt;&gt;"não consta"),AND(L316&lt;&gt;"",LOWER(L316)&lt;&gt;"não consta"),IFERROR(INDEX(Empresas!$G:$G,MATCH(A316,Empresas!$A:$A,0))&amp;"","")&lt;&gt;""),"SIM",""))</f>
        <v/>
      </c>
      <c r="N316" s="5"/>
      <c r="O316" s="32" t="str">
        <f aca="false">IF(D316="","",YEAR(D316))</f>
        <v/>
      </c>
      <c r="P316" s="5"/>
    </row>
    <row r="317" customFormat="false" ht="15" hidden="false" customHeight="false" outlineLevel="0" collapsed="false">
      <c r="A317" s="27"/>
      <c r="B317" s="5"/>
      <c r="C317" s="35"/>
      <c r="D317" s="18"/>
      <c r="E317" s="5"/>
      <c r="F317" s="14"/>
      <c r="G317" s="5"/>
      <c r="H317" s="27"/>
      <c r="I317" s="5"/>
      <c r="J317" s="19" t="str">
        <f aca="false">IF(A317="","",IFERROR(INDEX(Empresas!$D:$D,MATCH(A317,Empresas!$A:$A,0))&amp;"","não consta"))</f>
        <v/>
      </c>
      <c r="K317" s="19" t="str">
        <f aca="false">IF(A317="","",IFERROR(INDEX(Sancoes!$B:$B,MATCH(A317,Sancoes!$A:$A,0))&amp;"","não consta"))</f>
        <v/>
      </c>
      <c r="L317" s="19" t="str">
        <f aca="false">IF(A317="","",IFERROR(INDEX(Eleitoral!$B:$B,MATCH(A317,Eleitoral!$A:$A,0))&amp;"","não consta"))</f>
        <v/>
      </c>
      <c r="M317" s="28" t="str">
        <f aca="false">IF(A317="","",IF(OR(AND(K317&lt;&gt;"",LOWER(K317)&lt;&gt;"não consta"),AND(L317&lt;&gt;"",LOWER(L317)&lt;&gt;"não consta"),IFERROR(INDEX(Empresas!$G:$G,MATCH(A317,Empresas!$A:$A,0))&amp;"","")&lt;&gt;""),"SIM",""))</f>
        <v/>
      </c>
      <c r="N317" s="5"/>
      <c r="O317" s="32" t="str">
        <f aca="false">IF(D317="","",YEAR(D317))</f>
        <v/>
      </c>
      <c r="P317" s="5"/>
    </row>
    <row r="318" customFormat="false" ht="15" hidden="false" customHeight="false" outlineLevel="0" collapsed="false">
      <c r="A318" s="27"/>
      <c r="B318" s="5"/>
      <c r="C318" s="35"/>
      <c r="D318" s="18"/>
      <c r="E318" s="5"/>
      <c r="F318" s="14"/>
      <c r="G318" s="5"/>
      <c r="H318" s="27"/>
      <c r="I318" s="5"/>
      <c r="J318" s="19" t="str">
        <f aca="false">IF(A318="","",IFERROR(INDEX(Empresas!$D:$D,MATCH(A318,Empresas!$A:$A,0))&amp;"","não consta"))</f>
        <v/>
      </c>
      <c r="K318" s="19" t="str">
        <f aca="false">IF(A318="","",IFERROR(INDEX(Sancoes!$B:$B,MATCH(A318,Sancoes!$A:$A,0))&amp;"","não consta"))</f>
        <v/>
      </c>
      <c r="L318" s="19" t="str">
        <f aca="false">IF(A318="","",IFERROR(INDEX(Eleitoral!$B:$B,MATCH(A318,Eleitoral!$A:$A,0))&amp;"","não consta"))</f>
        <v/>
      </c>
      <c r="M318" s="28" t="str">
        <f aca="false">IF(A318="","",IF(OR(AND(K318&lt;&gt;"",LOWER(K318)&lt;&gt;"não consta"),AND(L318&lt;&gt;"",LOWER(L318)&lt;&gt;"não consta"),IFERROR(INDEX(Empresas!$G:$G,MATCH(A318,Empresas!$A:$A,0))&amp;"","")&lt;&gt;""),"SIM",""))</f>
        <v/>
      </c>
      <c r="N318" s="5"/>
      <c r="O318" s="32" t="str">
        <f aca="false">IF(D318="","",YEAR(D318))</f>
        <v/>
      </c>
      <c r="P318" s="5"/>
    </row>
    <row r="319" customFormat="false" ht="15" hidden="false" customHeight="false" outlineLevel="0" collapsed="false">
      <c r="A319" s="27"/>
      <c r="B319" s="5"/>
      <c r="C319" s="35"/>
      <c r="D319" s="18"/>
      <c r="E319" s="5"/>
      <c r="F319" s="14"/>
      <c r="G319" s="5"/>
      <c r="H319" s="27"/>
      <c r="I319" s="5"/>
      <c r="J319" s="19" t="str">
        <f aca="false">IF(A319="","",IFERROR(INDEX(Empresas!$D:$D,MATCH(A319,Empresas!$A:$A,0))&amp;"","não consta"))</f>
        <v/>
      </c>
      <c r="K319" s="19" t="str">
        <f aca="false">IF(A319="","",IFERROR(INDEX(Sancoes!$B:$B,MATCH(A319,Sancoes!$A:$A,0))&amp;"","não consta"))</f>
        <v/>
      </c>
      <c r="L319" s="19" t="str">
        <f aca="false">IF(A319="","",IFERROR(INDEX(Eleitoral!$B:$B,MATCH(A319,Eleitoral!$A:$A,0))&amp;"","não consta"))</f>
        <v/>
      </c>
      <c r="M319" s="28" t="str">
        <f aca="false">IF(A319="","",IF(OR(AND(K319&lt;&gt;"",LOWER(K319)&lt;&gt;"não consta"),AND(L319&lt;&gt;"",LOWER(L319)&lt;&gt;"não consta"),IFERROR(INDEX(Empresas!$G:$G,MATCH(A319,Empresas!$A:$A,0))&amp;"","")&lt;&gt;""),"SIM",""))</f>
        <v/>
      </c>
      <c r="N319" s="5"/>
      <c r="O319" s="32" t="str">
        <f aca="false">IF(D319="","",YEAR(D319))</f>
        <v/>
      </c>
      <c r="P319" s="5"/>
    </row>
    <row r="320" customFormat="false" ht="15" hidden="false" customHeight="false" outlineLevel="0" collapsed="false">
      <c r="A320" s="27"/>
      <c r="B320" s="5"/>
      <c r="C320" s="35"/>
      <c r="D320" s="18"/>
      <c r="E320" s="5"/>
      <c r="F320" s="14"/>
      <c r="G320" s="5"/>
      <c r="H320" s="27"/>
      <c r="I320" s="5"/>
      <c r="J320" s="19" t="str">
        <f aca="false">IF(A320="","",IFERROR(INDEX(Empresas!$D:$D,MATCH(A320,Empresas!$A:$A,0))&amp;"","não consta"))</f>
        <v/>
      </c>
      <c r="K320" s="19" t="str">
        <f aca="false">IF(A320="","",IFERROR(INDEX(Sancoes!$B:$B,MATCH(A320,Sancoes!$A:$A,0))&amp;"","não consta"))</f>
        <v/>
      </c>
      <c r="L320" s="19" t="str">
        <f aca="false">IF(A320="","",IFERROR(INDEX(Eleitoral!$B:$B,MATCH(A320,Eleitoral!$A:$A,0))&amp;"","não consta"))</f>
        <v/>
      </c>
      <c r="M320" s="28" t="str">
        <f aca="false">IF(A320="","",IF(OR(AND(K320&lt;&gt;"",LOWER(K320)&lt;&gt;"não consta"),AND(L320&lt;&gt;"",LOWER(L320)&lt;&gt;"não consta"),IFERROR(INDEX(Empresas!$G:$G,MATCH(A320,Empresas!$A:$A,0))&amp;"","")&lt;&gt;""),"SIM",""))</f>
        <v/>
      </c>
      <c r="N320" s="5"/>
      <c r="O320" s="32" t="str">
        <f aca="false">IF(D320="","",YEAR(D320))</f>
        <v/>
      </c>
      <c r="P320" s="5"/>
    </row>
    <row r="321" customFormat="false" ht="15" hidden="false" customHeight="false" outlineLevel="0" collapsed="false">
      <c r="A321" s="27"/>
      <c r="B321" s="5"/>
      <c r="C321" s="35"/>
      <c r="D321" s="18"/>
      <c r="E321" s="5"/>
      <c r="F321" s="14"/>
      <c r="G321" s="5"/>
      <c r="H321" s="27"/>
      <c r="I321" s="5"/>
      <c r="J321" s="19" t="str">
        <f aca="false">IF(A321="","",IFERROR(INDEX(Empresas!$D:$D,MATCH(A321,Empresas!$A:$A,0))&amp;"","não consta"))</f>
        <v/>
      </c>
      <c r="K321" s="19" t="str">
        <f aca="false">IF(A321="","",IFERROR(INDEX(Sancoes!$B:$B,MATCH(A321,Sancoes!$A:$A,0))&amp;"","não consta"))</f>
        <v/>
      </c>
      <c r="L321" s="19" t="str">
        <f aca="false">IF(A321="","",IFERROR(INDEX(Eleitoral!$B:$B,MATCH(A321,Eleitoral!$A:$A,0))&amp;"","não consta"))</f>
        <v/>
      </c>
      <c r="M321" s="28" t="str">
        <f aca="false">IF(A321="","",IF(OR(AND(K321&lt;&gt;"",LOWER(K321)&lt;&gt;"não consta"),AND(L321&lt;&gt;"",LOWER(L321)&lt;&gt;"não consta"),IFERROR(INDEX(Empresas!$G:$G,MATCH(A321,Empresas!$A:$A,0))&amp;"","")&lt;&gt;""),"SIM",""))</f>
        <v/>
      </c>
      <c r="N321" s="5"/>
      <c r="O321" s="32" t="str">
        <f aca="false">IF(D321="","",YEAR(D321))</f>
        <v/>
      </c>
      <c r="P321" s="5"/>
    </row>
    <row r="322" customFormat="false" ht="15" hidden="false" customHeight="false" outlineLevel="0" collapsed="false">
      <c r="A322" s="27"/>
      <c r="B322" s="5"/>
      <c r="C322" s="35"/>
      <c r="D322" s="18"/>
      <c r="E322" s="5"/>
      <c r="F322" s="14"/>
      <c r="G322" s="5"/>
      <c r="H322" s="27"/>
      <c r="I322" s="5"/>
      <c r="J322" s="19" t="str">
        <f aca="false">IF(A322="","",IFERROR(INDEX(Empresas!$D:$D,MATCH(A322,Empresas!$A:$A,0))&amp;"","não consta"))</f>
        <v/>
      </c>
      <c r="K322" s="19" t="str">
        <f aca="false">IF(A322="","",IFERROR(INDEX(Sancoes!$B:$B,MATCH(A322,Sancoes!$A:$A,0))&amp;"","não consta"))</f>
        <v/>
      </c>
      <c r="L322" s="19" t="str">
        <f aca="false">IF(A322="","",IFERROR(INDEX(Eleitoral!$B:$B,MATCH(A322,Eleitoral!$A:$A,0))&amp;"","não consta"))</f>
        <v/>
      </c>
      <c r="M322" s="28" t="str">
        <f aca="false">IF(A322="","",IF(OR(AND(K322&lt;&gt;"",LOWER(K322)&lt;&gt;"não consta"),AND(L322&lt;&gt;"",LOWER(L322)&lt;&gt;"não consta"),IFERROR(INDEX(Empresas!$G:$G,MATCH(A322,Empresas!$A:$A,0))&amp;"","")&lt;&gt;""),"SIM",""))</f>
        <v/>
      </c>
      <c r="N322" s="5"/>
      <c r="O322" s="32" t="str">
        <f aca="false">IF(D322="","",YEAR(D322))</f>
        <v/>
      </c>
      <c r="P322" s="5"/>
    </row>
    <row r="323" customFormat="false" ht="15" hidden="false" customHeight="false" outlineLevel="0" collapsed="false">
      <c r="A323" s="27"/>
      <c r="B323" s="5"/>
      <c r="C323" s="35"/>
      <c r="D323" s="18"/>
      <c r="E323" s="5"/>
      <c r="F323" s="14"/>
      <c r="G323" s="5"/>
      <c r="H323" s="27"/>
      <c r="I323" s="5"/>
      <c r="J323" s="19" t="str">
        <f aca="false">IF(A323="","",IFERROR(INDEX(Empresas!$D:$D,MATCH(A323,Empresas!$A:$A,0))&amp;"","não consta"))</f>
        <v/>
      </c>
      <c r="K323" s="19" t="str">
        <f aca="false">IF(A323="","",IFERROR(INDEX(Sancoes!$B:$B,MATCH(A323,Sancoes!$A:$A,0))&amp;"","não consta"))</f>
        <v/>
      </c>
      <c r="L323" s="19" t="str">
        <f aca="false">IF(A323="","",IFERROR(INDEX(Eleitoral!$B:$B,MATCH(A323,Eleitoral!$A:$A,0))&amp;"","não consta"))</f>
        <v/>
      </c>
      <c r="M323" s="28" t="str">
        <f aca="false">IF(A323="","",IF(OR(AND(K323&lt;&gt;"",LOWER(K323)&lt;&gt;"não consta"),AND(L323&lt;&gt;"",LOWER(L323)&lt;&gt;"não consta"),IFERROR(INDEX(Empresas!$G:$G,MATCH(A323,Empresas!$A:$A,0))&amp;"","")&lt;&gt;""),"SIM",""))</f>
        <v/>
      </c>
      <c r="N323" s="5"/>
      <c r="O323" s="32" t="str">
        <f aca="false">IF(D323="","",YEAR(D323))</f>
        <v/>
      </c>
      <c r="P323" s="5"/>
    </row>
    <row r="324" customFormat="false" ht="15" hidden="false" customHeight="false" outlineLevel="0" collapsed="false">
      <c r="A324" s="27"/>
      <c r="B324" s="5"/>
      <c r="C324" s="35"/>
      <c r="D324" s="18"/>
      <c r="E324" s="5"/>
      <c r="F324" s="14"/>
      <c r="G324" s="5"/>
      <c r="H324" s="27"/>
      <c r="I324" s="5"/>
      <c r="J324" s="19" t="str">
        <f aca="false">IF(A324="","",IFERROR(INDEX(Empresas!$D:$D,MATCH(A324,Empresas!$A:$A,0))&amp;"","não consta"))</f>
        <v/>
      </c>
      <c r="K324" s="19" t="str">
        <f aca="false">IF(A324="","",IFERROR(INDEX(Sancoes!$B:$B,MATCH(A324,Sancoes!$A:$A,0))&amp;"","não consta"))</f>
        <v/>
      </c>
      <c r="L324" s="19" t="str">
        <f aca="false">IF(A324="","",IFERROR(INDEX(Eleitoral!$B:$B,MATCH(A324,Eleitoral!$A:$A,0))&amp;"","não consta"))</f>
        <v/>
      </c>
      <c r="M324" s="28" t="str">
        <f aca="false">IF(A324="","",IF(OR(AND(K324&lt;&gt;"",LOWER(K324)&lt;&gt;"não consta"),AND(L324&lt;&gt;"",LOWER(L324)&lt;&gt;"não consta"),IFERROR(INDEX(Empresas!$G:$G,MATCH(A324,Empresas!$A:$A,0))&amp;"","")&lt;&gt;""),"SIM",""))</f>
        <v/>
      </c>
      <c r="N324" s="5"/>
      <c r="O324" s="32" t="str">
        <f aca="false">IF(D324="","",YEAR(D324))</f>
        <v/>
      </c>
      <c r="P324" s="5"/>
    </row>
    <row r="325" customFormat="false" ht="15" hidden="false" customHeight="false" outlineLevel="0" collapsed="false">
      <c r="A325" s="27"/>
      <c r="B325" s="5"/>
      <c r="C325" s="35"/>
      <c r="D325" s="18"/>
      <c r="E325" s="5"/>
      <c r="F325" s="14"/>
      <c r="G325" s="5"/>
      <c r="H325" s="27"/>
      <c r="I325" s="5"/>
      <c r="J325" s="19" t="str">
        <f aca="false">IF(A325="","",IFERROR(INDEX(Empresas!$D:$D,MATCH(A325,Empresas!$A:$A,0))&amp;"","não consta"))</f>
        <v/>
      </c>
      <c r="K325" s="19" t="str">
        <f aca="false">IF(A325="","",IFERROR(INDEX(Sancoes!$B:$B,MATCH(A325,Sancoes!$A:$A,0))&amp;"","não consta"))</f>
        <v/>
      </c>
      <c r="L325" s="19" t="str">
        <f aca="false">IF(A325="","",IFERROR(INDEX(Eleitoral!$B:$B,MATCH(A325,Eleitoral!$A:$A,0))&amp;"","não consta"))</f>
        <v/>
      </c>
      <c r="M325" s="28" t="str">
        <f aca="false">IF(A325="","",IF(OR(AND(K325&lt;&gt;"",LOWER(K325)&lt;&gt;"não consta"),AND(L325&lt;&gt;"",LOWER(L325)&lt;&gt;"não consta"),IFERROR(INDEX(Empresas!$G:$G,MATCH(A325,Empresas!$A:$A,0))&amp;"","")&lt;&gt;""),"SIM",""))</f>
        <v/>
      </c>
      <c r="N325" s="5"/>
      <c r="O325" s="32" t="str">
        <f aca="false">IF(D325="","",YEAR(D325))</f>
        <v/>
      </c>
      <c r="P325" s="5"/>
    </row>
    <row r="326" customFormat="false" ht="15" hidden="false" customHeight="false" outlineLevel="0" collapsed="false">
      <c r="A326" s="27"/>
      <c r="B326" s="5"/>
      <c r="C326" s="35"/>
      <c r="D326" s="18"/>
      <c r="E326" s="5"/>
      <c r="F326" s="14"/>
      <c r="G326" s="5"/>
      <c r="H326" s="27"/>
      <c r="I326" s="5"/>
      <c r="J326" s="19" t="str">
        <f aca="false">IF(A326="","",IFERROR(INDEX(Empresas!$D:$D,MATCH(A326,Empresas!$A:$A,0))&amp;"","não consta"))</f>
        <v/>
      </c>
      <c r="K326" s="19" t="str">
        <f aca="false">IF(A326="","",IFERROR(INDEX(Sancoes!$B:$B,MATCH(A326,Sancoes!$A:$A,0))&amp;"","não consta"))</f>
        <v/>
      </c>
      <c r="L326" s="19" t="str">
        <f aca="false">IF(A326="","",IFERROR(INDEX(Eleitoral!$B:$B,MATCH(A326,Eleitoral!$A:$A,0))&amp;"","não consta"))</f>
        <v/>
      </c>
      <c r="M326" s="28" t="str">
        <f aca="false">IF(A326="","",IF(OR(AND(K326&lt;&gt;"",LOWER(K326)&lt;&gt;"não consta"),AND(L326&lt;&gt;"",LOWER(L326)&lt;&gt;"não consta"),IFERROR(INDEX(Empresas!$G:$G,MATCH(A326,Empresas!$A:$A,0))&amp;"","")&lt;&gt;""),"SIM",""))</f>
        <v/>
      </c>
      <c r="N326" s="5"/>
      <c r="O326" s="32" t="str">
        <f aca="false">IF(D326="","",YEAR(D326))</f>
        <v/>
      </c>
      <c r="P326" s="5"/>
    </row>
    <row r="327" customFormat="false" ht="15" hidden="false" customHeight="false" outlineLevel="0" collapsed="false">
      <c r="A327" s="27"/>
      <c r="B327" s="5"/>
      <c r="C327" s="35"/>
      <c r="D327" s="18"/>
      <c r="E327" s="5"/>
      <c r="F327" s="14"/>
      <c r="G327" s="5"/>
      <c r="H327" s="27"/>
      <c r="I327" s="5"/>
      <c r="J327" s="19" t="str">
        <f aca="false">IF(A327="","",IFERROR(INDEX(Empresas!$D:$D,MATCH(A327,Empresas!$A:$A,0))&amp;"","não consta"))</f>
        <v/>
      </c>
      <c r="K327" s="19" t="str">
        <f aca="false">IF(A327="","",IFERROR(INDEX(Sancoes!$B:$B,MATCH(A327,Sancoes!$A:$A,0))&amp;"","não consta"))</f>
        <v/>
      </c>
      <c r="L327" s="19" t="str">
        <f aca="false">IF(A327="","",IFERROR(INDEX(Eleitoral!$B:$B,MATCH(A327,Eleitoral!$A:$A,0))&amp;"","não consta"))</f>
        <v/>
      </c>
      <c r="M327" s="28" t="str">
        <f aca="false">IF(A327="","",IF(OR(AND(K327&lt;&gt;"",LOWER(K327)&lt;&gt;"não consta"),AND(L327&lt;&gt;"",LOWER(L327)&lt;&gt;"não consta"),IFERROR(INDEX(Empresas!$G:$G,MATCH(A327,Empresas!$A:$A,0))&amp;"","")&lt;&gt;""),"SIM",""))</f>
        <v/>
      </c>
      <c r="N327" s="5"/>
      <c r="O327" s="32" t="str">
        <f aca="false">IF(D327="","",YEAR(D327))</f>
        <v/>
      </c>
      <c r="P327" s="5"/>
    </row>
    <row r="328" customFormat="false" ht="15" hidden="false" customHeight="false" outlineLevel="0" collapsed="false">
      <c r="A328" s="27"/>
      <c r="B328" s="5"/>
      <c r="C328" s="35"/>
      <c r="D328" s="18"/>
      <c r="E328" s="5"/>
      <c r="F328" s="14"/>
      <c r="G328" s="5"/>
      <c r="H328" s="27"/>
      <c r="I328" s="5"/>
      <c r="J328" s="19" t="str">
        <f aca="false">IF(A328="","",IFERROR(INDEX(Empresas!$D:$D,MATCH(A328,Empresas!$A:$A,0))&amp;"","não consta"))</f>
        <v/>
      </c>
      <c r="K328" s="19" t="str">
        <f aca="false">IF(A328="","",IFERROR(INDEX(Sancoes!$B:$B,MATCH(A328,Sancoes!$A:$A,0))&amp;"","não consta"))</f>
        <v/>
      </c>
      <c r="L328" s="19" t="str">
        <f aca="false">IF(A328="","",IFERROR(INDEX(Eleitoral!$B:$B,MATCH(A328,Eleitoral!$A:$A,0))&amp;"","não consta"))</f>
        <v/>
      </c>
      <c r="M328" s="28" t="str">
        <f aca="false">IF(A328="","",IF(OR(AND(K328&lt;&gt;"",LOWER(K328)&lt;&gt;"não consta"),AND(L328&lt;&gt;"",LOWER(L328)&lt;&gt;"não consta"),IFERROR(INDEX(Empresas!$G:$G,MATCH(A328,Empresas!$A:$A,0))&amp;"","")&lt;&gt;""),"SIM",""))</f>
        <v/>
      </c>
      <c r="N328" s="5"/>
      <c r="O328" s="32" t="str">
        <f aca="false">IF(D328="","",YEAR(D328))</f>
        <v/>
      </c>
      <c r="P328" s="5"/>
    </row>
    <row r="329" customFormat="false" ht="15" hidden="false" customHeight="false" outlineLevel="0" collapsed="false">
      <c r="A329" s="27"/>
      <c r="B329" s="5"/>
      <c r="C329" s="35"/>
      <c r="D329" s="18"/>
      <c r="E329" s="5"/>
      <c r="F329" s="14"/>
      <c r="G329" s="5"/>
      <c r="H329" s="27"/>
      <c r="I329" s="5"/>
      <c r="J329" s="19" t="str">
        <f aca="false">IF(A329="","",IFERROR(INDEX(Empresas!$D:$D,MATCH(A329,Empresas!$A:$A,0))&amp;"","não consta"))</f>
        <v/>
      </c>
      <c r="K329" s="19" t="str">
        <f aca="false">IF(A329="","",IFERROR(INDEX(Sancoes!$B:$B,MATCH(A329,Sancoes!$A:$A,0))&amp;"","não consta"))</f>
        <v/>
      </c>
      <c r="L329" s="19" t="str">
        <f aca="false">IF(A329="","",IFERROR(INDEX(Eleitoral!$B:$B,MATCH(A329,Eleitoral!$A:$A,0))&amp;"","não consta"))</f>
        <v/>
      </c>
      <c r="M329" s="28" t="str">
        <f aca="false">IF(A329="","",IF(OR(AND(K329&lt;&gt;"",LOWER(K329)&lt;&gt;"não consta"),AND(L329&lt;&gt;"",LOWER(L329)&lt;&gt;"não consta"),IFERROR(INDEX(Empresas!$G:$G,MATCH(A329,Empresas!$A:$A,0))&amp;"","")&lt;&gt;""),"SIM",""))</f>
        <v/>
      </c>
      <c r="N329" s="5"/>
      <c r="O329" s="32" t="str">
        <f aca="false">IF(D329="","",YEAR(D329))</f>
        <v/>
      </c>
      <c r="P329" s="5"/>
    </row>
    <row r="330" customFormat="false" ht="15" hidden="false" customHeight="false" outlineLevel="0" collapsed="false">
      <c r="A330" s="27"/>
      <c r="B330" s="5"/>
      <c r="C330" s="35"/>
      <c r="D330" s="18"/>
      <c r="E330" s="5"/>
      <c r="F330" s="14"/>
      <c r="G330" s="5"/>
      <c r="H330" s="27"/>
      <c r="I330" s="5"/>
      <c r="J330" s="19" t="str">
        <f aca="false">IF(A330="","",IFERROR(INDEX(Empresas!$D:$D,MATCH(A330,Empresas!$A:$A,0))&amp;"","não consta"))</f>
        <v/>
      </c>
      <c r="K330" s="19" t="str">
        <f aca="false">IF(A330="","",IFERROR(INDEX(Sancoes!$B:$B,MATCH(A330,Sancoes!$A:$A,0))&amp;"","não consta"))</f>
        <v/>
      </c>
      <c r="L330" s="19" t="str">
        <f aca="false">IF(A330="","",IFERROR(INDEX(Eleitoral!$B:$B,MATCH(A330,Eleitoral!$A:$A,0))&amp;"","não consta"))</f>
        <v/>
      </c>
      <c r="M330" s="28" t="str">
        <f aca="false">IF(A330="","",IF(OR(AND(K330&lt;&gt;"",LOWER(K330)&lt;&gt;"não consta"),AND(L330&lt;&gt;"",LOWER(L330)&lt;&gt;"não consta"),IFERROR(INDEX(Empresas!$G:$G,MATCH(A330,Empresas!$A:$A,0))&amp;"","")&lt;&gt;""),"SIM",""))</f>
        <v/>
      </c>
      <c r="N330" s="5"/>
      <c r="O330" s="32" t="str">
        <f aca="false">IF(D330="","",YEAR(D330))</f>
        <v/>
      </c>
      <c r="P330" s="5"/>
    </row>
    <row r="331" customFormat="false" ht="15" hidden="false" customHeight="false" outlineLevel="0" collapsed="false">
      <c r="A331" s="27"/>
      <c r="B331" s="5"/>
      <c r="C331" s="35"/>
      <c r="D331" s="18"/>
      <c r="E331" s="5"/>
      <c r="F331" s="14"/>
      <c r="G331" s="5"/>
      <c r="H331" s="27"/>
      <c r="I331" s="5"/>
      <c r="J331" s="19" t="str">
        <f aca="false">IF(A331="","",IFERROR(INDEX(Empresas!$D:$D,MATCH(A331,Empresas!$A:$A,0))&amp;"","não consta"))</f>
        <v/>
      </c>
      <c r="K331" s="19" t="str">
        <f aca="false">IF(A331="","",IFERROR(INDEX(Sancoes!$B:$B,MATCH(A331,Sancoes!$A:$A,0))&amp;"","não consta"))</f>
        <v/>
      </c>
      <c r="L331" s="19" t="str">
        <f aca="false">IF(A331="","",IFERROR(INDEX(Eleitoral!$B:$B,MATCH(A331,Eleitoral!$A:$A,0))&amp;"","não consta"))</f>
        <v/>
      </c>
      <c r="M331" s="28" t="str">
        <f aca="false">IF(A331="","",IF(OR(AND(K331&lt;&gt;"",LOWER(K331)&lt;&gt;"não consta"),AND(L331&lt;&gt;"",LOWER(L331)&lt;&gt;"não consta"),IFERROR(INDEX(Empresas!$G:$G,MATCH(A331,Empresas!$A:$A,0))&amp;"","")&lt;&gt;""),"SIM",""))</f>
        <v/>
      </c>
      <c r="N331" s="5"/>
      <c r="O331" s="32" t="str">
        <f aca="false">IF(D331="","",YEAR(D331))</f>
        <v/>
      </c>
      <c r="P331" s="5"/>
    </row>
    <row r="332" customFormat="false" ht="15" hidden="false" customHeight="false" outlineLevel="0" collapsed="false">
      <c r="A332" s="27"/>
      <c r="B332" s="5"/>
      <c r="C332" s="35"/>
      <c r="D332" s="18"/>
      <c r="E332" s="5"/>
      <c r="F332" s="14"/>
      <c r="G332" s="5"/>
      <c r="H332" s="27"/>
      <c r="I332" s="5"/>
      <c r="J332" s="19" t="str">
        <f aca="false">IF(A332="","",IFERROR(INDEX(Empresas!$D:$D,MATCH(A332,Empresas!$A:$A,0))&amp;"","não consta"))</f>
        <v/>
      </c>
      <c r="K332" s="19" t="str">
        <f aca="false">IF(A332="","",IFERROR(INDEX(Sancoes!$B:$B,MATCH(A332,Sancoes!$A:$A,0))&amp;"","não consta"))</f>
        <v/>
      </c>
      <c r="L332" s="19" t="str">
        <f aca="false">IF(A332="","",IFERROR(INDEX(Eleitoral!$B:$B,MATCH(A332,Eleitoral!$A:$A,0))&amp;"","não consta"))</f>
        <v/>
      </c>
      <c r="M332" s="28" t="str">
        <f aca="false">IF(A332="","",IF(OR(AND(K332&lt;&gt;"",LOWER(K332)&lt;&gt;"não consta"),AND(L332&lt;&gt;"",LOWER(L332)&lt;&gt;"não consta"),IFERROR(INDEX(Empresas!$G:$G,MATCH(A332,Empresas!$A:$A,0))&amp;"","")&lt;&gt;""),"SIM",""))</f>
        <v/>
      </c>
      <c r="N332" s="5"/>
      <c r="O332" s="32" t="str">
        <f aca="false">IF(D332="","",YEAR(D332))</f>
        <v/>
      </c>
      <c r="P332" s="5"/>
    </row>
    <row r="333" customFormat="false" ht="15" hidden="false" customHeight="false" outlineLevel="0" collapsed="false">
      <c r="A333" s="27"/>
      <c r="B333" s="5"/>
      <c r="C333" s="35"/>
      <c r="D333" s="18"/>
      <c r="E333" s="5"/>
      <c r="F333" s="14"/>
      <c r="G333" s="5"/>
      <c r="H333" s="27"/>
      <c r="I333" s="5"/>
      <c r="J333" s="19" t="str">
        <f aca="false">IF(A333="","",IFERROR(INDEX(Empresas!$D:$D,MATCH(A333,Empresas!$A:$A,0))&amp;"","não consta"))</f>
        <v/>
      </c>
      <c r="K333" s="19" t="str">
        <f aca="false">IF(A333="","",IFERROR(INDEX(Sancoes!$B:$B,MATCH(A333,Sancoes!$A:$A,0))&amp;"","não consta"))</f>
        <v/>
      </c>
      <c r="L333" s="19" t="str">
        <f aca="false">IF(A333="","",IFERROR(INDEX(Eleitoral!$B:$B,MATCH(A333,Eleitoral!$A:$A,0))&amp;"","não consta"))</f>
        <v/>
      </c>
      <c r="M333" s="28" t="str">
        <f aca="false">IF(A333="","",IF(OR(AND(K333&lt;&gt;"",LOWER(K333)&lt;&gt;"não consta"),AND(L333&lt;&gt;"",LOWER(L333)&lt;&gt;"não consta"),IFERROR(INDEX(Empresas!$G:$G,MATCH(A333,Empresas!$A:$A,0))&amp;"","")&lt;&gt;""),"SIM",""))</f>
        <v/>
      </c>
      <c r="N333" s="5"/>
      <c r="O333" s="32" t="str">
        <f aca="false">IF(D333="","",YEAR(D333))</f>
        <v/>
      </c>
      <c r="P333" s="5"/>
    </row>
    <row r="334" customFormat="false" ht="15" hidden="false" customHeight="false" outlineLevel="0" collapsed="false">
      <c r="A334" s="27"/>
      <c r="B334" s="5"/>
      <c r="C334" s="35"/>
      <c r="D334" s="18"/>
      <c r="E334" s="5"/>
      <c r="F334" s="14"/>
      <c r="G334" s="5"/>
      <c r="H334" s="27"/>
      <c r="I334" s="5"/>
      <c r="J334" s="19" t="str">
        <f aca="false">IF(A334="","",IFERROR(INDEX(Empresas!$D:$D,MATCH(A334,Empresas!$A:$A,0))&amp;"","não consta"))</f>
        <v/>
      </c>
      <c r="K334" s="19" t="str">
        <f aca="false">IF(A334="","",IFERROR(INDEX(Sancoes!$B:$B,MATCH(A334,Sancoes!$A:$A,0))&amp;"","não consta"))</f>
        <v/>
      </c>
      <c r="L334" s="19" t="str">
        <f aca="false">IF(A334="","",IFERROR(INDEX(Eleitoral!$B:$B,MATCH(A334,Eleitoral!$A:$A,0))&amp;"","não consta"))</f>
        <v/>
      </c>
      <c r="M334" s="28" t="str">
        <f aca="false">IF(A334="","",IF(OR(AND(K334&lt;&gt;"",LOWER(K334)&lt;&gt;"não consta"),AND(L334&lt;&gt;"",LOWER(L334)&lt;&gt;"não consta"),IFERROR(INDEX(Empresas!$G:$G,MATCH(A334,Empresas!$A:$A,0))&amp;"","")&lt;&gt;""),"SIM",""))</f>
        <v/>
      </c>
      <c r="N334" s="5"/>
      <c r="O334" s="32" t="str">
        <f aca="false">IF(D334="","",YEAR(D334))</f>
        <v/>
      </c>
      <c r="P334" s="5"/>
    </row>
    <row r="335" customFormat="false" ht="15" hidden="false" customHeight="false" outlineLevel="0" collapsed="false">
      <c r="A335" s="27"/>
      <c r="B335" s="5"/>
      <c r="C335" s="35"/>
      <c r="D335" s="18"/>
      <c r="E335" s="5"/>
      <c r="F335" s="14"/>
      <c r="G335" s="5"/>
      <c r="H335" s="27"/>
      <c r="I335" s="5"/>
      <c r="J335" s="19" t="str">
        <f aca="false">IF(A335="","",IFERROR(INDEX(Empresas!$D:$D,MATCH(A335,Empresas!$A:$A,0))&amp;"","não consta"))</f>
        <v/>
      </c>
      <c r="K335" s="19" t="str">
        <f aca="false">IF(A335="","",IFERROR(INDEX(Sancoes!$B:$B,MATCH(A335,Sancoes!$A:$A,0))&amp;"","não consta"))</f>
        <v/>
      </c>
      <c r="L335" s="19" t="str">
        <f aca="false">IF(A335="","",IFERROR(INDEX(Eleitoral!$B:$B,MATCH(A335,Eleitoral!$A:$A,0))&amp;"","não consta"))</f>
        <v/>
      </c>
      <c r="M335" s="28" t="str">
        <f aca="false">IF(A335="","",IF(OR(AND(K335&lt;&gt;"",LOWER(K335)&lt;&gt;"não consta"),AND(L335&lt;&gt;"",LOWER(L335)&lt;&gt;"não consta"),IFERROR(INDEX(Empresas!$G:$G,MATCH(A335,Empresas!$A:$A,0))&amp;"","")&lt;&gt;""),"SIM",""))</f>
        <v/>
      </c>
      <c r="N335" s="5"/>
      <c r="O335" s="32" t="str">
        <f aca="false">IF(D335="","",YEAR(D335))</f>
        <v/>
      </c>
      <c r="P335" s="5"/>
    </row>
    <row r="336" customFormat="false" ht="15" hidden="false" customHeight="false" outlineLevel="0" collapsed="false">
      <c r="A336" s="27"/>
      <c r="B336" s="5"/>
      <c r="C336" s="35"/>
      <c r="D336" s="18"/>
      <c r="E336" s="5"/>
      <c r="F336" s="14"/>
      <c r="G336" s="5"/>
      <c r="H336" s="27"/>
      <c r="I336" s="5"/>
      <c r="J336" s="19" t="str">
        <f aca="false">IF(A336="","",IFERROR(INDEX(Empresas!$D:$D,MATCH(A336,Empresas!$A:$A,0))&amp;"","não consta"))</f>
        <v/>
      </c>
      <c r="K336" s="19" t="str">
        <f aca="false">IF(A336="","",IFERROR(INDEX(Sancoes!$B:$B,MATCH(A336,Sancoes!$A:$A,0))&amp;"","não consta"))</f>
        <v/>
      </c>
      <c r="L336" s="19" t="str">
        <f aca="false">IF(A336="","",IFERROR(INDEX(Eleitoral!$B:$B,MATCH(A336,Eleitoral!$A:$A,0))&amp;"","não consta"))</f>
        <v/>
      </c>
      <c r="M336" s="28" t="str">
        <f aca="false">IF(A336="","",IF(OR(AND(K336&lt;&gt;"",LOWER(K336)&lt;&gt;"não consta"),AND(L336&lt;&gt;"",LOWER(L336)&lt;&gt;"não consta"),IFERROR(INDEX(Empresas!$G:$G,MATCH(A336,Empresas!$A:$A,0))&amp;"","")&lt;&gt;""),"SIM",""))</f>
        <v/>
      </c>
      <c r="N336" s="5"/>
      <c r="O336" s="32" t="str">
        <f aca="false">IF(D336="","",YEAR(D336))</f>
        <v/>
      </c>
      <c r="P336" s="5"/>
    </row>
    <row r="337" customFormat="false" ht="15" hidden="false" customHeight="false" outlineLevel="0" collapsed="false">
      <c r="A337" s="27"/>
      <c r="B337" s="5"/>
      <c r="C337" s="35"/>
      <c r="D337" s="18"/>
      <c r="E337" s="5"/>
      <c r="F337" s="14"/>
      <c r="G337" s="5"/>
      <c r="H337" s="27"/>
      <c r="I337" s="5"/>
      <c r="J337" s="19" t="str">
        <f aca="false">IF(A337="","",IFERROR(INDEX(Empresas!$D:$D,MATCH(A337,Empresas!$A:$A,0))&amp;"","não consta"))</f>
        <v/>
      </c>
      <c r="K337" s="19" t="str">
        <f aca="false">IF(A337="","",IFERROR(INDEX(Sancoes!$B:$B,MATCH(A337,Sancoes!$A:$A,0))&amp;"","não consta"))</f>
        <v/>
      </c>
      <c r="L337" s="19" t="str">
        <f aca="false">IF(A337="","",IFERROR(INDEX(Eleitoral!$B:$B,MATCH(A337,Eleitoral!$A:$A,0))&amp;"","não consta"))</f>
        <v/>
      </c>
      <c r="M337" s="28" t="str">
        <f aca="false">IF(A337="","",IF(OR(AND(K337&lt;&gt;"",LOWER(K337)&lt;&gt;"não consta"),AND(L337&lt;&gt;"",LOWER(L337)&lt;&gt;"não consta"),IFERROR(INDEX(Empresas!$G:$G,MATCH(A337,Empresas!$A:$A,0))&amp;"","")&lt;&gt;""),"SIM",""))</f>
        <v/>
      </c>
      <c r="N337" s="5"/>
      <c r="O337" s="32" t="str">
        <f aca="false">IF(D337="","",YEAR(D337))</f>
        <v/>
      </c>
      <c r="P337" s="5"/>
    </row>
    <row r="338" customFormat="false" ht="15" hidden="false" customHeight="false" outlineLevel="0" collapsed="false">
      <c r="A338" s="27"/>
      <c r="B338" s="5"/>
      <c r="C338" s="35"/>
      <c r="D338" s="18"/>
      <c r="E338" s="5"/>
      <c r="F338" s="14"/>
      <c r="G338" s="5"/>
      <c r="H338" s="27"/>
      <c r="I338" s="5"/>
      <c r="J338" s="19" t="str">
        <f aca="false">IF(A338="","",IFERROR(INDEX(Empresas!$D:$D,MATCH(A338,Empresas!$A:$A,0))&amp;"","não consta"))</f>
        <v/>
      </c>
      <c r="K338" s="19" t="str">
        <f aca="false">IF(A338="","",IFERROR(INDEX(Sancoes!$B:$B,MATCH(A338,Sancoes!$A:$A,0))&amp;"","não consta"))</f>
        <v/>
      </c>
      <c r="L338" s="19" t="str">
        <f aca="false">IF(A338="","",IFERROR(INDEX(Eleitoral!$B:$B,MATCH(A338,Eleitoral!$A:$A,0))&amp;"","não consta"))</f>
        <v/>
      </c>
      <c r="M338" s="28" t="str">
        <f aca="false">IF(A338="","",IF(OR(AND(K338&lt;&gt;"",LOWER(K338)&lt;&gt;"não consta"),AND(L338&lt;&gt;"",LOWER(L338)&lt;&gt;"não consta"),IFERROR(INDEX(Empresas!$G:$G,MATCH(A338,Empresas!$A:$A,0))&amp;"","")&lt;&gt;""),"SIM",""))</f>
        <v/>
      </c>
      <c r="N338" s="5"/>
      <c r="O338" s="32" t="str">
        <f aca="false">IF(D338="","",YEAR(D338))</f>
        <v/>
      </c>
      <c r="P338" s="5"/>
    </row>
    <row r="339" customFormat="false" ht="15" hidden="false" customHeight="false" outlineLevel="0" collapsed="false">
      <c r="A339" s="27"/>
      <c r="B339" s="5"/>
      <c r="C339" s="35"/>
      <c r="D339" s="18"/>
      <c r="E339" s="5"/>
      <c r="F339" s="14"/>
      <c r="G339" s="5"/>
      <c r="H339" s="27"/>
      <c r="I339" s="5"/>
      <c r="J339" s="19" t="str">
        <f aca="false">IF(A339="","",IFERROR(INDEX(Empresas!$D:$D,MATCH(A339,Empresas!$A:$A,0))&amp;"","não consta"))</f>
        <v/>
      </c>
      <c r="K339" s="19" t="str">
        <f aca="false">IF(A339="","",IFERROR(INDEX(Sancoes!$B:$B,MATCH(A339,Sancoes!$A:$A,0))&amp;"","não consta"))</f>
        <v/>
      </c>
      <c r="L339" s="19" t="str">
        <f aca="false">IF(A339="","",IFERROR(INDEX(Eleitoral!$B:$B,MATCH(A339,Eleitoral!$A:$A,0))&amp;"","não consta"))</f>
        <v/>
      </c>
      <c r="M339" s="28" t="str">
        <f aca="false">IF(A339="","",IF(OR(AND(K339&lt;&gt;"",LOWER(K339)&lt;&gt;"não consta"),AND(L339&lt;&gt;"",LOWER(L339)&lt;&gt;"não consta"),IFERROR(INDEX(Empresas!$G:$G,MATCH(A339,Empresas!$A:$A,0))&amp;"","")&lt;&gt;""),"SIM",""))</f>
        <v/>
      </c>
      <c r="N339" s="5"/>
      <c r="O339" s="32" t="str">
        <f aca="false">IF(D339="","",YEAR(D339))</f>
        <v/>
      </c>
      <c r="P339" s="5"/>
    </row>
    <row r="340" customFormat="false" ht="15" hidden="false" customHeight="false" outlineLevel="0" collapsed="false">
      <c r="A340" s="27"/>
      <c r="B340" s="5"/>
      <c r="C340" s="35"/>
      <c r="D340" s="18"/>
      <c r="E340" s="5"/>
      <c r="F340" s="14"/>
      <c r="G340" s="5"/>
      <c r="H340" s="27"/>
      <c r="I340" s="5"/>
      <c r="J340" s="19" t="str">
        <f aca="false">IF(A340="","",IFERROR(INDEX(Empresas!$D:$D,MATCH(A340,Empresas!$A:$A,0))&amp;"","não consta"))</f>
        <v/>
      </c>
      <c r="K340" s="19" t="str">
        <f aca="false">IF(A340="","",IFERROR(INDEX(Sancoes!$B:$B,MATCH(A340,Sancoes!$A:$A,0))&amp;"","não consta"))</f>
        <v/>
      </c>
      <c r="L340" s="19" t="str">
        <f aca="false">IF(A340="","",IFERROR(INDEX(Eleitoral!$B:$B,MATCH(A340,Eleitoral!$A:$A,0))&amp;"","não consta"))</f>
        <v/>
      </c>
      <c r="M340" s="28" t="str">
        <f aca="false">IF(A340="","",IF(OR(AND(K340&lt;&gt;"",LOWER(K340)&lt;&gt;"não consta"),AND(L340&lt;&gt;"",LOWER(L340)&lt;&gt;"não consta"),IFERROR(INDEX(Empresas!$G:$G,MATCH(A340,Empresas!$A:$A,0))&amp;"","")&lt;&gt;""),"SIM",""))</f>
        <v/>
      </c>
      <c r="N340" s="5"/>
      <c r="O340" s="32" t="str">
        <f aca="false">IF(D340="","",YEAR(D340))</f>
        <v/>
      </c>
      <c r="P340" s="5"/>
    </row>
    <row r="341" customFormat="false" ht="15" hidden="false" customHeight="false" outlineLevel="0" collapsed="false">
      <c r="A341" s="27"/>
      <c r="B341" s="5"/>
      <c r="C341" s="35"/>
      <c r="D341" s="18"/>
      <c r="E341" s="5"/>
      <c r="F341" s="14"/>
      <c r="G341" s="5"/>
      <c r="H341" s="27"/>
      <c r="I341" s="5"/>
      <c r="J341" s="19" t="str">
        <f aca="false">IF(A341="","",IFERROR(INDEX(Empresas!$D:$D,MATCH(A341,Empresas!$A:$A,0))&amp;"","não consta"))</f>
        <v/>
      </c>
      <c r="K341" s="19" t="str">
        <f aca="false">IF(A341="","",IFERROR(INDEX(Sancoes!$B:$B,MATCH(A341,Sancoes!$A:$A,0))&amp;"","não consta"))</f>
        <v/>
      </c>
      <c r="L341" s="19" t="str">
        <f aca="false">IF(A341="","",IFERROR(INDEX(Eleitoral!$B:$B,MATCH(A341,Eleitoral!$A:$A,0))&amp;"","não consta"))</f>
        <v/>
      </c>
      <c r="M341" s="28" t="str">
        <f aca="false">IF(A341="","",IF(OR(AND(K341&lt;&gt;"",LOWER(K341)&lt;&gt;"não consta"),AND(L341&lt;&gt;"",LOWER(L341)&lt;&gt;"não consta"),IFERROR(INDEX(Empresas!$G:$G,MATCH(A341,Empresas!$A:$A,0))&amp;"","")&lt;&gt;""),"SIM",""))</f>
        <v/>
      </c>
      <c r="N341" s="5"/>
      <c r="O341" s="32" t="str">
        <f aca="false">IF(D341="","",YEAR(D341))</f>
        <v/>
      </c>
      <c r="P341" s="5"/>
    </row>
    <row r="342" customFormat="false" ht="15" hidden="false" customHeight="false" outlineLevel="0" collapsed="false">
      <c r="A342" s="27"/>
      <c r="B342" s="5"/>
      <c r="C342" s="35"/>
      <c r="D342" s="18"/>
      <c r="E342" s="5"/>
      <c r="F342" s="14"/>
      <c r="G342" s="5"/>
      <c r="H342" s="27"/>
      <c r="I342" s="5"/>
      <c r="J342" s="19" t="str">
        <f aca="false">IF(A342="","",IFERROR(INDEX(Empresas!$D:$D,MATCH(A342,Empresas!$A:$A,0))&amp;"","não consta"))</f>
        <v/>
      </c>
      <c r="K342" s="19" t="str">
        <f aca="false">IF(A342="","",IFERROR(INDEX(Sancoes!$B:$B,MATCH(A342,Sancoes!$A:$A,0))&amp;"","não consta"))</f>
        <v/>
      </c>
      <c r="L342" s="19" t="str">
        <f aca="false">IF(A342="","",IFERROR(INDEX(Eleitoral!$B:$B,MATCH(A342,Eleitoral!$A:$A,0))&amp;"","não consta"))</f>
        <v/>
      </c>
      <c r="M342" s="28" t="str">
        <f aca="false">IF(A342="","",IF(OR(AND(K342&lt;&gt;"",LOWER(K342)&lt;&gt;"não consta"),AND(L342&lt;&gt;"",LOWER(L342)&lt;&gt;"não consta"),IFERROR(INDEX(Empresas!$G:$G,MATCH(A342,Empresas!$A:$A,0))&amp;"","")&lt;&gt;""),"SIM",""))</f>
        <v/>
      </c>
      <c r="N342" s="5"/>
      <c r="O342" s="32" t="str">
        <f aca="false">IF(D342="","",YEAR(D342))</f>
        <v/>
      </c>
      <c r="P342" s="5"/>
    </row>
    <row r="343" customFormat="false" ht="15" hidden="false" customHeight="false" outlineLevel="0" collapsed="false">
      <c r="A343" s="27"/>
      <c r="B343" s="5"/>
      <c r="C343" s="35"/>
      <c r="D343" s="18"/>
      <c r="E343" s="5"/>
      <c r="F343" s="14"/>
      <c r="G343" s="5"/>
      <c r="H343" s="27"/>
      <c r="I343" s="5"/>
      <c r="J343" s="19" t="str">
        <f aca="false">IF(A343="","",IFERROR(INDEX(Empresas!$D:$D,MATCH(A343,Empresas!$A:$A,0))&amp;"","não consta"))</f>
        <v/>
      </c>
      <c r="K343" s="19" t="str">
        <f aca="false">IF(A343="","",IFERROR(INDEX(Sancoes!$B:$B,MATCH(A343,Sancoes!$A:$A,0))&amp;"","não consta"))</f>
        <v/>
      </c>
      <c r="L343" s="19" t="str">
        <f aca="false">IF(A343="","",IFERROR(INDEX(Eleitoral!$B:$B,MATCH(A343,Eleitoral!$A:$A,0))&amp;"","não consta"))</f>
        <v/>
      </c>
      <c r="M343" s="28" t="str">
        <f aca="false">IF(A343="","",IF(OR(AND(K343&lt;&gt;"",LOWER(K343)&lt;&gt;"não consta"),AND(L343&lt;&gt;"",LOWER(L343)&lt;&gt;"não consta"),IFERROR(INDEX(Empresas!$G:$G,MATCH(A343,Empresas!$A:$A,0))&amp;"","")&lt;&gt;""),"SIM",""))</f>
        <v/>
      </c>
      <c r="N343" s="5"/>
      <c r="O343" s="32" t="str">
        <f aca="false">IF(D343="","",YEAR(D343))</f>
        <v/>
      </c>
      <c r="P343" s="5"/>
    </row>
    <row r="344" customFormat="false" ht="15" hidden="false" customHeight="false" outlineLevel="0" collapsed="false">
      <c r="A344" s="27"/>
      <c r="B344" s="5"/>
      <c r="C344" s="35"/>
      <c r="D344" s="18"/>
      <c r="E344" s="5"/>
      <c r="F344" s="14"/>
      <c r="G344" s="5"/>
      <c r="H344" s="27"/>
      <c r="I344" s="5"/>
      <c r="J344" s="19" t="str">
        <f aca="false">IF(A344="","",IFERROR(INDEX(Empresas!$D:$D,MATCH(A344,Empresas!$A:$A,0))&amp;"","não consta"))</f>
        <v/>
      </c>
      <c r="K344" s="19" t="str">
        <f aca="false">IF(A344="","",IFERROR(INDEX(Sancoes!$B:$B,MATCH(A344,Sancoes!$A:$A,0))&amp;"","não consta"))</f>
        <v/>
      </c>
      <c r="L344" s="19" t="str">
        <f aca="false">IF(A344="","",IFERROR(INDEX(Eleitoral!$B:$B,MATCH(A344,Eleitoral!$A:$A,0))&amp;"","não consta"))</f>
        <v/>
      </c>
      <c r="M344" s="28" t="str">
        <f aca="false">IF(A344="","",IF(OR(AND(K344&lt;&gt;"",LOWER(K344)&lt;&gt;"não consta"),AND(L344&lt;&gt;"",LOWER(L344)&lt;&gt;"não consta"),IFERROR(INDEX(Empresas!$G:$G,MATCH(A344,Empresas!$A:$A,0))&amp;"","")&lt;&gt;""),"SIM",""))</f>
        <v/>
      </c>
      <c r="N344" s="5"/>
      <c r="O344" s="32" t="str">
        <f aca="false">IF(D344="","",YEAR(D344))</f>
        <v/>
      </c>
      <c r="P344" s="5"/>
    </row>
    <row r="345" customFormat="false" ht="15" hidden="false" customHeight="false" outlineLevel="0" collapsed="false">
      <c r="A345" s="27"/>
      <c r="B345" s="5"/>
      <c r="C345" s="35"/>
      <c r="D345" s="18"/>
      <c r="E345" s="5"/>
      <c r="F345" s="14"/>
      <c r="G345" s="5"/>
      <c r="H345" s="27"/>
      <c r="I345" s="5"/>
      <c r="J345" s="19" t="str">
        <f aca="false">IF(A345="","",IFERROR(INDEX(Empresas!$D:$D,MATCH(A345,Empresas!$A:$A,0))&amp;"","não consta"))</f>
        <v/>
      </c>
      <c r="K345" s="19" t="str">
        <f aca="false">IF(A345="","",IFERROR(INDEX(Sancoes!$B:$B,MATCH(A345,Sancoes!$A:$A,0))&amp;"","não consta"))</f>
        <v/>
      </c>
      <c r="L345" s="19" t="str">
        <f aca="false">IF(A345="","",IFERROR(INDEX(Eleitoral!$B:$B,MATCH(A345,Eleitoral!$A:$A,0))&amp;"","não consta"))</f>
        <v/>
      </c>
      <c r="M345" s="28" t="str">
        <f aca="false">IF(A345="","",IF(OR(AND(K345&lt;&gt;"",LOWER(K345)&lt;&gt;"não consta"),AND(L345&lt;&gt;"",LOWER(L345)&lt;&gt;"não consta"),IFERROR(INDEX(Empresas!$G:$G,MATCH(A345,Empresas!$A:$A,0))&amp;"","")&lt;&gt;""),"SIM",""))</f>
        <v/>
      </c>
      <c r="N345" s="5"/>
      <c r="O345" s="32" t="str">
        <f aca="false">IF(D345="","",YEAR(D345))</f>
        <v/>
      </c>
      <c r="P345" s="5"/>
    </row>
    <row r="346" customFormat="false" ht="15" hidden="false" customHeight="false" outlineLevel="0" collapsed="false">
      <c r="A346" s="27"/>
      <c r="B346" s="5"/>
      <c r="C346" s="35"/>
      <c r="D346" s="18"/>
      <c r="E346" s="5"/>
      <c r="F346" s="14"/>
      <c r="G346" s="5"/>
      <c r="H346" s="27"/>
      <c r="I346" s="5"/>
      <c r="J346" s="19" t="str">
        <f aca="false">IF(A346="","",IFERROR(INDEX(Empresas!$D:$D,MATCH(A346,Empresas!$A:$A,0))&amp;"","não consta"))</f>
        <v/>
      </c>
      <c r="K346" s="19" t="str">
        <f aca="false">IF(A346="","",IFERROR(INDEX(Sancoes!$B:$B,MATCH(A346,Sancoes!$A:$A,0))&amp;"","não consta"))</f>
        <v/>
      </c>
      <c r="L346" s="19" t="str">
        <f aca="false">IF(A346="","",IFERROR(INDEX(Eleitoral!$B:$B,MATCH(A346,Eleitoral!$A:$A,0))&amp;"","não consta"))</f>
        <v/>
      </c>
      <c r="M346" s="28" t="str">
        <f aca="false">IF(A346="","",IF(OR(AND(K346&lt;&gt;"",LOWER(K346)&lt;&gt;"não consta"),AND(L346&lt;&gt;"",LOWER(L346)&lt;&gt;"não consta"),IFERROR(INDEX(Empresas!$G:$G,MATCH(A346,Empresas!$A:$A,0))&amp;"","")&lt;&gt;""),"SIM",""))</f>
        <v/>
      </c>
      <c r="N346" s="5"/>
      <c r="O346" s="32" t="str">
        <f aca="false">IF(D346="","",YEAR(D346))</f>
        <v/>
      </c>
      <c r="P346" s="5"/>
    </row>
    <row r="347" customFormat="false" ht="15" hidden="false" customHeight="false" outlineLevel="0" collapsed="false">
      <c r="A347" s="27"/>
      <c r="B347" s="5"/>
      <c r="C347" s="35"/>
      <c r="D347" s="18"/>
      <c r="E347" s="5"/>
      <c r="F347" s="14"/>
      <c r="G347" s="5"/>
      <c r="H347" s="27"/>
      <c r="I347" s="5"/>
      <c r="J347" s="19" t="str">
        <f aca="false">IF(A347="","",IFERROR(INDEX(Empresas!$D:$D,MATCH(A347,Empresas!$A:$A,0))&amp;"","não consta"))</f>
        <v/>
      </c>
      <c r="K347" s="19" t="str">
        <f aca="false">IF(A347="","",IFERROR(INDEX(Sancoes!$B:$B,MATCH(A347,Sancoes!$A:$A,0))&amp;"","não consta"))</f>
        <v/>
      </c>
      <c r="L347" s="19" t="str">
        <f aca="false">IF(A347="","",IFERROR(INDEX(Eleitoral!$B:$B,MATCH(A347,Eleitoral!$A:$A,0))&amp;"","não consta"))</f>
        <v/>
      </c>
      <c r="M347" s="28" t="str">
        <f aca="false">IF(A347="","",IF(OR(AND(K347&lt;&gt;"",LOWER(K347)&lt;&gt;"não consta"),AND(L347&lt;&gt;"",LOWER(L347)&lt;&gt;"não consta"),IFERROR(INDEX(Empresas!$G:$G,MATCH(A347,Empresas!$A:$A,0))&amp;"","")&lt;&gt;""),"SIM",""))</f>
        <v/>
      </c>
      <c r="N347" s="5"/>
      <c r="O347" s="32" t="str">
        <f aca="false">IF(D347="","",YEAR(D347))</f>
        <v/>
      </c>
      <c r="P347" s="5"/>
    </row>
    <row r="348" customFormat="false" ht="15" hidden="false" customHeight="false" outlineLevel="0" collapsed="false">
      <c r="A348" s="27"/>
      <c r="B348" s="5"/>
      <c r="C348" s="35"/>
      <c r="D348" s="18"/>
      <c r="E348" s="5"/>
      <c r="F348" s="14"/>
      <c r="G348" s="5"/>
      <c r="H348" s="27"/>
      <c r="I348" s="5"/>
      <c r="J348" s="19" t="str">
        <f aca="false">IF(A348="","",IFERROR(INDEX(Empresas!$D:$D,MATCH(A348,Empresas!$A:$A,0))&amp;"","não consta"))</f>
        <v/>
      </c>
      <c r="K348" s="19" t="str">
        <f aca="false">IF(A348="","",IFERROR(INDEX(Sancoes!$B:$B,MATCH(A348,Sancoes!$A:$A,0))&amp;"","não consta"))</f>
        <v/>
      </c>
      <c r="L348" s="19" t="str">
        <f aca="false">IF(A348="","",IFERROR(INDEX(Eleitoral!$B:$B,MATCH(A348,Eleitoral!$A:$A,0))&amp;"","não consta"))</f>
        <v/>
      </c>
      <c r="M348" s="28" t="str">
        <f aca="false">IF(A348="","",IF(OR(AND(K348&lt;&gt;"",LOWER(K348)&lt;&gt;"não consta"),AND(L348&lt;&gt;"",LOWER(L348)&lt;&gt;"não consta"),IFERROR(INDEX(Empresas!$G:$G,MATCH(A348,Empresas!$A:$A,0))&amp;"","")&lt;&gt;""),"SIM",""))</f>
        <v/>
      </c>
      <c r="N348" s="5"/>
      <c r="O348" s="32" t="str">
        <f aca="false">IF(D348="","",YEAR(D348))</f>
        <v/>
      </c>
      <c r="P348" s="5"/>
    </row>
    <row r="349" customFormat="false" ht="15" hidden="false" customHeight="false" outlineLevel="0" collapsed="false">
      <c r="A349" s="27"/>
      <c r="B349" s="5"/>
      <c r="C349" s="35"/>
      <c r="D349" s="18"/>
      <c r="E349" s="5"/>
      <c r="F349" s="14"/>
      <c r="G349" s="5"/>
      <c r="H349" s="27"/>
      <c r="I349" s="5"/>
      <c r="J349" s="19" t="str">
        <f aca="false">IF(A349="","",IFERROR(INDEX(Empresas!$D:$D,MATCH(A349,Empresas!$A:$A,0))&amp;"","não consta"))</f>
        <v/>
      </c>
      <c r="K349" s="19" t="str">
        <f aca="false">IF(A349="","",IFERROR(INDEX(Sancoes!$B:$B,MATCH(A349,Sancoes!$A:$A,0))&amp;"","não consta"))</f>
        <v/>
      </c>
      <c r="L349" s="19" t="str">
        <f aca="false">IF(A349="","",IFERROR(INDEX(Eleitoral!$B:$B,MATCH(A349,Eleitoral!$A:$A,0))&amp;"","não consta"))</f>
        <v/>
      </c>
      <c r="M349" s="28" t="str">
        <f aca="false">IF(A349="","",IF(OR(AND(K349&lt;&gt;"",LOWER(K349)&lt;&gt;"não consta"),AND(L349&lt;&gt;"",LOWER(L349)&lt;&gt;"não consta"),IFERROR(INDEX(Empresas!$G:$G,MATCH(A349,Empresas!$A:$A,0))&amp;"","")&lt;&gt;""),"SIM",""))</f>
        <v/>
      </c>
      <c r="N349" s="5"/>
      <c r="O349" s="32" t="str">
        <f aca="false">IF(D349="","",YEAR(D349))</f>
        <v/>
      </c>
      <c r="P349" s="5"/>
    </row>
    <row r="350" customFormat="false" ht="15" hidden="false" customHeight="false" outlineLevel="0" collapsed="false">
      <c r="A350" s="27"/>
      <c r="B350" s="5"/>
      <c r="C350" s="35"/>
      <c r="D350" s="18"/>
      <c r="E350" s="5"/>
      <c r="F350" s="14"/>
      <c r="G350" s="5"/>
      <c r="H350" s="27"/>
      <c r="I350" s="5"/>
      <c r="J350" s="19" t="str">
        <f aca="false">IF(A350="","",IFERROR(INDEX(Empresas!$D:$D,MATCH(A350,Empresas!$A:$A,0))&amp;"","não consta"))</f>
        <v/>
      </c>
      <c r="K350" s="19" t="str">
        <f aca="false">IF(A350="","",IFERROR(INDEX(Sancoes!$B:$B,MATCH(A350,Sancoes!$A:$A,0))&amp;"","não consta"))</f>
        <v/>
      </c>
      <c r="L350" s="19" t="str">
        <f aca="false">IF(A350="","",IFERROR(INDEX(Eleitoral!$B:$B,MATCH(A350,Eleitoral!$A:$A,0))&amp;"","não consta"))</f>
        <v/>
      </c>
      <c r="M350" s="28" t="str">
        <f aca="false">IF(A350="","",IF(OR(AND(K350&lt;&gt;"",LOWER(K350)&lt;&gt;"não consta"),AND(L350&lt;&gt;"",LOWER(L350)&lt;&gt;"não consta"),IFERROR(INDEX(Empresas!$G:$G,MATCH(A350,Empresas!$A:$A,0))&amp;"","")&lt;&gt;""),"SIM",""))</f>
        <v/>
      </c>
      <c r="N350" s="5"/>
      <c r="O350" s="32" t="str">
        <f aca="false">IF(D350="","",YEAR(D350))</f>
        <v/>
      </c>
      <c r="P350" s="5"/>
    </row>
    <row r="351" customFormat="false" ht="15" hidden="false" customHeight="false" outlineLevel="0" collapsed="false">
      <c r="A351" s="27"/>
      <c r="B351" s="5"/>
      <c r="C351" s="35"/>
      <c r="D351" s="18"/>
      <c r="E351" s="5"/>
      <c r="F351" s="14"/>
      <c r="G351" s="5"/>
      <c r="H351" s="27"/>
      <c r="I351" s="5"/>
      <c r="J351" s="19" t="str">
        <f aca="false">IF(A351="","",IFERROR(INDEX(Empresas!$D:$D,MATCH(A351,Empresas!$A:$A,0))&amp;"","não consta"))</f>
        <v/>
      </c>
      <c r="K351" s="19" t="str">
        <f aca="false">IF(A351="","",IFERROR(INDEX(Sancoes!$B:$B,MATCH(A351,Sancoes!$A:$A,0))&amp;"","não consta"))</f>
        <v/>
      </c>
      <c r="L351" s="19" t="str">
        <f aca="false">IF(A351="","",IFERROR(INDEX(Eleitoral!$B:$B,MATCH(A351,Eleitoral!$A:$A,0))&amp;"","não consta"))</f>
        <v/>
      </c>
      <c r="M351" s="28" t="str">
        <f aca="false">IF(A351="","",IF(OR(AND(K351&lt;&gt;"",LOWER(K351)&lt;&gt;"não consta"),AND(L351&lt;&gt;"",LOWER(L351)&lt;&gt;"não consta"),IFERROR(INDEX(Empresas!$G:$G,MATCH(A351,Empresas!$A:$A,0))&amp;"","")&lt;&gt;""),"SIM",""))</f>
        <v/>
      </c>
      <c r="N351" s="5"/>
      <c r="O351" s="32" t="str">
        <f aca="false">IF(D351="","",YEAR(D351))</f>
        <v/>
      </c>
      <c r="P351" s="5"/>
    </row>
    <row r="352" customFormat="false" ht="15" hidden="false" customHeight="false" outlineLevel="0" collapsed="false">
      <c r="A352" s="27"/>
      <c r="B352" s="5"/>
      <c r="C352" s="35"/>
      <c r="D352" s="18"/>
      <c r="E352" s="5"/>
      <c r="F352" s="14"/>
      <c r="G352" s="5"/>
      <c r="H352" s="27"/>
      <c r="I352" s="5"/>
      <c r="J352" s="19" t="str">
        <f aca="false">IF(A352="","",IFERROR(INDEX(Empresas!$D:$D,MATCH(A352,Empresas!$A:$A,0))&amp;"","não consta"))</f>
        <v/>
      </c>
      <c r="K352" s="19" t="str">
        <f aca="false">IF(A352="","",IFERROR(INDEX(Sancoes!$B:$B,MATCH(A352,Sancoes!$A:$A,0))&amp;"","não consta"))</f>
        <v/>
      </c>
      <c r="L352" s="19" t="str">
        <f aca="false">IF(A352="","",IFERROR(INDEX(Eleitoral!$B:$B,MATCH(A352,Eleitoral!$A:$A,0))&amp;"","não consta"))</f>
        <v/>
      </c>
      <c r="M352" s="28" t="str">
        <f aca="false">IF(A352="","",IF(OR(AND(K352&lt;&gt;"",LOWER(K352)&lt;&gt;"não consta"),AND(L352&lt;&gt;"",LOWER(L352)&lt;&gt;"não consta"),IFERROR(INDEX(Empresas!$G:$G,MATCH(A352,Empresas!$A:$A,0))&amp;"","")&lt;&gt;""),"SIM",""))</f>
        <v/>
      </c>
      <c r="N352" s="5"/>
      <c r="O352" s="32" t="str">
        <f aca="false">IF(D352="","",YEAR(D352))</f>
        <v/>
      </c>
      <c r="P352" s="5"/>
    </row>
    <row r="353" customFormat="false" ht="15" hidden="false" customHeight="false" outlineLevel="0" collapsed="false">
      <c r="A353" s="27"/>
      <c r="B353" s="5"/>
      <c r="C353" s="35"/>
      <c r="D353" s="18"/>
      <c r="E353" s="5"/>
      <c r="F353" s="14"/>
      <c r="G353" s="5"/>
      <c r="H353" s="27"/>
      <c r="I353" s="5"/>
      <c r="J353" s="19" t="str">
        <f aca="false">IF(A353="","",IFERROR(INDEX(Empresas!$D:$D,MATCH(A353,Empresas!$A:$A,0))&amp;"","não consta"))</f>
        <v/>
      </c>
      <c r="K353" s="19" t="str">
        <f aca="false">IF(A353="","",IFERROR(INDEX(Sancoes!$B:$B,MATCH(A353,Sancoes!$A:$A,0))&amp;"","não consta"))</f>
        <v/>
      </c>
      <c r="L353" s="19" t="str">
        <f aca="false">IF(A353="","",IFERROR(INDEX(Eleitoral!$B:$B,MATCH(A353,Eleitoral!$A:$A,0))&amp;"","não consta"))</f>
        <v/>
      </c>
      <c r="M353" s="28" t="str">
        <f aca="false">IF(A353="","",IF(OR(AND(K353&lt;&gt;"",LOWER(K353)&lt;&gt;"não consta"),AND(L353&lt;&gt;"",LOWER(L353)&lt;&gt;"não consta"),IFERROR(INDEX(Empresas!$G:$G,MATCH(A353,Empresas!$A:$A,0))&amp;"","")&lt;&gt;""),"SIM",""))</f>
        <v/>
      </c>
      <c r="N353" s="5"/>
      <c r="O353" s="32" t="str">
        <f aca="false">IF(D353="","",YEAR(D353))</f>
        <v/>
      </c>
      <c r="P353" s="5"/>
    </row>
    <row r="354" customFormat="false" ht="15" hidden="false" customHeight="false" outlineLevel="0" collapsed="false">
      <c r="A354" s="27"/>
      <c r="B354" s="5"/>
      <c r="C354" s="35"/>
      <c r="D354" s="18"/>
      <c r="E354" s="5"/>
      <c r="F354" s="14"/>
      <c r="G354" s="5"/>
      <c r="H354" s="27"/>
      <c r="I354" s="5"/>
      <c r="J354" s="19" t="str">
        <f aca="false">IF(A354="","",IFERROR(INDEX(Empresas!$D:$D,MATCH(A354,Empresas!$A:$A,0))&amp;"","não consta"))</f>
        <v/>
      </c>
      <c r="K354" s="19" t="str">
        <f aca="false">IF(A354="","",IFERROR(INDEX(Sancoes!$B:$B,MATCH(A354,Sancoes!$A:$A,0))&amp;"","não consta"))</f>
        <v/>
      </c>
      <c r="L354" s="19" t="str">
        <f aca="false">IF(A354="","",IFERROR(INDEX(Eleitoral!$B:$B,MATCH(A354,Eleitoral!$A:$A,0))&amp;"","não consta"))</f>
        <v/>
      </c>
      <c r="M354" s="28" t="str">
        <f aca="false">IF(A354="","",IF(OR(AND(K354&lt;&gt;"",LOWER(K354)&lt;&gt;"não consta"),AND(L354&lt;&gt;"",LOWER(L354)&lt;&gt;"não consta"),IFERROR(INDEX(Empresas!$G:$G,MATCH(A354,Empresas!$A:$A,0))&amp;"","")&lt;&gt;""),"SIM",""))</f>
        <v/>
      </c>
      <c r="N354" s="5"/>
      <c r="O354" s="32" t="str">
        <f aca="false">IF(D354="","",YEAR(D354))</f>
        <v/>
      </c>
      <c r="P354" s="5"/>
    </row>
    <row r="355" customFormat="false" ht="15" hidden="false" customHeight="false" outlineLevel="0" collapsed="false">
      <c r="A355" s="27"/>
      <c r="B355" s="5"/>
      <c r="C355" s="35"/>
      <c r="D355" s="18"/>
      <c r="E355" s="5"/>
      <c r="F355" s="14"/>
      <c r="G355" s="5"/>
      <c r="H355" s="27"/>
      <c r="I355" s="5"/>
      <c r="J355" s="19" t="str">
        <f aca="false">IF(A355="","",IFERROR(INDEX(Empresas!$D:$D,MATCH(A355,Empresas!$A:$A,0))&amp;"","não consta"))</f>
        <v/>
      </c>
      <c r="K355" s="19" t="str">
        <f aca="false">IF(A355="","",IFERROR(INDEX(Sancoes!$B:$B,MATCH(A355,Sancoes!$A:$A,0))&amp;"","não consta"))</f>
        <v/>
      </c>
      <c r="L355" s="19" t="str">
        <f aca="false">IF(A355="","",IFERROR(INDEX(Eleitoral!$B:$B,MATCH(A355,Eleitoral!$A:$A,0))&amp;"","não consta"))</f>
        <v/>
      </c>
      <c r="M355" s="28" t="str">
        <f aca="false">IF(A355="","",IF(OR(AND(K355&lt;&gt;"",LOWER(K355)&lt;&gt;"não consta"),AND(L355&lt;&gt;"",LOWER(L355)&lt;&gt;"não consta"),IFERROR(INDEX(Empresas!$G:$G,MATCH(A355,Empresas!$A:$A,0))&amp;"","")&lt;&gt;""),"SIM",""))</f>
        <v/>
      </c>
      <c r="N355" s="5"/>
      <c r="O355" s="32" t="str">
        <f aca="false">IF(D355="","",YEAR(D355))</f>
        <v/>
      </c>
      <c r="P355" s="5"/>
    </row>
    <row r="356" customFormat="false" ht="15" hidden="false" customHeight="false" outlineLevel="0" collapsed="false">
      <c r="A356" s="27"/>
      <c r="B356" s="5"/>
      <c r="C356" s="35"/>
      <c r="D356" s="18"/>
      <c r="E356" s="5"/>
      <c r="F356" s="14"/>
      <c r="G356" s="5"/>
      <c r="H356" s="27"/>
      <c r="I356" s="5"/>
      <c r="J356" s="19" t="str">
        <f aca="false">IF(A356="","",IFERROR(INDEX(Empresas!$D:$D,MATCH(A356,Empresas!$A:$A,0))&amp;"","não consta"))</f>
        <v/>
      </c>
      <c r="K356" s="19" t="str">
        <f aca="false">IF(A356="","",IFERROR(INDEX(Sancoes!$B:$B,MATCH(A356,Sancoes!$A:$A,0))&amp;"","não consta"))</f>
        <v/>
      </c>
      <c r="L356" s="19" t="str">
        <f aca="false">IF(A356="","",IFERROR(INDEX(Eleitoral!$B:$B,MATCH(A356,Eleitoral!$A:$A,0))&amp;"","não consta"))</f>
        <v/>
      </c>
      <c r="M356" s="28" t="str">
        <f aca="false">IF(A356="","",IF(OR(AND(K356&lt;&gt;"",LOWER(K356)&lt;&gt;"não consta"),AND(L356&lt;&gt;"",LOWER(L356)&lt;&gt;"não consta"),IFERROR(INDEX(Empresas!$G:$G,MATCH(A356,Empresas!$A:$A,0))&amp;"","")&lt;&gt;""),"SIM",""))</f>
        <v/>
      </c>
      <c r="N356" s="5"/>
      <c r="O356" s="32" t="str">
        <f aca="false">IF(D356="","",YEAR(D356))</f>
        <v/>
      </c>
      <c r="P356" s="5"/>
    </row>
    <row r="357" customFormat="false" ht="15" hidden="false" customHeight="false" outlineLevel="0" collapsed="false">
      <c r="A357" s="27"/>
      <c r="B357" s="5"/>
      <c r="C357" s="35"/>
      <c r="D357" s="18"/>
      <c r="E357" s="5"/>
      <c r="F357" s="14"/>
      <c r="G357" s="5"/>
      <c r="H357" s="27"/>
      <c r="I357" s="5"/>
      <c r="J357" s="19" t="str">
        <f aca="false">IF(A357="","",IFERROR(INDEX(Empresas!$D:$D,MATCH(A357,Empresas!$A:$A,0))&amp;"","não consta"))</f>
        <v/>
      </c>
      <c r="K357" s="19" t="str">
        <f aca="false">IF(A357="","",IFERROR(INDEX(Sancoes!$B:$B,MATCH(A357,Sancoes!$A:$A,0))&amp;"","não consta"))</f>
        <v/>
      </c>
      <c r="L357" s="19" t="str">
        <f aca="false">IF(A357="","",IFERROR(INDEX(Eleitoral!$B:$B,MATCH(A357,Eleitoral!$A:$A,0))&amp;"","não consta"))</f>
        <v/>
      </c>
      <c r="M357" s="28" t="str">
        <f aca="false">IF(A357="","",IF(OR(AND(K357&lt;&gt;"",LOWER(K357)&lt;&gt;"não consta"),AND(L357&lt;&gt;"",LOWER(L357)&lt;&gt;"não consta"),IFERROR(INDEX(Empresas!$G:$G,MATCH(A357,Empresas!$A:$A,0))&amp;"","")&lt;&gt;""),"SIM",""))</f>
        <v/>
      </c>
      <c r="N357" s="5"/>
      <c r="O357" s="32" t="str">
        <f aca="false">IF(D357="","",YEAR(D357))</f>
        <v/>
      </c>
      <c r="P357" s="5"/>
    </row>
    <row r="358" customFormat="false" ht="15" hidden="false" customHeight="false" outlineLevel="0" collapsed="false">
      <c r="A358" s="27"/>
      <c r="B358" s="5"/>
      <c r="C358" s="35"/>
      <c r="D358" s="18"/>
      <c r="E358" s="5"/>
      <c r="F358" s="14"/>
      <c r="G358" s="5"/>
      <c r="H358" s="27"/>
      <c r="I358" s="5"/>
      <c r="J358" s="19" t="str">
        <f aca="false">IF(A358="","",IFERROR(INDEX(Empresas!$D:$D,MATCH(A358,Empresas!$A:$A,0))&amp;"","não consta"))</f>
        <v/>
      </c>
      <c r="K358" s="19" t="str">
        <f aca="false">IF(A358="","",IFERROR(INDEX(Sancoes!$B:$B,MATCH(A358,Sancoes!$A:$A,0))&amp;"","não consta"))</f>
        <v/>
      </c>
      <c r="L358" s="19" t="str">
        <f aca="false">IF(A358="","",IFERROR(INDEX(Eleitoral!$B:$B,MATCH(A358,Eleitoral!$A:$A,0))&amp;"","não consta"))</f>
        <v/>
      </c>
      <c r="M358" s="28" t="str">
        <f aca="false">IF(A358="","",IF(OR(AND(K358&lt;&gt;"",LOWER(K358)&lt;&gt;"não consta"),AND(L358&lt;&gt;"",LOWER(L358)&lt;&gt;"não consta"),IFERROR(INDEX(Empresas!$G:$G,MATCH(A358,Empresas!$A:$A,0))&amp;"","")&lt;&gt;""),"SIM",""))</f>
        <v/>
      </c>
      <c r="N358" s="5"/>
      <c r="O358" s="32" t="str">
        <f aca="false">IF(D358="","",YEAR(D358))</f>
        <v/>
      </c>
      <c r="P358" s="5"/>
    </row>
    <row r="359" customFormat="false" ht="15" hidden="false" customHeight="false" outlineLevel="0" collapsed="false">
      <c r="A359" s="27"/>
      <c r="B359" s="5"/>
      <c r="C359" s="35"/>
      <c r="D359" s="18"/>
      <c r="E359" s="5"/>
      <c r="F359" s="14"/>
      <c r="G359" s="5"/>
      <c r="H359" s="27"/>
      <c r="I359" s="5"/>
      <c r="J359" s="19" t="str">
        <f aca="false">IF(A359="","",IFERROR(INDEX(Empresas!$D:$D,MATCH(A359,Empresas!$A:$A,0))&amp;"","não consta"))</f>
        <v/>
      </c>
      <c r="K359" s="19" t="str">
        <f aca="false">IF(A359="","",IFERROR(INDEX(Sancoes!$B:$B,MATCH(A359,Sancoes!$A:$A,0))&amp;"","não consta"))</f>
        <v/>
      </c>
      <c r="L359" s="19" t="str">
        <f aca="false">IF(A359="","",IFERROR(INDEX(Eleitoral!$B:$B,MATCH(A359,Eleitoral!$A:$A,0))&amp;"","não consta"))</f>
        <v/>
      </c>
      <c r="M359" s="28" t="str">
        <f aca="false">IF(A359="","",IF(OR(AND(K359&lt;&gt;"",LOWER(K359)&lt;&gt;"não consta"),AND(L359&lt;&gt;"",LOWER(L359)&lt;&gt;"não consta"),IFERROR(INDEX(Empresas!$G:$G,MATCH(A359,Empresas!$A:$A,0))&amp;"","")&lt;&gt;""),"SIM",""))</f>
        <v/>
      </c>
      <c r="N359" s="5"/>
      <c r="O359" s="32" t="str">
        <f aca="false">IF(D359="","",YEAR(D359))</f>
        <v/>
      </c>
      <c r="P359" s="5"/>
    </row>
    <row r="360" customFormat="false" ht="15" hidden="false" customHeight="false" outlineLevel="0" collapsed="false">
      <c r="A360" s="27"/>
      <c r="B360" s="5"/>
      <c r="C360" s="35"/>
      <c r="D360" s="18"/>
      <c r="E360" s="5"/>
      <c r="F360" s="14"/>
      <c r="G360" s="5"/>
      <c r="H360" s="27"/>
      <c r="I360" s="5"/>
      <c r="J360" s="19" t="str">
        <f aca="false">IF(A360="","",IFERROR(INDEX(Empresas!$D:$D,MATCH(A360,Empresas!$A:$A,0))&amp;"","não consta"))</f>
        <v/>
      </c>
      <c r="K360" s="19" t="str">
        <f aca="false">IF(A360="","",IFERROR(INDEX(Sancoes!$B:$B,MATCH(A360,Sancoes!$A:$A,0))&amp;"","não consta"))</f>
        <v/>
      </c>
      <c r="L360" s="19" t="str">
        <f aca="false">IF(A360="","",IFERROR(INDEX(Eleitoral!$B:$B,MATCH(A360,Eleitoral!$A:$A,0))&amp;"","não consta"))</f>
        <v/>
      </c>
      <c r="M360" s="28" t="str">
        <f aca="false">IF(A360="","",IF(OR(AND(K360&lt;&gt;"",LOWER(K360)&lt;&gt;"não consta"),AND(L360&lt;&gt;"",LOWER(L360)&lt;&gt;"não consta"),IFERROR(INDEX(Empresas!$G:$G,MATCH(A360,Empresas!$A:$A,0))&amp;"","")&lt;&gt;""),"SIM",""))</f>
        <v/>
      </c>
      <c r="N360" s="5"/>
      <c r="O360" s="32" t="str">
        <f aca="false">IF(D360="","",YEAR(D360))</f>
        <v/>
      </c>
      <c r="P360" s="5"/>
    </row>
    <row r="361" customFormat="false" ht="15" hidden="false" customHeight="false" outlineLevel="0" collapsed="false">
      <c r="A361" s="27"/>
      <c r="B361" s="5"/>
      <c r="C361" s="35"/>
      <c r="D361" s="18"/>
      <c r="E361" s="5"/>
      <c r="F361" s="14"/>
      <c r="G361" s="5"/>
      <c r="H361" s="27"/>
      <c r="I361" s="5"/>
      <c r="J361" s="19" t="str">
        <f aca="false">IF(A361="","",IFERROR(INDEX(Empresas!$D:$D,MATCH(A361,Empresas!$A:$A,0))&amp;"","não consta"))</f>
        <v/>
      </c>
      <c r="K361" s="19" t="str">
        <f aca="false">IF(A361="","",IFERROR(INDEX(Sancoes!$B:$B,MATCH(A361,Sancoes!$A:$A,0))&amp;"","não consta"))</f>
        <v/>
      </c>
      <c r="L361" s="19" t="str">
        <f aca="false">IF(A361="","",IFERROR(INDEX(Eleitoral!$B:$B,MATCH(A361,Eleitoral!$A:$A,0))&amp;"","não consta"))</f>
        <v/>
      </c>
      <c r="M361" s="28" t="str">
        <f aca="false">IF(A361="","",IF(OR(AND(K361&lt;&gt;"",LOWER(K361)&lt;&gt;"não consta"),AND(L361&lt;&gt;"",LOWER(L361)&lt;&gt;"não consta"),IFERROR(INDEX(Empresas!$G:$G,MATCH(A361,Empresas!$A:$A,0))&amp;"","")&lt;&gt;""),"SIM",""))</f>
        <v/>
      </c>
      <c r="N361" s="5"/>
      <c r="O361" s="32" t="str">
        <f aca="false">IF(D361="","",YEAR(D361))</f>
        <v/>
      </c>
      <c r="P361" s="5"/>
    </row>
    <row r="362" customFormat="false" ht="15" hidden="false" customHeight="false" outlineLevel="0" collapsed="false">
      <c r="A362" s="27"/>
      <c r="B362" s="5"/>
      <c r="C362" s="35"/>
      <c r="D362" s="18"/>
      <c r="E362" s="5"/>
      <c r="F362" s="14"/>
      <c r="G362" s="5"/>
      <c r="H362" s="27"/>
      <c r="I362" s="5"/>
      <c r="J362" s="19" t="str">
        <f aca="false">IF(A362="","",IFERROR(INDEX(Empresas!$D:$D,MATCH(A362,Empresas!$A:$A,0))&amp;"","não consta"))</f>
        <v/>
      </c>
      <c r="K362" s="19" t="str">
        <f aca="false">IF(A362="","",IFERROR(INDEX(Sancoes!$B:$B,MATCH(A362,Sancoes!$A:$A,0))&amp;"","não consta"))</f>
        <v/>
      </c>
      <c r="L362" s="19" t="str">
        <f aca="false">IF(A362="","",IFERROR(INDEX(Eleitoral!$B:$B,MATCH(A362,Eleitoral!$A:$A,0))&amp;"","não consta"))</f>
        <v/>
      </c>
      <c r="M362" s="28" t="str">
        <f aca="false">IF(A362="","",IF(OR(AND(K362&lt;&gt;"",LOWER(K362)&lt;&gt;"não consta"),AND(L362&lt;&gt;"",LOWER(L362)&lt;&gt;"não consta"),IFERROR(INDEX(Empresas!$G:$G,MATCH(A362,Empresas!$A:$A,0))&amp;"","")&lt;&gt;""),"SIM",""))</f>
        <v/>
      </c>
      <c r="N362" s="5"/>
      <c r="O362" s="32" t="str">
        <f aca="false">IF(D362="","",YEAR(D362))</f>
        <v/>
      </c>
      <c r="P362" s="5"/>
    </row>
    <row r="363" customFormat="false" ht="15" hidden="false" customHeight="false" outlineLevel="0" collapsed="false">
      <c r="A363" s="27"/>
      <c r="B363" s="5"/>
      <c r="C363" s="35"/>
      <c r="D363" s="18"/>
      <c r="E363" s="5"/>
      <c r="F363" s="14"/>
      <c r="G363" s="5"/>
      <c r="H363" s="27"/>
      <c r="I363" s="5"/>
      <c r="J363" s="19" t="str">
        <f aca="false">IF(A363="","",IFERROR(INDEX(Empresas!$D:$D,MATCH(A363,Empresas!$A:$A,0))&amp;"","não consta"))</f>
        <v/>
      </c>
      <c r="K363" s="19" t="str">
        <f aca="false">IF(A363="","",IFERROR(INDEX(Sancoes!$B:$B,MATCH(A363,Sancoes!$A:$A,0))&amp;"","não consta"))</f>
        <v/>
      </c>
      <c r="L363" s="19" t="str">
        <f aca="false">IF(A363="","",IFERROR(INDEX(Eleitoral!$B:$B,MATCH(A363,Eleitoral!$A:$A,0))&amp;"","não consta"))</f>
        <v/>
      </c>
      <c r="M363" s="28" t="str">
        <f aca="false">IF(A363="","",IF(OR(AND(K363&lt;&gt;"",LOWER(K363)&lt;&gt;"não consta"),AND(L363&lt;&gt;"",LOWER(L363)&lt;&gt;"não consta"),IFERROR(INDEX(Empresas!$G:$G,MATCH(A363,Empresas!$A:$A,0))&amp;"","")&lt;&gt;""),"SIM",""))</f>
        <v/>
      </c>
      <c r="N363" s="5"/>
      <c r="O363" s="32" t="str">
        <f aca="false">IF(D363="","",YEAR(D363))</f>
        <v/>
      </c>
      <c r="P363" s="5"/>
    </row>
    <row r="364" customFormat="false" ht="15" hidden="false" customHeight="false" outlineLevel="0" collapsed="false">
      <c r="A364" s="27"/>
      <c r="B364" s="5"/>
      <c r="C364" s="35"/>
      <c r="D364" s="18"/>
      <c r="E364" s="5"/>
      <c r="F364" s="14"/>
      <c r="G364" s="5"/>
      <c r="H364" s="27"/>
      <c r="I364" s="5"/>
      <c r="J364" s="19" t="str">
        <f aca="false">IF(A364="","",IFERROR(INDEX(Empresas!$D:$D,MATCH(A364,Empresas!$A:$A,0))&amp;"","não consta"))</f>
        <v/>
      </c>
      <c r="K364" s="19" t="str">
        <f aca="false">IF(A364="","",IFERROR(INDEX(Sancoes!$B:$B,MATCH(A364,Sancoes!$A:$A,0))&amp;"","não consta"))</f>
        <v/>
      </c>
      <c r="L364" s="19" t="str">
        <f aca="false">IF(A364="","",IFERROR(INDEX(Eleitoral!$B:$B,MATCH(A364,Eleitoral!$A:$A,0))&amp;"","não consta"))</f>
        <v/>
      </c>
      <c r="M364" s="28" t="str">
        <f aca="false">IF(A364="","",IF(OR(AND(K364&lt;&gt;"",LOWER(K364)&lt;&gt;"não consta"),AND(L364&lt;&gt;"",LOWER(L364)&lt;&gt;"não consta"),IFERROR(INDEX(Empresas!$G:$G,MATCH(A364,Empresas!$A:$A,0))&amp;"","")&lt;&gt;""),"SIM",""))</f>
        <v/>
      </c>
      <c r="N364" s="5"/>
      <c r="O364" s="32" t="str">
        <f aca="false">IF(D364="","",YEAR(D364))</f>
        <v/>
      </c>
      <c r="P364" s="5"/>
    </row>
    <row r="365" customFormat="false" ht="15" hidden="false" customHeight="false" outlineLevel="0" collapsed="false">
      <c r="A365" s="27"/>
      <c r="B365" s="5"/>
      <c r="C365" s="35"/>
      <c r="D365" s="18"/>
      <c r="E365" s="5"/>
      <c r="F365" s="14"/>
      <c r="G365" s="5"/>
      <c r="H365" s="27"/>
      <c r="I365" s="5"/>
      <c r="J365" s="19" t="str">
        <f aca="false">IF(A365="","",IFERROR(INDEX(Empresas!$D:$D,MATCH(A365,Empresas!$A:$A,0))&amp;"","não consta"))</f>
        <v/>
      </c>
      <c r="K365" s="19" t="str">
        <f aca="false">IF(A365="","",IFERROR(INDEX(Sancoes!$B:$B,MATCH(A365,Sancoes!$A:$A,0))&amp;"","não consta"))</f>
        <v/>
      </c>
      <c r="L365" s="19" t="str">
        <f aca="false">IF(A365="","",IFERROR(INDEX(Eleitoral!$B:$B,MATCH(A365,Eleitoral!$A:$A,0))&amp;"","não consta"))</f>
        <v/>
      </c>
      <c r="M365" s="28" t="str">
        <f aca="false">IF(A365="","",IF(OR(AND(K365&lt;&gt;"",LOWER(K365)&lt;&gt;"não consta"),AND(L365&lt;&gt;"",LOWER(L365)&lt;&gt;"não consta"),IFERROR(INDEX(Empresas!$G:$G,MATCH(A365,Empresas!$A:$A,0))&amp;"","")&lt;&gt;""),"SIM",""))</f>
        <v/>
      </c>
      <c r="N365" s="5"/>
      <c r="O365" s="32" t="str">
        <f aca="false">IF(D365="","",YEAR(D365))</f>
        <v/>
      </c>
      <c r="P365" s="5"/>
    </row>
    <row r="366" customFormat="false" ht="15" hidden="false" customHeight="false" outlineLevel="0" collapsed="false">
      <c r="A366" s="27"/>
      <c r="B366" s="5"/>
      <c r="C366" s="35"/>
      <c r="D366" s="18"/>
      <c r="E366" s="5"/>
      <c r="F366" s="14"/>
      <c r="G366" s="5"/>
      <c r="H366" s="27"/>
      <c r="I366" s="5"/>
      <c r="J366" s="19" t="str">
        <f aca="false">IF(A366="","",IFERROR(INDEX(Empresas!$D:$D,MATCH(A366,Empresas!$A:$A,0))&amp;"","não consta"))</f>
        <v/>
      </c>
      <c r="K366" s="19" t="str">
        <f aca="false">IF(A366="","",IFERROR(INDEX(Sancoes!$B:$B,MATCH(A366,Sancoes!$A:$A,0))&amp;"","não consta"))</f>
        <v/>
      </c>
      <c r="L366" s="19" t="str">
        <f aca="false">IF(A366="","",IFERROR(INDEX(Eleitoral!$B:$B,MATCH(A366,Eleitoral!$A:$A,0))&amp;"","não consta"))</f>
        <v/>
      </c>
      <c r="M366" s="28" t="str">
        <f aca="false">IF(A366="","",IF(OR(AND(K366&lt;&gt;"",LOWER(K366)&lt;&gt;"não consta"),AND(L366&lt;&gt;"",LOWER(L366)&lt;&gt;"não consta"),IFERROR(INDEX(Empresas!$G:$G,MATCH(A366,Empresas!$A:$A,0))&amp;"","")&lt;&gt;""),"SIM",""))</f>
        <v/>
      </c>
      <c r="N366" s="5"/>
      <c r="O366" s="32" t="str">
        <f aca="false">IF(D366="","",YEAR(D366))</f>
        <v/>
      </c>
      <c r="P366" s="5"/>
    </row>
    <row r="367" customFormat="false" ht="15" hidden="false" customHeight="false" outlineLevel="0" collapsed="false">
      <c r="A367" s="27"/>
      <c r="B367" s="5"/>
      <c r="C367" s="35"/>
      <c r="D367" s="18"/>
      <c r="E367" s="5"/>
      <c r="F367" s="14"/>
      <c r="G367" s="5"/>
      <c r="H367" s="27"/>
      <c r="I367" s="5"/>
      <c r="J367" s="19" t="str">
        <f aca="false">IF(A367="","",IFERROR(INDEX(Empresas!$D:$D,MATCH(A367,Empresas!$A:$A,0))&amp;"","não consta"))</f>
        <v/>
      </c>
      <c r="K367" s="19" t="str">
        <f aca="false">IF(A367="","",IFERROR(INDEX(Sancoes!$B:$B,MATCH(A367,Sancoes!$A:$A,0))&amp;"","não consta"))</f>
        <v/>
      </c>
      <c r="L367" s="19" t="str">
        <f aca="false">IF(A367="","",IFERROR(INDEX(Eleitoral!$B:$B,MATCH(A367,Eleitoral!$A:$A,0))&amp;"","não consta"))</f>
        <v/>
      </c>
      <c r="M367" s="28" t="str">
        <f aca="false">IF(A367="","",IF(OR(AND(K367&lt;&gt;"",LOWER(K367)&lt;&gt;"não consta"),AND(L367&lt;&gt;"",LOWER(L367)&lt;&gt;"não consta"),IFERROR(INDEX(Empresas!$G:$G,MATCH(A367,Empresas!$A:$A,0))&amp;"","")&lt;&gt;""),"SIM",""))</f>
        <v/>
      </c>
      <c r="N367" s="5"/>
      <c r="O367" s="32" t="str">
        <f aca="false">IF(D367="","",YEAR(D367))</f>
        <v/>
      </c>
      <c r="P367" s="5"/>
    </row>
    <row r="368" customFormat="false" ht="15" hidden="false" customHeight="false" outlineLevel="0" collapsed="false">
      <c r="A368" s="27"/>
      <c r="B368" s="5"/>
      <c r="C368" s="35"/>
      <c r="D368" s="18"/>
      <c r="E368" s="5"/>
      <c r="F368" s="14"/>
      <c r="G368" s="5"/>
      <c r="H368" s="27"/>
      <c r="I368" s="5"/>
      <c r="J368" s="19" t="str">
        <f aca="false">IF(A368="","",IFERROR(INDEX(Empresas!$D:$D,MATCH(A368,Empresas!$A:$A,0))&amp;"","não consta"))</f>
        <v/>
      </c>
      <c r="K368" s="19" t="str">
        <f aca="false">IF(A368="","",IFERROR(INDEX(Sancoes!$B:$B,MATCH(A368,Sancoes!$A:$A,0))&amp;"","não consta"))</f>
        <v/>
      </c>
      <c r="L368" s="19" t="str">
        <f aca="false">IF(A368="","",IFERROR(INDEX(Eleitoral!$B:$B,MATCH(A368,Eleitoral!$A:$A,0))&amp;"","não consta"))</f>
        <v/>
      </c>
      <c r="M368" s="28" t="str">
        <f aca="false">IF(A368="","",IF(OR(AND(K368&lt;&gt;"",LOWER(K368)&lt;&gt;"não consta"),AND(L368&lt;&gt;"",LOWER(L368)&lt;&gt;"não consta"),IFERROR(INDEX(Empresas!$G:$G,MATCH(A368,Empresas!$A:$A,0))&amp;"","")&lt;&gt;""),"SIM",""))</f>
        <v/>
      </c>
      <c r="N368" s="5"/>
      <c r="O368" s="32" t="str">
        <f aca="false">IF(D368="","",YEAR(D368))</f>
        <v/>
      </c>
      <c r="P368" s="5"/>
    </row>
    <row r="369" customFormat="false" ht="15" hidden="false" customHeight="false" outlineLevel="0" collapsed="false">
      <c r="A369" s="27"/>
      <c r="B369" s="5"/>
      <c r="C369" s="35"/>
      <c r="D369" s="18"/>
      <c r="E369" s="5"/>
      <c r="F369" s="14"/>
      <c r="G369" s="5"/>
      <c r="H369" s="27"/>
      <c r="I369" s="5"/>
      <c r="J369" s="19" t="str">
        <f aca="false">IF(A369="","",IFERROR(INDEX(Empresas!$D:$D,MATCH(A369,Empresas!$A:$A,0))&amp;"","não consta"))</f>
        <v/>
      </c>
      <c r="K369" s="19" t="str">
        <f aca="false">IF(A369="","",IFERROR(INDEX(Sancoes!$B:$B,MATCH(A369,Sancoes!$A:$A,0))&amp;"","não consta"))</f>
        <v/>
      </c>
      <c r="L369" s="19" t="str">
        <f aca="false">IF(A369="","",IFERROR(INDEX(Eleitoral!$B:$B,MATCH(A369,Eleitoral!$A:$A,0))&amp;"","não consta"))</f>
        <v/>
      </c>
      <c r="M369" s="28" t="str">
        <f aca="false">IF(A369="","",IF(OR(AND(K369&lt;&gt;"",LOWER(K369)&lt;&gt;"não consta"),AND(L369&lt;&gt;"",LOWER(L369)&lt;&gt;"não consta"),IFERROR(INDEX(Empresas!$G:$G,MATCH(A369,Empresas!$A:$A,0))&amp;"","")&lt;&gt;""),"SIM",""))</f>
        <v/>
      </c>
      <c r="N369" s="5"/>
      <c r="O369" s="32" t="str">
        <f aca="false">IF(D369="","",YEAR(D369))</f>
        <v/>
      </c>
      <c r="P369" s="5"/>
    </row>
    <row r="370" customFormat="false" ht="15" hidden="false" customHeight="false" outlineLevel="0" collapsed="false">
      <c r="A370" s="27"/>
      <c r="B370" s="5"/>
      <c r="C370" s="35"/>
      <c r="D370" s="18"/>
      <c r="E370" s="5"/>
      <c r="F370" s="14"/>
      <c r="G370" s="5"/>
      <c r="H370" s="27"/>
      <c r="I370" s="5"/>
      <c r="J370" s="19" t="str">
        <f aca="false">IF(A370="","",IFERROR(INDEX(Empresas!$D:$D,MATCH(A370,Empresas!$A:$A,0))&amp;"","não consta"))</f>
        <v/>
      </c>
      <c r="K370" s="19" t="str">
        <f aca="false">IF(A370="","",IFERROR(INDEX(Sancoes!$B:$B,MATCH(A370,Sancoes!$A:$A,0))&amp;"","não consta"))</f>
        <v/>
      </c>
      <c r="L370" s="19" t="str">
        <f aca="false">IF(A370="","",IFERROR(INDEX(Eleitoral!$B:$B,MATCH(A370,Eleitoral!$A:$A,0))&amp;"","não consta"))</f>
        <v/>
      </c>
      <c r="M370" s="28" t="str">
        <f aca="false">IF(A370="","",IF(OR(AND(K370&lt;&gt;"",LOWER(K370)&lt;&gt;"não consta"),AND(L370&lt;&gt;"",LOWER(L370)&lt;&gt;"não consta"),IFERROR(INDEX(Empresas!$G:$G,MATCH(A370,Empresas!$A:$A,0))&amp;"","")&lt;&gt;""),"SIM",""))</f>
        <v/>
      </c>
      <c r="N370" s="5"/>
      <c r="O370" s="32" t="str">
        <f aca="false">IF(D370="","",YEAR(D370))</f>
        <v/>
      </c>
      <c r="P370" s="5"/>
    </row>
    <row r="371" customFormat="false" ht="15" hidden="false" customHeight="false" outlineLevel="0" collapsed="false">
      <c r="A371" s="27"/>
      <c r="B371" s="5"/>
      <c r="C371" s="35"/>
      <c r="D371" s="18"/>
      <c r="E371" s="5"/>
      <c r="F371" s="14"/>
      <c r="G371" s="5"/>
      <c r="H371" s="27"/>
      <c r="I371" s="5"/>
      <c r="J371" s="19" t="str">
        <f aca="false">IF(A371="","",IFERROR(INDEX(Empresas!$D:$D,MATCH(A371,Empresas!$A:$A,0))&amp;"","não consta"))</f>
        <v/>
      </c>
      <c r="K371" s="19" t="str">
        <f aca="false">IF(A371="","",IFERROR(INDEX(Sancoes!$B:$B,MATCH(A371,Sancoes!$A:$A,0))&amp;"","não consta"))</f>
        <v/>
      </c>
      <c r="L371" s="19" t="str">
        <f aca="false">IF(A371="","",IFERROR(INDEX(Eleitoral!$B:$B,MATCH(A371,Eleitoral!$A:$A,0))&amp;"","não consta"))</f>
        <v/>
      </c>
      <c r="M371" s="28" t="str">
        <f aca="false">IF(A371="","",IF(OR(AND(K371&lt;&gt;"",LOWER(K371)&lt;&gt;"não consta"),AND(L371&lt;&gt;"",LOWER(L371)&lt;&gt;"não consta"),IFERROR(INDEX(Empresas!$G:$G,MATCH(A371,Empresas!$A:$A,0))&amp;"","")&lt;&gt;""),"SIM",""))</f>
        <v/>
      </c>
      <c r="N371" s="5"/>
      <c r="O371" s="32" t="str">
        <f aca="false">IF(D371="","",YEAR(D371))</f>
        <v/>
      </c>
      <c r="P371" s="5"/>
    </row>
    <row r="372" customFormat="false" ht="15" hidden="false" customHeight="false" outlineLevel="0" collapsed="false">
      <c r="A372" s="27"/>
      <c r="B372" s="5"/>
      <c r="C372" s="35"/>
      <c r="D372" s="18"/>
      <c r="E372" s="5"/>
      <c r="F372" s="14"/>
      <c r="G372" s="5"/>
      <c r="H372" s="27"/>
      <c r="I372" s="5"/>
      <c r="J372" s="19" t="str">
        <f aca="false">IF(A372="","",IFERROR(INDEX(Empresas!$D:$D,MATCH(A372,Empresas!$A:$A,0))&amp;"","não consta"))</f>
        <v/>
      </c>
      <c r="K372" s="19" t="str">
        <f aca="false">IF(A372="","",IFERROR(INDEX(Sancoes!$B:$B,MATCH(A372,Sancoes!$A:$A,0))&amp;"","não consta"))</f>
        <v/>
      </c>
      <c r="L372" s="19" t="str">
        <f aca="false">IF(A372="","",IFERROR(INDEX(Eleitoral!$B:$B,MATCH(A372,Eleitoral!$A:$A,0))&amp;"","não consta"))</f>
        <v/>
      </c>
      <c r="M372" s="28" t="str">
        <f aca="false">IF(A372="","",IF(OR(AND(K372&lt;&gt;"",LOWER(K372)&lt;&gt;"não consta"),AND(L372&lt;&gt;"",LOWER(L372)&lt;&gt;"não consta"),IFERROR(INDEX(Empresas!$G:$G,MATCH(A372,Empresas!$A:$A,0))&amp;"","")&lt;&gt;""),"SIM",""))</f>
        <v/>
      </c>
      <c r="N372" s="5"/>
      <c r="O372" s="32" t="str">
        <f aca="false">IF(D372="","",YEAR(D372))</f>
        <v/>
      </c>
      <c r="P372" s="5"/>
    </row>
    <row r="373" customFormat="false" ht="15" hidden="false" customHeight="false" outlineLevel="0" collapsed="false">
      <c r="A373" s="27"/>
      <c r="B373" s="5"/>
      <c r="C373" s="35"/>
      <c r="D373" s="18"/>
      <c r="E373" s="5"/>
      <c r="F373" s="14"/>
      <c r="G373" s="5"/>
      <c r="H373" s="27"/>
      <c r="I373" s="5"/>
      <c r="J373" s="19" t="str">
        <f aca="false">IF(A373="","",IFERROR(INDEX(Empresas!$D:$D,MATCH(A373,Empresas!$A:$A,0))&amp;"","não consta"))</f>
        <v/>
      </c>
      <c r="K373" s="19" t="str">
        <f aca="false">IF(A373="","",IFERROR(INDEX(Sancoes!$B:$B,MATCH(A373,Sancoes!$A:$A,0))&amp;"","não consta"))</f>
        <v/>
      </c>
      <c r="L373" s="19" t="str">
        <f aca="false">IF(A373="","",IFERROR(INDEX(Eleitoral!$B:$B,MATCH(A373,Eleitoral!$A:$A,0))&amp;"","não consta"))</f>
        <v/>
      </c>
      <c r="M373" s="28" t="str">
        <f aca="false">IF(A373="","",IF(OR(AND(K373&lt;&gt;"",LOWER(K373)&lt;&gt;"não consta"),AND(L373&lt;&gt;"",LOWER(L373)&lt;&gt;"não consta"),IFERROR(INDEX(Empresas!$G:$G,MATCH(A373,Empresas!$A:$A,0))&amp;"","")&lt;&gt;""),"SIM",""))</f>
        <v/>
      </c>
      <c r="N373" s="5"/>
      <c r="O373" s="32" t="str">
        <f aca="false">IF(D373="","",YEAR(D373))</f>
        <v/>
      </c>
      <c r="P373" s="5"/>
    </row>
    <row r="374" customFormat="false" ht="15" hidden="false" customHeight="false" outlineLevel="0" collapsed="false">
      <c r="A374" s="27"/>
      <c r="B374" s="5"/>
      <c r="C374" s="35"/>
      <c r="D374" s="18"/>
      <c r="E374" s="5"/>
      <c r="F374" s="14"/>
      <c r="G374" s="5"/>
      <c r="H374" s="27"/>
      <c r="I374" s="5"/>
      <c r="J374" s="19" t="str">
        <f aca="false">IF(A374="","",IFERROR(INDEX(Empresas!$D:$D,MATCH(A374,Empresas!$A:$A,0))&amp;"","não consta"))</f>
        <v/>
      </c>
      <c r="K374" s="19" t="str">
        <f aca="false">IF(A374="","",IFERROR(INDEX(Sancoes!$B:$B,MATCH(A374,Sancoes!$A:$A,0))&amp;"","não consta"))</f>
        <v/>
      </c>
      <c r="L374" s="19" t="str">
        <f aca="false">IF(A374="","",IFERROR(INDEX(Eleitoral!$B:$B,MATCH(A374,Eleitoral!$A:$A,0))&amp;"","não consta"))</f>
        <v/>
      </c>
      <c r="M374" s="28" t="str">
        <f aca="false">IF(A374="","",IF(OR(AND(K374&lt;&gt;"",LOWER(K374)&lt;&gt;"não consta"),AND(L374&lt;&gt;"",LOWER(L374)&lt;&gt;"não consta"),IFERROR(INDEX(Empresas!$G:$G,MATCH(A374,Empresas!$A:$A,0))&amp;"","")&lt;&gt;""),"SIM",""))</f>
        <v/>
      </c>
      <c r="N374" s="5"/>
      <c r="O374" s="32" t="str">
        <f aca="false">IF(D374="","",YEAR(D374))</f>
        <v/>
      </c>
      <c r="P374" s="5"/>
    </row>
    <row r="375" customFormat="false" ht="15" hidden="false" customHeight="false" outlineLevel="0" collapsed="false">
      <c r="A375" s="27"/>
      <c r="B375" s="5"/>
      <c r="C375" s="35"/>
      <c r="D375" s="18"/>
      <c r="E375" s="5"/>
      <c r="F375" s="14"/>
      <c r="G375" s="5"/>
      <c r="H375" s="27"/>
      <c r="I375" s="5"/>
      <c r="J375" s="19" t="str">
        <f aca="false">IF(A375="","",IFERROR(INDEX(Empresas!$D:$D,MATCH(A375,Empresas!$A:$A,0))&amp;"","não consta"))</f>
        <v/>
      </c>
      <c r="K375" s="19" t="str">
        <f aca="false">IF(A375="","",IFERROR(INDEX(Sancoes!$B:$B,MATCH(A375,Sancoes!$A:$A,0))&amp;"","não consta"))</f>
        <v/>
      </c>
      <c r="L375" s="19" t="str">
        <f aca="false">IF(A375="","",IFERROR(INDEX(Eleitoral!$B:$B,MATCH(A375,Eleitoral!$A:$A,0))&amp;"","não consta"))</f>
        <v/>
      </c>
      <c r="M375" s="28" t="str">
        <f aca="false">IF(A375="","",IF(OR(AND(K375&lt;&gt;"",LOWER(K375)&lt;&gt;"não consta"),AND(L375&lt;&gt;"",LOWER(L375)&lt;&gt;"não consta"),IFERROR(INDEX(Empresas!$G:$G,MATCH(A375,Empresas!$A:$A,0))&amp;"","")&lt;&gt;""),"SIM",""))</f>
        <v/>
      </c>
      <c r="N375" s="5"/>
      <c r="O375" s="32" t="str">
        <f aca="false">IF(D375="","",YEAR(D375))</f>
        <v/>
      </c>
      <c r="P375" s="5"/>
    </row>
    <row r="376" customFormat="false" ht="15" hidden="false" customHeight="false" outlineLevel="0" collapsed="false">
      <c r="A376" s="27"/>
      <c r="B376" s="5"/>
      <c r="C376" s="35"/>
      <c r="D376" s="18"/>
      <c r="E376" s="5"/>
      <c r="F376" s="14"/>
      <c r="G376" s="5"/>
      <c r="H376" s="27"/>
      <c r="I376" s="5"/>
      <c r="J376" s="19" t="str">
        <f aca="false">IF(A376="","",IFERROR(INDEX(Empresas!$D:$D,MATCH(A376,Empresas!$A:$A,0))&amp;"","não consta"))</f>
        <v/>
      </c>
      <c r="K376" s="19" t="str">
        <f aca="false">IF(A376="","",IFERROR(INDEX(Sancoes!$B:$B,MATCH(A376,Sancoes!$A:$A,0))&amp;"","não consta"))</f>
        <v/>
      </c>
      <c r="L376" s="19" t="str">
        <f aca="false">IF(A376="","",IFERROR(INDEX(Eleitoral!$B:$B,MATCH(A376,Eleitoral!$A:$A,0))&amp;"","não consta"))</f>
        <v/>
      </c>
      <c r="M376" s="28" t="str">
        <f aca="false">IF(A376="","",IF(OR(AND(K376&lt;&gt;"",LOWER(K376)&lt;&gt;"não consta"),AND(L376&lt;&gt;"",LOWER(L376)&lt;&gt;"não consta"),IFERROR(INDEX(Empresas!$G:$G,MATCH(A376,Empresas!$A:$A,0))&amp;"","")&lt;&gt;""),"SIM",""))</f>
        <v/>
      </c>
      <c r="N376" s="5"/>
      <c r="O376" s="32" t="str">
        <f aca="false">IF(D376="","",YEAR(D376))</f>
        <v/>
      </c>
      <c r="P376" s="5"/>
    </row>
    <row r="377" customFormat="false" ht="15" hidden="false" customHeight="false" outlineLevel="0" collapsed="false">
      <c r="A377" s="27"/>
      <c r="B377" s="5"/>
      <c r="C377" s="35"/>
      <c r="D377" s="18"/>
      <c r="E377" s="5"/>
      <c r="F377" s="14"/>
      <c r="G377" s="5"/>
      <c r="H377" s="27"/>
      <c r="I377" s="5"/>
      <c r="J377" s="19" t="str">
        <f aca="false">IF(A377="","",IFERROR(INDEX(Empresas!$D:$D,MATCH(A377,Empresas!$A:$A,0))&amp;"","não consta"))</f>
        <v/>
      </c>
      <c r="K377" s="19" t="str">
        <f aca="false">IF(A377="","",IFERROR(INDEX(Sancoes!$B:$B,MATCH(A377,Sancoes!$A:$A,0))&amp;"","não consta"))</f>
        <v/>
      </c>
      <c r="L377" s="19" t="str">
        <f aca="false">IF(A377="","",IFERROR(INDEX(Eleitoral!$B:$B,MATCH(A377,Eleitoral!$A:$A,0))&amp;"","não consta"))</f>
        <v/>
      </c>
      <c r="M377" s="28" t="str">
        <f aca="false">IF(A377="","",IF(OR(AND(K377&lt;&gt;"",LOWER(K377)&lt;&gt;"não consta"),AND(L377&lt;&gt;"",LOWER(L377)&lt;&gt;"não consta"),IFERROR(INDEX(Empresas!$G:$G,MATCH(A377,Empresas!$A:$A,0))&amp;"","")&lt;&gt;""),"SIM",""))</f>
        <v/>
      </c>
      <c r="N377" s="5"/>
      <c r="O377" s="32" t="str">
        <f aca="false">IF(D377="","",YEAR(D377))</f>
        <v/>
      </c>
      <c r="P377" s="5"/>
    </row>
    <row r="378" customFormat="false" ht="15" hidden="false" customHeight="false" outlineLevel="0" collapsed="false">
      <c r="A378" s="27"/>
      <c r="B378" s="5"/>
      <c r="C378" s="35"/>
      <c r="D378" s="18"/>
      <c r="E378" s="5"/>
      <c r="F378" s="14"/>
      <c r="G378" s="5"/>
      <c r="H378" s="27"/>
      <c r="I378" s="5"/>
      <c r="J378" s="19" t="str">
        <f aca="false">IF(A378="","",IFERROR(INDEX(Empresas!$D:$D,MATCH(A378,Empresas!$A:$A,0))&amp;"","não consta"))</f>
        <v/>
      </c>
      <c r="K378" s="19" t="str">
        <f aca="false">IF(A378="","",IFERROR(INDEX(Sancoes!$B:$B,MATCH(A378,Sancoes!$A:$A,0))&amp;"","não consta"))</f>
        <v/>
      </c>
      <c r="L378" s="19" t="str">
        <f aca="false">IF(A378="","",IFERROR(INDEX(Eleitoral!$B:$B,MATCH(A378,Eleitoral!$A:$A,0))&amp;"","não consta"))</f>
        <v/>
      </c>
      <c r="M378" s="28" t="str">
        <f aca="false">IF(A378="","",IF(OR(AND(K378&lt;&gt;"",LOWER(K378)&lt;&gt;"não consta"),AND(L378&lt;&gt;"",LOWER(L378)&lt;&gt;"não consta"),IFERROR(INDEX(Empresas!$G:$G,MATCH(A378,Empresas!$A:$A,0))&amp;"","")&lt;&gt;""),"SIM",""))</f>
        <v/>
      </c>
      <c r="N378" s="5"/>
      <c r="O378" s="32" t="str">
        <f aca="false">IF(D378="","",YEAR(D378))</f>
        <v/>
      </c>
      <c r="P378" s="5"/>
    </row>
    <row r="379" customFormat="false" ht="15" hidden="false" customHeight="false" outlineLevel="0" collapsed="false">
      <c r="A379" s="27"/>
      <c r="B379" s="5"/>
      <c r="C379" s="35"/>
      <c r="D379" s="18"/>
      <c r="E379" s="5"/>
      <c r="F379" s="14"/>
      <c r="G379" s="5"/>
      <c r="H379" s="27"/>
      <c r="I379" s="5"/>
      <c r="J379" s="19" t="str">
        <f aca="false">IF(A379="","",IFERROR(INDEX(Empresas!$D:$D,MATCH(A379,Empresas!$A:$A,0))&amp;"","não consta"))</f>
        <v/>
      </c>
      <c r="K379" s="19" t="str">
        <f aca="false">IF(A379="","",IFERROR(INDEX(Sancoes!$B:$B,MATCH(A379,Sancoes!$A:$A,0))&amp;"","não consta"))</f>
        <v/>
      </c>
      <c r="L379" s="19" t="str">
        <f aca="false">IF(A379="","",IFERROR(INDEX(Eleitoral!$B:$B,MATCH(A379,Eleitoral!$A:$A,0))&amp;"","não consta"))</f>
        <v/>
      </c>
      <c r="M379" s="28" t="str">
        <f aca="false">IF(A379="","",IF(OR(AND(K379&lt;&gt;"",LOWER(K379)&lt;&gt;"não consta"),AND(L379&lt;&gt;"",LOWER(L379)&lt;&gt;"não consta"),IFERROR(INDEX(Empresas!$G:$G,MATCH(A379,Empresas!$A:$A,0))&amp;"","")&lt;&gt;""),"SIM",""))</f>
        <v/>
      </c>
      <c r="N379" s="5"/>
      <c r="O379" s="32" t="str">
        <f aca="false">IF(D379="","",YEAR(D379))</f>
        <v/>
      </c>
      <c r="P379" s="5"/>
    </row>
    <row r="380" customFormat="false" ht="15" hidden="false" customHeight="false" outlineLevel="0" collapsed="false">
      <c r="A380" s="27"/>
      <c r="B380" s="5"/>
      <c r="C380" s="35"/>
      <c r="D380" s="18"/>
      <c r="E380" s="5"/>
      <c r="F380" s="14"/>
      <c r="G380" s="5"/>
      <c r="H380" s="27"/>
      <c r="I380" s="5"/>
      <c r="J380" s="19" t="str">
        <f aca="false">IF(A380="","",IFERROR(INDEX(Empresas!$D:$D,MATCH(A380,Empresas!$A:$A,0))&amp;"","não consta"))</f>
        <v/>
      </c>
      <c r="K380" s="19" t="str">
        <f aca="false">IF(A380="","",IFERROR(INDEX(Sancoes!$B:$B,MATCH(A380,Sancoes!$A:$A,0))&amp;"","não consta"))</f>
        <v/>
      </c>
      <c r="L380" s="19" t="str">
        <f aca="false">IF(A380="","",IFERROR(INDEX(Eleitoral!$B:$B,MATCH(A380,Eleitoral!$A:$A,0))&amp;"","não consta"))</f>
        <v/>
      </c>
      <c r="M380" s="28" t="str">
        <f aca="false">IF(A380="","",IF(OR(AND(K380&lt;&gt;"",LOWER(K380)&lt;&gt;"não consta"),AND(L380&lt;&gt;"",LOWER(L380)&lt;&gt;"não consta"),IFERROR(INDEX(Empresas!$G:$G,MATCH(A380,Empresas!$A:$A,0))&amp;"","")&lt;&gt;""),"SIM",""))</f>
        <v/>
      </c>
      <c r="N380" s="5"/>
      <c r="O380" s="32" t="str">
        <f aca="false">IF(D380="","",YEAR(D380))</f>
        <v/>
      </c>
      <c r="P380" s="5"/>
    </row>
    <row r="381" customFormat="false" ht="15" hidden="false" customHeight="false" outlineLevel="0" collapsed="false">
      <c r="A381" s="27"/>
      <c r="B381" s="5"/>
      <c r="C381" s="35"/>
      <c r="D381" s="18"/>
      <c r="E381" s="5"/>
      <c r="F381" s="14"/>
      <c r="G381" s="5"/>
      <c r="H381" s="27"/>
      <c r="I381" s="5"/>
      <c r="J381" s="19" t="str">
        <f aca="false">IF(A381="","",IFERROR(INDEX(Empresas!$D:$D,MATCH(A381,Empresas!$A:$A,0))&amp;"","não consta"))</f>
        <v/>
      </c>
      <c r="K381" s="19" t="str">
        <f aca="false">IF(A381="","",IFERROR(INDEX(Sancoes!$B:$B,MATCH(A381,Sancoes!$A:$A,0))&amp;"","não consta"))</f>
        <v/>
      </c>
      <c r="L381" s="19" t="str">
        <f aca="false">IF(A381="","",IFERROR(INDEX(Eleitoral!$B:$B,MATCH(A381,Eleitoral!$A:$A,0))&amp;"","não consta"))</f>
        <v/>
      </c>
      <c r="M381" s="28" t="str">
        <f aca="false">IF(A381="","",IF(OR(AND(K381&lt;&gt;"",LOWER(K381)&lt;&gt;"não consta"),AND(L381&lt;&gt;"",LOWER(L381)&lt;&gt;"não consta"),IFERROR(INDEX(Empresas!$G:$G,MATCH(A381,Empresas!$A:$A,0))&amp;"","")&lt;&gt;""),"SIM",""))</f>
        <v/>
      </c>
      <c r="N381" s="5"/>
      <c r="O381" s="32" t="str">
        <f aca="false">IF(D381="","",YEAR(D381))</f>
        <v/>
      </c>
      <c r="P381" s="5"/>
    </row>
    <row r="382" customFormat="false" ht="15" hidden="false" customHeight="false" outlineLevel="0" collapsed="false">
      <c r="A382" s="27"/>
      <c r="B382" s="5"/>
      <c r="C382" s="35"/>
      <c r="D382" s="18"/>
      <c r="E382" s="5"/>
      <c r="F382" s="14"/>
      <c r="G382" s="5"/>
      <c r="H382" s="27"/>
      <c r="I382" s="5"/>
      <c r="J382" s="19" t="str">
        <f aca="false">IF(A382="","",IFERROR(INDEX(Empresas!$D:$D,MATCH(A382,Empresas!$A:$A,0))&amp;"","não consta"))</f>
        <v/>
      </c>
      <c r="K382" s="19" t="str">
        <f aca="false">IF(A382="","",IFERROR(INDEX(Sancoes!$B:$B,MATCH(A382,Sancoes!$A:$A,0))&amp;"","não consta"))</f>
        <v/>
      </c>
      <c r="L382" s="19" t="str">
        <f aca="false">IF(A382="","",IFERROR(INDEX(Eleitoral!$B:$B,MATCH(A382,Eleitoral!$A:$A,0))&amp;"","não consta"))</f>
        <v/>
      </c>
      <c r="M382" s="28" t="str">
        <f aca="false">IF(A382="","",IF(OR(AND(K382&lt;&gt;"",LOWER(K382)&lt;&gt;"não consta"),AND(L382&lt;&gt;"",LOWER(L382)&lt;&gt;"não consta"),IFERROR(INDEX(Empresas!$G:$G,MATCH(A382,Empresas!$A:$A,0))&amp;"","")&lt;&gt;""),"SIM",""))</f>
        <v/>
      </c>
      <c r="N382" s="5"/>
      <c r="O382" s="32" t="str">
        <f aca="false">IF(D382="","",YEAR(D382))</f>
        <v/>
      </c>
      <c r="P382" s="5"/>
    </row>
    <row r="383" customFormat="false" ht="15" hidden="false" customHeight="false" outlineLevel="0" collapsed="false">
      <c r="A383" s="27"/>
      <c r="B383" s="5"/>
      <c r="C383" s="35"/>
      <c r="D383" s="18"/>
      <c r="E383" s="5"/>
      <c r="F383" s="14"/>
      <c r="G383" s="5"/>
      <c r="H383" s="27"/>
      <c r="I383" s="5"/>
      <c r="J383" s="19" t="str">
        <f aca="false">IF(A383="","",IFERROR(INDEX(Empresas!$D:$D,MATCH(A383,Empresas!$A:$A,0))&amp;"","não consta"))</f>
        <v/>
      </c>
      <c r="K383" s="19" t="str">
        <f aca="false">IF(A383="","",IFERROR(INDEX(Sancoes!$B:$B,MATCH(A383,Sancoes!$A:$A,0))&amp;"","não consta"))</f>
        <v/>
      </c>
      <c r="L383" s="19" t="str">
        <f aca="false">IF(A383="","",IFERROR(INDEX(Eleitoral!$B:$B,MATCH(A383,Eleitoral!$A:$A,0))&amp;"","não consta"))</f>
        <v/>
      </c>
      <c r="M383" s="28" t="str">
        <f aca="false">IF(A383="","",IF(OR(AND(K383&lt;&gt;"",LOWER(K383)&lt;&gt;"não consta"),AND(L383&lt;&gt;"",LOWER(L383)&lt;&gt;"não consta"),IFERROR(INDEX(Empresas!$G:$G,MATCH(A383,Empresas!$A:$A,0))&amp;"","")&lt;&gt;""),"SIM",""))</f>
        <v/>
      </c>
      <c r="N383" s="5"/>
      <c r="O383" s="32" t="str">
        <f aca="false">IF(D383="","",YEAR(D383))</f>
        <v/>
      </c>
      <c r="P383" s="5"/>
    </row>
    <row r="384" customFormat="false" ht="15" hidden="false" customHeight="false" outlineLevel="0" collapsed="false">
      <c r="A384" s="27"/>
      <c r="B384" s="5"/>
      <c r="C384" s="35"/>
      <c r="D384" s="18"/>
      <c r="E384" s="5"/>
      <c r="F384" s="14"/>
      <c r="G384" s="5"/>
      <c r="H384" s="27"/>
      <c r="I384" s="5"/>
      <c r="J384" s="19" t="str">
        <f aca="false">IF(A384="","",IFERROR(INDEX(Empresas!$D:$D,MATCH(A384,Empresas!$A:$A,0))&amp;"","não consta"))</f>
        <v/>
      </c>
      <c r="K384" s="19" t="str">
        <f aca="false">IF(A384="","",IFERROR(INDEX(Sancoes!$B:$B,MATCH(A384,Sancoes!$A:$A,0))&amp;"","não consta"))</f>
        <v/>
      </c>
      <c r="L384" s="19" t="str">
        <f aca="false">IF(A384="","",IFERROR(INDEX(Eleitoral!$B:$B,MATCH(A384,Eleitoral!$A:$A,0))&amp;"","não consta"))</f>
        <v/>
      </c>
      <c r="M384" s="28" t="str">
        <f aca="false">IF(A384="","",IF(OR(AND(K384&lt;&gt;"",LOWER(K384)&lt;&gt;"não consta"),AND(L384&lt;&gt;"",LOWER(L384)&lt;&gt;"não consta"),IFERROR(INDEX(Empresas!$G:$G,MATCH(A384,Empresas!$A:$A,0))&amp;"","")&lt;&gt;""),"SIM",""))</f>
        <v/>
      </c>
      <c r="N384" s="5"/>
      <c r="O384" s="32" t="str">
        <f aca="false">IF(D384="","",YEAR(D384))</f>
        <v/>
      </c>
      <c r="P384" s="5"/>
    </row>
    <row r="385" customFormat="false" ht="15" hidden="false" customHeight="false" outlineLevel="0" collapsed="false">
      <c r="A385" s="27"/>
      <c r="B385" s="5"/>
      <c r="C385" s="35"/>
      <c r="D385" s="18"/>
      <c r="E385" s="5"/>
      <c r="F385" s="14"/>
      <c r="G385" s="5"/>
      <c r="H385" s="27"/>
      <c r="I385" s="5"/>
      <c r="J385" s="19" t="str">
        <f aca="false">IF(A385="","",IFERROR(INDEX(Empresas!$D:$D,MATCH(A385,Empresas!$A:$A,0))&amp;"","não consta"))</f>
        <v/>
      </c>
      <c r="K385" s="19" t="str">
        <f aca="false">IF(A385="","",IFERROR(INDEX(Sancoes!$B:$B,MATCH(A385,Sancoes!$A:$A,0))&amp;"","não consta"))</f>
        <v/>
      </c>
      <c r="L385" s="19" t="str">
        <f aca="false">IF(A385="","",IFERROR(INDEX(Eleitoral!$B:$B,MATCH(A385,Eleitoral!$A:$A,0))&amp;"","não consta"))</f>
        <v/>
      </c>
      <c r="M385" s="28" t="str">
        <f aca="false">IF(A385="","",IF(OR(AND(K385&lt;&gt;"",LOWER(K385)&lt;&gt;"não consta"),AND(L385&lt;&gt;"",LOWER(L385)&lt;&gt;"não consta"),IFERROR(INDEX(Empresas!$G:$G,MATCH(A385,Empresas!$A:$A,0))&amp;"","")&lt;&gt;""),"SIM",""))</f>
        <v/>
      </c>
      <c r="N385" s="5"/>
      <c r="O385" s="32" t="str">
        <f aca="false">IF(D385="","",YEAR(D385))</f>
        <v/>
      </c>
      <c r="P385" s="5"/>
    </row>
    <row r="386" customFormat="false" ht="15" hidden="false" customHeight="false" outlineLevel="0" collapsed="false">
      <c r="A386" s="27"/>
      <c r="B386" s="5"/>
      <c r="C386" s="35"/>
      <c r="D386" s="18"/>
      <c r="E386" s="5"/>
      <c r="F386" s="14"/>
      <c r="G386" s="5"/>
      <c r="H386" s="27"/>
      <c r="I386" s="5"/>
      <c r="J386" s="19" t="str">
        <f aca="false">IF(A386="","",IFERROR(INDEX(Empresas!$D:$D,MATCH(A386,Empresas!$A:$A,0))&amp;"","não consta"))</f>
        <v/>
      </c>
      <c r="K386" s="19" t="str">
        <f aca="false">IF(A386="","",IFERROR(INDEX(Sancoes!$B:$B,MATCH(A386,Sancoes!$A:$A,0))&amp;"","não consta"))</f>
        <v/>
      </c>
      <c r="L386" s="19" t="str">
        <f aca="false">IF(A386="","",IFERROR(INDEX(Eleitoral!$B:$B,MATCH(A386,Eleitoral!$A:$A,0))&amp;"","não consta"))</f>
        <v/>
      </c>
      <c r="M386" s="28" t="str">
        <f aca="false">IF(A386="","",IF(OR(AND(K386&lt;&gt;"",LOWER(K386)&lt;&gt;"não consta"),AND(L386&lt;&gt;"",LOWER(L386)&lt;&gt;"não consta"),IFERROR(INDEX(Empresas!$G:$G,MATCH(A386,Empresas!$A:$A,0))&amp;"","")&lt;&gt;""),"SIM",""))</f>
        <v/>
      </c>
      <c r="N386" s="5"/>
      <c r="O386" s="32" t="str">
        <f aca="false">IF(D386="","",YEAR(D386))</f>
        <v/>
      </c>
      <c r="P386" s="5"/>
    </row>
    <row r="387" customFormat="false" ht="15" hidden="false" customHeight="false" outlineLevel="0" collapsed="false">
      <c r="A387" s="27"/>
      <c r="B387" s="5"/>
      <c r="C387" s="35"/>
      <c r="D387" s="18"/>
      <c r="E387" s="5"/>
      <c r="F387" s="14"/>
      <c r="G387" s="5"/>
      <c r="H387" s="27"/>
      <c r="I387" s="5"/>
      <c r="J387" s="19" t="str">
        <f aca="false">IF(A387="","",IFERROR(INDEX(Empresas!$D:$D,MATCH(A387,Empresas!$A:$A,0))&amp;"","não consta"))</f>
        <v/>
      </c>
      <c r="K387" s="19" t="str">
        <f aca="false">IF(A387="","",IFERROR(INDEX(Sancoes!$B:$B,MATCH(A387,Sancoes!$A:$A,0))&amp;"","não consta"))</f>
        <v/>
      </c>
      <c r="L387" s="19" t="str">
        <f aca="false">IF(A387="","",IFERROR(INDEX(Eleitoral!$B:$B,MATCH(A387,Eleitoral!$A:$A,0))&amp;"","não consta"))</f>
        <v/>
      </c>
      <c r="M387" s="28" t="str">
        <f aca="false">IF(A387="","",IF(OR(AND(K387&lt;&gt;"",LOWER(K387)&lt;&gt;"não consta"),AND(L387&lt;&gt;"",LOWER(L387)&lt;&gt;"não consta"),IFERROR(INDEX(Empresas!$G:$G,MATCH(A387,Empresas!$A:$A,0))&amp;"","")&lt;&gt;""),"SIM",""))</f>
        <v/>
      </c>
      <c r="N387" s="5"/>
      <c r="O387" s="32" t="str">
        <f aca="false">IF(D387="","",YEAR(D387))</f>
        <v/>
      </c>
      <c r="P387" s="5"/>
    </row>
    <row r="388" customFormat="false" ht="15" hidden="false" customHeight="false" outlineLevel="0" collapsed="false">
      <c r="A388" s="27"/>
      <c r="B388" s="5"/>
      <c r="C388" s="35"/>
      <c r="D388" s="18"/>
      <c r="E388" s="5"/>
      <c r="F388" s="14"/>
      <c r="G388" s="5"/>
      <c r="H388" s="27"/>
      <c r="I388" s="5"/>
      <c r="J388" s="19" t="str">
        <f aca="false">IF(A388="","",IFERROR(INDEX(Empresas!$D:$D,MATCH(A388,Empresas!$A:$A,0))&amp;"","não consta"))</f>
        <v/>
      </c>
      <c r="K388" s="19" t="str">
        <f aca="false">IF(A388="","",IFERROR(INDEX(Sancoes!$B:$B,MATCH(A388,Sancoes!$A:$A,0))&amp;"","não consta"))</f>
        <v/>
      </c>
      <c r="L388" s="19" t="str">
        <f aca="false">IF(A388="","",IFERROR(INDEX(Eleitoral!$B:$B,MATCH(A388,Eleitoral!$A:$A,0))&amp;"","não consta"))</f>
        <v/>
      </c>
      <c r="M388" s="28" t="str">
        <f aca="false">IF(A388="","",IF(OR(AND(K388&lt;&gt;"",LOWER(K388)&lt;&gt;"não consta"),AND(L388&lt;&gt;"",LOWER(L388)&lt;&gt;"não consta"),IFERROR(INDEX(Empresas!$G:$G,MATCH(A388,Empresas!$A:$A,0))&amp;"","")&lt;&gt;""),"SIM",""))</f>
        <v/>
      </c>
      <c r="N388" s="5"/>
      <c r="O388" s="32" t="str">
        <f aca="false">IF(D388="","",YEAR(D388))</f>
        <v/>
      </c>
      <c r="P388" s="5"/>
    </row>
    <row r="389" customFormat="false" ht="15" hidden="false" customHeight="false" outlineLevel="0" collapsed="false">
      <c r="A389" s="27"/>
      <c r="B389" s="5"/>
      <c r="C389" s="35"/>
      <c r="D389" s="18"/>
      <c r="E389" s="5"/>
      <c r="F389" s="14"/>
      <c r="G389" s="5"/>
      <c r="H389" s="27"/>
      <c r="I389" s="5"/>
      <c r="J389" s="19" t="str">
        <f aca="false">IF(A389="","",IFERROR(INDEX(Empresas!$D:$D,MATCH(A389,Empresas!$A:$A,0))&amp;"","não consta"))</f>
        <v/>
      </c>
      <c r="K389" s="19" t="str">
        <f aca="false">IF(A389="","",IFERROR(INDEX(Sancoes!$B:$B,MATCH(A389,Sancoes!$A:$A,0))&amp;"","não consta"))</f>
        <v/>
      </c>
      <c r="L389" s="19" t="str">
        <f aca="false">IF(A389="","",IFERROR(INDEX(Eleitoral!$B:$B,MATCH(A389,Eleitoral!$A:$A,0))&amp;"","não consta"))</f>
        <v/>
      </c>
      <c r="M389" s="28" t="str">
        <f aca="false">IF(A389="","",IF(OR(AND(K389&lt;&gt;"",LOWER(K389)&lt;&gt;"não consta"),AND(L389&lt;&gt;"",LOWER(L389)&lt;&gt;"não consta"),IFERROR(INDEX(Empresas!$G:$G,MATCH(A389,Empresas!$A:$A,0))&amp;"","")&lt;&gt;""),"SIM",""))</f>
        <v/>
      </c>
      <c r="N389" s="5"/>
      <c r="O389" s="32" t="str">
        <f aca="false">IF(D389="","",YEAR(D389))</f>
        <v/>
      </c>
      <c r="P389" s="5"/>
    </row>
    <row r="390" customFormat="false" ht="15" hidden="false" customHeight="false" outlineLevel="0" collapsed="false">
      <c r="A390" s="27"/>
      <c r="B390" s="5"/>
      <c r="C390" s="35"/>
      <c r="D390" s="18"/>
      <c r="E390" s="5"/>
      <c r="F390" s="14"/>
      <c r="G390" s="5"/>
      <c r="H390" s="27"/>
      <c r="I390" s="5"/>
      <c r="J390" s="19" t="str">
        <f aca="false">IF(A390="","",IFERROR(INDEX(Empresas!$D:$D,MATCH(A390,Empresas!$A:$A,0))&amp;"","não consta"))</f>
        <v/>
      </c>
      <c r="K390" s="19" t="str">
        <f aca="false">IF(A390="","",IFERROR(INDEX(Sancoes!$B:$B,MATCH(A390,Sancoes!$A:$A,0))&amp;"","não consta"))</f>
        <v/>
      </c>
      <c r="L390" s="19" t="str">
        <f aca="false">IF(A390="","",IFERROR(INDEX(Eleitoral!$B:$B,MATCH(A390,Eleitoral!$A:$A,0))&amp;"","não consta"))</f>
        <v/>
      </c>
      <c r="M390" s="28" t="str">
        <f aca="false">IF(A390="","",IF(OR(AND(K390&lt;&gt;"",LOWER(K390)&lt;&gt;"não consta"),AND(L390&lt;&gt;"",LOWER(L390)&lt;&gt;"não consta"),IFERROR(INDEX(Empresas!$G:$G,MATCH(A390,Empresas!$A:$A,0))&amp;"","")&lt;&gt;""),"SIM",""))</f>
        <v/>
      </c>
      <c r="N390" s="5"/>
      <c r="O390" s="32" t="str">
        <f aca="false">IF(D390="","",YEAR(D390))</f>
        <v/>
      </c>
      <c r="P390" s="5"/>
    </row>
    <row r="391" customFormat="false" ht="15" hidden="false" customHeight="false" outlineLevel="0" collapsed="false">
      <c r="A391" s="27"/>
      <c r="B391" s="5"/>
      <c r="C391" s="35"/>
      <c r="D391" s="18"/>
      <c r="E391" s="5"/>
      <c r="F391" s="14"/>
      <c r="G391" s="5"/>
      <c r="H391" s="27"/>
      <c r="I391" s="5"/>
      <c r="J391" s="19" t="str">
        <f aca="false">IF(A391="","",IFERROR(INDEX(Empresas!$D:$D,MATCH(A391,Empresas!$A:$A,0))&amp;"","não consta"))</f>
        <v/>
      </c>
      <c r="K391" s="19" t="str">
        <f aca="false">IF(A391="","",IFERROR(INDEX(Sancoes!$B:$B,MATCH(A391,Sancoes!$A:$A,0))&amp;"","não consta"))</f>
        <v/>
      </c>
      <c r="L391" s="19" t="str">
        <f aca="false">IF(A391="","",IFERROR(INDEX(Eleitoral!$B:$B,MATCH(A391,Eleitoral!$A:$A,0))&amp;"","não consta"))</f>
        <v/>
      </c>
      <c r="M391" s="28" t="str">
        <f aca="false">IF(A391="","",IF(OR(AND(K391&lt;&gt;"",LOWER(K391)&lt;&gt;"não consta"),AND(L391&lt;&gt;"",LOWER(L391)&lt;&gt;"não consta"),IFERROR(INDEX(Empresas!$G:$G,MATCH(A391,Empresas!$A:$A,0))&amp;"","")&lt;&gt;""),"SIM",""))</f>
        <v/>
      </c>
      <c r="N391" s="5"/>
      <c r="O391" s="32" t="str">
        <f aca="false">IF(D391="","",YEAR(D391))</f>
        <v/>
      </c>
      <c r="P391" s="5"/>
    </row>
    <row r="392" customFormat="false" ht="15" hidden="false" customHeight="false" outlineLevel="0" collapsed="false">
      <c r="A392" s="27"/>
      <c r="B392" s="5"/>
      <c r="C392" s="35"/>
      <c r="D392" s="18"/>
      <c r="E392" s="5"/>
      <c r="F392" s="14"/>
      <c r="G392" s="5"/>
      <c r="H392" s="27"/>
      <c r="I392" s="5"/>
      <c r="J392" s="19" t="str">
        <f aca="false">IF(A392="","",IFERROR(INDEX(Empresas!$D:$D,MATCH(A392,Empresas!$A:$A,0))&amp;"","não consta"))</f>
        <v/>
      </c>
      <c r="K392" s="19" t="str">
        <f aca="false">IF(A392="","",IFERROR(INDEX(Sancoes!$B:$B,MATCH(A392,Sancoes!$A:$A,0))&amp;"","não consta"))</f>
        <v/>
      </c>
      <c r="L392" s="19" t="str">
        <f aca="false">IF(A392="","",IFERROR(INDEX(Eleitoral!$B:$B,MATCH(A392,Eleitoral!$A:$A,0))&amp;"","não consta"))</f>
        <v/>
      </c>
      <c r="M392" s="28" t="str">
        <f aca="false">IF(A392="","",IF(OR(AND(K392&lt;&gt;"",LOWER(K392)&lt;&gt;"não consta"),AND(L392&lt;&gt;"",LOWER(L392)&lt;&gt;"não consta"),IFERROR(INDEX(Empresas!$G:$G,MATCH(A392,Empresas!$A:$A,0))&amp;"","")&lt;&gt;""),"SIM",""))</f>
        <v/>
      </c>
      <c r="N392" s="5"/>
      <c r="O392" s="32" t="str">
        <f aca="false">IF(D392="","",YEAR(D392))</f>
        <v/>
      </c>
      <c r="P392" s="5"/>
    </row>
    <row r="393" customFormat="false" ht="15" hidden="false" customHeight="false" outlineLevel="0" collapsed="false">
      <c r="A393" s="27"/>
      <c r="B393" s="5"/>
      <c r="C393" s="35"/>
      <c r="D393" s="18"/>
      <c r="E393" s="5"/>
      <c r="F393" s="14"/>
      <c r="G393" s="5"/>
      <c r="H393" s="27"/>
      <c r="I393" s="5"/>
      <c r="J393" s="19" t="str">
        <f aca="false">IF(A393="","",IFERROR(INDEX(Empresas!$D:$D,MATCH(A393,Empresas!$A:$A,0))&amp;"","não consta"))</f>
        <v/>
      </c>
      <c r="K393" s="19" t="str">
        <f aca="false">IF(A393="","",IFERROR(INDEX(Sancoes!$B:$B,MATCH(A393,Sancoes!$A:$A,0))&amp;"","não consta"))</f>
        <v/>
      </c>
      <c r="L393" s="19" t="str">
        <f aca="false">IF(A393="","",IFERROR(INDEX(Eleitoral!$B:$B,MATCH(A393,Eleitoral!$A:$A,0))&amp;"","não consta"))</f>
        <v/>
      </c>
      <c r="M393" s="28" t="str">
        <f aca="false">IF(A393="","",IF(OR(AND(K393&lt;&gt;"",LOWER(K393)&lt;&gt;"não consta"),AND(L393&lt;&gt;"",LOWER(L393)&lt;&gt;"não consta"),IFERROR(INDEX(Empresas!$G:$G,MATCH(A393,Empresas!$A:$A,0))&amp;"","")&lt;&gt;""),"SIM",""))</f>
        <v/>
      </c>
      <c r="N393" s="5"/>
      <c r="O393" s="32" t="str">
        <f aca="false">IF(D393="","",YEAR(D393))</f>
        <v/>
      </c>
      <c r="P393" s="5"/>
    </row>
    <row r="394" customFormat="false" ht="15" hidden="false" customHeight="false" outlineLevel="0" collapsed="false">
      <c r="A394" s="27"/>
      <c r="B394" s="5"/>
      <c r="C394" s="35"/>
      <c r="D394" s="18"/>
      <c r="E394" s="5"/>
      <c r="F394" s="14"/>
      <c r="G394" s="5"/>
      <c r="H394" s="27"/>
      <c r="I394" s="5"/>
      <c r="J394" s="19" t="str">
        <f aca="false">IF(A394="","",IFERROR(INDEX(Empresas!$D:$D,MATCH(A394,Empresas!$A:$A,0))&amp;"","não consta"))</f>
        <v/>
      </c>
      <c r="K394" s="19" t="str">
        <f aca="false">IF(A394="","",IFERROR(INDEX(Sancoes!$B:$B,MATCH(A394,Sancoes!$A:$A,0))&amp;"","não consta"))</f>
        <v/>
      </c>
      <c r="L394" s="19" t="str">
        <f aca="false">IF(A394="","",IFERROR(INDEX(Eleitoral!$B:$B,MATCH(A394,Eleitoral!$A:$A,0))&amp;"","não consta"))</f>
        <v/>
      </c>
      <c r="M394" s="28" t="str">
        <f aca="false">IF(A394="","",IF(OR(AND(K394&lt;&gt;"",LOWER(K394)&lt;&gt;"não consta"),AND(L394&lt;&gt;"",LOWER(L394)&lt;&gt;"não consta"),IFERROR(INDEX(Empresas!$G:$G,MATCH(A394,Empresas!$A:$A,0))&amp;"","")&lt;&gt;""),"SIM",""))</f>
        <v/>
      </c>
      <c r="N394" s="5"/>
      <c r="O394" s="32" t="str">
        <f aca="false">IF(D394="","",YEAR(D394))</f>
        <v/>
      </c>
      <c r="P394" s="5"/>
    </row>
    <row r="395" customFormat="false" ht="15" hidden="false" customHeight="false" outlineLevel="0" collapsed="false">
      <c r="A395" s="27"/>
      <c r="B395" s="5"/>
      <c r="C395" s="35"/>
      <c r="D395" s="18"/>
      <c r="E395" s="5"/>
      <c r="F395" s="14"/>
      <c r="G395" s="5"/>
      <c r="H395" s="27"/>
      <c r="I395" s="5"/>
      <c r="J395" s="19" t="str">
        <f aca="false">IF(A395="","",IFERROR(INDEX(Empresas!$D:$D,MATCH(A395,Empresas!$A:$A,0))&amp;"","não consta"))</f>
        <v/>
      </c>
      <c r="K395" s="19" t="str">
        <f aca="false">IF(A395="","",IFERROR(INDEX(Sancoes!$B:$B,MATCH(A395,Sancoes!$A:$A,0))&amp;"","não consta"))</f>
        <v/>
      </c>
      <c r="L395" s="19" t="str">
        <f aca="false">IF(A395="","",IFERROR(INDEX(Eleitoral!$B:$B,MATCH(A395,Eleitoral!$A:$A,0))&amp;"","não consta"))</f>
        <v/>
      </c>
      <c r="M395" s="28" t="str">
        <f aca="false">IF(A395="","",IF(OR(AND(K395&lt;&gt;"",LOWER(K395)&lt;&gt;"não consta"),AND(L395&lt;&gt;"",LOWER(L395)&lt;&gt;"não consta"),IFERROR(INDEX(Empresas!$G:$G,MATCH(A395,Empresas!$A:$A,0))&amp;"","")&lt;&gt;""),"SIM",""))</f>
        <v/>
      </c>
      <c r="N395" s="5"/>
      <c r="O395" s="32" t="str">
        <f aca="false">IF(D395="","",YEAR(D395))</f>
        <v/>
      </c>
      <c r="P395" s="5"/>
    </row>
    <row r="396" customFormat="false" ht="15" hidden="false" customHeight="false" outlineLevel="0" collapsed="false">
      <c r="A396" s="27"/>
      <c r="B396" s="5"/>
      <c r="C396" s="35"/>
      <c r="D396" s="18"/>
      <c r="E396" s="5"/>
      <c r="F396" s="14"/>
      <c r="G396" s="5"/>
      <c r="H396" s="27"/>
      <c r="I396" s="5"/>
      <c r="J396" s="19" t="str">
        <f aca="false">IF(A396="","",IFERROR(INDEX(Empresas!$D:$D,MATCH(A396,Empresas!$A:$A,0))&amp;"","não consta"))</f>
        <v/>
      </c>
      <c r="K396" s="19" t="str">
        <f aca="false">IF(A396="","",IFERROR(INDEX(Sancoes!$B:$B,MATCH(A396,Sancoes!$A:$A,0))&amp;"","não consta"))</f>
        <v/>
      </c>
      <c r="L396" s="19" t="str">
        <f aca="false">IF(A396="","",IFERROR(INDEX(Eleitoral!$B:$B,MATCH(A396,Eleitoral!$A:$A,0))&amp;"","não consta"))</f>
        <v/>
      </c>
      <c r="M396" s="28" t="str">
        <f aca="false">IF(A396="","",IF(OR(AND(K396&lt;&gt;"",LOWER(K396)&lt;&gt;"não consta"),AND(L396&lt;&gt;"",LOWER(L396)&lt;&gt;"não consta"),IFERROR(INDEX(Empresas!$G:$G,MATCH(A396,Empresas!$A:$A,0))&amp;"","")&lt;&gt;""),"SIM",""))</f>
        <v/>
      </c>
      <c r="N396" s="5"/>
      <c r="O396" s="32" t="str">
        <f aca="false">IF(D396="","",YEAR(D396))</f>
        <v/>
      </c>
      <c r="P396" s="5"/>
    </row>
    <row r="397" customFormat="false" ht="15" hidden="false" customHeight="false" outlineLevel="0" collapsed="false">
      <c r="A397" s="27"/>
      <c r="B397" s="5"/>
      <c r="C397" s="35"/>
      <c r="D397" s="18"/>
      <c r="E397" s="5"/>
      <c r="F397" s="14"/>
      <c r="G397" s="5"/>
      <c r="H397" s="27"/>
      <c r="I397" s="5"/>
      <c r="J397" s="19" t="str">
        <f aca="false">IF(A397="","",IFERROR(INDEX(Empresas!$D:$D,MATCH(A397,Empresas!$A:$A,0))&amp;"","não consta"))</f>
        <v/>
      </c>
      <c r="K397" s="19" t="str">
        <f aca="false">IF(A397="","",IFERROR(INDEX(Sancoes!$B:$B,MATCH(A397,Sancoes!$A:$A,0))&amp;"","não consta"))</f>
        <v/>
      </c>
      <c r="L397" s="19" t="str">
        <f aca="false">IF(A397="","",IFERROR(INDEX(Eleitoral!$B:$B,MATCH(A397,Eleitoral!$A:$A,0))&amp;"","não consta"))</f>
        <v/>
      </c>
      <c r="M397" s="28" t="str">
        <f aca="false">IF(A397="","",IF(OR(AND(K397&lt;&gt;"",LOWER(K397)&lt;&gt;"não consta"),AND(L397&lt;&gt;"",LOWER(L397)&lt;&gt;"não consta"),IFERROR(INDEX(Empresas!$G:$G,MATCH(A397,Empresas!$A:$A,0))&amp;"","")&lt;&gt;""),"SIM",""))</f>
        <v/>
      </c>
      <c r="N397" s="5"/>
      <c r="O397" s="32" t="str">
        <f aca="false">IF(D397="","",YEAR(D397))</f>
        <v/>
      </c>
      <c r="P397" s="5"/>
    </row>
    <row r="398" customFormat="false" ht="15" hidden="false" customHeight="false" outlineLevel="0" collapsed="false">
      <c r="A398" s="27"/>
      <c r="B398" s="5"/>
      <c r="C398" s="35"/>
      <c r="D398" s="18"/>
      <c r="E398" s="5"/>
      <c r="F398" s="14"/>
      <c r="G398" s="5"/>
      <c r="H398" s="27"/>
      <c r="I398" s="5"/>
      <c r="J398" s="19" t="str">
        <f aca="false">IF(A398="","",IFERROR(INDEX(Empresas!$D:$D,MATCH(A398,Empresas!$A:$A,0))&amp;"","não consta"))</f>
        <v/>
      </c>
      <c r="K398" s="19" t="str">
        <f aca="false">IF(A398="","",IFERROR(INDEX(Sancoes!$B:$B,MATCH(A398,Sancoes!$A:$A,0))&amp;"","não consta"))</f>
        <v/>
      </c>
      <c r="L398" s="19" t="str">
        <f aca="false">IF(A398="","",IFERROR(INDEX(Eleitoral!$B:$B,MATCH(A398,Eleitoral!$A:$A,0))&amp;"","não consta"))</f>
        <v/>
      </c>
      <c r="M398" s="28" t="str">
        <f aca="false">IF(A398="","",IF(OR(AND(K398&lt;&gt;"",LOWER(K398)&lt;&gt;"não consta"),AND(L398&lt;&gt;"",LOWER(L398)&lt;&gt;"não consta"),IFERROR(INDEX(Empresas!$G:$G,MATCH(A398,Empresas!$A:$A,0))&amp;"","")&lt;&gt;""),"SIM",""))</f>
        <v/>
      </c>
      <c r="N398" s="5"/>
      <c r="O398" s="32" t="str">
        <f aca="false">IF(D398="","",YEAR(D398))</f>
        <v/>
      </c>
      <c r="P398" s="5"/>
    </row>
    <row r="399" customFormat="false" ht="15" hidden="false" customHeight="false" outlineLevel="0" collapsed="false">
      <c r="A399" s="27"/>
      <c r="B399" s="5"/>
      <c r="C399" s="35"/>
      <c r="D399" s="18"/>
      <c r="E399" s="5"/>
      <c r="F399" s="14"/>
      <c r="G399" s="5"/>
      <c r="H399" s="27"/>
      <c r="I399" s="5"/>
      <c r="J399" s="19" t="str">
        <f aca="false">IF(A399="","",IFERROR(INDEX(Empresas!$D:$D,MATCH(A399,Empresas!$A:$A,0))&amp;"","não consta"))</f>
        <v/>
      </c>
      <c r="K399" s="19" t="str">
        <f aca="false">IF(A399="","",IFERROR(INDEX(Sancoes!$B:$B,MATCH(A399,Sancoes!$A:$A,0))&amp;"","não consta"))</f>
        <v/>
      </c>
      <c r="L399" s="19" t="str">
        <f aca="false">IF(A399="","",IFERROR(INDEX(Eleitoral!$B:$B,MATCH(A399,Eleitoral!$A:$A,0))&amp;"","não consta"))</f>
        <v/>
      </c>
      <c r="M399" s="28" t="str">
        <f aca="false">IF(A399="","",IF(OR(AND(K399&lt;&gt;"",LOWER(K399)&lt;&gt;"não consta"),AND(L399&lt;&gt;"",LOWER(L399)&lt;&gt;"não consta"),IFERROR(INDEX(Empresas!$G:$G,MATCH(A399,Empresas!$A:$A,0))&amp;"","")&lt;&gt;""),"SIM",""))</f>
        <v/>
      </c>
      <c r="N399" s="5"/>
      <c r="O399" s="32" t="str">
        <f aca="false">IF(D399="","",YEAR(D399))</f>
        <v/>
      </c>
      <c r="P399" s="5"/>
    </row>
    <row r="400" customFormat="false" ht="15" hidden="false" customHeight="false" outlineLevel="0" collapsed="false">
      <c r="A400" s="27"/>
      <c r="B400" s="5"/>
      <c r="C400" s="35"/>
      <c r="D400" s="18"/>
      <c r="E400" s="5"/>
      <c r="F400" s="14"/>
      <c r="G400" s="5"/>
      <c r="H400" s="27"/>
      <c r="I400" s="5"/>
      <c r="J400" s="19" t="str">
        <f aca="false">IF(A400="","",IFERROR(INDEX(Empresas!$D:$D,MATCH(A400,Empresas!$A:$A,0))&amp;"","não consta"))</f>
        <v/>
      </c>
      <c r="K400" s="19" t="str">
        <f aca="false">IF(A400="","",IFERROR(INDEX(Sancoes!$B:$B,MATCH(A400,Sancoes!$A:$A,0))&amp;"","não consta"))</f>
        <v/>
      </c>
      <c r="L400" s="19" t="str">
        <f aca="false">IF(A400="","",IFERROR(INDEX(Eleitoral!$B:$B,MATCH(A400,Eleitoral!$A:$A,0))&amp;"","não consta"))</f>
        <v/>
      </c>
      <c r="M400" s="28" t="str">
        <f aca="false">IF(A400="","",IF(OR(AND(K400&lt;&gt;"",LOWER(K400)&lt;&gt;"não consta"),AND(L400&lt;&gt;"",LOWER(L400)&lt;&gt;"não consta"),IFERROR(INDEX(Empresas!$G:$G,MATCH(A400,Empresas!$A:$A,0))&amp;"","")&lt;&gt;""),"SIM",""))</f>
        <v/>
      </c>
      <c r="N400" s="5"/>
      <c r="O400" s="32" t="str">
        <f aca="false">IF(D400="","",YEAR(D400))</f>
        <v/>
      </c>
      <c r="P400" s="5"/>
    </row>
    <row r="401" customFormat="false" ht="15" hidden="false" customHeight="false" outlineLevel="0" collapsed="false">
      <c r="A401" s="27"/>
      <c r="B401" s="5"/>
      <c r="C401" s="35"/>
      <c r="D401" s="18"/>
      <c r="E401" s="5"/>
      <c r="F401" s="14"/>
      <c r="G401" s="5"/>
      <c r="H401" s="27"/>
      <c r="I401" s="5"/>
      <c r="J401" s="19" t="str">
        <f aca="false">IF(A401="","",IFERROR(INDEX(Empresas!$D:$D,MATCH(A401,Empresas!$A:$A,0))&amp;"","não consta"))</f>
        <v/>
      </c>
      <c r="K401" s="19" t="str">
        <f aca="false">IF(A401="","",IFERROR(INDEX(Sancoes!$B:$B,MATCH(A401,Sancoes!$A:$A,0))&amp;"","não consta"))</f>
        <v/>
      </c>
      <c r="L401" s="19" t="str">
        <f aca="false">IF(A401="","",IFERROR(INDEX(Eleitoral!$B:$B,MATCH(A401,Eleitoral!$A:$A,0))&amp;"","não consta"))</f>
        <v/>
      </c>
      <c r="M401" s="28" t="str">
        <f aca="false">IF(A401="","",IF(OR(AND(K401&lt;&gt;"",LOWER(K401)&lt;&gt;"não consta"),AND(L401&lt;&gt;"",LOWER(L401)&lt;&gt;"não consta"),IFERROR(INDEX(Empresas!$G:$G,MATCH(A401,Empresas!$A:$A,0))&amp;"","")&lt;&gt;""),"SIM",""))</f>
        <v/>
      </c>
      <c r="N401" s="5"/>
      <c r="O401" s="32" t="str">
        <f aca="false">IF(D401="","",YEAR(D401))</f>
        <v/>
      </c>
      <c r="P401" s="5"/>
    </row>
    <row r="402" customFormat="false" ht="15" hidden="false" customHeight="false" outlineLevel="0" collapsed="false">
      <c r="A402" s="27"/>
      <c r="B402" s="5"/>
      <c r="C402" s="35"/>
      <c r="D402" s="18"/>
      <c r="E402" s="5"/>
      <c r="F402" s="14"/>
      <c r="G402" s="5"/>
      <c r="H402" s="27"/>
      <c r="I402" s="5"/>
      <c r="J402" s="19" t="str">
        <f aca="false">IF(A402="","",IFERROR(INDEX(Empresas!$D:$D,MATCH(A402,Empresas!$A:$A,0))&amp;"","não consta"))</f>
        <v/>
      </c>
      <c r="K402" s="19" t="str">
        <f aca="false">IF(A402="","",IFERROR(INDEX(Sancoes!$B:$B,MATCH(A402,Sancoes!$A:$A,0))&amp;"","não consta"))</f>
        <v/>
      </c>
      <c r="L402" s="19" t="str">
        <f aca="false">IF(A402="","",IFERROR(INDEX(Eleitoral!$B:$B,MATCH(A402,Eleitoral!$A:$A,0))&amp;"","não consta"))</f>
        <v/>
      </c>
      <c r="M402" s="28" t="str">
        <f aca="false">IF(A402="","",IF(OR(AND(K402&lt;&gt;"",LOWER(K402)&lt;&gt;"não consta"),AND(L402&lt;&gt;"",LOWER(L402)&lt;&gt;"não consta"),IFERROR(INDEX(Empresas!$G:$G,MATCH(A402,Empresas!$A:$A,0))&amp;"","")&lt;&gt;""),"SIM",""))</f>
        <v/>
      </c>
      <c r="N402" s="5"/>
      <c r="O402" s="32" t="str">
        <f aca="false">IF(D402="","",YEAR(D402))</f>
        <v/>
      </c>
      <c r="P402" s="5"/>
    </row>
    <row r="403" customFormat="false" ht="15" hidden="false" customHeight="false" outlineLevel="0" collapsed="false">
      <c r="A403" s="27"/>
      <c r="B403" s="5"/>
      <c r="C403" s="35"/>
      <c r="D403" s="18"/>
      <c r="E403" s="5"/>
      <c r="F403" s="14"/>
      <c r="G403" s="5"/>
      <c r="H403" s="27"/>
      <c r="I403" s="5"/>
      <c r="J403" s="19" t="str">
        <f aca="false">IF(A403="","",IFERROR(INDEX(Empresas!$D:$D,MATCH(A403,Empresas!$A:$A,0))&amp;"","não consta"))</f>
        <v/>
      </c>
      <c r="K403" s="19" t="str">
        <f aca="false">IF(A403="","",IFERROR(INDEX(Sancoes!$B:$B,MATCH(A403,Sancoes!$A:$A,0))&amp;"","não consta"))</f>
        <v/>
      </c>
      <c r="L403" s="19" t="str">
        <f aca="false">IF(A403="","",IFERROR(INDEX(Eleitoral!$B:$B,MATCH(A403,Eleitoral!$A:$A,0))&amp;"","não consta"))</f>
        <v/>
      </c>
      <c r="M403" s="28" t="str">
        <f aca="false">IF(A403="","",IF(OR(AND(K403&lt;&gt;"",LOWER(K403)&lt;&gt;"não consta"),AND(L403&lt;&gt;"",LOWER(L403)&lt;&gt;"não consta"),IFERROR(INDEX(Empresas!$G:$G,MATCH(A403,Empresas!$A:$A,0))&amp;"","")&lt;&gt;""),"SIM",""))</f>
        <v/>
      </c>
      <c r="N403" s="5"/>
      <c r="O403" s="32" t="str">
        <f aca="false">IF(D403="","",YEAR(D403))</f>
        <v/>
      </c>
      <c r="P403" s="5"/>
    </row>
    <row r="404" customFormat="false" ht="15" hidden="false" customHeight="false" outlineLevel="0" collapsed="false">
      <c r="A404" s="27"/>
      <c r="B404" s="5"/>
      <c r="C404" s="35"/>
      <c r="D404" s="18"/>
      <c r="E404" s="5"/>
      <c r="F404" s="14"/>
      <c r="G404" s="5"/>
      <c r="H404" s="27"/>
      <c r="I404" s="5"/>
      <c r="J404" s="19" t="str">
        <f aca="false">IF(A404="","",IFERROR(INDEX(Empresas!$D:$D,MATCH(A404,Empresas!$A:$A,0))&amp;"","não consta"))</f>
        <v/>
      </c>
      <c r="K404" s="19" t="str">
        <f aca="false">IF(A404="","",IFERROR(INDEX(Sancoes!$B:$B,MATCH(A404,Sancoes!$A:$A,0))&amp;"","não consta"))</f>
        <v/>
      </c>
      <c r="L404" s="19" t="str">
        <f aca="false">IF(A404="","",IFERROR(INDEX(Eleitoral!$B:$B,MATCH(A404,Eleitoral!$A:$A,0))&amp;"","não consta"))</f>
        <v/>
      </c>
      <c r="M404" s="28" t="str">
        <f aca="false">IF(A404="","",IF(OR(AND(K404&lt;&gt;"",LOWER(K404)&lt;&gt;"não consta"),AND(L404&lt;&gt;"",LOWER(L404)&lt;&gt;"não consta"),IFERROR(INDEX(Empresas!$G:$G,MATCH(A404,Empresas!$A:$A,0))&amp;"","")&lt;&gt;""),"SIM",""))</f>
        <v/>
      </c>
      <c r="N404" s="5"/>
      <c r="O404" s="32" t="str">
        <f aca="false">IF(D404="","",YEAR(D404))</f>
        <v/>
      </c>
      <c r="P404" s="5"/>
    </row>
    <row r="405" customFormat="false" ht="15" hidden="false" customHeight="false" outlineLevel="0" collapsed="false">
      <c r="A405" s="27"/>
      <c r="B405" s="5"/>
      <c r="C405" s="35"/>
      <c r="D405" s="18"/>
      <c r="E405" s="5"/>
      <c r="F405" s="14"/>
      <c r="G405" s="5"/>
      <c r="H405" s="27"/>
      <c r="I405" s="5"/>
      <c r="J405" s="19" t="str">
        <f aca="false">IF(A405="","",IFERROR(INDEX(Empresas!$D:$D,MATCH(A405,Empresas!$A:$A,0))&amp;"","não consta"))</f>
        <v/>
      </c>
      <c r="K405" s="19" t="str">
        <f aca="false">IF(A405="","",IFERROR(INDEX(Sancoes!$B:$B,MATCH(A405,Sancoes!$A:$A,0))&amp;"","não consta"))</f>
        <v/>
      </c>
      <c r="L405" s="19" t="str">
        <f aca="false">IF(A405="","",IFERROR(INDEX(Eleitoral!$B:$B,MATCH(A405,Eleitoral!$A:$A,0))&amp;"","não consta"))</f>
        <v/>
      </c>
      <c r="M405" s="28" t="str">
        <f aca="false">IF(A405="","",IF(OR(AND(K405&lt;&gt;"",LOWER(K405)&lt;&gt;"não consta"),AND(L405&lt;&gt;"",LOWER(L405)&lt;&gt;"não consta"),IFERROR(INDEX(Empresas!$G:$G,MATCH(A405,Empresas!$A:$A,0))&amp;"","")&lt;&gt;""),"SIM",""))</f>
        <v/>
      </c>
      <c r="N405" s="5"/>
      <c r="O405" s="32" t="str">
        <f aca="false">IF(D405="","",YEAR(D405))</f>
        <v/>
      </c>
      <c r="P405" s="5"/>
    </row>
    <row r="406" customFormat="false" ht="15" hidden="false" customHeight="false" outlineLevel="0" collapsed="false">
      <c r="A406" s="27"/>
      <c r="B406" s="5"/>
      <c r="C406" s="35"/>
      <c r="D406" s="18"/>
      <c r="E406" s="5"/>
      <c r="F406" s="14"/>
      <c r="G406" s="5"/>
      <c r="H406" s="27"/>
      <c r="I406" s="5"/>
      <c r="J406" s="19" t="str">
        <f aca="false">IF(A406="","",IFERROR(INDEX(Empresas!$D:$D,MATCH(A406,Empresas!$A:$A,0))&amp;"","não consta"))</f>
        <v/>
      </c>
      <c r="K406" s="19" t="str">
        <f aca="false">IF(A406="","",IFERROR(INDEX(Sancoes!$B:$B,MATCH(A406,Sancoes!$A:$A,0))&amp;"","não consta"))</f>
        <v/>
      </c>
      <c r="L406" s="19" t="str">
        <f aca="false">IF(A406="","",IFERROR(INDEX(Eleitoral!$B:$B,MATCH(A406,Eleitoral!$A:$A,0))&amp;"","não consta"))</f>
        <v/>
      </c>
      <c r="M406" s="28" t="str">
        <f aca="false">IF(A406="","",IF(OR(AND(K406&lt;&gt;"",LOWER(K406)&lt;&gt;"não consta"),AND(L406&lt;&gt;"",LOWER(L406)&lt;&gt;"não consta"),IFERROR(INDEX(Empresas!$G:$G,MATCH(A406,Empresas!$A:$A,0))&amp;"","")&lt;&gt;""),"SIM",""))</f>
        <v/>
      </c>
      <c r="N406" s="5"/>
      <c r="O406" s="32" t="str">
        <f aca="false">IF(D406="","",YEAR(D406))</f>
        <v/>
      </c>
      <c r="P406" s="5"/>
    </row>
    <row r="407" customFormat="false" ht="15" hidden="false" customHeight="false" outlineLevel="0" collapsed="false">
      <c r="A407" s="27"/>
      <c r="B407" s="5"/>
      <c r="C407" s="35"/>
      <c r="D407" s="18"/>
      <c r="E407" s="5"/>
      <c r="F407" s="14"/>
      <c r="G407" s="5"/>
      <c r="H407" s="27"/>
      <c r="I407" s="5"/>
      <c r="J407" s="19" t="str">
        <f aca="false">IF(A407="","",IFERROR(INDEX(Empresas!$D:$D,MATCH(A407,Empresas!$A:$A,0))&amp;"","não consta"))</f>
        <v/>
      </c>
      <c r="K407" s="19" t="str">
        <f aca="false">IF(A407="","",IFERROR(INDEX(Sancoes!$B:$B,MATCH(A407,Sancoes!$A:$A,0))&amp;"","não consta"))</f>
        <v/>
      </c>
      <c r="L407" s="19" t="str">
        <f aca="false">IF(A407="","",IFERROR(INDEX(Eleitoral!$B:$B,MATCH(A407,Eleitoral!$A:$A,0))&amp;"","não consta"))</f>
        <v/>
      </c>
      <c r="M407" s="28" t="str">
        <f aca="false">IF(A407="","",IF(OR(AND(K407&lt;&gt;"",LOWER(K407)&lt;&gt;"não consta"),AND(L407&lt;&gt;"",LOWER(L407)&lt;&gt;"não consta"),IFERROR(INDEX(Empresas!$G:$G,MATCH(A407,Empresas!$A:$A,0))&amp;"","")&lt;&gt;""),"SIM",""))</f>
        <v/>
      </c>
      <c r="N407" s="5"/>
      <c r="O407" s="32" t="str">
        <f aca="false">IF(D407="","",YEAR(D407))</f>
        <v/>
      </c>
      <c r="P407" s="5"/>
    </row>
    <row r="408" customFormat="false" ht="15" hidden="false" customHeight="false" outlineLevel="0" collapsed="false">
      <c r="A408" s="27"/>
      <c r="B408" s="5"/>
      <c r="C408" s="35"/>
      <c r="D408" s="18"/>
      <c r="E408" s="5"/>
      <c r="F408" s="14"/>
      <c r="G408" s="5"/>
      <c r="H408" s="27"/>
      <c r="I408" s="5"/>
      <c r="J408" s="19" t="str">
        <f aca="false">IF(A408="","",IFERROR(INDEX(Empresas!$D:$D,MATCH(A408,Empresas!$A:$A,0))&amp;"","não consta"))</f>
        <v/>
      </c>
      <c r="K408" s="19" t="str">
        <f aca="false">IF(A408="","",IFERROR(INDEX(Sancoes!$B:$B,MATCH(A408,Sancoes!$A:$A,0))&amp;"","não consta"))</f>
        <v/>
      </c>
      <c r="L408" s="19" t="str">
        <f aca="false">IF(A408="","",IFERROR(INDEX(Eleitoral!$B:$B,MATCH(A408,Eleitoral!$A:$A,0))&amp;"","não consta"))</f>
        <v/>
      </c>
      <c r="M408" s="28" t="str">
        <f aca="false">IF(A408="","",IF(OR(AND(K408&lt;&gt;"",LOWER(K408)&lt;&gt;"não consta"),AND(L408&lt;&gt;"",LOWER(L408)&lt;&gt;"não consta"),IFERROR(INDEX(Empresas!$G:$G,MATCH(A408,Empresas!$A:$A,0))&amp;"","")&lt;&gt;""),"SIM",""))</f>
        <v/>
      </c>
      <c r="N408" s="5"/>
      <c r="O408" s="32" t="str">
        <f aca="false">IF(D408="","",YEAR(D408))</f>
        <v/>
      </c>
      <c r="P408" s="5"/>
    </row>
    <row r="409" customFormat="false" ht="15" hidden="false" customHeight="false" outlineLevel="0" collapsed="false">
      <c r="A409" s="27"/>
      <c r="B409" s="5"/>
      <c r="C409" s="35"/>
      <c r="D409" s="18"/>
      <c r="E409" s="5"/>
      <c r="F409" s="14"/>
      <c r="G409" s="5"/>
      <c r="H409" s="27"/>
      <c r="I409" s="5"/>
      <c r="J409" s="19" t="str">
        <f aca="false">IF(A409="","",IFERROR(INDEX(Empresas!$D:$D,MATCH(A409,Empresas!$A:$A,0))&amp;"","não consta"))</f>
        <v/>
      </c>
      <c r="K409" s="19" t="str">
        <f aca="false">IF(A409="","",IFERROR(INDEX(Sancoes!$B:$B,MATCH(A409,Sancoes!$A:$A,0))&amp;"","não consta"))</f>
        <v/>
      </c>
      <c r="L409" s="19" t="str">
        <f aca="false">IF(A409="","",IFERROR(INDEX(Eleitoral!$B:$B,MATCH(A409,Eleitoral!$A:$A,0))&amp;"","não consta"))</f>
        <v/>
      </c>
      <c r="M409" s="28" t="str">
        <f aca="false">IF(A409="","",IF(OR(AND(K409&lt;&gt;"",LOWER(K409)&lt;&gt;"não consta"),AND(L409&lt;&gt;"",LOWER(L409)&lt;&gt;"não consta"),IFERROR(INDEX(Empresas!$G:$G,MATCH(A409,Empresas!$A:$A,0))&amp;"","")&lt;&gt;""),"SIM",""))</f>
        <v/>
      </c>
      <c r="N409" s="5"/>
      <c r="O409" s="32" t="str">
        <f aca="false">IF(D409="","",YEAR(D409))</f>
        <v/>
      </c>
      <c r="P409" s="5"/>
    </row>
    <row r="410" customFormat="false" ht="15" hidden="false" customHeight="false" outlineLevel="0" collapsed="false">
      <c r="A410" s="27"/>
      <c r="B410" s="5"/>
      <c r="C410" s="35"/>
      <c r="D410" s="18"/>
      <c r="E410" s="5"/>
      <c r="F410" s="14"/>
      <c r="G410" s="5"/>
      <c r="H410" s="27"/>
      <c r="I410" s="5"/>
      <c r="J410" s="19" t="str">
        <f aca="false">IF(A410="","",IFERROR(INDEX(Empresas!$D:$D,MATCH(A410,Empresas!$A:$A,0))&amp;"","não consta"))</f>
        <v/>
      </c>
      <c r="K410" s="19" t="str">
        <f aca="false">IF(A410="","",IFERROR(INDEX(Sancoes!$B:$B,MATCH(A410,Sancoes!$A:$A,0))&amp;"","não consta"))</f>
        <v/>
      </c>
      <c r="L410" s="19" t="str">
        <f aca="false">IF(A410="","",IFERROR(INDEX(Eleitoral!$B:$B,MATCH(A410,Eleitoral!$A:$A,0))&amp;"","não consta"))</f>
        <v/>
      </c>
      <c r="M410" s="28" t="str">
        <f aca="false">IF(A410="","",IF(OR(AND(K410&lt;&gt;"",LOWER(K410)&lt;&gt;"não consta"),AND(L410&lt;&gt;"",LOWER(L410)&lt;&gt;"não consta"),IFERROR(INDEX(Empresas!$G:$G,MATCH(A410,Empresas!$A:$A,0))&amp;"","")&lt;&gt;""),"SIM",""))</f>
        <v/>
      </c>
      <c r="N410" s="5"/>
      <c r="O410" s="32" t="str">
        <f aca="false">IF(D410="","",YEAR(D410))</f>
        <v/>
      </c>
      <c r="P410" s="5"/>
    </row>
    <row r="411" customFormat="false" ht="15" hidden="false" customHeight="false" outlineLevel="0" collapsed="false">
      <c r="A411" s="27"/>
      <c r="B411" s="5"/>
      <c r="C411" s="35"/>
      <c r="D411" s="18"/>
      <c r="E411" s="5"/>
      <c r="F411" s="14"/>
      <c r="G411" s="5"/>
      <c r="H411" s="27"/>
      <c r="I411" s="5"/>
      <c r="J411" s="19" t="str">
        <f aca="false">IF(A411="","",IFERROR(INDEX(Empresas!$D:$D,MATCH(A411,Empresas!$A:$A,0))&amp;"","não consta"))</f>
        <v/>
      </c>
      <c r="K411" s="19" t="str">
        <f aca="false">IF(A411="","",IFERROR(INDEX(Sancoes!$B:$B,MATCH(A411,Sancoes!$A:$A,0))&amp;"","não consta"))</f>
        <v/>
      </c>
      <c r="L411" s="19" t="str">
        <f aca="false">IF(A411="","",IFERROR(INDEX(Eleitoral!$B:$B,MATCH(A411,Eleitoral!$A:$A,0))&amp;"","não consta"))</f>
        <v/>
      </c>
      <c r="M411" s="28" t="str">
        <f aca="false">IF(A411="","",IF(OR(AND(K411&lt;&gt;"",LOWER(K411)&lt;&gt;"não consta"),AND(L411&lt;&gt;"",LOWER(L411)&lt;&gt;"não consta"),IFERROR(INDEX(Empresas!$G:$G,MATCH(A411,Empresas!$A:$A,0))&amp;"","")&lt;&gt;""),"SIM",""))</f>
        <v/>
      </c>
      <c r="N411" s="5"/>
      <c r="O411" s="32" t="str">
        <f aca="false">IF(D411="","",YEAR(D411))</f>
        <v/>
      </c>
      <c r="P411" s="5"/>
    </row>
    <row r="412" customFormat="false" ht="15" hidden="false" customHeight="false" outlineLevel="0" collapsed="false">
      <c r="A412" s="27"/>
      <c r="B412" s="5"/>
      <c r="C412" s="35"/>
      <c r="D412" s="18"/>
      <c r="E412" s="5"/>
      <c r="F412" s="14"/>
      <c r="G412" s="5"/>
      <c r="H412" s="27"/>
      <c r="I412" s="5"/>
      <c r="J412" s="19" t="str">
        <f aca="false">IF(A412="","",IFERROR(INDEX(Empresas!$D:$D,MATCH(A412,Empresas!$A:$A,0))&amp;"","não consta"))</f>
        <v/>
      </c>
      <c r="K412" s="19" t="str">
        <f aca="false">IF(A412="","",IFERROR(INDEX(Sancoes!$B:$B,MATCH(A412,Sancoes!$A:$A,0))&amp;"","não consta"))</f>
        <v/>
      </c>
      <c r="L412" s="19" t="str">
        <f aca="false">IF(A412="","",IFERROR(INDEX(Eleitoral!$B:$B,MATCH(A412,Eleitoral!$A:$A,0))&amp;"","não consta"))</f>
        <v/>
      </c>
      <c r="M412" s="28" t="str">
        <f aca="false">IF(A412="","",IF(OR(AND(K412&lt;&gt;"",LOWER(K412)&lt;&gt;"não consta"),AND(L412&lt;&gt;"",LOWER(L412)&lt;&gt;"não consta"),IFERROR(INDEX(Empresas!$G:$G,MATCH(A412,Empresas!$A:$A,0))&amp;"","")&lt;&gt;""),"SIM",""))</f>
        <v/>
      </c>
      <c r="N412" s="5"/>
      <c r="O412" s="32" t="str">
        <f aca="false">IF(D412="","",YEAR(D412))</f>
        <v/>
      </c>
      <c r="P412" s="5"/>
    </row>
    <row r="413" customFormat="false" ht="15" hidden="false" customHeight="false" outlineLevel="0" collapsed="false">
      <c r="A413" s="27"/>
      <c r="B413" s="5"/>
      <c r="C413" s="35"/>
      <c r="D413" s="18"/>
      <c r="E413" s="5"/>
      <c r="F413" s="14"/>
      <c r="G413" s="5"/>
      <c r="H413" s="27"/>
      <c r="I413" s="5"/>
      <c r="J413" s="19" t="str">
        <f aca="false">IF(A413="","",IFERROR(INDEX(Empresas!$D:$D,MATCH(A413,Empresas!$A:$A,0))&amp;"","não consta"))</f>
        <v/>
      </c>
      <c r="K413" s="19" t="str">
        <f aca="false">IF(A413="","",IFERROR(INDEX(Sancoes!$B:$B,MATCH(A413,Sancoes!$A:$A,0))&amp;"","não consta"))</f>
        <v/>
      </c>
      <c r="L413" s="19" t="str">
        <f aca="false">IF(A413="","",IFERROR(INDEX(Eleitoral!$B:$B,MATCH(A413,Eleitoral!$A:$A,0))&amp;"","não consta"))</f>
        <v/>
      </c>
      <c r="M413" s="28" t="str">
        <f aca="false">IF(A413="","",IF(OR(AND(K413&lt;&gt;"",LOWER(K413)&lt;&gt;"não consta"),AND(L413&lt;&gt;"",LOWER(L413)&lt;&gt;"não consta"),IFERROR(INDEX(Empresas!$G:$G,MATCH(A413,Empresas!$A:$A,0))&amp;"","")&lt;&gt;""),"SIM",""))</f>
        <v/>
      </c>
      <c r="N413" s="5"/>
      <c r="O413" s="32" t="str">
        <f aca="false">IF(D413="","",YEAR(D413))</f>
        <v/>
      </c>
      <c r="P413" s="5"/>
    </row>
    <row r="414" customFormat="false" ht="15" hidden="false" customHeight="false" outlineLevel="0" collapsed="false">
      <c r="A414" s="27"/>
      <c r="B414" s="5"/>
      <c r="C414" s="35"/>
      <c r="D414" s="18"/>
      <c r="E414" s="5"/>
      <c r="F414" s="14"/>
      <c r="G414" s="5"/>
      <c r="H414" s="27"/>
      <c r="I414" s="5"/>
      <c r="J414" s="19" t="str">
        <f aca="false">IF(A414="","",IFERROR(INDEX(Empresas!$D:$D,MATCH(A414,Empresas!$A:$A,0))&amp;"","não consta"))</f>
        <v/>
      </c>
      <c r="K414" s="19" t="str">
        <f aca="false">IF(A414="","",IFERROR(INDEX(Sancoes!$B:$B,MATCH(A414,Sancoes!$A:$A,0))&amp;"","não consta"))</f>
        <v/>
      </c>
      <c r="L414" s="19" t="str">
        <f aca="false">IF(A414="","",IFERROR(INDEX(Eleitoral!$B:$B,MATCH(A414,Eleitoral!$A:$A,0))&amp;"","não consta"))</f>
        <v/>
      </c>
      <c r="M414" s="28" t="str">
        <f aca="false">IF(A414="","",IF(OR(AND(K414&lt;&gt;"",LOWER(K414)&lt;&gt;"não consta"),AND(L414&lt;&gt;"",LOWER(L414)&lt;&gt;"não consta"),IFERROR(INDEX(Empresas!$G:$G,MATCH(A414,Empresas!$A:$A,0))&amp;"","")&lt;&gt;""),"SIM",""))</f>
        <v/>
      </c>
      <c r="N414" s="5"/>
      <c r="O414" s="32" t="str">
        <f aca="false">IF(D414="","",YEAR(D414))</f>
        <v/>
      </c>
      <c r="P414" s="5"/>
    </row>
    <row r="415" customFormat="false" ht="15" hidden="false" customHeight="false" outlineLevel="0" collapsed="false">
      <c r="A415" s="27"/>
      <c r="B415" s="5"/>
      <c r="C415" s="35"/>
      <c r="D415" s="18"/>
      <c r="E415" s="5"/>
      <c r="F415" s="14"/>
      <c r="G415" s="5"/>
      <c r="H415" s="27"/>
      <c r="I415" s="5"/>
      <c r="J415" s="19" t="str">
        <f aca="false">IF(A415="","",IFERROR(INDEX(Empresas!$D:$D,MATCH(A415,Empresas!$A:$A,0))&amp;"","não consta"))</f>
        <v/>
      </c>
      <c r="K415" s="19" t="str">
        <f aca="false">IF(A415="","",IFERROR(INDEX(Sancoes!$B:$B,MATCH(A415,Sancoes!$A:$A,0))&amp;"","não consta"))</f>
        <v/>
      </c>
      <c r="L415" s="19" t="str">
        <f aca="false">IF(A415="","",IFERROR(INDEX(Eleitoral!$B:$B,MATCH(A415,Eleitoral!$A:$A,0))&amp;"","não consta"))</f>
        <v/>
      </c>
      <c r="M415" s="28" t="str">
        <f aca="false">IF(A415="","",IF(OR(AND(K415&lt;&gt;"",LOWER(K415)&lt;&gt;"não consta"),AND(L415&lt;&gt;"",LOWER(L415)&lt;&gt;"não consta"),IFERROR(INDEX(Empresas!$G:$G,MATCH(A415,Empresas!$A:$A,0))&amp;"","")&lt;&gt;""),"SIM",""))</f>
        <v/>
      </c>
      <c r="N415" s="5"/>
      <c r="O415" s="32" t="str">
        <f aca="false">IF(D415="","",YEAR(D415))</f>
        <v/>
      </c>
      <c r="P415" s="5"/>
    </row>
    <row r="416" customFormat="false" ht="15" hidden="false" customHeight="false" outlineLevel="0" collapsed="false">
      <c r="A416" s="27"/>
      <c r="B416" s="5"/>
      <c r="C416" s="35"/>
      <c r="D416" s="18"/>
      <c r="E416" s="5"/>
      <c r="F416" s="14"/>
      <c r="G416" s="5"/>
      <c r="H416" s="27"/>
      <c r="I416" s="5"/>
      <c r="J416" s="19" t="str">
        <f aca="false">IF(A416="","",IFERROR(INDEX(Empresas!$D:$D,MATCH(A416,Empresas!$A:$A,0))&amp;"","não consta"))</f>
        <v/>
      </c>
      <c r="K416" s="19" t="str">
        <f aca="false">IF(A416="","",IFERROR(INDEX(Sancoes!$B:$B,MATCH(A416,Sancoes!$A:$A,0))&amp;"","não consta"))</f>
        <v/>
      </c>
      <c r="L416" s="19" t="str">
        <f aca="false">IF(A416="","",IFERROR(INDEX(Eleitoral!$B:$B,MATCH(A416,Eleitoral!$A:$A,0))&amp;"","não consta"))</f>
        <v/>
      </c>
      <c r="M416" s="28" t="str">
        <f aca="false">IF(A416="","",IF(OR(AND(K416&lt;&gt;"",LOWER(K416)&lt;&gt;"não consta"),AND(L416&lt;&gt;"",LOWER(L416)&lt;&gt;"não consta"),IFERROR(INDEX(Empresas!$G:$G,MATCH(A416,Empresas!$A:$A,0))&amp;"","")&lt;&gt;""),"SIM",""))</f>
        <v/>
      </c>
      <c r="N416" s="5"/>
      <c r="O416" s="32" t="str">
        <f aca="false">IF(D416="","",YEAR(D416))</f>
        <v/>
      </c>
      <c r="P416" s="5"/>
    </row>
    <row r="417" customFormat="false" ht="15" hidden="false" customHeight="false" outlineLevel="0" collapsed="false">
      <c r="A417" s="27"/>
      <c r="B417" s="5"/>
      <c r="C417" s="35"/>
      <c r="D417" s="18"/>
      <c r="E417" s="5"/>
      <c r="F417" s="14"/>
      <c r="G417" s="5"/>
      <c r="H417" s="27"/>
      <c r="I417" s="5"/>
      <c r="J417" s="19" t="str">
        <f aca="false">IF(A417="","",IFERROR(INDEX(Empresas!$D:$D,MATCH(A417,Empresas!$A:$A,0))&amp;"","não consta"))</f>
        <v/>
      </c>
      <c r="K417" s="19" t="str">
        <f aca="false">IF(A417="","",IFERROR(INDEX(Sancoes!$B:$B,MATCH(A417,Sancoes!$A:$A,0))&amp;"","não consta"))</f>
        <v/>
      </c>
      <c r="L417" s="19" t="str">
        <f aca="false">IF(A417="","",IFERROR(INDEX(Eleitoral!$B:$B,MATCH(A417,Eleitoral!$A:$A,0))&amp;"","não consta"))</f>
        <v/>
      </c>
      <c r="M417" s="28" t="str">
        <f aca="false">IF(A417="","",IF(OR(AND(K417&lt;&gt;"",LOWER(K417)&lt;&gt;"não consta"),AND(L417&lt;&gt;"",LOWER(L417)&lt;&gt;"não consta"),IFERROR(INDEX(Empresas!$G:$G,MATCH(A417,Empresas!$A:$A,0))&amp;"","")&lt;&gt;""),"SIM",""))</f>
        <v/>
      </c>
      <c r="N417" s="5"/>
      <c r="O417" s="32" t="str">
        <f aca="false">IF(D417="","",YEAR(D417))</f>
        <v/>
      </c>
      <c r="P417" s="5"/>
    </row>
    <row r="418" customFormat="false" ht="15" hidden="false" customHeight="false" outlineLevel="0" collapsed="false">
      <c r="A418" s="27"/>
      <c r="B418" s="5"/>
      <c r="C418" s="35"/>
      <c r="D418" s="18"/>
      <c r="E418" s="5"/>
      <c r="F418" s="14"/>
      <c r="G418" s="5"/>
      <c r="H418" s="27"/>
      <c r="I418" s="5"/>
      <c r="J418" s="19" t="str">
        <f aca="false">IF(A418="","",IFERROR(INDEX(Empresas!$D:$D,MATCH(A418,Empresas!$A:$A,0))&amp;"","não consta"))</f>
        <v/>
      </c>
      <c r="K418" s="19" t="str">
        <f aca="false">IF(A418="","",IFERROR(INDEX(Sancoes!$B:$B,MATCH(A418,Sancoes!$A:$A,0))&amp;"","não consta"))</f>
        <v/>
      </c>
      <c r="L418" s="19" t="str">
        <f aca="false">IF(A418="","",IFERROR(INDEX(Eleitoral!$B:$B,MATCH(A418,Eleitoral!$A:$A,0))&amp;"","não consta"))</f>
        <v/>
      </c>
      <c r="M418" s="28" t="str">
        <f aca="false">IF(A418="","",IF(OR(AND(K418&lt;&gt;"",LOWER(K418)&lt;&gt;"não consta"),AND(L418&lt;&gt;"",LOWER(L418)&lt;&gt;"não consta"),IFERROR(INDEX(Empresas!$G:$G,MATCH(A418,Empresas!$A:$A,0))&amp;"","")&lt;&gt;""),"SIM",""))</f>
        <v/>
      </c>
      <c r="N418" s="5"/>
      <c r="O418" s="32" t="str">
        <f aca="false">IF(D418="","",YEAR(D418))</f>
        <v/>
      </c>
      <c r="P418" s="5"/>
    </row>
    <row r="419" customFormat="false" ht="15" hidden="false" customHeight="false" outlineLevel="0" collapsed="false">
      <c r="A419" s="27"/>
      <c r="B419" s="5"/>
      <c r="C419" s="35"/>
      <c r="D419" s="18"/>
      <c r="E419" s="5"/>
      <c r="F419" s="14"/>
      <c r="G419" s="5"/>
      <c r="H419" s="27"/>
      <c r="I419" s="5"/>
      <c r="J419" s="19" t="str">
        <f aca="false">IF(A419="","",IFERROR(INDEX(Empresas!$D:$D,MATCH(A419,Empresas!$A:$A,0))&amp;"","não consta"))</f>
        <v/>
      </c>
      <c r="K419" s="19" t="str">
        <f aca="false">IF(A419="","",IFERROR(INDEX(Sancoes!$B:$B,MATCH(A419,Sancoes!$A:$A,0))&amp;"","não consta"))</f>
        <v/>
      </c>
      <c r="L419" s="19" t="str">
        <f aca="false">IF(A419="","",IFERROR(INDEX(Eleitoral!$B:$B,MATCH(A419,Eleitoral!$A:$A,0))&amp;"","não consta"))</f>
        <v/>
      </c>
      <c r="M419" s="28" t="str">
        <f aca="false">IF(A419="","",IF(OR(AND(K419&lt;&gt;"",LOWER(K419)&lt;&gt;"não consta"),AND(L419&lt;&gt;"",LOWER(L419)&lt;&gt;"não consta"),IFERROR(INDEX(Empresas!$G:$G,MATCH(A419,Empresas!$A:$A,0))&amp;"","")&lt;&gt;""),"SIM",""))</f>
        <v/>
      </c>
      <c r="N419" s="5"/>
      <c r="O419" s="32" t="str">
        <f aca="false">IF(D419="","",YEAR(D419))</f>
        <v/>
      </c>
      <c r="P419" s="5"/>
    </row>
    <row r="420" customFormat="false" ht="15" hidden="false" customHeight="false" outlineLevel="0" collapsed="false">
      <c r="A420" s="27"/>
      <c r="B420" s="5"/>
      <c r="C420" s="35"/>
      <c r="D420" s="18"/>
      <c r="E420" s="5"/>
      <c r="F420" s="14"/>
      <c r="G420" s="5"/>
      <c r="H420" s="27"/>
      <c r="I420" s="5"/>
      <c r="J420" s="19" t="str">
        <f aca="false">IF(A420="","",IFERROR(INDEX(Empresas!$D:$D,MATCH(A420,Empresas!$A:$A,0))&amp;"","não consta"))</f>
        <v/>
      </c>
      <c r="K420" s="19" t="str">
        <f aca="false">IF(A420="","",IFERROR(INDEX(Sancoes!$B:$B,MATCH(A420,Sancoes!$A:$A,0))&amp;"","não consta"))</f>
        <v/>
      </c>
      <c r="L420" s="19" t="str">
        <f aca="false">IF(A420="","",IFERROR(INDEX(Eleitoral!$B:$B,MATCH(A420,Eleitoral!$A:$A,0))&amp;"","não consta"))</f>
        <v/>
      </c>
      <c r="M420" s="28" t="str">
        <f aca="false">IF(A420="","",IF(OR(AND(K420&lt;&gt;"",LOWER(K420)&lt;&gt;"não consta"),AND(L420&lt;&gt;"",LOWER(L420)&lt;&gt;"não consta"),IFERROR(INDEX(Empresas!$G:$G,MATCH(A420,Empresas!$A:$A,0))&amp;"","")&lt;&gt;""),"SIM",""))</f>
        <v/>
      </c>
      <c r="N420" s="5"/>
      <c r="O420" s="32" t="str">
        <f aca="false">IF(D420="","",YEAR(D420))</f>
        <v/>
      </c>
      <c r="P420" s="5"/>
    </row>
    <row r="421" customFormat="false" ht="15" hidden="false" customHeight="false" outlineLevel="0" collapsed="false">
      <c r="A421" s="27"/>
      <c r="B421" s="5"/>
      <c r="C421" s="35"/>
      <c r="D421" s="18"/>
      <c r="E421" s="5"/>
      <c r="F421" s="14"/>
      <c r="G421" s="5"/>
      <c r="H421" s="27"/>
      <c r="I421" s="5"/>
      <c r="J421" s="19" t="str">
        <f aca="false">IF(A421="","",IFERROR(INDEX(Empresas!$D:$D,MATCH(A421,Empresas!$A:$A,0))&amp;"","não consta"))</f>
        <v/>
      </c>
      <c r="K421" s="19" t="str">
        <f aca="false">IF(A421="","",IFERROR(INDEX(Sancoes!$B:$B,MATCH(A421,Sancoes!$A:$A,0))&amp;"","não consta"))</f>
        <v/>
      </c>
      <c r="L421" s="19" t="str">
        <f aca="false">IF(A421="","",IFERROR(INDEX(Eleitoral!$B:$B,MATCH(A421,Eleitoral!$A:$A,0))&amp;"","não consta"))</f>
        <v/>
      </c>
      <c r="M421" s="28" t="str">
        <f aca="false">IF(A421="","",IF(OR(AND(K421&lt;&gt;"",LOWER(K421)&lt;&gt;"não consta"),AND(L421&lt;&gt;"",LOWER(L421)&lt;&gt;"não consta"),IFERROR(INDEX(Empresas!$G:$G,MATCH(A421,Empresas!$A:$A,0))&amp;"","")&lt;&gt;""),"SIM",""))</f>
        <v/>
      </c>
      <c r="N421" s="5"/>
      <c r="O421" s="32" t="str">
        <f aca="false">IF(D421="","",YEAR(D421))</f>
        <v/>
      </c>
      <c r="P421" s="5"/>
    </row>
    <row r="422" customFormat="false" ht="15" hidden="false" customHeight="false" outlineLevel="0" collapsed="false">
      <c r="A422" s="27"/>
      <c r="B422" s="5"/>
      <c r="C422" s="35"/>
      <c r="D422" s="18"/>
      <c r="E422" s="5"/>
      <c r="F422" s="14"/>
      <c r="G422" s="5"/>
      <c r="H422" s="27"/>
      <c r="I422" s="5"/>
      <c r="J422" s="19" t="str">
        <f aca="false">IF(A422="","",IFERROR(INDEX(Empresas!$D:$D,MATCH(A422,Empresas!$A:$A,0))&amp;"","não consta"))</f>
        <v/>
      </c>
      <c r="K422" s="19" t="str">
        <f aca="false">IF(A422="","",IFERROR(INDEX(Sancoes!$B:$B,MATCH(A422,Sancoes!$A:$A,0))&amp;"","não consta"))</f>
        <v/>
      </c>
      <c r="L422" s="19" t="str">
        <f aca="false">IF(A422="","",IFERROR(INDEX(Eleitoral!$B:$B,MATCH(A422,Eleitoral!$A:$A,0))&amp;"","não consta"))</f>
        <v/>
      </c>
      <c r="M422" s="28" t="str">
        <f aca="false">IF(A422="","",IF(OR(AND(K422&lt;&gt;"",LOWER(K422)&lt;&gt;"não consta"),AND(L422&lt;&gt;"",LOWER(L422)&lt;&gt;"não consta"),IFERROR(INDEX(Empresas!$G:$G,MATCH(A422,Empresas!$A:$A,0))&amp;"","")&lt;&gt;""),"SIM",""))</f>
        <v/>
      </c>
      <c r="N422" s="5"/>
      <c r="O422" s="32" t="str">
        <f aca="false">IF(D422="","",YEAR(D422))</f>
        <v/>
      </c>
      <c r="P422" s="5"/>
    </row>
    <row r="423" customFormat="false" ht="15" hidden="false" customHeight="false" outlineLevel="0" collapsed="false">
      <c r="A423" s="27"/>
      <c r="B423" s="5"/>
      <c r="C423" s="35"/>
      <c r="D423" s="18"/>
      <c r="E423" s="5"/>
      <c r="F423" s="14"/>
      <c r="G423" s="5"/>
      <c r="H423" s="27"/>
      <c r="I423" s="5"/>
      <c r="J423" s="19" t="str">
        <f aca="false">IF(A423="","",IFERROR(INDEX(Empresas!$D:$D,MATCH(A423,Empresas!$A:$A,0))&amp;"","não consta"))</f>
        <v/>
      </c>
      <c r="K423" s="19" t="str">
        <f aca="false">IF(A423="","",IFERROR(INDEX(Sancoes!$B:$B,MATCH(A423,Sancoes!$A:$A,0))&amp;"","não consta"))</f>
        <v/>
      </c>
      <c r="L423" s="19" t="str">
        <f aca="false">IF(A423="","",IFERROR(INDEX(Eleitoral!$B:$B,MATCH(A423,Eleitoral!$A:$A,0))&amp;"","não consta"))</f>
        <v/>
      </c>
      <c r="M423" s="28" t="str">
        <f aca="false">IF(A423="","",IF(OR(AND(K423&lt;&gt;"",LOWER(K423)&lt;&gt;"não consta"),AND(L423&lt;&gt;"",LOWER(L423)&lt;&gt;"não consta"),IFERROR(INDEX(Empresas!$G:$G,MATCH(A423,Empresas!$A:$A,0))&amp;"","")&lt;&gt;""),"SIM",""))</f>
        <v/>
      </c>
      <c r="N423" s="5"/>
      <c r="O423" s="32" t="str">
        <f aca="false">IF(D423="","",YEAR(D423))</f>
        <v/>
      </c>
      <c r="P423" s="5"/>
    </row>
    <row r="424" customFormat="false" ht="15" hidden="false" customHeight="false" outlineLevel="0" collapsed="false">
      <c r="A424" s="27"/>
      <c r="B424" s="5"/>
      <c r="C424" s="35"/>
      <c r="D424" s="18"/>
      <c r="E424" s="5"/>
      <c r="F424" s="14"/>
      <c r="G424" s="5"/>
      <c r="H424" s="27"/>
      <c r="I424" s="5"/>
      <c r="J424" s="19" t="str">
        <f aca="false">IF(A424="","",IFERROR(INDEX(Empresas!$D:$D,MATCH(A424,Empresas!$A:$A,0))&amp;"","não consta"))</f>
        <v/>
      </c>
      <c r="K424" s="19" t="str">
        <f aca="false">IF(A424="","",IFERROR(INDEX(Sancoes!$B:$B,MATCH(A424,Sancoes!$A:$A,0))&amp;"","não consta"))</f>
        <v/>
      </c>
      <c r="L424" s="19" t="str">
        <f aca="false">IF(A424="","",IFERROR(INDEX(Eleitoral!$B:$B,MATCH(A424,Eleitoral!$A:$A,0))&amp;"","não consta"))</f>
        <v/>
      </c>
      <c r="M424" s="28" t="str">
        <f aca="false">IF(A424="","",IF(OR(AND(K424&lt;&gt;"",LOWER(K424)&lt;&gt;"não consta"),AND(L424&lt;&gt;"",LOWER(L424)&lt;&gt;"não consta"),IFERROR(INDEX(Empresas!$G:$G,MATCH(A424,Empresas!$A:$A,0))&amp;"","")&lt;&gt;""),"SIM",""))</f>
        <v/>
      </c>
      <c r="N424" s="5"/>
      <c r="O424" s="32" t="str">
        <f aca="false">IF(D424="","",YEAR(D424))</f>
        <v/>
      </c>
      <c r="P424" s="5"/>
    </row>
    <row r="425" customFormat="false" ht="15" hidden="false" customHeight="false" outlineLevel="0" collapsed="false">
      <c r="A425" s="27"/>
      <c r="B425" s="5"/>
      <c r="C425" s="35"/>
      <c r="D425" s="18"/>
      <c r="E425" s="5"/>
      <c r="F425" s="14"/>
      <c r="G425" s="5"/>
      <c r="H425" s="27"/>
      <c r="I425" s="5"/>
      <c r="J425" s="19" t="str">
        <f aca="false">IF(A425="","",IFERROR(INDEX(Empresas!$D:$D,MATCH(A425,Empresas!$A:$A,0))&amp;"","não consta"))</f>
        <v/>
      </c>
      <c r="K425" s="19" t="str">
        <f aca="false">IF(A425="","",IFERROR(INDEX(Sancoes!$B:$B,MATCH(A425,Sancoes!$A:$A,0))&amp;"","não consta"))</f>
        <v/>
      </c>
      <c r="L425" s="19" t="str">
        <f aca="false">IF(A425="","",IFERROR(INDEX(Eleitoral!$B:$B,MATCH(A425,Eleitoral!$A:$A,0))&amp;"","não consta"))</f>
        <v/>
      </c>
      <c r="M425" s="28" t="str">
        <f aca="false">IF(A425="","",IF(OR(AND(K425&lt;&gt;"",LOWER(K425)&lt;&gt;"não consta"),AND(L425&lt;&gt;"",LOWER(L425)&lt;&gt;"não consta"),IFERROR(INDEX(Empresas!$G:$G,MATCH(A425,Empresas!$A:$A,0))&amp;"","")&lt;&gt;""),"SIM",""))</f>
        <v/>
      </c>
      <c r="N425" s="5"/>
      <c r="O425" s="32" t="str">
        <f aca="false">IF(D425="","",YEAR(D425))</f>
        <v/>
      </c>
      <c r="P425" s="5"/>
    </row>
    <row r="426" customFormat="false" ht="15" hidden="false" customHeight="false" outlineLevel="0" collapsed="false">
      <c r="A426" s="27"/>
      <c r="B426" s="5"/>
      <c r="C426" s="35"/>
      <c r="D426" s="18"/>
      <c r="E426" s="5"/>
      <c r="F426" s="14"/>
      <c r="G426" s="5"/>
      <c r="H426" s="27"/>
      <c r="I426" s="5"/>
      <c r="J426" s="19" t="str">
        <f aca="false">IF(A426="","",IFERROR(INDEX(Empresas!$D:$D,MATCH(A426,Empresas!$A:$A,0))&amp;"","não consta"))</f>
        <v/>
      </c>
      <c r="K426" s="19" t="str">
        <f aca="false">IF(A426="","",IFERROR(INDEX(Sancoes!$B:$B,MATCH(A426,Sancoes!$A:$A,0))&amp;"","não consta"))</f>
        <v/>
      </c>
      <c r="L426" s="19" t="str">
        <f aca="false">IF(A426="","",IFERROR(INDEX(Eleitoral!$B:$B,MATCH(A426,Eleitoral!$A:$A,0))&amp;"","não consta"))</f>
        <v/>
      </c>
      <c r="M426" s="28" t="str">
        <f aca="false">IF(A426="","",IF(OR(AND(K426&lt;&gt;"",LOWER(K426)&lt;&gt;"não consta"),AND(L426&lt;&gt;"",LOWER(L426)&lt;&gt;"não consta"),IFERROR(INDEX(Empresas!$G:$G,MATCH(A426,Empresas!$A:$A,0))&amp;"","")&lt;&gt;""),"SIM",""))</f>
        <v/>
      </c>
      <c r="N426" s="5"/>
      <c r="O426" s="32" t="str">
        <f aca="false">IF(D426="","",YEAR(D426))</f>
        <v/>
      </c>
      <c r="P426" s="5"/>
    </row>
    <row r="427" customFormat="false" ht="15" hidden="false" customHeight="false" outlineLevel="0" collapsed="false">
      <c r="A427" s="27"/>
      <c r="B427" s="5"/>
      <c r="C427" s="35"/>
      <c r="D427" s="18"/>
      <c r="E427" s="5"/>
      <c r="F427" s="14"/>
      <c r="G427" s="5"/>
      <c r="H427" s="27"/>
      <c r="I427" s="5"/>
      <c r="J427" s="19" t="str">
        <f aca="false">IF(A427="","",IFERROR(INDEX(Empresas!$D:$D,MATCH(A427,Empresas!$A:$A,0))&amp;"","não consta"))</f>
        <v/>
      </c>
      <c r="K427" s="19" t="str">
        <f aca="false">IF(A427="","",IFERROR(INDEX(Sancoes!$B:$B,MATCH(A427,Sancoes!$A:$A,0))&amp;"","não consta"))</f>
        <v/>
      </c>
      <c r="L427" s="19" t="str">
        <f aca="false">IF(A427="","",IFERROR(INDEX(Eleitoral!$B:$B,MATCH(A427,Eleitoral!$A:$A,0))&amp;"","não consta"))</f>
        <v/>
      </c>
      <c r="M427" s="28" t="str">
        <f aca="false">IF(A427="","",IF(OR(AND(K427&lt;&gt;"",LOWER(K427)&lt;&gt;"não consta"),AND(L427&lt;&gt;"",LOWER(L427)&lt;&gt;"não consta"),IFERROR(INDEX(Empresas!$G:$G,MATCH(A427,Empresas!$A:$A,0))&amp;"","")&lt;&gt;""),"SIM",""))</f>
        <v/>
      </c>
      <c r="N427" s="5"/>
      <c r="O427" s="32" t="str">
        <f aca="false">IF(D427="","",YEAR(D427))</f>
        <v/>
      </c>
      <c r="P427" s="5"/>
    </row>
    <row r="428" customFormat="false" ht="15" hidden="false" customHeight="false" outlineLevel="0" collapsed="false">
      <c r="A428" s="27"/>
      <c r="B428" s="5"/>
      <c r="C428" s="35"/>
      <c r="D428" s="18"/>
      <c r="E428" s="5"/>
      <c r="F428" s="14"/>
      <c r="G428" s="5"/>
      <c r="H428" s="27"/>
      <c r="I428" s="5"/>
      <c r="J428" s="19" t="str">
        <f aca="false">IF(A428="","",IFERROR(INDEX(Empresas!$D:$D,MATCH(A428,Empresas!$A:$A,0))&amp;"","não consta"))</f>
        <v/>
      </c>
      <c r="K428" s="19" t="str">
        <f aca="false">IF(A428="","",IFERROR(INDEX(Sancoes!$B:$B,MATCH(A428,Sancoes!$A:$A,0))&amp;"","não consta"))</f>
        <v/>
      </c>
      <c r="L428" s="19" t="str">
        <f aca="false">IF(A428="","",IFERROR(INDEX(Eleitoral!$B:$B,MATCH(A428,Eleitoral!$A:$A,0))&amp;"","não consta"))</f>
        <v/>
      </c>
      <c r="M428" s="28" t="str">
        <f aca="false">IF(A428="","",IF(OR(AND(K428&lt;&gt;"",LOWER(K428)&lt;&gt;"não consta"),AND(L428&lt;&gt;"",LOWER(L428)&lt;&gt;"não consta"),IFERROR(INDEX(Empresas!$G:$G,MATCH(A428,Empresas!$A:$A,0))&amp;"","")&lt;&gt;""),"SIM",""))</f>
        <v/>
      </c>
      <c r="N428" s="5"/>
      <c r="O428" s="32" t="str">
        <f aca="false">IF(D428="","",YEAR(D428))</f>
        <v/>
      </c>
      <c r="P428" s="5"/>
    </row>
    <row r="429" customFormat="false" ht="15" hidden="false" customHeight="false" outlineLevel="0" collapsed="false">
      <c r="A429" s="27"/>
      <c r="B429" s="5"/>
      <c r="C429" s="35"/>
      <c r="D429" s="18"/>
      <c r="E429" s="5"/>
      <c r="F429" s="14"/>
      <c r="G429" s="5"/>
      <c r="H429" s="27"/>
      <c r="I429" s="5"/>
      <c r="J429" s="19" t="str">
        <f aca="false">IF(A429="","",IFERROR(INDEX(Empresas!$D:$D,MATCH(A429,Empresas!$A:$A,0))&amp;"","não consta"))</f>
        <v/>
      </c>
      <c r="K429" s="19" t="str">
        <f aca="false">IF(A429="","",IFERROR(INDEX(Sancoes!$B:$B,MATCH(A429,Sancoes!$A:$A,0))&amp;"","não consta"))</f>
        <v/>
      </c>
      <c r="L429" s="19" t="str">
        <f aca="false">IF(A429="","",IFERROR(INDEX(Eleitoral!$B:$B,MATCH(A429,Eleitoral!$A:$A,0))&amp;"","não consta"))</f>
        <v/>
      </c>
      <c r="M429" s="28" t="str">
        <f aca="false">IF(A429="","",IF(OR(AND(K429&lt;&gt;"",LOWER(K429)&lt;&gt;"não consta"),AND(L429&lt;&gt;"",LOWER(L429)&lt;&gt;"não consta"),IFERROR(INDEX(Empresas!$G:$G,MATCH(A429,Empresas!$A:$A,0))&amp;"","")&lt;&gt;""),"SIM",""))</f>
        <v/>
      </c>
      <c r="N429" s="5"/>
      <c r="O429" s="32" t="str">
        <f aca="false">IF(D429="","",YEAR(D429))</f>
        <v/>
      </c>
      <c r="P429" s="5"/>
    </row>
    <row r="430" customFormat="false" ht="15" hidden="false" customHeight="false" outlineLevel="0" collapsed="false">
      <c r="A430" s="27"/>
      <c r="B430" s="5"/>
      <c r="C430" s="35"/>
      <c r="D430" s="18"/>
      <c r="E430" s="5"/>
      <c r="F430" s="14"/>
      <c r="G430" s="5"/>
      <c r="H430" s="27"/>
      <c r="I430" s="5"/>
      <c r="J430" s="19" t="str">
        <f aca="false">IF(A430="","",IFERROR(INDEX(Empresas!$D:$D,MATCH(A430,Empresas!$A:$A,0))&amp;"","não consta"))</f>
        <v/>
      </c>
      <c r="K430" s="19" t="str">
        <f aca="false">IF(A430="","",IFERROR(INDEX(Sancoes!$B:$B,MATCH(A430,Sancoes!$A:$A,0))&amp;"","não consta"))</f>
        <v/>
      </c>
      <c r="L430" s="19" t="str">
        <f aca="false">IF(A430="","",IFERROR(INDEX(Eleitoral!$B:$B,MATCH(A430,Eleitoral!$A:$A,0))&amp;"","não consta"))</f>
        <v/>
      </c>
      <c r="M430" s="28" t="str">
        <f aca="false">IF(A430="","",IF(OR(AND(K430&lt;&gt;"",LOWER(K430)&lt;&gt;"não consta"),AND(L430&lt;&gt;"",LOWER(L430)&lt;&gt;"não consta"),IFERROR(INDEX(Empresas!$G:$G,MATCH(A430,Empresas!$A:$A,0))&amp;"","")&lt;&gt;""),"SIM",""))</f>
        <v/>
      </c>
      <c r="N430" s="5"/>
      <c r="O430" s="32" t="str">
        <f aca="false">IF(D430="","",YEAR(D430))</f>
        <v/>
      </c>
      <c r="P430" s="5"/>
    </row>
    <row r="431" customFormat="false" ht="15" hidden="false" customHeight="false" outlineLevel="0" collapsed="false">
      <c r="A431" s="27"/>
      <c r="B431" s="5"/>
      <c r="C431" s="35"/>
      <c r="D431" s="18"/>
      <c r="E431" s="5"/>
      <c r="F431" s="14"/>
      <c r="G431" s="5"/>
      <c r="H431" s="27"/>
      <c r="I431" s="5"/>
      <c r="J431" s="19" t="str">
        <f aca="false">IF(A431="","",IFERROR(INDEX(Empresas!$D:$D,MATCH(A431,Empresas!$A:$A,0))&amp;"","não consta"))</f>
        <v/>
      </c>
      <c r="K431" s="19" t="str">
        <f aca="false">IF(A431="","",IFERROR(INDEX(Sancoes!$B:$B,MATCH(A431,Sancoes!$A:$A,0))&amp;"","não consta"))</f>
        <v/>
      </c>
      <c r="L431" s="19" t="str">
        <f aca="false">IF(A431="","",IFERROR(INDEX(Eleitoral!$B:$B,MATCH(A431,Eleitoral!$A:$A,0))&amp;"","não consta"))</f>
        <v/>
      </c>
      <c r="M431" s="28" t="str">
        <f aca="false">IF(A431="","",IF(OR(AND(K431&lt;&gt;"",LOWER(K431)&lt;&gt;"não consta"),AND(L431&lt;&gt;"",LOWER(L431)&lt;&gt;"não consta"),IFERROR(INDEX(Empresas!$G:$G,MATCH(A431,Empresas!$A:$A,0))&amp;"","")&lt;&gt;""),"SIM",""))</f>
        <v/>
      </c>
      <c r="N431" s="5"/>
      <c r="O431" s="32" t="str">
        <f aca="false">IF(D431="","",YEAR(D431))</f>
        <v/>
      </c>
      <c r="P431" s="5"/>
    </row>
    <row r="432" customFormat="false" ht="15" hidden="false" customHeight="false" outlineLevel="0" collapsed="false">
      <c r="A432" s="27"/>
      <c r="B432" s="5"/>
      <c r="C432" s="35"/>
      <c r="D432" s="18"/>
      <c r="E432" s="5"/>
      <c r="F432" s="14"/>
      <c r="G432" s="5"/>
      <c r="H432" s="27"/>
      <c r="I432" s="5"/>
      <c r="J432" s="19" t="str">
        <f aca="false">IF(A432="","",IFERROR(INDEX(Empresas!$D:$D,MATCH(A432,Empresas!$A:$A,0))&amp;"","não consta"))</f>
        <v/>
      </c>
      <c r="K432" s="19" t="str">
        <f aca="false">IF(A432="","",IFERROR(INDEX(Sancoes!$B:$B,MATCH(A432,Sancoes!$A:$A,0))&amp;"","não consta"))</f>
        <v/>
      </c>
      <c r="L432" s="19" t="str">
        <f aca="false">IF(A432="","",IFERROR(INDEX(Eleitoral!$B:$B,MATCH(A432,Eleitoral!$A:$A,0))&amp;"","não consta"))</f>
        <v/>
      </c>
      <c r="M432" s="28" t="str">
        <f aca="false">IF(A432="","",IF(OR(AND(K432&lt;&gt;"",LOWER(K432)&lt;&gt;"não consta"),AND(L432&lt;&gt;"",LOWER(L432)&lt;&gt;"não consta"),IFERROR(INDEX(Empresas!$G:$G,MATCH(A432,Empresas!$A:$A,0))&amp;"","")&lt;&gt;""),"SIM",""))</f>
        <v/>
      </c>
      <c r="N432" s="5"/>
      <c r="O432" s="32" t="str">
        <f aca="false">IF(D432="","",YEAR(D432))</f>
        <v/>
      </c>
      <c r="P432" s="5"/>
    </row>
    <row r="433" customFormat="false" ht="15" hidden="false" customHeight="false" outlineLevel="0" collapsed="false">
      <c r="A433" s="27"/>
      <c r="B433" s="5"/>
      <c r="C433" s="35"/>
      <c r="D433" s="18"/>
      <c r="E433" s="5"/>
      <c r="F433" s="14"/>
      <c r="G433" s="5"/>
      <c r="H433" s="27"/>
      <c r="I433" s="5"/>
      <c r="J433" s="19" t="str">
        <f aca="false">IF(A433="","",IFERROR(INDEX(Empresas!$D:$D,MATCH(A433,Empresas!$A:$A,0))&amp;"","não consta"))</f>
        <v/>
      </c>
      <c r="K433" s="19" t="str">
        <f aca="false">IF(A433="","",IFERROR(INDEX(Sancoes!$B:$B,MATCH(A433,Sancoes!$A:$A,0))&amp;"","não consta"))</f>
        <v/>
      </c>
      <c r="L433" s="19" t="str">
        <f aca="false">IF(A433="","",IFERROR(INDEX(Eleitoral!$B:$B,MATCH(A433,Eleitoral!$A:$A,0))&amp;"","não consta"))</f>
        <v/>
      </c>
      <c r="M433" s="28" t="str">
        <f aca="false">IF(A433="","",IF(OR(AND(K433&lt;&gt;"",LOWER(K433)&lt;&gt;"não consta"),AND(L433&lt;&gt;"",LOWER(L433)&lt;&gt;"não consta"),IFERROR(INDEX(Empresas!$G:$G,MATCH(A433,Empresas!$A:$A,0))&amp;"","")&lt;&gt;""),"SIM",""))</f>
        <v/>
      </c>
      <c r="N433" s="5"/>
      <c r="O433" s="32" t="str">
        <f aca="false">IF(D433="","",YEAR(D433))</f>
        <v/>
      </c>
      <c r="P433" s="5"/>
    </row>
    <row r="434" customFormat="false" ht="15" hidden="false" customHeight="false" outlineLevel="0" collapsed="false">
      <c r="A434" s="27"/>
      <c r="B434" s="5"/>
      <c r="C434" s="35"/>
      <c r="D434" s="18"/>
      <c r="E434" s="5"/>
      <c r="F434" s="14"/>
      <c r="G434" s="5"/>
      <c r="H434" s="27"/>
      <c r="I434" s="5"/>
      <c r="J434" s="19" t="str">
        <f aca="false">IF(A434="","",IFERROR(INDEX(Empresas!$D:$D,MATCH(A434,Empresas!$A:$A,0))&amp;"","não consta"))</f>
        <v/>
      </c>
      <c r="K434" s="19" t="str">
        <f aca="false">IF(A434="","",IFERROR(INDEX(Sancoes!$B:$B,MATCH(A434,Sancoes!$A:$A,0))&amp;"","não consta"))</f>
        <v/>
      </c>
      <c r="L434" s="19" t="str">
        <f aca="false">IF(A434="","",IFERROR(INDEX(Eleitoral!$B:$B,MATCH(A434,Eleitoral!$A:$A,0))&amp;"","não consta"))</f>
        <v/>
      </c>
      <c r="M434" s="28" t="str">
        <f aca="false">IF(A434="","",IF(OR(AND(K434&lt;&gt;"",LOWER(K434)&lt;&gt;"não consta"),AND(L434&lt;&gt;"",LOWER(L434)&lt;&gt;"não consta"),IFERROR(INDEX(Empresas!$G:$G,MATCH(A434,Empresas!$A:$A,0))&amp;"","")&lt;&gt;""),"SIM",""))</f>
        <v/>
      </c>
      <c r="N434" s="5"/>
      <c r="O434" s="32" t="str">
        <f aca="false">IF(D434="","",YEAR(D434))</f>
        <v/>
      </c>
      <c r="P434" s="5"/>
    </row>
    <row r="435" customFormat="false" ht="15" hidden="false" customHeight="false" outlineLevel="0" collapsed="false">
      <c r="A435" s="27"/>
      <c r="B435" s="5"/>
      <c r="C435" s="35"/>
      <c r="D435" s="18"/>
      <c r="E435" s="5"/>
      <c r="F435" s="14"/>
      <c r="G435" s="5"/>
      <c r="H435" s="27"/>
      <c r="I435" s="5"/>
      <c r="J435" s="19" t="str">
        <f aca="false">IF(A435="","",IFERROR(INDEX(Empresas!$D:$D,MATCH(A435,Empresas!$A:$A,0))&amp;"","não consta"))</f>
        <v/>
      </c>
      <c r="K435" s="19" t="str">
        <f aca="false">IF(A435="","",IFERROR(INDEX(Sancoes!$B:$B,MATCH(A435,Sancoes!$A:$A,0))&amp;"","não consta"))</f>
        <v/>
      </c>
      <c r="L435" s="19" t="str">
        <f aca="false">IF(A435="","",IFERROR(INDEX(Eleitoral!$B:$B,MATCH(A435,Eleitoral!$A:$A,0))&amp;"","não consta"))</f>
        <v/>
      </c>
      <c r="M435" s="28" t="str">
        <f aca="false">IF(A435="","",IF(OR(AND(K435&lt;&gt;"",LOWER(K435)&lt;&gt;"não consta"),AND(L435&lt;&gt;"",LOWER(L435)&lt;&gt;"não consta"),IFERROR(INDEX(Empresas!$G:$G,MATCH(A435,Empresas!$A:$A,0))&amp;"","")&lt;&gt;""),"SIM",""))</f>
        <v/>
      </c>
      <c r="N435" s="5"/>
      <c r="O435" s="32" t="str">
        <f aca="false">IF(D435="","",YEAR(D435))</f>
        <v/>
      </c>
      <c r="P435" s="5"/>
    </row>
    <row r="436" customFormat="false" ht="15" hidden="false" customHeight="false" outlineLevel="0" collapsed="false">
      <c r="A436" s="27"/>
      <c r="B436" s="5"/>
      <c r="C436" s="35"/>
      <c r="D436" s="18"/>
      <c r="E436" s="5"/>
      <c r="F436" s="14"/>
      <c r="G436" s="5"/>
      <c r="H436" s="27"/>
      <c r="I436" s="5"/>
      <c r="J436" s="19" t="str">
        <f aca="false">IF(A436="","",IFERROR(INDEX(Empresas!$D:$D,MATCH(A436,Empresas!$A:$A,0))&amp;"","não consta"))</f>
        <v/>
      </c>
      <c r="K436" s="19" t="str">
        <f aca="false">IF(A436="","",IFERROR(INDEX(Sancoes!$B:$B,MATCH(A436,Sancoes!$A:$A,0))&amp;"","não consta"))</f>
        <v/>
      </c>
      <c r="L436" s="19" t="str">
        <f aca="false">IF(A436="","",IFERROR(INDEX(Eleitoral!$B:$B,MATCH(A436,Eleitoral!$A:$A,0))&amp;"","não consta"))</f>
        <v/>
      </c>
      <c r="M436" s="28" t="str">
        <f aca="false">IF(A436="","",IF(OR(AND(K436&lt;&gt;"",LOWER(K436)&lt;&gt;"não consta"),AND(L436&lt;&gt;"",LOWER(L436)&lt;&gt;"não consta"),IFERROR(INDEX(Empresas!$G:$G,MATCH(A436,Empresas!$A:$A,0))&amp;"","")&lt;&gt;""),"SIM",""))</f>
        <v/>
      </c>
      <c r="N436" s="5"/>
      <c r="O436" s="32" t="str">
        <f aca="false">IF(D436="","",YEAR(D436))</f>
        <v/>
      </c>
      <c r="P436" s="5"/>
    </row>
    <row r="437" customFormat="false" ht="15" hidden="false" customHeight="false" outlineLevel="0" collapsed="false">
      <c r="A437" s="27"/>
      <c r="B437" s="5"/>
      <c r="C437" s="35"/>
      <c r="D437" s="18"/>
      <c r="E437" s="5"/>
      <c r="F437" s="14"/>
      <c r="G437" s="5"/>
      <c r="H437" s="27"/>
      <c r="I437" s="5"/>
      <c r="J437" s="19" t="str">
        <f aca="false">IF(A437="","",IFERROR(INDEX(Empresas!$D:$D,MATCH(A437,Empresas!$A:$A,0))&amp;"","não consta"))</f>
        <v/>
      </c>
      <c r="K437" s="19" t="str">
        <f aca="false">IF(A437="","",IFERROR(INDEX(Sancoes!$B:$B,MATCH(A437,Sancoes!$A:$A,0))&amp;"","não consta"))</f>
        <v/>
      </c>
      <c r="L437" s="19" t="str">
        <f aca="false">IF(A437="","",IFERROR(INDEX(Eleitoral!$B:$B,MATCH(A437,Eleitoral!$A:$A,0))&amp;"","não consta"))</f>
        <v/>
      </c>
      <c r="M437" s="28" t="str">
        <f aca="false">IF(A437="","",IF(OR(AND(K437&lt;&gt;"",LOWER(K437)&lt;&gt;"não consta"),AND(L437&lt;&gt;"",LOWER(L437)&lt;&gt;"não consta"),IFERROR(INDEX(Empresas!$G:$G,MATCH(A437,Empresas!$A:$A,0))&amp;"","")&lt;&gt;""),"SIM",""))</f>
        <v/>
      </c>
      <c r="N437" s="5"/>
      <c r="O437" s="32" t="str">
        <f aca="false">IF(D437="","",YEAR(D437))</f>
        <v/>
      </c>
      <c r="P437" s="5"/>
    </row>
    <row r="438" customFormat="false" ht="15" hidden="false" customHeight="false" outlineLevel="0" collapsed="false">
      <c r="A438" s="27"/>
      <c r="B438" s="5"/>
      <c r="C438" s="35"/>
      <c r="D438" s="18"/>
      <c r="E438" s="5"/>
      <c r="F438" s="14"/>
      <c r="G438" s="5"/>
      <c r="H438" s="27"/>
      <c r="I438" s="5"/>
      <c r="J438" s="19" t="str">
        <f aca="false">IF(A438="","",IFERROR(INDEX(Empresas!$D:$D,MATCH(A438,Empresas!$A:$A,0))&amp;"","não consta"))</f>
        <v/>
      </c>
      <c r="K438" s="19" t="str">
        <f aca="false">IF(A438="","",IFERROR(INDEX(Sancoes!$B:$B,MATCH(A438,Sancoes!$A:$A,0))&amp;"","não consta"))</f>
        <v/>
      </c>
      <c r="L438" s="19" t="str">
        <f aca="false">IF(A438="","",IFERROR(INDEX(Eleitoral!$B:$B,MATCH(A438,Eleitoral!$A:$A,0))&amp;"","não consta"))</f>
        <v/>
      </c>
      <c r="M438" s="28" t="str">
        <f aca="false">IF(A438="","",IF(OR(AND(K438&lt;&gt;"",LOWER(K438)&lt;&gt;"não consta"),AND(L438&lt;&gt;"",LOWER(L438)&lt;&gt;"não consta"),IFERROR(INDEX(Empresas!$G:$G,MATCH(A438,Empresas!$A:$A,0))&amp;"","")&lt;&gt;""),"SIM",""))</f>
        <v/>
      </c>
      <c r="N438" s="5"/>
      <c r="O438" s="32" t="str">
        <f aca="false">IF(D438="","",YEAR(D438))</f>
        <v/>
      </c>
      <c r="P438" s="5"/>
    </row>
    <row r="439" customFormat="false" ht="15" hidden="false" customHeight="false" outlineLevel="0" collapsed="false">
      <c r="A439" s="27"/>
      <c r="B439" s="5"/>
      <c r="C439" s="35"/>
      <c r="D439" s="18"/>
      <c r="E439" s="5"/>
      <c r="F439" s="14"/>
      <c r="G439" s="5"/>
      <c r="H439" s="27"/>
      <c r="I439" s="5"/>
      <c r="J439" s="19" t="str">
        <f aca="false">IF(A439="","",IFERROR(INDEX(Empresas!$D:$D,MATCH(A439,Empresas!$A:$A,0))&amp;"","não consta"))</f>
        <v/>
      </c>
      <c r="K439" s="19" t="str">
        <f aca="false">IF(A439="","",IFERROR(INDEX(Sancoes!$B:$B,MATCH(A439,Sancoes!$A:$A,0))&amp;"","não consta"))</f>
        <v/>
      </c>
      <c r="L439" s="19" t="str">
        <f aca="false">IF(A439="","",IFERROR(INDEX(Eleitoral!$B:$B,MATCH(A439,Eleitoral!$A:$A,0))&amp;"","não consta"))</f>
        <v/>
      </c>
      <c r="M439" s="28" t="str">
        <f aca="false">IF(A439="","",IF(OR(AND(K439&lt;&gt;"",LOWER(K439)&lt;&gt;"não consta"),AND(L439&lt;&gt;"",LOWER(L439)&lt;&gt;"não consta"),IFERROR(INDEX(Empresas!$G:$G,MATCH(A439,Empresas!$A:$A,0))&amp;"","")&lt;&gt;""),"SIM",""))</f>
        <v/>
      </c>
      <c r="N439" s="5"/>
      <c r="O439" s="32" t="str">
        <f aca="false">IF(D439="","",YEAR(D439))</f>
        <v/>
      </c>
      <c r="P439" s="5"/>
    </row>
    <row r="440" customFormat="false" ht="15" hidden="false" customHeight="false" outlineLevel="0" collapsed="false">
      <c r="A440" s="27"/>
      <c r="B440" s="5"/>
      <c r="C440" s="35"/>
      <c r="D440" s="18"/>
      <c r="E440" s="5"/>
      <c r="F440" s="14"/>
      <c r="G440" s="5"/>
      <c r="H440" s="27"/>
      <c r="I440" s="5"/>
      <c r="J440" s="19" t="str">
        <f aca="false">IF(A440="","",IFERROR(INDEX(Empresas!$D:$D,MATCH(A440,Empresas!$A:$A,0))&amp;"","não consta"))</f>
        <v/>
      </c>
      <c r="K440" s="19" t="str">
        <f aca="false">IF(A440="","",IFERROR(INDEX(Sancoes!$B:$B,MATCH(A440,Sancoes!$A:$A,0))&amp;"","não consta"))</f>
        <v/>
      </c>
      <c r="L440" s="19" t="str">
        <f aca="false">IF(A440="","",IFERROR(INDEX(Eleitoral!$B:$B,MATCH(A440,Eleitoral!$A:$A,0))&amp;"","não consta"))</f>
        <v/>
      </c>
      <c r="M440" s="28" t="str">
        <f aca="false">IF(A440="","",IF(OR(AND(K440&lt;&gt;"",LOWER(K440)&lt;&gt;"não consta"),AND(L440&lt;&gt;"",LOWER(L440)&lt;&gt;"não consta"),IFERROR(INDEX(Empresas!$G:$G,MATCH(A440,Empresas!$A:$A,0))&amp;"","")&lt;&gt;""),"SIM",""))</f>
        <v/>
      </c>
      <c r="N440" s="5"/>
      <c r="O440" s="32" t="str">
        <f aca="false">IF(D440="","",YEAR(D440))</f>
        <v/>
      </c>
      <c r="P440" s="5"/>
    </row>
    <row r="441" customFormat="false" ht="15" hidden="false" customHeight="false" outlineLevel="0" collapsed="false">
      <c r="A441" s="27"/>
      <c r="B441" s="5"/>
      <c r="C441" s="35"/>
      <c r="D441" s="18"/>
      <c r="E441" s="5"/>
      <c r="F441" s="14"/>
      <c r="G441" s="5"/>
      <c r="H441" s="27"/>
      <c r="I441" s="5"/>
      <c r="J441" s="19" t="str">
        <f aca="false">IF(A441="","",IFERROR(INDEX(Empresas!$D:$D,MATCH(A441,Empresas!$A:$A,0))&amp;"","não consta"))</f>
        <v/>
      </c>
      <c r="K441" s="19" t="str">
        <f aca="false">IF(A441="","",IFERROR(INDEX(Sancoes!$B:$B,MATCH(A441,Sancoes!$A:$A,0))&amp;"","não consta"))</f>
        <v/>
      </c>
      <c r="L441" s="19" t="str">
        <f aca="false">IF(A441="","",IFERROR(INDEX(Eleitoral!$B:$B,MATCH(A441,Eleitoral!$A:$A,0))&amp;"","não consta"))</f>
        <v/>
      </c>
      <c r="M441" s="28" t="str">
        <f aca="false">IF(A441="","",IF(OR(AND(K441&lt;&gt;"",LOWER(K441)&lt;&gt;"não consta"),AND(L441&lt;&gt;"",LOWER(L441)&lt;&gt;"não consta"),IFERROR(INDEX(Empresas!$G:$G,MATCH(A441,Empresas!$A:$A,0))&amp;"","")&lt;&gt;""),"SIM",""))</f>
        <v/>
      </c>
      <c r="N441" s="5"/>
      <c r="O441" s="32" t="str">
        <f aca="false">IF(D441="","",YEAR(D441))</f>
        <v/>
      </c>
      <c r="P441" s="5"/>
    </row>
    <row r="442" customFormat="false" ht="15" hidden="false" customHeight="false" outlineLevel="0" collapsed="false">
      <c r="A442" s="27"/>
      <c r="B442" s="5"/>
      <c r="C442" s="35"/>
      <c r="D442" s="18"/>
      <c r="E442" s="5"/>
      <c r="F442" s="14"/>
      <c r="G442" s="5"/>
      <c r="H442" s="27"/>
      <c r="I442" s="5"/>
      <c r="J442" s="19" t="str">
        <f aca="false">IF(A442="","",IFERROR(INDEX(Empresas!$D:$D,MATCH(A442,Empresas!$A:$A,0))&amp;"","não consta"))</f>
        <v/>
      </c>
      <c r="K442" s="19" t="str">
        <f aca="false">IF(A442="","",IFERROR(INDEX(Sancoes!$B:$B,MATCH(A442,Sancoes!$A:$A,0))&amp;"","não consta"))</f>
        <v/>
      </c>
      <c r="L442" s="19" t="str">
        <f aca="false">IF(A442="","",IFERROR(INDEX(Eleitoral!$B:$B,MATCH(A442,Eleitoral!$A:$A,0))&amp;"","não consta"))</f>
        <v/>
      </c>
      <c r="M442" s="28" t="str">
        <f aca="false">IF(A442="","",IF(OR(AND(K442&lt;&gt;"",LOWER(K442)&lt;&gt;"não consta"),AND(L442&lt;&gt;"",LOWER(L442)&lt;&gt;"não consta"),IFERROR(INDEX(Empresas!$G:$G,MATCH(A442,Empresas!$A:$A,0))&amp;"","")&lt;&gt;""),"SIM",""))</f>
        <v/>
      </c>
      <c r="N442" s="5"/>
      <c r="O442" s="32" t="str">
        <f aca="false">IF(D442="","",YEAR(D442))</f>
        <v/>
      </c>
      <c r="P442" s="5"/>
    </row>
    <row r="443" customFormat="false" ht="15" hidden="false" customHeight="false" outlineLevel="0" collapsed="false">
      <c r="A443" s="27"/>
      <c r="B443" s="5"/>
      <c r="C443" s="35"/>
      <c r="D443" s="18"/>
      <c r="E443" s="5"/>
      <c r="F443" s="14"/>
      <c r="G443" s="5"/>
      <c r="H443" s="27"/>
      <c r="I443" s="5"/>
      <c r="J443" s="19" t="str">
        <f aca="false">IF(A443="","",IFERROR(INDEX(Empresas!$D:$D,MATCH(A443,Empresas!$A:$A,0))&amp;"","não consta"))</f>
        <v/>
      </c>
      <c r="K443" s="19" t="str">
        <f aca="false">IF(A443="","",IFERROR(INDEX(Sancoes!$B:$B,MATCH(A443,Sancoes!$A:$A,0))&amp;"","não consta"))</f>
        <v/>
      </c>
      <c r="L443" s="19" t="str">
        <f aca="false">IF(A443="","",IFERROR(INDEX(Eleitoral!$B:$B,MATCH(A443,Eleitoral!$A:$A,0))&amp;"","não consta"))</f>
        <v/>
      </c>
      <c r="M443" s="28" t="str">
        <f aca="false">IF(A443="","",IF(OR(AND(K443&lt;&gt;"",LOWER(K443)&lt;&gt;"não consta"),AND(L443&lt;&gt;"",LOWER(L443)&lt;&gt;"não consta"),IFERROR(INDEX(Empresas!$G:$G,MATCH(A443,Empresas!$A:$A,0))&amp;"","")&lt;&gt;""),"SIM",""))</f>
        <v/>
      </c>
      <c r="N443" s="5"/>
      <c r="O443" s="32" t="str">
        <f aca="false">IF(D443="","",YEAR(D443))</f>
        <v/>
      </c>
      <c r="P443" s="5"/>
    </row>
    <row r="444" customFormat="false" ht="15" hidden="false" customHeight="false" outlineLevel="0" collapsed="false">
      <c r="A444" s="27"/>
      <c r="B444" s="5"/>
      <c r="C444" s="35"/>
      <c r="D444" s="18"/>
      <c r="E444" s="5"/>
      <c r="F444" s="14"/>
      <c r="G444" s="5"/>
      <c r="H444" s="27"/>
      <c r="I444" s="5"/>
      <c r="J444" s="19" t="str">
        <f aca="false">IF(A444="","",IFERROR(INDEX(Empresas!$D:$D,MATCH(A444,Empresas!$A:$A,0))&amp;"","não consta"))</f>
        <v/>
      </c>
      <c r="K444" s="19" t="str">
        <f aca="false">IF(A444="","",IFERROR(INDEX(Sancoes!$B:$B,MATCH(A444,Sancoes!$A:$A,0))&amp;"","não consta"))</f>
        <v/>
      </c>
      <c r="L444" s="19" t="str">
        <f aca="false">IF(A444="","",IFERROR(INDEX(Eleitoral!$B:$B,MATCH(A444,Eleitoral!$A:$A,0))&amp;"","não consta"))</f>
        <v/>
      </c>
      <c r="M444" s="28" t="str">
        <f aca="false">IF(A444="","",IF(OR(AND(K444&lt;&gt;"",LOWER(K444)&lt;&gt;"não consta"),AND(L444&lt;&gt;"",LOWER(L444)&lt;&gt;"não consta"),IFERROR(INDEX(Empresas!$G:$G,MATCH(A444,Empresas!$A:$A,0))&amp;"","")&lt;&gt;""),"SIM",""))</f>
        <v/>
      </c>
      <c r="N444" s="5"/>
      <c r="O444" s="32" t="str">
        <f aca="false">IF(D444="","",YEAR(D444))</f>
        <v/>
      </c>
      <c r="P444" s="5"/>
    </row>
    <row r="445" customFormat="false" ht="15" hidden="false" customHeight="false" outlineLevel="0" collapsed="false">
      <c r="A445" s="27"/>
      <c r="B445" s="5"/>
      <c r="C445" s="35"/>
      <c r="D445" s="18"/>
      <c r="E445" s="5"/>
      <c r="F445" s="14"/>
      <c r="G445" s="5"/>
      <c r="H445" s="27"/>
      <c r="I445" s="5"/>
      <c r="J445" s="19" t="str">
        <f aca="false">IF(A445="","",IFERROR(INDEX(Empresas!$D:$D,MATCH(A445,Empresas!$A:$A,0))&amp;"","não consta"))</f>
        <v/>
      </c>
      <c r="K445" s="19" t="str">
        <f aca="false">IF(A445="","",IFERROR(INDEX(Sancoes!$B:$B,MATCH(A445,Sancoes!$A:$A,0))&amp;"","não consta"))</f>
        <v/>
      </c>
      <c r="L445" s="19" t="str">
        <f aca="false">IF(A445="","",IFERROR(INDEX(Eleitoral!$B:$B,MATCH(A445,Eleitoral!$A:$A,0))&amp;"","não consta"))</f>
        <v/>
      </c>
      <c r="M445" s="28" t="str">
        <f aca="false">IF(A445="","",IF(OR(AND(K445&lt;&gt;"",LOWER(K445)&lt;&gt;"não consta"),AND(L445&lt;&gt;"",LOWER(L445)&lt;&gt;"não consta"),IFERROR(INDEX(Empresas!$G:$G,MATCH(A445,Empresas!$A:$A,0))&amp;"","")&lt;&gt;""),"SIM",""))</f>
        <v/>
      </c>
      <c r="N445" s="5"/>
      <c r="O445" s="32" t="str">
        <f aca="false">IF(D445="","",YEAR(D445))</f>
        <v/>
      </c>
      <c r="P445" s="5"/>
    </row>
    <row r="446" customFormat="false" ht="15" hidden="false" customHeight="false" outlineLevel="0" collapsed="false">
      <c r="A446" s="27"/>
      <c r="B446" s="5"/>
      <c r="C446" s="35"/>
      <c r="D446" s="18"/>
      <c r="E446" s="5"/>
      <c r="F446" s="14"/>
      <c r="G446" s="5"/>
      <c r="H446" s="27"/>
      <c r="I446" s="5"/>
      <c r="J446" s="19" t="str">
        <f aca="false">IF(A446="","",IFERROR(INDEX(Empresas!$D:$D,MATCH(A446,Empresas!$A:$A,0))&amp;"","não consta"))</f>
        <v/>
      </c>
      <c r="K446" s="19" t="str">
        <f aca="false">IF(A446="","",IFERROR(INDEX(Sancoes!$B:$B,MATCH(A446,Sancoes!$A:$A,0))&amp;"","não consta"))</f>
        <v/>
      </c>
      <c r="L446" s="19" t="str">
        <f aca="false">IF(A446="","",IFERROR(INDEX(Eleitoral!$B:$B,MATCH(A446,Eleitoral!$A:$A,0))&amp;"","não consta"))</f>
        <v/>
      </c>
      <c r="M446" s="28" t="str">
        <f aca="false">IF(A446="","",IF(OR(AND(K446&lt;&gt;"",LOWER(K446)&lt;&gt;"não consta"),AND(L446&lt;&gt;"",LOWER(L446)&lt;&gt;"não consta"),IFERROR(INDEX(Empresas!$G:$G,MATCH(A446,Empresas!$A:$A,0))&amp;"","")&lt;&gt;""),"SIM",""))</f>
        <v/>
      </c>
      <c r="N446" s="5"/>
      <c r="O446" s="32" t="str">
        <f aca="false">IF(D446="","",YEAR(D446))</f>
        <v/>
      </c>
      <c r="P446" s="5"/>
    </row>
    <row r="447" customFormat="false" ht="15" hidden="false" customHeight="false" outlineLevel="0" collapsed="false">
      <c r="A447" s="27"/>
      <c r="B447" s="5"/>
      <c r="C447" s="35"/>
      <c r="D447" s="18"/>
      <c r="E447" s="5"/>
      <c r="F447" s="14"/>
      <c r="G447" s="5"/>
      <c r="H447" s="27"/>
      <c r="I447" s="5"/>
      <c r="J447" s="19" t="str">
        <f aca="false">IF(A447="","",IFERROR(INDEX(Empresas!$D:$D,MATCH(A447,Empresas!$A:$A,0))&amp;"","não consta"))</f>
        <v/>
      </c>
      <c r="K447" s="19" t="str">
        <f aca="false">IF(A447="","",IFERROR(INDEX(Sancoes!$B:$B,MATCH(A447,Sancoes!$A:$A,0))&amp;"","não consta"))</f>
        <v/>
      </c>
      <c r="L447" s="19" t="str">
        <f aca="false">IF(A447="","",IFERROR(INDEX(Eleitoral!$B:$B,MATCH(A447,Eleitoral!$A:$A,0))&amp;"","não consta"))</f>
        <v/>
      </c>
      <c r="M447" s="28" t="str">
        <f aca="false">IF(A447="","",IF(OR(AND(K447&lt;&gt;"",LOWER(K447)&lt;&gt;"não consta"),AND(L447&lt;&gt;"",LOWER(L447)&lt;&gt;"não consta"),IFERROR(INDEX(Empresas!$G:$G,MATCH(A447,Empresas!$A:$A,0))&amp;"","")&lt;&gt;""),"SIM",""))</f>
        <v/>
      </c>
      <c r="N447" s="5"/>
      <c r="O447" s="32" t="str">
        <f aca="false">IF(D447="","",YEAR(D447))</f>
        <v/>
      </c>
      <c r="P447" s="5"/>
    </row>
    <row r="448" customFormat="false" ht="15" hidden="false" customHeight="false" outlineLevel="0" collapsed="false">
      <c r="A448" s="27"/>
      <c r="B448" s="5"/>
      <c r="C448" s="35"/>
      <c r="D448" s="18"/>
      <c r="E448" s="5"/>
      <c r="F448" s="14"/>
      <c r="G448" s="5"/>
      <c r="H448" s="27"/>
      <c r="I448" s="5"/>
      <c r="J448" s="19" t="str">
        <f aca="false">IF(A448="","",IFERROR(INDEX(Empresas!$D:$D,MATCH(A448,Empresas!$A:$A,0))&amp;"","não consta"))</f>
        <v/>
      </c>
      <c r="K448" s="19" t="str">
        <f aca="false">IF(A448="","",IFERROR(INDEX(Sancoes!$B:$B,MATCH(A448,Sancoes!$A:$A,0))&amp;"","não consta"))</f>
        <v/>
      </c>
      <c r="L448" s="19" t="str">
        <f aca="false">IF(A448="","",IFERROR(INDEX(Eleitoral!$B:$B,MATCH(A448,Eleitoral!$A:$A,0))&amp;"","não consta"))</f>
        <v/>
      </c>
      <c r="M448" s="28" t="str">
        <f aca="false">IF(A448="","",IF(OR(AND(K448&lt;&gt;"",LOWER(K448)&lt;&gt;"não consta"),AND(L448&lt;&gt;"",LOWER(L448)&lt;&gt;"não consta"),IFERROR(INDEX(Empresas!$G:$G,MATCH(A448,Empresas!$A:$A,0))&amp;"","")&lt;&gt;""),"SIM",""))</f>
        <v/>
      </c>
      <c r="N448" s="5"/>
      <c r="O448" s="32" t="str">
        <f aca="false">IF(D448="","",YEAR(D448))</f>
        <v/>
      </c>
      <c r="P448" s="5"/>
    </row>
    <row r="449" customFormat="false" ht="15" hidden="false" customHeight="false" outlineLevel="0" collapsed="false">
      <c r="A449" s="27"/>
      <c r="B449" s="5"/>
      <c r="C449" s="35"/>
      <c r="D449" s="18"/>
      <c r="E449" s="5"/>
      <c r="F449" s="14"/>
      <c r="G449" s="5"/>
      <c r="H449" s="27"/>
      <c r="I449" s="5"/>
      <c r="J449" s="19" t="str">
        <f aca="false">IF(A449="","",IFERROR(INDEX(Empresas!$D:$D,MATCH(A449,Empresas!$A:$A,0))&amp;"","não consta"))</f>
        <v/>
      </c>
      <c r="K449" s="19" t="str">
        <f aca="false">IF(A449="","",IFERROR(INDEX(Sancoes!$B:$B,MATCH(A449,Sancoes!$A:$A,0))&amp;"","não consta"))</f>
        <v/>
      </c>
      <c r="L449" s="19" t="str">
        <f aca="false">IF(A449="","",IFERROR(INDEX(Eleitoral!$B:$B,MATCH(A449,Eleitoral!$A:$A,0))&amp;"","não consta"))</f>
        <v/>
      </c>
      <c r="M449" s="28" t="str">
        <f aca="false">IF(A449="","",IF(OR(AND(K449&lt;&gt;"",LOWER(K449)&lt;&gt;"não consta"),AND(L449&lt;&gt;"",LOWER(L449)&lt;&gt;"não consta"),IFERROR(INDEX(Empresas!$G:$G,MATCH(A449,Empresas!$A:$A,0))&amp;"","")&lt;&gt;""),"SIM",""))</f>
        <v/>
      </c>
      <c r="N449" s="5"/>
      <c r="O449" s="32" t="str">
        <f aca="false">IF(D449="","",YEAR(D449))</f>
        <v/>
      </c>
      <c r="P449" s="5"/>
    </row>
    <row r="450" customFormat="false" ht="15" hidden="false" customHeight="false" outlineLevel="0" collapsed="false">
      <c r="A450" s="27"/>
      <c r="B450" s="5"/>
      <c r="C450" s="35"/>
      <c r="D450" s="18"/>
      <c r="E450" s="5"/>
      <c r="F450" s="14"/>
      <c r="G450" s="5"/>
      <c r="H450" s="27"/>
      <c r="I450" s="5"/>
      <c r="J450" s="19" t="str">
        <f aca="false">IF(A450="","",IFERROR(INDEX(Empresas!$D:$D,MATCH(A450,Empresas!$A:$A,0))&amp;"","não consta"))</f>
        <v/>
      </c>
      <c r="K450" s="19" t="str">
        <f aca="false">IF(A450="","",IFERROR(INDEX(Sancoes!$B:$B,MATCH(A450,Sancoes!$A:$A,0))&amp;"","não consta"))</f>
        <v/>
      </c>
      <c r="L450" s="19" t="str">
        <f aca="false">IF(A450="","",IFERROR(INDEX(Eleitoral!$B:$B,MATCH(A450,Eleitoral!$A:$A,0))&amp;"","não consta"))</f>
        <v/>
      </c>
      <c r="M450" s="28" t="str">
        <f aca="false">IF(A450="","",IF(OR(AND(K450&lt;&gt;"",LOWER(K450)&lt;&gt;"não consta"),AND(L450&lt;&gt;"",LOWER(L450)&lt;&gt;"não consta"),IFERROR(INDEX(Empresas!$G:$G,MATCH(A450,Empresas!$A:$A,0))&amp;"","")&lt;&gt;""),"SIM",""))</f>
        <v/>
      </c>
      <c r="N450" s="5"/>
      <c r="O450" s="32" t="str">
        <f aca="false">IF(D450="","",YEAR(D450))</f>
        <v/>
      </c>
      <c r="P450" s="5"/>
    </row>
    <row r="451" customFormat="false" ht="15" hidden="false" customHeight="false" outlineLevel="0" collapsed="false">
      <c r="A451" s="27"/>
      <c r="B451" s="5"/>
      <c r="C451" s="35"/>
      <c r="D451" s="18"/>
      <c r="E451" s="5"/>
      <c r="F451" s="14"/>
      <c r="G451" s="5"/>
      <c r="H451" s="27"/>
      <c r="I451" s="5"/>
      <c r="J451" s="19" t="str">
        <f aca="false">IF(A451="","",IFERROR(INDEX(Empresas!$D:$D,MATCH(A451,Empresas!$A:$A,0))&amp;"","não consta"))</f>
        <v/>
      </c>
      <c r="K451" s="19" t="str">
        <f aca="false">IF(A451="","",IFERROR(INDEX(Sancoes!$B:$B,MATCH(A451,Sancoes!$A:$A,0))&amp;"","não consta"))</f>
        <v/>
      </c>
      <c r="L451" s="19" t="str">
        <f aca="false">IF(A451="","",IFERROR(INDEX(Eleitoral!$B:$B,MATCH(A451,Eleitoral!$A:$A,0))&amp;"","não consta"))</f>
        <v/>
      </c>
      <c r="M451" s="28" t="str">
        <f aca="false">IF(A451="","",IF(OR(AND(K451&lt;&gt;"",LOWER(K451)&lt;&gt;"não consta"),AND(L451&lt;&gt;"",LOWER(L451)&lt;&gt;"não consta"),IFERROR(INDEX(Empresas!$G:$G,MATCH(A451,Empresas!$A:$A,0))&amp;"","")&lt;&gt;""),"SIM",""))</f>
        <v/>
      </c>
      <c r="N451" s="5"/>
      <c r="O451" s="32" t="str">
        <f aca="false">IF(D451="","",YEAR(D451))</f>
        <v/>
      </c>
      <c r="P451" s="5"/>
    </row>
    <row r="452" customFormat="false" ht="15" hidden="false" customHeight="false" outlineLevel="0" collapsed="false">
      <c r="A452" s="27"/>
      <c r="B452" s="5"/>
      <c r="C452" s="35"/>
      <c r="D452" s="18"/>
      <c r="E452" s="5"/>
      <c r="F452" s="14"/>
      <c r="G452" s="5"/>
      <c r="H452" s="27"/>
      <c r="I452" s="5"/>
      <c r="J452" s="19" t="str">
        <f aca="false">IF(A452="","",IFERROR(INDEX(Empresas!$D:$D,MATCH(A452,Empresas!$A:$A,0))&amp;"","não consta"))</f>
        <v/>
      </c>
      <c r="K452" s="19" t="str">
        <f aca="false">IF(A452="","",IFERROR(INDEX(Sancoes!$B:$B,MATCH(A452,Sancoes!$A:$A,0))&amp;"","não consta"))</f>
        <v/>
      </c>
      <c r="L452" s="19" t="str">
        <f aca="false">IF(A452="","",IFERROR(INDEX(Eleitoral!$B:$B,MATCH(A452,Eleitoral!$A:$A,0))&amp;"","não consta"))</f>
        <v/>
      </c>
      <c r="M452" s="28" t="str">
        <f aca="false">IF(A452="","",IF(OR(AND(K452&lt;&gt;"",LOWER(K452)&lt;&gt;"não consta"),AND(L452&lt;&gt;"",LOWER(L452)&lt;&gt;"não consta"),IFERROR(INDEX(Empresas!$G:$G,MATCH(A452,Empresas!$A:$A,0))&amp;"","")&lt;&gt;""),"SIM",""))</f>
        <v/>
      </c>
      <c r="N452" s="5"/>
      <c r="O452" s="32" t="str">
        <f aca="false">IF(D452="","",YEAR(D452))</f>
        <v/>
      </c>
      <c r="P452" s="5"/>
    </row>
    <row r="453" customFormat="false" ht="15" hidden="false" customHeight="false" outlineLevel="0" collapsed="false">
      <c r="A453" s="27"/>
      <c r="B453" s="5"/>
      <c r="C453" s="35"/>
      <c r="D453" s="18"/>
      <c r="E453" s="5"/>
      <c r="F453" s="14"/>
      <c r="G453" s="5"/>
      <c r="H453" s="27"/>
      <c r="I453" s="5"/>
      <c r="J453" s="19" t="str">
        <f aca="false">IF(A453="","",IFERROR(INDEX(Empresas!$D:$D,MATCH(A453,Empresas!$A:$A,0))&amp;"","não consta"))</f>
        <v/>
      </c>
      <c r="K453" s="19" t="str">
        <f aca="false">IF(A453="","",IFERROR(INDEX(Sancoes!$B:$B,MATCH(A453,Sancoes!$A:$A,0))&amp;"","não consta"))</f>
        <v/>
      </c>
      <c r="L453" s="19" t="str">
        <f aca="false">IF(A453="","",IFERROR(INDEX(Eleitoral!$B:$B,MATCH(A453,Eleitoral!$A:$A,0))&amp;"","não consta"))</f>
        <v/>
      </c>
      <c r="M453" s="28" t="str">
        <f aca="false">IF(A453="","",IF(OR(AND(K453&lt;&gt;"",LOWER(K453)&lt;&gt;"não consta"),AND(L453&lt;&gt;"",LOWER(L453)&lt;&gt;"não consta"),IFERROR(INDEX(Empresas!$G:$G,MATCH(A453,Empresas!$A:$A,0))&amp;"","")&lt;&gt;""),"SIM",""))</f>
        <v/>
      </c>
      <c r="N453" s="5"/>
      <c r="O453" s="32" t="str">
        <f aca="false">IF(D453="","",YEAR(D453))</f>
        <v/>
      </c>
      <c r="P453" s="5"/>
    </row>
    <row r="454" customFormat="false" ht="15" hidden="false" customHeight="false" outlineLevel="0" collapsed="false">
      <c r="A454" s="27"/>
      <c r="B454" s="5"/>
      <c r="C454" s="35"/>
      <c r="D454" s="18"/>
      <c r="E454" s="5"/>
      <c r="F454" s="14"/>
      <c r="G454" s="5"/>
      <c r="H454" s="27"/>
      <c r="I454" s="5"/>
      <c r="J454" s="19" t="str">
        <f aca="false">IF(A454="","",IFERROR(INDEX(Empresas!$D:$D,MATCH(A454,Empresas!$A:$A,0))&amp;"","não consta"))</f>
        <v/>
      </c>
      <c r="K454" s="19" t="str">
        <f aca="false">IF(A454="","",IFERROR(INDEX(Sancoes!$B:$B,MATCH(A454,Sancoes!$A:$A,0))&amp;"","não consta"))</f>
        <v/>
      </c>
      <c r="L454" s="19" t="str">
        <f aca="false">IF(A454="","",IFERROR(INDEX(Eleitoral!$B:$B,MATCH(A454,Eleitoral!$A:$A,0))&amp;"","não consta"))</f>
        <v/>
      </c>
      <c r="M454" s="28" t="str">
        <f aca="false">IF(A454="","",IF(OR(AND(K454&lt;&gt;"",LOWER(K454)&lt;&gt;"não consta"),AND(L454&lt;&gt;"",LOWER(L454)&lt;&gt;"não consta"),IFERROR(INDEX(Empresas!$G:$G,MATCH(A454,Empresas!$A:$A,0))&amp;"","")&lt;&gt;""),"SIM",""))</f>
        <v/>
      </c>
      <c r="N454" s="5"/>
      <c r="O454" s="32" t="str">
        <f aca="false">IF(D454="","",YEAR(D454))</f>
        <v/>
      </c>
      <c r="P454" s="5"/>
    </row>
    <row r="455" customFormat="false" ht="15" hidden="false" customHeight="false" outlineLevel="0" collapsed="false">
      <c r="A455" s="27"/>
      <c r="B455" s="5"/>
      <c r="C455" s="35"/>
      <c r="D455" s="18"/>
      <c r="E455" s="5"/>
      <c r="F455" s="14"/>
      <c r="G455" s="5"/>
      <c r="H455" s="27"/>
      <c r="I455" s="5"/>
      <c r="J455" s="19" t="str">
        <f aca="false">IF(A455="","",IFERROR(INDEX(Empresas!$D:$D,MATCH(A455,Empresas!$A:$A,0))&amp;"","não consta"))</f>
        <v/>
      </c>
      <c r="K455" s="19" t="str">
        <f aca="false">IF(A455="","",IFERROR(INDEX(Sancoes!$B:$B,MATCH(A455,Sancoes!$A:$A,0))&amp;"","não consta"))</f>
        <v/>
      </c>
      <c r="L455" s="19" t="str">
        <f aca="false">IF(A455="","",IFERROR(INDEX(Eleitoral!$B:$B,MATCH(A455,Eleitoral!$A:$A,0))&amp;"","não consta"))</f>
        <v/>
      </c>
      <c r="M455" s="28" t="str">
        <f aca="false">IF(A455="","",IF(OR(AND(K455&lt;&gt;"",LOWER(K455)&lt;&gt;"não consta"),AND(L455&lt;&gt;"",LOWER(L455)&lt;&gt;"não consta"),IFERROR(INDEX(Empresas!$G:$G,MATCH(A455,Empresas!$A:$A,0))&amp;"","")&lt;&gt;""),"SIM",""))</f>
        <v/>
      </c>
      <c r="N455" s="5"/>
      <c r="O455" s="32" t="str">
        <f aca="false">IF(D455="","",YEAR(D455))</f>
        <v/>
      </c>
      <c r="P455" s="5"/>
    </row>
    <row r="456" customFormat="false" ht="15" hidden="false" customHeight="false" outlineLevel="0" collapsed="false">
      <c r="A456" s="27"/>
      <c r="B456" s="5"/>
      <c r="C456" s="35"/>
      <c r="D456" s="18"/>
      <c r="E456" s="5"/>
      <c r="F456" s="14"/>
      <c r="G456" s="5"/>
      <c r="H456" s="27"/>
      <c r="I456" s="5"/>
      <c r="J456" s="19" t="str">
        <f aca="false">IF(A456="","",IFERROR(INDEX(Empresas!$D:$D,MATCH(A456,Empresas!$A:$A,0))&amp;"","não consta"))</f>
        <v/>
      </c>
      <c r="K456" s="19" t="str">
        <f aca="false">IF(A456="","",IFERROR(INDEX(Sancoes!$B:$B,MATCH(A456,Sancoes!$A:$A,0))&amp;"","não consta"))</f>
        <v/>
      </c>
      <c r="L456" s="19" t="str">
        <f aca="false">IF(A456="","",IFERROR(INDEX(Eleitoral!$B:$B,MATCH(A456,Eleitoral!$A:$A,0))&amp;"","não consta"))</f>
        <v/>
      </c>
      <c r="M456" s="28" t="str">
        <f aca="false">IF(A456="","",IF(OR(AND(K456&lt;&gt;"",LOWER(K456)&lt;&gt;"não consta"),AND(L456&lt;&gt;"",LOWER(L456)&lt;&gt;"não consta"),IFERROR(INDEX(Empresas!$G:$G,MATCH(A456,Empresas!$A:$A,0))&amp;"","")&lt;&gt;""),"SIM",""))</f>
        <v/>
      </c>
      <c r="N456" s="5"/>
      <c r="O456" s="32" t="str">
        <f aca="false">IF(D456="","",YEAR(D456))</f>
        <v/>
      </c>
      <c r="P456" s="5"/>
    </row>
    <row r="457" customFormat="false" ht="15" hidden="false" customHeight="false" outlineLevel="0" collapsed="false">
      <c r="A457" s="27"/>
      <c r="B457" s="5"/>
      <c r="C457" s="35"/>
      <c r="D457" s="18"/>
      <c r="E457" s="5"/>
      <c r="F457" s="14"/>
      <c r="G457" s="5"/>
      <c r="H457" s="27"/>
      <c r="I457" s="5"/>
      <c r="J457" s="19" t="str">
        <f aca="false">IF(A457="","",IFERROR(INDEX(Empresas!$D:$D,MATCH(A457,Empresas!$A:$A,0))&amp;"","não consta"))</f>
        <v/>
      </c>
      <c r="K457" s="19" t="str">
        <f aca="false">IF(A457="","",IFERROR(INDEX(Sancoes!$B:$B,MATCH(A457,Sancoes!$A:$A,0))&amp;"","não consta"))</f>
        <v/>
      </c>
      <c r="L457" s="19" t="str">
        <f aca="false">IF(A457="","",IFERROR(INDEX(Eleitoral!$B:$B,MATCH(A457,Eleitoral!$A:$A,0))&amp;"","não consta"))</f>
        <v/>
      </c>
      <c r="M457" s="28" t="str">
        <f aca="false">IF(A457="","",IF(OR(AND(K457&lt;&gt;"",LOWER(K457)&lt;&gt;"não consta"),AND(L457&lt;&gt;"",LOWER(L457)&lt;&gt;"não consta"),IFERROR(INDEX(Empresas!$G:$G,MATCH(A457,Empresas!$A:$A,0))&amp;"","")&lt;&gt;""),"SIM",""))</f>
        <v/>
      </c>
      <c r="N457" s="5"/>
      <c r="O457" s="32" t="str">
        <f aca="false">IF(D457="","",YEAR(D457))</f>
        <v/>
      </c>
      <c r="P457" s="5"/>
    </row>
    <row r="458" customFormat="false" ht="15" hidden="false" customHeight="false" outlineLevel="0" collapsed="false">
      <c r="A458" s="27"/>
      <c r="B458" s="5"/>
      <c r="C458" s="35"/>
      <c r="D458" s="18"/>
      <c r="E458" s="5"/>
      <c r="F458" s="14"/>
      <c r="G458" s="5"/>
      <c r="H458" s="27"/>
      <c r="I458" s="5"/>
      <c r="J458" s="19" t="str">
        <f aca="false">IF(A458="","",IFERROR(INDEX(Empresas!$D:$D,MATCH(A458,Empresas!$A:$A,0))&amp;"","não consta"))</f>
        <v/>
      </c>
      <c r="K458" s="19" t="str">
        <f aca="false">IF(A458="","",IFERROR(INDEX(Sancoes!$B:$B,MATCH(A458,Sancoes!$A:$A,0))&amp;"","não consta"))</f>
        <v/>
      </c>
      <c r="L458" s="19" t="str">
        <f aca="false">IF(A458="","",IFERROR(INDEX(Eleitoral!$B:$B,MATCH(A458,Eleitoral!$A:$A,0))&amp;"","não consta"))</f>
        <v/>
      </c>
      <c r="M458" s="28" t="str">
        <f aca="false">IF(A458="","",IF(OR(AND(K458&lt;&gt;"",LOWER(K458)&lt;&gt;"não consta"),AND(L458&lt;&gt;"",LOWER(L458)&lt;&gt;"não consta"),IFERROR(INDEX(Empresas!$G:$G,MATCH(A458,Empresas!$A:$A,0))&amp;"","")&lt;&gt;""),"SIM",""))</f>
        <v/>
      </c>
      <c r="N458" s="5"/>
      <c r="O458" s="32" t="str">
        <f aca="false">IF(D458="","",YEAR(D458))</f>
        <v/>
      </c>
      <c r="P458" s="5"/>
    </row>
    <row r="459" customFormat="false" ht="15" hidden="false" customHeight="false" outlineLevel="0" collapsed="false">
      <c r="A459" s="27"/>
      <c r="B459" s="5"/>
      <c r="C459" s="35"/>
      <c r="D459" s="18"/>
      <c r="E459" s="5"/>
      <c r="F459" s="14"/>
      <c r="G459" s="5"/>
      <c r="H459" s="27"/>
      <c r="I459" s="5"/>
      <c r="J459" s="19" t="str">
        <f aca="false">IF(A459="","",IFERROR(INDEX(Empresas!$D:$D,MATCH(A459,Empresas!$A:$A,0))&amp;"","não consta"))</f>
        <v/>
      </c>
      <c r="K459" s="19" t="str">
        <f aca="false">IF(A459="","",IFERROR(INDEX(Sancoes!$B:$B,MATCH(A459,Sancoes!$A:$A,0))&amp;"","não consta"))</f>
        <v/>
      </c>
      <c r="L459" s="19" t="str">
        <f aca="false">IF(A459="","",IFERROR(INDEX(Eleitoral!$B:$B,MATCH(A459,Eleitoral!$A:$A,0))&amp;"","não consta"))</f>
        <v/>
      </c>
      <c r="M459" s="28" t="str">
        <f aca="false">IF(A459="","",IF(OR(AND(K459&lt;&gt;"",LOWER(K459)&lt;&gt;"não consta"),AND(L459&lt;&gt;"",LOWER(L459)&lt;&gt;"não consta"),IFERROR(INDEX(Empresas!$G:$G,MATCH(A459,Empresas!$A:$A,0))&amp;"","")&lt;&gt;""),"SIM",""))</f>
        <v/>
      </c>
      <c r="N459" s="5"/>
      <c r="O459" s="32" t="str">
        <f aca="false">IF(D459="","",YEAR(D459))</f>
        <v/>
      </c>
      <c r="P459" s="5"/>
    </row>
    <row r="460" customFormat="false" ht="15" hidden="false" customHeight="false" outlineLevel="0" collapsed="false">
      <c r="A460" s="27"/>
      <c r="B460" s="5"/>
      <c r="C460" s="35"/>
      <c r="D460" s="18"/>
      <c r="E460" s="5"/>
      <c r="F460" s="14"/>
      <c r="G460" s="5"/>
      <c r="H460" s="27"/>
      <c r="I460" s="5"/>
      <c r="J460" s="19" t="str">
        <f aca="false">IF(A460="","",IFERROR(INDEX(Empresas!$D:$D,MATCH(A460,Empresas!$A:$A,0))&amp;"","não consta"))</f>
        <v/>
      </c>
      <c r="K460" s="19" t="str">
        <f aca="false">IF(A460="","",IFERROR(INDEX(Sancoes!$B:$B,MATCH(A460,Sancoes!$A:$A,0))&amp;"","não consta"))</f>
        <v/>
      </c>
      <c r="L460" s="19" t="str">
        <f aca="false">IF(A460="","",IFERROR(INDEX(Eleitoral!$B:$B,MATCH(A460,Eleitoral!$A:$A,0))&amp;"","não consta"))</f>
        <v/>
      </c>
      <c r="M460" s="28" t="str">
        <f aca="false">IF(A460="","",IF(OR(AND(K460&lt;&gt;"",LOWER(K460)&lt;&gt;"não consta"),AND(L460&lt;&gt;"",LOWER(L460)&lt;&gt;"não consta"),IFERROR(INDEX(Empresas!$G:$G,MATCH(A460,Empresas!$A:$A,0))&amp;"","")&lt;&gt;""),"SIM",""))</f>
        <v/>
      </c>
      <c r="N460" s="5"/>
      <c r="O460" s="32" t="str">
        <f aca="false">IF(D460="","",YEAR(D460))</f>
        <v/>
      </c>
      <c r="P460" s="5"/>
    </row>
    <row r="461" customFormat="false" ht="15" hidden="false" customHeight="false" outlineLevel="0" collapsed="false">
      <c r="A461" s="27"/>
      <c r="B461" s="5"/>
      <c r="C461" s="35"/>
      <c r="D461" s="18"/>
      <c r="E461" s="5"/>
      <c r="F461" s="14"/>
      <c r="G461" s="5"/>
      <c r="H461" s="27"/>
      <c r="I461" s="5"/>
      <c r="J461" s="19" t="str">
        <f aca="false">IF(A461="","",IFERROR(INDEX(Empresas!$D:$D,MATCH(A461,Empresas!$A:$A,0))&amp;"","não consta"))</f>
        <v/>
      </c>
      <c r="K461" s="19" t="str">
        <f aca="false">IF(A461="","",IFERROR(INDEX(Sancoes!$B:$B,MATCH(A461,Sancoes!$A:$A,0))&amp;"","não consta"))</f>
        <v/>
      </c>
      <c r="L461" s="19" t="str">
        <f aca="false">IF(A461="","",IFERROR(INDEX(Eleitoral!$B:$B,MATCH(A461,Eleitoral!$A:$A,0))&amp;"","não consta"))</f>
        <v/>
      </c>
      <c r="M461" s="28" t="str">
        <f aca="false">IF(A461="","",IF(OR(AND(K461&lt;&gt;"",LOWER(K461)&lt;&gt;"não consta"),AND(L461&lt;&gt;"",LOWER(L461)&lt;&gt;"não consta"),IFERROR(INDEX(Empresas!$G:$G,MATCH(A461,Empresas!$A:$A,0))&amp;"","")&lt;&gt;""),"SIM",""))</f>
        <v/>
      </c>
      <c r="N461" s="5"/>
      <c r="O461" s="32" t="str">
        <f aca="false">IF(D461="","",YEAR(D461))</f>
        <v/>
      </c>
      <c r="P461" s="5"/>
    </row>
    <row r="462" customFormat="false" ht="15" hidden="false" customHeight="false" outlineLevel="0" collapsed="false">
      <c r="A462" s="27"/>
      <c r="B462" s="5"/>
      <c r="C462" s="35"/>
      <c r="D462" s="18"/>
      <c r="E462" s="5"/>
      <c r="F462" s="14"/>
      <c r="G462" s="5"/>
      <c r="H462" s="27"/>
      <c r="I462" s="5"/>
      <c r="J462" s="19" t="str">
        <f aca="false">IF(A462="","",IFERROR(INDEX(Empresas!$D:$D,MATCH(A462,Empresas!$A:$A,0))&amp;"","não consta"))</f>
        <v/>
      </c>
      <c r="K462" s="19" t="str">
        <f aca="false">IF(A462="","",IFERROR(INDEX(Sancoes!$B:$B,MATCH(A462,Sancoes!$A:$A,0))&amp;"","não consta"))</f>
        <v/>
      </c>
      <c r="L462" s="19" t="str">
        <f aca="false">IF(A462="","",IFERROR(INDEX(Eleitoral!$B:$B,MATCH(A462,Eleitoral!$A:$A,0))&amp;"","não consta"))</f>
        <v/>
      </c>
      <c r="M462" s="28" t="str">
        <f aca="false">IF(A462="","",IF(OR(AND(K462&lt;&gt;"",LOWER(K462)&lt;&gt;"não consta"),AND(L462&lt;&gt;"",LOWER(L462)&lt;&gt;"não consta"),IFERROR(INDEX(Empresas!$G:$G,MATCH(A462,Empresas!$A:$A,0))&amp;"","")&lt;&gt;""),"SIM",""))</f>
        <v/>
      </c>
      <c r="N462" s="5"/>
      <c r="O462" s="32" t="str">
        <f aca="false">IF(D462="","",YEAR(D462))</f>
        <v/>
      </c>
      <c r="P462" s="5"/>
    </row>
    <row r="463" customFormat="false" ht="15" hidden="false" customHeight="false" outlineLevel="0" collapsed="false">
      <c r="A463" s="27"/>
      <c r="B463" s="5"/>
      <c r="C463" s="35"/>
      <c r="D463" s="18"/>
      <c r="E463" s="5"/>
      <c r="F463" s="14"/>
      <c r="G463" s="5"/>
      <c r="H463" s="27"/>
      <c r="I463" s="5"/>
      <c r="J463" s="19" t="str">
        <f aca="false">IF(A463="","",IFERROR(INDEX(Empresas!$D:$D,MATCH(A463,Empresas!$A:$A,0))&amp;"","não consta"))</f>
        <v/>
      </c>
      <c r="K463" s="19" t="str">
        <f aca="false">IF(A463="","",IFERROR(INDEX(Sancoes!$B:$B,MATCH(A463,Sancoes!$A:$A,0))&amp;"","não consta"))</f>
        <v/>
      </c>
      <c r="L463" s="19" t="str">
        <f aca="false">IF(A463="","",IFERROR(INDEX(Eleitoral!$B:$B,MATCH(A463,Eleitoral!$A:$A,0))&amp;"","não consta"))</f>
        <v/>
      </c>
      <c r="M463" s="28" t="str">
        <f aca="false">IF(A463="","",IF(OR(AND(K463&lt;&gt;"",LOWER(K463)&lt;&gt;"não consta"),AND(L463&lt;&gt;"",LOWER(L463)&lt;&gt;"não consta"),IFERROR(INDEX(Empresas!$G:$G,MATCH(A463,Empresas!$A:$A,0))&amp;"","")&lt;&gt;""),"SIM",""))</f>
        <v/>
      </c>
      <c r="N463" s="5"/>
      <c r="O463" s="32" t="str">
        <f aca="false">IF(D463="","",YEAR(D463))</f>
        <v/>
      </c>
      <c r="P463" s="5"/>
    </row>
    <row r="464" customFormat="false" ht="15" hidden="false" customHeight="false" outlineLevel="0" collapsed="false">
      <c r="A464" s="27"/>
      <c r="B464" s="5"/>
      <c r="C464" s="35"/>
      <c r="D464" s="18"/>
      <c r="E464" s="5"/>
      <c r="F464" s="14"/>
      <c r="G464" s="5"/>
      <c r="H464" s="27"/>
      <c r="I464" s="5"/>
      <c r="J464" s="19" t="str">
        <f aca="false">IF(A464="","",IFERROR(INDEX(Empresas!$D:$D,MATCH(A464,Empresas!$A:$A,0))&amp;"","não consta"))</f>
        <v/>
      </c>
      <c r="K464" s="19" t="str">
        <f aca="false">IF(A464="","",IFERROR(INDEX(Sancoes!$B:$B,MATCH(A464,Sancoes!$A:$A,0))&amp;"","não consta"))</f>
        <v/>
      </c>
      <c r="L464" s="19" t="str">
        <f aca="false">IF(A464="","",IFERROR(INDEX(Eleitoral!$B:$B,MATCH(A464,Eleitoral!$A:$A,0))&amp;"","não consta"))</f>
        <v/>
      </c>
      <c r="M464" s="28" t="str">
        <f aca="false">IF(A464="","",IF(OR(AND(K464&lt;&gt;"",LOWER(K464)&lt;&gt;"não consta"),AND(L464&lt;&gt;"",LOWER(L464)&lt;&gt;"não consta"),IFERROR(INDEX(Empresas!$G:$G,MATCH(A464,Empresas!$A:$A,0))&amp;"","")&lt;&gt;""),"SIM",""))</f>
        <v/>
      </c>
      <c r="N464" s="5"/>
      <c r="O464" s="32" t="str">
        <f aca="false">IF(D464="","",YEAR(D464))</f>
        <v/>
      </c>
      <c r="P464" s="5"/>
    </row>
    <row r="465" customFormat="false" ht="15" hidden="false" customHeight="false" outlineLevel="0" collapsed="false">
      <c r="A465" s="27"/>
      <c r="B465" s="5"/>
      <c r="C465" s="35"/>
      <c r="D465" s="18"/>
      <c r="E465" s="5"/>
      <c r="F465" s="14"/>
      <c r="G465" s="5"/>
      <c r="H465" s="27"/>
      <c r="I465" s="5"/>
      <c r="J465" s="19" t="str">
        <f aca="false">IF(A465="","",IFERROR(INDEX(Empresas!$D:$D,MATCH(A465,Empresas!$A:$A,0))&amp;"","não consta"))</f>
        <v/>
      </c>
      <c r="K465" s="19" t="str">
        <f aca="false">IF(A465="","",IFERROR(INDEX(Sancoes!$B:$B,MATCH(A465,Sancoes!$A:$A,0))&amp;"","não consta"))</f>
        <v/>
      </c>
      <c r="L465" s="19" t="str">
        <f aca="false">IF(A465="","",IFERROR(INDEX(Eleitoral!$B:$B,MATCH(A465,Eleitoral!$A:$A,0))&amp;"","não consta"))</f>
        <v/>
      </c>
      <c r="M465" s="28" t="str">
        <f aca="false">IF(A465="","",IF(OR(AND(K465&lt;&gt;"",LOWER(K465)&lt;&gt;"não consta"),AND(L465&lt;&gt;"",LOWER(L465)&lt;&gt;"não consta"),IFERROR(INDEX(Empresas!$G:$G,MATCH(A465,Empresas!$A:$A,0))&amp;"","")&lt;&gt;""),"SIM",""))</f>
        <v/>
      </c>
      <c r="N465" s="5"/>
      <c r="O465" s="32" t="str">
        <f aca="false">IF(D465="","",YEAR(D465))</f>
        <v/>
      </c>
      <c r="P465" s="5"/>
    </row>
    <row r="466" customFormat="false" ht="15" hidden="false" customHeight="false" outlineLevel="0" collapsed="false">
      <c r="A466" s="27"/>
      <c r="B466" s="5"/>
      <c r="C466" s="35"/>
      <c r="D466" s="18"/>
      <c r="E466" s="5"/>
      <c r="F466" s="14"/>
      <c r="G466" s="5"/>
      <c r="H466" s="27"/>
      <c r="I466" s="5"/>
      <c r="J466" s="19" t="str">
        <f aca="false">IF(A466="","",IFERROR(INDEX(Empresas!$D:$D,MATCH(A466,Empresas!$A:$A,0))&amp;"","não consta"))</f>
        <v/>
      </c>
      <c r="K466" s="19" t="str">
        <f aca="false">IF(A466="","",IFERROR(INDEX(Sancoes!$B:$B,MATCH(A466,Sancoes!$A:$A,0))&amp;"","não consta"))</f>
        <v/>
      </c>
      <c r="L466" s="19" t="str">
        <f aca="false">IF(A466="","",IFERROR(INDEX(Eleitoral!$B:$B,MATCH(A466,Eleitoral!$A:$A,0))&amp;"","não consta"))</f>
        <v/>
      </c>
      <c r="M466" s="28" t="str">
        <f aca="false">IF(A466="","",IF(OR(AND(K466&lt;&gt;"",LOWER(K466)&lt;&gt;"não consta"),AND(L466&lt;&gt;"",LOWER(L466)&lt;&gt;"não consta"),IFERROR(INDEX(Empresas!$G:$G,MATCH(A466,Empresas!$A:$A,0))&amp;"","")&lt;&gt;""),"SIM",""))</f>
        <v/>
      </c>
      <c r="N466" s="5"/>
      <c r="O466" s="32" t="str">
        <f aca="false">IF(D466="","",YEAR(D466))</f>
        <v/>
      </c>
      <c r="P466" s="5"/>
    </row>
    <row r="467" customFormat="false" ht="15" hidden="false" customHeight="false" outlineLevel="0" collapsed="false">
      <c r="A467" s="27"/>
      <c r="B467" s="5"/>
      <c r="C467" s="35"/>
      <c r="D467" s="18"/>
      <c r="E467" s="5"/>
      <c r="F467" s="14"/>
      <c r="G467" s="5"/>
      <c r="H467" s="27"/>
      <c r="I467" s="5"/>
      <c r="J467" s="19" t="str">
        <f aca="false">IF(A467="","",IFERROR(INDEX(Empresas!$D:$D,MATCH(A467,Empresas!$A:$A,0))&amp;"","não consta"))</f>
        <v/>
      </c>
      <c r="K467" s="19" t="str">
        <f aca="false">IF(A467="","",IFERROR(INDEX(Sancoes!$B:$B,MATCH(A467,Sancoes!$A:$A,0))&amp;"","não consta"))</f>
        <v/>
      </c>
      <c r="L467" s="19" t="str">
        <f aca="false">IF(A467="","",IFERROR(INDEX(Eleitoral!$B:$B,MATCH(A467,Eleitoral!$A:$A,0))&amp;"","não consta"))</f>
        <v/>
      </c>
      <c r="M467" s="28" t="str">
        <f aca="false">IF(A467="","",IF(OR(AND(K467&lt;&gt;"",LOWER(K467)&lt;&gt;"não consta"),AND(L467&lt;&gt;"",LOWER(L467)&lt;&gt;"não consta"),IFERROR(INDEX(Empresas!$G:$G,MATCH(A467,Empresas!$A:$A,0))&amp;"","")&lt;&gt;""),"SIM",""))</f>
        <v/>
      </c>
      <c r="N467" s="5"/>
      <c r="O467" s="32" t="str">
        <f aca="false">IF(D467="","",YEAR(D467))</f>
        <v/>
      </c>
      <c r="P467" s="5"/>
    </row>
    <row r="468" customFormat="false" ht="15" hidden="false" customHeight="false" outlineLevel="0" collapsed="false">
      <c r="A468" s="27"/>
      <c r="B468" s="5"/>
      <c r="C468" s="35"/>
      <c r="D468" s="18"/>
      <c r="E468" s="5"/>
      <c r="F468" s="14"/>
      <c r="G468" s="5"/>
      <c r="H468" s="27"/>
      <c r="I468" s="5"/>
      <c r="J468" s="19" t="str">
        <f aca="false">IF(A468="","",IFERROR(INDEX(Empresas!$D:$D,MATCH(A468,Empresas!$A:$A,0))&amp;"","não consta"))</f>
        <v/>
      </c>
      <c r="K468" s="19" t="str">
        <f aca="false">IF(A468="","",IFERROR(INDEX(Sancoes!$B:$B,MATCH(A468,Sancoes!$A:$A,0))&amp;"","não consta"))</f>
        <v/>
      </c>
      <c r="L468" s="19" t="str">
        <f aca="false">IF(A468="","",IFERROR(INDEX(Eleitoral!$B:$B,MATCH(A468,Eleitoral!$A:$A,0))&amp;"","não consta"))</f>
        <v/>
      </c>
      <c r="M468" s="28" t="str">
        <f aca="false">IF(A468="","",IF(OR(AND(K468&lt;&gt;"",LOWER(K468)&lt;&gt;"não consta"),AND(L468&lt;&gt;"",LOWER(L468)&lt;&gt;"não consta"),IFERROR(INDEX(Empresas!$G:$G,MATCH(A468,Empresas!$A:$A,0))&amp;"","")&lt;&gt;""),"SIM",""))</f>
        <v/>
      </c>
      <c r="N468" s="5"/>
      <c r="O468" s="32" t="str">
        <f aca="false">IF(D468="","",YEAR(D468))</f>
        <v/>
      </c>
      <c r="P468" s="5"/>
    </row>
    <row r="469" customFormat="false" ht="15" hidden="false" customHeight="false" outlineLevel="0" collapsed="false">
      <c r="A469" s="27"/>
      <c r="B469" s="5"/>
      <c r="C469" s="35"/>
      <c r="D469" s="18"/>
      <c r="E469" s="5"/>
      <c r="F469" s="14"/>
      <c r="G469" s="5"/>
      <c r="H469" s="27"/>
      <c r="I469" s="5"/>
      <c r="J469" s="19" t="str">
        <f aca="false">IF(A469="","",IFERROR(INDEX(Empresas!$D:$D,MATCH(A469,Empresas!$A:$A,0))&amp;"","não consta"))</f>
        <v/>
      </c>
      <c r="K469" s="19" t="str">
        <f aca="false">IF(A469="","",IFERROR(INDEX(Sancoes!$B:$B,MATCH(A469,Sancoes!$A:$A,0))&amp;"","não consta"))</f>
        <v/>
      </c>
      <c r="L469" s="19" t="str">
        <f aca="false">IF(A469="","",IFERROR(INDEX(Eleitoral!$B:$B,MATCH(A469,Eleitoral!$A:$A,0))&amp;"","não consta"))</f>
        <v/>
      </c>
      <c r="M469" s="28" t="str">
        <f aca="false">IF(A469="","",IF(OR(AND(K469&lt;&gt;"",LOWER(K469)&lt;&gt;"não consta"),AND(L469&lt;&gt;"",LOWER(L469)&lt;&gt;"não consta"),IFERROR(INDEX(Empresas!$G:$G,MATCH(A469,Empresas!$A:$A,0))&amp;"","")&lt;&gt;""),"SIM",""))</f>
        <v/>
      </c>
      <c r="N469" s="5"/>
      <c r="O469" s="32" t="str">
        <f aca="false">IF(D469="","",YEAR(D469))</f>
        <v/>
      </c>
      <c r="P469" s="5"/>
    </row>
    <row r="470" customFormat="false" ht="15" hidden="false" customHeight="false" outlineLevel="0" collapsed="false">
      <c r="A470" s="27"/>
      <c r="B470" s="5"/>
      <c r="C470" s="35"/>
      <c r="D470" s="18"/>
      <c r="E470" s="5"/>
      <c r="F470" s="14"/>
      <c r="G470" s="5"/>
      <c r="H470" s="27"/>
      <c r="I470" s="5"/>
      <c r="J470" s="19" t="str">
        <f aca="false">IF(A470="","",IFERROR(INDEX(Empresas!$D:$D,MATCH(A470,Empresas!$A:$A,0))&amp;"","não consta"))</f>
        <v/>
      </c>
      <c r="K470" s="19" t="str">
        <f aca="false">IF(A470="","",IFERROR(INDEX(Sancoes!$B:$B,MATCH(A470,Sancoes!$A:$A,0))&amp;"","não consta"))</f>
        <v/>
      </c>
      <c r="L470" s="19" t="str">
        <f aca="false">IF(A470="","",IFERROR(INDEX(Eleitoral!$B:$B,MATCH(A470,Eleitoral!$A:$A,0))&amp;"","não consta"))</f>
        <v/>
      </c>
      <c r="M470" s="28" t="str">
        <f aca="false">IF(A470="","",IF(OR(AND(K470&lt;&gt;"",LOWER(K470)&lt;&gt;"não consta"),AND(L470&lt;&gt;"",LOWER(L470)&lt;&gt;"não consta"),IFERROR(INDEX(Empresas!$G:$G,MATCH(A470,Empresas!$A:$A,0))&amp;"","")&lt;&gt;""),"SIM",""))</f>
        <v/>
      </c>
      <c r="N470" s="5"/>
      <c r="O470" s="32" t="str">
        <f aca="false">IF(D470="","",YEAR(D470))</f>
        <v/>
      </c>
      <c r="P470" s="5"/>
    </row>
    <row r="471" customFormat="false" ht="15" hidden="false" customHeight="false" outlineLevel="0" collapsed="false">
      <c r="A471" s="27"/>
      <c r="B471" s="5"/>
      <c r="C471" s="35"/>
      <c r="D471" s="18"/>
      <c r="E471" s="5"/>
      <c r="F471" s="14"/>
      <c r="G471" s="5"/>
      <c r="H471" s="27"/>
      <c r="I471" s="5"/>
      <c r="J471" s="19" t="str">
        <f aca="false">IF(A471="","",IFERROR(INDEX(Empresas!$D:$D,MATCH(A471,Empresas!$A:$A,0))&amp;"","não consta"))</f>
        <v/>
      </c>
      <c r="K471" s="19" t="str">
        <f aca="false">IF(A471="","",IFERROR(INDEX(Sancoes!$B:$B,MATCH(A471,Sancoes!$A:$A,0))&amp;"","não consta"))</f>
        <v/>
      </c>
      <c r="L471" s="19" t="str">
        <f aca="false">IF(A471="","",IFERROR(INDEX(Eleitoral!$B:$B,MATCH(A471,Eleitoral!$A:$A,0))&amp;"","não consta"))</f>
        <v/>
      </c>
      <c r="M471" s="28" t="str">
        <f aca="false">IF(A471="","",IF(OR(AND(K471&lt;&gt;"",LOWER(K471)&lt;&gt;"não consta"),AND(L471&lt;&gt;"",LOWER(L471)&lt;&gt;"não consta"),IFERROR(INDEX(Empresas!$G:$G,MATCH(A471,Empresas!$A:$A,0))&amp;"","")&lt;&gt;""),"SIM",""))</f>
        <v/>
      </c>
      <c r="N471" s="5"/>
      <c r="O471" s="32" t="str">
        <f aca="false">IF(D471="","",YEAR(D471))</f>
        <v/>
      </c>
      <c r="P471" s="5"/>
    </row>
    <row r="472" customFormat="false" ht="15" hidden="false" customHeight="false" outlineLevel="0" collapsed="false">
      <c r="A472" s="27"/>
      <c r="B472" s="5"/>
      <c r="C472" s="35"/>
      <c r="D472" s="18"/>
      <c r="E472" s="5"/>
      <c r="F472" s="14"/>
      <c r="G472" s="5"/>
      <c r="H472" s="27"/>
      <c r="I472" s="5"/>
      <c r="J472" s="19" t="str">
        <f aca="false">IF(A472="","",IFERROR(INDEX(Empresas!$D:$D,MATCH(A472,Empresas!$A:$A,0))&amp;"","não consta"))</f>
        <v/>
      </c>
      <c r="K472" s="19" t="str">
        <f aca="false">IF(A472="","",IFERROR(INDEX(Sancoes!$B:$B,MATCH(A472,Sancoes!$A:$A,0))&amp;"","não consta"))</f>
        <v/>
      </c>
      <c r="L472" s="19" t="str">
        <f aca="false">IF(A472="","",IFERROR(INDEX(Eleitoral!$B:$B,MATCH(A472,Eleitoral!$A:$A,0))&amp;"","não consta"))</f>
        <v/>
      </c>
      <c r="M472" s="28" t="str">
        <f aca="false">IF(A472="","",IF(OR(AND(K472&lt;&gt;"",LOWER(K472)&lt;&gt;"não consta"),AND(L472&lt;&gt;"",LOWER(L472)&lt;&gt;"não consta"),IFERROR(INDEX(Empresas!$G:$G,MATCH(A472,Empresas!$A:$A,0))&amp;"","")&lt;&gt;""),"SIM",""))</f>
        <v/>
      </c>
      <c r="N472" s="5"/>
      <c r="O472" s="32" t="str">
        <f aca="false">IF(D472="","",YEAR(D472))</f>
        <v/>
      </c>
      <c r="P472" s="5"/>
    </row>
    <row r="473" customFormat="false" ht="15" hidden="false" customHeight="false" outlineLevel="0" collapsed="false">
      <c r="A473" s="27"/>
      <c r="B473" s="5"/>
      <c r="C473" s="35"/>
      <c r="D473" s="18"/>
      <c r="E473" s="5"/>
      <c r="F473" s="14"/>
      <c r="G473" s="5"/>
      <c r="H473" s="27"/>
      <c r="I473" s="5"/>
      <c r="J473" s="19" t="str">
        <f aca="false">IF(A473="","",IFERROR(INDEX(Empresas!$D:$D,MATCH(A473,Empresas!$A:$A,0))&amp;"","não consta"))</f>
        <v/>
      </c>
      <c r="K473" s="19" t="str">
        <f aca="false">IF(A473="","",IFERROR(INDEX(Sancoes!$B:$B,MATCH(A473,Sancoes!$A:$A,0))&amp;"","não consta"))</f>
        <v/>
      </c>
      <c r="L473" s="19" t="str">
        <f aca="false">IF(A473="","",IFERROR(INDEX(Eleitoral!$B:$B,MATCH(A473,Eleitoral!$A:$A,0))&amp;"","não consta"))</f>
        <v/>
      </c>
      <c r="M473" s="28" t="str">
        <f aca="false">IF(A473="","",IF(OR(AND(K473&lt;&gt;"",LOWER(K473)&lt;&gt;"não consta"),AND(L473&lt;&gt;"",LOWER(L473)&lt;&gt;"não consta"),IFERROR(INDEX(Empresas!$G:$G,MATCH(A473,Empresas!$A:$A,0))&amp;"","")&lt;&gt;""),"SIM",""))</f>
        <v/>
      </c>
      <c r="N473" s="5"/>
      <c r="O473" s="32" t="str">
        <f aca="false">IF(D473="","",YEAR(D473))</f>
        <v/>
      </c>
      <c r="P473" s="5"/>
    </row>
    <row r="474" customFormat="false" ht="15" hidden="false" customHeight="false" outlineLevel="0" collapsed="false">
      <c r="A474" s="27"/>
      <c r="B474" s="5"/>
      <c r="C474" s="35"/>
      <c r="D474" s="18"/>
      <c r="E474" s="5"/>
      <c r="F474" s="14"/>
      <c r="G474" s="5"/>
      <c r="H474" s="27"/>
      <c r="I474" s="5"/>
      <c r="J474" s="19" t="str">
        <f aca="false">IF(A474="","",IFERROR(INDEX(Empresas!$D:$D,MATCH(A474,Empresas!$A:$A,0))&amp;"","não consta"))</f>
        <v/>
      </c>
      <c r="K474" s="19" t="str">
        <f aca="false">IF(A474="","",IFERROR(INDEX(Sancoes!$B:$B,MATCH(A474,Sancoes!$A:$A,0))&amp;"","não consta"))</f>
        <v/>
      </c>
      <c r="L474" s="19" t="str">
        <f aca="false">IF(A474="","",IFERROR(INDEX(Eleitoral!$B:$B,MATCH(A474,Eleitoral!$A:$A,0))&amp;"","não consta"))</f>
        <v/>
      </c>
      <c r="M474" s="28" t="str">
        <f aca="false">IF(A474="","",IF(OR(AND(K474&lt;&gt;"",LOWER(K474)&lt;&gt;"não consta"),AND(L474&lt;&gt;"",LOWER(L474)&lt;&gt;"não consta"),IFERROR(INDEX(Empresas!$G:$G,MATCH(A474,Empresas!$A:$A,0))&amp;"","")&lt;&gt;""),"SIM",""))</f>
        <v/>
      </c>
      <c r="N474" s="5"/>
      <c r="O474" s="32" t="str">
        <f aca="false">IF(D474="","",YEAR(D474))</f>
        <v/>
      </c>
      <c r="P474" s="5"/>
    </row>
    <row r="475" customFormat="false" ht="15" hidden="false" customHeight="false" outlineLevel="0" collapsed="false">
      <c r="A475" s="27"/>
      <c r="B475" s="5"/>
      <c r="C475" s="35"/>
      <c r="D475" s="18"/>
      <c r="E475" s="5"/>
      <c r="F475" s="14"/>
      <c r="G475" s="5"/>
      <c r="H475" s="27"/>
      <c r="I475" s="5"/>
      <c r="J475" s="19" t="str">
        <f aca="false">IF(A475="","",IFERROR(INDEX(Empresas!$D:$D,MATCH(A475,Empresas!$A:$A,0))&amp;"","não consta"))</f>
        <v/>
      </c>
      <c r="K475" s="19" t="str">
        <f aca="false">IF(A475="","",IFERROR(INDEX(Sancoes!$B:$B,MATCH(A475,Sancoes!$A:$A,0))&amp;"","não consta"))</f>
        <v/>
      </c>
      <c r="L475" s="19" t="str">
        <f aca="false">IF(A475="","",IFERROR(INDEX(Eleitoral!$B:$B,MATCH(A475,Eleitoral!$A:$A,0))&amp;"","não consta"))</f>
        <v/>
      </c>
      <c r="M475" s="28" t="str">
        <f aca="false">IF(A475="","",IF(OR(AND(K475&lt;&gt;"",LOWER(K475)&lt;&gt;"não consta"),AND(L475&lt;&gt;"",LOWER(L475)&lt;&gt;"não consta"),IFERROR(INDEX(Empresas!$G:$G,MATCH(A475,Empresas!$A:$A,0))&amp;"","")&lt;&gt;""),"SIM",""))</f>
        <v/>
      </c>
      <c r="N475" s="5"/>
      <c r="O475" s="32" t="str">
        <f aca="false">IF(D475="","",YEAR(D475))</f>
        <v/>
      </c>
      <c r="P475" s="5"/>
    </row>
    <row r="476" customFormat="false" ht="15" hidden="false" customHeight="false" outlineLevel="0" collapsed="false">
      <c r="A476" s="27"/>
      <c r="B476" s="5"/>
      <c r="C476" s="35"/>
      <c r="D476" s="18"/>
      <c r="E476" s="5"/>
      <c r="F476" s="14"/>
      <c r="G476" s="5"/>
      <c r="H476" s="27"/>
      <c r="I476" s="5"/>
      <c r="J476" s="19" t="str">
        <f aca="false">IF(A476="","",IFERROR(INDEX(Empresas!$D:$D,MATCH(A476,Empresas!$A:$A,0))&amp;"","não consta"))</f>
        <v/>
      </c>
      <c r="K476" s="19" t="str">
        <f aca="false">IF(A476="","",IFERROR(INDEX(Sancoes!$B:$B,MATCH(A476,Sancoes!$A:$A,0))&amp;"","não consta"))</f>
        <v/>
      </c>
      <c r="L476" s="19" t="str">
        <f aca="false">IF(A476="","",IFERROR(INDEX(Eleitoral!$B:$B,MATCH(A476,Eleitoral!$A:$A,0))&amp;"","não consta"))</f>
        <v/>
      </c>
      <c r="M476" s="28" t="str">
        <f aca="false">IF(A476="","",IF(OR(AND(K476&lt;&gt;"",LOWER(K476)&lt;&gt;"não consta"),AND(L476&lt;&gt;"",LOWER(L476)&lt;&gt;"não consta"),IFERROR(INDEX(Empresas!$G:$G,MATCH(A476,Empresas!$A:$A,0))&amp;"","")&lt;&gt;""),"SIM",""))</f>
        <v/>
      </c>
      <c r="N476" s="5"/>
      <c r="O476" s="32" t="str">
        <f aca="false">IF(D476="","",YEAR(D476))</f>
        <v/>
      </c>
      <c r="P476" s="5"/>
    </row>
    <row r="477" customFormat="false" ht="15" hidden="false" customHeight="false" outlineLevel="0" collapsed="false">
      <c r="A477" s="27"/>
      <c r="B477" s="5"/>
      <c r="C477" s="35"/>
      <c r="D477" s="18"/>
      <c r="E477" s="5"/>
      <c r="F477" s="14"/>
      <c r="G477" s="5"/>
      <c r="H477" s="27"/>
      <c r="I477" s="5"/>
      <c r="J477" s="19" t="str">
        <f aca="false">IF(A477="","",IFERROR(INDEX(Empresas!$D:$D,MATCH(A477,Empresas!$A:$A,0))&amp;"","não consta"))</f>
        <v/>
      </c>
      <c r="K477" s="19" t="str">
        <f aca="false">IF(A477="","",IFERROR(INDEX(Sancoes!$B:$B,MATCH(A477,Sancoes!$A:$A,0))&amp;"","não consta"))</f>
        <v/>
      </c>
      <c r="L477" s="19" t="str">
        <f aca="false">IF(A477="","",IFERROR(INDEX(Eleitoral!$B:$B,MATCH(A477,Eleitoral!$A:$A,0))&amp;"","não consta"))</f>
        <v/>
      </c>
      <c r="M477" s="28" t="str">
        <f aca="false">IF(A477="","",IF(OR(AND(K477&lt;&gt;"",LOWER(K477)&lt;&gt;"não consta"),AND(L477&lt;&gt;"",LOWER(L477)&lt;&gt;"não consta"),IFERROR(INDEX(Empresas!$G:$G,MATCH(A477,Empresas!$A:$A,0))&amp;"","")&lt;&gt;""),"SIM",""))</f>
        <v/>
      </c>
      <c r="N477" s="5"/>
      <c r="O477" s="32" t="str">
        <f aca="false">IF(D477="","",YEAR(D477))</f>
        <v/>
      </c>
      <c r="P477" s="5"/>
    </row>
    <row r="478" customFormat="false" ht="15" hidden="false" customHeight="false" outlineLevel="0" collapsed="false">
      <c r="A478" s="27"/>
      <c r="B478" s="5"/>
      <c r="C478" s="35"/>
      <c r="D478" s="18"/>
      <c r="E478" s="5"/>
      <c r="F478" s="14"/>
      <c r="G478" s="5"/>
      <c r="H478" s="27"/>
      <c r="I478" s="5"/>
      <c r="J478" s="19" t="str">
        <f aca="false">IF(A478="","",IFERROR(INDEX(Empresas!$D:$D,MATCH(A478,Empresas!$A:$A,0))&amp;"","não consta"))</f>
        <v/>
      </c>
      <c r="K478" s="19" t="str">
        <f aca="false">IF(A478="","",IFERROR(INDEX(Sancoes!$B:$B,MATCH(A478,Sancoes!$A:$A,0))&amp;"","não consta"))</f>
        <v/>
      </c>
      <c r="L478" s="19" t="str">
        <f aca="false">IF(A478="","",IFERROR(INDEX(Eleitoral!$B:$B,MATCH(A478,Eleitoral!$A:$A,0))&amp;"","não consta"))</f>
        <v/>
      </c>
      <c r="M478" s="28" t="str">
        <f aca="false">IF(A478="","",IF(OR(AND(K478&lt;&gt;"",LOWER(K478)&lt;&gt;"não consta"),AND(L478&lt;&gt;"",LOWER(L478)&lt;&gt;"não consta"),IFERROR(INDEX(Empresas!$G:$G,MATCH(A478,Empresas!$A:$A,0))&amp;"","")&lt;&gt;""),"SIM",""))</f>
        <v/>
      </c>
      <c r="N478" s="5"/>
      <c r="O478" s="32" t="str">
        <f aca="false">IF(D478="","",YEAR(D478))</f>
        <v/>
      </c>
      <c r="P478" s="5"/>
    </row>
    <row r="479" customFormat="false" ht="15" hidden="false" customHeight="false" outlineLevel="0" collapsed="false">
      <c r="A479" s="27"/>
      <c r="B479" s="5"/>
      <c r="C479" s="35"/>
      <c r="D479" s="18"/>
      <c r="E479" s="5"/>
      <c r="F479" s="14"/>
      <c r="G479" s="5"/>
      <c r="H479" s="27"/>
      <c r="I479" s="5"/>
      <c r="J479" s="19" t="str">
        <f aca="false">IF(A479="","",IFERROR(INDEX(Empresas!$D:$D,MATCH(A479,Empresas!$A:$A,0))&amp;"","não consta"))</f>
        <v/>
      </c>
      <c r="K479" s="19" t="str">
        <f aca="false">IF(A479="","",IFERROR(INDEX(Sancoes!$B:$B,MATCH(A479,Sancoes!$A:$A,0))&amp;"","não consta"))</f>
        <v/>
      </c>
      <c r="L479" s="19" t="str">
        <f aca="false">IF(A479="","",IFERROR(INDEX(Eleitoral!$B:$B,MATCH(A479,Eleitoral!$A:$A,0))&amp;"","não consta"))</f>
        <v/>
      </c>
      <c r="M479" s="28" t="str">
        <f aca="false">IF(A479="","",IF(OR(AND(K479&lt;&gt;"",LOWER(K479)&lt;&gt;"não consta"),AND(L479&lt;&gt;"",LOWER(L479)&lt;&gt;"não consta"),IFERROR(INDEX(Empresas!$G:$G,MATCH(A479,Empresas!$A:$A,0))&amp;"","")&lt;&gt;""),"SIM",""))</f>
        <v/>
      </c>
      <c r="N479" s="5"/>
      <c r="O479" s="32" t="str">
        <f aca="false">IF(D479="","",YEAR(D479))</f>
        <v/>
      </c>
      <c r="P479" s="5"/>
    </row>
    <row r="480" customFormat="false" ht="15" hidden="false" customHeight="false" outlineLevel="0" collapsed="false">
      <c r="A480" s="27"/>
      <c r="B480" s="5"/>
      <c r="C480" s="35"/>
      <c r="D480" s="18"/>
      <c r="E480" s="5"/>
      <c r="F480" s="14"/>
      <c r="G480" s="5"/>
      <c r="H480" s="27"/>
      <c r="I480" s="5"/>
      <c r="J480" s="19" t="str">
        <f aca="false">IF(A480="","",IFERROR(INDEX(Empresas!$D:$D,MATCH(A480,Empresas!$A:$A,0))&amp;"","não consta"))</f>
        <v/>
      </c>
      <c r="K480" s="19" t="str">
        <f aca="false">IF(A480="","",IFERROR(INDEX(Sancoes!$B:$B,MATCH(A480,Sancoes!$A:$A,0))&amp;"","não consta"))</f>
        <v/>
      </c>
      <c r="L480" s="19" t="str">
        <f aca="false">IF(A480="","",IFERROR(INDEX(Eleitoral!$B:$B,MATCH(A480,Eleitoral!$A:$A,0))&amp;"","não consta"))</f>
        <v/>
      </c>
      <c r="M480" s="28" t="str">
        <f aca="false">IF(A480="","",IF(OR(AND(K480&lt;&gt;"",LOWER(K480)&lt;&gt;"não consta"),AND(L480&lt;&gt;"",LOWER(L480)&lt;&gt;"não consta"),IFERROR(INDEX(Empresas!$G:$G,MATCH(A480,Empresas!$A:$A,0))&amp;"","")&lt;&gt;""),"SIM",""))</f>
        <v/>
      </c>
      <c r="N480" s="5"/>
      <c r="O480" s="32" t="str">
        <f aca="false">IF(D480="","",YEAR(D480))</f>
        <v/>
      </c>
      <c r="P480" s="5"/>
    </row>
    <row r="481" customFormat="false" ht="15" hidden="false" customHeight="false" outlineLevel="0" collapsed="false">
      <c r="A481" s="27"/>
      <c r="B481" s="5"/>
      <c r="C481" s="35"/>
      <c r="D481" s="18"/>
      <c r="E481" s="5"/>
      <c r="F481" s="14"/>
      <c r="G481" s="5"/>
      <c r="H481" s="27"/>
      <c r="I481" s="5"/>
      <c r="J481" s="19" t="str">
        <f aca="false">IF(A481="","",IFERROR(INDEX(Empresas!$D:$D,MATCH(A481,Empresas!$A:$A,0))&amp;"","não consta"))</f>
        <v/>
      </c>
      <c r="K481" s="19" t="str">
        <f aca="false">IF(A481="","",IFERROR(INDEX(Sancoes!$B:$B,MATCH(A481,Sancoes!$A:$A,0))&amp;"","não consta"))</f>
        <v/>
      </c>
      <c r="L481" s="19" t="str">
        <f aca="false">IF(A481="","",IFERROR(INDEX(Eleitoral!$B:$B,MATCH(A481,Eleitoral!$A:$A,0))&amp;"","não consta"))</f>
        <v/>
      </c>
      <c r="M481" s="28" t="str">
        <f aca="false">IF(A481="","",IF(OR(AND(K481&lt;&gt;"",LOWER(K481)&lt;&gt;"não consta"),AND(L481&lt;&gt;"",LOWER(L481)&lt;&gt;"não consta"),IFERROR(INDEX(Empresas!$G:$G,MATCH(A481,Empresas!$A:$A,0))&amp;"","")&lt;&gt;""),"SIM",""))</f>
        <v/>
      </c>
      <c r="N481" s="5"/>
      <c r="O481" s="32" t="str">
        <f aca="false">IF(D481="","",YEAR(D481))</f>
        <v/>
      </c>
      <c r="P481" s="5"/>
    </row>
    <row r="482" customFormat="false" ht="15" hidden="false" customHeight="false" outlineLevel="0" collapsed="false">
      <c r="A482" s="27"/>
      <c r="B482" s="5"/>
      <c r="C482" s="35"/>
      <c r="D482" s="18"/>
      <c r="E482" s="5"/>
      <c r="F482" s="14"/>
      <c r="G482" s="5"/>
      <c r="H482" s="27"/>
      <c r="I482" s="5"/>
      <c r="J482" s="19" t="str">
        <f aca="false">IF(A482="","",IFERROR(INDEX(Empresas!$D:$D,MATCH(A482,Empresas!$A:$A,0))&amp;"","não consta"))</f>
        <v/>
      </c>
      <c r="K482" s="19" t="str">
        <f aca="false">IF(A482="","",IFERROR(INDEX(Sancoes!$B:$B,MATCH(A482,Sancoes!$A:$A,0))&amp;"","não consta"))</f>
        <v/>
      </c>
      <c r="L482" s="19" t="str">
        <f aca="false">IF(A482="","",IFERROR(INDEX(Eleitoral!$B:$B,MATCH(A482,Eleitoral!$A:$A,0))&amp;"","não consta"))</f>
        <v/>
      </c>
      <c r="M482" s="28" t="str">
        <f aca="false">IF(A482="","",IF(OR(AND(K482&lt;&gt;"",LOWER(K482)&lt;&gt;"não consta"),AND(L482&lt;&gt;"",LOWER(L482)&lt;&gt;"não consta"),IFERROR(INDEX(Empresas!$G:$G,MATCH(A482,Empresas!$A:$A,0))&amp;"","")&lt;&gt;""),"SIM",""))</f>
        <v/>
      </c>
      <c r="N482" s="5"/>
      <c r="O482" s="32" t="str">
        <f aca="false">IF(D482="","",YEAR(D482))</f>
        <v/>
      </c>
      <c r="P482" s="5"/>
    </row>
    <row r="483" customFormat="false" ht="15" hidden="false" customHeight="false" outlineLevel="0" collapsed="false">
      <c r="A483" s="27"/>
      <c r="B483" s="5"/>
      <c r="C483" s="35"/>
      <c r="D483" s="18"/>
      <c r="E483" s="5"/>
      <c r="F483" s="14"/>
      <c r="G483" s="5"/>
      <c r="H483" s="27"/>
      <c r="I483" s="5"/>
      <c r="J483" s="19" t="str">
        <f aca="false">IF(A483="","",IFERROR(INDEX(Empresas!$D:$D,MATCH(A483,Empresas!$A:$A,0))&amp;"","não consta"))</f>
        <v/>
      </c>
      <c r="K483" s="19" t="str">
        <f aca="false">IF(A483="","",IFERROR(INDEX(Sancoes!$B:$B,MATCH(A483,Sancoes!$A:$A,0))&amp;"","não consta"))</f>
        <v/>
      </c>
      <c r="L483" s="19" t="str">
        <f aca="false">IF(A483="","",IFERROR(INDEX(Eleitoral!$B:$B,MATCH(A483,Eleitoral!$A:$A,0))&amp;"","não consta"))</f>
        <v/>
      </c>
      <c r="M483" s="28" t="str">
        <f aca="false">IF(A483="","",IF(OR(AND(K483&lt;&gt;"",LOWER(K483)&lt;&gt;"não consta"),AND(L483&lt;&gt;"",LOWER(L483)&lt;&gt;"não consta"),IFERROR(INDEX(Empresas!$G:$G,MATCH(A483,Empresas!$A:$A,0))&amp;"","")&lt;&gt;""),"SIM",""))</f>
        <v/>
      </c>
      <c r="N483" s="5"/>
      <c r="O483" s="32" t="str">
        <f aca="false">IF(D483="","",YEAR(D483))</f>
        <v/>
      </c>
      <c r="P483" s="5"/>
    </row>
    <row r="484" customFormat="false" ht="15" hidden="false" customHeight="false" outlineLevel="0" collapsed="false">
      <c r="A484" s="27"/>
      <c r="B484" s="5"/>
      <c r="C484" s="35"/>
      <c r="D484" s="18"/>
      <c r="E484" s="5"/>
      <c r="F484" s="14"/>
      <c r="G484" s="5"/>
      <c r="H484" s="27"/>
      <c r="I484" s="5"/>
      <c r="J484" s="19" t="str">
        <f aca="false">IF(A484="","",IFERROR(INDEX(Empresas!$D:$D,MATCH(A484,Empresas!$A:$A,0))&amp;"","não consta"))</f>
        <v/>
      </c>
      <c r="K484" s="19" t="str">
        <f aca="false">IF(A484="","",IFERROR(INDEX(Sancoes!$B:$B,MATCH(A484,Sancoes!$A:$A,0))&amp;"","não consta"))</f>
        <v/>
      </c>
      <c r="L484" s="19" t="str">
        <f aca="false">IF(A484="","",IFERROR(INDEX(Eleitoral!$B:$B,MATCH(A484,Eleitoral!$A:$A,0))&amp;"","não consta"))</f>
        <v/>
      </c>
      <c r="M484" s="28" t="str">
        <f aca="false">IF(A484="","",IF(OR(AND(K484&lt;&gt;"",LOWER(K484)&lt;&gt;"não consta"),AND(L484&lt;&gt;"",LOWER(L484)&lt;&gt;"não consta"),IFERROR(INDEX(Empresas!$G:$G,MATCH(A484,Empresas!$A:$A,0))&amp;"","")&lt;&gt;""),"SIM",""))</f>
        <v/>
      </c>
      <c r="N484" s="5"/>
      <c r="O484" s="32" t="str">
        <f aca="false">IF(D484="","",YEAR(D484))</f>
        <v/>
      </c>
      <c r="P484" s="5"/>
    </row>
    <row r="485" customFormat="false" ht="15" hidden="false" customHeight="false" outlineLevel="0" collapsed="false">
      <c r="A485" s="27"/>
      <c r="B485" s="5"/>
      <c r="C485" s="35"/>
      <c r="D485" s="18"/>
      <c r="E485" s="5"/>
      <c r="F485" s="14"/>
      <c r="G485" s="5"/>
      <c r="H485" s="27"/>
      <c r="I485" s="5"/>
      <c r="J485" s="19" t="str">
        <f aca="false">IF(A485="","",IFERROR(INDEX(Empresas!$D:$D,MATCH(A485,Empresas!$A:$A,0))&amp;"","não consta"))</f>
        <v/>
      </c>
      <c r="K485" s="19" t="str">
        <f aca="false">IF(A485="","",IFERROR(INDEX(Sancoes!$B:$B,MATCH(A485,Sancoes!$A:$A,0))&amp;"","não consta"))</f>
        <v/>
      </c>
      <c r="L485" s="19" t="str">
        <f aca="false">IF(A485="","",IFERROR(INDEX(Eleitoral!$B:$B,MATCH(A485,Eleitoral!$A:$A,0))&amp;"","não consta"))</f>
        <v/>
      </c>
      <c r="M485" s="28" t="str">
        <f aca="false">IF(A485="","",IF(OR(AND(K485&lt;&gt;"",LOWER(K485)&lt;&gt;"não consta"),AND(L485&lt;&gt;"",LOWER(L485)&lt;&gt;"não consta"),IFERROR(INDEX(Empresas!$G:$G,MATCH(A485,Empresas!$A:$A,0))&amp;"","")&lt;&gt;""),"SIM",""))</f>
        <v/>
      </c>
      <c r="N485" s="5"/>
      <c r="O485" s="32" t="str">
        <f aca="false">IF(D485="","",YEAR(D485))</f>
        <v/>
      </c>
      <c r="P485" s="5"/>
    </row>
    <row r="486" customFormat="false" ht="15" hidden="false" customHeight="false" outlineLevel="0" collapsed="false">
      <c r="A486" s="27"/>
      <c r="B486" s="5"/>
      <c r="C486" s="35"/>
      <c r="D486" s="18"/>
      <c r="E486" s="5"/>
      <c r="F486" s="14"/>
      <c r="G486" s="5"/>
      <c r="H486" s="27"/>
      <c r="I486" s="5"/>
      <c r="J486" s="19" t="str">
        <f aca="false">IF(A486="","",IFERROR(INDEX(Empresas!$D:$D,MATCH(A486,Empresas!$A:$A,0))&amp;"","não consta"))</f>
        <v/>
      </c>
      <c r="K486" s="19" t="str">
        <f aca="false">IF(A486="","",IFERROR(INDEX(Sancoes!$B:$B,MATCH(A486,Sancoes!$A:$A,0))&amp;"","não consta"))</f>
        <v/>
      </c>
      <c r="L486" s="19" t="str">
        <f aca="false">IF(A486="","",IFERROR(INDEX(Eleitoral!$B:$B,MATCH(A486,Eleitoral!$A:$A,0))&amp;"","não consta"))</f>
        <v/>
      </c>
      <c r="M486" s="28" t="str">
        <f aca="false">IF(A486="","",IF(OR(AND(K486&lt;&gt;"",LOWER(K486)&lt;&gt;"não consta"),AND(L486&lt;&gt;"",LOWER(L486)&lt;&gt;"não consta"),IFERROR(INDEX(Empresas!$G:$G,MATCH(A486,Empresas!$A:$A,0))&amp;"","")&lt;&gt;""),"SIM",""))</f>
        <v/>
      </c>
      <c r="N486" s="5"/>
      <c r="O486" s="32" t="str">
        <f aca="false">IF(D486="","",YEAR(D486))</f>
        <v/>
      </c>
      <c r="P486" s="5"/>
    </row>
    <row r="487" customFormat="false" ht="15" hidden="false" customHeight="false" outlineLevel="0" collapsed="false">
      <c r="A487" s="27"/>
      <c r="B487" s="5"/>
      <c r="C487" s="35"/>
      <c r="D487" s="18"/>
      <c r="E487" s="5"/>
      <c r="F487" s="14"/>
      <c r="G487" s="5"/>
      <c r="H487" s="27"/>
      <c r="I487" s="5"/>
      <c r="J487" s="19" t="str">
        <f aca="false">IF(A487="","",IFERROR(INDEX(Empresas!$D:$D,MATCH(A487,Empresas!$A:$A,0))&amp;"","não consta"))</f>
        <v/>
      </c>
      <c r="K487" s="19" t="str">
        <f aca="false">IF(A487="","",IFERROR(INDEX(Sancoes!$B:$B,MATCH(A487,Sancoes!$A:$A,0))&amp;"","não consta"))</f>
        <v/>
      </c>
      <c r="L487" s="19" t="str">
        <f aca="false">IF(A487="","",IFERROR(INDEX(Eleitoral!$B:$B,MATCH(A487,Eleitoral!$A:$A,0))&amp;"","não consta"))</f>
        <v/>
      </c>
      <c r="M487" s="28" t="str">
        <f aca="false">IF(A487="","",IF(OR(AND(K487&lt;&gt;"",LOWER(K487)&lt;&gt;"não consta"),AND(L487&lt;&gt;"",LOWER(L487)&lt;&gt;"não consta"),IFERROR(INDEX(Empresas!$G:$G,MATCH(A487,Empresas!$A:$A,0))&amp;"","")&lt;&gt;""),"SIM",""))</f>
        <v/>
      </c>
      <c r="N487" s="5"/>
      <c r="O487" s="32" t="str">
        <f aca="false">IF(D487="","",YEAR(D487))</f>
        <v/>
      </c>
      <c r="P487" s="5"/>
    </row>
    <row r="488" customFormat="false" ht="15" hidden="false" customHeight="false" outlineLevel="0" collapsed="false">
      <c r="A488" s="27"/>
      <c r="B488" s="5"/>
      <c r="C488" s="35"/>
      <c r="D488" s="18"/>
      <c r="E488" s="5"/>
      <c r="F488" s="14"/>
      <c r="G488" s="5"/>
      <c r="H488" s="27"/>
      <c r="I488" s="5"/>
      <c r="J488" s="19" t="str">
        <f aca="false">IF(A488="","",IFERROR(INDEX(Empresas!$D:$D,MATCH(A488,Empresas!$A:$A,0))&amp;"","não consta"))</f>
        <v/>
      </c>
      <c r="K488" s="19" t="str">
        <f aca="false">IF(A488="","",IFERROR(INDEX(Sancoes!$B:$B,MATCH(A488,Sancoes!$A:$A,0))&amp;"","não consta"))</f>
        <v/>
      </c>
      <c r="L488" s="19" t="str">
        <f aca="false">IF(A488="","",IFERROR(INDEX(Eleitoral!$B:$B,MATCH(A488,Eleitoral!$A:$A,0))&amp;"","não consta"))</f>
        <v/>
      </c>
      <c r="M488" s="28" t="str">
        <f aca="false">IF(A488="","",IF(OR(AND(K488&lt;&gt;"",LOWER(K488)&lt;&gt;"não consta"),AND(L488&lt;&gt;"",LOWER(L488)&lt;&gt;"não consta"),IFERROR(INDEX(Empresas!$G:$G,MATCH(A488,Empresas!$A:$A,0))&amp;"","")&lt;&gt;""),"SIM",""))</f>
        <v/>
      </c>
      <c r="N488" s="5"/>
      <c r="O488" s="32" t="str">
        <f aca="false">IF(D488="","",YEAR(D488))</f>
        <v/>
      </c>
      <c r="P488" s="5"/>
    </row>
    <row r="489" customFormat="false" ht="15" hidden="false" customHeight="false" outlineLevel="0" collapsed="false">
      <c r="A489" s="27"/>
      <c r="B489" s="5"/>
      <c r="C489" s="35"/>
      <c r="D489" s="18"/>
      <c r="E489" s="5"/>
      <c r="F489" s="14"/>
      <c r="G489" s="5"/>
      <c r="H489" s="27"/>
      <c r="I489" s="5"/>
      <c r="J489" s="19" t="str">
        <f aca="false">IF(A489="","",IFERROR(INDEX(Empresas!$D:$D,MATCH(A489,Empresas!$A:$A,0))&amp;"","não consta"))</f>
        <v/>
      </c>
      <c r="K489" s="19" t="str">
        <f aca="false">IF(A489="","",IFERROR(INDEX(Sancoes!$B:$B,MATCH(A489,Sancoes!$A:$A,0))&amp;"","não consta"))</f>
        <v/>
      </c>
      <c r="L489" s="19" t="str">
        <f aca="false">IF(A489="","",IFERROR(INDEX(Eleitoral!$B:$B,MATCH(A489,Eleitoral!$A:$A,0))&amp;"","não consta"))</f>
        <v/>
      </c>
      <c r="M489" s="28" t="str">
        <f aca="false">IF(A489="","",IF(OR(AND(K489&lt;&gt;"",LOWER(K489)&lt;&gt;"não consta"),AND(L489&lt;&gt;"",LOWER(L489)&lt;&gt;"não consta"),IFERROR(INDEX(Empresas!$G:$G,MATCH(A489,Empresas!$A:$A,0))&amp;"","")&lt;&gt;""),"SIM",""))</f>
        <v/>
      </c>
      <c r="N489" s="5"/>
      <c r="O489" s="32" t="str">
        <f aca="false">IF(D489="","",YEAR(D489))</f>
        <v/>
      </c>
      <c r="P489" s="5"/>
    </row>
    <row r="490" customFormat="false" ht="15" hidden="false" customHeight="false" outlineLevel="0" collapsed="false">
      <c r="A490" s="27"/>
      <c r="B490" s="5"/>
      <c r="C490" s="35"/>
      <c r="D490" s="18"/>
      <c r="E490" s="5"/>
      <c r="F490" s="14"/>
      <c r="G490" s="5"/>
      <c r="H490" s="27"/>
      <c r="I490" s="5"/>
      <c r="J490" s="19" t="str">
        <f aca="false">IF(A490="","",IFERROR(INDEX(Empresas!$D:$D,MATCH(A490,Empresas!$A:$A,0))&amp;"","não consta"))</f>
        <v/>
      </c>
      <c r="K490" s="19" t="str">
        <f aca="false">IF(A490="","",IFERROR(INDEX(Sancoes!$B:$B,MATCH(A490,Sancoes!$A:$A,0))&amp;"","não consta"))</f>
        <v/>
      </c>
      <c r="L490" s="19" t="str">
        <f aca="false">IF(A490="","",IFERROR(INDEX(Eleitoral!$B:$B,MATCH(A490,Eleitoral!$A:$A,0))&amp;"","não consta"))</f>
        <v/>
      </c>
      <c r="M490" s="28" t="str">
        <f aca="false">IF(A490="","",IF(OR(AND(K490&lt;&gt;"",LOWER(K490)&lt;&gt;"não consta"),AND(L490&lt;&gt;"",LOWER(L490)&lt;&gt;"não consta"),IFERROR(INDEX(Empresas!$G:$G,MATCH(A490,Empresas!$A:$A,0))&amp;"","")&lt;&gt;""),"SIM",""))</f>
        <v/>
      </c>
      <c r="N490" s="5"/>
      <c r="O490" s="32" t="str">
        <f aca="false">IF(D490="","",YEAR(D490))</f>
        <v/>
      </c>
      <c r="P490" s="5"/>
    </row>
    <row r="491" customFormat="false" ht="15" hidden="false" customHeight="false" outlineLevel="0" collapsed="false">
      <c r="A491" s="27"/>
      <c r="B491" s="5"/>
      <c r="C491" s="35"/>
      <c r="D491" s="18"/>
      <c r="E491" s="5"/>
      <c r="F491" s="14"/>
      <c r="G491" s="5"/>
      <c r="H491" s="27"/>
      <c r="I491" s="5"/>
      <c r="J491" s="19" t="str">
        <f aca="false">IF(A491="","",IFERROR(INDEX(Empresas!$D:$D,MATCH(A491,Empresas!$A:$A,0))&amp;"","não consta"))</f>
        <v/>
      </c>
      <c r="K491" s="19" t="str">
        <f aca="false">IF(A491="","",IFERROR(INDEX(Sancoes!$B:$B,MATCH(A491,Sancoes!$A:$A,0))&amp;"","não consta"))</f>
        <v/>
      </c>
      <c r="L491" s="19" t="str">
        <f aca="false">IF(A491="","",IFERROR(INDEX(Eleitoral!$B:$B,MATCH(A491,Eleitoral!$A:$A,0))&amp;"","não consta"))</f>
        <v/>
      </c>
      <c r="M491" s="28" t="str">
        <f aca="false">IF(A491="","",IF(OR(AND(K491&lt;&gt;"",LOWER(K491)&lt;&gt;"não consta"),AND(L491&lt;&gt;"",LOWER(L491)&lt;&gt;"não consta"),IFERROR(INDEX(Empresas!$G:$G,MATCH(A491,Empresas!$A:$A,0))&amp;"","")&lt;&gt;""),"SIM",""))</f>
        <v/>
      </c>
      <c r="N491" s="5"/>
      <c r="O491" s="32" t="str">
        <f aca="false">IF(D491="","",YEAR(D491))</f>
        <v/>
      </c>
      <c r="P491" s="5"/>
    </row>
    <row r="492" customFormat="false" ht="15" hidden="false" customHeight="false" outlineLevel="0" collapsed="false">
      <c r="A492" s="27"/>
      <c r="B492" s="5"/>
      <c r="C492" s="35"/>
      <c r="D492" s="18"/>
      <c r="E492" s="5"/>
      <c r="F492" s="14"/>
      <c r="G492" s="5"/>
      <c r="H492" s="27"/>
      <c r="I492" s="5"/>
      <c r="J492" s="19" t="str">
        <f aca="false">IF(A492="","",IFERROR(INDEX(Empresas!$D:$D,MATCH(A492,Empresas!$A:$A,0))&amp;"","não consta"))</f>
        <v/>
      </c>
      <c r="K492" s="19" t="str">
        <f aca="false">IF(A492="","",IFERROR(INDEX(Sancoes!$B:$B,MATCH(A492,Sancoes!$A:$A,0))&amp;"","não consta"))</f>
        <v/>
      </c>
      <c r="L492" s="19" t="str">
        <f aca="false">IF(A492="","",IFERROR(INDEX(Eleitoral!$B:$B,MATCH(A492,Eleitoral!$A:$A,0))&amp;"","não consta"))</f>
        <v/>
      </c>
      <c r="M492" s="28" t="str">
        <f aca="false">IF(A492="","",IF(OR(AND(K492&lt;&gt;"",LOWER(K492)&lt;&gt;"não consta"),AND(L492&lt;&gt;"",LOWER(L492)&lt;&gt;"não consta"),IFERROR(INDEX(Empresas!$G:$G,MATCH(A492,Empresas!$A:$A,0))&amp;"","")&lt;&gt;""),"SIM",""))</f>
        <v/>
      </c>
      <c r="N492" s="5"/>
      <c r="O492" s="32" t="str">
        <f aca="false">IF(D492="","",YEAR(D492))</f>
        <v/>
      </c>
      <c r="P492" s="5"/>
    </row>
    <row r="493" customFormat="false" ht="15" hidden="false" customHeight="false" outlineLevel="0" collapsed="false">
      <c r="A493" s="27"/>
      <c r="B493" s="5"/>
      <c r="C493" s="35"/>
      <c r="D493" s="18"/>
      <c r="E493" s="5"/>
      <c r="F493" s="14"/>
      <c r="G493" s="5"/>
      <c r="H493" s="27"/>
      <c r="I493" s="5"/>
      <c r="J493" s="19" t="str">
        <f aca="false">IF(A493="","",IFERROR(INDEX(Empresas!$D:$D,MATCH(A493,Empresas!$A:$A,0))&amp;"","não consta"))</f>
        <v/>
      </c>
      <c r="K493" s="19" t="str">
        <f aca="false">IF(A493="","",IFERROR(INDEX(Sancoes!$B:$B,MATCH(A493,Sancoes!$A:$A,0))&amp;"","não consta"))</f>
        <v/>
      </c>
      <c r="L493" s="19" t="str">
        <f aca="false">IF(A493="","",IFERROR(INDEX(Eleitoral!$B:$B,MATCH(A493,Eleitoral!$A:$A,0))&amp;"","não consta"))</f>
        <v/>
      </c>
      <c r="M493" s="28" t="str">
        <f aca="false">IF(A493="","",IF(OR(AND(K493&lt;&gt;"",LOWER(K493)&lt;&gt;"não consta"),AND(L493&lt;&gt;"",LOWER(L493)&lt;&gt;"não consta"),IFERROR(INDEX(Empresas!$G:$G,MATCH(A493,Empresas!$A:$A,0))&amp;"","")&lt;&gt;""),"SIM",""))</f>
        <v/>
      </c>
      <c r="N493" s="5"/>
      <c r="O493" s="32" t="str">
        <f aca="false">IF(D493="","",YEAR(D493))</f>
        <v/>
      </c>
      <c r="P493" s="5"/>
    </row>
    <row r="494" customFormat="false" ht="15" hidden="false" customHeight="false" outlineLevel="0" collapsed="false">
      <c r="A494" s="27"/>
      <c r="B494" s="5"/>
      <c r="C494" s="35"/>
      <c r="D494" s="18"/>
      <c r="E494" s="5"/>
      <c r="F494" s="14"/>
      <c r="G494" s="5"/>
      <c r="H494" s="27"/>
      <c r="I494" s="5"/>
      <c r="J494" s="19" t="str">
        <f aca="false">IF(A494="","",IFERROR(INDEX(Empresas!$D:$D,MATCH(A494,Empresas!$A:$A,0))&amp;"","não consta"))</f>
        <v/>
      </c>
      <c r="K494" s="19" t="str">
        <f aca="false">IF(A494="","",IFERROR(INDEX(Sancoes!$B:$B,MATCH(A494,Sancoes!$A:$A,0))&amp;"","não consta"))</f>
        <v/>
      </c>
      <c r="L494" s="19" t="str">
        <f aca="false">IF(A494="","",IFERROR(INDEX(Eleitoral!$B:$B,MATCH(A494,Eleitoral!$A:$A,0))&amp;"","não consta"))</f>
        <v/>
      </c>
      <c r="M494" s="28" t="str">
        <f aca="false">IF(A494="","",IF(OR(AND(K494&lt;&gt;"",LOWER(K494)&lt;&gt;"não consta"),AND(L494&lt;&gt;"",LOWER(L494)&lt;&gt;"não consta"),IFERROR(INDEX(Empresas!$G:$G,MATCH(A494,Empresas!$A:$A,0))&amp;"","")&lt;&gt;""),"SIM",""))</f>
        <v/>
      </c>
      <c r="N494" s="5"/>
      <c r="O494" s="32" t="str">
        <f aca="false">IF(D494="","",YEAR(D494))</f>
        <v/>
      </c>
      <c r="P494" s="5"/>
    </row>
    <row r="495" customFormat="false" ht="15" hidden="false" customHeight="false" outlineLevel="0" collapsed="false">
      <c r="A495" s="27"/>
      <c r="B495" s="5"/>
      <c r="C495" s="35"/>
      <c r="D495" s="18"/>
      <c r="E495" s="5"/>
      <c r="F495" s="14"/>
      <c r="G495" s="5"/>
      <c r="H495" s="27"/>
      <c r="I495" s="5"/>
      <c r="J495" s="19" t="str">
        <f aca="false">IF(A495="","",IFERROR(INDEX(Empresas!$D:$D,MATCH(A495,Empresas!$A:$A,0))&amp;"","não consta"))</f>
        <v/>
      </c>
      <c r="K495" s="19" t="str">
        <f aca="false">IF(A495="","",IFERROR(INDEX(Sancoes!$B:$B,MATCH(A495,Sancoes!$A:$A,0))&amp;"","não consta"))</f>
        <v/>
      </c>
      <c r="L495" s="19" t="str">
        <f aca="false">IF(A495="","",IFERROR(INDEX(Eleitoral!$B:$B,MATCH(A495,Eleitoral!$A:$A,0))&amp;"","não consta"))</f>
        <v/>
      </c>
      <c r="M495" s="28" t="str">
        <f aca="false">IF(A495="","",IF(OR(AND(K495&lt;&gt;"",LOWER(K495)&lt;&gt;"não consta"),AND(L495&lt;&gt;"",LOWER(L495)&lt;&gt;"não consta"),IFERROR(INDEX(Empresas!$G:$G,MATCH(A495,Empresas!$A:$A,0))&amp;"","")&lt;&gt;""),"SIM",""))</f>
        <v/>
      </c>
      <c r="N495" s="5"/>
      <c r="O495" s="32" t="str">
        <f aca="false">IF(D495="","",YEAR(D495))</f>
        <v/>
      </c>
      <c r="P495" s="5"/>
    </row>
    <row r="496" customFormat="false" ht="15" hidden="false" customHeight="false" outlineLevel="0" collapsed="false">
      <c r="A496" s="27"/>
      <c r="B496" s="5"/>
      <c r="C496" s="35"/>
      <c r="D496" s="18"/>
      <c r="E496" s="5"/>
      <c r="F496" s="14"/>
      <c r="G496" s="5"/>
      <c r="H496" s="27"/>
      <c r="I496" s="5"/>
      <c r="J496" s="19" t="str">
        <f aca="false">IF(A496="","",IFERROR(INDEX(Empresas!$D:$D,MATCH(A496,Empresas!$A:$A,0))&amp;"","não consta"))</f>
        <v/>
      </c>
      <c r="K496" s="19" t="str">
        <f aca="false">IF(A496="","",IFERROR(INDEX(Sancoes!$B:$B,MATCH(A496,Sancoes!$A:$A,0))&amp;"","não consta"))</f>
        <v/>
      </c>
      <c r="L496" s="19" t="str">
        <f aca="false">IF(A496="","",IFERROR(INDEX(Eleitoral!$B:$B,MATCH(A496,Eleitoral!$A:$A,0))&amp;"","não consta"))</f>
        <v/>
      </c>
      <c r="M496" s="28" t="str">
        <f aca="false">IF(A496="","",IF(OR(AND(K496&lt;&gt;"",LOWER(K496)&lt;&gt;"não consta"),AND(L496&lt;&gt;"",LOWER(L496)&lt;&gt;"não consta"),IFERROR(INDEX(Empresas!$G:$G,MATCH(A496,Empresas!$A:$A,0))&amp;"","")&lt;&gt;""),"SIM",""))</f>
        <v/>
      </c>
      <c r="N496" s="5"/>
      <c r="O496" s="32" t="str">
        <f aca="false">IF(D496="","",YEAR(D496))</f>
        <v/>
      </c>
      <c r="P496" s="5"/>
    </row>
    <row r="497" customFormat="false" ht="15" hidden="false" customHeight="false" outlineLevel="0" collapsed="false">
      <c r="A497" s="27"/>
      <c r="B497" s="5"/>
      <c r="C497" s="35"/>
      <c r="D497" s="18"/>
      <c r="E497" s="5"/>
      <c r="F497" s="14"/>
      <c r="G497" s="5"/>
      <c r="H497" s="27"/>
      <c r="I497" s="5"/>
      <c r="J497" s="19" t="str">
        <f aca="false">IF(A497="","",IFERROR(INDEX(Empresas!$D:$D,MATCH(A497,Empresas!$A:$A,0))&amp;"","não consta"))</f>
        <v/>
      </c>
      <c r="K497" s="19" t="str">
        <f aca="false">IF(A497="","",IFERROR(INDEX(Sancoes!$B:$B,MATCH(A497,Sancoes!$A:$A,0))&amp;"","não consta"))</f>
        <v/>
      </c>
      <c r="L497" s="19" t="str">
        <f aca="false">IF(A497="","",IFERROR(INDEX(Eleitoral!$B:$B,MATCH(A497,Eleitoral!$A:$A,0))&amp;"","não consta"))</f>
        <v/>
      </c>
      <c r="M497" s="28" t="str">
        <f aca="false">IF(A497="","",IF(OR(AND(K497&lt;&gt;"",LOWER(K497)&lt;&gt;"não consta"),AND(L497&lt;&gt;"",LOWER(L497)&lt;&gt;"não consta"),IFERROR(INDEX(Empresas!$G:$G,MATCH(A497,Empresas!$A:$A,0))&amp;"","")&lt;&gt;""),"SIM",""))</f>
        <v/>
      </c>
      <c r="N497" s="5"/>
      <c r="O497" s="32" t="str">
        <f aca="false">IF(D497="","",YEAR(D497))</f>
        <v/>
      </c>
      <c r="P497" s="5"/>
    </row>
    <row r="498" customFormat="false" ht="15" hidden="false" customHeight="false" outlineLevel="0" collapsed="false">
      <c r="A498" s="27"/>
      <c r="B498" s="5"/>
      <c r="C498" s="35"/>
      <c r="D498" s="18"/>
      <c r="E498" s="5"/>
      <c r="F498" s="14"/>
      <c r="G498" s="5"/>
      <c r="H498" s="27"/>
      <c r="I498" s="5"/>
      <c r="J498" s="19" t="str">
        <f aca="false">IF(A498="","",IFERROR(INDEX(Empresas!$D:$D,MATCH(A498,Empresas!$A:$A,0))&amp;"","não consta"))</f>
        <v/>
      </c>
      <c r="K498" s="19" t="str">
        <f aca="false">IF(A498="","",IFERROR(INDEX(Sancoes!$B:$B,MATCH(A498,Sancoes!$A:$A,0))&amp;"","não consta"))</f>
        <v/>
      </c>
      <c r="L498" s="19" t="str">
        <f aca="false">IF(A498="","",IFERROR(INDEX(Eleitoral!$B:$B,MATCH(A498,Eleitoral!$A:$A,0))&amp;"","não consta"))</f>
        <v/>
      </c>
      <c r="M498" s="28" t="str">
        <f aca="false">IF(A498="","",IF(OR(AND(K498&lt;&gt;"",LOWER(K498)&lt;&gt;"não consta"),AND(L498&lt;&gt;"",LOWER(L498)&lt;&gt;"não consta"),IFERROR(INDEX(Empresas!$G:$G,MATCH(A498,Empresas!$A:$A,0))&amp;"","")&lt;&gt;""),"SIM",""))</f>
        <v/>
      </c>
      <c r="N498" s="5"/>
      <c r="O498" s="32" t="str">
        <f aca="false">IF(D498="","",YEAR(D498))</f>
        <v/>
      </c>
      <c r="P498" s="5"/>
    </row>
    <row r="499" customFormat="false" ht="15" hidden="false" customHeight="false" outlineLevel="0" collapsed="false">
      <c r="A499" s="27"/>
      <c r="B499" s="5"/>
      <c r="C499" s="35"/>
      <c r="D499" s="18"/>
      <c r="E499" s="5"/>
      <c r="F499" s="14"/>
      <c r="G499" s="5"/>
      <c r="H499" s="27"/>
      <c r="I499" s="5"/>
      <c r="J499" s="19" t="str">
        <f aca="false">IF(A499="","",IFERROR(INDEX(Empresas!$D:$D,MATCH(A499,Empresas!$A:$A,0))&amp;"","não consta"))</f>
        <v/>
      </c>
      <c r="K499" s="19" t="str">
        <f aca="false">IF(A499="","",IFERROR(INDEX(Sancoes!$B:$B,MATCH(A499,Sancoes!$A:$A,0))&amp;"","não consta"))</f>
        <v/>
      </c>
      <c r="L499" s="19" t="str">
        <f aca="false">IF(A499="","",IFERROR(INDEX(Eleitoral!$B:$B,MATCH(A499,Eleitoral!$A:$A,0))&amp;"","não consta"))</f>
        <v/>
      </c>
      <c r="M499" s="28" t="str">
        <f aca="false">IF(A499="","",IF(OR(AND(K499&lt;&gt;"",LOWER(K499)&lt;&gt;"não consta"),AND(L499&lt;&gt;"",LOWER(L499)&lt;&gt;"não consta"),IFERROR(INDEX(Empresas!$G:$G,MATCH(A499,Empresas!$A:$A,0))&amp;"","")&lt;&gt;""),"SIM",""))</f>
        <v/>
      </c>
      <c r="N499" s="5"/>
      <c r="O499" s="32" t="str">
        <f aca="false">IF(D499="","",YEAR(D499))</f>
        <v/>
      </c>
      <c r="P499" s="5"/>
    </row>
    <row r="500" customFormat="false" ht="15" hidden="false" customHeight="false" outlineLevel="0" collapsed="false">
      <c r="A500" s="27"/>
      <c r="B500" s="5"/>
      <c r="C500" s="35"/>
      <c r="D500" s="18"/>
      <c r="E500" s="5"/>
      <c r="F500" s="14"/>
      <c r="G500" s="5"/>
      <c r="H500" s="27"/>
      <c r="I500" s="5"/>
      <c r="J500" s="19" t="str">
        <f aca="false">IF(A500="","",IFERROR(INDEX(Empresas!$D:$D,MATCH(A500,Empresas!$A:$A,0))&amp;"","não consta"))</f>
        <v/>
      </c>
      <c r="K500" s="19" t="str">
        <f aca="false">IF(A500="","",IFERROR(INDEX(Sancoes!$B:$B,MATCH(A500,Sancoes!$A:$A,0))&amp;"","não consta"))</f>
        <v/>
      </c>
      <c r="L500" s="19" t="str">
        <f aca="false">IF(A500="","",IFERROR(INDEX(Eleitoral!$B:$B,MATCH(A500,Eleitoral!$A:$A,0))&amp;"","não consta"))</f>
        <v/>
      </c>
      <c r="M500" s="28" t="str">
        <f aca="false">IF(A500="","",IF(OR(AND(K500&lt;&gt;"",LOWER(K500)&lt;&gt;"não consta"),AND(L500&lt;&gt;"",LOWER(L500)&lt;&gt;"não consta"),IFERROR(INDEX(Empresas!$G:$G,MATCH(A500,Empresas!$A:$A,0))&amp;"","")&lt;&gt;""),"SIM",""))</f>
        <v/>
      </c>
      <c r="N500" s="5"/>
      <c r="O500" s="32" t="str">
        <f aca="false">IF(D500="","",YEAR(D500))</f>
        <v/>
      </c>
      <c r="P500" s="5"/>
    </row>
    <row r="501" customFormat="false" ht="15" hidden="false" customHeight="false" outlineLevel="0" collapsed="false">
      <c r="A501" s="27"/>
      <c r="B501" s="5"/>
      <c r="C501" s="35"/>
      <c r="D501" s="18"/>
      <c r="E501" s="5"/>
      <c r="F501" s="14"/>
      <c r="G501" s="5"/>
      <c r="H501" s="27"/>
      <c r="I501" s="5"/>
      <c r="J501" s="19" t="str">
        <f aca="false">IF(A501="","",IFERROR(INDEX(Empresas!$D:$D,MATCH(A501,Empresas!$A:$A,0))&amp;"","não consta"))</f>
        <v/>
      </c>
      <c r="K501" s="19" t="str">
        <f aca="false">IF(A501="","",IFERROR(INDEX(Sancoes!$B:$B,MATCH(A501,Sancoes!$A:$A,0))&amp;"","não consta"))</f>
        <v/>
      </c>
      <c r="L501" s="19" t="str">
        <f aca="false">IF(A501="","",IFERROR(INDEX(Eleitoral!$B:$B,MATCH(A501,Eleitoral!$A:$A,0))&amp;"","não consta"))</f>
        <v/>
      </c>
      <c r="M501" s="28" t="str">
        <f aca="false">IF(A501="","",IF(OR(AND(K501&lt;&gt;"",LOWER(K501)&lt;&gt;"não consta"),AND(L501&lt;&gt;"",LOWER(L501)&lt;&gt;"não consta"),IFERROR(INDEX(Empresas!$G:$G,MATCH(A501,Empresas!$A:$A,0))&amp;"","")&lt;&gt;""),"SIM",""))</f>
        <v/>
      </c>
      <c r="N501" s="5"/>
      <c r="O501" s="32" t="str">
        <f aca="false">IF(D501="","",YEAR(D501))</f>
        <v/>
      </c>
      <c r="P501" s="5"/>
    </row>
    <row r="502" customFormat="false" ht="15" hidden="false" customHeight="false" outlineLevel="0" collapsed="false">
      <c r="A502" s="27"/>
      <c r="B502" s="5"/>
      <c r="C502" s="35"/>
      <c r="D502" s="18"/>
      <c r="E502" s="5"/>
      <c r="F502" s="14"/>
      <c r="G502" s="5"/>
      <c r="H502" s="27"/>
      <c r="I502" s="5"/>
      <c r="J502" s="19" t="str">
        <f aca="false">IF(A502="","",IFERROR(INDEX(Empresas!$D:$D,MATCH(A502,Empresas!$A:$A,0))&amp;"","não consta"))</f>
        <v/>
      </c>
      <c r="K502" s="19" t="str">
        <f aca="false">IF(A502="","",IFERROR(INDEX(Sancoes!$B:$B,MATCH(A502,Sancoes!$A:$A,0))&amp;"","não consta"))</f>
        <v/>
      </c>
      <c r="L502" s="19" t="str">
        <f aca="false">IF(A502="","",IFERROR(INDEX(Eleitoral!$B:$B,MATCH(A502,Eleitoral!$A:$A,0))&amp;"","não consta"))</f>
        <v/>
      </c>
      <c r="M502" s="28" t="str">
        <f aca="false">IF(A502="","",IF(OR(AND(K502&lt;&gt;"",LOWER(K502)&lt;&gt;"não consta"),AND(L502&lt;&gt;"",LOWER(L502)&lt;&gt;"não consta"),IFERROR(INDEX(Empresas!$G:$G,MATCH(A502,Empresas!$A:$A,0))&amp;"","")&lt;&gt;""),"SIM",""))</f>
        <v/>
      </c>
      <c r="N502" s="5"/>
      <c r="O502" s="32" t="str">
        <f aca="false">IF(D502="","",YEAR(D502))</f>
        <v/>
      </c>
      <c r="P502" s="5"/>
    </row>
    <row r="503" customFormat="false" ht="15" hidden="false" customHeight="false" outlineLevel="0" collapsed="false">
      <c r="A503" s="27"/>
      <c r="B503" s="5"/>
      <c r="C503" s="35"/>
      <c r="D503" s="18"/>
      <c r="E503" s="5"/>
      <c r="F503" s="14"/>
      <c r="G503" s="5"/>
      <c r="H503" s="27"/>
      <c r="I503" s="5"/>
      <c r="J503" s="19" t="str">
        <f aca="false">IF(A503="","",IFERROR(INDEX(Empresas!$D:$D,MATCH(A503,Empresas!$A:$A,0))&amp;"","não consta"))</f>
        <v/>
      </c>
      <c r="K503" s="19" t="str">
        <f aca="false">IF(A503="","",IFERROR(INDEX(Sancoes!$B:$B,MATCH(A503,Sancoes!$A:$A,0))&amp;"","não consta"))</f>
        <v/>
      </c>
      <c r="L503" s="19" t="str">
        <f aca="false">IF(A503="","",IFERROR(INDEX(Eleitoral!$B:$B,MATCH(A503,Eleitoral!$A:$A,0))&amp;"","não consta"))</f>
        <v/>
      </c>
      <c r="M503" s="28" t="str">
        <f aca="false">IF(A503="","",IF(OR(AND(K503&lt;&gt;"",LOWER(K503)&lt;&gt;"não consta"),AND(L503&lt;&gt;"",LOWER(L503)&lt;&gt;"não consta"),IFERROR(INDEX(Empresas!$G:$G,MATCH(A503,Empresas!$A:$A,0))&amp;"","")&lt;&gt;""),"SIM",""))</f>
        <v/>
      </c>
      <c r="N503" s="5"/>
      <c r="O503" s="32" t="str">
        <f aca="false">IF(D503="","",YEAR(D503))</f>
        <v/>
      </c>
      <c r="P503" s="5"/>
    </row>
    <row r="504" customFormat="false" ht="15" hidden="false" customHeight="false" outlineLevel="0" collapsed="false">
      <c r="A504" s="27"/>
      <c r="B504" s="5"/>
      <c r="C504" s="35"/>
      <c r="D504" s="18"/>
      <c r="E504" s="5"/>
      <c r="F504" s="14"/>
      <c r="G504" s="5"/>
      <c r="H504" s="27"/>
      <c r="I504" s="5"/>
      <c r="J504" s="19" t="str">
        <f aca="false">IF(A504="","",IFERROR(INDEX(Empresas!$D:$D,MATCH(A504,Empresas!$A:$A,0))&amp;"","não consta"))</f>
        <v/>
      </c>
      <c r="K504" s="19" t="str">
        <f aca="false">IF(A504="","",IFERROR(INDEX(Sancoes!$B:$B,MATCH(A504,Sancoes!$A:$A,0))&amp;"","não consta"))</f>
        <v/>
      </c>
      <c r="L504" s="19" t="str">
        <f aca="false">IF(A504="","",IFERROR(INDEX(Eleitoral!$B:$B,MATCH(A504,Eleitoral!$A:$A,0))&amp;"","não consta"))</f>
        <v/>
      </c>
      <c r="M504" s="28" t="str">
        <f aca="false">IF(A504="","",IF(OR(AND(K504&lt;&gt;"",LOWER(K504)&lt;&gt;"não consta"),AND(L504&lt;&gt;"",LOWER(L504)&lt;&gt;"não consta"),IFERROR(INDEX(Empresas!$G:$G,MATCH(A504,Empresas!$A:$A,0))&amp;"","")&lt;&gt;""),"SIM",""))</f>
        <v/>
      </c>
      <c r="N504" s="5"/>
      <c r="O504" s="32" t="str">
        <f aca="false">IF(D504="","",YEAR(D504))</f>
        <v/>
      </c>
      <c r="P504" s="5"/>
    </row>
    <row r="505" customFormat="false" ht="15" hidden="false" customHeight="false" outlineLevel="0" collapsed="false">
      <c r="A505" s="27"/>
      <c r="B505" s="5"/>
      <c r="C505" s="35"/>
      <c r="D505" s="18"/>
      <c r="E505" s="5"/>
      <c r="F505" s="14"/>
      <c r="G505" s="5"/>
      <c r="H505" s="27"/>
      <c r="I505" s="5"/>
      <c r="J505" s="19" t="str">
        <f aca="false">IF(A505="","",IFERROR(INDEX(Empresas!$D:$D,MATCH(A505,Empresas!$A:$A,0))&amp;"","não consta"))</f>
        <v/>
      </c>
      <c r="K505" s="19" t="str">
        <f aca="false">IF(A505="","",IFERROR(INDEX(Sancoes!$B:$B,MATCH(A505,Sancoes!$A:$A,0))&amp;"","não consta"))</f>
        <v/>
      </c>
      <c r="L505" s="19" t="str">
        <f aca="false">IF(A505="","",IFERROR(INDEX(Eleitoral!$B:$B,MATCH(A505,Eleitoral!$A:$A,0))&amp;"","não consta"))</f>
        <v/>
      </c>
      <c r="M505" s="28" t="str">
        <f aca="false">IF(A505="","",IF(OR(AND(K505&lt;&gt;"",LOWER(K505)&lt;&gt;"não consta"),AND(L505&lt;&gt;"",LOWER(L505)&lt;&gt;"não consta"),IFERROR(INDEX(Empresas!$G:$G,MATCH(A505,Empresas!$A:$A,0))&amp;"","")&lt;&gt;""),"SIM",""))</f>
        <v/>
      </c>
      <c r="N505" s="5"/>
      <c r="O505" s="32" t="str">
        <f aca="false">IF(D505="","",YEAR(D505))</f>
        <v/>
      </c>
      <c r="P505" s="5"/>
    </row>
    <row r="506" customFormat="false" ht="15" hidden="false" customHeight="false" outlineLevel="0" collapsed="false">
      <c r="A506" s="27"/>
      <c r="B506" s="5"/>
      <c r="C506" s="35"/>
      <c r="D506" s="18"/>
      <c r="E506" s="5"/>
      <c r="F506" s="14"/>
      <c r="G506" s="5"/>
      <c r="H506" s="27"/>
      <c r="I506" s="5"/>
      <c r="J506" s="19" t="str">
        <f aca="false">IF(A506="","",IFERROR(INDEX(Empresas!$D:$D,MATCH(A506,Empresas!$A:$A,0))&amp;"","não consta"))</f>
        <v/>
      </c>
      <c r="K506" s="19" t="str">
        <f aca="false">IF(A506="","",IFERROR(INDEX(Sancoes!$B:$B,MATCH(A506,Sancoes!$A:$A,0))&amp;"","não consta"))</f>
        <v/>
      </c>
      <c r="L506" s="19" t="str">
        <f aca="false">IF(A506="","",IFERROR(INDEX(Eleitoral!$B:$B,MATCH(A506,Eleitoral!$A:$A,0))&amp;"","não consta"))</f>
        <v/>
      </c>
      <c r="M506" s="28" t="str">
        <f aca="false">IF(A506="","",IF(OR(AND(K506&lt;&gt;"",LOWER(K506)&lt;&gt;"não consta"),AND(L506&lt;&gt;"",LOWER(L506)&lt;&gt;"não consta"),IFERROR(INDEX(Empresas!$G:$G,MATCH(A506,Empresas!$A:$A,0))&amp;"","")&lt;&gt;""),"SIM",""))</f>
        <v/>
      </c>
      <c r="N506" s="5"/>
      <c r="O506" s="32" t="str">
        <f aca="false">IF(D506="","",YEAR(D506))</f>
        <v/>
      </c>
      <c r="P506" s="5"/>
    </row>
    <row r="507" customFormat="false" ht="15" hidden="false" customHeight="false" outlineLevel="0" collapsed="false">
      <c r="A507" s="27"/>
      <c r="B507" s="5"/>
      <c r="C507" s="35"/>
      <c r="D507" s="18"/>
      <c r="E507" s="5"/>
      <c r="F507" s="14"/>
      <c r="G507" s="5"/>
      <c r="H507" s="27"/>
      <c r="I507" s="5"/>
      <c r="J507" s="19" t="str">
        <f aca="false">IF(A507="","",IFERROR(INDEX(Empresas!$D:$D,MATCH(A507,Empresas!$A:$A,0))&amp;"","não consta"))</f>
        <v/>
      </c>
      <c r="K507" s="19" t="str">
        <f aca="false">IF(A507="","",IFERROR(INDEX(Sancoes!$B:$B,MATCH(A507,Sancoes!$A:$A,0))&amp;"","não consta"))</f>
        <v/>
      </c>
      <c r="L507" s="19" t="str">
        <f aca="false">IF(A507="","",IFERROR(INDEX(Eleitoral!$B:$B,MATCH(A507,Eleitoral!$A:$A,0))&amp;"","não consta"))</f>
        <v/>
      </c>
      <c r="M507" s="28" t="str">
        <f aca="false">IF(A507="","",IF(OR(AND(K507&lt;&gt;"",LOWER(K507)&lt;&gt;"não consta"),AND(L507&lt;&gt;"",LOWER(L507)&lt;&gt;"não consta"),IFERROR(INDEX(Empresas!$G:$G,MATCH(A507,Empresas!$A:$A,0))&amp;"","")&lt;&gt;""),"SIM",""))</f>
        <v/>
      </c>
      <c r="N507" s="5"/>
      <c r="O507" s="32" t="str">
        <f aca="false">IF(D507="","",YEAR(D507))</f>
        <v/>
      </c>
      <c r="P507" s="5"/>
    </row>
    <row r="508" customFormat="false" ht="15" hidden="false" customHeight="false" outlineLevel="0" collapsed="false">
      <c r="A508" s="27"/>
      <c r="B508" s="5"/>
      <c r="C508" s="35"/>
      <c r="D508" s="18"/>
      <c r="E508" s="5"/>
      <c r="F508" s="14"/>
      <c r="G508" s="5"/>
      <c r="H508" s="27"/>
      <c r="I508" s="5"/>
      <c r="J508" s="19" t="str">
        <f aca="false">IF(A508="","",IFERROR(INDEX(Empresas!$D:$D,MATCH(A508,Empresas!$A:$A,0))&amp;"","não consta"))</f>
        <v/>
      </c>
      <c r="K508" s="19" t="str">
        <f aca="false">IF(A508="","",IFERROR(INDEX(Sancoes!$B:$B,MATCH(A508,Sancoes!$A:$A,0))&amp;"","não consta"))</f>
        <v/>
      </c>
      <c r="L508" s="19" t="str">
        <f aca="false">IF(A508="","",IFERROR(INDEX(Eleitoral!$B:$B,MATCH(A508,Eleitoral!$A:$A,0))&amp;"","não consta"))</f>
        <v/>
      </c>
      <c r="M508" s="28" t="str">
        <f aca="false">IF(A508="","",IF(OR(AND(K508&lt;&gt;"",LOWER(K508)&lt;&gt;"não consta"),AND(L508&lt;&gt;"",LOWER(L508)&lt;&gt;"não consta"),IFERROR(INDEX(Empresas!$G:$G,MATCH(A508,Empresas!$A:$A,0))&amp;"","")&lt;&gt;""),"SIM",""))</f>
        <v/>
      </c>
      <c r="N508" s="5"/>
      <c r="O508" s="32" t="str">
        <f aca="false">IF(D508="","",YEAR(D508))</f>
        <v/>
      </c>
      <c r="P508" s="5"/>
    </row>
    <row r="509" customFormat="false" ht="15" hidden="false" customHeight="false" outlineLevel="0" collapsed="false">
      <c r="A509" s="27"/>
      <c r="B509" s="5"/>
      <c r="C509" s="35"/>
      <c r="D509" s="18"/>
      <c r="E509" s="5"/>
      <c r="F509" s="14"/>
      <c r="G509" s="5"/>
      <c r="H509" s="27"/>
      <c r="I509" s="5"/>
      <c r="J509" s="19" t="str">
        <f aca="false">IF(A509="","",IFERROR(INDEX(Empresas!$D:$D,MATCH(A509,Empresas!$A:$A,0))&amp;"","não consta"))</f>
        <v/>
      </c>
      <c r="K509" s="19" t="str">
        <f aca="false">IF(A509="","",IFERROR(INDEX(Sancoes!$B:$B,MATCH(A509,Sancoes!$A:$A,0))&amp;"","não consta"))</f>
        <v/>
      </c>
      <c r="L509" s="19" t="str">
        <f aca="false">IF(A509="","",IFERROR(INDEX(Eleitoral!$B:$B,MATCH(A509,Eleitoral!$A:$A,0))&amp;"","não consta"))</f>
        <v/>
      </c>
      <c r="M509" s="28" t="str">
        <f aca="false">IF(A509="","",IF(OR(AND(K509&lt;&gt;"",LOWER(K509)&lt;&gt;"não consta"),AND(L509&lt;&gt;"",LOWER(L509)&lt;&gt;"não consta"),IFERROR(INDEX(Empresas!$G:$G,MATCH(A509,Empresas!$A:$A,0))&amp;"","")&lt;&gt;""),"SIM",""))</f>
        <v/>
      </c>
      <c r="N509" s="5"/>
      <c r="O509" s="32" t="str">
        <f aca="false">IF(D509="","",YEAR(D509))</f>
        <v/>
      </c>
      <c r="P509" s="5"/>
    </row>
    <row r="510" customFormat="false" ht="15" hidden="false" customHeight="false" outlineLevel="0" collapsed="false">
      <c r="A510" s="27"/>
      <c r="B510" s="5"/>
      <c r="C510" s="35"/>
      <c r="D510" s="18"/>
      <c r="E510" s="5"/>
      <c r="F510" s="14"/>
      <c r="G510" s="5"/>
      <c r="H510" s="27"/>
      <c r="I510" s="5"/>
      <c r="J510" s="19" t="str">
        <f aca="false">IF(A510="","",IFERROR(INDEX(Empresas!$D:$D,MATCH(A510,Empresas!$A:$A,0))&amp;"","não consta"))</f>
        <v/>
      </c>
      <c r="K510" s="19" t="str">
        <f aca="false">IF(A510="","",IFERROR(INDEX(Sancoes!$B:$B,MATCH(A510,Sancoes!$A:$A,0))&amp;"","não consta"))</f>
        <v/>
      </c>
      <c r="L510" s="19" t="str">
        <f aca="false">IF(A510="","",IFERROR(INDEX(Eleitoral!$B:$B,MATCH(A510,Eleitoral!$A:$A,0))&amp;"","não consta"))</f>
        <v/>
      </c>
      <c r="M510" s="28" t="str">
        <f aca="false">IF(A510="","",IF(OR(AND(K510&lt;&gt;"",LOWER(K510)&lt;&gt;"não consta"),AND(L510&lt;&gt;"",LOWER(L510)&lt;&gt;"não consta"),IFERROR(INDEX(Empresas!$G:$G,MATCH(A510,Empresas!$A:$A,0))&amp;"","")&lt;&gt;""),"SIM",""))</f>
        <v/>
      </c>
      <c r="N510" s="5"/>
      <c r="O510" s="32" t="str">
        <f aca="false">IF(D510="","",YEAR(D510))</f>
        <v/>
      </c>
      <c r="P510" s="5"/>
    </row>
    <row r="511" customFormat="false" ht="15" hidden="false" customHeight="false" outlineLevel="0" collapsed="false">
      <c r="A511" s="27"/>
      <c r="B511" s="5"/>
      <c r="C511" s="35"/>
      <c r="D511" s="18"/>
      <c r="E511" s="5"/>
      <c r="F511" s="14"/>
      <c r="G511" s="5"/>
      <c r="H511" s="27"/>
      <c r="I511" s="5"/>
      <c r="J511" s="19" t="str">
        <f aca="false">IF(A511="","",IFERROR(INDEX(Empresas!$D:$D,MATCH(A511,Empresas!$A:$A,0))&amp;"","não consta"))</f>
        <v/>
      </c>
      <c r="K511" s="19" t="str">
        <f aca="false">IF(A511="","",IFERROR(INDEX(Sancoes!$B:$B,MATCH(A511,Sancoes!$A:$A,0))&amp;"","não consta"))</f>
        <v/>
      </c>
      <c r="L511" s="19" t="str">
        <f aca="false">IF(A511="","",IFERROR(INDEX(Eleitoral!$B:$B,MATCH(A511,Eleitoral!$A:$A,0))&amp;"","não consta"))</f>
        <v/>
      </c>
      <c r="M511" s="28" t="str">
        <f aca="false">IF(A511="","",IF(OR(AND(K511&lt;&gt;"",LOWER(K511)&lt;&gt;"não consta"),AND(L511&lt;&gt;"",LOWER(L511)&lt;&gt;"não consta"),IFERROR(INDEX(Empresas!$G:$G,MATCH(A511,Empresas!$A:$A,0))&amp;"","")&lt;&gt;""),"SIM",""))</f>
        <v/>
      </c>
      <c r="N511" s="5"/>
      <c r="O511" s="32" t="str">
        <f aca="false">IF(D511="","",YEAR(D511))</f>
        <v/>
      </c>
      <c r="P511" s="5"/>
    </row>
    <row r="512" customFormat="false" ht="15" hidden="false" customHeight="false" outlineLevel="0" collapsed="false">
      <c r="A512" s="27"/>
      <c r="B512" s="5"/>
      <c r="C512" s="35"/>
      <c r="D512" s="18"/>
      <c r="E512" s="5"/>
      <c r="F512" s="14"/>
      <c r="G512" s="5"/>
      <c r="H512" s="27"/>
      <c r="I512" s="5"/>
      <c r="J512" s="19" t="str">
        <f aca="false">IF(A512="","",IFERROR(INDEX(Empresas!$D:$D,MATCH(A512,Empresas!$A:$A,0))&amp;"","não consta"))</f>
        <v/>
      </c>
      <c r="K512" s="19" t="str">
        <f aca="false">IF(A512="","",IFERROR(INDEX(Sancoes!$B:$B,MATCH(A512,Sancoes!$A:$A,0))&amp;"","não consta"))</f>
        <v/>
      </c>
      <c r="L512" s="19" t="str">
        <f aca="false">IF(A512="","",IFERROR(INDEX(Eleitoral!$B:$B,MATCH(A512,Eleitoral!$A:$A,0))&amp;"","não consta"))</f>
        <v/>
      </c>
      <c r="M512" s="28" t="str">
        <f aca="false">IF(A512="","",IF(OR(AND(K512&lt;&gt;"",LOWER(K512)&lt;&gt;"não consta"),AND(L512&lt;&gt;"",LOWER(L512)&lt;&gt;"não consta"),IFERROR(INDEX(Empresas!$G:$G,MATCH(A512,Empresas!$A:$A,0))&amp;"","")&lt;&gt;""),"SIM",""))</f>
        <v/>
      </c>
      <c r="N512" s="5"/>
      <c r="O512" s="32" t="str">
        <f aca="false">IF(D512="","",YEAR(D512))</f>
        <v/>
      </c>
      <c r="P512" s="5"/>
    </row>
    <row r="513" customFormat="false" ht="15" hidden="false" customHeight="false" outlineLevel="0" collapsed="false">
      <c r="A513" s="27"/>
      <c r="B513" s="5"/>
      <c r="C513" s="35"/>
      <c r="D513" s="18"/>
      <c r="E513" s="5"/>
      <c r="F513" s="14"/>
      <c r="G513" s="5"/>
      <c r="H513" s="27"/>
      <c r="I513" s="5"/>
      <c r="J513" s="19" t="str">
        <f aca="false">IF(A513="","",IFERROR(INDEX(Empresas!$D:$D,MATCH(A513,Empresas!$A:$A,0))&amp;"","não consta"))</f>
        <v/>
      </c>
      <c r="K513" s="19" t="str">
        <f aca="false">IF(A513="","",IFERROR(INDEX(Sancoes!$B:$B,MATCH(A513,Sancoes!$A:$A,0))&amp;"","não consta"))</f>
        <v/>
      </c>
      <c r="L513" s="19" t="str">
        <f aca="false">IF(A513="","",IFERROR(INDEX(Eleitoral!$B:$B,MATCH(A513,Eleitoral!$A:$A,0))&amp;"","não consta"))</f>
        <v/>
      </c>
      <c r="M513" s="28" t="str">
        <f aca="false">IF(A513="","",IF(OR(AND(K513&lt;&gt;"",LOWER(K513)&lt;&gt;"não consta"),AND(L513&lt;&gt;"",LOWER(L513)&lt;&gt;"não consta"),IFERROR(INDEX(Empresas!$G:$G,MATCH(A513,Empresas!$A:$A,0))&amp;"","")&lt;&gt;""),"SIM",""))</f>
        <v/>
      </c>
      <c r="N513" s="5"/>
      <c r="O513" s="32" t="str">
        <f aca="false">IF(D513="","",YEAR(D513))</f>
        <v/>
      </c>
      <c r="P513" s="5"/>
    </row>
    <row r="514" customFormat="false" ht="15" hidden="false" customHeight="false" outlineLevel="0" collapsed="false">
      <c r="A514" s="27"/>
      <c r="B514" s="5"/>
      <c r="C514" s="35"/>
      <c r="D514" s="18"/>
      <c r="E514" s="5"/>
      <c r="F514" s="14"/>
      <c r="G514" s="5"/>
      <c r="H514" s="27"/>
      <c r="I514" s="5"/>
      <c r="J514" s="19" t="str">
        <f aca="false">IF(A514="","",IFERROR(INDEX(Empresas!$D:$D,MATCH(A514,Empresas!$A:$A,0))&amp;"","não consta"))</f>
        <v/>
      </c>
      <c r="K514" s="19" t="str">
        <f aca="false">IF(A514="","",IFERROR(INDEX(Sancoes!$B:$B,MATCH(A514,Sancoes!$A:$A,0))&amp;"","não consta"))</f>
        <v/>
      </c>
      <c r="L514" s="19" t="str">
        <f aca="false">IF(A514="","",IFERROR(INDEX(Eleitoral!$B:$B,MATCH(A514,Eleitoral!$A:$A,0))&amp;"","não consta"))</f>
        <v/>
      </c>
      <c r="M514" s="28" t="str">
        <f aca="false">IF(A514="","",IF(OR(AND(K514&lt;&gt;"",LOWER(K514)&lt;&gt;"não consta"),AND(L514&lt;&gt;"",LOWER(L514)&lt;&gt;"não consta"),IFERROR(INDEX(Empresas!$G:$G,MATCH(A514,Empresas!$A:$A,0))&amp;"","")&lt;&gt;""),"SIM",""))</f>
        <v/>
      </c>
      <c r="N514" s="5"/>
      <c r="O514" s="32" t="str">
        <f aca="false">IF(D514="","",YEAR(D514))</f>
        <v/>
      </c>
      <c r="P514" s="5"/>
    </row>
    <row r="515" customFormat="false" ht="15" hidden="false" customHeight="false" outlineLevel="0" collapsed="false">
      <c r="A515" s="27"/>
      <c r="B515" s="5"/>
      <c r="C515" s="35"/>
      <c r="D515" s="18"/>
      <c r="E515" s="5"/>
      <c r="F515" s="14"/>
      <c r="G515" s="5"/>
      <c r="H515" s="27"/>
      <c r="I515" s="5"/>
      <c r="J515" s="19" t="str">
        <f aca="false">IF(A515="","",IFERROR(INDEX(Empresas!$D:$D,MATCH(A515,Empresas!$A:$A,0))&amp;"","não consta"))</f>
        <v/>
      </c>
      <c r="K515" s="19" t="str">
        <f aca="false">IF(A515="","",IFERROR(INDEX(Sancoes!$B:$B,MATCH(A515,Sancoes!$A:$A,0))&amp;"","não consta"))</f>
        <v/>
      </c>
      <c r="L515" s="19" t="str">
        <f aca="false">IF(A515="","",IFERROR(INDEX(Eleitoral!$B:$B,MATCH(A515,Eleitoral!$A:$A,0))&amp;"","não consta"))</f>
        <v/>
      </c>
      <c r="M515" s="28" t="str">
        <f aca="false">IF(A515="","",IF(OR(AND(K515&lt;&gt;"",LOWER(K515)&lt;&gt;"não consta"),AND(L515&lt;&gt;"",LOWER(L515)&lt;&gt;"não consta"),IFERROR(INDEX(Empresas!$G:$G,MATCH(A515,Empresas!$A:$A,0))&amp;"","")&lt;&gt;""),"SIM",""))</f>
        <v/>
      </c>
      <c r="N515" s="5"/>
      <c r="O515" s="32" t="str">
        <f aca="false">IF(D515="","",YEAR(D515))</f>
        <v/>
      </c>
      <c r="P515" s="5"/>
    </row>
    <row r="516" customFormat="false" ht="15" hidden="false" customHeight="false" outlineLevel="0" collapsed="false">
      <c r="A516" s="27"/>
      <c r="B516" s="5"/>
      <c r="C516" s="35"/>
      <c r="D516" s="18"/>
      <c r="E516" s="5"/>
      <c r="F516" s="14"/>
      <c r="G516" s="5"/>
      <c r="H516" s="27"/>
      <c r="I516" s="5"/>
      <c r="J516" s="19" t="str">
        <f aca="false">IF(A516="","",IFERROR(INDEX(Empresas!$D:$D,MATCH(A516,Empresas!$A:$A,0))&amp;"","não consta"))</f>
        <v/>
      </c>
      <c r="K516" s="19" t="str">
        <f aca="false">IF(A516="","",IFERROR(INDEX(Sancoes!$B:$B,MATCH(A516,Sancoes!$A:$A,0))&amp;"","não consta"))</f>
        <v/>
      </c>
      <c r="L516" s="19" t="str">
        <f aca="false">IF(A516="","",IFERROR(INDEX(Eleitoral!$B:$B,MATCH(A516,Eleitoral!$A:$A,0))&amp;"","não consta"))</f>
        <v/>
      </c>
      <c r="M516" s="28" t="str">
        <f aca="false">IF(A516="","",IF(OR(AND(K516&lt;&gt;"",LOWER(K516)&lt;&gt;"não consta"),AND(L516&lt;&gt;"",LOWER(L516)&lt;&gt;"não consta"),IFERROR(INDEX(Empresas!$G:$G,MATCH(A516,Empresas!$A:$A,0))&amp;"","")&lt;&gt;""),"SIM",""))</f>
        <v/>
      </c>
      <c r="N516" s="5"/>
      <c r="O516" s="32" t="str">
        <f aca="false">IF(D516="","",YEAR(D516))</f>
        <v/>
      </c>
      <c r="P516" s="5"/>
    </row>
    <row r="517" customFormat="false" ht="15" hidden="false" customHeight="false" outlineLevel="0" collapsed="false">
      <c r="A517" s="27"/>
      <c r="B517" s="5"/>
      <c r="C517" s="35"/>
      <c r="D517" s="18"/>
      <c r="E517" s="5"/>
      <c r="F517" s="14"/>
      <c r="G517" s="5"/>
      <c r="H517" s="27"/>
      <c r="I517" s="5"/>
      <c r="J517" s="19" t="str">
        <f aca="false">IF(A517="","",IFERROR(INDEX(Empresas!$D:$D,MATCH(A517,Empresas!$A:$A,0))&amp;"","não consta"))</f>
        <v/>
      </c>
      <c r="K517" s="19" t="str">
        <f aca="false">IF(A517="","",IFERROR(INDEX(Sancoes!$B:$B,MATCH(A517,Sancoes!$A:$A,0))&amp;"","não consta"))</f>
        <v/>
      </c>
      <c r="L517" s="19" t="str">
        <f aca="false">IF(A517="","",IFERROR(INDEX(Eleitoral!$B:$B,MATCH(A517,Eleitoral!$A:$A,0))&amp;"","não consta"))</f>
        <v/>
      </c>
      <c r="M517" s="28" t="str">
        <f aca="false">IF(A517="","",IF(OR(AND(K517&lt;&gt;"",LOWER(K517)&lt;&gt;"não consta"),AND(L517&lt;&gt;"",LOWER(L517)&lt;&gt;"não consta"),IFERROR(INDEX(Empresas!$G:$G,MATCH(A517,Empresas!$A:$A,0))&amp;"","")&lt;&gt;""),"SIM",""))</f>
        <v/>
      </c>
      <c r="N517" s="5"/>
      <c r="O517" s="32" t="str">
        <f aca="false">IF(D517="","",YEAR(D517))</f>
        <v/>
      </c>
      <c r="P517" s="5"/>
    </row>
    <row r="518" customFormat="false" ht="15" hidden="false" customHeight="false" outlineLevel="0" collapsed="false">
      <c r="A518" s="27"/>
      <c r="B518" s="5"/>
      <c r="C518" s="35"/>
      <c r="D518" s="18"/>
      <c r="E518" s="5"/>
      <c r="F518" s="14"/>
      <c r="G518" s="5"/>
      <c r="H518" s="27"/>
      <c r="I518" s="5"/>
      <c r="J518" s="19" t="str">
        <f aca="false">IF(A518="","",IFERROR(INDEX(Empresas!$D:$D,MATCH(A518,Empresas!$A:$A,0))&amp;"","não consta"))</f>
        <v/>
      </c>
      <c r="K518" s="19" t="str">
        <f aca="false">IF(A518="","",IFERROR(INDEX(Sancoes!$B:$B,MATCH(A518,Sancoes!$A:$A,0))&amp;"","não consta"))</f>
        <v/>
      </c>
      <c r="L518" s="19" t="str">
        <f aca="false">IF(A518="","",IFERROR(INDEX(Eleitoral!$B:$B,MATCH(A518,Eleitoral!$A:$A,0))&amp;"","não consta"))</f>
        <v/>
      </c>
      <c r="M518" s="28" t="str">
        <f aca="false">IF(A518="","",IF(OR(AND(K518&lt;&gt;"",LOWER(K518)&lt;&gt;"não consta"),AND(L518&lt;&gt;"",LOWER(L518)&lt;&gt;"não consta"),IFERROR(INDEX(Empresas!$G:$G,MATCH(A518,Empresas!$A:$A,0))&amp;"","")&lt;&gt;""),"SIM",""))</f>
        <v/>
      </c>
      <c r="N518" s="5"/>
      <c r="O518" s="32" t="str">
        <f aca="false">IF(D518="","",YEAR(D518))</f>
        <v/>
      </c>
      <c r="P518" s="5"/>
    </row>
    <row r="519" customFormat="false" ht="15" hidden="false" customHeight="false" outlineLevel="0" collapsed="false">
      <c r="A519" s="27"/>
      <c r="B519" s="5"/>
      <c r="C519" s="35"/>
      <c r="D519" s="18"/>
      <c r="E519" s="5"/>
      <c r="F519" s="14"/>
      <c r="G519" s="5"/>
      <c r="H519" s="27"/>
      <c r="I519" s="5"/>
      <c r="J519" s="19" t="str">
        <f aca="false">IF(A519="","",IFERROR(INDEX(Empresas!$D:$D,MATCH(A519,Empresas!$A:$A,0))&amp;"","não consta"))</f>
        <v/>
      </c>
      <c r="K519" s="19" t="str">
        <f aca="false">IF(A519="","",IFERROR(INDEX(Sancoes!$B:$B,MATCH(A519,Sancoes!$A:$A,0))&amp;"","não consta"))</f>
        <v/>
      </c>
      <c r="L519" s="19" t="str">
        <f aca="false">IF(A519="","",IFERROR(INDEX(Eleitoral!$B:$B,MATCH(A519,Eleitoral!$A:$A,0))&amp;"","não consta"))</f>
        <v/>
      </c>
      <c r="M519" s="28" t="str">
        <f aca="false">IF(A519="","",IF(OR(AND(K519&lt;&gt;"",LOWER(K519)&lt;&gt;"não consta"),AND(L519&lt;&gt;"",LOWER(L519)&lt;&gt;"não consta"),IFERROR(INDEX(Empresas!$G:$G,MATCH(A519,Empresas!$A:$A,0))&amp;"","")&lt;&gt;""),"SIM",""))</f>
        <v/>
      </c>
      <c r="N519" s="5"/>
      <c r="O519" s="32" t="str">
        <f aca="false">IF(D519="","",YEAR(D519))</f>
        <v/>
      </c>
      <c r="P519" s="5"/>
    </row>
    <row r="520" customFormat="false" ht="15" hidden="false" customHeight="false" outlineLevel="0" collapsed="false">
      <c r="A520" s="27"/>
      <c r="B520" s="5"/>
      <c r="C520" s="35"/>
      <c r="D520" s="18"/>
      <c r="E520" s="5"/>
      <c r="F520" s="14"/>
      <c r="G520" s="5"/>
      <c r="H520" s="27"/>
      <c r="I520" s="5"/>
      <c r="J520" s="19" t="str">
        <f aca="false">IF(A520="","",IFERROR(INDEX(Empresas!$D:$D,MATCH(A520,Empresas!$A:$A,0))&amp;"","não consta"))</f>
        <v/>
      </c>
      <c r="K520" s="19" t="str">
        <f aca="false">IF(A520="","",IFERROR(INDEX(Sancoes!$B:$B,MATCH(A520,Sancoes!$A:$A,0))&amp;"","não consta"))</f>
        <v/>
      </c>
      <c r="L520" s="19" t="str">
        <f aca="false">IF(A520="","",IFERROR(INDEX(Eleitoral!$B:$B,MATCH(A520,Eleitoral!$A:$A,0))&amp;"","não consta"))</f>
        <v/>
      </c>
      <c r="M520" s="28" t="str">
        <f aca="false">IF(A520="","",IF(OR(AND(K520&lt;&gt;"",LOWER(K520)&lt;&gt;"não consta"),AND(L520&lt;&gt;"",LOWER(L520)&lt;&gt;"não consta"),IFERROR(INDEX(Empresas!$G:$G,MATCH(A520,Empresas!$A:$A,0))&amp;"","")&lt;&gt;""),"SIM",""))</f>
        <v/>
      </c>
      <c r="N520" s="5"/>
      <c r="O520" s="32" t="str">
        <f aca="false">IF(D520="","",YEAR(D520))</f>
        <v/>
      </c>
      <c r="P520" s="5"/>
    </row>
    <row r="521" customFormat="false" ht="15" hidden="false" customHeight="false" outlineLevel="0" collapsed="false">
      <c r="A521" s="27"/>
      <c r="B521" s="5"/>
      <c r="C521" s="35"/>
      <c r="D521" s="18"/>
      <c r="E521" s="5"/>
      <c r="F521" s="14"/>
      <c r="G521" s="5"/>
      <c r="H521" s="27"/>
      <c r="I521" s="5"/>
      <c r="J521" s="19" t="str">
        <f aca="false">IF(A521="","",IFERROR(INDEX(Empresas!$D:$D,MATCH(A521,Empresas!$A:$A,0))&amp;"","não consta"))</f>
        <v/>
      </c>
      <c r="K521" s="19" t="str">
        <f aca="false">IF(A521="","",IFERROR(INDEX(Sancoes!$B:$B,MATCH(A521,Sancoes!$A:$A,0))&amp;"","não consta"))</f>
        <v/>
      </c>
      <c r="L521" s="19" t="str">
        <f aca="false">IF(A521="","",IFERROR(INDEX(Eleitoral!$B:$B,MATCH(A521,Eleitoral!$A:$A,0))&amp;"","não consta"))</f>
        <v/>
      </c>
      <c r="M521" s="28" t="str">
        <f aca="false">IF(A521="","",IF(OR(AND(K521&lt;&gt;"",LOWER(K521)&lt;&gt;"não consta"),AND(L521&lt;&gt;"",LOWER(L521)&lt;&gt;"não consta"),IFERROR(INDEX(Empresas!$G:$G,MATCH(A521,Empresas!$A:$A,0))&amp;"","")&lt;&gt;""),"SIM",""))</f>
        <v/>
      </c>
      <c r="N521" s="5"/>
      <c r="O521" s="32" t="str">
        <f aca="false">IF(D521="","",YEAR(D521))</f>
        <v/>
      </c>
      <c r="P521" s="5"/>
    </row>
    <row r="522" customFormat="false" ht="15" hidden="false" customHeight="false" outlineLevel="0" collapsed="false">
      <c r="A522" s="27"/>
      <c r="B522" s="5"/>
      <c r="C522" s="35"/>
      <c r="D522" s="18"/>
      <c r="E522" s="5"/>
      <c r="F522" s="14"/>
      <c r="G522" s="5"/>
      <c r="H522" s="27"/>
      <c r="I522" s="5"/>
      <c r="J522" s="19" t="str">
        <f aca="false">IF(A522="","",IFERROR(INDEX(Empresas!$D:$D,MATCH(A522,Empresas!$A:$A,0))&amp;"","não consta"))</f>
        <v/>
      </c>
      <c r="K522" s="19" t="str">
        <f aca="false">IF(A522="","",IFERROR(INDEX(Sancoes!$B:$B,MATCH(A522,Sancoes!$A:$A,0))&amp;"","não consta"))</f>
        <v/>
      </c>
      <c r="L522" s="19" t="str">
        <f aca="false">IF(A522="","",IFERROR(INDEX(Eleitoral!$B:$B,MATCH(A522,Eleitoral!$A:$A,0))&amp;"","não consta"))</f>
        <v/>
      </c>
      <c r="M522" s="28" t="str">
        <f aca="false">IF(A522="","",IF(OR(AND(K522&lt;&gt;"",LOWER(K522)&lt;&gt;"não consta"),AND(L522&lt;&gt;"",LOWER(L522)&lt;&gt;"não consta"),IFERROR(INDEX(Empresas!$G:$G,MATCH(A522,Empresas!$A:$A,0))&amp;"","")&lt;&gt;""),"SIM",""))</f>
        <v/>
      </c>
      <c r="N522" s="5"/>
      <c r="O522" s="32" t="str">
        <f aca="false">IF(D522="","",YEAR(D522))</f>
        <v/>
      </c>
      <c r="P522" s="5"/>
    </row>
    <row r="523" customFormat="false" ht="15" hidden="false" customHeight="false" outlineLevel="0" collapsed="false">
      <c r="A523" s="27"/>
      <c r="B523" s="5"/>
      <c r="C523" s="35"/>
      <c r="D523" s="18"/>
      <c r="E523" s="5"/>
      <c r="F523" s="14"/>
      <c r="G523" s="5"/>
      <c r="H523" s="27"/>
      <c r="I523" s="5"/>
      <c r="J523" s="19" t="str">
        <f aca="false">IF(A523="","",IFERROR(INDEX(Empresas!$D:$D,MATCH(A523,Empresas!$A:$A,0))&amp;"","não consta"))</f>
        <v/>
      </c>
      <c r="K523" s="19" t="str">
        <f aca="false">IF(A523="","",IFERROR(INDEX(Sancoes!$B:$B,MATCH(A523,Sancoes!$A:$A,0))&amp;"","não consta"))</f>
        <v/>
      </c>
      <c r="L523" s="19" t="str">
        <f aca="false">IF(A523="","",IFERROR(INDEX(Eleitoral!$B:$B,MATCH(A523,Eleitoral!$A:$A,0))&amp;"","não consta"))</f>
        <v/>
      </c>
      <c r="M523" s="28" t="str">
        <f aca="false">IF(A523="","",IF(OR(AND(K523&lt;&gt;"",LOWER(K523)&lt;&gt;"não consta"),AND(L523&lt;&gt;"",LOWER(L523)&lt;&gt;"não consta"),IFERROR(INDEX(Empresas!$G:$G,MATCH(A523,Empresas!$A:$A,0))&amp;"","")&lt;&gt;""),"SIM",""))</f>
        <v/>
      </c>
      <c r="N523" s="5"/>
      <c r="O523" s="32" t="str">
        <f aca="false">IF(D523="","",YEAR(D523))</f>
        <v/>
      </c>
      <c r="P523" s="5"/>
    </row>
    <row r="524" customFormat="false" ht="15" hidden="false" customHeight="false" outlineLevel="0" collapsed="false">
      <c r="A524" s="27"/>
      <c r="B524" s="5"/>
      <c r="C524" s="35"/>
      <c r="D524" s="18"/>
      <c r="E524" s="5"/>
      <c r="F524" s="14"/>
      <c r="G524" s="5"/>
      <c r="H524" s="27"/>
      <c r="I524" s="5"/>
      <c r="J524" s="19" t="str">
        <f aca="false">IF(A524="","",IFERROR(INDEX(Empresas!$D:$D,MATCH(A524,Empresas!$A:$A,0))&amp;"","não consta"))</f>
        <v/>
      </c>
      <c r="K524" s="19" t="str">
        <f aca="false">IF(A524="","",IFERROR(INDEX(Sancoes!$B:$B,MATCH(A524,Sancoes!$A:$A,0))&amp;"","não consta"))</f>
        <v/>
      </c>
      <c r="L524" s="19" t="str">
        <f aca="false">IF(A524="","",IFERROR(INDEX(Eleitoral!$B:$B,MATCH(A524,Eleitoral!$A:$A,0))&amp;"","não consta"))</f>
        <v/>
      </c>
      <c r="M524" s="28" t="str">
        <f aca="false">IF(A524="","",IF(OR(AND(K524&lt;&gt;"",LOWER(K524)&lt;&gt;"não consta"),AND(L524&lt;&gt;"",LOWER(L524)&lt;&gt;"não consta"),IFERROR(INDEX(Empresas!$G:$G,MATCH(A524,Empresas!$A:$A,0))&amp;"","")&lt;&gt;""),"SIM",""))</f>
        <v/>
      </c>
      <c r="N524" s="5"/>
      <c r="O524" s="32" t="str">
        <f aca="false">IF(D524="","",YEAR(D524))</f>
        <v/>
      </c>
      <c r="P524" s="5"/>
    </row>
    <row r="525" customFormat="false" ht="15" hidden="false" customHeight="false" outlineLevel="0" collapsed="false">
      <c r="A525" s="27"/>
      <c r="B525" s="5"/>
      <c r="C525" s="35"/>
      <c r="D525" s="18"/>
      <c r="E525" s="5"/>
      <c r="F525" s="14"/>
      <c r="G525" s="5"/>
      <c r="H525" s="27"/>
      <c r="I525" s="5"/>
      <c r="J525" s="19" t="str">
        <f aca="false">IF(A525="","",IFERROR(INDEX(Empresas!$D:$D,MATCH(A525,Empresas!$A:$A,0))&amp;"","não consta"))</f>
        <v/>
      </c>
      <c r="K525" s="19" t="str">
        <f aca="false">IF(A525="","",IFERROR(INDEX(Sancoes!$B:$B,MATCH(A525,Sancoes!$A:$A,0))&amp;"","não consta"))</f>
        <v/>
      </c>
      <c r="L525" s="19" t="str">
        <f aca="false">IF(A525="","",IFERROR(INDEX(Eleitoral!$B:$B,MATCH(A525,Eleitoral!$A:$A,0))&amp;"","não consta"))</f>
        <v/>
      </c>
      <c r="M525" s="28" t="str">
        <f aca="false">IF(A525="","",IF(OR(AND(K525&lt;&gt;"",LOWER(K525)&lt;&gt;"não consta"),AND(L525&lt;&gt;"",LOWER(L525)&lt;&gt;"não consta"),IFERROR(INDEX(Empresas!$G:$G,MATCH(A525,Empresas!$A:$A,0))&amp;"","")&lt;&gt;""),"SIM",""))</f>
        <v/>
      </c>
      <c r="N525" s="5"/>
      <c r="O525" s="32" t="str">
        <f aca="false">IF(D525="","",YEAR(D525))</f>
        <v/>
      </c>
      <c r="P525" s="5"/>
    </row>
    <row r="526" customFormat="false" ht="15" hidden="false" customHeight="false" outlineLevel="0" collapsed="false">
      <c r="A526" s="27"/>
      <c r="B526" s="5"/>
      <c r="C526" s="35"/>
      <c r="D526" s="18"/>
      <c r="E526" s="5"/>
      <c r="F526" s="14"/>
      <c r="G526" s="5"/>
      <c r="H526" s="27"/>
      <c r="I526" s="5"/>
      <c r="J526" s="19" t="str">
        <f aca="false">IF(A526="","",IFERROR(INDEX(Empresas!$D:$D,MATCH(A526,Empresas!$A:$A,0))&amp;"","não consta"))</f>
        <v/>
      </c>
      <c r="K526" s="19" t="str">
        <f aca="false">IF(A526="","",IFERROR(INDEX(Sancoes!$B:$B,MATCH(A526,Sancoes!$A:$A,0))&amp;"","não consta"))</f>
        <v/>
      </c>
      <c r="L526" s="19" t="str">
        <f aca="false">IF(A526="","",IFERROR(INDEX(Eleitoral!$B:$B,MATCH(A526,Eleitoral!$A:$A,0))&amp;"","não consta"))</f>
        <v/>
      </c>
      <c r="M526" s="28" t="str">
        <f aca="false">IF(A526="","",IF(OR(AND(K526&lt;&gt;"",LOWER(K526)&lt;&gt;"não consta"),AND(L526&lt;&gt;"",LOWER(L526)&lt;&gt;"não consta"),IFERROR(INDEX(Empresas!$G:$G,MATCH(A526,Empresas!$A:$A,0))&amp;"","")&lt;&gt;""),"SIM",""))</f>
        <v/>
      </c>
      <c r="N526" s="5"/>
      <c r="O526" s="32" t="str">
        <f aca="false">IF(D526="","",YEAR(D526))</f>
        <v/>
      </c>
      <c r="P526" s="5"/>
    </row>
    <row r="527" customFormat="false" ht="15" hidden="false" customHeight="false" outlineLevel="0" collapsed="false">
      <c r="A527" s="27"/>
      <c r="B527" s="5"/>
      <c r="C527" s="35"/>
      <c r="D527" s="18"/>
      <c r="E527" s="5"/>
      <c r="F527" s="14"/>
      <c r="G527" s="5"/>
      <c r="H527" s="27"/>
      <c r="I527" s="5"/>
      <c r="J527" s="19" t="str">
        <f aca="false">IF(A527="","",IFERROR(INDEX(Empresas!$D:$D,MATCH(A527,Empresas!$A:$A,0))&amp;"","não consta"))</f>
        <v/>
      </c>
      <c r="K527" s="19" t="str">
        <f aca="false">IF(A527="","",IFERROR(INDEX(Sancoes!$B:$B,MATCH(A527,Sancoes!$A:$A,0))&amp;"","não consta"))</f>
        <v/>
      </c>
      <c r="L527" s="19" t="str">
        <f aca="false">IF(A527="","",IFERROR(INDEX(Eleitoral!$B:$B,MATCH(A527,Eleitoral!$A:$A,0))&amp;"","não consta"))</f>
        <v/>
      </c>
      <c r="M527" s="28" t="str">
        <f aca="false">IF(A527="","",IF(OR(AND(K527&lt;&gt;"",LOWER(K527)&lt;&gt;"não consta"),AND(L527&lt;&gt;"",LOWER(L527)&lt;&gt;"não consta"),IFERROR(INDEX(Empresas!$G:$G,MATCH(A527,Empresas!$A:$A,0))&amp;"","")&lt;&gt;""),"SIM",""))</f>
        <v/>
      </c>
      <c r="N527" s="5"/>
      <c r="O527" s="32" t="str">
        <f aca="false">IF(D527="","",YEAR(D527))</f>
        <v/>
      </c>
      <c r="P527" s="5"/>
    </row>
    <row r="528" customFormat="false" ht="15" hidden="false" customHeight="false" outlineLevel="0" collapsed="false">
      <c r="A528" s="27"/>
      <c r="B528" s="5"/>
      <c r="C528" s="35"/>
      <c r="D528" s="18"/>
      <c r="E528" s="5"/>
      <c r="F528" s="14"/>
      <c r="G528" s="5"/>
      <c r="H528" s="27"/>
      <c r="I528" s="5"/>
      <c r="J528" s="19" t="str">
        <f aca="false">IF(A528="","",IFERROR(INDEX(Empresas!$D:$D,MATCH(A528,Empresas!$A:$A,0))&amp;"","não consta"))</f>
        <v/>
      </c>
      <c r="K528" s="19" t="str">
        <f aca="false">IF(A528="","",IFERROR(INDEX(Sancoes!$B:$B,MATCH(A528,Sancoes!$A:$A,0))&amp;"","não consta"))</f>
        <v/>
      </c>
      <c r="L528" s="19" t="str">
        <f aca="false">IF(A528="","",IFERROR(INDEX(Eleitoral!$B:$B,MATCH(A528,Eleitoral!$A:$A,0))&amp;"","não consta"))</f>
        <v/>
      </c>
      <c r="M528" s="28" t="str">
        <f aca="false">IF(A528="","",IF(OR(AND(K528&lt;&gt;"",LOWER(K528)&lt;&gt;"não consta"),AND(L528&lt;&gt;"",LOWER(L528)&lt;&gt;"não consta"),IFERROR(INDEX(Empresas!$G:$G,MATCH(A528,Empresas!$A:$A,0))&amp;"","")&lt;&gt;""),"SIM",""))</f>
        <v/>
      </c>
      <c r="N528" s="5"/>
      <c r="O528" s="32" t="str">
        <f aca="false">IF(D528="","",YEAR(D528))</f>
        <v/>
      </c>
      <c r="P528" s="5"/>
    </row>
    <row r="529" customFormat="false" ht="15" hidden="false" customHeight="false" outlineLevel="0" collapsed="false">
      <c r="A529" s="27"/>
      <c r="B529" s="5"/>
      <c r="C529" s="35"/>
      <c r="D529" s="18"/>
      <c r="E529" s="5"/>
      <c r="F529" s="14"/>
      <c r="G529" s="5"/>
      <c r="H529" s="27"/>
      <c r="I529" s="5"/>
      <c r="J529" s="19" t="str">
        <f aca="false">IF(A529="","",IFERROR(INDEX(Empresas!$D:$D,MATCH(A529,Empresas!$A:$A,0))&amp;"","não consta"))</f>
        <v/>
      </c>
      <c r="K529" s="19" t="str">
        <f aca="false">IF(A529="","",IFERROR(INDEX(Sancoes!$B:$B,MATCH(A529,Sancoes!$A:$A,0))&amp;"","não consta"))</f>
        <v/>
      </c>
      <c r="L529" s="19" t="str">
        <f aca="false">IF(A529="","",IFERROR(INDEX(Eleitoral!$B:$B,MATCH(A529,Eleitoral!$A:$A,0))&amp;"","não consta"))</f>
        <v/>
      </c>
      <c r="M529" s="28" t="str">
        <f aca="false">IF(A529="","",IF(OR(AND(K529&lt;&gt;"",LOWER(K529)&lt;&gt;"não consta"),AND(L529&lt;&gt;"",LOWER(L529)&lt;&gt;"não consta"),IFERROR(INDEX(Empresas!$G:$G,MATCH(A529,Empresas!$A:$A,0))&amp;"","")&lt;&gt;""),"SIM",""))</f>
        <v/>
      </c>
      <c r="N529" s="5"/>
      <c r="O529" s="32" t="str">
        <f aca="false">IF(D529="","",YEAR(D529))</f>
        <v/>
      </c>
      <c r="P529" s="5"/>
    </row>
    <row r="530" customFormat="false" ht="15" hidden="false" customHeight="false" outlineLevel="0" collapsed="false">
      <c r="A530" s="27"/>
      <c r="B530" s="5"/>
      <c r="C530" s="35"/>
      <c r="D530" s="18"/>
      <c r="E530" s="5"/>
      <c r="F530" s="14"/>
      <c r="G530" s="5"/>
      <c r="H530" s="27"/>
      <c r="I530" s="5"/>
      <c r="J530" s="19" t="str">
        <f aca="false">IF(A530="","",IFERROR(INDEX(Empresas!$D:$D,MATCH(A530,Empresas!$A:$A,0))&amp;"","não consta"))</f>
        <v/>
      </c>
      <c r="K530" s="19" t="str">
        <f aca="false">IF(A530="","",IFERROR(INDEX(Sancoes!$B:$B,MATCH(A530,Sancoes!$A:$A,0))&amp;"","não consta"))</f>
        <v/>
      </c>
      <c r="L530" s="19" t="str">
        <f aca="false">IF(A530="","",IFERROR(INDEX(Eleitoral!$B:$B,MATCH(A530,Eleitoral!$A:$A,0))&amp;"","não consta"))</f>
        <v/>
      </c>
      <c r="M530" s="28" t="str">
        <f aca="false">IF(A530="","",IF(OR(AND(K530&lt;&gt;"",LOWER(K530)&lt;&gt;"não consta"),AND(L530&lt;&gt;"",LOWER(L530)&lt;&gt;"não consta"),IFERROR(INDEX(Empresas!$G:$G,MATCH(A530,Empresas!$A:$A,0))&amp;"","")&lt;&gt;""),"SIM",""))</f>
        <v/>
      </c>
      <c r="N530" s="5"/>
      <c r="O530" s="32" t="str">
        <f aca="false">IF(D530="","",YEAR(D530))</f>
        <v/>
      </c>
      <c r="P530" s="5"/>
    </row>
    <row r="531" customFormat="false" ht="15" hidden="false" customHeight="false" outlineLevel="0" collapsed="false">
      <c r="A531" s="27"/>
      <c r="B531" s="5"/>
      <c r="C531" s="35"/>
      <c r="D531" s="18"/>
      <c r="E531" s="5"/>
      <c r="F531" s="14"/>
      <c r="G531" s="5"/>
      <c r="H531" s="27"/>
      <c r="I531" s="5"/>
      <c r="J531" s="19" t="str">
        <f aca="false">IF(A531="","",IFERROR(INDEX(Empresas!$D:$D,MATCH(A531,Empresas!$A:$A,0))&amp;"","não consta"))</f>
        <v/>
      </c>
      <c r="K531" s="19" t="str">
        <f aca="false">IF(A531="","",IFERROR(INDEX(Sancoes!$B:$B,MATCH(A531,Sancoes!$A:$A,0))&amp;"","não consta"))</f>
        <v/>
      </c>
      <c r="L531" s="19" t="str">
        <f aca="false">IF(A531="","",IFERROR(INDEX(Eleitoral!$B:$B,MATCH(A531,Eleitoral!$A:$A,0))&amp;"","não consta"))</f>
        <v/>
      </c>
      <c r="M531" s="28" t="str">
        <f aca="false">IF(A531="","",IF(OR(AND(K531&lt;&gt;"",LOWER(K531)&lt;&gt;"não consta"),AND(L531&lt;&gt;"",LOWER(L531)&lt;&gt;"não consta"),IFERROR(INDEX(Empresas!$G:$G,MATCH(A531,Empresas!$A:$A,0))&amp;"","")&lt;&gt;""),"SIM",""))</f>
        <v/>
      </c>
      <c r="N531" s="5"/>
      <c r="O531" s="32" t="str">
        <f aca="false">IF(D531="","",YEAR(D531))</f>
        <v/>
      </c>
      <c r="P531" s="5"/>
    </row>
    <row r="532" customFormat="false" ht="15" hidden="false" customHeight="false" outlineLevel="0" collapsed="false">
      <c r="A532" s="27"/>
      <c r="B532" s="5"/>
      <c r="C532" s="35"/>
      <c r="D532" s="18"/>
      <c r="E532" s="5"/>
      <c r="F532" s="14"/>
      <c r="G532" s="5"/>
      <c r="H532" s="27"/>
      <c r="I532" s="5"/>
      <c r="J532" s="19" t="str">
        <f aca="false">IF(A532="","",IFERROR(INDEX(Empresas!$D:$D,MATCH(A532,Empresas!$A:$A,0))&amp;"","não consta"))</f>
        <v/>
      </c>
      <c r="K532" s="19" t="str">
        <f aca="false">IF(A532="","",IFERROR(INDEX(Sancoes!$B:$B,MATCH(A532,Sancoes!$A:$A,0))&amp;"","não consta"))</f>
        <v/>
      </c>
      <c r="L532" s="19" t="str">
        <f aca="false">IF(A532="","",IFERROR(INDEX(Eleitoral!$B:$B,MATCH(A532,Eleitoral!$A:$A,0))&amp;"","não consta"))</f>
        <v/>
      </c>
      <c r="M532" s="28" t="str">
        <f aca="false">IF(A532="","",IF(OR(AND(K532&lt;&gt;"",LOWER(K532)&lt;&gt;"não consta"),AND(L532&lt;&gt;"",LOWER(L532)&lt;&gt;"não consta"),IFERROR(INDEX(Empresas!$G:$G,MATCH(A532,Empresas!$A:$A,0))&amp;"","")&lt;&gt;""),"SIM",""))</f>
        <v/>
      </c>
      <c r="N532" s="5"/>
      <c r="O532" s="32" t="str">
        <f aca="false">IF(D532="","",YEAR(D532))</f>
        <v/>
      </c>
      <c r="P532" s="5"/>
    </row>
    <row r="533" customFormat="false" ht="15" hidden="false" customHeight="false" outlineLevel="0" collapsed="false">
      <c r="A533" s="27"/>
      <c r="B533" s="5"/>
      <c r="C533" s="35"/>
      <c r="D533" s="18"/>
      <c r="E533" s="5"/>
      <c r="F533" s="14"/>
      <c r="G533" s="5"/>
      <c r="H533" s="27"/>
      <c r="I533" s="5"/>
      <c r="J533" s="19" t="str">
        <f aca="false">IF(A533="","",IFERROR(INDEX(Empresas!$D:$D,MATCH(A533,Empresas!$A:$A,0))&amp;"","não consta"))</f>
        <v/>
      </c>
      <c r="K533" s="19" t="str">
        <f aca="false">IF(A533="","",IFERROR(INDEX(Sancoes!$B:$B,MATCH(A533,Sancoes!$A:$A,0))&amp;"","não consta"))</f>
        <v/>
      </c>
      <c r="L533" s="19" t="str">
        <f aca="false">IF(A533="","",IFERROR(INDEX(Eleitoral!$B:$B,MATCH(A533,Eleitoral!$A:$A,0))&amp;"","não consta"))</f>
        <v/>
      </c>
      <c r="M533" s="28" t="str">
        <f aca="false">IF(A533="","",IF(OR(AND(K533&lt;&gt;"",LOWER(K533)&lt;&gt;"não consta"),AND(L533&lt;&gt;"",LOWER(L533)&lt;&gt;"não consta"),IFERROR(INDEX(Empresas!$G:$G,MATCH(A533,Empresas!$A:$A,0))&amp;"","")&lt;&gt;""),"SIM",""))</f>
        <v/>
      </c>
      <c r="N533" s="5"/>
      <c r="O533" s="32" t="str">
        <f aca="false">IF(D533="","",YEAR(D533))</f>
        <v/>
      </c>
      <c r="P533" s="5"/>
    </row>
    <row r="534" customFormat="false" ht="15" hidden="false" customHeight="false" outlineLevel="0" collapsed="false">
      <c r="A534" s="27"/>
      <c r="B534" s="5"/>
      <c r="C534" s="35"/>
      <c r="D534" s="18"/>
      <c r="E534" s="5"/>
      <c r="F534" s="14"/>
      <c r="G534" s="5"/>
      <c r="H534" s="27"/>
      <c r="I534" s="5"/>
      <c r="J534" s="19" t="str">
        <f aca="false">IF(A534="","",IFERROR(INDEX(Empresas!$D:$D,MATCH(A534,Empresas!$A:$A,0))&amp;"","não consta"))</f>
        <v/>
      </c>
      <c r="K534" s="19" t="str">
        <f aca="false">IF(A534="","",IFERROR(INDEX(Sancoes!$B:$B,MATCH(A534,Sancoes!$A:$A,0))&amp;"","não consta"))</f>
        <v/>
      </c>
      <c r="L534" s="19" t="str">
        <f aca="false">IF(A534="","",IFERROR(INDEX(Eleitoral!$B:$B,MATCH(A534,Eleitoral!$A:$A,0))&amp;"","não consta"))</f>
        <v/>
      </c>
      <c r="M534" s="28" t="str">
        <f aca="false">IF(A534="","",IF(OR(AND(K534&lt;&gt;"",LOWER(K534)&lt;&gt;"não consta"),AND(L534&lt;&gt;"",LOWER(L534)&lt;&gt;"não consta"),IFERROR(INDEX(Empresas!$G:$G,MATCH(A534,Empresas!$A:$A,0))&amp;"","")&lt;&gt;""),"SIM",""))</f>
        <v/>
      </c>
      <c r="N534" s="5"/>
      <c r="O534" s="32" t="str">
        <f aca="false">IF(D534="","",YEAR(D534))</f>
        <v/>
      </c>
      <c r="P534" s="5"/>
    </row>
    <row r="535" customFormat="false" ht="15" hidden="false" customHeight="false" outlineLevel="0" collapsed="false">
      <c r="A535" s="27"/>
      <c r="B535" s="5"/>
      <c r="C535" s="35"/>
      <c r="D535" s="18"/>
      <c r="E535" s="5"/>
      <c r="F535" s="14"/>
      <c r="G535" s="5"/>
      <c r="H535" s="27"/>
      <c r="I535" s="5"/>
      <c r="J535" s="19" t="str">
        <f aca="false">IF(A535="","",IFERROR(INDEX(Empresas!$D:$D,MATCH(A535,Empresas!$A:$A,0))&amp;"","não consta"))</f>
        <v/>
      </c>
      <c r="K535" s="19" t="str">
        <f aca="false">IF(A535="","",IFERROR(INDEX(Sancoes!$B:$B,MATCH(A535,Sancoes!$A:$A,0))&amp;"","não consta"))</f>
        <v/>
      </c>
      <c r="L535" s="19" t="str">
        <f aca="false">IF(A535="","",IFERROR(INDEX(Eleitoral!$B:$B,MATCH(A535,Eleitoral!$A:$A,0))&amp;"","não consta"))</f>
        <v/>
      </c>
      <c r="M535" s="28" t="str">
        <f aca="false">IF(A535="","",IF(OR(AND(K535&lt;&gt;"",LOWER(K535)&lt;&gt;"não consta"),AND(L535&lt;&gt;"",LOWER(L535)&lt;&gt;"não consta"),IFERROR(INDEX(Empresas!$G:$G,MATCH(A535,Empresas!$A:$A,0))&amp;"","")&lt;&gt;""),"SIM",""))</f>
        <v/>
      </c>
      <c r="N535" s="5"/>
      <c r="O535" s="32" t="str">
        <f aca="false">IF(D535="","",YEAR(D535))</f>
        <v/>
      </c>
      <c r="P535" s="5"/>
    </row>
    <row r="536" customFormat="false" ht="15" hidden="false" customHeight="false" outlineLevel="0" collapsed="false">
      <c r="A536" s="27"/>
      <c r="B536" s="5"/>
      <c r="C536" s="35"/>
      <c r="D536" s="18"/>
      <c r="E536" s="5"/>
      <c r="F536" s="14"/>
      <c r="G536" s="5"/>
      <c r="H536" s="27"/>
      <c r="I536" s="5"/>
      <c r="J536" s="19" t="str">
        <f aca="false">IF(A536="","",IFERROR(INDEX(Empresas!$D:$D,MATCH(A536,Empresas!$A:$A,0))&amp;"","não consta"))</f>
        <v/>
      </c>
      <c r="K536" s="19" t="str">
        <f aca="false">IF(A536="","",IFERROR(INDEX(Sancoes!$B:$B,MATCH(A536,Sancoes!$A:$A,0))&amp;"","não consta"))</f>
        <v/>
      </c>
      <c r="L536" s="19" t="str">
        <f aca="false">IF(A536="","",IFERROR(INDEX(Eleitoral!$B:$B,MATCH(A536,Eleitoral!$A:$A,0))&amp;"","não consta"))</f>
        <v/>
      </c>
      <c r="M536" s="28" t="str">
        <f aca="false">IF(A536="","",IF(OR(AND(K536&lt;&gt;"",LOWER(K536)&lt;&gt;"não consta"),AND(L536&lt;&gt;"",LOWER(L536)&lt;&gt;"não consta"),IFERROR(INDEX(Empresas!$G:$G,MATCH(A536,Empresas!$A:$A,0))&amp;"","")&lt;&gt;""),"SIM",""))</f>
        <v/>
      </c>
      <c r="N536" s="5"/>
      <c r="O536" s="32" t="str">
        <f aca="false">IF(D536="","",YEAR(D536))</f>
        <v/>
      </c>
      <c r="P536" s="5"/>
    </row>
    <row r="537" customFormat="false" ht="15" hidden="false" customHeight="false" outlineLevel="0" collapsed="false">
      <c r="A537" s="27"/>
      <c r="B537" s="5"/>
      <c r="C537" s="35"/>
      <c r="D537" s="18"/>
      <c r="E537" s="5"/>
      <c r="F537" s="14"/>
      <c r="G537" s="5"/>
      <c r="H537" s="27"/>
      <c r="I537" s="5"/>
      <c r="J537" s="19" t="str">
        <f aca="false">IF(A537="","",IFERROR(INDEX(Empresas!$D:$D,MATCH(A537,Empresas!$A:$A,0))&amp;"","não consta"))</f>
        <v/>
      </c>
      <c r="K537" s="19" t="str">
        <f aca="false">IF(A537="","",IFERROR(INDEX(Sancoes!$B:$B,MATCH(A537,Sancoes!$A:$A,0))&amp;"","não consta"))</f>
        <v/>
      </c>
      <c r="L537" s="19" t="str">
        <f aca="false">IF(A537="","",IFERROR(INDEX(Eleitoral!$B:$B,MATCH(A537,Eleitoral!$A:$A,0))&amp;"","não consta"))</f>
        <v/>
      </c>
      <c r="M537" s="28" t="str">
        <f aca="false">IF(A537="","",IF(OR(AND(K537&lt;&gt;"",LOWER(K537)&lt;&gt;"não consta"),AND(L537&lt;&gt;"",LOWER(L537)&lt;&gt;"não consta"),IFERROR(INDEX(Empresas!$G:$G,MATCH(A537,Empresas!$A:$A,0))&amp;"","")&lt;&gt;""),"SIM",""))</f>
        <v/>
      </c>
      <c r="N537" s="5"/>
      <c r="O537" s="32" t="str">
        <f aca="false">IF(D537="","",YEAR(D537))</f>
        <v/>
      </c>
      <c r="P537" s="5"/>
    </row>
    <row r="538" customFormat="false" ht="15" hidden="false" customHeight="false" outlineLevel="0" collapsed="false">
      <c r="A538" s="27"/>
      <c r="B538" s="5"/>
      <c r="C538" s="35"/>
      <c r="D538" s="18"/>
      <c r="E538" s="5"/>
      <c r="F538" s="14"/>
      <c r="G538" s="5"/>
      <c r="H538" s="27"/>
      <c r="I538" s="5"/>
      <c r="J538" s="19" t="str">
        <f aca="false">IF(A538="","",IFERROR(INDEX(Empresas!$D:$D,MATCH(A538,Empresas!$A:$A,0))&amp;"","não consta"))</f>
        <v/>
      </c>
      <c r="K538" s="19" t="str">
        <f aca="false">IF(A538="","",IFERROR(INDEX(Sancoes!$B:$B,MATCH(A538,Sancoes!$A:$A,0))&amp;"","não consta"))</f>
        <v/>
      </c>
      <c r="L538" s="19" t="str">
        <f aca="false">IF(A538="","",IFERROR(INDEX(Eleitoral!$B:$B,MATCH(A538,Eleitoral!$A:$A,0))&amp;"","não consta"))</f>
        <v/>
      </c>
      <c r="M538" s="28" t="str">
        <f aca="false">IF(A538="","",IF(OR(AND(K538&lt;&gt;"",LOWER(K538)&lt;&gt;"não consta"),AND(L538&lt;&gt;"",LOWER(L538)&lt;&gt;"não consta"),IFERROR(INDEX(Empresas!$G:$G,MATCH(A538,Empresas!$A:$A,0))&amp;"","")&lt;&gt;""),"SIM",""))</f>
        <v/>
      </c>
      <c r="N538" s="5"/>
      <c r="O538" s="32" t="str">
        <f aca="false">IF(D538="","",YEAR(D538))</f>
        <v/>
      </c>
      <c r="P538" s="5"/>
    </row>
    <row r="539" customFormat="false" ht="15" hidden="false" customHeight="false" outlineLevel="0" collapsed="false">
      <c r="A539" s="27"/>
      <c r="B539" s="5"/>
      <c r="C539" s="35"/>
      <c r="D539" s="18"/>
      <c r="E539" s="5"/>
      <c r="F539" s="14"/>
      <c r="G539" s="5"/>
      <c r="H539" s="27"/>
      <c r="I539" s="5"/>
      <c r="J539" s="19" t="str">
        <f aca="false">IF(A539="","",IFERROR(INDEX(Empresas!$D:$D,MATCH(A539,Empresas!$A:$A,0))&amp;"","não consta"))</f>
        <v/>
      </c>
      <c r="K539" s="19" t="str">
        <f aca="false">IF(A539="","",IFERROR(INDEX(Sancoes!$B:$B,MATCH(A539,Sancoes!$A:$A,0))&amp;"","não consta"))</f>
        <v/>
      </c>
      <c r="L539" s="19" t="str">
        <f aca="false">IF(A539="","",IFERROR(INDEX(Eleitoral!$B:$B,MATCH(A539,Eleitoral!$A:$A,0))&amp;"","não consta"))</f>
        <v/>
      </c>
      <c r="M539" s="28" t="str">
        <f aca="false">IF(A539="","",IF(OR(AND(K539&lt;&gt;"",LOWER(K539)&lt;&gt;"não consta"),AND(L539&lt;&gt;"",LOWER(L539)&lt;&gt;"não consta"),IFERROR(INDEX(Empresas!$G:$G,MATCH(A539,Empresas!$A:$A,0))&amp;"","")&lt;&gt;""),"SIM",""))</f>
        <v/>
      </c>
      <c r="N539" s="5"/>
      <c r="O539" s="32" t="str">
        <f aca="false">IF(D539="","",YEAR(D539))</f>
        <v/>
      </c>
      <c r="P539" s="5"/>
    </row>
    <row r="540" customFormat="false" ht="15" hidden="false" customHeight="false" outlineLevel="0" collapsed="false">
      <c r="A540" s="27"/>
      <c r="B540" s="5"/>
      <c r="C540" s="35"/>
      <c r="D540" s="18"/>
      <c r="E540" s="5"/>
      <c r="F540" s="14"/>
      <c r="G540" s="5"/>
      <c r="H540" s="27"/>
      <c r="I540" s="5"/>
      <c r="J540" s="19" t="str">
        <f aca="false">IF(A540="","",IFERROR(INDEX(Empresas!$D:$D,MATCH(A540,Empresas!$A:$A,0))&amp;"","não consta"))</f>
        <v/>
      </c>
      <c r="K540" s="19" t="str">
        <f aca="false">IF(A540="","",IFERROR(INDEX(Sancoes!$B:$B,MATCH(A540,Sancoes!$A:$A,0))&amp;"","não consta"))</f>
        <v/>
      </c>
      <c r="L540" s="19" t="str">
        <f aca="false">IF(A540="","",IFERROR(INDEX(Eleitoral!$B:$B,MATCH(A540,Eleitoral!$A:$A,0))&amp;"","não consta"))</f>
        <v/>
      </c>
      <c r="M540" s="28" t="str">
        <f aca="false">IF(A540="","",IF(OR(AND(K540&lt;&gt;"",LOWER(K540)&lt;&gt;"não consta"),AND(L540&lt;&gt;"",LOWER(L540)&lt;&gt;"não consta"),IFERROR(INDEX(Empresas!$G:$G,MATCH(A540,Empresas!$A:$A,0))&amp;"","")&lt;&gt;""),"SIM",""))</f>
        <v/>
      </c>
      <c r="N540" s="5"/>
      <c r="O540" s="32" t="str">
        <f aca="false">IF(D540="","",YEAR(D540))</f>
        <v/>
      </c>
      <c r="P540" s="5"/>
    </row>
    <row r="541" customFormat="false" ht="15" hidden="false" customHeight="false" outlineLevel="0" collapsed="false">
      <c r="A541" s="27"/>
      <c r="B541" s="5"/>
      <c r="C541" s="35"/>
      <c r="D541" s="18"/>
      <c r="E541" s="5"/>
      <c r="F541" s="14"/>
      <c r="G541" s="5"/>
      <c r="H541" s="27"/>
      <c r="I541" s="5"/>
      <c r="J541" s="19" t="str">
        <f aca="false">IF(A541="","",IFERROR(INDEX(Empresas!$D:$D,MATCH(A541,Empresas!$A:$A,0))&amp;"","não consta"))</f>
        <v/>
      </c>
      <c r="K541" s="19" t="str">
        <f aca="false">IF(A541="","",IFERROR(INDEX(Sancoes!$B:$B,MATCH(A541,Sancoes!$A:$A,0))&amp;"","não consta"))</f>
        <v/>
      </c>
      <c r="L541" s="19" t="str">
        <f aca="false">IF(A541="","",IFERROR(INDEX(Eleitoral!$B:$B,MATCH(A541,Eleitoral!$A:$A,0))&amp;"","não consta"))</f>
        <v/>
      </c>
      <c r="M541" s="28" t="str">
        <f aca="false">IF(A541="","",IF(OR(AND(K541&lt;&gt;"",LOWER(K541)&lt;&gt;"não consta"),AND(L541&lt;&gt;"",LOWER(L541)&lt;&gt;"não consta"),IFERROR(INDEX(Empresas!$G:$G,MATCH(A541,Empresas!$A:$A,0))&amp;"","")&lt;&gt;""),"SIM",""))</f>
        <v/>
      </c>
      <c r="N541" s="5"/>
      <c r="O541" s="32" t="str">
        <f aca="false">IF(D541="","",YEAR(D541))</f>
        <v/>
      </c>
      <c r="P541" s="5"/>
    </row>
    <row r="542" customFormat="false" ht="15" hidden="false" customHeight="false" outlineLevel="0" collapsed="false">
      <c r="A542" s="27"/>
      <c r="B542" s="5"/>
      <c r="C542" s="35"/>
      <c r="D542" s="18"/>
      <c r="E542" s="5"/>
      <c r="F542" s="14"/>
      <c r="G542" s="5"/>
      <c r="H542" s="27"/>
      <c r="I542" s="5"/>
      <c r="J542" s="19" t="str">
        <f aca="false">IF(A542="","",IFERROR(INDEX(Empresas!$D:$D,MATCH(A542,Empresas!$A:$A,0))&amp;"","não consta"))</f>
        <v/>
      </c>
      <c r="K542" s="19" t="str">
        <f aca="false">IF(A542="","",IFERROR(INDEX(Sancoes!$B:$B,MATCH(A542,Sancoes!$A:$A,0))&amp;"","não consta"))</f>
        <v/>
      </c>
      <c r="L542" s="19" t="str">
        <f aca="false">IF(A542="","",IFERROR(INDEX(Eleitoral!$B:$B,MATCH(A542,Eleitoral!$A:$A,0))&amp;"","não consta"))</f>
        <v/>
      </c>
      <c r="M542" s="28" t="str">
        <f aca="false">IF(A542="","",IF(OR(AND(K542&lt;&gt;"",LOWER(K542)&lt;&gt;"não consta"),AND(L542&lt;&gt;"",LOWER(L542)&lt;&gt;"não consta"),IFERROR(INDEX(Empresas!$G:$G,MATCH(A542,Empresas!$A:$A,0))&amp;"","")&lt;&gt;""),"SIM",""))</f>
        <v/>
      </c>
      <c r="N542" s="5"/>
      <c r="O542" s="32" t="str">
        <f aca="false">IF(D542="","",YEAR(D542))</f>
        <v/>
      </c>
      <c r="P542" s="5"/>
    </row>
    <row r="543" customFormat="false" ht="15" hidden="false" customHeight="false" outlineLevel="0" collapsed="false">
      <c r="A543" s="27"/>
      <c r="B543" s="5"/>
      <c r="C543" s="35"/>
      <c r="D543" s="18"/>
      <c r="E543" s="5"/>
      <c r="F543" s="14"/>
      <c r="G543" s="5"/>
      <c r="H543" s="27"/>
      <c r="I543" s="5"/>
      <c r="J543" s="19" t="str">
        <f aca="false">IF(A543="","",IFERROR(INDEX(Empresas!$D:$D,MATCH(A543,Empresas!$A:$A,0))&amp;"","não consta"))</f>
        <v/>
      </c>
      <c r="K543" s="19" t="str">
        <f aca="false">IF(A543="","",IFERROR(INDEX(Sancoes!$B:$B,MATCH(A543,Sancoes!$A:$A,0))&amp;"","não consta"))</f>
        <v/>
      </c>
      <c r="L543" s="19" t="str">
        <f aca="false">IF(A543="","",IFERROR(INDEX(Eleitoral!$B:$B,MATCH(A543,Eleitoral!$A:$A,0))&amp;"","não consta"))</f>
        <v/>
      </c>
      <c r="M543" s="28" t="str">
        <f aca="false">IF(A543="","",IF(OR(AND(K543&lt;&gt;"",LOWER(K543)&lt;&gt;"não consta"),AND(L543&lt;&gt;"",LOWER(L543)&lt;&gt;"não consta"),IFERROR(INDEX(Empresas!$G:$G,MATCH(A543,Empresas!$A:$A,0))&amp;"","")&lt;&gt;""),"SIM",""))</f>
        <v/>
      </c>
      <c r="N543" s="5"/>
      <c r="O543" s="32" t="str">
        <f aca="false">IF(D543="","",YEAR(D543))</f>
        <v/>
      </c>
      <c r="P543" s="5"/>
    </row>
    <row r="544" customFormat="false" ht="15" hidden="false" customHeight="false" outlineLevel="0" collapsed="false">
      <c r="A544" s="27"/>
      <c r="B544" s="5"/>
      <c r="C544" s="35"/>
      <c r="D544" s="18"/>
      <c r="E544" s="5"/>
      <c r="F544" s="14"/>
      <c r="G544" s="5"/>
      <c r="H544" s="27"/>
      <c r="I544" s="5"/>
      <c r="J544" s="19" t="str">
        <f aca="false">IF(A544="","",IFERROR(INDEX(Empresas!$D:$D,MATCH(A544,Empresas!$A:$A,0))&amp;"","não consta"))</f>
        <v/>
      </c>
      <c r="K544" s="19" t="str">
        <f aca="false">IF(A544="","",IFERROR(INDEX(Sancoes!$B:$B,MATCH(A544,Sancoes!$A:$A,0))&amp;"","não consta"))</f>
        <v/>
      </c>
      <c r="L544" s="19" t="str">
        <f aca="false">IF(A544="","",IFERROR(INDEX(Eleitoral!$B:$B,MATCH(A544,Eleitoral!$A:$A,0))&amp;"","não consta"))</f>
        <v/>
      </c>
      <c r="M544" s="28" t="str">
        <f aca="false">IF(A544="","",IF(OR(AND(K544&lt;&gt;"",LOWER(K544)&lt;&gt;"não consta"),AND(L544&lt;&gt;"",LOWER(L544)&lt;&gt;"não consta"),IFERROR(INDEX(Empresas!$G:$G,MATCH(A544,Empresas!$A:$A,0))&amp;"","")&lt;&gt;""),"SIM",""))</f>
        <v/>
      </c>
      <c r="N544" s="5"/>
      <c r="O544" s="32" t="str">
        <f aca="false">IF(D544="","",YEAR(D544))</f>
        <v/>
      </c>
      <c r="P544" s="5"/>
    </row>
    <row r="545" customFormat="false" ht="15" hidden="false" customHeight="false" outlineLevel="0" collapsed="false">
      <c r="A545" s="27"/>
      <c r="B545" s="5"/>
      <c r="C545" s="35"/>
      <c r="D545" s="18"/>
      <c r="E545" s="5"/>
      <c r="F545" s="14"/>
      <c r="G545" s="5"/>
      <c r="H545" s="27"/>
      <c r="I545" s="5"/>
      <c r="J545" s="19" t="str">
        <f aca="false">IF(A545="","",IFERROR(INDEX(Empresas!$D:$D,MATCH(A545,Empresas!$A:$A,0))&amp;"","não consta"))</f>
        <v/>
      </c>
      <c r="K545" s="19" t="str">
        <f aca="false">IF(A545="","",IFERROR(INDEX(Sancoes!$B:$B,MATCH(A545,Sancoes!$A:$A,0))&amp;"","não consta"))</f>
        <v/>
      </c>
      <c r="L545" s="19" t="str">
        <f aca="false">IF(A545="","",IFERROR(INDEX(Eleitoral!$B:$B,MATCH(A545,Eleitoral!$A:$A,0))&amp;"","não consta"))</f>
        <v/>
      </c>
      <c r="M545" s="28" t="str">
        <f aca="false">IF(A545="","",IF(OR(AND(K545&lt;&gt;"",LOWER(K545)&lt;&gt;"não consta"),AND(L545&lt;&gt;"",LOWER(L545)&lt;&gt;"não consta"),IFERROR(INDEX(Empresas!$G:$G,MATCH(A545,Empresas!$A:$A,0))&amp;"","")&lt;&gt;""),"SIM",""))</f>
        <v/>
      </c>
      <c r="N545" s="5"/>
      <c r="O545" s="32" t="str">
        <f aca="false">IF(D545="","",YEAR(D545))</f>
        <v/>
      </c>
      <c r="P545" s="5"/>
    </row>
    <row r="546" customFormat="false" ht="15" hidden="false" customHeight="false" outlineLevel="0" collapsed="false">
      <c r="A546" s="27"/>
      <c r="B546" s="5"/>
      <c r="C546" s="35"/>
      <c r="D546" s="18"/>
      <c r="E546" s="5"/>
      <c r="F546" s="14"/>
      <c r="G546" s="5"/>
      <c r="H546" s="27"/>
      <c r="I546" s="5"/>
      <c r="J546" s="19" t="str">
        <f aca="false">IF(A546="","",IFERROR(INDEX(Empresas!$D:$D,MATCH(A546,Empresas!$A:$A,0))&amp;"","não consta"))</f>
        <v/>
      </c>
      <c r="K546" s="19" t="str">
        <f aca="false">IF(A546="","",IFERROR(INDEX(Sancoes!$B:$B,MATCH(A546,Sancoes!$A:$A,0))&amp;"","não consta"))</f>
        <v/>
      </c>
      <c r="L546" s="19" t="str">
        <f aca="false">IF(A546="","",IFERROR(INDEX(Eleitoral!$B:$B,MATCH(A546,Eleitoral!$A:$A,0))&amp;"","não consta"))</f>
        <v/>
      </c>
      <c r="M546" s="28" t="str">
        <f aca="false">IF(A546="","",IF(OR(AND(K546&lt;&gt;"",LOWER(K546)&lt;&gt;"não consta"),AND(L546&lt;&gt;"",LOWER(L546)&lt;&gt;"não consta"),IFERROR(INDEX(Empresas!$G:$G,MATCH(A546,Empresas!$A:$A,0))&amp;"","")&lt;&gt;""),"SIM",""))</f>
        <v/>
      </c>
      <c r="N546" s="5"/>
      <c r="O546" s="32" t="str">
        <f aca="false">IF(D546="","",YEAR(D546))</f>
        <v/>
      </c>
      <c r="P546" s="5"/>
    </row>
    <row r="547" customFormat="false" ht="15" hidden="false" customHeight="false" outlineLevel="0" collapsed="false">
      <c r="A547" s="27"/>
      <c r="B547" s="5"/>
      <c r="C547" s="35"/>
      <c r="D547" s="18"/>
      <c r="E547" s="5"/>
      <c r="F547" s="14"/>
      <c r="G547" s="5"/>
      <c r="H547" s="27"/>
      <c r="I547" s="5"/>
      <c r="J547" s="19" t="str">
        <f aca="false">IF(A547="","",IFERROR(INDEX(Empresas!$D:$D,MATCH(A547,Empresas!$A:$A,0))&amp;"","não consta"))</f>
        <v/>
      </c>
      <c r="K547" s="19" t="str">
        <f aca="false">IF(A547="","",IFERROR(INDEX(Sancoes!$B:$B,MATCH(A547,Sancoes!$A:$A,0))&amp;"","não consta"))</f>
        <v/>
      </c>
      <c r="L547" s="19" t="str">
        <f aca="false">IF(A547="","",IFERROR(INDEX(Eleitoral!$B:$B,MATCH(A547,Eleitoral!$A:$A,0))&amp;"","não consta"))</f>
        <v/>
      </c>
      <c r="M547" s="28" t="str">
        <f aca="false">IF(A547="","",IF(OR(AND(K547&lt;&gt;"",LOWER(K547)&lt;&gt;"não consta"),AND(L547&lt;&gt;"",LOWER(L547)&lt;&gt;"não consta"),IFERROR(INDEX(Empresas!$G:$G,MATCH(A547,Empresas!$A:$A,0))&amp;"","")&lt;&gt;""),"SIM",""))</f>
        <v/>
      </c>
      <c r="N547" s="5"/>
      <c r="O547" s="32" t="str">
        <f aca="false">IF(D547="","",YEAR(D547))</f>
        <v/>
      </c>
      <c r="P547" s="5"/>
    </row>
    <row r="548" customFormat="false" ht="15" hidden="false" customHeight="false" outlineLevel="0" collapsed="false">
      <c r="A548" s="27"/>
      <c r="B548" s="5"/>
      <c r="C548" s="35"/>
      <c r="D548" s="18"/>
      <c r="E548" s="5"/>
      <c r="F548" s="14"/>
      <c r="G548" s="5"/>
      <c r="H548" s="27"/>
      <c r="I548" s="5"/>
      <c r="J548" s="19" t="str">
        <f aca="false">IF(A548="","",IFERROR(INDEX(Empresas!$D:$D,MATCH(A548,Empresas!$A:$A,0))&amp;"","não consta"))</f>
        <v/>
      </c>
      <c r="K548" s="19" t="str">
        <f aca="false">IF(A548="","",IFERROR(INDEX(Sancoes!$B:$B,MATCH(A548,Sancoes!$A:$A,0))&amp;"","não consta"))</f>
        <v/>
      </c>
      <c r="L548" s="19" t="str">
        <f aca="false">IF(A548="","",IFERROR(INDEX(Eleitoral!$B:$B,MATCH(A548,Eleitoral!$A:$A,0))&amp;"","não consta"))</f>
        <v/>
      </c>
      <c r="M548" s="28" t="str">
        <f aca="false">IF(A548="","",IF(OR(AND(K548&lt;&gt;"",LOWER(K548)&lt;&gt;"não consta"),AND(L548&lt;&gt;"",LOWER(L548)&lt;&gt;"não consta"),IFERROR(INDEX(Empresas!$G:$G,MATCH(A548,Empresas!$A:$A,0))&amp;"","")&lt;&gt;""),"SIM",""))</f>
        <v/>
      </c>
      <c r="N548" s="5"/>
      <c r="O548" s="32" t="str">
        <f aca="false">IF(D548="","",YEAR(D548))</f>
        <v/>
      </c>
      <c r="P548" s="5"/>
    </row>
    <row r="549" customFormat="false" ht="15" hidden="false" customHeight="false" outlineLevel="0" collapsed="false">
      <c r="A549" s="27"/>
      <c r="B549" s="5"/>
      <c r="C549" s="35"/>
      <c r="D549" s="18"/>
      <c r="E549" s="5"/>
      <c r="F549" s="14"/>
      <c r="G549" s="5"/>
      <c r="H549" s="27"/>
      <c r="I549" s="5"/>
      <c r="J549" s="19" t="str">
        <f aca="false">IF(A549="","",IFERROR(INDEX(Empresas!$D:$D,MATCH(A549,Empresas!$A:$A,0))&amp;"","não consta"))</f>
        <v/>
      </c>
      <c r="K549" s="19" t="str">
        <f aca="false">IF(A549="","",IFERROR(INDEX(Sancoes!$B:$B,MATCH(A549,Sancoes!$A:$A,0))&amp;"","não consta"))</f>
        <v/>
      </c>
      <c r="L549" s="19" t="str">
        <f aca="false">IF(A549="","",IFERROR(INDEX(Eleitoral!$B:$B,MATCH(A549,Eleitoral!$A:$A,0))&amp;"","não consta"))</f>
        <v/>
      </c>
      <c r="M549" s="28" t="str">
        <f aca="false">IF(A549="","",IF(OR(AND(K549&lt;&gt;"",LOWER(K549)&lt;&gt;"não consta"),AND(L549&lt;&gt;"",LOWER(L549)&lt;&gt;"não consta"),IFERROR(INDEX(Empresas!$G:$G,MATCH(A549,Empresas!$A:$A,0))&amp;"","")&lt;&gt;""),"SIM",""))</f>
        <v/>
      </c>
      <c r="N549" s="5"/>
      <c r="O549" s="32" t="str">
        <f aca="false">IF(D549="","",YEAR(D549))</f>
        <v/>
      </c>
      <c r="P549" s="5"/>
    </row>
    <row r="550" customFormat="false" ht="15" hidden="false" customHeight="false" outlineLevel="0" collapsed="false">
      <c r="A550" s="27"/>
      <c r="B550" s="5"/>
      <c r="C550" s="35"/>
      <c r="D550" s="18"/>
      <c r="E550" s="5"/>
      <c r="F550" s="14"/>
      <c r="G550" s="5"/>
      <c r="H550" s="27"/>
      <c r="I550" s="5"/>
      <c r="J550" s="19" t="str">
        <f aca="false">IF(A550="","",IFERROR(INDEX(Empresas!$D:$D,MATCH(A550,Empresas!$A:$A,0))&amp;"","não consta"))</f>
        <v/>
      </c>
      <c r="K550" s="19" t="str">
        <f aca="false">IF(A550="","",IFERROR(INDEX(Sancoes!$B:$B,MATCH(A550,Sancoes!$A:$A,0))&amp;"","não consta"))</f>
        <v/>
      </c>
      <c r="L550" s="19" t="str">
        <f aca="false">IF(A550="","",IFERROR(INDEX(Eleitoral!$B:$B,MATCH(A550,Eleitoral!$A:$A,0))&amp;"","não consta"))</f>
        <v/>
      </c>
      <c r="M550" s="28" t="str">
        <f aca="false">IF(A550="","",IF(OR(AND(K550&lt;&gt;"",LOWER(K550)&lt;&gt;"não consta"),AND(L550&lt;&gt;"",LOWER(L550)&lt;&gt;"não consta"),IFERROR(INDEX(Empresas!$G:$G,MATCH(A550,Empresas!$A:$A,0))&amp;"","")&lt;&gt;""),"SIM",""))</f>
        <v/>
      </c>
      <c r="N550" s="5"/>
      <c r="O550" s="32" t="str">
        <f aca="false">IF(D550="","",YEAR(D550))</f>
        <v/>
      </c>
      <c r="P550" s="5"/>
    </row>
    <row r="551" customFormat="false" ht="15" hidden="false" customHeight="false" outlineLevel="0" collapsed="false">
      <c r="A551" s="27"/>
      <c r="B551" s="5"/>
      <c r="C551" s="35"/>
      <c r="D551" s="18"/>
      <c r="E551" s="5"/>
      <c r="F551" s="14"/>
      <c r="G551" s="5"/>
      <c r="H551" s="27"/>
      <c r="I551" s="5"/>
      <c r="J551" s="19" t="str">
        <f aca="false">IF(A551="","",IFERROR(INDEX(Empresas!$D:$D,MATCH(A551,Empresas!$A:$A,0))&amp;"","não consta"))</f>
        <v/>
      </c>
      <c r="K551" s="19" t="str">
        <f aca="false">IF(A551="","",IFERROR(INDEX(Sancoes!$B:$B,MATCH(A551,Sancoes!$A:$A,0))&amp;"","não consta"))</f>
        <v/>
      </c>
      <c r="L551" s="19" t="str">
        <f aca="false">IF(A551="","",IFERROR(INDEX(Eleitoral!$B:$B,MATCH(A551,Eleitoral!$A:$A,0))&amp;"","não consta"))</f>
        <v/>
      </c>
      <c r="M551" s="28" t="str">
        <f aca="false">IF(A551="","",IF(OR(AND(K551&lt;&gt;"",LOWER(K551)&lt;&gt;"não consta"),AND(L551&lt;&gt;"",LOWER(L551)&lt;&gt;"não consta"),IFERROR(INDEX(Empresas!$G:$G,MATCH(A551,Empresas!$A:$A,0))&amp;"","")&lt;&gt;""),"SIM",""))</f>
        <v/>
      </c>
      <c r="N551" s="5"/>
      <c r="O551" s="32" t="str">
        <f aca="false">IF(D551="","",YEAR(D551))</f>
        <v/>
      </c>
      <c r="P551" s="5"/>
    </row>
    <row r="552" customFormat="false" ht="15" hidden="false" customHeight="false" outlineLevel="0" collapsed="false">
      <c r="A552" s="27"/>
      <c r="B552" s="5"/>
      <c r="C552" s="35"/>
      <c r="D552" s="18"/>
      <c r="E552" s="5"/>
      <c r="F552" s="14"/>
      <c r="G552" s="5"/>
      <c r="H552" s="27"/>
      <c r="I552" s="5"/>
      <c r="J552" s="19" t="str">
        <f aca="false">IF(A552="","",IFERROR(INDEX(Empresas!$D:$D,MATCH(A552,Empresas!$A:$A,0))&amp;"","não consta"))</f>
        <v/>
      </c>
      <c r="K552" s="19" t="str">
        <f aca="false">IF(A552="","",IFERROR(INDEX(Sancoes!$B:$B,MATCH(A552,Sancoes!$A:$A,0))&amp;"","não consta"))</f>
        <v/>
      </c>
      <c r="L552" s="19" t="str">
        <f aca="false">IF(A552="","",IFERROR(INDEX(Eleitoral!$B:$B,MATCH(A552,Eleitoral!$A:$A,0))&amp;"","não consta"))</f>
        <v/>
      </c>
      <c r="M552" s="28" t="str">
        <f aca="false">IF(A552="","",IF(OR(AND(K552&lt;&gt;"",LOWER(K552)&lt;&gt;"não consta"),AND(L552&lt;&gt;"",LOWER(L552)&lt;&gt;"não consta"),IFERROR(INDEX(Empresas!$G:$G,MATCH(A552,Empresas!$A:$A,0))&amp;"","")&lt;&gt;""),"SIM",""))</f>
        <v/>
      </c>
      <c r="N552" s="5"/>
      <c r="O552" s="32" t="str">
        <f aca="false">IF(D552="","",YEAR(D552))</f>
        <v/>
      </c>
      <c r="P552" s="5"/>
    </row>
    <row r="553" customFormat="false" ht="15" hidden="false" customHeight="false" outlineLevel="0" collapsed="false">
      <c r="A553" s="27"/>
      <c r="B553" s="5"/>
      <c r="C553" s="35"/>
      <c r="D553" s="18"/>
      <c r="E553" s="5"/>
      <c r="F553" s="14"/>
      <c r="G553" s="5"/>
      <c r="H553" s="27"/>
      <c r="I553" s="5"/>
      <c r="J553" s="19" t="str">
        <f aca="false">IF(A553="","",IFERROR(INDEX(Empresas!$D:$D,MATCH(A553,Empresas!$A:$A,0))&amp;"","não consta"))</f>
        <v/>
      </c>
      <c r="K553" s="19" t="str">
        <f aca="false">IF(A553="","",IFERROR(INDEX(Sancoes!$B:$B,MATCH(A553,Sancoes!$A:$A,0))&amp;"","não consta"))</f>
        <v/>
      </c>
      <c r="L553" s="19" t="str">
        <f aca="false">IF(A553="","",IFERROR(INDEX(Eleitoral!$B:$B,MATCH(A553,Eleitoral!$A:$A,0))&amp;"","não consta"))</f>
        <v/>
      </c>
      <c r="M553" s="28" t="str">
        <f aca="false">IF(A553="","",IF(OR(AND(K553&lt;&gt;"",LOWER(K553)&lt;&gt;"não consta"),AND(L553&lt;&gt;"",LOWER(L553)&lt;&gt;"não consta"),IFERROR(INDEX(Empresas!$G:$G,MATCH(A553,Empresas!$A:$A,0))&amp;"","")&lt;&gt;""),"SIM",""))</f>
        <v/>
      </c>
      <c r="N553" s="5"/>
      <c r="O553" s="32" t="str">
        <f aca="false">IF(D553="","",YEAR(D553))</f>
        <v/>
      </c>
      <c r="P553" s="5"/>
    </row>
    <row r="554" customFormat="false" ht="15" hidden="false" customHeight="false" outlineLevel="0" collapsed="false">
      <c r="A554" s="27"/>
      <c r="B554" s="5"/>
      <c r="C554" s="35"/>
      <c r="D554" s="18"/>
      <c r="E554" s="5"/>
      <c r="F554" s="14"/>
      <c r="G554" s="5"/>
      <c r="H554" s="27"/>
      <c r="I554" s="5"/>
      <c r="J554" s="19" t="str">
        <f aca="false">IF(A554="","",IFERROR(INDEX(Empresas!$D:$D,MATCH(A554,Empresas!$A:$A,0))&amp;"","não consta"))</f>
        <v/>
      </c>
      <c r="K554" s="19" t="str">
        <f aca="false">IF(A554="","",IFERROR(INDEX(Sancoes!$B:$B,MATCH(A554,Sancoes!$A:$A,0))&amp;"","não consta"))</f>
        <v/>
      </c>
      <c r="L554" s="19" t="str">
        <f aca="false">IF(A554="","",IFERROR(INDEX(Eleitoral!$B:$B,MATCH(A554,Eleitoral!$A:$A,0))&amp;"","não consta"))</f>
        <v/>
      </c>
      <c r="M554" s="28" t="str">
        <f aca="false">IF(A554="","",IF(OR(AND(K554&lt;&gt;"",LOWER(K554)&lt;&gt;"não consta"),AND(L554&lt;&gt;"",LOWER(L554)&lt;&gt;"não consta"),IFERROR(INDEX(Empresas!$G:$G,MATCH(A554,Empresas!$A:$A,0))&amp;"","")&lt;&gt;""),"SIM",""))</f>
        <v/>
      </c>
      <c r="N554" s="5"/>
      <c r="O554" s="32" t="str">
        <f aca="false">IF(D554="","",YEAR(D554))</f>
        <v/>
      </c>
      <c r="P554" s="5"/>
    </row>
    <row r="555" customFormat="false" ht="15" hidden="false" customHeight="false" outlineLevel="0" collapsed="false">
      <c r="A555" s="27"/>
      <c r="B555" s="5"/>
      <c r="C555" s="35"/>
      <c r="D555" s="18"/>
      <c r="E555" s="5"/>
      <c r="F555" s="14"/>
      <c r="G555" s="5"/>
      <c r="H555" s="27"/>
      <c r="I555" s="5"/>
      <c r="J555" s="19" t="str">
        <f aca="false">IF(A555="","",IFERROR(INDEX(Empresas!$D:$D,MATCH(A555,Empresas!$A:$A,0))&amp;"","não consta"))</f>
        <v/>
      </c>
      <c r="K555" s="19" t="str">
        <f aca="false">IF(A555="","",IFERROR(INDEX(Sancoes!$B:$B,MATCH(A555,Sancoes!$A:$A,0))&amp;"","não consta"))</f>
        <v/>
      </c>
      <c r="L555" s="19" t="str">
        <f aca="false">IF(A555="","",IFERROR(INDEX(Eleitoral!$B:$B,MATCH(A555,Eleitoral!$A:$A,0))&amp;"","não consta"))</f>
        <v/>
      </c>
      <c r="M555" s="28" t="str">
        <f aca="false">IF(A555="","",IF(OR(AND(K555&lt;&gt;"",LOWER(K555)&lt;&gt;"não consta"),AND(L555&lt;&gt;"",LOWER(L555)&lt;&gt;"não consta"),IFERROR(INDEX(Empresas!$G:$G,MATCH(A555,Empresas!$A:$A,0))&amp;"","")&lt;&gt;""),"SIM",""))</f>
        <v/>
      </c>
      <c r="N555" s="5"/>
      <c r="O555" s="32" t="str">
        <f aca="false">IF(D555="","",YEAR(D555))</f>
        <v/>
      </c>
      <c r="P555" s="5"/>
    </row>
    <row r="556" customFormat="false" ht="15" hidden="false" customHeight="false" outlineLevel="0" collapsed="false">
      <c r="A556" s="27"/>
      <c r="B556" s="5"/>
      <c r="C556" s="35"/>
      <c r="D556" s="18"/>
      <c r="E556" s="5"/>
      <c r="F556" s="14"/>
      <c r="G556" s="5"/>
      <c r="H556" s="27"/>
      <c r="I556" s="5"/>
      <c r="J556" s="19" t="str">
        <f aca="false">IF(A556="","",IFERROR(INDEX(Empresas!$D:$D,MATCH(A556,Empresas!$A:$A,0))&amp;"","não consta"))</f>
        <v/>
      </c>
      <c r="K556" s="19" t="str">
        <f aca="false">IF(A556="","",IFERROR(INDEX(Sancoes!$B:$B,MATCH(A556,Sancoes!$A:$A,0))&amp;"","não consta"))</f>
        <v/>
      </c>
      <c r="L556" s="19" t="str">
        <f aca="false">IF(A556="","",IFERROR(INDEX(Eleitoral!$B:$B,MATCH(A556,Eleitoral!$A:$A,0))&amp;"","não consta"))</f>
        <v/>
      </c>
      <c r="M556" s="28" t="str">
        <f aca="false">IF(A556="","",IF(OR(AND(K556&lt;&gt;"",LOWER(K556)&lt;&gt;"não consta"),AND(L556&lt;&gt;"",LOWER(L556)&lt;&gt;"não consta"),IFERROR(INDEX(Empresas!$G:$G,MATCH(A556,Empresas!$A:$A,0))&amp;"","")&lt;&gt;""),"SIM",""))</f>
        <v/>
      </c>
      <c r="N556" s="5"/>
      <c r="O556" s="32" t="str">
        <f aca="false">IF(D556="","",YEAR(D556))</f>
        <v/>
      </c>
      <c r="P556" s="5"/>
    </row>
    <row r="557" customFormat="false" ht="15" hidden="false" customHeight="false" outlineLevel="0" collapsed="false">
      <c r="A557" s="27"/>
      <c r="B557" s="5"/>
      <c r="C557" s="35"/>
      <c r="D557" s="18"/>
      <c r="E557" s="5"/>
      <c r="F557" s="14"/>
      <c r="G557" s="5"/>
      <c r="H557" s="27"/>
      <c r="I557" s="5"/>
      <c r="J557" s="19" t="str">
        <f aca="false">IF(A557="","",IFERROR(INDEX(Empresas!$D:$D,MATCH(A557,Empresas!$A:$A,0))&amp;"","não consta"))</f>
        <v/>
      </c>
      <c r="K557" s="19" t="str">
        <f aca="false">IF(A557="","",IFERROR(INDEX(Sancoes!$B:$B,MATCH(A557,Sancoes!$A:$A,0))&amp;"","não consta"))</f>
        <v/>
      </c>
      <c r="L557" s="19" t="str">
        <f aca="false">IF(A557="","",IFERROR(INDEX(Eleitoral!$B:$B,MATCH(A557,Eleitoral!$A:$A,0))&amp;"","não consta"))</f>
        <v/>
      </c>
      <c r="M557" s="28" t="str">
        <f aca="false">IF(A557="","",IF(OR(AND(K557&lt;&gt;"",LOWER(K557)&lt;&gt;"não consta"),AND(L557&lt;&gt;"",LOWER(L557)&lt;&gt;"não consta"),IFERROR(INDEX(Empresas!$G:$G,MATCH(A557,Empresas!$A:$A,0))&amp;"","")&lt;&gt;""),"SIM",""))</f>
        <v/>
      </c>
      <c r="N557" s="5"/>
      <c r="O557" s="32" t="str">
        <f aca="false">IF(D557="","",YEAR(D557))</f>
        <v/>
      </c>
      <c r="P557" s="5"/>
    </row>
    <row r="558" customFormat="false" ht="15" hidden="false" customHeight="false" outlineLevel="0" collapsed="false">
      <c r="A558" s="27"/>
      <c r="B558" s="5"/>
      <c r="C558" s="35"/>
      <c r="D558" s="18"/>
      <c r="E558" s="5"/>
      <c r="F558" s="14"/>
      <c r="G558" s="5"/>
      <c r="H558" s="27"/>
      <c r="I558" s="5"/>
      <c r="J558" s="19" t="str">
        <f aca="false">IF(A558="","",IFERROR(INDEX(Empresas!$D:$D,MATCH(A558,Empresas!$A:$A,0))&amp;"","não consta"))</f>
        <v/>
      </c>
      <c r="K558" s="19" t="str">
        <f aca="false">IF(A558="","",IFERROR(INDEX(Sancoes!$B:$B,MATCH(A558,Sancoes!$A:$A,0))&amp;"","não consta"))</f>
        <v/>
      </c>
      <c r="L558" s="19" t="str">
        <f aca="false">IF(A558="","",IFERROR(INDEX(Eleitoral!$B:$B,MATCH(A558,Eleitoral!$A:$A,0))&amp;"","não consta"))</f>
        <v/>
      </c>
      <c r="M558" s="28" t="str">
        <f aca="false">IF(A558="","",IF(OR(AND(K558&lt;&gt;"",LOWER(K558)&lt;&gt;"não consta"),AND(L558&lt;&gt;"",LOWER(L558)&lt;&gt;"não consta"),IFERROR(INDEX(Empresas!$G:$G,MATCH(A558,Empresas!$A:$A,0))&amp;"","")&lt;&gt;""),"SIM",""))</f>
        <v/>
      </c>
      <c r="N558" s="5"/>
      <c r="O558" s="32" t="str">
        <f aca="false">IF(D558="","",YEAR(D558))</f>
        <v/>
      </c>
      <c r="P558" s="5"/>
    </row>
    <row r="559" customFormat="false" ht="15" hidden="false" customHeight="false" outlineLevel="0" collapsed="false">
      <c r="A559" s="27"/>
      <c r="B559" s="5"/>
      <c r="C559" s="35"/>
      <c r="D559" s="18"/>
      <c r="E559" s="5"/>
      <c r="F559" s="14"/>
      <c r="G559" s="5"/>
      <c r="H559" s="27"/>
      <c r="I559" s="5"/>
      <c r="J559" s="19" t="str">
        <f aca="false">IF(A559="","",IFERROR(INDEX(Empresas!$D:$D,MATCH(A559,Empresas!$A:$A,0))&amp;"","não consta"))</f>
        <v/>
      </c>
      <c r="K559" s="19" t="str">
        <f aca="false">IF(A559="","",IFERROR(INDEX(Sancoes!$B:$B,MATCH(A559,Sancoes!$A:$A,0))&amp;"","não consta"))</f>
        <v/>
      </c>
      <c r="L559" s="19" t="str">
        <f aca="false">IF(A559="","",IFERROR(INDEX(Eleitoral!$B:$B,MATCH(A559,Eleitoral!$A:$A,0))&amp;"","não consta"))</f>
        <v/>
      </c>
      <c r="M559" s="28" t="str">
        <f aca="false">IF(A559="","",IF(OR(AND(K559&lt;&gt;"",LOWER(K559)&lt;&gt;"não consta"),AND(L559&lt;&gt;"",LOWER(L559)&lt;&gt;"não consta"),IFERROR(INDEX(Empresas!$G:$G,MATCH(A559,Empresas!$A:$A,0))&amp;"","")&lt;&gt;""),"SIM",""))</f>
        <v/>
      </c>
      <c r="N559" s="5"/>
      <c r="O559" s="32" t="str">
        <f aca="false">IF(D559="","",YEAR(D559))</f>
        <v/>
      </c>
      <c r="P559" s="5"/>
    </row>
    <row r="560" customFormat="false" ht="15" hidden="false" customHeight="false" outlineLevel="0" collapsed="false">
      <c r="A560" s="27"/>
      <c r="B560" s="5"/>
      <c r="C560" s="35"/>
      <c r="D560" s="18"/>
      <c r="E560" s="5"/>
      <c r="F560" s="14"/>
      <c r="G560" s="5"/>
      <c r="H560" s="27"/>
      <c r="I560" s="5"/>
      <c r="J560" s="19" t="str">
        <f aca="false">IF(A560="","",IFERROR(INDEX(Empresas!$D:$D,MATCH(A560,Empresas!$A:$A,0))&amp;"","não consta"))</f>
        <v/>
      </c>
      <c r="K560" s="19" t="str">
        <f aca="false">IF(A560="","",IFERROR(INDEX(Sancoes!$B:$B,MATCH(A560,Sancoes!$A:$A,0))&amp;"","não consta"))</f>
        <v/>
      </c>
      <c r="L560" s="19" t="str">
        <f aca="false">IF(A560="","",IFERROR(INDEX(Eleitoral!$B:$B,MATCH(A560,Eleitoral!$A:$A,0))&amp;"","não consta"))</f>
        <v/>
      </c>
      <c r="M560" s="28" t="str">
        <f aca="false">IF(A560="","",IF(OR(AND(K560&lt;&gt;"",LOWER(K560)&lt;&gt;"não consta"),AND(L560&lt;&gt;"",LOWER(L560)&lt;&gt;"não consta"),IFERROR(INDEX(Empresas!$G:$G,MATCH(A560,Empresas!$A:$A,0))&amp;"","")&lt;&gt;""),"SIM",""))</f>
        <v/>
      </c>
      <c r="N560" s="5"/>
      <c r="O560" s="32" t="str">
        <f aca="false">IF(D560="","",YEAR(D560))</f>
        <v/>
      </c>
      <c r="P560" s="5"/>
    </row>
    <row r="561" customFormat="false" ht="15" hidden="false" customHeight="false" outlineLevel="0" collapsed="false">
      <c r="A561" s="27"/>
      <c r="B561" s="5"/>
      <c r="C561" s="35"/>
      <c r="D561" s="18"/>
      <c r="E561" s="5"/>
      <c r="F561" s="14"/>
      <c r="G561" s="5"/>
      <c r="H561" s="27"/>
      <c r="I561" s="5"/>
      <c r="J561" s="19" t="str">
        <f aca="false">IF(A561="","",IFERROR(INDEX(Empresas!$D:$D,MATCH(A561,Empresas!$A:$A,0))&amp;"","não consta"))</f>
        <v/>
      </c>
      <c r="K561" s="19" t="str">
        <f aca="false">IF(A561="","",IFERROR(INDEX(Sancoes!$B:$B,MATCH(A561,Sancoes!$A:$A,0))&amp;"","não consta"))</f>
        <v/>
      </c>
      <c r="L561" s="19" t="str">
        <f aca="false">IF(A561="","",IFERROR(INDEX(Eleitoral!$B:$B,MATCH(A561,Eleitoral!$A:$A,0))&amp;"","não consta"))</f>
        <v/>
      </c>
      <c r="M561" s="28" t="str">
        <f aca="false">IF(A561="","",IF(OR(AND(K561&lt;&gt;"",LOWER(K561)&lt;&gt;"não consta"),AND(L561&lt;&gt;"",LOWER(L561)&lt;&gt;"não consta"),IFERROR(INDEX(Empresas!$G:$G,MATCH(A561,Empresas!$A:$A,0))&amp;"","")&lt;&gt;""),"SIM",""))</f>
        <v/>
      </c>
      <c r="N561" s="5"/>
      <c r="O561" s="32" t="str">
        <f aca="false">IF(D561="","",YEAR(D561))</f>
        <v/>
      </c>
      <c r="P561" s="5"/>
    </row>
    <row r="562" customFormat="false" ht="15" hidden="false" customHeight="false" outlineLevel="0" collapsed="false">
      <c r="A562" s="27"/>
      <c r="B562" s="5"/>
      <c r="C562" s="35"/>
      <c r="D562" s="18"/>
      <c r="E562" s="5"/>
      <c r="F562" s="14"/>
      <c r="G562" s="5"/>
      <c r="H562" s="27"/>
      <c r="I562" s="5"/>
      <c r="J562" s="19" t="str">
        <f aca="false">IF(A562="","",IFERROR(INDEX(Empresas!$D:$D,MATCH(A562,Empresas!$A:$A,0))&amp;"","não consta"))</f>
        <v/>
      </c>
      <c r="K562" s="19" t="str">
        <f aca="false">IF(A562="","",IFERROR(INDEX(Sancoes!$B:$B,MATCH(A562,Sancoes!$A:$A,0))&amp;"","não consta"))</f>
        <v/>
      </c>
      <c r="L562" s="19" t="str">
        <f aca="false">IF(A562="","",IFERROR(INDEX(Eleitoral!$B:$B,MATCH(A562,Eleitoral!$A:$A,0))&amp;"","não consta"))</f>
        <v/>
      </c>
      <c r="M562" s="28" t="str">
        <f aca="false">IF(A562="","",IF(OR(AND(K562&lt;&gt;"",LOWER(K562)&lt;&gt;"não consta"),AND(L562&lt;&gt;"",LOWER(L562)&lt;&gt;"não consta"),IFERROR(INDEX(Empresas!$G:$G,MATCH(A562,Empresas!$A:$A,0))&amp;"","")&lt;&gt;""),"SIM",""))</f>
        <v/>
      </c>
      <c r="N562" s="5"/>
      <c r="O562" s="32" t="str">
        <f aca="false">IF(D562="","",YEAR(D562))</f>
        <v/>
      </c>
      <c r="P562" s="5"/>
    </row>
    <row r="563" customFormat="false" ht="15" hidden="false" customHeight="false" outlineLevel="0" collapsed="false">
      <c r="A563" s="27"/>
      <c r="B563" s="5"/>
      <c r="C563" s="35"/>
      <c r="D563" s="18"/>
      <c r="E563" s="5"/>
      <c r="F563" s="14"/>
      <c r="G563" s="5"/>
      <c r="H563" s="27"/>
      <c r="I563" s="5"/>
      <c r="J563" s="19" t="str">
        <f aca="false">IF(A563="","",IFERROR(INDEX(Empresas!$D:$D,MATCH(A563,Empresas!$A:$A,0))&amp;"","não consta"))</f>
        <v/>
      </c>
      <c r="K563" s="19" t="str">
        <f aca="false">IF(A563="","",IFERROR(INDEX(Sancoes!$B:$B,MATCH(A563,Sancoes!$A:$A,0))&amp;"","não consta"))</f>
        <v/>
      </c>
      <c r="L563" s="19" t="str">
        <f aca="false">IF(A563="","",IFERROR(INDEX(Eleitoral!$B:$B,MATCH(A563,Eleitoral!$A:$A,0))&amp;"","não consta"))</f>
        <v/>
      </c>
      <c r="M563" s="28" t="str">
        <f aca="false">IF(A563="","",IF(OR(AND(K563&lt;&gt;"",LOWER(K563)&lt;&gt;"não consta"),AND(L563&lt;&gt;"",LOWER(L563)&lt;&gt;"não consta"),IFERROR(INDEX(Empresas!$G:$G,MATCH(A563,Empresas!$A:$A,0))&amp;"","")&lt;&gt;""),"SIM",""))</f>
        <v/>
      </c>
      <c r="N563" s="5"/>
      <c r="O563" s="32" t="str">
        <f aca="false">IF(D563="","",YEAR(D563))</f>
        <v/>
      </c>
      <c r="P563" s="5"/>
    </row>
    <row r="564" customFormat="false" ht="15" hidden="false" customHeight="false" outlineLevel="0" collapsed="false">
      <c r="A564" s="27"/>
      <c r="B564" s="5"/>
      <c r="C564" s="35"/>
      <c r="D564" s="18"/>
      <c r="E564" s="5"/>
      <c r="F564" s="14"/>
      <c r="G564" s="5"/>
      <c r="H564" s="27"/>
      <c r="I564" s="5"/>
      <c r="J564" s="19" t="str">
        <f aca="false">IF(A564="","",IFERROR(INDEX(Empresas!$D:$D,MATCH(A564,Empresas!$A:$A,0))&amp;"","não consta"))</f>
        <v/>
      </c>
      <c r="K564" s="19" t="str">
        <f aca="false">IF(A564="","",IFERROR(INDEX(Sancoes!$B:$B,MATCH(A564,Sancoes!$A:$A,0))&amp;"","não consta"))</f>
        <v/>
      </c>
      <c r="L564" s="19" t="str">
        <f aca="false">IF(A564="","",IFERROR(INDEX(Eleitoral!$B:$B,MATCH(A564,Eleitoral!$A:$A,0))&amp;"","não consta"))</f>
        <v/>
      </c>
      <c r="M564" s="28" t="str">
        <f aca="false">IF(A564="","",IF(OR(AND(K564&lt;&gt;"",LOWER(K564)&lt;&gt;"não consta"),AND(L564&lt;&gt;"",LOWER(L564)&lt;&gt;"não consta"),IFERROR(INDEX(Empresas!$G:$G,MATCH(A564,Empresas!$A:$A,0))&amp;"","")&lt;&gt;""),"SIM",""))</f>
        <v/>
      </c>
      <c r="N564" s="5"/>
      <c r="O564" s="32" t="str">
        <f aca="false">IF(D564="","",YEAR(D564))</f>
        <v/>
      </c>
      <c r="P564" s="5"/>
    </row>
    <row r="565" customFormat="false" ht="15" hidden="false" customHeight="false" outlineLevel="0" collapsed="false">
      <c r="A565" s="27"/>
      <c r="B565" s="5"/>
      <c r="C565" s="35"/>
      <c r="D565" s="18"/>
      <c r="E565" s="5"/>
      <c r="F565" s="14"/>
      <c r="G565" s="5"/>
      <c r="H565" s="27"/>
      <c r="I565" s="5"/>
      <c r="J565" s="19" t="str">
        <f aca="false">IF(A565="","",IFERROR(INDEX(Empresas!$D:$D,MATCH(A565,Empresas!$A:$A,0))&amp;"","não consta"))</f>
        <v/>
      </c>
      <c r="K565" s="19" t="str">
        <f aca="false">IF(A565="","",IFERROR(INDEX(Sancoes!$B:$B,MATCH(A565,Sancoes!$A:$A,0))&amp;"","não consta"))</f>
        <v/>
      </c>
      <c r="L565" s="19" t="str">
        <f aca="false">IF(A565="","",IFERROR(INDEX(Eleitoral!$B:$B,MATCH(A565,Eleitoral!$A:$A,0))&amp;"","não consta"))</f>
        <v/>
      </c>
      <c r="M565" s="28" t="str">
        <f aca="false">IF(A565="","",IF(OR(AND(K565&lt;&gt;"",LOWER(K565)&lt;&gt;"não consta"),AND(L565&lt;&gt;"",LOWER(L565)&lt;&gt;"não consta"),IFERROR(INDEX(Empresas!$G:$G,MATCH(A565,Empresas!$A:$A,0))&amp;"","")&lt;&gt;""),"SIM",""))</f>
        <v/>
      </c>
      <c r="N565" s="5"/>
      <c r="O565" s="32" t="str">
        <f aca="false">IF(D565="","",YEAR(D565))</f>
        <v/>
      </c>
      <c r="P565" s="5"/>
    </row>
    <row r="566" customFormat="false" ht="15" hidden="false" customHeight="false" outlineLevel="0" collapsed="false">
      <c r="A566" s="27"/>
      <c r="B566" s="5"/>
      <c r="C566" s="35"/>
      <c r="D566" s="18"/>
      <c r="E566" s="5"/>
      <c r="F566" s="14"/>
      <c r="G566" s="5"/>
      <c r="H566" s="27"/>
      <c r="I566" s="5"/>
      <c r="J566" s="19" t="str">
        <f aca="false">IF(A566="","",IFERROR(INDEX(Empresas!$D:$D,MATCH(A566,Empresas!$A:$A,0))&amp;"","não consta"))</f>
        <v/>
      </c>
      <c r="K566" s="19" t="str">
        <f aca="false">IF(A566="","",IFERROR(INDEX(Sancoes!$B:$B,MATCH(A566,Sancoes!$A:$A,0))&amp;"","não consta"))</f>
        <v/>
      </c>
      <c r="L566" s="19" t="str">
        <f aca="false">IF(A566="","",IFERROR(INDEX(Eleitoral!$B:$B,MATCH(A566,Eleitoral!$A:$A,0))&amp;"","não consta"))</f>
        <v/>
      </c>
      <c r="M566" s="28" t="str">
        <f aca="false">IF(A566="","",IF(OR(AND(K566&lt;&gt;"",LOWER(K566)&lt;&gt;"não consta"),AND(L566&lt;&gt;"",LOWER(L566)&lt;&gt;"não consta"),IFERROR(INDEX(Empresas!$G:$G,MATCH(A566,Empresas!$A:$A,0))&amp;"","")&lt;&gt;""),"SIM",""))</f>
        <v/>
      </c>
      <c r="N566" s="5"/>
      <c r="O566" s="32" t="str">
        <f aca="false">IF(D566="","",YEAR(D566))</f>
        <v/>
      </c>
      <c r="P566" s="5"/>
    </row>
    <row r="567" customFormat="false" ht="15" hidden="false" customHeight="false" outlineLevel="0" collapsed="false">
      <c r="A567" s="27"/>
      <c r="B567" s="5"/>
      <c r="C567" s="35"/>
      <c r="D567" s="18"/>
      <c r="E567" s="5"/>
      <c r="F567" s="14"/>
      <c r="G567" s="5"/>
      <c r="H567" s="27"/>
      <c r="I567" s="5"/>
      <c r="J567" s="19" t="str">
        <f aca="false">IF(A567="","",IFERROR(INDEX(Empresas!$D:$D,MATCH(A567,Empresas!$A:$A,0))&amp;"","não consta"))</f>
        <v/>
      </c>
      <c r="K567" s="19" t="str">
        <f aca="false">IF(A567="","",IFERROR(INDEX(Sancoes!$B:$B,MATCH(A567,Sancoes!$A:$A,0))&amp;"","não consta"))</f>
        <v/>
      </c>
      <c r="L567" s="19" t="str">
        <f aca="false">IF(A567="","",IFERROR(INDEX(Eleitoral!$B:$B,MATCH(A567,Eleitoral!$A:$A,0))&amp;"","não consta"))</f>
        <v/>
      </c>
      <c r="M567" s="28" t="str">
        <f aca="false">IF(A567="","",IF(OR(AND(K567&lt;&gt;"",LOWER(K567)&lt;&gt;"não consta"),AND(L567&lt;&gt;"",LOWER(L567)&lt;&gt;"não consta"),IFERROR(INDEX(Empresas!$G:$G,MATCH(A567,Empresas!$A:$A,0))&amp;"","")&lt;&gt;""),"SIM",""))</f>
        <v/>
      </c>
      <c r="N567" s="5"/>
      <c r="O567" s="32" t="str">
        <f aca="false">IF(D567="","",YEAR(D567))</f>
        <v/>
      </c>
      <c r="P567" s="5"/>
    </row>
    <row r="568" customFormat="false" ht="15" hidden="false" customHeight="false" outlineLevel="0" collapsed="false">
      <c r="A568" s="27"/>
      <c r="B568" s="5"/>
      <c r="C568" s="35"/>
      <c r="D568" s="18"/>
      <c r="E568" s="5"/>
      <c r="F568" s="14"/>
      <c r="G568" s="5"/>
      <c r="H568" s="27"/>
      <c r="I568" s="5"/>
      <c r="J568" s="19" t="str">
        <f aca="false">IF(A568="","",IFERROR(INDEX(Empresas!$D:$D,MATCH(A568,Empresas!$A:$A,0))&amp;"","não consta"))</f>
        <v/>
      </c>
      <c r="K568" s="19" t="str">
        <f aca="false">IF(A568="","",IFERROR(INDEX(Sancoes!$B:$B,MATCH(A568,Sancoes!$A:$A,0))&amp;"","não consta"))</f>
        <v/>
      </c>
      <c r="L568" s="19" t="str">
        <f aca="false">IF(A568="","",IFERROR(INDEX(Eleitoral!$B:$B,MATCH(A568,Eleitoral!$A:$A,0))&amp;"","não consta"))</f>
        <v/>
      </c>
      <c r="M568" s="28" t="str">
        <f aca="false">IF(A568="","",IF(OR(AND(K568&lt;&gt;"",LOWER(K568)&lt;&gt;"não consta"),AND(L568&lt;&gt;"",LOWER(L568)&lt;&gt;"não consta"),IFERROR(INDEX(Empresas!$G:$G,MATCH(A568,Empresas!$A:$A,0))&amp;"","")&lt;&gt;""),"SIM",""))</f>
        <v/>
      </c>
      <c r="N568" s="5"/>
      <c r="O568" s="32" t="str">
        <f aca="false">IF(D568="","",YEAR(D568))</f>
        <v/>
      </c>
      <c r="P568" s="5"/>
    </row>
    <row r="569" customFormat="false" ht="15" hidden="false" customHeight="false" outlineLevel="0" collapsed="false">
      <c r="A569" s="27"/>
      <c r="B569" s="5"/>
      <c r="C569" s="35"/>
      <c r="D569" s="18"/>
      <c r="E569" s="5"/>
      <c r="F569" s="14"/>
      <c r="G569" s="5"/>
      <c r="H569" s="27"/>
      <c r="I569" s="5"/>
      <c r="J569" s="19" t="str">
        <f aca="false">IF(A569="","",IFERROR(INDEX(Empresas!$D:$D,MATCH(A569,Empresas!$A:$A,0))&amp;"","não consta"))</f>
        <v/>
      </c>
      <c r="K569" s="19" t="str">
        <f aca="false">IF(A569="","",IFERROR(INDEX(Sancoes!$B:$B,MATCH(A569,Sancoes!$A:$A,0))&amp;"","não consta"))</f>
        <v/>
      </c>
      <c r="L569" s="19" t="str">
        <f aca="false">IF(A569="","",IFERROR(INDEX(Eleitoral!$B:$B,MATCH(A569,Eleitoral!$A:$A,0))&amp;"","não consta"))</f>
        <v/>
      </c>
      <c r="M569" s="28" t="str">
        <f aca="false">IF(A569="","",IF(OR(AND(K569&lt;&gt;"",LOWER(K569)&lt;&gt;"não consta"),AND(L569&lt;&gt;"",LOWER(L569)&lt;&gt;"não consta"),IFERROR(INDEX(Empresas!$G:$G,MATCH(A569,Empresas!$A:$A,0))&amp;"","")&lt;&gt;""),"SIM",""))</f>
        <v/>
      </c>
      <c r="N569" s="5"/>
      <c r="O569" s="32" t="str">
        <f aca="false">IF(D569="","",YEAR(D569))</f>
        <v/>
      </c>
      <c r="P569" s="5"/>
    </row>
    <row r="570" customFormat="false" ht="15" hidden="false" customHeight="false" outlineLevel="0" collapsed="false">
      <c r="A570" s="27"/>
      <c r="B570" s="5"/>
      <c r="C570" s="35"/>
      <c r="D570" s="18"/>
      <c r="E570" s="5"/>
      <c r="F570" s="14"/>
      <c r="G570" s="5"/>
      <c r="H570" s="27"/>
      <c r="I570" s="5"/>
      <c r="J570" s="19" t="str">
        <f aca="false">IF(A570="","",IFERROR(INDEX(Empresas!$D:$D,MATCH(A570,Empresas!$A:$A,0))&amp;"","não consta"))</f>
        <v/>
      </c>
      <c r="K570" s="19" t="str">
        <f aca="false">IF(A570="","",IFERROR(INDEX(Sancoes!$B:$B,MATCH(A570,Sancoes!$A:$A,0))&amp;"","não consta"))</f>
        <v/>
      </c>
      <c r="L570" s="19" t="str">
        <f aca="false">IF(A570="","",IFERROR(INDEX(Eleitoral!$B:$B,MATCH(A570,Eleitoral!$A:$A,0))&amp;"","não consta"))</f>
        <v/>
      </c>
      <c r="M570" s="28" t="str">
        <f aca="false">IF(A570="","",IF(OR(AND(K570&lt;&gt;"",LOWER(K570)&lt;&gt;"não consta"),AND(L570&lt;&gt;"",LOWER(L570)&lt;&gt;"não consta"),IFERROR(INDEX(Empresas!$G:$G,MATCH(A570,Empresas!$A:$A,0))&amp;"","")&lt;&gt;""),"SIM",""))</f>
        <v/>
      </c>
      <c r="N570" s="5"/>
      <c r="O570" s="32" t="str">
        <f aca="false">IF(D570="","",YEAR(D570))</f>
        <v/>
      </c>
      <c r="P570" s="5"/>
    </row>
    <row r="571" customFormat="false" ht="15" hidden="false" customHeight="false" outlineLevel="0" collapsed="false">
      <c r="A571" s="27"/>
      <c r="B571" s="5"/>
      <c r="C571" s="35"/>
      <c r="D571" s="18"/>
      <c r="E571" s="5"/>
      <c r="F571" s="14"/>
      <c r="G571" s="5"/>
      <c r="H571" s="27"/>
      <c r="I571" s="5"/>
      <c r="J571" s="19" t="str">
        <f aca="false">IF(A571="","",IFERROR(INDEX(Empresas!$D:$D,MATCH(A571,Empresas!$A:$A,0))&amp;"","não consta"))</f>
        <v/>
      </c>
      <c r="K571" s="19" t="str">
        <f aca="false">IF(A571="","",IFERROR(INDEX(Sancoes!$B:$B,MATCH(A571,Sancoes!$A:$A,0))&amp;"","não consta"))</f>
        <v/>
      </c>
      <c r="L571" s="19" t="str">
        <f aca="false">IF(A571="","",IFERROR(INDEX(Eleitoral!$B:$B,MATCH(A571,Eleitoral!$A:$A,0))&amp;"","não consta"))</f>
        <v/>
      </c>
      <c r="M571" s="28" t="str">
        <f aca="false">IF(A571="","",IF(OR(AND(K571&lt;&gt;"",LOWER(K571)&lt;&gt;"não consta"),AND(L571&lt;&gt;"",LOWER(L571)&lt;&gt;"não consta"),IFERROR(INDEX(Empresas!$G:$G,MATCH(A571,Empresas!$A:$A,0))&amp;"","")&lt;&gt;""),"SIM",""))</f>
        <v/>
      </c>
      <c r="N571" s="5"/>
      <c r="O571" s="32" t="str">
        <f aca="false">IF(D571="","",YEAR(D571))</f>
        <v/>
      </c>
      <c r="P571" s="5"/>
    </row>
    <row r="572" customFormat="false" ht="15" hidden="false" customHeight="false" outlineLevel="0" collapsed="false">
      <c r="A572" s="27"/>
      <c r="B572" s="5"/>
      <c r="C572" s="35"/>
      <c r="D572" s="18"/>
      <c r="E572" s="5"/>
      <c r="F572" s="14"/>
      <c r="G572" s="5"/>
      <c r="H572" s="27"/>
      <c r="I572" s="5"/>
      <c r="J572" s="19" t="str">
        <f aca="false">IF(A572="","",IFERROR(INDEX(Empresas!$D:$D,MATCH(A572,Empresas!$A:$A,0))&amp;"","não consta"))</f>
        <v/>
      </c>
      <c r="K572" s="19" t="str">
        <f aca="false">IF(A572="","",IFERROR(INDEX(Sancoes!$B:$B,MATCH(A572,Sancoes!$A:$A,0))&amp;"","não consta"))</f>
        <v/>
      </c>
      <c r="L572" s="19" t="str">
        <f aca="false">IF(A572="","",IFERROR(INDEX(Eleitoral!$B:$B,MATCH(A572,Eleitoral!$A:$A,0))&amp;"","não consta"))</f>
        <v/>
      </c>
      <c r="M572" s="28" t="str">
        <f aca="false">IF(A572="","",IF(OR(AND(K572&lt;&gt;"",LOWER(K572)&lt;&gt;"não consta"),AND(L572&lt;&gt;"",LOWER(L572)&lt;&gt;"não consta"),IFERROR(INDEX(Empresas!$G:$G,MATCH(A572,Empresas!$A:$A,0))&amp;"","")&lt;&gt;""),"SIM",""))</f>
        <v/>
      </c>
      <c r="N572" s="5"/>
      <c r="O572" s="32" t="str">
        <f aca="false">IF(D572="","",YEAR(D572))</f>
        <v/>
      </c>
      <c r="P572" s="5"/>
    </row>
    <row r="573" customFormat="false" ht="15" hidden="false" customHeight="false" outlineLevel="0" collapsed="false">
      <c r="A573" s="27"/>
      <c r="B573" s="5"/>
      <c r="C573" s="35"/>
      <c r="D573" s="18"/>
      <c r="E573" s="5"/>
      <c r="F573" s="14"/>
      <c r="G573" s="5"/>
      <c r="H573" s="27"/>
      <c r="I573" s="5"/>
      <c r="J573" s="19" t="str">
        <f aca="false">IF(A573="","",IFERROR(INDEX(Empresas!$D:$D,MATCH(A573,Empresas!$A:$A,0))&amp;"","não consta"))</f>
        <v/>
      </c>
      <c r="K573" s="19" t="str">
        <f aca="false">IF(A573="","",IFERROR(INDEX(Sancoes!$B:$B,MATCH(A573,Sancoes!$A:$A,0))&amp;"","não consta"))</f>
        <v/>
      </c>
      <c r="L573" s="19" t="str">
        <f aca="false">IF(A573="","",IFERROR(INDEX(Eleitoral!$B:$B,MATCH(A573,Eleitoral!$A:$A,0))&amp;"","não consta"))</f>
        <v/>
      </c>
      <c r="M573" s="28" t="str">
        <f aca="false">IF(A573="","",IF(OR(AND(K573&lt;&gt;"",LOWER(K573)&lt;&gt;"não consta"),AND(L573&lt;&gt;"",LOWER(L573)&lt;&gt;"não consta"),IFERROR(INDEX(Empresas!$G:$G,MATCH(A573,Empresas!$A:$A,0))&amp;"","")&lt;&gt;""),"SIM",""))</f>
        <v/>
      </c>
      <c r="N573" s="5"/>
      <c r="O573" s="32" t="str">
        <f aca="false">IF(D573="","",YEAR(D573))</f>
        <v/>
      </c>
      <c r="P573" s="5"/>
    </row>
    <row r="574" customFormat="false" ht="15" hidden="false" customHeight="false" outlineLevel="0" collapsed="false">
      <c r="A574" s="27"/>
      <c r="B574" s="5"/>
      <c r="C574" s="35"/>
      <c r="D574" s="18"/>
      <c r="E574" s="5"/>
      <c r="F574" s="14"/>
      <c r="G574" s="5"/>
      <c r="H574" s="27"/>
      <c r="I574" s="5"/>
      <c r="J574" s="19" t="str">
        <f aca="false">IF(A574="","",IFERROR(INDEX(Empresas!$D:$D,MATCH(A574,Empresas!$A:$A,0))&amp;"","não consta"))</f>
        <v/>
      </c>
      <c r="K574" s="19" t="str">
        <f aca="false">IF(A574="","",IFERROR(INDEX(Sancoes!$B:$B,MATCH(A574,Sancoes!$A:$A,0))&amp;"","não consta"))</f>
        <v/>
      </c>
      <c r="L574" s="19" t="str">
        <f aca="false">IF(A574="","",IFERROR(INDEX(Eleitoral!$B:$B,MATCH(A574,Eleitoral!$A:$A,0))&amp;"","não consta"))</f>
        <v/>
      </c>
      <c r="M574" s="28" t="str">
        <f aca="false">IF(A574="","",IF(OR(AND(K574&lt;&gt;"",LOWER(K574)&lt;&gt;"não consta"),AND(L574&lt;&gt;"",LOWER(L574)&lt;&gt;"não consta"),IFERROR(INDEX(Empresas!$G:$G,MATCH(A574,Empresas!$A:$A,0))&amp;"","")&lt;&gt;""),"SIM",""))</f>
        <v/>
      </c>
      <c r="N574" s="5"/>
      <c r="O574" s="32" t="str">
        <f aca="false">IF(D574="","",YEAR(D574))</f>
        <v/>
      </c>
      <c r="P574" s="5"/>
    </row>
    <row r="575" customFormat="false" ht="15" hidden="false" customHeight="false" outlineLevel="0" collapsed="false">
      <c r="A575" s="27"/>
      <c r="B575" s="5"/>
      <c r="C575" s="35"/>
      <c r="D575" s="18"/>
      <c r="E575" s="5"/>
      <c r="F575" s="14"/>
      <c r="G575" s="5"/>
      <c r="H575" s="27"/>
      <c r="I575" s="5"/>
      <c r="J575" s="19" t="str">
        <f aca="false">IF(A575="","",IFERROR(INDEX(Empresas!$D:$D,MATCH(A575,Empresas!$A:$A,0))&amp;"","não consta"))</f>
        <v/>
      </c>
      <c r="K575" s="19" t="str">
        <f aca="false">IF(A575="","",IFERROR(INDEX(Sancoes!$B:$B,MATCH(A575,Sancoes!$A:$A,0))&amp;"","não consta"))</f>
        <v/>
      </c>
      <c r="L575" s="19" t="str">
        <f aca="false">IF(A575="","",IFERROR(INDEX(Eleitoral!$B:$B,MATCH(A575,Eleitoral!$A:$A,0))&amp;"","não consta"))</f>
        <v/>
      </c>
      <c r="M575" s="28" t="str">
        <f aca="false">IF(A575="","",IF(OR(AND(K575&lt;&gt;"",LOWER(K575)&lt;&gt;"não consta"),AND(L575&lt;&gt;"",LOWER(L575)&lt;&gt;"não consta"),IFERROR(INDEX(Empresas!$G:$G,MATCH(A575,Empresas!$A:$A,0))&amp;"","")&lt;&gt;""),"SIM",""))</f>
        <v/>
      </c>
      <c r="N575" s="5"/>
      <c r="O575" s="32" t="str">
        <f aca="false">IF(D575="","",YEAR(D575))</f>
        <v/>
      </c>
      <c r="P575" s="5"/>
    </row>
    <row r="576" customFormat="false" ht="15" hidden="false" customHeight="false" outlineLevel="0" collapsed="false">
      <c r="A576" s="27"/>
      <c r="B576" s="5"/>
      <c r="C576" s="35"/>
      <c r="D576" s="18"/>
      <c r="E576" s="5"/>
      <c r="F576" s="14"/>
      <c r="G576" s="5"/>
      <c r="H576" s="27"/>
      <c r="I576" s="5"/>
      <c r="J576" s="19" t="str">
        <f aca="false">IF(A576="","",IFERROR(INDEX(Empresas!$D:$D,MATCH(A576,Empresas!$A:$A,0))&amp;"","não consta"))</f>
        <v/>
      </c>
      <c r="K576" s="19" t="str">
        <f aca="false">IF(A576="","",IFERROR(INDEX(Sancoes!$B:$B,MATCH(A576,Sancoes!$A:$A,0))&amp;"","não consta"))</f>
        <v/>
      </c>
      <c r="L576" s="19" t="str">
        <f aca="false">IF(A576="","",IFERROR(INDEX(Eleitoral!$B:$B,MATCH(A576,Eleitoral!$A:$A,0))&amp;"","não consta"))</f>
        <v/>
      </c>
      <c r="M576" s="28" t="str">
        <f aca="false">IF(A576="","",IF(OR(AND(K576&lt;&gt;"",LOWER(K576)&lt;&gt;"não consta"),AND(L576&lt;&gt;"",LOWER(L576)&lt;&gt;"não consta"),IFERROR(INDEX(Empresas!$G:$G,MATCH(A576,Empresas!$A:$A,0))&amp;"","")&lt;&gt;""),"SIM",""))</f>
        <v/>
      </c>
      <c r="N576" s="5"/>
      <c r="O576" s="32" t="str">
        <f aca="false">IF(D576="","",YEAR(D576))</f>
        <v/>
      </c>
      <c r="P576" s="5"/>
    </row>
    <row r="577" customFormat="false" ht="15" hidden="false" customHeight="false" outlineLevel="0" collapsed="false">
      <c r="A577" s="27"/>
      <c r="B577" s="5"/>
      <c r="C577" s="35"/>
      <c r="D577" s="18"/>
      <c r="E577" s="5"/>
      <c r="F577" s="14"/>
      <c r="G577" s="5"/>
      <c r="H577" s="27"/>
      <c r="I577" s="5"/>
      <c r="J577" s="19" t="str">
        <f aca="false">IF(A577="","",IFERROR(INDEX(Empresas!$D:$D,MATCH(A577,Empresas!$A:$A,0))&amp;"","não consta"))</f>
        <v/>
      </c>
      <c r="K577" s="19" t="str">
        <f aca="false">IF(A577="","",IFERROR(INDEX(Sancoes!$B:$B,MATCH(A577,Sancoes!$A:$A,0))&amp;"","não consta"))</f>
        <v/>
      </c>
      <c r="L577" s="19" t="str">
        <f aca="false">IF(A577="","",IFERROR(INDEX(Eleitoral!$B:$B,MATCH(A577,Eleitoral!$A:$A,0))&amp;"","não consta"))</f>
        <v/>
      </c>
      <c r="M577" s="28" t="str">
        <f aca="false">IF(A577="","",IF(OR(AND(K577&lt;&gt;"",LOWER(K577)&lt;&gt;"não consta"),AND(L577&lt;&gt;"",LOWER(L577)&lt;&gt;"não consta"),IFERROR(INDEX(Empresas!$G:$G,MATCH(A577,Empresas!$A:$A,0))&amp;"","")&lt;&gt;""),"SIM",""))</f>
        <v/>
      </c>
      <c r="N577" s="5"/>
      <c r="O577" s="32" t="str">
        <f aca="false">IF(D577="","",YEAR(D577))</f>
        <v/>
      </c>
      <c r="P577" s="5"/>
    </row>
    <row r="578" customFormat="false" ht="15" hidden="false" customHeight="false" outlineLevel="0" collapsed="false">
      <c r="A578" s="27"/>
      <c r="B578" s="5"/>
      <c r="C578" s="35"/>
      <c r="D578" s="18"/>
      <c r="E578" s="5"/>
      <c r="F578" s="14"/>
      <c r="G578" s="5"/>
      <c r="H578" s="27"/>
      <c r="I578" s="5"/>
      <c r="J578" s="19" t="str">
        <f aca="false">IF(A578="","",IFERROR(INDEX(Empresas!$D:$D,MATCH(A578,Empresas!$A:$A,0))&amp;"","não consta"))</f>
        <v/>
      </c>
      <c r="K578" s="19" t="str">
        <f aca="false">IF(A578="","",IFERROR(INDEX(Sancoes!$B:$B,MATCH(A578,Sancoes!$A:$A,0))&amp;"","não consta"))</f>
        <v/>
      </c>
      <c r="L578" s="19" t="str">
        <f aca="false">IF(A578="","",IFERROR(INDEX(Eleitoral!$B:$B,MATCH(A578,Eleitoral!$A:$A,0))&amp;"","não consta"))</f>
        <v/>
      </c>
      <c r="M578" s="28" t="str">
        <f aca="false">IF(A578="","",IF(OR(AND(K578&lt;&gt;"",LOWER(K578)&lt;&gt;"não consta"),AND(L578&lt;&gt;"",LOWER(L578)&lt;&gt;"não consta"),IFERROR(INDEX(Empresas!$G:$G,MATCH(A578,Empresas!$A:$A,0))&amp;"","")&lt;&gt;""),"SIM",""))</f>
        <v/>
      </c>
      <c r="N578" s="5"/>
      <c r="O578" s="32" t="str">
        <f aca="false">IF(D578="","",YEAR(D578))</f>
        <v/>
      </c>
      <c r="P578" s="5"/>
    </row>
    <row r="579" customFormat="false" ht="15" hidden="false" customHeight="false" outlineLevel="0" collapsed="false">
      <c r="A579" s="27"/>
      <c r="B579" s="5"/>
      <c r="C579" s="35"/>
      <c r="D579" s="18"/>
      <c r="E579" s="5"/>
      <c r="F579" s="14"/>
      <c r="G579" s="5"/>
      <c r="H579" s="27"/>
      <c r="I579" s="5"/>
      <c r="J579" s="19" t="str">
        <f aca="false">IF(A579="","",IFERROR(INDEX(Empresas!$D:$D,MATCH(A579,Empresas!$A:$A,0))&amp;"","não consta"))</f>
        <v/>
      </c>
      <c r="K579" s="19" t="str">
        <f aca="false">IF(A579="","",IFERROR(INDEX(Sancoes!$B:$B,MATCH(A579,Sancoes!$A:$A,0))&amp;"","não consta"))</f>
        <v/>
      </c>
      <c r="L579" s="19" t="str">
        <f aca="false">IF(A579="","",IFERROR(INDEX(Eleitoral!$B:$B,MATCH(A579,Eleitoral!$A:$A,0))&amp;"","não consta"))</f>
        <v/>
      </c>
      <c r="M579" s="28" t="str">
        <f aca="false">IF(A579="","",IF(OR(AND(K579&lt;&gt;"",LOWER(K579)&lt;&gt;"não consta"),AND(L579&lt;&gt;"",LOWER(L579)&lt;&gt;"não consta"),IFERROR(INDEX(Empresas!$G:$G,MATCH(A579,Empresas!$A:$A,0))&amp;"","")&lt;&gt;""),"SIM",""))</f>
        <v/>
      </c>
      <c r="N579" s="5"/>
      <c r="O579" s="32" t="str">
        <f aca="false">IF(D579="","",YEAR(D579))</f>
        <v/>
      </c>
      <c r="P579" s="5"/>
    </row>
    <row r="580" customFormat="false" ht="15" hidden="false" customHeight="false" outlineLevel="0" collapsed="false">
      <c r="A580" s="27"/>
      <c r="B580" s="5"/>
      <c r="C580" s="35"/>
      <c r="D580" s="18"/>
      <c r="E580" s="5"/>
      <c r="F580" s="14"/>
      <c r="G580" s="5"/>
      <c r="H580" s="27"/>
      <c r="I580" s="5"/>
      <c r="J580" s="19" t="str">
        <f aca="false">IF(A580="","",IFERROR(INDEX(Empresas!$D:$D,MATCH(A580,Empresas!$A:$A,0))&amp;"","não consta"))</f>
        <v/>
      </c>
      <c r="K580" s="19" t="str">
        <f aca="false">IF(A580="","",IFERROR(INDEX(Sancoes!$B:$B,MATCH(A580,Sancoes!$A:$A,0))&amp;"","não consta"))</f>
        <v/>
      </c>
      <c r="L580" s="19" t="str">
        <f aca="false">IF(A580="","",IFERROR(INDEX(Eleitoral!$B:$B,MATCH(A580,Eleitoral!$A:$A,0))&amp;"","não consta"))</f>
        <v/>
      </c>
      <c r="M580" s="28" t="str">
        <f aca="false">IF(A580="","",IF(OR(AND(K580&lt;&gt;"",LOWER(K580)&lt;&gt;"não consta"),AND(L580&lt;&gt;"",LOWER(L580)&lt;&gt;"não consta"),IFERROR(INDEX(Empresas!$G:$G,MATCH(A580,Empresas!$A:$A,0))&amp;"","")&lt;&gt;""),"SIM",""))</f>
        <v/>
      </c>
      <c r="N580" s="5"/>
      <c r="O580" s="32" t="str">
        <f aca="false">IF(D580="","",YEAR(D580))</f>
        <v/>
      </c>
      <c r="P580" s="5"/>
    </row>
    <row r="581" customFormat="false" ht="15" hidden="false" customHeight="false" outlineLevel="0" collapsed="false">
      <c r="A581" s="27"/>
      <c r="B581" s="5"/>
      <c r="C581" s="35"/>
      <c r="D581" s="18"/>
      <c r="E581" s="5"/>
      <c r="F581" s="14"/>
      <c r="G581" s="5"/>
      <c r="H581" s="27"/>
      <c r="I581" s="5"/>
      <c r="J581" s="19" t="str">
        <f aca="false">IF(A581="","",IFERROR(INDEX(Empresas!$D:$D,MATCH(A581,Empresas!$A:$A,0))&amp;"","não consta"))</f>
        <v/>
      </c>
      <c r="K581" s="19" t="str">
        <f aca="false">IF(A581="","",IFERROR(INDEX(Sancoes!$B:$B,MATCH(A581,Sancoes!$A:$A,0))&amp;"","não consta"))</f>
        <v/>
      </c>
      <c r="L581" s="19" t="str">
        <f aca="false">IF(A581="","",IFERROR(INDEX(Eleitoral!$B:$B,MATCH(A581,Eleitoral!$A:$A,0))&amp;"","não consta"))</f>
        <v/>
      </c>
      <c r="M581" s="28" t="str">
        <f aca="false">IF(A581="","",IF(OR(AND(K581&lt;&gt;"",LOWER(K581)&lt;&gt;"não consta"),AND(L581&lt;&gt;"",LOWER(L581)&lt;&gt;"não consta"),IFERROR(INDEX(Empresas!$G:$G,MATCH(A581,Empresas!$A:$A,0))&amp;"","")&lt;&gt;""),"SIM",""))</f>
        <v/>
      </c>
      <c r="N581" s="5"/>
      <c r="O581" s="32" t="str">
        <f aca="false">IF(D581="","",YEAR(D581))</f>
        <v/>
      </c>
      <c r="P581" s="5"/>
    </row>
    <row r="582" customFormat="false" ht="15" hidden="false" customHeight="false" outlineLevel="0" collapsed="false">
      <c r="A582" s="27"/>
      <c r="B582" s="5"/>
      <c r="C582" s="35"/>
      <c r="D582" s="18"/>
      <c r="E582" s="5"/>
      <c r="F582" s="14"/>
      <c r="G582" s="5"/>
      <c r="H582" s="27"/>
      <c r="I582" s="5"/>
      <c r="J582" s="19" t="str">
        <f aca="false">IF(A582="","",IFERROR(INDEX(Empresas!$D:$D,MATCH(A582,Empresas!$A:$A,0))&amp;"","não consta"))</f>
        <v/>
      </c>
      <c r="K582" s="19" t="str">
        <f aca="false">IF(A582="","",IFERROR(INDEX(Sancoes!$B:$B,MATCH(A582,Sancoes!$A:$A,0))&amp;"","não consta"))</f>
        <v/>
      </c>
      <c r="L582" s="19" t="str">
        <f aca="false">IF(A582="","",IFERROR(INDEX(Eleitoral!$B:$B,MATCH(A582,Eleitoral!$A:$A,0))&amp;"","não consta"))</f>
        <v/>
      </c>
      <c r="M582" s="28" t="str">
        <f aca="false">IF(A582="","",IF(OR(AND(K582&lt;&gt;"",LOWER(K582)&lt;&gt;"não consta"),AND(L582&lt;&gt;"",LOWER(L582)&lt;&gt;"não consta"),IFERROR(INDEX(Empresas!$G:$G,MATCH(A582,Empresas!$A:$A,0))&amp;"","")&lt;&gt;""),"SIM",""))</f>
        <v/>
      </c>
      <c r="N582" s="5"/>
      <c r="O582" s="32" t="str">
        <f aca="false">IF(D582="","",YEAR(D582))</f>
        <v/>
      </c>
      <c r="P582" s="5"/>
    </row>
    <row r="583" customFormat="false" ht="15" hidden="false" customHeight="false" outlineLevel="0" collapsed="false">
      <c r="A583" s="27"/>
      <c r="B583" s="5"/>
      <c r="C583" s="35"/>
      <c r="D583" s="18"/>
      <c r="E583" s="5"/>
      <c r="F583" s="14"/>
      <c r="G583" s="5"/>
      <c r="H583" s="27"/>
      <c r="I583" s="5"/>
      <c r="J583" s="19" t="str">
        <f aca="false">IF(A583="","",IFERROR(INDEX(Empresas!$D:$D,MATCH(A583,Empresas!$A:$A,0))&amp;"","não consta"))</f>
        <v/>
      </c>
      <c r="K583" s="19" t="str">
        <f aca="false">IF(A583="","",IFERROR(INDEX(Sancoes!$B:$B,MATCH(A583,Sancoes!$A:$A,0))&amp;"","não consta"))</f>
        <v/>
      </c>
      <c r="L583" s="19" t="str">
        <f aca="false">IF(A583="","",IFERROR(INDEX(Eleitoral!$B:$B,MATCH(A583,Eleitoral!$A:$A,0))&amp;"","não consta"))</f>
        <v/>
      </c>
      <c r="M583" s="28" t="str">
        <f aca="false">IF(A583="","",IF(OR(AND(K583&lt;&gt;"",LOWER(K583)&lt;&gt;"não consta"),AND(L583&lt;&gt;"",LOWER(L583)&lt;&gt;"não consta"),IFERROR(INDEX(Empresas!$G:$G,MATCH(A583,Empresas!$A:$A,0))&amp;"","")&lt;&gt;""),"SIM",""))</f>
        <v/>
      </c>
      <c r="N583" s="5"/>
      <c r="O583" s="32" t="str">
        <f aca="false">IF(D583="","",YEAR(D583))</f>
        <v/>
      </c>
      <c r="P583" s="5"/>
    </row>
    <row r="584" customFormat="false" ht="15" hidden="false" customHeight="false" outlineLevel="0" collapsed="false">
      <c r="A584" s="27"/>
      <c r="B584" s="5"/>
      <c r="C584" s="35"/>
      <c r="D584" s="18"/>
      <c r="E584" s="5"/>
      <c r="F584" s="14"/>
      <c r="G584" s="5"/>
      <c r="H584" s="27"/>
      <c r="I584" s="5"/>
      <c r="J584" s="19" t="str">
        <f aca="false">IF(A584="","",IFERROR(INDEX(Empresas!$D:$D,MATCH(A584,Empresas!$A:$A,0))&amp;"","não consta"))</f>
        <v/>
      </c>
      <c r="K584" s="19" t="str">
        <f aca="false">IF(A584="","",IFERROR(INDEX(Sancoes!$B:$B,MATCH(A584,Sancoes!$A:$A,0))&amp;"","não consta"))</f>
        <v/>
      </c>
      <c r="L584" s="19" t="str">
        <f aca="false">IF(A584="","",IFERROR(INDEX(Eleitoral!$B:$B,MATCH(A584,Eleitoral!$A:$A,0))&amp;"","não consta"))</f>
        <v/>
      </c>
      <c r="M584" s="28" t="str">
        <f aca="false">IF(A584="","",IF(OR(AND(K584&lt;&gt;"",LOWER(K584)&lt;&gt;"não consta"),AND(L584&lt;&gt;"",LOWER(L584)&lt;&gt;"não consta"),IFERROR(INDEX(Empresas!$G:$G,MATCH(A584,Empresas!$A:$A,0))&amp;"","")&lt;&gt;""),"SIM",""))</f>
        <v/>
      </c>
      <c r="N584" s="5"/>
      <c r="O584" s="32" t="str">
        <f aca="false">IF(D584="","",YEAR(D584))</f>
        <v/>
      </c>
      <c r="P584" s="5"/>
    </row>
    <row r="585" customFormat="false" ht="15" hidden="false" customHeight="false" outlineLevel="0" collapsed="false">
      <c r="A585" s="27"/>
      <c r="B585" s="5"/>
      <c r="C585" s="35"/>
      <c r="D585" s="18"/>
      <c r="E585" s="5"/>
      <c r="F585" s="14"/>
      <c r="G585" s="5"/>
      <c r="H585" s="27"/>
      <c r="I585" s="5"/>
      <c r="J585" s="19" t="str">
        <f aca="false">IF(A585="","",IFERROR(INDEX(Empresas!$D:$D,MATCH(A585,Empresas!$A:$A,0))&amp;"","não consta"))</f>
        <v/>
      </c>
      <c r="K585" s="19" t="str">
        <f aca="false">IF(A585="","",IFERROR(INDEX(Sancoes!$B:$B,MATCH(A585,Sancoes!$A:$A,0))&amp;"","não consta"))</f>
        <v/>
      </c>
      <c r="L585" s="19" t="str">
        <f aca="false">IF(A585="","",IFERROR(INDEX(Eleitoral!$B:$B,MATCH(A585,Eleitoral!$A:$A,0))&amp;"","não consta"))</f>
        <v/>
      </c>
      <c r="M585" s="28" t="str">
        <f aca="false">IF(A585="","",IF(OR(AND(K585&lt;&gt;"",LOWER(K585)&lt;&gt;"não consta"),AND(L585&lt;&gt;"",LOWER(L585)&lt;&gt;"não consta"),IFERROR(INDEX(Empresas!$G:$G,MATCH(A585,Empresas!$A:$A,0))&amp;"","")&lt;&gt;""),"SIM",""))</f>
        <v/>
      </c>
      <c r="N585" s="5"/>
      <c r="O585" s="32" t="str">
        <f aca="false">IF(D585="","",YEAR(D585))</f>
        <v/>
      </c>
      <c r="P585" s="5"/>
    </row>
    <row r="586" customFormat="false" ht="15" hidden="false" customHeight="false" outlineLevel="0" collapsed="false">
      <c r="A586" s="27"/>
      <c r="B586" s="5"/>
      <c r="C586" s="35"/>
      <c r="D586" s="18"/>
      <c r="E586" s="5"/>
      <c r="F586" s="14"/>
      <c r="G586" s="5"/>
      <c r="H586" s="27"/>
      <c r="I586" s="5"/>
      <c r="J586" s="19" t="str">
        <f aca="false">IF(A586="","",IFERROR(INDEX(Empresas!$D:$D,MATCH(A586,Empresas!$A:$A,0))&amp;"","não consta"))</f>
        <v/>
      </c>
      <c r="K586" s="19" t="str">
        <f aca="false">IF(A586="","",IFERROR(INDEX(Sancoes!$B:$B,MATCH(A586,Sancoes!$A:$A,0))&amp;"","não consta"))</f>
        <v/>
      </c>
      <c r="L586" s="19" t="str">
        <f aca="false">IF(A586="","",IFERROR(INDEX(Eleitoral!$B:$B,MATCH(A586,Eleitoral!$A:$A,0))&amp;"","não consta"))</f>
        <v/>
      </c>
      <c r="M586" s="28" t="str">
        <f aca="false">IF(A586="","",IF(OR(AND(K586&lt;&gt;"",LOWER(K586)&lt;&gt;"não consta"),AND(L586&lt;&gt;"",LOWER(L586)&lt;&gt;"não consta"),IFERROR(INDEX(Empresas!$G:$G,MATCH(A586,Empresas!$A:$A,0))&amp;"","")&lt;&gt;""),"SIM",""))</f>
        <v/>
      </c>
      <c r="N586" s="5"/>
      <c r="O586" s="32" t="str">
        <f aca="false">IF(D586="","",YEAR(D586))</f>
        <v/>
      </c>
      <c r="P586" s="5"/>
    </row>
    <row r="587" customFormat="false" ht="15" hidden="false" customHeight="false" outlineLevel="0" collapsed="false">
      <c r="A587" s="27"/>
      <c r="B587" s="5"/>
      <c r="C587" s="35"/>
      <c r="D587" s="18"/>
      <c r="E587" s="5"/>
      <c r="F587" s="14"/>
      <c r="G587" s="5"/>
      <c r="H587" s="27"/>
      <c r="I587" s="5"/>
      <c r="J587" s="19" t="str">
        <f aca="false">IF(A587="","",IFERROR(INDEX(Empresas!$D:$D,MATCH(A587,Empresas!$A:$A,0))&amp;"","não consta"))</f>
        <v/>
      </c>
      <c r="K587" s="19" t="str">
        <f aca="false">IF(A587="","",IFERROR(INDEX(Sancoes!$B:$B,MATCH(A587,Sancoes!$A:$A,0))&amp;"","não consta"))</f>
        <v/>
      </c>
      <c r="L587" s="19" t="str">
        <f aca="false">IF(A587="","",IFERROR(INDEX(Eleitoral!$B:$B,MATCH(A587,Eleitoral!$A:$A,0))&amp;"","não consta"))</f>
        <v/>
      </c>
      <c r="M587" s="28" t="str">
        <f aca="false">IF(A587="","",IF(OR(AND(K587&lt;&gt;"",LOWER(K587)&lt;&gt;"não consta"),AND(L587&lt;&gt;"",LOWER(L587)&lt;&gt;"não consta"),IFERROR(INDEX(Empresas!$G:$G,MATCH(A587,Empresas!$A:$A,0))&amp;"","")&lt;&gt;""),"SIM",""))</f>
        <v/>
      </c>
      <c r="N587" s="5"/>
      <c r="O587" s="32" t="str">
        <f aca="false">IF(D587="","",YEAR(D587))</f>
        <v/>
      </c>
      <c r="P587" s="5"/>
    </row>
    <row r="588" customFormat="false" ht="15" hidden="false" customHeight="false" outlineLevel="0" collapsed="false">
      <c r="A588" s="27"/>
      <c r="B588" s="5"/>
      <c r="C588" s="35"/>
      <c r="D588" s="18"/>
      <c r="E588" s="5"/>
      <c r="F588" s="14"/>
      <c r="G588" s="5"/>
      <c r="H588" s="27"/>
      <c r="I588" s="5"/>
      <c r="J588" s="19" t="str">
        <f aca="false">IF(A588="","",IFERROR(INDEX(Empresas!$D:$D,MATCH(A588,Empresas!$A:$A,0))&amp;"","não consta"))</f>
        <v/>
      </c>
      <c r="K588" s="19" t="str">
        <f aca="false">IF(A588="","",IFERROR(INDEX(Sancoes!$B:$B,MATCH(A588,Sancoes!$A:$A,0))&amp;"","não consta"))</f>
        <v/>
      </c>
      <c r="L588" s="19" t="str">
        <f aca="false">IF(A588="","",IFERROR(INDEX(Eleitoral!$B:$B,MATCH(A588,Eleitoral!$A:$A,0))&amp;"","não consta"))</f>
        <v/>
      </c>
      <c r="M588" s="28" t="str">
        <f aca="false">IF(A588="","",IF(OR(AND(K588&lt;&gt;"",LOWER(K588)&lt;&gt;"não consta"),AND(L588&lt;&gt;"",LOWER(L588)&lt;&gt;"não consta"),IFERROR(INDEX(Empresas!$G:$G,MATCH(A588,Empresas!$A:$A,0))&amp;"","")&lt;&gt;""),"SIM",""))</f>
        <v/>
      </c>
      <c r="N588" s="5"/>
      <c r="O588" s="32" t="str">
        <f aca="false">IF(D588="","",YEAR(D588))</f>
        <v/>
      </c>
      <c r="P588" s="5"/>
    </row>
    <row r="589" customFormat="false" ht="15" hidden="false" customHeight="false" outlineLevel="0" collapsed="false">
      <c r="A589" s="27"/>
      <c r="B589" s="5"/>
      <c r="C589" s="35"/>
      <c r="D589" s="18"/>
      <c r="E589" s="5"/>
      <c r="F589" s="14"/>
      <c r="G589" s="5"/>
      <c r="H589" s="27"/>
      <c r="I589" s="5"/>
      <c r="J589" s="19" t="str">
        <f aca="false">IF(A589="","",IFERROR(INDEX(Empresas!$D:$D,MATCH(A589,Empresas!$A:$A,0))&amp;"","não consta"))</f>
        <v/>
      </c>
      <c r="K589" s="19" t="str">
        <f aca="false">IF(A589="","",IFERROR(INDEX(Sancoes!$B:$B,MATCH(A589,Sancoes!$A:$A,0))&amp;"","não consta"))</f>
        <v/>
      </c>
      <c r="L589" s="19" t="str">
        <f aca="false">IF(A589="","",IFERROR(INDEX(Eleitoral!$B:$B,MATCH(A589,Eleitoral!$A:$A,0))&amp;"","não consta"))</f>
        <v/>
      </c>
      <c r="M589" s="28" t="str">
        <f aca="false">IF(A589="","",IF(OR(AND(K589&lt;&gt;"",LOWER(K589)&lt;&gt;"não consta"),AND(L589&lt;&gt;"",LOWER(L589)&lt;&gt;"não consta"),IFERROR(INDEX(Empresas!$G:$G,MATCH(A589,Empresas!$A:$A,0))&amp;"","")&lt;&gt;""),"SIM",""))</f>
        <v/>
      </c>
      <c r="N589" s="5"/>
      <c r="O589" s="32" t="str">
        <f aca="false">IF(D589="","",YEAR(D589))</f>
        <v/>
      </c>
      <c r="P589" s="5"/>
    </row>
    <row r="590" customFormat="false" ht="15" hidden="false" customHeight="false" outlineLevel="0" collapsed="false">
      <c r="A590" s="27"/>
      <c r="B590" s="5"/>
      <c r="C590" s="35"/>
      <c r="D590" s="18"/>
      <c r="E590" s="5"/>
      <c r="F590" s="14"/>
      <c r="G590" s="5"/>
      <c r="H590" s="27"/>
      <c r="I590" s="5"/>
      <c r="J590" s="19" t="str">
        <f aca="false">IF(A590="","",IFERROR(INDEX(Empresas!$D:$D,MATCH(A590,Empresas!$A:$A,0))&amp;"","não consta"))</f>
        <v/>
      </c>
      <c r="K590" s="19" t="str">
        <f aca="false">IF(A590="","",IFERROR(INDEX(Sancoes!$B:$B,MATCH(A590,Sancoes!$A:$A,0))&amp;"","não consta"))</f>
        <v/>
      </c>
      <c r="L590" s="19" t="str">
        <f aca="false">IF(A590="","",IFERROR(INDEX(Eleitoral!$B:$B,MATCH(A590,Eleitoral!$A:$A,0))&amp;"","não consta"))</f>
        <v/>
      </c>
      <c r="M590" s="28" t="str">
        <f aca="false">IF(A590="","",IF(OR(AND(K590&lt;&gt;"",LOWER(K590)&lt;&gt;"não consta"),AND(L590&lt;&gt;"",LOWER(L590)&lt;&gt;"não consta"),IFERROR(INDEX(Empresas!$G:$G,MATCH(A590,Empresas!$A:$A,0))&amp;"","")&lt;&gt;""),"SIM",""))</f>
        <v/>
      </c>
      <c r="N590" s="5"/>
      <c r="O590" s="32" t="str">
        <f aca="false">IF(D590="","",YEAR(D590))</f>
        <v/>
      </c>
      <c r="P590" s="5"/>
    </row>
    <row r="591" customFormat="false" ht="15" hidden="false" customHeight="false" outlineLevel="0" collapsed="false">
      <c r="A591" s="27"/>
      <c r="B591" s="5"/>
      <c r="C591" s="35"/>
      <c r="D591" s="18"/>
      <c r="E591" s="5"/>
      <c r="F591" s="14"/>
      <c r="G591" s="5"/>
      <c r="H591" s="27"/>
      <c r="I591" s="5"/>
      <c r="J591" s="19" t="str">
        <f aca="false">IF(A591="","",IFERROR(INDEX(Empresas!$D:$D,MATCH(A591,Empresas!$A:$A,0))&amp;"","não consta"))</f>
        <v/>
      </c>
      <c r="K591" s="19" t="str">
        <f aca="false">IF(A591="","",IFERROR(INDEX(Sancoes!$B:$B,MATCH(A591,Sancoes!$A:$A,0))&amp;"","não consta"))</f>
        <v/>
      </c>
      <c r="L591" s="19" t="str">
        <f aca="false">IF(A591="","",IFERROR(INDEX(Eleitoral!$B:$B,MATCH(A591,Eleitoral!$A:$A,0))&amp;"","não consta"))</f>
        <v/>
      </c>
      <c r="M591" s="28" t="str">
        <f aca="false">IF(A591="","",IF(OR(AND(K591&lt;&gt;"",LOWER(K591)&lt;&gt;"não consta"),AND(L591&lt;&gt;"",LOWER(L591)&lt;&gt;"não consta"),IFERROR(INDEX(Empresas!$G:$G,MATCH(A591,Empresas!$A:$A,0))&amp;"","")&lt;&gt;""),"SIM",""))</f>
        <v/>
      </c>
      <c r="N591" s="5"/>
      <c r="O591" s="32" t="str">
        <f aca="false">IF(D591="","",YEAR(D591))</f>
        <v/>
      </c>
      <c r="P591" s="5"/>
    </row>
    <row r="592" customFormat="false" ht="15" hidden="false" customHeight="false" outlineLevel="0" collapsed="false">
      <c r="A592" s="27"/>
      <c r="B592" s="5"/>
      <c r="C592" s="35"/>
      <c r="D592" s="18"/>
      <c r="E592" s="5"/>
      <c r="F592" s="14"/>
      <c r="G592" s="5"/>
      <c r="H592" s="27"/>
      <c r="I592" s="5"/>
      <c r="J592" s="19" t="str">
        <f aca="false">IF(A592="","",IFERROR(INDEX(Empresas!$D:$D,MATCH(A592,Empresas!$A:$A,0))&amp;"","não consta"))</f>
        <v/>
      </c>
      <c r="K592" s="19" t="str">
        <f aca="false">IF(A592="","",IFERROR(INDEX(Sancoes!$B:$B,MATCH(A592,Sancoes!$A:$A,0))&amp;"","não consta"))</f>
        <v/>
      </c>
      <c r="L592" s="19" t="str">
        <f aca="false">IF(A592="","",IFERROR(INDEX(Eleitoral!$B:$B,MATCH(A592,Eleitoral!$A:$A,0))&amp;"","não consta"))</f>
        <v/>
      </c>
      <c r="M592" s="28" t="str">
        <f aca="false">IF(A592="","",IF(OR(AND(K592&lt;&gt;"",LOWER(K592)&lt;&gt;"não consta"),AND(L592&lt;&gt;"",LOWER(L592)&lt;&gt;"não consta"),IFERROR(INDEX(Empresas!$G:$G,MATCH(A592,Empresas!$A:$A,0))&amp;"","")&lt;&gt;""),"SIM",""))</f>
        <v/>
      </c>
      <c r="N592" s="5"/>
      <c r="O592" s="32" t="str">
        <f aca="false">IF(D592="","",YEAR(D592))</f>
        <v/>
      </c>
      <c r="P592" s="5"/>
    </row>
    <row r="593" customFormat="false" ht="15" hidden="false" customHeight="false" outlineLevel="0" collapsed="false">
      <c r="A593" s="27"/>
      <c r="B593" s="5"/>
      <c r="C593" s="35"/>
      <c r="D593" s="18"/>
      <c r="E593" s="5"/>
      <c r="F593" s="14"/>
      <c r="G593" s="5"/>
      <c r="H593" s="27"/>
      <c r="I593" s="5"/>
      <c r="J593" s="19" t="str">
        <f aca="false">IF(A593="","",IFERROR(INDEX(Empresas!$D:$D,MATCH(A593,Empresas!$A:$A,0))&amp;"","não consta"))</f>
        <v/>
      </c>
      <c r="K593" s="19" t="str">
        <f aca="false">IF(A593="","",IFERROR(INDEX(Sancoes!$B:$B,MATCH(A593,Sancoes!$A:$A,0))&amp;"","não consta"))</f>
        <v/>
      </c>
      <c r="L593" s="19" t="str">
        <f aca="false">IF(A593="","",IFERROR(INDEX(Eleitoral!$B:$B,MATCH(A593,Eleitoral!$A:$A,0))&amp;"","não consta"))</f>
        <v/>
      </c>
      <c r="M593" s="28" t="str">
        <f aca="false">IF(A593="","",IF(OR(AND(K593&lt;&gt;"",LOWER(K593)&lt;&gt;"não consta"),AND(L593&lt;&gt;"",LOWER(L593)&lt;&gt;"não consta"),IFERROR(INDEX(Empresas!$G:$G,MATCH(A593,Empresas!$A:$A,0))&amp;"","")&lt;&gt;""),"SIM",""))</f>
        <v/>
      </c>
      <c r="N593" s="5"/>
      <c r="O593" s="32" t="str">
        <f aca="false">IF(D593="","",YEAR(D593))</f>
        <v/>
      </c>
      <c r="P593" s="5"/>
    </row>
    <row r="594" customFormat="false" ht="15" hidden="false" customHeight="false" outlineLevel="0" collapsed="false">
      <c r="A594" s="27"/>
      <c r="B594" s="5"/>
      <c r="C594" s="35"/>
      <c r="D594" s="18"/>
      <c r="E594" s="5"/>
      <c r="F594" s="14"/>
      <c r="G594" s="5"/>
      <c r="H594" s="27"/>
      <c r="I594" s="5"/>
      <c r="J594" s="19" t="str">
        <f aca="false">IF(A594="","",IFERROR(INDEX(Empresas!$D:$D,MATCH(A594,Empresas!$A:$A,0))&amp;"","não consta"))</f>
        <v/>
      </c>
      <c r="K594" s="19" t="str">
        <f aca="false">IF(A594="","",IFERROR(INDEX(Sancoes!$B:$B,MATCH(A594,Sancoes!$A:$A,0))&amp;"","não consta"))</f>
        <v/>
      </c>
      <c r="L594" s="19" t="str">
        <f aca="false">IF(A594="","",IFERROR(INDEX(Eleitoral!$B:$B,MATCH(A594,Eleitoral!$A:$A,0))&amp;"","não consta"))</f>
        <v/>
      </c>
      <c r="M594" s="28" t="str">
        <f aca="false">IF(A594="","",IF(OR(AND(K594&lt;&gt;"",LOWER(K594)&lt;&gt;"não consta"),AND(L594&lt;&gt;"",LOWER(L594)&lt;&gt;"não consta"),IFERROR(INDEX(Empresas!$G:$G,MATCH(A594,Empresas!$A:$A,0))&amp;"","")&lt;&gt;""),"SIM",""))</f>
        <v/>
      </c>
      <c r="N594" s="5"/>
      <c r="O594" s="32" t="str">
        <f aca="false">IF(D594="","",YEAR(D594))</f>
        <v/>
      </c>
      <c r="P594" s="5"/>
    </row>
    <row r="595" customFormat="false" ht="15" hidden="false" customHeight="false" outlineLevel="0" collapsed="false">
      <c r="A595" s="27"/>
      <c r="B595" s="5"/>
      <c r="C595" s="35"/>
      <c r="D595" s="18"/>
      <c r="E595" s="5"/>
      <c r="F595" s="14"/>
      <c r="G595" s="5"/>
      <c r="H595" s="27"/>
      <c r="I595" s="5"/>
      <c r="J595" s="19" t="str">
        <f aca="false">IF(A595="","",IFERROR(INDEX(Empresas!$D:$D,MATCH(A595,Empresas!$A:$A,0))&amp;"","não consta"))</f>
        <v/>
      </c>
      <c r="K595" s="19" t="str">
        <f aca="false">IF(A595="","",IFERROR(INDEX(Sancoes!$B:$B,MATCH(A595,Sancoes!$A:$A,0))&amp;"","não consta"))</f>
        <v/>
      </c>
      <c r="L595" s="19" t="str">
        <f aca="false">IF(A595="","",IFERROR(INDEX(Eleitoral!$B:$B,MATCH(A595,Eleitoral!$A:$A,0))&amp;"","não consta"))</f>
        <v/>
      </c>
      <c r="M595" s="28" t="str">
        <f aca="false">IF(A595="","",IF(OR(AND(K595&lt;&gt;"",LOWER(K595)&lt;&gt;"não consta"),AND(L595&lt;&gt;"",LOWER(L595)&lt;&gt;"não consta"),IFERROR(INDEX(Empresas!$G:$G,MATCH(A595,Empresas!$A:$A,0))&amp;"","")&lt;&gt;""),"SIM",""))</f>
        <v/>
      </c>
      <c r="N595" s="5"/>
      <c r="O595" s="32" t="str">
        <f aca="false">IF(D595="","",YEAR(D595))</f>
        <v/>
      </c>
      <c r="P595" s="5"/>
    </row>
    <row r="596" customFormat="false" ht="15" hidden="false" customHeight="false" outlineLevel="0" collapsed="false">
      <c r="A596" s="27"/>
      <c r="B596" s="5"/>
      <c r="C596" s="35"/>
      <c r="D596" s="18"/>
      <c r="E596" s="5"/>
      <c r="F596" s="14"/>
      <c r="G596" s="5"/>
      <c r="H596" s="27"/>
      <c r="I596" s="5"/>
      <c r="J596" s="19" t="str">
        <f aca="false">IF(A596="","",IFERROR(INDEX(Empresas!$D:$D,MATCH(A596,Empresas!$A:$A,0))&amp;"","não consta"))</f>
        <v/>
      </c>
      <c r="K596" s="19" t="str">
        <f aca="false">IF(A596="","",IFERROR(INDEX(Sancoes!$B:$B,MATCH(A596,Sancoes!$A:$A,0))&amp;"","não consta"))</f>
        <v/>
      </c>
      <c r="L596" s="19" t="str">
        <f aca="false">IF(A596="","",IFERROR(INDEX(Eleitoral!$B:$B,MATCH(A596,Eleitoral!$A:$A,0))&amp;"","não consta"))</f>
        <v/>
      </c>
      <c r="M596" s="28" t="str">
        <f aca="false">IF(A596="","",IF(OR(AND(K596&lt;&gt;"",LOWER(K596)&lt;&gt;"não consta"),AND(L596&lt;&gt;"",LOWER(L596)&lt;&gt;"não consta"),IFERROR(INDEX(Empresas!$G:$G,MATCH(A596,Empresas!$A:$A,0))&amp;"","")&lt;&gt;""),"SIM",""))</f>
        <v/>
      </c>
      <c r="N596" s="5"/>
      <c r="O596" s="32" t="str">
        <f aca="false">IF(D596="","",YEAR(D596))</f>
        <v/>
      </c>
      <c r="P596" s="5"/>
    </row>
    <row r="597" customFormat="false" ht="15" hidden="false" customHeight="false" outlineLevel="0" collapsed="false">
      <c r="A597" s="27"/>
      <c r="B597" s="5"/>
      <c r="C597" s="35"/>
      <c r="D597" s="18"/>
      <c r="E597" s="5"/>
      <c r="F597" s="14"/>
      <c r="G597" s="5"/>
      <c r="H597" s="27"/>
      <c r="I597" s="5"/>
      <c r="J597" s="19" t="str">
        <f aca="false">IF(A597="","",IFERROR(INDEX(Empresas!$D:$D,MATCH(A597,Empresas!$A:$A,0))&amp;"","não consta"))</f>
        <v/>
      </c>
      <c r="K597" s="19" t="str">
        <f aca="false">IF(A597="","",IFERROR(INDEX(Sancoes!$B:$B,MATCH(A597,Sancoes!$A:$A,0))&amp;"","não consta"))</f>
        <v/>
      </c>
      <c r="L597" s="19" t="str">
        <f aca="false">IF(A597="","",IFERROR(INDEX(Eleitoral!$B:$B,MATCH(A597,Eleitoral!$A:$A,0))&amp;"","não consta"))</f>
        <v/>
      </c>
      <c r="M597" s="28" t="str">
        <f aca="false">IF(A597="","",IF(OR(AND(K597&lt;&gt;"",LOWER(K597)&lt;&gt;"não consta"),AND(L597&lt;&gt;"",LOWER(L597)&lt;&gt;"não consta"),IFERROR(INDEX(Empresas!$G:$G,MATCH(A597,Empresas!$A:$A,0))&amp;"","")&lt;&gt;""),"SIM",""))</f>
        <v/>
      </c>
      <c r="N597" s="5"/>
      <c r="O597" s="32" t="str">
        <f aca="false">IF(D597="","",YEAR(D597))</f>
        <v/>
      </c>
      <c r="P597" s="5"/>
    </row>
    <row r="598" customFormat="false" ht="15" hidden="false" customHeight="false" outlineLevel="0" collapsed="false">
      <c r="A598" s="27"/>
      <c r="B598" s="5"/>
      <c r="C598" s="35"/>
      <c r="D598" s="18"/>
      <c r="E598" s="5"/>
      <c r="F598" s="14"/>
      <c r="G598" s="5"/>
      <c r="H598" s="27"/>
      <c r="I598" s="5"/>
      <c r="J598" s="19" t="str">
        <f aca="false">IF(A598="","",IFERROR(INDEX(Empresas!$D:$D,MATCH(A598,Empresas!$A:$A,0))&amp;"","não consta"))</f>
        <v/>
      </c>
      <c r="K598" s="19" t="str">
        <f aca="false">IF(A598="","",IFERROR(INDEX(Sancoes!$B:$B,MATCH(A598,Sancoes!$A:$A,0))&amp;"","não consta"))</f>
        <v/>
      </c>
      <c r="L598" s="19" t="str">
        <f aca="false">IF(A598="","",IFERROR(INDEX(Eleitoral!$B:$B,MATCH(A598,Eleitoral!$A:$A,0))&amp;"","não consta"))</f>
        <v/>
      </c>
      <c r="M598" s="28" t="str">
        <f aca="false">IF(A598="","",IF(OR(AND(K598&lt;&gt;"",LOWER(K598)&lt;&gt;"não consta"),AND(L598&lt;&gt;"",LOWER(L598)&lt;&gt;"não consta"),IFERROR(INDEX(Empresas!$G:$G,MATCH(A598,Empresas!$A:$A,0))&amp;"","")&lt;&gt;""),"SIM",""))</f>
        <v/>
      </c>
      <c r="N598" s="5"/>
      <c r="O598" s="32" t="str">
        <f aca="false">IF(D598="","",YEAR(D598))</f>
        <v/>
      </c>
      <c r="P598" s="5"/>
    </row>
    <row r="599" customFormat="false" ht="15" hidden="false" customHeight="false" outlineLevel="0" collapsed="false">
      <c r="A599" s="27"/>
      <c r="B599" s="5"/>
      <c r="C599" s="35"/>
      <c r="D599" s="18"/>
      <c r="E599" s="5"/>
      <c r="F599" s="14"/>
      <c r="G599" s="5"/>
      <c r="H599" s="27"/>
      <c r="I599" s="5"/>
      <c r="J599" s="19" t="str">
        <f aca="false">IF(A599="","",IFERROR(INDEX(Empresas!$D:$D,MATCH(A599,Empresas!$A:$A,0))&amp;"","não consta"))</f>
        <v/>
      </c>
      <c r="K599" s="19" t="str">
        <f aca="false">IF(A599="","",IFERROR(INDEX(Sancoes!$B:$B,MATCH(A599,Sancoes!$A:$A,0))&amp;"","não consta"))</f>
        <v/>
      </c>
      <c r="L599" s="19" t="str">
        <f aca="false">IF(A599="","",IFERROR(INDEX(Eleitoral!$B:$B,MATCH(A599,Eleitoral!$A:$A,0))&amp;"","não consta"))</f>
        <v/>
      </c>
      <c r="M599" s="28" t="str">
        <f aca="false">IF(A599="","",IF(OR(AND(K599&lt;&gt;"",LOWER(K599)&lt;&gt;"não consta"),AND(L599&lt;&gt;"",LOWER(L599)&lt;&gt;"não consta"),IFERROR(INDEX(Empresas!$G:$G,MATCH(A599,Empresas!$A:$A,0))&amp;"","")&lt;&gt;""),"SIM",""))</f>
        <v/>
      </c>
      <c r="N599" s="5"/>
      <c r="O599" s="32" t="str">
        <f aca="false">IF(D599="","",YEAR(D599))</f>
        <v/>
      </c>
      <c r="P599" s="5"/>
    </row>
    <row r="600" customFormat="false" ht="15" hidden="false" customHeight="false" outlineLevel="0" collapsed="false">
      <c r="A600" s="27"/>
      <c r="B600" s="5"/>
      <c r="C600" s="35"/>
      <c r="D600" s="18"/>
      <c r="E600" s="5"/>
      <c r="F600" s="14"/>
      <c r="G600" s="5"/>
      <c r="H600" s="27"/>
      <c r="I600" s="5"/>
      <c r="J600" s="19" t="str">
        <f aca="false">IF(A600="","",IFERROR(INDEX(Empresas!$D:$D,MATCH(A600,Empresas!$A:$A,0))&amp;"","não consta"))</f>
        <v/>
      </c>
      <c r="K600" s="19" t="str">
        <f aca="false">IF(A600="","",IFERROR(INDEX(Sancoes!$B:$B,MATCH(A600,Sancoes!$A:$A,0))&amp;"","não consta"))</f>
        <v/>
      </c>
      <c r="L600" s="19" t="str">
        <f aca="false">IF(A600="","",IFERROR(INDEX(Eleitoral!$B:$B,MATCH(A600,Eleitoral!$A:$A,0))&amp;"","não consta"))</f>
        <v/>
      </c>
      <c r="M600" s="28" t="str">
        <f aca="false">IF(A600="","",IF(OR(AND(K600&lt;&gt;"",LOWER(K600)&lt;&gt;"não consta"),AND(L600&lt;&gt;"",LOWER(L600)&lt;&gt;"não consta"),IFERROR(INDEX(Empresas!$G:$G,MATCH(A600,Empresas!$A:$A,0))&amp;"","")&lt;&gt;""),"SIM",""))</f>
        <v/>
      </c>
      <c r="N600" s="5"/>
      <c r="O600" s="32" t="str">
        <f aca="false">IF(D600="","",YEAR(D600))</f>
        <v/>
      </c>
      <c r="P600" s="5"/>
    </row>
    <row r="601" customFormat="false" ht="15" hidden="false" customHeight="false" outlineLevel="0" collapsed="false">
      <c r="A601" s="27"/>
      <c r="B601" s="5"/>
      <c r="C601" s="35"/>
      <c r="D601" s="18"/>
      <c r="E601" s="5"/>
      <c r="F601" s="14"/>
      <c r="G601" s="5"/>
      <c r="H601" s="27"/>
      <c r="I601" s="5"/>
      <c r="J601" s="19" t="str">
        <f aca="false">IF(A601="","",IFERROR(INDEX(Empresas!$D:$D,MATCH(A601,Empresas!$A:$A,0))&amp;"","não consta"))</f>
        <v/>
      </c>
      <c r="K601" s="19" t="str">
        <f aca="false">IF(A601="","",IFERROR(INDEX(Sancoes!$B:$B,MATCH(A601,Sancoes!$A:$A,0))&amp;"","não consta"))</f>
        <v/>
      </c>
      <c r="L601" s="19" t="str">
        <f aca="false">IF(A601="","",IFERROR(INDEX(Eleitoral!$B:$B,MATCH(A601,Eleitoral!$A:$A,0))&amp;"","não consta"))</f>
        <v/>
      </c>
      <c r="M601" s="28" t="str">
        <f aca="false">IF(A601="","",IF(OR(AND(K601&lt;&gt;"",LOWER(K601)&lt;&gt;"não consta"),AND(L601&lt;&gt;"",LOWER(L601)&lt;&gt;"não consta"),IFERROR(INDEX(Empresas!$G:$G,MATCH(A601,Empresas!$A:$A,0))&amp;"","")&lt;&gt;""),"SIM",""))</f>
        <v/>
      </c>
      <c r="N601" s="5"/>
      <c r="O601" s="32" t="str">
        <f aca="false">IF(D601="","",YEAR(D601))</f>
        <v/>
      </c>
      <c r="P601" s="5"/>
    </row>
    <row r="602" customFormat="false" ht="15" hidden="false" customHeight="false" outlineLevel="0" collapsed="false">
      <c r="A602" s="27"/>
      <c r="B602" s="5"/>
      <c r="C602" s="35"/>
      <c r="D602" s="18"/>
      <c r="E602" s="5"/>
      <c r="F602" s="14"/>
      <c r="G602" s="5"/>
      <c r="H602" s="27"/>
      <c r="I602" s="5"/>
      <c r="J602" s="19" t="str">
        <f aca="false">IF(A602="","",IFERROR(INDEX(Empresas!$D:$D,MATCH(A602,Empresas!$A:$A,0))&amp;"","não consta"))</f>
        <v/>
      </c>
      <c r="K602" s="19" t="str">
        <f aca="false">IF(A602="","",IFERROR(INDEX(Sancoes!$B:$B,MATCH(A602,Sancoes!$A:$A,0))&amp;"","não consta"))</f>
        <v/>
      </c>
      <c r="L602" s="19" t="str">
        <f aca="false">IF(A602="","",IFERROR(INDEX(Eleitoral!$B:$B,MATCH(A602,Eleitoral!$A:$A,0))&amp;"","não consta"))</f>
        <v/>
      </c>
      <c r="M602" s="28" t="str">
        <f aca="false">IF(A602="","",IF(OR(AND(K602&lt;&gt;"",LOWER(K602)&lt;&gt;"não consta"),AND(L602&lt;&gt;"",LOWER(L602)&lt;&gt;"não consta"),IFERROR(INDEX(Empresas!$G:$G,MATCH(A602,Empresas!$A:$A,0))&amp;"","")&lt;&gt;""),"SIM",""))</f>
        <v/>
      </c>
      <c r="N602" s="5"/>
      <c r="O602" s="32" t="str">
        <f aca="false">IF(D602="","",YEAR(D602))</f>
        <v/>
      </c>
      <c r="P602" s="5"/>
    </row>
    <row r="603" customFormat="false" ht="15" hidden="false" customHeight="false" outlineLevel="0" collapsed="false">
      <c r="A603" s="27"/>
      <c r="B603" s="5"/>
      <c r="C603" s="35"/>
      <c r="D603" s="18"/>
      <c r="E603" s="5"/>
      <c r="F603" s="14"/>
      <c r="G603" s="5"/>
      <c r="H603" s="27"/>
      <c r="I603" s="5"/>
      <c r="J603" s="19" t="str">
        <f aca="false">IF(A603="","",IFERROR(INDEX(Empresas!$D:$D,MATCH(A603,Empresas!$A:$A,0))&amp;"","não consta"))</f>
        <v/>
      </c>
      <c r="K603" s="19" t="str">
        <f aca="false">IF(A603="","",IFERROR(INDEX(Sancoes!$B:$B,MATCH(A603,Sancoes!$A:$A,0))&amp;"","não consta"))</f>
        <v/>
      </c>
      <c r="L603" s="19" t="str">
        <f aca="false">IF(A603="","",IFERROR(INDEX(Eleitoral!$B:$B,MATCH(A603,Eleitoral!$A:$A,0))&amp;"","não consta"))</f>
        <v/>
      </c>
      <c r="M603" s="28" t="str">
        <f aca="false">IF(A603="","",IF(OR(AND(K603&lt;&gt;"",LOWER(K603)&lt;&gt;"não consta"),AND(L603&lt;&gt;"",LOWER(L603)&lt;&gt;"não consta"),IFERROR(INDEX(Empresas!$G:$G,MATCH(A603,Empresas!$A:$A,0))&amp;"","")&lt;&gt;""),"SIM",""))</f>
        <v/>
      </c>
      <c r="N603" s="5"/>
      <c r="O603" s="32" t="str">
        <f aca="false">IF(D603="","",YEAR(D603))</f>
        <v/>
      </c>
      <c r="P603" s="5"/>
    </row>
    <row r="604" customFormat="false" ht="15" hidden="false" customHeight="false" outlineLevel="0" collapsed="false">
      <c r="A604" s="27"/>
      <c r="B604" s="5"/>
      <c r="C604" s="35"/>
      <c r="D604" s="18"/>
      <c r="E604" s="5"/>
      <c r="F604" s="14"/>
      <c r="G604" s="5"/>
      <c r="H604" s="27"/>
      <c r="I604" s="5"/>
      <c r="J604" s="19" t="str">
        <f aca="false">IF(A604="","",IFERROR(INDEX(Empresas!$D:$D,MATCH(A604,Empresas!$A:$A,0))&amp;"","não consta"))</f>
        <v/>
      </c>
      <c r="K604" s="19" t="str">
        <f aca="false">IF(A604="","",IFERROR(INDEX(Sancoes!$B:$B,MATCH(A604,Sancoes!$A:$A,0))&amp;"","não consta"))</f>
        <v/>
      </c>
      <c r="L604" s="19" t="str">
        <f aca="false">IF(A604="","",IFERROR(INDEX(Eleitoral!$B:$B,MATCH(A604,Eleitoral!$A:$A,0))&amp;"","não consta"))</f>
        <v/>
      </c>
      <c r="M604" s="28" t="str">
        <f aca="false">IF(A604="","",IF(OR(AND(K604&lt;&gt;"",LOWER(K604)&lt;&gt;"não consta"),AND(L604&lt;&gt;"",LOWER(L604)&lt;&gt;"não consta"),IFERROR(INDEX(Empresas!$G:$G,MATCH(A604,Empresas!$A:$A,0))&amp;"","")&lt;&gt;""),"SIM",""))</f>
        <v/>
      </c>
      <c r="N604" s="5"/>
      <c r="O604" s="32" t="str">
        <f aca="false">IF(D604="","",YEAR(D604))</f>
        <v/>
      </c>
      <c r="P604" s="5"/>
    </row>
    <row r="605" customFormat="false" ht="15" hidden="false" customHeight="false" outlineLevel="0" collapsed="false">
      <c r="A605" s="27"/>
      <c r="B605" s="5"/>
      <c r="C605" s="35"/>
      <c r="D605" s="18"/>
      <c r="E605" s="5"/>
      <c r="F605" s="14"/>
      <c r="G605" s="5"/>
      <c r="H605" s="27"/>
      <c r="I605" s="5"/>
      <c r="J605" s="19" t="str">
        <f aca="false">IF(A605="","",IFERROR(INDEX(Empresas!$D:$D,MATCH(A605,Empresas!$A:$A,0))&amp;"","não consta"))</f>
        <v/>
      </c>
      <c r="K605" s="19" t="str">
        <f aca="false">IF(A605="","",IFERROR(INDEX(Sancoes!$B:$B,MATCH(A605,Sancoes!$A:$A,0))&amp;"","não consta"))</f>
        <v/>
      </c>
      <c r="L605" s="19" t="str">
        <f aca="false">IF(A605="","",IFERROR(INDEX(Eleitoral!$B:$B,MATCH(A605,Eleitoral!$A:$A,0))&amp;"","não consta"))</f>
        <v/>
      </c>
      <c r="M605" s="28" t="str">
        <f aca="false">IF(A605="","",IF(OR(AND(K605&lt;&gt;"",LOWER(K605)&lt;&gt;"não consta"),AND(L605&lt;&gt;"",LOWER(L605)&lt;&gt;"não consta"),IFERROR(INDEX(Empresas!$G:$G,MATCH(A605,Empresas!$A:$A,0))&amp;"","")&lt;&gt;""),"SIM",""))</f>
        <v/>
      </c>
      <c r="N605" s="5"/>
      <c r="O605" s="32" t="str">
        <f aca="false">IF(D605="","",YEAR(D605))</f>
        <v/>
      </c>
      <c r="P605" s="5"/>
    </row>
    <row r="606" customFormat="false" ht="15" hidden="false" customHeight="false" outlineLevel="0" collapsed="false">
      <c r="A606" s="27"/>
      <c r="B606" s="5"/>
      <c r="C606" s="35"/>
      <c r="D606" s="18"/>
      <c r="E606" s="5"/>
      <c r="F606" s="14"/>
      <c r="G606" s="5"/>
      <c r="H606" s="27"/>
      <c r="I606" s="5"/>
      <c r="J606" s="19" t="str">
        <f aca="false">IF(A606="","",IFERROR(INDEX(Empresas!$D:$D,MATCH(A606,Empresas!$A:$A,0))&amp;"","não consta"))</f>
        <v/>
      </c>
      <c r="K606" s="19" t="str">
        <f aca="false">IF(A606="","",IFERROR(INDEX(Sancoes!$B:$B,MATCH(A606,Sancoes!$A:$A,0))&amp;"","não consta"))</f>
        <v/>
      </c>
      <c r="L606" s="19" t="str">
        <f aca="false">IF(A606="","",IFERROR(INDEX(Eleitoral!$B:$B,MATCH(A606,Eleitoral!$A:$A,0))&amp;"","não consta"))</f>
        <v/>
      </c>
      <c r="M606" s="28" t="str">
        <f aca="false">IF(A606="","",IF(OR(AND(K606&lt;&gt;"",LOWER(K606)&lt;&gt;"não consta"),AND(L606&lt;&gt;"",LOWER(L606)&lt;&gt;"não consta"),IFERROR(INDEX(Empresas!$G:$G,MATCH(A606,Empresas!$A:$A,0))&amp;"","")&lt;&gt;""),"SIM",""))</f>
        <v/>
      </c>
      <c r="N606" s="5"/>
      <c r="O606" s="32" t="str">
        <f aca="false">IF(D606="","",YEAR(D606))</f>
        <v/>
      </c>
      <c r="P606" s="5"/>
    </row>
    <row r="607" customFormat="false" ht="15" hidden="false" customHeight="false" outlineLevel="0" collapsed="false">
      <c r="A607" s="27"/>
      <c r="B607" s="5"/>
      <c r="C607" s="35"/>
      <c r="D607" s="18"/>
      <c r="E607" s="5"/>
      <c r="F607" s="14"/>
      <c r="G607" s="5"/>
      <c r="H607" s="27"/>
      <c r="I607" s="5"/>
      <c r="J607" s="19" t="str">
        <f aca="false">IF(A607="","",IFERROR(INDEX(Empresas!$D:$D,MATCH(A607,Empresas!$A:$A,0))&amp;"","não consta"))</f>
        <v/>
      </c>
      <c r="K607" s="19" t="str">
        <f aca="false">IF(A607="","",IFERROR(INDEX(Sancoes!$B:$B,MATCH(A607,Sancoes!$A:$A,0))&amp;"","não consta"))</f>
        <v/>
      </c>
      <c r="L607" s="19" t="str">
        <f aca="false">IF(A607="","",IFERROR(INDEX(Eleitoral!$B:$B,MATCH(A607,Eleitoral!$A:$A,0))&amp;"","não consta"))</f>
        <v/>
      </c>
      <c r="M607" s="28" t="str">
        <f aca="false">IF(A607="","",IF(OR(AND(K607&lt;&gt;"",LOWER(K607)&lt;&gt;"não consta"),AND(L607&lt;&gt;"",LOWER(L607)&lt;&gt;"não consta"),IFERROR(INDEX(Empresas!$G:$G,MATCH(A607,Empresas!$A:$A,0))&amp;"","")&lt;&gt;""),"SIM",""))</f>
        <v/>
      </c>
      <c r="N607" s="5"/>
      <c r="O607" s="32" t="str">
        <f aca="false">IF(D607="","",YEAR(D607))</f>
        <v/>
      </c>
      <c r="P607" s="5"/>
    </row>
    <row r="608" customFormat="false" ht="15" hidden="false" customHeight="false" outlineLevel="0" collapsed="false">
      <c r="A608" s="27"/>
      <c r="B608" s="5"/>
      <c r="C608" s="35"/>
      <c r="D608" s="18"/>
      <c r="E608" s="5"/>
      <c r="F608" s="14"/>
      <c r="G608" s="5"/>
      <c r="H608" s="27"/>
      <c r="I608" s="5"/>
      <c r="J608" s="19" t="str">
        <f aca="false">IF(A608="","",IFERROR(INDEX(Empresas!$D:$D,MATCH(A608,Empresas!$A:$A,0))&amp;"","não consta"))</f>
        <v/>
      </c>
      <c r="K608" s="19" t="str">
        <f aca="false">IF(A608="","",IFERROR(INDEX(Sancoes!$B:$B,MATCH(A608,Sancoes!$A:$A,0))&amp;"","não consta"))</f>
        <v/>
      </c>
      <c r="L608" s="19" t="str">
        <f aca="false">IF(A608="","",IFERROR(INDEX(Eleitoral!$B:$B,MATCH(A608,Eleitoral!$A:$A,0))&amp;"","não consta"))</f>
        <v/>
      </c>
      <c r="M608" s="28" t="str">
        <f aca="false">IF(A608="","",IF(OR(AND(K608&lt;&gt;"",LOWER(K608)&lt;&gt;"não consta"),AND(L608&lt;&gt;"",LOWER(L608)&lt;&gt;"não consta"),IFERROR(INDEX(Empresas!$G:$G,MATCH(A608,Empresas!$A:$A,0))&amp;"","")&lt;&gt;""),"SIM",""))</f>
        <v/>
      </c>
      <c r="N608" s="5"/>
      <c r="O608" s="32" t="str">
        <f aca="false">IF(D608="","",YEAR(D608))</f>
        <v/>
      </c>
      <c r="P608" s="5"/>
    </row>
    <row r="609" customFormat="false" ht="15" hidden="false" customHeight="false" outlineLevel="0" collapsed="false">
      <c r="A609" s="27"/>
      <c r="B609" s="5"/>
      <c r="C609" s="35"/>
      <c r="D609" s="18"/>
      <c r="E609" s="5"/>
      <c r="F609" s="14"/>
      <c r="G609" s="5"/>
      <c r="H609" s="27"/>
      <c r="I609" s="5"/>
      <c r="J609" s="19" t="str">
        <f aca="false">IF(A609="","",IFERROR(INDEX(Empresas!$D:$D,MATCH(A609,Empresas!$A:$A,0))&amp;"","não consta"))</f>
        <v/>
      </c>
      <c r="K609" s="19" t="str">
        <f aca="false">IF(A609="","",IFERROR(INDEX(Sancoes!$B:$B,MATCH(A609,Sancoes!$A:$A,0))&amp;"","não consta"))</f>
        <v/>
      </c>
      <c r="L609" s="19" t="str">
        <f aca="false">IF(A609="","",IFERROR(INDEX(Eleitoral!$B:$B,MATCH(A609,Eleitoral!$A:$A,0))&amp;"","não consta"))</f>
        <v/>
      </c>
      <c r="M609" s="28" t="str">
        <f aca="false">IF(A609="","",IF(OR(AND(K609&lt;&gt;"",LOWER(K609)&lt;&gt;"não consta"),AND(L609&lt;&gt;"",LOWER(L609)&lt;&gt;"não consta"),IFERROR(INDEX(Empresas!$G:$G,MATCH(A609,Empresas!$A:$A,0))&amp;"","")&lt;&gt;""),"SIM",""))</f>
        <v/>
      </c>
      <c r="N609" s="5"/>
      <c r="O609" s="32" t="str">
        <f aca="false">IF(D609="","",YEAR(D609))</f>
        <v/>
      </c>
      <c r="P609" s="5"/>
    </row>
    <row r="610" customFormat="false" ht="15" hidden="false" customHeight="false" outlineLevel="0" collapsed="false">
      <c r="A610" s="27"/>
      <c r="B610" s="5"/>
      <c r="C610" s="35"/>
      <c r="D610" s="18"/>
      <c r="E610" s="5"/>
      <c r="F610" s="14"/>
      <c r="G610" s="5"/>
      <c r="H610" s="27"/>
      <c r="I610" s="5"/>
      <c r="J610" s="19" t="str">
        <f aca="false">IF(A610="","",IFERROR(INDEX(Empresas!$D:$D,MATCH(A610,Empresas!$A:$A,0))&amp;"","não consta"))</f>
        <v/>
      </c>
      <c r="K610" s="19" t="str">
        <f aca="false">IF(A610="","",IFERROR(INDEX(Sancoes!$B:$B,MATCH(A610,Sancoes!$A:$A,0))&amp;"","não consta"))</f>
        <v/>
      </c>
      <c r="L610" s="19" t="str">
        <f aca="false">IF(A610="","",IFERROR(INDEX(Eleitoral!$B:$B,MATCH(A610,Eleitoral!$A:$A,0))&amp;"","não consta"))</f>
        <v/>
      </c>
      <c r="M610" s="28" t="str">
        <f aca="false">IF(A610="","",IF(OR(AND(K610&lt;&gt;"",LOWER(K610)&lt;&gt;"não consta"),AND(L610&lt;&gt;"",LOWER(L610)&lt;&gt;"não consta"),IFERROR(INDEX(Empresas!$G:$G,MATCH(A610,Empresas!$A:$A,0))&amp;"","")&lt;&gt;""),"SIM",""))</f>
        <v/>
      </c>
      <c r="N610" s="5"/>
      <c r="O610" s="32" t="str">
        <f aca="false">IF(D610="","",YEAR(D610))</f>
        <v/>
      </c>
      <c r="P610" s="5"/>
    </row>
    <row r="611" customFormat="false" ht="15" hidden="false" customHeight="false" outlineLevel="0" collapsed="false">
      <c r="A611" s="27"/>
      <c r="B611" s="5"/>
      <c r="C611" s="35"/>
      <c r="D611" s="18"/>
      <c r="E611" s="5"/>
      <c r="F611" s="14"/>
      <c r="G611" s="5"/>
      <c r="H611" s="27"/>
      <c r="I611" s="5"/>
      <c r="J611" s="19" t="str">
        <f aca="false">IF(A611="","",IFERROR(INDEX(Empresas!$D:$D,MATCH(A611,Empresas!$A:$A,0))&amp;"","não consta"))</f>
        <v/>
      </c>
      <c r="K611" s="19" t="str">
        <f aca="false">IF(A611="","",IFERROR(INDEX(Sancoes!$B:$B,MATCH(A611,Sancoes!$A:$A,0))&amp;"","não consta"))</f>
        <v/>
      </c>
      <c r="L611" s="19" t="str">
        <f aca="false">IF(A611="","",IFERROR(INDEX(Eleitoral!$B:$B,MATCH(A611,Eleitoral!$A:$A,0))&amp;"","não consta"))</f>
        <v/>
      </c>
      <c r="M611" s="28" t="str">
        <f aca="false">IF(A611="","",IF(OR(AND(K611&lt;&gt;"",LOWER(K611)&lt;&gt;"não consta"),AND(L611&lt;&gt;"",LOWER(L611)&lt;&gt;"não consta"),IFERROR(INDEX(Empresas!$G:$G,MATCH(A611,Empresas!$A:$A,0))&amp;"","")&lt;&gt;""),"SIM",""))</f>
        <v/>
      </c>
      <c r="N611" s="5"/>
      <c r="O611" s="32" t="str">
        <f aca="false">IF(D611="","",YEAR(D611))</f>
        <v/>
      </c>
      <c r="P611" s="5"/>
    </row>
    <row r="612" customFormat="false" ht="15" hidden="false" customHeight="false" outlineLevel="0" collapsed="false">
      <c r="A612" s="27"/>
      <c r="B612" s="5"/>
      <c r="C612" s="35"/>
      <c r="D612" s="18"/>
      <c r="E612" s="5"/>
      <c r="F612" s="14"/>
      <c r="G612" s="5"/>
      <c r="H612" s="27"/>
      <c r="I612" s="5"/>
      <c r="J612" s="19" t="str">
        <f aca="false">IF(A612="","",IFERROR(INDEX(Empresas!$D:$D,MATCH(A612,Empresas!$A:$A,0))&amp;"","não consta"))</f>
        <v/>
      </c>
      <c r="K612" s="19" t="str">
        <f aca="false">IF(A612="","",IFERROR(INDEX(Sancoes!$B:$B,MATCH(A612,Sancoes!$A:$A,0))&amp;"","não consta"))</f>
        <v/>
      </c>
      <c r="L612" s="19" t="str">
        <f aca="false">IF(A612="","",IFERROR(INDEX(Eleitoral!$B:$B,MATCH(A612,Eleitoral!$A:$A,0))&amp;"","não consta"))</f>
        <v/>
      </c>
      <c r="M612" s="28" t="str">
        <f aca="false">IF(A612="","",IF(OR(AND(K612&lt;&gt;"",LOWER(K612)&lt;&gt;"não consta"),AND(L612&lt;&gt;"",LOWER(L612)&lt;&gt;"não consta"),IFERROR(INDEX(Empresas!$G:$G,MATCH(A612,Empresas!$A:$A,0))&amp;"","")&lt;&gt;""),"SIM",""))</f>
        <v/>
      </c>
      <c r="N612" s="5"/>
      <c r="O612" s="32" t="str">
        <f aca="false">IF(D612="","",YEAR(D612))</f>
        <v/>
      </c>
      <c r="P612" s="5"/>
    </row>
    <row r="613" customFormat="false" ht="15" hidden="false" customHeight="false" outlineLevel="0" collapsed="false">
      <c r="A613" s="27"/>
      <c r="B613" s="5"/>
      <c r="C613" s="35"/>
      <c r="D613" s="18"/>
      <c r="E613" s="5"/>
      <c r="F613" s="14"/>
      <c r="G613" s="5"/>
      <c r="H613" s="27"/>
      <c r="I613" s="5"/>
      <c r="J613" s="19" t="str">
        <f aca="false">IF(A613="","",IFERROR(INDEX(Empresas!$D:$D,MATCH(A613,Empresas!$A:$A,0))&amp;"","não consta"))</f>
        <v/>
      </c>
      <c r="K613" s="19" t="str">
        <f aca="false">IF(A613="","",IFERROR(INDEX(Sancoes!$B:$B,MATCH(A613,Sancoes!$A:$A,0))&amp;"","não consta"))</f>
        <v/>
      </c>
      <c r="L613" s="19" t="str">
        <f aca="false">IF(A613="","",IFERROR(INDEX(Eleitoral!$B:$B,MATCH(A613,Eleitoral!$A:$A,0))&amp;"","não consta"))</f>
        <v/>
      </c>
      <c r="M613" s="28" t="str">
        <f aca="false">IF(A613="","",IF(OR(AND(K613&lt;&gt;"",LOWER(K613)&lt;&gt;"não consta"),AND(L613&lt;&gt;"",LOWER(L613)&lt;&gt;"não consta"),IFERROR(INDEX(Empresas!$G:$G,MATCH(A613,Empresas!$A:$A,0))&amp;"","")&lt;&gt;""),"SIM",""))</f>
        <v/>
      </c>
      <c r="N613" s="5"/>
      <c r="O613" s="32" t="str">
        <f aca="false">IF(D613="","",YEAR(D613))</f>
        <v/>
      </c>
      <c r="P613" s="5"/>
    </row>
    <row r="614" customFormat="false" ht="15" hidden="false" customHeight="false" outlineLevel="0" collapsed="false">
      <c r="A614" s="27"/>
      <c r="B614" s="5"/>
      <c r="C614" s="35"/>
      <c r="D614" s="18"/>
      <c r="E614" s="5"/>
      <c r="F614" s="14"/>
      <c r="G614" s="5"/>
      <c r="H614" s="27"/>
      <c r="I614" s="5"/>
      <c r="J614" s="19" t="str">
        <f aca="false">IF(A614="","",IFERROR(INDEX(Empresas!$D:$D,MATCH(A614,Empresas!$A:$A,0))&amp;"","não consta"))</f>
        <v/>
      </c>
      <c r="K614" s="19" t="str">
        <f aca="false">IF(A614="","",IFERROR(INDEX(Sancoes!$B:$B,MATCH(A614,Sancoes!$A:$A,0))&amp;"","não consta"))</f>
        <v/>
      </c>
      <c r="L614" s="19" t="str">
        <f aca="false">IF(A614="","",IFERROR(INDEX(Eleitoral!$B:$B,MATCH(A614,Eleitoral!$A:$A,0))&amp;"","não consta"))</f>
        <v/>
      </c>
      <c r="M614" s="28" t="str">
        <f aca="false">IF(A614="","",IF(OR(AND(K614&lt;&gt;"",LOWER(K614)&lt;&gt;"não consta"),AND(L614&lt;&gt;"",LOWER(L614)&lt;&gt;"não consta"),IFERROR(INDEX(Empresas!$G:$G,MATCH(A614,Empresas!$A:$A,0))&amp;"","")&lt;&gt;""),"SIM",""))</f>
        <v/>
      </c>
      <c r="N614" s="5"/>
      <c r="O614" s="32" t="str">
        <f aca="false">IF(D614="","",YEAR(D614))</f>
        <v/>
      </c>
      <c r="P614" s="5"/>
    </row>
    <row r="615" customFormat="false" ht="15" hidden="false" customHeight="false" outlineLevel="0" collapsed="false">
      <c r="A615" s="27"/>
      <c r="B615" s="5"/>
      <c r="C615" s="35"/>
      <c r="D615" s="18"/>
      <c r="E615" s="5"/>
      <c r="F615" s="14"/>
      <c r="G615" s="5"/>
      <c r="H615" s="27"/>
      <c r="I615" s="5"/>
      <c r="J615" s="19" t="str">
        <f aca="false">IF(A615="","",IFERROR(INDEX(Empresas!$D:$D,MATCH(A615,Empresas!$A:$A,0))&amp;"","não consta"))</f>
        <v/>
      </c>
      <c r="K615" s="19" t="str">
        <f aca="false">IF(A615="","",IFERROR(INDEX(Sancoes!$B:$B,MATCH(A615,Sancoes!$A:$A,0))&amp;"","não consta"))</f>
        <v/>
      </c>
      <c r="L615" s="19" t="str">
        <f aca="false">IF(A615="","",IFERROR(INDEX(Eleitoral!$B:$B,MATCH(A615,Eleitoral!$A:$A,0))&amp;"","não consta"))</f>
        <v/>
      </c>
      <c r="M615" s="28" t="str">
        <f aca="false">IF(A615="","",IF(OR(AND(K615&lt;&gt;"",LOWER(K615)&lt;&gt;"não consta"),AND(L615&lt;&gt;"",LOWER(L615)&lt;&gt;"não consta"),IFERROR(INDEX(Empresas!$G:$G,MATCH(A615,Empresas!$A:$A,0))&amp;"","")&lt;&gt;""),"SIM",""))</f>
        <v/>
      </c>
      <c r="N615" s="5"/>
      <c r="O615" s="32" t="str">
        <f aca="false">IF(D615="","",YEAR(D615))</f>
        <v/>
      </c>
      <c r="P615" s="5"/>
    </row>
    <row r="616" customFormat="false" ht="15" hidden="false" customHeight="false" outlineLevel="0" collapsed="false">
      <c r="A616" s="27"/>
      <c r="B616" s="5"/>
      <c r="C616" s="35"/>
      <c r="D616" s="18"/>
      <c r="E616" s="5"/>
      <c r="F616" s="14"/>
      <c r="G616" s="5"/>
      <c r="H616" s="27"/>
      <c r="I616" s="5"/>
      <c r="J616" s="19" t="str">
        <f aca="false">IF(A616="","",IFERROR(INDEX(Empresas!$D:$D,MATCH(A616,Empresas!$A:$A,0))&amp;"","não consta"))</f>
        <v/>
      </c>
      <c r="K616" s="19" t="str">
        <f aca="false">IF(A616="","",IFERROR(INDEX(Sancoes!$B:$B,MATCH(A616,Sancoes!$A:$A,0))&amp;"","não consta"))</f>
        <v/>
      </c>
      <c r="L616" s="19" t="str">
        <f aca="false">IF(A616="","",IFERROR(INDEX(Eleitoral!$B:$B,MATCH(A616,Eleitoral!$A:$A,0))&amp;"","não consta"))</f>
        <v/>
      </c>
      <c r="M616" s="28" t="str">
        <f aca="false">IF(A616="","",IF(OR(AND(K616&lt;&gt;"",LOWER(K616)&lt;&gt;"não consta"),AND(L616&lt;&gt;"",LOWER(L616)&lt;&gt;"não consta"),IFERROR(INDEX(Empresas!$G:$G,MATCH(A616,Empresas!$A:$A,0))&amp;"","")&lt;&gt;""),"SIM",""))</f>
        <v/>
      </c>
      <c r="N616" s="5"/>
      <c r="O616" s="32" t="str">
        <f aca="false">IF(D616="","",YEAR(D616))</f>
        <v/>
      </c>
      <c r="P616" s="5"/>
    </row>
    <row r="617" customFormat="false" ht="15" hidden="false" customHeight="false" outlineLevel="0" collapsed="false">
      <c r="A617" s="27"/>
      <c r="B617" s="5"/>
      <c r="C617" s="35"/>
      <c r="D617" s="18"/>
      <c r="E617" s="5"/>
      <c r="F617" s="14"/>
      <c r="G617" s="5"/>
      <c r="H617" s="27"/>
      <c r="I617" s="5"/>
      <c r="J617" s="19" t="str">
        <f aca="false">IF(A617="","",IFERROR(INDEX(Empresas!$D:$D,MATCH(A617,Empresas!$A:$A,0))&amp;"","não consta"))</f>
        <v/>
      </c>
      <c r="K617" s="19" t="str">
        <f aca="false">IF(A617="","",IFERROR(INDEX(Sancoes!$B:$B,MATCH(A617,Sancoes!$A:$A,0))&amp;"","não consta"))</f>
        <v/>
      </c>
      <c r="L617" s="19" t="str">
        <f aca="false">IF(A617="","",IFERROR(INDEX(Eleitoral!$B:$B,MATCH(A617,Eleitoral!$A:$A,0))&amp;"","não consta"))</f>
        <v/>
      </c>
      <c r="M617" s="28" t="str">
        <f aca="false">IF(A617="","",IF(OR(AND(K617&lt;&gt;"",LOWER(K617)&lt;&gt;"não consta"),AND(L617&lt;&gt;"",LOWER(L617)&lt;&gt;"não consta"),IFERROR(INDEX(Empresas!$G:$G,MATCH(A617,Empresas!$A:$A,0))&amp;"","")&lt;&gt;""),"SIM",""))</f>
        <v/>
      </c>
      <c r="N617" s="5"/>
      <c r="O617" s="32" t="str">
        <f aca="false">IF(D617="","",YEAR(D617))</f>
        <v/>
      </c>
      <c r="P617" s="5"/>
    </row>
    <row r="618" customFormat="false" ht="15" hidden="false" customHeight="false" outlineLevel="0" collapsed="false">
      <c r="A618" s="27"/>
      <c r="B618" s="5"/>
      <c r="C618" s="35"/>
      <c r="D618" s="18"/>
      <c r="E618" s="5"/>
      <c r="F618" s="14"/>
      <c r="G618" s="5"/>
      <c r="H618" s="27"/>
      <c r="I618" s="5"/>
      <c r="J618" s="19" t="str">
        <f aca="false">IF(A618="","",IFERROR(INDEX(Empresas!$D:$D,MATCH(A618,Empresas!$A:$A,0))&amp;"","não consta"))</f>
        <v/>
      </c>
      <c r="K618" s="19" t="str">
        <f aca="false">IF(A618="","",IFERROR(INDEX(Sancoes!$B:$B,MATCH(A618,Sancoes!$A:$A,0))&amp;"","não consta"))</f>
        <v/>
      </c>
      <c r="L618" s="19" t="str">
        <f aca="false">IF(A618="","",IFERROR(INDEX(Eleitoral!$B:$B,MATCH(A618,Eleitoral!$A:$A,0))&amp;"","não consta"))</f>
        <v/>
      </c>
      <c r="M618" s="28" t="str">
        <f aca="false">IF(A618="","",IF(OR(AND(K618&lt;&gt;"",LOWER(K618)&lt;&gt;"não consta"),AND(L618&lt;&gt;"",LOWER(L618)&lt;&gt;"não consta"),IFERROR(INDEX(Empresas!$G:$G,MATCH(A618,Empresas!$A:$A,0))&amp;"","")&lt;&gt;""),"SIM",""))</f>
        <v/>
      </c>
      <c r="N618" s="5"/>
      <c r="O618" s="32" t="str">
        <f aca="false">IF(D618="","",YEAR(D618))</f>
        <v/>
      </c>
      <c r="P618" s="5"/>
    </row>
    <row r="619" customFormat="false" ht="15" hidden="false" customHeight="false" outlineLevel="0" collapsed="false">
      <c r="A619" s="27"/>
      <c r="B619" s="5"/>
      <c r="C619" s="35"/>
      <c r="D619" s="18"/>
      <c r="E619" s="5"/>
      <c r="F619" s="14"/>
      <c r="G619" s="5"/>
      <c r="H619" s="27"/>
      <c r="I619" s="5"/>
      <c r="J619" s="19" t="str">
        <f aca="false">IF(A619="","",IFERROR(INDEX(Empresas!$D:$D,MATCH(A619,Empresas!$A:$A,0))&amp;"","não consta"))</f>
        <v/>
      </c>
      <c r="K619" s="19" t="str">
        <f aca="false">IF(A619="","",IFERROR(INDEX(Sancoes!$B:$B,MATCH(A619,Sancoes!$A:$A,0))&amp;"","não consta"))</f>
        <v/>
      </c>
      <c r="L619" s="19" t="str">
        <f aca="false">IF(A619="","",IFERROR(INDEX(Eleitoral!$B:$B,MATCH(A619,Eleitoral!$A:$A,0))&amp;"","não consta"))</f>
        <v/>
      </c>
      <c r="M619" s="28" t="str">
        <f aca="false">IF(A619="","",IF(OR(AND(K619&lt;&gt;"",LOWER(K619)&lt;&gt;"não consta"),AND(L619&lt;&gt;"",LOWER(L619)&lt;&gt;"não consta"),IFERROR(INDEX(Empresas!$G:$G,MATCH(A619,Empresas!$A:$A,0))&amp;"","")&lt;&gt;""),"SIM",""))</f>
        <v/>
      </c>
      <c r="N619" s="5"/>
      <c r="O619" s="32" t="str">
        <f aca="false">IF(D619="","",YEAR(D619))</f>
        <v/>
      </c>
      <c r="P619" s="5"/>
    </row>
    <row r="620" customFormat="false" ht="15" hidden="false" customHeight="false" outlineLevel="0" collapsed="false">
      <c r="A620" s="27"/>
      <c r="B620" s="5"/>
      <c r="C620" s="35"/>
      <c r="D620" s="18"/>
      <c r="E620" s="5"/>
      <c r="F620" s="14"/>
      <c r="G620" s="5"/>
      <c r="H620" s="27"/>
      <c r="I620" s="5"/>
      <c r="J620" s="19" t="str">
        <f aca="false">IF(A620="","",IFERROR(INDEX(Empresas!$D:$D,MATCH(A620,Empresas!$A:$A,0))&amp;"","não consta"))</f>
        <v/>
      </c>
      <c r="K620" s="19" t="str">
        <f aca="false">IF(A620="","",IFERROR(INDEX(Sancoes!$B:$B,MATCH(A620,Sancoes!$A:$A,0))&amp;"","não consta"))</f>
        <v/>
      </c>
      <c r="L620" s="19" t="str">
        <f aca="false">IF(A620="","",IFERROR(INDEX(Eleitoral!$B:$B,MATCH(A620,Eleitoral!$A:$A,0))&amp;"","não consta"))</f>
        <v/>
      </c>
      <c r="M620" s="28" t="str">
        <f aca="false">IF(A620="","",IF(OR(AND(K620&lt;&gt;"",LOWER(K620)&lt;&gt;"não consta"),AND(L620&lt;&gt;"",LOWER(L620)&lt;&gt;"não consta"),IFERROR(INDEX(Empresas!$G:$G,MATCH(A620,Empresas!$A:$A,0))&amp;"","")&lt;&gt;""),"SIM",""))</f>
        <v/>
      </c>
      <c r="N620" s="5"/>
      <c r="O620" s="32" t="str">
        <f aca="false">IF(D620="","",YEAR(D620))</f>
        <v/>
      </c>
      <c r="P620" s="5"/>
    </row>
    <row r="621" customFormat="false" ht="15" hidden="false" customHeight="false" outlineLevel="0" collapsed="false">
      <c r="A621" s="27"/>
      <c r="B621" s="5"/>
      <c r="C621" s="35"/>
      <c r="D621" s="18"/>
      <c r="E621" s="5"/>
      <c r="F621" s="14"/>
      <c r="G621" s="5"/>
      <c r="H621" s="27"/>
      <c r="I621" s="5"/>
      <c r="J621" s="19" t="str">
        <f aca="false">IF(A621="","",IFERROR(INDEX(Empresas!$D:$D,MATCH(A621,Empresas!$A:$A,0))&amp;"","não consta"))</f>
        <v/>
      </c>
      <c r="K621" s="19" t="str">
        <f aca="false">IF(A621="","",IFERROR(INDEX(Sancoes!$B:$B,MATCH(A621,Sancoes!$A:$A,0))&amp;"","não consta"))</f>
        <v/>
      </c>
      <c r="L621" s="19" t="str">
        <f aca="false">IF(A621="","",IFERROR(INDEX(Eleitoral!$B:$B,MATCH(A621,Eleitoral!$A:$A,0))&amp;"","não consta"))</f>
        <v/>
      </c>
      <c r="M621" s="28" t="str">
        <f aca="false">IF(A621="","",IF(OR(AND(K621&lt;&gt;"",LOWER(K621)&lt;&gt;"não consta"),AND(L621&lt;&gt;"",LOWER(L621)&lt;&gt;"não consta"),IFERROR(INDEX(Empresas!$G:$G,MATCH(A621,Empresas!$A:$A,0))&amp;"","")&lt;&gt;""),"SIM",""))</f>
        <v/>
      </c>
      <c r="N621" s="5"/>
      <c r="O621" s="32" t="str">
        <f aca="false">IF(D621="","",YEAR(D621))</f>
        <v/>
      </c>
      <c r="P621" s="5"/>
    </row>
    <row r="622" customFormat="false" ht="15" hidden="false" customHeight="false" outlineLevel="0" collapsed="false">
      <c r="A622" s="27"/>
      <c r="B622" s="5"/>
      <c r="C622" s="35"/>
      <c r="D622" s="18"/>
      <c r="E622" s="5"/>
      <c r="F622" s="14"/>
      <c r="G622" s="5"/>
      <c r="H622" s="27"/>
      <c r="I622" s="5"/>
      <c r="J622" s="19" t="str">
        <f aca="false">IF(A622="","",IFERROR(INDEX(Empresas!$D:$D,MATCH(A622,Empresas!$A:$A,0))&amp;"","não consta"))</f>
        <v/>
      </c>
      <c r="K622" s="19" t="str">
        <f aca="false">IF(A622="","",IFERROR(INDEX(Sancoes!$B:$B,MATCH(A622,Sancoes!$A:$A,0))&amp;"","não consta"))</f>
        <v/>
      </c>
      <c r="L622" s="19" t="str">
        <f aca="false">IF(A622="","",IFERROR(INDEX(Eleitoral!$B:$B,MATCH(A622,Eleitoral!$A:$A,0))&amp;"","não consta"))</f>
        <v/>
      </c>
      <c r="M622" s="28" t="str">
        <f aca="false">IF(A622="","",IF(OR(AND(K622&lt;&gt;"",LOWER(K622)&lt;&gt;"não consta"),AND(L622&lt;&gt;"",LOWER(L622)&lt;&gt;"não consta"),IFERROR(INDEX(Empresas!$G:$G,MATCH(A622,Empresas!$A:$A,0))&amp;"","")&lt;&gt;""),"SIM",""))</f>
        <v/>
      </c>
      <c r="N622" s="5"/>
      <c r="O622" s="32" t="str">
        <f aca="false">IF(D622="","",YEAR(D622))</f>
        <v/>
      </c>
      <c r="P622" s="5"/>
    </row>
    <row r="623" customFormat="false" ht="15" hidden="false" customHeight="false" outlineLevel="0" collapsed="false">
      <c r="A623" s="27"/>
      <c r="B623" s="5"/>
      <c r="C623" s="35"/>
      <c r="D623" s="18"/>
      <c r="E623" s="5"/>
      <c r="F623" s="14"/>
      <c r="G623" s="5"/>
      <c r="H623" s="27"/>
      <c r="I623" s="5"/>
      <c r="J623" s="19" t="str">
        <f aca="false">IF(A623="","",IFERROR(INDEX(Empresas!$D:$D,MATCH(A623,Empresas!$A:$A,0))&amp;"","não consta"))</f>
        <v/>
      </c>
      <c r="K623" s="19" t="str">
        <f aca="false">IF(A623="","",IFERROR(INDEX(Sancoes!$B:$B,MATCH(A623,Sancoes!$A:$A,0))&amp;"","não consta"))</f>
        <v/>
      </c>
      <c r="L623" s="19" t="str">
        <f aca="false">IF(A623="","",IFERROR(INDEX(Eleitoral!$B:$B,MATCH(A623,Eleitoral!$A:$A,0))&amp;"","não consta"))</f>
        <v/>
      </c>
      <c r="M623" s="28" t="str">
        <f aca="false">IF(A623="","",IF(OR(AND(K623&lt;&gt;"",LOWER(K623)&lt;&gt;"não consta"),AND(L623&lt;&gt;"",LOWER(L623)&lt;&gt;"não consta"),IFERROR(INDEX(Empresas!$G:$G,MATCH(A623,Empresas!$A:$A,0))&amp;"","")&lt;&gt;""),"SIM",""))</f>
        <v/>
      </c>
      <c r="N623" s="5"/>
      <c r="O623" s="32" t="str">
        <f aca="false">IF(D623="","",YEAR(D623))</f>
        <v/>
      </c>
      <c r="P623" s="5"/>
    </row>
    <row r="624" customFormat="false" ht="15" hidden="false" customHeight="false" outlineLevel="0" collapsed="false">
      <c r="A624" s="27"/>
      <c r="B624" s="5"/>
      <c r="C624" s="35"/>
      <c r="D624" s="18"/>
      <c r="E624" s="5"/>
      <c r="F624" s="14"/>
      <c r="G624" s="5"/>
      <c r="H624" s="27"/>
      <c r="I624" s="5"/>
      <c r="J624" s="19" t="str">
        <f aca="false">IF(A624="","",IFERROR(INDEX(Empresas!$D:$D,MATCH(A624,Empresas!$A:$A,0))&amp;"","não consta"))</f>
        <v/>
      </c>
      <c r="K624" s="19" t="str">
        <f aca="false">IF(A624="","",IFERROR(INDEX(Sancoes!$B:$B,MATCH(A624,Sancoes!$A:$A,0))&amp;"","não consta"))</f>
        <v/>
      </c>
      <c r="L624" s="19" t="str">
        <f aca="false">IF(A624="","",IFERROR(INDEX(Eleitoral!$B:$B,MATCH(A624,Eleitoral!$A:$A,0))&amp;"","não consta"))</f>
        <v/>
      </c>
      <c r="M624" s="28" t="str">
        <f aca="false">IF(A624="","",IF(OR(AND(K624&lt;&gt;"",LOWER(K624)&lt;&gt;"não consta"),AND(L624&lt;&gt;"",LOWER(L624)&lt;&gt;"não consta"),IFERROR(INDEX(Empresas!$G:$G,MATCH(A624,Empresas!$A:$A,0))&amp;"","")&lt;&gt;""),"SIM",""))</f>
        <v/>
      </c>
      <c r="N624" s="5"/>
      <c r="O624" s="32" t="str">
        <f aca="false">IF(D624="","",YEAR(D624))</f>
        <v/>
      </c>
      <c r="P624" s="5"/>
    </row>
    <row r="625" customFormat="false" ht="15" hidden="false" customHeight="false" outlineLevel="0" collapsed="false">
      <c r="A625" s="27"/>
      <c r="B625" s="5"/>
      <c r="C625" s="35"/>
      <c r="D625" s="18"/>
      <c r="E625" s="5"/>
      <c r="F625" s="14"/>
      <c r="G625" s="5"/>
      <c r="H625" s="27"/>
      <c r="I625" s="5"/>
      <c r="J625" s="19" t="str">
        <f aca="false">IF(A625="","",IFERROR(INDEX(Empresas!$D:$D,MATCH(A625,Empresas!$A:$A,0))&amp;"","não consta"))</f>
        <v/>
      </c>
      <c r="K625" s="19" t="str">
        <f aca="false">IF(A625="","",IFERROR(INDEX(Sancoes!$B:$B,MATCH(A625,Sancoes!$A:$A,0))&amp;"","não consta"))</f>
        <v/>
      </c>
      <c r="L625" s="19" t="str">
        <f aca="false">IF(A625="","",IFERROR(INDEX(Eleitoral!$B:$B,MATCH(A625,Eleitoral!$A:$A,0))&amp;"","não consta"))</f>
        <v/>
      </c>
      <c r="M625" s="28" t="str">
        <f aca="false">IF(A625="","",IF(OR(AND(K625&lt;&gt;"",LOWER(K625)&lt;&gt;"não consta"),AND(L625&lt;&gt;"",LOWER(L625)&lt;&gt;"não consta"),IFERROR(INDEX(Empresas!$G:$G,MATCH(A625,Empresas!$A:$A,0))&amp;"","")&lt;&gt;""),"SIM",""))</f>
        <v/>
      </c>
      <c r="N625" s="5"/>
      <c r="O625" s="32" t="str">
        <f aca="false">IF(D625="","",YEAR(D625))</f>
        <v/>
      </c>
      <c r="P625" s="5"/>
    </row>
    <row r="626" customFormat="false" ht="15" hidden="false" customHeight="false" outlineLevel="0" collapsed="false">
      <c r="A626" s="27"/>
      <c r="B626" s="5"/>
      <c r="C626" s="35"/>
      <c r="D626" s="18"/>
      <c r="E626" s="5"/>
      <c r="F626" s="14"/>
      <c r="G626" s="5"/>
      <c r="H626" s="27"/>
      <c r="I626" s="5"/>
      <c r="J626" s="19" t="str">
        <f aca="false">IF(A626="","",IFERROR(INDEX(Empresas!$D:$D,MATCH(A626,Empresas!$A:$A,0))&amp;"","não consta"))</f>
        <v/>
      </c>
      <c r="K626" s="19" t="str">
        <f aca="false">IF(A626="","",IFERROR(INDEX(Sancoes!$B:$B,MATCH(A626,Sancoes!$A:$A,0))&amp;"","não consta"))</f>
        <v/>
      </c>
      <c r="L626" s="19" t="str">
        <f aca="false">IF(A626="","",IFERROR(INDEX(Eleitoral!$B:$B,MATCH(A626,Eleitoral!$A:$A,0))&amp;"","não consta"))</f>
        <v/>
      </c>
      <c r="M626" s="28" t="str">
        <f aca="false">IF(A626="","",IF(OR(AND(K626&lt;&gt;"",LOWER(K626)&lt;&gt;"não consta"),AND(L626&lt;&gt;"",LOWER(L626)&lt;&gt;"não consta"),IFERROR(INDEX(Empresas!$G:$G,MATCH(A626,Empresas!$A:$A,0))&amp;"","")&lt;&gt;""),"SIM",""))</f>
        <v/>
      </c>
      <c r="N626" s="5"/>
      <c r="O626" s="32" t="str">
        <f aca="false">IF(D626="","",YEAR(D626))</f>
        <v/>
      </c>
      <c r="P626" s="5"/>
    </row>
    <row r="627" customFormat="false" ht="15" hidden="false" customHeight="false" outlineLevel="0" collapsed="false">
      <c r="A627" s="27"/>
      <c r="B627" s="5"/>
      <c r="C627" s="35"/>
      <c r="D627" s="18"/>
      <c r="E627" s="5"/>
      <c r="F627" s="14"/>
      <c r="G627" s="5"/>
      <c r="H627" s="27"/>
      <c r="I627" s="5"/>
      <c r="J627" s="19" t="str">
        <f aca="false">IF(A627="","",IFERROR(INDEX(Empresas!$D:$D,MATCH(A627,Empresas!$A:$A,0))&amp;"","não consta"))</f>
        <v/>
      </c>
      <c r="K627" s="19" t="str">
        <f aca="false">IF(A627="","",IFERROR(INDEX(Sancoes!$B:$B,MATCH(A627,Sancoes!$A:$A,0))&amp;"","não consta"))</f>
        <v/>
      </c>
      <c r="L627" s="19" t="str">
        <f aca="false">IF(A627="","",IFERROR(INDEX(Eleitoral!$B:$B,MATCH(A627,Eleitoral!$A:$A,0))&amp;"","não consta"))</f>
        <v/>
      </c>
      <c r="M627" s="28" t="str">
        <f aca="false">IF(A627="","",IF(OR(AND(K627&lt;&gt;"",LOWER(K627)&lt;&gt;"não consta"),AND(L627&lt;&gt;"",LOWER(L627)&lt;&gt;"não consta"),IFERROR(INDEX(Empresas!$G:$G,MATCH(A627,Empresas!$A:$A,0))&amp;"","")&lt;&gt;""),"SIM",""))</f>
        <v/>
      </c>
      <c r="N627" s="5"/>
      <c r="O627" s="32" t="str">
        <f aca="false">IF(D627="","",YEAR(D627))</f>
        <v/>
      </c>
      <c r="P627" s="5"/>
    </row>
    <row r="628" customFormat="false" ht="15" hidden="false" customHeight="false" outlineLevel="0" collapsed="false">
      <c r="A628" s="27"/>
      <c r="B628" s="5"/>
      <c r="C628" s="35"/>
      <c r="D628" s="18"/>
      <c r="E628" s="5"/>
      <c r="F628" s="14"/>
      <c r="G628" s="5"/>
      <c r="H628" s="27"/>
      <c r="I628" s="5"/>
      <c r="J628" s="19" t="str">
        <f aca="false">IF(A628="","",IFERROR(INDEX(Empresas!$D:$D,MATCH(A628,Empresas!$A:$A,0))&amp;"","não consta"))</f>
        <v/>
      </c>
      <c r="K628" s="19" t="str">
        <f aca="false">IF(A628="","",IFERROR(INDEX(Sancoes!$B:$B,MATCH(A628,Sancoes!$A:$A,0))&amp;"","não consta"))</f>
        <v/>
      </c>
      <c r="L628" s="19" t="str">
        <f aca="false">IF(A628="","",IFERROR(INDEX(Eleitoral!$B:$B,MATCH(A628,Eleitoral!$A:$A,0))&amp;"","não consta"))</f>
        <v/>
      </c>
      <c r="M628" s="28" t="str">
        <f aca="false">IF(A628="","",IF(OR(AND(K628&lt;&gt;"",LOWER(K628)&lt;&gt;"não consta"),AND(L628&lt;&gt;"",LOWER(L628)&lt;&gt;"não consta"),IFERROR(INDEX(Empresas!$G:$G,MATCH(A628,Empresas!$A:$A,0))&amp;"","")&lt;&gt;""),"SIM",""))</f>
        <v/>
      </c>
      <c r="N628" s="5"/>
      <c r="O628" s="32" t="str">
        <f aca="false">IF(D628="","",YEAR(D628))</f>
        <v/>
      </c>
      <c r="P628" s="5"/>
    </row>
    <row r="629" customFormat="false" ht="15" hidden="false" customHeight="false" outlineLevel="0" collapsed="false">
      <c r="A629" s="27"/>
      <c r="B629" s="5"/>
      <c r="C629" s="35"/>
      <c r="D629" s="18"/>
      <c r="E629" s="5"/>
      <c r="F629" s="14"/>
      <c r="G629" s="5"/>
      <c r="H629" s="27"/>
      <c r="I629" s="5"/>
      <c r="J629" s="19" t="str">
        <f aca="false">IF(A629="","",IFERROR(INDEX(Empresas!$D:$D,MATCH(A629,Empresas!$A:$A,0))&amp;"","não consta"))</f>
        <v/>
      </c>
      <c r="K629" s="19" t="str">
        <f aca="false">IF(A629="","",IFERROR(INDEX(Sancoes!$B:$B,MATCH(A629,Sancoes!$A:$A,0))&amp;"","não consta"))</f>
        <v/>
      </c>
      <c r="L629" s="19" t="str">
        <f aca="false">IF(A629="","",IFERROR(INDEX(Eleitoral!$B:$B,MATCH(A629,Eleitoral!$A:$A,0))&amp;"","não consta"))</f>
        <v/>
      </c>
      <c r="M629" s="28" t="str">
        <f aca="false">IF(A629="","",IF(OR(AND(K629&lt;&gt;"",LOWER(K629)&lt;&gt;"não consta"),AND(L629&lt;&gt;"",LOWER(L629)&lt;&gt;"não consta"),IFERROR(INDEX(Empresas!$G:$G,MATCH(A629,Empresas!$A:$A,0))&amp;"","")&lt;&gt;""),"SIM",""))</f>
        <v/>
      </c>
      <c r="N629" s="5"/>
      <c r="O629" s="32" t="str">
        <f aca="false">IF(D629="","",YEAR(D629))</f>
        <v/>
      </c>
      <c r="P629" s="5"/>
    </row>
    <row r="630" customFormat="false" ht="15" hidden="false" customHeight="false" outlineLevel="0" collapsed="false">
      <c r="A630" s="27"/>
      <c r="B630" s="5"/>
      <c r="C630" s="35"/>
      <c r="D630" s="18"/>
      <c r="E630" s="5"/>
      <c r="F630" s="14"/>
      <c r="G630" s="5"/>
      <c r="H630" s="27"/>
      <c r="I630" s="5"/>
      <c r="J630" s="19" t="str">
        <f aca="false">IF(A630="","",IFERROR(INDEX(Empresas!$D:$D,MATCH(A630,Empresas!$A:$A,0))&amp;"","não consta"))</f>
        <v/>
      </c>
      <c r="K630" s="19" t="str">
        <f aca="false">IF(A630="","",IFERROR(INDEX(Sancoes!$B:$B,MATCH(A630,Sancoes!$A:$A,0))&amp;"","não consta"))</f>
        <v/>
      </c>
      <c r="L630" s="19" t="str">
        <f aca="false">IF(A630="","",IFERROR(INDEX(Eleitoral!$B:$B,MATCH(A630,Eleitoral!$A:$A,0))&amp;"","não consta"))</f>
        <v/>
      </c>
      <c r="M630" s="28" t="str">
        <f aca="false">IF(A630="","",IF(OR(AND(K630&lt;&gt;"",LOWER(K630)&lt;&gt;"não consta"),AND(L630&lt;&gt;"",LOWER(L630)&lt;&gt;"não consta"),IFERROR(INDEX(Empresas!$G:$G,MATCH(A630,Empresas!$A:$A,0))&amp;"","")&lt;&gt;""),"SIM",""))</f>
        <v/>
      </c>
      <c r="N630" s="5"/>
      <c r="O630" s="32" t="str">
        <f aca="false">IF(D630="","",YEAR(D630))</f>
        <v/>
      </c>
      <c r="P630" s="5"/>
    </row>
    <row r="631" customFormat="false" ht="15" hidden="false" customHeight="false" outlineLevel="0" collapsed="false">
      <c r="A631" s="27"/>
      <c r="B631" s="5"/>
      <c r="C631" s="35"/>
      <c r="D631" s="18"/>
      <c r="E631" s="5"/>
      <c r="F631" s="14"/>
      <c r="G631" s="5"/>
      <c r="H631" s="27"/>
      <c r="I631" s="5"/>
      <c r="J631" s="19" t="str">
        <f aca="false">IF(A631="","",IFERROR(INDEX(Empresas!$D:$D,MATCH(A631,Empresas!$A:$A,0))&amp;"","não consta"))</f>
        <v/>
      </c>
      <c r="K631" s="19" t="str">
        <f aca="false">IF(A631="","",IFERROR(INDEX(Sancoes!$B:$B,MATCH(A631,Sancoes!$A:$A,0))&amp;"","não consta"))</f>
        <v/>
      </c>
      <c r="L631" s="19" t="str">
        <f aca="false">IF(A631="","",IFERROR(INDEX(Eleitoral!$B:$B,MATCH(A631,Eleitoral!$A:$A,0))&amp;"","não consta"))</f>
        <v/>
      </c>
      <c r="M631" s="28" t="str">
        <f aca="false">IF(A631="","",IF(OR(AND(K631&lt;&gt;"",LOWER(K631)&lt;&gt;"não consta"),AND(L631&lt;&gt;"",LOWER(L631)&lt;&gt;"não consta"),IFERROR(INDEX(Empresas!$G:$G,MATCH(A631,Empresas!$A:$A,0))&amp;"","")&lt;&gt;""),"SIM",""))</f>
        <v/>
      </c>
      <c r="N631" s="5"/>
      <c r="O631" s="32" t="str">
        <f aca="false">IF(D631="","",YEAR(D631))</f>
        <v/>
      </c>
      <c r="P631" s="5"/>
    </row>
    <row r="632" customFormat="false" ht="15" hidden="false" customHeight="false" outlineLevel="0" collapsed="false">
      <c r="A632" s="27"/>
      <c r="B632" s="5"/>
      <c r="C632" s="35"/>
      <c r="D632" s="18"/>
      <c r="E632" s="5"/>
      <c r="F632" s="14"/>
      <c r="G632" s="5"/>
      <c r="H632" s="27"/>
      <c r="I632" s="5"/>
      <c r="J632" s="19" t="str">
        <f aca="false">IF(A632="","",IFERROR(INDEX(Empresas!$D:$D,MATCH(A632,Empresas!$A:$A,0))&amp;"","não consta"))</f>
        <v/>
      </c>
      <c r="K632" s="19" t="str">
        <f aca="false">IF(A632="","",IFERROR(INDEX(Sancoes!$B:$B,MATCH(A632,Sancoes!$A:$A,0))&amp;"","não consta"))</f>
        <v/>
      </c>
      <c r="L632" s="19" t="str">
        <f aca="false">IF(A632="","",IFERROR(INDEX(Eleitoral!$B:$B,MATCH(A632,Eleitoral!$A:$A,0))&amp;"","não consta"))</f>
        <v/>
      </c>
      <c r="M632" s="28" t="str">
        <f aca="false">IF(A632="","",IF(OR(AND(K632&lt;&gt;"",LOWER(K632)&lt;&gt;"não consta"),AND(L632&lt;&gt;"",LOWER(L632)&lt;&gt;"não consta"),IFERROR(INDEX(Empresas!$G:$G,MATCH(A632,Empresas!$A:$A,0))&amp;"","")&lt;&gt;""),"SIM",""))</f>
        <v/>
      </c>
      <c r="N632" s="5"/>
      <c r="O632" s="32" t="str">
        <f aca="false">IF(D632="","",YEAR(D632))</f>
        <v/>
      </c>
      <c r="P632" s="5"/>
    </row>
    <row r="633" customFormat="false" ht="15" hidden="false" customHeight="false" outlineLevel="0" collapsed="false">
      <c r="A633" s="27"/>
      <c r="B633" s="5"/>
      <c r="C633" s="35"/>
      <c r="D633" s="18"/>
      <c r="E633" s="5"/>
      <c r="F633" s="14"/>
      <c r="G633" s="5"/>
      <c r="H633" s="27"/>
      <c r="I633" s="5"/>
      <c r="J633" s="19" t="str">
        <f aca="false">IF(A633="","",IFERROR(INDEX(Empresas!$D:$D,MATCH(A633,Empresas!$A:$A,0))&amp;"","não consta"))</f>
        <v/>
      </c>
      <c r="K633" s="19" t="str">
        <f aca="false">IF(A633="","",IFERROR(INDEX(Sancoes!$B:$B,MATCH(A633,Sancoes!$A:$A,0))&amp;"","não consta"))</f>
        <v/>
      </c>
      <c r="L633" s="19" t="str">
        <f aca="false">IF(A633="","",IFERROR(INDEX(Eleitoral!$B:$B,MATCH(A633,Eleitoral!$A:$A,0))&amp;"","não consta"))</f>
        <v/>
      </c>
      <c r="M633" s="28" t="str">
        <f aca="false">IF(A633="","",IF(OR(AND(K633&lt;&gt;"",LOWER(K633)&lt;&gt;"não consta"),AND(L633&lt;&gt;"",LOWER(L633)&lt;&gt;"não consta"),IFERROR(INDEX(Empresas!$G:$G,MATCH(A633,Empresas!$A:$A,0))&amp;"","")&lt;&gt;""),"SIM",""))</f>
        <v/>
      </c>
      <c r="N633" s="5"/>
      <c r="O633" s="32" t="str">
        <f aca="false">IF(D633="","",YEAR(D633))</f>
        <v/>
      </c>
      <c r="P633" s="5"/>
    </row>
    <row r="634" customFormat="false" ht="15" hidden="false" customHeight="false" outlineLevel="0" collapsed="false">
      <c r="A634" s="27"/>
      <c r="B634" s="5"/>
      <c r="C634" s="35"/>
      <c r="D634" s="18"/>
      <c r="E634" s="5"/>
      <c r="F634" s="14"/>
      <c r="G634" s="5"/>
      <c r="H634" s="27"/>
      <c r="I634" s="5"/>
      <c r="J634" s="19" t="str">
        <f aca="false">IF(A634="","",IFERROR(INDEX(Empresas!$D:$D,MATCH(A634,Empresas!$A:$A,0))&amp;"","não consta"))</f>
        <v/>
      </c>
      <c r="K634" s="19" t="str">
        <f aca="false">IF(A634="","",IFERROR(INDEX(Sancoes!$B:$B,MATCH(A634,Sancoes!$A:$A,0))&amp;"","não consta"))</f>
        <v/>
      </c>
      <c r="L634" s="19" t="str">
        <f aca="false">IF(A634="","",IFERROR(INDEX(Eleitoral!$B:$B,MATCH(A634,Eleitoral!$A:$A,0))&amp;"","não consta"))</f>
        <v/>
      </c>
      <c r="M634" s="28" t="str">
        <f aca="false">IF(A634="","",IF(OR(AND(K634&lt;&gt;"",LOWER(K634)&lt;&gt;"não consta"),AND(L634&lt;&gt;"",LOWER(L634)&lt;&gt;"não consta"),IFERROR(INDEX(Empresas!$G:$G,MATCH(A634,Empresas!$A:$A,0))&amp;"","")&lt;&gt;""),"SIM",""))</f>
        <v/>
      </c>
      <c r="N634" s="5"/>
      <c r="O634" s="32" t="str">
        <f aca="false">IF(D634="","",YEAR(D634))</f>
        <v/>
      </c>
      <c r="P634" s="5"/>
    </row>
    <row r="635" customFormat="false" ht="15" hidden="false" customHeight="false" outlineLevel="0" collapsed="false">
      <c r="A635" s="27"/>
      <c r="B635" s="5"/>
      <c r="C635" s="35"/>
      <c r="D635" s="18"/>
      <c r="E635" s="5"/>
      <c r="F635" s="14"/>
      <c r="G635" s="5"/>
      <c r="H635" s="27"/>
      <c r="I635" s="5"/>
      <c r="J635" s="19" t="str">
        <f aca="false">IF(A635="","",IFERROR(INDEX(Empresas!$D:$D,MATCH(A635,Empresas!$A:$A,0))&amp;"","não consta"))</f>
        <v/>
      </c>
      <c r="K635" s="19" t="str">
        <f aca="false">IF(A635="","",IFERROR(INDEX(Sancoes!$B:$B,MATCH(A635,Sancoes!$A:$A,0))&amp;"","não consta"))</f>
        <v/>
      </c>
      <c r="L635" s="19" t="str">
        <f aca="false">IF(A635="","",IFERROR(INDEX(Eleitoral!$B:$B,MATCH(A635,Eleitoral!$A:$A,0))&amp;"","não consta"))</f>
        <v/>
      </c>
      <c r="M635" s="28" t="str">
        <f aca="false">IF(A635="","",IF(OR(AND(K635&lt;&gt;"",LOWER(K635)&lt;&gt;"não consta"),AND(L635&lt;&gt;"",LOWER(L635)&lt;&gt;"não consta"),IFERROR(INDEX(Empresas!$G:$G,MATCH(A635,Empresas!$A:$A,0))&amp;"","")&lt;&gt;""),"SIM",""))</f>
        <v/>
      </c>
      <c r="N635" s="5"/>
      <c r="O635" s="32" t="str">
        <f aca="false">IF(D635="","",YEAR(D635))</f>
        <v/>
      </c>
      <c r="P635" s="5"/>
    </row>
    <row r="636" customFormat="false" ht="15" hidden="false" customHeight="false" outlineLevel="0" collapsed="false">
      <c r="A636" s="27"/>
      <c r="B636" s="5"/>
      <c r="C636" s="35"/>
      <c r="D636" s="18"/>
      <c r="E636" s="5"/>
      <c r="F636" s="14"/>
      <c r="G636" s="5"/>
      <c r="H636" s="27"/>
      <c r="I636" s="5"/>
      <c r="J636" s="19" t="str">
        <f aca="false">IF(A636="","",IFERROR(INDEX(Empresas!$D:$D,MATCH(A636,Empresas!$A:$A,0))&amp;"","não consta"))</f>
        <v/>
      </c>
      <c r="K636" s="19" t="str">
        <f aca="false">IF(A636="","",IFERROR(INDEX(Sancoes!$B:$B,MATCH(A636,Sancoes!$A:$A,0))&amp;"","não consta"))</f>
        <v/>
      </c>
      <c r="L636" s="19" t="str">
        <f aca="false">IF(A636="","",IFERROR(INDEX(Eleitoral!$B:$B,MATCH(A636,Eleitoral!$A:$A,0))&amp;"","não consta"))</f>
        <v/>
      </c>
      <c r="M636" s="28" t="str">
        <f aca="false">IF(A636="","",IF(OR(AND(K636&lt;&gt;"",LOWER(K636)&lt;&gt;"não consta"),AND(L636&lt;&gt;"",LOWER(L636)&lt;&gt;"não consta"),IFERROR(INDEX(Empresas!$G:$G,MATCH(A636,Empresas!$A:$A,0))&amp;"","")&lt;&gt;""),"SIM",""))</f>
        <v/>
      </c>
      <c r="N636" s="5"/>
      <c r="O636" s="32" t="str">
        <f aca="false">IF(D636="","",YEAR(D636))</f>
        <v/>
      </c>
      <c r="P636" s="5"/>
    </row>
    <row r="637" customFormat="false" ht="15" hidden="false" customHeight="false" outlineLevel="0" collapsed="false">
      <c r="A637" s="27"/>
      <c r="B637" s="5"/>
      <c r="C637" s="35"/>
      <c r="D637" s="18"/>
      <c r="E637" s="5"/>
      <c r="F637" s="14"/>
      <c r="G637" s="5"/>
      <c r="H637" s="27"/>
      <c r="I637" s="5"/>
      <c r="J637" s="19" t="str">
        <f aca="false">IF(A637="","",IFERROR(INDEX(Empresas!$D:$D,MATCH(A637,Empresas!$A:$A,0))&amp;"","não consta"))</f>
        <v/>
      </c>
      <c r="K637" s="19" t="str">
        <f aca="false">IF(A637="","",IFERROR(INDEX(Sancoes!$B:$B,MATCH(A637,Sancoes!$A:$A,0))&amp;"","não consta"))</f>
        <v/>
      </c>
      <c r="L637" s="19" t="str">
        <f aca="false">IF(A637="","",IFERROR(INDEX(Eleitoral!$B:$B,MATCH(A637,Eleitoral!$A:$A,0))&amp;"","não consta"))</f>
        <v/>
      </c>
      <c r="M637" s="28" t="str">
        <f aca="false">IF(A637="","",IF(OR(AND(K637&lt;&gt;"",LOWER(K637)&lt;&gt;"não consta"),AND(L637&lt;&gt;"",LOWER(L637)&lt;&gt;"não consta"),IFERROR(INDEX(Empresas!$G:$G,MATCH(A637,Empresas!$A:$A,0))&amp;"","")&lt;&gt;""),"SIM",""))</f>
        <v/>
      </c>
      <c r="N637" s="5"/>
      <c r="O637" s="32" t="str">
        <f aca="false">IF(D637="","",YEAR(D637))</f>
        <v/>
      </c>
      <c r="P637" s="5"/>
    </row>
    <row r="638" customFormat="false" ht="15" hidden="false" customHeight="false" outlineLevel="0" collapsed="false">
      <c r="A638" s="27"/>
      <c r="B638" s="5"/>
      <c r="C638" s="35"/>
      <c r="D638" s="18"/>
      <c r="E638" s="5"/>
      <c r="F638" s="14"/>
      <c r="G638" s="5"/>
      <c r="H638" s="27"/>
      <c r="I638" s="5"/>
      <c r="J638" s="19" t="str">
        <f aca="false">IF(A638="","",IFERROR(INDEX(Empresas!$D:$D,MATCH(A638,Empresas!$A:$A,0))&amp;"","não consta"))</f>
        <v/>
      </c>
      <c r="K638" s="19" t="str">
        <f aca="false">IF(A638="","",IFERROR(INDEX(Sancoes!$B:$B,MATCH(A638,Sancoes!$A:$A,0))&amp;"","não consta"))</f>
        <v/>
      </c>
      <c r="L638" s="19" t="str">
        <f aca="false">IF(A638="","",IFERROR(INDEX(Eleitoral!$B:$B,MATCH(A638,Eleitoral!$A:$A,0))&amp;"","não consta"))</f>
        <v/>
      </c>
      <c r="M638" s="28" t="str">
        <f aca="false">IF(A638="","",IF(OR(AND(K638&lt;&gt;"",LOWER(K638)&lt;&gt;"não consta"),AND(L638&lt;&gt;"",LOWER(L638)&lt;&gt;"não consta"),IFERROR(INDEX(Empresas!$G:$G,MATCH(A638,Empresas!$A:$A,0))&amp;"","")&lt;&gt;""),"SIM",""))</f>
        <v/>
      </c>
      <c r="N638" s="5"/>
      <c r="O638" s="32" t="str">
        <f aca="false">IF(D638="","",YEAR(D638))</f>
        <v/>
      </c>
      <c r="P638" s="5"/>
    </row>
    <row r="639" customFormat="false" ht="15" hidden="false" customHeight="false" outlineLevel="0" collapsed="false">
      <c r="A639" s="27"/>
      <c r="B639" s="5"/>
      <c r="C639" s="35"/>
      <c r="D639" s="18"/>
      <c r="E639" s="5"/>
      <c r="F639" s="14"/>
      <c r="G639" s="5"/>
      <c r="H639" s="27"/>
      <c r="I639" s="5"/>
      <c r="J639" s="19" t="str">
        <f aca="false">IF(A639="","",IFERROR(INDEX(Empresas!$D:$D,MATCH(A639,Empresas!$A:$A,0))&amp;"","não consta"))</f>
        <v/>
      </c>
      <c r="K639" s="19" t="str">
        <f aca="false">IF(A639="","",IFERROR(INDEX(Sancoes!$B:$B,MATCH(A639,Sancoes!$A:$A,0))&amp;"","não consta"))</f>
        <v/>
      </c>
      <c r="L639" s="19" t="str">
        <f aca="false">IF(A639="","",IFERROR(INDEX(Eleitoral!$B:$B,MATCH(A639,Eleitoral!$A:$A,0))&amp;"","não consta"))</f>
        <v/>
      </c>
      <c r="M639" s="28" t="str">
        <f aca="false">IF(A639="","",IF(OR(AND(K639&lt;&gt;"",LOWER(K639)&lt;&gt;"não consta"),AND(L639&lt;&gt;"",LOWER(L639)&lt;&gt;"não consta"),IFERROR(INDEX(Empresas!$G:$G,MATCH(A639,Empresas!$A:$A,0))&amp;"","")&lt;&gt;""),"SIM",""))</f>
        <v/>
      </c>
      <c r="N639" s="5"/>
      <c r="O639" s="32" t="str">
        <f aca="false">IF(D639="","",YEAR(D639))</f>
        <v/>
      </c>
      <c r="P639" s="5"/>
    </row>
    <row r="640" customFormat="false" ht="15" hidden="false" customHeight="false" outlineLevel="0" collapsed="false">
      <c r="A640" s="27"/>
      <c r="B640" s="5"/>
      <c r="C640" s="35"/>
      <c r="D640" s="18"/>
      <c r="E640" s="5"/>
      <c r="F640" s="14"/>
      <c r="G640" s="5"/>
      <c r="H640" s="27"/>
      <c r="I640" s="5"/>
      <c r="J640" s="19" t="str">
        <f aca="false">IF(A640="","",IFERROR(INDEX(Empresas!$D:$D,MATCH(A640,Empresas!$A:$A,0))&amp;"","não consta"))</f>
        <v/>
      </c>
      <c r="K640" s="19" t="str">
        <f aca="false">IF(A640="","",IFERROR(INDEX(Sancoes!$B:$B,MATCH(A640,Sancoes!$A:$A,0))&amp;"","não consta"))</f>
        <v/>
      </c>
      <c r="L640" s="19" t="str">
        <f aca="false">IF(A640="","",IFERROR(INDEX(Eleitoral!$B:$B,MATCH(A640,Eleitoral!$A:$A,0))&amp;"","não consta"))</f>
        <v/>
      </c>
      <c r="M640" s="28" t="str">
        <f aca="false">IF(A640="","",IF(OR(AND(K640&lt;&gt;"",LOWER(K640)&lt;&gt;"não consta"),AND(L640&lt;&gt;"",LOWER(L640)&lt;&gt;"não consta"),IFERROR(INDEX(Empresas!$G:$G,MATCH(A640,Empresas!$A:$A,0))&amp;"","")&lt;&gt;""),"SIM",""))</f>
        <v/>
      </c>
      <c r="N640" s="5"/>
      <c r="O640" s="32" t="str">
        <f aca="false">IF(D640="","",YEAR(D640))</f>
        <v/>
      </c>
      <c r="P640" s="5"/>
    </row>
    <row r="641" customFormat="false" ht="15" hidden="false" customHeight="false" outlineLevel="0" collapsed="false">
      <c r="A641" s="27"/>
      <c r="B641" s="5"/>
      <c r="C641" s="35"/>
      <c r="D641" s="18"/>
      <c r="E641" s="5"/>
      <c r="F641" s="14"/>
      <c r="G641" s="5"/>
      <c r="H641" s="27"/>
      <c r="I641" s="5"/>
      <c r="J641" s="19" t="str">
        <f aca="false">IF(A641="","",IFERROR(INDEX(Empresas!$D:$D,MATCH(A641,Empresas!$A:$A,0))&amp;"","não consta"))</f>
        <v/>
      </c>
      <c r="K641" s="19" t="str">
        <f aca="false">IF(A641="","",IFERROR(INDEX(Sancoes!$B:$B,MATCH(A641,Sancoes!$A:$A,0))&amp;"","não consta"))</f>
        <v/>
      </c>
      <c r="L641" s="19" t="str">
        <f aca="false">IF(A641="","",IFERROR(INDEX(Eleitoral!$B:$B,MATCH(A641,Eleitoral!$A:$A,0))&amp;"","não consta"))</f>
        <v/>
      </c>
      <c r="M641" s="28" t="str">
        <f aca="false">IF(A641="","",IF(OR(AND(K641&lt;&gt;"",LOWER(K641)&lt;&gt;"não consta"),AND(L641&lt;&gt;"",LOWER(L641)&lt;&gt;"não consta"),IFERROR(INDEX(Empresas!$G:$G,MATCH(A641,Empresas!$A:$A,0))&amp;"","")&lt;&gt;""),"SIM",""))</f>
        <v/>
      </c>
      <c r="N641" s="5"/>
      <c r="O641" s="32" t="str">
        <f aca="false">IF(D641="","",YEAR(D641))</f>
        <v/>
      </c>
      <c r="P641" s="5"/>
    </row>
    <row r="642" customFormat="false" ht="15" hidden="false" customHeight="false" outlineLevel="0" collapsed="false">
      <c r="A642" s="27"/>
      <c r="B642" s="5"/>
      <c r="C642" s="35"/>
      <c r="D642" s="18"/>
      <c r="E642" s="5"/>
      <c r="F642" s="14"/>
      <c r="G642" s="5"/>
      <c r="H642" s="27"/>
      <c r="I642" s="5"/>
      <c r="J642" s="19" t="str">
        <f aca="false">IF(A642="","",IFERROR(INDEX(Empresas!$D:$D,MATCH(A642,Empresas!$A:$A,0))&amp;"","não consta"))</f>
        <v/>
      </c>
      <c r="K642" s="19" t="str">
        <f aca="false">IF(A642="","",IFERROR(INDEX(Sancoes!$B:$B,MATCH(A642,Sancoes!$A:$A,0))&amp;"","não consta"))</f>
        <v/>
      </c>
      <c r="L642" s="19" t="str">
        <f aca="false">IF(A642="","",IFERROR(INDEX(Eleitoral!$B:$B,MATCH(A642,Eleitoral!$A:$A,0))&amp;"","não consta"))</f>
        <v/>
      </c>
      <c r="M642" s="28" t="str">
        <f aca="false">IF(A642="","",IF(OR(AND(K642&lt;&gt;"",LOWER(K642)&lt;&gt;"não consta"),AND(L642&lt;&gt;"",LOWER(L642)&lt;&gt;"não consta"),IFERROR(INDEX(Empresas!$G:$G,MATCH(A642,Empresas!$A:$A,0))&amp;"","")&lt;&gt;""),"SIM",""))</f>
        <v/>
      </c>
      <c r="N642" s="5"/>
      <c r="O642" s="32" t="str">
        <f aca="false">IF(D642="","",YEAR(D642))</f>
        <v/>
      </c>
      <c r="P642" s="5"/>
    </row>
    <row r="643" customFormat="false" ht="15" hidden="false" customHeight="false" outlineLevel="0" collapsed="false">
      <c r="A643" s="27"/>
      <c r="B643" s="5"/>
      <c r="C643" s="35"/>
      <c r="D643" s="18"/>
      <c r="E643" s="5"/>
      <c r="F643" s="14"/>
      <c r="G643" s="5"/>
      <c r="H643" s="27"/>
      <c r="I643" s="5"/>
      <c r="J643" s="19" t="str">
        <f aca="false">IF(A643="","",IFERROR(INDEX(Empresas!$D:$D,MATCH(A643,Empresas!$A:$A,0))&amp;"","não consta"))</f>
        <v/>
      </c>
      <c r="K643" s="19" t="str">
        <f aca="false">IF(A643="","",IFERROR(INDEX(Sancoes!$B:$B,MATCH(A643,Sancoes!$A:$A,0))&amp;"","não consta"))</f>
        <v/>
      </c>
      <c r="L643" s="19" t="str">
        <f aca="false">IF(A643="","",IFERROR(INDEX(Eleitoral!$B:$B,MATCH(A643,Eleitoral!$A:$A,0))&amp;"","não consta"))</f>
        <v/>
      </c>
      <c r="M643" s="28" t="str">
        <f aca="false">IF(A643="","",IF(OR(AND(K643&lt;&gt;"",LOWER(K643)&lt;&gt;"não consta"),AND(L643&lt;&gt;"",LOWER(L643)&lt;&gt;"não consta"),IFERROR(INDEX(Empresas!$G:$G,MATCH(A643,Empresas!$A:$A,0))&amp;"","")&lt;&gt;""),"SIM",""))</f>
        <v/>
      </c>
      <c r="N643" s="5"/>
      <c r="O643" s="32" t="str">
        <f aca="false">IF(D643="","",YEAR(D643))</f>
        <v/>
      </c>
      <c r="P643" s="5"/>
    </row>
    <row r="644" customFormat="false" ht="15" hidden="false" customHeight="false" outlineLevel="0" collapsed="false">
      <c r="A644" s="27"/>
      <c r="B644" s="5"/>
      <c r="C644" s="35"/>
      <c r="D644" s="18"/>
      <c r="E644" s="5"/>
      <c r="F644" s="14"/>
      <c r="G644" s="5"/>
      <c r="H644" s="27"/>
      <c r="I644" s="5"/>
      <c r="J644" s="19" t="str">
        <f aca="false">IF(A644="","",IFERROR(INDEX(Empresas!$D:$D,MATCH(A644,Empresas!$A:$A,0))&amp;"","não consta"))</f>
        <v/>
      </c>
      <c r="K644" s="19" t="str">
        <f aca="false">IF(A644="","",IFERROR(INDEX(Sancoes!$B:$B,MATCH(A644,Sancoes!$A:$A,0))&amp;"","não consta"))</f>
        <v/>
      </c>
      <c r="L644" s="19" t="str">
        <f aca="false">IF(A644="","",IFERROR(INDEX(Eleitoral!$B:$B,MATCH(A644,Eleitoral!$A:$A,0))&amp;"","não consta"))</f>
        <v/>
      </c>
      <c r="M644" s="28" t="str">
        <f aca="false">IF(A644="","",IF(OR(AND(K644&lt;&gt;"",LOWER(K644)&lt;&gt;"não consta"),AND(L644&lt;&gt;"",LOWER(L644)&lt;&gt;"não consta"),IFERROR(INDEX(Empresas!$G:$G,MATCH(A644,Empresas!$A:$A,0))&amp;"","")&lt;&gt;""),"SIM",""))</f>
        <v/>
      </c>
      <c r="N644" s="5"/>
      <c r="O644" s="32" t="str">
        <f aca="false">IF(D644="","",YEAR(D644))</f>
        <v/>
      </c>
      <c r="P644" s="5"/>
    </row>
    <row r="645" customFormat="false" ht="15" hidden="false" customHeight="false" outlineLevel="0" collapsed="false">
      <c r="A645" s="27"/>
      <c r="B645" s="5"/>
      <c r="C645" s="35"/>
      <c r="D645" s="18"/>
      <c r="E645" s="5"/>
      <c r="F645" s="14"/>
      <c r="G645" s="5"/>
      <c r="H645" s="27"/>
      <c r="I645" s="5"/>
      <c r="J645" s="19" t="str">
        <f aca="false">IF(A645="","",IFERROR(INDEX(Empresas!$D:$D,MATCH(A645,Empresas!$A:$A,0))&amp;"","não consta"))</f>
        <v/>
      </c>
      <c r="K645" s="19" t="str">
        <f aca="false">IF(A645="","",IFERROR(INDEX(Sancoes!$B:$B,MATCH(A645,Sancoes!$A:$A,0))&amp;"","não consta"))</f>
        <v/>
      </c>
      <c r="L645" s="19" t="str">
        <f aca="false">IF(A645="","",IFERROR(INDEX(Eleitoral!$B:$B,MATCH(A645,Eleitoral!$A:$A,0))&amp;"","não consta"))</f>
        <v/>
      </c>
      <c r="M645" s="28" t="str">
        <f aca="false">IF(A645="","",IF(OR(AND(K645&lt;&gt;"",LOWER(K645)&lt;&gt;"não consta"),AND(L645&lt;&gt;"",LOWER(L645)&lt;&gt;"não consta"),IFERROR(INDEX(Empresas!$G:$G,MATCH(A645,Empresas!$A:$A,0))&amp;"","")&lt;&gt;""),"SIM",""))</f>
        <v/>
      </c>
      <c r="N645" s="5"/>
      <c r="O645" s="32" t="str">
        <f aca="false">IF(D645="","",YEAR(D645))</f>
        <v/>
      </c>
      <c r="P645" s="5"/>
    </row>
    <row r="646" customFormat="false" ht="15" hidden="false" customHeight="false" outlineLevel="0" collapsed="false">
      <c r="A646" s="27"/>
      <c r="B646" s="5"/>
      <c r="C646" s="35"/>
      <c r="D646" s="18"/>
      <c r="E646" s="5"/>
      <c r="F646" s="14"/>
      <c r="G646" s="5"/>
      <c r="H646" s="27"/>
      <c r="I646" s="5"/>
      <c r="J646" s="19" t="str">
        <f aca="false">IF(A646="","",IFERROR(INDEX(Empresas!$D:$D,MATCH(A646,Empresas!$A:$A,0))&amp;"","não consta"))</f>
        <v/>
      </c>
      <c r="K646" s="19" t="str">
        <f aca="false">IF(A646="","",IFERROR(INDEX(Sancoes!$B:$B,MATCH(A646,Sancoes!$A:$A,0))&amp;"","não consta"))</f>
        <v/>
      </c>
      <c r="L646" s="19" t="str">
        <f aca="false">IF(A646="","",IFERROR(INDEX(Eleitoral!$B:$B,MATCH(A646,Eleitoral!$A:$A,0))&amp;"","não consta"))</f>
        <v/>
      </c>
      <c r="M646" s="28" t="str">
        <f aca="false">IF(A646="","",IF(OR(AND(K646&lt;&gt;"",LOWER(K646)&lt;&gt;"não consta"),AND(L646&lt;&gt;"",LOWER(L646)&lt;&gt;"não consta"),IFERROR(INDEX(Empresas!$G:$G,MATCH(A646,Empresas!$A:$A,0))&amp;"","")&lt;&gt;""),"SIM",""))</f>
        <v/>
      </c>
      <c r="N646" s="5"/>
      <c r="O646" s="32" t="str">
        <f aca="false">IF(D646="","",YEAR(D646))</f>
        <v/>
      </c>
      <c r="P646" s="5"/>
    </row>
    <row r="647" customFormat="false" ht="15" hidden="false" customHeight="false" outlineLevel="0" collapsed="false">
      <c r="A647" s="27"/>
      <c r="B647" s="5"/>
      <c r="C647" s="35"/>
      <c r="D647" s="18"/>
      <c r="E647" s="5"/>
      <c r="F647" s="14"/>
      <c r="G647" s="5"/>
      <c r="H647" s="27"/>
      <c r="I647" s="5"/>
      <c r="J647" s="19" t="str">
        <f aca="false">IF(A647="","",IFERROR(INDEX(Empresas!$D:$D,MATCH(A647,Empresas!$A:$A,0))&amp;"","não consta"))</f>
        <v/>
      </c>
      <c r="K647" s="19" t="str">
        <f aca="false">IF(A647="","",IFERROR(INDEX(Sancoes!$B:$B,MATCH(A647,Sancoes!$A:$A,0))&amp;"","não consta"))</f>
        <v/>
      </c>
      <c r="L647" s="19" t="str">
        <f aca="false">IF(A647="","",IFERROR(INDEX(Eleitoral!$B:$B,MATCH(A647,Eleitoral!$A:$A,0))&amp;"","não consta"))</f>
        <v/>
      </c>
      <c r="M647" s="28" t="str">
        <f aca="false">IF(A647="","",IF(OR(AND(K647&lt;&gt;"",LOWER(K647)&lt;&gt;"não consta"),AND(L647&lt;&gt;"",LOWER(L647)&lt;&gt;"não consta"),IFERROR(INDEX(Empresas!$G:$G,MATCH(A647,Empresas!$A:$A,0))&amp;"","")&lt;&gt;""),"SIM",""))</f>
        <v/>
      </c>
      <c r="N647" s="5"/>
      <c r="O647" s="32" t="str">
        <f aca="false">IF(D647="","",YEAR(D647))</f>
        <v/>
      </c>
      <c r="P647" s="5"/>
    </row>
    <row r="648" customFormat="false" ht="15" hidden="false" customHeight="false" outlineLevel="0" collapsed="false">
      <c r="A648" s="27"/>
      <c r="B648" s="5"/>
      <c r="C648" s="35"/>
      <c r="D648" s="18"/>
      <c r="E648" s="5"/>
      <c r="F648" s="14"/>
      <c r="G648" s="5"/>
      <c r="H648" s="27"/>
      <c r="I648" s="5"/>
      <c r="J648" s="19" t="str">
        <f aca="false">IF(A648="","",IFERROR(INDEX(Empresas!$D:$D,MATCH(A648,Empresas!$A:$A,0))&amp;"","não consta"))</f>
        <v/>
      </c>
      <c r="K648" s="19" t="str">
        <f aca="false">IF(A648="","",IFERROR(INDEX(Sancoes!$B:$B,MATCH(A648,Sancoes!$A:$A,0))&amp;"","não consta"))</f>
        <v/>
      </c>
      <c r="L648" s="19" t="str">
        <f aca="false">IF(A648="","",IFERROR(INDEX(Eleitoral!$B:$B,MATCH(A648,Eleitoral!$A:$A,0))&amp;"","não consta"))</f>
        <v/>
      </c>
      <c r="M648" s="28" t="str">
        <f aca="false">IF(A648="","",IF(OR(AND(K648&lt;&gt;"",LOWER(K648)&lt;&gt;"não consta"),AND(L648&lt;&gt;"",LOWER(L648)&lt;&gt;"não consta"),IFERROR(INDEX(Empresas!$G:$G,MATCH(A648,Empresas!$A:$A,0))&amp;"","")&lt;&gt;""),"SIM",""))</f>
        <v/>
      </c>
      <c r="N648" s="5"/>
      <c r="O648" s="32" t="str">
        <f aca="false">IF(D648="","",YEAR(D648))</f>
        <v/>
      </c>
      <c r="P648" s="5"/>
    </row>
    <row r="649" customFormat="false" ht="15" hidden="false" customHeight="false" outlineLevel="0" collapsed="false">
      <c r="A649" s="27"/>
      <c r="B649" s="5"/>
      <c r="C649" s="35"/>
      <c r="D649" s="18"/>
      <c r="E649" s="5"/>
      <c r="F649" s="14"/>
      <c r="G649" s="5"/>
      <c r="H649" s="27"/>
      <c r="I649" s="5"/>
      <c r="J649" s="19" t="str">
        <f aca="false">IF(A649="","",IFERROR(INDEX(Empresas!$D:$D,MATCH(A649,Empresas!$A:$A,0))&amp;"","não consta"))</f>
        <v/>
      </c>
      <c r="K649" s="19" t="str">
        <f aca="false">IF(A649="","",IFERROR(INDEX(Sancoes!$B:$B,MATCH(A649,Sancoes!$A:$A,0))&amp;"","não consta"))</f>
        <v/>
      </c>
      <c r="L649" s="19" t="str">
        <f aca="false">IF(A649="","",IFERROR(INDEX(Eleitoral!$B:$B,MATCH(A649,Eleitoral!$A:$A,0))&amp;"","não consta"))</f>
        <v/>
      </c>
      <c r="M649" s="28" t="str">
        <f aca="false">IF(A649="","",IF(OR(AND(K649&lt;&gt;"",LOWER(K649)&lt;&gt;"não consta"),AND(L649&lt;&gt;"",LOWER(L649)&lt;&gt;"não consta"),IFERROR(INDEX(Empresas!$G:$G,MATCH(A649,Empresas!$A:$A,0))&amp;"","")&lt;&gt;""),"SIM",""))</f>
        <v/>
      </c>
      <c r="N649" s="5"/>
      <c r="O649" s="32" t="str">
        <f aca="false">IF(D649="","",YEAR(D649))</f>
        <v/>
      </c>
      <c r="P649" s="5"/>
    </row>
    <row r="650" customFormat="false" ht="15" hidden="false" customHeight="false" outlineLevel="0" collapsed="false">
      <c r="A650" s="27"/>
      <c r="B650" s="5"/>
      <c r="C650" s="35"/>
      <c r="D650" s="18"/>
      <c r="E650" s="5"/>
      <c r="F650" s="14"/>
      <c r="G650" s="5"/>
      <c r="H650" s="27"/>
      <c r="I650" s="5"/>
      <c r="J650" s="19" t="str">
        <f aca="false">IF(A650="","",IFERROR(INDEX(Empresas!$D:$D,MATCH(A650,Empresas!$A:$A,0))&amp;"","não consta"))</f>
        <v/>
      </c>
      <c r="K650" s="19" t="str">
        <f aca="false">IF(A650="","",IFERROR(INDEX(Sancoes!$B:$B,MATCH(A650,Sancoes!$A:$A,0))&amp;"","não consta"))</f>
        <v/>
      </c>
      <c r="L650" s="19" t="str">
        <f aca="false">IF(A650="","",IFERROR(INDEX(Eleitoral!$B:$B,MATCH(A650,Eleitoral!$A:$A,0))&amp;"","não consta"))</f>
        <v/>
      </c>
      <c r="M650" s="28" t="str">
        <f aca="false">IF(A650="","",IF(OR(AND(K650&lt;&gt;"",LOWER(K650)&lt;&gt;"não consta"),AND(L650&lt;&gt;"",LOWER(L650)&lt;&gt;"não consta"),IFERROR(INDEX(Empresas!$G:$G,MATCH(A650,Empresas!$A:$A,0))&amp;"","")&lt;&gt;""),"SIM",""))</f>
        <v/>
      </c>
      <c r="N650" s="5"/>
      <c r="O650" s="32" t="str">
        <f aca="false">IF(D650="","",YEAR(D650))</f>
        <v/>
      </c>
      <c r="P650" s="5"/>
    </row>
    <row r="651" customFormat="false" ht="15" hidden="false" customHeight="false" outlineLevel="0" collapsed="false">
      <c r="A651" s="27"/>
      <c r="B651" s="5"/>
      <c r="C651" s="35"/>
      <c r="D651" s="18"/>
      <c r="E651" s="5"/>
      <c r="F651" s="14"/>
      <c r="G651" s="5"/>
      <c r="H651" s="27"/>
      <c r="I651" s="5"/>
      <c r="J651" s="19" t="str">
        <f aca="false">IF(A651="","",IFERROR(INDEX(Empresas!$D:$D,MATCH(A651,Empresas!$A:$A,0))&amp;"","não consta"))</f>
        <v/>
      </c>
      <c r="K651" s="19" t="str">
        <f aca="false">IF(A651="","",IFERROR(INDEX(Sancoes!$B:$B,MATCH(A651,Sancoes!$A:$A,0))&amp;"","não consta"))</f>
        <v/>
      </c>
      <c r="L651" s="19" t="str">
        <f aca="false">IF(A651="","",IFERROR(INDEX(Eleitoral!$B:$B,MATCH(A651,Eleitoral!$A:$A,0))&amp;"","não consta"))</f>
        <v/>
      </c>
      <c r="M651" s="28" t="str">
        <f aca="false">IF(A651="","",IF(OR(AND(K651&lt;&gt;"",LOWER(K651)&lt;&gt;"não consta"),AND(L651&lt;&gt;"",LOWER(L651)&lt;&gt;"não consta"),IFERROR(INDEX(Empresas!$G:$G,MATCH(A651,Empresas!$A:$A,0))&amp;"","")&lt;&gt;""),"SIM",""))</f>
        <v/>
      </c>
      <c r="N651" s="5"/>
      <c r="O651" s="32" t="str">
        <f aca="false">IF(D651="","",YEAR(D651))</f>
        <v/>
      </c>
      <c r="P651" s="5"/>
    </row>
    <row r="652" customFormat="false" ht="15" hidden="false" customHeight="false" outlineLevel="0" collapsed="false">
      <c r="A652" s="27"/>
      <c r="B652" s="5"/>
      <c r="C652" s="35"/>
      <c r="D652" s="18"/>
      <c r="E652" s="5"/>
      <c r="F652" s="14"/>
      <c r="G652" s="5"/>
      <c r="H652" s="27"/>
      <c r="I652" s="5"/>
      <c r="J652" s="19" t="str">
        <f aca="false">IF(A652="","",IFERROR(INDEX(Empresas!$D:$D,MATCH(A652,Empresas!$A:$A,0))&amp;"","não consta"))</f>
        <v/>
      </c>
      <c r="K652" s="19" t="str">
        <f aca="false">IF(A652="","",IFERROR(INDEX(Sancoes!$B:$B,MATCH(A652,Sancoes!$A:$A,0))&amp;"","não consta"))</f>
        <v/>
      </c>
      <c r="L652" s="19" t="str">
        <f aca="false">IF(A652="","",IFERROR(INDEX(Eleitoral!$B:$B,MATCH(A652,Eleitoral!$A:$A,0))&amp;"","não consta"))</f>
        <v/>
      </c>
      <c r="M652" s="28" t="str">
        <f aca="false">IF(A652="","",IF(OR(AND(K652&lt;&gt;"",LOWER(K652)&lt;&gt;"não consta"),AND(L652&lt;&gt;"",LOWER(L652)&lt;&gt;"não consta"),IFERROR(INDEX(Empresas!$G:$G,MATCH(A652,Empresas!$A:$A,0))&amp;"","")&lt;&gt;""),"SIM",""))</f>
        <v/>
      </c>
      <c r="N652" s="5"/>
      <c r="O652" s="32" t="str">
        <f aca="false">IF(D652="","",YEAR(D652))</f>
        <v/>
      </c>
      <c r="P652" s="5"/>
    </row>
    <row r="653" customFormat="false" ht="15" hidden="false" customHeight="false" outlineLevel="0" collapsed="false">
      <c r="A653" s="27"/>
      <c r="B653" s="5"/>
      <c r="C653" s="35"/>
      <c r="D653" s="18"/>
      <c r="E653" s="5"/>
      <c r="F653" s="14"/>
      <c r="G653" s="5"/>
      <c r="H653" s="27"/>
      <c r="I653" s="5"/>
      <c r="J653" s="19" t="str">
        <f aca="false">IF(A653="","",IFERROR(INDEX(Empresas!$D:$D,MATCH(A653,Empresas!$A:$A,0))&amp;"","não consta"))</f>
        <v/>
      </c>
      <c r="K653" s="19" t="str">
        <f aca="false">IF(A653="","",IFERROR(INDEX(Sancoes!$B:$B,MATCH(A653,Sancoes!$A:$A,0))&amp;"","não consta"))</f>
        <v/>
      </c>
      <c r="L653" s="19" t="str">
        <f aca="false">IF(A653="","",IFERROR(INDEX(Eleitoral!$B:$B,MATCH(A653,Eleitoral!$A:$A,0))&amp;"","não consta"))</f>
        <v/>
      </c>
      <c r="M653" s="28" t="str">
        <f aca="false">IF(A653="","",IF(OR(AND(K653&lt;&gt;"",LOWER(K653)&lt;&gt;"não consta"),AND(L653&lt;&gt;"",LOWER(L653)&lt;&gt;"não consta"),IFERROR(INDEX(Empresas!$G:$G,MATCH(A653,Empresas!$A:$A,0))&amp;"","")&lt;&gt;""),"SIM",""))</f>
        <v/>
      </c>
      <c r="N653" s="5"/>
      <c r="O653" s="32" t="str">
        <f aca="false">IF(D653="","",YEAR(D653))</f>
        <v/>
      </c>
      <c r="P653" s="5"/>
    </row>
    <row r="654" customFormat="false" ht="15" hidden="false" customHeight="false" outlineLevel="0" collapsed="false">
      <c r="A654" s="27"/>
      <c r="B654" s="5"/>
      <c r="C654" s="35"/>
      <c r="D654" s="18"/>
      <c r="E654" s="5"/>
      <c r="F654" s="14"/>
      <c r="G654" s="5"/>
      <c r="H654" s="27"/>
      <c r="I654" s="5"/>
      <c r="J654" s="19" t="str">
        <f aca="false">IF(A654="","",IFERROR(INDEX(Empresas!$D:$D,MATCH(A654,Empresas!$A:$A,0))&amp;"","não consta"))</f>
        <v/>
      </c>
      <c r="K654" s="19" t="str">
        <f aca="false">IF(A654="","",IFERROR(INDEX(Sancoes!$B:$B,MATCH(A654,Sancoes!$A:$A,0))&amp;"","não consta"))</f>
        <v/>
      </c>
      <c r="L654" s="19" t="str">
        <f aca="false">IF(A654="","",IFERROR(INDEX(Eleitoral!$B:$B,MATCH(A654,Eleitoral!$A:$A,0))&amp;"","não consta"))</f>
        <v/>
      </c>
      <c r="M654" s="28" t="str">
        <f aca="false">IF(A654="","",IF(OR(AND(K654&lt;&gt;"",LOWER(K654)&lt;&gt;"não consta"),AND(L654&lt;&gt;"",LOWER(L654)&lt;&gt;"não consta"),IFERROR(INDEX(Empresas!$G:$G,MATCH(A654,Empresas!$A:$A,0))&amp;"","")&lt;&gt;""),"SIM",""))</f>
        <v/>
      </c>
      <c r="N654" s="5"/>
      <c r="O654" s="32" t="str">
        <f aca="false">IF(D654="","",YEAR(D654))</f>
        <v/>
      </c>
      <c r="P654" s="5"/>
    </row>
    <row r="655" customFormat="false" ht="15" hidden="false" customHeight="false" outlineLevel="0" collapsed="false">
      <c r="A655" s="27"/>
      <c r="B655" s="5"/>
      <c r="C655" s="35"/>
      <c r="D655" s="18"/>
      <c r="E655" s="5"/>
      <c r="F655" s="14"/>
      <c r="G655" s="5"/>
      <c r="H655" s="27"/>
      <c r="I655" s="5"/>
      <c r="J655" s="19" t="str">
        <f aca="false">IF(A655="","",IFERROR(INDEX(Empresas!$D:$D,MATCH(A655,Empresas!$A:$A,0))&amp;"","não consta"))</f>
        <v/>
      </c>
      <c r="K655" s="19" t="str">
        <f aca="false">IF(A655="","",IFERROR(INDEX(Sancoes!$B:$B,MATCH(A655,Sancoes!$A:$A,0))&amp;"","não consta"))</f>
        <v/>
      </c>
      <c r="L655" s="19" t="str">
        <f aca="false">IF(A655="","",IFERROR(INDEX(Eleitoral!$B:$B,MATCH(A655,Eleitoral!$A:$A,0))&amp;"","não consta"))</f>
        <v/>
      </c>
      <c r="M655" s="28" t="str">
        <f aca="false">IF(A655="","",IF(OR(AND(K655&lt;&gt;"",LOWER(K655)&lt;&gt;"não consta"),AND(L655&lt;&gt;"",LOWER(L655)&lt;&gt;"não consta"),IFERROR(INDEX(Empresas!$G:$G,MATCH(A655,Empresas!$A:$A,0))&amp;"","")&lt;&gt;""),"SIM",""))</f>
        <v/>
      </c>
      <c r="N655" s="5"/>
      <c r="O655" s="32" t="str">
        <f aca="false">IF(D655="","",YEAR(D655))</f>
        <v/>
      </c>
      <c r="P655" s="5"/>
    </row>
    <row r="656" customFormat="false" ht="15" hidden="false" customHeight="false" outlineLevel="0" collapsed="false">
      <c r="A656" s="27"/>
      <c r="B656" s="5"/>
      <c r="C656" s="35"/>
      <c r="D656" s="18"/>
      <c r="E656" s="5"/>
      <c r="F656" s="14"/>
      <c r="G656" s="5"/>
      <c r="H656" s="27"/>
      <c r="I656" s="5"/>
      <c r="J656" s="19" t="str">
        <f aca="false">IF(A656="","",IFERROR(INDEX(Empresas!$D:$D,MATCH(A656,Empresas!$A:$A,0))&amp;"","não consta"))</f>
        <v/>
      </c>
      <c r="K656" s="19" t="str">
        <f aca="false">IF(A656="","",IFERROR(INDEX(Sancoes!$B:$B,MATCH(A656,Sancoes!$A:$A,0))&amp;"","não consta"))</f>
        <v/>
      </c>
      <c r="L656" s="19" t="str">
        <f aca="false">IF(A656="","",IFERROR(INDEX(Eleitoral!$B:$B,MATCH(A656,Eleitoral!$A:$A,0))&amp;"","não consta"))</f>
        <v/>
      </c>
      <c r="M656" s="28" t="str">
        <f aca="false">IF(A656="","",IF(OR(AND(K656&lt;&gt;"",LOWER(K656)&lt;&gt;"não consta"),AND(L656&lt;&gt;"",LOWER(L656)&lt;&gt;"não consta"),IFERROR(INDEX(Empresas!$G:$G,MATCH(A656,Empresas!$A:$A,0))&amp;"","")&lt;&gt;""),"SIM",""))</f>
        <v/>
      </c>
      <c r="N656" s="5"/>
      <c r="O656" s="32" t="str">
        <f aca="false">IF(D656="","",YEAR(D656))</f>
        <v/>
      </c>
      <c r="P656" s="5"/>
    </row>
    <row r="657" customFormat="false" ht="15" hidden="false" customHeight="false" outlineLevel="0" collapsed="false">
      <c r="A657" s="27"/>
      <c r="B657" s="5"/>
      <c r="C657" s="35"/>
      <c r="D657" s="18"/>
      <c r="E657" s="5"/>
      <c r="F657" s="14"/>
      <c r="G657" s="5"/>
      <c r="H657" s="27"/>
      <c r="I657" s="5"/>
      <c r="J657" s="19" t="str">
        <f aca="false">IF(A657="","",IFERROR(INDEX(Empresas!$D:$D,MATCH(A657,Empresas!$A:$A,0))&amp;"","não consta"))</f>
        <v/>
      </c>
      <c r="K657" s="19" t="str">
        <f aca="false">IF(A657="","",IFERROR(INDEX(Sancoes!$B:$B,MATCH(A657,Sancoes!$A:$A,0))&amp;"","não consta"))</f>
        <v/>
      </c>
      <c r="L657" s="19" t="str">
        <f aca="false">IF(A657="","",IFERROR(INDEX(Eleitoral!$B:$B,MATCH(A657,Eleitoral!$A:$A,0))&amp;"","não consta"))</f>
        <v/>
      </c>
      <c r="M657" s="28" t="str">
        <f aca="false">IF(A657="","",IF(OR(AND(K657&lt;&gt;"",LOWER(K657)&lt;&gt;"não consta"),AND(L657&lt;&gt;"",LOWER(L657)&lt;&gt;"não consta"),IFERROR(INDEX(Empresas!$G:$G,MATCH(A657,Empresas!$A:$A,0))&amp;"","")&lt;&gt;""),"SIM",""))</f>
        <v/>
      </c>
      <c r="N657" s="5"/>
      <c r="O657" s="32" t="str">
        <f aca="false">IF(D657="","",YEAR(D657))</f>
        <v/>
      </c>
      <c r="P657" s="5"/>
    </row>
    <row r="658" customFormat="false" ht="15" hidden="false" customHeight="false" outlineLevel="0" collapsed="false">
      <c r="A658" s="27"/>
      <c r="B658" s="5"/>
      <c r="C658" s="35"/>
      <c r="D658" s="18"/>
      <c r="E658" s="5"/>
      <c r="F658" s="14"/>
      <c r="G658" s="5"/>
      <c r="H658" s="27"/>
      <c r="I658" s="5"/>
      <c r="J658" s="19" t="str">
        <f aca="false">IF(A658="","",IFERROR(INDEX(Empresas!$D:$D,MATCH(A658,Empresas!$A:$A,0))&amp;"","não consta"))</f>
        <v/>
      </c>
      <c r="K658" s="19" t="str">
        <f aca="false">IF(A658="","",IFERROR(INDEX(Sancoes!$B:$B,MATCH(A658,Sancoes!$A:$A,0))&amp;"","não consta"))</f>
        <v/>
      </c>
      <c r="L658" s="19" t="str">
        <f aca="false">IF(A658="","",IFERROR(INDEX(Eleitoral!$B:$B,MATCH(A658,Eleitoral!$A:$A,0))&amp;"","não consta"))</f>
        <v/>
      </c>
      <c r="M658" s="28" t="str">
        <f aca="false">IF(A658="","",IF(OR(AND(K658&lt;&gt;"",LOWER(K658)&lt;&gt;"não consta"),AND(L658&lt;&gt;"",LOWER(L658)&lt;&gt;"não consta"),IFERROR(INDEX(Empresas!$G:$G,MATCH(A658,Empresas!$A:$A,0))&amp;"","")&lt;&gt;""),"SIM",""))</f>
        <v/>
      </c>
      <c r="N658" s="5"/>
      <c r="O658" s="32" t="str">
        <f aca="false">IF(D658="","",YEAR(D658))</f>
        <v/>
      </c>
      <c r="P658" s="5"/>
    </row>
    <row r="659" customFormat="false" ht="15" hidden="false" customHeight="false" outlineLevel="0" collapsed="false">
      <c r="A659" s="27"/>
      <c r="B659" s="5"/>
      <c r="C659" s="35"/>
      <c r="D659" s="18"/>
      <c r="E659" s="5"/>
      <c r="F659" s="14"/>
      <c r="G659" s="5"/>
      <c r="H659" s="27"/>
      <c r="I659" s="5"/>
      <c r="J659" s="19" t="str">
        <f aca="false">IF(A659="","",IFERROR(INDEX(Empresas!$D:$D,MATCH(A659,Empresas!$A:$A,0))&amp;"","não consta"))</f>
        <v/>
      </c>
      <c r="K659" s="19" t="str">
        <f aca="false">IF(A659="","",IFERROR(INDEX(Sancoes!$B:$B,MATCH(A659,Sancoes!$A:$A,0))&amp;"","não consta"))</f>
        <v/>
      </c>
      <c r="L659" s="19" t="str">
        <f aca="false">IF(A659="","",IFERROR(INDEX(Eleitoral!$B:$B,MATCH(A659,Eleitoral!$A:$A,0))&amp;"","não consta"))</f>
        <v/>
      </c>
      <c r="M659" s="28" t="str">
        <f aca="false">IF(A659="","",IF(OR(AND(K659&lt;&gt;"",LOWER(K659)&lt;&gt;"não consta"),AND(L659&lt;&gt;"",LOWER(L659)&lt;&gt;"não consta"),IFERROR(INDEX(Empresas!$G:$G,MATCH(A659,Empresas!$A:$A,0))&amp;"","")&lt;&gt;""),"SIM",""))</f>
        <v/>
      </c>
      <c r="N659" s="5"/>
      <c r="O659" s="32" t="str">
        <f aca="false">IF(D659="","",YEAR(D659))</f>
        <v/>
      </c>
      <c r="P659" s="5"/>
    </row>
    <row r="660" customFormat="false" ht="15" hidden="false" customHeight="false" outlineLevel="0" collapsed="false">
      <c r="A660" s="27"/>
      <c r="B660" s="5"/>
      <c r="C660" s="35"/>
      <c r="D660" s="18"/>
      <c r="E660" s="5"/>
      <c r="F660" s="14"/>
      <c r="G660" s="5"/>
      <c r="H660" s="27"/>
      <c r="I660" s="5"/>
      <c r="J660" s="19" t="str">
        <f aca="false">IF(A660="","",IFERROR(INDEX(Empresas!$D:$D,MATCH(A660,Empresas!$A:$A,0))&amp;"","não consta"))</f>
        <v/>
      </c>
      <c r="K660" s="19" t="str">
        <f aca="false">IF(A660="","",IFERROR(INDEX(Sancoes!$B:$B,MATCH(A660,Sancoes!$A:$A,0))&amp;"","não consta"))</f>
        <v/>
      </c>
      <c r="L660" s="19" t="str">
        <f aca="false">IF(A660="","",IFERROR(INDEX(Eleitoral!$B:$B,MATCH(A660,Eleitoral!$A:$A,0))&amp;"","não consta"))</f>
        <v/>
      </c>
      <c r="M660" s="28" t="str">
        <f aca="false">IF(A660="","",IF(OR(AND(K660&lt;&gt;"",LOWER(K660)&lt;&gt;"não consta"),AND(L660&lt;&gt;"",LOWER(L660)&lt;&gt;"não consta"),IFERROR(INDEX(Empresas!$G:$G,MATCH(A660,Empresas!$A:$A,0))&amp;"","")&lt;&gt;""),"SIM",""))</f>
        <v/>
      </c>
      <c r="N660" s="5"/>
      <c r="O660" s="32" t="str">
        <f aca="false">IF(D660="","",YEAR(D660))</f>
        <v/>
      </c>
      <c r="P660" s="5"/>
    </row>
    <row r="661" customFormat="false" ht="15" hidden="false" customHeight="false" outlineLevel="0" collapsed="false">
      <c r="A661" s="27"/>
      <c r="B661" s="5"/>
      <c r="C661" s="35"/>
      <c r="D661" s="18"/>
      <c r="E661" s="5"/>
      <c r="F661" s="14"/>
      <c r="G661" s="5"/>
      <c r="H661" s="27"/>
      <c r="I661" s="5"/>
      <c r="J661" s="19" t="str">
        <f aca="false">IF(A661="","",IFERROR(INDEX(Empresas!$D:$D,MATCH(A661,Empresas!$A:$A,0))&amp;"","não consta"))</f>
        <v/>
      </c>
      <c r="K661" s="19" t="str">
        <f aca="false">IF(A661="","",IFERROR(INDEX(Sancoes!$B:$B,MATCH(A661,Sancoes!$A:$A,0))&amp;"","não consta"))</f>
        <v/>
      </c>
      <c r="L661" s="19" t="str">
        <f aca="false">IF(A661="","",IFERROR(INDEX(Eleitoral!$B:$B,MATCH(A661,Eleitoral!$A:$A,0))&amp;"","não consta"))</f>
        <v/>
      </c>
      <c r="M661" s="28" t="str">
        <f aca="false">IF(A661="","",IF(OR(AND(K661&lt;&gt;"",LOWER(K661)&lt;&gt;"não consta"),AND(L661&lt;&gt;"",LOWER(L661)&lt;&gt;"não consta"),IFERROR(INDEX(Empresas!$G:$G,MATCH(A661,Empresas!$A:$A,0))&amp;"","")&lt;&gt;""),"SIM",""))</f>
        <v/>
      </c>
      <c r="N661" s="5"/>
      <c r="O661" s="32" t="str">
        <f aca="false">IF(D661="","",YEAR(D661))</f>
        <v/>
      </c>
      <c r="P661" s="5"/>
    </row>
    <row r="662" customFormat="false" ht="15" hidden="false" customHeight="false" outlineLevel="0" collapsed="false">
      <c r="A662" s="27"/>
      <c r="B662" s="5"/>
      <c r="C662" s="35"/>
      <c r="D662" s="18"/>
      <c r="E662" s="5"/>
      <c r="F662" s="14"/>
      <c r="G662" s="5"/>
      <c r="H662" s="27"/>
      <c r="I662" s="5"/>
      <c r="J662" s="19" t="str">
        <f aca="false">IF(A662="","",IFERROR(INDEX(Empresas!$D:$D,MATCH(A662,Empresas!$A:$A,0))&amp;"","não consta"))</f>
        <v/>
      </c>
      <c r="K662" s="19" t="str">
        <f aca="false">IF(A662="","",IFERROR(INDEX(Sancoes!$B:$B,MATCH(A662,Sancoes!$A:$A,0))&amp;"","não consta"))</f>
        <v/>
      </c>
      <c r="L662" s="19" t="str">
        <f aca="false">IF(A662="","",IFERROR(INDEX(Eleitoral!$B:$B,MATCH(A662,Eleitoral!$A:$A,0))&amp;"","não consta"))</f>
        <v/>
      </c>
      <c r="M662" s="28" t="str">
        <f aca="false">IF(A662="","",IF(OR(AND(K662&lt;&gt;"",LOWER(K662)&lt;&gt;"não consta"),AND(L662&lt;&gt;"",LOWER(L662)&lt;&gt;"não consta"),IFERROR(INDEX(Empresas!$G:$G,MATCH(A662,Empresas!$A:$A,0))&amp;"","")&lt;&gt;""),"SIM",""))</f>
        <v/>
      </c>
      <c r="N662" s="5"/>
      <c r="O662" s="32" t="str">
        <f aca="false">IF(D662="","",YEAR(D662))</f>
        <v/>
      </c>
      <c r="P662" s="5"/>
    </row>
    <row r="663" customFormat="false" ht="15" hidden="false" customHeight="false" outlineLevel="0" collapsed="false">
      <c r="A663" s="27"/>
      <c r="B663" s="5"/>
      <c r="C663" s="35"/>
      <c r="D663" s="18"/>
      <c r="E663" s="5"/>
      <c r="F663" s="14"/>
      <c r="G663" s="5"/>
      <c r="H663" s="27"/>
      <c r="I663" s="5"/>
      <c r="J663" s="19" t="str">
        <f aca="false">IF(A663="","",IFERROR(INDEX(Empresas!$D:$D,MATCH(A663,Empresas!$A:$A,0))&amp;"","não consta"))</f>
        <v/>
      </c>
      <c r="K663" s="19" t="str">
        <f aca="false">IF(A663="","",IFERROR(INDEX(Sancoes!$B:$B,MATCH(A663,Sancoes!$A:$A,0))&amp;"","não consta"))</f>
        <v/>
      </c>
      <c r="L663" s="19" t="str">
        <f aca="false">IF(A663="","",IFERROR(INDEX(Eleitoral!$B:$B,MATCH(A663,Eleitoral!$A:$A,0))&amp;"","não consta"))</f>
        <v/>
      </c>
      <c r="M663" s="28" t="str">
        <f aca="false">IF(A663="","",IF(OR(AND(K663&lt;&gt;"",LOWER(K663)&lt;&gt;"não consta"),AND(L663&lt;&gt;"",LOWER(L663)&lt;&gt;"não consta"),IFERROR(INDEX(Empresas!$G:$G,MATCH(A663,Empresas!$A:$A,0))&amp;"","")&lt;&gt;""),"SIM",""))</f>
        <v/>
      </c>
      <c r="N663" s="5"/>
      <c r="O663" s="32" t="str">
        <f aca="false">IF(D663="","",YEAR(D663))</f>
        <v/>
      </c>
      <c r="P663" s="5"/>
    </row>
    <row r="664" customFormat="false" ht="15" hidden="false" customHeight="false" outlineLevel="0" collapsed="false">
      <c r="A664" s="27"/>
      <c r="B664" s="5"/>
      <c r="C664" s="35"/>
      <c r="D664" s="18"/>
      <c r="E664" s="5"/>
      <c r="F664" s="14"/>
      <c r="G664" s="5"/>
      <c r="H664" s="27"/>
      <c r="I664" s="5"/>
      <c r="J664" s="19" t="str">
        <f aca="false">IF(A664="","",IFERROR(INDEX(Empresas!$D:$D,MATCH(A664,Empresas!$A:$A,0))&amp;"","não consta"))</f>
        <v/>
      </c>
      <c r="K664" s="19" t="str">
        <f aca="false">IF(A664="","",IFERROR(INDEX(Sancoes!$B:$B,MATCH(A664,Sancoes!$A:$A,0))&amp;"","não consta"))</f>
        <v/>
      </c>
      <c r="L664" s="19" t="str">
        <f aca="false">IF(A664="","",IFERROR(INDEX(Eleitoral!$B:$B,MATCH(A664,Eleitoral!$A:$A,0))&amp;"","não consta"))</f>
        <v/>
      </c>
      <c r="M664" s="28" t="str">
        <f aca="false">IF(A664="","",IF(OR(AND(K664&lt;&gt;"",LOWER(K664)&lt;&gt;"não consta"),AND(L664&lt;&gt;"",LOWER(L664)&lt;&gt;"não consta"),IFERROR(INDEX(Empresas!$G:$G,MATCH(A664,Empresas!$A:$A,0))&amp;"","")&lt;&gt;""),"SIM",""))</f>
        <v/>
      </c>
      <c r="N664" s="5"/>
      <c r="O664" s="32" t="str">
        <f aca="false">IF(D664="","",YEAR(D664))</f>
        <v/>
      </c>
      <c r="P664" s="5"/>
    </row>
    <row r="665" customFormat="false" ht="15" hidden="false" customHeight="false" outlineLevel="0" collapsed="false">
      <c r="A665" s="27"/>
      <c r="B665" s="5"/>
      <c r="C665" s="35"/>
      <c r="D665" s="18"/>
      <c r="E665" s="5"/>
      <c r="F665" s="14"/>
      <c r="G665" s="5"/>
      <c r="H665" s="27"/>
      <c r="I665" s="5"/>
      <c r="J665" s="19" t="str">
        <f aca="false">IF(A665="","",IFERROR(INDEX(Empresas!$D:$D,MATCH(A665,Empresas!$A:$A,0))&amp;"","não consta"))</f>
        <v/>
      </c>
      <c r="K665" s="19" t="str">
        <f aca="false">IF(A665="","",IFERROR(INDEX(Sancoes!$B:$B,MATCH(A665,Sancoes!$A:$A,0))&amp;"","não consta"))</f>
        <v/>
      </c>
      <c r="L665" s="19" t="str">
        <f aca="false">IF(A665="","",IFERROR(INDEX(Eleitoral!$B:$B,MATCH(A665,Eleitoral!$A:$A,0))&amp;"","não consta"))</f>
        <v/>
      </c>
      <c r="M665" s="28" t="str">
        <f aca="false">IF(A665="","",IF(OR(AND(K665&lt;&gt;"",LOWER(K665)&lt;&gt;"não consta"),AND(L665&lt;&gt;"",LOWER(L665)&lt;&gt;"não consta"),IFERROR(INDEX(Empresas!$G:$G,MATCH(A665,Empresas!$A:$A,0))&amp;"","")&lt;&gt;""),"SIM",""))</f>
        <v/>
      </c>
      <c r="N665" s="5"/>
      <c r="O665" s="32" t="str">
        <f aca="false">IF(D665="","",YEAR(D665))</f>
        <v/>
      </c>
      <c r="P665" s="5"/>
    </row>
    <row r="666" customFormat="false" ht="15" hidden="false" customHeight="false" outlineLevel="0" collapsed="false">
      <c r="A666" s="27"/>
      <c r="B666" s="5"/>
      <c r="C666" s="35"/>
      <c r="D666" s="18"/>
      <c r="E666" s="5"/>
      <c r="F666" s="14"/>
      <c r="G666" s="5"/>
      <c r="H666" s="27"/>
      <c r="I666" s="5"/>
      <c r="J666" s="19" t="str">
        <f aca="false">IF(A666="","",IFERROR(INDEX(Empresas!$D:$D,MATCH(A666,Empresas!$A:$A,0))&amp;"","não consta"))</f>
        <v/>
      </c>
      <c r="K666" s="19" t="str">
        <f aca="false">IF(A666="","",IFERROR(INDEX(Sancoes!$B:$B,MATCH(A666,Sancoes!$A:$A,0))&amp;"","não consta"))</f>
        <v/>
      </c>
      <c r="L666" s="19" t="str">
        <f aca="false">IF(A666="","",IFERROR(INDEX(Eleitoral!$B:$B,MATCH(A666,Eleitoral!$A:$A,0))&amp;"","não consta"))</f>
        <v/>
      </c>
      <c r="M666" s="28" t="str">
        <f aca="false">IF(A666="","",IF(OR(AND(K666&lt;&gt;"",LOWER(K666)&lt;&gt;"não consta"),AND(L666&lt;&gt;"",LOWER(L666)&lt;&gt;"não consta"),IFERROR(INDEX(Empresas!$G:$G,MATCH(A666,Empresas!$A:$A,0))&amp;"","")&lt;&gt;""),"SIM",""))</f>
        <v/>
      </c>
      <c r="N666" s="5"/>
      <c r="O666" s="32" t="str">
        <f aca="false">IF(D666="","",YEAR(D666))</f>
        <v/>
      </c>
      <c r="P666" s="5"/>
    </row>
    <row r="667" customFormat="false" ht="15" hidden="false" customHeight="false" outlineLevel="0" collapsed="false">
      <c r="A667" s="27"/>
      <c r="B667" s="5"/>
      <c r="C667" s="35"/>
      <c r="D667" s="18"/>
      <c r="E667" s="5"/>
      <c r="F667" s="14"/>
      <c r="G667" s="5"/>
      <c r="H667" s="27"/>
      <c r="I667" s="5"/>
      <c r="J667" s="19" t="str">
        <f aca="false">IF(A667="","",IFERROR(INDEX(Empresas!$D:$D,MATCH(A667,Empresas!$A:$A,0))&amp;"","não consta"))</f>
        <v/>
      </c>
      <c r="K667" s="19" t="str">
        <f aca="false">IF(A667="","",IFERROR(INDEX(Sancoes!$B:$B,MATCH(A667,Sancoes!$A:$A,0))&amp;"","não consta"))</f>
        <v/>
      </c>
      <c r="L667" s="19" t="str">
        <f aca="false">IF(A667="","",IFERROR(INDEX(Eleitoral!$B:$B,MATCH(A667,Eleitoral!$A:$A,0))&amp;"","não consta"))</f>
        <v/>
      </c>
      <c r="M667" s="28" t="str">
        <f aca="false">IF(A667="","",IF(OR(AND(K667&lt;&gt;"",LOWER(K667)&lt;&gt;"não consta"),AND(L667&lt;&gt;"",LOWER(L667)&lt;&gt;"não consta"),IFERROR(INDEX(Empresas!$G:$G,MATCH(A667,Empresas!$A:$A,0))&amp;"","")&lt;&gt;""),"SIM",""))</f>
        <v/>
      </c>
      <c r="N667" s="5"/>
      <c r="O667" s="32" t="str">
        <f aca="false">IF(D667="","",YEAR(D667))</f>
        <v/>
      </c>
      <c r="P667" s="5"/>
    </row>
    <row r="668" customFormat="false" ht="15" hidden="false" customHeight="false" outlineLevel="0" collapsed="false">
      <c r="A668" s="27"/>
      <c r="B668" s="5"/>
      <c r="C668" s="35"/>
      <c r="D668" s="18"/>
      <c r="E668" s="5"/>
      <c r="F668" s="14"/>
      <c r="G668" s="5"/>
      <c r="H668" s="27"/>
      <c r="I668" s="5"/>
      <c r="J668" s="19" t="str">
        <f aca="false">IF(A668="","",IFERROR(INDEX(Empresas!$D:$D,MATCH(A668,Empresas!$A:$A,0))&amp;"","não consta"))</f>
        <v/>
      </c>
      <c r="K668" s="19" t="str">
        <f aca="false">IF(A668="","",IFERROR(INDEX(Sancoes!$B:$B,MATCH(A668,Sancoes!$A:$A,0))&amp;"","não consta"))</f>
        <v/>
      </c>
      <c r="L668" s="19" t="str">
        <f aca="false">IF(A668="","",IFERROR(INDEX(Eleitoral!$B:$B,MATCH(A668,Eleitoral!$A:$A,0))&amp;"","não consta"))</f>
        <v/>
      </c>
      <c r="M668" s="28" t="str">
        <f aca="false">IF(A668="","",IF(OR(AND(K668&lt;&gt;"",LOWER(K668)&lt;&gt;"não consta"),AND(L668&lt;&gt;"",LOWER(L668)&lt;&gt;"não consta"),IFERROR(INDEX(Empresas!$G:$G,MATCH(A668,Empresas!$A:$A,0))&amp;"","")&lt;&gt;""),"SIM",""))</f>
        <v/>
      </c>
      <c r="N668" s="5"/>
      <c r="O668" s="32" t="str">
        <f aca="false">IF(D668="","",YEAR(D668))</f>
        <v/>
      </c>
      <c r="P668" s="5"/>
    </row>
    <row r="669" customFormat="false" ht="15" hidden="false" customHeight="false" outlineLevel="0" collapsed="false">
      <c r="A669" s="27"/>
      <c r="B669" s="5"/>
      <c r="C669" s="35"/>
      <c r="D669" s="18"/>
      <c r="E669" s="5"/>
      <c r="F669" s="14"/>
      <c r="G669" s="5"/>
      <c r="H669" s="27"/>
      <c r="I669" s="5"/>
      <c r="J669" s="19" t="str">
        <f aca="false">IF(A669="","",IFERROR(INDEX(Empresas!$D:$D,MATCH(A669,Empresas!$A:$A,0))&amp;"","não consta"))</f>
        <v/>
      </c>
      <c r="K669" s="19" t="str">
        <f aca="false">IF(A669="","",IFERROR(INDEX(Sancoes!$B:$B,MATCH(A669,Sancoes!$A:$A,0))&amp;"","não consta"))</f>
        <v/>
      </c>
      <c r="L669" s="19" t="str">
        <f aca="false">IF(A669="","",IFERROR(INDEX(Eleitoral!$B:$B,MATCH(A669,Eleitoral!$A:$A,0))&amp;"","não consta"))</f>
        <v/>
      </c>
      <c r="M669" s="28" t="str">
        <f aca="false">IF(A669="","",IF(OR(AND(K669&lt;&gt;"",LOWER(K669)&lt;&gt;"não consta"),AND(L669&lt;&gt;"",LOWER(L669)&lt;&gt;"não consta"),IFERROR(INDEX(Empresas!$G:$G,MATCH(A669,Empresas!$A:$A,0))&amp;"","")&lt;&gt;""),"SIM",""))</f>
        <v/>
      </c>
      <c r="N669" s="5"/>
      <c r="O669" s="32" t="str">
        <f aca="false">IF(D669="","",YEAR(D669))</f>
        <v/>
      </c>
      <c r="P669" s="5"/>
    </row>
    <row r="670" customFormat="false" ht="15" hidden="false" customHeight="false" outlineLevel="0" collapsed="false">
      <c r="A670" s="27"/>
      <c r="B670" s="5"/>
      <c r="C670" s="35"/>
      <c r="D670" s="18"/>
      <c r="E670" s="5"/>
      <c r="F670" s="14"/>
      <c r="G670" s="5"/>
      <c r="H670" s="27"/>
      <c r="I670" s="5"/>
      <c r="J670" s="19" t="str">
        <f aca="false">IF(A670="","",IFERROR(INDEX(Empresas!$D:$D,MATCH(A670,Empresas!$A:$A,0))&amp;"","não consta"))</f>
        <v/>
      </c>
      <c r="K670" s="19" t="str">
        <f aca="false">IF(A670="","",IFERROR(INDEX(Sancoes!$B:$B,MATCH(A670,Sancoes!$A:$A,0))&amp;"","não consta"))</f>
        <v/>
      </c>
      <c r="L670" s="19" t="str">
        <f aca="false">IF(A670="","",IFERROR(INDEX(Eleitoral!$B:$B,MATCH(A670,Eleitoral!$A:$A,0))&amp;"","não consta"))</f>
        <v/>
      </c>
      <c r="M670" s="28" t="str">
        <f aca="false">IF(A670="","",IF(OR(AND(K670&lt;&gt;"",LOWER(K670)&lt;&gt;"não consta"),AND(L670&lt;&gt;"",LOWER(L670)&lt;&gt;"não consta"),IFERROR(INDEX(Empresas!$G:$G,MATCH(A670,Empresas!$A:$A,0))&amp;"","")&lt;&gt;""),"SIM",""))</f>
        <v/>
      </c>
      <c r="N670" s="5"/>
      <c r="O670" s="32" t="str">
        <f aca="false">IF(D670="","",YEAR(D670))</f>
        <v/>
      </c>
      <c r="P670" s="5"/>
    </row>
    <row r="671" customFormat="false" ht="15" hidden="false" customHeight="false" outlineLevel="0" collapsed="false">
      <c r="A671" s="27"/>
      <c r="B671" s="5"/>
      <c r="C671" s="35"/>
      <c r="D671" s="18"/>
      <c r="E671" s="5"/>
      <c r="F671" s="14"/>
      <c r="G671" s="5"/>
      <c r="H671" s="27"/>
      <c r="I671" s="5"/>
      <c r="J671" s="19" t="str">
        <f aca="false">IF(A671="","",IFERROR(INDEX(Empresas!$D:$D,MATCH(A671,Empresas!$A:$A,0))&amp;"","não consta"))</f>
        <v/>
      </c>
      <c r="K671" s="19" t="str">
        <f aca="false">IF(A671="","",IFERROR(INDEX(Sancoes!$B:$B,MATCH(A671,Sancoes!$A:$A,0))&amp;"","não consta"))</f>
        <v/>
      </c>
      <c r="L671" s="19" t="str">
        <f aca="false">IF(A671="","",IFERROR(INDEX(Eleitoral!$B:$B,MATCH(A671,Eleitoral!$A:$A,0))&amp;"","não consta"))</f>
        <v/>
      </c>
      <c r="M671" s="28" t="str">
        <f aca="false">IF(A671="","",IF(OR(AND(K671&lt;&gt;"",LOWER(K671)&lt;&gt;"não consta"),AND(L671&lt;&gt;"",LOWER(L671)&lt;&gt;"não consta"),IFERROR(INDEX(Empresas!$G:$G,MATCH(A671,Empresas!$A:$A,0))&amp;"","")&lt;&gt;""),"SIM",""))</f>
        <v/>
      </c>
      <c r="N671" s="5"/>
      <c r="O671" s="32" t="str">
        <f aca="false">IF(D671="","",YEAR(D671))</f>
        <v/>
      </c>
      <c r="P671" s="5"/>
    </row>
    <row r="672" customFormat="false" ht="15" hidden="false" customHeight="false" outlineLevel="0" collapsed="false">
      <c r="A672" s="27"/>
      <c r="B672" s="5"/>
      <c r="C672" s="35"/>
      <c r="D672" s="18"/>
      <c r="E672" s="5"/>
      <c r="F672" s="14"/>
      <c r="G672" s="5"/>
      <c r="H672" s="27"/>
      <c r="I672" s="5"/>
      <c r="J672" s="19" t="str">
        <f aca="false">IF(A672="","",IFERROR(INDEX(Empresas!$D:$D,MATCH(A672,Empresas!$A:$A,0))&amp;"","não consta"))</f>
        <v/>
      </c>
      <c r="K672" s="19" t="str">
        <f aca="false">IF(A672="","",IFERROR(INDEX(Sancoes!$B:$B,MATCH(A672,Sancoes!$A:$A,0))&amp;"","não consta"))</f>
        <v/>
      </c>
      <c r="L672" s="19" t="str">
        <f aca="false">IF(A672="","",IFERROR(INDEX(Eleitoral!$B:$B,MATCH(A672,Eleitoral!$A:$A,0))&amp;"","não consta"))</f>
        <v/>
      </c>
      <c r="M672" s="28" t="str">
        <f aca="false">IF(A672="","",IF(OR(AND(K672&lt;&gt;"",LOWER(K672)&lt;&gt;"não consta"),AND(L672&lt;&gt;"",LOWER(L672)&lt;&gt;"não consta"),IFERROR(INDEX(Empresas!$G:$G,MATCH(A672,Empresas!$A:$A,0))&amp;"","")&lt;&gt;""),"SIM",""))</f>
        <v/>
      </c>
      <c r="N672" s="5"/>
      <c r="O672" s="32" t="str">
        <f aca="false">IF(D672="","",YEAR(D672))</f>
        <v/>
      </c>
      <c r="P672" s="5"/>
    </row>
    <row r="673" customFormat="false" ht="15" hidden="false" customHeight="false" outlineLevel="0" collapsed="false">
      <c r="A673" s="27"/>
      <c r="B673" s="5"/>
      <c r="C673" s="35"/>
      <c r="D673" s="18"/>
      <c r="E673" s="5"/>
      <c r="F673" s="14"/>
      <c r="G673" s="5"/>
      <c r="H673" s="27"/>
      <c r="I673" s="5"/>
      <c r="J673" s="19" t="str">
        <f aca="false">IF(A673="","",IFERROR(INDEX(Empresas!$D:$D,MATCH(A673,Empresas!$A:$A,0))&amp;"","não consta"))</f>
        <v/>
      </c>
      <c r="K673" s="19" t="str">
        <f aca="false">IF(A673="","",IFERROR(INDEX(Sancoes!$B:$B,MATCH(A673,Sancoes!$A:$A,0))&amp;"","não consta"))</f>
        <v/>
      </c>
      <c r="L673" s="19" t="str">
        <f aca="false">IF(A673="","",IFERROR(INDEX(Eleitoral!$B:$B,MATCH(A673,Eleitoral!$A:$A,0))&amp;"","não consta"))</f>
        <v/>
      </c>
      <c r="M673" s="28" t="str">
        <f aca="false">IF(A673="","",IF(OR(AND(K673&lt;&gt;"",LOWER(K673)&lt;&gt;"não consta"),AND(L673&lt;&gt;"",LOWER(L673)&lt;&gt;"não consta"),IFERROR(INDEX(Empresas!$G:$G,MATCH(A673,Empresas!$A:$A,0))&amp;"","")&lt;&gt;""),"SIM",""))</f>
        <v/>
      </c>
      <c r="N673" s="5"/>
      <c r="O673" s="32" t="str">
        <f aca="false">IF(D673="","",YEAR(D673))</f>
        <v/>
      </c>
      <c r="P673" s="5"/>
    </row>
    <row r="674" customFormat="false" ht="15" hidden="false" customHeight="false" outlineLevel="0" collapsed="false">
      <c r="A674" s="27"/>
      <c r="B674" s="5"/>
      <c r="C674" s="35"/>
      <c r="D674" s="18"/>
      <c r="E674" s="5"/>
      <c r="F674" s="14"/>
      <c r="G674" s="5"/>
      <c r="H674" s="27"/>
      <c r="I674" s="5"/>
      <c r="J674" s="19" t="str">
        <f aca="false">IF(A674="","",IFERROR(INDEX(Empresas!$D:$D,MATCH(A674,Empresas!$A:$A,0))&amp;"","não consta"))</f>
        <v/>
      </c>
      <c r="K674" s="19" t="str">
        <f aca="false">IF(A674="","",IFERROR(INDEX(Sancoes!$B:$B,MATCH(A674,Sancoes!$A:$A,0))&amp;"","não consta"))</f>
        <v/>
      </c>
      <c r="L674" s="19" t="str">
        <f aca="false">IF(A674="","",IFERROR(INDEX(Eleitoral!$B:$B,MATCH(A674,Eleitoral!$A:$A,0))&amp;"","não consta"))</f>
        <v/>
      </c>
      <c r="M674" s="28" t="str">
        <f aca="false">IF(A674="","",IF(OR(AND(K674&lt;&gt;"",LOWER(K674)&lt;&gt;"não consta"),AND(L674&lt;&gt;"",LOWER(L674)&lt;&gt;"não consta"),IFERROR(INDEX(Empresas!$G:$G,MATCH(A674,Empresas!$A:$A,0))&amp;"","")&lt;&gt;""),"SIM",""))</f>
        <v/>
      </c>
      <c r="N674" s="5"/>
      <c r="O674" s="32" t="str">
        <f aca="false">IF(D674="","",YEAR(D674))</f>
        <v/>
      </c>
      <c r="P674" s="5"/>
    </row>
    <row r="675" customFormat="false" ht="15" hidden="false" customHeight="false" outlineLevel="0" collapsed="false">
      <c r="A675" s="27"/>
      <c r="B675" s="5"/>
      <c r="C675" s="35"/>
      <c r="D675" s="18"/>
      <c r="E675" s="5"/>
      <c r="F675" s="14"/>
      <c r="G675" s="5"/>
      <c r="H675" s="27"/>
      <c r="I675" s="5"/>
      <c r="J675" s="19" t="str">
        <f aca="false">IF(A675="","",IFERROR(INDEX(Empresas!$D:$D,MATCH(A675,Empresas!$A:$A,0))&amp;"","não consta"))</f>
        <v/>
      </c>
      <c r="K675" s="19" t="str">
        <f aca="false">IF(A675="","",IFERROR(INDEX(Sancoes!$B:$B,MATCH(A675,Sancoes!$A:$A,0))&amp;"","não consta"))</f>
        <v/>
      </c>
      <c r="L675" s="19" t="str">
        <f aca="false">IF(A675="","",IFERROR(INDEX(Eleitoral!$B:$B,MATCH(A675,Eleitoral!$A:$A,0))&amp;"","não consta"))</f>
        <v/>
      </c>
      <c r="M675" s="28" t="str">
        <f aca="false">IF(A675="","",IF(OR(AND(K675&lt;&gt;"",LOWER(K675)&lt;&gt;"não consta"),AND(L675&lt;&gt;"",LOWER(L675)&lt;&gt;"não consta"),IFERROR(INDEX(Empresas!$G:$G,MATCH(A675,Empresas!$A:$A,0))&amp;"","")&lt;&gt;""),"SIM",""))</f>
        <v/>
      </c>
      <c r="N675" s="5"/>
      <c r="O675" s="32" t="str">
        <f aca="false">IF(D675="","",YEAR(D675))</f>
        <v/>
      </c>
      <c r="P675" s="5"/>
    </row>
    <row r="676" customFormat="false" ht="15" hidden="false" customHeight="false" outlineLevel="0" collapsed="false">
      <c r="A676" s="27"/>
      <c r="B676" s="5"/>
      <c r="C676" s="35"/>
      <c r="D676" s="18"/>
      <c r="E676" s="5"/>
      <c r="F676" s="14"/>
      <c r="G676" s="5"/>
      <c r="H676" s="27"/>
      <c r="I676" s="5"/>
      <c r="J676" s="19" t="str">
        <f aca="false">IF(A676="","",IFERROR(INDEX(Empresas!$D:$D,MATCH(A676,Empresas!$A:$A,0))&amp;"","não consta"))</f>
        <v/>
      </c>
      <c r="K676" s="19" t="str">
        <f aca="false">IF(A676="","",IFERROR(INDEX(Sancoes!$B:$B,MATCH(A676,Sancoes!$A:$A,0))&amp;"","não consta"))</f>
        <v/>
      </c>
      <c r="L676" s="19" t="str">
        <f aca="false">IF(A676="","",IFERROR(INDEX(Eleitoral!$B:$B,MATCH(A676,Eleitoral!$A:$A,0))&amp;"","não consta"))</f>
        <v/>
      </c>
      <c r="M676" s="28" t="str">
        <f aca="false">IF(A676="","",IF(OR(AND(K676&lt;&gt;"",LOWER(K676)&lt;&gt;"não consta"),AND(L676&lt;&gt;"",LOWER(L676)&lt;&gt;"não consta"),IFERROR(INDEX(Empresas!$G:$G,MATCH(A676,Empresas!$A:$A,0))&amp;"","")&lt;&gt;""),"SIM",""))</f>
        <v/>
      </c>
      <c r="N676" s="5"/>
      <c r="O676" s="32" t="str">
        <f aca="false">IF(D676="","",YEAR(D676))</f>
        <v/>
      </c>
      <c r="P676" s="5"/>
    </row>
    <row r="677" customFormat="false" ht="15" hidden="false" customHeight="false" outlineLevel="0" collapsed="false">
      <c r="A677" s="27"/>
      <c r="B677" s="5"/>
      <c r="C677" s="35"/>
      <c r="D677" s="18"/>
      <c r="E677" s="5"/>
      <c r="F677" s="14"/>
      <c r="G677" s="5"/>
      <c r="H677" s="27"/>
      <c r="I677" s="5"/>
      <c r="J677" s="19" t="str">
        <f aca="false">IF(A677="","",IFERROR(INDEX(Empresas!$D:$D,MATCH(A677,Empresas!$A:$A,0))&amp;"","não consta"))</f>
        <v/>
      </c>
      <c r="K677" s="19" t="str">
        <f aca="false">IF(A677="","",IFERROR(INDEX(Sancoes!$B:$B,MATCH(A677,Sancoes!$A:$A,0))&amp;"","não consta"))</f>
        <v/>
      </c>
      <c r="L677" s="19" t="str">
        <f aca="false">IF(A677="","",IFERROR(INDEX(Eleitoral!$B:$B,MATCH(A677,Eleitoral!$A:$A,0))&amp;"","não consta"))</f>
        <v/>
      </c>
      <c r="M677" s="28" t="str">
        <f aca="false">IF(A677="","",IF(OR(AND(K677&lt;&gt;"",LOWER(K677)&lt;&gt;"não consta"),AND(L677&lt;&gt;"",LOWER(L677)&lt;&gt;"não consta"),IFERROR(INDEX(Empresas!$G:$G,MATCH(A677,Empresas!$A:$A,0))&amp;"","")&lt;&gt;""),"SIM",""))</f>
        <v/>
      </c>
      <c r="N677" s="5"/>
      <c r="O677" s="32" t="str">
        <f aca="false">IF(D677="","",YEAR(D677))</f>
        <v/>
      </c>
      <c r="P677" s="5"/>
    </row>
    <row r="678" customFormat="false" ht="15" hidden="false" customHeight="false" outlineLevel="0" collapsed="false">
      <c r="A678" s="27"/>
      <c r="B678" s="5"/>
      <c r="C678" s="35"/>
      <c r="D678" s="18"/>
      <c r="E678" s="5"/>
      <c r="F678" s="14"/>
      <c r="G678" s="5"/>
      <c r="H678" s="27"/>
      <c r="I678" s="5"/>
      <c r="J678" s="19" t="str">
        <f aca="false">IF(A678="","",IFERROR(INDEX(Empresas!$D:$D,MATCH(A678,Empresas!$A:$A,0))&amp;"","não consta"))</f>
        <v/>
      </c>
      <c r="K678" s="19" t="str">
        <f aca="false">IF(A678="","",IFERROR(INDEX(Sancoes!$B:$B,MATCH(A678,Sancoes!$A:$A,0))&amp;"","não consta"))</f>
        <v/>
      </c>
      <c r="L678" s="19" t="str">
        <f aca="false">IF(A678="","",IFERROR(INDEX(Eleitoral!$B:$B,MATCH(A678,Eleitoral!$A:$A,0))&amp;"","não consta"))</f>
        <v/>
      </c>
      <c r="M678" s="28" t="str">
        <f aca="false">IF(A678="","",IF(OR(AND(K678&lt;&gt;"",LOWER(K678)&lt;&gt;"não consta"),AND(L678&lt;&gt;"",LOWER(L678)&lt;&gt;"não consta"),IFERROR(INDEX(Empresas!$G:$G,MATCH(A678,Empresas!$A:$A,0))&amp;"","")&lt;&gt;""),"SIM",""))</f>
        <v/>
      </c>
      <c r="N678" s="5"/>
      <c r="O678" s="32" t="str">
        <f aca="false">IF(D678="","",YEAR(D678))</f>
        <v/>
      </c>
      <c r="P678" s="5"/>
    </row>
    <row r="679" customFormat="false" ht="15" hidden="false" customHeight="false" outlineLevel="0" collapsed="false">
      <c r="A679" s="27"/>
      <c r="B679" s="5"/>
      <c r="C679" s="35"/>
      <c r="D679" s="18"/>
      <c r="E679" s="5"/>
      <c r="F679" s="14"/>
      <c r="G679" s="5"/>
      <c r="H679" s="27"/>
      <c r="I679" s="5"/>
      <c r="J679" s="19" t="str">
        <f aca="false">IF(A679="","",IFERROR(INDEX(Empresas!$D:$D,MATCH(A679,Empresas!$A:$A,0))&amp;"","não consta"))</f>
        <v/>
      </c>
      <c r="K679" s="19" t="str">
        <f aca="false">IF(A679="","",IFERROR(INDEX(Sancoes!$B:$B,MATCH(A679,Sancoes!$A:$A,0))&amp;"","não consta"))</f>
        <v/>
      </c>
      <c r="L679" s="19" t="str">
        <f aca="false">IF(A679="","",IFERROR(INDEX(Eleitoral!$B:$B,MATCH(A679,Eleitoral!$A:$A,0))&amp;"","não consta"))</f>
        <v/>
      </c>
      <c r="M679" s="28" t="str">
        <f aca="false">IF(A679="","",IF(OR(AND(K679&lt;&gt;"",LOWER(K679)&lt;&gt;"não consta"),AND(L679&lt;&gt;"",LOWER(L679)&lt;&gt;"não consta"),IFERROR(INDEX(Empresas!$G:$G,MATCH(A679,Empresas!$A:$A,0))&amp;"","")&lt;&gt;""),"SIM",""))</f>
        <v/>
      </c>
      <c r="N679" s="5"/>
      <c r="O679" s="32" t="str">
        <f aca="false">IF(D679="","",YEAR(D679))</f>
        <v/>
      </c>
      <c r="P679" s="5"/>
    </row>
    <row r="680" customFormat="false" ht="15" hidden="false" customHeight="false" outlineLevel="0" collapsed="false">
      <c r="A680" s="27"/>
      <c r="B680" s="5"/>
      <c r="C680" s="35"/>
      <c r="D680" s="18"/>
      <c r="E680" s="5"/>
      <c r="F680" s="14"/>
      <c r="G680" s="5"/>
      <c r="H680" s="27"/>
      <c r="I680" s="5"/>
      <c r="J680" s="19" t="str">
        <f aca="false">IF(A680="","",IFERROR(INDEX(Empresas!$D:$D,MATCH(A680,Empresas!$A:$A,0))&amp;"","não consta"))</f>
        <v/>
      </c>
      <c r="K680" s="19" t="str">
        <f aca="false">IF(A680="","",IFERROR(INDEX(Sancoes!$B:$B,MATCH(A680,Sancoes!$A:$A,0))&amp;"","não consta"))</f>
        <v/>
      </c>
      <c r="L680" s="19" t="str">
        <f aca="false">IF(A680="","",IFERROR(INDEX(Eleitoral!$B:$B,MATCH(A680,Eleitoral!$A:$A,0))&amp;"","não consta"))</f>
        <v/>
      </c>
      <c r="M680" s="28" t="str">
        <f aca="false">IF(A680="","",IF(OR(AND(K680&lt;&gt;"",LOWER(K680)&lt;&gt;"não consta"),AND(L680&lt;&gt;"",LOWER(L680)&lt;&gt;"não consta"),IFERROR(INDEX(Empresas!$G:$G,MATCH(A680,Empresas!$A:$A,0))&amp;"","")&lt;&gt;""),"SIM",""))</f>
        <v/>
      </c>
      <c r="N680" s="5"/>
      <c r="O680" s="32" t="str">
        <f aca="false">IF(D680="","",YEAR(D680))</f>
        <v/>
      </c>
      <c r="P680" s="5"/>
    </row>
    <row r="681" customFormat="false" ht="15" hidden="false" customHeight="false" outlineLevel="0" collapsed="false">
      <c r="A681" s="27"/>
      <c r="B681" s="5"/>
      <c r="C681" s="35"/>
      <c r="D681" s="18"/>
      <c r="E681" s="5"/>
      <c r="F681" s="14"/>
      <c r="G681" s="5"/>
      <c r="H681" s="27"/>
      <c r="I681" s="5"/>
      <c r="J681" s="19" t="str">
        <f aca="false">IF(A681="","",IFERROR(INDEX(Empresas!$D:$D,MATCH(A681,Empresas!$A:$A,0))&amp;"","não consta"))</f>
        <v/>
      </c>
      <c r="K681" s="19" t="str">
        <f aca="false">IF(A681="","",IFERROR(INDEX(Sancoes!$B:$B,MATCH(A681,Sancoes!$A:$A,0))&amp;"","não consta"))</f>
        <v/>
      </c>
      <c r="L681" s="19" t="str">
        <f aca="false">IF(A681="","",IFERROR(INDEX(Eleitoral!$B:$B,MATCH(A681,Eleitoral!$A:$A,0))&amp;"","não consta"))</f>
        <v/>
      </c>
      <c r="M681" s="28" t="str">
        <f aca="false">IF(A681="","",IF(OR(AND(K681&lt;&gt;"",LOWER(K681)&lt;&gt;"não consta"),AND(L681&lt;&gt;"",LOWER(L681)&lt;&gt;"não consta"),IFERROR(INDEX(Empresas!$G:$G,MATCH(A681,Empresas!$A:$A,0))&amp;"","")&lt;&gt;""),"SIM",""))</f>
        <v/>
      </c>
      <c r="N681" s="5"/>
      <c r="O681" s="32" t="str">
        <f aca="false">IF(D681="","",YEAR(D681))</f>
        <v/>
      </c>
      <c r="P681" s="5"/>
    </row>
    <row r="682" customFormat="false" ht="15" hidden="false" customHeight="false" outlineLevel="0" collapsed="false">
      <c r="A682" s="27"/>
      <c r="B682" s="5"/>
      <c r="C682" s="35"/>
      <c r="D682" s="18"/>
      <c r="E682" s="5"/>
      <c r="F682" s="14"/>
      <c r="G682" s="5"/>
      <c r="H682" s="27"/>
      <c r="I682" s="5"/>
      <c r="J682" s="19" t="str">
        <f aca="false">IF(A682="","",IFERROR(INDEX(Empresas!$D:$D,MATCH(A682,Empresas!$A:$A,0))&amp;"","não consta"))</f>
        <v/>
      </c>
      <c r="K682" s="19" t="str">
        <f aca="false">IF(A682="","",IFERROR(INDEX(Sancoes!$B:$B,MATCH(A682,Sancoes!$A:$A,0))&amp;"","não consta"))</f>
        <v/>
      </c>
      <c r="L682" s="19" t="str">
        <f aca="false">IF(A682="","",IFERROR(INDEX(Eleitoral!$B:$B,MATCH(A682,Eleitoral!$A:$A,0))&amp;"","não consta"))</f>
        <v/>
      </c>
      <c r="M682" s="28" t="str">
        <f aca="false">IF(A682="","",IF(OR(AND(K682&lt;&gt;"",LOWER(K682)&lt;&gt;"não consta"),AND(L682&lt;&gt;"",LOWER(L682)&lt;&gt;"não consta"),IFERROR(INDEX(Empresas!$G:$G,MATCH(A682,Empresas!$A:$A,0))&amp;"","")&lt;&gt;""),"SIM",""))</f>
        <v/>
      </c>
      <c r="N682" s="5"/>
      <c r="O682" s="32" t="str">
        <f aca="false">IF(D682="","",YEAR(D682))</f>
        <v/>
      </c>
      <c r="P682" s="5"/>
    </row>
    <row r="683" customFormat="false" ht="15" hidden="false" customHeight="false" outlineLevel="0" collapsed="false">
      <c r="A683" s="27"/>
      <c r="B683" s="5"/>
      <c r="C683" s="35"/>
      <c r="D683" s="18"/>
      <c r="E683" s="5"/>
      <c r="F683" s="14"/>
      <c r="G683" s="5"/>
      <c r="H683" s="27"/>
      <c r="I683" s="5"/>
      <c r="J683" s="19" t="str">
        <f aca="false">IF(A683="","",IFERROR(INDEX(Empresas!$D:$D,MATCH(A683,Empresas!$A:$A,0))&amp;"","não consta"))</f>
        <v/>
      </c>
      <c r="K683" s="19" t="str">
        <f aca="false">IF(A683="","",IFERROR(INDEX(Sancoes!$B:$B,MATCH(A683,Sancoes!$A:$A,0))&amp;"","não consta"))</f>
        <v/>
      </c>
      <c r="L683" s="19" t="str">
        <f aca="false">IF(A683="","",IFERROR(INDEX(Eleitoral!$B:$B,MATCH(A683,Eleitoral!$A:$A,0))&amp;"","não consta"))</f>
        <v/>
      </c>
      <c r="M683" s="28" t="str">
        <f aca="false">IF(A683="","",IF(OR(AND(K683&lt;&gt;"",LOWER(K683)&lt;&gt;"não consta"),AND(L683&lt;&gt;"",LOWER(L683)&lt;&gt;"não consta"),IFERROR(INDEX(Empresas!$G:$G,MATCH(A683,Empresas!$A:$A,0))&amp;"","")&lt;&gt;""),"SIM",""))</f>
        <v/>
      </c>
      <c r="N683" s="5"/>
      <c r="O683" s="32" t="str">
        <f aca="false">IF(D683="","",YEAR(D683))</f>
        <v/>
      </c>
      <c r="P683" s="5"/>
    </row>
    <row r="684" customFormat="false" ht="15" hidden="false" customHeight="false" outlineLevel="0" collapsed="false">
      <c r="A684" s="27"/>
      <c r="B684" s="5"/>
      <c r="C684" s="35"/>
      <c r="D684" s="18"/>
      <c r="E684" s="5"/>
      <c r="F684" s="14"/>
      <c r="G684" s="5"/>
      <c r="H684" s="27"/>
      <c r="I684" s="5"/>
      <c r="J684" s="19" t="str">
        <f aca="false">IF(A684="","",IFERROR(INDEX(Empresas!$D:$D,MATCH(A684,Empresas!$A:$A,0))&amp;"","não consta"))</f>
        <v/>
      </c>
      <c r="K684" s="19" t="str">
        <f aca="false">IF(A684="","",IFERROR(INDEX(Sancoes!$B:$B,MATCH(A684,Sancoes!$A:$A,0))&amp;"","não consta"))</f>
        <v/>
      </c>
      <c r="L684" s="19" t="str">
        <f aca="false">IF(A684="","",IFERROR(INDEX(Eleitoral!$B:$B,MATCH(A684,Eleitoral!$A:$A,0))&amp;"","não consta"))</f>
        <v/>
      </c>
      <c r="M684" s="28" t="str">
        <f aca="false">IF(A684="","",IF(OR(AND(K684&lt;&gt;"",LOWER(K684)&lt;&gt;"não consta"),AND(L684&lt;&gt;"",LOWER(L684)&lt;&gt;"não consta"),IFERROR(INDEX(Empresas!$G:$G,MATCH(A684,Empresas!$A:$A,0))&amp;"","")&lt;&gt;""),"SIM",""))</f>
        <v/>
      </c>
      <c r="N684" s="5"/>
      <c r="O684" s="32" t="str">
        <f aca="false">IF(D684="","",YEAR(D684))</f>
        <v/>
      </c>
      <c r="P684" s="5"/>
    </row>
    <row r="685" customFormat="false" ht="15" hidden="false" customHeight="false" outlineLevel="0" collapsed="false">
      <c r="A685" s="27"/>
      <c r="B685" s="5"/>
      <c r="C685" s="35"/>
      <c r="D685" s="18"/>
      <c r="E685" s="5"/>
      <c r="F685" s="14"/>
      <c r="G685" s="5"/>
      <c r="H685" s="27"/>
      <c r="I685" s="5"/>
      <c r="J685" s="19" t="str">
        <f aca="false">IF(A685="","",IFERROR(INDEX(Empresas!$D:$D,MATCH(A685,Empresas!$A:$A,0))&amp;"","não consta"))</f>
        <v/>
      </c>
      <c r="K685" s="19" t="str">
        <f aca="false">IF(A685="","",IFERROR(INDEX(Sancoes!$B:$B,MATCH(A685,Sancoes!$A:$A,0))&amp;"","não consta"))</f>
        <v/>
      </c>
      <c r="L685" s="19" t="str">
        <f aca="false">IF(A685="","",IFERROR(INDEX(Eleitoral!$B:$B,MATCH(A685,Eleitoral!$A:$A,0))&amp;"","não consta"))</f>
        <v/>
      </c>
      <c r="M685" s="28" t="str">
        <f aca="false">IF(A685="","",IF(OR(AND(K685&lt;&gt;"",LOWER(K685)&lt;&gt;"não consta"),AND(L685&lt;&gt;"",LOWER(L685)&lt;&gt;"não consta"),IFERROR(INDEX(Empresas!$G:$G,MATCH(A685,Empresas!$A:$A,0))&amp;"","")&lt;&gt;""),"SIM",""))</f>
        <v/>
      </c>
      <c r="N685" s="5"/>
      <c r="O685" s="32" t="str">
        <f aca="false">IF(D685="","",YEAR(D685))</f>
        <v/>
      </c>
      <c r="P685" s="5"/>
    </row>
    <row r="686" customFormat="false" ht="15" hidden="false" customHeight="false" outlineLevel="0" collapsed="false">
      <c r="A686" s="27"/>
      <c r="B686" s="5"/>
      <c r="C686" s="35"/>
      <c r="D686" s="18"/>
      <c r="E686" s="5"/>
      <c r="F686" s="14"/>
      <c r="G686" s="5"/>
      <c r="H686" s="27"/>
      <c r="I686" s="5"/>
      <c r="J686" s="19" t="str">
        <f aca="false">IF(A686="","",IFERROR(INDEX(Empresas!$D:$D,MATCH(A686,Empresas!$A:$A,0))&amp;"","não consta"))</f>
        <v/>
      </c>
      <c r="K686" s="19" t="str">
        <f aca="false">IF(A686="","",IFERROR(INDEX(Sancoes!$B:$B,MATCH(A686,Sancoes!$A:$A,0))&amp;"","não consta"))</f>
        <v/>
      </c>
      <c r="L686" s="19" t="str">
        <f aca="false">IF(A686="","",IFERROR(INDEX(Eleitoral!$B:$B,MATCH(A686,Eleitoral!$A:$A,0))&amp;"","não consta"))</f>
        <v/>
      </c>
      <c r="M686" s="28" t="str">
        <f aca="false">IF(A686="","",IF(OR(AND(K686&lt;&gt;"",LOWER(K686)&lt;&gt;"não consta"),AND(L686&lt;&gt;"",LOWER(L686)&lt;&gt;"não consta"),IFERROR(INDEX(Empresas!$G:$G,MATCH(A686,Empresas!$A:$A,0))&amp;"","")&lt;&gt;""),"SIM",""))</f>
        <v/>
      </c>
      <c r="N686" s="5"/>
      <c r="O686" s="32" t="str">
        <f aca="false">IF(D686="","",YEAR(D686))</f>
        <v/>
      </c>
      <c r="P686" s="5"/>
    </row>
    <row r="687" customFormat="false" ht="15" hidden="false" customHeight="false" outlineLevel="0" collapsed="false">
      <c r="A687" s="27"/>
      <c r="B687" s="5"/>
      <c r="C687" s="35"/>
      <c r="D687" s="18"/>
      <c r="E687" s="5"/>
      <c r="F687" s="14"/>
      <c r="G687" s="5"/>
      <c r="H687" s="27"/>
      <c r="I687" s="5"/>
      <c r="J687" s="19" t="str">
        <f aca="false">IF(A687="","",IFERROR(INDEX(Empresas!$D:$D,MATCH(A687,Empresas!$A:$A,0))&amp;"","não consta"))</f>
        <v/>
      </c>
      <c r="K687" s="19" t="str">
        <f aca="false">IF(A687="","",IFERROR(INDEX(Sancoes!$B:$B,MATCH(A687,Sancoes!$A:$A,0))&amp;"","não consta"))</f>
        <v/>
      </c>
      <c r="L687" s="19" t="str">
        <f aca="false">IF(A687="","",IFERROR(INDEX(Eleitoral!$B:$B,MATCH(A687,Eleitoral!$A:$A,0))&amp;"","não consta"))</f>
        <v/>
      </c>
      <c r="M687" s="28" t="str">
        <f aca="false">IF(A687="","",IF(OR(AND(K687&lt;&gt;"",LOWER(K687)&lt;&gt;"não consta"),AND(L687&lt;&gt;"",LOWER(L687)&lt;&gt;"não consta"),IFERROR(INDEX(Empresas!$G:$G,MATCH(A687,Empresas!$A:$A,0))&amp;"","")&lt;&gt;""),"SIM",""))</f>
        <v/>
      </c>
      <c r="N687" s="5"/>
      <c r="O687" s="32" t="str">
        <f aca="false">IF(D687="","",YEAR(D687))</f>
        <v/>
      </c>
      <c r="P687" s="5"/>
    </row>
    <row r="688" customFormat="false" ht="15" hidden="false" customHeight="false" outlineLevel="0" collapsed="false">
      <c r="A688" s="27"/>
      <c r="B688" s="5"/>
      <c r="C688" s="35"/>
      <c r="D688" s="18"/>
      <c r="E688" s="5"/>
      <c r="F688" s="14"/>
      <c r="G688" s="5"/>
      <c r="H688" s="27"/>
      <c r="I688" s="5"/>
      <c r="J688" s="19" t="str">
        <f aca="false">IF(A688="","",IFERROR(INDEX(Empresas!$D:$D,MATCH(A688,Empresas!$A:$A,0))&amp;"","não consta"))</f>
        <v/>
      </c>
      <c r="K688" s="19" t="str">
        <f aca="false">IF(A688="","",IFERROR(INDEX(Sancoes!$B:$B,MATCH(A688,Sancoes!$A:$A,0))&amp;"","não consta"))</f>
        <v/>
      </c>
      <c r="L688" s="19" t="str">
        <f aca="false">IF(A688="","",IFERROR(INDEX(Eleitoral!$B:$B,MATCH(A688,Eleitoral!$A:$A,0))&amp;"","não consta"))</f>
        <v/>
      </c>
      <c r="M688" s="28" t="str">
        <f aca="false">IF(A688="","",IF(OR(AND(K688&lt;&gt;"",LOWER(K688)&lt;&gt;"não consta"),AND(L688&lt;&gt;"",LOWER(L688)&lt;&gt;"não consta"),IFERROR(INDEX(Empresas!$G:$G,MATCH(A688,Empresas!$A:$A,0))&amp;"","")&lt;&gt;""),"SIM",""))</f>
        <v/>
      </c>
      <c r="N688" s="5"/>
      <c r="O688" s="32" t="str">
        <f aca="false">IF(D688="","",YEAR(D688))</f>
        <v/>
      </c>
      <c r="P688" s="5"/>
    </row>
    <row r="689" customFormat="false" ht="15" hidden="false" customHeight="false" outlineLevel="0" collapsed="false">
      <c r="A689" s="27"/>
      <c r="B689" s="5"/>
      <c r="C689" s="35"/>
      <c r="D689" s="18"/>
      <c r="E689" s="5"/>
      <c r="F689" s="14"/>
      <c r="G689" s="5"/>
      <c r="H689" s="27"/>
      <c r="I689" s="5"/>
      <c r="J689" s="19" t="str">
        <f aca="false">IF(A689="","",IFERROR(INDEX(Empresas!$D:$D,MATCH(A689,Empresas!$A:$A,0))&amp;"","não consta"))</f>
        <v/>
      </c>
      <c r="K689" s="19" t="str">
        <f aca="false">IF(A689="","",IFERROR(INDEX(Sancoes!$B:$B,MATCH(A689,Sancoes!$A:$A,0))&amp;"","não consta"))</f>
        <v/>
      </c>
      <c r="L689" s="19" t="str">
        <f aca="false">IF(A689="","",IFERROR(INDEX(Eleitoral!$B:$B,MATCH(A689,Eleitoral!$A:$A,0))&amp;"","não consta"))</f>
        <v/>
      </c>
      <c r="M689" s="28" t="str">
        <f aca="false">IF(A689="","",IF(OR(AND(K689&lt;&gt;"",LOWER(K689)&lt;&gt;"não consta"),AND(L689&lt;&gt;"",LOWER(L689)&lt;&gt;"não consta"),IFERROR(INDEX(Empresas!$G:$G,MATCH(A689,Empresas!$A:$A,0))&amp;"","")&lt;&gt;""),"SIM",""))</f>
        <v/>
      </c>
      <c r="N689" s="5"/>
      <c r="O689" s="32" t="str">
        <f aca="false">IF(D689="","",YEAR(D689))</f>
        <v/>
      </c>
      <c r="P689" s="5"/>
    </row>
    <row r="690" customFormat="false" ht="15" hidden="false" customHeight="false" outlineLevel="0" collapsed="false">
      <c r="A690" s="27"/>
      <c r="B690" s="5"/>
      <c r="C690" s="35"/>
      <c r="D690" s="18"/>
      <c r="E690" s="5"/>
      <c r="F690" s="14"/>
      <c r="G690" s="5"/>
      <c r="H690" s="27"/>
      <c r="I690" s="5"/>
      <c r="J690" s="19" t="str">
        <f aca="false">IF(A690="","",IFERROR(INDEX(Empresas!$D:$D,MATCH(A690,Empresas!$A:$A,0))&amp;"","não consta"))</f>
        <v/>
      </c>
      <c r="K690" s="19" t="str">
        <f aca="false">IF(A690="","",IFERROR(INDEX(Sancoes!$B:$B,MATCH(A690,Sancoes!$A:$A,0))&amp;"","não consta"))</f>
        <v/>
      </c>
      <c r="L690" s="19" t="str">
        <f aca="false">IF(A690="","",IFERROR(INDEX(Eleitoral!$B:$B,MATCH(A690,Eleitoral!$A:$A,0))&amp;"","não consta"))</f>
        <v/>
      </c>
      <c r="M690" s="28" t="str">
        <f aca="false">IF(A690="","",IF(OR(AND(K690&lt;&gt;"",LOWER(K690)&lt;&gt;"não consta"),AND(L690&lt;&gt;"",LOWER(L690)&lt;&gt;"não consta"),IFERROR(INDEX(Empresas!$G:$G,MATCH(A690,Empresas!$A:$A,0))&amp;"","")&lt;&gt;""),"SIM",""))</f>
        <v/>
      </c>
      <c r="N690" s="5"/>
      <c r="O690" s="32" t="str">
        <f aca="false">IF(D690="","",YEAR(D690))</f>
        <v/>
      </c>
      <c r="P690" s="5"/>
    </row>
    <row r="691" customFormat="false" ht="15" hidden="false" customHeight="false" outlineLevel="0" collapsed="false">
      <c r="A691" s="27"/>
      <c r="B691" s="5"/>
      <c r="C691" s="35"/>
      <c r="D691" s="18"/>
      <c r="E691" s="5"/>
      <c r="F691" s="14"/>
      <c r="G691" s="5"/>
      <c r="H691" s="27"/>
      <c r="I691" s="5"/>
      <c r="J691" s="19" t="str">
        <f aca="false">IF(A691="","",IFERROR(INDEX(Empresas!$D:$D,MATCH(A691,Empresas!$A:$A,0))&amp;"","não consta"))</f>
        <v/>
      </c>
      <c r="K691" s="19" t="str">
        <f aca="false">IF(A691="","",IFERROR(INDEX(Sancoes!$B:$B,MATCH(A691,Sancoes!$A:$A,0))&amp;"","não consta"))</f>
        <v/>
      </c>
      <c r="L691" s="19" t="str">
        <f aca="false">IF(A691="","",IFERROR(INDEX(Eleitoral!$B:$B,MATCH(A691,Eleitoral!$A:$A,0))&amp;"","não consta"))</f>
        <v/>
      </c>
      <c r="M691" s="28" t="str">
        <f aca="false">IF(A691="","",IF(OR(AND(K691&lt;&gt;"",LOWER(K691)&lt;&gt;"não consta"),AND(L691&lt;&gt;"",LOWER(L691)&lt;&gt;"não consta"),IFERROR(INDEX(Empresas!$G:$G,MATCH(A691,Empresas!$A:$A,0))&amp;"","")&lt;&gt;""),"SIM",""))</f>
        <v/>
      </c>
      <c r="N691" s="5"/>
      <c r="O691" s="32" t="str">
        <f aca="false">IF(D691="","",YEAR(D691))</f>
        <v/>
      </c>
      <c r="P691" s="5"/>
    </row>
    <row r="692" customFormat="false" ht="15" hidden="false" customHeight="false" outlineLevel="0" collapsed="false">
      <c r="A692" s="27"/>
      <c r="B692" s="5"/>
      <c r="C692" s="35"/>
      <c r="D692" s="18"/>
      <c r="E692" s="5"/>
      <c r="F692" s="14"/>
      <c r="G692" s="5"/>
      <c r="H692" s="27"/>
      <c r="I692" s="5"/>
      <c r="J692" s="19" t="str">
        <f aca="false">IF(A692="","",IFERROR(INDEX(Empresas!$D:$D,MATCH(A692,Empresas!$A:$A,0))&amp;"","não consta"))</f>
        <v/>
      </c>
      <c r="K692" s="19" t="str">
        <f aca="false">IF(A692="","",IFERROR(INDEX(Sancoes!$B:$B,MATCH(A692,Sancoes!$A:$A,0))&amp;"","não consta"))</f>
        <v/>
      </c>
      <c r="L692" s="19" t="str">
        <f aca="false">IF(A692="","",IFERROR(INDEX(Eleitoral!$B:$B,MATCH(A692,Eleitoral!$A:$A,0))&amp;"","não consta"))</f>
        <v/>
      </c>
      <c r="M692" s="28" t="str">
        <f aca="false">IF(A692="","",IF(OR(AND(K692&lt;&gt;"",LOWER(K692)&lt;&gt;"não consta"),AND(L692&lt;&gt;"",LOWER(L692)&lt;&gt;"não consta"),IFERROR(INDEX(Empresas!$G:$G,MATCH(A692,Empresas!$A:$A,0))&amp;"","")&lt;&gt;""),"SIM",""))</f>
        <v/>
      </c>
      <c r="N692" s="5"/>
      <c r="O692" s="32" t="str">
        <f aca="false">IF(D692="","",YEAR(D692))</f>
        <v/>
      </c>
      <c r="P692" s="5"/>
    </row>
    <row r="693" customFormat="false" ht="15" hidden="false" customHeight="false" outlineLevel="0" collapsed="false">
      <c r="A693" s="27"/>
      <c r="B693" s="5"/>
      <c r="C693" s="35"/>
      <c r="D693" s="18"/>
      <c r="E693" s="5"/>
      <c r="F693" s="14"/>
      <c r="G693" s="5"/>
      <c r="H693" s="27"/>
      <c r="I693" s="5"/>
      <c r="J693" s="19" t="str">
        <f aca="false">IF(A693="","",IFERROR(INDEX(Empresas!$D:$D,MATCH(A693,Empresas!$A:$A,0))&amp;"","não consta"))</f>
        <v/>
      </c>
      <c r="K693" s="19" t="str">
        <f aca="false">IF(A693="","",IFERROR(INDEX(Sancoes!$B:$B,MATCH(A693,Sancoes!$A:$A,0))&amp;"","não consta"))</f>
        <v/>
      </c>
      <c r="L693" s="19" t="str">
        <f aca="false">IF(A693="","",IFERROR(INDEX(Eleitoral!$B:$B,MATCH(A693,Eleitoral!$A:$A,0))&amp;"","não consta"))</f>
        <v/>
      </c>
      <c r="M693" s="28" t="str">
        <f aca="false">IF(A693="","",IF(OR(AND(K693&lt;&gt;"",LOWER(K693)&lt;&gt;"não consta"),AND(L693&lt;&gt;"",LOWER(L693)&lt;&gt;"não consta"),IFERROR(INDEX(Empresas!$G:$G,MATCH(A693,Empresas!$A:$A,0))&amp;"","")&lt;&gt;""),"SIM",""))</f>
        <v/>
      </c>
      <c r="N693" s="5"/>
      <c r="O693" s="32" t="str">
        <f aca="false">IF(D693="","",YEAR(D693))</f>
        <v/>
      </c>
      <c r="P693" s="5"/>
    </row>
    <row r="694" customFormat="false" ht="15" hidden="false" customHeight="false" outlineLevel="0" collapsed="false">
      <c r="A694" s="27"/>
      <c r="B694" s="5"/>
      <c r="C694" s="35"/>
      <c r="D694" s="18"/>
      <c r="E694" s="5"/>
      <c r="F694" s="14"/>
      <c r="G694" s="5"/>
      <c r="H694" s="27"/>
      <c r="I694" s="5"/>
      <c r="J694" s="19" t="str">
        <f aca="false">IF(A694="","",IFERROR(INDEX(Empresas!$D:$D,MATCH(A694,Empresas!$A:$A,0))&amp;"","não consta"))</f>
        <v/>
      </c>
      <c r="K694" s="19" t="str">
        <f aca="false">IF(A694="","",IFERROR(INDEX(Sancoes!$B:$B,MATCH(A694,Sancoes!$A:$A,0))&amp;"","não consta"))</f>
        <v/>
      </c>
      <c r="L694" s="19" t="str">
        <f aca="false">IF(A694="","",IFERROR(INDEX(Eleitoral!$B:$B,MATCH(A694,Eleitoral!$A:$A,0))&amp;"","não consta"))</f>
        <v/>
      </c>
      <c r="M694" s="28" t="str">
        <f aca="false">IF(A694="","",IF(OR(AND(K694&lt;&gt;"",LOWER(K694)&lt;&gt;"não consta"),AND(L694&lt;&gt;"",LOWER(L694)&lt;&gt;"não consta"),IFERROR(INDEX(Empresas!$G:$G,MATCH(A694,Empresas!$A:$A,0))&amp;"","")&lt;&gt;""),"SIM",""))</f>
        <v/>
      </c>
      <c r="N694" s="5"/>
      <c r="O694" s="32" t="str">
        <f aca="false">IF(D694="","",YEAR(D694))</f>
        <v/>
      </c>
      <c r="P694" s="5"/>
    </row>
    <row r="695" customFormat="false" ht="15" hidden="false" customHeight="false" outlineLevel="0" collapsed="false">
      <c r="A695" s="27"/>
      <c r="B695" s="5"/>
      <c r="C695" s="35"/>
      <c r="D695" s="18"/>
      <c r="E695" s="5"/>
      <c r="F695" s="14"/>
      <c r="G695" s="5"/>
      <c r="H695" s="27"/>
      <c r="I695" s="5"/>
      <c r="J695" s="19" t="str">
        <f aca="false">IF(A695="","",IFERROR(INDEX(Empresas!$D:$D,MATCH(A695,Empresas!$A:$A,0))&amp;"","não consta"))</f>
        <v/>
      </c>
      <c r="K695" s="19" t="str">
        <f aca="false">IF(A695="","",IFERROR(INDEX(Sancoes!$B:$B,MATCH(A695,Sancoes!$A:$A,0))&amp;"","não consta"))</f>
        <v/>
      </c>
      <c r="L695" s="19" t="str">
        <f aca="false">IF(A695="","",IFERROR(INDEX(Eleitoral!$B:$B,MATCH(A695,Eleitoral!$A:$A,0))&amp;"","não consta"))</f>
        <v/>
      </c>
      <c r="M695" s="28" t="str">
        <f aca="false">IF(A695="","",IF(OR(AND(K695&lt;&gt;"",LOWER(K695)&lt;&gt;"não consta"),AND(L695&lt;&gt;"",LOWER(L695)&lt;&gt;"não consta"),IFERROR(INDEX(Empresas!$G:$G,MATCH(A695,Empresas!$A:$A,0))&amp;"","")&lt;&gt;""),"SIM",""))</f>
        <v/>
      </c>
      <c r="N695" s="5"/>
      <c r="O695" s="32" t="str">
        <f aca="false">IF(D695="","",YEAR(D695))</f>
        <v/>
      </c>
      <c r="P695" s="5"/>
    </row>
    <row r="696" customFormat="false" ht="15" hidden="false" customHeight="false" outlineLevel="0" collapsed="false">
      <c r="A696" s="27"/>
      <c r="B696" s="5"/>
      <c r="C696" s="35"/>
      <c r="D696" s="18"/>
      <c r="E696" s="5"/>
      <c r="F696" s="14"/>
      <c r="G696" s="5"/>
      <c r="H696" s="27"/>
      <c r="I696" s="5"/>
      <c r="J696" s="19" t="str">
        <f aca="false">IF(A696="","",IFERROR(INDEX(Empresas!$D:$D,MATCH(A696,Empresas!$A:$A,0))&amp;"","não consta"))</f>
        <v/>
      </c>
      <c r="K696" s="19" t="str">
        <f aca="false">IF(A696="","",IFERROR(INDEX(Sancoes!$B:$B,MATCH(A696,Sancoes!$A:$A,0))&amp;"","não consta"))</f>
        <v/>
      </c>
      <c r="L696" s="19" t="str">
        <f aca="false">IF(A696="","",IFERROR(INDEX(Eleitoral!$B:$B,MATCH(A696,Eleitoral!$A:$A,0))&amp;"","não consta"))</f>
        <v/>
      </c>
      <c r="M696" s="28" t="str">
        <f aca="false">IF(A696="","",IF(OR(AND(K696&lt;&gt;"",LOWER(K696)&lt;&gt;"não consta"),AND(L696&lt;&gt;"",LOWER(L696)&lt;&gt;"não consta"),IFERROR(INDEX(Empresas!$G:$G,MATCH(A696,Empresas!$A:$A,0))&amp;"","")&lt;&gt;""),"SIM",""))</f>
        <v/>
      </c>
      <c r="N696" s="5"/>
      <c r="O696" s="32" t="str">
        <f aca="false">IF(D696="","",YEAR(D696))</f>
        <v/>
      </c>
      <c r="P696" s="5"/>
    </row>
    <row r="697" customFormat="false" ht="15" hidden="false" customHeight="false" outlineLevel="0" collapsed="false">
      <c r="A697" s="27"/>
      <c r="B697" s="5"/>
      <c r="C697" s="35"/>
      <c r="D697" s="18"/>
      <c r="E697" s="5"/>
      <c r="F697" s="14"/>
      <c r="G697" s="5"/>
      <c r="H697" s="27"/>
      <c r="I697" s="5"/>
      <c r="J697" s="19" t="str">
        <f aca="false">IF(A697="","",IFERROR(INDEX(Empresas!$D:$D,MATCH(A697,Empresas!$A:$A,0))&amp;"","não consta"))</f>
        <v/>
      </c>
      <c r="K697" s="19" t="str">
        <f aca="false">IF(A697="","",IFERROR(INDEX(Sancoes!$B:$B,MATCH(A697,Sancoes!$A:$A,0))&amp;"","não consta"))</f>
        <v/>
      </c>
      <c r="L697" s="19" t="str">
        <f aca="false">IF(A697="","",IFERROR(INDEX(Eleitoral!$B:$B,MATCH(A697,Eleitoral!$A:$A,0))&amp;"","não consta"))</f>
        <v/>
      </c>
      <c r="M697" s="28" t="str">
        <f aca="false">IF(A697="","",IF(OR(AND(K697&lt;&gt;"",LOWER(K697)&lt;&gt;"não consta"),AND(L697&lt;&gt;"",LOWER(L697)&lt;&gt;"não consta"),IFERROR(INDEX(Empresas!$G:$G,MATCH(A697,Empresas!$A:$A,0))&amp;"","")&lt;&gt;""),"SIM",""))</f>
        <v/>
      </c>
      <c r="N697" s="5"/>
      <c r="O697" s="32" t="str">
        <f aca="false">IF(D697="","",YEAR(D697))</f>
        <v/>
      </c>
      <c r="P697" s="5"/>
    </row>
    <row r="698" customFormat="false" ht="15" hidden="false" customHeight="false" outlineLevel="0" collapsed="false">
      <c r="A698" s="27"/>
      <c r="B698" s="5"/>
      <c r="C698" s="35"/>
      <c r="D698" s="18"/>
      <c r="E698" s="5"/>
      <c r="F698" s="14"/>
      <c r="G698" s="5"/>
      <c r="H698" s="27"/>
      <c r="I698" s="5"/>
      <c r="J698" s="19" t="str">
        <f aca="false">IF(A698="","",IFERROR(INDEX(Empresas!$D:$D,MATCH(A698,Empresas!$A:$A,0))&amp;"","não consta"))</f>
        <v/>
      </c>
      <c r="K698" s="19" t="str">
        <f aca="false">IF(A698="","",IFERROR(INDEX(Sancoes!$B:$B,MATCH(A698,Sancoes!$A:$A,0))&amp;"","não consta"))</f>
        <v/>
      </c>
      <c r="L698" s="19" t="str">
        <f aca="false">IF(A698="","",IFERROR(INDEX(Eleitoral!$B:$B,MATCH(A698,Eleitoral!$A:$A,0))&amp;"","não consta"))</f>
        <v/>
      </c>
      <c r="M698" s="28" t="str">
        <f aca="false">IF(A698="","",IF(OR(AND(K698&lt;&gt;"",LOWER(K698)&lt;&gt;"não consta"),AND(L698&lt;&gt;"",LOWER(L698)&lt;&gt;"não consta"),IFERROR(INDEX(Empresas!$G:$G,MATCH(A698,Empresas!$A:$A,0))&amp;"","")&lt;&gt;""),"SIM",""))</f>
        <v/>
      </c>
      <c r="N698" s="5"/>
      <c r="O698" s="32" t="str">
        <f aca="false">IF(D698="","",YEAR(D698))</f>
        <v/>
      </c>
      <c r="P698" s="5"/>
    </row>
    <row r="699" customFormat="false" ht="15" hidden="false" customHeight="false" outlineLevel="0" collapsed="false">
      <c r="A699" s="27"/>
      <c r="B699" s="5"/>
      <c r="C699" s="35"/>
      <c r="D699" s="18"/>
      <c r="E699" s="5"/>
      <c r="F699" s="14"/>
      <c r="G699" s="5"/>
      <c r="H699" s="27"/>
      <c r="I699" s="5"/>
      <c r="J699" s="19" t="str">
        <f aca="false">IF(A699="","",IFERROR(INDEX(Empresas!$D:$D,MATCH(A699,Empresas!$A:$A,0))&amp;"","não consta"))</f>
        <v/>
      </c>
      <c r="K699" s="19" t="str">
        <f aca="false">IF(A699="","",IFERROR(INDEX(Sancoes!$B:$B,MATCH(A699,Sancoes!$A:$A,0))&amp;"","não consta"))</f>
        <v/>
      </c>
      <c r="L699" s="19" t="str">
        <f aca="false">IF(A699="","",IFERROR(INDEX(Eleitoral!$B:$B,MATCH(A699,Eleitoral!$A:$A,0))&amp;"","não consta"))</f>
        <v/>
      </c>
      <c r="M699" s="28" t="str">
        <f aca="false">IF(A699="","",IF(OR(AND(K699&lt;&gt;"",LOWER(K699)&lt;&gt;"não consta"),AND(L699&lt;&gt;"",LOWER(L699)&lt;&gt;"não consta"),IFERROR(INDEX(Empresas!$G:$G,MATCH(A699,Empresas!$A:$A,0))&amp;"","")&lt;&gt;""),"SIM",""))</f>
        <v/>
      </c>
      <c r="N699" s="5"/>
      <c r="O699" s="32" t="str">
        <f aca="false">IF(D699="","",YEAR(D699))</f>
        <v/>
      </c>
      <c r="P699" s="5"/>
    </row>
    <row r="700" customFormat="false" ht="15" hidden="false" customHeight="false" outlineLevel="0" collapsed="false">
      <c r="A700" s="27"/>
      <c r="B700" s="5"/>
      <c r="C700" s="35"/>
      <c r="D700" s="18"/>
      <c r="E700" s="5"/>
      <c r="F700" s="14"/>
      <c r="G700" s="5"/>
      <c r="H700" s="27"/>
      <c r="I700" s="5"/>
      <c r="J700" s="19" t="str">
        <f aca="false">IF(A700="","",IFERROR(INDEX(Empresas!$D:$D,MATCH(A700,Empresas!$A:$A,0))&amp;"","não consta"))</f>
        <v/>
      </c>
      <c r="K700" s="19" t="str">
        <f aca="false">IF(A700="","",IFERROR(INDEX(Sancoes!$B:$B,MATCH(A700,Sancoes!$A:$A,0))&amp;"","não consta"))</f>
        <v/>
      </c>
      <c r="L700" s="19" t="str">
        <f aca="false">IF(A700="","",IFERROR(INDEX(Eleitoral!$B:$B,MATCH(A700,Eleitoral!$A:$A,0))&amp;"","não consta"))</f>
        <v/>
      </c>
      <c r="M700" s="28" t="str">
        <f aca="false">IF(A700="","",IF(OR(AND(K700&lt;&gt;"",LOWER(K700)&lt;&gt;"não consta"),AND(L700&lt;&gt;"",LOWER(L700)&lt;&gt;"não consta"),IFERROR(INDEX(Empresas!$G:$G,MATCH(A700,Empresas!$A:$A,0))&amp;"","")&lt;&gt;""),"SIM",""))</f>
        <v/>
      </c>
      <c r="N700" s="5"/>
      <c r="O700" s="32" t="str">
        <f aca="false">IF(D700="","",YEAR(D700))</f>
        <v/>
      </c>
      <c r="P700" s="5"/>
    </row>
    <row r="701" customFormat="false" ht="15" hidden="false" customHeight="false" outlineLevel="0" collapsed="false">
      <c r="A701" s="27"/>
      <c r="B701" s="5"/>
      <c r="C701" s="35"/>
      <c r="D701" s="18"/>
      <c r="E701" s="5"/>
      <c r="F701" s="14"/>
      <c r="G701" s="5"/>
      <c r="H701" s="27"/>
      <c r="I701" s="5"/>
      <c r="J701" s="19" t="str">
        <f aca="false">IF(A701="","",IFERROR(INDEX(Empresas!$D:$D,MATCH(A701,Empresas!$A:$A,0))&amp;"","não consta"))</f>
        <v/>
      </c>
      <c r="K701" s="19" t="str">
        <f aca="false">IF(A701="","",IFERROR(INDEX(Sancoes!$B:$B,MATCH(A701,Sancoes!$A:$A,0))&amp;"","não consta"))</f>
        <v/>
      </c>
      <c r="L701" s="19" t="str">
        <f aca="false">IF(A701="","",IFERROR(INDEX(Eleitoral!$B:$B,MATCH(A701,Eleitoral!$A:$A,0))&amp;"","não consta"))</f>
        <v/>
      </c>
      <c r="M701" s="28" t="str">
        <f aca="false">IF(A701="","",IF(OR(AND(K701&lt;&gt;"",LOWER(K701)&lt;&gt;"não consta"),AND(L701&lt;&gt;"",LOWER(L701)&lt;&gt;"não consta"),IFERROR(INDEX(Empresas!$G:$G,MATCH(A701,Empresas!$A:$A,0))&amp;"","")&lt;&gt;""),"SIM",""))</f>
        <v/>
      </c>
      <c r="N701" s="5"/>
      <c r="O701" s="32" t="str">
        <f aca="false">IF(D701="","",YEAR(D701))</f>
        <v/>
      </c>
      <c r="P701" s="5"/>
    </row>
    <row r="702" customFormat="false" ht="15" hidden="false" customHeight="false" outlineLevel="0" collapsed="false">
      <c r="A702" s="27"/>
      <c r="B702" s="5"/>
      <c r="C702" s="35"/>
      <c r="D702" s="18"/>
      <c r="E702" s="5"/>
      <c r="F702" s="14"/>
      <c r="G702" s="5"/>
      <c r="H702" s="27"/>
      <c r="I702" s="5"/>
      <c r="J702" s="19" t="str">
        <f aca="false">IF(A702="","",IFERROR(INDEX(Empresas!$D:$D,MATCH(A702,Empresas!$A:$A,0))&amp;"","não consta"))</f>
        <v/>
      </c>
      <c r="K702" s="19" t="str">
        <f aca="false">IF(A702="","",IFERROR(INDEX(Sancoes!$B:$B,MATCH(A702,Sancoes!$A:$A,0))&amp;"","não consta"))</f>
        <v/>
      </c>
      <c r="L702" s="19" t="str">
        <f aca="false">IF(A702="","",IFERROR(INDEX(Eleitoral!$B:$B,MATCH(A702,Eleitoral!$A:$A,0))&amp;"","não consta"))</f>
        <v/>
      </c>
      <c r="M702" s="28" t="str">
        <f aca="false">IF(A702="","",IF(OR(AND(K702&lt;&gt;"",LOWER(K702)&lt;&gt;"não consta"),AND(L702&lt;&gt;"",LOWER(L702)&lt;&gt;"não consta"),IFERROR(INDEX(Empresas!$G:$G,MATCH(A702,Empresas!$A:$A,0))&amp;"","")&lt;&gt;""),"SIM",""))</f>
        <v/>
      </c>
      <c r="N702" s="5"/>
      <c r="O702" s="32" t="str">
        <f aca="false">IF(D702="","",YEAR(D702))</f>
        <v/>
      </c>
      <c r="P702" s="5"/>
    </row>
    <row r="703" customFormat="false" ht="15" hidden="false" customHeight="false" outlineLevel="0" collapsed="false">
      <c r="A703" s="27"/>
      <c r="B703" s="5"/>
      <c r="C703" s="35"/>
      <c r="D703" s="18"/>
      <c r="E703" s="5"/>
      <c r="F703" s="14"/>
      <c r="G703" s="5"/>
      <c r="H703" s="27"/>
      <c r="I703" s="5"/>
      <c r="J703" s="19" t="str">
        <f aca="false">IF(A703="","",IFERROR(INDEX(Empresas!$D:$D,MATCH(A703,Empresas!$A:$A,0))&amp;"","não consta"))</f>
        <v/>
      </c>
      <c r="K703" s="19" t="str">
        <f aca="false">IF(A703="","",IFERROR(INDEX(Sancoes!$B:$B,MATCH(A703,Sancoes!$A:$A,0))&amp;"","não consta"))</f>
        <v/>
      </c>
      <c r="L703" s="19" t="str">
        <f aca="false">IF(A703="","",IFERROR(INDEX(Eleitoral!$B:$B,MATCH(A703,Eleitoral!$A:$A,0))&amp;"","não consta"))</f>
        <v/>
      </c>
      <c r="M703" s="28" t="str">
        <f aca="false">IF(A703="","",IF(OR(AND(K703&lt;&gt;"",LOWER(K703)&lt;&gt;"não consta"),AND(L703&lt;&gt;"",LOWER(L703)&lt;&gt;"não consta"),IFERROR(INDEX(Empresas!$G:$G,MATCH(A703,Empresas!$A:$A,0))&amp;"","")&lt;&gt;""),"SIM",""))</f>
        <v/>
      </c>
      <c r="N703" s="5"/>
      <c r="O703" s="32" t="str">
        <f aca="false">IF(D703="","",YEAR(D703))</f>
        <v/>
      </c>
      <c r="P703" s="5"/>
    </row>
    <row r="704" customFormat="false" ht="15" hidden="false" customHeight="false" outlineLevel="0" collapsed="false">
      <c r="A704" s="27"/>
      <c r="B704" s="5"/>
      <c r="C704" s="35"/>
      <c r="D704" s="18"/>
      <c r="E704" s="5"/>
      <c r="F704" s="14"/>
      <c r="G704" s="5"/>
      <c r="H704" s="27"/>
      <c r="I704" s="5"/>
      <c r="J704" s="19" t="str">
        <f aca="false">IF(A704="","",IFERROR(INDEX(Empresas!$D:$D,MATCH(A704,Empresas!$A:$A,0))&amp;"","não consta"))</f>
        <v/>
      </c>
      <c r="K704" s="19" t="str">
        <f aca="false">IF(A704="","",IFERROR(INDEX(Sancoes!$B:$B,MATCH(A704,Sancoes!$A:$A,0))&amp;"","não consta"))</f>
        <v/>
      </c>
      <c r="L704" s="19" t="str">
        <f aca="false">IF(A704="","",IFERROR(INDEX(Eleitoral!$B:$B,MATCH(A704,Eleitoral!$A:$A,0))&amp;"","não consta"))</f>
        <v/>
      </c>
      <c r="M704" s="28" t="str">
        <f aca="false">IF(A704="","",IF(OR(AND(K704&lt;&gt;"",LOWER(K704)&lt;&gt;"não consta"),AND(L704&lt;&gt;"",LOWER(L704)&lt;&gt;"não consta"),IFERROR(INDEX(Empresas!$G:$G,MATCH(A704,Empresas!$A:$A,0))&amp;"","")&lt;&gt;""),"SIM",""))</f>
        <v/>
      </c>
      <c r="N704" s="5"/>
      <c r="O704" s="32" t="str">
        <f aca="false">IF(D704="","",YEAR(D704))</f>
        <v/>
      </c>
      <c r="P704" s="5"/>
    </row>
    <row r="705" customFormat="false" ht="15" hidden="false" customHeight="false" outlineLevel="0" collapsed="false">
      <c r="A705" s="27"/>
      <c r="B705" s="5"/>
      <c r="C705" s="35"/>
      <c r="D705" s="18"/>
      <c r="E705" s="5"/>
      <c r="F705" s="14"/>
      <c r="G705" s="5"/>
      <c r="H705" s="27"/>
      <c r="I705" s="5"/>
      <c r="J705" s="19" t="str">
        <f aca="false">IF(A705="","",IFERROR(INDEX(Empresas!$D:$D,MATCH(A705,Empresas!$A:$A,0))&amp;"","não consta"))</f>
        <v/>
      </c>
      <c r="K705" s="19" t="str">
        <f aca="false">IF(A705="","",IFERROR(INDEX(Sancoes!$B:$B,MATCH(A705,Sancoes!$A:$A,0))&amp;"","não consta"))</f>
        <v/>
      </c>
      <c r="L705" s="19" t="str">
        <f aca="false">IF(A705="","",IFERROR(INDEX(Eleitoral!$B:$B,MATCH(A705,Eleitoral!$A:$A,0))&amp;"","não consta"))</f>
        <v/>
      </c>
      <c r="M705" s="28" t="str">
        <f aca="false">IF(A705="","",IF(OR(AND(K705&lt;&gt;"",LOWER(K705)&lt;&gt;"não consta"),AND(L705&lt;&gt;"",LOWER(L705)&lt;&gt;"não consta"),IFERROR(INDEX(Empresas!$G:$G,MATCH(A705,Empresas!$A:$A,0))&amp;"","")&lt;&gt;""),"SIM",""))</f>
        <v/>
      </c>
      <c r="N705" s="5"/>
      <c r="O705" s="32" t="str">
        <f aca="false">IF(D705="","",YEAR(D705))</f>
        <v/>
      </c>
      <c r="P705" s="5"/>
    </row>
    <row r="706" customFormat="false" ht="15" hidden="false" customHeight="false" outlineLevel="0" collapsed="false">
      <c r="A706" s="27"/>
      <c r="B706" s="5"/>
      <c r="C706" s="35"/>
      <c r="D706" s="18"/>
      <c r="E706" s="5"/>
      <c r="F706" s="14"/>
      <c r="G706" s="5"/>
      <c r="H706" s="27"/>
      <c r="I706" s="5"/>
      <c r="J706" s="19" t="str">
        <f aca="false">IF(A706="","",IFERROR(INDEX(Empresas!$D:$D,MATCH(A706,Empresas!$A:$A,0))&amp;"","não consta"))</f>
        <v/>
      </c>
      <c r="K706" s="19" t="str">
        <f aca="false">IF(A706="","",IFERROR(INDEX(Sancoes!$B:$B,MATCH(A706,Sancoes!$A:$A,0))&amp;"","não consta"))</f>
        <v/>
      </c>
      <c r="L706" s="19" t="str">
        <f aca="false">IF(A706="","",IFERROR(INDEX(Eleitoral!$B:$B,MATCH(A706,Eleitoral!$A:$A,0))&amp;"","não consta"))</f>
        <v/>
      </c>
      <c r="M706" s="28" t="str">
        <f aca="false">IF(A706="","",IF(OR(AND(K706&lt;&gt;"",LOWER(K706)&lt;&gt;"não consta"),AND(L706&lt;&gt;"",LOWER(L706)&lt;&gt;"não consta"),IFERROR(INDEX(Empresas!$G:$G,MATCH(A706,Empresas!$A:$A,0))&amp;"","")&lt;&gt;""),"SIM",""))</f>
        <v/>
      </c>
      <c r="N706" s="5"/>
      <c r="O706" s="32" t="str">
        <f aca="false">IF(D706="","",YEAR(D706))</f>
        <v/>
      </c>
      <c r="P706" s="5"/>
    </row>
    <row r="707" customFormat="false" ht="15" hidden="false" customHeight="false" outlineLevel="0" collapsed="false">
      <c r="A707" s="27"/>
      <c r="B707" s="5"/>
      <c r="C707" s="35"/>
      <c r="D707" s="18"/>
      <c r="E707" s="5"/>
      <c r="F707" s="14"/>
      <c r="G707" s="5"/>
      <c r="H707" s="27"/>
      <c r="I707" s="5"/>
      <c r="J707" s="19" t="str">
        <f aca="false">IF(A707="","",IFERROR(INDEX(Empresas!$D:$D,MATCH(A707,Empresas!$A:$A,0))&amp;"","não consta"))</f>
        <v/>
      </c>
      <c r="K707" s="19" t="str">
        <f aca="false">IF(A707="","",IFERROR(INDEX(Sancoes!$B:$B,MATCH(A707,Sancoes!$A:$A,0))&amp;"","não consta"))</f>
        <v/>
      </c>
      <c r="L707" s="19" t="str">
        <f aca="false">IF(A707="","",IFERROR(INDEX(Eleitoral!$B:$B,MATCH(A707,Eleitoral!$A:$A,0))&amp;"","não consta"))</f>
        <v/>
      </c>
      <c r="M707" s="28" t="str">
        <f aca="false">IF(A707="","",IF(OR(AND(K707&lt;&gt;"",LOWER(K707)&lt;&gt;"não consta"),AND(L707&lt;&gt;"",LOWER(L707)&lt;&gt;"não consta"),IFERROR(INDEX(Empresas!$G:$G,MATCH(A707,Empresas!$A:$A,0))&amp;"","")&lt;&gt;""),"SIM",""))</f>
        <v/>
      </c>
      <c r="N707" s="5"/>
      <c r="O707" s="32" t="str">
        <f aca="false">IF(D707="","",YEAR(D707))</f>
        <v/>
      </c>
      <c r="P707" s="5"/>
    </row>
    <row r="708" customFormat="false" ht="15" hidden="false" customHeight="false" outlineLevel="0" collapsed="false">
      <c r="A708" s="27"/>
      <c r="B708" s="5"/>
      <c r="C708" s="35"/>
      <c r="D708" s="18"/>
      <c r="E708" s="5"/>
      <c r="F708" s="14"/>
      <c r="G708" s="5"/>
      <c r="H708" s="27"/>
      <c r="I708" s="5"/>
      <c r="J708" s="19" t="str">
        <f aca="false">IF(A708="","",IFERROR(INDEX(Empresas!$D:$D,MATCH(A708,Empresas!$A:$A,0))&amp;"","não consta"))</f>
        <v/>
      </c>
      <c r="K708" s="19" t="str">
        <f aca="false">IF(A708="","",IFERROR(INDEX(Sancoes!$B:$B,MATCH(A708,Sancoes!$A:$A,0))&amp;"","não consta"))</f>
        <v/>
      </c>
      <c r="L708" s="19" t="str">
        <f aca="false">IF(A708="","",IFERROR(INDEX(Eleitoral!$B:$B,MATCH(A708,Eleitoral!$A:$A,0))&amp;"","não consta"))</f>
        <v/>
      </c>
      <c r="M708" s="28" t="str">
        <f aca="false">IF(A708="","",IF(OR(AND(K708&lt;&gt;"",LOWER(K708)&lt;&gt;"não consta"),AND(L708&lt;&gt;"",LOWER(L708)&lt;&gt;"não consta"),IFERROR(INDEX(Empresas!$G:$G,MATCH(A708,Empresas!$A:$A,0))&amp;"","")&lt;&gt;""),"SIM",""))</f>
        <v/>
      </c>
      <c r="N708" s="5"/>
      <c r="O708" s="32" t="str">
        <f aca="false">IF(D708="","",YEAR(D708))</f>
        <v/>
      </c>
      <c r="P708" s="5"/>
    </row>
    <row r="709" customFormat="false" ht="15" hidden="false" customHeight="false" outlineLevel="0" collapsed="false">
      <c r="A709" s="27"/>
      <c r="B709" s="5"/>
      <c r="C709" s="35"/>
      <c r="D709" s="18"/>
      <c r="E709" s="5"/>
      <c r="F709" s="14"/>
      <c r="G709" s="5"/>
      <c r="H709" s="27"/>
      <c r="I709" s="5"/>
      <c r="J709" s="19" t="str">
        <f aca="false">IF(A709="","",IFERROR(INDEX(Empresas!$D:$D,MATCH(A709,Empresas!$A:$A,0))&amp;"","não consta"))</f>
        <v/>
      </c>
      <c r="K709" s="19" t="str">
        <f aca="false">IF(A709="","",IFERROR(INDEX(Sancoes!$B:$B,MATCH(A709,Sancoes!$A:$A,0))&amp;"","não consta"))</f>
        <v/>
      </c>
      <c r="L709" s="19" t="str">
        <f aca="false">IF(A709="","",IFERROR(INDEX(Eleitoral!$B:$B,MATCH(A709,Eleitoral!$A:$A,0))&amp;"","não consta"))</f>
        <v/>
      </c>
      <c r="M709" s="28" t="str">
        <f aca="false">IF(A709="","",IF(OR(AND(K709&lt;&gt;"",LOWER(K709)&lt;&gt;"não consta"),AND(L709&lt;&gt;"",LOWER(L709)&lt;&gt;"não consta"),IFERROR(INDEX(Empresas!$G:$G,MATCH(A709,Empresas!$A:$A,0))&amp;"","")&lt;&gt;""),"SIM",""))</f>
        <v/>
      </c>
      <c r="N709" s="5"/>
      <c r="O709" s="32" t="str">
        <f aca="false">IF(D709="","",YEAR(D709))</f>
        <v/>
      </c>
      <c r="P709" s="5"/>
    </row>
    <row r="710" customFormat="false" ht="15" hidden="false" customHeight="false" outlineLevel="0" collapsed="false">
      <c r="A710" s="27"/>
      <c r="B710" s="5"/>
      <c r="C710" s="35"/>
      <c r="D710" s="18"/>
      <c r="E710" s="5"/>
      <c r="F710" s="14"/>
      <c r="G710" s="5"/>
      <c r="H710" s="27"/>
      <c r="I710" s="5"/>
      <c r="J710" s="19" t="str">
        <f aca="false">IF(A710="","",IFERROR(INDEX(Empresas!$D:$D,MATCH(A710,Empresas!$A:$A,0))&amp;"","não consta"))</f>
        <v/>
      </c>
      <c r="K710" s="19" t="str">
        <f aca="false">IF(A710="","",IFERROR(INDEX(Sancoes!$B:$B,MATCH(A710,Sancoes!$A:$A,0))&amp;"","não consta"))</f>
        <v/>
      </c>
      <c r="L710" s="19" t="str">
        <f aca="false">IF(A710="","",IFERROR(INDEX(Eleitoral!$B:$B,MATCH(A710,Eleitoral!$A:$A,0))&amp;"","não consta"))</f>
        <v/>
      </c>
      <c r="M710" s="28" t="str">
        <f aca="false">IF(A710="","",IF(OR(AND(K710&lt;&gt;"",LOWER(K710)&lt;&gt;"não consta"),AND(L710&lt;&gt;"",LOWER(L710)&lt;&gt;"não consta"),IFERROR(INDEX(Empresas!$G:$G,MATCH(A710,Empresas!$A:$A,0))&amp;"","")&lt;&gt;""),"SIM",""))</f>
        <v/>
      </c>
      <c r="N710" s="5"/>
      <c r="O710" s="32" t="str">
        <f aca="false">IF(D710="","",YEAR(D710))</f>
        <v/>
      </c>
      <c r="P710" s="5"/>
    </row>
    <row r="711" customFormat="false" ht="15" hidden="false" customHeight="false" outlineLevel="0" collapsed="false">
      <c r="A711" s="27"/>
      <c r="B711" s="5"/>
      <c r="C711" s="35"/>
      <c r="D711" s="18"/>
      <c r="E711" s="5"/>
      <c r="F711" s="14"/>
      <c r="G711" s="5"/>
      <c r="H711" s="27"/>
      <c r="I711" s="5"/>
      <c r="J711" s="19" t="str">
        <f aca="false">IF(A711="","",IFERROR(INDEX(Empresas!$D:$D,MATCH(A711,Empresas!$A:$A,0))&amp;"","não consta"))</f>
        <v/>
      </c>
      <c r="K711" s="19" t="str">
        <f aca="false">IF(A711="","",IFERROR(INDEX(Sancoes!$B:$B,MATCH(A711,Sancoes!$A:$A,0))&amp;"","não consta"))</f>
        <v/>
      </c>
      <c r="L711" s="19" t="str">
        <f aca="false">IF(A711="","",IFERROR(INDEX(Eleitoral!$B:$B,MATCH(A711,Eleitoral!$A:$A,0))&amp;"","não consta"))</f>
        <v/>
      </c>
      <c r="M711" s="28" t="str">
        <f aca="false">IF(A711="","",IF(OR(AND(K711&lt;&gt;"",LOWER(K711)&lt;&gt;"não consta"),AND(L711&lt;&gt;"",LOWER(L711)&lt;&gt;"não consta"),IFERROR(INDEX(Empresas!$G:$G,MATCH(A711,Empresas!$A:$A,0))&amp;"","")&lt;&gt;""),"SIM",""))</f>
        <v/>
      </c>
      <c r="N711" s="5"/>
      <c r="O711" s="32" t="str">
        <f aca="false">IF(D711="","",YEAR(D711))</f>
        <v/>
      </c>
      <c r="P711" s="5"/>
    </row>
    <row r="712" customFormat="false" ht="15" hidden="false" customHeight="false" outlineLevel="0" collapsed="false">
      <c r="A712" s="27"/>
      <c r="B712" s="5"/>
      <c r="C712" s="35"/>
      <c r="D712" s="18"/>
      <c r="E712" s="5"/>
      <c r="F712" s="14"/>
      <c r="G712" s="5"/>
      <c r="H712" s="27"/>
      <c r="I712" s="5"/>
      <c r="J712" s="19" t="str">
        <f aca="false">IF(A712="","",IFERROR(INDEX(Empresas!$D:$D,MATCH(A712,Empresas!$A:$A,0))&amp;"","não consta"))</f>
        <v/>
      </c>
      <c r="K712" s="19" t="str">
        <f aca="false">IF(A712="","",IFERROR(INDEX(Sancoes!$B:$B,MATCH(A712,Sancoes!$A:$A,0))&amp;"","não consta"))</f>
        <v/>
      </c>
      <c r="L712" s="19" t="str">
        <f aca="false">IF(A712="","",IFERROR(INDEX(Eleitoral!$B:$B,MATCH(A712,Eleitoral!$A:$A,0))&amp;"","não consta"))</f>
        <v/>
      </c>
      <c r="M712" s="28" t="str">
        <f aca="false">IF(A712="","",IF(OR(AND(K712&lt;&gt;"",LOWER(K712)&lt;&gt;"não consta"),AND(L712&lt;&gt;"",LOWER(L712)&lt;&gt;"não consta"),IFERROR(INDEX(Empresas!$G:$G,MATCH(A712,Empresas!$A:$A,0))&amp;"","")&lt;&gt;""),"SIM",""))</f>
        <v/>
      </c>
      <c r="N712" s="5"/>
      <c r="O712" s="32" t="str">
        <f aca="false">IF(D712="","",YEAR(D712))</f>
        <v/>
      </c>
      <c r="P712" s="5"/>
    </row>
    <row r="713" customFormat="false" ht="15" hidden="false" customHeight="false" outlineLevel="0" collapsed="false">
      <c r="A713" s="27"/>
      <c r="B713" s="5"/>
      <c r="C713" s="35"/>
      <c r="D713" s="18"/>
      <c r="E713" s="5"/>
      <c r="F713" s="14"/>
      <c r="G713" s="5"/>
      <c r="H713" s="27"/>
      <c r="I713" s="5"/>
      <c r="J713" s="19" t="str">
        <f aca="false">IF(A713="","",IFERROR(INDEX(Empresas!$D:$D,MATCH(A713,Empresas!$A:$A,0))&amp;"","não consta"))</f>
        <v/>
      </c>
      <c r="K713" s="19" t="str">
        <f aca="false">IF(A713="","",IFERROR(INDEX(Sancoes!$B:$B,MATCH(A713,Sancoes!$A:$A,0))&amp;"","não consta"))</f>
        <v/>
      </c>
      <c r="L713" s="19" t="str">
        <f aca="false">IF(A713="","",IFERROR(INDEX(Eleitoral!$B:$B,MATCH(A713,Eleitoral!$A:$A,0))&amp;"","não consta"))</f>
        <v/>
      </c>
      <c r="M713" s="28" t="str">
        <f aca="false">IF(A713="","",IF(OR(AND(K713&lt;&gt;"",LOWER(K713)&lt;&gt;"não consta"),AND(L713&lt;&gt;"",LOWER(L713)&lt;&gt;"não consta"),IFERROR(INDEX(Empresas!$G:$G,MATCH(A713,Empresas!$A:$A,0))&amp;"","")&lt;&gt;""),"SIM",""))</f>
        <v/>
      </c>
      <c r="N713" s="5"/>
      <c r="O713" s="32" t="str">
        <f aca="false">IF(D713="","",YEAR(D713))</f>
        <v/>
      </c>
      <c r="P713" s="5"/>
    </row>
    <row r="714" customFormat="false" ht="15" hidden="false" customHeight="false" outlineLevel="0" collapsed="false">
      <c r="A714" s="27"/>
      <c r="B714" s="5"/>
      <c r="C714" s="35"/>
      <c r="D714" s="18"/>
      <c r="E714" s="5"/>
      <c r="F714" s="14"/>
      <c r="G714" s="5"/>
      <c r="H714" s="27"/>
      <c r="I714" s="5"/>
      <c r="J714" s="19" t="str">
        <f aca="false">IF(A714="","",IFERROR(INDEX(Empresas!$D:$D,MATCH(A714,Empresas!$A:$A,0))&amp;"","não consta"))</f>
        <v/>
      </c>
      <c r="K714" s="19" t="str">
        <f aca="false">IF(A714="","",IFERROR(INDEX(Sancoes!$B:$B,MATCH(A714,Sancoes!$A:$A,0))&amp;"","não consta"))</f>
        <v/>
      </c>
      <c r="L714" s="19" t="str">
        <f aca="false">IF(A714="","",IFERROR(INDEX(Eleitoral!$B:$B,MATCH(A714,Eleitoral!$A:$A,0))&amp;"","não consta"))</f>
        <v/>
      </c>
      <c r="M714" s="28" t="str">
        <f aca="false">IF(A714="","",IF(OR(AND(K714&lt;&gt;"",LOWER(K714)&lt;&gt;"não consta"),AND(L714&lt;&gt;"",LOWER(L714)&lt;&gt;"não consta"),IFERROR(INDEX(Empresas!$G:$G,MATCH(A714,Empresas!$A:$A,0))&amp;"","")&lt;&gt;""),"SIM",""))</f>
        <v/>
      </c>
      <c r="N714" s="5"/>
      <c r="O714" s="32" t="str">
        <f aca="false">IF(D714="","",YEAR(D714))</f>
        <v/>
      </c>
      <c r="P714" s="5"/>
    </row>
    <row r="715" customFormat="false" ht="15" hidden="false" customHeight="false" outlineLevel="0" collapsed="false">
      <c r="A715" s="27"/>
      <c r="B715" s="5"/>
      <c r="C715" s="35"/>
      <c r="D715" s="18"/>
      <c r="E715" s="5"/>
      <c r="F715" s="14"/>
      <c r="G715" s="5"/>
      <c r="H715" s="27"/>
      <c r="I715" s="5"/>
      <c r="J715" s="19" t="str">
        <f aca="false">IF(A715="","",IFERROR(INDEX(Empresas!$D:$D,MATCH(A715,Empresas!$A:$A,0))&amp;"","não consta"))</f>
        <v/>
      </c>
      <c r="K715" s="19" t="str">
        <f aca="false">IF(A715="","",IFERROR(INDEX(Sancoes!$B:$B,MATCH(A715,Sancoes!$A:$A,0))&amp;"","não consta"))</f>
        <v/>
      </c>
      <c r="L715" s="19" t="str">
        <f aca="false">IF(A715="","",IFERROR(INDEX(Eleitoral!$B:$B,MATCH(A715,Eleitoral!$A:$A,0))&amp;"","não consta"))</f>
        <v/>
      </c>
      <c r="M715" s="28" t="str">
        <f aca="false">IF(A715="","",IF(OR(AND(K715&lt;&gt;"",LOWER(K715)&lt;&gt;"não consta"),AND(L715&lt;&gt;"",LOWER(L715)&lt;&gt;"não consta"),IFERROR(INDEX(Empresas!$G:$G,MATCH(A715,Empresas!$A:$A,0))&amp;"","")&lt;&gt;""),"SIM",""))</f>
        <v/>
      </c>
      <c r="N715" s="5"/>
      <c r="O715" s="32" t="str">
        <f aca="false">IF(D715="","",YEAR(D715))</f>
        <v/>
      </c>
      <c r="P715" s="5"/>
    </row>
    <row r="716" customFormat="false" ht="15" hidden="false" customHeight="false" outlineLevel="0" collapsed="false">
      <c r="A716" s="27"/>
      <c r="B716" s="5"/>
      <c r="C716" s="35"/>
      <c r="D716" s="18"/>
      <c r="E716" s="5"/>
      <c r="F716" s="14"/>
      <c r="G716" s="5"/>
      <c r="H716" s="27"/>
      <c r="I716" s="5"/>
      <c r="J716" s="19" t="str">
        <f aca="false">IF(A716="","",IFERROR(INDEX(Empresas!$D:$D,MATCH(A716,Empresas!$A:$A,0))&amp;"","não consta"))</f>
        <v/>
      </c>
      <c r="K716" s="19" t="str">
        <f aca="false">IF(A716="","",IFERROR(INDEX(Sancoes!$B:$B,MATCH(A716,Sancoes!$A:$A,0))&amp;"","não consta"))</f>
        <v/>
      </c>
      <c r="L716" s="19" t="str">
        <f aca="false">IF(A716="","",IFERROR(INDEX(Eleitoral!$B:$B,MATCH(A716,Eleitoral!$A:$A,0))&amp;"","não consta"))</f>
        <v/>
      </c>
      <c r="M716" s="28" t="str">
        <f aca="false">IF(A716="","",IF(OR(AND(K716&lt;&gt;"",LOWER(K716)&lt;&gt;"não consta"),AND(L716&lt;&gt;"",LOWER(L716)&lt;&gt;"não consta"),IFERROR(INDEX(Empresas!$G:$G,MATCH(A716,Empresas!$A:$A,0))&amp;"","")&lt;&gt;""),"SIM",""))</f>
        <v/>
      </c>
      <c r="N716" s="5"/>
      <c r="O716" s="32" t="str">
        <f aca="false">IF(D716="","",YEAR(D716))</f>
        <v/>
      </c>
      <c r="P716" s="5"/>
    </row>
    <row r="717" customFormat="false" ht="15" hidden="false" customHeight="false" outlineLevel="0" collapsed="false">
      <c r="A717" s="27"/>
      <c r="B717" s="5"/>
      <c r="C717" s="35"/>
      <c r="D717" s="18"/>
      <c r="E717" s="5"/>
      <c r="F717" s="14"/>
      <c r="G717" s="5"/>
      <c r="H717" s="27"/>
      <c r="I717" s="5"/>
      <c r="J717" s="19" t="str">
        <f aca="false">IF(A717="","",IFERROR(INDEX(Empresas!$D:$D,MATCH(A717,Empresas!$A:$A,0))&amp;"","não consta"))</f>
        <v/>
      </c>
      <c r="K717" s="19" t="str">
        <f aca="false">IF(A717="","",IFERROR(INDEX(Sancoes!$B:$B,MATCH(A717,Sancoes!$A:$A,0))&amp;"","não consta"))</f>
        <v/>
      </c>
      <c r="L717" s="19" t="str">
        <f aca="false">IF(A717="","",IFERROR(INDEX(Eleitoral!$B:$B,MATCH(A717,Eleitoral!$A:$A,0))&amp;"","não consta"))</f>
        <v/>
      </c>
      <c r="M717" s="28" t="str">
        <f aca="false">IF(A717="","",IF(OR(AND(K717&lt;&gt;"",LOWER(K717)&lt;&gt;"não consta"),AND(L717&lt;&gt;"",LOWER(L717)&lt;&gt;"não consta"),IFERROR(INDEX(Empresas!$G:$G,MATCH(A717,Empresas!$A:$A,0))&amp;"","")&lt;&gt;""),"SIM",""))</f>
        <v/>
      </c>
      <c r="N717" s="5"/>
      <c r="O717" s="32" t="str">
        <f aca="false">IF(D717="","",YEAR(D717))</f>
        <v/>
      </c>
      <c r="P717" s="5"/>
    </row>
    <row r="718" customFormat="false" ht="15" hidden="false" customHeight="false" outlineLevel="0" collapsed="false">
      <c r="A718" s="27"/>
      <c r="B718" s="5"/>
      <c r="C718" s="35"/>
      <c r="D718" s="18"/>
      <c r="E718" s="5"/>
      <c r="F718" s="14"/>
      <c r="G718" s="5"/>
      <c r="H718" s="27"/>
      <c r="I718" s="5"/>
      <c r="J718" s="19" t="str">
        <f aca="false">IF(A718="","",IFERROR(INDEX(Empresas!$D:$D,MATCH(A718,Empresas!$A:$A,0))&amp;"","não consta"))</f>
        <v/>
      </c>
      <c r="K718" s="19" t="str">
        <f aca="false">IF(A718="","",IFERROR(INDEX(Sancoes!$B:$B,MATCH(A718,Sancoes!$A:$A,0))&amp;"","não consta"))</f>
        <v/>
      </c>
      <c r="L718" s="19" t="str">
        <f aca="false">IF(A718="","",IFERROR(INDEX(Eleitoral!$B:$B,MATCH(A718,Eleitoral!$A:$A,0))&amp;"","não consta"))</f>
        <v/>
      </c>
      <c r="M718" s="28" t="str">
        <f aca="false">IF(A718="","",IF(OR(AND(K718&lt;&gt;"",LOWER(K718)&lt;&gt;"não consta"),AND(L718&lt;&gt;"",LOWER(L718)&lt;&gt;"não consta"),IFERROR(INDEX(Empresas!$G:$G,MATCH(A718,Empresas!$A:$A,0))&amp;"","")&lt;&gt;""),"SIM",""))</f>
        <v/>
      </c>
      <c r="N718" s="5"/>
      <c r="O718" s="32" t="str">
        <f aca="false">IF(D718="","",YEAR(D718))</f>
        <v/>
      </c>
      <c r="P718" s="5"/>
    </row>
    <row r="719" customFormat="false" ht="15" hidden="false" customHeight="false" outlineLevel="0" collapsed="false">
      <c r="A719" s="27"/>
      <c r="B719" s="5"/>
      <c r="C719" s="35"/>
      <c r="D719" s="18"/>
      <c r="E719" s="5"/>
      <c r="F719" s="14"/>
      <c r="G719" s="5"/>
      <c r="H719" s="27"/>
      <c r="I719" s="5"/>
      <c r="J719" s="19" t="str">
        <f aca="false">IF(A719="","",IFERROR(INDEX(Empresas!$D:$D,MATCH(A719,Empresas!$A:$A,0))&amp;"","não consta"))</f>
        <v/>
      </c>
      <c r="K719" s="19" t="str">
        <f aca="false">IF(A719="","",IFERROR(INDEX(Sancoes!$B:$B,MATCH(A719,Sancoes!$A:$A,0))&amp;"","não consta"))</f>
        <v/>
      </c>
      <c r="L719" s="19" t="str">
        <f aca="false">IF(A719="","",IFERROR(INDEX(Eleitoral!$B:$B,MATCH(A719,Eleitoral!$A:$A,0))&amp;"","não consta"))</f>
        <v/>
      </c>
      <c r="M719" s="28" t="str">
        <f aca="false">IF(A719="","",IF(OR(AND(K719&lt;&gt;"",LOWER(K719)&lt;&gt;"não consta"),AND(L719&lt;&gt;"",LOWER(L719)&lt;&gt;"não consta"),IFERROR(INDEX(Empresas!$G:$G,MATCH(A719,Empresas!$A:$A,0))&amp;"","")&lt;&gt;""),"SIM",""))</f>
        <v/>
      </c>
      <c r="N719" s="5"/>
      <c r="O719" s="32" t="str">
        <f aca="false">IF(D719="","",YEAR(D719))</f>
        <v/>
      </c>
      <c r="P719" s="5"/>
    </row>
    <row r="720" customFormat="false" ht="15" hidden="false" customHeight="false" outlineLevel="0" collapsed="false">
      <c r="A720" s="27"/>
      <c r="B720" s="5"/>
      <c r="C720" s="35"/>
      <c r="D720" s="18"/>
      <c r="E720" s="5"/>
      <c r="F720" s="14"/>
      <c r="G720" s="5"/>
      <c r="H720" s="27"/>
      <c r="I720" s="5"/>
      <c r="J720" s="19" t="str">
        <f aca="false">IF(A720="","",IFERROR(INDEX(Empresas!$D:$D,MATCH(A720,Empresas!$A:$A,0))&amp;"","não consta"))</f>
        <v/>
      </c>
      <c r="K720" s="19" t="str">
        <f aca="false">IF(A720="","",IFERROR(INDEX(Sancoes!$B:$B,MATCH(A720,Sancoes!$A:$A,0))&amp;"","não consta"))</f>
        <v/>
      </c>
      <c r="L720" s="19" t="str">
        <f aca="false">IF(A720="","",IFERROR(INDEX(Eleitoral!$B:$B,MATCH(A720,Eleitoral!$A:$A,0))&amp;"","não consta"))</f>
        <v/>
      </c>
      <c r="M720" s="28" t="str">
        <f aca="false">IF(A720="","",IF(OR(AND(K720&lt;&gt;"",LOWER(K720)&lt;&gt;"não consta"),AND(L720&lt;&gt;"",LOWER(L720)&lt;&gt;"não consta"),IFERROR(INDEX(Empresas!$G:$G,MATCH(A720,Empresas!$A:$A,0))&amp;"","")&lt;&gt;""),"SIM",""))</f>
        <v/>
      </c>
      <c r="N720" s="5"/>
      <c r="O720" s="32" t="str">
        <f aca="false">IF(D720="","",YEAR(D720))</f>
        <v/>
      </c>
      <c r="P720" s="5"/>
    </row>
    <row r="721" customFormat="false" ht="15" hidden="false" customHeight="false" outlineLevel="0" collapsed="false">
      <c r="A721" s="27"/>
      <c r="B721" s="5"/>
      <c r="C721" s="35"/>
      <c r="D721" s="18"/>
      <c r="E721" s="5"/>
      <c r="F721" s="14"/>
      <c r="G721" s="5"/>
      <c r="H721" s="27"/>
      <c r="I721" s="5"/>
      <c r="J721" s="19" t="str">
        <f aca="false">IF(A721="","",IFERROR(INDEX(Empresas!$D:$D,MATCH(A721,Empresas!$A:$A,0))&amp;"","não consta"))</f>
        <v/>
      </c>
      <c r="K721" s="19" t="str">
        <f aca="false">IF(A721="","",IFERROR(INDEX(Sancoes!$B:$B,MATCH(A721,Sancoes!$A:$A,0))&amp;"","não consta"))</f>
        <v/>
      </c>
      <c r="L721" s="19" t="str">
        <f aca="false">IF(A721="","",IFERROR(INDEX(Eleitoral!$B:$B,MATCH(A721,Eleitoral!$A:$A,0))&amp;"","não consta"))</f>
        <v/>
      </c>
      <c r="M721" s="28" t="str">
        <f aca="false">IF(A721="","",IF(OR(AND(K721&lt;&gt;"",LOWER(K721)&lt;&gt;"não consta"),AND(L721&lt;&gt;"",LOWER(L721)&lt;&gt;"não consta"),IFERROR(INDEX(Empresas!$G:$G,MATCH(A721,Empresas!$A:$A,0))&amp;"","")&lt;&gt;""),"SIM",""))</f>
        <v/>
      </c>
      <c r="N721" s="5"/>
      <c r="O721" s="32" t="str">
        <f aca="false">IF(D721="","",YEAR(D721))</f>
        <v/>
      </c>
      <c r="P721" s="5"/>
    </row>
    <row r="722" customFormat="false" ht="15" hidden="false" customHeight="false" outlineLevel="0" collapsed="false">
      <c r="A722" s="27"/>
      <c r="B722" s="5"/>
      <c r="C722" s="35"/>
      <c r="D722" s="18"/>
      <c r="E722" s="5"/>
      <c r="F722" s="14"/>
      <c r="G722" s="5"/>
      <c r="H722" s="27"/>
      <c r="I722" s="5"/>
      <c r="J722" s="19" t="str">
        <f aca="false">IF(A722="","",IFERROR(INDEX(Empresas!$D:$D,MATCH(A722,Empresas!$A:$A,0))&amp;"","não consta"))</f>
        <v/>
      </c>
      <c r="K722" s="19" t="str">
        <f aca="false">IF(A722="","",IFERROR(INDEX(Sancoes!$B:$B,MATCH(A722,Sancoes!$A:$A,0))&amp;"","não consta"))</f>
        <v/>
      </c>
      <c r="L722" s="19" t="str">
        <f aca="false">IF(A722="","",IFERROR(INDEX(Eleitoral!$B:$B,MATCH(A722,Eleitoral!$A:$A,0))&amp;"","não consta"))</f>
        <v/>
      </c>
      <c r="M722" s="28" t="str">
        <f aca="false">IF(A722="","",IF(OR(AND(K722&lt;&gt;"",LOWER(K722)&lt;&gt;"não consta"),AND(L722&lt;&gt;"",LOWER(L722)&lt;&gt;"não consta"),IFERROR(INDEX(Empresas!$G:$G,MATCH(A722,Empresas!$A:$A,0))&amp;"","")&lt;&gt;""),"SIM",""))</f>
        <v/>
      </c>
      <c r="N722" s="5"/>
      <c r="O722" s="32" t="str">
        <f aca="false">IF(D722="","",YEAR(D722))</f>
        <v/>
      </c>
      <c r="P722" s="5"/>
    </row>
    <row r="723" customFormat="false" ht="15" hidden="false" customHeight="false" outlineLevel="0" collapsed="false">
      <c r="A723" s="27"/>
      <c r="B723" s="5"/>
      <c r="C723" s="35"/>
      <c r="D723" s="18"/>
      <c r="E723" s="5"/>
      <c r="F723" s="14"/>
      <c r="G723" s="5"/>
      <c r="H723" s="27"/>
      <c r="I723" s="5"/>
      <c r="J723" s="19" t="str">
        <f aca="false">IF(A723="","",IFERROR(INDEX(Empresas!$D:$D,MATCH(A723,Empresas!$A:$A,0))&amp;"","não consta"))</f>
        <v/>
      </c>
      <c r="K723" s="19" t="str">
        <f aca="false">IF(A723="","",IFERROR(INDEX(Sancoes!$B:$B,MATCH(A723,Sancoes!$A:$A,0))&amp;"","não consta"))</f>
        <v/>
      </c>
      <c r="L723" s="19" t="str">
        <f aca="false">IF(A723="","",IFERROR(INDEX(Eleitoral!$B:$B,MATCH(A723,Eleitoral!$A:$A,0))&amp;"","não consta"))</f>
        <v/>
      </c>
      <c r="M723" s="28" t="str">
        <f aca="false">IF(A723="","",IF(OR(AND(K723&lt;&gt;"",LOWER(K723)&lt;&gt;"não consta"),AND(L723&lt;&gt;"",LOWER(L723)&lt;&gt;"não consta"),IFERROR(INDEX(Empresas!$G:$G,MATCH(A723,Empresas!$A:$A,0))&amp;"","")&lt;&gt;""),"SIM",""))</f>
        <v/>
      </c>
      <c r="N723" s="5"/>
      <c r="O723" s="32" t="str">
        <f aca="false">IF(D723="","",YEAR(D723))</f>
        <v/>
      </c>
      <c r="P723" s="5"/>
    </row>
    <row r="724" customFormat="false" ht="15" hidden="false" customHeight="false" outlineLevel="0" collapsed="false">
      <c r="A724" s="27"/>
      <c r="B724" s="5"/>
      <c r="C724" s="35"/>
      <c r="D724" s="18"/>
      <c r="E724" s="5"/>
      <c r="F724" s="14"/>
      <c r="G724" s="5"/>
      <c r="H724" s="27"/>
      <c r="I724" s="5"/>
      <c r="J724" s="19" t="str">
        <f aca="false">IF(A724="","",IFERROR(INDEX(Empresas!$D:$D,MATCH(A724,Empresas!$A:$A,0))&amp;"","não consta"))</f>
        <v/>
      </c>
      <c r="K724" s="19" t="str">
        <f aca="false">IF(A724="","",IFERROR(INDEX(Sancoes!$B:$B,MATCH(A724,Sancoes!$A:$A,0))&amp;"","não consta"))</f>
        <v/>
      </c>
      <c r="L724" s="19" t="str">
        <f aca="false">IF(A724="","",IFERROR(INDEX(Eleitoral!$B:$B,MATCH(A724,Eleitoral!$A:$A,0))&amp;"","não consta"))</f>
        <v/>
      </c>
      <c r="M724" s="28" t="str">
        <f aca="false">IF(A724="","",IF(OR(AND(K724&lt;&gt;"",LOWER(K724)&lt;&gt;"não consta"),AND(L724&lt;&gt;"",LOWER(L724)&lt;&gt;"não consta"),IFERROR(INDEX(Empresas!$G:$G,MATCH(A724,Empresas!$A:$A,0))&amp;"","")&lt;&gt;""),"SIM",""))</f>
        <v/>
      </c>
      <c r="N724" s="5"/>
      <c r="O724" s="32" t="str">
        <f aca="false">IF(D724="","",YEAR(D724))</f>
        <v/>
      </c>
      <c r="P724" s="5"/>
    </row>
    <row r="725" customFormat="false" ht="15" hidden="false" customHeight="false" outlineLevel="0" collapsed="false">
      <c r="A725" s="27"/>
      <c r="B725" s="5"/>
      <c r="C725" s="35"/>
      <c r="D725" s="18"/>
      <c r="E725" s="5"/>
      <c r="F725" s="14"/>
      <c r="G725" s="5"/>
      <c r="H725" s="27"/>
      <c r="I725" s="5"/>
      <c r="J725" s="19" t="str">
        <f aca="false">IF(A725="","",IFERROR(INDEX(Empresas!$D:$D,MATCH(A725,Empresas!$A:$A,0))&amp;"","não consta"))</f>
        <v/>
      </c>
      <c r="K725" s="19" t="str">
        <f aca="false">IF(A725="","",IFERROR(INDEX(Sancoes!$B:$B,MATCH(A725,Sancoes!$A:$A,0))&amp;"","não consta"))</f>
        <v/>
      </c>
      <c r="L725" s="19" t="str">
        <f aca="false">IF(A725="","",IFERROR(INDEX(Eleitoral!$B:$B,MATCH(A725,Eleitoral!$A:$A,0))&amp;"","não consta"))</f>
        <v/>
      </c>
      <c r="M725" s="28" t="str">
        <f aca="false">IF(A725="","",IF(OR(AND(K725&lt;&gt;"",LOWER(K725)&lt;&gt;"não consta"),AND(L725&lt;&gt;"",LOWER(L725)&lt;&gt;"não consta"),IFERROR(INDEX(Empresas!$G:$G,MATCH(A725,Empresas!$A:$A,0))&amp;"","")&lt;&gt;""),"SIM",""))</f>
        <v/>
      </c>
      <c r="N725" s="5"/>
      <c r="O725" s="32" t="str">
        <f aca="false">IF(D725="","",YEAR(D725))</f>
        <v/>
      </c>
      <c r="P725" s="5"/>
    </row>
    <row r="726" customFormat="false" ht="15" hidden="false" customHeight="false" outlineLevel="0" collapsed="false">
      <c r="A726" s="27"/>
      <c r="B726" s="5"/>
      <c r="C726" s="35"/>
      <c r="D726" s="18"/>
      <c r="E726" s="5"/>
      <c r="F726" s="14"/>
      <c r="G726" s="5"/>
      <c r="H726" s="27"/>
      <c r="I726" s="5"/>
      <c r="J726" s="19" t="str">
        <f aca="false">IF(A726="","",IFERROR(INDEX(Empresas!$D:$D,MATCH(A726,Empresas!$A:$A,0))&amp;"","não consta"))</f>
        <v/>
      </c>
      <c r="K726" s="19" t="str">
        <f aca="false">IF(A726="","",IFERROR(INDEX(Sancoes!$B:$B,MATCH(A726,Sancoes!$A:$A,0))&amp;"","não consta"))</f>
        <v/>
      </c>
      <c r="L726" s="19" t="str">
        <f aca="false">IF(A726="","",IFERROR(INDEX(Eleitoral!$B:$B,MATCH(A726,Eleitoral!$A:$A,0))&amp;"","não consta"))</f>
        <v/>
      </c>
      <c r="M726" s="28" t="str">
        <f aca="false">IF(A726="","",IF(OR(AND(K726&lt;&gt;"",LOWER(K726)&lt;&gt;"não consta"),AND(L726&lt;&gt;"",LOWER(L726)&lt;&gt;"não consta"),IFERROR(INDEX(Empresas!$G:$G,MATCH(A726,Empresas!$A:$A,0))&amp;"","")&lt;&gt;""),"SIM",""))</f>
        <v/>
      </c>
      <c r="N726" s="5"/>
      <c r="O726" s="32" t="str">
        <f aca="false">IF(D726="","",YEAR(D726))</f>
        <v/>
      </c>
      <c r="P726" s="5"/>
    </row>
    <row r="727" customFormat="false" ht="15" hidden="false" customHeight="false" outlineLevel="0" collapsed="false">
      <c r="A727" s="27"/>
      <c r="B727" s="5"/>
      <c r="C727" s="35"/>
      <c r="D727" s="18"/>
      <c r="E727" s="5"/>
      <c r="F727" s="14"/>
      <c r="G727" s="5"/>
      <c r="H727" s="27"/>
      <c r="I727" s="5"/>
      <c r="J727" s="19" t="str">
        <f aca="false">IF(A727="","",IFERROR(INDEX(Empresas!$D:$D,MATCH(A727,Empresas!$A:$A,0))&amp;"","não consta"))</f>
        <v/>
      </c>
      <c r="K727" s="19" t="str">
        <f aca="false">IF(A727="","",IFERROR(INDEX(Sancoes!$B:$B,MATCH(A727,Sancoes!$A:$A,0))&amp;"","não consta"))</f>
        <v/>
      </c>
      <c r="L727" s="19" t="str">
        <f aca="false">IF(A727="","",IFERROR(INDEX(Eleitoral!$B:$B,MATCH(A727,Eleitoral!$A:$A,0))&amp;"","não consta"))</f>
        <v/>
      </c>
      <c r="M727" s="28" t="str">
        <f aca="false">IF(A727="","",IF(OR(AND(K727&lt;&gt;"",LOWER(K727)&lt;&gt;"não consta"),AND(L727&lt;&gt;"",LOWER(L727)&lt;&gt;"não consta"),IFERROR(INDEX(Empresas!$G:$G,MATCH(A727,Empresas!$A:$A,0))&amp;"","")&lt;&gt;""),"SIM",""))</f>
        <v/>
      </c>
      <c r="N727" s="5"/>
      <c r="O727" s="32" t="str">
        <f aca="false">IF(D727="","",YEAR(D727))</f>
        <v/>
      </c>
      <c r="P727" s="5"/>
    </row>
    <row r="728" customFormat="false" ht="15" hidden="false" customHeight="false" outlineLevel="0" collapsed="false">
      <c r="A728" s="27"/>
      <c r="B728" s="5"/>
      <c r="C728" s="35"/>
      <c r="D728" s="18"/>
      <c r="E728" s="5"/>
      <c r="F728" s="14"/>
      <c r="G728" s="5"/>
      <c r="H728" s="27"/>
      <c r="I728" s="5"/>
      <c r="J728" s="19" t="str">
        <f aca="false">IF(A728="","",IFERROR(INDEX(Empresas!$D:$D,MATCH(A728,Empresas!$A:$A,0))&amp;"","não consta"))</f>
        <v/>
      </c>
      <c r="K728" s="19" t="str">
        <f aca="false">IF(A728="","",IFERROR(INDEX(Sancoes!$B:$B,MATCH(A728,Sancoes!$A:$A,0))&amp;"","não consta"))</f>
        <v/>
      </c>
      <c r="L728" s="19" t="str">
        <f aca="false">IF(A728="","",IFERROR(INDEX(Eleitoral!$B:$B,MATCH(A728,Eleitoral!$A:$A,0))&amp;"","não consta"))</f>
        <v/>
      </c>
      <c r="M728" s="28" t="str">
        <f aca="false">IF(A728="","",IF(OR(AND(K728&lt;&gt;"",LOWER(K728)&lt;&gt;"não consta"),AND(L728&lt;&gt;"",LOWER(L728)&lt;&gt;"não consta"),IFERROR(INDEX(Empresas!$G:$G,MATCH(A728,Empresas!$A:$A,0))&amp;"","")&lt;&gt;""),"SIM",""))</f>
        <v/>
      </c>
      <c r="N728" s="5"/>
      <c r="O728" s="32" t="str">
        <f aca="false">IF(D728="","",YEAR(D728))</f>
        <v/>
      </c>
      <c r="P728" s="5"/>
    </row>
    <row r="729" customFormat="false" ht="15" hidden="false" customHeight="false" outlineLevel="0" collapsed="false">
      <c r="A729" s="27"/>
      <c r="B729" s="5"/>
      <c r="C729" s="35"/>
      <c r="D729" s="18"/>
      <c r="E729" s="5"/>
      <c r="F729" s="14"/>
      <c r="G729" s="5"/>
      <c r="H729" s="27"/>
      <c r="I729" s="5"/>
      <c r="J729" s="19" t="str">
        <f aca="false">IF(A729="","",IFERROR(INDEX(Empresas!$D:$D,MATCH(A729,Empresas!$A:$A,0))&amp;"","não consta"))</f>
        <v/>
      </c>
      <c r="K729" s="19" t="str">
        <f aca="false">IF(A729="","",IFERROR(INDEX(Sancoes!$B:$B,MATCH(A729,Sancoes!$A:$A,0))&amp;"","não consta"))</f>
        <v/>
      </c>
      <c r="L729" s="19" t="str">
        <f aca="false">IF(A729="","",IFERROR(INDEX(Eleitoral!$B:$B,MATCH(A729,Eleitoral!$A:$A,0))&amp;"","não consta"))</f>
        <v/>
      </c>
      <c r="M729" s="28" t="str">
        <f aca="false">IF(A729="","",IF(OR(AND(K729&lt;&gt;"",LOWER(K729)&lt;&gt;"não consta"),AND(L729&lt;&gt;"",LOWER(L729)&lt;&gt;"não consta"),IFERROR(INDEX(Empresas!$G:$G,MATCH(A729,Empresas!$A:$A,0))&amp;"","")&lt;&gt;""),"SIM",""))</f>
        <v/>
      </c>
      <c r="N729" s="5"/>
      <c r="O729" s="32" t="str">
        <f aca="false">IF(D729="","",YEAR(D729))</f>
        <v/>
      </c>
      <c r="P729" s="5"/>
    </row>
    <row r="730" customFormat="false" ht="15" hidden="false" customHeight="false" outlineLevel="0" collapsed="false">
      <c r="A730" s="27"/>
      <c r="B730" s="5"/>
      <c r="C730" s="35"/>
      <c r="D730" s="18"/>
      <c r="E730" s="5"/>
      <c r="F730" s="14"/>
      <c r="G730" s="5"/>
      <c r="H730" s="27"/>
      <c r="I730" s="5"/>
      <c r="J730" s="19" t="str">
        <f aca="false">IF(A730="","",IFERROR(INDEX(Empresas!$D:$D,MATCH(A730,Empresas!$A:$A,0))&amp;"","não consta"))</f>
        <v/>
      </c>
      <c r="K730" s="19" t="str">
        <f aca="false">IF(A730="","",IFERROR(INDEX(Sancoes!$B:$B,MATCH(A730,Sancoes!$A:$A,0))&amp;"","não consta"))</f>
        <v/>
      </c>
      <c r="L730" s="19" t="str">
        <f aca="false">IF(A730="","",IFERROR(INDEX(Eleitoral!$B:$B,MATCH(A730,Eleitoral!$A:$A,0))&amp;"","não consta"))</f>
        <v/>
      </c>
      <c r="M730" s="28" t="str">
        <f aca="false">IF(A730="","",IF(OR(AND(K730&lt;&gt;"",LOWER(K730)&lt;&gt;"não consta"),AND(L730&lt;&gt;"",LOWER(L730)&lt;&gt;"não consta"),IFERROR(INDEX(Empresas!$G:$G,MATCH(A730,Empresas!$A:$A,0))&amp;"","")&lt;&gt;""),"SIM",""))</f>
        <v/>
      </c>
      <c r="N730" s="5"/>
      <c r="O730" s="32" t="str">
        <f aca="false">IF(D730="","",YEAR(D730))</f>
        <v/>
      </c>
      <c r="P730" s="5"/>
    </row>
    <row r="731" customFormat="false" ht="15" hidden="false" customHeight="false" outlineLevel="0" collapsed="false">
      <c r="A731" s="27"/>
      <c r="B731" s="5"/>
      <c r="C731" s="35"/>
      <c r="D731" s="18"/>
      <c r="E731" s="5"/>
      <c r="F731" s="14"/>
      <c r="G731" s="5"/>
      <c r="H731" s="27"/>
      <c r="I731" s="5"/>
      <c r="J731" s="19" t="str">
        <f aca="false">IF(A731="","",IFERROR(INDEX(Empresas!$D:$D,MATCH(A731,Empresas!$A:$A,0))&amp;"","não consta"))</f>
        <v/>
      </c>
      <c r="K731" s="19" t="str">
        <f aca="false">IF(A731="","",IFERROR(INDEX(Sancoes!$B:$B,MATCH(A731,Sancoes!$A:$A,0))&amp;"","não consta"))</f>
        <v/>
      </c>
      <c r="L731" s="19" t="str">
        <f aca="false">IF(A731="","",IFERROR(INDEX(Eleitoral!$B:$B,MATCH(A731,Eleitoral!$A:$A,0))&amp;"","não consta"))</f>
        <v/>
      </c>
      <c r="M731" s="28" t="str">
        <f aca="false">IF(A731="","",IF(OR(AND(K731&lt;&gt;"",LOWER(K731)&lt;&gt;"não consta"),AND(L731&lt;&gt;"",LOWER(L731)&lt;&gt;"não consta"),IFERROR(INDEX(Empresas!$G:$G,MATCH(A731,Empresas!$A:$A,0))&amp;"","")&lt;&gt;""),"SIM",""))</f>
        <v/>
      </c>
      <c r="N731" s="5"/>
      <c r="O731" s="32" t="str">
        <f aca="false">IF(D731="","",YEAR(D731))</f>
        <v/>
      </c>
      <c r="P731" s="5"/>
    </row>
    <row r="732" customFormat="false" ht="15" hidden="false" customHeight="false" outlineLevel="0" collapsed="false">
      <c r="A732" s="27"/>
      <c r="B732" s="5"/>
      <c r="C732" s="35"/>
      <c r="D732" s="18"/>
      <c r="E732" s="5"/>
      <c r="F732" s="14"/>
      <c r="G732" s="5"/>
      <c r="H732" s="27"/>
      <c r="I732" s="5"/>
      <c r="J732" s="19" t="str">
        <f aca="false">IF(A732="","",IFERROR(INDEX(Empresas!$D:$D,MATCH(A732,Empresas!$A:$A,0))&amp;"","não consta"))</f>
        <v/>
      </c>
      <c r="K732" s="19" t="str">
        <f aca="false">IF(A732="","",IFERROR(INDEX(Sancoes!$B:$B,MATCH(A732,Sancoes!$A:$A,0))&amp;"","não consta"))</f>
        <v/>
      </c>
      <c r="L732" s="19" t="str">
        <f aca="false">IF(A732="","",IFERROR(INDEX(Eleitoral!$B:$B,MATCH(A732,Eleitoral!$A:$A,0))&amp;"","não consta"))</f>
        <v/>
      </c>
      <c r="M732" s="28" t="str">
        <f aca="false">IF(A732="","",IF(OR(AND(K732&lt;&gt;"",LOWER(K732)&lt;&gt;"não consta"),AND(L732&lt;&gt;"",LOWER(L732)&lt;&gt;"não consta"),IFERROR(INDEX(Empresas!$G:$G,MATCH(A732,Empresas!$A:$A,0))&amp;"","")&lt;&gt;""),"SIM",""))</f>
        <v/>
      </c>
      <c r="N732" s="5"/>
      <c r="O732" s="32" t="str">
        <f aca="false">IF(D732="","",YEAR(D732))</f>
        <v/>
      </c>
      <c r="P732" s="5"/>
    </row>
    <row r="733" customFormat="false" ht="15" hidden="false" customHeight="false" outlineLevel="0" collapsed="false">
      <c r="A733" s="27"/>
      <c r="B733" s="5"/>
      <c r="C733" s="35"/>
      <c r="D733" s="18"/>
      <c r="E733" s="5"/>
      <c r="F733" s="14"/>
      <c r="G733" s="5"/>
      <c r="H733" s="27"/>
      <c r="I733" s="5"/>
      <c r="J733" s="19" t="str">
        <f aca="false">IF(A733="","",IFERROR(INDEX(Empresas!$D:$D,MATCH(A733,Empresas!$A:$A,0))&amp;"","não consta"))</f>
        <v/>
      </c>
      <c r="K733" s="19" t="str">
        <f aca="false">IF(A733="","",IFERROR(INDEX(Sancoes!$B:$B,MATCH(A733,Sancoes!$A:$A,0))&amp;"","não consta"))</f>
        <v/>
      </c>
      <c r="L733" s="19" t="str">
        <f aca="false">IF(A733="","",IFERROR(INDEX(Eleitoral!$B:$B,MATCH(A733,Eleitoral!$A:$A,0))&amp;"","não consta"))</f>
        <v/>
      </c>
      <c r="M733" s="28" t="str">
        <f aca="false">IF(A733="","",IF(OR(AND(K733&lt;&gt;"",LOWER(K733)&lt;&gt;"não consta"),AND(L733&lt;&gt;"",LOWER(L733)&lt;&gt;"não consta"),IFERROR(INDEX(Empresas!$G:$G,MATCH(A733,Empresas!$A:$A,0))&amp;"","")&lt;&gt;""),"SIM",""))</f>
        <v/>
      </c>
      <c r="N733" s="5"/>
      <c r="O733" s="32" t="str">
        <f aca="false">IF(D733="","",YEAR(D733))</f>
        <v/>
      </c>
      <c r="P733" s="5"/>
    </row>
    <row r="734" customFormat="false" ht="15" hidden="false" customHeight="false" outlineLevel="0" collapsed="false">
      <c r="A734" s="27"/>
      <c r="B734" s="5"/>
      <c r="C734" s="35"/>
      <c r="D734" s="18"/>
      <c r="E734" s="5"/>
      <c r="F734" s="14"/>
      <c r="G734" s="5"/>
      <c r="H734" s="27"/>
      <c r="I734" s="5"/>
      <c r="J734" s="19" t="str">
        <f aca="false">IF(A734="","",IFERROR(INDEX(Empresas!$D:$D,MATCH(A734,Empresas!$A:$A,0))&amp;"","não consta"))</f>
        <v/>
      </c>
      <c r="K734" s="19" t="str">
        <f aca="false">IF(A734="","",IFERROR(INDEX(Sancoes!$B:$B,MATCH(A734,Sancoes!$A:$A,0))&amp;"","não consta"))</f>
        <v/>
      </c>
      <c r="L734" s="19" t="str">
        <f aca="false">IF(A734="","",IFERROR(INDEX(Eleitoral!$B:$B,MATCH(A734,Eleitoral!$A:$A,0))&amp;"","não consta"))</f>
        <v/>
      </c>
      <c r="M734" s="28" t="str">
        <f aca="false">IF(A734="","",IF(OR(AND(K734&lt;&gt;"",LOWER(K734)&lt;&gt;"não consta"),AND(L734&lt;&gt;"",LOWER(L734)&lt;&gt;"não consta"),IFERROR(INDEX(Empresas!$G:$G,MATCH(A734,Empresas!$A:$A,0))&amp;"","")&lt;&gt;""),"SIM",""))</f>
        <v/>
      </c>
      <c r="N734" s="5"/>
      <c r="O734" s="32" t="str">
        <f aca="false">IF(D734="","",YEAR(D734))</f>
        <v/>
      </c>
      <c r="P734" s="5"/>
    </row>
    <row r="735" customFormat="false" ht="15" hidden="false" customHeight="false" outlineLevel="0" collapsed="false">
      <c r="A735" s="27"/>
      <c r="B735" s="5"/>
      <c r="C735" s="35"/>
      <c r="D735" s="18"/>
      <c r="E735" s="5"/>
      <c r="F735" s="14"/>
      <c r="G735" s="5"/>
      <c r="H735" s="27"/>
      <c r="I735" s="5"/>
      <c r="J735" s="19" t="str">
        <f aca="false">IF(A735="","",IFERROR(INDEX(Empresas!$D:$D,MATCH(A735,Empresas!$A:$A,0))&amp;"","não consta"))</f>
        <v/>
      </c>
      <c r="K735" s="19" t="str">
        <f aca="false">IF(A735="","",IFERROR(INDEX(Sancoes!$B:$B,MATCH(A735,Sancoes!$A:$A,0))&amp;"","não consta"))</f>
        <v/>
      </c>
      <c r="L735" s="19" t="str">
        <f aca="false">IF(A735="","",IFERROR(INDEX(Eleitoral!$B:$B,MATCH(A735,Eleitoral!$A:$A,0))&amp;"","não consta"))</f>
        <v/>
      </c>
      <c r="M735" s="28" t="str">
        <f aca="false">IF(A735="","",IF(OR(AND(K735&lt;&gt;"",LOWER(K735)&lt;&gt;"não consta"),AND(L735&lt;&gt;"",LOWER(L735)&lt;&gt;"não consta"),IFERROR(INDEX(Empresas!$G:$G,MATCH(A735,Empresas!$A:$A,0))&amp;"","")&lt;&gt;""),"SIM",""))</f>
        <v/>
      </c>
      <c r="N735" s="5"/>
      <c r="O735" s="32" t="str">
        <f aca="false">IF(D735="","",YEAR(D735))</f>
        <v/>
      </c>
      <c r="P735" s="5"/>
    </row>
    <row r="736" customFormat="false" ht="15" hidden="false" customHeight="false" outlineLevel="0" collapsed="false">
      <c r="A736" s="27"/>
      <c r="B736" s="5"/>
      <c r="C736" s="35"/>
      <c r="D736" s="18"/>
      <c r="E736" s="5"/>
      <c r="F736" s="14"/>
      <c r="G736" s="5"/>
      <c r="H736" s="27"/>
      <c r="I736" s="5"/>
      <c r="J736" s="19" t="str">
        <f aca="false">IF(A736="","",IFERROR(INDEX(Empresas!$D:$D,MATCH(A736,Empresas!$A:$A,0))&amp;"","não consta"))</f>
        <v/>
      </c>
      <c r="K736" s="19" t="str">
        <f aca="false">IF(A736="","",IFERROR(INDEX(Sancoes!$B:$B,MATCH(A736,Sancoes!$A:$A,0))&amp;"","não consta"))</f>
        <v/>
      </c>
      <c r="L736" s="19" t="str">
        <f aca="false">IF(A736="","",IFERROR(INDEX(Eleitoral!$B:$B,MATCH(A736,Eleitoral!$A:$A,0))&amp;"","não consta"))</f>
        <v/>
      </c>
      <c r="M736" s="28" t="str">
        <f aca="false">IF(A736="","",IF(OR(AND(K736&lt;&gt;"",LOWER(K736)&lt;&gt;"não consta"),AND(L736&lt;&gt;"",LOWER(L736)&lt;&gt;"não consta"),IFERROR(INDEX(Empresas!$G:$G,MATCH(A736,Empresas!$A:$A,0))&amp;"","")&lt;&gt;""),"SIM",""))</f>
        <v/>
      </c>
      <c r="N736" s="5"/>
      <c r="O736" s="32" t="str">
        <f aca="false">IF(D736="","",YEAR(D736))</f>
        <v/>
      </c>
      <c r="P736" s="5"/>
    </row>
    <row r="737" customFormat="false" ht="15" hidden="false" customHeight="false" outlineLevel="0" collapsed="false">
      <c r="A737" s="27"/>
      <c r="B737" s="5"/>
      <c r="C737" s="35"/>
      <c r="D737" s="18"/>
      <c r="E737" s="5"/>
      <c r="F737" s="14"/>
      <c r="G737" s="5"/>
      <c r="H737" s="27"/>
      <c r="I737" s="5"/>
      <c r="J737" s="19" t="str">
        <f aca="false">IF(A737="","",IFERROR(INDEX(Empresas!$D:$D,MATCH(A737,Empresas!$A:$A,0))&amp;"","não consta"))</f>
        <v/>
      </c>
      <c r="K737" s="19" t="str">
        <f aca="false">IF(A737="","",IFERROR(INDEX(Sancoes!$B:$B,MATCH(A737,Sancoes!$A:$A,0))&amp;"","não consta"))</f>
        <v/>
      </c>
      <c r="L737" s="19" t="str">
        <f aca="false">IF(A737="","",IFERROR(INDEX(Eleitoral!$B:$B,MATCH(A737,Eleitoral!$A:$A,0))&amp;"","não consta"))</f>
        <v/>
      </c>
      <c r="M737" s="28" t="str">
        <f aca="false">IF(A737="","",IF(OR(AND(K737&lt;&gt;"",LOWER(K737)&lt;&gt;"não consta"),AND(L737&lt;&gt;"",LOWER(L737)&lt;&gt;"não consta"),IFERROR(INDEX(Empresas!$G:$G,MATCH(A737,Empresas!$A:$A,0))&amp;"","")&lt;&gt;""),"SIM",""))</f>
        <v/>
      </c>
      <c r="N737" s="5"/>
      <c r="O737" s="32" t="str">
        <f aca="false">IF(D737="","",YEAR(D737))</f>
        <v/>
      </c>
      <c r="P737" s="5"/>
    </row>
    <row r="738" customFormat="false" ht="15" hidden="false" customHeight="false" outlineLevel="0" collapsed="false">
      <c r="A738" s="27"/>
      <c r="B738" s="5"/>
      <c r="C738" s="35"/>
      <c r="D738" s="18"/>
      <c r="E738" s="5"/>
      <c r="F738" s="14"/>
      <c r="G738" s="5"/>
      <c r="H738" s="27"/>
      <c r="I738" s="5"/>
      <c r="J738" s="19" t="str">
        <f aca="false">IF(A738="","",IFERROR(INDEX(Empresas!$D:$D,MATCH(A738,Empresas!$A:$A,0))&amp;"","não consta"))</f>
        <v/>
      </c>
      <c r="K738" s="19" t="str">
        <f aca="false">IF(A738="","",IFERROR(INDEX(Sancoes!$B:$B,MATCH(A738,Sancoes!$A:$A,0))&amp;"","não consta"))</f>
        <v/>
      </c>
      <c r="L738" s="19" t="str">
        <f aca="false">IF(A738="","",IFERROR(INDEX(Eleitoral!$B:$B,MATCH(A738,Eleitoral!$A:$A,0))&amp;"","não consta"))</f>
        <v/>
      </c>
      <c r="M738" s="28" t="str">
        <f aca="false">IF(A738="","",IF(OR(AND(K738&lt;&gt;"",LOWER(K738)&lt;&gt;"não consta"),AND(L738&lt;&gt;"",LOWER(L738)&lt;&gt;"não consta"),IFERROR(INDEX(Empresas!$G:$G,MATCH(A738,Empresas!$A:$A,0))&amp;"","")&lt;&gt;""),"SIM",""))</f>
        <v/>
      </c>
      <c r="N738" s="5"/>
      <c r="O738" s="32" t="str">
        <f aca="false">IF(D738="","",YEAR(D738))</f>
        <v/>
      </c>
      <c r="P738" s="5"/>
    </row>
    <row r="739" customFormat="false" ht="15" hidden="false" customHeight="false" outlineLevel="0" collapsed="false">
      <c r="A739" s="27"/>
      <c r="B739" s="5"/>
      <c r="C739" s="35"/>
      <c r="D739" s="18"/>
      <c r="E739" s="5"/>
      <c r="F739" s="14"/>
      <c r="G739" s="5"/>
      <c r="H739" s="27"/>
      <c r="I739" s="5"/>
      <c r="J739" s="19" t="str">
        <f aca="false">IF(A739="","",IFERROR(INDEX(Empresas!$D:$D,MATCH(A739,Empresas!$A:$A,0))&amp;"","não consta"))</f>
        <v/>
      </c>
      <c r="K739" s="19" t="str">
        <f aca="false">IF(A739="","",IFERROR(INDEX(Sancoes!$B:$B,MATCH(A739,Sancoes!$A:$A,0))&amp;"","não consta"))</f>
        <v/>
      </c>
      <c r="L739" s="19" t="str">
        <f aca="false">IF(A739="","",IFERROR(INDEX(Eleitoral!$B:$B,MATCH(A739,Eleitoral!$A:$A,0))&amp;"","não consta"))</f>
        <v/>
      </c>
      <c r="M739" s="28" t="str">
        <f aca="false">IF(A739="","",IF(OR(AND(K739&lt;&gt;"",LOWER(K739)&lt;&gt;"não consta"),AND(L739&lt;&gt;"",LOWER(L739)&lt;&gt;"não consta"),IFERROR(INDEX(Empresas!$G:$G,MATCH(A739,Empresas!$A:$A,0))&amp;"","")&lt;&gt;""),"SIM",""))</f>
        <v/>
      </c>
      <c r="N739" s="5"/>
      <c r="O739" s="32" t="str">
        <f aca="false">IF(D739="","",YEAR(D739))</f>
        <v/>
      </c>
      <c r="P739" s="5"/>
    </row>
    <row r="740" customFormat="false" ht="15" hidden="false" customHeight="false" outlineLevel="0" collapsed="false">
      <c r="A740" s="27"/>
      <c r="B740" s="5"/>
      <c r="C740" s="35"/>
      <c r="D740" s="18"/>
      <c r="E740" s="5"/>
      <c r="F740" s="14"/>
      <c r="G740" s="5"/>
      <c r="H740" s="27"/>
      <c r="I740" s="5"/>
      <c r="J740" s="19" t="str">
        <f aca="false">IF(A740="","",IFERROR(INDEX(Empresas!$D:$D,MATCH(A740,Empresas!$A:$A,0))&amp;"","não consta"))</f>
        <v/>
      </c>
      <c r="K740" s="19" t="str">
        <f aca="false">IF(A740="","",IFERROR(INDEX(Sancoes!$B:$B,MATCH(A740,Sancoes!$A:$A,0))&amp;"","não consta"))</f>
        <v/>
      </c>
      <c r="L740" s="19" t="str">
        <f aca="false">IF(A740="","",IFERROR(INDEX(Eleitoral!$B:$B,MATCH(A740,Eleitoral!$A:$A,0))&amp;"","não consta"))</f>
        <v/>
      </c>
      <c r="M740" s="28" t="str">
        <f aca="false">IF(A740="","",IF(OR(AND(K740&lt;&gt;"",LOWER(K740)&lt;&gt;"não consta"),AND(L740&lt;&gt;"",LOWER(L740)&lt;&gt;"não consta"),IFERROR(INDEX(Empresas!$G:$G,MATCH(A740,Empresas!$A:$A,0))&amp;"","")&lt;&gt;""),"SIM",""))</f>
        <v/>
      </c>
      <c r="N740" s="5"/>
      <c r="O740" s="32" t="str">
        <f aca="false">IF(D740="","",YEAR(D740))</f>
        <v/>
      </c>
      <c r="P740" s="5"/>
    </row>
    <row r="741" customFormat="false" ht="15" hidden="false" customHeight="false" outlineLevel="0" collapsed="false">
      <c r="A741" s="27"/>
      <c r="B741" s="5"/>
      <c r="C741" s="35"/>
      <c r="D741" s="18"/>
      <c r="E741" s="5"/>
      <c r="F741" s="14"/>
      <c r="G741" s="5"/>
      <c r="H741" s="27"/>
      <c r="I741" s="5"/>
      <c r="J741" s="19" t="str">
        <f aca="false">IF(A741="","",IFERROR(INDEX(Empresas!$D:$D,MATCH(A741,Empresas!$A:$A,0))&amp;"","não consta"))</f>
        <v/>
      </c>
      <c r="K741" s="19" t="str">
        <f aca="false">IF(A741="","",IFERROR(INDEX(Sancoes!$B:$B,MATCH(A741,Sancoes!$A:$A,0))&amp;"","não consta"))</f>
        <v/>
      </c>
      <c r="L741" s="19" t="str">
        <f aca="false">IF(A741="","",IFERROR(INDEX(Eleitoral!$B:$B,MATCH(A741,Eleitoral!$A:$A,0))&amp;"","não consta"))</f>
        <v/>
      </c>
      <c r="M741" s="28" t="str">
        <f aca="false">IF(A741="","",IF(OR(AND(K741&lt;&gt;"",LOWER(K741)&lt;&gt;"não consta"),AND(L741&lt;&gt;"",LOWER(L741)&lt;&gt;"não consta"),IFERROR(INDEX(Empresas!$G:$G,MATCH(A741,Empresas!$A:$A,0))&amp;"","")&lt;&gt;""),"SIM",""))</f>
        <v/>
      </c>
      <c r="N741" s="5"/>
      <c r="O741" s="32" t="str">
        <f aca="false">IF(D741="","",YEAR(D741))</f>
        <v/>
      </c>
      <c r="P741" s="5"/>
    </row>
    <row r="742" customFormat="false" ht="15" hidden="false" customHeight="false" outlineLevel="0" collapsed="false">
      <c r="A742" s="27"/>
      <c r="B742" s="5"/>
      <c r="C742" s="35"/>
      <c r="D742" s="18"/>
      <c r="E742" s="5"/>
      <c r="F742" s="14"/>
      <c r="G742" s="5"/>
      <c r="H742" s="27"/>
      <c r="I742" s="5"/>
      <c r="J742" s="19" t="str">
        <f aca="false">IF(A742="","",IFERROR(INDEX(Empresas!$D:$D,MATCH(A742,Empresas!$A:$A,0))&amp;"","não consta"))</f>
        <v/>
      </c>
      <c r="K742" s="19" t="str">
        <f aca="false">IF(A742="","",IFERROR(INDEX(Sancoes!$B:$B,MATCH(A742,Sancoes!$A:$A,0))&amp;"","não consta"))</f>
        <v/>
      </c>
      <c r="L742" s="19" t="str">
        <f aca="false">IF(A742="","",IFERROR(INDEX(Eleitoral!$B:$B,MATCH(A742,Eleitoral!$A:$A,0))&amp;"","não consta"))</f>
        <v/>
      </c>
      <c r="M742" s="28" t="str">
        <f aca="false">IF(A742="","",IF(OR(AND(K742&lt;&gt;"",LOWER(K742)&lt;&gt;"não consta"),AND(L742&lt;&gt;"",LOWER(L742)&lt;&gt;"não consta"),IFERROR(INDEX(Empresas!$G:$G,MATCH(A742,Empresas!$A:$A,0))&amp;"","")&lt;&gt;""),"SIM",""))</f>
        <v/>
      </c>
      <c r="N742" s="5"/>
      <c r="O742" s="32" t="str">
        <f aca="false">IF(D742="","",YEAR(D742))</f>
        <v/>
      </c>
      <c r="P742" s="5"/>
    </row>
    <row r="743" customFormat="false" ht="15" hidden="false" customHeight="false" outlineLevel="0" collapsed="false">
      <c r="A743" s="27"/>
      <c r="B743" s="5"/>
      <c r="C743" s="35"/>
      <c r="D743" s="18"/>
      <c r="E743" s="5"/>
      <c r="F743" s="14"/>
      <c r="G743" s="5"/>
      <c r="H743" s="27"/>
      <c r="I743" s="5"/>
      <c r="J743" s="19" t="str">
        <f aca="false">IF(A743="","",IFERROR(INDEX(Empresas!$D:$D,MATCH(A743,Empresas!$A:$A,0))&amp;"","não consta"))</f>
        <v/>
      </c>
      <c r="K743" s="19" t="str">
        <f aca="false">IF(A743="","",IFERROR(INDEX(Sancoes!$B:$B,MATCH(A743,Sancoes!$A:$A,0))&amp;"","não consta"))</f>
        <v/>
      </c>
      <c r="L743" s="19" t="str">
        <f aca="false">IF(A743="","",IFERROR(INDEX(Eleitoral!$B:$B,MATCH(A743,Eleitoral!$A:$A,0))&amp;"","não consta"))</f>
        <v/>
      </c>
      <c r="M743" s="28" t="str">
        <f aca="false">IF(A743="","",IF(OR(AND(K743&lt;&gt;"",LOWER(K743)&lt;&gt;"não consta"),AND(L743&lt;&gt;"",LOWER(L743)&lt;&gt;"não consta"),IFERROR(INDEX(Empresas!$G:$G,MATCH(A743,Empresas!$A:$A,0))&amp;"","")&lt;&gt;""),"SIM",""))</f>
        <v/>
      </c>
      <c r="N743" s="5"/>
      <c r="O743" s="32" t="str">
        <f aca="false">IF(D743="","",YEAR(D743))</f>
        <v/>
      </c>
      <c r="P743" s="5"/>
    </row>
    <row r="744" customFormat="false" ht="15" hidden="false" customHeight="false" outlineLevel="0" collapsed="false">
      <c r="A744" s="27"/>
      <c r="B744" s="5"/>
      <c r="C744" s="35"/>
      <c r="D744" s="18"/>
      <c r="E744" s="5"/>
      <c r="F744" s="14"/>
      <c r="G744" s="5"/>
      <c r="H744" s="27"/>
      <c r="I744" s="5"/>
      <c r="J744" s="19" t="str">
        <f aca="false">IF(A744="","",IFERROR(INDEX(Empresas!$D:$D,MATCH(A744,Empresas!$A:$A,0))&amp;"","não consta"))</f>
        <v/>
      </c>
      <c r="K744" s="19" t="str">
        <f aca="false">IF(A744="","",IFERROR(INDEX(Sancoes!$B:$B,MATCH(A744,Sancoes!$A:$A,0))&amp;"","não consta"))</f>
        <v/>
      </c>
      <c r="L744" s="19" t="str">
        <f aca="false">IF(A744="","",IFERROR(INDEX(Eleitoral!$B:$B,MATCH(A744,Eleitoral!$A:$A,0))&amp;"","não consta"))</f>
        <v/>
      </c>
      <c r="M744" s="28" t="str">
        <f aca="false">IF(A744="","",IF(OR(AND(K744&lt;&gt;"",LOWER(K744)&lt;&gt;"não consta"),AND(L744&lt;&gt;"",LOWER(L744)&lt;&gt;"não consta"),IFERROR(INDEX(Empresas!$G:$G,MATCH(A744,Empresas!$A:$A,0))&amp;"","")&lt;&gt;""),"SIM",""))</f>
        <v/>
      </c>
      <c r="N744" s="5"/>
      <c r="O744" s="32" t="str">
        <f aca="false">IF(D744="","",YEAR(D744))</f>
        <v/>
      </c>
      <c r="P744" s="5"/>
    </row>
    <row r="745" customFormat="false" ht="15" hidden="false" customHeight="false" outlineLevel="0" collapsed="false">
      <c r="A745" s="27"/>
      <c r="B745" s="5"/>
      <c r="C745" s="35"/>
      <c r="D745" s="18"/>
      <c r="E745" s="5"/>
      <c r="F745" s="14"/>
      <c r="G745" s="5"/>
      <c r="H745" s="27"/>
      <c r="I745" s="5"/>
      <c r="J745" s="19" t="str">
        <f aca="false">IF(A745="","",IFERROR(INDEX(Empresas!$D:$D,MATCH(A745,Empresas!$A:$A,0))&amp;"","não consta"))</f>
        <v/>
      </c>
      <c r="K745" s="19" t="str">
        <f aca="false">IF(A745="","",IFERROR(INDEX(Sancoes!$B:$B,MATCH(A745,Sancoes!$A:$A,0))&amp;"","não consta"))</f>
        <v/>
      </c>
      <c r="L745" s="19" t="str">
        <f aca="false">IF(A745="","",IFERROR(INDEX(Eleitoral!$B:$B,MATCH(A745,Eleitoral!$A:$A,0))&amp;"","não consta"))</f>
        <v/>
      </c>
      <c r="M745" s="28" t="str">
        <f aca="false">IF(A745="","",IF(OR(AND(K745&lt;&gt;"",LOWER(K745)&lt;&gt;"não consta"),AND(L745&lt;&gt;"",LOWER(L745)&lt;&gt;"não consta"),IFERROR(INDEX(Empresas!$G:$G,MATCH(A745,Empresas!$A:$A,0))&amp;"","")&lt;&gt;""),"SIM",""))</f>
        <v/>
      </c>
      <c r="N745" s="5"/>
      <c r="O745" s="32" t="str">
        <f aca="false">IF(D745="","",YEAR(D745))</f>
        <v/>
      </c>
      <c r="P745" s="5"/>
    </row>
    <row r="746" customFormat="false" ht="15" hidden="false" customHeight="false" outlineLevel="0" collapsed="false">
      <c r="A746" s="27"/>
      <c r="B746" s="5"/>
      <c r="C746" s="35"/>
      <c r="D746" s="18"/>
      <c r="E746" s="5"/>
      <c r="F746" s="14"/>
      <c r="G746" s="5"/>
      <c r="H746" s="27"/>
      <c r="I746" s="5"/>
      <c r="J746" s="19" t="str">
        <f aca="false">IF(A746="","",IFERROR(INDEX(Empresas!$D:$D,MATCH(A746,Empresas!$A:$A,0))&amp;"","não consta"))</f>
        <v/>
      </c>
      <c r="K746" s="19" t="str">
        <f aca="false">IF(A746="","",IFERROR(INDEX(Sancoes!$B:$B,MATCH(A746,Sancoes!$A:$A,0))&amp;"","não consta"))</f>
        <v/>
      </c>
      <c r="L746" s="19" t="str">
        <f aca="false">IF(A746="","",IFERROR(INDEX(Eleitoral!$B:$B,MATCH(A746,Eleitoral!$A:$A,0))&amp;"","não consta"))</f>
        <v/>
      </c>
      <c r="M746" s="28" t="str">
        <f aca="false">IF(A746="","",IF(OR(AND(K746&lt;&gt;"",LOWER(K746)&lt;&gt;"não consta"),AND(L746&lt;&gt;"",LOWER(L746)&lt;&gt;"não consta"),IFERROR(INDEX(Empresas!$G:$G,MATCH(A746,Empresas!$A:$A,0))&amp;"","")&lt;&gt;""),"SIM",""))</f>
        <v/>
      </c>
      <c r="N746" s="5"/>
      <c r="O746" s="32" t="str">
        <f aca="false">IF(D746="","",YEAR(D746))</f>
        <v/>
      </c>
      <c r="P746" s="5"/>
    </row>
    <row r="747" customFormat="false" ht="15" hidden="false" customHeight="false" outlineLevel="0" collapsed="false">
      <c r="A747" s="27"/>
      <c r="B747" s="5"/>
      <c r="C747" s="35"/>
      <c r="D747" s="18"/>
      <c r="E747" s="5"/>
      <c r="F747" s="14"/>
      <c r="G747" s="5"/>
      <c r="H747" s="27"/>
      <c r="I747" s="5"/>
      <c r="J747" s="19" t="str">
        <f aca="false">IF(A747="","",IFERROR(INDEX(Empresas!$D:$D,MATCH(A747,Empresas!$A:$A,0))&amp;"","não consta"))</f>
        <v/>
      </c>
      <c r="K747" s="19" t="str">
        <f aca="false">IF(A747="","",IFERROR(INDEX(Sancoes!$B:$B,MATCH(A747,Sancoes!$A:$A,0))&amp;"","não consta"))</f>
        <v/>
      </c>
      <c r="L747" s="19" t="str">
        <f aca="false">IF(A747="","",IFERROR(INDEX(Eleitoral!$B:$B,MATCH(A747,Eleitoral!$A:$A,0))&amp;"","não consta"))</f>
        <v/>
      </c>
      <c r="M747" s="28" t="str">
        <f aca="false">IF(A747="","",IF(OR(AND(K747&lt;&gt;"",LOWER(K747)&lt;&gt;"não consta"),AND(L747&lt;&gt;"",LOWER(L747)&lt;&gt;"não consta"),IFERROR(INDEX(Empresas!$G:$G,MATCH(A747,Empresas!$A:$A,0))&amp;"","")&lt;&gt;""),"SIM",""))</f>
        <v/>
      </c>
      <c r="N747" s="5"/>
      <c r="O747" s="32" t="str">
        <f aca="false">IF(D747="","",YEAR(D747))</f>
        <v/>
      </c>
      <c r="P747" s="5"/>
    </row>
    <row r="748" customFormat="false" ht="15" hidden="false" customHeight="false" outlineLevel="0" collapsed="false">
      <c r="A748" s="27"/>
      <c r="B748" s="5"/>
      <c r="C748" s="35"/>
      <c r="D748" s="18"/>
      <c r="E748" s="5"/>
      <c r="F748" s="14"/>
      <c r="G748" s="5"/>
      <c r="H748" s="27"/>
      <c r="I748" s="5"/>
      <c r="J748" s="19" t="str">
        <f aca="false">IF(A748="","",IFERROR(INDEX(Empresas!$D:$D,MATCH(A748,Empresas!$A:$A,0))&amp;"","não consta"))</f>
        <v/>
      </c>
      <c r="K748" s="19" t="str">
        <f aca="false">IF(A748="","",IFERROR(INDEX(Sancoes!$B:$B,MATCH(A748,Sancoes!$A:$A,0))&amp;"","não consta"))</f>
        <v/>
      </c>
      <c r="L748" s="19" t="str">
        <f aca="false">IF(A748="","",IFERROR(INDEX(Eleitoral!$B:$B,MATCH(A748,Eleitoral!$A:$A,0))&amp;"","não consta"))</f>
        <v/>
      </c>
      <c r="M748" s="28" t="str">
        <f aca="false">IF(A748="","",IF(OR(AND(K748&lt;&gt;"",LOWER(K748)&lt;&gt;"não consta"),AND(L748&lt;&gt;"",LOWER(L748)&lt;&gt;"não consta"),IFERROR(INDEX(Empresas!$G:$G,MATCH(A748,Empresas!$A:$A,0))&amp;"","")&lt;&gt;""),"SIM",""))</f>
        <v/>
      </c>
      <c r="N748" s="5"/>
      <c r="O748" s="32" t="str">
        <f aca="false">IF(D748="","",YEAR(D748))</f>
        <v/>
      </c>
      <c r="P748" s="5"/>
    </row>
    <row r="749" customFormat="false" ht="15" hidden="false" customHeight="false" outlineLevel="0" collapsed="false">
      <c r="A749" s="27"/>
      <c r="B749" s="5"/>
      <c r="C749" s="35"/>
      <c r="D749" s="18"/>
      <c r="E749" s="5"/>
      <c r="F749" s="14"/>
      <c r="G749" s="5"/>
      <c r="H749" s="27"/>
      <c r="I749" s="5"/>
      <c r="J749" s="19" t="str">
        <f aca="false">IF(A749="","",IFERROR(INDEX(Empresas!$D:$D,MATCH(A749,Empresas!$A:$A,0))&amp;"","não consta"))</f>
        <v/>
      </c>
      <c r="K749" s="19" t="str">
        <f aca="false">IF(A749="","",IFERROR(INDEX(Sancoes!$B:$B,MATCH(A749,Sancoes!$A:$A,0))&amp;"","não consta"))</f>
        <v/>
      </c>
      <c r="L749" s="19" t="str">
        <f aca="false">IF(A749="","",IFERROR(INDEX(Eleitoral!$B:$B,MATCH(A749,Eleitoral!$A:$A,0))&amp;"","não consta"))</f>
        <v/>
      </c>
      <c r="M749" s="28" t="str">
        <f aca="false">IF(A749="","",IF(OR(AND(K749&lt;&gt;"",LOWER(K749)&lt;&gt;"não consta"),AND(L749&lt;&gt;"",LOWER(L749)&lt;&gt;"não consta"),IFERROR(INDEX(Empresas!$G:$G,MATCH(A749,Empresas!$A:$A,0))&amp;"","")&lt;&gt;""),"SIM",""))</f>
        <v/>
      </c>
      <c r="N749" s="5"/>
      <c r="O749" s="32" t="str">
        <f aca="false">IF(D749="","",YEAR(D749))</f>
        <v/>
      </c>
      <c r="P749" s="5"/>
    </row>
    <row r="750" customFormat="false" ht="15" hidden="false" customHeight="false" outlineLevel="0" collapsed="false">
      <c r="A750" s="27"/>
      <c r="B750" s="5"/>
      <c r="C750" s="35"/>
      <c r="D750" s="18"/>
      <c r="E750" s="5"/>
      <c r="F750" s="14"/>
      <c r="G750" s="5"/>
      <c r="H750" s="27"/>
      <c r="I750" s="5"/>
      <c r="J750" s="19" t="str">
        <f aca="false">IF(A750="","",IFERROR(INDEX(Empresas!$D:$D,MATCH(A750,Empresas!$A:$A,0))&amp;"","não consta"))</f>
        <v/>
      </c>
      <c r="K750" s="19" t="str">
        <f aca="false">IF(A750="","",IFERROR(INDEX(Sancoes!$B:$B,MATCH(A750,Sancoes!$A:$A,0))&amp;"","não consta"))</f>
        <v/>
      </c>
      <c r="L750" s="19" t="str">
        <f aca="false">IF(A750="","",IFERROR(INDEX(Eleitoral!$B:$B,MATCH(A750,Eleitoral!$A:$A,0))&amp;"","não consta"))</f>
        <v/>
      </c>
      <c r="M750" s="28" t="str">
        <f aca="false">IF(A750="","",IF(OR(AND(K750&lt;&gt;"",LOWER(K750)&lt;&gt;"não consta"),AND(L750&lt;&gt;"",LOWER(L750)&lt;&gt;"não consta"),IFERROR(INDEX(Empresas!$G:$G,MATCH(A750,Empresas!$A:$A,0))&amp;"","")&lt;&gt;""),"SIM",""))</f>
        <v/>
      </c>
      <c r="N750" s="5"/>
      <c r="O750" s="32" t="str">
        <f aca="false">IF(D750="","",YEAR(D750))</f>
        <v/>
      </c>
      <c r="P750" s="5"/>
    </row>
    <row r="751" customFormat="false" ht="15" hidden="false" customHeight="false" outlineLevel="0" collapsed="false">
      <c r="A751" s="27"/>
      <c r="B751" s="5"/>
      <c r="C751" s="35"/>
      <c r="D751" s="18"/>
      <c r="E751" s="5"/>
      <c r="F751" s="14"/>
      <c r="G751" s="5"/>
      <c r="H751" s="27"/>
      <c r="I751" s="5"/>
      <c r="J751" s="19" t="str">
        <f aca="false">IF(A751="","",IFERROR(INDEX(Empresas!$D:$D,MATCH(A751,Empresas!$A:$A,0))&amp;"","não consta"))</f>
        <v/>
      </c>
      <c r="K751" s="19" t="str">
        <f aca="false">IF(A751="","",IFERROR(INDEX(Sancoes!$B:$B,MATCH(A751,Sancoes!$A:$A,0))&amp;"","não consta"))</f>
        <v/>
      </c>
      <c r="L751" s="19" t="str">
        <f aca="false">IF(A751="","",IFERROR(INDEX(Eleitoral!$B:$B,MATCH(A751,Eleitoral!$A:$A,0))&amp;"","não consta"))</f>
        <v/>
      </c>
      <c r="M751" s="28" t="str">
        <f aca="false">IF(A751="","",IF(OR(AND(K751&lt;&gt;"",LOWER(K751)&lt;&gt;"não consta"),AND(L751&lt;&gt;"",LOWER(L751)&lt;&gt;"não consta"),IFERROR(INDEX(Empresas!$G:$G,MATCH(A751,Empresas!$A:$A,0))&amp;"","")&lt;&gt;""),"SIM",""))</f>
        <v/>
      </c>
      <c r="N751" s="5"/>
      <c r="O751" s="32" t="str">
        <f aca="false">IF(D751="","",YEAR(D751))</f>
        <v/>
      </c>
      <c r="P751" s="5"/>
    </row>
    <row r="752" customFormat="false" ht="15" hidden="false" customHeight="false" outlineLevel="0" collapsed="false">
      <c r="A752" s="27"/>
      <c r="B752" s="5"/>
      <c r="C752" s="35"/>
      <c r="D752" s="18"/>
      <c r="E752" s="5"/>
      <c r="F752" s="14"/>
      <c r="G752" s="5"/>
      <c r="H752" s="27"/>
      <c r="I752" s="5"/>
      <c r="J752" s="19" t="str">
        <f aca="false">IF(A752="","",IFERROR(INDEX(Empresas!$D:$D,MATCH(A752,Empresas!$A:$A,0))&amp;"","não consta"))</f>
        <v/>
      </c>
      <c r="K752" s="19" t="str">
        <f aca="false">IF(A752="","",IFERROR(INDEX(Sancoes!$B:$B,MATCH(A752,Sancoes!$A:$A,0))&amp;"","não consta"))</f>
        <v/>
      </c>
      <c r="L752" s="19" t="str">
        <f aca="false">IF(A752="","",IFERROR(INDEX(Eleitoral!$B:$B,MATCH(A752,Eleitoral!$A:$A,0))&amp;"","não consta"))</f>
        <v/>
      </c>
      <c r="M752" s="28" t="str">
        <f aca="false">IF(A752="","",IF(OR(AND(K752&lt;&gt;"",LOWER(K752)&lt;&gt;"não consta"),AND(L752&lt;&gt;"",LOWER(L752)&lt;&gt;"não consta"),IFERROR(INDEX(Empresas!$G:$G,MATCH(A752,Empresas!$A:$A,0))&amp;"","")&lt;&gt;""),"SIM",""))</f>
        <v/>
      </c>
      <c r="N752" s="5"/>
      <c r="O752" s="32" t="str">
        <f aca="false">IF(D752="","",YEAR(D752))</f>
        <v/>
      </c>
      <c r="P752" s="5"/>
    </row>
    <row r="753" customFormat="false" ht="15" hidden="false" customHeight="false" outlineLevel="0" collapsed="false">
      <c r="A753" s="27"/>
      <c r="B753" s="5"/>
      <c r="C753" s="35"/>
      <c r="D753" s="18"/>
      <c r="E753" s="5"/>
      <c r="F753" s="14"/>
      <c r="G753" s="5"/>
      <c r="H753" s="27"/>
      <c r="I753" s="5"/>
      <c r="J753" s="19" t="str">
        <f aca="false">IF(A753="","",IFERROR(INDEX(Empresas!$D:$D,MATCH(A753,Empresas!$A:$A,0))&amp;"","não consta"))</f>
        <v/>
      </c>
      <c r="K753" s="19" t="str">
        <f aca="false">IF(A753="","",IFERROR(INDEX(Sancoes!$B:$B,MATCH(A753,Sancoes!$A:$A,0))&amp;"","não consta"))</f>
        <v/>
      </c>
      <c r="L753" s="19" t="str">
        <f aca="false">IF(A753="","",IFERROR(INDEX(Eleitoral!$B:$B,MATCH(A753,Eleitoral!$A:$A,0))&amp;"","não consta"))</f>
        <v/>
      </c>
      <c r="M753" s="28" t="str">
        <f aca="false">IF(A753="","",IF(OR(AND(K753&lt;&gt;"",LOWER(K753)&lt;&gt;"não consta"),AND(L753&lt;&gt;"",LOWER(L753)&lt;&gt;"não consta"),IFERROR(INDEX(Empresas!$G:$G,MATCH(A753,Empresas!$A:$A,0))&amp;"","")&lt;&gt;""),"SIM",""))</f>
        <v/>
      </c>
      <c r="N753" s="5"/>
      <c r="O753" s="32" t="str">
        <f aca="false">IF(D753="","",YEAR(D753))</f>
        <v/>
      </c>
      <c r="P753" s="5"/>
    </row>
    <row r="754" customFormat="false" ht="15" hidden="false" customHeight="false" outlineLevel="0" collapsed="false">
      <c r="A754" s="27"/>
      <c r="B754" s="5"/>
      <c r="C754" s="35"/>
      <c r="D754" s="18"/>
      <c r="E754" s="5"/>
      <c r="F754" s="14"/>
      <c r="G754" s="5"/>
      <c r="H754" s="27"/>
      <c r="I754" s="5"/>
      <c r="J754" s="19" t="str">
        <f aca="false">IF(A754="","",IFERROR(INDEX(Empresas!$D:$D,MATCH(A754,Empresas!$A:$A,0))&amp;"","não consta"))</f>
        <v/>
      </c>
      <c r="K754" s="19" t="str">
        <f aca="false">IF(A754="","",IFERROR(INDEX(Sancoes!$B:$B,MATCH(A754,Sancoes!$A:$A,0))&amp;"","não consta"))</f>
        <v/>
      </c>
      <c r="L754" s="19" t="str">
        <f aca="false">IF(A754="","",IFERROR(INDEX(Eleitoral!$B:$B,MATCH(A754,Eleitoral!$A:$A,0))&amp;"","não consta"))</f>
        <v/>
      </c>
      <c r="M754" s="28" t="str">
        <f aca="false">IF(A754="","",IF(OR(AND(K754&lt;&gt;"",LOWER(K754)&lt;&gt;"não consta"),AND(L754&lt;&gt;"",LOWER(L754)&lt;&gt;"não consta"),IFERROR(INDEX(Empresas!$G:$G,MATCH(A754,Empresas!$A:$A,0))&amp;"","")&lt;&gt;""),"SIM",""))</f>
        <v/>
      </c>
      <c r="N754" s="5"/>
      <c r="O754" s="32" t="str">
        <f aca="false">IF(D754="","",YEAR(D754))</f>
        <v/>
      </c>
      <c r="P754" s="5"/>
    </row>
    <row r="755" customFormat="false" ht="15" hidden="false" customHeight="false" outlineLevel="0" collapsed="false">
      <c r="A755" s="27"/>
      <c r="B755" s="5"/>
      <c r="C755" s="35"/>
      <c r="D755" s="18"/>
      <c r="E755" s="5"/>
      <c r="F755" s="14"/>
      <c r="G755" s="5"/>
      <c r="H755" s="27"/>
      <c r="I755" s="5"/>
      <c r="J755" s="19" t="str">
        <f aca="false">IF(A755="","",IFERROR(INDEX(Empresas!$D:$D,MATCH(A755,Empresas!$A:$A,0))&amp;"","não consta"))</f>
        <v/>
      </c>
      <c r="K755" s="19" t="str">
        <f aca="false">IF(A755="","",IFERROR(INDEX(Sancoes!$B:$B,MATCH(A755,Sancoes!$A:$A,0))&amp;"","não consta"))</f>
        <v/>
      </c>
      <c r="L755" s="19" t="str">
        <f aca="false">IF(A755="","",IFERROR(INDEX(Eleitoral!$B:$B,MATCH(A755,Eleitoral!$A:$A,0))&amp;"","não consta"))</f>
        <v/>
      </c>
      <c r="M755" s="28" t="str">
        <f aca="false">IF(A755="","",IF(OR(AND(K755&lt;&gt;"",LOWER(K755)&lt;&gt;"não consta"),AND(L755&lt;&gt;"",LOWER(L755)&lt;&gt;"não consta"),IFERROR(INDEX(Empresas!$G:$G,MATCH(A755,Empresas!$A:$A,0))&amp;"","")&lt;&gt;""),"SIM",""))</f>
        <v/>
      </c>
      <c r="N755" s="5"/>
      <c r="O755" s="32" t="str">
        <f aca="false">IF(D755="","",YEAR(D755))</f>
        <v/>
      </c>
      <c r="P755" s="5"/>
    </row>
    <row r="756" customFormat="false" ht="15" hidden="false" customHeight="false" outlineLevel="0" collapsed="false">
      <c r="A756" s="27"/>
      <c r="B756" s="5"/>
      <c r="C756" s="35"/>
      <c r="D756" s="18"/>
      <c r="E756" s="5"/>
      <c r="F756" s="14"/>
      <c r="G756" s="5"/>
      <c r="H756" s="27"/>
      <c r="I756" s="5"/>
      <c r="J756" s="19" t="str">
        <f aca="false">IF(A756="","",IFERROR(INDEX(Empresas!$D:$D,MATCH(A756,Empresas!$A:$A,0))&amp;"","não consta"))</f>
        <v/>
      </c>
      <c r="K756" s="19" t="str">
        <f aca="false">IF(A756="","",IFERROR(INDEX(Sancoes!$B:$B,MATCH(A756,Sancoes!$A:$A,0))&amp;"","não consta"))</f>
        <v/>
      </c>
      <c r="L756" s="19" t="str">
        <f aca="false">IF(A756="","",IFERROR(INDEX(Eleitoral!$B:$B,MATCH(A756,Eleitoral!$A:$A,0))&amp;"","não consta"))</f>
        <v/>
      </c>
      <c r="M756" s="28" t="str">
        <f aca="false">IF(A756="","",IF(OR(AND(K756&lt;&gt;"",LOWER(K756)&lt;&gt;"não consta"),AND(L756&lt;&gt;"",LOWER(L756)&lt;&gt;"não consta"),IFERROR(INDEX(Empresas!$G:$G,MATCH(A756,Empresas!$A:$A,0))&amp;"","")&lt;&gt;""),"SIM",""))</f>
        <v/>
      </c>
      <c r="N756" s="5"/>
      <c r="O756" s="32" t="str">
        <f aca="false">IF(D756="","",YEAR(D756))</f>
        <v/>
      </c>
      <c r="P756" s="5"/>
    </row>
    <row r="757" customFormat="false" ht="15" hidden="false" customHeight="false" outlineLevel="0" collapsed="false">
      <c r="A757" s="27"/>
      <c r="B757" s="5"/>
      <c r="C757" s="35"/>
      <c r="D757" s="18"/>
      <c r="E757" s="5"/>
      <c r="F757" s="14"/>
      <c r="G757" s="5"/>
      <c r="H757" s="27"/>
      <c r="I757" s="5"/>
      <c r="J757" s="19" t="str">
        <f aca="false">IF(A757="","",IFERROR(INDEX(Empresas!$D:$D,MATCH(A757,Empresas!$A:$A,0))&amp;"","não consta"))</f>
        <v/>
      </c>
      <c r="K757" s="19" t="str">
        <f aca="false">IF(A757="","",IFERROR(INDEX(Sancoes!$B:$B,MATCH(A757,Sancoes!$A:$A,0))&amp;"","não consta"))</f>
        <v/>
      </c>
      <c r="L757" s="19" t="str">
        <f aca="false">IF(A757="","",IFERROR(INDEX(Eleitoral!$B:$B,MATCH(A757,Eleitoral!$A:$A,0))&amp;"","não consta"))</f>
        <v/>
      </c>
      <c r="M757" s="28" t="str">
        <f aca="false">IF(A757="","",IF(OR(AND(K757&lt;&gt;"",LOWER(K757)&lt;&gt;"não consta"),AND(L757&lt;&gt;"",LOWER(L757)&lt;&gt;"não consta"),IFERROR(INDEX(Empresas!$G:$G,MATCH(A757,Empresas!$A:$A,0))&amp;"","")&lt;&gt;""),"SIM",""))</f>
        <v/>
      </c>
      <c r="N757" s="5"/>
      <c r="O757" s="32" t="str">
        <f aca="false">IF(D757="","",YEAR(D757))</f>
        <v/>
      </c>
      <c r="P757" s="5"/>
    </row>
    <row r="758" customFormat="false" ht="15" hidden="false" customHeight="false" outlineLevel="0" collapsed="false">
      <c r="A758" s="27"/>
      <c r="B758" s="5"/>
      <c r="C758" s="35"/>
      <c r="D758" s="18"/>
      <c r="E758" s="5"/>
      <c r="F758" s="14"/>
      <c r="G758" s="5"/>
      <c r="H758" s="27"/>
      <c r="I758" s="5"/>
      <c r="J758" s="19" t="str">
        <f aca="false">IF(A758="","",IFERROR(INDEX(Empresas!$D:$D,MATCH(A758,Empresas!$A:$A,0))&amp;"","não consta"))</f>
        <v/>
      </c>
      <c r="K758" s="19" t="str">
        <f aca="false">IF(A758="","",IFERROR(INDEX(Sancoes!$B:$B,MATCH(A758,Sancoes!$A:$A,0))&amp;"","não consta"))</f>
        <v/>
      </c>
      <c r="L758" s="19" t="str">
        <f aca="false">IF(A758="","",IFERROR(INDEX(Eleitoral!$B:$B,MATCH(A758,Eleitoral!$A:$A,0))&amp;"","não consta"))</f>
        <v/>
      </c>
      <c r="M758" s="28" t="str">
        <f aca="false">IF(A758="","",IF(OR(AND(K758&lt;&gt;"",LOWER(K758)&lt;&gt;"não consta"),AND(L758&lt;&gt;"",LOWER(L758)&lt;&gt;"não consta"),IFERROR(INDEX(Empresas!$G:$G,MATCH(A758,Empresas!$A:$A,0))&amp;"","")&lt;&gt;""),"SIM",""))</f>
        <v/>
      </c>
      <c r="N758" s="5"/>
      <c r="O758" s="32" t="str">
        <f aca="false">IF(D758="","",YEAR(D758))</f>
        <v/>
      </c>
      <c r="P758" s="5"/>
    </row>
    <row r="759" customFormat="false" ht="15" hidden="false" customHeight="false" outlineLevel="0" collapsed="false">
      <c r="A759" s="27"/>
      <c r="B759" s="5"/>
      <c r="C759" s="35"/>
      <c r="D759" s="18"/>
      <c r="E759" s="5"/>
      <c r="F759" s="14"/>
      <c r="G759" s="5"/>
      <c r="H759" s="27"/>
      <c r="I759" s="5"/>
      <c r="J759" s="19" t="str">
        <f aca="false">IF(A759="","",IFERROR(INDEX(Empresas!$D:$D,MATCH(A759,Empresas!$A:$A,0))&amp;"","não consta"))</f>
        <v/>
      </c>
      <c r="K759" s="19" t="str">
        <f aca="false">IF(A759="","",IFERROR(INDEX(Sancoes!$B:$B,MATCH(A759,Sancoes!$A:$A,0))&amp;"","não consta"))</f>
        <v/>
      </c>
      <c r="L759" s="19" t="str">
        <f aca="false">IF(A759="","",IFERROR(INDEX(Eleitoral!$B:$B,MATCH(A759,Eleitoral!$A:$A,0))&amp;"","não consta"))</f>
        <v/>
      </c>
      <c r="M759" s="28" t="str">
        <f aca="false">IF(A759="","",IF(OR(AND(K759&lt;&gt;"",LOWER(K759)&lt;&gt;"não consta"),AND(L759&lt;&gt;"",LOWER(L759)&lt;&gt;"não consta"),IFERROR(INDEX(Empresas!$G:$G,MATCH(A759,Empresas!$A:$A,0))&amp;"","")&lt;&gt;""),"SIM",""))</f>
        <v/>
      </c>
      <c r="N759" s="5"/>
      <c r="O759" s="32" t="str">
        <f aca="false">IF(D759="","",YEAR(D759))</f>
        <v/>
      </c>
      <c r="P759" s="5"/>
    </row>
    <row r="760" customFormat="false" ht="15" hidden="false" customHeight="false" outlineLevel="0" collapsed="false">
      <c r="A760" s="27"/>
      <c r="B760" s="5"/>
      <c r="C760" s="35"/>
      <c r="D760" s="18"/>
      <c r="E760" s="5"/>
      <c r="F760" s="14"/>
      <c r="G760" s="5"/>
      <c r="H760" s="27"/>
      <c r="I760" s="5"/>
      <c r="J760" s="19" t="str">
        <f aca="false">IF(A760="","",IFERROR(INDEX(Empresas!$D:$D,MATCH(A760,Empresas!$A:$A,0))&amp;"","não consta"))</f>
        <v/>
      </c>
      <c r="K760" s="19" t="str">
        <f aca="false">IF(A760="","",IFERROR(INDEX(Sancoes!$B:$B,MATCH(A760,Sancoes!$A:$A,0))&amp;"","não consta"))</f>
        <v/>
      </c>
      <c r="L760" s="19" t="str">
        <f aca="false">IF(A760="","",IFERROR(INDEX(Eleitoral!$B:$B,MATCH(A760,Eleitoral!$A:$A,0))&amp;"","não consta"))</f>
        <v/>
      </c>
      <c r="M760" s="28" t="str">
        <f aca="false">IF(A760="","",IF(OR(AND(K760&lt;&gt;"",LOWER(K760)&lt;&gt;"não consta"),AND(L760&lt;&gt;"",LOWER(L760)&lt;&gt;"não consta"),IFERROR(INDEX(Empresas!$G:$G,MATCH(A760,Empresas!$A:$A,0))&amp;"","")&lt;&gt;""),"SIM",""))</f>
        <v/>
      </c>
      <c r="N760" s="5"/>
      <c r="O760" s="32" t="str">
        <f aca="false">IF(D760="","",YEAR(D760))</f>
        <v/>
      </c>
      <c r="P760" s="5"/>
    </row>
    <row r="761" customFormat="false" ht="15" hidden="false" customHeight="false" outlineLevel="0" collapsed="false">
      <c r="A761" s="27"/>
      <c r="B761" s="5"/>
      <c r="C761" s="35"/>
      <c r="D761" s="18"/>
      <c r="E761" s="5"/>
      <c r="F761" s="14"/>
      <c r="G761" s="5"/>
      <c r="H761" s="27"/>
      <c r="I761" s="5"/>
      <c r="J761" s="19" t="str">
        <f aca="false">IF(A761="","",IFERROR(INDEX(Empresas!$D:$D,MATCH(A761,Empresas!$A:$A,0))&amp;"","não consta"))</f>
        <v/>
      </c>
      <c r="K761" s="19" t="str">
        <f aca="false">IF(A761="","",IFERROR(INDEX(Sancoes!$B:$B,MATCH(A761,Sancoes!$A:$A,0))&amp;"","não consta"))</f>
        <v/>
      </c>
      <c r="L761" s="19" t="str">
        <f aca="false">IF(A761="","",IFERROR(INDEX(Eleitoral!$B:$B,MATCH(A761,Eleitoral!$A:$A,0))&amp;"","não consta"))</f>
        <v/>
      </c>
      <c r="M761" s="28" t="str">
        <f aca="false">IF(A761="","",IF(OR(AND(K761&lt;&gt;"",LOWER(K761)&lt;&gt;"não consta"),AND(L761&lt;&gt;"",LOWER(L761)&lt;&gt;"não consta"),IFERROR(INDEX(Empresas!$G:$G,MATCH(A761,Empresas!$A:$A,0))&amp;"","")&lt;&gt;""),"SIM",""))</f>
        <v/>
      </c>
      <c r="N761" s="5"/>
      <c r="O761" s="32" t="str">
        <f aca="false">IF(D761="","",YEAR(D761))</f>
        <v/>
      </c>
      <c r="P761" s="5"/>
    </row>
    <row r="762" customFormat="false" ht="15" hidden="false" customHeight="false" outlineLevel="0" collapsed="false">
      <c r="A762" s="27"/>
      <c r="B762" s="5"/>
      <c r="C762" s="35"/>
      <c r="D762" s="18"/>
      <c r="E762" s="5"/>
      <c r="F762" s="14"/>
      <c r="G762" s="5"/>
      <c r="H762" s="27"/>
      <c r="I762" s="5"/>
      <c r="J762" s="19" t="str">
        <f aca="false">IF(A762="","",IFERROR(INDEX(Empresas!$D:$D,MATCH(A762,Empresas!$A:$A,0))&amp;"","não consta"))</f>
        <v/>
      </c>
      <c r="K762" s="19" t="str">
        <f aca="false">IF(A762="","",IFERROR(INDEX(Sancoes!$B:$B,MATCH(A762,Sancoes!$A:$A,0))&amp;"","não consta"))</f>
        <v/>
      </c>
      <c r="L762" s="19" t="str">
        <f aca="false">IF(A762="","",IFERROR(INDEX(Eleitoral!$B:$B,MATCH(A762,Eleitoral!$A:$A,0))&amp;"","não consta"))</f>
        <v/>
      </c>
      <c r="M762" s="28" t="str">
        <f aca="false">IF(A762="","",IF(OR(AND(K762&lt;&gt;"",LOWER(K762)&lt;&gt;"não consta"),AND(L762&lt;&gt;"",LOWER(L762)&lt;&gt;"não consta"),IFERROR(INDEX(Empresas!$G:$G,MATCH(A762,Empresas!$A:$A,0))&amp;"","")&lt;&gt;""),"SIM",""))</f>
        <v/>
      </c>
      <c r="N762" s="5"/>
      <c r="O762" s="32" t="str">
        <f aca="false">IF(D762="","",YEAR(D762))</f>
        <v/>
      </c>
      <c r="P762" s="5"/>
    </row>
    <row r="763" customFormat="false" ht="15" hidden="false" customHeight="false" outlineLevel="0" collapsed="false">
      <c r="A763" s="27"/>
      <c r="B763" s="5"/>
      <c r="C763" s="35"/>
      <c r="D763" s="18"/>
      <c r="E763" s="5"/>
      <c r="F763" s="14"/>
      <c r="G763" s="5"/>
      <c r="H763" s="27"/>
      <c r="I763" s="5"/>
      <c r="J763" s="19" t="str">
        <f aca="false">IF(A763="","",IFERROR(INDEX(Empresas!$D:$D,MATCH(A763,Empresas!$A:$A,0))&amp;"","não consta"))</f>
        <v/>
      </c>
      <c r="K763" s="19" t="str">
        <f aca="false">IF(A763="","",IFERROR(INDEX(Sancoes!$B:$B,MATCH(A763,Sancoes!$A:$A,0))&amp;"","não consta"))</f>
        <v/>
      </c>
      <c r="L763" s="19" t="str">
        <f aca="false">IF(A763="","",IFERROR(INDEX(Eleitoral!$B:$B,MATCH(A763,Eleitoral!$A:$A,0))&amp;"","não consta"))</f>
        <v/>
      </c>
      <c r="M763" s="28" t="str">
        <f aca="false">IF(A763="","",IF(OR(AND(K763&lt;&gt;"",LOWER(K763)&lt;&gt;"não consta"),AND(L763&lt;&gt;"",LOWER(L763)&lt;&gt;"não consta"),IFERROR(INDEX(Empresas!$G:$G,MATCH(A763,Empresas!$A:$A,0))&amp;"","")&lt;&gt;""),"SIM",""))</f>
        <v/>
      </c>
      <c r="N763" s="5"/>
      <c r="O763" s="32" t="str">
        <f aca="false">IF(D763="","",YEAR(D763))</f>
        <v/>
      </c>
      <c r="P763" s="5"/>
    </row>
    <row r="764" customFormat="false" ht="15" hidden="false" customHeight="false" outlineLevel="0" collapsed="false">
      <c r="A764" s="27"/>
      <c r="B764" s="5"/>
      <c r="C764" s="35"/>
      <c r="D764" s="18"/>
      <c r="E764" s="5"/>
      <c r="F764" s="14"/>
      <c r="G764" s="5"/>
      <c r="H764" s="27"/>
      <c r="I764" s="5"/>
      <c r="J764" s="19" t="str">
        <f aca="false">IF(A764="","",IFERROR(INDEX(Empresas!$D:$D,MATCH(A764,Empresas!$A:$A,0))&amp;"","não consta"))</f>
        <v/>
      </c>
      <c r="K764" s="19" t="str">
        <f aca="false">IF(A764="","",IFERROR(INDEX(Sancoes!$B:$B,MATCH(A764,Sancoes!$A:$A,0))&amp;"","não consta"))</f>
        <v/>
      </c>
      <c r="L764" s="19" t="str">
        <f aca="false">IF(A764="","",IFERROR(INDEX(Eleitoral!$B:$B,MATCH(A764,Eleitoral!$A:$A,0))&amp;"","não consta"))</f>
        <v/>
      </c>
      <c r="M764" s="28" t="str">
        <f aca="false">IF(A764="","",IF(OR(AND(K764&lt;&gt;"",LOWER(K764)&lt;&gt;"não consta"),AND(L764&lt;&gt;"",LOWER(L764)&lt;&gt;"não consta"),IFERROR(INDEX(Empresas!$G:$G,MATCH(A764,Empresas!$A:$A,0))&amp;"","")&lt;&gt;""),"SIM",""))</f>
        <v/>
      </c>
      <c r="N764" s="5"/>
      <c r="O764" s="32" t="str">
        <f aca="false">IF(D764="","",YEAR(D764))</f>
        <v/>
      </c>
      <c r="P764" s="5"/>
    </row>
    <row r="765" customFormat="false" ht="15" hidden="false" customHeight="false" outlineLevel="0" collapsed="false">
      <c r="A765" s="27"/>
      <c r="B765" s="5"/>
      <c r="C765" s="35"/>
      <c r="D765" s="18"/>
      <c r="E765" s="5"/>
      <c r="F765" s="14"/>
      <c r="G765" s="5"/>
      <c r="H765" s="27"/>
      <c r="I765" s="5"/>
      <c r="J765" s="19" t="str">
        <f aca="false">IF(A765="","",IFERROR(INDEX(Empresas!$D:$D,MATCH(A765,Empresas!$A:$A,0))&amp;"","não consta"))</f>
        <v/>
      </c>
      <c r="K765" s="19" t="str">
        <f aca="false">IF(A765="","",IFERROR(INDEX(Sancoes!$B:$B,MATCH(A765,Sancoes!$A:$A,0))&amp;"","não consta"))</f>
        <v/>
      </c>
      <c r="L765" s="19" t="str">
        <f aca="false">IF(A765="","",IFERROR(INDEX(Eleitoral!$B:$B,MATCH(A765,Eleitoral!$A:$A,0))&amp;"","não consta"))</f>
        <v/>
      </c>
      <c r="M765" s="28" t="str">
        <f aca="false">IF(A765="","",IF(OR(AND(K765&lt;&gt;"",LOWER(K765)&lt;&gt;"não consta"),AND(L765&lt;&gt;"",LOWER(L765)&lt;&gt;"não consta"),IFERROR(INDEX(Empresas!$G:$G,MATCH(A765,Empresas!$A:$A,0))&amp;"","")&lt;&gt;""),"SIM",""))</f>
        <v/>
      </c>
      <c r="N765" s="5"/>
      <c r="O765" s="32" t="str">
        <f aca="false">IF(D765="","",YEAR(D765))</f>
        <v/>
      </c>
      <c r="P765" s="5"/>
    </row>
    <row r="766" customFormat="false" ht="15" hidden="false" customHeight="false" outlineLevel="0" collapsed="false">
      <c r="A766" s="27"/>
      <c r="B766" s="5"/>
      <c r="C766" s="35"/>
      <c r="D766" s="18"/>
      <c r="E766" s="5"/>
      <c r="F766" s="14"/>
      <c r="G766" s="5"/>
      <c r="H766" s="27"/>
      <c r="I766" s="5"/>
      <c r="J766" s="19" t="str">
        <f aca="false">IF(A766="","",IFERROR(INDEX(Empresas!$D:$D,MATCH(A766,Empresas!$A:$A,0))&amp;"","não consta"))</f>
        <v/>
      </c>
      <c r="K766" s="19" t="str">
        <f aca="false">IF(A766="","",IFERROR(INDEX(Sancoes!$B:$B,MATCH(A766,Sancoes!$A:$A,0))&amp;"","não consta"))</f>
        <v/>
      </c>
      <c r="L766" s="19" t="str">
        <f aca="false">IF(A766="","",IFERROR(INDEX(Eleitoral!$B:$B,MATCH(A766,Eleitoral!$A:$A,0))&amp;"","não consta"))</f>
        <v/>
      </c>
      <c r="M766" s="28" t="str">
        <f aca="false">IF(A766="","",IF(OR(AND(K766&lt;&gt;"",LOWER(K766)&lt;&gt;"não consta"),AND(L766&lt;&gt;"",LOWER(L766)&lt;&gt;"não consta"),IFERROR(INDEX(Empresas!$G:$G,MATCH(A766,Empresas!$A:$A,0))&amp;"","")&lt;&gt;""),"SIM",""))</f>
        <v/>
      </c>
      <c r="N766" s="5"/>
      <c r="O766" s="32" t="str">
        <f aca="false">IF(D766="","",YEAR(D766))</f>
        <v/>
      </c>
      <c r="P766" s="5"/>
    </row>
    <row r="767" customFormat="false" ht="15" hidden="false" customHeight="false" outlineLevel="0" collapsed="false">
      <c r="A767" s="27"/>
      <c r="B767" s="5"/>
      <c r="C767" s="35"/>
      <c r="D767" s="18"/>
      <c r="E767" s="5"/>
      <c r="F767" s="14"/>
      <c r="G767" s="5"/>
      <c r="H767" s="27"/>
      <c r="I767" s="5"/>
      <c r="J767" s="19" t="str">
        <f aca="false">IF(A767="","",IFERROR(INDEX(Empresas!$D:$D,MATCH(A767,Empresas!$A:$A,0))&amp;"","não consta"))</f>
        <v/>
      </c>
      <c r="K767" s="19" t="str">
        <f aca="false">IF(A767="","",IFERROR(INDEX(Sancoes!$B:$B,MATCH(A767,Sancoes!$A:$A,0))&amp;"","não consta"))</f>
        <v/>
      </c>
      <c r="L767" s="19" t="str">
        <f aca="false">IF(A767="","",IFERROR(INDEX(Eleitoral!$B:$B,MATCH(A767,Eleitoral!$A:$A,0))&amp;"","não consta"))</f>
        <v/>
      </c>
      <c r="M767" s="28" t="str">
        <f aca="false">IF(A767="","",IF(OR(AND(K767&lt;&gt;"",LOWER(K767)&lt;&gt;"não consta"),AND(L767&lt;&gt;"",LOWER(L767)&lt;&gt;"não consta"),IFERROR(INDEX(Empresas!$G:$G,MATCH(A767,Empresas!$A:$A,0))&amp;"","")&lt;&gt;""),"SIM",""))</f>
        <v/>
      </c>
      <c r="N767" s="5"/>
      <c r="O767" s="32" t="str">
        <f aca="false">IF(D767="","",YEAR(D767))</f>
        <v/>
      </c>
      <c r="P767" s="5"/>
    </row>
    <row r="768" customFormat="false" ht="15" hidden="false" customHeight="false" outlineLevel="0" collapsed="false">
      <c r="A768" s="27"/>
      <c r="B768" s="5"/>
      <c r="C768" s="35"/>
      <c r="D768" s="18"/>
      <c r="E768" s="5"/>
      <c r="F768" s="14"/>
      <c r="G768" s="5"/>
      <c r="H768" s="27"/>
      <c r="I768" s="5"/>
      <c r="J768" s="19" t="str">
        <f aca="false">IF(A768="","",IFERROR(INDEX(Empresas!$D:$D,MATCH(A768,Empresas!$A:$A,0))&amp;"","não consta"))</f>
        <v/>
      </c>
      <c r="K768" s="19" t="str">
        <f aca="false">IF(A768="","",IFERROR(INDEX(Sancoes!$B:$B,MATCH(A768,Sancoes!$A:$A,0))&amp;"","não consta"))</f>
        <v/>
      </c>
      <c r="L768" s="19" t="str">
        <f aca="false">IF(A768="","",IFERROR(INDEX(Eleitoral!$B:$B,MATCH(A768,Eleitoral!$A:$A,0))&amp;"","não consta"))</f>
        <v/>
      </c>
      <c r="M768" s="28" t="str">
        <f aca="false">IF(A768="","",IF(OR(AND(K768&lt;&gt;"",LOWER(K768)&lt;&gt;"não consta"),AND(L768&lt;&gt;"",LOWER(L768)&lt;&gt;"não consta"),IFERROR(INDEX(Empresas!$G:$G,MATCH(A768,Empresas!$A:$A,0))&amp;"","")&lt;&gt;""),"SIM",""))</f>
        <v/>
      </c>
      <c r="N768" s="5"/>
      <c r="O768" s="32" t="str">
        <f aca="false">IF(D768="","",YEAR(D768))</f>
        <v/>
      </c>
      <c r="P768" s="5"/>
    </row>
    <row r="769" customFormat="false" ht="15" hidden="false" customHeight="false" outlineLevel="0" collapsed="false">
      <c r="A769" s="27"/>
      <c r="B769" s="5"/>
      <c r="C769" s="35"/>
      <c r="D769" s="18"/>
      <c r="E769" s="5"/>
      <c r="F769" s="14"/>
      <c r="G769" s="5"/>
      <c r="H769" s="27"/>
      <c r="I769" s="5"/>
      <c r="J769" s="19" t="str">
        <f aca="false">IF(A769="","",IFERROR(INDEX(Empresas!$D:$D,MATCH(A769,Empresas!$A:$A,0))&amp;"","não consta"))</f>
        <v/>
      </c>
      <c r="K769" s="19" t="str">
        <f aca="false">IF(A769="","",IFERROR(INDEX(Sancoes!$B:$B,MATCH(A769,Sancoes!$A:$A,0))&amp;"","não consta"))</f>
        <v/>
      </c>
      <c r="L769" s="19" t="str">
        <f aca="false">IF(A769="","",IFERROR(INDEX(Eleitoral!$B:$B,MATCH(A769,Eleitoral!$A:$A,0))&amp;"","não consta"))</f>
        <v/>
      </c>
      <c r="M769" s="28" t="str">
        <f aca="false">IF(A769="","",IF(OR(AND(K769&lt;&gt;"",LOWER(K769)&lt;&gt;"não consta"),AND(L769&lt;&gt;"",LOWER(L769)&lt;&gt;"não consta"),IFERROR(INDEX(Empresas!$G:$G,MATCH(A769,Empresas!$A:$A,0))&amp;"","")&lt;&gt;""),"SIM",""))</f>
        <v/>
      </c>
      <c r="N769" s="5"/>
      <c r="O769" s="32" t="str">
        <f aca="false">IF(D769="","",YEAR(D769))</f>
        <v/>
      </c>
      <c r="P769" s="5"/>
    </row>
    <row r="770" customFormat="false" ht="15" hidden="false" customHeight="false" outlineLevel="0" collapsed="false">
      <c r="A770" s="27"/>
      <c r="B770" s="5"/>
      <c r="C770" s="35"/>
      <c r="D770" s="18"/>
      <c r="E770" s="5"/>
      <c r="F770" s="14"/>
      <c r="G770" s="5"/>
      <c r="H770" s="27"/>
      <c r="I770" s="5"/>
      <c r="J770" s="19" t="str">
        <f aca="false">IF(A770="","",IFERROR(INDEX(Empresas!$D:$D,MATCH(A770,Empresas!$A:$A,0))&amp;"","não consta"))</f>
        <v/>
      </c>
      <c r="K770" s="19" t="str">
        <f aca="false">IF(A770="","",IFERROR(INDEX(Sancoes!$B:$B,MATCH(A770,Sancoes!$A:$A,0))&amp;"","não consta"))</f>
        <v/>
      </c>
      <c r="L770" s="19" t="str">
        <f aca="false">IF(A770="","",IFERROR(INDEX(Eleitoral!$B:$B,MATCH(A770,Eleitoral!$A:$A,0))&amp;"","não consta"))</f>
        <v/>
      </c>
      <c r="M770" s="28" t="str">
        <f aca="false">IF(A770="","",IF(OR(AND(K770&lt;&gt;"",LOWER(K770)&lt;&gt;"não consta"),AND(L770&lt;&gt;"",LOWER(L770)&lt;&gt;"não consta"),IFERROR(INDEX(Empresas!$G:$G,MATCH(A770,Empresas!$A:$A,0))&amp;"","")&lt;&gt;""),"SIM",""))</f>
        <v/>
      </c>
      <c r="N770" s="5"/>
      <c r="O770" s="32" t="str">
        <f aca="false">IF(D770="","",YEAR(D770))</f>
        <v/>
      </c>
      <c r="P770" s="5"/>
    </row>
    <row r="771" customFormat="false" ht="15" hidden="false" customHeight="false" outlineLevel="0" collapsed="false">
      <c r="A771" s="27"/>
      <c r="B771" s="5"/>
      <c r="C771" s="35"/>
      <c r="D771" s="18"/>
      <c r="E771" s="5"/>
      <c r="F771" s="14"/>
      <c r="G771" s="5"/>
      <c r="H771" s="27"/>
      <c r="I771" s="5"/>
      <c r="J771" s="19" t="str">
        <f aca="false">IF(A771="","",IFERROR(INDEX(Empresas!$D:$D,MATCH(A771,Empresas!$A:$A,0))&amp;"","não consta"))</f>
        <v/>
      </c>
      <c r="K771" s="19" t="str">
        <f aca="false">IF(A771="","",IFERROR(INDEX(Sancoes!$B:$B,MATCH(A771,Sancoes!$A:$A,0))&amp;"","não consta"))</f>
        <v/>
      </c>
      <c r="L771" s="19" t="str">
        <f aca="false">IF(A771="","",IFERROR(INDEX(Eleitoral!$B:$B,MATCH(A771,Eleitoral!$A:$A,0))&amp;"","não consta"))</f>
        <v/>
      </c>
      <c r="M771" s="28" t="str">
        <f aca="false">IF(A771="","",IF(OR(AND(K771&lt;&gt;"",LOWER(K771)&lt;&gt;"não consta"),AND(L771&lt;&gt;"",LOWER(L771)&lt;&gt;"não consta"),IFERROR(INDEX(Empresas!$G:$G,MATCH(A771,Empresas!$A:$A,0))&amp;"","")&lt;&gt;""),"SIM",""))</f>
        <v/>
      </c>
      <c r="N771" s="5"/>
      <c r="O771" s="32" t="str">
        <f aca="false">IF(D771="","",YEAR(D771))</f>
        <v/>
      </c>
      <c r="P771" s="5"/>
    </row>
    <row r="772" customFormat="false" ht="15" hidden="false" customHeight="false" outlineLevel="0" collapsed="false">
      <c r="A772" s="27"/>
      <c r="B772" s="5"/>
      <c r="C772" s="35"/>
      <c r="D772" s="18"/>
      <c r="E772" s="5"/>
      <c r="F772" s="14"/>
      <c r="G772" s="5"/>
      <c r="H772" s="27"/>
      <c r="I772" s="5"/>
      <c r="J772" s="19" t="str">
        <f aca="false">IF(A772="","",IFERROR(INDEX(Empresas!$D:$D,MATCH(A772,Empresas!$A:$A,0))&amp;"","não consta"))</f>
        <v/>
      </c>
      <c r="K772" s="19" t="str">
        <f aca="false">IF(A772="","",IFERROR(INDEX(Sancoes!$B:$B,MATCH(A772,Sancoes!$A:$A,0))&amp;"","não consta"))</f>
        <v/>
      </c>
      <c r="L772" s="19" t="str">
        <f aca="false">IF(A772="","",IFERROR(INDEX(Eleitoral!$B:$B,MATCH(A772,Eleitoral!$A:$A,0))&amp;"","não consta"))</f>
        <v/>
      </c>
      <c r="M772" s="28" t="str">
        <f aca="false">IF(A772="","",IF(OR(AND(K772&lt;&gt;"",LOWER(K772)&lt;&gt;"não consta"),AND(L772&lt;&gt;"",LOWER(L772)&lt;&gt;"não consta"),IFERROR(INDEX(Empresas!$G:$G,MATCH(A772,Empresas!$A:$A,0))&amp;"","")&lt;&gt;""),"SIM",""))</f>
        <v/>
      </c>
      <c r="N772" s="5"/>
      <c r="O772" s="32" t="str">
        <f aca="false">IF(D772="","",YEAR(D772))</f>
        <v/>
      </c>
      <c r="P772" s="5"/>
    </row>
    <row r="773" customFormat="false" ht="15" hidden="false" customHeight="false" outlineLevel="0" collapsed="false">
      <c r="A773" s="27"/>
      <c r="B773" s="5"/>
      <c r="C773" s="35"/>
      <c r="D773" s="18"/>
      <c r="E773" s="5"/>
      <c r="F773" s="14"/>
      <c r="G773" s="5"/>
      <c r="H773" s="27"/>
      <c r="I773" s="5"/>
      <c r="J773" s="19" t="str">
        <f aca="false">IF(A773="","",IFERROR(INDEX(Empresas!$D:$D,MATCH(A773,Empresas!$A:$A,0))&amp;"","não consta"))</f>
        <v/>
      </c>
      <c r="K773" s="19" t="str">
        <f aca="false">IF(A773="","",IFERROR(INDEX(Sancoes!$B:$B,MATCH(A773,Sancoes!$A:$A,0))&amp;"","não consta"))</f>
        <v/>
      </c>
      <c r="L773" s="19" t="str">
        <f aca="false">IF(A773="","",IFERROR(INDEX(Eleitoral!$B:$B,MATCH(A773,Eleitoral!$A:$A,0))&amp;"","não consta"))</f>
        <v/>
      </c>
      <c r="M773" s="28" t="str">
        <f aca="false">IF(A773="","",IF(OR(AND(K773&lt;&gt;"",LOWER(K773)&lt;&gt;"não consta"),AND(L773&lt;&gt;"",LOWER(L773)&lt;&gt;"não consta"),IFERROR(INDEX(Empresas!$G:$G,MATCH(A773,Empresas!$A:$A,0))&amp;"","")&lt;&gt;""),"SIM",""))</f>
        <v/>
      </c>
      <c r="N773" s="5"/>
      <c r="O773" s="32" t="str">
        <f aca="false">IF(D773="","",YEAR(D773))</f>
        <v/>
      </c>
      <c r="P773" s="5"/>
    </row>
    <row r="774" customFormat="false" ht="15" hidden="false" customHeight="false" outlineLevel="0" collapsed="false">
      <c r="A774" s="27"/>
      <c r="B774" s="5"/>
      <c r="C774" s="35"/>
      <c r="D774" s="18"/>
      <c r="E774" s="5"/>
      <c r="F774" s="14"/>
      <c r="G774" s="5"/>
      <c r="H774" s="27"/>
      <c r="I774" s="5"/>
      <c r="J774" s="19" t="str">
        <f aca="false">IF(A774="","",IFERROR(INDEX(Empresas!$D:$D,MATCH(A774,Empresas!$A:$A,0))&amp;"","não consta"))</f>
        <v/>
      </c>
      <c r="K774" s="19" t="str">
        <f aca="false">IF(A774="","",IFERROR(INDEX(Sancoes!$B:$B,MATCH(A774,Sancoes!$A:$A,0))&amp;"","não consta"))</f>
        <v/>
      </c>
      <c r="L774" s="19" t="str">
        <f aca="false">IF(A774="","",IFERROR(INDEX(Eleitoral!$B:$B,MATCH(A774,Eleitoral!$A:$A,0))&amp;"","não consta"))</f>
        <v/>
      </c>
      <c r="M774" s="28" t="str">
        <f aca="false">IF(A774="","",IF(OR(AND(K774&lt;&gt;"",LOWER(K774)&lt;&gt;"não consta"),AND(L774&lt;&gt;"",LOWER(L774)&lt;&gt;"não consta"),IFERROR(INDEX(Empresas!$G:$G,MATCH(A774,Empresas!$A:$A,0))&amp;"","")&lt;&gt;""),"SIM",""))</f>
        <v/>
      </c>
      <c r="N774" s="5"/>
      <c r="O774" s="32" t="str">
        <f aca="false">IF(D774="","",YEAR(D774))</f>
        <v/>
      </c>
      <c r="P774" s="5"/>
    </row>
    <row r="775" customFormat="false" ht="15" hidden="false" customHeight="false" outlineLevel="0" collapsed="false">
      <c r="A775" s="27"/>
      <c r="B775" s="5"/>
      <c r="C775" s="35"/>
      <c r="D775" s="18"/>
      <c r="E775" s="5"/>
      <c r="F775" s="14"/>
      <c r="G775" s="5"/>
      <c r="H775" s="27"/>
      <c r="I775" s="5"/>
      <c r="J775" s="19" t="str">
        <f aca="false">IF(A775="","",IFERROR(INDEX(Empresas!$D:$D,MATCH(A775,Empresas!$A:$A,0))&amp;"","não consta"))</f>
        <v/>
      </c>
      <c r="K775" s="19" t="str">
        <f aca="false">IF(A775="","",IFERROR(INDEX(Sancoes!$B:$B,MATCH(A775,Sancoes!$A:$A,0))&amp;"","não consta"))</f>
        <v/>
      </c>
      <c r="L775" s="19" t="str">
        <f aca="false">IF(A775="","",IFERROR(INDEX(Eleitoral!$B:$B,MATCH(A775,Eleitoral!$A:$A,0))&amp;"","não consta"))</f>
        <v/>
      </c>
      <c r="M775" s="28" t="str">
        <f aca="false">IF(A775="","",IF(OR(AND(K775&lt;&gt;"",LOWER(K775)&lt;&gt;"não consta"),AND(L775&lt;&gt;"",LOWER(L775)&lt;&gt;"não consta"),IFERROR(INDEX(Empresas!$G:$G,MATCH(A775,Empresas!$A:$A,0))&amp;"","")&lt;&gt;""),"SIM",""))</f>
        <v/>
      </c>
      <c r="N775" s="5"/>
      <c r="O775" s="32" t="str">
        <f aca="false">IF(D775="","",YEAR(D775))</f>
        <v/>
      </c>
      <c r="P775" s="5"/>
    </row>
    <row r="776" customFormat="false" ht="15" hidden="false" customHeight="false" outlineLevel="0" collapsed="false">
      <c r="A776" s="27"/>
      <c r="B776" s="5"/>
      <c r="C776" s="35"/>
      <c r="D776" s="18"/>
      <c r="E776" s="5"/>
      <c r="F776" s="14"/>
      <c r="G776" s="5"/>
      <c r="H776" s="27"/>
      <c r="I776" s="5"/>
      <c r="J776" s="19" t="str">
        <f aca="false">IF(A776="","",IFERROR(INDEX(Empresas!$D:$D,MATCH(A776,Empresas!$A:$A,0))&amp;"","não consta"))</f>
        <v/>
      </c>
      <c r="K776" s="19" t="str">
        <f aca="false">IF(A776="","",IFERROR(INDEX(Sancoes!$B:$B,MATCH(A776,Sancoes!$A:$A,0))&amp;"","não consta"))</f>
        <v/>
      </c>
      <c r="L776" s="19" t="str">
        <f aca="false">IF(A776="","",IFERROR(INDEX(Eleitoral!$B:$B,MATCH(A776,Eleitoral!$A:$A,0))&amp;"","não consta"))</f>
        <v/>
      </c>
      <c r="M776" s="28" t="str">
        <f aca="false">IF(A776="","",IF(OR(AND(K776&lt;&gt;"",LOWER(K776)&lt;&gt;"não consta"),AND(L776&lt;&gt;"",LOWER(L776)&lt;&gt;"não consta"),IFERROR(INDEX(Empresas!$G:$G,MATCH(A776,Empresas!$A:$A,0))&amp;"","")&lt;&gt;""),"SIM",""))</f>
        <v/>
      </c>
      <c r="N776" s="5"/>
      <c r="O776" s="32" t="str">
        <f aca="false">IF(D776="","",YEAR(D776))</f>
        <v/>
      </c>
      <c r="P776" s="5"/>
    </row>
    <row r="777" customFormat="false" ht="15" hidden="false" customHeight="false" outlineLevel="0" collapsed="false">
      <c r="A777" s="27"/>
      <c r="B777" s="5"/>
      <c r="C777" s="35"/>
      <c r="D777" s="18"/>
      <c r="E777" s="5"/>
      <c r="F777" s="14"/>
      <c r="G777" s="5"/>
      <c r="H777" s="27"/>
      <c r="I777" s="5"/>
      <c r="J777" s="19" t="str">
        <f aca="false">IF(A777="","",IFERROR(INDEX(Empresas!$D:$D,MATCH(A777,Empresas!$A:$A,0))&amp;"","não consta"))</f>
        <v/>
      </c>
      <c r="K777" s="19" t="str">
        <f aca="false">IF(A777="","",IFERROR(INDEX(Sancoes!$B:$B,MATCH(A777,Sancoes!$A:$A,0))&amp;"","não consta"))</f>
        <v/>
      </c>
      <c r="L777" s="19" t="str">
        <f aca="false">IF(A777="","",IFERROR(INDEX(Eleitoral!$B:$B,MATCH(A777,Eleitoral!$A:$A,0))&amp;"","não consta"))</f>
        <v/>
      </c>
      <c r="M777" s="28" t="str">
        <f aca="false">IF(A777="","",IF(OR(AND(K777&lt;&gt;"",LOWER(K777)&lt;&gt;"não consta"),AND(L777&lt;&gt;"",LOWER(L777)&lt;&gt;"não consta"),IFERROR(INDEX(Empresas!$G:$G,MATCH(A777,Empresas!$A:$A,0))&amp;"","")&lt;&gt;""),"SIM",""))</f>
        <v/>
      </c>
      <c r="N777" s="5"/>
      <c r="O777" s="32" t="str">
        <f aca="false">IF(D777="","",YEAR(D777))</f>
        <v/>
      </c>
      <c r="P777" s="5"/>
    </row>
    <row r="778" customFormat="false" ht="15" hidden="false" customHeight="false" outlineLevel="0" collapsed="false">
      <c r="A778" s="27"/>
      <c r="B778" s="5"/>
      <c r="C778" s="35"/>
      <c r="D778" s="18"/>
      <c r="E778" s="5"/>
      <c r="F778" s="14"/>
      <c r="G778" s="5"/>
      <c r="H778" s="27"/>
      <c r="I778" s="5"/>
      <c r="J778" s="19" t="str">
        <f aca="false">IF(A778="","",IFERROR(INDEX(Empresas!$D:$D,MATCH(A778,Empresas!$A:$A,0))&amp;"","não consta"))</f>
        <v/>
      </c>
      <c r="K778" s="19" t="str">
        <f aca="false">IF(A778="","",IFERROR(INDEX(Sancoes!$B:$B,MATCH(A778,Sancoes!$A:$A,0))&amp;"","não consta"))</f>
        <v/>
      </c>
      <c r="L778" s="19" t="str">
        <f aca="false">IF(A778="","",IFERROR(INDEX(Eleitoral!$B:$B,MATCH(A778,Eleitoral!$A:$A,0))&amp;"","não consta"))</f>
        <v/>
      </c>
      <c r="M778" s="28" t="str">
        <f aca="false">IF(A778="","",IF(OR(AND(K778&lt;&gt;"",LOWER(K778)&lt;&gt;"não consta"),AND(L778&lt;&gt;"",LOWER(L778)&lt;&gt;"não consta"),IFERROR(INDEX(Empresas!$G:$G,MATCH(A778,Empresas!$A:$A,0))&amp;"","")&lt;&gt;""),"SIM",""))</f>
        <v/>
      </c>
      <c r="N778" s="5"/>
      <c r="O778" s="32" t="str">
        <f aca="false">IF(D778="","",YEAR(D778))</f>
        <v/>
      </c>
      <c r="P778" s="5"/>
    </row>
    <row r="779" customFormat="false" ht="15" hidden="false" customHeight="false" outlineLevel="0" collapsed="false">
      <c r="A779" s="27"/>
      <c r="B779" s="5"/>
      <c r="C779" s="35"/>
      <c r="D779" s="18"/>
      <c r="E779" s="5"/>
      <c r="F779" s="14"/>
      <c r="G779" s="5"/>
      <c r="H779" s="27"/>
      <c r="I779" s="5"/>
      <c r="J779" s="19" t="str">
        <f aca="false">IF(A779="","",IFERROR(INDEX(Empresas!$D:$D,MATCH(A779,Empresas!$A:$A,0))&amp;"","não consta"))</f>
        <v/>
      </c>
      <c r="K779" s="19" t="str">
        <f aca="false">IF(A779="","",IFERROR(INDEX(Sancoes!$B:$B,MATCH(A779,Sancoes!$A:$A,0))&amp;"","não consta"))</f>
        <v/>
      </c>
      <c r="L779" s="19" t="str">
        <f aca="false">IF(A779="","",IFERROR(INDEX(Eleitoral!$B:$B,MATCH(A779,Eleitoral!$A:$A,0))&amp;"","não consta"))</f>
        <v/>
      </c>
      <c r="M779" s="28" t="str">
        <f aca="false">IF(A779="","",IF(OR(AND(K779&lt;&gt;"",LOWER(K779)&lt;&gt;"não consta"),AND(L779&lt;&gt;"",LOWER(L779)&lt;&gt;"não consta"),IFERROR(INDEX(Empresas!$G:$G,MATCH(A779,Empresas!$A:$A,0))&amp;"","")&lt;&gt;""),"SIM",""))</f>
        <v/>
      </c>
      <c r="N779" s="5"/>
      <c r="O779" s="32" t="str">
        <f aca="false">IF(D779="","",YEAR(D779))</f>
        <v/>
      </c>
      <c r="P779" s="5"/>
    </row>
    <row r="780" customFormat="false" ht="15" hidden="false" customHeight="false" outlineLevel="0" collapsed="false">
      <c r="A780" s="27"/>
      <c r="B780" s="5"/>
      <c r="C780" s="35"/>
      <c r="D780" s="18"/>
      <c r="E780" s="5"/>
      <c r="F780" s="14"/>
      <c r="G780" s="5"/>
      <c r="H780" s="27"/>
      <c r="I780" s="5"/>
      <c r="J780" s="19" t="str">
        <f aca="false">IF(A780="","",IFERROR(INDEX(Empresas!$D:$D,MATCH(A780,Empresas!$A:$A,0))&amp;"","não consta"))</f>
        <v/>
      </c>
      <c r="K780" s="19" t="str">
        <f aca="false">IF(A780="","",IFERROR(INDEX(Sancoes!$B:$B,MATCH(A780,Sancoes!$A:$A,0))&amp;"","não consta"))</f>
        <v/>
      </c>
      <c r="L780" s="19" t="str">
        <f aca="false">IF(A780="","",IFERROR(INDEX(Eleitoral!$B:$B,MATCH(A780,Eleitoral!$A:$A,0))&amp;"","não consta"))</f>
        <v/>
      </c>
      <c r="M780" s="28" t="str">
        <f aca="false">IF(A780="","",IF(OR(AND(K780&lt;&gt;"",LOWER(K780)&lt;&gt;"não consta"),AND(L780&lt;&gt;"",LOWER(L780)&lt;&gt;"não consta"),IFERROR(INDEX(Empresas!$G:$G,MATCH(A780,Empresas!$A:$A,0))&amp;"","")&lt;&gt;""),"SIM",""))</f>
        <v/>
      </c>
      <c r="N780" s="5"/>
      <c r="O780" s="32" t="str">
        <f aca="false">IF(D780="","",YEAR(D780))</f>
        <v/>
      </c>
      <c r="P780" s="5"/>
    </row>
    <row r="781" customFormat="false" ht="15" hidden="false" customHeight="false" outlineLevel="0" collapsed="false">
      <c r="A781" s="27"/>
      <c r="B781" s="5"/>
      <c r="C781" s="35"/>
      <c r="D781" s="18"/>
      <c r="E781" s="5"/>
      <c r="F781" s="14"/>
      <c r="G781" s="5"/>
      <c r="H781" s="27"/>
      <c r="I781" s="5"/>
      <c r="J781" s="19" t="str">
        <f aca="false">IF(A781="","",IFERROR(INDEX(Empresas!$D:$D,MATCH(A781,Empresas!$A:$A,0))&amp;"","não consta"))</f>
        <v/>
      </c>
      <c r="K781" s="19" t="str">
        <f aca="false">IF(A781="","",IFERROR(INDEX(Sancoes!$B:$B,MATCH(A781,Sancoes!$A:$A,0))&amp;"","não consta"))</f>
        <v/>
      </c>
      <c r="L781" s="19" t="str">
        <f aca="false">IF(A781="","",IFERROR(INDEX(Eleitoral!$B:$B,MATCH(A781,Eleitoral!$A:$A,0))&amp;"","não consta"))</f>
        <v/>
      </c>
      <c r="M781" s="28" t="str">
        <f aca="false">IF(A781="","",IF(OR(AND(K781&lt;&gt;"",LOWER(K781)&lt;&gt;"não consta"),AND(L781&lt;&gt;"",LOWER(L781)&lt;&gt;"não consta"),IFERROR(INDEX(Empresas!$G:$G,MATCH(A781,Empresas!$A:$A,0))&amp;"","")&lt;&gt;""),"SIM",""))</f>
        <v/>
      </c>
      <c r="N781" s="5"/>
      <c r="O781" s="32" t="str">
        <f aca="false">IF(D781="","",YEAR(D781))</f>
        <v/>
      </c>
      <c r="P781" s="5"/>
    </row>
    <row r="782" customFormat="false" ht="15" hidden="false" customHeight="false" outlineLevel="0" collapsed="false">
      <c r="A782" s="27"/>
      <c r="B782" s="5"/>
      <c r="C782" s="35"/>
      <c r="D782" s="18"/>
      <c r="E782" s="5"/>
      <c r="F782" s="14"/>
      <c r="G782" s="5"/>
      <c r="H782" s="27"/>
      <c r="I782" s="5"/>
      <c r="J782" s="19" t="str">
        <f aca="false">IF(A782="","",IFERROR(INDEX(Empresas!$D:$D,MATCH(A782,Empresas!$A:$A,0))&amp;"","não consta"))</f>
        <v/>
      </c>
      <c r="K782" s="19" t="str">
        <f aca="false">IF(A782="","",IFERROR(INDEX(Sancoes!$B:$B,MATCH(A782,Sancoes!$A:$A,0))&amp;"","não consta"))</f>
        <v/>
      </c>
      <c r="L782" s="19" t="str">
        <f aca="false">IF(A782="","",IFERROR(INDEX(Eleitoral!$B:$B,MATCH(A782,Eleitoral!$A:$A,0))&amp;"","não consta"))</f>
        <v/>
      </c>
      <c r="M782" s="28" t="str">
        <f aca="false">IF(A782="","",IF(OR(AND(K782&lt;&gt;"",LOWER(K782)&lt;&gt;"não consta"),AND(L782&lt;&gt;"",LOWER(L782)&lt;&gt;"não consta"),IFERROR(INDEX(Empresas!$G:$G,MATCH(A782,Empresas!$A:$A,0))&amp;"","")&lt;&gt;""),"SIM",""))</f>
        <v/>
      </c>
      <c r="N782" s="5"/>
      <c r="O782" s="32" t="str">
        <f aca="false">IF(D782="","",YEAR(D782))</f>
        <v/>
      </c>
      <c r="P782" s="5"/>
    </row>
    <row r="783" customFormat="false" ht="15" hidden="false" customHeight="false" outlineLevel="0" collapsed="false">
      <c r="A783" s="27"/>
      <c r="B783" s="5"/>
      <c r="C783" s="35"/>
      <c r="D783" s="18"/>
      <c r="E783" s="5"/>
      <c r="F783" s="14"/>
      <c r="G783" s="5"/>
      <c r="H783" s="27"/>
      <c r="I783" s="5"/>
      <c r="J783" s="19" t="str">
        <f aca="false">IF(A783="","",IFERROR(INDEX(Empresas!$D:$D,MATCH(A783,Empresas!$A:$A,0))&amp;"","não consta"))</f>
        <v/>
      </c>
      <c r="K783" s="19" t="str">
        <f aca="false">IF(A783="","",IFERROR(INDEX(Sancoes!$B:$B,MATCH(A783,Sancoes!$A:$A,0))&amp;"","não consta"))</f>
        <v/>
      </c>
      <c r="L783" s="19" t="str">
        <f aca="false">IF(A783="","",IFERROR(INDEX(Eleitoral!$B:$B,MATCH(A783,Eleitoral!$A:$A,0))&amp;"","não consta"))</f>
        <v/>
      </c>
      <c r="M783" s="28" t="str">
        <f aca="false">IF(A783="","",IF(OR(AND(K783&lt;&gt;"",LOWER(K783)&lt;&gt;"não consta"),AND(L783&lt;&gt;"",LOWER(L783)&lt;&gt;"não consta"),IFERROR(INDEX(Empresas!$G:$G,MATCH(A783,Empresas!$A:$A,0))&amp;"","")&lt;&gt;""),"SIM",""))</f>
        <v/>
      </c>
      <c r="N783" s="5"/>
      <c r="O783" s="32" t="str">
        <f aca="false">IF(D783="","",YEAR(D783))</f>
        <v/>
      </c>
      <c r="P783" s="5"/>
    </row>
    <row r="784" customFormat="false" ht="15" hidden="false" customHeight="false" outlineLevel="0" collapsed="false">
      <c r="A784" s="27"/>
      <c r="B784" s="5"/>
      <c r="C784" s="35"/>
      <c r="D784" s="18"/>
      <c r="E784" s="5"/>
      <c r="F784" s="14"/>
      <c r="G784" s="5"/>
      <c r="H784" s="27"/>
      <c r="I784" s="5"/>
      <c r="J784" s="19" t="str">
        <f aca="false">IF(A784="","",IFERROR(INDEX(Empresas!$D:$D,MATCH(A784,Empresas!$A:$A,0))&amp;"","não consta"))</f>
        <v/>
      </c>
      <c r="K784" s="19" t="str">
        <f aca="false">IF(A784="","",IFERROR(INDEX(Sancoes!$B:$B,MATCH(A784,Sancoes!$A:$A,0))&amp;"","não consta"))</f>
        <v/>
      </c>
      <c r="L784" s="19" t="str">
        <f aca="false">IF(A784="","",IFERROR(INDEX(Eleitoral!$B:$B,MATCH(A784,Eleitoral!$A:$A,0))&amp;"","não consta"))</f>
        <v/>
      </c>
      <c r="M784" s="28" t="str">
        <f aca="false">IF(A784="","",IF(OR(AND(K784&lt;&gt;"",LOWER(K784)&lt;&gt;"não consta"),AND(L784&lt;&gt;"",LOWER(L784)&lt;&gt;"não consta"),IFERROR(INDEX(Empresas!$G:$G,MATCH(A784,Empresas!$A:$A,0))&amp;"","")&lt;&gt;""),"SIM",""))</f>
        <v/>
      </c>
      <c r="N784" s="5"/>
      <c r="O784" s="32" t="str">
        <f aca="false">IF(D784="","",YEAR(D784))</f>
        <v/>
      </c>
      <c r="P784" s="5"/>
    </row>
    <row r="785" customFormat="false" ht="15" hidden="false" customHeight="false" outlineLevel="0" collapsed="false">
      <c r="A785" s="27"/>
      <c r="B785" s="5"/>
      <c r="C785" s="35"/>
      <c r="D785" s="18"/>
      <c r="E785" s="5"/>
      <c r="F785" s="14"/>
      <c r="G785" s="5"/>
      <c r="H785" s="27"/>
      <c r="I785" s="5"/>
      <c r="J785" s="19" t="str">
        <f aca="false">IF(A785="","",IFERROR(INDEX(Empresas!$D:$D,MATCH(A785,Empresas!$A:$A,0))&amp;"","não consta"))</f>
        <v/>
      </c>
      <c r="K785" s="19" t="str">
        <f aca="false">IF(A785="","",IFERROR(INDEX(Sancoes!$B:$B,MATCH(A785,Sancoes!$A:$A,0))&amp;"","não consta"))</f>
        <v/>
      </c>
      <c r="L785" s="19" t="str">
        <f aca="false">IF(A785="","",IFERROR(INDEX(Eleitoral!$B:$B,MATCH(A785,Eleitoral!$A:$A,0))&amp;"","não consta"))</f>
        <v/>
      </c>
      <c r="M785" s="28" t="str">
        <f aca="false">IF(A785="","",IF(OR(AND(K785&lt;&gt;"",LOWER(K785)&lt;&gt;"não consta"),AND(L785&lt;&gt;"",LOWER(L785)&lt;&gt;"não consta"),IFERROR(INDEX(Empresas!$G:$G,MATCH(A785,Empresas!$A:$A,0))&amp;"","")&lt;&gt;""),"SIM",""))</f>
        <v/>
      </c>
      <c r="N785" s="5"/>
      <c r="O785" s="32" t="str">
        <f aca="false">IF(D785="","",YEAR(D785))</f>
        <v/>
      </c>
      <c r="P785" s="5"/>
    </row>
    <row r="786" customFormat="false" ht="15" hidden="false" customHeight="false" outlineLevel="0" collapsed="false">
      <c r="A786" s="27"/>
      <c r="B786" s="5"/>
      <c r="C786" s="35"/>
      <c r="D786" s="18"/>
      <c r="E786" s="5"/>
      <c r="F786" s="14"/>
      <c r="G786" s="5"/>
      <c r="H786" s="27"/>
      <c r="I786" s="5"/>
      <c r="J786" s="19" t="str">
        <f aca="false">IF(A786="","",IFERROR(INDEX(Empresas!$D:$D,MATCH(A786,Empresas!$A:$A,0))&amp;"","não consta"))</f>
        <v/>
      </c>
      <c r="K786" s="19" t="str">
        <f aca="false">IF(A786="","",IFERROR(INDEX(Sancoes!$B:$B,MATCH(A786,Sancoes!$A:$A,0))&amp;"","não consta"))</f>
        <v/>
      </c>
      <c r="L786" s="19" t="str">
        <f aca="false">IF(A786="","",IFERROR(INDEX(Eleitoral!$B:$B,MATCH(A786,Eleitoral!$A:$A,0))&amp;"","não consta"))</f>
        <v/>
      </c>
      <c r="M786" s="28" t="str">
        <f aca="false">IF(A786="","",IF(OR(AND(K786&lt;&gt;"",LOWER(K786)&lt;&gt;"não consta"),AND(L786&lt;&gt;"",LOWER(L786)&lt;&gt;"não consta"),IFERROR(INDEX(Empresas!$G:$G,MATCH(A786,Empresas!$A:$A,0))&amp;"","")&lt;&gt;""),"SIM",""))</f>
        <v/>
      </c>
      <c r="N786" s="5"/>
      <c r="O786" s="32" t="str">
        <f aca="false">IF(D786="","",YEAR(D786))</f>
        <v/>
      </c>
      <c r="P786" s="5"/>
    </row>
    <row r="787" customFormat="false" ht="15" hidden="false" customHeight="false" outlineLevel="0" collapsed="false">
      <c r="A787" s="27"/>
      <c r="B787" s="5"/>
      <c r="C787" s="35"/>
      <c r="D787" s="18"/>
      <c r="E787" s="5"/>
      <c r="F787" s="14"/>
      <c r="G787" s="5"/>
      <c r="H787" s="27"/>
      <c r="I787" s="5"/>
      <c r="J787" s="19" t="str">
        <f aca="false">IF(A787="","",IFERROR(INDEX(Empresas!$D:$D,MATCH(A787,Empresas!$A:$A,0))&amp;"","não consta"))</f>
        <v/>
      </c>
      <c r="K787" s="19" t="str">
        <f aca="false">IF(A787="","",IFERROR(INDEX(Sancoes!$B:$B,MATCH(A787,Sancoes!$A:$A,0))&amp;"","não consta"))</f>
        <v/>
      </c>
      <c r="L787" s="19" t="str">
        <f aca="false">IF(A787="","",IFERROR(INDEX(Eleitoral!$B:$B,MATCH(A787,Eleitoral!$A:$A,0))&amp;"","não consta"))</f>
        <v/>
      </c>
      <c r="M787" s="28" t="str">
        <f aca="false">IF(A787="","",IF(OR(AND(K787&lt;&gt;"",LOWER(K787)&lt;&gt;"não consta"),AND(L787&lt;&gt;"",LOWER(L787)&lt;&gt;"não consta"),IFERROR(INDEX(Empresas!$G:$G,MATCH(A787,Empresas!$A:$A,0))&amp;"","")&lt;&gt;""),"SIM",""))</f>
        <v/>
      </c>
      <c r="N787" s="5"/>
      <c r="O787" s="32" t="str">
        <f aca="false">IF(D787="","",YEAR(D787))</f>
        <v/>
      </c>
      <c r="P787" s="5"/>
    </row>
    <row r="788" customFormat="false" ht="15" hidden="false" customHeight="false" outlineLevel="0" collapsed="false">
      <c r="A788" s="27"/>
      <c r="B788" s="5"/>
      <c r="C788" s="35"/>
      <c r="D788" s="18"/>
      <c r="E788" s="5"/>
      <c r="F788" s="14"/>
      <c r="G788" s="5"/>
      <c r="H788" s="27"/>
      <c r="I788" s="5"/>
      <c r="J788" s="19" t="str">
        <f aca="false">IF(A788="","",IFERROR(INDEX(Empresas!$D:$D,MATCH(A788,Empresas!$A:$A,0))&amp;"","não consta"))</f>
        <v/>
      </c>
      <c r="K788" s="19" t="str">
        <f aca="false">IF(A788="","",IFERROR(INDEX(Sancoes!$B:$B,MATCH(A788,Sancoes!$A:$A,0))&amp;"","não consta"))</f>
        <v/>
      </c>
      <c r="L788" s="19" t="str">
        <f aca="false">IF(A788="","",IFERROR(INDEX(Eleitoral!$B:$B,MATCH(A788,Eleitoral!$A:$A,0))&amp;"","não consta"))</f>
        <v/>
      </c>
      <c r="M788" s="28" t="str">
        <f aca="false">IF(A788="","",IF(OR(AND(K788&lt;&gt;"",LOWER(K788)&lt;&gt;"não consta"),AND(L788&lt;&gt;"",LOWER(L788)&lt;&gt;"não consta"),IFERROR(INDEX(Empresas!$G:$G,MATCH(A788,Empresas!$A:$A,0))&amp;"","")&lt;&gt;""),"SIM",""))</f>
        <v/>
      </c>
      <c r="N788" s="5"/>
      <c r="O788" s="32" t="str">
        <f aca="false">IF(D788="","",YEAR(D788))</f>
        <v/>
      </c>
      <c r="P788" s="5"/>
    </row>
    <row r="789" customFormat="false" ht="15" hidden="false" customHeight="false" outlineLevel="0" collapsed="false">
      <c r="A789" s="27"/>
      <c r="B789" s="5"/>
      <c r="C789" s="35"/>
      <c r="D789" s="18"/>
      <c r="E789" s="5"/>
      <c r="F789" s="14"/>
      <c r="G789" s="5"/>
      <c r="H789" s="27"/>
      <c r="I789" s="5"/>
      <c r="J789" s="19" t="str">
        <f aca="false">IF(A789="","",IFERROR(INDEX(Empresas!$D:$D,MATCH(A789,Empresas!$A:$A,0))&amp;"","não consta"))</f>
        <v/>
      </c>
      <c r="K789" s="19" t="str">
        <f aca="false">IF(A789="","",IFERROR(INDEX(Sancoes!$B:$B,MATCH(A789,Sancoes!$A:$A,0))&amp;"","não consta"))</f>
        <v/>
      </c>
      <c r="L789" s="19" t="str">
        <f aca="false">IF(A789="","",IFERROR(INDEX(Eleitoral!$B:$B,MATCH(A789,Eleitoral!$A:$A,0))&amp;"","não consta"))</f>
        <v/>
      </c>
      <c r="M789" s="28" t="str">
        <f aca="false">IF(A789="","",IF(OR(AND(K789&lt;&gt;"",LOWER(K789)&lt;&gt;"não consta"),AND(L789&lt;&gt;"",LOWER(L789)&lt;&gt;"não consta"),IFERROR(INDEX(Empresas!$G:$G,MATCH(A789,Empresas!$A:$A,0))&amp;"","")&lt;&gt;""),"SIM",""))</f>
        <v/>
      </c>
      <c r="N789" s="5"/>
      <c r="O789" s="32" t="str">
        <f aca="false">IF(D789="","",YEAR(D789))</f>
        <v/>
      </c>
      <c r="P789" s="5"/>
    </row>
    <row r="790" customFormat="false" ht="15" hidden="false" customHeight="false" outlineLevel="0" collapsed="false">
      <c r="A790" s="27"/>
      <c r="B790" s="5"/>
      <c r="C790" s="35"/>
      <c r="D790" s="18"/>
      <c r="E790" s="5"/>
      <c r="F790" s="14"/>
      <c r="G790" s="5"/>
      <c r="H790" s="27"/>
      <c r="I790" s="5"/>
      <c r="J790" s="19" t="str">
        <f aca="false">IF(A790="","",IFERROR(INDEX(Empresas!$D:$D,MATCH(A790,Empresas!$A:$A,0))&amp;"","não consta"))</f>
        <v/>
      </c>
      <c r="K790" s="19" t="str">
        <f aca="false">IF(A790="","",IFERROR(INDEX(Sancoes!$B:$B,MATCH(A790,Sancoes!$A:$A,0))&amp;"","não consta"))</f>
        <v/>
      </c>
      <c r="L790" s="19" t="str">
        <f aca="false">IF(A790="","",IFERROR(INDEX(Eleitoral!$B:$B,MATCH(A790,Eleitoral!$A:$A,0))&amp;"","não consta"))</f>
        <v/>
      </c>
      <c r="M790" s="28" t="str">
        <f aca="false">IF(A790="","",IF(OR(AND(K790&lt;&gt;"",LOWER(K790)&lt;&gt;"não consta"),AND(L790&lt;&gt;"",LOWER(L790)&lt;&gt;"não consta"),IFERROR(INDEX(Empresas!$G:$G,MATCH(A790,Empresas!$A:$A,0))&amp;"","")&lt;&gt;""),"SIM",""))</f>
        <v/>
      </c>
      <c r="N790" s="5"/>
      <c r="O790" s="32" t="str">
        <f aca="false">IF(D790="","",YEAR(D790))</f>
        <v/>
      </c>
      <c r="P790" s="5"/>
    </row>
    <row r="791" customFormat="false" ht="15" hidden="false" customHeight="false" outlineLevel="0" collapsed="false">
      <c r="A791" s="27"/>
      <c r="B791" s="5"/>
      <c r="C791" s="35"/>
      <c r="D791" s="18"/>
      <c r="E791" s="5"/>
      <c r="F791" s="14"/>
      <c r="G791" s="5"/>
      <c r="H791" s="27"/>
      <c r="I791" s="5"/>
      <c r="J791" s="19" t="str">
        <f aca="false">IF(A791="","",IFERROR(INDEX(Empresas!$D:$D,MATCH(A791,Empresas!$A:$A,0))&amp;"","não consta"))</f>
        <v/>
      </c>
      <c r="K791" s="19" t="str">
        <f aca="false">IF(A791="","",IFERROR(INDEX(Sancoes!$B:$B,MATCH(A791,Sancoes!$A:$A,0))&amp;"","não consta"))</f>
        <v/>
      </c>
      <c r="L791" s="19" t="str">
        <f aca="false">IF(A791="","",IFERROR(INDEX(Eleitoral!$B:$B,MATCH(A791,Eleitoral!$A:$A,0))&amp;"","não consta"))</f>
        <v/>
      </c>
      <c r="M791" s="28" t="str">
        <f aca="false">IF(A791="","",IF(OR(AND(K791&lt;&gt;"",LOWER(K791)&lt;&gt;"não consta"),AND(L791&lt;&gt;"",LOWER(L791)&lt;&gt;"não consta"),IFERROR(INDEX(Empresas!$G:$G,MATCH(A791,Empresas!$A:$A,0))&amp;"","")&lt;&gt;""),"SIM",""))</f>
        <v/>
      </c>
      <c r="N791" s="5"/>
      <c r="O791" s="32" t="str">
        <f aca="false">IF(D791="","",YEAR(D791))</f>
        <v/>
      </c>
      <c r="P791" s="5"/>
    </row>
    <row r="792" customFormat="false" ht="15" hidden="false" customHeight="false" outlineLevel="0" collapsed="false">
      <c r="A792" s="27"/>
      <c r="B792" s="5"/>
      <c r="C792" s="35"/>
      <c r="D792" s="18"/>
      <c r="E792" s="5"/>
      <c r="F792" s="14"/>
      <c r="G792" s="5"/>
      <c r="H792" s="27"/>
      <c r="I792" s="5"/>
      <c r="J792" s="19" t="str">
        <f aca="false">IF(A792="","",IFERROR(INDEX(Empresas!$D:$D,MATCH(A792,Empresas!$A:$A,0))&amp;"","não consta"))</f>
        <v/>
      </c>
      <c r="K792" s="19" t="str">
        <f aca="false">IF(A792="","",IFERROR(INDEX(Sancoes!$B:$B,MATCH(A792,Sancoes!$A:$A,0))&amp;"","não consta"))</f>
        <v/>
      </c>
      <c r="L792" s="19" t="str">
        <f aca="false">IF(A792="","",IFERROR(INDEX(Eleitoral!$B:$B,MATCH(A792,Eleitoral!$A:$A,0))&amp;"","não consta"))</f>
        <v/>
      </c>
      <c r="M792" s="28" t="str">
        <f aca="false">IF(A792="","",IF(OR(AND(K792&lt;&gt;"",LOWER(K792)&lt;&gt;"não consta"),AND(L792&lt;&gt;"",LOWER(L792)&lt;&gt;"não consta"),IFERROR(INDEX(Empresas!$G:$G,MATCH(A792,Empresas!$A:$A,0))&amp;"","")&lt;&gt;""),"SIM",""))</f>
        <v/>
      </c>
      <c r="N792" s="5"/>
      <c r="O792" s="32" t="str">
        <f aca="false">IF(D792="","",YEAR(D792))</f>
        <v/>
      </c>
      <c r="P792" s="5"/>
    </row>
    <row r="793" customFormat="false" ht="15" hidden="false" customHeight="false" outlineLevel="0" collapsed="false">
      <c r="A793" s="27"/>
      <c r="B793" s="5"/>
      <c r="C793" s="35"/>
      <c r="D793" s="18"/>
      <c r="E793" s="5"/>
      <c r="F793" s="14"/>
      <c r="G793" s="5"/>
      <c r="H793" s="27"/>
      <c r="I793" s="5"/>
      <c r="J793" s="19" t="str">
        <f aca="false">IF(A793="","",IFERROR(INDEX(Empresas!$D:$D,MATCH(A793,Empresas!$A:$A,0))&amp;"","não consta"))</f>
        <v/>
      </c>
      <c r="K793" s="19" t="str">
        <f aca="false">IF(A793="","",IFERROR(INDEX(Sancoes!$B:$B,MATCH(A793,Sancoes!$A:$A,0))&amp;"","não consta"))</f>
        <v/>
      </c>
      <c r="L793" s="19" t="str">
        <f aca="false">IF(A793="","",IFERROR(INDEX(Eleitoral!$B:$B,MATCH(A793,Eleitoral!$A:$A,0))&amp;"","não consta"))</f>
        <v/>
      </c>
      <c r="M793" s="28" t="str">
        <f aca="false">IF(A793="","",IF(OR(AND(K793&lt;&gt;"",LOWER(K793)&lt;&gt;"não consta"),AND(L793&lt;&gt;"",LOWER(L793)&lt;&gt;"não consta"),IFERROR(INDEX(Empresas!$G:$G,MATCH(A793,Empresas!$A:$A,0))&amp;"","")&lt;&gt;""),"SIM",""))</f>
        <v/>
      </c>
      <c r="N793" s="5"/>
      <c r="O793" s="32" t="str">
        <f aca="false">IF(D793="","",YEAR(D793))</f>
        <v/>
      </c>
      <c r="P793" s="5"/>
    </row>
    <row r="794" customFormat="false" ht="15" hidden="false" customHeight="false" outlineLevel="0" collapsed="false">
      <c r="A794" s="27"/>
      <c r="B794" s="5"/>
      <c r="C794" s="35"/>
      <c r="D794" s="18"/>
      <c r="E794" s="5"/>
      <c r="F794" s="14"/>
      <c r="G794" s="5"/>
      <c r="H794" s="27"/>
      <c r="I794" s="5"/>
      <c r="J794" s="19" t="str">
        <f aca="false">IF(A794="","",IFERROR(INDEX(Empresas!$D:$D,MATCH(A794,Empresas!$A:$A,0))&amp;"","não consta"))</f>
        <v/>
      </c>
      <c r="K794" s="19" t="str">
        <f aca="false">IF(A794="","",IFERROR(INDEX(Sancoes!$B:$B,MATCH(A794,Sancoes!$A:$A,0))&amp;"","não consta"))</f>
        <v/>
      </c>
      <c r="L794" s="19" t="str">
        <f aca="false">IF(A794="","",IFERROR(INDEX(Eleitoral!$B:$B,MATCH(A794,Eleitoral!$A:$A,0))&amp;"","não consta"))</f>
        <v/>
      </c>
      <c r="M794" s="28" t="str">
        <f aca="false">IF(A794="","",IF(OR(AND(K794&lt;&gt;"",LOWER(K794)&lt;&gt;"não consta"),AND(L794&lt;&gt;"",LOWER(L794)&lt;&gt;"não consta"),IFERROR(INDEX(Empresas!$G:$G,MATCH(A794,Empresas!$A:$A,0))&amp;"","")&lt;&gt;""),"SIM",""))</f>
        <v/>
      </c>
      <c r="N794" s="5"/>
      <c r="O794" s="32" t="str">
        <f aca="false">IF(D794="","",YEAR(D794))</f>
        <v/>
      </c>
      <c r="P794" s="5"/>
    </row>
    <row r="795" customFormat="false" ht="15" hidden="false" customHeight="false" outlineLevel="0" collapsed="false">
      <c r="A795" s="27"/>
      <c r="B795" s="5"/>
      <c r="C795" s="35"/>
      <c r="D795" s="18"/>
      <c r="E795" s="5"/>
      <c r="F795" s="14"/>
      <c r="G795" s="5"/>
      <c r="H795" s="27"/>
      <c r="I795" s="5"/>
      <c r="J795" s="19" t="str">
        <f aca="false">IF(A795="","",IFERROR(INDEX(Empresas!$D:$D,MATCH(A795,Empresas!$A:$A,0))&amp;"","não consta"))</f>
        <v/>
      </c>
      <c r="K795" s="19" t="str">
        <f aca="false">IF(A795="","",IFERROR(INDEX(Sancoes!$B:$B,MATCH(A795,Sancoes!$A:$A,0))&amp;"","não consta"))</f>
        <v/>
      </c>
      <c r="L795" s="19" t="str">
        <f aca="false">IF(A795="","",IFERROR(INDEX(Eleitoral!$B:$B,MATCH(A795,Eleitoral!$A:$A,0))&amp;"","não consta"))</f>
        <v/>
      </c>
      <c r="M795" s="28" t="str">
        <f aca="false">IF(A795="","",IF(OR(AND(K795&lt;&gt;"",LOWER(K795)&lt;&gt;"não consta"),AND(L795&lt;&gt;"",LOWER(L795)&lt;&gt;"não consta"),IFERROR(INDEX(Empresas!$G:$G,MATCH(A795,Empresas!$A:$A,0))&amp;"","")&lt;&gt;""),"SIM",""))</f>
        <v/>
      </c>
      <c r="N795" s="5"/>
      <c r="O795" s="32" t="str">
        <f aca="false">IF(D795="","",YEAR(D795))</f>
        <v/>
      </c>
      <c r="P795" s="5"/>
    </row>
    <row r="796" customFormat="false" ht="15" hidden="false" customHeight="false" outlineLevel="0" collapsed="false">
      <c r="A796" s="27"/>
      <c r="B796" s="5"/>
      <c r="C796" s="35"/>
      <c r="D796" s="18"/>
      <c r="E796" s="5"/>
      <c r="F796" s="14"/>
      <c r="G796" s="5"/>
      <c r="H796" s="27"/>
      <c r="I796" s="5"/>
      <c r="J796" s="19" t="str">
        <f aca="false">IF(A796="","",IFERROR(INDEX(Empresas!$D:$D,MATCH(A796,Empresas!$A:$A,0))&amp;"","não consta"))</f>
        <v/>
      </c>
      <c r="K796" s="19" t="str">
        <f aca="false">IF(A796="","",IFERROR(INDEX(Sancoes!$B:$B,MATCH(A796,Sancoes!$A:$A,0))&amp;"","não consta"))</f>
        <v/>
      </c>
      <c r="L796" s="19" t="str">
        <f aca="false">IF(A796="","",IFERROR(INDEX(Eleitoral!$B:$B,MATCH(A796,Eleitoral!$A:$A,0))&amp;"","não consta"))</f>
        <v/>
      </c>
      <c r="M796" s="28" t="str">
        <f aca="false">IF(A796="","",IF(OR(AND(K796&lt;&gt;"",LOWER(K796)&lt;&gt;"não consta"),AND(L796&lt;&gt;"",LOWER(L796)&lt;&gt;"não consta"),IFERROR(INDEX(Empresas!$G:$G,MATCH(A796,Empresas!$A:$A,0))&amp;"","")&lt;&gt;""),"SIM",""))</f>
        <v/>
      </c>
      <c r="N796" s="5"/>
      <c r="O796" s="32" t="str">
        <f aca="false">IF(D796="","",YEAR(D796))</f>
        <v/>
      </c>
      <c r="P796" s="5"/>
    </row>
    <row r="797" customFormat="false" ht="15" hidden="false" customHeight="false" outlineLevel="0" collapsed="false">
      <c r="A797" s="27"/>
      <c r="B797" s="5"/>
      <c r="C797" s="35"/>
      <c r="D797" s="18"/>
      <c r="E797" s="5"/>
      <c r="F797" s="14"/>
      <c r="G797" s="5"/>
      <c r="H797" s="27"/>
      <c r="I797" s="5"/>
      <c r="J797" s="19" t="str">
        <f aca="false">IF(A797="","",IFERROR(INDEX(Empresas!$D:$D,MATCH(A797,Empresas!$A:$A,0))&amp;"","não consta"))</f>
        <v/>
      </c>
      <c r="K797" s="19" t="str">
        <f aca="false">IF(A797="","",IFERROR(INDEX(Sancoes!$B:$B,MATCH(A797,Sancoes!$A:$A,0))&amp;"","não consta"))</f>
        <v/>
      </c>
      <c r="L797" s="19" t="str">
        <f aca="false">IF(A797="","",IFERROR(INDEX(Eleitoral!$B:$B,MATCH(A797,Eleitoral!$A:$A,0))&amp;"","não consta"))</f>
        <v/>
      </c>
      <c r="M797" s="28" t="str">
        <f aca="false">IF(A797="","",IF(OR(AND(K797&lt;&gt;"",LOWER(K797)&lt;&gt;"não consta"),AND(L797&lt;&gt;"",LOWER(L797)&lt;&gt;"não consta"),IFERROR(INDEX(Empresas!$G:$G,MATCH(A797,Empresas!$A:$A,0))&amp;"","")&lt;&gt;""),"SIM",""))</f>
        <v/>
      </c>
      <c r="N797" s="5"/>
      <c r="O797" s="32" t="str">
        <f aca="false">IF(D797="","",YEAR(D797))</f>
        <v/>
      </c>
      <c r="P797" s="5"/>
    </row>
    <row r="798" customFormat="false" ht="15" hidden="false" customHeight="false" outlineLevel="0" collapsed="false">
      <c r="A798" s="27"/>
      <c r="B798" s="5"/>
      <c r="C798" s="35"/>
      <c r="D798" s="18"/>
      <c r="E798" s="5"/>
      <c r="F798" s="14"/>
      <c r="G798" s="5"/>
      <c r="H798" s="27"/>
      <c r="I798" s="5"/>
      <c r="J798" s="19" t="str">
        <f aca="false">IF(A798="","",IFERROR(INDEX(Empresas!$D:$D,MATCH(A798,Empresas!$A:$A,0))&amp;"","não consta"))</f>
        <v/>
      </c>
      <c r="K798" s="19" t="str">
        <f aca="false">IF(A798="","",IFERROR(INDEX(Sancoes!$B:$B,MATCH(A798,Sancoes!$A:$A,0))&amp;"","não consta"))</f>
        <v/>
      </c>
      <c r="L798" s="19" t="str">
        <f aca="false">IF(A798="","",IFERROR(INDEX(Eleitoral!$B:$B,MATCH(A798,Eleitoral!$A:$A,0))&amp;"","não consta"))</f>
        <v/>
      </c>
      <c r="M798" s="28" t="str">
        <f aca="false">IF(A798="","",IF(OR(AND(K798&lt;&gt;"",LOWER(K798)&lt;&gt;"não consta"),AND(L798&lt;&gt;"",LOWER(L798)&lt;&gt;"não consta"),IFERROR(INDEX(Empresas!$G:$G,MATCH(A798,Empresas!$A:$A,0))&amp;"","")&lt;&gt;""),"SIM",""))</f>
        <v/>
      </c>
      <c r="N798" s="5"/>
      <c r="O798" s="32" t="str">
        <f aca="false">IF(D798="","",YEAR(D798))</f>
        <v/>
      </c>
      <c r="P798" s="5"/>
    </row>
    <row r="799" customFormat="false" ht="15" hidden="false" customHeight="false" outlineLevel="0" collapsed="false">
      <c r="A799" s="27"/>
      <c r="B799" s="5"/>
      <c r="C799" s="35"/>
      <c r="D799" s="18"/>
      <c r="E799" s="5"/>
      <c r="F799" s="14"/>
      <c r="G799" s="5"/>
      <c r="H799" s="27"/>
      <c r="I799" s="5"/>
      <c r="J799" s="19" t="str">
        <f aca="false">IF(A799="","",IFERROR(INDEX(Empresas!$D:$D,MATCH(A799,Empresas!$A:$A,0))&amp;"","não consta"))</f>
        <v/>
      </c>
      <c r="K799" s="19" t="str">
        <f aca="false">IF(A799="","",IFERROR(INDEX(Sancoes!$B:$B,MATCH(A799,Sancoes!$A:$A,0))&amp;"","não consta"))</f>
        <v/>
      </c>
      <c r="L799" s="19" t="str">
        <f aca="false">IF(A799="","",IFERROR(INDEX(Eleitoral!$B:$B,MATCH(A799,Eleitoral!$A:$A,0))&amp;"","não consta"))</f>
        <v/>
      </c>
      <c r="M799" s="28" t="str">
        <f aca="false">IF(A799="","",IF(OR(AND(K799&lt;&gt;"",LOWER(K799)&lt;&gt;"não consta"),AND(L799&lt;&gt;"",LOWER(L799)&lt;&gt;"não consta"),IFERROR(INDEX(Empresas!$G:$G,MATCH(A799,Empresas!$A:$A,0))&amp;"","")&lt;&gt;""),"SIM",""))</f>
        <v/>
      </c>
      <c r="N799" s="5"/>
      <c r="O799" s="32" t="str">
        <f aca="false">IF(D799="","",YEAR(D799))</f>
        <v/>
      </c>
      <c r="P799" s="5"/>
    </row>
    <row r="800" customFormat="false" ht="15" hidden="false" customHeight="false" outlineLevel="0" collapsed="false">
      <c r="A800" s="27"/>
      <c r="B800" s="5"/>
      <c r="C800" s="35"/>
      <c r="D800" s="18"/>
      <c r="E800" s="5"/>
      <c r="F800" s="14"/>
      <c r="G800" s="5"/>
      <c r="H800" s="27"/>
      <c r="I800" s="5"/>
      <c r="J800" s="19" t="str">
        <f aca="false">IF(A800="","",IFERROR(INDEX(Empresas!$D:$D,MATCH(A800,Empresas!$A:$A,0))&amp;"","não consta"))</f>
        <v/>
      </c>
      <c r="K800" s="19" t="str">
        <f aca="false">IF(A800="","",IFERROR(INDEX(Sancoes!$B:$B,MATCH(A800,Sancoes!$A:$A,0))&amp;"","não consta"))</f>
        <v/>
      </c>
      <c r="L800" s="19" t="str">
        <f aca="false">IF(A800="","",IFERROR(INDEX(Eleitoral!$B:$B,MATCH(A800,Eleitoral!$A:$A,0))&amp;"","não consta"))</f>
        <v/>
      </c>
      <c r="M800" s="28" t="str">
        <f aca="false">IF(A800="","",IF(OR(AND(K800&lt;&gt;"",LOWER(K800)&lt;&gt;"não consta"),AND(L800&lt;&gt;"",LOWER(L800)&lt;&gt;"não consta"),IFERROR(INDEX(Empresas!$G:$G,MATCH(A800,Empresas!$A:$A,0))&amp;"","")&lt;&gt;""),"SIM",""))</f>
        <v/>
      </c>
      <c r="N800" s="5"/>
      <c r="O800" s="32" t="str">
        <f aca="false">IF(D800="","",YEAR(D800))</f>
        <v/>
      </c>
      <c r="P800" s="5"/>
    </row>
    <row r="801" customFormat="false" ht="15" hidden="false" customHeight="false" outlineLevel="0" collapsed="false">
      <c r="A801" s="27"/>
      <c r="B801" s="5"/>
      <c r="C801" s="35"/>
      <c r="D801" s="18"/>
      <c r="E801" s="5"/>
      <c r="F801" s="14"/>
      <c r="G801" s="5"/>
      <c r="H801" s="27"/>
      <c r="I801" s="5"/>
      <c r="J801" s="19" t="str">
        <f aca="false">IF(A801="","",IFERROR(INDEX(Empresas!$D:$D,MATCH(A801,Empresas!$A:$A,0))&amp;"","não consta"))</f>
        <v/>
      </c>
      <c r="K801" s="19" t="str">
        <f aca="false">IF(A801="","",IFERROR(INDEX(Sancoes!$B:$B,MATCH(A801,Sancoes!$A:$A,0))&amp;"","não consta"))</f>
        <v/>
      </c>
      <c r="L801" s="19" t="str">
        <f aca="false">IF(A801="","",IFERROR(INDEX(Eleitoral!$B:$B,MATCH(A801,Eleitoral!$A:$A,0))&amp;"","não consta"))</f>
        <v/>
      </c>
      <c r="M801" s="28" t="str">
        <f aca="false">IF(A801="","",IF(OR(AND(K801&lt;&gt;"",LOWER(K801)&lt;&gt;"não consta"),AND(L801&lt;&gt;"",LOWER(L801)&lt;&gt;"não consta"),IFERROR(INDEX(Empresas!$G:$G,MATCH(A801,Empresas!$A:$A,0))&amp;"","")&lt;&gt;""),"SIM",""))</f>
        <v/>
      </c>
      <c r="N801" s="5"/>
      <c r="O801" s="32" t="str">
        <f aca="false">IF(D801="","",YEAR(D801))</f>
        <v/>
      </c>
      <c r="P801" s="5"/>
    </row>
    <row r="802" customFormat="false" ht="15" hidden="false" customHeight="false" outlineLevel="0" collapsed="false">
      <c r="A802" s="27"/>
      <c r="B802" s="5"/>
      <c r="C802" s="35"/>
      <c r="D802" s="18"/>
      <c r="E802" s="5"/>
      <c r="F802" s="14"/>
      <c r="G802" s="5"/>
      <c r="H802" s="27"/>
      <c r="I802" s="5"/>
      <c r="J802" s="19" t="str">
        <f aca="false">IF(A802="","",IFERROR(INDEX(Empresas!$D:$D,MATCH(A802,Empresas!$A:$A,0))&amp;"","não consta"))</f>
        <v/>
      </c>
      <c r="K802" s="19" t="str">
        <f aca="false">IF(A802="","",IFERROR(INDEX(Sancoes!$B:$B,MATCH(A802,Sancoes!$A:$A,0))&amp;"","não consta"))</f>
        <v/>
      </c>
      <c r="L802" s="19" t="str">
        <f aca="false">IF(A802="","",IFERROR(INDEX(Eleitoral!$B:$B,MATCH(A802,Eleitoral!$A:$A,0))&amp;"","não consta"))</f>
        <v/>
      </c>
      <c r="M802" s="28" t="str">
        <f aca="false">IF(A802="","",IF(OR(AND(K802&lt;&gt;"",LOWER(K802)&lt;&gt;"não consta"),AND(L802&lt;&gt;"",LOWER(L802)&lt;&gt;"não consta"),IFERROR(INDEX(Empresas!$G:$G,MATCH(A802,Empresas!$A:$A,0))&amp;"","")&lt;&gt;""),"SIM",""))</f>
        <v/>
      </c>
      <c r="N802" s="5"/>
      <c r="O802" s="32" t="str">
        <f aca="false">IF(D802="","",YEAR(D802))</f>
        <v/>
      </c>
      <c r="P802" s="5"/>
    </row>
    <row r="803" customFormat="false" ht="15" hidden="false" customHeight="false" outlineLevel="0" collapsed="false">
      <c r="A803" s="27"/>
      <c r="B803" s="5"/>
      <c r="C803" s="35"/>
      <c r="D803" s="18"/>
      <c r="E803" s="5"/>
      <c r="F803" s="14"/>
      <c r="G803" s="5"/>
      <c r="H803" s="27"/>
      <c r="I803" s="5"/>
      <c r="J803" s="19" t="str">
        <f aca="false">IF(A803="","",IFERROR(INDEX(Empresas!$D:$D,MATCH(A803,Empresas!$A:$A,0))&amp;"","não consta"))</f>
        <v/>
      </c>
      <c r="K803" s="19" t="str">
        <f aca="false">IF(A803="","",IFERROR(INDEX(Sancoes!$B:$B,MATCH(A803,Sancoes!$A:$A,0))&amp;"","não consta"))</f>
        <v/>
      </c>
      <c r="L803" s="19" t="str">
        <f aca="false">IF(A803="","",IFERROR(INDEX(Eleitoral!$B:$B,MATCH(A803,Eleitoral!$A:$A,0))&amp;"","não consta"))</f>
        <v/>
      </c>
      <c r="M803" s="28" t="str">
        <f aca="false">IF(A803="","",IF(OR(AND(K803&lt;&gt;"",LOWER(K803)&lt;&gt;"não consta"),AND(L803&lt;&gt;"",LOWER(L803)&lt;&gt;"não consta"),IFERROR(INDEX(Empresas!$G:$G,MATCH(A803,Empresas!$A:$A,0))&amp;"","")&lt;&gt;""),"SIM",""))</f>
        <v/>
      </c>
      <c r="N803" s="5"/>
      <c r="O803" s="32" t="str">
        <f aca="false">IF(D803="","",YEAR(D803))</f>
        <v/>
      </c>
      <c r="P803" s="5"/>
    </row>
    <row r="804" customFormat="false" ht="15" hidden="false" customHeight="false" outlineLevel="0" collapsed="false">
      <c r="A804" s="27"/>
      <c r="B804" s="5"/>
      <c r="C804" s="35"/>
      <c r="D804" s="18"/>
      <c r="E804" s="5"/>
      <c r="F804" s="14"/>
      <c r="G804" s="5"/>
      <c r="H804" s="27"/>
      <c r="I804" s="5"/>
      <c r="J804" s="19" t="str">
        <f aca="false">IF(A804="","",IFERROR(INDEX(Empresas!$D:$D,MATCH(A804,Empresas!$A:$A,0))&amp;"","não consta"))</f>
        <v/>
      </c>
      <c r="K804" s="19" t="str">
        <f aca="false">IF(A804="","",IFERROR(INDEX(Sancoes!$B:$B,MATCH(A804,Sancoes!$A:$A,0))&amp;"","não consta"))</f>
        <v/>
      </c>
      <c r="L804" s="19" t="str">
        <f aca="false">IF(A804="","",IFERROR(INDEX(Eleitoral!$B:$B,MATCH(A804,Eleitoral!$A:$A,0))&amp;"","não consta"))</f>
        <v/>
      </c>
      <c r="M804" s="28" t="str">
        <f aca="false">IF(A804="","",IF(OR(AND(K804&lt;&gt;"",LOWER(K804)&lt;&gt;"não consta"),AND(L804&lt;&gt;"",LOWER(L804)&lt;&gt;"não consta"),IFERROR(INDEX(Empresas!$G:$G,MATCH(A804,Empresas!$A:$A,0))&amp;"","")&lt;&gt;""),"SIM",""))</f>
        <v/>
      </c>
      <c r="N804" s="5"/>
      <c r="O804" s="32" t="str">
        <f aca="false">IF(D804="","",YEAR(D804))</f>
        <v/>
      </c>
      <c r="P804" s="5"/>
    </row>
    <row r="805" customFormat="false" ht="15" hidden="false" customHeight="false" outlineLevel="0" collapsed="false">
      <c r="A805" s="27"/>
      <c r="B805" s="5"/>
      <c r="C805" s="35"/>
      <c r="D805" s="18"/>
      <c r="E805" s="5"/>
      <c r="F805" s="14"/>
      <c r="G805" s="5"/>
      <c r="H805" s="27"/>
      <c r="I805" s="5"/>
      <c r="J805" s="19" t="str">
        <f aca="false">IF(A805="","",IFERROR(INDEX(Empresas!$D:$D,MATCH(A805,Empresas!$A:$A,0))&amp;"","não consta"))</f>
        <v/>
      </c>
      <c r="K805" s="19" t="str">
        <f aca="false">IF(A805="","",IFERROR(INDEX(Sancoes!$B:$B,MATCH(A805,Sancoes!$A:$A,0))&amp;"","não consta"))</f>
        <v/>
      </c>
      <c r="L805" s="19" t="str">
        <f aca="false">IF(A805="","",IFERROR(INDEX(Eleitoral!$B:$B,MATCH(A805,Eleitoral!$A:$A,0))&amp;"","não consta"))</f>
        <v/>
      </c>
      <c r="M805" s="28" t="str">
        <f aca="false">IF(A805="","",IF(OR(AND(K805&lt;&gt;"",LOWER(K805)&lt;&gt;"não consta"),AND(L805&lt;&gt;"",LOWER(L805)&lt;&gt;"não consta"),IFERROR(INDEX(Empresas!$G:$G,MATCH(A805,Empresas!$A:$A,0))&amp;"","")&lt;&gt;""),"SIM",""))</f>
        <v/>
      </c>
      <c r="N805" s="5"/>
      <c r="O805" s="32" t="str">
        <f aca="false">IF(D805="","",YEAR(D805))</f>
        <v/>
      </c>
      <c r="P805" s="5"/>
    </row>
    <row r="806" customFormat="false" ht="15" hidden="false" customHeight="false" outlineLevel="0" collapsed="false">
      <c r="A806" s="27"/>
      <c r="B806" s="5"/>
      <c r="C806" s="35"/>
      <c r="D806" s="18"/>
      <c r="E806" s="5"/>
      <c r="F806" s="14"/>
      <c r="G806" s="5"/>
      <c r="H806" s="27"/>
      <c r="I806" s="5"/>
      <c r="J806" s="19" t="str">
        <f aca="false">IF(A806="","",IFERROR(INDEX(Empresas!$D:$D,MATCH(A806,Empresas!$A:$A,0))&amp;"","não consta"))</f>
        <v/>
      </c>
      <c r="K806" s="19" t="str">
        <f aca="false">IF(A806="","",IFERROR(INDEX(Sancoes!$B:$B,MATCH(A806,Sancoes!$A:$A,0))&amp;"","não consta"))</f>
        <v/>
      </c>
      <c r="L806" s="19" t="str">
        <f aca="false">IF(A806="","",IFERROR(INDEX(Eleitoral!$B:$B,MATCH(A806,Eleitoral!$A:$A,0))&amp;"","não consta"))</f>
        <v/>
      </c>
      <c r="M806" s="28" t="str">
        <f aca="false">IF(A806="","",IF(OR(AND(K806&lt;&gt;"",LOWER(K806)&lt;&gt;"não consta"),AND(L806&lt;&gt;"",LOWER(L806)&lt;&gt;"não consta"),IFERROR(INDEX(Empresas!$G:$G,MATCH(A806,Empresas!$A:$A,0))&amp;"","")&lt;&gt;""),"SIM",""))</f>
        <v/>
      </c>
      <c r="N806" s="5"/>
      <c r="O806" s="32" t="str">
        <f aca="false">IF(D806="","",YEAR(D806))</f>
        <v/>
      </c>
      <c r="P806" s="5"/>
    </row>
    <row r="807" customFormat="false" ht="15" hidden="false" customHeight="false" outlineLevel="0" collapsed="false">
      <c r="A807" s="27"/>
      <c r="B807" s="5"/>
      <c r="C807" s="35"/>
      <c r="D807" s="18"/>
      <c r="E807" s="5"/>
      <c r="F807" s="14"/>
      <c r="G807" s="5"/>
      <c r="H807" s="27"/>
      <c r="I807" s="5"/>
      <c r="J807" s="19" t="str">
        <f aca="false">IF(A807="","",IFERROR(INDEX(Empresas!$D:$D,MATCH(A807,Empresas!$A:$A,0))&amp;"","não consta"))</f>
        <v/>
      </c>
      <c r="K807" s="19" t="str">
        <f aca="false">IF(A807="","",IFERROR(INDEX(Sancoes!$B:$B,MATCH(A807,Sancoes!$A:$A,0))&amp;"","não consta"))</f>
        <v/>
      </c>
      <c r="L807" s="19" t="str">
        <f aca="false">IF(A807="","",IFERROR(INDEX(Eleitoral!$B:$B,MATCH(A807,Eleitoral!$A:$A,0))&amp;"","não consta"))</f>
        <v/>
      </c>
      <c r="M807" s="28" t="str">
        <f aca="false">IF(A807="","",IF(OR(AND(K807&lt;&gt;"",LOWER(K807)&lt;&gt;"não consta"),AND(L807&lt;&gt;"",LOWER(L807)&lt;&gt;"não consta"),IFERROR(INDEX(Empresas!$G:$G,MATCH(A807,Empresas!$A:$A,0))&amp;"","")&lt;&gt;""),"SIM",""))</f>
        <v/>
      </c>
      <c r="N807" s="5"/>
      <c r="O807" s="32" t="str">
        <f aca="false">IF(D807="","",YEAR(D807))</f>
        <v/>
      </c>
      <c r="P807" s="5"/>
    </row>
    <row r="808" customFormat="false" ht="15" hidden="false" customHeight="false" outlineLevel="0" collapsed="false">
      <c r="A808" s="27"/>
      <c r="B808" s="5"/>
      <c r="C808" s="35"/>
      <c r="D808" s="18"/>
      <c r="E808" s="5"/>
      <c r="F808" s="14"/>
      <c r="G808" s="5"/>
      <c r="H808" s="27"/>
      <c r="I808" s="5"/>
      <c r="J808" s="19" t="str">
        <f aca="false">IF(A808="","",IFERROR(INDEX(Empresas!$D:$D,MATCH(A808,Empresas!$A:$A,0))&amp;"","não consta"))</f>
        <v/>
      </c>
      <c r="K808" s="19" t="str">
        <f aca="false">IF(A808="","",IFERROR(INDEX(Sancoes!$B:$B,MATCH(A808,Sancoes!$A:$A,0))&amp;"","não consta"))</f>
        <v/>
      </c>
      <c r="L808" s="19" t="str">
        <f aca="false">IF(A808="","",IFERROR(INDEX(Eleitoral!$B:$B,MATCH(A808,Eleitoral!$A:$A,0))&amp;"","não consta"))</f>
        <v/>
      </c>
      <c r="M808" s="28" t="str">
        <f aca="false">IF(A808="","",IF(OR(AND(K808&lt;&gt;"",LOWER(K808)&lt;&gt;"não consta"),AND(L808&lt;&gt;"",LOWER(L808)&lt;&gt;"não consta"),IFERROR(INDEX(Empresas!$G:$G,MATCH(A808,Empresas!$A:$A,0))&amp;"","")&lt;&gt;""),"SIM",""))</f>
        <v/>
      </c>
      <c r="N808" s="5"/>
      <c r="O808" s="32" t="str">
        <f aca="false">IF(D808="","",YEAR(D808))</f>
        <v/>
      </c>
      <c r="P808" s="5"/>
    </row>
    <row r="809" customFormat="false" ht="15" hidden="false" customHeight="false" outlineLevel="0" collapsed="false">
      <c r="A809" s="27"/>
      <c r="B809" s="5"/>
      <c r="C809" s="35"/>
      <c r="D809" s="18"/>
      <c r="E809" s="5"/>
      <c r="F809" s="14"/>
      <c r="G809" s="5"/>
      <c r="H809" s="27"/>
      <c r="I809" s="5"/>
      <c r="J809" s="19" t="str">
        <f aca="false">IF(A809="","",IFERROR(INDEX(Empresas!$D:$D,MATCH(A809,Empresas!$A:$A,0))&amp;"","não consta"))</f>
        <v/>
      </c>
      <c r="K809" s="19" t="str">
        <f aca="false">IF(A809="","",IFERROR(INDEX(Sancoes!$B:$B,MATCH(A809,Sancoes!$A:$A,0))&amp;"","não consta"))</f>
        <v/>
      </c>
      <c r="L809" s="19" t="str">
        <f aca="false">IF(A809="","",IFERROR(INDEX(Eleitoral!$B:$B,MATCH(A809,Eleitoral!$A:$A,0))&amp;"","não consta"))</f>
        <v/>
      </c>
      <c r="M809" s="28" t="str">
        <f aca="false">IF(A809="","",IF(OR(AND(K809&lt;&gt;"",LOWER(K809)&lt;&gt;"não consta"),AND(L809&lt;&gt;"",LOWER(L809)&lt;&gt;"não consta"),IFERROR(INDEX(Empresas!$G:$G,MATCH(A809,Empresas!$A:$A,0))&amp;"","")&lt;&gt;""),"SIM",""))</f>
        <v/>
      </c>
      <c r="N809" s="5"/>
      <c r="O809" s="32" t="str">
        <f aca="false">IF(D809="","",YEAR(D809))</f>
        <v/>
      </c>
      <c r="P809" s="5"/>
    </row>
    <row r="810" customFormat="false" ht="15" hidden="false" customHeight="false" outlineLevel="0" collapsed="false">
      <c r="A810" s="27"/>
      <c r="B810" s="5"/>
      <c r="C810" s="35"/>
      <c r="D810" s="18"/>
      <c r="E810" s="5"/>
      <c r="F810" s="14"/>
      <c r="G810" s="5"/>
      <c r="H810" s="27"/>
      <c r="I810" s="5"/>
      <c r="J810" s="19" t="str">
        <f aca="false">IF(A810="","",IFERROR(INDEX(Empresas!$D:$D,MATCH(A810,Empresas!$A:$A,0))&amp;"","não consta"))</f>
        <v/>
      </c>
      <c r="K810" s="19" t="str">
        <f aca="false">IF(A810="","",IFERROR(INDEX(Sancoes!$B:$B,MATCH(A810,Sancoes!$A:$A,0))&amp;"","não consta"))</f>
        <v/>
      </c>
      <c r="L810" s="19" t="str">
        <f aca="false">IF(A810="","",IFERROR(INDEX(Eleitoral!$B:$B,MATCH(A810,Eleitoral!$A:$A,0))&amp;"","não consta"))</f>
        <v/>
      </c>
      <c r="M810" s="28" t="str">
        <f aca="false">IF(A810="","",IF(OR(AND(K810&lt;&gt;"",LOWER(K810)&lt;&gt;"não consta"),AND(L810&lt;&gt;"",LOWER(L810)&lt;&gt;"não consta"),IFERROR(INDEX(Empresas!$G:$G,MATCH(A810,Empresas!$A:$A,0))&amp;"","")&lt;&gt;""),"SIM",""))</f>
        <v/>
      </c>
      <c r="N810" s="5"/>
      <c r="O810" s="32" t="str">
        <f aca="false">IF(D810="","",YEAR(D810))</f>
        <v/>
      </c>
      <c r="P810" s="5"/>
    </row>
    <row r="811" customFormat="false" ht="15" hidden="false" customHeight="false" outlineLevel="0" collapsed="false">
      <c r="A811" s="27"/>
      <c r="B811" s="5"/>
      <c r="C811" s="35"/>
      <c r="D811" s="18"/>
      <c r="E811" s="5"/>
      <c r="F811" s="14"/>
      <c r="G811" s="5"/>
      <c r="H811" s="27"/>
      <c r="I811" s="5"/>
      <c r="J811" s="19" t="str">
        <f aca="false">IF(A811="","",IFERROR(INDEX(Empresas!$D:$D,MATCH(A811,Empresas!$A:$A,0))&amp;"","não consta"))</f>
        <v/>
      </c>
      <c r="K811" s="19" t="str">
        <f aca="false">IF(A811="","",IFERROR(INDEX(Sancoes!$B:$B,MATCH(A811,Sancoes!$A:$A,0))&amp;"","não consta"))</f>
        <v/>
      </c>
      <c r="L811" s="19" t="str">
        <f aca="false">IF(A811="","",IFERROR(INDEX(Eleitoral!$B:$B,MATCH(A811,Eleitoral!$A:$A,0))&amp;"","não consta"))</f>
        <v/>
      </c>
      <c r="M811" s="28" t="str">
        <f aca="false">IF(A811="","",IF(OR(AND(K811&lt;&gt;"",LOWER(K811)&lt;&gt;"não consta"),AND(L811&lt;&gt;"",LOWER(L811)&lt;&gt;"não consta"),IFERROR(INDEX(Empresas!$G:$G,MATCH(A811,Empresas!$A:$A,0))&amp;"","")&lt;&gt;""),"SIM",""))</f>
        <v/>
      </c>
      <c r="N811" s="5"/>
      <c r="O811" s="32" t="str">
        <f aca="false">IF(D811="","",YEAR(D811))</f>
        <v/>
      </c>
      <c r="P811" s="5"/>
    </row>
    <row r="812" customFormat="false" ht="15" hidden="false" customHeight="false" outlineLevel="0" collapsed="false">
      <c r="A812" s="27"/>
      <c r="B812" s="5"/>
      <c r="C812" s="35"/>
      <c r="D812" s="18"/>
      <c r="E812" s="5"/>
      <c r="F812" s="14"/>
      <c r="G812" s="5"/>
      <c r="H812" s="27"/>
      <c r="I812" s="5"/>
      <c r="J812" s="19" t="str">
        <f aca="false">IF(A812="","",IFERROR(INDEX(Empresas!$D:$D,MATCH(A812,Empresas!$A:$A,0))&amp;"","não consta"))</f>
        <v/>
      </c>
      <c r="K812" s="19" t="str">
        <f aca="false">IF(A812="","",IFERROR(INDEX(Sancoes!$B:$B,MATCH(A812,Sancoes!$A:$A,0))&amp;"","não consta"))</f>
        <v/>
      </c>
      <c r="L812" s="19" t="str">
        <f aca="false">IF(A812="","",IFERROR(INDEX(Eleitoral!$B:$B,MATCH(A812,Eleitoral!$A:$A,0))&amp;"","não consta"))</f>
        <v/>
      </c>
      <c r="M812" s="28" t="str">
        <f aca="false">IF(A812="","",IF(OR(AND(K812&lt;&gt;"",LOWER(K812)&lt;&gt;"não consta"),AND(L812&lt;&gt;"",LOWER(L812)&lt;&gt;"não consta"),IFERROR(INDEX(Empresas!$G:$G,MATCH(A812,Empresas!$A:$A,0))&amp;"","")&lt;&gt;""),"SIM",""))</f>
        <v/>
      </c>
      <c r="N812" s="5"/>
      <c r="O812" s="32" t="str">
        <f aca="false">IF(D812="","",YEAR(D812))</f>
        <v/>
      </c>
      <c r="P812" s="5"/>
    </row>
    <row r="813" customFormat="false" ht="15" hidden="false" customHeight="false" outlineLevel="0" collapsed="false">
      <c r="A813" s="27"/>
      <c r="B813" s="5"/>
      <c r="C813" s="35"/>
      <c r="D813" s="18"/>
      <c r="E813" s="5"/>
      <c r="F813" s="14"/>
      <c r="G813" s="5"/>
      <c r="H813" s="27"/>
      <c r="I813" s="5"/>
      <c r="J813" s="19" t="str">
        <f aca="false">IF(A813="","",IFERROR(INDEX(Empresas!$D:$D,MATCH(A813,Empresas!$A:$A,0))&amp;"","não consta"))</f>
        <v/>
      </c>
      <c r="K813" s="19" t="str">
        <f aca="false">IF(A813="","",IFERROR(INDEX(Sancoes!$B:$B,MATCH(A813,Sancoes!$A:$A,0))&amp;"","não consta"))</f>
        <v/>
      </c>
      <c r="L813" s="19" t="str">
        <f aca="false">IF(A813="","",IFERROR(INDEX(Eleitoral!$B:$B,MATCH(A813,Eleitoral!$A:$A,0))&amp;"","não consta"))</f>
        <v/>
      </c>
      <c r="M813" s="28" t="str">
        <f aca="false">IF(A813="","",IF(OR(AND(K813&lt;&gt;"",LOWER(K813)&lt;&gt;"não consta"),AND(L813&lt;&gt;"",LOWER(L813)&lt;&gt;"não consta"),IFERROR(INDEX(Empresas!$G:$G,MATCH(A813,Empresas!$A:$A,0))&amp;"","")&lt;&gt;""),"SIM",""))</f>
        <v/>
      </c>
      <c r="N813" s="5"/>
      <c r="O813" s="32" t="str">
        <f aca="false">IF(D813="","",YEAR(D813))</f>
        <v/>
      </c>
      <c r="P813" s="5"/>
    </row>
    <row r="814" customFormat="false" ht="15" hidden="false" customHeight="false" outlineLevel="0" collapsed="false">
      <c r="A814" s="27"/>
      <c r="B814" s="5"/>
      <c r="C814" s="35"/>
      <c r="D814" s="18"/>
      <c r="E814" s="5"/>
      <c r="F814" s="14"/>
      <c r="G814" s="5"/>
      <c r="H814" s="27"/>
      <c r="I814" s="5"/>
      <c r="J814" s="19" t="str">
        <f aca="false">IF(A814="","",IFERROR(INDEX(Empresas!$D:$D,MATCH(A814,Empresas!$A:$A,0))&amp;"","não consta"))</f>
        <v/>
      </c>
      <c r="K814" s="19" t="str">
        <f aca="false">IF(A814="","",IFERROR(INDEX(Sancoes!$B:$B,MATCH(A814,Sancoes!$A:$A,0))&amp;"","não consta"))</f>
        <v/>
      </c>
      <c r="L814" s="19" t="str">
        <f aca="false">IF(A814="","",IFERROR(INDEX(Eleitoral!$B:$B,MATCH(A814,Eleitoral!$A:$A,0))&amp;"","não consta"))</f>
        <v/>
      </c>
      <c r="M814" s="28" t="str">
        <f aca="false">IF(A814="","",IF(OR(AND(K814&lt;&gt;"",LOWER(K814)&lt;&gt;"não consta"),AND(L814&lt;&gt;"",LOWER(L814)&lt;&gt;"não consta"),IFERROR(INDEX(Empresas!$G:$G,MATCH(A814,Empresas!$A:$A,0))&amp;"","")&lt;&gt;""),"SIM",""))</f>
        <v/>
      </c>
      <c r="N814" s="5"/>
      <c r="O814" s="32" t="str">
        <f aca="false">IF(D814="","",YEAR(D814))</f>
        <v/>
      </c>
      <c r="P814" s="5"/>
    </row>
    <row r="815" customFormat="false" ht="15" hidden="false" customHeight="false" outlineLevel="0" collapsed="false">
      <c r="A815" s="27"/>
      <c r="B815" s="5"/>
      <c r="C815" s="35"/>
      <c r="D815" s="18"/>
      <c r="E815" s="5"/>
      <c r="F815" s="14"/>
      <c r="G815" s="5"/>
      <c r="H815" s="27"/>
      <c r="I815" s="5"/>
      <c r="J815" s="19" t="str">
        <f aca="false">IF(A815="","",IFERROR(INDEX(Empresas!$D:$D,MATCH(A815,Empresas!$A:$A,0))&amp;"","não consta"))</f>
        <v/>
      </c>
      <c r="K815" s="19" t="str">
        <f aca="false">IF(A815="","",IFERROR(INDEX(Sancoes!$B:$B,MATCH(A815,Sancoes!$A:$A,0))&amp;"","não consta"))</f>
        <v/>
      </c>
      <c r="L815" s="19" t="str">
        <f aca="false">IF(A815="","",IFERROR(INDEX(Eleitoral!$B:$B,MATCH(A815,Eleitoral!$A:$A,0))&amp;"","não consta"))</f>
        <v/>
      </c>
      <c r="M815" s="28" t="str">
        <f aca="false">IF(A815="","",IF(OR(AND(K815&lt;&gt;"",LOWER(K815)&lt;&gt;"não consta"),AND(L815&lt;&gt;"",LOWER(L815)&lt;&gt;"não consta"),IFERROR(INDEX(Empresas!$G:$G,MATCH(A815,Empresas!$A:$A,0))&amp;"","")&lt;&gt;""),"SIM",""))</f>
        <v/>
      </c>
      <c r="N815" s="5"/>
      <c r="O815" s="32" t="str">
        <f aca="false">IF(D815="","",YEAR(D815))</f>
        <v/>
      </c>
      <c r="P815" s="5"/>
    </row>
    <row r="816" customFormat="false" ht="15" hidden="false" customHeight="false" outlineLevel="0" collapsed="false">
      <c r="A816" s="27"/>
      <c r="B816" s="5"/>
      <c r="C816" s="35"/>
      <c r="D816" s="18"/>
      <c r="E816" s="5"/>
      <c r="F816" s="14"/>
      <c r="G816" s="5"/>
      <c r="H816" s="27"/>
      <c r="I816" s="5"/>
      <c r="J816" s="19" t="str">
        <f aca="false">IF(A816="","",IFERROR(INDEX(Empresas!$D:$D,MATCH(A816,Empresas!$A:$A,0))&amp;"","não consta"))</f>
        <v/>
      </c>
      <c r="K816" s="19" t="str">
        <f aca="false">IF(A816="","",IFERROR(INDEX(Sancoes!$B:$B,MATCH(A816,Sancoes!$A:$A,0))&amp;"","não consta"))</f>
        <v/>
      </c>
      <c r="L816" s="19" t="str">
        <f aca="false">IF(A816="","",IFERROR(INDEX(Eleitoral!$B:$B,MATCH(A816,Eleitoral!$A:$A,0))&amp;"","não consta"))</f>
        <v/>
      </c>
      <c r="M816" s="28" t="str">
        <f aca="false">IF(A816="","",IF(OR(AND(K816&lt;&gt;"",LOWER(K816)&lt;&gt;"não consta"),AND(L816&lt;&gt;"",LOWER(L816)&lt;&gt;"não consta"),IFERROR(INDEX(Empresas!$G:$G,MATCH(A816,Empresas!$A:$A,0))&amp;"","")&lt;&gt;""),"SIM",""))</f>
        <v/>
      </c>
      <c r="N816" s="5"/>
      <c r="O816" s="32" t="str">
        <f aca="false">IF(D816="","",YEAR(D816))</f>
        <v/>
      </c>
      <c r="P816" s="5"/>
    </row>
    <row r="817" customFormat="false" ht="15" hidden="false" customHeight="false" outlineLevel="0" collapsed="false">
      <c r="A817" s="27"/>
      <c r="B817" s="5"/>
      <c r="C817" s="35"/>
      <c r="D817" s="18"/>
      <c r="E817" s="5"/>
      <c r="F817" s="14"/>
      <c r="G817" s="5"/>
      <c r="H817" s="27"/>
      <c r="I817" s="5"/>
      <c r="J817" s="19" t="str">
        <f aca="false">IF(A817="","",IFERROR(INDEX(Empresas!$D:$D,MATCH(A817,Empresas!$A:$A,0))&amp;"","não consta"))</f>
        <v/>
      </c>
      <c r="K817" s="19" t="str">
        <f aca="false">IF(A817="","",IFERROR(INDEX(Sancoes!$B:$B,MATCH(A817,Sancoes!$A:$A,0))&amp;"","não consta"))</f>
        <v/>
      </c>
      <c r="L817" s="19" t="str">
        <f aca="false">IF(A817="","",IFERROR(INDEX(Eleitoral!$B:$B,MATCH(A817,Eleitoral!$A:$A,0))&amp;"","não consta"))</f>
        <v/>
      </c>
      <c r="M817" s="28" t="str">
        <f aca="false">IF(A817="","",IF(OR(AND(K817&lt;&gt;"",LOWER(K817)&lt;&gt;"não consta"),AND(L817&lt;&gt;"",LOWER(L817)&lt;&gt;"não consta"),IFERROR(INDEX(Empresas!$G:$G,MATCH(A817,Empresas!$A:$A,0))&amp;"","")&lt;&gt;""),"SIM",""))</f>
        <v/>
      </c>
      <c r="N817" s="5"/>
      <c r="O817" s="32" t="str">
        <f aca="false">IF(D817="","",YEAR(D817))</f>
        <v/>
      </c>
      <c r="P817" s="5"/>
    </row>
    <row r="818" customFormat="false" ht="15" hidden="false" customHeight="false" outlineLevel="0" collapsed="false">
      <c r="A818" s="27"/>
      <c r="B818" s="5"/>
      <c r="C818" s="35"/>
      <c r="D818" s="18"/>
      <c r="E818" s="5"/>
      <c r="F818" s="14"/>
      <c r="G818" s="5"/>
      <c r="H818" s="27"/>
      <c r="I818" s="5"/>
      <c r="J818" s="19" t="str">
        <f aca="false">IF(A818="","",IFERROR(INDEX(Empresas!$D:$D,MATCH(A818,Empresas!$A:$A,0))&amp;"","não consta"))</f>
        <v/>
      </c>
      <c r="K818" s="19" t="str">
        <f aca="false">IF(A818="","",IFERROR(INDEX(Sancoes!$B:$B,MATCH(A818,Sancoes!$A:$A,0))&amp;"","não consta"))</f>
        <v/>
      </c>
      <c r="L818" s="19" t="str">
        <f aca="false">IF(A818="","",IFERROR(INDEX(Eleitoral!$B:$B,MATCH(A818,Eleitoral!$A:$A,0))&amp;"","não consta"))</f>
        <v/>
      </c>
      <c r="M818" s="28" t="str">
        <f aca="false">IF(A818="","",IF(OR(AND(K818&lt;&gt;"",LOWER(K818)&lt;&gt;"não consta"),AND(L818&lt;&gt;"",LOWER(L818)&lt;&gt;"não consta"),IFERROR(INDEX(Empresas!$G:$G,MATCH(A818,Empresas!$A:$A,0))&amp;"","")&lt;&gt;""),"SIM",""))</f>
        <v/>
      </c>
      <c r="N818" s="5"/>
      <c r="O818" s="32" t="str">
        <f aca="false">IF(D818="","",YEAR(D818))</f>
        <v/>
      </c>
      <c r="P818" s="5"/>
    </row>
    <row r="819" customFormat="false" ht="15" hidden="false" customHeight="false" outlineLevel="0" collapsed="false">
      <c r="A819" s="27"/>
      <c r="B819" s="5"/>
      <c r="C819" s="35"/>
      <c r="D819" s="18"/>
      <c r="E819" s="5"/>
      <c r="F819" s="14"/>
      <c r="G819" s="5"/>
      <c r="H819" s="27"/>
      <c r="I819" s="5"/>
      <c r="J819" s="19" t="str">
        <f aca="false">IF(A819="","",IFERROR(INDEX(Empresas!$D:$D,MATCH(A819,Empresas!$A:$A,0))&amp;"","não consta"))</f>
        <v/>
      </c>
      <c r="K819" s="19" t="str">
        <f aca="false">IF(A819="","",IFERROR(INDEX(Sancoes!$B:$B,MATCH(A819,Sancoes!$A:$A,0))&amp;"","não consta"))</f>
        <v/>
      </c>
      <c r="L819" s="19" t="str">
        <f aca="false">IF(A819="","",IFERROR(INDEX(Eleitoral!$B:$B,MATCH(A819,Eleitoral!$A:$A,0))&amp;"","não consta"))</f>
        <v/>
      </c>
      <c r="M819" s="28" t="str">
        <f aca="false">IF(A819="","",IF(OR(AND(K819&lt;&gt;"",LOWER(K819)&lt;&gt;"não consta"),AND(L819&lt;&gt;"",LOWER(L819)&lt;&gt;"não consta"),IFERROR(INDEX(Empresas!$G:$G,MATCH(A819,Empresas!$A:$A,0))&amp;"","")&lt;&gt;""),"SIM",""))</f>
        <v/>
      </c>
      <c r="N819" s="5"/>
      <c r="O819" s="32" t="str">
        <f aca="false">IF(D819="","",YEAR(D819))</f>
        <v/>
      </c>
      <c r="P819" s="5"/>
    </row>
    <row r="820" customFormat="false" ht="15" hidden="false" customHeight="false" outlineLevel="0" collapsed="false">
      <c r="A820" s="27"/>
      <c r="B820" s="5"/>
      <c r="C820" s="35"/>
      <c r="D820" s="18"/>
      <c r="E820" s="5"/>
      <c r="F820" s="14"/>
      <c r="G820" s="5"/>
      <c r="H820" s="27"/>
      <c r="I820" s="5"/>
      <c r="J820" s="19" t="str">
        <f aca="false">IF(A820="","",IFERROR(INDEX(Empresas!$D:$D,MATCH(A820,Empresas!$A:$A,0))&amp;"","não consta"))</f>
        <v/>
      </c>
      <c r="K820" s="19" t="str">
        <f aca="false">IF(A820="","",IFERROR(INDEX(Sancoes!$B:$B,MATCH(A820,Sancoes!$A:$A,0))&amp;"","não consta"))</f>
        <v/>
      </c>
      <c r="L820" s="19" t="str">
        <f aca="false">IF(A820="","",IFERROR(INDEX(Eleitoral!$B:$B,MATCH(A820,Eleitoral!$A:$A,0))&amp;"","não consta"))</f>
        <v/>
      </c>
      <c r="M820" s="28" t="str">
        <f aca="false">IF(A820="","",IF(OR(AND(K820&lt;&gt;"",LOWER(K820)&lt;&gt;"não consta"),AND(L820&lt;&gt;"",LOWER(L820)&lt;&gt;"não consta"),IFERROR(INDEX(Empresas!$G:$G,MATCH(A820,Empresas!$A:$A,0))&amp;"","")&lt;&gt;""),"SIM",""))</f>
        <v/>
      </c>
      <c r="N820" s="5"/>
      <c r="O820" s="32" t="str">
        <f aca="false">IF(D820="","",YEAR(D820))</f>
        <v/>
      </c>
      <c r="P820" s="5"/>
    </row>
    <row r="821" customFormat="false" ht="15" hidden="false" customHeight="false" outlineLevel="0" collapsed="false">
      <c r="A821" s="27"/>
      <c r="B821" s="5"/>
      <c r="C821" s="35"/>
      <c r="D821" s="18"/>
      <c r="E821" s="5"/>
      <c r="F821" s="14"/>
      <c r="G821" s="5"/>
      <c r="H821" s="27"/>
      <c r="I821" s="5"/>
      <c r="J821" s="19" t="str">
        <f aca="false">IF(A821="","",IFERROR(INDEX(Empresas!$D:$D,MATCH(A821,Empresas!$A:$A,0))&amp;"","não consta"))</f>
        <v/>
      </c>
      <c r="K821" s="19" t="str">
        <f aca="false">IF(A821="","",IFERROR(INDEX(Sancoes!$B:$B,MATCH(A821,Sancoes!$A:$A,0))&amp;"","não consta"))</f>
        <v/>
      </c>
      <c r="L821" s="19" t="str">
        <f aca="false">IF(A821="","",IFERROR(INDEX(Eleitoral!$B:$B,MATCH(A821,Eleitoral!$A:$A,0))&amp;"","não consta"))</f>
        <v/>
      </c>
      <c r="M821" s="28" t="str">
        <f aca="false">IF(A821="","",IF(OR(AND(K821&lt;&gt;"",LOWER(K821)&lt;&gt;"não consta"),AND(L821&lt;&gt;"",LOWER(L821)&lt;&gt;"não consta"),IFERROR(INDEX(Empresas!$G:$G,MATCH(A821,Empresas!$A:$A,0))&amp;"","")&lt;&gt;""),"SIM",""))</f>
        <v/>
      </c>
      <c r="N821" s="5"/>
      <c r="O821" s="32" t="str">
        <f aca="false">IF(D821="","",YEAR(D821))</f>
        <v/>
      </c>
      <c r="P821" s="5"/>
    </row>
    <row r="822" customFormat="false" ht="15" hidden="false" customHeight="false" outlineLevel="0" collapsed="false">
      <c r="A822" s="27"/>
      <c r="B822" s="5"/>
      <c r="C822" s="35"/>
      <c r="D822" s="18"/>
      <c r="E822" s="5"/>
      <c r="F822" s="14"/>
      <c r="G822" s="5"/>
      <c r="H822" s="27"/>
      <c r="I822" s="5"/>
      <c r="J822" s="19" t="str">
        <f aca="false">IF(A822="","",IFERROR(INDEX(Empresas!$D:$D,MATCH(A822,Empresas!$A:$A,0))&amp;"","não consta"))</f>
        <v/>
      </c>
      <c r="K822" s="19" t="str">
        <f aca="false">IF(A822="","",IFERROR(INDEX(Sancoes!$B:$B,MATCH(A822,Sancoes!$A:$A,0))&amp;"","não consta"))</f>
        <v/>
      </c>
      <c r="L822" s="19" t="str">
        <f aca="false">IF(A822="","",IFERROR(INDEX(Eleitoral!$B:$B,MATCH(A822,Eleitoral!$A:$A,0))&amp;"","não consta"))</f>
        <v/>
      </c>
      <c r="M822" s="28" t="str">
        <f aca="false">IF(A822="","",IF(OR(AND(K822&lt;&gt;"",LOWER(K822)&lt;&gt;"não consta"),AND(L822&lt;&gt;"",LOWER(L822)&lt;&gt;"não consta"),IFERROR(INDEX(Empresas!$G:$G,MATCH(A822,Empresas!$A:$A,0))&amp;"","")&lt;&gt;""),"SIM",""))</f>
        <v/>
      </c>
      <c r="N822" s="5"/>
      <c r="O822" s="32" t="str">
        <f aca="false">IF(D822="","",YEAR(D822))</f>
        <v/>
      </c>
      <c r="P822" s="5"/>
    </row>
    <row r="823" customFormat="false" ht="15" hidden="false" customHeight="false" outlineLevel="0" collapsed="false">
      <c r="A823" s="27"/>
      <c r="B823" s="5"/>
      <c r="C823" s="35"/>
      <c r="D823" s="18"/>
      <c r="E823" s="5"/>
      <c r="F823" s="14"/>
      <c r="G823" s="5"/>
      <c r="H823" s="27"/>
      <c r="I823" s="5"/>
      <c r="J823" s="19" t="str">
        <f aca="false">IF(A823="","",IFERROR(INDEX(Empresas!$D:$D,MATCH(A823,Empresas!$A:$A,0))&amp;"","não consta"))</f>
        <v/>
      </c>
      <c r="K823" s="19" t="str">
        <f aca="false">IF(A823="","",IFERROR(INDEX(Sancoes!$B:$B,MATCH(A823,Sancoes!$A:$A,0))&amp;"","não consta"))</f>
        <v/>
      </c>
      <c r="L823" s="19" t="str">
        <f aca="false">IF(A823="","",IFERROR(INDEX(Eleitoral!$B:$B,MATCH(A823,Eleitoral!$A:$A,0))&amp;"","não consta"))</f>
        <v/>
      </c>
      <c r="M823" s="28" t="str">
        <f aca="false">IF(A823="","",IF(OR(AND(K823&lt;&gt;"",LOWER(K823)&lt;&gt;"não consta"),AND(L823&lt;&gt;"",LOWER(L823)&lt;&gt;"não consta"),IFERROR(INDEX(Empresas!$G:$G,MATCH(A823,Empresas!$A:$A,0))&amp;"","")&lt;&gt;""),"SIM",""))</f>
        <v/>
      </c>
      <c r="N823" s="5"/>
      <c r="O823" s="32" t="str">
        <f aca="false">IF(D823="","",YEAR(D823))</f>
        <v/>
      </c>
      <c r="P823" s="5"/>
    </row>
    <row r="824" customFormat="false" ht="15" hidden="false" customHeight="false" outlineLevel="0" collapsed="false">
      <c r="A824" s="27"/>
      <c r="B824" s="5"/>
      <c r="C824" s="35"/>
      <c r="D824" s="18"/>
      <c r="E824" s="5"/>
      <c r="F824" s="14"/>
      <c r="G824" s="5"/>
      <c r="H824" s="27"/>
      <c r="I824" s="5"/>
      <c r="J824" s="19" t="str">
        <f aca="false">IF(A824="","",IFERROR(INDEX(Empresas!$D:$D,MATCH(A824,Empresas!$A:$A,0))&amp;"","não consta"))</f>
        <v/>
      </c>
      <c r="K824" s="19" t="str">
        <f aca="false">IF(A824="","",IFERROR(INDEX(Sancoes!$B:$B,MATCH(A824,Sancoes!$A:$A,0))&amp;"","não consta"))</f>
        <v/>
      </c>
      <c r="L824" s="19" t="str">
        <f aca="false">IF(A824="","",IFERROR(INDEX(Eleitoral!$B:$B,MATCH(A824,Eleitoral!$A:$A,0))&amp;"","não consta"))</f>
        <v/>
      </c>
      <c r="M824" s="28" t="str">
        <f aca="false">IF(A824="","",IF(OR(AND(K824&lt;&gt;"",LOWER(K824)&lt;&gt;"não consta"),AND(L824&lt;&gt;"",LOWER(L824)&lt;&gt;"não consta"),IFERROR(INDEX(Empresas!$G:$G,MATCH(A824,Empresas!$A:$A,0))&amp;"","")&lt;&gt;""),"SIM",""))</f>
        <v/>
      </c>
      <c r="N824" s="5"/>
      <c r="O824" s="32" t="str">
        <f aca="false">IF(D824="","",YEAR(D824))</f>
        <v/>
      </c>
      <c r="P824" s="5"/>
    </row>
    <row r="825" customFormat="false" ht="15" hidden="false" customHeight="false" outlineLevel="0" collapsed="false">
      <c r="A825" s="27"/>
      <c r="B825" s="5"/>
      <c r="C825" s="35"/>
      <c r="D825" s="18"/>
      <c r="E825" s="5"/>
      <c r="F825" s="14"/>
      <c r="G825" s="5"/>
      <c r="H825" s="27"/>
      <c r="I825" s="5"/>
      <c r="J825" s="19" t="str">
        <f aca="false">IF(A825="","",IFERROR(INDEX(Empresas!$D:$D,MATCH(A825,Empresas!$A:$A,0))&amp;"","não consta"))</f>
        <v/>
      </c>
      <c r="K825" s="19" t="str">
        <f aca="false">IF(A825="","",IFERROR(INDEX(Sancoes!$B:$B,MATCH(A825,Sancoes!$A:$A,0))&amp;"","não consta"))</f>
        <v/>
      </c>
      <c r="L825" s="19" t="str">
        <f aca="false">IF(A825="","",IFERROR(INDEX(Eleitoral!$B:$B,MATCH(A825,Eleitoral!$A:$A,0))&amp;"","não consta"))</f>
        <v/>
      </c>
      <c r="M825" s="28" t="str">
        <f aca="false">IF(A825="","",IF(OR(AND(K825&lt;&gt;"",LOWER(K825)&lt;&gt;"não consta"),AND(L825&lt;&gt;"",LOWER(L825)&lt;&gt;"não consta"),IFERROR(INDEX(Empresas!$G:$G,MATCH(A825,Empresas!$A:$A,0))&amp;"","")&lt;&gt;""),"SIM",""))</f>
        <v/>
      </c>
      <c r="N825" s="5"/>
      <c r="O825" s="32" t="str">
        <f aca="false">IF(D825="","",YEAR(D825))</f>
        <v/>
      </c>
      <c r="P825" s="5"/>
    </row>
    <row r="826" customFormat="false" ht="15" hidden="false" customHeight="false" outlineLevel="0" collapsed="false">
      <c r="A826" s="27"/>
      <c r="B826" s="5"/>
      <c r="C826" s="35"/>
      <c r="D826" s="18"/>
      <c r="E826" s="5"/>
      <c r="F826" s="14"/>
      <c r="G826" s="5"/>
      <c r="H826" s="27"/>
      <c r="I826" s="5"/>
      <c r="J826" s="19" t="str">
        <f aca="false">IF(A826="","",IFERROR(INDEX(Empresas!$D:$D,MATCH(A826,Empresas!$A:$A,0))&amp;"","não consta"))</f>
        <v/>
      </c>
      <c r="K826" s="19" t="str">
        <f aca="false">IF(A826="","",IFERROR(INDEX(Sancoes!$B:$B,MATCH(A826,Sancoes!$A:$A,0))&amp;"","não consta"))</f>
        <v/>
      </c>
      <c r="L826" s="19" t="str">
        <f aca="false">IF(A826="","",IFERROR(INDEX(Eleitoral!$B:$B,MATCH(A826,Eleitoral!$A:$A,0))&amp;"","não consta"))</f>
        <v/>
      </c>
      <c r="M826" s="28" t="str">
        <f aca="false">IF(A826="","",IF(OR(AND(K826&lt;&gt;"",LOWER(K826)&lt;&gt;"não consta"),AND(L826&lt;&gt;"",LOWER(L826)&lt;&gt;"não consta"),IFERROR(INDEX(Empresas!$G:$G,MATCH(A826,Empresas!$A:$A,0))&amp;"","")&lt;&gt;""),"SIM",""))</f>
        <v/>
      </c>
      <c r="N826" s="5"/>
      <c r="O826" s="32" t="str">
        <f aca="false">IF(D826="","",YEAR(D826))</f>
        <v/>
      </c>
      <c r="P826" s="5"/>
    </row>
    <row r="827" customFormat="false" ht="15" hidden="false" customHeight="false" outlineLevel="0" collapsed="false">
      <c r="A827" s="27"/>
      <c r="B827" s="5"/>
      <c r="C827" s="35"/>
      <c r="D827" s="18"/>
      <c r="E827" s="5"/>
      <c r="F827" s="14"/>
      <c r="G827" s="5"/>
      <c r="H827" s="27"/>
      <c r="I827" s="5"/>
      <c r="J827" s="19" t="str">
        <f aca="false">IF(A827="","",IFERROR(INDEX(Empresas!$D:$D,MATCH(A827,Empresas!$A:$A,0))&amp;"","não consta"))</f>
        <v/>
      </c>
      <c r="K827" s="19" t="str">
        <f aca="false">IF(A827="","",IFERROR(INDEX(Sancoes!$B:$B,MATCH(A827,Sancoes!$A:$A,0))&amp;"","não consta"))</f>
        <v/>
      </c>
      <c r="L827" s="19" t="str">
        <f aca="false">IF(A827="","",IFERROR(INDEX(Eleitoral!$B:$B,MATCH(A827,Eleitoral!$A:$A,0))&amp;"","não consta"))</f>
        <v/>
      </c>
      <c r="M827" s="28" t="str">
        <f aca="false">IF(A827="","",IF(OR(AND(K827&lt;&gt;"",LOWER(K827)&lt;&gt;"não consta"),AND(L827&lt;&gt;"",LOWER(L827)&lt;&gt;"não consta"),IFERROR(INDEX(Empresas!$G:$G,MATCH(A827,Empresas!$A:$A,0))&amp;"","")&lt;&gt;""),"SIM",""))</f>
        <v/>
      </c>
      <c r="N827" s="5"/>
      <c r="O827" s="32" t="str">
        <f aca="false">IF(D827="","",YEAR(D827))</f>
        <v/>
      </c>
      <c r="P827" s="5"/>
    </row>
    <row r="828" customFormat="false" ht="15" hidden="false" customHeight="false" outlineLevel="0" collapsed="false">
      <c r="A828" s="27"/>
      <c r="B828" s="5"/>
      <c r="C828" s="35"/>
      <c r="D828" s="18"/>
      <c r="E828" s="5"/>
      <c r="F828" s="14"/>
      <c r="G828" s="5"/>
      <c r="H828" s="27"/>
      <c r="I828" s="5"/>
      <c r="J828" s="19" t="str">
        <f aca="false">IF(A828="","",IFERROR(INDEX(Empresas!$D:$D,MATCH(A828,Empresas!$A:$A,0))&amp;"","não consta"))</f>
        <v/>
      </c>
      <c r="K828" s="19" t="str">
        <f aca="false">IF(A828="","",IFERROR(INDEX(Sancoes!$B:$B,MATCH(A828,Sancoes!$A:$A,0))&amp;"","não consta"))</f>
        <v/>
      </c>
      <c r="L828" s="19" t="str">
        <f aca="false">IF(A828="","",IFERROR(INDEX(Eleitoral!$B:$B,MATCH(A828,Eleitoral!$A:$A,0))&amp;"","não consta"))</f>
        <v/>
      </c>
      <c r="M828" s="28" t="str">
        <f aca="false">IF(A828="","",IF(OR(AND(K828&lt;&gt;"",LOWER(K828)&lt;&gt;"não consta"),AND(L828&lt;&gt;"",LOWER(L828)&lt;&gt;"não consta"),IFERROR(INDEX(Empresas!$G:$G,MATCH(A828,Empresas!$A:$A,0))&amp;"","")&lt;&gt;""),"SIM",""))</f>
        <v/>
      </c>
      <c r="N828" s="5"/>
      <c r="O828" s="32" t="str">
        <f aca="false">IF(D828="","",YEAR(D828))</f>
        <v/>
      </c>
      <c r="P828" s="5"/>
    </row>
    <row r="829" customFormat="false" ht="15" hidden="false" customHeight="false" outlineLevel="0" collapsed="false">
      <c r="A829" s="27"/>
      <c r="B829" s="5"/>
      <c r="C829" s="35"/>
      <c r="D829" s="18"/>
      <c r="E829" s="5"/>
      <c r="F829" s="14"/>
      <c r="G829" s="5"/>
      <c r="H829" s="27"/>
      <c r="I829" s="5"/>
      <c r="J829" s="19" t="str">
        <f aca="false">IF(A829="","",IFERROR(INDEX(Empresas!$D:$D,MATCH(A829,Empresas!$A:$A,0))&amp;"","não consta"))</f>
        <v/>
      </c>
      <c r="K829" s="19" t="str">
        <f aca="false">IF(A829="","",IFERROR(INDEX(Sancoes!$B:$B,MATCH(A829,Sancoes!$A:$A,0))&amp;"","não consta"))</f>
        <v/>
      </c>
      <c r="L829" s="19" t="str">
        <f aca="false">IF(A829="","",IFERROR(INDEX(Eleitoral!$B:$B,MATCH(A829,Eleitoral!$A:$A,0))&amp;"","não consta"))</f>
        <v/>
      </c>
      <c r="M829" s="28" t="str">
        <f aca="false">IF(A829="","",IF(OR(AND(K829&lt;&gt;"",LOWER(K829)&lt;&gt;"não consta"),AND(L829&lt;&gt;"",LOWER(L829)&lt;&gt;"não consta"),IFERROR(INDEX(Empresas!$G:$G,MATCH(A829,Empresas!$A:$A,0))&amp;"","")&lt;&gt;""),"SIM",""))</f>
        <v/>
      </c>
      <c r="N829" s="5"/>
      <c r="O829" s="32" t="str">
        <f aca="false">IF(D829="","",YEAR(D829))</f>
        <v/>
      </c>
      <c r="P829" s="5"/>
    </row>
    <row r="830" customFormat="false" ht="15" hidden="false" customHeight="false" outlineLevel="0" collapsed="false">
      <c r="A830" s="27"/>
      <c r="B830" s="5"/>
      <c r="C830" s="35"/>
      <c r="D830" s="18"/>
      <c r="E830" s="5"/>
      <c r="F830" s="14"/>
      <c r="G830" s="5"/>
      <c r="H830" s="27"/>
      <c r="I830" s="5"/>
      <c r="J830" s="19" t="str">
        <f aca="false">IF(A830="","",IFERROR(INDEX(Empresas!$D:$D,MATCH(A830,Empresas!$A:$A,0))&amp;"","não consta"))</f>
        <v/>
      </c>
      <c r="K830" s="19" t="str">
        <f aca="false">IF(A830="","",IFERROR(INDEX(Sancoes!$B:$B,MATCH(A830,Sancoes!$A:$A,0))&amp;"","não consta"))</f>
        <v/>
      </c>
      <c r="L830" s="19" t="str">
        <f aca="false">IF(A830="","",IFERROR(INDEX(Eleitoral!$B:$B,MATCH(A830,Eleitoral!$A:$A,0))&amp;"","não consta"))</f>
        <v/>
      </c>
      <c r="M830" s="28" t="str">
        <f aca="false">IF(A830="","",IF(OR(AND(K830&lt;&gt;"",LOWER(K830)&lt;&gt;"não consta"),AND(L830&lt;&gt;"",LOWER(L830)&lt;&gt;"não consta"),IFERROR(INDEX(Empresas!$G:$G,MATCH(A830,Empresas!$A:$A,0))&amp;"","")&lt;&gt;""),"SIM",""))</f>
        <v/>
      </c>
      <c r="N830" s="5"/>
      <c r="O830" s="32" t="str">
        <f aca="false">IF(D830="","",YEAR(D830))</f>
        <v/>
      </c>
      <c r="P830" s="5"/>
    </row>
    <row r="831" customFormat="false" ht="15" hidden="false" customHeight="false" outlineLevel="0" collapsed="false">
      <c r="A831" s="27"/>
      <c r="B831" s="5"/>
      <c r="C831" s="35"/>
      <c r="D831" s="18"/>
      <c r="E831" s="5"/>
      <c r="F831" s="14"/>
      <c r="G831" s="5"/>
      <c r="H831" s="27"/>
      <c r="I831" s="5"/>
      <c r="J831" s="19" t="str">
        <f aca="false">IF(A831="","",IFERROR(INDEX(Empresas!$D:$D,MATCH(A831,Empresas!$A:$A,0))&amp;"","não consta"))</f>
        <v/>
      </c>
      <c r="K831" s="19" t="str">
        <f aca="false">IF(A831="","",IFERROR(INDEX(Sancoes!$B:$B,MATCH(A831,Sancoes!$A:$A,0))&amp;"","não consta"))</f>
        <v/>
      </c>
      <c r="L831" s="19" t="str">
        <f aca="false">IF(A831="","",IFERROR(INDEX(Eleitoral!$B:$B,MATCH(A831,Eleitoral!$A:$A,0))&amp;"","não consta"))</f>
        <v/>
      </c>
      <c r="M831" s="28" t="str">
        <f aca="false">IF(A831="","",IF(OR(AND(K831&lt;&gt;"",LOWER(K831)&lt;&gt;"não consta"),AND(L831&lt;&gt;"",LOWER(L831)&lt;&gt;"não consta"),IFERROR(INDEX(Empresas!$G:$G,MATCH(A831,Empresas!$A:$A,0))&amp;"","")&lt;&gt;""),"SIM",""))</f>
        <v/>
      </c>
      <c r="N831" s="5"/>
      <c r="O831" s="32" t="str">
        <f aca="false">IF(D831="","",YEAR(D831))</f>
        <v/>
      </c>
      <c r="P831" s="5"/>
    </row>
    <row r="832" customFormat="false" ht="15" hidden="false" customHeight="false" outlineLevel="0" collapsed="false">
      <c r="A832" s="27"/>
      <c r="B832" s="5"/>
      <c r="C832" s="35"/>
      <c r="D832" s="18"/>
      <c r="E832" s="5"/>
      <c r="F832" s="14"/>
      <c r="G832" s="5"/>
      <c r="H832" s="27"/>
      <c r="I832" s="5"/>
      <c r="J832" s="19" t="str">
        <f aca="false">IF(A832="","",IFERROR(INDEX(Empresas!$D:$D,MATCH(A832,Empresas!$A:$A,0))&amp;"","não consta"))</f>
        <v/>
      </c>
      <c r="K832" s="19" t="str">
        <f aca="false">IF(A832="","",IFERROR(INDEX(Sancoes!$B:$B,MATCH(A832,Sancoes!$A:$A,0))&amp;"","não consta"))</f>
        <v/>
      </c>
      <c r="L832" s="19" t="str">
        <f aca="false">IF(A832="","",IFERROR(INDEX(Eleitoral!$B:$B,MATCH(A832,Eleitoral!$A:$A,0))&amp;"","não consta"))</f>
        <v/>
      </c>
      <c r="M832" s="28" t="str">
        <f aca="false">IF(A832="","",IF(OR(AND(K832&lt;&gt;"",LOWER(K832)&lt;&gt;"não consta"),AND(L832&lt;&gt;"",LOWER(L832)&lt;&gt;"não consta"),IFERROR(INDEX(Empresas!$G:$G,MATCH(A832,Empresas!$A:$A,0))&amp;"","")&lt;&gt;""),"SIM",""))</f>
        <v/>
      </c>
      <c r="N832" s="5"/>
      <c r="O832" s="32" t="str">
        <f aca="false">IF(D832="","",YEAR(D832))</f>
        <v/>
      </c>
      <c r="P832" s="5"/>
    </row>
    <row r="833" customFormat="false" ht="15" hidden="false" customHeight="false" outlineLevel="0" collapsed="false">
      <c r="A833" s="27"/>
      <c r="B833" s="5"/>
      <c r="C833" s="35"/>
      <c r="D833" s="18"/>
      <c r="E833" s="5"/>
      <c r="F833" s="14"/>
      <c r="G833" s="5"/>
      <c r="H833" s="27"/>
      <c r="I833" s="5"/>
      <c r="J833" s="19" t="str">
        <f aca="false">IF(A833="","",IFERROR(INDEX(Empresas!$D:$D,MATCH(A833,Empresas!$A:$A,0))&amp;"","não consta"))</f>
        <v/>
      </c>
      <c r="K833" s="19" t="str">
        <f aca="false">IF(A833="","",IFERROR(INDEX(Sancoes!$B:$B,MATCH(A833,Sancoes!$A:$A,0))&amp;"","não consta"))</f>
        <v/>
      </c>
      <c r="L833" s="19" t="str">
        <f aca="false">IF(A833="","",IFERROR(INDEX(Eleitoral!$B:$B,MATCH(A833,Eleitoral!$A:$A,0))&amp;"","não consta"))</f>
        <v/>
      </c>
      <c r="M833" s="28" t="str">
        <f aca="false">IF(A833="","",IF(OR(AND(K833&lt;&gt;"",LOWER(K833)&lt;&gt;"não consta"),AND(L833&lt;&gt;"",LOWER(L833)&lt;&gt;"não consta"),IFERROR(INDEX(Empresas!$G:$G,MATCH(A833,Empresas!$A:$A,0))&amp;"","")&lt;&gt;""),"SIM",""))</f>
        <v/>
      </c>
      <c r="N833" s="5"/>
      <c r="O833" s="32" t="str">
        <f aca="false">IF(D833="","",YEAR(D833))</f>
        <v/>
      </c>
      <c r="P833" s="5"/>
    </row>
    <row r="834" customFormat="false" ht="15" hidden="false" customHeight="false" outlineLevel="0" collapsed="false">
      <c r="A834" s="27"/>
      <c r="B834" s="5"/>
      <c r="C834" s="35"/>
      <c r="D834" s="18"/>
      <c r="E834" s="5"/>
      <c r="F834" s="14"/>
      <c r="G834" s="5"/>
      <c r="H834" s="27"/>
      <c r="I834" s="5"/>
      <c r="J834" s="19" t="str">
        <f aca="false">IF(A834="","",IFERROR(INDEX(Empresas!$D:$D,MATCH(A834,Empresas!$A:$A,0))&amp;"","não consta"))</f>
        <v/>
      </c>
      <c r="K834" s="19" t="str">
        <f aca="false">IF(A834="","",IFERROR(INDEX(Sancoes!$B:$B,MATCH(A834,Sancoes!$A:$A,0))&amp;"","não consta"))</f>
        <v/>
      </c>
      <c r="L834" s="19" t="str">
        <f aca="false">IF(A834="","",IFERROR(INDEX(Eleitoral!$B:$B,MATCH(A834,Eleitoral!$A:$A,0))&amp;"","não consta"))</f>
        <v/>
      </c>
      <c r="M834" s="28" t="str">
        <f aca="false">IF(A834="","",IF(OR(AND(K834&lt;&gt;"",LOWER(K834)&lt;&gt;"não consta"),AND(L834&lt;&gt;"",LOWER(L834)&lt;&gt;"não consta"),IFERROR(INDEX(Empresas!$G:$G,MATCH(A834,Empresas!$A:$A,0))&amp;"","")&lt;&gt;""),"SIM",""))</f>
        <v/>
      </c>
      <c r="N834" s="5"/>
      <c r="O834" s="32" t="str">
        <f aca="false">IF(D834="","",YEAR(D834))</f>
        <v/>
      </c>
      <c r="P834" s="5"/>
    </row>
    <row r="835" customFormat="false" ht="15" hidden="false" customHeight="false" outlineLevel="0" collapsed="false">
      <c r="A835" s="27"/>
      <c r="B835" s="5"/>
      <c r="C835" s="35"/>
      <c r="D835" s="18"/>
      <c r="E835" s="5"/>
      <c r="F835" s="14"/>
      <c r="G835" s="5"/>
      <c r="H835" s="27"/>
      <c r="I835" s="5"/>
      <c r="J835" s="19" t="str">
        <f aca="false">IF(A835="","",IFERROR(INDEX(Empresas!$D:$D,MATCH(A835,Empresas!$A:$A,0))&amp;"","não consta"))</f>
        <v/>
      </c>
      <c r="K835" s="19" t="str">
        <f aca="false">IF(A835="","",IFERROR(INDEX(Sancoes!$B:$B,MATCH(A835,Sancoes!$A:$A,0))&amp;"","não consta"))</f>
        <v/>
      </c>
      <c r="L835" s="19" t="str">
        <f aca="false">IF(A835="","",IFERROR(INDEX(Eleitoral!$B:$B,MATCH(A835,Eleitoral!$A:$A,0))&amp;"","não consta"))</f>
        <v/>
      </c>
      <c r="M835" s="28" t="str">
        <f aca="false">IF(A835="","",IF(OR(AND(K835&lt;&gt;"",LOWER(K835)&lt;&gt;"não consta"),AND(L835&lt;&gt;"",LOWER(L835)&lt;&gt;"não consta"),IFERROR(INDEX(Empresas!$G:$G,MATCH(A835,Empresas!$A:$A,0))&amp;"","")&lt;&gt;""),"SIM",""))</f>
        <v/>
      </c>
      <c r="N835" s="5"/>
      <c r="O835" s="32" t="str">
        <f aca="false">IF(D835="","",YEAR(D835))</f>
        <v/>
      </c>
      <c r="P835" s="5"/>
    </row>
    <row r="836" customFormat="false" ht="15" hidden="false" customHeight="false" outlineLevel="0" collapsed="false">
      <c r="A836" s="27"/>
      <c r="B836" s="5"/>
      <c r="C836" s="35"/>
      <c r="D836" s="18"/>
      <c r="E836" s="5"/>
      <c r="F836" s="14"/>
      <c r="G836" s="5"/>
      <c r="H836" s="27"/>
      <c r="I836" s="5"/>
      <c r="J836" s="19" t="str">
        <f aca="false">IF(A836="","",IFERROR(INDEX(Empresas!$D:$D,MATCH(A836,Empresas!$A:$A,0))&amp;"","não consta"))</f>
        <v/>
      </c>
      <c r="K836" s="19" t="str">
        <f aca="false">IF(A836="","",IFERROR(INDEX(Sancoes!$B:$B,MATCH(A836,Sancoes!$A:$A,0))&amp;"","não consta"))</f>
        <v/>
      </c>
      <c r="L836" s="19" t="str">
        <f aca="false">IF(A836="","",IFERROR(INDEX(Eleitoral!$B:$B,MATCH(A836,Eleitoral!$A:$A,0))&amp;"","não consta"))</f>
        <v/>
      </c>
      <c r="M836" s="28" t="str">
        <f aca="false">IF(A836="","",IF(OR(AND(K836&lt;&gt;"",LOWER(K836)&lt;&gt;"não consta"),AND(L836&lt;&gt;"",LOWER(L836)&lt;&gt;"não consta"),IFERROR(INDEX(Empresas!$G:$G,MATCH(A836,Empresas!$A:$A,0))&amp;"","")&lt;&gt;""),"SIM",""))</f>
        <v/>
      </c>
      <c r="N836" s="5"/>
      <c r="O836" s="32" t="str">
        <f aca="false">IF(D836="","",YEAR(D836))</f>
        <v/>
      </c>
      <c r="P836" s="5"/>
    </row>
    <row r="837" customFormat="false" ht="15" hidden="false" customHeight="false" outlineLevel="0" collapsed="false">
      <c r="A837" s="27"/>
      <c r="B837" s="5"/>
      <c r="C837" s="35"/>
      <c r="D837" s="18"/>
      <c r="E837" s="5"/>
      <c r="F837" s="14"/>
      <c r="G837" s="5"/>
      <c r="H837" s="27"/>
      <c r="I837" s="5"/>
      <c r="J837" s="19" t="str">
        <f aca="false">IF(A837="","",IFERROR(INDEX(Empresas!$D:$D,MATCH(A837,Empresas!$A:$A,0))&amp;"","não consta"))</f>
        <v/>
      </c>
      <c r="K837" s="19" t="str">
        <f aca="false">IF(A837="","",IFERROR(INDEX(Sancoes!$B:$B,MATCH(A837,Sancoes!$A:$A,0))&amp;"","não consta"))</f>
        <v/>
      </c>
      <c r="L837" s="19" t="str">
        <f aca="false">IF(A837="","",IFERROR(INDEX(Eleitoral!$B:$B,MATCH(A837,Eleitoral!$A:$A,0))&amp;"","não consta"))</f>
        <v/>
      </c>
      <c r="M837" s="28" t="str">
        <f aca="false">IF(A837="","",IF(OR(AND(K837&lt;&gt;"",LOWER(K837)&lt;&gt;"não consta"),AND(L837&lt;&gt;"",LOWER(L837)&lt;&gt;"não consta"),IFERROR(INDEX(Empresas!$G:$G,MATCH(A837,Empresas!$A:$A,0))&amp;"","")&lt;&gt;""),"SIM",""))</f>
        <v/>
      </c>
      <c r="N837" s="5"/>
      <c r="O837" s="32" t="str">
        <f aca="false">IF(D837="","",YEAR(D837))</f>
        <v/>
      </c>
      <c r="P837" s="5"/>
    </row>
    <row r="838" customFormat="false" ht="15" hidden="false" customHeight="false" outlineLevel="0" collapsed="false">
      <c r="A838" s="27"/>
      <c r="B838" s="5"/>
      <c r="C838" s="35"/>
      <c r="D838" s="18"/>
      <c r="E838" s="5"/>
      <c r="F838" s="14"/>
      <c r="G838" s="5"/>
      <c r="H838" s="27"/>
      <c r="I838" s="5"/>
      <c r="J838" s="19" t="str">
        <f aca="false">IF(A838="","",IFERROR(INDEX(Empresas!$D:$D,MATCH(A838,Empresas!$A:$A,0))&amp;"","não consta"))</f>
        <v/>
      </c>
      <c r="K838" s="19" t="str">
        <f aca="false">IF(A838="","",IFERROR(INDEX(Sancoes!$B:$B,MATCH(A838,Sancoes!$A:$A,0))&amp;"","não consta"))</f>
        <v/>
      </c>
      <c r="L838" s="19" t="str">
        <f aca="false">IF(A838="","",IFERROR(INDEX(Eleitoral!$B:$B,MATCH(A838,Eleitoral!$A:$A,0))&amp;"","não consta"))</f>
        <v/>
      </c>
      <c r="M838" s="28" t="str">
        <f aca="false">IF(A838="","",IF(OR(AND(K838&lt;&gt;"",LOWER(K838)&lt;&gt;"não consta"),AND(L838&lt;&gt;"",LOWER(L838)&lt;&gt;"não consta"),IFERROR(INDEX(Empresas!$G:$G,MATCH(A838,Empresas!$A:$A,0))&amp;"","")&lt;&gt;""),"SIM",""))</f>
        <v/>
      </c>
      <c r="N838" s="5"/>
      <c r="O838" s="32" t="str">
        <f aca="false">IF(D838="","",YEAR(D838))</f>
        <v/>
      </c>
      <c r="P838" s="5"/>
    </row>
    <row r="839" customFormat="false" ht="15" hidden="false" customHeight="false" outlineLevel="0" collapsed="false">
      <c r="A839" s="27"/>
      <c r="B839" s="5"/>
      <c r="C839" s="35"/>
      <c r="D839" s="18"/>
      <c r="E839" s="5"/>
      <c r="F839" s="14"/>
      <c r="G839" s="5"/>
      <c r="H839" s="27"/>
      <c r="I839" s="5"/>
      <c r="J839" s="19" t="str">
        <f aca="false">IF(A839="","",IFERROR(INDEX(Empresas!$D:$D,MATCH(A839,Empresas!$A:$A,0))&amp;"","não consta"))</f>
        <v/>
      </c>
      <c r="K839" s="19" t="str">
        <f aca="false">IF(A839="","",IFERROR(INDEX(Sancoes!$B:$B,MATCH(A839,Sancoes!$A:$A,0))&amp;"","não consta"))</f>
        <v/>
      </c>
      <c r="L839" s="19" t="str">
        <f aca="false">IF(A839="","",IFERROR(INDEX(Eleitoral!$B:$B,MATCH(A839,Eleitoral!$A:$A,0))&amp;"","não consta"))</f>
        <v/>
      </c>
      <c r="M839" s="28" t="str">
        <f aca="false">IF(A839="","",IF(OR(AND(K839&lt;&gt;"",LOWER(K839)&lt;&gt;"não consta"),AND(L839&lt;&gt;"",LOWER(L839)&lt;&gt;"não consta"),IFERROR(INDEX(Empresas!$G:$G,MATCH(A839,Empresas!$A:$A,0))&amp;"","")&lt;&gt;""),"SIM",""))</f>
        <v/>
      </c>
      <c r="N839" s="5"/>
      <c r="O839" s="32" t="str">
        <f aca="false">IF(D839="","",YEAR(D839))</f>
        <v/>
      </c>
      <c r="P839" s="5"/>
    </row>
    <row r="840" customFormat="false" ht="15" hidden="false" customHeight="false" outlineLevel="0" collapsed="false">
      <c r="A840" s="27"/>
      <c r="B840" s="5"/>
      <c r="C840" s="35"/>
      <c r="D840" s="18"/>
      <c r="E840" s="5"/>
      <c r="F840" s="14"/>
      <c r="G840" s="5"/>
      <c r="H840" s="27"/>
      <c r="I840" s="5"/>
      <c r="J840" s="19" t="str">
        <f aca="false">IF(A840="","",IFERROR(INDEX(Empresas!$D:$D,MATCH(A840,Empresas!$A:$A,0))&amp;"","não consta"))</f>
        <v/>
      </c>
      <c r="K840" s="19" t="str">
        <f aca="false">IF(A840="","",IFERROR(INDEX(Sancoes!$B:$B,MATCH(A840,Sancoes!$A:$A,0))&amp;"","não consta"))</f>
        <v/>
      </c>
      <c r="L840" s="19" t="str">
        <f aca="false">IF(A840="","",IFERROR(INDEX(Eleitoral!$B:$B,MATCH(A840,Eleitoral!$A:$A,0))&amp;"","não consta"))</f>
        <v/>
      </c>
      <c r="M840" s="28" t="str">
        <f aca="false">IF(A840="","",IF(OR(AND(K840&lt;&gt;"",LOWER(K840)&lt;&gt;"não consta"),AND(L840&lt;&gt;"",LOWER(L840)&lt;&gt;"não consta"),IFERROR(INDEX(Empresas!$G:$G,MATCH(A840,Empresas!$A:$A,0))&amp;"","")&lt;&gt;""),"SIM",""))</f>
        <v/>
      </c>
      <c r="N840" s="5"/>
      <c r="O840" s="32" t="str">
        <f aca="false">IF(D840="","",YEAR(D840))</f>
        <v/>
      </c>
      <c r="P840" s="5"/>
    </row>
    <row r="841" customFormat="false" ht="15" hidden="false" customHeight="false" outlineLevel="0" collapsed="false">
      <c r="A841" s="27"/>
      <c r="B841" s="5"/>
      <c r="C841" s="35"/>
      <c r="D841" s="18"/>
      <c r="E841" s="5"/>
      <c r="F841" s="14"/>
      <c r="G841" s="5"/>
      <c r="H841" s="27"/>
      <c r="I841" s="5"/>
      <c r="J841" s="19" t="str">
        <f aca="false">IF(A841="","",IFERROR(INDEX(Empresas!$D:$D,MATCH(A841,Empresas!$A:$A,0))&amp;"","não consta"))</f>
        <v/>
      </c>
      <c r="K841" s="19" t="str">
        <f aca="false">IF(A841="","",IFERROR(INDEX(Sancoes!$B:$B,MATCH(A841,Sancoes!$A:$A,0))&amp;"","não consta"))</f>
        <v/>
      </c>
      <c r="L841" s="19" t="str">
        <f aca="false">IF(A841="","",IFERROR(INDEX(Eleitoral!$B:$B,MATCH(A841,Eleitoral!$A:$A,0))&amp;"","não consta"))</f>
        <v/>
      </c>
      <c r="M841" s="28" t="str">
        <f aca="false">IF(A841="","",IF(OR(AND(K841&lt;&gt;"",LOWER(K841)&lt;&gt;"não consta"),AND(L841&lt;&gt;"",LOWER(L841)&lt;&gt;"não consta"),IFERROR(INDEX(Empresas!$G:$G,MATCH(A841,Empresas!$A:$A,0))&amp;"","")&lt;&gt;""),"SIM",""))</f>
        <v/>
      </c>
      <c r="N841" s="5"/>
      <c r="O841" s="32" t="str">
        <f aca="false">IF(D841="","",YEAR(D841))</f>
        <v/>
      </c>
      <c r="P841" s="5"/>
    </row>
    <row r="842" customFormat="false" ht="15" hidden="false" customHeight="false" outlineLevel="0" collapsed="false">
      <c r="A842" s="27"/>
      <c r="B842" s="5"/>
      <c r="C842" s="35"/>
      <c r="D842" s="18"/>
      <c r="E842" s="5"/>
      <c r="F842" s="14"/>
      <c r="G842" s="5"/>
      <c r="H842" s="27"/>
      <c r="I842" s="5"/>
      <c r="J842" s="19" t="str">
        <f aca="false">IF(A842="","",IFERROR(INDEX(Empresas!$D:$D,MATCH(A842,Empresas!$A:$A,0))&amp;"","não consta"))</f>
        <v/>
      </c>
      <c r="K842" s="19" t="str">
        <f aca="false">IF(A842="","",IFERROR(INDEX(Sancoes!$B:$B,MATCH(A842,Sancoes!$A:$A,0))&amp;"","não consta"))</f>
        <v/>
      </c>
      <c r="L842" s="19" t="str">
        <f aca="false">IF(A842="","",IFERROR(INDEX(Eleitoral!$B:$B,MATCH(A842,Eleitoral!$A:$A,0))&amp;"","não consta"))</f>
        <v/>
      </c>
      <c r="M842" s="28" t="str">
        <f aca="false">IF(A842="","",IF(OR(AND(K842&lt;&gt;"",LOWER(K842)&lt;&gt;"não consta"),AND(L842&lt;&gt;"",LOWER(L842)&lt;&gt;"não consta"),IFERROR(INDEX(Empresas!$G:$G,MATCH(A842,Empresas!$A:$A,0))&amp;"","")&lt;&gt;""),"SIM",""))</f>
        <v/>
      </c>
      <c r="N842" s="5"/>
      <c r="O842" s="32" t="str">
        <f aca="false">IF(D842="","",YEAR(D842))</f>
        <v/>
      </c>
      <c r="P842" s="5"/>
    </row>
    <row r="843" customFormat="false" ht="15" hidden="false" customHeight="false" outlineLevel="0" collapsed="false">
      <c r="A843" s="27"/>
      <c r="B843" s="5"/>
      <c r="C843" s="35"/>
      <c r="D843" s="18"/>
      <c r="E843" s="5"/>
      <c r="F843" s="14"/>
      <c r="G843" s="5"/>
      <c r="H843" s="27"/>
      <c r="I843" s="5"/>
      <c r="J843" s="19" t="str">
        <f aca="false">IF(A843="","",IFERROR(INDEX(Empresas!$D:$D,MATCH(A843,Empresas!$A:$A,0))&amp;"","não consta"))</f>
        <v/>
      </c>
      <c r="K843" s="19" t="str">
        <f aca="false">IF(A843="","",IFERROR(INDEX(Sancoes!$B:$B,MATCH(A843,Sancoes!$A:$A,0))&amp;"","não consta"))</f>
        <v/>
      </c>
      <c r="L843" s="19" t="str">
        <f aca="false">IF(A843="","",IFERROR(INDEX(Eleitoral!$B:$B,MATCH(A843,Eleitoral!$A:$A,0))&amp;"","não consta"))</f>
        <v/>
      </c>
      <c r="M843" s="28" t="str">
        <f aca="false">IF(A843="","",IF(OR(AND(K843&lt;&gt;"",LOWER(K843)&lt;&gt;"não consta"),AND(L843&lt;&gt;"",LOWER(L843)&lt;&gt;"não consta"),IFERROR(INDEX(Empresas!$G:$G,MATCH(A843,Empresas!$A:$A,0))&amp;"","")&lt;&gt;""),"SIM",""))</f>
        <v/>
      </c>
      <c r="N843" s="5"/>
      <c r="O843" s="32" t="str">
        <f aca="false">IF(D843="","",YEAR(D843))</f>
        <v/>
      </c>
      <c r="P843" s="5"/>
    </row>
    <row r="844" customFormat="false" ht="15" hidden="false" customHeight="false" outlineLevel="0" collapsed="false">
      <c r="A844" s="27"/>
      <c r="B844" s="5"/>
      <c r="C844" s="35"/>
      <c r="D844" s="18"/>
      <c r="E844" s="5"/>
      <c r="F844" s="14"/>
      <c r="G844" s="5"/>
      <c r="H844" s="27"/>
      <c r="I844" s="5"/>
      <c r="J844" s="19" t="str">
        <f aca="false">IF(A844="","",IFERROR(INDEX(Empresas!$D:$D,MATCH(A844,Empresas!$A:$A,0))&amp;"","não consta"))</f>
        <v/>
      </c>
      <c r="K844" s="19" t="str">
        <f aca="false">IF(A844="","",IFERROR(INDEX(Sancoes!$B:$B,MATCH(A844,Sancoes!$A:$A,0))&amp;"","não consta"))</f>
        <v/>
      </c>
      <c r="L844" s="19" t="str">
        <f aca="false">IF(A844="","",IFERROR(INDEX(Eleitoral!$B:$B,MATCH(A844,Eleitoral!$A:$A,0))&amp;"","não consta"))</f>
        <v/>
      </c>
      <c r="M844" s="28" t="str">
        <f aca="false">IF(A844="","",IF(OR(AND(K844&lt;&gt;"",LOWER(K844)&lt;&gt;"não consta"),AND(L844&lt;&gt;"",LOWER(L844)&lt;&gt;"não consta"),IFERROR(INDEX(Empresas!$G:$G,MATCH(A844,Empresas!$A:$A,0))&amp;"","")&lt;&gt;""),"SIM",""))</f>
        <v/>
      </c>
      <c r="N844" s="5"/>
      <c r="O844" s="32" t="str">
        <f aca="false">IF(D844="","",YEAR(D844))</f>
        <v/>
      </c>
      <c r="P844" s="5"/>
    </row>
    <row r="845" customFormat="false" ht="15" hidden="false" customHeight="false" outlineLevel="0" collapsed="false">
      <c r="A845" s="27"/>
      <c r="B845" s="5"/>
      <c r="C845" s="35"/>
      <c r="D845" s="18"/>
      <c r="E845" s="5"/>
      <c r="F845" s="14"/>
      <c r="G845" s="5"/>
      <c r="H845" s="27"/>
      <c r="I845" s="5"/>
      <c r="J845" s="19" t="str">
        <f aca="false">IF(A845="","",IFERROR(INDEX(Empresas!$D:$D,MATCH(A845,Empresas!$A:$A,0))&amp;"","não consta"))</f>
        <v/>
      </c>
      <c r="K845" s="19" t="str">
        <f aca="false">IF(A845="","",IFERROR(INDEX(Sancoes!$B:$B,MATCH(A845,Sancoes!$A:$A,0))&amp;"","não consta"))</f>
        <v/>
      </c>
      <c r="L845" s="19" t="str">
        <f aca="false">IF(A845="","",IFERROR(INDEX(Eleitoral!$B:$B,MATCH(A845,Eleitoral!$A:$A,0))&amp;"","não consta"))</f>
        <v/>
      </c>
      <c r="M845" s="28" t="str">
        <f aca="false">IF(A845="","",IF(OR(AND(K845&lt;&gt;"",LOWER(K845)&lt;&gt;"não consta"),AND(L845&lt;&gt;"",LOWER(L845)&lt;&gt;"não consta"),IFERROR(INDEX(Empresas!$G:$G,MATCH(A845,Empresas!$A:$A,0))&amp;"","")&lt;&gt;""),"SIM",""))</f>
        <v/>
      </c>
      <c r="N845" s="5"/>
      <c r="O845" s="32" t="str">
        <f aca="false">IF(D845="","",YEAR(D845))</f>
        <v/>
      </c>
      <c r="P845" s="5"/>
    </row>
    <row r="846" customFormat="false" ht="15" hidden="false" customHeight="false" outlineLevel="0" collapsed="false">
      <c r="A846" s="27"/>
      <c r="B846" s="5"/>
      <c r="C846" s="35"/>
      <c r="D846" s="18"/>
      <c r="E846" s="5"/>
      <c r="F846" s="14"/>
      <c r="G846" s="5"/>
      <c r="H846" s="27"/>
      <c r="I846" s="5"/>
      <c r="J846" s="19" t="str">
        <f aca="false">IF(A846="","",IFERROR(INDEX(Empresas!$D:$D,MATCH(A846,Empresas!$A:$A,0))&amp;"","não consta"))</f>
        <v/>
      </c>
      <c r="K846" s="19" t="str">
        <f aca="false">IF(A846="","",IFERROR(INDEX(Sancoes!$B:$B,MATCH(A846,Sancoes!$A:$A,0))&amp;"","não consta"))</f>
        <v/>
      </c>
      <c r="L846" s="19" t="str">
        <f aca="false">IF(A846="","",IFERROR(INDEX(Eleitoral!$B:$B,MATCH(A846,Eleitoral!$A:$A,0))&amp;"","não consta"))</f>
        <v/>
      </c>
      <c r="M846" s="28" t="str">
        <f aca="false">IF(A846="","",IF(OR(AND(K846&lt;&gt;"",LOWER(K846)&lt;&gt;"não consta"),AND(L846&lt;&gt;"",LOWER(L846)&lt;&gt;"não consta"),IFERROR(INDEX(Empresas!$G:$G,MATCH(A846,Empresas!$A:$A,0))&amp;"","")&lt;&gt;""),"SIM",""))</f>
        <v/>
      </c>
      <c r="N846" s="5"/>
      <c r="O846" s="32" t="str">
        <f aca="false">IF(D846="","",YEAR(D846))</f>
        <v/>
      </c>
      <c r="P846" s="5"/>
    </row>
    <row r="847" customFormat="false" ht="15" hidden="false" customHeight="false" outlineLevel="0" collapsed="false">
      <c r="A847" s="27"/>
      <c r="B847" s="5"/>
      <c r="C847" s="35"/>
      <c r="D847" s="18"/>
      <c r="E847" s="5"/>
      <c r="F847" s="14"/>
      <c r="G847" s="5"/>
      <c r="H847" s="27"/>
      <c r="I847" s="5"/>
      <c r="J847" s="19" t="str">
        <f aca="false">IF(A847="","",IFERROR(INDEX(Empresas!$D:$D,MATCH(A847,Empresas!$A:$A,0))&amp;"","não consta"))</f>
        <v/>
      </c>
      <c r="K847" s="19" t="str">
        <f aca="false">IF(A847="","",IFERROR(INDEX(Sancoes!$B:$B,MATCH(A847,Sancoes!$A:$A,0))&amp;"","não consta"))</f>
        <v/>
      </c>
      <c r="L847" s="19" t="str">
        <f aca="false">IF(A847="","",IFERROR(INDEX(Eleitoral!$B:$B,MATCH(A847,Eleitoral!$A:$A,0))&amp;"","não consta"))</f>
        <v/>
      </c>
      <c r="M847" s="28" t="str">
        <f aca="false">IF(A847="","",IF(OR(AND(K847&lt;&gt;"",LOWER(K847)&lt;&gt;"não consta"),AND(L847&lt;&gt;"",LOWER(L847)&lt;&gt;"não consta"),IFERROR(INDEX(Empresas!$G:$G,MATCH(A847,Empresas!$A:$A,0))&amp;"","")&lt;&gt;""),"SIM",""))</f>
        <v/>
      </c>
      <c r="N847" s="5"/>
      <c r="O847" s="32" t="str">
        <f aca="false">IF(D847="","",YEAR(D847))</f>
        <v/>
      </c>
      <c r="P847" s="5"/>
    </row>
    <row r="848" customFormat="false" ht="15" hidden="false" customHeight="false" outlineLevel="0" collapsed="false">
      <c r="A848" s="27"/>
      <c r="B848" s="5"/>
      <c r="C848" s="35"/>
      <c r="D848" s="18"/>
      <c r="E848" s="5"/>
      <c r="F848" s="14"/>
      <c r="G848" s="5"/>
      <c r="H848" s="27"/>
      <c r="I848" s="5"/>
      <c r="J848" s="19" t="str">
        <f aca="false">IF(A848="","",IFERROR(INDEX(Empresas!$D:$D,MATCH(A848,Empresas!$A:$A,0))&amp;"","não consta"))</f>
        <v/>
      </c>
      <c r="K848" s="19" t="str">
        <f aca="false">IF(A848="","",IFERROR(INDEX(Sancoes!$B:$B,MATCH(A848,Sancoes!$A:$A,0))&amp;"","não consta"))</f>
        <v/>
      </c>
      <c r="L848" s="19" t="str">
        <f aca="false">IF(A848="","",IFERROR(INDEX(Eleitoral!$B:$B,MATCH(A848,Eleitoral!$A:$A,0))&amp;"","não consta"))</f>
        <v/>
      </c>
      <c r="M848" s="28" t="str">
        <f aca="false">IF(A848="","",IF(OR(AND(K848&lt;&gt;"",LOWER(K848)&lt;&gt;"não consta"),AND(L848&lt;&gt;"",LOWER(L848)&lt;&gt;"não consta"),IFERROR(INDEX(Empresas!$G:$G,MATCH(A848,Empresas!$A:$A,0))&amp;"","")&lt;&gt;""),"SIM",""))</f>
        <v/>
      </c>
      <c r="N848" s="5"/>
      <c r="O848" s="32" t="str">
        <f aca="false">IF(D848="","",YEAR(D848))</f>
        <v/>
      </c>
      <c r="P848" s="5"/>
    </row>
    <row r="849" customFormat="false" ht="15" hidden="false" customHeight="false" outlineLevel="0" collapsed="false">
      <c r="A849" s="27"/>
      <c r="B849" s="5"/>
      <c r="C849" s="35"/>
      <c r="D849" s="18"/>
      <c r="E849" s="5"/>
      <c r="F849" s="14"/>
      <c r="G849" s="5"/>
      <c r="H849" s="27"/>
      <c r="I849" s="5"/>
      <c r="J849" s="19" t="str">
        <f aca="false">IF(A849="","",IFERROR(INDEX(Empresas!$D:$D,MATCH(A849,Empresas!$A:$A,0))&amp;"","não consta"))</f>
        <v/>
      </c>
      <c r="K849" s="19" t="str">
        <f aca="false">IF(A849="","",IFERROR(INDEX(Sancoes!$B:$B,MATCH(A849,Sancoes!$A:$A,0))&amp;"","não consta"))</f>
        <v/>
      </c>
      <c r="L849" s="19" t="str">
        <f aca="false">IF(A849="","",IFERROR(INDEX(Eleitoral!$B:$B,MATCH(A849,Eleitoral!$A:$A,0))&amp;"","não consta"))</f>
        <v/>
      </c>
      <c r="M849" s="28" t="str">
        <f aca="false">IF(A849="","",IF(OR(AND(K849&lt;&gt;"",LOWER(K849)&lt;&gt;"não consta"),AND(L849&lt;&gt;"",LOWER(L849)&lt;&gt;"não consta"),IFERROR(INDEX(Empresas!$G:$G,MATCH(A849,Empresas!$A:$A,0))&amp;"","")&lt;&gt;""),"SIM",""))</f>
        <v/>
      </c>
      <c r="N849" s="5"/>
      <c r="O849" s="32" t="str">
        <f aca="false">IF(D849="","",YEAR(D849))</f>
        <v/>
      </c>
      <c r="P849" s="5"/>
    </row>
    <row r="850" customFormat="false" ht="15" hidden="false" customHeight="false" outlineLevel="0" collapsed="false">
      <c r="A850" s="27"/>
      <c r="B850" s="5"/>
      <c r="C850" s="35"/>
      <c r="D850" s="18"/>
      <c r="E850" s="5"/>
      <c r="F850" s="14"/>
      <c r="G850" s="5"/>
      <c r="H850" s="27"/>
      <c r="I850" s="5"/>
      <c r="J850" s="19" t="str">
        <f aca="false">IF(A850="","",IFERROR(INDEX(Empresas!$D:$D,MATCH(A850,Empresas!$A:$A,0))&amp;"","não consta"))</f>
        <v/>
      </c>
      <c r="K850" s="19" t="str">
        <f aca="false">IF(A850="","",IFERROR(INDEX(Sancoes!$B:$B,MATCH(A850,Sancoes!$A:$A,0))&amp;"","não consta"))</f>
        <v/>
      </c>
      <c r="L850" s="19" t="str">
        <f aca="false">IF(A850="","",IFERROR(INDEX(Eleitoral!$B:$B,MATCH(A850,Eleitoral!$A:$A,0))&amp;"","não consta"))</f>
        <v/>
      </c>
      <c r="M850" s="28" t="str">
        <f aca="false">IF(A850="","",IF(OR(AND(K850&lt;&gt;"",LOWER(K850)&lt;&gt;"não consta"),AND(L850&lt;&gt;"",LOWER(L850)&lt;&gt;"não consta"),IFERROR(INDEX(Empresas!$G:$G,MATCH(A850,Empresas!$A:$A,0))&amp;"","")&lt;&gt;""),"SIM",""))</f>
        <v/>
      </c>
      <c r="N850" s="5"/>
      <c r="O850" s="32" t="str">
        <f aca="false">IF(D850="","",YEAR(D850))</f>
        <v/>
      </c>
      <c r="P850" s="5"/>
    </row>
    <row r="851" customFormat="false" ht="15" hidden="false" customHeight="false" outlineLevel="0" collapsed="false">
      <c r="A851" s="27"/>
      <c r="B851" s="5"/>
      <c r="C851" s="35"/>
      <c r="D851" s="18"/>
      <c r="E851" s="5"/>
      <c r="F851" s="14"/>
      <c r="G851" s="5"/>
      <c r="H851" s="27"/>
      <c r="I851" s="5"/>
      <c r="J851" s="19" t="str">
        <f aca="false">IF(A851="","",IFERROR(INDEX(Empresas!$D:$D,MATCH(A851,Empresas!$A:$A,0))&amp;"","não consta"))</f>
        <v/>
      </c>
      <c r="K851" s="19" t="str">
        <f aca="false">IF(A851="","",IFERROR(INDEX(Sancoes!$B:$B,MATCH(A851,Sancoes!$A:$A,0))&amp;"","não consta"))</f>
        <v/>
      </c>
      <c r="L851" s="19" t="str">
        <f aca="false">IF(A851="","",IFERROR(INDEX(Eleitoral!$B:$B,MATCH(A851,Eleitoral!$A:$A,0))&amp;"","não consta"))</f>
        <v/>
      </c>
      <c r="M851" s="28" t="str">
        <f aca="false">IF(A851="","",IF(OR(AND(K851&lt;&gt;"",LOWER(K851)&lt;&gt;"não consta"),AND(L851&lt;&gt;"",LOWER(L851)&lt;&gt;"não consta"),IFERROR(INDEX(Empresas!$G:$G,MATCH(A851,Empresas!$A:$A,0))&amp;"","")&lt;&gt;""),"SIM",""))</f>
        <v/>
      </c>
      <c r="N851" s="5"/>
      <c r="O851" s="32" t="str">
        <f aca="false">IF(D851="","",YEAR(D851))</f>
        <v/>
      </c>
      <c r="P851" s="5"/>
    </row>
    <row r="852" customFormat="false" ht="15" hidden="false" customHeight="false" outlineLevel="0" collapsed="false">
      <c r="A852" s="27"/>
      <c r="B852" s="5"/>
      <c r="C852" s="35"/>
      <c r="D852" s="18"/>
      <c r="E852" s="5"/>
      <c r="F852" s="14"/>
      <c r="G852" s="5"/>
      <c r="H852" s="27"/>
      <c r="I852" s="5"/>
      <c r="J852" s="19" t="str">
        <f aca="false">IF(A852="","",IFERROR(INDEX(Empresas!$D:$D,MATCH(A852,Empresas!$A:$A,0))&amp;"","não consta"))</f>
        <v/>
      </c>
      <c r="K852" s="19" t="str">
        <f aca="false">IF(A852="","",IFERROR(INDEX(Sancoes!$B:$B,MATCH(A852,Sancoes!$A:$A,0))&amp;"","não consta"))</f>
        <v/>
      </c>
      <c r="L852" s="19" t="str">
        <f aca="false">IF(A852="","",IFERROR(INDEX(Eleitoral!$B:$B,MATCH(A852,Eleitoral!$A:$A,0))&amp;"","não consta"))</f>
        <v/>
      </c>
      <c r="M852" s="28" t="str">
        <f aca="false">IF(A852="","",IF(OR(AND(K852&lt;&gt;"",LOWER(K852)&lt;&gt;"não consta"),AND(L852&lt;&gt;"",LOWER(L852)&lt;&gt;"não consta"),IFERROR(INDEX(Empresas!$G:$G,MATCH(A852,Empresas!$A:$A,0))&amp;"","")&lt;&gt;""),"SIM",""))</f>
        <v/>
      </c>
      <c r="N852" s="5"/>
      <c r="O852" s="32" t="str">
        <f aca="false">IF(D852="","",YEAR(D852))</f>
        <v/>
      </c>
      <c r="P852" s="5"/>
    </row>
    <row r="853" customFormat="false" ht="15" hidden="false" customHeight="false" outlineLevel="0" collapsed="false">
      <c r="A853" s="27"/>
      <c r="B853" s="5"/>
      <c r="C853" s="35"/>
      <c r="D853" s="18"/>
      <c r="E853" s="5"/>
      <c r="F853" s="14"/>
      <c r="G853" s="5"/>
      <c r="H853" s="27"/>
      <c r="I853" s="5"/>
      <c r="J853" s="19" t="str">
        <f aca="false">IF(A853="","",IFERROR(INDEX(Empresas!$D:$D,MATCH(A853,Empresas!$A:$A,0))&amp;"","não consta"))</f>
        <v/>
      </c>
      <c r="K853" s="19" t="str">
        <f aca="false">IF(A853="","",IFERROR(INDEX(Sancoes!$B:$B,MATCH(A853,Sancoes!$A:$A,0))&amp;"","não consta"))</f>
        <v/>
      </c>
      <c r="L853" s="19" t="str">
        <f aca="false">IF(A853="","",IFERROR(INDEX(Eleitoral!$B:$B,MATCH(A853,Eleitoral!$A:$A,0))&amp;"","não consta"))</f>
        <v/>
      </c>
      <c r="M853" s="28" t="str">
        <f aca="false">IF(A853="","",IF(OR(AND(K853&lt;&gt;"",LOWER(K853)&lt;&gt;"não consta"),AND(L853&lt;&gt;"",LOWER(L853)&lt;&gt;"não consta"),IFERROR(INDEX(Empresas!$G:$G,MATCH(A853,Empresas!$A:$A,0))&amp;"","")&lt;&gt;""),"SIM",""))</f>
        <v/>
      </c>
      <c r="N853" s="5"/>
      <c r="O853" s="32" t="str">
        <f aca="false">IF(D853="","",YEAR(D853))</f>
        <v/>
      </c>
      <c r="P853" s="5"/>
    </row>
    <row r="854" customFormat="false" ht="15" hidden="false" customHeight="false" outlineLevel="0" collapsed="false">
      <c r="A854" s="27"/>
      <c r="B854" s="5"/>
      <c r="C854" s="35"/>
      <c r="D854" s="18"/>
      <c r="E854" s="5"/>
      <c r="F854" s="14"/>
      <c r="G854" s="5"/>
      <c r="H854" s="27"/>
      <c r="I854" s="5"/>
      <c r="J854" s="19" t="str">
        <f aca="false">IF(A854="","",IFERROR(INDEX(Empresas!$D:$D,MATCH(A854,Empresas!$A:$A,0))&amp;"","não consta"))</f>
        <v/>
      </c>
      <c r="K854" s="19" t="str">
        <f aca="false">IF(A854="","",IFERROR(INDEX(Sancoes!$B:$B,MATCH(A854,Sancoes!$A:$A,0))&amp;"","não consta"))</f>
        <v/>
      </c>
      <c r="L854" s="19" t="str">
        <f aca="false">IF(A854="","",IFERROR(INDEX(Eleitoral!$B:$B,MATCH(A854,Eleitoral!$A:$A,0))&amp;"","não consta"))</f>
        <v/>
      </c>
      <c r="M854" s="28" t="str">
        <f aca="false">IF(A854="","",IF(OR(AND(K854&lt;&gt;"",LOWER(K854)&lt;&gt;"não consta"),AND(L854&lt;&gt;"",LOWER(L854)&lt;&gt;"não consta"),IFERROR(INDEX(Empresas!$G:$G,MATCH(A854,Empresas!$A:$A,0))&amp;"","")&lt;&gt;""),"SIM",""))</f>
        <v/>
      </c>
      <c r="N854" s="5"/>
      <c r="O854" s="32" t="str">
        <f aca="false">IF(D854="","",YEAR(D854))</f>
        <v/>
      </c>
      <c r="P854" s="5"/>
    </row>
    <row r="855" customFormat="false" ht="15" hidden="false" customHeight="false" outlineLevel="0" collapsed="false">
      <c r="A855" s="27"/>
      <c r="B855" s="5"/>
      <c r="C855" s="35"/>
      <c r="D855" s="18"/>
      <c r="E855" s="5"/>
      <c r="F855" s="14"/>
      <c r="G855" s="5"/>
      <c r="H855" s="27"/>
      <c r="I855" s="5"/>
      <c r="J855" s="19" t="str">
        <f aca="false">IF(A855="","",IFERROR(INDEX(Empresas!$D:$D,MATCH(A855,Empresas!$A:$A,0))&amp;"","não consta"))</f>
        <v/>
      </c>
      <c r="K855" s="19" t="str">
        <f aca="false">IF(A855="","",IFERROR(INDEX(Sancoes!$B:$B,MATCH(A855,Sancoes!$A:$A,0))&amp;"","não consta"))</f>
        <v/>
      </c>
      <c r="L855" s="19" t="str">
        <f aca="false">IF(A855="","",IFERROR(INDEX(Eleitoral!$B:$B,MATCH(A855,Eleitoral!$A:$A,0))&amp;"","não consta"))</f>
        <v/>
      </c>
      <c r="M855" s="28" t="str">
        <f aca="false">IF(A855="","",IF(OR(AND(K855&lt;&gt;"",LOWER(K855)&lt;&gt;"não consta"),AND(L855&lt;&gt;"",LOWER(L855)&lt;&gt;"não consta"),IFERROR(INDEX(Empresas!$G:$G,MATCH(A855,Empresas!$A:$A,0))&amp;"","")&lt;&gt;""),"SIM",""))</f>
        <v/>
      </c>
      <c r="N855" s="5"/>
      <c r="O855" s="32" t="str">
        <f aca="false">IF(D855="","",YEAR(D855))</f>
        <v/>
      </c>
      <c r="P855" s="5"/>
    </row>
    <row r="856" customFormat="false" ht="15" hidden="false" customHeight="false" outlineLevel="0" collapsed="false">
      <c r="A856" s="27"/>
      <c r="B856" s="5"/>
      <c r="C856" s="35"/>
      <c r="D856" s="18"/>
      <c r="E856" s="5"/>
      <c r="F856" s="14"/>
      <c r="G856" s="5"/>
      <c r="H856" s="27"/>
      <c r="I856" s="5"/>
      <c r="J856" s="19" t="str">
        <f aca="false">IF(A856="","",IFERROR(INDEX(Empresas!$D:$D,MATCH(A856,Empresas!$A:$A,0))&amp;"","não consta"))</f>
        <v/>
      </c>
      <c r="K856" s="19" t="str">
        <f aca="false">IF(A856="","",IFERROR(INDEX(Sancoes!$B:$B,MATCH(A856,Sancoes!$A:$A,0))&amp;"","não consta"))</f>
        <v/>
      </c>
      <c r="L856" s="19" t="str">
        <f aca="false">IF(A856="","",IFERROR(INDEX(Eleitoral!$B:$B,MATCH(A856,Eleitoral!$A:$A,0))&amp;"","não consta"))</f>
        <v/>
      </c>
      <c r="M856" s="28" t="str">
        <f aca="false">IF(A856="","",IF(OR(AND(K856&lt;&gt;"",LOWER(K856)&lt;&gt;"não consta"),AND(L856&lt;&gt;"",LOWER(L856)&lt;&gt;"não consta"),IFERROR(INDEX(Empresas!$G:$G,MATCH(A856,Empresas!$A:$A,0))&amp;"","")&lt;&gt;""),"SIM",""))</f>
        <v/>
      </c>
      <c r="N856" s="5"/>
      <c r="O856" s="32" t="str">
        <f aca="false">IF(D856="","",YEAR(D856))</f>
        <v/>
      </c>
      <c r="P856" s="5"/>
    </row>
    <row r="857" customFormat="false" ht="15" hidden="false" customHeight="false" outlineLevel="0" collapsed="false">
      <c r="A857" s="27"/>
      <c r="B857" s="5"/>
      <c r="C857" s="35"/>
      <c r="D857" s="18"/>
      <c r="E857" s="5"/>
      <c r="F857" s="14"/>
      <c r="G857" s="5"/>
      <c r="H857" s="27"/>
      <c r="I857" s="5"/>
      <c r="J857" s="19" t="str">
        <f aca="false">IF(A857="","",IFERROR(INDEX(Empresas!$D:$D,MATCH(A857,Empresas!$A:$A,0))&amp;"","não consta"))</f>
        <v/>
      </c>
      <c r="K857" s="19" t="str">
        <f aca="false">IF(A857="","",IFERROR(INDEX(Sancoes!$B:$B,MATCH(A857,Sancoes!$A:$A,0))&amp;"","não consta"))</f>
        <v/>
      </c>
      <c r="L857" s="19" t="str">
        <f aca="false">IF(A857="","",IFERROR(INDEX(Eleitoral!$B:$B,MATCH(A857,Eleitoral!$A:$A,0))&amp;"","não consta"))</f>
        <v/>
      </c>
      <c r="M857" s="28" t="str">
        <f aca="false">IF(A857="","",IF(OR(AND(K857&lt;&gt;"",LOWER(K857)&lt;&gt;"não consta"),AND(L857&lt;&gt;"",LOWER(L857)&lt;&gt;"não consta"),IFERROR(INDEX(Empresas!$G:$G,MATCH(A857,Empresas!$A:$A,0))&amp;"","")&lt;&gt;""),"SIM",""))</f>
        <v/>
      </c>
      <c r="N857" s="5"/>
      <c r="O857" s="32" t="str">
        <f aca="false">IF(D857="","",YEAR(D857))</f>
        <v/>
      </c>
      <c r="P857" s="5"/>
    </row>
    <row r="858" customFormat="false" ht="15" hidden="false" customHeight="false" outlineLevel="0" collapsed="false">
      <c r="A858" s="27"/>
      <c r="B858" s="5"/>
      <c r="C858" s="35"/>
      <c r="D858" s="18"/>
      <c r="E858" s="5"/>
      <c r="F858" s="14"/>
      <c r="G858" s="5"/>
      <c r="H858" s="27"/>
      <c r="I858" s="5"/>
      <c r="J858" s="19" t="str">
        <f aca="false">IF(A858="","",IFERROR(INDEX(Empresas!$D:$D,MATCH(A858,Empresas!$A:$A,0))&amp;"","não consta"))</f>
        <v/>
      </c>
      <c r="K858" s="19" t="str">
        <f aca="false">IF(A858="","",IFERROR(INDEX(Sancoes!$B:$B,MATCH(A858,Sancoes!$A:$A,0))&amp;"","não consta"))</f>
        <v/>
      </c>
      <c r="L858" s="19" t="str">
        <f aca="false">IF(A858="","",IFERROR(INDEX(Eleitoral!$B:$B,MATCH(A858,Eleitoral!$A:$A,0))&amp;"","não consta"))</f>
        <v/>
      </c>
      <c r="M858" s="28" t="str">
        <f aca="false">IF(A858="","",IF(OR(AND(K858&lt;&gt;"",LOWER(K858)&lt;&gt;"não consta"),AND(L858&lt;&gt;"",LOWER(L858)&lt;&gt;"não consta"),IFERROR(INDEX(Empresas!$G:$G,MATCH(A858,Empresas!$A:$A,0))&amp;"","")&lt;&gt;""),"SIM",""))</f>
        <v/>
      </c>
      <c r="N858" s="5"/>
      <c r="O858" s="32" t="str">
        <f aca="false">IF(D858="","",YEAR(D858))</f>
        <v/>
      </c>
      <c r="P858" s="5"/>
    </row>
    <row r="859" customFormat="false" ht="15" hidden="false" customHeight="false" outlineLevel="0" collapsed="false">
      <c r="A859" s="27"/>
      <c r="B859" s="5"/>
      <c r="C859" s="35"/>
      <c r="D859" s="18"/>
      <c r="E859" s="5"/>
      <c r="F859" s="14"/>
      <c r="G859" s="5"/>
      <c r="H859" s="27"/>
      <c r="I859" s="5"/>
      <c r="J859" s="19" t="str">
        <f aca="false">IF(A859="","",IFERROR(INDEX(Empresas!$D:$D,MATCH(A859,Empresas!$A:$A,0))&amp;"","não consta"))</f>
        <v/>
      </c>
      <c r="K859" s="19" t="str">
        <f aca="false">IF(A859="","",IFERROR(INDEX(Sancoes!$B:$B,MATCH(A859,Sancoes!$A:$A,0))&amp;"","não consta"))</f>
        <v/>
      </c>
      <c r="L859" s="19" t="str">
        <f aca="false">IF(A859="","",IFERROR(INDEX(Eleitoral!$B:$B,MATCH(A859,Eleitoral!$A:$A,0))&amp;"","não consta"))</f>
        <v/>
      </c>
      <c r="M859" s="28" t="str">
        <f aca="false">IF(A859="","",IF(OR(AND(K859&lt;&gt;"",LOWER(K859)&lt;&gt;"não consta"),AND(L859&lt;&gt;"",LOWER(L859)&lt;&gt;"não consta"),IFERROR(INDEX(Empresas!$G:$G,MATCH(A859,Empresas!$A:$A,0))&amp;"","")&lt;&gt;""),"SIM",""))</f>
        <v/>
      </c>
      <c r="N859" s="5"/>
      <c r="O859" s="32" t="str">
        <f aca="false">IF(D859="","",YEAR(D859))</f>
        <v/>
      </c>
      <c r="P859" s="5"/>
    </row>
    <row r="860" customFormat="false" ht="15" hidden="false" customHeight="false" outlineLevel="0" collapsed="false">
      <c r="A860" s="27"/>
      <c r="B860" s="5"/>
      <c r="C860" s="35"/>
      <c r="D860" s="18"/>
      <c r="E860" s="5"/>
      <c r="F860" s="14"/>
      <c r="G860" s="5"/>
      <c r="H860" s="27"/>
      <c r="I860" s="5"/>
      <c r="J860" s="19" t="str">
        <f aca="false">IF(A860="","",IFERROR(INDEX(Empresas!$D:$D,MATCH(A860,Empresas!$A:$A,0))&amp;"","não consta"))</f>
        <v/>
      </c>
      <c r="K860" s="19" t="str">
        <f aca="false">IF(A860="","",IFERROR(INDEX(Sancoes!$B:$B,MATCH(A860,Sancoes!$A:$A,0))&amp;"","não consta"))</f>
        <v/>
      </c>
      <c r="L860" s="19" t="str">
        <f aca="false">IF(A860="","",IFERROR(INDEX(Eleitoral!$B:$B,MATCH(A860,Eleitoral!$A:$A,0))&amp;"","não consta"))</f>
        <v/>
      </c>
      <c r="M860" s="28" t="str">
        <f aca="false">IF(A860="","",IF(OR(AND(K860&lt;&gt;"",LOWER(K860)&lt;&gt;"não consta"),AND(L860&lt;&gt;"",LOWER(L860)&lt;&gt;"não consta"),IFERROR(INDEX(Empresas!$G:$G,MATCH(A860,Empresas!$A:$A,0))&amp;"","")&lt;&gt;""),"SIM",""))</f>
        <v/>
      </c>
      <c r="N860" s="5"/>
      <c r="O860" s="32" t="str">
        <f aca="false">IF(D860="","",YEAR(D860))</f>
        <v/>
      </c>
      <c r="P860" s="5"/>
    </row>
    <row r="861" customFormat="false" ht="15" hidden="false" customHeight="false" outlineLevel="0" collapsed="false">
      <c r="A861" s="27"/>
      <c r="B861" s="5"/>
      <c r="C861" s="35"/>
      <c r="D861" s="18"/>
      <c r="E861" s="5"/>
      <c r="F861" s="14"/>
      <c r="G861" s="5"/>
      <c r="H861" s="27"/>
      <c r="I861" s="5"/>
      <c r="J861" s="19" t="str">
        <f aca="false">IF(A861="","",IFERROR(INDEX(Empresas!$D:$D,MATCH(A861,Empresas!$A:$A,0))&amp;"","não consta"))</f>
        <v/>
      </c>
      <c r="K861" s="19" t="str">
        <f aca="false">IF(A861="","",IFERROR(INDEX(Sancoes!$B:$B,MATCH(A861,Sancoes!$A:$A,0))&amp;"","não consta"))</f>
        <v/>
      </c>
      <c r="L861" s="19" t="str">
        <f aca="false">IF(A861="","",IFERROR(INDEX(Eleitoral!$B:$B,MATCH(A861,Eleitoral!$A:$A,0))&amp;"","não consta"))</f>
        <v/>
      </c>
      <c r="M861" s="28" t="str">
        <f aca="false">IF(A861="","",IF(OR(AND(K861&lt;&gt;"",LOWER(K861)&lt;&gt;"não consta"),AND(L861&lt;&gt;"",LOWER(L861)&lt;&gt;"não consta"),IFERROR(INDEX(Empresas!$G:$G,MATCH(A861,Empresas!$A:$A,0))&amp;"","")&lt;&gt;""),"SIM",""))</f>
        <v/>
      </c>
      <c r="N861" s="5"/>
      <c r="O861" s="32" t="str">
        <f aca="false">IF(D861="","",YEAR(D861))</f>
        <v/>
      </c>
      <c r="P861" s="5"/>
    </row>
    <row r="862" customFormat="false" ht="15" hidden="false" customHeight="false" outlineLevel="0" collapsed="false">
      <c r="A862" s="27"/>
      <c r="B862" s="5"/>
      <c r="C862" s="35"/>
      <c r="D862" s="18"/>
      <c r="E862" s="5"/>
      <c r="F862" s="14"/>
      <c r="G862" s="5"/>
      <c r="H862" s="27"/>
      <c r="I862" s="5"/>
      <c r="J862" s="19" t="str">
        <f aca="false">IF(A862="","",IFERROR(INDEX(Empresas!$D:$D,MATCH(A862,Empresas!$A:$A,0))&amp;"","não consta"))</f>
        <v/>
      </c>
      <c r="K862" s="19" t="str">
        <f aca="false">IF(A862="","",IFERROR(INDEX(Sancoes!$B:$B,MATCH(A862,Sancoes!$A:$A,0))&amp;"","não consta"))</f>
        <v/>
      </c>
      <c r="L862" s="19" t="str">
        <f aca="false">IF(A862="","",IFERROR(INDEX(Eleitoral!$B:$B,MATCH(A862,Eleitoral!$A:$A,0))&amp;"","não consta"))</f>
        <v/>
      </c>
      <c r="M862" s="28" t="str">
        <f aca="false">IF(A862="","",IF(OR(AND(K862&lt;&gt;"",LOWER(K862)&lt;&gt;"não consta"),AND(L862&lt;&gt;"",LOWER(L862)&lt;&gt;"não consta"),IFERROR(INDEX(Empresas!$G:$G,MATCH(A862,Empresas!$A:$A,0))&amp;"","")&lt;&gt;""),"SIM",""))</f>
        <v/>
      </c>
      <c r="N862" s="5"/>
      <c r="O862" s="32" t="str">
        <f aca="false">IF(D862="","",YEAR(D862))</f>
        <v/>
      </c>
      <c r="P862" s="5"/>
    </row>
    <row r="863" customFormat="false" ht="15" hidden="false" customHeight="false" outlineLevel="0" collapsed="false">
      <c r="A863" s="27"/>
      <c r="B863" s="5"/>
      <c r="C863" s="35"/>
      <c r="D863" s="18"/>
      <c r="E863" s="5"/>
      <c r="F863" s="14"/>
      <c r="G863" s="5"/>
      <c r="H863" s="27"/>
      <c r="I863" s="5"/>
      <c r="J863" s="19" t="str">
        <f aca="false">IF(A863="","",IFERROR(INDEX(Empresas!$D:$D,MATCH(A863,Empresas!$A:$A,0))&amp;"","não consta"))</f>
        <v/>
      </c>
      <c r="K863" s="19" t="str">
        <f aca="false">IF(A863="","",IFERROR(INDEX(Sancoes!$B:$B,MATCH(A863,Sancoes!$A:$A,0))&amp;"","não consta"))</f>
        <v/>
      </c>
      <c r="L863" s="19" t="str">
        <f aca="false">IF(A863="","",IFERROR(INDEX(Eleitoral!$B:$B,MATCH(A863,Eleitoral!$A:$A,0))&amp;"","não consta"))</f>
        <v/>
      </c>
      <c r="M863" s="28" t="str">
        <f aca="false">IF(A863="","",IF(OR(AND(K863&lt;&gt;"",LOWER(K863)&lt;&gt;"não consta"),AND(L863&lt;&gt;"",LOWER(L863)&lt;&gt;"não consta"),IFERROR(INDEX(Empresas!$G:$G,MATCH(A863,Empresas!$A:$A,0))&amp;"","")&lt;&gt;""),"SIM",""))</f>
        <v/>
      </c>
      <c r="N863" s="5"/>
      <c r="O863" s="32" t="str">
        <f aca="false">IF(D863="","",YEAR(D863))</f>
        <v/>
      </c>
      <c r="P863" s="5"/>
    </row>
    <row r="864" customFormat="false" ht="15" hidden="false" customHeight="false" outlineLevel="0" collapsed="false">
      <c r="A864" s="27"/>
      <c r="B864" s="5"/>
      <c r="C864" s="35"/>
      <c r="D864" s="18"/>
      <c r="E864" s="5"/>
      <c r="F864" s="14"/>
      <c r="G864" s="5"/>
      <c r="H864" s="27"/>
      <c r="I864" s="5"/>
      <c r="J864" s="19" t="str">
        <f aca="false">IF(A864="","",IFERROR(INDEX(Empresas!$D:$D,MATCH(A864,Empresas!$A:$A,0))&amp;"","não consta"))</f>
        <v/>
      </c>
      <c r="K864" s="19" t="str">
        <f aca="false">IF(A864="","",IFERROR(INDEX(Sancoes!$B:$B,MATCH(A864,Sancoes!$A:$A,0))&amp;"","não consta"))</f>
        <v/>
      </c>
      <c r="L864" s="19" t="str">
        <f aca="false">IF(A864="","",IFERROR(INDEX(Eleitoral!$B:$B,MATCH(A864,Eleitoral!$A:$A,0))&amp;"","não consta"))</f>
        <v/>
      </c>
      <c r="M864" s="28" t="str">
        <f aca="false">IF(A864="","",IF(OR(AND(K864&lt;&gt;"",LOWER(K864)&lt;&gt;"não consta"),AND(L864&lt;&gt;"",LOWER(L864)&lt;&gt;"não consta"),IFERROR(INDEX(Empresas!$G:$G,MATCH(A864,Empresas!$A:$A,0))&amp;"","")&lt;&gt;""),"SIM",""))</f>
        <v/>
      </c>
      <c r="N864" s="5"/>
      <c r="O864" s="32" t="str">
        <f aca="false">IF(D864="","",YEAR(D864))</f>
        <v/>
      </c>
      <c r="P864" s="5"/>
    </row>
    <row r="865" customFormat="false" ht="15" hidden="false" customHeight="false" outlineLevel="0" collapsed="false">
      <c r="A865" s="27"/>
      <c r="B865" s="5"/>
      <c r="C865" s="35"/>
      <c r="D865" s="18"/>
      <c r="E865" s="5"/>
      <c r="F865" s="14"/>
      <c r="G865" s="5"/>
      <c r="H865" s="27"/>
      <c r="I865" s="5"/>
      <c r="J865" s="19" t="str">
        <f aca="false">IF(A865="","",IFERROR(INDEX(Empresas!$D:$D,MATCH(A865,Empresas!$A:$A,0))&amp;"","não consta"))</f>
        <v/>
      </c>
      <c r="K865" s="19" t="str">
        <f aca="false">IF(A865="","",IFERROR(INDEX(Sancoes!$B:$B,MATCH(A865,Sancoes!$A:$A,0))&amp;"","não consta"))</f>
        <v/>
      </c>
      <c r="L865" s="19" t="str">
        <f aca="false">IF(A865="","",IFERROR(INDEX(Eleitoral!$B:$B,MATCH(A865,Eleitoral!$A:$A,0))&amp;"","não consta"))</f>
        <v/>
      </c>
      <c r="M865" s="28" t="str">
        <f aca="false">IF(A865="","",IF(OR(AND(K865&lt;&gt;"",LOWER(K865)&lt;&gt;"não consta"),AND(L865&lt;&gt;"",LOWER(L865)&lt;&gt;"não consta"),IFERROR(INDEX(Empresas!$G:$G,MATCH(A865,Empresas!$A:$A,0))&amp;"","")&lt;&gt;""),"SIM",""))</f>
        <v/>
      </c>
      <c r="N865" s="5"/>
      <c r="O865" s="32" t="str">
        <f aca="false">IF(D865="","",YEAR(D865))</f>
        <v/>
      </c>
      <c r="P865" s="5"/>
    </row>
    <row r="866" customFormat="false" ht="15" hidden="false" customHeight="false" outlineLevel="0" collapsed="false">
      <c r="A866" s="27"/>
      <c r="B866" s="5"/>
      <c r="C866" s="35"/>
      <c r="D866" s="18"/>
      <c r="E866" s="5"/>
      <c r="F866" s="14"/>
      <c r="G866" s="5"/>
      <c r="H866" s="27"/>
      <c r="I866" s="5"/>
      <c r="J866" s="19" t="str">
        <f aca="false">IF(A866="","",IFERROR(INDEX(Empresas!$D:$D,MATCH(A866,Empresas!$A:$A,0))&amp;"","não consta"))</f>
        <v/>
      </c>
      <c r="K866" s="19" t="str">
        <f aca="false">IF(A866="","",IFERROR(INDEX(Sancoes!$B:$B,MATCH(A866,Sancoes!$A:$A,0))&amp;"","não consta"))</f>
        <v/>
      </c>
      <c r="L866" s="19" t="str">
        <f aca="false">IF(A866="","",IFERROR(INDEX(Eleitoral!$B:$B,MATCH(A866,Eleitoral!$A:$A,0))&amp;"","não consta"))</f>
        <v/>
      </c>
      <c r="M866" s="28" t="str">
        <f aca="false">IF(A866="","",IF(OR(AND(K866&lt;&gt;"",LOWER(K866)&lt;&gt;"não consta"),AND(L866&lt;&gt;"",LOWER(L866)&lt;&gt;"não consta"),IFERROR(INDEX(Empresas!$G:$G,MATCH(A866,Empresas!$A:$A,0))&amp;"","")&lt;&gt;""),"SIM",""))</f>
        <v/>
      </c>
      <c r="N866" s="5"/>
      <c r="O866" s="32" t="str">
        <f aca="false">IF(D866="","",YEAR(D866))</f>
        <v/>
      </c>
      <c r="P866" s="5"/>
    </row>
    <row r="867" customFormat="false" ht="15" hidden="false" customHeight="false" outlineLevel="0" collapsed="false">
      <c r="A867" s="27"/>
      <c r="B867" s="5"/>
      <c r="C867" s="35"/>
      <c r="D867" s="18"/>
      <c r="E867" s="5"/>
      <c r="F867" s="14"/>
      <c r="G867" s="5"/>
      <c r="H867" s="27"/>
      <c r="I867" s="5"/>
      <c r="J867" s="19" t="str">
        <f aca="false">IF(A867="","",IFERROR(INDEX(Empresas!$D:$D,MATCH(A867,Empresas!$A:$A,0))&amp;"","não consta"))</f>
        <v/>
      </c>
      <c r="K867" s="19" t="str">
        <f aca="false">IF(A867="","",IFERROR(INDEX(Sancoes!$B:$B,MATCH(A867,Sancoes!$A:$A,0))&amp;"","não consta"))</f>
        <v/>
      </c>
      <c r="L867" s="19" t="str">
        <f aca="false">IF(A867="","",IFERROR(INDEX(Eleitoral!$B:$B,MATCH(A867,Eleitoral!$A:$A,0))&amp;"","não consta"))</f>
        <v/>
      </c>
      <c r="M867" s="28" t="str">
        <f aca="false">IF(A867="","",IF(OR(AND(K867&lt;&gt;"",LOWER(K867)&lt;&gt;"não consta"),AND(L867&lt;&gt;"",LOWER(L867)&lt;&gt;"não consta"),IFERROR(INDEX(Empresas!$G:$G,MATCH(A867,Empresas!$A:$A,0))&amp;"","")&lt;&gt;""),"SIM",""))</f>
        <v/>
      </c>
      <c r="N867" s="5"/>
      <c r="O867" s="32" t="str">
        <f aca="false">IF(D867="","",YEAR(D867))</f>
        <v/>
      </c>
      <c r="P867" s="5"/>
    </row>
    <row r="868" customFormat="false" ht="15" hidden="false" customHeight="false" outlineLevel="0" collapsed="false">
      <c r="A868" s="27"/>
      <c r="B868" s="5"/>
      <c r="C868" s="35"/>
      <c r="D868" s="18"/>
      <c r="E868" s="5"/>
      <c r="F868" s="14"/>
      <c r="G868" s="5"/>
      <c r="H868" s="27"/>
      <c r="I868" s="5"/>
      <c r="J868" s="19" t="str">
        <f aca="false">IF(A868="","",IFERROR(INDEX(Empresas!$D:$D,MATCH(A868,Empresas!$A:$A,0))&amp;"","não consta"))</f>
        <v/>
      </c>
      <c r="K868" s="19" t="str">
        <f aca="false">IF(A868="","",IFERROR(INDEX(Sancoes!$B:$B,MATCH(A868,Sancoes!$A:$A,0))&amp;"","não consta"))</f>
        <v/>
      </c>
      <c r="L868" s="19" t="str">
        <f aca="false">IF(A868="","",IFERROR(INDEX(Eleitoral!$B:$B,MATCH(A868,Eleitoral!$A:$A,0))&amp;"","não consta"))</f>
        <v/>
      </c>
      <c r="M868" s="28" t="str">
        <f aca="false">IF(A868="","",IF(OR(AND(K868&lt;&gt;"",LOWER(K868)&lt;&gt;"não consta"),AND(L868&lt;&gt;"",LOWER(L868)&lt;&gt;"não consta"),IFERROR(INDEX(Empresas!$G:$G,MATCH(A868,Empresas!$A:$A,0))&amp;"","")&lt;&gt;""),"SIM",""))</f>
        <v/>
      </c>
      <c r="N868" s="5"/>
      <c r="O868" s="32" t="str">
        <f aca="false">IF(D868="","",YEAR(D868))</f>
        <v/>
      </c>
      <c r="P868" s="5"/>
    </row>
    <row r="869" customFormat="false" ht="15" hidden="false" customHeight="false" outlineLevel="0" collapsed="false">
      <c r="A869" s="27"/>
      <c r="B869" s="5"/>
      <c r="C869" s="35"/>
      <c r="D869" s="18"/>
      <c r="E869" s="5"/>
      <c r="F869" s="14"/>
      <c r="G869" s="5"/>
      <c r="H869" s="27"/>
      <c r="I869" s="5"/>
      <c r="J869" s="19" t="str">
        <f aca="false">IF(A869="","",IFERROR(INDEX(Empresas!$D:$D,MATCH(A869,Empresas!$A:$A,0))&amp;"","não consta"))</f>
        <v/>
      </c>
      <c r="K869" s="19" t="str">
        <f aca="false">IF(A869="","",IFERROR(INDEX(Sancoes!$B:$B,MATCH(A869,Sancoes!$A:$A,0))&amp;"","não consta"))</f>
        <v/>
      </c>
      <c r="L869" s="19" t="str">
        <f aca="false">IF(A869="","",IFERROR(INDEX(Eleitoral!$B:$B,MATCH(A869,Eleitoral!$A:$A,0))&amp;"","não consta"))</f>
        <v/>
      </c>
      <c r="M869" s="28" t="str">
        <f aca="false">IF(A869="","",IF(OR(AND(K869&lt;&gt;"",LOWER(K869)&lt;&gt;"não consta"),AND(L869&lt;&gt;"",LOWER(L869)&lt;&gt;"não consta"),IFERROR(INDEX(Empresas!$G:$G,MATCH(A869,Empresas!$A:$A,0))&amp;"","")&lt;&gt;""),"SIM",""))</f>
        <v/>
      </c>
      <c r="N869" s="5"/>
      <c r="O869" s="32" t="str">
        <f aca="false">IF(D869="","",YEAR(D869))</f>
        <v/>
      </c>
      <c r="P869" s="5"/>
    </row>
    <row r="870" customFormat="false" ht="15" hidden="false" customHeight="false" outlineLevel="0" collapsed="false">
      <c r="A870" s="27"/>
      <c r="B870" s="5"/>
      <c r="C870" s="35"/>
      <c r="D870" s="18"/>
      <c r="E870" s="5"/>
      <c r="F870" s="14"/>
      <c r="G870" s="5"/>
      <c r="H870" s="27"/>
      <c r="I870" s="5"/>
      <c r="J870" s="19" t="str">
        <f aca="false">IF(A870="","",IFERROR(INDEX(Empresas!$D:$D,MATCH(A870,Empresas!$A:$A,0))&amp;"","não consta"))</f>
        <v/>
      </c>
      <c r="K870" s="19" t="str">
        <f aca="false">IF(A870="","",IFERROR(INDEX(Sancoes!$B:$B,MATCH(A870,Sancoes!$A:$A,0))&amp;"","não consta"))</f>
        <v/>
      </c>
      <c r="L870" s="19" t="str">
        <f aca="false">IF(A870="","",IFERROR(INDEX(Eleitoral!$B:$B,MATCH(A870,Eleitoral!$A:$A,0))&amp;"","não consta"))</f>
        <v/>
      </c>
      <c r="M870" s="28" t="str">
        <f aca="false">IF(A870="","",IF(OR(AND(K870&lt;&gt;"",LOWER(K870)&lt;&gt;"não consta"),AND(L870&lt;&gt;"",LOWER(L870)&lt;&gt;"não consta"),IFERROR(INDEX(Empresas!$G:$G,MATCH(A870,Empresas!$A:$A,0))&amp;"","")&lt;&gt;""),"SIM",""))</f>
        <v/>
      </c>
      <c r="N870" s="5"/>
      <c r="O870" s="32" t="str">
        <f aca="false">IF(D870="","",YEAR(D870))</f>
        <v/>
      </c>
      <c r="P870" s="5"/>
    </row>
    <row r="871" customFormat="false" ht="15" hidden="false" customHeight="false" outlineLevel="0" collapsed="false">
      <c r="A871" s="27"/>
      <c r="B871" s="5"/>
      <c r="C871" s="35"/>
      <c r="D871" s="18"/>
      <c r="E871" s="5"/>
      <c r="F871" s="14"/>
      <c r="G871" s="5"/>
      <c r="H871" s="27"/>
      <c r="I871" s="5"/>
      <c r="J871" s="19" t="str">
        <f aca="false">IF(A871="","",IFERROR(INDEX(Empresas!$D:$D,MATCH(A871,Empresas!$A:$A,0))&amp;"","não consta"))</f>
        <v/>
      </c>
      <c r="K871" s="19" t="str">
        <f aca="false">IF(A871="","",IFERROR(INDEX(Sancoes!$B:$B,MATCH(A871,Sancoes!$A:$A,0))&amp;"","não consta"))</f>
        <v/>
      </c>
      <c r="L871" s="19" t="str">
        <f aca="false">IF(A871="","",IFERROR(INDEX(Eleitoral!$B:$B,MATCH(A871,Eleitoral!$A:$A,0))&amp;"","não consta"))</f>
        <v/>
      </c>
      <c r="M871" s="28" t="str">
        <f aca="false">IF(A871="","",IF(OR(AND(K871&lt;&gt;"",LOWER(K871)&lt;&gt;"não consta"),AND(L871&lt;&gt;"",LOWER(L871)&lt;&gt;"não consta"),IFERROR(INDEX(Empresas!$G:$G,MATCH(A871,Empresas!$A:$A,0))&amp;"","")&lt;&gt;""),"SIM",""))</f>
        <v/>
      </c>
      <c r="N871" s="5"/>
      <c r="O871" s="32" t="str">
        <f aca="false">IF(D871="","",YEAR(D871))</f>
        <v/>
      </c>
      <c r="P871" s="5"/>
    </row>
    <row r="872" customFormat="false" ht="15" hidden="false" customHeight="false" outlineLevel="0" collapsed="false">
      <c r="A872" s="27"/>
      <c r="B872" s="5"/>
      <c r="C872" s="35"/>
      <c r="D872" s="18"/>
      <c r="E872" s="5"/>
      <c r="F872" s="14"/>
      <c r="G872" s="5"/>
      <c r="H872" s="27"/>
      <c r="I872" s="5"/>
      <c r="J872" s="19" t="str">
        <f aca="false">IF(A872="","",IFERROR(INDEX(Empresas!$D:$D,MATCH(A872,Empresas!$A:$A,0))&amp;"","não consta"))</f>
        <v/>
      </c>
      <c r="K872" s="19" t="str">
        <f aca="false">IF(A872="","",IFERROR(INDEX(Sancoes!$B:$B,MATCH(A872,Sancoes!$A:$A,0))&amp;"","não consta"))</f>
        <v/>
      </c>
      <c r="L872" s="19" t="str">
        <f aca="false">IF(A872="","",IFERROR(INDEX(Eleitoral!$B:$B,MATCH(A872,Eleitoral!$A:$A,0))&amp;"","não consta"))</f>
        <v/>
      </c>
      <c r="M872" s="28" t="str">
        <f aca="false">IF(A872="","",IF(OR(AND(K872&lt;&gt;"",LOWER(K872)&lt;&gt;"não consta"),AND(L872&lt;&gt;"",LOWER(L872)&lt;&gt;"não consta"),IFERROR(INDEX(Empresas!$G:$G,MATCH(A872,Empresas!$A:$A,0))&amp;"","")&lt;&gt;""),"SIM",""))</f>
        <v/>
      </c>
      <c r="N872" s="5"/>
      <c r="O872" s="32" t="str">
        <f aca="false">IF(D872="","",YEAR(D872))</f>
        <v/>
      </c>
      <c r="P872" s="5"/>
    </row>
    <row r="873" customFormat="false" ht="15" hidden="false" customHeight="false" outlineLevel="0" collapsed="false">
      <c r="A873" s="27"/>
      <c r="B873" s="5"/>
      <c r="C873" s="35"/>
      <c r="D873" s="18"/>
      <c r="E873" s="5"/>
      <c r="F873" s="14"/>
      <c r="G873" s="5"/>
      <c r="H873" s="27"/>
      <c r="I873" s="5"/>
      <c r="J873" s="19" t="str">
        <f aca="false">IF(A873="","",IFERROR(INDEX(Empresas!$D:$D,MATCH(A873,Empresas!$A:$A,0))&amp;"","não consta"))</f>
        <v/>
      </c>
      <c r="K873" s="19" t="str">
        <f aca="false">IF(A873="","",IFERROR(INDEX(Sancoes!$B:$B,MATCH(A873,Sancoes!$A:$A,0))&amp;"","não consta"))</f>
        <v/>
      </c>
      <c r="L873" s="19" t="str">
        <f aca="false">IF(A873="","",IFERROR(INDEX(Eleitoral!$B:$B,MATCH(A873,Eleitoral!$A:$A,0))&amp;"","não consta"))</f>
        <v/>
      </c>
      <c r="M873" s="28" t="str">
        <f aca="false">IF(A873="","",IF(OR(AND(K873&lt;&gt;"",LOWER(K873)&lt;&gt;"não consta"),AND(L873&lt;&gt;"",LOWER(L873)&lt;&gt;"não consta"),IFERROR(INDEX(Empresas!$G:$G,MATCH(A873,Empresas!$A:$A,0))&amp;"","")&lt;&gt;""),"SIM",""))</f>
        <v/>
      </c>
      <c r="N873" s="5"/>
      <c r="O873" s="32" t="str">
        <f aca="false">IF(D873="","",YEAR(D873))</f>
        <v/>
      </c>
      <c r="P873" s="5"/>
    </row>
    <row r="874" customFormat="false" ht="15" hidden="false" customHeight="false" outlineLevel="0" collapsed="false">
      <c r="A874" s="27"/>
      <c r="B874" s="5"/>
      <c r="C874" s="35"/>
      <c r="D874" s="18"/>
      <c r="E874" s="5"/>
      <c r="F874" s="14"/>
      <c r="G874" s="5"/>
      <c r="H874" s="27"/>
      <c r="I874" s="5"/>
      <c r="J874" s="19" t="str">
        <f aca="false">IF(A874="","",IFERROR(INDEX(Empresas!$D:$D,MATCH(A874,Empresas!$A:$A,0))&amp;"","não consta"))</f>
        <v/>
      </c>
      <c r="K874" s="19" t="str">
        <f aca="false">IF(A874="","",IFERROR(INDEX(Sancoes!$B:$B,MATCH(A874,Sancoes!$A:$A,0))&amp;"","não consta"))</f>
        <v/>
      </c>
      <c r="L874" s="19" t="str">
        <f aca="false">IF(A874="","",IFERROR(INDEX(Eleitoral!$B:$B,MATCH(A874,Eleitoral!$A:$A,0))&amp;"","não consta"))</f>
        <v/>
      </c>
      <c r="M874" s="28" t="str">
        <f aca="false">IF(A874="","",IF(OR(AND(K874&lt;&gt;"",LOWER(K874)&lt;&gt;"não consta"),AND(L874&lt;&gt;"",LOWER(L874)&lt;&gt;"não consta"),IFERROR(INDEX(Empresas!$G:$G,MATCH(A874,Empresas!$A:$A,0))&amp;"","")&lt;&gt;""),"SIM",""))</f>
        <v/>
      </c>
      <c r="N874" s="5"/>
      <c r="O874" s="32" t="str">
        <f aca="false">IF(D874="","",YEAR(D874))</f>
        <v/>
      </c>
      <c r="P874" s="5"/>
    </row>
    <row r="875" customFormat="false" ht="15" hidden="false" customHeight="false" outlineLevel="0" collapsed="false">
      <c r="A875" s="27"/>
      <c r="B875" s="5"/>
      <c r="C875" s="35"/>
      <c r="D875" s="18"/>
      <c r="E875" s="5"/>
      <c r="F875" s="14"/>
      <c r="G875" s="5"/>
      <c r="H875" s="27"/>
      <c r="I875" s="5"/>
      <c r="J875" s="19" t="str">
        <f aca="false">IF(A875="","",IFERROR(INDEX(Empresas!$D:$D,MATCH(A875,Empresas!$A:$A,0))&amp;"","não consta"))</f>
        <v/>
      </c>
      <c r="K875" s="19" t="str">
        <f aca="false">IF(A875="","",IFERROR(INDEX(Sancoes!$B:$B,MATCH(A875,Sancoes!$A:$A,0))&amp;"","não consta"))</f>
        <v/>
      </c>
      <c r="L875" s="19" t="str">
        <f aca="false">IF(A875="","",IFERROR(INDEX(Eleitoral!$B:$B,MATCH(A875,Eleitoral!$A:$A,0))&amp;"","não consta"))</f>
        <v/>
      </c>
      <c r="M875" s="28" t="str">
        <f aca="false">IF(A875="","",IF(OR(AND(K875&lt;&gt;"",LOWER(K875)&lt;&gt;"não consta"),AND(L875&lt;&gt;"",LOWER(L875)&lt;&gt;"não consta"),IFERROR(INDEX(Empresas!$G:$G,MATCH(A875,Empresas!$A:$A,0))&amp;"","")&lt;&gt;""),"SIM",""))</f>
        <v/>
      </c>
      <c r="N875" s="5"/>
      <c r="O875" s="32" t="str">
        <f aca="false">IF(D875="","",YEAR(D875))</f>
        <v/>
      </c>
      <c r="P875" s="5"/>
    </row>
    <row r="876" customFormat="false" ht="15" hidden="false" customHeight="false" outlineLevel="0" collapsed="false">
      <c r="A876" s="27"/>
      <c r="B876" s="5"/>
      <c r="C876" s="35"/>
      <c r="D876" s="18"/>
      <c r="E876" s="5"/>
      <c r="F876" s="14"/>
      <c r="G876" s="5"/>
      <c r="H876" s="27"/>
      <c r="I876" s="5"/>
      <c r="J876" s="19" t="str">
        <f aca="false">IF(A876="","",IFERROR(INDEX(Empresas!$D:$D,MATCH(A876,Empresas!$A:$A,0))&amp;"","não consta"))</f>
        <v/>
      </c>
      <c r="K876" s="19" t="str">
        <f aca="false">IF(A876="","",IFERROR(INDEX(Sancoes!$B:$B,MATCH(A876,Sancoes!$A:$A,0))&amp;"","não consta"))</f>
        <v/>
      </c>
      <c r="L876" s="19" t="str">
        <f aca="false">IF(A876="","",IFERROR(INDEX(Eleitoral!$B:$B,MATCH(A876,Eleitoral!$A:$A,0))&amp;"","não consta"))</f>
        <v/>
      </c>
      <c r="M876" s="28" t="str">
        <f aca="false">IF(A876="","",IF(OR(AND(K876&lt;&gt;"",LOWER(K876)&lt;&gt;"não consta"),AND(L876&lt;&gt;"",LOWER(L876)&lt;&gt;"não consta"),IFERROR(INDEX(Empresas!$G:$G,MATCH(A876,Empresas!$A:$A,0))&amp;"","")&lt;&gt;""),"SIM",""))</f>
        <v/>
      </c>
      <c r="N876" s="5"/>
      <c r="O876" s="32" t="str">
        <f aca="false">IF(D876="","",YEAR(D876))</f>
        <v/>
      </c>
      <c r="P876" s="5"/>
    </row>
    <row r="877" customFormat="false" ht="15" hidden="false" customHeight="false" outlineLevel="0" collapsed="false">
      <c r="A877" s="27"/>
      <c r="B877" s="5"/>
      <c r="C877" s="35"/>
      <c r="D877" s="18"/>
      <c r="E877" s="5"/>
      <c r="F877" s="14"/>
      <c r="G877" s="5"/>
      <c r="H877" s="27"/>
      <c r="I877" s="5"/>
      <c r="J877" s="19" t="str">
        <f aca="false">IF(A877="","",IFERROR(INDEX(Empresas!$D:$D,MATCH(A877,Empresas!$A:$A,0))&amp;"","não consta"))</f>
        <v/>
      </c>
      <c r="K877" s="19" t="str">
        <f aca="false">IF(A877="","",IFERROR(INDEX(Sancoes!$B:$B,MATCH(A877,Sancoes!$A:$A,0))&amp;"","não consta"))</f>
        <v/>
      </c>
      <c r="L877" s="19" t="str">
        <f aca="false">IF(A877="","",IFERROR(INDEX(Eleitoral!$B:$B,MATCH(A877,Eleitoral!$A:$A,0))&amp;"","não consta"))</f>
        <v/>
      </c>
      <c r="M877" s="28" t="str">
        <f aca="false">IF(A877="","",IF(OR(AND(K877&lt;&gt;"",LOWER(K877)&lt;&gt;"não consta"),AND(L877&lt;&gt;"",LOWER(L877)&lt;&gt;"não consta"),IFERROR(INDEX(Empresas!$G:$G,MATCH(A877,Empresas!$A:$A,0))&amp;"","")&lt;&gt;""),"SIM",""))</f>
        <v/>
      </c>
      <c r="N877" s="5"/>
      <c r="O877" s="32" t="str">
        <f aca="false">IF(D877="","",YEAR(D877))</f>
        <v/>
      </c>
      <c r="P877" s="5"/>
    </row>
    <row r="878" customFormat="false" ht="15" hidden="false" customHeight="false" outlineLevel="0" collapsed="false">
      <c r="A878" s="27"/>
      <c r="B878" s="5"/>
      <c r="C878" s="35"/>
      <c r="D878" s="18"/>
      <c r="E878" s="5"/>
      <c r="F878" s="14"/>
      <c r="G878" s="5"/>
      <c r="H878" s="27"/>
      <c r="I878" s="5"/>
      <c r="J878" s="19" t="str">
        <f aca="false">IF(A878="","",IFERROR(INDEX(Empresas!$D:$D,MATCH(A878,Empresas!$A:$A,0))&amp;"","não consta"))</f>
        <v/>
      </c>
      <c r="K878" s="19" t="str">
        <f aca="false">IF(A878="","",IFERROR(INDEX(Sancoes!$B:$B,MATCH(A878,Sancoes!$A:$A,0))&amp;"","não consta"))</f>
        <v/>
      </c>
      <c r="L878" s="19" t="str">
        <f aca="false">IF(A878="","",IFERROR(INDEX(Eleitoral!$B:$B,MATCH(A878,Eleitoral!$A:$A,0))&amp;"","não consta"))</f>
        <v/>
      </c>
      <c r="M878" s="28" t="str">
        <f aca="false">IF(A878="","",IF(OR(AND(K878&lt;&gt;"",LOWER(K878)&lt;&gt;"não consta"),AND(L878&lt;&gt;"",LOWER(L878)&lt;&gt;"não consta"),IFERROR(INDEX(Empresas!$G:$G,MATCH(A878,Empresas!$A:$A,0))&amp;"","")&lt;&gt;""),"SIM",""))</f>
        <v/>
      </c>
      <c r="N878" s="5"/>
      <c r="O878" s="32" t="str">
        <f aca="false">IF(D878="","",YEAR(D878))</f>
        <v/>
      </c>
      <c r="P878" s="5"/>
    </row>
    <row r="879" customFormat="false" ht="15" hidden="false" customHeight="false" outlineLevel="0" collapsed="false">
      <c r="A879" s="27"/>
      <c r="B879" s="5"/>
      <c r="C879" s="35"/>
      <c r="D879" s="18"/>
      <c r="E879" s="5"/>
      <c r="F879" s="14"/>
      <c r="G879" s="5"/>
      <c r="H879" s="27"/>
      <c r="I879" s="5"/>
      <c r="J879" s="19" t="str">
        <f aca="false">IF(A879="","",IFERROR(INDEX(Empresas!$D:$D,MATCH(A879,Empresas!$A:$A,0))&amp;"","não consta"))</f>
        <v/>
      </c>
      <c r="K879" s="19" t="str">
        <f aca="false">IF(A879="","",IFERROR(INDEX(Sancoes!$B:$B,MATCH(A879,Sancoes!$A:$A,0))&amp;"","não consta"))</f>
        <v/>
      </c>
      <c r="L879" s="19" t="str">
        <f aca="false">IF(A879="","",IFERROR(INDEX(Eleitoral!$B:$B,MATCH(A879,Eleitoral!$A:$A,0))&amp;"","não consta"))</f>
        <v/>
      </c>
      <c r="M879" s="28" t="str">
        <f aca="false">IF(A879="","",IF(OR(AND(K879&lt;&gt;"",LOWER(K879)&lt;&gt;"não consta"),AND(L879&lt;&gt;"",LOWER(L879)&lt;&gt;"não consta"),IFERROR(INDEX(Empresas!$G:$G,MATCH(A879,Empresas!$A:$A,0))&amp;"","")&lt;&gt;""),"SIM",""))</f>
        <v/>
      </c>
      <c r="N879" s="5"/>
      <c r="O879" s="32" t="str">
        <f aca="false">IF(D879="","",YEAR(D879))</f>
        <v/>
      </c>
      <c r="P879" s="5"/>
    </row>
    <row r="880" customFormat="false" ht="15" hidden="false" customHeight="false" outlineLevel="0" collapsed="false">
      <c r="A880" s="27"/>
      <c r="B880" s="5"/>
      <c r="C880" s="35"/>
      <c r="D880" s="18"/>
      <c r="E880" s="5"/>
      <c r="F880" s="14"/>
      <c r="G880" s="5"/>
      <c r="H880" s="27"/>
      <c r="I880" s="5"/>
      <c r="J880" s="19" t="str">
        <f aca="false">IF(A880="","",IFERROR(INDEX(Empresas!$D:$D,MATCH(A880,Empresas!$A:$A,0))&amp;"","não consta"))</f>
        <v/>
      </c>
      <c r="K880" s="19" t="str">
        <f aca="false">IF(A880="","",IFERROR(INDEX(Sancoes!$B:$B,MATCH(A880,Sancoes!$A:$A,0))&amp;"","não consta"))</f>
        <v/>
      </c>
      <c r="L880" s="19" t="str">
        <f aca="false">IF(A880="","",IFERROR(INDEX(Eleitoral!$B:$B,MATCH(A880,Eleitoral!$A:$A,0))&amp;"","não consta"))</f>
        <v/>
      </c>
      <c r="M880" s="28" t="str">
        <f aca="false">IF(A880="","",IF(OR(AND(K880&lt;&gt;"",LOWER(K880)&lt;&gt;"não consta"),AND(L880&lt;&gt;"",LOWER(L880)&lt;&gt;"não consta"),IFERROR(INDEX(Empresas!$G:$G,MATCH(A880,Empresas!$A:$A,0))&amp;"","")&lt;&gt;""),"SIM",""))</f>
        <v/>
      </c>
      <c r="N880" s="5"/>
      <c r="O880" s="32" t="str">
        <f aca="false">IF(D880="","",YEAR(D880))</f>
        <v/>
      </c>
      <c r="P880" s="5"/>
    </row>
    <row r="881" customFormat="false" ht="15" hidden="false" customHeight="false" outlineLevel="0" collapsed="false">
      <c r="A881" s="27"/>
      <c r="B881" s="5"/>
      <c r="C881" s="35"/>
      <c r="D881" s="18"/>
      <c r="E881" s="5"/>
      <c r="F881" s="14"/>
      <c r="G881" s="5"/>
      <c r="H881" s="27"/>
      <c r="I881" s="5"/>
      <c r="J881" s="19" t="str">
        <f aca="false">IF(A881="","",IFERROR(INDEX(Empresas!$D:$D,MATCH(A881,Empresas!$A:$A,0))&amp;"","não consta"))</f>
        <v/>
      </c>
      <c r="K881" s="19" t="str">
        <f aca="false">IF(A881="","",IFERROR(INDEX(Sancoes!$B:$B,MATCH(A881,Sancoes!$A:$A,0))&amp;"","não consta"))</f>
        <v/>
      </c>
      <c r="L881" s="19" t="str">
        <f aca="false">IF(A881="","",IFERROR(INDEX(Eleitoral!$B:$B,MATCH(A881,Eleitoral!$A:$A,0))&amp;"","não consta"))</f>
        <v/>
      </c>
      <c r="M881" s="28" t="str">
        <f aca="false">IF(A881="","",IF(OR(AND(K881&lt;&gt;"",LOWER(K881)&lt;&gt;"não consta"),AND(L881&lt;&gt;"",LOWER(L881)&lt;&gt;"não consta"),IFERROR(INDEX(Empresas!$G:$G,MATCH(A881,Empresas!$A:$A,0))&amp;"","")&lt;&gt;""),"SIM",""))</f>
        <v/>
      </c>
      <c r="N881" s="5"/>
      <c r="O881" s="32" t="str">
        <f aca="false">IF(D881="","",YEAR(D881))</f>
        <v/>
      </c>
      <c r="P881" s="5"/>
    </row>
    <row r="882" customFormat="false" ht="15" hidden="false" customHeight="false" outlineLevel="0" collapsed="false">
      <c r="A882" s="27"/>
      <c r="B882" s="5"/>
      <c r="C882" s="35"/>
      <c r="D882" s="18"/>
      <c r="E882" s="5"/>
      <c r="F882" s="14"/>
      <c r="G882" s="5"/>
      <c r="H882" s="27"/>
      <c r="I882" s="5"/>
      <c r="J882" s="19" t="str">
        <f aca="false">IF(A882="","",IFERROR(INDEX(Empresas!$D:$D,MATCH(A882,Empresas!$A:$A,0))&amp;"","não consta"))</f>
        <v/>
      </c>
      <c r="K882" s="19" t="str">
        <f aca="false">IF(A882="","",IFERROR(INDEX(Sancoes!$B:$B,MATCH(A882,Sancoes!$A:$A,0))&amp;"","não consta"))</f>
        <v/>
      </c>
      <c r="L882" s="19" t="str">
        <f aca="false">IF(A882="","",IFERROR(INDEX(Eleitoral!$B:$B,MATCH(A882,Eleitoral!$A:$A,0))&amp;"","não consta"))</f>
        <v/>
      </c>
      <c r="M882" s="28" t="str">
        <f aca="false">IF(A882="","",IF(OR(AND(K882&lt;&gt;"",LOWER(K882)&lt;&gt;"não consta"),AND(L882&lt;&gt;"",LOWER(L882)&lt;&gt;"não consta"),IFERROR(INDEX(Empresas!$G:$G,MATCH(A882,Empresas!$A:$A,0))&amp;"","")&lt;&gt;""),"SIM",""))</f>
        <v/>
      </c>
      <c r="N882" s="5"/>
      <c r="O882" s="32" t="str">
        <f aca="false">IF(D882="","",YEAR(D882))</f>
        <v/>
      </c>
      <c r="P882" s="5"/>
    </row>
    <row r="883" customFormat="false" ht="15" hidden="false" customHeight="false" outlineLevel="0" collapsed="false">
      <c r="A883" s="27"/>
      <c r="B883" s="5"/>
      <c r="C883" s="35"/>
      <c r="D883" s="18"/>
      <c r="E883" s="5"/>
      <c r="F883" s="14"/>
      <c r="G883" s="5"/>
      <c r="H883" s="27"/>
      <c r="I883" s="5"/>
      <c r="J883" s="19" t="str">
        <f aca="false">IF(A883="","",IFERROR(INDEX(Empresas!$D:$D,MATCH(A883,Empresas!$A:$A,0))&amp;"","não consta"))</f>
        <v/>
      </c>
      <c r="K883" s="19" t="str">
        <f aca="false">IF(A883="","",IFERROR(INDEX(Sancoes!$B:$B,MATCH(A883,Sancoes!$A:$A,0))&amp;"","não consta"))</f>
        <v/>
      </c>
      <c r="L883" s="19" t="str">
        <f aca="false">IF(A883="","",IFERROR(INDEX(Eleitoral!$B:$B,MATCH(A883,Eleitoral!$A:$A,0))&amp;"","não consta"))</f>
        <v/>
      </c>
      <c r="M883" s="28" t="str">
        <f aca="false">IF(A883="","",IF(OR(AND(K883&lt;&gt;"",LOWER(K883)&lt;&gt;"não consta"),AND(L883&lt;&gt;"",LOWER(L883)&lt;&gt;"não consta"),IFERROR(INDEX(Empresas!$G:$G,MATCH(A883,Empresas!$A:$A,0))&amp;"","")&lt;&gt;""),"SIM",""))</f>
        <v/>
      </c>
      <c r="N883" s="5"/>
      <c r="O883" s="32" t="str">
        <f aca="false">IF(D883="","",YEAR(D883))</f>
        <v/>
      </c>
      <c r="P883" s="5"/>
    </row>
    <row r="884" customFormat="false" ht="15" hidden="false" customHeight="false" outlineLevel="0" collapsed="false">
      <c r="A884" s="27"/>
      <c r="B884" s="5"/>
      <c r="C884" s="35"/>
      <c r="D884" s="18"/>
      <c r="E884" s="5"/>
      <c r="F884" s="14"/>
      <c r="G884" s="5"/>
      <c r="H884" s="27"/>
      <c r="I884" s="5"/>
      <c r="J884" s="19" t="str">
        <f aca="false">IF(A884="","",IFERROR(INDEX(Empresas!$D:$D,MATCH(A884,Empresas!$A:$A,0))&amp;"","não consta"))</f>
        <v/>
      </c>
      <c r="K884" s="19" t="str">
        <f aca="false">IF(A884="","",IFERROR(INDEX(Sancoes!$B:$B,MATCH(A884,Sancoes!$A:$A,0))&amp;"","não consta"))</f>
        <v/>
      </c>
      <c r="L884" s="19" t="str">
        <f aca="false">IF(A884="","",IFERROR(INDEX(Eleitoral!$B:$B,MATCH(A884,Eleitoral!$A:$A,0))&amp;"","não consta"))</f>
        <v/>
      </c>
      <c r="M884" s="28" t="str">
        <f aca="false">IF(A884="","",IF(OR(AND(K884&lt;&gt;"",LOWER(K884)&lt;&gt;"não consta"),AND(L884&lt;&gt;"",LOWER(L884)&lt;&gt;"não consta"),IFERROR(INDEX(Empresas!$G:$G,MATCH(A884,Empresas!$A:$A,0))&amp;"","")&lt;&gt;""),"SIM",""))</f>
        <v/>
      </c>
      <c r="N884" s="5"/>
      <c r="O884" s="32" t="str">
        <f aca="false">IF(D884="","",YEAR(D884))</f>
        <v/>
      </c>
      <c r="P884" s="5"/>
    </row>
    <row r="885" customFormat="false" ht="15" hidden="false" customHeight="false" outlineLevel="0" collapsed="false">
      <c r="A885" s="27"/>
      <c r="B885" s="5"/>
      <c r="C885" s="35"/>
      <c r="D885" s="18"/>
      <c r="E885" s="5"/>
      <c r="F885" s="14"/>
      <c r="G885" s="5"/>
      <c r="H885" s="27"/>
      <c r="I885" s="5"/>
      <c r="J885" s="19" t="str">
        <f aca="false">IF(A885="","",IFERROR(INDEX(Empresas!$D:$D,MATCH(A885,Empresas!$A:$A,0))&amp;"","não consta"))</f>
        <v/>
      </c>
      <c r="K885" s="19" t="str">
        <f aca="false">IF(A885="","",IFERROR(INDEX(Sancoes!$B:$B,MATCH(A885,Sancoes!$A:$A,0))&amp;"","não consta"))</f>
        <v/>
      </c>
      <c r="L885" s="19" t="str">
        <f aca="false">IF(A885="","",IFERROR(INDEX(Eleitoral!$B:$B,MATCH(A885,Eleitoral!$A:$A,0))&amp;"","não consta"))</f>
        <v/>
      </c>
      <c r="M885" s="28" t="str">
        <f aca="false">IF(A885="","",IF(OR(AND(K885&lt;&gt;"",LOWER(K885)&lt;&gt;"não consta"),AND(L885&lt;&gt;"",LOWER(L885)&lt;&gt;"não consta"),IFERROR(INDEX(Empresas!$G:$G,MATCH(A885,Empresas!$A:$A,0))&amp;"","")&lt;&gt;""),"SIM",""))</f>
        <v/>
      </c>
      <c r="N885" s="5"/>
      <c r="O885" s="32" t="str">
        <f aca="false">IF(D885="","",YEAR(D885))</f>
        <v/>
      </c>
      <c r="P885" s="5"/>
    </row>
    <row r="886" customFormat="false" ht="15" hidden="false" customHeight="false" outlineLevel="0" collapsed="false">
      <c r="A886" s="27"/>
      <c r="B886" s="5"/>
      <c r="C886" s="35"/>
      <c r="D886" s="18"/>
      <c r="E886" s="5"/>
      <c r="F886" s="14"/>
      <c r="G886" s="5"/>
      <c r="H886" s="27"/>
      <c r="I886" s="5"/>
      <c r="J886" s="19" t="str">
        <f aca="false">IF(A886="","",IFERROR(INDEX(Empresas!$D:$D,MATCH(A886,Empresas!$A:$A,0))&amp;"","não consta"))</f>
        <v/>
      </c>
      <c r="K886" s="19" t="str">
        <f aca="false">IF(A886="","",IFERROR(INDEX(Sancoes!$B:$B,MATCH(A886,Sancoes!$A:$A,0))&amp;"","não consta"))</f>
        <v/>
      </c>
      <c r="L886" s="19" t="str">
        <f aca="false">IF(A886="","",IFERROR(INDEX(Eleitoral!$B:$B,MATCH(A886,Eleitoral!$A:$A,0))&amp;"","não consta"))</f>
        <v/>
      </c>
      <c r="M886" s="28" t="str">
        <f aca="false">IF(A886="","",IF(OR(AND(K886&lt;&gt;"",LOWER(K886)&lt;&gt;"não consta"),AND(L886&lt;&gt;"",LOWER(L886)&lt;&gt;"não consta"),IFERROR(INDEX(Empresas!$G:$G,MATCH(A886,Empresas!$A:$A,0))&amp;"","")&lt;&gt;""),"SIM",""))</f>
        <v/>
      </c>
      <c r="N886" s="5"/>
      <c r="O886" s="32" t="str">
        <f aca="false">IF(D886="","",YEAR(D886))</f>
        <v/>
      </c>
      <c r="P886" s="5"/>
    </row>
    <row r="887" customFormat="false" ht="15" hidden="false" customHeight="false" outlineLevel="0" collapsed="false">
      <c r="A887" s="27"/>
      <c r="B887" s="5"/>
      <c r="C887" s="35"/>
      <c r="D887" s="18"/>
      <c r="E887" s="5"/>
      <c r="F887" s="14"/>
      <c r="G887" s="5"/>
      <c r="H887" s="27"/>
      <c r="I887" s="5"/>
      <c r="J887" s="19" t="str">
        <f aca="false">IF(A887="","",IFERROR(INDEX(Empresas!$D:$D,MATCH(A887,Empresas!$A:$A,0))&amp;"","não consta"))</f>
        <v/>
      </c>
      <c r="K887" s="19" t="str">
        <f aca="false">IF(A887="","",IFERROR(INDEX(Sancoes!$B:$B,MATCH(A887,Sancoes!$A:$A,0))&amp;"","não consta"))</f>
        <v/>
      </c>
      <c r="L887" s="19" t="str">
        <f aca="false">IF(A887="","",IFERROR(INDEX(Eleitoral!$B:$B,MATCH(A887,Eleitoral!$A:$A,0))&amp;"","não consta"))</f>
        <v/>
      </c>
      <c r="M887" s="28" t="str">
        <f aca="false">IF(A887="","",IF(OR(AND(K887&lt;&gt;"",LOWER(K887)&lt;&gt;"não consta"),AND(L887&lt;&gt;"",LOWER(L887)&lt;&gt;"não consta"),IFERROR(INDEX(Empresas!$G:$G,MATCH(A887,Empresas!$A:$A,0))&amp;"","")&lt;&gt;""),"SIM",""))</f>
        <v/>
      </c>
      <c r="N887" s="5"/>
      <c r="O887" s="32" t="str">
        <f aca="false">IF(D887="","",YEAR(D887))</f>
        <v/>
      </c>
      <c r="P887" s="5"/>
    </row>
    <row r="888" customFormat="false" ht="15" hidden="false" customHeight="false" outlineLevel="0" collapsed="false">
      <c r="A888" s="27"/>
      <c r="B888" s="5"/>
      <c r="C888" s="35"/>
      <c r="D888" s="18"/>
      <c r="E888" s="5"/>
      <c r="F888" s="14"/>
      <c r="G888" s="5"/>
      <c r="H888" s="27"/>
      <c r="I888" s="5"/>
      <c r="J888" s="19" t="str">
        <f aca="false">IF(A888="","",IFERROR(INDEX(Empresas!$D:$D,MATCH(A888,Empresas!$A:$A,0))&amp;"","não consta"))</f>
        <v/>
      </c>
      <c r="K888" s="19" t="str">
        <f aca="false">IF(A888="","",IFERROR(INDEX(Sancoes!$B:$B,MATCH(A888,Sancoes!$A:$A,0))&amp;"","não consta"))</f>
        <v/>
      </c>
      <c r="L888" s="19" t="str">
        <f aca="false">IF(A888="","",IFERROR(INDEX(Eleitoral!$B:$B,MATCH(A888,Eleitoral!$A:$A,0))&amp;"","não consta"))</f>
        <v/>
      </c>
      <c r="M888" s="28" t="str">
        <f aca="false">IF(A888="","",IF(OR(AND(K888&lt;&gt;"",LOWER(K888)&lt;&gt;"não consta"),AND(L888&lt;&gt;"",LOWER(L888)&lt;&gt;"não consta"),IFERROR(INDEX(Empresas!$G:$G,MATCH(A888,Empresas!$A:$A,0))&amp;"","")&lt;&gt;""),"SIM",""))</f>
        <v/>
      </c>
      <c r="N888" s="5"/>
      <c r="O888" s="32" t="str">
        <f aca="false">IF(D888="","",YEAR(D888))</f>
        <v/>
      </c>
      <c r="P888" s="5"/>
    </row>
    <row r="889" customFormat="false" ht="15" hidden="false" customHeight="false" outlineLevel="0" collapsed="false">
      <c r="A889" s="27"/>
      <c r="B889" s="5"/>
      <c r="C889" s="35"/>
      <c r="D889" s="18"/>
      <c r="E889" s="5"/>
      <c r="F889" s="14"/>
      <c r="G889" s="5"/>
      <c r="H889" s="27"/>
      <c r="I889" s="5"/>
      <c r="J889" s="19" t="str">
        <f aca="false">IF(A889="","",IFERROR(INDEX(Empresas!$D:$D,MATCH(A889,Empresas!$A:$A,0))&amp;"","não consta"))</f>
        <v/>
      </c>
      <c r="K889" s="19" t="str">
        <f aca="false">IF(A889="","",IFERROR(INDEX(Sancoes!$B:$B,MATCH(A889,Sancoes!$A:$A,0))&amp;"","não consta"))</f>
        <v/>
      </c>
      <c r="L889" s="19" t="str">
        <f aca="false">IF(A889="","",IFERROR(INDEX(Eleitoral!$B:$B,MATCH(A889,Eleitoral!$A:$A,0))&amp;"","não consta"))</f>
        <v/>
      </c>
      <c r="M889" s="28" t="str">
        <f aca="false">IF(A889="","",IF(OR(AND(K889&lt;&gt;"",LOWER(K889)&lt;&gt;"não consta"),AND(L889&lt;&gt;"",LOWER(L889)&lt;&gt;"não consta"),IFERROR(INDEX(Empresas!$G:$G,MATCH(A889,Empresas!$A:$A,0))&amp;"","")&lt;&gt;""),"SIM",""))</f>
        <v/>
      </c>
      <c r="N889" s="5"/>
      <c r="O889" s="32" t="str">
        <f aca="false">IF(D889="","",YEAR(D889))</f>
        <v/>
      </c>
      <c r="P889" s="5"/>
    </row>
    <row r="890" customFormat="false" ht="15" hidden="false" customHeight="false" outlineLevel="0" collapsed="false">
      <c r="A890" s="27"/>
      <c r="B890" s="5"/>
      <c r="C890" s="35"/>
      <c r="D890" s="18"/>
      <c r="E890" s="5"/>
      <c r="F890" s="14"/>
      <c r="G890" s="5"/>
      <c r="H890" s="27"/>
      <c r="I890" s="5"/>
      <c r="J890" s="19" t="str">
        <f aca="false">IF(A890="","",IFERROR(INDEX(Empresas!$D:$D,MATCH(A890,Empresas!$A:$A,0))&amp;"","não consta"))</f>
        <v/>
      </c>
      <c r="K890" s="19" t="str">
        <f aca="false">IF(A890="","",IFERROR(INDEX(Sancoes!$B:$B,MATCH(A890,Sancoes!$A:$A,0))&amp;"","não consta"))</f>
        <v/>
      </c>
      <c r="L890" s="19" t="str">
        <f aca="false">IF(A890="","",IFERROR(INDEX(Eleitoral!$B:$B,MATCH(A890,Eleitoral!$A:$A,0))&amp;"","não consta"))</f>
        <v/>
      </c>
      <c r="M890" s="28" t="str">
        <f aca="false">IF(A890="","",IF(OR(AND(K890&lt;&gt;"",LOWER(K890)&lt;&gt;"não consta"),AND(L890&lt;&gt;"",LOWER(L890)&lt;&gt;"não consta"),IFERROR(INDEX(Empresas!$G:$G,MATCH(A890,Empresas!$A:$A,0))&amp;"","")&lt;&gt;""),"SIM",""))</f>
        <v/>
      </c>
      <c r="N890" s="5"/>
      <c r="O890" s="32" t="str">
        <f aca="false">IF(D890="","",YEAR(D890))</f>
        <v/>
      </c>
      <c r="P890" s="5"/>
    </row>
    <row r="891" customFormat="false" ht="15" hidden="false" customHeight="false" outlineLevel="0" collapsed="false">
      <c r="A891" s="27"/>
      <c r="B891" s="5"/>
      <c r="C891" s="35"/>
      <c r="D891" s="18"/>
      <c r="E891" s="5"/>
      <c r="F891" s="14"/>
      <c r="G891" s="5"/>
      <c r="H891" s="27"/>
      <c r="I891" s="5"/>
      <c r="J891" s="19" t="str">
        <f aca="false">IF(A891="","",IFERROR(INDEX(Empresas!$D:$D,MATCH(A891,Empresas!$A:$A,0))&amp;"","não consta"))</f>
        <v/>
      </c>
      <c r="K891" s="19" t="str">
        <f aca="false">IF(A891="","",IFERROR(INDEX(Sancoes!$B:$B,MATCH(A891,Sancoes!$A:$A,0))&amp;"","não consta"))</f>
        <v/>
      </c>
      <c r="L891" s="19" t="str">
        <f aca="false">IF(A891="","",IFERROR(INDEX(Eleitoral!$B:$B,MATCH(A891,Eleitoral!$A:$A,0))&amp;"","não consta"))</f>
        <v/>
      </c>
      <c r="M891" s="28" t="str">
        <f aca="false">IF(A891="","",IF(OR(AND(K891&lt;&gt;"",LOWER(K891)&lt;&gt;"não consta"),AND(L891&lt;&gt;"",LOWER(L891)&lt;&gt;"não consta"),IFERROR(INDEX(Empresas!$G:$G,MATCH(A891,Empresas!$A:$A,0))&amp;"","")&lt;&gt;""),"SIM",""))</f>
        <v/>
      </c>
      <c r="N891" s="5"/>
      <c r="O891" s="32" t="str">
        <f aca="false">IF(D891="","",YEAR(D891))</f>
        <v/>
      </c>
      <c r="P891" s="5"/>
    </row>
    <row r="892" customFormat="false" ht="15" hidden="false" customHeight="false" outlineLevel="0" collapsed="false">
      <c r="A892" s="27"/>
      <c r="B892" s="5"/>
      <c r="C892" s="35"/>
      <c r="D892" s="18"/>
      <c r="E892" s="5"/>
      <c r="F892" s="14"/>
      <c r="G892" s="5"/>
      <c r="H892" s="27"/>
      <c r="I892" s="5"/>
      <c r="J892" s="19" t="str">
        <f aca="false">IF(A892="","",IFERROR(INDEX(Empresas!$D:$D,MATCH(A892,Empresas!$A:$A,0))&amp;"","não consta"))</f>
        <v/>
      </c>
      <c r="K892" s="19" t="str">
        <f aca="false">IF(A892="","",IFERROR(INDEX(Sancoes!$B:$B,MATCH(A892,Sancoes!$A:$A,0))&amp;"","não consta"))</f>
        <v/>
      </c>
      <c r="L892" s="19" t="str">
        <f aca="false">IF(A892="","",IFERROR(INDEX(Eleitoral!$B:$B,MATCH(A892,Eleitoral!$A:$A,0))&amp;"","não consta"))</f>
        <v/>
      </c>
      <c r="M892" s="28" t="str">
        <f aca="false">IF(A892="","",IF(OR(AND(K892&lt;&gt;"",LOWER(K892)&lt;&gt;"não consta"),AND(L892&lt;&gt;"",LOWER(L892)&lt;&gt;"não consta"),IFERROR(INDEX(Empresas!$G:$G,MATCH(A892,Empresas!$A:$A,0))&amp;"","")&lt;&gt;""),"SIM",""))</f>
        <v/>
      </c>
      <c r="N892" s="5"/>
      <c r="O892" s="32" t="str">
        <f aca="false">IF(D892="","",YEAR(D892))</f>
        <v/>
      </c>
      <c r="P892" s="5"/>
    </row>
    <row r="893" customFormat="false" ht="15" hidden="false" customHeight="false" outlineLevel="0" collapsed="false">
      <c r="A893" s="27"/>
      <c r="B893" s="5"/>
      <c r="C893" s="35"/>
      <c r="D893" s="18"/>
      <c r="E893" s="5"/>
      <c r="F893" s="14"/>
      <c r="G893" s="5"/>
      <c r="H893" s="27"/>
      <c r="I893" s="5"/>
      <c r="J893" s="19" t="str">
        <f aca="false">IF(A893="","",IFERROR(INDEX(Empresas!$D:$D,MATCH(A893,Empresas!$A:$A,0))&amp;"","não consta"))</f>
        <v/>
      </c>
      <c r="K893" s="19" t="str">
        <f aca="false">IF(A893="","",IFERROR(INDEX(Sancoes!$B:$B,MATCH(A893,Sancoes!$A:$A,0))&amp;"","não consta"))</f>
        <v/>
      </c>
      <c r="L893" s="19" t="str">
        <f aca="false">IF(A893="","",IFERROR(INDEX(Eleitoral!$B:$B,MATCH(A893,Eleitoral!$A:$A,0))&amp;"","não consta"))</f>
        <v/>
      </c>
      <c r="M893" s="28" t="str">
        <f aca="false">IF(A893="","",IF(OR(AND(K893&lt;&gt;"",LOWER(K893)&lt;&gt;"não consta"),AND(L893&lt;&gt;"",LOWER(L893)&lt;&gt;"não consta"),IFERROR(INDEX(Empresas!$G:$G,MATCH(A893,Empresas!$A:$A,0))&amp;"","")&lt;&gt;""),"SIM",""))</f>
        <v/>
      </c>
      <c r="N893" s="5"/>
      <c r="O893" s="32" t="str">
        <f aca="false">IF(D893="","",YEAR(D893))</f>
        <v/>
      </c>
      <c r="P893" s="5"/>
    </row>
    <row r="894" customFormat="false" ht="15" hidden="false" customHeight="false" outlineLevel="0" collapsed="false">
      <c r="A894" s="27"/>
      <c r="B894" s="5"/>
      <c r="C894" s="35"/>
      <c r="D894" s="18"/>
      <c r="E894" s="5"/>
      <c r="F894" s="14"/>
      <c r="G894" s="5"/>
      <c r="H894" s="27"/>
      <c r="I894" s="5"/>
      <c r="J894" s="19" t="str">
        <f aca="false">IF(A894="","",IFERROR(INDEX(Empresas!$D:$D,MATCH(A894,Empresas!$A:$A,0))&amp;"","não consta"))</f>
        <v/>
      </c>
      <c r="K894" s="19" t="str">
        <f aca="false">IF(A894="","",IFERROR(INDEX(Sancoes!$B:$B,MATCH(A894,Sancoes!$A:$A,0))&amp;"","não consta"))</f>
        <v/>
      </c>
      <c r="L894" s="19" t="str">
        <f aca="false">IF(A894="","",IFERROR(INDEX(Eleitoral!$B:$B,MATCH(A894,Eleitoral!$A:$A,0))&amp;"","não consta"))</f>
        <v/>
      </c>
      <c r="M894" s="28" t="str">
        <f aca="false">IF(A894="","",IF(OR(AND(K894&lt;&gt;"",LOWER(K894)&lt;&gt;"não consta"),AND(L894&lt;&gt;"",LOWER(L894)&lt;&gt;"não consta"),IFERROR(INDEX(Empresas!$G:$G,MATCH(A894,Empresas!$A:$A,0))&amp;"","")&lt;&gt;""),"SIM",""))</f>
        <v/>
      </c>
      <c r="N894" s="5"/>
      <c r="O894" s="32" t="str">
        <f aca="false">IF(D894="","",YEAR(D894))</f>
        <v/>
      </c>
      <c r="P894" s="5"/>
    </row>
    <row r="895" customFormat="false" ht="15" hidden="false" customHeight="false" outlineLevel="0" collapsed="false">
      <c r="A895" s="27"/>
      <c r="B895" s="5"/>
      <c r="C895" s="35"/>
      <c r="D895" s="18"/>
      <c r="E895" s="5"/>
      <c r="F895" s="14"/>
      <c r="G895" s="5"/>
      <c r="H895" s="27"/>
      <c r="I895" s="5"/>
      <c r="J895" s="19" t="str">
        <f aca="false">IF(A895="","",IFERROR(INDEX(Empresas!$D:$D,MATCH(A895,Empresas!$A:$A,0))&amp;"","não consta"))</f>
        <v/>
      </c>
      <c r="K895" s="19" t="str">
        <f aca="false">IF(A895="","",IFERROR(INDEX(Sancoes!$B:$B,MATCH(A895,Sancoes!$A:$A,0))&amp;"","não consta"))</f>
        <v/>
      </c>
      <c r="L895" s="19" t="str">
        <f aca="false">IF(A895="","",IFERROR(INDEX(Eleitoral!$B:$B,MATCH(A895,Eleitoral!$A:$A,0))&amp;"","não consta"))</f>
        <v/>
      </c>
      <c r="M895" s="28" t="str">
        <f aca="false">IF(A895="","",IF(OR(AND(K895&lt;&gt;"",LOWER(K895)&lt;&gt;"não consta"),AND(L895&lt;&gt;"",LOWER(L895)&lt;&gt;"não consta"),IFERROR(INDEX(Empresas!$G:$G,MATCH(A895,Empresas!$A:$A,0))&amp;"","")&lt;&gt;""),"SIM",""))</f>
        <v/>
      </c>
      <c r="N895" s="5"/>
      <c r="O895" s="32" t="str">
        <f aca="false">IF(D895="","",YEAR(D895))</f>
        <v/>
      </c>
      <c r="P895" s="5"/>
    </row>
    <row r="896" customFormat="false" ht="15" hidden="false" customHeight="false" outlineLevel="0" collapsed="false">
      <c r="A896" s="27"/>
      <c r="B896" s="5"/>
      <c r="C896" s="35"/>
      <c r="D896" s="18"/>
      <c r="E896" s="5"/>
      <c r="F896" s="14"/>
      <c r="G896" s="5"/>
      <c r="H896" s="27"/>
      <c r="I896" s="5"/>
      <c r="J896" s="19" t="str">
        <f aca="false">IF(A896="","",IFERROR(INDEX(Empresas!$D:$D,MATCH(A896,Empresas!$A:$A,0))&amp;"","não consta"))</f>
        <v/>
      </c>
      <c r="K896" s="19" t="str">
        <f aca="false">IF(A896="","",IFERROR(INDEX(Sancoes!$B:$B,MATCH(A896,Sancoes!$A:$A,0))&amp;"","não consta"))</f>
        <v/>
      </c>
      <c r="L896" s="19" t="str">
        <f aca="false">IF(A896="","",IFERROR(INDEX(Eleitoral!$B:$B,MATCH(A896,Eleitoral!$A:$A,0))&amp;"","não consta"))</f>
        <v/>
      </c>
      <c r="M896" s="28" t="str">
        <f aca="false">IF(A896="","",IF(OR(AND(K896&lt;&gt;"",LOWER(K896)&lt;&gt;"não consta"),AND(L896&lt;&gt;"",LOWER(L896)&lt;&gt;"não consta"),IFERROR(INDEX(Empresas!$G:$G,MATCH(A896,Empresas!$A:$A,0))&amp;"","")&lt;&gt;""),"SIM",""))</f>
        <v/>
      </c>
      <c r="N896" s="5"/>
      <c r="O896" s="32" t="str">
        <f aca="false">IF(D896="","",YEAR(D896))</f>
        <v/>
      </c>
      <c r="P896" s="5"/>
    </row>
    <row r="897" customFormat="false" ht="15" hidden="false" customHeight="false" outlineLevel="0" collapsed="false">
      <c r="A897" s="27"/>
      <c r="B897" s="5"/>
      <c r="C897" s="35"/>
      <c r="D897" s="18"/>
      <c r="E897" s="5"/>
      <c r="F897" s="14"/>
      <c r="G897" s="5"/>
      <c r="H897" s="27"/>
      <c r="I897" s="5"/>
      <c r="J897" s="19" t="str">
        <f aca="false">IF(A897="","",IFERROR(INDEX(Empresas!$D:$D,MATCH(A897,Empresas!$A:$A,0))&amp;"","não consta"))</f>
        <v/>
      </c>
      <c r="K897" s="19" t="str">
        <f aca="false">IF(A897="","",IFERROR(INDEX(Sancoes!$B:$B,MATCH(A897,Sancoes!$A:$A,0))&amp;"","não consta"))</f>
        <v/>
      </c>
      <c r="L897" s="19" t="str">
        <f aca="false">IF(A897="","",IFERROR(INDEX(Eleitoral!$B:$B,MATCH(A897,Eleitoral!$A:$A,0))&amp;"","não consta"))</f>
        <v/>
      </c>
      <c r="M897" s="28" t="str">
        <f aca="false">IF(A897="","",IF(OR(AND(K897&lt;&gt;"",LOWER(K897)&lt;&gt;"não consta"),AND(L897&lt;&gt;"",LOWER(L897)&lt;&gt;"não consta"),IFERROR(INDEX(Empresas!$G:$G,MATCH(A897,Empresas!$A:$A,0))&amp;"","")&lt;&gt;""),"SIM",""))</f>
        <v/>
      </c>
      <c r="N897" s="5"/>
      <c r="O897" s="32" t="str">
        <f aca="false">IF(D897="","",YEAR(D897))</f>
        <v/>
      </c>
      <c r="P897" s="5"/>
    </row>
    <row r="898" customFormat="false" ht="15" hidden="false" customHeight="false" outlineLevel="0" collapsed="false">
      <c r="A898" s="27"/>
      <c r="B898" s="5"/>
      <c r="C898" s="35"/>
      <c r="D898" s="18"/>
      <c r="E898" s="5"/>
      <c r="F898" s="14"/>
      <c r="G898" s="5"/>
      <c r="H898" s="27"/>
      <c r="I898" s="5"/>
      <c r="J898" s="19" t="str">
        <f aca="false">IF(A898="","",IFERROR(INDEX(Empresas!$D:$D,MATCH(A898,Empresas!$A:$A,0))&amp;"","não consta"))</f>
        <v/>
      </c>
      <c r="K898" s="19" t="str">
        <f aca="false">IF(A898="","",IFERROR(INDEX(Sancoes!$B:$B,MATCH(A898,Sancoes!$A:$A,0))&amp;"","não consta"))</f>
        <v/>
      </c>
      <c r="L898" s="19" t="str">
        <f aca="false">IF(A898="","",IFERROR(INDEX(Eleitoral!$B:$B,MATCH(A898,Eleitoral!$A:$A,0))&amp;"","não consta"))</f>
        <v/>
      </c>
      <c r="M898" s="28" t="str">
        <f aca="false">IF(A898="","",IF(OR(AND(K898&lt;&gt;"",LOWER(K898)&lt;&gt;"não consta"),AND(L898&lt;&gt;"",LOWER(L898)&lt;&gt;"não consta"),IFERROR(INDEX(Empresas!$G:$G,MATCH(A898,Empresas!$A:$A,0))&amp;"","")&lt;&gt;""),"SIM",""))</f>
        <v/>
      </c>
      <c r="N898" s="5"/>
      <c r="O898" s="32" t="str">
        <f aca="false">IF(D898="","",YEAR(D898))</f>
        <v/>
      </c>
      <c r="P898" s="5"/>
    </row>
    <row r="899" customFormat="false" ht="15" hidden="false" customHeight="false" outlineLevel="0" collapsed="false">
      <c r="A899" s="27"/>
      <c r="B899" s="5"/>
      <c r="C899" s="35"/>
      <c r="D899" s="18"/>
      <c r="E899" s="5"/>
      <c r="F899" s="14"/>
      <c r="G899" s="5"/>
      <c r="H899" s="27"/>
      <c r="I899" s="5"/>
      <c r="J899" s="19" t="str">
        <f aca="false">IF(A899="","",IFERROR(INDEX(Empresas!$D:$D,MATCH(A899,Empresas!$A:$A,0))&amp;"","não consta"))</f>
        <v/>
      </c>
      <c r="K899" s="19" t="str">
        <f aca="false">IF(A899="","",IFERROR(INDEX(Sancoes!$B:$B,MATCH(A899,Sancoes!$A:$A,0))&amp;"","não consta"))</f>
        <v/>
      </c>
      <c r="L899" s="19" t="str">
        <f aca="false">IF(A899="","",IFERROR(INDEX(Eleitoral!$B:$B,MATCH(A899,Eleitoral!$A:$A,0))&amp;"","não consta"))</f>
        <v/>
      </c>
      <c r="M899" s="28" t="str">
        <f aca="false">IF(A899="","",IF(OR(AND(K899&lt;&gt;"",LOWER(K899)&lt;&gt;"não consta"),AND(L899&lt;&gt;"",LOWER(L899)&lt;&gt;"não consta"),IFERROR(INDEX(Empresas!$G:$G,MATCH(A899,Empresas!$A:$A,0))&amp;"","")&lt;&gt;""),"SIM",""))</f>
        <v/>
      </c>
      <c r="N899" s="5"/>
      <c r="O899" s="32" t="str">
        <f aca="false">IF(D899="","",YEAR(D899))</f>
        <v/>
      </c>
      <c r="P899" s="5"/>
    </row>
    <row r="900" customFormat="false" ht="15" hidden="false" customHeight="false" outlineLevel="0" collapsed="false">
      <c r="A900" s="27"/>
      <c r="B900" s="5"/>
      <c r="C900" s="35"/>
      <c r="D900" s="18"/>
      <c r="E900" s="5"/>
      <c r="F900" s="14"/>
      <c r="G900" s="5"/>
      <c r="H900" s="27"/>
      <c r="I900" s="5"/>
      <c r="J900" s="19" t="str">
        <f aca="false">IF(A900="","",IFERROR(INDEX(Empresas!$D:$D,MATCH(A900,Empresas!$A:$A,0))&amp;"","não consta"))</f>
        <v/>
      </c>
      <c r="K900" s="19" t="str">
        <f aca="false">IF(A900="","",IFERROR(INDEX(Sancoes!$B:$B,MATCH(A900,Sancoes!$A:$A,0))&amp;"","não consta"))</f>
        <v/>
      </c>
      <c r="L900" s="19" t="str">
        <f aca="false">IF(A900="","",IFERROR(INDEX(Eleitoral!$B:$B,MATCH(A900,Eleitoral!$A:$A,0))&amp;"","não consta"))</f>
        <v/>
      </c>
      <c r="M900" s="28" t="str">
        <f aca="false">IF(A900="","",IF(OR(AND(K900&lt;&gt;"",LOWER(K900)&lt;&gt;"não consta"),AND(L900&lt;&gt;"",LOWER(L900)&lt;&gt;"não consta"),IFERROR(INDEX(Empresas!$G:$G,MATCH(A900,Empresas!$A:$A,0))&amp;"","")&lt;&gt;""),"SIM",""))</f>
        <v/>
      </c>
      <c r="N900" s="5"/>
      <c r="O900" s="32" t="str">
        <f aca="false">IF(D900="","",YEAR(D900))</f>
        <v/>
      </c>
      <c r="P900" s="5"/>
    </row>
    <row r="901" customFormat="false" ht="15" hidden="false" customHeight="false" outlineLevel="0" collapsed="false">
      <c r="A901" s="27"/>
      <c r="B901" s="5"/>
      <c r="C901" s="35"/>
      <c r="D901" s="18"/>
      <c r="E901" s="5"/>
      <c r="F901" s="14"/>
      <c r="G901" s="5"/>
      <c r="H901" s="27"/>
      <c r="I901" s="5"/>
      <c r="J901" s="19" t="str">
        <f aca="false">IF(A901="","",IFERROR(INDEX(Empresas!$D:$D,MATCH(A901,Empresas!$A:$A,0))&amp;"","não consta"))</f>
        <v/>
      </c>
      <c r="K901" s="19" t="str">
        <f aca="false">IF(A901="","",IFERROR(INDEX(Sancoes!$B:$B,MATCH(A901,Sancoes!$A:$A,0))&amp;"","não consta"))</f>
        <v/>
      </c>
      <c r="L901" s="19" t="str">
        <f aca="false">IF(A901="","",IFERROR(INDEX(Eleitoral!$B:$B,MATCH(A901,Eleitoral!$A:$A,0))&amp;"","não consta"))</f>
        <v/>
      </c>
      <c r="M901" s="28" t="str">
        <f aca="false">IF(A901="","",IF(OR(AND(K901&lt;&gt;"",LOWER(K901)&lt;&gt;"não consta"),AND(L901&lt;&gt;"",LOWER(L901)&lt;&gt;"não consta"),IFERROR(INDEX(Empresas!$G:$G,MATCH(A901,Empresas!$A:$A,0))&amp;"","")&lt;&gt;""),"SIM",""))</f>
        <v/>
      </c>
      <c r="N901" s="5"/>
      <c r="O901" s="32" t="str">
        <f aca="false">IF(D901="","",YEAR(D901))</f>
        <v/>
      </c>
      <c r="P901" s="5"/>
    </row>
    <row r="902" customFormat="false" ht="15" hidden="false" customHeight="false" outlineLevel="0" collapsed="false">
      <c r="A902" s="27"/>
      <c r="B902" s="5"/>
      <c r="C902" s="35"/>
      <c r="D902" s="18"/>
      <c r="E902" s="5"/>
      <c r="F902" s="14"/>
      <c r="G902" s="5"/>
      <c r="H902" s="27"/>
      <c r="I902" s="5"/>
      <c r="J902" s="19" t="str">
        <f aca="false">IF(A902="","",IFERROR(INDEX(Empresas!$D:$D,MATCH(A902,Empresas!$A:$A,0))&amp;"","não consta"))</f>
        <v/>
      </c>
      <c r="K902" s="19" t="str">
        <f aca="false">IF(A902="","",IFERROR(INDEX(Sancoes!$B:$B,MATCH(A902,Sancoes!$A:$A,0))&amp;"","não consta"))</f>
        <v/>
      </c>
      <c r="L902" s="19" t="str">
        <f aca="false">IF(A902="","",IFERROR(INDEX(Eleitoral!$B:$B,MATCH(A902,Eleitoral!$A:$A,0))&amp;"","não consta"))</f>
        <v/>
      </c>
      <c r="M902" s="28" t="str">
        <f aca="false">IF(A902="","",IF(OR(AND(K902&lt;&gt;"",LOWER(K902)&lt;&gt;"não consta"),AND(L902&lt;&gt;"",LOWER(L902)&lt;&gt;"não consta"),IFERROR(INDEX(Empresas!$G:$G,MATCH(A902,Empresas!$A:$A,0))&amp;"","")&lt;&gt;""),"SIM",""))</f>
        <v/>
      </c>
      <c r="N902" s="5"/>
      <c r="O902" s="32" t="str">
        <f aca="false">IF(D902="","",YEAR(D902))</f>
        <v/>
      </c>
      <c r="P902" s="5"/>
    </row>
    <row r="903" customFormat="false" ht="15" hidden="false" customHeight="false" outlineLevel="0" collapsed="false">
      <c r="A903" s="27"/>
      <c r="B903" s="5"/>
      <c r="C903" s="35"/>
      <c r="D903" s="18"/>
      <c r="E903" s="5"/>
      <c r="F903" s="14"/>
      <c r="G903" s="5"/>
      <c r="H903" s="27"/>
      <c r="I903" s="5"/>
      <c r="J903" s="19" t="str">
        <f aca="false">IF(A903="","",IFERROR(INDEX(Empresas!$D:$D,MATCH(A903,Empresas!$A:$A,0))&amp;"","não consta"))</f>
        <v/>
      </c>
      <c r="K903" s="19" t="str">
        <f aca="false">IF(A903="","",IFERROR(INDEX(Sancoes!$B:$B,MATCH(A903,Sancoes!$A:$A,0))&amp;"","não consta"))</f>
        <v/>
      </c>
      <c r="L903" s="19" t="str">
        <f aca="false">IF(A903="","",IFERROR(INDEX(Eleitoral!$B:$B,MATCH(A903,Eleitoral!$A:$A,0))&amp;"","não consta"))</f>
        <v/>
      </c>
      <c r="M903" s="28" t="str">
        <f aca="false">IF(A903="","",IF(OR(AND(K903&lt;&gt;"",LOWER(K903)&lt;&gt;"não consta"),AND(L903&lt;&gt;"",LOWER(L903)&lt;&gt;"não consta"),IFERROR(INDEX(Empresas!$G:$G,MATCH(A903,Empresas!$A:$A,0))&amp;"","")&lt;&gt;""),"SIM",""))</f>
        <v/>
      </c>
      <c r="N903" s="5"/>
      <c r="O903" s="32" t="str">
        <f aca="false">IF(D903="","",YEAR(D903))</f>
        <v/>
      </c>
      <c r="P903" s="5"/>
    </row>
    <row r="904" customFormat="false" ht="15" hidden="false" customHeight="false" outlineLevel="0" collapsed="false">
      <c r="A904" s="27"/>
      <c r="B904" s="5"/>
      <c r="C904" s="35"/>
      <c r="D904" s="18"/>
      <c r="E904" s="5"/>
      <c r="F904" s="14"/>
      <c r="G904" s="5"/>
      <c r="H904" s="27"/>
      <c r="I904" s="5"/>
      <c r="J904" s="19" t="str">
        <f aca="false">IF(A904="","",IFERROR(INDEX(Empresas!$D:$D,MATCH(A904,Empresas!$A:$A,0))&amp;"","não consta"))</f>
        <v/>
      </c>
      <c r="K904" s="19" t="str">
        <f aca="false">IF(A904="","",IFERROR(INDEX(Sancoes!$B:$B,MATCH(A904,Sancoes!$A:$A,0))&amp;"","não consta"))</f>
        <v/>
      </c>
      <c r="L904" s="19" t="str">
        <f aca="false">IF(A904="","",IFERROR(INDEX(Eleitoral!$B:$B,MATCH(A904,Eleitoral!$A:$A,0))&amp;"","não consta"))</f>
        <v/>
      </c>
      <c r="M904" s="28" t="str">
        <f aca="false">IF(A904="","",IF(OR(AND(K904&lt;&gt;"",LOWER(K904)&lt;&gt;"não consta"),AND(L904&lt;&gt;"",LOWER(L904)&lt;&gt;"não consta"),IFERROR(INDEX(Empresas!$G:$G,MATCH(A904,Empresas!$A:$A,0))&amp;"","")&lt;&gt;""),"SIM",""))</f>
        <v/>
      </c>
      <c r="N904" s="5"/>
      <c r="O904" s="32" t="str">
        <f aca="false">IF(D904="","",YEAR(D904))</f>
        <v/>
      </c>
      <c r="P904" s="5"/>
    </row>
    <row r="905" customFormat="false" ht="15" hidden="false" customHeight="false" outlineLevel="0" collapsed="false">
      <c r="A905" s="27"/>
      <c r="B905" s="5"/>
      <c r="C905" s="35"/>
      <c r="D905" s="18"/>
      <c r="E905" s="5"/>
      <c r="F905" s="14"/>
      <c r="G905" s="5"/>
      <c r="H905" s="27"/>
      <c r="I905" s="5"/>
      <c r="J905" s="19" t="str">
        <f aca="false">IF(A905="","",IFERROR(INDEX(Empresas!$D:$D,MATCH(A905,Empresas!$A:$A,0))&amp;"","não consta"))</f>
        <v/>
      </c>
      <c r="K905" s="19" t="str">
        <f aca="false">IF(A905="","",IFERROR(INDEX(Sancoes!$B:$B,MATCH(A905,Sancoes!$A:$A,0))&amp;"","não consta"))</f>
        <v/>
      </c>
      <c r="L905" s="19" t="str">
        <f aca="false">IF(A905="","",IFERROR(INDEX(Eleitoral!$B:$B,MATCH(A905,Eleitoral!$A:$A,0))&amp;"","não consta"))</f>
        <v/>
      </c>
      <c r="M905" s="28" t="str">
        <f aca="false">IF(A905="","",IF(OR(AND(K905&lt;&gt;"",LOWER(K905)&lt;&gt;"não consta"),AND(L905&lt;&gt;"",LOWER(L905)&lt;&gt;"não consta"),IFERROR(INDEX(Empresas!$G:$G,MATCH(A905,Empresas!$A:$A,0))&amp;"","")&lt;&gt;""),"SIM",""))</f>
        <v/>
      </c>
      <c r="N905" s="5"/>
      <c r="O905" s="32" t="str">
        <f aca="false">IF(D905="","",YEAR(D905))</f>
        <v/>
      </c>
      <c r="P905" s="5"/>
    </row>
    <row r="906" customFormat="false" ht="15" hidden="false" customHeight="false" outlineLevel="0" collapsed="false">
      <c r="A906" s="27"/>
      <c r="B906" s="5"/>
      <c r="C906" s="35"/>
      <c r="D906" s="18"/>
      <c r="E906" s="5"/>
      <c r="F906" s="14"/>
      <c r="G906" s="5"/>
      <c r="H906" s="27"/>
      <c r="I906" s="5"/>
      <c r="J906" s="19" t="str">
        <f aca="false">IF(A906="","",IFERROR(INDEX(Empresas!$D:$D,MATCH(A906,Empresas!$A:$A,0))&amp;"","não consta"))</f>
        <v/>
      </c>
      <c r="K906" s="19" t="str">
        <f aca="false">IF(A906="","",IFERROR(INDEX(Sancoes!$B:$B,MATCH(A906,Sancoes!$A:$A,0))&amp;"","não consta"))</f>
        <v/>
      </c>
      <c r="L906" s="19" t="str">
        <f aca="false">IF(A906="","",IFERROR(INDEX(Eleitoral!$B:$B,MATCH(A906,Eleitoral!$A:$A,0))&amp;"","não consta"))</f>
        <v/>
      </c>
      <c r="M906" s="28" t="str">
        <f aca="false">IF(A906="","",IF(OR(AND(K906&lt;&gt;"",LOWER(K906)&lt;&gt;"não consta"),AND(L906&lt;&gt;"",LOWER(L906)&lt;&gt;"não consta"),IFERROR(INDEX(Empresas!$G:$G,MATCH(A906,Empresas!$A:$A,0))&amp;"","")&lt;&gt;""),"SIM",""))</f>
        <v/>
      </c>
      <c r="N906" s="5"/>
      <c r="O906" s="32" t="str">
        <f aca="false">IF(D906="","",YEAR(D906))</f>
        <v/>
      </c>
      <c r="P906" s="5"/>
    </row>
    <row r="907" customFormat="false" ht="15" hidden="false" customHeight="false" outlineLevel="0" collapsed="false">
      <c r="A907" s="27"/>
      <c r="B907" s="5"/>
      <c r="C907" s="35"/>
      <c r="D907" s="18"/>
      <c r="E907" s="5"/>
      <c r="F907" s="14"/>
      <c r="G907" s="5"/>
      <c r="H907" s="27"/>
      <c r="I907" s="5"/>
      <c r="J907" s="19" t="str">
        <f aca="false">IF(A907="","",IFERROR(INDEX(Empresas!$D:$D,MATCH(A907,Empresas!$A:$A,0))&amp;"","não consta"))</f>
        <v/>
      </c>
      <c r="K907" s="19" t="str">
        <f aca="false">IF(A907="","",IFERROR(INDEX(Sancoes!$B:$B,MATCH(A907,Sancoes!$A:$A,0))&amp;"","não consta"))</f>
        <v/>
      </c>
      <c r="L907" s="19" t="str">
        <f aca="false">IF(A907="","",IFERROR(INDEX(Eleitoral!$B:$B,MATCH(A907,Eleitoral!$A:$A,0))&amp;"","não consta"))</f>
        <v/>
      </c>
      <c r="M907" s="28" t="str">
        <f aca="false">IF(A907="","",IF(OR(AND(K907&lt;&gt;"",LOWER(K907)&lt;&gt;"não consta"),AND(L907&lt;&gt;"",LOWER(L907)&lt;&gt;"não consta"),IFERROR(INDEX(Empresas!$G:$G,MATCH(A907,Empresas!$A:$A,0))&amp;"","")&lt;&gt;""),"SIM",""))</f>
        <v/>
      </c>
      <c r="N907" s="5"/>
      <c r="O907" s="32" t="str">
        <f aca="false">IF(D907="","",YEAR(D907))</f>
        <v/>
      </c>
      <c r="P907" s="5"/>
    </row>
    <row r="908" customFormat="false" ht="15" hidden="false" customHeight="false" outlineLevel="0" collapsed="false">
      <c r="A908" s="27"/>
      <c r="B908" s="5"/>
      <c r="C908" s="35"/>
      <c r="D908" s="18"/>
      <c r="E908" s="5"/>
      <c r="F908" s="14"/>
      <c r="G908" s="5"/>
      <c r="H908" s="27"/>
      <c r="I908" s="5"/>
      <c r="J908" s="19" t="str">
        <f aca="false">IF(A908="","",IFERROR(INDEX(Empresas!$D:$D,MATCH(A908,Empresas!$A:$A,0))&amp;"","não consta"))</f>
        <v/>
      </c>
      <c r="K908" s="19" t="str">
        <f aca="false">IF(A908="","",IFERROR(INDEX(Sancoes!$B:$B,MATCH(A908,Sancoes!$A:$A,0))&amp;"","não consta"))</f>
        <v/>
      </c>
      <c r="L908" s="19" t="str">
        <f aca="false">IF(A908="","",IFERROR(INDEX(Eleitoral!$B:$B,MATCH(A908,Eleitoral!$A:$A,0))&amp;"","não consta"))</f>
        <v/>
      </c>
      <c r="M908" s="28" t="str">
        <f aca="false">IF(A908="","",IF(OR(AND(K908&lt;&gt;"",LOWER(K908)&lt;&gt;"não consta"),AND(L908&lt;&gt;"",LOWER(L908)&lt;&gt;"não consta"),IFERROR(INDEX(Empresas!$G:$G,MATCH(A908,Empresas!$A:$A,0))&amp;"","")&lt;&gt;""),"SIM",""))</f>
        <v/>
      </c>
      <c r="N908" s="5"/>
      <c r="O908" s="32" t="str">
        <f aca="false">IF(D908="","",YEAR(D908))</f>
        <v/>
      </c>
      <c r="P908" s="5"/>
    </row>
    <row r="909" customFormat="false" ht="15" hidden="false" customHeight="false" outlineLevel="0" collapsed="false">
      <c r="A909" s="27"/>
      <c r="B909" s="5"/>
      <c r="C909" s="35"/>
      <c r="D909" s="18"/>
      <c r="E909" s="5"/>
      <c r="F909" s="14"/>
      <c r="G909" s="5"/>
      <c r="H909" s="27"/>
      <c r="I909" s="5"/>
      <c r="J909" s="19" t="str">
        <f aca="false">IF(A909="","",IFERROR(INDEX(Empresas!$D:$D,MATCH(A909,Empresas!$A:$A,0))&amp;"","não consta"))</f>
        <v/>
      </c>
      <c r="K909" s="19" t="str">
        <f aca="false">IF(A909="","",IFERROR(INDEX(Sancoes!$B:$B,MATCH(A909,Sancoes!$A:$A,0))&amp;"","não consta"))</f>
        <v/>
      </c>
      <c r="L909" s="19" t="str">
        <f aca="false">IF(A909="","",IFERROR(INDEX(Eleitoral!$B:$B,MATCH(A909,Eleitoral!$A:$A,0))&amp;"","não consta"))</f>
        <v/>
      </c>
      <c r="M909" s="28" t="str">
        <f aca="false">IF(A909="","",IF(OR(AND(K909&lt;&gt;"",LOWER(K909)&lt;&gt;"não consta"),AND(L909&lt;&gt;"",LOWER(L909)&lt;&gt;"não consta"),IFERROR(INDEX(Empresas!$G:$G,MATCH(A909,Empresas!$A:$A,0))&amp;"","")&lt;&gt;""),"SIM",""))</f>
        <v/>
      </c>
      <c r="N909" s="5"/>
      <c r="O909" s="32" t="str">
        <f aca="false">IF(D909="","",YEAR(D909))</f>
        <v/>
      </c>
      <c r="P909" s="5"/>
    </row>
    <row r="910" customFormat="false" ht="15" hidden="false" customHeight="false" outlineLevel="0" collapsed="false">
      <c r="A910" s="27"/>
      <c r="B910" s="5"/>
      <c r="C910" s="35"/>
      <c r="D910" s="18"/>
      <c r="E910" s="5"/>
      <c r="F910" s="14"/>
      <c r="G910" s="5"/>
      <c r="H910" s="27"/>
      <c r="I910" s="5"/>
      <c r="J910" s="19" t="str">
        <f aca="false">IF(A910="","",IFERROR(INDEX(Empresas!$D:$D,MATCH(A910,Empresas!$A:$A,0))&amp;"","não consta"))</f>
        <v/>
      </c>
      <c r="K910" s="19" t="str">
        <f aca="false">IF(A910="","",IFERROR(INDEX(Sancoes!$B:$B,MATCH(A910,Sancoes!$A:$A,0))&amp;"","não consta"))</f>
        <v/>
      </c>
      <c r="L910" s="19" t="str">
        <f aca="false">IF(A910="","",IFERROR(INDEX(Eleitoral!$B:$B,MATCH(A910,Eleitoral!$A:$A,0))&amp;"","não consta"))</f>
        <v/>
      </c>
      <c r="M910" s="28" t="str">
        <f aca="false">IF(A910="","",IF(OR(AND(K910&lt;&gt;"",LOWER(K910)&lt;&gt;"não consta"),AND(L910&lt;&gt;"",LOWER(L910)&lt;&gt;"não consta"),IFERROR(INDEX(Empresas!$G:$G,MATCH(A910,Empresas!$A:$A,0))&amp;"","")&lt;&gt;""),"SIM",""))</f>
        <v/>
      </c>
      <c r="N910" s="5"/>
      <c r="O910" s="32" t="str">
        <f aca="false">IF(D910="","",YEAR(D910))</f>
        <v/>
      </c>
      <c r="P910" s="5"/>
    </row>
    <row r="911" customFormat="false" ht="15" hidden="false" customHeight="false" outlineLevel="0" collapsed="false">
      <c r="A911" s="27"/>
      <c r="B911" s="5"/>
      <c r="C911" s="35"/>
      <c r="D911" s="18"/>
      <c r="E911" s="5"/>
      <c r="F911" s="14"/>
      <c r="G911" s="5"/>
      <c r="H911" s="27"/>
      <c r="I911" s="5"/>
      <c r="J911" s="19" t="str">
        <f aca="false">IF(A911="","",IFERROR(INDEX(Empresas!$D:$D,MATCH(A911,Empresas!$A:$A,0))&amp;"","não consta"))</f>
        <v/>
      </c>
      <c r="K911" s="19" t="str">
        <f aca="false">IF(A911="","",IFERROR(INDEX(Sancoes!$B:$B,MATCH(A911,Sancoes!$A:$A,0))&amp;"","não consta"))</f>
        <v/>
      </c>
      <c r="L911" s="19" t="str">
        <f aca="false">IF(A911="","",IFERROR(INDEX(Eleitoral!$B:$B,MATCH(A911,Eleitoral!$A:$A,0))&amp;"","não consta"))</f>
        <v/>
      </c>
      <c r="M911" s="28" t="str">
        <f aca="false">IF(A911="","",IF(OR(AND(K911&lt;&gt;"",LOWER(K911)&lt;&gt;"não consta"),AND(L911&lt;&gt;"",LOWER(L911)&lt;&gt;"não consta"),IFERROR(INDEX(Empresas!$G:$G,MATCH(A911,Empresas!$A:$A,0))&amp;"","")&lt;&gt;""),"SIM",""))</f>
        <v/>
      </c>
      <c r="N911" s="5"/>
      <c r="O911" s="32" t="str">
        <f aca="false">IF(D911="","",YEAR(D911))</f>
        <v/>
      </c>
      <c r="P911" s="5"/>
    </row>
    <row r="912" customFormat="false" ht="15" hidden="false" customHeight="false" outlineLevel="0" collapsed="false">
      <c r="A912" s="27"/>
      <c r="B912" s="5"/>
      <c r="C912" s="35"/>
      <c r="D912" s="18"/>
      <c r="E912" s="5"/>
      <c r="F912" s="14"/>
      <c r="G912" s="5"/>
      <c r="H912" s="27"/>
      <c r="I912" s="5"/>
      <c r="J912" s="19" t="str">
        <f aca="false">IF(A912="","",IFERROR(INDEX(Empresas!$D:$D,MATCH(A912,Empresas!$A:$A,0))&amp;"","não consta"))</f>
        <v/>
      </c>
      <c r="K912" s="19" t="str">
        <f aca="false">IF(A912="","",IFERROR(INDEX(Sancoes!$B:$B,MATCH(A912,Sancoes!$A:$A,0))&amp;"","não consta"))</f>
        <v/>
      </c>
      <c r="L912" s="19" t="str">
        <f aca="false">IF(A912="","",IFERROR(INDEX(Eleitoral!$B:$B,MATCH(A912,Eleitoral!$A:$A,0))&amp;"","não consta"))</f>
        <v/>
      </c>
      <c r="M912" s="28" t="str">
        <f aca="false">IF(A912="","",IF(OR(AND(K912&lt;&gt;"",LOWER(K912)&lt;&gt;"não consta"),AND(L912&lt;&gt;"",LOWER(L912)&lt;&gt;"não consta"),IFERROR(INDEX(Empresas!$G:$G,MATCH(A912,Empresas!$A:$A,0))&amp;"","")&lt;&gt;""),"SIM",""))</f>
        <v/>
      </c>
      <c r="N912" s="5"/>
      <c r="O912" s="32" t="str">
        <f aca="false">IF(D912="","",YEAR(D912))</f>
        <v/>
      </c>
      <c r="P912" s="5"/>
    </row>
    <row r="913" customFormat="false" ht="15" hidden="false" customHeight="false" outlineLevel="0" collapsed="false">
      <c r="A913" s="27"/>
      <c r="B913" s="5"/>
      <c r="C913" s="35"/>
      <c r="D913" s="18"/>
      <c r="E913" s="5"/>
      <c r="F913" s="14"/>
      <c r="G913" s="5"/>
      <c r="H913" s="27"/>
      <c r="I913" s="5"/>
      <c r="J913" s="19" t="str">
        <f aca="false">IF(A913="","",IFERROR(INDEX(Empresas!$D:$D,MATCH(A913,Empresas!$A:$A,0))&amp;"","não consta"))</f>
        <v/>
      </c>
      <c r="K913" s="19" t="str">
        <f aca="false">IF(A913="","",IFERROR(INDEX(Sancoes!$B:$B,MATCH(A913,Sancoes!$A:$A,0))&amp;"","não consta"))</f>
        <v/>
      </c>
      <c r="L913" s="19" t="str">
        <f aca="false">IF(A913="","",IFERROR(INDEX(Eleitoral!$B:$B,MATCH(A913,Eleitoral!$A:$A,0))&amp;"","não consta"))</f>
        <v/>
      </c>
      <c r="M913" s="28" t="str">
        <f aca="false">IF(A913="","",IF(OR(AND(K913&lt;&gt;"",LOWER(K913)&lt;&gt;"não consta"),AND(L913&lt;&gt;"",LOWER(L913)&lt;&gt;"não consta"),IFERROR(INDEX(Empresas!$G:$G,MATCH(A913,Empresas!$A:$A,0))&amp;"","")&lt;&gt;""),"SIM",""))</f>
        <v/>
      </c>
      <c r="N913" s="5"/>
      <c r="O913" s="32" t="str">
        <f aca="false">IF(D913="","",YEAR(D913))</f>
        <v/>
      </c>
      <c r="P913" s="5"/>
    </row>
    <row r="914" customFormat="false" ht="15" hidden="false" customHeight="false" outlineLevel="0" collapsed="false">
      <c r="A914" s="27"/>
      <c r="B914" s="5"/>
      <c r="C914" s="35"/>
      <c r="D914" s="18"/>
      <c r="E914" s="5"/>
      <c r="F914" s="14"/>
      <c r="G914" s="5"/>
      <c r="H914" s="27"/>
      <c r="I914" s="5"/>
      <c r="J914" s="19" t="str">
        <f aca="false">IF(A914="","",IFERROR(INDEX(Empresas!$D:$D,MATCH(A914,Empresas!$A:$A,0))&amp;"","não consta"))</f>
        <v/>
      </c>
      <c r="K914" s="19" t="str">
        <f aca="false">IF(A914="","",IFERROR(INDEX(Sancoes!$B:$B,MATCH(A914,Sancoes!$A:$A,0))&amp;"","não consta"))</f>
        <v/>
      </c>
      <c r="L914" s="19" t="str">
        <f aca="false">IF(A914="","",IFERROR(INDEX(Eleitoral!$B:$B,MATCH(A914,Eleitoral!$A:$A,0))&amp;"","não consta"))</f>
        <v/>
      </c>
      <c r="M914" s="28" t="str">
        <f aca="false">IF(A914="","",IF(OR(AND(K914&lt;&gt;"",LOWER(K914)&lt;&gt;"não consta"),AND(L914&lt;&gt;"",LOWER(L914)&lt;&gt;"não consta"),IFERROR(INDEX(Empresas!$G:$G,MATCH(A914,Empresas!$A:$A,0))&amp;"","")&lt;&gt;""),"SIM",""))</f>
        <v/>
      </c>
      <c r="N914" s="5"/>
      <c r="O914" s="32" t="str">
        <f aca="false">IF(D914="","",YEAR(D914))</f>
        <v/>
      </c>
      <c r="P914" s="5"/>
    </row>
    <row r="915" customFormat="false" ht="15" hidden="false" customHeight="false" outlineLevel="0" collapsed="false">
      <c r="A915" s="27"/>
      <c r="B915" s="5"/>
      <c r="C915" s="35"/>
      <c r="D915" s="18"/>
      <c r="E915" s="5"/>
      <c r="F915" s="14"/>
      <c r="G915" s="5"/>
      <c r="H915" s="27"/>
      <c r="I915" s="5"/>
      <c r="J915" s="19" t="str">
        <f aca="false">IF(A915="","",IFERROR(INDEX(Empresas!$D:$D,MATCH(A915,Empresas!$A:$A,0))&amp;"","não consta"))</f>
        <v/>
      </c>
      <c r="K915" s="19" t="str">
        <f aca="false">IF(A915="","",IFERROR(INDEX(Sancoes!$B:$B,MATCH(A915,Sancoes!$A:$A,0))&amp;"","não consta"))</f>
        <v/>
      </c>
      <c r="L915" s="19" t="str">
        <f aca="false">IF(A915="","",IFERROR(INDEX(Eleitoral!$B:$B,MATCH(A915,Eleitoral!$A:$A,0))&amp;"","não consta"))</f>
        <v/>
      </c>
      <c r="M915" s="28" t="str">
        <f aca="false">IF(A915="","",IF(OR(AND(K915&lt;&gt;"",LOWER(K915)&lt;&gt;"não consta"),AND(L915&lt;&gt;"",LOWER(L915)&lt;&gt;"não consta"),IFERROR(INDEX(Empresas!$G:$G,MATCH(A915,Empresas!$A:$A,0))&amp;"","")&lt;&gt;""),"SIM",""))</f>
        <v/>
      </c>
      <c r="N915" s="5"/>
      <c r="O915" s="32" t="str">
        <f aca="false">IF(D915="","",YEAR(D915))</f>
        <v/>
      </c>
      <c r="P915" s="5"/>
    </row>
    <row r="916" customFormat="false" ht="15" hidden="false" customHeight="false" outlineLevel="0" collapsed="false">
      <c r="A916" s="27"/>
      <c r="B916" s="5"/>
      <c r="C916" s="35"/>
      <c r="D916" s="18"/>
      <c r="E916" s="5"/>
      <c r="F916" s="14"/>
      <c r="G916" s="5"/>
      <c r="H916" s="27"/>
      <c r="I916" s="5"/>
      <c r="J916" s="19" t="str">
        <f aca="false">IF(A916="","",IFERROR(INDEX(Empresas!$D:$D,MATCH(A916,Empresas!$A:$A,0))&amp;"","não consta"))</f>
        <v/>
      </c>
      <c r="K916" s="19" t="str">
        <f aca="false">IF(A916="","",IFERROR(INDEX(Sancoes!$B:$B,MATCH(A916,Sancoes!$A:$A,0))&amp;"","não consta"))</f>
        <v/>
      </c>
      <c r="L916" s="19" t="str">
        <f aca="false">IF(A916="","",IFERROR(INDEX(Eleitoral!$B:$B,MATCH(A916,Eleitoral!$A:$A,0))&amp;"","não consta"))</f>
        <v/>
      </c>
      <c r="M916" s="28" t="str">
        <f aca="false">IF(A916="","",IF(OR(AND(K916&lt;&gt;"",LOWER(K916)&lt;&gt;"não consta"),AND(L916&lt;&gt;"",LOWER(L916)&lt;&gt;"não consta"),IFERROR(INDEX(Empresas!$G:$G,MATCH(A916,Empresas!$A:$A,0))&amp;"","")&lt;&gt;""),"SIM",""))</f>
        <v/>
      </c>
      <c r="N916" s="5"/>
      <c r="O916" s="32" t="str">
        <f aca="false">IF(D916="","",YEAR(D916))</f>
        <v/>
      </c>
      <c r="P916" s="5"/>
    </row>
    <row r="917" customFormat="false" ht="15" hidden="false" customHeight="false" outlineLevel="0" collapsed="false">
      <c r="A917" s="27"/>
      <c r="B917" s="5"/>
      <c r="C917" s="35"/>
      <c r="D917" s="18"/>
      <c r="E917" s="5"/>
      <c r="F917" s="14"/>
      <c r="G917" s="5"/>
      <c r="H917" s="27"/>
      <c r="I917" s="5"/>
      <c r="J917" s="19" t="str">
        <f aca="false">IF(A917="","",IFERROR(INDEX(Empresas!$D:$D,MATCH(A917,Empresas!$A:$A,0))&amp;"","não consta"))</f>
        <v/>
      </c>
      <c r="K917" s="19" t="str">
        <f aca="false">IF(A917="","",IFERROR(INDEX(Sancoes!$B:$B,MATCH(A917,Sancoes!$A:$A,0))&amp;"","não consta"))</f>
        <v/>
      </c>
      <c r="L917" s="19" t="str">
        <f aca="false">IF(A917="","",IFERROR(INDEX(Eleitoral!$B:$B,MATCH(A917,Eleitoral!$A:$A,0))&amp;"","não consta"))</f>
        <v/>
      </c>
      <c r="M917" s="28" t="str">
        <f aca="false">IF(A917="","",IF(OR(AND(K917&lt;&gt;"",LOWER(K917)&lt;&gt;"não consta"),AND(L917&lt;&gt;"",LOWER(L917)&lt;&gt;"não consta"),IFERROR(INDEX(Empresas!$G:$G,MATCH(A917,Empresas!$A:$A,0))&amp;"","")&lt;&gt;""),"SIM",""))</f>
        <v/>
      </c>
      <c r="N917" s="5"/>
      <c r="O917" s="32" t="str">
        <f aca="false">IF(D917="","",YEAR(D917))</f>
        <v/>
      </c>
      <c r="P917" s="5"/>
    </row>
    <row r="918" customFormat="false" ht="15" hidden="false" customHeight="false" outlineLevel="0" collapsed="false">
      <c r="A918" s="27"/>
      <c r="B918" s="5"/>
      <c r="C918" s="35"/>
      <c r="D918" s="18"/>
      <c r="E918" s="5"/>
      <c r="F918" s="14"/>
      <c r="G918" s="5"/>
      <c r="H918" s="27"/>
      <c r="I918" s="5"/>
      <c r="J918" s="19" t="str">
        <f aca="false">IF(A918="","",IFERROR(INDEX(Empresas!$D:$D,MATCH(A918,Empresas!$A:$A,0))&amp;"","não consta"))</f>
        <v/>
      </c>
      <c r="K918" s="19" t="str">
        <f aca="false">IF(A918="","",IFERROR(INDEX(Sancoes!$B:$B,MATCH(A918,Sancoes!$A:$A,0))&amp;"","não consta"))</f>
        <v/>
      </c>
      <c r="L918" s="19" t="str">
        <f aca="false">IF(A918="","",IFERROR(INDEX(Eleitoral!$B:$B,MATCH(A918,Eleitoral!$A:$A,0))&amp;"","não consta"))</f>
        <v/>
      </c>
      <c r="M918" s="28" t="str">
        <f aca="false">IF(A918="","",IF(OR(AND(K918&lt;&gt;"",LOWER(K918)&lt;&gt;"não consta"),AND(L918&lt;&gt;"",LOWER(L918)&lt;&gt;"não consta"),IFERROR(INDEX(Empresas!$G:$G,MATCH(A918,Empresas!$A:$A,0))&amp;"","")&lt;&gt;""),"SIM",""))</f>
        <v/>
      </c>
      <c r="N918" s="5"/>
      <c r="O918" s="32" t="str">
        <f aca="false">IF(D918="","",YEAR(D918))</f>
        <v/>
      </c>
      <c r="P918" s="5"/>
    </row>
    <row r="919" customFormat="false" ht="15" hidden="false" customHeight="false" outlineLevel="0" collapsed="false">
      <c r="A919" s="27"/>
      <c r="B919" s="5"/>
      <c r="C919" s="35"/>
      <c r="D919" s="18"/>
      <c r="E919" s="5"/>
      <c r="F919" s="14"/>
      <c r="G919" s="5"/>
      <c r="H919" s="27"/>
      <c r="I919" s="5"/>
      <c r="J919" s="19" t="str">
        <f aca="false">IF(A919="","",IFERROR(INDEX(Empresas!$D:$D,MATCH(A919,Empresas!$A:$A,0))&amp;"","não consta"))</f>
        <v/>
      </c>
      <c r="K919" s="19" t="str">
        <f aca="false">IF(A919="","",IFERROR(INDEX(Sancoes!$B:$B,MATCH(A919,Sancoes!$A:$A,0))&amp;"","não consta"))</f>
        <v/>
      </c>
      <c r="L919" s="19" t="str">
        <f aca="false">IF(A919="","",IFERROR(INDEX(Eleitoral!$B:$B,MATCH(A919,Eleitoral!$A:$A,0))&amp;"","não consta"))</f>
        <v/>
      </c>
      <c r="M919" s="28" t="str">
        <f aca="false">IF(A919="","",IF(OR(AND(K919&lt;&gt;"",LOWER(K919)&lt;&gt;"não consta"),AND(L919&lt;&gt;"",LOWER(L919)&lt;&gt;"não consta"),IFERROR(INDEX(Empresas!$G:$G,MATCH(A919,Empresas!$A:$A,0))&amp;"","")&lt;&gt;""),"SIM",""))</f>
        <v/>
      </c>
      <c r="N919" s="5"/>
      <c r="O919" s="32" t="str">
        <f aca="false">IF(D919="","",YEAR(D919))</f>
        <v/>
      </c>
      <c r="P919" s="5"/>
    </row>
    <row r="920" customFormat="false" ht="15" hidden="false" customHeight="false" outlineLevel="0" collapsed="false">
      <c r="A920" s="27"/>
      <c r="B920" s="5"/>
      <c r="C920" s="35"/>
      <c r="D920" s="18"/>
      <c r="E920" s="5"/>
      <c r="F920" s="14"/>
      <c r="G920" s="5"/>
      <c r="H920" s="27"/>
      <c r="I920" s="5"/>
      <c r="J920" s="19" t="str">
        <f aca="false">IF(A920="","",IFERROR(INDEX(Empresas!$D:$D,MATCH(A920,Empresas!$A:$A,0))&amp;"","não consta"))</f>
        <v/>
      </c>
      <c r="K920" s="19" t="str">
        <f aca="false">IF(A920="","",IFERROR(INDEX(Sancoes!$B:$B,MATCH(A920,Sancoes!$A:$A,0))&amp;"","não consta"))</f>
        <v/>
      </c>
      <c r="L920" s="19" t="str">
        <f aca="false">IF(A920="","",IFERROR(INDEX(Eleitoral!$B:$B,MATCH(A920,Eleitoral!$A:$A,0))&amp;"","não consta"))</f>
        <v/>
      </c>
      <c r="M920" s="28" t="str">
        <f aca="false">IF(A920="","",IF(OR(AND(K920&lt;&gt;"",LOWER(K920)&lt;&gt;"não consta"),AND(L920&lt;&gt;"",LOWER(L920)&lt;&gt;"não consta"),IFERROR(INDEX(Empresas!$G:$G,MATCH(A920,Empresas!$A:$A,0))&amp;"","")&lt;&gt;""),"SIM",""))</f>
        <v/>
      </c>
      <c r="N920" s="5"/>
      <c r="O920" s="32" t="str">
        <f aca="false">IF(D920="","",YEAR(D920))</f>
        <v/>
      </c>
      <c r="P920" s="5"/>
    </row>
    <row r="921" customFormat="false" ht="15" hidden="false" customHeight="false" outlineLevel="0" collapsed="false">
      <c r="A921" s="27"/>
      <c r="B921" s="5"/>
      <c r="C921" s="35"/>
      <c r="D921" s="18"/>
      <c r="E921" s="5"/>
      <c r="F921" s="14"/>
      <c r="G921" s="5"/>
      <c r="H921" s="27"/>
      <c r="I921" s="5"/>
      <c r="J921" s="19" t="str">
        <f aca="false">IF(A921="","",IFERROR(INDEX(Empresas!$D:$D,MATCH(A921,Empresas!$A:$A,0))&amp;"","não consta"))</f>
        <v/>
      </c>
      <c r="K921" s="19" t="str">
        <f aca="false">IF(A921="","",IFERROR(INDEX(Sancoes!$B:$B,MATCH(A921,Sancoes!$A:$A,0))&amp;"","não consta"))</f>
        <v/>
      </c>
      <c r="L921" s="19" t="str">
        <f aca="false">IF(A921="","",IFERROR(INDEX(Eleitoral!$B:$B,MATCH(A921,Eleitoral!$A:$A,0))&amp;"","não consta"))</f>
        <v/>
      </c>
      <c r="M921" s="28" t="str">
        <f aca="false">IF(A921="","",IF(OR(AND(K921&lt;&gt;"",LOWER(K921)&lt;&gt;"não consta"),AND(L921&lt;&gt;"",LOWER(L921)&lt;&gt;"não consta"),IFERROR(INDEX(Empresas!$G:$G,MATCH(A921,Empresas!$A:$A,0))&amp;"","")&lt;&gt;""),"SIM",""))</f>
        <v/>
      </c>
      <c r="N921" s="5"/>
      <c r="O921" s="32" t="str">
        <f aca="false">IF(D921="","",YEAR(D921))</f>
        <v/>
      </c>
      <c r="P921" s="5"/>
    </row>
    <row r="922" customFormat="false" ht="15" hidden="false" customHeight="false" outlineLevel="0" collapsed="false">
      <c r="A922" s="27"/>
      <c r="B922" s="5"/>
      <c r="C922" s="35"/>
      <c r="D922" s="18"/>
      <c r="E922" s="5"/>
      <c r="F922" s="14"/>
      <c r="G922" s="5"/>
      <c r="H922" s="27"/>
      <c r="I922" s="5"/>
      <c r="J922" s="19" t="str">
        <f aca="false">IF(A922="","",IFERROR(INDEX(Empresas!$D:$D,MATCH(A922,Empresas!$A:$A,0))&amp;"","não consta"))</f>
        <v/>
      </c>
      <c r="K922" s="19" t="str">
        <f aca="false">IF(A922="","",IFERROR(INDEX(Sancoes!$B:$B,MATCH(A922,Sancoes!$A:$A,0))&amp;"","não consta"))</f>
        <v/>
      </c>
      <c r="L922" s="19" t="str">
        <f aca="false">IF(A922="","",IFERROR(INDEX(Eleitoral!$B:$B,MATCH(A922,Eleitoral!$A:$A,0))&amp;"","não consta"))</f>
        <v/>
      </c>
      <c r="M922" s="28" t="str">
        <f aca="false">IF(A922="","",IF(OR(AND(K922&lt;&gt;"",LOWER(K922)&lt;&gt;"não consta"),AND(L922&lt;&gt;"",LOWER(L922)&lt;&gt;"não consta"),IFERROR(INDEX(Empresas!$G:$G,MATCH(A922,Empresas!$A:$A,0))&amp;"","")&lt;&gt;""),"SIM",""))</f>
        <v/>
      </c>
      <c r="N922" s="5"/>
      <c r="O922" s="32" t="str">
        <f aca="false">IF(D922="","",YEAR(D922))</f>
        <v/>
      </c>
      <c r="P922" s="5"/>
    </row>
    <row r="923" customFormat="false" ht="15" hidden="false" customHeight="false" outlineLevel="0" collapsed="false">
      <c r="A923" s="27"/>
      <c r="B923" s="5"/>
      <c r="C923" s="35"/>
      <c r="D923" s="18"/>
      <c r="E923" s="5"/>
      <c r="F923" s="14"/>
      <c r="G923" s="5"/>
      <c r="H923" s="27"/>
      <c r="I923" s="5"/>
      <c r="J923" s="19" t="str">
        <f aca="false">IF(A923="","",IFERROR(INDEX(Empresas!$D:$D,MATCH(A923,Empresas!$A:$A,0))&amp;"","não consta"))</f>
        <v/>
      </c>
      <c r="K923" s="19" t="str">
        <f aca="false">IF(A923="","",IFERROR(INDEX(Sancoes!$B:$B,MATCH(A923,Sancoes!$A:$A,0))&amp;"","não consta"))</f>
        <v/>
      </c>
      <c r="L923" s="19" t="str">
        <f aca="false">IF(A923="","",IFERROR(INDEX(Eleitoral!$B:$B,MATCH(A923,Eleitoral!$A:$A,0))&amp;"","não consta"))</f>
        <v/>
      </c>
      <c r="M923" s="28" t="str">
        <f aca="false">IF(A923="","",IF(OR(AND(K923&lt;&gt;"",LOWER(K923)&lt;&gt;"não consta"),AND(L923&lt;&gt;"",LOWER(L923)&lt;&gt;"não consta"),IFERROR(INDEX(Empresas!$G:$G,MATCH(A923,Empresas!$A:$A,0))&amp;"","")&lt;&gt;""),"SIM",""))</f>
        <v/>
      </c>
      <c r="N923" s="5"/>
      <c r="O923" s="32" t="str">
        <f aca="false">IF(D923="","",YEAR(D923))</f>
        <v/>
      </c>
      <c r="P923" s="5"/>
    </row>
    <row r="924" customFormat="false" ht="15" hidden="false" customHeight="false" outlineLevel="0" collapsed="false">
      <c r="A924" s="27"/>
      <c r="B924" s="5"/>
      <c r="C924" s="35"/>
      <c r="D924" s="18"/>
      <c r="E924" s="5"/>
      <c r="F924" s="14"/>
      <c r="G924" s="5"/>
      <c r="H924" s="27"/>
      <c r="I924" s="5"/>
      <c r="J924" s="19" t="str">
        <f aca="false">IF(A924="","",IFERROR(INDEX(Empresas!$D:$D,MATCH(A924,Empresas!$A:$A,0))&amp;"","não consta"))</f>
        <v/>
      </c>
      <c r="K924" s="19" t="str">
        <f aca="false">IF(A924="","",IFERROR(INDEX(Sancoes!$B:$B,MATCH(A924,Sancoes!$A:$A,0))&amp;"","não consta"))</f>
        <v/>
      </c>
      <c r="L924" s="19" t="str">
        <f aca="false">IF(A924="","",IFERROR(INDEX(Eleitoral!$B:$B,MATCH(A924,Eleitoral!$A:$A,0))&amp;"","não consta"))</f>
        <v/>
      </c>
      <c r="M924" s="28" t="str">
        <f aca="false">IF(A924="","",IF(OR(AND(K924&lt;&gt;"",LOWER(K924)&lt;&gt;"não consta"),AND(L924&lt;&gt;"",LOWER(L924)&lt;&gt;"não consta"),IFERROR(INDEX(Empresas!$G:$G,MATCH(A924,Empresas!$A:$A,0))&amp;"","")&lt;&gt;""),"SIM",""))</f>
        <v/>
      </c>
      <c r="N924" s="5"/>
      <c r="O924" s="32" t="str">
        <f aca="false">IF(D924="","",YEAR(D924))</f>
        <v/>
      </c>
      <c r="P924" s="5"/>
    </row>
    <row r="925" customFormat="false" ht="15" hidden="false" customHeight="false" outlineLevel="0" collapsed="false">
      <c r="A925" s="27"/>
      <c r="B925" s="5"/>
      <c r="C925" s="35"/>
      <c r="D925" s="18"/>
      <c r="E925" s="5"/>
      <c r="F925" s="14"/>
      <c r="G925" s="5"/>
      <c r="H925" s="27"/>
      <c r="I925" s="5"/>
      <c r="J925" s="19" t="str">
        <f aca="false">IF(A925="","",IFERROR(INDEX(Empresas!$D:$D,MATCH(A925,Empresas!$A:$A,0))&amp;"","não consta"))</f>
        <v/>
      </c>
      <c r="K925" s="19" t="str">
        <f aca="false">IF(A925="","",IFERROR(INDEX(Sancoes!$B:$B,MATCH(A925,Sancoes!$A:$A,0))&amp;"","não consta"))</f>
        <v/>
      </c>
      <c r="L925" s="19" t="str">
        <f aca="false">IF(A925="","",IFERROR(INDEX(Eleitoral!$B:$B,MATCH(A925,Eleitoral!$A:$A,0))&amp;"","não consta"))</f>
        <v/>
      </c>
      <c r="M925" s="28" t="str">
        <f aca="false">IF(A925="","",IF(OR(AND(K925&lt;&gt;"",LOWER(K925)&lt;&gt;"não consta"),AND(L925&lt;&gt;"",LOWER(L925)&lt;&gt;"não consta"),IFERROR(INDEX(Empresas!$G:$G,MATCH(A925,Empresas!$A:$A,0))&amp;"","")&lt;&gt;""),"SIM",""))</f>
        <v/>
      </c>
      <c r="N925" s="5"/>
      <c r="O925" s="32" t="str">
        <f aca="false">IF(D925="","",YEAR(D925))</f>
        <v/>
      </c>
      <c r="P925" s="5"/>
    </row>
    <row r="926" customFormat="false" ht="15" hidden="false" customHeight="false" outlineLevel="0" collapsed="false">
      <c r="A926" s="27"/>
      <c r="B926" s="5"/>
      <c r="C926" s="35"/>
      <c r="D926" s="18"/>
      <c r="E926" s="5"/>
      <c r="F926" s="14"/>
      <c r="G926" s="5"/>
      <c r="H926" s="27"/>
      <c r="I926" s="5"/>
      <c r="J926" s="19" t="str">
        <f aca="false">IF(A926="","",IFERROR(INDEX(Empresas!$D:$D,MATCH(A926,Empresas!$A:$A,0))&amp;"","não consta"))</f>
        <v/>
      </c>
      <c r="K926" s="19" t="str">
        <f aca="false">IF(A926="","",IFERROR(INDEX(Sancoes!$B:$B,MATCH(A926,Sancoes!$A:$A,0))&amp;"","não consta"))</f>
        <v/>
      </c>
      <c r="L926" s="19" t="str">
        <f aca="false">IF(A926="","",IFERROR(INDEX(Eleitoral!$B:$B,MATCH(A926,Eleitoral!$A:$A,0))&amp;"","não consta"))</f>
        <v/>
      </c>
      <c r="M926" s="28" t="str">
        <f aca="false">IF(A926="","",IF(OR(AND(K926&lt;&gt;"",LOWER(K926)&lt;&gt;"não consta"),AND(L926&lt;&gt;"",LOWER(L926)&lt;&gt;"não consta"),IFERROR(INDEX(Empresas!$G:$G,MATCH(A926,Empresas!$A:$A,0))&amp;"","")&lt;&gt;""),"SIM",""))</f>
        <v/>
      </c>
      <c r="N926" s="5"/>
      <c r="O926" s="32" t="str">
        <f aca="false">IF(D926="","",YEAR(D926))</f>
        <v/>
      </c>
      <c r="P926" s="5"/>
    </row>
    <row r="927" customFormat="false" ht="15" hidden="false" customHeight="false" outlineLevel="0" collapsed="false">
      <c r="A927" s="27"/>
      <c r="B927" s="5"/>
      <c r="C927" s="35"/>
      <c r="D927" s="18"/>
      <c r="E927" s="5"/>
      <c r="F927" s="14"/>
      <c r="G927" s="5"/>
      <c r="H927" s="27"/>
      <c r="I927" s="5"/>
      <c r="J927" s="19" t="str">
        <f aca="false">IF(A927="","",IFERROR(INDEX(Empresas!$D:$D,MATCH(A927,Empresas!$A:$A,0))&amp;"","não consta"))</f>
        <v/>
      </c>
      <c r="K927" s="19" t="str">
        <f aca="false">IF(A927="","",IFERROR(INDEX(Sancoes!$B:$B,MATCH(A927,Sancoes!$A:$A,0))&amp;"","não consta"))</f>
        <v/>
      </c>
      <c r="L927" s="19" t="str">
        <f aca="false">IF(A927="","",IFERROR(INDEX(Eleitoral!$B:$B,MATCH(A927,Eleitoral!$A:$A,0))&amp;"","não consta"))</f>
        <v/>
      </c>
      <c r="M927" s="28" t="str">
        <f aca="false">IF(A927="","",IF(OR(AND(K927&lt;&gt;"",LOWER(K927)&lt;&gt;"não consta"),AND(L927&lt;&gt;"",LOWER(L927)&lt;&gt;"não consta"),IFERROR(INDEX(Empresas!$G:$G,MATCH(A927,Empresas!$A:$A,0))&amp;"","")&lt;&gt;""),"SIM",""))</f>
        <v/>
      </c>
      <c r="N927" s="5"/>
      <c r="O927" s="32" t="str">
        <f aca="false">IF(D927="","",YEAR(D927))</f>
        <v/>
      </c>
      <c r="P927" s="5"/>
    </row>
    <row r="928" customFormat="false" ht="15" hidden="false" customHeight="false" outlineLevel="0" collapsed="false">
      <c r="A928" s="27"/>
      <c r="B928" s="5"/>
      <c r="C928" s="35"/>
      <c r="D928" s="18"/>
      <c r="E928" s="5"/>
      <c r="F928" s="14"/>
      <c r="G928" s="5"/>
      <c r="H928" s="27"/>
      <c r="I928" s="5"/>
      <c r="J928" s="19" t="str">
        <f aca="false">IF(A928="","",IFERROR(INDEX(Empresas!$D:$D,MATCH(A928,Empresas!$A:$A,0))&amp;"","não consta"))</f>
        <v/>
      </c>
      <c r="K928" s="19" t="str">
        <f aca="false">IF(A928="","",IFERROR(INDEX(Sancoes!$B:$B,MATCH(A928,Sancoes!$A:$A,0))&amp;"","não consta"))</f>
        <v/>
      </c>
      <c r="L928" s="19" t="str">
        <f aca="false">IF(A928="","",IFERROR(INDEX(Eleitoral!$B:$B,MATCH(A928,Eleitoral!$A:$A,0))&amp;"","não consta"))</f>
        <v/>
      </c>
      <c r="M928" s="28" t="str">
        <f aca="false">IF(A928="","",IF(OR(AND(K928&lt;&gt;"",LOWER(K928)&lt;&gt;"não consta"),AND(L928&lt;&gt;"",LOWER(L928)&lt;&gt;"não consta"),IFERROR(INDEX(Empresas!$G:$G,MATCH(A928,Empresas!$A:$A,0))&amp;"","")&lt;&gt;""),"SIM",""))</f>
        <v/>
      </c>
      <c r="N928" s="5"/>
      <c r="O928" s="32" t="str">
        <f aca="false">IF(D928="","",YEAR(D928))</f>
        <v/>
      </c>
      <c r="P928" s="5"/>
    </row>
    <row r="929" customFormat="false" ht="15" hidden="false" customHeight="false" outlineLevel="0" collapsed="false">
      <c r="A929" s="27"/>
      <c r="B929" s="5"/>
      <c r="C929" s="35"/>
      <c r="D929" s="18"/>
      <c r="E929" s="5"/>
      <c r="F929" s="14"/>
      <c r="G929" s="5"/>
      <c r="H929" s="27"/>
      <c r="I929" s="5"/>
      <c r="J929" s="19" t="str">
        <f aca="false">IF(A929="","",IFERROR(INDEX(Empresas!$D:$D,MATCH(A929,Empresas!$A:$A,0))&amp;"","não consta"))</f>
        <v/>
      </c>
      <c r="K929" s="19" t="str">
        <f aca="false">IF(A929="","",IFERROR(INDEX(Sancoes!$B:$B,MATCH(A929,Sancoes!$A:$A,0))&amp;"","não consta"))</f>
        <v/>
      </c>
      <c r="L929" s="19" t="str">
        <f aca="false">IF(A929="","",IFERROR(INDEX(Eleitoral!$B:$B,MATCH(A929,Eleitoral!$A:$A,0))&amp;"","não consta"))</f>
        <v/>
      </c>
      <c r="M929" s="28" t="str">
        <f aca="false">IF(A929="","",IF(OR(AND(K929&lt;&gt;"",LOWER(K929)&lt;&gt;"não consta"),AND(L929&lt;&gt;"",LOWER(L929)&lt;&gt;"não consta"),IFERROR(INDEX(Empresas!$G:$G,MATCH(A929,Empresas!$A:$A,0))&amp;"","")&lt;&gt;""),"SIM",""))</f>
        <v/>
      </c>
      <c r="N929" s="5"/>
      <c r="O929" s="32" t="str">
        <f aca="false">IF(D929="","",YEAR(D929))</f>
        <v/>
      </c>
      <c r="P929" s="5"/>
    </row>
    <row r="930" customFormat="false" ht="15" hidden="false" customHeight="false" outlineLevel="0" collapsed="false">
      <c r="A930" s="27"/>
      <c r="B930" s="5"/>
      <c r="C930" s="35"/>
      <c r="D930" s="18"/>
      <c r="E930" s="5"/>
      <c r="F930" s="14"/>
      <c r="G930" s="5"/>
      <c r="H930" s="27"/>
      <c r="I930" s="5"/>
      <c r="J930" s="19" t="str">
        <f aca="false">IF(A930="","",IFERROR(INDEX(Empresas!$D:$D,MATCH(A930,Empresas!$A:$A,0))&amp;"","não consta"))</f>
        <v/>
      </c>
      <c r="K930" s="19" t="str">
        <f aca="false">IF(A930="","",IFERROR(INDEX(Sancoes!$B:$B,MATCH(A930,Sancoes!$A:$A,0))&amp;"","não consta"))</f>
        <v/>
      </c>
      <c r="L930" s="19" t="str">
        <f aca="false">IF(A930="","",IFERROR(INDEX(Eleitoral!$B:$B,MATCH(A930,Eleitoral!$A:$A,0))&amp;"","não consta"))</f>
        <v/>
      </c>
      <c r="M930" s="28" t="str">
        <f aca="false">IF(A930="","",IF(OR(AND(K930&lt;&gt;"",LOWER(K930)&lt;&gt;"não consta"),AND(L930&lt;&gt;"",LOWER(L930)&lt;&gt;"não consta"),IFERROR(INDEX(Empresas!$G:$G,MATCH(A930,Empresas!$A:$A,0))&amp;"","")&lt;&gt;""),"SIM",""))</f>
        <v/>
      </c>
      <c r="N930" s="5"/>
      <c r="O930" s="32" t="str">
        <f aca="false">IF(D930="","",YEAR(D930))</f>
        <v/>
      </c>
      <c r="P930" s="5"/>
    </row>
    <row r="931" customFormat="false" ht="15" hidden="false" customHeight="false" outlineLevel="0" collapsed="false">
      <c r="A931" s="27"/>
      <c r="B931" s="5"/>
      <c r="C931" s="35"/>
      <c r="D931" s="18"/>
      <c r="E931" s="5"/>
      <c r="F931" s="14"/>
      <c r="G931" s="5"/>
      <c r="H931" s="27"/>
      <c r="I931" s="5"/>
      <c r="J931" s="19" t="str">
        <f aca="false">IF(A931="","",IFERROR(INDEX(Empresas!$D:$D,MATCH(A931,Empresas!$A:$A,0))&amp;"","não consta"))</f>
        <v/>
      </c>
      <c r="K931" s="19" t="str">
        <f aca="false">IF(A931="","",IFERROR(INDEX(Sancoes!$B:$B,MATCH(A931,Sancoes!$A:$A,0))&amp;"","não consta"))</f>
        <v/>
      </c>
      <c r="L931" s="19" t="str">
        <f aca="false">IF(A931="","",IFERROR(INDEX(Eleitoral!$B:$B,MATCH(A931,Eleitoral!$A:$A,0))&amp;"","não consta"))</f>
        <v/>
      </c>
      <c r="M931" s="28" t="str">
        <f aca="false">IF(A931="","",IF(OR(AND(K931&lt;&gt;"",LOWER(K931)&lt;&gt;"não consta"),AND(L931&lt;&gt;"",LOWER(L931)&lt;&gt;"não consta"),IFERROR(INDEX(Empresas!$G:$G,MATCH(A931,Empresas!$A:$A,0))&amp;"","")&lt;&gt;""),"SIM",""))</f>
        <v/>
      </c>
      <c r="N931" s="5"/>
      <c r="O931" s="32" t="str">
        <f aca="false">IF(D931="","",YEAR(D931))</f>
        <v/>
      </c>
      <c r="P931" s="5"/>
    </row>
    <row r="932" customFormat="false" ht="15" hidden="false" customHeight="false" outlineLevel="0" collapsed="false">
      <c r="A932" s="27"/>
      <c r="B932" s="5"/>
      <c r="C932" s="35"/>
      <c r="D932" s="18"/>
      <c r="E932" s="5"/>
      <c r="F932" s="14"/>
      <c r="G932" s="5"/>
      <c r="H932" s="27"/>
      <c r="I932" s="5"/>
      <c r="J932" s="19" t="str">
        <f aca="false">IF(A932="","",IFERROR(INDEX(Empresas!$D:$D,MATCH(A932,Empresas!$A:$A,0))&amp;"","não consta"))</f>
        <v/>
      </c>
      <c r="K932" s="19" t="str">
        <f aca="false">IF(A932="","",IFERROR(INDEX(Sancoes!$B:$B,MATCH(A932,Sancoes!$A:$A,0))&amp;"","não consta"))</f>
        <v/>
      </c>
      <c r="L932" s="19" t="str">
        <f aca="false">IF(A932="","",IFERROR(INDEX(Eleitoral!$B:$B,MATCH(A932,Eleitoral!$A:$A,0))&amp;"","não consta"))</f>
        <v/>
      </c>
      <c r="M932" s="28" t="str">
        <f aca="false">IF(A932="","",IF(OR(AND(K932&lt;&gt;"",LOWER(K932)&lt;&gt;"não consta"),AND(L932&lt;&gt;"",LOWER(L932)&lt;&gt;"não consta"),IFERROR(INDEX(Empresas!$G:$G,MATCH(A932,Empresas!$A:$A,0))&amp;"","")&lt;&gt;""),"SIM",""))</f>
        <v/>
      </c>
      <c r="N932" s="5"/>
      <c r="O932" s="32" t="str">
        <f aca="false">IF(D932="","",YEAR(D932))</f>
        <v/>
      </c>
      <c r="P932" s="5"/>
    </row>
    <row r="933" customFormat="false" ht="15" hidden="false" customHeight="false" outlineLevel="0" collapsed="false">
      <c r="A933" s="27"/>
      <c r="B933" s="5"/>
      <c r="C933" s="35"/>
      <c r="D933" s="18"/>
      <c r="E933" s="5"/>
      <c r="F933" s="14"/>
      <c r="G933" s="5"/>
      <c r="H933" s="27"/>
      <c r="I933" s="5"/>
      <c r="J933" s="19" t="str">
        <f aca="false">IF(A933="","",IFERROR(INDEX(Empresas!$D:$D,MATCH(A933,Empresas!$A:$A,0))&amp;"","não consta"))</f>
        <v/>
      </c>
      <c r="K933" s="19" t="str">
        <f aca="false">IF(A933="","",IFERROR(INDEX(Sancoes!$B:$B,MATCH(A933,Sancoes!$A:$A,0))&amp;"","não consta"))</f>
        <v/>
      </c>
      <c r="L933" s="19" t="str">
        <f aca="false">IF(A933="","",IFERROR(INDEX(Eleitoral!$B:$B,MATCH(A933,Eleitoral!$A:$A,0))&amp;"","não consta"))</f>
        <v/>
      </c>
      <c r="M933" s="28" t="str">
        <f aca="false">IF(A933="","",IF(OR(AND(K933&lt;&gt;"",LOWER(K933)&lt;&gt;"não consta"),AND(L933&lt;&gt;"",LOWER(L933)&lt;&gt;"não consta"),IFERROR(INDEX(Empresas!$G:$G,MATCH(A933,Empresas!$A:$A,0))&amp;"","")&lt;&gt;""),"SIM",""))</f>
        <v/>
      </c>
      <c r="N933" s="5"/>
      <c r="O933" s="32" t="str">
        <f aca="false">IF(D933="","",YEAR(D933))</f>
        <v/>
      </c>
      <c r="P933" s="5"/>
    </row>
    <row r="934" customFormat="false" ht="15" hidden="false" customHeight="false" outlineLevel="0" collapsed="false">
      <c r="A934" s="27"/>
      <c r="B934" s="5"/>
      <c r="C934" s="35"/>
      <c r="D934" s="18"/>
      <c r="E934" s="5"/>
      <c r="F934" s="14"/>
      <c r="G934" s="5"/>
      <c r="H934" s="27"/>
      <c r="I934" s="5"/>
      <c r="J934" s="19" t="str">
        <f aca="false">IF(A934="","",IFERROR(INDEX(Empresas!$D:$D,MATCH(A934,Empresas!$A:$A,0))&amp;"","não consta"))</f>
        <v/>
      </c>
      <c r="K934" s="19" t="str">
        <f aca="false">IF(A934="","",IFERROR(INDEX(Sancoes!$B:$B,MATCH(A934,Sancoes!$A:$A,0))&amp;"","não consta"))</f>
        <v/>
      </c>
      <c r="L934" s="19" t="str">
        <f aca="false">IF(A934="","",IFERROR(INDEX(Eleitoral!$B:$B,MATCH(A934,Eleitoral!$A:$A,0))&amp;"","não consta"))</f>
        <v/>
      </c>
      <c r="M934" s="28" t="str">
        <f aca="false">IF(A934="","",IF(OR(AND(K934&lt;&gt;"",LOWER(K934)&lt;&gt;"não consta"),AND(L934&lt;&gt;"",LOWER(L934)&lt;&gt;"não consta"),IFERROR(INDEX(Empresas!$G:$G,MATCH(A934,Empresas!$A:$A,0))&amp;"","")&lt;&gt;""),"SIM",""))</f>
        <v/>
      </c>
      <c r="N934" s="5"/>
      <c r="O934" s="32" t="str">
        <f aca="false">IF(D934="","",YEAR(D934))</f>
        <v/>
      </c>
      <c r="P934" s="5"/>
    </row>
    <row r="935" customFormat="false" ht="15" hidden="false" customHeight="false" outlineLevel="0" collapsed="false">
      <c r="A935" s="27"/>
      <c r="B935" s="5"/>
      <c r="C935" s="35"/>
      <c r="D935" s="18"/>
      <c r="E935" s="5"/>
      <c r="F935" s="14"/>
      <c r="G935" s="5"/>
      <c r="H935" s="27"/>
      <c r="I935" s="5"/>
      <c r="J935" s="19" t="str">
        <f aca="false">IF(A935="","",IFERROR(INDEX(Empresas!$D:$D,MATCH(A935,Empresas!$A:$A,0))&amp;"","não consta"))</f>
        <v/>
      </c>
      <c r="K935" s="19" t="str">
        <f aca="false">IF(A935="","",IFERROR(INDEX(Sancoes!$B:$B,MATCH(A935,Sancoes!$A:$A,0))&amp;"","não consta"))</f>
        <v/>
      </c>
      <c r="L935" s="19" t="str">
        <f aca="false">IF(A935="","",IFERROR(INDEX(Eleitoral!$B:$B,MATCH(A935,Eleitoral!$A:$A,0))&amp;"","não consta"))</f>
        <v/>
      </c>
      <c r="M935" s="28" t="str">
        <f aca="false">IF(A935="","",IF(OR(AND(K935&lt;&gt;"",LOWER(K935)&lt;&gt;"não consta"),AND(L935&lt;&gt;"",LOWER(L935)&lt;&gt;"não consta"),IFERROR(INDEX(Empresas!$G:$G,MATCH(A935,Empresas!$A:$A,0))&amp;"","")&lt;&gt;""),"SIM",""))</f>
        <v/>
      </c>
      <c r="N935" s="5"/>
      <c r="O935" s="32" t="str">
        <f aca="false">IF(D935="","",YEAR(D935))</f>
        <v/>
      </c>
      <c r="P935" s="5"/>
    </row>
    <row r="936" customFormat="false" ht="15" hidden="false" customHeight="false" outlineLevel="0" collapsed="false">
      <c r="A936" s="27"/>
      <c r="B936" s="5"/>
      <c r="C936" s="35"/>
      <c r="D936" s="18"/>
      <c r="E936" s="5"/>
      <c r="F936" s="14"/>
      <c r="G936" s="5"/>
      <c r="H936" s="27"/>
      <c r="I936" s="5"/>
      <c r="J936" s="19" t="str">
        <f aca="false">IF(A936="","",IFERROR(INDEX(Empresas!$D:$D,MATCH(A936,Empresas!$A:$A,0))&amp;"","não consta"))</f>
        <v/>
      </c>
      <c r="K936" s="19" t="str">
        <f aca="false">IF(A936="","",IFERROR(INDEX(Sancoes!$B:$B,MATCH(A936,Sancoes!$A:$A,0))&amp;"","não consta"))</f>
        <v/>
      </c>
      <c r="L936" s="19" t="str">
        <f aca="false">IF(A936="","",IFERROR(INDEX(Eleitoral!$B:$B,MATCH(A936,Eleitoral!$A:$A,0))&amp;"","não consta"))</f>
        <v/>
      </c>
      <c r="M936" s="28" t="str">
        <f aca="false">IF(A936="","",IF(OR(AND(K936&lt;&gt;"",LOWER(K936)&lt;&gt;"não consta"),AND(L936&lt;&gt;"",LOWER(L936)&lt;&gt;"não consta"),IFERROR(INDEX(Empresas!$G:$G,MATCH(A936,Empresas!$A:$A,0))&amp;"","")&lt;&gt;""),"SIM",""))</f>
        <v/>
      </c>
      <c r="N936" s="5"/>
      <c r="O936" s="32" t="str">
        <f aca="false">IF(D936="","",YEAR(D936))</f>
        <v/>
      </c>
      <c r="P936" s="5"/>
    </row>
    <row r="937" customFormat="false" ht="15" hidden="false" customHeight="false" outlineLevel="0" collapsed="false">
      <c r="A937" s="27"/>
      <c r="B937" s="5"/>
      <c r="C937" s="35"/>
      <c r="D937" s="18"/>
      <c r="E937" s="5"/>
      <c r="F937" s="14"/>
      <c r="G937" s="5"/>
      <c r="H937" s="27"/>
      <c r="I937" s="5"/>
      <c r="J937" s="19" t="str">
        <f aca="false">IF(A937="","",IFERROR(INDEX(Empresas!$D:$D,MATCH(A937,Empresas!$A:$A,0))&amp;"","não consta"))</f>
        <v/>
      </c>
      <c r="K937" s="19" t="str">
        <f aca="false">IF(A937="","",IFERROR(INDEX(Sancoes!$B:$B,MATCH(A937,Sancoes!$A:$A,0))&amp;"","não consta"))</f>
        <v/>
      </c>
      <c r="L937" s="19" t="str">
        <f aca="false">IF(A937="","",IFERROR(INDEX(Eleitoral!$B:$B,MATCH(A937,Eleitoral!$A:$A,0))&amp;"","não consta"))</f>
        <v/>
      </c>
      <c r="M937" s="28" t="str">
        <f aca="false">IF(A937="","",IF(OR(AND(K937&lt;&gt;"",LOWER(K937)&lt;&gt;"não consta"),AND(L937&lt;&gt;"",LOWER(L937)&lt;&gt;"não consta"),IFERROR(INDEX(Empresas!$G:$G,MATCH(A937,Empresas!$A:$A,0))&amp;"","")&lt;&gt;""),"SIM",""))</f>
        <v/>
      </c>
      <c r="N937" s="5"/>
      <c r="O937" s="32" t="str">
        <f aca="false">IF(D937="","",YEAR(D937))</f>
        <v/>
      </c>
      <c r="P937" s="5"/>
    </row>
    <row r="938" customFormat="false" ht="15" hidden="false" customHeight="false" outlineLevel="0" collapsed="false">
      <c r="A938" s="27"/>
      <c r="B938" s="5"/>
      <c r="C938" s="35"/>
      <c r="D938" s="18"/>
      <c r="E938" s="5"/>
      <c r="F938" s="14"/>
      <c r="G938" s="5"/>
      <c r="H938" s="27"/>
      <c r="I938" s="5"/>
      <c r="J938" s="19" t="str">
        <f aca="false">IF(A938="","",IFERROR(INDEX(Empresas!$D:$D,MATCH(A938,Empresas!$A:$A,0))&amp;"","não consta"))</f>
        <v/>
      </c>
      <c r="K938" s="19" t="str">
        <f aca="false">IF(A938="","",IFERROR(INDEX(Sancoes!$B:$B,MATCH(A938,Sancoes!$A:$A,0))&amp;"","não consta"))</f>
        <v/>
      </c>
      <c r="L938" s="19" t="str">
        <f aca="false">IF(A938="","",IFERROR(INDEX(Eleitoral!$B:$B,MATCH(A938,Eleitoral!$A:$A,0))&amp;"","não consta"))</f>
        <v/>
      </c>
      <c r="M938" s="28" t="str">
        <f aca="false">IF(A938="","",IF(OR(AND(K938&lt;&gt;"",LOWER(K938)&lt;&gt;"não consta"),AND(L938&lt;&gt;"",LOWER(L938)&lt;&gt;"não consta"),IFERROR(INDEX(Empresas!$G:$G,MATCH(A938,Empresas!$A:$A,0))&amp;"","")&lt;&gt;""),"SIM",""))</f>
        <v/>
      </c>
      <c r="N938" s="5"/>
      <c r="O938" s="32" t="str">
        <f aca="false">IF(D938="","",YEAR(D938))</f>
        <v/>
      </c>
      <c r="P938" s="5"/>
    </row>
    <row r="939" customFormat="false" ht="15" hidden="false" customHeight="false" outlineLevel="0" collapsed="false">
      <c r="A939" s="27"/>
      <c r="B939" s="5"/>
      <c r="C939" s="35"/>
      <c r="D939" s="18"/>
      <c r="E939" s="5"/>
      <c r="F939" s="14"/>
      <c r="G939" s="5"/>
      <c r="H939" s="27"/>
      <c r="I939" s="5"/>
      <c r="J939" s="19" t="str">
        <f aca="false">IF(A939="","",IFERROR(INDEX(Empresas!$D:$D,MATCH(A939,Empresas!$A:$A,0))&amp;"","não consta"))</f>
        <v/>
      </c>
      <c r="K939" s="19" t="str">
        <f aca="false">IF(A939="","",IFERROR(INDEX(Sancoes!$B:$B,MATCH(A939,Sancoes!$A:$A,0))&amp;"","não consta"))</f>
        <v/>
      </c>
      <c r="L939" s="19" t="str">
        <f aca="false">IF(A939="","",IFERROR(INDEX(Eleitoral!$B:$B,MATCH(A939,Eleitoral!$A:$A,0))&amp;"","não consta"))</f>
        <v/>
      </c>
      <c r="M939" s="28" t="str">
        <f aca="false">IF(A939="","",IF(OR(AND(K939&lt;&gt;"",LOWER(K939)&lt;&gt;"não consta"),AND(L939&lt;&gt;"",LOWER(L939)&lt;&gt;"não consta"),IFERROR(INDEX(Empresas!$G:$G,MATCH(A939,Empresas!$A:$A,0))&amp;"","")&lt;&gt;""),"SIM",""))</f>
        <v/>
      </c>
      <c r="N939" s="5"/>
      <c r="O939" s="32" t="str">
        <f aca="false">IF(D939="","",YEAR(D939))</f>
        <v/>
      </c>
      <c r="P939" s="5"/>
    </row>
    <row r="940" customFormat="false" ht="15" hidden="false" customHeight="false" outlineLevel="0" collapsed="false">
      <c r="A940" s="27"/>
      <c r="B940" s="5"/>
      <c r="C940" s="35"/>
      <c r="D940" s="18"/>
      <c r="E940" s="5"/>
      <c r="F940" s="14"/>
      <c r="G940" s="5"/>
      <c r="H940" s="27"/>
      <c r="I940" s="5"/>
      <c r="J940" s="19" t="str">
        <f aca="false">IF(A940="","",IFERROR(INDEX(Empresas!$D:$D,MATCH(A940,Empresas!$A:$A,0))&amp;"","não consta"))</f>
        <v/>
      </c>
      <c r="K940" s="19" t="str">
        <f aca="false">IF(A940="","",IFERROR(INDEX(Sancoes!$B:$B,MATCH(A940,Sancoes!$A:$A,0))&amp;"","não consta"))</f>
        <v/>
      </c>
      <c r="L940" s="19" t="str">
        <f aca="false">IF(A940="","",IFERROR(INDEX(Eleitoral!$B:$B,MATCH(A940,Eleitoral!$A:$A,0))&amp;"","não consta"))</f>
        <v/>
      </c>
      <c r="M940" s="28" t="str">
        <f aca="false">IF(A940="","",IF(OR(AND(K940&lt;&gt;"",LOWER(K940)&lt;&gt;"não consta"),AND(L940&lt;&gt;"",LOWER(L940)&lt;&gt;"não consta"),IFERROR(INDEX(Empresas!$G:$G,MATCH(A940,Empresas!$A:$A,0))&amp;"","")&lt;&gt;""),"SIM",""))</f>
        <v/>
      </c>
      <c r="N940" s="5"/>
      <c r="O940" s="32" t="str">
        <f aca="false">IF(D940="","",YEAR(D940))</f>
        <v/>
      </c>
      <c r="P940" s="5"/>
    </row>
    <row r="941" customFormat="false" ht="15" hidden="false" customHeight="false" outlineLevel="0" collapsed="false">
      <c r="A941" s="27"/>
      <c r="B941" s="5"/>
      <c r="C941" s="35"/>
      <c r="D941" s="18"/>
      <c r="E941" s="5"/>
      <c r="F941" s="14"/>
      <c r="G941" s="5"/>
      <c r="H941" s="27"/>
      <c r="I941" s="5"/>
      <c r="J941" s="19" t="str">
        <f aca="false">IF(A941="","",IFERROR(INDEX(Empresas!$D:$D,MATCH(A941,Empresas!$A:$A,0))&amp;"","não consta"))</f>
        <v/>
      </c>
      <c r="K941" s="19" t="str">
        <f aca="false">IF(A941="","",IFERROR(INDEX(Sancoes!$B:$B,MATCH(A941,Sancoes!$A:$A,0))&amp;"","não consta"))</f>
        <v/>
      </c>
      <c r="L941" s="19" t="str">
        <f aca="false">IF(A941="","",IFERROR(INDEX(Eleitoral!$B:$B,MATCH(A941,Eleitoral!$A:$A,0))&amp;"","não consta"))</f>
        <v/>
      </c>
      <c r="M941" s="28" t="str">
        <f aca="false">IF(A941="","",IF(OR(AND(K941&lt;&gt;"",LOWER(K941)&lt;&gt;"não consta"),AND(L941&lt;&gt;"",LOWER(L941)&lt;&gt;"não consta"),IFERROR(INDEX(Empresas!$G:$G,MATCH(A941,Empresas!$A:$A,0))&amp;"","")&lt;&gt;""),"SIM",""))</f>
        <v/>
      </c>
      <c r="N941" s="5"/>
      <c r="O941" s="32" t="str">
        <f aca="false">IF(D941="","",YEAR(D941))</f>
        <v/>
      </c>
      <c r="P941" s="5"/>
    </row>
    <row r="942" customFormat="false" ht="15" hidden="false" customHeight="false" outlineLevel="0" collapsed="false">
      <c r="A942" s="27"/>
      <c r="B942" s="5"/>
      <c r="C942" s="35"/>
      <c r="D942" s="18"/>
      <c r="E942" s="5"/>
      <c r="F942" s="14"/>
      <c r="G942" s="5"/>
      <c r="H942" s="27"/>
      <c r="I942" s="5"/>
      <c r="J942" s="19" t="str">
        <f aca="false">IF(A942="","",IFERROR(INDEX(Empresas!$D:$D,MATCH(A942,Empresas!$A:$A,0))&amp;"","não consta"))</f>
        <v/>
      </c>
      <c r="K942" s="19" t="str">
        <f aca="false">IF(A942="","",IFERROR(INDEX(Sancoes!$B:$B,MATCH(A942,Sancoes!$A:$A,0))&amp;"","não consta"))</f>
        <v/>
      </c>
      <c r="L942" s="19" t="str">
        <f aca="false">IF(A942="","",IFERROR(INDEX(Eleitoral!$B:$B,MATCH(A942,Eleitoral!$A:$A,0))&amp;"","não consta"))</f>
        <v/>
      </c>
      <c r="M942" s="28" t="str">
        <f aca="false">IF(A942="","",IF(OR(AND(K942&lt;&gt;"",LOWER(K942)&lt;&gt;"não consta"),AND(L942&lt;&gt;"",LOWER(L942)&lt;&gt;"não consta"),IFERROR(INDEX(Empresas!$G:$G,MATCH(A942,Empresas!$A:$A,0))&amp;"","")&lt;&gt;""),"SIM",""))</f>
        <v/>
      </c>
      <c r="N942" s="5"/>
      <c r="O942" s="32" t="str">
        <f aca="false">IF(D942="","",YEAR(D942))</f>
        <v/>
      </c>
      <c r="P942" s="5"/>
    </row>
    <row r="943" customFormat="false" ht="15" hidden="false" customHeight="false" outlineLevel="0" collapsed="false">
      <c r="A943" s="27"/>
      <c r="B943" s="5"/>
      <c r="C943" s="35"/>
      <c r="D943" s="18"/>
      <c r="E943" s="5"/>
      <c r="F943" s="14"/>
      <c r="G943" s="5"/>
      <c r="H943" s="27"/>
      <c r="I943" s="5"/>
      <c r="J943" s="19" t="str">
        <f aca="false">IF(A943="","",IFERROR(INDEX(Empresas!$D:$D,MATCH(A943,Empresas!$A:$A,0))&amp;"","não consta"))</f>
        <v/>
      </c>
      <c r="K943" s="19" t="str">
        <f aca="false">IF(A943="","",IFERROR(INDEX(Sancoes!$B:$B,MATCH(A943,Sancoes!$A:$A,0))&amp;"","não consta"))</f>
        <v/>
      </c>
      <c r="L943" s="19" t="str">
        <f aca="false">IF(A943="","",IFERROR(INDEX(Eleitoral!$B:$B,MATCH(A943,Eleitoral!$A:$A,0))&amp;"","não consta"))</f>
        <v/>
      </c>
      <c r="M943" s="28" t="str">
        <f aca="false">IF(A943="","",IF(OR(AND(K943&lt;&gt;"",LOWER(K943)&lt;&gt;"não consta"),AND(L943&lt;&gt;"",LOWER(L943)&lt;&gt;"não consta"),IFERROR(INDEX(Empresas!$G:$G,MATCH(A943,Empresas!$A:$A,0))&amp;"","")&lt;&gt;""),"SIM",""))</f>
        <v/>
      </c>
      <c r="N943" s="5"/>
      <c r="O943" s="32" t="str">
        <f aca="false">IF(D943="","",YEAR(D943))</f>
        <v/>
      </c>
      <c r="P943" s="5"/>
    </row>
    <row r="944" customFormat="false" ht="15" hidden="false" customHeight="false" outlineLevel="0" collapsed="false">
      <c r="A944" s="27"/>
      <c r="B944" s="5"/>
      <c r="C944" s="35"/>
      <c r="D944" s="18"/>
      <c r="E944" s="5"/>
      <c r="F944" s="14"/>
      <c r="G944" s="5"/>
      <c r="H944" s="27"/>
      <c r="I944" s="5"/>
      <c r="J944" s="19" t="str">
        <f aca="false">IF(A944="","",IFERROR(INDEX(Empresas!$D:$D,MATCH(A944,Empresas!$A:$A,0))&amp;"","não consta"))</f>
        <v/>
      </c>
      <c r="K944" s="19" t="str">
        <f aca="false">IF(A944="","",IFERROR(INDEX(Sancoes!$B:$B,MATCH(A944,Sancoes!$A:$A,0))&amp;"","não consta"))</f>
        <v/>
      </c>
      <c r="L944" s="19" t="str">
        <f aca="false">IF(A944="","",IFERROR(INDEX(Eleitoral!$B:$B,MATCH(A944,Eleitoral!$A:$A,0))&amp;"","não consta"))</f>
        <v/>
      </c>
      <c r="M944" s="28" t="str">
        <f aca="false">IF(A944="","",IF(OR(AND(K944&lt;&gt;"",LOWER(K944)&lt;&gt;"não consta"),AND(L944&lt;&gt;"",LOWER(L944)&lt;&gt;"não consta"),IFERROR(INDEX(Empresas!$G:$G,MATCH(A944,Empresas!$A:$A,0))&amp;"","")&lt;&gt;""),"SIM",""))</f>
        <v/>
      </c>
      <c r="N944" s="5"/>
      <c r="O944" s="32" t="str">
        <f aca="false">IF(D944="","",YEAR(D944))</f>
        <v/>
      </c>
      <c r="P944" s="5"/>
    </row>
    <row r="945" customFormat="false" ht="15" hidden="false" customHeight="false" outlineLevel="0" collapsed="false">
      <c r="A945" s="27"/>
      <c r="B945" s="5"/>
      <c r="C945" s="35"/>
      <c r="D945" s="18"/>
      <c r="E945" s="5"/>
      <c r="F945" s="14"/>
      <c r="G945" s="5"/>
      <c r="H945" s="27"/>
      <c r="I945" s="5"/>
      <c r="J945" s="19" t="str">
        <f aca="false">IF(A945="","",IFERROR(INDEX(Empresas!$D:$D,MATCH(A945,Empresas!$A:$A,0))&amp;"","não consta"))</f>
        <v/>
      </c>
      <c r="K945" s="19" t="str">
        <f aca="false">IF(A945="","",IFERROR(INDEX(Sancoes!$B:$B,MATCH(A945,Sancoes!$A:$A,0))&amp;"","não consta"))</f>
        <v/>
      </c>
      <c r="L945" s="19" t="str">
        <f aca="false">IF(A945="","",IFERROR(INDEX(Eleitoral!$B:$B,MATCH(A945,Eleitoral!$A:$A,0))&amp;"","não consta"))</f>
        <v/>
      </c>
      <c r="M945" s="28" t="str">
        <f aca="false">IF(A945="","",IF(OR(AND(K945&lt;&gt;"",LOWER(K945)&lt;&gt;"não consta"),AND(L945&lt;&gt;"",LOWER(L945)&lt;&gt;"não consta"),IFERROR(INDEX(Empresas!$G:$G,MATCH(A945,Empresas!$A:$A,0))&amp;"","")&lt;&gt;""),"SIM",""))</f>
        <v/>
      </c>
      <c r="N945" s="5"/>
      <c r="O945" s="32" t="str">
        <f aca="false">IF(D945="","",YEAR(D945))</f>
        <v/>
      </c>
      <c r="P945" s="5"/>
    </row>
    <row r="946" customFormat="false" ht="15" hidden="false" customHeight="false" outlineLevel="0" collapsed="false">
      <c r="A946" s="27"/>
      <c r="B946" s="5"/>
      <c r="C946" s="35"/>
      <c r="D946" s="18"/>
      <c r="E946" s="5"/>
      <c r="F946" s="14"/>
      <c r="G946" s="5"/>
      <c r="H946" s="27"/>
      <c r="I946" s="5"/>
      <c r="J946" s="19" t="str">
        <f aca="false">IF(A946="","",IFERROR(INDEX(Empresas!$D:$D,MATCH(A946,Empresas!$A:$A,0))&amp;"","não consta"))</f>
        <v/>
      </c>
      <c r="K946" s="19" t="str">
        <f aca="false">IF(A946="","",IFERROR(INDEX(Sancoes!$B:$B,MATCH(A946,Sancoes!$A:$A,0))&amp;"","não consta"))</f>
        <v/>
      </c>
      <c r="L946" s="19" t="str">
        <f aca="false">IF(A946="","",IFERROR(INDEX(Eleitoral!$B:$B,MATCH(A946,Eleitoral!$A:$A,0))&amp;"","não consta"))</f>
        <v/>
      </c>
      <c r="M946" s="28" t="str">
        <f aca="false">IF(A946="","",IF(OR(AND(K946&lt;&gt;"",LOWER(K946)&lt;&gt;"não consta"),AND(L946&lt;&gt;"",LOWER(L946)&lt;&gt;"não consta"),IFERROR(INDEX(Empresas!$G:$G,MATCH(A946,Empresas!$A:$A,0))&amp;"","")&lt;&gt;""),"SIM",""))</f>
        <v/>
      </c>
      <c r="N946" s="5"/>
      <c r="O946" s="32" t="str">
        <f aca="false">IF(D946="","",YEAR(D946))</f>
        <v/>
      </c>
      <c r="P946" s="5"/>
    </row>
    <row r="947" customFormat="false" ht="15" hidden="false" customHeight="false" outlineLevel="0" collapsed="false">
      <c r="A947" s="27"/>
      <c r="B947" s="5"/>
      <c r="C947" s="35"/>
      <c r="D947" s="18"/>
      <c r="E947" s="5"/>
      <c r="F947" s="14"/>
      <c r="G947" s="5"/>
      <c r="H947" s="27"/>
      <c r="I947" s="5"/>
      <c r="J947" s="19" t="str">
        <f aca="false">IF(A947="","",IFERROR(INDEX(Empresas!$D:$D,MATCH(A947,Empresas!$A:$A,0))&amp;"","não consta"))</f>
        <v/>
      </c>
      <c r="K947" s="19" t="str">
        <f aca="false">IF(A947="","",IFERROR(INDEX(Sancoes!$B:$B,MATCH(A947,Sancoes!$A:$A,0))&amp;"","não consta"))</f>
        <v/>
      </c>
      <c r="L947" s="19" t="str">
        <f aca="false">IF(A947="","",IFERROR(INDEX(Eleitoral!$B:$B,MATCH(A947,Eleitoral!$A:$A,0))&amp;"","não consta"))</f>
        <v/>
      </c>
      <c r="M947" s="28" t="str">
        <f aca="false">IF(A947="","",IF(OR(AND(K947&lt;&gt;"",LOWER(K947)&lt;&gt;"não consta"),AND(L947&lt;&gt;"",LOWER(L947)&lt;&gt;"não consta"),IFERROR(INDEX(Empresas!$G:$G,MATCH(A947,Empresas!$A:$A,0))&amp;"","")&lt;&gt;""),"SIM",""))</f>
        <v/>
      </c>
      <c r="N947" s="5"/>
      <c r="O947" s="32" t="str">
        <f aca="false">IF(D947="","",YEAR(D947))</f>
        <v/>
      </c>
      <c r="P947" s="5"/>
    </row>
    <row r="948" customFormat="false" ht="15" hidden="false" customHeight="false" outlineLevel="0" collapsed="false">
      <c r="A948" s="27"/>
      <c r="B948" s="5"/>
      <c r="C948" s="35"/>
      <c r="D948" s="18"/>
      <c r="E948" s="5"/>
      <c r="F948" s="14"/>
      <c r="G948" s="5"/>
      <c r="H948" s="27"/>
      <c r="I948" s="5"/>
      <c r="J948" s="19" t="str">
        <f aca="false">IF(A948="","",IFERROR(INDEX(Empresas!$D:$D,MATCH(A948,Empresas!$A:$A,0))&amp;"","não consta"))</f>
        <v/>
      </c>
      <c r="K948" s="19" t="str">
        <f aca="false">IF(A948="","",IFERROR(INDEX(Sancoes!$B:$B,MATCH(A948,Sancoes!$A:$A,0))&amp;"","não consta"))</f>
        <v/>
      </c>
      <c r="L948" s="19" t="str">
        <f aca="false">IF(A948="","",IFERROR(INDEX(Eleitoral!$B:$B,MATCH(A948,Eleitoral!$A:$A,0))&amp;"","não consta"))</f>
        <v/>
      </c>
      <c r="M948" s="28" t="str">
        <f aca="false">IF(A948="","",IF(OR(AND(K948&lt;&gt;"",LOWER(K948)&lt;&gt;"não consta"),AND(L948&lt;&gt;"",LOWER(L948)&lt;&gt;"não consta"),IFERROR(INDEX(Empresas!$G:$G,MATCH(A948,Empresas!$A:$A,0))&amp;"","")&lt;&gt;""),"SIM",""))</f>
        <v/>
      </c>
      <c r="N948" s="5"/>
      <c r="O948" s="32" t="str">
        <f aca="false">IF(D948="","",YEAR(D948))</f>
        <v/>
      </c>
      <c r="P948" s="5"/>
    </row>
    <row r="949" customFormat="false" ht="15" hidden="false" customHeight="false" outlineLevel="0" collapsed="false">
      <c r="A949" s="27"/>
      <c r="B949" s="5"/>
      <c r="C949" s="35"/>
      <c r="D949" s="18"/>
      <c r="E949" s="5"/>
      <c r="F949" s="14"/>
      <c r="G949" s="5"/>
      <c r="H949" s="27"/>
      <c r="I949" s="5"/>
      <c r="J949" s="19" t="str">
        <f aca="false">IF(A949="","",IFERROR(INDEX(Empresas!$D:$D,MATCH(A949,Empresas!$A:$A,0))&amp;"","não consta"))</f>
        <v/>
      </c>
      <c r="K949" s="19" t="str">
        <f aca="false">IF(A949="","",IFERROR(INDEX(Sancoes!$B:$B,MATCH(A949,Sancoes!$A:$A,0))&amp;"","não consta"))</f>
        <v/>
      </c>
      <c r="L949" s="19" t="str">
        <f aca="false">IF(A949="","",IFERROR(INDEX(Eleitoral!$B:$B,MATCH(A949,Eleitoral!$A:$A,0))&amp;"","não consta"))</f>
        <v/>
      </c>
      <c r="M949" s="28" t="str">
        <f aca="false">IF(A949="","",IF(OR(AND(K949&lt;&gt;"",LOWER(K949)&lt;&gt;"não consta"),AND(L949&lt;&gt;"",LOWER(L949)&lt;&gt;"não consta"),IFERROR(INDEX(Empresas!$G:$G,MATCH(A949,Empresas!$A:$A,0))&amp;"","")&lt;&gt;""),"SIM",""))</f>
        <v/>
      </c>
      <c r="N949" s="5"/>
      <c r="O949" s="32" t="str">
        <f aca="false">IF(D949="","",YEAR(D949))</f>
        <v/>
      </c>
      <c r="P949" s="5"/>
    </row>
    <row r="950" customFormat="false" ht="15" hidden="false" customHeight="false" outlineLevel="0" collapsed="false">
      <c r="A950" s="27"/>
      <c r="B950" s="5"/>
      <c r="C950" s="35"/>
      <c r="D950" s="18"/>
      <c r="E950" s="5"/>
      <c r="F950" s="14"/>
      <c r="G950" s="5"/>
      <c r="H950" s="27"/>
      <c r="I950" s="5"/>
      <c r="J950" s="19" t="str">
        <f aca="false">IF(A950="","",IFERROR(INDEX(Empresas!$D:$D,MATCH(A950,Empresas!$A:$A,0))&amp;"","não consta"))</f>
        <v/>
      </c>
      <c r="K950" s="19" t="str">
        <f aca="false">IF(A950="","",IFERROR(INDEX(Sancoes!$B:$B,MATCH(A950,Sancoes!$A:$A,0))&amp;"","não consta"))</f>
        <v/>
      </c>
      <c r="L950" s="19" t="str">
        <f aca="false">IF(A950="","",IFERROR(INDEX(Eleitoral!$B:$B,MATCH(A950,Eleitoral!$A:$A,0))&amp;"","não consta"))</f>
        <v/>
      </c>
      <c r="M950" s="28" t="str">
        <f aca="false">IF(A950="","",IF(OR(AND(K950&lt;&gt;"",LOWER(K950)&lt;&gt;"não consta"),AND(L950&lt;&gt;"",LOWER(L950)&lt;&gt;"não consta"),IFERROR(INDEX(Empresas!$G:$G,MATCH(A950,Empresas!$A:$A,0))&amp;"","")&lt;&gt;""),"SIM",""))</f>
        <v/>
      </c>
      <c r="N950" s="5"/>
      <c r="O950" s="32" t="str">
        <f aca="false">IF(D950="","",YEAR(D950))</f>
        <v/>
      </c>
      <c r="P950" s="5"/>
    </row>
    <row r="951" customFormat="false" ht="15" hidden="false" customHeight="false" outlineLevel="0" collapsed="false">
      <c r="A951" s="27"/>
      <c r="B951" s="5"/>
      <c r="C951" s="35"/>
      <c r="D951" s="18"/>
      <c r="E951" s="5"/>
      <c r="F951" s="14"/>
      <c r="G951" s="5"/>
      <c r="H951" s="27"/>
      <c r="I951" s="5"/>
      <c r="J951" s="19" t="str">
        <f aca="false">IF(A951="","",IFERROR(INDEX(Empresas!$D:$D,MATCH(A951,Empresas!$A:$A,0))&amp;"","não consta"))</f>
        <v/>
      </c>
      <c r="K951" s="19" t="str">
        <f aca="false">IF(A951="","",IFERROR(INDEX(Sancoes!$B:$B,MATCH(A951,Sancoes!$A:$A,0))&amp;"","não consta"))</f>
        <v/>
      </c>
      <c r="L951" s="19" t="str">
        <f aca="false">IF(A951="","",IFERROR(INDEX(Eleitoral!$B:$B,MATCH(A951,Eleitoral!$A:$A,0))&amp;"","não consta"))</f>
        <v/>
      </c>
      <c r="M951" s="28" t="str">
        <f aca="false">IF(A951="","",IF(OR(AND(K951&lt;&gt;"",LOWER(K951)&lt;&gt;"não consta"),AND(L951&lt;&gt;"",LOWER(L951)&lt;&gt;"não consta"),IFERROR(INDEX(Empresas!$G:$G,MATCH(A951,Empresas!$A:$A,0))&amp;"","")&lt;&gt;""),"SIM",""))</f>
        <v/>
      </c>
      <c r="N951" s="5"/>
      <c r="O951" s="32" t="str">
        <f aca="false">IF(D951="","",YEAR(D951))</f>
        <v/>
      </c>
      <c r="P951" s="5"/>
    </row>
    <row r="952" customFormat="false" ht="15" hidden="false" customHeight="false" outlineLevel="0" collapsed="false">
      <c r="A952" s="27"/>
      <c r="B952" s="5"/>
      <c r="C952" s="35"/>
      <c r="D952" s="18"/>
      <c r="E952" s="5"/>
      <c r="F952" s="14"/>
      <c r="G952" s="5"/>
      <c r="H952" s="27"/>
      <c r="I952" s="5"/>
      <c r="J952" s="19" t="str">
        <f aca="false">IF(A952="","",IFERROR(INDEX(Empresas!$D:$D,MATCH(A952,Empresas!$A:$A,0))&amp;"","não consta"))</f>
        <v/>
      </c>
      <c r="K952" s="19" t="str">
        <f aca="false">IF(A952="","",IFERROR(INDEX(Sancoes!$B:$B,MATCH(A952,Sancoes!$A:$A,0))&amp;"","não consta"))</f>
        <v/>
      </c>
      <c r="L952" s="19" t="str">
        <f aca="false">IF(A952="","",IFERROR(INDEX(Eleitoral!$B:$B,MATCH(A952,Eleitoral!$A:$A,0))&amp;"","não consta"))</f>
        <v/>
      </c>
      <c r="M952" s="28" t="str">
        <f aca="false">IF(A952="","",IF(OR(AND(K952&lt;&gt;"",LOWER(K952)&lt;&gt;"não consta"),AND(L952&lt;&gt;"",LOWER(L952)&lt;&gt;"não consta"),IFERROR(INDEX(Empresas!$G:$G,MATCH(A952,Empresas!$A:$A,0))&amp;"","")&lt;&gt;""),"SIM",""))</f>
        <v/>
      </c>
      <c r="N952" s="5"/>
      <c r="O952" s="32" t="str">
        <f aca="false">IF(D952="","",YEAR(D952))</f>
        <v/>
      </c>
      <c r="P952" s="5"/>
    </row>
    <row r="953" customFormat="false" ht="15" hidden="false" customHeight="false" outlineLevel="0" collapsed="false">
      <c r="A953" s="27"/>
      <c r="B953" s="5"/>
      <c r="C953" s="35"/>
      <c r="D953" s="18"/>
      <c r="E953" s="5"/>
      <c r="F953" s="14"/>
      <c r="G953" s="5"/>
      <c r="H953" s="27"/>
      <c r="I953" s="5"/>
      <c r="J953" s="19" t="str">
        <f aca="false">IF(A953="","",IFERROR(INDEX(Empresas!$D:$D,MATCH(A953,Empresas!$A:$A,0))&amp;"","não consta"))</f>
        <v/>
      </c>
      <c r="K953" s="19" t="str">
        <f aca="false">IF(A953="","",IFERROR(INDEX(Sancoes!$B:$B,MATCH(A953,Sancoes!$A:$A,0))&amp;"","não consta"))</f>
        <v/>
      </c>
      <c r="L953" s="19" t="str">
        <f aca="false">IF(A953="","",IFERROR(INDEX(Eleitoral!$B:$B,MATCH(A953,Eleitoral!$A:$A,0))&amp;"","não consta"))</f>
        <v/>
      </c>
      <c r="M953" s="28" t="str">
        <f aca="false">IF(A953="","",IF(OR(AND(K953&lt;&gt;"",LOWER(K953)&lt;&gt;"não consta"),AND(L953&lt;&gt;"",LOWER(L953)&lt;&gt;"não consta"),IFERROR(INDEX(Empresas!$G:$G,MATCH(A953,Empresas!$A:$A,0))&amp;"","")&lt;&gt;""),"SIM",""))</f>
        <v/>
      </c>
      <c r="N953" s="5"/>
      <c r="O953" s="32" t="str">
        <f aca="false">IF(D953="","",YEAR(D953))</f>
        <v/>
      </c>
      <c r="P953" s="5"/>
    </row>
    <row r="954" customFormat="false" ht="15" hidden="false" customHeight="false" outlineLevel="0" collapsed="false">
      <c r="A954" s="27"/>
      <c r="B954" s="5"/>
      <c r="C954" s="35"/>
      <c r="D954" s="18"/>
      <c r="E954" s="5"/>
      <c r="F954" s="14"/>
      <c r="G954" s="5"/>
      <c r="H954" s="27"/>
      <c r="I954" s="5"/>
      <c r="J954" s="19" t="str">
        <f aca="false">IF(A954="","",IFERROR(INDEX(Empresas!$D:$D,MATCH(A954,Empresas!$A:$A,0))&amp;"","não consta"))</f>
        <v/>
      </c>
      <c r="K954" s="19" t="str">
        <f aca="false">IF(A954="","",IFERROR(INDEX(Sancoes!$B:$B,MATCH(A954,Sancoes!$A:$A,0))&amp;"","não consta"))</f>
        <v/>
      </c>
      <c r="L954" s="19" t="str">
        <f aca="false">IF(A954="","",IFERROR(INDEX(Eleitoral!$B:$B,MATCH(A954,Eleitoral!$A:$A,0))&amp;"","não consta"))</f>
        <v/>
      </c>
      <c r="M954" s="28" t="str">
        <f aca="false">IF(A954="","",IF(OR(AND(K954&lt;&gt;"",LOWER(K954)&lt;&gt;"não consta"),AND(L954&lt;&gt;"",LOWER(L954)&lt;&gt;"não consta"),IFERROR(INDEX(Empresas!$G:$G,MATCH(A954,Empresas!$A:$A,0))&amp;"","")&lt;&gt;""),"SIM",""))</f>
        <v/>
      </c>
      <c r="N954" s="5"/>
      <c r="O954" s="32" t="str">
        <f aca="false">IF(D954="","",YEAR(D954))</f>
        <v/>
      </c>
      <c r="P954" s="5"/>
    </row>
    <row r="955" customFormat="false" ht="15" hidden="false" customHeight="false" outlineLevel="0" collapsed="false">
      <c r="A955" s="27"/>
      <c r="B955" s="5"/>
      <c r="C955" s="35"/>
      <c r="D955" s="18"/>
      <c r="E955" s="5"/>
      <c r="F955" s="14"/>
      <c r="G955" s="5"/>
      <c r="H955" s="27"/>
      <c r="I955" s="5"/>
      <c r="J955" s="19" t="str">
        <f aca="false">IF(A955="","",IFERROR(INDEX(Empresas!$D:$D,MATCH(A955,Empresas!$A:$A,0))&amp;"","não consta"))</f>
        <v/>
      </c>
      <c r="K955" s="19" t="str">
        <f aca="false">IF(A955="","",IFERROR(INDEX(Sancoes!$B:$B,MATCH(A955,Sancoes!$A:$A,0))&amp;"","não consta"))</f>
        <v/>
      </c>
      <c r="L955" s="19" t="str">
        <f aca="false">IF(A955="","",IFERROR(INDEX(Eleitoral!$B:$B,MATCH(A955,Eleitoral!$A:$A,0))&amp;"","não consta"))</f>
        <v/>
      </c>
      <c r="M955" s="28" t="str">
        <f aca="false">IF(A955="","",IF(OR(AND(K955&lt;&gt;"",LOWER(K955)&lt;&gt;"não consta"),AND(L955&lt;&gt;"",LOWER(L955)&lt;&gt;"não consta"),IFERROR(INDEX(Empresas!$G:$G,MATCH(A955,Empresas!$A:$A,0))&amp;"","")&lt;&gt;""),"SIM",""))</f>
        <v/>
      </c>
      <c r="N955" s="5"/>
      <c r="O955" s="32" t="str">
        <f aca="false">IF(D955="","",YEAR(D955))</f>
        <v/>
      </c>
      <c r="P955" s="5"/>
    </row>
    <row r="956" customFormat="false" ht="15" hidden="false" customHeight="false" outlineLevel="0" collapsed="false">
      <c r="A956" s="27"/>
      <c r="B956" s="5"/>
      <c r="C956" s="35"/>
      <c r="D956" s="18"/>
      <c r="E956" s="5"/>
      <c r="F956" s="14"/>
      <c r="G956" s="5"/>
      <c r="H956" s="27"/>
      <c r="I956" s="5"/>
      <c r="J956" s="19" t="str">
        <f aca="false">IF(A956="","",IFERROR(INDEX(Empresas!$D:$D,MATCH(A956,Empresas!$A:$A,0))&amp;"","não consta"))</f>
        <v/>
      </c>
      <c r="K956" s="19" t="str">
        <f aca="false">IF(A956="","",IFERROR(INDEX(Sancoes!$B:$B,MATCH(A956,Sancoes!$A:$A,0))&amp;"","não consta"))</f>
        <v/>
      </c>
      <c r="L956" s="19" t="str">
        <f aca="false">IF(A956="","",IFERROR(INDEX(Eleitoral!$B:$B,MATCH(A956,Eleitoral!$A:$A,0))&amp;"","não consta"))</f>
        <v/>
      </c>
      <c r="M956" s="28" t="str">
        <f aca="false">IF(A956="","",IF(OR(AND(K956&lt;&gt;"",LOWER(K956)&lt;&gt;"não consta"),AND(L956&lt;&gt;"",LOWER(L956)&lt;&gt;"não consta"),IFERROR(INDEX(Empresas!$G:$G,MATCH(A956,Empresas!$A:$A,0))&amp;"","")&lt;&gt;""),"SIM",""))</f>
        <v/>
      </c>
      <c r="N956" s="5"/>
      <c r="O956" s="32" t="str">
        <f aca="false">IF(D956="","",YEAR(D956))</f>
        <v/>
      </c>
      <c r="P956" s="5"/>
    </row>
    <row r="957" customFormat="false" ht="15" hidden="false" customHeight="false" outlineLevel="0" collapsed="false">
      <c r="A957" s="27"/>
      <c r="B957" s="5"/>
      <c r="C957" s="35"/>
      <c r="D957" s="18"/>
      <c r="E957" s="5"/>
      <c r="F957" s="14"/>
      <c r="G957" s="5"/>
      <c r="H957" s="27"/>
      <c r="I957" s="5"/>
      <c r="J957" s="19" t="str">
        <f aca="false">IF(A957="","",IFERROR(INDEX(Empresas!$D:$D,MATCH(A957,Empresas!$A:$A,0))&amp;"","não consta"))</f>
        <v/>
      </c>
      <c r="K957" s="19" t="str">
        <f aca="false">IF(A957="","",IFERROR(INDEX(Sancoes!$B:$B,MATCH(A957,Sancoes!$A:$A,0))&amp;"","não consta"))</f>
        <v/>
      </c>
      <c r="L957" s="19" t="str">
        <f aca="false">IF(A957="","",IFERROR(INDEX(Eleitoral!$B:$B,MATCH(A957,Eleitoral!$A:$A,0))&amp;"","não consta"))</f>
        <v/>
      </c>
      <c r="M957" s="28" t="str">
        <f aca="false">IF(A957="","",IF(OR(AND(K957&lt;&gt;"",LOWER(K957)&lt;&gt;"não consta"),AND(L957&lt;&gt;"",LOWER(L957)&lt;&gt;"não consta"),IFERROR(INDEX(Empresas!$G:$G,MATCH(A957,Empresas!$A:$A,0))&amp;"","")&lt;&gt;""),"SIM",""))</f>
        <v/>
      </c>
      <c r="N957" s="5"/>
      <c r="O957" s="32" t="str">
        <f aca="false">IF(D957="","",YEAR(D957))</f>
        <v/>
      </c>
      <c r="P957" s="5"/>
    </row>
    <row r="958" customFormat="false" ht="15" hidden="false" customHeight="false" outlineLevel="0" collapsed="false">
      <c r="A958" s="27"/>
      <c r="B958" s="5"/>
      <c r="C958" s="35"/>
      <c r="D958" s="18"/>
      <c r="E958" s="5"/>
      <c r="F958" s="14"/>
      <c r="G958" s="5"/>
      <c r="H958" s="27"/>
      <c r="I958" s="5"/>
      <c r="J958" s="19" t="str">
        <f aca="false">IF(A958="","",IFERROR(INDEX(Empresas!$D:$D,MATCH(A958,Empresas!$A:$A,0))&amp;"","não consta"))</f>
        <v/>
      </c>
      <c r="K958" s="19" t="str">
        <f aca="false">IF(A958="","",IFERROR(INDEX(Sancoes!$B:$B,MATCH(A958,Sancoes!$A:$A,0))&amp;"","não consta"))</f>
        <v/>
      </c>
      <c r="L958" s="19" t="str">
        <f aca="false">IF(A958="","",IFERROR(INDEX(Eleitoral!$B:$B,MATCH(A958,Eleitoral!$A:$A,0))&amp;"","não consta"))</f>
        <v/>
      </c>
      <c r="M958" s="28" t="str">
        <f aca="false">IF(A958="","",IF(OR(AND(K958&lt;&gt;"",LOWER(K958)&lt;&gt;"não consta"),AND(L958&lt;&gt;"",LOWER(L958)&lt;&gt;"não consta"),IFERROR(INDEX(Empresas!$G:$G,MATCH(A958,Empresas!$A:$A,0))&amp;"","")&lt;&gt;""),"SIM",""))</f>
        <v/>
      </c>
      <c r="N958" s="5"/>
      <c r="O958" s="32" t="str">
        <f aca="false">IF(D958="","",YEAR(D958))</f>
        <v/>
      </c>
      <c r="P958" s="5"/>
    </row>
    <row r="959" customFormat="false" ht="15" hidden="false" customHeight="false" outlineLevel="0" collapsed="false">
      <c r="A959" s="27"/>
      <c r="B959" s="5"/>
      <c r="C959" s="35"/>
      <c r="D959" s="18"/>
      <c r="E959" s="5"/>
      <c r="F959" s="14"/>
      <c r="G959" s="5"/>
      <c r="H959" s="27"/>
      <c r="I959" s="5"/>
      <c r="J959" s="19" t="str">
        <f aca="false">IF(A959="","",IFERROR(INDEX(Empresas!$D:$D,MATCH(A959,Empresas!$A:$A,0))&amp;"","não consta"))</f>
        <v/>
      </c>
      <c r="K959" s="19" t="str">
        <f aca="false">IF(A959="","",IFERROR(INDEX(Sancoes!$B:$B,MATCH(A959,Sancoes!$A:$A,0))&amp;"","não consta"))</f>
        <v/>
      </c>
      <c r="L959" s="19" t="str">
        <f aca="false">IF(A959="","",IFERROR(INDEX(Eleitoral!$B:$B,MATCH(A959,Eleitoral!$A:$A,0))&amp;"","não consta"))</f>
        <v/>
      </c>
      <c r="M959" s="28" t="str">
        <f aca="false">IF(A959="","",IF(OR(AND(K959&lt;&gt;"",LOWER(K959)&lt;&gt;"não consta"),AND(L959&lt;&gt;"",LOWER(L959)&lt;&gt;"não consta"),IFERROR(INDEX(Empresas!$G:$G,MATCH(A959,Empresas!$A:$A,0))&amp;"","")&lt;&gt;""),"SIM",""))</f>
        <v/>
      </c>
      <c r="N959" s="5"/>
      <c r="O959" s="32" t="str">
        <f aca="false">IF(D959="","",YEAR(D959))</f>
        <v/>
      </c>
      <c r="P959" s="5"/>
    </row>
    <row r="960" customFormat="false" ht="15" hidden="false" customHeight="false" outlineLevel="0" collapsed="false">
      <c r="A960" s="27"/>
      <c r="B960" s="5"/>
      <c r="C960" s="35"/>
      <c r="D960" s="18"/>
      <c r="E960" s="5"/>
      <c r="F960" s="14"/>
      <c r="G960" s="5"/>
      <c r="H960" s="27"/>
      <c r="I960" s="5"/>
      <c r="J960" s="19" t="str">
        <f aca="false">IF(A960="","",IFERROR(INDEX(Empresas!$D:$D,MATCH(A960,Empresas!$A:$A,0))&amp;"","não consta"))</f>
        <v/>
      </c>
      <c r="K960" s="19" t="str">
        <f aca="false">IF(A960="","",IFERROR(INDEX(Sancoes!$B:$B,MATCH(A960,Sancoes!$A:$A,0))&amp;"","não consta"))</f>
        <v/>
      </c>
      <c r="L960" s="19" t="str">
        <f aca="false">IF(A960="","",IFERROR(INDEX(Eleitoral!$B:$B,MATCH(A960,Eleitoral!$A:$A,0))&amp;"","não consta"))</f>
        <v/>
      </c>
      <c r="M960" s="28" t="str">
        <f aca="false">IF(A960="","",IF(OR(AND(K960&lt;&gt;"",LOWER(K960)&lt;&gt;"não consta"),AND(L960&lt;&gt;"",LOWER(L960)&lt;&gt;"não consta"),IFERROR(INDEX(Empresas!$G:$G,MATCH(A960,Empresas!$A:$A,0))&amp;"","")&lt;&gt;""),"SIM",""))</f>
        <v/>
      </c>
      <c r="N960" s="5"/>
      <c r="O960" s="32" t="str">
        <f aca="false">IF(D960="","",YEAR(D960))</f>
        <v/>
      </c>
      <c r="P960" s="5"/>
    </row>
    <row r="961" customFormat="false" ht="15" hidden="false" customHeight="false" outlineLevel="0" collapsed="false">
      <c r="A961" s="27"/>
      <c r="B961" s="5"/>
      <c r="C961" s="35"/>
      <c r="D961" s="18"/>
      <c r="E961" s="5"/>
      <c r="F961" s="14"/>
      <c r="G961" s="5"/>
      <c r="H961" s="27"/>
      <c r="I961" s="5"/>
      <c r="J961" s="19" t="str">
        <f aca="false">IF(A961="","",IFERROR(INDEX(Empresas!$D:$D,MATCH(A961,Empresas!$A:$A,0))&amp;"","não consta"))</f>
        <v/>
      </c>
      <c r="K961" s="19" t="str">
        <f aca="false">IF(A961="","",IFERROR(INDEX(Sancoes!$B:$B,MATCH(A961,Sancoes!$A:$A,0))&amp;"","não consta"))</f>
        <v/>
      </c>
      <c r="L961" s="19" t="str">
        <f aca="false">IF(A961="","",IFERROR(INDEX(Eleitoral!$B:$B,MATCH(A961,Eleitoral!$A:$A,0))&amp;"","não consta"))</f>
        <v/>
      </c>
      <c r="M961" s="28" t="str">
        <f aca="false">IF(A961="","",IF(OR(AND(K961&lt;&gt;"",LOWER(K961)&lt;&gt;"não consta"),AND(L961&lt;&gt;"",LOWER(L961)&lt;&gt;"não consta"),IFERROR(INDEX(Empresas!$G:$G,MATCH(A961,Empresas!$A:$A,0))&amp;"","")&lt;&gt;""),"SIM",""))</f>
        <v/>
      </c>
      <c r="N961" s="5"/>
      <c r="O961" s="32" t="str">
        <f aca="false">IF(D961="","",YEAR(D961))</f>
        <v/>
      </c>
      <c r="P961" s="5"/>
    </row>
    <row r="962" customFormat="false" ht="15" hidden="false" customHeight="false" outlineLevel="0" collapsed="false">
      <c r="A962" s="27"/>
      <c r="B962" s="5"/>
      <c r="C962" s="35"/>
      <c r="D962" s="18"/>
      <c r="E962" s="5"/>
      <c r="F962" s="14"/>
      <c r="G962" s="5"/>
      <c r="H962" s="27"/>
      <c r="I962" s="5"/>
      <c r="J962" s="19" t="str">
        <f aca="false">IF(A962="","",IFERROR(INDEX(Empresas!$D:$D,MATCH(A962,Empresas!$A:$A,0))&amp;"","não consta"))</f>
        <v/>
      </c>
      <c r="K962" s="19" t="str">
        <f aca="false">IF(A962="","",IFERROR(INDEX(Sancoes!$B:$B,MATCH(A962,Sancoes!$A:$A,0))&amp;"","não consta"))</f>
        <v/>
      </c>
      <c r="L962" s="19" t="str">
        <f aca="false">IF(A962="","",IFERROR(INDEX(Eleitoral!$B:$B,MATCH(A962,Eleitoral!$A:$A,0))&amp;"","não consta"))</f>
        <v/>
      </c>
      <c r="M962" s="28" t="str">
        <f aca="false">IF(A962="","",IF(OR(AND(K962&lt;&gt;"",LOWER(K962)&lt;&gt;"não consta"),AND(L962&lt;&gt;"",LOWER(L962)&lt;&gt;"não consta"),IFERROR(INDEX(Empresas!$G:$G,MATCH(A962,Empresas!$A:$A,0))&amp;"","")&lt;&gt;""),"SIM",""))</f>
        <v/>
      </c>
      <c r="N962" s="5"/>
      <c r="O962" s="32" t="str">
        <f aca="false">IF(D962="","",YEAR(D962))</f>
        <v/>
      </c>
      <c r="P962" s="5"/>
    </row>
    <row r="963" customFormat="false" ht="15" hidden="false" customHeight="false" outlineLevel="0" collapsed="false">
      <c r="A963" s="27"/>
      <c r="B963" s="5"/>
      <c r="C963" s="35"/>
      <c r="D963" s="18"/>
      <c r="E963" s="5"/>
      <c r="F963" s="14"/>
      <c r="G963" s="5"/>
      <c r="H963" s="27"/>
      <c r="I963" s="5"/>
      <c r="J963" s="19" t="str">
        <f aca="false">IF(A963="","",IFERROR(INDEX(Empresas!$D:$D,MATCH(A963,Empresas!$A:$A,0))&amp;"","não consta"))</f>
        <v/>
      </c>
      <c r="K963" s="19" t="str">
        <f aca="false">IF(A963="","",IFERROR(INDEX(Sancoes!$B:$B,MATCH(A963,Sancoes!$A:$A,0))&amp;"","não consta"))</f>
        <v/>
      </c>
      <c r="L963" s="19" t="str">
        <f aca="false">IF(A963="","",IFERROR(INDEX(Eleitoral!$B:$B,MATCH(A963,Eleitoral!$A:$A,0))&amp;"","não consta"))</f>
        <v/>
      </c>
      <c r="M963" s="28" t="str">
        <f aca="false">IF(A963="","",IF(OR(AND(K963&lt;&gt;"",LOWER(K963)&lt;&gt;"não consta"),AND(L963&lt;&gt;"",LOWER(L963)&lt;&gt;"não consta"),IFERROR(INDEX(Empresas!$G:$G,MATCH(A963,Empresas!$A:$A,0))&amp;"","")&lt;&gt;""),"SIM",""))</f>
        <v/>
      </c>
      <c r="N963" s="5"/>
      <c r="O963" s="32" t="str">
        <f aca="false">IF(D963="","",YEAR(D963))</f>
        <v/>
      </c>
      <c r="P963" s="5"/>
    </row>
    <row r="964" customFormat="false" ht="15" hidden="false" customHeight="false" outlineLevel="0" collapsed="false">
      <c r="A964" s="27"/>
      <c r="B964" s="5"/>
      <c r="C964" s="35"/>
      <c r="D964" s="18"/>
      <c r="E964" s="5"/>
      <c r="F964" s="14"/>
      <c r="G964" s="5"/>
      <c r="H964" s="27"/>
      <c r="I964" s="5"/>
      <c r="J964" s="19" t="str">
        <f aca="false">IF(A964="","",IFERROR(INDEX(Empresas!$D:$D,MATCH(A964,Empresas!$A:$A,0))&amp;"","não consta"))</f>
        <v/>
      </c>
      <c r="K964" s="19" t="str">
        <f aca="false">IF(A964="","",IFERROR(INDEX(Sancoes!$B:$B,MATCH(A964,Sancoes!$A:$A,0))&amp;"","não consta"))</f>
        <v/>
      </c>
      <c r="L964" s="19" t="str">
        <f aca="false">IF(A964="","",IFERROR(INDEX(Eleitoral!$B:$B,MATCH(A964,Eleitoral!$A:$A,0))&amp;"","não consta"))</f>
        <v/>
      </c>
      <c r="M964" s="28" t="str">
        <f aca="false">IF(A964="","",IF(OR(AND(K964&lt;&gt;"",LOWER(K964)&lt;&gt;"não consta"),AND(L964&lt;&gt;"",LOWER(L964)&lt;&gt;"não consta"),IFERROR(INDEX(Empresas!$G:$G,MATCH(A964,Empresas!$A:$A,0))&amp;"","")&lt;&gt;""),"SIM",""))</f>
        <v/>
      </c>
      <c r="N964" s="5"/>
      <c r="O964" s="32" t="str">
        <f aca="false">IF(D964="","",YEAR(D964))</f>
        <v/>
      </c>
      <c r="P964" s="5"/>
    </row>
    <row r="965" customFormat="false" ht="15" hidden="false" customHeight="false" outlineLevel="0" collapsed="false">
      <c r="A965" s="27"/>
      <c r="B965" s="5"/>
      <c r="C965" s="35"/>
      <c r="D965" s="18"/>
      <c r="E965" s="5"/>
      <c r="F965" s="14"/>
      <c r="G965" s="5"/>
      <c r="H965" s="27"/>
      <c r="I965" s="5"/>
      <c r="J965" s="19" t="str">
        <f aca="false">IF(A965="","",IFERROR(INDEX(Empresas!$D:$D,MATCH(A965,Empresas!$A:$A,0))&amp;"","não consta"))</f>
        <v/>
      </c>
      <c r="K965" s="19" t="str">
        <f aca="false">IF(A965="","",IFERROR(INDEX(Sancoes!$B:$B,MATCH(A965,Sancoes!$A:$A,0))&amp;"","não consta"))</f>
        <v/>
      </c>
      <c r="L965" s="19" t="str">
        <f aca="false">IF(A965="","",IFERROR(INDEX(Eleitoral!$B:$B,MATCH(A965,Eleitoral!$A:$A,0))&amp;"","não consta"))</f>
        <v/>
      </c>
      <c r="M965" s="28" t="str">
        <f aca="false">IF(A965="","",IF(OR(AND(K965&lt;&gt;"",LOWER(K965)&lt;&gt;"não consta"),AND(L965&lt;&gt;"",LOWER(L965)&lt;&gt;"não consta"),IFERROR(INDEX(Empresas!$G:$G,MATCH(A965,Empresas!$A:$A,0))&amp;"","")&lt;&gt;""),"SIM",""))</f>
        <v/>
      </c>
      <c r="N965" s="5"/>
      <c r="O965" s="32" t="str">
        <f aca="false">IF(D965="","",YEAR(D965))</f>
        <v/>
      </c>
      <c r="P965" s="5"/>
    </row>
    <row r="966" customFormat="false" ht="15" hidden="false" customHeight="false" outlineLevel="0" collapsed="false">
      <c r="A966" s="27"/>
      <c r="B966" s="5"/>
      <c r="C966" s="35"/>
      <c r="D966" s="18"/>
      <c r="E966" s="5"/>
      <c r="F966" s="14"/>
      <c r="G966" s="5"/>
      <c r="H966" s="27"/>
      <c r="I966" s="5"/>
      <c r="J966" s="19" t="str">
        <f aca="false">IF(A966="","",IFERROR(INDEX(Empresas!$D:$D,MATCH(A966,Empresas!$A:$A,0))&amp;"","não consta"))</f>
        <v/>
      </c>
      <c r="K966" s="19" t="str">
        <f aca="false">IF(A966="","",IFERROR(INDEX(Sancoes!$B:$B,MATCH(A966,Sancoes!$A:$A,0))&amp;"","não consta"))</f>
        <v/>
      </c>
      <c r="L966" s="19" t="str">
        <f aca="false">IF(A966="","",IFERROR(INDEX(Eleitoral!$B:$B,MATCH(A966,Eleitoral!$A:$A,0))&amp;"","não consta"))</f>
        <v/>
      </c>
      <c r="M966" s="28" t="str">
        <f aca="false">IF(A966="","",IF(OR(AND(K966&lt;&gt;"",LOWER(K966)&lt;&gt;"não consta"),AND(L966&lt;&gt;"",LOWER(L966)&lt;&gt;"não consta"),IFERROR(INDEX(Empresas!$G:$G,MATCH(A966,Empresas!$A:$A,0))&amp;"","")&lt;&gt;""),"SIM",""))</f>
        <v/>
      </c>
      <c r="N966" s="5"/>
      <c r="O966" s="32" t="str">
        <f aca="false">IF(D966="","",YEAR(D966))</f>
        <v/>
      </c>
      <c r="P966" s="5"/>
    </row>
    <row r="967" customFormat="false" ht="15" hidden="false" customHeight="false" outlineLevel="0" collapsed="false">
      <c r="A967" s="27"/>
      <c r="B967" s="5"/>
      <c r="C967" s="35"/>
      <c r="D967" s="18"/>
      <c r="E967" s="5"/>
      <c r="F967" s="14"/>
      <c r="G967" s="5"/>
      <c r="H967" s="27"/>
      <c r="I967" s="5"/>
      <c r="J967" s="19" t="str">
        <f aca="false">IF(A967="","",IFERROR(INDEX(Empresas!$D:$D,MATCH(A967,Empresas!$A:$A,0))&amp;"","não consta"))</f>
        <v/>
      </c>
      <c r="K967" s="19" t="str">
        <f aca="false">IF(A967="","",IFERROR(INDEX(Sancoes!$B:$B,MATCH(A967,Sancoes!$A:$A,0))&amp;"","não consta"))</f>
        <v/>
      </c>
      <c r="L967" s="19" t="str">
        <f aca="false">IF(A967="","",IFERROR(INDEX(Eleitoral!$B:$B,MATCH(A967,Eleitoral!$A:$A,0))&amp;"","não consta"))</f>
        <v/>
      </c>
      <c r="M967" s="28" t="str">
        <f aca="false">IF(A967="","",IF(OR(AND(K967&lt;&gt;"",LOWER(K967)&lt;&gt;"não consta"),AND(L967&lt;&gt;"",LOWER(L967)&lt;&gt;"não consta"),IFERROR(INDEX(Empresas!$G:$G,MATCH(A967,Empresas!$A:$A,0))&amp;"","")&lt;&gt;""),"SIM",""))</f>
        <v/>
      </c>
      <c r="N967" s="5"/>
      <c r="O967" s="32" t="str">
        <f aca="false">IF(D967="","",YEAR(D967))</f>
        <v/>
      </c>
      <c r="P967" s="5"/>
    </row>
    <row r="968" customFormat="false" ht="15" hidden="false" customHeight="false" outlineLevel="0" collapsed="false">
      <c r="A968" s="27"/>
      <c r="B968" s="5"/>
      <c r="C968" s="35"/>
      <c r="D968" s="18"/>
      <c r="E968" s="5"/>
      <c r="F968" s="14"/>
      <c r="G968" s="5"/>
      <c r="H968" s="27"/>
      <c r="I968" s="5"/>
      <c r="J968" s="19" t="str">
        <f aca="false">IF(A968="","",IFERROR(INDEX(Empresas!$D:$D,MATCH(A968,Empresas!$A:$A,0))&amp;"","não consta"))</f>
        <v/>
      </c>
      <c r="K968" s="19" t="str">
        <f aca="false">IF(A968="","",IFERROR(INDEX(Sancoes!$B:$B,MATCH(A968,Sancoes!$A:$A,0))&amp;"","não consta"))</f>
        <v/>
      </c>
      <c r="L968" s="19" t="str">
        <f aca="false">IF(A968="","",IFERROR(INDEX(Eleitoral!$B:$B,MATCH(A968,Eleitoral!$A:$A,0))&amp;"","não consta"))</f>
        <v/>
      </c>
      <c r="M968" s="28" t="str">
        <f aca="false">IF(A968="","",IF(OR(AND(K968&lt;&gt;"",LOWER(K968)&lt;&gt;"não consta"),AND(L968&lt;&gt;"",LOWER(L968)&lt;&gt;"não consta"),IFERROR(INDEX(Empresas!$G:$G,MATCH(A968,Empresas!$A:$A,0))&amp;"","")&lt;&gt;""),"SIM",""))</f>
        <v/>
      </c>
      <c r="N968" s="5"/>
      <c r="O968" s="32" t="str">
        <f aca="false">IF(D968="","",YEAR(D968))</f>
        <v/>
      </c>
      <c r="P968" s="5"/>
    </row>
    <row r="969" customFormat="false" ht="15" hidden="false" customHeight="false" outlineLevel="0" collapsed="false">
      <c r="A969" s="27"/>
      <c r="B969" s="5"/>
      <c r="C969" s="35"/>
      <c r="D969" s="18"/>
      <c r="E969" s="5"/>
      <c r="F969" s="14"/>
      <c r="G969" s="5"/>
      <c r="H969" s="27"/>
      <c r="I969" s="5"/>
      <c r="J969" s="19" t="str">
        <f aca="false">IF(A969="","",IFERROR(INDEX(Empresas!$D:$D,MATCH(A969,Empresas!$A:$A,0))&amp;"","não consta"))</f>
        <v/>
      </c>
      <c r="K969" s="19" t="str">
        <f aca="false">IF(A969="","",IFERROR(INDEX(Sancoes!$B:$B,MATCH(A969,Sancoes!$A:$A,0))&amp;"","não consta"))</f>
        <v/>
      </c>
      <c r="L969" s="19" t="str">
        <f aca="false">IF(A969="","",IFERROR(INDEX(Eleitoral!$B:$B,MATCH(A969,Eleitoral!$A:$A,0))&amp;"","não consta"))</f>
        <v/>
      </c>
      <c r="M969" s="28" t="str">
        <f aca="false">IF(A969="","",IF(OR(AND(K969&lt;&gt;"",LOWER(K969)&lt;&gt;"não consta"),AND(L969&lt;&gt;"",LOWER(L969)&lt;&gt;"não consta"),IFERROR(INDEX(Empresas!$G:$G,MATCH(A969,Empresas!$A:$A,0))&amp;"","")&lt;&gt;""),"SIM",""))</f>
        <v/>
      </c>
      <c r="N969" s="5"/>
      <c r="O969" s="32" t="str">
        <f aca="false">IF(D969="","",YEAR(D969))</f>
        <v/>
      </c>
      <c r="P969" s="5"/>
    </row>
    <row r="970" customFormat="false" ht="15" hidden="false" customHeight="false" outlineLevel="0" collapsed="false">
      <c r="A970" s="27"/>
      <c r="B970" s="5"/>
      <c r="C970" s="35"/>
      <c r="D970" s="18"/>
      <c r="E970" s="5"/>
      <c r="F970" s="14"/>
      <c r="G970" s="5"/>
      <c r="H970" s="27"/>
      <c r="I970" s="5"/>
      <c r="J970" s="19" t="str">
        <f aca="false">IF(A970="","",IFERROR(INDEX(Empresas!$D:$D,MATCH(A970,Empresas!$A:$A,0))&amp;"","não consta"))</f>
        <v/>
      </c>
      <c r="K970" s="19" t="str">
        <f aca="false">IF(A970="","",IFERROR(INDEX(Sancoes!$B:$B,MATCH(A970,Sancoes!$A:$A,0))&amp;"","não consta"))</f>
        <v/>
      </c>
      <c r="L970" s="19" t="str">
        <f aca="false">IF(A970="","",IFERROR(INDEX(Eleitoral!$B:$B,MATCH(A970,Eleitoral!$A:$A,0))&amp;"","não consta"))</f>
        <v/>
      </c>
      <c r="M970" s="28" t="str">
        <f aca="false">IF(A970="","",IF(OR(AND(K970&lt;&gt;"",LOWER(K970)&lt;&gt;"não consta"),AND(L970&lt;&gt;"",LOWER(L970)&lt;&gt;"não consta"),IFERROR(INDEX(Empresas!$G:$G,MATCH(A970,Empresas!$A:$A,0))&amp;"","")&lt;&gt;""),"SIM",""))</f>
        <v/>
      </c>
      <c r="N970" s="5"/>
      <c r="O970" s="32" t="str">
        <f aca="false">IF(D970="","",YEAR(D970))</f>
        <v/>
      </c>
      <c r="P970" s="5"/>
    </row>
    <row r="971" customFormat="false" ht="15" hidden="false" customHeight="false" outlineLevel="0" collapsed="false">
      <c r="A971" s="27"/>
      <c r="B971" s="5"/>
      <c r="C971" s="35"/>
      <c r="D971" s="18"/>
      <c r="E971" s="5"/>
      <c r="F971" s="14"/>
      <c r="G971" s="5"/>
      <c r="H971" s="27"/>
      <c r="I971" s="5"/>
      <c r="J971" s="19" t="str">
        <f aca="false">IF(A971="","",IFERROR(INDEX(Empresas!$D:$D,MATCH(A971,Empresas!$A:$A,0))&amp;"","não consta"))</f>
        <v/>
      </c>
      <c r="K971" s="19" t="str">
        <f aca="false">IF(A971="","",IFERROR(INDEX(Sancoes!$B:$B,MATCH(A971,Sancoes!$A:$A,0))&amp;"","não consta"))</f>
        <v/>
      </c>
      <c r="L971" s="19" t="str">
        <f aca="false">IF(A971="","",IFERROR(INDEX(Eleitoral!$B:$B,MATCH(A971,Eleitoral!$A:$A,0))&amp;"","não consta"))</f>
        <v/>
      </c>
      <c r="M971" s="28" t="str">
        <f aca="false">IF(A971="","",IF(OR(AND(K971&lt;&gt;"",LOWER(K971)&lt;&gt;"não consta"),AND(L971&lt;&gt;"",LOWER(L971)&lt;&gt;"não consta"),IFERROR(INDEX(Empresas!$G:$G,MATCH(A971,Empresas!$A:$A,0))&amp;"","")&lt;&gt;""),"SIM",""))</f>
        <v/>
      </c>
      <c r="N971" s="5"/>
      <c r="O971" s="32" t="str">
        <f aca="false">IF(D971="","",YEAR(D971))</f>
        <v/>
      </c>
      <c r="P971" s="5"/>
    </row>
    <row r="972" customFormat="false" ht="15" hidden="false" customHeight="false" outlineLevel="0" collapsed="false">
      <c r="A972" s="27"/>
      <c r="B972" s="5"/>
      <c r="C972" s="35"/>
      <c r="D972" s="18"/>
      <c r="E972" s="5"/>
      <c r="F972" s="14"/>
      <c r="G972" s="5"/>
      <c r="H972" s="27"/>
      <c r="I972" s="5"/>
      <c r="J972" s="19" t="str">
        <f aca="false">IF(A972="","",IFERROR(INDEX(Empresas!$D:$D,MATCH(A972,Empresas!$A:$A,0))&amp;"","não consta"))</f>
        <v/>
      </c>
      <c r="K972" s="19" t="str">
        <f aca="false">IF(A972="","",IFERROR(INDEX(Sancoes!$B:$B,MATCH(A972,Sancoes!$A:$A,0))&amp;"","não consta"))</f>
        <v/>
      </c>
      <c r="L972" s="19" t="str">
        <f aca="false">IF(A972="","",IFERROR(INDEX(Eleitoral!$B:$B,MATCH(A972,Eleitoral!$A:$A,0))&amp;"","não consta"))</f>
        <v/>
      </c>
      <c r="M972" s="28" t="str">
        <f aca="false">IF(A972="","",IF(OR(AND(K972&lt;&gt;"",LOWER(K972)&lt;&gt;"não consta"),AND(L972&lt;&gt;"",LOWER(L972)&lt;&gt;"não consta"),IFERROR(INDEX(Empresas!$G:$G,MATCH(A972,Empresas!$A:$A,0))&amp;"","")&lt;&gt;""),"SIM",""))</f>
        <v/>
      </c>
      <c r="N972" s="5"/>
      <c r="O972" s="32" t="str">
        <f aca="false">IF(D972="","",YEAR(D972))</f>
        <v/>
      </c>
      <c r="P972" s="5"/>
    </row>
    <row r="973" customFormat="false" ht="15" hidden="false" customHeight="false" outlineLevel="0" collapsed="false">
      <c r="A973" s="27"/>
      <c r="B973" s="5"/>
      <c r="C973" s="35"/>
      <c r="D973" s="18"/>
      <c r="E973" s="5"/>
      <c r="F973" s="14"/>
      <c r="G973" s="5"/>
      <c r="H973" s="27"/>
      <c r="I973" s="5"/>
      <c r="J973" s="19" t="str">
        <f aca="false">IF(A973="","",IFERROR(INDEX(Empresas!$D:$D,MATCH(A973,Empresas!$A:$A,0))&amp;"","não consta"))</f>
        <v/>
      </c>
      <c r="K973" s="19" t="str">
        <f aca="false">IF(A973="","",IFERROR(INDEX(Sancoes!$B:$B,MATCH(A973,Sancoes!$A:$A,0))&amp;"","não consta"))</f>
        <v/>
      </c>
      <c r="L973" s="19" t="str">
        <f aca="false">IF(A973="","",IFERROR(INDEX(Eleitoral!$B:$B,MATCH(A973,Eleitoral!$A:$A,0))&amp;"","não consta"))</f>
        <v/>
      </c>
      <c r="M973" s="28" t="str">
        <f aca="false">IF(A973="","",IF(OR(AND(K973&lt;&gt;"",LOWER(K973)&lt;&gt;"não consta"),AND(L973&lt;&gt;"",LOWER(L973)&lt;&gt;"não consta"),IFERROR(INDEX(Empresas!$G:$G,MATCH(A973,Empresas!$A:$A,0))&amp;"","")&lt;&gt;""),"SIM",""))</f>
        <v/>
      </c>
      <c r="N973" s="5"/>
      <c r="O973" s="32" t="str">
        <f aca="false">IF(D973="","",YEAR(D973))</f>
        <v/>
      </c>
      <c r="P973" s="5"/>
    </row>
    <row r="974" customFormat="false" ht="15" hidden="false" customHeight="false" outlineLevel="0" collapsed="false">
      <c r="A974" s="27"/>
      <c r="B974" s="5"/>
      <c r="C974" s="35"/>
      <c r="D974" s="18"/>
      <c r="E974" s="5"/>
      <c r="F974" s="14"/>
      <c r="G974" s="5"/>
      <c r="H974" s="27"/>
      <c r="I974" s="5"/>
      <c r="J974" s="19" t="str">
        <f aca="false">IF(A974="","",IFERROR(INDEX(Empresas!$D:$D,MATCH(A974,Empresas!$A:$A,0))&amp;"","não consta"))</f>
        <v/>
      </c>
      <c r="K974" s="19" t="str">
        <f aca="false">IF(A974="","",IFERROR(INDEX(Sancoes!$B:$B,MATCH(A974,Sancoes!$A:$A,0))&amp;"","não consta"))</f>
        <v/>
      </c>
      <c r="L974" s="19" t="str">
        <f aca="false">IF(A974="","",IFERROR(INDEX(Eleitoral!$B:$B,MATCH(A974,Eleitoral!$A:$A,0))&amp;"","não consta"))</f>
        <v/>
      </c>
      <c r="M974" s="28" t="str">
        <f aca="false">IF(A974="","",IF(OR(AND(K974&lt;&gt;"",LOWER(K974)&lt;&gt;"não consta"),AND(L974&lt;&gt;"",LOWER(L974)&lt;&gt;"não consta"),IFERROR(INDEX(Empresas!$G:$G,MATCH(A974,Empresas!$A:$A,0))&amp;"","")&lt;&gt;""),"SIM",""))</f>
        <v/>
      </c>
      <c r="N974" s="5"/>
      <c r="O974" s="32" t="str">
        <f aca="false">IF(D974="","",YEAR(D974))</f>
        <v/>
      </c>
      <c r="P974" s="5"/>
    </row>
    <row r="975" customFormat="false" ht="15" hidden="false" customHeight="false" outlineLevel="0" collapsed="false">
      <c r="A975" s="27"/>
      <c r="B975" s="5"/>
      <c r="C975" s="35"/>
      <c r="D975" s="18"/>
      <c r="E975" s="5"/>
      <c r="F975" s="14"/>
      <c r="G975" s="5"/>
      <c r="H975" s="27"/>
      <c r="I975" s="5"/>
      <c r="J975" s="19" t="str">
        <f aca="false">IF(A975="","",IFERROR(INDEX(Empresas!$D:$D,MATCH(A975,Empresas!$A:$A,0))&amp;"","não consta"))</f>
        <v/>
      </c>
      <c r="K975" s="19" t="str">
        <f aca="false">IF(A975="","",IFERROR(INDEX(Sancoes!$B:$B,MATCH(A975,Sancoes!$A:$A,0))&amp;"","não consta"))</f>
        <v/>
      </c>
      <c r="L975" s="19" t="str">
        <f aca="false">IF(A975="","",IFERROR(INDEX(Eleitoral!$B:$B,MATCH(A975,Eleitoral!$A:$A,0))&amp;"","não consta"))</f>
        <v/>
      </c>
      <c r="M975" s="28" t="str">
        <f aca="false">IF(A975="","",IF(OR(AND(K975&lt;&gt;"",LOWER(K975)&lt;&gt;"não consta"),AND(L975&lt;&gt;"",LOWER(L975)&lt;&gt;"não consta"),IFERROR(INDEX(Empresas!$G:$G,MATCH(A975,Empresas!$A:$A,0))&amp;"","")&lt;&gt;""),"SIM",""))</f>
        <v/>
      </c>
      <c r="N975" s="5"/>
      <c r="O975" s="32" t="str">
        <f aca="false">IF(D975="","",YEAR(D975))</f>
        <v/>
      </c>
      <c r="P975" s="5"/>
    </row>
    <row r="976" customFormat="false" ht="15" hidden="false" customHeight="false" outlineLevel="0" collapsed="false">
      <c r="A976" s="27"/>
      <c r="B976" s="5"/>
      <c r="C976" s="35"/>
      <c r="D976" s="18"/>
      <c r="E976" s="5"/>
      <c r="F976" s="14"/>
      <c r="G976" s="5"/>
      <c r="H976" s="27"/>
      <c r="I976" s="5"/>
      <c r="J976" s="19" t="str">
        <f aca="false">IF(A976="","",IFERROR(INDEX(Empresas!$D:$D,MATCH(A976,Empresas!$A:$A,0))&amp;"","não consta"))</f>
        <v/>
      </c>
      <c r="K976" s="19" t="str">
        <f aca="false">IF(A976="","",IFERROR(INDEX(Sancoes!$B:$B,MATCH(A976,Sancoes!$A:$A,0))&amp;"","não consta"))</f>
        <v/>
      </c>
      <c r="L976" s="19" t="str">
        <f aca="false">IF(A976="","",IFERROR(INDEX(Eleitoral!$B:$B,MATCH(A976,Eleitoral!$A:$A,0))&amp;"","não consta"))</f>
        <v/>
      </c>
      <c r="M976" s="28" t="str">
        <f aca="false">IF(A976="","",IF(OR(AND(K976&lt;&gt;"",LOWER(K976)&lt;&gt;"não consta"),AND(L976&lt;&gt;"",LOWER(L976)&lt;&gt;"não consta"),IFERROR(INDEX(Empresas!$G:$G,MATCH(A976,Empresas!$A:$A,0))&amp;"","")&lt;&gt;""),"SIM",""))</f>
        <v/>
      </c>
      <c r="N976" s="5"/>
      <c r="O976" s="32" t="str">
        <f aca="false">IF(D976="","",YEAR(D976))</f>
        <v/>
      </c>
      <c r="P976" s="5"/>
    </row>
    <row r="977" customFormat="false" ht="15" hidden="false" customHeight="false" outlineLevel="0" collapsed="false">
      <c r="A977" s="27"/>
      <c r="B977" s="5"/>
      <c r="C977" s="35"/>
      <c r="D977" s="18"/>
      <c r="E977" s="5"/>
      <c r="F977" s="14"/>
      <c r="G977" s="5"/>
      <c r="H977" s="27"/>
      <c r="I977" s="5"/>
      <c r="J977" s="19" t="str">
        <f aca="false">IF(A977="","",IFERROR(INDEX(Empresas!$D:$D,MATCH(A977,Empresas!$A:$A,0))&amp;"","não consta"))</f>
        <v/>
      </c>
      <c r="K977" s="19" t="str">
        <f aca="false">IF(A977="","",IFERROR(INDEX(Sancoes!$B:$B,MATCH(A977,Sancoes!$A:$A,0))&amp;"","não consta"))</f>
        <v/>
      </c>
      <c r="L977" s="19" t="str">
        <f aca="false">IF(A977="","",IFERROR(INDEX(Eleitoral!$B:$B,MATCH(A977,Eleitoral!$A:$A,0))&amp;"","não consta"))</f>
        <v/>
      </c>
      <c r="M977" s="28" t="str">
        <f aca="false">IF(A977="","",IF(OR(AND(K977&lt;&gt;"",LOWER(K977)&lt;&gt;"não consta"),AND(L977&lt;&gt;"",LOWER(L977)&lt;&gt;"não consta"),IFERROR(INDEX(Empresas!$G:$G,MATCH(A977,Empresas!$A:$A,0))&amp;"","")&lt;&gt;""),"SIM",""))</f>
        <v/>
      </c>
      <c r="N977" s="5"/>
      <c r="O977" s="32" t="str">
        <f aca="false">IF(D977="","",YEAR(D977))</f>
        <v/>
      </c>
      <c r="P977" s="5"/>
    </row>
    <row r="978" customFormat="false" ht="15" hidden="false" customHeight="false" outlineLevel="0" collapsed="false">
      <c r="A978" s="27"/>
      <c r="B978" s="5"/>
      <c r="C978" s="35"/>
      <c r="D978" s="18"/>
      <c r="E978" s="5"/>
      <c r="F978" s="14"/>
      <c r="G978" s="5"/>
      <c r="H978" s="27"/>
      <c r="I978" s="5"/>
      <c r="J978" s="19" t="str">
        <f aca="false">IF(A978="","",IFERROR(INDEX(Empresas!$D:$D,MATCH(A978,Empresas!$A:$A,0))&amp;"","não consta"))</f>
        <v/>
      </c>
      <c r="K978" s="19" t="str">
        <f aca="false">IF(A978="","",IFERROR(INDEX(Sancoes!$B:$B,MATCH(A978,Sancoes!$A:$A,0))&amp;"","não consta"))</f>
        <v/>
      </c>
      <c r="L978" s="19" t="str">
        <f aca="false">IF(A978="","",IFERROR(INDEX(Eleitoral!$B:$B,MATCH(A978,Eleitoral!$A:$A,0))&amp;"","não consta"))</f>
        <v/>
      </c>
      <c r="M978" s="28" t="str">
        <f aca="false">IF(A978="","",IF(OR(AND(K978&lt;&gt;"",LOWER(K978)&lt;&gt;"não consta"),AND(L978&lt;&gt;"",LOWER(L978)&lt;&gt;"não consta"),IFERROR(INDEX(Empresas!$G:$G,MATCH(A978,Empresas!$A:$A,0))&amp;"","")&lt;&gt;""),"SIM",""))</f>
        <v/>
      </c>
      <c r="N978" s="5"/>
      <c r="O978" s="32" t="str">
        <f aca="false">IF(D978="","",YEAR(D978))</f>
        <v/>
      </c>
      <c r="P978" s="5"/>
    </row>
    <row r="979" customFormat="false" ht="15" hidden="false" customHeight="false" outlineLevel="0" collapsed="false">
      <c r="A979" s="27"/>
      <c r="B979" s="5"/>
      <c r="C979" s="35"/>
      <c r="D979" s="18"/>
      <c r="E979" s="5"/>
      <c r="F979" s="14"/>
      <c r="G979" s="5"/>
      <c r="H979" s="27"/>
      <c r="I979" s="5"/>
      <c r="J979" s="19" t="str">
        <f aca="false">IF(A979="","",IFERROR(INDEX(Empresas!$D:$D,MATCH(A979,Empresas!$A:$A,0))&amp;"","não consta"))</f>
        <v/>
      </c>
      <c r="K979" s="19" t="str">
        <f aca="false">IF(A979="","",IFERROR(INDEX(Sancoes!$B:$B,MATCH(A979,Sancoes!$A:$A,0))&amp;"","não consta"))</f>
        <v/>
      </c>
      <c r="L979" s="19" t="str">
        <f aca="false">IF(A979="","",IFERROR(INDEX(Eleitoral!$B:$B,MATCH(A979,Eleitoral!$A:$A,0))&amp;"","não consta"))</f>
        <v/>
      </c>
      <c r="M979" s="28" t="str">
        <f aca="false">IF(A979="","",IF(OR(AND(K979&lt;&gt;"",LOWER(K979)&lt;&gt;"não consta"),AND(L979&lt;&gt;"",LOWER(L979)&lt;&gt;"não consta"),IFERROR(INDEX(Empresas!$G:$G,MATCH(A979,Empresas!$A:$A,0))&amp;"","")&lt;&gt;""),"SIM",""))</f>
        <v/>
      </c>
      <c r="N979" s="5"/>
      <c r="O979" s="32" t="str">
        <f aca="false">IF(D979="","",YEAR(D979))</f>
        <v/>
      </c>
      <c r="P979" s="5"/>
    </row>
    <row r="980" customFormat="false" ht="15" hidden="false" customHeight="false" outlineLevel="0" collapsed="false">
      <c r="A980" s="27"/>
      <c r="B980" s="5"/>
      <c r="C980" s="35"/>
      <c r="D980" s="18"/>
      <c r="E980" s="5"/>
      <c r="F980" s="14"/>
      <c r="G980" s="5"/>
      <c r="H980" s="27"/>
      <c r="I980" s="5"/>
      <c r="J980" s="19" t="str">
        <f aca="false">IF(A980="","",IFERROR(INDEX(Empresas!$D:$D,MATCH(A980,Empresas!$A:$A,0))&amp;"","não consta"))</f>
        <v/>
      </c>
      <c r="K980" s="19" t="str">
        <f aca="false">IF(A980="","",IFERROR(INDEX(Sancoes!$B:$B,MATCH(A980,Sancoes!$A:$A,0))&amp;"","não consta"))</f>
        <v/>
      </c>
      <c r="L980" s="19" t="str">
        <f aca="false">IF(A980="","",IFERROR(INDEX(Eleitoral!$B:$B,MATCH(A980,Eleitoral!$A:$A,0))&amp;"","não consta"))</f>
        <v/>
      </c>
      <c r="M980" s="28" t="str">
        <f aca="false">IF(A980="","",IF(OR(AND(K980&lt;&gt;"",LOWER(K980)&lt;&gt;"não consta"),AND(L980&lt;&gt;"",LOWER(L980)&lt;&gt;"não consta"),IFERROR(INDEX(Empresas!$G:$G,MATCH(A980,Empresas!$A:$A,0))&amp;"","")&lt;&gt;""),"SIM",""))</f>
        <v/>
      </c>
      <c r="N980" s="5"/>
      <c r="O980" s="32" t="str">
        <f aca="false">IF(D980="","",YEAR(D980))</f>
        <v/>
      </c>
      <c r="P980" s="5"/>
    </row>
    <row r="981" customFormat="false" ht="15" hidden="false" customHeight="false" outlineLevel="0" collapsed="false">
      <c r="A981" s="27"/>
      <c r="B981" s="5"/>
      <c r="C981" s="35"/>
      <c r="D981" s="18"/>
      <c r="E981" s="5"/>
      <c r="F981" s="14"/>
      <c r="G981" s="5"/>
      <c r="H981" s="27"/>
      <c r="I981" s="5"/>
      <c r="J981" s="19" t="str">
        <f aca="false">IF(A981="","",IFERROR(INDEX(Empresas!$D:$D,MATCH(A981,Empresas!$A:$A,0))&amp;"","não consta"))</f>
        <v/>
      </c>
      <c r="K981" s="19" t="str">
        <f aca="false">IF(A981="","",IFERROR(INDEX(Sancoes!$B:$B,MATCH(A981,Sancoes!$A:$A,0))&amp;"","não consta"))</f>
        <v/>
      </c>
      <c r="L981" s="19" t="str">
        <f aca="false">IF(A981="","",IFERROR(INDEX(Eleitoral!$B:$B,MATCH(A981,Eleitoral!$A:$A,0))&amp;"","não consta"))</f>
        <v/>
      </c>
      <c r="M981" s="28" t="str">
        <f aca="false">IF(A981="","",IF(OR(AND(K981&lt;&gt;"",LOWER(K981)&lt;&gt;"não consta"),AND(L981&lt;&gt;"",LOWER(L981)&lt;&gt;"não consta"),IFERROR(INDEX(Empresas!$G:$G,MATCH(A981,Empresas!$A:$A,0))&amp;"","")&lt;&gt;""),"SIM",""))</f>
        <v/>
      </c>
      <c r="N981" s="5"/>
      <c r="O981" s="32" t="str">
        <f aca="false">IF(D981="","",YEAR(D981))</f>
        <v/>
      </c>
      <c r="P981" s="5"/>
    </row>
    <row r="982" customFormat="false" ht="15" hidden="false" customHeight="false" outlineLevel="0" collapsed="false">
      <c r="A982" s="27"/>
      <c r="B982" s="5"/>
      <c r="C982" s="35"/>
      <c r="D982" s="18"/>
      <c r="E982" s="5"/>
      <c r="F982" s="14"/>
      <c r="G982" s="5"/>
      <c r="H982" s="27"/>
      <c r="I982" s="5"/>
      <c r="J982" s="19" t="str">
        <f aca="false">IF(A982="","",IFERROR(INDEX(Empresas!$D:$D,MATCH(A982,Empresas!$A:$A,0))&amp;"","não consta"))</f>
        <v/>
      </c>
      <c r="K982" s="19" t="str">
        <f aca="false">IF(A982="","",IFERROR(INDEX(Sancoes!$B:$B,MATCH(A982,Sancoes!$A:$A,0))&amp;"","não consta"))</f>
        <v/>
      </c>
      <c r="L982" s="19" t="str">
        <f aca="false">IF(A982="","",IFERROR(INDEX(Eleitoral!$B:$B,MATCH(A982,Eleitoral!$A:$A,0))&amp;"","não consta"))</f>
        <v/>
      </c>
      <c r="M982" s="28" t="str">
        <f aca="false">IF(A982="","",IF(OR(AND(K982&lt;&gt;"",LOWER(K982)&lt;&gt;"não consta"),AND(L982&lt;&gt;"",LOWER(L982)&lt;&gt;"não consta"),IFERROR(INDEX(Empresas!$G:$G,MATCH(A982,Empresas!$A:$A,0))&amp;"","")&lt;&gt;""),"SIM",""))</f>
        <v/>
      </c>
      <c r="N982" s="5"/>
      <c r="O982" s="32" t="str">
        <f aca="false">IF(D982="","",YEAR(D982))</f>
        <v/>
      </c>
      <c r="P982" s="5"/>
    </row>
    <row r="983" customFormat="false" ht="15" hidden="false" customHeight="false" outlineLevel="0" collapsed="false">
      <c r="A983" s="27"/>
      <c r="B983" s="5"/>
      <c r="C983" s="35"/>
      <c r="D983" s="18"/>
      <c r="E983" s="5"/>
      <c r="F983" s="14"/>
      <c r="G983" s="5"/>
      <c r="H983" s="27"/>
      <c r="I983" s="5"/>
      <c r="J983" s="19" t="str">
        <f aca="false">IF(A983="","",IFERROR(INDEX(Empresas!$D:$D,MATCH(A983,Empresas!$A:$A,0))&amp;"","não consta"))</f>
        <v/>
      </c>
      <c r="K983" s="19" t="str">
        <f aca="false">IF(A983="","",IFERROR(INDEX(Sancoes!$B:$B,MATCH(A983,Sancoes!$A:$A,0))&amp;"","não consta"))</f>
        <v/>
      </c>
      <c r="L983" s="19" t="str">
        <f aca="false">IF(A983="","",IFERROR(INDEX(Eleitoral!$B:$B,MATCH(A983,Eleitoral!$A:$A,0))&amp;"","não consta"))</f>
        <v/>
      </c>
      <c r="M983" s="28" t="str">
        <f aca="false">IF(A983="","",IF(OR(AND(K983&lt;&gt;"",LOWER(K983)&lt;&gt;"não consta"),AND(L983&lt;&gt;"",LOWER(L983)&lt;&gt;"não consta"),IFERROR(INDEX(Empresas!$G:$G,MATCH(A983,Empresas!$A:$A,0))&amp;"","")&lt;&gt;""),"SIM",""))</f>
        <v/>
      </c>
      <c r="N983" s="5"/>
      <c r="O983" s="32" t="str">
        <f aca="false">IF(D983="","",YEAR(D983))</f>
        <v/>
      </c>
      <c r="P983" s="5"/>
    </row>
    <row r="984" customFormat="false" ht="15" hidden="false" customHeight="false" outlineLevel="0" collapsed="false">
      <c r="A984" s="27"/>
      <c r="B984" s="5"/>
      <c r="C984" s="35"/>
      <c r="D984" s="18"/>
      <c r="E984" s="5"/>
      <c r="F984" s="14"/>
      <c r="G984" s="5"/>
      <c r="H984" s="27"/>
      <c r="I984" s="5"/>
      <c r="J984" s="19" t="str">
        <f aca="false">IF(A984="","",IFERROR(INDEX(Empresas!$D:$D,MATCH(A984,Empresas!$A:$A,0))&amp;"","não consta"))</f>
        <v/>
      </c>
      <c r="K984" s="19" t="str">
        <f aca="false">IF(A984="","",IFERROR(INDEX(Sancoes!$B:$B,MATCH(A984,Sancoes!$A:$A,0))&amp;"","não consta"))</f>
        <v/>
      </c>
      <c r="L984" s="19" t="str">
        <f aca="false">IF(A984="","",IFERROR(INDEX(Eleitoral!$B:$B,MATCH(A984,Eleitoral!$A:$A,0))&amp;"","não consta"))</f>
        <v/>
      </c>
      <c r="M984" s="28" t="str">
        <f aca="false">IF(A984="","",IF(OR(AND(K984&lt;&gt;"",LOWER(K984)&lt;&gt;"não consta"),AND(L984&lt;&gt;"",LOWER(L984)&lt;&gt;"não consta"),IFERROR(INDEX(Empresas!$G:$G,MATCH(A984,Empresas!$A:$A,0))&amp;"","")&lt;&gt;""),"SIM",""))</f>
        <v/>
      </c>
      <c r="N984" s="5"/>
      <c r="O984" s="32" t="str">
        <f aca="false">IF(D984="","",YEAR(D984))</f>
        <v/>
      </c>
      <c r="P984" s="5"/>
    </row>
    <row r="985" customFormat="false" ht="15" hidden="false" customHeight="false" outlineLevel="0" collapsed="false">
      <c r="A985" s="27"/>
      <c r="B985" s="5"/>
      <c r="C985" s="35"/>
      <c r="D985" s="18"/>
      <c r="E985" s="5"/>
      <c r="F985" s="14"/>
      <c r="G985" s="5"/>
      <c r="H985" s="27"/>
      <c r="I985" s="5"/>
      <c r="J985" s="19" t="str">
        <f aca="false">IF(A985="","",IFERROR(INDEX(Empresas!$D:$D,MATCH(A985,Empresas!$A:$A,0))&amp;"","não consta"))</f>
        <v/>
      </c>
      <c r="K985" s="19" t="str">
        <f aca="false">IF(A985="","",IFERROR(INDEX(Sancoes!$B:$B,MATCH(A985,Sancoes!$A:$A,0))&amp;"","não consta"))</f>
        <v/>
      </c>
      <c r="L985" s="19" t="str">
        <f aca="false">IF(A985="","",IFERROR(INDEX(Eleitoral!$B:$B,MATCH(A985,Eleitoral!$A:$A,0))&amp;"","não consta"))</f>
        <v/>
      </c>
      <c r="M985" s="28" t="str">
        <f aca="false">IF(A985="","",IF(OR(AND(K985&lt;&gt;"",LOWER(K985)&lt;&gt;"não consta"),AND(L985&lt;&gt;"",LOWER(L985)&lt;&gt;"não consta"),IFERROR(INDEX(Empresas!$G:$G,MATCH(A985,Empresas!$A:$A,0))&amp;"","")&lt;&gt;""),"SIM",""))</f>
        <v/>
      </c>
      <c r="N985" s="5"/>
      <c r="O985" s="32" t="str">
        <f aca="false">IF(D985="","",YEAR(D985))</f>
        <v/>
      </c>
      <c r="P985" s="5"/>
    </row>
    <row r="986" customFormat="false" ht="15" hidden="false" customHeight="false" outlineLevel="0" collapsed="false">
      <c r="A986" s="27"/>
      <c r="B986" s="5"/>
      <c r="C986" s="35"/>
      <c r="D986" s="18"/>
      <c r="E986" s="5"/>
      <c r="F986" s="14"/>
      <c r="G986" s="5"/>
      <c r="H986" s="27"/>
      <c r="I986" s="5"/>
      <c r="J986" s="19" t="str">
        <f aca="false">IF(A986="","",IFERROR(INDEX(Empresas!$D:$D,MATCH(A986,Empresas!$A:$A,0))&amp;"","não consta"))</f>
        <v/>
      </c>
      <c r="K986" s="19" t="str">
        <f aca="false">IF(A986="","",IFERROR(INDEX(Sancoes!$B:$B,MATCH(A986,Sancoes!$A:$A,0))&amp;"","não consta"))</f>
        <v/>
      </c>
      <c r="L986" s="19" t="str">
        <f aca="false">IF(A986="","",IFERROR(INDEX(Eleitoral!$B:$B,MATCH(A986,Eleitoral!$A:$A,0))&amp;"","não consta"))</f>
        <v/>
      </c>
      <c r="M986" s="28" t="str">
        <f aca="false">IF(A986="","",IF(OR(AND(K986&lt;&gt;"",LOWER(K986)&lt;&gt;"não consta"),AND(L986&lt;&gt;"",LOWER(L986)&lt;&gt;"não consta"),IFERROR(INDEX(Empresas!$G:$G,MATCH(A986,Empresas!$A:$A,0))&amp;"","")&lt;&gt;""),"SIM",""))</f>
        <v/>
      </c>
      <c r="N986" s="5"/>
      <c r="O986" s="32" t="str">
        <f aca="false">IF(D986="","",YEAR(D986))</f>
        <v/>
      </c>
      <c r="P986" s="5"/>
    </row>
    <row r="987" customFormat="false" ht="15" hidden="false" customHeight="false" outlineLevel="0" collapsed="false">
      <c r="A987" s="27"/>
      <c r="B987" s="5"/>
      <c r="C987" s="35"/>
      <c r="D987" s="18"/>
      <c r="E987" s="5"/>
      <c r="F987" s="14"/>
      <c r="G987" s="5"/>
      <c r="H987" s="27"/>
      <c r="I987" s="5"/>
      <c r="J987" s="19" t="str">
        <f aca="false">IF(A987="","",IFERROR(INDEX(Empresas!$D:$D,MATCH(A987,Empresas!$A:$A,0))&amp;"","não consta"))</f>
        <v/>
      </c>
      <c r="K987" s="19" t="str">
        <f aca="false">IF(A987="","",IFERROR(INDEX(Sancoes!$B:$B,MATCH(A987,Sancoes!$A:$A,0))&amp;"","não consta"))</f>
        <v/>
      </c>
      <c r="L987" s="19" t="str">
        <f aca="false">IF(A987="","",IFERROR(INDEX(Eleitoral!$B:$B,MATCH(A987,Eleitoral!$A:$A,0))&amp;"","não consta"))</f>
        <v/>
      </c>
      <c r="M987" s="28" t="str">
        <f aca="false">IF(A987="","",IF(OR(AND(K987&lt;&gt;"",LOWER(K987)&lt;&gt;"não consta"),AND(L987&lt;&gt;"",LOWER(L987)&lt;&gt;"não consta"),IFERROR(INDEX(Empresas!$G:$G,MATCH(A987,Empresas!$A:$A,0))&amp;"","")&lt;&gt;""),"SIM",""))</f>
        <v/>
      </c>
      <c r="N987" s="5"/>
      <c r="O987" s="32" t="str">
        <f aca="false">IF(D987="","",YEAR(D987))</f>
        <v/>
      </c>
      <c r="P987" s="5"/>
    </row>
    <row r="988" customFormat="false" ht="15" hidden="false" customHeight="false" outlineLevel="0" collapsed="false">
      <c r="A988" s="27"/>
      <c r="B988" s="5"/>
      <c r="C988" s="35"/>
      <c r="D988" s="18"/>
      <c r="E988" s="5"/>
      <c r="F988" s="14"/>
      <c r="G988" s="5"/>
      <c r="H988" s="27"/>
      <c r="I988" s="5"/>
      <c r="J988" s="19" t="str">
        <f aca="false">IF(A988="","",IFERROR(INDEX(Empresas!$D:$D,MATCH(A988,Empresas!$A:$A,0))&amp;"","não consta"))</f>
        <v/>
      </c>
      <c r="K988" s="19" t="str">
        <f aca="false">IF(A988="","",IFERROR(INDEX(Sancoes!$B:$B,MATCH(A988,Sancoes!$A:$A,0))&amp;"","não consta"))</f>
        <v/>
      </c>
      <c r="L988" s="19" t="str">
        <f aca="false">IF(A988="","",IFERROR(INDEX(Eleitoral!$B:$B,MATCH(A988,Eleitoral!$A:$A,0))&amp;"","não consta"))</f>
        <v/>
      </c>
      <c r="M988" s="28" t="str">
        <f aca="false">IF(A988="","",IF(OR(AND(K988&lt;&gt;"",LOWER(K988)&lt;&gt;"não consta"),AND(L988&lt;&gt;"",LOWER(L988)&lt;&gt;"não consta"),IFERROR(INDEX(Empresas!$G:$G,MATCH(A988,Empresas!$A:$A,0))&amp;"","")&lt;&gt;""),"SIM",""))</f>
        <v/>
      </c>
      <c r="N988" s="5"/>
      <c r="O988" s="32" t="str">
        <f aca="false">IF(D988="","",YEAR(D988))</f>
        <v/>
      </c>
      <c r="P988" s="5"/>
    </row>
    <row r="989" customFormat="false" ht="15" hidden="false" customHeight="false" outlineLevel="0" collapsed="false">
      <c r="A989" s="27"/>
      <c r="B989" s="5"/>
      <c r="C989" s="35"/>
      <c r="D989" s="18"/>
      <c r="E989" s="5"/>
      <c r="F989" s="14"/>
      <c r="G989" s="5"/>
      <c r="H989" s="27"/>
      <c r="I989" s="5"/>
      <c r="J989" s="19" t="str">
        <f aca="false">IF(A989="","",IFERROR(INDEX(Empresas!$D:$D,MATCH(A989,Empresas!$A:$A,0))&amp;"","não consta"))</f>
        <v/>
      </c>
      <c r="K989" s="19" t="str">
        <f aca="false">IF(A989="","",IFERROR(INDEX(Sancoes!$B:$B,MATCH(A989,Sancoes!$A:$A,0))&amp;"","não consta"))</f>
        <v/>
      </c>
      <c r="L989" s="19" t="str">
        <f aca="false">IF(A989="","",IFERROR(INDEX(Eleitoral!$B:$B,MATCH(A989,Eleitoral!$A:$A,0))&amp;"","não consta"))</f>
        <v/>
      </c>
      <c r="M989" s="28" t="str">
        <f aca="false">IF(A989="","",IF(OR(AND(K989&lt;&gt;"",LOWER(K989)&lt;&gt;"não consta"),AND(L989&lt;&gt;"",LOWER(L989)&lt;&gt;"não consta"),IFERROR(INDEX(Empresas!$G:$G,MATCH(A989,Empresas!$A:$A,0))&amp;"","")&lt;&gt;""),"SIM",""))</f>
        <v/>
      </c>
      <c r="N989" s="5"/>
      <c r="O989" s="32" t="str">
        <f aca="false">IF(D989="","",YEAR(D989))</f>
        <v/>
      </c>
      <c r="P989" s="5"/>
    </row>
    <row r="990" customFormat="false" ht="15" hidden="false" customHeight="false" outlineLevel="0" collapsed="false">
      <c r="A990" s="27"/>
      <c r="B990" s="5"/>
      <c r="C990" s="35"/>
      <c r="D990" s="18"/>
      <c r="E990" s="5"/>
      <c r="F990" s="14"/>
      <c r="G990" s="5"/>
      <c r="H990" s="27"/>
      <c r="I990" s="5"/>
      <c r="J990" s="19" t="str">
        <f aca="false">IF(A990="","",IFERROR(INDEX(Empresas!$D:$D,MATCH(A990,Empresas!$A:$A,0))&amp;"","não consta"))</f>
        <v/>
      </c>
      <c r="K990" s="19" t="str">
        <f aca="false">IF(A990="","",IFERROR(INDEX(Sancoes!$B:$B,MATCH(A990,Sancoes!$A:$A,0))&amp;"","não consta"))</f>
        <v/>
      </c>
      <c r="L990" s="19" t="str">
        <f aca="false">IF(A990="","",IFERROR(INDEX(Eleitoral!$B:$B,MATCH(A990,Eleitoral!$A:$A,0))&amp;"","não consta"))</f>
        <v/>
      </c>
      <c r="M990" s="28" t="str">
        <f aca="false">IF(A990="","",IF(OR(AND(K990&lt;&gt;"",LOWER(K990)&lt;&gt;"não consta"),AND(L990&lt;&gt;"",LOWER(L990)&lt;&gt;"não consta"),IFERROR(INDEX(Empresas!$G:$G,MATCH(A990,Empresas!$A:$A,0))&amp;"","")&lt;&gt;""),"SIM",""))</f>
        <v/>
      </c>
      <c r="N990" s="5"/>
      <c r="O990" s="32" t="str">
        <f aca="false">IF(D990="","",YEAR(D990))</f>
        <v/>
      </c>
      <c r="P990" s="5"/>
    </row>
    <row r="991" customFormat="false" ht="15" hidden="false" customHeight="false" outlineLevel="0" collapsed="false">
      <c r="A991" s="27"/>
      <c r="B991" s="5"/>
      <c r="C991" s="35"/>
      <c r="D991" s="18"/>
      <c r="E991" s="5"/>
      <c r="F991" s="14"/>
      <c r="G991" s="5"/>
      <c r="H991" s="27"/>
      <c r="I991" s="5"/>
      <c r="J991" s="19" t="str">
        <f aca="false">IF(A991="","",IFERROR(INDEX(Empresas!$D:$D,MATCH(A991,Empresas!$A:$A,0))&amp;"","não consta"))</f>
        <v/>
      </c>
      <c r="K991" s="19" t="str">
        <f aca="false">IF(A991="","",IFERROR(INDEX(Sancoes!$B:$B,MATCH(A991,Sancoes!$A:$A,0))&amp;"","não consta"))</f>
        <v/>
      </c>
      <c r="L991" s="19" t="str">
        <f aca="false">IF(A991="","",IFERROR(INDEX(Eleitoral!$B:$B,MATCH(A991,Eleitoral!$A:$A,0))&amp;"","não consta"))</f>
        <v/>
      </c>
      <c r="M991" s="28" t="str">
        <f aca="false">IF(A991="","",IF(OR(AND(K991&lt;&gt;"",LOWER(K991)&lt;&gt;"não consta"),AND(L991&lt;&gt;"",LOWER(L991)&lt;&gt;"não consta"),IFERROR(INDEX(Empresas!$G:$G,MATCH(A991,Empresas!$A:$A,0))&amp;"","")&lt;&gt;""),"SIM",""))</f>
        <v/>
      </c>
      <c r="N991" s="5"/>
      <c r="O991" s="32" t="str">
        <f aca="false">IF(D991="","",YEAR(D991))</f>
        <v/>
      </c>
      <c r="P991" s="5"/>
    </row>
    <row r="992" customFormat="false" ht="15" hidden="false" customHeight="false" outlineLevel="0" collapsed="false">
      <c r="A992" s="27"/>
      <c r="B992" s="5"/>
      <c r="C992" s="35"/>
      <c r="D992" s="18"/>
      <c r="E992" s="5"/>
      <c r="F992" s="14"/>
      <c r="G992" s="5"/>
      <c r="H992" s="27"/>
      <c r="I992" s="5"/>
      <c r="J992" s="19" t="str">
        <f aca="false">IF(A992="","",IFERROR(INDEX(Empresas!$D:$D,MATCH(A992,Empresas!$A:$A,0))&amp;"","não consta"))</f>
        <v/>
      </c>
      <c r="K992" s="19" t="str">
        <f aca="false">IF(A992="","",IFERROR(INDEX(Sancoes!$B:$B,MATCH(A992,Sancoes!$A:$A,0))&amp;"","não consta"))</f>
        <v/>
      </c>
      <c r="L992" s="19" t="str">
        <f aca="false">IF(A992="","",IFERROR(INDEX(Eleitoral!$B:$B,MATCH(A992,Eleitoral!$A:$A,0))&amp;"","não consta"))</f>
        <v/>
      </c>
      <c r="M992" s="28" t="str">
        <f aca="false">IF(A992="","",IF(OR(AND(K992&lt;&gt;"",LOWER(K992)&lt;&gt;"não consta"),AND(L992&lt;&gt;"",LOWER(L992)&lt;&gt;"não consta"),IFERROR(INDEX(Empresas!$G:$G,MATCH(A992,Empresas!$A:$A,0))&amp;"","")&lt;&gt;""),"SIM",""))</f>
        <v/>
      </c>
      <c r="N992" s="5"/>
      <c r="O992" s="32" t="str">
        <f aca="false">IF(D992="","",YEAR(D992))</f>
        <v/>
      </c>
      <c r="P992" s="5"/>
    </row>
    <row r="993" customFormat="false" ht="15" hidden="false" customHeight="false" outlineLevel="0" collapsed="false">
      <c r="A993" s="27"/>
      <c r="B993" s="5"/>
      <c r="C993" s="35"/>
      <c r="D993" s="18"/>
      <c r="E993" s="5"/>
      <c r="F993" s="14"/>
      <c r="G993" s="5"/>
      <c r="H993" s="27"/>
      <c r="I993" s="5"/>
      <c r="J993" s="19" t="str">
        <f aca="false">IF(A993="","",IFERROR(INDEX(Empresas!$D:$D,MATCH(A993,Empresas!$A:$A,0))&amp;"","não consta"))</f>
        <v/>
      </c>
      <c r="K993" s="19" t="str">
        <f aca="false">IF(A993="","",IFERROR(INDEX(Sancoes!$B:$B,MATCH(A993,Sancoes!$A:$A,0))&amp;"","não consta"))</f>
        <v/>
      </c>
      <c r="L993" s="19" t="str">
        <f aca="false">IF(A993="","",IFERROR(INDEX(Eleitoral!$B:$B,MATCH(A993,Eleitoral!$A:$A,0))&amp;"","não consta"))</f>
        <v/>
      </c>
      <c r="M993" s="28" t="str">
        <f aca="false">IF(A993="","",IF(OR(AND(K993&lt;&gt;"",LOWER(K993)&lt;&gt;"não consta"),AND(L993&lt;&gt;"",LOWER(L993)&lt;&gt;"não consta"),IFERROR(INDEX(Empresas!$G:$G,MATCH(A993,Empresas!$A:$A,0))&amp;"","")&lt;&gt;""),"SIM",""))</f>
        <v/>
      </c>
      <c r="N993" s="5"/>
      <c r="O993" s="32" t="str">
        <f aca="false">IF(D993="","",YEAR(D993))</f>
        <v/>
      </c>
      <c r="P993" s="5"/>
    </row>
    <row r="994" customFormat="false" ht="15" hidden="false" customHeight="false" outlineLevel="0" collapsed="false">
      <c r="A994" s="27"/>
      <c r="B994" s="5"/>
      <c r="C994" s="35"/>
      <c r="D994" s="18"/>
      <c r="E994" s="5"/>
      <c r="F994" s="14"/>
      <c r="G994" s="5"/>
      <c r="H994" s="27"/>
      <c r="I994" s="5"/>
      <c r="J994" s="19" t="str">
        <f aca="false">IF(A994="","",IFERROR(INDEX(Empresas!$D:$D,MATCH(A994,Empresas!$A:$A,0))&amp;"","não consta"))</f>
        <v/>
      </c>
      <c r="K994" s="19" t="str">
        <f aca="false">IF(A994="","",IFERROR(INDEX(Sancoes!$B:$B,MATCH(A994,Sancoes!$A:$A,0))&amp;"","não consta"))</f>
        <v/>
      </c>
      <c r="L994" s="19" t="str">
        <f aca="false">IF(A994="","",IFERROR(INDEX(Eleitoral!$B:$B,MATCH(A994,Eleitoral!$A:$A,0))&amp;"","não consta"))</f>
        <v/>
      </c>
      <c r="M994" s="28" t="str">
        <f aca="false">IF(A994="","",IF(OR(AND(K994&lt;&gt;"",LOWER(K994)&lt;&gt;"não consta"),AND(L994&lt;&gt;"",LOWER(L994)&lt;&gt;"não consta"),IFERROR(INDEX(Empresas!$G:$G,MATCH(A994,Empresas!$A:$A,0))&amp;"","")&lt;&gt;""),"SIM",""))</f>
        <v/>
      </c>
      <c r="N994" s="5"/>
      <c r="O994" s="32" t="str">
        <f aca="false">IF(D994="","",YEAR(D994))</f>
        <v/>
      </c>
      <c r="P994" s="5"/>
    </row>
    <row r="995" customFormat="false" ht="15" hidden="false" customHeight="false" outlineLevel="0" collapsed="false">
      <c r="A995" s="27"/>
      <c r="B995" s="5"/>
      <c r="C995" s="35"/>
      <c r="D995" s="18"/>
      <c r="E995" s="5"/>
      <c r="F995" s="14"/>
      <c r="G995" s="5"/>
      <c r="H995" s="27"/>
      <c r="I995" s="5"/>
      <c r="J995" s="19" t="str">
        <f aca="false">IF(A995="","",IFERROR(INDEX(Empresas!$D:$D,MATCH(A995,Empresas!$A:$A,0))&amp;"","não consta"))</f>
        <v/>
      </c>
      <c r="K995" s="19" t="str">
        <f aca="false">IF(A995="","",IFERROR(INDEX(Sancoes!$B:$B,MATCH(A995,Sancoes!$A:$A,0))&amp;"","não consta"))</f>
        <v/>
      </c>
      <c r="L995" s="19" t="str">
        <f aca="false">IF(A995="","",IFERROR(INDEX(Eleitoral!$B:$B,MATCH(A995,Eleitoral!$A:$A,0))&amp;"","não consta"))</f>
        <v/>
      </c>
      <c r="M995" s="28" t="str">
        <f aca="false">IF(A995="","",IF(OR(AND(K995&lt;&gt;"",LOWER(K995)&lt;&gt;"não consta"),AND(L995&lt;&gt;"",LOWER(L995)&lt;&gt;"não consta"),IFERROR(INDEX(Empresas!$G:$G,MATCH(A995,Empresas!$A:$A,0))&amp;"","")&lt;&gt;""),"SIM",""))</f>
        <v/>
      </c>
      <c r="N995" s="5"/>
      <c r="O995" s="32" t="str">
        <f aca="false">IF(D995="","",YEAR(D995))</f>
        <v/>
      </c>
      <c r="P995" s="5"/>
    </row>
    <row r="996" customFormat="false" ht="15" hidden="false" customHeight="false" outlineLevel="0" collapsed="false">
      <c r="A996" s="27"/>
      <c r="B996" s="5"/>
      <c r="C996" s="35"/>
      <c r="D996" s="18"/>
      <c r="E996" s="5"/>
      <c r="F996" s="14"/>
      <c r="G996" s="5"/>
      <c r="H996" s="27"/>
      <c r="I996" s="5"/>
      <c r="J996" s="19" t="str">
        <f aca="false">IF(A996="","",IFERROR(INDEX(Empresas!$D:$D,MATCH(A996,Empresas!$A:$A,0))&amp;"","não consta"))</f>
        <v/>
      </c>
      <c r="K996" s="19" t="str">
        <f aca="false">IF(A996="","",IFERROR(INDEX(Sancoes!$B:$B,MATCH(A996,Sancoes!$A:$A,0))&amp;"","não consta"))</f>
        <v/>
      </c>
      <c r="L996" s="19" t="str">
        <f aca="false">IF(A996="","",IFERROR(INDEX(Eleitoral!$B:$B,MATCH(A996,Eleitoral!$A:$A,0))&amp;"","não consta"))</f>
        <v/>
      </c>
      <c r="M996" s="28" t="str">
        <f aca="false">IF(A996="","",IF(OR(AND(K996&lt;&gt;"",LOWER(K996)&lt;&gt;"não consta"),AND(L996&lt;&gt;"",LOWER(L996)&lt;&gt;"não consta"),IFERROR(INDEX(Empresas!$G:$G,MATCH(A996,Empresas!$A:$A,0))&amp;"","")&lt;&gt;""),"SIM",""))</f>
        <v/>
      </c>
      <c r="N996" s="5"/>
      <c r="O996" s="32" t="str">
        <f aca="false">IF(D996="","",YEAR(D996))</f>
        <v/>
      </c>
      <c r="P996" s="5"/>
    </row>
    <row r="997" customFormat="false" ht="15" hidden="false" customHeight="false" outlineLevel="0" collapsed="false">
      <c r="A997" s="27"/>
      <c r="B997" s="5"/>
      <c r="C997" s="35"/>
      <c r="D997" s="18"/>
      <c r="E997" s="5"/>
      <c r="F997" s="14"/>
      <c r="G997" s="5"/>
      <c r="H997" s="27"/>
      <c r="I997" s="5"/>
      <c r="J997" s="19" t="str">
        <f aca="false">IF(A997="","",IFERROR(INDEX(Empresas!$D:$D,MATCH(A997,Empresas!$A:$A,0))&amp;"","não consta"))</f>
        <v/>
      </c>
      <c r="K997" s="19" t="str">
        <f aca="false">IF(A997="","",IFERROR(INDEX(Sancoes!$B:$B,MATCH(A997,Sancoes!$A:$A,0))&amp;"","não consta"))</f>
        <v/>
      </c>
      <c r="L997" s="19" t="str">
        <f aca="false">IF(A997="","",IFERROR(INDEX(Eleitoral!$B:$B,MATCH(A997,Eleitoral!$A:$A,0))&amp;"","não consta"))</f>
        <v/>
      </c>
      <c r="M997" s="28" t="str">
        <f aca="false">IF(A997="","",IF(OR(AND(K997&lt;&gt;"",LOWER(K997)&lt;&gt;"não consta"),AND(L997&lt;&gt;"",LOWER(L997)&lt;&gt;"não consta"),IFERROR(INDEX(Empresas!$G:$G,MATCH(A997,Empresas!$A:$A,0))&amp;"","")&lt;&gt;""),"SIM",""))</f>
        <v/>
      </c>
      <c r="N997" s="5"/>
      <c r="O997" s="32" t="str">
        <f aca="false">IF(D997="","",YEAR(D997))</f>
        <v/>
      </c>
      <c r="P997" s="5"/>
    </row>
    <row r="998" customFormat="false" ht="15" hidden="false" customHeight="false" outlineLevel="0" collapsed="false">
      <c r="A998" s="27"/>
      <c r="B998" s="5"/>
      <c r="C998" s="35"/>
      <c r="D998" s="18"/>
      <c r="E998" s="5"/>
      <c r="F998" s="14"/>
      <c r="G998" s="5"/>
      <c r="H998" s="27"/>
      <c r="I998" s="5"/>
      <c r="J998" s="19" t="str">
        <f aca="false">IF(A998="","",IFERROR(INDEX(Empresas!$D:$D,MATCH(A998,Empresas!$A:$A,0))&amp;"","não consta"))</f>
        <v/>
      </c>
      <c r="K998" s="19" t="str">
        <f aca="false">IF(A998="","",IFERROR(INDEX(Sancoes!$B:$B,MATCH(A998,Sancoes!$A:$A,0))&amp;"","não consta"))</f>
        <v/>
      </c>
      <c r="L998" s="19" t="str">
        <f aca="false">IF(A998="","",IFERROR(INDEX(Eleitoral!$B:$B,MATCH(A998,Eleitoral!$A:$A,0))&amp;"","não consta"))</f>
        <v/>
      </c>
      <c r="M998" s="28" t="str">
        <f aca="false">IF(A998="","",IF(OR(AND(K998&lt;&gt;"",LOWER(K998)&lt;&gt;"não consta"),AND(L998&lt;&gt;"",LOWER(L998)&lt;&gt;"não consta"),IFERROR(INDEX(Empresas!$G:$G,MATCH(A998,Empresas!$A:$A,0))&amp;"","")&lt;&gt;""),"SIM",""))</f>
        <v/>
      </c>
      <c r="N998" s="5"/>
      <c r="O998" s="32" t="str">
        <f aca="false">IF(D998="","",YEAR(D998))</f>
        <v/>
      </c>
      <c r="P998" s="5"/>
    </row>
    <row r="999" customFormat="false" ht="15" hidden="false" customHeight="false" outlineLevel="0" collapsed="false">
      <c r="A999" s="27"/>
      <c r="B999" s="5"/>
      <c r="C999" s="35"/>
      <c r="D999" s="18"/>
      <c r="E999" s="5"/>
      <c r="F999" s="14"/>
      <c r="G999" s="5"/>
      <c r="H999" s="27"/>
      <c r="I999" s="5"/>
      <c r="J999" s="19" t="str">
        <f aca="false">IF(A999="","",IFERROR(INDEX(Empresas!$D:$D,MATCH(A999,Empresas!$A:$A,0))&amp;"","não consta"))</f>
        <v/>
      </c>
      <c r="K999" s="19" t="str">
        <f aca="false">IF(A999="","",IFERROR(INDEX(Sancoes!$B:$B,MATCH(A999,Sancoes!$A:$A,0))&amp;"","não consta"))</f>
        <v/>
      </c>
      <c r="L999" s="19" t="str">
        <f aca="false">IF(A999="","",IFERROR(INDEX(Eleitoral!$B:$B,MATCH(A999,Eleitoral!$A:$A,0))&amp;"","não consta"))</f>
        <v/>
      </c>
      <c r="M999" s="28" t="str">
        <f aca="false">IF(A999="","",IF(OR(AND(K999&lt;&gt;"",LOWER(K999)&lt;&gt;"não consta"),AND(L999&lt;&gt;"",LOWER(L999)&lt;&gt;"não consta"),IFERROR(INDEX(Empresas!$G:$G,MATCH(A999,Empresas!$A:$A,0))&amp;"","")&lt;&gt;""),"SIM",""))</f>
        <v/>
      </c>
      <c r="N999" s="5"/>
      <c r="O999" s="32" t="str">
        <f aca="false">IF(D999="","",YEAR(D999))</f>
        <v/>
      </c>
      <c r="P999" s="5"/>
    </row>
    <row r="1000" customFormat="false" ht="15" hidden="false" customHeight="false" outlineLevel="0" collapsed="false">
      <c r="A1000" s="27"/>
      <c r="B1000" s="5"/>
      <c r="C1000" s="35"/>
      <c r="D1000" s="18"/>
      <c r="E1000" s="5"/>
      <c r="F1000" s="14"/>
      <c r="G1000" s="5"/>
      <c r="H1000" s="27"/>
      <c r="I1000" s="5"/>
      <c r="J1000" s="19" t="str">
        <f aca="false">IF(A1000="","",IFERROR(INDEX(Empresas!$D:$D,MATCH(A1000,Empresas!$A:$A,0))&amp;"","não consta"))</f>
        <v/>
      </c>
      <c r="K1000" s="19" t="str">
        <f aca="false">IF(A1000="","",IFERROR(INDEX(Sancoes!$B:$B,MATCH(A1000,Sancoes!$A:$A,0))&amp;"","não consta"))</f>
        <v/>
      </c>
      <c r="L1000" s="19" t="str">
        <f aca="false">IF(A1000="","",IFERROR(INDEX(Eleitoral!$B:$B,MATCH(A1000,Eleitoral!$A:$A,0))&amp;"","não consta"))</f>
        <v/>
      </c>
      <c r="M1000" s="28" t="str">
        <f aca="false">IF(A1000="","",IF(OR(AND(K1000&lt;&gt;"",LOWER(K1000)&lt;&gt;"não consta"),AND(L1000&lt;&gt;"",LOWER(L1000)&lt;&gt;"não consta"),IFERROR(INDEX(Empresas!$G:$G,MATCH(A1000,Empresas!$A:$A,0))&amp;"","")&lt;&gt;""),"SIM",""))</f>
        <v/>
      </c>
      <c r="N1000" s="5"/>
      <c r="O1000" s="32" t="str">
        <f aca="false">IF(D1000="","",YEAR(D1000))</f>
        <v/>
      </c>
      <c r="P1000" s="5"/>
    </row>
    <row r="1001" customFormat="false" ht="15" hidden="false" customHeight="false" outlineLevel="0" collapsed="false">
      <c r="A1001" s="27"/>
      <c r="B1001" s="5"/>
      <c r="C1001" s="35"/>
      <c r="D1001" s="18"/>
      <c r="E1001" s="5"/>
      <c r="F1001" s="14"/>
      <c r="G1001" s="5"/>
      <c r="H1001" s="27"/>
      <c r="I1001" s="5"/>
      <c r="J1001" s="19" t="str">
        <f aca="false">IF(A1001="","",IFERROR(INDEX(Empresas!$D:$D,MATCH(A1001,Empresas!$A:$A,0))&amp;"","não consta"))</f>
        <v/>
      </c>
      <c r="K1001" s="19" t="str">
        <f aca="false">IF(A1001="","",IFERROR(INDEX(Sancoes!$B:$B,MATCH(A1001,Sancoes!$A:$A,0))&amp;"","não consta"))</f>
        <v/>
      </c>
      <c r="L1001" s="19" t="str">
        <f aca="false">IF(A1001="","",IFERROR(INDEX(Eleitoral!$B:$B,MATCH(A1001,Eleitoral!$A:$A,0))&amp;"","não consta"))</f>
        <v/>
      </c>
      <c r="M1001" s="28" t="str">
        <f aca="false">IF(A1001="","",IF(OR(AND(K1001&lt;&gt;"",LOWER(K1001)&lt;&gt;"não consta"),AND(L1001&lt;&gt;"",LOWER(L1001)&lt;&gt;"não consta"),IFERROR(INDEX(Empresas!$G:$G,MATCH(A1001,Empresas!$A:$A,0))&amp;"","")&lt;&gt;""),"SIM",""))</f>
        <v/>
      </c>
      <c r="N1001" s="5"/>
      <c r="O1001" s="32" t="str">
        <f aca="false">IF(D1001="","",YEAR(D1001))</f>
        <v/>
      </c>
      <c r="P1001" s="5"/>
    </row>
    <row r="1002" customFormat="false" ht="15" hidden="false" customHeight="false" outlineLevel="0" collapsed="false">
      <c r="A1002" s="27"/>
      <c r="B1002" s="5"/>
      <c r="C1002" s="35"/>
      <c r="D1002" s="18"/>
      <c r="E1002" s="5"/>
      <c r="F1002" s="14"/>
      <c r="G1002" s="5"/>
      <c r="H1002" s="27"/>
      <c r="I1002" s="5"/>
      <c r="J1002" s="19" t="str">
        <f aca="false">IF(A1002="","",IFERROR(INDEX(Empresas!$D:$D,MATCH(A1002,Empresas!$A:$A,0))&amp;"","não consta"))</f>
        <v/>
      </c>
      <c r="K1002" s="19" t="str">
        <f aca="false">IF(A1002="","",IFERROR(INDEX(Sancoes!$B:$B,MATCH(A1002,Sancoes!$A:$A,0))&amp;"","não consta"))</f>
        <v/>
      </c>
      <c r="L1002" s="19" t="str">
        <f aca="false">IF(A1002="","",IFERROR(INDEX(Eleitoral!$B:$B,MATCH(A1002,Eleitoral!$A:$A,0))&amp;"","não consta"))</f>
        <v/>
      </c>
      <c r="M1002" s="28" t="str">
        <f aca="false">IF(A1002="","",IF(OR(AND(K1002&lt;&gt;"",LOWER(K1002)&lt;&gt;"não consta"),AND(L1002&lt;&gt;"",LOWER(L1002)&lt;&gt;"não consta"),IFERROR(INDEX(Empresas!$G:$G,MATCH(A1002,Empresas!$A:$A,0))&amp;"","")&lt;&gt;""),"SIM",""))</f>
        <v/>
      </c>
      <c r="N1002" s="5"/>
      <c r="O1002" s="32" t="str">
        <f aca="false">IF(D1002="","",YEAR(D1002))</f>
        <v/>
      </c>
      <c r="P1002" s="5"/>
    </row>
    <row r="1003" customFormat="false" ht="15" hidden="false" customHeight="false" outlineLevel="0" collapsed="false">
      <c r="A1003" s="27"/>
      <c r="B1003" s="5"/>
      <c r="C1003" s="35"/>
      <c r="D1003" s="18"/>
      <c r="E1003" s="5"/>
      <c r="F1003" s="14"/>
      <c r="G1003" s="5"/>
      <c r="H1003" s="27"/>
      <c r="I1003" s="5"/>
      <c r="J1003" s="19" t="str">
        <f aca="false">IF(A1003="","",IFERROR(INDEX(Empresas!$D:$D,MATCH(A1003,Empresas!$A:$A,0))&amp;"","não consta"))</f>
        <v/>
      </c>
      <c r="K1003" s="19" t="str">
        <f aca="false">IF(A1003="","",IFERROR(INDEX(Sancoes!$B:$B,MATCH(A1003,Sancoes!$A:$A,0))&amp;"","não consta"))</f>
        <v/>
      </c>
      <c r="L1003" s="19" t="str">
        <f aca="false">IF(A1003="","",IFERROR(INDEX(Eleitoral!$B:$B,MATCH(A1003,Eleitoral!$A:$A,0))&amp;"","não consta"))</f>
        <v/>
      </c>
      <c r="M1003" s="28" t="str">
        <f aca="false">IF(A1003="","",IF(OR(AND(K1003&lt;&gt;"",LOWER(K1003)&lt;&gt;"não consta"),AND(L1003&lt;&gt;"",LOWER(L1003)&lt;&gt;"não consta"),IFERROR(INDEX(Empresas!$G:$G,MATCH(A1003,Empresas!$A:$A,0))&amp;"","")&lt;&gt;""),"SIM",""))</f>
        <v/>
      </c>
      <c r="N1003" s="5"/>
      <c r="O1003" s="32" t="str">
        <f aca="false">IF(D1003="","",YEAR(D1003))</f>
        <v/>
      </c>
      <c r="P1003" s="5"/>
    </row>
    <row r="1004" customFormat="false" ht="15" hidden="false" customHeight="false" outlineLevel="0" collapsed="false">
      <c r="A1004" s="27"/>
      <c r="B1004" s="5"/>
      <c r="C1004" s="35"/>
      <c r="D1004" s="18"/>
      <c r="E1004" s="5"/>
      <c r="F1004" s="14"/>
      <c r="G1004" s="5"/>
      <c r="H1004" s="27"/>
      <c r="I1004" s="5"/>
      <c r="J1004" s="19" t="str">
        <f aca="false">IF(A1004="","",IFERROR(INDEX(Empresas!$D:$D,MATCH(A1004,Empresas!$A:$A,0))&amp;"","não consta"))</f>
        <v/>
      </c>
      <c r="K1004" s="19" t="str">
        <f aca="false">IF(A1004="","",IFERROR(INDEX(Sancoes!$B:$B,MATCH(A1004,Sancoes!$A:$A,0))&amp;"","não consta"))</f>
        <v/>
      </c>
      <c r="L1004" s="19" t="str">
        <f aca="false">IF(A1004="","",IFERROR(INDEX(Eleitoral!$B:$B,MATCH(A1004,Eleitoral!$A:$A,0))&amp;"","não consta"))</f>
        <v/>
      </c>
      <c r="M1004" s="28" t="str">
        <f aca="false">IF(A1004="","",IF(OR(AND(K1004&lt;&gt;"",LOWER(K1004)&lt;&gt;"não consta"),AND(L1004&lt;&gt;"",LOWER(L1004)&lt;&gt;"não consta"),IFERROR(INDEX(Empresas!$G:$G,MATCH(A1004,Empresas!$A:$A,0))&amp;"","")&lt;&gt;""),"SIM",""))</f>
        <v/>
      </c>
      <c r="N1004" s="5"/>
      <c r="O1004" s="32" t="str">
        <f aca="false">IF(D1004="","",YEAR(D1004))</f>
        <v/>
      </c>
      <c r="P1004" s="5"/>
    </row>
    <row r="1005" customFormat="false" ht="15" hidden="false" customHeight="false" outlineLevel="0" collapsed="false">
      <c r="A1005" s="27"/>
      <c r="B1005" s="5"/>
      <c r="C1005" s="35"/>
      <c r="D1005" s="18"/>
      <c r="E1005" s="5"/>
      <c r="F1005" s="14"/>
      <c r="G1005" s="5"/>
      <c r="H1005" s="27"/>
      <c r="I1005" s="5"/>
      <c r="J1005" s="19" t="str">
        <f aca="false">IF(A1005="","",IFERROR(INDEX(Empresas!$D:$D,MATCH(A1005,Empresas!$A:$A,0))&amp;"","não consta"))</f>
        <v/>
      </c>
      <c r="K1005" s="19" t="str">
        <f aca="false">IF(A1005="","",IFERROR(INDEX(Sancoes!$B:$B,MATCH(A1005,Sancoes!$A:$A,0))&amp;"","não consta"))</f>
        <v/>
      </c>
      <c r="L1005" s="19" t="str">
        <f aca="false">IF(A1005="","",IFERROR(INDEX(Eleitoral!$B:$B,MATCH(A1005,Eleitoral!$A:$A,0))&amp;"","não consta"))</f>
        <v/>
      </c>
      <c r="M1005" s="28" t="str">
        <f aca="false">IF(A1005="","",IF(OR(AND(K1005&lt;&gt;"",LOWER(K1005)&lt;&gt;"não consta"),AND(L1005&lt;&gt;"",LOWER(L1005)&lt;&gt;"não consta"),IFERROR(INDEX(Empresas!$G:$G,MATCH(A1005,Empresas!$A:$A,0))&amp;"","")&lt;&gt;""),"SIM",""))</f>
        <v/>
      </c>
      <c r="N1005" s="5"/>
      <c r="O1005" s="32" t="str">
        <f aca="false">IF(D1005="","",YEAR(D1005))</f>
        <v/>
      </c>
      <c r="P1005" s="5"/>
    </row>
    <row r="1006" customFormat="false" ht="15" hidden="false" customHeight="false" outlineLevel="0" collapsed="false">
      <c r="A1006" s="27"/>
      <c r="B1006" s="5"/>
      <c r="C1006" s="35"/>
      <c r="D1006" s="18"/>
      <c r="E1006" s="5"/>
      <c r="F1006" s="14"/>
      <c r="G1006" s="5"/>
      <c r="H1006" s="27"/>
      <c r="I1006" s="5"/>
      <c r="J1006" s="19" t="str">
        <f aca="false">IF(A1006="","",IFERROR(INDEX(Empresas!$D:$D,MATCH(A1006,Empresas!$A:$A,0))&amp;"","não consta"))</f>
        <v/>
      </c>
      <c r="K1006" s="19" t="str">
        <f aca="false">IF(A1006="","",IFERROR(INDEX(Sancoes!$B:$B,MATCH(A1006,Sancoes!$A:$A,0))&amp;"","não consta"))</f>
        <v/>
      </c>
      <c r="L1006" s="19" t="str">
        <f aca="false">IF(A1006="","",IFERROR(INDEX(Eleitoral!$B:$B,MATCH(A1006,Eleitoral!$A:$A,0))&amp;"","não consta"))</f>
        <v/>
      </c>
      <c r="M1006" s="28" t="str">
        <f aca="false">IF(A1006="","",IF(OR(AND(K1006&lt;&gt;"",LOWER(K1006)&lt;&gt;"não consta"),AND(L1006&lt;&gt;"",LOWER(L1006)&lt;&gt;"não consta"),IFERROR(INDEX(Empresas!$G:$G,MATCH(A1006,Empresas!$A:$A,0))&amp;"","")&lt;&gt;""),"SIM",""))</f>
        <v/>
      </c>
      <c r="N1006" s="5"/>
      <c r="O1006" s="32" t="str">
        <f aca="false">IF(D1006="","",YEAR(D1006))</f>
        <v/>
      </c>
      <c r="P1006" s="5"/>
    </row>
    <row r="1007" customFormat="false" ht="15" hidden="false" customHeight="false" outlineLevel="0" collapsed="false">
      <c r="A1007" s="27"/>
      <c r="B1007" s="5"/>
      <c r="C1007" s="35"/>
      <c r="D1007" s="18"/>
      <c r="E1007" s="5"/>
      <c r="F1007" s="14"/>
      <c r="G1007" s="5"/>
      <c r="H1007" s="27"/>
      <c r="I1007" s="5"/>
      <c r="J1007" s="19" t="str">
        <f aca="false">IF(A1007="","",IFERROR(INDEX(Empresas!$D:$D,MATCH(A1007,Empresas!$A:$A,0))&amp;"","não consta"))</f>
        <v/>
      </c>
      <c r="K1007" s="19" t="str">
        <f aca="false">IF(A1007="","",IFERROR(INDEX(Sancoes!$B:$B,MATCH(A1007,Sancoes!$A:$A,0))&amp;"","não consta"))</f>
        <v/>
      </c>
      <c r="L1007" s="19" t="str">
        <f aca="false">IF(A1007="","",IFERROR(INDEX(Eleitoral!$B:$B,MATCH(A1007,Eleitoral!$A:$A,0))&amp;"","não consta"))</f>
        <v/>
      </c>
      <c r="M1007" s="28" t="str">
        <f aca="false">IF(A1007="","",IF(OR(AND(K1007&lt;&gt;"",LOWER(K1007)&lt;&gt;"não consta"),AND(L1007&lt;&gt;"",LOWER(L1007)&lt;&gt;"não consta"),IFERROR(INDEX(Empresas!$G:$G,MATCH(A1007,Empresas!$A:$A,0))&amp;"","")&lt;&gt;""),"SIM",""))</f>
        <v/>
      </c>
      <c r="N1007" s="5"/>
      <c r="O1007" s="32" t="str">
        <f aca="false">IF(D1007="","",YEAR(D1007))</f>
        <v/>
      </c>
      <c r="P1007" s="5"/>
    </row>
    <row r="1008" customFormat="false" ht="15" hidden="false" customHeight="false" outlineLevel="0" collapsed="false">
      <c r="A1008" s="27"/>
      <c r="B1008" s="5"/>
      <c r="C1008" s="35"/>
      <c r="D1008" s="18"/>
      <c r="E1008" s="5"/>
      <c r="F1008" s="14"/>
      <c r="G1008" s="5"/>
      <c r="H1008" s="27"/>
      <c r="I1008" s="5"/>
      <c r="J1008" s="19" t="str">
        <f aca="false">IF(A1008="","",IFERROR(INDEX(Empresas!$D:$D,MATCH(A1008,Empresas!$A:$A,0))&amp;"","não consta"))</f>
        <v/>
      </c>
      <c r="K1008" s="19" t="str">
        <f aca="false">IF(A1008="","",IFERROR(INDEX(Sancoes!$B:$B,MATCH(A1008,Sancoes!$A:$A,0))&amp;"","não consta"))</f>
        <v/>
      </c>
      <c r="L1008" s="19" t="str">
        <f aca="false">IF(A1008="","",IFERROR(INDEX(Eleitoral!$B:$B,MATCH(A1008,Eleitoral!$A:$A,0))&amp;"","não consta"))</f>
        <v/>
      </c>
      <c r="M1008" s="28" t="str">
        <f aca="false">IF(A1008="","",IF(OR(AND(K1008&lt;&gt;"",LOWER(K1008)&lt;&gt;"não consta"),AND(L1008&lt;&gt;"",LOWER(L1008)&lt;&gt;"não consta"),IFERROR(INDEX(Empresas!$G:$G,MATCH(A1008,Empresas!$A:$A,0))&amp;"","")&lt;&gt;""),"SIM",""))</f>
        <v/>
      </c>
      <c r="N1008" s="5"/>
      <c r="O1008" s="32" t="str">
        <f aca="false">IF(D1008="","",YEAR(D1008))</f>
        <v/>
      </c>
      <c r="P1008" s="5"/>
    </row>
    <row r="1009" customFormat="false" ht="15" hidden="false" customHeight="false" outlineLevel="0" collapsed="false">
      <c r="A1009" s="27"/>
      <c r="B1009" s="5"/>
      <c r="C1009" s="35"/>
      <c r="D1009" s="18"/>
      <c r="E1009" s="5"/>
      <c r="F1009" s="14"/>
      <c r="G1009" s="5"/>
      <c r="H1009" s="27"/>
      <c r="I1009" s="5"/>
      <c r="J1009" s="19" t="str">
        <f aca="false">IF(A1009="","",IFERROR(INDEX(Empresas!$D:$D,MATCH(A1009,Empresas!$A:$A,0))&amp;"","não consta"))</f>
        <v/>
      </c>
      <c r="K1009" s="19" t="str">
        <f aca="false">IF(A1009="","",IFERROR(INDEX(Sancoes!$B:$B,MATCH(A1009,Sancoes!$A:$A,0))&amp;"","não consta"))</f>
        <v/>
      </c>
      <c r="L1009" s="19" t="str">
        <f aca="false">IF(A1009="","",IFERROR(INDEX(Eleitoral!$B:$B,MATCH(A1009,Eleitoral!$A:$A,0))&amp;"","não consta"))</f>
        <v/>
      </c>
      <c r="M1009" s="28" t="str">
        <f aca="false">IF(A1009="","",IF(OR(AND(K1009&lt;&gt;"",LOWER(K1009)&lt;&gt;"não consta"),AND(L1009&lt;&gt;"",LOWER(L1009)&lt;&gt;"não consta"),IFERROR(INDEX(Empresas!$G:$G,MATCH(A1009,Empresas!$A:$A,0))&amp;"","")&lt;&gt;""),"SIM",""))</f>
        <v/>
      </c>
      <c r="N1009" s="5"/>
      <c r="O1009" s="32" t="str">
        <f aca="false">IF(D1009="","",YEAR(D1009))</f>
        <v/>
      </c>
      <c r="P1009" s="5"/>
    </row>
    <row r="1010" customFormat="false" ht="15" hidden="false" customHeight="false" outlineLevel="0" collapsed="false">
      <c r="A1010" s="27"/>
      <c r="B1010" s="5"/>
      <c r="C1010" s="35"/>
      <c r="D1010" s="18"/>
      <c r="E1010" s="5"/>
      <c r="F1010" s="14"/>
      <c r="G1010" s="5"/>
      <c r="H1010" s="27"/>
      <c r="I1010" s="5"/>
      <c r="J1010" s="19" t="str">
        <f aca="false">IF(A1010="","",IFERROR(INDEX(Empresas!$D:$D,MATCH(A1010,Empresas!$A:$A,0))&amp;"","não consta"))</f>
        <v/>
      </c>
      <c r="K1010" s="19" t="str">
        <f aca="false">IF(A1010="","",IFERROR(INDEX(Sancoes!$B:$B,MATCH(A1010,Sancoes!$A:$A,0))&amp;"","não consta"))</f>
        <v/>
      </c>
      <c r="L1010" s="19" t="str">
        <f aca="false">IF(A1010="","",IFERROR(INDEX(Eleitoral!$B:$B,MATCH(A1010,Eleitoral!$A:$A,0))&amp;"","não consta"))</f>
        <v/>
      </c>
      <c r="M1010" s="28" t="str">
        <f aca="false">IF(A1010="","",IF(OR(AND(K1010&lt;&gt;"",LOWER(K1010)&lt;&gt;"não consta"),AND(L1010&lt;&gt;"",LOWER(L1010)&lt;&gt;"não consta"),IFERROR(INDEX(Empresas!$G:$G,MATCH(A1010,Empresas!$A:$A,0))&amp;"","")&lt;&gt;""),"SIM",""))</f>
        <v/>
      </c>
      <c r="N1010" s="5"/>
      <c r="O1010" s="32" t="str">
        <f aca="false">IF(D1010="","",YEAR(D1010))</f>
        <v/>
      </c>
      <c r="P1010" s="5"/>
    </row>
    <row r="1011" customFormat="false" ht="15" hidden="false" customHeight="false" outlineLevel="0" collapsed="false">
      <c r="A1011" s="27"/>
      <c r="B1011" s="5"/>
      <c r="C1011" s="35"/>
      <c r="D1011" s="18"/>
      <c r="E1011" s="5"/>
      <c r="F1011" s="14"/>
      <c r="G1011" s="5"/>
      <c r="H1011" s="27"/>
      <c r="I1011" s="5"/>
      <c r="J1011" s="19" t="str">
        <f aca="false">IF(A1011="","",IFERROR(INDEX(Empresas!$D:$D,MATCH(A1011,Empresas!$A:$A,0))&amp;"","não consta"))</f>
        <v/>
      </c>
      <c r="K1011" s="19" t="str">
        <f aca="false">IF(A1011="","",IFERROR(INDEX(Sancoes!$B:$B,MATCH(A1011,Sancoes!$A:$A,0))&amp;"","não consta"))</f>
        <v/>
      </c>
      <c r="L1011" s="19" t="str">
        <f aca="false">IF(A1011="","",IFERROR(INDEX(Eleitoral!$B:$B,MATCH(A1011,Eleitoral!$A:$A,0))&amp;"","não consta"))</f>
        <v/>
      </c>
      <c r="M1011" s="28" t="str">
        <f aca="false">IF(A1011="","",IF(OR(AND(K1011&lt;&gt;"",LOWER(K1011)&lt;&gt;"não consta"),AND(L1011&lt;&gt;"",LOWER(L1011)&lt;&gt;"não consta"),IFERROR(INDEX(Empresas!$G:$G,MATCH(A1011,Empresas!$A:$A,0))&amp;"","")&lt;&gt;""),"SIM",""))</f>
        <v/>
      </c>
      <c r="N1011" s="5"/>
      <c r="O1011" s="32" t="str">
        <f aca="false">IF(D1011="","",YEAR(D1011))</f>
        <v/>
      </c>
      <c r="P1011" s="5"/>
    </row>
    <row r="1012" customFormat="false" ht="15" hidden="false" customHeight="false" outlineLevel="0" collapsed="false">
      <c r="A1012" s="27"/>
      <c r="B1012" s="5"/>
      <c r="C1012" s="35"/>
      <c r="D1012" s="18"/>
      <c r="E1012" s="5"/>
      <c r="F1012" s="14"/>
      <c r="G1012" s="5"/>
      <c r="H1012" s="27"/>
      <c r="I1012" s="5"/>
      <c r="J1012" s="19" t="str">
        <f aca="false">IF(A1012="","",IFERROR(INDEX(Empresas!$D:$D,MATCH(A1012,Empresas!$A:$A,0))&amp;"","não consta"))</f>
        <v/>
      </c>
      <c r="K1012" s="19" t="str">
        <f aca="false">IF(A1012="","",IFERROR(INDEX(Sancoes!$B:$B,MATCH(A1012,Sancoes!$A:$A,0))&amp;"","não consta"))</f>
        <v/>
      </c>
      <c r="L1012" s="19" t="str">
        <f aca="false">IF(A1012="","",IFERROR(INDEX(Eleitoral!$B:$B,MATCH(A1012,Eleitoral!$A:$A,0))&amp;"","não consta"))</f>
        <v/>
      </c>
      <c r="M1012" s="28" t="str">
        <f aca="false">IF(A1012="","",IF(OR(AND(K1012&lt;&gt;"",LOWER(K1012)&lt;&gt;"não consta"),AND(L1012&lt;&gt;"",LOWER(L1012)&lt;&gt;"não consta"),IFERROR(INDEX(Empresas!$G:$G,MATCH(A1012,Empresas!$A:$A,0))&amp;"","")&lt;&gt;""),"SIM",""))</f>
        <v/>
      </c>
      <c r="N1012" s="5"/>
      <c r="O1012" s="32" t="str">
        <f aca="false">IF(D1012="","",YEAR(D1012))</f>
        <v/>
      </c>
      <c r="P1012" s="5"/>
    </row>
    <row r="1013" customFormat="false" ht="15" hidden="false" customHeight="false" outlineLevel="0" collapsed="false">
      <c r="A1013" s="27"/>
      <c r="B1013" s="5"/>
      <c r="C1013" s="35"/>
      <c r="D1013" s="18"/>
      <c r="E1013" s="5"/>
      <c r="F1013" s="14"/>
      <c r="G1013" s="5"/>
      <c r="H1013" s="27"/>
      <c r="I1013" s="5"/>
      <c r="J1013" s="19" t="str">
        <f aca="false">IF(A1013="","",IFERROR(INDEX(Empresas!$D:$D,MATCH(A1013,Empresas!$A:$A,0))&amp;"","não consta"))</f>
        <v/>
      </c>
      <c r="K1013" s="19" t="str">
        <f aca="false">IF(A1013="","",IFERROR(INDEX(Sancoes!$B:$B,MATCH(A1013,Sancoes!$A:$A,0))&amp;"","não consta"))</f>
        <v/>
      </c>
      <c r="L1013" s="19" t="str">
        <f aca="false">IF(A1013="","",IFERROR(INDEX(Eleitoral!$B:$B,MATCH(A1013,Eleitoral!$A:$A,0))&amp;"","não consta"))</f>
        <v/>
      </c>
      <c r="M1013" s="28" t="str">
        <f aca="false">IF(A1013="","",IF(OR(AND(K1013&lt;&gt;"",LOWER(K1013)&lt;&gt;"não consta"),AND(L1013&lt;&gt;"",LOWER(L1013)&lt;&gt;"não consta"),IFERROR(INDEX(Empresas!$G:$G,MATCH(A1013,Empresas!$A:$A,0))&amp;"","")&lt;&gt;""),"SIM",""))</f>
        <v/>
      </c>
      <c r="N1013" s="5"/>
      <c r="O1013" s="32" t="str">
        <f aca="false">IF(D1013="","",YEAR(D1013))</f>
        <v/>
      </c>
      <c r="P1013" s="5"/>
    </row>
    <row r="1014" customFormat="false" ht="15" hidden="false" customHeight="false" outlineLevel="0" collapsed="false">
      <c r="A1014" s="27"/>
      <c r="B1014" s="5"/>
      <c r="C1014" s="35"/>
      <c r="D1014" s="18"/>
      <c r="E1014" s="5"/>
      <c r="F1014" s="14"/>
      <c r="G1014" s="5"/>
      <c r="H1014" s="27"/>
      <c r="I1014" s="5"/>
      <c r="J1014" s="19" t="str">
        <f aca="false">IF(A1014="","",IFERROR(INDEX(Empresas!$D:$D,MATCH(A1014,Empresas!$A:$A,0))&amp;"","não consta"))</f>
        <v/>
      </c>
      <c r="K1014" s="19" t="str">
        <f aca="false">IF(A1014="","",IFERROR(INDEX(Sancoes!$B:$B,MATCH(A1014,Sancoes!$A:$A,0))&amp;"","não consta"))</f>
        <v/>
      </c>
      <c r="L1014" s="19" t="str">
        <f aca="false">IF(A1014="","",IFERROR(INDEX(Eleitoral!$B:$B,MATCH(A1014,Eleitoral!$A:$A,0))&amp;"","não consta"))</f>
        <v/>
      </c>
      <c r="M1014" s="28" t="str">
        <f aca="false">IF(A1014="","",IF(OR(AND(K1014&lt;&gt;"",LOWER(K1014)&lt;&gt;"não consta"),AND(L1014&lt;&gt;"",LOWER(L1014)&lt;&gt;"não consta"),IFERROR(INDEX(Empresas!$G:$G,MATCH(A1014,Empresas!$A:$A,0))&amp;"","")&lt;&gt;""),"SIM",""))</f>
        <v/>
      </c>
      <c r="N1014" s="5"/>
      <c r="O1014" s="32" t="str">
        <f aca="false">IF(D1014="","",YEAR(D1014))</f>
        <v/>
      </c>
      <c r="P1014" s="5"/>
    </row>
    <row r="1015" customFormat="false" ht="15" hidden="false" customHeight="false" outlineLevel="0" collapsed="false">
      <c r="A1015" s="27"/>
      <c r="B1015" s="5"/>
      <c r="C1015" s="35"/>
      <c r="D1015" s="18"/>
      <c r="E1015" s="5"/>
      <c r="F1015" s="14"/>
      <c r="G1015" s="5"/>
      <c r="H1015" s="27"/>
      <c r="I1015" s="5"/>
      <c r="J1015" s="19" t="str">
        <f aca="false">IF(A1015="","",IFERROR(INDEX(Empresas!$D:$D,MATCH(A1015,Empresas!$A:$A,0))&amp;"","não consta"))</f>
        <v/>
      </c>
      <c r="K1015" s="19" t="str">
        <f aca="false">IF(A1015="","",IFERROR(INDEX(Sancoes!$B:$B,MATCH(A1015,Sancoes!$A:$A,0))&amp;"","não consta"))</f>
        <v/>
      </c>
      <c r="L1015" s="19" t="str">
        <f aca="false">IF(A1015="","",IFERROR(INDEX(Eleitoral!$B:$B,MATCH(A1015,Eleitoral!$A:$A,0))&amp;"","não consta"))</f>
        <v/>
      </c>
      <c r="M1015" s="28" t="str">
        <f aca="false">IF(A1015="","",IF(OR(AND(K1015&lt;&gt;"",LOWER(K1015)&lt;&gt;"não consta"),AND(L1015&lt;&gt;"",LOWER(L1015)&lt;&gt;"não consta"),IFERROR(INDEX(Empresas!$G:$G,MATCH(A1015,Empresas!$A:$A,0))&amp;"","")&lt;&gt;""),"SIM",""))</f>
        <v/>
      </c>
      <c r="N1015" s="5"/>
      <c r="O1015" s="32" t="str">
        <f aca="false">IF(D1015="","",YEAR(D1015))</f>
        <v/>
      </c>
      <c r="P1015" s="5"/>
    </row>
    <row r="1016" customFormat="false" ht="15" hidden="false" customHeight="false" outlineLevel="0" collapsed="false">
      <c r="A1016" s="27"/>
      <c r="B1016" s="5"/>
      <c r="C1016" s="35"/>
      <c r="D1016" s="18"/>
      <c r="E1016" s="5"/>
      <c r="F1016" s="14"/>
      <c r="G1016" s="5"/>
      <c r="H1016" s="27"/>
      <c r="I1016" s="5"/>
      <c r="J1016" s="19" t="str">
        <f aca="false">IF(A1016="","",IFERROR(INDEX(Empresas!$D:$D,MATCH(A1016,Empresas!$A:$A,0))&amp;"","não consta"))</f>
        <v/>
      </c>
      <c r="K1016" s="19" t="str">
        <f aca="false">IF(A1016="","",IFERROR(INDEX(Sancoes!$B:$B,MATCH(A1016,Sancoes!$A:$A,0))&amp;"","não consta"))</f>
        <v/>
      </c>
      <c r="L1016" s="19" t="str">
        <f aca="false">IF(A1016="","",IFERROR(INDEX(Eleitoral!$B:$B,MATCH(A1016,Eleitoral!$A:$A,0))&amp;"","não consta"))</f>
        <v/>
      </c>
      <c r="M1016" s="28" t="str">
        <f aca="false">IF(A1016="","",IF(OR(AND(K1016&lt;&gt;"",LOWER(K1016)&lt;&gt;"não consta"),AND(L1016&lt;&gt;"",LOWER(L1016)&lt;&gt;"não consta"),IFERROR(INDEX(Empresas!$G:$G,MATCH(A1016,Empresas!$A:$A,0))&amp;"","")&lt;&gt;""),"SIM",""))</f>
        <v/>
      </c>
      <c r="N1016" s="5"/>
      <c r="O1016" s="32" t="str">
        <f aca="false">IF(D1016="","",YEAR(D1016))</f>
        <v/>
      </c>
      <c r="P1016" s="5"/>
    </row>
    <row r="1017" customFormat="false" ht="15" hidden="false" customHeight="false" outlineLevel="0" collapsed="false">
      <c r="A1017" s="27"/>
      <c r="B1017" s="5"/>
      <c r="C1017" s="35"/>
      <c r="D1017" s="18"/>
      <c r="E1017" s="5"/>
      <c r="F1017" s="14"/>
      <c r="G1017" s="5"/>
      <c r="H1017" s="27"/>
      <c r="I1017" s="5"/>
      <c r="J1017" s="19" t="str">
        <f aca="false">IF(A1017="","",IFERROR(INDEX(Empresas!$D:$D,MATCH(A1017,Empresas!$A:$A,0))&amp;"","não consta"))</f>
        <v/>
      </c>
      <c r="K1017" s="19" t="str">
        <f aca="false">IF(A1017="","",IFERROR(INDEX(Sancoes!$B:$B,MATCH(A1017,Sancoes!$A:$A,0))&amp;"","não consta"))</f>
        <v/>
      </c>
      <c r="L1017" s="19" t="str">
        <f aca="false">IF(A1017="","",IFERROR(INDEX(Eleitoral!$B:$B,MATCH(A1017,Eleitoral!$A:$A,0))&amp;"","não consta"))</f>
        <v/>
      </c>
      <c r="M1017" s="28" t="str">
        <f aca="false">IF(A1017="","",IF(OR(AND(K1017&lt;&gt;"",LOWER(K1017)&lt;&gt;"não consta"),AND(L1017&lt;&gt;"",LOWER(L1017)&lt;&gt;"não consta"),IFERROR(INDEX(Empresas!$G:$G,MATCH(A1017,Empresas!$A:$A,0))&amp;"","")&lt;&gt;""),"SIM",""))</f>
        <v/>
      </c>
      <c r="N1017" s="5"/>
      <c r="O1017" s="32" t="str">
        <f aca="false">IF(D1017="","",YEAR(D1017))</f>
        <v/>
      </c>
      <c r="P1017" s="5"/>
    </row>
    <row r="1018" customFormat="false" ht="15" hidden="false" customHeight="false" outlineLevel="0" collapsed="false">
      <c r="A1018" s="27"/>
      <c r="B1018" s="5"/>
      <c r="C1018" s="35"/>
      <c r="D1018" s="18"/>
      <c r="E1018" s="5"/>
      <c r="F1018" s="14"/>
      <c r="G1018" s="5"/>
      <c r="H1018" s="27"/>
      <c r="I1018" s="5"/>
      <c r="J1018" s="19" t="str">
        <f aca="false">IF(A1018="","",IFERROR(INDEX(Empresas!$D:$D,MATCH(A1018,Empresas!$A:$A,0))&amp;"","não consta"))</f>
        <v/>
      </c>
      <c r="K1018" s="19" t="str">
        <f aca="false">IF(A1018="","",IFERROR(INDEX(Sancoes!$B:$B,MATCH(A1018,Sancoes!$A:$A,0))&amp;"","não consta"))</f>
        <v/>
      </c>
      <c r="L1018" s="19" t="str">
        <f aca="false">IF(A1018="","",IFERROR(INDEX(Eleitoral!$B:$B,MATCH(A1018,Eleitoral!$A:$A,0))&amp;"","não consta"))</f>
        <v/>
      </c>
      <c r="M1018" s="28" t="str">
        <f aca="false">IF(A1018="","",IF(OR(AND(K1018&lt;&gt;"",LOWER(K1018)&lt;&gt;"não consta"),AND(L1018&lt;&gt;"",LOWER(L1018)&lt;&gt;"não consta"),IFERROR(INDEX(Empresas!$G:$G,MATCH(A1018,Empresas!$A:$A,0))&amp;"","")&lt;&gt;""),"SIM",""))</f>
        <v/>
      </c>
      <c r="N1018" s="5"/>
      <c r="O1018" s="32" t="str">
        <f aca="false">IF(D1018="","",YEAR(D1018))</f>
        <v/>
      </c>
      <c r="P1018" s="5"/>
    </row>
    <row r="1019" customFormat="false" ht="15" hidden="false" customHeight="false" outlineLevel="0" collapsed="false">
      <c r="A1019" s="27"/>
      <c r="B1019" s="5"/>
      <c r="C1019" s="35"/>
      <c r="D1019" s="18"/>
      <c r="E1019" s="5"/>
      <c r="F1019" s="14"/>
      <c r="G1019" s="5"/>
      <c r="H1019" s="27"/>
      <c r="I1019" s="5"/>
      <c r="J1019" s="19" t="str">
        <f aca="false">IF(A1019="","",IFERROR(INDEX(Empresas!$D:$D,MATCH(A1019,Empresas!$A:$A,0))&amp;"","não consta"))</f>
        <v/>
      </c>
      <c r="K1019" s="19" t="str">
        <f aca="false">IF(A1019="","",IFERROR(INDEX(Sancoes!$B:$B,MATCH(A1019,Sancoes!$A:$A,0))&amp;"","não consta"))</f>
        <v/>
      </c>
      <c r="L1019" s="19" t="str">
        <f aca="false">IF(A1019="","",IFERROR(INDEX(Eleitoral!$B:$B,MATCH(A1019,Eleitoral!$A:$A,0))&amp;"","não consta"))</f>
        <v/>
      </c>
      <c r="M1019" s="28" t="str">
        <f aca="false">IF(A1019="","",IF(OR(AND(K1019&lt;&gt;"",LOWER(K1019)&lt;&gt;"não consta"),AND(L1019&lt;&gt;"",LOWER(L1019)&lt;&gt;"não consta"),IFERROR(INDEX(Empresas!$G:$G,MATCH(A1019,Empresas!$A:$A,0))&amp;"","")&lt;&gt;""),"SIM",""))</f>
        <v/>
      </c>
      <c r="N1019" s="5"/>
      <c r="O1019" s="32" t="str">
        <f aca="false">IF(D1019="","",YEAR(D1019))</f>
        <v/>
      </c>
      <c r="P1019" s="5"/>
    </row>
    <row r="1020" customFormat="false" ht="15" hidden="false" customHeight="false" outlineLevel="0" collapsed="false">
      <c r="A1020" s="27"/>
      <c r="B1020" s="5"/>
      <c r="C1020" s="35"/>
      <c r="D1020" s="18"/>
      <c r="E1020" s="5"/>
      <c r="F1020" s="14"/>
      <c r="G1020" s="5"/>
      <c r="H1020" s="27"/>
      <c r="I1020" s="5"/>
      <c r="J1020" s="19" t="str">
        <f aca="false">IF(A1020="","",IFERROR(INDEX(Empresas!$D:$D,MATCH(A1020,Empresas!$A:$A,0))&amp;"","não consta"))</f>
        <v/>
      </c>
      <c r="K1020" s="19" t="str">
        <f aca="false">IF(A1020="","",IFERROR(INDEX(Sancoes!$B:$B,MATCH(A1020,Sancoes!$A:$A,0))&amp;"","não consta"))</f>
        <v/>
      </c>
      <c r="L1020" s="19" t="str">
        <f aca="false">IF(A1020="","",IFERROR(INDEX(Eleitoral!$B:$B,MATCH(A1020,Eleitoral!$A:$A,0))&amp;"","não consta"))</f>
        <v/>
      </c>
      <c r="M1020" s="28" t="str">
        <f aca="false">IF(A1020="","",IF(OR(AND(K1020&lt;&gt;"",LOWER(K1020)&lt;&gt;"não consta"),AND(L1020&lt;&gt;"",LOWER(L1020)&lt;&gt;"não consta"),IFERROR(INDEX(Empresas!$G:$G,MATCH(A1020,Empresas!$A:$A,0))&amp;"","")&lt;&gt;""),"SIM",""))</f>
        <v/>
      </c>
      <c r="N1020" s="5"/>
      <c r="O1020" s="32" t="str">
        <f aca="false">IF(D1020="","",YEAR(D1020))</f>
        <v/>
      </c>
      <c r="P1020" s="5"/>
    </row>
    <row r="1021" customFormat="false" ht="15" hidden="false" customHeight="false" outlineLevel="0" collapsed="false">
      <c r="A1021" s="27"/>
      <c r="B1021" s="5"/>
      <c r="C1021" s="35"/>
      <c r="D1021" s="18"/>
      <c r="E1021" s="5"/>
      <c r="F1021" s="14"/>
      <c r="G1021" s="5"/>
      <c r="H1021" s="27"/>
      <c r="I1021" s="5"/>
      <c r="J1021" s="19" t="str">
        <f aca="false">IF(A1021="","",IFERROR(INDEX(Empresas!$D:$D,MATCH(A1021,Empresas!$A:$A,0))&amp;"","não consta"))</f>
        <v/>
      </c>
      <c r="K1021" s="19" t="str">
        <f aca="false">IF(A1021="","",IFERROR(INDEX(Sancoes!$B:$B,MATCH(A1021,Sancoes!$A:$A,0))&amp;"","não consta"))</f>
        <v/>
      </c>
      <c r="L1021" s="19" t="str">
        <f aca="false">IF(A1021="","",IFERROR(INDEX(Eleitoral!$B:$B,MATCH(A1021,Eleitoral!$A:$A,0))&amp;"","não consta"))</f>
        <v/>
      </c>
      <c r="M1021" s="28" t="str">
        <f aca="false">IF(A1021="","",IF(OR(AND(K1021&lt;&gt;"",LOWER(K1021)&lt;&gt;"não consta"),AND(L1021&lt;&gt;"",LOWER(L1021)&lt;&gt;"não consta"),IFERROR(INDEX(Empresas!$G:$G,MATCH(A1021,Empresas!$A:$A,0))&amp;"","")&lt;&gt;""),"SIM",""))</f>
        <v/>
      </c>
      <c r="N1021" s="5"/>
      <c r="O1021" s="32" t="str">
        <f aca="false">IF(D1021="","",YEAR(D1021))</f>
        <v/>
      </c>
      <c r="P1021" s="5"/>
    </row>
    <row r="1022" customFormat="false" ht="15" hidden="false" customHeight="false" outlineLevel="0" collapsed="false">
      <c r="A1022" s="27"/>
      <c r="B1022" s="5"/>
      <c r="C1022" s="35"/>
      <c r="D1022" s="18"/>
      <c r="E1022" s="5"/>
      <c r="F1022" s="14"/>
      <c r="G1022" s="5"/>
      <c r="H1022" s="27"/>
      <c r="I1022" s="5"/>
      <c r="J1022" s="19" t="str">
        <f aca="false">IF(A1022="","",IFERROR(INDEX(Empresas!$D:$D,MATCH(A1022,Empresas!$A:$A,0))&amp;"","não consta"))</f>
        <v/>
      </c>
      <c r="K1022" s="19" t="str">
        <f aca="false">IF(A1022="","",IFERROR(INDEX(Sancoes!$B:$B,MATCH(A1022,Sancoes!$A:$A,0))&amp;"","não consta"))</f>
        <v/>
      </c>
      <c r="L1022" s="19" t="str">
        <f aca="false">IF(A1022="","",IFERROR(INDEX(Eleitoral!$B:$B,MATCH(A1022,Eleitoral!$A:$A,0))&amp;"","não consta"))</f>
        <v/>
      </c>
      <c r="M1022" s="28" t="str">
        <f aca="false">IF(A1022="","",IF(OR(AND(K1022&lt;&gt;"",LOWER(K1022)&lt;&gt;"não consta"),AND(L1022&lt;&gt;"",LOWER(L1022)&lt;&gt;"não consta"),IFERROR(INDEX(Empresas!$G:$G,MATCH(A1022,Empresas!$A:$A,0))&amp;"","")&lt;&gt;""),"SIM",""))</f>
        <v/>
      </c>
      <c r="N1022" s="5"/>
      <c r="O1022" s="32" t="str">
        <f aca="false">IF(D1022="","",YEAR(D1022))</f>
        <v/>
      </c>
      <c r="P1022" s="5"/>
    </row>
    <row r="1023" customFormat="false" ht="15" hidden="false" customHeight="false" outlineLevel="0" collapsed="false">
      <c r="A1023" s="27"/>
      <c r="B1023" s="5"/>
      <c r="C1023" s="35"/>
      <c r="D1023" s="18"/>
      <c r="E1023" s="5"/>
      <c r="F1023" s="14"/>
      <c r="G1023" s="5"/>
      <c r="H1023" s="27"/>
      <c r="I1023" s="5"/>
      <c r="J1023" s="19" t="str">
        <f aca="false">IF(A1023="","",IFERROR(INDEX(Empresas!$D:$D,MATCH(A1023,Empresas!$A:$A,0))&amp;"","não consta"))</f>
        <v/>
      </c>
      <c r="K1023" s="19" t="str">
        <f aca="false">IF(A1023="","",IFERROR(INDEX(Sancoes!$B:$B,MATCH(A1023,Sancoes!$A:$A,0))&amp;"","não consta"))</f>
        <v/>
      </c>
      <c r="L1023" s="19" t="str">
        <f aca="false">IF(A1023="","",IFERROR(INDEX(Eleitoral!$B:$B,MATCH(A1023,Eleitoral!$A:$A,0))&amp;"","não consta"))</f>
        <v/>
      </c>
      <c r="M1023" s="28" t="str">
        <f aca="false">IF(A1023="","",IF(OR(AND(K1023&lt;&gt;"",LOWER(K1023)&lt;&gt;"não consta"),AND(L1023&lt;&gt;"",LOWER(L1023)&lt;&gt;"não consta"),IFERROR(INDEX(Empresas!$G:$G,MATCH(A1023,Empresas!$A:$A,0))&amp;"","")&lt;&gt;""),"SIM",""))</f>
        <v/>
      </c>
      <c r="N1023" s="5"/>
      <c r="O1023" s="32" t="str">
        <f aca="false">IF(D1023="","",YEAR(D1023))</f>
        <v/>
      </c>
      <c r="P1023" s="5"/>
    </row>
    <row r="1024" customFormat="false" ht="15" hidden="false" customHeight="false" outlineLevel="0" collapsed="false">
      <c r="A1024" s="27"/>
      <c r="B1024" s="5"/>
      <c r="C1024" s="35"/>
      <c r="D1024" s="18"/>
      <c r="E1024" s="5"/>
      <c r="F1024" s="14"/>
      <c r="G1024" s="5"/>
      <c r="H1024" s="27"/>
      <c r="I1024" s="5"/>
      <c r="J1024" s="19" t="str">
        <f aca="false">IF(A1024="","",IFERROR(INDEX(Empresas!$D:$D,MATCH(A1024,Empresas!$A:$A,0))&amp;"","não consta"))</f>
        <v/>
      </c>
      <c r="K1024" s="19" t="str">
        <f aca="false">IF(A1024="","",IFERROR(INDEX(Sancoes!$B:$B,MATCH(A1024,Sancoes!$A:$A,0))&amp;"","não consta"))</f>
        <v/>
      </c>
      <c r="L1024" s="19" t="str">
        <f aca="false">IF(A1024="","",IFERROR(INDEX(Eleitoral!$B:$B,MATCH(A1024,Eleitoral!$A:$A,0))&amp;"","não consta"))</f>
        <v/>
      </c>
      <c r="M1024" s="28" t="str">
        <f aca="false">IF(A1024="","",IF(OR(AND(K1024&lt;&gt;"",LOWER(K1024)&lt;&gt;"não consta"),AND(L1024&lt;&gt;"",LOWER(L1024)&lt;&gt;"não consta"),IFERROR(INDEX(Empresas!$G:$G,MATCH(A1024,Empresas!$A:$A,0))&amp;"","")&lt;&gt;""),"SIM",""))</f>
        <v/>
      </c>
      <c r="N1024" s="5"/>
      <c r="O1024" s="32" t="str">
        <f aca="false">IF(D1024="","",YEAR(D1024))</f>
        <v/>
      </c>
      <c r="P1024" s="5"/>
    </row>
    <row r="1025" customFormat="false" ht="15" hidden="false" customHeight="false" outlineLevel="0" collapsed="false">
      <c r="A1025" s="27"/>
      <c r="B1025" s="5"/>
      <c r="C1025" s="35"/>
      <c r="D1025" s="18"/>
      <c r="E1025" s="5"/>
      <c r="F1025" s="14"/>
      <c r="G1025" s="5"/>
      <c r="H1025" s="27"/>
      <c r="I1025" s="5"/>
      <c r="J1025" s="19" t="str">
        <f aca="false">IF(A1025="","",IFERROR(INDEX(Empresas!$D:$D,MATCH(A1025,Empresas!$A:$A,0))&amp;"","não consta"))</f>
        <v/>
      </c>
      <c r="K1025" s="19" t="str">
        <f aca="false">IF(A1025="","",IFERROR(INDEX(Sancoes!$B:$B,MATCH(A1025,Sancoes!$A:$A,0))&amp;"","não consta"))</f>
        <v/>
      </c>
      <c r="L1025" s="19" t="str">
        <f aca="false">IF(A1025="","",IFERROR(INDEX(Eleitoral!$B:$B,MATCH(A1025,Eleitoral!$A:$A,0))&amp;"","não consta"))</f>
        <v/>
      </c>
      <c r="M1025" s="28" t="str">
        <f aca="false">IF(A1025="","",IF(OR(AND(K1025&lt;&gt;"",LOWER(K1025)&lt;&gt;"não consta"),AND(L1025&lt;&gt;"",LOWER(L1025)&lt;&gt;"não consta"),IFERROR(INDEX(Empresas!$G:$G,MATCH(A1025,Empresas!$A:$A,0))&amp;"","")&lt;&gt;""),"SIM",""))</f>
        <v/>
      </c>
      <c r="N1025" s="5"/>
      <c r="O1025" s="32" t="str">
        <f aca="false">IF(D1025="","",YEAR(D1025))</f>
        <v/>
      </c>
      <c r="P1025" s="5"/>
    </row>
    <row r="1026" customFormat="false" ht="15" hidden="false" customHeight="false" outlineLevel="0" collapsed="false">
      <c r="A1026" s="27"/>
      <c r="B1026" s="5"/>
      <c r="C1026" s="35"/>
      <c r="D1026" s="18"/>
      <c r="E1026" s="5"/>
      <c r="F1026" s="14"/>
      <c r="G1026" s="5"/>
      <c r="H1026" s="27"/>
      <c r="I1026" s="5"/>
      <c r="J1026" s="19" t="str">
        <f aca="false">IF(A1026="","",IFERROR(INDEX(Empresas!$D:$D,MATCH(A1026,Empresas!$A:$A,0))&amp;"","não consta"))</f>
        <v/>
      </c>
      <c r="K1026" s="19" t="str">
        <f aca="false">IF(A1026="","",IFERROR(INDEX(Sancoes!$B:$B,MATCH(A1026,Sancoes!$A:$A,0))&amp;"","não consta"))</f>
        <v/>
      </c>
      <c r="L1026" s="19" t="str">
        <f aca="false">IF(A1026="","",IFERROR(INDEX(Eleitoral!$B:$B,MATCH(A1026,Eleitoral!$A:$A,0))&amp;"","não consta"))</f>
        <v/>
      </c>
      <c r="M1026" s="28" t="str">
        <f aca="false">IF(A1026="","",IF(OR(AND(K1026&lt;&gt;"",LOWER(K1026)&lt;&gt;"não consta"),AND(L1026&lt;&gt;"",LOWER(L1026)&lt;&gt;"não consta"),IFERROR(INDEX(Empresas!$G:$G,MATCH(A1026,Empresas!$A:$A,0))&amp;"","")&lt;&gt;""),"SIM",""))</f>
        <v/>
      </c>
      <c r="N1026" s="5"/>
      <c r="O1026" s="32" t="str">
        <f aca="false">IF(D1026="","",YEAR(D1026))</f>
        <v/>
      </c>
      <c r="P1026" s="5"/>
    </row>
    <row r="1027" customFormat="false" ht="15" hidden="false" customHeight="false" outlineLevel="0" collapsed="false">
      <c r="A1027" s="27"/>
      <c r="B1027" s="5"/>
      <c r="C1027" s="35"/>
      <c r="D1027" s="18"/>
      <c r="E1027" s="5"/>
      <c r="F1027" s="14"/>
      <c r="G1027" s="5"/>
      <c r="H1027" s="27"/>
      <c r="I1027" s="5"/>
      <c r="J1027" s="19" t="str">
        <f aca="false">IF(A1027="","",IFERROR(INDEX(Empresas!$D:$D,MATCH(A1027,Empresas!$A:$A,0))&amp;"","não consta"))</f>
        <v/>
      </c>
      <c r="K1027" s="19" t="str">
        <f aca="false">IF(A1027="","",IFERROR(INDEX(Sancoes!$B:$B,MATCH(A1027,Sancoes!$A:$A,0))&amp;"","não consta"))</f>
        <v/>
      </c>
      <c r="L1027" s="19" t="str">
        <f aca="false">IF(A1027="","",IFERROR(INDEX(Eleitoral!$B:$B,MATCH(A1027,Eleitoral!$A:$A,0))&amp;"","não consta"))</f>
        <v/>
      </c>
      <c r="M1027" s="28" t="str">
        <f aca="false">IF(A1027="","",IF(OR(AND(K1027&lt;&gt;"",LOWER(K1027)&lt;&gt;"não consta"),AND(L1027&lt;&gt;"",LOWER(L1027)&lt;&gt;"não consta"),IFERROR(INDEX(Empresas!$G:$G,MATCH(A1027,Empresas!$A:$A,0))&amp;"","")&lt;&gt;""),"SIM",""))</f>
        <v/>
      </c>
      <c r="N1027" s="5"/>
      <c r="O1027" s="32" t="str">
        <f aca="false">IF(D1027="","",YEAR(D1027))</f>
        <v/>
      </c>
      <c r="P1027" s="5"/>
    </row>
    <row r="1028" customFormat="false" ht="15" hidden="false" customHeight="false" outlineLevel="0" collapsed="false">
      <c r="A1028" s="27"/>
      <c r="B1028" s="5"/>
      <c r="C1028" s="35"/>
      <c r="D1028" s="18"/>
      <c r="E1028" s="5"/>
      <c r="F1028" s="14"/>
      <c r="G1028" s="5"/>
      <c r="H1028" s="27"/>
      <c r="I1028" s="5"/>
      <c r="J1028" s="19" t="str">
        <f aca="false">IF(A1028="","",IFERROR(INDEX(Empresas!$D:$D,MATCH(A1028,Empresas!$A:$A,0))&amp;"","não consta"))</f>
        <v/>
      </c>
      <c r="K1028" s="19" t="str">
        <f aca="false">IF(A1028="","",IFERROR(INDEX(Sancoes!$B:$B,MATCH(A1028,Sancoes!$A:$A,0))&amp;"","não consta"))</f>
        <v/>
      </c>
      <c r="L1028" s="19" t="str">
        <f aca="false">IF(A1028="","",IFERROR(INDEX(Eleitoral!$B:$B,MATCH(A1028,Eleitoral!$A:$A,0))&amp;"","não consta"))</f>
        <v/>
      </c>
      <c r="M1028" s="28" t="str">
        <f aca="false">IF(A1028="","",IF(OR(AND(K1028&lt;&gt;"",LOWER(K1028)&lt;&gt;"não consta"),AND(L1028&lt;&gt;"",LOWER(L1028)&lt;&gt;"não consta"),IFERROR(INDEX(Empresas!$G:$G,MATCH(A1028,Empresas!$A:$A,0))&amp;"","")&lt;&gt;""),"SIM",""))</f>
        <v/>
      </c>
      <c r="N1028" s="5"/>
      <c r="O1028" s="32" t="str">
        <f aca="false">IF(D1028="","",YEAR(D1028))</f>
        <v/>
      </c>
      <c r="P1028" s="5"/>
    </row>
    <row r="1029" customFormat="false" ht="15" hidden="false" customHeight="false" outlineLevel="0" collapsed="false">
      <c r="A1029" s="27"/>
      <c r="B1029" s="5"/>
      <c r="C1029" s="35"/>
      <c r="D1029" s="18"/>
      <c r="E1029" s="5"/>
      <c r="F1029" s="14"/>
      <c r="G1029" s="5"/>
      <c r="H1029" s="27"/>
      <c r="I1029" s="5"/>
      <c r="J1029" s="19" t="str">
        <f aca="false">IF(A1029="","",IFERROR(INDEX(Empresas!$D:$D,MATCH(A1029,Empresas!$A:$A,0))&amp;"","não consta"))</f>
        <v/>
      </c>
      <c r="K1029" s="19" t="str">
        <f aca="false">IF(A1029="","",IFERROR(INDEX(Sancoes!$B:$B,MATCH(A1029,Sancoes!$A:$A,0))&amp;"","não consta"))</f>
        <v/>
      </c>
      <c r="L1029" s="19" t="str">
        <f aca="false">IF(A1029="","",IFERROR(INDEX(Eleitoral!$B:$B,MATCH(A1029,Eleitoral!$A:$A,0))&amp;"","não consta"))</f>
        <v/>
      </c>
      <c r="M1029" s="28" t="str">
        <f aca="false">IF(A1029="","",IF(OR(AND(K1029&lt;&gt;"",LOWER(K1029)&lt;&gt;"não consta"),AND(L1029&lt;&gt;"",LOWER(L1029)&lt;&gt;"não consta"),IFERROR(INDEX(Empresas!$G:$G,MATCH(A1029,Empresas!$A:$A,0))&amp;"","")&lt;&gt;""),"SIM",""))</f>
        <v/>
      </c>
      <c r="N1029" s="5"/>
      <c r="O1029" s="32" t="str">
        <f aca="false">IF(D1029="","",YEAR(D1029))</f>
        <v/>
      </c>
      <c r="P1029" s="5"/>
    </row>
    <row r="1030" customFormat="false" ht="15" hidden="false" customHeight="false" outlineLevel="0" collapsed="false">
      <c r="A1030" s="27"/>
      <c r="B1030" s="5"/>
      <c r="C1030" s="35"/>
      <c r="D1030" s="18"/>
      <c r="E1030" s="5"/>
      <c r="F1030" s="14"/>
      <c r="G1030" s="5"/>
      <c r="H1030" s="27"/>
      <c r="I1030" s="5"/>
      <c r="J1030" s="19" t="str">
        <f aca="false">IF(A1030="","",IFERROR(INDEX(Empresas!$D:$D,MATCH(A1030,Empresas!$A:$A,0))&amp;"","não consta"))</f>
        <v/>
      </c>
      <c r="K1030" s="19" t="str">
        <f aca="false">IF(A1030="","",IFERROR(INDEX(Sancoes!$B:$B,MATCH(A1030,Sancoes!$A:$A,0))&amp;"","não consta"))</f>
        <v/>
      </c>
      <c r="L1030" s="19" t="str">
        <f aca="false">IF(A1030="","",IFERROR(INDEX(Eleitoral!$B:$B,MATCH(A1030,Eleitoral!$A:$A,0))&amp;"","não consta"))</f>
        <v/>
      </c>
      <c r="M1030" s="28" t="str">
        <f aca="false">IF(A1030="","",IF(OR(AND(K1030&lt;&gt;"",LOWER(K1030)&lt;&gt;"não consta"),AND(L1030&lt;&gt;"",LOWER(L1030)&lt;&gt;"não consta"),IFERROR(INDEX(Empresas!$G:$G,MATCH(A1030,Empresas!$A:$A,0))&amp;"","")&lt;&gt;""),"SIM",""))</f>
        <v/>
      </c>
      <c r="N1030" s="5"/>
      <c r="O1030" s="32" t="str">
        <f aca="false">IF(D1030="","",YEAR(D1030))</f>
        <v/>
      </c>
      <c r="P1030" s="5"/>
    </row>
    <row r="1031" customFormat="false" ht="15" hidden="false" customHeight="false" outlineLevel="0" collapsed="false">
      <c r="A1031" s="27"/>
      <c r="B1031" s="5"/>
      <c r="C1031" s="35"/>
      <c r="D1031" s="18"/>
      <c r="E1031" s="5"/>
      <c r="F1031" s="14"/>
      <c r="G1031" s="5"/>
      <c r="H1031" s="27"/>
      <c r="I1031" s="5"/>
      <c r="J1031" s="19" t="str">
        <f aca="false">IF(A1031="","",IFERROR(INDEX(Empresas!$D:$D,MATCH(A1031,Empresas!$A:$A,0))&amp;"","não consta"))</f>
        <v/>
      </c>
      <c r="K1031" s="19" t="str">
        <f aca="false">IF(A1031="","",IFERROR(INDEX(Sancoes!$B:$B,MATCH(A1031,Sancoes!$A:$A,0))&amp;"","não consta"))</f>
        <v/>
      </c>
      <c r="L1031" s="19" t="str">
        <f aca="false">IF(A1031="","",IFERROR(INDEX(Eleitoral!$B:$B,MATCH(A1031,Eleitoral!$A:$A,0))&amp;"","não consta"))</f>
        <v/>
      </c>
      <c r="M1031" s="28" t="str">
        <f aca="false">IF(A1031="","",IF(OR(AND(K1031&lt;&gt;"",LOWER(K1031)&lt;&gt;"não consta"),AND(L1031&lt;&gt;"",LOWER(L1031)&lt;&gt;"não consta"),IFERROR(INDEX(Empresas!$G:$G,MATCH(A1031,Empresas!$A:$A,0))&amp;"","")&lt;&gt;""),"SIM",""))</f>
        <v/>
      </c>
      <c r="N1031" s="5"/>
      <c r="O1031" s="32" t="str">
        <f aca="false">IF(D1031="","",YEAR(D1031))</f>
        <v/>
      </c>
      <c r="P1031" s="5"/>
    </row>
    <row r="1032" customFormat="false" ht="15" hidden="false" customHeight="false" outlineLevel="0" collapsed="false">
      <c r="A1032" s="27"/>
      <c r="B1032" s="5"/>
      <c r="C1032" s="35"/>
      <c r="D1032" s="18"/>
      <c r="E1032" s="5"/>
      <c r="F1032" s="14"/>
      <c r="G1032" s="5"/>
      <c r="H1032" s="27"/>
      <c r="I1032" s="5"/>
      <c r="J1032" s="19" t="str">
        <f aca="false">IF(A1032="","",IFERROR(INDEX(Empresas!$D:$D,MATCH(A1032,Empresas!$A:$A,0))&amp;"","não consta"))</f>
        <v/>
      </c>
      <c r="K1032" s="19" t="str">
        <f aca="false">IF(A1032="","",IFERROR(INDEX(Sancoes!$B:$B,MATCH(A1032,Sancoes!$A:$A,0))&amp;"","não consta"))</f>
        <v/>
      </c>
      <c r="L1032" s="19" t="str">
        <f aca="false">IF(A1032="","",IFERROR(INDEX(Eleitoral!$B:$B,MATCH(A1032,Eleitoral!$A:$A,0))&amp;"","não consta"))</f>
        <v/>
      </c>
      <c r="M1032" s="28" t="str">
        <f aca="false">IF(A1032="","",IF(OR(AND(K1032&lt;&gt;"",LOWER(K1032)&lt;&gt;"não consta"),AND(L1032&lt;&gt;"",LOWER(L1032)&lt;&gt;"não consta"),IFERROR(INDEX(Empresas!$G:$G,MATCH(A1032,Empresas!$A:$A,0))&amp;"","")&lt;&gt;""),"SIM",""))</f>
        <v/>
      </c>
      <c r="N1032" s="5"/>
      <c r="O1032" s="32" t="str">
        <f aca="false">IF(D1032="","",YEAR(D1032))</f>
        <v/>
      </c>
      <c r="P1032" s="5"/>
    </row>
    <row r="1033" customFormat="false" ht="15" hidden="false" customHeight="false" outlineLevel="0" collapsed="false">
      <c r="A1033" s="27"/>
      <c r="B1033" s="5"/>
      <c r="C1033" s="35"/>
      <c r="D1033" s="18"/>
      <c r="E1033" s="5"/>
      <c r="F1033" s="14"/>
      <c r="G1033" s="5"/>
      <c r="H1033" s="27"/>
      <c r="I1033" s="5"/>
      <c r="J1033" s="19" t="str">
        <f aca="false">IF(A1033="","",IFERROR(INDEX(Empresas!$D:$D,MATCH(A1033,Empresas!$A:$A,0))&amp;"","não consta"))</f>
        <v/>
      </c>
      <c r="K1033" s="19" t="str">
        <f aca="false">IF(A1033="","",IFERROR(INDEX(Sancoes!$B:$B,MATCH(A1033,Sancoes!$A:$A,0))&amp;"","não consta"))</f>
        <v/>
      </c>
      <c r="L1033" s="19" t="str">
        <f aca="false">IF(A1033="","",IFERROR(INDEX(Eleitoral!$B:$B,MATCH(A1033,Eleitoral!$A:$A,0))&amp;"","não consta"))</f>
        <v/>
      </c>
      <c r="M1033" s="28" t="str">
        <f aca="false">IF(A1033="","",IF(OR(AND(K1033&lt;&gt;"",LOWER(K1033)&lt;&gt;"não consta"),AND(L1033&lt;&gt;"",LOWER(L1033)&lt;&gt;"não consta"),IFERROR(INDEX(Empresas!$G:$G,MATCH(A1033,Empresas!$A:$A,0))&amp;"","")&lt;&gt;""),"SIM",""))</f>
        <v/>
      </c>
      <c r="N1033" s="5"/>
      <c r="O1033" s="32" t="str">
        <f aca="false">IF(D1033="","",YEAR(D1033))</f>
        <v/>
      </c>
      <c r="P1033" s="5"/>
    </row>
    <row r="1034" customFormat="false" ht="15" hidden="false" customHeight="false" outlineLevel="0" collapsed="false">
      <c r="A1034" s="27"/>
      <c r="B1034" s="5"/>
      <c r="C1034" s="35"/>
      <c r="D1034" s="18"/>
      <c r="E1034" s="5"/>
      <c r="F1034" s="14"/>
      <c r="G1034" s="5"/>
      <c r="H1034" s="27"/>
      <c r="I1034" s="5"/>
      <c r="J1034" s="19" t="str">
        <f aca="false">IF(A1034="","",IFERROR(INDEX(Empresas!$D:$D,MATCH(A1034,Empresas!$A:$A,0))&amp;"","não consta"))</f>
        <v/>
      </c>
      <c r="K1034" s="19" t="str">
        <f aca="false">IF(A1034="","",IFERROR(INDEX(Sancoes!$B:$B,MATCH(A1034,Sancoes!$A:$A,0))&amp;"","não consta"))</f>
        <v/>
      </c>
      <c r="L1034" s="19" t="str">
        <f aca="false">IF(A1034="","",IFERROR(INDEX(Eleitoral!$B:$B,MATCH(A1034,Eleitoral!$A:$A,0))&amp;"","não consta"))</f>
        <v/>
      </c>
      <c r="M1034" s="28" t="str">
        <f aca="false">IF(A1034="","",IF(OR(AND(K1034&lt;&gt;"",LOWER(K1034)&lt;&gt;"não consta"),AND(L1034&lt;&gt;"",LOWER(L1034)&lt;&gt;"não consta"),IFERROR(INDEX(Empresas!$G:$G,MATCH(A1034,Empresas!$A:$A,0))&amp;"","")&lt;&gt;""),"SIM",""))</f>
        <v/>
      </c>
      <c r="N1034" s="5"/>
      <c r="O1034" s="32" t="str">
        <f aca="false">IF(D1034="","",YEAR(D1034))</f>
        <v/>
      </c>
      <c r="P1034" s="5"/>
    </row>
    <row r="1035" customFormat="false" ht="15" hidden="false" customHeight="false" outlineLevel="0" collapsed="false">
      <c r="A1035" s="27"/>
      <c r="B1035" s="5"/>
      <c r="C1035" s="35"/>
      <c r="D1035" s="18"/>
      <c r="E1035" s="5"/>
      <c r="F1035" s="14"/>
      <c r="G1035" s="5"/>
      <c r="H1035" s="27"/>
      <c r="I1035" s="5"/>
      <c r="J1035" s="19" t="str">
        <f aca="false">IF(A1035="","",IFERROR(INDEX(Empresas!$D:$D,MATCH(A1035,Empresas!$A:$A,0))&amp;"","não consta"))</f>
        <v/>
      </c>
      <c r="K1035" s="19" t="str">
        <f aca="false">IF(A1035="","",IFERROR(INDEX(Sancoes!$B:$B,MATCH(A1035,Sancoes!$A:$A,0))&amp;"","não consta"))</f>
        <v/>
      </c>
      <c r="L1035" s="19" t="str">
        <f aca="false">IF(A1035="","",IFERROR(INDEX(Eleitoral!$B:$B,MATCH(A1035,Eleitoral!$A:$A,0))&amp;"","não consta"))</f>
        <v/>
      </c>
      <c r="M1035" s="28" t="str">
        <f aca="false">IF(A1035="","",IF(OR(AND(K1035&lt;&gt;"",LOWER(K1035)&lt;&gt;"não consta"),AND(L1035&lt;&gt;"",LOWER(L1035)&lt;&gt;"não consta"),IFERROR(INDEX(Empresas!$G:$G,MATCH(A1035,Empresas!$A:$A,0))&amp;"","")&lt;&gt;""),"SIM",""))</f>
        <v/>
      </c>
      <c r="N1035" s="5"/>
      <c r="O1035" s="32" t="str">
        <f aca="false">IF(D1035="","",YEAR(D1035))</f>
        <v/>
      </c>
      <c r="P1035" s="5"/>
    </row>
    <row r="1036" customFormat="false" ht="15" hidden="false" customHeight="false" outlineLevel="0" collapsed="false">
      <c r="A1036" s="27"/>
      <c r="B1036" s="5"/>
      <c r="C1036" s="35"/>
      <c r="D1036" s="18"/>
      <c r="E1036" s="5"/>
      <c r="F1036" s="14"/>
      <c r="G1036" s="5"/>
      <c r="H1036" s="27"/>
      <c r="I1036" s="5"/>
      <c r="J1036" s="19" t="str">
        <f aca="false">IF(A1036="","",IFERROR(INDEX(Empresas!$D:$D,MATCH(A1036,Empresas!$A:$A,0))&amp;"","não consta"))</f>
        <v/>
      </c>
      <c r="K1036" s="19" t="str">
        <f aca="false">IF(A1036="","",IFERROR(INDEX(Sancoes!$B:$B,MATCH(A1036,Sancoes!$A:$A,0))&amp;"","não consta"))</f>
        <v/>
      </c>
      <c r="L1036" s="19" t="str">
        <f aca="false">IF(A1036="","",IFERROR(INDEX(Eleitoral!$B:$B,MATCH(A1036,Eleitoral!$A:$A,0))&amp;"","não consta"))</f>
        <v/>
      </c>
      <c r="M1036" s="28" t="str">
        <f aca="false">IF(A1036="","",IF(OR(AND(K1036&lt;&gt;"",LOWER(K1036)&lt;&gt;"não consta"),AND(L1036&lt;&gt;"",LOWER(L1036)&lt;&gt;"não consta"),IFERROR(INDEX(Empresas!$G:$G,MATCH(A1036,Empresas!$A:$A,0))&amp;"","")&lt;&gt;""),"SIM",""))</f>
        <v/>
      </c>
      <c r="N1036" s="5"/>
      <c r="O1036" s="32" t="str">
        <f aca="false">IF(D1036="","",YEAR(D1036))</f>
        <v/>
      </c>
      <c r="P1036" s="5"/>
    </row>
    <row r="1037" customFormat="false" ht="15" hidden="false" customHeight="false" outlineLevel="0" collapsed="false">
      <c r="A1037" s="27"/>
      <c r="B1037" s="5"/>
      <c r="C1037" s="35"/>
      <c r="D1037" s="18"/>
      <c r="E1037" s="5"/>
      <c r="F1037" s="14"/>
      <c r="G1037" s="5"/>
      <c r="H1037" s="27"/>
      <c r="I1037" s="5"/>
      <c r="J1037" s="19" t="str">
        <f aca="false">IF(A1037="","",IFERROR(INDEX(Empresas!$D:$D,MATCH(A1037,Empresas!$A:$A,0))&amp;"","não consta"))</f>
        <v/>
      </c>
      <c r="K1037" s="19" t="str">
        <f aca="false">IF(A1037="","",IFERROR(INDEX(Sancoes!$B:$B,MATCH(A1037,Sancoes!$A:$A,0))&amp;"","não consta"))</f>
        <v/>
      </c>
      <c r="L1037" s="19" t="str">
        <f aca="false">IF(A1037="","",IFERROR(INDEX(Eleitoral!$B:$B,MATCH(A1037,Eleitoral!$A:$A,0))&amp;"","não consta"))</f>
        <v/>
      </c>
      <c r="M1037" s="28" t="str">
        <f aca="false">IF(A1037="","",IF(OR(AND(K1037&lt;&gt;"",LOWER(K1037)&lt;&gt;"não consta"),AND(L1037&lt;&gt;"",LOWER(L1037)&lt;&gt;"não consta"),IFERROR(INDEX(Empresas!$G:$G,MATCH(A1037,Empresas!$A:$A,0))&amp;"","")&lt;&gt;""),"SIM",""))</f>
        <v/>
      </c>
      <c r="N1037" s="5"/>
      <c r="O1037" s="32" t="str">
        <f aca="false">IF(D1037="","",YEAR(D1037))</f>
        <v/>
      </c>
      <c r="P1037" s="5"/>
    </row>
    <row r="1038" customFormat="false" ht="15" hidden="false" customHeight="false" outlineLevel="0" collapsed="false">
      <c r="A1038" s="27"/>
      <c r="B1038" s="5"/>
      <c r="C1038" s="35"/>
      <c r="D1038" s="18"/>
      <c r="E1038" s="5"/>
      <c r="F1038" s="14"/>
      <c r="G1038" s="5"/>
      <c r="H1038" s="27"/>
      <c r="I1038" s="5"/>
      <c r="J1038" s="19" t="str">
        <f aca="false">IF(A1038="","",IFERROR(INDEX(Empresas!$D:$D,MATCH(A1038,Empresas!$A:$A,0))&amp;"","não consta"))</f>
        <v/>
      </c>
      <c r="K1038" s="19" t="str">
        <f aca="false">IF(A1038="","",IFERROR(INDEX(Sancoes!$B:$B,MATCH(A1038,Sancoes!$A:$A,0))&amp;"","não consta"))</f>
        <v/>
      </c>
      <c r="L1038" s="19" t="str">
        <f aca="false">IF(A1038="","",IFERROR(INDEX(Eleitoral!$B:$B,MATCH(A1038,Eleitoral!$A:$A,0))&amp;"","não consta"))</f>
        <v/>
      </c>
      <c r="M1038" s="28" t="str">
        <f aca="false">IF(A1038="","",IF(OR(AND(K1038&lt;&gt;"",LOWER(K1038)&lt;&gt;"não consta"),AND(L1038&lt;&gt;"",LOWER(L1038)&lt;&gt;"não consta"),IFERROR(INDEX(Empresas!$G:$G,MATCH(A1038,Empresas!$A:$A,0))&amp;"","")&lt;&gt;""),"SIM",""))</f>
        <v/>
      </c>
      <c r="N1038" s="5"/>
      <c r="O1038" s="32" t="str">
        <f aca="false">IF(D1038="","",YEAR(D1038))</f>
        <v/>
      </c>
      <c r="P1038" s="5"/>
    </row>
    <row r="1039" customFormat="false" ht="15" hidden="false" customHeight="false" outlineLevel="0" collapsed="false">
      <c r="A1039" s="27"/>
      <c r="B1039" s="5"/>
      <c r="C1039" s="35"/>
      <c r="D1039" s="18"/>
      <c r="E1039" s="5"/>
      <c r="F1039" s="14"/>
      <c r="G1039" s="5"/>
      <c r="H1039" s="27"/>
      <c r="I1039" s="5"/>
      <c r="J1039" s="19" t="str">
        <f aca="false">IF(A1039="","",IFERROR(INDEX(Empresas!$D:$D,MATCH(A1039,Empresas!$A:$A,0))&amp;"","não consta"))</f>
        <v/>
      </c>
      <c r="K1039" s="19" t="str">
        <f aca="false">IF(A1039="","",IFERROR(INDEX(Sancoes!$B:$B,MATCH(A1039,Sancoes!$A:$A,0))&amp;"","não consta"))</f>
        <v/>
      </c>
      <c r="L1039" s="19" t="str">
        <f aca="false">IF(A1039="","",IFERROR(INDEX(Eleitoral!$B:$B,MATCH(A1039,Eleitoral!$A:$A,0))&amp;"","não consta"))</f>
        <v/>
      </c>
      <c r="M1039" s="28" t="str">
        <f aca="false">IF(A1039="","",IF(OR(AND(K1039&lt;&gt;"",LOWER(K1039)&lt;&gt;"não consta"),AND(L1039&lt;&gt;"",LOWER(L1039)&lt;&gt;"não consta"),IFERROR(INDEX(Empresas!$G:$G,MATCH(A1039,Empresas!$A:$A,0))&amp;"","")&lt;&gt;""),"SIM",""))</f>
        <v/>
      </c>
      <c r="N1039" s="5"/>
      <c r="O1039" s="32" t="str">
        <f aca="false">IF(D1039="","",YEAR(D1039))</f>
        <v/>
      </c>
      <c r="P1039" s="5"/>
    </row>
    <row r="1040" customFormat="false" ht="15" hidden="false" customHeight="false" outlineLevel="0" collapsed="false">
      <c r="A1040" s="27"/>
      <c r="B1040" s="5"/>
      <c r="C1040" s="35"/>
      <c r="D1040" s="18"/>
      <c r="E1040" s="5"/>
      <c r="F1040" s="14"/>
      <c r="G1040" s="5"/>
      <c r="H1040" s="27"/>
      <c r="I1040" s="5"/>
      <c r="J1040" s="19" t="str">
        <f aca="false">IF(A1040="","",IFERROR(INDEX(Empresas!$D:$D,MATCH(A1040,Empresas!$A:$A,0))&amp;"","não consta"))</f>
        <v/>
      </c>
      <c r="K1040" s="19" t="str">
        <f aca="false">IF(A1040="","",IFERROR(INDEX(Sancoes!$B:$B,MATCH(A1040,Sancoes!$A:$A,0))&amp;"","não consta"))</f>
        <v/>
      </c>
      <c r="L1040" s="19" t="str">
        <f aca="false">IF(A1040="","",IFERROR(INDEX(Eleitoral!$B:$B,MATCH(A1040,Eleitoral!$A:$A,0))&amp;"","não consta"))</f>
        <v/>
      </c>
      <c r="M1040" s="28" t="str">
        <f aca="false">IF(A1040="","",IF(OR(AND(K1040&lt;&gt;"",LOWER(K1040)&lt;&gt;"não consta"),AND(L1040&lt;&gt;"",LOWER(L1040)&lt;&gt;"não consta"),IFERROR(INDEX(Empresas!$G:$G,MATCH(A1040,Empresas!$A:$A,0))&amp;"","")&lt;&gt;""),"SIM",""))</f>
        <v/>
      </c>
      <c r="N1040" s="5"/>
      <c r="O1040" s="32" t="str">
        <f aca="false">IF(D1040="","",YEAR(D1040))</f>
        <v/>
      </c>
      <c r="P1040" s="5"/>
    </row>
    <row r="1041" customFormat="false" ht="15" hidden="false" customHeight="false" outlineLevel="0" collapsed="false">
      <c r="A1041" s="27"/>
      <c r="B1041" s="5"/>
      <c r="C1041" s="35"/>
      <c r="D1041" s="18"/>
      <c r="E1041" s="5"/>
      <c r="F1041" s="14"/>
      <c r="G1041" s="5"/>
      <c r="H1041" s="27"/>
      <c r="I1041" s="5"/>
      <c r="J1041" s="19" t="str">
        <f aca="false">IF(A1041="","",IFERROR(INDEX(Empresas!$D:$D,MATCH(A1041,Empresas!$A:$A,0))&amp;"","não consta"))</f>
        <v/>
      </c>
      <c r="K1041" s="19" t="str">
        <f aca="false">IF(A1041="","",IFERROR(INDEX(Sancoes!$B:$B,MATCH(A1041,Sancoes!$A:$A,0))&amp;"","não consta"))</f>
        <v/>
      </c>
      <c r="L1041" s="19" t="str">
        <f aca="false">IF(A1041="","",IFERROR(INDEX(Eleitoral!$B:$B,MATCH(A1041,Eleitoral!$A:$A,0))&amp;"","não consta"))</f>
        <v/>
      </c>
      <c r="M1041" s="28" t="str">
        <f aca="false">IF(A1041="","",IF(OR(AND(K1041&lt;&gt;"",LOWER(K1041)&lt;&gt;"não consta"),AND(L1041&lt;&gt;"",LOWER(L1041)&lt;&gt;"não consta"),IFERROR(INDEX(Empresas!$G:$G,MATCH(A1041,Empresas!$A:$A,0))&amp;"","")&lt;&gt;""),"SIM",""))</f>
        <v/>
      </c>
      <c r="N1041" s="5"/>
      <c r="O1041" s="32" t="str">
        <f aca="false">IF(D1041="","",YEAR(D1041))</f>
        <v/>
      </c>
      <c r="P1041" s="5"/>
    </row>
    <row r="1042" customFormat="false" ht="15" hidden="false" customHeight="false" outlineLevel="0" collapsed="false">
      <c r="A1042" s="27"/>
      <c r="B1042" s="5"/>
      <c r="C1042" s="35"/>
      <c r="D1042" s="18"/>
      <c r="E1042" s="5"/>
      <c r="F1042" s="14"/>
      <c r="G1042" s="5"/>
      <c r="H1042" s="27"/>
      <c r="I1042" s="5"/>
      <c r="J1042" s="19" t="str">
        <f aca="false">IF(A1042="","",IFERROR(INDEX(Empresas!$D:$D,MATCH(A1042,Empresas!$A:$A,0))&amp;"","não consta"))</f>
        <v/>
      </c>
      <c r="K1042" s="19" t="str">
        <f aca="false">IF(A1042="","",IFERROR(INDEX(Sancoes!$B:$B,MATCH(A1042,Sancoes!$A:$A,0))&amp;"","não consta"))</f>
        <v/>
      </c>
      <c r="L1042" s="19" t="str">
        <f aca="false">IF(A1042="","",IFERROR(INDEX(Eleitoral!$B:$B,MATCH(A1042,Eleitoral!$A:$A,0))&amp;"","não consta"))</f>
        <v/>
      </c>
      <c r="M1042" s="28" t="str">
        <f aca="false">IF(A1042="","",IF(OR(AND(K1042&lt;&gt;"",LOWER(K1042)&lt;&gt;"não consta"),AND(L1042&lt;&gt;"",LOWER(L1042)&lt;&gt;"não consta"),IFERROR(INDEX(Empresas!$G:$G,MATCH(A1042,Empresas!$A:$A,0))&amp;"","")&lt;&gt;""),"SIM",""))</f>
        <v/>
      </c>
      <c r="N1042" s="5"/>
      <c r="O1042" s="32" t="str">
        <f aca="false">IF(D1042="","",YEAR(D1042))</f>
        <v/>
      </c>
      <c r="P1042" s="5"/>
    </row>
    <row r="1043" customFormat="false" ht="15" hidden="false" customHeight="false" outlineLevel="0" collapsed="false">
      <c r="A1043" s="27"/>
      <c r="B1043" s="5"/>
      <c r="C1043" s="35"/>
      <c r="D1043" s="18"/>
      <c r="E1043" s="5"/>
      <c r="F1043" s="14"/>
      <c r="G1043" s="5"/>
      <c r="H1043" s="27"/>
      <c r="I1043" s="5"/>
      <c r="J1043" s="19" t="str">
        <f aca="false">IF(A1043="","",IFERROR(INDEX(Empresas!$D:$D,MATCH(A1043,Empresas!$A:$A,0))&amp;"","não consta"))</f>
        <v/>
      </c>
      <c r="K1043" s="19" t="str">
        <f aca="false">IF(A1043="","",IFERROR(INDEX(Sancoes!$B:$B,MATCH(A1043,Sancoes!$A:$A,0))&amp;"","não consta"))</f>
        <v/>
      </c>
      <c r="L1043" s="19" t="str">
        <f aca="false">IF(A1043="","",IFERROR(INDEX(Eleitoral!$B:$B,MATCH(A1043,Eleitoral!$A:$A,0))&amp;"","não consta"))</f>
        <v/>
      </c>
      <c r="M1043" s="28" t="str">
        <f aca="false">IF(A1043="","",IF(OR(AND(K1043&lt;&gt;"",LOWER(K1043)&lt;&gt;"não consta"),AND(L1043&lt;&gt;"",LOWER(L1043)&lt;&gt;"não consta"),IFERROR(INDEX(Empresas!$G:$G,MATCH(A1043,Empresas!$A:$A,0))&amp;"","")&lt;&gt;""),"SIM",""))</f>
        <v/>
      </c>
      <c r="N1043" s="5"/>
      <c r="O1043" s="32" t="str">
        <f aca="false">IF(D1043="","",YEAR(D1043))</f>
        <v/>
      </c>
      <c r="P1043" s="5"/>
    </row>
    <row r="1044" customFormat="false" ht="15" hidden="false" customHeight="false" outlineLevel="0" collapsed="false">
      <c r="A1044" s="27"/>
      <c r="B1044" s="5"/>
      <c r="C1044" s="35"/>
      <c r="D1044" s="18"/>
      <c r="E1044" s="5"/>
      <c r="F1044" s="14"/>
      <c r="G1044" s="5"/>
      <c r="H1044" s="27"/>
      <c r="I1044" s="5"/>
      <c r="J1044" s="19" t="str">
        <f aca="false">IF(A1044="","",IFERROR(INDEX(Empresas!$D:$D,MATCH(A1044,Empresas!$A:$A,0))&amp;"","não consta"))</f>
        <v/>
      </c>
      <c r="K1044" s="19" t="str">
        <f aca="false">IF(A1044="","",IFERROR(INDEX(Sancoes!$B:$B,MATCH(A1044,Sancoes!$A:$A,0))&amp;"","não consta"))</f>
        <v/>
      </c>
      <c r="L1044" s="19" t="str">
        <f aca="false">IF(A1044="","",IFERROR(INDEX(Eleitoral!$B:$B,MATCH(A1044,Eleitoral!$A:$A,0))&amp;"","não consta"))</f>
        <v/>
      </c>
      <c r="M1044" s="28" t="str">
        <f aca="false">IF(A1044="","",IF(OR(AND(K1044&lt;&gt;"",LOWER(K1044)&lt;&gt;"não consta"),AND(L1044&lt;&gt;"",LOWER(L1044)&lt;&gt;"não consta"),IFERROR(INDEX(Empresas!$G:$G,MATCH(A1044,Empresas!$A:$A,0))&amp;"","")&lt;&gt;""),"SIM",""))</f>
        <v/>
      </c>
      <c r="N1044" s="5"/>
      <c r="O1044" s="32" t="str">
        <f aca="false">IF(D1044="","",YEAR(D1044))</f>
        <v/>
      </c>
      <c r="P1044" s="5"/>
    </row>
    <row r="1045" customFormat="false" ht="15" hidden="false" customHeight="false" outlineLevel="0" collapsed="false">
      <c r="A1045" s="27"/>
      <c r="B1045" s="5"/>
      <c r="C1045" s="35"/>
      <c r="D1045" s="18"/>
      <c r="E1045" s="5"/>
      <c r="F1045" s="14"/>
      <c r="G1045" s="5"/>
      <c r="H1045" s="27"/>
      <c r="I1045" s="5"/>
      <c r="J1045" s="19" t="str">
        <f aca="false">IF(A1045="","",IFERROR(INDEX(Empresas!$D:$D,MATCH(A1045,Empresas!$A:$A,0))&amp;"","não consta"))</f>
        <v/>
      </c>
      <c r="K1045" s="19" t="str">
        <f aca="false">IF(A1045="","",IFERROR(INDEX(Sancoes!$B:$B,MATCH(A1045,Sancoes!$A:$A,0))&amp;"","não consta"))</f>
        <v/>
      </c>
      <c r="L1045" s="19" t="str">
        <f aca="false">IF(A1045="","",IFERROR(INDEX(Eleitoral!$B:$B,MATCH(A1045,Eleitoral!$A:$A,0))&amp;"","não consta"))</f>
        <v/>
      </c>
      <c r="M1045" s="28" t="str">
        <f aca="false">IF(A1045="","",IF(OR(AND(K1045&lt;&gt;"",LOWER(K1045)&lt;&gt;"não consta"),AND(L1045&lt;&gt;"",LOWER(L1045)&lt;&gt;"não consta"),IFERROR(INDEX(Empresas!$G:$G,MATCH(A1045,Empresas!$A:$A,0))&amp;"","")&lt;&gt;""),"SIM",""))</f>
        <v/>
      </c>
      <c r="N1045" s="5"/>
      <c r="O1045" s="32" t="str">
        <f aca="false">IF(D1045="","",YEAR(D1045))</f>
        <v/>
      </c>
      <c r="P1045" s="5"/>
    </row>
    <row r="1046" customFormat="false" ht="15" hidden="false" customHeight="false" outlineLevel="0" collapsed="false">
      <c r="A1046" s="27"/>
      <c r="B1046" s="5"/>
      <c r="C1046" s="35"/>
      <c r="D1046" s="18"/>
      <c r="E1046" s="5"/>
      <c r="F1046" s="14"/>
      <c r="G1046" s="5"/>
      <c r="H1046" s="27"/>
      <c r="I1046" s="5"/>
      <c r="J1046" s="19" t="str">
        <f aca="false">IF(A1046="","",IFERROR(INDEX(Empresas!$D:$D,MATCH(A1046,Empresas!$A:$A,0))&amp;"","não consta"))</f>
        <v/>
      </c>
      <c r="K1046" s="19" t="str">
        <f aca="false">IF(A1046="","",IFERROR(INDEX(Sancoes!$B:$B,MATCH(A1046,Sancoes!$A:$A,0))&amp;"","não consta"))</f>
        <v/>
      </c>
      <c r="L1046" s="19" t="str">
        <f aca="false">IF(A1046="","",IFERROR(INDEX(Eleitoral!$B:$B,MATCH(A1046,Eleitoral!$A:$A,0))&amp;"","não consta"))</f>
        <v/>
      </c>
      <c r="M1046" s="28" t="str">
        <f aca="false">IF(A1046="","",IF(OR(AND(K1046&lt;&gt;"",LOWER(K1046)&lt;&gt;"não consta"),AND(L1046&lt;&gt;"",LOWER(L1046)&lt;&gt;"não consta"),IFERROR(INDEX(Empresas!$G:$G,MATCH(A1046,Empresas!$A:$A,0))&amp;"","")&lt;&gt;""),"SIM",""))</f>
        <v/>
      </c>
      <c r="N1046" s="5"/>
      <c r="O1046" s="32" t="str">
        <f aca="false">IF(D1046="","",YEAR(D1046))</f>
        <v/>
      </c>
      <c r="P1046" s="5"/>
    </row>
    <row r="1047" customFormat="false" ht="15" hidden="false" customHeight="false" outlineLevel="0" collapsed="false">
      <c r="A1047" s="27"/>
      <c r="B1047" s="5"/>
      <c r="C1047" s="35"/>
      <c r="D1047" s="18"/>
      <c r="E1047" s="5"/>
      <c r="F1047" s="14"/>
      <c r="G1047" s="5"/>
      <c r="H1047" s="27"/>
      <c r="I1047" s="5"/>
      <c r="J1047" s="19" t="str">
        <f aca="false">IF(A1047="","",IFERROR(INDEX(Empresas!$D:$D,MATCH(A1047,Empresas!$A:$A,0))&amp;"","não consta"))</f>
        <v/>
      </c>
      <c r="K1047" s="19" t="str">
        <f aca="false">IF(A1047="","",IFERROR(INDEX(Sancoes!$B:$B,MATCH(A1047,Sancoes!$A:$A,0))&amp;"","não consta"))</f>
        <v/>
      </c>
      <c r="L1047" s="19" t="str">
        <f aca="false">IF(A1047="","",IFERROR(INDEX(Eleitoral!$B:$B,MATCH(A1047,Eleitoral!$A:$A,0))&amp;"","não consta"))</f>
        <v/>
      </c>
      <c r="M1047" s="28" t="str">
        <f aca="false">IF(A1047="","",IF(OR(AND(K1047&lt;&gt;"",LOWER(K1047)&lt;&gt;"não consta"),AND(L1047&lt;&gt;"",LOWER(L1047)&lt;&gt;"não consta"),IFERROR(INDEX(Empresas!$G:$G,MATCH(A1047,Empresas!$A:$A,0))&amp;"","")&lt;&gt;""),"SIM",""))</f>
        <v/>
      </c>
      <c r="N1047" s="5"/>
      <c r="O1047" s="32" t="str">
        <f aca="false">IF(D1047="","",YEAR(D1047))</f>
        <v/>
      </c>
      <c r="P1047" s="5"/>
    </row>
    <row r="1048" customFormat="false" ht="15" hidden="false" customHeight="false" outlineLevel="0" collapsed="false">
      <c r="A1048" s="27"/>
      <c r="B1048" s="5"/>
      <c r="C1048" s="35"/>
      <c r="D1048" s="18"/>
      <c r="E1048" s="5"/>
      <c r="F1048" s="14"/>
      <c r="G1048" s="5"/>
      <c r="H1048" s="27"/>
      <c r="I1048" s="5"/>
      <c r="J1048" s="19" t="str">
        <f aca="false">IF(A1048="","",IFERROR(INDEX(Empresas!$D:$D,MATCH(A1048,Empresas!$A:$A,0))&amp;"","não consta"))</f>
        <v/>
      </c>
      <c r="K1048" s="19" t="str">
        <f aca="false">IF(A1048="","",IFERROR(INDEX(Sancoes!$B:$B,MATCH(A1048,Sancoes!$A:$A,0))&amp;"","não consta"))</f>
        <v/>
      </c>
      <c r="L1048" s="19" t="str">
        <f aca="false">IF(A1048="","",IFERROR(INDEX(Eleitoral!$B:$B,MATCH(A1048,Eleitoral!$A:$A,0))&amp;"","não consta"))</f>
        <v/>
      </c>
      <c r="M1048" s="28" t="str">
        <f aca="false">IF(A1048="","",IF(OR(AND(K1048&lt;&gt;"",LOWER(K1048)&lt;&gt;"não consta"),AND(L1048&lt;&gt;"",LOWER(L1048)&lt;&gt;"não consta"),IFERROR(INDEX(Empresas!$G:$G,MATCH(A1048,Empresas!$A:$A,0))&amp;"","")&lt;&gt;""),"SIM",""))</f>
        <v/>
      </c>
      <c r="N1048" s="5"/>
      <c r="O1048" s="32" t="str">
        <f aca="false">IF(D1048="","",YEAR(D1048))</f>
        <v/>
      </c>
      <c r="P1048" s="5"/>
    </row>
    <row r="1049" customFormat="false" ht="15" hidden="false" customHeight="false" outlineLevel="0" collapsed="false">
      <c r="A1049" s="27"/>
      <c r="B1049" s="5"/>
      <c r="C1049" s="35"/>
      <c r="D1049" s="18"/>
      <c r="E1049" s="5"/>
      <c r="F1049" s="14"/>
      <c r="G1049" s="5"/>
      <c r="H1049" s="27"/>
      <c r="I1049" s="5"/>
      <c r="J1049" s="19" t="str">
        <f aca="false">IF(A1049="","",IFERROR(INDEX(Empresas!$D:$D,MATCH(A1049,Empresas!$A:$A,0))&amp;"","não consta"))</f>
        <v/>
      </c>
      <c r="K1049" s="19" t="str">
        <f aca="false">IF(A1049="","",IFERROR(INDEX(Sancoes!$B:$B,MATCH(A1049,Sancoes!$A:$A,0))&amp;"","não consta"))</f>
        <v/>
      </c>
      <c r="L1049" s="19" t="str">
        <f aca="false">IF(A1049="","",IFERROR(INDEX(Eleitoral!$B:$B,MATCH(A1049,Eleitoral!$A:$A,0))&amp;"","não consta"))</f>
        <v/>
      </c>
      <c r="M1049" s="28" t="str">
        <f aca="false">IF(A1049="","",IF(OR(AND(K1049&lt;&gt;"",LOWER(K1049)&lt;&gt;"não consta"),AND(L1049&lt;&gt;"",LOWER(L1049)&lt;&gt;"não consta"),IFERROR(INDEX(Empresas!$G:$G,MATCH(A1049,Empresas!$A:$A,0))&amp;"","")&lt;&gt;""),"SIM",""))</f>
        <v/>
      </c>
      <c r="N1049" s="5"/>
      <c r="O1049" s="32" t="str">
        <f aca="false">IF(D1049="","",YEAR(D1049))</f>
        <v/>
      </c>
      <c r="P1049" s="5"/>
    </row>
    <row r="1050" customFormat="false" ht="15" hidden="false" customHeight="false" outlineLevel="0" collapsed="false">
      <c r="A1050" s="27"/>
      <c r="B1050" s="5"/>
      <c r="C1050" s="35"/>
      <c r="D1050" s="18"/>
      <c r="E1050" s="5"/>
      <c r="F1050" s="14"/>
      <c r="G1050" s="5"/>
      <c r="H1050" s="27"/>
      <c r="I1050" s="5"/>
      <c r="J1050" s="19" t="str">
        <f aca="false">IF(A1050="","",IFERROR(INDEX(Empresas!$D:$D,MATCH(A1050,Empresas!$A:$A,0))&amp;"","não consta"))</f>
        <v/>
      </c>
      <c r="K1050" s="19" t="str">
        <f aca="false">IF(A1050="","",IFERROR(INDEX(Sancoes!$B:$B,MATCH(A1050,Sancoes!$A:$A,0))&amp;"","não consta"))</f>
        <v/>
      </c>
      <c r="L1050" s="19" t="str">
        <f aca="false">IF(A1050="","",IFERROR(INDEX(Eleitoral!$B:$B,MATCH(A1050,Eleitoral!$A:$A,0))&amp;"","não consta"))</f>
        <v/>
      </c>
      <c r="M1050" s="28" t="str">
        <f aca="false">IF(A1050="","",IF(OR(AND(K1050&lt;&gt;"",LOWER(K1050)&lt;&gt;"não consta"),AND(L1050&lt;&gt;"",LOWER(L1050)&lt;&gt;"não consta"),IFERROR(INDEX(Empresas!$G:$G,MATCH(A1050,Empresas!$A:$A,0))&amp;"","")&lt;&gt;""),"SIM",""))</f>
        <v/>
      </c>
      <c r="N1050" s="5"/>
      <c r="O1050" s="32" t="str">
        <f aca="false">IF(D1050="","",YEAR(D1050))</f>
        <v/>
      </c>
      <c r="P1050" s="5"/>
    </row>
    <row r="1051" customFormat="false" ht="15" hidden="false" customHeight="false" outlineLevel="0" collapsed="false">
      <c r="A1051" s="27"/>
      <c r="B1051" s="5"/>
      <c r="C1051" s="35"/>
      <c r="D1051" s="18"/>
      <c r="E1051" s="5"/>
      <c r="F1051" s="14"/>
      <c r="G1051" s="5"/>
      <c r="H1051" s="27"/>
      <c r="I1051" s="5"/>
      <c r="J1051" s="19" t="str">
        <f aca="false">IF(A1051="","",IFERROR(INDEX(Empresas!$D:$D,MATCH(A1051,Empresas!$A:$A,0))&amp;"","não consta"))</f>
        <v/>
      </c>
      <c r="K1051" s="19" t="str">
        <f aca="false">IF(A1051="","",IFERROR(INDEX(Sancoes!$B:$B,MATCH(A1051,Sancoes!$A:$A,0))&amp;"","não consta"))</f>
        <v/>
      </c>
      <c r="L1051" s="19" t="str">
        <f aca="false">IF(A1051="","",IFERROR(INDEX(Eleitoral!$B:$B,MATCH(A1051,Eleitoral!$A:$A,0))&amp;"","não consta"))</f>
        <v/>
      </c>
      <c r="M1051" s="28" t="str">
        <f aca="false">IF(A1051="","",IF(OR(AND(K1051&lt;&gt;"",LOWER(K1051)&lt;&gt;"não consta"),AND(L1051&lt;&gt;"",LOWER(L1051)&lt;&gt;"não consta"),IFERROR(INDEX(Empresas!$G:$G,MATCH(A1051,Empresas!$A:$A,0))&amp;"","")&lt;&gt;""),"SIM",""))</f>
        <v/>
      </c>
      <c r="N1051" s="5"/>
      <c r="O1051" s="32" t="str">
        <f aca="false">IF(D1051="","",YEAR(D1051))</f>
        <v/>
      </c>
      <c r="P1051" s="5"/>
    </row>
    <row r="1052" customFormat="false" ht="15" hidden="false" customHeight="false" outlineLevel="0" collapsed="false">
      <c r="A1052" s="27"/>
      <c r="B1052" s="5"/>
      <c r="C1052" s="35"/>
      <c r="D1052" s="18"/>
      <c r="E1052" s="5"/>
      <c r="F1052" s="14"/>
      <c r="G1052" s="5"/>
      <c r="H1052" s="27"/>
      <c r="I1052" s="5"/>
      <c r="J1052" s="19" t="str">
        <f aca="false">IF(A1052="","",IFERROR(INDEX(Empresas!$D:$D,MATCH(A1052,Empresas!$A:$A,0))&amp;"","não consta"))</f>
        <v/>
      </c>
      <c r="K1052" s="19" t="str">
        <f aca="false">IF(A1052="","",IFERROR(INDEX(Sancoes!$B:$B,MATCH(A1052,Sancoes!$A:$A,0))&amp;"","não consta"))</f>
        <v/>
      </c>
      <c r="L1052" s="19" t="str">
        <f aca="false">IF(A1052="","",IFERROR(INDEX(Eleitoral!$B:$B,MATCH(A1052,Eleitoral!$A:$A,0))&amp;"","não consta"))</f>
        <v/>
      </c>
      <c r="M1052" s="28" t="str">
        <f aca="false">IF(A1052="","",IF(OR(AND(K1052&lt;&gt;"",LOWER(K1052)&lt;&gt;"não consta"),AND(L1052&lt;&gt;"",LOWER(L1052)&lt;&gt;"não consta"),IFERROR(INDEX(Empresas!$G:$G,MATCH(A1052,Empresas!$A:$A,0))&amp;"","")&lt;&gt;""),"SIM",""))</f>
        <v/>
      </c>
      <c r="N1052" s="5"/>
      <c r="O1052" s="32" t="str">
        <f aca="false">IF(D1052="","",YEAR(D1052))</f>
        <v/>
      </c>
      <c r="P1052" s="5"/>
    </row>
    <row r="1053" customFormat="false" ht="15" hidden="false" customHeight="false" outlineLevel="0" collapsed="false">
      <c r="A1053" s="27"/>
      <c r="B1053" s="5"/>
      <c r="C1053" s="35"/>
      <c r="D1053" s="18"/>
      <c r="E1053" s="5"/>
      <c r="F1053" s="14"/>
      <c r="G1053" s="5"/>
      <c r="H1053" s="27"/>
      <c r="I1053" s="5"/>
      <c r="J1053" s="19" t="str">
        <f aca="false">IF(A1053="","",IFERROR(INDEX(Empresas!$D:$D,MATCH(A1053,Empresas!$A:$A,0))&amp;"","não consta"))</f>
        <v/>
      </c>
      <c r="K1053" s="19" t="str">
        <f aca="false">IF(A1053="","",IFERROR(INDEX(Sancoes!$B:$B,MATCH(A1053,Sancoes!$A:$A,0))&amp;"","não consta"))</f>
        <v/>
      </c>
      <c r="L1053" s="19" t="str">
        <f aca="false">IF(A1053="","",IFERROR(INDEX(Eleitoral!$B:$B,MATCH(A1053,Eleitoral!$A:$A,0))&amp;"","não consta"))</f>
        <v/>
      </c>
      <c r="M1053" s="28" t="str">
        <f aca="false">IF(A1053="","",IF(OR(AND(K1053&lt;&gt;"",LOWER(K1053)&lt;&gt;"não consta"),AND(L1053&lt;&gt;"",LOWER(L1053)&lt;&gt;"não consta"),IFERROR(INDEX(Empresas!$G:$G,MATCH(A1053,Empresas!$A:$A,0))&amp;"","")&lt;&gt;""),"SIM",""))</f>
        <v/>
      </c>
      <c r="N1053" s="5"/>
      <c r="O1053" s="32" t="str">
        <f aca="false">IF(D1053="","",YEAR(D1053))</f>
        <v/>
      </c>
      <c r="P1053" s="5"/>
    </row>
    <row r="1054" customFormat="false" ht="15" hidden="false" customHeight="false" outlineLevel="0" collapsed="false">
      <c r="A1054" s="27"/>
      <c r="B1054" s="5"/>
      <c r="C1054" s="35"/>
      <c r="D1054" s="18"/>
      <c r="E1054" s="5"/>
      <c r="F1054" s="14"/>
      <c r="G1054" s="5"/>
      <c r="H1054" s="27"/>
      <c r="I1054" s="5"/>
      <c r="J1054" s="19" t="str">
        <f aca="false">IF(A1054="","",IFERROR(INDEX(Empresas!$D:$D,MATCH(A1054,Empresas!$A:$A,0))&amp;"","não consta"))</f>
        <v/>
      </c>
      <c r="K1054" s="19" t="str">
        <f aca="false">IF(A1054="","",IFERROR(INDEX(Sancoes!$B:$B,MATCH(A1054,Sancoes!$A:$A,0))&amp;"","não consta"))</f>
        <v/>
      </c>
      <c r="L1054" s="19" t="str">
        <f aca="false">IF(A1054="","",IFERROR(INDEX(Eleitoral!$B:$B,MATCH(A1054,Eleitoral!$A:$A,0))&amp;"","não consta"))</f>
        <v/>
      </c>
      <c r="M1054" s="28" t="str">
        <f aca="false">IF(A1054="","",IF(OR(AND(K1054&lt;&gt;"",LOWER(K1054)&lt;&gt;"não consta"),AND(L1054&lt;&gt;"",LOWER(L1054)&lt;&gt;"não consta"),IFERROR(INDEX(Empresas!$G:$G,MATCH(A1054,Empresas!$A:$A,0))&amp;"","")&lt;&gt;""),"SIM",""))</f>
        <v/>
      </c>
      <c r="N1054" s="5"/>
      <c r="O1054" s="32" t="str">
        <f aca="false">IF(D1054="","",YEAR(D1054))</f>
        <v/>
      </c>
      <c r="P1054" s="5"/>
    </row>
    <row r="1055" customFormat="false" ht="15" hidden="false" customHeight="false" outlineLevel="0" collapsed="false">
      <c r="A1055" s="27"/>
      <c r="B1055" s="5"/>
      <c r="C1055" s="35"/>
      <c r="D1055" s="18"/>
      <c r="E1055" s="5"/>
      <c r="F1055" s="14"/>
      <c r="G1055" s="5"/>
      <c r="H1055" s="27"/>
      <c r="I1055" s="5"/>
      <c r="J1055" s="19" t="str">
        <f aca="false">IF(A1055="","",IFERROR(INDEX(Empresas!$D:$D,MATCH(A1055,Empresas!$A:$A,0))&amp;"","não consta"))</f>
        <v/>
      </c>
      <c r="K1055" s="19" t="str">
        <f aca="false">IF(A1055="","",IFERROR(INDEX(Sancoes!$B:$B,MATCH(A1055,Sancoes!$A:$A,0))&amp;"","não consta"))</f>
        <v/>
      </c>
      <c r="L1055" s="19" t="str">
        <f aca="false">IF(A1055="","",IFERROR(INDEX(Eleitoral!$B:$B,MATCH(A1055,Eleitoral!$A:$A,0))&amp;"","não consta"))</f>
        <v/>
      </c>
      <c r="M1055" s="28" t="str">
        <f aca="false">IF(A1055="","",IF(OR(AND(K1055&lt;&gt;"",LOWER(K1055)&lt;&gt;"não consta"),AND(L1055&lt;&gt;"",LOWER(L1055)&lt;&gt;"não consta"),IFERROR(INDEX(Empresas!$G:$G,MATCH(A1055,Empresas!$A:$A,0))&amp;"","")&lt;&gt;""),"SIM",""))</f>
        <v/>
      </c>
      <c r="N1055" s="5"/>
      <c r="O1055" s="32" t="str">
        <f aca="false">IF(D1055="","",YEAR(D1055))</f>
        <v/>
      </c>
      <c r="P1055" s="5"/>
    </row>
    <row r="1056" customFormat="false" ht="15" hidden="false" customHeight="false" outlineLevel="0" collapsed="false">
      <c r="A1056" s="27"/>
      <c r="B1056" s="5"/>
      <c r="C1056" s="35"/>
      <c r="D1056" s="18"/>
      <c r="E1056" s="5"/>
      <c r="F1056" s="14"/>
      <c r="G1056" s="5"/>
      <c r="H1056" s="27"/>
      <c r="I1056" s="5"/>
      <c r="J1056" s="19" t="str">
        <f aca="false">IF(A1056="","",IFERROR(INDEX(Empresas!$D:$D,MATCH(A1056,Empresas!$A:$A,0))&amp;"","não consta"))</f>
        <v/>
      </c>
      <c r="K1056" s="19" t="str">
        <f aca="false">IF(A1056="","",IFERROR(INDEX(Sancoes!$B:$B,MATCH(A1056,Sancoes!$A:$A,0))&amp;"","não consta"))</f>
        <v/>
      </c>
      <c r="L1056" s="19" t="str">
        <f aca="false">IF(A1056="","",IFERROR(INDEX(Eleitoral!$B:$B,MATCH(A1056,Eleitoral!$A:$A,0))&amp;"","não consta"))</f>
        <v/>
      </c>
      <c r="M1056" s="28" t="str">
        <f aca="false">IF(A1056="","",IF(OR(AND(K1056&lt;&gt;"",LOWER(K1056)&lt;&gt;"não consta"),AND(L1056&lt;&gt;"",LOWER(L1056)&lt;&gt;"não consta"),IFERROR(INDEX(Empresas!$G:$G,MATCH(A1056,Empresas!$A:$A,0))&amp;"","")&lt;&gt;""),"SIM",""))</f>
        <v/>
      </c>
      <c r="N1056" s="5"/>
      <c r="O1056" s="32" t="str">
        <f aca="false">IF(D1056="","",YEAR(D1056))</f>
        <v/>
      </c>
      <c r="P1056" s="5"/>
    </row>
    <row r="1057" customFormat="false" ht="15" hidden="false" customHeight="false" outlineLevel="0" collapsed="false">
      <c r="A1057" s="27"/>
      <c r="B1057" s="5"/>
      <c r="C1057" s="35"/>
      <c r="D1057" s="18"/>
      <c r="E1057" s="5"/>
      <c r="F1057" s="14"/>
      <c r="G1057" s="5"/>
      <c r="H1057" s="27"/>
      <c r="I1057" s="5"/>
      <c r="J1057" s="19" t="str">
        <f aca="false">IF(A1057="","",IFERROR(INDEX(Empresas!$D:$D,MATCH(A1057,Empresas!$A:$A,0))&amp;"","não consta"))</f>
        <v/>
      </c>
      <c r="K1057" s="19" t="str">
        <f aca="false">IF(A1057="","",IFERROR(INDEX(Sancoes!$B:$B,MATCH(A1057,Sancoes!$A:$A,0))&amp;"","não consta"))</f>
        <v/>
      </c>
      <c r="L1057" s="19" t="str">
        <f aca="false">IF(A1057="","",IFERROR(INDEX(Eleitoral!$B:$B,MATCH(A1057,Eleitoral!$A:$A,0))&amp;"","não consta"))</f>
        <v/>
      </c>
      <c r="M1057" s="28" t="str">
        <f aca="false">IF(A1057="","",IF(OR(AND(K1057&lt;&gt;"",LOWER(K1057)&lt;&gt;"não consta"),AND(L1057&lt;&gt;"",LOWER(L1057)&lt;&gt;"não consta"),IFERROR(INDEX(Empresas!$G:$G,MATCH(A1057,Empresas!$A:$A,0))&amp;"","")&lt;&gt;""),"SIM",""))</f>
        <v/>
      </c>
      <c r="N1057" s="5"/>
      <c r="O1057" s="32" t="str">
        <f aca="false">IF(D1057="","",YEAR(D1057))</f>
        <v/>
      </c>
      <c r="P1057" s="5"/>
    </row>
    <row r="1058" customFormat="false" ht="15" hidden="false" customHeight="false" outlineLevel="0" collapsed="false">
      <c r="A1058" s="27"/>
      <c r="B1058" s="5"/>
      <c r="C1058" s="35"/>
      <c r="D1058" s="18"/>
      <c r="E1058" s="5"/>
      <c r="F1058" s="14"/>
      <c r="G1058" s="5"/>
      <c r="H1058" s="27"/>
      <c r="I1058" s="5"/>
      <c r="J1058" s="19" t="str">
        <f aca="false">IF(A1058="","",IFERROR(INDEX(Empresas!$D:$D,MATCH(A1058,Empresas!$A:$A,0))&amp;"","não consta"))</f>
        <v/>
      </c>
      <c r="K1058" s="19" t="str">
        <f aca="false">IF(A1058="","",IFERROR(INDEX(Sancoes!$B:$B,MATCH(A1058,Sancoes!$A:$A,0))&amp;"","não consta"))</f>
        <v/>
      </c>
      <c r="L1058" s="19" t="str">
        <f aca="false">IF(A1058="","",IFERROR(INDEX(Eleitoral!$B:$B,MATCH(A1058,Eleitoral!$A:$A,0))&amp;"","não consta"))</f>
        <v/>
      </c>
      <c r="M1058" s="28" t="str">
        <f aca="false">IF(A1058="","",IF(OR(AND(K1058&lt;&gt;"",LOWER(K1058)&lt;&gt;"não consta"),AND(L1058&lt;&gt;"",LOWER(L1058)&lt;&gt;"não consta"),IFERROR(INDEX(Empresas!$G:$G,MATCH(A1058,Empresas!$A:$A,0))&amp;"","")&lt;&gt;""),"SIM",""))</f>
        <v/>
      </c>
      <c r="N1058" s="5"/>
      <c r="O1058" s="32" t="str">
        <f aca="false">IF(D1058="","",YEAR(D1058))</f>
        <v/>
      </c>
      <c r="P1058" s="5"/>
    </row>
    <row r="1059" customFormat="false" ht="15" hidden="false" customHeight="false" outlineLevel="0" collapsed="false">
      <c r="A1059" s="27"/>
      <c r="B1059" s="5"/>
      <c r="C1059" s="35"/>
      <c r="D1059" s="18"/>
      <c r="E1059" s="5"/>
      <c r="F1059" s="14"/>
      <c r="G1059" s="5"/>
      <c r="H1059" s="27"/>
      <c r="I1059" s="5"/>
      <c r="J1059" s="19" t="str">
        <f aca="false">IF(A1059="","",IFERROR(INDEX(Empresas!$D:$D,MATCH(A1059,Empresas!$A:$A,0))&amp;"","não consta"))</f>
        <v/>
      </c>
      <c r="K1059" s="19" t="str">
        <f aca="false">IF(A1059="","",IFERROR(INDEX(Sancoes!$B:$B,MATCH(A1059,Sancoes!$A:$A,0))&amp;"","não consta"))</f>
        <v/>
      </c>
      <c r="L1059" s="19" t="str">
        <f aca="false">IF(A1059="","",IFERROR(INDEX(Eleitoral!$B:$B,MATCH(A1059,Eleitoral!$A:$A,0))&amp;"","não consta"))</f>
        <v/>
      </c>
      <c r="M1059" s="28" t="str">
        <f aca="false">IF(A1059="","",IF(OR(AND(K1059&lt;&gt;"",LOWER(K1059)&lt;&gt;"não consta"),AND(L1059&lt;&gt;"",LOWER(L1059)&lt;&gt;"não consta"),IFERROR(INDEX(Empresas!$G:$G,MATCH(A1059,Empresas!$A:$A,0))&amp;"","")&lt;&gt;""),"SIM",""))</f>
        <v/>
      </c>
      <c r="N1059" s="5"/>
      <c r="O1059" s="32" t="str">
        <f aca="false">IF(D1059="","",YEAR(D1059))</f>
        <v/>
      </c>
      <c r="P1059" s="5"/>
    </row>
    <row r="1060" customFormat="false" ht="15" hidden="false" customHeight="false" outlineLevel="0" collapsed="false">
      <c r="A1060" s="27"/>
      <c r="B1060" s="5"/>
      <c r="C1060" s="35"/>
      <c r="D1060" s="18"/>
      <c r="E1060" s="5"/>
      <c r="F1060" s="14"/>
      <c r="G1060" s="5"/>
      <c r="H1060" s="27"/>
      <c r="I1060" s="5"/>
      <c r="J1060" s="19" t="str">
        <f aca="false">IF(A1060="","",IFERROR(INDEX(Empresas!$D:$D,MATCH(A1060,Empresas!$A:$A,0))&amp;"","não consta"))</f>
        <v/>
      </c>
      <c r="K1060" s="19" t="str">
        <f aca="false">IF(A1060="","",IFERROR(INDEX(Sancoes!$B:$B,MATCH(A1060,Sancoes!$A:$A,0))&amp;"","não consta"))</f>
        <v/>
      </c>
      <c r="L1060" s="19" t="str">
        <f aca="false">IF(A1060="","",IFERROR(INDEX(Eleitoral!$B:$B,MATCH(A1060,Eleitoral!$A:$A,0))&amp;"","não consta"))</f>
        <v/>
      </c>
      <c r="M1060" s="28" t="str">
        <f aca="false">IF(A1060="","",IF(OR(AND(K1060&lt;&gt;"",LOWER(K1060)&lt;&gt;"não consta"),AND(L1060&lt;&gt;"",LOWER(L1060)&lt;&gt;"não consta"),IFERROR(INDEX(Empresas!$G:$G,MATCH(A1060,Empresas!$A:$A,0))&amp;"","")&lt;&gt;""),"SIM",""))</f>
        <v/>
      </c>
      <c r="N1060" s="5"/>
      <c r="O1060" s="32" t="str">
        <f aca="false">IF(D1060="","",YEAR(D1060))</f>
        <v/>
      </c>
      <c r="P1060" s="5"/>
    </row>
    <row r="1061" customFormat="false" ht="15" hidden="false" customHeight="false" outlineLevel="0" collapsed="false">
      <c r="A1061" s="27"/>
      <c r="B1061" s="5"/>
      <c r="C1061" s="35"/>
      <c r="D1061" s="18"/>
      <c r="E1061" s="5"/>
      <c r="F1061" s="14"/>
      <c r="G1061" s="5"/>
      <c r="H1061" s="27"/>
      <c r="I1061" s="5"/>
      <c r="J1061" s="19" t="str">
        <f aca="false">IF(A1061="","",IFERROR(INDEX(Empresas!$D:$D,MATCH(A1061,Empresas!$A:$A,0))&amp;"","não consta"))</f>
        <v/>
      </c>
      <c r="K1061" s="19" t="str">
        <f aca="false">IF(A1061="","",IFERROR(INDEX(Sancoes!$B:$B,MATCH(A1061,Sancoes!$A:$A,0))&amp;"","não consta"))</f>
        <v/>
      </c>
      <c r="L1061" s="19" t="str">
        <f aca="false">IF(A1061="","",IFERROR(INDEX(Eleitoral!$B:$B,MATCH(A1061,Eleitoral!$A:$A,0))&amp;"","não consta"))</f>
        <v/>
      </c>
      <c r="M1061" s="28" t="str">
        <f aca="false">IF(A1061="","",IF(OR(AND(K1061&lt;&gt;"",LOWER(K1061)&lt;&gt;"não consta"),AND(L1061&lt;&gt;"",LOWER(L1061)&lt;&gt;"não consta"),IFERROR(INDEX(Empresas!$G:$G,MATCH(A1061,Empresas!$A:$A,0))&amp;"","")&lt;&gt;""),"SIM",""))</f>
        <v/>
      </c>
      <c r="N1061" s="5"/>
      <c r="O1061" s="32" t="str">
        <f aca="false">IF(D1061="","",YEAR(D1061))</f>
        <v/>
      </c>
      <c r="P1061" s="5"/>
    </row>
    <row r="1062" customFormat="false" ht="15" hidden="false" customHeight="false" outlineLevel="0" collapsed="false">
      <c r="A1062" s="27"/>
      <c r="B1062" s="5"/>
      <c r="C1062" s="35"/>
      <c r="D1062" s="18"/>
      <c r="E1062" s="5"/>
      <c r="F1062" s="14"/>
      <c r="G1062" s="5"/>
      <c r="H1062" s="27"/>
      <c r="I1062" s="5"/>
      <c r="J1062" s="19" t="str">
        <f aca="false">IF(A1062="","",IFERROR(INDEX(Empresas!$D:$D,MATCH(A1062,Empresas!$A:$A,0))&amp;"","não consta"))</f>
        <v/>
      </c>
      <c r="K1062" s="19" t="str">
        <f aca="false">IF(A1062="","",IFERROR(INDEX(Sancoes!$B:$B,MATCH(A1062,Sancoes!$A:$A,0))&amp;"","não consta"))</f>
        <v/>
      </c>
      <c r="L1062" s="19" t="str">
        <f aca="false">IF(A1062="","",IFERROR(INDEX(Eleitoral!$B:$B,MATCH(A1062,Eleitoral!$A:$A,0))&amp;"","não consta"))</f>
        <v/>
      </c>
      <c r="M1062" s="28" t="str">
        <f aca="false">IF(A1062="","",IF(OR(AND(K1062&lt;&gt;"",LOWER(K1062)&lt;&gt;"não consta"),AND(L1062&lt;&gt;"",LOWER(L1062)&lt;&gt;"não consta"),IFERROR(INDEX(Empresas!$G:$G,MATCH(A1062,Empresas!$A:$A,0))&amp;"","")&lt;&gt;""),"SIM",""))</f>
        <v/>
      </c>
      <c r="N1062" s="5"/>
      <c r="O1062" s="32" t="str">
        <f aca="false">IF(D1062="","",YEAR(D1062))</f>
        <v/>
      </c>
      <c r="P1062" s="5"/>
    </row>
    <row r="1063" customFormat="false" ht="15" hidden="false" customHeight="false" outlineLevel="0" collapsed="false">
      <c r="A1063" s="27"/>
      <c r="B1063" s="5"/>
      <c r="C1063" s="35"/>
      <c r="D1063" s="18"/>
      <c r="E1063" s="5"/>
      <c r="F1063" s="14"/>
      <c r="G1063" s="5"/>
      <c r="H1063" s="27"/>
      <c r="I1063" s="5"/>
      <c r="J1063" s="19" t="str">
        <f aca="false">IF(A1063="","",IFERROR(INDEX(Empresas!$D:$D,MATCH(A1063,Empresas!$A:$A,0))&amp;"","não consta"))</f>
        <v/>
      </c>
      <c r="K1063" s="19" t="str">
        <f aca="false">IF(A1063="","",IFERROR(INDEX(Sancoes!$B:$B,MATCH(A1063,Sancoes!$A:$A,0))&amp;"","não consta"))</f>
        <v/>
      </c>
      <c r="L1063" s="19" t="str">
        <f aca="false">IF(A1063="","",IFERROR(INDEX(Eleitoral!$B:$B,MATCH(A1063,Eleitoral!$A:$A,0))&amp;"","não consta"))</f>
        <v/>
      </c>
      <c r="M1063" s="28" t="str">
        <f aca="false">IF(A1063="","",IF(OR(AND(K1063&lt;&gt;"",LOWER(K1063)&lt;&gt;"não consta"),AND(L1063&lt;&gt;"",LOWER(L1063)&lt;&gt;"não consta"),IFERROR(INDEX(Empresas!$G:$G,MATCH(A1063,Empresas!$A:$A,0))&amp;"","")&lt;&gt;""),"SIM",""))</f>
        <v/>
      </c>
      <c r="N1063" s="5"/>
      <c r="O1063" s="32" t="str">
        <f aca="false">IF(D1063="","",YEAR(D1063))</f>
        <v/>
      </c>
      <c r="P1063" s="5"/>
    </row>
    <row r="1064" customFormat="false" ht="15" hidden="false" customHeight="false" outlineLevel="0" collapsed="false">
      <c r="A1064" s="27"/>
      <c r="B1064" s="5"/>
      <c r="C1064" s="35"/>
      <c r="D1064" s="18"/>
      <c r="E1064" s="5"/>
      <c r="F1064" s="14"/>
      <c r="G1064" s="5"/>
      <c r="H1064" s="27"/>
      <c r="I1064" s="5"/>
      <c r="J1064" s="19" t="str">
        <f aca="false">IF(A1064="","",IFERROR(INDEX(Empresas!$D:$D,MATCH(A1064,Empresas!$A:$A,0))&amp;"","não consta"))</f>
        <v/>
      </c>
      <c r="K1064" s="19" t="str">
        <f aca="false">IF(A1064="","",IFERROR(INDEX(Sancoes!$B:$B,MATCH(A1064,Sancoes!$A:$A,0))&amp;"","não consta"))</f>
        <v/>
      </c>
      <c r="L1064" s="19" t="str">
        <f aca="false">IF(A1064="","",IFERROR(INDEX(Eleitoral!$B:$B,MATCH(A1064,Eleitoral!$A:$A,0))&amp;"","não consta"))</f>
        <v/>
      </c>
      <c r="M1064" s="28" t="str">
        <f aca="false">IF(A1064="","",IF(OR(AND(K1064&lt;&gt;"",LOWER(K1064)&lt;&gt;"não consta"),AND(L1064&lt;&gt;"",LOWER(L1064)&lt;&gt;"não consta"),IFERROR(INDEX(Empresas!$G:$G,MATCH(A1064,Empresas!$A:$A,0))&amp;"","")&lt;&gt;""),"SIM",""))</f>
        <v/>
      </c>
      <c r="N1064" s="5"/>
      <c r="O1064" s="32" t="str">
        <f aca="false">IF(D1064="","",YEAR(D1064))</f>
        <v/>
      </c>
      <c r="P1064" s="5"/>
    </row>
    <row r="1065" customFormat="false" ht="15" hidden="false" customHeight="false" outlineLevel="0" collapsed="false">
      <c r="A1065" s="27"/>
      <c r="B1065" s="5"/>
      <c r="C1065" s="35"/>
      <c r="D1065" s="18"/>
      <c r="E1065" s="5"/>
      <c r="F1065" s="14"/>
      <c r="G1065" s="5"/>
      <c r="H1065" s="27"/>
      <c r="I1065" s="5"/>
      <c r="J1065" s="19" t="str">
        <f aca="false">IF(A1065="","",IFERROR(INDEX(Empresas!$D:$D,MATCH(A1065,Empresas!$A:$A,0))&amp;"","não consta"))</f>
        <v/>
      </c>
      <c r="K1065" s="19" t="str">
        <f aca="false">IF(A1065="","",IFERROR(INDEX(Sancoes!$B:$B,MATCH(A1065,Sancoes!$A:$A,0))&amp;"","não consta"))</f>
        <v/>
      </c>
      <c r="L1065" s="19" t="str">
        <f aca="false">IF(A1065="","",IFERROR(INDEX(Eleitoral!$B:$B,MATCH(A1065,Eleitoral!$A:$A,0))&amp;"","não consta"))</f>
        <v/>
      </c>
      <c r="M1065" s="28" t="str">
        <f aca="false">IF(A1065="","",IF(OR(AND(K1065&lt;&gt;"",LOWER(K1065)&lt;&gt;"não consta"),AND(L1065&lt;&gt;"",LOWER(L1065)&lt;&gt;"não consta"),IFERROR(INDEX(Empresas!$G:$G,MATCH(A1065,Empresas!$A:$A,0))&amp;"","")&lt;&gt;""),"SIM",""))</f>
        <v/>
      </c>
      <c r="N1065" s="5"/>
      <c r="O1065" s="32" t="str">
        <f aca="false">IF(D1065="","",YEAR(D1065))</f>
        <v/>
      </c>
      <c r="P1065" s="5"/>
    </row>
    <row r="1066" customFormat="false" ht="15" hidden="false" customHeight="false" outlineLevel="0" collapsed="false">
      <c r="A1066" s="27"/>
      <c r="B1066" s="5"/>
      <c r="C1066" s="35"/>
      <c r="D1066" s="18"/>
      <c r="E1066" s="5"/>
      <c r="F1066" s="14"/>
      <c r="G1066" s="5"/>
      <c r="H1066" s="27"/>
      <c r="I1066" s="5"/>
      <c r="J1066" s="19" t="str">
        <f aca="false">IF(A1066="","",IFERROR(INDEX(Empresas!$D:$D,MATCH(A1066,Empresas!$A:$A,0))&amp;"","não consta"))</f>
        <v/>
      </c>
      <c r="K1066" s="19" t="str">
        <f aca="false">IF(A1066="","",IFERROR(INDEX(Sancoes!$B:$B,MATCH(A1066,Sancoes!$A:$A,0))&amp;"","não consta"))</f>
        <v/>
      </c>
      <c r="L1066" s="19" t="str">
        <f aca="false">IF(A1066="","",IFERROR(INDEX(Eleitoral!$B:$B,MATCH(A1066,Eleitoral!$A:$A,0))&amp;"","não consta"))</f>
        <v/>
      </c>
      <c r="M1066" s="28" t="str">
        <f aca="false">IF(A1066="","",IF(OR(AND(K1066&lt;&gt;"",LOWER(K1066)&lt;&gt;"não consta"),AND(L1066&lt;&gt;"",LOWER(L1066)&lt;&gt;"não consta"),IFERROR(INDEX(Empresas!$G:$G,MATCH(A1066,Empresas!$A:$A,0))&amp;"","")&lt;&gt;""),"SIM",""))</f>
        <v/>
      </c>
      <c r="N1066" s="5"/>
      <c r="O1066" s="32" t="str">
        <f aca="false">IF(D1066="","",YEAR(D1066))</f>
        <v/>
      </c>
      <c r="P1066" s="5"/>
    </row>
    <row r="1067" customFormat="false" ht="15" hidden="false" customHeight="false" outlineLevel="0" collapsed="false">
      <c r="A1067" s="27"/>
      <c r="B1067" s="5"/>
      <c r="C1067" s="35"/>
      <c r="D1067" s="18"/>
      <c r="E1067" s="5"/>
      <c r="F1067" s="14"/>
      <c r="G1067" s="5"/>
      <c r="H1067" s="27"/>
      <c r="I1067" s="5"/>
      <c r="J1067" s="19" t="str">
        <f aca="false">IF(A1067="","",IFERROR(INDEX(Empresas!$D:$D,MATCH(A1067,Empresas!$A:$A,0))&amp;"","não consta"))</f>
        <v/>
      </c>
      <c r="K1067" s="19" t="str">
        <f aca="false">IF(A1067="","",IFERROR(INDEX(Sancoes!$B:$B,MATCH(A1067,Sancoes!$A:$A,0))&amp;"","não consta"))</f>
        <v/>
      </c>
      <c r="L1067" s="19" t="str">
        <f aca="false">IF(A1067="","",IFERROR(INDEX(Eleitoral!$B:$B,MATCH(A1067,Eleitoral!$A:$A,0))&amp;"","não consta"))</f>
        <v/>
      </c>
      <c r="M1067" s="28" t="str">
        <f aca="false">IF(A1067="","",IF(OR(AND(K1067&lt;&gt;"",LOWER(K1067)&lt;&gt;"não consta"),AND(L1067&lt;&gt;"",LOWER(L1067)&lt;&gt;"não consta"),IFERROR(INDEX(Empresas!$G:$G,MATCH(A1067,Empresas!$A:$A,0))&amp;"","")&lt;&gt;""),"SIM",""))</f>
        <v/>
      </c>
      <c r="N1067" s="5"/>
      <c r="O1067" s="32" t="str">
        <f aca="false">IF(D1067="","",YEAR(D1067))</f>
        <v/>
      </c>
      <c r="P1067" s="5"/>
    </row>
    <row r="1068" customFormat="false" ht="15" hidden="false" customHeight="false" outlineLevel="0" collapsed="false">
      <c r="A1068" s="27"/>
      <c r="B1068" s="5"/>
      <c r="C1068" s="35"/>
      <c r="D1068" s="18"/>
      <c r="E1068" s="5"/>
      <c r="F1068" s="14"/>
      <c r="G1068" s="5"/>
      <c r="H1068" s="27"/>
      <c r="I1068" s="5"/>
      <c r="J1068" s="19" t="str">
        <f aca="false">IF(A1068="","",IFERROR(INDEX(Empresas!$D:$D,MATCH(A1068,Empresas!$A:$A,0))&amp;"","não consta"))</f>
        <v/>
      </c>
      <c r="K1068" s="19" t="str">
        <f aca="false">IF(A1068="","",IFERROR(INDEX(Sancoes!$B:$B,MATCH(A1068,Sancoes!$A:$A,0))&amp;"","não consta"))</f>
        <v/>
      </c>
      <c r="L1068" s="19" t="str">
        <f aca="false">IF(A1068="","",IFERROR(INDEX(Eleitoral!$B:$B,MATCH(A1068,Eleitoral!$A:$A,0))&amp;"","não consta"))</f>
        <v/>
      </c>
      <c r="M1068" s="28" t="str">
        <f aca="false">IF(A1068="","",IF(OR(AND(K1068&lt;&gt;"",LOWER(K1068)&lt;&gt;"não consta"),AND(L1068&lt;&gt;"",LOWER(L1068)&lt;&gt;"não consta"),IFERROR(INDEX(Empresas!$G:$G,MATCH(A1068,Empresas!$A:$A,0))&amp;"","")&lt;&gt;""),"SIM",""))</f>
        <v/>
      </c>
      <c r="N1068" s="5"/>
      <c r="O1068" s="32" t="str">
        <f aca="false">IF(D1068="","",YEAR(D1068))</f>
        <v/>
      </c>
      <c r="P1068" s="5"/>
    </row>
    <row r="1069" customFormat="false" ht="15" hidden="false" customHeight="false" outlineLevel="0" collapsed="false">
      <c r="A1069" s="27"/>
      <c r="B1069" s="5"/>
      <c r="C1069" s="35"/>
      <c r="D1069" s="18"/>
      <c r="E1069" s="5"/>
      <c r="F1069" s="14"/>
      <c r="G1069" s="5"/>
      <c r="H1069" s="27"/>
      <c r="I1069" s="5"/>
      <c r="J1069" s="19" t="str">
        <f aca="false">IF(A1069="","",IFERROR(INDEX(Empresas!$D:$D,MATCH(A1069,Empresas!$A:$A,0))&amp;"","não consta"))</f>
        <v/>
      </c>
      <c r="K1069" s="19" t="str">
        <f aca="false">IF(A1069="","",IFERROR(INDEX(Sancoes!$B:$B,MATCH(A1069,Sancoes!$A:$A,0))&amp;"","não consta"))</f>
        <v/>
      </c>
      <c r="L1069" s="19" t="str">
        <f aca="false">IF(A1069="","",IFERROR(INDEX(Eleitoral!$B:$B,MATCH(A1069,Eleitoral!$A:$A,0))&amp;"","não consta"))</f>
        <v/>
      </c>
      <c r="M1069" s="28" t="str">
        <f aca="false">IF(A1069="","",IF(OR(AND(K1069&lt;&gt;"",LOWER(K1069)&lt;&gt;"não consta"),AND(L1069&lt;&gt;"",LOWER(L1069)&lt;&gt;"não consta"),IFERROR(INDEX(Empresas!$G:$G,MATCH(A1069,Empresas!$A:$A,0))&amp;"","")&lt;&gt;""),"SIM",""))</f>
        <v/>
      </c>
      <c r="N1069" s="5"/>
      <c r="O1069" s="32" t="str">
        <f aca="false">IF(D1069="","",YEAR(D1069))</f>
        <v/>
      </c>
      <c r="P1069" s="5"/>
    </row>
    <row r="1070" customFormat="false" ht="15" hidden="false" customHeight="false" outlineLevel="0" collapsed="false">
      <c r="A1070" s="27"/>
      <c r="B1070" s="5"/>
      <c r="C1070" s="35"/>
      <c r="D1070" s="18"/>
      <c r="E1070" s="5"/>
      <c r="F1070" s="14"/>
      <c r="G1070" s="5"/>
      <c r="H1070" s="27"/>
      <c r="I1070" s="5"/>
      <c r="J1070" s="19" t="str">
        <f aca="false">IF(A1070="","",IFERROR(INDEX(Empresas!$D:$D,MATCH(A1070,Empresas!$A:$A,0))&amp;"","não consta"))</f>
        <v/>
      </c>
      <c r="K1070" s="19" t="str">
        <f aca="false">IF(A1070="","",IFERROR(INDEX(Sancoes!$B:$B,MATCH(A1070,Sancoes!$A:$A,0))&amp;"","não consta"))</f>
        <v/>
      </c>
      <c r="L1070" s="19" t="str">
        <f aca="false">IF(A1070="","",IFERROR(INDEX(Eleitoral!$B:$B,MATCH(A1070,Eleitoral!$A:$A,0))&amp;"","não consta"))</f>
        <v/>
      </c>
      <c r="M1070" s="28" t="str">
        <f aca="false">IF(A1070="","",IF(OR(AND(K1070&lt;&gt;"",LOWER(K1070)&lt;&gt;"não consta"),AND(L1070&lt;&gt;"",LOWER(L1070)&lt;&gt;"não consta"),IFERROR(INDEX(Empresas!$G:$G,MATCH(A1070,Empresas!$A:$A,0))&amp;"","")&lt;&gt;""),"SIM",""))</f>
        <v/>
      </c>
      <c r="N1070" s="5"/>
      <c r="O1070" s="32" t="str">
        <f aca="false">IF(D1070="","",YEAR(D1070))</f>
        <v/>
      </c>
      <c r="P1070" s="5"/>
    </row>
    <row r="1071" customFormat="false" ht="15" hidden="false" customHeight="false" outlineLevel="0" collapsed="false">
      <c r="A1071" s="27"/>
      <c r="B1071" s="5"/>
      <c r="C1071" s="35"/>
      <c r="D1071" s="18"/>
      <c r="E1071" s="5"/>
      <c r="F1071" s="14"/>
      <c r="G1071" s="5"/>
      <c r="H1071" s="27"/>
      <c r="I1071" s="5"/>
      <c r="J1071" s="19" t="str">
        <f aca="false">IF(A1071="","",IFERROR(INDEX(Empresas!$D:$D,MATCH(A1071,Empresas!$A:$A,0))&amp;"","não consta"))</f>
        <v/>
      </c>
      <c r="K1071" s="19" t="str">
        <f aca="false">IF(A1071="","",IFERROR(INDEX(Sancoes!$B:$B,MATCH(A1071,Sancoes!$A:$A,0))&amp;"","não consta"))</f>
        <v/>
      </c>
      <c r="L1071" s="19" t="str">
        <f aca="false">IF(A1071="","",IFERROR(INDEX(Eleitoral!$B:$B,MATCH(A1071,Eleitoral!$A:$A,0))&amp;"","não consta"))</f>
        <v/>
      </c>
      <c r="M1071" s="28" t="str">
        <f aca="false">IF(A1071="","",IF(OR(AND(K1071&lt;&gt;"",LOWER(K1071)&lt;&gt;"não consta"),AND(L1071&lt;&gt;"",LOWER(L1071)&lt;&gt;"não consta"),IFERROR(INDEX(Empresas!$G:$G,MATCH(A1071,Empresas!$A:$A,0))&amp;"","")&lt;&gt;""),"SIM",""))</f>
        <v/>
      </c>
      <c r="N1071" s="5"/>
      <c r="O1071" s="32" t="str">
        <f aca="false">IF(D1071="","",YEAR(D1071))</f>
        <v/>
      </c>
      <c r="P1071" s="5"/>
    </row>
    <row r="1072" customFormat="false" ht="15" hidden="false" customHeight="false" outlineLevel="0" collapsed="false">
      <c r="A1072" s="27"/>
      <c r="B1072" s="5"/>
      <c r="C1072" s="35"/>
      <c r="D1072" s="18"/>
      <c r="E1072" s="5"/>
      <c r="F1072" s="14"/>
      <c r="G1072" s="5"/>
      <c r="H1072" s="27"/>
      <c r="I1072" s="5"/>
      <c r="J1072" s="19" t="str">
        <f aca="false">IF(A1072="","",IFERROR(INDEX(Empresas!$D:$D,MATCH(A1072,Empresas!$A:$A,0))&amp;"","não consta"))</f>
        <v/>
      </c>
      <c r="K1072" s="19" t="str">
        <f aca="false">IF(A1072="","",IFERROR(INDEX(Sancoes!$B:$B,MATCH(A1072,Sancoes!$A:$A,0))&amp;"","não consta"))</f>
        <v/>
      </c>
      <c r="L1072" s="19" t="str">
        <f aca="false">IF(A1072="","",IFERROR(INDEX(Eleitoral!$B:$B,MATCH(A1072,Eleitoral!$A:$A,0))&amp;"","não consta"))</f>
        <v/>
      </c>
      <c r="M1072" s="28" t="str">
        <f aca="false">IF(A1072="","",IF(OR(AND(K1072&lt;&gt;"",LOWER(K1072)&lt;&gt;"não consta"),AND(L1072&lt;&gt;"",LOWER(L1072)&lt;&gt;"não consta"),IFERROR(INDEX(Empresas!$G:$G,MATCH(A1072,Empresas!$A:$A,0))&amp;"","")&lt;&gt;""),"SIM",""))</f>
        <v/>
      </c>
      <c r="N1072" s="5"/>
      <c r="O1072" s="32" t="str">
        <f aca="false">IF(D1072="","",YEAR(D1072))</f>
        <v/>
      </c>
      <c r="P1072" s="5"/>
    </row>
    <row r="1073" customFormat="false" ht="15" hidden="false" customHeight="false" outlineLevel="0" collapsed="false">
      <c r="A1073" s="27"/>
      <c r="B1073" s="5"/>
      <c r="C1073" s="35"/>
      <c r="D1073" s="18"/>
      <c r="E1073" s="5"/>
      <c r="F1073" s="14"/>
      <c r="G1073" s="5"/>
      <c r="H1073" s="27"/>
      <c r="I1073" s="5"/>
      <c r="J1073" s="19" t="str">
        <f aca="false">IF(A1073="","",IFERROR(INDEX(Empresas!$D:$D,MATCH(A1073,Empresas!$A:$A,0))&amp;"","não consta"))</f>
        <v/>
      </c>
      <c r="K1073" s="19" t="str">
        <f aca="false">IF(A1073="","",IFERROR(INDEX(Sancoes!$B:$B,MATCH(A1073,Sancoes!$A:$A,0))&amp;"","não consta"))</f>
        <v/>
      </c>
      <c r="L1073" s="19" t="str">
        <f aca="false">IF(A1073="","",IFERROR(INDEX(Eleitoral!$B:$B,MATCH(A1073,Eleitoral!$A:$A,0))&amp;"","não consta"))</f>
        <v/>
      </c>
      <c r="M1073" s="28" t="str">
        <f aca="false">IF(A1073="","",IF(OR(AND(K1073&lt;&gt;"",LOWER(K1073)&lt;&gt;"não consta"),AND(L1073&lt;&gt;"",LOWER(L1073)&lt;&gt;"não consta"),IFERROR(INDEX(Empresas!$G:$G,MATCH(A1073,Empresas!$A:$A,0))&amp;"","")&lt;&gt;""),"SIM",""))</f>
        <v/>
      </c>
      <c r="N1073" s="5"/>
      <c r="O1073" s="32" t="str">
        <f aca="false">IF(D1073="","",YEAR(D1073))</f>
        <v/>
      </c>
      <c r="P1073" s="5"/>
    </row>
    <row r="1074" customFormat="false" ht="15" hidden="false" customHeight="false" outlineLevel="0" collapsed="false">
      <c r="A1074" s="27"/>
      <c r="B1074" s="5"/>
      <c r="C1074" s="35"/>
      <c r="D1074" s="18"/>
      <c r="E1074" s="5"/>
      <c r="F1074" s="14"/>
      <c r="G1074" s="5"/>
      <c r="H1074" s="27"/>
      <c r="I1074" s="5"/>
      <c r="J1074" s="19" t="str">
        <f aca="false">IF(A1074="","",IFERROR(INDEX(Empresas!$D:$D,MATCH(A1074,Empresas!$A:$A,0))&amp;"","não consta"))</f>
        <v/>
      </c>
      <c r="K1074" s="19" t="str">
        <f aca="false">IF(A1074="","",IFERROR(INDEX(Sancoes!$B:$B,MATCH(A1074,Sancoes!$A:$A,0))&amp;"","não consta"))</f>
        <v/>
      </c>
      <c r="L1074" s="19" t="str">
        <f aca="false">IF(A1074="","",IFERROR(INDEX(Eleitoral!$B:$B,MATCH(A1074,Eleitoral!$A:$A,0))&amp;"","não consta"))</f>
        <v/>
      </c>
      <c r="M1074" s="28" t="str">
        <f aca="false">IF(A1074="","",IF(OR(AND(K1074&lt;&gt;"",LOWER(K1074)&lt;&gt;"não consta"),AND(L1074&lt;&gt;"",LOWER(L1074)&lt;&gt;"não consta"),IFERROR(INDEX(Empresas!$G:$G,MATCH(A1074,Empresas!$A:$A,0))&amp;"","")&lt;&gt;""),"SIM",""))</f>
        <v/>
      </c>
      <c r="N1074" s="5"/>
      <c r="O1074" s="32" t="str">
        <f aca="false">IF(D1074="","",YEAR(D1074))</f>
        <v/>
      </c>
      <c r="P1074" s="5"/>
    </row>
    <row r="1075" customFormat="false" ht="15" hidden="false" customHeight="false" outlineLevel="0" collapsed="false">
      <c r="A1075" s="27"/>
      <c r="B1075" s="5"/>
      <c r="C1075" s="35"/>
      <c r="D1075" s="18"/>
      <c r="E1075" s="5"/>
      <c r="F1075" s="14"/>
      <c r="G1075" s="5"/>
      <c r="H1075" s="27"/>
      <c r="I1075" s="5"/>
      <c r="J1075" s="19" t="str">
        <f aca="false">IF(A1075="","",IFERROR(INDEX(Empresas!$D:$D,MATCH(A1075,Empresas!$A:$A,0))&amp;"","não consta"))</f>
        <v/>
      </c>
      <c r="K1075" s="19" t="str">
        <f aca="false">IF(A1075="","",IFERROR(INDEX(Sancoes!$B:$B,MATCH(A1075,Sancoes!$A:$A,0))&amp;"","não consta"))</f>
        <v/>
      </c>
      <c r="L1075" s="19" t="str">
        <f aca="false">IF(A1075="","",IFERROR(INDEX(Eleitoral!$B:$B,MATCH(A1075,Eleitoral!$A:$A,0))&amp;"","não consta"))</f>
        <v/>
      </c>
      <c r="M1075" s="28" t="str">
        <f aca="false">IF(A1075="","",IF(OR(AND(K1075&lt;&gt;"",LOWER(K1075)&lt;&gt;"não consta"),AND(L1075&lt;&gt;"",LOWER(L1075)&lt;&gt;"não consta"),IFERROR(INDEX(Empresas!$G:$G,MATCH(A1075,Empresas!$A:$A,0))&amp;"","")&lt;&gt;""),"SIM",""))</f>
        <v/>
      </c>
      <c r="N1075" s="5"/>
      <c r="O1075" s="32" t="str">
        <f aca="false">IF(D1075="","",YEAR(D1075))</f>
        <v/>
      </c>
      <c r="P1075" s="5"/>
    </row>
    <row r="1076" customFormat="false" ht="15" hidden="false" customHeight="false" outlineLevel="0" collapsed="false">
      <c r="A1076" s="27"/>
      <c r="B1076" s="5"/>
      <c r="C1076" s="35"/>
      <c r="D1076" s="18"/>
      <c r="E1076" s="5"/>
      <c r="F1076" s="14"/>
      <c r="G1076" s="5"/>
      <c r="H1076" s="27"/>
      <c r="I1076" s="5"/>
      <c r="J1076" s="19" t="str">
        <f aca="false">IF(A1076="","",IFERROR(INDEX(Empresas!$D:$D,MATCH(A1076,Empresas!$A:$A,0))&amp;"","não consta"))</f>
        <v/>
      </c>
      <c r="K1076" s="19" t="str">
        <f aca="false">IF(A1076="","",IFERROR(INDEX(Sancoes!$B:$B,MATCH(A1076,Sancoes!$A:$A,0))&amp;"","não consta"))</f>
        <v/>
      </c>
      <c r="L1076" s="19" t="str">
        <f aca="false">IF(A1076="","",IFERROR(INDEX(Eleitoral!$B:$B,MATCH(A1076,Eleitoral!$A:$A,0))&amp;"","não consta"))</f>
        <v/>
      </c>
      <c r="M1076" s="28" t="str">
        <f aca="false">IF(A1076="","",IF(OR(AND(K1076&lt;&gt;"",LOWER(K1076)&lt;&gt;"não consta"),AND(L1076&lt;&gt;"",LOWER(L1076)&lt;&gt;"não consta"),IFERROR(INDEX(Empresas!$G:$G,MATCH(A1076,Empresas!$A:$A,0))&amp;"","")&lt;&gt;""),"SIM",""))</f>
        <v/>
      </c>
      <c r="N1076" s="5"/>
      <c r="O1076" s="32" t="str">
        <f aca="false">IF(D1076="","",YEAR(D1076))</f>
        <v/>
      </c>
      <c r="P1076" s="5"/>
    </row>
    <row r="1077" customFormat="false" ht="15" hidden="false" customHeight="false" outlineLevel="0" collapsed="false">
      <c r="A1077" s="27"/>
      <c r="B1077" s="5"/>
      <c r="C1077" s="35"/>
      <c r="D1077" s="18"/>
      <c r="E1077" s="5"/>
      <c r="F1077" s="14"/>
      <c r="G1077" s="5"/>
      <c r="H1077" s="27"/>
      <c r="I1077" s="5"/>
      <c r="J1077" s="19" t="str">
        <f aca="false">IF(A1077="","",IFERROR(INDEX(Empresas!$D:$D,MATCH(A1077,Empresas!$A:$A,0))&amp;"","não consta"))</f>
        <v/>
      </c>
      <c r="K1077" s="19" t="str">
        <f aca="false">IF(A1077="","",IFERROR(INDEX(Sancoes!$B:$B,MATCH(A1077,Sancoes!$A:$A,0))&amp;"","não consta"))</f>
        <v/>
      </c>
      <c r="L1077" s="19" t="str">
        <f aca="false">IF(A1077="","",IFERROR(INDEX(Eleitoral!$B:$B,MATCH(A1077,Eleitoral!$A:$A,0))&amp;"","não consta"))</f>
        <v/>
      </c>
      <c r="M1077" s="28" t="str">
        <f aca="false">IF(A1077="","",IF(OR(AND(K1077&lt;&gt;"",LOWER(K1077)&lt;&gt;"não consta"),AND(L1077&lt;&gt;"",LOWER(L1077)&lt;&gt;"não consta"),IFERROR(INDEX(Empresas!$G:$G,MATCH(A1077,Empresas!$A:$A,0))&amp;"","")&lt;&gt;""),"SIM",""))</f>
        <v/>
      </c>
      <c r="N1077" s="5"/>
      <c r="O1077" s="32" t="str">
        <f aca="false">IF(D1077="","",YEAR(D1077))</f>
        <v/>
      </c>
      <c r="P1077" s="5"/>
    </row>
    <row r="1078" customFormat="false" ht="15" hidden="false" customHeight="false" outlineLevel="0" collapsed="false">
      <c r="A1078" s="27"/>
      <c r="B1078" s="5"/>
      <c r="C1078" s="35"/>
      <c r="D1078" s="18"/>
      <c r="E1078" s="5"/>
      <c r="F1078" s="14"/>
      <c r="G1078" s="5"/>
      <c r="H1078" s="27"/>
      <c r="I1078" s="5"/>
      <c r="J1078" s="19" t="str">
        <f aca="false">IF(A1078="","",IFERROR(INDEX(Empresas!$D:$D,MATCH(A1078,Empresas!$A:$A,0))&amp;"","não consta"))</f>
        <v/>
      </c>
      <c r="K1078" s="19" t="str">
        <f aca="false">IF(A1078="","",IFERROR(INDEX(Sancoes!$B:$B,MATCH(A1078,Sancoes!$A:$A,0))&amp;"","não consta"))</f>
        <v/>
      </c>
      <c r="L1078" s="19" t="str">
        <f aca="false">IF(A1078="","",IFERROR(INDEX(Eleitoral!$B:$B,MATCH(A1078,Eleitoral!$A:$A,0))&amp;"","não consta"))</f>
        <v/>
      </c>
      <c r="M1078" s="28" t="str">
        <f aca="false">IF(A1078="","",IF(OR(AND(K1078&lt;&gt;"",LOWER(K1078)&lt;&gt;"não consta"),AND(L1078&lt;&gt;"",LOWER(L1078)&lt;&gt;"não consta"),IFERROR(INDEX(Empresas!$G:$G,MATCH(A1078,Empresas!$A:$A,0))&amp;"","")&lt;&gt;""),"SIM",""))</f>
        <v/>
      </c>
      <c r="N1078" s="5"/>
      <c r="O1078" s="32" t="str">
        <f aca="false">IF(D1078="","",YEAR(D1078))</f>
        <v/>
      </c>
      <c r="P1078" s="5"/>
    </row>
    <row r="1079" customFormat="false" ht="15" hidden="false" customHeight="false" outlineLevel="0" collapsed="false">
      <c r="A1079" s="27"/>
      <c r="B1079" s="5"/>
      <c r="C1079" s="35"/>
      <c r="D1079" s="18"/>
      <c r="E1079" s="5"/>
      <c r="F1079" s="14"/>
      <c r="G1079" s="5"/>
      <c r="H1079" s="27"/>
      <c r="I1079" s="5"/>
      <c r="J1079" s="19" t="str">
        <f aca="false">IF(A1079="","",IFERROR(INDEX(Empresas!$D:$D,MATCH(A1079,Empresas!$A:$A,0))&amp;"","não consta"))</f>
        <v/>
      </c>
      <c r="K1079" s="19" t="str">
        <f aca="false">IF(A1079="","",IFERROR(INDEX(Sancoes!$B:$B,MATCH(A1079,Sancoes!$A:$A,0))&amp;"","não consta"))</f>
        <v/>
      </c>
      <c r="L1079" s="19" t="str">
        <f aca="false">IF(A1079="","",IFERROR(INDEX(Eleitoral!$B:$B,MATCH(A1079,Eleitoral!$A:$A,0))&amp;"","não consta"))</f>
        <v/>
      </c>
      <c r="M1079" s="28" t="str">
        <f aca="false">IF(A1079="","",IF(OR(AND(K1079&lt;&gt;"",LOWER(K1079)&lt;&gt;"não consta"),AND(L1079&lt;&gt;"",LOWER(L1079)&lt;&gt;"não consta"),IFERROR(INDEX(Empresas!$G:$G,MATCH(A1079,Empresas!$A:$A,0))&amp;"","")&lt;&gt;""),"SIM",""))</f>
        <v/>
      </c>
      <c r="N1079" s="5"/>
      <c r="O1079" s="32" t="str">
        <f aca="false">IF(D1079="","",YEAR(D1079))</f>
        <v/>
      </c>
      <c r="P1079" s="5"/>
    </row>
    <row r="1080" customFormat="false" ht="15" hidden="false" customHeight="false" outlineLevel="0" collapsed="false">
      <c r="A1080" s="27"/>
      <c r="B1080" s="5"/>
      <c r="C1080" s="35"/>
      <c r="D1080" s="18"/>
      <c r="E1080" s="5"/>
      <c r="F1080" s="14"/>
      <c r="G1080" s="5"/>
      <c r="H1080" s="27"/>
      <c r="I1080" s="5"/>
      <c r="J1080" s="19" t="str">
        <f aca="false">IF(A1080="","",IFERROR(INDEX(Empresas!$D:$D,MATCH(A1080,Empresas!$A:$A,0))&amp;"","não consta"))</f>
        <v/>
      </c>
      <c r="K1080" s="19" t="str">
        <f aca="false">IF(A1080="","",IFERROR(INDEX(Sancoes!$B:$B,MATCH(A1080,Sancoes!$A:$A,0))&amp;"","não consta"))</f>
        <v/>
      </c>
      <c r="L1080" s="19" t="str">
        <f aca="false">IF(A1080="","",IFERROR(INDEX(Eleitoral!$B:$B,MATCH(A1080,Eleitoral!$A:$A,0))&amp;"","não consta"))</f>
        <v/>
      </c>
      <c r="M1080" s="28" t="str">
        <f aca="false">IF(A1080="","",IF(OR(AND(K1080&lt;&gt;"",LOWER(K1080)&lt;&gt;"não consta"),AND(L1080&lt;&gt;"",LOWER(L1080)&lt;&gt;"não consta"),IFERROR(INDEX(Empresas!$G:$G,MATCH(A1080,Empresas!$A:$A,0))&amp;"","")&lt;&gt;""),"SIM",""))</f>
        <v/>
      </c>
      <c r="N1080" s="5"/>
      <c r="O1080" s="32" t="str">
        <f aca="false">IF(D1080="","",YEAR(D1080))</f>
        <v/>
      </c>
      <c r="P1080" s="5"/>
    </row>
    <row r="1081" customFormat="false" ht="15" hidden="false" customHeight="false" outlineLevel="0" collapsed="false">
      <c r="A1081" s="27"/>
      <c r="B1081" s="5"/>
      <c r="C1081" s="35"/>
      <c r="D1081" s="18"/>
      <c r="E1081" s="5"/>
      <c r="F1081" s="14"/>
      <c r="G1081" s="5"/>
      <c r="H1081" s="27"/>
      <c r="I1081" s="5"/>
      <c r="J1081" s="19" t="str">
        <f aca="false">IF(A1081="","",IFERROR(INDEX(Empresas!$D:$D,MATCH(A1081,Empresas!$A:$A,0))&amp;"","não consta"))</f>
        <v/>
      </c>
      <c r="K1081" s="19" t="str">
        <f aca="false">IF(A1081="","",IFERROR(INDEX(Sancoes!$B:$B,MATCH(A1081,Sancoes!$A:$A,0))&amp;"","não consta"))</f>
        <v/>
      </c>
      <c r="L1081" s="19" t="str">
        <f aca="false">IF(A1081="","",IFERROR(INDEX(Eleitoral!$B:$B,MATCH(A1081,Eleitoral!$A:$A,0))&amp;"","não consta"))</f>
        <v/>
      </c>
      <c r="M1081" s="28" t="str">
        <f aca="false">IF(A1081="","",IF(OR(AND(K1081&lt;&gt;"",LOWER(K1081)&lt;&gt;"não consta"),AND(L1081&lt;&gt;"",LOWER(L1081)&lt;&gt;"não consta"),IFERROR(INDEX(Empresas!$G:$G,MATCH(A1081,Empresas!$A:$A,0))&amp;"","")&lt;&gt;""),"SIM",""))</f>
        <v/>
      </c>
      <c r="N1081" s="5"/>
      <c r="O1081" s="32" t="str">
        <f aca="false">IF(D1081="","",YEAR(D1081))</f>
        <v/>
      </c>
      <c r="P1081" s="5"/>
    </row>
    <row r="1082" customFormat="false" ht="15" hidden="false" customHeight="false" outlineLevel="0" collapsed="false">
      <c r="A1082" s="27"/>
      <c r="B1082" s="5"/>
      <c r="C1082" s="35"/>
      <c r="D1082" s="18"/>
      <c r="E1082" s="5"/>
      <c r="F1082" s="14"/>
      <c r="G1082" s="5"/>
      <c r="H1082" s="27"/>
      <c r="I1082" s="5"/>
      <c r="J1082" s="19" t="str">
        <f aca="false">IF(A1082="","",IFERROR(INDEX(Empresas!$D:$D,MATCH(A1082,Empresas!$A:$A,0))&amp;"","não consta"))</f>
        <v/>
      </c>
      <c r="K1082" s="19" t="str">
        <f aca="false">IF(A1082="","",IFERROR(INDEX(Sancoes!$B:$B,MATCH(A1082,Sancoes!$A:$A,0))&amp;"","não consta"))</f>
        <v/>
      </c>
      <c r="L1082" s="19" t="str">
        <f aca="false">IF(A1082="","",IFERROR(INDEX(Eleitoral!$B:$B,MATCH(A1082,Eleitoral!$A:$A,0))&amp;"","não consta"))</f>
        <v/>
      </c>
      <c r="M1082" s="28" t="str">
        <f aca="false">IF(A1082="","",IF(OR(AND(K1082&lt;&gt;"",LOWER(K1082)&lt;&gt;"não consta"),AND(L1082&lt;&gt;"",LOWER(L1082)&lt;&gt;"não consta"),IFERROR(INDEX(Empresas!$G:$G,MATCH(A1082,Empresas!$A:$A,0))&amp;"","")&lt;&gt;""),"SIM",""))</f>
        <v/>
      </c>
      <c r="N1082" s="5"/>
      <c r="O1082" s="32" t="str">
        <f aca="false">IF(D1082="","",YEAR(D1082))</f>
        <v/>
      </c>
      <c r="P1082" s="5"/>
    </row>
    <row r="1083" customFormat="false" ht="15" hidden="false" customHeight="false" outlineLevel="0" collapsed="false">
      <c r="A1083" s="27"/>
      <c r="B1083" s="5"/>
      <c r="C1083" s="35"/>
      <c r="D1083" s="18"/>
      <c r="E1083" s="5"/>
      <c r="F1083" s="14"/>
      <c r="G1083" s="5"/>
      <c r="H1083" s="27"/>
      <c r="I1083" s="5"/>
      <c r="J1083" s="19" t="str">
        <f aca="false">IF(A1083="","",IFERROR(INDEX(Empresas!$D:$D,MATCH(A1083,Empresas!$A:$A,0))&amp;"","não consta"))</f>
        <v/>
      </c>
      <c r="K1083" s="19" t="str">
        <f aca="false">IF(A1083="","",IFERROR(INDEX(Sancoes!$B:$B,MATCH(A1083,Sancoes!$A:$A,0))&amp;"","não consta"))</f>
        <v/>
      </c>
      <c r="L1083" s="19" t="str">
        <f aca="false">IF(A1083="","",IFERROR(INDEX(Eleitoral!$B:$B,MATCH(A1083,Eleitoral!$A:$A,0))&amp;"","não consta"))</f>
        <v/>
      </c>
      <c r="M1083" s="28" t="str">
        <f aca="false">IF(A1083="","",IF(OR(AND(K1083&lt;&gt;"",LOWER(K1083)&lt;&gt;"não consta"),AND(L1083&lt;&gt;"",LOWER(L1083)&lt;&gt;"não consta"),IFERROR(INDEX(Empresas!$G:$G,MATCH(A1083,Empresas!$A:$A,0))&amp;"","")&lt;&gt;""),"SIM",""))</f>
        <v/>
      </c>
      <c r="N1083" s="5"/>
      <c r="O1083" s="32" t="str">
        <f aca="false">IF(D1083="","",YEAR(D1083))</f>
        <v/>
      </c>
      <c r="P1083" s="5"/>
    </row>
    <row r="1084" customFormat="false" ht="15" hidden="false" customHeight="false" outlineLevel="0" collapsed="false">
      <c r="A1084" s="27"/>
      <c r="B1084" s="5"/>
      <c r="C1084" s="35"/>
      <c r="D1084" s="18"/>
      <c r="E1084" s="5"/>
      <c r="F1084" s="14"/>
      <c r="G1084" s="5"/>
      <c r="H1084" s="27"/>
      <c r="I1084" s="5"/>
      <c r="J1084" s="19" t="str">
        <f aca="false">IF(A1084="","",IFERROR(INDEX(Empresas!$D:$D,MATCH(A1084,Empresas!$A:$A,0))&amp;"","não consta"))</f>
        <v/>
      </c>
      <c r="K1084" s="19" t="str">
        <f aca="false">IF(A1084="","",IFERROR(INDEX(Sancoes!$B:$B,MATCH(A1084,Sancoes!$A:$A,0))&amp;"","não consta"))</f>
        <v/>
      </c>
      <c r="L1084" s="19" t="str">
        <f aca="false">IF(A1084="","",IFERROR(INDEX(Eleitoral!$B:$B,MATCH(A1084,Eleitoral!$A:$A,0))&amp;"","não consta"))</f>
        <v/>
      </c>
      <c r="M1084" s="28" t="str">
        <f aca="false">IF(A1084="","",IF(OR(AND(K1084&lt;&gt;"",LOWER(K1084)&lt;&gt;"não consta"),AND(L1084&lt;&gt;"",LOWER(L1084)&lt;&gt;"não consta"),IFERROR(INDEX(Empresas!$G:$G,MATCH(A1084,Empresas!$A:$A,0))&amp;"","")&lt;&gt;""),"SIM",""))</f>
        <v/>
      </c>
      <c r="N1084" s="5"/>
      <c r="O1084" s="32" t="str">
        <f aca="false">IF(D1084="","",YEAR(D1084))</f>
        <v/>
      </c>
      <c r="P1084" s="5"/>
    </row>
    <row r="1085" customFormat="false" ht="15" hidden="false" customHeight="false" outlineLevel="0" collapsed="false">
      <c r="A1085" s="27"/>
      <c r="B1085" s="5"/>
      <c r="C1085" s="35"/>
      <c r="D1085" s="18"/>
      <c r="E1085" s="5"/>
      <c r="F1085" s="14"/>
      <c r="G1085" s="5"/>
      <c r="H1085" s="27"/>
      <c r="I1085" s="5"/>
      <c r="J1085" s="19" t="str">
        <f aca="false">IF(A1085="","",IFERROR(INDEX(Empresas!$D:$D,MATCH(A1085,Empresas!$A:$A,0))&amp;"","não consta"))</f>
        <v/>
      </c>
      <c r="K1085" s="19" t="str">
        <f aca="false">IF(A1085="","",IFERROR(INDEX(Sancoes!$B:$B,MATCH(A1085,Sancoes!$A:$A,0))&amp;"","não consta"))</f>
        <v/>
      </c>
      <c r="L1085" s="19" t="str">
        <f aca="false">IF(A1085="","",IFERROR(INDEX(Eleitoral!$B:$B,MATCH(A1085,Eleitoral!$A:$A,0))&amp;"","não consta"))</f>
        <v/>
      </c>
      <c r="M1085" s="28" t="str">
        <f aca="false">IF(A1085="","",IF(OR(AND(K1085&lt;&gt;"",LOWER(K1085)&lt;&gt;"não consta"),AND(L1085&lt;&gt;"",LOWER(L1085)&lt;&gt;"não consta"),IFERROR(INDEX(Empresas!$G:$G,MATCH(A1085,Empresas!$A:$A,0))&amp;"","")&lt;&gt;""),"SIM",""))</f>
        <v/>
      </c>
      <c r="N1085" s="5"/>
      <c r="O1085" s="32" t="str">
        <f aca="false">IF(D1085="","",YEAR(D1085))</f>
        <v/>
      </c>
      <c r="P1085" s="5"/>
    </row>
    <row r="1086" customFormat="false" ht="15" hidden="false" customHeight="false" outlineLevel="0" collapsed="false">
      <c r="A1086" s="27"/>
      <c r="B1086" s="5"/>
      <c r="C1086" s="35"/>
      <c r="D1086" s="18"/>
      <c r="E1086" s="5"/>
      <c r="F1086" s="14"/>
      <c r="G1086" s="5"/>
      <c r="H1086" s="27"/>
      <c r="I1086" s="5"/>
      <c r="J1086" s="19" t="str">
        <f aca="false">IF(A1086="","",IFERROR(INDEX(Empresas!$D:$D,MATCH(A1086,Empresas!$A:$A,0))&amp;"","não consta"))</f>
        <v/>
      </c>
      <c r="K1086" s="19" t="str">
        <f aca="false">IF(A1086="","",IFERROR(INDEX(Sancoes!$B:$B,MATCH(A1086,Sancoes!$A:$A,0))&amp;"","não consta"))</f>
        <v/>
      </c>
      <c r="L1086" s="19" t="str">
        <f aca="false">IF(A1086="","",IFERROR(INDEX(Eleitoral!$B:$B,MATCH(A1086,Eleitoral!$A:$A,0))&amp;"","não consta"))</f>
        <v/>
      </c>
      <c r="M1086" s="28" t="str">
        <f aca="false">IF(A1086="","",IF(OR(AND(K1086&lt;&gt;"",LOWER(K1086)&lt;&gt;"não consta"),AND(L1086&lt;&gt;"",LOWER(L1086)&lt;&gt;"não consta"),IFERROR(INDEX(Empresas!$G:$G,MATCH(A1086,Empresas!$A:$A,0))&amp;"","")&lt;&gt;""),"SIM",""))</f>
        <v/>
      </c>
      <c r="N1086" s="5"/>
      <c r="O1086" s="32" t="str">
        <f aca="false">IF(D1086="","",YEAR(D1086))</f>
        <v/>
      </c>
      <c r="P1086" s="5"/>
    </row>
    <row r="1087" customFormat="false" ht="15" hidden="false" customHeight="false" outlineLevel="0" collapsed="false">
      <c r="A1087" s="27"/>
      <c r="B1087" s="5"/>
      <c r="C1087" s="35"/>
      <c r="D1087" s="18"/>
      <c r="E1087" s="5"/>
      <c r="F1087" s="14"/>
      <c r="G1087" s="5"/>
      <c r="H1087" s="27"/>
      <c r="I1087" s="5"/>
      <c r="J1087" s="19" t="str">
        <f aca="false">IF(A1087="","",IFERROR(INDEX(Empresas!$D:$D,MATCH(A1087,Empresas!$A:$A,0))&amp;"","não consta"))</f>
        <v/>
      </c>
      <c r="K1087" s="19" t="str">
        <f aca="false">IF(A1087="","",IFERROR(INDEX(Sancoes!$B:$B,MATCH(A1087,Sancoes!$A:$A,0))&amp;"","não consta"))</f>
        <v/>
      </c>
      <c r="L1087" s="19" t="str">
        <f aca="false">IF(A1087="","",IFERROR(INDEX(Eleitoral!$B:$B,MATCH(A1087,Eleitoral!$A:$A,0))&amp;"","não consta"))</f>
        <v/>
      </c>
      <c r="M1087" s="28" t="str">
        <f aca="false">IF(A1087="","",IF(OR(AND(K1087&lt;&gt;"",LOWER(K1087)&lt;&gt;"não consta"),AND(L1087&lt;&gt;"",LOWER(L1087)&lt;&gt;"não consta"),IFERROR(INDEX(Empresas!$G:$G,MATCH(A1087,Empresas!$A:$A,0))&amp;"","")&lt;&gt;""),"SIM",""))</f>
        <v/>
      </c>
      <c r="N1087" s="5"/>
      <c r="O1087" s="32" t="str">
        <f aca="false">IF(D1087="","",YEAR(D1087))</f>
        <v/>
      </c>
      <c r="P1087" s="5"/>
    </row>
    <row r="1088" customFormat="false" ht="15" hidden="false" customHeight="false" outlineLevel="0" collapsed="false">
      <c r="A1088" s="27"/>
      <c r="B1088" s="5"/>
      <c r="C1088" s="35"/>
      <c r="D1088" s="18"/>
      <c r="E1088" s="5"/>
      <c r="F1088" s="14"/>
      <c r="G1088" s="5"/>
      <c r="H1088" s="27"/>
      <c r="I1088" s="5"/>
      <c r="J1088" s="19" t="str">
        <f aca="false">IF(A1088="","",IFERROR(INDEX(Empresas!$D:$D,MATCH(A1088,Empresas!$A:$A,0))&amp;"","não consta"))</f>
        <v/>
      </c>
      <c r="K1088" s="19" t="str">
        <f aca="false">IF(A1088="","",IFERROR(INDEX(Sancoes!$B:$B,MATCH(A1088,Sancoes!$A:$A,0))&amp;"","não consta"))</f>
        <v/>
      </c>
      <c r="L1088" s="19" t="str">
        <f aca="false">IF(A1088="","",IFERROR(INDEX(Eleitoral!$B:$B,MATCH(A1088,Eleitoral!$A:$A,0))&amp;"","não consta"))</f>
        <v/>
      </c>
      <c r="M1088" s="28" t="str">
        <f aca="false">IF(A1088="","",IF(OR(AND(K1088&lt;&gt;"",LOWER(K1088)&lt;&gt;"não consta"),AND(L1088&lt;&gt;"",LOWER(L1088)&lt;&gt;"não consta"),IFERROR(INDEX(Empresas!$G:$G,MATCH(A1088,Empresas!$A:$A,0))&amp;"","")&lt;&gt;""),"SIM",""))</f>
        <v/>
      </c>
      <c r="N1088" s="5"/>
      <c r="O1088" s="32" t="str">
        <f aca="false">IF(D1088="","",YEAR(D1088))</f>
        <v/>
      </c>
      <c r="P1088" s="5"/>
    </row>
    <row r="1089" customFormat="false" ht="15" hidden="false" customHeight="false" outlineLevel="0" collapsed="false">
      <c r="A1089" s="27"/>
      <c r="B1089" s="5"/>
      <c r="C1089" s="35"/>
      <c r="D1089" s="18"/>
      <c r="E1089" s="5"/>
      <c r="F1089" s="14"/>
      <c r="G1089" s="5"/>
      <c r="H1089" s="27"/>
      <c r="I1089" s="5"/>
      <c r="J1089" s="19" t="str">
        <f aca="false">IF(A1089="","",IFERROR(INDEX(Empresas!$D:$D,MATCH(A1089,Empresas!$A:$A,0))&amp;"","não consta"))</f>
        <v/>
      </c>
      <c r="K1089" s="19" t="str">
        <f aca="false">IF(A1089="","",IFERROR(INDEX(Sancoes!$B:$B,MATCH(A1089,Sancoes!$A:$A,0))&amp;"","não consta"))</f>
        <v/>
      </c>
      <c r="L1089" s="19" t="str">
        <f aca="false">IF(A1089="","",IFERROR(INDEX(Eleitoral!$B:$B,MATCH(A1089,Eleitoral!$A:$A,0))&amp;"","não consta"))</f>
        <v/>
      </c>
      <c r="M1089" s="28" t="str">
        <f aca="false">IF(A1089="","",IF(OR(AND(K1089&lt;&gt;"",LOWER(K1089)&lt;&gt;"não consta"),AND(L1089&lt;&gt;"",LOWER(L1089)&lt;&gt;"não consta"),IFERROR(INDEX(Empresas!$G:$G,MATCH(A1089,Empresas!$A:$A,0))&amp;"","")&lt;&gt;""),"SIM",""))</f>
        <v/>
      </c>
      <c r="N1089" s="5"/>
      <c r="O1089" s="32" t="str">
        <f aca="false">IF(D1089="","",YEAR(D1089))</f>
        <v/>
      </c>
      <c r="P1089" s="5"/>
    </row>
    <row r="1090" customFormat="false" ht="15" hidden="false" customHeight="false" outlineLevel="0" collapsed="false">
      <c r="A1090" s="27"/>
      <c r="B1090" s="5"/>
      <c r="C1090" s="35"/>
      <c r="D1090" s="18"/>
      <c r="E1090" s="5"/>
      <c r="F1090" s="14"/>
      <c r="G1090" s="5"/>
      <c r="H1090" s="27"/>
      <c r="I1090" s="5"/>
      <c r="J1090" s="19" t="str">
        <f aca="false">IF(A1090="","",IFERROR(INDEX(Empresas!$D:$D,MATCH(A1090,Empresas!$A:$A,0))&amp;"","não consta"))</f>
        <v/>
      </c>
      <c r="K1090" s="19" t="str">
        <f aca="false">IF(A1090="","",IFERROR(INDEX(Sancoes!$B:$B,MATCH(A1090,Sancoes!$A:$A,0))&amp;"","não consta"))</f>
        <v/>
      </c>
      <c r="L1090" s="19" t="str">
        <f aca="false">IF(A1090="","",IFERROR(INDEX(Eleitoral!$B:$B,MATCH(A1090,Eleitoral!$A:$A,0))&amp;"","não consta"))</f>
        <v/>
      </c>
      <c r="M1090" s="28" t="str">
        <f aca="false">IF(A1090="","",IF(OR(AND(K1090&lt;&gt;"",LOWER(K1090)&lt;&gt;"não consta"),AND(L1090&lt;&gt;"",LOWER(L1090)&lt;&gt;"não consta"),IFERROR(INDEX(Empresas!$G:$G,MATCH(A1090,Empresas!$A:$A,0))&amp;"","")&lt;&gt;""),"SIM",""))</f>
        <v/>
      </c>
      <c r="N1090" s="5"/>
      <c r="O1090" s="32" t="str">
        <f aca="false">IF(D1090="","",YEAR(D1090))</f>
        <v/>
      </c>
      <c r="P1090" s="5"/>
    </row>
    <row r="1091" customFormat="false" ht="15" hidden="false" customHeight="false" outlineLevel="0" collapsed="false">
      <c r="A1091" s="27"/>
      <c r="B1091" s="5"/>
      <c r="C1091" s="35"/>
      <c r="D1091" s="18"/>
      <c r="E1091" s="5"/>
      <c r="F1091" s="14"/>
      <c r="G1091" s="5"/>
      <c r="H1091" s="27"/>
      <c r="I1091" s="5"/>
      <c r="J1091" s="19" t="str">
        <f aca="false">IF(A1091="","",IFERROR(INDEX(Empresas!$D:$D,MATCH(A1091,Empresas!$A:$A,0))&amp;"","não consta"))</f>
        <v/>
      </c>
      <c r="K1091" s="19" t="str">
        <f aca="false">IF(A1091="","",IFERROR(INDEX(Sancoes!$B:$B,MATCH(A1091,Sancoes!$A:$A,0))&amp;"","não consta"))</f>
        <v/>
      </c>
      <c r="L1091" s="19" t="str">
        <f aca="false">IF(A1091="","",IFERROR(INDEX(Eleitoral!$B:$B,MATCH(A1091,Eleitoral!$A:$A,0))&amp;"","não consta"))</f>
        <v/>
      </c>
      <c r="M1091" s="28" t="str">
        <f aca="false">IF(A1091="","",IF(OR(AND(K1091&lt;&gt;"",LOWER(K1091)&lt;&gt;"não consta"),AND(L1091&lt;&gt;"",LOWER(L1091)&lt;&gt;"não consta"),IFERROR(INDEX(Empresas!$G:$G,MATCH(A1091,Empresas!$A:$A,0))&amp;"","")&lt;&gt;""),"SIM",""))</f>
        <v/>
      </c>
      <c r="N1091" s="5"/>
      <c r="O1091" s="32" t="str">
        <f aca="false">IF(D1091="","",YEAR(D1091))</f>
        <v/>
      </c>
      <c r="P1091" s="5"/>
    </row>
    <row r="1092" customFormat="false" ht="15" hidden="false" customHeight="false" outlineLevel="0" collapsed="false">
      <c r="A1092" s="27"/>
      <c r="B1092" s="5"/>
      <c r="C1092" s="35"/>
      <c r="D1092" s="18"/>
      <c r="E1092" s="5"/>
      <c r="F1092" s="14"/>
      <c r="G1092" s="5"/>
      <c r="H1092" s="27"/>
      <c r="I1092" s="5"/>
      <c r="J1092" s="19" t="str">
        <f aca="false">IF(A1092="","",IFERROR(INDEX(Empresas!$D:$D,MATCH(A1092,Empresas!$A:$A,0))&amp;"","não consta"))</f>
        <v/>
      </c>
      <c r="K1092" s="19" t="str">
        <f aca="false">IF(A1092="","",IFERROR(INDEX(Sancoes!$B:$B,MATCH(A1092,Sancoes!$A:$A,0))&amp;"","não consta"))</f>
        <v/>
      </c>
      <c r="L1092" s="19" t="str">
        <f aca="false">IF(A1092="","",IFERROR(INDEX(Eleitoral!$B:$B,MATCH(A1092,Eleitoral!$A:$A,0))&amp;"","não consta"))</f>
        <v/>
      </c>
      <c r="M1092" s="28" t="str">
        <f aca="false">IF(A1092="","",IF(OR(AND(K1092&lt;&gt;"",LOWER(K1092)&lt;&gt;"não consta"),AND(L1092&lt;&gt;"",LOWER(L1092)&lt;&gt;"não consta"),IFERROR(INDEX(Empresas!$G:$G,MATCH(A1092,Empresas!$A:$A,0))&amp;"","")&lt;&gt;""),"SIM",""))</f>
        <v/>
      </c>
      <c r="N1092" s="5"/>
      <c r="O1092" s="32" t="str">
        <f aca="false">IF(D1092="","",YEAR(D1092))</f>
        <v/>
      </c>
      <c r="P1092" s="5"/>
    </row>
    <row r="1093" customFormat="false" ht="15" hidden="false" customHeight="false" outlineLevel="0" collapsed="false">
      <c r="A1093" s="27"/>
      <c r="B1093" s="5"/>
      <c r="C1093" s="35"/>
      <c r="D1093" s="18"/>
      <c r="E1093" s="5"/>
      <c r="F1093" s="14"/>
      <c r="G1093" s="5"/>
      <c r="H1093" s="27"/>
      <c r="I1093" s="5"/>
      <c r="J1093" s="19" t="str">
        <f aca="false">IF(A1093="","",IFERROR(INDEX(Empresas!$D:$D,MATCH(A1093,Empresas!$A:$A,0))&amp;"","não consta"))</f>
        <v/>
      </c>
      <c r="K1093" s="19" t="str">
        <f aca="false">IF(A1093="","",IFERROR(INDEX(Sancoes!$B:$B,MATCH(A1093,Sancoes!$A:$A,0))&amp;"","não consta"))</f>
        <v/>
      </c>
      <c r="L1093" s="19" t="str">
        <f aca="false">IF(A1093="","",IFERROR(INDEX(Eleitoral!$B:$B,MATCH(A1093,Eleitoral!$A:$A,0))&amp;"","não consta"))</f>
        <v/>
      </c>
      <c r="M1093" s="28" t="str">
        <f aca="false">IF(A1093="","",IF(OR(AND(K1093&lt;&gt;"",LOWER(K1093)&lt;&gt;"não consta"),AND(L1093&lt;&gt;"",LOWER(L1093)&lt;&gt;"não consta"),IFERROR(INDEX(Empresas!$G:$G,MATCH(A1093,Empresas!$A:$A,0))&amp;"","")&lt;&gt;""),"SIM",""))</f>
        <v/>
      </c>
      <c r="N1093" s="5"/>
      <c r="O1093" s="32" t="str">
        <f aca="false">IF(D1093="","",YEAR(D1093))</f>
        <v/>
      </c>
      <c r="P1093" s="5"/>
    </row>
    <row r="1094" customFormat="false" ht="15" hidden="false" customHeight="false" outlineLevel="0" collapsed="false">
      <c r="A1094" s="27"/>
      <c r="B1094" s="5"/>
      <c r="C1094" s="35"/>
      <c r="D1094" s="18"/>
      <c r="E1094" s="5"/>
      <c r="F1094" s="14"/>
      <c r="G1094" s="5"/>
      <c r="H1094" s="27"/>
      <c r="I1094" s="5"/>
      <c r="J1094" s="19" t="str">
        <f aca="false">IF(A1094="","",IFERROR(INDEX(Empresas!$D:$D,MATCH(A1094,Empresas!$A:$A,0))&amp;"","não consta"))</f>
        <v/>
      </c>
      <c r="K1094" s="19" t="str">
        <f aca="false">IF(A1094="","",IFERROR(INDEX(Sancoes!$B:$B,MATCH(A1094,Sancoes!$A:$A,0))&amp;"","não consta"))</f>
        <v/>
      </c>
      <c r="L1094" s="19" t="str">
        <f aca="false">IF(A1094="","",IFERROR(INDEX(Eleitoral!$B:$B,MATCH(A1094,Eleitoral!$A:$A,0))&amp;"","não consta"))</f>
        <v/>
      </c>
      <c r="M1094" s="28" t="str">
        <f aca="false">IF(A1094="","",IF(OR(AND(K1094&lt;&gt;"",LOWER(K1094)&lt;&gt;"não consta"),AND(L1094&lt;&gt;"",LOWER(L1094)&lt;&gt;"não consta"),IFERROR(INDEX(Empresas!$G:$G,MATCH(A1094,Empresas!$A:$A,0))&amp;"","")&lt;&gt;""),"SIM",""))</f>
        <v/>
      </c>
      <c r="N1094" s="5"/>
      <c r="O1094" s="32" t="str">
        <f aca="false">IF(D1094="","",YEAR(D1094))</f>
        <v/>
      </c>
      <c r="P1094" s="5"/>
    </row>
    <row r="1095" customFormat="false" ht="15" hidden="false" customHeight="false" outlineLevel="0" collapsed="false">
      <c r="A1095" s="27"/>
      <c r="B1095" s="5"/>
      <c r="C1095" s="35"/>
      <c r="D1095" s="18"/>
      <c r="E1095" s="5"/>
      <c r="F1095" s="14"/>
      <c r="G1095" s="5"/>
      <c r="H1095" s="27"/>
      <c r="I1095" s="5"/>
      <c r="J1095" s="19" t="str">
        <f aca="false">IF(A1095="","",IFERROR(INDEX(Empresas!$D:$D,MATCH(A1095,Empresas!$A:$A,0))&amp;"","não consta"))</f>
        <v/>
      </c>
      <c r="K1095" s="19" t="str">
        <f aca="false">IF(A1095="","",IFERROR(INDEX(Sancoes!$B:$B,MATCH(A1095,Sancoes!$A:$A,0))&amp;"","não consta"))</f>
        <v/>
      </c>
      <c r="L1095" s="19" t="str">
        <f aca="false">IF(A1095="","",IFERROR(INDEX(Eleitoral!$B:$B,MATCH(A1095,Eleitoral!$A:$A,0))&amp;"","não consta"))</f>
        <v/>
      </c>
      <c r="M1095" s="28" t="str">
        <f aca="false">IF(A1095="","",IF(OR(AND(K1095&lt;&gt;"",LOWER(K1095)&lt;&gt;"não consta"),AND(L1095&lt;&gt;"",LOWER(L1095)&lt;&gt;"não consta"),IFERROR(INDEX(Empresas!$G:$G,MATCH(A1095,Empresas!$A:$A,0))&amp;"","")&lt;&gt;""),"SIM",""))</f>
        <v/>
      </c>
      <c r="N1095" s="5"/>
      <c r="O1095" s="32" t="str">
        <f aca="false">IF(D1095="","",YEAR(D1095))</f>
        <v/>
      </c>
      <c r="P1095" s="5"/>
    </row>
    <row r="1096" customFormat="false" ht="15" hidden="false" customHeight="false" outlineLevel="0" collapsed="false">
      <c r="A1096" s="27"/>
      <c r="B1096" s="5"/>
      <c r="C1096" s="35"/>
      <c r="D1096" s="18"/>
      <c r="E1096" s="5"/>
      <c r="F1096" s="14"/>
      <c r="G1096" s="5"/>
      <c r="H1096" s="27"/>
      <c r="I1096" s="5"/>
      <c r="J1096" s="19" t="str">
        <f aca="false">IF(A1096="","",IFERROR(INDEX(Empresas!$D:$D,MATCH(A1096,Empresas!$A:$A,0))&amp;"","não consta"))</f>
        <v/>
      </c>
      <c r="K1096" s="19" t="str">
        <f aca="false">IF(A1096="","",IFERROR(INDEX(Sancoes!$B:$B,MATCH(A1096,Sancoes!$A:$A,0))&amp;"","não consta"))</f>
        <v/>
      </c>
      <c r="L1096" s="19" t="str">
        <f aca="false">IF(A1096="","",IFERROR(INDEX(Eleitoral!$B:$B,MATCH(A1096,Eleitoral!$A:$A,0))&amp;"","não consta"))</f>
        <v/>
      </c>
      <c r="M1096" s="28" t="str">
        <f aca="false">IF(A1096="","",IF(OR(AND(K1096&lt;&gt;"",LOWER(K1096)&lt;&gt;"não consta"),AND(L1096&lt;&gt;"",LOWER(L1096)&lt;&gt;"não consta"),IFERROR(INDEX(Empresas!$G:$G,MATCH(A1096,Empresas!$A:$A,0))&amp;"","")&lt;&gt;""),"SIM",""))</f>
        <v/>
      </c>
      <c r="N1096" s="5"/>
      <c r="O1096" s="32" t="str">
        <f aca="false">IF(D1096="","",YEAR(D1096))</f>
        <v/>
      </c>
      <c r="P1096" s="5"/>
    </row>
    <row r="1097" customFormat="false" ht="15" hidden="false" customHeight="false" outlineLevel="0" collapsed="false">
      <c r="A1097" s="27"/>
      <c r="B1097" s="5"/>
      <c r="C1097" s="35"/>
      <c r="D1097" s="18"/>
      <c r="E1097" s="5"/>
      <c r="F1097" s="14"/>
      <c r="G1097" s="5"/>
      <c r="H1097" s="27"/>
      <c r="I1097" s="5"/>
      <c r="J1097" s="19" t="str">
        <f aca="false">IF(A1097="","",IFERROR(INDEX(Empresas!$D:$D,MATCH(A1097,Empresas!$A:$A,0))&amp;"","não consta"))</f>
        <v/>
      </c>
      <c r="K1097" s="19" t="str">
        <f aca="false">IF(A1097="","",IFERROR(INDEX(Sancoes!$B:$B,MATCH(A1097,Sancoes!$A:$A,0))&amp;"","não consta"))</f>
        <v/>
      </c>
      <c r="L1097" s="19" t="str">
        <f aca="false">IF(A1097="","",IFERROR(INDEX(Eleitoral!$B:$B,MATCH(A1097,Eleitoral!$A:$A,0))&amp;"","não consta"))</f>
        <v/>
      </c>
      <c r="M1097" s="28" t="str">
        <f aca="false">IF(A1097="","",IF(OR(AND(K1097&lt;&gt;"",LOWER(K1097)&lt;&gt;"não consta"),AND(L1097&lt;&gt;"",LOWER(L1097)&lt;&gt;"não consta"),IFERROR(INDEX(Empresas!$G:$G,MATCH(A1097,Empresas!$A:$A,0))&amp;"","")&lt;&gt;""),"SIM",""))</f>
        <v/>
      </c>
      <c r="N1097" s="5"/>
      <c r="O1097" s="32" t="str">
        <f aca="false">IF(D1097="","",YEAR(D1097))</f>
        <v/>
      </c>
      <c r="P1097" s="5"/>
    </row>
    <row r="1098" customFormat="false" ht="15" hidden="false" customHeight="false" outlineLevel="0" collapsed="false">
      <c r="A1098" s="27"/>
      <c r="B1098" s="5"/>
      <c r="C1098" s="35"/>
      <c r="D1098" s="18"/>
      <c r="E1098" s="5"/>
      <c r="F1098" s="14"/>
      <c r="G1098" s="5"/>
      <c r="H1098" s="27"/>
      <c r="I1098" s="5"/>
      <c r="J1098" s="19" t="str">
        <f aca="false">IF(A1098="","",IFERROR(INDEX(Empresas!$D:$D,MATCH(A1098,Empresas!$A:$A,0))&amp;"","não consta"))</f>
        <v/>
      </c>
      <c r="K1098" s="19" t="str">
        <f aca="false">IF(A1098="","",IFERROR(INDEX(Sancoes!$B:$B,MATCH(A1098,Sancoes!$A:$A,0))&amp;"","não consta"))</f>
        <v/>
      </c>
      <c r="L1098" s="19" t="str">
        <f aca="false">IF(A1098="","",IFERROR(INDEX(Eleitoral!$B:$B,MATCH(A1098,Eleitoral!$A:$A,0))&amp;"","não consta"))</f>
        <v/>
      </c>
      <c r="M1098" s="28" t="str">
        <f aca="false">IF(A1098="","",IF(OR(AND(K1098&lt;&gt;"",LOWER(K1098)&lt;&gt;"não consta"),AND(L1098&lt;&gt;"",LOWER(L1098)&lt;&gt;"não consta"),IFERROR(INDEX(Empresas!$G:$G,MATCH(A1098,Empresas!$A:$A,0))&amp;"","")&lt;&gt;""),"SIM",""))</f>
        <v/>
      </c>
      <c r="N1098" s="5"/>
      <c r="O1098" s="32" t="str">
        <f aca="false">IF(D1098="","",YEAR(D1098))</f>
        <v/>
      </c>
      <c r="P1098" s="5"/>
    </row>
    <row r="1099" customFormat="false" ht="15" hidden="false" customHeight="false" outlineLevel="0" collapsed="false">
      <c r="A1099" s="27"/>
      <c r="B1099" s="5"/>
      <c r="C1099" s="35"/>
      <c r="D1099" s="18"/>
      <c r="E1099" s="5"/>
      <c r="F1099" s="14"/>
      <c r="G1099" s="5"/>
      <c r="H1099" s="27"/>
      <c r="I1099" s="5"/>
      <c r="J1099" s="19" t="str">
        <f aca="false">IF(A1099="","",IFERROR(INDEX(Empresas!$D:$D,MATCH(A1099,Empresas!$A:$A,0))&amp;"","não consta"))</f>
        <v/>
      </c>
      <c r="K1099" s="19" t="str">
        <f aca="false">IF(A1099="","",IFERROR(INDEX(Sancoes!$B:$B,MATCH(A1099,Sancoes!$A:$A,0))&amp;"","não consta"))</f>
        <v/>
      </c>
      <c r="L1099" s="19" t="str">
        <f aca="false">IF(A1099="","",IFERROR(INDEX(Eleitoral!$B:$B,MATCH(A1099,Eleitoral!$A:$A,0))&amp;"","não consta"))</f>
        <v/>
      </c>
      <c r="M1099" s="28" t="str">
        <f aca="false">IF(A1099="","",IF(OR(AND(K1099&lt;&gt;"",LOWER(K1099)&lt;&gt;"não consta"),AND(L1099&lt;&gt;"",LOWER(L1099)&lt;&gt;"não consta"),IFERROR(INDEX(Empresas!$G:$G,MATCH(A1099,Empresas!$A:$A,0))&amp;"","")&lt;&gt;""),"SIM",""))</f>
        <v/>
      </c>
      <c r="N1099" s="5"/>
      <c r="O1099" s="32" t="str">
        <f aca="false">IF(D1099="","",YEAR(D1099))</f>
        <v/>
      </c>
      <c r="P1099" s="5"/>
    </row>
    <row r="1100" customFormat="false" ht="15" hidden="false" customHeight="false" outlineLevel="0" collapsed="false">
      <c r="A1100" s="27"/>
      <c r="B1100" s="5"/>
      <c r="C1100" s="35"/>
      <c r="D1100" s="18"/>
      <c r="E1100" s="5"/>
      <c r="F1100" s="14"/>
      <c r="G1100" s="5"/>
      <c r="H1100" s="27"/>
      <c r="I1100" s="5"/>
      <c r="J1100" s="19" t="str">
        <f aca="false">IF(A1100="","",IFERROR(INDEX(Empresas!$D:$D,MATCH(A1100,Empresas!$A:$A,0))&amp;"","não consta"))</f>
        <v/>
      </c>
      <c r="K1100" s="19" t="str">
        <f aca="false">IF(A1100="","",IFERROR(INDEX(Sancoes!$B:$B,MATCH(A1100,Sancoes!$A:$A,0))&amp;"","não consta"))</f>
        <v/>
      </c>
      <c r="L1100" s="19" t="str">
        <f aca="false">IF(A1100="","",IFERROR(INDEX(Eleitoral!$B:$B,MATCH(A1100,Eleitoral!$A:$A,0))&amp;"","não consta"))</f>
        <v/>
      </c>
      <c r="M1100" s="28" t="str">
        <f aca="false">IF(A1100="","",IF(OR(AND(K1100&lt;&gt;"",LOWER(K1100)&lt;&gt;"não consta"),AND(L1100&lt;&gt;"",LOWER(L1100)&lt;&gt;"não consta"),IFERROR(INDEX(Empresas!$G:$G,MATCH(A1100,Empresas!$A:$A,0))&amp;"","")&lt;&gt;""),"SIM",""))</f>
        <v/>
      </c>
      <c r="N1100" s="5"/>
      <c r="O1100" s="32" t="str">
        <f aca="false">IF(D1100="","",YEAR(D1100))</f>
        <v/>
      </c>
      <c r="P1100" s="5"/>
    </row>
    <row r="1101" customFormat="false" ht="15" hidden="false" customHeight="false" outlineLevel="0" collapsed="false">
      <c r="A1101" s="27"/>
      <c r="B1101" s="5"/>
      <c r="C1101" s="35"/>
      <c r="D1101" s="18"/>
      <c r="E1101" s="5"/>
      <c r="F1101" s="14"/>
      <c r="G1101" s="5"/>
      <c r="H1101" s="27"/>
      <c r="I1101" s="5"/>
      <c r="J1101" s="19" t="str">
        <f aca="false">IF(A1101="","",IFERROR(INDEX(Empresas!$D:$D,MATCH(A1101,Empresas!$A:$A,0))&amp;"","não consta"))</f>
        <v/>
      </c>
      <c r="K1101" s="19" t="str">
        <f aca="false">IF(A1101="","",IFERROR(INDEX(Sancoes!$B:$B,MATCH(A1101,Sancoes!$A:$A,0))&amp;"","não consta"))</f>
        <v/>
      </c>
      <c r="L1101" s="19" t="str">
        <f aca="false">IF(A1101="","",IFERROR(INDEX(Eleitoral!$B:$B,MATCH(A1101,Eleitoral!$A:$A,0))&amp;"","não consta"))</f>
        <v/>
      </c>
      <c r="M1101" s="28" t="str">
        <f aca="false">IF(A1101="","",IF(OR(AND(K1101&lt;&gt;"",LOWER(K1101)&lt;&gt;"não consta"),AND(L1101&lt;&gt;"",LOWER(L1101)&lt;&gt;"não consta"),IFERROR(INDEX(Empresas!$G:$G,MATCH(A1101,Empresas!$A:$A,0))&amp;"","")&lt;&gt;""),"SIM",""))</f>
        <v/>
      </c>
      <c r="N1101" s="5"/>
      <c r="O1101" s="32" t="str">
        <f aca="false">IF(D1101="","",YEAR(D1101))</f>
        <v/>
      </c>
      <c r="P1101" s="5"/>
    </row>
    <row r="1102" customFormat="false" ht="15" hidden="false" customHeight="false" outlineLevel="0" collapsed="false">
      <c r="A1102" s="27"/>
      <c r="B1102" s="5"/>
      <c r="C1102" s="35"/>
      <c r="D1102" s="18"/>
      <c r="E1102" s="5"/>
      <c r="F1102" s="14"/>
      <c r="G1102" s="5"/>
      <c r="H1102" s="27"/>
      <c r="I1102" s="5"/>
      <c r="J1102" s="19" t="str">
        <f aca="false">IF(A1102="","",IFERROR(INDEX(Empresas!$D:$D,MATCH(A1102,Empresas!$A:$A,0))&amp;"","não consta"))</f>
        <v/>
      </c>
      <c r="K1102" s="19" t="str">
        <f aca="false">IF(A1102="","",IFERROR(INDEX(Sancoes!$B:$B,MATCH(A1102,Sancoes!$A:$A,0))&amp;"","não consta"))</f>
        <v/>
      </c>
      <c r="L1102" s="19" t="str">
        <f aca="false">IF(A1102="","",IFERROR(INDEX(Eleitoral!$B:$B,MATCH(A1102,Eleitoral!$A:$A,0))&amp;"","não consta"))</f>
        <v/>
      </c>
      <c r="M1102" s="28" t="str">
        <f aca="false">IF(A1102="","",IF(OR(AND(K1102&lt;&gt;"",LOWER(K1102)&lt;&gt;"não consta"),AND(L1102&lt;&gt;"",LOWER(L1102)&lt;&gt;"não consta"),IFERROR(INDEX(Empresas!$G:$G,MATCH(A1102,Empresas!$A:$A,0))&amp;"","")&lt;&gt;""),"SIM",""))</f>
        <v/>
      </c>
      <c r="N1102" s="5"/>
      <c r="O1102" s="32" t="str">
        <f aca="false">IF(D1102="","",YEAR(D1102))</f>
        <v/>
      </c>
      <c r="P1102" s="5"/>
    </row>
    <row r="1103" customFormat="false" ht="15" hidden="false" customHeight="false" outlineLevel="0" collapsed="false">
      <c r="A1103" s="27"/>
      <c r="B1103" s="5"/>
      <c r="C1103" s="35"/>
      <c r="D1103" s="18"/>
      <c r="E1103" s="5"/>
      <c r="F1103" s="14"/>
      <c r="G1103" s="5"/>
      <c r="H1103" s="27"/>
      <c r="I1103" s="5"/>
      <c r="J1103" s="19" t="str">
        <f aca="false">IF(A1103="","",IFERROR(INDEX(Empresas!$D:$D,MATCH(A1103,Empresas!$A:$A,0))&amp;"","não consta"))</f>
        <v/>
      </c>
      <c r="K1103" s="19" t="str">
        <f aca="false">IF(A1103="","",IFERROR(INDEX(Sancoes!$B:$B,MATCH(A1103,Sancoes!$A:$A,0))&amp;"","não consta"))</f>
        <v/>
      </c>
      <c r="L1103" s="19" t="str">
        <f aca="false">IF(A1103="","",IFERROR(INDEX(Eleitoral!$B:$B,MATCH(A1103,Eleitoral!$A:$A,0))&amp;"","não consta"))</f>
        <v/>
      </c>
      <c r="M1103" s="28" t="str">
        <f aca="false">IF(A1103="","",IF(OR(AND(K1103&lt;&gt;"",LOWER(K1103)&lt;&gt;"não consta"),AND(L1103&lt;&gt;"",LOWER(L1103)&lt;&gt;"não consta"),IFERROR(INDEX(Empresas!$G:$G,MATCH(A1103,Empresas!$A:$A,0))&amp;"","")&lt;&gt;""),"SIM",""))</f>
        <v/>
      </c>
      <c r="N1103" s="5"/>
      <c r="O1103" s="32" t="str">
        <f aca="false">IF(D1103="","",YEAR(D1103))</f>
        <v/>
      </c>
      <c r="P1103" s="5"/>
    </row>
    <row r="1104" customFormat="false" ht="15" hidden="false" customHeight="false" outlineLevel="0" collapsed="false">
      <c r="A1104" s="27"/>
      <c r="B1104" s="5"/>
      <c r="C1104" s="35"/>
      <c r="D1104" s="18"/>
      <c r="E1104" s="5"/>
      <c r="F1104" s="14"/>
      <c r="G1104" s="5"/>
      <c r="H1104" s="27"/>
      <c r="I1104" s="5"/>
      <c r="J1104" s="19" t="str">
        <f aca="false">IF(A1104="","",IFERROR(INDEX(Empresas!$D:$D,MATCH(A1104,Empresas!$A:$A,0))&amp;"","não consta"))</f>
        <v/>
      </c>
      <c r="K1104" s="19" t="str">
        <f aca="false">IF(A1104="","",IFERROR(INDEX(Sancoes!$B:$B,MATCH(A1104,Sancoes!$A:$A,0))&amp;"","não consta"))</f>
        <v/>
      </c>
      <c r="L1104" s="19" t="str">
        <f aca="false">IF(A1104="","",IFERROR(INDEX(Eleitoral!$B:$B,MATCH(A1104,Eleitoral!$A:$A,0))&amp;"","não consta"))</f>
        <v/>
      </c>
      <c r="M1104" s="28" t="str">
        <f aca="false">IF(A1104="","",IF(OR(AND(K1104&lt;&gt;"",LOWER(K1104)&lt;&gt;"não consta"),AND(L1104&lt;&gt;"",LOWER(L1104)&lt;&gt;"não consta"),IFERROR(INDEX(Empresas!$G:$G,MATCH(A1104,Empresas!$A:$A,0))&amp;"","")&lt;&gt;""),"SIM",""))</f>
        <v/>
      </c>
      <c r="N1104" s="5"/>
      <c r="O1104" s="32" t="str">
        <f aca="false">IF(D1104="","",YEAR(D1104))</f>
        <v/>
      </c>
      <c r="P1104" s="5"/>
    </row>
    <row r="1105" customFormat="false" ht="15" hidden="false" customHeight="false" outlineLevel="0" collapsed="false">
      <c r="A1105" s="27"/>
      <c r="B1105" s="5"/>
      <c r="C1105" s="35"/>
      <c r="D1105" s="18"/>
      <c r="E1105" s="5"/>
      <c r="F1105" s="14"/>
      <c r="G1105" s="5"/>
      <c r="H1105" s="27"/>
      <c r="I1105" s="5"/>
      <c r="J1105" s="19" t="str">
        <f aca="false">IF(A1105="","",IFERROR(INDEX(Empresas!$D:$D,MATCH(A1105,Empresas!$A:$A,0))&amp;"","não consta"))</f>
        <v/>
      </c>
      <c r="K1105" s="19" t="str">
        <f aca="false">IF(A1105="","",IFERROR(INDEX(Sancoes!$B:$B,MATCH(A1105,Sancoes!$A:$A,0))&amp;"","não consta"))</f>
        <v/>
      </c>
      <c r="L1105" s="19" t="str">
        <f aca="false">IF(A1105="","",IFERROR(INDEX(Eleitoral!$B:$B,MATCH(A1105,Eleitoral!$A:$A,0))&amp;"","não consta"))</f>
        <v/>
      </c>
      <c r="M1105" s="28" t="str">
        <f aca="false">IF(A1105="","",IF(OR(AND(K1105&lt;&gt;"",LOWER(K1105)&lt;&gt;"não consta"),AND(L1105&lt;&gt;"",LOWER(L1105)&lt;&gt;"não consta"),IFERROR(INDEX(Empresas!$G:$G,MATCH(A1105,Empresas!$A:$A,0))&amp;"","")&lt;&gt;""),"SIM",""))</f>
        <v/>
      </c>
      <c r="N1105" s="5"/>
      <c r="O1105" s="32" t="str">
        <f aca="false">IF(D1105="","",YEAR(D1105))</f>
        <v/>
      </c>
      <c r="P1105" s="5"/>
    </row>
    <row r="1106" customFormat="false" ht="15" hidden="false" customHeight="false" outlineLevel="0" collapsed="false">
      <c r="A1106" s="27"/>
      <c r="B1106" s="5"/>
      <c r="C1106" s="35"/>
      <c r="D1106" s="18"/>
      <c r="E1106" s="5"/>
      <c r="F1106" s="14"/>
      <c r="G1106" s="5"/>
      <c r="H1106" s="27"/>
      <c r="I1106" s="5"/>
      <c r="J1106" s="19" t="str">
        <f aca="false">IF(A1106="","",IFERROR(INDEX(Empresas!$D:$D,MATCH(A1106,Empresas!$A:$A,0))&amp;"","não consta"))</f>
        <v/>
      </c>
      <c r="K1106" s="19" t="str">
        <f aca="false">IF(A1106="","",IFERROR(INDEX(Sancoes!$B:$B,MATCH(A1106,Sancoes!$A:$A,0))&amp;"","não consta"))</f>
        <v/>
      </c>
      <c r="L1106" s="19" t="str">
        <f aca="false">IF(A1106="","",IFERROR(INDEX(Eleitoral!$B:$B,MATCH(A1106,Eleitoral!$A:$A,0))&amp;"","não consta"))</f>
        <v/>
      </c>
      <c r="M1106" s="28" t="str">
        <f aca="false">IF(A1106="","",IF(OR(AND(K1106&lt;&gt;"",LOWER(K1106)&lt;&gt;"não consta"),AND(L1106&lt;&gt;"",LOWER(L1106)&lt;&gt;"não consta"),IFERROR(INDEX(Empresas!$G:$G,MATCH(A1106,Empresas!$A:$A,0))&amp;"","")&lt;&gt;""),"SIM",""))</f>
        <v/>
      </c>
      <c r="N1106" s="5"/>
      <c r="O1106" s="32" t="str">
        <f aca="false">IF(D1106="","",YEAR(D1106))</f>
        <v/>
      </c>
      <c r="P1106" s="5"/>
    </row>
    <row r="1107" customFormat="false" ht="15" hidden="false" customHeight="false" outlineLevel="0" collapsed="false">
      <c r="A1107" s="27"/>
      <c r="B1107" s="5"/>
      <c r="C1107" s="35"/>
      <c r="D1107" s="18"/>
      <c r="E1107" s="5"/>
      <c r="F1107" s="14"/>
      <c r="G1107" s="5"/>
      <c r="H1107" s="27"/>
      <c r="I1107" s="5"/>
      <c r="J1107" s="19" t="str">
        <f aca="false">IF(A1107="","",IFERROR(INDEX(Empresas!$D:$D,MATCH(A1107,Empresas!$A:$A,0))&amp;"","não consta"))</f>
        <v/>
      </c>
      <c r="K1107" s="19" t="str">
        <f aca="false">IF(A1107="","",IFERROR(INDEX(Sancoes!$B:$B,MATCH(A1107,Sancoes!$A:$A,0))&amp;"","não consta"))</f>
        <v/>
      </c>
      <c r="L1107" s="19" t="str">
        <f aca="false">IF(A1107="","",IFERROR(INDEX(Eleitoral!$B:$B,MATCH(A1107,Eleitoral!$A:$A,0))&amp;"","não consta"))</f>
        <v/>
      </c>
      <c r="M1107" s="28" t="str">
        <f aca="false">IF(A1107="","",IF(OR(AND(K1107&lt;&gt;"",LOWER(K1107)&lt;&gt;"não consta"),AND(L1107&lt;&gt;"",LOWER(L1107)&lt;&gt;"não consta"),IFERROR(INDEX(Empresas!$G:$G,MATCH(A1107,Empresas!$A:$A,0))&amp;"","")&lt;&gt;""),"SIM",""))</f>
        <v/>
      </c>
      <c r="N1107" s="5"/>
      <c r="O1107" s="32" t="str">
        <f aca="false">IF(D1107="","",YEAR(D1107))</f>
        <v/>
      </c>
      <c r="P1107" s="5"/>
    </row>
    <row r="1108" customFormat="false" ht="15" hidden="false" customHeight="false" outlineLevel="0" collapsed="false">
      <c r="A1108" s="27"/>
      <c r="B1108" s="5"/>
      <c r="C1108" s="35"/>
      <c r="D1108" s="18"/>
      <c r="E1108" s="5"/>
      <c r="F1108" s="14"/>
      <c r="G1108" s="5"/>
      <c r="H1108" s="27"/>
      <c r="I1108" s="5"/>
      <c r="J1108" s="19" t="str">
        <f aca="false">IF(A1108="","",IFERROR(INDEX(Empresas!$D:$D,MATCH(A1108,Empresas!$A:$A,0))&amp;"","não consta"))</f>
        <v/>
      </c>
      <c r="K1108" s="19" t="str">
        <f aca="false">IF(A1108="","",IFERROR(INDEX(Sancoes!$B:$B,MATCH(A1108,Sancoes!$A:$A,0))&amp;"","não consta"))</f>
        <v/>
      </c>
      <c r="L1108" s="19" t="str">
        <f aca="false">IF(A1108="","",IFERROR(INDEX(Eleitoral!$B:$B,MATCH(A1108,Eleitoral!$A:$A,0))&amp;"","não consta"))</f>
        <v/>
      </c>
      <c r="M1108" s="28" t="str">
        <f aca="false">IF(A1108="","",IF(OR(AND(K1108&lt;&gt;"",LOWER(K1108)&lt;&gt;"não consta"),AND(L1108&lt;&gt;"",LOWER(L1108)&lt;&gt;"não consta"),IFERROR(INDEX(Empresas!$G:$G,MATCH(A1108,Empresas!$A:$A,0))&amp;"","")&lt;&gt;""),"SIM",""))</f>
        <v/>
      </c>
      <c r="N1108" s="5"/>
      <c r="O1108" s="32" t="str">
        <f aca="false">IF(D1108="","",YEAR(D1108))</f>
        <v/>
      </c>
      <c r="P1108" s="5"/>
    </row>
    <row r="1109" customFormat="false" ht="15" hidden="false" customHeight="false" outlineLevel="0" collapsed="false">
      <c r="A1109" s="27"/>
      <c r="B1109" s="5"/>
      <c r="C1109" s="35"/>
      <c r="D1109" s="18"/>
      <c r="E1109" s="5"/>
      <c r="F1109" s="14"/>
      <c r="G1109" s="5"/>
      <c r="H1109" s="27"/>
      <c r="I1109" s="5"/>
      <c r="J1109" s="19" t="str">
        <f aca="false">IF(A1109="","",IFERROR(INDEX(Empresas!$D:$D,MATCH(A1109,Empresas!$A:$A,0))&amp;"","não consta"))</f>
        <v/>
      </c>
      <c r="K1109" s="19" t="str">
        <f aca="false">IF(A1109="","",IFERROR(INDEX(Sancoes!$B:$B,MATCH(A1109,Sancoes!$A:$A,0))&amp;"","não consta"))</f>
        <v/>
      </c>
      <c r="L1109" s="19" t="str">
        <f aca="false">IF(A1109="","",IFERROR(INDEX(Eleitoral!$B:$B,MATCH(A1109,Eleitoral!$A:$A,0))&amp;"","não consta"))</f>
        <v/>
      </c>
      <c r="M1109" s="28" t="str">
        <f aca="false">IF(A1109="","",IF(OR(AND(K1109&lt;&gt;"",LOWER(K1109)&lt;&gt;"não consta"),AND(L1109&lt;&gt;"",LOWER(L1109)&lt;&gt;"não consta"),IFERROR(INDEX(Empresas!$G:$G,MATCH(A1109,Empresas!$A:$A,0))&amp;"","")&lt;&gt;""),"SIM",""))</f>
        <v/>
      </c>
      <c r="N1109" s="5"/>
      <c r="O1109" s="32" t="str">
        <f aca="false">IF(D1109="","",YEAR(D1109))</f>
        <v/>
      </c>
      <c r="P1109" s="5"/>
    </row>
    <row r="1110" customFormat="false" ht="15" hidden="false" customHeight="false" outlineLevel="0" collapsed="false">
      <c r="A1110" s="27"/>
      <c r="B1110" s="5"/>
      <c r="C1110" s="35"/>
      <c r="D1110" s="18"/>
      <c r="E1110" s="5"/>
      <c r="F1110" s="14"/>
      <c r="G1110" s="5"/>
      <c r="H1110" s="27"/>
      <c r="I1110" s="5"/>
      <c r="J1110" s="19" t="str">
        <f aca="false">IF(A1110="","",IFERROR(INDEX(Empresas!$D:$D,MATCH(A1110,Empresas!$A:$A,0))&amp;"","não consta"))</f>
        <v/>
      </c>
      <c r="K1110" s="19" t="str">
        <f aca="false">IF(A1110="","",IFERROR(INDEX(Sancoes!$B:$B,MATCH(A1110,Sancoes!$A:$A,0))&amp;"","não consta"))</f>
        <v/>
      </c>
      <c r="L1110" s="19" t="str">
        <f aca="false">IF(A1110="","",IFERROR(INDEX(Eleitoral!$B:$B,MATCH(A1110,Eleitoral!$A:$A,0))&amp;"","não consta"))</f>
        <v/>
      </c>
      <c r="M1110" s="28" t="str">
        <f aca="false">IF(A1110="","",IF(OR(AND(K1110&lt;&gt;"",LOWER(K1110)&lt;&gt;"não consta"),AND(L1110&lt;&gt;"",LOWER(L1110)&lt;&gt;"não consta"),IFERROR(INDEX(Empresas!$G:$G,MATCH(A1110,Empresas!$A:$A,0))&amp;"","")&lt;&gt;""),"SIM",""))</f>
        <v/>
      </c>
      <c r="N1110" s="5"/>
      <c r="O1110" s="32" t="str">
        <f aca="false">IF(D1110="","",YEAR(D1110))</f>
        <v/>
      </c>
      <c r="P1110" s="5"/>
    </row>
    <row r="1111" customFormat="false" ht="15" hidden="false" customHeight="false" outlineLevel="0" collapsed="false">
      <c r="A1111" s="27"/>
      <c r="B1111" s="5"/>
      <c r="C1111" s="35"/>
      <c r="D1111" s="18"/>
      <c r="E1111" s="5"/>
      <c r="F1111" s="14"/>
      <c r="G1111" s="5"/>
      <c r="H1111" s="27"/>
      <c r="I1111" s="5"/>
      <c r="J1111" s="19" t="str">
        <f aca="false">IF(A1111="","",IFERROR(INDEX(Empresas!$D:$D,MATCH(A1111,Empresas!$A:$A,0))&amp;"","não consta"))</f>
        <v/>
      </c>
      <c r="K1111" s="19" t="str">
        <f aca="false">IF(A1111="","",IFERROR(INDEX(Sancoes!$B:$B,MATCH(A1111,Sancoes!$A:$A,0))&amp;"","não consta"))</f>
        <v/>
      </c>
      <c r="L1111" s="19" t="str">
        <f aca="false">IF(A1111="","",IFERROR(INDEX(Eleitoral!$B:$B,MATCH(A1111,Eleitoral!$A:$A,0))&amp;"","não consta"))</f>
        <v/>
      </c>
      <c r="M1111" s="28" t="str">
        <f aca="false">IF(A1111="","",IF(OR(AND(K1111&lt;&gt;"",LOWER(K1111)&lt;&gt;"não consta"),AND(L1111&lt;&gt;"",LOWER(L1111)&lt;&gt;"não consta"),IFERROR(INDEX(Empresas!$G:$G,MATCH(A1111,Empresas!$A:$A,0))&amp;"","")&lt;&gt;""),"SIM",""))</f>
        <v/>
      </c>
      <c r="N1111" s="5"/>
      <c r="O1111" s="32" t="str">
        <f aca="false">IF(D1111="","",YEAR(D1111))</f>
        <v/>
      </c>
      <c r="P1111" s="5"/>
    </row>
    <row r="1112" customFormat="false" ht="15" hidden="false" customHeight="false" outlineLevel="0" collapsed="false">
      <c r="A1112" s="27"/>
      <c r="B1112" s="5"/>
      <c r="C1112" s="35"/>
      <c r="D1112" s="18"/>
      <c r="E1112" s="5"/>
      <c r="F1112" s="14"/>
      <c r="G1112" s="5"/>
      <c r="H1112" s="27"/>
      <c r="I1112" s="5"/>
      <c r="J1112" s="19" t="str">
        <f aca="false">IF(A1112="","",IFERROR(INDEX(Empresas!$D:$D,MATCH(A1112,Empresas!$A:$A,0))&amp;"","não consta"))</f>
        <v/>
      </c>
      <c r="K1112" s="19" t="str">
        <f aca="false">IF(A1112="","",IFERROR(INDEX(Sancoes!$B:$B,MATCH(A1112,Sancoes!$A:$A,0))&amp;"","não consta"))</f>
        <v/>
      </c>
      <c r="L1112" s="19" t="str">
        <f aca="false">IF(A1112="","",IFERROR(INDEX(Eleitoral!$B:$B,MATCH(A1112,Eleitoral!$A:$A,0))&amp;"","não consta"))</f>
        <v/>
      </c>
      <c r="M1112" s="28" t="str">
        <f aca="false">IF(A1112="","",IF(OR(AND(K1112&lt;&gt;"",LOWER(K1112)&lt;&gt;"não consta"),AND(L1112&lt;&gt;"",LOWER(L1112)&lt;&gt;"não consta"),IFERROR(INDEX(Empresas!$G:$G,MATCH(A1112,Empresas!$A:$A,0))&amp;"","")&lt;&gt;""),"SIM",""))</f>
        <v/>
      </c>
      <c r="N1112" s="5"/>
      <c r="O1112" s="32" t="str">
        <f aca="false">IF(D1112="","",YEAR(D1112))</f>
        <v/>
      </c>
      <c r="P1112" s="5"/>
    </row>
    <row r="1113" customFormat="false" ht="15" hidden="false" customHeight="false" outlineLevel="0" collapsed="false">
      <c r="A1113" s="27"/>
      <c r="B1113" s="5"/>
      <c r="C1113" s="35"/>
      <c r="D1113" s="18"/>
      <c r="E1113" s="5"/>
      <c r="F1113" s="14"/>
      <c r="G1113" s="5"/>
      <c r="H1113" s="27"/>
      <c r="I1113" s="5"/>
      <c r="J1113" s="19" t="str">
        <f aca="false">IF(A1113="","",IFERROR(INDEX(Empresas!$D:$D,MATCH(A1113,Empresas!$A:$A,0))&amp;"","não consta"))</f>
        <v/>
      </c>
      <c r="K1113" s="19" t="str">
        <f aca="false">IF(A1113="","",IFERROR(INDEX(Sancoes!$B:$B,MATCH(A1113,Sancoes!$A:$A,0))&amp;"","não consta"))</f>
        <v/>
      </c>
      <c r="L1113" s="19" t="str">
        <f aca="false">IF(A1113="","",IFERROR(INDEX(Eleitoral!$B:$B,MATCH(A1113,Eleitoral!$A:$A,0))&amp;"","não consta"))</f>
        <v/>
      </c>
      <c r="M1113" s="28" t="str">
        <f aca="false">IF(A1113="","",IF(OR(AND(K1113&lt;&gt;"",LOWER(K1113)&lt;&gt;"não consta"),AND(L1113&lt;&gt;"",LOWER(L1113)&lt;&gt;"não consta"),IFERROR(INDEX(Empresas!$G:$G,MATCH(A1113,Empresas!$A:$A,0))&amp;"","")&lt;&gt;""),"SIM",""))</f>
        <v/>
      </c>
      <c r="N1113" s="5"/>
      <c r="O1113" s="32" t="str">
        <f aca="false">IF(D1113="","",YEAR(D1113))</f>
        <v/>
      </c>
      <c r="P1113" s="5"/>
    </row>
    <row r="1114" customFormat="false" ht="15" hidden="false" customHeight="false" outlineLevel="0" collapsed="false">
      <c r="A1114" s="27"/>
      <c r="B1114" s="5"/>
      <c r="C1114" s="35"/>
      <c r="D1114" s="18"/>
      <c r="E1114" s="5"/>
      <c r="F1114" s="14"/>
      <c r="G1114" s="5"/>
      <c r="H1114" s="27"/>
      <c r="I1114" s="5"/>
      <c r="J1114" s="19" t="str">
        <f aca="false">IF(A1114="","",IFERROR(INDEX(Empresas!$D:$D,MATCH(A1114,Empresas!$A:$A,0))&amp;"","não consta"))</f>
        <v/>
      </c>
      <c r="K1114" s="19" t="str">
        <f aca="false">IF(A1114="","",IFERROR(INDEX(Sancoes!$B:$B,MATCH(A1114,Sancoes!$A:$A,0))&amp;"","não consta"))</f>
        <v/>
      </c>
      <c r="L1114" s="19" t="str">
        <f aca="false">IF(A1114="","",IFERROR(INDEX(Eleitoral!$B:$B,MATCH(A1114,Eleitoral!$A:$A,0))&amp;"","não consta"))</f>
        <v/>
      </c>
      <c r="M1114" s="28" t="str">
        <f aca="false">IF(A1114="","",IF(OR(AND(K1114&lt;&gt;"",LOWER(K1114)&lt;&gt;"não consta"),AND(L1114&lt;&gt;"",LOWER(L1114)&lt;&gt;"não consta"),IFERROR(INDEX(Empresas!$G:$G,MATCH(A1114,Empresas!$A:$A,0))&amp;"","")&lt;&gt;""),"SIM",""))</f>
        <v/>
      </c>
      <c r="N1114" s="5"/>
      <c r="O1114" s="32" t="str">
        <f aca="false">IF(D1114="","",YEAR(D1114))</f>
        <v/>
      </c>
      <c r="P1114" s="5"/>
    </row>
    <row r="1115" customFormat="false" ht="15" hidden="false" customHeight="false" outlineLevel="0" collapsed="false">
      <c r="A1115" s="27"/>
      <c r="B1115" s="5"/>
      <c r="C1115" s="35"/>
      <c r="D1115" s="18"/>
      <c r="E1115" s="5"/>
      <c r="F1115" s="14"/>
      <c r="G1115" s="5"/>
      <c r="H1115" s="27"/>
      <c r="I1115" s="5"/>
      <c r="J1115" s="19" t="str">
        <f aca="false">IF(A1115="","",IFERROR(INDEX(Empresas!$D:$D,MATCH(A1115,Empresas!$A:$A,0))&amp;"","não consta"))</f>
        <v/>
      </c>
      <c r="K1115" s="19" t="str">
        <f aca="false">IF(A1115="","",IFERROR(INDEX(Sancoes!$B:$B,MATCH(A1115,Sancoes!$A:$A,0))&amp;"","não consta"))</f>
        <v/>
      </c>
      <c r="L1115" s="19" t="str">
        <f aca="false">IF(A1115="","",IFERROR(INDEX(Eleitoral!$B:$B,MATCH(A1115,Eleitoral!$A:$A,0))&amp;"","não consta"))</f>
        <v/>
      </c>
      <c r="M1115" s="28" t="str">
        <f aca="false">IF(A1115="","",IF(OR(AND(K1115&lt;&gt;"",LOWER(K1115)&lt;&gt;"não consta"),AND(L1115&lt;&gt;"",LOWER(L1115)&lt;&gt;"não consta"),IFERROR(INDEX(Empresas!$G:$G,MATCH(A1115,Empresas!$A:$A,0))&amp;"","")&lt;&gt;""),"SIM",""))</f>
        <v/>
      </c>
      <c r="N1115" s="5"/>
      <c r="O1115" s="32" t="str">
        <f aca="false">IF(D1115="","",YEAR(D1115))</f>
        <v/>
      </c>
      <c r="P1115" s="5"/>
    </row>
    <row r="1116" customFormat="false" ht="15" hidden="false" customHeight="false" outlineLevel="0" collapsed="false">
      <c r="A1116" s="27"/>
      <c r="B1116" s="5"/>
      <c r="C1116" s="35"/>
      <c r="D1116" s="18"/>
      <c r="E1116" s="5"/>
      <c r="F1116" s="14"/>
      <c r="G1116" s="5"/>
      <c r="H1116" s="27"/>
      <c r="I1116" s="5"/>
      <c r="J1116" s="19" t="str">
        <f aca="false">IF(A1116="","",IFERROR(INDEX(Empresas!$D:$D,MATCH(A1116,Empresas!$A:$A,0))&amp;"","não consta"))</f>
        <v/>
      </c>
      <c r="K1116" s="19" t="str">
        <f aca="false">IF(A1116="","",IFERROR(INDEX(Sancoes!$B:$B,MATCH(A1116,Sancoes!$A:$A,0))&amp;"","não consta"))</f>
        <v/>
      </c>
      <c r="L1116" s="19" t="str">
        <f aca="false">IF(A1116="","",IFERROR(INDEX(Eleitoral!$B:$B,MATCH(A1116,Eleitoral!$A:$A,0))&amp;"","não consta"))</f>
        <v/>
      </c>
      <c r="M1116" s="28" t="str">
        <f aca="false">IF(A1116="","",IF(OR(AND(K1116&lt;&gt;"",LOWER(K1116)&lt;&gt;"não consta"),AND(L1116&lt;&gt;"",LOWER(L1116)&lt;&gt;"não consta"),IFERROR(INDEX(Empresas!$G:$G,MATCH(A1116,Empresas!$A:$A,0))&amp;"","")&lt;&gt;""),"SIM",""))</f>
        <v/>
      </c>
      <c r="N1116" s="5"/>
      <c r="O1116" s="32" t="str">
        <f aca="false">IF(D1116="","",YEAR(D1116))</f>
        <v/>
      </c>
      <c r="P1116" s="5"/>
    </row>
    <row r="1117" customFormat="false" ht="15" hidden="false" customHeight="false" outlineLevel="0" collapsed="false">
      <c r="A1117" s="27"/>
      <c r="B1117" s="5"/>
      <c r="C1117" s="35"/>
      <c r="D1117" s="18"/>
      <c r="E1117" s="5"/>
      <c r="F1117" s="14"/>
      <c r="G1117" s="5"/>
      <c r="H1117" s="27"/>
      <c r="I1117" s="5"/>
      <c r="J1117" s="19" t="str">
        <f aca="false">IF(A1117="","",IFERROR(INDEX(Empresas!$D:$D,MATCH(A1117,Empresas!$A:$A,0))&amp;"","não consta"))</f>
        <v/>
      </c>
      <c r="K1117" s="19" t="str">
        <f aca="false">IF(A1117="","",IFERROR(INDEX(Sancoes!$B:$B,MATCH(A1117,Sancoes!$A:$A,0))&amp;"","não consta"))</f>
        <v/>
      </c>
      <c r="L1117" s="19" t="str">
        <f aca="false">IF(A1117="","",IFERROR(INDEX(Eleitoral!$B:$B,MATCH(A1117,Eleitoral!$A:$A,0))&amp;"","não consta"))</f>
        <v/>
      </c>
      <c r="M1117" s="28" t="str">
        <f aca="false">IF(A1117="","",IF(OR(AND(K1117&lt;&gt;"",LOWER(K1117)&lt;&gt;"não consta"),AND(L1117&lt;&gt;"",LOWER(L1117)&lt;&gt;"não consta"),IFERROR(INDEX(Empresas!$G:$G,MATCH(A1117,Empresas!$A:$A,0))&amp;"","")&lt;&gt;""),"SIM",""))</f>
        <v/>
      </c>
      <c r="N1117" s="5"/>
      <c r="O1117" s="32" t="str">
        <f aca="false">IF(D1117="","",YEAR(D1117))</f>
        <v/>
      </c>
      <c r="P1117" s="5"/>
    </row>
    <row r="1118" customFormat="false" ht="15" hidden="false" customHeight="false" outlineLevel="0" collapsed="false">
      <c r="A1118" s="27"/>
      <c r="B1118" s="5"/>
      <c r="C1118" s="35"/>
      <c r="D1118" s="18"/>
      <c r="E1118" s="5"/>
      <c r="F1118" s="14"/>
      <c r="G1118" s="5"/>
      <c r="H1118" s="27"/>
      <c r="I1118" s="5"/>
      <c r="J1118" s="19" t="str">
        <f aca="false">IF(A1118="","",IFERROR(INDEX(Empresas!$D:$D,MATCH(A1118,Empresas!$A:$A,0))&amp;"","não consta"))</f>
        <v/>
      </c>
      <c r="K1118" s="19" t="str">
        <f aca="false">IF(A1118="","",IFERROR(INDEX(Sancoes!$B:$B,MATCH(A1118,Sancoes!$A:$A,0))&amp;"","não consta"))</f>
        <v/>
      </c>
      <c r="L1118" s="19" t="str">
        <f aca="false">IF(A1118="","",IFERROR(INDEX(Eleitoral!$B:$B,MATCH(A1118,Eleitoral!$A:$A,0))&amp;"","não consta"))</f>
        <v/>
      </c>
      <c r="M1118" s="28" t="str">
        <f aca="false">IF(A1118="","",IF(OR(AND(K1118&lt;&gt;"",LOWER(K1118)&lt;&gt;"não consta"),AND(L1118&lt;&gt;"",LOWER(L1118)&lt;&gt;"não consta"),IFERROR(INDEX(Empresas!$G:$G,MATCH(A1118,Empresas!$A:$A,0))&amp;"","")&lt;&gt;""),"SIM",""))</f>
        <v/>
      </c>
      <c r="N1118" s="5"/>
      <c r="O1118" s="32" t="str">
        <f aca="false">IF(D1118="","",YEAR(D1118))</f>
        <v/>
      </c>
      <c r="P1118" s="5"/>
    </row>
    <row r="1119" customFormat="false" ht="15" hidden="false" customHeight="false" outlineLevel="0" collapsed="false">
      <c r="A1119" s="27"/>
      <c r="B1119" s="5"/>
      <c r="C1119" s="35"/>
      <c r="D1119" s="18"/>
      <c r="E1119" s="5"/>
      <c r="F1119" s="14"/>
      <c r="G1119" s="5"/>
      <c r="H1119" s="27"/>
      <c r="I1119" s="5"/>
      <c r="J1119" s="19" t="str">
        <f aca="false">IF(A1119="","",IFERROR(INDEX(Empresas!$D:$D,MATCH(A1119,Empresas!$A:$A,0))&amp;"","não consta"))</f>
        <v/>
      </c>
      <c r="K1119" s="19" t="str">
        <f aca="false">IF(A1119="","",IFERROR(INDEX(Sancoes!$B:$B,MATCH(A1119,Sancoes!$A:$A,0))&amp;"","não consta"))</f>
        <v/>
      </c>
      <c r="L1119" s="19" t="str">
        <f aca="false">IF(A1119="","",IFERROR(INDEX(Eleitoral!$B:$B,MATCH(A1119,Eleitoral!$A:$A,0))&amp;"","não consta"))</f>
        <v/>
      </c>
      <c r="M1119" s="28" t="str">
        <f aca="false">IF(A1119="","",IF(OR(AND(K1119&lt;&gt;"",LOWER(K1119)&lt;&gt;"não consta"),AND(L1119&lt;&gt;"",LOWER(L1119)&lt;&gt;"não consta"),IFERROR(INDEX(Empresas!$G:$G,MATCH(A1119,Empresas!$A:$A,0))&amp;"","")&lt;&gt;""),"SIM",""))</f>
        <v/>
      </c>
      <c r="N1119" s="5"/>
      <c r="O1119" s="32" t="str">
        <f aca="false">IF(D1119="","",YEAR(D1119))</f>
        <v/>
      </c>
      <c r="P1119" s="5"/>
    </row>
    <row r="1120" customFormat="false" ht="15" hidden="false" customHeight="false" outlineLevel="0" collapsed="false">
      <c r="A1120" s="27"/>
      <c r="B1120" s="5"/>
      <c r="C1120" s="35"/>
      <c r="D1120" s="18"/>
      <c r="E1120" s="5"/>
      <c r="F1120" s="14"/>
      <c r="G1120" s="5"/>
      <c r="H1120" s="27"/>
      <c r="I1120" s="5"/>
      <c r="J1120" s="19" t="str">
        <f aca="false">IF(A1120="","",IFERROR(INDEX(Empresas!$D:$D,MATCH(A1120,Empresas!$A:$A,0))&amp;"","não consta"))</f>
        <v/>
      </c>
      <c r="K1120" s="19" t="str">
        <f aca="false">IF(A1120="","",IFERROR(INDEX(Sancoes!$B:$B,MATCH(A1120,Sancoes!$A:$A,0))&amp;"","não consta"))</f>
        <v/>
      </c>
      <c r="L1120" s="19" t="str">
        <f aca="false">IF(A1120="","",IFERROR(INDEX(Eleitoral!$B:$B,MATCH(A1120,Eleitoral!$A:$A,0))&amp;"","não consta"))</f>
        <v/>
      </c>
      <c r="M1120" s="28" t="str">
        <f aca="false">IF(A1120="","",IF(OR(AND(K1120&lt;&gt;"",LOWER(K1120)&lt;&gt;"não consta"),AND(L1120&lt;&gt;"",LOWER(L1120)&lt;&gt;"não consta"),IFERROR(INDEX(Empresas!$G:$G,MATCH(A1120,Empresas!$A:$A,0))&amp;"","")&lt;&gt;""),"SIM",""))</f>
        <v/>
      </c>
      <c r="N1120" s="5"/>
      <c r="O1120" s="32" t="str">
        <f aca="false">IF(D1120="","",YEAR(D1120))</f>
        <v/>
      </c>
      <c r="P1120" s="5"/>
    </row>
    <row r="1121" customFormat="false" ht="15" hidden="false" customHeight="false" outlineLevel="0" collapsed="false">
      <c r="A1121" s="27"/>
      <c r="B1121" s="5"/>
      <c r="C1121" s="35"/>
      <c r="D1121" s="18"/>
      <c r="E1121" s="5"/>
      <c r="F1121" s="14"/>
      <c r="G1121" s="5"/>
      <c r="H1121" s="27"/>
      <c r="I1121" s="5"/>
      <c r="J1121" s="19" t="str">
        <f aca="false">IF(A1121="","",IFERROR(INDEX(Empresas!$D:$D,MATCH(A1121,Empresas!$A:$A,0))&amp;"","não consta"))</f>
        <v/>
      </c>
      <c r="K1121" s="19" t="str">
        <f aca="false">IF(A1121="","",IFERROR(INDEX(Sancoes!$B:$B,MATCH(A1121,Sancoes!$A:$A,0))&amp;"","não consta"))</f>
        <v/>
      </c>
      <c r="L1121" s="19" t="str">
        <f aca="false">IF(A1121="","",IFERROR(INDEX(Eleitoral!$B:$B,MATCH(A1121,Eleitoral!$A:$A,0))&amp;"","não consta"))</f>
        <v/>
      </c>
      <c r="M1121" s="28" t="str">
        <f aca="false">IF(A1121="","",IF(OR(AND(K1121&lt;&gt;"",LOWER(K1121)&lt;&gt;"não consta"),AND(L1121&lt;&gt;"",LOWER(L1121)&lt;&gt;"não consta"),IFERROR(INDEX(Empresas!$G:$G,MATCH(A1121,Empresas!$A:$A,0))&amp;"","")&lt;&gt;""),"SIM",""))</f>
        <v/>
      </c>
      <c r="N1121" s="5"/>
      <c r="O1121" s="32" t="str">
        <f aca="false">IF(D1121="","",YEAR(D1121))</f>
        <v/>
      </c>
      <c r="P1121" s="5"/>
    </row>
    <row r="1122" customFormat="false" ht="15" hidden="false" customHeight="false" outlineLevel="0" collapsed="false">
      <c r="A1122" s="27"/>
      <c r="B1122" s="5"/>
      <c r="C1122" s="35"/>
      <c r="D1122" s="18"/>
      <c r="E1122" s="5"/>
      <c r="F1122" s="14"/>
      <c r="G1122" s="5"/>
      <c r="H1122" s="27"/>
      <c r="I1122" s="5"/>
      <c r="J1122" s="19" t="str">
        <f aca="false">IF(A1122="","",IFERROR(INDEX(Empresas!$D:$D,MATCH(A1122,Empresas!$A:$A,0))&amp;"","não consta"))</f>
        <v/>
      </c>
      <c r="K1122" s="19" t="str">
        <f aca="false">IF(A1122="","",IFERROR(INDEX(Sancoes!$B:$B,MATCH(A1122,Sancoes!$A:$A,0))&amp;"","não consta"))</f>
        <v/>
      </c>
      <c r="L1122" s="19" t="str">
        <f aca="false">IF(A1122="","",IFERROR(INDEX(Eleitoral!$B:$B,MATCH(A1122,Eleitoral!$A:$A,0))&amp;"","não consta"))</f>
        <v/>
      </c>
      <c r="M1122" s="28" t="str">
        <f aca="false">IF(A1122="","",IF(OR(AND(K1122&lt;&gt;"",LOWER(K1122)&lt;&gt;"não consta"),AND(L1122&lt;&gt;"",LOWER(L1122)&lt;&gt;"não consta"),IFERROR(INDEX(Empresas!$G:$G,MATCH(A1122,Empresas!$A:$A,0))&amp;"","")&lt;&gt;""),"SIM",""))</f>
        <v/>
      </c>
      <c r="N1122" s="5"/>
      <c r="O1122" s="32" t="str">
        <f aca="false">IF(D1122="","",YEAR(D1122))</f>
        <v/>
      </c>
      <c r="P1122" s="5"/>
    </row>
    <row r="1123" customFormat="false" ht="15" hidden="false" customHeight="false" outlineLevel="0" collapsed="false">
      <c r="A1123" s="27"/>
      <c r="B1123" s="5"/>
      <c r="C1123" s="35"/>
      <c r="D1123" s="18"/>
      <c r="E1123" s="5"/>
      <c r="F1123" s="14"/>
      <c r="G1123" s="5"/>
      <c r="H1123" s="27"/>
      <c r="I1123" s="5"/>
      <c r="J1123" s="19" t="str">
        <f aca="false">IF(A1123="","",IFERROR(INDEX(Empresas!$D:$D,MATCH(A1123,Empresas!$A:$A,0))&amp;"","não consta"))</f>
        <v/>
      </c>
      <c r="K1123" s="19" t="str">
        <f aca="false">IF(A1123="","",IFERROR(INDEX(Sancoes!$B:$B,MATCH(A1123,Sancoes!$A:$A,0))&amp;"","não consta"))</f>
        <v/>
      </c>
      <c r="L1123" s="19" t="str">
        <f aca="false">IF(A1123="","",IFERROR(INDEX(Eleitoral!$B:$B,MATCH(A1123,Eleitoral!$A:$A,0))&amp;"","não consta"))</f>
        <v/>
      </c>
      <c r="M1123" s="28" t="str">
        <f aca="false">IF(A1123="","",IF(OR(AND(K1123&lt;&gt;"",LOWER(K1123)&lt;&gt;"não consta"),AND(L1123&lt;&gt;"",LOWER(L1123)&lt;&gt;"não consta"),IFERROR(INDEX(Empresas!$G:$G,MATCH(A1123,Empresas!$A:$A,0))&amp;"","")&lt;&gt;""),"SIM",""))</f>
        <v/>
      </c>
      <c r="N1123" s="5"/>
      <c r="O1123" s="32" t="str">
        <f aca="false">IF(D1123="","",YEAR(D1123))</f>
        <v/>
      </c>
      <c r="P1123" s="5"/>
    </row>
    <row r="1124" customFormat="false" ht="15" hidden="false" customHeight="false" outlineLevel="0" collapsed="false">
      <c r="A1124" s="27"/>
      <c r="B1124" s="5"/>
      <c r="C1124" s="35"/>
      <c r="D1124" s="18"/>
      <c r="E1124" s="5"/>
      <c r="F1124" s="14"/>
      <c r="G1124" s="5"/>
      <c r="H1124" s="27"/>
      <c r="I1124" s="5"/>
      <c r="J1124" s="19" t="str">
        <f aca="false">IF(A1124="","",IFERROR(INDEX(Empresas!$D:$D,MATCH(A1124,Empresas!$A:$A,0))&amp;"","não consta"))</f>
        <v/>
      </c>
      <c r="K1124" s="19" t="str">
        <f aca="false">IF(A1124="","",IFERROR(INDEX(Sancoes!$B:$B,MATCH(A1124,Sancoes!$A:$A,0))&amp;"","não consta"))</f>
        <v/>
      </c>
      <c r="L1124" s="19" t="str">
        <f aca="false">IF(A1124="","",IFERROR(INDEX(Eleitoral!$B:$B,MATCH(A1124,Eleitoral!$A:$A,0))&amp;"","não consta"))</f>
        <v/>
      </c>
      <c r="M1124" s="28" t="str">
        <f aca="false">IF(A1124="","",IF(OR(AND(K1124&lt;&gt;"",LOWER(K1124)&lt;&gt;"não consta"),AND(L1124&lt;&gt;"",LOWER(L1124)&lt;&gt;"não consta"),IFERROR(INDEX(Empresas!$G:$G,MATCH(A1124,Empresas!$A:$A,0))&amp;"","")&lt;&gt;""),"SIM",""))</f>
        <v/>
      </c>
      <c r="N1124" s="5"/>
      <c r="O1124" s="32" t="str">
        <f aca="false">IF(D1124="","",YEAR(D1124))</f>
        <v/>
      </c>
      <c r="P1124" s="5"/>
    </row>
    <row r="1125" customFormat="false" ht="15" hidden="false" customHeight="false" outlineLevel="0" collapsed="false">
      <c r="A1125" s="27"/>
      <c r="B1125" s="5"/>
      <c r="C1125" s="35"/>
      <c r="D1125" s="18"/>
      <c r="E1125" s="5"/>
      <c r="F1125" s="14"/>
      <c r="G1125" s="5"/>
      <c r="H1125" s="27"/>
      <c r="I1125" s="5"/>
      <c r="J1125" s="19" t="str">
        <f aca="false">IF(A1125="","",IFERROR(INDEX(Empresas!$D:$D,MATCH(A1125,Empresas!$A:$A,0))&amp;"","não consta"))</f>
        <v/>
      </c>
      <c r="K1125" s="19" t="str">
        <f aca="false">IF(A1125="","",IFERROR(INDEX(Sancoes!$B:$B,MATCH(A1125,Sancoes!$A:$A,0))&amp;"","não consta"))</f>
        <v/>
      </c>
      <c r="L1125" s="19" t="str">
        <f aca="false">IF(A1125="","",IFERROR(INDEX(Eleitoral!$B:$B,MATCH(A1125,Eleitoral!$A:$A,0))&amp;"","não consta"))</f>
        <v/>
      </c>
      <c r="M1125" s="28" t="str">
        <f aca="false">IF(A1125="","",IF(OR(AND(K1125&lt;&gt;"",LOWER(K1125)&lt;&gt;"não consta"),AND(L1125&lt;&gt;"",LOWER(L1125)&lt;&gt;"não consta"),IFERROR(INDEX(Empresas!$G:$G,MATCH(A1125,Empresas!$A:$A,0))&amp;"","")&lt;&gt;""),"SIM",""))</f>
        <v/>
      </c>
      <c r="N1125" s="5"/>
      <c r="O1125" s="32" t="str">
        <f aca="false">IF(D1125="","",YEAR(D1125))</f>
        <v/>
      </c>
      <c r="P1125" s="5"/>
    </row>
    <row r="1126" customFormat="false" ht="15" hidden="false" customHeight="false" outlineLevel="0" collapsed="false">
      <c r="A1126" s="27"/>
      <c r="B1126" s="5"/>
      <c r="C1126" s="35"/>
      <c r="D1126" s="18"/>
      <c r="E1126" s="5"/>
      <c r="F1126" s="14"/>
      <c r="G1126" s="5"/>
      <c r="H1126" s="27"/>
      <c r="I1126" s="5"/>
      <c r="J1126" s="19" t="str">
        <f aca="false">IF(A1126="","",IFERROR(INDEX(Empresas!$D:$D,MATCH(A1126,Empresas!$A:$A,0))&amp;"","não consta"))</f>
        <v/>
      </c>
      <c r="K1126" s="19" t="str">
        <f aca="false">IF(A1126="","",IFERROR(INDEX(Sancoes!$B:$B,MATCH(A1126,Sancoes!$A:$A,0))&amp;"","não consta"))</f>
        <v/>
      </c>
      <c r="L1126" s="19" t="str">
        <f aca="false">IF(A1126="","",IFERROR(INDEX(Eleitoral!$B:$B,MATCH(A1126,Eleitoral!$A:$A,0))&amp;"","não consta"))</f>
        <v/>
      </c>
      <c r="M1126" s="28" t="str">
        <f aca="false">IF(A1126="","",IF(OR(AND(K1126&lt;&gt;"",LOWER(K1126)&lt;&gt;"não consta"),AND(L1126&lt;&gt;"",LOWER(L1126)&lt;&gt;"não consta"),IFERROR(INDEX(Empresas!$G:$G,MATCH(A1126,Empresas!$A:$A,0))&amp;"","")&lt;&gt;""),"SIM",""))</f>
        <v/>
      </c>
      <c r="N1126" s="5"/>
      <c r="O1126" s="32" t="str">
        <f aca="false">IF(D1126="","",YEAR(D1126))</f>
        <v/>
      </c>
      <c r="P1126" s="5"/>
    </row>
    <row r="1127" customFormat="false" ht="15" hidden="false" customHeight="false" outlineLevel="0" collapsed="false">
      <c r="A1127" s="27"/>
      <c r="B1127" s="5"/>
      <c r="C1127" s="35"/>
      <c r="D1127" s="18"/>
      <c r="E1127" s="5"/>
      <c r="F1127" s="14"/>
      <c r="G1127" s="5"/>
      <c r="H1127" s="27"/>
      <c r="I1127" s="5"/>
      <c r="J1127" s="19" t="str">
        <f aca="false">IF(A1127="","",IFERROR(INDEX(Empresas!$D:$D,MATCH(A1127,Empresas!$A:$A,0))&amp;"","não consta"))</f>
        <v/>
      </c>
      <c r="K1127" s="19" t="str">
        <f aca="false">IF(A1127="","",IFERROR(INDEX(Sancoes!$B:$B,MATCH(A1127,Sancoes!$A:$A,0))&amp;"","não consta"))</f>
        <v/>
      </c>
      <c r="L1127" s="19" t="str">
        <f aca="false">IF(A1127="","",IFERROR(INDEX(Eleitoral!$B:$B,MATCH(A1127,Eleitoral!$A:$A,0))&amp;"","não consta"))</f>
        <v/>
      </c>
      <c r="M1127" s="28" t="str">
        <f aca="false">IF(A1127="","",IF(OR(AND(K1127&lt;&gt;"",LOWER(K1127)&lt;&gt;"não consta"),AND(L1127&lt;&gt;"",LOWER(L1127)&lt;&gt;"não consta"),IFERROR(INDEX(Empresas!$G:$G,MATCH(A1127,Empresas!$A:$A,0))&amp;"","")&lt;&gt;""),"SIM",""))</f>
        <v/>
      </c>
      <c r="N1127" s="5"/>
      <c r="O1127" s="32" t="str">
        <f aca="false">IF(D1127="","",YEAR(D1127))</f>
        <v/>
      </c>
      <c r="P1127" s="5"/>
    </row>
    <row r="1128" customFormat="false" ht="15" hidden="false" customHeight="false" outlineLevel="0" collapsed="false">
      <c r="A1128" s="27"/>
      <c r="B1128" s="5"/>
      <c r="C1128" s="35"/>
      <c r="D1128" s="18"/>
      <c r="E1128" s="5"/>
      <c r="F1128" s="14"/>
      <c r="G1128" s="5"/>
      <c r="H1128" s="27"/>
      <c r="I1128" s="5"/>
      <c r="J1128" s="19" t="str">
        <f aca="false">IF(A1128="","",IFERROR(INDEX(Empresas!$D:$D,MATCH(A1128,Empresas!$A:$A,0))&amp;"","não consta"))</f>
        <v/>
      </c>
      <c r="K1128" s="19" t="str">
        <f aca="false">IF(A1128="","",IFERROR(INDEX(Sancoes!$B:$B,MATCH(A1128,Sancoes!$A:$A,0))&amp;"","não consta"))</f>
        <v/>
      </c>
      <c r="L1128" s="19" t="str">
        <f aca="false">IF(A1128="","",IFERROR(INDEX(Eleitoral!$B:$B,MATCH(A1128,Eleitoral!$A:$A,0))&amp;"","não consta"))</f>
        <v/>
      </c>
      <c r="M1128" s="28" t="str">
        <f aca="false">IF(A1128="","",IF(OR(AND(K1128&lt;&gt;"",LOWER(K1128)&lt;&gt;"não consta"),AND(L1128&lt;&gt;"",LOWER(L1128)&lt;&gt;"não consta"),IFERROR(INDEX(Empresas!$G:$G,MATCH(A1128,Empresas!$A:$A,0))&amp;"","")&lt;&gt;""),"SIM",""))</f>
        <v/>
      </c>
      <c r="N1128" s="5"/>
      <c r="O1128" s="32" t="str">
        <f aca="false">IF(D1128="","",YEAR(D1128))</f>
        <v/>
      </c>
      <c r="P1128" s="5"/>
    </row>
    <row r="1129" customFormat="false" ht="15" hidden="false" customHeight="false" outlineLevel="0" collapsed="false">
      <c r="A1129" s="27"/>
      <c r="B1129" s="5"/>
      <c r="C1129" s="35"/>
      <c r="D1129" s="18"/>
      <c r="E1129" s="5"/>
      <c r="F1129" s="14"/>
      <c r="G1129" s="5"/>
      <c r="H1129" s="27"/>
      <c r="I1129" s="5"/>
      <c r="J1129" s="19" t="str">
        <f aca="false">IF(A1129="","",IFERROR(INDEX(Empresas!$D:$D,MATCH(A1129,Empresas!$A:$A,0))&amp;"","não consta"))</f>
        <v/>
      </c>
      <c r="K1129" s="19" t="str">
        <f aca="false">IF(A1129="","",IFERROR(INDEX(Sancoes!$B:$B,MATCH(A1129,Sancoes!$A:$A,0))&amp;"","não consta"))</f>
        <v/>
      </c>
      <c r="L1129" s="19" t="str">
        <f aca="false">IF(A1129="","",IFERROR(INDEX(Eleitoral!$B:$B,MATCH(A1129,Eleitoral!$A:$A,0))&amp;"","não consta"))</f>
        <v/>
      </c>
      <c r="M1129" s="28" t="str">
        <f aca="false">IF(A1129="","",IF(OR(AND(K1129&lt;&gt;"",LOWER(K1129)&lt;&gt;"não consta"),AND(L1129&lt;&gt;"",LOWER(L1129)&lt;&gt;"não consta"),IFERROR(INDEX(Empresas!$G:$G,MATCH(A1129,Empresas!$A:$A,0))&amp;"","")&lt;&gt;""),"SIM",""))</f>
        <v/>
      </c>
      <c r="N1129" s="5"/>
      <c r="O1129" s="32" t="str">
        <f aca="false">IF(D1129="","",YEAR(D1129))</f>
        <v/>
      </c>
      <c r="P1129" s="5"/>
    </row>
    <row r="1130" customFormat="false" ht="15" hidden="false" customHeight="false" outlineLevel="0" collapsed="false">
      <c r="A1130" s="27"/>
      <c r="B1130" s="5"/>
      <c r="C1130" s="35"/>
      <c r="D1130" s="18"/>
      <c r="E1130" s="5"/>
      <c r="F1130" s="14"/>
      <c r="G1130" s="5"/>
      <c r="H1130" s="27"/>
      <c r="I1130" s="5"/>
      <c r="J1130" s="19" t="str">
        <f aca="false">IF(A1130="","",IFERROR(INDEX(Empresas!$D:$D,MATCH(A1130,Empresas!$A:$A,0))&amp;"","não consta"))</f>
        <v/>
      </c>
      <c r="K1130" s="19" t="str">
        <f aca="false">IF(A1130="","",IFERROR(INDEX(Sancoes!$B:$B,MATCH(A1130,Sancoes!$A:$A,0))&amp;"","não consta"))</f>
        <v/>
      </c>
      <c r="L1130" s="19" t="str">
        <f aca="false">IF(A1130="","",IFERROR(INDEX(Eleitoral!$B:$B,MATCH(A1130,Eleitoral!$A:$A,0))&amp;"","não consta"))</f>
        <v/>
      </c>
      <c r="M1130" s="28" t="str">
        <f aca="false">IF(A1130="","",IF(OR(AND(K1130&lt;&gt;"",LOWER(K1130)&lt;&gt;"não consta"),AND(L1130&lt;&gt;"",LOWER(L1130)&lt;&gt;"não consta"),IFERROR(INDEX(Empresas!$G:$G,MATCH(A1130,Empresas!$A:$A,0))&amp;"","")&lt;&gt;""),"SIM",""))</f>
        <v/>
      </c>
      <c r="N1130" s="5"/>
      <c r="O1130" s="32" t="str">
        <f aca="false">IF(D1130="","",YEAR(D1130))</f>
        <v/>
      </c>
      <c r="P1130" s="5"/>
    </row>
    <row r="1131" customFormat="false" ht="15" hidden="false" customHeight="false" outlineLevel="0" collapsed="false">
      <c r="A1131" s="27"/>
      <c r="B1131" s="5"/>
      <c r="C1131" s="35"/>
      <c r="D1131" s="18"/>
      <c r="E1131" s="5"/>
      <c r="F1131" s="14"/>
      <c r="G1131" s="5"/>
      <c r="H1131" s="27"/>
      <c r="I1131" s="5"/>
      <c r="J1131" s="19" t="str">
        <f aca="false">IF(A1131="","",IFERROR(INDEX(Empresas!$D:$D,MATCH(A1131,Empresas!$A:$A,0))&amp;"","não consta"))</f>
        <v/>
      </c>
      <c r="K1131" s="19" t="str">
        <f aca="false">IF(A1131="","",IFERROR(INDEX(Sancoes!$B:$B,MATCH(A1131,Sancoes!$A:$A,0))&amp;"","não consta"))</f>
        <v/>
      </c>
      <c r="L1131" s="19" t="str">
        <f aca="false">IF(A1131="","",IFERROR(INDEX(Eleitoral!$B:$B,MATCH(A1131,Eleitoral!$A:$A,0))&amp;"","não consta"))</f>
        <v/>
      </c>
      <c r="M1131" s="28" t="str">
        <f aca="false">IF(A1131="","",IF(OR(AND(K1131&lt;&gt;"",LOWER(K1131)&lt;&gt;"não consta"),AND(L1131&lt;&gt;"",LOWER(L1131)&lt;&gt;"não consta"),IFERROR(INDEX(Empresas!$G:$G,MATCH(A1131,Empresas!$A:$A,0))&amp;"","")&lt;&gt;""),"SIM",""))</f>
        <v/>
      </c>
      <c r="N1131" s="5"/>
      <c r="O1131" s="32" t="str">
        <f aca="false">IF(D1131="","",YEAR(D1131))</f>
        <v/>
      </c>
      <c r="P1131" s="5"/>
    </row>
    <row r="1132" customFormat="false" ht="15" hidden="false" customHeight="false" outlineLevel="0" collapsed="false">
      <c r="A1132" s="27"/>
      <c r="B1132" s="5"/>
      <c r="C1132" s="35"/>
      <c r="D1132" s="18"/>
      <c r="E1132" s="5"/>
      <c r="F1132" s="14"/>
      <c r="G1132" s="5"/>
      <c r="H1132" s="27"/>
      <c r="I1132" s="5"/>
      <c r="J1132" s="19" t="str">
        <f aca="false">IF(A1132="","",IFERROR(INDEX(Empresas!$D:$D,MATCH(A1132,Empresas!$A:$A,0))&amp;"","não consta"))</f>
        <v/>
      </c>
      <c r="K1132" s="19" t="str">
        <f aca="false">IF(A1132="","",IFERROR(INDEX(Sancoes!$B:$B,MATCH(A1132,Sancoes!$A:$A,0))&amp;"","não consta"))</f>
        <v/>
      </c>
      <c r="L1132" s="19" t="str">
        <f aca="false">IF(A1132="","",IFERROR(INDEX(Eleitoral!$B:$B,MATCH(A1132,Eleitoral!$A:$A,0))&amp;"","não consta"))</f>
        <v/>
      </c>
      <c r="M1132" s="28" t="str">
        <f aca="false">IF(A1132="","",IF(OR(AND(K1132&lt;&gt;"",LOWER(K1132)&lt;&gt;"não consta"),AND(L1132&lt;&gt;"",LOWER(L1132)&lt;&gt;"não consta"),IFERROR(INDEX(Empresas!$G:$G,MATCH(A1132,Empresas!$A:$A,0))&amp;"","")&lt;&gt;""),"SIM",""))</f>
        <v/>
      </c>
      <c r="N1132" s="5"/>
      <c r="O1132" s="32" t="str">
        <f aca="false">IF(D1132="","",YEAR(D1132))</f>
        <v/>
      </c>
      <c r="P1132" s="5"/>
    </row>
    <row r="1133" customFormat="false" ht="15" hidden="false" customHeight="false" outlineLevel="0" collapsed="false">
      <c r="A1133" s="27"/>
      <c r="B1133" s="5"/>
      <c r="C1133" s="35"/>
      <c r="D1133" s="18"/>
      <c r="E1133" s="5"/>
      <c r="F1133" s="14"/>
      <c r="G1133" s="5"/>
      <c r="H1133" s="27"/>
      <c r="I1133" s="5"/>
      <c r="J1133" s="19" t="str">
        <f aca="false">IF(A1133="","",IFERROR(INDEX(Empresas!$D:$D,MATCH(A1133,Empresas!$A:$A,0))&amp;"","não consta"))</f>
        <v/>
      </c>
      <c r="K1133" s="19" t="str">
        <f aca="false">IF(A1133="","",IFERROR(INDEX(Sancoes!$B:$B,MATCH(A1133,Sancoes!$A:$A,0))&amp;"","não consta"))</f>
        <v/>
      </c>
      <c r="L1133" s="19" t="str">
        <f aca="false">IF(A1133="","",IFERROR(INDEX(Eleitoral!$B:$B,MATCH(A1133,Eleitoral!$A:$A,0))&amp;"","não consta"))</f>
        <v/>
      </c>
      <c r="M1133" s="28" t="str">
        <f aca="false">IF(A1133="","",IF(OR(AND(K1133&lt;&gt;"",LOWER(K1133)&lt;&gt;"não consta"),AND(L1133&lt;&gt;"",LOWER(L1133)&lt;&gt;"não consta"),IFERROR(INDEX(Empresas!$G:$G,MATCH(A1133,Empresas!$A:$A,0))&amp;"","")&lt;&gt;""),"SIM",""))</f>
        <v/>
      </c>
      <c r="N1133" s="5"/>
      <c r="O1133" s="32" t="str">
        <f aca="false">IF(D1133="","",YEAR(D1133))</f>
        <v/>
      </c>
      <c r="P1133" s="5"/>
    </row>
    <row r="1134" customFormat="false" ht="15" hidden="false" customHeight="false" outlineLevel="0" collapsed="false">
      <c r="A1134" s="27"/>
      <c r="B1134" s="5"/>
      <c r="C1134" s="35"/>
      <c r="D1134" s="18"/>
      <c r="E1134" s="5"/>
      <c r="F1134" s="14"/>
      <c r="G1134" s="5"/>
      <c r="H1134" s="27"/>
      <c r="I1134" s="5"/>
      <c r="J1134" s="19" t="str">
        <f aca="false">IF(A1134="","",IFERROR(INDEX(Empresas!$D:$D,MATCH(A1134,Empresas!$A:$A,0))&amp;"","não consta"))</f>
        <v/>
      </c>
      <c r="K1134" s="19" t="str">
        <f aca="false">IF(A1134="","",IFERROR(INDEX(Sancoes!$B:$B,MATCH(A1134,Sancoes!$A:$A,0))&amp;"","não consta"))</f>
        <v/>
      </c>
      <c r="L1134" s="19" t="str">
        <f aca="false">IF(A1134="","",IFERROR(INDEX(Eleitoral!$B:$B,MATCH(A1134,Eleitoral!$A:$A,0))&amp;"","não consta"))</f>
        <v/>
      </c>
      <c r="M1134" s="28" t="str">
        <f aca="false">IF(A1134="","",IF(OR(AND(K1134&lt;&gt;"",LOWER(K1134)&lt;&gt;"não consta"),AND(L1134&lt;&gt;"",LOWER(L1134)&lt;&gt;"não consta"),IFERROR(INDEX(Empresas!$G:$G,MATCH(A1134,Empresas!$A:$A,0))&amp;"","")&lt;&gt;""),"SIM",""))</f>
        <v/>
      </c>
      <c r="N1134" s="5"/>
      <c r="O1134" s="32" t="str">
        <f aca="false">IF(D1134="","",YEAR(D1134))</f>
        <v/>
      </c>
      <c r="P1134" s="5"/>
    </row>
    <row r="1135" customFormat="false" ht="15" hidden="false" customHeight="false" outlineLevel="0" collapsed="false">
      <c r="A1135" s="27"/>
      <c r="B1135" s="5"/>
      <c r="C1135" s="35"/>
      <c r="D1135" s="18"/>
      <c r="E1135" s="5"/>
      <c r="F1135" s="14"/>
      <c r="G1135" s="5"/>
      <c r="H1135" s="27"/>
      <c r="I1135" s="5"/>
      <c r="J1135" s="19" t="str">
        <f aca="false">IF(A1135="","",IFERROR(INDEX(Empresas!$D:$D,MATCH(A1135,Empresas!$A:$A,0))&amp;"","não consta"))</f>
        <v/>
      </c>
      <c r="K1135" s="19" t="str">
        <f aca="false">IF(A1135="","",IFERROR(INDEX(Sancoes!$B:$B,MATCH(A1135,Sancoes!$A:$A,0))&amp;"","não consta"))</f>
        <v/>
      </c>
      <c r="L1135" s="19" t="str">
        <f aca="false">IF(A1135="","",IFERROR(INDEX(Eleitoral!$B:$B,MATCH(A1135,Eleitoral!$A:$A,0))&amp;"","não consta"))</f>
        <v/>
      </c>
      <c r="M1135" s="28" t="str">
        <f aca="false">IF(A1135="","",IF(OR(AND(K1135&lt;&gt;"",LOWER(K1135)&lt;&gt;"não consta"),AND(L1135&lt;&gt;"",LOWER(L1135)&lt;&gt;"não consta"),IFERROR(INDEX(Empresas!$G:$G,MATCH(A1135,Empresas!$A:$A,0))&amp;"","")&lt;&gt;""),"SIM",""))</f>
        <v/>
      </c>
      <c r="N1135" s="5"/>
      <c r="O1135" s="32" t="str">
        <f aca="false">IF(D1135="","",YEAR(D1135))</f>
        <v/>
      </c>
      <c r="P1135" s="5"/>
    </row>
    <row r="1136" customFormat="false" ht="15" hidden="false" customHeight="false" outlineLevel="0" collapsed="false">
      <c r="A1136" s="27"/>
      <c r="B1136" s="5"/>
      <c r="C1136" s="35"/>
      <c r="D1136" s="18"/>
      <c r="E1136" s="5"/>
      <c r="F1136" s="14"/>
      <c r="G1136" s="5"/>
      <c r="H1136" s="27"/>
      <c r="I1136" s="5"/>
      <c r="J1136" s="19" t="str">
        <f aca="false">IF(A1136="","",IFERROR(INDEX(Empresas!$D:$D,MATCH(A1136,Empresas!$A:$A,0))&amp;"","não consta"))</f>
        <v/>
      </c>
      <c r="K1136" s="19" t="str">
        <f aca="false">IF(A1136="","",IFERROR(INDEX(Sancoes!$B:$B,MATCH(A1136,Sancoes!$A:$A,0))&amp;"","não consta"))</f>
        <v/>
      </c>
      <c r="L1136" s="19" t="str">
        <f aca="false">IF(A1136="","",IFERROR(INDEX(Eleitoral!$B:$B,MATCH(A1136,Eleitoral!$A:$A,0))&amp;"","não consta"))</f>
        <v/>
      </c>
      <c r="M1136" s="28" t="str">
        <f aca="false">IF(A1136="","",IF(OR(AND(K1136&lt;&gt;"",LOWER(K1136)&lt;&gt;"não consta"),AND(L1136&lt;&gt;"",LOWER(L1136)&lt;&gt;"não consta"),IFERROR(INDEX(Empresas!$G:$G,MATCH(A1136,Empresas!$A:$A,0))&amp;"","")&lt;&gt;""),"SIM",""))</f>
        <v/>
      </c>
      <c r="N1136" s="5"/>
      <c r="O1136" s="32" t="str">
        <f aca="false">IF(D1136="","",YEAR(D1136))</f>
        <v/>
      </c>
      <c r="P1136" s="5"/>
    </row>
    <row r="1137" customFormat="false" ht="15" hidden="false" customHeight="false" outlineLevel="0" collapsed="false">
      <c r="A1137" s="27"/>
      <c r="B1137" s="5"/>
      <c r="C1137" s="35"/>
      <c r="D1137" s="18"/>
      <c r="E1137" s="5"/>
      <c r="F1137" s="14"/>
      <c r="G1137" s="5"/>
      <c r="H1137" s="27"/>
      <c r="I1137" s="5"/>
      <c r="J1137" s="19" t="str">
        <f aca="false">IF(A1137="","",IFERROR(INDEX(Empresas!$D:$D,MATCH(A1137,Empresas!$A:$A,0))&amp;"","não consta"))</f>
        <v/>
      </c>
      <c r="K1137" s="19" t="str">
        <f aca="false">IF(A1137="","",IFERROR(INDEX(Sancoes!$B:$B,MATCH(A1137,Sancoes!$A:$A,0))&amp;"","não consta"))</f>
        <v/>
      </c>
      <c r="L1137" s="19" t="str">
        <f aca="false">IF(A1137="","",IFERROR(INDEX(Eleitoral!$B:$B,MATCH(A1137,Eleitoral!$A:$A,0))&amp;"","não consta"))</f>
        <v/>
      </c>
      <c r="M1137" s="28" t="str">
        <f aca="false">IF(A1137="","",IF(OR(AND(K1137&lt;&gt;"",LOWER(K1137)&lt;&gt;"não consta"),AND(L1137&lt;&gt;"",LOWER(L1137)&lt;&gt;"não consta"),IFERROR(INDEX(Empresas!$G:$G,MATCH(A1137,Empresas!$A:$A,0))&amp;"","")&lt;&gt;""),"SIM",""))</f>
        <v/>
      </c>
      <c r="N1137" s="5"/>
      <c r="O1137" s="32" t="str">
        <f aca="false">IF(D1137="","",YEAR(D1137))</f>
        <v/>
      </c>
      <c r="P1137" s="5"/>
    </row>
    <row r="1138" customFormat="false" ht="15" hidden="false" customHeight="false" outlineLevel="0" collapsed="false">
      <c r="A1138" s="27"/>
      <c r="B1138" s="5"/>
      <c r="C1138" s="35"/>
      <c r="D1138" s="18"/>
      <c r="E1138" s="5"/>
      <c r="F1138" s="14"/>
      <c r="G1138" s="5"/>
      <c r="H1138" s="27"/>
      <c r="I1138" s="5"/>
      <c r="J1138" s="19" t="str">
        <f aca="false">IF(A1138="","",IFERROR(INDEX(Empresas!$D:$D,MATCH(A1138,Empresas!$A:$A,0))&amp;"","não consta"))</f>
        <v/>
      </c>
      <c r="K1138" s="19" t="str">
        <f aca="false">IF(A1138="","",IFERROR(INDEX(Sancoes!$B:$B,MATCH(A1138,Sancoes!$A:$A,0))&amp;"","não consta"))</f>
        <v/>
      </c>
      <c r="L1138" s="19" t="str">
        <f aca="false">IF(A1138="","",IFERROR(INDEX(Eleitoral!$B:$B,MATCH(A1138,Eleitoral!$A:$A,0))&amp;"","não consta"))</f>
        <v/>
      </c>
      <c r="M1138" s="28" t="str">
        <f aca="false">IF(A1138="","",IF(OR(AND(K1138&lt;&gt;"",LOWER(K1138)&lt;&gt;"não consta"),AND(L1138&lt;&gt;"",LOWER(L1138)&lt;&gt;"não consta"),IFERROR(INDEX(Empresas!$G:$G,MATCH(A1138,Empresas!$A:$A,0))&amp;"","")&lt;&gt;""),"SIM",""))</f>
        <v/>
      </c>
      <c r="N1138" s="5"/>
      <c r="O1138" s="32" t="str">
        <f aca="false">IF(D1138="","",YEAR(D1138))</f>
        <v/>
      </c>
      <c r="P1138" s="5"/>
    </row>
    <row r="1139" customFormat="false" ht="15" hidden="false" customHeight="false" outlineLevel="0" collapsed="false">
      <c r="A1139" s="27"/>
      <c r="B1139" s="5"/>
      <c r="C1139" s="35"/>
      <c r="D1139" s="18"/>
      <c r="E1139" s="5"/>
      <c r="F1139" s="14"/>
      <c r="G1139" s="5"/>
      <c r="H1139" s="27"/>
      <c r="I1139" s="5"/>
      <c r="J1139" s="19" t="str">
        <f aca="false">IF(A1139="","",IFERROR(INDEX(Empresas!$D:$D,MATCH(A1139,Empresas!$A:$A,0))&amp;"","não consta"))</f>
        <v/>
      </c>
      <c r="K1139" s="19" t="str">
        <f aca="false">IF(A1139="","",IFERROR(INDEX(Sancoes!$B:$B,MATCH(A1139,Sancoes!$A:$A,0))&amp;"","não consta"))</f>
        <v/>
      </c>
      <c r="L1139" s="19" t="str">
        <f aca="false">IF(A1139="","",IFERROR(INDEX(Eleitoral!$B:$B,MATCH(A1139,Eleitoral!$A:$A,0))&amp;"","não consta"))</f>
        <v/>
      </c>
      <c r="M1139" s="28" t="str">
        <f aca="false">IF(A1139="","",IF(OR(AND(K1139&lt;&gt;"",LOWER(K1139)&lt;&gt;"não consta"),AND(L1139&lt;&gt;"",LOWER(L1139)&lt;&gt;"não consta"),IFERROR(INDEX(Empresas!$G:$G,MATCH(A1139,Empresas!$A:$A,0))&amp;"","")&lt;&gt;""),"SIM",""))</f>
        <v/>
      </c>
      <c r="N1139" s="5"/>
      <c r="O1139" s="32" t="str">
        <f aca="false">IF(D1139="","",YEAR(D1139))</f>
        <v/>
      </c>
      <c r="P1139" s="5"/>
    </row>
    <row r="1140" customFormat="false" ht="15" hidden="false" customHeight="false" outlineLevel="0" collapsed="false">
      <c r="A1140" s="27"/>
      <c r="B1140" s="5"/>
      <c r="C1140" s="35"/>
      <c r="D1140" s="18"/>
      <c r="E1140" s="5"/>
      <c r="F1140" s="14"/>
      <c r="G1140" s="5"/>
      <c r="H1140" s="27"/>
      <c r="I1140" s="5"/>
      <c r="J1140" s="19" t="str">
        <f aca="false">IF(A1140="","",IFERROR(INDEX(Empresas!$D:$D,MATCH(A1140,Empresas!$A:$A,0))&amp;"","não consta"))</f>
        <v/>
      </c>
      <c r="K1140" s="19" t="str">
        <f aca="false">IF(A1140="","",IFERROR(INDEX(Sancoes!$B:$B,MATCH(A1140,Sancoes!$A:$A,0))&amp;"","não consta"))</f>
        <v/>
      </c>
      <c r="L1140" s="19" t="str">
        <f aca="false">IF(A1140="","",IFERROR(INDEX(Eleitoral!$B:$B,MATCH(A1140,Eleitoral!$A:$A,0))&amp;"","não consta"))</f>
        <v/>
      </c>
      <c r="M1140" s="28" t="str">
        <f aca="false">IF(A1140="","",IF(OR(AND(K1140&lt;&gt;"",LOWER(K1140)&lt;&gt;"não consta"),AND(L1140&lt;&gt;"",LOWER(L1140)&lt;&gt;"não consta"),IFERROR(INDEX(Empresas!$G:$G,MATCH(A1140,Empresas!$A:$A,0))&amp;"","")&lt;&gt;""),"SIM",""))</f>
        <v/>
      </c>
      <c r="N1140" s="5"/>
      <c r="O1140" s="32" t="str">
        <f aca="false">IF(D1140="","",YEAR(D1140))</f>
        <v/>
      </c>
      <c r="P1140" s="5"/>
    </row>
    <row r="1141" customFormat="false" ht="15" hidden="false" customHeight="false" outlineLevel="0" collapsed="false">
      <c r="A1141" s="27"/>
      <c r="B1141" s="5"/>
      <c r="C1141" s="35"/>
      <c r="D1141" s="18"/>
      <c r="E1141" s="5"/>
      <c r="F1141" s="14"/>
      <c r="G1141" s="5"/>
      <c r="H1141" s="27"/>
      <c r="I1141" s="5"/>
      <c r="J1141" s="19" t="str">
        <f aca="false">IF(A1141="","",IFERROR(INDEX(Empresas!$D:$D,MATCH(A1141,Empresas!$A:$A,0))&amp;"","não consta"))</f>
        <v/>
      </c>
      <c r="K1141" s="19" t="str">
        <f aca="false">IF(A1141="","",IFERROR(INDEX(Sancoes!$B:$B,MATCH(A1141,Sancoes!$A:$A,0))&amp;"","não consta"))</f>
        <v/>
      </c>
      <c r="L1141" s="19" t="str">
        <f aca="false">IF(A1141="","",IFERROR(INDEX(Eleitoral!$B:$B,MATCH(A1141,Eleitoral!$A:$A,0))&amp;"","não consta"))</f>
        <v/>
      </c>
      <c r="M1141" s="28" t="str">
        <f aca="false">IF(A1141="","",IF(OR(AND(K1141&lt;&gt;"",LOWER(K1141)&lt;&gt;"não consta"),AND(L1141&lt;&gt;"",LOWER(L1141)&lt;&gt;"não consta"),IFERROR(INDEX(Empresas!$G:$G,MATCH(A1141,Empresas!$A:$A,0))&amp;"","")&lt;&gt;""),"SIM",""))</f>
        <v/>
      </c>
      <c r="N1141" s="5"/>
      <c r="O1141" s="32" t="str">
        <f aca="false">IF(D1141="","",YEAR(D1141))</f>
        <v/>
      </c>
      <c r="P1141" s="5"/>
    </row>
    <row r="1142" customFormat="false" ht="15" hidden="false" customHeight="false" outlineLevel="0" collapsed="false">
      <c r="A1142" s="27"/>
      <c r="B1142" s="5"/>
      <c r="C1142" s="35"/>
      <c r="D1142" s="18"/>
      <c r="E1142" s="5"/>
      <c r="F1142" s="14"/>
      <c r="G1142" s="5"/>
      <c r="H1142" s="27"/>
      <c r="I1142" s="5"/>
      <c r="J1142" s="19" t="str">
        <f aca="false">IF(A1142="","",IFERROR(INDEX(Empresas!$D:$D,MATCH(A1142,Empresas!$A:$A,0))&amp;"","não consta"))</f>
        <v/>
      </c>
      <c r="K1142" s="19" t="str">
        <f aca="false">IF(A1142="","",IFERROR(INDEX(Sancoes!$B:$B,MATCH(A1142,Sancoes!$A:$A,0))&amp;"","não consta"))</f>
        <v/>
      </c>
      <c r="L1142" s="19" t="str">
        <f aca="false">IF(A1142="","",IFERROR(INDEX(Eleitoral!$B:$B,MATCH(A1142,Eleitoral!$A:$A,0))&amp;"","não consta"))</f>
        <v/>
      </c>
      <c r="M1142" s="28" t="str">
        <f aca="false">IF(A1142="","",IF(OR(AND(K1142&lt;&gt;"",LOWER(K1142)&lt;&gt;"não consta"),AND(L1142&lt;&gt;"",LOWER(L1142)&lt;&gt;"não consta"),IFERROR(INDEX(Empresas!$G:$G,MATCH(A1142,Empresas!$A:$A,0))&amp;"","")&lt;&gt;""),"SIM",""))</f>
        <v/>
      </c>
      <c r="N1142" s="5"/>
      <c r="O1142" s="32" t="str">
        <f aca="false">IF(D1142="","",YEAR(D1142))</f>
        <v/>
      </c>
      <c r="P1142" s="5"/>
    </row>
    <row r="1143" customFormat="false" ht="15" hidden="false" customHeight="false" outlineLevel="0" collapsed="false">
      <c r="A1143" s="27"/>
      <c r="B1143" s="5"/>
      <c r="C1143" s="35"/>
      <c r="D1143" s="18"/>
      <c r="E1143" s="5"/>
      <c r="F1143" s="14"/>
      <c r="G1143" s="5"/>
      <c r="H1143" s="27"/>
      <c r="I1143" s="5"/>
      <c r="J1143" s="19" t="str">
        <f aca="false">IF(A1143="","",IFERROR(INDEX(Empresas!$D:$D,MATCH(A1143,Empresas!$A:$A,0))&amp;"","não consta"))</f>
        <v/>
      </c>
      <c r="K1143" s="19" t="str">
        <f aca="false">IF(A1143="","",IFERROR(INDEX(Sancoes!$B:$B,MATCH(A1143,Sancoes!$A:$A,0))&amp;"","não consta"))</f>
        <v/>
      </c>
      <c r="L1143" s="19" t="str">
        <f aca="false">IF(A1143="","",IFERROR(INDEX(Eleitoral!$B:$B,MATCH(A1143,Eleitoral!$A:$A,0))&amp;"","não consta"))</f>
        <v/>
      </c>
      <c r="M1143" s="28" t="str">
        <f aca="false">IF(A1143="","",IF(OR(AND(K1143&lt;&gt;"",LOWER(K1143)&lt;&gt;"não consta"),AND(L1143&lt;&gt;"",LOWER(L1143)&lt;&gt;"não consta"),IFERROR(INDEX(Empresas!$G:$G,MATCH(A1143,Empresas!$A:$A,0))&amp;"","")&lt;&gt;""),"SIM",""))</f>
        <v/>
      </c>
      <c r="N1143" s="5"/>
      <c r="O1143" s="32" t="str">
        <f aca="false">IF(D1143="","",YEAR(D1143))</f>
        <v/>
      </c>
      <c r="P1143" s="5"/>
    </row>
    <row r="1144" customFormat="false" ht="15" hidden="false" customHeight="false" outlineLevel="0" collapsed="false">
      <c r="A1144" s="27"/>
      <c r="B1144" s="5"/>
      <c r="C1144" s="35"/>
      <c r="D1144" s="18"/>
      <c r="E1144" s="5"/>
      <c r="F1144" s="14"/>
      <c r="G1144" s="5"/>
      <c r="H1144" s="27"/>
      <c r="I1144" s="5"/>
      <c r="J1144" s="19" t="str">
        <f aca="false">IF(A1144="","",IFERROR(INDEX(Empresas!$D:$D,MATCH(A1144,Empresas!$A:$A,0))&amp;"","não consta"))</f>
        <v/>
      </c>
      <c r="K1144" s="19" t="str">
        <f aca="false">IF(A1144="","",IFERROR(INDEX(Sancoes!$B:$B,MATCH(A1144,Sancoes!$A:$A,0))&amp;"","não consta"))</f>
        <v/>
      </c>
      <c r="L1144" s="19" t="str">
        <f aca="false">IF(A1144="","",IFERROR(INDEX(Eleitoral!$B:$B,MATCH(A1144,Eleitoral!$A:$A,0))&amp;"","não consta"))</f>
        <v/>
      </c>
      <c r="M1144" s="28" t="str">
        <f aca="false">IF(A1144="","",IF(OR(AND(K1144&lt;&gt;"",LOWER(K1144)&lt;&gt;"não consta"),AND(L1144&lt;&gt;"",LOWER(L1144)&lt;&gt;"não consta"),IFERROR(INDEX(Empresas!$G:$G,MATCH(A1144,Empresas!$A:$A,0))&amp;"","")&lt;&gt;""),"SIM",""))</f>
        <v/>
      </c>
      <c r="N1144" s="5"/>
      <c r="O1144" s="32" t="str">
        <f aca="false">IF(D1144="","",YEAR(D1144))</f>
        <v/>
      </c>
      <c r="P1144" s="5"/>
    </row>
    <row r="1145" customFormat="false" ht="15" hidden="false" customHeight="false" outlineLevel="0" collapsed="false">
      <c r="A1145" s="27"/>
      <c r="B1145" s="5"/>
      <c r="C1145" s="35"/>
      <c r="D1145" s="18"/>
      <c r="E1145" s="5"/>
      <c r="F1145" s="14"/>
      <c r="G1145" s="5"/>
      <c r="H1145" s="27"/>
      <c r="I1145" s="5"/>
      <c r="J1145" s="19" t="str">
        <f aca="false">IF(A1145="","",IFERROR(INDEX(Empresas!$D:$D,MATCH(A1145,Empresas!$A:$A,0))&amp;"","não consta"))</f>
        <v/>
      </c>
      <c r="K1145" s="19" t="str">
        <f aca="false">IF(A1145="","",IFERROR(INDEX(Sancoes!$B:$B,MATCH(A1145,Sancoes!$A:$A,0))&amp;"","não consta"))</f>
        <v/>
      </c>
      <c r="L1145" s="19" t="str">
        <f aca="false">IF(A1145="","",IFERROR(INDEX(Eleitoral!$B:$B,MATCH(A1145,Eleitoral!$A:$A,0))&amp;"","não consta"))</f>
        <v/>
      </c>
      <c r="M1145" s="28" t="str">
        <f aca="false">IF(A1145="","",IF(OR(AND(K1145&lt;&gt;"",LOWER(K1145)&lt;&gt;"não consta"),AND(L1145&lt;&gt;"",LOWER(L1145)&lt;&gt;"não consta"),IFERROR(INDEX(Empresas!$G:$G,MATCH(A1145,Empresas!$A:$A,0))&amp;"","")&lt;&gt;""),"SIM",""))</f>
        <v/>
      </c>
      <c r="N1145" s="5"/>
      <c r="O1145" s="32" t="str">
        <f aca="false">IF(D1145="","",YEAR(D1145))</f>
        <v/>
      </c>
      <c r="P1145" s="5"/>
    </row>
    <row r="1146" customFormat="false" ht="15" hidden="false" customHeight="false" outlineLevel="0" collapsed="false">
      <c r="A1146" s="27"/>
      <c r="B1146" s="5"/>
      <c r="C1146" s="35"/>
      <c r="D1146" s="18"/>
      <c r="E1146" s="5"/>
      <c r="F1146" s="14"/>
      <c r="G1146" s="5"/>
      <c r="H1146" s="27"/>
      <c r="I1146" s="5"/>
      <c r="J1146" s="19" t="str">
        <f aca="false">IF(A1146="","",IFERROR(INDEX(Empresas!$D:$D,MATCH(A1146,Empresas!$A:$A,0))&amp;"","não consta"))</f>
        <v/>
      </c>
      <c r="K1146" s="19" t="str">
        <f aca="false">IF(A1146="","",IFERROR(INDEX(Sancoes!$B:$B,MATCH(A1146,Sancoes!$A:$A,0))&amp;"","não consta"))</f>
        <v/>
      </c>
      <c r="L1146" s="19" t="str">
        <f aca="false">IF(A1146="","",IFERROR(INDEX(Eleitoral!$B:$B,MATCH(A1146,Eleitoral!$A:$A,0))&amp;"","não consta"))</f>
        <v/>
      </c>
      <c r="M1146" s="28" t="str">
        <f aca="false">IF(A1146="","",IF(OR(AND(K1146&lt;&gt;"",LOWER(K1146)&lt;&gt;"não consta"),AND(L1146&lt;&gt;"",LOWER(L1146)&lt;&gt;"não consta"),IFERROR(INDEX(Empresas!$G:$G,MATCH(A1146,Empresas!$A:$A,0))&amp;"","")&lt;&gt;""),"SIM",""))</f>
        <v/>
      </c>
      <c r="N1146" s="5"/>
      <c r="O1146" s="32" t="str">
        <f aca="false">IF(D1146="","",YEAR(D1146))</f>
        <v/>
      </c>
      <c r="P1146" s="5"/>
    </row>
    <row r="1147" customFormat="false" ht="15" hidden="false" customHeight="false" outlineLevel="0" collapsed="false">
      <c r="A1147" s="27"/>
      <c r="B1147" s="5"/>
      <c r="C1147" s="35"/>
      <c r="D1147" s="18"/>
      <c r="E1147" s="5"/>
      <c r="F1147" s="14"/>
      <c r="G1147" s="5"/>
      <c r="H1147" s="27"/>
      <c r="I1147" s="5"/>
      <c r="J1147" s="19" t="str">
        <f aca="false">IF(A1147="","",IFERROR(INDEX(Empresas!$D:$D,MATCH(A1147,Empresas!$A:$A,0))&amp;"","não consta"))</f>
        <v/>
      </c>
      <c r="K1147" s="19" t="str">
        <f aca="false">IF(A1147="","",IFERROR(INDEX(Sancoes!$B:$B,MATCH(A1147,Sancoes!$A:$A,0))&amp;"","não consta"))</f>
        <v/>
      </c>
      <c r="L1147" s="19" t="str">
        <f aca="false">IF(A1147="","",IFERROR(INDEX(Eleitoral!$B:$B,MATCH(A1147,Eleitoral!$A:$A,0))&amp;"","não consta"))</f>
        <v/>
      </c>
      <c r="M1147" s="28" t="str">
        <f aca="false">IF(A1147="","",IF(OR(AND(K1147&lt;&gt;"",LOWER(K1147)&lt;&gt;"não consta"),AND(L1147&lt;&gt;"",LOWER(L1147)&lt;&gt;"não consta"),IFERROR(INDEX(Empresas!$G:$G,MATCH(A1147,Empresas!$A:$A,0))&amp;"","")&lt;&gt;""),"SIM",""))</f>
        <v/>
      </c>
      <c r="N1147" s="5"/>
      <c r="O1147" s="32" t="str">
        <f aca="false">IF(D1147="","",YEAR(D1147))</f>
        <v/>
      </c>
      <c r="P1147" s="5"/>
    </row>
    <row r="1148" customFormat="false" ht="15" hidden="false" customHeight="false" outlineLevel="0" collapsed="false">
      <c r="A1148" s="27"/>
      <c r="B1148" s="5"/>
      <c r="C1148" s="35"/>
      <c r="D1148" s="18"/>
      <c r="E1148" s="5"/>
      <c r="F1148" s="14"/>
      <c r="G1148" s="5"/>
      <c r="H1148" s="27"/>
      <c r="I1148" s="5"/>
      <c r="J1148" s="19" t="str">
        <f aca="false">IF(A1148="","",IFERROR(INDEX(Empresas!$D:$D,MATCH(A1148,Empresas!$A:$A,0))&amp;"","não consta"))</f>
        <v/>
      </c>
      <c r="K1148" s="19" t="str">
        <f aca="false">IF(A1148="","",IFERROR(INDEX(Sancoes!$B:$B,MATCH(A1148,Sancoes!$A:$A,0))&amp;"","não consta"))</f>
        <v/>
      </c>
      <c r="L1148" s="19" t="str">
        <f aca="false">IF(A1148="","",IFERROR(INDEX(Eleitoral!$B:$B,MATCH(A1148,Eleitoral!$A:$A,0))&amp;"","não consta"))</f>
        <v/>
      </c>
      <c r="M1148" s="28" t="str">
        <f aca="false">IF(A1148="","",IF(OR(AND(K1148&lt;&gt;"",LOWER(K1148)&lt;&gt;"não consta"),AND(L1148&lt;&gt;"",LOWER(L1148)&lt;&gt;"não consta"),IFERROR(INDEX(Empresas!$G:$G,MATCH(A1148,Empresas!$A:$A,0))&amp;"","")&lt;&gt;""),"SIM",""))</f>
        <v/>
      </c>
      <c r="N1148" s="5"/>
      <c r="O1148" s="32" t="str">
        <f aca="false">IF(D1148="","",YEAR(D1148))</f>
        <v/>
      </c>
      <c r="P1148" s="5"/>
    </row>
    <row r="1149" customFormat="false" ht="15" hidden="false" customHeight="false" outlineLevel="0" collapsed="false">
      <c r="A1149" s="27"/>
      <c r="B1149" s="5"/>
      <c r="C1149" s="35"/>
      <c r="D1149" s="18"/>
      <c r="E1149" s="5"/>
      <c r="F1149" s="14"/>
      <c r="G1149" s="5"/>
      <c r="H1149" s="27"/>
      <c r="I1149" s="5"/>
      <c r="J1149" s="19" t="str">
        <f aca="false">IF(A1149="","",IFERROR(INDEX(Empresas!$D:$D,MATCH(A1149,Empresas!$A:$A,0))&amp;"","não consta"))</f>
        <v/>
      </c>
      <c r="K1149" s="19" t="str">
        <f aca="false">IF(A1149="","",IFERROR(INDEX(Sancoes!$B:$B,MATCH(A1149,Sancoes!$A:$A,0))&amp;"","não consta"))</f>
        <v/>
      </c>
      <c r="L1149" s="19" t="str">
        <f aca="false">IF(A1149="","",IFERROR(INDEX(Eleitoral!$B:$B,MATCH(A1149,Eleitoral!$A:$A,0))&amp;"","não consta"))</f>
        <v/>
      </c>
      <c r="M1149" s="28" t="str">
        <f aca="false">IF(A1149="","",IF(OR(AND(K1149&lt;&gt;"",LOWER(K1149)&lt;&gt;"não consta"),AND(L1149&lt;&gt;"",LOWER(L1149)&lt;&gt;"não consta"),IFERROR(INDEX(Empresas!$G:$G,MATCH(A1149,Empresas!$A:$A,0))&amp;"","")&lt;&gt;""),"SIM",""))</f>
        <v/>
      </c>
      <c r="N1149" s="5"/>
      <c r="O1149" s="32" t="str">
        <f aca="false">IF(D1149="","",YEAR(D1149))</f>
        <v/>
      </c>
      <c r="P1149" s="5"/>
    </row>
    <row r="1150" customFormat="false" ht="15" hidden="false" customHeight="false" outlineLevel="0" collapsed="false">
      <c r="A1150" s="27"/>
      <c r="B1150" s="5"/>
      <c r="C1150" s="35"/>
      <c r="D1150" s="18"/>
      <c r="E1150" s="5"/>
      <c r="F1150" s="14"/>
      <c r="G1150" s="5"/>
      <c r="H1150" s="27"/>
      <c r="I1150" s="5"/>
      <c r="J1150" s="19" t="str">
        <f aca="false">IF(A1150="","",IFERROR(INDEX(Empresas!$D:$D,MATCH(A1150,Empresas!$A:$A,0))&amp;"","não consta"))</f>
        <v/>
      </c>
      <c r="K1150" s="19" t="str">
        <f aca="false">IF(A1150="","",IFERROR(INDEX(Sancoes!$B:$B,MATCH(A1150,Sancoes!$A:$A,0))&amp;"","não consta"))</f>
        <v/>
      </c>
      <c r="L1150" s="19" t="str">
        <f aca="false">IF(A1150="","",IFERROR(INDEX(Eleitoral!$B:$B,MATCH(A1150,Eleitoral!$A:$A,0))&amp;"","não consta"))</f>
        <v/>
      </c>
      <c r="M1150" s="28" t="str">
        <f aca="false">IF(A1150="","",IF(OR(AND(K1150&lt;&gt;"",LOWER(K1150)&lt;&gt;"não consta"),AND(L1150&lt;&gt;"",LOWER(L1150)&lt;&gt;"não consta"),IFERROR(INDEX(Empresas!$G:$G,MATCH(A1150,Empresas!$A:$A,0))&amp;"","")&lt;&gt;""),"SIM",""))</f>
        <v/>
      </c>
      <c r="N1150" s="5"/>
      <c r="O1150" s="32" t="str">
        <f aca="false">IF(D1150="","",YEAR(D1150))</f>
        <v/>
      </c>
      <c r="P1150" s="5"/>
    </row>
    <row r="1151" customFormat="false" ht="15" hidden="false" customHeight="false" outlineLevel="0" collapsed="false">
      <c r="A1151" s="27"/>
      <c r="B1151" s="5"/>
      <c r="C1151" s="35"/>
      <c r="D1151" s="18"/>
      <c r="E1151" s="5"/>
      <c r="F1151" s="14"/>
      <c r="G1151" s="5"/>
      <c r="H1151" s="27"/>
      <c r="I1151" s="5"/>
      <c r="J1151" s="19" t="str">
        <f aca="false">IF(A1151="","",IFERROR(INDEX(Empresas!$D:$D,MATCH(A1151,Empresas!$A:$A,0))&amp;"","não consta"))</f>
        <v/>
      </c>
      <c r="K1151" s="19" t="str">
        <f aca="false">IF(A1151="","",IFERROR(INDEX(Sancoes!$B:$B,MATCH(A1151,Sancoes!$A:$A,0))&amp;"","não consta"))</f>
        <v/>
      </c>
      <c r="L1151" s="19" t="str">
        <f aca="false">IF(A1151="","",IFERROR(INDEX(Eleitoral!$B:$B,MATCH(A1151,Eleitoral!$A:$A,0))&amp;"","não consta"))</f>
        <v/>
      </c>
      <c r="M1151" s="28" t="str">
        <f aca="false">IF(A1151="","",IF(OR(AND(K1151&lt;&gt;"",LOWER(K1151)&lt;&gt;"não consta"),AND(L1151&lt;&gt;"",LOWER(L1151)&lt;&gt;"não consta"),IFERROR(INDEX(Empresas!$G:$G,MATCH(A1151,Empresas!$A:$A,0))&amp;"","")&lt;&gt;""),"SIM",""))</f>
        <v/>
      </c>
      <c r="N1151" s="5"/>
      <c r="O1151" s="32" t="str">
        <f aca="false">IF(D1151="","",YEAR(D1151))</f>
        <v/>
      </c>
      <c r="P1151" s="5"/>
    </row>
    <row r="1152" customFormat="false" ht="15" hidden="false" customHeight="false" outlineLevel="0" collapsed="false">
      <c r="A1152" s="27"/>
      <c r="B1152" s="5"/>
      <c r="C1152" s="35"/>
      <c r="D1152" s="18"/>
      <c r="E1152" s="5"/>
      <c r="F1152" s="14"/>
      <c r="G1152" s="5"/>
      <c r="H1152" s="27"/>
      <c r="I1152" s="5"/>
      <c r="J1152" s="19" t="str">
        <f aca="false">IF(A1152="","",IFERROR(INDEX(Empresas!$D:$D,MATCH(A1152,Empresas!$A:$A,0))&amp;"","não consta"))</f>
        <v/>
      </c>
      <c r="K1152" s="19" t="str">
        <f aca="false">IF(A1152="","",IFERROR(INDEX(Sancoes!$B:$B,MATCH(A1152,Sancoes!$A:$A,0))&amp;"","não consta"))</f>
        <v/>
      </c>
      <c r="L1152" s="19" t="str">
        <f aca="false">IF(A1152="","",IFERROR(INDEX(Eleitoral!$B:$B,MATCH(A1152,Eleitoral!$A:$A,0))&amp;"","não consta"))</f>
        <v/>
      </c>
      <c r="M1152" s="28" t="str">
        <f aca="false">IF(A1152="","",IF(OR(AND(K1152&lt;&gt;"",LOWER(K1152)&lt;&gt;"não consta"),AND(L1152&lt;&gt;"",LOWER(L1152)&lt;&gt;"não consta"),IFERROR(INDEX(Empresas!$G:$G,MATCH(A1152,Empresas!$A:$A,0))&amp;"","")&lt;&gt;""),"SIM",""))</f>
        <v/>
      </c>
      <c r="N1152" s="5"/>
      <c r="O1152" s="32" t="str">
        <f aca="false">IF(D1152="","",YEAR(D1152))</f>
        <v/>
      </c>
      <c r="P1152" s="5"/>
    </row>
    <row r="1153" customFormat="false" ht="15" hidden="false" customHeight="false" outlineLevel="0" collapsed="false">
      <c r="A1153" s="27"/>
      <c r="B1153" s="5"/>
      <c r="C1153" s="35"/>
      <c r="D1153" s="18"/>
      <c r="E1153" s="5"/>
      <c r="F1153" s="14"/>
      <c r="G1153" s="5"/>
      <c r="H1153" s="27"/>
      <c r="I1153" s="5"/>
      <c r="J1153" s="19" t="str">
        <f aca="false">IF(A1153="","",IFERROR(INDEX(Empresas!$D:$D,MATCH(A1153,Empresas!$A:$A,0))&amp;"","não consta"))</f>
        <v/>
      </c>
      <c r="K1153" s="19" t="str">
        <f aca="false">IF(A1153="","",IFERROR(INDEX(Sancoes!$B:$B,MATCH(A1153,Sancoes!$A:$A,0))&amp;"","não consta"))</f>
        <v/>
      </c>
      <c r="L1153" s="19" t="str">
        <f aca="false">IF(A1153="","",IFERROR(INDEX(Eleitoral!$B:$B,MATCH(A1153,Eleitoral!$A:$A,0))&amp;"","não consta"))</f>
        <v/>
      </c>
      <c r="M1153" s="28" t="str">
        <f aca="false">IF(A1153="","",IF(OR(AND(K1153&lt;&gt;"",LOWER(K1153)&lt;&gt;"não consta"),AND(L1153&lt;&gt;"",LOWER(L1153)&lt;&gt;"não consta"),IFERROR(INDEX(Empresas!$G:$G,MATCH(A1153,Empresas!$A:$A,0))&amp;"","")&lt;&gt;""),"SIM",""))</f>
        <v/>
      </c>
      <c r="N1153" s="5"/>
      <c r="O1153" s="32" t="str">
        <f aca="false">IF(D1153="","",YEAR(D1153))</f>
        <v/>
      </c>
      <c r="P1153" s="5"/>
    </row>
    <row r="1154" customFormat="false" ht="15" hidden="false" customHeight="false" outlineLevel="0" collapsed="false">
      <c r="A1154" s="27"/>
      <c r="B1154" s="5"/>
      <c r="C1154" s="35"/>
      <c r="D1154" s="18"/>
      <c r="E1154" s="5"/>
      <c r="F1154" s="14"/>
      <c r="G1154" s="5"/>
      <c r="H1154" s="27"/>
      <c r="I1154" s="5"/>
      <c r="J1154" s="19" t="str">
        <f aca="false">IF(A1154="","",IFERROR(INDEX(Empresas!$D:$D,MATCH(A1154,Empresas!$A:$A,0))&amp;"","não consta"))</f>
        <v/>
      </c>
      <c r="K1154" s="19" t="str">
        <f aca="false">IF(A1154="","",IFERROR(INDEX(Sancoes!$B:$B,MATCH(A1154,Sancoes!$A:$A,0))&amp;"","não consta"))</f>
        <v/>
      </c>
      <c r="L1154" s="19" t="str">
        <f aca="false">IF(A1154="","",IFERROR(INDEX(Eleitoral!$B:$B,MATCH(A1154,Eleitoral!$A:$A,0))&amp;"","não consta"))</f>
        <v/>
      </c>
      <c r="M1154" s="28" t="str">
        <f aca="false">IF(A1154="","",IF(OR(AND(K1154&lt;&gt;"",LOWER(K1154)&lt;&gt;"não consta"),AND(L1154&lt;&gt;"",LOWER(L1154)&lt;&gt;"não consta"),IFERROR(INDEX(Empresas!$G:$G,MATCH(A1154,Empresas!$A:$A,0))&amp;"","")&lt;&gt;""),"SIM",""))</f>
        <v/>
      </c>
      <c r="N1154" s="5"/>
      <c r="O1154" s="32" t="str">
        <f aca="false">IF(D1154="","",YEAR(D1154))</f>
        <v/>
      </c>
      <c r="P1154" s="5"/>
    </row>
    <row r="1155" customFormat="false" ht="15" hidden="false" customHeight="false" outlineLevel="0" collapsed="false">
      <c r="A1155" s="27"/>
      <c r="B1155" s="5"/>
      <c r="C1155" s="35"/>
      <c r="D1155" s="18"/>
      <c r="E1155" s="5"/>
      <c r="F1155" s="14"/>
      <c r="G1155" s="5"/>
      <c r="H1155" s="27"/>
      <c r="I1155" s="5"/>
      <c r="J1155" s="19" t="str">
        <f aca="false">IF(A1155="","",IFERROR(INDEX(Empresas!$D:$D,MATCH(A1155,Empresas!$A:$A,0))&amp;"","não consta"))</f>
        <v/>
      </c>
      <c r="K1155" s="19" t="str">
        <f aca="false">IF(A1155="","",IFERROR(INDEX(Sancoes!$B:$B,MATCH(A1155,Sancoes!$A:$A,0))&amp;"","não consta"))</f>
        <v/>
      </c>
      <c r="L1155" s="19" t="str">
        <f aca="false">IF(A1155="","",IFERROR(INDEX(Eleitoral!$B:$B,MATCH(A1155,Eleitoral!$A:$A,0))&amp;"","não consta"))</f>
        <v/>
      </c>
      <c r="M1155" s="28" t="str">
        <f aca="false">IF(A1155="","",IF(OR(AND(K1155&lt;&gt;"",LOWER(K1155)&lt;&gt;"não consta"),AND(L1155&lt;&gt;"",LOWER(L1155)&lt;&gt;"não consta"),IFERROR(INDEX(Empresas!$G:$G,MATCH(A1155,Empresas!$A:$A,0))&amp;"","")&lt;&gt;""),"SIM",""))</f>
        <v/>
      </c>
      <c r="N1155" s="5"/>
      <c r="O1155" s="32" t="str">
        <f aca="false">IF(D1155="","",YEAR(D1155))</f>
        <v/>
      </c>
      <c r="P1155" s="5"/>
    </row>
    <row r="1156" customFormat="false" ht="15" hidden="false" customHeight="false" outlineLevel="0" collapsed="false">
      <c r="A1156" s="27"/>
      <c r="B1156" s="5"/>
      <c r="C1156" s="35"/>
      <c r="D1156" s="18"/>
      <c r="E1156" s="5"/>
      <c r="F1156" s="14"/>
      <c r="G1156" s="5"/>
      <c r="H1156" s="27"/>
      <c r="I1156" s="5"/>
      <c r="J1156" s="19" t="str">
        <f aca="false">IF(A1156="","",IFERROR(INDEX(Empresas!$D:$D,MATCH(A1156,Empresas!$A:$A,0))&amp;"","não consta"))</f>
        <v/>
      </c>
      <c r="K1156" s="19" t="str">
        <f aca="false">IF(A1156="","",IFERROR(INDEX(Sancoes!$B:$B,MATCH(A1156,Sancoes!$A:$A,0))&amp;"","não consta"))</f>
        <v/>
      </c>
      <c r="L1156" s="19" t="str">
        <f aca="false">IF(A1156="","",IFERROR(INDEX(Eleitoral!$B:$B,MATCH(A1156,Eleitoral!$A:$A,0))&amp;"","não consta"))</f>
        <v/>
      </c>
      <c r="M1156" s="28" t="str">
        <f aca="false">IF(A1156="","",IF(OR(AND(K1156&lt;&gt;"",LOWER(K1156)&lt;&gt;"não consta"),AND(L1156&lt;&gt;"",LOWER(L1156)&lt;&gt;"não consta"),IFERROR(INDEX(Empresas!$G:$G,MATCH(A1156,Empresas!$A:$A,0))&amp;"","")&lt;&gt;""),"SIM",""))</f>
        <v/>
      </c>
      <c r="N1156" s="5"/>
      <c r="O1156" s="32" t="str">
        <f aca="false">IF(D1156="","",YEAR(D1156))</f>
        <v/>
      </c>
      <c r="P1156" s="5"/>
    </row>
    <row r="1157" customFormat="false" ht="15" hidden="false" customHeight="false" outlineLevel="0" collapsed="false">
      <c r="A1157" s="27"/>
      <c r="B1157" s="5"/>
      <c r="C1157" s="35"/>
      <c r="D1157" s="18"/>
      <c r="E1157" s="5"/>
      <c r="F1157" s="14"/>
      <c r="G1157" s="5"/>
      <c r="H1157" s="27"/>
      <c r="I1157" s="5"/>
      <c r="J1157" s="19" t="str">
        <f aca="false">IF(A1157="","",IFERROR(INDEX(Empresas!$D:$D,MATCH(A1157,Empresas!$A:$A,0))&amp;"","não consta"))</f>
        <v/>
      </c>
      <c r="K1157" s="19" t="str">
        <f aca="false">IF(A1157="","",IFERROR(INDEX(Sancoes!$B:$B,MATCH(A1157,Sancoes!$A:$A,0))&amp;"","não consta"))</f>
        <v/>
      </c>
      <c r="L1157" s="19" t="str">
        <f aca="false">IF(A1157="","",IFERROR(INDEX(Eleitoral!$B:$B,MATCH(A1157,Eleitoral!$A:$A,0))&amp;"","não consta"))</f>
        <v/>
      </c>
      <c r="M1157" s="28" t="str">
        <f aca="false">IF(A1157="","",IF(OR(AND(K1157&lt;&gt;"",LOWER(K1157)&lt;&gt;"não consta"),AND(L1157&lt;&gt;"",LOWER(L1157)&lt;&gt;"não consta"),IFERROR(INDEX(Empresas!$G:$G,MATCH(A1157,Empresas!$A:$A,0))&amp;"","")&lt;&gt;""),"SIM",""))</f>
        <v/>
      </c>
      <c r="N1157" s="5"/>
      <c r="O1157" s="32" t="str">
        <f aca="false">IF(D1157="","",YEAR(D1157))</f>
        <v/>
      </c>
      <c r="P1157" s="5"/>
    </row>
    <row r="1158" customFormat="false" ht="15" hidden="false" customHeight="false" outlineLevel="0" collapsed="false">
      <c r="A1158" s="27"/>
      <c r="B1158" s="5"/>
      <c r="C1158" s="35"/>
      <c r="D1158" s="18"/>
      <c r="E1158" s="5"/>
      <c r="F1158" s="14"/>
      <c r="G1158" s="5"/>
      <c r="H1158" s="27"/>
      <c r="I1158" s="5"/>
      <c r="J1158" s="19" t="str">
        <f aca="false">IF(A1158="","",IFERROR(INDEX(Empresas!$D:$D,MATCH(A1158,Empresas!$A:$A,0))&amp;"","não consta"))</f>
        <v/>
      </c>
      <c r="K1158" s="19" t="str">
        <f aca="false">IF(A1158="","",IFERROR(INDEX(Sancoes!$B:$B,MATCH(A1158,Sancoes!$A:$A,0))&amp;"","não consta"))</f>
        <v/>
      </c>
      <c r="L1158" s="19" t="str">
        <f aca="false">IF(A1158="","",IFERROR(INDEX(Eleitoral!$B:$B,MATCH(A1158,Eleitoral!$A:$A,0))&amp;"","não consta"))</f>
        <v/>
      </c>
      <c r="M1158" s="28" t="str">
        <f aca="false">IF(A1158="","",IF(OR(AND(K1158&lt;&gt;"",LOWER(K1158)&lt;&gt;"não consta"),AND(L1158&lt;&gt;"",LOWER(L1158)&lt;&gt;"não consta"),IFERROR(INDEX(Empresas!$G:$G,MATCH(A1158,Empresas!$A:$A,0))&amp;"","")&lt;&gt;""),"SIM",""))</f>
        <v/>
      </c>
      <c r="N1158" s="5"/>
      <c r="O1158" s="32" t="str">
        <f aca="false">IF(D1158="","",YEAR(D1158))</f>
        <v/>
      </c>
      <c r="P1158" s="5"/>
    </row>
    <row r="1159" customFormat="false" ht="15" hidden="false" customHeight="false" outlineLevel="0" collapsed="false">
      <c r="A1159" s="27"/>
      <c r="B1159" s="5"/>
      <c r="C1159" s="35"/>
      <c r="D1159" s="18"/>
      <c r="E1159" s="5"/>
      <c r="F1159" s="14"/>
      <c r="G1159" s="5"/>
      <c r="H1159" s="27"/>
      <c r="I1159" s="5"/>
      <c r="J1159" s="19" t="str">
        <f aca="false">IF(A1159="","",IFERROR(INDEX(Empresas!$D:$D,MATCH(A1159,Empresas!$A:$A,0))&amp;"","não consta"))</f>
        <v/>
      </c>
      <c r="K1159" s="19" t="str">
        <f aca="false">IF(A1159="","",IFERROR(INDEX(Sancoes!$B:$B,MATCH(A1159,Sancoes!$A:$A,0))&amp;"","não consta"))</f>
        <v/>
      </c>
      <c r="L1159" s="19" t="str">
        <f aca="false">IF(A1159="","",IFERROR(INDEX(Eleitoral!$B:$B,MATCH(A1159,Eleitoral!$A:$A,0))&amp;"","não consta"))</f>
        <v/>
      </c>
      <c r="M1159" s="28" t="str">
        <f aca="false">IF(A1159="","",IF(OR(AND(K1159&lt;&gt;"",LOWER(K1159)&lt;&gt;"não consta"),AND(L1159&lt;&gt;"",LOWER(L1159)&lt;&gt;"não consta"),IFERROR(INDEX(Empresas!$G:$G,MATCH(A1159,Empresas!$A:$A,0))&amp;"","")&lt;&gt;""),"SIM",""))</f>
        <v/>
      </c>
      <c r="N1159" s="5"/>
      <c r="O1159" s="32" t="str">
        <f aca="false">IF(D1159="","",YEAR(D1159))</f>
        <v/>
      </c>
      <c r="P1159" s="5"/>
    </row>
    <row r="1160" customFormat="false" ht="15" hidden="false" customHeight="false" outlineLevel="0" collapsed="false">
      <c r="A1160" s="27"/>
      <c r="B1160" s="5"/>
      <c r="C1160" s="35"/>
      <c r="D1160" s="18"/>
      <c r="E1160" s="5"/>
      <c r="F1160" s="14"/>
      <c r="G1160" s="5"/>
      <c r="H1160" s="27"/>
      <c r="I1160" s="5"/>
      <c r="J1160" s="19" t="str">
        <f aca="false">IF(A1160="","",IFERROR(INDEX(Empresas!$D:$D,MATCH(A1160,Empresas!$A:$A,0))&amp;"","não consta"))</f>
        <v/>
      </c>
      <c r="K1160" s="19" t="str">
        <f aca="false">IF(A1160="","",IFERROR(INDEX(Sancoes!$B:$B,MATCH(A1160,Sancoes!$A:$A,0))&amp;"","não consta"))</f>
        <v/>
      </c>
      <c r="L1160" s="19" t="str">
        <f aca="false">IF(A1160="","",IFERROR(INDEX(Eleitoral!$B:$B,MATCH(A1160,Eleitoral!$A:$A,0))&amp;"","não consta"))</f>
        <v/>
      </c>
      <c r="M1160" s="28" t="str">
        <f aca="false">IF(A1160="","",IF(OR(AND(K1160&lt;&gt;"",LOWER(K1160)&lt;&gt;"não consta"),AND(L1160&lt;&gt;"",LOWER(L1160)&lt;&gt;"não consta"),IFERROR(INDEX(Empresas!$G:$G,MATCH(A1160,Empresas!$A:$A,0))&amp;"","")&lt;&gt;""),"SIM",""))</f>
        <v/>
      </c>
      <c r="N1160" s="5"/>
      <c r="O1160" s="32" t="str">
        <f aca="false">IF(D1160="","",YEAR(D1160))</f>
        <v/>
      </c>
      <c r="P1160" s="5"/>
    </row>
    <row r="1161" customFormat="false" ht="15" hidden="false" customHeight="false" outlineLevel="0" collapsed="false">
      <c r="A1161" s="27"/>
      <c r="B1161" s="5"/>
      <c r="C1161" s="35"/>
      <c r="D1161" s="18"/>
      <c r="E1161" s="5"/>
      <c r="F1161" s="14"/>
      <c r="G1161" s="5"/>
      <c r="H1161" s="27"/>
      <c r="I1161" s="5"/>
      <c r="J1161" s="19" t="str">
        <f aca="false">IF(A1161="","",IFERROR(INDEX(Empresas!$D:$D,MATCH(A1161,Empresas!$A:$A,0))&amp;"","não consta"))</f>
        <v/>
      </c>
      <c r="K1161" s="19" t="str">
        <f aca="false">IF(A1161="","",IFERROR(INDEX(Sancoes!$B:$B,MATCH(A1161,Sancoes!$A:$A,0))&amp;"","não consta"))</f>
        <v/>
      </c>
      <c r="L1161" s="19" t="str">
        <f aca="false">IF(A1161="","",IFERROR(INDEX(Eleitoral!$B:$B,MATCH(A1161,Eleitoral!$A:$A,0))&amp;"","não consta"))</f>
        <v/>
      </c>
      <c r="M1161" s="28" t="str">
        <f aca="false">IF(A1161="","",IF(OR(AND(K1161&lt;&gt;"",LOWER(K1161)&lt;&gt;"não consta"),AND(L1161&lt;&gt;"",LOWER(L1161)&lt;&gt;"não consta"),IFERROR(INDEX(Empresas!$G:$G,MATCH(A1161,Empresas!$A:$A,0))&amp;"","")&lt;&gt;""),"SIM",""))</f>
        <v/>
      </c>
      <c r="N1161" s="5"/>
      <c r="O1161" s="32" t="str">
        <f aca="false">IF(D1161="","",YEAR(D1161))</f>
        <v/>
      </c>
      <c r="P1161" s="5"/>
    </row>
    <row r="1162" customFormat="false" ht="15" hidden="false" customHeight="false" outlineLevel="0" collapsed="false">
      <c r="A1162" s="27"/>
      <c r="B1162" s="5"/>
      <c r="C1162" s="35"/>
      <c r="D1162" s="18"/>
      <c r="E1162" s="5"/>
      <c r="F1162" s="14"/>
      <c r="G1162" s="5"/>
      <c r="H1162" s="27"/>
      <c r="I1162" s="5"/>
      <c r="J1162" s="19" t="str">
        <f aca="false">IF(A1162="","",IFERROR(INDEX(Empresas!$D:$D,MATCH(A1162,Empresas!$A:$A,0))&amp;"","não consta"))</f>
        <v/>
      </c>
      <c r="K1162" s="19" t="str">
        <f aca="false">IF(A1162="","",IFERROR(INDEX(Sancoes!$B:$B,MATCH(A1162,Sancoes!$A:$A,0))&amp;"","não consta"))</f>
        <v/>
      </c>
      <c r="L1162" s="19" t="str">
        <f aca="false">IF(A1162="","",IFERROR(INDEX(Eleitoral!$B:$B,MATCH(A1162,Eleitoral!$A:$A,0))&amp;"","não consta"))</f>
        <v/>
      </c>
      <c r="M1162" s="28" t="str">
        <f aca="false">IF(A1162="","",IF(OR(AND(K1162&lt;&gt;"",LOWER(K1162)&lt;&gt;"não consta"),AND(L1162&lt;&gt;"",LOWER(L1162)&lt;&gt;"não consta"),IFERROR(INDEX(Empresas!$G:$G,MATCH(A1162,Empresas!$A:$A,0))&amp;"","")&lt;&gt;""),"SIM",""))</f>
        <v/>
      </c>
      <c r="N1162" s="5"/>
      <c r="O1162" s="32" t="str">
        <f aca="false">IF(D1162="","",YEAR(D1162))</f>
        <v/>
      </c>
      <c r="P1162" s="5"/>
    </row>
    <row r="1163" customFormat="false" ht="15" hidden="false" customHeight="false" outlineLevel="0" collapsed="false">
      <c r="A1163" s="27"/>
      <c r="B1163" s="5"/>
      <c r="C1163" s="35"/>
      <c r="D1163" s="18"/>
      <c r="E1163" s="5"/>
      <c r="F1163" s="14"/>
      <c r="G1163" s="5"/>
      <c r="H1163" s="27"/>
      <c r="I1163" s="5"/>
      <c r="J1163" s="19" t="str">
        <f aca="false">IF(A1163="","",IFERROR(INDEX(Empresas!$D:$D,MATCH(A1163,Empresas!$A:$A,0))&amp;"","não consta"))</f>
        <v/>
      </c>
      <c r="K1163" s="19" t="str">
        <f aca="false">IF(A1163="","",IFERROR(INDEX(Sancoes!$B:$B,MATCH(A1163,Sancoes!$A:$A,0))&amp;"","não consta"))</f>
        <v/>
      </c>
      <c r="L1163" s="19" t="str">
        <f aca="false">IF(A1163="","",IFERROR(INDEX(Eleitoral!$B:$B,MATCH(A1163,Eleitoral!$A:$A,0))&amp;"","não consta"))</f>
        <v/>
      </c>
      <c r="M1163" s="28" t="str">
        <f aca="false">IF(A1163="","",IF(OR(AND(K1163&lt;&gt;"",LOWER(K1163)&lt;&gt;"não consta"),AND(L1163&lt;&gt;"",LOWER(L1163)&lt;&gt;"não consta"),IFERROR(INDEX(Empresas!$G:$G,MATCH(A1163,Empresas!$A:$A,0))&amp;"","")&lt;&gt;""),"SIM",""))</f>
        <v/>
      </c>
      <c r="N1163" s="5"/>
      <c r="O1163" s="32" t="str">
        <f aca="false">IF(D1163="","",YEAR(D1163))</f>
        <v/>
      </c>
      <c r="P1163" s="5"/>
    </row>
    <row r="1164" customFormat="false" ht="15" hidden="false" customHeight="false" outlineLevel="0" collapsed="false">
      <c r="A1164" s="27"/>
      <c r="B1164" s="5"/>
      <c r="C1164" s="35"/>
      <c r="D1164" s="18"/>
      <c r="E1164" s="5"/>
      <c r="F1164" s="14"/>
      <c r="G1164" s="5"/>
      <c r="H1164" s="27"/>
      <c r="I1164" s="5"/>
      <c r="J1164" s="19" t="str">
        <f aca="false">IF(A1164="","",IFERROR(INDEX(Empresas!$D:$D,MATCH(A1164,Empresas!$A:$A,0))&amp;"","não consta"))</f>
        <v/>
      </c>
      <c r="K1164" s="19" t="str">
        <f aca="false">IF(A1164="","",IFERROR(INDEX(Sancoes!$B:$B,MATCH(A1164,Sancoes!$A:$A,0))&amp;"","não consta"))</f>
        <v/>
      </c>
      <c r="L1164" s="19" t="str">
        <f aca="false">IF(A1164="","",IFERROR(INDEX(Eleitoral!$B:$B,MATCH(A1164,Eleitoral!$A:$A,0))&amp;"","não consta"))</f>
        <v/>
      </c>
      <c r="M1164" s="28" t="str">
        <f aca="false">IF(A1164="","",IF(OR(AND(K1164&lt;&gt;"",LOWER(K1164)&lt;&gt;"não consta"),AND(L1164&lt;&gt;"",LOWER(L1164)&lt;&gt;"não consta"),IFERROR(INDEX(Empresas!$G:$G,MATCH(A1164,Empresas!$A:$A,0))&amp;"","")&lt;&gt;""),"SIM",""))</f>
        <v/>
      </c>
      <c r="N1164" s="5"/>
      <c r="O1164" s="32" t="str">
        <f aca="false">IF(D1164="","",YEAR(D1164))</f>
        <v/>
      </c>
      <c r="P1164" s="5"/>
    </row>
    <row r="1165" customFormat="false" ht="15" hidden="false" customHeight="false" outlineLevel="0" collapsed="false">
      <c r="A1165" s="27"/>
      <c r="B1165" s="5"/>
      <c r="C1165" s="35"/>
      <c r="D1165" s="18"/>
      <c r="E1165" s="5"/>
      <c r="F1165" s="14"/>
      <c r="G1165" s="5"/>
      <c r="H1165" s="27"/>
      <c r="I1165" s="5"/>
      <c r="J1165" s="19" t="str">
        <f aca="false">IF(A1165="","",IFERROR(INDEX(Empresas!$D:$D,MATCH(A1165,Empresas!$A:$A,0))&amp;"","não consta"))</f>
        <v/>
      </c>
      <c r="K1165" s="19" t="str">
        <f aca="false">IF(A1165="","",IFERROR(INDEX(Sancoes!$B:$B,MATCH(A1165,Sancoes!$A:$A,0))&amp;"","não consta"))</f>
        <v/>
      </c>
      <c r="L1165" s="19" t="str">
        <f aca="false">IF(A1165="","",IFERROR(INDEX(Eleitoral!$B:$B,MATCH(A1165,Eleitoral!$A:$A,0))&amp;"","não consta"))</f>
        <v/>
      </c>
      <c r="M1165" s="28" t="str">
        <f aca="false">IF(A1165="","",IF(OR(AND(K1165&lt;&gt;"",LOWER(K1165)&lt;&gt;"não consta"),AND(L1165&lt;&gt;"",LOWER(L1165)&lt;&gt;"não consta"),IFERROR(INDEX(Empresas!$G:$G,MATCH(A1165,Empresas!$A:$A,0))&amp;"","")&lt;&gt;""),"SIM",""))</f>
        <v/>
      </c>
      <c r="N1165" s="5"/>
      <c r="O1165" s="32" t="str">
        <f aca="false">IF(D1165="","",YEAR(D1165))</f>
        <v/>
      </c>
      <c r="P1165" s="5"/>
    </row>
    <row r="1166" customFormat="false" ht="15" hidden="false" customHeight="false" outlineLevel="0" collapsed="false">
      <c r="A1166" s="27"/>
      <c r="B1166" s="5"/>
      <c r="C1166" s="35"/>
      <c r="D1166" s="18"/>
      <c r="E1166" s="5"/>
      <c r="F1166" s="14"/>
      <c r="G1166" s="5"/>
      <c r="H1166" s="27"/>
      <c r="I1166" s="5"/>
      <c r="J1166" s="19" t="str">
        <f aca="false">IF(A1166="","",IFERROR(INDEX(Empresas!$D:$D,MATCH(A1166,Empresas!$A:$A,0))&amp;"","não consta"))</f>
        <v/>
      </c>
      <c r="K1166" s="19" t="str">
        <f aca="false">IF(A1166="","",IFERROR(INDEX(Sancoes!$B:$B,MATCH(A1166,Sancoes!$A:$A,0))&amp;"","não consta"))</f>
        <v/>
      </c>
      <c r="L1166" s="19" t="str">
        <f aca="false">IF(A1166="","",IFERROR(INDEX(Eleitoral!$B:$B,MATCH(A1166,Eleitoral!$A:$A,0))&amp;"","não consta"))</f>
        <v/>
      </c>
      <c r="M1166" s="28" t="str">
        <f aca="false">IF(A1166="","",IF(OR(AND(K1166&lt;&gt;"",LOWER(K1166)&lt;&gt;"não consta"),AND(L1166&lt;&gt;"",LOWER(L1166)&lt;&gt;"não consta"),IFERROR(INDEX(Empresas!$G:$G,MATCH(A1166,Empresas!$A:$A,0))&amp;"","")&lt;&gt;""),"SIM",""))</f>
        <v/>
      </c>
      <c r="N1166" s="5"/>
      <c r="O1166" s="32" t="str">
        <f aca="false">IF(D1166="","",YEAR(D1166))</f>
        <v/>
      </c>
      <c r="P1166" s="5"/>
    </row>
    <row r="1167" customFormat="false" ht="15" hidden="false" customHeight="false" outlineLevel="0" collapsed="false">
      <c r="A1167" s="27"/>
      <c r="B1167" s="5"/>
      <c r="C1167" s="35"/>
      <c r="D1167" s="18"/>
      <c r="E1167" s="5"/>
      <c r="F1167" s="14"/>
      <c r="G1167" s="5"/>
      <c r="H1167" s="27"/>
      <c r="I1167" s="5"/>
      <c r="J1167" s="19" t="str">
        <f aca="false">IF(A1167="","",IFERROR(INDEX(Empresas!$D:$D,MATCH(A1167,Empresas!$A:$A,0))&amp;"","não consta"))</f>
        <v/>
      </c>
      <c r="K1167" s="19" t="str">
        <f aca="false">IF(A1167="","",IFERROR(INDEX(Sancoes!$B:$B,MATCH(A1167,Sancoes!$A:$A,0))&amp;"","não consta"))</f>
        <v/>
      </c>
      <c r="L1167" s="19" t="str">
        <f aca="false">IF(A1167="","",IFERROR(INDEX(Eleitoral!$B:$B,MATCH(A1167,Eleitoral!$A:$A,0))&amp;"","não consta"))</f>
        <v/>
      </c>
      <c r="M1167" s="28" t="str">
        <f aca="false">IF(A1167="","",IF(OR(AND(K1167&lt;&gt;"",LOWER(K1167)&lt;&gt;"não consta"),AND(L1167&lt;&gt;"",LOWER(L1167)&lt;&gt;"não consta"),IFERROR(INDEX(Empresas!$G:$G,MATCH(A1167,Empresas!$A:$A,0))&amp;"","")&lt;&gt;""),"SIM",""))</f>
        <v/>
      </c>
      <c r="N1167" s="5"/>
      <c r="O1167" s="32" t="str">
        <f aca="false">IF(D1167="","",YEAR(D1167))</f>
        <v/>
      </c>
      <c r="P1167" s="5"/>
    </row>
    <row r="1168" customFormat="false" ht="15" hidden="false" customHeight="false" outlineLevel="0" collapsed="false">
      <c r="A1168" s="27"/>
      <c r="B1168" s="5"/>
      <c r="C1168" s="35"/>
      <c r="D1168" s="18"/>
      <c r="E1168" s="5"/>
      <c r="F1168" s="14"/>
      <c r="G1168" s="5"/>
      <c r="H1168" s="27"/>
      <c r="I1168" s="5"/>
      <c r="J1168" s="19" t="str">
        <f aca="false">IF(A1168="","",IFERROR(INDEX(Empresas!$D:$D,MATCH(A1168,Empresas!$A:$A,0))&amp;"","não consta"))</f>
        <v/>
      </c>
      <c r="K1168" s="19" t="str">
        <f aca="false">IF(A1168="","",IFERROR(INDEX(Sancoes!$B:$B,MATCH(A1168,Sancoes!$A:$A,0))&amp;"","não consta"))</f>
        <v/>
      </c>
      <c r="L1168" s="19" t="str">
        <f aca="false">IF(A1168="","",IFERROR(INDEX(Eleitoral!$B:$B,MATCH(A1168,Eleitoral!$A:$A,0))&amp;"","não consta"))</f>
        <v/>
      </c>
      <c r="M1168" s="28" t="str">
        <f aca="false">IF(A1168="","",IF(OR(AND(K1168&lt;&gt;"",LOWER(K1168)&lt;&gt;"não consta"),AND(L1168&lt;&gt;"",LOWER(L1168)&lt;&gt;"não consta"),IFERROR(INDEX(Empresas!$G:$G,MATCH(A1168,Empresas!$A:$A,0))&amp;"","")&lt;&gt;""),"SIM",""))</f>
        <v/>
      </c>
      <c r="N1168" s="5"/>
      <c r="O1168" s="32" t="str">
        <f aca="false">IF(D1168="","",YEAR(D1168))</f>
        <v/>
      </c>
      <c r="P1168" s="5"/>
    </row>
    <row r="1169" customFormat="false" ht="15" hidden="false" customHeight="false" outlineLevel="0" collapsed="false">
      <c r="A1169" s="27"/>
      <c r="B1169" s="5"/>
      <c r="C1169" s="35"/>
      <c r="D1169" s="18"/>
      <c r="E1169" s="5"/>
      <c r="F1169" s="14"/>
      <c r="G1169" s="5"/>
      <c r="H1169" s="27"/>
      <c r="I1169" s="5"/>
      <c r="J1169" s="19" t="str">
        <f aca="false">IF(A1169="","",IFERROR(INDEX(Empresas!$D:$D,MATCH(A1169,Empresas!$A:$A,0))&amp;"","não consta"))</f>
        <v/>
      </c>
      <c r="K1169" s="19" t="str">
        <f aca="false">IF(A1169="","",IFERROR(INDEX(Sancoes!$B:$B,MATCH(A1169,Sancoes!$A:$A,0))&amp;"","não consta"))</f>
        <v/>
      </c>
      <c r="L1169" s="19" t="str">
        <f aca="false">IF(A1169="","",IFERROR(INDEX(Eleitoral!$B:$B,MATCH(A1169,Eleitoral!$A:$A,0))&amp;"","não consta"))</f>
        <v/>
      </c>
      <c r="M1169" s="28" t="str">
        <f aca="false">IF(A1169="","",IF(OR(AND(K1169&lt;&gt;"",LOWER(K1169)&lt;&gt;"não consta"),AND(L1169&lt;&gt;"",LOWER(L1169)&lt;&gt;"não consta"),IFERROR(INDEX(Empresas!$G:$G,MATCH(A1169,Empresas!$A:$A,0))&amp;"","")&lt;&gt;""),"SIM",""))</f>
        <v/>
      </c>
      <c r="N1169" s="5"/>
      <c r="O1169" s="32" t="str">
        <f aca="false">IF(D1169="","",YEAR(D1169))</f>
        <v/>
      </c>
      <c r="P1169" s="5"/>
    </row>
    <row r="1170" customFormat="false" ht="15" hidden="false" customHeight="false" outlineLevel="0" collapsed="false">
      <c r="A1170" s="27"/>
      <c r="B1170" s="5"/>
      <c r="C1170" s="35"/>
      <c r="D1170" s="18"/>
      <c r="E1170" s="5"/>
      <c r="F1170" s="14"/>
      <c r="G1170" s="5"/>
      <c r="H1170" s="27"/>
      <c r="I1170" s="5"/>
      <c r="J1170" s="19" t="str">
        <f aca="false">IF(A1170="","",IFERROR(INDEX(Empresas!$D:$D,MATCH(A1170,Empresas!$A:$A,0))&amp;"","não consta"))</f>
        <v/>
      </c>
      <c r="K1170" s="19" t="str">
        <f aca="false">IF(A1170="","",IFERROR(INDEX(Sancoes!$B:$B,MATCH(A1170,Sancoes!$A:$A,0))&amp;"","não consta"))</f>
        <v/>
      </c>
      <c r="L1170" s="19" t="str">
        <f aca="false">IF(A1170="","",IFERROR(INDEX(Eleitoral!$B:$B,MATCH(A1170,Eleitoral!$A:$A,0))&amp;"","não consta"))</f>
        <v/>
      </c>
      <c r="M1170" s="28" t="str">
        <f aca="false">IF(A1170="","",IF(OR(AND(K1170&lt;&gt;"",LOWER(K1170)&lt;&gt;"não consta"),AND(L1170&lt;&gt;"",LOWER(L1170)&lt;&gt;"não consta"),IFERROR(INDEX(Empresas!$G:$G,MATCH(A1170,Empresas!$A:$A,0))&amp;"","")&lt;&gt;""),"SIM",""))</f>
        <v/>
      </c>
      <c r="N1170" s="5"/>
      <c r="O1170" s="32" t="str">
        <f aca="false">IF(D1170="","",YEAR(D1170))</f>
        <v/>
      </c>
      <c r="P1170" s="5"/>
    </row>
    <row r="1171" customFormat="false" ht="15" hidden="false" customHeight="false" outlineLevel="0" collapsed="false">
      <c r="A1171" s="27"/>
      <c r="B1171" s="5"/>
      <c r="C1171" s="35"/>
      <c r="D1171" s="18"/>
      <c r="E1171" s="5"/>
      <c r="F1171" s="14"/>
      <c r="G1171" s="5"/>
      <c r="H1171" s="27"/>
      <c r="I1171" s="5"/>
      <c r="J1171" s="19" t="str">
        <f aca="false">IF(A1171="","",IFERROR(INDEX(Empresas!$D:$D,MATCH(A1171,Empresas!$A:$A,0))&amp;"","não consta"))</f>
        <v/>
      </c>
      <c r="K1171" s="19" t="str">
        <f aca="false">IF(A1171="","",IFERROR(INDEX(Sancoes!$B:$B,MATCH(A1171,Sancoes!$A:$A,0))&amp;"","não consta"))</f>
        <v/>
      </c>
      <c r="L1171" s="19" t="str">
        <f aca="false">IF(A1171="","",IFERROR(INDEX(Eleitoral!$B:$B,MATCH(A1171,Eleitoral!$A:$A,0))&amp;"","não consta"))</f>
        <v/>
      </c>
      <c r="M1171" s="28" t="str">
        <f aca="false">IF(A1171="","",IF(OR(AND(K1171&lt;&gt;"",LOWER(K1171)&lt;&gt;"não consta"),AND(L1171&lt;&gt;"",LOWER(L1171)&lt;&gt;"não consta"),IFERROR(INDEX(Empresas!$G:$G,MATCH(A1171,Empresas!$A:$A,0))&amp;"","")&lt;&gt;""),"SIM",""))</f>
        <v/>
      </c>
      <c r="N1171" s="5"/>
      <c r="O1171" s="32" t="str">
        <f aca="false">IF(D1171="","",YEAR(D1171))</f>
        <v/>
      </c>
      <c r="P1171" s="5"/>
    </row>
    <row r="1172" customFormat="false" ht="15" hidden="false" customHeight="false" outlineLevel="0" collapsed="false">
      <c r="A1172" s="27"/>
      <c r="B1172" s="5"/>
      <c r="C1172" s="35"/>
      <c r="D1172" s="18"/>
      <c r="E1172" s="5"/>
      <c r="F1172" s="14"/>
      <c r="G1172" s="5"/>
      <c r="H1172" s="27"/>
      <c r="I1172" s="5"/>
      <c r="J1172" s="19" t="str">
        <f aca="false">IF(A1172="","",IFERROR(INDEX(Empresas!$D:$D,MATCH(A1172,Empresas!$A:$A,0))&amp;"","não consta"))</f>
        <v/>
      </c>
      <c r="K1172" s="19" t="str">
        <f aca="false">IF(A1172="","",IFERROR(INDEX(Sancoes!$B:$B,MATCH(A1172,Sancoes!$A:$A,0))&amp;"","não consta"))</f>
        <v/>
      </c>
      <c r="L1172" s="19" t="str">
        <f aca="false">IF(A1172="","",IFERROR(INDEX(Eleitoral!$B:$B,MATCH(A1172,Eleitoral!$A:$A,0))&amp;"","não consta"))</f>
        <v/>
      </c>
      <c r="M1172" s="28" t="str">
        <f aca="false">IF(A1172="","",IF(OR(AND(K1172&lt;&gt;"",LOWER(K1172)&lt;&gt;"não consta"),AND(L1172&lt;&gt;"",LOWER(L1172)&lt;&gt;"não consta"),IFERROR(INDEX(Empresas!$G:$G,MATCH(A1172,Empresas!$A:$A,0))&amp;"","")&lt;&gt;""),"SIM",""))</f>
        <v/>
      </c>
      <c r="N1172" s="5"/>
      <c r="O1172" s="32" t="str">
        <f aca="false">IF(D1172="","",YEAR(D1172))</f>
        <v/>
      </c>
      <c r="P1172" s="5"/>
    </row>
    <row r="1173" customFormat="false" ht="15" hidden="false" customHeight="false" outlineLevel="0" collapsed="false">
      <c r="A1173" s="27"/>
      <c r="B1173" s="5"/>
      <c r="C1173" s="35"/>
      <c r="D1173" s="18"/>
      <c r="E1173" s="5"/>
      <c r="F1173" s="14"/>
      <c r="G1173" s="5"/>
      <c r="H1173" s="27"/>
      <c r="I1173" s="5"/>
      <c r="J1173" s="19" t="str">
        <f aca="false">IF(A1173="","",IFERROR(INDEX(Empresas!$D:$D,MATCH(A1173,Empresas!$A:$A,0))&amp;"","não consta"))</f>
        <v/>
      </c>
      <c r="K1173" s="19" t="str">
        <f aca="false">IF(A1173="","",IFERROR(INDEX(Sancoes!$B:$B,MATCH(A1173,Sancoes!$A:$A,0))&amp;"","não consta"))</f>
        <v/>
      </c>
      <c r="L1173" s="19" t="str">
        <f aca="false">IF(A1173="","",IFERROR(INDEX(Eleitoral!$B:$B,MATCH(A1173,Eleitoral!$A:$A,0))&amp;"","não consta"))</f>
        <v/>
      </c>
      <c r="M1173" s="28" t="str">
        <f aca="false">IF(A1173="","",IF(OR(AND(K1173&lt;&gt;"",LOWER(K1173)&lt;&gt;"não consta"),AND(L1173&lt;&gt;"",LOWER(L1173)&lt;&gt;"não consta"),IFERROR(INDEX(Empresas!$G:$G,MATCH(A1173,Empresas!$A:$A,0))&amp;"","")&lt;&gt;""),"SIM",""))</f>
        <v/>
      </c>
      <c r="N1173" s="5"/>
      <c r="O1173" s="32" t="str">
        <f aca="false">IF(D1173="","",YEAR(D1173))</f>
        <v/>
      </c>
      <c r="P1173" s="5"/>
    </row>
    <row r="1174" customFormat="false" ht="15" hidden="false" customHeight="false" outlineLevel="0" collapsed="false">
      <c r="A1174" s="27"/>
      <c r="B1174" s="5"/>
      <c r="C1174" s="35"/>
      <c r="D1174" s="18"/>
      <c r="E1174" s="5"/>
      <c r="F1174" s="14"/>
      <c r="G1174" s="5"/>
      <c r="H1174" s="27"/>
      <c r="I1174" s="5"/>
      <c r="J1174" s="19" t="str">
        <f aca="false">IF(A1174="","",IFERROR(INDEX(Empresas!$D:$D,MATCH(A1174,Empresas!$A:$A,0))&amp;"","não consta"))</f>
        <v/>
      </c>
      <c r="K1174" s="19" t="str">
        <f aca="false">IF(A1174="","",IFERROR(INDEX(Sancoes!$B:$B,MATCH(A1174,Sancoes!$A:$A,0))&amp;"","não consta"))</f>
        <v/>
      </c>
      <c r="L1174" s="19" t="str">
        <f aca="false">IF(A1174="","",IFERROR(INDEX(Eleitoral!$B:$B,MATCH(A1174,Eleitoral!$A:$A,0))&amp;"","não consta"))</f>
        <v/>
      </c>
      <c r="M1174" s="28" t="str">
        <f aca="false">IF(A1174="","",IF(OR(AND(K1174&lt;&gt;"",LOWER(K1174)&lt;&gt;"não consta"),AND(L1174&lt;&gt;"",LOWER(L1174)&lt;&gt;"não consta"),IFERROR(INDEX(Empresas!$G:$G,MATCH(A1174,Empresas!$A:$A,0))&amp;"","")&lt;&gt;""),"SIM",""))</f>
        <v/>
      </c>
      <c r="N1174" s="5"/>
      <c r="O1174" s="32" t="str">
        <f aca="false">IF(D1174="","",YEAR(D1174))</f>
        <v/>
      </c>
      <c r="P1174" s="5"/>
    </row>
    <row r="1175" customFormat="false" ht="15" hidden="false" customHeight="false" outlineLevel="0" collapsed="false">
      <c r="A1175" s="27"/>
      <c r="B1175" s="5"/>
      <c r="C1175" s="35"/>
      <c r="D1175" s="18"/>
      <c r="E1175" s="5"/>
      <c r="F1175" s="14"/>
      <c r="G1175" s="5"/>
      <c r="H1175" s="27"/>
      <c r="I1175" s="5"/>
      <c r="J1175" s="19" t="str">
        <f aca="false">IF(A1175="","",IFERROR(INDEX(Empresas!$D:$D,MATCH(A1175,Empresas!$A:$A,0))&amp;"","não consta"))</f>
        <v/>
      </c>
      <c r="K1175" s="19" t="str">
        <f aca="false">IF(A1175="","",IFERROR(INDEX(Sancoes!$B:$B,MATCH(A1175,Sancoes!$A:$A,0))&amp;"","não consta"))</f>
        <v/>
      </c>
      <c r="L1175" s="19" t="str">
        <f aca="false">IF(A1175="","",IFERROR(INDEX(Eleitoral!$B:$B,MATCH(A1175,Eleitoral!$A:$A,0))&amp;"","não consta"))</f>
        <v/>
      </c>
      <c r="M1175" s="28" t="str">
        <f aca="false">IF(A1175="","",IF(OR(AND(K1175&lt;&gt;"",LOWER(K1175)&lt;&gt;"não consta"),AND(L1175&lt;&gt;"",LOWER(L1175)&lt;&gt;"não consta"),IFERROR(INDEX(Empresas!$G:$G,MATCH(A1175,Empresas!$A:$A,0))&amp;"","")&lt;&gt;""),"SIM",""))</f>
        <v/>
      </c>
      <c r="N1175" s="5"/>
      <c r="O1175" s="32" t="str">
        <f aca="false">IF(D1175="","",YEAR(D1175))</f>
        <v/>
      </c>
      <c r="P1175" s="5"/>
    </row>
    <row r="1176" customFormat="false" ht="15" hidden="false" customHeight="false" outlineLevel="0" collapsed="false">
      <c r="A1176" s="27"/>
      <c r="B1176" s="5"/>
      <c r="C1176" s="35"/>
      <c r="D1176" s="18"/>
      <c r="E1176" s="5"/>
      <c r="F1176" s="14"/>
      <c r="G1176" s="5"/>
      <c r="H1176" s="27"/>
      <c r="I1176" s="5"/>
      <c r="J1176" s="19" t="str">
        <f aca="false">IF(A1176="","",IFERROR(INDEX(Empresas!$D:$D,MATCH(A1176,Empresas!$A:$A,0))&amp;"","não consta"))</f>
        <v/>
      </c>
      <c r="K1176" s="19" t="str">
        <f aca="false">IF(A1176="","",IFERROR(INDEX(Sancoes!$B:$B,MATCH(A1176,Sancoes!$A:$A,0))&amp;"","não consta"))</f>
        <v/>
      </c>
      <c r="L1176" s="19" t="str">
        <f aca="false">IF(A1176="","",IFERROR(INDEX(Eleitoral!$B:$B,MATCH(A1176,Eleitoral!$A:$A,0))&amp;"","não consta"))</f>
        <v/>
      </c>
      <c r="M1176" s="28" t="str">
        <f aca="false">IF(A1176="","",IF(OR(AND(K1176&lt;&gt;"",LOWER(K1176)&lt;&gt;"não consta"),AND(L1176&lt;&gt;"",LOWER(L1176)&lt;&gt;"não consta"),IFERROR(INDEX(Empresas!$G:$G,MATCH(A1176,Empresas!$A:$A,0))&amp;"","")&lt;&gt;""),"SIM",""))</f>
        <v/>
      </c>
      <c r="N1176" s="5"/>
      <c r="O1176" s="32" t="str">
        <f aca="false">IF(D1176="","",YEAR(D1176))</f>
        <v/>
      </c>
      <c r="P1176" s="5"/>
    </row>
    <row r="1177" customFormat="false" ht="15" hidden="false" customHeight="false" outlineLevel="0" collapsed="false">
      <c r="A1177" s="27"/>
      <c r="B1177" s="5"/>
      <c r="C1177" s="35"/>
      <c r="D1177" s="18"/>
      <c r="E1177" s="5"/>
      <c r="F1177" s="14"/>
      <c r="G1177" s="5"/>
      <c r="H1177" s="27"/>
      <c r="I1177" s="5"/>
      <c r="J1177" s="19" t="str">
        <f aca="false">IF(A1177="","",IFERROR(INDEX(Empresas!$D:$D,MATCH(A1177,Empresas!$A:$A,0))&amp;"","não consta"))</f>
        <v/>
      </c>
      <c r="K1177" s="19" t="str">
        <f aca="false">IF(A1177="","",IFERROR(INDEX(Sancoes!$B:$B,MATCH(A1177,Sancoes!$A:$A,0))&amp;"","não consta"))</f>
        <v/>
      </c>
      <c r="L1177" s="19" t="str">
        <f aca="false">IF(A1177="","",IFERROR(INDEX(Eleitoral!$B:$B,MATCH(A1177,Eleitoral!$A:$A,0))&amp;"","não consta"))</f>
        <v/>
      </c>
      <c r="M1177" s="28" t="str">
        <f aca="false">IF(A1177="","",IF(OR(AND(K1177&lt;&gt;"",LOWER(K1177)&lt;&gt;"não consta"),AND(L1177&lt;&gt;"",LOWER(L1177)&lt;&gt;"não consta"),IFERROR(INDEX(Empresas!$G:$G,MATCH(A1177,Empresas!$A:$A,0))&amp;"","")&lt;&gt;""),"SIM",""))</f>
        <v/>
      </c>
      <c r="N1177" s="5"/>
      <c r="O1177" s="32" t="str">
        <f aca="false">IF(D1177="","",YEAR(D1177))</f>
        <v/>
      </c>
      <c r="P1177" s="5"/>
    </row>
    <row r="1178" customFormat="false" ht="15" hidden="false" customHeight="false" outlineLevel="0" collapsed="false">
      <c r="A1178" s="27"/>
      <c r="B1178" s="5"/>
      <c r="C1178" s="35"/>
      <c r="D1178" s="18"/>
      <c r="E1178" s="5"/>
      <c r="F1178" s="14"/>
      <c r="G1178" s="5"/>
      <c r="H1178" s="27"/>
      <c r="I1178" s="5"/>
      <c r="J1178" s="19" t="str">
        <f aca="false">IF(A1178="","",IFERROR(INDEX(Empresas!$D:$D,MATCH(A1178,Empresas!$A:$A,0))&amp;"","não consta"))</f>
        <v/>
      </c>
      <c r="K1178" s="19" t="str">
        <f aca="false">IF(A1178="","",IFERROR(INDEX(Sancoes!$B:$B,MATCH(A1178,Sancoes!$A:$A,0))&amp;"","não consta"))</f>
        <v/>
      </c>
      <c r="L1178" s="19" t="str">
        <f aca="false">IF(A1178="","",IFERROR(INDEX(Eleitoral!$B:$B,MATCH(A1178,Eleitoral!$A:$A,0))&amp;"","não consta"))</f>
        <v/>
      </c>
      <c r="M1178" s="28" t="str">
        <f aca="false">IF(A1178="","",IF(OR(AND(K1178&lt;&gt;"",LOWER(K1178)&lt;&gt;"não consta"),AND(L1178&lt;&gt;"",LOWER(L1178)&lt;&gt;"não consta"),IFERROR(INDEX(Empresas!$G:$G,MATCH(A1178,Empresas!$A:$A,0))&amp;"","")&lt;&gt;""),"SIM",""))</f>
        <v/>
      </c>
      <c r="N1178" s="5"/>
      <c r="O1178" s="32" t="str">
        <f aca="false">IF(D1178="","",YEAR(D1178))</f>
        <v/>
      </c>
      <c r="P1178" s="5"/>
    </row>
    <row r="1179" customFormat="false" ht="15" hidden="false" customHeight="false" outlineLevel="0" collapsed="false">
      <c r="A1179" s="27"/>
      <c r="B1179" s="5"/>
      <c r="C1179" s="35"/>
      <c r="D1179" s="18"/>
      <c r="E1179" s="5"/>
      <c r="F1179" s="14"/>
      <c r="G1179" s="5"/>
      <c r="H1179" s="27"/>
      <c r="I1179" s="5"/>
      <c r="J1179" s="19" t="str">
        <f aca="false">IF(A1179="","",IFERROR(INDEX(Empresas!$D:$D,MATCH(A1179,Empresas!$A:$A,0))&amp;"","não consta"))</f>
        <v/>
      </c>
      <c r="K1179" s="19" t="str">
        <f aca="false">IF(A1179="","",IFERROR(INDEX(Sancoes!$B:$B,MATCH(A1179,Sancoes!$A:$A,0))&amp;"","não consta"))</f>
        <v/>
      </c>
      <c r="L1179" s="19" t="str">
        <f aca="false">IF(A1179="","",IFERROR(INDEX(Eleitoral!$B:$B,MATCH(A1179,Eleitoral!$A:$A,0))&amp;"","não consta"))</f>
        <v/>
      </c>
      <c r="M1179" s="28" t="str">
        <f aca="false">IF(A1179="","",IF(OR(AND(K1179&lt;&gt;"",LOWER(K1179)&lt;&gt;"não consta"),AND(L1179&lt;&gt;"",LOWER(L1179)&lt;&gt;"não consta"),IFERROR(INDEX(Empresas!$G:$G,MATCH(A1179,Empresas!$A:$A,0))&amp;"","")&lt;&gt;""),"SIM",""))</f>
        <v/>
      </c>
      <c r="N1179" s="5"/>
      <c r="O1179" s="32" t="str">
        <f aca="false">IF(D1179="","",YEAR(D1179))</f>
        <v/>
      </c>
      <c r="P1179" s="5"/>
    </row>
    <row r="1180" customFormat="false" ht="15" hidden="false" customHeight="false" outlineLevel="0" collapsed="false">
      <c r="A1180" s="27"/>
      <c r="B1180" s="5"/>
      <c r="C1180" s="35"/>
      <c r="D1180" s="18"/>
      <c r="E1180" s="5"/>
      <c r="F1180" s="14"/>
      <c r="G1180" s="5"/>
      <c r="H1180" s="27"/>
      <c r="I1180" s="5"/>
      <c r="J1180" s="19" t="str">
        <f aca="false">IF(A1180="","",IFERROR(INDEX(Empresas!$D:$D,MATCH(A1180,Empresas!$A:$A,0))&amp;"","não consta"))</f>
        <v/>
      </c>
      <c r="K1180" s="19" t="str">
        <f aca="false">IF(A1180="","",IFERROR(INDEX(Sancoes!$B:$B,MATCH(A1180,Sancoes!$A:$A,0))&amp;"","não consta"))</f>
        <v/>
      </c>
      <c r="L1180" s="19" t="str">
        <f aca="false">IF(A1180="","",IFERROR(INDEX(Eleitoral!$B:$B,MATCH(A1180,Eleitoral!$A:$A,0))&amp;"","não consta"))</f>
        <v/>
      </c>
      <c r="M1180" s="28" t="str">
        <f aca="false">IF(A1180="","",IF(OR(AND(K1180&lt;&gt;"",LOWER(K1180)&lt;&gt;"não consta"),AND(L1180&lt;&gt;"",LOWER(L1180)&lt;&gt;"não consta"),IFERROR(INDEX(Empresas!$G:$G,MATCH(A1180,Empresas!$A:$A,0))&amp;"","")&lt;&gt;""),"SIM",""))</f>
        <v/>
      </c>
      <c r="N1180" s="5"/>
      <c r="O1180" s="32" t="str">
        <f aca="false">IF(D1180="","",YEAR(D1180))</f>
        <v/>
      </c>
      <c r="P1180" s="5"/>
    </row>
    <row r="1181" customFormat="false" ht="15" hidden="false" customHeight="false" outlineLevel="0" collapsed="false">
      <c r="A1181" s="27"/>
      <c r="B1181" s="5"/>
      <c r="C1181" s="35"/>
      <c r="D1181" s="18"/>
      <c r="E1181" s="5"/>
      <c r="F1181" s="14"/>
      <c r="G1181" s="5"/>
      <c r="H1181" s="27"/>
      <c r="I1181" s="5"/>
      <c r="J1181" s="19" t="str">
        <f aca="false">IF(A1181="","",IFERROR(INDEX(Empresas!$D:$D,MATCH(A1181,Empresas!$A:$A,0))&amp;"","não consta"))</f>
        <v/>
      </c>
      <c r="K1181" s="19" t="str">
        <f aca="false">IF(A1181="","",IFERROR(INDEX(Sancoes!$B:$B,MATCH(A1181,Sancoes!$A:$A,0))&amp;"","não consta"))</f>
        <v/>
      </c>
      <c r="L1181" s="19" t="str">
        <f aca="false">IF(A1181="","",IFERROR(INDEX(Eleitoral!$B:$B,MATCH(A1181,Eleitoral!$A:$A,0))&amp;"","não consta"))</f>
        <v/>
      </c>
      <c r="M1181" s="28" t="str">
        <f aca="false">IF(A1181="","",IF(OR(AND(K1181&lt;&gt;"",LOWER(K1181)&lt;&gt;"não consta"),AND(L1181&lt;&gt;"",LOWER(L1181)&lt;&gt;"não consta"),IFERROR(INDEX(Empresas!$G:$G,MATCH(A1181,Empresas!$A:$A,0))&amp;"","")&lt;&gt;""),"SIM",""))</f>
        <v/>
      </c>
      <c r="N1181" s="5"/>
      <c r="O1181" s="32" t="str">
        <f aca="false">IF(D1181="","",YEAR(D1181))</f>
        <v/>
      </c>
      <c r="P1181" s="5"/>
    </row>
    <row r="1182" customFormat="false" ht="15" hidden="false" customHeight="false" outlineLevel="0" collapsed="false">
      <c r="A1182" s="27"/>
      <c r="B1182" s="5"/>
      <c r="C1182" s="35"/>
      <c r="D1182" s="18"/>
      <c r="E1182" s="5"/>
      <c r="F1182" s="14"/>
      <c r="G1182" s="5"/>
      <c r="H1182" s="27"/>
      <c r="I1182" s="5"/>
      <c r="J1182" s="19" t="str">
        <f aca="false">IF(A1182="","",IFERROR(INDEX(Empresas!$D:$D,MATCH(A1182,Empresas!$A:$A,0))&amp;"","não consta"))</f>
        <v/>
      </c>
      <c r="K1182" s="19" t="str">
        <f aca="false">IF(A1182="","",IFERROR(INDEX(Sancoes!$B:$B,MATCH(A1182,Sancoes!$A:$A,0))&amp;"","não consta"))</f>
        <v/>
      </c>
      <c r="L1182" s="19" t="str">
        <f aca="false">IF(A1182="","",IFERROR(INDEX(Eleitoral!$B:$B,MATCH(A1182,Eleitoral!$A:$A,0))&amp;"","não consta"))</f>
        <v/>
      </c>
      <c r="M1182" s="28" t="str">
        <f aca="false">IF(A1182="","",IF(OR(AND(K1182&lt;&gt;"",LOWER(K1182)&lt;&gt;"não consta"),AND(L1182&lt;&gt;"",LOWER(L1182)&lt;&gt;"não consta"),IFERROR(INDEX(Empresas!$G:$G,MATCH(A1182,Empresas!$A:$A,0))&amp;"","")&lt;&gt;""),"SIM",""))</f>
        <v/>
      </c>
      <c r="N1182" s="5"/>
      <c r="O1182" s="32" t="str">
        <f aca="false">IF(D1182="","",YEAR(D1182))</f>
        <v/>
      </c>
      <c r="P1182" s="5"/>
    </row>
    <row r="1183" customFormat="false" ht="15" hidden="false" customHeight="false" outlineLevel="0" collapsed="false">
      <c r="A1183" s="27"/>
      <c r="B1183" s="5"/>
      <c r="C1183" s="35"/>
      <c r="D1183" s="18"/>
      <c r="E1183" s="5"/>
      <c r="F1183" s="14"/>
      <c r="G1183" s="5"/>
      <c r="H1183" s="27"/>
      <c r="I1183" s="5"/>
      <c r="J1183" s="19" t="str">
        <f aca="false">IF(A1183="","",IFERROR(INDEX(Empresas!$D:$D,MATCH(A1183,Empresas!$A:$A,0))&amp;"","não consta"))</f>
        <v/>
      </c>
      <c r="K1183" s="19" t="str">
        <f aca="false">IF(A1183="","",IFERROR(INDEX(Sancoes!$B:$B,MATCH(A1183,Sancoes!$A:$A,0))&amp;"","não consta"))</f>
        <v/>
      </c>
      <c r="L1183" s="19" t="str">
        <f aca="false">IF(A1183="","",IFERROR(INDEX(Eleitoral!$B:$B,MATCH(A1183,Eleitoral!$A:$A,0))&amp;"","não consta"))</f>
        <v/>
      </c>
      <c r="M1183" s="28" t="str">
        <f aca="false">IF(A1183="","",IF(OR(AND(K1183&lt;&gt;"",LOWER(K1183)&lt;&gt;"não consta"),AND(L1183&lt;&gt;"",LOWER(L1183)&lt;&gt;"não consta"),IFERROR(INDEX(Empresas!$G:$G,MATCH(A1183,Empresas!$A:$A,0))&amp;"","")&lt;&gt;""),"SIM",""))</f>
        <v/>
      </c>
      <c r="N1183" s="5"/>
      <c r="O1183" s="32" t="str">
        <f aca="false">IF(D1183="","",YEAR(D1183))</f>
        <v/>
      </c>
      <c r="P1183" s="5"/>
    </row>
    <row r="1184" customFormat="false" ht="15" hidden="false" customHeight="false" outlineLevel="0" collapsed="false">
      <c r="A1184" s="27"/>
      <c r="B1184" s="5"/>
      <c r="C1184" s="35"/>
      <c r="D1184" s="18"/>
      <c r="E1184" s="5"/>
      <c r="F1184" s="14"/>
      <c r="G1184" s="5"/>
      <c r="H1184" s="27"/>
      <c r="I1184" s="5"/>
      <c r="J1184" s="19" t="str">
        <f aca="false">IF(A1184="","",IFERROR(INDEX(Empresas!$D:$D,MATCH(A1184,Empresas!$A:$A,0))&amp;"","não consta"))</f>
        <v/>
      </c>
      <c r="K1184" s="19" t="str">
        <f aca="false">IF(A1184="","",IFERROR(INDEX(Sancoes!$B:$B,MATCH(A1184,Sancoes!$A:$A,0))&amp;"","não consta"))</f>
        <v/>
      </c>
      <c r="L1184" s="19" t="str">
        <f aca="false">IF(A1184="","",IFERROR(INDEX(Eleitoral!$B:$B,MATCH(A1184,Eleitoral!$A:$A,0))&amp;"","não consta"))</f>
        <v/>
      </c>
      <c r="M1184" s="28" t="str">
        <f aca="false">IF(A1184="","",IF(OR(AND(K1184&lt;&gt;"",LOWER(K1184)&lt;&gt;"não consta"),AND(L1184&lt;&gt;"",LOWER(L1184)&lt;&gt;"não consta"),IFERROR(INDEX(Empresas!$G:$G,MATCH(A1184,Empresas!$A:$A,0))&amp;"","")&lt;&gt;""),"SIM",""))</f>
        <v/>
      </c>
      <c r="N1184" s="5"/>
      <c r="O1184" s="32" t="str">
        <f aca="false">IF(D1184="","",YEAR(D1184))</f>
        <v/>
      </c>
      <c r="P1184" s="5"/>
    </row>
    <row r="1185" customFormat="false" ht="15" hidden="false" customHeight="false" outlineLevel="0" collapsed="false">
      <c r="A1185" s="27"/>
      <c r="B1185" s="5"/>
      <c r="C1185" s="35"/>
      <c r="D1185" s="18"/>
      <c r="E1185" s="5"/>
      <c r="F1185" s="14"/>
      <c r="G1185" s="5"/>
      <c r="H1185" s="27"/>
      <c r="I1185" s="5"/>
      <c r="J1185" s="19" t="str">
        <f aca="false">IF(A1185="","",IFERROR(INDEX(Empresas!$D:$D,MATCH(A1185,Empresas!$A:$A,0))&amp;"","não consta"))</f>
        <v/>
      </c>
      <c r="K1185" s="19" t="str">
        <f aca="false">IF(A1185="","",IFERROR(INDEX(Sancoes!$B:$B,MATCH(A1185,Sancoes!$A:$A,0))&amp;"","não consta"))</f>
        <v/>
      </c>
      <c r="L1185" s="19" t="str">
        <f aca="false">IF(A1185="","",IFERROR(INDEX(Eleitoral!$B:$B,MATCH(A1185,Eleitoral!$A:$A,0))&amp;"","não consta"))</f>
        <v/>
      </c>
      <c r="M1185" s="28" t="str">
        <f aca="false">IF(A1185="","",IF(OR(AND(K1185&lt;&gt;"",LOWER(K1185)&lt;&gt;"não consta"),AND(L1185&lt;&gt;"",LOWER(L1185)&lt;&gt;"não consta"),IFERROR(INDEX(Empresas!$G:$G,MATCH(A1185,Empresas!$A:$A,0))&amp;"","")&lt;&gt;""),"SIM",""))</f>
        <v/>
      </c>
      <c r="N1185" s="5"/>
      <c r="O1185" s="32" t="str">
        <f aca="false">IF(D1185="","",YEAR(D1185))</f>
        <v/>
      </c>
      <c r="P1185" s="5"/>
    </row>
    <row r="1186" customFormat="false" ht="15" hidden="false" customHeight="false" outlineLevel="0" collapsed="false">
      <c r="A1186" s="27"/>
      <c r="B1186" s="5"/>
      <c r="C1186" s="35"/>
      <c r="D1186" s="18"/>
      <c r="E1186" s="5"/>
      <c r="F1186" s="14"/>
      <c r="G1186" s="5"/>
      <c r="H1186" s="27"/>
      <c r="I1186" s="5"/>
      <c r="J1186" s="19" t="str">
        <f aca="false">IF(A1186="","",IFERROR(INDEX(Empresas!$D:$D,MATCH(A1186,Empresas!$A:$A,0))&amp;"","não consta"))</f>
        <v/>
      </c>
      <c r="K1186" s="19" t="str">
        <f aca="false">IF(A1186="","",IFERROR(INDEX(Sancoes!$B:$B,MATCH(A1186,Sancoes!$A:$A,0))&amp;"","não consta"))</f>
        <v/>
      </c>
      <c r="L1186" s="19" t="str">
        <f aca="false">IF(A1186="","",IFERROR(INDEX(Eleitoral!$B:$B,MATCH(A1186,Eleitoral!$A:$A,0))&amp;"","não consta"))</f>
        <v/>
      </c>
      <c r="M1186" s="28" t="str">
        <f aca="false">IF(A1186="","",IF(OR(AND(K1186&lt;&gt;"",LOWER(K1186)&lt;&gt;"não consta"),AND(L1186&lt;&gt;"",LOWER(L1186)&lt;&gt;"não consta"),IFERROR(INDEX(Empresas!$G:$G,MATCH(A1186,Empresas!$A:$A,0))&amp;"","")&lt;&gt;""),"SIM",""))</f>
        <v/>
      </c>
      <c r="N1186" s="5"/>
      <c r="O1186" s="32" t="str">
        <f aca="false">IF(D1186="","",YEAR(D1186))</f>
        <v/>
      </c>
      <c r="P1186" s="5"/>
    </row>
    <row r="1187" customFormat="false" ht="15" hidden="false" customHeight="false" outlineLevel="0" collapsed="false">
      <c r="A1187" s="27"/>
      <c r="B1187" s="5"/>
      <c r="C1187" s="35"/>
      <c r="D1187" s="18"/>
      <c r="E1187" s="5"/>
      <c r="F1187" s="14"/>
      <c r="G1187" s="5"/>
      <c r="H1187" s="27"/>
      <c r="I1187" s="5"/>
      <c r="J1187" s="19" t="str">
        <f aca="false">IF(A1187="","",IFERROR(INDEX(Empresas!$D:$D,MATCH(A1187,Empresas!$A:$A,0))&amp;"","não consta"))</f>
        <v/>
      </c>
      <c r="K1187" s="19" t="str">
        <f aca="false">IF(A1187="","",IFERROR(INDEX(Sancoes!$B:$B,MATCH(A1187,Sancoes!$A:$A,0))&amp;"","não consta"))</f>
        <v/>
      </c>
      <c r="L1187" s="19" t="str">
        <f aca="false">IF(A1187="","",IFERROR(INDEX(Eleitoral!$B:$B,MATCH(A1187,Eleitoral!$A:$A,0))&amp;"","não consta"))</f>
        <v/>
      </c>
      <c r="M1187" s="28" t="str">
        <f aca="false">IF(A1187="","",IF(OR(AND(K1187&lt;&gt;"",LOWER(K1187)&lt;&gt;"não consta"),AND(L1187&lt;&gt;"",LOWER(L1187)&lt;&gt;"não consta"),IFERROR(INDEX(Empresas!$G:$G,MATCH(A1187,Empresas!$A:$A,0))&amp;"","")&lt;&gt;""),"SIM",""))</f>
        <v/>
      </c>
      <c r="N1187" s="5"/>
      <c r="O1187" s="32" t="str">
        <f aca="false">IF(D1187="","",YEAR(D1187))</f>
        <v/>
      </c>
      <c r="P1187" s="5"/>
    </row>
    <row r="1188" customFormat="false" ht="15" hidden="false" customHeight="false" outlineLevel="0" collapsed="false">
      <c r="A1188" s="27"/>
      <c r="B1188" s="5"/>
      <c r="C1188" s="35"/>
      <c r="D1188" s="18"/>
      <c r="E1188" s="5"/>
      <c r="F1188" s="14"/>
      <c r="G1188" s="5"/>
      <c r="H1188" s="27"/>
      <c r="I1188" s="5"/>
      <c r="J1188" s="19" t="str">
        <f aca="false">IF(A1188="","",IFERROR(INDEX(Empresas!$D:$D,MATCH(A1188,Empresas!$A:$A,0))&amp;"","não consta"))</f>
        <v/>
      </c>
      <c r="K1188" s="19" t="str">
        <f aca="false">IF(A1188="","",IFERROR(INDEX(Sancoes!$B:$B,MATCH(A1188,Sancoes!$A:$A,0))&amp;"","não consta"))</f>
        <v/>
      </c>
      <c r="L1188" s="19" t="str">
        <f aca="false">IF(A1188="","",IFERROR(INDEX(Eleitoral!$B:$B,MATCH(A1188,Eleitoral!$A:$A,0))&amp;"","não consta"))</f>
        <v/>
      </c>
      <c r="M1188" s="28" t="str">
        <f aca="false">IF(A1188="","",IF(OR(AND(K1188&lt;&gt;"",LOWER(K1188)&lt;&gt;"não consta"),AND(L1188&lt;&gt;"",LOWER(L1188)&lt;&gt;"não consta"),IFERROR(INDEX(Empresas!$G:$G,MATCH(A1188,Empresas!$A:$A,0))&amp;"","")&lt;&gt;""),"SIM",""))</f>
        <v/>
      </c>
      <c r="N1188" s="5"/>
      <c r="O1188" s="32" t="str">
        <f aca="false">IF(D1188="","",YEAR(D1188))</f>
        <v/>
      </c>
      <c r="P1188" s="5"/>
    </row>
    <row r="1189" customFormat="false" ht="15" hidden="false" customHeight="false" outlineLevel="0" collapsed="false">
      <c r="A1189" s="27"/>
      <c r="B1189" s="5"/>
      <c r="C1189" s="35"/>
      <c r="D1189" s="18"/>
      <c r="E1189" s="5"/>
      <c r="F1189" s="14"/>
      <c r="G1189" s="5"/>
      <c r="H1189" s="27"/>
      <c r="I1189" s="5"/>
      <c r="J1189" s="19" t="str">
        <f aca="false">IF(A1189="","",IFERROR(INDEX(Empresas!$D:$D,MATCH(A1189,Empresas!$A:$A,0))&amp;"","não consta"))</f>
        <v/>
      </c>
      <c r="K1189" s="19" t="str">
        <f aca="false">IF(A1189="","",IFERROR(INDEX(Sancoes!$B:$B,MATCH(A1189,Sancoes!$A:$A,0))&amp;"","não consta"))</f>
        <v/>
      </c>
      <c r="L1189" s="19" t="str">
        <f aca="false">IF(A1189="","",IFERROR(INDEX(Eleitoral!$B:$B,MATCH(A1189,Eleitoral!$A:$A,0))&amp;"","não consta"))</f>
        <v/>
      </c>
      <c r="M1189" s="28" t="str">
        <f aca="false">IF(A1189="","",IF(OR(AND(K1189&lt;&gt;"",LOWER(K1189)&lt;&gt;"não consta"),AND(L1189&lt;&gt;"",LOWER(L1189)&lt;&gt;"não consta"),IFERROR(INDEX(Empresas!$G:$G,MATCH(A1189,Empresas!$A:$A,0))&amp;"","")&lt;&gt;""),"SIM",""))</f>
        <v/>
      </c>
      <c r="N1189" s="5"/>
      <c r="O1189" s="32" t="str">
        <f aca="false">IF(D1189="","",YEAR(D1189))</f>
        <v/>
      </c>
      <c r="P1189" s="5"/>
    </row>
    <row r="1190" customFormat="false" ht="15" hidden="false" customHeight="false" outlineLevel="0" collapsed="false">
      <c r="A1190" s="27"/>
      <c r="B1190" s="5"/>
      <c r="C1190" s="35"/>
      <c r="D1190" s="18"/>
      <c r="E1190" s="5"/>
      <c r="F1190" s="14"/>
      <c r="G1190" s="5"/>
      <c r="H1190" s="27"/>
      <c r="I1190" s="5"/>
      <c r="J1190" s="19" t="str">
        <f aca="false">IF(A1190="","",IFERROR(INDEX(Empresas!$D:$D,MATCH(A1190,Empresas!$A:$A,0))&amp;"","não consta"))</f>
        <v/>
      </c>
      <c r="K1190" s="19" t="str">
        <f aca="false">IF(A1190="","",IFERROR(INDEX(Sancoes!$B:$B,MATCH(A1190,Sancoes!$A:$A,0))&amp;"","não consta"))</f>
        <v/>
      </c>
      <c r="L1190" s="19" t="str">
        <f aca="false">IF(A1190="","",IFERROR(INDEX(Eleitoral!$B:$B,MATCH(A1190,Eleitoral!$A:$A,0))&amp;"","não consta"))</f>
        <v/>
      </c>
      <c r="M1190" s="28" t="str">
        <f aca="false">IF(A1190="","",IF(OR(AND(K1190&lt;&gt;"",LOWER(K1190)&lt;&gt;"não consta"),AND(L1190&lt;&gt;"",LOWER(L1190)&lt;&gt;"não consta"),IFERROR(INDEX(Empresas!$G:$G,MATCH(A1190,Empresas!$A:$A,0))&amp;"","")&lt;&gt;""),"SIM",""))</f>
        <v/>
      </c>
      <c r="N1190" s="5"/>
      <c r="O1190" s="32" t="str">
        <f aca="false">IF(D1190="","",YEAR(D1190))</f>
        <v/>
      </c>
      <c r="P1190" s="5"/>
    </row>
    <row r="1191" customFormat="false" ht="15" hidden="false" customHeight="false" outlineLevel="0" collapsed="false">
      <c r="A1191" s="27"/>
      <c r="B1191" s="5"/>
      <c r="C1191" s="35"/>
      <c r="D1191" s="18"/>
      <c r="E1191" s="5"/>
      <c r="F1191" s="14"/>
      <c r="G1191" s="5"/>
      <c r="H1191" s="27"/>
      <c r="I1191" s="5"/>
      <c r="J1191" s="19" t="str">
        <f aca="false">IF(A1191="","",IFERROR(INDEX(Empresas!$D:$D,MATCH(A1191,Empresas!$A:$A,0))&amp;"","não consta"))</f>
        <v/>
      </c>
      <c r="K1191" s="19" t="str">
        <f aca="false">IF(A1191="","",IFERROR(INDEX(Sancoes!$B:$B,MATCH(A1191,Sancoes!$A:$A,0))&amp;"","não consta"))</f>
        <v/>
      </c>
      <c r="L1191" s="19" t="str">
        <f aca="false">IF(A1191="","",IFERROR(INDEX(Eleitoral!$B:$B,MATCH(A1191,Eleitoral!$A:$A,0))&amp;"","não consta"))</f>
        <v/>
      </c>
      <c r="M1191" s="28" t="str">
        <f aca="false">IF(A1191="","",IF(OR(AND(K1191&lt;&gt;"",LOWER(K1191)&lt;&gt;"não consta"),AND(L1191&lt;&gt;"",LOWER(L1191)&lt;&gt;"não consta"),IFERROR(INDEX(Empresas!$G:$G,MATCH(A1191,Empresas!$A:$A,0))&amp;"","")&lt;&gt;""),"SIM",""))</f>
        <v/>
      </c>
      <c r="N1191" s="5"/>
      <c r="O1191" s="32" t="str">
        <f aca="false">IF(D1191="","",YEAR(D1191))</f>
        <v/>
      </c>
      <c r="P1191" s="5"/>
    </row>
    <row r="1192" customFormat="false" ht="15" hidden="false" customHeight="false" outlineLevel="0" collapsed="false">
      <c r="A1192" s="27"/>
      <c r="B1192" s="5"/>
      <c r="C1192" s="35"/>
      <c r="D1192" s="18"/>
      <c r="E1192" s="5"/>
      <c r="F1192" s="14"/>
      <c r="G1192" s="5"/>
      <c r="H1192" s="27"/>
      <c r="I1192" s="5"/>
      <c r="J1192" s="19" t="str">
        <f aca="false">IF(A1192="","",IFERROR(INDEX(Empresas!$D:$D,MATCH(A1192,Empresas!$A:$A,0))&amp;"","não consta"))</f>
        <v/>
      </c>
      <c r="K1192" s="19" t="str">
        <f aca="false">IF(A1192="","",IFERROR(INDEX(Sancoes!$B:$B,MATCH(A1192,Sancoes!$A:$A,0))&amp;"","não consta"))</f>
        <v/>
      </c>
      <c r="L1192" s="19" t="str">
        <f aca="false">IF(A1192="","",IFERROR(INDEX(Eleitoral!$B:$B,MATCH(A1192,Eleitoral!$A:$A,0))&amp;"","não consta"))</f>
        <v/>
      </c>
      <c r="M1192" s="28" t="str">
        <f aca="false">IF(A1192="","",IF(OR(AND(K1192&lt;&gt;"",LOWER(K1192)&lt;&gt;"não consta"),AND(L1192&lt;&gt;"",LOWER(L1192)&lt;&gt;"não consta"),IFERROR(INDEX(Empresas!$G:$G,MATCH(A1192,Empresas!$A:$A,0))&amp;"","")&lt;&gt;""),"SIM",""))</f>
        <v/>
      </c>
      <c r="N1192" s="5"/>
      <c r="O1192" s="32" t="str">
        <f aca="false">IF(D1192="","",YEAR(D1192))</f>
        <v/>
      </c>
      <c r="P1192" s="5"/>
    </row>
    <row r="1193" customFormat="false" ht="15" hidden="false" customHeight="false" outlineLevel="0" collapsed="false">
      <c r="A1193" s="27"/>
      <c r="B1193" s="5"/>
      <c r="C1193" s="35"/>
      <c r="D1193" s="18"/>
      <c r="E1193" s="5"/>
      <c r="F1193" s="14"/>
      <c r="G1193" s="5"/>
      <c r="H1193" s="27"/>
      <c r="I1193" s="5"/>
      <c r="J1193" s="19" t="str">
        <f aca="false">IF(A1193="","",IFERROR(INDEX(Empresas!$D:$D,MATCH(A1193,Empresas!$A:$A,0))&amp;"","não consta"))</f>
        <v/>
      </c>
      <c r="K1193" s="19" t="str">
        <f aca="false">IF(A1193="","",IFERROR(INDEX(Sancoes!$B:$B,MATCH(A1193,Sancoes!$A:$A,0))&amp;"","não consta"))</f>
        <v/>
      </c>
      <c r="L1193" s="19" t="str">
        <f aca="false">IF(A1193="","",IFERROR(INDEX(Eleitoral!$B:$B,MATCH(A1193,Eleitoral!$A:$A,0))&amp;"","não consta"))</f>
        <v/>
      </c>
      <c r="M1193" s="28" t="str">
        <f aca="false">IF(A1193="","",IF(OR(AND(K1193&lt;&gt;"",LOWER(K1193)&lt;&gt;"não consta"),AND(L1193&lt;&gt;"",LOWER(L1193)&lt;&gt;"não consta"),IFERROR(INDEX(Empresas!$G:$G,MATCH(A1193,Empresas!$A:$A,0))&amp;"","")&lt;&gt;""),"SIM",""))</f>
        <v/>
      </c>
      <c r="N1193" s="5"/>
      <c r="O1193" s="32" t="str">
        <f aca="false">IF(D1193="","",YEAR(D1193))</f>
        <v/>
      </c>
      <c r="P1193" s="5"/>
    </row>
    <row r="1194" customFormat="false" ht="15" hidden="false" customHeight="false" outlineLevel="0" collapsed="false">
      <c r="A1194" s="27"/>
      <c r="B1194" s="5"/>
      <c r="C1194" s="35"/>
      <c r="D1194" s="18"/>
      <c r="E1194" s="5"/>
      <c r="F1194" s="14"/>
      <c r="G1194" s="5"/>
      <c r="H1194" s="27"/>
      <c r="I1194" s="5"/>
      <c r="J1194" s="19" t="str">
        <f aca="false">IF(A1194="","",IFERROR(INDEX(Empresas!$D:$D,MATCH(A1194,Empresas!$A:$A,0))&amp;"","não consta"))</f>
        <v/>
      </c>
      <c r="K1194" s="19" t="str">
        <f aca="false">IF(A1194="","",IFERROR(INDEX(Sancoes!$B:$B,MATCH(A1194,Sancoes!$A:$A,0))&amp;"","não consta"))</f>
        <v/>
      </c>
      <c r="L1194" s="19" t="str">
        <f aca="false">IF(A1194="","",IFERROR(INDEX(Eleitoral!$B:$B,MATCH(A1194,Eleitoral!$A:$A,0))&amp;"","não consta"))</f>
        <v/>
      </c>
      <c r="M1194" s="28" t="str">
        <f aca="false">IF(A1194="","",IF(OR(AND(K1194&lt;&gt;"",LOWER(K1194)&lt;&gt;"não consta"),AND(L1194&lt;&gt;"",LOWER(L1194)&lt;&gt;"não consta"),IFERROR(INDEX(Empresas!$G:$G,MATCH(A1194,Empresas!$A:$A,0))&amp;"","")&lt;&gt;""),"SIM",""))</f>
        <v/>
      </c>
      <c r="N1194" s="5"/>
      <c r="O1194" s="32" t="str">
        <f aca="false">IF(D1194="","",YEAR(D1194))</f>
        <v/>
      </c>
      <c r="P1194" s="5"/>
    </row>
    <row r="1195" customFormat="false" ht="15" hidden="false" customHeight="false" outlineLevel="0" collapsed="false">
      <c r="A1195" s="27"/>
      <c r="B1195" s="5"/>
      <c r="C1195" s="35"/>
      <c r="D1195" s="18"/>
      <c r="E1195" s="5"/>
      <c r="F1195" s="14"/>
      <c r="G1195" s="5"/>
      <c r="H1195" s="27"/>
      <c r="I1195" s="5"/>
      <c r="J1195" s="19" t="str">
        <f aca="false">IF(A1195="","",IFERROR(INDEX(Empresas!$D:$D,MATCH(A1195,Empresas!$A:$A,0))&amp;"","não consta"))</f>
        <v/>
      </c>
      <c r="K1195" s="19" t="str">
        <f aca="false">IF(A1195="","",IFERROR(INDEX(Sancoes!$B:$B,MATCH(A1195,Sancoes!$A:$A,0))&amp;"","não consta"))</f>
        <v/>
      </c>
      <c r="L1195" s="19" t="str">
        <f aca="false">IF(A1195="","",IFERROR(INDEX(Eleitoral!$B:$B,MATCH(A1195,Eleitoral!$A:$A,0))&amp;"","não consta"))</f>
        <v/>
      </c>
      <c r="M1195" s="28" t="str">
        <f aca="false">IF(A1195="","",IF(OR(AND(K1195&lt;&gt;"",LOWER(K1195)&lt;&gt;"não consta"),AND(L1195&lt;&gt;"",LOWER(L1195)&lt;&gt;"não consta"),IFERROR(INDEX(Empresas!$G:$G,MATCH(A1195,Empresas!$A:$A,0))&amp;"","")&lt;&gt;""),"SIM",""))</f>
        <v/>
      </c>
      <c r="N1195" s="5"/>
      <c r="O1195" s="32" t="str">
        <f aca="false">IF(D1195="","",YEAR(D1195))</f>
        <v/>
      </c>
      <c r="P1195" s="5"/>
    </row>
    <row r="1196" customFormat="false" ht="15" hidden="false" customHeight="false" outlineLevel="0" collapsed="false">
      <c r="A1196" s="27"/>
      <c r="B1196" s="5"/>
      <c r="C1196" s="35"/>
      <c r="D1196" s="18"/>
      <c r="E1196" s="5"/>
      <c r="F1196" s="14"/>
      <c r="G1196" s="5"/>
      <c r="H1196" s="27"/>
      <c r="I1196" s="5"/>
      <c r="J1196" s="19" t="str">
        <f aca="false">IF(A1196="","",IFERROR(INDEX(Empresas!$D:$D,MATCH(A1196,Empresas!$A:$A,0))&amp;"","não consta"))</f>
        <v/>
      </c>
      <c r="K1196" s="19" t="str">
        <f aca="false">IF(A1196="","",IFERROR(INDEX(Sancoes!$B:$B,MATCH(A1196,Sancoes!$A:$A,0))&amp;"","não consta"))</f>
        <v/>
      </c>
      <c r="L1196" s="19" t="str">
        <f aca="false">IF(A1196="","",IFERROR(INDEX(Eleitoral!$B:$B,MATCH(A1196,Eleitoral!$A:$A,0))&amp;"","não consta"))</f>
        <v/>
      </c>
      <c r="M1196" s="28" t="str">
        <f aca="false">IF(A1196="","",IF(OR(AND(K1196&lt;&gt;"",LOWER(K1196)&lt;&gt;"não consta"),AND(L1196&lt;&gt;"",LOWER(L1196)&lt;&gt;"não consta"),IFERROR(INDEX(Empresas!$G:$G,MATCH(A1196,Empresas!$A:$A,0))&amp;"","")&lt;&gt;""),"SIM",""))</f>
        <v/>
      </c>
      <c r="N1196" s="5"/>
      <c r="O1196" s="32" t="str">
        <f aca="false">IF(D1196="","",YEAR(D1196))</f>
        <v/>
      </c>
      <c r="P1196" s="5"/>
    </row>
    <row r="1197" customFormat="false" ht="15" hidden="false" customHeight="false" outlineLevel="0" collapsed="false">
      <c r="A1197" s="27"/>
      <c r="B1197" s="5"/>
      <c r="C1197" s="35"/>
      <c r="D1197" s="18"/>
      <c r="E1197" s="5"/>
      <c r="F1197" s="14"/>
      <c r="G1197" s="5"/>
      <c r="H1197" s="27"/>
      <c r="I1197" s="5"/>
      <c r="J1197" s="19" t="str">
        <f aca="false">IF(A1197="","",IFERROR(INDEX(Empresas!$D:$D,MATCH(A1197,Empresas!$A:$A,0))&amp;"","não consta"))</f>
        <v/>
      </c>
      <c r="K1197" s="19" t="str">
        <f aca="false">IF(A1197="","",IFERROR(INDEX(Sancoes!$B:$B,MATCH(A1197,Sancoes!$A:$A,0))&amp;"","não consta"))</f>
        <v/>
      </c>
      <c r="L1197" s="19" t="str">
        <f aca="false">IF(A1197="","",IFERROR(INDEX(Eleitoral!$B:$B,MATCH(A1197,Eleitoral!$A:$A,0))&amp;"","não consta"))</f>
        <v/>
      </c>
      <c r="M1197" s="28" t="str">
        <f aca="false">IF(A1197="","",IF(OR(AND(K1197&lt;&gt;"",LOWER(K1197)&lt;&gt;"não consta"),AND(L1197&lt;&gt;"",LOWER(L1197)&lt;&gt;"não consta"),IFERROR(INDEX(Empresas!$G:$G,MATCH(A1197,Empresas!$A:$A,0))&amp;"","")&lt;&gt;""),"SIM",""))</f>
        <v/>
      </c>
      <c r="N1197" s="5"/>
      <c r="O1197" s="32" t="str">
        <f aca="false">IF(D1197="","",YEAR(D1197))</f>
        <v/>
      </c>
      <c r="P1197" s="5"/>
    </row>
    <row r="1198" customFormat="false" ht="15" hidden="false" customHeight="false" outlineLevel="0" collapsed="false">
      <c r="A1198" s="27"/>
      <c r="B1198" s="5"/>
      <c r="C1198" s="35"/>
      <c r="D1198" s="18"/>
      <c r="E1198" s="5"/>
      <c r="F1198" s="14"/>
      <c r="G1198" s="5"/>
      <c r="H1198" s="27"/>
      <c r="I1198" s="5"/>
      <c r="J1198" s="19" t="str">
        <f aca="false">IF(A1198="","",IFERROR(INDEX(Empresas!$D:$D,MATCH(A1198,Empresas!$A:$A,0))&amp;"","não consta"))</f>
        <v/>
      </c>
      <c r="K1198" s="19" t="str">
        <f aca="false">IF(A1198="","",IFERROR(INDEX(Sancoes!$B:$B,MATCH(A1198,Sancoes!$A:$A,0))&amp;"","não consta"))</f>
        <v/>
      </c>
      <c r="L1198" s="19" t="str">
        <f aca="false">IF(A1198="","",IFERROR(INDEX(Eleitoral!$B:$B,MATCH(A1198,Eleitoral!$A:$A,0))&amp;"","não consta"))</f>
        <v/>
      </c>
      <c r="M1198" s="28" t="str">
        <f aca="false">IF(A1198="","",IF(OR(AND(K1198&lt;&gt;"",LOWER(K1198)&lt;&gt;"não consta"),AND(L1198&lt;&gt;"",LOWER(L1198)&lt;&gt;"não consta"),IFERROR(INDEX(Empresas!$G:$G,MATCH(A1198,Empresas!$A:$A,0))&amp;"","")&lt;&gt;""),"SIM",""))</f>
        <v/>
      </c>
      <c r="N1198" s="5"/>
      <c r="O1198" s="32" t="str">
        <f aca="false">IF(D1198="","",YEAR(D1198))</f>
        <v/>
      </c>
      <c r="P1198" s="5"/>
    </row>
    <row r="1199" customFormat="false" ht="15" hidden="false" customHeight="false" outlineLevel="0" collapsed="false">
      <c r="A1199" s="27"/>
      <c r="B1199" s="5"/>
      <c r="C1199" s="35"/>
      <c r="D1199" s="18"/>
      <c r="E1199" s="5"/>
      <c r="F1199" s="14"/>
      <c r="G1199" s="5"/>
      <c r="H1199" s="27"/>
      <c r="I1199" s="5"/>
      <c r="J1199" s="19" t="str">
        <f aca="false">IF(A1199="","",IFERROR(INDEX(Empresas!$D:$D,MATCH(A1199,Empresas!$A:$A,0))&amp;"","não consta"))</f>
        <v/>
      </c>
      <c r="K1199" s="19" t="str">
        <f aca="false">IF(A1199="","",IFERROR(INDEX(Sancoes!$B:$B,MATCH(A1199,Sancoes!$A:$A,0))&amp;"","não consta"))</f>
        <v/>
      </c>
      <c r="L1199" s="19" t="str">
        <f aca="false">IF(A1199="","",IFERROR(INDEX(Eleitoral!$B:$B,MATCH(A1199,Eleitoral!$A:$A,0))&amp;"","não consta"))</f>
        <v/>
      </c>
      <c r="M1199" s="28" t="str">
        <f aca="false">IF(A1199="","",IF(OR(AND(K1199&lt;&gt;"",LOWER(K1199)&lt;&gt;"não consta"),AND(L1199&lt;&gt;"",LOWER(L1199)&lt;&gt;"não consta"),IFERROR(INDEX(Empresas!$G:$G,MATCH(A1199,Empresas!$A:$A,0))&amp;"","")&lt;&gt;""),"SIM",""))</f>
        <v/>
      </c>
      <c r="N1199" s="5"/>
      <c r="O1199" s="32" t="str">
        <f aca="false">IF(D1199="","",YEAR(D1199))</f>
        <v/>
      </c>
      <c r="P1199" s="5"/>
    </row>
    <row r="1200" customFormat="false" ht="15" hidden="false" customHeight="false" outlineLevel="0" collapsed="false">
      <c r="A1200" s="27"/>
      <c r="B1200" s="5"/>
      <c r="C1200" s="35"/>
      <c r="D1200" s="18"/>
      <c r="E1200" s="5"/>
      <c r="F1200" s="14"/>
      <c r="G1200" s="5"/>
      <c r="H1200" s="27"/>
      <c r="I1200" s="5"/>
      <c r="J1200" s="19" t="str">
        <f aca="false">IF(A1200="","",IFERROR(INDEX(Empresas!$D:$D,MATCH(A1200,Empresas!$A:$A,0))&amp;"","não consta"))</f>
        <v/>
      </c>
      <c r="K1200" s="19" t="str">
        <f aca="false">IF(A1200="","",IFERROR(INDEX(Sancoes!$B:$B,MATCH(A1200,Sancoes!$A:$A,0))&amp;"","não consta"))</f>
        <v/>
      </c>
      <c r="L1200" s="19" t="str">
        <f aca="false">IF(A1200="","",IFERROR(INDEX(Eleitoral!$B:$B,MATCH(A1200,Eleitoral!$A:$A,0))&amp;"","não consta"))</f>
        <v/>
      </c>
      <c r="M1200" s="28" t="str">
        <f aca="false">IF(A1200="","",IF(OR(AND(K1200&lt;&gt;"",LOWER(K1200)&lt;&gt;"não consta"),AND(L1200&lt;&gt;"",LOWER(L1200)&lt;&gt;"não consta"),IFERROR(INDEX(Empresas!$G:$G,MATCH(A1200,Empresas!$A:$A,0))&amp;"","")&lt;&gt;""),"SIM",""))</f>
        <v/>
      </c>
      <c r="N1200" s="5"/>
      <c r="O1200" s="32" t="str">
        <f aca="false">IF(D1200="","",YEAR(D1200))</f>
        <v/>
      </c>
      <c r="P1200" s="5"/>
    </row>
    <row r="1201" customFormat="false" ht="15" hidden="false" customHeight="false" outlineLevel="0" collapsed="false">
      <c r="A1201" s="27"/>
      <c r="B1201" s="5"/>
      <c r="C1201" s="35"/>
      <c r="D1201" s="18"/>
      <c r="E1201" s="5"/>
      <c r="F1201" s="14"/>
      <c r="G1201" s="5"/>
      <c r="H1201" s="27"/>
      <c r="I1201" s="5"/>
      <c r="J1201" s="19" t="str">
        <f aca="false">IF(A1201="","",IFERROR(INDEX(Empresas!$D:$D,MATCH(A1201,Empresas!$A:$A,0))&amp;"","não consta"))</f>
        <v/>
      </c>
      <c r="K1201" s="19" t="str">
        <f aca="false">IF(A1201="","",IFERROR(INDEX(Sancoes!$B:$B,MATCH(A1201,Sancoes!$A:$A,0))&amp;"","não consta"))</f>
        <v/>
      </c>
      <c r="L1201" s="19" t="str">
        <f aca="false">IF(A1201="","",IFERROR(INDEX(Eleitoral!$B:$B,MATCH(A1201,Eleitoral!$A:$A,0))&amp;"","não consta"))</f>
        <v/>
      </c>
      <c r="M1201" s="28" t="str">
        <f aca="false">IF(A1201="","",IF(OR(AND(K1201&lt;&gt;"",LOWER(K1201)&lt;&gt;"não consta"),AND(L1201&lt;&gt;"",LOWER(L1201)&lt;&gt;"não consta"),IFERROR(INDEX(Empresas!$G:$G,MATCH(A1201,Empresas!$A:$A,0))&amp;"","")&lt;&gt;""),"SIM",""))</f>
        <v/>
      </c>
      <c r="N1201" s="5"/>
      <c r="O1201" s="32" t="str">
        <f aca="false">IF(D1201="","",YEAR(D1201))</f>
        <v/>
      </c>
      <c r="P1201" s="5"/>
    </row>
    <row r="1202" customFormat="false" ht="15" hidden="false" customHeight="false" outlineLevel="0" collapsed="false">
      <c r="A1202" s="27"/>
      <c r="B1202" s="5"/>
      <c r="C1202" s="35"/>
      <c r="D1202" s="18"/>
      <c r="E1202" s="5"/>
      <c r="F1202" s="14"/>
      <c r="G1202" s="5"/>
      <c r="H1202" s="27"/>
      <c r="I1202" s="5"/>
      <c r="J1202" s="19" t="str">
        <f aca="false">IF(A1202="","",IFERROR(INDEX(Empresas!$D:$D,MATCH(A1202,Empresas!$A:$A,0))&amp;"","não consta"))</f>
        <v/>
      </c>
      <c r="K1202" s="19" t="str">
        <f aca="false">IF(A1202="","",IFERROR(INDEX(Sancoes!$B:$B,MATCH(A1202,Sancoes!$A:$A,0))&amp;"","não consta"))</f>
        <v/>
      </c>
      <c r="L1202" s="19" t="str">
        <f aca="false">IF(A1202="","",IFERROR(INDEX(Eleitoral!$B:$B,MATCH(A1202,Eleitoral!$A:$A,0))&amp;"","não consta"))</f>
        <v/>
      </c>
      <c r="M1202" s="28" t="str">
        <f aca="false">IF(A1202="","",IF(OR(AND(K1202&lt;&gt;"",LOWER(K1202)&lt;&gt;"não consta"),AND(L1202&lt;&gt;"",LOWER(L1202)&lt;&gt;"não consta"),IFERROR(INDEX(Empresas!$G:$G,MATCH(A1202,Empresas!$A:$A,0))&amp;"","")&lt;&gt;""),"SIM",""))</f>
        <v/>
      </c>
      <c r="N1202" s="5"/>
      <c r="O1202" s="32" t="str">
        <f aca="false">IF(D1202="","",YEAR(D1202))</f>
        <v/>
      </c>
      <c r="P1202" s="5"/>
    </row>
    <row r="1203" customFormat="false" ht="15" hidden="false" customHeight="false" outlineLevel="0" collapsed="false">
      <c r="A1203" s="27"/>
      <c r="B1203" s="5"/>
      <c r="C1203" s="35"/>
      <c r="D1203" s="18"/>
      <c r="E1203" s="5"/>
      <c r="F1203" s="14"/>
      <c r="G1203" s="5"/>
      <c r="H1203" s="27"/>
      <c r="I1203" s="5"/>
      <c r="J1203" s="19" t="str">
        <f aca="false">IF(A1203="","",IFERROR(INDEX(Empresas!$D:$D,MATCH(A1203,Empresas!$A:$A,0))&amp;"","não consta"))</f>
        <v/>
      </c>
      <c r="K1203" s="19" t="str">
        <f aca="false">IF(A1203="","",IFERROR(INDEX(Sancoes!$B:$B,MATCH(A1203,Sancoes!$A:$A,0))&amp;"","não consta"))</f>
        <v/>
      </c>
      <c r="L1203" s="19" t="str">
        <f aca="false">IF(A1203="","",IFERROR(INDEX(Eleitoral!$B:$B,MATCH(A1203,Eleitoral!$A:$A,0))&amp;"","não consta"))</f>
        <v/>
      </c>
      <c r="M1203" s="28" t="str">
        <f aca="false">IF(A1203="","",IF(OR(AND(K1203&lt;&gt;"",LOWER(K1203)&lt;&gt;"não consta"),AND(L1203&lt;&gt;"",LOWER(L1203)&lt;&gt;"não consta"),IFERROR(INDEX(Empresas!$G:$G,MATCH(A1203,Empresas!$A:$A,0))&amp;"","")&lt;&gt;""),"SIM",""))</f>
        <v/>
      </c>
      <c r="N1203" s="5"/>
      <c r="O1203" s="32" t="str">
        <f aca="false">IF(D1203="","",YEAR(D1203))</f>
        <v/>
      </c>
      <c r="P1203" s="5"/>
    </row>
    <row r="1204" customFormat="false" ht="15" hidden="false" customHeight="false" outlineLevel="0" collapsed="false">
      <c r="A1204" s="27"/>
      <c r="B1204" s="5"/>
      <c r="C1204" s="35"/>
      <c r="D1204" s="18"/>
      <c r="E1204" s="5"/>
      <c r="F1204" s="14"/>
      <c r="G1204" s="5"/>
      <c r="H1204" s="27"/>
      <c r="I1204" s="5"/>
      <c r="J1204" s="19" t="str">
        <f aca="false">IF(A1204="","",IFERROR(INDEX(Empresas!$D:$D,MATCH(A1204,Empresas!$A:$A,0))&amp;"","não consta"))</f>
        <v/>
      </c>
      <c r="K1204" s="19" t="str">
        <f aca="false">IF(A1204="","",IFERROR(INDEX(Sancoes!$B:$B,MATCH(A1204,Sancoes!$A:$A,0))&amp;"","não consta"))</f>
        <v/>
      </c>
      <c r="L1204" s="19" t="str">
        <f aca="false">IF(A1204="","",IFERROR(INDEX(Eleitoral!$B:$B,MATCH(A1204,Eleitoral!$A:$A,0))&amp;"","não consta"))</f>
        <v/>
      </c>
      <c r="M1204" s="28" t="str">
        <f aca="false">IF(A1204="","",IF(OR(AND(K1204&lt;&gt;"",LOWER(K1204)&lt;&gt;"não consta"),AND(L1204&lt;&gt;"",LOWER(L1204)&lt;&gt;"não consta"),IFERROR(INDEX(Empresas!$G:$G,MATCH(A1204,Empresas!$A:$A,0))&amp;"","")&lt;&gt;""),"SIM",""))</f>
        <v/>
      </c>
      <c r="N1204" s="5"/>
      <c r="O1204" s="32" t="str">
        <f aca="false">IF(D1204="","",YEAR(D1204))</f>
        <v/>
      </c>
      <c r="P1204" s="5"/>
    </row>
    <row r="1205" customFormat="false" ht="15" hidden="false" customHeight="false" outlineLevel="0" collapsed="false">
      <c r="A1205" s="27"/>
      <c r="B1205" s="5"/>
      <c r="C1205" s="35"/>
      <c r="D1205" s="18"/>
      <c r="E1205" s="5"/>
      <c r="F1205" s="14"/>
      <c r="G1205" s="5"/>
      <c r="H1205" s="27"/>
      <c r="I1205" s="5"/>
      <c r="J1205" s="19" t="str">
        <f aca="false">IF(A1205="","",IFERROR(INDEX(Empresas!$D:$D,MATCH(A1205,Empresas!$A:$A,0))&amp;"","não consta"))</f>
        <v/>
      </c>
      <c r="K1205" s="19" t="str">
        <f aca="false">IF(A1205="","",IFERROR(INDEX(Sancoes!$B:$B,MATCH(A1205,Sancoes!$A:$A,0))&amp;"","não consta"))</f>
        <v/>
      </c>
      <c r="L1205" s="19" t="str">
        <f aca="false">IF(A1205="","",IFERROR(INDEX(Eleitoral!$B:$B,MATCH(A1205,Eleitoral!$A:$A,0))&amp;"","não consta"))</f>
        <v/>
      </c>
      <c r="M1205" s="28" t="str">
        <f aca="false">IF(A1205="","",IF(OR(AND(K1205&lt;&gt;"",LOWER(K1205)&lt;&gt;"não consta"),AND(L1205&lt;&gt;"",LOWER(L1205)&lt;&gt;"não consta"),IFERROR(INDEX(Empresas!$G:$G,MATCH(A1205,Empresas!$A:$A,0))&amp;"","")&lt;&gt;""),"SIM",""))</f>
        <v/>
      </c>
      <c r="N1205" s="5"/>
      <c r="O1205" s="32" t="str">
        <f aca="false">IF(D1205="","",YEAR(D1205))</f>
        <v/>
      </c>
      <c r="P1205" s="5"/>
    </row>
    <row r="1206" customFormat="false" ht="15" hidden="false" customHeight="false" outlineLevel="0" collapsed="false">
      <c r="A1206" s="27"/>
      <c r="B1206" s="5"/>
      <c r="C1206" s="35"/>
      <c r="D1206" s="18"/>
      <c r="E1206" s="5"/>
      <c r="F1206" s="14"/>
      <c r="G1206" s="5"/>
      <c r="H1206" s="27"/>
      <c r="I1206" s="5"/>
      <c r="J1206" s="19" t="str">
        <f aca="false">IF(A1206="","",IFERROR(INDEX(Empresas!$D:$D,MATCH(A1206,Empresas!$A:$A,0))&amp;"","não consta"))</f>
        <v/>
      </c>
      <c r="K1206" s="19" t="str">
        <f aca="false">IF(A1206="","",IFERROR(INDEX(Sancoes!$B:$B,MATCH(A1206,Sancoes!$A:$A,0))&amp;"","não consta"))</f>
        <v/>
      </c>
      <c r="L1206" s="19" t="str">
        <f aca="false">IF(A1206="","",IFERROR(INDEX(Eleitoral!$B:$B,MATCH(A1206,Eleitoral!$A:$A,0))&amp;"","não consta"))</f>
        <v/>
      </c>
      <c r="M1206" s="28" t="str">
        <f aca="false">IF(A1206="","",IF(OR(AND(K1206&lt;&gt;"",LOWER(K1206)&lt;&gt;"não consta"),AND(L1206&lt;&gt;"",LOWER(L1206)&lt;&gt;"não consta"),IFERROR(INDEX(Empresas!$G:$G,MATCH(A1206,Empresas!$A:$A,0))&amp;"","")&lt;&gt;""),"SIM",""))</f>
        <v/>
      </c>
      <c r="N1206" s="5"/>
      <c r="O1206" s="32" t="str">
        <f aca="false">IF(D1206="","",YEAR(D1206))</f>
        <v/>
      </c>
      <c r="P1206" s="5"/>
    </row>
    <row r="1207" customFormat="false" ht="15" hidden="false" customHeight="false" outlineLevel="0" collapsed="false">
      <c r="A1207" s="27"/>
      <c r="B1207" s="5"/>
      <c r="C1207" s="35"/>
      <c r="D1207" s="18"/>
      <c r="E1207" s="5"/>
      <c r="F1207" s="14"/>
      <c r="G1207" s="5"/>
      <c r="H1207" s="27"/>
      <c r="I1207" s="5"/>
      <c r="J1207" s="19" t="str">
        <f aca="false">IF(A1207="","",IFERROR(INDEX(Empresas!$D:$D,MATCH(A1207,Empresas!$A:$A,0))&amp;"","não consta"))</f>
        <v/>
      </c>
      <c r="K1207" s="19" t="str">
        <f aca="false">IF(A1207="","",IFERROR(INDEX(Sancoes!$B:$B,MATCH(A1207,Sancoes!$A:$A,0))&amp;"","não consta"))</f>
        <v/>
      </c>
      <c r="L1207" s="19" t="str">
        <f aca="false">IF(A1207="","",IFERROR(INDEX(Eleitoral!$B:$B,MATCH(A1207,Eleitoral!$A:$A,0))&amp;"","não consta"))</f>
        <v/>
      </c>
      <c r="M1207" s="28" t="str">
        <f aca="false">IF(A1207="","",IF(OR(AND(K1207&lt;&gt;"",LOWER(K1207)&lt;&gt;"não consta"),AND(L1207&lt;&gt;"",LOWER(L1207)&lt;&gt;"não consta"),IFERROR(INDEX(Empresas!$G:$G,MATCH(A1207,Empresas!$A:$A,0))&amp;"","")&lt;&gt;""),"SIM",""))</f>
        <v/>
      </c>
      <c r="N1207" s="5"/>
      <c r="O1207" s="32" t="str">
        <f aca="false">IF(D1207="","",YEAR(D1207))</f>
        <v/>
      </c>
      <c r="P1207" s="5"/>
    </row>
    <row r="1208" customFormat="false" ht="15" hidden="false" customHeight="false" outlineLevel="0" collapsed="false">
      <c r="A1208" s="27"/>
      <c r="B1208" s="5"/>
      <c r="C1208" s="35"/>
      <c r="D1208" s="18"/>
      <c r="E1208" s="5"/>
      <c r="F1208" s="14"/>
      <c r="G1208" s="5"/>
      <c r="H1208" s="27"/>
      <c r="I1208" s="5"/>
      <c r="J1208" s="19" t="str">
        <f aca="false">IF(A1208="","",IFERROR(INDEX(Empresas!$D:$D,MATCH(A1208,Empresas!$A:$A,0))&amp;"","não consta"))</f>
        <v/>
      </c>
      <c r="K1208" s="19" t="str">
        <f aca="false">IF(A1208="","",IFERROR(INDEX(Sancoes!$B:$B,MATCH(A1208,Sancoes!$A:$A,0))&amp;"","não consta"))</f>
        <v/>
      </c>
      <c r="L1208" s="19" t="str">
        <f aca="false">IF(A1208="","",IFERROR(INDEX(Eleitoral!$B:$B,MATCH(A1208,Eleitoral!$A:$A,0))&amp;"","não consta"))</f>
        <v/>
      </c>
      <c r="M1208" s="28" t="str">
        <f aca="false">IF(A1208="","",IF(OR(AND(K1208&lt;&gt;"",LOWER(K1208)&lt;&gt;"não consta"),AND(L1208&lt;&gt;"",LOWER(L1208)&lt;&gt;"não consta"),IFERROR(INDEX(Empresas!$G:$G,MATCH(A1208,Empresas!$A:$A,0))&amp;"","")&lt;&gt;""),"SIM",""))</f>
        <v/>
      </c>
      <c r="N1208" s="5"/>
      <c r="O1208" s="32" t="str">
        <f aca="false">IF(D1208="","",YEAR(D1208))</f>
        <v/>
      </c>
      <c r="P1208" s="5"/>
    </row>
    <row r="1209" customFormat="false" ht="15" hidden="false" customHeight="false" outlineLevel="0" collapsed="false">
      <c r="A1209" s="27"/>
      <c r="B1209" s="5"/>
      <c r="C1209" s="35"/>
      <c r="D1209" s="18"/>
      <c r="E1209" s="5"/>
      <c r="F1209" s="14"/>
      <c r="G1209" s="5"/>
      <c r="H1209" s="27"/>
      <c r="I1209" s="5"/>
      <c r="J1209" s="19" t="str">
        <f aca="false">IF(A1209="","",IFERROR(INDEX(Empresas!$D:$D,MATCH(A1209,Empresas!$A:$A,0))&amp;"","não consta"))</f>
        <v/>
      </c>
      <c r="K1209" s="19" t="str">
        <f aca="false">IF(A1209="","",IFERROR(INDEX(Sancoes!$B:$B,MATCH(A1209,Sancoes!$A:$A,0))&amp;"","não consta"))</f>
        <v/>
      </c>
      <c r="L1209" s="19" t="str">
        <f aca="false">IF(A1209="","",IFERROR(INDEX(Eleitoral!$B:$B,MATCH(A1209,Eleitoral!$A:$A,0))&amp;"","não consta"))</f>
        <v/>
      </c>
      <c r="M1209" s="28" t="str">
        <f aca="false">IF(A1209="","",IF(OR(AND(K1209&lt;&gt;"",LOWER(K1209)&lt;&gt;"não consta"),AND(L1209&lt;&gt;"",LOWER(L1209)&lt;&gt;"não consta"),IFERROR(INDEX(Empresas!$G:$G,MATCH(A1209,Empresas!$A:$A,0))&amp;"","")&lt;&gt;""),"SIM",""))</f>
        <v/>
      </c>
      <c r="N1209" s="5"/>
      <c r="O1209" s="32" t="str">
        <f aca="false">IF(D1209="","",YEAR(D1209))</f>
        <v/>
      </c>
      <c r="P1209" s="5"/>
    </row>
    <row r="1210" customFormat="false" ht="15" hidden="false" customHeight="false" outlineLevel="0" collapsed="false">
      <c r="A1210" s="27"/>
      <c r="B1210" s="5"/>
      <c r="C1210" s="35"/>
      <c r="D1210" s="18"/>
      <c r="E1210" s="5"/>
      <c r="F1210" s="14"/>
      <c r="G1210" s="5"/>
      <c r="H1210" s="27"/>
      <c r="I1210" s="5"/>
      <c r="J1210" s="19" t="str">
        <f aca="false">IF(A1210="","",IFERROR(INDEX(Empresas!$D:$D,MATCH(A1210,Empresas!$A:$A,0))&amp;"","não consta"))</f>
        <v/>
      </c>
      <c r="K1210" s="19" t="str">
        <f aca="false">IF(A1210="","",IFERROR(INDEX(Sancoes!$B:$B,MATCH(A1210,Sancoes!$A:$A,0))&amp;"","não consta"))</f>
        <v/>
      </c>
      <c r="L1210" s="19" t="str">
        <f aca="false">IF(A1210="","",IFERROR(INDEX(Eleitoral!$B:$B,MATCH(A1210,Eleitoral!$A:$A,0))&amp;"","não consta"))</f>
        <v/>
      </c>
      <c r="M1210" s="28" t="str">
        <f aca="false">IF(A1210="","",IF(OR(AND(K1210&lt;&gt;"",LOWER(K1210)&lt;&gt;"não consta"),AND(L1210&lt;&gt;"",LOWER(L1210)&lt;&gt;"não consta"),IFERROR(INDEX(Empresas!$G:$G,MATCH(A1210,Empresas!$A:$A,0))&amp;"","")&lt;&gt;""),"SIM",""))</f>
        <v/>
      </c>
      <c r="N1210" s="5"/>
      <c r="O1210" s="32" t="str">
        <f aca="false">IF(D1210="","",YEAR(D1210))</f>
        <v/>
      </c>
      <c r="P1210" s="5"/>
    </row>
    <row r="1211" customFormat="false" ht="15" hidden="false" customHeight="false" outlineLevel="0" collapsed="false">
      <c r="A1211" s="27"/>
      <c r="B1211" s="5"/>
      <c r="C1211" s="35"/>
      <c r="D1211" s="18"/>
      <c r="E1211" s="5"/>
      <c r="F1211" s="14"/>
      <c r="G1211" s="5"/>
      <c r="H1211" s="27"/>
      <c r="I1211" s="5"/>
      <c r="J1211" s="19" t="str">
        <f aca="false">IF(A1211="","",IFERROR(INDEX(Empresas!$D:$D,MATCH(A1211,Empresas!$A:$A,0))&amp;"","não consta"))</f>
        <v/>
      </c>
      <c r="K1211" s="19" t="str">
        <f aca="false">IF(A1211="","",IFERROR(INDEX(Sancoes!$B:$B,MATCH(A1211,Sancoes!$A:$A,0))&amp;"","não consta"))</f>
        <v/>
      </c>
      <c r="L1211" s="19" t="str">
        <f aca="false">IF(A1211="","",IFERROR(INDEX(Eleitoral!$B:$B,MATCH(A1211,Eleitoral!$A:$A,0))&amp;"","não consta"))</f>
        <v/>
      </c>
      <c r="M1211" s="28" t="str">
        <f aca="false">IF(A1211="","",IF(OR(AND(K1211&lt;&gt;"",LOWER(K1211)&lt;&gt;"não consta"),AND(L1211&lt;&gt;"",LOWER(L1211)&lt;&gt;"não consta"),IFERROR(INDEX(Empresas!$G:$G,MATCH(A1211,Empresas!$A:$A,0))&amp;"","")&lt;&gt;""),"SIM",""))</f>
        <v/>
      </c>
      <c r="N1211" s="5"/>
      <c r="O1211" s="32" t="str">
        <f aca="false">IF(D1211="","",YEAR(D1211))</f>
        <v/>
      </c>
      <c r="P1211" s="5"/>
    </row>
    <row r="1212" customFormat="false" ht="15" hidden="false" customHeight="false" outlineLevel="0" collapsed="false">
      <c r="A1212" s="27"/>
      <c r="B1212" s="5"/>
      <c r="C1212" s="35"/>
      <c r="D1212" s="18"/>
      <c r="E1212" s="5"/>
      <c r="F1212" s="14"/>
      <c r="G1212" s="5"/>
      <c r="H1212" s="27"/>
      <c r="I1212" s="5"/>
      <c r="J1212" s="19" t="str">
        <f aca="false">IF(A1212="","",IFERROR(INDEX(Empresas!$D:$D,MATCH(A1212,Empresas!$A:$A,0))&amp;"","não consta"))</f>
        <v/>
      </c>
      <c r="K1212" s="19" t="str">
        <f aca="false">IF(A1212="","",IFERROR(INDEX(Sancoes!$B:$B,MATCH(A1212,Sancoes!$A:$A,0))&amp;"","não consta"))</f>
        <v/>
      </c>
      <c r="L1212" s="19" t="str">
        <f aca="false">IF(A1212="","",IFERROR(INDEX(Eleitoral!$B:$B,MATCH(A1212,Eleitoral!$A:$A,0))&amp;"","não consta"))</f>
        <v/>
      </c>
      <c r="M1212" s="28" t="str">
        <f aca="false">IF(A1212="","",IF(OR(AND(K1212&lt;&gt;"",LOWER(K1212)&lt;&gt;"não consta"),AND(L1212&lt;&gt;"",LOWER(L1212)&lt;&gt;"não consta"),IFERROR(INDEX(Empresas!$G:$G,MATCH(A1212,Empresas!$A:$A,0))&amp;"","")&lt;&gt;""),"SIM",""))</f>
        <v/>
      </c>
      <c r="N1212" s="5"/>
      <c r="O1212" s="32" t="str">
        <f aca="false">IF(D1212="","",YEAR(D1212))</f>
        <v/>
      </c>
      <c r="P1212" s="5"/>
    </row>
    <row r="1213" customFormat="false" ht="15" hidden="false" customHeight="false" outlineLevel="0" collapsed="false">
      <c r="A1213" s="27"/>
      <c r="B1213" s="5"/>
      <c r="C1213" s="35"/>
      <c r="D1213" s="18"/>
      <c r="E1213" s="5"/>
      <c r="F1213" s="14"/>
      <c r="G1213" s="5"/>
      <c r="H1213" s="27"/>
      <c r="I1213" s="5"/>
      <c r="J1213" s="19" t="str">
        <f aca="false">IF(A1213="","",IFERROR(INDEX(Empresas!$D:$D,MATCH(A1213,Empresas!$A:$A,0))&amp;"","não consta"))</f>
        <v/>
      </c>
      <c r="K1213" s="19" t="str">
        <f aca="false">IF(A1213="","",IFERROR(INDEX(Sancoes!$B:$B,MATCH(A1213,Sancoes!$A:$A,0))&amp;"","não consta"))</f>
        <v/>
      </c>
      <c r="L1213" s="19" t="str">
        <f aca="false">IF(A1213="","",IFERROR(INDEX(Eleitoral!$B:$B,MATCH(A1213,Eleitoral!$A:$A,0))&amp;"","não consta"))</f>
        <v/>
      </c>
      <c r="M1213" s="28" t="str">
        <f aca="false">IF(A1213="","",IF(OR(AND(K1213&lt;&gt;"",LOWER(K1213)&lt;&gt;"não consta"),AND(L1213&lt;&gt;"",LOWER(L1213)&lt;&gt;"não consta"),IFERROR(INDEX(Empresas!$G:$G,MATCH(A1213,Empresas!$A:$A,0))&amp;"","")&lt;&gt;""),"SIM",""))</f>
        <v/>
      </c>
      <c r="N1213" s="5"/>
      <c r="O1213" s="32" t="str">
        <f aca="false">IF(D1213="","",YEAR(D1213))</f>
        <v/>
      </c>
      <c r="P1213" s="5"/>
    </row>
    <row r="1214" customFormat="false" ht="15" hidden="false" customHeight="false" outlineLevel="0" collapsed="false">
      <c r="A1214" s="27"/>
      <c r="B1214" s="5"/>
      <c r="C1214" s="35"/>
      <c r="D1214" s="18"/>
      <c r="E1214" s="5"/>
      <c r="F1214" s="14"/>
      <c r="G1214" s="5"/>
      <c r="H1214" s="27"/>
      <c r="I1214" s="5"/>
      <c r="J1214" s="19" t="str">
        <f aca="false">IF(A1214="","",IFERROR(INDEX(Empresas!$D:$D,MATCH(A1214,Empresas!$A:$A,0))&amp;"","não consta"))</f>
        <v/>
      </c>
      <c r="K1214" s="19" t="str">
        <f aca="false">IF(A1214="","",IFERROR(INDEX(Sancoes!$B:$B,MATCH(A1214,Sancoes!$A:$A,0))&amp;"","não consta"))</f>
        <v/>
      </c>
      <c r="L1214" s="19" t="str">
        <f aca="false">IF(A1214="","",IFERROR(INDEX(Eleitoral!$B:$B,MATCH(A1214,Eleitoral!$A:$A,0))&amp;"","não consta"))</f>
        <v/>
      </c>
      <c r="M1214" s="28" t="str">
        <f aca="false">IF(A1214="","",IF(OR(AND(K1214&lt;&gt;"",LOWER(K1214)&lt;&gt;"não consta"),AND(L1214&lt;&gt;"",LOWER(L1214)&lt;&gt;"não consta"),IFERROR(INDEX(Empresas!$G:$G,MATCH(A1214,Empresas!$A:$A,0))&amp;"","")&lt;&gt;""),"SIM",""))</f>
        <v/>
      </c>
      <c r="N1214" s="5"/>
      <c r="O1214" s="32" t="str">
        <f aca="false">IF(D1214="","",YEAR(D1214))</f>
        <v/>
      </c>
      <c r="P1214" s="5"/>
    </row>
    <row r="1215" customFormat="false" ht="15" hidden="false" customHeight="false" outlineLevel="0" collapsed="false">
      <c r="A1215" s="27"/>
      <c r="B1215" s="5"/>
      <c r="C1215" s="35"/>
      <c r="D1215" s="18"/>
      <c r="E1215" s="5"/>
      <c r="F1215" s="14"/>
      <c r="G1215" s="5"/>
      <c r="H1215" s="27"/>
      <c r="I1215" s="5"/>
      <c r="J1215" s="19" t="str">
        <f aca="false">IF(A1215="","",IFERROR(INDEX(Empresas!$D:$D,MATCH(A1215,Empresas!$A:$A,0))&amp;"","não consta"))</f>
        <v/>
      </c>
      <c r="K1215" s="19" t="str">
        <f aca="false">IF(A1215="","",IFERROR(INDEX(Sancoes!$B:$B,MATCH(A1215,Sancoes!$A:$A,0))&amp;"","não consta"))</f>
        <v/>
      </c>
      <c r="L1215" s="19" t="str">
        <f aca="false">IF(A1215="","",IFERROR(INDEX(Eleitoral!$B:$B,MATCH(A1215,Eleitoral!$A:$A,0))&amp;"","não consta"))</f>
        <v/>
      </c>
      <c r="M1215" s="28" t="str">
        <f aca="false">IF(A1215="","",IF(OR(AND(K1215&lt;&gt;"",LOWER(K1215)&lt;&gt;"não consta"),AND(L1215&lt;&gt;"",LOWER(L1215)&lt;&gt;"não consta"),IFERROR(INDEX(Empresas!$G:$G,MATCH(A1215,Empresas!$A:$A,0))&amp;"","")&lt;&gt;""),"SIM",""))</f>
        <v/>
      </c>
      <c r="N1215" s="5"/>
      <c r="O1215" s="32" t="str">
        <f aca="false">IF(D1215="","",YEAR(D1215))</f>
        <v/>
      </c>
      <c r="P1215" s="5"/>
    </row>
    <row r="1216" customFormat="false" ht="15" hidden="false" customHeight="false" outlineLevel="0" collapsed="false">
      <c r="A1216" s="27"/>
      <c r="B1216" s="5"/>
      <c r="C1216" s="35"/>
      <c r="D1216" s="18"/>
      <c r="E1216" s="5"/>
      <c r="F1216" s="14"/>
      <c r="G1216" s="5"/>
      <c r="H1216" s="27"/>
      <c r="I1216" s="5"/>
      <c r="J1216" s="19" t="str">
        <f aca="false">IF(A1216="","",IFERROR(INDEX(Empresas!$D:$D,MATCH(A1216,Empresas!$A:$A,0))&amp;"","não consta"))</f>
        <v/>
      </c>
      <c r="K1216" s="19" t="str">
        <f aca="false">IF(A1216="","",IFERROR(INDEX(Sancoes!$B:$B,MATCH(A1216,Sancoes!$A:$A,0))&amp;"","não consta"))</f>
        <v/>
      </c>
      <c r="L1216" s="19" t="str">
        <f aca="false">IF(A1216="","",IFERROR(INDEX(Eleitoral!$B:$B,MATCH(A1216,Eleitoral!$A:$A,0))&amp;"","não consta"))</f>
        <v/>
      </c>
      <c r="M1216" s="28" t="str">
        <f aca="false">IF(A1216="","",IF(OR(AND(K1216&lt;&gt;"",LOWER(K1216)&lt;&gt;"não consta"),AND(L1216&lt;&gt;"",LOWER(L1216)&lt;&gt;"não consta"),IFERROR(INDEX(Empresas!$G:$G,MATCH(A1216,Empresas!$A:$A,0))&amp;"","")&lt;&gt;""),"SIM",""))</f>
        <v/>
      </c>
      <c r="N1216" s="5"/>
      <c r="O1216" s="32" t="str">
        <f aca="false">IF(D1216="","",YEAR(D1216))</f>
        <v/>
      </c>
      <c r="P1216" s="5"/>
    </row>
    <row r="1217" customFormat="false" ht="15" hidden="false" customHeight="false" outlineLevel="0" collapsed="false">
      <c r="A1217" s="27"/>
      <c r="B1217" s="5"/>
      <c r="C1217" s="35"/>
      <c r="D1217" s="18"/>
      <c r="E1217" s="5"/>
      <c r="F1217" s="14"/>
      <c r="G1217" s="5"/>
      <c r="H1217" s="27"/>
      <c r="I1217" s="5"/>
      <c r="J1217" s="19" t="str">
        <f aca="false">IF(A1217="","",IFERROR(INDEX(Empresas!$D:$D,MATCH(A1217,Empresas!$A:$A,0))&amp;"","não consta"))</f>
        <v/>
      </c>
      <c r="K1217" s="19" t="str">
        <f aca="false">IF(A1217="","",IFERROR(INDEX(Sancoes!$B:$B,MATCH(A1217,Sancoes!$A:$A,0))&amp;"","não consta"))</f>
        <v/>
      </c>
      <c r="L1217" s="19" t="str">
        <f aca="false">IF(A1217="","",IFERROR(INDEX(Eleitoral!$B:$B,MATCH(A1217,Eleitoral!$A:$A,0))&amp;"","não consta"))</f>
        <v/>
      </c>
      <c r="M1217" s="28" t="str">
        <f aca="false">IF(A1217="","",IF(OR(AND(K1217&lt;&gt;"",LOWER(K1217)&lt;&gt;"não consta"),AND(L1217&lt;&gt;"",LOWER(L1217)&lt;&gt;"não consta"),IFERROR(INDEX(Empresas!$G:$G,MATCH(A1217,Empresas!$A:$A,0))&amp;"","")&lt;&gt;""),"SIM",""))</f>
        <v/>
      </c>
      <c r="N1217" s="5"/>
      <c r="O1217" s="32" t="str">
        <f aca="false">IF(D1217="","",YEAR(D1217))</f>
        <v/>
      </c>
      <c r="P1217" s="5"/>
    </row>
    <row r="1218" customFormat="false" ht="15" hidden="false" customHeight="false" outlineLevel="0" collapsed="false">
      <c r="A1218" s="27"/>
      <c r="B1218" s="5"/>
      <c r="C1218" s="35"/>
      <c r="D1218" s="18"/>
      <c r="E1218" s="5"/>
      <c r="F1218" s="14"/>
      <c r="G1218" s="5"/>
      <c r="H1218" s="27"/>
      <c r="I1218" s="5"/>
      <c r="J1218" s="19" t="str">
        <f aca="false">IF(A1218="","",IFERROR(INDEX(Empresas!$D:$D,MATCH(A1218,Empresas!$A:$A,0))&amp;"","não consta"))</f>
        <v/>
      </c>
      <c r="K1218" s="19" t="str">
        <f aca="false">IF(A1218="","",IFERROR(INDEX(Sancoes!$B:$B,MATCH(A1218,Sancoes!$A:$A,0))&amp;"","não consta"))</f>
        <v/>
      </c>
      <c r="L1218" s="19" t="str">
        <f aca="false">IF(A1218="","",IFERROR(INDEX(Eleitoral!$B:$B,MATCH(A1218,Eleitoral!$A:$A,0))&amp;"","não consta"))</f>
        <v/>
      </c>
      <c r="M1218" s="28" t="str">
        <f aca="false">IF(A1218="","",IF(OR(AND(K1218&lt;&gt;"",LOWER(K1218)&lt;&gt;"não consta"),AND(L1218&lt;&gt;"",LOWER(L1218)&lt;&gt;"não consta"),IFERROR(INDEX(Empresas!$G:$G,MATCH(A1218,Empresas!$A:$A,0))&amp;"","")&lt;&gt;""),"SIM",""))</f>
        <v/>
      </c>
      <c r="N1218" s="5"/>
      <c r="O1218" s="32" t="str">
        <f aca="false">IF(D1218="","",YEAR(D1218))</f>
        <v/>
      </c>
      <c r="P1218" s="5"/>
    </row>
    <row r="1219" customFormat="false" ht="15" hidden="false" customHeight="false" outlineLevel="0" collapsed="false">
      <c r="A1219" s="27"/>
      <c r="B1219" s="5"/>
      <c r="C1219" s="35"/>
      <c r="D1219" s="18"/>
      <c r="E1219" s="5"/>
      <c r="F1219" s="14"/>
      <c r="G1219" s="5"/>
      <c r="H1219" s="27"/>
      <c r="I1219" s="5"/>
      <c r="J1219" s="19" t="str">
        <f aca="false">IF(A1219="","",IFERROR(INDEX(Empresas!$D:$D,MATCH(A1219,Empresas!$A:$A,0))&amp;"","não consta"))</f>
        <v/>
      </c>
      <c r="K1219" s="19" t="str">
        <f aca="false">IF(A1219="","",IFERROR(INDEX(Sancoes!$B:$B,MATCH(A1219,Sancoes!$A:$A,0))&amp;"","não consta"))</f>
        <v/>
      </c>
      <c r="L1219" s="19" t="str">
        <f aca="false">IF(A1219="","",IFERROR(INDEX(Eleitoral!$B:$B,MATCH(A1219,Eleitoral!$A:$A,0))&amp;"","não consta"))</f>
        <v/>
      </c>
      <c r="M1219" s="28" t="str">
        <f aca="false">IF(A1219="","",IF(OR(AND(K1219&lt;&gt;"",LOWER(K1219)&lt;&gt;"não consta"),AND(L1219&lt;&gt;"",LOWER(L1219)&lt;&gt;"não consta"),IFERROR(INDEX(Empresas!$G:$G,MATCH(A1219,Empresas!$A:$A,0))&amp;"","")&lt;&gt;""),"SIM",""))</f>
        <v/>
      </c>
      <c r="N1219" s="5"/>
      <c r="O1219" s="32" t="str">
        <f aca="false">IF(D1219="","",YEAR(D1219))</f>
        <v/>
      </c>
      <c r="P1219" s="5"/>
    </row>
    <row r="1220" customFormat="false" ht="15" hidden="false" customHeight="false" outlineLevel="0" collapsed="false">
      <c r="A1220" s="27"/>
      <c r="B1220" s="5"/>
      <c r="C1220" s="35"/>
      <c r="D1220" s="18"/>
      <c r="E1220" s="5"/>
      <c r="F1220" s="14"/>
      <c r="G1220" s="5"/>
      <c r="H1220" s="27"/>
      <c r="I1220" s="5"/>
      <c r="J1220" s="19" t="str">
        <f aca="false">IF(A1220="","",IFERROR(INDEX(Empresas!$D:$D,MATCH(A1220,Empresas!$A:$A,0))&amp;"","não consta"))</f>
        <v/>
      </c>
      <c r="K1220" s="19" t="str">
        <f aca="false">IF(A1220="","",IFERROR(INDEX(Sancoes!$B:$B,MATCH(A1220,Sancoes!$A:$A,0))&amp;"","não consta"))</f>
        <v/>
      </c>
      <c r="L1220" s="19" t="str">
        <f aca="false">IF(A1220="","",IFERROR(INDEX(Eleitoral!$B:$B,MATCH(A1220,Eleitoral!$A:$A,0))&amp;"","não consta"))</f>
        <v/>
      </c>
      <c r="M1220" s="28" t="str">
        <f aca="false">IF(A1220="","",IF(OR(AND(K1220&lt;&gt;"",LOWER(K1220)&lt;&gt;"não consta"),AND(L1220&lt;&gt;"",LOWER(L1220)&lt;&gt;"não consta"),IFERROR(INDEX(Empresas!$G:$G,MATCH(A1220,Empresas!$A:$A,0))&amp;"","")&lt;&gt;""),"SIM",""))</f>
        <v/>
      </c>
      <c r="N1220" s="5"/>
      <c r="O1220" s="32" t="str">
        <f aca="false">IF(D1220="","",YEAR(D1220))</f>
        <v/>
      </c>
      <c r="P1220" s="5"/>
    </row>
    <row r="1221" customFormat="false" ht="15" hidden="false" customHeight="false" outlineLevel="0" collapsed="false">
      <c r="A1221" s="27"/>
      <c r="B1221" s="5"/>
      <c r="C1221" s="35"/>
      <c r="D1221" s="18"/>
      <c r="E1221" s="5"/>
      <c r="F1221" s="14"/>
      <c r="G1221" s="5"/>
      <c r="H1221" s="27"/>
      <c r="I1221" s="5"/>
      <c r="J1221" s="19" t="str">
        <f aca="false">IF(A1221="","",IFERROR(INDEX(Empresas!$D:$D,MATCH(A1221,Empresas!$A:$A,0))&amp;"","não consta"))</f>
        <v/>
      </c>
      <c r="K1221" s="19" t="str">
        <f aca="false">IF(A1221="","",IFERROR(INDEX(Sancoes!$B:$B,MATCH(A1221,Sancoes!$A:$A,0))&amp;"","não consta"))</f>
        <v/>
      </c>
      <c r="L1221" s="19" t="str">
        <f aca="false">IF(A1221="","",IFERROR(INDEX(Eleitoral!$B:$B,MATCH(A1221,Eleitoral!$A:$A,0))&amp;"","não consta"))</f>
        <v/>
      </c>
      <c r="M1221" s="28" t="str">
        <f aca="false">IF(A1221="","",IF(OR(AND(K1221&lt;&gt;"",LOWER(K1221)&lt;&gt;"não consta"),AND(L1221&lt;&gt;"",LOWER(L1221)&lt;&gt;"não consta"),IFERROR(INDEX(Empresas!$G:$G,MATCH(A1221,Empresas!$A:$A,0))&amp;"","")&lt;&gt;""),"SIM",""))</f>
        <v/>
      </c>
      <c r="N1221" s="5"/>
      <c r="O1221" s="32" t="str">
        <f aca="false">IF(D1221="","",YEAR(D1221))</f>
        <v/>
      </c>
      <c r="P1221" s="5"/>
    </row>
    <row r="1222" customFormat="false" ht="15" hidden="false" customHeight="false" outlineLevel="0" collapsed="false">
      <c r="A1222" s="27"/>
      <c r="B1222" s="5"/>
      <c r="C1222" s="35"/>
      <c r="D1222" s="18"/>
      <c r="E1222" s="5"/>
      <c r="F1222" s="14"/>
      <c r="G1222" s="5"/>
      <c r="H1222" s="27"/>
      <c r="I1222" s="5"/>
      <c r="J1222" s="19" t="str">
        <f aca="false">IF(A1222="","",IFERROR(INDEX(Empresas!$D:$D,MATCH(A1222,Empresas!$A:$A,0))&amp;"","não consta"))</f>
        <v/>
      </c>
      <c r="K1222" s="19" t="str">
        <f aca="false">IF(A1222="","",IFERROR(INDEX(Sancoes!$B:$B,MATCH(A1222,Sancoes!$A:$A,0))&amp;"","não consta"))</f>
        <v/>
      </c>
      <c r="L1222" s="19" t="str">
        <f aca="false">IF(A1222="","",IFERROR(INDEX(Eleitoral!$B:$B,MATCH(A1222,Eleitoral!$A:$A,0))&amp;"","não consta"))</f>
        <v/>
      </c>
      <c r="M1222" s="28" t="str">
        <f aca="false">IF(A1222="","",IF(OR(AND(K1222&lt;&gt;"",LOWER(K1222)&lt;&gt;"não consta"),AND(L1222&lt;&gt;"",LOWER(L1222)&lt;&gt;"não consta"),IFERROR(INDEX(Empresas!$G:$G,MATCH(A1222,Empresas!$A:$A,0))&amp;"","")&lt;&gt;""),"SIM",""))</f>
        <v/>
      </c>
      <c r="N1222" s="5"/>
      <c r="O1222" s="32" t="str">
        <f aca="false">IF(D1222="","",YEAR(D1222))</f>
        <v/>
      </c>
      <c r="P1222" s="5"/>
    </row>
    <row r="1223" customFormat="false" ht="15" hidden="false" customHeight="false" outlineLevel="0" collapsed="false">
      <c r="A1223" s="27"/>
      <c r="B1223" s="5"/>
      <c r="C1223" s="35"/>
      <c r="D1223" s="18"/>
      <c r="E1223" s="5"/>
      <c r="F1223" s="14"/>
      <c r="G1223" s="5"/>
      <c r="H1223" s="27"/>
      <c r="I1223" s="5"/>
      <c r="J1223" s="19" t="str">
        <f aca="false">IF(A1223="","",IFERROR(INDEX(Empresas!$D:$D,MATCH(A1223,Empresas!$A:$A,0))&amp;"","não consta"))</f>
        <v/>
      </c>
      <c r="K1223" s="19" t="str">
        <f aca="false">IF(A1223="","",IFERROR(INDEX(Sancoes!$B:$B,MATCH(A1223,Sancoes!$A:$A,0))&amp;"","não consta"))</f>
        <v/>
      </c>
      <c r="L1223" s="19" t="str">
        <f aca="false">IF(A1223="","",IFERROR(INDEX(Eleitoral!$B:$B,MATCH(A1223,Eleitoral!$A:$A,0))&amp;"","não consta"))</f>
        <v/>
      </c>
      <c r="M1223" s="28" t="str">
        <f aca="false">IF(A1223="","",IF(OR(AND(K1223&lt;&gt;"",LOWER(K1223)&lt;&gt;"não consta"),AND(L1223&lt;&gt;"",LOWER(L1223)&lt;&gt;"não consta"),IFERROR(INDEX(Empresas!$G:$G,MATCH(A1223,Empresas!$A:$A,0))&amp;"","")&lt;&gt;""),"SIM",""))</f>
        <v/>
      </c>
      <c r="N1223" s="5"/>
      <c r="O1223" s="32" t="str">
        <f aca="false">IF(D1223="","",YEAR(D1223))</f>
        <v/>
      </c>
      <c r="P1223" s="5"/>
    </row>
    <row r="1224" customFormat="false" ht="15" hidden="false" customHeight="false" outlineLevel="0" collapsed="false">
      <c r="A1224" s="27"/>
      <c r="B1224" s="5"/>
      <c r="C1224" s="35"/>
      <c r="D1224" s="18"/>
      <c r="E1224" s="5"/>
      <c r="F1224" s="14"/>
      <c r="G1224" s="5"/>
      <c r="H1224" s="27"/>
      <c r="I1224" s="5"/>
      <c r="J1224" s="19" t="str">
        <f aca="false">IF(A1224="","",IFERROR(INDEX(Empresas!$D:$D,MATCH(A1224,Empresas!$A:$A,0))&amp;"","não consta"))</f>
        <v/>
      </c>
      <c r="K1224" s="19" t="str">
        <f aca="false">IF(A1224="","",IFERROR(INDEX(Sancoes!$B:$B,MATCH(A1224,Sancoes!$A:$A,0))&amp;"","não consta"))</f>
        <v/>
      </c>
      <c r="L1224" s="19" t="str">
        <f aca="false">IF(A1224="","",IFERROR(INDEX(Eleitoral!$B:$B,MATCH(A1224,Eleitoral!$A:$A,0))&amp;"","não consta"))</f>
        <v/>
      </c>
      <c r="M1224" s="28" t="str">
        <f aca="false">IF(A1224="","",IF(OR(AND(K1224&lt;&gt;"",LOWER(K1224)&lt;&gt;"não consta"),AND(L1224&lt;&gt;"",LOWER(L1224)&lt;&gt;"não consta"),IFERROR(INDEX(Empresas!$G:$G,MATCH(A1224,Empresas!$A:$A,0))&amp;"","")&lt;&gt;""),"SIM",""))</f>
        <v/>
      </c>
      <c r="N1224" s="5"/>
      <c r="O1224" s="32" t="str">
        <f aca="false">IF(D1224="","",YEAR(D1224))</f>
        <v/>
      </c>
      <c r="P1224" s="5"/>
    </row>
    <row r="1225" customFormat="false" ht="15" hidden="false" customHeight="false" outlineLevel="0" collapsed="false">
      <c r="A1225" s="27"/>
      <c r="B1225" s="5"/>
      <c r="C1225" s="35"/>
      <c r="D1225" s="18"/>
      <c r="E1225" s="5"/>
      <c r="F1225" s="14"/>
      <c r="G1225" s="5"/>
      <c r="H1225" s="27"/>
      <c r="I1225" s="5"/>
      <c r="J1225" s="19" t="str">
        <f aca="false">IF(A1225="","",IFERROR(INDEX(Empresas!$D:$D,MATCH(A1225,Empresas!$A:$A,0))&amp;"","não consta"))</f>
        <v/>
      </c>
      <c r="K1225" s="19" t="str">
        <f aca="false">IF(A1225="","",IFERROR(INDEX(Sancoes!$B:$B,MATCH(A1225,Sancoes!$A:$A,0))&amp;"","não consta"))</f>
        <v/>
      </c>
      <c r="L1225" s="19" t="str">
        <f aca="false">IF(A1225="","",IFERROR(INDEX(Eleitoral!$B:$B,MATCH(A1225,Eleitoral!$A:$A,0))&amp;"","não consta"))</f>
        <v/>
      </c>
      <c r="M1225" s="28" t="str">
        <f aca="false">IF(A1225="","",IF(OR(AND(K1225&lt;&gt;"",LOWER(K1225)&lt;&gt;"não consta"),AND(L1225&lt;&gt;"",LOWER(L1225)&lt;&gt;"não consta"),IFERROR(INDEX(Empresas!$G:$G,MATCH(A1225,Empresas!$A:$A,0))&amp;"","")&lt;&gt;""),"SIM",""))</f>
        <v/>
      </c>
      <c r="N1225" s="5"/>
      <c r="O1225" s="32" t="str">
        <f aca="false">IF(D1225="","",YEAR(D1225))</f>
        <v/>
      </c>
      <c r="P1225" s="5"/>
    </row>
    <row r="1226" customFormat="false" ht="15" hidden="false" customHeight="false" outlineLevel="0" collapsed="false">
      <c r="A1226" s="27"/>
      <c r="B1226" s="5"/>
      <c r="C1226" s="35"/>
      <c r="D1226" s="18"/>
      <c r="E1226" s="5"/>
      <c r="F1226" s="14"/>
      <c r="G1226" s="5"/>
      <c r="H1226" s="27"/>
      <c r="I1226" s="5"/>
      <c r="J1226" s="19" t="str">
        <f aca="false">IF(A1226="","",IFERROR(INDEX(Empresas!$D:$D,MATCH(A1226,Empresas!$A:$A,0))&amp;"","não consta"))</f>
        <v/>
      </c>
      <c r="K1226" s="19" t="str">
        <f aca="false">IF(A1226="","",IFERROR(INDEX(Sancoes!$B:$B,MATCH(A1226,Sancoes!$A:$A,0))&amp;"","não consta"))</f>
        <v/>
      </c>
      <c r="L1226" s="19" t="str">
        <f aca="false">IF(A1226="","",IFERROR(INDEX(Eleitoral!$B:$B,MATCH(A1226,Eleitoral!$A:$A,0))&amp;"","não consta"))</f>
        <v/>
      </c>
      <c r="M1226" s="28" t="str">
        <f aca="false">IF(A1226="","",IF(OR(AND(K1226&lt;&gt;"",LOWER(K1226)&lt;&gt;"não consta"),AND(L1226&lt;&gt;"",LOWER(L1226)&lt;&gt;"não consta"),IFERROR(INDEX(Empresas!$G:$G,MATCH(A1226,Empresas!$A:$A,0))&amp;"","")&lt;&gt;""),"SIM",""))</f>
        <v/>
      </c>
      <c r="N1226" s="5"/>
      <c r="O1226" s="32" t="str">
        <f aca="false">IF(D1226="","",YEAR(D1226))</f>
        <v/>
      </c>
      <c r="P1226" s="5"/>
    </row>
    <row r="1227" customFormat="false" ht="15" hidden="false" customHeight="false" outlineLevel="0" collapsed="false">
      <c r="A1227" s="27"/>
      <c r="B1227" s="5"/>
      <c r="C1227" s="35"/>
      <c r="D1227" s="18"/>
      <c r="E1227" s="5"/>
      <c r="F1227" s="14"/>
      <c r="G1227" s="5"/>
      <c r="H1227" s="27"/>
      <c r="I1227" s="5"/>
      <c r="J1227" s="19" t="str">
        <f aca="false">IF(A1227="","",IFERROR(INDEX(Empresas!$D:$D,MATCH(A1227,Empresas!$A:$A,0))&amp;"","não consta"))</f>
        <v/>
      </c>
      <c r="K1227" s="19" t="str">
        <f aca="false">IF(A1227="","",IFERROR(INDEX(Sancoes!$B:$B,MATCH(A1227,Sancoes!$A:$A,0))&amp;"","não consta"))</f>
        <v/>
      </c>
      <c r="L1227" s="19" t="str">
        <f aca="false">IF(A1227="","",IFERROR(INDEX(Eleitoral!$B:$B,MATCH(A1227,Eleitoral!$A:$A,0))&amp;"","não consta"))</f>
        <v/>
      </c>
      <c r="M1227" s="28" t="str">
        <f aca="false">IF(A1227="","",IF(OR(AND(K1227&lt;&gt;"",LOWER(K1227)&lt;&gt;"não consta"),AND(L1227&lt;&gt;"",LOWER(L1227)&lt;&gt;"não consta"),IFERROR(INDEX(Empresas!$G:$G,MATCH(A1227,Empresas!$A:$A,0))&amp;"","")&lt;&gt;""),"SIM",""))</f>
        <v/>
      </c>
      <c r="N1227" s="5"/>
      <c r="O1227" s="32" t="str">
        <f aca="false">IF(D1227="","",YEAR(D1227))</f>
        <v/>
      </c>
      <c r="P1227" s="5"/>
    </row>
    <row r="1228" customFormat="false" ht="15" hidden="false" customHeight="false" outlineLevel="0" collapsed="false">
      <c r="A1228" s="27"/>
      <c r="B1228" s="5"/>
      <c r="C1228" s="35"/>
      <c r="D1228" s="18"/>
      <c r="E1228" s="5"/>
      <c r="F1228" s="14"/>
      <c r="G1228" s="5"/>
      <c r="H1228" s="27"/>
      <c r="I1228" s="5"/>
      <c r="J1228" s="19" t="str">
        <f aca="false">IF(A1228="","",IFERROR(INDEX(Empresas!$D:$D,MATCH(A1228,Empresas!$A:$A,0))&amp;"","não consta"))</f>
        <v/>
      </c>
      <c r="K1228" s="19" t="str">
        <f aca="false">IF(A1228="","",IFERROR(INDEX(Sancoes!$B:$B,MATCH(A1228,Sancoes!$A:$A,0))&amp;"","não consta"))</f>
        <v/>
      </c>
      <c r="L1228" s="19" t="str">
        <f aca="false">IF(A1228="","",IFERROR(INDEX(Eleitoral!$B:$B,MATCH(A1228,Eleitoral!$A:$A,0))&amp;"","não consta"))</f>
        <v/>
      </c>
      <c r="M1228" s="28" t="str">
        <f aca="false">IF(A1228="","",IF(OR(AND(K1228&lt;&gt;"",LOWER(K1228)&lt;&gt;"não consta"),AND(L1228&lt;&gt;"",LOWER(L1228)&lt;&gt;"não consta"),IFERROR(INDEX(Empresas!$G:$G,MATCH(A1228,Empresas!$A:$A,0))&amp;"","")&lt;&gt;""),"SIM",""))</f>
        <v/>
      </c>
      <c r="N1228" s="5"/>
      <c r="O1228" s="32" t="str">
        <f aca="false">IF(D1228="","",YEAR(D1228))</f>
        <v/>
      </c>
      <c r="P1228" s="5"/>
    </row>
    <row r="1229" customFormat="false" ht="15" hidden="false" customHeight="false" outlineLevel="0" collapsed="false">
      <c r="A1229" s="27"/>
      <c r="B1229" s="5"/>
      <c r="C1229" s="35"/>
      <c r="D1229" s="18"/>
      <c r="E1229" s="5"/>
      <c r="F1229" s="14"/>
      <c r="G1229" s="5"/>
      <c r="H1229" s="27"/>
      <c r="I1229" s="5"/>
      <c r="J1229" s="19" t="str">
        <f aca="false">IF(A1229="","",IFERROR(INDEX(Empresas!$D:$D,MATCH(A1229,Empresas!$A:$A,0))&amp;"","não consta"))</f>
        <v/>
      </c>
      <c r="K1229" s="19" t="str">
        <f aca="false">IF(A1229="","",IFERROR(INDEX(Sancoes!$B:$B,MATCH(A1229,Sancoes!$A:$A,0))&amp;"","não consta"))</f>
        <v/>
      </c>
      <c r="L1229" s="19" t="str">
        <f aca="false">IF(A1229="","",IFERROR(INDEX(Eleitoral!$B:$B,MATCH(A1229,Eleitoral!$A:$A,0))&amp;"","não consta"))</f>
        <v/>
      </c>
      <c r="M1229" s="28" t="str">
        <f aca="false">IF(A1229="","",IF(OR(AND(K1229&lt;&gt;"",LOWER(K1229)&lt;&gt;"não consta"),AND(L1229&lt;&gt;"",LOWER(L1229)&lt;&gt;"não consta"),IFERROR(INDEX(Empresas!$G:$G,MATCH(A1229,Empresas!$A:$A,0))&amp;"","")&lt;&gt;""),"SIM",""))</f>
        <v/>
      </c>
      <c r="N1229" s="5"/>
      <c r="O1229" s="32" t="str">
        <f aca="false">IF(D1229="","",YEAR(D1229))</f>
        <v/>
      </c>
      <c r="P1229" s="5"/>
    </row>
    <row r="1230" customFormat="false" ht="15" hidden="false" customHeight="false" outlineLevel="0" collapsed="false">
      <c r="A1230" s="27"/>
      <c r="B1230" s="5"/>
      <c r="C1230" s="35"/>
      <c r="D1230" s="18"/>
      <c r="E1230" s="5"/>
      <c r="F1230" s="14"/>
      <c r="G1230" s="5"/>
      <c r="H1230" s="27"/>
      <c r="I1230" s="5"/>
      <c r="J1230" s="19" t="str">
        <f aca="false">IF(A1230="","",IFERROR(INDEX(Empresas!$D:$D,MATCH(A1230,Empresas!$A:$A,0))&amp;"","não consta"))</f>
        <v/>
      </c>
      <c r="K1230" s="19" t="str">
        <f aca="false">IF(A1230="","",IFERROR(INDEX(Sancoes!$B:$B,MATCH(A1230,Sancoes!$A:$A,0))&amp;"","não consta"))</f>
        <v/>
      </c>
      <c r="L1230" s="19" t="str">
        <f aca="false">IF(A1230="","",IFERROR(INDEX(Eleitoral!$B:$B,MATCH(A1230,Eleitoral!$A:$A,0))&amp;"","não consta"))</f>
        <v/>
      </c>
      <c r="M1230" s="28" t="str">
        <f aca="false">IF(A1230="","",IF(OR(AND(K1230&lt;&gt;"",LOWER(K1230)&lt;&gt;"não consta"),AND(L1230&lt;&gt;"",LOWER(L1230)&lt;&gt;"não consta"),IFERROR(INDEX(Empresas!$G:$G,MATCH(A1230,Empresas!$A:$A,0))&amp;"","")&lt;&gt;""),"SIM",""))</f>
        <v/>
      </c>
      <c r="N1230" s="5"/>
      <c r="O1230" s="32" t="str">
        <f aca="false">IF(D1230="","",YEAR(D1230))</f>
        <v/>
      </c>
      <c r="P1230" s="5"/>
    </row>
    <row r="1231" customFormat="false" ht="15" hidden="false" customHeight="false" outlineLevel="0" collapsed="false">
      <c r="A1231" s="27"/>
      <c r="B1231" s="5"/>
      <c r="C1231" s="35"/>
      <c r="D1231" s="18"/>
      <c r="E1231" s="5"/>
      <c r="F1231" s="14"/>
      <c r="G1231" s="5"/>
      <c r="H1231" s="27"/>
      <c r="I1231" s="5"/>
      <c r="J1231" s="19" t="str">
        <f aca="false">IF(A1231="","",IFERROR(INDEX(Empresas!$D:$D,MATCH(A1231,Empresas!$A:$A,0))&amp;"","não consta"))</f>
        <v/>
      </c>
      <c r="K1231" s="19" t="str">
        <f aca="false">IF(A1231="","",IFERROR(INDEX(Sancoes!$B:$B,MATCH(A1231,Sancoes!$A:$A,0))&amp;"","não consta"))</f>
        <v/>
      </c>
      <c r="L1231" s="19" t="str">
        <f aca="false">IF(A1231="","",IFERROR(INDEX(Eleitoral!$B:$B,MATCH(A1231,Eleitoral!$A:$A,0))&amp;"","não consta"))</f>
        <v/>
      </c>
      <c r="M1231" s="28" t="str">
        <f aca="false">IF(A1231="","",IF(OR(AND(K1231&lt;&gt;"",LOWER(K1231)&lt;&gt;"não consta"),AND(L1231&lt;&gt;"",LOWER(L1231)&lt;&gt;"não consta"),IFERROR(INDEX(Empresas!$G:$G,MATCH(A1231,Empresas!$A:$A,0))&amp;"","")&lt;&gt;""),"SIM",""))</f>
        <v/>
      </c>
      <c r="N1231" s="5"/>
      <c r="O1231" s="32" t="str">
        <f aca="false">IF(D1231="","",YEAR(D1231))</f>
        <v/>
      </c>
      <c r="P1231" s="5"/>
    </row>
    <row r="1232" customFormat="false" ht="15" hidden="false" customHeight="false" outlineLevel="0" collapsed="false">
      <c r="A1232" s="27"/>
      <c r="B1232" s="5"/>
      <c r="C1232" s="35"/>
      <c r="D1232" s="18"/>
      <c r="E1232" s="5"/>
      <c r="F1232" s="14"/>
      <c r="G1232" s="5"/>
      <c r="H1232" s="27"/>
      <c r="I1232" s="5"/>
      <c r="J1232" s="19" t="str">
        <f aca="false">IF(A1232="","",IFERROR(INDEX(Empresas!$D:$D,MATCH(A1232,Empresas!$A:$A,0))&amp;"","não consta"))</f>
        <v/>
      </c>
      <c r="K1232" s="19" t="str">
        <f aca="false">IF(A1232="","",IFERROR(INDEX(Sancoes!$B:$B,MATCH(A1232,Sancoes!$A:$A,0))&amp;"","não consta"))</f>
        <v/>
      </c>
      <c r="L1232" s="19" t="str">
        <f aca="false">IF(A1232="","",IFERROR(INDEX(Eleitoral!$B:$B,MATCH(A1232,Eleitoral!$A:$A,0))&amp;"","não consta"))</f>
        <v/>
      </c>
      <c r="M1232" s="28" t="str">
        <f aca="false">IF(A1232="","",IF(OR(AND(K1232&lt;&gt;"",LOWER(K1232)&lt;&gt;"não consta"),AND(L1232&lt;&gt;"",LOWER(L1232)&lt;&gt;"não consta"),IFERROR(INDEX(Empresas!$G:$G,MATCH(A1232,Empresas!$A:$A,0))&amp;"","")&lt;&gt;""),"SIM",""))</f>
        <v/>
      </c>
      <c r="N1232" s="5"/>
      <c r="O1232" s="32" t="str">
        <f aca="false">IF(D1232="","",YEAR(D1232))</f>
        <v/>
      </c>
      <c r="P1232" s="5"/>
    </row>
    <row r="1233" customFormat="false" ht="15" hidden="false" customHeight="false" outlineLevel="0" collapsed="false">
      <c r="A1233" s="27"/>
      <c r="B1233" s="5"/>
      <c r="C1233" s="35"/>
      <c r="D1233" s="18"/>
      <c r="E1233" s="5"/>
      <c r="F1233" s="14"/>
      <c r="G1233" s="5"/>
      <c r="H1233" s="27"/>
      <c r="I1233" s="5"/>
      <c r="J1233" s="19" t="str">
        <f aca="false">IF(A1233="","",IFERROR(INDEX(Empresas!$D:$D,MATCH(A1233,Empresas!$A:$A,0))&amp;"","não consta"))</f>
        <v/>
      </c>
      <c r="K1233" s="19" t="str">
        <f aca="false">IF(A1233="","",IFERROR(INDEX(Sancoes!$B:$B,MATCH(A1233,Sancoes!$A:$A,0))&amp;"","não consta"))</f>
        <v/>
      </c>
      <c r="L1233" s="19" t="str">
        <f aca="false">IF(A1233="","",IFERROR(INDEX(Eleitoral!$B:$B,MATCH(A1233,Eleitoral!$A:$A,0))&amp;"","não consta"))</f>
        <v/>
      </c>
      <c r="M1233" s="28" t="str">
        <f aca="false">IF(A1233="","",IF(OR(AND(K1233&lt;&gt;"",LOWER(K1233)&lt;&gt;"não consta"),AND(L1233&lt;&gt;"",LOWER(L1233)&lt;&gt;"não consta"),IFERROR(INDEX(Empresas!$G:$G,MATCH(A1233,Empresas!$A:$A,0))&amp;"","")&lt;&gt;""),"SIM",""))</f>
        <v/>
      </c>
      <c r="N1233" s="5"/>
      <c r="O1233" s="32" t="str">
        <f aca="false">IF(D1233="","",YEAR(D1233))</f>
        <v/>
      </c>
      <c r="P1233" s="5"/>
    </row>
    <row r="1234" customFormat="false" ht="15" hidden="false" customHeight="false" outlineLevel="0" collapsed="false">
      <c r="A1234" s="27"/>
      <c r="B1234" s="5"/>
      <c r="C1234" s="35"/>
      <c r="D1234" s="18"/>
      <c r="E1234" s="5"/>
      <c r="F1234" s="14"/>
      <c r="G1234" s="5"/>
      <c r="H1234" s="27"/>
      <c r="I1234" s="5"/>
      <c r="J1234" s="19" t="str">
        <f aca="false">IF(A1234="","",IFERROR(INDEX(Empresas!$D:$D,MATCH(A1234,Empresas!$A:$A,0))&amp;"","não consta"))</f>
        <v/>
      </c>
      <c r="K1234" s="19" t="str">
        <f aca="false">IF(A1234="","",IFERROR(INDEX(Sancoes!$B:$B,MATCH(A1234,Sancoes!$A:$A,0))&amp;"","não consta"))</f>
        <v/>
      </c>
      <c r="L1234" s="19" t="str">
        <f aca="false">IF(A1234="","",IFERROR(INDEX(Eleitoral!$B:$B,MATCH(A1234,Eleitoral!$A:$A,0))&amp;"","não consta"))</f>
        <v/>
      </c>
      <c r="M1234" s="28" t="str">
        <f aca="false">IF(A1234="","",IF(OR(AND(K1234&lt;&gt;"",LOWER(K1234)&lt;&gt;"não consta"),AND(L1234&lt;&gt;"",LOWER(L1234)&lt;&gt;"não consta"),IFERROR(INDEX(Empresas!$G:$G,MATCH(A1234,Empresas!$A:$A,0))&amp;"","")&lt;&gt;""),"SIM",""))</f>
        <v/>
      </c>
      <c r="N1234" s="5"/>
      <c r="O1234" s="32" t="str">
        <f aca="false">IF(D1234="","",YEAR(D1234))</f>
        <v/>
      </c>
      <c r="P1234" s="5"/>
    </row>
    <row r="1235" customFormat="false" ht="15" hidden="false" customHeight="false" outlineLevel="0" collapsed="false">
      <c r="A1235" s="27"/>
      <c r="B1235" s="5"/>
      <c r="C1235" s="35"/>
      <c r="D1235" s="18"/>
      <c r="E1235" s="5"/>
      <c r="F1235" s="14"/>
      <c r="G1235" s="5"/>
      <c r="H1235" s="27"/>
      <c r="I1235" s="5"/>
      <c r="J1235" s="19" t="str">
        <f aca="false">IF(A1235="","",IFERROR(INDEX(Empresas!$D:$D,MATCH(A1235,Empresas!$A:$A,0))&amp;"","não consta"))</f>
        <v/>
      </c>
      <c r="K1235" s="19" t="str">
        <f aca="false">IF(A1235="","",IFERROR(INDEX(Sancoes!$B:$B,MATCH(A1235,Sancoes!$A:$A,0))&amp;"","não consta"))</f>
        <v/>
      </c>
      <c r="L1235" s="19" t="str">
        <f aca="false">IF(A1235="","",IFERROR(INDEX(Eleitoral!$B:$B,MATCH(A1235,Eleitoral!$A:$A,0))&amp;"","não consta"))</f>
        <v/>
      </c>
      <c r="M1235" s="28" t="str">
        <f aca="false">IF(A1235="","",IF(OR(AND(K1235&lt;&gt;"",LOWER(K1235)&lt;&gt;"não consta"),AND(L1235&lt;&gt;"",LOWER(L1235)&lt;&gt;"não consta"),IFERROR(INDEX(Empresas!$G:$G,MATCH(A1235,Empresas!$A:$A,0))&amp;"","")&lt;&gt;""),"SIM",""))</f>
        <v/>
      </c>
      <c r="N1235" s="5"/>
      <c r="O1235" s="32" t="str">
        <f aca="false">IF(D1235="","",YEAR(D1235))</f>
        <v/>
      </c>
      <c r="P1235" s="5"/>
    </row>
    <row r="1236" customFormat="false" ht="15" hidden="false" customHeight="false" outlineLevel="0" collapsed="false">
      <c r="A1236" s="27"/>
      <c r="B1236" s="5"/>
      <c r="C1236" s="35"/>
      <c r="D1236" s="18"/>
      <c r="E1236" s="5"/>
      <c r="F1236" s="14"/>
      <c r="G1236" s="5"/>
      <c r="H1236" s="27"/>
      <c r="I1236" s="5"/>
      <c r="J1236" s="19" t="str">
        <f aca="false">IF(A1236="","",IFERROR(INDEX(Empresas!$D:$D,MATCH(A1236,Empresas!$A:$A,0))&amp;"","não consta"))</f>
        <v/>
      </c>
      <c r="K1236" s="19" t="str">
        <f aca="false">IF(A1236="","",IFERROR(INDEX(Sancoes!$B:$B,MATCH(A1236,Sancoes!$A:$A,0))&amp;"","não consta"))</f>
        <v/>
      </c>
      <c r="L1236" s="19" t="str">
        <f aca="false">IF(A1236="","",IFERROR(INDEX(Eleitoral!$B:$B,MATCH(A1236,Eleitoral!$A:$A,0))&amp;"","não consta"))</f>
        <v/>
      </c>
      <c r="M1236" s="28" t="str">
        <f aca="false">IF(A1236="","",IF(OR(AND(K1236&lt;&gt;"",LOWER(K1236)&lt;&gt;"não consta"),AND(L1236&lt;&gt;"",LOWER(L1236)&lt;&gt;"não consta"),IFERROR(INDEX(Empresas!$G:$G,MATCH(A1236,Empresas!$A:$A,0))&amp;"","")&lt;&gt;""),"SIM",""))</f>
        <v/>
      </c>
      <c r="N1236" s="5"/>
      <c r="O1236" s="32" t="str">
        <f aca="false">IF(D1236="","",YEAR(D1236))</f>
        <v/>
      </c>
      <c r="P1236" s="5"/>
    </row>
    <row r="1237" customFormat="false" ht="15" hidden="false" customHeight="false" outlineLevel="0" collapsed="false">
      <c r="A1237" s="27"/>
      <c r="B1237" s="5"/>
      <c r="C1237" s="35"/>
      <c r="D1237" s="18"/>
      <c r="E1237" s="5"/>
      <c r="F1237" s="14"/>
      <c r="G1237" s="5"/>
      <c r="H1237" s="27"/>
      <c r="I1237" s="5"/>
      <c r="J1237" s="19" t="str">
        <f aca="false">IF(A1237="","",IFERROR(INDEX(Empresas!$D:$D,MATCH(A1237,Empresas!$A:$A,0))&amp;"","não consta"))</f>
        <v/>
      </c>
      <c r="K1237" s="19" t="str">
        <f aca="false">IF(A1237="","",IFERROR(INDEX(Sancoes!$B:$B,MATCH(A1237,Sancoes!$A:$A,0))&amp;"","não consta"))</f>
        <v/>
      </c>
      <c r="L1237" s="19" t="str">
        <f aca="false">IF(A1237="","",IFERROR(INDEX(Eleitoral!$B:$B,MATCH(A1237,Eleitoral!$A:$A,0))&amp;"","não consta"))</f>
        <v/>
      </c>
      <c r="M1237" s="28" t="str">
        <f aca="false">IF(A1237="","",IF(OR(AND(K1237&lt;&gt;"",LOWER(K1237)&lt;&gt;"não consta"),AND(L1237&lt;&gt;"",LOWER(L1237)&lt;&gt;"não consta"),IFERROR(INDEX(Empresas!$G:$G,MATCH(A1237,Empresas!$A:$A,0))&amp;"","")&lt;&gt;""),"SIM",""))</f>
        <v/>
      </c>
      <c r="N1237" s="5"/>
      <c r="O1237" s="32" t="str">
        <f aca="false">IF(D1237="","",YEAR(D1237))</f>
        <v/>
      </c>
      <c r="P1237" s="5"/>
    </row>
    <row r="1238" customFormat="false" ht="15" hidden="false" customHeight="false" outlineLevel="0" collapsed="false">
      <c r="A1238" s="27"/>
      <c r="B1238" s="5"/>
      <c r="C1238" s="35"/>
      <c r="D1238" s="18"/>
      <c r="E1238" s="5"/>
      <c r="F1238" s="14"/>
      <c r="G1238" s="5"/>
      <c r="H1238" s="27"/>
      <c r="I1238" s="5"/>
      <c r="J1238" s="19" t="str">
        <f aca="false">IF(A1238="","",IFERROR(INDEX(Empresas!$D:$D,MATCH(A1238,Empresas!$A:$A,0))&amp;"","não consta"))</f>
        <v/>
      </c>
      <c r="K1238" s="19" t="str">
        <f aca="false">IF(A1238="","",IFERROR(INDEX(Sancoes!$B:$B,MATCH(A1238,Sancoes!$A:$A,0))&amp;"","não consta"))</f>
        <v/>
      </c>
      <c r="L1238" s="19" t="str">
        <f aca="false">IF(A1238="","",IFERROR(INDEX(Eleitoral!$B:$B,MATCH(A1238,Eleitoral!$A:$A,0))&amp;"","não consta"))</f>
        <v/>
      </c>
      <c r="M1238" s="28" t="str">
        <f aca="false">IF(A1238="","",IF(OR(AND(K1238&lt;&gt;"",LOWER(K1238)&lt;&gt;"não consta"),AND(L1238&lt;&gt;"",LOWER(L1238)&lt;&gt;"não consta"),IFERROR(INDEX(Empresas!$G:$G,MATCH(A1238,Empresas!$A:$A,0))&amp;"","")&lt;&gt;""),"SIM",""))</f>
        <v/>
      </c>
      <c r="N1238" s="5"/>
      <c r="O1238" s="32" t="str">
        <f aca="false">IF(D1238="","",YEAR(D1238))</f>
        <v/>
      </c>
      <c r="P1238" s="5"/>
    </row>
    <row r="1239" customFormat="false" ht="15" hidden="false" customHeight="false" outlineLevel="0" collapsed="false">
      <c r="A1239" s="27"/>
      <c r="B1239" s="5"/>
      <c r="C1239" s="35"/>
      <c r="D1239" s="18"/>
      <c r="E1239" s="5"/>
      <c r="F1239" s="14"/>
      <c r="G1239" s="5"/>
      <c r="H1239" s="27"/>
      <c r="I1239" s="5"/>
      <c r="J1239" s="19" t="str">
        <f aca="false">IF(A1239="","",IFERROR(INDEX(Empresas!$D:$D,MATCH(A1239,Empresas!$A:$A,0))&amp;"","não consta"))</f>
        <v/>
      </c>
      <c r="K1239" s="19" t="str">
        <f aca="false">IF(A1239="","",IFERROR(INDEX(Sancoes!$B:$B,MATCH(A1239,Sancoes!$A:$A,0))&amp;"","não consta"))</f>
        <v/>
      </c>
      <c r="L1239" s="19" t="str">
        <f aca="false">IF(A1239="","",IFERROR(INDEX(Eleitoral!$B:$B,MATCH(A1239,Eleitoral!$A:$A,0))&amp;"","não consta"))</f>
        <v/>
      </c>
      <c r="M1239" s="28" t="str">
        <f aca="false">IF(A1239="","",IF(OR(AND(K1239&lt;&gt;"",LOWER(K1239)&lt;&gt;"não consta"),AND(L1239&lt;&gt;"",LOWER(L1239)&lt;&gt;"não consta"),IFERROR(INDEX(Empresas!$G:$G,MATCH(A1239,Empresas!$A:$A,0))&amp;"","")&lt;&gt;""),"SIM",""))</f>
        <v/>
      </c>
      <c r="N1239" s="5"/>
      <c r="O1239" s="32" t="str">
        <f aca="false">IF(D1239="","",YEAR(D1239))</f>
        <v/>
      </c>
      <c r="P1239" s="5"/>
    </row>
    <row r="1240" customFormat="false" ht="15" hidden="false" customHeight="false" outlineLevel="0" collapsed="false">
      <c r="A1240" s="27"/>
      <c r="B1240" s="5"/>
      <c r="C1240" s="35"/>
      <c r="D1240" s="18"/>
      <c r="E1240" s="5"/>
      <c r="F1240" s="14"/>
      <c r="G1240" s="5"/>
      <c r="H1240" s="27"/>
      <c r="I1240" s="5"/>
      <c r="J1240" s="19" t="str">
        <f aca="false">IF(A1240="","",IFERROR(INDEX(Empresas!$D:$D,MATCH(A1240,Empresas!$A:$A,0))&amp;"","não consta"))</f>
        <v/>
      </c>
      <c r="K1240" s="19" t="str">
        <f aca="false">IF(A1240="","",IFERROR(INDEX(Sancoes!$B:$B,MATCH(A1240,Sancoes!$A:$A,0))&amp;"","não consta"))</f>
        <v/>
      </c>
      <c r="L1240" s="19" t="str">
        <f aca="false">IF(A1240="","",IFERROR(INDEX(Eleitoral!$B:$B,MATCH(A1240,Eleitoral!$A:$A,0))&amp;"","não consta"))</f>
        <v/>
      </c>
      <c r="M1240" s="28" t="str">
        <f aca="false">IF(A1240="","",IF(OR(AND(K1240&lt;&gt;"",LOWER(K1240)&lt;&gt;"não consta"),AND(L1240&lt;&gt;"",LOWER(L1240)&lt;&gt;"não consta"),IFERROR(INDEX(Empresas!$G:$G,MATCH(A1240,Empresas!$A:$A,0))&amp;"","")&lt;&gt;""),"SIM",""))</f>
        <v/>
      </c>
      <c r="N1240" s="5"/>
      <c r="O1240" s="32" t="str">
        <f aca="false">IF(D1240="","",YEAR(D1240))</f>
        <v/>
      </c>
      <c r="P1240" s="5"/>
    </row>
    <row r="1241" customFormat="false" ht="15" hidden="false" customHeight="false" outlineLevel="0" collapsed="false">
      <c r="A1241" s="27"/>
      <c r="B1241" s="5"/>
      <c r="C1241" s="35"/>
      <c r="D1241" s="18"/>
      <c r="E1241" s="5"/>
      <c r="F1241" s="14"/>
      <c r="G1241" s="5"/>
      <c r="H1241" s="27"/>
      <c r="I1241" s="5"/>
      <c r="J1241" s="19" t="str">
        <f aca="false">IF(A1241="","",IFERROR(INDEX(Empresas!$D:$D,MATCH(A1241,Empresas!$A:$A,0))&amp;"","não consta"))</f>
        <v/>
      </c>
      <c r="K1241" s="19" t="str">
        <f aca="false">IF(A1241="","",IFERROR(INDEX(Sancoes!$B:$B,MATCH(A1241,Sancoes!$A:$A,0))&amp;"","não consta"))</f>
        <v/>
      </c>
      <c r="L1241" s="19" t="str">
        <f aca="false">IF(A1241="","",IFERROR(INDEX(Eleitoral!$B:$B,MATCH(A1241,Eleitoral!$A:$A,0))&amp;"","não consta"))</f>
        <v/>
      </c>
      <c r="M1241" s="28" t="str">
        <f aca="false">IF(A1241="","",IF(OR(AND(K1241&lt;&gt;"",LOWER(K1241)&lt;&gt;"não consta"),AND(L1241&lt;&gt;"",LOWER(L1241)&lt;&gt;"não consta"),IFERROR(INDEX(Empresas!$G:$G,MATCH(A1241,Empresas!$A:$A,0))&amp;"","")&lt;&gt;""),"SIM",""))</f>
        <v/>
      </c>
      <c r="N1241" s="5"/>
      <c r="O1241" s="32" t="str">
        <f aca="false">IF(D1241="","",YEAR(D1241))</f>
        <v/>
      </c>
      <c r="P1241" s="5"/>
    </row>
    <row r="1242" customFormat="false" ht="15" hidden="false" customHeight="false" outlineLevel="0" collapsed="false">
      <c r="A1242" s="27"/>
      <c r="B1242" s="5"/>
      <c r="C1242" s="35"/>
      <c r="D1242" s="18"/>
      <c r="E1242" s="5"/>
      <c r="F1242" s="14"/>
      <c r="G1242" s="5"/>
      <c r="H1242" s="27"/>
      <c r="I1242" s="5"/>
      <c r="J1242" s="19" t="str">
        <f aca="false">IF(A1242="","",IFERROR(INDEX(Empresas!$D:$D,MATCH(A1242,Empresas!$A:$A,0))&amp;"","não consta"))</f>
        <v/>
      </c>
      <c r="K1242" s="19" t="str">
        <f aca="false">IF(A1242="","",IFERROR(INDEX(Sancoes!$B:$B,MATCH(A1242,Sancoes!$A:$A,0))&amp;"","não consta"))</f>
        <v/>
      </c>
      <c r="L1242" s="19" t="str">
        <f aca="false">IF(A1242="","",IFERROR(INDEX(Eleitoral!$B:$B,MATCH(A1242,Eleitoral!$A:$A,0))&amp;"","não consta"))</f>
        <v/>
      </c>
      <c r="M1242" s="28" t="str">
        <f aca="false">IF(A1242="","",IF(OR(AND(K1242&lt;&gt;"",LOWER(K1242)&lt;&gt;"não consta"),AND(L1242&lt;&gt;"",LOWER(L1242)&lt;&gt;"não consta"),IFERROR(INDEX(Empresas!$G:$G,MATCH(A1242,Empresas!$A:$A,0))&amp;"","")&lt;&gt;""),"SIM",""))</f>
        <v/>
      </c>
      <c r="N1242" s="5"/>
      <c r="O1242" s="32" t="str">
        <f aca="false">IF(D1242="","",YEAR(D1242))</f>
        <v/>
      </c>
      <c r="P1242" s="5"/>
    </row>
    <row r="1243" customFormat="false" ht="15" hidden="false" customHeight="false" outlineLevel="0" collapsed="false">
      <c r="A1243" s="27"/>
      <c r="B1243" s="5"/>
      <c r="C1243" s="35"/>
      <c r="D1243" s="18"/>
      <c r="E1243" s="5"/>
      <c r="F1243" s="14"/>
      <c r="G1243" s="5"/>
      <c r="H1243" s="27"/>
      <c r="I1243" s="5"/>
      <c r="J1243" s="19" t="str">
        <f aca="false">IF(A1243="","",IFERROR(INDEX(Empresas!$D:$D,MATCH(A1243,Empresas!$A:$A,0))&amp;"","não consta"))</f>
        <v/>
      </c>
      <c r="K1243" s="19" t="str">
        <f aca="false">IF(A1243="","",IFERROR(INDEX(Sancoes!$B:$B,MATCH(A1243,Sancoes!$A:$A,0))&amp;"","não consta"))</f>
        <v/>
      </c>
      <c r="L1243" s="19" t="str">
        <f aca="false">IF(A1243="","",IFERROR(INDEX(Eleitoral!$B:$B,MATCH(A1243,Eleitoral!$A:$A,0))&amp;"","não consta"))</f>
        <v/>
      </c>
      <c r="M1243" s="28" t="str">
        <f aca="false">IF(A1243="","",IF(OR(AND(K1243&lt;&gt;"",LOWER(K1243)&lt;&gt;"não consta"),AND(L1243&lt;&gt;"",LOWER(L1243)&lt;&gt;"não consta"),IFERROR(INDEX(Empresas!$G:$G,MATCH(A1243,Empresas!$A:$A,0))&amp;"","")&lt;&gt;""),"SIM",""))</f>
        <v/>
      </c>
      <c r="N1243" s="5"/>
      <c r="O1243" s="32" t="str">
        <f aca="false">IF(D1243="","",YEAR(D1243))</f>
        <v/>
      </c>
      <c r="P1243" s="5"/>
    </row>
    <row r="1244" customFormat="false" ht="15" hidden="false" customHeight="false" outlineLevel="0" collapsed="false">
      <c r="A1244" s="27"/>
      <c r="B1244" s="5"/>
      <c r="C1244" s="35"/>
      <c r="D1244" s="18"/>
      <c r="E1244" s="5"/>
      <c r="F1244" s="14"/>
      <c r="G1244" s="5"/>
      <c r="H1244" s="27"/>
      <c r="I1244" s="5"/>
      <c r="J1244" s="19" t="str">
        <f aca="false">IF(A1244="","",IFERROR(INDEX(Empresas!$D:$D,MATCH(A1244,Empresas!$A:$A,0))&amp;"","não consta"))</f>
        <v/>
      </c>
      <c r="K1244" s="19" t="str">
        <f aca="false">IF(A1244="","",IFERROR(INDEX(Sancoes!$B:$B,MATCH(A1244,Sancoes!$A:$A,0))&amp;"","não consta"))</f>
        <v/>
      </c>
      <c r="L1244" s="19" t="str">
        <f aca="false">IF(A1244="","",IFERROR(INDEX(Eleitoral!$B:$B,MATCH(A1244,Eleitoral!$A:$A,0))&amp;"","não consta"))</f>
        <v/>
      </c>
      <c r="M1244" s="28" t="str">
        <f aca="false">IF(A1244="","",IF(OR(AND(K1244&lt;&gt;"",LOWER(K1244)&lt;&gt;"não consta"),AND(L1244&lt;&gt;"",LOWER(L1244)&lt;&gt;"não consta"),IFERROR(INDEX(Empresas!$G:$G,MATCH(A1244,Empresas!$A:$A,0))&amp;"","")&lt;&gt;""),"SIM",""))</f>
        <v/>
      </c>
      <c r="N1244" s="5"/>
      <c r="O1244" s="32" t="str">
        <f aca="false">IF(D1244="","",YEAR(D1244))</f>
        <v/>
      </c>
      <c r="P1244" s="5"/>
    </row>
    <row r="1245" customFormat="false" ht="15" hidden="false" customHeight="false" outlineLevel="0" collapsed="false">
      <c r="A1245" s="27"/>
      <c r="B1245" s="5"/>
      <c r="C1245" s="35"/>
      <c r="D1245" s="18"/>
      <c r="E1245" s="5"/>
      <c r="F1245" s="14"/>
      <c r="G1245" s="5"/>
      <c r="H1245" s="27"/>
      <c r="I1245" s="5"/>
      <c r="J1245" s="19" t="str">
        <f aca="false">IF(A1245="","",IFERROR(INDEX(Empresas!$D:$D,MATCH(A1245,Empresas!$A:$A,0))&amp;"","não consta"))</f>
        <v/>
      </c>
      <c r="K1245" s="19" t="str">
        <f aca="false">IF(A1245="","",IFERROR(INDEX(Sancoes!$B:$B,MATCH(A1245,Sancoes!$A:$A,0))&amp;"","não consta"))</f>
        <v/>
      </c>
      <c r="L1245" s="19" t="str">
        <f aca="false">IF(A1245="","",IFERROR(INDEX(Eleitoral!$B:$B,MATCH(A1245,Eleitoral!$A:$A,0))&amp;"","não consta"))</f>
        <v/>
      </c>
      <c r="M1245" s="28" t="str">
        <f aca="false">IF(A1245="","",IF(OR(AND(K1245&lt;&gt;"",LOWER(K1245)&lt;&gt;"não consta"),AND(L1245&lt;&gt;"",LOWER(L1245)&lt;&gt;"não consta"),IFERROR(INDEX(Empresas!$G:$G,MATCH(A1245,Empresas!$A:$A,0))&amp;"","")&lt;&gt;""),"SIM",""))</f>
        <v/>
      </c>
      <c r="N1245" s="5"/>
      <c r="O1245" s="32" t="str">
        <f aca="false">IF(D1245="","",YEAR(D1245))</f>
        <v/>
      </c>
      <c r="P1245" s="5"/>
    </row>
    <row r="1246" customFormat="false" ht="15" hidden="false" customHeight="false" outlineLevel="0" collapsed="false">
      <c r="A1246" s="27"/>
      <c r="B1246" s="5"/>
      <c r="C1246" s="35"/>
      <c r="D1246" s="18"/>
      <c r="E1246" s="5"/>
      <c r="F1246" s="14"/>
      <c r="G1246" s="5"/>
      <c r="H1246" s="27"/>
      <c r="I1246" s="5"/>
      <c r="J1246" s="19" t="str">
        <f aca="false">IF(A1246="","",IFERROR(INDEX(Empresas!$D:$D,MATCH(A1246,Empresas!$A:$A,0))&amp;"","não consta"))</f>
        <v/>
      </c>
      <c r="K1246" s="19" t="str">
        <f aca="false">IF(A1246="","",IFERROR(INDEX(Sancoes!$B:$B,MATCH(A1246,Sancoes!$A:$A,0))&amp;"","não consta"))</f>
        <v/>
      </c>
      <c r="L1246" s="19" t="str">
        <f aca="false">IF(A1246="","",IFERROR(INDEX(Eleitoral!$B:$B,MATCH(A1246,Eleitoral!$A:$A,0))&amp;"","não consta"))</f>
        <v/>
      </c>
      <c r="M1246" s="28" t="str">
        <f aca="false">IF(A1246="","",IF(OR(AND(K1246&lt;&gt;"",LOWER(K1246)&lt;&gt;"não consta"),AND(L1246&lt;&gt;"",LOWER(L1246)&lt;&gt;"não consta"),IFERROR(INDEX(Empresas!$G:$G,MATCH(A1246,Empresas!$A:$A,0))&amp;"","")&lt;&gt;""),"SIM",""))</f>
        <v/>
      </c>
      <c r="N1246" s="5"/>
      <c r="O1246" s="32" t="str">
        <f aca="false">IF(D1246="","",YEAR(D1246))</f>
        <v/>
      </c>
      <c r="P1246" s="5"/>
    </row>
    <row r="1247" customFormat="false" ht="15" hidden="false" customHeight="false" outlineLevel="0" collapsed="false">
      <c r="A1247" s="27"/>
      <c r="B1247" s="5"/>
      <c r="C1247" s="35"/>
      <c r="D1247" s="18"/>
      <c r="E1247" s="5"/>
      <c r="F1247" s="14"/>
      <c r="G1247" s="5"/>
      <c r="H1247" s="27"/>
      <c r="I1247" s="5"/>
      <c r="J1247" s="19" t="str">
        <f aca="false">IF(A1247="","",IFERROR(INDEX(Empresas!$D:$D,MATCH(A1247,Empresas!$A:$A,0))&amp;"","não consta"))</f>
        <v/>
      </c>
      <c r="K1247" s="19" t="str">
        <f aca="false">IF(A1247="","",IFERROR(INDEX(Sancoes!$B:$B,MATCH(A1247,Sancoes!$A:$A,0))&amp;"","não consta"))</f>
        <v/>
      </c>
      <c r="L1247" s="19" t="str">
        <f aca="false">IF(A1247="","",IFERROR(INDEX(Eleitoral!$B:$B,MATCH(A1247,Eleitoral!$A:$A,0))&amp;"","não consta"))</f>
        <v/>
      </c>
      <c r="M1247" s="28" t="str">
        <f aca="false">IF(A1247="","",IF(OR(AND(K1247&lt;&gt;"",LOWER(K1247)&lt;&gt;"não consta"),AND(L1247&lt;&gt;"",LOWER(L1247)&lt;&gt;"não consta"),IFERROR(INDEX(Empresas!$G:$G,MATCH(A1247,Empresas!$A:$A,0))&amp;"","")&lt;&gt;""),"SIM",""))</f>
        <v/>
      </c>
      <c r="N1247" s="5"/>
      <c r="O1247" s="32" t="str">
        <f aca="false">IF(D1247="","",YEAR(D1247))</f>
        <v/>
      </c>
      <c r="P1247" s="5"/>
    </row>
    <row r="1248" customFormat="false" ht="15" hidden="false" customHeight="false" outlineLevel="0" collapsed="false">
      <c r="A1248" s="27"/>
      <c r="B1248" s="5"/>
      <c r="C1248" s="35"/>
      <c r="D1248" s="18"/>
      <c r="E1248" s="5"/>
      <c r="F1248" s="14"/>
      <c r="G1248" s="5"/>
      <c r="H1248" s="27"/>
      <c r="I1248" s="5"/>
      <c r="J1248" s="19" t="str">
        <f aca="false">IF(A1248="","",IFERROR(INDEX(Empresas!$D:$D,MATCH(A1248,Empresas!$A:$A,0))&amp;"","não consta"))</f>
        <v/>
      </c>
      <c r="K1248" s="19" t="str">
        <f aca="false">IF(A1248="","",IFERROR(INDEX(Sancoes!$B:$B,MATCH(A1248,Sancoes!$A:$A,0))&amp;"","não consta"))</f>
        <v/>
      </c>
      <c r="L1248" s="19" t="str">
        <f aca="false">IF(A1248="","",IFERROR(INDEX(Eleitoral!$B:$B,MATCH(A1248,Eleitoral!$A:$A,0))&amp;"","não consta"))</f>
        <v/>
      </c>
      <c r="M1248" s="28" t="str">
        <f aca="false">IF(A1248="","",IF(OR(AND(K1248&lt;&gt;"",LOWER(K1248)&lt;&gt;"não consta"),AND(L1248&lt;&gt;"",LOWER(L1248)&lt;&gt;"não consta"),IFERROR(INDEX(Empresas!$G:$G,MATCH(A1248,Empresas!$A:$A,0))&amp;"","")&lt;&gt;""),"SIM",""))</f>
        <v/>
      </c>
      <c r="N1248" s="5"/>
      <c r="O1248" s="32" t="str">
        <f aca="false">IF(D1248="","",YEAR(D1248))</f>
        <v/>
      </c>
      <c r="P1248" s="5"/>
    </row>
    <row r="1249" customFormat="false" ht="15" hidden="false" customHeight="false" outlineLevel="0" collapsed="false">
      <c r="A1249" s="27"/>
      <c r="B1249" s="5"/>
      <c r="C1249" s="35"/>
      <c r="D1249" s="18"/>
      <c r="E1249" s="5"/>
      <c r="F1249" s="14"/>
      <c r="G1249" s="5"/>
      <c r="H1249" s="27"/>
      <c r="I1249" s="5"/>
      <c r="J1249" s="19" t="str">
        <f aca="false">IF(A1249="","",IFERROR(INDEX(Empresas!$D:$D,MATCH(A1249,Empresas!$A:$A,0))&amp;"","não consta"))</f>
        <v/>
      </c>
      <c r="K1249" s="19" t="str">
        <f aca="false">IF(A1249="","",IFERROR(INDEX(Sancoes!$B:$B,MATCH(A1249,Sancoes!$A:$A,0))&amp;"","não consta"))</f>
        <v/>
      </c>
      <c r="L1249" s="19" t="str">
        <f aca="false">IF(A1249="","",IFERROR(INDEX(Eleitoral!$B:$B,MATCH(A1249,Eleitoral!$A:$A,0))&amp;"","não consta"))</f>
        <v/>
      </c>
      <c r="M1249" s="28" t="str">
        <f aca="false">IF(A1249="","",IF(OR(AND(K1249&lt;&gt;"",LOWER(K1249)&lt;&gt;"não consta"),AND(L1249&lt;&gt;"",LOWER(L1249)&lt;&gt;"não consta"),IFERROR(INDEX(Empresas!$G:$G,MATCH(A1249,Empresas!$A:$A,0))&amp;"","")&lt;&gt;""),"SIM",""))</f>
        <v/>
      </c>
      <c r="N1249" s="5"/>
      <c r="O1249" s="32" t="str">
        <f aca="false">IF(D1249="","",YEAR(D1249))</f>
        <v/>
      </c>
      <c r="P1249" s="5"/>
    </row>
    <row r="1250" customFormat="false" ht="15" hidden="false" customHeight="false" outlineLevel="0" collapsed="false">
      <c r="A1250" s="27"/>
      <c r="B1250" s="5"/>
      <c r="C1250" s="35"/>
      <c r="D1250" s="18"/>
      <c r="E1250" s="5"/>
      <c r="F1250" s="14"/>
      <c r="G1250" s="5"/>
      <c r="H1250" s="27"/>
      <c r="I1250" s="5"/>
      <c r="J1250" s="19" t="str">
        <f aca="false">IF(A1250="","",IFERROR(INDEX(Empresas!$D:$D,MATCH(A1250,Empresas!$A:$A,0))&amp;"","não consta"))</f>
        <v/>
      </c>
      <c r="K1250" s="19" t="str">
        <f aca="false">IF(A1250="","",IFERROR(INDEX(Sancoes!$B:$B,MATCH(A1250,Sancoes!$A:$A,0))&amp;"","não consta"))</f>
        <v/>
      </c>
      <c r="L1250" s="19" t="str">
        <f aca="false">IF(A1250="","",IFERROR(INDEX(Eleitoral!$B:$B,MATCH(A1250,Eleitoral!$A:$A,0))&amp;"","não consta"))</f>
        <v/>
      </c>
      <c r="M1250" s="28" t="str">
        <f aca="false">IF(A1250="","",IF(OR(AND(K1250&lt;&gt;"",LOWER(K1250)&lt;&gt;"não consta"),AND(L1250&lt;&gt;"",LOWER(L1250)&lt;&gt;"não consta"),IFERROR(INDEX(Empresas!$G:$G,MATCH(A1250,Empresas!$A:$A,0))&amp;"","")&lt;&gt;""),"SIM",""))</f>
        <v/>
      </c>
      <c r="N1250" s="5"/>
      <c r="O1250" s="32" t="str">
        <f aca="false">IF(D1250="","",YEAR(D1250))</f>
        <v/>
      </c>
      <c r="P1250" s="5"/>
    </row>
    <row r="1251" customFormat="false" ht="15" hidden="false" customHeight="false" outlineLevel="0" collapsed="false">
      <c r="A1251" s="27"/>
      <c r="B1251" s="5"/>
      <c r="C1251" s="35"/>
      <c r="D1251" s="18"/>
      <c r="E1251" s="5"/>
      <c r="F1251" s="14"/>
      <c r="G1251" s="5"/>
      <c r="H1251" s="27"/>
      <c r="I1251" s="5"/>
      <c r="J1251" s="19" t="str">
        <f aca="false">IF(A1251="","",IFERROR(INDEX(Empresas!$D:$D,MATCH(A1251,Empresas!$A:$A,0))&amp;"","não consta"))</f>
        <v/>
      </c>
      <c r="K1251" s="19" t="str">
        <f aca="false">IF(A1251="","",IFERROR(INDEX(Sancoes!$B:$B,MATCH(A1251,Sancoes!$A:$A,0))&amp;"","não consta"))</f>
        <v/>
      </c>
      <c r="L1251" s="19" t="str">
        <f aca="false">IF(A1251="","",IFERROR(INDEX(Eleitoral!$B:$B,MATCH(A1251,Eleitoral!$A:$A,0))&amp;"","não consta"))</f>
        <v/>
      </c>
      <c r="M1251" s="28" t="str">
        <f aca="false">IF(A1251="","",IF(OR(AND(K1251&lt;&gt;"",LOWER(K1251)&lt;&gt;"não consta"),AND(L1251&lt;&gt;"",LOWER(L1251)&lt;&gt;"não consta"),IFERROR(INDEX(Empresas!$G:$G,MATCH(A1251,Empresas!$A:$A,0))&amp;"","")&lt;&gt;""),"SIM",""))</f>
        <v/>
      </c>
      <c r="N1251" s="5"/>
      <c r="O1251" s="32" t="str">
        <f aca="false">IF(D1251="","",YEAR(D1251))</f>
        <v/>
      </c>
      <c r="P1251" s="5"/>
    </row>
    <row r="1252" customFormat="false" ht="15" hidden="false" customHeight="false" outlineLevel="0" collapsed="false">
      <c r="A1252" s="27"/>
      <c r="B1252" s="5"/>
      <c r="C1252" s="35"/>
      <c r="D1252" s="18"/>
      <c r="E1252" s="5"/>
      <c r="F1252" s="14"/>
      <c r="G1252" s="5"/>
      <c r="H1252" s="27"/>
      <c r="I1252" s="5"/>
      <c r="J1252" s="19" t="str">
        <f aca="false">IF(A1252="","",IFERROR(INDEX(Empresas!$D:$D,MATCH(A1252,Empresas!$A:$A,0))&amp;"","não consta"))</f>
        <v/>
      </c>
      <c r="K1252" s="19" t="str">
        <f aca="false">IF(A1252="","",IFERROR(INDEX(Sancoes!$B:$B,MATCH(A1252,Sancoes!$A:$A,0))&amp;"","não consta"))</f>
        <v/>
      </c>
      <c r="L1252" s="19" t="str">
        <f aca="false">IF(A1252="","",IFERROR(INDEX(Eleitoral!$B:$B,MATCH(A1252,Eleitoral!$A:$A,0))&amp;"","não consta"))</f>
        <v/>
      </c>
      <c r="M1252" s="28" t="str">
        <f aca="false">IF(A1252="","",IF(OR(AND(K1252&lt;&gt;"",LOWER(K1252)&lt;&gt;"não consta"),AND(L1252&lt;&gt;"",LOWER(L1252)&lt;&gt;"não consta"),IFERROR(INDEX(Empresas!$G:$G,MATCH(A1252,Empresas!$A:$A,0))&amp;"","")&lt;&gt;""),"SIM",""))</f>
        <v/>
      </c>
      <c r="N1252" s="5"/>
      <c r="O1252" s="32" t="str">
        <f aca="false">IF(D1252="","",YEAR(D1252))</f>
        <v/>
      </c>
      <c r="P1252" s="5"/>
    </row>
    <row r="1253" customFormat="false" ht="15" hidden="false" customHeight="false" outlineLevel="0" collapsed="false">
      <c r="A1253" s="27"/>
      <c r="B1253" s="5"/>
      <c r="C1253" s="35"/>
      <c r="D1253" s="18"/>
      <c r="E1253" s="5"/>
      <c r="F1253" s="14"/>
      <c r="G1253" s="5"/>
      <c r="H1253" s="27"/>
      <c r="I1253" s="5"/>
      <c r="J1253" s="19" t="str">
        <f aca="false">IF(A1253="","",IFERROR(INDEX(Empresas!$D:$D,MATCH(A1253,Empresas!$A:$A,0))&amp;"","não consta"))</f>
        <v/>
      </c>
      <c r="K1253" s="19" t="str">
        <f aca="false">IF(A1253="","",IFERROR(INDEX(Sancoes!$B:$B,MATCH(A1253,Sancoes!$A:$A,0))&amp;"","não consta"))</f>
        <v/>
      </c>
      <c r="L1253" s="19" t="str">
        <f aca="false">IF(A1253="","",IFERROR(INDEX(Eleitoral!$B:$B,MATCH(A1253,Eleitoral!$A:$A,0))&amp;"","não consta"))</f>
        <v/>
      </c>
      <c r="M1253" s="28" t="str">
        <f aca="false">IF(A1253="","",IF(OR(AND(K1253&lt;&gt;"",LOWER(K1253)&lt;&gt;"não consta"),AND(L1253&lt;&gt;"",LOWER(L1253)&lt;&gt;"não consta"),IFERROR(INDEX(Empresas!$G:$G,MATCH(A1253,Empresas!$A:$A,0))&amp;"","")&lt;&gt;""),"SIM",""))</f>
        <v/>
      </c>
      <c r="N1253" s="5"/>
      <c r="O1253" s="32" t="str">
        <f aca="false">IF(D1253="","",YEAR(D1253))</f>
        <v/>
      </c>
      <c r="P1253" s="5"/>
    </row>
    <row r="1254" customFormat="false" ht="15" hidden="false" customHeight="false" outlineLevel="0" collapsed="false">
      <c r="A1254" s="27"/>
      <c r="B1254" s="5"/>
      <c r="C1254" s="35"/>
      <c r="D1254" s="18"/>
      <c r="E1254" s="5"/>
      <c r="F1254" s="14"/>
      <c r="G1254" s="5"/>
      <c r="H1254" s="27"/>
      <c r="I1254" s="5"/>
      <c r="J1254" s="19" t="str">
        <f aca="false">IF(A1254="","",IFERROR(INDEX(Empresas!$D:$D,MATCH(A1254,Empresas!$A:$A,0))&amp;"","não consta"))</f>
        <v/>
      </c>
      <c r="K1254" s="19" t="str">
        <f aca="false">IF(A1254="","",IFERROR(INDEX(Sancoes!$B:$B,MATCH(A1254,Sancoes!$A:$A,0))&amp;"","não consta"))</f>
        <v/>
      </c>
      <c r="L1254" s="19" t="str">
        <f aca="false">IF(A1254="","",IFERROR(INDEX(Eleitoral!$B:$B,MATCH(A1254,Eleitoral!$A:$A,0))&amp;"","não consta"))</f>
        <v/>
      </c>
      <c r="M1254" s="28" t="str">
        <f aca="false">IF(A1254="","",IF(OR(AND(K1254&lt;&gt;"",LOWER(K1254)&lt;&gt;"não consta"),AND(L1254&lt;&gt;"",LOWER(L1254)&lt;&gt;"não consta"),IFERROR(INDEX(Empresas!$G:$G,MATCH(A1254,Empresas!$A:$A,0))&amp;"","")&lt;&gt;""),"SIM",""))</f>
        <v/>
      </c>
      <c r="N1254" s="5"/>
      <c r="O1254" s="32" t="str">
        <f aca="false">IF(D1254="","",YEAR(D1254))</f>
        <v/>
      </c>
      <c r="P1254" s="5"/>
    </row>
    <row r="1255" customFormat="false" ht="15" hidden="false" customHeight="false" outlineLevel="0" collapsed="false">
      <c r="A1255" s="27"/>
      <c r="B1255" s="5"/>
      <c r="C1255" s="35"/>
      <c r="D1255" s="18"/>
      <c r="E1255" s="5"/>
      <c r="F1255" s="14"/>
      <c r="G1255" s="5"/>
      <c r="H1255" s="27"/>
      <c r="I1255" s="5"/>
      <c r="J1255" s="19" t="str">
        <f aca="false">IF(A1255="","",IFERROR(INDEX(Empresas!$D:$D,MATCH(A1255,Empresas!$A:$A,0))&amp;"","não consta"))</f>
        <v/>
      </c>
      <c r="K1255" s="19" t="str">
        <f aca="false">IF(A1255="","",IFERROR(INDEX(Sancoes!$B:$B,MATCH(A1255,Sancoes!$A:$A,0))&amp;"","não consta"))</f>
        <v/>
      </c>
      <c r="L1255" s="19" t="str">
        <f aca="false">IF(A1255="","",IFERROR(INDEX(Eleitoral!$B:$B,MATCH(A1255,Eleitoral!$A:$A,0))&amp;"","não consta"))</f>
        <v/>
      </c>
      <c r="M1255" s="28" t="str">
        <f aca="false">IF(A1255="","",IF(OR(AND(K1255&lt;&gt;"",LOWER(K1255)&lt;&gt;"não consta"),AND(L1255&lt;&gt;"",LOWER(L1255)&lt;&gt;"não consta"),IFERROR(INDEX(Empresas!$G:$G,MATCH(A1255,Empresas!$A:$A,0))&amp;"","")&lt;&gt;""),"SIM",""))</f>
        <v/>
      </c>
      <c r="N1255" s="5"/>
      <c r="O1255" s="32" t="str">
        <f aca="false">IF(D1255="","",YEAR(D1255))</f>
        <v/>
      </c>
      <c r="P1255" s="5"/>
    </row>
    <row r="1256" customFormat="false" ht="15" hidden="false" customHeight="false" outlineLevel="0" collapsed="false">
      <c r="A1256" s="27"/>
      <c r="B1256" s="5"/>
      <c r="C1256" s="35"/>
      <c r="D1256" s="18"/>
      <c r="E1256" s="5"/>
      <c r="F1256" s="14"/>
      <c r="G1256" s="5"/>
      <c r="H1256" s="27"/>
      <c r="I1256" s="5"/>
      <c r="J1256" s="19" t="str">
        <f aca="false">IF(A1256="","",IFERROR(INDEX(Empresas!$D:$D,MATCH(A1256,Empresas!$A:$A,0))&amp;"","não consta"))</f>
        <v/>
      </c>
      <c r="K1256" s="19" t="str">
        <f aca="false">IF(A1256="","",IFERROR(INDEX(Sancoes!$B:$B,MATCH(A1256,Sancoes!$A:$A,0))&amp;"","não consta"))</f>
        <v/>
      </c>
      <c r="L1256" s="19" t="str">
        <f aca="false">IF(A1256="","",IFERROR(INDEX(Eleitoral!$B:$B,MATCH(A1256,Eleitoral!$A:$A,0))&amp;"","não consta"))</f>
        <v/>
      </c>
      <c r="M1256" s="28" t="str">
        <f aca="false">IF(A1256="","",IF(OR(AND(K1256&lt;&gt;"",LOWER(K1256)&lt;&gt;"não consta"),AND(L1256&lt;&gt;"",LOWER(L1256)&lt;&gt;"não consta"),IFERROR(INDEX(Empresas!$G:$G,MATCH(A1256,Empresas!$A:$A,0))&amp;"","")&lt;&gt;""),"SIM",""))</f>
        <v/>
      </c>
      <c r="N1256" s="5"/>
      <c r="O1256" s="32" t="str">
        <f aca="false">IF(D1256="","",YEAR(D1256))</f>
        <v/>
      </c>
      <c r="P1256" s="5"/>
    </row>
    <row r="1257" customFormat="false" ht="15" hidden="false" customHeight="false" outlineLevel="0" collapsed="false">
      <c r="A1257" s="27"/>
      <c r="B1257" s="5"/>
      <c r="C1257" s="35"/>
      <c r="D1257" s="18"/>
      <c r="E1257" s="5"/>
      <c r="F1257" s="14"/>
      <c r="G1257" s="5"/>
      <c r="H1257" s="27"/>
      <c r="I1257" s="5"/>
      <c r="J1257" s="19" t="str">
        <f aca="false">IF(A1257="","",IFERROR(INDEX(Empresas!$D:$D,MATCH(A1257,Empresas!$A:$A,0))&amp;"","não consta"))</f>
        <v/>
      </c>
      <c r="K1257" s="19" t="str">
        <f aca="false">IF(A1257="","",IFERROR(INDEX(Sancoes!$B:$B,MATCH(A1257,Sancoes!$A:$A,0))&amp;"","não consta"))</f>
        <v/>
      </c>
      <c r="L1257" s="19" t="str">
        <f aca="false">IF(A1257="","",IFERROR(INDEX(Eleitoral!$B:$B,MATCH(A1257,Eleitoral!$A:$A,0))&amp;"","não consta"))</f>
        <v/>
      </c>
      <c r="M1257" s="28" t="str">
        <f aca="false">IF(A1257="","",IF(OR(AND(K1257&lt;&gt;"",LOWER(K1257)&lt;&gt;"não consta"),AND(L1257&lt;&gt;"",LOWER(L1257)&lt;&gt;"não consta"),IFERROR(INDEX(Empresas!$G:$G,MATCH(A1257,Empresas!$A:$A,0))&amp;"","")&lt;&gt;""),"SIM",""))</f>
        <v/>
      </c>
      <c r="N1257" s="5"/>
      <c r="O1257" s="32" t="str">
        <f aca="false">IF(D1257="","",YEAR(D1257))</f>
        <v/>
      </c>
      <c r="P1257" s="5"/>
    </row>
    <row r="1258" customFormat="false" ht="15" hidden="false" customHeight="false" outlineLevel="0" collapsed="false">
      <c r="A1258" s="27"/>
      <c r="B1258" s="5"/>
      <c r="C1258" s="35"/>
      <c r="D1258" s="18"/>
      <c r="E1258" s="5"/>
      <c r="F1258" s="14"/>
      <c r="G1258" s="5"/>
      <c r="H1258" s="27"/>
      <c r="I1258" s="5"/>
      <c r="J1258" s="19" t="str">
        <f aca="false">IF(A1258="","",IFERROR(INDEX(Empresas!$D:$D,MATCH(A1258,Empresas!$A:$A,0))&amp;"","não consta"))</f>
        <v/>
      </c>
      <c r="K1258" s="19" t="str">
        <f aca="false">IF(A1258="","",IFERROR(INDEX(Sancoes!$B:$B,MATCH(A1258,Sancoes!$A:$A,0))&amp;"","não consta"))</f>
        <v/>
      </c>
      <c r="L1258" s="19" t="str">
        <f aca="false">IF(A1258="","",IFERROR(INDEX(Eleitoral!$B:$B,MATCH(A1258,Eleitoral!$A:$A,0))&amp;"","não consta"))</f>
        <v/>
      </c>
      <c r="M1258" s="28" t="str">
        <f aca="false">IF(A1258="","",IF(OR(AND(K1258&lt;&gt;"",LOWER(K1258)&lt;&gt;"não consta"),AND(L1258&lt;&gt;"",LOWER(L1258)&lt;&gt;"não consta"),IFERROR(INDEX(Empresas!$G:$G,MATCH(A1258,Empresas!$A:$A,0))&amp;"","")&lt;&gt;""),"SIM",""))</f>
        <v/>
      </c>
      <c r="N1258" s="5"/>
      <c r="O1258" s="32" t="str">
        <f aca="false">IF(D1258="","",YEAR(D1258))</f>
        <v/>
      </c>
      <c r="P1258" s="5"/>
    </row>
    <row r="1259" customFormat="false" ht="15" hidden="false" customHeight="false" outlineLevel="0" collapsed="false">
      <c r="A1259" s="27"/>
      <c r="B1259" s="5"/>
      <c r="C1259" s="35"/>
      <c r="D1259" s="18"/>
      <c r="E1259" s="5"/>
      <c r="F1259" s="14"/>
      <c r="G1259" s="5"/>
      <c r="H1259" s="27"/>
      <c r="I1259" s="5"/>
      <c r="J1259" s="19" t="str">
        <f aca="false">IF(A1259="","",IFERROR(INDEX(Empresas!$D:$D,MATCH(A1259,Empresas!$A:$A,0))&amp;"","não consta"))</f>
        <v/>
      </c>
      <c r="K1259" s="19" t="str">
        <f aca="false">IF(A1259="","",IFERROR(INDEX(Sancoes!$B:$B,MATCH(A1259,Sancoes!$A:$A,0))&amp;"","não consta"))</f>
        <v/>
      </c>
      <c r="L1259" s="19" t="str">
        <f aca="false">IF(A1259="","",IFERROR(INDEX(Eleitoral!$B:$B,MATCH(A1259,Eleitoral!$A:$A,0))&amp;"","não consta"))</f>
        <v/>
      </c>
      <c r="M1259" s="28" t="str">
        <f aca="false">IF(A1259="","",IF(OR(AND(K1259&lt;&gt;"",LOWER(K1259)&lt;&gt;"não consta"),AND(L1259&lt;&gt;"",LOWER(L1259)&lt;&gt;"não consta"),IFERROR(INDEX(Empresas!$G:$G,MATCH(A1259,Empresas!$A:$A,0))&amp;"","")&lt;&gt;""),"SIM",""))</f>
        <v/>
      </c>
      <c r="N1259" s="5"/>
      <c r="O1259" s="32" t="str">
        <f aca="false">IF(D1259="","",YEAR(D1259))</f>
        <v/>
      </c>
      <c r="P1259" s="5"/>
    </row>
    <row r="1260" customFormat="false" ht="15" hidden="false" customHeight="false" outlineLevel="0" collapsed="false">
      <c r="A1260" s="27"/>
      <c r="B1260" s="5"/>
      <c r="C1260" s="35"/>
      <c r="D1260" s="18"/>
      <c r="E1260" s="5"/>
      <c r="F1260" s="14"/>
      <c r="G1260" s="5"/>
      <c r="H1260" s="27"/>
      <c r="I1260" s="5"/>
      <c r="J1260" s="19" t="str">
        <f aca="false">IF(A1260="","",IFERROR(INDEX(Empresas!$D:$D,MATCH(A1260,Empresas!$A:$A,0))&amp;"","não consta"))</f>
        <v/>
      </c>
      <c r="K1260" s="19" t="str">
        <f aca="false">IF(A1260="","",IFERROR(INDEX(Sancoes!$B:$B,MATCH(A1260,Sancoes!$A:$A,0))&amp;"","não consta"))</f>
        <v/>
      </c>
      <c r="L1260" s="19" t="str">
        <f aca="false">IF(A1260="","",IFERROR(INDEX(Eleitoral!$B:$B,MATCH(A1260,Eleitoral!$A:$A,0))&amp;"","não consta"))</f>
        <v/>
      </c>
      <c r="M1260" s="28" t="str">
        <f aca="false">IF(A1260="","",IF(OR(AND(K1260&lt;&gt;"",LOWER(K1260)&lt;&gt;"não consta"),AND(L1260&lt;&gt;"",LOWER(L1260)&lt;&gt;"não consta"),IFERROR(INDEX(Empresas!$G:$G,MATCH(A1260,Empresas!$A:$A,0))&amp;"","")&lt;&gt;""),"SIM",""))</f>
        <v/>
      </c>
      <c r="N1260" s="5"/>
      <c r="O1260" s="32" t="str">
        <f aca="false">IF(D1260="","",YEAR(D1260))</f>
        <v/>
      </c>
      <c r="P1260" s="5"/>
    </row>
    <row r="1261" customFormat="false" ht="15" hidden="false" customHeight="false" outlineLevel="0" collapsed="false">
      <c r="A1261" s="27"/>
      <c r="B1261" s="5"/>
      <c r="C1261" s="35"/>
      <c r="D1261" s="18"/>
      <c r="E1261" s="5"/>
      <c r="F1261" s="14"/>
      <c r="G1261" s="5"/>
      <c r="H1261" s="27"/>
      <c r="I1261" s="5"/>
      <c r="J1261" s="19" t="str">
        <f aca="false">IF(A1261="","",IFERROR(INDEX(Empresas!$D:$D,MATCH(A1261,Empresas!$A:$A,0))&amp;"","não consta"))</f>
        <v/>
      </c>
      <c r="K1261" s="19" t="str">
        <f aca="false">IF(A1261="","",IFERROR(INDEX(Sancoes!$B:$B,MATCH(A1261,Sancoes!$A:$A,0))&amp;"","não consta"))</f>
        <v/>
      </c>
      <c r="L1261" s="19" t="str">
        <f aca="false">IF(A1261="","",IFERROR(INDEX(Eleitoral!$B:$B,MATCH(A1261,Eleitoral!$A:$A,0))&amp;"","não consta"))</f>
        <v/>
      </c>
      <c r="M1261" s="28" t="str">
        <f aca="false">IF(A1261="","",IF(OR(AND(K1261&lt;&gt;"",LOWER(K1261)&lt;&gt;"não consta"),AND(L1261&lt;&gt;"",LOWER(L1261)&lt;&gt;"não consta"),IFERROR(INDEX(Empresas!$G:$G,MATCH(A1261,Empresas!$A:$A,0))&amp;"","")&lt;&gt;""),"SIM",""))</f>
        <v/>
      </c>
      <c r="N1261" s="5"/>
      <c r="O1261" s="32" t="str">
        <f aca="false">IF(D1261="","",YEAR(D1261))</f>
        <v/>
      </c>
      <c r="P1261" s="5"/>
    </row>
    <row r="1262" customFormat="false" ht="15" hidden="false" customHeight="false" outlineLevel="0" collapsed="false">
      <c r="A1262" s="27"/>
      <c r="B1262" s="5"/>
      <c r="C1262" s="35"/>
      <c r="D1262" s="18"/>
      <c r="E1262" s="5"/>
      <c r="F1262" s="14"/>
      <c r="G1262" s="5"/>
      <c r="H1262" s="27"/>
      <c r="I1262" s="5"/>
      <c r="J1262" s="19" t="str">
        <f aca="false">IF(A1262="","",IFERROR(INDEX(Empresas!$D:$D,MATCH(A1262,Empresas!$A:$A,0))&amp;"","não consta"))</f>
        <v/>
      </c>
      <c r="K1262" s="19" t="str">
        <f aca="false">IF(A1262="","",IFERROR(INDEX(Sancoes!$B:$B,MATCH(A1262,Sancoes!$A:$A,0))&amp;"","não consta"))</f>
        <v/>
      </c>
      <c r="L1262" s="19" t="str">
        <f aca="false">IF(A1262="","",IFERROR(INDEX(Eleitoral!$B:$B,MATCH(A1262,Eleitoral!$A:$A,0))&amp;"","não consta"))</f>
        <v/>
      </c>
      <c r="M1262" s="28" t="str">
        <f aca="false">IF(A1262="","",IF(OR(AND(K1262&lt;&gt;"",LOWER(K1262)&lt;&gt;"não consta"),AND(L1262&lt;&gt;"",LOWER(L1262)&lt;&gt;"não consta"),IFERROR(INDEX(Empresas!$G:$G,MATCH(A1262,Empresas!$A:$A,0))&amp;"","")&lt;&gt;""),"SIM",""))</f>
        <v/>
      </c>
      <c r="N1262" s="5"/>
      <c r="O1262" s="32" t="str">
        <f aca="false">IF(D1262="","",YEAR(D1262))</f>
        <v/>
      </c>
      <c r="P1262" s="5"/>
    </row>
    <row r="1263" customFormat="false" ht="15" hidden="false" customHeight="false" outlineLevel="0" collapsed="false">
      <c r="A1263" s="27"/>
      <c r="B1263" s="5"/>
      <c r="C1263" s="35"/>
      <c r="D1263" s="18"/>
      <c r="E1263" s="5"/>
      <c r="F1263" s="14"/>
      <c r="G1263" s="5"/>
      <c r="H1263" s="27"/>
      <c r="I1263" s="5"/>
      <c r="J1263" s="19" t="str">
        <f aca="false">IF(A1263="","",IFERROR(INDEX(Empresas!$D:$D,MATCH(A1263,Empresas!$A:$A,0))&amp;"","não consta"))</f>
        <v/>
      </c>
      <c r="K1263" s="19" t="str">
        <f aca="false">IF(A1263="","",IFERROR(INDEX(Sancoes!$B:$B,MATCH(A1263,Sancoes!$A:$A,0))&amp;"","não consta"))</f>
        <v/>
      </c>
      <c r="L1263" s="19" t="str">
        <f aca="false">IF(A1263="","",IFERROR(INDEX(Eleitoral!$B:$B,MATCH(A1263,Eleitoral!$A:$A,0))&amp;"","não consta"))</f>
        <v/>
      </c>
      <c r="M1263" s="28" t="str">
        <f aca="false">IF(A1263="","",IF(OR(AND(K1263&lt;&gt;"",LOWER(K1263)&lt;&gt;"não consta"),AND(L1263&lt;&gt;"",LOWER(L1263)&lt;&gt;"não consta"),IFERROR(INDEX(Empresas!$G:$G,MATCH(A1263,Empresas!$A:$A,0))&amp;"","")&lt;&gt;""),"SIM",""))</f>
        <v/>
      </c>
      <c r="N1263" s="5"/>
      <c r="O1263" s="32" t="str">
        <f aca="false">IF(D1263="","",YEAR(D1263))</f>
        <v/>
      </c>
      <c r="P1263" s="5"/>
    </row>
    <row r="1264" customFormat="false" ht="15" hidden="false" customHeight="false" outlineLevel="0" collapsed="false">
      <c r="A1264" s="27"/>
      <c r="B1264" s="5"/>
      <c r="C1264" s="35"/>
      <c r="D1264" s="18"/>
      <c r="E1264" s="5"/>
      <c r="F1264" s="14"/>
      <c r="G1264" s="5"/>
      <c r="H1264" s="27"/>
      <c r="I1264" s="5"/>
      <c r="J1264" s="19" t="str">
        <f aca="false">IF(A1264="","",IFERROR(INDEX(Empresas!$D:$D,MATCH(A1264,Empresas!$A:$A,0))&amp;"","não consta"))</f>
        <v/>
      </c>
      <c r="K1264" s="19" t="str">
        <f aca="false">IF(A1264="","",IFERROR(INDEX(Sancoes!$B:$B,MATCH(A1264,Sancoes!$A:$A,0))&amp;"","não consta"))</f>
        <v/>
      </c>
      <c r="L1264" s="19" t="str">
        <f aca="false">IF(A1264="","",IFERROR(INDEX(Eleitoral!$B:$B,MATCH(A1264,Eleitoral!$A:$A,0))&amp;"","não consta"))</f>
        <v/>
      </c>
      <c r="M1264" s="28" t="str">
        <f aca="false">IF(A1264="","",IF(OR(AND(K1264&lt;&gt;"",LOWER(K1264)&lt;&gt;"não consta"),AND(L1264&lt;&gt;"",LOWER(L1264)&lt;&gt;"não consta"),IFERROR(INDEX(Empresas!$G:$G,MATCH(A1264,Empresas!$A:$A,0))&amp;"","")&lt;&gt;""),"SIM",""))</f>
        <v/>
      </c>
      <c r="N1264" s="5"/>
      <c r="O1264" s="32" t="str">
        <f aca="false">IF(D1264="","",YEAR(D1264))</f>
        <v/>
      </c>
      <c r="P1264" s="5"/>
    </row>
    <row r="1265" customFormat="false" ht="15" hidden="false" customHeight="false" outlineLevel="0" collapsed="false">
      <c r="A1265" s="27"/>
      <c r="B1265" s="5"/>
      <c r="C1265" s="35"/>
      <c r="D1265" s="18"/>
      <c r="E1265" s="5"/>
      <c r="F1265" s="14"/>
      <c r="G1265" s="5"/>
      <c r="H1265" s="27"/>
      <c r="I1265" s="5"/>
      <c r="J1265" s="19" t="str">
        <f aca="false">IF(A1265="","",IFERROR(INDEX(Empresas!$D:$D,MATCH(A1265,Empresas!$A:$A,0))&amp;"","não consta"))</f>
        <v/>
      </c>
      <c r="K1265" s="19" t="str">
        <f aca="false">IF(A1265="","",IFERROR(INDEX(Sancoes!$B:$B,MATCH(A1265,Sancoes!$A:$A,0))&amp;"","não consta"))</f>
        <v/>
      </c>
      <c r="L1265" s="19" t="str">
        <f aca="false">IF(A1265="","",IFERROR(INDEX(Eleitoral!$B:$B,MATCH(A1265,Eleitoral!$A:$A,0))&amp;"","não consta"))</f>
        <v/>
      </c>
      <c r="M1265" s="28" t="str">
        <f aca="false">IF(A1265="","",IF(OR(AND(K1265&lt;&gt;"",LOWER(K1265)&lt;&gt;"não consta"),AND(L1265&lt;&gt;"",LOWER(L1265)&lt;&gt;"não consta"),IFERROR(INDEX(Empresas!$G:$G,MATCH(A1265,Empresas!$A:$A,0))&amp;"","")&lt;&gt;""),"SIM",""))</f>
        <v/>
      </c>
      <c r="N1265" s="5"/>
      <c r="O1265" s="32" t="str">
        <f aca="false">IF(D1265="","",YEAR(D1265))</f>
        <v/>
      </c>
      <c r="P1265" s="5"/>
    </row>
    <row r="1266" customFormat="false" ht="15" hidden="false" customHeight="false" outlineLevel="0" collapsed="false">
      <c r="A1266" s="27"/>
      <c r="B1266" s="5"/>
      <c r="C1266" s="35"/>
      <c r="D1266" s="18"/>
      <c r="E1266" s="5"/>
      <c r="F1266" s="14"/>
      <c r="G1266" s="5"/>
      <c r="H1266" s="27"/>
      <c r="I1266" s="5"/>
      <c r="J1266" s="19" t="str">
        <f aca="false">IF(A1266="","",IFERROR(INDEX(Empresas!$D:$D,MATCH(A1266,Empresas!$A:$A,0))&amp;"","não consta"))</f>
        <v/>
      </c>
      <c r="K1266" s="19" t="str">
        <f aca="false">IF(A1266="","",IFERROR(INDEX(Sancoes!$B:$B,MATCH(A1266,Sancoes!$A:$A,0))&amp;"","não consta"))</f>
        <v/>
      </c>
      <c r="L1266" s="19" t="str">
        <f aca="false">IF(A1266="","",IFERROR(INDEX(Eleitoral!$B:$B,MATCH(A1266,Eleitoral!$A:$A,0))&amp;"","não consta"))</f>
        <v/>
      </c>
      <c r="M1266" s="28" t="str">
        <f aca="false">IF(A1266="","",IF(OR(AND(K1266&lt;&gt;"",LOWER(K1266)&lt;&gt;"não consta"),AND(L1266&lt;&gt;"",LOWER(L1266)&lt;&gt;"não consta"),IFERROR(INDEX(Empresas!$G:$G,MATCH(A1266,Empresas!$A:$A,0))&amp;"","")&lt;&gt;""),"SIM",""))</f>
        <v/>
      </c>
      <c r="N1266" s="5"/>
      <c r="O1266" s="32" t="str">
        <f aca="false">IF(D1266="","",YEAR(D1266))</f>
        <v/>
      </c>
      <c r="P1266" s="5"/>
    </row>
    <row r="1267" customFormat="false" ht="15" hidden="false" customHeight="false" outlineLevel="0" collapsed="false">
      <c r="A1267" s="27"/>
      <c r="B1267" s="5"/>
      <c r="C1267" s="35"/>
      <c r="D1267" s="18"/>
      <c r="E1267" s="5"/>
      <c r="F1267" s="14"/>
      <c r="G1267" s="5"/>
      <c r="H1267" s="27"/>
      <c r="I1267" s="5"/>
      <c r="J1267" s="19" t="str">
        <f aca="false">IF(A1267="","",IFERROR(INDEX(Empresas!$D:$D,MATCH(A1267,Empresas!$A:$A,0))&amp;"","não consta"))</f>
        <v/>
      </c>
      <c r="K1267" s="19" t="str">
        <f aca="false">IF(A1267="","",IFERROR(INDEX(Sancoes!$B:$B,MATCH(A1267,Sancoes!$A:$A,0))&amp;"","não consta"))</f>
        <v/>
      </c>
      <c r="L1267" s="19" t="str">
        <f aca="false">IF(A1267="","",IFERROR(INDEX(Eleitoral!$B:$B,MATCH(A1267,Eleitoral!$A:$A,0))&amp;"","não consta"))</f>
        <v/>
      </c>
      <c r="M1267" s="28" t="str">
        <f aca="false">IF(A1267="","",IF(OR(AND(K1267&lt;&gt;"",LOWER(K1267)&lt;&gt;"não consta"),AND(L1267&lt;&gt;"",LOWER(L1267)&lt;&gt;"não consta"),IFERROR(INDEX(Empresas!$G:$G,MATCH(A1267,Empresas!$A:$A,0))&amp;"","")&lt;&gt;""),"SIM",""))</f>
        <v/>
      </c>
      <c r="N1267" s="5"/>
      <c r="O1267" s="32" t="str">
        <f aca="false">IF(D1267="","",YEAR(D1267))</f>
        <v/>
      </c>
      <c r="P1267" s="5"/>
    </row>
    <row r="1268" customFormat="false" ht="15" hidden="false" customHeight="false" outlineLevel="0" collapsed="false">
      <c r="A1268" s="27"/>
      <c r="B1268" s="5"/>
      <c r="C1268" s="35"/>
      <c r="D1268" s="18"/>
      <c r="E1268" s="5"/>
      <c r="F1268" s="14"/>
      <c r="G1268" s="5"/>
      <c r="H1268" s="27"/>
      <c r="I1268" s="5"/>
      <c r="J1268" s="19" t="str">
        <f aca="false">IF(A1268="","",IFERROR(INDEX(Empresas!$D:$D,MATCH(A1268,Empresas!$A:$A,0))&amp;"","não consta"))</f>
        <v/>
      </c>
      <c r="K1268" s="19" t="str">
        <f aca="false">IF(A1268="","",IFERROR(INDEX(Sancoes!$B:$B,MATCH(A1268,Sancoes!$A:$A,0))&amp;"","não consta"))</f>
        <v/>
      </c>
      <c r="L1268" s="19" t="str">
        <f aca="false">IF(A1268="","",IFERROR(INDEX(Eleitoral!$B:$B,MATCH(A1268,Eleitoral!$A:$A,0))&amp;"","não consta"))</f>
        <v/>
      </c>
      <c r="M1268" s="28" t="str">
        <f aca="false">IF(A1268="","",IF(OR(AND(K1268&lt;&gt;"",LOWER(K1268)&lt;&gt;"não consta"),AND(L1268&lt;&gt;"",LOWER(L1268)&lt;&gt;"não consta"),IFERROR(INDEX(Empresas!$G:$G,MATCH(A1268,Empresas!$A:$A,0))&amp;"","")&lt;&gt;""),"SIM",""))</f>
        <v/>
      </c>
      <c r="N1268" s="5"/>
      <c r="O1268" s="32" t="str">
        <f aca="false">IF(D1268="","",YEAR(D1268))</f>
        <v/>
      </c>
      <c r="P1268" s="5"/>
    </row>
    <row r="1269" customFormat="false" ht="15" hidden="false" customHeight="false" outlineLevel="0" collapsed="false">
      <c r="A1269" s="27"/>
      <c r="B1269" s="5"/>
      <c r="C1269" s="35"/>
      <c r="D1269" s="18"/>
      <c r="E1269" s="5"/>
      <c r="F1269" s="14"/>
      <c r="G1269" s="5"/>
      <c r="H1269" s="27"/>
      <c r="I1269" s="5"/>
      <c r="J1269" s="19" t="str">
        <f aca="false">IF(A1269="","",IFERROR(INDEX(Empresas!$D:$D,MATCH(A1269,Empresas!$A:$A,0))&amp;"","não consta"))</f>
        <v/>
      </c>
      <c r="K1269" s="19" t="str">
        <f aca="false">IF(A1269="","",IFERROR(INDEX(Sancoes!$B:$B,MATCH(A1269,Sancoes!$A:$A,0))&amp;"","não consta"))</f>
        <v/>
      </c>
      <c r="L1269" s="19" t="str">
        <f aca="false">IF(A1269="","",IFERROR(INDEX(Eleitoral!$B:$B,MATCH(A1269,Eleitoral!$A:$A,0))&amp;"","não consta"))</f>
        <v/>
      </c>
      <c r="M1269" s="28" t="str">
        <f aca="false">IF(A1269="","",IF(OR(AND(K1269&lt;&gt;"",LOWER(K1269)&lt;&gt;"não consta"),AND(L1269&lt;&gt;"",LOWER(L1269)&lt;&gt;"não consta"),IFERROR(INDEX(Empresas!$G:$G,MATCH(A1269,Empresas!$A:$A,0))&amp;"","")&lt;&gt;""),"SIM",""))</f>
        <v/>
      </c>
      <c r="N1269" s="5"/>
      <c r="O1269" s="32" t="str">
        <f aca="false">IF(D1269="","",YEAR(D1269))</f>
        <v/>
      </c>
      <c r="P1269" s="5"/>
    </row>
    <row r="1270" customFormat="false" ht="15" hidden="false" customHeight="false" outlineLevel="0" collapsed="false">
      <c r="A1270" s="27"/>
      <c r="B1270" s="5"/>
      <c r="C1270" s="35"/>
      <c r="D1270" s="18"/>
      <c r="E1270" s="5"/>
      <c r="F1270" s="14"/>
      <c r="G1270" s="5"/>
      <c r="H1270" s="27"/>
      <c r="I1270" s="5"/>
      <c r="J1270" s="19" t="str">
        <f aca="false">IF(A1270="","",IFERROR(INDEX(Empresas!$D:$D,MATCH(A1270,Empresas!$A:$A,0))&amp;"","não consta"))</f>
        <v/>
      </c>
      <c r="K1270" s="19" t="str">
        <f aca="false">IF(A1270="","",IFERROR(INDEX(Sancoes!$B:$B,MATCH(A1270,Sancoes!$A:$A,0))&amp;"","não consta"))</f>
        <v/>
      </c>
      <c r="L1270" s="19" t="str">
        <f aca="false">IF(A1270="","",IFERROR(INDEX(Eleitoral!$B:$B,MATCH(A1270,Eleitoral!$A:$A,0))&amp;"","não consta"))</f>
        <v/>
      </c>
      <c r="M1270" s="28" t="str">
        <f aca="false">IF(A1270="","",IF(OR(AND(K1270&lt;&gt;"",LOWER(K1270)&lt;&gt;"não consta"),AND(L1270&lt;&gt;"",LOWER(L1270)&lt;&gt;"não consta"),IFERROR(INDEX(Empresas!$G:$G,MATCH(A1270,Empresas!$A:$A,0))&amp;"","")&lt;&gt;""),"SIM",""))</f>
        <v/>
      </c>
      <c r="N1270" s="5"/>
      <c r="O1270" s="32" t="str">
        <f aca="false">IF(D1270="","",YEAR(D1270))</f>
        <v/>
      </c>
      <c r="P1270" s="5"/>
    </row>
    <row r="1271" customFormat="false" ht="15" hidden="false" customHeight="false" outlineLevel="0" collapsed="false">
      <c r="A1271" s="27"/>
      <c r="B1271" s="5"/>
      <c r="C1271" s="35"/>
      <c r="D1271" s="18"/>
      <c r="E1271" s="5"/>
      <c r="F1271" s="14"/>
      <c r="G1271" s="5"/>
      <c r="H1271" s="27"/>
      <c r="I1271" s="5"/>
      <c r="J1271" s="19" t="str">
        <f aca="false">IF(A1271="","",IFERROR(INDEX(Empresas!$D:$D,MATCH(A1271,Empresas!$A:$A,0))&amp;"","não consta"))</f>
        <v/>
      </c>
      <c r="K1271" s="19" t="str">
        <f aca="false">IF(A1271="","",IFERROR(INDEX(Sancoes!$B:$B,MATCH(A1271,Sancoes!$A:$A,0))&amp;"","não consta"))</f>
        <v/>
      </c>
      <c r="L1271" s="19" t="str">
        <f aca="false">IF(A1271="","",IFERROR(INDEX(Eleitoral!$B:$B,MATCH(A1271,Eleitoral!$A:$A,0))&amp;"","não consta"))</f>
        <v/>
      </c>
      <c r="M1271" s="28" t="str">
        <f aca="false">IF(A1271="","",IF(OR(AND(K1271&lt;&gt;"",LOWER(K1271)&lt;&gt;"não consta"),AND(L1271&lt;&gt;"",LOWER(L1271)&lt;&gt;"não consta"),IFERROR(INDEX(Empresas!$G:$G,MATCH(A1271,Empresas!$A:$A,0))&amp;"","")&lt;&gt;""),"SIM",""))</f>
        <v/>
      </c>
      <c r="N1271" s="5"/>
      <c r="O1271" s="32" t="str">
        <f aca="false">IF(D1271="","",YEAR(D1271))</f>
        <v/>
      </c>
      <c r="P1271" s="5"/>
    </row>
    <row r="1272" customFormat="false" ht="15" hidden="false" customHeight="false" outlineLevel="0" collapsed="false">
      <c r="A1272" s="27"/>
      <c r="B1272" s="5"/>
      <c r="C1272" s="35"/>
      <c r="D1272" s="18"/>
      <c r="E1272" s="5"/>
      <c r="F1272" s="14"/>
      <c r="G1272" s="5"/>
      <c r="H1272" s="27"/>
      <c r="I1272" s="5"/>
      <c r="J1272" s="19" t="str">
        <f aca="false">IF(A1272="","",IFERROR(INDEX(Empresas!$D:$D,MATCH(A1272,Empresas!$A:$A,0))&amp;"","não consta"))</f>
        <v/>
      </c>
      <c r="K1272" s="19" t="str">
        <f aca="false">IF(A1272="","",IFERROR(INDEX(Sancoes!$B:$B,MATCH(A1272,Sancoes!$A:$A,0))&amp;"","não consta"))</f>
        <v/>
      </c>
      <c r="L1272" s="19" t="str">
        <f aca="false">IF(A1272="","",IFERROR(INDEX(Eleitoral!$B:$B,MATCH(A1272,Eleitoral!$A:$A,0))&amp;"","não consta"))</f>
        <v/>
      </c>
      <c r="M1272" s="28" t="str">
        <f aca="false">IF(A1272="","",IF(OR(AND(K1272&lt;&gt;"",LOWER(K1272)&lt;&gt;"não consta"),AND(L1272&lt;&gt;"",LOWER(L1272)&lt;&gt;"não consta"),IFERROR(INDEX(Empresas!$G:$G,MATCH(A1272,Empresas!$A:$A,0))&amp;"","")&lt;&gt;""),"SIM",""))</f>
        <v/>
      </c>
      <c r="N1272" s="5"/>
      <c r="O1272" s="32" t="str">
        <f aca="false">IF(D1272="","",YEAR(D1272))</f>
        <v/>
      </c>
      <c r="P1272" s="5"/>
    </row>
    <row r="1273" customFormat="false" ht="15" hidden="false" customHeight="false" outlineLevel="0" collapsed="false">
      <c r="A1273" s="27"/>
      <c r="B1273" s="5"/>
      <c r="C1273" s="35"/>
      <c r="D1273" s="18"/>
      <c r="E1273" s="5"/>
      <c r="F1273" s="14"/>
      <c r="G1273" s="5"/>
      <c r="H1273" s="27"/>
      <c r="I1273" s="5"/>
      <c r="J1273" s="19" t="str">
        <f aca="false">IF(A1273="","",IFERROR(INDEX(Empresas!$D:$D,MATCH(A1273,Empresas!$A:$A,0))&amp;"","não consta"))</f>
        <v/>
      </c>
      <c r="K1273" s="19" t="str">
        <f aca="false">IF(A1273="","",IFERROR(INDEX(Sancoes!$B:$B,MATCH(A1273,Sancoes!$A:$A,0))&amp;"","não consta"))</f>
        <v/>
      </c>
      <c r="L1273" s="19" t="str">
        <f aca="false">IF(A1273="","",IFERROR(INDEX(Eleitoral!$B:$B,MATCH(A1273,Eleitoral!$A:$A,0))&amp;"","não consta"))</f>
        <v/>
      </c>
      <c r="M1273" s="28" t="str">
        <f aca="false">IF(A1273="","",IF(OR(AND(K1273&lt;&gt;"",LOWER(K1273)&lt;&gt;"não consta"),AND(L1273&lt;&gt;"",LOWER(L1273)&lt;&gt;"não consta"),IFERROR(INDEX(Empresas!$G:$G,MATCH(A1273,Empresas!$A:$A,0))&amp;"","")&lt;&gt;""),"SIM",""))</f>
        <v/>
      </c>
      <c r="N1273" s="5"/>
      <c r="O1273" s="32" t="str">
        <f aca="false">IF(D1273="","",YEAR(D1273))</f>
        <v/>
      </c>
      <c r="P1273" s="5"/>
    </row>
    <row r="1274" customFormat="false" ht="15" hidden="false" customHeight="false" outlineLevel="0" collapsed="false">
      <c r="A1274" s="27"/>
      <c r="B1274" s="5"/>
      <c r="C1274" s="35"/>
      <c r="D1274" s="18"/>
      <c r="E1274" s="5"/>
      <c r="F1274" s="14"/>
      <c r="G1274" s="5"/>
      <c r="H1274" s="27"/>
      <c r="I1274" s="5"/>
      <c r="J1274" s="19" t="str">
        <f aca="false">IF(A1274="","",IFERROR(INDEX(Empresas!$D:$D,MATCH(A1274,Empresas!$A:$A,0))&amp;"","não consta"))</f>
        <v/>
      </c>
      <c r="K1274" s="19" t="str">
        <f aca="false">IF(A1274="","",IFERROR(INDEX(Sancoes!$B:$B,MATCH(A1274,Sancoes!$A:$A,0))&amp;"","não consta"))</f>
        <v/>
      </c>
      <c r="L1274" s="19" t="str">
        <f aca="false">IF(A1274="","",IFERROR(INDEX(Eleitoral!$B:$B,MATCH(A1274,Eleitoral!$A:$A,0))&amp;"","não consta"))</f>
        <v/>
      </c>
      <c r="M1274" s="28" t="str">
        <f aca="false">IF(A1274="","",IF(OR(AND(K1274&lt;&gt;"",LOWER(K1274)&lt;&gt;"não consta"),AND(L1274&lt;&gt;"",LOWER(L1274)&lt;&gt;"não consta"),IFERROR(INDEX(Empresas!$G:$G,MATCH(A1274,Empresas!$A:$A,0))&amp;"","")&lt;&gt;""),"SIM",""))</f>
        <v/>
      </c>
      <c r="N1274" s="5"/>
      <c r="O1274" s="32" t="str">
        <f aca="false">IF(D1274="","",YEAR(D1274))</f>
        <v/>
      </c>
      <c r="P1274" s="5"/>
    </row>
    <row r="1275" customFormat="false" ht="15" hidden="false" customHeight="false" outlineLevel="0" collapsed="false">
      <c r="A1275" s="27"/>
      <c r="B1275" s="5"/>
      <c r="C1275" s="35"/>
      <c r="D1275" s="18"/>
      <c r="E1275" s="5"/>
      <c r="F1275" s="14"/>
      <c r="G1275" s="5"/>
      <c r="H1275" s="27"/>
      <c r="I1275" s="5"/>
      <c r="J1275" s="19" t="str">
        <f aca="false">IF(A1275="","",IFERROR(INDEX(Empresas!$D:$D,MATCH(A1275,Empresas!$A:$A,0))&amp;"","não consta"))</f>
        <v/>
      </c>
      <c r="K1275" s="19" t="str">
        <f aca="false">IF(A1275="","",IFERROR(INDEX(Sancoes!$B:$B,MATCH(A1275,Sancoes!$A:$A,0))&amp;"","não consta"))</f>
        <v/>
      </c>
      <c r="L1275" s="19" t="str">
        <f aca="false">IF(A1275="","",IFERROR(INDEX(Eleitoral!$B:$B,MATCH(A1275,Eleitoral!$A:$A,0))&amp;"","não consta"))</f>
        <v/>
      </c>
      <c r="M1275" s="28" t="str">
        <f aca="false">IF(A1275="","",IF(OR(AND(K1275&lt;&gt;"",LOWER(K1275)&lt;&gt;"não consta"),AND(L1275&lt;&gt;"",LOWER(L1275)&lt;&gt;"não consta"),IFERROR(INDEX(Empresas!$G:$G,MATCH(A1275,Empresas!$A:$A,0))&amp;"","")&lt;&gt;""),"SIM",""))</f>
        <v/>
      </c>
      <c r="N1275" s="5"/>
      <c r="O1275" s="32" t="str">
        <f aca="false">IF(D1275="","",YEAR(D1275))</f>
        <v/>
      </c>
      <c r="P1275" s="5"/>
    </row>
    <row r="1276" customFormat="false" ht="15" hidden="false" customHeight="false" outlineLevel="0" collapsed="false">
      <c r="A1276" s="27"/>
      <c r="B1276" s="5"/>
      <c r="C1276" s="35"/>
      <c r="D1276" s="18"/>
      <c r="E1276" s="5"/>
      <c r="F1276" s="14"/>
      <c r="G1276" s="5"/>
      <c r="H1276" s="27"/>
      <c r="I1276" s="5"/>
      <c r="J1276" s="19" t="str">
        <f aca="false">IF(A1276="","",IFERROR(INDEX(Empresas!$D:$D,MATCH(A1276,Empresas!$A:$A,0))&amp;"","não consta"))</f>
        <v/>
      </c>
      <c r="K1276" s="19" t="str">
        <f aca="false">IF(A1276="","",IFERROR(INDEX(Sancoes!$B:$B,MATCH(A1276,Sancoes!$A:$A,0))&amp;"","não consta"))</f>
        <v/>
      </c>
      <c r="L1276" s="19" t="str">
        <f aca="false">IF(A1276="","",IFERROR(INDEX(Eleitoral!$B:$B,MATCH(A1276,Eleitoral!$A:$A,0))&amp;"","não consta"))</f>
        <v/>
      </c>
      <c r="M1276" s="28" t="str">
        <f aca="false">IF(A1276="","",IF(OR(AND(K1276&lt;&gt;"",LOWER(K1276)&lt;&gt;"não consta"),AND(L1276&lt;&gt;"",LOWER(L1276)&lt;&gt;"não consta"),IFERROR(INDEX(Empresas!$G:$G,MATCH(A1276,Empresas!$A:$A,0))&amp;"","")&lt;&gt;""),"SIM",""))</f>
        <v/>
      </c>
      <c r="N1276" s="5"/>
      <c r="O1276" s="32" t="str">
        <f aca="false">IF(D1276="","",YEAR(D1276))</f>
        <v/>
      </c>
      <c r="P1276" s="5"/>
    </row>
    <row r="1277" customFormat="false" ht="15" hidden="false" customHeight="false" outlineLevel="0" collapsed="false">
      <c r="A1277" s="27"/>
      <c r="B1277" s="5"/>
      <c r="C1277" s="35"/>
      <c r="D1277" s="18"/>
      <c r="E1277" s="5"/>
      <c r="F1277" s="14"/>
      <c r="G1277" s="5"/>
      <c r="H1277" s="27"/>
      <c r="I1277" s="5"/>
      <c r="J1277" s="19" t="str">
        <f aca="false">IF(A1277="","",IFERROR(INDEX(Empresas!$D:$D,MATCH(A1277,Empresas!$A:$A,0))&amp;"","não consta"))</f>
        <v/>
      </c>
      <c r="K1277" s="19" t="str">
        <f aca="false">IF(A1277="","",IFERROR(INDEX(Sancoes!$B:$B,MATCH(A1277,Sancoes!$A:$A,0))&amp;"","não consta"))</f>
        <v/>
      </c>
      <c r="L1277" s="19" t="str">
        <f aca="false">IF(A1277="","",IFERROR(INDEX(Eleitoral!$B:$B,MATCH(A1277,Eleitoral!$A:$A,0))&amp;"","não consta"))</f>
        <v/>
      </c>
      <c r="M1277" s="28" t="str">
        <f aca="false">IF(A1277="","",IF(OR(AND(K1277&lt;&gt;"",LOWER(K1277)&lt;&gt;"não consta"),AND(L1277&lt;&gt;"",LOWER(L1277)&lt;&gt;"não consta"),IFERROR(INDEX(Empresas!$G:$G,MATCH(A1277,Empresas!$A:$A,0))&amp;"","")&lt;&gt;""),"SIM",""))</f>
        <v/>
      </c>
      <c r="N1277" s="5"/>
      <c r="O1277" s="32" t="str">
        <f aca="false">IF(D1277="","",YEAR(D1277))</f>
        <v/>
      </c>
      <c r="P1277" s="5"/>
    </row>
    <row r="1278" customFormat="false" ht="15" hidden="false" customHeight="false" outlineLevel="0" collapsed="false">
      <c r="A1278" s="27"/>
      <c r="B1278" s="5"/>
      <c r="C1278" s="35"/>
      <c r="D1278" s="18"/>
      <c r="E1278" s="5"/>
      <c r="F1278" s="14"/>
      <c r="G1278" s="5"/>
      <c r="H1278" s="27"/>
      <c r="I1278" s="5"/>
      <c r="J1278" s="19" t="str">
        <f aca="false">IF(A1278="","",IFERROR(INDEX(Empresas!$D:$D,MATCH(A1278,Empresas!$A:$A,0))&amp;"","não consta"))</f>
        <v/>
      </c>
      <c r="K1278" s="19" t="str">
        <f aca="false">IF(A1278="","",IFERROR(INDEX(Sancoes!$B:$B,MATCH(A1278,Sancoes!$A:$A,0))&amp;"","não consta"))</f>
        <v/>
      </c>
      <c r="L1278" s="19" t="str">
        <f aca="false">IF(A1278="","",IFERROR(INDEX(Eleitoral!$B:$B,MATCH(A1278,Eleitoral!$A:$A,0))&amp;"","não consta"))</f>
        <v/>
      </c>
      <c r="M1278" s="28" t="str">
        <f aca="false">IF(A1278="","",IF(OR(AND(K1278&lt;&gt;"",LOWER(K1278)&lt;&gt;"não consta"),AND(L1278&lt;&gt;"",LOWER(L1278)&lt;&gt;"não consta"),IFERROR(INDEX(Empresas!$G:$G,MATCH(A1278,Empresas!$A:$A,0))&amp;"","")&lt;&gt;""),"SIM",""))</f>
        <v/>
      </c>
      <c r="N1278" s="5"/>
      <c r="O1278" s="32" t="str">
        <f aca="false">IF(D1278="","",YEAR(D1278))</f>
        <v/>
      </c>
      <c r="P1278" s="5"/>
    </row>
    <row r="1279" customFormat="false" ht="15" hidden="false" customHeight="false" outlineLevel="0" collapsed="false">
      <c r="A1279" s="27"/>
      <c r="B1279" s="5"/>
      <c r="C1279" s="35"/>
      <c r="D1279" s="18"/>
      <c r="E1279" s="5"/>
      <c r="F1279" s="14"/>
      <c r="G1279" s="5"/>
      <c r="H1279" s="27"/>
      <c r="I1279" s="5"/>
      <c r="J1279" s="19" t="str">
        <f aca="false">IF(A1279="","",IFERROR(INDEX(Empresas!$D:$D,MATCH(A1279,Empresas!$A:$A,0))&amp;"","não consta"))</f>
        <v/>
      </c>
      <c r="K1279" s="19" t="str">
        <f aca="false">IF(A1279="","",IFERROR(INDEX(Sancoes!$B:$B,MATCH(A1279,Sancoes!$A:$A,0))&amp;"","não consta"))</f>
        <v/>
      </c>
      <c r="L1279" s="19" t="str">
        <f aca="false">IF(A1279="","",IFERROR(INDEX(Eleitoral!$B:$B,MATCH(A1279,Eleitoral!$A:$A,0))&amp;"","não consta"))</f>
        <v/>
      </c>
      <c r="M1279" s="28" t="str">
        <f aca="false">IF(A1279="","",IF(OR(AND(K1279&lt;&gt;"",LOWER(K1279)&lt;&gt;"não consta"),AND(L1279&lt;&gt;"",LOWER(L1279)&lt;&gt;"não consta"),IFERROR(INDEX(Empresas!$G:$G,MATCH(A1279,Empresas!$A:$A,0))&amp;"","")&lt;&gt;""),"SIM",""))</f>
        <v/>
      </c>
      <c r="N1279" s="5"/>
      <c r="O1279" s="32" t="str">
        <f aca="false">IF(D1279="","",YEAR(D1279))</f>
        <v/>
      </c>
      <c r="P1279" s="5"/>
    </row>
    <row r="1280" customFormat="false" ht="15" hidden="false" customHeight="false" outlineLevel="0" collapsed="false">
      <c r="A1280" s="27"/>
      <c r="B1280" s="5"/>
      <c r="C1280" s="35"/>
      <c r="D1280" s="18"/>
      <c r="E1280" s="5"/>
      <c r="F1280" s="14"/>
      <c r="G1280" s="5"/>
      <c r="H1280" s="27"/>
      <c r="I1280" s="5"/>
      <c r="J1280" s="19" t="str">
        <f aca="false">IF(A1280="","",IFERROR(INDEX(Empresas!$D:$D,MATCH(A1280,Empresas!$A:$A,0))&amp;"","não consta"))</f>
        <v/>
      </c>
      <c r="K1280" s="19" t="str">
        <f aca="false">IF(A1280="","",IFERROR(INDEX(Sancoes!$B:$B,MATCH(A1280,Sancoes!$A:$A,0))&amp;"","não consta"))</f>
        <v/>
      </c>
      <c r="L1280" s="19" t="str">
        <f aca="false">IF(A1280="","",IFERROR(INDEX(Eleitoral!$B:$B,MATCH(A1280,Eleitoral!$A:$A,0))&amp;"","não consta"))</f>
        <v/>
      </c>
      <c r="M1280" s="28" t="str">
        <f aca="false">IF(A1280="","",IF(OR(AND(K1280&lt;&gt;"",LOWER(K1280)&lt;&gt;"não consta"),AND(L1280&lt;&gt;"",LOWER(L1280)&lt;&gt;"não consta"),IFERROR(INDEX(Empresas!$G:$G,MATCH(A1280,Empresas!$A:$A,0))&amp;"","")&lt;&gt;""),"SIM",""))</f>
        <v/>
      </c>
      <c r="N1280" s="5"/>
      <c r="O1280" s="32" t="str">
        <f aca="false">IF(D1280="","",YEAR(D1280))</f>
        <v/>
      </c>
      <c r="P1280" s="5"/>
    </row>
    <row r="1281" customFormat="false" ht="15" hidden="false" customHeight="false" outlineLevel="0" collapsed="false">
      <c r="A1281" s="27"/>
      <c r="B1281" s="5"/>
      <c r="C1281" s="35"/>
      <c r="D1281" s="18"/>
      <c r="E1281" s="5"/>
      <c r="F1281" s="14"/>
      <c r="G1281" s="5"/>
      <c r="H1281" s="27"/>
      <c r="I1281" s="5"/>
      <c r="J1281" s="19" t="str">
        <f aca="false">IF(A1281="","",IFERROR(INDEX(Empresas!$D:$D,MATCH(A1281,Empresas!$A:$A,0))&amp;"","não consta"))</f>
        <v/>
      </c>
      <c r="K1281" s="19" t="str">
        <f aca="false">IF(A1281="","",IFERROR(INDEX(Sancoes!$B:$B,MATCH(A1281,Sancoes!$A:$A,0))&amp;"","não consta"))</f>
        <v/>
      </c>
      <c r="L1281" s="19" t="str">
        <f aca="false">IF(A1281="","",IFERROR(INDEX(Eleitoral!$B:$B,MATCH(A1281,Eleitoral!$A:$A,0))&amp;"","não consta"))</f>
        <v/>
      </c>
      <c r="M1281" s="28" t="str">
        <f aca="false">IF(A1281="","",IF(OR(AND(K1281&lt;&gt;"",LOWER(K1281)&lt;&gt;"não consta"),AND(L1281&lt;&gt;"",LOWER(L1281)&lt;&gt;"não consta"),IFERROR(INDEX(Empresas!$G:$G,MATCH(A1281,Empresas!$A:$A,0))&amp;"","")&lt;&gt;""),"SIM",""))</f>
        <v/>
      </c>
      <c r="N1281" s="5"/>
      <c r="O1281" s="32" t="str">
        <f aca="false">IF(D1281="","",YEAR(D1281))</f>
        <v/>
      </c>
      <c r="P1281" s="5"/>
    </row>
    <row r="1282" customFormat="false" ht="15" hidden="false" customHeight="false" outlineLevel="0" collapsed="false">
      <c r="A1282" s="27"/>
      <c r="B1282" s="5"/>
      <c r="C1282" s="35"/>
      <c r="D1282" s="18"/>
      <c r="E1282" s="5"/>
      <c r="F1282" s="14"/>
      <c r="G1282" s="5"/>
      <c r="H1282" s="27"/>
      <c r="I1282" s="5"/>
      <c r="J1282" s="19" t="str">
        <f aca="false">IF(A1282="","",IFERROR(INDEX(Empresas!$D:$D,MATCH(A1282,Empresas!$A:$A,0))&amp;"","não consta"))</f>
        <v/>
      </c>
      <c r="K1282" s="19" t="str">
        <f aca="false">IF(A1282="","",IFERROR(INDEX(Sancoes!$B:$B,MATCH(A1282,Sancoes!$A:$A,0))&amp;"","não consta"))</f>
        <v/>
      </c>
      <c r="L1282" s="19" t="str">
        <f aca="false">IF(A1282="","",IFERROR(INDEX(Eleitoral!$B:$B,MATCH(A1282,Eleitoral!$A:$A,0))&amp;"","não consta"))</f>
        <v/>
      </c>
      <c r="M1282" s="28" t="str">
        <f aca="false">IF(A1282="","",IF(OR(AND(K1282&lt;&gt;"",LOWER(K1282)&lt;&gt;"não consta"),AND(L1282&lt;&gt;"",LOWER(L1282)&lt;&gt;"não consta"),IFERROR(INDEX(Empresas!$G:$G,MATCH(A1282,Empresas!$A:$A,0))&amp;"","")&lt;&gt;""),"SIM",""))</f>
        <v/>
      </c>
      <c r="N1282" s="5"/>
      <c r="O1282" s="32" t="str">
        <f aca="false">IF(D1282="","",YEAR(D1282))</f>
        <v/>
      </c>
      <c r="P1282" s="5"/>
    </row>
    <row r="1283" customFormat="false" ht="15" hidden="false" customHeight="false" outlineLevel="0" collapsed="false">
      <c r="A1283" s="27"/>
      <c r="B1283" s="5"/>
      <c r="C1283" s="35"/>
      <c r="D1283" s="18"/>
      <c r="E1283" s="5"/>
      <c r="F1283" s="14"/>
      <c r="G1283" s="5"/>
      <c r="H1283" s="27"/>
      <c r="I1283" s="5"/>
      <c r="J1283" s="19" t="str">
        <f aca="false">IF(A1283="","",IFERROR(INDEX(Empresas!$D:$D,MATCH(A1283,Empresas!$A:$A,0))&amp;"","não consta"))</f>
        <v/>
      </c>
      <c r="K1283" s="19" t="str">
        <f aca="false">IF(A1283="","",IFERROR(INDEX(Sancoes!$B:$B,MATCH(A1283,Sancoes!$A:$A,0))&amp;"","não consta"))</f>
        <v/>
      </c>
      <c r="L1283" s="19" t="str">
        <f aca="false">IF(A1283="","",IFERROR(INDEX(Eleitoral!$B:$B,MATCH(A1283,Eleitoral!$A:$A,0))&amp;"","não consta"))</f>
        <v/>
      </c>
      <c r="M1283" s="28" t="str">
        <f aca="false">IF(A1283="","",IF(OR(AND(K1283&lt;&gt;"",LOWER(K1283)&lt;&gt;"não consta"),AND(L1283&lt;&gt;"",LOWER(L1283)&lt;&gt;"não consta"),IFERROR(INDEX(Empresas!$G:$G,MATCH(A1283,Empresas!$A:$A,0))&amp;"","")&lt;&gt;""),"SIM",""))</f>
        <v/>
      </c>
      <c r="N1283" s="5"/>
      <c r="O1283" s="32" t="str">
        <f aca="false">IF(D1283="","",YEAR(D1283))</f>
        <v/>
      </c>
      <c r="P1283" s="5"/>
    </row>
    <row r="1284" customFormat="false" ht="15" hidden="false" customHeight="false" outlineLevel="0" collapsed="false">
      <c r="A1284" s="27"/>
      <c r="B1284" s="5"/>
      <c r="C1284" s="35"/>
      <c r="D1284" s="18"/>
      <c r="E1284" s="5"/>
      <c r="F1284" s="14"/>
      <c r="G1284" s="5"/>
      <c r="H1284" s="27"/>
      <c r="I1284" s="5"/>
      <c r="J1284" s="19" t="str">
        <f aca="false">IF(A1284="","",IFERROR(INDEX(Empresas!$D:$D,MATCH(A1284,Empresas!$A:$A,0))&amp;"","não consta"))</f>
        <v/>
      </c>
      <c r="K1284" s="19" t="str">
        <f aca="false">IF(A1284="","",IFERROR(INDEX(Sancoes!$B:$B,MATCH(A1284,Sancoes!$A:$A,0))&amp;"","não consta"))</f>
        <v/>
      </c>
      <c r="L1284" s="19" t="str">
        <f aca="false">IF(A1284="","",IFERROR(INDEX(Eleitoral!$B:$B,MATCH(A1284,Eleitoral!$A:$A,0))&amp;"","não consta"))</f>
        <v/>
      </c>
      <c r="M1284" s="28" t="str">
        <f aca="false">IF(A1284="","",IF(OR(AND(K1284&lt;&gt;"",LOWER(K1284)&lt;&gt;"não consta"),AND(L1284&lt;&gt;"",LOWER(L1284)&lt;&gt;"não consta"),IFERROR(INDEX(Empresas!$G:$G,MATCH(A1284,Empresas!$A:$A,0))&amp;"","")&lt;&gt;""),"SIM",""))</f>
        <v/>
      </c>
      <c r="N1284" s="5"/>
      <c r="O1284" s="32" t="str">
        <f aca="false">IF(D1284="","",YEAR(D1284))</f>
        <v/>
      </c>
      <c r="P1284" s="5"/>
    </row>
    <row r="1285" customFormat="false" ht="15" hidden="false" customHeight="false" outlineLevel="0" collapsed="false">
      <c r="A1285" s="27"/>
      <c r="B1285" s="5"/>
      <c r="C1285" s="35"/>
      <c r="D1285" s="18"/>
      <c r="E1285" s="5"/>
      <c r="F1285" s="14"/>
      <c r="G1285" s="5"/>
      <c r="H1285" s="27"/>
      <c r="I1285" s="5"/>
      <c r="J1285" s="19" t="str">
        <f aca="false">IF(A1285="","",IFERROR(INDEX(Empresas!$D:$D,MATCH(A1285,Empresas!$A:$A,0))&amp;"","não consta"))</f>
        <v/>
      </c>
      <c r="K1285" s="19" t="str">
        <f aca="false">IF(A1285="","",IFERROR(INDEX(Sancoes!$B:$B,MATCH(A1285,Sancoes!$A:$A,0))&amp;"","não consta"))</f>
        <v/>
      </c>
      <c r="L1285" s="19" t="str">
        <f aca="false">IF(A1285="","",IFERROR(INDEX(Eleitoral!$B:$B,MATCH(A1285,Eleitoral!$A:$A,0))&amp;"","não consta"))</f>
        <v/>
      </c>
      <c r="M1285" s="28" t="str">
        <f aca="false">IF(A1285="","",IF(OR(AND(K1285&lt;&gt;"",LOWER(K1285)&lt;&gt;"não consta"),AND(L1285&lt;&gt;"",LOWER(L1285)&lt;&gt;"não consta"),IFERROR(INDEX(Empresas!$G:$G,MATCH(A1285,Empresas!$A:$A,0))&amp;"","")&lt;&gt;""),"SIM",""))</f>
        <v/>
      </c>
      <c r="N1285" s="5"/>
      <c r="O1285" s="32" t="str">
        <f aca="false">IF(D1285="","",YEAR(D1285))</f>
        <v/>
      </c>
      <c r="P1285" s="5"/>
    </row>
    <row r="1286" customFormat="false" ht="15" hidden="false" customHeight="false" outlineLevel="0" collapsed="false">
      <c r="A1286" s="27"/>
      <c r="B1286" s="5"/>
      <c r="C1286" s="35"/>
      <c r="D1286" s="18"/>
      <c r="E1286" s="5"/>
      <c r="F1286" s="14"/>
      <c r="G1286" s="5"/>
      <c r="H1286" s="27"/>
      <c r="I1286" s="5"/>
      <c r="J1286" s="19" t="str">
        <f aca="false">IF(A1286="","",IFERROR(INDEX(Empresas!$D:$D,MATCH(A1286,Empresas!$A:$A,0))&amp;"","não consta"))</f>
        <v/>
      </c>
      <c r="K1286" s="19" t="str">
        <f aca="false">IF(A1286="","",IFERROR(INDEX(Sancoes!$B:$B,MATCH(A1286,Sancoes!$A:$A,0))&amp;"","não consta"))</f>
        <v/>
      </c>
      <c r="L1286" s="19" t="str">
        <f aca="false">IF(A1286="","",IFERROR(INDEX(Eleitoral!$B:$B,MATCH(A1286,Eleitoral!$A:$A,0))&amp;"","não consta"))</f>
        <v/>
      </c>
      <c r="M1286" s="28" t="str">
        <f aca="false">IF(A1286="","",IF(OR(AND(K1286&lt;&gt;"",LOWER(K1286)&lt;&gt;"não consta"),AND(L1286&lt;&gt;"",LOWER(L1286)&lt;&gt;"não consta"),IFERROR(INDEX(Empresas!$G:$G,MATCH(A1286,Empresas!$A:$A,0))&amp;"","")&lt;&gt;""),"SIM",""))</f>
        <v/>
      </c>
      <c r="N1286" s="5"/>
      <c r="O1286" s="32" t="str">
        <f aca="false">IF(D1286="","",YEAR(D1286))</f>
        <v/>
      </c>
      <c r="P1286" s="5"/>
    </row>
    <row r="1287" customFormat="false" ht="15" hidden="false" customHeight="false" outlineLevel="0" collapsed="false">
      <c r="A1287" s="27"/>
      <c r="B1287" s="5"/>
      <c r="C1287" s="35"/>
      <c r="D1287" s="18"/>
      <c r="E1287" s="5"/>
      <c r="F1287" s="14"/>
      <c r="G1287" s="5"/>
      <c r="H1287" s="27"/>
      <c r="I1287" s="5"/>
      <c r="J1287" s="19" t="str">
        <f aca="false">IF(A1287="","",IFERROR(INDEX(Empresas!$D:$D,MATCH(A1287,Empresas!$A:$A,0))&amp;"","não consta"))</f>
        <v/>
      </c>
      <c r="K1287" s="19" t="str">
        <f aca="false">IF(A1287="","",IFERROR(INDEX(Sancoes!$B:$B,MATCH(A1287,Sancoes!$A:$A,0))&amp;"","não consta"))</f>
        <v/>
      </c>
      <c r="L1287" s="19" t="str">
        <f aca="false">IF(A1287="","",IFERROR(INDEX(Eleitoral!$B:$B,MATCH(A1287,Eleitoral!$A:$A,0))&amp;"","não consta"))</f>
        <v/>
      </c>
      <c r="M1287" s="28" t="str">
        <f aca="false">IF(A1287="","",IF(OR(AND(K1287&lt;&gt;"",LOWER(K1287)&lt;&gt;"não consta"),AND(L1287&lt;&gt;"",LOWER(L1287)&lt;&gt;"não consta"),IFERROR(INDEX(Empresas!$G:$G,MATCH(A1287,Empresas!$A:$A,0))&amp;"","")&lt;&gt;""),"SIM",""))</f>
        <v/>
      </c>
      <c r="N1287" s="5"/>
      <c r="O1287" s="32" t="str">
        <f aca="false">IF(D1287="","",YEAR(D1287))</f>
        <v/>
      </c>
      <c r="P1287" s="5"/>
    </row>
    <row r="1288" customFormat="false" ht="15" hidden="false" customHeight="false" outlineLevel="0" collapsed="false">
      <c r="A1288" s="27"/>
      <c r="B1288" s="5"/>
      <c r="C1288" s="35"/>
      <c r="D1288" s="18"/>
      <c r="E1288" s="5"/>
      <c r="F1288" s="14"/>
      <c r="G1288" s="5"/>
      <c r="H1288" s="27"/>
      <c r="I1288" s="5"/>
      <c r="J1288" s="19" t="str">
        <f aca="false">IF(A1288="","",IFERROR(INDEX(Empresas!$D:$D,MATCH(A1288,Empresas!$A:$A,0))&amp;"","não consta"))</f>
        <v/>
      </c>
      <c r="K1288" s="19" t="str">
        <f aca="false">IF(A1288="","",IFERROR(INDEX(Sancoes!$B:$B,MATCH(A1288,Sancoes!$A:$A,0))&amp;"","não consta"))</f>
        <v/>
      </c>
      <c r="L1288" s="19" t="str">
        <f aca="false">IF(A1288="","",IFERROR(INDEX(Eleitoral!$B:$B,MATCH(A1288,Eleitoral!$A:$A,0))&amp;"","não consta"))</f>
        <v/>
      </c>
      <c r="M1288" s="28" t="str">
        <f aca="false">IF(A1288="","",IF(OR(AND(K1288&lt;&gt;"",LOWER(K1288)&lt;&gt;"não consta"),AND(L1288&lt;&gt;"",LOWER(L1288)&lt;&gt;"não consta"),IFERROR(INDEX(Empresas!$G:$G,MATCH(A1288,Empresas!$A:$A,0))&amp;"","")&lt;&gt;""),"SIM",""))</f>
        <v/>
      </c>
      <c r="N1288" s="5"/>
      <c r="O1288" s="32" t="str">
        <f aca="false">IF(D1288="","",YEAR(D1288))</f>
        <v/>
      </c>
      <c r="P1288" s="5"/>
    </row>
    <row r="1289" customFormat="false" ht="15" hidden="false" customHeight="false" outlineLevel="0" collapsed="false">
      <c r="A1289" s="27"/>
      <c r="B1289" s="5"/>
      <c r="C1289" s="35"/>
      <c r="D1289" s="18"/>
      <c r="E1289" s="5"/>
      <c r="F1289" s="14"/>
      <c r="G1289" s="5"/>
      <c r="H1289" s="27"/>
      <c r="I1289" s="5"/>
      <c r="J1289" s="19" t="str">
        <f aca="false">IF(A1289="","",IFERROR(INDEX(Empresas!$D:$D,MATCH(A1289,Empresas!$A:$A,0))&amp;"","não consta"))</f>
        <v/>
      </c>
      <c r="K1289" s="19" t="str">
        <f aca="false">IF(A1289="","",IFERROR(INDEX(Sancoes!$B:$B,MATCH(A1289,Sancoes!$A:$A,0))&amp;"","não consta"))</f>
        <v/>
      </c>
      <c r="L1289" s="19" t="str">
        <f aca="false">IF(A1289="","",IFERROR(INDEX(Eleitoral!$B:$B,MATCH(A1289,Eleitoral!$A:$A,0))&amp;"","não consta"))</f>
        <v/>
      </c>
      <c r="M1289" s="28" t="str">
        <f aca="false">IF(A1289="","",IF(OR(AND(K1289&lt;&gt;"",LOWER(K1289)&lt;&gt;"não consta"),AND(L1289&lt;&gt;"",LOWER(L1289)&lt;&gt;"não consta"),IFERROR(INDEX(Empresas!$G:$G,MATCH(A1289,Empresas!$A:$A,0))&amp;"","")&lt;&gt;""),"SIM",""))</f>
        <v/>
      </c>
      <c r="N1289" s="5"/>
      <c r="O1289" s="32" t="str">
        <f aca="false">IF(D1289="","",YEAR(D1289))</f>
        <v/>
      </c>
      <c r="P1289" s="5"/>
    </row>
    <row r="1290" customFormat="false" ht="15" hidden="false" customHeight="false" outlineLevel="0" collapsed="false">
      <c r="A1290" s="27"/>
      <c r="B1290" s="5"/>
      <c r="C1290" s="35"/>
      <c r="D1290" s="18"/>
      <c r="E1290" s="5"/>
      <c r="F1290" s="14"/>
      <c r="G1290" s="5"/>
      <c r="H1290" s="27"/>
      <c r="I1290" s="5"/>
      <c r="J1290" s="19" t="str">
        <f aca="false">IF(A1290="","",IFERROR(INDEX(Empresas!$D:$D,MATCH(A1290,Empresas!$A:$A,0))&amp;"","não consta"))</f>
        <v/>
      </c>
      <c r="K1290" s="19" t="str">
        <f aca="false">IF(A1290="","",IFERROR(INDEX(Sancoes!$B:$B,MATCH(A1290,Sancoes!$A:$A,0))&amp;"","não consta"))</f>
        <v/>
      </c>
      <c r="L1290" s="19" t="str">
        <f aca="false">IF(A1290="","",IFERROR(INDEX(Eleitoral!$B:$B,MATCH(A1290,Eleitoral!$A:$A,0))&amp;"","não consta"))</f>
        <v/>
      </c>
      <c r="M1290" s="28" t="str">
        <f aca="false">IF(A1290="","",IF(OR(AND(K1290&lt;&gt;"",LOWER(K1290)&lt;&gt;"não consta"),AND(L1290&lt;&gt;"",LOWER(L1290)&lt;&gt;"não consta"),IFERROR(INDEX(Empresas!$G:$G,MATCH(A1290,Empresas!$A:$A,0))&amp;"","")&lt;&gt;""),"SIM",""))</f>
        <v/>
      </c>
      <c r="N1290" s="5"/>
      <c r="O1290" s="32" t="str">
        <f aca="false">IF(D1290="","",YEAR(D1290))</f>
        <v/>
      </c>
      <c r="P1290" s="5"/>
    </row>
    <row r="1291" customFormat="false" ht="15" hidden="false" customHeight="false" outlineLevel="0" collapsed="false">
      <c r="A1291" s="27"/>
      <c r="B1291" s="5"/>
      <c r="C1291" s="35"/>
      <c r="D1291" s="18"/>
      <c r="E1291" s="5"/>
      <c r="F1291" s="14"/>
      <c r="G1291" s="5"/>
      <c r="H1291" s="27"/>
      <c r="I1291" s="5"/>
      <c r="J1291" s="19" t="str">
        <f aca="false">IF(A1291="","",IFERROR(INDEX(Empresas!$D:$D,MATCH(A1291,Empresas!$A:$A,0))&amp;"","não consta"))</f>
        <v/>
      </c>
      <c r="K1291" s="19" t="str">
        <f aca="false">IF(A1291="","",IFERROR(INDEX(Sancoes!$B:$B,MATCH(A1291,Sancoes!$A:$A,0))&amp;"","não consta"))</f>
        <v/>
      </c>
      <c r="L1291" s="19" t="str">
        <f aca="false">IF(A1291="","",IFERROR(INDEX(Eleitoral!$B:$B,MATCH(A1291,Eleitoral!$A:$A,0))&amp;"","não consta"))</f>
        <v/>
      </c>
      <c r="M1291" s="28" t="str">
        <f aca="false">IF(A1291="","",IF(OR(AND(K1291&lt;&gt;"",LOWER(K1291)&lt;&gt;"não consta"),AND(L1291&lt;&gt;"",LOWER(L1291)&lt;&gt;"não consta"),IFERROR(INDEX(Empresas!$G:$G,MATCH(A1291,Empresas!$A:$A,0))&amp;"","")&lt;&gt;""),"SIM",""))</f>
        <v/>
      </c>
      <c r="N1291" s="5"/>
      <c r="O1291" s="32" t="str">
        <f aca="false">IF(D1291="","",YEAR(D1291))</f>
        <v/>
      </c>
      <c r="P1291" s="5"/>
    </row>
    <row r="1292" customFormat="false" ht="15" hidden="false" customHeight="false" outlineLevel="0" collapsed="false">
      <c r="A1292" s="27"/>
      <c r="B1292" s="5"/>
      <c r="C1292" s="35"/>
      <c r="D1292" s="18"/>
      <c r="E1292" s="5"/>
      <c r="F1292" s="14"/>
      <c r="G1292" s="5"/>
      <c r="H1292" s="27"/>
      <c r="I1292" s="5"/>
      <c r="J1292" s="19" t="str">
        <f aca="false">IF(A1292="","",IFERROR(INDEX(Empresas!$D:$D,MATCH(A1292,Empresas!$A:$A,0))&amp;"","não consta"))</f>
        <v/>
      </c>
      <c r="K1292" s="19" t="str">
        <f aca="false">IF(A1292="","",IFERROR(INDEX(Sancoes!$B:$B,MATCH(A1292,Sancoes!$A:$A,0))&amp;"","não consta"))</f>
        <v/>
      </c>
      <c r="L1292" s="19" t="str">
        <f aca="false">IF(A1292="","",IFERROR(INDEX(Eleitoral!$B:$B,MATCH(A1292,Eleitoral!$A:$A,0))&amp;"","não consta"))</f>
        <v/>
      </c>
      <c r="M1292" s="28" t="str">
        <f aca="false">IF(A1292="","",IF(OR(AND(K1292&lt;&gt;"",LOWER(K1292)&lt;&gt;"não consta"),AND(L1292&lt;&gt;"",LOWER(L1292)&lt;&gt;"não consta"),IFERROR(INDEX(Empresas!$G:$G,MATCH(A1292,Empresas!$A:$A,0))&amp;"","")&lt;&gt;""),"SIM",""))</f>
        <v/>
      </c>
      <c r="N1292" s="5"/>
      <c r="O1292" s="32" t="str">
        <f aca="false">IF(D1292="","",YEAR(D1292))</f>
        <v/>
      </c>
      <c r="P1292" s="5"/>
    </row>
    <row r="1293" customFormat="false" ht="15" hidden="false" customHeight="false" outlineLevel="0" collapsed="false">
      <c r="A1293" s="27"/>
      <c r="B1293" s="5"/>
      <c r="C1293" s="35"/>
      <c r="D1293" s="18"/>
      <c r="E1293" s="5"/>
      <c r="F1293" s="14"/>
      <c r="G1293" s="5"/>
      <c r="H1293" s="27"/>
      <c r="I1293" s="5"/>
      <c r="J1293" s="19" t="str">
        <f aca="false">IF(A1293="","",IFERROR(INDEX(Empresas!$D:$D,MATCH(A1293,Empresas!$A:$A,0))&amp;"","não consta"))</f>
        <v/>
      </c>
      <c r="K1293" s="19" t="str">
        <f aca="false">IF(A1293="","",IFERROR(INDEX(Sancoes!$B:$B,MATCH(A1293,Sancoes!$A:$A,0))&amp;"","não consta"))</f>
        <v/>
      </c>
      <c r="L1293" s="19" t="str">
        <f aca="false">IF(A1293="","",IFERROR(INDEX(Eleitoral!$B:$B,MATCH(A1293,Eleitoral!$A:$A,0))&amp;"","não consta"))</f>
        <v/>
      </c>
      <c r="M1293" s="28" t="str">
        <f aca="false">IF(A1293="","",IF(OR(AND(K1293&lt;&gt;"",LOWER(K1293)&lt;&gt;"não consta"),AND(L1293&lt;&gt;"",LOWER(L1293)&lt;&gt;"não consta"),IFERROR(INDEX(Empresas!$G:$G,MATCH(A1293,Empresas!$A:$A,0))&amp;"","")&lt;&gt;""),"SIM",""))</f>
        <v/>
      </c>
      <c r="N1293" s="5"/>
      <c r="O1293" s="32" t="str">
        <f aca="false">IF(D1293="","",YEAR(D1293))</f>
        <v/>
      </c>
      <c r="P1293" s="5"/>
    </row>
    <row r="1294" customFormat="false" ht="15" hidden="false" customHeight="false" outlineLevel="0" collapsed="false">
      <c r="A1294" s="27"/>
      <c r="B1294" s="5"/>
      <c r="C1294" s="35"/>
      <c r="D1294" s="18"/>
      <c r="E1294" s="5"/>
      <c r="F1294" s="14"/>
      <c r="G1294" s="5"/>
      <c r="H1294" s="27"/>
      <c r="I1294" s="5"/>
      <c r="J1294" s="19" t="str">
        <f aca="false">IF(A1294="","",IFERROR(INDEX(Empresas!$D:$D,MATCH(A1294,Empresas!$A:$A,0))&amp;"","não consta"))</f>
        <v/>
      </c>
      <c r="K1294" s="19" t="str">
        <f aca="false">IF(A1294="","",IFERROR(INDEX(Sancoes!$B:$B,MATCH(A1294,Sancoes!$A:$A,0))&amp;"","não consta"))</f>
        <v/>
      </c>
      <c r="L1294" s="19" t="str">
        <f aca="false">IF(A1294="","",IFERROR(INDEX(Eleitoral!$B:$B,MATCH(A1294,Eleitoral!$A:$A,0))&amp;"","não consta"))</f>
        <v/>
      </c>
      <c r="M1294" s="28" t="str">
        <f aca="false">IF(A1294="","",IF(OR(AND(K1294&lt;&gt;"",LOWER(K1294)&lt;&gt;"não consta"),AND(L1294&lt;&gt;"",LOWER(L1294)&lt;&gt;"não consta"),IFERROR(INDEX(Empresas!$G:$G,MATCH(A1294,Empresas!$A:$A,0))&amp;"","")&lt;&gt;""),"SIM",""))</f>
        <v/>
      </c>
      <c r="N1294" s="5"/>
      <c r="O1294" s="32" t="str">
        <f aca="false">IF(D1294="","",YEAR(D1294))</f>
        <v/>
      </c>
      <c r="P1294" s="5"/>
    </row>
    <row r="1295" customFormat="false" ht="15" hidden="false" customHeight="false" outlineLevel="0" collapsed="false">
      <c r="A1295" s="27"/>
      <c r="B1295" s="5"/>
      <c r="C1295" s="35"/>
      <c r="D1295" s="18"/>
      <c r="E1295" s="5"/>
      <c r="F1295" s="14"/>
      <c r="G1295" s="5"/>
      <c r="H1295" s="27"/>
      <c r="I1295" s="5"/>
      <c r="J1295" s="19" t="str">
        <f aca="false">IF(A1295="","",IFERROR(INDEX(Empresas!$D:$D,MATCH(A1295,Empresas!$A:$A,0))&amp;"","não consta"))</f>
        <v/>
      </c>
      <c r="K1295" s="19" t="str">
        <f aca="false">IF(A1295="","",IFERROR(INDEX(Sancoes!$B:$B,MATCH(A1295,Sancoes!$A:$A,0))&amp;"","não consta"))</f>
        <v/>
      </c>
      <c r="L1295" s="19" t="str">
        <f aca="false">IF(A1295="","",IFERROR(INDEX(Eleitoral!$B:$B,MATCH(A1295,Eleitoral!$A:$A,0))&amp;"","não consta"))</f>
        <v/>
      </c>
      <c r="M1295" s="28" t="str">
        <f aca="false">IF(A1295="","",IF(OR(AND(K1295&lt;&gt;"",LOWER(K1295)&lt;&gt;"não consta"),AND(L1295&lt;&gt;"",LOWER(L1295)&lt;&gt;"não consta"),IFERROR(INDEX(Empresas!$G:$G,MATCH(A1295,Empresas!$A:$A,0))&amp;"","")&lt;&gt;""),"SIM",""))</f>
        <v/>
      </c>
      <c r="N1295" s="5"/>
      <c r="O1295" s="32" t="str">
        <f aca="false">IF(D1295="","",YEAR(D1295))</f>
        <v/>
      </c>
      <c r="P1295" s="5"/>
    </row>
    <row r="1296" customFormat="false" ht="15" hidden="false" customHeight="false" outlineLevel="0" collapsed="false">
      <c r="A1296" s="27"/>
      <c r="B1296" s="5"/>
      <c r="C1296" s="35"/>
      <c r="D1296" s="18"/>
      <c r="E1296" s="5"/>
      <c r="F1296" s="14"/>
      <c r="G1296" s="5"/>
      <c r="H1296" s="27"/>
      <c r="I1296" s="5"/>
      <c r="J1296" s="19" t="str">
        <f aca="false">IF(A1296="","",IFERROR(INDEX(Empresas!$D:$D,MATCH(A1296,Empresas!$A:$A,0))&amp;"","não consta"))</f>
        <v/>
      </c>
      <c r="K1296" s="19" t="str">
        <f aca="false">IF(A1296="","",IFERROR(INDEX(Sancoes!$B:$B,MATCH(A1296,Sancoes!$A:$A,0))&amp;"","não consta"))</f>
        <v/>
      </c>
      <c r="L1296" s="19" t="str">
        <f aca="false">IF(A1296="","",IFERROR(INDEX(Eleitoral!$B:$B,MATCH(A1296,Eleitoral!$A:$A,0))&amp;"","não consta"))</f>
        <v/>
      </c>
      <c r="M1296" s="28" t="str">
        <f aca="false">IF(A1296="","",IF(OR(AND(K1296&lt;&gt;"",LOWER(K1296)&lt;&gt;"não consta"),AND(L1296&lt;&gt;"",LOWER(L1296)&lt;&gt;"não consta"),IFERROR(INDEX(Empresas!$G:$G,MATCH(A1296,Empresas!$A:$A,0))&amp;"","")&lt;&gt;""),"SIM",""))</f>
        <v/>
      </c>
      <c r="N1296" s="5"/>
      <c r="O1296" s="32" t="str">
        <f aca="false">IF(D1296="","",YEAR(D1296))</f>
        <v/>
      </c>
      <c r="P1296" s="5"/>
    </row>
    <row r="1297" customFormat="false" ht="15" hidden="false" customHeight="false" outlineLevel="0" collapsed="false">
      <c r="A1297" s="27"/>
      <c r="B1297" s="5"/>
      <c r="C1297" s="35"/>
      <c r="D1297" s="18"/>
      <c r="E1297" s="5"/>
      <c r="F1297" s="14"/>
      <c r="G1297" s="5"/>
      <c r="H1297" s="27"/>
      <c r="I1297" s="5"/>
      <c r="J1297" s="19" t="str">
        <f aca="false">IF(A1297="","",IFERROR(INDEX(Empresas!$D:$D,MATCH(A1297,Empresas!$A:$A,0))&amp;"","não consta"))</f>
        <v/>
      </c>
      <c r="K1297" s="19" t="str">
        <f aca="false">IF(A1297="","",IFERROR(INDEX(Sancoes!$B:$B,MATCH(A1297,Sancoes!$A:$A,0))&amp;"","não consta"))</f>
        <v/>
      </c>
      <c r="L1297" s="19" t="str">
        <f aca="false">IF(A1297="","",IFERROR(INDEX(Eleitoral!$B:$B,MATCH(A1297,Eleitoral!$A:$A,0))&amp;"","não consta"))</f>
        <v/>
      </c>
      <c r="M1297" s="28" t="str">
        <f aca="false">IF(A1297="","",IF(OR(AND(K1297&lt;&gt;"",LOWER(K1297)&lt;&gt;"não consta"),AND(L1297&lt;&gt;"",LOWER(L1297)&lt;&gt;"não consta"),IFERROR(INDEX(Empresas!$G:$G,MATCH(A1297,Empresas!$A:$A,0))&amp;"","")&lt;&gt;""),"SIM",""))</f>
        <v/>
      </c>
      <c r="N1297" s="5"/>
      <c r="O1297" s="32" t="str">
        <f aca="false">IF(D1297="","",YEAR(D1297))</f>
        <v/>
      </c>
      <c r="P1297" s="5"/>
    </row>
    <row r="1298" customFormat="false" ht="15" hidden="false" customHeight="false" outlineLevel="0" collapsed="false">
      <c r="A1298" s="27"/>
      <c r="B1298" s="5"/>
      <c r="C1298" s="35"/>
      <c r="D1298" s="18"/>
      <c r="E1298" s="5"/>
      <c r="F1298" s="14"/>
      <c r="G1298" s="5"/>
      <c r="H1298" s="27"/>
      <c r="I1298" s="5"/>
      <c r="J1298" s="19" t="str">
        <f aca="false">IF(A1298="","",IFERROR(INDEX(Empresas!$D:$D,MATCH(A1298,Empresas!$A:$A,0))&amp;"","não consta"))</f>
        <v/>
      </c>
      <c r="K1298" s="19" t="str">
        <f aca="false">IF(A1298="","",IFERROR(INDEX(Sancoes!$B:$B,MATCH(A1298,Sancoes!$A:$A,0))&amp;"","não consta"))</f>
        <v/>
      </c>
      <c r="L1298" s="19" t="str">
        <f aca="false">IF(A1298="","",IFERROR(INDEX(Eleitoral!$B:$B,MATCH(A1298,Eleitoral!$A:$A,0))&amp;"","não consta"))</f>
        <v/>
      </c>
      <c r="M1298" s="28" t="str">
        <f aca="false">IF(A1298="","",IF(OR(AND(K1298&lt;&gt;"",LOWER(K1298)&lt;&gt;"não consta"),AND(L1298&lt;&gt;"",LOWER(L1298)&lt;&gt;"não consta"),IFERROR(INDEX(Empresas!$G:$G,MATCH(A1298,Empresas!$A:$A,0))&amp;"","")&lt;&gt;""),"SIM",""))</f>
        <v/>
      </c>
      <c r="N1298" s="5"/>
      <c r="O1298" s="32" t="str">
        <f aca="false">IF(D1298="","",YEAR(D1298))</f>
        <v/>
      </c>
      <c r="P1298" s="5"/>
    </row>
    <row r="1299" customFormat="false" ht="15" hidden="false" customHeight="false" outlineLevel="0" collapsed="false">
      <c r="A1299" s="27"/>
      <c r="B1299" s="5"/>
      <c r="C1299" s="35"/>
      <c r="D1299" s="18"/>
      <c r="E1299" s="5"/>
      <c r="F1299" s="14"/>
      <c r="G1299" s="5"/>
      <c r="H1299" s="27"/>
      <c r="I1299" s="5"/>
      <c r="J1299" s="19" t="str">
        <f aca="false">IF(A1299="","",IFERROR(INDEX(Empresas!$D:$D,MATCH(A1299,Empresas!$A:$A,0))&amp;"","não consta"))</f>
        <v/>
      </c>
      <c r="K1299" s="19" t="str">
        <f aca="false">IF(A1299="","",IFERROR(INDEX(Sancoes!$B:$B,MATCH(A1299,Sancoes!$A:$A,0))&amp;"","não consta"))</f>
        <v/>
      </c>
      <c r="L1299" s="19" t="str">
        <f aca="false">IF(A1299="","",IFERROR(INDEX(Eleitoral!$B:$B,MATCH(A1299,Eleitoral!$A:$A,0))&amp;"","não consta"))</f>
        <v/>
      </c>
      <c r="M1299" s="28" t="str">
        <f aca="false">IF(A1299="","",IF(OR(AND(K1299&lt;&gt;"",LOWER(K1299)&lt;&gt;"não consta"),AND(L1299&lt;&gt;"",LOWER(L1299)&lt;&gt;"não consta"),IFERROR(INDEX(Empresas!$G:$G,MATCH(A1299,Empresas!$A:$A,0))&amp;"","")&lt;&gt;""),"SIM",""))</f>
        <v/>
      </c>
      <c r="N1299" s="5"/>
      <c r="O1299" s="32" t="str">
        <f aca="false">IF(D1299="","",YEAR(D1299))</f>
        <v/>
      </c>
      <c r="P1299" s="5"/>
    </row>
    <row r="1300" customFormat="false" ht="15" hidden="false" customHeight="false" outlineLevel="0" collapsed="false">
      <c r="A1300" s="27"/>
      <c r="B1300" s="5"/>
      <c r="C1300" s="35"/>
      <c r="D1300" s="18"/>
      <c r="E1300" s="5"/>
      <c r="F1300" s="14"/>
      <c r="G1300" s="5"/>
      <c r="H1300" s="27"/>
      <c r="I1300" s="5"/>
      <c r="J1300" s="19" t="str">
        <f aca="false">IF(A1300="","",IFERROR(INDEX(Empresas!$D:$D,MATCH(A1300,Empresas!$A:$A,0))&amp;"","não consta"))</f>
        <v/>
      </c>
      <c r="K1300" s="19" t="str">
        <f aca="false">IF(A1300="","",IFERROR(INDEX(Sancoes!$B:$B,MATCH(A1300,Sancoes!$A:$A,0))&amp;"","não consta"))</f>
        <v/>
      </c>
      <c r="L1300" s="19" t="str">
        <f aca="false">IF(A1300="","",IFERROR(INDEX(Eleitoral!$B:$B,MATCH(A1300,Eleitoral!$A:$A,0))&amp;"","não consta"))</f>
        <v/>
      </c>
      <c r="M1300" s="28" t="str">
        <f aca="false">IF(A1300="","",IF(OR(AND(K1300&lt;&gt;"",LOWER(K1300)&lt;&gt;"não consta"),AND(L1300&lt;&gt;"",LOWER(L1300)&lt;&gt;"não consta"),IFERROR(INDEX(Empresas!$G:$G,MATCH(A1300,Empresas!$A:$A,0))&amp;"","")&lt;&gt;""),"SIM",""))</f>
        <v/>
      </c>
      <c r="N1300" s="5"/>
      <c r="O1300" s="32" t="str">
        <f aca="false">IF(D1300="","",YEAR(D1300))</f>
        <v/>
      </c>
      <c r="P1300" s="5"/>
    </row>
    <row r="1301" customFormat="false" ht="15" hidden="false" customHeight="false" outlineLevel="0" collapsed="false">
      <c r="A1301" s="27"/>
      <c r="B1301" s="5"/>
      <c r="C1301" s="35"/>
      <c r="D1301" s="18"/>
      <c r="E1301" s="5"/>
      <c r="F1301" s="14"/>
      <c r="G1301" s="5"/>
      <c r="H1301" s="27"/>
      <c r="I1301" s="5"/>
      <c r="J1301" s="19" t="str">
        <f aca="false">IF(A1301="","",IFERROR(INDEX(Empresas!$D:$D,MATCH(A1301,Empresas!$A:$A,0))&amp;"","não consta"))</f>
        <v/>
      </c>
      <c r="K1301" s="19" t="str">
        <f aca="false">IF(A1301="","",IFERROR(INDEX(Sancoes!$B:$B,MATCH(A1301,Sancoes!$A:$A,0))&amp;"","não consta"))</f>
        <v/>
      </c>
      <c r="L1301" s="19" t="str">
        <f aca="false">IF(A1301="","",IFERROR(INDEX(Eleitoral!$B:$B,MATCH(A1301,Eleitoral!$A:$A,0))&amp;"","não consta"))</f>
        <v/>
      </c>
      <c r="M1301" s="28" t="str">
        <f aca="false">IF(A1301="","",IF(OR(AND(K1301&lt;&gt;"",LOWER(K1301)&lt;&gt;"não consta"),AND(L1301&lt;&gt;"",LOWER(L1301)&lt;&gt;"não consta"),IFERROR(INDEX(Empresas!$G:$G,MATCH(A1301,Empresas!$A:$A,0))&amp;"","")&lt;&gt;""),"SIM",""))</f>
        <v/>
      </c>
      <c r="N1301" s="5"/>
      <c r="O1301" s="32" t="str">
        <f aca="false">IF(D1301="","",YEAR(D1301))</f>
        <v/>
      </c>
      <c r="P1301" s="5"/>
    </row>
    <row r="1302" customFormat="false" ht="15" hidden="false" customHeight="false" outlineLevel="0" collapsed="false">
      <c r="A1302" s="27"/>
      <c r="B1302" s="5"/>
      <c r="C1302" s="35"/>
      <c r="D1302" s="18"/>
      <c r="E1302" s="5"/>
      <c r="F1302" s="14"/>
      <c r="G1302" s="5"/>
      <c r="H1302" s="27"/>
      <c r="I1302" s="5"/>
      <c r="J1302" s="19" t="str">
        <f aca="false">IF(A1302="","",IFERROR(INDEX(Empresas!$D:$D,MATCH(A1302,Empresas!$A:$A,0))&amp;"","não consta"))</f>
        <v/>
      </c>
      <c r="K1302" s="19" t="str">
        <f aca="false">IF(A1302="","",IFERROR(INDEX(Sancoes!$B:$B,MATCH(A1302,Sancoes!$A:$A,0))&amp;"","não consta"))</f>
        <v/>
      </c>
      <c r="L1302" s="19" t="str">
        <f aca="false">IF(A1302="","",IFERROR(INDEX(Eleitoral!$B:$B,MATCH(A1302,Eleitoral!$A:$A,0))&amp;"","não consta"))</f>
        <v/>
      </c>
      <c r="M1302" s="28" t="str">
        <f aca="false">IF(A1302="","",IF(OR(AND(K1302&lt;&gt;"",LOWER(K1302)&lt;&gt;"não consta"),AND(L1302&lt;&gt;"",LOWER(L1302)&lt;&gt;"não consta"),IFERROR(INDEX(Empresas!$G:$G,MATCH(A1302,Empresas!$A:$A,0))&amp;"","")&lt;&gt;""),"SIM",""))</f>
        <v/>
      </c>
      <c r="N1302" s="5"/>
      <c r="O1302" s="32" t="str">
        <f aca="false">IF(D1302="","",YEAR(D1302))</f>
        <v/>
      </c>
      <c r="P1302" s="5"/>
    </row>
    <row r="1303" customFormat="false" ht="15" hidden="false" customHeight="false" outlineLevel="0" collapsed="false">
      <c r="A1303" s="27"/>
      <c r="B1303" s="5"/>
      <c r="C1303" s="35"/>
      <c r="D1303" s="18"/>
      <c r="E1303" s="5"/>
      <c r="F1303" s="14"/>
      <c r="G1303" s="5"/>
      <c r="H1303" s="27"/>
      <c r="I1303" s="5"/>
      <c r="J1303" s="19" t="str">
        <f aca="false">IF(A1303="","",IFERROR(INDEX(Empresas!$D:$D,MATCH(A1303,Empresas!$A:$A,0))&amp;"","não consta"))</f>
        <v/>
      </c>
      <c r="K1303" s="19" t="str">
        <f aca="false">IF(A1303="","",IFERROR(INDEX(Sancoes!$B:$B,MATCH(A1303,Sancoes!$A:$A,0))&amp;"","não consta"))</f>
        <v/>
      </c>
      <c r="L1303" s="19" t="str">
        <f aca="false">IF(A1303="","",IFERROR(INDEX(Eleitoral!$B:$B,MATCH(A1303,Eleitoral!$A:$A,0))&amp;"","não consta"))</f>
        <v/>
      </c>
      <c r="M1303" s="28" t="str">
        <f aca="false">IF(A1303="","",IF(OR(AND(K1303&lt;&gt;"",LOWER(K1303)&lt;&gt;"não consta"),AND(L1303&lt;&gt;"",LOWER(L1303)&lt;&gt;"não consta"),IFERROR(INDEX(Empresas!$G:$G,MATCH(A1303,Empresas!$A:$A,0))&amp;"","")&lt;&gt;""),"SIM",""))</f>
        <v/>
      </c>
      <c r="N1303" s="5"/>
      <c r="O1303" s="32" t="str">
        <f aca="false">IF(D1303="","",YEAR(D1303))</f>
        <v/>
      </c>
      <c r="P1303" s="5"/>
    </row>
    <row r="1304" customFormat="false" ht="15" hidden="false" customHeight="false" outlineLevel="0" collapsed="false">
      <c r="A1304" s="27"/>
      <c r="B1304" s="5"/>
      <c r="C1304" s="35"/>
      <c r="D1304" s="18"/>
      <c r="E1304" s="5"/>
      <c r="F1304" s="14"/>
      <c r="G1304" s="5"/>
      <c r="H1304" s="27"/>
      <c r="I1304" s="5"/>
      <c r="J1304" s="19" t="str">
        <f aca="false">IF(A1304="","",IFERROR(INDEX(Empresas!$D:$D,MATCH(A1304,Empresas!$A:$A,0))&amp;"","não consta"))</f>
        <v/>
      </c>
      <c r="K1304" s="19" t="str">
        <f aca="false">IF(A1304="","",IFERROR(INDEX(Sancoes!$B:$B,MATCH(A1304,Sancoes!$A:$A,0))&amp;"","não consta"))</f>
        <v/>
      </c>
      <c r="L1304" s="19" t="str">
        <f aca="false">IF(A1304="","",IFERROR(INDEX(Eleitoral!$B:$B,MATCH(A1304,Eleitoral!$A:$A,0))&amp;"","não consta"))</f>
        <v/>
      </c>
      <c r="M1304" s="28" t="str">
        <f aca="false">IF(A1304="","",IF(OR(AND(K1304&lt;&gt;"",LOWER(K1304)&lt;&gt;"não consta"),AND(L1304&lt;&gt;"",LOWER(L1304)&lt;&gt;"não consta"),IFERROR(INDEX(Empresas!$G:$G,MATCH(A1304,Empresas!$A:$A,0))&amp;"","")&lt;&gt;""),"SIM",""))</f>
        <v/>
      </c>
      <c r="N1304" s="5"/>
      <c r="O1304" s="32" t="str">
        <f aca="false">IF(D1304="","",YEAR(D1304))</f>
        <v/>
      </c>
      <c r="P1304" s="5"/>
    </row>
    <row r="1305" customFormat="false" ht="15" hidden="false" customHeight="false" outlineLevel="0" collapsed="false">
      <c r="A1305" s="27"/>
      <c r="B1305" s="5"/>
      <c r="C1305" s="35"/>
      <c r="D1305" s="18"/>
      <c r="E1305" s="5"/>
      <c r="F1305" s="14"/>
      <c r="G1305" s="5"/>
      <c r="H1305" s="27"/>
      <c r="I1305" s="5"/>
      <c r="J1305" s="19" t="str">
        <f aca="false">IF(A1305="","",IFERROR(INDEX(Empresas!$D:$D,MATCH(A1305,Empresas!$A:$A,0))&amp;"","não consta"))</f>
        <v/>
      </c>
      <c r="K1305" s="19" t="str">
        <f aca="false">IF(A1305="","",IFERROR(INDEX(Sancoes!$B:$B,MATCH(A1305,Sancoes!$A:$A,0))&amp;"","não consta"))</f>
        <v/>
      </c>
      <c r="L1305" s="19" t="str">
        <f aca="false">IF(A1305="","",IFERROR(INDEX(Eleitoral!$B:$B,MATCH(A1305,Eleitoral!$A:$A,0))&amp;"","não consta"))</f>
        <v/>
      </c>
      <c r="M1305" s="28" t="str">
        <f aca="false">IF(A1305="","",IF(OR(AND(K1305&lt;&gt;"",LOWER(K1305)&lt;&gt;"não consta"),AND(L1305&lt;&gt;"",LOWER(L1305)&lt;&gt;"não consta"),IFERROR(INDEX(Empresas!$G:$G,MATCH(A1305,Empresas!$A:$A,0))&amp;"","")&lt;&gt;""),"SIM",""))</f>
        <v/>
      </c>
      <c r="N1305" s="5"/>
      <c r="O1305" s="32" t="str">
        <f aca="false">IF(D1305="","",YEAR(D1305))</f>
        <v/>
      </c>
      <c r="P1305" s="5"/>
    </row>
    <row r="1306" customFormat="false" ht="15" hidden="false" customHeight="false" outlineLevel="0" collapsed="false">
      <c r="A1306" s="27"/>
      <c r="B1306" s="5"/>
      <c r="C1306" s="35"/>
      <c r="D1306" s="18"/>
      <c r="E1306" s="5"/>
      <c r="F1306" s="14"/>
      <c r="G1306" s="5"/>
      <c r="H1306" s="27"/>
      <c r="I1306" s="5"/>
      <c r="J1306" s="19" t="str">
        <f aca="false">IF(A1306="","",IFERROR(INDEX(Empresas!$D:$D,MATCH(A1306,Empresas!$A:$A,0))&amp;"","não consta"))</f>
        <v/>
      </c>
      <c r="K1306" s="19" t="str">
        <f aca="false">IF(A1306="","",IFERROR(INDEX(Sancoes!$B:$B,MATCH(A1306,Sancoes!$A:$A,0))&amp;"","não consta"))</f>
        <v/>
      </c>
      <c r="L1306" s="19" t="str">
        <f aca="false">IF(A1306="","",IFERROR(INDEX(Eleitoral!$B:$B,MATCH(A1306,Eleitoral!$A:$A,0))&amp;"","não consta"))</f>
        <v/>
      </c>
      <c r="M1306" s="28" t="str">
        <f aca="false">IF(A1306="","",IF(OR(AND(K1306&lt;&gt;"",LOWER(K1306)&lt;&gt;"não consta"),AND(L1306&lt;&gt;"",LOWER(L1306)&lt;&gt;"não consta"),IFERROR(INDEX(Empresas!$G:$G,MATCH(A1306,Empresas!$A:$A,0))&amp;"","")&lt;&gt;""),"SIM",""))</f>
        <v/>
      </c>
      <c r="N1306" s="5"/>
      <c r="O1306" s="32" t="str">
        <f aca="false">IF(D1306="","",YEAR(D1306))</f>
        <v/>
      </c>
      <c r="P1306" s="5"/>
    </row>
    <row r="1307" customFormat="false" ht="15" hidden="false" customHeight="false" outlineLevel="0" collapsed="false">
      <c r="A1307" s="27"/>
      <c r="B1307" s="5"/>
      <c r="C1307" s="35"/>
      <c r="D1307" s="18"/>
      <c r="E1307" s="5"/>
      <c r="F1307" s="14"/>
      <c r="G1307" s="5"/>
      <c r="H1307" s="27"/>
      <c r="I1307" s="5"/>
      <c r="J1307" s="19" t="str">
        <f aca="false">IF(A1307="","",IFERROR(INDEX(Empresas!$D:$D,MATCH(A1307,Empresas!$A:$A,0))&amp;"","não consta"))</f>
        <v/>
      </c>
      <c r="K1307" s="19" t="str">
        <f aca="false">IF(A1307="","",IFERROR(INDEX(Sancoes!$B:$B,MATCH(A1307,Sancoes!$A:$A,0))&amp;"","não consta"))</f>
        <v/>
      </c>
      <c r="L1307" s="19" t="str">
        <f aca="false">IF(A1307="","",IFERROR(INDEX(Eleitoral!$B:$B,MATCH(A1307,Eleitoral!$A:$A,0))&amp;"","não consta"))</f>
        <v/>
      </c>
      <c r="M1307" s="28" t="str">
        <f aca="false">IF(A1307="","",IF(OR(AND(K1307&lt;&gt;"",LOWER(K1307)&lt;&gt;"não consta"),AND(L1307&lt;&gt;"",LOWER(L1307)&lt;&gt;"não consta"),IFERROR(INDEX(Empresas!$G:$G,MATCH(A1307,Empresas!$A:$A,0))&amp;"","")&lt;&gt;""),"SIM",""))</f>
        <v/>
      </c>
      <c r="N1307" s="5"/>
      <c r="O1307" s="32" t="str">
        <f aca="false">IF(D1307="","",YEAR(D1307))</f>
        <v/>
      </c>
      <c r="P1307" s="5"/>
    </row>
    <row r="1308" customFormat="false" ht="15" hidden="false" customHeight="false" outlineLevel="0" collapsed="false">
      <c r="A1308" s="27"/>
      <c r="B1308" s="5"/>
      <c r="C1308" s="35"/>
      <c r="D1308" s="18"/>
      <c r="E1308" s="5"/>
      <c r="F1308" s="14"/>
      <c r="G1308" s="5"/>
      <c r="H1308" s="27"/>
      <c r="I1308" s="5"/>
      <c r="J1308" s="19" t="str">
        <f aca="false">IF(A1308="","",IFERROR(INDEX(Empresas!$D:$D,MATCH(A1308,Empresas!$A:$A,0))&amp;"","não consta"))</f>
        <v/>
      </c>
      <c r="K1308" s="19" t="str">
        <f aca="false">IF(A1308="","",IFERROR(INDEX(Sancoes!$B:$B,MATCH(A1308,Sancoes!$A:$A,0))&amp;"","não consta"))</f>
        <v/>
      </c>
      <c r="L1308" s="19" t="str">
        <f aca="false">IF(A1308="","",IFERROR(INDEX(Eleitoral!$B:$B,MATCH(A1308,Eleitoral!$A:$A,0))&amp;"","não consta"))</f>
        <v/>
      </c>
      <c r="M1308" s="28" t="str">
        <f aca="false">IF(A1308="","",IF(OR(AND(K1308&lt;&gt;"",LOWER(K1308)&lt;&gt;"não consta"),AND(L1308&lt;&gt;"",LOWER(L1308)&lt;&gt;"não consta"),IFERROR(INDEX(Empresas!$G:$G,MATCH(A1308,Empresas!$A:$A,0))&amp;"","")&lt;&gt;""),"SIM",""))</f>
        <v/>
      </c>
      <c r="N1308" s="5"/>
      <c r="O1308" s="32" t="str">
        <f aca="false">IF(D1308="","",YEAR(D1308))</f>
        <v/>
      </c>
      <c r="P1308" s="5"/>
    </row>
    <row r="1309" customFormat="false" ht="15" hidden="false" customHeight="false" outlineLevel="0" collapsed="false">
      <c r="A1309" s="27"/>
      <c r="B1309" s="5"/>
      <c r="C1309" s="35"/>
      <c r="D1309" s="18"/>
      <c r="E1309" s="5"/>
      <c r="F1309" s="14"/>
      <c r="G1309" s="5"/>
      <c r="H1309" s="27"/>
      <c r="I1309" s="5"/>
      <c r="J1309" s="19" t="str">
        <f aca="false">IF(A1309="","",IFERROR(INDEX(Empresas!$D:$D,MATCH(A1309,Empresas!$A:$A,0))&amp;"","não consta"))</f>
        <v/>
      </c>
      <c r="K1309" s="19" t="str">
        <f aca="false">IF(A1309="","",IFERROR(INDEX(Sancoes!$B:$B,MATCH(A1309,Sancoes!$A:$A,0))&amp;"","não consta"))</f>
        <v/>
      </c>
      <c r="L1309" s="19" t="str">
        <f aca="false">IF(A1309="","",IFERROR(INDEX(Eleitoral!$B:$B,MATCH(A1309,Eleitoral!$A:$A,0))&amp;"","não consta"))</f>
        <v/>
      </c>
      <c r="M1309" s="28" t="str">
        <f aca="false">IF(A1309="","",IF(OR(AND(K1309&lt;&gt;"",LOWER(K1309)&lt;&gt;"não consta"),AND(L1309&lt;&gt;"",LOWER(L1309)&lt;&gt;"não consta"),IFERROR(INDEX(Empresas!$G:$G,MATCH(A1309,Empresas!$A:$A,0))&amp;"","")&lt;&gt;""),"SIM",""))</f>
        <v/>
      </c>
      <c r="N1309" s="5"/>
      <c r="O1309" s="32" t="str">
        <f aca="false">IF(D1309="","",YEAR(D1309))</f>
        <v/>
      </c>
      <c r="P1309" s="5"/>
    </row>
    <row r="1310" customFormat="false" ht="15" hidden="false" customHeight="false" outlineLevel="0" collapsed="false">
      <c r="A1310" s="27"/>
      <c r="B1310" s="5"/>
      <c r="C1310" s="35"/>
      <c r="D1310" s="18"/>
      <c r="E1310" s="5"/>
      <c r="F1310" s="14"/>
      <c r="G1310" s="5"/>
      <c r="H1310" s="27"/>
      <c r="I1310" s="5"/>
      <c r="J1310" s="19" t="str">
        <f aca="false">IF(A1310="","",IFERROR(INDEX(Empresas!$D:$D,MATCH(A1310,Empresas!$A:$A,0))&amp;"","não consta"))</f>
        <v/>
      </c>
      <c r="K1310" s="19" t="str">
        <f aca="false">IF(A1310="","",IFERROR(INDEX(Sancoes!$B:$B,MATCH(A1310,Sancoes!$A:$A,0))&amp;"","não consta"))</f>
        <v/>
      </c>
      <c r="L1310" s="19" t="str">
        <f aca="false">IF(A1310="","",IFERROR(INDEX(Eleitoral!$B:$B,MATCH(A1310,Eleitoral!$A:$A,0))&amp;"","não consta"))</f>
        <v/>
      </c>
      <c r="M1310" s="28" t="str">
        <f aca="false">IF(A1310="","",IF(OR(AND(K1310&lt;&gt;"",LOWER(K1310)&lt;&gt;"não consta"),AND(L1310&lt;&gt;"",LOWER(L1310)&lt;&gt;"não consta"),IFERROR(INDEX(Empresas!$G:$G,MATCH(A1310,Empresas!$A:$A,0))&amp;"","")&lt;&gt;""),"SIM",""))</f>
        <v/>
      </c>
      <c r="N1310" s="5"/>
      <c r="O1310" s="32" t="str">
        <f aca="false">IF(D1310="","",YEAR(D1310))</f>
        <v/>
      </c>
      <c r="P1310" s="5"/>
    </row>
    <row r="1311" customFormat="false" ht="15" hidden="false" customHeight="false" outlineLevel="0" collapsed="false">
      <c r="A1311" s="27"/>
      <c r="B1311" s="5"/>
      <c r="C1311" s="35"/>
      <c r="D1311" s="18"/>
      <c r="E1311" s="5"/>
      <c r="F1311" s="14"/>
      <c r="G1311" s="5"/>
      <c r="H1311" s="27"/>
      <c r="I1311" s="5"/>
      <c r="J1311" s="19" t="str">
        <f aca="false">IF(A1311="","",IFERROR(INDEX(Empresas!$D:$D,MATCH(A1311,Empresas!$A:$A,0))&amp;"","não consta"))</f>
        <v/>
      </c>
      <c r="K1311" s="19" t="str">
        <f aca="false">IF(A1311="","",IFERROR(INDEX(Sancoes!$B:$B,MATCH(A1311,Sancoes!$A:$A,0))&amp;"","não consta"))</f>
        <v/>
      </c>
      <c r="L1311" s="19" t="str">
        <f aca="false">IF(A1311="","",IFERROR(INDEX(Eleitoral!$B:$B,MATCH(A1311,Eleitoral!$A:$A,0))&amp;"","não consta"))</f>
        <v/>
      </c>
      <c r="M1311" s="28" t="str">
        <f aca="false">IF(A1311="","",IF(OR(AND(K1311&lt;&gt;"",LOWER(K1311)&lt;&gt;"não consta"),AND(L1311&lt;&gt;"",LOWER(L1311)&lt;&gt;"não consta"),IFERROR(INDEX(Empresas!$G:$G,MATCH(A1311,Empresas!$A:$A,0))&amp;"","")&lt;&gt;""),"SIM",""))</f>
        <v/>
      </c>
      <c r="N1311" s="5"/>
      <c r="O1311" s="32" t="str">
        <f aca="false">IF(D1311="","",YEAR(D1311))</f>
        <v/>
      </c>
      <c r="P1311" s="5"/>
    </row>
    <row r="1312" customFormat="false" ht="15" hidden="false" customHeight="false" outlineLevel="0" collapsed="false">
      <c r="A1312" s="27"/>
      <c r="B1312" s="5"/>
      <c r="C1312" s="35"/>
      <c r="D1312" s="18"/>
      <c r="E1312" s="5"/>
      <c r="F1312" s="14"/>
      <c r="G1312" s="5"/>
      <c r="H1312" s="27"/>
      <c r="I1312" s="5"/>
      <c r="J1312" s="19" t="str">
        <f aca="false">IF(A1312="","",IFERROR(INDEX(Empresas!$D:$D,MATCH(A1312,Empresas!$A:$A,0))&amp;"","não consta"))</f>
        <v/>
      </c>
      <c r="K1312" s="19" t="str">
        <f aca="false">IF(A1312="","",IFERROR(INDEX(Sancoes!$B:$B,MATCH(A1312,Sancoes!$A:$A,0))&amp;"","não consta"))</f>
        <v/>
      </c>
      <c r="L1312" s="19" t="str">
        <f aca="false">IF(A1312="","",IFERROR(INDEX(Eleitoral!$B:$B,MATCH(A1312,Eleitoral!$A:$A,0))&amp;"","não consta"))</f>
        <v/>
      </c>
      <c r="M1312" s="28" t="str">
        <f aca="false">IF(A1312="","",IF(OR(AND(K1312&lt;&gt;"",LOWER(K1312)&lt;&gt;"não consta"),AND(L1312&lt;&gt;"",LOWER(L1312)&lt;&gt;"não consta"),IFERROR(INDEX(Empresas!$G:$G,MATCH(A1312,Empresas!$A:$A,0))&amp;"","")&lt;&gt;""),"SIM",""))</f>
        <v/>
      </c>
      <c r="N1312" s="5"/>
      <c r="O1312" s="32" t="str">
        <f aca="false">IF(D1312="","",YEAR(D1312))</f>
        <v/>
      </c>
      <c r="P1312" s="5"/>
    </row>
    <row r="1313" customFormat="false" ht="15" hidden="false" customHeight="false" outlineLevel="0" collapsed="false">
      <c r="A1313" s="27"/>
      <c r="B1313" s="5"/>
      <c r="C1313" s="35"/>
      <c r="D1313" s="18"/>
      <c r="E1313" s="5"/>
      <c r="F1313" s="14"/>
      <c r="G1313" s="5"/>
      <c r="H1313" s="27"/>
      <c r="I1313" s="5"/>
      <c r="J1313" s="19" t="str">
        <f aca="false">IF(A1313="","",IFERROR(INDEX(Empresas!$D:$D,MATCH(A1313,Empresas!$A:$A,0))&amp;"","não consta"))</f>
        <v/>
      </c>
      <c r="K1313" s="19" t="str">
        <f aca="false">IF(A1313="","",IFERROR(INDEX(Sancoes!$B:$B,MATCH(A1313,Sancoes!$A:$A,0))&amp;"","não consta"))</f>
        <v/>
      </c>
      <c r="L1313" s="19" t="str">
        <f aca="false">IF(A1313="","",IFERROR(INDEX(Eleitoral!$B:$B,MATCH(A1313,Eleitoral!$A:$A,0))&amp;"","não consta"))</f>
        <v/>
      </c>
      <c r="M1313" s="28" t="str">
        <f aca="false">IF(A1313="","",IF(OR(AND(K1313&lt;&gt;"",LOWER(K1313)&lt;&gt;"não consta"),AND(L1313&lt;&gt;"",LOWER(L1313)&lt;&gt;"não consta"),IFERROR(INDEX(Empresas!$G:$G,MATCH(A1313,Empresas!$A:$A,0))&amp;"","")&lt;&gt;""),"SIM",""))</f>
        <v/>
      </c>
      <c r="N1313" s="5"/>
      <c r="O1313" s="32" t="str">
        <f aca="false">IF(D1313="","",YEAR(D1313))</f>
        <v/>
      </c>
      <c r="P1313" s="5"/>
    </row>
    <row r="1314" customFormat="false" ht="15" hidden="false" customHeight="false" outlineLevel="0" collapsed="false">
      <c r="A1314" s="27"/>
      <c r="B1314" s="5"/>
      <c r="C1314" s="35"/>
      <c r="D1314" s="18"/>
      <c r="E1314" s="5"/>
      <c r="F1314" s="14"/>
      <c r="G1314" s="5"/>
      <c r="H1314" s="27"/>
      <c r="I1314" s="5"/>
      <c r="J1314" s="19" t="str">
        <f aca="false">IF(A1314="","",IFERROR(INDEX(Empresas!$D:$D,MATCH(A1314,Empresas!$A:$A,0))&amp;"","não consta"))</f>
        <v/>
      </c>
      <c r="K1314" s="19" t="str">
        <f aca="false">IF(A1314="","",IFERROR(INDEX(Sancoes!$B:$B,MATCH(A1314,Sancoes!$A:$A,0))&amp;"","não consta"))</f>
        <v/>
      </c>
      <c r="L1314" s="19" t="str">
        <f aca="false">IF(A1314="","",IFERROR(INDEX(Eleitoral!$B:$B,MATCH(A1314,Eleitoral!$A:$A,0))&amp;"","não consta"))</f>
        <v/>
      </c>
      <c r="M1314" s="28" t="str">
        <f aca="false">IF(A1314="","",IF(OR(AND(K1314&lt;&gt;"",LOWER(K1314)&lt;&gt;"não consta"),AND(L1314&lt;&gt;"",LOWER(L1314)&lt;&gt;"não consta"),IFERROR(INDEX(Empresas!$G:$G,MATCH(A1314,Empresas!$A:$A,0))&amp;"","")&lt;&gt;""),"SIM",""))</f>
        <v/>
      </c>
      <c r="N1314" s="5"/>
      <c r="O1314" s="32" t="str">
        <f aca="false">IF(D1314="","",YEAR(D1314))</f>
        <v/>
      </c>
      <c r="P1314" s="5"/>
    </row>
    <row r="1315" customFormat="false" ht="15" hidden="false" customHeight="false" outlineLevel="0" collapsed="false">
      <c r="A1315" s="27"/>
      <c r="B1315" s="5"/>
      <c r="C1315" s="35"/>
      <c r="D1315" s="18"/>
      <c r="E1315" s="5"/>
      <c r="F1315" s="14"/>
      <c r="G1315" s="5"/>
      <c r="H1315" s="27"/>
      <c r="I1315" s="5"/>
      <c r="J1315" s="19" t="str">
        <f aca="false">IF(A1315="","",IFERROR(INDEX(Empresas!$D:$D,MATCH(A1315,Empresas!$A:$A,0))&amp;"","não consta"))</f>
        <v/>
      </c>
      <c r="K1315" s="19" t="str">
        <f aca="false">IF(A1315="","",IFERROR(INDEX(Sancoes!$B:$B,MATCH(A1315,Sancoes!$A:$A,0))&amp;"","não consta"))</f>
        <v/>
      </c>
      <c r="L1315" s="19" t="str">
        <f aca="false">IF(A1315="","",IFERROR(INDEX(Eleitoral!$B:$B,MATCH(A1315,Eleitoral!$A:$A,0))&amp;"","não consta"))</f>
        <v/>
      </c>
      <c r="M1315" s="28" t="str">
        <f aca="false">IF(A1315="","",IF(OR(AND(K1315&lt;&gt;"",LOWER(K1315)&lt;&gt;"não consta"),AND(L1315&lt;&gt;"",LOWER(L1315)&lt;&gt;"não consta"),IFERROR(INDEX(Empresas!$G:$G,MATCH(A1315,Empresas!$A:$A,0))&amp;"","")&lt;&gt;""),"SIM",""))</f>
        <v/>
      </c>
      <c r="N1315" s="5"/>
      <c r="O1315" s="32" t="str">
        <f aca="false">IF(D1315="","",YEAR(D1315))</f>
        <v/>
      </c>
      <c r="P1315" s="5"/>
    </row>
    <row r="1316" customFormat="false" ht="15" hidden="false" customHeight="false" outlineLevel="0" collapsed="false">
      <c r="A1316" s="27"/>
      <c r="B1316" s="5"/>
      <c r="C1316" s="35"/>
      <c r="D1316" s="18"/>
      <c r="E1316" s="5"/>
      <c r="F1316" s="14"/>
      <c r="G1316" s="5"/>
      <c r="H1316" s="27"/>
      <c r="I1316" s="5"/>
      <c r="J1316" s="19" t="str">
        <f aca="false">IF(A1316="","",IFERROR(INDEX(Empresas!$D:$D,MATCH(A1316,Empresas!$A:$A,0))&amp;"","não consta"))</f>
        <v/>
      </c>
      <c r="K1316" s="19" t="str">
        <f aca="false">IF(A1316="","",IFERROR(INDEX(Sancoes!$B:$B,MATCH(A1316,Sancoes!$A:$A,0))&amp;"","não consta"))</f>
        <v/>
      </c>
      <c r="L1316" s="19" t="str">
        <f aca="false">IF(A1316="","",IFERROR(INDEX(Eleitoral!$B:$B,MATCH(A1316,Eleitoral!$A:$A,0))&amp;"","não consta"))</f>
        <v/>
      </c>
      <c r="M1316" s="28" t="str">
        <f aca="false">IF(A1316="","",IF(OR(AND(K1316&lt;&gt;"",LOWER(K1316)&lt;&gt;"não consta"),AND(L1316&lt;&gt;"",LOWER(L1316)&lt;&gt;"não consta"),IFERROR(INDEX(Empresas!$G:$G,MATCH(A1316,Empresas!$A:$A,0))&amp;"","")&lt;&gt;""),"SIM",""))</f>
        <v/>
      </c>
      <c r="N1316" s="5"/>
      <c r="O1316" s="32" t="str">
        <f aca="false">IF(D1316="","",YEAR(D1316))</f>
        <v/>
      </c>
      <c r="P1316" s="5"/>
    </row>
    <row r="1317" customFormat="false" ht="15" hidden="false" customHeight="false" outlineLevel="0" collapsed="false">
      <c r="A1317" s="27"/>
      <c r="B1317" s="5"/>
      <c r="C1317" s="35"/>
      <c r="D1317" s="18"/>
      <c r="E1317" s="5"/>
      <c r="F1317" s="14"/>
      <c r="G1317" s="5"/>
      <c r="H1317" s="27"/>
      <c r="I1317" s="5"/>
      <c r="J1317" s="19" t="str">
        <f aca="false">IF(A1317="","",IFERROR(INDEX(Empresas!$D:$D,MATCH(A1317,Empresas!$A:$A,0))&amp;"","não consta"))</f>
        <v/>
      </c>
      <c r="K1317" s="19" t="str">
        <f aca="false">IF(A1317="","",IFERROR(INDEX(Sancoes!$B:$B,MATCH(A1317,Sancoes!$A:$A,0))&amp;"","não consta"))</f>
        <v/>
      </c>
      <c r="L1317" s="19" t="str">
        <f aca="false">IF(A1317="","",IFERROR(INDEX(Eleitoral!$B:$B,MATCH(A1317,Eleitoral!$A:$A,0))&amp;"","não consta"))</f>
        <v/>
      </c>
      <c r="M1317" s="28" t="str">
        <f aca="false">IF(A1317="","",IF(OR(AND(K1317&lt;&gt;"",LOWER(K1317)&lt;&gt;"não consta"),AND(L1317&lt;&gt;"",LOWER(L1317)&lt;&gt;"não consta"),IFERROR(INDEX(Empresas!$G:$G,MATCH(A1317,Empresas!$A:$A,0))&amp;"","")&lt;&gt;""),"SIM",""))</f>
        <v/>
      </c>
      <c r="N1317" s="5"/>
      <c r="O1317" s="32" t="str">
        <f aca="false">IF(D1317="","",YEAR(D1317))</f>
        <v/>
      </c>
      <c r="P1317" s="5"/>
    </row>
    <row r="1318" customFormat="false" ht="15" hidden="false" customHeight="false" outlineLevel="0" collapsed="false">
      <c r="A1318" s="27"/>
      <c r="B1318" s="5"/>
      <c r="C1318" s="35"/>
      <c r="D1318" s="18"/>
      <c r="E1318" s="5"/>
      <c r="F1318" s="14"/>
      <c r="G1318" s="5"/>
      <c r="H1318" s="27"/>
      <c r="I1318" s="5"/>
      <c r="J1318" s="19" t="str">
        <f aca="false">IF(A1318="","",IFERROR(INDEX(Empresas!$D:$D,MATCH(A1318,Empresas!$A:$A,0))&amp;"","não consta"))</f>
        <v/>
      </c>
      <c r="K1318" s="19" t="str">
        <f aca="false">IF(A1318="","",IFERROR(INDEX(Sancoes!$B:$B,MATCH(A1318,Sancoes!$A:$A,0))&amp;"","não consta"))</f>
        <v/>
      </c>
      <c r="L1318" s="19" t="str">
        <f aca="false">IF(A1318="","",IFERROR(INDEX(Eleitoral!$B:$B,MATCH(A1318,Eleitoral!$A:$A,0))&amp;"","não consta"))</f>
        <v/>
      </c>
      <c r="M1318" s="28" t="str">
        <f aca="false">IF(A1318="","",IF(OR(AND(K1318&lt;&gt;"",LOWER(K1318)&lt;&gt;"não consta"),AND(L1318&lt;&gt;"",LOWER(L1318)&lt;&gt;"não consta"),IFERROR(INDEX(Empresas!$G:$G,MATCH(A1318,Empresas!$A:$A,0))&amp;"","")&lt;&gt;""),"SIM",""))</f>
        <v/>
      </c>
      <c r="N1318" s="5"/>
      <c r="O1318" s="32" t="str">
        <f aca="false">IF(D1318="","",YEAR(D1318))</f>
        <v/>
      </c>
      <c r="P1318" s="5"/>
    </row>
    <row r="1319" customFormat="false" ht="15" hidden="false" customHeight="false" outlineLevel="0" collapsed="false">
      <c r="A1319" s="27"/>
      <c r="B1319" s="5"/>
      <c r="C1319" s="35"/>
      <c r="D1319" s="18"/>
      <c r="E1319" s="5"/>
      <c r="F1319" s="14"/>
      <c r="G1319" s="5"/>
      <c r="H1319" s="27"/>
      <c r="I1319" s="5"/>
      <c r="J1319" s="19" t="str">
        <f aca="false">IF(A1319="","",IFERROR(INDEX(Empresas!$D:$D,MATCH(A1319,Empresas!$A:$A,0))&amp;"","não consta"))</f>
        <v/>
      </c>
      <c r="K1319" s="19" t="str">
        <f aca="false">IF(A1319="","",IFERROR(INDEX(Sancoes!$B:$B,MATCH(A1319,Sancoes!$A:$A,0))&amp;"","não consta"))</f>
        <v/>
      </c>
      <c r="L1319" s="19" t="str">
        <f aca="false">IF(A1319="","",IFERROR(INDEX(Eleitoral!$B:$B,MATCH(A1319,Eleitoral!$A:$A,0))&amp;"","não consta"))</f>
        <v/>
      </c>
      <c r="M1319" s="28" t="str">
        <f aca="false">IF(A1319="","",IF(OR(AND(K1319&lt;&gt;"",LOWER(K1319)&lt;&gt;"não consta"),AND(L1319&lt;&gt;"",LOWER(L1319)&lt;&gt;"não consta"),IFERROR(INDEX(Empresas!$G:$G,MATCH(A1319,Empresas!$A:$A,0))&amp;"","")&lt;&gt;""),"SIM",""))</f>
        <v/>
      </c>
      <c r="N1319" s="5"/>
      <c r="O1319" s="32" t="str">
        <f aca="false">IF(D1319="","",YEAR(D1319))</f>
        <v/>
      </c>
      <c r="P1319" s="5"/>
    </row>
    <row r="1320" customFormat="false" ht="15" hidden="false" customHeight="false" outlineLevel="0" collapsed="false">
      <c r="A1320" s="27"/>
      <c r="B1320" s="5"/>
      <c r="C1320" s="35"/>
      <c r="D1320" s="18"/>
      <c r="E1320" s="5"/>
      <c r="F1320" s="14"/>
      <c r="G1320" s="5"/>
      <c r="H1320" s="27"/>
      <c r="I1320" s="5"/>
      <c r="J1320" s="19" t="str">
        <f aca="false">IF(A1320="","",IFERROR(INDEX(Empresas!$D:$D,MATCH(A1320,Empresas!$A:$A,0))&amp;"","não consta"))</f>
        <v/>
      </c>
      <c r="K1320" s="19" t="str">
        <f aca="false">IF(A1320="","",IFERROR(INDEX(Sancoes!$B:$B,MATCH(A1320,Sancoes!$A:$A,0))&amp;"","não consta"))</f>
        <v/>
      </c>
      <c r="L1320" s="19" t="str">
        <f aca="false">IF(A1320="","",IFERROR(INDEX(Eleitoral!$B:$B,MATCH(A1320,Eleitoral!$A:$A,0))&amp;"","não consta"))</f>
        <v/>
      </c>
      <c r="M1320" s="28" t="str">
        <f aca="false">IF(A1320="","",IF(OR(AND(K1320&lt;&gt;"",LOWER(K1320)&lt;&gt;"não consta"),AND(L1320&lt;&gt;"",LOWER(L1320)&lt;&gt;"não consta"),IFERROR(INDEX(Empresas!$G:$G,MATCH(A1320,Empresas!$A:$A,0))&amp;"","")&lt;&gt;""),"SIM",""))</f>
        <v/>
      </c>
      <c r="N1320" s="5"/>
      <c r="O1320" s="32" t="str">
        <f aca="false">IF(D1320="","",YEAR(D1320))</f>
        <v/>
      </c>
      <c r="P1320" s="5"/>
    </row>
    <row r="1321" customFormat="false" ht="15" hidden="false" customHeight="false" outlineLevel="0" collapsed="false">
      <c r="A1321" s="27"/>
      <c r="B1321" s="5"/>
      <c r="C1321" s="35"/>
      <c r="D1321" s="18"/>
      <c r="E1321" s="5"/>
      <c r="F1321" s="14"/>
      <c r="G1321" s="5"/>
      <c r="H1321" s="27"/>
      <c r="I1321" s="5"/>
      <c r="J1321" s="19" t="str">
        <f aca="false">IF(A1321="","",IFERROR(INDEX(Empresas!$D:$D,MATCH(A1321,Empresas!$A:$A,0))&amp;"","não consta"))</f>
        <v/>
      </c>
      <c r="K1321" s="19" t="str">
        <f aca="false">IF(A1321="","",IFERROR(INDEX(Sancoes!$B:$B,MATCH(A1321,Sancoes!$A:$A,0))&amp;"","não consta"))</f>
        <v/>
      </c>
      <c r="L1321" s="19" t="str">
        <f aca="false">IF(A1321="","",IFERROR(INDEX(Eleitoral!$B:$B,MATCH(A1321,Eleitoral!$A:$A,0))&amp;"","não consta"))</f>
        <v/>
      </c>
      <c r="M1321" s="28" t="str">
        <f aca="false">IF(A1321="","",IF(OR(AND(K1321&lt;&gt;"",LOWER(K1321)&lt;&gt;"não consta"),AND(L1321&lt;&gt;"",LOWER(L1321)&lt;&gt;"não consta"),IFERROR(INDEX(Empresas!$G:$G,MATCH(A1321,Empresas!$A:$A,0))&amp;"","")&lt;&gt;""),"SIM",""))</f>
        <v/>
      </c>
      <c r="N1321" s="5"/>
      <c r="O1321" s="32" t="str">
        <f aca="false">IF(D1321="","",YEAR(D1321))</f>
        <v/>
      </c>
      <c r="P1321" s="5"/>
    </row>
    <row r="1322" customFormat="false" ht="15" hidden="false" customHeight="false" outlineLevel="0" collapsed="false">
      <c r="A1322" s="27"/>
      <c r="B1322" s="5"/>
      <c r="C1322" s="35"/>
      <c r="D1322" s="18"/>
      <c r="E1322" s="5"/>
      <c r="F1322" s="14"/>
      <c r="G1322" s="5"/>
      <c r="H1322" s="27"/>
      <c r="I1322" s="5"/>
      <c r="J1322" s="19" t="str">
        <f aca="false">IF(A1322="","",IFERROR(INDEX(Empresas!$D:$D,MATCH(A1322,Empresas!$A:$A,0))&amp;"","não consta"))</f>
        <v/>
      </c>
      <c r="K1322" s="19" t="str">
        <f aca="false">IF(A1322="","",IFERROR(INDEX(Sancoes!$B:$B,MATCH(A1322,Sancoes!$A:$A,0))&amp;"","não consta"))</f>
        <v/>
      </c>
      <c r="L1322" s="19" t="str">
        <f aca="false">IF(A1322="","",IFERROR(INDEX(Eleitoral!$B:$B,MATCH(A1322,Eleitoral!$A:$A,0))&amp;"","não consta"))</f>
        <v/>
      </c>
      <c r="M1322" s="28" t="str">
        <f aca="false">IF(A1322="","",IF(OR(AND(K1322&lt;&gt;"",LOWER(K1322)&lt;&gt;"não consta"),AND(L1322&lt;&gt;"",LOWER(L1322)&lt;&gt;"não consta"),IFERROR(INDEX(Empresas!$G:$G,MATCH(A1322,Empresas!$A:$A,0))&amp;"","")&lt;&gt;""),"SIM",""))</f>
        <v/>
      </c>
      <c r="N1322" s="5"/>
      <c r="O1322" s="32" t="str">
        <f aca="false">IF(D1322="","",YEAR(D1322))</f>
        <v/>
      </c>
      <c r="P1322" s="5"/>
    </row>
    <row r="1323" customFormat="false" ht="15" hidden="false" customHeight="false" outlineLevel="0" collapsed="false">
      <c r="A1323" s="27"/>
      <c r="B1323" s="5"/>
      <c r="C1323" s="35"/>
      <c r="D1323" s="18"/>
      <c r="E1323" s="5"/>
      <c r="F1323" s="14"/>
      <c r="G1323" s="5"/>
      <c r="H1323" s="27"/>
      <c r="I1323" s="5"/>
      <c r="J1323" s="19" t="str">
        <f aca="false">IF(A1323="","",IFERROR(INDEX(Empresas!$D:$D,MATCH(A1323,Empresas!$A:$A,0))&amp;"","não consta"))</f>
        <v/>
      </c>
      <c r="K1323" s="19" t="str">
        <f aca="false">IF(A1323="","",IFERROR(INDEX(Sancoes!$B:$B,MATCH(A1323,Sancoes!$A:$A,0))&amp;"","não consta"))</f>
        <v/>
      </c>
      <c r="L1323" s="19" t="str">
        <f aca="false">IF(A1323="","",IFERROR(INDEX(Eleitoral!$B:$B,MATCH(A1323,Eleitoral!$A:$A,0))&amp;"","não consta"))</f>
        <v/>
      </c>
      <c r="M1323" s="28" t="str">
        <f aca="false">IF(A1323="","",IF(OR(AND(K1323&lt;&gt;"",LOWER(K1323)&lt;&gt;"não consta"),AND(L1323&lt;&gt;"",LOWER(L1323)&lt;&gt;"não consta"),IFERROR(INDEX(Empresas!$G:$G,MATCH(A1323,Empresas!$A:$A,0))&amp;"","")&lt;&gt;""),"SIM",""))</f>
        <v/>
      </c>
      <c r="N1323" s="5"/>
      <c r="O1323" s="32" t="str">
        <f aca="false">IF(D1323="","",YEAR(D1323))</f>
        <v/>
      </c>
      <c r="P1323" s="5"/>
    </row>
    <row r="1324" customFormat="false" ht="15" hidden="false" customHeight="false" outlineLevel="0" collapsed="false">
      <c r="A1324" s="27"/>
      <c r="B1324" s="5"/>
      <c r="C1324" s="35"/>
      <c r="D1324" s="18"/>
      <c r="E1324" s="5"/>
      <c r="F1324" s="14"/>
      <c r="G1324" s="5"/>
      <c r="H1324" s="27"/>
      <c r="I1324" s="5"/>
      <c r="J1324" s="19" t="str">
        <f aca="false">IF(A1324="","",IFERROR(INDEX(Empresas!$D:$D,MATCH(A1324,Empresas!$A:$A,0))&amp;"","não consta"))</f>
        <v/>
      </c>
      <c r="K1324" s="19" t="str">
        <f aca="false">IF(A1324="","",IFERROR(INDEX(Sancoes!$B:$B,MATCH(A1324,Sancoes!$A:$A,0))&amp;"","não consta"))</f>
        <v/>
      </c>
      <c r="L1324" s="19" t="str">
        <f aca="false">IF(A1324="","",IFERROR(INDEX(Eleitoral!$B:$B,MATCH(A1324,Eleitoral!$A:$A,0))&amp;"","não consta"))</f>
        <v/>
      </c>
      <c r="M1324" s="28" t="str">
        <f aca="false">IF(A1324="","",IF(OR(AND(K1324&lt;&gt;"",LOWER(K1324)&lt;&gt;"não consta"),AND(L1324&lt;&gt;"",LOWER(L1324)&lt;&gt;"não consta"),IFERROR(INDEX(Empresas!$G:$G,MATCH(A1324,Empresas!$A:$A,0))&amp;"","")&lt;&gt;""),"SIM",""))</f>
        <v/>
      </c>
      <c r="N1324" s="5"/>
      <c r="O1324" s="32" t="str">
        <f aca="false">IF(D1324="","",YEAR(D1324))</f>
        <v/>
      </c>
      <c r="P1324" s="5"/>
    </row>
    <row r="1325" customFormat="false" ht="15" hidden="false" customHeight="false" outlineLevel="0" collapsed="false">
      <c r="A1325" s="27"/>
      <c r="B1325" s="5"/>
      <c r="C1325" s="35"/>
      <c r="D1325" s="18"/>
      <c r="E1325" s="5"/>
      <c r="F1325" s="14"/>
      <c r="G1325" s="5"/>
      <c r="H1325" s="27"/>
      <c r="I1325" s="5"/>
      <c r="J1325" s="19" t="str">
        <f aca="false">IF(A1325="","",IFERROR(INDEX(Empresas!$D:$D,MATCH(A1325,Empresas!$A:$A,0))&amp;"","não consta"))</f>
        <v/>
      </c>
      <c r="K1325" s="19" t="str">
        <f aca="false">IF(A1325="","",IFERROR(INDEX(Sancoes!$B:$B,MATCH(A1325,Sancoes!$A:$A,0))&amp;"","não consta"))</f>
        <v/>
      </c>
      <c r="L1325" s="19" t="str">
        <f aca="false">IF(A1325="","",IFERROR(INDEX(Eleitoral!$B:$B,MATCH(A1325,Eleitoral!$A:$A,0))&amp;"","não consta"))</f>
        <v/>
      </c>
      <c r="M1325" s="28" t="str">
        <f aca="false">IF(A1325="","",IF(OR(AND(K1325&lt;&gt;"",LOWER(K1325)&lt;&gt;"não consta"),AND(L1325&lt;&gt;"",LOWER(L1325)&lt;&gt;"não consta"),IFERROR(INDEX(Empresas!$G:$G,MATCH(A1325,Empresas!$A:$A,0))&amp;"","")&lt;&gt;""),"SIM",""))</f>
        <v/>
      </c>
      <c r="N1325" s="5"/>
      <c r="O1325" s="32" t="str">
        <f aca="false">IF(D1325="","",YEAR(D1325))</f>
        <v/>
      </c>
      <c r="P1325" s="5"/>
    </row>
    <row r="1326" customFormat="false" ht="15" hidden="false" customHeight="false" outlineLevel="0" collapsed="false">
      <c r="A1326" s="27"/>
      <c r="B1326" s="5"/>
      <c r="C1326" s="35"/>
      <c r="D1326" s="18"/>
      <c r="E1326" s="5"/>
      <c r="F1326" s="14"/>
      <c r="G1326" s="5"/>
      <c r="H1326" s="27"/>
      <c r="I1326" s="5"/>
      <c r="J1326" s="19" t="str">
        <f aca="false">IF(A1326="","",IFERROR(INDEX(Empresas!$D:$D,MATCH(A1326,Empresas!$A:$A,0))&amp;"","não consta"))</f>
        <v/>
      </c>
      <c r="K1326" s="19" t="str">
        <f aca="false">IF(A1326="","",IFERROR(INDEX(Sancoes!$B:$B,MATCH(A1326,Sancoes!$A:$A,0))&amp;"","não consta"))</f>
        <v/>
      </c>
      <c r="L1326" s="19" t="str">
        <f aca="false">IF(A1326="","",IFERROR(INDEX(Eleitoral!$B:$B,MATCH(A1326,Eleitoral!$A:$A,0))&amp;"","não consta"))</f>
        <v/>
      </c>
      <c r="M1326" s="28" t="str">
        <f aca="false">IF(A1326="","",IF(OR(AND(K1326&lt;&gt;"",LOWER(K1326)&lt;&gt;"não consta"),AND(L1326&lt;&gt;"",LOWER(L1326)&lt;&gt;"não consta"),IFERROR(INDEX(Empresas!$G:$G,MATCH(A1326,Empresas!$A:$A,0))&amp;"","")&lt;&gt;""),"SIM",""))</f>
        <v/>
      </c>
      <c r="N1326" s="5"/>
      <c r="O1326" s="32" t="str">
        <f aca="false">IF(D1326="","",YEAR(D1326))</f>
        <v/>
      </c>
      <c r="P1326" s="5"/>
    </row>
    <row r="1327" customFormat="false" ht="15" hidden="false" customHeight="false" outlineLevel="0" collapsed="false">
      <c r="A1327" s="27"/>
      <c r="B1327" s="5"/>
      <c r="C1327" s="35"/>
      <c r="D1327" s="18"/>
      <c r="E1327" s="5"/>
      <c r="F1327" s="14"/>
      <c r="G1327" s="5"/>
      <c r="H1327" s="27"/>
      <c r="I1327" s="5"/>
      <c r="J1327" s="19" t="str">
        <f aca="false">IF(A1327="","",IFERROR(INDEX(Empresas!$D:$D,MATCH(A1327,Empresas!$A:$A,0))&amp;"","não consta"))</f>
        <v/>
      </c>
      <c r="K1327" s="19" t="str">
        <f aca="false">IF(A1327="","",IFERROR(INDEX(Sancoes!$B:$B,MATCH(A1327,Sancoes!$A:$A,0))&amp;"","não consta"))</f>
        <v/>
      </c>
      <c r="L1327" s="19" t="str">
        <f aca="false">IF(A1327="","",IFERROR(INDEX(Eleitoral!$B:$B,MATCH(A1327,Eleitoral!$A:$A,0))&amp;"","não consta"))</f>
        <v/>
      </c>
      <c r="M1327" s="28" t="str">
        <f aca="false">IF(A1327="","",IF(OR(AND(K1327&lt;&gt;"",LOWER(K1327)&lt;&gt;"não consta"),AND(L1327&lt;&gt;"",LOWER(L1327)&lt;&gt;"não consta"),IFERROR(INDEX(Empresas!$G:$G,MATCH(A1327,Empresas!$A:$A,0))&amp;"","")&lt;&gt;""),"SIM",""))</f>
        <v/>
      </c>
      <c r="N1327" s="5"/>
      <c r="O1327" s="32" t="str">
        <f aca="false">IF(D1327="","",YEAR(D1327))</f>
        <v/>
      </c>
      <c r="P1327" s="5"/>
    </row>
    <row r="1328" customFormat="false" ht="15" hidden="false" customHeight="false" outlineLevel="0" collapsed="false">
      <c r="A1328" s="27"/>
      <c r="B1328" s="5"/>
      <c r="C1328" s="35"/>
      <c r="D1328" s="18"/>
      <c r="E1328" s="5"/>
      <c r="F1328" s="14"/>
      <c r="G1328" s="5"/>
      <c r="H1328" s="27"/>
      <c r="I1328" s="5"/>
      <c r="J1328" s="19" t="str">
        <f aca="false">IF(A1328="","",IFERROR(INDEX(Empresas!$D:$D,MATCH(A1328,Empresas!$A:$A,0))&amp;"","não consta"))</f>
        <v/>
      </c>
      <c r="K1328" s="19" t="str">
        <f aca="false">IF(A1328="","",IFERROR(INDEX(Sancoes!$B:$B,MATCH(A1328,Sancoes!$A:$A,0))&amp;"","não consta"))</f>
        <v/>
      </c>
      <c r="L1328" s="19" t="str">
        <f aca="false">IF(A1328="","",IFERROR(INDEX(Eleitoral!$B:$B,MATCH(A1328,Eleitoral!$A:$A,0))&amp;"","não consta"))</f>
        <v/>
      </c>
      <c r="M1328" s="28" t="str">
        <f aca="false">IF(A1328="","",IF(OR(AND(K1328&lt;&gt;"",LOWER(K1328)&lt;&gt;"não consta"),AND(L1328&lt;&gt;"",LOWER(L1328)&lt;&gt;"não consta"),IFERROR(INDEX(Empresas!$G:$G,MATCH(A1328,Empresas!$A:$A,0))&amp;"","")&lt;&gt;""),"SIM",""))</f>
        <v/>
      </c>
      <c r="N1328" s="5"/>
      <c r="O1328" s="32" t="str">
        <f aca="false">IF(D1328="","",YEAR(D1328))</f>
        <v/>
      </c>
      <c r="P1328" s="5"/>
    </row>
    <row r="1329" customFormat="false" ht="15" hidden="false" customHeight="false" outlineLevel="0" collapsed="false">
      <c r="A1329" s="27"/>
      <c r="B1329" s="5"/>
      <c r="C1329" s="35"/>
      <c r="D1329" s="18"/>
      <c r="E1329" s="5"/>
      <c r="F1329" s="14"/>
      <c r="G1329" s="5"/>
      <c r="H1329" s="27"/>
      <c r="I1329" s="5"/>
      <c r="J1329" s="19" t="str">
        <f aca="false">IF(A1329="","",IFERROR(INDEX(Empresas!$D:$D,MATCH(A1329,Empresas!$A:$A,0))&amp;"","não consta"))</f>
        <v/>
      </c>
      <c r="K1329" s="19" t="str">
        <f aca="false">IF(A1329="","",IFERROR(INDEX(Sancoes!$B:$B,MATCH(A1329,Sancoes!$A:$A,0))&amp;"","não consta"))</f>
        <v/>
      </c>
      <c r="L1329" s="19" t="str">
        <f aca="false">IF(A1329="","",IFERROR(INDEX(Eleitoral!$B:$B,MATCH(A1329,Eleitoral!$A:$A,0))&amp;"","não consta"))</f>
        <v/>
      </c>
      <c r="M1329" s="28" t="str">
        <f aca="false">IF(A1329="","",IF(OR(AND(K1329&lt;&gt;"",LOWER(K1329)&lt;&gt;"não consta"),AND(L1329&lt;&gt;"",LOWER(L1329)&lt;&gt;"não consta"),IFERROR(INDEX(Empresas!$G:$G,MATCH(A1329,Empresas!$A:$A,0))&amp;"","")&lt;&gt;""),"SIM",""))</f>
        <v/>
      </c>
      <c r="N1329" s="5"/>
      <c r="O1329" s="32" t="str">
        <f aca="false">IF(D1329="","",YEAR(D1329))</f>
        <v/>
      </c>
      <c r="P1329" s="5"/>
    </row>
    <row r="1330" customFormat="false" ht="15" hidden="false" customHeight="false" outlineLevel="0" collapsed="false">
      <c r="A1330" s="27"/>
      <c r="B1330" s="5"/>
      <c r="C1330" s="35"/>
      <c r="D1330" s="18"/>
      <c r="E1330" s="5"/>
      <c r="F1330" s="14"/>
      <c r="G1330" s="5"/>
      <c r="H1330" s="27"/>
      <c r="I1330" s="5"/>
      <c r="J1330" s="19" t="str">
        <f aca="false">IF(A1330="","",IFERROR(INDEX(Empresas!$D:$D,MATCH(A1330,Empresas!$A:$A,0))&amp;"","não consta"))</f>
        <v/>
      </c>
      <c r="K1330" s="19" t="str">
        <f aca="false">IF(A1330="","",IFERROR(INDEX(Sancoes!$B:$B,MATCH(A1330,Sancoes!$A:$A,0))&amp;"","não consta"))</f>
        <v/>
      </c>
      <c r="L1330" s="19" t="str">
        <f aca="false">IF(A1330="","",IFERROR(INDEX(Eleitoral!$B:$B,MATCH(A1330,Eleitoral!$A:$A,0))&amp;"","não consta"))</f>
        <v/>
      </c>
      <c r="M1330" s="28" t="str">
        <f aca="false">IF(A1330="","",IF(OR(AND(K1330&lt;&gt;"",LOWER(K1330)&lt;&gt;"não consta"),AND(L1330&lt;&gt;"",LOWER(L1330)&lt;&gt;"não consta"),IFERROR(INDEX(Empresas!$G:$G,MATCH(A1330,Empresas!$A:$A,0))&amp;"","")&lt;&gt;""),"SIM",""))</f>
        <v/>
      </c>
      <c r="N1330" s="5"/>
      <c r="O1330" s="32" t="str">
        <f aca="false">IF(D1330="","",YEAR(D1330))</f>
        <v/>
      </c>
      <c r="P1330" s="5"/>
    </row>
    <row r="1331" customFormat="false" ht="15" hidden="false" customHeight="false" outlineLevel="0" collapsed="false">
      <c r="A1331" s="27"/>
      <c r="B1331" s="5"/>
      <c r="C1331" s="35"/>
      <c r="D1331" s="18"/>
      <c r="E1331" s="5"/>
      <c r="F1331" s="14"/>
      <c r="G1331" s="5"/>
      <c r="H1331" s="27"/>
      <c r="I1331" s="5"/>
      <c r="J1331" s="19" t="str">
        <f aca="false">IF(A1331="","",IFERROR(INDEX(Empresas!$D:$D,MATCH(A1331,Empresas!$A:$A,0))&amp;"","não consta"))</f>
        <v/>
      </c>
      <c r="K1331" s="19" t="str">
        <f aca="false">IF(A1331="","",IFERROR(INDEX(Sancoes!$B:$B,MATCH(A1331,Sancoes!$A:$A,0))&amp;"","não consta"))</f>
        <v/>
      </c>
      <c r="L1331" s="19" t="str">
        <f aca="false">IF(A1331="","",IFERROR(INDEX(Eleitoral!$B:$B,MATCH(A1331,Eleitoral!$A:$A,0))&amp;"","não consta"))</f>
        <v/>
      </c>
      <c r="M1331" s="28" t="str">
        <f aca="false">IF(A1331="","",IF(OR(AND(K1331&lt;&gt;"",LOWER(K1331)&lt;&gt;"não consta"),AND(L1331&lt;&gt;"",LOWER(L1331)&lt;&gt;"não consta"),IFERROR(INDEX(Empresas!$G:$G,MATCH(A1331,Empresas!$A:$A,0))&amp;"","")&lt;&gt;""),"SIM",""))</f>
        <v/>
      </c>
      <c r="N1331" s="5"/>
      <c r="O1331" s="32" t="str">
        <f aca="false">IF(D1331="","",YEAR(D1331))</f>
        <v/>
      </c>
      <c r="P1331" s="5"/>
    </row>
    <row r="1332" customFormat="false" ht="15" hidden="false" customHeight="false" outlineLevel="0" collapsed="false">
      <c r="A1332" s="27"/>
      <c r="B1332" s="5"/>
      <c r="C1332" s="35"/>
      <c r="D1332" s="18"/>
      <c r="E1332" s="5"/>
      <c r="F1332" s="14"/>
      <c r="G1332" s="5"/>
      <c r="H1332" s="27"/>
      <c r="I1332" s="5"/>
      <c r="J1332" s="19" t="str">
        <f aca="false">IF(A1332="","",IFERROR(INDEX(Empresas!$D:$D,MATCH(A1332,Empresas!$A:$A,0))&amp;"","não consta"))</f>
        <v/>
      </c>
      <c r="K1332" s="19" t="str">
        <f aca="false">IF(A1332="","",IFERROR(INDEX(Sancoes!$B:$B,MATCH(A1332,Sancoes!$A:$A,0))&amp;"","não consta"))</f>
        <v/>
      </c>
      <c r="L1332" s="19" t="str">
        <f aca="false">IF(A1332="","",IFERROR(INDEX(Eleitoral!$B:$B,MATCH(A1332,Eleitoral!$A:$A,0))&amp;"","não consta"))</f>
        <v/>
      </c>
      <c r="M1332" s="28" t="str">
        <f aca="false">IF(A1332="","",IF(OR(AND(K1332&lt;&gt;"",LOWER(K1332)&lt;&gt;"não consta"),AND(L1332&lt;&gt;"",LOWER(L1332)&lt;&gt;"não consta"),IFERROR(INDEX(Empresas!$G:$G,MATCH(A1332,Empresas!$A:$A,0))&amp;"","")&lt;&gt;""),"SIM",""))</f>
        <v/>
      </c>
      <c r="N1332" s="5"/>
      <c r="O1332" s="32" t="str">
        <f aca="false">IF(D1332="","",YEAR(D1332))</f>
        <v/>
      </c>
      <c r="P1332" s="5"/>
    </row>
    <row r="1333" customFormat="false" ht="15" hidden="false" customHeight="false" outlineLevel="0" collapsed="false">
      <c r="A1333" s="27"/>
      <c r="B1333" s="5"/>
      <c r="C1333" s="35"/>
      <c r="D1333" s="18"/>
      <c r="E1333" s="5"/>
      <c r="F1333" s="14"/>
      <c r="G1333" s="5"/>
      <c r="H1333" s="27"/>
      <c r="I1333" s="5"/>
      <c r="J1333" s="19" t="str">
        <f aca="false">IF(A1333="","",IFERROR(INDEX(Empresas!$D:$D,MATCH(A1333,Empresas!$A:$A,0))&amp;"","não consta"))</f>
        <v/>
      </c>
      <c r="K1333" s="19" t="str">
        <f aca="false">IF(A1333="","",IFERROR(INDEX(Sancoes!$B:$B,MATCH(A1333,Sancoes!$A:$A,0))&amp;"","não consta"))</f>
        <v/>
      </c>
      <c r="L1333" s="19" t="str">
        <f aca="false">IF(A1333="","",IFERROR(INDEX(Eleitoral!$B:$B,MATCH(A1333,Eleitoral!$A:$A,0))&amp;"","não consta"))</f>
        <v/>
      </c>
      <c r="M1333" s="28" t="str">
        <f aca="false">IF(A1333="","",IF(OR(AND(K1333&lt;&gt;"",LOWER(K1333)&lt;&gt;"não consta"),AND(L1333&lt;&gt;"",LOWER(L1333)&lt;&gt;"não consta"),IFERROR(INDEX(Empresas!$G:$G,MATCH(A1333,Empresas!$A:$A,0))&amp;"","")&lt;&gt;""),"SIM",""))</f>
        <v/>
      </c>
      <c r="N1333" s="5"/>
      <c r="O1333" s="32" t="str">
        <f aca="false">IF(D1333="","",YEAR(D1333))</f>
        <v/>
      </c>
      <c r="P1333" s="5"/>
    </row>
    <row r="1334" customFormat="false" ht="15" hidden="false" customHeight="false" outlineLevel="0" collapsed="false">
      <c r="A1334" s="27"/>
      <c r="B1334" s="5"/>
      <c r="C1334" s="35"/>
      <c r="D1334" s="18"/>
      <c r="E1334" s="5"/>
      <c r="F1334" s="14"/>
      <c r="G1334" s="5"/>
      <c r="H1334" s="27"/>
      <c r="I1334" s="5"/>
      <c r="J1334" s="19" t="str">
        <f aca="false">IF(A1334="","",IFERROR(INDEX(Empresas!$D:$D,MATCH(A1334,Empresas!$A:$A,0))&amp;"","não consta"))</f>
        <v/>
      </c>
      <c r="K1334" s="19" t="str">
        <f aca="false">IF(A1334="","",IFERROR(INDEX(Sancoes!$B:$B,MATCH(A1334,Sancoes!$A:$A,0))&amp;"","não consta"))</f>
        <v/>
      </c>
      <c r="L1334" s="19" t="str">
        <f aca="false">IF(A1334="","",IFERROR(INDEX(Eleitoral!$B:$B,MATCH(A1334,Eleitoral!$A:$A,0))&amp;"","não consta"))</f>
        <v/>
      </c>
      <c r="M1334" s="28" t="str">
        <f aca="false">IF(A1334="","",IF(OR(AND(K1334&lt;&gt;"",LOWER(K1334)&lt;&gt;"não consta"),AND(L1334&lt;&gt;"",LOWER(L1334)&lt;&gt;"não consta"),IFERROR(INDEX(Empresas!$G:$G,MATCH(A1334,Empresas!$A:$A,0))&amp;"","")&lt;&gt;""),"SIM",""))</f>
        <v/>
      </c>
      <c r="N1334" s="5"/>
      <c r="O1334" s="32" t="str">
        <f aca="false">IF(D1334="","",YEAR(D1334))</f>
        <v/>
      </c>
      <c r="P1334" s="5"/>
    </row>
    <row r="1335" customFormat="false" ht="15" hidden="false" customHeight="false" outlineLevel="0" collapsed="false">
      <c r="A1335" s="27"/>
      <c r="B1335" s="5"/>
      <c r="C1335" s="35"/>
      <c r="D1335" s="18"/>
      <c r="E1335" s="5"/>
      <c r="F1335" s="14"/>
      <c r="G1335" s="5"/>
      <c r="H1335" s="27"/>
      <c r="I1335" s="5"/>
      <c r="J1335" s="19" t="str">
        <f aca="false">IF(A1335="","",IFERROR(INDEX(Empresas!$D:$D,MATCH(A1335,Empresas!$A:$A,0))&amp;"","não consta"))</f>
        <v/>
      </c>
      <c r="K1335" s="19" t="str">
        <f aca="false">IF(A1335="","",IFERROR(INDEX(Sancoes!$B:$B,MATCH(A1335,Sancoes!$A:$A,0))&amp;"","não consta"))</f>
        <v/>
      </c>
      <c r="L1335" s="19" t="str">
        <f aca="false">IF(A1335="","",IFERROR(INDEX(Eleitoral!$B:$B,MATCH(A1335,Eleitoral!$A:$A,0))&amp;"","não consta"))</f>
        <v/>
      </c>
      <c r="M1335" s="28" t="str">
        <f aca="false">IF(A1335="","",IF(OR(AND(K1335&lt;&gt;"",LOWER(K1335)&lt;&gt;"não consta"),AND(L1335&lt;&gt;"",LOWER(L1335)&lt;&gt;"não consta"),IFERROR(INDEX(Empresas!$G:$G,MATCH(A1335,Empresas!$A:$A,0))&amp;"","")&lt;&gt;""),"SIM",""))</f>
        <v/>
      </c>
      <c r="N1335" s="5"/>
      <c r="O1335" s="32" t="str">
        <f aca="false">IF(D1335="","",YEAR(D1335))</f>
        <v/>
      </c>
      <c r="P1335" s="5"/>
    </row>
    <row r="1336" customFormat="false" ht="15" hidden="false" customHeight="false" outlineLevel="0" collapsed="false">
      <c r="A1336" s="27"/>
      <c r="B1336" s="5"/>
      <c r="C1336" s="35"/>
      <c r="D1336" s="18"/>
      <c r="E1336" s="5"/>
      <c r="F1336" s="14"/>
      <c r="G1336" s="5"/>
      <c r="H1336" s="27"/>
      <c r="I1336" s="5"/>
      <c r="J1336" s="19" t="str">
        <f aca="false">IF(A1336="","",IFERROR(INDEX(Empresas!$D:$D,MATCH(A1336,Empresas!$A:$A,0))&amp;"","não consta"))</f>
        <v/>
      </c>
      <c r="K1336" s="19" t="str">
        <f aca="false">IF(A1336="","",IFERROR(INDEX(Sancoes!$B:$B,MATCH(A1336,Sancoes!$A:$A,0))&amp;"","não consta"))</f>
        <v/>
      </c>
      <c r="L1336" s="19" t="str">
        <f aca="false">IF(A1336="","",IFERROR(INDEX(Eleitoral!$B:$B,MATCH(A1336,Eleitoral!$A:$A,0))&amp;"","não consta"))</f>
        <v/>
      </c>
      <c r="M1336" s="28" t="str">
        <f aca="false">IF(A1336="","",IF(OR(AND(K1336&lt;&gt;"",LOWER(K1336)&lt;&gt;"não consta"),AND(L1336&lt;&gt;"",LOWER(L1336)&lt;&gt;"não consta"),IFERROR(INDEX(Empresas!$G:$G,MATCH(A1336,Empresas!$A:$A,0))&amp;"","")&lt;&gt;""),"SIM",""))</f>
        <v/>
      </c>
      <c r="N1336" s="5"/>
      <c r="O1336" s="32" t="str">
        <f aca="false">IF(D1336="","",YEAR(D1336))</f>
        <v/>
      </c>
      <c r="P1336" s="5"/>
    </row>
    <row r="1337" customFormat="false" ht="15" hidden="false" customHeight="false" outlineLevel="0" collapsed="false">
      <c r="A1337" s="27"/>
      <c r="B1337" s="5"/>
      <c r="C1337" s="35"/>
      <c r="D1337" s="18"/>
      <c r="E1337" s="5"/>
      <c r="F1337" s="14"/>
      <c r="G1337" s="5"/>
      <c r="H1337" s="27"/>
      <c r="I1337" s="5"/>
      <c r="J1337" s="19" t="str">
        <f aca="false">IF(A1337="","",IFERROR(INDEX(Empresas!$D:$D,MATCH(A1337,Empresas!$A:$A,0))&amp;"","não consta"))</f>
        <v/>
      </c>
      <c r="K1337" s="19" t="str">
        <f aca="false">IF(A1337="","",IFERROR(INDEX(Sancoes!$B:$B,MATCH(A1337,Sancoes!$A:$A,0))&amp;"","não consta"))</f>
        <v/>
      </c>
      <c r="L1337" s="19" t="str">
        <f aca="false">IF(A1337="","",IFERROR(INDEX(Eleitoral!$B:$B,MATCH(A1337,Eleitoral!$A:$A,0))&amp;"","não consta"))</f>
        <v/>
      </c>
      <c r="M1337" s="28" t="str">
        <f aca="false">IF(A1337="","",IF(OR(AND(K1337&lt;&gt;"",LOWER(K1337)&lt;&gt;"não consta"),AND(L1337&lt;&gt;"",LOWER(L1337)&lt;&gt;"não consta"),IFERROR(INDEX(Empresas!$G:$G,MATCH(A1337,Empresas!$A:$A,0))&amp;"","")&lt;&gt;""),"SIM",""))</f>
        <v/>
      </c>
      <c r="N1337" s="5"/>
      <c r="O1337" s="32" t="str">
        <f aca="false">IF(D1337="","",YEAR(D1337))</f>
        <v/>
      </c>
      <c r="P1337" s="5"/>
    </row>
    <row r="1338" customFormat="false" ht="15" hidden="false" customHeight="false" outlineLevel="0" collapsed="false">
      <c r="A1338" s="27"/>
      <c r="B1338" s="5"/>
      <c r="C1338" s="35"/>
      <c r="D1338" s="18"/>
      <c r="E1338" s="5"/>
      <c r="F1338" s="14"/>
      <c r="G1338" s="5"/>
      <c r="H1338" s="27"/>
      <c r="I1338" s="5"/>
      <c r="J1338" s="19" t="str">
        <f aca="false">IF(A1338="","",IFERROR(INDEX(Empresas!$D:$D,MATCH(A1338,Empresas!$A:$A,0))&amp;"","não consta"))</f>
        <v/>
      </c>
      <c r="K1338" s="19" t="str">
        <f aca="false">IF(A1338="","",IFERROR(INDEX(Sancoes!$B:$B,MATCH(A1338,Sancoes!$A:$A,0))&amp;"","não consta"))</f>
        <v/>
      </c>
      <c r="L1338" s="19" t="str">
        <f aca="false">IF(A1338="","",IFERROR(INDEX(Eleitoral!$B:$B,MATCH(A1338,Eleitoral!$A:$A,0))&amp;"","não consta"))</f>
        <v/>
      </c>
      <c r="M1338" s="28" t="str">
        <f aca="false">IF(A1338="","",IF(OR(AND(K1338&lt;&gt;"",LOWER(K1338)&lt;&gt;"não consta"),AND(L1338&lt;&gt;"",LOWER(L1338)&lt;&gt;"não consta"),IFERROR(INDEX(Empresas!$G:$G,MATCH(A1338,Empresas!$A:$A,0))&amp;"","")&lt;&gt;""),"SIM",""))</f>
        <v/>
      </c>
      <c r="N1338" s="5"/>
      <c r="O1338" s="32" t="str">
        <f aca="false">IF(D1338="","",YEAR(D1338))</f>
        <v/>
      </c>
      <c r="P1338" s="5"/>
    </row>
    <row r="1339" customFormat="false" ht="15" hidden="false" customHeight="false" outlineLevel="0" collapsed="false">
      <c r="A1339" s="27"/>
      <c r="B1339" s="5"/>
      <c r="C1339" s="35"/>
      <c r="D1339" s="18"/>
      <c r="E1339" s="5"/>
      <c r="F1339" s="14"/>
      <c r="G1339" s="5"/>
      <c r="H1339" s="27"/>
      <c r="I1339" s="5"/>
      <c r="J1339" s="19" t="str">
        <f aca="false">IF(A1339="","",IFERROR(INDEX(Empresas!$D:$D,MATCH(A1339,Empresas!$A:$A,0))&amp;"","não consta"))</f>
        <v/>
      </c>
      <c r="K1339" s="19" t="str">
        <f aca="false">IF(A1339="","",IFERROR(INDEX(Sancoes!$B:$B,MATCH(A1339,Sancoes!$A:$A,0))&amp;"","não consta"))</f>
        <v/>
      </c>
      <c r="L1339" s="19" t="str">
        <f aca="false">IF(A1339="","",IFERROR(INDEX(Eleitoral!$B:$B,MATCH(A1339,Eleitoral!$A:$A,0))&amp;"","não consta"))</f>
        <v/>
      </c>
      <c r="M1339" s="28" t="str">
        <f aca="false">IF(A1339="","",IF(OR(AND(K1339&lt;&gt;"",LOWER(K1339)&lt;&gt;"não consta"),AND(L1339&lt;&gt;"",LOWER(L1339)&lt;&gt;"não consta"),IFERROR(INDEX(Empresas!$G:$G,MATCH(A1339,Empresas!$A:$A,0))&amp;"","")&lt;&gt;""),"SIM",""))</f>
        <v/>
      </c>
      <c r="N1339" s="5"/>
      <c r="O1339" s="32" t="str">
        <f aca="false">IF(D1339="","",YEAR(D1339))</f>
        <v/>
      </c>
      <c r="P1339" s="5"/>
    </row>
    <row r="1340" customFormat="false" ht="15" hidden="false" customHeight="false" outlineLevel="0" collapsed="false">
      <c r="A1340" s="27"/>
      <c r="B1340" s="5"/>
      <c r="C1340" s="35"/>
      <c r="D1340" s="18"/>
      <c r="E1340" s="5"/>
      <c r="F1340" s="14"/>
      <c r="G1340" s="5"/>
      <c r="H1340" s="27"/>
      <c r="I1340" s="5"/>
      <c r="J1340" s="19" t="str">
        <f aca="false">IF(A1340="","",IFERROR(INDEX(Empresas!$D:$D,MATCH(A1340,Empresas!$A:$A,0))&amp;"","não consta"))</f>
        <v/>
      </c>
      <c r="K1340" s="19" t="str">
        <f aca="false">IF(A1340="","",IFERROR(INDEX(Sancoes!$B:$B,MATCH(A1340,Sancoes!$A:$A,0))&amp;"","não consta"))</f>
        <v/>
      </c>
      <c r="L1340" s="19" t="str">
        <f aca="false">IF(A1340="","",IFERROR(INDEX(Eleitoral!$B:$B,MATCH(A1340,Eleitoral!$A:$A,0))&amp;"","não consta"))</f>
        <v/>
      </c>
      <c r="M1340" s="28" t="str">
        <f aca="false">IF(A1340="","",IF(OR(AND(K1340&lt;&gt;"",LOWER(K1340)&lt;&gt;"não consta"),AND(L1340&lt;&gt;"",LOWER(L1340)&lt;&gt;"não consta"),IFERROR(INDEX(Empresas!$G:$G,MATCH(A1340,Empresas!$A:$A,0))&amp;"","")&lt;&gt;""),"SIM",""))</f>
        <v/>
      </c>
      <c r="N1340" s="5"/>
      <c r="O1340" s="32" t="str">
        <f aca="false">IF(D1340="","",YEAR(D1340))</f>
        <v/>
      </c>
      <c r="P1340" s="5"/>
    </row>
    <row r="1341" customFormat="false" ht="15" hidden="false" customHeight="false" outlineLevel="0" collapsed="false">
      <c r="A1341" s="27"/>
      <c r="B1341" s="5"/>
      <c r="C1341" s="35"/>
      <c r="D1341" s="18"/>
      <c r="E1341" s="5"/>
      <c r="F1341" s="14"/>
      <c r="G1341" s="5"/>
      <c r="H1341" s="27"/>
      <c r="I1341" s="5"/>
      <c r="J1341" s="19" t="str">
        <f aca="false">IF(A1341="","",IFERROR(INDEX(Empresas!$D:$D,MATCH(A1341,Empresas!$A:$A,0))&amp;"","não consta"))</f>
        <v/>
      </c>
      <c r="K1341" s="19" t="str">
        <f aca="false">IF(A1341="","",IFERROR(INDEX(Sancoes!$B:$B,MATCH(A1341,Sancoes!$A:$A,0))&amp;"","não consta"))</f>
        <v/>
      </c>
      <c r="L1341" s="19" t="str">
        <f aca="false">IF(A1341="","",IFERROR(INDEX(Eleitoral!$B:$B,MATCH(A1341,Eleitoral!$A:$A,0))&amp;"","não consta"))</f>
        <v/>
      </c>
      <c r="M1341" s="28" t="str">
        <f aca="false">IF(A1341="","",IF(OR(AND(K1341&lt;&gt;"",LOWER(K1341)&lt;&gt;"não consta"),AND(L1341&lt;&gt;"",LOWER(L1341)&lt;&gt;"não consta"),IFERROR(INDEX(Empresas!$G:$G,MATCH(A1341,Empresas!$A:$A,0))&amp;"","")&lt;&gt;""),"SIM",""))</f>
        <v/>
      </c>
      <c r="N1341" s="5"/>
      <c r="O1341" s="32" t="str">
        <f aca="false">IF(D1341="","",YEAR(D1341))</f>
        <v/>
      </c>
      <c r="P1341" s="5"/>
    </row>
    <row r="1342" customFormat="false" ht="15" hidden="false" customHeight="false" outlineLevel="0" collapsed="false">
      <c r="A1342" s="27"/>
      <c r="B1342" s="5"/>
      <c r="C1342" s="35"/>
      <c r="D1342" s="18"/>
      <c r="E1342" s="5"/>
      <c r="F1342" s="14"/>
      <c r="G1342" s="5"/>
      <c r="H1342" s="27"/>
      <c r="I1342" s="5"/>
      <c r="J1342" s="19" t="str">
        <f aca="false">IF(A1342="","",IFERROR(INDEX(Empresas!$D:$D,MATCH(A1342,Empresas!$A:$A,0))&amp;"","não consta"))</f>
        <v/>
      </c>
      <c r="K1342" s="19" t="str">
        <f aca="false">IF(A1342="","",IFERROR(INDEX(Sancoes!$B:$B,MATCH(A1342,Sancoes!$A:$A,0))&amp;"","não consta"))</f>
        <v/>
      </c>
      <c r="L1342" s="19" t="str">
        <f aca="false">IF(A1342="","",IFERROR(INDEX(Eleitoral!$B:$B,MATCH(A1342,Eleitoral!$A:$A,0))&amp;"","não consta"))</f>
        <v/>
      </c>
      <c r="M1342" s="28" t="str">
        <f aca="false">IF(A1342="","",IF(OR(AND(K1342&lt;&gt;"",LOWER(K1342)&lt;&gt;"não consta"),AND(L1342&lt;&gt;"",LOWER(L1342)&lt;&gt;"não consta"),IFERROR(INDEX(Empresas!$G:$G,MATCH(A1342,Empresas!$A:$A,0))&amp;"","")&lt;&gt;""),"SIM",""))</f>
        <v/>
      </c>
      <c r="N1342" s="5"/>
      <c r="O1342" s="32" t="str">
        <f aca="false">IF(D1342="","",YEAR(D1342))</f>
        <v/>
      </c>
      <c r="P1342" s="5"/>
    </row>
    <row r="1343" customFormat="false" ht="15" hidden="false" customHeight="false" outlineLevel="0" collapsed="false">
      <c r="A1343" s="27"/>
      <c r="B1343" s="5"/>
      <c r="C1343" s="35"/>
      <c r="D1343" s="18"/>
      <c r="E1343" s="5"/>
      <c r="F1343" s="14"/>
      <c r="G1343" s="5"/>
      <c r="H1343" s="27"/>
      <c r="I1343" s="5"/>
      <c r="J1343" s="19" t="str">
        <f aca="false">IF(A1343="","",IFERROR(INDEX(Empresas!$D:$D,MATCH(A1343,Empresas!$A:$A,0))&amp;"","não consta"))</f>
        <v/>
      </c>
      <c r="K1343" s="19" t="str">
        <f aca="false">IF(A1343="","",IFERROR(INDEX(Sancoes!$B:$B,MATCH(A1343,Sancoes!$A:$A,0))&amp;"","não consta"))</f>
        <v/>
      </c>
      <c r="L1343" s="19" t="str">
        <f aca="false">IF(A1343="","",IFERROR(INDEX(Eleitoral!$B:$B,MATCH(A1343,Eleitoral!$A:$A,0))&amp;"","não consta"))</f>
        <v/>
      </c>
      <c r="M1343" s="28" t="str">
        <f aca="false">IF(A1343="","",IF(OR(AND(K1343&lt;&gt;"",LOWER(K1343)&lt;&gt;"não consta"),AND(L1343&lt;&gt;"",LOWER(L1343)&lt;&gt;"não consta"),IFERROR(INDEX(Empresas!$G:$G,MATCH(A1343,Empresas!$A:$A,0))&amp;"","")&lt;&gt;""),"SIM",""))</f>
        <v/>
      </c>
      <c r="N1343" s="5"/>
      <c r="O1343" s="32" t="str">
        <f aca="false">IF(D1343="","",YEAR(D1343))</f>
        <v/>
      </c>
      <c r="P1343" s="5"/>
    </row>
    <row r="1344" customFormat="false" ht="15" hidden="false" customHeight="false" outlineLevel="0" collapsed="false">
      <c r="A1344" s="27"/>
      <c r="B1344" s="5"/>
      <c r="C1344" s="35"/>
      <c r="D1344" s="18"/>
      <c r="E1344" s="5"/>
      <c r="F1344" s="14"/>
      <c r="G1344" s="5"/>
      <c r="H1344" s="27"/>
      <c r="I1344" s="5"/>
      <c r="J1344" s="19" t="str">
        <f aca="false">IF(A1344="","",IFERROR(INDEX(Empresas!$D:$D,MATCH(A1344,Empresas!$A:$A,0))&amp;"","não consta"))</f>
        <v/>
      </c>
      <c r="K1344" s="19" t="str">
        <f aca="false">IF(A1344="","",IFERROR(INDEX(Sancoes!$B:$B,MATCH(A1344,Sancoes!$A:$A,0))&amp;"","não consta"))</f>
        <v/>
      </c>
      <c r="L1344" s="19" t="str">
        <f aca="false">IF(A1344="","",IFERROR(INDEX(Eleitoral!$B:$B,MATCH(A1344,Eleitoral!$A:$A,0))&amp;"","não consta"))</f>
        <v/>
      </c>
      <c r="M1344" s="28" t="str">
        <f aca="false">IF(A1344="","",IF(OR(AND(K1344&lt;&gt;"",LOWER(K1344)&lt;&gt;"não consta"),AND(L1344&lt;&gt;"",LOWER(L1344)&lt;&gt;"não consta"),IFERROR(INDEX(Empresas!$G:$G,MATCH(A1344,Empresas!$A:$A,0))&amp;"","")&lt;&gt;""),"SIM",""))</f>
        <v/>
      </c>
      <c r="N1344" s="5"/>
      <c r="O1344" s="32" t="str">
        <f aca="false">IF(D1344="","",YEAR(D1344))</f>
        <v/>
      </c>
      <c r="P1344" s="5"/>
    </row>
    <row r="1345" customFormat="false" ht="15" hidden="false" customHeight="false" outlineLevel="0" collapsed="false">
      <c r="A1345" s="27"/>
      <c r="B1345" s="5"/>
      <c r="C1345" s="35"/>
      <c r="D1345" s="18"/>
      <c r="E1345" s="5"/>
      <c r="F1345" s="14"/>
      <c r="G1345" s="5"/>
      <c r="H1345" s="27"/>
      <c r="I1345" s="5"/>
      <c r="J1345" s="19" t="str">
        <f aca="false">IF(A1345="","",IFERROR(INDEX(Empresas!$D:$D,MATCH(A1345,Empresas!$A:$A,0))&amp;"","não consta"))</f>
        <v/>
      </c>
      <c r="K1345" s="19" t="str">
        <f aca="false">IF(A1345="","",IFERROR(INDEX(Sancoes!$B:$B,MATCH(A1345,Sancoes!$A:$A,0))&amp;"","não consta"))</f>
        <v/>
      </c>
      <c r="L1345" s="19" t="str">
        <f aca="false">IF(A1345="","",IFERROR(INDEX(Eleitoral!$B:$B,MATCH(A1345,Eleitoral!$A:$A,0))&amp;"","não consta"))</f>
        <v/>
      </c>
      <c r="M1345" s="28" t="str">
        <f aca="false">IF(A1345="","",IF(OR(AND(K1345&lt;&gt;"",LOWER(K1345)&lt;&gt;"não consta"),AND(L1345&lt;&gt;"",LOWER(L1345)&lt;&gt;"não consta"),IFERROR(INDEX(Empresas!$G:$G,MATCH(A1345,Empresas!$A:$A,0))&amp;"","")&lt;&gt;""),"SIM",""))</f>
        <v/>
      </c>
      <c r="N1345" s="5"/>
      <c r="O1345" s="32" t="str">
        <f aca="false">IF(D1345="","",YEAR(D1345))</f>
        <v/>
      </c>
      <c r="P1345" s="5"/>
    </row>
    <row r="1346" customFormat="false" ht="15" hidden="false" customHeight="false" outlineLevel="0" collapsed="false">
      <c r="A1346" s="27"/>
      <c r="B1346" s="5"/>
      <c r="C1346" s="35"/>
      <c r="D1346" s="18"/>
      <c r="E1346" s="5"/>
      <c r="F1346" s="14"/>
      <c r="G1346" s="5"/>
      <c r="H1346" s="27"/>
      <c r="I1346" s="5"/>
      <c r="J1346" s="19" t="str">
        <f aca="false">IF(A1346="","",IFERROR(INDEX(Empresas!$D:$D,MATCH(A1346,Empresas!$A:$A,0))&amp;"","não consta"))</f>
        <v/>
      </c>
      <c r="K1346" s="19" t="str">
        <f aca="false">IF(A1346="","",IFERROR(INDEX(Sancoes!$B:$B,MATCH(A1346,Sancoes!$A:$A,0))&amp;"","não consta"))</f>
        <v/>
      </c>
      <c r="L1346" s="19" t="str">
        <f aca="false">IF(A1346="","",IFERROR(INDEX(Eleitoral!$B:$B,MATCH(A1346,Eleitoral!$A:$A,0))&amp;"","não consta"))</f>
        <v/>
      </c>
      <c r="M1346" s="28" t="str">
        <f aca="false">IF(A1346="","",IF(OR(AND(K1346&lt;&gt;"",LOWER(K1346)&lt;&gt;"não consta"),AND(L1346&lt;&gt;"",LOWER(L1346)&lt;&gt;"não consta"),IFERROR(INDEX(Empresas!$G:$G,MATCH(A1346,Empresas!$A:$A,0))&amp;"","")&lt;&gt;""),"SIM",""))</f>
        <v/>
      </c>
      <c r="N1346" s="5"/>
      <c r="O1346" s="32" t="str">
        <f aca="false">IF(D1346="","",YEAR(D1346))</f>
        <v/>
      </c>
      <c r="P1346" s="5"/>
    </row>
    <row r="1347" customFormat="false" ht="15" hidden="false" customHeight="false" outlineLevel="0" collapsed="false">
      <c r="A1347" s="27"/>
      <c r="B1347" s="5"/>
      <c r="C1347" s="35"/>
      <c r="D1347" s="18"/>
      <c r="E1347" s="5"/>
      <c r="F1347" s="14"/>
      <c r="G1347" s="5"/>
      <c r="H1347" s="27"/>
      <c r="I1347" s="5"/>
      <c r="J1347" s="19" t="str">
        <f aca="false">IF(A1347="","",IFERROR(INDEX(Empresas!$D:$D,MATCH(A1347,Empresas!$A:$A,0))&amp;"","não consta"))</f>
        <v/>
      </c>
      <c r="K1347" s="19" t="str">
        <f aca="false">IF(A1347="","",IFERROR(INDEX(Sancoes!$B:$B,MATCH(A1347,Sancoes!$A:$A,0))&amp;"","não consta"))</f>
        <v/>
      </c>
      <c r="L1347" s="19" t="str">
        <f aca="false">IF(A1347="","",IFERROR(INDEX(Eleitoral!$B:$B,MATCH(A1347,Eleitoral!$A:$A,0))&amp;"","não consta"))</f>
        <v/>
      </c>
      <c r="M1347" s="28" t="str">
        <f aca="false">IF(A1347="","",IF(OR(AND(K1347&lt;&gt;"",LOWER(K1347)&lt;&gt;"não consta"),AND(L1347&lt;&gt;"",LOWER(L1347)&lt;&gt;"não consta"),IFERROR(INDEX(Empresas!$G:$G,MATCH(A1347,Empresas!$A:$A,0))&amp;"","")&lt;&gt;""),"SIM",""))</f>
        <v/>
      </c>
      <c r="N1347" s="5"/>
      <c r="O1347" s="32" t="str">
        <f aca="false">IF(D1347="","",YEAR(D1347))</f>
        <v/>
      </c>
      <c r="P1347" s="5"/>
    </row>
    <row r="1348" customFormat="false" ht="15" hidden="false" customHeight="false" outlineLevel="0" collapsed="false">
      <c r="A1348" s="27"/>
      <c r="B1348" s="5"/>
      <c r="C1348" s="35"/>
      <c r="D1348" s="18"/>
      <c r="E1348" s="5"/>
      <c r="F1348" s="14"/>
      <c r="G1348" s="5"/>
      <c r="H1348" s="27"/>
      <c r="I1348" s="5"/>
      <c r="J1348" s="19" t="str">
        <f aca="false">IF(A1348="","",IFERROR(INDEX(Empresas!$D:$D,MATCH(A1348,Empresas!$A:$A,0))&amp;"","não consta"))</f>
        <v/>
      </c>
      <c r="K1348" s="19" t="str">
        <f aca="false">IF(A1348="","",IFERROR(INDEX(Sancoes!$B:$B,MATCH(A1348,Sancoes!$A:$A,0))&amp;"","não consta"))</f>
        <v/>
      </c>
      <c r="L1348" s="19" t="str">
        <f aca="false">IF(A1348="","",IFERROR(INDEX(Eleitoral!$B:$B,MATCH(A1348,Eleitoral!$A:$A,0))&amp;"","não consta"))</f>
        <v/>
      </c>
      <c r="M1348" s="28" t="str">
        <f aca="false">IF(A1348="","",IF(OR(AND(K1348&lt;&gt;"",LOWER(K1348)&lt;&gt;"não consta"),AND(L1348&lt;&gt;"",LOWER(L1348)&lt;&gt;"não consta"),IFERROR(INDEX(Empresas!$G:$G,MATCH(A1348,Empresas!$A:$A,0))&amp;"","")&lt;&gt;""),"SIM",""))</f>
        <v/>
      </c>
      <c r="N1348" s="5"/>
      <c r="O1348" s="32" t="str">
        <f aca="false">IF(D1348="","",YEAR(D1348))</f>
        <v/>
      </c>
      <c r="P1348" s="5"/>
    </row>
    <row r="1349" customFormat="false" ht="15" hidden="false" customHeight="false" outlineLevel="0" collapsed="false">
      <c r="A1349" s="27"/>
      <c r="B1349" s="5"/>
      <c r="C1349" s="35"/>
      <c r="D1349" s="18"/>
      <c r="E1349" s="5"/>
      <c r="F1349" s="14"/>
      <c r="G1349" s="5"/>
      <c r="H1349" s="27"/>
      <c r="I1349" s="5"/>
      <c r="J1349" s="19" t="str">
        <f aca="false">IF(A1349="","",IFERROR(INDEX(Empresas!$D:$D,MATCH(A1349,Empresas!$A:$A,0))&amp;"","não consta"))</f>
        <v/>
      </c>
      <c r="K1349" s="19" t="str">
        <f aca="false">IF(A1349="","",IFERROR(INDEX(Sancoes!$B:$B,MATCH(A1349,Sancoes!$A:$A,0))&amp;"","não consta"))</f>
        <v/>
      </c>
      <c r="L1349" s="19" t="str">
        <f aca="false">IF(A1349="","",IFERROR(INDEX(Eleitoral!$B:$B,MATCH(A1349,Eleitoral!$A:$A,0))&amp;"","não consta"))</f>
        <v/>
      </c>
      <c r="M1349" s="28" t="str">
        <f aca="false">IF(A1349="","",IF(OR(AND(K1349&lt;&gt;"",LOWER(K1349)&lt;&gt;"não consta"),AND(L1349&lt;&gt;"",LOWER(L1349)&lt;&gt;"não consta"),IFERROR(INDEX(Empresas!$G:$G,MATCH(A1349,Empresas!$A:$A,0))&amp;"","")&lt;&gt;""),"SIM",""))</f>
        <v/>
      </c>
      <c r="N1349" s="5"/>
      <c r="O1349" s="32" t="str">
        <f aca="false">IF(D1349="","",YEAR(D1349))</f>
        <v/>
      </c>
      <c r="P1349" s="5"/>
    </row>
    <row r="1350" customFormat="false" ht="15" hidden="false" customHeight="false" outlineLevel="0" collapsed="false">
      <c r="A1350" s="27"/>
      <c r="B1350" s="5"/>
      <c r="C1350" s="35"/>
      <c r="D1350" s="18"/>
      <c r="E1350" s="5"/>
      <c r="F1350" s="14"/>
      <c r="G1350" s="5"/>
      <c r="H1350" s="27"/>
      <c r="I1350" s="5"/>
      <c r="J1350" s="19" t="str">
        <f aca="false">IF(A1350="","",IFERROR(INDEX(Empresas!$D:$D,MATCH(A1350,Empresas!$A:$A,0))&amp;"","não consta"))</f>
        <v/>
      </c>
      <c r="K1350" s="19" t="str">
        <f aca="false">IF(A1350="","",IFERROR(INDEX(Sancoes!$B:$B,MATCH(A1350,Sancoes!$A:$A,0))&amp;"","não consta"))</f>
        <v/>
      </c>
      <c r="L1350" s="19" t="str">
        <f aca="false">IF(A1350="","",IFERROR(INDEX(Eleitoral!$B:$B,MATCH(A1350,Eleitoral!$A:$A,0))&amp;"","não consta"))</f>
        <v/>
      </c>
      <c r="M1350" s="28" t="str">
        <f aca="false">IF(A1350="","",IF(OR(AND(K1350&lt;&gt;"",LOWER(K1350)&lt;&gt;"não consta"),AND(L1350&lt;&gt;"",LOWER(L1350)&lt;&gt;"não consta"),IFERROR(INDEX(Empresas!$G:$G,MATCH(A1350,Empresas!$A:$A,0))&amp;"","")&lt;&gt;""),"SIM",""))</f>
        <v/>
      </c>
      <c r="N1350" s="5"/>
      <c r="O1350" s="32" t="str">
        <f aca="false">IF(D1350="","",YEAR(D1350))</f>
        <v/>
      </c>
      <c r="P1350" s="5"/>
    </row>
    <row r="1351" customFormat="false" ht="15" hidden="false" customHeight="false" outlineLevel="0" collapsed="false">
      <c r="A1351" s="27"/>
      <c r="B1351" s="5"/>
      <c r="C1351" s="35"/>
      <c r="D1351" s="18"/>
      <c r="E1351" s="5"/>
      <c r="F1351" s="14"/>
      <c r="G1351" s="5"/>
      <c r="H1351" s="27"/>
      <c r="I1351" s="5"/>
      <c r="J1351" s="19" t="str">
        <f aca="false">IF(A1351="","",IFERROR(INDEX(Empresas!$D:$D,MATCH(A1351,Empresas!$A:$A,0))&amp;"","não consta"))</f>
        <v/>
      </c>
      <c r="K1351" s="19" t="str">
        <f aca="false">IF(A1351="","",IFERROR(INDEX(Sancoes!$B:$B,MATCH(A1351,Sancoes!$A:$A,0))&amp;"","não consta"))</f>
        <v/>
      </c>
      <c r="L1351" s="19" t="str">
        <f aca="false">IF(A1351="","",IFERROR(INDEX(Eleitoral!$B:$B,MATCH(A1351,Eleitoral!$A:$A,0))&amp;"","não consta"))</f>
        <v/>
      </c>
      <c r="M1351" s="28" t="str">
        <f aca="false">IF(A1351="","",IF(OR(AND(K1351&lt;&gt;"",LOWER(K1351)&lt;&gt;"não consta"),AND(L1351&lt;&gt;"",LOWER(L1351)&lt;&gt;"não consta"),IFERROR(INDEX(Empresas!$G:$G,MATCH(A1351,Empresas!$A:$A,0))&amp;"","")&lt;&gt;""),"SIM",""))</f>
        <v/>
      </c>
      <c r="N1351" s="5"/>
      <c r="O1351" s="32" t="str">
        <f aca="false">IF(D1351="","",YEAR(D1351))</f>
        <v/>
      </c>
      <c r="P1351" s="5"/>
    </row>
    <row r="1352" customFormat="false" ht="15" hidden="false" customHeight="false" outlineLevel="0" collapsed="false">
      <c r="A1352" s="27"/>
      <c r="B1352" s="5"/>
      <c r="C1352" s="35"/>
      <c r="D1352" s="18"/>
      <c r="E1352" s="5"/>
      <c r="F1352" s="14"/>
      <c r="G1352" s="5"/>
      <c r="H1352" s="27"/>
      <c r="I1352" s="5"/>
      <c r="J1352" s="19" t="str">
        <f aca="false">IF(A1352="","",IFERROR(INDEX(Empresas!$D:$D,MATCH(A1352,Empresas!$A:$A,0))&amp;"","não consta"))</f>
        <v/>
      </c>
      <c r="K1352" s="19" t="str">
        <f aca="false">IF(A1352="","",IFERROR(INDEX(Sancoes!$B:$B,MATCH(A1352,Sancoes!$A:$A,0))&amp;"","não consta"))</f>
        <v/>
      </c>
      <c r="L1352" s="19" t="str">
        <f aca="false">IF(A1352="","",IFERROR(INDEX(Eleitoral!$B:$B,MATCH(A1352,Eleitoral!$A:$A,0))&amp;"","não consta"))</f>
        <v/>
      </c>
      <c r="M1352" s="28" t="str">
        <f aca="false">IF(A1352="","",IF(OR(AND(K1352&lt;&gt;"",LOWER(K1352)&lt;&gt;"não consta"),AND(L1352&lt;&gt;"",LOWER(L1352)&lt;&gt;"não consta"),IFERROR(INDEX(Empresas!$G:$G,MATCH(A1352,Empresas!$A:$A,0))&amp;"","")&lt;&gt;""),"SIM",""))</f>
        <v/>
      </c>
      <c r="N1352" s="5"/>
      <c r="O1352" s="32" t="str">
        <f aca="false">IF(D1352="","",YEAR(D1352))</f>
        <v/>
      </c>
      <c r="P1352" s="5"/>
    </row>
    <row r="1353" customFormat="false" ht="15" hidden="false" customHeight="false" outlineLevel="0" collapsed="false">
      <c r="A1353" s="27"/>
      <c r="B1353" s="5"/>
      <c r="C1353" s="35"/>
      <c r="D1353" s="18"/>
      <c r="E1353" s="5"/>
      <c r="F1353" s="14"/>
      <c r="G1353" s="5"/>
      <c r="H1353" s="27"/>
      <c r="I1353" s="5"/>
      <c r="J1353" s="19" t="str">
        <f aca="false">IF(A1353="","",IFERROR(INDEX(Empresas!$D:$D,MATCH(A1353,Empresas!$A:$A,0))&amp;"","não consta"))</f>
        <v/>
      </c>
      <c r="K1353" s="19" t="str">
        <f aca="false">IF(A1353="","",IFERROR(INDEX(Sancoes!$B:$B,MATCH(A1353,Sancoes!$A:$A,0))&amp;"","não consta"))</f>
        <v/>
      </c>
      <c r="L1353" s="19" t="str">
        <f aca="false">IF(A1353="","",IFERROR(INDEX(Eleitoral!$B:$B,MATCH(A1353,Eleitoral!$A:$A,0))&amp;"","não consta"))</f>
        <v/>
      </c>
      <c r="M1353" s="28" t="str">
        <f aca="false">IF(A1353="","",IF(OR(AND(K1353&lt;&gt;"",LOWER(K1353)&lt;&gt;"não consta"),AND(L1353&lt;&gt;"",LOWER(L1353)&lt;&gt;"não consta"),IFERROR(INDEX(Empresas!$G:$G,MATCH(A1353,Empresas!$A:$A,0))&amp;"","")&lt;&gt;""),"SIM",""))</f>
        <v/>
      </c>
      <c r="N1353" s="5"/>
      <c r="O1353" s="32" t="str">
        <f aca="false">IF(D1353="","",YEAR(D1353))</f>
        <v/>
      </c>
      <c r="P1353" s="5"/>
    </row>
    <row r="1354" customFormat="false" ht="15" hidden="false" customHeight="false" outlineLevel="0" collapsed="false">
      <c r="A1354" s="27"/>
      <c r="B1354" s="5"/>
      <c r="C1354" s="35"/>
      <c r="D1354" s="18"/>
      <c r="E1354" s="5"/>
      <c r="F1354" s="14"/>
      <c r="G1354" s="5"/>
      <c r="H1354" s="27"/>
      <c r="I1354" s="5"/>
      <c r="J1354" s="19" t="str">
        <f aca="false">IF(A1354="","",IFERROR(INDEX(Empresas!$D:$D,MATCH(A1354,Empresas!$A:$A,0))&amp;"","não consta"))</f>
        <v/>
      </c>
      <c r="K1354" s="19" t="str">
        <f aca="false">IF(A1354="","",IFERROR(INDEX(Sancoes!$B:$B,MATCH(A1354,Sancoes!$A:$A,0))&amp;"","não consta"))</f>
        <v/>
      </c>
      <c r="L1354" s="19" t="str">
        <f aca="false">IF(A1354="","",IFERROR(INDEX(Eleitoral!$B:$B,MATCH(A1354,Eleitoral!$A:$A,0))&amp;"","não consta"))</f>
        <v/>
      </c>
      <c r="M1354" s="28" t="str">
        <f aca="false">IF(A1354="","",IF(OR(AND(K1354&lt;&gt;"",LOWER(K1354)&lt;&gt;"não consta"),AND(L1354&lt;&gt;"",LOWER(L1354)&lt;&gt;"não consta"),IFERROR(INDEX(Empresas!$G:$G,MATCH(A1354,Empresas!$A:$A,0))&amp;"","")&lt;&gt;""),"SIM",""))</f>
        <v/>
      </c>
      <c r="N1354" s="5"/>
      <c r="O1354" s="32" t="str">
        <f aca="false">IF(D1354="","",YEAR(D1354))</f>
        <v/>
      </c>
      <c r="P1354" s="5"/>
    </row>
    <row r="1355" customFormat="false" ht="15" hidden="false" customHeight="false" outlineLevel="0" collapsed="false">
      <c r="A1355" s="27"/>
      <c r="B1355" s="5"/>
      <c r="C1355" s="35"/>
      <c r="D1355" s="18"/>
      <c r="E1355" s="5"/>
      <c r="F1355" s="14"/>
      <c r="G1355" s="5"/>
      <c r="H1355" s="27"/>
      <c r="I1355" s="5"/>
      <c r="J1355" s="19" t="str">
        <f aca="false">IF(A1355="","",IFERROR(INDEX(Empresas!$D:$D,MATCH(A1355,Empresas!$A:$A,0))&amp;"","não consta"))</f>
        <v/>
      </c>
      <c r="K1355" s="19" t="str">
        <f aca="false">IF(A1355="","",IFERROR(INDEX(Sancoes!$B:$B,MATCH(A1355,Sancoes!$A:$A,0))&amp;"","não consta"))</f>
        <v/>
      </c>
      <c r="L1355" s="19" t="str">
        <f aca="false">IF(A1355="","",IFERROR(INDEX(Eleitoral!$B:$B,MATCH(A1355,Eleitoral!$A:$A,0))&amp;"","não consta"))</f>
        <v/>
      </c>
      <c r="M1355" s="28" t="str">
        <f aca="false">IF(A1355="","",IF(OR(AND(K1355&lt;&gt;"",LOWER(K1355)&lt;&gt;"não consta"),AND(L1355&lt;&gt;"",LOWER(L1355)&lt;&gt;"não consta"),IFERROR(INDEX(Empresas!$G:$G,MATCH(A1355,Empresas!$A:$A,0))&amp;"","")&lt;&gt;""),"SIM",""))</f>
        <v/>
      </c>
      <c r="N1355" s="5"/>
      <c r="O1355" s="32" t="str">
        <f aca="false">IF(D1355="","",YEAR(D1355))</f>
        <v/>
      </c>
      <c r="P1355" s="5"/>
    </row>
    <row r="1356" customFormat="false" ht="15" hidden="false" customHeight="false" outlineLevel="0" collapsed="false">
      <c r="A1356" s="27"/>
      <c r="B1356" s="5"/>
      <c r="C1356" s="35"/>
      <c r="D1356" s="18"/>
      <c r="E1356" s="5"/>
      <c r="F1356" s="14"/>
      <c r="G1356" s="5"/>
      <c r="H1356" s="27"/>
      <c r="I1356" s="5"/>
      <c r="J1356" s="19" t="str">
        <f aca="false">IF(A1356="","",IFERROR(INDEX(Empresas!$D:$D,MATCH(A1356,Empresas!$A:$A,0))&amp;"","não consta"))</f>
        <v/>
      </c>
      <c r="K1356" s="19" t="str">
        <f aca="false">IF(A1356="","",IFERROR(INDEX(Sancoes!$B:$B,MATCH(A1356,Sancoes!$A:$A,0))&amp;"","não consta"))</f>
        <v/>
      </c>
      <c r="L1356" s="19" t="str">
        <f aca="false">IF(A1356="","",IFERROR(INDEX(Eleitoral!$B:$B,MATCH(A1356,Eleitoral!$A:$A,0))&amp;"","não consta"))</f>
        <v/>
      </c>
      <c r="M1356" s="28" t="str">
        <f aca="false">IF(A1356="","",IF(OR(AND(K1356&lt;&gt;"",LOWER(K1356)&lt;&gt;"não consta"),AND(L1356&lt;&gt;"",LOWER(L1356)&lt;&gt;"não consta"),IFERROR(INDEX(Empresas!$G:$G,MATCH(A1356,Empresas!$A:$A,0))&amp;"","")&lt;&gt;""),"SIM",""))</f>
        <v/>
      </c>
      <c r="N1356" s="5"/>
      <c r="O1356" s="32" t="str">
        <f aca="false">IF(D1356="","",YEAR(D1356))</f>
        <v/>
      </c>
      <c r="P1356" s="5"/>
    </row>
    <row r="1357" customFormat="false" ht="15" hidden="false" customHeight="false" outlineLevel="0" collapsed="false">
      <c r="A1357" s="27"/>
      <c r="B1357" s="5"/>
      <c r="C1357" s="35"/>
      <c r="D1357" s="18"/>
      <c r="E1357" s="5"/>
      <c r="F1357" s="14"/>
      <c r="G1357" s="5"/>
      <c r="H1357" s="27"/>
      <c r="I1357" s="5"/>
      <c r="J1357" s="19" t="str">
        <f aca="false">IF(A1357="","",IFERROR(INDEX(Empresas!$D:$D,MATCH(A1357,Empresas!$A:$A,0))&amp;"","não consta"))</f>
        <v/>
      </c>
      <c r="K1357" s="19" t="str">
        <f aca="false">IF(A1357="","",IFERROR(INDEX(Sancoes!$B:$B,MATCH(A1357,Sancoes!$A:$A,0))&amp;"","não consta"))</f>
        <v/>
      </c>
      <c r="L1357" s="19" t="str">
        <f aca="false">IF(A1357="","",IFERROR(INDEX(Eleitoral!$B:$B,MATCH(A1357,Eleitoral!$A:$A,0))&amp;"","não consta"))</f>
        <v/>
      </c>
      <c r="M1357" s="28" t="str">
        <f aca="false">IF(A1357="","",IF(OR(AND(K1357&lt;&gt;"",LOWER(K1357)&lt;&gt;"não consta"),AND(L1357&lt;&gt;"",LOWER(L1357)&lt;&gt;"não consta"),IFERROR(INDEX(Empresas!$G:$G,MATCH(A1357,Empresas!$A:$A,0))&amp;"","")&lt;&gt;""),"SIM",""))</f>
        <v/>
      </c>
      <c r="N1357" s="5"/>
      <c r="O1357" s="32" t="str">
        <f aca="false">IF(D1357="","",YEAR(D1357))</f>
        <v/>
      </c>
      <c r="P1357" s="5"/>
    </row>
    <row r="1358" customFormat="false" ht="15" hidden="false" customHeight="false" outlineLevel="0" collapsed="false">
      <c r="A1358" s="27"/>
      <c r="B1358" s="5"/>
      <c r="C1358" s="35"/>
      <c r="D1358" s="18"/>
      <c r="E1358" s="5"/>
      <c r="F1358" s="14"/>
      <c r="G1358" s="5"/>
      <c r="H1358" s="27"/>
      <c r="I1358" s="5"/>
      <c r="J1358" s="19" t="str">
        <f aca="false">IF(A1358="","",IFERROR(INDEX(Empresas!$D:$D,MATCH(A1358,Empresas!$A:$A,0))&amp;"","não consta"))</f>
        <v/>
      </c>
      <c r="K1358" s="19" t="str">
        <f aca="false">IF(A1358="","",IFERROR(INDEX(Sancoes!$B:$B,MATCH(A1358,Sancoes!$A:$A,0))&amp;"","não consta"))</f>
        <v/>
      </c>
      <c r="L1358" s="19" t="str">
        <f aca="false">IF(A1358="","",IFERROR(INDEX(Eleitoral!$B:$B,MATCH(A1358,Eleitoral!$A:$A,0))&amp;"","não consta"))</f>
        <v/>
      </c>
      <c r="M1358" s="28" t="str">
        <f aca="false">IF(A1358="","",IF(OR(AND(K1358&lt;&gt;"",LOWER(K1358)&lt;&gt;"não consta"),AND(L1358&lt;&gt;"",LOWER(L1358)&lt;&gt;"não consta"),IFERROR(INDEX(Empresas!$G:$G,MATCH(A1358,Empresas!$A:$A,0))&amp;"","")&lt;&gt;""),"SIM",""))</f>
        <v/>
      </c>
      <c r="N1358" s="5"/>
      <c r="O1358" s="32" t="str">
        <f aca="false">IF(D1358="","",YEAR(D1358))</f>
        <v/>
      </c>
      <c r="P1358" s="5"/>
    </row>
    <row r="1359" customFormat="false" ht="15" hidden="false" customHeight="false" outlineLevel="0" collapsed="false">
      <c r="A1359" s="27"/>
      <c r="B1359" s="5"/>
      <c r="C1359" s="35"/>
      <c r="D1359" s="18"/>
      <c r="E1359" s="5"/>
      <c r="F1359" s="14"/>
      <c r="G1359" s="5"/>
      <c r="H1359" s="27"/>
      <c r="I1359" s="5"/>
      <c r="J1359" s="19" t="str">
        <f aca="false">IF(A1359="","",IFERROR(INDEX(Empresas!$D:$D,MATCH(A1359,Empresas!$A:$A,0))&amp;"","não consta"))</f>
        <v/>
      </c>
      <c r="K1359" s="19" t="str">
        <f aca="false">IF(A1359="","",IFERROR(INDEX(Sancoes!$B:$B,MATCH(A1359,Sancoes!$A:$A,0))&amp;"","não consta"))</f>
        <v/>
      </c>
      <c r="L1359" s="19" t="str">
        <f aca="false">IF(A1359="","",IFERROR(INDEX(Eleitoral!$B:$B,MATCH(A1359,Eleitoral!$A:$A,0))&amp;"","não consta"))</f>
        <v/>
      </c>
      <c r="M1359" s="28" t="str">
        <f aca="false">IF(A1359="","",IF(OR(AND(K1359&lt;&gt;"",LOWER(K1359)&lt;&gt;"não consta"),AND(L1359&lt;&gt;"",LOWER(L1359)&lt;&gt;"não consta"),IFERROR(INDEX(Empresas!$G:$G,MATCH(A1359,Empresas!$A:$A,0))&amp;"","")&lt;&gt;""),"SIM",""))</f>
        <v/>
      </c>
      <c r="N1359" s="5"/>
      <c r="O1359" s="32" t="str">
        <f aca="false">IF(D1359="","",YEAR(D1359))</f>
        <v/>
      </c>
      <c r="P1359" s="5"/>
    </row>
    <row r="1360" customFormat="false" ht="15" hidden="false" customHeight="false" outlineLevel="0" collapsed="false">
      <c r="A1360" s="27"/>
      <c r="B1360" s="5"/>
      <c r="C1360" s="35"/>
      <c r="D1360" s="18"/>
      <c r="E1360" s="5"/>
      <c r="F1360" s="14"/>
      <c r="G1360" s="5"/>
      <c r="H1360" s="27"/>
      <c r="I1360" s="5"/>
      <c r="J1360" s="19" t="str">
        <f aca="false">IF(A1360="","",IFERROR(INDEX(Empresas!$D:$D,MATCH(A1360,Empresas!$A:$A,0))&amp;"","não consta"))</f>
        <v/>
      </c>
      <c r="K1360" s="19" t="str">
        <f aca="false">IF(A1360="","",IFERROR(INDEX(Sancoes!$B:$B,MATCH(A1360,Sancoes!$A:$A,0))&amp;"","não consta"))</f>
        <v/>
      </c>
      <c r="L1360" s="19" t="str">
        <f aca="false">IF(A1360="","",IFERROR(INDEX(Eleitoral!$B:$B,MATCH(A1360,Eleitoral!$A:$A,0))&amp;"","não consta"))</f>
        <v/>
      </c>
      <c r="M1360" s="28" t="str">
        <f aca="false">IF(A1360="","",IF(OR(AND(K1360&lt;&gt;"",LOWER(K1360)&lt;&gt;"não consta"),AND(L1360&lt;&gt;"",LOWER(L1360)&lt;&gt;"não consta"),IFERROR(INDEX(Empresas!$G:$G,MATCH(A1360,Empresas!$A:$A,0))&amp;"","")&lt;&gt;""),"SIM",""))</f>
        <v/>
      </c>
      <c r="N1360" s="5"/>
      <c r="O1360" s="32" t="str">
        <f aca="false">IF(D1360="","",YEAR(D1360))</f>
        <v/>
      </c>
      <c r="P1360" s="5"/>
    </row>
    <row r="1361" customFormat="false" ht="15" hidden="false" customHeight="false" outlineLevel="0" collapsed="false">
      <c r="A1361" s="27"/>
      <c r="B1361" s="5"/>
      <c r="C1361" s="35"/>
      <c r="D1361" s="18"/>
      <c r="E1361" s="5"/>
      <c r="F1361" s="14"/>
      <c r="G1361" s="5"/>
      <c r="H1361" s="27"/>
      <c r="I1361" s="5"/>
      <c r="J1361" s="19" t="str">
        <f aca="false">IF(A1361="","",IFERROR(INDEX(Empresas!$D:$D,MATCH(A1361,Empresas!$A:$A,0))&amp;"","não consta"))</f>
        <v/>
      </c>
      <c r="K1361" s="19" t="str">
        <f aca="false">IF(A1361="","",IFERROR(INDEX(Sancoes!$B:$B,MATCH(A1361,Sancoes!$A:$A,0))&amp;"","não consta"))</f>
        <v/>
      </c>
      <c r="L1361" s="19" t="str">
        <f aca="false">IF(A1361="","",IFERROR(INDEX(Eleitoral!$B:$B,MATCH(A1361,Eleitoral!$A:$A,0))&amp;"","não consta"))</f>
        <v/>
      </c>
      <c r="M1361" s="28" t="str">
        <f aca="false">IF(A1361="","",IF(OR(AND(K1361&lt;&gt;"",LOWER(K1361)&lt;&gt;"não consta"),AND(L1361&lt;&gt;"",LOWER(L1361)&lt;&gt;"não consta"),IFERROR(INDEX(Empresas!$G:$G,MATCH(A1361,Empresas!$A:$A,0))&amp;"","")&lt;&gt;""),"SIM",""))</f>
        <v/>
      </c>
      <c r="N1361" s="5"/>
      <c r="O1361" s="32" t="str">
        <f aca="false">IF(D1361="","",YEAR(D1361))</f>
        <v/>
      </c>
      <c r="P1361" s="5"/>
    </row>
    <row r="1362" customFormat="false" ht="15" hidden="false" customHeight="false" outlineLevel="0" collapsed="false">
      <c r="A1362" s="27"/>
      <c r="B1362" s="5"/>
      <c r="C1362" s="35"/>
      <c r="D1362" s="18"/>
      <c r="E1362" s="5"/>
      <c r="F1362" s="14"/>
      <c r="G1362" s="5"/>
      <c r="H1362" s="27"/>
      <c r="I1362" s="5"/>
      <c r="J1362" s="19" t="str">
        <f aca="false">IF(A1362="","",IFERROR(INDEX(Empresas!$D:$D,MATCH(A1362,Empresas!$A:$A,0))&amp;"","não consta"))</f>
        <v/>
      </c>
      <c r="K1362" s="19" t="str">
        <f aca="false">IF(A1362="","",IFERROR(INDEX(Sancoes!$B:$B,MATCH(A1362,Sancoes!$A:$A,0))&amp;"","não consta"))</f>
        <v/>
      </c>
      <c r="L1362" s="19" t="str">
        <f aca="false">IF(A1362="","",IFERROR(INDEX(Eleitoral!$B:$B,MATCH(A1362,Eleitoral!$A:$A,0))&amp;"","não consta"))</f>
        <v/>
      </c>
      <c r="M1362" s="28" t="str">
        <f aca="false">IF(A1362="","",IF(OR(AND(K1362&lt;&gt;"",LOWER(K1362)&lt;&gt;"não consta"),AND(L1362&lt;&gt;"",LOWER(L1362)&lt;&gt;"não consta"),IFERROR(INDEX(Empresas!$G:$G,MATCH(A1362,Empresas!$A:$A,0))&amp;"","")&lt;&gt;""),"SIM",""))</f>
        <v/>
      </c>
      <c r="N1362" s="5"/>
      <c r="O1362" s="32" t="str">
        <f aca="false">IF(D1362="","",YEAR(D1362))</f>
        <v/>
      </c>
      <c r="P1362" s="5"/>
    </row>
    <row r="1363" customFormat="false" ht="15" hidden="false" customHeight="false" outlineLevel="0" collapsed="false">
      <c r="A1363" s="27"/>
      <c r="B1363" s="5"/>
      <c r="C1363" s="35"/>
      <c r="D1363" s="18"/>
      <c r="E1363" s="5"/>
      <c r="F1363" s="14"/>
      <c r="G1363" s="5"/>
      <c r="H1363" s="27"/>
      <c r="I1363" s="5"/>
      <c r="J1363" s="19" t="str">
        <f aca="false">IF(A1363="","",IFERROR(INDEX(Empresas!$D:$D,MATCH(A1363,Empresas!$A:$A,0))&amp;"","não consta"))</f>
        <v/>
      </c>
      <c r="K1363" s="19" t="str">
        <f aca="false">IF(A1363="","",IFERROR(INDEX(Sancoes!$B:$B,MATCH(A1363,Sancoes!$A:$A,0))&amp;"","não consta"))</f>
        <v/>
      </c>
      <c r="L1363" s="19" t="str">
        <f aca="false">IF(A1363="","",IFERROR(INDEX(Eleitoral!$B:$B,MATCH(A1363,Eleitoral!$A:$A,0))&amp;"","não consta"))</f>
        <v/>
      </c>
      <c r="M1363" s="28" t="str">
        <f aca="false">IF(A1363="","",IF(OR(AND(K1363&lt;&gt;"",LOWER(K1363)&lt;&gt;"não consta"),AND(L1363&lt;&gt;"",LOWER(L1363)&lt;&gt;"não consta"),IFERROR(INDEX(Empresas!$G:$G,MATCH(A1363,Empresas!$A:$A,0))&amp;"","")&lt;&gt;""),"SIM",""))</f>
        <v/>
      </c>
      <c r="N1363" s="5"/>
      <c r="O1363" s="32" t="str">
        <f aca="false">IF(D1363="","",YEAR(D1363))</f>
        <v/>
      </c>
      <c r="P1363" s="5"/>
    </row>
    <row r="1364" customFormat="false" ht="15" hidden="false" customHeight="false" outlineLevel="0" collapsed="false">
      <c r="A1364" s="27"/>
      <c r="B1364" s="5"/>
      <c r="C1364" s="35"/>
      <c r="D1364" s="18"/>
      <c r="E1364" s="5"/>
      <c r="F1364" s="14"/>
      <c r="G1364" s="5"/>
      <c r="H1364" s="27"/>
      <c r="I1364" s="5"/>
      <c r="J1364" s="19" t="str">
        <f aca="false">IF(A1364="","",IFERROR(INDEX(Empresas!$D:$D,MATCH(A1364,Empresas!$A:$A,0))&amp;"","não consta"))</f>
        <v/>
      </c>
      <c r="K1364" s="19" t="str">
        <f aca="false">IF(A1364="","",IFERROR(INDEX(Sancoes!$B:$B,MATCH(A1364,Sancoes!$A:$A,0))&amp;"","não consta"))</f>
        <v/>
      </c>
      <c r="L1364" s="19" t="str">
        <f aca="false">IF(A1364="","",IFERROR(INDEX(Eleitoral!$B:$B,MATCH(A1364,Eleitoral!$A:$A,0))&amp;"","não consta"))</f>
        <v/>
      </c>
      <c r="M1364" s="28" t="str">
        <f aca="false">IF(A1364="","",IF(OR(AND(K1364&lt;&gt;"",LOWER(K1364)&lt;&gt;"não consta"),AND(L1364&lt;&gt;"",LOWER(L1364)&lt;&gt;"não consta"),IFERROR(INDEX(Empresas!$G:$G,MATCH(A1364,Empresas!$A:$A,0))&amp;"","")&lt;&gt;""),"SIM",""))</f>
        <v/>
      </c>
      <c r="N1364" s="5"/>
      <c r="O1364" s="32" t="str">
        <f aca="false">IF(D1364="","",YEAR(D1364))</f>
        <v/>
      </c>
      <c r="P1364" s="5"/>
    </row>
    <row r="1365" customFormat="false" ht="15" hidden="false" customHeight="false" outlineLevel="0" collapsed="false">
      <c r="A1365" s="27"/>
      <c r="B1365" s="5"/>
      <c r="C1365" s="35"/>
      <c r="D1365" s="18"/>
      <c r="E1365" s="5"/>
      <c r="F1365" s="14"/>
      <c r="G1365" s="5"/>
      <c r="H1365" s="27"/>
      <c r="I1365" s="5"/>
      <c r="J1365" s="19" t="str">
        <f aca="false">IF(A1365="","",IFERROR(INDEX(Empresas!$D:$D,MATCH(A1365,Empresas!$A:$A,0))&amp;"","não consta"))</f>
        <v/>
      </c>
      <c r="K1365" s="19" t="str">
        <f aca="false">IF(A1365="","",IFERROR(INDEX(Sancoes!$B:$B,MATCH(A1365,Sancoes!$A:$A,0))&amp;"","não consta"))</f>
        <v/>
      </c>
      <c r="L1365" s="19" t="str">
        <f aca="false">IF(A1365="","",IFERROR(INDEX(Eleitoral!$B:$B,MATCH(A1365,Eleitoral!$A:$A,0))&amp;"","não consta"))</f>
        <v/>
      </c>
      <c r="M1365" s="28" t="str">
        <f aca="false">IF(A1365="","",IF(OR(AND(K1365&lt;&gt;"",LOWER(K1365)&lt;&gt;"não consta"),AND(L1365&lt;&gt;"",LOWER(L1365)&lt;&gt;"não consta"),IFERROR(INDEX(Empresas!$G:$G,MATCH(A1365,Empresas!$A:$A,0))&amp;"","")&lt;&gt;""),"SIM",""))</f>
        <v/>
      </c>
      <c r="N1365" s="5"/>
      <c r="O1365" s="32" t="str">
        <f aca="false">IF(D1365="","",YEAR(D1365))</f>
        <v/>
      </c>
      <c r="P1365" s="5"/>
    </row>
    <row r="1366" customFormat="false" ht="15" hidden="false" customHeight="false" outlineLevel="0" collapsed="false">
      <c r="A1366" s="27"/>
      <c r="B1366" s="5"/>
      <c r="C1366" s="35"/>
      <c r="D1366" s="18"/>
      <c r="E1366" s="5"/>
      <c r="F1366" s="14"/>
      <c r="G1366" s="5"/>
      <c r="H1366" s="27"/>
      <c r="I1366" s="5"/>
      <c r="J1366" s="19" t="str">
        <f aca="false">IF(A1366="","",IFERROR(INDEX(Empresas!$D:$D,MATCH(A1366,Empresas!$A:$A,0))&amp;"","não consta"))</f>
        <v/>
      </c>
      <c r="K1366" s="19" t="str">
        <f aca="false">IF(A1366="","",IFERROR(INDEX(Sancoes!$B:$B,MATCH(A1366,Sancoes!$A:$A,0))&amp;"","não consta"))</f>
        <v/>
      </c>
      <c r="L1366" s="19" t="str">
        <f aca="false">IF(A1366="","",IFERROR(INDEX(Eleitoral!$B:$B,MATCH(A1366,Eleitoral!$A:$A,0))&amp;"","não consta"))</f>
        <v/>
      </c>
      <c r="M1366" s="28" t="str">
        <f aca="false">IF(A1366="","",IF(OR(AND(K1366&lt;&gt;"",LOWER(K1366)&lt;&gt;"não consta"),AND(L1366&lt;&gt;"",LOWER(L1366)&lt;&gt;"não consta"),IFERROR(INDEX(Empresas!$G:$G,MATCH(A1366,Empresas!$A:$A,0))&amp;"","")&lt;&gt;""),"SIM",""))</f>
        <v/>
      </c>
      <c r="N1366" s="5"/>
      <c r="O1366" s="32" t="str">
        <f aca="false">IF(D1366="","",YEAR(D1366))</f>
        <v/>
      </c>
      <c r="P1366" s="5"/>
    </row>
    <row r="1367" customFormat="false" ht="15" hidden="false" customHeight="false" outlineLevel="0" collapsed="false">
      <c r="A1367" s="27"/>
      <c r="B1367" s="5"/>
      <c r="C1367" s="35"/>
      <c r="D1367" s="18"/>
      <c r="E1367" s="5"/>
      <c r="F1367" s="14"/>
      <c r="G1367" s="5"/>
      <c r="H1367" s="27"/>
      <c r="I1367" s="5"/>
      <c r="J1367" s="19" t="str">
        <f aca="false">IF(A1367="","",IFERROR(INDEX(Empresas!$D:$D,MATCH(A1367,Empresas!$A:$A,0))&amp;"","não consta"))</f>
        <v/>
      </c>
      <c r="K1367" s="19" t="str">
        <f aca="false">IF(A1367="","",IFERROR(INDEX(Sancoes!$B:$B,MATCH(A1367,Sancoes!$A:$A,0))&amp;"","não consta"))</f>
        <v/>
      </c>
      <c r="L1367" s="19" t="str">
        <f aca="false">IF(A1367="","",IFERROR(INDEX(Eleitoral!$B:$B,MATCH(A1367,Eleitoral!$A:$A,0))&amp;"","não consta"))</f>
        <v/>
      </c>
      <c r="M1367" s="28" t="str">
        <f aca="false">IF(A1367="","",IF(OR(AND(K1367&lt;&gt;"",LOWER(K1367)&lt;&gt;"não consta"),AND(L1367&lt;&gt;"",LOWER(L1367)&lt;&gt;"não consta"),IFERROR(INDEX(Empresas!$G:$G,MATCH(A1367,Empresas!$A:$A,0))&amp;"","")&lt;&gt;""),"SIM",""))</f>
        <v/>
      </c>
      <c r="N1367" s="5"/>
      <c r="O1367" s="32" t="str">
        <f aca="false">IF(D1367="","",YEAR(D1367))</f>
        <v/>
      </c>
      <c r="P1367" s="5"/>
    </row>
    <row r="1368" customFormat="false" ht="15" hidden="false" customHeight="false" outlineLevel="0" collapsed="false">
      <c r="A1368" s="27"/>
      <c r="B1368" s="5"/>
      <c r="C1368" s="35"/>
      <c r="D1368" s="18"/>
      <c r="E1368" s="5"/>
      <c r="F1368" s="14"/>
      <c r="G1368" s="5"/>
      <c r="H1368" s="27"/>
      <c r="I1368" s="5"/>
      <c r="J1368" s="19" t="str">
        <f aca="false">IF(A1368="","",IFERROR(INDEX(Empresas!$D:$D,MATCH(A1368,Empresas!$A:$A,0))&amp;"","não consta"))</f>
        <v/>
      </c>
      <c r="K1368" s="19" t="str">
        <f aca="false">IF(A1368="","",IFERROR(INDEX(Sancoes!$B:$B,MATCH(A1368,Sancoes!$A:$A,0))&amp;"","não consta"))</f>
        <v/>
      </c>
      <c r="L1368" s="19" t="str">
        <f aca="false">IF(A1368="","",IFERROR(INDEX(Eleitoral!$B:$B,MATCH(A1368,Eleitoral!$A:$A,0))&amp;"","não consta"))</f>
        <v/>
      </c>
      <c r="M1368" s="28" t="str">
        <f aca="false">IF(A1368="","",IF(OR(AND(K1368&lt;&gt;"",LOWER(K1368)&lt;&gt;"não consta"),AND(L1368&lt;&gt;"",LOWER(L1368)&lt;&gt;"não consta"),IFERROR(INDEX(Empresas!$G:$G,MATCH(A1368,Empresas!$A:$A,0))&amp;"","")&lt;&gt;""),"SIM",""))</f>
        <v/>
      </c>
      <c r="N1368" s="5"/>
      <c r="O1368" s="32" t="str">
        <f aca="false">IF(D1368="","",YEAR(D1368))</f>
        <v/>
      </c>
      <c r="P1368" s="5"/>
    </row>
    <row r="1369" customFormat="false" ht="15" hidden="false" customHeight="false" outlineLevel="0" collapsed="false">
      <c r="A1369" s="27"/>
      <c r="B1369" s="5"/>
      <c r="C1369" s="35"/>
      <c r="D1369" s="18"/>
      <c r="E1369" s="5"/>
      <c r="F1369" s="14"/>
      <c r="G1369" s="5"/>
      <c r="H1369" s="27"/>
      <c r="I1369" s="5"/>
      <c r="J1369" s="19" t="str">
        <f aca="false">IF(A1369="","",IFERROR(INDEX(Empresas!$D:$D,MATCH(A1369,Empresas!$A:$A,0))&amp;"","não consta"))</f>
        <v/>
      </c>
      <c r="K1369" s="19" t="str">
        <f aca="false">IF(A1369="","",IFERROR(INDEX(Sancoes!$B:$B,MATCH(A1369,Sancoes!$A:$A,0))&amp;"","não consta"))</f>
        <v/>
      </c>
      <c r="L1369" s="19" t="str">
        <f aca="false">IF(A1369="","",IFERROR(INDEX(Eleitoral!$B:$B,MATCH(A1369,Eleitoral!$A:$A,0))&amp;"","não consta"))</f>
        <v/>
      </c>
      <c r="M1369" s="28" t="str">
        <f aca="false">IF(A1369="","",IF(OR(AND(K1369&lt;&gt;"",LOWER(K1369)&lt;&gt;"não consta"),AND(L1369&lt;&gt;"",LOWER(L1369)&lt;&gt;"não consta"),IFERROR(INDEX(Empresas!$G:$G,MATCH(A1369,Empresas!$A:$A,0))&amp;"","")&lt;&gt;""),"SIM",""))</f>
        <v/>
      </c>
      <c r="N1369" s="5"/>
      <c r="O1369" s="32" t="str">
        <f aca="false">IF(D1369="","",YEAR(D1369))</f>
        <v/>
      </c>
      <c r="P1369" s="5"/>
    </row>
    <row r="1370" customFormat="false" ht="15" hidden="false" customHeight="false" outlineLevel="0" collapsed="false">
      <c r="A1370" s="27"/>
      <c r="B1370" s="5"/>
      <c r="C1370" s="35"/>
      <c r="D1370" s="18"/>
      <c r="E1370" s="5"/>
      <c r="F1370" s="14"/>
      <c r="G1370" s="5"/>
      <c r="H1370" s="27"/>
      <c r="I1370" s="5"/>
      <c r="J1370" s="19" t="str">
        <f aca="false">IF(A1370="","",IFERROR(INDEX(Empresas!$D:$D,MATCH(A1370,Empresas!$A:$A,0))&amp;"","não consta"))</f>
        <v/>
      </c>
      <c r="K1370" s="19" t="str">
        <f aca="false">IF(A1370="","",IFERROR(INDEX(Sancoes!$B:$B,MATCH(A1370,Sancoes!$A:$A,0))&amp;"","não consta"))</f>
        <v/>
      </c>
      <c r="L1370" s="19" t="str">
        <f aca="false">IF(A1370="","",IFERROR(INDEX(Eleitoral!$B:$B,MATCH(A1370,Eleitoral!$A:$A,0))&amp;"","não consta"))</f>
        <v/>
      </c>
      <c r="M1370" s="28" t="str">
        <f aca="false">IF(A1370="","",IF(OR(AND(K1370&lt;&gt;"",LOWER(K1370)&lt;&gt;"não consta"),AND(L1370&lt;&gt;"",LOWER(L1370)&lt;&gt;"não consta"),IFERROR(INDEX(Empresas!$G:$G,MATCH(A1370,Empresas!$A:$A,0))&amp;"","")&lt;&gt;""),"SIM",""))</f>
        <v/>
      </c>
      <c r="N1370" s="5"/>
      <c r="O1370" s="32" t="str">
        <f aca="false">IF(D1370="","",YEAR(D1370))</f>
        <v/>
      </c>
      <c r="P1370" s="5"/>
    </row>
    <row r="1371" customFormat="false" ht="15" hidden="false" customHeight="false" outlineLevel="0" collapsed="false">
      <c r="A1371" s="27"/>
      <c r="B1371" s="5"/>
      <c r="C1371" s="35"/>
      <c r="D1371" s="18"/>
      <c r="E1371" s="5"/>
      <c r="F1371" s="14"/>
      <c r="G1371" s="5"/>
      <c r="H1371" s="27"/>
      <c r="I1371" s="5"/>
      <c r="J1371" s="19" t="str">
        <f aca="false">IF(A1371="","",IFERROR(INDEX(Empresas!$D:$D,MATCH(A1371,Empresas!$A:$A,0))&amp;"","não consta"))</f>
        <v/>
      </c>
      <c r="K1371" s="19" t="str">
        <f aca="false">IF(A1371="","",IFERROR(INDEX(Sancoes!$B:$B,MATCH(A1371,Sancoes!$A:$A,0))&amp;"","não consta"))</f>
        <v/>
      </c>
      <c r="L1371" s="19" t="str">
        <f aca="false">IF(A1371="","",IFERROR(INDEX(Eleitoral!$B:$B,MATCH(A1371,Eleitoral!$A:$A,0))&amp;"","não consta"))</f>
        <v/>
      </c>
      <c r="M1371" s="28" t="str">
        <f aca="false">IF(A1371="","",IF(OR(AND(K1371&lt;&gt;"",LOWER(K1371)&lt;&gt;"não consta"),AND(L1371&lt;&gt;"",LOWER(L1371)&lt;&gt;"não consta"),IFERROR(INDEX(Empresas!$G:$G,MATCH(A1371,Empresas!$A:$A,0))&amp;"","")&lt;&gt;""),"SIM",""))</f>
        <v/>
      </c>
      <c r="N1371" s="5"/>
      <c r="O1371" s="32" t="str">
        <f aca="false">IF(D1371="","",YEAR(D1371))</f>
        <v/>
      </c>
      <c r="P1371" s="5"/>
    </row>
    <row r="1372" customFormat="false" ht="15" hidden="false" customHeight="false" outlineLevel="0" collapsed="false">
      <c r="A1372" s="27"/>
      <c r="B1372" s="5"/>
      <c r="C1372" s="35"/>
      <c r="D1372" s="18"/>
      <c r="E1372" s="5"/>
      <c r="F1372" s="14"/>
      <c r="G1372" s="5"/>
      <c r="H1372" s="27"/>
      <c r="I1372" s="5"/>
      <c r="J1372" s="19" t="str">
        <f aca="false">IF(A1372="","",IFERROR(INDEX(Empresas!$D:$D,MATCH(A1372,Empresas!$A:$A,0))&amp;"","não consta"))</f>
        <v/>
      </c>
      <c r="K1372" s="19" t="str">
        <f aca="false">IF(A1372="","",IFERROR(INDEX(Sancoes!$B:$B,MATCH(A1372,Sancoes!$A:$A,0))&amp;"","não consta"))</f>
        <v/>
      </c>
      <c r="L1372" s="19" t="str">
        <f aca="false">IF(A1372="","",IFERROR(INDEX(Eleitoral!$B:$B,MATCH(A1372,Eleitoral!$A:$A,0))&amp;"","não consta"))</f>
        <v/>
      </c>
      <c r="M1372" s="28" t="str">
        <f aca="false">IF(A1372="","",IF(OR(AND(K1372&lt;&gt;"",LOWER(K1372)&lt;&gt;"não consta"),AND(L1372&lt;&gt;"",LOWER(L1372)&lt;&gt;"não consta"),IFERROR(INDEX(Empresas!$G:$G,MATCH(A1372,Empresas!$A:$A,0))&amp;"","")&lt;&gt;""),"SIM",""))</f>
        <v/>
      </c>
      <c r="N1372" s="5"/>
      <c r="O1372" s="32" t="str">
        <f aca="false">IF(D1372="","",YEAR(D1372))</f>
        <v/>
      </c>
      <c r="P1372" s="5"/>
    </row>
    <row r="1373" customFormat="false" ht="15" hidden="false" customHeight="false" outlineLevel="0" collapsed="false">
      <c r="A1373" s="27"/>
      <c r="B1373" s="5"/>
      <c r="C1373" s="35"/>
      <c r="D1373" s="18"/>
      <c r="E1373" s="5"/>
      <c r="F1373" s="14"/>
      <c r="G1373" s="5"/>
      <c r="H1373" s="27"/>
      <c r="I1373" s="5"/>
      <c r="J1373" s="19" t="str">
        <f aca="false">IF(A1373="","",IFERROR(INDEX(Empresas!$D:$D,MATCH(A1373,Empresas!$A:$A,0))&amp;"","não consta"))</f>
        <v/>
      </c>
      <c r="K1373" s="19" t="str">
        <f aca="false">IF(A1373="","",IFERROR(INDEX(Sancoes!$B:$B,MATCH(A1373,Sancoes!$A:$A,0))&amp;"","não consta"))</f>
        <v/>
      </c>
      <c r="L1373" s="19" t="str">
        <f aca="false">IF(A1373="","",IFERROR(INDEX(Eleitoral!$B:$B,MATCH(A1373,Eleitoral!$A:$A,0))&amp;"","não consta"))</f>
        <v/>
      </c>
      <c r="M1373" s="28" t="str">
        <f aca="false">IF(A1373="","",IF(OR(AND(K1373&lt;&gt;"",LOWER(K1373)&lt;&gt;"não consta"),AND(L1373&lt;&gt;"",LOWER(L1373)&lt;&gt;"não consta"),IFERROR(INDEX(Empresas!$G:$G,MATCH(A1373,Empresas!$A:$A,0))&amp;"","")&lt;&gt;""),"SIM",""))</f>
        <v/>
      </c>
      <c r="N1373" s="5"/>
      <c r="O1373" s="32" t="str">
        <f aca="false">IF(D1373="","",YEAR(D1373))</f>
        <v/>
      </c>
      <c r="P1373" s="5"/>
    </row>
    <row r="1374" customFormat="false" ht="15" hidden="false" customHeight="false" outlineLevel="0" collapsed="false">
      <c r="A1374" s="27"/>
      <c r="B1374" s="5"/>
      <c r="C1374" s="35"/>
      <c r="D1374" s="18"/>
      <c r="E1374" s="5"/>
      <c r="F1374" s="14"/>
      <c r="G1374" s="5"/>
      <c r="H1374" s="27"/>
      <c r="I1374" s="5"/>
      <c r="J1374" s="19" t="str">
        <f aca="false">IF(A1374="","",IFERROR(INDEX(Empresas!$D:$D,MATCH(A1374,Empresas!$A:$A,0))&amp;"","não consta"))</f>
        <v/>
      </c>
      <c r="K1374" s="19" t="str">
        <f aca="false">IF(A1374="","",IFERROR(INDEX(Sancoes!$B:$B,MATCH(A1374,Sancoes!$A:$A,0))&amp;"","não consta"))</f>
        <v/>
      </c>
      <c r="L1374" s="19" t="str">
        <f aca="false">IF(A1374="","",IFERROR(INDEX(Eleitoral!$B:$B,MATCH(A1374,Eleitoral!$A:$A,0))&amp;"","não consta"))</f>
        <v/>
      </c>
      <c r="M1374" s="28" t="str">
        <f aca="false">IF(A1374="","",IF(OR(AND(K1374&lt;&gt;"",LOWER(K1374)&lt;&gt;"não consta"),AND(L1374&lt;&gt;"",LOWER(L1374)&lt;&gt;"não consta"),IFERROR(INDEX(Empresas!$G:$G,MATCH(A1374,Empresas!$A:$A,0))&amp;"","")&lt;&gt;""),"SIM",""))</f>
        <v/>
      </c>
      <c r="N1374" s="5"/>
      <c r="O1374" s="32" t="str">
        <f aca="false">IF(D1374="","",YEAR(D1374))</f>
        <v/>
      </c>
      <c r="P1374" s="5"/>
    </row>
    <row r="1375" customFormat="false" ht="15" hidden="false" customHeight="false" outlineLevel="0" collapsed="false">
      <c r="A1375" s="27"/>
      <c r="B1375" s="5"/>
      <c r="C1375" s="35"/>
      <c r="D1375" s="18"/>
      <c r="E1375" s="5"/>
      <c r="F1375" s="14"/>
      <c r="G1375" s="5"/>
      <c r="H1375" s="27"/>
      <c r="I1375" s="5"/>
      <c r="J1375" s="19" t="str">
        <f aca="false">IF(A1375="","",IFERROR(INDEX(Empresas!$D:$D,MATCH(A1375,Empresas!$A:$A,0))&amp;"","não consta"))</f>
        <v/>
      </c>
      <c r="K1375" s="19" t="str">
        <f aca="false">IF(A1375="","",IFERROR(INDEX(Sancoes!$B:$B,MATCH(A1375,Sancoes!$A:$A,0))&amp;"","não consta"))</f>
        <v/>
      </c>
      <c r="L1375" s="19" t="str">
        <f aca="false">IF(A1375="","",IFERROR(INDEX(Eleitoral!$B:$B,MATCH(A1375,Eleitoral!$A:$A,0))&amp;"","não consta"))</f>
        <v/>
      </c>
      <c r="M1375" s="28" t="str">
        <f aca="false">IF(A1375="","",IF(OR(AND(K1375&lt;&gt;"",LOWER(K1375)&lt;&gt;"não consta"),AND(L1375&lt;&gt;"",LOWER(L1375)&lt;&gt;"não consta"),IFERROR(INDEX(Empresas!$G:$G,MATCH(A1375,Empresas!$A:$A,0))&amp;"","")&lt;&gt;""),"SIM",""))</f>
        <v/>
      </c>
      <c r="N1375" s="5"/>
      <c r="O1375" s="32" t="str">
        <f aca="false">IF(D1375="","",YEAR(D1375))</f>
        <v/>
      </c>
      <c r="P1375" s="5"/>
    </row>
    <row r="1376" customFormat="false" ht="15" hidden="false" customHeight="false" outlineLevel="0" collapsed="false">
      <c r="A1376" s="27"/>
      <c r="B1376" s="5"/>
      <c r="C1376" s="35"/>
      <c r="D1376" s="18"/>
      <c r="E1376" s="5"/>
      <c r="F1376" s="14"/>
      <c r="G1376" s="5"/>
      <c r="H1376" s="27"/>
      <c r="I1376" s="5"/>
      <c r="J1376" s="19" t="str">
        <f aca="false">IF(A1376="","",IFERROR(INDEX(Empresas!$D:$D,MATCH(A1376,Empresas!$A:$A,0))&amp;"","não consta"))</f>
        <v/>
      </c>
      <c r="K1376" s="19" t="str">
        <f aca="false">IF(A1376="","",IFERROR(INDEX(Sancoes!$B:$B,MATCH(A1376,Sancoes!$A:$A,0))&amp;"","não consta"))</f>
        <v/>
      </c>
      <c r="L1376" s="19" t="str">
        <f aca="false">IF(A1376="","",IFERROR(INDEX(Eleitoral!$B:$B,MATCH(A1376,Eleitoral!$A:$A,0))&amp;"","não consta"))</f>
        <v/>
      </c>
      <c r="M1376" s="28" t="str">
        <f aca="false">IF(A1376="","",IF(OR(AND(K1376&lt;&gt;"",LOWER(K1376)&lt;&gt;"não consta"),AND(L1376&lt;&gt;"",LOWER(L1376)&lt;&gt;"não consta"),IFERROR(INDEX(Empresas!$G:$G,MATCH(A1376,Empresas!$A:$A,0))&amp;"","")&lt;&gt;""),"SIM",""))</f>
        <v/>
      </c>
      <c r="N1376" s="5"/>
      <c r="O1376" s="32" t="str">
        <f aca="false">IF(D1376="","",YEAR(D1376))</f>
        <v/>
      </c>
      <c r="P1376" s="5"/>
    </row>
    <row r="1377" customFormat="false" ht="15" hidden="false" customHeight="false" outlineLevel="0" collapsed="false">
      <c r="A1377" s="27"/>
      <c r="B1377" s="5"/>
      <c r="C1377" s="35"/>
      <c r="D1377" s="18"/>
      <c r="E1377" s="5"/>
      <c r="F1377" s="14"/>
      <c r="G1377" s="5"/>
      <c r="H1377" s="27"/>
      <c r="I1377" s="5"/>
      <c r="J1377" s="19" t="str">
        <f aca="false">IF(A1377="","",IFERROR(INDEX(Empresas!$D:$D,MATCH(A1377,Empresas!$A:$A,0))&amp;"","não consta"))</f>
        <v/>
      </c>
      <c r="K1377" s="19" t="str">
        <f aca="false">IF(A1377="","",IFERROR(INDEX(Sancoes!$B:$B,MATCH(A1377,Sancoes!$A:$A,0))&amp;"","não consta"))</f>
        <v/>
      </c>
      <c r="L1377" s="19" t="str">
        <f aca="false">IF(A1377="","",IFERROR(INDEX(Eleitoral!$B:$B,MATCH(A1377,Eleitoral!$A:$A,0))&amp;"","não consta"))</f>
        <v/>
      </c>
      <c r="M1377" s="28" t="str">
        <f aca="false">IF(A1377="","",IF(OR(AND(K1377&lt;&gt;"",LOWER(K1377)&lt;&gt;"não consta"),AND(L1377&lt;&gt;"",LOWER(L1377)&lt;&gt;"não consta"),IFERROR(INDEX(Empresas!$G:$G,MATCH(A1377,Empresas!$A:$A,0))&amp;"","")&lt;&gt;""),"SIM",""))</f>
        <v/>
      </c>
      <c r="N1377" s="5"/>
      <c r="O1377" s="32" t="str">
        <f aca="false">IF(D1377="","",YEAR(D1377))</f>
        <v/>
      </c>
      <c r="P1377" s="5"/>
    </row>
    <row r="1378" customFormat="false" ht="15" hidden="false" customHeight="false" outlineLevel="0" collapsed="false">
      <c r="A1378" s="27"/>
      <c r="B1378" s="5"/>
      <c r="C1378" s="35"/>
      <c r="D1378" s="18"/>
      <c r="E1378" s="5"/>
      <c r="F1378" s="14"/>
      <c r="G1378" s="5"/>
      <c r="H1378" s="27"/>
      <c r="I1378" s="5"/>
      <c r="J1378" s="19" t="str">
        <f aca="false">IF(A1378="","",IFERROR(INDEX(Empresas!$D:$D,MATCH(A1378,Empresas!$A:$A,0))&amp;"","não consta"))</f>
        <v/>
      </c>
      <c r="K1378" s="19" t="str">
        <f aca="false">IF(A1378="","",IFERROR(INDEX(Sancoes!$B:$B,MATCH(A1378,Sancoes!$A:$A,0))&amp;"","não consta"))</f>
        <v/>
      </c>
      <c r="L1378" s="19" t="str">
        <f aca="false">IF(A1378="","",IFERROR(INDEX(Eleitoral!$B:$B,MATCH(A1378,Eleitoral!$A:$A,0))&amp;"","não consta"))</f>
        <v/>
      </c>
      <c r="M1378" s="28" t="str">
        <f aca="false">IF(A1378="","",IF(OR(AND(K1378&lt;&gt;"",LOWER(K1378)&lt;&gt;"não consta"),AND(L1378&lt;&gt;"",LOWER(L1378)&lt;&gt;"não consta"),IFERROR(INDEX(Empresas!$G:$G,MATCH(A1378,Empresas!$A:$A,0))&amp;"","")&lt;&gt;""),"SIM",""))</f>
        <v/>
      </c>
      <c r="N1378" s="5"/>
      <c r="O1378" s="32" t="str">
        <f aca="false">IF(D1378="","",YEAR(D1378))</f>
        <v/>
      </c>
      <c r="P1378" s="5"/>
    </row>
    <row r="1379" customFormat="false" ht="15" hidden="false" customHeight="false" outlineLevel="0" collapsed="false">
      <c r="A1379" s="27"/>
      <c r="B1379" s="5"/>
      <c r="C1379" s="35"/>
      <c r="D1379" s="18"/>
      <c r="E1379" s="5"/>
      <c r="F1379" s="14"/>
      <c r="G1379" s="5"/>
      <c r="H1379" s="27"/>
      <c r="I1379" s="5"/>
      <c r="J1379" s="19" t="str">
        <f aca="false">IF(A1379="","",IFERROR(INDEX(Empresas!$D:$D,MATCH(A1379,Empresas!$A:$A,0))&amp;"","não consta"))</f>
        <v/>
      </c>
      <c r="K1379" s="19" t="str">
        <f aca="false">IF(A1379="","",IFERROR(INDEX(Sancoes!$B:$B,MATCH(A1379,Sancoes!$A:$A,0))&amp;"","não consta"))</f>
        <v/>
      </c>
      <c r="L1379" s="19" t="str">
        <f aca="false">IF(A1379="","",IFERROR(INDEX(Eleitoral!$B:$B,MATCH(A1379,Eleitoral!$A:$A,0))&amp;"","não consta"))</f>
        <v/>
      </c>
      <c r="M1379" s="28" t="str">
        <f aca="false">IF(A1379="","",IF(OR(AND(K1379&lt;&gt;"",LOWER(K1379)&lt;&gt;"não consta"),AND(L1379&lt;&gt;"",LOWER(L1379)&lt;&gt;"não consta"),IFERROR(INDEX(Empresas!$G:$G,MATCH(A1379,Empresas!$A:$A,0))&amp;"","")&lt;&gt;""),"SIM",""))</f>
        <v/>
      </c>
      <c r="N1379" s="5"/>
      <c r="O1379" s="32" t="str">
        <f aca="false">IF(D1379="","",YEAR(D1379))</f>
        <v/>
      </c>
      <c r="P1379" s="5"/>
    </row>
    <row r="1380" customFormat="false" ht="15" hidden="false" customHeight="false" outlineLevel="0" collapsed="false">
      <c r="A1380" s="27"/>
      <c r="B1380" s="5"/>
      <c r="C1380" s="35"/>
      <c r="D1380" s="18"/>
      <c r="E1380" s="5"/>
      <c r="F1380" s="14"/>
      <c r="G1380" s="5"/>
      <c r="H1380" s="27"/>
      <c r="I1380" s="5"/>
      <c r="J1380" s="19" t="str">
        <f aca="false">IF(A1380="","",IFERROR(INDEX(Empresas!$D:$D,MATCH(A1380,Empresas!$A:$A,0))&amp;"","não consta"))</f>
        <v/>
      </c>
      <c r="K1380" s="19" t="str">
        <f aca="false">IF(A1380="","",IFERROR(INDEX(Sancoes!$B:$B,MATCH(A1380,Sancoes!$A:$A,0))&amp;"","não consta"))</f>
        <v/>
      </c>
      <c r="L1380" s="19" t="str">
        <f aca="false">IF(A1380="","",IFERROR(INDEX(Eleitoral!$B:$B,MATCH(A1380,Eleitoral!$A:$A,0))&amp;"","não consta"))</f>
        <v/>
      </c>
      <c r="M1380" s="28" t="str">
        <f aca="false">IF(A1380="","",IF(OR(AND(K1380&lt;&gt;"",LOWER(K1380)&lt;&gt;"não consta"),AND(L1380&lt;&gt;"",LOWER(L1380)&lt;&gt;"não consta"),IFERROR(INDEX(Empresas!$G:$G,MATCH(A1380,Empresas!$A:$A,0))&amp;"","")&lt;&gt;""),"SIM",""))</f>
        <v/>
      </c>
      <c r="N1380" s="5"/>
      <c r="O1380" s="32" t="str">
        <f aca="false">IF(D1380="","",YEAR(D1380))</f>
        <v/>
      </c>
      <c r="P1380" s="5"/>
    </row>
    <row r="1381" customFormat="false" ht="15" hidden="false" customHeight="false" outlineLevel="0" collapsed="false">
      <c r="A1381" s="27"/>
      <c r="B1381" s="5"/>
      <c r="C1381" s="35"/>
      <c r="D1381" s="18"/>
      <c r="E1381" s="5"/>
      <c r="F1381" s="14"/>
      <c r="G1381" s="5"/>
      <c r="H1381" s="27"/>
      <c r="I1381" s="5"/>
      <c r="J1381" s="19" t="str">
        <f aca="false">IF(A1381="","",IFERROR(INDEX(Empresas!$D:$D,MATCH(A1381,Empresas!$A:$A,0))&amp;"","não consta"))</f>
        <v/>
      </c>
      <c r="K1381" s="19" t="str">
        <f aca="false">IF(A1381="","",IFERROR(INDEX(Sancoes!$B:$B,MATCH(A1381,Sancoes!$A:$A,0))&amp;"","não consta"))</f>
        <v/>
      </c>
      <c r="L1381" s="19" t="str">
        <f aca="false">IF(A1381="","",IFERROR(INDEX(Eleitoral!$B:$B,MATCH(A1381,Eleitoral!$A:$A,0))&amp;"","não consta"))</f>
        <v/>
      </c>
      <c r="M1381" s="28" t="str">
        <f aca="false">IF(A1381="","",IF(OR(AND(K1381&lt;&gt;"",LOWER(K1381)&lt;&gt;"não consta"),AND(L1381&lt;&gt;"",LOWER(L1381)&lt;&gt;"não consta"),IFERROR(INDEX(Empresas!$G:$G,MATCH(A1381,Empresas!$A:$A,0))&amp;"","")&lt;&gt;""),"SIM",""))</f>
        <v/>
      </c>
      <c r="N1381" s="5"/>
      <c r="O1381" s="32" t="str">
        <f aca="false">IF(D1381="","",YEAR(D1381))</f>
        <v/>
      </c>
      <c r="P1381" s="5"/>
    </row>
    <row r="1382" customFormat="false" ht="15" hidden="false" customHeight="false" outlineLevel="0" collapsed="false">
      <c r="A1382" s="27"/>
      <c r="B1382" s="5"/>
      <c r="C1382" s="35"/>
      <c r="D1382" s="18"/>
      <c r="E1382" s="5"/>
      <c r="F1382" s="14"/>
      <c r="G1382" s="5"/>
      <c r="H1382" s="27"/>
      <c r="I1382" s="5"/>
      <c r="J1382" s="19" t="str">
        <f aca="false">IF(A1382="","",IFERROR(INDEX(Empresas!$D:$D,MATCH(A1382,Empresas!$A:$A,0))&amp;"","não consta"))</f>
        <v/>
      </c>
      <c r="K1382" s="19" t="str">
        <f aca="false">IF(A1382="","",IFERROR(INDEX(Sancoes!$B:$B,MATCH(A1382,Sancoes!$A:$A,0))&amp;"","não consta"))</f>
        <v/>
      </c>
      <c r="L1382" s="19" t="str">
        <f aca="false">IF(A1382="","",IFERROR(INDEX(Eleitoral!$B:$B,MATCH(A1382,Eleitoral!$A:$A,0))&amp;"","não consta"))</f>
        <v/>
      </c>
      <c r="M1382" s="28" t="str">
        <f aca="false">IF(A1382="","",IF(OR(AND(K1382&lt;&gt;"",LOWER(K1382)&lt;&gt;"não consta"),AND(L1382&lt;&gt;"",LOWER(L1382)&lt;&gt;"não consta"),IFERROR(INDEX(Empresas!$G:$G,MATCH(A1382,Empresas!$A:$A,0))&amp;"","")&lt;&gt;""),"SIM",""))</f>
        <v/>
      </c>
      <c r="N1382" s="5"/>
      <c r="O1382" s="32" t="str">
        <f aca="false">IF(D1382="","",YEAR(D1382))</f>
        <v/>
      </c>
      <c r="P1382" s="5"/>
    </row>
    <row r="1383" customFormat="false" ht="15" hidden="false" customHeight="false" outlineLevel="0" collapsed="false">
      <c r="A1383" s="27"/>
      <c r="B1383" s="5"/>
      <c r="C1383" s="35"/>
      <c r="D1383" s="18"/>
      <c r="E1383" s="5"/>
      <c r="F1383" s="14"/>
      <c r="G1383" s="5"/>
      <c r="H1383" s="27"/>
      <c r="I1383" s="5"/>
      <c r="J1383" s="19" t="str">
        <f aca="false">IF(A1383="","",IFERROR(INDEX(Empresas!$D:$D,MATCH(A1383,Empresas!$A:$A,0))&amp;"","não consta"))</f>
        <v/>
      </c>
      <c r="K1383" s="19" t="str">
        <f aca="false">IF(A1383="","",IFERROR(INDEX(Sancoes!$B:$B,MATCH(A1383,Sancoes!$A:$A,0))&amp;"","não consta"))</f>
        <v/>
      </c>
      <c r="L1383" s="19" t="str">
        <f aca="false">IF(A1383="","",IFERROR(INDEX(Eleitoral!$B:$B,MATCH(A1383,Eleitoral!$A:$A,0))&amp;"","não consta"))</f>
        <v/>
      </c>
      <c r="M1383" s="28" t="str">
        <f aca="false">IF(A1383="","",IF(OR(AND(K1383&lt;&gt;"",LOWER(K1383)&lt;&gt;"não consta"),AND(L1383&lt;&gt;"",LOWER(L1383)&lt;&gt;"não consta"),IFERROR(INDEX(Empresas!$G:$G,MATCH(A1383,Empresas!$A:$A,0))&amp;"","")&lt;&gt;""),"SIM",""))</f>
        <v/>
      </c>
      <c r="N1383" s="5"/>
      <c r="O1383" s="32" t="str">
        <f aca="false">IF(D1383="","",YEAR(D1383))</f>
        <v/>
      </c>
      <c r="P1383" s="5"/>
    </row>
    <row r="1384" customFormat="false" ht="15" hidden="false" customHeight="false" outlineLevel="0" collapsed="false">
      <c r="A1384" s="27"/>
      <c r="B1384" s="5"/>
      <c r="C1384" s="35"/>
      <c r="D1384" s="18"/>
      <c r="E1384" s="5"/>
      <c r="F1384" s="14"/>
      <c r="G1384" s="5"/>
      <c r="H1384" s="27"/>
      <c r="I1384" s="5"/>
      <c r="J1384" s="19" t="str">
        <f aca="false">IF(A1384="","",IFERROR(INDEX(Empresas!$D:$D,MATCH(A1384,Empresas!$A:$A,0))&amp;"","não consta"))</f>
        <v/>
      </c>
      <c r="K1384" s="19" t="str">
        <f aca="false">IF(A1384="","",IFERROR(INDEX(Sancoes!$B:$B,MATCH(A1384,Sancoes!$A:$A,0))&amp;"","não consta"))</f>
        <v/>
      </c>
      <c r="L1384" s="19" t="str">
        <f aca="false">IF(A1384="","",IFERROR(INDEX(Eleitoral!$B:$B,MATCH(A1384,Eleitoral!$A:$A,0))&amp;"","não consta"))</f>
        <v/>
      </c>
      <c r="M1384" s="28" t="str">
        <f aca="false">IF(A1384="","",IF(OR(AND(K1384&lt;&gt;"",LOWER(K1384)&lt;&gt;"não consta"),AND(L1384&lt;&gt;"",LOWER(L1384)&lt;&gt;"não consta"),IFERROR(INDEX(Empresas!$G:$G,MATCH(A1384,Empresas!$A:$A,0))&amp;"","")&lt;&gt;""),"SIM",""))</f>
        <v/>
      </c>
      <c r="N1384" s="5"/>
      <c r="O1384" s="32" t="str">
        <f aca="false">IF(D1384="","",YEAR(D1384))</f>
        <v/>
      </c>
      <c r="P1384" s="5"/>
    </row>
    <row r="1385" customFormat="false" ht="15" hidden="false" customHeight="false" outlineLevel="0" collapsed="false">
      <c r="A1385" s="27"/>
      <c r="B1385" s="5"/>
      <c r="C1385" s="35"/>
      <c r="D1385" s="18"/>
      <c r="E1385" s="5"/>
      <c r="F1385" s="14"/>
      <c r="G1385" s="5"/>
      <c r="H1385" s="27"/>
      <c r="I1385" s="5"/>
      <c r="J1385" s="19" t="str">
        <f aca="false">IF(A1385="","",IFERROR(INDEX(Empresas!$D:$D,MATCH(A1385,Empresas!$A:$A,0))&amp;"","não consta"))</f>
        <v/>
      </c>
      <c r="K1385" s="19" t="str">
        <f aca="false">IF(A1385="","",IFERROR(INDEX(Sancoes!$B:$B,MATCH(A1385,Sancoes!$A:$A,0))&amp;"","não consta"))</f>
        <v/>
      </c>
      <c r="L1385" s="19" t="str">
        <f aca="false">IF(A1385="","",IFERROR(INDEX(Eleitoral!$B:$B,MATCH(A1385,Eleitoral!$A:$A,0))&amp;"","não consta"))</f>
        <v/>
      </c>
      <c r="M1385" s="28" t="str">
        <f aca="false">IF(A1385="","",IF(OR(AND(K1385&lt;&gt;"",LOWER(K1385)&lt;&gt;"não consta"),AND(L1385&lt;&gt;"",LOWER(L1385)&lt;&gt;"não consta"),IFERROR(INDEX(Empresas!$G:$G,MATCH(A1385,Empresas!$A:$A,0))&amp;"","")&lt;&gt;""),"SIM",""))</f>
        <v/>
      </c>
      <c r="N1385" s="5"/>
      <c r="O1385" s="32" t="str">
        <f aca="false">IF(D1385="","",YEAR(D1385))</f>
        <v/>
      </c>
      <c r="P1385" s="5"/>
    </row>
    <row r="1386" customFormat="false" ht="15" hidden="false" customHeight="false" outlineLevel="0" collapsed="false">
      <c r="A1386" s="27"/>
      <c r="B1386" s="5"/>
      <c r="C1386" s="35"/>
      <c r="D1386" s="18"/>
      <c r="E1386" s="5"/>
      <c r="F1386" s="14"/>
      <c r="G1386" s="5"/>
      <c r="H1386" s="27"/>
      <c r="I1386" s="5"/>
      <c r="J1386" s="19" t="str">
        <f aca="false">IF(A1386="","",IFERROR(INDEX(Empresas!$D:$D,MATCH(A1386,Empresas!$A:$A,0))&amp;"","não consta"))</f>
        <v/>
      </c>
      <c r="K1386" s="19" t="str">
        <f aca="false">IF(A1386="","",IFERROR(INDEX(Sancoes!$B:$B,MATCH(A1386,Sancoes!$A:$A,0))&amp;"","não consta"))</f>
        <v/>
      </c>
      <c r="L1386" s="19" t="str">
        <f aca="false">IF(A1386="","",IFERROR(INDEX(Eleitoral!$B:$B,MATCH(A1386,Eleitoral!$A:$A,0))&amp;"","não consta"))</f>
        <v/>
      </c>
      <c r="M1386" s="28" t="str">
        <f aca="false">IF(A1386="","",IF(OR(AND(K1386&lt;&gt;"",LOWER(K1386)&lt;&gt;"não consta"),AND(L1386&lt;&gt;"",LOWER(L1386)&lt;&gt;"não consta"),IFERROR(INDEX(Empresas!$G:$G,MATCH(A1386,Empresas!$A:$A,0))&amp;"","")&lt;&gt;""),"SIM",""))</f>
        <v/>
      </c>
      <c r="N1386" s="5"/>
      <c r="O1386" s="32" t="str">
        <f aca="false">IF(D1386="","",YEAR(D1386))</f>
        <v/>
      </c>
      <c r="P1386" s="5"/>
    </row>
    <row r="1387" customFormat="false" ht="15" hidden="false" customHeight="false" outlineLevel="0" collapsed="false">
      <c r="A1387" s="27"/>
      <c r="B1387" s="5"/>
      <c r="C1387" s="35"/>
      <c r="D1387" s="18"/>
      <c r="E1387" s="5"/>
      <c r="F1387" s="14"/>
      <c r="G1387" s="5"/>
      <c r="H1387" s="27"/>
      <c r="I1387" s="5"/>
      <c r="J1387" s="19" t="str">
        <f aca="false">IF(A1387="","",IFERROR(INDEX(Empresas!$D:$D,MATCH(A1387,Empresas!$A:$A,0))&amp;"","não consta"))</f>
        <v/>
      </c>
      <c r="K1387" s="19" t="str">
        <f aca="false">IF(A1387="","",IFERROR(INDEX(Sancoes!$B:$B,MATCH(A1387,Sancoes!$A:$A,0))&amp;"","não consta"))</f>
        <v/>
      </c>
      <c r="L1387" s="19" t="str">
        <f aca="false">IF(A1387="","",IFERROR(INDEX(Eleitoral!$B:$B,MATCH(A1387,Eleitoral!$A:$A,0))&amp;"","não consta"))</f>
        <v/>
      </c>
      <c r="M1387" s="28" t="str">
        <f aca="false">IF(A1387="","",IF(OR(AND(K1387&lt;&gt;"",LOWER(K1387)&lt;&gt;"não consta"),AND(L1387&lt;&gt;"",LOWER(L1387)&lt;&gt;"não consta"),IFERROR(INDEX(Empresas!$G:$G,MATCH(A1387,Empresas!$A:$A,0))&amp;"","")&lt;&gt;""),"SIM",""))</f>
        <v/>
      </c>
      <c r="N1387" s="5"/>
      <c r="O1387" s="32" t="str">
        <f aca="false">IF(D1387="","",YEAR(D1387))</f>
        <v/>
      </c>
      <c r="P1387" s="5"/>
    </row>
    <row r="1388" customFormat="false" ht="15" hidden="false" customHeight="false" outlineLevel="0" collapsed="false">
      <c r="A1388" s="27"/>
      <c r="B1388" s="5"/>
      <c r="C1388" s="35"/>
      <c r="D1388" s="18"/>
      <c r="E1388" s="5"/>
      <c r="F1388" s="14"/>
      <c r="G1388" s="5"/>
      <c r="H1388" s="27"/>
      <c r="I1388" s="5"/>
      <c r="J1388" s="19" t="str">
        <f aca="false">IF(A1388="","",IFERROR(INDEX(Empresas!$D:$D,MATCH(A1388,Empresas!$A:$A,0))&amp;"","não consta"))</f>
        <v/>
      </c>
      <c r="K1388" s="19" t="str">
        <f aca="false">IF(A1388="","",IFERROR(INDEX(Sancoes!$B:$B,MATCH(A1388,Sancoes!$A:$A,0))&amp;"","não consta"))</f>
        <v/>
      </c>
      <c r="L1388" s="19" t="str">
        <f aca="false">IF(A1388="","",IFERROR(INDEX(Eleitoral!$B:$B,MATCH(A1388,Eleitoral!$A:$A,0))&amp;"","não consta"))</f>
        <v/>
      </c>
      <c r="M1388" s="28" t="str">
        <f aca="false">IF(A1388="","",IF(OR(AND(K1388&lt;&gt;"",LOWER(K1388)&lt;&gt;"não consta"),AND(L1388&lt;&gt;"",LOWER(L1388)&lt;&gt;"não consta"),IFERROR(INDEX(Empresas!$G:$G,MATCH(A1388,Empresas!$A:$A,0))&amp;"","")&lt;&gt;""),"SIM",""))</f>
        <v/>
      </c>
      <c r="N1388" s="5"/>
      <c r="O1388" s="32" t="str">
        <f aca="false">IF(D1388="","",YEAR(D1388))</f>
        <v/>
      </c>
      <c r="P1388" s="5"/>
    </row>
    <row r="1389" customFormat="false" ht="15" hidden="false" customHeight="false" outlineLevel="0" collapsed="false">
      <c r="A1389" s="27"/>
      <c r="B1389" s="5"/>
      <c r="C1389" s="35"/>
      <c r="D1389" s="18"/>
      <c r="E1389" s="5"/>
      <c r="F1389" s="14"/>
      <c r="G1389" s="5"/>
      <c r="H1389" s="27"/>
      <c r="I1389" s="5"/>
      <c r="J1389" s="19" t="str">
        <f aca="false">IF(A1389="","",IFERROR(INDEX(Empresas!$D:$D,MATCH(A1389,Empresas!$A:$A,0))&amp;"","não consta"))</f>
        <v/>
      </c>
      <c r="K1389" s="19" t="str">
        <f aca="false">IF(A1389="","",IFERROR(INDEX(Sancoes!$B:$B,MATCH(A1389,Sancoes!$A:$A,0))&amp;"","não consta"))</f>
        <v/>
      </c>
      <c r="L1389" s="19" t="str">
        <f aca="false">IF(A1389="","",IFERROR(INDEX(Eleitoral!$B:$B,MATCH(A1389,Eleitoral!$A:$A,0))&amp;"","não consta"))</f>
        <v/>
      </c>
      <c r="M1389" s="28" t="str">
        <f aca="false">IF(A1389="","",IF(OR(AND(K1389&lt;&gt;"",LOWER(K1389)&lt;&gt;"não consta"),AND(L1389&lt;&gt;"",LOWER(L1389)&lt;&gt;"não consta"),IFERROR(INDEX(Empresas!$G:$G,MATCH(A1389,Empresas!$A:$A,0))&amp;"","")&lt;&gt;""),"SIM",""))</f>
        <v/>
      </c>
      <c r="N1389" s="5"/>
      <c r="O1389" s="32" t="str">
        <f aca="false">IF(D1389="","",YEAR(D1389))</f>
        <v/>
      </c>
      <c r="P1389" s="5"/>
    </row>
    <row r="1390" customFormat="false" ht="15" hidden="false" customHeight="false" outlineLevel="0" collapsed="false">
      <c r="A1390" s="27"/>
      <c r="B1390" s="5"/>
      <c r="C1390" s="35"/>
      <c r="D1390" s="18"/>
      <c r="E1390" s="5"/>
      <c r="F1390" s="14"/>
      <c r="G1390" s="5"/>
      <c r="H1390" s="27"/>
      <c r="I1390" s="5"/>
      <c r="J1390" s="19" t="str">
        <f aca="false">IF(A1390="","",IFERROR(INDEX(Empresas!$D:$D,MATCH(A1390,Empresas!$A:$A,0))&amp;"","não consta"))</f>
        <v/>
      </c>
      <c r="K1390" s="19" t="str">
        <f aca="false">IF(A1390="","",IFERROR(INDEX(Sancoes!$B:$B,MATCH(A1390,Sancoes!$A:$A,0))&amp;"","não consta"))</f>
        <v/>
      </c>
      <c r="L1390" s="19" t="str">
        <f aca="false">IF(A1390="","",IFERROR(INDEX(Eleitoral!$B:$B,MATCH(A1390,Eleitoral!$A:$A,0))&amp;"","não consta"))</f>
        <v/>
      </c>
      <c r="M1390" s="28" t="str">
        <f aca="false">IF(A1390="","",IF(OR(AND(K1390&lt;&gt;"",LOWER(K1390)&lt;&gt;"não consta"),AND(L1390&lt;&gt;"",LOWER(L1390)&lt;&gt;"não consta"),IFERROR(INDEX(Empresas!$G:$G,MATCH(A1390,Empresas!$A:$A,0))&amp;"","")&lt;&gt;""),"SIM",""))</f>
        <v/>
      </c>
      <c r="N1390" s="5"/>
      <c r="O1390" s="32" t="str">
        <f aca="false">IF(D1390="","",YEAR(D1390))</f>
        <v/>
      </c>
      <c r="P1390" s="5"/>
    </row>
    <row r="1391" customFormat="false" ht="15" hidden="false" customHeight="false" outlineLevel="0" collapsed="false">
      <c r="A1391" s="27"/>
      <c r="B1391" s="5"/>
      <c r="C1391" s="35"/>
      <c r="D1391" s="18"/>
      <c r="E1391" s="5"/>
      <c r="F1391" s="14"/>
      <c r="G1391" s="5"/>
      <c r="H1391" s="27"/>
      <c r="I1391" s="5"/>
      <c r="J1391" s="19" t="str">
        <f aca="false">IF(A1391="","",IFERROR(INDEX(Empresas!$D:$D,MATCH(A1391,Empresas!$A:$A,0))&amp;"","não consta"))</f>
        <v/>
      </c>
      <c r="K1391" s="19" t="str">
        <f aca="false">IF(A1391="","",IFERROR(INDEX(Sancoes!$B:$B,MATCH(A1391,Sancoes!$A:$A,0))&amp;"","não consta"))</f>
        <v/>
      </c>
      <c r="L1391" s="19" t="str">
        <f aca="false">IF(A1391="","",IFERROR(INDEX(Eleitoral!$B:$B,MATCH(A1391,Eleitoral!$A:$A,0))&amp;"","não consta"))</f>
        <v/>
      </c>
      <c r="M1391" s="28" t="str">
        <f aca="false">IF(A1391="","",IF(OR(AND(K1391&lt;&gt;"",LOWER(K1391)&lt;&gt;"não consta"),AND(L1391&lt;&gt;"",LOWER(L1391)&lt;&gt;"não consta"),IFERROR(INDEX(Empresas!$G:$G,MATCH(A1391,Empresas!$A:$A,0))&amp;"","")&lt;&gt;""),"SIM",""))</f>
        <v/>
      </c>
      <c r="N1391" s="5"/>
      <c r="O1391" s="32" t="str">
        <f aca="false">IF(D1391="","",YEAR(D1391))</f>
        <v/>
      </c>
      <c r="P1391" s="5"/>
    </row>
    <row r="1392" customFormat="false" ht="15" hidden="false" customHeight="false" outlineLevel="0" collapsed="false">
      <c r="A1392" s="27"/>
      <c r="B1392" s="5"/>
      <c r="C1392" s="35"/>
      <c r="D1392" s="18"/>
      <c r="E1392" s="5"/>
      <c r="F1392" s="14"/>
      <c r="G1392" s="5"/>
      <c r="H1392" s="27"/>
      <c r="I1392" s="5"/>
      <c r="J1392" s="19" t="str">
        <f aca="false">IF(A1392="","",IFERROR(INDEX(Empresas!$D:$D,MATCH(A1392,Empresas!$A:$A,0))&amp;"","não consta"))</f>
        <v/>
      </c>
      <c r="K1392" s="19" t="str">
        <f aca="false">IF(A1392="","",IFERROR(INDEX(Sancoes!$B:$B,MATCH(A1392,Sancoes!$A:$A,0))&amp;"","não consta"))</f>
        <v/>
      </c>
      <c r="L1392" s="19" t="str">
        <f aca="false">IF(A1392="","",IFERROR(INDEX(Eleitoral!$B:$B,MATCH(A1392,Eleitoral!$A:$A,0))&amp;"","não consta"))</f>
        <v/>
      </c>
      <c r="M1392" s="28" t="str">
        <f aca="false">IF(A1392="","",IF(OR(AND(K1392&lt;&gt;"",LOWER(K1392)&lt;&gt;"não consta"),AND(L1392&lt;&gt;"",LOWER(L1392)&lt;&gt;"não consta"),IFERROR(INDEX(Empresas!$G:$G,MATCH(A1392,Empresas!$A:$A,0))&amp;"","")&lt;&gt;""),"SIM",""))</f>
        <v/>
      </c>
      <c r="N1392" s="5"/>
      <c r="O1392" s="32" t="str">
        <f aca="false">IF(D1392="","",YEAR(D1392))</f>
        <v/>
      </c>
      <c r="P1392" s="5"/>
    </row>
    <row r="1393" customFormat="false" ht="15" hidden="false" customHeight="false" outlineLevel="0" collapsed="false">
      <c r="A1393" s="27"/>
      <c r="B1393" s="5"/>
      <c r="C1393" s="35"/>
      <c r="D1393" s="18"/>
      <c r="E1393" s="5"/>
      <c r="F1393" s="14"/>
      <c r="G1393" s="5"/>
      <c r="H1393" s="27"/>
      <c r="I1393" s="5"/>
      <c r="J1393" s="19" t="str">
        <f aca="false">IF(A1393="","",IFERROR(INDEX(Empresas!$D:$D,MATCH(A1393,Empresas!$A:$A,0))&amp;"","não consta"))</f>
        <v/>
      </c>
      <c r="K1393" s="19" t="str">
        <f aca="false">IF(A1393="","",IFERROR(INDEX(Sancoes!$B:$B,MATCH(A1393,Sancoes!$A:$A,0))&amp;"","não consta"))</f>
        <v/>
      </c>
      <c r="L1393" s="19" t="str">
        <f aca="false">IF(A1393="","",IFERROR(INDEX(Eleitoral!$B:$B,MATCH(A1393,Eleitoral!$A:$A,0))&amp;"","não consta"))</f>
        <v/>
      </c>
      <c r="M1393" s="28" t="str">
        <f aca="false">IF(A1393="","",IF(OR(AND(K1393&lt;&gt;"",LOWER(K1393)&lt;&gt;"não consta"),AND(L1393&lt;&gt;"",LOWER(L1393)&lt;&gt;"não consta"),IFERROR(INDEX(Empresas!$G:$G,MATCH(A1393,Empresas!$A:$A,0))&amp;"","")&lt;&gt;""),"SIM",""))</f>
        <v/>
      </c>
      <c r="N1393" s="5"/>
      <c r="O1393" s="32" t="str">
        <f aca="false">IF(D1393="","",YEAR(D1393))</f>
        <v/>
      </c>
      <c r="P1393" s="5"/>
    </row>
    <row r="1394" customFormat="false" ht="15" hidden="false" customHeight="false" outlineLevel="0" collapsed="false">
      <c r="A1394" s="27"/>
      <c r="B1394" s="5"/>
      <c r="C1394" s="35"/>
      <c r="D1394" s="18"/>
      <c r="E1394" s="5"/>
      <c r="F1394" s="14"/>
      <c r="G1394" s="5"/>
      <c r="H1394" s="27"/>
      <c r="I1394" s="5"/>
      <c r="J1394" s="19" t="str">
        <f aca="false">IF(A1394="","",IFERROR(INDEX(Empresas!$D:$D,MATCH(A1394,Empresas!$A:$A,0))&amp;"","não consta"))</f>
        <v/>
      </c>
      <c r="K1394" s="19" t="str">
        <f aca="false">IF(A1394="","",IFERROR(INDEX(Sancoes!$B:$B,MATCH(A1394,Sancoes!$A:$A,0))&amp;"","não consta"))</f>
        <v/>
      </c>
      <c r="L1394" s="19" t="str">
        <f aca="false">IF(A1394="","",IFERROR(INDEX(Eleitoral!$B:$B,MATCH(A1394,Eleitoral!$A:$A,0))&amp;"","não consta"))</f>
        <v/>
      </c>
      <c r="M1394" s="28" t="str">
        <f aca="false">IF(A1394="","",IF(OR(AND(K1394&lt;&gt;"",LOWER(K1394)&lt;&gt;"não consta"),AND(L1394&lt;&gt;"",LOWER(L1394)&lt;&gt;"não consta"),IFERROR(INDEX(Empresas!$G:$G,MATCH(A1394,Empresas!$A:$A,0))&amp;"","")&lt;&gt;""),"SIM",""))</f>
        <v/>
      </c>
      <c r="N1394" s="5"/>
      <c r="O1394" s="32" t="str">
        <f aca="false">IF(D1394="","",YEAR(D1394))</f>
        <v/>
      </c>
      <c r="P1394" s="5"/>
    </row>
    <row r="1395" customFormat="false" ht="15" hidden="false" customHeight="false" outlineLevel="0" collapsed="false">
      <c r="A1395" s="27"/>
      <c r="B1395" s="5"/>
      <c r="C1395" s="35"/>
      <c r="D1395" s="18"/>
      <c r="E1395" s="5"/>
      <c r="F1395" s="14"/>
      <c r="G1395" s="5"/>
      <c r="H1395" s="27"/>
      <c r="I1395" s="5"/>
      <c r="J1395" s="19" t="str">
        <f aca="false">IF(A1395="","",IFERROR(INDEX(Empresas!$D:$D,MATCH(A1395,Empresas!$A:$A,0))&amp;"","não consta"))</f>
        <v/>
      </c>
      <c r="K1395" s="19" t="str">
        <f aca="false">IF(A1395="","",IFERROR(INDEX(Sancoes!$B:$B,MATCH(A1395,Sancoes!$A:$A,0))&amp;"","não consta"))</f>
        <v/>
      </c>
      <c r="L1395" s="19" t="str">
        <f aca="false">IF(A1395="","",IFERROR(INDEX(Eleitoral!$B:$B,MATCH(A1395,Eleitoral!$A:$A,0))&amp;"","não consta"))</f>
        <v/>
      </c>
      <c r="M1395" s="28" t="str">
        <f aca="false">IF(A1395="","",IF(OR(AND(K1395&lt;&gt;"",LOWER(K1395)&lt;&gt;"não consta"),AND(L1395&lt;&gt;"",LOWER(L1395)&lt;&gt;"não consta"),IFERROR(INDEX(Empresas!$G:$G,MATCH(A1395,Empresas!$A:$A,0))&amp;"","")&lt;&gt;""),"SIM",""))</f>
        <v/>
      </c>
      <c r="N1395" s="5"/>
      <c r="O1395" s="32" t="str">
        <f aca="false">IF(D1395="","",YEAR(D1395))</f>
        <v/>
      </c>
      <c r="P1395" s="5"/>
    </row>
    <row r="1396" customFormat="false" ht="15" hidden="false" customHeight="false" outlineLevel="0" collapsed="false">
      <c r="A1396" s="27"/>
      <c r="B1396" s="5"/>
      <c r="C1396" s="35"/>
      <c r="D1396" s="18"/>
      <c r="E1396" s="5"/>
      <c r="F1396" s="14"/>
      <c r="G1396" s="5"/>
      <c r="H1396" s="27"/>
      <c r="I1396" s="5"/>
      <c r="J1396" s="19" t="str">
        <f aca="false">IF(A1396="","",IFERROR(INDEX(Empresas!$D:$D,MATCH(A1396,Empresas!$A:$A,0))&amp;"","não consta"))</f>
        <v/>
      </c>
      <c r="K1396" s="19" t="str">
        <f aca="false">IF(A1396="","",IFERROR(INDEX(Sancoes!$B:$B,MATCH(A1396,Sancoes!$A:$A,0))&amp;"","não consta"))</f>
        <v/>
      </c>
      <c r="L1396" s="19" t="str">
        <f aca="false">IF(A1396="","",IFERROR(INDEX(Eleitoral!$B:$B,MATCH(A1396,Eleitoral!$A:$A,0))&amp;"","não consta"))</f>
        <v/>
      </c>
      <c r="M1396" s="28" t="str">
        <f aca="false">IF(A1396="","",IF(OR(AND(K1396&lt;&gt;"",LOWER(K1396)&lt;&gt;"não consta"),AND(L1396&lt;&gt;"",LOWER(L1396)&lt;&gt;"não consta"),IFERROR(INDEX(Empresas!$G:$G,MATCH(A1396,Empresas!$A:$A,0))&amp;"","")&lt;&gt;""),"SIM",""))</f>
        <v/>
      </c>
      <c r="N1396" s="5"/>
      <c r="O1396" s="32" t="str">
        <f aca="false">IF(D1396="","",YEAR(D1396))</f>
        <v/>
      </c>
      <c r="P1396" s="5"/>
    </row>
    <row r="1397" customFormat="false" ht="15" hidden="false" customHeight="false" outlineLevel="0" collapsed="false">
      <c r="A1397" s="27"/>
      <c r="B1397" s="5"/>
      <c r="C1397" s="35"/>
      <c r="D1397" s="18"/>
      <c r="E1397" s="5"/>
      <c r="F1397" s="14"/>
      <c r="G1397" s="5"/>
      <c r="H1397" s="27"/>
      <c r="I1397" s="5"/>
      <c r="J1397" s="19" t="str">
        <f aca="false">IF(A1397="","",IFERROR(INDEX(Empresas!$D:$D,MATCH(A1397,Empresas!$A:$A,0))&amp;"","não consta"))</f>
        <v/>
      </c>
      <c r="K1397" s="19" t="str">
        <f aca="false">IF(A1397="","",IFERROR(INDEX(Sancoes!$B:$B,MATCH(A1397,Sancoes!$A:$A,0))&amp;"","não consta"))</f>
        <v/>
      </c>
      <c r="L1397" s="19" t="str">
        <f aca="false">IF(A1397="","",IFERROR(INDEX(Eleitoral!$B:$B,MATCH(A1397,Eleitoral!$A:$A,0))&amp;"","não consta"))</f>
        <v/>
      </c>
      <c r="M1397" s="28" t="str">
        <f aca="false">IF(A1397="","",IF(OR(AND(K1397&lt;&gt;"",LOWER(K1397)&lt;&gt;"não consta"),AND(L1397&lt;&gt;"",LOWER(L1397)&lt;&gt;"não consta"),IFERROR(INDEX(Empresas!$G:$G,MATCH(A1397,Empresas!$A:$A,0))&amp;"","")&lt;&gt;""),"SIM",""))</f>
        <v/>
      </c>
      <c r="N1397" s="5"/>
      <c r="O1397" s="32" t="str">
        <f aca="false">IF(D1397="","",YEAR(D1397))</f>
        <v/>
      </c>
      <c r="P1397" s="5"/>
    </row>
    <row r="1398" customFormat="false" ht="15" hidden="false" customHeight="false" outlineLevel="0" collapsed="false">
      <c r="A1398" s="27"/>
      <c r="B1398" s="5"/>
      <c r="C1398" s="35"/>
      <c r="D1398" s="18"/>
      <c r="E1398" s="5"/>
      <c r="F1398" s="14"/>
      <c r="G1398" s="5"/>
      <c r="H1398" s="27"/>
      <c r="I1398" s="5"/>
      <c r="J1398" s="19" t="str">
        <f aca="false">IF(A1398="","",IFERROR(INDEX(Empresas!$D:$D,MATCH(A1398,Empresas!$A:$A,0))&amp;"","não consta"))</f>
        <v/>
      </c>
      <c r="K1398" s="19" t="str">
        <f aca="false">IF(A1398="","",IFERROR(INDEX(Sancoes!$B:$B,MATCH(A1398,Sancoes!$A:$A,0))&amp;"","não consta"))</f>
        <v/>
      </c>
      <c r="L1398" s="19" t="str">
        <f aca="false">IF(A1398="","",IFERROR(INDEX(Eleitoral!$B:$B,MATCH(A1398,Eleitoral!$A:$A,0))&amp;"","não consta"))</f>
        <v/>
      </c>
      <c r="M1398" s="28" t="str">
        <f aca="false">IF(A1398="","",IF(OR(AND(K1398&lt;&gt;"",LOWER(K1398)&lt;&gt;"não consta"),AND(L1398&lt;&gt;"",LOWER(L1398)&lt;&gt;"não consta"),IFERROR(INDEX(Empresas!$G:$G,MATCH(A1398,Empresas!$A:$A,0))&amp;"","")&lt;&gt;""),"SIM",""))</f>
        <v/>
      </c>
      <c r="N1398" s="5"/>
      <c r="O1398" s="32" t="str">
        <f aca="false">IF(D1398="","",YEAR(D1398))</f>
        <v/>
      </c>
      <c r="P1398" s="5"/>
    </row>
    <row r="1399" customFormat="false" ht="15" hidden="false" customHeight="false" outlineLevel="0" collapsed="false">
      <c r="A1399" s="27"/>
      <c r="B1399" s="5"/>
      <c r="C1399" s="35"/>
      <c r="D1399" s="18"/>
      <c r="E1399" s="5"/>
      <c r="F1399" s="14"/>
      <c r="G1399" s="5"/>
      <c r="H1399" s="27"/>
      <c r="I1399" s="5"/>
      <c r="J1399" s="19" t="str">
        <f aca="false">IF(A1399="","",IFERROR(INDEX(Empresas!$D:$D,MATCH(A1399,Empresas!$A:$A,0))&amp;"","não consta"))</f>
        <v/>
      </c>
      <c r="K1399" s="19" t="str">
        <f aca="false">IF(A1399="","",IFERROR(INDEX(Sancoes!$B:$B,MATCH(A1399,Sancoes!$A:$A,0))&amp;"","não consta"))</f>
        <v/>
      </c>
      <c r="L1399" s="19" t="str">
        <f aca="false">IF(A1399="","",IFERROR(INDEX(Eleitoral!$B:$B,MATCH(A1399,Eleitoral!$A:$A,0))&amp;"","não consta"))</f>
        <v/>
      </c>
      <c r="M1399" s="28" t="str">
        <f aca="false">IF(A1399="","",IF(OR(AND(K1399&lt;&gt;"",LOWER(K1399)&lt;&gt;"não consta"),AND(L1399&lt;&gt;"",LOWER(L1399)&lt;&gt;"não consta"),IFERROR(INDEX(Empresas!$G:$G,MATCH(A1399,Empresas!$A:$A,0))&amp;"","")&lt;&gt;""),"SIM",""))</f>
        <v/>
      </c>
      <c r="N1399" s="5"/>
      <c r="O1399" s="32" t="str">
        <f aca="false">IF(D1399="","",YEAR(D1399))</f>
        <v/>
      </c>
      <c r="P1399" s="5"/>
    </row>
    <row r="1400" customFormat="false" ht="15" hidden="false" customHeight="false" outlineLevel="0" collapsed="false">
      <c r="A1400" s="27"/>
      <c r="B1400" s="5"/>
      <c r="C1400" s="35"/>
      <c r="D1400" s="18"/>
      <c r="E1400" s="5"/>
      <c r="F1400" s="14"/>
      <c r="G1400" s="5"/>
      <c r="H1400" s="27"/>
      <c r="I1400" s="5"/>
      <c r="J1400" s="19" t="str">
        <f aca="false">IF(A1400="","",IFERROR(INDEX(Empresas!$D:$D,MATCH(A1400,Empresas!$A:$A,0))&amp;"","não consta"))</f>
        <v/>
      </c>
      <c r="K1400" s="19" t="str">
        <f aca="false">IF(A1400="","",IFERROR(INDEX(Sancoes!$B:$B,MATCH(A1400,Sancoes!$A:$A,0))&amp;"","não consta"))</f>
        <v/>
      </c>
      <c r="L1400" s="19" t="str">
        <f aca="false">IF(A1400="","",IFERROR(INDEX(Eleitoral!$B:$B,MATCH(A1400,Eleitoral!$A:$A,0))&amp;"","não consta"))</f>
        <v/>
      </c>
      <c r="M1400" s="28" t="str">
        <f aca="false">IF(A1400="","",IF(OR(AND(K1400&lt;&gt;"",LOWER(K1400)&lt;&gt;"não consta"),AND(L1400&lt;&gt;"",LOWER(L1400)&lt;&gt;"não consta"),IFERROR(INDEX(Empresas!$G:$G,MATCH(A1400,Empresas!$A:$A,0))&amp;"","")&lt;&gt;""),"SIM",""))</f>
        <v/>
      </c>
      <c r="N1400" s="5"/>
      <c r="O1400" s="32" t="str">
        <f aca="false">IF(D1400="","",YEAR(D1400))</f>
        <v/>
      </c>
      <c r="P1400" s="5"/>
    </row>
    <row r="1401" customFormat="false" ht="15" hidden="false" customHeight="false" outlineLevel="0" collapsed="false">
      <c r="A1401" s="27"/>
      <c r="B1401" s="5"/>
      <c r="C1401" s="35"/>
      <c r="D1401" s="18"/>
      <c r="E1401" s="5"/>
      <c r="F1401" s="14"/>
      <c r="G1401" s="5"/>
      <c r="H1401" s="27"/>
      <c r="I1401" s="5"/>
      <c r="J1401" s="19" t="str">
        <f aca="false">IF(A1401="","",IFERROR(INDEX(Empresas!$D:$D,MATCH(A1401,Empresas!$A:$A,0))&amp;"","não consta"))</f>
        <v/>
      </c>
      <c r="K1401" s="19" t="str">
        <f aca="false">IF(A1401="","",IFERROR(INDEX(Sancoes!$B:$B,MATCH(A1401,Sancoes!$A:$A,0))&amp;"","não consta"))</f>
        <v/>
      </c>
      <c r="L1401" s="19" t="str">
        <f aca="false">IF(A1401="","",IFERROR(INDEX(Eleitoral!$B:$B,MATCH(A1401,Eleitoral!$A:$A,0))&amp;"","não consta"))</f>
        <v/>
      </c>
      <c r="M1401" s="28" t="str">
        <f aca="false">IF(A1401="","",IF(OR(AND(K1401&lt;&gt;"",LOWER(K1401)&lt;&gt;"não consta"),AND(L1401&lt;&gt;"",LOWER(L1401)&lt;&gt;"não consta"),IFERROR(INDEX(Empresas!$G:$G,MATCH(A1401,Empresas!$A:$A,0))&amp;"","")&lt;&gt;""),"SIM",""))</f>
        <v/>
      </c>
      <c r="N1401" s="5"/>
      <c r="O1401" s="32" t="str">
        <f aca="false">IF(D1401="","",YEAR(D1401))</f>
        <v/>
      </c>
      <c r="P1401" s="5"/>
    </row>
    <row r="1402" customFormat="false" ht="15" hidden="false" customHeight="false" outlineLevel="0" collapsed="false">
      <c r="A1402" s="27"/>
      <c r="B1402" s="5"/>
      <c r="C1402" s="35"/>
      <c r="D1402" s="18"/>
      <c r="E1402" s="5"/>
      <c r="F1402" s="14"/>
      <c r="G1402" s="5"/>
      <c r="H1402" s="27"/>
      <c r="I1402" s="5"/>
      <c r="J1402" s="19" t="str">
        <f aca="false">IF(A1402="","",IFERROR(INDEX(Empresas!$D:$D,MATCH(A1402,Empresas!$A:$A,0))&amp;"","não consta"))</f>
        <v/>
      </c>
      <c r="K1402" s="19" t="str">
        <f aca="false">IF(A1402="","",IFERROR(INDEX(Sancoes!$B:$B,MATCH(A1402,Sancoes!$A:$A,0))&amp;"","não consta"))</f>
        <v/>
      </c>
      <c r="L1402" s="19" t="str">
        <f aca="false">IF(A1402="","",IFERROR(INDEX(Eleitoral!$B:$B,MATCH(A1402,Eleitoral!$A:$A,0))&amp;"","não consta"))</f>
        <v/>
      </c>
      <c r="M1402" s="28" t="str">
        <f aca="false">IF(A1402="","",IF(OR(AND(K1402&lt;&gt;"",LOWER(K1402)&lt;&gt;"não consta"),AND(L1402&lt;&gt;"",LOWER(L1402)&lt;&gt;"não consta"),IFERROR(INDEX(Empresas!$G:$G,MATCH(A1402,Empresas!$A:$A,0))&amp;"","")&lt;&gt;""),"SIM",""))</f>
        <v/>
      </c>
      <c r="N1402" s="5"/>
      <c r="O1402" s="32" t="str">
        <f aca="false">IF(D1402="","",YEAR(D1402))</f>
        <v/>
      </c>
      <c r="P1402" s="5"/>
    </row>
    <row r="1403" customFormat="false" ht="15" hidden="false" customHeight="false" outlineLevel="0" collapsed="false">
      <c r="A1403" s="27"/>
      <c r="B1403" s="5"/>
      <c r="C1403" s="35"/>
      <c r="D1403" s="18"/>
      <c r="E1403" s="5"/>
      <c r="F1403" s="14"/>
      <c r="G1403" s="5"/>
      <c r="H1403" s="27"/>
      <c r="I1403" s="5"/>
      <c r="J1403" s="19" t="str">
        <f aca="false">IF(A1403="","",IFERROR(INDEX(Empresas!$D:$D,MATCH(A1403,Empresas!$A:$A,0))&amp;"","não consta"))</f>
        <v/>
      </c>
      <c r="K1403" s="19" t="str">
        <f aca="false">IF(A1403="","",IFERROR(INDEX(Sancoes!$B:$B,MATCH(A1403,Sancoes!$A:$A,0))&amp;"","não consta"))</f>
        <v/>
      </c>
      <c r="L1403" s="19" t="str">
        <f aca="false">IF(A1403="","",IFERROR(INDEX(Eleitoral!$B:$B,MATCH(A1403,Eleitoral!$A:$A,0))&amp;"","não consta"))</f>
        <v/>
      </c>
      <c r="M1403" s="28" t="str">
        <f aca="false">IF(A1403="","",IF(OR(AND(K1403&lt;&gt;"",LOWER(K1403)&lt;&gt;"não consta"),AND(L1403&lt;&gt;"",LOWER(L1403)&lt;&gt;"não consta"),IFERROR(INDEX(Empresas!$G:$G,MATCH(A1403,Empresas!$A:$A,0))&amp;"","")&lt;&gt;""),"SIM",""))</f>
        <v/>
      </c>
      <c r="N1403" s="5"/>
      <c r="O1403" s="32" t="str">
        <f aca="false">IF(D1403="","",YEAR(D1403))</f>
        <v/>
      </c>
      <c r="P1403" s="5"/>
    </row>
    <row r="1404" customFormat="false" ht="15" hidden="false" customHeight="false" outlineLevel="0" collapsed="false">
      <c r="A1404" s="27"/>
      <c r="B1404" s="5"/>
      <c r="C1404" s="35"/>
      <c r="D1404" s="18"/>
      <c r="E1404" s="5"/>
      <c r="F1404" s="14"/>
      <c r="G1404" s="5"/>
      <c r="H1404" s="27"/>
      <c r="I1404" s="5"/>
      <c r="J1404" s="19" t="str">
        <f aca="false">IF(A1404="","",IFERROR(INDEX(Empresas!$D:$D,MATCH(A1404,Empresas!$A:$A,0))&amp;"","não consta"))</f>
        <v/>
      </c>
      <c r="K1404" s="19" t="str">
        <f aca="false">IF(A1404="","",IFERROR(INDEX(Sancoes!$B:$B,MATCH(A1404,Sancoes!$A:$A,0))&amp;"","não consta"))</f>
        <v/>
      </c>
      <c r="L1404" s="19" t="str">
        <f aca="false">IF(A1404="","",IFERROR(INDEX(Eleitoral!$B:$B,MATCH(A1404,Eleitoral!$A:$A,0))&amp;"","não consta"))</f>
        <v/>
      </c>
      <c r="M1404" s="28" t="str">
        <f aca="false">IF(A1404="","",IF(OR(AND(K1404&lt;&gt;"",LOWER(K1404)&lt;&gt;"não consta"),AND(L1404&lt;&gt;"",LOWER(L1404)&lt;&gt;"não consta"),IFERROR(INDEX(Empresas!$G:$G,MATCH(A1404,Empresas!$A:$A,0))&amp;"","")&lt;&gt;""),"SIM",""))</f>
        <v/>
      </c>
      <c r="N1404" s="5"/>
      <c r="O1404" s="32" t="str">
        <f aca="false">IF(D1404="","",YEAR(D1404))</f>
        <v/>
      </c>
      <c r="P1404" s="5"/>
    </row>
    <row r="1405" customFormat="false" ht="15" hidden="false" customHeight="false" outlineLevel="0" collapsed="false">
      <c r="A1405" s="27"/>
      <c r="B1405" s="5"/>
      <c r="C1405" s="35"/>
      <c r="D1405" s="18"/>
      <c r="E1405" s="5"/>
      <c r="F1405" s="14"/>
      <c r="G1405" s="5"/>
      <c r="H1405" s="27"/>
      <c r="I1405" s="5"/>
      <c r="J1405" s="19" t="str">
        <f aca="false">IF(A1405="","",IFERROR(INDEX(Empresas!$D:$D,MATCH(A1405,Empresas!$A:$A,0))&amp;"","não consta"))</f>
        <v/>
      </c>
      <c r="K1405" s="19" t="str">
        <f aca="false">IF(A1405="","",IFERROR(INDEX(Sancoes!$B:$B,MATCH(A1405,Sancoes!$A:$A,0))&amp;"","não consta"))</f>
        <v/>
      </c>
      <c r="L1405" s="19" t="str">
        <f aca="false">IF(A1405="","",IFERROR(INDEX(Eleitoral!$B:$B,MATCH(A1405,Eleitoral!$A:$A,0))&amp;"","não consta"))</f>
        <v/>
      </c>
      <c r="M1405" s="28" t="str">
        <f aca="false">IF(A1405="","",IF(OR(AND(K1405&lt;&gt;"",LOWER(K1405)&lt;&gt;"não consta"),AND(L1405&lt;&gt;"",LOWER(L1405)&lt;&gt;"não consta"),IFERROR(INDEX(Empresas!$G:$G,MATCH(A1405,Empresas!$A:$A,0))&amp;"","")&lt;&gt;""),"SIM",""))</f>
        <v/>
      </c>
      <c r="N1405" s="5"/>
      <c r="O1405" s="32" t="str">
        <f aca="false">IF(D1405="","",YEAR(D1405))</f>
        <v/>
      </c>
      <c r="P1405" s="5"/>
    </row>
    <row r="1406" customFormat="false" ht="15" hidden="false" customHeight="false" outlineLevel="0" collapsed="false">
      <c r="A1406" s="27"/>
      <c r="B1406" s="5"/>
      <c r="C1406" s="35"/>
      <c r="D1406" s="18"/>
      <c r="E1406" s="5"/>
      <c r="F1406" s="14"/>
      <c r="G1406" s="5"/>
      <c r="H1406" s="27"/>
      <c r="I1406" s="5"/>
      <c r="J1406" s="19" t="str">
        <f aca="false">IF(A1406="","",IFERROR(INDEX(Empresas!$D:$D,MATCH(A1406,Empresas!$A:$A,0))&amp;"","não consta"))</f>
        <v/>
      </c>
      <c r="K1406" s="19" t="str">
        <f aca="false">IF(A1406="","",IFERROR(INDEX(Sancoes!$B:$B,MATCH(A1406,Sancoes!$A:$A,0))&amp;"","não consta"))</f>
        <v/>
      </c>
      <c r="L1406" s="19" t="str">
        <f aca="false">IF(A1406="","",IFERROR(INDEX(Eleitoral!$B:$B,MATCH(A1406,Eleitoral!$A:$A,0))&amp;"","não consta"))</f>
        <v/>
      </c>
      <c r="M1406" s="28" t="str">
        <f aca="false">IF(A1406="","",IF(OR(AND(K1406&lt;&gt;"",LOWER(K1406)&lt;&gt;"não consta"),AND(L1406&lt;&gt;"",LOWER(L1406)&lt;&gt;"não consta"),IFERROR(INDEX(Empresas!$G:$G,MATCH(A1406,Empresas!$A:$A,0))&amp;"","")&lt;&gt;""),"SIM",""))</f>
        <v/>
      </c>
      <c r="N1406" s="5"/>
      <c r="O1406" s="32" t="str">
        <f aca="false">IF(D1406="","",YEAR(D1406))</f>
        <v/>
      </c>
      <c r="P1406" s="5"/>
    </row>
    <row r="1407" customFormat="false" ht="15" hidden="false" customHeight="false" outlineLevel="0" collapsed="false">
      <c r="A1407" s="27"/>
      <c r="B1407" s="5"/>
      <c r="C1407" s="35"/>
      <c r="D1407" s="18"/>
      <c r="E1407" s="5"/>
      <c r="F1407" s="14"/>
      <c r="G1407" s="5"/>
      <c r="H1407" s="27"/>
      <c r="I1407" s="5"/>
      <c r="J1407" s="19" t="str">
        <f aca="false">IF(A1407="","",IFERROR(INDEX(Empresas!$D:$D,MATCH(A1407,Empresas!$A:$A,0))&amp;"","não consta"))</f>
        <v/>
      </c>
      <c r="K1407" s="19" t="str">
        <f aca="false">IF(A1407="","",IFERROR(INDEX(Sancoes!$B:$B,MATCH(A1407,Sancoes!$A:$A,0))&amp;"","não consta"))</f>
        <v/>
      </c>
      <c r="L1407" s="19" t="str">
        <f aca="false">IF(A1407="","",IFERROR(INDEX(Eleitoral!$B:$B,MATCH(A1407,Eleitoral!$A:$A,0))&amp;"","não consta"))</f>
        <v/>
      </c>
      <c r="M1407" s="28" t="str">
        <f aca="false">IF(A1407="","",IF(OR(AND(K1407&lt;&gt;"",LOWER(K1407)&lt;&gt;"não consta"),AND(L1407&lt;&gt;"",LOWER(L1407)&lt;&gt;"não consta"),IFERROR(INDEX(Empresas!$G:$G,MATCH(A1407,Empresas!$A:$A,0))&amp;"","")&lt;&gt;""),"SIM",""))</f>
        <v/>
      </c>
      <c r="N1407" s="5"/>
      <c r="O1407" s="32" t="str">
        <f aca="false">IF(D1407="","",YEAR(D1407))</f>
        <v/>
      </c>
      <c r="P1407" s="5"/>
    </row>
    <row r="1408" customFormat="false" ht="15" hidden="false" customHeight="false" outlineLevel="0" collapsed="false">
      <c r="A1408" s="27"/>
      <c r="B1408" s="5"/>
      <c r="C1408" s="35"/>
      <c r="D1408" s="18"/>
      <c r="E1408" s="5"/>
      <c r="F1408" s="14"/>
      <c r="G1408" s="5"/>
      <c r="H1408" s="27"/>
      <c r="I1408" s="5"/>
      <c r="J1408" s="19" t="str">
        <f aca="false">IF(A1408="","",IFERROR(INDEX(Empresas!$D:$D,MATCH(A1408,Empresas!$A:$A,0))&amp;"","não consta"))</f>
        <v/>
      </c>
      <c r="K1408" s="19" t="str">
        <f aca="false">IF(A1408="","",IFERROR(INDEX(Sancoes!$B:$B,MATCH(A1408,Sancoes!$A:$A,0))&amp;"","não consta"))</f>
        <v/>
      </c>
      <c r="L1408" s="19" t="str">
        <f aca="false">IF(A1408="","",IFERROR(INDEX(Eleitoral!$B:$B,MATCH(A1408,Eleitoral!$A:$A,0))&amp;"","não consta"))</f>
        <v/>
      </c>
      <c r="M1408" s="28" t="str">
        <f aca="false">IF(A1408="","",IF(OR(AND(K1408&lt;&gt;"",LOWER(K1408)&lt;&gt;"não consta"),AND(L1408&lt;&gt;"",LOWER(L1408)&lt;&gt;"não consta"),IFERROR(INDEX(Empresas!$G:$G,MATCH(A1408,Empresas!$A:$A,0))&amp;"","")&lt;&gt;""),"SIM",""))</f>
        <v/>
      </c>
      <c r="N1408" s="5"/>
      <c r="O1408" s="32" t="str">
        <f aca="false">IF(D1408="","",YEAR(D1408))</f>
        <v/>
      </c>
      <c r="P1408" s="5"/>
    </row>
    <row r="1409" customFormat="false" ht="15" hidden="false" customHeight="false" outlineLevel="0" collapsed="false">
      <c r="A1409" s="27"/>
      <c r="B1409" s="5"/>
      <c r="C1409" s="35"/>
      <c r="D1409" s="18"/>
      <c r="E1409" s="5"/>
      <c r="F1409" s="14"/>
      <c r="G1409" s="5"/>
      <c r="H1409" s="27"/>
      <c r="I1409" s="5"/>
      <c r="J1409" s="19" t="str">
        <f aca="false">IF(A1409="","",IFERROR(INDEX(Empresas!$D:$D,MATCH(A1409,Empresas!$A:$A,0))&amp;"","não consta"))</f>
        <v/>
      </c>
      <c r="K1409" s="19" t="str">
        <f aca="false">IF(A1409="","",IFERROR(INDEX(Sancoes!$B:$B,MATCH(A1409,Sancoes!$A:$A,0))&amp;"","não consta"))</f>
        <v/>
      </c>
      <c r="L1409" s="19" t="str">
        <f aca="false">IF(A1409="","",IFERROR(INDEX(Eleitoral!$B:$B,MATCH(A1409,Eleitoral!$A:$A,0))&amp;"","não consta"))</f>
        <v/>
      </c>
      <c r="M1409" s="28" t="str">
        <f aca="false">IF(A1409="","",IF(OR(AND(K1409&lt;&gt;"",LOWER(K1409)&lt;&gt;"não consta"),AND(L1409&lt;&gt;"",LOWER(L1409)&lt;&gt;"não consta"),IFERROR(INDEX(Empresas!$G:$G,MATCH(A1409,Empresas!$A:$A,0))&amp;"","")&lt;&gt;""),"SIM",""))</f>
        <v/>
      </c>
      <c r="N1409" s="5"/>
      <c r="O1409" s="32" t="str">
        <f aca="false">IF(D1409="","",YEAR(D1409))</f>
        <v/>
      </c>
      <c r="P1409" s="5"/>
    </row>
    <row r="1410" customFormat="false" ht="15" hidden="false" customHeight="false" outlineLevel="0" collapsed="false">
      <c r="A1410" s="27"/>
      <c r="B1410" s="5"/>
      <c r="C1410" s="35"/>
      <c r="D1410" s="18"/>
      <c r="E1410" s="5"/>
      <c r="F1410" s="14"/>
      <c r="G1410" s="5"/>
      <c r="H1410" s="27"/>
      <c r="I1410" s="5"/>
      <c r="J1410" s="19" t="str">
        <f aca="false">IF(A1410="","",IFERROR(INDEX(Empresas!$D:$D,MATCH(A1410,Empresas!$A:$A,0))&amp;"","não consta"))</f>
        <v/>
      </c>
      <c r="K1410" s="19" t="str">
        <f aca="false">IF(A1410="","",IFERROR(INDEX(Sancoes!$B:$B,MATCH(A1410,Sancoes!$A:$A,0))&amp;"","não consta"))</f>
        <v/>
      </c>
      <c r="L1410" s="19" t="str">
        <f aca="false">IF(A1410="","",IFERROR(INDEX(Eleitoral!$B:$B,MATCH(A1410,Eleitoral!$A:$A,0))&amp;"","não consta"))</f>
        <v/>
      </c>
      <c r="M1410" s="28" t="str">
        <f aca="false">IF(A1410="","",IF(OR(AND(K1410&lt;&gt;"",LOWER(K1410)&lt;&gt;"não consta"),AND(L1410&lt;&gt;"",LOWER(L1410)&lt;&gt;"não consta"),IFERROR(INDEX(Empresas!$G:$G,MATCH(A1410,Empresas!$A:$A,0))&amp;"","")&lt;&gt;""),"SIM",""))</f>
        <v/>
      </c>
      <c r="N1410" s="5"/>
      <c r="O1410" s="32" t="str">
        <f aca="false">IF(D1410="","",YEAR(D1410))</f>
        <v/>
      </c>
      <c r="P1410" s="5"/>
    </row>
    <row r="1411" customFormat="false" ht="15" hidden="false" customHeight="false" outlineLevel="0" collapsed="false">
      <c r="A1411" s="27"/>
      <c r="B1411" s="5"/>
      <c r="C1411" s="35"/>
      <c r="D1411" s="18"/>
      <c r="E1411" s="5"/>
      <c r="F1411" s="14"/>
      <c r="G1411" s="5"/>
      <c r="H1411" s="27"/>
      <c r="I1411" s="5"/>
      <c r="J1411" s="19" t="str">
        <f aca="false">IF(A1411="","",IFERROR(INDEX(Empresas!$D:$D,MATCH(A1411,Empresas!$A:$A,0))&amp;"","não consta"))</f>
        <v/>
      </c>
      <c r="K1411" s="19" t="str">
        <f aca="false">IF(A1411="","",IFERROR(INDEX(Sancoes!$B:$B,MATCH(A1411,Sancoes!$A:$A,0))&amp;"","não consta"))</f>
        <v/>
      </c>
      <c r="L1411" s="19" t="str">
        <f aca="false">IF(A1411="","",IFERROR(INDEX(Eleitoral!$B:$B,MATCH(A1411,Eleitoral!$A:$A,0))&amp;"","não consta"))</f>
        <v/>
      </c>
      <c r="M1411" s="28" t="str">
        <f aca="false">IF(A1411="","",IF(OR(AND(K1411&lt;&gt;"",LOWER(K1411)&lt;&gt;"não consta"),AND(L1411&lt;&gt;"",LOWER(L1411)&lt;&gt;"não consta"),IFERROR(INDEX(Empresas!$G:$G,MATCH(A1411,Empresas!$A:$A,0))&amp;"","")&lt;&gt;""),"SIM",""))</f>
        <v/>
      </c>
      <c r="N1411" s="5"/>
      <c r="O1411" s="32" t="str">
        <f aca="false">IF(D1411="","",YEAR(D1411))</f>
        <v/>
      </c>
      <c r="P1411" s="5"/>
    </row>
    <row r="1412" customFormat="false" ht="15" hidden="false" customHeight="false" outlineLevel="0" collapsed="false">
      <c r="A1412" s="27"/>
      <c r="B1412" s="5"/>
      <c r="C1412" s="35"/>
      <c r="D1412" s="18"/>
      <c r="E1412" s="5"/>
      <c r="F1412" s="14"/>
      <c r="G1412" s="5"/>
      <c r="H1412" s="27"/>
      <c r="I1412" s="5"/>
      <c r="J1412" s="19" t="str">
        <f aca="false">IF(A1412="","",IFERROR(INDEX(Empresas!$D:$D,MATCH(A1412,Empresas!$A:$A,0))&amp;"","não consta"))</f>
        <v/>
      </c>
      <c r="K1412" s="19" t="str">
        <f aca="false">IF(A1412="","",IFERROR(INDEX(Sancoes!$B:$B,MATCH(A1412,Sancoes!$A:$A,0))&amp;"","não consta"))</f>
        <v/>
      </c>
      <c r="L1412" s="19" t="str">
        <f aca="false">IF(A1412="","",IFERROR(INDEX(Eleitoral!$B:$B,MATCH(A1412,Eleitoral!$A:$A,0))&amp;"","não consta"))</f>
        <v/>
      </c>
      <c r="M1412" s="28" t="str">
        <f aca="false">IF(A1412="","",IF(OR(AND(K1412&lt;&gt;"",LOWER(K1412)&lt;&gt;"não consta"),AND(L1412&lt;&gt;"",LOWER(L1412)&lt;&gt;"não consta"),IFERROR(INDEX(Empresas!$G:$G,MATCH(A1412,Empresas!$A:$A,0))&amp;"","")&lt;&gt;""),"SIM",""))</f>
        <v/>
      </c>
      <c r="N1412" s="5"/>
      <c r="O1412" s="32" t="str">
        <f aca="false">IF(D1412="","",YEAR(D1412))</f>
        <v/>
      </c>
      <c r="P1412" s="5"/>
    </row>
    <row r="1413" customFormat="false" ht="15" hidden="false" customHeight="false" outlineLevel="0" collapsed="false">
      <c r="A1413" s="27"/>
      <c r="B1413" s="5"/>
      <c r="C1413" s="35"/>
      <c r="D1413" s="18"/>
      <c r="E1413" s="5"/>
      <c r="F1413" s="14"/>
      <c r="G1413" s="5"/>
      <c r="H1413" s="27"/>
      <c r="I1413" s="5"/>
      <c r="J1413" s="19" t="str">
        <f aca="false">IF(A1413="","",IFERROR(INDEX(Empresas!$D:$D,MATCH(A1413,Empresas!$A:$A,0))&amp;"","não consta"))</f>
        <v/>
      </c>
      <c r="K1413" s="19" t="str">
        <f aca="false">IF(A1413="","",IFERROR(INDEX(Sancoes!$B:$B,MATCH(A1413,Sancoes!$A:$A,0))&amp;"","não consta"))</f>
        <v/>
      </c>
      <c r="L1413" s="19" t="str">
        <f aca="false">IF(A1413="","",IFERROR(INDEX(Eleitoral!$B:$B,MATCH(A1413,Eleitoral!$A:$A,0))&amp;"","não consta"))</f>
        <v/>
      </c>
      <c r="M1413" s="28" t="str">
        <f aca="false">IF(A1413="","",IF(OR(AND(K1413&lt;&gt;"",LOWER(K1413)&lt;&gt;"não consta"),AND(L1413&lt;&gt;"",LOWER(L1413)&lt;&gt;"não consta"),IFERROR(INDEX(Empresas!$G:$G,MATCH(A1413,Empresas!$A:$A,0))&amp;"","")&lt;&gt;""),"SIM",""))</f>
        <v/>
      </c>
      <c r="N1413" s="5"/>
      <c r="O1413" s="32" t="str">
        <f aca="false">IF(D1413="","",YEAR(D1413))</f>
        <v/>
      </c>
      <c r="P1413" s="5"/>
    </row>
    <row r="1414" customFormat="false" ht="15" hidden="false" customHeight="false" outlineLevel="0" collapsed="false">
      <c r="A1414" s="27"/>
      <c r="B1414" s="5"/>
      <c r="C1414" s="35"/>
      <c r="D1414" s="18"/>
      <c r="E1414" s="5"/>
      <c r="F1414" s="14"/>
      <c r="G1414" s="5"/>
      <c r="H1414" s="27"/>
      <c r="I1414" s="5"/>
      <c r="J1414" s="19" t="str">
        <f aca="false">IF(A1414="","",IFERROR(INDEX(Empresas!$D:$D,MATCH(A1414,Empresas!$A:$A,0))&amp;"","não consta"))</f>
        <v/>
      </c>
      <c r="K1414" s="19" t="str">
        <f aca="false">IF(A1414="","",IFERROR(INDEX(Sancoes!$B:$B,MATCH(A1414,Sancoes!$A:$A,0))&amp;"","não consta"))</f>
        <v/>
      </c>
      <c r="L1414" s="19" t="str">
        <f aca="false">IF(A1414="","",IFERROR(INDEX(Eleitoral!$B:$B,MATCH(A1414,Eleitoral!$A:$A,0))&amp;"","não consta"))</f>
        <v/>
      </c>
      <c r="M1414" s="28" t="str">
        <f aca="false">IF(A1414="","",IF(OR(AND(K1414&lt;&gt;"",LOWER(K1414)&lt;&gt;"não consta"),AND(L1414&lt;&gt;"",LOWER(L1414)&lt;&gt;"não consta"),IFERROR(INDEX(Empresas!$G:$G,MATCH(A1414,Empresas!$A:$A,0))&amp;"","")&lt;&gt;""),"SIM",""))</f>
        <v/>
      </c>
      <c r="N1414" s="5"/>
      <c r="O1414" s="32" t="str">
        <f aca="false">IF(D1414="","",YEAR(D1414))</f>
        <v/>
      </c>
      <c r="P1414" s="5"/>
    </row>
    <row r="1415" customFormat="false" ht="15" hidden="false" customHeight="false" outlineLevel="0" collapsed="false">
      <c r="A1415" s="27"/>
      <c r="B1415" s="5"/>
      <c r="C1415" s="35"/>
      <c r="D1415" s="18"/>
      <c r="E1415" s="5"/>
      <c r="F1415" s="14"/>
      <c r="G1415" s="5"/>
      <c r="H1415" s="27"/>
      <c r="I1415" s="5"/>
      <c r="J1415" s="19" t="str">
        <f aca="false">IF(A1415="","",IFERROR(INDEX(Empresas!$D:$D,MATCH(A1415,Empresas!$A:$A,0))&amp;"","não consta"))</f>
        <v/>
      </c>
      <c r="K1415" s="19" t="str">
        <f aca="false">IF(A1415="","",IFERROR(INDEX(Sancoes!$B:$B,MATCH(A1415,Sancoes!$A:$A,0))&amp;"","não consta"))</f>
        <v/>
      </c>
      <c r="L1415" s="19" t="str">
        <f aca="false">IF(A1415="","",IFERROR(INDEX(Eleitoral!$B:$B,MATCH(A1415,Eleitoral!$A:$A,0))&amp;"","não consta"))</f>
        <v/>
      </c>
      <c r="M1415" s="28" t="str">
        <f aca="false">IF(A1415="","",IF(OR(AND(K1415&lt;&gt;"",LOWER(K1415)&lt;&gt;"não consta"),AND(L1415&lt;&gt;"",LOWER(L1415)&lt;&gt;"não consta"),IFERROR(INDEX(Empresas!$G:$G,MATCH(A1415,Empresas!$A:$A,0))&amp;"","")&lt;&gt;""),"SIM",""))</f>
        <v/>
      </c>
      <c r="N1415" s="5"/>
      <c r="O1415" s="32" t="str">
        <f aca="false">IF(D1415="","",YEAR(D1415))</f>
        <v/>
      </c>
      <c r="P1415" s="5"/>
    </row>
    <row r="1416" customFormat="false" ht="15" hidden="false" customHeight="false" outlineLevel="0" collapsed="false">
      <c r="A1416" s="27"/>
      <c r="B1416" s="5"/>
      <c r="C1416" s="35"/>
      <c r="D1416" s="18"/>
      <c r="E1416" s="5"/>
      <c r="F1416" s="14"/>
      <c r="G1416" s="5"/>
      <c r="H1416" s="27"/>
      <c r="I1416" s="5"/>
      <c r="J1416" s="19" t="str">
        <f aca="false">IF(A1416="","",IFERROR(INDEX(Empresas!$D:$D,MATCH(A1416,Empresas!$A:$A,0))&amp;"","não consta"))</f>
        <v/>
      </c>
      <c r="K1416" s="19" t="str">
        <f aca="false">IF(A1416="","",IFERROR(INDEX(Sancoes!$B:$B,MATCH(A1416,Sancoes!$A:$A,0))&amp;"","não consta"))</f>
        <v/>
      </c>
      <c r="L1416" s="19" t="str">
        <f aca="false">IF(A1416="","",IFERROR(INDEX(Eleitoral!$B:$B,MATCH(A1416,Eleitoral!$A:$A,0))&amp;"","não consta"))</f>
        <v/>
      </c>
      <c r="M1416" s="28" t="str">
        <f aca="false">IF(A1416="","",IF(OR(AND(K1416&lt;&gt;"",LOWER(K1416)&lt;&gt;"não consta"),AND(L1416&lt;&gt;"",LOWER(L1416)&lt;&gt;"não consta"),IFERROR(INDEX(Empresas!$G:$G,MATCH(A1416,Empresas!$A:$A,0))&amp;"","")&lt;&gt;""),"SIM",""))</f>
        <v/>
      </c>
      <c r="N1416" s="5"/>
      <c r="O1416" s="32" t="str">
        <f aca="false">IF(D1416="","",YEAR(D1416))</f>
        <v/>
      </c>
      <c r="P1416" s="5"/>
    </row>
    <row r="1417" customFormat="false" ht="15" hidden="false" customHeight="false" outlineLevel="0" collapsed="false">
      <c r="A1417" s="27"/>
      <c r="B1417" s="5"/>
      <c r="C1417" s="35"/>
      <c r="D1417" s="18"/>
      <c r="E1417" s="5"/>
      <c r="F1417" s="14"/>
      <c r="G1417" s="5"/>
      <c r="H1417" s="27"/>
      <c r="I1417" s="5"/>
      <c r="J1417" s="19" t="str">
        <f aca="false">IF(A1417="","",IFERROR(INDEX(Empresas!$D:$D,MATCH(A1417,Empresas!$A:$A,0))&amp;"","não consta"))</f>
        <v/>
      </c>
      <c r="K1417" s="19" t="str">
        <f aca="false">IF(A1417="","",IFERROR(INDEX(Sancoes!$B:$B,MATCH(A1417,Sancoes!$A:$A,0))&amp;"","não consta"))</f>
        <v/>
      </c>
      <c r="L1417" s="19" t="str">
        <f aca="false">IF(A1417="","",IFERROR(INDEX(Eleitoral!$B:$B,MATCH(A1417,Eleitoral!$A:$A,0))&amp;"","não consta"))</f>
        <v/>
      </c>
      <c r="M1417" s="28" t="str">
        <f aca="false">IF(A1417="","",IF(OR(AND(K1417&lt;&gt;"",LOWER(K1417)&lt;&gt;"não consta"),AND(L1417&lt;&gt;"",LOWER(L1417)&lt;&gt;"não consta"),IFERROR(INDEX(Empresas!$G:$G,MATCH(A1417,Empresas!$A:$A,0))&amp;"","")&lt;&gt;""),"SIM",""))</f>
        <v/>
      </c>
      <c r="N1417" s="5"/>
      <c r="O1417" s="32" t="str">
        <f aca="false">IF(D1417="","",YEAR(D1417))</f>
        <v/>
      </c>
      <c r="P1417" s="5"/>
    </row>
    <row r="1418" customFormat="false" ht="15" hidden="false" customHeight="false" outlineLevel="0" collapsed="false">
      <c r="A1418" s="27"/>
      <c r="B1418" s="5"/>
      <c r="C1418" s="35"/>
      <c r="D1418" s="18"/>
      <c r="E1418" s="5"/>
      <c r="F1418" s="14"/>
      <c r="G1418" s="5"/>
      <c r="H1418" s="27"/>
      <c r="I1418" s="5"/>
      <c r="J1418" s="19" t="str">
        <f aca="false">IF(A1418="","",IFERROR(INDEX(Empresas!$D:$D,MATCH(A1418,Empresas!$A:$A,0))&amp;"","não consta"))</f>
        <v/>
      </c>
      <c r="K1418" s="19" t="str">
        <f aca="false">IF(A1418="","",IFERROR(INDEX(Sancoes!$B:$B,MATCH(A1418,Sancoes!$A:$A,0))&amp;"","não consta"))</f>
        <v/>
      </c>
      <c r="L1418" s="19" t="str">
        <f aca="false">IF(A1418="","",IFERROR(INDEX(Eleitoral!$B:$B,MATCH(A1418,Eleitoral!$A:$A,0))&amp;"","não consta"))</f>
        <v/>
      </c>
      <c r="M1418" s="28" t="str">
        <f aca="false">IF(A1418="","",IF(OR(AND(K1418&lt;&gt;"",LOWER(K1418)&lt;&gt;"não consta"),AND(L1418&lt;&gt;"",LOWER(L1418)&lt;&gt;"não consta"),IFERROR(INDEX(Empresas!$G:$G,MATCH(A1418,Empresas!$A:$A,0))&amp;"","")&lt;&gt;""),"SIM",""))</f>
        <v/>
      </c>
      <c r="N1418" s="5"/>
      <c r="O1418" s="32" t="str">
        <f aca="false">IF(D1418="","",YEAR(D1418))</f>
        <v/>
      </c>
      <c r="P1418" s="5"/>
    </row>
    <row r="1419" customFormat="false" ht="15" hidden="false" customHeight="false" outlineLevel="0" collapsed="false">
      <c r="A1419" s="27"/>
      <c r="B1419" s="5"/>
      <c r="C1419" s="35"/>
      <c r="D1419" s="18"/>
      <c r="E1419" s="5"/>
      <c r="F1419" s="14"/>
      <c r="G1419" s="5"/>
      <c r="H1419" s="27"/>
      <c r="I1419" s="5"/>
      <c r="J1419" s="19" t="str">
        <f aca="false">IF(A1419="","",IFERROR(INDEX(Empresas!$D:$D,MATCH(A1419,Empresas!$A:$A,0))&amp;"","não consta"))</f>
        <v/>
      </c>
      <c r="K1419" s="19" t="str">
        <f aca="false">IF(A1419="","",IFERROR(INDEX(Sancoes!$B:$B,MATCH(A1419,Sancoes!$A:$A,0))&amp;"","não consta"))</f>
        <v/>
      </c>
      <c r="L1419" s="19" t="str">
        <f aca="false">IF(A1419="","",IFERROR(INDEX(Eleitoral!$B:$B,MATCH(A1419,Eleitoral!$A:$A,0))&amp;"","não consta"))</f>
        <v/>
      </c>
      <c r="M1419" s="28" t="str">
        <f aca="false">IF(A1419="","",IF(OR(AND(K1419&lt;&gt;"",LOWER(K1419)&lt;&gt;"não consta"),AND(L1419&lt;&gt;"",LOWER(L1419)&lt;&gt;"não consta"),IFERROR(INDEX(Empresas!$G:$G,MATCH(A1419,Empresas!$A:$A,0))&amp;"","")&lt;&gt;""),"SIM",""))</f>
        <v/>
      </c>
      <c r="N1419" s="5"/>
      <c r="O1419" s="32" t="str">
        <f aca="false">IF(D1419="","",YEAR(D1419))</f>
        <v/>
      </c>
      <c r="P1419" s="5"/>
    </row>
    <row r="1420" customFormat="false" ht="15" hidden="false" customHeight="false" outlineLevel="0" collapsed="false">
      <c r="A1420" s="27"/>
      <c r="B1420" s="5"/>
      <c r="C1420" s="35"/>
      <c r="D1420" s="18"/>
      <c r="E1420" s="5"/>
      <c r="F1420" s="14"/>
      <c r="G1420" s="5"/>
      <c r="H1420" s="27"/>
      <c r="I1420" s="5"/>
      <c r="J1420" s="19" t="str">
        <f aca="false">IF(A1420="","",IFERROR(INDEX(Empresas!$D:$D,MATCH(A1420,Empresas!$A:$A,0))&amp;"","não consta"))</f>
        <v/>
      </c>
      <c r="K1420" s="19" t="str">
        <f aca="false">IF(A1420="","",IFERROR(INDEX(Sancoes!$B:$B,MATCH(A1420,Sancoes!$A:$A,0))&amp;"","não consta"))</f>
        <v/>
      </c>
      <c r="L1420" s="19" t="str">
        <f aca="false">IF(A1420="","",IFERROR(INDEX(Eleitoral!$B:$B,MATCH(A1420,Eleitoral!$A:$A,0))&amp;"","não consta"))</f>
        <v/>
      </c>
      <c r="M1420" s="28" t="str">
        <f aca="false">IF(A1420="","",IF(OR(AND(K1420&lt;&gt;"",LOWER(K1420)&lt;&gt;"não consta"),AND(L1420&lt;&gt;"",LOWER(L1420)&lt;&gt;"não consta"),IFERROR(INDEX(Empresas!$G:$G,MATCH(A1420,Empresas!$A:$A,0))&amp;"","")&lt;&gt;""),"SIM",""))</f>
        <v/>
      </c>
      <c r="N1420" s="5"/>
      <c r="O1420" s="32" t="str">
        <f aca="false">IF(D1420="","",YEAR(D1420))</f>
        <v/>
      </c>
      <c r="P1420" s="5"/>
    </row>
    <row r="1421" customFormat="false" ht="15" hidden="false" customHeight="false" outlineLevel="0" collapsed="false">
      <c r="A1421" s="27"/>
      <c r="B1421" s="5"/>
      <c r="C1421" s="35"/>
      <c r="D1421" s="18"/>
      <c r="E1421" s="5"/>
      <c r="F1421" s="14"/>
      <c r="G1421" s="5"/>
      <c r="H1421" s="27"/>
      <c r="I1421" s="5"/>
      <c r="J1421" s="19" t="str">
        <f aca="false">IF(A1421="","",IFERROR(INDEX(Empresas!$D:$D,MATCH(A1421,Empresas!$A:$A,0))&amp;"","não consta"))</f>
        <v/>
      </c>
      <c r="K1421" s="19" t="str">
        <f aca="false">IF(A1421="","",IFERROR(INDEX(Sancoes!$B:$B,MATCH(A1421,Sancoes!$A:$A,0))&amp;"","não consta"))</f>
        <v/>
      </c>
      <c r="L1421" s="19" t="str">
        <f aca="false">IF(A1421="","",IFERROR(INDEX(Eleitoral!$B:$B,MATCH(A1421,Eleitoral!$A:$A,0))&amp;"","não consta"))</f>
        <v/>
      </c>
      <c r="M1421" s="28" t="str">
        <f aca="false">IF(A1421="","",IF(OR(AND(K1421&lt;&gt;"",LOWER(K1421)&lt;&gt;"não consta"),AND(L1421&lt;&gt;"",LOWER(L1421)&lt;&gt;"não consta"),IFERROR(INDEX(Empresas!$G:$G,MATCH(A1421,Empresas!$A:$A,0))&amp;"","")&lt;&gt;""),"SIM",""))</f>
        <v/>
      </c>
      <c r="N1421" s="5"/>
      <c r="O1421" s="32" t="str">
        <f aca="false">IF(D1421="","",YEAR(D1421))</f>
        <v/>
      </c>
      <c r="P1421" s="5"/>
    </row>
    <row r="1422" customFormat="false" ht="15" hidden="false" customHeight="false" outlineLevel="0" collapsed="false">
      <c r="A1422" s="27"/>
      <c r="B1422" s="5"/>
      <c r="C1422" s="35"/>
      <c r="D1422" s="18"/>
      <c r="E1422" s="5"/>
      <c r="F1422" s="14"/>
      <c r="G1422" s="5"/>
      <c r="H1422" s="27"/>
      <c r="I1422" s="5"/>
      <c r="J1422" s="19" t="str">
        <f aca="false">IF(A1422="","",IFERROR(INDEX(Empresas!$D:$D,MATCH(A1422,Empresas!$A:$A,0))&amp;"","não consta"))</f>
        <v/>
      </c>
      <c r="K1422" s="19" t="str">
        <f aca="false">IF(A1422="","",IFERROR(INDEX(Sancoes!$B:$B,MATCH(A1422,Sancoes!$A:$A,0))&amp;"","não consta"))</f>
        <v/>
      </c>
      <c r="L1422" s="19" t="str">
        <f aca="false">IF(A1422="","",IFERROR(INDEX(Eleitoral!$B:$B,MATCH(A1422,Eleitoral!$A:$A,0))&amp;"","não consta"))</f>
        <v/>
      </c>
      <c r="M1422" s="28" t="str">
        <f aca="false">IF(A1422="","",IF(OR(AND(K1422&lt;&gt;"",LOWER(K1422)&lt;&gt;"não consta"),AND(L1422&lt;&gt;"",LOWER(L1422)&lt;&gt;"não consta"),IFERROR(INDEX(Empresas!$G:$G,MATCH(A1422,Empresas!$A:$A,0))&amp;"","")&lt;&gt;""),"SIM",""))</f>
        <v/>
      </c>
      <c r="N1422" s="5"/>
      <c r="O1422" s="32" t="str">
        <f aca="false">IF(D1422="","",YEAR(D1422))</f>
        <v/>
      </c>
      <c r="P1422" s="5"/>
    </row>
    <row r="1423" customFormat="false" ht="15" hidden="false" customHeight="false" outlineLevel="0" collapsed="false">
      <c r="A1423" s="27"/>
      <c r="B1423" s="5"/>
      <c r="C1423" s="35"/>
      <c r="D1423" s="18"/>
      <c r="E1423" s="5"/>
      <c r="F1423" s="14"/>
      <c r="G1423" s="5"/>
      <c r="H1423" s="27"/>
      <c r="I1423" s="5"/>
      <c r="J1423" s="19" t="str">
        <f aca="false">IF(A1423="","",IFERROR(INDEX(Empresas!$D:$D,MATCH(A1423,Empresas!$A:$A,0))&amp;"","não consta"))</f>
        <v/>
      </c>
      <c r="K1423" s="19" t="str">
        <f aca="false">IF(A1423="","",IFERROR(INDEX(Sancoes!$B:$B,MATCH(A1423,Sancoes!$A:$A,0))&amp;"","não consta"))</f>
        <v/>
      </c>
      <c r="L1423" s="19" t="str">
        <f aca="false">IF(A1423="","",IFERROR(INDEX(Eleitoral!$B:$B,MATCH(A1423,Eleitoral!$A:$A,0))&amp;"","não consta"))</f>
        <v/>
      </c>
      <c r="M1423" s="28" t="str">
        <f aca="false">IF(A1423="","",IF(OR(AND(K1423&lt;&gt;"",LOWER(K1423)&lt;&gt;"não consta"),AND(L1423&lt;&gt;"",LOWER(L1423)&lt;&gt;"não consta"),IFERROR(INDEX(Empresas!$G:$G,MATCH(A1423,Empresas!$A:$A,0))&amp;"","")&lt;&gt;""),"SIM",""))</f>
        <v/>
      </c>
      <c r="N1423" s="5"/>
      <c r="O1423" s="32" t="str">
        <f aca="false">IF(D1423="","",YEAR(D1423))</f>
        <v/>
      </c>
      <c r="P1423" s="5"/>
    </row>
    <row r="1424" customFormat="false" ht="15" hidden="false" customHeight="false" outlineLevel="0" collapsed="false">
      <c r="A1424" s="27"/>
      <c r="B1424" s="5"/>
      <c r="C1424" s="35"/>
      <c r="D1424" s="18"/>
      <c r="E1424" s="5"/>
      <c r="F1424" s="14"/>
      <c r="G1424" s="5"/>
      <c r="H1424" s="27"/>
      <c r="I1424" s="5"/>
      <c r="J1424" s="19" t="str">
        <f aca="false">IF(A1424="","",IFERROR(INDEX(Empresas!$D:$D,MATCH(A1424,Empresas!$A:$A,0))&amp;"","não consta"))</f>
        <v/>
      </c>
      <c r="K1424" s="19" t="str">
        <f aca="false">IF(A1424="","",IFERROR(INDEX(Sancoes!$B:$B,MATCH(A1424,Sancoes!$A:$A,0))&amp;"","não consta"))</f>
        <v/>
      </c>
      <c r="L1424" s="19" t="str">
        <f aca="false">IF(A1424="","",IFERROR(INDEX(Eleitoral!$B:$B,MATCH(A1424,Eleitoral!$A:$A,0))&amp;"","não consta"))</f>
        <v/>
      </c>
      <c r="M1424" s="28" t="str">
        <f aca="false">IF(A1424="","",IF(OR(AND(K1424&lt;&gt;"",LOWER(K1424)&lt;&gt;"não consta"),AND(L1424&lt;&gt;"",LOWER(L1424)&lt;&gt;"não consta"),IFERROR(INDEX(Empresas!$G:$G,MATCH(A1424,Empresas!$A:$A,0))&amp;"","")&lt;&gt;""),"SIM",""))</f>
        <v/>
      </c>
      <c r="N1424" s="5"/>
      <c r="O1424" s="32" t="str">
        <f aca="false">IF(D1424="","",YEAR(D1424))</f>
        <v/>
      </c>
      <c r="P1424" s="5"/>
    </row>
    <row r="1425" customFormat="false" ht="15" hidden="false" customHeight="false" outlineLevel="0" collapsed="false">
      <c r="A1425" s="27"/>
      <c r="B1425" s="5"/>
      <c r="C1425" s="35"/>
      <c r="D1425" s="18"/>
      <c r="E1425" s="5"/>
      <c r="F1425" s="14"/>
      <c r="G1425" s="5"/>
      <c r="H1425" s="27"/>
      <c r="I1425" s="5"/>
      <c r="J1425" s="19" t="str">
        <f aca="false">IF(A1425="","",IFERROR(INDEX(Empresas!$D:$D,MATCH(A1425,Empresas!$A:$A,0))&amp;"","não consta"))</f>
        <v/>
      </c>
      <c r="K1425" s="19" t="str">
        <f aca="false">IF(A1425="","",IFERROR(INDEX(Sancoes!$B:$B,MATCH(A1425,Sancoes!$A:$A,0))&amp;"","não consta"))</f>
        <v/>
      </c>
      <c r="L1425" s="19" t="str">
        <f aca="false">IF(A1425="","",IFERROR(INDEX(Eleitoral!$B:$B,MATCH(A1425,Eleitoral!$A:$A,0))&amp;"","não consta"))</f>
        <v/>
      </c>
      <c r="M1425" s="28" t="str">
        <f aca="false">IF(A1425="","",IF(OR(AND(K1425&lt;&gt;"",LOWER(K1425)&lt;&gt;"não consta"),AND(L1425&lt;&gt;"",LOWER(L1425)&lt;&gt;"não consta"),IFERROR(INDEX(Empresas!$G:$G,MATCH(A1425,Empresas!$A:$A,0))&amp;"","")&lt;&gt;""),"SIM",""))</f>
        <v/>
      </c>
      <c r="N1425" s="5"/>
      <c r="O1425" s="32" t="str">
        <f aca="false">IF(D1425="","",YEAR(D1425))</f>
        <v/>
      </c>
      <c r="P1425" s="5"/>
    </row>
    <row r="1426" customFormat="false" ht="15" hidden="false" customHeight="false" outlineLevel="0" collapsed="false">
      <c r="A1426" s="27"/>
      <c r="B1426" s="5"/>
      <c r="C1426" s="35"/>
      <c r="D1426" s="18"/>
      <c r="E1426" s="5"/>
      <c r="F1426" s="14"/>
      <c r="G1426" s="5"/>
      <c r="H1426" s="27"/>
      <c r="I1426" s="5"/>
      <c r="J1426" s="19" t="str">
        <f aca="false">IF(A1426="","",IFERROR(INDEX(Empresas!$D:$D,MATCH(A1426,Empresas!$A:$A,0))&amp;"","não consta"))</f>
        <v/>
      </c>
      <c r="K1426" s="19" t="str">
        <f aca="false">IF(A1426="","",IFERROR(INDEX(Sancoes!$B:$B,MATCH(A1426,Sancoes!$A:$A,0))&amp;"","não consta"))</f>
        <v/>
      </c>
      <c r="L1426" s="19" t="str">
        <f aca="false">IF(A1426="","",IFERROR(INDEX(Eleitoral!$B:$B,MATCH(A1426,Eleitoral!$A:$A,0))&amp;"","não consta"))</f>
        <v/>
      </c>
      <c r="M1426" s="28" t="str">
        <f aca="false">IF(A1426="","",IF(OR(AND(K1426&lt;&gt;"",LOWER(K1426)&lt;&gt;"não consta"),AND(L1426&lt;&gt;"",LOWER(L1426)&lt;&gt;"não consta"),IFERROR(INDEX(Empresas!$G:$G,MATCH(A1426,Empresas!$A:$A,0))&amp;"","")&lt;&gt;""),"SIM",""))</f>
        <v/>
      </c>
      <c r="N1426" s="5"/>
      <c r="O1426" s="32" t="str">
        <f aca="false">IF(D1426="","",YEAR(D1426))</f>
        <v/>
      </c>
      <c r="P1426" s="5"/>
    </row>
    <row r="1427" customFormat="false" ht="15" hidden="false" customHeight="false" outlineLevel="0" collapsed="false">
      <c r="A1427" s="27"/>
      <c r="B1427" s="5"/>
      <c r="C1427" s="35"/>
      <c r="D1427" s="18"/>
      <c r="E1427" s="5"/>
      <c r="F1427" s="14"/>
      <c r="G1427" s="5"/>
      <c r="H1427" s="27"/>
      <c r="I1427" s="5"/>
      <c r="J1427" s="19" t="str">
        <f aca="false">IF(A1427="","",IFERROR(INDEX(Empresas!$D:$D,MATCH(A1427,Empresas!$A:$A,0))&amp;"","não consta"))</f>
        <v/>
      </c>
      <c r="K1427" s="19" t="str">
        <f aca="false">IF(A1427="","",IFERROR(INDEX(Sancoes!$B:$B,MATCH(A1427,Sancoes!$A:$A,0))&amp;"","não consta"))</f>
        <v/>
      </c>
      <c r="L1427" s="19" t="str">
        <f aca="false">IF(A1427="","",IFERROR(INDEX(Eleitoral!$B:$B,MATCH(A1427,Eleitoral!$A:$A,0))&amp;"","não consta"))</f>
        <v/>
      </c>
      <c r="M1427" s="28" t="str">
        <f aca="false">IF(A1427="","",IF(OR(AND(K1427&lt;&gt;"",LOWER(K1427)&lt;&gt;"não consta"),AND(L1427&lt;&gt;"",LOWER(L1427)&lt;&gt;"não consta"),IFERROR(INDEX(Empresas!$G:$G,MATCH(A1427,Empresas!$A:$A,0))&amp;"","")&lt;&gt;""),"SIM",""))</f>
        <v/>
      </c>
      <c r="N1427" s="5"/>
      <c r="O1427" s="32" t="str">
        <f aca="false">IF(D1427="","",YEAR(D1427))</f>
        <v/>
      </c>
      <c r="P1427" s="5"/>
    </row>
    <row r="1428" customFormat="false" ht="15" hidden="false" customHeight="false" outlineLevel="0" collapsed="false">
      <c r="A1428" s="27"/>
      <c r="B1428" s="5"/>
      <c r="C1428" s="35"/>
      <c r="D1428" s="18"/>
      <c r="E1428" s="5"/>
      <c r="F1428" s="14"/>
      <c r="G1428" s="5"/>
      <c r="H1428" s="27"/>
      <c r="I1428" s="5"/>
      <c r="J1428" s="19" t="str">
        <f aca="false">IF(A1428="","",IFERROR(INDEX(Empresas!$D:$D,MATCH(A1428,Empresas!$A:$A,0))&amp;"","não consta"))</f>
        <v/>
      </c>
      <c r="K1428" s="19" t="str">
        <f aca="false">IF(A1428="","",IFERROR(INDEX(Sancoes!$B:$B,MATCH(A1428,Sancoes!$A:$A,0))&amp;"","não consta"))</f>
        <v/>
      </c>
      <c r="L1428" s="19" t="str">
        <f aca="false">IF(A1428="","",IFERROR(INDEX(Eleitoral!$B:$B,MATCH(A1428,Eleitoral!$A:$A,0))&amp;"","não consta"))</f>
        <v/>
      </c>
      <c r="M1428" s="28" t="str">
        <f aca="false">IF(A1428="","",IF(OR(AND(K1428&lt;&gt;"",LOWER(K1428)&lt;&gt;"não consta"),AND(L1428&lt;&gt;"",LOWER(L1428)&lt;&gt;"não consta"),IFERROR(INDEX(Empresas!$G:$G,MATCH(A1428,Empresas!$A:$A,0))&amp;"","")&lt;&gt;""),"SIM",""))</f>
        <v/>
      </c>
      <c r="N1428" s="5"/>
      <c r="O1428" s="32" t="str">
        <f aca="false">IF(D1428="","",YEAR(D1428))</f>
        <v/>
      </c>
      <c r="P1428" s="5"/>
    </row>
    <row r="1429" customFormat="false" ht="15" hidden="false" customHeight="false" outlineLevel="0" collapsed="false">
      <c r="A1429" s="27"/>
      <c r="B1429" s="5"/>
      <c r="C1429" s="35"/>
      <c r="D1429" s="18"/>
      <c r="E1429" s="5"/>
      <c r="F1429" s="14"/>
      <c r="G1429" s="5"/>
      <c r="H1429" s="27"/>
      <c r="I1429" s="5"/>
      <c r="J1429" s="19" t="str">
        <f aca="false">IF(A1429="","",IFERROR(INDEX(Empresas!$D:$D,MATCH(A1429,Empresas!$A:$A,0))&amp;"","não consta"))</f>
        <v/>
      </c>
      <c r="K1429" s="19" t="str">
        <f aca="false">IF(A1429="","",IFERROR(INDEX(Sancoes!$B:$B,MATCH(A1429,Sancoes!$A:$A,0))&amp;"","não consta"))</f>
        <v/>
      </c>
      <c r="L1429" s="19" t="str">
        <f aca="false">IF(A1429="","",IFERROR(INDEX(Eleitoral!$B:$B,MATCH(A1429,Eleitoral!$A:$A,0))&amp;"","não consta"))</f>
        <v/>
      </c>
      <c r="M1429" s="28" t="str">
        <f aca="false">IF(A1429="","",IF(OR(AND(K1429&lt;&gt;"",LOWER(K1429)&lt;&gt;"não consta"),AND(L1429&lt;&gt;"",LOWER(L1429)&lt;&gt;"não consta"),IFERROR(INDEX(Empresas!$G:$G,MATCH(A1429,Empresas!$A:$A,0))&amp;"","")&lt;&gt;""),"SIM",""))</f>
        <v/>
      </c>
      <c r="N1429" s="5"/>
      <c r="O1429" s="32" t="str">
        <f aca="false">IF(D1429="","",YEAR(D1429))</f>
        <v/>
      </c>
      <c r="P1429" s="5"/>
    </row>
    <row r="1430" customFormat="false" ht="15" hidden="false" customHeight="false" outlineLevel="0" collapsed="false">
      <c r="A1430" s="27"/>
      <c r="B1430" s="5"/>
      <c r="C1430" s="35"/>
      <c r="D1430" s="18"/>
      <c r="E1430" s="5"/>
      <c r="F1430" s="14"/>
      <c r="G1430" s="5"/>
      <c r="H1430" s="27"/>
      <c r="I1430" s="5"/>
      <c r="J1430" s="19" t="str">
        <f aca="false">IF(A1430="","",IFERROR(INDEX(Empresas!$D:$D,MATCH(A1430,Empresas!$A:$A,0))&amp;"","não consta"))</f>
        <v/>
      </c>
      <c r="K1430" s="19" t="str">
        <f aca="false">IF(A1430="","",IFERROR(INDEX(Sancoes!$B:$B,MATCH(A1430,Sancoes!$A:$A,0))&amp;"","não consta"))</f>
        <v/>
      </c>
      <c r="L1430" s="19" t="str">
        <f aca="false">IF(A1430="","",IFERROR(INDEX(Eleitoral!$B:$B,MATCH(A1430,Eleitoral!$A:$A,0))&amp;"","não consta"))</f>
        <v/>
      </c>
      <c r="M1430" s="28" t="str">
        <f aca="false">IF(A1430="","",IF(OR(AND(K1430&lt;&gt;"",LOWER(K1430)&lt;&gt;"não consta"),AND(L1430&lt;&gt;"",LOWER(L1430)&lt;&gt;"não consta"),IFERROR(INDEX(Empresas!$G:$G,MATCH(A1430,Empresas!$A:$A,0))&amp;"","")&lt;&gt;""),"SIM",""))</f>
        <v/>
      </c>
      <c r="N1430" s="5"/>
      <c r="O1430" s="32" t="str">
        <f aca="false">IF(D1430="","",YEAR(D1430))</f>
        <v/>
      </c>
      <c r="P1430" s="5"/>
    </row>
    <row r="1431" customFormat="false" ht="15" hidden="false" customHeight="false" outlineLevel="0" collapsed="false">
      <c r="A1431" s="27"/>
      <c r="B1431" s="5"/>
      <c r="C1431" s="35"/>
      <c r="D1431" s="18"/>
      <c r="E1431" s="5"/>
      <c r="F1431" s="14"/>
      <c r="G1431" s="5"/>
      <c r="H1431" s="27"/>
      <c r="I1431" s="5"/>
      <c r="J1431" s="19" t="str">
        <f aca="false">IF(A1431="","",IFERROR(INDEX(Empresas!$D:$D,MATCH(A1431,Empresas!$A:$A,0))&amp;"","não consta"))</f>
        <v/>
      </c>
      <c r="K1431" s="19" t="str">
        <f aca="false">IF(A1431="","",IFERROR(INDEX(Sancoes!$B:$B,MATCH(A1431,Sancoes!$A:$A,0))&amp;"","não consta"))</f>
        <v/>
      </c>
      <c r="L1431" s="19" t="str">
        <f aca="false">IF(A1431="","",IFERROR(INDEX(Eleitoral!$B:$B,MATCH(A1431,Eleitoral!$A:$A,0))&amp;"","não consta"))</f>
        <v/>
      </c>
      <c r="M1431" s="28" t="str">
        <f aca="false">IF(A1431="","",IF(OR(AND(K1431&lt;&gt;"",LOWER(K1431)&lt;&gt;"não consta"),AND(L1431&lt;&gt;"",LOWER(L1431)&lt;&gt;"não consta"),IFERROR(INDEX(Empresas!$G:$G,MATCH(A1431,Empresas!$A:$A,0))&amp;"","")&lt;&gt;""),"SIM",""))</f>
        <v/>
      </c>
      <c r="N1431" s="5"/>
      <c r="O1431" s="32" t="str">
        <f aca="false">IF(D1431="","",YEAR(D1431))</f>
        <v/>
      </c>
      <c r="P1431" s="5"/>
    </row>
    <row r="1432" customFormat="false" ht="15" hidden="false" customHeight="false" outlineLevel="0" collapsed="false">
      <c r="A1432" s="27"/>
      <c r="B1432" s="5"/>
      <c r="C1432" s="35"/>
      <c r="D1432" s="18"/>
      <c r="E1432" s="5"/>
      <c r="F1432" s="14"/>
      <c r="G1432" s="5"/>
      <c r="H1432" s="27"/>
      <c r="I1432" s="5"/>
      <c r="J1432" s="19" t="str">
        <f aca="false">IF(A1432="","",IFERROR(INDEX(Empresas!$D:$D,MATCH(A1432,Empresas!$A:$A,0))&amp;"","não consta"))</f>
        <v/>
      </c>
      <c r="K1432" s="19" t="str">
        <f aca="false">IF(A1432="","",IFERROR(INDEX(Sancoes!$B:$B,MATCH(A1432,Sancoes!$A:$A,0))&amp;"","não consta"))</f>
        <v/>
      </c>
      <c r="L1432" s="19" t="str">
        <f aca="false">IF(A1432="","",IFERROR(INDEX(Eleitoral!$B:$B,MATCH(A1432,Eleitoral!$A:$A,0))&amp;"","não consta"))</f>
        <v/>
      </c>
      <c r="M1432" s="28" t="str">
        <f aca="false">IF(A1432="","",IF(OR(AND(K1432&lt;&gt;"",LOWER(K1432)&lt;&gt;"não consta"),AND(L1432&lt;&gt;"",LOWER(L1432)&lt;&gt;"não consta"),IFERROR(INDEX(Empresas!$G:$G,MATCH(A1432,Empresas!$A:$A,0))&amp;"","")&lt;&gt;""),"SIM",""))</f>
        <v/>
      </c>
      <c r="N1432" s="5"/>
      <c r="O1432" s="32" t="str">
        <f aca="false">IF(D1432="","",YEAR(D1432))</f>
        <v/>
      </c>
      <c r="P1432" s="5"/>
    </row>
    <row r="1433" customFormat="false" ht="15" hidden="false" customHeight="false" outlineLevel="0" collapsed="false">
      <c r="A1433" s="27"/>
      <c r="B1433" s="5"/>
      <c r="C1433" s="35"/>
      <c r="D1433" s="18"/>
      <c r="E1433" s="5"/>
      <c r="F1433" s="14"/>
      <c r="G1433" s="5"/>
      <c r="H1433" s="27"/>
      <c r="I1433" s="5"/>
      <c r="J1433" s="19" t="str">
        <f aca="false">IF(A1433="","",IFERROR(INDEX(Empresas!$D:$D,MATCH(A1433,Empresas!$A:$A,0))&amp;"","não consta"))</f>
        <v/>
      </c>
      <c r="K1433" s="19" t="str">
        <f aca="false">IF(A1433="","",IFERROR(INDEX(Sancoes!$B:$B,MATCH(A1433,Sancoes!$A:$A,0))&amp;"","não consta"))</f>
        <v/>
      </c>
      <c r="L1433" s="19" t="str">
        <f aca="false">IF(A1433="","",IFERROR(INDEX(Eleitoral!$B:$B,MATCH(A1433,Eleitoral!$A:$A,0))&amp;"","não consta"))</f>
        <v/>
      </c>
      <c r="M1433" s="28" t="str">
        <f aca="false">IF(A1433="","",IF(OR(AND(K1433&lt;&gt;"",LOWER(K1433)&lt;&gt;"não consta"),AND(L1433&lt;&gt;"",LOWER(L1433)&lt;&gt;"não consta"),IFERROR(INDEX(Empresas!$G:$G,MATCH(A1433,Empresas!$A:$A,0))&amp;"","")&lt;&gt;""),"SIM",""))</f>
        <v/>
      </c>
      <c r="N1433" s="5"/>
      <c r="O1433" s="32" t="str">
        <f aca="false">IF(D1433="","",YEAR(D1433))</f>
        <v/>
      </c>
      <c r="P1433" s="5"/>
    </row>
    <row r="1434" customFormat="false" ht="15" hidden="false" customHeight="false" outlineLevel="0" collapsed="false">
      <c r="A1434" s="27"/>
      <c r="B1434" s="5"/>
      <c r="C1434" s="35"/>
      <c r="D1434" s="18"/>
      <c r="E1434" s="5"/>
      <c r="F1434" s="14"/>
      <c r="G1434" s="5"/>
      <c r="H1434" s="27"/>
      <c r="I1434" s="5"/>
      <c r="J1434" s="19" t="str">
        <f aca="false">IF(A1434="","",IFERROR(INDEX(Empresas!$D:$D,MATCH(A1434,Empresas!$A:$A,0))&amp;"","não consta"))</f>
        <v/>
      </c>
      <c r="K1434" s="19" t="str">
        <f aca="false">IF(A1434="","",IFERROR(INDEX(Sancoes!$B:$B,MATCH(A1434,Sancoes!$A:$A,0))&amp;"","não consta"))</f>
        <v/>
      </c>
      <c r="L1434" s="19" t="str">
        <f aca="false">IF(A1434="","",IFERROR(INDEX(Eleitoral!$B:$B,MATCH(A1434,Eleitoral!$A:$A,0))&amp;"","não consta"))</f>
        <v/>
      </c>
      <c r="M1434" s="28" t="str">
        <f aca="false">IF(A1434="","",IF(OR(AND(K1434&lt;&gt;"",LOWER(K1434)&lt;&gt;"não consta"),AND(L1434&lt;&gt;"",LOWER(L1434)&lt;&gt;"não consta"),IFERROR(INDEX(Empresas!$G:$G,MATCH(A1434,Empresas!$A:$A,0))&amp;"","")&lt;&gt;""),"SIM",""))</f>
        <v/>
      </c>
      <c r="N1434" s="5"/>
      <c r="O1434" s="32" t="str">
        <f aca="false">IF(D1434="","",YEAR(D1434))</f>
        <v/>
      </c>
      <c r="P1434" s="5"/>
    </row>
    <row r="1435" customFormat="false" ht="15" hidden="false" customHeight="false" outlineLevel="0" collapsed="false">
      <c r="A1435" s="27"/>
      <c r="B1435" s="5"/>
      <c r="C1435" s="35"/>
      <c r="D1435" s="18"/>
      <c r="E1435" s="5"/>
      <c r="F1435" s="14"/>
      <c r="G1435" s="5"/>
      <c r="H1435" s="27"/>
      <c r="I1435" s="5"/>
      <c r="J1435" s="19" t="str">
        <f aca="false">IF(A1435="","",IFERROR(INDEX(Empresas!$D:$D,MATCH(A1435,Empresas!$A:$A,0))&amp;"","não consta"))</f>
        <v/>
      </c>
      <c r="K1435" s="19" t="str">
        <f aca="false">IF(A1435="","",IFERROR(INDEX(Sancoes!$B:$B,MATCH(A1435,Sancoes!$A:$A,0))&amp;"","não consta"))</f>
        <v/>
      </c>
      <c r="L1435" s="19" t="str">
        <f aca="false">IF(A1435="","",IFERROR(INDEX(Eleitoral!$B:$B,MATCH(A1435,Eleitoral!$A:$A,0))&amp;"","não consta"))</f>
        <v/>
      </c>
      <c r="M1435" s="28" t="str">
        <f aca="false">IF(A1435="","",IF(OR(AND(K1435&lt;&gt;"",LOWER(K1435)&lt;&gt;"não consta"),AND(L1435&lt;&gt;"",LOWER(L1435)&lt;&gt;"não consta"),IFERROR(INDEX(Empresas!$G:$G,MATCH(A1435,Empresas!$A:$A,0))&amp;"","")&lt;&gt;""),"SIM",""))</f>
        <v/>
      </c>
      <c r="N1435" s="5"/>
      <c r="O1435" s="32" t="str">
        <f aca="false">IF(D1435="","",YEAR(D1435))</f>
        <v/>
      </c>
      <c r="P1435" s="5"/>
    </row>
    <row r="1436" customFormat="false" ht="15" hidden="false" customHeight="false" outlineLevel="0" collapsed="false">
      <c r="A1436" s="27"/>
      <c r="B1436" s="5"/>
      <c r="C1436" s="35"/>
      <c r="D1436" s="18"/>
      <c r="E1436" s="5"/>
      <c r="F1436" s="14"/>
      <c r="G1436" s="5"/>
      <c r="H1436" s="27"/>
      <c r="I1436" s="5"/>
      <c r="J1436" s="19" t="str">
        <f aca="false">IF(A1436="","",IFERROR(INDEX(Empresas!$D:$D,MATCH(A1436,Empresas!$A:$A,0))&amp;"","não consta"))</f>
        <v/>
      </c>
      <c r="K1436" s="19" t="str">
        <f aca="false">IF(A1436="","",IFERROR(INDEX(Sancoes!$B:$B,MATCH(A1436,Sancoes!$A:$A,0))&amp;"","não consta"))</f>
        <v/>
      </c>
      <c r="L1436" s="19" t="str">
        <f aca="false">IF(A1436="","",IFERROR(INDEX(Eleitoral!$B:$B,MATCH(A1436,Eleitoral!$A:$A,0))&amp;"","não consta"))</f>
        <v/>
      </c>
      <c r="M1436" s="28" t="str">
        <f aca="false">IF(A1436="","",IF(OR(AND(K1436&lt;&gt;"",LOWER(K1436)&lt;&gt;"não consta"),AND(L1436&lt;&gt;"",LOWER(L1436)&lt;&gt;"não consta"),IFERROR(INDEX(Empresas!$G:$G,MATCH(A1436,Empresas!$A:$A,0))&amp;"","")&lt;&gt;""),"SIM",""))</f>
        <v/>
      </c>
      <c r="N1436" s="5"/>
      <c r="O1436" s="32" t="str">
        <f aca="false">IF(D1436="","",YEAR(D1436))</f>
        <v/>
      </c>
      <c r="P1436" s="5"/>
    </row>
    <row r="1437" customFormat="false" ht="15" hidden="false" customHeight="false" outlineLevel="0" collapsed="false">
      <c r="A1437" s="27"/>
      <c r="B1437" s="5"/>
      <c r="C1437" s="35"/>
      <c r="D1437" s="18"/>
      <c r="E1437" s="5"/>
      <c r="F1437" s="14"/>
      <c r="G1437" s="5"/>
      <c r="H1437" s="27"/>
      <c r="I1437" s="5"/>
      <c r="J1437" s="19" t="str">
        <f aca="false">IF(A1437="","",IFERROR(INDEX(Empresas!$D:$D,MATCH(A1437,Empresas!$A:$A,0))&amp;"","não consta"))</f>
        <v/>
      </c>
      <c r="K1437" s="19" t="str">
        <f aca="false">IF(A1437="","",IFERROR(INDEX(Sancoes!$B:$B,MATCH(A1437,Sancoes!$A:$A,0))&amp;"","não consta"))</f>
        <v/>
      </c>
      <c r="L1437" s="19" t="str">
        <f aca="false">IF(A1437="","",IFERROR(INDEX(Eleitoral!$B:$B,MATCH(A1437,Eleitoral!$A:$A,0))&amp;"","não consta"))</f>
        <v/>
      </c>
      <c r="M1437" s="28" t="str">
        <f aca="false">IF(A1437="","",IF(OR(AND(K1437&lt;&gt;"",LOWER(K1437)&lt;&gt;"não consta"),AND(L1437&lt;&gt;"",LOWER(L1437)&lt;&gt;"não consta"),IFERROR(INDEX(Empresas!$G:$G,MATCH(A1437,Empresas!$A:$A,0))&amp;"","")&lt;&gt;""),"SIM",""))</f>
        <v/>
      </c>
      <c r="N1437" s="5"/>
      <c r="O1437" s="32" t="str">
        <f aca="false">IF(D1437="","",YEAR(D1437))</f>
        <v/>
      </c>
      <c r="P1437" s="5"/>
    </row>
    <row r="1438" customFormat="false" ht="15" hidden="false" customHeight="false" outlineLevel="0" collapsed="false">
      <c r="A1438" s="27"/>
      <c r="B1438" s="5"/>
      <c r="C1438" s="35"/>
      <c r="D1438" s="18"/>
      <c r="E1438" s="5"/>
      <c r="F1438" s="14"/>
      <c r="G1438" s="5"/>
      <c r="H1438" s="27"/>
      <c r="I1438" s="5"/>
      <c r="J1438" s="19" t="str">
        <f aca="false">IF(A1438="","",IFERROR(INDEX(Empresas!$D:$D,MATCH(A1438,Empresas!$A:$A,0))&amp;"","não consta"))</f>
        <v/>
      </c>
      <c r="K1438" s="19" t="str">
        <f aca="false">IF(A1438="","",IFERROR(INDEX(Sancoes!$B:$B,MATCH(A1438,Sancoes!$A:$A,0))&amp;"","não consta"))</f>
        <v/>
      </c>
      <c r="L1438" s="19" t="str">
        <f aca="false">IF(A1438="","",IFERROR(INDEX(Eleitoral!$B:$B,MATCH(A1438,Eleitoral!$A:$A,0))&amp;"","não consta"))</f>
        <v/>
      </c>
      <c r="M1438" s="28" t="str">
        <f aca="false">IF(A1438="","",IF(OR(AND(K1438&lt;&gt;"",LOWER(K1438)&lt;&gt;"não consta"),AND(L1438&lt;&gt;"",LOWER(L1438)&lt;&gt;"não consta"),IFERROR(INDEX(Empresas!$G:$G,MATCH(A1438,Empresas!$A:$A,0))&amp;"","")&lt;&gt;""),"SIM",""))</f>
        <v/>
      </c>
      <c r="N1438" s="5"/>
      <c r="O1438" s="32" t="str">
        <f aca="false">IF(D1438="","",YEAR(D1438))</f>
        <v/>
      </c>
      <c r="P1438" s="5"/>
    </row>
    <row r="1439" customFormat="false" ht="15" hidden="false" customHeight="false" outlineLevel="0" collapsed="false">
      <c r="A1439" s="27"/>
      <c r="B1439" s="5"/>
      <c r="C1439" s="35"/>
      <c r="D1439" s="18"/>
      <c r="E1439" s="5"/>
      <c r="F1439" s="14"/>
      <c r="G1439" s="5"/>
      <c r="H1439" s="27"/>
      <c r="I1439" s="5"/>
      <c r="J1439" s="19" t="str">
        <f aca="false">IF(A1439="","",IFERROR(INDEX(Empresas!$D:$D,MATCH(A1439,Empresas!$A:$A,0))&amp;"","não consta"))</f>
        <v/>
      </c>
      <c r="K1439" s="19" t="str">
        <f aca="false">IF(A1439="","",IFERROR(INDEX(Sancoes!$B:$B,MATCH(A1439,Sancoes!$A:$A,0))&amp;"","não consta"))</f>
        <v/>
      </c>
      <c r="L1439" s="19" t="str">
        <f aca="false">IF(A1439="","",IFERROR(INDEX(Eleitoral!$B:$B,MATCH(A1439,Eleitoral!$A:$A,0))&amp;"","não consta"))</f>
        <v/>
      </c>
      <c r="M1439" s="28" t="str">
        <f aca="false">IF(A1439="","",IF(OR(AND(K1439&lt;&gt;"",LOWER(K1439)&lt;&gt;"não consta"),AND(L1439&lt;&gt;"",LOWER(L1439)&lt;&gt;"não consta"),IFERROR(INDEX(Empresas!$G:$G,MATCH(A1439,Empresas!$A:$A,0))&amp;"","")&lt;&gt;""),"SIM",""))</f>
        <v/>
      </c>
      <c r="N1439" s="5"/>
      <c r="O1439" s="32" t="str">
        <f aca="false">IF(D1439="","",YEAR(D1439))</f>
        <v/>
      </c>
      <c r="P1439" s="5"/>
    </row>
    <row r="1440" customFormat="false" ht="15" hidden="false" customHeight="false" outlineLevel="0" collapsed="false">
      <c r="A1440" s="27"/>
      <c r="B1440" s="5"/>
      <c r="C1440" s="35"/>
      <c r="D1440" s="18"/>
      <c r="E1440" s="5"/>
      <c r="F1440" s="14"/>
      <c r="G1440" s="5"/>
      <c r="H1440" s="27"/>
      <c r="I1440" s="5"/>
      <c r="J1440" s="19" t="str">
        <f aca="false">IF(A1440="","",IFERROR(INDEX(Empresas!$D:$D,MATCH(A1440,Empresas!$A:$A,0))&amp;"","não consta"))</f>
        <v/>
      </c>
      <c r="K1440" s="19" t="str">
        <f aca="false">IF(A1440="","",IFERROR(INDEX(Sancoes!$B:$B,MATCH(A1440,Sancoes!$A:$A,0))&amp;"","não consta"))</f>
        <v/>
      </c>
      <c r="L1440" s="19" t="str">
        <f aca="false">IF(A1440="","",IFERROR(INDEX(Eleitoral!$B:$B,MATCH(A1440,Eleitoral!$A:$A,0))&amp;"","não consta"))</f>
        <v/>
      </c>
      <c r="M1440" s="28" t="str">
        <f aca="false">IF(A1440="","",IF(OR(AND(K1440&lt;&gt;"",LOWER(K1440)&lt;&gt;"não consta"),AND(L1440&lt;&gt;"",LOWER(L1440)&lt;&gt;"não consta"),IFERROR(INDEX(Empresas!$G:$G,MATCH(A1440,Empresas!$A:$A,0))&amp;"","")&lt;&gt;""),"SIM",""))</f>
        <v/>
      </c>
      <c r="N1440" s="5"/>
      <c r="O1440" s="32" t="str">
        <f aca="false">IF(D1440="","",YEAR(D1440))</f>
        <v/>
      </c>
      <c r="P1440" s="5"/>
    </row>
    <row r="1441" customFormat="false" ht="15" hidden="false" customHeight="false" outlineLevel="0" collapsed="false">
      <c r="A1441" s="27"/>
      <c r="B1441" s="5"/>
      <c r="C1441" s="35"/>
      <c r="D1441" s="18"/>
      <c r="E1441" s="5"/>
      <c r="F1441" s="14"/>
      <c r="G1441" s="5"/>
      <c r="H1441" s="27"/>
      <c r="I1441" s="5"/>
      <c r="J1441" s="19" t="str">
        <f aca="false">IF(A1441="","",IFERROR(INDEX(Empresas!$D:$D,MATCH(A1441,Empresas!$A:$A,0))&amp;"","não consta"))</f>
        <v/>
      </c>
      <c r="K1441" s="19" t="str">
        <f aca="false">IF(A1441="","",IFERROR(INDEX(Sancoes!$B:$B,MATCH(A1441,Sancoes!$A:$A,0))&amp;"","não consta"))</f>
        <v/>
      </c>
      <c r="L1441" s="19" t="str">
        <f aca="false">IF(A1441="","",IFERROR(INDEX(Eleitoral!$B:$B,MATCH(A1441,Eleitoral!$A:$A,0))&amp;"","não consta"))</f>
        <v/>
      </c>
      <c r="M1441" s="28" t="str">
        <f aca="false">IF(A1441="","",IF(OR(AND(K1441&lt;&gt;"",LOWER(K1441)&lt;&gt;"não consta"),AND(L1441&lt;&gt;"",LOWER(L1441)&lt;&gt;"não consta"),IFERROR(INDEX(Empresas!$G:$G,MATCH(A1441,Empresas!$A:$A,0))&amp;"","")&lt;&gt;""),"SIM",""))</f>
        <v/>
      </c>
      <c r="N1441" s="5"/>
      <c r="O1441" s="32" t="str">
        <f aca="false">IF(D1441="","",YEAR(D1441))</f>
        <v/>
      </c>
      <c r="P1441" s="5"/>
    </row>
    <row r="1442" customFormat="false" ht="15" hidden="false" customHeight="false" outlineLevel="0" collapsed="false">
      <c r="A1442" s="27"/>
      <c r="B1442" s="5"/>
      <c r="C1442" s="35"/>
      <c r="D1442" s="18"/>
      <c r="E1442" s="5"/>
      <c r="F1442" s="14"/>
      <c r="G1442" s="5"/>
      <c r="H1442" s="27"/>
      <c r="I1442" s="5"/>
      <c r="J1442" s="19" t="str">
        <f aca="false">IF(A1442="","",IFERROR(INDEX(Empresas!$D:$D,MATCH(A1442,Empresas!$A:$A,0))&amp;"","não consta"))</f>
        <v/>
      </c>
      <c r="K1442" s="19" t="str">
        <f aca="false">IF(A1442="","",IFERROR(INDEX(Sancoes!$B:$B,MATCH(A1442,Sancoes!$A:$A,0))&amp;"","não consta"))</f>
        <v/>
      </c>
      <c r="L1442" s="19" t="str">
        <f aca="false">IF(A1442="","",IFERROR(INDEX(Eleitoral!$B:$B,MATCH(A1442,Eleitoral!$A:$A,0))&amp;"","não consta"))</f>
        <v/>
      </c>
      <c r="M1442" s="28" t="str">
        <f aca="false">IF(A1442="","",IF(OR(AND(K1442&lt;&gt;"",LOWER(K1442)&lt;&gt;"não consta"),AND(L1442&lt;&gt;"",LOWER(L1442)&lt;&gt;"não consta"),IFERROR(INDEX(Empresas!$G:$G,MATCH(A1442,Empresas!$A:$A,0))&amp;"","")&lt;&gt;""),"SIM",""))</f>
        <v/>
      </c>
      <c r="N1442" s="5"/>
      <c r="O1442" s="32" t="str">
        <f aca="false">IF(D1442="","",YEAR(D1442))</f>
        <v/>
      </c>
      <c r="P1442" s="5"/>
    </row>
    <row r="1443" customFormat="false" ht="15" hidden="false" customHeight="false" outlineLevel="0" collapsed="false">
      <c r="A1443" s="27"/>
      <c r="B1443" s="5"/>
      <c r="C1443" s="35"/>
      <c r="D1443" s="18"/>
      <c r="E1443" s="5"/>
      <c r="F1443" s="14"/>
      <c r="G1443" s="5"/>
      <c r="H1443" s="27"/>
      <c r="I1443" s="5"/>
      <c r="J1443" s="19" t="str">
        <f aca="false">IF(A1443="","",IFERROR(INDEX(Empresas!$D:$D,MATCH(A1443,Empresas!$A:$A,0))&amp;"","não consta"))</f>
        <v/>
      </c>
      <c r="K1443" s="19" t="str">
        <f aca="false">IF(A1443="","",IFERROR(INDEX(Sancoes!$B:$B,MATCH(A1443,Sancoes!$A:$A,0))&amp;"","não consta"))</f>
        <v/>
      </c>
      <c r="L1443" s="19" t="str">
        <f aca="false">IF(A1443="","",IFERROR(INDEX(Eleitoral!$B:$B,MATCH(A1443,Eleitoral!$A:$A,0))&amp;"","não consta"))</f>
        <v/>
      </c>
      <c r="M1443" s="28" t="str">
        <f aca="false">IF(A1443="","",IF(OR(AND(K1443&lt;&gt;"",LOWER(K1443)&lt;&gt;"não consta"),AND(L1443&lt;&gt;"",LOWER(L1443)&lt;&gt;"não consta"),IFERROR(INDEX(Empresas!$G:$G,MATCH(A1443,Empresas!$A:$A,0))&amp;"","")&lt;&gt;""),"SIM",""))</f>
        <v/>
      </c>
      <c r="N1443" s="5"/>
      <c r="O1443" s="32" t="str">
        <f aca="false">IF(D1443="","",YEAR(D1443))</f>
        <v/>
      </c>
      <c r="P1443" s="5"/>
    </row>
    <row r="1444" customFormat="false" ht="15" hidden="false" customHeight="false" outlineLevel="0" collapsed="false">
      <c r="A1444" s="27"/>
      <c r="B1444" s="5"/>
      <c r="C1444" s="35"/>
      <c r="D1444" s="18"/>
      <c r="E1444" s="5"/>
      <c r="F1444" s="14"/>
      <c r="G1444" s="5"/>
      <c r="H1444" s="27"/>
      <c r="I1444" s="5"/>
      <c r="J1444" s="19" t="str">
        <f aca="false">IF(A1444="","",IFERROR(INDEX(Empresas!$D:$D,MATCH(A1444,Empresas!$A:$A,0))&amp;"","não consta"))</f>
        <v/>
      </c>
      <c r="K1444" s="19" t="str">
        <f aca="false">IF(A1444="","",IFERROR(INDEX(Sancoes!$B:$B,MATCH(A1444,Sancoes!$A:$A,0))&amp;"","não consta"))</f>
        <v/>
      </c>
      <c r="L1444" s="19" t="str">
        <f aca="false">IF(A1444="","",IFERROR(INDEX(Eleitoral!$B:$B,MATCH(A1444,Eleitoral!$A:$A,0))&amp;"","não consta"))</f>
        <v/>
      </c>
      <c r="M1444" s="28" t="str">
        <f aca="false">IF(A1444="","",IF(OR(AND(K1444&lt;&gt;"",LOWER(K1444)&lt;&gt;"não consta"),AND(L1444&lt;&gt;"",LOWER(L1444)&lt;&gt;"não consta"),IFERROR(INDEX(Empresas!$G:$G,MATCH(A1444,Empresas!$A:$A,0))&amp;"","")&lt;&gt;""),"SIM",""))</f>
        <v/>
      </c>
      <c r="N1444" s="5"/>
      <c r="O1444" s="32" t="str">
        <f aca="false">IF(D1444="","",YEAR(D1444))</f>
        <v/>
      </c>
      <c r="P1444" s="5"/>
    </row>
    <row r="1445" customFormat="false" ht="15" hidden="false" customHeight="false" outlineLevel="0" collapsed="false">
      <c r="A1445" s="27"/>
      <c r="B1445" s="5"/>
      <c r="C1445" s="35"/>
      <c r="D1445" s="18"/>
      <c r="E1445" s="5"/>
      <c r="F1445" s="14"/>
      <c r="G1445" s="5"/>
      <c r="H1445" s="27"/>
      <c r="I1445" s="5"/>
      <c r="J1445" s="19" t="str">
        <f aca="false">IF(A1445="","",IFERROR(INDEX(Empresas!$D:$D,MATCH(A1445,Empresas!$A:$A,0))&amp;"","não consta"))</f>
        <v/>
      </c>
      <c r="K1445" s="19" t="str">
        <f aca="false">IF(A1445="","",IFERROR(INDEX(Sancoes!$B:$B,MATCH(A1445,Sancoes!$A:$A,0))&amp;"","não consta"))</f>
        <v/>
      </c>
      <c r="L1445" s="19" t="str">
        <f aca="false">IF(A1445="","",IFERROR(INDEX(Eleitoral!$B:$B,MATCH(A1445,Eleitoral!$A:$A,0))&amp;"","não consta"))</f>
        <v/>
      </c>
      <c r="M1445" s="28" t="str">
        <f aca="false">IF(A1445="","",IF(OR(AND(K1445&lt;&gt;"",LOWER(K1445)&lt;&gt;"não consta"),AND(L1445&lt;&gt;"",LOWER(L1445)&lt;&gt;"não consta"),IFERROR(INDEX(Empresas!$G:$G,MATCH(A1445,Empresas!$A:$A,0))&amp;"","")&lt;&gt;""),"SIM",""))</f>
        <v/>
      </c>
      <c r="N1445" s="5"/>
      <c r="O1445" s="32" t="str">
        <f aca="false">IF(D1445="","",YEAR(D1445))</f>
        <v/>
      </c>
      <c r="P1445" s="5"/>
    </row>
    <row r="1446" customFormat="false" ht="15" hidden="false" customHeight="false" outlineLevel="0" collapsed="false">
      <c r="A1446" s="27"/>
      <c r="B1446" s="5"/>
      <c r="C1446" s="35"/>
      <c r="D1446" s="18"/>
      <c r="E1446" s="5"/>
      <c r="F1446" s="14"/>
      <c r="G1446" s="5"/>
      <c r="H1446" s="27"/>
      <c r="I1446" s="5"/>
      <c r="J1446" s="19" t="str">
        <f aca="false">IF(A1446="","",IFERROR(INDEX(Empresas!$D:$D,MATCH(A1446,Empresas!$A:$A,0))&amp;"","não consta"))</f>
        <v/>
      </c>
      <c r="K1446" s="19" t="str">
        <f aca="false">IF(A1446="","",IFERROR(INDEX(Sancoes!$B:$B,MATCH(A1446,Sancoes!$A:$A,0))&amp;"","não consta"))</f>
        <v/>
      </c>
      <c r="L1446" s="19" t="str">
        <f aca="false">IF(A1446="","",IFERROR(INDEX(Eleitoral!$B:$B,MATCH(A1446,Eleitoral!$A:$A,0))&amp;"","não consta"))</f>
        <v/>
      </c>
      <c r="M1446" s="28" t="str">
        <f aca="false">IF(A1446="","",IF(OR(AND(K1446&lt;&gt;"",LOWER(K1446)&lt;&gt;"não consta"),AND(L1446&lt;&gt;"",LOWER(L1446)&lt;&gt;"não consta"),IFERROR(INDEX(Empresas!$G:$G,MATCH(A1446,Empresas!$A:$A,0))&amp;"","")&lt;&gt;""),"SIM",""))</f>
        <v/>
      </c>
      <c r="N1446" s="5"/>
      <c r="O1446" s="32" t="str">
        <f aca="false">IF(D1446="","",YEAR(D1446))</f>
        <v/>
      </c>
      <c r="P1446" s="5"/>
    </row>
    <row r="1447" customFormat="false" ht="15" hidden="false" customHeight="false" outlineLevel="0" collapsed="false">
      <c r="A1447" s="27"/>
      <c r="B1447" s="5"/>
      <c r="C1447" s="35"/>
      <c r="D1447" s="18"/>
      <c r="E1447" s="5"/>
      <c r="F1447" s="14"/>
      <c r="G1447" s="5"/>
      <c r="H1447" s="27"/>
      <c r="I1447" s="5"/>
      <c r="J1447" s="19" t="str">
        <f aca="false">IF(A1447="","",IFERROR(INDEX(Empresas!$D:$D,MATCH(A1447,Empresas!$A:$A,0))&amp;"","não consta"))</f>
        <v/>
      </c>
      <c r="K1447" s="19" t="str">
        <f aca="false">IF(A1447="","",IFERROR(INDEX(Sancoes!$B:$B,MATCH(A1447,Sancoes!$A:$A,0))&amp;"","não consta"))</f>
        <v/>
      </c>
      <c r="L1447" s="19" t="str">
        <f aca="false">IF(A1447="","",IFERROR(INDEX(Eleitoral!$B:$B,MATCH(A1447,Eleitoral!$A:$A,0))&amp;"","não consta"))</f>
        <v/>
      </c>
      <c r="M1447" s="28" t="str">
        <f aca="false">IF(A1447="","",IF(OR(AND(K1447&lt;&gt;"",LOWER(K1447)&lt;&gt;"não consta"),AND(L1447&lt;&gt;"",LOWER(L1447)&lt;&gt;"não consta"),IFERROR(INDEX(Empresas!$G:$G,MATCH(A1447,Empresas!$A:$A,0))&amp;"","")&lt;&gt;""),"SIM",""))</f>
        <v/>
      </c>
      <c r="N1447" s="5"/>
      <c r="O1447" s="32" t="str">
        <f aca="false">IF(D1447="","",YEAR(D1447))</f>
        <v/>
      </c>
      <c r="P1447" s="5"/>
    </row>
    <row r="1448" customFormat="false" ht="15" hidden="false" customHeight="false" outlineLevel="0" collapsed="false">
      <c r="A1448" s="27"/>
      <c r="B1448" s="5"/>
      <c r="C1448" s="35"/>
      <c r="D1448" s="18"/>
      <c r="E1448" s="5"/>
      <c r="F1448" s="14"/>
      <c r="G1448" s="5"/>
      <c r="H1448" s="27"/>
      <c r="I1448" s="5"/>
      <c r="J1448" s="19" t="str">
        <f aca="false">IF(A1448="","",IFERROR(INDEX(Empresas!$D:$D,MATCH(A1448,Empresas!$A:$A,0))&amp;"","não consta"))</f>
        <v/>
      </c>
      <c r="K1448" s="19" t="str">
        <f aca="false">IF(A1448="","",IFERROR(INDEX(Sancoes!$B:$B,MATCH(A1448,Sancoes!$A:$A,0))&amp;"","não consta"))</f>
        <v/>
      </c>
      <c r="L1448" s="19" t="str">
        <f aca="false">IF(A1448="","",IFERROR(INDEX(Eleitoral!$B:$B,MATCH(A1448,Eleitoral!$A:$A,0))&amp;"","não consta"))</f>
        <v/>
      </c>
      <c r="M1448" s="28" t="str">
        <f aca="false">IF(A1448="","",IF(OR(AND(K1448&lt;&gt;"",LOWER(K1448)&lt;&gt;"não consta"),AND(L1448&lt;&gt;"",LOWER(L1448)&lt;&gt;"não consta"),IFERROR(INDEX(Empresas!$G:$G,MATCH(A1448,Empresas!$A:$A,0))&amp;"","")&lt;&gt;""),"SIM",""))</f>
        <v/>
      </c>
      <c r="N1448" s="5"/>
      <c r="O1448" s="32" t="str">
        <f aca="false">IF(D1448="","",YEAR(D1448))</f>
        <v/>
      </c>
      <c r="P1448" s="5"/>
    </row>
    <row r="1449" customFormat="false" ht="15" hidden="false" customHeight="false" outlineLevel="0" collapsed="false">
      <c r="A1449" s="27"/>
      <c r="B1449" s="5"/>
      <c r="C1449" s="35"/>
      <c r="D1449" s="18"/>
      <c r="E1449" s="5"/>
      <c r="F1449" s="14"/>
      <c r="G1449" s="5"/>
      <c r="H1449" s="27"/>
      <c r="I1449" s="5"/>
      <c r="J1449" s="19" t="str">
        <f aca="false">IF(A1449="","",IFERROR(INDEX(Empresas!$D:$D,MATCH(A1449,Empresas!$A:$A,0))&amp;"","não consta"))</f>
        <v/>
      </c>
      <c r="K1449" s="19" t="str">
        <f aca="false">IF(A1449="","",IFERROR(INDEX(Sancoes!$B:$B,MATCH(A1449,Sancoes!$A:$A,0))&amp;"","não consta"))</f>
        <v/>
      </c>
      <c r="L1449" s="19" t="str">
        <f aca="false">IF(A1449="","",IFERROR(INDEX(Eleitoral!$B:$B,MATCH(A1449,Eleitoral!$A:$A,0))&amp;"","não consta"))</f>
        <v/>
      </c>
      <c r="M1449" s="28" t="str">
        <f aca="false">IF(A1449="","",IF(OR(AND(K1449&lt;&gt;"",LOWER(K1449)&lt;&gt;"não consta"),AND(L1449&lt;&gt;"",LOWER(L1449)&lt;&gt;"não consta"),IFERROR(INDEX(Empresas!$G:$G,MATCH(A1449,Empresas!$A:$A,0))&amp;"","")&lt;&gt;""),"SIM",""))</f>
        <v/>
      </c>
      <c r="N1449" s="5"/>
      <c r="O1449" s="32" t="str">
        <f aca="false">IF(D1449="","",YEAR(D1449))</f>
        <v/>
      </c>
      <c r="P1449" s="5"/>
    </row>
    <row r="1450" customFormat="false" ht="15" hidden="false" customHeight="false" outlineLevel="0" collapsed="false">
      <c r="A1450" s="27"/>
      <c r="B1450" s="5"/>
      <c r="C1450" s="35"/>
      <c r="D1450" s="18"/>
      <c r="E1450" s="5"/>
      <c r="F1450" s="14"/>
      <c r="G1450" s="5"/>
      <c r="H1450" s="27"/>
      <c r="I1450" s="5"/>
      <c r="J1450" s="19" t="str">
        <f aca="false">IF(A1450="","",IFERROR(INDEX(Empresas!$D:$D,MATCH(A1450,Empresas!$A:$A,0))&amp;"","não consta"))</f>
        <v/>
      </c>
      <c r="K1450" s="19" t="str">
        <f aca="false">IF(A1450="","",IFERROR(INDEX(Sancoes!$B:$B,MATCH(A1450,Sancoes!$A:$A,0))&amp;"","não consta"))</f>
        <v/>
      </c>
      <c r="L1450" s="19" t="str">
        <f aca="false">IF(A1450="","",IFERROR(INDEX(Eleitoral!$B:$B,MATCH(A1450,Eleitoral!$A:$A,0))&amp;"","não consta"))</f>
        <v/>
      </c>
      <c r="M1450" s="28" t="str">
        <f aca="false">IF(A1450="","",IF(OR(AND(K1450&lt;&gt;"",LOWER(K1450)&lt;&gt;"não consta"),AND(L1450&lt;&gt;"",LOWER(L1450)&lt;&gt;"não consta"),IFERROR(INDEX(Empresas!$G:$G,MATCH(A1450,Empresas!$A:$A,0))&amp;"","")&lt;&gt;""),"SIM",""))</f>
        <v/>
      </c>
      <c r="N1450" s="5"/>
      <c r="O1450" s="32" t="str">
        <f aca="false">IF(D1450="","",YEAR(D1450))</f>
        <v/>
      </c>
      <c r="P1450" s="5"/>
    </row>
    <row r="1451" customFormat="false" ht="15" hidden="false" customHeight="false" outlineLevel="0" collapsed="false">
      <c r="A1451" s="27"/>
      <c r="B1451" s="5"/>
      <c r="C1451" s="35"/>
      <c r="D1451" s="18"/>
      <c r="E1451" s="5"/>
      <c r="F1451" s="14"/>
      <c r="G1451" s="5"/>
      <c r="H1451" s="27"/>
      <c r="I1451" s="5"/>
      <c r="J1451" s="19" t="str">
        <f aca="false">IF(A1451="","",IFERROR(INDEX(Empresas!$D:$D,MATCH(A1451,Empresas!$A:$A,0))&amp;"","não consta"))</f>
        <v/>
      </c>
      <c r="K1451" s="19" t="str">
        <f aca="false">IF(A1451="","",IFERROR(INDEX(Sancoes!$B:$B,MATCH(A1451,Sancoes!$A:$A,0))&amp;"","não consta"))</f>
        <v/>
      </c>
      <c r="L1451" s="19" t="str">
        <f aca="false">IF(A1451="","",IFERROR(INDEX(Eleitoral!$B:$B,MATCH(A1451,Eleitoral!$A:$A,0))&amp;"","não consta"))</f>
        <v/>
      </c>
      <c r="M1451" s="28" t="str">
        <f aca="false">IF(A1451="","",IF(OR(AND(K1451&lt;&gt;"",LOWER(K1451)&lt;&gt;"não consta"),AND(L1451&lt;&gt;"",LOWER(L1451)&lt;&gt;"não consta"),IFERROR(INDEX(Empresas!$G:$G,MATCH(A1451,Empresas!$A:$A,0))&amp;"","")&lt;&gt;""),"SIM",""))</f>
        <v/>
      </c>
      <c r="N1451" s="5"/>
      <c r="O1451" s="32" t="str">
        <f aca="false">IF(D1451="","",YEAR(D1451))</f>
        <v/>
      </c>
      <c r="P1451" s="5"/>
    </row>
    <row r="1452" customFormat="false" ht="15" hidden="false" customHeight="false" outlineLevel="0" collapsed="false">
      <c r="A1452" s="27"/>
      <c r="B1452" s="5"/>
      <c r="C1452" s="35"/>
      <c r="D1452" s="18"/>
      <c r="E1452" s="5"/>
      <c r="F1452" s="14"/>
      <c r="G1452" s="5"/>
      <c r="H1452" s="27"/>
      <c r="I1452" s="5"/>
      <c r="J1452" s="19" t="str">
        <f aca="false">IF(A1452="","",IFERROR(INDEX(Empresas!$D:$D,MATCH(A1452,Empresas!$A:$A,0))&amp;"","não consta"))</f>
        <v/>
      </c>
      <c r="K1452" s="19" t="str">
        <f aca="false">IF(A1452="","",IFERROR(INDEX(Sancoes!$B:$B,MATCH(A1452,Sancoes!$A:$A,0))&amp;"","não consta"))</f>
        <v/>
      </c>
      <c r="L1452" s="19" t="str">
        <f aca="false">IF(A1452="","",IFERROR(INDEX(Eleitoral!$B:$B,MATCH(A1452,Eleitoral!$A:$A,0))&amp;"","não consta"))</f>
        <v/>
      </c>
      <c r="M1452" s="28" t="str">
        <f aca="false">IF(A1452="","",IF(OR(AND(K1452&lt;&gt;"",LOWER(K1452)&lt;&gt;"não consta"),AND(L1452&lt;&gt;"",LOWER(L1452)&lt;&gt;"não consta"),IFERROR(INDEX(Empresas!$G:$G,MATCH(A1452,Empresas!$A:$A,0))&amp;"","")&lt;&gt;""),"SIM",""))</f>
        <v/>
      </c>
      <c r="N1452" s="5"/>
      <c r="O1452" s="32" t="str">
        <f aca="false">IF(D1452="","",YEAR(D1452))</f>
        <v/>
      </c>
      <c r="P1452" s="5"/>
    </row>
    <row r="1453" customFormat="false" ht="15" hidden="false" customHeight="false" outlineLevel="0" collapsed="false">
      <c r="A1453" s="27"/>
      <c r="B1453" s="5"/>
      <c r="C1453" s="35"/>
      <c r="D1453" s="18"/>
      <c r="E1453" s="5"/>
      <c r="F1453" s="14"/>
      <c r="G1453" s="5"/>
      <c r="H1453" s="27"/>
      <c r="I1453" s="5"/>
      <c r="J1453" s="19" t="str">
        <f aca="false">IF(A1453="","",IFERROR(INDEX(Empresas!$D:$D,MATCH(A1453,Empresas!$A:$A,0))&amp;"","não consta"))</f>
        <v/>
      </c>
      <c r="K1453" s="19" t="str">
        <f aca="false">IF(A1453="","",IFERROR(INDEX(Sancoes!$B:$B,MATCH(A1453,Sancoes!$A:$A,0))&amp;"","não consta"))</f>
        <v/>
      </c>
      <c r="L1453" s="19" t="str">
        <f aca="false">IF(A1453="","",IFERROR(INDEX(Eleitoral!$B:$B,MATCH(A1453,Eleitoral!$A:$A,0))&amp;"","não consta"))</f>
        <v/>
      </c>
      <c r="M1453" s="28" t="str">
        <f aca="false">IF(A1453="","",IF(OR(AND(K1453&lt;&gt;"",LOWER(K1453)&lt;&gt;"não consta"),AND(L1453&lt;&gt;"",LOWER(L1453)&lt;&gt;"não consta"),IFERROR(INDEX(Empresas!$G:$G,MATCH(A1453,Empresas!$A:$A,0))&amp;"","")&lt;&gt;""),"SIM",""))</f>
        <v/>
      </c>
      <c r="N1453" s="5"/>
      <c r="O1453" s="32" t="str">
        <f aca="false">IF(D1453="","",YEAR(D1453))</f>
        <v/>
      </c>
      <c r="P1453" s="5"/>
    </row>
    <row r="1454" customFormat="false" ht="15" hidden="false" customHeight="false" outlineLevel="0" collapsed="false">
      <c r="A1454" s="27"/>
      <c r="B1454" s="5"/>
      <c r="C1454" s="35"/>
      <c r="D1454" s="18"/>
      <c r="E1454" s="5"/>
      <c r="F1454" s="14"/>
      <c r="G1454" s="5"/>
      <c r="H1454" s="27"/>
      <c r="I1454" s="5"/>
      <c r="J1454" s="19" t="str">
        <f aca="false">IF(A1454="","",IFERROR(INDEX(Empresas!$D:$D,MATCH(A1454,Empresas!$A:$A,0))&amp;"","não consta"))</f>
        <v/>
      </c>
      <c r="K1454" s="19" t="str">
        <f aca="false">IF(A1454="","",IFERROR(INDEX(Sancoes!$B:$B,MATCH(A1454,Sancoes!$A:$A,0))&amp;"","não consta"))</f>
        <v/>
      </c>
      <c r="L1454" s="19" t="str">
        <f aca="false">IF(A1454="","",IFERROR(INDEX(Eleitoral!$B:$B,MATCH(A1454,Eleitoral!$A:$A,0))&amp;"","não consta"))</f>
        <v/>
      </c>
      <c r="M1454" s="28" t="str">
        <f aca="false">IF(A1454="","",IF(OR(AND(K1454&lt;&gt;"",LOWER(K1454)&lt;&gt;"não consta"),AND(L1454&lt;&gt;"",LOWER(L1454)&lt;&gt;"não consta"),IFERROR(INDEX(Empresas!$G:$G,MATCH(A1454,Empresas!$A:$A,0))&amp;"","")&lt;&gt;""),"SIM",""))</f>
        <v/>
      </c>
      <c r="N1454" s="5"/>
      <c r="O1454" s="32" t="str">
        <f aca="false">IF(D1454="","",YEAR(D1454))</f>
        <v/>
      </c>
      <c r="P1454" s="5"/>
    </row>
    <row r="1455" customFormat="false" ht="15" hidden="false" customHeight="false" outlineLevel="0" collapsed="false">
      <c r="A1455" s="27"/>
      <c r="B1455" s="5"/>
      <c r="C1455" s="35"/>
      <c r="D1455" s="18"/>
      <c r="E1455" s="5"/>
      <c r="F1455" s="14"/>
      <c r="G1455" s="5"/>
      <c r="H1455" s="27"/>
      <c r="I1455" s="5"/>
      <c r="J1455" s="19" t="str">
        <f aca="false">IF(A1455="","",IFERROR(INDEX(Empresas!$D:$D,MATCH(A1455,Empresas!$A:$A,0))&amp;"","não consta"))</f>
        <v/>
      </c>
      <c r="K1455" s="19" t="str">
        <f aca="false">IF(A1455="","",IFERROR(INDEX(Sancoes!$B:$B,MATCH(A1455,Sancoes!$A:$A,0))&amp;"","não consta"))</f>
        <v/>
      </c>
      <c r="L1455" s="19" t="str">
        <f aca="false">IF(A1455="","",IFERROR(INDEX(Eleitoral!$B:$B,MATCH(A1455,Eleitoral!$A:$A,0))&amp;"","não consta"))</f>
        <v/>
      </c>
      <c r="M1455" s="28" t="str">
        <f aca="false">IF(A1455="","",IF(OR(AND(K1455&lt;&gt;"",LOWER(K1455)&lt;&gt;"não consta"),AND(L1455&lt;&gt;"",LOWER(L1455)&lt;&gt;"não consta"),IFERROR(INDEX(Empresas!$G:$G,MATCH(A1455,Empresas!$A:$A,0))&amp;"","")&lt;&gt;""),"SIM",""))</f>
        <v/>
      </c>
      <c r="N1455" s="5"/>
      <c r="O1455" s="32" t="str">
        <f aca="false">IF(D1455="","",YEAR(D1455))</f>
        <v/>
      </c>
      <c r="P1455" s="5"/>
    </row>
    <row r="1456" customFormat="false" ht="15" hidden="false" customHeight="false" outlineLevel="0" collapsed="false">
      <c r="A1456" s="27"/>
      <c r="B1456" s="5"/>
      <c r="C1456" s="35"/>
      <c r="D1456" s="18"/>
      <c r="E1456" s="5"/>
      <c r="F1456" s="14"/>
      <c r="G1456" s="5"/>
      <c r="H1456" s="27"/>
      <c r="I1456" s="5"/>
      <c r="J1456" s="19" t="str">
        <f aca="false">IF(A1456="","",IFERROR(INDEX(Empresas!$D:$D,MATCH(A1456,Empresas!$A:$A,0))&amp;"","não consta"))</f>
        <v/>
      </c>
      <c r="K1456" s="19" t="str">
        <f aca="false">IF(A1456="","",IFERROR(INDEX(Sancoes!$B:$B,MATCH(A1456,Sancoes!$A:$A,0))&amp;"","não consta"))</f>
        <v/>
      </c>
      <c r="L1456" s="19" t="str">
        <f aca="false">IF(A1456="","",IFERROR(INDEX(Eleitoral!$B:$B,MATCH(A1456,Eleitoral!$A:$A,0))&amp;"","não consta"))</f>
        <v/>
      </c>
      <c r="M1456" s="28" t="str">
        <f aca="false">IF(A1456="","",IF(OR(AND(K1456&lt;&gt;"",LOWER(K1456)&lt;&gt;"não consta"),AND(L1456&lt;&gt;"",LOWER(L1456)&lt;&gt;"não consta"),IFERROR(INDEX(Empresas!$G:$G,MATCH(A1456,Empresas!$A:$A,0))&amp;"","")&lt;&gt;""),"SIM",""))</f>
        <v/>
      </c>
      <c r="N1456" s="5"/>
      <c r="O1456" s="32" t="str">
        <f aca="false">IF(D1456="","",YEAR(D1456))</f>
        <v/>
      </c>
      <c r="P1456" s="5"/>
    </row>
    <row r="1457" customFormat="false" ht="15" hidden="false" customHeight="false" outlineLevel="0" collapsed="false">
      <c r="A1457" s="27"/>
      <c r="B1457" s="5"/>
      <c r="C1457" s="35"/>
      <c r="D1457" s="18"/>
      <c r="E1457" s="5"/>
      <c r="F1457" s="14"/>
      <c r="G1457" s="5"/>
      <c r="H1457" s="27"/>
      <c r="I1457" s="5"/>
      <c r="J1457" s="19" t="str">
        <f aca="false">IF(A1457="","",IFERROR(INDEX(Empresas!$D:$D,MATCH(A1457,Empresas!$A:$A,0))&amp;"","não consta"))</f>
        <v/>
      </c>
      <c r="K1457" s="19" t="str">
        <f aca="false">IF(A1457="","",IFERROR(INDEX(Sancoes!$B:$B,MATCH(A1457,Sancoes!$A:$A,0))&amp;"","não consta"))</f>
        <v/>
      </c>
      <c r="L1457" s="19" t="str">
        <f aca="false">IF(A1457="","",IFERROR(INDEX(Eleitoral!$B:$B,MATCH(A1457,Eleitoral!$A:$A,0))&amp;"","não consta"))</f>
        <v/>
      </c>
      <c r="M1457" s="28" t="str">
        <f aca="false">IF(A1457="","",IF(OR(AND(K1457&lt;&gt;"",LOWER(K1457)&lt;&gt;"não consta"),AND(L1457&lt;&gt;"",LOWER(L1457)&lt;&gt;"não consta"),IFERROR(INDEX(Empresas!$G:$G,MATCH(A1457,Empresas!$A:$A,0))&amp;"","")&lt;&gt;""),"SIM",""))</f>
        <v/>
      </c>
      <c r="N1457" s="5"/>
      <c r="O1457" s="32" t="str">
        <f aca="false">IF(D1457="","",YEAR(D1457))</f>
        <v/>
      </c>
      <c r="P1457" s="5"/>
    </row>
    <row r="1458" customFormat="false" ht="15" hidden="false" customHeight="false" outlineLevel="0" collapsed="false">
      <c r="A1458" s="27"/>
      <c r="B1458" s="5"/>
      <c r="C1458" s="35"/>
      <c r="D1458" s="18"/>
      <c r="E1458" s="5"/>
      <c r="F1458" s="14"/>
      <c r="G1458" s="5"/>
      <c r="H1458" s="27"/>
      <c r="I1458" s="5"/>
      <c r="J1458" s="19" t="str">
        <f aca="false">IF(A1458="","",IFERROR(INDEX(Empresas!$D:$D,MATCH(A1458,Empresas!$A:$A,0))&amp;"","não consta"))</f>
        <v/>
      </c>
      <c r="K1458" s="19" t="str">
        <f aca="false">IF(A1458="","",IFERROR(INDEX(Sancoes!$B:$B,MATCH(A1458,Sancoes!$A:$A,0))&amp;"","não consta"))</f>
        <v/>
      </c>
      <c r="L1458" s="19" t="str">
        <f aca="false">IF(A1458="","",IFERROR(INDEX(Eleitoral!$B:$B,MATCH(A1458,Eleitoral!$A:$A,0))&amp;"","não consta"))</f>
        <v/>
      </c>
      <c r="M1458" s="28" t="str">
        <f aca="false">IF(A1458="","",IF(OR(AND(K1458&lt;&gt;"",LOWER(K1458)&lt;&gt;"não consta"),AND(L1458&lt;&gt;"",LOWER(L1458)&lt;&gt;"não consta"),IFERROR(INDEX(Empresas!$G:$G,MATCH(A1458,Empresas!$A:$A,0))&amp;"","")&lt;&gt;""),"SIM",""))</f>
        <v/>
      </c>
      <c r="N1458" s="5"/>
      <c r="O1458" s="32" t="str">
        <f aca="false">IF(D1458="","",YEAR(D1458))</f>
        <v/>
      </c>
      <c r="P1458" s="5"/>
    </row>
    <row r="1459" customFormat="false" ht="15" hidden="false" customHeight="false" outlineLevel="0" collapsed="false">
      <c r="A1459" s="27"/>
      <c r="B1459" s="5"/>
      <c r="C1459" s="35"/>
      <c r="D1459" s="18"/>
      <c r="E1459" s="5"/>
      <c r="F1459" s="14"/>
      <c r="G1459" s="5"/>
      <c r="H1459" s="27"/>
      <c r="I1459" s="5"/>
      <c r="J1459" s="19" t="str">
        <f aca="false">IF(A1459="","",IFERROR(INDEX(Empresas!$D:$D,MATCH(A1459,Empresas!$A:$A,0))&amp;"","não consta"))</f>
        <v/>
      </c>
      <c r="K1459" s="19" t="str">
        <f aca="false">IF(A1459="","",IFERROR(INDEX(Sancoes!$B:$B,MATCH(A1459,Sancoes!$A:$A,0))&amp;"","não consta"))</f>
        <v/>
      </c>
      <c r="L1459" s="19" t="str">
        <f aca="false">IF(A1459="","",IFERROR(INDEX(Eleitoral!$B:$B,MATCH(A1459,Eleitoral!$A:$A,0))&amp;"","não consta"))</f>
        <v/>
      </c>
      <c r="M1459" s="28" t="str">
        <f aca="false">IF(A1459="","",IF(OR(AND(K1459&lt;&gt;"",LOWER(K1459)&lt;&gt;"não consta"),AND(L1459&lt;&gt;"",LOWER(L1459)&lt;&gt;"não consta"),IFERROR(INDEX(Empresas!$G:$G,MATCH(A1459,Empresas!$A:$A,0))&amp;"","")&lt;&gt;""),"SIM",""))</f>
        <v/>
      </c>
      <c r="N1459" s="5"/>
      <c r="O1459" s="32" t="str">
        <f aca="false">IF(D1459="","",YEAR(D1459))</f>
        <v/>
      </c>
      <c r="P1459" s="5"/>
    </row>
    <row r="1460" customFormat="false" ht="15" hidden="false" customHeight="false" outlineLevel="0" collapsed="false">
      <c r="A1460" s="27"/>
      <c r="B1460" s="5"/>
      <c r="C1460" s="35"/>
      <c r="D1460" s="18"/>
      <c r="E1460" s="5"/>
      <c r="F1460" s="14"/>
      <c r="G1460" s="5"/>
      <c r="H1460" s="27"/>
      <c r="I1460" s="5"/>
      <c r="J1460" s="19" t="str">
        <f aca="false">IF(A1460="","",IFERROR(INDEX(Empresas!$D:$D,MATCH(A1460,Empresas!$A:$A,0))&amp;"","não consta"))</f>
        <v/>
      </c>
      <c r="K1460" s="19" t="str">
        <f aca="false">IF(A1460="","",IFERROR(INDEX(Sancoes!$B:$B,MATCH(A1460,Sancoes!$A:$A,0))&amp;"","não consta"))</f>
        <v/>
      </c>
      <c r="L1460" s="19" t="str">
        <f aca="false">IF(A1460="","",IFERROR(INDEX(Eleitoral!$B:$B,MATCH(A1460,Eleitoral!$A:$A,0))&amp;"","não consta"))</f>
        <v/>
      </c>
      <c r="M1460" s="28" t="str">
        <f aca="false">IF(A1460="","",IF(OR(AND(K1460&lt;&gt;"",LOWER(K1460)&lt;&gt;"não consta"),AND(L1460&lt;&gt;"",LOWER(L1460)&lt;&gt;"não consta"),IFERROR(INDEX(Empresas!$G:$G,MATCH(A1460,Empresas!$A:$A,0))&amp;"","")&lt;&gt;""),"SIM",""))</f>
        <v/>
      </c>
      <c r="N1460" s="5"/>
      <c r="O1460" s="32" t="str">
        <f aca="false">IF(D1460="","",YEAR(D1460))</f>
        <v/>
      </c>
      <c r="P1460" s="5"/>
    </row>
    <row r="1461" customFormat="false" ht="15" hidden="false" customHeight="false" outlineLevel="0" collapsed="false">
      <c r="A1461" s="27"/>
      <c r="B1461" s="5"/>
      <c r="C1461" s="35"/>
      <c r="D1461" s="18"/>
      <c r="E1461" s="5"/>
      <c r="F1461" s="14"/>
      <c r="G1461" s="5"/>
      <c r="H1461" s="27"/>
      <c r="I1461" s="5"/>
      <c r="J1461" s="19" t="str">
        <f aca="false">IF(A1461="","",IFERROR(INDEX(Empresas!$D:$D,MATCH(A1461,Empresas!$A:$A,0))&amp;"","não consta"))</f>
        <v/>
      </c>
      <c r="K1461" s="19" t="str">
        <f aca="false">IF(A1461="","",IFERROR(INDEX(Sancoes!$B:$B,MATCH(A1461,Sancoes!$A:$A,0))&amp;"","não consta"))</f>
        <v/>
      </c>
      <c r="L1461" s="19" t="str">
        <f aca="false">IF(A1461="","",IFERROR(INDEX(Eleitoral!$B:$B,MATCH(A1461,Eleitoral!$A:$A,0))&amp;"","não consta"))</f>
        <v/>
      </c>
      <c r="M1461" s="28" t="str">
        <f aca="false">IF(A1461="","",IF(OR(AND(K1461&lt;&gt;"",LOWER(K1461)&lt;&gt;"não consta"),AND(L1461&lt;&gt;"",LOWER(L1461)&lt;&gt;"não consta"),IFERROR(INDEX(Empresas!$G:$G,MATCH(A1461,Empresas!$A:$A,0))&amp;"","")&lt;&gt;""),"SIM",""))</f>
        <v/>
      </c>
      <c r="N1461" s="5"/>
      <c r="O1461" s="32" t="str">
        <f aca="false">IF(D1461="","",YEAR(D1461))</f>
        <v/>
      </c>
      <c r="P1461" s="5"/>
    </row>
    <row r="1462" customFormat="false" ht="15" hidden="false" customHeight="false" outlineLevel="0" collapsed="false">
      <c r="A1462" s="27"/>
      <c r="B1462" s="5"/>
      <c r="C1462" s="35"/>
      <c r="D1462" s="18"/>
      <c r="E1462" s="5"/>
      <c r="F1462" s="14"/>
      <c r="G1462" s="5"/>
      <c r="H1462" s="27"/>
      <c r="I1462" s="5"/>
      <c r="J1462" s="19" t="str">
        <f aca="false">IF(A1462="","",IFERROR(INDEX(Empresas!$D:$D,MATCH(A1462,Empresas!$A:$A,0))&amp;"","não consta"))</f>
        <v/>
      </c>
      <c r="K1462" s="19" t="str">
        <f aca="false">IF(A1462="","",IFERROR(INDEX(Sancoes!$B:$B,MATCH(A1462,Sancoes!$A:$A,0))&amp;"","não consta"))</f>
        <v/>
      </c>
      <c r="L1462" s="19" t="str">
        <f aca="false">IF(A1462="","",IFERROR(INDEX(Eleitoral!$B:$B,MATCH(A1462,Eleitoral!$A:$A,0))&amp;"","não consta"))</f>
        <v/>
      </c>
      <c r="M1462" s="28" t="str">
        <f aca="false">IF(A1462="","",IF(OR(AND(K1462&lt;&gt;"",LOWER(K1462)&lt;&gt;"não consta"),AND(L1462&lt;&gt;"",LOWER(L1462)&lt;&gt;"não consta"),IFERROR(INDEX(Empresas!$G:$G,MATCH(A1462,Empresas!$A:$A,0))&amp;"","")&lt;&gt;""),"SIM",""))</f>
        <v/>
      </c>
      <c r="N1462" s="5"/>
      <c r="O1462" s="32" t="str">
        <f aca="false">IF(D1462="","",YEAR(D1462))</f>
        <v/>
      </c>
      <c r="P1462" s="5"/>
    </row>
    <row r="1463" customFormat="false" ht="15" hidden="false" customHeight="false" outlineLevel="0" collapsed="false">
      <c r="A1463" s="27"/>
      <c r="B1463" s="5"/>
      <c r="C1463" s="35"/>
      <c r="D1463" s="18"/>
      <c r="E1463" s="5"/>
      <c r="F1463" s="14"/>
      <c r="G1463" s="5"/>
      <c r="H1463" s="27"/>
      <c r="I1463" s="5"/>
      <c r="J1463" s="19" t="str">
        <f aca="false">IF(A1463="","",IFERROR(INDEX(Empresas!$D:$D,MATCH(A1463,Empresas!$A:$A,0))&amp;"","não consta"))</f>
        <v/>
      </c>
      <c r="K1463" s="19" t="str">
        <f aca="false">IF(A1463="","",IFERROR(INDEX(Sancoes!$B:$B,MATCH(A1463,Sancoes!$A:$A,0))&amp;"","não consta"))</f>
        <v/>
      </c>
      <c r="L1463" s="19" t="str">
        <f aca="false">IF(A1463="","",IFERROR(INDEX(Eleitoral!$B:$B,MATCH(A1463,Eleitoral!$A:$A,0))&amp;"","não consta"))</f>
        <v/>
      </c>
      <c r="M1463" s="28" t="str">
        <f aca="false">IF(A1463="","",IF(OR(AND(K1463&lt;&gt;"",LOWER(K1463)&lt;&gt;"não consta"),AND(L1463&lt;&gt;"",LOWER(L1463)&lt;&gt;"não consta"),IFERROR(INDEX(Empresas!$G:$G,MATCH(A1463,Empresas!$A:$A,0))&amp;"","")&lt;&gt;""),"SIM",""))</f>
        <v/>
      </c>
      <c r="N1463" s="5"/>
      <c r="O1463" s="32" t="str">
        <f aca="false">IF(D1463="","",YEAR(D1463))</f>
        <v/>
      </c>
      <c r="P1463" s="5"/>
    </row>
    <row r="1464" customFormat="false" ht="15" hidden="false" customHeight="false" outlineLevel="0" collapsed="false">
      <c r="A1464" s="27"/>
      <c r="B1464" s="5"/>
      <c r="C1464" s="35"/>
      <c r="D1464" s="18"/>
      <c r="E1464" s="5"/>
      <c r="F1464" s="14"/>
      <c r="G1464" s="5"/>
      <c r="H1464" s="27"/>
      <c r="I1464" s="5"/>
      <c r="J1464" s="19" t="str">
        <f aca="false">IF(A1464="","",IFERROR(INDEX(Empresas!$D:$D,MATCH(A1464,Empresas!$A:$A,0))&amp;"","não consta"))</f>
        <v/>
      </c>
      <c r="K1464" s="19" t="str">
        <f aca="false">IF(A1464="","",IFERROR(INDEX(Sancoes!$B:$B,MATCH(A1464,Sancoes!$A:$A,0))&amp;"","não consta"))</f>
        <v/>
      </c>
      <c r="L1464" s="19" t="str">
        <f aca="false">IF(A1464="","",IFERROR(INDEX(Eleitoral!$B:$B,MATCH(A1464,Eleitoral!$A:$A,0))&amp;"","não consta"))</f>
        <v/>
      </c>
      <c r="M1464" s="28" t="str">
        <f aca="false">IF(A1464="","",IF(OR(AND(K1464&lt;&gt;"",LOWER(K1464)&lt;&gt;"não consta"),AND(L1464&lt;&gt;"",LOWER(L1464)&lt;&gt;"não consta"),IFERROR(INDEX(Empresas!$G:$G,MATCH(A1464,Empresas!$A:$A,0))&amp;"","")&lt;&gt;""),"SIM",""))</f>
        <v/>
      </c>
      <c r="N1464" s="5"/>
      <c r="O1464" s="32" t="str">
        <f aca="false">IF(D1464="","",YEAR(D1464))</f>
        <v/>
      </c>
      <c r="P1464" s="5"/>
    </row>
    <row r="1465" customFormat="false" ht="15" hidden="false" customHeight="false" outlineLevel="0" collapsed="false">
      <c r="A1465" s="27"/>
      <c r="B1465" s="5"/>
      <c r="C1465" s="35"/>
      <c r="D1465" s="18"/>
      <c r="E1465" s="5"/>
      <c r="F1465" s="14"/>
      <c r="G1465" s="5"/>
      <c r="H1465" s="27"/>
      <c r="I1465" s="5"/>
      <c r="J1465" s="19" t="str">
        <f aca="false">IF(A1465="","",IFERROR(INDEX(Empresas!$D:$D,MATCH(A1465,Empresas!$A:$A,0))&amp;"","não consta"))</f>
        <v/>
      </c>
      <c r="K1465" s="19" t="str">
        <f aca="false">IF(A1465="","",IFERROR(INDEX(Sancoes!$B:$B,MATCH(A1465,Sancoes!$A:$A,0))&amp;"","não consta"))</f>
        <v/>
      </c>
      <c r="L1465" s="19" t="str">
        <f aca="false">IF(A1465="","",IFERROR(INDEX(Eleitoral!$B:$B,MATCH(A1465,Eleitoral!$A:$A,0))&amp;"","não consta"))</f>
        <v/>
      </c>
      <c r="M1465" s="28" t="str">
        <f aca="false">IF(A1465="","",IF(OR(AND(K1465&lt;&gt;"",LOWER(K1465)&lt;&gt;"não consta"),AND(L1465&lt;&gt;"",LOWER(L1465)&lt;&gt;"não consta"),IFERROR(INDEX(Empresas!$G:$G,MATCH(A1465,Empresas!$A:$A,0))&amp;"","")&lt;&gt;""),"SIM",""))</f>
        <v/>
      </c>
      <c r="N1465" s="5"/>
      <c r="O1465" s="32" t="str">
        <f aca="false">IF(D1465="","",YEAR(D1465))</f>
        <v/>
      </c>
      <c r="P1465" s="5"/>
    </row>
    <row r="1466" customFormat="false" ht="15" hidden="false" customHeight="false" outlineLevel="0" collapsed="false">
      <c r="A1466" s="27"/>
      <c r="B1466" s="5"/>
      <c r="C1466" s="35"/>
      <c r="D1466" s="18"/>
      <c r="E1466" s="5"/>
      <c r="F1466" s="14"/>
      <c r="G1466" s="5"/>
      <c r="H1466" s="27"/>
      <c r="I1466" s="5"/>
      <c r="J1466" s="19" t="str">
        <f aca="false">IF(A1466="","",IFERROR(INDEX(Empresas!$D:$D,MATCH(A1466,Empresas!$A:$A,0))&amp;"","não consta"))</f>
        <v/>
      </c>
      <c r="K1466" s="19" t="str">
        <f aca="false">IF(A1466="","",IFERROR(INDEX(Sancoes!$B:$B,MATCH(A1466,Sancoes!$A:$A,0))&amp;"","não consta"))</f>
        <v/>
      </c>
      <c r="L1466" s="19" t="str">
        <f aca="false">IF(A1466="","",IFERROR(INDEX(Eleitoral!$B:$B,MATCH(A1466,Eleitoral!$A:$A,0))&amp;"","não consta"))</f>
        <v/>
      </c>
      <c r="M1466" s="28" t="str">
        <f aca="false">IF(A1466="","",IF(OR(AND(K1466&lt;&gt;"",LOWER(K1466)&lt;&gt;"não consta"),AND(L1466&lt;&gt;"",LOWER(L1466)&lt;&gt;"não consta"),IFERROR(INDEX(Empresas!$G:$G,MATCH(A1466,Empresas!$A:$A,0))&amp;"","")&lt;&gt;""),"SIM",""))</f>
        <v/>
      </c>
      <c r="N1466" s="5"/>
      <c r="O1466" s="32" t="str">
        <f aca="false">IF(D1466="","",YEAR(D1466))</f>
        <v/>
      </c>
      <c r="P1466" s="5"/>
    </row>
    <row r="1467" customFormat="false" ht="15" hidden="false" customHeight="false" outlineLevel="0" collapsed="false">
      <c r="A1467" s="27"/>
      <c r="B1467" s="5"/>
      <c r="C1467" s="35"/>
      <c r="D1467" s="18"/>
      <c r="E1467" s="5"/>
      <c r="F1467" s="14"/>
      <c r="G1467" s="5"/>
      <c r="H1467" s="27"/>
      <c r="I1467" s="5"/>
      <c r="J1467" s="19" t="str">
        <f aca="false">IF(A1467="","",IFERROR(INDEX(Empresas!$D:$D,MATCH(A1467,Empresas!$A:$A,0))&amp;"","não consta"))</f>
        <v/>
      </c>
      <c r="K1467" s="19" t="str">
        <f aca="false">IF(A1467="","",IFERROR(INDEX(Sancoes!$B:$B,MATCH(A1467,Sancoes!$A:$A,0))&amp;"","não consta"))</f>
        <v/>
      </c>
      <c r="L1467" s="19" t="str">
        <f aca="false">IF(A1467="","",IFERROR(INDEX(Eleitoral!$B:$B,MATCH(A1467,Eleitoral!$A:$A,0))&amp;"","não consta"))</f>
        <v/>
      </c>
      <c r="M1467" s="28" t="str">
        <f aca="false">IF(A1467="","",IF(OR(AND(K1467&lt;&gt;"",LOWER(K1467)&lt;&gt;"não consta"),AND(L1467&lt;&gt;"",LOWER(L1467)&lt;&gt;"não consta"),IFERROR(INDEX(Empresas!$G:$G,MATCH(A1467,Empresas!$A:$A,0))&amp;"","")&lt;&gt;""),"SIM",""))</f>
        <v/>
      </c>
      <c r="N1467" s="5"/>
      <c r="O1467" s="32" t="str">
        <f aca="false">IF(D1467="","",YEAR(D1467))</f>
        <v/>
      </c>
      <c r="P1467" s="5"/>
    </row>
    <row r="1468" customFormat="false" ht="15" hidden="false" customHeight="false" outlineLevel="0" collapsed="false">
      <c r="A1468" s="27"/>
      <c r="B1468" s="5"/>
      <c r="C1468" s="35"/>
      <c r="D1468" s="18"/>
      <c r="E1468" s="5"/>
      <c r="F1468" s="14"/>
      <c r="G1468" s="5"/>
      <c r="H1468" s="27"/>
      <c r="I1468" s="5"/>
      <c r="J1468" s="19" t="str">
        <f aca="false">IF(A1468="","",IFERROR(INDEX(Empresas!$D:$D,MATCH(A1468,Empresas!$A:$A,0))&amp;"","não consta"))</f>
        <v/>
      </c>
      <c r="K1468" s="19" t="str">
        <f aca="false">IF(A1468="","",IFERROR(INDEX(Sancoes!$B:$B,MATCH(A1468,Sancoes!$A:$A,0))&amp;"","não consta"))</f>
        <v/>
      </c>
      <c r="L1468" s="19" t="str">
        <f aca="false">IF(A1468="","",IFERROR(INDEX(Eleitoral!$B:$B,MATCH(A1468,Eleitoral!$A:$A,0))&amp;"","não consta"))</f>
        <v/>
      </c>
      <c r="M1468" s="28" t="str">
        <f aca="false">IF(A1468="","",IF(OR(AND(K1468&lt;&gt;"",LOWER(K1468)&lt;&gt;"não consta"),AND(L1468&lt;&gt;"",LOWER(L1468)&lt;&gt;"não consta"),IFERROR(INDEX(Empresas!$G:$G,MATCH(A1468,Empresas!$A:$A,0))&amp;"","")&lt;&gt;""),"SIM",""))</f>
        <v/>
      </c>
      <c r="N1468" s="5"/>
      <c r="O1468" s="32" t="str">
        <f aca="false">IF(D1468="","",YEAR(D1468))</f>
        <v/>
      </c>
      <c r="P1468" s="5"/>
    </row>
    <row r="1469" customFormat="false" ht="15" hidden="false" customHeight="false" outlineLevel="0" collapsed="false">
      <c r="A1469" s="27"/>
      <c r="B1469" s="5"/>
      <c r="C1469" s="35"/>
      <c r="D1469" s="18"/>
      <c r="E1469" s="5"/>
      <c r="F1469" s="14"/>
      <c r="G1469" s="5"/>
      <c r="H1469" s="27"/>
      <c r="I1469" s="5"/>
      <c r="J1469" s="19" t="str">
        <f aca="false">IF(A1469="","",IFERROR(INDEX(Empresas!$D:$D,MATCH(A1469,Empresas!$A:$A,0))&amp;"","não consta"))</f>
        <v/>
      </c>
      <c r="K1469" s="19" t="str">
        <f aca="false">IF(A1469="","",IFERROR(INDEX(Sancoes!$B:$B,MATCH(A1469,Sancoes!$A:$A,0))&amp;"","não consta"))</f>
        <v/>
      </c>
      <c r="L1469" s="19" t="str">
        <f aca="false">IF(A1469="","",IFERROR(INDEX(Eleitoral!$B:$B,MATCH(A1469,Eleitoral!$A:$A,0))&amp;"","não consta"))</f>
        <v/>
      </c>
      <c r="M1469" s="28" t="str">
        <f aca="false">IF(A1469="","",IF(OR(AND(K1469&lt;&gt;"",LOWER(K1469)&lt;&gt;"não consta"),AND(L1469&lt;&gt;"",LOWER(L1469)&lt;&gt;"não consta"),IFERROR(INDEX(Empresas!$G:$G,MATCH(A1469,Empresas!$A:$A,0))&amp;"","")&lt;&gt;""),"SIM",""))</f>
        <v/>
      </c>
      <c r="N1469" s="5"/>
      <c r="O1469" s="32" t="str">
        <f aca="false">IF(D1469="","",YEAR(D1469))</f>
        <v/>
      </c>
      <c r="P1469" s="5"/>
    </row>
    <row r="1470" customFormat="false" ht="15" hidden="false" customHeight="false" outlineLevel="0" collapsed="false">
      <c r="A1470" s="27"/>
      <c r="B1470" s="5"/>
      <c r="C1470" s="35"/>
      <c r="D1470" s="18"/>
      <c r="E1470" s="5"/>
      <c r="F1470" s="14"/>
      <c r="G1470" s="5"/>
      <c r="H1470" s="27"/>
      <c r="I1470" s="5"/>
      <c r="J1470" s="19" t="str">
        <f aca="false">IF(A1470="","",IFERROR(INDEX(Empresas!$D:$D,MATCH(A1470,Empresas!$A:$A,0))&amp;"","não consta"))</f>
        <v/>
      </c>
      <c r="K1470" s="19" t="str">
        <f aca="false">IF(A1470="","",IFERROR(INDEX(Sancoes!$B:$B,MATCH(A1470,Sancoes!$A:$A,0))&amp;"","não consta"))</f>
        <v/>
      </c>
      <c r="L1470" s="19" t="str">
        <f aca="false">IF(A1470="","",IFERROR(INDEX(Eleitoral!$B:$B,MATCH(A1470,Eleitoral!$A:$A,0))&amp;"","não consta"))</f>
        <v/>
      </c>
      <c r="M1470" s="28" t="str">
        <f aca="false">IF(A1470="","",IF(OR(AND(K1470&lt;&gt;"",LOWER(K1470)&lt;&gt;"não consta"),AND(L1470&lt;&gt;"",LOWER(L1470)&lt;&gt;"não consta"),IFERROR(INDEX(Empresas!$G:$G,MATCH(A1470,Empresas!$A:$A,0))&amp;"","")&lt;&gt;""),"SIM",""))</f>
        <v/>
      </c>
      <c r="N1470" s="5"/>
      <c r="O1470" s="32" t="str">
        <f aca="false">IF(D1470="","",YEAR(D1470))</f>
        <v/>
      </c>
      <c r="P1470" s="5"/>
    </row>
    <row r="1471" customFormat="false" ht="15" hidden="false" customHeight="false" outlineLevel="0" collapsed="false">
      <c r="A1471" s="27"/>
      <c r="B1471" s="5"/>
      <c r="C1471" s="35"/>
      <c r="D1471" s="18"/>
      <c r="E1471" s="5"/>
      <c r="F1471" s="14"/>
      <c r="G1471" s="5"/>
      <c r="H1471" s="27"/>
      <c r="I1471" s="5"/>
      <c r="J1471" s="19" t="str">
        <f aca="false">IF(A1471="","",IFERROR(INDEX(Empresas!$D:$D,MATCH(A1471,Empresas!$A:$A,0))&amp;"","não consta"))</f>
        <v/>
      </c>
      <c r="K1471" s="19" t="str">
        <f aca="false">IF(A1471="","",IFERROR(INDEX(Sancoes!$B:$B,MATCH(A1471,Sancoes!$A:$A,0))&amp;"","não consta"))</f>
        <v/>
      </c>
      <c r="L1471" s="19" t="str">
        <f aca="false">IF(A1471="","",IFERROR(INDEX(Eleitoral!$B:$B,MATCH(A1471,Eleitoral!$A:$A,0))&amp;"","não consta"))</f>
        <v/>
      </c>
      <c r="M1471" s="28" t="str">
        <f aca="false">IF(A1471="","",IF(OR(AND(K1471&lt;&gt;"",LOWER(K1471)&lt;&gt;"não consta"),AND(L1471&lt;&gt;"",LOWER(L1471)&lt;&gt;"não consta"),IFERROR(INDEX(Empresas!$G:$G,MATCH(A1471,Empresas!$A:$A,0))&amp;"","")&lt;&gt;""),"SIM",""))</f>
        <v/>
      </c>
      <c r="N1471" s="5"/>
      <c r="O1471" s="32" t="str">
        <f aca="false">IF(D1471="","",YEAR(D1471))</f>
        <v/>
      </c>
      <c r="P1471" s="5"/>
    </row>
    <row r="1472" customFormat="false" ht="15" hidden="false" customHeight="false" outlineLevel="0" collapsed="false">
      <c r="A1472" s="27"/>
      <c r="B1472" s="5"/>
      <c r="C1472" s="35"/>
      <c r="D1472" s="18"/>
      <c r="E1472" s="5"/>
      <c r="F1472" s="14"/>
      <c r="G1472" s="5"/>
      <c r="H1472" s="27"/>
      <c r="I1472" s="5"/>
      <c r="J1472" s="19" t="str">
        <f aca="false">IF(A1472="","",IFERROR(INDEX(Empresas!$D:$D,MATCH(A1472,Empresas!$A:$A,0))&amp;"","não consta"))</f>
        <v/>
      </c>
      <c r="K1472" s="19" t="str">
        <f aca="false">IF(A1472="","",IFERROR(INDEX(Sancoes!$B:$B,MATCH(A1472,Sancoes!$A:$A,0))&amp;"","não consta"))</f>
        <v/>
      </c>
      <c r="L1472" s="19" t="str">
        <f aca="false">IF(A1472="","",IFERROR(INDEX(Eleitoral!$B:$B,MATCH(A1472,Eleitoral!$A:$A,0))&amp;"","não consta"))</f>
        <v/>
      </c>
      <c r="M1472" s="28" t="str">
        <f aca="false">IF(A1472="","",IF(OR(AND(K1472&lt;&gt;"",LOWER(K1472)&lt;&gt;"não consta"),AND(L1472&lt;&gt;"",LOWER(L1472)&lt;&gt;"não consta"),IFERROR(INDEX(Empresas!$G:$G,MATCH(A1472,Empresas!$A:$A,0))&amp;"","")&lt;&gt;""),"SIM",""))</f>
        <v/>
      </c>
      <c r="N1472" s="5"/>
      <c r="O1472" s="32" t="str">
        <f aca="false">IF(D1472="","",YEAR(D1472))</f>
        <v/>
      </c>
      <c r="P1472" s="5"/>
    </row>
    <row r="1473" customFormat="false" ht="15" hidden="false" customHeight="false" outlineLevel="0" collapsed="false">
      <c r="A1473" s="27"/>
      <c r="B1473" s="5"/>
      <c r="C1473" s="35"/>
      <c r="D1473" s="18"/>
      <c r="E1473" s="5"/>
      <c r="F1473" s="14"/>
      <c r="G1473" s="5"/>
      <c r="H1473" s="27"/>
      <c r="I1473" s="5"/>
      <c r="J1473" s="19" t="str">
        <f aca="false">IF(A1473="","",IFERROR(INDEX(Empresas!$D:$D,MATCH(A1473,Empresas!$A:$A,0))&amp;"","não consta"))</f>
        <v/>
      </c>
      <c r="K1473" s="19" t="str">
        <f aca="false">IF(A1473="","",IFERROR(INDEX(Sancoes!$B:$B,MATCH(A1473,Sancoes!$A:$A,0))&amp;"","não consta"))</f>
        <v/>
      </c>
      <c r="L1473" s="19" t="str">
        <f aca="false">IF(A1473="","",IFERROR(INDEX(Eleitoral!$B:$B,MATCH(A1473,Eleitoral!$A:$A,0))&amp;"","não consta"))</f>
        <v/>
      </c>
      <c r="M1473" s="28" t="str">
        <f aca="false">IF(A1473="","",IF(OR(AND(K1473&lt;&gt;"",LOWER(K1473)&lt;&gt;"não consta"),AND(L1473&lt;&gt;"",LOWER(L1473)&lt;&gt;"não consta"),IFERROR(INDEX(Empresas!$G:$G,MATCH(A1473,Empresas!$A:$A,0))&amp;"","")&lt;&gt;""),"SIM",""))</f>
        <v/>
      </c>
      <c r="N1473" s="5"/>
      <c r="O1473" s="32" t="str">
        <f aca="false">IF(D1473="","",YEAR(D1473))</f>
        <v/>
      </c>
      <c r="P1473" s="5"/>
    </row>
    <row r="1474" customFormat="false" ht="15" hidden="false" customHeight="false" outlineLevel="0" collapsed="false">
      <c r="A1474" s="27"/>
      <c r="B1474" s="5"/>
      <c r="C1474" s="35"/>
      <c r="D1474" s="18"/>
      <c r="E1474" s="5"/>
      <c r="F1474" s="14"/>
      <c r="G1474" s="5"/>
      <c r="H1474" s="27"/>
      <c r="I1474" s="5"/>
      <c r="J1474" s="19" t="str">
        <f aca="false">IF(A1474="","",IFERROR(INDEX(Empresas!$D:$D,MATCH(A1474,Empresas!$A:$A,0))&amp;"","não consta"))</f>
        <v/>
      </c>
      <c r="K1474" s="19" t="str">
        <f aca="false">IF(A1474="","",IFERROR(INDEX(Sancoes!$B:$B,MATCH(A1474,Sancoes!$A:$A,0))&amp;"","não consta"))</f>
        <v/>
      </c>
      <c r="L1474" s="19" t="str">
        <f aca="false">IF(A1474="","",IFERROR(INDEX(Eleitoral!$B:$B,MATCH(A1474,Eleitoral!$A:$A,0))&amp;"","não consta"))</f>
        <v/>
      </c>
      <c r="M1474" s="28" t="str">
        <f aca="false">IF(A1474="","",IF(OR(AND(K1474&lt;&gt;"",LOWER(K1474)&lt;&gt;"não consta"),AND(L1474&lt;&gt;"",LOWER(L1474)&lt;&gt;"não consta"),IFERROR(INDEX(Empresas!$G:$G,MATCH(A1474,Empresas!$A:$A,0))&amp;"","")&lt;&gt;""),"SIM",""))</f>
        <v/>
      </c>
      <c r="N1474" s="5"/>
      <c r="O1474" s="32" t="str">
        <f aca="false">IF(D1474="","",YEAR(D1474))</f>
        <v/>
      </c>
      <c r="P1474" s="5"/>
    </row>
    <row r="1475" customFormat="false" ht="15" hidden="false" customHeight="false" outlineLevel="0" collapsed="false">
      <c r="A1475" s="27"/>
      <c r="B1475" s="5"/>
      <c r="C1475" s="35"/>
      <c r="D1475" s="18"/>
      <c r="E1475" s="5"/>
      <c r="F1475" s="14"/>
      <c r="G1475" s="5"/>
      <c r="H1475" s="27"/>
      <c r="I1475" s="5"/>
      <c r="J1475" s="19" t="str">
        <f aca="false">IF(A1475="","",IFERROR(INDEX(Empresas!$D:$D,MATCH(A1475,Empresas!$A:$A,0))&amp;"","não consta"))</f>
        <v/>
      </c>
      <c r="K1475" s="19" t="str">
        <f aca="false">IF(A1475="","",IFERROR(INDEX(Sancoes!$B:$B,MATCH(A1475,Sancoes!$A:$A,0))&amp;"","não consta"))</f>
        <v/>
      </c>
      <c r="L1475" s="19" t="str">
        <f aca="false">IF(A1475="","",IFERROR(INDEX(Eleitoral!$B:$B,MATCH(A1475,Eleitoral!$A:$A,0))&amp;"","não consta"))</f>
        <v/>
      </c>
      <c r="M1475" s="28" t="str">
        <f aca="false">IF(A1475="","",IF(OR(AND(K1475&lt;&gt;"",LOWER(K1475)&lt;&gt;"não consta"),AND(L1475&lt;&gt;"",LOWER(L1475)&lt;&gt;"não consta"),IFERROR(INDEX(Empresas!$G:$G,MATCH(A1475,Empresas!$A:$A,0))&amp;"","")&lt;&gt;""),"SIM",""))</f>
        <v/>
      </c>
      <c r="N1475" s="5"/>
      <c r="O1475" s="32" t="str">
        <f aca="false">IF(D1475="","",YEAR(D1475))</f>
        <v/>
      </c>
      <c r="P1475" s="5"/>
    </row>
    <row r="1476" customFormat="false" ht="15" hidden="false" customHeight="false" outlineLevel="0" collapsed="false">
      <c r="A1476" s="27"/>
      <c r="B1476" s="5"/>
      <c r="C1476" s="35"/>
      <c r="D1476" s="18"/>
      <c r="E1476" s="5"/>
      <c r="F1476" s="14"/>
      <c r="G1476" s="5"/>
      <c r="H1476" s="27"/>
      <c r="I1476" s="5"/>
      <c r="J1476" s="19" t="str">
        <f aca="false">IF(A1476="","",IFERROR(INDEX(Empresas!$D:$D,MATCH(A1476,Empresas!$A:$A,0))&amp;"","não consta"))</f>
        <v/>
      </c>
      <c r="K1476" s="19" t="str">
        <f aca="false">IF(A1476="","",IFERROR(INDEX(Sancoes!$B:$B,MATCH(A1476,Sancoes!$A:$A,0))&amp;"","não consta"))</f>
        <v/>
      </c>
      <c r="L1476" s="19" t="str">
        <f aca="false">IF(A1476="","",IFERROR(INDEX(Eleitoral!$B:$B,MATCH(A1476,Eleitoral!$A:$A,0))&amp;"","não consta"))</f>
        <v/>
      </c>
      <c r="M1476" s="28" t="str">
        <f aca="false">IF(A1476="","",IF(OR(AND(K1476&lt;&gt;"",LOWER(K1476)&lt;&gt;"não consta"),AND(L1476&lt;&gt;"",LOWER(L1476)&lt;&gt;"não consta"),IFERROR(INDEX(Empresas!$G:$G,MATCH(A1476,Empresas!$A:$A,0))&amp;"","")&lt;&gt;""),"SIM",""))</f>
        <v/>
      </c>
      <c r="N1476" s="5"/>
      <c r="O1476" s="32" t="str">
        <f aca="false">IF(D1476="","",YEAR(D1476))</f>
        <v/>
      </c>
      <c r="P1476" s="5"/>
    </row>
    <row r="1477" customFormat="false" ht="15" hidden="false" customHeight="false" outlineLevel="0" collapsed="false">
      <c r="A1477" s="27"/>
      <c r="B1477" s="5"/>
      <c r="C1477" s="35"/>
      <c r="D1477" s="18"/>
      <c r="E1477" s="5"/>
      <c r="F1477" s="14"/>
      <c r="G1477" s="5"/>
      <c r="H1477" s="27"/>
      <c r="I1477" s="5"/>
      <c r="J1477" s="19" t="str">
        <f aca="false">IF(A1477="","",IFERROR(INDEX(Empresas!$D:$D,MATCH(A1477,Empresas!$A:$A,0))&amp;"","não consta"))</f>
        <v/>
      </c>
      <c r="K1477" s="19" t="str">
        <f aca="false">IF(A1477="","",IFERROR(INDEX(Sancoes!$B:$B,MATCH(A1477,Sancoes!$A:$A,0))&amp;"","não consta"))</f>
        <v/>
      </c>
      <c r="L1477" s="19" t="str">
        <f aca="false">IF(A1477="","",IFERROR(INDEX(Eleitoral!$B:$B,MATCH(A1477,Eleitoral!$A:$A,0))&amp;"","não consta"))</f>
        <v/>
      </c>
      <c r="M1477" s="28" t="str">
        <f aca="false">IF(A1477="","",IF(OR(AND(K1477&lt;&gt;"",LOWER(K1477)&lt;&gt;"não consta"),AND(L1477&lt;&gt;"",LOWER(L1477)&lt;&gt;"não consta"),IFERROR(INDEX(Empresas!$G:$G,MATCH(A1477,Empresas!$A:$A,0))&amp;"","")&lt;&gt;""),"SIM",""))</f>
        <v/>
      </c>
      <c r="N1477" s="5"/>
      <c r="O1477" s="32" t="str">
        <f aca="false">IF(D1477="","",YEAR(D1477))</f>
        <v/>
      </c>
      <c r="P1477" s="5"/>
    </row>
    <row r="1478" customFormat="false" ht="15" hidden="false" customHeight="false" outlineLevel="0" collapsed="false">
      <c r="A1478" s="27"/>
      <c r="B1478" s="5"/>
      <c r="C1478" s="35"/>
      <c r="D1478" s="18"/>
      <c r="E1478" s="5"/>
      <c r="F1478" s="14"/>
      <c r="G1478" s="5"/>
      <c r="H1478" s="27"/>
      <c r="I1478" s="5"/>
      <c r="J1478" s="19" t="str">
        <f aca="false">IF(A1478="","",IFERROR(INDEX(Empresas!$D:$D,MATCH(A1478,Empresas!$A:$A,0))&amp;"","não consta"))</f>
        <v/>
      </c>
      <c r="K1478" s="19" t="str">
        <f aca="false">IF(A1478="","",IFERROR(INDEX(Sancoes!$B:$B,MATCH(A1478,Sancoes!$A:$A,0))&amp;"","não consta"))</f>
        <v/>
      </c>
      <c r="L1478" s="19" t="str">
        <f aca="false">IF(A1478="","",IFERROR(INDEX(Eleitoral!$B:$B,MATCH(A1478,Eleitoral!$A:$A,0))&amp;"","não consta"))</f>
        <v/>
      </c>
      <c r="M1478" s="28" t="str">
        <f aca="false">IF(A1478="","",IF(OR(AND(K1478&lt;&gt;"",LOWER(K1478)&lt;&gt;"não consta"),AND(L1478&lt;&gt;"",LOWER(L1478)&lt;&gt;"não consta"),IFERROR(INDEX(Empresas!$G:$G,MATCH(A1478,Empresas!$A:$A,0))&amp;"","")&lt;&gt;""),"SIM",""))</f>
        <v/>
      </c>
      <c r="N1478" s="5"/>
      <c r="O1478" s="32" t="str">
        <f aca="false">IF(D1478="","",YEAR(D1478))</f>
        <v/>
      </c>
      <c r="P1478" s="5"/>
    </row>
    <row r="1479" customFormat="false" ht="15" hidden="false" customHeight="false" outlineLevel="0" collapsed="false">
      <c r="A1479" s="27"/>
      <c r="B1479" s="5"/>
      <c r="C1479" s="35"/>
      <c r="D1479" s="18"/>
      <c r="E1479" s="5"/>
      <c r="F1479" s="14"/>
      <c r="G1479" s="5"/>
      <c r="H1479" s="27"/>
      <c r="I1479" s="5"/>
      <c r="J1479" s="19" t="str">
        <f aca="false">IF(A1479="","",IFERROR(INDEX(Empresas!$D:$D,MATCH(A1479,Empresas!$A:$A,0))&amp;"","não consta"))</f>
        <v/>
      </c>
      <c r="K1479" s="19" t="str">
        <f aca="false">IF(A1479="","",IFERROR(INDEX(Sancoes!$B:$B,MATCH(A1479,Sancoes!$A:$A,0))&amp;"","não consta"))</f>
        <v/>
      </c>
      <c r="L1479" s="19" t="str">
        <f aca="false">IF(A1479="","",IFERROR(INDEX(Eleitoral!$B:$B,MATCH(A1479,Eleitoral!$A:$A,0))&amp;"","não consta"))</f>
        <v/>
      </c>
      <c r="M1479" s="28" t="str">
        <f aca="false">IF(A1479="","",IF(OR(AND(K1479&lt;&gt;"",LOWER(K1479)&lt;&gt;"não consta"),AND(L1479&lt;&gt;"",LOWER(L1479)&lt;&gt;"não consta"),IFERROR(INDEX(Empresas!$G:$G,MATCH(A1479,Empresas!$A:$A,0))&amp;"","")&lt;&gt;""),"SIM",""))</f>
        <v/>
      </c>
      <c r="N1479" s="5"/>
      <c r="O1479" s="32" t="str">
        <f aca="false">IF(D1479="","",YEAR(D1479))</f>
        <v/>
      </c>
      <c r="P1479" s="5"/>
    </row>
    <row r="1480" customFormat="false" ht="15" hidden="false" customHeight="false" outlineLevel="0" collapsed="false">
      <c r="A1480" s="27"/>
      <c r="B1480" s="5"/>
      <c r="C1480" s="35"/>
      <c r="D1480" s="18"/>
      <c r="E1480" s="5"/>
      <c r="F1480" s="14"/>
      <c r="G1480" s="5"/>
      <c r="H1480" s="27"/>
      <c r="I1480" s="5"/>
      <c r="J1480" s="19" t="str">
        <f aca="false">IF(A1480="","",IFERROR(INDEX(Empresas!$D:$D,MATCH(A1480,Empresas!$A:$A,0))&amp;"","não consta"))</f>
        <v/>
      </c>
      <c r="K1480" s="19" t="str">
        <f aca="false">IF(A1480="","",IFERROR(INDEX(Sancoes!$B:$B,MATCH(A1480,Sancoes!$A:$A,0))&amp;"","não consta"))</f>
        <v/>
      </c>
      <c r="L1480" s="19" t="str">
        <f aca="false">IF(A1480="","",IFERROR(INDEX(Eleitoral!$B:$B,MATCH(A1480,Eleitoral!$A:$A,0))&amp;"","não consta"))</f>
        <v/>
      </c>
      <c r="M1480" s="28" t="str">
        <f aca="false">IF(A1480="","",IF(OR(AND(K1480&lt;&gt;"",LOWER(K1480)&lt;&gt;"não consta"),AND(L1480&lt;&gt;"",LOWER(L1480)&lt;&gt;"não consta"),IFERROR(INDEX(Empresas!$G:$G,MATCH(A1480,Empresas!$A:$A,0))&amp;"","")&lt;&gt;""),"SIM",""))</f>
        <v/>
      </c>
      <c r="N1480" s="5"/>
      <c r="O1480" s="32" t="str">
        <f aca="false">IF(D1480="","",YEAR(D1480))</f>
        <v/>
      </c>
      <c r="P1480" s="5"/>
    </row>
    <row r="1481" customFormat="false" ht="15" hidden="false" customHeight="false" outlineLevel="0" collapsed="false">
      <c r="A1481" s="27"/>
      <c r="B1481" s="5"/>
      <c r="C1481" s="35"/>
      <c r="D1481" s="18"/>
      <c r="E1481" s="5"/>
      <c r="F1481" s="14"/>
      <c r="G1481" s="5"/>
      <c r="H1481" s="27"/>
      <c r="I1481" s="5"/>
      <c r="J1481" s="19" t="str">
        <f aca="false">IF(A1481="","",IFERROR(INDEX(Empresas!$D:$D,MATCH(A1481,Empresas!$A:$A,0))&amp;"","não consta"))</f>
        <v/>
      </c>
      <c r="K1481" s="19" t="str">
        <f aca="false">IF(A1481="","",IFERROR(INDEX(Sancoes!$B:$B,MATCH(A1481,Sancoes!$A:$A,0))&amp;"","não consta"))</f>
        <v/>
      </c>
      <c r="L1481" s="19" t="str">
        <f aca="false">IF(A1481="","",IFERROR(INDEX(Eleitoral!$B:$B,MATCH(A1481,Eleitoral!$A:$A,0))&amp;"","não consta"))</f>
        <v/>
      </c>
      <c r="M1481" s="28" t="str">
        <f aca="false">IF(A1481="","",IF(OR(AND(K1481&lt;&gt;"",LOWER(K1481)&lt;&gt;"não consta"),AND(L1481&lt;&gt;"",LOWER(L1481)&lt;&gt;"não consta"),IFERROR(INDEX(Empresas!$G:$G,MATCH(A1481,Empresas!$A:$A,0))&amp;"","")&lt;&gt;""),"SIM",""))</f>
        <v/>
      </c>
      <c r="N1481" s="5"/>
      <c r="O1481" s="32" t="str">
        <f aca="false">IF(D1481="","",YEAR(D1481))</f>
        <v/>
      </c>
      <c r="P1481" s="5"/>
    </row>
    <row r="1482" customFormat="false" ht="15" hidden="false" customHeight="false" outlineLevel="0" collapsed="false">
      <c r="A1482" s="27"/>
      <c r="B1482" s="5"/>
      <c r="C1482" s="35"/>
      <c r="D1482" s="18"/>
      <c r="E1482" s="5"/>
      <c r="F1482" s="14"/>
      <c r="G1482" s="5"/>
      <c r="H1482" s="27"/>
      <c r="I1482" s="5"/>
      <c r="J1482" s="19" t="str">
        <f aca="false">IF(A1482="","",IFERROR(INDEX(Empresas!$D:$D,MATCH(A1482,Empresas!$A:$A,0))&amp;"","não consta"))</f>
        <v/>
      </c>
      <c r="K1482" s="19" t="str">
        <f aca="false">IF(A1482="","",IFERROR(INDEX(Sancoes!$B:$B,MATCH(A1482,Sancoes!$A:$A,0))&amp;"","não consta"))</f>
        <v/>
      </c>
      <c r="L1482" s="19" t="str">
        <f aca="false">IF(A1482="","",IFERROR(INDEX(Eleitoral!$B:$B,MATCH(A1482,Eleitoral!$A:$A,0))&amp;"","não consta"))</f>
        <v/>
      </c>
      <c r="M1482" s="28" t="str">
        <f aca="false">IF(A1482="","",IF(OR(AND(K1482&lt;&gt;"",LOWER(K1482)&lt;&gt;"não consta"),AND(L1482&lt;&gt;"",LOWER(L1482)&lt;&gt;"não consta"),IFERROR(INDEX(Empresas!$G:$G,MATCH(A1482,Empresas!$A:$A,0))&amp;"","")&lt;&gt;""),"SIM",""))</f>
        <v/>
      </c>
      <c r="N1482" s="5"/>
      <c r="O1482" s="32" t="str">
        <f aca="false">IF(D1482="","",YEAR(D1482))</f>
        <v/>
      </c>
      <c r="P1482" s="5"/>
    </row>
    <row r="1483" customFormat="false" ht="15" hidden="false" customHeight="false" outlineLevel="0" collapsed="false">
      <c r="A1483" s="27"/>
      <c r="B1483" s="5"/>
      <c r="C1483" s="35"/>
      <c r="D1483" s="18"/>
      <c r="E1483" s="5"/>
      <c r="F1483" s="14"/>
      <c r="G1483" s="5"/>
      <c r="H1483" s="27"/>
      <c r="I1483" s="5"/>
      <c r="J1483" s="19" t="str">
        <f aca="false">IF(A1483="","",IFERROR(INDEX(Empresas!$D:$D,MATCH(A1483,Empresas!$A:$A,0))&amp;"","não consta"))</f>
        <v/>
      </c>
      <c r="K1483" s="19" t="str">
        <f aca="false">IF(A1483="","",IFERROR(INDEX(Sancoes!$B:$B,MATCH(A1483,Sancoes!$A:$A,0))&amp;"","não consta"))</f>
        <v/>
      </c>
      <c r="L1483" s="19" t="str">
        <f aca="false">IF(A1483="","",IFERROR(INDEX(Eleitoral!$B:$B,MATCH(A1483,Eleitoral!$A:$A,0))&amp;"","não consta"))</f>
        <v/>
      </c>
      <c r="M1483" s="28" t="str">
        <f aca="false">IF(A1483="","",IF(OR(AND(K1483&lt;&gt;"",LOWER(K1483)&lt;&gt;"não consta"),AND(L1483&lt;&gt;"",LOWER(L1483)&lt;&gt;"não consta"),IFERROR(INDEX(Empresas!$G:$G,MATCH(A1483,Empresas!$A:$A,0))&amp;"","")&lt;&gt;""),"SIM",""))</f>
        <v/>
      </c>
      <c r="N1483" s="5"/>
      <c r="O1483" s="32" t="str">
        <f aca="false">IF(D1483="","",YEAR(D1483))</f>
        <v/>
      </c>
      <c r="P1483" s="5"/>
    </row>
    <row r="1484" customFormat="false" ht="15" hidden="false" customHeight="false" outlineLevel="0" collapsed="false">
      <c r="A1484" s="27"/>
      <c r="B1484" s="5"/>
      <c r="C1484" s="35"/>
      <c r="D1484" s="18"/>
      <c r="E1484" s="5"/>
      <c r="F1484" s="14"/>
      <c r="G1484" s="5"/>
      <c r="H1484" s="27"/>
      <c r="I1484" s="5"/>
      <c r="J1484" s="19" t="str">
        <f aca="false">IF(A1484="","",IFERROR(INDEX(Empresas!$D:$D,MATCH(A1484,Empresas!$A:$A,0))&amp;"","não consta"))</f>
        <v/>
      </c>
      <c r="K1484" s="19" t="str">
        <f aca="false">IF(A1484="","",IFERROR(INDEX(Sancoes!$B:$B,MATCH(A1484,Sancoes!$A:$A,0))&amp;"","não consta"))</f>
        <v/>
      </c>
      <c r="L1484" s="19" t="str">
        <f aca="false">IF(A1484="","",IFERROR(INDEX(Eleitoral!$B:$B,MATCH(A1484,Eleitoral!$A:$A,0))&amp;"","não consta"))</f>
        <v/>
      </c>
      <c r="M1484" s="28" t="str">
        <f aca="false">IF(A1484="","",IF(OR(AND(K1484&lt;&gt;"",LOWER(K1484)&lt;&gt;"não consta"),AND(L1484&lt;&gt;"",LOWER(L1484)&lt;&gt;"não consta"),IFERROR(INDEX(Empresas!$G:$G,MATCH(A1484,Empresas!$A:$A,0))&amp;"","")&lt;&gt;""),"SIM",""))</f>
        <v/>
      </c>
      <c r="N1484" s="5"/>
      <c r="O1484" s="32" t="str">
        <f aca="false">IF(D1484="","",YEAR(D1484))</f>
        <v/>
      </c>
      <c r="P1484" s="5"/>
    </row>
    <row r="1485" customFormat="false" ht="15" hidden="false" customHeight="false" outlineLevel="0" collapsed="false">
      <c r="A1485" s="27"/>
      <c r="B1485" s="5"/>
      <c r="C1485" s="35"/>
      <c r="D1485" s="18"/>
      <c r="E1485" s="5"/>
      <c r="F1485" s="14"/>
      <c r="G1485" s="5"/>
      <c r="H1485" s="27"/>
      <c r="I1485" s="5"/>
      <c r="J1485" s="19" t="str">
        <f aca="false">IF(A1485="","",IFERROR(INDEX(Empresas!$D:$D,MATCH(A1485,Empresas!$A:$A,0))&amp;"","não consta"))</f>
        <v/>
      </c>
      <c r="K1485" s="19" t="str">
        <f aca="false">IF(A1485="","",IFERROR(INDEX(Sancoes!$B:$B,MATCH(A1485,Sancoes!$A:$A,0))&amp;"","não consta"))</f>
        <v/>
      </c>
      <c r="L1485" s="19" t="str">
        <f aca="false">IF(A1485="","",IFERROR(INDEX(Eleitoral!$B:$B,MATCH(A1485,Eleitoral!$A:$A,0))&amp;"","não consta"))</f>
        <v/>
      </c>
      <c r="M1485" s="28" t="str">
        <f aca="false">IF(A1485="","",IF(OR(AND(K1485&lt;&gt;"",LOWER(K1485)&lt;&gt;"não consta"),AND(L1485&lt;&gt;"",LOWER(L1485)&lt;&gt;"não consta"),IFERROR(INDEX(Empresas!$G:$G,MATCH(A1485,Empresas!$A:$A,0))&amp;"","")&lt;&gt;""),"SIM",""))</f>
        <v/>
      </c>
      <c r="N1485" s="5"/>
      <c r="O1485" s="32" t="str">
        <f aca="false">IF(D1485="","",YEAR(D1485))</f>
        <v/>
      </c>
      <c r="P1485" s="5"/>
    </row>
    <row r="1486" customFormat="false" ht="15" hidden="false" customHeight="false" outlineLevel="0" collapsed="false">
      <c r="A1486" s="27"/>
      <c r="B1486" s="5"/>
      <c r="C1486" s="35"/>
      <c r="D1486" s="18"/>
      <c r="E1486" s="5"/>
      <c r="F1486" s="14"/>
      <c r="G1486" s="5"/>
      <c r="H1486" s="27"/>
      <c r="I1486" s="5"/>
      <c r="J1486" s="19" t="str">
        <f aca="false">IF(A1486="","",IFERROR(INDEX(Empresas!$D:$D,MATCH(A1486,Empresas!$A:$A,0))&amp;"","não consta"))</f>
        <v/>
      </c>
      <c r="K1486" s="19" t="str">
        <f aca="false">IF(A1486="","",IFERROR(INDEX(Sancoes!$B:$B,MATCH(A1486,Sancoes!$A:$A,0))&amp;"","não consta"))</f>
        <v/>
      </c>
      <c r="L1486" s="19" t="str">
        <f aca="false">IF(A1486="","",IFERROR(INDEX(Eleitoral!$B:$B,MATCH(A1486,Eleitoral!$A:$A,0))&amp;"","não consta"))</f>
        <v/>
      </c>
      <c r="M1486" s="28" t="str">
        <f aca="false">IF(A1486="","",IF(OR(AND(K1486&lt;&gt;"",LOWER(K1486)&lt;&gt;"não consta"),AND(L1486&lt;&gt;"",LOWER(L1486)&lt;&gt;"não consta"),IFERROR(INDEX(Empresas!$G:$G,MATCH(A1486,Empresas!$A:$A,0))&amp;"","")&lt;&gt;""),"SIM",""))</f>
        <v/>
      </c>
      <c r="N1486" s="5"/>
      <c r="O1486" s="32" t="str">
        <f aca="false">IF(D1486="","",YEAR(D1486))</f>
        <v/>
      </c>
      <c r="P1486" s="5"/>
    </row>
    <row r="1487" customFormat="false" ht="15" hidden="false" customHeight="false" outlineLevel="0" collapsed="false">
      <c r="A1487" s="27"/>
      <c r="B1487" s="5"/>
      <c r="C1487" s="35"/>
      <c r="D1487" s="18"/>
      <c r="E1487" s="5"/>
      <c r="F1487" s="14"/>
      <c r="G1487" s="5"/>
      <c r="H1487" s="27"/>
      <c r="I1487" s="5"/>
      <c r="J1487" s="19" t="str">
        <f aca="false">IF(A1487="","",IFERROR(INDEX(Empresas!$D:$D,MATCH(A1487,Empresas!$A:$A,0))&amp;"","não consta"))</f>
        <v/>
      </c>
      <c r="K1487" s="19" t="str">
        <f aca="false">IF(A1487="","",IFERROR(INDEX(Sancoes!$B:$B,MATCH(A1487,Sancoes!$A:$A,0))&amp;"","não consta"))</f>
        <v/>
      </c>
      <c r="L1487" s="19" t="str">
        <f aca="false">IF(A1487="","",IFERROR(INDEX(Eleitoral!$B:$B,MATCH(A1487,Eleitoral!$A:$A,0))&amp;"","não consta"))</f>
        <v/>
      </c>
      <c r="M1487" s="28" t="str">
        <f aca="false">IF(A1487="","",IF(OR(AND(K1487&lt;&gt;"",LOWER(K1487)&lt;&gt;"não consta"),AND(L1487&lt;&gt;"",LOWER(L1487)&lt;&gt;"não consta"),IFERROR(INDEX(Empresas!$G:$G,MATCH(A1487,Empresas!$A:$A,0))&amp;"","")&lt;&gt;""),"SIM",""))</f>
        <v/>
      </c>
      <c r="N1487" s="5"/>
      <c r="O1487" s="32" t="str">
        <f aca="false">IF(D1487="","",YEAR(D1487))</f>
        <v/>
      </c>
      <c r="P1487" s="5"/>
    </row>
    <row r="1488" customFormat="false" ht="15" hidden="false" customHeight="false" outlineLevel="0" collapsed="false">
      <c r="A1488" s="27"/>
      <c r="B1488" s="5"/>
      <c r="C1488" s="35"/>
      <c r="D1488" s="18"/>
      <c r="E1488" s="5"/>
      <c r="F1488" s="14"/>
      <c r="G1488" s="5"/>
      <c r="H1488" s="27"/>
      <c r="I1488" s="5"/>
      <c r="J1488" s="19" t="str">
        <f aca="false">IF(A1488="","",IFERROR(INDEX(Empresas!$D:$D,MATCH(A1488,Empresas!$A:$A,0))&amp;"","não consta"))</f>
        <v/>
      </c>
      <c r="K1488" s="19" t="str">
        <f aca="false">IF(A1488="","",IFERROR(INDEX(Sancoes!$B:$B,MATCH(A1488,Sancoes!$A:$A,0))&amp;"","não consta"))</f>
        <v/>
      </c>
      <c r="L1488" s="19" t="str">
        <f aca="false">IF(A1488="","",IFERROR(INDEX(Eleitoral!$B:$B,MATCH(A1488,Eleitoral!$A:$A,0))&amp;"","não consta"))</f>
        <v/>
      </c>
      <c r="M1488" s="28" t="str">
        <f aca="false">IF(A1488="","",IF(OR(AND(K1488&lt;&gt;"",LOWER(K1488)&lt;&gt;"não consta"),AND(L1488&lt;&gt;"",LOWER(L1488)&lt;&gt;"não consta"),IFERROR(INDEX(Empresas!$G:$G,MATCH(A1488,Empresas!$A:$A,0))&amp;"","")&lt;&gt;""),"SIM",""))</f>
        <v/>
      </c>
      <c r="N1488" s="5"/>
      <c r="O1488" s="32" t="str">
        <f aca="false">IF(D1488="","",YEAR(D1488))</f>
        <v/>
      </c>
      <c r="P1488" s="5"/>
    </row>
    <row r="1489" customFormat="false" ht="15" hidden="false" customHeight="false" outlineLevel="0" collapsed="false">
      <c r="A1489" s="27"/>
      <c r="B1489" s="5"/>
      <c r="C1489" s="35"/>
      <c r="D1489" s="18"/>
      <c r="E1489" s="5"/>
      <c r="F1489" s="14"/>
      <c r="G1489" s="5"/>
      <c r="H1489" s="27"/>
      <c r="I1489" s="5"/>
      <c r="J1489" s="19" t="str">
        <f aca="false">IF(A1489="","",IFERROR(INDEX(Empresas!$D:$D,MATCH(A1489,Empresas!$A:$A,0))&amp;"","não consta"))</f>
        <v/>
      </c>
      <c r="K1489" s="19" t="str">
        <f aca="false">IF(A1489="","",IFERROR(INDEX(Sancoes!$B:$B,MATCH(A1489,Sancoes!$A:$A,0))&amp;"","não consta"))</f>
        <v/>
      </c>
      <c r="L1489" s="19" t="str">
        <f aca="false">IF(A1489="","",IFERROR(INDEX(Eleitoral!$B:$B,MATCH(A1489,Eleitoral!$A:$A,0))&amp;"","não consta"))</f>
        <v/>
      </c>
      <c r="M1489" s="28" t="str">
        <f aca="false">IF(A1489="","",IF(OR(AND(K1489&lt;&gt;"",LOWER(K1489)&lt;&gt;"não consta"),AND(L1489&lt;&gt;"",LOWER(L1489)&lt;&gt;"não consta"),IFERROR(INDEX(Empresas!$G:$G,MATCH(A1489,Empresas!$A:$A,0))&amp;"","")&lt;&gt;""),"SIM",""))</f>
        <v/>
      </c>
      <c r="N1489" s="5"/>
      <c r="O1489" s="32" t="str">
        <f aca="false">IF(D1489="","",YEAR(D1489))</f>
        <v/>
      </c>
      <c r="P1489" s="5"/>
    </row>
    <row r="1490" customFormat="false" ht="15" hidden="false" customHeight="false" outlineLevel="0" collapsed="false">
      <c r="A1490" s="27"/>
      <c r="B1490" s="5"/>
      <c r="C1490" s="35"/>
      <c r="D1490" s="18"/>
      <c r="E1490" s="5"/>
      <c r="F1490" s="14"/>
      <c r="G1490" s="5"/>
      <c r="H1490" s="27"/>
      <c r="I1490" s="5"/>
      <c r="J1490" s="19" t="str">
        <f aca="false">IF(A1490="","",IFERROR(INDEX(Empresas!$D:$D,MATCH(A1490,Empresas!$A:$A,0))&amp;"","não consta"))</f>
        <v/>
      </c>
      <c r="K1490" s="19" t="str">
        <f aca="false">IF(A1490="","",IFERROR(INDEX(Sancoes!$B:$B,MATCH(A1490,Sancoes!$A:$A,0))&amp;"","não consta"))</f>
        <v/>
      </c>
      <c r="L1490" s="19" t="str">
        <f aca="false">IF(A1490="","",IFERROR(INDEX(Eleitoral!$B:$B,MATCH(A1490,Eleitoral!$A:$A,0))&amp;"","não consta"))</f>
        <v/>
      </c>
      <c r="M1490" s="28" t="str">
        <f aca="false">IF(A1490="","",IF(OR(AND(K1490&lt;&gt;"",LOWER(K1490)&lt;&gt;"não consta"),AND(L1490&lt;&gt;"",LOWER(L1490)&lt;&gt;"não consta"),IFERROR(INDEX(Empresas!$G:$G,MATCH(A1490,Empresas!$A:$A,0))&amp;"","")&lt;&gt;""),"SIM",""))</f>
        <v/>
      </c>
      <c r="N1490" s="5"/>
      <c r="O1490" s="32" t="str">
        <f aca="false">IF(D1490="","",YEAR(D1490))</f>
        <v/>
      </c>
      <c r="P1490" s="5"/>
    </row>
    <row r="1491" customFormat="false" ht="15" hidden="false" customHeight="false" outlineLevel="0" collapsed="false">
      <c r="A1491" s="27"/>
      <c r="B1491" s="5"/>
      <c r="C1491" s="35"/>
      <c r="D1491" s="18"/>
      <c r="E1491" s="5"/>
      <c r="F1491" s="14"/>
      <c r="G1491" s="5"/>
      <c r="H1491" s="27"/>
      <c r="I1491" s="5"/>
      <c r="J1491" s="19" t="str">
        <f aca="false">IF(A1491="","",IFERROR(INDEX(Empresas!$D:$D,MATCH(A1491,Empresas!$A:$A,0))&amp;"","não consta"))</f>
        <v/>
      </c>
      <c r="K1491" s="19" t="str">
        <f aca="false">IF(A1491="","",IFERROR(INDEX(Sancoes!$B:$B,MATCH(A1491,Sancoes!$A:$A,0))&amp;"","não consta"))</f>
        <v/>
      </c>
      <c r="L1491" s="19" t="str">
        <f aca="false">IF(A1491="","",IFERROR(INDEX(Eleitoral!$B:$B,MATCH(A1491,Eleitoral!$A:$A,0))&amp;"","não consta"))</f>
        <v/>
      </c>
      <c r="M1491" s="28" t="str">
        <f aca="false">IF(A1491="","",IF(OR(AND(K1491&lt;&gt;"",LOWER(K1491)&lt;&gt;"não consta"),AND(L1491&lt;&gt;"",LOWER(L1491)&lt;&gt;"não consta"),IFERROR(INDEX(Empresas!$G:$G,MATCH(A1491,Empresas!$A:$A,0))&amp;"","")&lt;&gt;""),"SIM",""))</f>
        <v/>
      </c>
      <c r="N1491" s="5"/>
      <c r="O1491" s="32" t="str">
        <f aca="false">IF(D1491="","",YEAR(D1491))</f>
        <v/>
      </c>
      <c r="P1491" s="5"/>
    </row>
    <row r="1492" customFormat="false" ht="15" hidden="false" customHeight="false" outlineLevel="0" collapsed="false">
      <c r="A1492" s="27"/>
      <c r="B1492" s="5"/>
      <c r="C1492" s="35"/>
      <c r="D1492" s="18"/>
      <c r="E1492" s="5"/>
      <c r="F1492" s="14"/>
      <c r="G1492" s="5"/>
      <c r="H1492" s="27"/>
      <c r="I1492" s="5"/>
      <c r="J1492" s="19" t="str">
        <f aca="false">IF(A1492="","",IFERROR(INDEX(Empresas!$D:$D,MATCH(A1492,Empresas!$A:$A,0))&amp;"","não consta"))</f>
        <v/>
      </c>
      <c r="K1492" s="19" t="str">
        <f aca="false">IF(A1492="","",IFERROR(INDEX(Sancoes!$B:$B,MATCH(A1492,Sancoes!$A:$A,0))&amp;"","não consta"))</f>
        <v/>
      </c>
      <c r="L1492" s="19" t="str">
        <f aca="false">IF(A1492="","",IFERROR(INDEX(Eleitoral!$B:$B,MATCH(A1492,Eleitoral!$A:$A,0))&amp;"","não consta"))</f>
        <v/>
      </c>
      <c r="M1492" s="28" t="str">
        <f aca="false">IF(A1492="","",IF(OR(AND(K1492&lt;&gt;"",LOWER(K1492)&lt;&gt;"não consta"),AND(L1492&lt;&gt;"",LOWER(L1492)&lt;&gt;"não consta"),IFERROR(INDEX(Empresas!$G:$G,MATCH(A1492,Empresas!$A:$A,0))&amp;"","")&lt;&gt;""),"SIM",""))</f>
        <v/>
      </c>
      <c r="N1492" s="5"/>
      <c r="O1492" s="32" t="str">
        <f aca="false">IF(D1492="","",YEAR(D1492))</f>
        <v/>
      </c>
      <c r="P1492" s="5"/>
    </row>
    <row r="1493" customFormat="false" ht="15" hidden="false" customHeight="false" outlineLevel="0" collapsed="false">
      <c r="A1493" s="27"/>
      <c r="B1493" s="5"/>
      <c r="C1493" s="35"/>
      <c r="D1493" s="18"/>
      <c r="E1493" s="5"/>
      <c r="F1493" s="14"/>
      <c r="G1493" s="5"/>
      <c r="H1493" s="27"/>
      <c r="I1493" s="5"/>
      <c r="J1493" s="19" t="str">
        <f aca="false">IF(A1493="","",IFERROR(INDEX(Empresas!$D:$D,MATCH(A1493,Empresas!$A:$A,0))&amp;"","não consta"))</f>
        <v/>
      </c>
      <c r="K1493" s="19" t="str">
        <f aca="false">IF(A1493="","",IFERROR(INDEX(Sancoes!$B:$B,MATCH(A1493,Sancoes!$A:$A,0))&amp;"","não consta"))</f>
        <v/>
      </c>
      <c r="L1493" s="19" t="str">
        <f aca="false">IF(A1493="","",IFERROR(INDEX(Eleitoral!$B:$B,MATCH(A1493,Eleitoral!$A:$A,0))&amp;"","não consta"))</f>
        <v/>
      </c>
      <c r="M1493" s="28" t="str">
        <f aca="false">IF(A1493="","",IF(OR(AND(K1493&lt;&gt;"",LOWER(K1493)&lt;&gt;"não consta"),AND(L1493&lt;&gt;"",LOWER(L1493)&lt;&gt;"não consta"),IFERROR(INDEX(Empresas!$G:$G,MATCH(A1493,Empresas!$A:$A,0))&amp;"","")&lt;&gt;""),"SIM",""))</f>
        <v/>
      </c>
      <c r="N1493" s="5"/>
      <c r="O1493" s="32" t="str">
        <f aca="false">IF(D1493="","",YEAR(D1493))</f>
        <v/>
      </c>
      <c r="P1493" s="5"/>
    </row>
    <row r="1494" customFormat="false" ht="15" hidden="false" customHeight="false" outlineLevel="0" collapsed="false">
      <c r="A1494" s="27"/>
      <c r="B1494" s="5"/>
      <c r="C1494" s="35"/>
      <c r="D1494" s="18"/>
      <c r="E1494" s="5"/>
      <c r="F1494" s="14"/>
      <c r="G1494" s="5"/>
      <c r="H1494" s="27"/>
      <c r="I1494" s="5"/>
      <c r="J1494" s="19" t="str">
        <f aca="false">IF(A1494="","",IFERROR(INDEX(Empresas!$D:$D,MATCH(A1494,Empresas!$A:$A,0))&amp;"","não consta"))</f>
        <v/>
      </c>
      <c r="K1494" s="19" t="str">
        <f aca="false">IF(A1494="","",IFERROR(INDEX(Sancoes!$B:$B,MATCH(A1494,Sancoes!$A:$A,0))&amp;"","não consta"))</f>
        <v/>
      </c>
      <c r="L1494" s="19" t="str">
        <f aca="false">IF(A1494="","",IFERROR(INDEX(Eleitoral!$B:$B,MATCH(A1494,Eleitoral!$A:$A,0))&amp;"","não consta"))</f>
        <v/>
      </c>
      <c r="M1494" s="28" t="str">
        <f aca="false">IF(A1494="","",IF(OR(AND(K1494&lt;&gt;"",LOWER(K1494)&lt;&gt;"não consta"),AND(L1494&lt;&gt;"",LOWER(L1494)&lt;&gt;"não consta"),IFERROR(INDEX(Empresas!$G:$G,MATCH(A1494,Empresas!$A:$A,0))&amp;"","")&lt;&gt;""),"SIM",""))</f>
        <v/>
      </c>
      <c r="N1494" s="5"/>
      <c r="O1494" s="32" t="str">
        <f aca="false">IF(D1494="","",YEAR(D1494))</f>
        <v/>
      </c>
      <c r="P1494" s="5"/>
    </row>
    <row r="1495" customFormat="false" ht="15" hidden="false" customHeight="false" outlineLevel="0" collapsed="false">
      <c r="A1495" s="27"/>
      <c r="B1495" s="5"/>
      <c r="C1495" s="35"/>
      <c r="D1495" s="18"/>
      <c r="E1495" s="5"/>
      <c r="F1495" s="14"/>
      <c r="G1495" s="5"/>
      <c r="H1495" s="27"/>
      <c r="I1495" s="5"/>
      <c r="J1495" s="19" t="str">
        <f aca="false">IF(A1495="","",IFERROR(INDEX(Empresas!$D:$D,MATCH(A1495,Empresas!$A:$A,0))&amp;"","não consta"))</f>
        <v/>
      </c>
      <c r="K1495" s="19" t="str">
        <f aca="false">IF(A1495="","",IFERROR(INDEX(Sancoes!$B:$B,MATCH(A1495,Sancoes!$A:$A,0))&amp;"","não consta"))</f>
        <v/>
      </c>
      <c r="L1495" s="19" t="str">
        <f aca="false">IF(A1495="","",IFERROR(INDEX(Eleitoral!$B:$B,MATCH(A1495,Eleitoral!$A:$A,0))&amp;"","não consta"))</f>
        <v/>
      </c>
      <c r="M1495" s="28" t="str">
        <f aca="false">IF(A1495="","",IF(OR(AND(K1495&lt;&gt;"",LOWER(K1495)&lt;&gt;"não consta"),AND(L1495&lt;&gt;"",LOWER(L1495)&lt;&gt;"não consta"),IFERROR(INDEX(Empresas!$G:$G,MATCH(A1495,Empresas!$A:$A,0))&amp;"","")&lt;&gt;""),"SIM",""))</f>
        <v/>
      </c>
      <c r="N1495" s="5"/>
      <c r="O1495" s="32" t="str">
        <f aca="false">IF(D1495="","",YEAR(D1495))</f>
        <v/>
      </c>
      <c r="P1495" s="5"/>
    </row>
    <row r="1496" customFormat="false" ht="15" hidden="false" customHeight="false" outlineLevel="0" collapsed="false">
      <c r="A1496" s="27"/>
      <c r="B1496" s="5"/>
      <c r="C1496" s="35"/>
      <c r="D1496" s="18"/>
      <c r="E1496" s="5"/>
      <c r="F1496" s="14"/>
      <c r="G1496" s="5"/>
      <c r="H1496" s="27"/>
      <c r="I1496" s="5"/>
      <c r="J1496" s="19" t="str">
        <f aca="false">IF(A1496="","",IFERROR(INDEX(Empresas!$D:$D,MATCH(A1496,Empresas!$A:$A,0))&amp;"","não consta"))</f>
        <v/>
      </c>
      <c r="K1496" s="19" t="str">
        <f aca="false">IF(A1496="","",IFERROR(INDEX(Sancoes!$B:$B,MATCH(A1496,Sancoes!$A:$A,0))&amp;"","não consta"))</f>
        <v/>
      </c>
      <c r="L1496" s="19" t="str">
        <f aca="false">IF(A1496="","",IFERROR(INDEX(Eleitoral!$B:$B,MATCH(A1496,Eleitoral!$A:$A,0))&amp;"","não consta"))</f>
        <v/>
      </c>
      <c r="M1496" s="28" t="str">
        <f aca="false">IF(A1496="","",IF(OR(AND(K1496&lt;&gt;"",LOWER(K1496)&lt;&gt;"não consta"),AND(L1496&lt;&gt;"",LOWER(L1496)&lt;&gt;"não consta"),IFERROR(INDEX(Empresas!$G:$G,MATCH(A1496,Empresas!$A:$A,0))&amp;"","")&lt;&gt;""),"SIM",""))</f>
        <v/>
      </c>
      <c r="N1496" s="5"/>
      <c r="O1496" s="32" t="str">
        <f aca="false">IF(D1496="","",YEAR(D1496))</f>
        <v/>
      </c>
      <c r="P1496" s="5"/>
    </row>
    <row r="1497" customFormat="false" ht="15" hidden="false" customHeight="false" outlineLevel="0" collapsed="false">
      <c r="A1497" s="27"/>
      <c r="B1497" s="5"/>
      <c r="C1497" s="35"/>
      <c r="D1497" s="18"/>
      <c r="E1497" s="5"/>
      <c r="F1497" s="14"/>
      <c r="G1497" s="5"/>
      <c r="H1497" s="27"/>
      <c r="I1497" s="5"/>
      <c r="J1497" s="19" t="str">
        <f aca="false">IF(A1497="","",IFERROR(INDEX(Empresas!$D:$D,MATCH(A1497,Empresas!$A:$A,0))&amp;"","não consta"))</f>
        <v/>
      </c>
      <c r="K1497" s="19" t="str">
        <f aca="false">IF(A1497="","",IFERROR(INDEX(Sancoes!$B:$B,MATCH(A1497,Sancoes!$A:$A,0))&amp;"","não consta"))</f>
        <v/>
      </c>
      <c r="L1497" s="19" t="str">
        <f aca="false">IF(A1497="","",IFERROR(INDEX(Eleitoral!$B:$B,MATCH(A1497,Eleitoral!$A:$A,0))&amp;"","não consta"))</f>
        <v/>
      </c>
      <c r="M1497" s="28" t="str">
        <f aca="false">IF(A1497="","",IF(OR(AND(K1497&lt;&gt;"",LOWER(K1497)&lt;&gt;"não consta"),AND(L1497&lt;&gt;"",LOWER(L1497)&lt;&gt;"não consta"),IFERROR(INDEX(Empresas!$G:$G,MATCH(A1497,Empresas!$A:$A,0))&amp;"","")&lt;&gt;""),"SIM",""))</f>
        <v/>
      </c>
      <c r="N1497" s="5"/>
      <c r="O1497" s="32" t="str">
        <f aca="false">IF(D1497="","",YEAR(D1497))</f>
        <v/>
      </c>
      <c r="P1497" s="5"/>
    </row>
    <row r="1498" customFormat="false" ht="15" hidden="false" customHeight="false" outlineLevel="0" collapsed="false">
      <c r="A1498" s="27"/>
      <c r="B1498" s="5"/>
      <c r="C1498" s="35"/>
      <c r="D1498" s="18"/>
      <c r="E1498" s="5"/>
      <c r="F1498" s="14"/>
      <c r="G1498" s="5"/>
      <c r="H1498" s="27"/>
      <c r="I1498" s="5"/>
      <c r="J1498" s="19" t="str">
        <f aca="false">IF(A1498="","",IFERROR(INDEX(Empresas!$D:$D,MATCH(A1498,Empresas!$A:$A,0))&amp;"","não consta"))</f>
        <v/>
      </c>
      <c r="K1498" s="19" t="str">
        <f aca="false">IF(A1498="","",IFERROR(INDEX(Sancoes!$B:$B,MATCH(A1498,Sancoes!$A:$A,0))&amp;"","não consta"))</f>
        <v/>
      </c>
      <c r="L1498" s="19" t="str">
        <f aca="false">IF(A1498="","",IFERROR(INDEX(Eleitoral!$B:$B,MATCH(A1498,Eleitoral!$A:$A,0))&amp;"","não consta"))</f>
        <v/>
      </c>
      <c r="M1498" s="28" t="str">
        <f aca="false">IF(A1498="","",IF(OR(AND(K1498&lt;&gt;"",LOWER(K1498)&lt;&gt;"não consta"),AND(L1498&lt;&gt;"",LOWER(L1498)&lt;&gt;"não consta"),IFERROR(INDEX(Empresas!$G:$G,MATCH(A1498,Empresas!$A:$A,0))&amp;"","")&lt;&gt;""),"SIM",""))</f>
        <v/>
      </c>
      <c r="N1498" s="5"/>
      <c r="O1498" s="32" t="str">
        <f aca="false">IF(D1498="","",YEAR(D1498))</f>
        <v/>
      </c>
      <c r="P1498" s="5"/>
    </row>
    <row r="1499" customFormat="false" ht="15" hidden="false" customHeight="false" outlineLevel="0" collapsed="false">
      <c r="A1499" s="27"/>
      <c r="B1499" s="5"/>
      <c r="C1499" s="35"/>
      <c r="D1499" s="18"/>
      <c r="E1499" s="5"/>
      <c r="F1499" s="14"/>
      <c r="G1499" s="5"/>
      <c r="H1499" s="27"/>
      <c r="I1499" s="5"/>
      <c r="J1499" s="19" t="str">
        <f aca="false">IF(A1499="","",IFERROR(INDEX(Empresas!$D:$D,MATCH(A1499,Empresas!$A:$A,0))&amp;"","não consta"))</f>
        <v/>
      </c>
      <c r="K1499" s="19" t="str">
        <f aca="false">IF(A1499="","",IFERROR(INDEX(Sancoes!$B:$B,MATCH(A1499,Sancoes!$A:$A,0))&amp;"","não consta"))</f>
        <v/>
      </c>
      <c r="L1499" s="19" t="str">
        <f aca="false">IF(A1499="","",IFERROR(INDEX(Eleitoral!$B:$B,MATCH(A1499,Eleitoral!$A:$A,0))&amp;"","não consta"))</f>
        <v/>
      </c>
      <c r="M1499" s="28" t="str">
        <f aca="false">IF(A1499="","",IF(OR(AND(K1499&lt;&gt;"",LOWER(K1499)&lt;&gt;"não consta"),AND(L1499&lt;&gt;"",LOWER(L1499)&lt;&gt;"não consta"),IFERROR(INDEX(Empresas!$G:$G,MATCH(A1499,Empresas!$A:$A,0))&amp;"","")&lt;&gt;""),"SIM",""))</f>
        <v/>
      </c>
      <c r="N1499" s="5"/>
      <c r="O1499" s="32" t="str">
        <f aca="false">IF(D1499="","",YEAR(D1499))</f>
        <v/>
      </c>
      <c r="P1499" s="5"/>
    </row>
    <row r="1500" customFormat="false" ht="15" hidden="false" customHeight="false" outlineLevel="0" collapsed="false">
      <c r="A1500" s="27"/>
      <c r="B1500" s="5"/>
      <c r="C1500" s="35"/>
      <c r="D1500" s="18"/>
      <c r="E1500" s="5"/>
      <c r="F1500" s="14"/>
      <c r="G1500" s="5"/>
      <c r="H1500" s="27"/>
      <c r="I1500" s="5"/>
      <c r="J1500" s="19" t="str">
        <f aca="false">IF(A1500="","",IFERROR(INDEX(Empresas!$D:$D,MATCH(A1500,Empresas!$A:$A,0))&amp;"","não consta"))</f>
        <v/>
      </c>
      <c r="K1500" s="19" t="str">
        <f aca="false">IF(A1500="","",IFERROR(INDEX(Sancoes!$B:$B,MATCH(A1500,Sancoes!$A:$A,0))&amp;"","não consta"))</f>
        <v/>
      </c>
      <c r="L1500" s="19" t="str">
        <f aca="false">IF(A1500="","",IFERROR(INDEX(Eleitoral!$B:$B,MATCH(A1500,Eleitoral!$A:$A,0))&amp;"","não consta"))</f>
        <v/>
      </c>
      <c r="M1500" s="28" t="str">
        <f aca="false">IF(A1500="","",IF(OR(AND(K1500&lt;&gt;"",LOWER(K1500)&lt;&gt;"não consta"),AND(L1500&lt;&gt;"",LOWER(L1500)&lt;&gt;"não consta"),IFERROR(INDEX(Empresas!$G:$G,MATCH(A1500,Empresas!$A:$A,0))&amp;"","")&lt;&gt;""),"SIM",""))</f>
        <v/>
      </c>
      <c r="N1500" s="5"/>
      <c r="O1500" s="32" t="str">
        <f aca="false">IF(D1500="","",YEAR(D1500))</f>
        <v/>
      </c>
      <c r="P1500" s="5"/>
    </row>
    <row r="1501" customFormat="false" ht="15" hidden="false" customHeight="false" outlineLevel="0" collapsed="false">
      <c r="A1501" s="27"/>
      <c r="B1501" s="5"/>
      <c r="C1501" s="35"/>
      <c r="D1501" s="18"/>
      <c r="E1501" s="5"/>
      <c r="F1501" s="14"/>
      <c r="G1501" s="5"/>
      <c r="H1501" s="27"/>
      <c r="I1501" s="5"/>
      <c r="J1501" s="19" t="str">
        <f aca="false">IF(A1501="","",IFERROR(INDEX(Empresas!$D:$D,MATCH(A1501,Empresas!$A:$A,0))&amp;"","não consta"))</f>
        <v/>
      </c>
      <c r="K1501" s="19" t="str">
        <f aca="false">IF(A1501="","",IFERROR(INDEX(Sancoes!$B:$B,MATCH(A1501,Sancoes!$A:$A,0))&amp;"","não consta"))</f>
        <v/>
      </c>
      <c r="L1501" s="19" t="str">
        <f aca="false">IF(A1501="","",IFERROR(INDEX(Eleitoral!$B:$B,MATCH(A1501,Eleitoral!$A:$A,0))&amp;"","não consta"))</f>
        <v/>
      </c>
      <c r="M1501" s="28" t="str">
        <f aca="false">IF(A1501="","",IF(OR(AND(K1501&lt;&gt;"",LOWER(K1501)&lt;&gt;"não consta"),AND(L1501&lt;&gt;"",LOWER(L1501)&lt;&gt;"não consta"),IFERROR(INDEX(Empresas!$G:$G,MATCH(A1501,Empresas!$A:$A,0))&amp;"","")&lt;&gt;""),"SIM",""))</f>
        <v/>
      </c>
      <c r="N1501" s="5"/>
      <c r="O1501" s="32" t="str">
        <f aca="false">IF(D1501="","",YEAR(D1501))</f>
        <v/>
      </c>
      <c r="P1501" s="5"/>
    </row>
    <row r="1502" customFormat="false" ht="15" hidden="false" customHeight="false" outlineLevel="0" collapsed="false">
      <c r="A1502" s="27"/>
      <c r="B1502" s="5"/>
      <c r="C1502" s="35"/>
      <c r="D1502" s="18"/>
      <c r="E1502" s="5"/>
      <c r="F1502" s="14"/>
      <c r="G1502" s="5"/>
      <c r="H1502" s="27"/>
      <c r="I1502" s="5"/>
      <c r="J1502" s="19" t="str">
        <f aca="false">IF(A1502="","",IFERROR(INDEX(Empresas!$D:$D,MATCH(A1502,Empresas!$A:$A,0))&amp;"","não consta"))</f>
        <v/>
      </c>
      <c r="K1502" s="19" t="str">
        <f aca="false">IF(A1502="","",IFERROR(INDEX(Sancoes!$B:$B,MATCH(A1502,Sancoes!$A:$A,0))&amp;"","não consta"))</f>
        <v/>
      </c>
      <c r="L1502" s="19" t="str">
        <f aca="false">IF(A1502="","",IFERROR(INDEX(Eleitoral!$B:$B,MATCH(A1502,Eleitoral!$A:$A,0))&amp;"","não consta"))</f>
        <v/>
      </c>
      <c r="M1502" s="28" t="str">
        <f aca="false">IF(A1502="","",IF(OR(AND(K1502&lt;&gt;"",LOWER(K1502)&lt;&gt;"não consta"),AND(L1502&lt;&gt;"",LOWER(L1502)&lt;&gt;"não consta"),IFERROR(INDEX(Empresas!$G:$G,MATCH(A1502,Empresas!$A:$A,0))&amp;"","")&lt;&gt;""),"SIM",""))</f>
        <v/>
      </c>
      <c r="N1502" s="5"/>
      <c r="O1502" s="32" t="str">
        <f aca="false">IF(D1502="","",YEAR(D1502))</f>
        <v/>
      </c>
      <c r="P1502" s="5"/>
    </row>
    <row r="1503" customFormat="false" ht="15" hidden="false" customHeight="false" outlineLevel="0" collapsed="false">
      <c r="A1503" s="27"/>
      <c r="B1503" s="5"/>
      <c r="C1503" s="35"/>
      <c r="D1503" s="18"/>
      <c r="E1503" s="5"/>
      <c r="F1503" s="14"/>
      <c r="G1503" s="5"/>
      <c r="H1503" s="27"/>
      <c r="I1503" s="5"/>
      <c r="J1503" s="19" t="str">
        <f aca="false">IF(A1503="","",IFERROR(INDEX(Empresas!$D:$D,MATCH(A1503,Empresas!$A:$A,0))&amp;"","não consta"))</f>
        <v/>
      </c>
      <c r="K1503" s="19" t="str">
        <f aca="false">IF(A1503="","",IFERROR(INDEX(Sancoes!$B:$B,MATCH(A1503,Sancoes!$A:$A,0))&amp;"","não consta"))</f>
        <v/>
      </c>
      <c r="L1503" s="19" t="str">
        <f aca="false">IF(A1503="","",IFERROR(INDEX(Eleitoral!$B:$B,MATCH(A1503,Eleitoral!$A:$A,0))&amp;"","não consta"))</f>
        <v/>
      </c>
      <c r="M1503" s="28" t="str">
        <f aca="false">IF(A1503="","",IF(OR(AND(K1503&lt;&gt;"",LOWER(K1503)&lt;&gt;"não consta"),AND(L1503&lt;&gt;"",LOWER(L1503)&lt;&gt;"não consta"),IFERROR(INDEX(Empresas!$G:$G,MATCH(A1503,Empresas!$A:$A,0))&amp;"","")&lt;&gt;""),"SIM",""))</f>
        <v/>
      </c>
      <c r="N1503" s="5"/>
      <c r="O1503" s="32" t="str">
        <f aca="false">IF(D1503="","",YEAR(D1503))</f>
        <v/>
      </c>
      <c r="P1503" s="5"/>
    </row>
    <row r="1504" customFormat="false" ht="15" hidden="false" customHeight="false" outlineLevel="0" collapsed="false">
      <c r="A1504" s="27"/>
      <c r="B1504" s="5"/>
      <c r="C1504" s="35"/>
      <c r="D1504" s="18"/>
      <c r="E1504" s="5"/>
      <c r="F1504" s="14"/>
      <c r="G1504" s="5"/>
      <c r="H1504" s="27"/>
      <c r="I1504" s="5"/>
      <c r="J1504" s="19" t="str">
        <f aca="false">IF(A1504="","",IFERROR(INDEX(Empresas!$D:$D,MATCH(A1504,Empresas!$A:$A,0))&amp;"","não consta"))</f>
        <v/>
      </c>
      <c r="K1504" s="19" t="str">
        <f aca="false">IF(A1504="","",IFERROR(INDEX(Sancoes!$B:$B,MATCH(A1504,Sancoes!$A:$A,0))&amp;"","não consta"))</f>
        <v/>
      </c>
      <c r="L1504" s="19" t="str">
        <f aca="false">IF(A1504="","",IFERROR(INDEX(Eleitoral!$B:$B,MATCH(A1504,Eleitoral!$A:$A,0))&amp;"","não consta"))</f>
        <v/>
      </c>
      <c r="M1504" s="28" t="str">
        <f aca="false">IF(A1504="","",IF(OR(AND(K1504&lt;&gt;"",LOWER(K1504)&lt;&gt;"não consta"),AND(L1504&lt;&gt;"",LOWER(L1504)&lt;&gt;"não consta"),IFERROR(INDEX(Empresas!$G:$G,MATCH(A1504,Empresas!$A:$A,0))&amp;"","")&lt;&gt;""),"SIM",""))</f>
        <v/>
      </c>
      <c r="N1504" s="5"/>
      <c r="O1504" s="32" t="str">
        <f aca="false">IF(D1504="","",YEAR(D1504))</f>
        <v/>
      </c>
      <c r="P1504" s="5"/>
    </row>
    <row r="1505" customFormat="false" ht="15" hidden="false" customHeight="false" outlineLevel="0" collapsed="false">
      <c r="A1505" s="27"/>
      <c r="B1505" s="5"/>
      <c r="C1505" s="35"/>
      <c r="D1505" s="18"/>
      <c r="E1505" s="5"/>
      <c r="F1505" s="14"/>
      <c r="G1505" s="5"/>
      <c r="H1505" s="27"/>
      <c r="I1505" s="5"/>
      <c r="J1505" s="19" t="str">
        <f aca="false">IF(A1505="","",IFERROR(INDEX(Empresas!$D:$D,MATCH(A1505,Empresas!$A:$A,0))&amp;"","não consta"))</f>
        <v/>
      </c>
      <c r="K1505" s="19" t="str">
        <f aca="false">IF(A1505="","",IFERROR(INDEX(Sancoes!$B:$B,MATCH(A1505,Sancoes!$A:$A,0))&amp;"","não consta"))</f>
        <v/>
      </c>
      <c r="L1505" s="19" t="str">
        <f aca="false">IF(A1505="","",IFERROR(INDEX(Eleitoral!$B:$B,MATCH(A1505,Eleitoral!$A:$A,0))&amp;"","não consta"))</f>
        <v/>
      </c>
      <c r="M1505" s="28" t="str">
        <f aca="false">IF(A1505="","",IF(OR(AND(K1505&lt;&gt;"",LOWER(K1505)&lt;&gt;"não consta"),AND(L1505&lt;&gt;"",LOWER(L1505)&lt;&gt;"não consta"),IFERROR(INDEX(Empresas!$G:$G,MATCH(A1505,Empresas!$A:$A,0))&amp;"","")&lt;&gt;""),"SIM",""))</f>
        <v/>
      </c>
      <c r="N1505" s="5"/>
      <c r="O1505" s="32" t="str">
        <f aca="false">IF(D1505="","",YEAR(D1505))</f>
        <v/>
      </c>
      <c r="P1505" s="5"/>
    </row>
    <row r="1506" customFormat="false" ht="15" hidden="false" customHeight="false" outlineLevel="0" collapsed="false">
      <c r="A1506" s="27"/>
      <c r="B1506" s="5"/>
      <c r="C1506" s="35"/>
      <c r="D1506" s="18"/>
      <c r="E1506" s="5"/>
      <c r="F1506" s="14"/>
      <c r="G1506" s="5"/>
      <c r="H1506" s="27"/>
      <c r="I1506" s="5"/>
      <c r="J1506" s="19" t="str">
        <f aca="false">IF(A1506="","",IFERROR(INDEX(Empresas!$D:$D,MATCH(A1506,Empresas!$A:$A,0))&amp;"","não consta"))</f>
        <v/>
      </c>
      <c r="K1506" s="19" t="str">
        <f aca="false">IF(A1506="","",IFERROR(INDEX(Sancoes!$B:$B,MATCH(A1506,Sancoes!$A:$A,0))&amp;"","não consta"))</f>
        <v/>
      </c>
      <c r="L1506" s="19" t="str">
        <f aca="false">IF(A1506="","",IFERROR(INDEX(Eleitoral!$B:$B,MATCH(A1506,Eleitoral!$A:$A,0))&amp;"","não consta"))</f>
        <v/>
      </c>
      <c r="M1506" s="28" t="str">
        <f aca="false">IF(A1506="","",IF(OR(AND(K1506&lt;&gt;"",LOWER(K1506)&lt;&gt;"não consta"),AND(L1506&lt;&gt;"",LOWER(L1506)&lt;&gt;"não consta"),IFERROR(INDEX(Empresas!$G:$G,MATCH(A1506,Empresas!$A:$A,0))&amp;"","")&lt;&gt;""),"SIM",""))</f>
        <v/>
      </c>
      <c r="N1506" s="5"/>
      <c r="O1506" s="32" t="str">
        <f aca="false">IF(D1506="","",YEAR(D1506))</f>
        <v/>
      </c>
      <c r="P1506" s="5"/>
    </row>
    <row r="1507" customFormat="false" ht="15" hidden="false" customHeight="false" outlineLevel="0" collapsed="false">
      <c r="A1507" s="27"/>
      <c r="B1507" s="5"/>
      <c r="C1507" s="35"/>
      <c r="D1507" s="18"/>
      <c r="E1507" s="5"/>
      <c r="F1507" s="14"/>
      <c r="G1507" s="5"/>
      <c r="H1507" s="27"/>
      <c r="I1507" s="5"/>
      <c r="J1507" s="19" t="str">
        <f aca="false">IF(A1507="","",IFERROR(INDEX(Empresas!$D:$D,MATCH(A1507,Empresas!$A:$A,0))&amp;"","não consta"))</f>
        <v/>
      </c>
      <c r="K1507" s="19" t="str">
        <f aca="false">IF(A1507="","",IFERROR(INDEX(Sancoes!$B:$B,MATCH(A1507,Sancoes!$A:$A,0))&amp;"","não consta"))</f>
        <v/>
      </c>
      <c r="L1507" s="19" t="str">
        <f aca="false">IF(A1507="","",IFERROR(INDEX(Eleitoral!$B:$B,MATCH(A1507,Eleitoral!$A:$A,0))&amp;"","não consta"))</f>
        <v/>
      </c>
      <c r="M1507" s="28" t="str">
        <f aca="false">IF(A1507="","",IF(OR(AND(K1507&lt;&gt;"",LOWER(K1507)&lt;&gt;"não consta"),AND(L1507&lt;&gt;"",LOWER(L1507)&lt;&gt;"não consta"),IFERROR(INDEX(Empresas!$G:$G,MATCH(A1507,Empresas!$A:$A,0))&amp;"","")&lt;&gt;""),"SIM",""))</f>
        <v/>
      </c>
      <c r="N1507" s="5"/>
      <c r="O1507" s="32" t="str">
        <f aca="false">IF(D1507="","",YEAR(D1507))</f>
        <v/>
      </c>
      <c r="P1507" s="5"/>
    </row>
    <row r="1508" customFormat="false" ht="15" hidden="false" customHeight="false" outlineLevel="0" collapsed="false">
      <c r="A1508" s="27"/>
      <c r="B1508" s="5"/>
      <c r="C1508" s="35"/>
      <c r="D1508" s="18"/>
      <c r="E1508" s="5"/>
      <c r="F1508" s="14"/>
      <c r="G1508" s="5"/>
      <c r="H1508" s="27"/>
      <c r="I1508" s="5"/>
      <c r="J1508" s="19" t="str">
        <f aca="false">IF(A1508="","",IFERROR(INDEX(Empresas!$D:$D,MATCH(A1508,Empresas!$A:$A,0))&amp;"","não consta"))</f>
        <v/>
      </c>
      <c r="K1508" s="19" t="str">
        <f aca="false">IF(A1508="","",IFERROR(INDEX(Sancoes!$B:$B,MATCH(A1508,Sancoes!$A:$A,0))&amp;"","não consta"))</f>
        <v/>
      </c>
      <c r="L1508" s="19" t="str">
        <f aca="false">IF(A1508="","",IFERROR(INDEX(Eleitoral!$B:$B,MATCH(A1508,Eleitoral!$A:$A,0))&amp;"","não consta"))</f>
        <v/>
      </c>
      <c r="M1508" s="28" t="str">
        <f aca="false">IF(A1508="","",IF(OR(AND(K1508&lt;&gt;"",LOWER(K1508)&lt;&gt;"não consta"),AND(L1508&lt;&gt;"",LOWER(L1508)&lt;&gt;"não consta"),IFERROR(INDEX(Empresas!$G:$G,MATCH(A1508,Empresas!$A:$A,0))&amp;"","")&lt;&gt;""),"SIM",""))</f>
        <v/>
      </c>
      <c r="N1508" s="5"/>
      <c r="O1508" s="32" t="str">
        <f aca="false">IF(D1508="","",YEAR(D1508))</f>
        <v/>
      </c>
      <c r="P1508" s="5"/>
    </row>
    <row r="1509" customFormat="false" ht="15" hidden="false" customHeight="false" outlineLevel="0" collapsed="false">
      <c r="A1509" s="27"/>
      <c r="B1509" s="5"/>
      <c r="C1509" s="35"/>
      <c r="D1509" s="18"/>
      <c r="E1509" s="5"/>
      <c r="F1509" s="14"/>
      <c r="G1509" s="5"/>
      <c r="H1509" s="27"/>
      <c r="I1509" s="5"/>
      <c r="J1509" s="19" t="str">
        <f aca="false">IF(A1509="","",IFERROR(INDEX(Empresas!$D:$D,MATCH(A1509,Empresas!$A:$A,0))&amp;"","não consta"))</f>
        <v/>
      </c>
      <c r="K1509" s="19" t="str">
        <f aca="false">IF(A1509="","",IFERROR(INDEX(Sancoes!$B:$B,MATCH(A1509,Sancoes!$A:$A,0))&amp;"","não consta"))</f>
        <v/>
      </c>
      <c r="L1509" s="19" t="str">
        <f aca="false">IF(A1509="","",IFERROR(INDEX(Eleitoral!$B:$B,MATCH(A1509,Eleitoral!$A:$A,0))&amp;"","não consta"))</f>
        <v/>
      </c>
      <c r="M1509" s="28" t="str">
        <f aca="false">IF(A1509="","",IF(OR(AND(K1509&lt;&gt;"",LOWER(K1509)&lt;&gt;"não consta"),AND(L1509&lt;&gt;"",LOWER(L1509)&lt;&gt;"não consta"),IFERROR(INDEX(Empresas!$G:$G,MATCH(A1509,Empresas!$A:$A,0))&amp;"","")&lt;&gt;""),"SIM",""))</f>
        <v/>
      </c>
      <c r="N1509" s="5"/>
      <c r="O1509" s="32" t="str">
        <f aca="false">IF(D1509="","",YEAR(D1509))</f>
        <v/>
      </c>
      <c r="P1509" s="5"/>
    </row>
    <row r="1510" customFormat="false" ht="15" hidden="false" customHeight="false" outlineLevel="0" collapsed="false">
      <c r="A1510" s="27"/>
      <c r="B1510" s="5"/>
      <c r="C1510" s="35"/>
      <c r="D1510" s="18"/>
      <c r="E1510" s="5"/>
      <c r="F1510" s="14"/>
      <c r="G1510" s="5"/>
      <c r="H1510" s="27"/>
      <c r="I1510" s="5"/>
      <c r="J1510" s="19" t="str">
        <f aca="false">IF(A1510="","",IFERROR(INDEX(Empresas!$D:$D,MATCH(A1510,Empresas!$A:$A,0))&amp;"","não consta"))</f>
        <v/>
      </c>
      <c r="K1510" s="19" t="str">
        <f aca="false">IF(A1510="","",IFERROR(INDEX(Sancoes!$B:$B,MATCH(A1510,Sancoes!$A:$A,0))&amp;"","não consta"))</f>
        <v/>
      </c>
      <c r="L1510" s="19" t="str">
        <f aca="false">IF(A1510="","",IFERROR(INDEX(Eleitoral!$B:$B,MATCH(A1510,Eleitoral!$A:$A,0))&amp;"","não consta"))</f>
        <v/>
      </c>
      <c r="M1510" s="28" t="str">
        <f aca="false">IF(A1510="","",IF(OR(AND(K1510&lt;&gt;"",LOWER(K1510)&lt;&gt;"não consta"),AND(L1510&lt;&gt;"",LOWER(L1510)&lt;&gt;"não consta"),IFERROR(INDEX(Empresas!$G:$G,MATCH(A1510,Empresas!$A:$A,0))&amp;"","")&lt;&gt;""),"SIM",""))</f>
        <v/>
      </c>
      <c r="N1510" s="5"/>
      <c r="O1510" s="32" t="str">
        <f aca="false">IF(D1510="","",YEAR(D1510))</f>
        <v/>
      </c>
      <c r="P1510" s="5"/>
    </row>
    <row r="1511" customFormat="false" ht="15" hidden="false" customHeight="false" outlineLevel="0" collapsed="false">
      <c r="A1511" s="27"/>
      <c r="B1511" s="5"/>
      <c r="C1511" s="35"/>
      <c r="D1511" s="18"/>
      <c r="E1511" s="5"/>
      <c r="F1511" s="14"/>
      <c r="G1511" s="5"/>
      <c r="H1511" s="27"/>
      <c r="I1511" s="5"/>
      <c r="J1511" s="19" t="str">
        <f aca="false">IF(A1511="","",IFERROR(INDEX(Empresas!$D:$D,MATCH(A1511,Empresas!$A:$A,0))&amp;"","não consta"))</f>
        <v/>
      </c>
      <c r="K1511" s="19" t="str">
        <f aca="false">IF(A1511="","",IFERROR(INDEX(Sancoes!$B:$B,MATCH(A1511,Sancoes!$A:$A,0))&amp;"","não consta"))</f>
        <v/>
      </c>
      <c r="L1511" s="19" t="str">
        <f aca="false">IF(A1511="","",IFERROR(INDEX(Eleitoral!$B:$B,MATCH(A1511,Eleitoral!$A:$A,0))&amp;"","não consta"))</f>
        <v/>
      </c>
      <c r="M1511" s="28" t="str">
        <f aca="false">IF(A1511="","",IF(OR(AND(K1511&lt;&gt;"",LOWER(K1511)&lt;&gt;"não consta"),AND(L1511&lt;&gt;"",LOWER(L1511)&lt;&gt;"não consta"),IFERROR(INDEX(Empresas!$G:$G,MATCH(A1511,Empresas!$A:$A,0))&amp;"","")&lt;&gt;""),"SIM",""))</f>
        <v/>
      </c>
      <c r="N1511" s="5"/>
      <c r="O1511" s="32" t="str">
        <f aca="false">IF(D1511="","",YEAR(D1511))</f>
        <v/>
      </c>
      <c r="P1511" s="5"/>
    </row>
    <row r="1512" customFormat="false" ht="15" hidden="false" customHeight="false" outlineLevel="0" collapsed="false">
      <c r="A1512" s="27"/>
      <c r="B1512" s="5"/>
      <c r="C1512" s="35"/>
      <c r="D1512" s="18"/>
      <c r="E1512" s="5"/>
      <c r="F1512" s="14"/>
      <c r="G1512" s="5"/>
      <c r="H1512" s="27"/>
      <c r="I1512" s="5"/>
      <c r="J1512" s="19" t="str">
        <f aca="false">IF(A1512="","",IFERROR(INDEX(Empresas!$D:$D,MATCH(A1512,Empresas!$A:$A,0))&amp;"","não consta"))</f>
        <v/>
      </c>
      <c r="K1512" s="19" t="str">
        <f aca="false">IF(A1512="","",IFERROR(INDEX(Sancoes!$B:$B,MATCH(A1512,Sancoes!$A:$A,0))&amp;"","não consta"))</f>
        <v/>
      </c>
      <c r="L1512" s="19" t="str">
        <f aca="false">IF(A1512="","",IFERROR(INDEX(Eleitoral!$B:$B,MATCH(A1512,Eleitoral!$A:$A,0))&amp;"","não consta"))</f>
        <v/>
      </c>
      <c r="M1512" s="28" t="str">
        <f aca="false">IF(A1512="","",IF(OR(AND(K1512&lt;&gt;"",LOWER(K1512)&lt;&gt;"não consta"),AND(L1512&lt;&gt;"",LOWER(L1512)&lt;&gt;"não consta"),IFERROR(INDEX(Empresas!$G:$G,MATCH(A1512,Empresas!$A:$A,0))&amp;"","")&lt;&gt;""),"SIM",""))</f>
        <v/>
      </c>
      <c r="N1512" s="5"/>
      <c r="O1512" s="32" t="str">
        <f aca="false">IF(D1512="","",YEAR(D1512))</f>
        <v/>
      </c>
      <c r="P1512" s="5"/>
    </row>
    <row r="1513" customFormat="false" ht="15" hidden="false" customHeight="false" outlineLevel="0" collapsed="false">
      <c r="A1513" s="27"/>
      <c r="B1513" s="5"/>
      <c r="C1513" s="35"/>
      <c r="D1513" s="18"/>
      <c r="E1513" s="5"/>
      <c r="F1513" s="14"/>
      <c r="G1513" s="5"/>
      <c r="H1513" s="27"/>
      <c r="I1513" s="5"/>
      <c r="J1513" s="19" t="str">
        <f aca="false">IF(A1513="","",IFERROR(INDEX(Empresas!$D:$D,MATCH(A1513,Empresas!$A:$A,0))&amp;"","não consta"))</f>
        <v/>
      </c>
      <c r="K1513" s="19" t="str">
        <f aca="false">IF(A1513="","",IFERROR(INDEX(Sancoes!$B:$B,MATCH(A1513,Sancoes!$A:$A,0))&amp;"","não consta"))</f>
        <v/>
      </c>
      <c r="L1513" s="19" t="str">
        <f aca="false">IF(A1513="","",IFERROR(INDEX(Eleitoral!$B:$B,MATCH(A1513,Eleitoral!$A:$A,0))&amp;"","não consta"))</f>
        <v/>
      </c>
      <c r="M1513" s="28" t="str">
        <f aca="false">IF(A1513="","",IF(OR(AND(K1513&lt;&gt;"",LOWER(K1513)&lt;&gt;"não consta"),AND(L1513&lt;&gt;"",LOWER(L1513)&lt;&gt;"não consta"),IFERROR(INDEX(Empresas!$G:$G,MATCH(A1513,Empresas!$A:$A,0))&amp;"","")&lt;&gt;""),"SIM",""))</f>
        <v/>
      </c>
      <c r="N1513" s="5"/>
      <c r="O1513" s="32" t="str">
        <f aca="false">IF(D1513="","",YEAR(D1513))</f>
        <v/>
      </c>
      <c r="P1513" s="5"/>
    </row>
    <row r="1514" customFormat="false" ht="15" hidden="false" customHeight="false" outlineLevel="0" collapsed="false">
      <c r="A1514" s="27"/>
      <c r="B1514" s="5"/>
      <c r="C1514" s="35"/>
      <c r="D1514" s="18"/>
      <c r="E1514" s="5"/>
      <c r="F1514" s="14"/>
      <c r="G1514" s="5"/>
      <c r="H1514" s="27"/>
      <c r="I1514" s="5"/>
      <c r="J1514" s="19" t="str">
        <f aca="false">IF(A1514="","",IFERROR(INDEX(Empresas!$D:$D,MATCH(A1514,Empresas!$A:$A,0))&amp;"","não consta"))</f>
        <v/>
      </c>
      <c r="K1514" s="19" t="str">
        <f aca="false">IF(A1514="","",IFERROR(INDEX(Sancoes!$B:$B,MATCH(A1514,Sancoes!$A:$A,0))&amp;"","não consta"))</f>
        <v/>
      </c>
      <c r="L1514" s="19" t="str">
        <f aca="false">IF(A1514="","",IFERROR(INDEX(Eleitoral!$B:$B,MATCH(A1514,Eleitoral!$A:$A,0))&amp;"","não consta"))</f>
        <v/>
      </c>
      <c r="M1514" s="28" t="str">
        <f aca="false">IF(A1514="","",IF(OR(AND(K1514&lt;&gt;"",LOWER(K1514)&lt;&gt;"não consta"),AND(L1514&lt;&gt;"",LOWER(L1514)&lt;&gt;"não consta"),IFERROR(INDEX(Empresas!$G:$G,MATCH(A1514,Empresas!$A:$A,0))&amp;"","")&lt;&gt;""),"SIM",""))</f>
        <v/>
      </c>
      <c r="N1514" s="5"/>
      <c r="O1514" s="32" t="str">
        <f aca="false">IF(D1514="","",YEAR(D1514))</f>
        <v/>
      </c>
      <c r="P1514" s="5"/>
    </row>
    <row r="1515" customFormat="false" ht="15" hidden="false" customHeight="false" outlineLevel="0" collapsed="false">
      <c r="A1515" s="27"/>
      <c r="B1515" s="5"/>
      <c r="C1515" s="35"/>
      <c r="D1515" s="18"/>
      <c r="E1515" s="5"/>
      <c r="F1515" s="14"/>
      <c r="G1515" s="5"/>
      <c r="H1515" s="27"/>
      <c r="I1515" s="5"/>
      <c r="J1515" s="19" t="str">
        <f aca="false">IF(A1515="","",IFERROR(INDEX(Empresas!$D:$D,MATCH(A1515,Empresas!$A:$A,0))&amp;"","não consta"))</f>
        <v/>
      </c>
      <c r="K1515" s="19" t="str">
        <f aca="false">IF(A1515="","",IFERROR(INDEX(Sancoes!$B:$B,MATCH(A1515,Sancoes!$A:$A,0))&amp;"","não consta"))</f>
        <v/>
      </c>
      <c r="L1515" s="19" t="str">
        <f aca="false">IF(A1515="","",IFERROR(INDEX(Eleitoral!$B:$B,MATCH(A1515,Eleitoral!$A:$A,0))&amp;"","não consta"))</f>
        <v/>
      </c>
      <c r="M1515" s="28" t="str">
        <f aca="false">IF(A1515="","",IF(OR(AND(K1515&lt;&gt;"",LOWER(K1515)&lt;&gt;"não consta"),AND(L1515&lt;&gt;"",LOWER(L1515)&lt;&gt;"não consta"),IFERROR(INDEX(Empresas!$G:$G,MATCH(A1515,Empresas!$A:$A,0))&amp;"","")&lt;&gt;""),"SIM",""))</f>
        <v/>
      </c>
      <c r="N1515" s="5"/>
      <c r="O1515" s="32" t="str">
        <f aca="false">IF(D1515="","",YEAR(D1515))</f>
        <v/>
      </c>
      <c r="P1515" s="5"/>
    </row>
    <row r="1516" customFormat="false" ht="15" hidden="false" customHeight="false" outlineLevel="0" collapsed="false">
      <c r="A1516" s="27"/>
      <c r="B1516" s="5"/>
      <c r="C1516" s="35"/>
      <c r="D1516" s="18"/>
      <c r="E1516" s="5"/>
      <c r="F1516" s="14"/>
      <c r="G1516" s="5"/>
      <c r="H1516" s="27"/>
      <c r="I1516" s="5"/>
      <c r="J1516" s="19" t="str">
        <f aca="false">IF(A1516="","",IFERROR(INDEX(Empresas!$D:$D,MATCH(A1516,Empresas!$A:$A,0))&amp;"","não consta"))</f>
        <v/>
      </c>
      <c r="K1516" s="19" t="str">
        <f aca="false">IF(A1516="","",IFERROR(INDEX(Sancoes!$B:$B,MATCH(A1516,Sancoes!$A:$A,0))&amp;"","não consta"))</f>
        <v/>
      </c>
      <c r="L1516" s="19" t="str">
        <f aca="false">IF(A1516="","",IFERROR(INDEX(Eleitoral!$B:$B,MATCH(A1516,Eleitoral!$A:$A,0))&amp;"","não consta"))</f>
        <v/>
      </c>
      <c r="M1516" s="28" t="str">
        <f aca="false">IF(A1516="","",IF(OR(AND(K1516&lt;&gt;"",LOWER(K1516)&lt;&gt;"não consta"),AND(L1516&lt;&gt;"",LOWER(L1516)&lt;&gt;"não consta"),IFERROR(INDEX(Empresas!$G:$G,MATCH(A1516,Empresas!$A:$A,0))&amp;"","")&lt;&gt;""),"SIM",""))</f>
        <v/>
      </c>
      <c r="N1516" s="5"/>
      <c r="O1516" s="32" t="str">
        <f aca="false">IF(D1516="","",YEAR(D1516))</f>
        <v/>
      </c>
      <c r="P1516" s="5"/>
    </row>
    <row r="1517" customFormat="false" ht="15" hidden="false" customHeight="false" outlineLevel="0" collapsed="false">
      <c r="A1517" s="27"/>
      <c r="B1517" s="5"/>
      <c r="C1517" s="35"/>
      <c r="D1517" s="18"/>
      <c r="E1517" s="5"/>
      <c r="F1517" s="14"/>
      <c r="G1517" s="5"/>
      <c r="H1517" s="27"/>
      <c r="I1517" s="5"/>
      <c r="J1517" s="19" t="str">
        <f aca="false">IF(A1517="","",IFERROR(INDEX(Empresas!$D:$D,MATCH(A1517,Empresas!$A:$A,0))&amp;"","não consta"))</f>
        <v/>
      </c>
      <c r="K1517" s="19" t="str">
        <f aca="false">IF(A1517="","",IFERROR(INDEX(Sancoes!$B:$B,MATCH(A1517,Sancoes!$A:$A,0))&amp;"","não consta"))</f>
        <v/>
      </c>
      <c r="L1517" s="19" t="str">
        <f aca="false">IF(A1517="","",IFERROR(INDEX(Eleitoral!$B:$B,MATCH(A1517,Eleitoral!$A:$A,0))&amp;"","não consta"))</f>
        <v/>
      </c>
      <c r="M1517" s="28" t="str">
        <f aca="false">IF(A1517="","",IF(OR(AND(K1517&lt;&gt;"",LOWER(K1517)&lt;&gt;"não consta"),AND(L1517&lt;&gt;"",LOWER(L1517)&lt;&gt;"não consta"),IFERROR(INDEX(Empresas!$G:$G,MATCH(A1517,Empresas!$A:$A,0))&amp;"","")&lt;&gt;""),"SIM",""))</f>
        <v/>
      </c>
      <c r="N1517" s="5"/>
      <c r="O1517" s="32" t="str">
        <f aca="false">IF(D1517="","",YEAR(D1517))</f>
        <v/>
      </c>
      <c r="P1517" s="5"/>
    </row>
    <row r="1518" customFormat="false" ht="15" hidden="false" customHeight="false" outlineLevel="0" collapsed="false">
      <c r="A1518" s="27"/>
      <c r="B1518" s="5"/>
      <c r="C1518" s="35"/>
      <c r="D1518" s="18"/>
      <c r="E1518" s="5"/>
      <c r="F1518" s="14"/>
      <c r="G1518" s="5"/>
      <c r="H1518" s="27"/>
      <c r="I1518" s="5"/>
      <c r="J1518" s="19" t="str">
        <f aca="false">IF(A1518="","",IFERROR(INDEX(Empresas!$D:$D,MATCH(A1518,Empresas!$A:$A,0))&amp;"","não consta"))</f>
        <v/>
      </c>
      <c r="K1518" s="19" t="str">
        <f aca="false">IF(A1518="","",IFERROR(INDEX(Sancoes!$B:$B,MATCH(A1518,Sancoes!$A:$A,0))&amp;"","não consta"))</f>
        <v/>
      </c>
      <c r="L1518" s="19" t="str">
        <f aca="false">IF(A1518="","",IFERROR(INDEX(Eleitoral!$B:$B,MATCH(A1518,Eleitoral!$A:$A,0))&amp;"","não consta"))</f>
        <v/>
      </c>
      <c r="M1518" s="28" t="str">
        <f aca="false">IF(A1518="","",IF(OR(AND(K1518&lt;&gt;"",LOWER(K1518)&lt;&gt;"não consta"),AND(L1518&lt;&gt;"",LOWER(L1518)&lt;&gt;"não consta"),IFERROR(INDEX(Empresas!$G:$G,MATCH(A1518,Empresas!$A:$A,0))&amp;"","")&lt;&gt;""),"SIM",""))</f>
        <v/>
      </c>
      <c r="N1518" s="5"/>
      <c r="O1518" s="32" t="str">
        <f aca="false">IF(D1518="","",YEAR(D1518))</f>
        <v/>
      </c>
      <c r="P1518" s="5"/>
    </row>
    <row r="1519" customFormat="false" ht="15" hidden="false" customHeight="false" outlineLevel="0" collapsed="false">
      <c r="A1519" s="27"/>
      <c r="B1519" s="5"/>
      <c r="C1519" s="35"/>
      <c r="D1519" s="18"/>
      <c r="E1519" s="5"/>
      <c r="F1519" s="14"/>
      <c r="G1519" s="5"/>
      <c r="H1519" s="27"/>
      <c r="I1519" s="5"/>
      <c r="J1519" s="19" t="str">
        <f aca="false">IF(A1519="","",IFERROR(INDEX(Empresas!$D:$D,MATCH(A1519,Empresas!$A:$A,0))&amp;"","não consta"))</f>
        <v/>
      </c>
      <c r="K1519" s="19" t="str">
        <f aca="false">IF(A1519="","",IFERROR(INDEX(Sancoes!$B:$B,MATCH(A1519,Sancoes!$A:$A,0))&amp;"","não consta"))</f>
        <v/>
      </c>
      <c r="L1519" s="19" t="str">
        <f aca="false">IF(A1519="","",IFERROR(INDEX(Eleitoral!$B:$B,MATCH(A1519,Eleitoral!$A:$A,0))&amp;"","não consta"))</f>
        <v/>
      </c>
      <c r="M1519" s="28" t="str">
        <f aca="false">IF(A1519="","",IF(OR(AND(K1519&lt;&gt;"",LOWER(K1519)&lt;&gt;"não consta"),AND(L1519&lt;&gt;"",LOWER(L1519)&lt;&gt;"não consta"),IFERROR(INDEX(Empresas!$G:$G,MATCH(A1519,Empresas!$A:$A,0))&amp;"","")&lt;&gt;""),"SIM",""))</f>
        <v/>
      </c>
      <c r="N1519" s="5"/>
      <c r="O1519" s="32" t="str">
        <f aca="false">IF(D1519="","",YEAR(D1519))</f>
        <v/>
      </c>
      <c r="P1519" s="5"/>
    </row>
    <row r="1520" customFormat="false" ht="15" hidden="false" customHeight="false" outlineLevel="0" collapsed="false">
      <c r="A1520" s="27"/>
      <c r="B1520" s="5"/>
      <c r="C1520" s="35"/>
      <c r="D1520" s="18"/>
      <c r="E1520" s="5"/>
      <c r="F1520" s="14"/>
      <c r="G1520" s="5"/>
      <c r="H1520" s="27"/>
      <c r="I1520" s="5"/>
      <c r="J1520" s="19" t="str">
        <f aca="false">IF(A1520="","",IFERROR(INDEX(Empresas!$D:$D,MATCH(A1520,Empresas!$A:$A,0))&amp;"","não consta"))</f>
        <v/>
      </c>
      <c r="K1520" s="19" t="str">
        <f aca="false">IF(A1520="","",IFERROR(INDEX(Sancoes!$B:$B,MATCH(A1520,Sancoes!$A:$A,0))&amp;"","não consta"))</f>
        <v/>
      </c>
      <c r="L1520" s="19" t="str">
        <f aca="false">IF(A1520="","",IFERROR(INDEX(Eleitoral!$B:$B,MATCH(A1520,Eleitoral!$A:$A,0))&amp;"","não consta"))</f>
        <v/>
      </c>
      <c r="M1520" s="28" t="str">
        <f aca="false">IF(A1520="","",IF(OR(AND(K1520&lt;&gt;"",LOWER(K1520)&lt;&gt;"não consta"),AND(L1520&lt;&gt;"",LOWER(L1520)&lt;&gt;"não consta"),IFERROR(INDEX(Empresas!$G:$G,MATCH(A1520,Empresas!$A:$A,0))&amp;"","")&lt;&gt;""),"SIM",""))</f>
        <v/>
      </c>
      <c r="N1520" s="5"/>
      <c r="O1520" s="32" t="str">
        <f aca="false">IF(D1520="","",YEAR(D1520))</f>
        <v/>
      </c>
      <c r="P1520" s="5"/>
    </row>
    <row r="1521" customFormat="false" ht="15" hidden="false" customHeight="false" outlineLevel="0" collapsed="false">
      <c r="A1521" s="27"/>
      <c r="B1521" s="5"/>
      <c r="C1521" s="35"/>
      <c r="D1521" s="18"/>
      <c r="E1521" s="5"/>
      <c r="F1521" s="14"/>
      <c r="G1521" s="5"/>
      <c r="H1521" s="27"/>
      <c r="I1521" s="5"/>
      <c r="J1521" s="19" t="str">
        <f aca="false">IF(A1521="","",IFERROR(INDEX(Empresas!$D:$D,MATCH(A1521,Empresas!$A:$A,0))&amp;"","não consta"))</f>
        <v/>
      </c>
      <c r="K1521" s="19" t="str">
        <f aca="false">IF(A1521="","",IFERROR(INDEX(Sancoes!$B:$B,MATCH(A1521,Sancoes!$A:$A,0))&amp;"","não consta"))</f>
        <v/>
      </c>
      <c r="L1521" s="19" t="str">
        <f aca="false">IF(A1521="","",IFERROR(INDEX(Eleitoral!$B:$B,MATCH(A1521,Eleitoral!$A:$A,0))&amp;"","não consta"))</f>
        <v/>
      </c>
      <c r="M1521" s="28" t="str">
        <f aca="false">IF(A1521="","",IF(OR(AND(K1521&lt;&gt;"",LOWER(K1521)&lt;&gt;"não consta"),AND(L1521&lt;&gt;"",LOWER(L1521)&lt;&gt;"não consta"),IFERROR(INDEX(Empresas!$G:$G,MATCH(A1521,Empresas!$A:$A,0))&amp;"","")&lt;&gt;""),"SIM",""))</f>
        <v/>
      </c>
      <c r="N1521" s="5"/>
      <c r="O1521" s="32" t="str">
        <f aca="false">IF(D1521="","",YEAR(D1521))</f>
        <v/>
      </c>
      <c r="P1521" s="5"/>
    </row>
    <row r="1522" customFormat="false" ht="15" hidden="false" customHeight="false" outlineLevel="0" collapsed="false">
      <c r="A1522" s="27"/>
      <c r="B1522" s="5"/>
      <c r="C1522" s="35"/>
      <c r="D1522" s="18"/>
      <c r="E1522" s="5"/>
      <c r="F1522" s="14"/>
      <c r="G1522" s="5"/>
      <c r="H1522" s="27"/>
      <c r="I1522" s="5"/>
      <c r="J1522" s="19" t="str">
        <f aca="false">IF(A1522="","",IFERROR(INDEX(Empresas!$D:$D,MATCH(A1522,Empresas!$A:$A,0))&amp;"","não consta"))</f>
        <v/>
      </c>
      <c r="K1522" s="19" t="str">
        <f aca="false">IF(A1522="","",IFERROR(INDEX(Sancoes!$B:$B,MATCH(A1522,Sancoes!$A:$A,0))&amp;"","não consta"))</f>
        <v/>
      </c>
      <c r="L1522" s="19" t="str">
        <f aca="false">IF(A1522="","",IFERROR(INDEX(Eleitoral!$B:$B,MATCH(A1522,Eleitoral!$A:$A,0))&amp;"","não consta"))</f>
        <v/>
      </c>
      <c r="M1522" s="28" t="str">
        <f aca="false">IF(A1522="","",IF(OR(AND(K1522&lt;&gt;"",LOWER(K1522)&lt;&gt;"não consta"),AND(L1522&lt;&gt;"",LOWER(L1522)&lt;&gt;"não consta"),IFERROR(INDEX(Empresas!$G:$G,MATCH(A1522,Empresas!$A:$A,0))&amp;"","")&lt;&gt;""),"SIM",""))</f>
        <v/>
      </c>
      <c r="N1522" s="5"/>
      <c r="O1522" s="32" t="str">
        <f aca="false">IF(D1522="","",YEAR(D1522))</f>
        <v/>
      </c>
      <c r="P1522" s="5"/>
    </row>
    <row r="1523" customFormat="false" ht="15" hidden="false" customHeight="false" outlineLevel="0" collapsed="false">
      <c r="A1523" s="27"/>
      <c r="B1523" s="5"/>
      <c r="C1523" s="35"/>
      <c r="D1523" s="18"/>
      <c r="E1523" s="5"/>
      <c r="F1523" s="14"/>
      <c r="G1523" s="5"/>
      <c r="H1523" s="27"/>
      <c r="I1523" s="5"/>
      <c r="J1523" s="19" t="str">
        <f aca="false">IF(A1523="","",IFERROR(INDEX(Empresas!$D:$D,MATCH(A1523,Empresas!$A:$A,0))&amp;"","não consta"))</f>
        <v/>
      </c>
      <c r="K1523" s="19" t="str">
        <f aca="false">IF(A1523="","",IFERROR(INDEX(Sancoes!$B:$B,MATCH(A1523,Sancoes!$A:$A,0))&amp;"","não consta"))</f>
        <v/>
      </c>
      <c r="L1523" s="19" t="str">
        <f aca="false">IF(A1523="","",IFERROR(INDEX(Eleitoral!$B:$B,MATCH(A1523,Eleitoral!$A:$A,0))&amp;"","não consta"))</f>
        <v/>
      </c>
      <c r="M1523" s="28" t="str">
        <f aca="false">IF(A1523="","",IF(OR(AND(K1523&lt;&gt;"",LOWER(K1523)&lt;&gt;"não consta"),AND(L1523&lt;&gt;"",LOWER(L1523)&lt;&gt;"não consta"),IFERROR(INDEX(Empresas!$G:$G,MATCH(A1523,Empresas!$A:$A,0))&amp;"","")&lt;&gt;""),"SIM",""))</f>
        <v/>
      </c>
      <c r="N1523" s="5"/>
      <c r="O1523" s="32" t="str">
        <f aca="false">IF(D1523="","",YEAR(D1523))</f>
        <v/>
      </c>
      <c r="P1523" s="5"/>
    </row>
    <row r="1524" customFormat="false" ht="15" hidden="false" customHeight="false" outlineLevel="0" collapsed="false">
      <c r="A1524" s="27"/>
      <c r="B1524" s="5"/>
      <c r="C1524" s="35"/>
      <c r="D1524" s="18"/>
      <c r="E1524" s="5"/>
      <c r="F1524" s="14"/>
      <c r="G1524" s="5"/>
      <c r="H1524" s="27"/>
      <c r="I1524" s="5"/>
      <c r="J1524" s="19" t="str">
        <f aca="false">IF(A1524="","",IFERROR(INDEX(Empresas!$D:$D,MATCH(A1524,Empresas!$A:$A,0))&amp;"","não consta"))</f>
        <v/>
      </c>
      <c r="K1524" s="19" t="str">
        <f aca="false">IF(A1524="","",IFERROR(INDEX(Sancoes!$B:$B,MATCH(A1524,Sancoes!$A:$A,0))&amp;"","não consta"))</f>
        <v/>
      </c>
      <c r="L1524" s="19" t="str">
        <f aca="false">IF(A1524="","",IFERROR(INDEX(Eleitoral!$B:$B,MATCH(A1524,Eleitoral!$A:$A,0))&amp;"","não consta"))</f>
        <v/>
      </c>
      <c r="M1524" s="28" t="str">
        <f aca="false">IF(A1524="","",IF(OR(AND(K1524&lt;&gt;"",LOWER(K1524)&lt;&gt;"não consta"),AND(L1524&lt;&gt;"",LOWER(L1524)&lt;&gt;"não consta"),IFERROR(INDEX(Empresas!$G:$G,MATCH(A1524,Empresas!$A:$A,0))&amp;"","")&lt;&gt;""),"SIM",""))</f>
        <v/>
      </c>
      <c r="N1524" s="5"/>
      <c r="O1524" s="32" t="str">
        <f aca="false">IF(D1524="","",YEAR(D1524))</f>
        <v/>
      </c>
      <c r="P1524" s="5"/>
    </row>
    <row r="1525" customFormat="false" ht="15" hidden="false" customHeight="false" outlineLevel="0" collapsed="false">
      <c r="A1525" s="27"/>
      <c r="B1525" s="5"/>
      <c r="C1525" s="35"/>
      <c r="D1525" s="18"/>
      <c r="E1525" s="5"/>
      <c r="F1525" s="14"/>
      <c r="G1525" s="5"/>
      <c r="H1525" s="27"/>
      <c r="I1525" s="5"/>
      <c r="J1525" s="19" t="str">
        <f aca="false">IF(A1525="","",IFERROR(INDEX(Empresas!$D:$D,MATCH(A1525,Empresas!$A:$A,0))&amp;"","não consta"))</f>
        <v/>
      </c>
      <c r="K1525" s="19" t="str">
        <f aca="false">IF(A1525="","",IFERROR(INDEX(Sancoes!$B:$B,MATCH(A1525,Sancoes!$A:$A,0))&amp;"","não consta"))</f>
        <v/>
      </c>
      <c r="L1525" s="19" t="str">
        <f aca="false">IF(A1525="","",IFERROR(INDEX(Eleitoral!$B:$B,MATCH(A1525,Eleitoral!$A:$A,0))&amp;"","não consta"))</f>
        <v/>
      </c>
      <c r="M1525" s="28" t="str">
        <f aca="false">IF(A1525="","",IF(OR(AND(K1525&lt;&gt;"",LOWER(K1525)&lt;&gt;"não consta"),AND(L1525&lt;&gt;"",LOWER(L1525)&lt;&gt;"não consta"),IFERROR(INDEX(Empresas!$G:$G,MATCH(A1525,Empresas!$A:$A,0))&amp;"","")&lt;&gt;""),"SIM",""))</f>
        <v/>
      </c>
      <c r="N1525" s="5"/>
      <c r="O1525" s="32" t="str">
        <f aca="false">IF(D1525="","",YEAR(D1525))</f>
        <v/>
      </c>
      <c r="P1525" s="5"/>
    </row>
    <row r="1526" customFormat="false" ht="15" hidden="false" customHeight="false" outlineLevel="0" collapsed="false">
      <c r="A1526" s="27"/>
      <c r="B1526" s="5"/>
      <c r="C1526" s="35"/>
      <c r="D1526" s="18"/>
      <c r="E1526" s="5"/>
      <c r="F1526" s="14"/>
      <c r="G1526" s="5"/>
      <c r="H1526" s="27"/>
      <c r="I1526" s="5"/>
      <c r="J1526" s="19" t="str">
        <f aca="false">IF(A1526="","",IFERROR(INDEX(Empresas!$D:$D,MATCH(A1526,Empresas!$A:$A,0))&amp;"","não consta"))</f>
        <v/>
      </c>
      <c r="K1526" s="19" t="str">
        <f aca="false">IF(A1526="","",IFERROR(INDEX(Sancoes!$B:$B,MATCH(A1526,Sancoes!$A:$A,0))&amp;"","não consta"))</f>
        <v/>
      </c>
      <c r="L1526" s="19" t="str">
        <f aca="false">IF(A1526="","",IFERROR(INDEX(Eleitoral!$B:$B,MATCH(A1526,Eleitoral!$A:$A,0))&amp;"","não consta"))</f>
        <v/>
      </c>
      <c r="M1526" s="28" t="str">
        <f aca="false">IF(A1526="","",IF(OR(AND(K1526&lt;&gt;"",LOWER(K1526)&lt;&gt;"não consta"),AND(L1526&lt;&gt;"",LOWER(L1526)&lt;&gt;"não consta"),IFERROR(INDEX(Empresas!$G:$G,MATCH(A1526,Empresas!$A:$A,0))&amp;"","")&lt;&gt;""),"SIM",""))</f>
        <v/>
      </c>
      <c r="N1526" s="5"/>
      <c r="O1526" s="32" t="str">
        <f aca="false">IF(D1526="","",YEAR(D1526))</f>
        <v/>
      </c>
      <c r="P1526" s="5"/>
    </row>
    <row r="1527" customFormat="false" ht="15" hidden="false" customHeight="false" outlineLevel="0" collapsed="false">
      <c r="A1527" s="27"/>
      <c r="B1527" s="5"/>
      <c r="C1527" s="35"/>
      <c r="D1527" s="18"/>
      <c r="E1527" s="5"/>
      <c r="F1527" s="14"/>
      <c r="G1527" s="5"/>
      <c r="H1527" s="27"/>
      <c r="I1527" s="5"/>
      <c r="J1527" s="19" t="str">
        <f aca="false">IF(A1527="","",IFERROR(INDEX(Empresas!$D:$D,MATCH(A1527,Empresas!$A:$A,0))&amp;"","não consta"))</f>
        <v/>
      </c>
      <c r="K1527" s="19" t="str">
        <f aca="false">IF(A1527="","",IFERROR(INDEX(Sancoes!$B:$B,MATCH(A1527,Sancoes!$A:$A,0))&amp;"","não consta"))</f>
        <v/>
      </c>
      <c r="L1527" s="19" t="str">
        <f aca="false">IF(A1527="","",IFERROR(INDEX(Eleitoral!$B:$B,MATCH(A1527,Eleitoral!$A:$A,0))&amp;"","não consta"))</f>
        <v/>
      </c>
      <c r="M1527" s="28" t="str">
        <f aca="false">IF(A1527="","",IF(OR(AND(K1527&lt;&gt;"",LOWER(K1527)&lt;&gt;"não consta"),AND(L1527&lt;&gt;"",LOWER(L1527)&lt;&gt;"não consta"),IFERROR(INDEX(Empresas!$G:$G,MATCH(A1527,Empresas!$A:$A,0))&amp;"","")&lt;&gt;""),"SIM",""))</f>
        <v/>
      </c>
      <c r="N1527" s="5"/>
      <c r="O1527" s="32" t="str">
        <f aca="false">IF(D1527="","",YEAR(D1527))</f>
        <v/>
      </c>
      <c r="P1527" s="5"/>
    </row>
    <row r="1528" customFormat="false" ht="15" hidden="false" customHeight="false" outlineLevel="0" collapsed="false">
      <c r="A1528" s="27"/>
      <c r="B1528" s="5"/>
      <c r="C1528" s="35"/>
      <c r="D1528" s="18"/>
      <c r="E1528" s="5"/>
      <c r="F1528" s="14"/>
      <c r="G1528" s="5"/>
      <c r="H1528" s="27"/>
      <c r="I1528" s="5"/>
      <c r="J1528" s="19" t="str">
        <f aca="false">IF(A1528="","",IFERROR(INDEX(Empresas!$D:$D,MATCH(A1528,Empresas!$A:$A,0))&amp;"","não consta"))</f>
        <v/>
      </c>
      <c r="K1528" s="19" t="str">
        <f aca="false">IF(A1528="","",IFERROR(INDEX(Sancoes!$B:$B,MATCH(A1528,Sancoes!$A:$A,0))&amp;"","não consta"))</f>
        <v/>
      </c>
      <c r="L1528" s="19" t="str">
        <f aca="false">IF(A1528="","",IFERROR(INDEX(Eleitoral!$B:$B,MATCH(A1528,Eleitoral!$A:$A,0))&amp;"","não consta"))</f>
        <v/>
      </c>
      <c r="M1528" s="28" t="str">
        <f aca="false">IF(A1528="","",IF(OR(AND(K1528&lt;&gt;"",LOWER(K1528)&lt;&gt;"não consta"),AND(L1528&lt;&gt;"",LOWER(L1528)&lt;&gt;"não consta"),IFERROR(INDEX(Empresas!$G:$G,MATCH(A1528,Empresas!$A:$A,0))&amp;"","")&lt;&gt;""),"SIM",""))</f>
        <v/>
      </c>
      <c r="N1528" s="5"/>
      <c r="O1528" s="32" t="str">
        <f aca="false">IF(D1528="","",YEAR(D1528))</f>
        <v/>
      </c>
      <c r="P1528" s="5"/>
    </row>
    <row r="1529" customFormat="false" ht="15" hidden="false" customHeight="false" outlineLevel="0" collapsed="false">
      <c r="A1529" s="27"/>
      <c r="B1529" s="5"/>
      <c r="C1529" s="35"/>
      <c r="D1529" s="18"/>
      <c r="E1529" s="5"/>
      <c r="F1529" s="14"/>
      <c r="G1529" s="5"/>
      <c r="H1529" s="27"/>
      <c r="I1529" s="5"/>
      <c r="J1529" s="19" t="str">
        <f aca="false">IF(A1529="","",IFERROR(INDEX(Empresas!$D:$D,MATCH(A1529,Empresas!$A:$A,0))&amp;"","não consta"))</f>
        <v/>
      </c>
      <c r="K1529" s="19" t="str">
        <f aca="false">IF(A1529="","",IFERROR(INDEX(Sancoes!$B:$B,MATCH(A1529,Sancoes!$A:$A,0))&amp;"","não consta"))</f>
        <v/>
      </c>
      <c r="L1529" s="19" t="str">
        <f aca="false">IF(A1529="","",IFERROR(INDEX(Eleitoral!$B:$B,MATCH(A1529,Eleitoral!$A:$A,0))&amp;"","não consta"))</f>
        <v/>
      </c>
      <c r="M1529" s="28" t="str">
        <f aca="false">IF(A1529="","",IF(OR(AND(K1529&lt;&gt;"",LOWER(K1529)&lt;&gt;"não consta"),AND(L1529&lt;&gt;"",LOWER(L1529)&lt;&gt;"não consta"),IFERROR(INDEX(Empresas!$G:$G,MATCH(A1529,Empresas!$A:$A,0))&amp;"","")&lt;&gt;""),"SIM",""))</f>
        <v/>
      </c>
      <c r="N1529" s="5"/>
      <c r="O1529" s="32" t="str">
        <f aca="false">IF(D1529="","",YEAR(D1529))</f>
        <v/>
      </c>
      <c r="P1529" s="5"/>
    </row>
    <row r="1530" customFormat="false" ht="15" hidden="false" customHeight="false" outlineLevel="0" collapsed="false">
      <c r="A1530" s="27"/>
      <c r="B1530" s="5"/>
      <c r="C1530" s="35"/>
      <c r="D1530" s="18"/>
      <c r="E1530" s="5"/>
      <c r="F1530" s="14"/>
      <c r="G1530" s="5"/>
      <c r="H1530" s="27"/>
      <c r="I1530" s="5"/>
      <c r="J1530" s="19" t="str">
        <f aca="false">IF(A1530="","",IFERROR(INDEX(Empresas!$D:$D,MATCH(A1530,Empresas!$A:$A,0))&amp;"","não consta"))</f>
        <v/>
      </c>
      <c r="K1530" s="19" t="str">
        <f aca="false">IF(A1530="","",IFERROR(INDEX(Sancoes!$B:$B,MATCH(A1530,Sancoes!$A:$A,0))&amp;"","não consta"))</f>
        <v/>
      </c>
      <c r="L1530" s="19" t="str">
        <f aca="false">IF(A1530="","",IFERROR(INDEX(Eleitoral!$B:$B,MATCH(A1530,Eleitoral!$A:$A,0))&amp;"","não consta"))</f>
        <v/>
      </c>
      <c r="M1530" s="28" t="str">
        <f aca="false">IF(A1530="","",IF(OR(AND(K1530&lt;&gt;"",LOWER(K1530)&lt;&gt;"não consta"),AND(L1530&lt;&gt;"",LOWER(L1530)&lt;&gt;"não consta"),IFERROR(INDEX(Empresas!$G:$G,MATCH(A1530,Empresas!$A:$A,0))&amp;"","")&lt;&gt;""),"SIM",""))</f>
        <v/>
      </c>
      <c r="N1530" s="5"/>
      <c r="O1530" s="32" t="str">
        <f aca="false">IF(D1530="","",YEAR(D1530))</f>
        <v/>
      </c>
      <c r="P1530" s="5"/>
    </row>
    <row r="1531" customFormat="false" ht="15" hidden="false" customHeight="false" outlineLevel="0" collapsed="false">
      <c r="A1531" s="27"/>
      <c r="B1531" s="5"/>
      <c r="C1531" s="35"/>
      <c r="D1531" s="18"/>
      <c r="E1531" s="5"/>
      <c r="F1531" s="14"/>
      <c r="G1531" s="5"/>
      <c r="H1531" s="27"/>
      <c r="I1531" s="5"/>
      <c r="J1531" s="19" t="str">
        <f aca="false">IF(A1531="","",IFERROR(INDEX(Empresas!$D:$D,MATCH(A1531,Empresas!$A:$A,0))&amp;"","não consta"))</f>
        <v/>
      </c>
      <c r="K1531" s="19" t="str">
        <f aca="false">IF(A1531="","",IFERROR(INDEX(Sancoes!$B:$B,MATCH(A1531,Sancoes!$A:$A,0))&amp;"","não consta"))</f>
        <v/>
      </c>
      <c r="L1531" s="19" t="str">
        <f aca="false">IF(A1531="","",IFERROR(INDEX(Eleitoral!$B:$B,MATCH(A1531,Eleitoral!$A:$A,0))&amp;"","não consta"))</f>
        <v/>
      </c>
      <c r="M1531" s="28" t="str">
        <f aca="false">IF(A1531="","",IF(OR(AND(K1531&lt;&gt;"",LOWER(K1531)&lt;&gt;"não consta"),AND(L1531&lt;&gt;"",LOWER(L1531)&lt;&gt;"não consta"),IFERROR(INDEX(Empresas!$G:$G,MATCH(A1531,Empresas!$A:$A,0))&amp;"","")&lt;&gt;""),"SIM",""))</f>
        <v/>
      </c>
      <c r="N1531" s="5"/>
      <c r="O1531" s="32" t="str">
        <f aca="false">IF(D1531="","",YEAR(D1531))</f>
        <v/>
      </c>
      <c r="P1531" s="5"/>
    </row>
    <row r="1532" customFormat="false" ht="15" hidden="false" customHeight="false" outlineLevel="0" collapsed="false">
      <c r="A1532" s="27"/>
      <c r="B1532" s="5"/>
      <c r="C1532" s="35"/>
      <c r="D1532" s="18"/>
      <c r="E1532" s="5"/>
      <c r="F1532" s="14"/>
      <c r="G1532" s="5"/>
      <c r="H1532" s="27"/>
      <c r="I1532" s="5"/>
      <c r="J1532" s="19" t="str">
        <f aca="false">IF(A1532="","",IFERROR(INDEX(Empresas!$D:$D,MATCH(A1532,Empresas!$A:$A,0))&amp;"","não consta"))</f>
        <v/>
      </c>
      <c r="K1532" s="19" t="str">
        <f aca="false">IF(A1532="","",IFERROR(INDEX(Sancoes!$B:$B,MATCH(A1532,Sancoes!$A:$A,0))&amp;"","não consta"))</f>
        <v/>
      </c>
      <c r="L1532" s="19" t="str">
        <f aca="false">IF(A1532="","",IFERROR(INDEX(Eleitoral!$B:$B,MATCH(A1532,Eleitoral!$A:$A,0))&amp;"","não consta"))</f>
        <v/>
      </c>
      <c r="M1532" s="28" t="str">
        <f aca="false">IF(A1532="","",IF(OR(AND(K1532&lt;&gt;"",LOWER(K1532)&lt;&gt;"não consta"),AND(L1532&lt;&gt;"",LOWER(L1532)&lt;&gt;"não consta"),IFERROR(INDEX(Empresas!$G:$G,MATCH(A1532,Empresas!$A:$A,0))&amp;"","")&lt;&gt;""),"SIM",""))</f>
        <v/>
      </c>
      <c r="N1532" s="5"/>
      <c r="O1532" s="32" t="str">
        <f aca="false">IF(D1532="","",YEAR(D1532))</f>
        <v/>
      </c>
      <c r="P1532" s="5"/>
    </row>
    <row r="1533" customFormat="false" ht="15" hidden="false" customHeight="false" outlineLevel="0" collapsed="false">
      <c r="A1533" s="27"/>
      <c r="B1533" s="5"/>
      <c r="C1533" s="35"/>
      <c r="D1533" s="18"/>
      <c r="E1533" s="5"/>
      <c r="F1533" s="14"/>
      <c r="G1533" s="5"/>
      <c r="H1533" s="27"/>
      <c r="I1533" s="5"/>
      <c r="J1533" s="19" t="str">
        <f aca="false">IF(A1533="","",IFERROR(INDEX(Empresas!$D:$D,MATCH(A1533,Empresas!$A:$A,0))&amp;"","não consta"))</f>
        <v/>
      </c>
      <c r="K1533" s="19" t="str">
        <f aca="false">IF(A1533="","",IFERROR(INDEX(Sancoes!$B:$B,MATCH(A1533,Sancoes!$A:$A,0))&amp;"","não consta"))</f>
        <v/>
      </c>
      <c r="L1533" s="19" t="str">
        <f aca="false">IF(A1533="","",IFERROR(INDEX(Eleitoral!$B:$B,MATCH(A1533,Eleitoral!$A:$A,0))&amp;"","não consta"))</f>
        <v/>
      </c>
      <c r="M1533" s="28" t="str">
        <f aca="false">IF(A1533="","",IF(OR(AND(K1533&lt;&gt;"",LOWER(K1533)&lt;&gt;"não consta"),AND(L1533&lt;&gt;"",LOWER(L1533)&lt;&gt;"não consta"),IFERROR(INDEX(Empresas!$G:$G,MATCH(A1533,Empresas!$A:$A,0))&amp;"","")&lt;&gt;""),"SIM",""))</f>
        <v/>
      </c>
      <c r="N1533" s="5"/>
      <c r="O1533" s="32" t="str">
        <f aca="false">IF(D1533="","",YEAR(D1533))</f>
        <v/>
      </c>
      <c r="P1533" s="5"/>
    </row>
    <row r="1534" customFormat="false" ht="15" hidden="false" customHeight="false" outlineLevel="0" collapsed="false">
      <c r="A1534" s="27"/>
      <c r="B1534" s="5"/>
      <c r="C1534" s="35"/>
      <c r="D1534" s="18"/>
      <c r="E1534" s="5"/>
      <c r="F1534" s="14"/>
      <c r="G1534" s="5"/>
      <c r="H1534" s="27"/>
      <c r="I1534" s="5"/>
      <c r="J1534" s="19" t="str">
        <f aca="false">IF(A1534="","",IFERROR(INDEX(Empresas!$D:$D,MATCH(A1534,Empresas!$A:$A,0))&amp;"","não consta"))</f>
        <v/>
      </c>
      <c r="K1534" s="19" t="str">
        <f aca="false">IF(A1534="","",IFERROR(INDEX(Sancoes!$B:$B,MATCH(A1534,Sancoes!$A:$A,0))&amp;"","não consta"))</f>
        <v/>
      </c>
      <c r="L1534" s="19" t="str">
        <f aca="false">IF(A1534="","",IFERROR(INDEX(Eleitoral!$B:$B,MATCH(A1534,Eleitoral!$A:$A,0))&amp;"","não consta"))</f>
        <v/>
      </c>
      <c r="M1534" s="28" t="str">
        <f aca="false">IF(A1534="","",IF(OR(AND(K1534&lt;&gt;"",LOWER(K1534)&lt;&gt;"não consta"),AND(L1534&lt;&gt;"",LOWER(L1534)&lt;&gt;"não consta"),IFERROR(INDEX(Empresas!$G:$G,MATCH(A1534,Empresas!$A:$A,0))&amp;"","")&lt;&gt;""),"SIM",""))</f>
        <v/>
      </c>
      <c r="N1534" s="5"/>
      <c r="O1534" s="32" t="str">
        <f aca="false">IF(D1534="","",YEAR(D1534))</f>
        <v/>
      </c>
      <c r="P1534" s="5"/>
    </row>
    <row r="1535" customFormat="false" ht="15" hidden="false" customHeight="false" outlineLevel="0" collapsed="false">
      <c r="A1535" s="27"/>
      <c r="B1535" s="5"/>
      <c r="C1535" s="35"/>
      <c r="D1535" s="18"/>
      <c r="E1535" s="5"/>
      <c r="F1535" s="14"/>
      <c r="G1535" s="5"/>
      <c r="H1535" s="27"/>
      <c r="I1535" s="5"/>
      <c r="J1535" s="19" t="str">
        <f aca="false">IF(A1535="","",IFERROR(INDEX(Empresas!$D:$D,MATCH(A1535,Empresas!$A:$A,0))&amp;"","não consta"))</f>
        <v/>
      </c>
      <c r="K1535" s="19" t="str">
        <f aca="false">IF(A1535="","",IFERROR(INDEX(Sancoes!$B:$B,MATCH(A1535,Sancoes!$A:$A,0))&amp;"","não consta"))</f>
        <v/>
      </c>
      <c r="L1535" s="19" t="str">
        <f aca="false">IF(A1535="","",IFERROR(INDEX(Eleitoral!$B:$B,MATCH(A1535,Eleitoral!$A:$A,0))&amp;"","não consta"))</f>
        <v/>
      </c>
      <c r="M1535" s="28" t="str">
        <f aca="false">IF(A1535="","",IF(OR(AND(K1535&lt;&gt;"",LOWER(K1535)&lt;&gt;"não consta"),AND(L1535&lt;&gt;"",LOWER(L1535)&lt;&gt;"não consta"),IFERROR(INDEX(Empresas!$G:$G,MATCH(A1535,Empresas!$A:$A,0))&amp;"","")&lt;&gt;""),"SIM",""))</f>
        <v/>
      </c>
      <c r="N1535" s="5"/>
      <c r="O1535" s="32" t="str">
        <f aca="false">IF(D1535="","",YEAR(D1535))</f>
        <v/>
      </c>
      <c r="P1535" s="5"/>
    </row>
    <row r="1536" customFormat="false" ht="15" hidden="false" customHeight="false" outlineLevel="0" collapsed="false">
      <c r="A1536" s="27"/>
      <c r="B1536" s="5"/>
      <c r="C1536" s="35"/>
      <c r="D1536" s="18"/>
      <c r="E1536" s="5"/>
      <c r="F1536" s="14"/>
      <c r="G1536" s="5"/>
      <c r="H1536" s="27"/>
      <c r="I1536" s="5"/>
      <c r="J1536" s="19" t="str">
        <f aca="false">IF(A1536="","",IFERROR(INDEX(Empresas!$D:$D,MATCH(A1536,Empresas!$A:$A,0))&amp;"","não consta"))</f>
        <v/>
      </c>
      <c r="K1536" s="19" t="str">
        <f aca="false">IF(A1536="","",IFERROR(INDEX(Sancoes!$B:$B,MATCH(A1536,Sancoes!$A:$A,0))&amp;"","não consta"))</f>
        <v/>
      </c>
      <c r="L1536" s="19" t="str">
        <f aca="false">IF(A1536="","",IFERROR(INDEX(Eleitoral!$B:$B,MATCH(A1536,Eleitoral!$A:$A,0))&amp;"","não consta"))</f>
        <v/>
      </c>
      <c r="M1536" s="28" t="str">
        <f aca="false">IF(A1536="","",IF(OR(AND(K1536&lt;&gt;"",LOWER(K1536)&lt;&gt;"não consta"),AND(L1536&lt;&gt;"",LOWER(L1536)&lt;&gt;"não consta"),IFERROR(INDEX(Empresas!$G:$G,MATCH(A1536,Empresas!$A:$A,0))&amp;"","")&lt;&gt;""),"SIM",""))</f>
        <v/>
      </c>
      <c r="N1536" s="5"/>
      <c r="O1536" s="32" t="str">
        <f aca="false">IF(D1536="","",YEAR(D1536))</f>
        <v/>
      </c>
      <c r="P1536" s="5"/>
    </row>
    <row r="1537" customFormat="false" ht="15" hidden="false" customHeight="false" outlineLevel="0" collapsed="false">
      <c r="A1537" s="27"/>
      <c r="B1537" s="5"/>
      <c r="C1537" s="35"/>
      <c r="D1537" s="18"/>
      <c r="E1537" s="5"/>
      <c r="F1537" s="14"/>
      <c r="G1537" s="5"/>
      <c r="H1537" s="27"/>
      <c r="I1537" s="5"/>
      <c r="J1537" s="19" t="str">
        <f aca="false">IF(A1537="","",IFERROR(INDEX(Empresas!$D:$D,MATCH(A1537,Empresas!$A:$A,0))&amp;"","não consta"))</f>
        <v/>
      </c>
      <c r="K1537" s="19" t="str">
        <f aca="false">IF(A1537="","",IFERROR(INDEX(Sancoes!$B:$B,MATCH(A1537,Sancoes!$A:$A,0))&amp;"","não consta"))</f>
        <v/>
      </c>
      <c r="L1537" s="19" t="str">
        <f aca="false">IF(A1537="","",IFERROR(INDEX(Eleitoral!$B:$B,MATCH(A1537,Eleitoral!$A:$A,0))&amp;"","não consta"))</f>
        <v/>
      </c>
      <c r="M1537" s="28" t="str">
        <f aca="false">IF(A1537="","",IF(OR(AND(K1537&lt;&gt;"",LOWER(K1537)&lt;&gt;"não consta"),AND(L1537&lt;&gt;"",LOWER(L1537)&lt;&gt;"não consta"),IFERROR(INDEX(Empresas!$G:$G,MATCH(A1537,Empresas!$A:$A,0))&amp;"","")&lt;&gt;""),"SIM",""))</f>
        <v/>
      </c>
      <c r="N1537" s="5"/>
      <c r="O1537" s="32" t="str">
        <f aca="false">IF(D1537="","",YEAR(D1537))</f>
        <v/>
      </c>
      <c r="P1537" s="5"/>
    </row>
    <row r="1538" customFormat="false" ht="15" hidden="false" customHeight="false" outlineLevel="0" collapsed="false">
      <c r="A1538" s="27"/>
      <c r="B1538" s="5"/>
      <c r="C1538" s="35"/>
      <c r="D1538" s="18"/>
      <c r="E1538" s="5"/>
      <c r="F1538" s="14"/>
      <c r="G1538" s="5"/>
      <c r="H1538" s="27"/>
      <c r="I1538" s="5"/>
      <c r="J1538" s="19" t="str">
        <f aca="false">IF(A1538="","",IFERROR(INDEX(Empresas!$D:$D,MATCH(A1538,Empresas!$A:$A,0))&amp;"","não consta"))</f>
        <v/>
      </c>
      <c r="K1538" s="19" t="str">
        <f aca="false">IF(A1538="","",IFERROR(INDEX(Sancoes!$B:$B,MATCH(A1538,Sancoes!$A:$A,0))&amp;"","não consta"))</f>
        <v/>
      </c>
      <c r="L1538" s="19" t="str">
        <f aca="false">IF(A1538="","",IFERROR(INDEX(Eleitoral!$B:$B,MATCH(A1538,Eleitoral!$A:$A,0))&amp;"","não consta"))</f>
        <v/>
      </c>
      <c r="M1538" s="28" t="str">
        <f aca="false">IF(A1538="","",IF(OR(AND(K1538&lt;&gt;"",LOWER(K1538)&lt;&gt;"não consta"),AND(L1538&lt;&gt;"",LOWER(L1538)&lt;&gt;"não consta"),IFERROR(INDEX(Empresas!$G:$G,MATCH(A1538,Empresas!$A:$A,0))&amp;"","")&lt;&gt;""),"SIM",""))</f>
        <v/>
      </c>
      <c r="N1538" s="5"/>
      <c r="O1538" s="32" t="str">
        <f aca="false">IF(D1538="","",YEAR(D1538))</f>
        <v/>
      </c>
      <c r="P1538" s="5"/>
    </row>
    <row r="1539" customFormat="false" ht="15" hidden="false" customHeight="false" outlineLevel="0" collapsed="false">
      <c r="A1539" s="27"/>
      <c r="B1539" s="5"/>
      <c r="C1539" s="35"/>
      <c r="D1539" s="18"/>
      <c r="E1539" s="5"/>
      <c r="F1539" s="14"/>
      <c r="G1539" s="5"/>
      <c r="H1539" s="27"/>
      <c r="I1539" s="5"/>
      <c r="J1539" s="19" t="str">
        <f aca="false">IF(A1539="","",IFERROR(INDEX(Empresas!$D:$D,MATCH(A1539,Empresas!$A:$A,0))&amp;"","não consta"))</f>
        <v/>
      </c>
      <c r="K1539" s="19" t="str">
        <f aca="false">IF(A1539="","",IFERROR(INDEX(Sancoes!$B:$B,MATCH(A1539,Sancoes!$A:$A,0))&amp;"","não consta"))</f>
        <v/>
      </c>
      <c r="L1539" s="19" t="str">
        <f aca="false">IF(A1539="","",IFERROR(INDEX(Eleitoral!$B:$B,MATCH(A1539,Eleitoral!$A:$A,0))&amp;"","não consta"))</f>
        <v/>
      </c>
      <c r="M1539" s="28" t="str">
        <f aca="false">IF(A1539="","",IF(OR(AND(K1539&lt;&gt;"",LOWER(K1539)&lt;&gt;"não consta"),AND(L1539&lt;&gt;"",LOWER(L1539)&lt;&gt;"não consta"),IFERROR(INDEX(Empresas!$G:$G,MATCH(A1539,Empresas!$A:$A,0))&amp;"","")&lt;&gt;""),"SIM",""))</f>
        <v/>
      </c>
      <c r="N1539" s="5"/>
      <c r="O1539" s="32" t="str">
        <f aca="false">IF(D1539="","",YEAR(D1539))</f>
        <v/>
      </c>
      <c r="P1539" s="5"/>
    </row>
    <row r="1540" customFormat="false" ht="15" hidden="false" customHeight="false" outlineLevel="0" collapsed="false">
      <c r="A1540" s="27"/>
      <c r="B1540" s="5"/>
      <c r="C1540" s="35"/>
      <c r="D1540" s="18"/>
      <c r="E1540" s="5"/>
      <c r="F1540" s="14"/>
      <c r="G1540" s="5"/>
      <c r="H1540" s="27"/>
      <c r="I1540" s="5"/>
      <c r="J1540" s="19" t="str">
        <f aca="false">IF(A1540="","",IFERROR(INDEX(Empresas!$D:$D,MATCH(A1540,Empresas!$A:$A,0))&amp;"","não consta"))</f>
        <v/>
      </c>
      <c r="K1540" s="19" t="str">
        <f aca="false">IF(A1540="","",IFERROR(INDEX(Sancoes!$B:$B,MATCH(A1540,Sancoes!$A:$A,0))&amp;"","não consta"))</f>
        <v/>
      </c>
      <c r="L1540" s="19" t="str">
        <f aca="false">IF(A1540="","",IFERROR(INDEX(Eleitoral!$B:$B,MATCH(A1540,Eleitoral!$A:$A,0))&amp;"","não consta"))</f>
        <v/>
      </c>
      <c r="M1540" s="28" t="str">
        <f aca="false">IF(A1540="","",IF(OR(AND(K1540&lt;&gt;"",LOWER(K1540)&lt;&gt;"não consta"),AND(L1540&lt;&gt;"",LOWER(L1540)&lt;&gt;"não consta"),IFERROR(INDEX(Empresas!$G:$G,MATCH(A1540,Empresas!$A:$A,0))&amp;"","")&lt;&gt;""),"SIM",""))</f>
        <v/>
      </c>
      <c r="N1540" s="5"/>
      <c r="O1540" s="32" t="str">
        <f aca="false">IF(D1540="","",YEAR(D1540))</f>
        <v/>
      </c>
      <c r="P1540" s="5"/>
    </row>
    <row r="1541" customFormat="false" ht="15" hidden="false" customHeight="false" outlineLevel="0" collapsed="false">
      <c r="A1541" s="27"/>
      <c r="B1541" s="5"/>
      <c r="C1541" s="35"/>
      <c r="D1541" s="18"/>
      <c r="E1541" s="5"/>
      <c r="F1541" s="14"/>
      <c r="G1541" s="5"/>
      <c r="H1541" s="27"/>
      <c r="I1541" s="5"/>
      <c r="J1541" s="19" t="str">
        <f aca="false">IF(A1541="","",IFERROR(INDEX(Empresas!$D:$D,MATCH(A1541,Empresas!$A:$A,0))&amp;"","não consta"))</f>
        <v/>
      </c>
      <c r="K1541" s="19" t="str">
        <f aca="false">IF(A1541="","",IFERROR(INDEX(Sancoes!$B:$B,MATCH(A1541,Sancoes!$A:$A,0))&amp;"","não consta"))</f>
        <v/>
      </c>
      <c r="L1541" s="19" t="str">
        <f aca="false">IF(A1541="","",IFERROR(INDEX(Eleitoral!$B:$B,MATCH(A1541,Eleitoral!$A:$A,0))&amp;"","não consta"))</f>
        <v/>
      </c>
      <c r="M1541" s="28" t="str">
        <f aca="false">IF(A1541="","",IF(OR(AND(K1541&lt;&gt;"",LOWER(K1541)&lt;&gt;"não consta"),AND(L1541&lt;&gt;"",LOWER(L1541)&lt;&gt;"não consta"),IFERROR(INDEX(Empresas!$G:$G,MATCH(A1541,Empresas!$A:$A,0))&amp;"","")&lt;&gt;""),"SIM",""))</f>
        <v/>
      </c>
      <c r="N1541" s="5"/>
      <c r="O1541" s="32" t="str">
        <f aca="false">IF(D1541="","",YEAR(D1541))</f>
        <v/>
      </c>
      <c r="P1541" s="5"/>
    </row>
    <row r="1542" customFormat="false" ht="15" hidden="false" customHeight="false" outlineLevel="0" collapsed="false">
      <c r="A1542" s="27"/>
      <c r="B1542" s="5"/>
      <c r="C1542" s="35"/>
      <c r="D1542" s="18"/>
      <c r="E1542" s="5"/>
      <c r="F1542" s="14"/>
      <c r="G1542" s="5"/>
      <c r="H1542" s="27"/>
      <c r="I1542" s="5"/>
      <c r="J1542" s="19" t="str">
        <f aca="false">IF(A1542="","",IFERROR(INDEX(Empresas!$D:$D,MATCH(A1542,Empresas!$A:$A,0))&amp;"","não consta"))</f>
        <v/>
      </c>
      <c r="K1542" s="19" t="str">
        <f aca="false">IF(A1542="","",IFERROR(INDEX(Sancoes!$B:$B,MATCH(A1542,Sancoes!$A:$A,0))&amp;"","não consta"))</f>
        <v/>
      </c>
      <c r="L1542" s="19" t="str">
        <f aca="false">IF(A1542="","",IFERROR(INDEX(Eleitoral!$B:$B,MATCH(A1542,Eleitoral!$A:$A,0))&amp;"","não consta"))</f>
        <v/>
      </c>
      <c r="M1542" s="28" t="str">
        <f aca="false">IF(A1542="","",IF(OR(AND(K1542&lt;&gt;"",LOWER(K1542)&lt;&gt;"não consta"),AND(L1542&lt;&gt;"",LOWER(L1542)&lt;&gt;"não consta"),IFERROR(INDEX(Empresas!$G:$G,MATCH(A1542,Empresas!$A:$A,0))&amp;"","")&lt;&gt;""),"SIM",""))</f>
        <v/>
      </c>
      <c r="N1542" s="5"/>
      <c r="O1542" s="32" t="str">
        <f aca="false">IF(D1542="","",YEAR(D1542))</f>
        <v/>
      </c>
      <c r="P1542" s="5"/>
    </row>
    <row r="1543" customFormat="false" ht="15" hidden="false" customHeight="false" outlineLevel="0" collapsed="false">
      <c r="A1543" s="27"/>
      <c r="B1543" s="5"/>
      <c r="C1543" s="35"/>
      <c r="D1543" s="18"/>
      <c r="E1543" s="5"/>
      <c r="F1543" s="14"/>
      <c r="G1543" s="5"/>
      <c r="H1543" s="27"/>
      <c r="I1543" s="5"/>
      <c r="J1543" s="19" t="str">
        <f aca="false">IF(A1543="","",IFERROR(INDEX(Empresas!$D:$D,MATCH(A1543,Empresas!$A:$A,0))&amp;"","não consta"))</f>
        <v/>
      </c>
      <c r="K1543" s="19" t="str">
        <f aca="false">IF(A1543="","",IFERROR(INDEX(Sancoes!$B:$B,MATCH(A1543,Sancoes!$A:$A,0))&amp;"","não consta"))</f>
        <v/>
      </c>
      <c r="L1543" s="19" t="str">
        <f aca="false">IF(A1543="","",IFERROR(INDEX(Eleitoral!$B:$B,MATCH(A1543,Eleitoral!$A:$A,0))&amp;"","não consta"))</f>
        <v/>
      </c>
      <c r="M1543" s="28" t="str">
        <f aca="false">IF(A1543="","",IF(OR(AND(K1543&lt;&gt;"",LOWER(K1543)&lt;&gt;"não consta"),AND(L1543&lt;&gt;"",LOWER(L1543)&lt;&gt;"não consta"),IFERROR(INDEX(Empresas!$G:$G,MATCH(A1543,Empresas!$A:$A,0))&amp;"","")&lt;&gt;""),"SIM",""))</f>
        <v/>
      </c>
      <c r="N1543" s="5"/>
      <c r="O1543" s="32" t="str">
        <f aca="false">IF(D1543="","",YEAR(D1543))</f>
        <v/>
      </c>
      <c r="P1543" s="5"/>
    </row>
    <row r="1544" customFormat="false" ht="15" hidden="false" customHeight="false" outlineLevel="0" collapsed="false">
      <c r="A1544" s="27"/>
      <c r="B1544" s="5"/>
      <c r="C1544" s="35"/>
      <c r="D1544" s="18"/>
      <c r="E1544" s="5"/>
      <c r="F1544" s="14"/>
      <c r="G1544" s="5"/>
      <c r="H1544" s="27"/>
      <c r="I1544" s="5"/>
      <c r="J1544" s="19" t="str">
        <f aca="false">IF(A1544="","",IFERROR(INDEX(Empresas!$D:$D,MATCH(A1544,Empresas!$A:$A,0))&amp;"","não consta"))</f>
        <v/>
      </c>
      <c r="K1544" s="19" t="str">
        <f aca="false">IF(A1544="","",IFERROR(INDEX(Sancoes!$B:$B,MATCH(A1544,Sancoes!$A:$A,0))&amp;"","não consta"))</f>
        <v/>
      </c>
      <c r="L1544" s="19" t="str">
        <f aca="false">IF(A1544="","",IFERROR(INDEX(Eleitoral!$B:$B,MATCH(A1544,Eleitoral!$A:$A,0))&amp;"","não consta"))</f>
        <v/>
      </c>
      <c r="M1544" s="28" t="str">
        <f aca="false">IF(A1544="","",IF(OR(AND(K1544&lt;&gt;"",LOWER(K1544)&lt;&gt;"não consta"),AND(L1544&lt;&gt;"",LOWER(L1544)&lt;&gt;"não consta"),IFERROR(INDEX(Empresas!$G:$G,MATCH(A1544,Empresas!$A:$A,0))&amp;"","")&lt;&gt;""),"SIM",""))</f>
        <v/>
      </c>
      <c r="N1544" s="5"/>
      <c r="O1544" s="32" t="str">
        <f aca="false">IF(D1544="","",YEAR(D1544))</f>
        <v/>
      </c>
      <c r="P1544" s="5"/>
    </row>
    <row r="1545" customFormat="false" ht="15" hidden="false" customHeight="false" outlineLevel="0" collapsed="false">
      <c r="A1545" s="27"/>
      <c r="B1545" s="5"/>
      <c r="C1545" s="35"/>
      <c r="D1545" s="18"/>
      <c r="E1545" s="5"/>
      <c r="F1545" s="14"/>
      <c r="G1545" s="5"/>
      <c r="H1545" s="27"/>
      <c r="I1545" s="5"/>
      <c r="J1545" s="19" t="str">
        <f aca="false">IF(A1545="","",IFERROR(INDEX(Empresas!$D:$D,MATCH(A1545,Empresas!$A:$A,0))&amp;"","não consta"))</f>
        <v/>
      </c>
      <c r="K1545" s="19" t="str">
        <f aca="false">IF(A1545="","",IFERROR(INDEX(Sancoes!$B:$B,MATCH(A1545,Sancoes!$A:$A,0))&amp;"","não consta"))</f>
        <v/>
      </c>
      <c r="L1545" s="19" t="str">
        <f aca="false">IF(A1545="","",IFERROR(INDEX(Eleitoral!$B:$B,MATCH(A1545,Eleitoral!$A:$A,0))&amp;"","não consta"))</f>
        <v/>
      </c>
      <c r="M1545" s="28" t="str">
        <f aca="false">IF(A1545="","",IF(OR(AND(K1545&lt;&gt;"",LOWER(K1545)&lt;&gt;"não consta"),AND(L1545&lt;&gt;"",LOWER(L1545)&lt;&gt;"não consta"),IFERROR(INDEX(Empresas!$G:$G,MATCH(A1545,Empresas!$A:$A,0))&amp;"","")&lt;&gt;""),"SIM",""))</f>
        <v/>
      </c>
      <c r="N1545" s="5"/>
      <c r="O1545" s="32" t="str">
        <f aca="false">IF(D1545="","",YEAR(D1545))</f>
        <v/>
      </c>
      <c r="P1545" s="5"/>
    </row>
    <row r="1546" customFormat="false" ht="15" hidden="false" customHeight="false" outlineLevel="0" collapsed="false">
      <c r="A1546" s="27"/>
      <c r="B1546" s="5"/>
      <c r="C1546" s="35"/>
      <c r="D1546" s="18"/>
      <c r="E1546" s="5"/>
      <c r="F1546" s="14"/>
      <c r="G1546" s="5"/>
      <c r="H1546" s="27"/>
      <c r="I1546" s="5"/>
      <c r="J1546" s="19" t="str">
        <f aca="false">IF(A1546="","",IFERROR(INDEX(Empresas!$D:$D,MATCH(A1546,Empresas!$A:$A,0))&amp;"","não consta"))</f>
        <v/>
      </c>
      <c r="K1546" s="19" t="str">
        <f aca="false">IF(A1546="","",IFERROR(INDEX(Sancoes!$B:$B,MATCH(A1546,Sancoes!$A:$A,0))&amp;"","não consta"))</f>
        <v/>
      </c>
      <c r="L1546" s="19" t="str">
        <f aca="false">IF(A1546="","",IFERROR(INDEX(Eleitoral!$B:$B,MATCH(A1546,Eleitoral!$A:$A,0))&amp;"","não consta"))</f>
        <v/>
      </c>
      <c r="M1546" s="28" t="str">
        <f aca="false">IF(A1546="","",IF(OR(AND(K1546&lt;&gt;"",LOWER(K1546)&lt;&gt;"não consta"),AND(L1546&lt;&gt;"",LOWER(L1546)&lt;&gt;"não consta"),IFERROR(INDEX(Empresas!$G:$G,MATCH(A1546,Empresas!$A:$A,0))&amp;"","")&lt;&gt;""),"SIM",""))</f>
        <v/>
      </c>
      <c r="N1546" s="5"/>
      <c r="O1546" s="32" t="str">
        <f aca="false">IF(D1546="","",YEAR(D1546))</f>
        <v/>
      </c>
      <c r="P1546" s="5"/>
    </row>
    <row r="1547" customFormat="false" ht="15" hidden="false" customHeight="false" outlineLevel="0" collapsed="false">
      <c r="A1547" s="27"/>
      <c r="B1547" s="5"/>
      <c r="C1547" s="35"/>
      <c r="D1547" s="18"/>
      <c r="E1547" s="5"/>
      <c r="F1547" s="14"/>
      <c r="G1547" s="5"/>
      <c r="H1547" s="27"/>
      <c r="I1547" s="5"/>
      <c r="J1547" s="19" t="str">
        <f aca="false">IF(A1547="","",IFERROR(INDEX(Empresas!$D:$D,MATCH(A1547,Empresas!$A:$A,0))&amp;"","não consta"))</f>
        <v/>
      </c>
      <c r="K1547" s="19" t="str">
        <f aca="false">IF(A1547="","",IFERROR(INDEX(Sancoes!$B:$B,MATCH(A1547,Sancoes!$A:$A,0))&amp;"","não consta"))</f>
        <v/>
      </c>
      <c r="L1547" s="19" t="str">
        <f aca="false">IF(A1547="","",IFERROR(INDEX(Eleitoral!$B:$B,MATCH(A1547,Eleitoral!$A:$A,0))&amp;"","não consta"))</f>
        <v/>
      </c>
      <c r="M1547" s="28" t="str">
        <f aca="false">IF(A1547="","",IF(OR(AND(K1547&lt;&gt;"",LOWER(K1547)&lt;&gt;"não consta"),AND(L1547&lt;&gt;"",LOWER(L1547)&lt;&gt;"não consta"),IFERROR(INDEX(Empresas!$G:$G,MATCH(A1547,Empresas!$A:$A,0))&amp;"","")&lt;&gt;""),"SIM",""))</f>
        <v/>
      </c>
      <c r="N1547" s="5"/>
      <c r="O1547" s="32" t="str">
        <f aca="false">IF(D1547="","",YEAR(D1547))</f>
        <v/>
      </c>
      <c r="P1547" s="5"/>
    </row>
    <row r="1548" customFormat="false" ht="15" hidden="false" customHeight="false" outlineLevel="0" collapsed="false">
      <c r="A1548" s="27"/>
      <c r="B1548" s="5"/>
      <c r="C1548" s="35"/>
      <c r="D1548" s="18"/>
      <c r="E1548" s="5"/>
      <c r="F1548" s="14"/>
      <c r="G1548" s="5"/>
      <c r="H1548" s="27"/>
      <c r="I1548" s="5"/>
      <c r="J1548" s="19" t="str">
        <f aca="false">IF(A1548="","",IFERROR(INDEX(Empresas!$D:$D,MATCH(A1548,Empresas!$A:$A,0))&amp;"","não consta"))</f>
        <v/>
      </c>
      <c r="K1548" s="19" t="str">
        <f aca="false">IF(A1548="","",IFERROR(INDEX(Sancoes!$B:$B,MATCH(A1548,Sancoes!$A:$A,0))&amp;"","não consta"))</f>
        <v/>
      </c>
      <c r="L1548" s="19" t="str">
        <f aca="false">IF(A1548="","",IFERROR(INDEX(Eleitoral!$B:$B,MATCH(A1548,Eleitoral!$A:$A,0))&amp;"","não consta"))</f>
        <v/>
      </c>
      <c r="M1548" s="28" t="str">
        <f aca="false">IF(A1548="","",IF(OR(AND(K1548&lt;&gt;"",LOWER(K1548)&lt;&gt;"não consta"),AND(L1548&lt;&gt;"",LOWER(L1548)&lt;&gt;"não consta"),IFERROR(INDEX(Empresas!$G:$G,MATCH(A1548,Empresas!$A:$A,0))&amp;"","")&lt;&gt;""),"SIM",""))</f>
        <v/>
      </c>
      <c r="N1548" s="5"/>
      <c r="O1548" s="32" t="str">
        <f aca="false">IF(D1548="","",YEAR(D1548))</f>
        <v/>
      </c>
      <c r="P1548" s="5"/>
    </row>
    <row r="1549" customFormat="false" ht="15" hidden="false" customHeight="false" outlineLevel="0" collapsed="false">
      <c r="A1549" s="27"/>
      <c r="B1549" s="5"/>
      <c r="C1549" s="35"/>
      <c r="D1549" s="18"/>
      <c r="E1549" s="5"/>
      <c r="F1549" s="14"/>
      <c r="G1549" s="5"/>
      <c r="H1549" s="27"/>
      <c r="I1549" s="5"/>
      <c r="J1549" s="19" t="str">
        <f aca="false">IF(A1549="","",IFERROR(INDEX(Empresas!$D:$D,MATCH(A1549,Empresas!$A:$A,0))&amp;"","não consta"))</f>
        <v/>
      </c>
      <c r="K1549" s="19" t="str">
        <f aca="false">IF(A1549="","",IFERROR(INDEX(Sancoes!$B:$B,MATCH(A1549,Sancoes!$A:$A,0))&amp;"","não consta"))</f>
        <v/>
      </c>
      <c r="L1549" s="19" t="str">
        <f aca="false">IF(A1549="","",IFERROR(INDEX(Eleitoral!$B:$B,MATCH(A1549,Eleitoral!$A:$A,0))&amp;"","não consta"))</f>
        <v/>
      </c>
      <c r="M1549" s="28" t="str">
        <f aca="false">IF(A1549="","",IF(OR(AND(K1549&lt;&gt;"",LOWER(K1549)&lt;&gt;"não consta"),AND(L1549&lt;&gt;"",LOWER(L1549)&lt;&gt;"não consta"),IFERROR(INDEX(Empresas!$G:$G,MATCH(A1549,Empresas!$A:$A,0))&amp;"","")&lt;&gt;""),"SIM",""))</f>
        <v/>
      </c>
      <c r="N1549" s="5"/>
      <c r="O1549" s="32" t="str">
        <f aca="false">IF(D1549="","",YEAR(D1549))</f>
        <v/>
      </c>
      <c r="P1549" s="5"/>
    </row>
    <row r="1550" customFormat="false" ht="15" hidden="false" customHeight="false" outlineLevel="0" collapsed="false">
      <c r="A1550" s="27"/>
      <c r="B1550" s="5"/>
      <c r="C1550" s="35"/>
      <c r="D1550" s="18"/>
      <c r="E1550" s="5"/>
      <c r="F1550" s="14"/>
      <c r="G1550" s="5"/>
      <c r="H1550" s="27"/>
      <c r="I1550" s="5"/>
      <c r="J1550" s="19" t="str">
        <f aca="false">IF(A1550="","",IFERROR(INDEX(Empresas!$D:$D,MATCH(A1550,Empresas!$A:$A,0))&amp;"","não consta"))</f>
        <v/>
      </c>
      <c r="K1550" s="19" t="str">
        <f aca="false">IF(A1550="","",IFERROR(INDEX(Sancoes!$B:$B,MATCH(A1550,Sancoes!$A:$A,0))&amp;"","não consta"))</f>
        <v/>
      </c>
      <c r="L1550" s="19" t="str">
        <f aca="false">IF(A1550="","",IFERROR(INDEX(Eleitoral!$B:$B,MATCH(A1550,Eleitoral!$A:$A,0))&amp;"","não consta"))</f>
        <v/>
      </c>
      <c r="M1550" s="28" t="str">
        <f aca="false">IF(A1550="","",IF(OR(AND(K1550&lt;&gt;"",LOWER(K1550)&lt;&gt;"não consta"),AND(L1550&lt;&gt;"",LOWER(L1550)&lt;&gt;"não consta"),IFERROR(INDEX(Empresas!$G:$G,MATCH(A1550,Empresas!$A:$A,0))&amp;"","")&lt;&gt;""),"SIM",""))</f>
        <v/>
      </c>
      <c r="N1550" s="5"/>
      <c r="O1550" s="32" t="str">
        <f aca="false">IF(D1550="","",YEAR(D1550))</f>
        <v/>
      </c>
      <c r="P1550" s="5"/>
    </row>
    <row r="1551" customFormat="false" ht="15" hidden="false" customHeight="false" outlineLevel="0" collapsed="false">
      <c r="A1551" s="27"/>
      <c r="B1551" s="5"/>
      <c r="C1551" s="35"/>
      <c r="D1551" s="18"/>
      <c r="E1551" s="5"/>
      <c r="F1551" s="14"/>
      <c r="G1551" s="5"/>
      <c r="H1551" s="27"/>
      <c r="I1551" s="5"/>
      <c r="J1551" s="19" t="str">
        <f aca="false">IF(A1551="","",IFERROR(INDEX(Empresas!$D:$D,MATCH(A1551,Empresas!$A:$A,0))&amp;"","não consta"))</f>
        <v/>
      </c>
      <c r="K1551" s="19" t="str">
        <f aca="false">IF(A1551="","",IFERROR(INDEX(Sancoes!$B:$B,MATCH(A1551,Sancoes!$A:$A,0))&amp;"","não consta"))</f>
        <v/>
      </c>
      <c r="L1551" s="19" t="str">
        <f aca="false">IF(A1551="","",IFERROR(INDEX(Eleitoral!$B:$B,MATCH(A1551,Eleitoral!$A:$A,0))&amp;"","não consta"))</f>
        <v/>
      </c>
      <c r="M1551" s="28" t="str">
        <f aca="false">IF(A1551="","",IF(OR(AND(K1551&lt;&gt;"",LOWER(K1551)&lt;&gt;"não consta"),AND(L1551&lt;&gt;"",LOWER(L1551)&lt;&gt;"não consta"),IFERROR(INDEX(Empresas!$G:$G,MATCH(A1551,Empresas!$A:$A,0))&amp;"","")&lt;&gt;""),"SIM",""))</f>
        <v/>
      </c>
      <c r="N1551" s="5"/>
      <c r="O1551" s="32" t="str">
        <f aca="false">IF(D1551="","",YEAR(D1551))</f>
        <v/>
      </c>
      <c r="P1551" s="5"/>
    </row>
    <row r="1552" customFormat="false" ht="15" hidden="false" customHeight="false" outlineLevel="0" collapsed="false">
      <c r="A1552" s="27"/>
      <c r="B1552" s="5"/>
      <c r="C1552" s="35"/>
      <c r="D1552" s="18"/>
      <c r="E1552" s="5"/>
      <c r="F1552" s="14"/>
      <c r="G1552" s="5"/>
      <c r="H1552" s="27"/>
      <c r="I1552" s="5"/>
      <c r="J1552" s="19" t="str">
        <f aca="false">IF(A1552="","",IFERROR(INDEX(Empresas!$D:$D,MATCH(A1552,Empresas!$A:$A,0))&amp;"","não consta"))</f>
        <v/>
      </c>
      <c r="K1552" s="19" t="str">
        <f aca="false">IF(A1552="","",IFERROR(INDEX(Sancoes!$B:$B,MATCH(A1552,Sancoes!$A:$A,0))&amp;"","não consta"))</f>
        <v/>
      </c>
      <c r="L1552" s="19" t="str">
        <f aca="false">IF(A1552="","",IFERROR(INDEX(Eleitoral!$B:$B,MATCH(A1552,Eleitoral!$A:$A,0))&amp;"","não consta"))</f>
        <v/>
      </c>
      <c r="M1552" s="28" t="str">
        <f aca="false">IF(A1552="","",IF(OR(AND(K1552&lt;&gt;"",LOWER(K1552)&lt;&gt;"não consta"),AND(L1552&lt;&gt;"",LOWER(L1552)&lt;&gt;"não consta"),IFERROR(INDEX(Empresas!$G:$G,MATCH(A1552,Empresas!$A:$A,0))&amp;"","")&lt;&gt;""),"SIM",""))</f>
        <v/>
      </c>
      <c r="N1552" s="5"/>
      <c r="O1552" s="32" t="str">
        <f aca="false">IF(D1552="","",YEAR(D1552))</f>
        <v/>
      </c>
      <c r="P1552" s="5"/>
    </row>
    <row r="1553" customFormat="false" ht="15" hidden="false" customHeight="false" outlineLevel="0" collapsed="false">
      <c r="A1553" s="27"/>
      <c r="B1553" s="5"/>
      <c r="C1553" s="35"/>
      <c r="D1553" s="18"/>
      <c r="E1553" s="5"/>
      <c r="F1553" s="14"/>
      <c r="G1553" s="5"/>
      <c r="H1553" s="27"/>
      <c r="I1553" s="5"/>
      <c r="J1553" s="19" t="str">
        <f aca="false">IF(A1553="","",IFERROR(INDEX(Empresas!$D:$D,MATCH(A1553,Empresas!$A:$A,0))&amp;"","não consta"))</f>
        <v/>
      </c>
      <c r="K1553" s="19" t="str">
        <f aca="false">IF(A1553="","",IFERROR(INDEX(Sancoes!$B:$B,MATCH(A1553,Sancoes!$A:$A,0))&amp;"","não consta"))</f>
        <v/>
      </c>
      <c r="L1553" s="19" t="str">
        <f aca="false">IF(A1553="","",IFERROR(INDEX(Eleitoral!$B:$B,MATCH(A1553,Eleitoral!$A:$A,0))&amp;"","não consta"))</f>
        <v/>
      </c>
      <c r="M1553" s="28" t="str">
        <f aca="false">IF(A1553="","",IF(OR(AND(K1553&lt;&gt;"",LOWER(K1553)&lt;&gt;"não consta"),AND(L1553&lt;&gt;"",LOWER(L1553)&lt;&gt;"não consta"),IFERROR(INDEX(Empresas!$G:$G,MATCH(A1553,Empresas!$A:$A,0))&amp;"","")&lt;&gt;""),"SIM",""))</f>
        <v/>
      </c>
      <c r="N1553" s="5"/>
      <c r="O1553" s="32" t="str">
        <f aca="false">IF(D1553="","",YEAR(D1553))</f>
        <v/>
      </c>
      <c r="P1553" s="5"/>
    </row>
    <row r="1554" customFormat="false" ht="15" hidden="false" customHeight="false" outlineLevel="0" collapsed="false">
      <c r="A1554" s="27"/>
      <c r="B1554" s="5"/>
      <c r="C1554" s="35"/>
      <c r="D1554" s="18"/>
      <c r="E1554" s="5"/>
      <c r="F1554" s="14"/>
      <c r="G1554" s="5"/>
      <c r="H1554" s="27"/>
      <c r="I1554" s="5"/>
      <c r="J1554" s="19" t="str">
        <f aca="false">IF(A1554="","",IFERROR(INDEX(Empresas!$D:$D,MATCH(A1554,Empresas!$A:$A,0))&amp;"","não consta"))</f>
        <v/>
      </c>
      <c r="K1554" s="19" t="str">
        <f aca="false">IF(A1554="","",IFERROR(INDEX(Sancoes!$B:$B,MATCH(A1554,Sancoes!$A:$A,0))&amp;"","não consta"))</f>
        <v/>
      </c>
      <c r="L1554" s="19" t="str">
        <f aca="false">IF(A1554="","",IFERROR(INDEX(Eleitoral!$B:$B,MATCH(A1554,Eleitoral!$A:$A,0))&amp;"","não consta"))</f>
        <v/>
      </c>
      <c r="M1554" s="28" t="str">
        <f aca="false">IF(A1554="","",IF(OR(AND(K1554&lt;&gt;"",LOWER(K1554)&lt;&gt;"não consta"),AND(L1554&lt;&gt;"",LOWER(L1554)&lt;&gt;"não consta"),IFERROR(INDEX(Empresas!$G:$G,MATCH(A1554,Empresas!$A:$A,0))&amp;"","")&lt;&gt;""),"SIM",""))</f>
        <v/>
      </c>
      <c r="N1554" s="5"/>
      <c r="O1554" s="32" t="str">
        <f aca="false">IF(D1554="","",YEAR(D1554))</f>
        <v/>
      </c>
      <c r="P1554" s="5"/>
    </row>
    <row r="1555" customFormat="false" ht="15" hidden="false" customHeight="false" outlineLevel="0" collapsed="false">
      <c r="A1555" s="27"/>
      <c r="B1555" s="5"/>
      <c r="C1555" s="35"/>
      <c r="D1555" s="18"/>
      <c r="E1555" s="5"/>
      <c r="F1555" s="14"/>
      <c r="G1555" s="5"/>
      <c r="H1555" s="27"/>
      <c r="I1555" s="5"/>
      <c r="J1555" s="19" t="str">
        <f aca="false">IF(A1555="","",IFERROR(INDEX(Empresas!$D:$D,MATCH(A1555,Empresas!$A:$A,0))&amp;"","não consta"))</f>
        <v/>
      </c>
      <c r="K1555" s="19" t="str">
        <f aca="false">IF(A1555="","",IFERROR(INDEX(Sancoes!$B:$B,MATCH(A1555,Sancoes!$A:$A,0))&amp;"","não consta"))</f>
        <v/>
      </c>
      <c r="L1555" s="19" t="str">
        <f aca="false">IF(A1555="","",IFERROR(INDEX(Eleitoral!$B:$B,MATCH(A1555,Eleitoral!$A:$A,0))&amp;"","não consta"))</f>
        <v/>
      </c>
      <c r="M1555" s="28" t="str">
        <f aca="false">IF(A1555="","",IF(OR(AND(K1555&lt;&gt;"",LOWER(K1555)&lt;&gt;"não consta"),AND(L1555&lt;&gt;"",LOWER(L1555)&lt;&gt;"não consta"),IFERROR(INDEX(Empresas!$G:$G,MATCH(A1555,Empresas!$A:$A,0))&amp;"","")&lt;&gt;""),"SIM",""))</f>
        <v/>
      </c>
      <c r="N1555" s="5"/>
      <c r="O1555" s="32" t="str">
        <f aca="false">IF(D1555="","",YEAR(D1555))</f>
        <v/>
      </c>
      <c r="P1555" s="5"/>
    </row>
    <row r="1556" customFormat="false" ht="15" hidden="false" customHeight="false" outlineLevel="0" collapsed="false">
      <c r="A1556" s="27"/>
      <c r="B1556" s="5"/>
      <c r="C1556" s="35"/>
      <c r="D1556" s="18"/>
      <c r="E1556" s="5"/>
      <c r="F1556" s="14"/>
      <c r="G1556" s="5"/>
      <c r="H1556" s="27"/>
      <c r="I1556" s="5"/>
      <c r="J1556" s="19" t="str">
        <f aca="false">IF(A1556="","",IFERROR(INDEX(Empresas!$D:$D,MATCH(A1556,Empresas!$A:$A,0))&amp;"","não consta"))</f>
        <v/>
      </c>
      <c r="K1556" s="19" t="str">
        <f aca="false">IF(A1556="","",IFERROR(INDEX(Sancoes!$B:$B,MATCH(A1556,Sancoes!$A:$A,0))&amp;"","não consta"))</f>
        <v/>
      </c>
      <c r="L1556" s="19" t="str">
        <f aca="false">IF(A1556="","",IFERROR(INDEX(Eleitoral!$B:$B,MATCH(A1556,Eleitoral!$A:$A,0))&amp;"","não consta"))</f>
        <v/>
      </c>
      <c r="M1556" s="28" t="str">
        <f aca="false">IF(A1556="","",IF(OR(AND(K1556&lt;&gt;"",LOWER(K1556)&lt;&gt;"não consta"),AND(L1556&lt;&gt;"",LOWER(L1556)&lt;&gt;"não consta"),IFERROR(INDEX(Empresas!$G:$G,MATCH(A1556,Empresas!$A:$A,0))&amp;"","")&lt;&gt;""),"SIM",""))</f>
        <v/>
      </c>
      <c r="N1556" s="5"/>
      <c r="O1556" s="32" t="str">
        <f aca="false">IF(D1556="","",YEAR(D1556))</f>
        <v/>
      </c>
      <c r="P1556" s="5"/>
    </row>
    <row r="1557" customFormat="false" ht="15" hidden="false" customHeight="false" outlineLevel="0" collapsed="false">
      <c r="A1557" s="27"/>
      <c r="B1557" s="5"/>
      <c r="C1557" s="35"/>
      <c r="D1557" s="18"/>
      <c r="E1557" s="5"/>
      <c r="F1557" s="14"/>
      <c r="G1557" s="5"/>
      <c r="H1557" s="27"/>
      <c r="I1557" s="5"/>
      <c r="J1557" s="19" t="str">
        <f aca="false">IF(A1557="","",IFERROR(INDEX(Empresas!$D:$D,MATCH(A1557,Empresas!$A:$A,0))&amp;"","não consta"))</f>
        <v/>
      </c>
      <c r="K1557" s="19" t="str">
        <f aca="false">IF(A1557="","",IFERROR(INDEX(Sancoes!$B:$B,MATCH(A1557,Sancoes!$A:$A,0))&amp;"","não consta"))</f>
        <v/>
      </c>
      <c r="L1557" s="19" t="str">
        <f aca="false">IF(A1557="","",IFERROR(INDEX(Eleitoral!$B:$B,MATCH(A1557,Eleitoral!$A:$A,0))&amp;"","não consta"))</f>
        <v/>
      </c>
      <c r="M1557" s="28" t="str">
        <f aca="false">IF(A1557="","",IF(OR(AND(K1557&lt;&gt;"",LOWER(K1557)&lt;&gt;"não consta"),AND(L1557&lt;&gt;"",LOWER(L1557)&lt;&gt;"não consta"),IFERROR(INDEX(Empresas!$G:$G,MATCH(A1557,Empresas!$A:$A,0))&amp;"","")&lt;&gt;""),"SIM",""))</f>
        <v/>
      </c>
      <c r="N1557" s="5"/>
      <c r="O1557" s="32" t="str">
        <f aca="false">IF(D1557="","",YEAR(D1557))</f>
        <v/>
      </c>
      <c r="P1557" s="5"/>
    </row>
    <row r="1558" customFormat="false" ht="15" hidden="false" customHeight="false" outlineLevel="0" collapsed="false">
      <c r="A1558" s="27"/>
      <c r="B1558" s="5"/>
      <c r="C1558" s="35"/>
      <c r="D1558" s="18"/>
      <c r="E1558" s="5"/>
      <c r="F1558" s="14"/>
      <c r="G1558" s="5"/>
      <c r="H1558" s="27"/>
      <c r="I1558" s="5"/>
      <c r="J1558" s="19" t="str">
        <f aca="false">IF(A1558="","",IFERROR(INDEX(Empresas!$D:$D,MATCH(A1558,Empresas!$A:$A,0))&amp;"","não consta"))</f>
        <v/>
      </c>
      <c r="K1558" s="19" t="str">
        <f aca="false">IF(A1558="","",IFERROR(INDEX(Sancoes!$B:$B,MATCH(A1558,Sancoes!$A:$A,0))&amp;"","não consta"))</f>
        <v/>
      </c>
      <c r="L1558" s="19" t="str">
        <f aca="false">IF(A1558="","",IFERROR(INDEX(Eleitoral!$B:$B,MATCH(A1558,Eleitoral!$A:$A,0))&amp;"","não consta"))</f>
        <v/>
      </c>
      <c r="M1558" s="28" t="str">
        <f aca="false">IF(A1558="","",IF(OR(AND(K1558&lt;&gt;"",LOWER(K1558)&lt;&gt;"não consta"),AND(L1558&lt;&gt;"",LOWER(L1558)&lt;&gt;"não consta"),IFERROR(INDEX(Empresas!$G:$G,MATCH(A1558,Empresas!$A:$A,0))&amp;"","")&lt;&gt;""),"SIM",""))</f>
        <v/>
      </c>
      <c r="N1558" s="5"/>
      <c r="O1558" s="32" t="str">
        <f aca="false">IF(D1558="","",YEAR(D1558))</f>
        <v/>
      </c>
      <c r="P1558" s="5"/>
    </row>
    <row r="1559" customFormat="false" ht="15" hidden="false" customHeight="false" outlineLevel="0" collapsed="false">
      <c r="A1559" s="27"/>
      <c r="B1559" s="5"/>
      <c r="C1559" s="35"/>
      <c r="D1559" s="18"/>
      <c r="E1559" s="5"/>
      <c r="F1559" s="14"/>
      <c r="G1559" s="5"/>
      <c r="H1559" s="27"/>
      <c r="I1559" s="5"/>
      <c r="J1559" s="19" t="str">
        <f aca="false">IF(A1559="","",IFERROR(INDEX(Empresas!$D:$D,MATCH(A1559,Empresas!$A:$A,0))&amp;"","não consta"))</f>
        <v/>
      </c>
      <c r="K1559" s="19" t="str">
        <f aca="false">IF(A1559="","",IFERROR(INDEX(Sancoes!$B:$B,MATCH(A1559,Sancoes!$A:$A,0))&amp;"","não consta"))</f>
        <v/>
      </c>
      <c r="L1559" s="19" t="str">
        <f aca="false">IF(A1559="","",IFERROR(INDEX(Eleitoral!$B:$B,MATCH(A1559,Eleitoral!$A:$A,0))&amp;"","não consta"))</f>
        <v/>
      </c>
      <c r="M1559" s="28" t="str">
        <f aca="false">IF(A1559="","",IF(OR(AND(K1559&lt;&gt;"",LOWER(K1559)&lt;&gt;"não consta"),AND(L1559&lt;&gt;"",LOWER(L1559)&lt;&gt;"não consta"),IFERROR(INDEX(Empresas!$G:$G,MATCH(A1559,Empresas!$A:$A,0))&amp;"","")&lt;&gt;""),"SIM",""))</f>
        <v/>
      </c>
      <c r="N1559" s="5"/>
      <c r="O1559" s="32" t="str">
        <f aca="false">IF(D1559="","",YEAR(D1559))</f>
        <v/>
      </c>
      <c r="P1559" s="5"/>
    </row>
    <row r="1560" customFormat="false" ht="15" hidden="false" customHeight="false" outlineLevel="0" collapsed="false">
      <c r="A1560" s="27"/>
      <c r="B1560" s="5"/>
      <c r="C1560" s="35"/>
      <c r="D1560" s="18"/>
      <c r="E1560" s="5"/>
      <c r="F1560" s="14"/>
      <c r="G1560" s="5"/>
      <c r="H1560" s="27"/>
      <c r="I1560" s="5"/>
      <c r="J1560" s="19" t="str">
        <f aca="false">IF(A1560="","",IFERROR(INDEX(Empresas!$D:$D,MATCH(A1560,Empresas!$A:$A,0))&amp;"","não consta"))</f>
        <v/>
      </c>
      <c r="K1560" s="19" t="str">
        <f aca="false">IF(A1560="","",IFERROR(INDEX(Sancoes!$B:$B,MATCH(A1560,Sancoes!$A:$A,0))&amp;"","não consta"))</f>
        <v/>
      </c>
      <c r="L1560" s="19" t="str">
        <f aca="false">IF(A1560="","",IFERROR(INDEX(Eleitoral!$B:$B,MATCH(A1560,Eleitoral!$A:$A,0))&amp;"","não consta"))</f>
        <v/>
      </c>
      <c r="M1560" s="28" t="str">
        <f aca="false">IF(A1560="","",IF(OR(AND(K1560&lt;&gt;"",LOWER(K1560)&lt;&gt;"não consta"),AND(L1560&lt;&gt;"",LOWER(L1560)&lt;&gt;"não consta"),IFERROR(INDEX(Empresas!$G:$G,MATCH(A1560,Empresas!$A:$A,0))&amp;"","")&lt;&gt;""),"SIM",""))</f>
        <v/>
      </c>
      <c r="N1560" s="5"/>
      <c r="O1560" s="32" t="str">
        <f aca="false">IF(D1560="","",YEAR(D1560))</f>
        <v/>
      </c>
      <c r="P1560" s="5"/>
    </row>
    <row r="1561" customFormat="false" ht="15" hidden="false" customHeight="false" outlineLevel="0" collapsed="false">
      <c r="A1561" s="27"/>
      <c r="B1561" s="5"/>
      <c r="C1561" s="35"/>
      <c r="D1561" s="18"/>
      <c r="E1561" s="5"/>
      <c r="F1561" s="14"/>
      <c r="G1561" s="5"/>
      <c r="H1561" s="27"/>
      <c r="I1561" s="5"/>
      <c r="J1561" s="19" t="str">
        <f aca="false">IF(A1561="","",IFERROR(INDEX(Empresas!$D:$D,MATCH(A1561,Empresas!$A:$A,0))&amp;"","não consta"))</f>
        <v/>
      </c>
      <c r="K1561" s="19" t="str">
        <f aca="false">IF(A1561="","",IFERROR(INDEX(Sancoes!$B:$B,MATCH(A1561,Sancoes!$A:$A,0))&amp;"","não consta"))</f>
        <v/>
      </c>
      <c r="L1561" s="19" t="str">
        <f aca="false">IF(A1561="","",IFERROR(INDEX(Eleitoral!$B:$B,MATCH(A1561,Eleitoral!$A:$A,0))&amp;"","não consta"))</f>
        <v/>
      </c>
      <c r="M1561" s="28" t="str">
        <f aca="false">IF(A1561="","",IF(OR(AND(K1561&lt;&gt;"",LOWER(K1561)&lt;&gt;"não consta"),AND(L1561&lt;&gt;"",LOWER(L1561)&lt;&gt;"não consta"),IFERROR(INDEX(Empresas!$G:$G,MATCH(A1561,Empresas!$A:$A,0))&amp;"","")&lt;&gt;""),"SIM",""))</f>
        <v/>
      </c>
      <c r="N1561" s="5"/>
      <c r="O1561" s="32" t="str">
        <f aca="false">IF(D1561="","",YEAR(D1561))</f>
        <v/>
      </c>
      <c r="P1561" s="5"/>
    </row>
    <row r="1562" customFormat="false" ht="15" hidden="false" customHeight="false" outlineLevel="0" collapsed="false">
      <c r="A1562" s="27"/>
      <c r="B1562" s="5"/>
      <c r="C1562" s="35"/>
      <c r="D1562" s="18"/>
      <c r="E1562" s="5"/>
      <c r="F1562" s="14"/>
      <c r="G1562" s="5"/>
      <c r="H1562" s="27"/>
      <c r="I1562" s="5"/>
      <c r="J1562" s="19" t="str">
        <f aca="false">IF(A1562="","",IFERROR(INDEX(Empresas!$D:$D,MATCH(A1562,Empresas!$A:$A,0))&amp;"","não consta"))</f>
        <v/>
      </c>
      <c r="K1562" s="19" t="str">
        <f aca="false">IF(A1562="","",IFERROR(INDEX(Sancoes!$B:$B,MATCH(A1562,Sancoes!$A:$A,0))&amp;"","não consta"))</f>
        <v/>
      </c>
      <c r="L1562" s="19" t="str">
        <f aca="false">IF(A1562="","",IFERROR(INDEX(Eleitoral!$B:$B,MATCH(A1562,Eleitoral!$A:$A,0))&amp;"","não consta"))</f>
        <v/>
      </c>
      <c r="M1562" s="28" t="str">
        <f aca="false">IF(A1562="","",IF(OR(AND(K1562&lt;&gt;"",LOWER(K1562)&lt;&gt;"não consta"),AND(L1562&lt;&gt;"",LOWER(L1562)&lt;&gt;"não consta"),IFERROR(INDEX(Empresas!$G:$G,MATCH(A1562,Empresas!$A:$A,0))&amp;"","")&lt;&gt;""),"SIM",""))</f>
        <v/>
      </c>
      <c r="N1562" s="5"/>
      <c r="O1562" s="32" t="str">
        <f aca="false">IF(D1562="","",YEAR(D1562))</f>
        <v/>
      </c>
      <c r="P1562" s="5"/>
    </row>
    <row r="1563" customFormat="false" ht="15" hidden="false" customHeight="false" outlineLevel="0" collapsed="false">
      <c r="A1563" s="27"/>
      <c r="B1563" s="5"/>
      <c r="C1563" s="35"/>
      <c r="D1563" s="18"/>
      <c r="E1563" s="5"/>
      <c r="F1563" s="14"/>
      <c r="G1563" s="5"/>
      <c r="H1563" s="27"/>
      <c r="I1563" s="5"/>
      <c r="J1563" s="19" t="str">
        <f aca="false">IF(A1563="","",IFERROR(INDEX(Empresas!$D:$D,MATCH(A1563,Empresas!$A:$A,0))&amp;"","não consta"))</f>
        <v/>
      </c>
      <c r="K1563" s="19" t="str">
        <f aca="false">IF(A1563="","",IFERROR(INDEX(Sancoes!$B:$B,MATCH(A1563,Sancoes!$A:$A,0))&amp;"","não consta"))</f>
        <v/>
      </c>
      <c r="L1563" s="19" t="str">
        <f aca="false">IF(A1563="","",IFERROR(INDEX(Eleitoral!$B:$B,MATCH(A1563,Eleitoral!$A:$A,0))&amp;"","não consta"))</f>
        <v/>
      </c>
      <c r="M1563" s="28" t="str">
        <f aca="false">IF(A1563="","",IF(OR(AND(K1563&lt;&gt;"",LOWER(K1563)&lt;&gt;"não consta"),AND(L1563&lt;&gt;"",LOWER(L1563)&lt;&gt;"não consta"),IFERROR(INDEX(Empresas!$G:$G,MATCH(A1563,Empresas!$A:$A,0))&amp;"","")&lt;&gt;""),"SIM",""))</f>
        <v/>
      </c>
      <c r="N1563" s="5"/>
      <c r="O1563" s="32" t="str">
        <f aca="false">IF(D1563="","",YEAR(D1563))</f>
        <v/>
      </c>
      <c r="P1563" s="5"/>
    </row>
    <row r="1564" customFormat="false" ht="15" hidden="false" customHeight="false" outlineLevel="0" collapsed="false">
      <c r="A1564" s="27"/>
      <c r="B1564" s="5"/>
      <c r="C1564" s="35"/>
      <c r="D1564" s="18"/>
      <c r="E1564" s="5"/>
      <c r="F1564" s="14"/>
      <c r="G1564" s="5"/>
      <c r="H1564" s="27"/>
      <c r="I1564" s="5"/>
      <c r="J1564" s="19" t="str">
        <f aca="false">IF(A1564="","",IFERROR(INDEX(Empresas!$D:$D,MATCH(A1564,Empresas!$A:$A,0))&amp;"","não consta"))</f>
        <v/>
      </c>
      <c r="K1564" s="19" t="str">
        <f aca="false">IF(A1564="","",IFERROR(INDEX(Sancoes!$B:$B,MATCH(A1564,Sancoes!$A:$A,0))&amp;"","não consta"))</f>
        <v/>
      </c>
      <c r="L1564" s="19" t="str">
        <f aca="false">IF(A1564="","",IFERROR(INDEX(Eleitoral!$B:$B,MATCH(A1564,Eleitoral!$A:$A,0))&amp;"","não consta"))</f>
        <v/>
      </c>
      <c r="M1564" s="28" t="str">
        <f aca="false">IF(A1564="","",IF(OR(AND(K1564&lt;&gt;"",LOWER(K1564)&lt;&gt;"não consta"),AND(L1564&lt;&gt;"",LOWER(L1564)&lt;&gt;"não consta"),IFERROR(INDEX(Empresas!$G:$G,MATCH(A1564,Empresas!$A:$A,0))&amp;"","")&lt;&gt;""),"SIM",""))</f>
        <v/>
      </c>
      <c r="N1564" s="5"/>
      <c r="O1564" s="32" t="str">
        <f aca="false">IF(D1564="","",YEAR(D1564))</f>
        <v/>
      </c>
      <c r="P1564" s="5"/>
    </row>
    <row r="1565" customFormat="false" ht="15" hidden="false" customHeight="false" outlineLevel="0" collapsed="false">
      <c r="A1565" s="27"/>
      <c r="B1565" s="5"/>
      <c r="C1565" s="35"/>
      <c r="D1565" s="18"/>
      <c r="E1565" s="5"/>
      <c r="F1565" s="14"/>
      <c r="G1565" s="5"/>
      <c r="H1565" s="27"/>
      <c r="I1565" s="5"/>
      <c r="J1565" s="19" t="str">
        <f aca="false">IF(A1565="","",IFERROR(INDEX(Empresas!$D:$D,MATCH(A1565,Empresas!$A:$A,0))&amp;"","não consta"))</f>
        <v/>
      </c>
      <c r="K1565" s="19" t="str">
        <f aca="false">IF(A1565="","",IFERROR(INDEX(Sancoes!$B:$B,MATCH(A1565,Sancoes!$A:$A,0))&amp;"","não consta"))</f>
        <v/>
      </c>
      <c r="L1565" s="19" t="str">
        <f aca="false">IF(A1565="","",IFERROR(INDEX(Eleitoral!$B:$B,MATCH(A1565,Eleitoral!$A:$A,0))&amp;"","não consta"))</f>
        <v/>
      </c>
      <c r="M1565" s="28" t="str">
        <f aca="false">IF(A1565="","",IF(OR(AND(K1565&lt;&gt;"",LOWER(K1565)&lt;&gt;"não consta"),AND(L1565&lt;&gt;"",LOWER(L1565)&lt;&gt;"não consta"),IFERROR(INDEX(Empresas!$G:$G,MATCH(A1565,Empresas!$A:$A,0))&amp;"","")&lt;&gt;""),"SIM",""))</f>
        <v/>
      </c>
      <c r="N1565" s="5"/>
      <c r="O1565" s="32" t="str">
        <f aca="false">IF(D1565="","",YEAR(D1565))</f>
        <v/>
      </c>
      <c r="P1565" s="5"/>
    </row>
    <row r="1566" customFormat="false" ht="15" hidden="false" customHeight="false" outlineLevel="0" collapsed="false">
      <c r="A1566" s="27"/>
      <c r="B1566" s="5"/>
      <c r="C1566" s="35"/>
      <c r="D1566" s="18"/>
      <c r="E1566" s="5"/>
      <c r="F1566" s="14"/>
      <c r="G1566" s="5"/>
      <c r="H1566" s="27"/>
      <c r="I1566" s="5"/>
      <c r="J1566" s="19" t="str">
        <f aca="false">IF(A1566="","",IFERROR(INDEX(Empresas!$D:$D,MATCH(A1566,Empresas!$A:$A,0))&amp;"","não consta"))</f>
        <v/>
      </c>
      <c r="K1566" s="19" t="str">
        <f aca="false">IF(A1566="","",IFERROR(INDEX(Sancoes!$B:$B,MATCH(A1566,Sancoes!$A:$A,0))&amp;"","não consta"))</f>
        <v/>
      </c>
      <c r="L1566" s="19" t="str">
        <f aca="false">IF(A1566="","",IFERROR(INDEX(Eleitoral!$B:$B,MATCH(A1566,Eleitoral!$A:$A,0))&amp;"","não consta"))</f>
        <v/>
      </c>
      <c r="M1566" s="28" t="str">
        <f aca="false">IF(A1566="","",IF(OR(AND(K1566&lt;&gt;"",LOWER(K1566)&lt;&gt;"não consta"),AND(L1566&lt;&gt;"",LOWER(L1566)&lt;&gt;"não consta"),IFERROR(INDEX(Empresas!$G:$G,MATCH(A1566,Empresas!$A:$A,0))&amp;"","")&lt;&gt;""),"SIM",""))</f>
        <v/>
      </c>
      <c r="N1566" s="5"/>
      <c r="O1566" s="32" t="str">
        <f aca="false">IF(D1566="","",YEAR(D1566))</f>
        <v/>
      </c>
      <c r="P1566" s="5"/>
    </row>
    <row r="1567" customFormat="false" ht="15" hidden="false" customHeight="false" outlineLevel="0" collapsed="false">
      <c r="A1567" s="27"/>
      <c r="B1567" s="5"/>
      <c r="C1567" s="35"/>
      <c r="D1567" s="18"/>
      <c r="E1567" s="5"/>
      <c r="F1567" s="14"/>
      <c r="G1567" s="5"/>
      <c r="H1567" s="27"/>
      <c r="I1567" s="5"/>
      <c r="J1567" s="19" t="str">
        <f aca="false">IF(A1567="","",IFERROR(INDEX(Empresas!$D:$D,MATCH(A1567,Empresas!$A:$A,0))&amp;"","não consta"))</f>
        <v/>
      </c>
      <c r="K1567" s="19" t="str">
        <f aca="false">IF(A1567="","",IFERROR(INDEX(Sancoes!$B:$B,MATCH(A1567,Sancoes!$A:$A,0))&amp;"","não consta"))</f>
        <v/>
      </c>
      <c r="L1567" s="19" t="str">
        <f aca="false">IF(A1567="","",IFERROR(INDEX(Eleitoral!$B:$B,MATCH(A1567,Eleitoral!$A:$A,0))&amp;"","não consta"))</f>
        <v/>
      </c>
      <c r="M1567" s="28" t="str">
        <f aca="false">IF(A1567="","",IF(OR(AND(K1567&lt;&gt;"",LOWER(K1567)&lt;&gt;"não consta"),AND(L1567&lt;&gt;"",LOWER(L1567)&lt;&gt;"não consta"),IFERROR(INDEX(Empresas!$G:$G,MATCH(A1567,Empresas!$A:$A,0))&amp;"","")&lt;&gt;""),"SIM",""))</f>
        <v/>
      </c>
      <c r="N1567" s="5"/>
      <c r="O1567" s="32" t="str">
        <f aca="false">IF(D1567="","",YEAR(D1567))</f>
        <v/>
      </c>
      <c r="P1567" s="5"/>
    </row>
    <row r="1568" customFormat="false" ht="15" hidden="false" customHeight="false" outlineLevel="0" collapsed="false">
      <c r="A1568" s="27"/>
      <c r="B1568" s="5"/>
      <c r="C1568" s="35"/>
      <c r="D1568" s="18"/>
      <c r="E1568" s="5"/>
      <c r="F1568" s="14"/>
      <c r="G1568" s="5"/>
      <c r="H1568" s="27"/>
      <c r="I1568" s="5"/>
      <c r="J1568" s="19" t="str">
        <f aca="false">IF(A1568="","",IFERROR(INDEX(Empresas!$D:$D,MATCH(A1568,Empresas!$A:$A,0))&amp;"","não consta"))</f>
        <v/>
      </c>
      <c r="K1568" s="19" t="str">
        <f aca="false">IF(A1568="","",IFERROR(INDEX(Sancoes!$B:$B,MATCH(A1568,Sancoes!$A:$A,0))&amp;"","não consta"))</f>
        <v/>
      </c>
      <c r="L1568" s="19" t="str">
        <f aca="false">IF(A1568="","",IFERROR(INDEX(Eleitoral!$B:$B,MATCH(A1568,Eleitoral!$A:$A,0))&amp;"","não consta"))</f>
        <v/>
      </c>
      <c r="M1568" s="28" t="str">
        <f aca="false">IF(A1568="","",IF(OR(AND(K1568&lt;&gt;"",LOWER(K1568)&lt;&gt;"não consta"),AND(L1568&lt;&gt;"",LOWER(L1568)&lt;&gt;"não consta"),IFERROR(INDEX(Empresas!$G:$G,MATCH(A1568,Empresas!$A:$A,0))&amp;"","")&lt;&gt;""),"SIM",""))</f>
        <v/>
      </c>
      <c r="N1568" s="5"/>
      <c r="O1568" s="32" t="str">
        <f aca="false">IF(D1568="","",YEAR(D1568))</f>
        <v/>
      </c>
      <c r="P1568" s="5"/>
    </row>
    <row r="1569" customFormat="false" ht="15" hidden="false" customHeight="false" outlineLevel="0" collapsed="false">
      <c r="A1569" s="27"/>
      <c r="B1569" s="5"/>
      <c r="C1569" s="35"/>
      <c r="D1569" s="18"/>
      <c r="E1569" s="5"/>
      <c r="F1569" s="14"/>
      <c r="G1569" s="5"/>
      <c r="H1569" s="27"/>
      <c r="I1569" s="5"/>
      <c r="J1569" s="19" t="str">
        <f aca="false">IF(A1569="","",IFERROR(INDEX(Empresas!$D:$D,MATCH(A1569,Empresas!$A:$A,0))&amp;"","não consta"))</f>
        <v/>
      </c>
      <c r="K1569" s="19" t="str">
        <f aca="false">IF(A1569="","",IFERROR(INDEX(Sancoes!$B:$B,MATCH(A1569,Sancoes!$A:$A,0))&amp;"","não consta"))</f>
        <v/>
      </c>
      <c r="L1569" s="19" t="str">
        <f aca="false">IF(A1569="","",IFERROR(INDEX(Eleitoral!$B:$B,MATCH(A1569,Eleitoral!$A:$A,0))&amp;"","não consta"))</f>
        <v/>
      </c>
      <c r="M1569" s="28" t="str">
        <f aca="false">IF(A1569="","",IF(OR(AND(K1569&lt;&gt;"",LOWER(K1569)&lt;&gt;"não consta"),AND(L1569&lt;&gt;"",LOWER(L1569)&lt;&gt;"não consta"),IFERROR(INDEX(Empresas!$G:$G,MATCH(A1569,Empresas!$A:$A,0))&amp;"","")&lt;&gt;""),"SIM",""))</f>
        <v/>
      </c>
      <c r="N1569" s="5"/>
      <c r="O1569" s="32" t="str">
        <f aca="false">IF(D1569="","",YEAR(D1569))</f>
        <v/>
      </c>
      <c r="P1569" s="5"/>
    </row>
    <row r="1570" customFormat="false" ht="15" hidden="false" customHeight="false" outlineLevel="0" collapsed="false">
      <c r="A1570" s="27"/>
      <c r="B1570" s="5"/>
      <c r="C1570" s="35"/>
      <c r="D1570" s="18"/>
      <c r="E1570" s="5"/>
      <c r="F1570" s="14"/>
      <c r="G1570" s="5"/>
      <c r="H1570" s="27"/>
      <c r="I1570" s="5"/>
      <c r="J1570" s="19" t="str">
        <f aca="false">IF(A1570="","",IFERROR(INDEX(Empresas!$D:$D,MATCH(A1570,Empresas!$A:$A,0))&amp;"","não consta"))</f>
        <v/>
      </c>
      <c r="K1570" s="19" t="str">
        <f aca="false">IF(A1570="","",IFERROR(INDEX(Sancoes!$B:$B,MATCH(A1570,Sancoes!$A:$A,0))&amp;"","não consta"))</f>
        <v/>
      </c>
      <c r="L1570" s="19" t="str">
        <f aca="false">IF(A1570="","",IFERROR(INDEX(Eleitoral!$B:$B,MATCH(A1570,Eleitoral!$A:$A,0))&amp;"","não consta"))</f>
        <v/>
      </c>
      <c r="M1570" s="28" t="str">
        <f aca="false">IF(A1570="","",IF(OR(AND(K1570&lt;&gt;"",LOWER(K1570)&lt;&gt;"não consta"),AND(L1570&lt;&gt;"",LOWER(L1570)&lt;&gt;"não consta"),IFERROR(INDEX(Empresas!$G:$G,MATCH(A1570,Empresas!$A:$A,0))&amp;"","")&lt;&gt;""),"SIM",""))</f>
        <v/>
      </c>
      <c r="N1570" s="5"/>
      <c r="O1570" s="32" t="str">
        <f aca="false">IF(D1570="","",YEAR(D1570))</f>
        <v/>
      </c>
      <c r="P1570" s="5"/>
    </row>
    <row r="1571" customFormat="false" ht="15" hidden="false" customHeight="false" outlineLevel="0" collapsed="false">
      <c r="A1571" s="27"/>
      <c r="B1571" s="5"/>
      <c r="C1571" s="35"/>
      <c r="D1571" s="18"/>
      <c r="E1571" s="5"/>
      <c r="F1571" s="14"/>
      <c r="G1571" s="5"/>
      <c r="H1571" s="27"/>
      <c r="I1571" s="5"/>
      <c r="J1571" s="19" t="str">
        <f aca="false">IF(A1571="","",IFERROR(INDEX(Empresas!$D:$D,MATCH(A1571,Empresas!$A:$A,0))&amp;"","não consta"))</f>
        <v/>
      </c>
      <c r="K1571" s="19" t="str">
        <f aca="false">IF(A1571="","",IFERROR(INDEX(Sancoes!$B:$B,MATCH(A1571,Sancoes!$A:$A,0))&amp;"","não consta"))</f>
        <v/>
      </c>
      <c r="L1571" s="19" t="str">
        <f aca="false">IF(A1571="","",IFERROR(INDEX(Eleitoral!$B:$B,MATCH(A1571,Eleitoral!$A:$A,0))&amp;"","não consta"))</f>
        <v/>
      </c>
      <c r="M1571" s="28" t="str">
        <f aca="false">IF(A1571="","",IF(OR(AND(K1571&lt;&gt;"",LOWER(K1571)&lt;&gt;"não consta"),AND(L1571&lt;&gt;"",LOWER(L1571)&lt;&gt;"não consta"),IFERROR(INDEX(Empresas!$G:$G,MATCH(A1571,Empresas!$A:$A,0))&amp;"","")&lt;&gt;""),"SIM",""))</f>
        <v/>
      </c>
      <c r="N1571" s="5"/>
      <c r="O1571" s="32" t="str">
        <f aca="false">IF(D1571="","",YEAR(D1571))</f>
        <v/>
      </c>
      <c r="P1571" s="5"/>
    </row>
    <row r="1572" customFormat="false" ht="15" hidden="false" customHeight="false" outlineLevel="0" collapsed="false">
      <c r="A1572" s="27"/>
      <c r="B1572" s="5"/>
      <c r="C1572" s="35"/>
      <c r="D1572" s="18"/>
      <c r="E1572" s="5"/>
      <c r="F1572" s="14"/>
      <c r="G1572" s="5"/>
      <c r="H1572" s="27"/>
      <c r="I1572" s="5"/>
      <c r="J1572" s="19" t="str">
        <f aca="false">IF(A1572="","",IFERROR(INDEX(Empresas!$D:$D,MATCH(A1572,Empresas!$A:$A,0))&amp;"","não consta"))</f>
        <v/>
      </c>
      <c r="K1572" s="19" t="str">
        <f aca="false">IF(A1572="","",IFERROR(INDEX(Sancoes!$B:$B,MATCH(A1572,Sancoes!$A:$A,0))&amp;"","não consta"))</f>
        <v/>
      </c>
      <c r="L1572" s="19" t="str">
        <f aca="false">IF(A1572="","",IFERROR(INDEX(Eleitoral!$B:$B,MATCH(A1572,Eleitoral!$A:$A,0))&amp;"","não consta"))</f>
        <v/>
      </c>
      <c r="M1572" s="28" t="str">
        <f aca="false">IF(A1572="","",IF(OR(AND(K1572&lt;&gt;"",LOWER(K1572)&lt;&gt;"não consta"),AND(L1572&lt;&gt;"",LOWER(L1572)&lt;&gt;"não consta"),IFERROR(INDEX(Empresas!$G:$G,MATCH(A1572,Empresas!$A:$A,0))&amp;"","")&lt;&gt;""),"SIM",""))</f>
        <v/>
      </c>
      <c r="N1572" s="5"/>
      <c r="O1572" s="32" t="str">
        <f aca="false">IF(D1572="","",YEAR(D1572))</f>
        <v/>
      </c>
      <c r="P1572" s="5"/>
    </row>
    <row r="1573" customFormat="false" ht="15" hidden="false" customHeight="false" outlineLevel="0" collapsed="false">
      <c r="A1573" s="27"/>
      <c r="B1573" s="5"/>
      <c r="C1573" s="35"/>
      <c r="D1573" s="18"/>
      <c r="E1573" s="5"/>
      <c r="F1573" s="14"/>
      <c r="G1573" s="5"/>
      <c r="H1573" s="27"/>
      <c r="I1573" s="5"/>
      <c r="J1573" s="19" t="str">
        <f aca="false">IF(A1573="","",IFERROR(INDEX(Empresas!$D:$D,MATCH(A1573,Empresas!$A:$A,0))&amp;"","não consta"))</f>
        <v/>
      </c>
      <c r="K1573" s="19" t="str">
        <f aca="false">IF(A1573="","",IFERROR(INDEX(Sancoes!$B:$B,MATCH(A1573,Sancoes!$A:$A,0))&amp;"","não consta"))</f>
        <v/>
      </c>
      <c r="L1573" s="19" t="str">
        <f aca="false">IF(A1573="","",IFERROR(INDEX(Eleitoral!$B:$B,MATCH(A1573,Eleitoral!$A:$A,0))&amp;"","não consta"))</f>
        <v/>
      </c>
      <c r="M1573" s="28" t="str">
        <f aca="false">IF(A1573="","",IF(OR(AND(K1573&lt;&gt;"",LOWER(K1573)&lt;&gt;"não consta"),AND(L1573&lt;&gt;"",LOWER(L1573)&lt;&gt;"não consta"),IFERROR(INDEX(Empresas!$G:$G,MATCH(A1573,Empresas!$A:$A,0))&amp;"","")&lt;&gt;""),"SIM",""))</f>
        <v/>
      </c>
      <c r="N1573" s="5"/>
      <c r="O1573" s="32" t="str">
        <f aca="false">IF(D1573="","",YEAR(D1573))</f>
        <v/>
      </c>
      <c r="P1573" s="5"/>
    </row>
    <row r="1574" customFormat="false" ht="15" hidden="false" customHeight="false" outlineLevel="0" collapsed="false">
      <c r="A1574" s="27"/>
      <c r="B1574" s="5"/>
      <c r="C1574" s="35"/>
      <c r="D1574" s="18"/>
      <c r="E1574" s="5"/>
      <c r="F1574" s="14"/>
      <c r="G1574" s="5"/>
      <c r="H1574" s="27"/>
      <c r="I1574" s="5"/>
      <c r="J1574" s="19" t="str">
        <f aca="false">IF(A1574="","",IFERROR(INDEX(Empresas!$D:$D,MATCH(A1574,Empresas!$A:$A,0))&amp;"","não consta"))</f>
        <v/>
      </c>
      <c r="K1574" s="19" t="str">
        <f aca="false">IF(A1574="","",IFERROR(INDEX(Sancoes!$B:$B,MATCH(A1574,Sancoes!$A:$A,0))&amp;"","não consta"))</f>
        <v/>
      </c>
      <c r="L1574" s="19" t="str">
        <f aca="false">IF(A1574="","",IFERROR(INDEX(Eleitoral!$B:$B,MATCH(A1574,Eleitoral!$A:$A,0))&amp;"","não consta"))</f>
        <v/>
      </c>
      <c r="M1574" s="28" t="str">
        <f aca="false">IF(A1574="","",IF(OR(AND(K1574&lt;&gt;"",LOWER(K1574)&lt;&gt;"não consta"),AND(L1574&lt;&gt;"",LOWER(L1574)&lt;&gt;"não consta"),IFERROR(INDEX(Empresas!$G:$G,MATCH(A1574,Empresas!$A:$A,0))&amp;"","")&lt;&gt;""),"SIM",""))</f>
        <v/>
      </c>
      <c r="N1574" s="5"/>
      <c r="O1574" s="32" t="str">
        <f aca="false">IF(D1574="","",YEAR(D1574))</f>
        <v/>
      </c>
      <c r="P1574" s="5"/>
    </row>
    <row r="1575" customFormat="false" ht="15" hidden="false" customHeight="false" outlineLevel="0" collapsed="false">
      <c r="A1575" s="27"/>
      <c r="B1575" s="5"/>
      <c r="C1575" s="35"/>
      <c r="D1575" s="18"/>
      <c r="E1575" s="5"/>
      <c r="F1575" s="14"/>
      <c r="G1575" s="5"/>
      <c r="H1575" s="27"/>
      <c r="I1575" s="5"/>
      <c r="J1575" s="19" t="str">
        <f aca="false">IF(A1575="","",IFERROR(INDEX(Empresas!$D:$D,MATCH(A1575,Empresas!$A:$A,0))&amp;"","não consta"))</f>
        <v/>
      </c>
      <c r="K1575" s="19" t="str">
        <f aca="false">IF(A1575="","",IFERROR(INDEX(Sancoes!$B:$B,MATCH(A1575,Sancoes!$A:$A,0))&amp;"","não consta"))</f>
        <v/>
      </c>
      <c r="L1575" s="19" t="str">
        <f aca="false">IF(A1575="","",IFERROR(INDEX(Eleitoral!$B:$B,MATCH(A1575,Eleitoral!$A:$A,0))&amp;"","não consta"))</f>
        <v/>
      </c>
      <c r="M1575" s="28" t="str">
        <f aca="false">IF(A1575="","",IF(OR(AND(K1575&lt;&gt;"",LOWER(K1575)&lt;&gt;"não consta"),AND(L1575&lt;&gt;"",LOWER(L1575)&lt;&gt;"não consta"),IFERROR(INDEX(Empresas!$G:$G,MATCH(A1575,Empresas!$A:$A,0))&amp;"","")&lt;&gt;""),"SIM",""))</f>
        <v/>
      </c>
      <c r="N1575" s="5"/>
      <c r="O1575" s="32" t="str">
        <f aca="false">IF(D1575="","",YEAR(D1575))</f>
        <v/>
      </c>
      <c r="P1575" s="5"/>
    </row>
    <row r="1576" customFormat="false" ht="15" hidden="false" customHeight="false" outlineLevel="0" collapsed="false">
      <c r="A1576" s="27"/>
      <c r="B1576" s="5"/>
      <c r="C1576" s="35"/>
      <c r="D1576" s="18"/>
      <c r="E1576" s="5"/>
      <c r="F1576" s="14"/>
      <c r="G1576" s="5"/>
      <c r="H1576" s="27"/>
      <c r="I1576" s="5"/>
      <c r="J1576" s="19" t="str">
        <f aca="false">IF(A1576="","",IFERROR(INDEX(Empresas!$D:$D,MATCH(A1576,Empresas!$A:$A,0))&amp;"","não consta"))</f>
        <v/>
      </c>
      <c r="K1576" s="19" t="str">
        <f aca="false">IF(A1576="","",IFERROR(INDEX(Sancoes!$B:$B,MATCH(A1576,Sancoes!$A:$A,0))&amp;"","não consta"))</f>
        <v/>
      </c>
      <c r="L1576" s="19" t="str">
        <f aca="false">IF(A1576="","",IFERROR(INDEX(Eleitoral!$B:$B,MATCH(A1576,Eleitoral!$A:$A,0))&amp;"","não consta"))</f>
        <v/>
      </c>
      <c r="M1576" s="28" t="str">
        <f aca="false">IF(A1576="","",IF(OR(AND(K1576&lt;&gt;"",LOWER(K1576)&lt;&gt;"não consta"),AND(L1576&lt;&gt;"",LOWER(L1576)&lt;&gt;"não consta"),IFERROR(INDEX(Empresas!$G:$G,MATCH(A1576,Empresas!$A:$A,0))&amp;"","")&lt;&gt;""),"SIM",""))</f>
        <v/>
      </c>
      <c r="N1576" s="5"/>
      <c r="O1576" s="32" t="str">
        <f aca="false">IF(D1576="","",YEAR(D1576))</f>
        <v/>
      </c>
      <c r="P1576" s="5"/>
    </row>
    <row r="1577" customFormat="false" ht="15" hidden="false" customHeight="false" outlineLevel="0" collapsed="false">
      <c r="A1577" s="27"/>
      <c r="B1577" s="5"/>
      <c r="C1577" s="35"/>
      <c r="D1577" s="18"/>
      <c r="E1577" s="5"/>
      <c r="F1577" s="14"/>
      <c r="G1577" s="5"/>
      <c r="H1577" s="27"/>
      <c r="I1577" s="5"/>
      <c r="J1577" s="19" t="str">
        <f aca="false">IF(A1577="","",IFERROR(INDEX(Empresas!$D:$D,MATCH(A1577,Empresas!$A:$A,0))&amp;"","não consta"))</f>
        <v/>
      </c>
      <c r="K1577" s="19" t="str">
        <f aca="false">IF(A1577="","",IFERROR(INDEX(Sancoes!$B:$B,MATCH(A1577,Sancoes!$A:$A,0))&amp;"","não consta"))</f>
        <v/>
      </c>
      <c r="L1577" s="19" t="str">
        <f aca="false">IF(A1577="","",IFERROR(INDEX(Eleitoral!$B:$B,MATCH(A1577,Eleitoral!$A:$A,0))&amp;"","não consta"))</f>
        <v/>
      </c>
      <c r="M1577" s="28" t="str">
        <f aca="false">IF(A1577="","",IF(OR(AND(K1577&lt;&gt;"",LOWER(K1577)&lt;&gt;"não consta"),AND(L1577&lt;&gt;"",LOWER(L1577)&lt;&gt;"não consta"),IFERROR(INDEX(Empresas!$G:$G,MATCH(A1577,Empresas!$A:$A,0))&amp;"","")&lt;&gt;""),"SIM",""))</f>
        <v/>
      </c>
      <c r="N1577" s="5"/>
      <c r="O1577" s="32" t="str">
        <f aca="false">IF(D1577="","",YEAR(D1577))</f>
        <v/>
      </c>
      <c r="P1577" s="5"/>
    </row>
    <row r="1578" customFormat="false" ht="15" hidden="false" customHeight="false" outlineLevel="0" collapsed="false">
      <c r="A1578" s="27"/>
      <c r="B1578" s="5"/>
      <c r="C1578" s="35"/>
      <c r="D1578" s="18"/>
      <c r="E1578" s="5"/>
      <c r="F1578" s="14"/>
      <c r="G1578" s="5"/>
      <c r="H1578" s="27"/>
      <c r="I1578" s="5"/>
      <c r="J1578" s="19" t="str">
        <f aca="false">IF(A1578="","",IFERROR(INDEX(Empresas!$D:$D,MATCH(A1578,Empresas!$A:$A,0))&amp;"","não consta"))</f>
        <v/>
      </c>
      <c r="K1578" s="19" t="str">
        <f aca="false">IF(A1578="","",IFERROR(INDEX(Sancoes!$B:$B,MATCH(A1578,Sancoes!$A:$A,0))&amp;"","não consta"))</f>
        <v/>
      </c>
      <c r="L1578" s="19" t="str">
        <f aca="false">IF(A1578="","",IFERROR(INDEX(Eleitoral!$B:$B,MATCH(A1578,Eleitoral!$A:$A,0))&amp;"","não consta"))</f>
        <v/>
      </c>
      <c r="M1578" s="28" t="str">
        <f aca="false">IF(A1578="","",IF(OR(AND(K1578&lt;&gt;"",LOWER(K1578)&lt;&gt;"não consta"),AND(L1578&lt;&gt;"",LOWER(L1578)&lt;&gt;"não consta"),IFERROR(INDEX(Empresas!$G:$G,MATCH(A1578,Empresas!$A:$A,0))&amp;"","")&lt;&gt;""),"SIM",""))</f>
        <v/>
      </c>
      <c r="N1578" s="5"/>
      <c r="O1578" s="32" t="str">
        <f aca="false">IF(D1578="","",YEAR(D1578))</f>
        <v/>
      </c>
      <c r="P1578" s="5"/>
    </row>
    <row r="1579" customFormat="false" ht="15" hidden="false" customHeight="false" outlineLevel="0" collapsed="false">
      <c r="A1579" s="27"/>
      <c r="B1579" s="5"/>
      <c r="C1579" s="35"/>
      <c r="D1579" s="18"/>
      <c r="E1579" s="5"/>
      <c r="F1579" s="14"/>
      <c r="G1579" s="5"/>
      <c r="H1579" s="27"/>
      <c r="I1579" s="5"/>
      <c r="J1579" s="19" t="str">
        <f aca="false">IF(A1579="","",IFERROR(INDEX(Empresas!$D:$D,MATCH(A1579,Empresas!$A:$A,0))&amp;"","não consta"))</f>
        <v/>
      </c>
      <c r="K1579" s="19" t="str">
        <f aca="false">IF(A1579="","",IFERROR(INDEX(Sancoes!$B:$B,MATCH(A1579,Sancoes!$A:$A,0))&amp;"","não consta"))</f>
        <v/>
      </c>
      <c r="L1579" s="19" t="str">
        <f aca="false">IF(A1579="","",IFERROR(INDEX(Eleitoral!$B:$B,MATCH(A1579,Eleitoral!$A:$A,0))&amp;"","não consta"))</f>
        <v/>
      </c>
      <c r="M1579" s="28" t="str">
        <f aca="false">IF(A1579="","",IF(OR(AND(K1579&lt;&gt;"",LOWER(K1579)&lt;&gt;"não consta"),AND(L1579&lt;&gt;"",LOWER(L1579)&lt;&gt;"não consta"),IFERROR(INDEX(Empresas!$G:$G,MATCH(A1579,Empresas!$A:$A,0))&amp;"","")&lt;&gt;""),"SIM",""))</f>
        <v/>
      </c>
      <c r="N1579" s="5"/>
      <c r="O1579" s="32" t="str">
        <f aca="false">IF(D1579="","",YEAR(D1579))</f>
        <v/>
      </c>
      <c r="P1579" s="5"/>
    </row>
    <row r="1580" customFormat="false" ht="15" hidden="false" customHeight="false" outlineLevel="0" collapsed="false">
      <c r="A1580" s="27"/>
      <c r="B1580" s="5"/>
      <c r="C1580" s="35"/>
      <c r="D1580" s="18"/>
      <c r="E1580" s="5"/>
      <c r="F1580" s="14"/>
      <c r="G1580" s="5"/>
      <c r="H1580" s="27"/>
      <c r="I1580" s="5"/>
      <c r="J1580" s="19" t="str">
        <f aca="false">IF(A1580="","",IFERROR(INDEX(Empresas!$D:$D,MATCH(A1580,Empresas!$A:$A,0))&amp;"","não consta"))</f>
        <v/>
      </c>
      <c r="K1580" s="19" t="str">
        <f aca="false">IF(A1580="","",IFERROR(INDEX(Sancoes!$B:$B,MATCH(A1580,Sancoes!$A:$A,0))&amp;"","não consta"))</f>
        <v/>
      </c>
      <c r="L1580" s="19" t="str">
        <f aca="false">IF(A1580="","",IFERROR(INDEX(Eleitoral!$B:$B,MATCH(A1580,Eleitoral!$A:$A,0))&amp;"","não consta"))</f>
        <v/>
      </c>
      <c r="M1580" s="28" t="str">
        <f aca="false">IF(A1580="","",IF(OR(AND(K1580&lt;&gt;"",LOWER(K1580)&lt;&gt;"não consta"),AND(L1580&lt;&gt;"",LOWER(L1580)&lt;&gt;"não consta"),IFERROR(INDEX(Empresas!$G:$G,MATCH(A1580,Empresas!$A:$A,0))&amp;"","")&lt;&gt;""),"SIM",""))</f>
        <v/>
      </c>
      <c r="N1580" s="5"/>
      <c r="O1580" s="32" t="str">
        <f aca="false">IF(D1580="","",YEAR(D1580))</f>
        <v/>
      </c>
      <c r="P1580" s="5"/>
    </row>
    <row r="1581" customFormat="false" ht="15" hidden="false" customHeight="false" outlineLevel="0" collapsed="false">
      <c r="A1581" s="27"/>
      <c r="B1581" s="5"/>
      <c r="C1581" s="35"/>
      <c r="D1581" s="18"/>
      <c r="E1581" s="5"/>
      <c r="F1581" s="14"/>
      <c r="G1581" s="5"/>
      <c r="H1581" s="27"/>
      <c r="I1581" s="5"/>
      <c r="J1581" s="19" t="str">
        <f aca="false">IF(A1581="","",IFERROR(INDEX(Empresas!$D:$D,MATCH(A1581,Empresas!$A:$A,0))&amp;"","não consta"))</f>
        <v/>
      </c>
      <c r="K1581" s="19" t="str">
        <f aca="false">IF(A1581="","",IFERROR(INDEX(Sancoes!$B:$B,MATCH(A1581,Sancoes!$A:$A,0))&amp;"","não consta"))</f>
        <v/>
      </c>
      <c r="L1581" s="19" t="str">
        <f aca="false">IF(A1581="","",IFERROR(INDEX(Eleitoral!$B:$B,MATCH(A1581,Eleitoral!$A:$A,0))&amp;"","não consta"))</f>
        <v/>
      </c>
      <c r="M1581" s="28" t="str">
        <f aca="false">IF(A1581="","",IF(OR(AND(K1581&lt;&gt;"",LOWER(K1581)&lt;&gt;"não consta"),AND(L1581&lt;&gt;"",LOWER(L1581)&lt;&gt;"não consta"),IFERROR(INDEX(Empresas!$G:$G,MATCH(A1581,Empresas!$A:$A,0))&amp;"","")&lt;&gt;""),"SIM",""))</f>
        <v/>
      </c>
      <c r="N1581" s="5"/>
      <c r="O1581" s="32" t="str">
        <f aca="false">IF(D1581="","",YEAR(D1581))</f>
        <v/>
      </c>
      <c r="P1581" s="5"/>
    </row>
    <row r="1582" customFormat="false" ht="15" hidden="false" customHeight="false" outlineLevel="0" collapsed="false">
      <c r="A1582" s="27"/>
      <c r="B1582" s="5"/>
      <c r="C1582" s="35"/>
      <c r="D1582" s="18"/>
      <c r="E1582" s="5"/>
      <c r="F1582" s="14"/>
      <c r="G1582" s="5"/>
      <c r="H1582" s="27"/>
      <c r="I1582" s="5"/>
      <c r="J1582" s="19" t="str">
        <f aca="false">IF(A1582="","",IFERROR(INDEX(Empresas!$D:$D,MATCH(A1582,Empresas!$A:$A,0))&amp;"","não consta"))</f>
        <v/>
      </c>
      <c r="K1582" s="19" t="str">
        <f aca="false">IF(A1582="","",IFERROR(INDEX(Sancoes!$B:$B,MATCH(A1582,Sancoes!$A:$A,0))&amp;"","não consta"))</f>
        <v/>
      </c>
      <c r="L1582" s="19" t="str">
        <f aca="false">IF(A1582="","",IFERROR(INDEX(Eleitoral!$B:$B,MATCH(A1582,Eleitoral!$A:$A,0))&amp;"","não consta"))</f>
        <v/>
      </c>
      <c r="M1582" s="28" t="str">
        <f aca="false">IF(A1582="","",IF(OR(AND(K1582&lt;&gt;"",LOWER(K1582)&lt;&gt;"não consta"),AND(L1582&lt;&gt;"",LOWER(L1582)&lt;&gt;"não consta"),IFERROR(INDEX(Empresas!$G:$G,MATCH(A1582,Empresas!$A:$A,0))&amp;"","")&lt;&gt;""),"SIM",""))</f>
        <v/>
      </c>
      <c r="N1582" s="5"/>
      <c r="O1582" s="32" t="str">
        <f aca="false">IF(D1582="","",YEAR(D1582))</f>
        <v/>
      </c>
      <c r="P1582" s="5"/>
    </row>
    <row r="1583" customFormat="false" ht="15" hidden="false" customHeight="false" outlineLevel="0" collapsed="false">
      <c r="A1583" s="27"/>
      <c r="B1583" s="5"/>
      <c r="C1583" s="35"/>
      <c r="D1583" s="18"/>
      <c r="E1583" s="5"/>
      <c r="F1583" s="14"/>
      <c r="G1583" s="5"/>
      <c r="H1583" s="27"/>
      <c r="I1583" s="5"/>
      <c r="J1583" s="19" t="str">
        <f aca="false">IF(A1583="","",IFERROR(INDEX(Empresas!$D:$D,MATCH(A1583,Empresas!$A:$A,0))&amp;"","não consta"))</f>
        <v/>
      </c>
      <c r="K1583" s="19" t="str">
        <f aca="false">IF(A1583="","",IFERROR(INDEX(Sancoes!$B:$B,MATCH(A1583,Sancoes!$A:$A,0))&amp;"","não consta"))</f>
        <v/>
      </c>
      <c r="L1583" s="19" t="str">
        <f aca="false">IF(A1583="","",IFERROR(INDEX(Eleitoral!$B:$B,MATCH(A1583,Eleitoral!$A:$A,0))&amp;"","não consta"))</f>
        <v/>
      </c>
      <c r="M1583" s="28" t="str">
        <f aca="false">IF(A1583="","",IF(OR(AND(K1583&lt;&gt;"",LOWER(K1583)&lt;&gt;"não consta"),AND(L1583&lt;&gt;"",LOWER(L1583)&lt;&gt;"não consta"),IFERROR(INDEX(Empresas!$G:$G,MATCH(A1583,Empresas!$A:$A,0))&amp;"","")&lt;&gt;""),"SIM",""))</f>
        <v/>
      </c>
      <c r="N1583" s="5"/>
      <c r="O1583" s="32" t="str">
        <f aca="false">IF(D1583="","",YEAR(D1583))</f>
        <v/>
      </c>
      <c r="P1583" s="5"/>
    </row>
    <row r="1584" customFormat="false" ht="15" hidden="false" customHeight="false" outlineLevel="0" collapsed="false">
      <c r="A1584" s="27"/>
      <c r="B1584" s="5"/>
      <c r="C1584" s="35"/>
      <c r="D1584" s="18"/>
      <c r="E1584" s="5"/>
      <c r="F1584" s="14"/>
      <c r="G1584" s="5"/>
      <c r="H1584" s="27"/>
      <c r="I1584" s="5"/>
      <c r="J1584" s="19" t="str">
        <f aca="false">IF(A1584="","",IFERROR(INDEX(Empresas!$D:$D,MATCH(A1584,Empresas!$A:$A,0))&amp;"","não consta"))</f>
        <v/>
      </c>
      <c r="K1584" s="19" t="str">
        <f aca="false">IF(A1584="","",IFERROR(INDEX(Sancoes!$B:$B,MATCH(A1584,Sancoes!$A:$A,0))&amp;"","não consta"))</f>
        <v/>
      </c>
      <c r="L1584" s="19" t="str">
        <f aca="false">IF(A1584="","",IFERROR(INDEX(Eleitoral!$B:$B,MATCH(A1584,Eleitoral!$A:$A,0))&amp;"","não consta"))</f>
        <v/>
      </c>
      <c r="M1584" s="28" t="str">
        <f aca="false">IF(A1584="","",IF(OR(AND(K1584&lt;&gt;"",LOWER(K1584)&lt;&gt;"não consta"),AND(L1584&lt;&gt;"",LOWER(L1584)&lt;&gt;"não consta"),IFERROR(INDEX(Empresas!$G:$G,MATCH(A1584,Empresas!$A:$A,0))&amp;"","")&lt;&gt;""),"SIM",""))</f>
        <v/>
      </c>
      <c r="N1584" s="5"/>
      <c r="O1584" s="32" t="str">
        <f aca="false">IF(D1584="","",YEAR(D1584))</f>
        <v/>
      </c>
      <c r="P1584" s="5"/>
    </row>
    <row r="1585" customFormat="false" ht="15" hidden="false" customHeight="false" outlineLevel="0" collapsed="false">
      <c r="A1585" s="27"/>
      <c r="B1585" s="5"/>
      <c r="C1585" s="35"/>
      <c r="D1585" s="18"/>
      <c r="E1585" s="5"/>
      <c r="F1585" s="14"/>
      <c r="G1585" s="5"/>
      <c r="H1585" s="27"/>
      <c r="I1585" s="5"/>
      <c r="J1585" s="19" t="str">
        <f aca="false">IF(A1585="","",IFERROR(INDEX(Empresas!$D:$D,MATCH(A1585,Empresas!$A:$A,0))&amp;"","não consta"))</f>
        <v/>
      </c>
      <c r="K1585" s="19" t="str">
        <f aca="false">IF(A1585="","",IFERROR(INDEX(Sancoes!$B:$B,MATCH(A1585,Sancoes!$A:$A,0))&amp;"","não consta"))</f>
        <v/>
      </c>
      <c r="L1585" s="19" t="str">
        <f aca="false">IF(A1585="","",IFERROR(INDEX(Eleitoral!$B:$B,MATCH(A1585,Eleitoral!$A:$A,0))&amp;"","não consta"))</f>
        <v/>
      </c>
      <c r="M1585" s="28" t="str">
        <f aca="false">IF(A1585="","",IF(OR(AND(K1585&lt;&gt;"",LOWER(K1585)&lt;&gt;"não consta"),AND(L1585&lt;&gt;"",LOWER(L1585)&lt;&gt;"não consta"),IFERROR(INDEX(Empresas!$G:$G,MATCH(A1585,Empresas!$A:$A,0))&amp;"","")&lt;&gt;""),"SIM",""))</f>
        <v/>
      </c>
      <c r="N1585" s="5"/>
      <c r="O1585" s="32" t="str">
        <f aca="false">IF(D1585="","",YEAR(D1585))</f>
        <v/>
      </c>
      <c r="P1585" s="5"/>
    </row>
    <row r="1586" customFormat="false" ht="15" hidden="false" customHeight="false" outlineLevel="0" collapsed="false">
      <c r="A1586" s="27"/>
      <c r="B1586" s="5"/>
      <c r="C1586" s="35"/>
      <c r="D1586" s="18"/>
      <c r="E1586" s="5"/>
      <c r="F1586" s="14"/>
      <c r="G1586" s="5"/>
      <c r="H1586" s="27"/>
      <c r="I1586" s="5"/>
      <c r="J1586" s="19" t="str">
        <f aca="false">IF(A1586="","",IFERROR(INDEX(Empresas!$D:$D,MATCH(A1586,Empresas!$A:$A,0))&amp;"","não consta"))</f>
        <v/>
      </c>
      <c r="K1586" s="19" t="str">
        <f aca="false">IF(A1586="","",IFERROR(INDEX(Sancoes!$B:$B,MATCH(A1586,Sancoes!$A:$A,0))&amp;"","não consta"))</f>
        <v/>
      </c>
      <c r="L1586" s="19" t="str">
        <f aca="false">IF(A1586="","",IFERROR(INDEX(Eleitoral!$B:$B,MATCH(A1586,Eleitoral!$A:$A,0))&amp;"","não consta"))</f>
        <v/>
      </c>
      <c r="M1586" s="28" t="str">
        <f aca="false">IF(A1586="","",IF(OR(AND(K1586&lt;&gt;"",LOWER(K1586)&lt;&gt;"não consta"),AND(L1586&lt;&gt;"",LOWER(L1586)&lt;&gt;"não consta"),IFERROR(INDEX(Empresas!$G:$G,MATCH(A1586,Empresas!$A:$A,0))&amp;"","")&lt;&gt;""),"SIM",""))</f>
        <v/>
      </c>
      <c r="N1586" s="5"/>
      <c r="O1586" s="32" t="str">
        <f aca="false">IF(D1586="","",YEAR(D1586))</f>
        <v/>
      </c>
      <c r="P1586" s="5"/>
    </row>
    <row r="1587" customFormat="false" ht="15" hidden="false" customHeight="false" outlineLevel="0" collapsed="false">
      <c r="A1587" s="27"/>
      <c r="B1587" s="5"/>
      <c r="C1587" s="35"/>
      <c r="D1587" s="18"/>
      <c r="E1587" s="5"/>
      <c r="F1587" s="14"/>
      <c r="G1587" s="5"/>
      <c r="H1587" s="27"/>
      <c r="I1587" s="5"/>
      <c r="J1587" s="19" t="str">
        <f aca="false">IF(A1587="","",IFERROR(INDEX(Empresas!$D:$D,MATCH(A1587,Empresas!$A:$A,0))&amp;"","não consta"))</f>
        <v/>
      </c>
      <c r="K1587" s="19" t="str">
        <f aca="false">IF(A1587="","",IFERROR(INDEX(Sancoes!$B:$B,MATCH(A1587,Sancoes!$A:$A,0))&amp;"","não consta"))</f>
        <v/>
      </c>
      <c r="L1587" s="19" t="str">
        <f aca="false">IF(A1587="","",IFERROR(INDEX(Eleitoral!$B:$B,MATCH(A1587,Eleitoral!$A:$A,0))&amp;"","não consta"))</f>
        <v/>
      </c>
      <c r="M1587" s="28" t="str">
        <f aca="false">IF(A1587="","",IF(OR(AND(K1587&lt;&gt;"",LOWER(K1587)&lt;&gt;"não consta"),AND(L1587&lt;&gt;"",LOWER(L1587)&lt;&gt;"não consta"),IFERROR(INDEX(Empresas!$G:$G,MATCH(A1587,Empresas!$A:$A,0))&amp;"","")&lt;&gt;""),"SIM",""))</f>
        <v/>
      </c>
      <c r="N1587" s="5"/>
      <c r="O1587" s="32" t="str">
        <f aca="false">IF(D1587="","",YEAR(D1587))</f>
        <v/>
      </c>
      <c r="P1587" s="5"/>
    </row>
    <row r="1588" customFormat="false" ht="15" hidden="false" customHeight="false" outlineLevel="0" collapsed="false">
      <c r="A1588" s="27"/>
      <c r="B1588" s="5"/>
      <c r="C1588" s="35"/>
      <c r="D1588" s="18"/>
      <c r="E1588" s="5"/>
      <c r="F1588" s="14"/>
      <c r="G1588" s="5"/>
      <c r="H1588" s="27"/>
      <c r="I1588" s="5"/>
      <c r="J1588" s="19" t="str">
        <f aca="false">IF(A1588="","",IFERROR(INDEX(Empresas!$D:$D,MATCH(A1588,Empresas!$A:$A,0))&amp;"","não consta"))</f>
        <v/>
      </c>
      <c r="K1588" s="19" t="str">
        <f aca="false">IF(A1588="","",IFERROR(INDEX(Sancoes!$B:$B,MATCH(A1588,Sancoes!$A:$A,0))&amp;"","não consta"))</f>
        <v/>
      </c>
      <c r="L1588" s="19" t="str">
        <f aca="false">IF(A1588="","",IFERROR(INDEX(Eleitoral!$B:$B,MATCH(A1588,Eleitoral!$A:$A,0))&amp;"","não consta"))</f>
        <v/>
      </c>
      <c r="M1588" s="28" t="str">
        <f aca="false">IF(A1588="","",IF(OR(AND(K1588&lt;&gt;"",LOWER(K1588)&lt;&gt;"não consta"),AND(L1588&lt;&gt;"",LOWER(L1588)&lt;&gt;"não consta"),IFERROR(INDEX(Empresas!$G:$G,MATCH(A1588,Empresas!$A:$A,0))&amp;"","")&lt;&gt;""),"SIM",""))</f>
        <v/>
      </c>
      <c r="N1588" s="5"/>
      <c r="O1588" s="32" t="str">
        <f aca="false">IF(D1588="","",YEAR(D1588))</f>
        <v/>
      </c>
      <c r="P1588" s="5"/>
    </row>
    <row r="1589" customFormat="false" ht="15" hidden="false" customHeight="false" outlineLevel="0" collapsed="false">
      <c r="A1589" s="27"/>
      <c r="B1589" s="5"/>
      <c r="C1589" s="35"/>
      <c r="D1589" s="18"/>
      <c r="E1589" s="5"/>
      <c r="F1589" s="14"/>
      <c r="G1589" s="5"/>
      <c r="H1589" s="27"/>
      <c r="I1589" s="5"/>
      <c r="J1589" s="19" t="str">
        <f aca="false">IF(A1589="","",IFERROR(INDEX(Empresas!$D:$D,MATCH(A1589,Empresas!$A:$A,0))&amp;"","não consta"))</f>
        <v/>
      </c>
      <c r="K1589" s="19" t="str">
        <f aca="false">IF(A1589="","",IFERROR(INDEX(Sancoes!$B:$B,MATCH(A1589,Sancoes!$A:$A,0))&amp;"","não consta"))</f>
        <v/>
      </c>
      <c r="L1589" s="19" t="str">
        <f aca="false">IF(A1589="","",IFERROR(INDEX(Eleitoral!$B:$B,MATCH(A1589,Eleitoral!$A:$A,0))&amp;"","não consta"))</f>
        <v/>
      </c>
      <c r="M1589" s="28" t="str">
        <f aca="false">IF(A1589="","",IF(OR(AND(K1589&lt;&gt;"",LOWER(K1589)&lt;&gt;"não consta"),AND(L1589&lt;&gt;"",LOWER(L1589)&lt;&gt;"não consta"),IFERROR(INDEX(Empresas!$G:$G,MATCH(A1589,Empresas!$A:$A,0))&amp;"","")&lt;&gt;""),"SIM",""))</f>
        <v/>
      </c>
      <c r="N1589" s="5"/>
      <c r="O1589" s="32" t="str">
        <f aca="false">IF(D1589="","",YEAR(D1589))</f>
        <v/>
      </c>
      <c r="P1589" s="5"/>
    </row>
    <row r="1590" customFormat="false" ht="15" hidden="false" customHeight="false" outlineLevel="0" collapsed="false">
      <c r="A1590" s="27"/>
      <c r="B1590" s="5"/>
      <c r="C1590" s="35"/>
      <c r="D1590" s="18"/>
      <c r="E1590" s="5"/>
      <c r="F1590" s="14"/>
      <c r="G1590" s="5"/>
      <c r="H1590" s="27"/>
      <c r="I1590" s="5"/>
      <c r="J1590" s="19" t="str">
        <f aca="false">IF(A1590="","",IFERROR(INDEX(Empresas!$D:$D,MATCH(A1590,Empresas!$A:$A,0))&amp;"","não consta"))</f>
        <v/>
      </c>
      <c r="K1590" s="19" t="str">
        <f aca="false">IF(A1590="","",IFERROR(INDEX(Sancoes!$B:$B,MATCH(A1590,Sancoes!$A:$A,0))&amp;"","não consta"))</f>
        <v/>
      </c>
      <c r="L1590" s="19" t="str">
        <f aca="false">IF(A1590="","",IFERROR(INDEX(Eleitoral!$B:$B,MATCH(A1590,Eleitoral!$A:$A,0))&amp;"","não consta"))</f>
        <v/>
      </c>
      <c r="M1590" s="28" t="str">
        <f aca="false">IF(A1590="","",IF(OR(AND(K1590&lt;&gt;"",LOWER(K1590)&lt;&gt;"não consta"),AND(L1590&lt;&gt;"",LOWER(L1590)&lt;&gt;"não consta"),IFERROR(INDEX(Empresas!$G:$G,MATCH(A1590,Empresas!$A:$A,0))&amp;"","")&lt;&gt;""),"SIM",""))</f>
        <v/>
      </c>
      <c r="N1590" s="5"/>
      <c r="O1590" s="32" t="str">
        <f aca="false">IF(D1590="","",YEAR(D1590))</f>
        <v/>
      </c>
      <c r="P1590" s="5"/>
    </row>
    <row r="1591" customFormat="false" ht="15" hidden="false" customHeight="false" outlineLevel="0" collapsed="false">
      <c r="A1591" s="27"/>
      <c r="B1591" s="5"/>
      <c r="C1591" s="35"/>
      <c r="D1591" s="18"/>
      <c r="E1591" s="5"/>
      <c r="F1591" s="14"/>
      <c r="G1591" s="5"/>
      <c r="H1591" s="27"/>
      <c r="I1591" s="5"/>
      <c r="J1591" s="19" t="str">
        <f aca="false">IF(A1591="","",IFERROR(INDEX(Empresas!$D:$D,MATCH(A1591,Empresas!$A:$A,0))&amp;"","não consta"))</f>
        <v/>
      </c>
      <c r="K1591" s="19" t="str">
        <f aca="false">IF(A1591="","",IFERROR(INDEX(Sancoes!$B:$B,MATCH(A1591,Sancoes!$A:$A,0))&amp;"","não consta"))</f>
        <v/>
      </c>
      <c r="L1591" s="19" t="str">
        <f aca="false">IF(A1591="","",IFERROR(INDEX(Eleitoral!$B:$B,MATCH(A1591,Eleitoral!$A:$A,0))&amp;"","não consta"))</f>
        <v/>
      </c>
      <c r="M1591" s="28" t="str">
        <f aca="false">IF(A1591="","",IF(OR(AND(K1591&lt;&gt;"",LOWER(K1591)&lt;&gt;"não consta"),AND(L1591&lt;&gt;"",LOWER(L1591)&lt;&gt;"não consta"),IFERROR(INDEX(Empresas!$G:$G,MATCH(A1591,Empresas!$A:$A,0))&amp;"","")&lt;&gt;""),"SIM",""))</f>
        <v/>
      </c>
      <c r="N1591" s="5"/>
      <c r="O1591" s="32" t="str">
        <f aca="false">IF(D1591="","",YEAR(D1591))</f>
        <v/>
      </c>
      <c r="P1591" s="5"/>
    </row>
    <row r="1592" customFormat="false" ht="15" hidden="false" customHeight="false" outlineLevel="0" collapsed="false">
      <c r="A1592" s="27"/>
      <c r="B1592" s="5"/>
      <c r="C1592" s="35"/>
      <c r="D1592" s="18"/>
      <c r="E1592" s="5"/>
      <c r="F1592" s="14"/>
      <c r="G1592" s="5"/>
      <c r="H1592" s="27"/>
      <c r="I1592" s="5"/>
      <c r="J1592" s="19" t="str">
        <f aca="false">IF(A1592="","",IFERROR(INDEX(Empresas!$D:$D,MATCH(A1592,Empresas!$A:$A,0))&amp;"","não consta"))</f>
        <v/>
      </c>
      <c r="K1592" s="19" t="str">
        <f aca="false">IF(A1592="","",IFERROR(INDEX(Sancoes!$B:$B,MATCH(A1592,Sancoes!$A:$A,0))&amp;"","não consta"))</f>
        <v/>
      </c>
      <c r="L1592" s="19" t="str">
        <f aca="false">IF(A1592="","",IFERROR(INDEX(Eleitoral!$B:$B,MATCH(A1592,Eleitoral!$A:$A,0))&amp;"","não consta"))</f>
        <v/>
      </c>
      <c r="M1592" s="28" t="str">
        <f aca="false">IF(A1592="","",IF(OR(AND(K1592&lt;&gt;"",LOWER(K1592)&lt;&gt;"não consta"),AND(L1592&lt;&gt;"",LOWER(L1592)&lt;&gt;"não consta"),IFERROR(INDEX(Empresas!$G:$G,MATCH(A1592,Empresas!$A:$A,0))&amp;"","")&lt;&gt;""),"SIM",""))</f>
        <v/>
      </c>
      <c r="N1592" s="5"/>
      <c r="O1592" s="32" t="str">
        <f aca="false">IF(D1592="","",YEAR(D1592))</f>
        <v/>
      </c>
      <c r="P1592" s="5"/>
    </row>
    <row r="1593" customFormat="false" ht="15" hidden="false" customHeight="false" outlineLevel="0" collapsed="false">
      <c r="A1593" s="27"/>
      <c r="B1593" s="5"/>
      <c r="C1593" s="35"/>
      <c r="D1593" s="18"/>
      <c r="E1593" s="5"/>
      <c r="F1593" s="14"/>
      <c r="G1593" s="5"/>
      <c r="H1593" s="27"/>
      <c r="I1593" s="5"/>
      <c r="J1593" s="19" t="str">
        <f aca="false">IF(A1593="","",IFERROR(INDEX(Empresas!$D:$D,MATCH(A1593,Empresas!$A:$A,0))&amp;"","não consta"))</f>
        <v/>
      </c>
      <c r="K1593" s="19" t="str">
        <f aca="false">IF(A1593="","",IFERROR(INDEX(Sancoes!$B:$B,MATCH(A1593,Sancoes!$A:$A,0))&amp;"","não consta"))</f>
        <v/>
      </c>
      <c r="L1593" s="19" t="str">
        <f aca="false">IF(A1593="","",IFERROR(INDEX(Eleitoral!$B:$B,MATCH(A1593,Eleitoral!$A:$A,0))&amp;"","não consta"))</f>
        <v/>
      </c>
      <c r="M1593" s="28" t="str">
        <f aca="false">IF(A1593="","",IF(OR(AND(K1593&lt;&gt;"",LOWER(K1593)&lt;&gt;"não consta"),AND(L1593&lt;&gt;"",LOWER(L1593)&lt;&gt;"não consta"),IFERROR(INDEX(Empresas!$G:$G,MATCH(A1593,Empresas!$A:$A,0))&amp;"","")&lt;&gt;""),"SIM",""))</f>
        <v/>
      </c>
      <c r="N1593" s="5"/>
      <c r="O1593" s="32" t="str">
        <f aca="false">IF(D1593="","",YEAR(D1593))</f>
        <v/>
      </c>
      <c r="P1593" s="5"/>
    </row>
    <row r="1594" customFormat="false" ht="15" hidden="false" customHeight="false" outlineLevel="0" collapsed="false">
      <c r="A1594" s="27"/>
      <c r="B1594" s="5"/>
      <c r="C1594" s="35"/>
      <c r="D1594" s="18"/>
      <c r="E1594" s="5"/>
      <c r="F1594" s="14"/>
      <c r="G1594" s="5"/>
      <c r="H1594" s="27"/>
      <c r="I1594" s="5"/>
      <c r="J1594" s="19" t="str">
        <f aca="false">IF(A1594="","",IFERROR(INDEX(Empresas!$D:$D,MATCH(A1594,Empresas!$A:$A,0))&amp;"","não consta"))</f>
        <v/>
      </c>
      <c r="K1594" s="19" t="str">
        <f aca="false">IF(A1594="","",IFERROR(INDEX(Sancoes!$B:$B,MATCH(A1594,Sancoes!$A:$A,0))&amp;"","não consta"))</f>
        <v/>
      </c>
      <c r="L1594" s="19" t="str">
        <f aca="false">IF(A1594="","",IFERROR(INDEX(Eleitoral!$B:$B,MATCH(A1594,Eleitoral!$A:$A,0))&amp;"","não consta"))</f>
        <v/>
      </c>
      <c r="M1594" s="28" t="str">
        <f aca="false">IF(A1594="","",IF(OR(AND(K1594&lt;&gt;"",LOWER(K1594)&lt;&gt;"não consta"),AND(L1594&lt;&gt;"",LOWER(L1594)&lt;&gt;"não consta"),IFERROR(INDEX(Empresas!$G:$G,MATCH(A1594,Empresas!$A:$A,0))&amp;"","")&lt;&gt;""),"SIM",""))</f>
        <v/>
      </c>
      <c r="N1594" s="5"/>
      <c r="O1594" s="32" t="str">
        <f aca="false">IF(D1594="","",YEAR(D1594))</f>
        <v/>
      </c>
      <c r="P1594" s="5"/>
    </row>
    <row r="1595" customFormat="false" ht="15" hidden="false" customHeight="false" outlineLevel="0" collapsed="false">
      <c r="A1595" s="27"/>
      <c r="B1595" s="5"/>
      <c r="C1595" s="35"/>
      <c r="D1595" s="18"/>
      <c r="E1595" s="5"/>
      <c r="F1595" s="14"/>
      <c r="G1595" s="5"/>
      <c r="H1595" s="27"/>
      <c r="I1595" s="5"/>
      <c r="J1595" s="19" t="str">
        <f aca="false">IF(A1595="","",IFERROR(INDEX(Empresas!$D:$D,MATCH(A1595,Empresas!$A:$A,0))&amp;"","não consta"))</f>
        <v/>
      </c>
      <c r="K1595" s="19" t="str">
        <f aca="false">IF(A1595="","",IFERROR(INDEX(Sancoes!$B:$B,MATCH(A1595,Sancoes!$A:$A,0))&amp;"","não consta"))</f>
        <v/>
      </c>
      <c r="L1595" s="19" t="str">
        <f aca="false">IF(A1595="","",IFERROR(INDEX(Eleitoral!$B:$B,MATCH(A1595,Eleitoral!$A:$A,0))&amp;"","não consta"))</f>
        <v/>
      </c>
      <c r="M1595" s="28" t="str">
        <f aca="false">IF(A1595="","",IF(OR(AND(K1595&lt;&gt;"",LOWER(K1595)&lt;&gt;"não consta"),AND(L1595&lt;&gt;"",LOWER(L1595)&lt;&gt;"não consta"),IFERROR(INDEX(Empresas!$G:$G,MATCH(A1595,Empresas!$A:$A,0))&amp;"","")&lt;&gt;""),"SIM",""))</f>
        <v/>
      </c>
      <c r="N1595" s="5"/>
      <c r="O1595" s="32" t="str">
        <f aca="false">IF(D1595="","",YEAR(D1595))</f>
        <v/>
      </c>
      <c r="P1595" s="5"/>
    </row>
    <row r="1596" customFormat="false" ht="15" hidden="false" customHeight="false" outlineLevel="0" collapsed="false">
      <c r="A1596" s="27"/>
      <c r="B1596" s="5"/>
      <c r="C1596" s="35"/>
      <c r="D1596" s="18"/>
      <c r="E1596" s="5"/>
      <c r="F1596" s="14"/>
      <c r="G1596" s="5"/>
      <c r="H1596" s="27"/>
      <c r="I1596" s="5"/>
      <c r="J1596" s="19" t="str">
        <f aca="false">IF(A1596="","",IFERROR(INDEX(Empresas!$D:$D,MATCH(A1596,Empresas!$A:$A,0))&amp;"","não consta"))</f>
        <v/>
      </c>
      <c r="K1596" s="19" t="str">
        <f aca="false">IF(A1596="","",IFERROR(INDEX(Sancoes!$B:$B,MATCH(A1596,Sancoes!$A:$A,0))&amp;"","não consta"))</f>
        <v/>
      </c>
      <c r="L1596" s="19" t="str">
        <f aca="false">IF(A1596="","",IFERROR(INDEX(Eleitoral!$B:$B,MATCH(A1596,Eleitoral!$A:$A,0))&amp;"","não consta"))</f>
        <v/>
      </c>
      <c r="M1596" s="28" t="str">
        <f aca="false">IF(A1596="","",IF(OR(AND(K1596&lt;&gt;"",LOWER(K1596)&lt;&gt;"não consta"),AND(L1596&lt;&gt;"",LOWER(L1596)&lt;&gt;"não consta"),IFERROR(INDEX(Empresas!$G:$G,MATCH(A1596,Empresas!$A:$A,0))&amp;"","")&lt;&gt;""),"SIM",""))</f>
        <v/>
      </c>
      <c r="N1596" s="5"/>
      <c r="O1596" s="32" t="str">
        <f aca="false">IF(D1596="","",YEAR(D1596))</f>
        <v/>
      </c>
      <c r="P1596" s="5"/>
    </row>
    <row r="1597" customFormat="false" ht="15" hidden="false" customHeight="false" outlineLevel="0" collapsed="false">
      <c r="A1597" s="27"/>
      <c r="B1597" s="5"/>
      <c r="C1597" s="35"/>
      <c r="D1597" s="18"/>
      <c r="E1597" s="5"/>
      <c r="F1597" s="14"/>
      <c r="G1597" s="5"/>
      <c r="H1597" s="27"/>
      <c r="I1597" s="5"/>
      <c r="J1597" s="19" t="str">
        <f aca="false">IF(A1597="","",IFERROR(INDEX(Empresas!$D:$D,MATCH(A1597,Empresas!$A:$A,0))&amp;"","não consta"))</f>
        <v/>
      </c>
      <c r="K1597" s="19" t="str">
        <f aca="false">IF(A1597="","",IFERROR(INDEX(Sancoes!$B:$B,MATCH(A1597,Sancoes!$A:$A,0))&amp;"","não consta"))</f>
        <v/>
      </c>
      <c r="L1597" s="19" t="str">
        <f aca="false">IF(A1597="","",IFERROR(INDEX(Eleitoral!$B:$B,MATCH(A1597,Eleitoral!$A:$A,0))&amp;"","não consta"))</f>
        <v/>
      </c>
      <c r="M1597" s="28" t="str">
        <f aca="false">IF(A1597="","",IF(OR(AND(K1597&lt;&gt;"",LOWER(K1597)&lt;&gt;"não consta"),AND(L1597&lt;&gt;"",LOWER(L1597)&lt;&gt;"não consta"),IFERROR(INDEX(Empresas!$G:$G,MATCH(A1597,Empresas!$A:$A,0))&amp;"","")&lt;&gt;""),"SIM",""))</f>
        <v/>
      </c>
      <c r="N1597" s="5"/>
      <c r="O1597" s="32" t="str">
        <f aca="false">IF(D1597="","",YEAR(D1597))</f>
        <v/>
      </c>
      <c r="P1597" s="5"/>
    </row>
    <row r="1598" customFormat="false" ht="15" hidden="false" customHeight="false" outlineLevel="0" collapsed="false">
      <c r="A1598" s="27"/>
      <c r="B1598" s="5"/>
      <c r="C1598" s="35"/>
      <c r="D1598" s="18"/>
      <c r="E1598" s="5"/>
      <c r="F1598" s="14"/>
      <c r="G1598" s="5"/>
      <c r="H1598" s="27"/>
      <c r="I1598" s="5"/>
      <c r="J1598" s="19" t="str">
        <f aca="false">IF(A1598="","",IFERROR(INDEX(Empresas!$D:$D,MATCH(A1598,Empresas!$A:$A,0))&amp;"","não consta"))</f>
        <v/>
      </c>
      <c r="K1598" s="19" t="str">
        <f aca="false">IF(A1598="","",IFERROR(INDEX(Sancoes!$B:$B,MATCH(A1598,Sancoes!$A:$A,0))&amp;"","não consta"))</f>
        <v/>
      </c>
      <c r="L1598" s="19" t="str">
        <f aca="false">IF(A1598="","",IFERROR(INDEX(Eleitoral!$B:$B,MATCH(A1598,Eleitoral!$A:$A,0))&amp;"","não consta"))</f>
        <v/>
      </c>
      <c r="M1598" s="28" t="str">
        <f aca="false">IF(A1598="","",IF(OR(AND(K1598&lt;&gt;"",LOWER(K1598)&lt;&gt;"não consta"),AND(L1598&lt;&gt;"",LOWER(L1598)&lt;&gt;"não consta"),IFERROR(INDEX(Empresas!$G:$G,MATCH(A1598,Empresas!$A:$A,0))&amp;"","")&lt;&gt;""),"SIM",""))</f>
        <v/>
      </c>
      <c r="N1598" s="5"/>
      <c r="O1598" s="32" t="str">
        <f aca="false">IF(D1598="","",YEAR(D1598))</f>
        <v/>
      </c>
      <c r="P1598" s="5"/>
    </row>
    <row r="1599" customFormat="false" ht="15" hidden="false" customHeight="false" outlineLevel="0" collapsed="false">
      <c r="A1599" s="27"/>
      <c r="B1599" s="5"/>
      <c r="C1599" s="35"/>
      <c r="D1599" s="18"/>
      <c r="E1599" s="5"/>
      <c r="F1599" s="14"/>
      <c r="G1599" s="5"/>
      <c r="H1599" s="27"/>
      <c r="I1599" s="5"/>
      <c r="J1599" s="19" t="str">
        <f aca="false">IF(A1599="","",IFERROR(INDEX(Empresas!$D:$D,MATCH(A1599,Empresas!$A:$A,0))&amp;"","não consta"))</f>
        <v/>
      </c>
      <c r="K1599" s="19" t="str">
        <f aca="false">IF(A1599="","",IFERROR(INDEX(Sancoes!$B:$B,MATCH(A1599,Sancoes!$A:$A,0))&amp;"","não consta"))</f>
        <v/>
      </c>
      <c r="L1599" s="19" t="str">
        <f aca="false">IF(A1599="","",IFERROR(INDEX(Eleitoral!$B:$B,MATCH(A1599,Eleitoral!$A:$A,0))&amp;"","não consta"))</f>
        <v/>
      </c>
      <c r="M1599" s="28" t="str">
        <f aca="false">IF(A1599="","",IF(OR(AND(K1599&lt;&gt;"",LOWER(K1599)&lt;&gt;"não consta"),AND(L1599&lt;&gt;"",LOWER(L1599)&lt;&gt;"não consta"),IFERROR(INDEX(Empresas!$G:$G,MATCH(A1599,Empresas!$A:$A,0))&amp;"","")&lt;&gt;""),"SIM",""))</f>
        <v/>
      </c>
      <c r="N1599" s="5"/>
      <c r="O1599" s="32" t="str">
        <f aca="false">IF(D1599="","",YEAR(D1599))</f>
        <v/>
      </c>
      <c r="P1599" s="5"/>
    </row>
    <row r="1600" customFormat="false" ht="15" hidden="false" customHeight="false" outlineLevel="0" collapsed="false">
      <c r="A1600" s="27"/>
      <c r="B1600" s="5"/>
      <c r="C1600" s="35"/>
      <c r="D1600" s="18"/>
      <c r="E1600" s="5"/>
      <c r="F1600" s="14"/>
      <c r="G1600" s="5"/>
      <c r="H1600" s="27"/>
      <c r="I1600" s="5"/>
      <c r="J1600" s="19" t="str">
        <f aca="false">IF(A1600="","",IFERROR(INDEX(Empresas!$D:$D,MATCH(A1600,Empresas!$A:$A,0))&amp;"","não consta"))</f>
        <v/>
      </c>
      <c r="K1600" s="19" t="str">
        <f aca="false">IF(A1600="","",IFERROR(INDEX(Sancoes!$B:$B,MATCH(A1600,Sancoes!$A:$A,0))&amp;"","não consta"))</f>
        <v/>
      </c>
      <c r="L1600" s="19" t="str">
        <f aca="false">IF(A1600="","",IFERROR(INDEX(Eleitoral!$B:$B,MATCH(A1600,Eleitoral!$A:$A,0))&amp;"","não consta"))</f>
        <v/>
      </c>
      <c r="M1600" s="28" t="str">
        <f aca="false">IF(A1600="","",IF(OR(AND(K1600&lt;&gt;"",LOWER(K1600)&lt;&gt;"não consta"),AND(L1600&lt;&gt;"",LOWER(L1600)&lt;&gt;"não consta"),IFERROR(INDEX(Empresas!$G:$G,MATCH(A1600,Empresas!$A:$A,0))&amp;"","")&lt;&gt;""),"SIM",""))</f>
        <v/>
      </c>
      <c r="N1600" s="5"/>
      <c r="O1600" s="32" t="str">
        <f aca="false">IF(D1600="","",YEAR(D1600))</f>
        <v/>
      </c>
      <c r="P1600" s="5"/>
    </row>
    <row r="1601" customFormat="false" ht="15" hidden="false" customHeight="false" outlineLevel="0" collapsed="false">
      <c r="A1601" s="27"/>
      <c r="B1601" s="5"/>
      <c r="C1601" s="35"/>
      <c r="D1601" s="18"/>
      <c r="E1601" s="5"/>
      <c r="F1601" s="14"/>
      <c r="G1601" s="5"/>
      <c r="H1601" s="27"/>
      <c r="I1601" s="5"/>
      <c r="J1601" s="19" t="str">
        <f aca="false">IF(A1601="","",IFERROR(INDEX(Empresas!$D:$D,MATCH(A1601,Empresas!$A:$A,0))&amp;"","não consta"))</f>
        <v/>
      </c>
      <c r="K1601" s="19" t="str">
        <f aca="false">IF(A1601="","",IFERROR(INDEX(Sancoes!$B:$B,MATCH(A1601,Sancoes!$A:$A,0))&amp;"","não consta"))</f>
        <v/>
      </c>
      <c r="L1601" s="19" t="str">
        <f aca="false">IF(A1601="","",IFERROR(INDEX(Eleitoral!$B:$B,MATCH(A1601,Eleitoral!$A:$A,0))&amp;"","não consta"))</f>
        <v/>
      </c>
      <c r="M1601" s="28" t="str">
        <f aca="false">IF(A1601="","",IF(OR(AND(K1601&lt;&gt;"",LOWER(K1601)&lt;&gt;"não consta"),AND(L1601&lt;&gt;"",LOWER(L1601)&lt;&gt;"não consta"),IFERROR(INDEX(Empresas!$G:$G,MATCH(A1601,Empresas!$A:$A,0))&amp;"","")&lt;&gt;""),"SIM",""))</f>
        <v/>
      </c>
      <c r="N1601" s="5"/>
      <c r="O1601" s="32" t="str">
        <f aca="false">IF(D1601="","",YEAR(D1601))</f>
        <v/>
      </c>
      <c r="P1601" s="5"/>
    </row>
    <row r="1602" customFormat="false" ht="15" hidden="false" customHeight="false" outlineLevel="0" collapsed="false">
      <c r="A1602" s="27"/>
      <c r="B1602" s="5"/>
      <c r="C1602" s="35"/>
      <c r="D1602" s="18"/>
      <c r="E1602" s="5"/>
      <c r="F1602" s="14"/>
      <c r="G1602" s="5"/>
      <c r="H1602" s="27"/>
      <c r="I1602" s="5"/>
      <c r="J1602" s="19" t="str">
        <f aca="false">IF(A1602="","",IFERROR(INDEX(Empresas!$D:$D,MATCH(A1602,Empresas!$A:$A,0))&amp;"","não consta"))</f>
        <v/>
      </c>
      <c r="K1602" s="19" t="str">
        <f aca="false">IF(A1602="","",IFERROR(INDEX(Sancoes!$B:$B,MATCH(A1602,Sancoes!$A:$A,0))&amp;"","não consta"))</f>
        <v/>
      </c>
      <c r="L1602" s="19" t="str">
        <f aca="false">IF(A1602="","",IFERROR(INDEX(Eleitoral!$B:$B,MATCH(A1602,Eleitoral!$A:$A,0))&amp;"","não consta"))</f>
        <v/>
      </c>
      <c r="M1602" s="28" t="str">
        <f aca="false">IF(A1602="","",IF(OR(AND(K1602&lt;&gt;"",LOWER(K1602)&lt;&gt;"não consta"),AND(L1602&lt;&gt;"",LOWER(L1602)&lt;&gt;"não consta"),IFERROR(INDEX(Empresas!$G:$G,MATCH(A1602,Empresas!$A:$A,0))&amp;"","")&lt;&gt;""),"SIM",""))</f>
        <v/>
      </c>
      <c r="N1602" s="5"/>
      <c r="O1602" s="32" t="str">
        <f aca="false">IF(D1602="","",YEAR(D1602))</f>
        <v/>
      </c>
      <c r="P1602" s="5"/>
    </row>
    <row r="1603" customFormat="false" ht="15" hidden="false" customHeight="false" outlineLevel="0" collapsed="false">
      <c r="A1603" s="27"/>
      <c r="B1603" s="5"/>
      <c r="C1603" s="35"/>
      <c r="D1603" s="18"/>
      <c r="E1603" s="5"/>
      <c r="F1603" s="14"/>
      <c r="G1603" s="5"/>
      <c r="H1603" s="27"/>
      <c r="I1603" s="5"/>
      <c r="J1603" s="19" t="str">
        <f aca="false">IF(A1603="","",IFERROR(INDEX(Empresas!$D:$D,MATCH(A1603,Empresas!$A:$A,0))&amp;"","não consta"))</f>
        <v/>
      </c>
      <c r="K1603" s="19" t="str">
        <f aca="false">IF(A1603="","",IFERROR(INDEX(Sancoes!$B:$B,MATCH(A1603,Sancoes!$A:$A,0))&amp;"","não consta"))</f>
        <v/>
      </c>
      <c r="L1603" s="19" t="str">
        <f aca="false">IF(A1603="","",IFERROR(INDEX(Eleitoral!$B:$B,MATCH(A1603,Eleitoral!$A:$A,0))&amp;"","não consta"))</f>
        <v/>
      </c>
      <c r="M1603" s="28" t="str">
        <f aca="false">IF(A1603="","",IF(OR(AND(K1603&lt;&gt;"",LOWER(K1603)&lt;&gt;"não consta"),AND(L1603&lt;&gt;"",LOWER(L1603)&lt;&gt;"não consta"),IFERROR(INDEX(Empresas!$G:$G,MATCH(A1603,Empresas!$A:$A,0))&amp;"","")&lt;&gt;""),"SIM",""))</f>
        <v/>
      </c>
      <c r="N1603" s="5"/>
      <c r="O1603" s="32" t="str">
        <f aca="false">IF(D1603="","",YEAR(D1603))</f>
        <v/>
      </c>
      <c r="P1603" s="5"/>
    </row>
    <row r="1604" customFormat="false" ht="15" hidden="false" customHeight="false" outlineLevel="0" collapsed="false">
      <c r="A1604" s="27"/>
      <c r="B1604" s="5"/>
      <c r="C1604" s="35"/>
      <c r="D1604" s="18"/>
      <c r="E1604" s="5"/>
      <c r="F1604" s="14"/>
      <c r="G1604" s="5"/>
      <c r="H1604" s="27"/>
      <c r="I1604" s="5"/>
      <c r="J1604" s="19" t="str">
        <f aca="false">IF(A1604="","",IFERROR(INDEX(Empresas!$D:$D,MATCH(A1604,Empresas!$A:$A,0))&amp;"","não consta"))</f>
        <v/>
      </c>
      <c r="K1604" s="19" t="str">
        <f aca="false">IF(A1604="","",IFERROR(INDEX(Sancoes!$B:$B,MATCH(A1604,Sancoes!$A:$A,0))&amp;"","não consta"))</f>
        <v/>
      </c>
      <c r="L1604" s="19" t="str">
        <f aca="false">IF(A1604="","",IFERROR(INDEX(Eleitoral!$B:$B,MATCH(A1604,Eleitoral!$A:$A,0))&amp;"","não consta"))</f>
        <v/>
      </c>
      <c r="M1604" s="28" t="str">
        <f aca="false">IF(A1604="","",IF(OR(AND(K1604&lt;&gt;"",LOWER(K1604)&lt;&gt;"não consta"),AND(L1604&lt;&gt;"",LOWER(L1604)&lt;&gt;"não consta"),IFERROR(INDEX(Empresas!$G:$G,MATCH(A1604,Empresas!$A:$A,0))&amp;"","")&lt;&gt;""),"SIM",""))</f>
        <v/>
      </c>
      <c r="N1604" s="5"/>
      <c r="O1604" s="32" t="str">
        <f aca="false">IF(D1604="","",YEAR(D1604))</f>
        <v/>
      </c>
      <c r="P1604" s="5"/>
    </row>
    <row r="1605" customFormat="false" ht="15" hidden="false" customHeight="false" outlineLevel="0" collapsed="false">
      <c r="A1605" s="27"/>
      <c r="B1605" s="5"/>
      <c r="C1605" s="35"/>
      <c r="D1605" s="18"/>
      <c r="E1605" s="5"/>
      <c r="F1605" s="14"/>
      <c r="G1605" s="5"/>
      <c r="H1605" s="27"/>
      <c r="I1605" s="5"/>
      <c r="J1605" s="19" t="str">
        <f aca="false">IF(A1605="","",IFERROR(INDEX(Empresas!$D:$D,MATCH(A1605,Empresas!$A:$A,0))&amp;"","não consta"))</f>
        <v/>
      </c>
      <c r="K1605" s="19" t="str">
        <f aca="false">IF(A1605="","",IFERROR(INDEX(Sancoes!$B:$B,MATCH(A1605,Sancoes!$A:$A,0))&amp;"","não consta"))</f>
        <v/>
      </c>
      <c r="L1605" s="19" t="str">
        <f aca="false">IF(A1605="","",IFERROR(INDEX(Eleitoral!$B:$B,MATCH(A1605,Eleitoral!$A:$A,0))&amp;"","não consta"))</f>
        <v/>
      </c>
      <c r="M1605" s="28" t="str">
        <f aca="false">IF(A1605="","",IF(OR(AND(K1605&lt;&gt;"",LOWER(K1605)&lt;&gt;"não consta"),AND(L1605&lt;&gt;"",LOWER(L1605)&lt;&gt;"não consta"),IFERROR(INDEX(Empresas!$G:$G,MATCH(A1605,Empresas!$A:$A,0))&amp;"","")&lt;&gt;""),"SIM",""))</f>
        <v/>
      </c>
      <c r="N1605" s="5"/>
      <c r="O1605" s="32" t="str">
        <f aca="false">IF(D1605="","",YEAR(D1605))</f>
        <v/>
      </c>
      <c r="P1605" s="5"/>
    </row>
    <row r="1606" customFormat="false" ht="15" hidden="false" customHeight="false" outlineLevel="0" collapsed="false">
      <c r="A1606" s="27"/>
      <c r="B1606" s="5"/>
      <c r="C1606" s="35"/>
      <c r="D1606" s="18"/>
      <c r="E1606" s="5"/>
      <c r="F1606" s="14"/>
      <c r="G1606" s="5"/>
      <c r="H1606" s="27"/>
      <c r="I1606" s="5"/>
      <c r="J1606" s="19" t="str">
        <f aca="false">IF(A1606="","",IFERROR(INDEX(Empresas!$D:$D,MATCH(A1606,Empresas!$A:$A,0))&amp;"","não consta"))</f>
        <v/>
      </c>
      <c r="K1606" s="19" t="str">
        <f aca="false">IF(A1606="","",IFERROR(INDEX(Sancoes!$B:$B,MATCH(A1606,Sancoes!$A:$A,0))&amp;"","não consta"))</f>
        <v/>
      </c>
      <c r="L1606" s="19" t="str">
        <f aca="false">IF(A1606="","",IFERROR(INDEX(Eleitoral!$B:$B,MATCH(A1606,Eleitoral!$A:$A,0))&amp;"","não consta"))</f>
        <v/>
      </c>
      <c r="M1606" s="28" t="str">
        <f aca="false">IF(A1606="","",IF(OR(AND(K1606&lt;&gt;"",LOWER(K1606)&lt;&gt;"não consta"),AND(L1606&lt;&gt;"",LOWER(L1606)&lt;&gt;"não consta"),IFERROR(INDEX(Empresas!$G:$G,MATCH(A1606,Empresas!$A:$A,0))&amp;"","")&lt;&gt;""),"SIM",""))</f>
        <v/>
      </c>
      <c r="N1606" s="5"/>
      <c r="O1606" s="32" t="str">
        <f aca="false">IF(D1606="","",YEAR(D1606))</f>
        <v/>
      </c>
      <c r="P1606" s="5"/>
    </row>
    <row r="1607" customFormat="false" ht="15" hidden="false" customHeight="false" outlineLevel="0" collapsed="false">
      <c r="A1607" s="27"/>
      <c r="B1607" s="5"/>
      <c r="C1607" s="35"/>
      <c r="D1607" s="18"/>
      <c r="E1607" s="5"/>
      <c r="F1607" s="14"/>
      <c r="G1607" s="5"/>
      <c r="H1607" s="27"/>
      <c r="I1607" s="5"/>
      <c r="J1607" s="19" t="str">
        <f aca="false">IF(A1607="","",IFERROR(INDEX(Empresas!$D:$D,MATCH(A1607,Empresas!$A:$A,0))&amp;"","não consta"))</f>
        <v/>
      </c>
      <c r="K1607" s="19" t="str">
        <f aca="false">IF(A1607="","",IFERROR(INDEX(Sancoes!$B:$B,MATCH(A1607,Sancoes!$A:$A,0))&amp;"","não consta"))</f>
        <v/>
      </c>
      <c r="L1607" s="19" t="str">
        <f aca="false">IF(A1607="","",IFERROR(INDEX(Eleitoral!$B:$B,MATCH(A1607,Eleitoral!$A:$A,0))&amp;"","não consta"))</f>
        <v/>
      </c>
      <c r="M1607" s="28" t="str">
        <f aca="false">IF(A1607="","",IF(OR(AND(K1607&lt;&gt;"",LOWER(K1607)&lt;&gt;"não consta"),AND(L1607&lt;&gt;"",LOWER(L1607)&lt;&gt;"não consta"),IFERROR(INDEX(Empresas!$G:$G,MATCH(A1607,Empresas!$A:$A,0))&amp;"","")&lt;&gt;""),"SIM",""))</f>
        <v/>
      </c>
      <c r="N1607" s="5"/>
      <c r="O1607" s="32" t="str">
        <f aca="false">IF(D1607="","",YEAR(D1607))</f>
        <v/>
      </c>
      <c r="P1607" s="5"/>
    </row>
    <row r="1608" customFormat="false" ht="15" hidden="false" customHeight="false" outlineLevel="0" collapsed="false">
      <c r="A1608" s="27"/>
      <c r="B1608" s="5"/>
      <c r="C1608" s="35"/>
      <c r="D1608" s="18"/>
      <c r="E1608" s="5"/>
      <c r="F1608" s="14"/>
      <c r="G1608" s="5"/>
      <c r="H1608" s="27"/>
      <c r="I1608" s="5"/>
      <c r="J1608" s="19" t="str">
        <f aca="false">IF(A1608="","",IFERROR(INDEX(Empresas!$D:$D,MATCH(A1608,Empresas!$A:$A,0))&amp;"","não consta"))</f>
        <v/>
      </c>
      <c r="K1608" s="19" t="str">
        <f aca="false">IF(A1608="","",IFERROR(INDEX(Sancoes!$B:$B,MATCH(A1608,Sancoes!$A:$A,0))&amp;"","não consta"))</f>
        <v/>
      </c>
      <c r="L1608" s="19" t="str">
        <f aca="false">IF(A1608="","",IFERROR(INDEX(Eleitoral!$B:$B,MATCH(A1608,Eleitoral!$A:$A,0))&amp;"","não consta"))</f>
        <v/>
      </c>
      <c r="M1608" s="28" t="str">
        <f aca="false">IF(A1608="","",IF(OR(AND(K1608&lt;&gt;"",LOWER(K1608)&lt;&gt;"não consta"),AND(L1608&lt;&gt;"",LOWER(L1608)&lt;&gt;"não consta"),IFERROR(INDEX(Empresas!$G:$G,MATCH(A1608,Empresas!$A:$A,0))&amp;"","")&lt;&gt;""),"SIM",""))</f>
        <v/>
      </c>
      <c r="N1608" s="5"/>
      <c r="O1608" s="32" t="str">
        <f aca="false">IF(D1608="","",YEAR(D1608))</f>
        <v/>
      </c>
      <c r="P1608" s="5"/>
    </row>
    <row r="1609" customFormat="false" ht="15" hidden="false" customHeight="false" outlineLevel="0" collapsed="false">
      <c r="A1609" s="27"/>
      <c r="B1609" s="5"/>
      <c r="C1609" s="35"/>
      <c r="D1609" s="18"/>
      <c r="E1609" s="5"/>
      <c r="F1609" s="14"/>
      <c r="G1609" s="5"/>
      <c r="H1609" s="27"/>
      <c r="I1609" s="5"/>
      <c r="J1609" s="19" t="str">
        <f aca="false">IF(A1609="","",IFERROR(INDEX(Empresas!$D:$D,MATCH(A1609,Empresas!$A:$A,0))&amp;"","não consta"))</f>
        <v/>
      </c>
      <c r="K1609" s="19" t="str">
        <f aca="false">IF(A1609="","",IFERROR(INDEX(Sancoes!$B:$B,MATCH(A1609,Sancoes!$A:$A,0))&amp;"","não consta"))</f>
        <v/>
      </c>
      <c r="L1609" s="19" t="str">
        <f aca="false">IF(A1609="","",IFERROR(INDEX(Eleitoral!$B:$B,MATCH(A1609,Eleitoral!$A:$A,0))&amp;"","não consta"))</f>
        <v/>
      </c>
      <c r="M1609" s="28" t="str">
        <f aca="false">IF(A1609="","",IF(OR(AND(K1609&lt;&gt;"",LOWER(K1609)&lt;&gt;"não consta"),AND(L1609&lt;&gt;"",LOWER(L1609)&lt;&gt;"não consta"),IFERROR(INDEX(Empresas!$G:$G,MATCH(A1609,Empresas!$A:$A,0))&amp;"","")&lt;&gt;""),"SIM",""))</f>
        <v/>
      </c>
      <c r="N1609" s="5"/>
      <c r="O1609" s="32" t="str">
        <f aca="false">IF(D1609="","",YEAR(D1609))</f>
        <v/>
      </c>
      <c r="P1609" s="5"/>
    </row>
    <row r="1610" customFormat="false" ht="15" hidden="false" customHeight="false" outlineLevel="0" collapsed="false">
      <c r="A1610" s="27"/>
      <c r="B1610" s="5"/>
      <c r="C1610" s="35"/>
      <c r="D1610" s="18"/>
      <c r="E1610" s="5"/>
      <c r="F1610" s="14"/>
      <c r="G1610" s="5"/>
      <c r="H1610" s="27"/>
      <c r="I1610" s="5"/>
      <c r="J1610" s="19" t="str">
        <f aca="false">IF(A1610="","",IFERROR(INDEX(Empresas!$D:$D,MATCH(A1610,Empresas!$A:$A,0))&amp;"","não consta"))</f>
        <v/>
      </c>
      <c r="K1610" s="19" t="str">
        <f aca="false">IF(A1610="","",IFERROR(INDEX(Sancoes!$B:$B,MATCH(A1610,Sancoes!$A:$A,0))&amp;"","não consta"))</f>
        <v/>
      </c>
      <c r="L1610" s="19" t="str">
        <f aca="false">IF(A1610="","",IFERROR(INDEX(Eleitoral!$B:$B,MATCH(A1610,Eleitoral!$A:$A,0))&amp;"","não consta"))</f>
        <v/>
      </c>
      <c r="M1610" s="28" t="str">
        <f aca="false">IF(A1610="","",IF(OR(AND(K1610&lt;&gt;"",LOWER(K1610)&lt;&gt;"não consta"),AND(L1610&lt;&gt;"",LOWER(L1610)&lt;&gt;"não consta"),IFERROR(INDEX(Empresas!$G:$G,MATCH(A1610,Empresas!$A:$A,0))&amp;"","")&lt;&gt;""),"SIM",""))</f>
        <v/>
      </c>
      <c r="N1610" s="5"/>
      <c r="O1610" s="32" t="str">
        <f aca="false">IF(D1610="","",YEAR(D1610))</f>
        <v/>
      </c>
      <c r="P1610" s="5"/>
    </row>
    <row r="1611" customFormat="false" ht="15" hidden="false" customHeight="false" outlineLevel="0" collapsed="false">
      <c r="A1611" s="27"/>
      <c r="B1611" s="5"/>
      <c r="C1611" s="35"/>
      <c r="D1611" s="18"/>
      <c r="E1611" s="5"/>
      <c r="F1611" s="14"/>
      <c r="G1611" s="5"/>
      <c r="H1611" s="27"/>
      <c r="I1611" s="5"/>
      <c r="J1611" s="19" t="str">
        <f aca="false">IF(A1611="","",IFERROR(INDEX(Empresas!$D:$D,MATCH(A1611,Empresas!$A:$A,0))&amp;"","não consta"))</f>
        <v/>
      </c>
      <c r="K1611" s="19" t="str">
        <f aca="false">IF(A1611="","",IFERROR(INDEX(Sancoes!$B:$B,MATCH(A1611,Sancoes!$A:$A,0))&amp;"","não consta"))</f>
        <v/>
      </c>
      <c r="L1611" s="19" t="str">
        <f aca="false">IF(A1611="","",IFERROR(INDEX(Eleitoral!$B:$B,MATCH(A1611,Eleitoral!$A:$A,0))&amp;"","não consta"))</f>
        <v/>
      </c>
      <c r="M1611" s="28" t="str">
        <f aca="false">IF(A1611="","",IF(OR(AND(K1611&lt;&gt;"",LOWER(K1611)&lt;&gt;"não consta"),AND(L1611&lt;&gt;"",LOWER(L1611)&lt;&gt;"não consta"),IFERROR(INDEX(Empresas!$G:$G,MATCH(A1611,Empresas!$A:$A,0))&amp;"","")&lt;&gt;""),"SIM",""))</f>
        <v/>
      </c>
      <c r="N1611" s="5"/>
      <c r="O1611" s="32" t="str">
        <f aca="false">IF(D1611="","",YEAR(D1611))</f>
        <v/>
      </c>
      <c r="P1611" s="5"/>
    </row>
    <row r="1612" customFormat="false" ht="15" hidden="false" customHeight="false" outlineLevel="0" collapsed="false">
      <c r="A1612" s="27"/>
      <c r="B1612" s="5"/>
      <c r="C1612" s="35"/>
      <c r="D1612" s="18"/>
      <c r="E1612" s="5"/>
      <c r="F1612" s="14"/>
      <c r="G1612" s="5"/>
      <c r="H1612" s="27"/>
      <c r="I1612" s="5"/>
      <c r="J1612" s="19" t="str">
        <f aca="false">IF(A1612="","",IFERROR(INDEX(Empresas!$D:$D,MATCH(A1612,Empresas!$A:$A,0))&amp;"","não consta"))</f>
        <v/>
      </c>
      <c r="K1612" s="19" t="str">
        <f aca="false">IF(A1612="","",IFERROR(INDEX(Sancoes!$B:$B,MATCH(A1612,Sancoes!$A:$A,0))&amp;"","não consta"))</f>
        <v/>
      </c>
      <c r="L1612" s="19" t="str">
        <f aca="false">IF(A1612="","",IFERROR(INDEX(Eleitoral!$B:$B,MATCH(A1612,Eleitoral!$A:$A,0))&amp;"","não consta"))</f>
        <v/>
      </c>
      <c r="M1612" s="28" t="str">
        <f aca="false">IF(A1612="","",IF(OR(AND(K1612&lt;&gt;"",LOWER(K1612)&lt;&gt;"não consta"),AND(L1612&lt;&gt;"",LOWER(L1612)&lt;&gt;"não consta"),IFERROR(INDEX(Empresas!$G:$G,MATCH(A1612,Empresas!$A:$A,0))&amp;"","")&lt;&gt;""),"SIM",""))</f>
        <v/>
      </c>
      <c r="N1612" s="5"/>
      <c r="O1612" s="32" t="str">
        <f aca="false">IF(D1612="","",YEAR(D1612))</f>
        <v/>
      </c>
      <c r="P1612" s="5"/>
    </row>
    <row r="1613" customFormat="false" ht="15" hidden="false" customHeight="false" outlineLevel="0" collapsed="false">
      <c r="A1613" s="27"/>
      <c r="B1613" s="5"/>
      <c r="C1613" s="35"/>
      <c r="D1613" s="18"/>
      <c r="E1613" s="5"/>
      <c r="F1613" s="14"/>
      <c r="G1613" s="5"/>
      <c r="H1613" s="27"/>
      <c r="I1613" s="5"/>
      <c r="J1613" s="19" t="str">
        <f aca="false">IF(A1613="","",IFERROR(INDEX(Empresas!$D:$D,MATCH(A1613,Empresas!$A:$A,0))&amp;"","não consta"))</f>
        <v/>
      </c>
      <c r="K1613" s="19" t="str">
        <f aca="false">IF(A1613="","",IFERROR(INDEX(Sancoes!$B:$B,MATCH(A1613,Sancoes!$A:$A,0))&amp;"","não consta"))</f>
        <v/>
      </c>
      <c r="L1613" s="19" t="str">
        <f aca="false">IF(A1613="","",IFERROR(INDEX(Eleitoral!$B:$B,MATCH(A1613,Eleitoral!$A:$A,0))&amp;"","não consta"))</f>
        <v/>
      </c>
      <c r="M1613" s="28" t="str">
        <f aca="false">IF(A1613="","",IF(OR(AND(K1613&lt;&gt;"",LOWER(K1613)&lt;&gt;"não consta"),AND(L1613&lt;&gt;"",LOWER(L1613)&lt;&gt;"não consta"),IFERROR(INDEX(Empresas!$G:$G,MATCH(A1613,Empresas!$A:$A,0))&amp;"","")&lt;&gt;""),"SIM",""))</f>
        <v/>
      </c>
      <c r="N1613" s="5"/>
      <c r="O1613" s="32" t="str">
        <f aca="false">IF(D1613="","",YEAR(D1613))</f>
        <v/>
      </c>
      <c r="P1613" s="5"/>
    </row>
    <row r="1614" customFormat="false" ht="15" hidden="false" customHeight="false" outlineLevel="0" collapsed="false">
      <c r="A1614" s="27"/>
      <c r="B1614" s="5"/>
      <c r="C1614" s="35"/>
      <c r="D1614" s="18"/>
      <c r="E1614" s="5"/>
      <c r="F1614" s="14"/>
      <c r="G1614" s="5"/>
      <c r="H1614" s="27"/>
      <c r="I1614" s="5"/>
      <c r="J1614" s="19" t="str">
        <f aca="false">IF(A1614="","",IFERROR(INDEX(Empresas!$D:$D,MATCH(A1614,Empresas!$A:$A,0))&amp;"","não consta"))</f>
        <v/>
      </c>
      <c r="K1614" s="19" t="str">
        <f aca="false">IF(A1614="","",IFERROR(INDEX(Sancoes!$B:$B,MATCH(A1614,Sancoes!$A:$A,0))&amp;"","não consta"))</f>
        <v/>
      </c>
      <c r="L1614" s="19" t="str">
        <f aca="false">IF(A1614="","",IFERROR(INDEX(Eleitoral!$B:$B,MATCH(A1614,Eleitoral!$A:$A,0))&amp;"","não consta"))</f>
        <v/>
      </c>
      <c r="M1614" s="28" t="str">
        <f aca="false">IF(A1614="","",IF(OR(AND(K1614&lt;&gt;"",LOWER(K1614)&lt;&gt;"não consta"),AND(L1614&lt;&gt;"",LOWER(L1614)&lt;&gt;"não consta"),IFERROR(INDEX(Empresas!$G:$G,MATCH(A1614,Empresas!$A:$A,0))&amp;"","")&lt;&gt;""),"SIM",""))</f>
        <v/>
      </c>
      <c r="N1614" s="5"/>
      <c r="O1614" s="32" t="str">
        <f aca="false">IF(D1614="","",YEAR(D1614))</f>
        <v/>
      </c>
      <c r="P1614" s="5"/>
    </row>
    <row r="1615" customFormat="false" ht="15" hidden="false" customHeight="false" outlineLevel="0" collapsed="false">
      <c r="A1615" s="27"/>
      <c r="B1615" s="5"/>
      <c r="C1615" s="35"/>
      <c r="D1615" s="18"/>
      <c r="E1615" s="5"/>
      <c r="F1615" s="14"/>
      <c r="G1615" s="5"/>
      <c r="H1615" s="27"/>
      <c r="I1615" s="5"/>
      <c r="J1615" s="19" t="str">
        <f aca="false">IF(A1615="","",IFERROR(INDEX(Empresas!$D:$D,MATCH(A1615,Empresas!$A:$A,0))&amp;"","não consta"))</f>
        <v/>
      </c>
      <c r="K1615" s="19" t="str">
        <f aca="false">IF(A1615="","",IFERROR(INDEX(Sancoes!$B:$B,MATCH(A1615,Sancoes!$A:$A,0))&amp;"","não consta"))</f>
        <v/>
      </c>
      <c r="L1615" s="19" t="str">
        <f aca="false">IF(A1615="","",IFERROR(INDEX(Eleitoral!$B:$B,MATCH(A1615,Eleitoral!$A:$A,0))&amp;"","não consta"))</f>
        <v/>
      </c>
      <c r="M1615" s="28" t="str">
        <f aca="false">IF(A1615="","",IF(OR(AND(K1615&lt;&gt;"",LOWER(K1615)&lt;&gt;"não consta"),AND(L1615&lt;&gt;"",LOWER(L1615)&lt;&gt;"não consta"),IFERROR(INDEX(Empresas!$G:$G,MATCH(A1615,Empresas!$A:$A,0))&amp;"","")&lt;&gt;""),"SIM",""))</f>
        <v/>
      </c>
      <c r="N1615" s="5"/>
      <c r="O1615" s="32" t="str">
        <f aca="false">IF(D1615="","",YEAR(D1615))</f>
        <v/>
      </c>
      <c r="P1615" s="5"/>
    </row>
    <row r="1616" customFormat="false" ht="15" hidden="false" customHeight="false" outlineLevel="0" collapsed="false">
      <c r="A1616" s="27"/>
      <c r="B1616" s="5"/>
      <c r="C1616" s="35"/>
      <c r="D1616" s="18"/>
      <c r="E1616" s="5"/>
      <c r="F1616" s="14"/>
      <c r="G1616" s="5"/>
      <c r="H1616" s="27"/>
      <c r="I1616" s="5"/>
      <c r="J1616" s="19" t="str">
        <f aca="false">IF(A1616="","",IFERROR(INDEX(Empresas!$D:$D,MATCH(A1616,Empresas!$A:$A,0))&amp;"","não consta"))</f>
        <v/>
      </c>
      <c r="K1616" s="19" t="str">
        <f aca="false">IF(A1616="","",IFERROR(INDEX(Sancoes!$B:$B,MATCH(A1616,Sancoes!$A:$A,0))&amp;"","não consta"))</f>
        <v/>
      </c>
      <c r="L1616" s="19" t="str">
        <f aca="false">IF(A1616="","",IFERROR(INDEX(Eleitoral!$B:$B,MATCH(A1616,Eleitoral!$A:$A,0))&amp;"","não consta"))</f>
        <v/>
      </c>
      <c r="M1616" s="28" t="str">
        <f aca="false">IF(A1616="","",IF(OR(AND(K1616&lt;&gt;"",LOWER(K1616)&lt;&gt;"não consta"),AND(L1616&lt;&gt;"",LOWER(L1616)&lt;&gt;"não consta"),IFERROR(INDEX(Empresas!$G:$G,MATCH(A1616,Empresas!$A:$A,0))&amp;"","")&lt;&gt;""),"SIM",""))</f>
        <v/>
      </c>
      <c r="N1616" s="5"/>
      <c r="O1616" s="32" t="str">
        <f aca="false">IF(D1616="","",YEAR(D1616))</f>
        <v/>
      </c>
      <c r="P1616" s="5"/>
    </row>
    <row r="1617" customFormat="false" ht="15" hidden="false" customHeight="false" outlineLevel="0" collapsed="false">
      <c r="A1617" s="27"/>
      <c r="B1617" s="5"/>
      <c r="C1617" s="35"/>
      <c r="D1617" s="18"/>
      <c r="E1617" s="5"/>
      <c r="F1617" s="14"/>
      <c r="G1617" s="5"/>
      <c r="H1617" s="27"/>
      <c r="I1617" s="5"/>
      <c r="J1617" s="19" t="str">
        <f aca="false">IF(A1617="","",IFERROR(INDEX(Empresas!$D:$D,MATCH(A1617,Empresas!$A:$A,0))&amp;"","não consta"))</f>
        <v/>
      </c>
      <c r="K1617" s="19" t="str">
        <f aca="false">IF(A1617="","",IFERROR(INDEX(Sancoes!$B:$B,MATCH(A1617,Sancoes!$A:$A,0))&amp;"","não consta"))</f>
        <v/>
      </c>
      <c r="L1617" s="19" t="str">
        <f aca="false">IF(A1617="","",IFERROR(INDEX(Eleitoral!$B:$B,MATCH(A1617,Eleitoral!$A:$A,0))&amp;"","não consta"))</f>
        <v/>
      </c>
      <c r="M1617" s="28" t="str">
        <f aca="false">IF(A1617="","",IF(OR(AND(K1617&lt;&gt;"",LOWER(K1617)&lt;&gt;"não consta"),AND(L1617&lt;&gt;"",LOWER(L1617)&lt;&gt;"não consta"),IFERROR(INDEX(Empresas!$G:$G,MATCH(A1617,Empresas!$A:$A,0))&amp;"","")&lt;&gt;""),"SIM",""))</f>
        <v/>
      </c>
      <c r="N1617" s="5"/>
      <c r="O1617" s="32" t="str">
        <f aca="false">IF(D1617="","",YEAR(D1617))</f>
        <v/>
      </c>
      <c r="P1617" s="5"/>
    </row>
    <row r="1618" customFormat="false" ht="15" hidden="false" customHeight="false" outlineLevel="0" collapsed="false">
      <c r="A1618" s="27"/>
      <c r="B1618" s="5"/>
      <c r="C1618" s="35"/>
      <c r="D1618" s="18"/>
      <c r="E1618" s="5"/>
      <c r="F1618" s="14"/>
      <c r="G1618" s="5"/>
      <c r="H1618" s="27"/>
      <c r="I1618" s="5"/>
      <c r="J1618" s="19" t="str">
        <f aca="false">IF(A1618="","",IFERROR(INDEX(Empresas!$D:$D,MATCH(A1618,Empresas!$A:$A,0))&amp;"","não consta"))</f>
        <v/>
      </c>
      <c r="K1618" s="19" t="str">
        <f aca="false">IF(A1618="","",IFERROR(INDEX(Sancoes!$B:$B,MATCH(A1618,Sancoes!$A:$A,0))&amp;"","não consta"))</f>
        <v/>
      </c>
      <c r="L1618" s="19" t="str">
        <f aca="false">IF(A1618="","",IFERROR(INDEX(Eleitoral!$B:$B,MATCH(A1618,Eleitoral!$A:$A,0))&amp;"","não consta"))</f>
        <v/>
      </c>
      <c r="M1618" s="28" t="str">
        <f aca="false">IF(A1618="","",IF(OR(AND(K1618&lt;&gt;"",LOWER(K1618)&lt;&gt;"não consta"),AND(L1618&lt;&gt;"",LOWER(L1618)&lt;&gt;"não consta"),IFERROR(INDEX(Empresas!$G:$G,MATCH(A1618,Empresas!$A:$A,0))&amp;"","")&lt;&gt;""),"SIM",""))</f>
        <v/>
      </c>
      <c r="N1618" s="5"/>
      <c r="O1618" s="32" t="str">
        <f aca="false">IF(D1618="","",YEAR(D1618))</f>
        <v/>
      </c>
      <c r="P1618" s="5"/>
    </row>
    <row r="1619" customFormat="false" ht="15" hidden="false" customHeight="false" outlineLevel="0" collapsed="false">
      <c r="A1619" s="27"/>
      <c r="B1619" s="5"/>
      <c r="C1619" s="35"/>
      <c r="D1619" s="18"/>
      <c r="E1619" s="5"/>
      <c r="F1619" s="14"/>
      <c r="G1619" s="5"/>
      <c r="H1619" s="27"/>
      <c r="I1619" s="5"/>
      <c r="J1619" s="19" t="str">
        <f aca="false">IF(A1619="","",IFERROR(INDEX(Empresas!$D:$D,MATCH(A1619,Empresas!$A:$A,0))&amp;"","não consta"))</f>
        <v/>
      </c>
      <c r="K1619" s="19" t="str">
        <f aca="false">IF(A1619="","",IFERROR(INDEX(Sancoes!$B:$B,MATCH(A1619,Sancoes!$A:$A,0))&amp;"","não consta"))</f>
        <v/>
      </c>
      <c r="L1619" s="19" t="str">
        <f aca="false">IF(A1619="","",IFERROR(INDEX(Eleitoral!$B:$B,MATCH(A1619,Eleitoral!$A:$A,0))&amp;"","não consta"))</f>
        <v/>
      </c>
      <c r="M1619" s="28" t="str">
        <f aca="false">IF(A1619="","",IF(OR(AND(K1619&lt;&gt;"",LOWER(K1619)&lt;&gt;"não consta"),AND(L1619&lt;&gt;"",LOWER(L1619)&lt;&gt;"não consta"),IFERROR(INDEX(Empresas!$G:$G,MATCH(A1619,Empresas!$A:$A,0))&amp;"","")&lt;&gt;""),"SIM",""))</f>
        <v/>
      </c>
      <c r="N1619" s="5"/>
      <c r="O1619" s="32" t="str">
        <f aca="false">IF(D1619="","",YEAR(D1619))</f>
        <v/>
      </c>
      <c r="P1619" s="5"/>
    </row>
    <row r="1620" customFormat="false" ht="15" hidden="false" customHeight="false" outlineLevel="0" collapsed="false">
      <c r="A1620" s="27"/>
      <c r="B1620" s="5"/>
      <c r="C1620" s="35"/>
      <c r="D1620" s="18"/>
      <c r="E1620" s="5"/>
      <c r="F1620" s="14"/>
      <c r="G1620" s="5"/>
      <c r="H1620" s="27"/>
      <c r="I1620" s="5"/>
      <c r="J1620" s="19" t="str">
        <f aca="false">IF(A1620="","",IFERROR(INDEX(Empresas!$D:$D,MATCH(A1620,Empresas!$A:$A,0))&amp;"","não consta"))</f>
        <v/>
      </c>
      <c r="K1620" s="19" t="str">
        <f aca="false">IF(A1620="","",IFERROR(INDEX(Sancoes!$B:$B,MATCH(A1620,Sancoes!$A:$A,0))&amp;"","não consta"))</f>
        <v/>
      </c>
      <c r="L1620" s="19" t="str">
        <f aca="false">IF(A1620="","",IFERROR(INDEX(Eleitoral!$B:$B,MATCH(A1620,Eleitoral!$A:$A,0))&amp;"","não consta"))</f>
        <v/>
      </c>
      <c r="M1620" s="28" t="str">
        <f aca="false">IF(A1620="","",IF(OR(AND(K1620&lt;&gt;"",LOWER(K1620)&lt;&gt;"não consta"),AND(L1620&lt;&gt;"",LOWER(L1620)&lt;&gt;"não consta"),IFERROR(INDEX(Empresas!$G:$G,MATCH(A1620,Empresas!$A:$A,0))&amp;"","")&lt;&gt;""),"SIM",""))</f>
        <v/>
      </c>
      <c r="N1620" s="5"/>
      <c r="O1620" s="32" t="str">
        <f aca="false">IF(D1620="","",YEAR(D1620))</f>
        <v/>
      </c>
      <c r="P1620" s="5"/>
    </row>
    <row r="1621" customFormat="false" ht="15" hidden="false" customHeight="false" outlineLevel="0" collapsed="false">
      <c r="A1621" s="27"/>
      <c r="B1621" s="5"/>
      <c r="C1621" s="35"/>
      <c r="D1621" s="18"/>
      <c r="E1621" s="5"/>
      <c r="F1621" s="14"/>
      <c r="G1621" s="5"/>
      <c r="H1621" s="27"/>
      <c r="I1621" s="5"/>
      <c r="J1621" s="19" t="str">
        <f aca="false">IF(A1621="","",IFERROR(INDEX(Empresas!$D:$D,MATCH(A1621,Empresas!$A:$A,0))&amp;"","não consta"))</f>
        <v/>
      </c>
      <c r="K1621" s="19" t="str">
        <f aca="false">IF(A1621="","",IFERROR(INDEX(Sancoes!$B:$B,MATCH(A1621,Sancoes!$A:$A,0))&amp;"","não consta"))</f>
        <v/>
      </c>
      <c r="L1621" s="19" t="str">
        <f aca="false">IF(A1621="","",IFERROR(INDEX(Eleitoral!$B:$B,MATCH(A1621,Eleitoral!$A:$A,0))&amp;"","não consta"))</f>
        <v/>
      </c>
      <c r="M1621" s="28" t="str">
        <f aca="false">IF(A1621="","",IF(OR(AND(K1621&lt;&gt;"",LOWER(K1621)&lt;&gt;"não consta"),AND(L1621&lt;&gt;"",LOWER(L1621)&lt;&gt;"não consta"),IFERROR(INDEX(Empresas!$G:$G,MATCH(A1621,Empresas!$A:$A,0))&amp;"","")&lt;&gt;""),"SIM",""))</f>
        <v/>
      </c>
      <c r="N1621" s="5"/>
      <c r="O1621" s="32" t="str">
        <f aca="false">IF(D1621="","",YEAR(D1621))</f>
        <v/>
      </c>
      <c r="P1621" s="5"/>
    </row>
    <row r="1622" customFormat="false" ht="15" hidden="false" customHeight="false" outlineLevel="0" collapsed="false">
      <c r="A1622" s="27"/>
      <c r="B1622" s="5"/>
      <c r="C1622" s="35"/>
      <c r="D1622" s="18"/>
      <c r="E1622" s="5"/>
      <c r="F1622" s="14"/>
      <c r="G1622" s="5"/>
      <c r="H1622" s="27"/>
      <c r="I1622" s="5"/>
      <c r="J1622" s="19" t="str">
        <f aca="false">IF(A1622="","",IFERROR(INDEX(Empresas!$D:$D,MATCH(A1622,Empresas!$A:$A,0))&amp;"","não consta"))</f>
        <v/>
      </c>
      <c r="K1622" s="19" t="str">
        <f aca="false">IF(A1622="","",IFERROR(INDEX(Sancoes!$B:$B,MATCH(A1622,Sancoes!$A:$A,0))&amp;"","não consta"))</f>
        <v/>
      </c>
      <c r="L1622" s="19" t="str">
        <f aca="false">IF(A1622="","",IFERROR(INDEX(Eleitoral!$B:$B,MATCH(A1622,Eleitoral!$A:$A,0))&amp;"","não consta"))</f>
        <v/>
      </c>
      <c r="M1622" s="28" t="str">
        <f aca="false">IF(A1622="","",IF(OR(AND(K1622&lt;&gt;"",LOWER(K1622)&lt;&gt;"não consta"),AND(L1622&lt;&gt;"",LOWER(L1622)&lt;&gt;"não consta"),IFERROR(INDEX(Empresas!$G:$G,MATCH(A1622,Empresas!$A:$A,0))&amp;"","")&lt;&gt;""),"SIM",""))</f>
        <v/>
      </c>
      <c r="N1622" s="5"/>
      <c r="O1622" s="32" t="str">
        <f aca="false">IF(D1622="","",YEAR(D1622))</f>
        <v/>
      </c>
      <c r="P1622" s="5"/>
    </row>
    <row r="1623" customFormat="false" ht="15" hidden="false" customHeight="false" outlineLevel="0" collapsed="false">
      <c r="A1623" s="27"/>
      <c r="B1623" s="5"/>
      <c r="C1623" s="35"/>
      <c r="D1623" s="18"/>
      <c r="E1623" s="5"/>
      <c r="F1623" s="14"/>
      <c r="G1623" s="5"/>
      <c r="H1623" s="27"/>
      <c r="I1623" s="5"/>
      <c r="J1623" s="19" t="str">
        <f aca="false">IF(A1623="","",IFERROR(INDEX(Empresas!$D:$D,MATCH(A1623,Empresas!$A:$A,0))&amp;"","não consta"))</f>
        <v/>
      </c>
      <c r="K1623" s="19" t="str">
        <f aca="false">IF(A1623="","",IFERROR(INDEX(Sancoes!$B:$B,MATCH(A1623,Sancoes!$A:$A,0))&amp;"","não consta"))</f>
        <v/>
      </c>
      <c r="L1623" s="19" t="str">
        <f aca="false">IF(A1623="","",IFERROR(INDEX(Eleitoral!$B:$B,MATCH(A1623,Eleitoral!$A:$A,0))&amp;"","não consta"))</f>
        <v/>
      </c>
      <c r="M1623" s="28" t="str">
        <f aca="false">IF(A1623="","",IF(OR(AND(K1623&lt;&gt;"",LOWER(K1623)&lt;&gt;"não consta"),AND(L1623&lt;&gt;"",LOWER(L1623)&lt;&gt;"não consta"),IFERROR(INDEX(Empresas!$G:$G,MATCH(A1623,Empresas!$A:$A,0))&amp;"","")&lt;&gt;""),"SIM",""))</f>
        <v/>
      </c>
      <c r="N1623" s="5"/>
      <c r="O1623" s="32" t="str">
        <f aca="false">IF(D1623="","",YEAR(D1623))</f>
        <v/>
      </c>
      <c r="P1623" s="5"/>
    </row>
    <row r="1624" customFormat="false" ht="15" hidden="false" customHeight="false" outlineLevel="0" collapsed="false">
      <c r="A1624" s="27"/>
      <c r="B1624" s="5"/>
      <c r="C1624" s="35"/>
      <c r="D1624" s="18"/>
      <c r="E1624" s="5"/>
      <c r="F1624" s="14"/>
      <c r="G1624" s="5"/>
      <c r="H1624" s="27"/>
      <c r="I1624" s="5"/>
      <c r="J1624" s="19" t="str">
        <f aca="false">IF(A1624="","",IFERROR(INDEX(Empresas!$D:$D,MATCH(A1624,Empresas!$A:$A,0))&amp;"","não consta"))</f>
        <v/>
      </c>
      <c r="K1624" s="19" t="str">
        <f aca="false">IF(A1624="","",IFERROR(INDEX(Sancoes!$B:$B,MATCH(A1624,Sancoes!$A:$A,0))&amp;"","não consta"))</f>
        <v/>
      </c>
      <c r="L1624" s="19" t="str">
        <f aca="false">IF(A1624="","",IFERROR(INDEX(Eleitoral!$B:$B,MATCH(A1624,Eleitoral!$A:$A,0))&amp;"","não consta"))</f>
        <v/>
      </c>
      <c r="M1624" s="28" t="str">
        <f aca="false">IF(A1624="","",IF(OR(AND(K1624&lt;&gt;"",LOWER(K1624)&lt;&gt;"não consta"),AND(L1624&lt;&gt;"",LOWER(L1624)&lt;&gt;"não consta"),IFERROR(INDEX(Empresas!$G:$G,MATCH(A1624,Empresas!$A:$A,0))&amp;"","")&lt;&gt;""),"SIM",""))</f>
        <v/>
      </c>
      <c r="N1624" s="5"/>
      <c r="O1624" s="32" t="str">
        <f aca="false">IF(D1624="","",YEAR(D1624))</f>
        <v/>
      </c>
      <c r="P1624" s="5"/>
    </row>
    <row r="1625" customFormat="false" ht="15" hidden="false" customHeight="false" outlineLevel="0" collapsed="false">
      <c r="A1625" s="27"/>
      <c r="B1625" s="5"/>
      <c r="C1625" s="35"/>
      <c r="D1625" s="18"/>
      <c r="E1625" s="5"/>
      <c r="F1625" s="14"/>
      <c r="G1625" s="5"/>
      <c r="H1625" s="27"/>
      <c r="I1625" s="5"/>
      <c r="J1625" s="19" t="str">
        <f aca="false">IF(A1625="","",IFERROR(INDEX(Empresas!$D:$D,MATCH(A1625,Empresas!$A:$A,0))&amp;"","não consta"))</f>
        <v/>
      </c>
      <c r="K1625" s="19" t="str">
        <f aca="false">IF(A1625="","",IFERROR(INDEX(Sancoes!$B:$B,MATCH(A1625,Sancoes!$A:$A,0))&amp;"","não consta"))</f>
        <v/>
      </c>
      <c r="L1625" s="19" t="str">
        <f aca="false">IF(A1625="","",IFERROR(INDEX(Eleitoral!$B:$B,MATCH(A1625,Eleitoral!$A:$A,0))&amp;"","não consta"))</f>
        <v/>
      </c>
      <c r="M1625" s="28" t="str">
        <f aca="false">IF(A1625="","",IF(OR(AND(K1625&lt;&gt;"",LOWER(K1625)&lt;&gt;"não consta"),AND(L1625&lt;&gt;"",LOWER(L1625)&lt;&gt;"não consta"),IFERROR(INDEX(Empresas!$G:$G,MATCH(A1625,Empresas!$A:$A,0))&amp;"","")&lt;&gt;""),"SIM",""))</f>
        <v/>
      </c>
      <c r="N1625" s="5"/>
      <c r="O1625" s="32" t="str">
        <f aca="false">IF(D1625="","",YEAR(D1625))</f>
        <v/>
      </c>
      <c r="P1625" s="5"/>
    </row>
    <row r="1626" customFormat="false" ht="15" hidden="false" customHeight="false" outlineLevel="0" collapsed="false">
      <c r="A1626" s="27"/>
      <c r="B1626" s="5"/>
      <c r="C1626" s="35"/>
      <c r="D1626" s="18"/>
      <c r="E1626" s="5"/>
      <c r="F1626" s="14"/>
      <c r="G1626" s="5"/>
      <c r="H1626" s="27"/>
      <c r="I1626" s="5"/>
      <c r="J1626" s="19" t="str">
        <f aca="false">IF(A1626="","",IFERROR(INDEX(Empresas!$D:$D,MATCH(A1626,Empresas!$A:$A,0))&amp;"","não consta"))</f>
        <v/>
      </c>
      <c r="K1626" s="19" t="str">
        <f aca="false">IF(A1626="","",IFERROR(INDEX(Sancoes!$B:$B,MATCH(A1626,Sancoes!$A:$A,0))&amp;"","não consta"))</f>
        <v/>
      </c>
      <c r="L1626" s="19" t="str">
        <f aca="false">IF(A1626="","",IFERROR(INDEX(Eleitoral!$B:$B,MATCH(A1626,Eleitoral!$A:$A,0))&amp;"","não consta"))</f>
        <v/>
      </c>
      <c r="M1626" s="28" t="str">
        <f aca="false">IF(A1626="","",IF(OR(AND(K1626&lt;&gt;"",LOWER(K1626)&lt;&gt;"não consta"),AND(L1626&lt;&gt;"",LOWER(L1626)&lt;&gt;"não consta"),IFERROR(INDEX(Empresas!$G:$G,MATCH(A1626,Empresas!$A:$A,0))&amp;"","")&lt;&gt;""),"SIM",""))</f>
        <v/>
      </c>
      <c r="N1626" s="5"/>
      <c r="O1626" s="32" t="str">
        <f aca="false">IF(D1626="","",YEAR(D1626))</f>
        <v/>
      </c>
      <c r="P1626" s="5"/>
    </row>
    <row r="1627" customFormat="false" ht="15" hidden="false" customHeight="false" outlineLevel="0" collapsed="false">
      <c r="A1627" s="27"/>
      <c r="B1627" s="5"/>
      <c r="C1627" s="35"/>
      <c r="D1627" s="18"/>
      <c r="E1627" s="5"/>
      <c r="F1627" s="14"/>
      <c r="G1627" s="5"/>
      <c r="H1627" s="27"/>
      <c r="I1627" s="5"/>
      <c r="J1627" s="19" t="str">
        <f aca="false">IF(A1627="","",IFERROR(INDEX(Empresas!$D:$D,MATCH(A1627,Empresas!$A:$A,0))&amp;"","não consta"))</f>
        <v/>
      </c>
      <c r="K1627" s="19" t="str">
        <f aca="false">IF(A1627="","",IFERROR(INDEX(Sancoes!$B:$B,MATCH(A1627,Sancoes!$A:$A,0))&amp;"","não consta"))</f>
        <v/>
      </c>
      <c r="L1627" s="19" t="str">
        <f aca="false">IF(A1627="","",IFERROR(INDEX(Eleitoral!$B:$B,MATCH(A1627,Eleitoral!$A:$A,0))&amp;"","não consta"))</f>
        <v/>
      </c>
      <c r="M1627" s="28" t="str">
        <f aca="false">IF(A1627="","",IF(OR(AND(K1627&lt;&gt;"",LOWER(K1627)&lt;&gt;"não consta"),AND(L1627&lt;&gt;"",LOWER(L1627)&lt;&gt;"não consta"),IFERROR(INDEX(Empresas!$G:$G,MATCH(A1627,Empresas!$A:$A,0))&amp;"","")&lt;&gt;""),"SIM",""))</f>
        <v/>
      </c>
      <c r="N1627" s="5"/>
      <c r="O1627" s="32" t="str">
        <f aca="false">IF(D1627="","",YEAR(D1627))</f>
        <v/>
      </c>
      <c r="P1627" s="5"/>
    </row>
    <row r="1628" customFormat="false" ht="15" hidden="false" customHeight="false" outlineLevel="0" collapsed="false">
      <c r="A1628" s="27"/>
      <c r="B1628" s="5"/>
      <c r="C1628" s="35"/>
      <c r="D1628" s="18"/>
      <c r="E1628" s="5"/>
      <c r="F1628" s="14"/>
      <c r="G1628" s="5"/>
      <c r="H1628" s="27"/>
      <c r="I1628" s="5"/>
      <c r="J1628" s="19" t="str">
        <f aca="false">IF(A1628="","",IFERROR(INDEX(Empresas!$D:$D,MATCH(A1628,Empresas!$A:$A,0))&amp;"","não consta"))</f>
        <v/>
      </c>
      <c r="K1628" s="19" t="str">
        <f aca="false">IF(A1628="","",IFERROR(INDEX(Sancoes!$B:$B,MATCH(A1628,Sancoes!$A:$A,0))&amp;"","não consta"))</f>
        <v/>
      </c>
      <c r="L1628" s="19" t="str">
        <f aca="false">IF(A1628="","",IFERROR(INDEX(Eleitoral!$B:$B,MATCH(A1628,Eleitoral!$A:$A,0))&amp;"","não consta"))</f>
        <v/>
      </c>
      <c r="M1628" s="28" t="str">
        <f aca="false">IF(A1628="","",IF(OR(AND(K1628&lt;&gt;"",LOWER(K1628)&lt;&gt;"não consta"),AND(L1628&lt;&gt;"",LOWER(L1628)&lt;&gt;"não consta"),IFERROR(INDEX(Empresas!$G:$G,MATCH(A1628,Empresas!$A:$A,0))&amp;"","")&lt;&gt;""),"SIM",""))</f>
        <v/>
      </c>
      <c r="N1628" s="5"/>
      <c r="O1628" s="32" t="str">
        <f aca="false">IF(D1628="","",YEAR(D1628))</f>
        <v/>
      </c>
      <c r="P1628" s="5"/>
    </row>
    <row r="1629" customFormat="false" ht="15" hidden="false" customHeight="false" outlineLevel="0" collapsed="false">
      <c r="A1629" s="27"/>
      <c r="B1629" s="5"/>
      <c r="C1629" s="35"/>
      <c r="D1629" s="18"/>
      <c r="E1629" s="5"/>
      <c r="F1629" s="14"/>
      <c r="G1629" s="5"/>
      <c r="H1629" s="27"/>
      <c r="I1629" s="5"/>
      <c r="J1629" s="19" t="str">
        <f aca="false">IF(A1629="","",IFERROR(INDEX(Empresas!$D:$D,MATCH(A1629,Empresas!$A:$A,0))&amp;"","não consta"))</f>
        <v/>
      </c>
      <c r="K1629" s="19" t="str">
        <f aca="false">IF(A1629="","",IFERROR(INDEX(Sancoes!$B:$B,MATCH(A1629,Sancoes!$A:$A,0))&amp;"","não consta"))</f>
        <v/>
      </c>
      <c r="L1629" s="19" t="str">
        <f aca="false">IF(A1629="","",IFERROR(INDEX(Eleitoral!$B:$B,MATCH(A1629,Eleitoral!$A:$A,0))&amp;"","não consta"))</f>
        <v/>
      </c>
      <c r="M1629" s="28" t="str">
        <f aca="false">IF(A1629="","",IF(OR(AND(K1629&lt;&gt;"",LOWER(K1629)&lt;&gt;"não consta"),AND(L1629&lt;&gt;"",LOWER(L1629)&lt;&gt;"não consta"),IFERROR(INDEX(Empresas!$G:$G,MATCH(A1629,Empresas!$A:$A,0))&amp;"","")&lt;&gt;""),"SIM",""))</f>
        <v/>
      </c>
      <c r="N1629" s="5"/>
      <c r="O1629" s="32" t="str">
        <f aca="false">IF(D1629="","",YEAR(D1629))</f>
        <v/>
      </c>
      <c r="P1629" s="5"/>
    </row>
    <row r="1630" customFormat="false" ht="15" hidden="false" customHeight="false" outlineLevel="0" collapsed="false">
      <c r="A1630" s="27"/>
      <c r="B1630" s="5"/>
      <c r="C1630" s="35"/>
      <c r="D1630" s="18"/>
      <c r="E1630" s="5"/>
      <c r="F1630" s="14"/>
      <c r="G1630" s="5"/>
      <c r="H1630" s="27"/>
      <c r="I1630" s="5"/>
      <c r="J1630" s="19" t="str">
        <f aca="false">IF(A1630="","",IFERROR(INDEX(Empresas!$D:$D,MATCH(A1630,Empresas!$A:$A,0))&amp;"","não consta"))</f>
        <v/>
      </c>
      <c r="K1630" s="19" t="str">
        <f aca="false">IF(A1630="","",IFERROR(INDEX(Sancoes!$B:$B,MATCH(A1630,Sancoes!$A:$A,0))&amp;"","não consta"))</f>
        <v/>
      </c>
      <c r="L1630" s="19" t="str">
        <f aca="false">IF(A1630="","",IFERROR(INDEX(Eleitoral!$B:$B,MATCH(A1630,Eleitoral!$A:$A,0))&amp;"","não consta"))</f>
        <v/>
      </c>
      <c r="M1630" s="28" t="str">
        <f aca="false">IF(A1630="","",IF(OR(AND(K1630&lt;&gt;"",LOWER(K1630)&lt;&gt;"não consta"),AND(L1630&lt;&gt;"",LOWER(L1630)&lt;&gt;"não consta"),IFERROR(INDEX(Empresas!$G:$G,MATCH(A1630,Empresas!$A:$A,0))&amp;"","")&lt;&gt;""),"SIM",""))</f>
        <v/>
      </c>
      <c r="N1630" s="5"/>
      <c r="O1630" s="32" t="str">
        <f aca="false">IF(D1630="","",YEAR(D1630))</f>
        <v/>
      </c>
      <c r="P1630" s="5"/>
    </row>
    <row r="1631" customFormat="false" ht="15" hidden="false" customHeight="false" outlineLevel="0" collapsed="false">
      <c r="A1631" s="27"/>
      <c r="B1631" s="5"/>
      <c r="C1631" s="35"/>
      <c r="D1631" s="18"/>
      <c r="E1631" s="5"/>
      <c r="F1631" s="14"/>
      <c r="G1631" s="5"/>
      <c r="H1631" s="27"/>
      <c r="I1631" s="5"/>
      <c r="J1631" s="19" t="str">
        <f aca="false">IF(A1631="","",IFERROR(INDEX(Empresas!$D:$D,MATCH(A1631,Empresas!$A:$A,0))&amp;"","não consta"))</f>
        <v/>
      </c>
      <c r="K1631" s="19" t="str">
        <f aca="false">IF(A1631="","",IFERROR(INDEX(Sancoes!$B:$B,MATCH(A1631,Sancoes!$A:$A,0))&amp;"","não consta"))</f>
        <v/>
      </c>
      <c r="L1631" s="19" t="str">
        <f aca="false">IF(A1631="","",IFERROR(INDEX(Eleitoral!$B:$B,MATCH(A1631,Eleitoral!$A:$A,0))&amp;"","não consta"))</f>
        <v/>
      </c>
      <c r="M1631" s="28" t="str">
        <f aca="false">IF(A1631="","",IF(OR(AND(K1631&lt;&gt;"",LOWER(K1631)&lt;&gt;"não consta"),AND(L1631&lt;&gt;"",LOWER(L1631)&lt;&gt;"não consta"),IFERROR(INDEX(Empresas!$G:$G,MATCH(A1631,Empresas!$A:$A,0))&amp;"","")&lt;&gt;""),"SIM",""))</f>
        <v/>
      </c>
      <c r="N1631" s="5"/>
      <c r="O1631" s="32" t="str">
        <f aca="false">IF(D1631="","",YEAR(D1631))</f>
        <v/>
      </c>
      <c r="P1631" s="5"/>
    </row>
    <row r="1632" customFormat="false" ht="15" hidden="false" customHeight="false" outlineLevel="0" collapsed="false">
      <c r="A1632" s="27"/>
      <c r="B1632" s="5"/>
      <c r="C1632" s="35"/>
      <c r="D1632" s="18"/>
      <c r="E1632" s="5"/>
      <c r="F1632" s="14"/>
      <c r="G1632" s="5"/>
      <c r="H1632" s="27"/>
      <c r="I1632" s="5"/>
      <c r="J1632" s="19" t="str">
        <f aca="false">IF(A1632="","",IFERROR(INDEX(Empresas!$D:$D,MATCH(A1632,Empresas!$A:$A,0))&amp;"","não consta"))</f>
        <v/>
      </c>
      <c r="K1632" s="19" t="str">
        <f aca="false">IF(A1632="","",IFERROR(INDEX(Sancoes!$B:$B,MATCH(A1632,Sancoes!$A:$A,0))&amp;"","não consta"))</f>
        <v/>
      </c>
      <c r="L1632" s="19" t="str">
        <f aca="false">IF(A1632="","",IFERROR(INDEX(Eleitoral!$B:$B,MATCH(A1632,Eleitoral!$A:$A,0))&amp;"","não consta"))</f>
        <v/>
      </c>
      <c r="M1632" s="28" t="str">
        <f aca="false">IF(A1632="","",IF(OR(AND(K1632&lt;&gt;"",LOWER(K1632)&lt;&gt;"não consta"),AND(L1632&lt;&gt;"",LOWER(L1632)&lt;&gt;"não consta"),IFERROR(INDEX(Empresas!$G:$G,MATCH(A1632,Empresas!$A:$A,0))&amp;"","")&lt;&gt;""),"SIM",""))</f>
        <v/>
      </c>
      <c r="N1632" s="5"/>
      <c r="O1632" s="32" t="str">
        <f aca="false">IF(D1632="","",YEAR(D1632))</f>
        <v/>
      </c>
      <c r="P1632" s="5"/>
    </row>
    <row r="1633" customFormat="false" ht="15" hidden="false" customHeight="false" outlineLevel="0" collapsed="false">
      <c r="A1633" s="27"/>
      <c r="B1633" s="5"/>
      <c r="C1633" s="35"/>
      <c r="D1633" s="18"/>
      <c r="E1633" s="5"/>
      <c r="F1633" s="14"/>
      <c r="G1633" s="5"/>
      <c r="H1633" s="27"/>
      <c r="I1633" s="5"/>
      <c r="J1633" s="19" t="str">
        <f aca="false">IF(A1633="","",IFERROR(INDEX(Empresas!$D:$D,MATCH(A1633,Empresas!$A:$A,0))&amp;"","não consta"))</f>
        <v/>
      </c>
      <c r="K1633" s="19" t="str">
        <f aca="false">IF(A1633="","",IFERROR(INDEX(Sancoes!$B:$B,MATCH(A1633,Sancoes!$A:$A,0))&amp;"","não consta"))</f>
        <v/>
      </c>
      <c r="L1633" s="19" t="str">
        <f aca="false">IF(A1633="","",IFERROR(INDEX(Eleitoral!$B:$B,MATCH(A1633,Eleitoral!$A:$A,0))&amp;"","não consta"))</f>
        <v/>
      </c>
      <c r="M1633" s="28" t="str">
        <f aca="false">IF(A1633="","",IF(OR(AND(K1633&lt;&gt;"",LOWER(K1633)&lt;&gt;"não consta"),AND(L1633&lt;&gt;"",LOWER(L1633)&lt;&gt;"não consta"),IFERROR(INDEX(Empresas!$G:$G,MATCH(A1633,Empresas!$A:$A,0))&amp;"","")&lt;&gt;""),"SIM",""))</f>
        <v/>
      </c>
      <c r="N1633" s="5"/>
      <c r="O1633" s="32" t="str">
        <f aca="false">IF(D1633="","",YEAR(D1633))</f>
        <v/>
      </c>
      <c r="P1633" s="5"/>
    </row>
    <row r="1634" customFormat="false" ht="15" hidden="false" customHeight="false" outlineLevel="0" collapsed="false">
      <c r="A1634" s="27"/>
      <c r="B1634" s="5"/>
      <c r="C1634" s="35"/>
      <c r="D1634" s="18"/>
      <c r="E1634" s="5"/>
      <c r="F1634" s="14"/>
      <c r="G1634" s="5"/>
      <c r="H1634" s="27"/>
      <c r="I1634" s="5"/>
      <c r="J1634" s="19" t="str">
        <f aca="false">IF(A1634="","",IFERROR(INDEX(Empresas!$D:$D,MATCH(A1634,Empresas!$A:$A,0))&amp;"","não consta"))</f>
        <v/>
      </c>
      <c r="K1634" s="19" t="str">
        <f aca="false">IF(A1634="","",IFERROR(INDEX(Sancoes!$B:$B,MATCH(A1634,Sancoes!$A:$A,0))&amp;"","não consta"))</f>
        <v/>
      </c>
      <c r="L1634" s="19" t="str">
        <f aca="false">IF(A1634="","",IFERROR(INDEX(Eleitoral!$B:$B,MATCH(A1634,Eleitoral!$A:$A,0))&amp;"","não consta"))</f>
        <v/>
      </c>
      <c r="M1634" s="28" t="str">
        <f aca="false">IF(A1634="","",IF(OR(AND(K1634&lt;&gt;"",LOWER(K1634)&lt;&gt;"não consta"),AND(L1634&lt;&gt;"",LOWER(L1634)&lt;&gt;"não consta"),IFERROR(INDEX(Empresas!$G:$G,MATCH(A1634,Empresas!$A:$A,0))&amp;"","")&lt;&gt;""),"SIM",""))</f>
        <v/>
      </c>
      <c r="N1634" s="5"/>
      <c r="O1634" s="32" t="str">
        <f aca="false">IF(D1634="","",YEAR(D1634))</f>
        <v/>
      </c>
      <c r="P1634" s="5"/>
    </row>
    <row r="1635" customFormat="false" ht="15" hidden="false" customHeight="false" outlineLevel="0" collapsed="false">
      <c r="A1635" s="27"/>
      <c r="B1635" s="5"/>
      <c r="C1635" s="35"/>
      <c r="D1635" s="18"/>
      <c r="E1635" s="5"/>
      <c r="F1635" s="14"/>
      <c r="G1635" s="5"/>
      <c r="H1635" s="27"/>
      <c r="I1635" s="5"/>
      <c r="J1635" s="19" t="str">
        <f aca="false">IF(A1635="","",IFERROR(INDEX(Empresas!$D:$D,MATCH(A1635,Empresas!$A:$A,0))&amp;"","não consta"))</f>
        <v/>
      </c>
      <c r="K1635" s="19" t="str">
        <f aca="false">IF(A1635="","",IFERROR(INDEX(Sancoes!$B:$B,MATCH(A1635,Sancoes!$A:$A,0))&amp;"","não consta"))</f>
        <v/>
      </c>
      <c r="L1635" s="19" t="str">
        <f aca="false">IF(A1635="","",IFERROR(INDEX(Eleitoral!$B:$B,MATCH(A1635,Eleitoral!$A:$A,0))&amp;"","não consta"))</f>
        <v/>
      </c>
      <c r="M1635" s="28" t="str">
        <f aca="false">IF(A1635="","",IF(OR(AND(K1635&lt;&gt;"",LOWER(K1635)&lt;&gt;"não consta"),AND(L1635&lt;&gt;"",LOWER(L1635)&lt;&gt;"não consta"),IFERROR(INDEX(Empresas!$G:$G,MATCH(A1635,Empresas!$A:$A,0))&amp;"","")&lt;&gt;""),"SIM",""))</f>
        <v/>
      </c>
      <c r="N1635" s="5"/>
      <c r="O1635" s="32" t="str">
        <f aca="false">IF(D1635="","",YEAR(D1635))</f>
        <v/>
      </c>
      <c r="P1635" s="5"/>
    </row>
    <row r="1636" customFormat="false" ht="15" hidden="false" customHeight="false" outlineLevel="0" collapsed="false">
      <c r="A1636" s="27"/>
      <c r="B1636" s="5"/>
      <c r="C1636" s="35"/>
      <c r="D1636" s="18"/>
      <c r="E1636" s="5"/>
      <c r="F1636" s="14"/>
      <c r="G1636" s="5"/>
      <c r="H1636" s="27"/>
      <c r="I1636" s="5"/>
      <c r="J1636" s="19" t="str">
        <f aca="false">IF(A1636="","",IFERROR(INDEX(Empresas!$D:$D,MATCH(A1636,Empresas!$A:$A,0))&amp;"","não consta"))</f>
        <v/>
      </c>
      <c r="K1636" s="19" t="str">
        <f aca="false">IF(A1636="","",IFERROR(INDEX(Sancoes!$B:$B,MATCH(A1636,Sancoes!$A:$A,0))&amp;"","não consta"))</f>
        <v/>
      </c>
      <c r="L1636" s="19" t="str">
        <f aca="false">IF(A1636="","",IFERROR(INDEX(Eleitoral!$B:$B,MATCH(A1636,Eleitoral!$A:$A,0))&amp;"","não consta"))</f>
        <v/>
      </c>
      <c r="M1636" s="28" t="str">
        <f aca="false">IF(A1636="","",IF(OR(AND(K1636&lt;&gt;"",LOWER(K1636)&lt;&gt;"não consta"),AND(L1636&lt;&gt;"",LOWER(L1636)&lt;&gt;"não consta"),IFERROR(INDEX(Empresas!$G:$G,MATCH(A1636,Empresas!$A:$A,0))&amp;"","")&lt;&gt;""),"SIM",""))</f>
        <v/>
      </c>
      <c r="N1636" s="5"/>
      <c r="O1636" s="32" t="str">
        <f aca="false">IF(D1636="","",YEAR(D1636))</f>
        <v/>
      </c>
      <c r="P1636" s="5"/>
    </row>
    <row r="1637" customFormat="false" ht="15" hidden="false" customHeight="false" outlineLevel="0" collapsed="false">
      <c r="A1637" s="27"/>
      <c r="B1637" s="5"/>
      <c r="C1637" s="35"/>
      <c r="D1637" s="18"/>
      <c r="E1637" s="5"/>
      <c r="F1637" s="14"/>
      <c r="G1637" s="5"/>
      <c r="H1637" s="27"/>
      <c r="I1637" s="5"/>
      <c r="J1637" s="19" t="str">
        <f aca="false">IF(A1637="","",IFERROR(INDEX(Empresas!$D:$D,MATCH(A1637,Empresas!$A:$A,0))&amp;"","não consta"))</f>
        <v/>
      </c>
      <c r="K1637" s="19" t="str">
        <f aca="false">IF(A1637="","",IFERROR(INDEX(Sancoes!$B:$B,MATCH(A1637,Sancoes!$A:$A,0))&amp;"","não consta"))</f>
        <v/>
      </c>
      <c r="L1637" s="19" t="str">
        <f aca="false">IF(A1637="","",IFERROR(INDEX(Eleitoral!$B:$B,MATCH(A1637,Eleitoral!$A:$A,0))&amp;"","não consta"))</f>
        <v/>
      </c>
      <c r="M1637" s="28" t="str">
        <f aca="false">IF(A1637="","",IF(OR(AND(K1637&lt;&gt;"",LOWER(K1637)&lt;&gt;"não consta"),AND(L1637&lt;&gt;"",LOWER(L1637)&lt;&gt;"não consta"),IFERROR(INDEX(Empresas!$G:$G,MATCH(A1637,Empresas!$A:$A,0))&amp;"","")&lt;&gt;""),"SIM",""))</f>
        <v/>
      </c>
      <c r="N1637" s="5"/>
      <c r="O1637" s="32" t="str">
        <f aca="false">IF(D1637="","",YEAR(D1637))</f>
        <v/>
      </c>
      <c r="P1637" s="5"/>
    </row>
    <row r="1638" customFormat="false" ht="15" hidden="false" customHeight="false" outlineLevel="0" collapsed="false">
      <c r="A1638" s="27"/>
      <c r="B1638" s="5"/>
      <c r="C1638" s="35"/>
      <c r="D1638" s="18"/>
      <c r="E1638" s="5"/>
      <c r="F1638" s="14"/>
      <c r="G1638" s="5"/>
      <c r="H1638" s="27"/>
      <c r="I1638" s="5"/>
      <c r="J1638" s="19" t="str">
        <f aca="false">IF(A1638="","",IFERROR(INDEX(Empresas!$D:$D,MATCH(A1638,Empresas!$A:$A,0))&amp;"","não consta"))</f>
        <v/>
      </c>
      <c r="K1638" s="19" t="str">
        <f aca="false">IF(A1638="","",IFERROR(INDEX(Sancoes!$B:$B,MATCH(A1638,Sancoes!$A:$A,0))&amp;"","não consta"))</f>
        <v/>
      </c>
      <c r="L1638" s="19" t="str">
        <f aca="false">IF(A1638="","",IFERROR(INDEX(Eleitoral!$B:$B,MATCH(A1638,Eleitoral!$A:$A,0))&amp;"","não consta"))</f>
        <v/>
      </c>
      <c r="M1638" s="28" t="str">
        <f aca="false">IF(A1638="","",IF(OR(AND(K1638&lt;&gt;"",LOWER(K1638)&lt;&gt;"não consta"),AND(L1638&lt;&gt;"",LOWER(L1638)&lt;&gt;"não consta"),IFERROR(INDEX(Empresas!$G:$G,MATCH(A1638,Empresas!$A:$A,0))&amp;"","")&lt;&gt;""),"SIM",""))</f>
        <v/>
      </c>
      <c r="N1638" s="5"/>
      <c r="O1638" s="32" t="str">
        <f aca="false">IF(D1638="","",YEAR(D1638))</f>
        <v/>
      </c>
      <c r="P1638" s="5"/>
    </row>
    <row r="1639" customFormat="false" ht="15" hidden="false" customHeight="false" outlineLevel="0" collapsed="false">
      <c r="A1639" s="27"/>
      <c r="B1639" s="5"/>
      <c r="C1639" s="35"/>
      <c r="D1639" s="18"/>
      <c r="E1639" s="5"/>
      <c r="F1639" s="14"/>
      <c r="G1639" s="5"/>
      <c r="H1639" s="27"/>
      <c r="I1639" s="5"/>
      <c r="J1639" s="19" t="str">
        <f aca="false">IF(A1639="","",IFERROR(INDEX(Empresas!$D:$D,MATCH(A1639,Empresas!$A:$A,0))&amp;"","não consta"))</f>
        <v/>
      </c>
      <c r="K1639" s="19" t="str">
        <f aca="false">IF(A1639="","",IFERROR(INDEX(Sancoes!$B:$B,MATCH(A1639,Sancoes!$A:$A,0))&amp;"","não consta"))</f>
        <v/>
      </c>
      <c r="L1639" s="19" t="str">
        <f aca="false">IF(A1639="","",IFERROR(INDEX(Eleitoral!$B:$B,MATCH(A1639,Eleitoral!$A:$A,0))&amp;"","não consta"))</f>
        <v/>
      </c>
      <c r="M1639" s="28" t="str">
        <f aca="false">IF(A1639="","",IF(OR(AND(K1639&lt;&gt;"",LOWER(K1639)&lt;&gt;"não consta"),AND(L1639&lt;&gt;"",LOWER(L1639)&lt;&gt;"não consta"),IFERROR(INDEX(Empresas!$G:$G,MATCH(A1639,Empresas!$A:$A,0))&amp;"","")&lt;&gt;""),"SIM",""))</f>
        <v/>
      </c>
      <c r="N1639" s="5"/>
      <c r="O1639" s="32" t="str">
        <f aca="false">IF(D1639="","",YEAR(D1639))</f>
        <v/>
      </c>
      <c r="P1639" s="5"/>
    </row>
    <row r="1640" customFormat="false" ht="15" hidden="false" customHeight="false" outlineLevel="0" collapsed="false">
      <c r="A1640" s="27"/>
      <c r="B1640" s="5"/>
      <c r="C1640" s="35"/>
      <c r="D1640" s="18"/>
      <c r="E1640" s="5"/>
      <c r="F1640" s="14"/>
      <c r="G1640" s="5"/>
      <c r="H1640" s="27"/>
      <c r="I1640" s="5"/>
      <c r="J1640" s="19" t="str">
        <f aca="false">IF(A1640="","",IFERROR(INDEX(Empresas!$D:$D,MATCH(A1640,Empresas!$A:$A,0))&amp;"","não consta"))</f>
        <v/>
      </c>
      <c r="K1640" s="19" t="str">
        <f aca="false">IF(A1640="","",IFERROR(INDEX(Sancoes!$B:$B,MATCH(A1640,Sancoes!$A:$A,0))&amp;"","não consta"))</f>
        <v/>
      </c>
      <c r="L1640" s="19" t="str">
        <f aca="false">IF(A1640="","",IFERROR(INDEX(Eleitoral!$B:$B,MATCH(A1640,Eleitoral!$A:$A,0))&amp;"","não consta"))</f>
        <v/>
      </c>
      <c r="M1640" s="28" t="str">
        <f aca="false">IF(A1640="","",IF(OR(AND(K1640&lt;&gt;"",LOWER(K1640)&lt;&gt;"não consta"),AND(L1640&lt;&gt;"",LOWER(L1640)&lt;&gt;"não consta"),IFERROR(INDEX(Empresas!$G:$G,MATCH(A1640,Empresas!$A:$A,0))&amp;"","")&lt;&gt;""),"SIM",""))</f>
        <v/>
      </c>
      <c r="N1640" s="5"/>
      <c r="O1640" s="32" t="str">
        <f aca="false">IF(D1640="","",YEAR(D1640))</f>
        <v/>
      </c>
      <c r="P1640" s="5"/>
    </row>
    <row r="1641" customFormat="false" ht="15" hidden="false" customHeight="false" outlineLevel="0" collapsed="false">
      <c r="A1641" s="27"/>
      <c r="B1641" s="5"/>
      <c r="C1641" s="35"/>
      <c r="D1641" s="18"/>
      <c r="E1641" s="5"/>
      <c r="F1641" s="14"/>
      <c r="G1641" s="5"/>
      <c r="H1641" s="27"/>
      <c r="I1641" s="5"/>
      <c r="J1641" s="19" t="str">
        <f aca="false">IF(A1641="","",IFERROR(INDEX(Empresas!$D:$D,MATCH(A1641,Empresas!$A:$A,0))&amp;"","não consta"))</f>
        <v/>
      </c>
      <c r="K1641" s="19" t="str">
        <f aca="false">IF(A1641="","",IFERROR(INDEX(Sancoes!$B:$B,MATCH(A1641,Sancoes!$A:$A,0))&amp;"","não consta"))</f>
        <v/>
      </c>
      <c r="L1641" s="19" t="str">
        <f aca="false">IF(A1641="","",IFERROR(INDEX(Eleitoral!$B:$B,MATCH(A1641,Eleitoral!$A:$A,0))&amp;"","não consta"))</f>
        <v/>
      </c>
      <c r="M1641" s="28" t="str">
        <f aca="false">IF(A1641="","",IF(OR(AND(K1641&lt;&gt;"",LOWER(K1641)&lt;&gt;"não consta"),AND(L1641&lt;&gt;"",LOWER(L1641)&lt;&gt;"não consta"),IFERROR(INDEX(Empresas!$G:$G,MATCH(A1641,Empresas!$A:$A,0))&amp;"","")&lt;&gt;""),"SIM",""))</f>
        <v/>
      </c>
      <c r="N1641" s="5"/>
      <c r="O1641" s="32" t="str">
        <f aca="false">IF(D1641="","",YEAR(D1641))</f>
        <v/>
      </c>
      <c r="P1641" s="5"/>
    </row>
    <row r="1642" customFormat="false" ht="15" hidden="false" customHeight="false" outlineLevel="0" collapsed="false">
      <c r="A1642" s="27"/>
      <c r="B1642" s="5"/>
      <c r="C1642" s="35"/>
      <c r="D1642" s="18"/>
      <c r="E1642" s="5"/>
      <c r="F1642" s="14"/>
      <c r="G1642" s="5"/>
      <c r="H1642" s="27"/>
      <c r="I1642" s="5"/>
      <c r="J1642" s="19" t="str">
        <f aca="false">IF(A1642="","",IFERROR(INDEX(Empresas!$D:$D,MATCH(A1642,Empresas!$A:$A,0))&amp;"","não consta"))</f>
        <v/>
      </c>
      <c r="K1642" s="19" t="str">
        <f aca="false">IF(A1642="","",IFERROR(INDEX(Sancoes!$B:$B,MATCH(A1642,Sancoes!$A:$A,0))&amp;"","não consta"))</f>
        <v/>
      </c>
      <c r="L1642" s="19" t="str">
        <f aca="false">IF(A1642="","",IFERROR(INDEX(Eleitoral!$B:$B,MATCH(A1642,Eleitoral!$A:$A,0))&amp;"","não consta"))</f>
        <v/>
      </c>
      <c r="M1642" s="28" t="str">
        <f aca="false">IF(A1642="","",IF(OR(AND(K1642&lt;&gt;"",LOWER(K1642)&lt;&gt;"não consta"),AND(L1642&lt;&gt;"",LOWER(L1642)&lt;&gt;"não consta"),IFERROR(INDEX(Empresas!$G:$G,MATCH(A1642,Empresas!$A:$A,0))&amp;"","")&lt;&gt;""),"SIM",""))</f>
        <v/>
      </c>
      <c r="N1642" s="5"/>
      <c r="O1642" s="32" t="str">
        <f aca="false">IF(D1642="","",YEAR(D1642))</f>
        <v/>
      </c>
      <c r="P1642" s="5"/>
    </row>
    <row r="1643" customFormat="false" ht="15" hidden="false" customHeight="false" outlineLevel="0" collapsed="false">
      <c r="A1643" s="27"/>
      <c r="B1643" s="5"/>
      <c r="C1643" s="35"/>
      <c r="D1643" s="18"/>
      <c r="E1643" s="5"/>
      <c r="F1643" s="14"/>
      <c r="G1643" s="5"/>
      <c r="H1643" s="27"/>
      <c r="I1643" s="5"/>
      <c r="J1643" s="19" t="str">
        <f aca="false">IF(A1643="","",IFERROR(INDEX(Empresas!$D:$D,MATCH(A1643,Empresas!$A:$A,0))&amp;"","não consta"))</f>
        <v/>
      </c>
      <c r="K1643" s="19" t="str">
        <f aca="false">IF(A1643="","",IFERROR(INDEX(Sancoes!$B:$B,MATCH(A1643,Sancoes!$A:$A,0))&amp;"","não consta"))</f>
        <v/>
      </c>
      <c r="L1643" s="19" t="str">
        <f aca="false">IF(A1643="","",IFERROR(INDEX(Eleitoral!$B:$B,MATCH(A1643,Eleitoral!$A:$A,0))&amp;"","não consta"))</f>
        <v/>
      </c>
      <c r="M1643" s="28" t="str">
        <f aca="false">IF(A1643="","",IF(OR(AND(K1643&lt;&gt;"",LOWER(K1643)&lt;&gt;"não consta"),AND(L1643&lt;&gt;"",LOWER(L1643)&lt;&gt;"não consta"),IFERROR(INDEX(Empresas!$G:$G,MATCH(A1643,Empresas!$A:$A,0))&amp;"","")&lt;&gt;""),"SIM",""))</f>
        <v/>
      </c>
      <c r="N1643" s="5"/>
      <c r="O1643" s="32" t="str">
        <f aca="false">IF(D1643="","",YEAR(D1643))</f>
        <v/>
      </c>
      <c r="P1643" s="5"/>
    </row>
    <row r="1644" customFormat="false" ht="15" hidden="false" customHeight="false" outlineLevel="0" collapsed="false">
      <c r="A1644" s="27"/>
      <c r="B1644" s="5"/>
      <c r="C1644" s="35"/>
      <c r="D1644" s="18"/>
      <c r="E1644" s="5"/>
      <c r="F1644" s="14"/>
      <c r="G1644" s="5"/>
      <c r="H1644" s="27"/>
      <c r="I1644" s="5"/>
      <c r="J1644" s="19" t="str">
        <f aca="false">IF(A1644="","",IFERROR(INDEX(Empresas!$D:$D,MATCH(A1644,Empresas!$A:$A,0))&amp;"","não consta"))</f>
        <v/>
      </c>
      <c r="K1644" s="19" t="str">
        <f aca="false">IF(A1644="","",IFERROR(INDEX(Sancoes!$B:$B,MATCH(A1644,Sancoes!$A:$A,0))&amp;"","não consta"))</f>
        <v/>
      </c>
      <c r="L1644" s="19" t="str">
        <f aca="false">IF(A1644="","",IFERROR(INDEX(Eleitoral!$B:$B,MATCH(A1644,Eleitoral!$A:$A,0))&amp;"","não consta"))</f>
        <v/>
      </c>
      <c r="M1644" s="28" t="str">
        <f aca="false">IF(A1644="","",IF(OR(AND(K1644&lt;&gt;"",LOWER(K1644)&lt;&gt;"não consta"),AND(L1644&lt;&gt;"",LOWER(L1644)&lt;&gt;"não consta"),IFERROR(INDEX(Empresas!$G:$G,MATCH(A1644,Empresas!$A:$A,0))&amp;"","")&lt;&gt;""),"SIM",""))</f>
        <v/>
      </c>
      <c r="N1644" s="5"/>
      <c r="O1644" s="32" t="str">
        <f aca="false">IF(D1644="","",YEAR(D1644))</f>
        <v/>
      </c>
      <c r="P1644" s="5"/>
    </row>
    <row r="1645" customFormat="false" ht="15" hidden="false" customHeight="false" outlineLevel="0" collapsed="false">
      <c r="A1645" s="27"/>
      <c r="B1645" s="5"/>
      <c r="C1645" s="35"/>
      <c r="D1645" s="18"/>
      <c r="E1645" s="5"/>
      <c r="F1645" s="14"/>
      <c r="G1645" s="5"/>
      <c r="H1645" s="27"/>
      <c r="I1645" s="5"/>
      <c r="J1645" s="19" t="str">
        <f aca="false">IF(A1645="","",IFERROR(INDEX(Empresas!$D:$D,MATCH(A1645,Empresas!$A:$A,0))&amp;"","não consta"))</f>
        <v/>
      </c>
      <c r="K1645" s="19" t="str">
        <f aca="false">IF(A1645="","",IFERROR(INDEX(Sancoes!$B:$B,MATCH(A1645,Sancoes!$A:$A,0))&amp;"","não consta"))</f>
        <v/>
      </c>
      <c r="L1645" s="19" t="str">
        <f aca="false">IF(A1645="","",IFERROR(INDEX(Eleitoral!$B:$B,MATCH(A1645,Eleitoral!$A:$A,0))&amp;"","não consta"))</f>
        <v/>
      </c>
      <c r="M1645" s="28" t="str">
        <f aca="false">IF(A1645="","",IF(OR(AND(K1645&lt;&gt;"",LOWER(K1645)&lt;&gt;"não consta"),AND(L1645&lt;&gt;"",LOWER(L1645)&lt;&gt;"não consta"),IFERROR(INDEX(Empresas!$G:$G,MATCH(A1645,Empresas!$A:$A,0))&amp;"","")&lt;&gt;""),"SIM",""))</f>
        <v/>
      </c>
      <c r="N1645" s="5"/>
      <c r="O1645" s="32" t="str">
        <f aca="false">IF(D1645="","",YEAR(D1645))</f>
        <v/>
      </c>
      <c r="P1645" s="5"/>
    </row>
    <row r="1646" customFormat="false" ht="15" hidden="false" customHeight="false" outlineLevel="0" collapsed="false">
      <c r="A1646" s="27"/>
      <c r="B1646" s="5"/>
      <c r="C1646" s="35"/>
      <c r="D1646" s="18"/>
      <c r="E1646" s="5"/>
      <c r="F1646" s="14"/>
      <c r="G1646" s="5"/>
      <c r="H1646" s="27"/>
      <c r="I1646" s="5"/>
      <c r="J1646" s="19" t="str">
        <f aca="false">IF(A1646="","",IFERROR(INDEX(Empresas!$D:$D,MATCH(A1646,Empresas!$A:$A,0))&amp;"","não consta"))</f>
        <v/>
      </c>
      <c r="K1646" s="19" t="str">
        <f aca="false">IF(A1646="","",IFERROR(INDEX(Sancoes!$B:$B,MATCH(A1646,Sancoes!$A:$A,0))&amp;"","não consta"))</f>
        <v/>
      </c>
      <c r="L1646" s="19" t="str">
        <f aca="false">IF(A1646="","",IFERROR(INDEX(Eleitoral!$B:$B,MATCH(A1646,Eleitoral!$A:$A,0))&amp;"","não consta"))</f>
        <v/>
      </c>
      <c r="M1646" s="28" t="str">
        <f aca="false">IF(A1646="","",IF(OR(AND(K1646&lt;&gt;"",LOWER(K1646)&lt;&gt;"não consta"),AND(L1646&lt;&gt;"",LOWER(L1646)&lt;&gt;"não consta"),IFERROR(INDEX(Empresas!$G:$G,MATCH(A1646,Empresas!$A:$A,0))&amp;"","")&lt;&gt;""),"SIM",""))</f>
        <v/>
      </c>
      <c r="N1646" s="5"/>
      <c r="O1646" s="32" t="str">
        <f aca="false">IF(D1646="","",YEAR(D1646))</f>
        <v/>
      </c>
      <c r="P1646" s="5"/>
    </row>
    <row r="1647" customFormat="false" ht="15" hidden="false" customHeight="false" outlineLevel="0" collapsed="false">
      <c r="A1647" s="27"/>
      <c r="B1647" s="5"/>
      <c r="C1647" s="35"/>
      <c r="D1647" s="18"/>
      <c r="E1647" s="5"/>
      <c r="F1647" s="14"/>
      <c r="G1647" s="5"/>
      <c r="H1647" s="27"/>
      <c r="I1647" s="5"/>
      <c r="J1647" s="19" t="str">
        <f aca="false">IF(A1647="","",IFERROR(INDEX(Empresas!$D:$D,MATCH(A1647,Empresas!$A:$A,0))&amp;"","não consta"))</f>
        <v/>
      </c>
      <c r="K1647" s="19" t="str">
        <f aca="false">IF(A1647="","",IFERROR(INDEX(Sancoes!$B:$B,MATCH(A1647,Sancoes!$A:$A,0))&amp;"","não consta"))</f>
        <v/>
      </c>
      <c r="L1647" s="19" t="str">
        <f aca="false">IF(A1647="","",IFERROR(INDEX(Eleitoral!$B:$B,MATCH(A1647,Eleitoral!$A:$A,0))&amp;"","não consta"))</f>
        <v/>
      </c>
      <c r="M1647" s="28" t="str">
        <f aca="false">IF(A1647="","",IF(OR(AND(K1647&lt;&gt;"",LOWER(K1647)&lt;&gt;"não consta"),AND(L1647&lt;&gt;"",LOWER(L1647)&lt;&gt;"não consta"),IFERROR(INDEX(Empresas!$G:$G,MATCH(A1647,Empresas!$A:$A,0))&amp;"","")&lt;&gt;""),"SIM",""))</f>
        <v/>
      </c>
      <c r="N1647" s="5"/>
      <c r="O1647" s="32" t="str">
        <f aca="false">IF(D1647="","",YEAR(D1647))</f>
        <v/>
      </c>
      <c r="P1647" s="5"/>
    </row>
    <row r="1648" customFormat="false" ht="15" hidden="false" customHeight="false" outlineLevel="0" collapsed="false">
      <c r="A1648" s="27"/>
      <c r="B1648" s="5"/>
      <c r="C1648" s="35"/>
      <c r="D1648" s="18"/>
      <c r="E1648" s="5"/>
      <c r="F1648" s="14"/>
      <c r="G1648" s="5"/>
      <c r="H1648" s="27"/>
      <c r="I1648" s="5"/>
      <c r="J1648" s="19" t="str">
        <f aca="false">IF(A1648="","",IFERROR(INDEX(Empresas!$D:$D,MATCH(A1648,Empresas!$A:$A,0))&amp;"","não consta"))</f>
        <v/>
      </c>
      <c r="K1648" s="19" t="str">
        <f aca="false">IF(A1648="","",IFERROR(INDEX(Sancoes!$B:$B,MATCH(A1648,Sancoes!$A:$A,0))&amp;"","não consta"))</f>
        <v/>
      </c>
      <c r="L1648" s="19" t="str">
        <f aca="false">IF(A1648="","",IFERROR(INDEX(Eleitoral!$B:$B,MATCH(A1648,Eleitoral!$A:$A,0))&amp;"","não consta"))</f>
        <v/>
      </c>
      <c r="M1648" s="28" t="str">
        <f aca="false">IF(A1648="","",IF(OR(AND(K1648&lt;&gt;"",LOWER(K1648)&lt;&gt;"não consta"),AND(L1648&lt;&gt;"",LOWER(L1648)&lt;&gt;"não consta"),IFERROR(INDEX(Empresas!$G:$G,MATCH(A1648,Empresas!$A:$A,0))&amp;"","")&lt;&gt;""),"SIM",""))</f>
        <v/>
      </c>
      <c r="N1648" s="5"/>
      <c r="O1648" s="32" t="str">
        <f aca="false">IF(D1648="","",YEAR(D1648))</f>
        <v/>
      </c>
      <c r="P1648" s="5"/>
    </row>
    <row r="1649" customFormat="false" ht="15" hidden="false" customHeight="false" outlineLevel="0" collapsed="false">
      <c r="A1649" s="27"/>
      <c r="B1649" s="5"/>
      <c r="C1649" s="35"/>
      <c r="D1649" s="18"/>
      <c r="E1649" s="5"/>
      <c r="F1649" s="14"/>
      <c r="G1649" s="5"/>
      <c r="H1649" s="27"/>
      <c r="I1649" s="5"/>
      <c r="J1649" s="19" t="str">
        <f aca="false">IF(A1649="","",IFERROR(INDEX(Empresas!$D:$D,MATCH(A1649,Empresas!$A:$A,0))&amp;"","não consta"))</f>
        <v/>
      </c>
      <c r="K1649" s="19" t="str">
        <f aca="false">IF(A1649="","",IFERROR(INDEX(Sancoes!$B:$B,MATCH(A1649,Sancoes!$A:$A,0))&amp;"","não consta"))</f>
        <v/>
      </c>
      <c r="L1649" s="19" t="str">
        <f aca="false">IF(A1649="","",IFERROR(INDEX(Eleitoral!$B:$B,MATCH(A1649,Eleitoral!$A:$A,0))&amp;"","não consta"))</f>
        <v/>
      </c>
      <c r="M1649" s="28" t="str">
        <f aca="false">IF(A1649="","",IF(OR(AND(K1649&lt;&gt;"",LOWER(K1649)&lt;&gt;"não consta"),AND(L1649&lt;&gt;"",LOWER(L1649)&lt;&gt;"não consta"),IFERROR(INDEX(Empresas!$G:$G,MATCH(A1649,Empresas!$A:$A,0))&amp;"","")&lt;&gt;""),"SIM",""))</f>
        <v/>
      </c>
      <c r="N1649" s="5"/>
      <c r="O1649" s="32" t="str">
        <f aca="false">IF(D1649="","",YEAR(D1649))</f>
        <v/>
      </c>
      <c r="P1649" s="5"/>
    </row>
    <row r="1650" customFormat="false" ht="15" hidden="false" customHeight="false" outlineLevel="0" collapsed="false">
      <c r="A1650" s="27"/>
      <c r="B1650" s="5"/>
      <c r="C1650" s="35"/>
      <c r="D1650" s="18"/>
      <c r="E1650" s="5"/>
      <c r="F1650" s="14"/>
      <c r="G1650" s="5"/>
      <c r="H1650" s="27"/>
      <c r="I1650" s="5"/>
      <c r="J1650" s="19" t="str">
        <f aca="false">IF(A1650="","",IFERROR(INDEX(Empresas!$D:$D,MATCH(A1650,Empresas!$A:$A,0))&amp;"","não consta"))</f>
        <v/>
      </c>
      <c r="K1650" s="19" t="str">
        <f aca="false">IF(A1650="","",IFERROR(INDEX(Sancoes!$B:$B,MATCH(A1650,Sancoes!$A:$A,0))&amp;"","não consta"))</f>
        <v/>
      </c>
      <c r="L1650" s="19" t="str">
        <f aca="false">IF(A1650="","",IFERROR(INDEX(Eleitoral!$B:$B,MATCH(A1650,Eleitoral!$A:$A,0))&amp;"","não consta"))</f>
        <v/>
      </c>
      <c r="M1650" s="28" t="str">
        <f aca="false">IF(A1650="","",IF(OR(AND(K1650&lt;&gt;"",LOWER(K1650)&lt;&gt;"não consta"),AND(L1650&lt;&gt;"",LOWER(L1650)&lt;&gt;"não consta"),IFERROR(INDEX(Empresas!$G:$G,MATCH(A1650,Empresas!$A:$A,0))&amp;"","")&lt;&gt;""),"SIM",""))</f>
        <v/>
      </c>
      <c r="N1650" s="5"/>
      <c r="O1650" s="32" t="str">
        <f aca="false">IF(D1650="","",YEAR(D1650))</f>
        <v/>
      </c>
      <c r="P1650" s="5"/>
    </row>
    <row r="1651" customFormat="false" ht="15" hidden="false" customHeight="false" outlineLevel="0" collapsed="false">
      <c r="A1651" s="27"/>
      <c r="B1651" s="5"/>
      <c r="C1651" s="35"/>
      <c r="D1651" s="18"/>
      <c r="E1651" s="5"/>
      <c r="F1651" s="14"/>
      <c r="G1651" s="5"/>
      <c r="H1651" s="27"/>
      <c r="I1651" s="5"/>
      <c r="J1651" s="19" t="str">
        <f aca="false">IF(A1651="","",IFERROR(INDEX(Empresas!$D:$D,MATCH(A1651,Empresas!$A:$A,0))&amp;"","não consta"))</f>
        <v/>
      </c>
      <c r="K1651" s="19" t="str">
        <f aca="false">IF(A1651="","",IFERROR(INDEX(Sancoes!$B:$B,MATCH(A1651,Sancoes!$A:$A,0))&amp;"","não consta"))</f>
        <v/>
      </c>
      <c r="L1651" s="19" t="str">
        <f aca="false">IF(A1651="","",IFERROR(INDEX(Eleitoral!$B:$B,MATCH(A1651,Eleitoral!$A:$A,0))&amp;"","não consta"))</f>
        <v/>
      </c>
      <c r="M1651" s="28" t="str">
        <f aca="false">IF(A1651="","",IF(OR(AND(K1651&lt;&gt;"",LOWER(K1651)&lt;&gt;"não consta"),AND(L1651&lt;&gt;"",LOWER(L1651)&lt;&gt;"não consta"),IFERROR(INDEX(Empresas!$G:$G,MATCH(A1651,Empresas!$A:$A,0))&amp;"","")&lt;&gt;""),"SIM",""))</f>
        <v/>
      </c>
      <c r="N1651" s="5"/>
      <c r="O1651" s="32" t="str">
        <f aca="false">IF(D1651="","",YEAR(D1651))</f>
        <v/>
      </c>
      <c r="P1651" s="5"/>
    </row>
    <row r="1652" customFormat="false" ht="15" hidden="false" customHeight="false" outlineLevel="0" collapsed="false">
      <c r="A1652" s="27"/>
      <c r="B1652" s="5"/>
      <c r="C1652" s="35"/>
      <c r="D1652" s="18"/>
      <c r="E1652" s="5"/>
      <c r="F1652" s="14"/>
      <c r="G1652" s="5"/>
      <c r="H1652" s="27"/>
      <c r="I1652" s="5"/>
      <c r="J1652" s="19" t="str">
        <f aca="false">IF(A1652="","",IFERROR(INDEX(Empresas!$D:$D,MATCH(A1652,Empresas!$A:$A,0))&amp;"","não consta"))</f>
        <v/>
      </c>
      <c r="K1652" s="19" t="str">
        <f aca="false">IF(A1652="","",IFERROR(INDEX(Sancoes!$B:$B,MATCH(A1652,Sancoes!$A:$A,0))&amp;"","não consta"))</f>
        <v/>
      </c>
      <c r="L1652" s="19" t="str">
        <f aca="false">IF(A1652="","",IFERROR(INDEX(Eleitoral!$B:$B,MATCH(A1652,Eleitoral!$A:$A,0))&amp;"","não consta"))</f>
        <v/>
      </c>
      <c r="M1652" s="28" t="str">
        <f aca="false">IF(A1652="","",IF(OR(AND(K1652&lt;&gt;"",LOWER(K1652)&lt;&gt;"não consta"),AND(L1652&lt;&gt;"",LOWER(L1652)&lt;&gt;"não consta"),IFERROR(INDEX(Empresas!$G:$G,MATCH(A1652,Empresas!$A:$A,0))&amp;"","")&lt;&gt;""),"SIM",""))</f>
        <v/>
      </c>
      <c r="N1652" s="5"/>
      <c r="O1652" s="32" t="str">
        <f aca="false">IF(D1652="","",YEAR(D1652))</f>
        <v/>
      </c>
      <c r="P1652" s="5"/>
    </row>
    <row r="1653" customFormat="false" ht="15" hidden="false" customHeight="false" outlineLevel="0" collapsed="false">
      <c r="A1653" s="27"/>
      <c r="B1653" s="5"/>
      <c r="C1653" s="35"/>
      <c r="D1653" s="18"/>
      <c r="E1653" s="5"/>
      <c r="F1653" s="14"/>
      <c r="G1653" s="5"/>
      <c r="H1653" s="27"/>
      <c r="I1653" s="5"/>
      <c r="J1653" s="19" t="str">
        <f aca="false">IF(A1653="","",IFERROR(INDEX(Empresas!$D:$D,MATCH(A1653,Empresas!$A:$A,0))&amp;"","não consta"))</f>
        <v/>
      </c>
      <c r="K1653" s="19" t="str">
        <f aca="false">IF(A1653="","",IFERROR(INDEX(Sancoes!$B:$B,MATCH(A1653,Sancoes!$A:$A,0))&amp;"","não consta"))</f>
        <v/>
      </c>
      <c r="L1653" s="19" t="str">
        <f aca="false">IF(A1653="","",IFERROR(INDEX(Eleitoral!$B:$B,MATCH(A1653,Eleitoral!$A:$A,0))&amp;"","não consta"))</f>
        <v/>
      </c>
      <c r="M1653" s="28" t="str">
        <f aca="false">IF(A1653="","",IF(OR(AND(K1653&lt;&gt;"",LOWER(K1653)&lt;&gt;"não consta"),AND(L1653&lt;&gt;"",LOWER(L1653)&lt;&gt;"não consta"),IFERROR(INDEX(Empresas!$G:$G,MATCH(A1653,Empresas!$A:$A,0))&amp;"","")&lt;&gt;""),"SIM",""))</f>
        <v/>
      </c>
      <c r="N1653" s="5"/>
      <c r="O1653" s="32" t="str">
        <f aca="false">IF(D1653="","",YEAR(D1653))</f>
        <v/>
      </c>
      <c r="P1653" s="5"/>
    </row>
    <row r="1654" customFormat="false" ht="15" hidden="false" customHeight="false" outlineLevel="0" collapsed="false">
      <c r="A1654" s="27"/>
      <c r="B1654" s="5"/>
      <c r="C1654" s="35"/>
      <c r="D1654" s="18"/>
      <c r="E1654" s="5"/>
      <c r="F1654" s="14"/>
      <c r="G1654" s="5"/>
      <c r="H1654" s="27"/>
      <c r="I1654" s="5"/>
      <c r="J1654" s="19" t="str">
        <f aca="false">IF(A1654="","",IFERROR(INDEX(Empresas!$D:$D,MATCH(A1654,Empresas!$A:$A,0))&amp;"","não consta"))</f>
        <v/>
      </c>
      <c r="K1654" s="19" t="str">
        <f aca="false">IF(A1654="","",IFERROR(INDEX(Sancoes!$B:$B,MATCH(A1654,Sancoes!$A:$A,0))&amp;"","não consta"))</f>
        <v/>
      </c>
      <c r="L1654" s="19" t="str">
        <f aca="false">IF(A1654="","",IFERROR(INDEX(Eleitoral!$B:$B,MATCH(A1654,Eleitoral!$A:$A,0))&amp;"","não consta"))</f>
        <v/>
      </c>
      <c r="M1654" s="28" t="str">
        <f aca="false">IF(A1654="","",IF(OR(AND(K1654&lt;&gt;"",LOWER(K1654)&lt;&gt;"não consta"),AND(L1654&lt;&gt;"",LOWER(L1654)&lt;&gt;"não consta"),IFERROR(INDEX(Empresas!$G:$G,MATCH(A1654,Empresas!$A:$A,0))&amp;"","")&lt;&gt;""),"SIM",""))</f>
        <v/>
      </c>
      <c r="N1654" s="5"/>
      <c r="O1654" s="32" t="str">
        <f aca="false">IF(D1654="","",YEAR(D1654))</f>
        <v/>
      </c>
      <c r="P1654" s="5"/>
    </row>
    <row r="1655" customFormat="false" ht="15" hidden="false" customHeight="false" outlineLevel="0" collapsed="false">
      <c r="A1655" s="27"/>
      <c r="B1655" s="5"/>
      <c r="C1655" s="35"/>
      <c r="D1655" s="18"/>
      <c r="E1655" s="5"/>
      <c r="F1655" s="14"/>
      <c r="G1655" s="5"/>
      <c r="H1655" s="27"/>
      <c r="I1655" s="5"/>
      <c r="J1655" s="19" t="str">
        <f aca="false">IF(A1655="","",IFERROR(INDEX(Empresas!$D:$D,MATCH(A1655,Empresas!$A:$A,0))&amp;"","não consta"))</f>
        <v/>
      </c>
      <c r="K1655" s="19" t="str">
        <f aca="false">IF(A1655="","",IFERROR(INDEX(Sancoes!$B:$B,MATCH(A1655,Sancoes!$A:$A,0))&amp;"","não consta"))</f>
        <v/>
      </c>
      <c r="L1655" s="19" t="str">
        <f aca="false">IF(A1655="","",IFERROR(INDEX(Eleitoral!$B:$B,MATCH(A1655,Eleitoral!$A:$A,0))&amp;"","não consta"))</f>
        <v/>
      </c>
      <c r="M1655" s="28" t="str">
        <f aca="false">IF(A1655="","",IF(OR(AND(K1655&lt;&gt;"",LOWER(K1655)&lt;&gt;"não consta"),AND(L1655&lt;&gt;"",LOWER(L1655)&lt;&gt;"não consta"),IFERROR(INDEX(Empresas!$G:$G,MATCH(A1655,Empresas!$A:$A,0))&amp;"","")&lt;&gt;""),"SIM",""))</f>
        <v/>
      </c>
      <c r="N1655" s="5"/>
      <c r="O1655" s="32" t="str">
        <f aca="false">IF(D1655="","",YEAR(D1655))</f>
        <v/>
      </c>
      <c r="P1655" s="5"/>
    </row>
    <row r="1656" customFormat="false" ht="15" hidden="false" customHeight="false" outlineLevel="0" collapsed="false">
      <c r="A1656" s="27"/>
      <c r="B1656" s="5"/>
      <c r="C1656" s="35"/>
      <c r="D1656" s="18"/>
      <c r="E1656" s="5"/>
      <c r="F1656" s="14"/>
      <c r="G1656" s="5"/>
      <c r="H1656" s="27"/>
      <c r="I1656" s="5"/>
      <c r="J1656" s="19" t="str">
        <f aca="false">IF(A1656="","",IFERROR(INDEX(Empresas!$D:$D,MATCH(A1656,Empresas!$A:$A,0))&amp;"","não consta"))</f>
        <v/>
      </c>
      <c r="K1656" s="19" t="str">
        <f aca="false">IF(A1656="","",IFERROR(INDEX(Sancoes!$B:$B,MATCH(A1656,Sancoes!$A:$A,0))&amp;"","não consta"))</f>
        <v/>
      </c>
      <c r="L1656" s="19" t="str">
        <f aca="false">IF(A1656="","",IFERROR(INDEX(Eleitoral!$B:$B,MATCH(A1656,Eleitoral!$A:$A,0))&amp;"","não consta"))</f>
        <v/>
      </c>
      <c r="M1656" s="28" t="str">
        <f aca="false">IF(A1656="","",IF(OR(AND(K1656&lt;&gt;"",LOWER(K1656)&lt;&gt;"não consta"),AND(L1656&lt;&gt;"",LOWER(L1656)&lt;&gt;"não consta"),IFERROR(INDEX(Empresas!$G:$G,MATCH(A1656,Empresas!$A:$A,0))&amp;"","")&lt;&gt;""),"SIM",""))</f>
        <v/>
      </c>
      <c r="N1656" s="5"/>
      <c r="O1656" s="32" t="str">
        <f aca="false">IF(D1656="","",YEAR(D1656))</f>
        <v/>
      </c>
      <c r="P1656" s="5"/>
    </row>
    <row r="1657" customFormat="false" ht="15" hidden="false" customHeight="false" outlineLevel="0" collapsed="false">
      <c r="A1657" s="27"/>
      <c r="B1657" s="5"/>
      <c r="C1657" s="35"/>
      <c r="D1657" s="18"/>
      <c r="E1657" s="5"/>
      <c r="F1657" s="14"/>
      <c r="G1657" s="5"/>
      <c r="H1657" s="27"/>
      <c r="I1657" s="5"/>
      <c r="J1657" s="19" t="str">
        <f aca="false">IF(A1657="","",IFERROR(INDEX(Empresas!$D:$D,MATCH(A1657,Empresas!$A:$A,0))&amp;"","não consta"))</f>
        <v/>
      </c>
      <c r="K1657" s="19" t="str">
        <f aca="false">IF(A1657="","",IFERROR(INDEX(Sancoes!$B:$B,MATCH(A1657,Sancoes!$A:$A,0))&amp;"","não consta"))</f>
        <v/>
      </c>
      <c r="L1657" s="19" t="str">
        <f aca="false">IF(A1657="","",IFERROR(INDEX(Eleitoral!$B:$B,MATCH(A1657,Eleitoral!$A:$A,0))&amp;"","não consta"))</f>
        <v/>
      </c>
      <c r="M1657" s="28" t="str">
        <f aca="false">IF(A1657="","",IF(OR(AND(K1657&lt;&gt;"",LOWER(K1657)&lt;&gt;"não consta"),AND(L1657&lt;&gt;"",LOWER(L1657)&lt;&gt;"não consta"),IFERROR(INDEX(Empresas!$G:$G,MATCH(A1657,Empresas!$A:$A,0))&amp;"","")&lt;&gt;""),"SIM",""))</f>
        <v/>
      </c>
      <c r="N1657" s="5"/>
      <c r="O1657" s="32" t="str">
        <f aca="false">IF(D1657="","",YEAR(D1657))</f>
        <v/>
      </c>
      <c r="P1657" s="5"/>
    </row>
    <row r="1658" customFormat="false" ht="15" hidden="false" customHeight="false" outlineLevel="0" collapsed="false">
      <c r="A1658" s="27"/>
      <c r="B1658" s="5"/>
      <c r="C1658" s="35"/>
      <c r="D1658" s="18"/>
      <c r="E1658" s="5"/>
      <c r="F1658" s="14"/>
      <c r="G1658" s="5"/>
      <c r="H1658" s="27"/>
      <c r="I1658" s="5"/>
      <c r="J1658" s="19" t="str">
        <f aca="false">IF(A1658="","",IFERROR(INDEX(Empresas!$D:$D,MATCH(A1658,Empresas!$A:$A,0))&amp;"","não consta"))</f>
        <v/>
      </c>
      <c r="K1658" s="19" t="str">
        <f aca="false">IF(A1658="","",IFERROR(INDEX(Sancoes!$B:$B,MATCH(A1658,Sancoes!$A:$A,0))&amp;"","não consta"))</f>
        <v/>
      </c>
      <c r="L1658" s="19" t="str">
        <f aca="false">IF(A1658="","",IFERROR(INDEX(Eleitoral!$B:$B,MATCH(A1658,Eleitoral!$A:$A,0))&amp;"","não consta"))</f>
        <v/>
      </c>
      <c r="M1658" s="28" t="str">
        <f aca="false">IF(A1658="","",IF(OR(AND(K1658&lt;&gt;"",LOWER(K1658)&lt;&gt;"não consta"),AND(L1658&lt;&gt;"",LOWER(L1658)&lt;&gt;"não consta"),IFERROR(INDEX(Empresas!$G:$G,MATCH(A1658,Empresas!$A:$A,0))&amp;"","")&lt;&gt;""),"SIM",""))</f>
        <v/>
      </c>
      <c r="N1658" s="5"/>
      <c r="O1658" s="32" t="str">
        <f aca="false">IF(D1658="","",YEAR(D1658))</f>
        <v/>
      </c>
      <c r="P1658" s="5"/>
    </row>
    <row r="1659" customFormat="false" ht="15" hidden="false" customHeight="false" outlineLevel="0" collapsed="false">
      <c r="A1659" s="27"/>
      <c r="B1659" s="5"/>
      <c r="C1659" s="35"/>
      <c r="D1659" s="18"/>
      <c r="E1659" s="5"/>
      <c r="F1659" s="14"/>
      <c r="G1659" s="5"/>
      <c r="H1659" s="27"/>
      <c r="I1659" s="5"/>
      <c r="J1659" s="19" t="str">
        <f aca="false">IF(A1659="","",IFERROR(INDEX(Empresas!$D:$D,MATCH(A1659,Empresas!$A:$A,0))&amp;"","não consta"))</f>
        <v/>
      </c>
      <c r="K1659" s="19" t="str">
        <f aca="false">IF(A1659="","",IFERROR(INDEX(Sancoes!$B:$B,MATCH(A1659,Sancoes!$A:$A,0))&amp;"","não consta"))</f>
        <v/>
      </c>
      <c r="L1659" s="19" t="str">
        <f aca="false">IF(A1659="","",IFERROR(INDEX(Eleitoral!$B:$B,MATCH(A1659,Eleitoral!$A:$A,0))&amp;"","não consta"))</f>
        <v/>
      </c>
      <c r="M1659" s="28" t="str">
        <f aca="false">IF(A1659="","",IF(OR(AND(K1659&lt;&gt;"",LOWER(K1659)&lt;&gt;"não consta"),AND(L1659&lt;&gt;"",LOWER(L1659)&lt;&gt;"não consta"),IFERROR(INDEX(Empresas!$G:$G,MATCH(A1659,Empresas!$A:$A,0))&amp;"","")&lt;&gt;""),"SIM",""))</f>
        <v/>
      </c>
      <c r="N1659" s="5"/>
      <c r="O1659" s="32" t="str">
        <f aca="false">IF(D1659="","",YEAR(D1659))</f>
        <v/>
      </c>
      <c r="P1659" s="5"/>
    </row>
    <row r="1660" customFormat="false" ht="15" hidden="false" customHeight="false" outlineLevel="0" collapsed="false">
      <c r="A1660" s="27"/>
      <c r="B1660" s="5"/>
      <c r="C1660" s="35"/>
      <c r="D1660" s="18"/>
      <c r="E1660" s="5"/>
      <c r="F1660" s="14"/>
      <c r="G1660" s="5"/>
      <c r="H1660" s="27"/>
      <c r="I1660" s="5"/>
      <c r="J1660" s="19" t="str">
        <f aca="false">IF(A1660="","",IFERROR(INDEX(Empresas!$D:$D,MATCH(A1660,Empresas!$A:$A,0))&amp;"","não consta"))</f>
        <v/>
      </c>
      <c r="K1660" s="19" t="str">
        <f aca="false">IF(A1660="","",IFERROR(INDEX(Sancoes!$B:$B,MATCH(A1660,Sancoes!$A:$A,0))&amp;"","não consta"))</f>
        <v/>
      </c>
      <c r="L1660" s="19" t="str">
        <f aca="false">IF(A1660="","",IFERROR(INDEX(Eleitoral!$B:$B,MATCH(A1660,Eleitoral!$A:$A,0))&amp;"","não consta"))</f>
        <v/>
      </c>
      <c r="M1660" s="28" t="str">
        <f aca="false">IF(A1660="","",IF(OR(AND(K1660&lt;&gt;"",LOWER(K1660)&lt;&gt;"não consta"),AND(L1660&lt;&gt;"",LOWER(L1660)&lt;&gt;"não consta"),IFERROR(INDEX(Empresas!$G:$G,MATCH(A1660,Empresas!$A:$A,0))&amp;"","")&lt;&gt;""),"SIM",""))</f>
        <v/>
      </c>
      <c r="N1660" s="5"/>
      <c r="O1660" s="32" t="str">
        <f aca="false">IF(D1660="","",YEAR(D1660))</f>
        <v/>
      </c>
      <c r="P1660" s="5"/>
    </row>
    <row r="1661" customFormat="false" ht="15" hidden="false" customHeight="false" outlineLevel="0" collapsed="false">
      <c r="A1661" s="27"/>
      <c r="B1661" s="5"/>
      <c r="C1661" s="35"/>
      <c r="D1661" s="18"/>
      <c r="E1661" s="5"/>
      <c r="F1661" s="14"/>
      <c r="G1661" s="5"/>
      <c r="H1661" s="27"/>
      <c r="I1661" s="5"/>
      <c r="J1661" s="19" t="str">
        <f aca="false">IF(A1661="","",IFERROR(INDEX(Empresas!$D:$D,MATCH(A1661,Empresas!$A:$A,0))&amp;"","não consta"))</f>
        <v/>
      </c>
      <c r="K1661" s="19" t="str">
        <f aca="false">IF(A1661="","",IFERROR(INDEX(Sancoes!$B:$B,MATCH(A1661,Sancoes!$A:$A,0))&amp;"","não consta"))</f>
        <v/>
      </c>
      <c r="L1661" s="19" t="str">
        <f aca="false">IF(A1661="","",IFERROR(INDEX(Eleitoral!$B:$B,MATCH(A1661,Eleitoral!$A:$A,0))&amp;"","não consta"))</f>
        <v/>
      </c>
      <c r="M1661" s="28" t="str">
        <f aca="false">IF(A1661="","",IF(OR(AND(K1661&lt;&gt;"",LOWER(K1661)&lt;&gt;"não consta"),AND(L1661&lt;&gt;"",LOWER(L1661)&lt;&gt;"não consta"),IFERROR(INDEX(Empresas!$G:$G,MATCH(A1661,Empresas!$A:$A,0))&amp;"","")&lt;&gt;""),"SIM",""))</f>
        <v/>
      </c>
      <c r="N1661" s="5"/>
      <c r="O1661" s="32" t="str">
        <f aca="false">IF(D1661="","",YEAR(D1661))</f>
        <v/>
      </c>
      <c r="P1661" s="5"/>
    </row>
    <row r="1662" customFormat="false" ht="15" hidden="false" customHeight="false" outlineLevel="0" collapsed="false">
      <c r="A1662" s="27"/>
      <c r="B1662" s="5"/>
      <c r="C1662" s="35"/>
      <c r="D1662" s="18"/>
      <c r="E1662" s="5"/>
      <c r="F1662" s="14"/>
      <c r="G1662" s="5"/>
      <c r="H1662" s="27"/>
      <c r="I1662" s="5"/>
      <c r="J1662" s="19" t="str">
        <f aca="false">IF(A1662="","",IFERROR(INDEX(Empresas!$D:$D,MATCH(A1662,Empresas!$A:$A,0))&amp;"","não consta"))</f>
        <v/>
      </c>
      <c r="K1662" s="19" t="str">
        <f aca="false">IF(A1662="","",IFERROR(INDEX(Sancoes!$B:$B,MATCH(A1662,Sancoes!$A:$A,0))&amp;"","não consta"))</f>
        <v/>
      </c>
      <c r="L1662" s="19" t="str">
        <f aca="false">IF(A1662="","",IFERROR(INDEX(Eleitoral!$B:$B,MATCH(A1662,Eleitoral!$A:$A,0))&amp;"","não consta"))</f>
        <v/>
      </c>
      <c r="M1662" s="28" t="str">
        <f aca="false">IF(A1662="","",IF(OR(AND(K1662&lt;&gt;"",LOWER(K1662)&lt;&gt;"não consta"),AND(L1662&lt;&gt;"",LOWER(L1662)&lt;&gt;"não consta"),IFERROR(INDEX(Empresas!$G:$G,MATCH(A1662,Empresas!$A:$A,0))&amp;"","")&lt;&gt;""),"SIM",""))</f>
        <v/>
      </c>
      <c r="N1662" s="5"/>
      <c r="O1662" s="32" t="str">
        <f aca="false">IF(D1662="","",YEAR(D1662))</f>
        <v/>
      </c>
      <c r="P1662" s="5"/>
    </row>
    <row r="1663" customFormat="false" ht="15" hidden="false" customHeight="false" outlineLevel="0" collapsed="false">
      <c r="A1663" s="27"/>
      <c r="B1663" s="5"/>
      <c r="C1663" s="35"/>
      <c r="D1663" s="18"/>
      <c r="E1663" s="5"/>
      <c r="F1663" s="14"/>
      <c r="G1663" s="5"/>
      <c r="H1663" s="27"/>
      <c r="I1663" s="5"/>
      <c r="J1663" s="19" t="str">
        <f aca="false">IF(A1663="","",IFERROR(INDEX(Empresas!$D:$D,MATCH(A1663,Empresas!$A:$A,0))&amp;"","não consta"))</f>
        <v/>
      </c>
      <c r="K1663" s="19" t="str">
        <f aca="false">IF(A1663="","",IFERROR(INDEX(Sancoes!$B:$B,MATCH(A1663,Sancoes!$A:$A,0))&amp;"","não consta"))</f>
        <v/>
      </c>
      <c r="L1663" s="19" t="str">
        <f aca="false">IF(A1663="","",IFERROR(INDEX(Eleitoral!$B:$B,MATCH(A1663,Eleitoral!$A:$A,0))&amp;"","não consta"))</f>
        <v/>
      </c>
      <c r="M1663" s="28" t="str">
        <f aca="false">IF(A1663="","",IF(OR(AND(K1663&lt;&gt;"",LOWER(K1663)&lt;&gt;"não consta"),AND(L1663&lt;&gt;"",LOWER(L1663)&lt;&gt;"não consta"),IFERROR(INDEX(Empresas!$G:$G,MATCH(A1663,Empresas!$A:$A,0))&amp;"","")&lt;&gt;""),"SIM",""))</f>
        <v/>
      </c>
      <c r="N1663" s="5"/>
      <c r="O1663" s="32" t="str">
        <f aca="false">IF(D1663="","",YEAR(D1663))</f>
        <v/>
      </c>
      <c r="P1663" s="5"/>
    </row>
    <row r="1664" customFormat="false" ht="15" hidden="false" customHeight="false" outlineLevel="0" collapsed="false">
      <c r="A1664" s="27"/>
      <c r="B1664" s="5"/>
      <c r="C1664" s="35"/>
      <c r="D1664" s="18"/>
      <c r="E1664" s="5"/>
      <c r="F1664" s="14"/>
      <c r="G1664" s="5"/>
      <c r="H1664" s="27"/>
      <c r="I1664" s="5"/>
      <c r="J1664" s="19" t="str">
        <f aca="false">IF(A1664="","",IFERROR(INDEX(Empresas!$D:$D,MATCH(A1664,Empresas!$A:$A,0))&amp;"","não consta"))</f>
        <v/>
      </c>
      <c r="K1664" s="19" t="str">
        <f aca="false">IF(A1664="","",IFERROR(INDEX(Sancoes!$B:$B,MATCH(A1664,Sancoes!$A:$A,0))&amp;"","não consta"))</f>
        <v/>
      </c>
      <c r="L1664" s="19" t="str">
        <f aca="false">IF(A1664="","",IFERROR(INDEX(Eleitoral!$B:$B,MATCH(A1664,Eleitoral!$A:$A,0))&amp;"","não consta"))</f>
        <v/>
      </c>
      <c r="M1664" s="28" t="str">
        <f aca="false">IF(A1664="","",IF(OR(AND(K1664&lt;&gt;"",LOWER(K1664)&lt;&gt;"não consta"),AND(L1664&lt;&gt;"",LOWER(L1664)&lt;&gt;"não consta"),IFERROR(INDEX(Empresas!$G:$G,MATCH(A1664,Empresas!$A:$A,0))&amp;"","")&lt;&gt;""),"SIM",""))</f>
        <v/>
      </c>
      <c r="N1664" s="5"/>
      <c r="O1664" s="32" t="str">
        <f aca="false">IF(D1664="","",YEAR(D1664))</f>
        <v/>
      </c>
      <c r="P1664" s="5"/>
    </row>
    <row r="1665" customFormat="false" ht="15" hidden="false" customHeight="false" outlineLevel="0" collapsed="false">
      <c r="A1665" s="27"/>
      <c r="B1665" s="5"/>
      <c r="C1665" s="35"/>
      <c r="D1665" s="18"/>
      <c r="E1665" s="5"/>
      <c r="F1665" s="14"/>
      <c r="G1665" s="5"/>
      <c r="H1665" s="27"/>
      <c r="I1665" s="5"/>
      <c r="J1665" s="19" t="str">
        <f aca="false">IF(A1665="","",IFERROR(INDEX(Empresas!$D:$D,MATCH(A1665,Empresas!$A:$A,0))&amp;"","não consta"))</f>
        <v/>
      </c>
      <c r="K1665" s="19" t="str">
        <f aca="false">IF(A1665="","",IFERROR(INDEX(Sancoes!$B:$B,MATCH(A1665,Sancoes!$A:$A,0))&amp;"","não consta"))</f>
        <v/>
      </c>
      <c r="L1665" s="19" t="str">
        <f aca="false">IF(A1665="","",IFERROR(INDEX(Eleitoral!$B:$B,MATCH(A1665,Eleitoral!$A:$A,0))&amp;"","não consta"))</f>
        <v/>
      </c>
      <c r="M1665" s="28" t="str">
        <f aca="false">IF(A1665="","",IF(OR(AND(K1665&lt;&gt;"",LOWER(K1665)&lt;&gt;"não consta"),AND(L1665&lt;&gt;"",LOWER(L1665)&lt;&gt;"não consta"),IFERROR(INDEX(Empresas!$G:$G,MATCH(A1665,Empresas!$A:$A,0))&amp;"","")&lt;&gt;""),"SIM",""))</f>
        <v/>
      </c>
      <c r="N1665" s="5"/>
      <c r="O1665" s="32" t="str">
        <f aca="false">IF(D1665="","",YEAR(D1665))</f>
        <v/>
      </c>
      <c r="P1665" s="5"/>
    </row>
    <row r="1666" customFormat="false" ht="15" hidden="false" customHeight="false" outlineLevel="0" collapsed="false">
      <c r="A1666" s="27"/>
      <c r="B1666" s="5"/>
      <c r="C1666" s="35"/>
      <c r="D1666" s="18"/>
      <c r="E1666" s="5"/>
      <c r="F1666" s="14"/>
      <c r="G1666" s="5"/>
      <c r="H1666" s="27"/>
      <c r="I1666" s="5"/>
      <c r="J1666" s="19" t="str">
        <f aca="false">IF(A1666="","",IFERROR(INDEX(Empresas!$D:$D,MATCH(A1666,Empresas!$A:$A,0))&amp;"","não consta"))</f>
        <v/>
      </c>
      <c r="K1666" s="19" t="str">
        <f aca="false">IF(A1666="","",IFERROR(INDEX(Sancoes!$B:$B,MATCH(A1666,Sancoes!$A:$A,0))&amp;"","não consta"))</f>
        <v/>
      </c>
      <c r="L1666" s="19" t="str">
        <f aca="false">IF(A1666="","",IFERROR(INDEX(Eleitoral!$B:$B,MATCH(A1666,Eleitoral!$A:$A,0))&amp;"","não consta"))</f>
        <v/>
      </c>
      <c r="M1666" s="28" t="str">
        <f aca="false">IF(A1666="","",IF(OR(AND(K1666&lt;&gt;"",LOWER(K1666)&lt;&gt;"não consta"),AND(L1666&lt;&gt;"",LOWER(L1666)&lt;&gt;"não consta"),IFERROR(INDEX(Empresas!$G:$G,MATCH(A1666,Empresas!$A:$A,0))&amp;"","")&lt;&gt;""),"SIM",""))</f>
        <v/>
      </c>
      <c r="N1666" s="5"/>
      <c r="O1666" s="32" t="str">
        <f aca="false">IF(D1666="","",YEAR(D1666))</f>
        <v/>
      </c>
      <c r="P1666" s="5"/>
    </row>
    <row r="1667" customFormat="false" ht="15" hidden="false" customHeight="false" outlineLevel="0" collapsed="false">
      <c r="A1667" s="27"/>
      <c r="B1667" s="5"/>
      <c r="C1667" s="35"/>
      <c r="D1667" s="18"/>
      <c r="E1667" s="5"/>
      <c r="F1667" s="14"/>
      <c r="G1667" s="5"/>
      <c r="H1667" s="27"/>
      <c r="I1667" s="5"/>
      <c r="J1667" s="19" t="str">
        <f aca="false">IF(A1667="","",IFERROR(INDEX(Empresas!$D:$D,MATCH(A1667,Empresas!$A:$A,0))&amp;"","não consta"))</f>
        <v/>
      </c>
      <c r="K1667" s="19" t="str">
        <f aca="false">IF(A1667="","",IFERROR(INDEX(Sancoes!$B:$B,MATCH(A1667,Sancoes!$A:$A,0))&amp;"","não consta"))</f>
        <v/>
      </c>
      <c r="L1667" s="19" t="str">
        <f aca="false">IF(A1667="","",IFERROR(INDEX(Eleitoral!$B:$B,MATCH(A1667,Eleitoral!$A:$A,0))&amp;"","não consta"))</f>
        <v/>
      </c>
      <c r="M1667" s="28" t="str">
        <f aca="false">IF(A1667="","",IF(OR(AND(K1667&lt;&gt;"",LOWER(K1667)&lt;&gt;"não consta"),AND(L1667&lt;&gt;"",LOWER(L1667)&lt;&gt;"não consta"),IFERROR(INDEX(Empresas!$G:$G,MATCH(A1667,Empresas!$A:$A,0))&amp;"","")&lt;&gt;""),"SIM",""))</f>
        <v/>
      </c>
      <c r="N1667" s="5"/>
      <c r="O1667" s="32" t="str">
        <f aca="false">IF(D1667="","",YEAR(D1667))</f>
        <v/>
      </c>
      <c r="P1667" s="5"/>
    </row>
    <row r="1668" customFormat="false" ht="15" hidden="false" customHeight="false" outlineLevel="0" collapsed="false">
      <c r="A1668" s="27"/>
      <c r="B1668" s="5"/>
      <c r="C1668" s="35"/>
      <c r="D1668" s="18"/>
      <c r="E1668" s="5"/>
      <c r="F1668" s="14"/>
      <c r="G1668" s="5"/>
      <c r="H1668" s="27"/>
      <c r="I1668" s="5"/>
      <c r="J1668" s="19" t="str">
        <f aca="false">IF(A1668="","",IFERROR(INDEX(Empresas!$D:$D,MATCH(A1668,Empresas!$A:$A,0))&amp;"","não consta"))</f>
        <v/>
      </c>
      <c r="K1668" s="19" t="str">
        <f aca="false">IF(A1668="","",IFERROR(INDEX(Sancoes!$B:$B,MATCH(A1668,Sancoes!$A:$A,0))&amp;"","não consta"))</f>
        <v/>
      </c>
      <c r="L1668" s="19" t="str">
        <f aca="false">IF(A1668="","",IFERROR(INDEX(Eleitoral!$B:$B,MATCH(A1668,Eleitoral!$A:$A,0))&amp;"","não consta"))</f>
        <v/>
      </c>
      <c r="M1668" s="28" t="str">
        <f aca="false">IF(A1668="","",IF(OR(AND(K1668&lt;&gt;"",LOWER(K1668)&lt;&gt;"não consta"),AND(L1668&lt;&gt;"",LOWER(L1668)&lt;&gt;"não consta"),IFERROR(INDEX(Empresas!$G:$G,MATCH(A1668,Empresas!$A:$A,0))&amp;"","")&lt;&gt;""),"SIM",""))</f>
        <v/>
      </c>
      <c r="N1668" s="5"/>
      <c r="O1668" s="32" t="str">
        <f aca="false">IF(D1668="","",YEAR(D1668))</f>
        <v/>
      </c>
      <c r="P1668" s="5"/>
    </row>
    <row r="1669" customFormat="false" ht="15" hidden="false" customHeight="false" outlineLevel="0" collapsed="false">
      <c r="A1669" s="27"/>
      <c r="B1669" s="5"/>
      <c r="C1669" s="35"/>
      <c r="D1669" s="18"/>
      <c r="E1669" s="5"/>
      <c r="F1669" s="14"/>
      <c r="G1669" s="5"/>
      <c r="H1669" s="27"/>
      <c r="I1669" s="5"/>
      <c r="J1669" s="19" t="str">
        <f aca="false">IF(A1669="","",IFERROR(INDEX(Empresas!$D:$D,MATCH(A1669,Empresas!$A:$A,0))&amp;"","não consta"))</f>
        <v/>
      </c>
      <c r="K1669" s="19" t="str">
        <f aca="false">IF(A1669="","",IFERROR(INDEX(Sancoes!$B:$B,MATCH(A1669,Sancoes!$A:$A,0))&amp;"","não consta"))</f>
        <v/>
      </c>
      <c r="L1669" s="19" t="str">
        <f aca="false">IF(A1669="","",IFERROR(INDEX(Eleitoral!$B:$B,MATCH(A1669,Eleitoral!$A:$A,0))&amp;"","não consta"))</f>
        <v/>
      </c>
      <c r="M1669" s="28" t="str">
        <f aca="false">IF(A1669="","",IF(OR(AND(K1669&lt;&gt;"",LOWER(K1669)&lt;&gt;"não consta"),AND(L1669&lt;&gt;"",LOWER(L1669)&lt;&gt;"não consta"),IFERROR(INDEX(Empresas!$G:$G,MATCH(A1669,Empresas!$A:$A,0))&amp;"","")&lt;&gt;""),"SIM",""))</f>
        <v/>
      </c>
      <c r="N1669" s="5"/>
      <c r="O1669" s="32" t="str">
        <f aca="false">IF(D1669="","",YEAR(D1669))</f>
        <v/>
      </c>
      <c r="P1669" s="5"/>
    </row>
    <row r="1670" customFormat="false" ht="15" hidden="false" customHeight="false" outlineLevel="0" collapsed="false">
      <c r="A1670" s="27"/>
      <c r="B1670" s="5"/>
      <c r="C1670" s="35"/>
      <c r="D1670" s="18"/>
      <c r="E1670" s="5"/>
      <c r="F1670" s="14"/>
      <c r="G1670" s="5"/>
      <c r="H1670" s="27"/>
      <c r="I1670" s="5"/>
      <c r="J1670" s="19" t="str">
        <f aca="false">IF(A1670="","",IFERROR(INDEX(Empresas!$D:$D,MATCH(A1670,Empresas!$A:$A,0))&amp;"","não consta"))</f>
        <v/>
      </c>
      <c r="K1670" s="19" t="str">
        <f aca="false">IF(A1670="","",IFERROR(INDEX(Sancoes!$B:$B,MATCH(A1670,Sancoes!$A:$A,0))&amp;"","não consta"))</f>
        <v/>
      </c>
      <c r="L1670" s="19" t="str">
        <f aca="false">IF(A1670="","",IFERROR(INDEX(Eleitoral!$B:$B,MATCH(A1670,Eleitoral!$A:$A,0))&amp;"","não consta"))</f>
        <v/>
      </c>
      <c r="M1670" s="28" t="str">
        <f aca="false">IF(A1670="","",IF(OR(AND(K1670&lt;&gt;"",LOWER(K1670)&lt;&gt;"não consta"),AND(L1670&lt;&gt;"",LOWER(L1670)&lt;&gt;"não consta"),IFERROR(INDEX(Empresas!$G:$G,MATCH(A1670,Empresas!$A:$A,0))&amp;"","")&lt;&gt;""),"SIM",""))</f>
        <v/>
      </c>
      <c r="N1670" s="5"/>
      <c r="O1670" s="32" t="str">
        <f aca="false">IF(D1670="","",YEAR(D1670))</f>
        <v/>
      </c>
      <c r="P1670" s="5"/>
    </row>
    <row r="1671" customFormat="false" ht="15" hidden="false" customHeight="false" outlineLevel="0" collapsed="false">
      <c r="A1671" s="27"/>
      <c r="B1671" s="5"/>
      <c r="C1671" s="35"/>
      <c r="D1671" s="18"/>
      <c r="E1671" s="5"/>
      <c r="F1671" s="14"/>
      <c r="G1671" s="5"/>
      <c r="H1671" s="27"/>
      <c r="I1671" s="5"/>
      <c r="J1671" s="19" t="str">
        <f aca="false">IF(A1671="","",IFERROR(INDEX(Empresas!$D:$D,MATCH(A1671,Empresas!$A:$A,0))&amp;"","não consta"))</f>
        <v/>
      </c>
      <c r="K1671" s="19" t="str">
        <f aca="false">IF(A1671="","",IFERROR(INDEX(Sancoes!$B:$B,MATCH(A1671,Sancoes!$A:$A,0))&amp;"","não consta"))</f>
        <v/>
      </c>
      <c r="L1671" s="19" t="str">
        <f aca="false">IF(A1671="","",IFERROR(INDEX(Eleitoral!$B:$B,MATCH(A1671,Eleitoral!$A:$A,0))&amp;"","não consta"))</f>
        <v/>
      </c>
      <c r="M1671" s="28" t="str">
        <f aca="false">IF(A1671="","",IF(OR(AND(K1671&lt;&gt;"",LOWER(K1671)&lt;&gt;"não consta"),AND(L1671&lt;&gt;"",LOWER(L1671)&lt;&gt;"não consta"),IFERROR(INDEX(Empresas!$G:$G,MATCH(A1671,Empresas!$A:$A,0))&amp;"","")&lt;&gt;""),"SIM",""))</f>
        <v/>
      </c>
      <c r="N1671" s="5"/>
      <c r="O1671" s="32" t="str">
        <f aca="false">IF(D1671="","",YEAR(D1671))</f>
        <v/>
      </c>
      <c r="P1671" s="5"/>
    </row>
    <row r="1672" customFormat="false" ht="15" hidden="false" customHeight="false" outlineLevel="0" collapsed="false">
      <c r="A1672" s="27"/>
      <c r="B1672" s="5"/>
      <c r="C1672" s="35"/>
      <c r="D1672" s="18"/>
      <c r="E1672" s="5"/>
      <c r="F1672" s="14"/>
      <c r="G1672" s="5"/>
      <c r="H1672" s="27"/>
      <c r="I1672" s="5"/>
      <c r="J1672" s="19" t="str">
        <f aca="false">IF(A1672="","",IFERROR(INDEX(Empresas!$D:$D,MATCH(A1672,Empresas!$A:$A,0))&amp;"","não consta"))</f>
        <v/>
      </c>
      <c r="K1672" s="19" t="str">
        <f aca="false">IF(A1672="","",IFERROR(INDEX(Sancoes!$B:$B,MATCH(A1672,Sancoes!$A:$A,0))&amp;"","não consta"))</f>
        <v/>
      </c>
      <c r="L1672" s="19" t="str">
        <f aca="false">IF(A1672="","",IFERROR(INDEX(Eleitoral!$B:$B,MATCH(A1672,Eleitoral!$A:$A,0))&amp;"","não consta"))</f>
        <v/>
      </c>
      <c r="M1672" s="28" t="str">
        <f aca="false">IF(A1672="","",IF(OR(AND(K1672&lt;&gt;"",LOWER(K1672)&lt;&gt;"não consta"),AND(L1672&lt;&gt;"",LOWER(L1672)&lt;&gt;"não consta"),IFERROR(INDEX(Empresas!$G:$G,MATCH(A1672,Empresas!$A:$A,0))&amp;"","")&lt;&gt;""),"SIM",""))</f>
        <v/>
      </c>
      <c r="N1672" s="5"/>
      <c r="O1672" s="32" t="str">
        <f aca="false">IF(D1672="","",YEAR(D1672))</f>
        <v/>
      </c>
      <c r="P1672" s="5"/>
    </row>
    <row r="1673" customFormat="false" ht="15" hidden="false" customHeight="false" outlineLevel="0" collapsed="false">
      <c r="A1673" s="27"/>
      <c r="B1673" s="5"/>
      <c r="C1673" s="35"/>
      <c r="D1673" s="18"/>
      <c r="E1673" s="5"/>
      <c r="F1673" s="14"/>
      <c r="G1673" s="5"/>
      <c r="H1673" s="27"/>
      <c r="I1673" s="5"/>
      <c r="J1673" s="19" t="str">
        <f aca="false">IF(A1673="","",IFERROR(INDEX(Empresas!$D:$D,MATCH(A1673,Empresas!$A:$A,0))&amp;"","não consta"))</f>
        <v/>
      </c>
      <c r="K1673" s="19" t="str">
        <f aca="false">IF(A1673="","",IFERROR(INDEX(Sancoes!$B:$B,MATCH(A1673,Sancoes!$A:$A,0))&amp;"","não consta"))</f>
        <v/>
      </c>
      <c r="L1673" s="19" t="str">
        <f aca="false">IF(A1673="","",IFERROR(INDEX(Eleitoral!$B:$B,MATCH(A1673,Eleitoral!$A:$A,0))&amp;"","não consta"))</f>
        <v/>
      </c>
      <c r="M1673" s="28" t="str">
        <f aca="false">IF(A1673="","",IF(OR(AND(K1673&lt;&gt;"",LOWER(K1673)&lt;&gt;"não consta"),AND(L1673&lt;&gt;"",LOWER(L1673)&lt;&gt;"não consta"),IFERROR(INDEX(Empresas!$G:$G,MATCH(A1673,Empresas!$A:$A,0))&amp;"","")&lt;&gt;""),"SIM",""))</f>
        <v/>
      </c>
      <c r="N1673" s="5"/>
      <c r="O1673" s="32" t="str">
        <f aca="false">IF(D1673="","",YEAR(D1673))</f>
        <v/>
      </c>
      <c r="P1673" s="5"/>
    </row>
    <row r="1674" customFormat="false" ht="15" hidden="false" customHeight="false" outlineLevel="0" collapsed="false">
      <c r="A1674" s="27"/>
      <c r="B1674" s="5"/>
      <c r="C1674" s="35"/>
      <c r="D1674" s="18"/>
      <c r="E1674" s="5"/>
      <c r="F1674" s="14"/>
      <c r="G1674" s="5"/>
      <c r="H1674" s="27"/>
      <c r="I1674" s="5"/>
      <c r="J1674" s="19" t="str">
        <f aca="false">IF(A1674="","",IFERROR(INDEX(Empresas!$D:$D,MATCH(A1674,Empresas!$A:$A,0))&amp;"","não consta"))</f>
        <v/>
      </c>
      <c r="K1674" s="19" t="str">
        <f aca="false">IF(A1674="","",IFERROR(INDEX(Sancoes!$B:$B,MATCH(A1674,Sancoes!$A:$A,0))&amp;"","não consta"))</f>
        <v/>
      </c>
      <c r="L1674" s="19" t="str">
        <f aca="false">IF(A1674="","",IFERROR(INDEX(Eleitoral!$B:$B,MATCH(A1674,Eleitoral!$A:$A,0))&amp;"","não consta"))</f>
        <v/>
      </c>
      <c r="M1674" s="28" t="str">
        <f aca="false">IF(A1674="","",IF(OR(AND(K1674&lt;&gt;"",LOWER(K1674)&lt;&gt;"não consta"),AND(L1674&lt;&gt;"",LOWER(L1674)&lt;&gt;"não consta"),IFERROR(INDEX(Empresas!$G:$G,MATCH(A1674,Empresas!$A:$A,0))&amp;"","")&lt;&gt;""),"SIM",""))</f>
        <v/>
      </c>
      <c r="N1674" s="5"/>
      <c r="O1674" s="32" t="str">
        <f aca="false">IF(D1674="","",YEAR(D1674))</f>
        <v/>
      </c>
      <c r="P1674" s="5"/>
    </row>
    <row r="1675" customFormat="false" ht="15" hidden="false" customHeight="false" outlineLevel="0" collapsed="false">
      <c r="A1675" s="27"/>
      <c r="B1675" s="5"/>
      <c r="C1675" s="35"/>
      <c r="D1675" s="18"/>
      <c r="E1675" s="5"/>
      <c r="F1675" s="14"/>
      <c r="G1675" s="5"/>
      <c r="H1675" s="27"/>
      <c r="I1675" s="5"/>
      <c r="J1675" s="19" t="str">
        <f aca="false">IF(A1675="","",IFERROR(INDEX(Empresas!$D:$D,MATCH(A1675,Empresas!$A:$A,0))&amp;"","não consta"))</f>
        <v/>
      </c>
      <c r="K1675" s="19" t="str">
        <f aca="false">IF(A1675="","",IFERROR(INDEX(Sancoes!$B:$B,MATCH(A1675,Sancoes!$A:$A,0))&amp;"","não consta"))</f>
        <v/>
      </c>
      <c r="L1675" s="19" t="str">
        <f aca="false">IF(A1675="","",IFERROR(INDEX(Eleitoral!$B:$B,MATCH(A1675,Eleitoral!$A:$A,0))&amp;"","não consta"))</f>
        <v/>
      </c>
      <c r="M1675" s="28" t="str">
        <f aca="false">IF(A1675="","",IF(OR(AND(K1675&lt;&gt;"",LOWER(K1675)&lt;&gt;"não consta"),AND(L1675&lt;&gt;"",LOWER(L1675)&lt;&gt;"não consta"),IFERROR(INDEX(Empresas!$G:$G,MATCH(A1675,Empresas!$A:$A,0))&amp;"","")&lt;&gt;""),"SIM",""))</f>
        <v/>
      </c>
      <c r="N1675" s="5"/>
      <c r="O1675" s="32" t="str">
        <f aca="false">IF(D1675="","",YEAR(D1675))</f>
        <v/>
      </c>
      <c r="P1675" s="5"/>
    </row>
    <row r="1676" customFormat="false" ht="15" hidden="false" customHeight="false" outlineLevel="0" collapsed="false">
      <c r="A1676" s="27"/>
      <c r="B1676" s="5"/>
      <c r="C1676" s="35"/>
      <c r="D1676" s="18"/>
      <c r="E1676" s="5"/>
      <c r="F1676" s="14"/>
      <c r="G1676" s="5"/>
      <c r="H1676" s="27"/>
      <c r="I1676" s="5"/>
      <c r="J1676" s="19" t="str">
        <f aca="false">IF(A1676="","",IFERROR(INDEX(Empresas!$D:$D,MATCH(A1676,Empresas!$A:$A,0))&amp;"","não consta"))</f>
        <v/>
      </c>
      <c r="K1676" s="19" t="str">
        <f aca="false">IF(A1676="","",IFERROR(INDEX(Sancoes!$B:$B,MATCH(A1676,Sancoes!$A:$A,0))&amp;"","não consta"))</f>
        <v/>
      </c>
      <c r="L1676" s="19" t="str">
        <f aca="false">IF(A1676="","",IFERROR(INDEX(Eleitoral!$B:$B,MATCH(A1676,Eleitoral!$A:$A,0))&amp;"","não consta"))</f>
        <v/>
      </c>
      <c r="M1676" s="28" t="str">
        <f aca="false">IF(A1676="","",IF(OR(AND(K1676&lt;&gt;"",LOWER(K1676)&lt;&gt;"não consta"),AND(L1676&lt;&gt;"",LOWER(L1676)&lt;&gt;"não consta"),IFERROR(INDEX(Empresas!$G:$G,MATCH(A1676,Empresas!$A:$A,0))&amp;"","")&lt;&gt;""),"SIM",""))</f>
        <v/>
      </c>
      <c r="N1676" s="5"/>
      <c r="O1676" s="32" t="str">
        <f aca="false">IF(D1676="","",YEAR(D1676))</f>
        <v/>
      </c>
      <c r="P1676" s="5"/>
    </row>
    <row r="1677" customFormat="false" ht="15" hidden="false" customHeight="false" outlineLevel="0" collapsed="false">
      <c r="A1677" s="27"/>
      <c r="B1677" s="5"/>
      <c r="C1677" s="35"/>
      <c r="D1677" s="18"/>
      <c r="E1677" s="5"/>
      <c r="F1677" s="14"/>
      <c r="G1677" s="5"/>
      <c r="H1677" s="27"/>
      <c r="I1677" s="5"/>
      <c r="J1677" s="19" t="str">
        <f aca="false">IF(A1677="","",IFERROR(INDEX(Empresas!$D:$D,MATCH(A1677,Empresas!$A:$A,0))&amp;"","não consta"))</f>
        <v/>
      </c>
      <c r="K1677" s="19" t="str">
        <f aca="false">IF(A1677="","",IFERROR(INDEX(Sancoes!$B:$B,MATCH(A1677,Sancoes!$A:$A,0))&amp;"","não consta"))</f>
        <v/>
      </c>
      <c r="L1677" s="19" t="str">
        <f aca="false">IF(A1677="","",IFERROR(INDEX(Eleitoral!$B:$B,MATCH(A1677,Eleitoral!$A:$A,0))&amp;"","não consta"))</f>
        <v/>
      </c>
      <c r="M1677" s="28" t="str">
        <f aca="false">IF(A1677="","",IF(OR(AND(K1677&lt;&gt;"",LOWER(K1677)&lt;&gt;"não consta"),AND(L1677&lt;&gt;"",LOWER(L1677)&lt;&gt;"não consta"),IFERROR(INDEX(Empresas!$G:$G,MATCH(A1677,Empresas!$A:$A,0))&amp;"","")&lt;&gt;""),"SIM",""))</f>
        <v/>
      </c>
      <c r="N1677" s="5"/>
      <c r="O1677" s="32" t="str">
        <f aca="false">IF(D1677="","",YEAR(D1677))</f>
        <v/>
      </c>
      <c r="P1677" s="5"/>
    </row>
    <row r="1678" customFormat="false" ht="15" hidden="false" customHeight="false" outlineLevel="0" collapsed="false">
      <c r="A1678" s="27"/>
      <c r="B1678" s="5"/>
      <c r="C1678" s="35"/>
      <c r="D1678" s="18"/>
      <c r="E1678" s="5"/>
      <c r="F1678" s="14"/>
      <c r="G1678" s="5"/>
      <c r="H1678" s="27"/>
      <c r="I1678" s="5"/>
      <c r="J1678" s="19" t="str">
        <f aca="false">IF(A1678="","",IFERROR(INDEX(Empresas!$D:$D,MATCH(A1678,Empresas!$A:$A,0))&amp;"","não consta"))</f>
        <v/>
      </c>
      <c r="K1678" s="19" t="str">
        <f aca="false">IF(A1678="","",IFERROR(INDEX(Sancoes!$B:$B,MATCH(A1678,Sancoes!$A:$A,0))&amp;"","não consta"))</f>
        <v/>
      </c>
      <c r="L1678" s="19" t="str">
        <f aca="false">IF(A1678="","",IFERROR(INDEX(Eleitoral!$B:$B,MATCH(A1678,Eleitoral!$A:$A,0))&amp;"","não consta"))</f>
        <v/>
      </c>
      <c r="M1678" s="28" t="str">
        <f aca="false">IF(A1678="","",IF(OR(AND(K1678&lt;&gt;"",LOWER(K1678)&lt;&gt;"não consta"),AND(L1678&lt;&gt;"",LOWER(L1678)&lt;&gt;"não consta"),IFERROR(INDEX(Empresas!$G:$G,MATCH(A1678,Empresas!$A:$A,0))&amp;"","")&lt;&gt;""),"SIM",""))</f>
        <v/>
      </c>
      <c r="N1678" s="5"/>
      <c r="O1678" s="32" t="str">
        <f aca="false">IF(D1678="","",YEAR(D1678))</f>
        <v/>
      </c>
      <c r="P1678" s="5"/>
    </row>
    <row r="1679" customFormat="false" ht="15" hidden="false" customHeight="false" outlineLevel="0" collapsed="false">
      <c r="A1679" s="27"/>
      <c r="B1679" s="5"/>
      <c r="C1679" s="35"/>
      <c r="D1679" s="18"/>
      <c r="E1679" s="5"/>
      <c r="F1679" s="14"/>
      <c r="G1679" s="5"/>
      <c r="H1679" s="27"/>
      <c r="I1679" s="5"/>
      <c r="J1679" s="19" t="str">
        <f aca="false">IF(A1679="","",IFERROR(INDEX(Empresas!$D:$D,MATCH(A1679,Empresas!$A:$A,0))&amp;"","não consta"))</f>
        <v/>
      </c>
      <c r="K1679" s="19" t="str">
        <f aca="false">IF(A1679="","",IFERROR(INDEX(Sancoes!$B:$B,MATCH(A1679,Sancoes!$A:$A,0))&amp;"","não consta"))</f>
        <v/>
      </c>
      <c r="L1679" s="19" t="str">
        <f aca="false">IF(A1679="","",IFERROR(INDEX(Eleitoral!$B:$B,MATCH(A1679,Eleitoral!$A:$A,0))&amp;"","não consta"))</f>
        <v/>
      </c>
      <c r="M1679" s="28" t="str">
        <f aca="false">IF(A1679="","",IF(OR(AND(K1679&lt;&gt;"",LOWER(K1679)&lt;&gt;"não consta"),AND(L1679&lt;&gt;"",LOWER(L1679)&lt;&gt;"não consta"),IFERROR(INDEX(Empresas!$G:$G,MATCH(A1679,Empresas!$A:$A,0))&amp;"","")&lt;&gt;""),"SIM",""))</f>
        <v/>
      </c>
      <c r="N1679" s="5"/>
      <c r="O1679" s="32" t="str">
        <f aca="false">IF(D1679="","",YEAR(D1679))</f>
        <v/>
      </c>
      <c r="P1679" s="5"/>
    </row>
    <row r="1680" customFormat="false" ht="15" hidden="false" customHeight="false" outlineLevel="0" collapsed="false">
      <c r="A1680" s="27"/>
      <c r="B1680" s="5"/>
      <c r="C1680" s="35"/>
      <c r="D1680" s="18"/>
      <c r="E1680" s="5"/>
      <c r="F1680" s="14"/>
      <c r="G1680" s="5"/>
      <c r="H1680" s="27"/>
      <c r="I1680" s="5"/>
      <c r="J1680" s="19" t="str">
        <f aca="false">IF(A1680="","",IFERROR(INDEX(Empresas!$D:$D,MATCH(A1680,Empresas!$A:$A,0))&amp;"","não consta"))</f>
        <v/>
      </c>
      <c r="K1680" s="19" t="str">
        <f aca="false">IF(A1680="","",IFERROR(INDEX(Sancoes!$B:$B,MATCH(A1680,Sancoes!$A:$A,0))&amp;"","não consta"))</f>
        <v/>
      </c>
      <c r="L1680" s="19" t="str">
        <f aca="false">IF(A1680="","",IFERROR(INDEX(Eleitoral!$B:$B,MATCH(A1680,Eleitoral!$A:$A,0))&amp;"","não consta"))</f>
        <v/>
      </c>
      <c r="M1680" s="28" t="str">
        <f aca="false">IF(A1680="","",IF(OR(AND(K1680&lt;&gt;"",LOWER(K1680)&lt;&gt;"não consta"),AND(L1680&lt;&gt;"",LOWER(L1680)&lt;&gt;"não consta"),IFERROR(INDEX(Empresas!$G:$G,MATCH(A1680,Empresas!$A:$A,0))&amp;"","")&lt;&gt;""),"SIM",""))</f>
        <v/>
      </c>
      <c r="N1680" s="5"/>
      <c r="O1680" s="32" t="str">
        <f aca="false">IF(D1680="","",YEAR(D1680))</f>
        <v/>
      </c>
      <c r="P1680" s="5"/>
    </row>
    <row r="1681" customFormat="false" ht="15" hidden="false" customHeight="false" outlineLevel="0" collapsed="false">
      <c r="A1681" s="27"/>
      <c r="B1681" s="5"/>
      <c r="C1681" s="35"/>
      <c r="D1681" s="18"/>
      <c r="E1681" s="5"/>
      <c r="F1681" s="14"/>
      <c r="G1681" s="5"/>
      <c r="H1681" s="27"/>
      <c r="I1681" s="5"/>
      <c r="J1681" s="19" t="str">
        <f aca="false">IF(A1681="","",IFERROR(INDEX(Empresas!$D:$D,MATCH(A1681,Empresas!$A:$A,0))&amp;"","não consta"))</f>
        <v/>
      </c>
      <c r="K1681" s="19" t="str">
        <f aca="false">IF(A1681="","",IFERROR(INDEX(Sancoes!$B:$B,MATCH(A1681,Sancoes!$A:$A,0))&amp;"","não consta"))</f>
        <v/>
      </c>
      <c r="L1681" s="19" t="str">
        <f aca="false">IF(A1681="","",IFERROR(INDEX(Eleitoral!$B:$B,MATCH(A1681,Eleitoral!$A:$A,0))&amp;"","não consta"))</f>
        <v/>
      </c>
      <c r="M1681" s="28" t="str">
        <f aca="false">IF(A1681="","",IF(OR(AND(K1681&lt;&gt;"",LOWER(K1681)&lt;&gt;"não consta"),AND(L1681&lt;&gt;"",LOWER(L1681)&lt;&gt;"não consta"),IFERROR(INDEX(Empresas!$G:$G,MATCH(A1681,Empresas!$A:$A,0))&amp;"","")&lt;&gt;""),"SIM",""))</f>
        <v/>
      </c>
      <c r="N1681" s="5"/>
      <c r="O1681" s="32" t="str">
        <f aca="false">IF(D1681="","",YEAR(D1681))</f>
        <v/>
      </c>
      <c r="P1681" s="5"/>
    </row>
    <row r="1682" customFormat="false" ht="15" hidden="false" customHeight="false" outlineLevel="0" collapsed="false">
      <c r="A1682" s="27"/>
      <c r="B1682" s="5"/>
      <c r="C1682" s="35"/>
      <c r="D1682" s="18"/>
      <c r="E1682" s="5"/>
      <c r="F1682" s="14"/>
      <c r="G1682" s="5"/>
      <c r="H1682" s="27"/>
      <c r="I1682" s="5"/>
      <c r="J1682" s="19" t="str">
        <f aca="false">IF(A1682="","",IFERROR(INDEX(Empresas!$D:$D,MATCH(A1682,Empresas!$A:$A,0))&amp;"","não consta"))</f>
        <v/>
      </c>
      <c r="K1682" s="19" t="str">
        <f aca="false">IF(A1682="","",IFERROR(INDEX(Sancoes!$B:$B,MATCH(A1682,Sancoes!$A:$A,0))&amp;"","não consta"))</f>
        <v/>
      </c>
      <c r="L1682" s="19" t="str">
        <f aca="false">IF(A1682="","",IFERROR(INDEX(Eleitoral!$B:$B,MATCH(A1682,Eleitoral!$A:$A,0))&amp;"","não consta"))</f>
        <v/>
      </c>
      <c r="M1682" s="28" t="str">
        <f aca="false">IF(A1682="","",IF(OR(AND(K1682&lt;&gt;"",LOWER(K1682)&lt;&gt;"não consta"),AND(L1682&lt;&gt;"",LOWER(L1682)&lt;&gt;"não consta"),IFERROR(INDEX(Empresas!$G:$G,MATCH(A1682,Empresas!$A:$A,0))&amp;"","")&lt;&gt;""),"SIM",""))</f>
        <v/>
      </c>
      <c r="N1682" s="5"/>
      <c r="O1682" s="32" t="str">
        <f aca="false">IF(D1682="","",YEAR(D1682))</f>
        <v/>
      </c>
      <c r="P1682" s="5"/>
    </row>
    <row r="1683" customFormat="false" ht="15" hidden="false" customHeight="false" outlineLevel="0" collapsed="false">
      <c r="A1683" s="27"/>
      <c r="B1683" s="5"/>
      <c r="C1683" s="35"/>
      <c r="D1683" s="18"/>
      <c r="E1683" s="5"/>
      <c r="F1683" s="14"/>
      <c r="G1683" s="5"/>
      <c r="H1683" s="27"/>
      <c r="I1683" s="5"/>
      <c r="J1683" s="19" t="str">
        <f aca="false">IF(A1683="","",IFERROR(INDEX(Empresas!$D:$D,MATCH(A1683,Empresas!$A:$A,0))&amp;"","não consta"))</f>
        <v/>
      </c>
      <c r="K1683" s="19" t="str">
        <f aca="false">IF(A1683="","",IFERROR(INDEX(Sancoes!$B:$B,MATCH(A1683,Sancoes!$A:$A,0))&amp;"","não consta"))</f>
        <v/>
      </c>
      <c r="L1683" s="19" t="str">
        <f aca="false">IF(A1683="","",IFERROR(INDEX(Eleitoral!$B:$B,MATCH(A1683,Eleitoral!$A:$A,0))&amp;"","não consta"))</f>
        <v/>
      </c>
      <c r="M1683" s="28" t="str">
        <f aca="false">IF(A1683="","",IF(OR(AND(K1683&lt;&gt;"",LOWER(K1683)&lt;&gt;"não consta"),AND(L1683&lt;&gt;"",LOWER(L1683)&lt;&gt;"não consta"),IFERROR(INDEX(Empresas!$G:$G,MATCH(A1683,Empresas!$A:$A,0))&amp;"","")&lt;&gt;""),"SIM",""))</f>
        <v/>
      </c>
      <c r="N1683" s="5"/>
      <c r="O1683" s="32" t="str">
        <f aca="false">IF(D1683="","",YEAR(D1683))</f>
        <v/>
      </c>
      <c r="P1683" s="5"/>
    </row>
    <row r="1684" customFormat="false" ht="15" hidden="false" customHeight="false" outlineLevel="0" collapsed="false">
      <c r="A1684" s="27"/>
      <c r="B1684" s="5"/>
      <c r="C1684" s="35"/>
      <c r="D1684" s="18"/>
      <c r="E1684" s="5"/>
      <c r="F1684" s="14"/>
      <c r="G1684" s="5"/>
      <c r="H1684" s="27"/>
      <c r="I1684" s="5"/>
      <c r="J1684" s="19" t="str">
        <f aca="false">IF(A1684="","",IFERROR(INDEX(Empresas!$D:$D,MATCH(A1684,Empresas!$A:$A,0))&amp;"","não consta"))</f>
        <v/>
      </c>
      <c r="K1684" s="19" t="str">
        <f aca="false">IF(A1684="","",IFERROR(INDEX(Sancoes!$B:$B,MATCH(A1684,Sancoes!$A:$A,0))&amp;"","não consta"))</f>
        <v/>
      </c>
      <c r="L1684" s="19" t="str">
        <f aca="false">IF(A1684="","",IFERROR(INDEX(Eleitoral!$B:$B,MATCH(A1684,Eleitoral!$A:$A,0))&amp;"","não consta"))</f>
        <v/>
      </c>
      <c r="M1684" s="28" t="str">
        <f aca="false">IF(A1684="","",IF(OR(AND(K1684&lt;&gt;"",LOWER(K1684)&lt;&gt;"não consta"),AND(L1684&lt;&gt;"",LOWER(L1684)&lt;&gt;"não consta"),IFERROR(INDEX(Empresas!$G:$G,MATCH(A1684,Empresas!$A:$A,0))&amp;"","")&lt;&gt;""),"SIM",""))</f>
        <v/>
      </c>
      <c r="N1684" s="5"/>
      <c r="O1684" s="32" t="str">
        <f aca="false">IF(D1684="","",YEAR(D1684))</f>
        <v/>
      </c>
      <c r="P1684" s="5"/>
    </row>
    <row r="1685" customFormat="false" ht="15" hidden="false" customHeight="false" outlineLevel="0" collapsed="false">
      <c r="A1685" s="27"/>
      <c r="B1685" s="5"/>
      <c r="C1685" s="35"/>
      <c r="D1685" s="18"/>
      <c r="E1685" s="5"/>
      <c r="F1685" s="14"/>
      <c r="G1685" s="5"/>
      <c r="H1685" s="27"/>
      <c r="I1685" s="5"/>
      <c r="J1685" s="19" t="str">
        <f aca="false">IF(A1685="","",IFERROR(INDEX(Empresas!$D:$D,MATCH(A1685,Empresas!$A:$A,0))&amp;"","não consta"))</f>
        <v/>
      </c>
      <c r="K1685" s="19" t="str">
        <f aca="false">IF(A1685="","",IFERROR(INDEX(Sancoes!$B:$B,MATCH(A1685,Sancoes!$A:$A,0))&amp;"","não consta"))</f>
        <v/>
      </c>
      <c r="L1685" s="19" t="str">
        <f aca="false">IF(A1685="","",IFERROR(INDEX(Eleitoral!$B:$B,MATCH(A1685,Eleitoral!$A:$A,0))&amp;"","não consta"))</f>
        <v/>
      </c>
      <c r="M1685" s="28" t="str">
        <f aca="false">IF(A1685="","",IF(OR(AND(K1685&lt;&gt;"",LOWER(K1685)&lt;&gt;"não consta"),AND(L1685&lt;&gt;"",LOWER(L1685)&lt;&gt;"não consta"),IFERROR(INDEX(Empresas!$G:$G,MATCH(A1685,Empresas!$A:$A,0))&amp;"","")&lt;&gt;""),"SIM",""))</f>
        <v/>
      </c>
      <c r="N1685" s="5"/>
      <c r="O1685" s="32" t="str">
        <f aca="false">IF(D1685="","",YEAR(D1685))</f>
        <v/>
      </c>
      <c r="P1685" s="5"/>
    </row>
    <row r="1686" customFormat="false" ht="15" hidden="false" customHeight="false" outlineLevel="0" collapsed="false">
      <c r="A1686" s="27"/>
      <c r="B1686" s="5"/>
      <c r="C1686" s="35"/>
      <c r="D1686" s="18"/>
      <c r="E1686" s="5"/>
      <c r="F1686" s="14"/>
      <c r="G1686" s="5"/>
      <c r="H1686" s="27"/>
      <c r="I1686" s="5"/>
      <c r="J1686" s="19" t="str">
        <f aca="false">IF(A1686="","",IFERROR(INDEX(Empresas!$D:$D,MATCH(A1686,Empresas!$A:$A,0))&amp;"","não consta"))</f>
        <v/>
      </c>
      <c r="K1686" s="19" t="str">
        <f aca="false">IF(A1686="","",IFERROR(INDEX(Sancoes!$B:$B,MATCH(A1686,Sancoes!$A:$A,0))&amp;"","não consta"))</f>
        <v/>
      </c>
      <c r="L1686" s="19" t="str">
        <f aca="false">IF(A1686="","",IFERROR(INDEX(Eleitoral!$B:$B,MATCH(A1686,Eleitoral!$A:$A,0))&amp;"","não consta"))</f>
        <v/>
      </c>
      <c r="M1686" s="28" t="str">
        <f aca="false">IF(A1686="","",IF(OR(AND(K1686&lt;&gt;"",LOWER(K1686)&lt;&gt;"não consta"),AND(L1686&lt;&gt;"",LOWER(L1686)&lt;&gt;"não consta"),IFERROR(INDEX(Empresas!$G:$G,MATCH(A1686,Empresas!$A:$A,0))&amp;"","")&lt;&gt;""),"SIM",""))</f>
        <v/>
      </c>
      <c r="N1686" s="5"/>
      <c r="O1686" s="32" t="str">
        <f aca="false">IF(D1686="","",YEAR(D1686))</f>
        <v/>
      </c>
      <c r="P1686" s="5"/>
    </row>
    <row r="1687" customFormat="false" ht="15" hidden="false" customHeight="false" outlineLevel="0" collapsed="false">
      <c r="A1687" s="27"/>
      <c r="B1687" s="5"/>
      <c r="C1687" s="35"/>
      <c r="D1687" s="18"/>
      <c r="E1687" s="5"/>
      <c r="F1687" s="14"/>
      <c r="G1687" s="5"/>
      <c r="H1687" s="27"/>
      <c r="I1687" s="5"/>
      <c r="J1687" s="19" t="str">
        <f aca="false">IF(A1687="","",IFERROR(INDEX(Empresas!$D:$D,MATCH(A1687,Empresas!$A:$A,0))&amp;"","não consta"))</f>
        <v/>
      </c>
      <c r="K1687" s="19" t="str">
        <f aca="false">IF(A1687="","",IFERROR(INDEX(Sancoes!$B:$B,MATCH(A1687,Sancoes!$A:$A,0))&amp;"","não consta"))</f>
        <v/>
      </c>
      <c r="L1687" s="19" t="str">
        <f aca="false">IF(A1687="","",IFERROR(INDEX(Eleitoral!$B:$B,MATCH(A1687,Eleitoral!$A:$A,0))&amp;"","não consta"))</f>
        <v/>
      </c>
      <c r="M1687" s="28" t="str">
        <f aca="false">IF(A1687="","",IF(OR(AND(K1687&lt;&gt;"",LOWER(K1687)&lt;&gt;"não consta"),AND(L1687&lt;&gt;"",LOWER(L1687)&lt;&gt;"não consta"),IFERROR(INDEX(Empresas!$G:$G,MATCH(A1687,Empresas!$A:$A,0))&amp;"","")&lt;&gt;""),"SIM",""))</f>
        <v/>
      </c>
      <c r="N1687" s="5"/>
      <c r="O1687" s="32" t="str">
        <f aca="false">IF(D1687="","",YEAR(D1687))</f>
        <v/>
      </c>
      <c r="P1687" s="5"/>
    </row>
    <row r="1688" customFormat="false" ht="15" hidden="false" customHeight="false" outlineLevel="0" collapsed="false">
      <c r="A1688" s="27"/>
      <c r="B1688" s="5"/>
      <c r="C1688" s="35"/>
      <c r="D1688" s="18"/>
      <c r="E1688" s="5"/>
      <c r="F1688" s="14"/>
      <c r="G1688" s="5"/>
      <c r="H1688" s="27"/>
      <c r="I1688" s="5"/>
      <c r="J1688" s="19" t="str">
        <f aca="false">IF(A1688="","",IFERROR(INDEX(Empresas!$D:$D,MATCH(A1688,Empresas!$A:$A,0))&amp;"","não consta"))</f>
        <v/>
      </c>
      <c r="K1688" s="19" t="str">
        <f aca="false">IF(A1688="","",IFERROR(INDEX(Sancoes!$B:$B,MATCH(A1688,Sancoes!$A:$A,0))&amp;"","não consta"))</f>
        <v/>
      </c>
      <c r="L1688" s="19" t="str">
        <f aca="false">IF(A1688="","",IFERROR(INDEX(Eleitoral!$B:$B,MATCH(A1688,Eleitoral!$A:$A,0))&amp;"","não consta"))</f>
        <v/>
      </c>
      <c r="M1688" s="28" t="str">
        <f aca="false">IF(A1688="","",IF(OR(AND(K1688&lt;&gt;"",LOWER(K1688)&lt;&gt;"não consta"),AND(L1688&lt;&gt;"",LOWER(L1688)&lt;&gt;"não consta"),IFERROR(INDEX(Empresas!$G:$G,MATCH(A1688,Empresas!$A:$A,0))&amp;"","")&lt;&gt;""),"SIM",""))</f>
        <v/>
      </c>
      <c r="N1688" s="5"/>
      <c r="O1688" s="32" t="str">
        <f aca="false">IF(D1688="","",YEAR(D1688))</f>
        <v/>
      </c>
      <c r="P1688" s="5"/>
    </row>
    <row r="1689" customFormat="false" ht="15" hidden="false" customHeight="false" outlineLevel="0" collapsed="false">
      <c r="A1689" s="27"/>
      <c r="B1689" s="5"/>
      <c r="C1689" s="35"/>
      <c r="D1689" s="18"/>
      <c r="E1689" s="5"/>
      <c r="F1689" s="14"/>
      <c r="G1689" s="5"/>
      <c r="H1689" s="27"/>
      <c r="I1689" s="5"/>
      <c r="J1689" s="19" t="str">
        <f aca="false">IF(A1689="","",IFERROR(INDEX(Empresas!$D:$D,MATCH(A1689,Empresas!$A:$A,0))&amp;"","não consta"))</f>
        <v/>
      </c>
      <c r="K1689" s="19" t="str">
        <f aca="false">IF(A1689="","",IFERROR(INDEX(Sancoes!$B:$B,MATCH(A1689,Sancoes!$A:$A,0))&amp;"","não consta"))</f>
        <v/>
      </c>
      <c r="L1689" s="19" t="str">
        <f aca="false">IF(A1689="","",IFERROR(INDEX(Eleitoral!$B:$B,MATCH(A1689,Eleitoral!$A:$A,0))&amp;"","não consta"))</f>
        <v/>
      </c>
      <c r="M1689" s="28" t="str">
        <f aca="false">IF(A1689="","",IF(OR(AND(K1689&lt;&gt;"",LOWER(K1689)&lt;&gt;"não consta"),AND(L1689&lt;&gt;"",LOWER(L1689)&lt;&gt;"não consta"),IFERROR(INDEX(Empresas!$G:$G,MATCH(A1689,Empresas!$A:$A,0))&amp;"","")&lt;&gt;""),"SIM",""))</f>
        <v/>
      </c>
      <c r="N1689" s="5"/>
      <c r="O1689" s="32" t="str">
        <f aca="false">IF(D1689="","",YEAR(D1689))</f>
        <v/>
      </c>
      <c r="P1689" s="5"/>
    </row>
    <row r="1690" customFormat="false" ht="15" hidden="false" customHeight="false" outlineLevel="0" collapsed="false">
      <c r="A1690" s="27"/>
      <c r="B1690" s="5"/>
      <c r="C1690" s="35"/>
      <c r="D1690" s="18"/>
      <c r="E1690" s="5"/>
      <c r="F1690" s="14"/>
      <c r="G1690" s="5"/>
      <c r="H1690" s="27"/>
      <c r="I1690" s="5"/>
      <c r="J1690" s="19" t="str">
        <f aca="false">IF(A1690="","",IFERROR(INDEX(Empresas!$D:$D,MATCH(A1690,Empresas!$A:$A,0))&amp;"","não consta"))</f>
        <v/>
      </c>
      <c r="K1690" s="19" t="str">
        <f aca="false">IF(A1690="","",IFERROR(INDEX(Sancoes!$B:$B,MATCH(A1690,Sancoes!$A:$A,0))&amp;"","não consta"))</f>
        <v/>
      </c>
      <c r="L1690" s="19" t="str">
        <f aca="false">IF(A1690="","",IFERROR(INDEX(Eleitoral!$B:$B,MATCH(A1690,Eleitoral!$A:$A,0))&amp;"","não consta"))</f>
        <v/>
      </c>
      <c r="M1690" s="28" t="str">
        <f aca="false">IF(A1690="","",IF(OR(AND(K1690&lt;&gt;"",LOWER(K1690)&lt;&gt;"não consta"),AND(L1690&lt;&gt;"",LOWER(L1690)&lt;&gt;"não consta"),IFERROR(INDEX(Empresas!$G:$G,MATCH(A1690,Empresas!$A:$A,0))&amp;"","")&lt;&gt;""),"SIM",""))</f>
        <v/>
      </c>
      <c r="N1690" s="5"/>
      <c r="O1690" s="32" t="str">
        <f aca="false">IF(D1690="","",YEAR(D1690))</f>
        <v/>
      </c>
      <c r="P1690" s="5"/>
    </row>
    <row r="1691" customFormat="false" ht="15" hidden="false" customHeight="false" outlineLevel="0" collapsed="false">
      <c r="A1691" s="27"/>
      <c r="B1691" s="5"/>
      <c r="C1691" s="35"/>
      <c r="D1691" s="18"/>
      <c r="E1691" s="5"/>
      <c r="F1691" s="14"/>
      <c r="G1691" s="5"/>
      <c r="H1691" s="27"/>
      <c r="I1691" s="5"/>
      <c r="J1691" s="19" t="str">
        <f aca="false">IF(A1691="","",IFERROR(INDEX(Empresas!$D:$D,MATCH(A1691,Empresas!$A:$A,0))&amp;"","não consta"))</f>
        <v/>
      </c>
      <c r="K1691" s="19" t="str">
        <f aca="false">IF(A1691="","",IFERROR(INDEX(Sancoes!$B:$B,MATCH(A1691,Sancoes!$A:$A,0))&amp;"","não consta"))</f>
        <v/>
      </c>
      <c r="L1691" s="19" t="str">
        <f aca="false">IF(A1691="","",IFERROR(INDEX(Eleitoral!$B:$B,MATCH(A1691,Eleitoral!$A:$A,0))&amp;"","não consta"))</f>
        <v/>
      </c>
      <c r="M1691" s="28" t="str">
        <f aca="false">IF(A1691="","",IF(OR(AND(K1691&lt;&gt;"",LOWER(K1691)&lt;&gt;"não consta"),AND(L1691&lt;&gt;"",LOWER(L1691)&lt;&gt;"não consta"),IFERROR(INDEX(Empresas!$G:$G,MATCH(A1691,Empresas!$A:$A,0))&amp;"","")&lt;&gt;""),"SIM",""))</f>
        <v/>
      </c>
      <c r="N1691" s="5"/>
      <c r="O1691" s="32" t="str">
        <f aca="false">IF(D1691="","",YEAR(D1691))</f>
        <v/>
      </c>
      <c r="P1691" s="5"/>
    </row>
    <row r="1692" customFormat="false" ht="15" hidden="false" customHeight="false" outlineLevel="0" collapsed="false">
      <c r="A1692" s="27"/>
      <c r="B1692" s="5"/>
      <c r="C1692" s="35"/>
      <c r="D1692" s="18"/>
      <c r="E1692" s="5"/>
      <c r="F1692" s="14"/>
      <c r="G1692" s="5"/>
      <c r="H1692" s="27"/>
      <c r="I1692" s="5"/>
      <c r="J1692" s="19" t="str">
        <f aca="false">IF(A1692="","",IFERROR(INDEX(Empresas!$D:$D,MATCH(A1692,Empresas!$A:$A,0))&amp;"","não consta"))</f>
        <v/>
      </c>
      <c r="K1692" s="19" t="str">
        <f aca="false">IF(A1692="","",IFERROR(INDEX(Sancoes!$B:$B,MATCH(A1692,Sancoes!$A:$A,0))&amp;"","não consta"))</f>
        <v/>
      </c>
      <c r="L1692" s="19" t="str">
        <f aca="false">IF(A1692="","",IFERROR(INDEX(Eleitoral!$B:$B,MATCH(A1692,Eleitoral!$A:$A,0))&amp;"","não consta"))</f>
        <v/>
      </c>
      <c r="M1692" s="28" t="str">
        <f aca="false">IF(A1692="","",IF(OR(AND(K1692&lt;&gt;"",LOWER(K1692)&lt;&gt;"não consta"),AND(L1692&lt;&gt;"",LOWER(L1692)&lt;&gt;"não consta"),IFERROR(INDEX(Empresas!$G:$G,MATCH(A1692,Empresas!$A:$A,0))&amp;"","")&lt;&gt;""),"SIM",""))</f>
        <v/>
      </c>
      <c r="N1692" s="5"/>
      <c r="O1692" s="32" t="str">
        <f aca="false">IF(D1692="","",YEAR(D1692))</f>
        <v/>
      </c>
      <c r="P1692" s="5"/>
    </row>
    <row r="1693" customFormat="false" ht="15" hidden="false" customHeight="false" outlineLevel="0" collapsed="false">
      <c r="A1693" s="27"/>
      <c r="B1693" s="5"/>
      <c r="C1693" s="35"/>
      <c r="D1693" s="18"/>
      <c r="E1693" s="5"/>
      <c r="F1693" s="14"/>
      <c r="G1693" s="5"/>
      <c r="H1693" s="27"/>
      <c r="I1693" s="5"/>
      <c r="J1693" s="19" t="str">
        <f aca="false">IF(A1693="","",IFERROR(INDEX(Empresas!$D:$D,MATCH(A1693,Empresas!$A:$A,0))&amp;"","não consta"))</f>
        <v/>
      </c>
      <c r="K1693" s="19" t="str">
        <f aca="false">IF(A1693="","",IFERROR(INDEX(Sancoes!$B:$B,MATCH(A1693,Sancoes!$A:$A,0))&amp;"","não consta"))</f>
        <v/>
      </c>
      <c r="L1693" s="19" t="str">
        <f aca="false">IF(A1693="","",IFERROR(INDEX(Eleitoral!$B:$B,MATCH(A1693,Eleitoral!$A:$A,0))&amp;"","não consta"))</f>
        <v/>
      </c>
      <c r="M1693" s="28" t="str">
        <f aca="false">IF(A1693="","",IF(OR(AND(K1693&lt;&gt;"",LOWER(K1693)&lt;&gt;"não consta"),AND(L1693&lt;&gt;"",LOWER(L1693)&lt;&gt;"não consta"),IFERROR(INDEX(Empresas!$G:$G,MATCH(A1693,Empresas!$A:$A,0))&amp;"","")&lt;&gt;""),"SIM",""))</f>
        <v/>
      </c>
      <c r="N1693" s="5"/>
      <c r="O1693" s="32" t="str">
        <f aca="false">IF(D1693="","",YEAR(D1693))</f>
        <v/>
      </c>
      <c r="P1693" s="5"/>
    </row>
    <row r="1694" customFormat="false" ht="15" hidden="false" customHeight="false" outlineLevel="0" collapsed="false">
      <c r="A1694" s="27"/>
      <c r="B1694" s="5"/>
      <c r="C1694" s="35"/>
      <c r="D1694" s="18"/>
      <c r="E1694" s="5"/>
      <c r="F1694" s="14"/>
      <c r="G1694" s="5"/>
      <c r="H1694" s="27"/>
      <c r="I1694" s="5"/>
      <c r="J1694" s="19" t="str">
        <f aca="false">IF(A1694="","",IFERROR(INDEX(Empresas!$D:$D,MATCH(A1694,Empresas!$A:$A,0))&amp;"","não consta"))</f>
        <v/>
      </c>
      <c r="K1694" s="19" t="str">
        <f aca="false">IF(A1694="","",IFERROR(INDEX(Sancoes!$B:$B,MATCH(A1694,Sancoes!$A:$A,0))&amp;"","não consta"))</f>
        <v/>
      </c>
      <c r="L1694" s="19" t="str">
        <f aca="false">IF(A1694="","",IFERROR(INDEX(Eleitoral!$B:$B,MATCH(A1694,Eleitoral!$A:$A,0))&amp;"","não consta"))</f>
        <v/>
      </c>
      <c r="M1694" s="28" t="str">
        <f aca="false">IF(A1694="","",IF(OR(AND(K1694&lt;&gt;"",LOWER(K1694)&lt;&gt;"não consta"),AND(L1694&lt;&gt;"",LOWER(L1694)&lt;&gt;"não consta"),IFERROR(INDEX(Empresas!$G:$G,MATCH(A1694,Empresas!$A:$A,0))&amp;"","")&lt;&gt;""),"SIM",""))</f>
        <v/>
      </c>
      <c r="N1694" s="5"/>
      <c r="O1694" s="32" t="str">
        <f aca="false">IF(D1694="","",YEAR(D1694))</f>
        <v/>
      </c>
      <c r="P1694" s="5"/>
    </row>
    <row r="1695" customFormat="false" ht="15" hidden="false" customHeight="false" outlineLevel="0" collapsed="false">
      <c r="A1695" s="27"/>
      <c r="B1695" s="5"/>
      <c r="C1695" s="35"/>
      <c r="D1695" s="18"/>
      <c r="E1695" s="5"/>
      <c r="F1695" s="14"/>
      <c r="G1695" s="5"/>
      <c r="H1695" s="27"/>
      <c r="I1695" s="5"/>
      <c r="J1695" s="19" t="str">
        <f aca="false">IF(A1695="","",IFERROR(INDEX(Empresas!$D:$D,MATCH(A1695,Empresas!$A:$A,0))&amp;"","não consta"))</f>
        <v/>
      </c>
      <c r="K1695" s="19" t="str">
        <f aca="false">IF(A1695="","",IFERROR(INDEX(Sancoes!$B:$B,MATCH(A1695,Sancoes!$A:$A,0))&amp;"","não consta"))</f>
        <v/>
      </c>
      <c r="L1695" s="19" t="str">
        <f aca="false">IF(A1695="","",IFERROR(INDEX(Eleitoral!$B:$B,MATCH(A1695,Eleitoral!$A:$A,0))&amp;"","não consta"))</f>
        <v/>
      </c>
      <c r="M1695" s="28" t="str">
        <f aca="false">IF(A1695="","",IF(OR(AND(K1695&lt;&gt;"",LOWER(K1695)&lt;&gt;"não consta"),AND(L1695&lt;&gt;"",LOWER(L1695)&lt;&gt;"não consta"),IFERROR(INDEX(Empresas!$G:$G,MATCH(A1695,Empresas!$A:$A,0))&amp;"","")&lt;&gt;""),"SIM",""))</f>
        <v/>
      </c>
      <c r="N1695" s="5"/>
      <c r="O1695" s="32" t="str">
        <f aca="false">IF(D1695="","",YEAR(D1695))</f>
        <v/>
      </c>
      <c r="P1695" s="5"/>
    </row>
    <row r="1696" customFormat="false" ht="15" hidden="false" customHeight="false" outlineLevel="0" collapsed="false">
      <c r="A1696" s="27"/>
      <c r="B1696" s="5"/>
      <c r="C1696" s="35"/>
      <c r="D1696" s="18"/>
      <c r="E1696" s="5"/>
      <c r="F1696" s="14"/>
      <c r="G1696" s="5"/>
      <c r="H1696" s="27"/>
      <c r="I1696" s="5"/>
      <c r="J1696" s="19" t="str">
        <f aca="false">IF(A1696="","",IFERROR(INDEX(Empresas!$D:$D,MATCH(A1696,Empresas!$A:$A,0))&amp;"","não consta"))</f>
        <v/>
      </c>
      <c r="K1696" s="19" t="str">
        <f aca="false">IF(A1696="","",IFERROR(INDEX(Sancoes!$B:$B,MATCH(A1696,Sancoes!$A:$A,0))&amp;"","não consta"))</f>
        <v/>
      </c>
      <c r="L1696" s="19" t="str">
        <f aca="false">IF(A1696="","",IFERROR(INDEX(Eleitoral!$B:$B,MATCH(A1696,Eleitoral!$A:$A,0))&amp;"","não consta"))</f>
        <v/>
      </c>
      <c r="M1696" s="28" t="str">
        <f aca="false">IF(A1696="","",IF(OR(AND(K1696&lt;&gt;"",LOWER(K1696)&lt;&gt;"não consta"),AND(L1696&lt;&gt;"",LOWER(L1696)&lt;&gt;"não consta"),IFERROR(INDEX(Empresas!$G:$G,MATCH(A1696,Empresas!$A:$A,0))&amp;"","")&lt;&gt;""),"SIM",""))</f>
        <v/>
      </c>
      <c r="N1696" s="5"/>
      <c r="O1696" s="32" t="str">
        <f aca="false">IF(D1696="","",YEAR(D1696))</f>
        <v/>
      </c>
      <c r="P1696" s="5"/>
    </row>
    <row r="1697" customFormat="false" ht="15" hidden="false" customHeight="false" outlineLevel="0" collapsed="false">
      <c r="A1697" s="27"/>
      <c r="B1697" s="5"/>
      <c r="C1697" s="35"/>
      <c r="D1697" s="18"/>
      <c r="E1697" s="5"/>
      <c r="F1697" s="14"/>
      <c r="G1697" s="5"/>
      <c r="H1697" s="27"/>
      <c r="I1697" s="5"/>
      <c r="J1697" s="19" t="str">
        <f aca="false">IF(A1697="","",IFERROR(INDEX(Empresas!$D:$D,MATCH(A1697,Empresas!$A:$A,0))&amp;"","não consta"))</f>
        <v/>
      </c>
      <c r="K1697" s="19" t="str">
        <f aca="false">IF(A1697="","",IFERROR(INDEX(Sancoes!$B:$B,MATCH(A1697,Sancoes!$A:$A,0))&amp;"","não consta"))</f>
        <v/>
      </c>
      <c r="L1697" s="19" t="str">
        <f aca="false">IF(A1697="","",IFERROR(INDEX(Eleitoral!$B:$B,MATCH(A1697,Eleitoral!$A:$A,0))&amp;"","não consta"))</f>
        <v/>
      </c>
      <c r="M1697" s="28" t="str">
        <f aca="false">IF(A1697="","",IF(OR(AND(K1697&lt;&gt;"",LOWER(K1697)&lt;&gt;"não consta"),AND(L1697&lt;&gt;"",LOWER(L1697)&lt;&gt;"não consta"),IFERROR(INDEX(Empresas!$G:$G,MATCH(A1697,Empresas!$A:$A,0))&amp;"","")&lt;&gt;""),"SIM",""))</f>
        <v/>
      </c>
      <c r="N1697" s="5"/>
      <c r="O1697" s="32" t="str">
        <f aca="false">IF(D1697="","",YEAR(D1697))</f>
        <v/>
      </c>
      <c r="P1697" s="5"/>
    </row>
    <row r="1698" customFormat="false" ht="15" hidden="false" customHeight="false" outlineLevel="0" collapsed="false">
      <c r="A1698" s="27"/>
      <c r="B1698" s="5"/>
      <c r="C1698" s="35"/>
      <c r="D1698" s="18"/>
      <c r="E1698" s="5"/>
      <c r="F1698" s="14"/>
      <c r="G1698" s="5"/>
      <c r="H1698" s="27"/>
      <c r="I1698" s="5"/>
      <c r="J1698" s="19" t="str">
        <f aca="false">IF(A1698="","",IFERROR(INDEX(Empresas!$D:$D,MATCH(A1698,Empresas!$A:$A,0))&amp;"","não consta"))</f>
        <v/>
      </c>
      <c r="K1698" s="19" t="str">
        <f aca="false">IF(A1698="","",IFERROR(INDEX(Sancoes!$B:$B,MATCH(A1698,Sancoes!$A:$A,0))&amp;"","não consta"))</f>
        <v/>
      </c>
      <c r="L1698" s="19" t="str">
        <f aca="false">IF(A1698="","",IFERROR(INDEX(Eleitoral!$B:$B,MATCH(A1698,Eleitoral!$A:$A,0))&amp;"","não consta"))</f>
        <v/>
      </c>
      <c r="M1698" s="28" t="str">
        <f aca="false">IF(A1698="","",IF(OR(AND(K1698&lt;&gt;"",LOWER(K1698)&lt;&gt;"não consta"),AND(L1698&lt;&gt;"",LOWER(L1698)&lt;&gt;"não consta"),IFERROR(INDEX(Empresas!$G:$G,MATCH(A1698,Empresas!$A:$A,0))&amp;"","")&lt;&gt;""),"SIM",""))</f>
        <v/>
      </c>
      <c r="N1698" s="5"/>
      <c r="O1698" s="32" t="str">
        <f aca="false">IF(D1698="","",YEAR(D1698))</f>
        <v/>
      </c>
      <c r="P1698" s="5"/>
    </row>
    <row r="1699" customFormat="false" ht="15" hidden="false" customHeight="false" outlineLevel="0" collapsed="false">
      <c r="A1699" s="27"/>
      <c r="B1699" s="5"/>
      <c r="C1699" s="35"/>
      <c r="D1699" s="18"/>
      <c r="E1699" s="5"/>
      <c r="F1699" s="14"/>
      <c r="G1699" s="5"/>
      <c r="H1699" s="27"/>
      <c r="I1699" s="5"/>
      <c r="J1699" s="19" t="str">
        <f aca="false">IF(A1699="","",IFERROR(INDEX(Empresas!$D:$D,MATCH(A1699,Empresas!$A:$A,0))&amp;"","não consta"))</f>
        <v/>
      </c>
      <c r="K1699" s="19" t="str">
        <f aca="false">IF(A1699="","",IFERROR(INDEX(Sancoes!$B:$B,MATCH(A1699,Sancoes!$A:$A,0))&amp;"","não consta"))</f>
        <v/>
      </c>
      <c r="L1699" s="19" t="str">
        <f aca="false">IF(A1699="","",IFERROR(INDEX(Eleitoral!$B:$B,MATCH(A1699,Eleitoral!$A:$A,0))&amp;"","não consta"))</f>
        <v/>
      </c>
      <c r="M1699" s="28" t="str">
        <f aca="false">IF(A1699="","",IF(OR(AND(K1699&lt;&gt;"",LOWER(K1699)&lt;&gt;"não consta"),AND(L1699&lt;&gt;"",LOWER(L1699)&lt;&gt;"não consta"),IFERROR(INDEX(Empresas!$G:$G,MATCH(A1699,Empresas!$A:$A,0))&amp;"","")&lt;&gt;""),"SIM",""))</f>
        <v/>
      </c>
      <c r="N1699" s="5"/>
      <c r="O1699" s="32" t="str">
        <f aca="false">IF(D1699="","",YEAR(D1699))</f>
        <v/>
      </c>
      <c r="P1699" s="5"/>
    </row>
    <row r="1700" customFormat="false" ht="15" hidden="false" customHeight="false" outlineLevel="0" collapsed="false">
      <c r="A1700" s="27"/>
      <c r="B1700" s="5"/>
      <c r="C1700" s="35"/>
      <c r="D1700" s="18"/>
      <c r="E1700" s="5"/>
      <c r="F1700" s="14"/>
      <c r="G1700" s="5"/>
      <c r="H1700" s="27"/>
      <c r="I1700" s="5"/>
      <c r="J1700" s="19" t="str">
        <f aca="false">IF(A1700="","",IFERROR(INDEX(Empresas!$D:$D,MATCH(A1700,Empresas!$A:$A,0))&amp;"","não consta"))</f>
        <v/>
      </c>
      <c r="K1700" s="19" t="str">
        <f aca="false">IF(A1700="","",IFERROR(INDEX(Sancoes!$B:$B,MATCH(A1700,Sancoes!$A:$A,0))&amp;"","não consta"))</f>
        <v/>
      </c>
      <c r="L1700" s="19" t="str">
        <f aca="false">IF(A1700="","",IFERROR(INDEX(Eleitoral!$B:$B,MATCH(A1700,Eleitoral!$A:$A,0))&amp;"","não consta"))</f>
        <v/>
      </c>
      <c r="M1700" s="28" t="str">
        <f aca="false">IF(A1700="","",IF(OR(AND(K1700&lt;&gt;"",LOWER(K1700)&lt;&gt;"não consta"),AND(L1700&lt;&gt;"",LOWER(L1700)&lt;&gt;"não consta"),IFERROR(INDEX(Empresas!$G:$G,MATCH(A1700,Empresas!$A:$A,0))&amp;"","")&lt;&gt;""),"SIM",""))</f>
        <v/>
      </c>
      <c r="N1700" s="5"/>
      <c r="O1700" s="32" t="str">
        <f aca="false">IF(D1700="","",YEAR(D1700))</f>
        <v/>
      </c>
      <c r="P1700" s="5"/>
    </row>
    <row r="1701" customFormat="false" ht="15" hidden="false" customHeight="false" outlineLevel="0" collapsed="false">
      <c r="A1701" s="27"/>
      <c r="B1701" s="5"/>
      <c r="C1701" s="35"/>
      <c r="D1701" s="18"/>
      <c r="E1701" s="5"/>
      <c r="F1701" s="14"/>
      <c r="G1701" s="5"/>
      <c r="H1701" s="27"/>
      <c r="I1701" s="5"/>
      <c r="J1701" s="19" t="str">
        <f aca="false">IF(A1701="","",IFERROR(INDEX(Empresas!$D:$D,MATCH(A1701,Empresas!$A:$A,0))&amp;"","não consta"))</f>
        <v/>
      </c>
      <c r="K1701" s="19" t="str">
        <f aca="false">IF(A1701="","",IFERROR(INDEX(Sancoes!$B:$B,MATCH(A1701,Sancoes!$A:$A,0))&amp;"","não consta"))</f>
        <v/>
      </c>
      <c r="L1701" s="19" t="str">
        <f aca="false">IF(A1701="","",IFERROR(INDEX(Eleitoral!$B:$B,MATCH(A1701,Eleitoral!$A:$A,0))&amp;"","não consta"))</f>
        <v/>
      </c>
      <c r="M1701" s="28" t="str">
        <f aca="false">IF(A1701="","",IF(OR(AND(K1701&lt;&gt;"",LOWER(K1701)&lt;&gt;"não consta"),AND(L1701&lt;&gt;"",LOWER(L1701)&lt;&gt;"não consta"),IFERROR(INDEX(Empresas!$G:$G,MATCH(A1701,Empresas!$A:$A,0))&amp;"","")&lt;&gt;""),"SIM",""))</f>
        <v/>
      </c>
      <c r="N1701" s="5"/>
      <c r="O1701" s="32" t="str">
        <f aca="false">IF(D1701="","",YEAR(D1701))</f>
        <v/>
      </c>
      <c r="P1701" s="5"/>
    </row>
    <row r="1702" customFormat="false" ht="15" hidden="false" customHeight="false" outlineLevel="0" collapsed="false">
      <c r="A1702" s="27"/>
      <c r="B1702" s="5"/>
      <c r="C1702" s="35"/>
      <c r="D1702" s="18"/>
      <c r="E1702" s="5"/>
      <c r="F1702" s="14"/>
      <c r="G1702" s="5"/>
      <c r="H1702" s="27"/>
      <c r="I1702" s="5"/>
      <c r="J1702" s="19" t="str">
        <f aca="false">IF(A1702="","",IFERROR(INDEX(Empresas!$D:$D,MATCH(A1702,Empresas!$A:$A,0))&amp;"","não consta"))</f>
        <v/>
      </c>
      <c r="K1702" s="19" t="str">
        <f aca="false">IF(A1702="","",IFERROR(INDEX(Sancoes!$B:$B,MATCH(A1702,Sancoes!$A:$A,0))&amp;"","não consta"))</f>
        <v/>
      </c>
      <c r="L1702" s="19" t="str">
        <f aca="false">IF(A1702="","",IFERROR(INDEX(Eleitoral!$B:$B,MATCH(A1702,Eleitoral!$A:$A,0))&amp;"","não consta"))</f>
        <v/>
      </c>
      <c r="M1702" s="28" t="str">
        <f aca="false">IF(A1702="","",IF(OR(AND(K1702&lt;&gt;"",LOWER(K1702)&lt;&gt;"não consta"),AND(L1702&lt;&gt;"",LOWER(L1702)&lt;&gt;"não consta"),IFERROR(INDEX(Empresas!$G:$G,MATCH(A1702,Empresas!$A:$A,0))&amp;"","")&lt;&gt;""),"SIM",""))</f>
        <v/>
      </c>
      <c r="N1702" s="5"/>
      <c r="O1702" s="32" t="str">
        <f aca="false">IF(D1702="","",YEAR(D1702))</f>
        <v/>
      </c>
      <c r="P1702" s="5"/>
    </row>
    <row r="1703" customFormat="false" ht="15" hidden="false" customHeight="false" outlineLevel="0" collapsed="false">
      <c r="A1703" s="27"/>
      <c r="B1703" s="5"/>
      <c r="C1703" s="35"/>
      <c r="D1703" s="18"/>
      <c r="E1703" s="5"/>
      <c r="F1703" s="14"/>
      <c r="G1703" s="5"/>
      <c r="H1703" s="27"/>
      <c r="I1703" s="5"/>
      <c r="J1703" s="19" t="str">
        <f aca="false">IF(A1703="","",IFERROR(INDEX(Empresas!$D:$D,MATCH(A1703,Empresas!$A:$A,0))&amp;"","não consta"))</f>
        <v/>
      </c>
      <c r="K1703" s="19" t="str">
        <f aca="false">IF(A1703="","",IFERROR(INDEX(Sancoes!$B:$B,MATCH(A1703,Sancoes!$A:$A,0))&amp;"","não consta"))</f>
        <v/>
      </c>
      <c r="L1703" s="19" t="str">
        <f aca="false">IF(A1703="","",IFERROR(INDEX(Eleitoral!$B:$B,MATCH(A1703,Eleitoral!$A:$A,0))&amp;"","não consta"))</f>
        <v/>
      </c>
      <c r="M1703" s="28" t="str">
        <f aca="false">IF(A1703="","",IF(OR(AND(K1703&lt;&gt;"",LOWER(K1703)&lt;&gt;"não consta"),AND(L1703&lt;&gt;"",LOWER(L1703)&lt;&gt;"não consta"),IFERROR(INDEX(Empresas!$G:$G,MATCH(A1703,Empresas!$A:$A,0))&amp;"","")&lt;&gt;""),"SIM",""))</f>
        <v/>
      </c>
      <c r="N1703" s="5"/>
      <c r="O1703" s="32" t="str">
        <f aca="false">IF(D1703="","",YEAR(D1703))</f>
        <v/>
      </c>
      <c r="P1703" s="5"/>
    </row>
    <row r="1704" customFormat="false" ht="15" hidden="false" customHeight="false" outlineLevel="0" collapsed="false">
      <c r="A1704" s="27"/>
      <c r="B1704" s="5"/>
      <c r="C1704" s="35"/>
      <c r="D1704" s="18"/>
      <c r="E1704" s="5"/>
      <c r="F1704" s="14"/>
      <c r="G1704" s="5"/>
      <c r="H1704" s="27"/>
      <c r="I1704" s="5"/>
      <c r="J1704" s="19" t="str">
        <f aca="false">IF(A1704="","",IFERROR(INDEX(Empresas!$D:$D,MATCH(A1704,Empresas!$A:$A,0))&amp;"","não consta"))</f>
        <v/>
      </c>
      <c r="K1704" s="19" t="str">
        <f aca="false">IF(A1704="","",IFERROR(INDEX(Sancoes!$B:$B,MATCH(A1704,Sancoes!$A:$A,0))&amp;"","não consta"))</f>
        <v/>
      </c>
      <c r="L1704" s="19" t="str">
        <f aca="false">IF(A1704="","",IFERROR(INDEX(Eleitoral!$B:$B,MATCH(A1704,Eleitoral!$A:$A,0))&amp;"","não consta"))</f>
        <v/>
      </c>
      <c r="M1704" s="28" t="str">
        <f aca="false">IF(A1704="","",IF(OR(AND(K1704&lt;&gt;"",LOWER(K1704)&lt;&gt;"não consta"),AND(L1704&lt;&gt;"",LOWER(L1704)&lt;&gt;"não consta"),IFERROR(INDEX(Empresas!$G:$G,MATCH(A1704,Empresas!$A:$A,0))&amp;"","")&lt;&gt;""),"SIM",""))</f>
        <v/>
      </c>
      <c r="N1704" s="5"/>
      <c r="O1704" s="32" t="str">
        <f aca="false">IF(D1704="","",YEAR(D1704))</f>
        <v/>
      </c>
      <c r="P1704" s="5"/>
    </row>
    <row r="1705" customFormat="false" ht="15" hidden="false" customHeight="false" outlineLevel="0" collapsed="false">
      <c r="A1705" s="27"/>
      <c r="B1705" s="5"/>
      <c r="C1705" s="35"/>
      <c r="D1705" s="18"/>
      <c r="E1705" s="5"/>
      <c r="F1705" s="14"/>
      <c r="G1705" s="5"/>
      <c r="H1705" s="27"/>
      <c r="I1705" s="5"/>
      <c r="J1705" s="19" t="str">
        <f aca="false">IF(A1705="","",IFERROR(INDEX(Empresas!$D:$D,MATCH(A1705,Empresas!$A:$A,0))&amp;"","não consta"))</f>
        <v/>
      </c>
      <c r="K1705" s="19" t="str">
        <f aca="false">IF(A1705="","",IFERROR(INDEX(Sancoes!$B:$B,MATCH(A1705,Sancoes!$A:$A,0))&amp;"","não consta"))</f>
        <v/>
      </c>
      <c r="L1705" s="19" t="str">
        <f aca="false">IF(A1705="","",IFERROR(INDEX(Eleitoral!$B:$B,MATCH(A1705,Eleitoral!$A:$A,0))&amp;"","não consta"))</f>
        <v/>
      </c>
      <c r="M1705" s="28" t="str">
        <f aca="false">IF(A1705="","",IF(OR(AND(K1705&lt;&gt;"",LOWER(K1705)&lt;&gt;"não consta"),AND(L1705&lt;&gt;"",LOWER(L1705)&lt;&gt;"não consta"),IFERROR(INDEX(Empresas!$G:$G,MATCH(A1705,Empresas!$A:$A,0))&amp;"","")&lt;&gt;""),"SIM",""))</f>
        <v/>
      </c>
      <c r="N1705" s="5"/>
      <c r="O1705" s="32" t="str">
        <f aca="false">IF(D1705="","",YEAR(D1705))</f>
        <v/>
      </c>
      <c r="P1705" s="5"/>
    </row>
    <row r="1706" customFormat="false" ht="15" hidden="false" customHeight="false" outlineLevel="0" collapsed="false">
      <c r="A1706" s="27"/>
      <c r="B1706" s="5"/>
      <c r="C1706" s="35"/>
      <c r="D1706" s="18"/>
      <c r="E1706" s="5"/>
      <c r="F1706" s="14"/>
      <c r="G1706" s="5"/>
      <c r="H1706" s="27"/>
      <c r="I1706" s="5"/>
      <c r="J1706" s="19" t="str">
        <f aca="false">IF(A1706="","",IFERROR(INDEX(Empresas!$D:$D,MATCH(A1706,Empresas!$A:$A,0))&amp;"","não consta"))</f>
        <v/>
      </c>
      <c r="K1706" s="19" t="str">
        <f aca="false">IF(A1706="","",IFERROR(INDEX(Sancoes!$B:$B,MATCH(A1706,Sancoes!$A:$A,0))&amp;"","não consta"))</f>
        <v/>
      </c>
      <c r="L1706" s="19" t="str">
        <f aca="false">IF(A1706="","",IFERROR(INDEX(Eleitoral!$B:$B,MATCH(A1706,Eleitoral!$A:$A,0))&amp;"","não consta"))</f>
        <v/>
      </c>
      <c r="M1706" s="28" t="str">
        <f aca="false">IF(A1706="","",IF(OR(AND(K1706&lt;&gt;"",LOWER(K1706)&lt;&gt;"não consta"),AND(L1706&lt;&gt;"",LOWER(L1706)&lt;&gt;"não consta"),IFERROR(INDEX(Empresas!$G:$G,MATCH(A1706,Empresas!$A:$A,0))&amp;"","")&lt;&gt;""),"SIM",""))</f>
        <v/>
      </c>
      <c r="N1706" s="5"/>
      <c r="O1706" s="32" t="str">
        <f aca="false">IF(D1706="","",YEAR(D1706))</f>
        <v/>
      </c>
      <c r="P1706" s="5"/>
    </row>
    <row r="1707" customFormat="false" ht="15" hidden="false" customHeight="false" outlineLevel="0" collapsed="false">
      <c r="A1707" s="27"/>
      <c r="B1707" s="5"/>
      <c r="C1707" s="35"/>
      <c r="D1707" s="18"/>
      <c r="E1707" s="5"/>
      <c r="F1707" s="14"/>
      <c r="G1707" s="5"/>
      <c r="H1707" s="27"/>
      <c r="I1707" s="5"/>
      <c r="J1707" s="19" t="str">
        <f aca="false">IF(A1707="","",IFERROR(INDEX(Empresas!$D:$D,MATCH(A1707,Empresas!$A:$A,0))&amp;"","não consta"))</f>
        <v/>
      </c>
      <c r="K1707" s="19" t="str">
        <f aca="false">IF(A1707="","",IFERROR(INDEX(Sancoes!$B:$B,MATCH(A1707,Sancoes!$A:$A,0))&amp;"","não consta"))</f>
        <v/>
      </c>
      <c r="L1707" s="19" t="str">
        <f aca="false">IF(A1707="","",IFERROR(INDEX(Eleitoral!$B:$B,MATCH(A1707,Eleitoral!$A:$A,0))&amp;"","não consta"))</f>
        <v/>
      </c>
      <c r="M1707" s="28" t="str">
        <f aca="false">IF(A1707="","",IF(OR(AND(K1707&lt;&gt;"",LOWER(K1707)&lt;&gt;"não consta"),AND(L1707&lt;&gt;"",LOWER(L1707)&lt;&gt;"não consta"),IFERROR(INDEX(Empresas!$G:$G,MATCH(A1707,Empresas!$A:$A,0))&amp;"","")&lt;&gt;""),"SIM",""))</f>
        <v/>
      </c>
      <c r="N1707" s="5"/>
      <c r="O1707" s="32" t="str">
        <f aca="false">IF(D1707="","",YEAR(D1707))</f>
        <v/>
      </c>
      <c r="P1707" s="5"/>
    </row>
    <row r="1708" customFormat="false" ht="15" hidden="false" customHeight="false" outlineLevel="0" collapsed="false">
      <c r="A1708" s="27"/>
      <c r="B1708" s="5"/>
      <c r="C1708" s="35"/>
      <c r="D1708" s="18"/>
      <c r="E1708" s="5"/>
      <c r="F1708" s="14"/>
      <c r="G1708" s="5"/>
      <c r="H1708" s="27"/>
      <c r="I1708" s="5"/>
      <c r="J1708" s="19" t="str">
        <f aca="false">IF(A1708="","",IFERROR(INDEX(Empresas!$D:$D,MATCH(A1708,Empresas!$A:$A,0))&amp;"","não consta"))</f>
        <v/>
      </c>
      <c r="K1708" s="19" t="str">
        <f aca="false">IF(A1708="","",IFERROR(INDEX(Sancoes!$B:$B,MATCH(A1708,Sancoes!$A:$A,0))&amp;"","não consta"))</f>
        <v/>
      </c>
      <c r="L1708" s="19" t="str">
        <f aca="false">IF(A1708="","",IFERROR(INDEX(Eleitoral!$B:$B,MATCH(A1708,Eleitoral!$A:$A,0))&amp;"","não consta"))</f>
        <v/>
      </c>
      <c r="M1708" s="28" t="str">
        <f aca="false">IF(A1708="","",IF(OR(AND(K1708&lt;&gt;"",LOWER(K1708)&lt;&gt;"não consta"),AND(L1708&lt;&gt;"",LOWER(L1708)&lt;&gt;"não consta"),IFERROR(INDEX(Empresas!$G:$G,MATCH(A1708,Empresas!$A:$A,0))&amp;"","")&lt;&gt;""),"SIM",""))</f>
        <v/>
      </c>
      <c r="N1708" s="5"/>
      <c r="O1708" s="32" t="str">
        <f aca="false">IF(D1708="","",YEAR(D1708))</f>
        <v/>
      </c>
      <c r="P1708" s="5"/>
    </row>
    <row r="1709" customFormat="false" ht="15" hidden="false" customHeight="false" outlineLevel="0" collapsed="false">
      <c r="A1709" s="27"/>
      <c r="B1709" s="5"/>
      <c r="C1709" s="35"/>
      <c r="D1709" s="18"/>
      <c r="E1709" s="5"/>
      <c r="F1709" s="14"/>
      <c r="G1709" s="5"/>
      <c r="H1709" s="27"/>
      <c r="I1709" s="5"/>
      <c r="J1709" s="19" t="str">
        <f aca="false">IF(A1709="","",IFERROR(INDEX(Empresas!$D:$D,MATCH(A1709,Empresas!$A:$A,0))&amp;"","não consta"))</f>
        <v/>
      </c>
      <c r="K1709" s="19" t="str">
        <f aca="false">IF(A1709="","",IFERROR(INDEX(Sancoes!$B:$B,MATCH(A1709,Sancoes!$A:$A,0))&amp;"","não consta"))</f>
        <v/>
      </c>
      <c r="L1709" s="19" t="str">
        <f aca="false">IF(A1709="","",IFERROR(INDEX(Eleitoral!$B:$B,MATCH(A1709,Eleitoral!$A:$A,0))&amp;"","não consta"))</f>
        <v/>
      </c>
      <c r="M1709" s="28" t="str">
        <f aca="false">IF(A1709="","",IF(OR(AND(K1709&lt;&gt;"",LOWER(K1709)&lt;&gt;"não consta"),AND(L1709&lt;&gt;"",LOWER(L1709)&lt;&gt;"não consta"),IFERROR(INDEX(Empresas!$G:$G,MATCH(A1709,Empresas!$A:$A,0))&amp;"","")&lt;&gt;""),"SIM",""))</f>
        <v/>
      </c>
      <c r="N1709" s="5"/>
      <c r="O1709" s="32" t="str">
        <f aca="false">IF(D1709="","",YEAR(D1709))</f>
        <v/>
      </c>
      <c r="P1709" s="5"/>
    </row>
    <row r="1710" customFormat="false" ht="15" hidden="false" customHeight="false" outlineLevel="0" collapsed="false">
      <c r="A1710" s="27"/>
      <c r="B1710" s="5"/>
      <c r="C1710" s="35"/>
      <c r="D1710" s="18"/>
      <c r="E1710" s="5"/>
      <c r="F1710" s="14"/>
      <c r="G1710" s="5"/>
      <c r="H1710" s="27"/>
      <c r="I1710" s="5"/>
      <c r="J1710" s="19" t="str">
        <f aca="false">IF(A1710="","",IFERROR(INDEX(Empresas!$D:$D,MATCH(A1710,Empresas!$A:$A,0))&amp;"","não consta"))</f>
        <v/>
      </c>
      <c r="K1710" s="19" t="str">
        <f aca="false">IF(A1710="","",IFERROR(INDEX(Sancoes!$B:$B,MATCH(A1710,Sancoes!$A:$A,0))&amp;"","não consta"))</f>
        <v/>
      </c>
      <c r="L1710" s="19" t="str">
        <f aca="false">IF(A1710="","",IFERROR(INDEX(Eleitoral!$B:$B,MATCH(A1710,Eleitoral!$A:$A,0))&amp;"","não consta"))</f>
        <v/>
      </c>
      <c r="M1710" s="28" t="str">
        <f aca="false">IF(A1710="","",IF(OR(AND(K1710&lt;&gt;"",LOWER(K1710)&lt;&gt;"não consta"),AND(L1710&lt;&gt;"",LOWER(L1710)&lt;&gt;"não consta"),IFERROR(INDEX(Empresas!$G:$G,MATCH(A1710,Empresas!$A:$A,0))&amp;"","")&lt;&gt;""),"SIM",""))</f>
        <v/>
      </c>
      <c r="N1710" s="5"/>
      <c r="O1710" s="32" t="str">
        <f aca="false">IF(D1710="","",YEAR(D1710))</f>
        <v/>
      </c>
      <c r="P1710" s="5"/>
    </row>
    <row r="1711" customFormat="false" ht="15" hidden="false" customHeight="false" outlineLevel="0" collapsed="false">
      <c r="A1711" s="27"/>
      <c r="B1711" s="5"/>
      <c r="C1711" s="35"/>
      <c r="D1711" s="18"/>
      <c r="E1711" s="5"/>
      <c r="F1711" s="14"/>
      <c r="G1711" s="5"/>
      <c r="H1711" s="27"/>
      <c r="I1711" s="5"/>
      <c r="J1711" s="19" t="str">
        <f aca="false">IF(A1711="","",IFERROR(INDEX(Empresas!$D:$D,MATCH(A1711,Empresas!$A:$A,0))&amp;"","não consta"))</f>
        <v/>
      </c>
      <c r="K1711" s="19" t="str">
        <f aca="false">IF(A1711="","",IFERROR(INDEX(Sancoes!$B:$B,MATCH(A1711,Sancoes!$A:$A,0))&amp;"","não consta"))</f>
        <v/>
      </c>
      <c r="L1711" s="19" t="str">
        <f aca="false">IF(A1711="","",IFERROR(INDEX(Eleitoral!$B:$B,MATCH(A1711,Eleitoral!$A:$A,0))&amp;"","não consta"))</f>
        <v/>
      </c>
      <c r="M1711" s="28" t="str">
        <f aca="false">IF(A1711="","",IF(OR(AND(K1711&lt;&gt;"",LOWER(K1711)&lt;&gt;"não consta"),AND(L1711&lt;&gt;"",LOWER(L1711)&lt;&gt;"não consta"),IFERROR(INDEX(Empresas!$G:$G,MATCH(A1711,Empresas!$A:$A,0))&amp;"","")&lt;&gt;""),"SIM",""))</f>
        <v/>
      </c>
      <c r="N1711" s="5"/>
      <c r="O1711" s="32" t="str">
        <f aca="false">IF(D1711="","",YEAR(D1711))</f>
        <v/>
      </c>
      <c r="P1711" s="5"/>
    </row>
    <row r="1712" customFormat="false" ht="15" hidden="false" customHeight="false" outlineLevel="0" collapsed="false">
      <c r="A1712" s="27"/>
      <c r="B1712" s="5"/>
      <c r="C1712" s="35"/>
      <c r="D1712" s="18"/>
      <c r="E1712" s="5"/>
      <c r="F1712" s="14"/>
      <c r="G1712" s="5"/>
      <c r="H1712" s="27"/>
      <c r="I1712" s="5"/>
      <c r="J1712" s="19" t="str">
        <f aca="false">IF(A1712="","",IFERROR(INDEX(Empresas!$D:$D,MATCH(A1712,Empresas!$A:$A,0))&amp;"","não consta"))</f>
        <v/>
      </c>
      <c r="K1712" s="19" t="str">
        <f aca="false">IF(A1712="","",IFERROR(INDEX(Sancoes!$B:$B,MATCH(A1712,Sancoes!$A:$A,0))&amp;"","não consta"))</f>
        <v/>
      </c>
      <c r="L1712" s="19" t="str">
        <f aca="false">IF(A1712="","",IFERROR(INDEX(Eleitoral!$B:$B,MATCH(A1712,Eleitoral!$A:$A,0))&amp;"","não consta"))</f>
        <v/>
      </c>
      <c r="M1712" s="28" t="str">
        <f aca="false">IF(A1712="","",IF(OR(AND(K1712&lt;&gt;"",LOWER(K1712)&lt;&gt;"não consta"),AND(L1712&lt;&gt;"",LOWER(L1712)&lt;&gt;"não consta"),IFERROR(INDEX(Empresas!$G:$G,MATCH(A1712,Empresas!$A:$A,0))&amp;"","")&lt;&gt;""),"SIM",""))</f>
        <v/>
      </c>
      <c r="N1712" s="5"/>
      <c r="O1712" s="32" t="str">
        <f aca="false">IF(D1712="","",YEAR(D1712))</f>
        <v/>
      </c>
      <c r="P1712" s="5"/>
    </row>
    <row r="1713" customFormat="false" ht="15" hidden="false" customHeight="false" outlineLevel="0" collapsed="false">
      <c r="A1713" s="27"/>
      <c r="B1713" s="5"/>
      <c r="C1713" s="35"/>
      <c r="D1713" s="18"/>
      <c r="E1713" s="5"/>
      <c r="F1713" s="14"/>
      <c r="G1713" s="5"/>
      <c r="H1713" s="27"/>
      <c r="I1713" s="5"/>
      <c r="J1713" s="19" t="str">
        <f aca="false">IF(A1713="","",IFERROR(INDEX(Empresas!$D:$D,MATCH(A1713,Empresas!$A:$A,0))&amp;"","não consta"))</f>
        <v/>
      </c>
      <c r="K1713" s="19" t="str">
        <f aca="false">IF(A1713="","",IFERROR(INDEX(Sancoes!$B:$B,MATCH(A1713,Sancoes!$A:$A,0))&amp;"","não consta"))</f>
        <v/>
      </c>
      <c r="L1713" s="19" t="str">
        <f aca="false">IF(A1713="","",IFERROR(INDEX(Eleitoral!$B:$B,MATCH(A1713,Eleitoral!$A:$A,0))&amp;"","não consta"))</f>
        <v/>
      </c>
      <c r="M1713" s="28" t="str">
        <f aca="false">IF(A1713="","",IF(OR(AND(K1713&lt;&gt;"",LOWER(K1713)&lt;&gt;"não consta"),AND(L1713&lt;&gt;"",LOWER(L1713)&lt;&gt;"não consta"),IFERROR(INDEX(Empresas!$G:$G,MATCH(A1713,Empresas!$A:$A,0))&amp;"","")&lt;&gt;""),"SIM",""))</f>
        <v/>
      </c>
      <c r="N1713" s="5"/>
      <c r="O1713" s="32" t="str">
        <f aca="false">IF(D1713="","",YEAR(D1713))</f>
        <v/>
      </c>
      <c r="P1713" s="5"/>
    </row>
    <row r="1714" customFormat="false" ht="15" hidden="false" customHeight="false" outlineLevel="0" collapsed="false">
      <c r="A1714" s="27"/>
      <c r="B1714" s="5"/>
      <c r="C1714" s="35"/>
      <c r="D1714" s="18"/>
      <c r="E1714" s="5"/>
      <c r="F1714" s="14"/>
      <c r="G1714" s="5"/>
      <c r="H1714" s="27"/>
      <c r="I1714" s="5"/>
      <c r="J1714" s="19" t="str">
        <f aca="false">IF(A1714="","",IFERROR(INDEX(Empresas!$D:$D,MATCH(A1714,Empresas!$A:$A,0))&amp;"","não consta"))</f>
        <v/>
      </c>
      <c r="K1714" s="19" t="str">
        <f aca="false">IF(A1714="","",IFERROR(INDEX(Sancoes!$B:$B,MATCH(A1714,Sancoes!$A:$A,0))&amp;"","não consta"))</f>
        <v/>
      </c>
      <c r="L1714" s="19" t="str">
        <f aca="false">IF(A1714="","",IFERROR(INDEX(Eleitoral!$B:$B,MATCH(A1714,Eleitoral!$A:$A,0))&amp;"","não consta"))</f>
        <v/>
      </c>
      <c r="M1714" s="28" t="str">
        <f aca="false">IF(A1714="","",IF(OR(AND(K1714&lt;&gt;"",LOWER(K1714)&lt;&gt;"não consta"),AND(L1714&lt;&gt;"",LOWER(L1714)&lt;&gt;"não consta"),IFERROR(INDEX(Empresas!$G:$G,MATCH(A1714,Empresas!$A:$A,0))&amp;"","")&lt;&gt;""),"SIM",""))</f>
        <v/>
      </c>
      <c r="N1714" s="5"/>
      <c r="O1714" s="32" t="str">
        <f aca="false">IF(D1714="","",YEAR(D1714))</f>
        <v/>
      </c>
      <c r="P1714" s="5"/>
    </row>
    <row r="1715" customFormat="false" ht="15" hidden="false" customHeight="false" outlineLevel="0" collapsed="false">
      <c r="A1715" s="27"/>
      <c r="B1715" s="5"/>
      <c r="C1715" s="35"/>
      <c r="D1715" s="18"/>
      <c r="E1715" s="5"/>
      <c r="F1715" s="14"/>
      <c r="G1715" s="5"/>
      <c r="H1715" s="27"/>
      <c r="I1715" s="5"/>
      <c r="J1715" s="19" t="str">
        <f aca="false">IF(A1715="","",IFERROR(INDEX(Empresas!$D:$D,MATCH(A1715,Empresas!$A:$A,0))&amp;"","não consta"))</f>
        <v/>
      </c>
      <c r="K1715" s="19" t="str">
        <f aca="false">IF(A1715="","",IFERROR(INDEX(Sancoes!$B:$B,MATCH(A1715,Sancoes!$A:$A,0))&amp;"","não consta"))</f>
        <v/>
      </c>
      <c r="L1715" s="19" t="str">
        <f aca="false">IF(A1715="","",IFERROR(INDEX(Eleitoral!$B:$B,MATCH(A1715,Eleitoral!$A:$A,0))&amp;"","não consta"))</f>
        <v/>
      </c>
      <c r="M1715" s="28" t="str">
        <f aca="false">IF(A1715="","",IF(OR(AND(K1715&lt;&gt;"",LOWER(K1715)&lt;&gt;"não consta"),AND(L1715&lt;&gt;"",LOWER(L1715)&lt;&gt;"não consta"),IFERROR(INDEX(Empresas!$G:$G,MATCH(A1715,Empresas!$A:$A,0))&amp;"","")&lt;&gt;""),"SIM",""))</f>
        <v/>
      </c>
      <c r="N1715" s="5"/>
      <c r="O1715" s="32" t="str">
        <f aca="false">IF(D1715="","",YEAR(D1715))</f>
        <v/>
      </c>
      <c r="P1715" s="5"/>
    </row>
    <row r="1716" customFormat="false" ht="15" hidden="false" customHeight="false" outlineLevel="0" collapsed="false">
      <c r="A1716" s="27"/>
      <c r="B1716" s="5"/>
      <c r="C1716" s="35"/>
      <c r="D1716" s="18"/>
      <c r="E1716" s="5"/>
      <c r="F1716" s="14"/>
      <c r="G1716" s="5"/>
      <c r="H1716" s="27"/>
      <c r="I1716" s="5"/>
      <c r="J1716" s="19" t="str">
        <f aca="false">IF(A1716="","",IFERROR(INDEX(Empresas!$D:$D,MATCH(A1716,Empresas!$A:$A,0))&amp;"","não consta"))</f>
        <v/>
      </c>
      <c r="K1716" s="19" t="str">
        <f aca="false">IF(A1716="","",IFERROR(INDEX(Sancoes!$B:$B,MATCH(A1716,Sancoes!$A:$A,0))&amp;"","não consta"))</f>
        <v/>
      </c>
      <c r="L1716" s="19" t="str">
        <f aca="false">IF(A1716="","",IFERROR(INDEX(Eleitoral!$B:$B,MATCH(A1716,Eleitoral!$A:$A,0))&amp;"","não consta"))</f>
        <v/>
      </c>
      <c r="M1716" s="28" t="str">
        <f aca="false">IF(A1716="","",IF(OR(AND(K1716&lt;&gt;"",LOWER(K1716)&lt;&gt;"não consta"),AND(L1716&lt;&gt;"",LOWER(L1716)&lt;&gt;"não consta"),IFERROR(INDEX(Empresas!$G:$G,MATCH(A1716,Empresas!$A:$A,0))&amp;"","")&lt;&gt;""),"SIM",""))</f>
        <v/>
      </c>
      <c r="N1716" s="5"/>
      <c r="O1716" s="32" t="str">
        <f aca="false">IF(D1716="","",YEAR(D1716))</f>
        <v/>
      </c>
      <c r="P1716" s="5"/>
    </row>
    <row r="1717" customFormat="false" ht="15" hidden="false" customHeight="false" outlineLevel="0" collapsed="false">
      <c r="A1717" s="27"/>
      <c r="B1717" s="5"/>
      <c r="C1717" s="35"/>
      <c r="D1717" s="18"/>
      <c r="E1717" s="5"/>
      <c r="F1717" s="14"/>
      <c r="G1717" s="5"/>
      <c r="H1717" s="27"/>
      <c r="I1717" s="5"/>
      <c r="J1717" s="19" t="str">
        <f aca="false">IF(A1717="","",IFERROR(INDEX(Empresas!$D:$D,MATCH(A1717,Empresas!$A:$A,0))&amp;"","não consta"))</f>
        <v/>
      </c>
      <c r="K1717" s="19" t="str">
        <f aca="false">IF(A1717="","",IFERROR(INDEX(Sancoes!$B:$B,MATCH(A1717,Sancoes!$A:$A,0))&amp;"","não consta"))</f>
        <v/>
      </c>
      <c r="L1717" s="19" t="str">
        <f aca="false">IF(A1717="","",IFERROR(INDEX(Eleitoral!$B:$B,MATCH(A1717,Eleitoral!$A:$A,0))&amp;"","não consta"))</f>
        <v/>
      </c>
      <c r="M1717" s="28" t="str">
        <f aca="false">IF(A1717="","",IF(OR(AND(K1717&lt;&gt;"",LOWER(K1717)&lt;&gt;"não consta"),AND(L1717&lt;&gt;"",LOWER(L1717)&lt;&gt;"não consta"),IFERROR(INDEX(Empresas!$G:$G,MATCH(A1717,Empresas!$A:$A,0))&amp;"","")&lt;&gt;""),"SIM",""))</f>
        <v/>
      </c>
      <c r="N1717" s="5"/>
      <c r="O1717" s="32" t="str">
        <f aca="false">IF(D1717="","",YEAR(D1717))</f>
        <v/>
      </c>
      <c r="P1717" s="5"/>
    </row>
    <row r="1718" customFormat="false" ht="15" hidden="false" customHeight="false" outlineLevel="0" collapsed="false">
      <c r="A1718" s="27"/>
      <c r="B1718" s="5"/>
      <c r="C1718" s="35"/>
      <c r="D1718" s="18"/>
      <c r="E1718" s="5"/>
      <c r="F1718" s="14"/>
      <c r="G1718" s="5"/>
      <c r="H1718" s="27"/>
      <c r="I1718" s="5"/>
      <c r="J1718" s="19" t="str">
        <f aca="false">IF(A1718="","",IFERROR(INDEX(Empresas!$D:$D,MATCH(A1718,Empresas!$A:$A,0))&amp;"","não consta"))</f>
        <v/>
      </c>
      <c r="K1718" s="19" t="str">
        <f aca="false">IF(A1718="","",IFERROR(INDEX(Sancoes!$B:$B,MATCH(A1718,Sancoes!$A:$A,0))&amp;"","não consta"))</f>
        <v/>
      </c>
      <c r="L1718" s="19" t="str">
        <f aca="false">IF(A1718="","",IFERROR(INDEX(Eleitoral!$B:$B,MATCH(A1718,Eleitoral!$A:$A,0))&amp;"","não consta"))</f>
        <v/>
      </c>
      <c r="M1718" s="28" t="str">
        <f aca="false">IF(A1718="","",IF(OR(AND(K1718&lt;&gt;"",LOWER(K1718)&lt;&gt;"não consta"),AND(L1718&lt;&gt;"",LOWER(L1718)&lt;&gt;"não consta"),IFERROR(INDEX(Empresas!$G:$G,MATCH(A1718,Empresas!$A:$A,0))&amp;"","")&lt;&gt;""),"SIM",""))</f>
        <v/>
      </c>
      <c r="N1718" s="5"/>
      <c r="O1718" s="32" t="str">
        <f aca="false">IF(D1718="","",YEAR(D1718))</f>
        <v/>
      </c>
      <c r="P1718" s="5"/>
    </row>
    <row r="1719" customFormat="false" ht="15" hidden="false" customHeight="false" outlineLevel="0" collapsed="false">
      <c r="A1719" s="27"/>
      <c r="B1719" s="5"/>
      <c r="C1719" s="35"/>
      <c r="D1719" s="18"/>
      <c r="E1719" s="5"/>
      <c r="F1719" s="14"/>
      <c r="G1719" s="5"/>
      <c r="H1719" s="27"/>
      <c r="I1719" s="5"/>
      <c r="J1719" s="19" t="str">
        <f aca="false">IF(A1719="","",IFERROR(INDEX(Empresas!$D:$D,MATCH(A1719,Empresas!$A:$A,0))&amp;"","não consta"))</f>
        <v/>
      </c>
      <c r="K1719" s="19" t="str">
        <f aca="false">IF(A1719="","",IFERROR(INDEX(Sancoes!$B:$B,MATCH(A1719,Sancoes!$A:$A,0))&amp;"","não consta"))</f>
        <v/>
      </c>
      <c r="L1719" s="19" t="str">
        <f aca="false">IF(A1719="","",IFERROR(INDEX(Eleitoral!$B:$B,MATCH(A1719,Eleitoral!$A:$A,0))&amp;"","não consta"))</f>
        <v/>
      </c>
      <c r="M1719" s="28" t="str">
        <f aca="false">IF(A1719="","",IF(OR(AND(K1719&lt;&gt;"",LOWER(K1719)&lt;&gt;"não consta"),AND(L1719&lt;&gt;"",LOWER(L1719)&lt;&gt;"não consta"),IFERROR(INDEX(Empresas!$G:$G,MATCH(A1719,Empresas!$A:$A,0))&amp;"","")&lt;&gt;""),"SIM",""))</f>
        <v/>
      </c>
      <c r="N1719" s="5"/>
      <c r="O1719" s="32" t="str">
        <f aca="false">IF(D1719="","",YEAR(D1719))</f>
        <v/>
      </c>
      <c r="P1719" s="5"/>
    </row>
    <row r="1720" customFormat="false" ht="15" hidden="false" customHeight="false" outlineLevel="0" collapsed="false">
      <c r="A1720" s="27"/>
      <c r="B1720" s="5"/>
      <c r="C1720" s="35"/>
      <c r="D1720" s="18"/>
      <c r="E1720" s="5"/>
      <c r="F1720" s="14"/>
      <c r="G1720" s="5"/>
      <c r="H1720" s="27"/>
      <c r="I1720" s="5"/>
      <c r="J1720" s="19" t="str">
        <f aca="false">IF(A1720="","",IFERROR(INDEX(Empresas!$D:$D,MATCH(A1720,Empresas!$A:$A,0))&amp;"","não consta"))</f>
        <v/>
      </c>
      <c r="K1720" s="19" t="str">
        <f aca="false">IF(A1720="","",IFERROR(INDEX(Sancoes!$B:$B,MATCH(A1720,Sancoes!$A:$A,0))&amp;"","não consta"))</f>
        <v/>
      </c>
      <c r="L1720" s="19" t="str">
        <f aca="false">IF(A1720="","",IFERROR(INDEX(Eleitoral!$B:$B,MATCH(A1720,Eleitoral!$A:$A,0))&amp;"","não consta"))</f>
        <v/>
      </c>
      <c r="M1720" s="28" t="str">
        <f aca="false">IF(A1720="","",IF(OR(AND(K1720&lt;&gt;"",LOWER(K1720)&lt;&gt;"não consta"),AND(L1720&lt;&gt;"",LOWER(L1720)&lt;&gt;"não consta"),IFERROR(INDEX(Empresas!$G:$G,MATCH(A1720,Empresas!$A:$A,0))&amp;"","")&lt;&gt;""),"SIM",""))</f>
        <v/>
      </c>
      <c r="N1720" s="5"/>
      <c r="O1720" s="32" t="str">
        <f aca="false">IF(D1720="","",YEAR(D1720))</f>
        <v/>
      </c>
      <c r="P1720" s="5"/>
    </row>
    <row r="1721" customFormat="false" ht="15" hidden="false" customHeight="false" outlineLevel="0" collapsed="false">
      <c r="A1721" s="27"/>
      <c r="B1721" s="5"/>
      <c r="C1721" s="35"/>
      <c r="D1721" s="18"/>
      <c r="E1721" s="5"/>
      <c r="F1721" s="14"/>
      <c r="G1721" s="5"/>
      <c r="H1721" s="27"/>
      <c r="I1721" s="5"/>
      <c r="J1721" s="19" t="str">
        <f aca="false">IF(A1721="","",IFERROR(INDEX(Empresas!$D:$D,MATCH(A1721,Empresas!$A:$A,0))&amp;"","não consta"))</f>
        <v/>
      </c>
      <c r="K1721" s="19" t="str">
        <f aca="false">IF(A1721="","",IFERROR(INDEX(Sancoes!$B:$B,MATCH(A1721,Sancoes!$A:$A,0))&amp;"","não consta"))</f>
        <v/>
      </c>
      <c r="L1721" s="19" t="str">
        <f aca="false">IF(A1721="","",IFERROR(INDEX(Eleitoral!$B:$B,MATCH(A1721,Eleitoral!$A:$A,0))&amp;"","não consta"))</f>
        <v/>
      </c>
      <c r="M1721" s="28" t="str">
        <f aca="false">IF(A1721="","",IF(OR(AND(K1721&lt;&gt;"",LOWER(K1721)&lt;&gt;"não consta"),AND(L1721&lt;&gt;"",LOWER(L1721)&lt;&gt;"não consta"),IFERROR(INDEX(Empresas!$G:$G,MATCH(A1721,Empresas!$A:$A,0))&amp;"","")&lt;&gt;""),"SIM",""))</f>
        <v/>
      </c>
      <c r="N1721" s="5"/>
      <c r="O1721" s="32" t="str">
        <f aca="false">IF(D1721="","",YEAR(D1721))</f>
        <v/>
      </c>
      <c r="P1721" s="5"/>
    </row>
    <row r="1722" customFormat="false" ht="15" hidden="false" customHeight="false" outlineLevel="0" collapsed="false">
      <c r="A1722" s="27"/>
      <c r="B1722" s="5"/>
      <c r="C1722" s="35"/>
      <c r="D1722" s="18"/>
      <c r="E1722" s="5"/>
      <c r="F1722" s="14"/>
      <c r="G1722" s="5"/>
      <c r="H1722" s="27"/>
      <c r="I1722" s="5"/>
      <c r="J1722" s="19" t="str">
        <f aca="false">IF(A1722="","",IFERROR(INDEX(Empresas!$D:$D,MATCH(A1722,Empresas!$A:$A,0))&amp;"","não consta"))</f>
        <v/>
      </c>
      <c r="K1722" s="19" t="str">
        <f aca="false">IF(A1722="","",IFERROR(INDEX(Sancoes!$B:$B,MATCH(A1722,Sancoes!$A:$A,0))&amp;"","não consta"))</f>
        <v/>
      </c>
      <c r="L1722" s="19" t="str">
        <f aca="false">IF(A1722="","",IFERROR(INDEX(Eleitoral!$B:$B,MATCH(A1722,Eleitoral!$A:$A,0))&amp;"","não consta"))</f>
        <v/>
      </c>
      <c r="M1722" s="28" t="str">
        <f aca="false">IF(A1722="","",IF(OR(AND(K1722&lt;&gt;"",LOWER(K1722)&lt;&gt;"não consta"),AND(L1722&lt;&gt;"",LOWER(L1722)&lt;&gt;"não consta"),IFERROR(INDEX(Empresas!$G:$G,MATCH(A1722,Empresas!$A:$A,0))&amp;"","")&lt;&gt;""),"SIM",""))</f>
        <v/>
      </c>
      <c r="N1722" s="5"/>
      <c r="O1722" s="32" t="str">
        <f aca="false">IF(D1722="","",YEAR(D1722))</f>
        <v/>
      </c>
      <c r="P1722" s="5"/>
    </row>
    <row r="1723" customFormat="false" ht="15" hidden="false" customHeight="false" outlineLevel="0" collapsed="false">
      <c r="A1723" s="27"/>
      <c r="B1723" s="5"/>
      <c r="C1723" s="35"/>
      <c r="D1723" s="18"/>
      <c r="E1723" s="5"/>
      <c r="F1723" s="14"/>
      <c r="G1723" s="5"/>
      <c r="H1723" s="27"/>
      <c r="I1723" s="5"/>
      <c r="J1723" s="19" t="str">
        <f aca="false">IF(A1723="","",IFERROR(INDEX(Empresas!$D:$D,MATCH(A1723,Empresas!$A:$A,0))&amp;"","não consta"))</f>
        <v/>
      </c>
      <c r="K1723" s="19" t="str">
        <f aca="false">IF(A1723="","",IFERROR(INDEX(Sancoes!$B:$B,MATCH(A1723,Sancoes!$A:$A,0))&amp;"","não consta"))</f>
        <v/>
      </c>
      <c r="L1723" s="19" t="str">
        <f aca="false">IF(A1723="","",IFERROR(INDEX(Eleitoral!$B:$B,MATCH(A1723,Eleitoral!$A:$A,0))&amp;"","não consta"))</f>
        <v/>
      </c>
      <c r="M1723" s="28" t="str">
        <f aca="false">IF(A1723="","",IF(OR(AND(K1723&lt;&gt;"",LOWER(K1723)&lt;&gt;"não consta"),AND(L1723&lt;&gt;"",LOWER(L1723)&lt;&gt;"não consta"),IFERROR(INDEX(Empresas!$G:$G,MATCH(A1723,Empresas!$A:$A,0))&amp;"","")&lt;&gt;""),"SIM",""))</f>
        <v/>
      </c>
      <c r="N1723" s="5"/>
      <c r="O1723" s="32" t="str">
        <f aca="false">IF(D1723="","",YEAR(D1723))</f>
        <v/>
      </c>
      <c r="P1723" s="5"/>
    </row>
    <row r="1724" customFormat="false" ht="15" hidden="false" customHeight="false" outlineLevel="0" collapsed="false">
      <c r="A1724" s="27"/>
      <c r="B1724" s="5"/>
      <c r="C1724" s="35"/>
      <c r="D1724" s="18"/>
      <c r="E1724" s="5"/>
      <c r="F1724" s="14"/>
      <c r="G1724" s="5"/>
      <c r="H1724" s="27"/>
      <c r="I1724" s="5"/>
      <c r="J1724" s="19" t="str">
        <f aca="false">IF(A1724="","",IFERROR(INDEX(Empresas!$D:$D,MATCH(A1724,Empresas!$A:$A,0))&amp;"","não consta"))</f>
        <v/>
      </c>
      <c r="K1724" s="19" t="str">
        <f aca="false">IF(A1724="","",IFERROR(INDEX(Sancoes!$B:$B,MATCH(A1724,Sancoes!$A:$A,0))&amp;"","não consta"))</f>
        <v/>
      </c>
      <c r="L1724" s="19" t="str">
        <f aca="false">IF(A1724="","",IFERROR(INDEX(Eleitoral!$B:$B,MATCH(A1724,Eleitoral!$A:$A,0))&amp;"","não consta"))</f>
        <v/>
      </c>
      <c r="M1724" s="28" t="str">
        <f aca="false">IF(A1724="","",IF(OR(AND(K1724&lt;&gt;"",LOWER(K1724)&lt;&gt;"não consta"),AND(L1724&lt;&gt;"",LOWER(L1724)&lt;&gt;"não consta"),IFERROR(INDEX(Empresas!$G:$G,MATCH(A1724,Empresas!$A:$A,0))&amp;"","")&lt;&gt;""),"SIM",""))</f>
        <v/>
      </c>
      <c r="N1724" s="5"/>
      <c r="O1724" s="32" t="str">
        <f aca="false">IF(D1724="","",YEAR(D1724))</f>
        <v/>
      </c>
      <c r="P1724" s="5"/>
    </row>
    <row r="1725" customFormat="false" ht="15" hidden="false" customHeight="false" outlineLevel="0" collapsed="false">
      <c r="A1725" s="27"/>
      <c r="B1725" s="5"/>
      <c r="C1725" s="35"/>
      <c r="D1725" s="18"/>
      <c r="E1725" s="5"/>
      <c r="F1725" s="14"/>
      <c r="G1725" s="5"/>
      <c r="H1725" s="27"/>
      <c r="I1725" s="5"/>
      <c r="J1725" s="19" t="str">
        <f aca="false">IF(A1725="","",IFERROR(INDEX(Empresas!$D:$D,MATCH(A1725,Empresas!$A:$A,0))&amp;"","não consta"))</f>
        <v/>
      </c>
      <c r="K1725" s="19" t="str">
        <f aca="false">IF(A1725="","",IFERROR(INDEX(Sancoes!$B:$B,MATCH(A1725,Sancoes!$A:$A,0))&amp;"","não consta"))</f>
        <v/>
      </c>
      <c r="L1725" s="19" t="str">
        <f aca="false">IF(A1725="","",IFERROR(INDEX(Eleitoral!$B:$B,MATCH(A1725,Eleitoral!$A:$A,0))&amp;"","não consta"))</f>
        <v/>
      </c>
      <c r="M1725" s="28" t="str">
        <f aca="false">IF(A1725="","",IF(OR(AND(K1725&lt;&gt;"",LOWER(K1725)&lt;&gt;"não consta"),AND(L1725&lt;&gt;"",LOWER(L1725)&lt;&gt;"não consta"),IFERROR(INDEX(Empresas!$G:$G,MATCH(A1725,Empresas!$A:$A,0))&amp;"","")&lt;&gt;""),"SIM",""))</f>
        <v/>
      </c>
      <c r="N1725" s="5"/>
      <c r="O1725" s="32" t="str">
        <f aca="false">IF(D1725="","",YEAR(D1725))</f>
        <v/>
      </c>
      <c r="P1725" s="5"/>
    </row>
    <row r="1726" customFormat="false" ht="15" hidden="false" customHeight="false" outlineLevel="0" collapsed="false">
      <c r="A1726" s="27"/>
      <c r="B1726" s="5"/>
      <c r="C1726" s="35"/>
      <c r="D1726" s="18"/>
      <c r="E1726" s="5"/>
      <c r="F1726" s="14"/>
      <c r="G1726" s="5"/>
      <c r="H1726" s="27"/>
      <c r="I1726" s="5"/>
      <c r="J1726" s="19" t="str">
        <f aca="false">IF(A1726="","",IFERROR(INDEX(Empresas!$D:$D,MATCH(A1726,Empresas!$A:$A,0))&amp;"","não consta"))</f>
        <v/>
      </c>
      <c r="K1726" s="19" t="str">
        <f aca="false">IF(A1726="","",IFERROR(INDEX(Sancoes!$B:$B,MATCH(A1726,Sancoes!$A:$A,0))&amp;"","não consta"))</f>
        <v/>
      </c>
      <c r="L1726" s="19" t="str">
        <f aca="false">IF(A1726="","",IFERROR(INDEX(Eleitoral!$B:$B,MATCH(A1726,Eleitoral!$A:$A,0))&amp;"","não consta"))</f>
        <v/>
      </c>
      <c r="M1726" s="28" t="str">
        <f aca="false">IF(A1726="","",IF(OR(AND(K1726&lt;&gt;"",LOWER(K1726)&lt;&gt;"não consta"),AND(L1726&lt;&gt;"",LOWER(L1726)&lt;&gt;"não consta"),IFERROR(INDEX(Empresas!$G:$G,MATCH(A1726,Empresas!$A:$A,0))&amp;"","")&lt;&gt;""),"SIM",""))</f>
        <v/>
      </c>
      <c r="N1726" s="5"/>
      <c r="O1726" s="32" t="str">
        <f aca="false">IF(D1726="","",YEAR(D1726))</f>
        <v/>
      </c>
      <c r="P1726" s="5"/>
    </row>
    <row r="1727" customFormat="false" ht="15" hidden="false" customHeight="false" outlineLevel="0" collapsed="false">
      <c r="A1727" s="27"/>
      <c r="B1727" s="5"/>
      <c r="C1727" s="35"/>
      <c r="D1727" s="18"/>
      <c r="E1727" s="5"/>
      <c r="F1727" s="14"/>
      <c r="G1727" s="5"/>
      <c r="H1727" s="27"/>
      <c r="I1727" s="5"/>
      <c r="J1727" s="19" t="str">
        <f aca="false">IF(A1727="","",IFERROR(INDEX(Empresas!$D:$D,MATCH(A1727,Empresas!$A:$A,0))&amp;"","não consta"))</f>
        <v/>
      </c>
      <c r="K1727" s="19" t="str">
        <f aca="false">IF(A1727="","",IFERROR(INDEX(Sancoes!$B:$B,MATCH(A1727,Sancoes!$A:$A,0))&amp;"","não consta"))</f>
        <v/>
      </c>
      <c r="L1727" s="19" t="str">
        <f aca="false">IF(A1727="","",IFERROR(INDEX(Eleitoral!$B:$B,MATCH(A1727,Eleitoral!$A:$A,0))&amp;"","não consta"))</f>
        <v/>
      </c>
      <c r="M1727" s="28" t="str">
        <f aca="false">IF(A1727="","",IF(OR(AND(K1727&lt;&gt;"",LOWER(K1727)&lt;&gt;"não consta"),AND(L1727&lt;&gt;"",LOWER(L1727)&lt;&gt;"não consta"),IFERROR(INDEX(Empresas!$G:$G,MATCH(A1727,Empresas!$A:$A,0))&amp;"","")&lt;&gt;""),"SIM",""))</f>
        <v/>
      </c>
      <c r="N1727" s="5"/>
      <c r="O1727" s="32" t="str">
        <f aca="false">IF(D1727="","",YEAR(D1727))</f>
        <v/>
      </c>
      <c r="P1727" s="5"/>
    </row>
    <row r="1728" customFormat="false" ht="15" hidden="false" customHeight="false" outlineLevel="0" collapsed="false">
      <c r="A1728" s="27"/>
      <c r="B1728" s="5"/>
      <c r="C1728" s="35"/>
      <c r="D1728" s="18"/>
      <c r="E1728" s="5"/>
      <c r="F1728" s="14"/>
      <c r="G1728" s="5"/>
      <c r="H1728" s="27"/>
      <c r="I1728" s="5"/>
      <c r="J1728" s="19" t="str">
        <f aca="false">IF(A1728="","",IFERROR(INDEX(Empresas!$D:$D,MATCH(A1728,Empresas!$A:$A,0))&amp;"","não consta"))</f>
        <v/>
      </c>
      <c r="K1728" s="19" t="str">
        <f aca="false">IF(A1728="","",IFERROR(INDEX(Sancoes!$B:$B,MATCH(A1728,Sancoes!$A:$A,0))&amp;"","não consta"))</f>
        <v/>
      </c>
      <c r="L1728" s="19" t="str">
        <f aca="false">IF(A1728="","",IFERROR(INDEX(Eleitoral!$B:$B,MATCH(A1728,Eleitoral!$A:$A,0))&amp;"","não consta"))</f>
        <v/>
      </c>
      <c r="M1728" s="28" t="str">
        <f aca="false">IF(A1728="","",IF(OR(AND(K1728&lt;&gt;"",LOWER(K1728)&lt;&gt;"não consta"),AND(L1728&lt;&gt;"",LOWER(L1728)&lt;&gt;"não consta"),IFERROR(INDEX(Empresas!$G:$G,MATCH(A1728,Empresas!$A:$A,0))&amp;"","")&lt;&gt;""),"SIM",""))</f>
        <v/>
      </c>
      <c r="N1728" s="5"/>
      <c r="O1728" s="32" t="str">
        <f aca="false">IF(D1728="","",YEAR(D1728))</f>
        <v/>
      </c>
      <c r="P1728" s="5"/>
    </row>
    <row r="1729" customFormat="false" ht="15" hidden="false" customHeight="false" outlineLevel="0" collapsed="false">
      <c r="A1729" s="27"/>
      <c r="B1729" s="5"/>
      <c r="C1729" s="35"/>
      <c r="D1729" s="18"/>
      <c r="E1729" s="5"/>
      <c r="F1729" s="14"/>
      <c r="G1729" s="5"/>
      <c r="H1729" s="27"/>
      <c r="I1729" s="5"/>
      <c r="J1729" s="19" t="str">
        <f aca="false">IF(A1729="","",IFERROR(INDEX(Empresas!$D:$D,MATCH(A1729,Empresas!$A:$A,0))&amp;"","não consta"))</f>
        <v/>
      </c>
      <c r="K1729" s="19" t="str">
        <f aca="false">IF(A1729="","",IFERROR(INDEX(Sancoes!$B:$B,MATCH(A1729,Sancoes!$A:$A,0))&amp;"","não consta"))</f>
        <v/>
      </c>
      <c r="L1729" s="19" t="str">
        <f aca="false">IF(A1729="","",IFERROR(INDEX(Eleitoral!$B:$B,MATCH(A1729,Eleitoral!$A:$A,0))&amp;"","não consta"))</f>
        <v/>
      </c>
      <c r="M1729" s="28" t="str">
        <f aca="false">IF(A1729="","",IF(OR(AND(K1729&lt;&gt;"",LOWER(K1729)&lt;&gt;"não consta"),AND(L1729&lt;&gt;"",LOWER(L1729)&lt;&gt;"não consta"),IFERROR(INDEX(Empresas!$G:$G,MATCH(A1729,Empresas!$A:$A,0))&amp;"","")&lt;&gt;""),"SIM",""))</f>
        <v/>
      </c>
      <c r="N1729" s="5"/>
      <c r="O1729" s="32" t="str">
        <f aca="false">IF(D1729="","",YEAR(D1729))</f>
        <v/>
      </c>
      <c r="P1729" s="5"/>
    </row>
    <row r="1730" customFormat="false" ht="15" hidden="false" customHeight="false" outlineLevel="0" collapsed="false">
      <c r="A1730" s="27"/>
      <c r="B1730" s="5"/>
      <c r="C1730" s="35"/>
      <c r="D1730" s="18"/>
      <c r="E1730" s="5"/>
      <c r="F1730" s="14"/>
      <c r="G1730" s="5"/>
      <c r="H1730" s="27"/>
      <c r="I1730" s="5"/>
      <c r="J1730" s="19" t="str">
        <f aca="false">IF(A1730="","",IFERROR(INDEX(Empresas!$D:$D,MATCH(A1730,Empresas!$A:$A,0))&amp;"","não consta"))</f>
        <v/>
      </c>
      <c r="K1730" s="19" t="str">
        <f aca="false">IF(A1730="","",IFERROR(INDEX(Sancoes!$B:$B,MATCH(A1730,Sancoes!$A:$A,0))&amp;"","não consta"))</f>
        <v/>
      </c>
      <c r="L1730" s="19" t="str">
        <f aca="false">IF(A1730="","",IFERROR(INDEX(Eleitoral!$B:$B,MATCH(A1730,Eleitoral!$A:$A,0))&amp;"","não consta"))</f>
        <v/>
      </c>
      <c r="M1730" s="28" t="str">
        <f aca="false">IF(A1730="","",IF(OR(AND(K1730&lt;&gt;"",LOWER(K1730)&lt;&gt;"não consta"),AND(L1730&lt;&gt;"",LOWER(L1730)&lt;&gt;"não consta"),IFERROR(INDEX(Empresas!$G:$G,MATCH(A1730,Empresas!$A:$A,0))&amp;"","")&lt;&gt;""),"SIM",""))</f>
        <v/>
      </c>
      <c r="N1730" s="5"/>
      <c r="O1730" s="32" t="str">
        <f aca="false">IF(D1730="","",YEAR(D1730))</f>
        <v/>
      </c>
      <c r="P1730" s="5"/>
    </row>
    <row r="1731" customFormat="false" ht="15" hidden="false" customHeight="false" outlineLevel="0" collapsed="false">
      <c r="A1731" s="27"/>
      <c r="B1731" s="5"/>
      <c r="C1731" s="35"/>
      <c r="D1731" s="18"/>
      <c r="E1731" s="5"/>
      <c r="F1731" s="14"/>
      <c r="G1731" s="5"/>
      <c r="H1731" s="27"/>
      <c r="I1731" s="5"/>
      <c r="J1731" s="19" t="str">
        <f aca="false">IF(A1731="","",IFERROR(INDEX(Empresas!$D:$D,MATCH(A1731,Empresas!$A:$A,0))&amp;"","não consta"))</f>
        <v/>
      </c>
      <c r="K1731" s="19" t="str">
        <f aca="false">IF(A1731="","",IFERROR(INDEX(Sancoes!$B:$B,MATCH(A1731,Sancoes!$A:$A,0))&amp;"","não consta"))</f>
        <v/>
      </c>
      <c r="L1731" s="19" t="str">
        <f aca="false">IF(A1731="","",IFERROR(INDEX(Eleitoral!$B:$B,MATCH(A1731,Eleitoral!$A:$A,0))&amp;"","não consta"))</f>
        <v/>
      </c>
      <c r="M1731" s="28" t="str">
        <f aca="false">IF(A1731="","",IF(OR(AND(K1731&lt;&gt;"",LOWER(K1731)&lt;&gt;"não consta"),AND(L1731&lt;&gt;"",LOWER(L1731)&lt;&gt;"não consta"),IFERROR(INDEX(Empresas!$G:$G,MATCH(A1731,Empresas!$A:$A,0))&amp;"","")&lt;&gt;""),"SIM",""))</f>
        <v/>
      </c>
      <c r="N1731" s="5"/>
      <c r="O1731" s="32" t="str">
        <f aca="false">IF(D1731="","",YEAR(D1731))</f>
        <v/>
      </c>
      <c r="P1731" s="5"/>
    </row>
    <row r="1732" customFormat="false" ht="15" hidden="false" customHeight="false" outlineLevel="0" collapsed="false">
      <c r="A1732" s="27"/>
      <c r="B1732" s="5"/>
      <c r="C1732" s="35"/>
      <c r="D1732" s="18"/>
      <c r="E1732" s="5"/>
      <c r="F1732" s="14"/>
      <c r="G1732" s="5"/>
      <c r="H1732" s="27"/>
      <c r="I1732" s="5"/>
      <c r="J1732" s="19" t="str">
        <f aca="false">IF(A1732="","",IFERROR(INDEX(Empresas!$D:$D,MATCH(A1732,Empresas!$A:$A,0))&amp;"","não consta"))</f>
        <v/>
      </c>
      <c r="K1732" s="19" t="str">
        <f aca="false">IF(A1732="","",IFERROR(INDEX(Sancoes!$B:$B,MATCH(A1732,Sancoes!$A:$A,0))&amp;"","não consta"))</f>
        <v/>
      </c>
      <c r="L1732" s="19" t="str">
        <f aca="false">IF(A1732="","",IFERROR(INDEX(Eleitoral!$B:$B,MATCH(A1732,Eleitoral!$A:$A,0))&amp;"","não consta"))</f>
        <v/>
      </c>
      <c r="M1732" s="28" t="str">
        <f aca="false">IF(A1732="","",IF(OR(AND(K1732&lt;&gt;"",LOWER(K1732)&lt;&gt;"não consta"),AND(L1732&lt;&gt;"",LOWER(L1732)&lt;&gt;"não consta"),IFERROR(INDEX(Empresas!$G:$G,MATCH(A1732,Empresas!$A:$A,0))&amp;"","")&lt;&gt;""),"SIM",""))</f>
        <v/>
      </c>
      <c r="N1732" s="5"/>
      <c r="O1732" s="32" t="str">
        <f aca="false">IF(D1732="","",YEAR(D1732))</f>
        <v/>
      </c>
      <c r="P1732" s="5"/>
    </row>
    <row r="1733" customFormat="false" ht="15" hidden="false" customHeight="false" outlineLevel="0" collapsed="false">
      <c r="A1733" s="27"/>
      <c r="B1733" s="5"/>
      <c r="C1733" s="35"/>
      <c r="D1733" s="18"/>
      <c r="E1733" s="5"/>
      <c r="F1733" s="14"/>
      <c r="G1733" s="5"/>
      <c r="H1733" s="27"/>
      <c r="I1733" s="5"/>
      <c r="J1733" s="19" t="str">
        <f aca="false">IF(A1733="","",IFERROR(INDEX(Empresas!$D:$D,MATCH(A1733,Empresas!$A:$A,0))&amp;"","não consta"))</f>
        <v/>
      </c>
      <c r="K1733" s="19" t="str">
        <f aca="false">IF(A1733="","",IFERROR(INDEX(Sancoes!$B:$B,MATCH(A1733,Sancoes!$A:$A,0))&amp;"","não consta"))</f>
        <v/>
      </c>
      <c r="L1733" s="19" t="str">
        <f aca="false">IF(A1733="","",IFERROR(INDEX(Eleitoral!$B:$B,MATCH(A1733,Eleitoral!$A:$A,0))&amp;"","não consta"))</f>
        <v/>
      </c>
      <c r="M1733" s="28" t="str">
        <f aca="false">IF(A1733="","",IF(OR(AND(K1733&lt;&gt;"",LOWER(K1733)&lt;&gt;"não consta"),AND(L1733&lt;&gt;"",LOWER(L1733)&lt;&gt;"não consta"),IFERROR(INDEX(Empresas!$G:$G,MATCH(A1733,Empresas!$A:$A,0))&amp;"","")&lt;&gt;""),"SIM",""))</f>
        <v/>
      </c>
      <c r="N1733" s="5"/>
      <c r="O1733" s="32" t="str">
        <f aca="false">IF(D1733="","",YEAR(D1733))</f>
        <v/>
      </c>
      <c r="P1733" s="5"/>
    </row>
    <row r="1734" customFormat="false" ht="15" hidden="false" customHeight="false" outlineLevel="0" collapsed="false">
      <c r="A1734" s="27"/>
      <c r="B1734" s="5"/>
      <c r="C1734" s="35"/>
      <c r="D1734" s="18"/>
      <c r="E1734" s="5"/>
      <c r="F1734" s="14"/>
      <c r="G1734" s="5"/>
      <c r="H1734" s="27"/>
      <c r="I1734" s="5"/>
      <c r="J1734" s="19" t="str">
        <f aca="false">IF(A1734="","",IFERROR(INDEX(Empresas!$D:$D,MATCH(A1734,Empresas!$A:$A,0))&amp;"","não consta"))</f>
        <v/>
      </c>
      <c r="K1734" s="19" t="str">
        <f aca="false">IF(A1734="","",IFERROR(INDEX(Sancoes!$B:$B,MATCH(A1734,Sancoes!$A:$A,0))&amp;"","não consta"))</f>
        <v/>
      </c>
      <c r="L1734" s="19" t="str">
        <f aca="false">IF(A1734="","",IFERROR(INDEX(Eleitoral!$B:$B,MATCH(A1734,Eleitoral!$A:$A,0))&amp;"","não consta"))</f>
        <v/>
      </c>
      <c r="M1734" s="28" t="str">
        <f aca="false">IF(A1734="","",IF(OR(AND(K1734&lt;&gt;"",LOWER(K1734)&lt;&gt;"não consta"),AND(L1734&lt;&gt;"",LOWER(L1734)&lt;&gt;"não consta"),IFERROR(INDEX(Empresas!$G:$G,MATCH(A1734,Empresas!$A:$A,0))&amp;"","")&lt;&gt;""),"SIM",""))</f>
        <v/>
      </c>
      <c r="N1734" s="5"/>
      <c r="O1734" s="32" t="str">
        <f aca="false">IF(D1734="","",YEAR(D1734))</f>
        <v/>
      </c>
      <c r="P1734" s="5"/>
    </row>
    <row r="1735" customFormat="false" ht="15" hidden="false" customHeight="false" outlineLevel="0" collapsed="false">
      <c r="A1735" s="27"/>
      <c r="B1735" s="5"/>
      <c r="C1735" s="35"/>
      <c r="D1735" s="18"/>
      <c r="E1735" s="5"/>
      <c r="F1735" s="14"/>
      <c r="G1735" s="5"/>
      <c r="H1735" s="27"/>
      <c r="I1735" s="5"/>
      <c r="J1735" s="19" t="str">
        <f aca="false">IF(A1735="","",IFERROR(INDEX(Empresas!$D:$D,MATCH(A1735,Empresas!$A:$A,0))&amp;"","não consta"))</f>
        <v/>
      </c>
      <c r="K1735" s="19" t="str">
        <f aca="false">IF(A1735="","",IFERROR(INDEX(Sancoes!$B:$B,MATCH(A1735,Sancoes!$A:$A,0))&amp;"","não consta"))</f>
        <v/>
      </c>
      <c r="L1735" s="19" t="str">
        <f aca="false">IF(A1735="","",IFERROR(INDEX(Eleitoral!$B:$B,MATCH(A1735,Eleitoral!$A:$A,0))&amp;"","não consta"))</f>
        <v/>
      </c>
      <c r="M1735" s="28" t="str">
        <f aca="false">IF(A1735="","",IF(OR(AND(K1735&lt;&gt;"",LOWER(K1735)&lt;&gt;"não consta"),AND(L1735&lt;&gt;"",LOWER(L1735)&lt;&gt;"não consta"),IFERROR(INDEX(Empresas!$G:$G,MATCH(A1735,Empresas!$A:$A,0))&amp;"","")&lt;&gt;""),"SIM",""))</f>
        <v/>
      </c>
      <c r="N1735" s="5"/>
      <c r="O1735" s="32" t="str">
        <f aca="false">IF(D1735="","",YEAR(D1735))</f>
        <v/>
      </c>
      <c r="P1735" s="5"/>
    </row>
    <row r="1736" customFormat="false" ht="15" hidden="false" customHeight="false" outlineLevel="0" collapsed="false">
      <c r="A1736" s="27"/>
      <c r="B1736" s="5"/>
      <c r="C1736" s="35"/>
      <c r="D1736" s="18"/>
      <c r="E1736" s="5"/>
      <c r="F1736" s="14"/>
      <c r="G1736" s="5"/>
      <c r="H1736" s="27"/>
      <c r="I1736" s="5"/>
      <c r="J1736" s="19" t="str">
        <f aca="false">IF(A1736="","",IFERROR(INDEX(Empresas!$D:$D,MATCH(A1736,Empresas!$A:$A,0))&amp;"","não consta"))</f>
        <v/>
      </c>
      <c r="K1736" s="19" t="str">
        <f aca="false">IF(A1736="","",IFERROR(INDEX(Sancoes!$B:$B,MATCH(A1736,Sancoes!$A:$A,0))&amp;"","não consta"))</f>
        <v/>
      </c>
      <c r="L1736" s="19" t="str">
        <f aca="false">IF(A1736="","",IFERROR(INDEX(Eleitoral!$B:$B,MATCH(A1736,Eleitoral!$A:$A,0))&amp;"","não consta"))</f>
        <v/>
      </c>
      <c r="M1736" s="28" t="str">
        <f aca="false">IF(A1736="","",IF(OR(AND(K1736&lt;&gt;"",LOWER(K1736)&lt;&gt;"não consta"),AND(L1736&lt;&gt;"",LOWER(L1736)&lt;&gt;"não consta"),IFERROR(INDEX(Empresas!$G:$G,MATCH(A1736,Empresas!$A:$A,0))&amp;"","")&lt;&gt;""),"SIM",""))</f>
        <v/>
      </c>
      <c r="N1736" s="5"/>
      <c r="O1736" s="32" t="str">
        <f aca="false">IF(D1736="","",YEAR(D1736))</f>
        <v/>
      </c>
      <c r="P1736" s="5"/>
    </row>
    <row r="1737" customFormat="false" ht="15" hidden="false" customHeight="false" outlineLevel="0" collapsed="false">
      <c r="A1737" s="27"/>
      <c r="B1737" s="5"/>
      <c r="C1737" s="35"/>
      <c r="D1737" s="18"/>
      <c r="E1737" s="5"/>
      <c r="F1737" s="14"/>
      <c r="G1737" s="5"/>
      <c r="H1737" s="27"/>
      <c r="I1737" s="5"/>
      <c r="J1737" s="19" t="str">
        <f aca="false">IF(A1737="","",IFERROR(INDEX(Empresas!$D:$D,MATCH(A1737,Empresas!$A:$A,0))&amp;"","não consta"))</f>
        <v/>
      </c>
      <c r="K1737" s="19" t="str">
        <f aca="false">IF(A1737="","",IFERROR(INDEX(Sancoes!$B:$B,MATCH(A1737,Sancoes!$A:$A,0))&amp;"","não consta"))</f>
        <v/>
      </c>
      <c r="L1737" s="19" t="str">
        <f aca="false">IF(A1737="","",IFERROR(INDEX(Eleitoral!$B:$B,MATCH(A1737,Eleitoral!$A:$A,0))&amp;"","não consta"))</f>
        <v/>
      </c>
      <c r="M1737" s="28" t="str">
        <f aca="false">IF(A1737="","",IF(OR(AND(K1737&lt;&gt;"",LOWER(K1737)&lt;&gt;"não consta"),AND(L1737&lt;&gt;"",LOWER(L1737)&lt;&gt;"não consta"),IFERROR(INDEX(Empresas!$G:$G,MATCH(A1737,Empresas!$A:$A,0))&amp;"","")&lt;&gt;""),"SIM",""))</f>
        <v/>
      </c>
      <c r="N1737" s="5"/>
      <c r="O1737" s="32" t="str">
        <f aca="false">IF(D1737="","",YEAR(D1737))</f>
        <v/>
      </c>
      <c r="P1737" s="5"/>
    </row>
    <row r="1738" customFormat="false" ht="15" hidden="false" customHeight="false" outlineLevel="0" collapsed="false">
      <c r="A1738" s="27"/>
      <c r="B1738" s="5"/>
      <c r="C1738" s="35"/>
      <c r="D1738" s="18"/>
      <c r="E1738" s="5"/>
      <c r="F1738" s="14"/>
      <c r="G1738" s="5"/>
      <c r="H1738" s="27"/>
      <c r="I1738" s="5"/>
      <c r="J1738" s="19" t="str">
        <f aca="false">IF(A1738="","",IFERROR(INDEX(Empresas!$D:$D,MATCH(A1738,Empresas!$A:$A,0))&amp;"","não consta"))</f>
        <v/>
      </c>
      <c r="K1738" s="19" t="str">
        <f aca="false">IF(A1738="","",IFERROR(INDEX(Sancoes!$B:$B,MATCH(A1738,Sancoes!$A:$A,0))&amp;"","não consta"))</f>
        <v/>
      </c>
      <c r="L1738" s="19" t="str">
        <f aca="false">IF(A1738="","",IFERROR(INDEX(Eleitoral!$B:$B,MATCH(A1738,Eleitoral!$A:$A,0))&amp;"","não consta"))</f>
        <v/>
      </c>
      <c r="M1738" s="28" t="str">
        <f aca="false">IF(A1738="","",IF(OR(AND(K1738&lt;&gt;"",LOWER(K1738)&lt;&gt;"não consta"),AND(L1738&lt;&gt;"",LOWER(L1738)&lt;&gt;"não consta"),IFERROR(INDEX(Empresas!$G:$G,MATCH(A1738,Empresas!$A:$A,0))&amp;"","")&lt;&gt;""),"SIM",""))</f>
        <v/>
      </c>
      <c r="N1738" s="5"/>
      <c r="O1738" s="32" t="str">
        <f aca="false">IF(D1738="","",YEAR(D1738))</f>
        <v/>
      </c>
      <c r="P1738" s="5"/>
    </row>
    <row r="1739" customFormat="false" ht="15" hidden="false" customHeight="false" outlineLevel="0" collapsed="false">
      <c r="A1739" s="27"/>
      <c r="B1739" s="5"/>
      <c r="C1739" s="35"/>
      <c r="D1739" s="18"/>
      <c r="E1739" s="5"/>
      <c r="F1739" s="14"/>
      <c r="G1739" s="5"/>
      <c r="H1739" s="27"/>
      <c r="I1739" s="5"/>
      <c r="J1739" s="19" t="str">
        <f aca="false">IF(A1739="","",IFERROR(INDEX(Empresas!$D:$D,MATCH(A1739,Empresas!$A:$A,0))&amp;"","não consta"))</f>
        <v/>
      </c>
      <c r="K1739" s="19" t="str">
        <f aca="false">IF(A1739="","",IFERROR(INDEX(Sancoes!$B:$B,MATCH(A1739,Sancoes!$A:$A,0))&amp;"","não consta"))</f>
        <v/>
      </c>
      <c r="L1739" s="19" t="str">
        <f aca="false">IF(A1739="","",IFERROR(INDEX(Eleitoral!$B:$B,MATCH(A1739,Eleitoral!$A:$A,0))&amp;"","não consta"))</f>
        <v/>
      </c>
      <c r="M1739" s="28" t="str">
        <f aca="false">IF(A1739="","",IF(OR(AND(K1739&lt;&gt;"",LOWER(K1739)&lt;&gt;"não consta"),AND(L1739&lt;&gt;"",LOWER(L1739)&lt;&gt;"não consta"),IFERROR(INDEX(Empresas!$G:$G,MATCH(A1739,Empresas!$A:$A,0))&amp;"","")&lt;&gt;""),"SIM",""))</f>
        <v/>
      </c>
      <c r="N1739" s="5"/>
      <c r="O1739" s="32" t="str">
        <f aca="false">IF(D1739="","",YEAR(D1739))</f>
        <v/>
      </c>
      <c r="P1739" s="5"/>
    </row>
    <row r="1740" customFormat="false" ht="15" hidden="false" customHeight="false" outlineLevel="0" collapsed="false">
      <c r="A1740" s="27"/>
      <c r="B1740" s="5"/>
      <c r="C1740" s="35"/>
      <c r="D1740" s="18"/>
      <c r="E1740" s="5"/>
      <c r="F1740" s="14"/>
      <c r="G1740" s="5"/>
      <c r="H1740" s="27"/>
      <c r="I1740" s="5"/>
      <c r="J1740" s="19" t="str">
        <f aca="false">IF(A1740="","",IFERROR(INDEX(Empresas!$D:$D,MATCH(A1740,Empresas!$A:$A,0))&amp;"","não consta"))</f>
        <v/>
      </c>
      <c r="K1740" s="19" t="str">
        <f aca="false">IF(A1740="","",IFERROR(INDEX(Sancoes!$B:$B,MATCH(A1740,Sancoes!$A:$A,0))&amp;"","não consta"))</f>
        <v/>
      </c>
      <c r="L1740" s="19" t="str">
        <f aca="false">IF(A1740="","",IFERROR(INDEX(Eleitoral!$B:$B,MATCH(A1740,Eleitoral!$A:$A,0))&amp;"","não consta"))</f>
        <v/>
      </c>
      <c r="M1740" s="28" t="str">
        <f aca="false">IF(A1740="","",IF(OR(AND(K1740&lt;&gt;"",LOWER(K1740)&lt;&gt;"não consta"),AND(L1740&lt;&gt;"",LOWER(L1740)&lt;&gt;"não consta"),IFERROR(INDEX(Empresas!$G:$G,MATCH(A1740,Empresas!$A:$A,0))&amp;"","")&lt;&gt;""),"SIM",""))</f>
        <v/>
      </c>
      <c r="N1740" s="5"/>
      <c r="O1740" s="32" t="str">
        <f aca="false">IF(D1740="","",YEAR(D1740))</f>
        <v/>
      </c>
      <c r="P1740" s="5"/>
    </row>
    <row r="1741" customFormat="false" ht="15" hidden="false" customHeight="false" outlineLevel="0" collapsed="false">
      <c r="A1741" s="27"/>
      <c r="B1741" s="5"/>
      <c r="C1741" s="35"/>
      <c r="D1741" s="18"/>
      <c r="E1741" s="5"/>
      <c r="F1741" s="14"/>
      <c r="G1741" s="5"/>
      <c r="H1741" s="27"/>
      <c r="I1741" s="5"/>
      <c r="J1741" s="19" t="str">
        <f aca="false">IF(A1741="","",IFERROR(INDEX(Empresas!$D:$D,MATCH(A1741,Empresas!$A:$A,0))&amp;"","não consta"))</f>
        <v/>
      </c>
      <c r="K1741" s="19" t="str">
        <f aca="false">IF(A1741="","",IFERROR(INDEX(Sancoes!$B:$B,MATCH(A1741,Sancoes!$A:$A,0))&amp;"","não consta"))</f>
        <v/>
      </c>
      <c r="L1741" s="19" t="str">
        <f aca="false">IF(A1741="","",IFERROR(INDEX(Eleitoral!$B:$B,MATCH(A1741,Eleitoral!$A:$A,0))&amp;"","não consta"))</f>
        <v/>
      </c>
      <c r="M1741" s="28" t="str">
        <f aca="false">IF(A1741="","",IF(OR(AND(K1741&lt;&gt;"",LOWER(K1741)&lt;&gt;"não consta"),AND(L1741&lt;&gt;"",LOWER(L1741)&lt;&gt;"não consta"),IFERROR(INDEX(Empresas!$G:$G,MATCH(A1741,Empresas!$A:$A,0))&amp;"","")&lt;&gt;""),"SIM",""))</f>
        <v/>
      </c>
      <c r="N1741" s="5"/>
      <c r="O1741" s="32" t="str">
        <f aca="false">IF(D1741="","",YEAR(D1741))</f>
        <v/>
      </c>
      <c r="P1741" s="5"/>
    </row>
    <row r="1742" customFormat="false" ht="15" hidden="false" customHeight="false" outlineLevel="0" collapsed="false">
      <c r="A1742" s="27"/>
      <c r="B1742" s="5"/>
      <c r="C1742" s="35"/>
      <c r="D1742" s="18"/>
      <c r="E1742" s="5"/>
      <c r="F1742" s="14"/>
      <c r="G1742" s="5"/>
      <c r="H1742" s="27"/>
      <c r="I1742" s="5"/>
      <c r="J1742" s="19" t="str">
        <f aca="false">IF(A1742="","",IFERROR(INDEX(Empresas!$D:$D,MATCH(A1742,Empresas!$A:$A,0))&amp;"","não consta"))</f>
        <v/>
      </c>
      <c r="K1742" s="19" t="str">
        <f aca="false">IF(A1742="","",IFERROR(INDEX(Sancoes!$B:$B,MATCH(A1742,Sancoes!$A:$A,0))&amp;"","não consta"))</f>
        <v/>
      </c>
      <c r="L1742" s="19" t="str">
        <f aca="false">IF(A1742="","",IFERROR(INDEX(Eleitoral!$B:$B,MATCH(A1742,Eleitoral!$A:$A,0))&amp;"","não consta"))</f>
        <v/>
      </c>
      <c r="M1742" s="28" t="str">
        <f aca="false">IF(A1742="","",IF(OR(AND(K1742&lt;&gt;"",LOWER(K1742)&lt;&gt;"não consta"),AND(L1742&lt;&gt;"",LOWER(L1742)&lt;&gt;"não consta"),IFERROR(INDEX(Empresas!$G:$G,MATCH(A1742,Empresas!$A:$A,0))&amp;"","")&lt;&gt;""),"SIM",""))</f>
        <v/>
      </c>
      <c r="N1742" s="5"/>
      <c r="O1742" s="32" t="str">
        <f aca="false">IF(D1742="","",YEAR(D1742))</f>
        <v/>
      </c>
      <c r="P1742" s="5"/>
    </row>
    <row r="1743" customFormat="false" ht="15" hidden="false" customHeight="false" outlineLevel="0" collapsed="false">
      <c r="A1743" s="27"/>
      <c r="B1743" s="5"/>
      <c r="C1743" s="35"/>
      <c r="D1743" s="18"/>
      <c r="E1743" s="5"/>
      <c r="F1743" s="14"/>
      <c r="G1743" s="5"/>
      <c r="H1743" s="27"/>
      <c r="I1743" s="5"/>
      <c r="J1743" s="19" t="str">
        <f aca="false">IF(A1743="","",IFERROR(INDEX(Empresas!$D:$D,MATCH(A1743,Empresas!$A:$A,0))&amp;"","não consta"))</f>
        <v/>
      </c>
      <c r="K1743" s="19" t="str">
        <f aca="false">IF(A1743="","",IFERROR(INDEX(Sancoes!$B:$B,MATCH(A1743,Sancoes!$A:$A,0))&amp;"","não consta"))</f>
        <v/>
      </c>
      <c r="L1743" s="19" t="str">
        <f aca="false">IF(A1743="","",IFERROR(INDEX(Eleitoral!$B:$B,MATCH(A1743,Eleitoral!$A:$A,0))&amp;"","não consta"))</f>
        <v/>
      </c>
      <c r="M1743" s="28" t="str">
        <f aca="false">IF(A1743="","",IF(OR(AND(K1743&lt;&gt;"",LOWER(K1743)&lt;&gt;"não consta"),AND(L1743&lt;&gt;"",LOWER(L1743)&lt;&gt;"não consta"),IFERROR(INDEX(Empresas!$G:$G,MATCH(A1743,Empresas!$A:$A,0))&amp;"","")&lt;&gt;""),"SIM",""))</f>
        <v/>
      </c>
      <c r="N1743" s="5"/>
      <c r="O1743" s="32" t="str">
        <f aca="false">IF(D1743="","",YEAR(D1743))</f>
        <v/>
      </c>
      <c r="P1743" s="5"/>
    </row>
    <row r="1744" customFormat="false" ht="15" hidden="false" customHeight="false" outlineLevel="0" collapsed="false">
      <c r="A1744" s="27"/>
      <c r="B1744" s="5"/>
      <c r="C1744" s="35"/>
      <c r="D1744" s="18"/>
      <c r="E1744" s="5"/>
      <c r="F1744" s="14"/>
      <c r="G1744" s="5"/>
      <c r="H1744" s="27"/>
      <c r="I1744" s="5"/>
      <c r="J1744" s="19" t="str">
        <f aca="false">IF(A1744="","",IFERROR(INDEX(Empresas!$D:$D,MATCH(A1744,Empresas!$A:$A,0))&amp;"","não consta"))</f>
        <v/>
      </c>
      <c r="K1744" s="19" t="str">
        <f aca="false">IF(A1744="","",IFERROR(INDEX(Sancoes!$B:$B,MATCH(A1744,Sancoes!$A:$A,0))&amp;"","não consta"))</f>
        <v/>
      </c>
      <c r="L1744" s="19" t="str">
        <f aca="false">IF(A1744="","",IFERROR(INDEX(Eleitoral!$B:$B,MATCH(A1744,Eleitoral!$A:$A,0))&amp;"","não consta"))</f>
        <v/>
      </c>
      <c r="M1744" s="28" t="str">
        <f aca="false">IF(A1744="","",IF(OR(AND(K1744&lt;&gt;"",LOWER(K1744)&lt;&gt;"não consta"),AND(L1744&lt;&gt;"",LOWER(L1744)&lt;&gt;"não consta"),IFERROR(INDEX(Empresas!$G:$G,MATCH(A1744,Empresas!$A:$A,0))&amp;"","")&lt;&gt;""),"SIM",""))</f>
        <v/>
      </c>
      <c r="N1744" s="5"/>
      <c r="O1744" s="32" t="str">
        <f aca="false">IF(D1744="","",YEAR(D1744))</f>
        <v/>
      </c>
      <c r="P1744" s="5"/>
    </row>
    <row r="1745" customFormat="false" ht="15" hidden="false" customHeight="false" outlineLevel="0" collapsed="false">
      <c r="A1745" s="27"/>
      <c r="B1745" s="5"/>
      <c r="C1745" s="35"/>
      <c r="D1745" s="18"/>
      <c r="E1745" s="5"/>
      <c r="F1745" s="14"/>
      <c r="G1745" s="5"/>
      <c r="H1745" s="27"/>
      <c r="I1745" s="5"/>
      <c r="J1745" s="19" t="str">
        <f aca="false">IF(A1745="","",IFERROR(INDEX(Empresas!$D:$D,MATCH(A1745,Empresas!$A:$A,0))&amp;"","não consta"))</f>
        <v/>
      </c>
      <c r="K1745" s="19" t="str">
        <f aca="false">IF(A1745="","",IFERROR(INDEX(Sancoes!$B:$B,MATCH(A1745,Sancoes!$A:$A,0))&amp;"","não consta"))</f>
        <v/>
      </c>
      <c r="L1745" s="19" t="str">
        <f aca="false">IF(A1745="","",IFERROR(INDEX(Eleitoral!$B:$B,MATCH(A1745,Eleitoral!$A:$A,0))&amp;"","não consta"))</f>
        <v/>
      </c>
      <c r="M1745" s="28" t="str">
        <f aca="false">IF(A1745="","",IF(OR(AND(K1745&lt;&gt;"",LOWER(K1745)&lt;&gt;"não consta"),AND(L1745&lt;&gt;"",LOWER(L1745)&lt;&gt;"não consta"),IFERROR(INDEX(Empresas!$G:$G,MATCH(A1745,Empresas!$A:$A,0))&amp;"","")&lt;&gt;""),"SIM",""))</f>
        <v/>
      </c>
      <c r="N1745" s="5"/>
      <c r="O1745" s="32" t="str">
        <f aca="false">IF(D1745="","",YEAR(D1745))</f>
        <v/>
      </c>
      <c r="P1745" s="5"/>
    </row>
    <row r="1746" customFormat="false" ht="15" hidden="false" customHeight="false" outlineLevel="0" collapsed="false">
      <c r="A1746" s="27"/>
      <c r="B1746" s="5"/>
      <c r="C1746" s="35"/>
      <c r="D1746" s="18"/>
      <c r="E1746" s="5"/>
      <c r="F1746" s="14"/>
      <c r="G1746" s="5"/>
      <c r="H1746" s="27"/>
      <c r="I1746" s="5"/>
      <c r="J1746" s="19" t="str">
        <f aca="false">IF(A1746="","",IFERROR(INDEX(Empresas!$D:$D,MATCH(A1746,Empresas!$A:$A,0))&amp;"","não consta"))</f>
        <v/>
      </c>
      <c r="K1746" s="19" t="str">
        <f aca="false">IF(A1746="","",IFERROR(INDEX(Sancoes!$B:$B,MATCH(A1746,Sancoes!$A:$A,0))&amp;"","não consta"))</f>
        <v/>
      </c>
      <c r="L1746" s="19" t="str">
        <f aca="false">IF(A1746="","",IFERROR(INDEX(Eleitoral!$B:$B,MATCH(A1746,Eleitoral!$A:$A,0))&amp;"","não consta"))</f>
        <v/>
      </c>
      <c r="M1746" s="28" t="str">
        <f aca="false">IF(A1746="","",IF(OR(AND(K1746&lt;&gt;"",LOWER(K1746)&lt;&gt;"não consta"),AND(L1746&lt;&gt;"",LOWER(L1746)&lt;&gt;"não consta"),IFERROR(INDEX(Empresas!$G:$G,MATCH(A1746,Empresas!$A:$A,0))&amp;"","")&lt;&gt;""),"SIM",""))</f>
        <v/>
      </c>
      <c r="N1746" s="5"/>
      <c r="O1746" s="32" t="str">
        <f aca="false">IF(D1746="","",YEAR(D1746))</f>
        <v/>
      </c>
      <c r="P1746" s="5"/>
    </row>
    <row r="1747" customFormat="false" ht="15" hidden="false" customHeight="false" outlineLevel="0" collapsed="false">
      <c r="A1747" s="27"/>
      <c r="B1747" s="5"/>
      <c r="C1747" s="35"/>
      <c r="D1747" s="18"/>
      <c r="E1747" s="5"/>
      <c r="F1747" s="14"/>
      <c r="G1747" s="5"/>
      <c r="H1747" s="27"/>
      <c r="I1747" s="5"/>
      <c r="J1747" s="19" t="str">
        <f aca="false">IF(A1747="","",IFERROR(INDEX(Empresas!$D:$D,MATCH(A1747,Empresas!$A:$A,0))&amp;"","não consta"))</f>
        <v/>
      </c>
      <c r="K1747" s="19" t="str">
        <f aca="false">IF(A1747="","",IFERROR(INDEX(Sancoes!$B:$B,MATCH(A1747,Sancoes!$A:$A,0))&amp;"","não consta"))</f>
        <v/>
      </c>
      <c r="L1747" s="19" t="str">
        <f aca="false">IF(A1747="","",IFERROR(INDEX(Eleitoral!$B:$B,MATCH(A1747,Eleitoral!$A:$A,0))&amp;"","não consta"))</f>
        <v/>
      </c>
      <c r="M1747" s="28" t="str">
        <f aca="false">IF(A1747="","",IF(OR(AND(K1747&lt;&gt;"",LOWER(K1747)&lt;&gt;"não consta"),AND(L1747&lt;&gt;"",LOWER(L1747)&lt;&gt;"não consta"),IFERROR(INDEX(Empresas!$G:$G,MATCH(A1747,Empresas!$A:$A,0))&amp;"","")&lt;&gt;""),"SIM",""))</f>
        <v/>
      </c>
      <c r="N1747" s="5"/>
      <c r="O1747" s="32" t="str">
        <f aca="false">IF(D1747="","",YEAR(D1747))</f>
        <v/>
      </c>
      <c r="P1747" s="5"/>
    </row>
    <row r="1748" customFormat="false" ht="15" hidden="false" customHeight="false" outlineLevel="0" collapsed="false">
      <c r="A1748" s="27"/>
      <c r="B1748" s="5"/>
      <c r="C1748" s="35"/>
      <c r="D1748" s="18"/>
      <c r="E1748" s="5"/>
      <c r="F1748" s="14"/>
      <c r="G1748" s="5"/>
      <c r="H1748" s="27"/>
      <c r="I1748" s="5"/>
      <c r="J1748" s="19" t="str">
        <f aca="false">IF(A1748="","",IFERROR(INDEX(Empresas!$D:$D,MATCH(A1748,Empresas!$A:$A,0))&amp;"","não consta"))</f>
        <v/>
      </c>
      <c r="K1748" s="19" t="str">
        <f aca="false">IF(A1748="","",IFERROR(INDEX(Sancoes!$B:$B,MATCH(A1748,Sancoes!$A:$A,0))&amp;"","não consta"))</f>
        <v/>
      </c>
      <c r="L1748" s="19" t="str">
        <f aca="false">IF(A1748="","",IFERROR(INDEX(Eleitoral!$B:$B,MATCH(A1748,Eleitoral!$A:$A,0))&amp;"","não consta"))</f>
        <v/>
      </c>
      <c r="M1748" s="28" t="str">
        <f aca="false">IF(A1748="","",IF(OR(AND(K1748&lt;&gt;"",LOWER(K1748)&lt;&gt;"não consta"),AND(L1748&lt;&gt;"",LOWER(L1748)&lt;&gt;"não consta"),IFERROR(INDEX(Empresas!$G:$G,MATCH(A1748,Empresas!$A:$A,0))&amp;"","")&lt;&gt;""),"SIM",""))</f>
        <v/>
      </c>
      <c r="N1748" s="5"/>
      <c r="O1748" s="32" t="str">
        <f aca="false">IF(D1748="","",YEAR(D1748))</f>
        <v/>
      </c>
      <c r="P1748" s="5"/>
    </row>
    <row r="1749" customFormat="false" ht="15" hidden="false" customHeight="false" outlineLevel="0" collapsed="false">
      <c r="A1749" s="27"/>
      <c r="B1749" s="5"/>
      <c r="C1749" s="35"/>
      <c r="D1749" s="18"/>
      <c r="E1749" s="5"/>
      <c r="F1749" s="14"/>
      <c r="G1749" s="5"/>
      <c r="H1749" s="27"/>
      <c r="I1749" s="5"/>
      <c r="J1749" s="19" t="str">
        <f aca="false">IF(A1749="","",IFERROR(INDEX(Empresas!$D:$D,MATCH(A1749,Empresas!$A:$A,0))&amp;"","não consta"))</f>
        <v/>
      </c>
      <c r="K1749" s="19" t="str">
        <f aca="false">IF(A1749="","",IFERROR(INDEX(Sancoes!$B:$B,MATCH(A1749,Sancoes!$A:$A,0))&amp;"","não consta"))</f>
        <v/>
      </c>
      <c r="L1749" s="19" t="str">
        <f aca="false">IF(A1749="","",IFERROR(INDEX(Eleitoral!$B:$B,MATCH(A1749,Eleitoral!$A:$A,0))&amp;"","não consta"))</f>
        <v/>
      </c>
      <c r="M1749" s="28" t="str">
        <f aca="false">IF(A1749="","",IF(OR(AND(K1749&lt;&gt;"",LOWER(K1749)&lt;&gt;"não consta"),AND(L1749&lt;&gt;"",LOWER(L1749)&lt;&gt;"não consta"),IFERROR(INDEX(Empresas!$G:$G,MATCH(A1749,Empresas!$A:$A,0))&amp;"","")&lt;&gt;""),"SIM",""))</f>
        <v/>
      </c>
      <c r="N1749" s="5"/>
      <c r="O1749" s="32" t="str">
        <f aca="false">IF(D1749="","",YEAR(D1749))</f>
        <v/>
      </c>
      <c r="P1749" s="5"/>
    </row>
    <row r="1750" customFormat="false" ht="15" hidden="false" customHeight="false" outlineLevel="0" collapsed="false">
      <c r="A1750" s="27"/>
      <c r="B1750" s="5"/>
      <c r="C1750" s="35"/>
      <c r="D1750" s="18"/>
      <c r="E1750" s="5"/>
      <c r="F1750" s="14"/>
      <c r="G1750" s="5"/>
      <c r="H1750" s="27"/>
      <c r="I1750" s="5"/>
      <c r="J1750" s="19" t="str">
        <f aca="false">IF(A1750="","",IFERROR(INDEX(Empresas!$D:$D,MATCH(A1750,Empresas!$A:$A,0))&amp;"","não consta"))</f>
        <v/>
      </c>
      <c r="K1750" s="19" t="str">
        <f aca="false">IF(A1750="","",IFERROR(INDEX(Sancoes!$B:$B,MATCH(A1750,Sancoes!$A:$A,0))&amp;"","não consta"))</f>
        <v/>
      </c>
      <c r="L1750" s="19" t="str">
        <f aca="false">IF(A1750="","",IFERROR(INDEX(Eleitoral!$B:$B,MATCH(A1750,Eleitoral!$A:$A,0))&amp;"","não consta"))</f>
        <v/>
      </c>
      <c r="M1750" s="28" t="str">
        <f aca="false">IF(A1750="","",IF(OR(AND(K1750&lt;&gt;"",LOWER(K1750)&lt;&gt;"não consta"),AND(L1750&lt;&gt;"",LOWER(L1750)&lt;&gt;"não consta"),IFERROR(INDEX(Empresas!$G:$G,MATCH(A1750,Empresas!$A:$A,0))&amp;"","")&lt;&gt;""),"SIM",""))</f>
        <v/>
      </c>
      <c r="N1750" s="5"/>
      <c r="O1750" s="32" t="str">
        <f aca="false">IF(D1750="","",YEAR(D1750))</f>
        <v/>
      </c>
      <c r="P1750" s="5"/>
    </row>
    <row r="1751" customFormat="false" ht="15" hidden="false" customHeight="false" outlineLevel="0" collapsed="false">
      <c r="A1751" s="27"/>
      <c r="B1751" s="5"/>
      <c r="C1751" s="35"/>
      <c r="D1751" s="18"/>
      <c r="E1751" s="5"/>
      <c r="F1751" s="14"/>
      <c r="G1751" s="5"/>
      <c r="H1751" s="27"/>
      <c r="I1751" s="5"/>
      <c r="J1751" s="19" t="str">
        <f aca="false">IF(A1751="","",IFERROR(INDEX(Empresas!$D:$D,MATCH(A1751,Empresas!$A:$A,0))&amp;"","não consta"))</f>
        <v/>
      </c>
      <c r="K1751" s="19" t="str">
        <f aca="false">IF(A1751="","",IFERROR(INDEX(Sancoes!$B:$B,MATCH(A1751,Sancoes!$A:$A,0))&amp;"","não consta"))</f>
        <v/>
      </c>
      <c r="L1751" s="19" t="str">
        <f aca="false">IF(A1751="","",IFERROR(INDEX(Eleitoral!$B:$B,MATCH(A1751,Eleitoral!$A:$A,0))&amp;"","não consta"))</f>
        <v/>
      </c>
      <c r="M1751" s="28" t="str">
        <f aca="false">IF(A1751="","",IF(OR(AND(K1751&lt;&gt;"",LOWER(K1751)&lt;&gt;"não consta"),AND(L1751&lt;&gt;"",LOWER(L1751)&lt;&gt;"não consta"),IFERROR(INDEX(Empresas!$G:$G,MATCH(A1751,Empresas!$A:$A,0))&amp;"","")&lt;&gt;""),"SIM",""))</f>
        <v/>
      </c>
      <c r="N1751" s="5"/>
      <c r="O1751" s="32" t="str">
        <f aca="false">IF(D1751="","",YEAR(D1751))</f>
        <v/>
      </c>
      <c r="P1751" s="5"/>
    </row>
    <row r="1752" customFormat="false" ht="15" hidden="false" customHeight="false" outlineLevel="0" collapsed="false">
      <c r="A1752" s="27"/>
      <c r="B1752" s="5"/>
      <c r="C1752" s="35"/>
      <c r="D1752" s="18"/>
      <c r="E1752" s="5"/>
      <c r="F1752" s="14"/>
      <c r="G1752" s="5"/>
      <c r="H1752" s="27"/>
      <c r="I1752" s="5"/>
      <c r="J1752" s="19" t="str">
        <f aca="false">IF(A1752="","",IFERROR(INDEX(Empresas!$D:$D,MATCH(A1752,Empresas!$A:$A,0))&amp;"","não consta"))</f>
        <v/>
      </c>
      <c r="K1752" s="19" t="str">
        <f aca="false">IF(A1752="","",IFERROR(INDEX(Sancoes!$B:$B,MATCH(A1752,Sancoes!$A:$A,0))&amp;"","não consta"))</f>
        <v/>
      </c>
      <c r="L1752" s="19" t="str">
        <f aca="false">IF(A1752="","",IFERROR(INDEX(Eleitoral!$B:$B,MATCH(A1752,Eleitoral!$A:$A,0))&amp;"","não consta"))</f>
        <v/>
      </c>
      <c r="M1752" s="28" t="str">
        <f aca="false">IF(A1752="","",IF(OR(AND(K1752&lt;&gt;"",LOWER(K1752)&lt;&gt;"não consta"),AND(L1752&lt;&gt;"",LOWER(L1752)&lt;&gt;"não consta"),IFERROR(INDEX(Empresas!$G:$G,MATCH(A1752,Empresas!$A:$A,0))&amp;"","")&lt;&gt;""),"SIM",""))</f>
        <v/>
      </c>
      <c r="N1752" s="5"/>
      <c r="O1752" s="32" t="str">
        <f aca="false">IF(D1752="","",YEAR(D1752))</f>
        <v/>
      </c>
      <c r="P1752" s="5"/>
    </row>
    <row r="1753" customFormat="false" ht="15" hidden="false" customHeight="false" outlineLevel="0" collapsed="false">
      <c r="A1753" s="27"/>
      <c r="B1753" s="5"/>
      <c r="C1753" s="35"/>
      <c r="D1753" s="18"/>
      <c r="E1753" s="5"/>
      <c r="F1753" s="14"/>
      <c r="G1753" s="5"/>
      <c r="H1753" s="27"/>
      <c r="I1753" s="5"/>
      <c r="J1753" s="19" t="str">
        <f aca="false">IF(A1753="","",IFERROR(INDEX(Empresas!$D:$D,MATCH(A1753,Empresas!$A:$A,0))&amp;"","não consta"))</f>
        <v/>
      </c>
      <c r="K1753" s="19" t="str">
        <f aca="false">IF(A1753="","",IFERROR(INDEX(Sancoes!$B:$B,MATCH(A1753,Sancoes!$A:$A,0))&amp;"","não consta"))</f>
        <v/>
      </c>
      <c r="L1753" s="19" t="str">
        <f aca="false">IF(A1753="","",IFERROR(INDEX(Eleitoral!$B:$B,MATCH(A1753,Eleitoral!$A:$A,0))&amp;"","não consta"))</f>
        <v/>
      </c>
      <c r="M1753" s="28" t="str">
        <f aca="false">IF(A1753="","",IF(OR(AND(K1753&lt;&gt;"",LOWER(K1753)&lt;&gt;"não consta"),AND(L1753&lt;&gt;"",LOWER(L1753)&lt;&gt;"não consta"),IFERROR(INDEX(Empresas!$G:$G,MATCH(A1753,Empresas!$A:$A,0))&amp;"","")&lt;&gt;""),"SIM",""))</f>
        <v/>
      </c>
      <c r="N1753" s="5"/>
      <c r="O1753" s="32" t="str">
        <f aca="false">IF(D1753="","",YEAR(D1753))</f>
        <v/>
      </c>
      <c r="P1753" s="5"/>
    </row>
    <row r="1754" customFormat="false" ht="15" hidden="false" customHeight="false" outlineLevel="0" collapsed="false">
      <c r="A1754" s="27"/>
      <c r="B1754" s="5"/>
      <c r="C1754" s="35"/>
      <c r="D1754" s="18"/>
      <c r="E1754" s="5"/>
      <c r="F1754" s="14"/>
      <c r="G1754" s="5"/>
      <c r="H1754" s="27"/>
      <c r="I1754" s="5"/>
      <c r="J1754" s="19" t="str">
        <f aca="false">IF(A1754="","",IFERROR(INDEX(Empresas!$D:$D,MATCH(A1754,Empresas!$A:$A,0))&amp;"","não consta"))</f>
        <v/>
      </c>
      <c r="K1754" s="19" t="str">
        <f aca="false">IF(A1754="","",IFERROR(INDEX(Sancoes!$B:$B,MATCH(A1754,Sancoes!$A:$A,0))&amp;"","não consta"))</f>
        <v/>
      </c>
      <c r="L1754" s="19" t="str">
        <f aca="false">IF(A1754="","",IFERROR(INDEX(Eleitoral!$B:$B,MATCH(A1754,Eleitoral!$A:$A,0))&amp;"","não consta"))</f>
        <v/>
      </c>
      <c r="M1754" s="28" t="str">
        <f aca="false">IF(A1754="","",IF(OR(AND(K1754&lt;&gt;"",LOWER(K1754)&lt;&gt;"não consta"),AND(L1754&lt;&gt;"",LOWER(L1754)&lt;&gt;"não consta"),IFERROR(INDEX(Empresas!$G:$G,MATCH(A1754,Empresas!$A:$A,0))&amp;"","")&lt;&gt;""),"SIM",""))</f>
        <v/>
      </c>
      <c r="N1754" s="5"/>
      <c r="O1754" s="32" t="str">
        <f aca="false">IF(D1754="","",YEAR(D1754))</f>
        <v/>
      </c>
      <c r="P1754" s="5"/>
    </row>
    <row r="1755" customFormat="false" ht="15" hidden="false" customHeight="false" outlineLevel="0" collapsed="false">
      <c r="A1755" s="27"/>
      <c r="B1755" s="5"/>
      <c r="C1755" s="35"/>
      <c r="D1755" s="18"/>
      <c r="E1755" s="5"/>
      <c r="F1755" s="14"/>
      <c r="G1755" s="5"/>
      <c r="H1755" s="27"/>
      <c r="I1755" s="5"/>
      <c r="J1755" s="19" t="str">
        <f aca="false">IF(A1755="","",IFERROR(INDEX(Empresas!$D:$D,MATCH(A1755,Empresas!$A:$A,0))&amp;"","não consta"))</f>
        <v/>
      </c>
      <c r="K1755" s="19" t="str">
        <f aca="false">IF(A1755="","",IFERROR(INDEX(Sancoes!$B:$B,MATCH(A1755,Sancoes!$A:$A,0))&amp;"","não consta"))</f>
        <v/>
      </c>
      <c r="L1755" s="19" t="str">
        <f aca="false">IF(A1755="","",IFERROR(INDEX(Eleitoral!$B:$B,MATCH(A1755,Eleitoral!$A:$A,0))&amp;"","não consta"))</f>
        <v/>
      </c>
      <c r="M1755" s="28" t="str">
        <f aca="false">IF(A1755="","",IF(OR(AND(K1755&lt;&gt;"",LOWER(K1755)&lt;&gt;"não consta"),AND(L1755&lt;&gt;"",LOWER(L1755)&lt;&gt;"não consta"),IFERROR(INDEX(Empresas!$G:$G,MATCH(A1755,Empresas!$A:$A,0))&amp;"","")&lt;&gt;""),"SIM",""))</f>
        <v/>
      </c>
      <c r="N1755" s="5"/>
      <c r="O1755" s="32" t="str">
        <f aca="false">IF(D1755="","",YEAR(D1755))</f>
        <v/>
      </c>
      <c r="P1755" s="5"/>
    </row>
    <row r="1756" customFormat="false" ht="15" hidden="false" customHeight="false" outlineLevel="0" collapsed="false">
      <c r="A1756" s="27"/>
      <c r="B1756" s="5"/>
      <c r="C1756" s="35"/>
      <c r="D1756" s="18"/>
      <c r="E1756" s="5"/>
      <c r="F1756" s="14"/>
      <c r="G1756" s="5"/>
      <c r="H1756" s="27"/>
      <c r="I1756" s="5"/>
      <c r="J1756" s="19" t="str">
        <f aca="false">IF(A1756="","",IFERROR(INDEX(Empresas!$D:$D,MATCH(A1756,Empresas!$A:$A,0))&amp;"","não consta"))</f>
        <v/>
      </c>
      <c r="K1756" s="19" t="str">
        <f aca="false">IF(A1756="","",IFERROR(INDEX(Sancoes!$B:$B,MATCH(A1756,Sancoes!$A:$A,0))&amp;"","não consta"))</f>
        <v/>
      </c>
      <c r="L1756" s="19" t="str">
        <f aca="false">IF(A1756="","",IFERROR(INDEX(Eleitoral!$B:$B,MATCH(A1756,Eleitoral!$A:$A,0))&amp;"","não consta"))</f>
        <v/>
      </c>
      <c r="M1756" s="28" t="str">
        <f aca="false">IF(A1756="","",IF(OR(AND(K1756&lt;&gt;"",LOWER(K1756)&lt;&gt;"não consta"),AND(L1756&lt;&gt;"",LOWER(L1756)&lt;&gt;"não consta"),IFERROR(INDEX(Empresas!$G:$G,MATCH(A1756,Empresas!$A:$A,0))&amp;"","")&lt;&gt;""),"SIM",""))</f>
        <v/>
      </c>
      <c r="N1756" s="5"/>
      <c r="O1756" s="32" t="str">
        <f aca="false">IF(D1756="","",YEAR(D1756))</f>
        <v/>
      </c>
      <c r="P1756" s="5"/>
    </row>
    <row r="1757" customFormat="false" ht="15" hidden="false" customHeight="false" outlineLevel="0" collapsed="false">
      <c r="A1757" s="27"/>
      <c r="B1757" s="5"/>
      <c r="C1757" s="35"/>
      <c r="D1757" s="18"/>
      <c r="E1757" s="5"/>
      <c r="F1757" s="14"/>
      <c r="G1757" s="5"/>
      <c r="H1757" s="27"/>
      <c r="I1757" s="5"/>
      <c r="J1757" s="19" t="str">
        <f aca="false">IF(A1757="","",IFERROR(INDEX(Empresas!$D:$D,MATCH(A1757,Empresas!$A:$A,0))&amp;"","não consta"))</f>
        <v/>
      </c>
      <c r="K1757" s="19" t="str">
        <f aca="false">IF(A1757="","",IFERROR(INDEX(Sancoes!$B:$B,MATCH(A1757,Sancoes!$A:$A,0))&amp;"","não consta"))</f>
        <v/>
      </c>
      <c r="L1757" s="19" t="str">
        <f aca="false">IF(A1757="","",IFERROR(INDEX(Eleitoral!$B:$B,MATCH(A1757,Eleitoral!$A:$A,0))&amp;"","não consta"))</f>
        <v/>
      </c>
      <c r="M1757" s="28" t="str">
        <f aca="false">IF(A1757="","",IF(OR(AND(K1757&lt;&gt;"",LOWER(K1757)&lt;&gt;"não consta"),AND(L1757&lt;&gt;"",LOWER(L1757)&lt;&gt;"não consta"),IFERROR(INDEX(Empresas!$G:$G,MATCH(A1757,Empresas!$A:$A,0))&amp;"","")&lt;&gt;""),"SIM",""))</f>
        <v/>
      </c>
      <c r="N1757" s="5"/>
      <c r="O1757" s="32" t="str">
        <f aca="false">IF(D1757="","",YEAR(D1757))</f>
        <v/>
      </c>
      <c r="P1757" s="5"/>
    </row>
    <row r="1758" customFormat="false" ht="15" hidden="false" customHeight="false" outlineLevel="0" collapsed="false">
      <c r="A1758" s="27"/>
      <c r="B1758" s="5"/>
      <c r="C1758" s="35"/>
      <c r="D1758" s="18"/>
      <c r="E1758" s="5"/>
      <c r="F1758" s="14"/>
      <c r="G1758" s="5"/>
      <c r="H1758" s="27"/>
      <c r="I1758" s="5"/>
      <c r="J1758" s="19" t="str">
        <f aca="false">IF(A1758="","",IFERROR(INDEX(Empresas!$D:$D,MATCH(A1758,Empresas!$A:$A,0))&amp;"","não consta"))</f>
        <v/>
      </c>
      <c r="K1758" s="19" t="str">
        <f aca="false">IF(A1758="","",IFERROR(INDEX(Sancoes!$B:$B,MATCH(A1758,Sancoes!$A:$A,0))&amp;"","não consta"))</f>
        <v/>
      </c>
      <c r="L1758" s="19" t="str">
        <f aca="false">IF(A1758="","",IFERROR(INDEX(Eleitoral!$B:$B,MATCH(A1758,Eleitoral!$A:$A,0))&amp;"","não consta"))</f>
        <v/>
      </c>
      <c r="M1758" s="28" t="str">
        <f aca="false">IF(A1758="","",IF(OR(AND(K1758&lt;&gt;"",LOWER(K1758)&lt;&gt;"não consta"),AND(L1758&lt;&gt;"",LOWER(L1758)&lt;&gt;"não consta"),IFERROR(INDEX(Empresas!$G:$G,MATCH(A1758,Empresas!$A:$A,0))&amp;"","")&lt;&gt;""),"SIM",""))</f>
        <v/>
      </c>
      <c r="N1758" s="5"/>
      <c r="O1758" s="32" t="str">
        <f aca="false">IF(D1758="","",YEAR(D1758))</f>
        <v/>
      </c>
      <c r="P1758" s="5"/>
    </row>
    <row r="1759" customFormat="false" ht="15" hidden="false" customHeight="false" outlineLevel="0" collapsed="false">
      <c r="A1759" s="27"/>
      <c r="B1759" s="5"/>
      <c r="C1759" s="35"/>
      <c r="D1759" s="18"/>
      <c r="E1759" s="5"/>
      <c r="F1759" s="14"/>
      <c r="G1759" s="5"/>
      <c r="H1759" s="27"/>
      <c r="I1759" s="5"/>
      <c r="J1759" s="19" t="str">
        <f aca="false">IF(A1759="","",IFERROR(INDEX(Empresas!$D:$D,MATCH(A1759,Empresas!$A:$A,0))&amp;"","não consta"))</f>
        <v/>
      </c>
      <c r="K1759" s="19" t="str">
        <f aca="false">IF(A1759="","",IFERROR(INDEX(Sancoes!$B:$B,MATCH(A1759,Sancoes!$A:$A,0))&amp;"","não consta"))</f>
        <v/>
      </c>
      <c r="L1759" s="19" t="str">
        <f aca="false">IF(A1759="","",IFERROR(INDEX(Eleitoral!$B:$B,MATCH(A1759,Eleitoral!$A:$A,0))&amp;"","não consta"))</f>
        <v/>
      </c>
      <c r="M1759" s="28" t="str">
        <f aca="false">IF(A1759="","",IF(OR(AND(K1759&lt;&gt;"",LOWER(K1759)&lt;&gt;"não consta"),AND(L1759&lt;&gt;"",LOWER(L1759)&lt;&gt;"não consta"),IFERROR(INDEX(Empresas!$G:$G,MATCH(A1759,Empresas!$A:$A,0))&amp;"","")&lt;&gt;""),"SIM",""))</f>
        <v/>
      </c>
      <c r="N1759" s="5"/>
      <c r="O1759" s="32" t="str">
        <f aca="false">IF(D1759="","",YEAR(D1759))</f>
        <v/>
      </c>
      <c r="P1759" s="5"/>
    </row>
    <row r="1760" customFormat="false" ht="15" hidden="false" customHeight="false" outlineLevel="0" collapsed="false">
      <c r="A1760" s="27"/>
      <c r="B1760" s="5"/>
      <c r="C1760" s="35"/>
      <c r="D1760" s="18"/>
      <c r="E1760" s="5"/>
      <c r="F1760" s="14"/>
      <c r="G1760" s="5"/>
      <c r="H1760" s="27"/>
      <c r="I1760" s="5"/>
      <c r="J1760" s="19" t="str">
        <f aca="false">IF(A1760="","",IFERROR(INDEX(Empresas!$D:$D,MATCH(A1760,Empresas!$A:$A,0))&amp;"","não consta"))</f>
        <v/>
      </c>
      <c r="K1760" s="19" t="str">
        <f aca="false">IF(A1760="","",IFERROR(INDEX(Sancoes!$B:$B,MATCH(A1760,Sancoes!$A:$A,0))&amp;"","não consta"))</f>
        <v/>
      </c>
      <c r="L1760" s="19" t="str">
        <f aca="false">IF(A1760="","",IFERROR(INDEX(Eleitoral!$B:$B,MATCH(A1760,Eleitoral!$A:$A,0))&amp;"","não consta"))</f>
        <v/>
      </c>
      <c r="M1760" s="28" t="str">
        <f aca="false">IF(A1760="","",IF(OR(AND(K1760&lt;&gt;"",LOWER(K1760)&lt;&gt;"não consta"),AND(L1760&lt;&gt;"",LOWER(L1760)&lt;&gt;"não consta"),IFERROR(INDEX(Empresas!$G:$G,MATCH(A1760,Empresas!$A:$A,0))&amp;"","")&lt;&gt;""),"SIM",""))</f>
        <v/>
      </c>
      <c r="N1760" s="5"/>
      <c r="O1760" s="32" t="str">
        <f aca="false">IF(D1760="","",YEAR(D1760))</f>
        <v/>
      </c>
      <c r="P1760" s="5"/>
    </row>
    <row r="1761" customFormat="false" ht="15" hidden="false" customHeight="false" outlineLevel="0" collapsed="false">
      <c r="A1761" s="27"/>
      <c r="B1761" s="5"/>
      <c r="C1761" s="35"/>
      <c r="D1761" s="18"/>
      <c r="E1761" s="5"/>
      <c r="F1761" s="14"/>
      <c r="G1761" s="5"/>
      <c r="H1761" s="27"/>
      <c r="I1761" s="5"/>
      <c r="J1761" s="19" t="str">
        <f aca="false">IF(A1761="","",IFERROR(INDEX(Empresas!$D:$D,MATCH(A1761,Empresas!$A:$A,0))&amp;"","não consta"))</f>
        <v/>
      </c>
      <c r="K1761" s="19" t="str">
        <f aca="false">IF(A1761="","",IFERROR(INDEX(Sancoes!$B:$B,MATCH(A1761,Sancoes!$A:$A,0))&amp;"","não consta"))</f>
        <v/>
      </c>
      <c r="L1761" s="19" t="str">
        <f aca="false">IF(A1761="","",IFERROR(INDEX(Eleitoral!$B:$B,MATCH(A1761,Eleitoral!$A:$A,0))&amp;"","não consta"))</f>
        <v/>
      </c>
      <c r="M1761" s="28" t="str">
        <f aca="false">IF(A1761="","",IF(OR(AND(K1761&lt;&gt;"",LOWER(K1761)&lt;&gt;"não consta"),AND(L1761&lt;&gt;"",LOWER(L1761)&lt;&gt;"não consta"),IFERROR(INDEX(Empresas!$G:$G,MATCH(A1761,Empresas!$A:$A,0))&amp;"","")&lt;&gt;""),"SIM",""))</f>
        <v/>
      </c>
      <c r="N1761" s="5"/>
      <c r="O1761" s="32" t="str">
        <f aca="false">IF(D1761="","",YEAR(D1761))</f>
        <v/>
      </c>
      <c r="P1761" s="5"/>
    </row>
    <row r="1762" customFormat="false" ht="15" hidden="false" customHeight="false" outlineLevel="0" collapsed="false">
      <c r="A1762" s="27"/>
      <c r="B1762" s="5"/>
      <c r="C1762" s="35"/>
      <c r="D1762" s="18"/>
      <c r="E1762" s="5"/>
      <c r="F1762" s="14"/>
      <c r="G1762" s="5"/>
      <c r="H1762" s="27"/>
      <c r="I1762" s="5"/>
      <c r="J1762" s="19" t="str">
        <f aca="false">IF(A1762="","",IFERROR(INDEX(Empresas!$D:$D,MATCH(A1762,Empresas!$A:$A,0))&amp;"","não consta"))</f>
        <v/>
      </c>
      <c r="K1762" s="19" t="str">
        <f aca="false">IF(A1762="","",IFERROR(INDEX(Sancoes!$B:$B,MATCH(A1762,Sancoes!$A:$A,0))&amp;"","não consta"))</f>
        <v/>
      </c>
      <c r="L1762" s="19" t="str">
        <f aca="false">IF(A1762="","",IFERROR(INDEX(Eleitoral!$B:$B,MATCH(A1762,Eleitoral!$A:$A,0))&amp;"","não consta"))</f>
        <v/>
      </c>
      <c r="M1762" s="28" t="str">
        <f aca="false">IF(A1762="","",IF(OR(AND(K1762&lt;&gt;"",LOWER(K1762)&lt;&gt;"não consta"),AND(L1762&lt;&gt;"",LOWER(L1762)&lt;&gt;"não consta"),IFERROR(INDEX(Empresas!$G:$G,MATCH(A1762,Empresas!$A:$A,0))&amp;"","")&lt;&gt;""),"SIM",""))</f>
        <v/>
      </c>
      <c r="N1762" s="5"/>
      <c r="O1762" s="32" t="str">
        <f aca="false">IF(D1762="","",YEAR(D1762))</f>
        <v/>
      </c>
      <c r="P1762" s="5"/>
    </row>
    <row r="1763" customFormat="false" ht="15" hidden="false" customHeight="false" outlineLevel="0" collapsed="false">
      <c r="A1763" s="27"/>
      <c r="B1763" s="5"/>
      <c r="C1763" s="35"/>
      <c r="D1763" s="18"/>
      <c r="E1763" s="5"/>
      <c r="F1763" s="14"/>
      <c r="G1763" s="5"/>
      <c r="H1763" s="27"/>
      <c r="I1763" s="5"/>
      <c r="J1763" s="19" t="str">
        <f aca="false">IF(A1763="","",IFERROR(INDEX(Empresas!$D:$D,MATCH(A1763,Empresas!$A:$A,0))&amp;"","não consta"))</f>
        <v/>
      </c>
      <c r="K1763" s="19" t="str">
        <f aca="false">IF(A1763="","",IFERROR(INDEX(Sancoes!$B:$B,MATCH(A1763,Sancoes!$A:$A,0))&amp;"","não consta"))</f>
        <v/>
      </c>
      <c r="L1763" s="19" t="str">
        <f aca="false">IF(A1763="","",IFERROR(INDEX(Eleitoral!$B:$B,MATCH(A1763,Eleitoral!$A:$A,0))&amp;"","não consta"))</f>
        <v/>
      </c>
      <c r="M1763" s="28" t="str">
        <f aca="false">IF(A1763="","",IF(OR(AND(K1763&lt;&gt;"",LOWER(K1763)&lt;&gt;"não consta"),AND(L1763&lt;&gt;"",LOWER(L1763)&lt;&gt;"não consta"),IFERROR(INDEX(Empresas!$G:$G,MATCH(A1763,Empresas!$A:$A,0))&amp;"","")&lt;&gt;""),"SIM",""))</f>
        <v/>
      </c>
      <c r="N1763" s="5"/>
      <c r="O1763" s="32" t="str">
        <f aca="false">IF(D1763="","",YEAR(D1763))</f>
        <v/>
      </c>
      <c r="P1763" s="5"/>
    </row>
    <row r="1764" customFormat="false" ht="15" hidden="false" customHeight="false" outlineLevel="0" collapsed="false">
      <c r="A1764" s="27"/>
      <c r="B1764" s="5"/>
      <c r="C1764" s="35"/>
      <c r="D1764" s="18"/>
      <c r="E1764" s="5"/>
      <c r="F1764" s="14"/>
      <c r="G1764" s="5"/>
      <c r="H1764" s="27"/>
      <c r="I1764" s="5"/>
      <c r="J1764" s="19" t="str">
        <f aca="false">IF(A1764="","",IFERROR(INDEX(Empresas!$D:$D,MATCH(A1764,Empresas!$A:$A,0))&amp;"","não consta"))</f>
        <v/>
      </c>
      <c r="K1764" s="19" t="str">
        <f aca="false">IF(A1764="","",IFERROR(INDEX(Sancoes!$B:$B,MATCH(A1764,Sancoes!$A:$A,0))&amp;"","não consta"))</f>
        <v/>
      </c>
      <c r="L1764" s="19" t="str">
        <f aca="false">IF(A1764="","",IFERROR(INDEX(Eleitoral!$B:$B,MATCH(A1764,Eleitoral!$A:$A,0))&amp;"","não consta"))</f>
        <v/>
      </c>
      <c r="M1764" s="28" t="str">
        <f aca="false">IF(A1764="","",IF(OR(AND(K1764&lt;&gt;"",LOWER(K1764)&lt;&gt;"não consta"),AND(L1764&lt;&gt;"",LOWER(L1764)&lt;&gt;"não consta"),IFERROR(INDEX(Empresas!$G:$G,MATCH(A1764,Empresas!$A:$A,0))&amp;"","")&lt;&gt;""),"SIM",""))</f>
        <v/>
      </c>
      <c r="N1764" s="5"/>
      <c r="O1764" s="32" t="str">
        <f aca="false">IF(D1764="","",YEAR(D1764))</f>
        <v/>
      </c>
      <c r="P1764" s="5"/>
    </row>
    <row r="1765" customFormat="false" ht="15" hidden="false" customHeight="false" outlineLevel="0" collapsed="false">
      <c r="A1765" s="27"/>
      <c r="B1765" s="5"/>
      <c r="C1765" s="35"/>
      <c r="D1765" s="18"/>
      <c r="E1765" s="5"/>
      <c r="F1765" s="14"/>
      <c r="G1765" s="5"/>
      <c r="H1765" s="27"/>
      <c r="I1765" s="5"/>
      <c r="J1765" s="19" t="str">
        <f aca="false">IF(A1765="","",IFERROR(INDEX(Empresas!$D:$D,MATCH(A1765,Empresas!$A:$A,0))&amp;"","não consta"))</f>
        <v/>
      </c>
      <c r="K1765" s="19" t="str">
        <f aca="false">IF(A1765="","",IFERROR(INDEX(Sancoes!$B:$B,MATCH(A1765,Sancoes!$A:$A,0))&amp;"","não consta"))</f>
        <v/>
      </c>
      <c r="L1765" s="19" t="str">
        <f aca="false">IF(A1765="","",IFERROR(INDEX(Eleitoral!$B:$B,MATCH(A1765,Eleitoral!$A:$A,0))&amp;"","não consta"))</f>
        <v/>
      </c>
      <c r="M1765" s="28" t="str">
        <f aca="false">IF(A1765="","",IF(OR(AND(K1765&lt;&gt;"",LOWER(K1765)&lt;&gt;"não consta"),AND(L1765&lt;&gt;"",LOWER(L1765)&lt;&gt;"não consta"),IFERROR(INDEX(Empresas!$G:$G,MATCH(A1765,Empresas!$A:$A,0))&amp;"","")&lt;&gt;""),"SIM",""))</f>
        <v/>
      </c>
      <c r="N1765" s="5"/>
      <c r="O1765" s="32" t="str">
        <f aca="false">IF(D1765="","",YEAR(D1765))</f>
        <v/>
      </c>
      <c r="P1765" s="5"/>
    </row>
    <row r="1766" customFormat="false" ht="15" hidden="false" customHeight="false" outlineLevel="0" collapsed="false">
      <c r="A1766" s="27"/>
      <c r="B1766" s="5"/>
      <c r="C1766" s="35"/>
      <c r="D1766" s="18"/>
      <c r="E1766" s="5"/>
      <c r="F1766" s="14"/>
      <c r="G1766" s="5"/>
      <c r="H1766" s="27"/>
      <c r="I1766" s="5"/>
      <c r="J1766" s="19" t="str">
        <f aca="false">IF(A1766="","",IFERROR(INDEX(Empresas!$D:$D,MATCH(A1766,Empresas!$A:$A,0))&amp;"","não consta"))</f>
        <v/>
      </c>
      <c r="K1766" s="19" t="str">
        <f aca="false">IF(A1766="","",IFERROR(INDEX(Sancoes!$B:$B,MATCH(A1766,Sancoes!$A:$A,0))&amp;"","não consta"))</f>
        <v/>
      </c>
      <c r="L1766" s="19" t="str">
        <f aca="false">IF(A1766="","",IFERROR(INDEX(Eleitoral!$B:$B,MATCH(A1766,Eleitoral!$A:$A,0))&amp;"","não consta"))</f>
        <v/>
      </c>
      <c r="M1766" s="28" t="str">
        <f aca="false">IF(A1766="","",IF(OR(AND(K1766&lt;&gt;"",LOWER(K1766)&lt;&gt;"não consta"),AND(L1766&lt;&gt;"",LOWER(L1766)&lt;&gt;"não consta"),IFERROR(INDEX(Empresas!$G:$G,MATCH(A1766,Empresas!$A:$A,0))&amp;"","")&lt;&gt;""),"SIM",""))</f>
        <v/>
      </c>
      <c r="N1766" s="5"/>
      <c r="O1766" s="32" t="str">
        <f aca="false">IF(D1766="","",YEAR(D1766))</f>
        <v/>
      </c>
      <c r="P1766" s="5"/>
    </row>
    <row r="1767" customFormat="false" ht="15" hidden="false" customHeight="false" outlineLevel="0" collapsed="false">
      <c r="A1767" s="27"/>
      <c r="B1767" s="5"/>
      <c r="C1767" s="35"/>
      <c r="D1767" s="18"/>
      <c r="E1767" s="5"/>
      <c r="F1767" s="14"/>
      <c r="G1767" s="5"/>
      <c r="H1767" s="27"/>
      <c r="I1767" s="5"/>
      <c r="J1767" s="19" t="str">
        <f aca="false">IF(A1767="","",IFERROR(INDEX(Empresas!$D:$D,MATCH(A1767,Empresas!$A:$A,0))&amp;"","não consta"))</f>
        <v/>
      </c>
      <c r="K1767" s="19" t="str">
        <f aca="false">IF(A1767="","",IFERROR(INDEX(Sancoes!$B:$B,MATCH(A1767,Sancoes!$A:$A,0))&amp;"","não consta"))</f>
        <v/>
      </c>
      <c r="L1767" s="19" t="str">
        <f aca="false">IF(A1767="","",IFERROR(INDEX(Eleitoral!$B:$B,MATCH(A1767,Eleitoral!$A:$A,0))&amp;"","não consta"))</f>
        <v/>
      </c>
      <c r="M1767" s="28" t="str">
        <f aca="false">IF(A1767="","",IF(OR(AND(K1767&lt;&gt;"",LOWER(K1767)&lt;&gt;"não consta"),AND(L1767&lt;&gt;"",LOWER(L1767)&lt;&gt;"não consta"),IFERROR(INDEX(Empresas!$G:$G,MATCH(A1767,Empresas!$A:$A,0))&amp;"","")&lt;&gt;""),"SIM",""))</f>
        <v/>
      </c>
      <c r="N1767" s="5"/>
      <c r="O1767" s="32" t="str">
        <f aca="false">IF(D1767="","",YEAR(D1767))</f>
        <v/>
      </c>
      <c r="P1767" s="5"/>
    </row>
    <row r="1768" customFormat="false" ht="15" hidden="false" customHeight="false" outlineLevel="0" collapsed="false">
      <c r="A1768" s="27"/>
      <c r="B1768" s="5"/>
      <c r="C1768" s="35"/>
      <c r="D1768" s="18"/>
      <c r="E1768" s="5"/>
      <c r="F1768" s="14"/>
      <c r="G1768" s="5"/>
      <c r="H1768" s="27"/>
      <c r="I1768" s="5"/>
      <c r="J1768" s="19" t="str">
        <f aca="false">IF(A1768="","",IFERROR(INDEX(Empresas!$D:$D,MATCH(A1768,Empresas!$A:$A,0))&amp;"","não consta"))</f>
        <v/>
      </c>
      <c r="K1768" s="19" t="str">
        <f aca="false">IF(A1768="","",IFERROR(INDEX(Sancoes!$B:$B,MATCH(A1768,Sancoes!$A:$A,0))&amp;"","não consta"))</f>
        <v/>
      </c>
      <c r="L1768" s="19" t="str">
        <f aca="false">IF(A1768="","",IFERROR(INDEX(Eleitoral!$B:$B,MATCH(A1768,Eleitoral!$A:$A,0))&amp;"","não consta"))</f>
        <v/>
      </c>
      <c r="M1768" s="28" t="str">
        <f aca="false">IF(A1768="","",IF(OR(AND(K1768&lt;&gt;"",LOWER(K1768)&lt;&gt;"não consta"),AND(L1768&lt;&gt;"",LOWER(L1768)&lt;&gt;"não consta"),IFERROR(INDEX(Empresas!$G:$G,MATCH(A1768,Empresas!$A:$A,0))&amp;"","")&lt;&gt;""),"SIM",""))</f>
        <v/>
      </c>
      <c r="N1768" s="5"/>
      <c r="O1768" s="32" t="str">
        <f aca="false">IF(D1768="","",YEAR(D1768))</f>
        <v/>
      </c>
      <c r="P1768" s="5"/>
    </row>
    <row r="1769" customFormat="false" ht="15" hidden="false" customHeight="false" outlineLevel="0" collapsed="false">
      <c r="A1769" s="27"/>
      <c r="B1769" s="5"/>
      <c r="C1769" s="35"/>
      <c r="D1769" s="18"/>
      <c r="E1769" s="5"/>
      <c r="F1769" s="14"/>
      <c r="G1769" s="5"/>
      <c r="H1769" s="27"/>
      <c r="I1769" s="5"/>
      <c r="J1769" s="19" t="str">
        <f aca="false">IF(A1769="","",IFERROR(INDEX(Empresas!$D:$D,MATCH(A1769,Empresas!$A:$A,0))&amp;"","não consta"))</f>
        <v/>
      </c>
      <c r="K1769" s="19" t="str">
        <f aca="false">IF(A1769="","",IFERROR(INDEX(Sancoes!$B:$B,MATCH(A1769,Sancoes!$A:$A,0))&amp;"","não consta"))</f>
        <v/>
      </c>
      <c r="L1769" s="19" t="str">
        <f aca="false">IF(A1769="","",IFERROR(INDEX(Eleitoral!$B:$B,MATCH(A1769,Eleitoral!$A:$A,0))&amp;"","não consta"))</f>
        <v/>
      </c>
      <c r="M1769" s="28" t="str">
        <f aca="false">IF(A1769="","",IF(OR(AND(K1769&lt;&gt;"",LOWER(K1769)&lt;&gt;"não consta"),AND(L1769&lt;&gt;"",LOWER(L1769)&lt;&gt;"não consta"),IFERROR(INDEX(Empresas!$G:$G,MATCH(A1769,Empresas!$A:$A,0))&amp;"","")&lt;&gt;""),"SIM",""))</f>
        <v/>
      </c>
      <c r="N1769" s="5"/>
      <c r="O1769" s="32" t="str">
        <f aca="false">IF(D1769="","",YEAR(D1769))</f>
        <v/>
      </c>
      <c r="P1769" s="5"/>
    </row>
    <row r="1770" customFormat="false" ht="15" hidden="false" customHeight="false" outlineLevel="0" collapsed="false">
      <c r="A1770" s="27"/>
      <c r="B1770" s="5"/>
      <c r="C1770" s="35"/>
      <c r="D1770" s="18"/>
      <c r="E1770" s="5"/>
      <c r="F1770" s="14"/>
      <c r="G1770" s="5"/>
      <c r="H1770" s="27"/>
      <c r="I1770" s="5"/>
      <c r="J1770" s="19" t="str">
        <f aca="false">IF(A1770="","",IFERROR(INDEX(Empresas!$D:$D,MATCH(A1770,Empresas!$A:$A,0))&amp;"","não consta"))</f>
        <v/>
      </c>
      <c r="K1770" s="19" t="str">
        <f aca="false">IF(A1770="","",IFERROR(INDEX(Sancoes!$B:$B,MATCH(A1770,Sancoes!$A:$A,0))&amp;"","não consta"))</f>
        <v/>
      </c>
      <c r="L1770" s="19" t="str">
        <f aca="false">IF(A1770="","",IFERROR(INDEX(Eleitoral!$B:$B,MATCH(A1770,Eleitoral!$A:$A,0))&amp;"","não consta"))</f>
        <v/>
      </c>
      <c r="M1770" s="28" t="str">
        <f aca="false">IF(A1770="","",IF(OR(AND(K1770&lt;&gt;"",LOWER(K1770)&lt;&gt;"não consta"),AND(L1770&lt;&gt;"",LOWER(L1770)&lt;&gt;"não consta"),IFERROR(INDEX(Empresas!$G:$G,MATCH(A1770,Empresas!$A:$A,0))&amp;"","")&lt;&gt;""),"SIM",""))</f>
        <v/>
      </c>
      <c r="N1770" s="5"/>
      <c r="O1770" s="32" t="str">
        <f aca="false">IF(D1770="","",YEAR(D1770))</f>
        <v/>
      </c>
      <c r="P1770" s="5"/>
    </row>
    <row r="1771" customFormat="false" ht="15" hidden="false" customHeight="false" outlineLevel="0" collapsed="false">
      <c r="A1771" s="27"/>
      <c r="B1771" s="5"/>
      <c r="C1771" s="35"/>
      <c r="D1771" s="18"/>
      <c r="E1771" s="5"/>
      <c r="F1771" s="14"/>
      <c r="G1771" s="5"/>
      <c r="H1771" s="27"/>
      <c r="I1771" s="5"/>
      <c r="J1771" s="19" t="str">
        <f aca="false">IF(A1771="","",IFERROR(INDEX(Empresas!$D:$D,MATCH(A1771,Empresas!$A:$A,0))&amp;"","não consta"))</f>
        <v/>
      </c>
      <c r="K1771" s="19" t="str">
        <f aca="false">IF(A1771="","",IFERROR(INDEX(Sancoes!$B:$B,MATCH(A1771,Sancoes!$A:$A,0))&amp;"","não consta"))</f>
        <v/>
      </c>
      <c r="L1771" s="19" t="str">
        <f aca="false">IF(A1771="","",IFERROR(INDEX(Eleitoral!$B:$B,MATCH(A1771,Eleitoral!$A:$A,0))&amp;"","não consta"))</f>
        <v/>
      </c>
      <c r="M1771" s="28" t="str">
        <f aca="false">IF(A1771="","",IF(OR(AND(K1771&lt;&gt;"",LOWER(K1771)&lt;&gt;"não consta"),AND(L1771&lt;&gt;"",LOWER(L1771)&lt;&gt;"não consta"),IFERROR(INDEX(Empresas!$G:$G,MATCH(A1771,Empresas!$A:$A,0))&amp;"","")&lt;&gt;""),"SIM",""))</f>
        <v/>
      </c>
      <c r="N1771" s="5"/>
      <c r="O1771" s="32" t="str">
        <f aca="false">IF(D1771="","",YEAR(D1771))</f>
        <v/>
      </c>
      <c r="P1771" s="5"/>
    </row>
    <row r="1772" customFormat="false" ht="15" hidden="false" customHeight="false" outlineLevel="0" collapsed="false">
      <c r="A1772" s="27"/>
      <c r="B1772" s="5"/>
      <c r="C1772" s="35"/>
      <c r="D1772" s="18"/>
      <c r="E1772" s="5"/>
      <c r="F1772" s="14"/>
      <c r="G1772" s="5"/>
      <c r="H1772" s="27"/>
      <c r="I1772" s="5"/>
      <c r="J1772" s="19" t="str">
        <f aca="false">IF(A1772="","",IFERROR(INDEX(Empresas!$D:$D,MATCH(A1772,Empresas!$A:$A,0))&amp;"","não consta"))</f>
        <v/>
      </c>
      <c r="K1772" s="19" t="str">
        <f aca="false">IF(A1772="","",IFERROR(INDEX(Sancoes!$B:$B,MATCH(A1772,Sancoes!$A:$A,0))&amp;"","não consta"))</f>
        <v/>
      </c>
      <c r="L1772" s="19" t="str">
        <f aca="false">IF(A1772="","",IFERROR(INDEX(Eleitoral!$B:$B,MATCH(A1772,Eleitoral!$A:$A,0))&amp;"","não consta"))</f>
        <v/>
      </c>
      <c r="M1772" s="28" t="str">
        <f aca="false">IF(A1772="","",IF(OR(AND(K1772&lt;&gt;"",LOWER(K1772)&lt;&gt;"não consta"),AND(L1772&lt;&gt;"",LOWER(L1772)&lt;&gt;"não consta"),IFERROR(INDEX(Empresas!$G:$G,MATCH(A1772,Empresas!$A:$A,0))&amp;"","")&lt;&gt;""),"SIM",""))</f>
        <v/>
      </c>
      <c r="N1772" s="5"/>
      <c r="O1772" s="32" t="str">
        <f aca="false">IF(D1772="","",YEAR(D1772))</f>
        <v/>
      </c>
      <c r="P1772" s="5"/>
    </row>
    <row r="1773" customFormat="false" ht="15" hidden="false" customHeight="false" outlineLevel="0" collapsed="false">
      <c r="A1773" s="27"/>
      <c r="B1773" s="5"/>
      <c r="C1773" s="35"/>
      <c r="D1773" s="18"/>
      <c r="E1773" s="5"/>
      <c r="F1773" s="14"/>
      <c r="G1773" s="5"/>
      <c r="H1773" s="27"/>
      <c r="I1773" s="5"/>
      <c r="J1773" s="19" t="str">
        <f aca="false">IF(A1773="","",IFERROR(INDEX(Empresas!$D:$D,MATCH(A1773,Empresas!$A:$A,0))&amp;"","não consta"))</f>
        <v/>
      </c>
      <c r="K1773" s="19" t="str">
        <f aca="false">IF(A1773="","",IFERROR(INDEX(Sancoes!$B:$B,MATCH(A1773,Sancoes!$A:$A,0))&amp;"","não consta"))</f>
        <v/>
      </c>
      <c r="L1773" s="19" t="str">
        <f aca="false">IF(A1773="","",IFERROR(INDEX(Eleitoral!$B:$B,MATCH(A1773,Eleitoral!$A:$A,0))&amp;"","não consta"))</f>
        <v/>
      </c>
      <c r="M1773" s="28" t="str">
        <f aca="false">IF(A1773="","",IF(OR(AND(K1773&lt;&gt;"",LOWER(K1773)&lt;&gt;"não consta"),AND(L1773&lt;&gt;"",LOWER(L1773)&lt;&gt;"não consta"),IFERROR(INDEX(Empresas!$G:$G,MATCH(A1773,Empresas!$A:$A,0))&amp;"","")&lt;&gt;""),"SIM",""))</f>
        <v/>
      </c>
      <c r="N1773" s="5"/>
      <c r="O1773" s="32" t="str">
        <f aca="false">IF(D1773="","",YEAR(D1773))</f>
        <v/>
      </c>
      <c r="P1773" s="5"/>
    </row>
    <row r="1774" customFormat="false" ht="15" hidden="false" customHeight="false" outlineLevel="0" collapsed="false">
      <c r="A1774" s="27"/>
      <c r="B1774" s="5"/>
      <c r="C1774" s="35"/>
      <c r="D1774" s="18"/>
      <c r="E1774" s="5"/>
      <c r="F1774" s="14"/>
      <c r="G1774" s="5"/>
      <c r="H1774" s="27"/>
      <c r="I1774" s="5"/>
      <c r="J1774" s="19" t="str">
        <f aca="false">IF(A1774="","",IFERROR(INDEX(Empresas!$D:$D,MATCH(A1774,Empresas!$A:$A,0))&amp;"","não consta"))</f>
        <v/>
      </c>
      <c r="K1774" s="19" t="str">
        <f aca="false">IF(A1774="","",IFERROR(INDEX(Sancoes!$B:$B,MATCH(A1774,Sancoes!$A:$A,0))&amp;"","não consta"))</f>
        <v/>
      </c>
      <c r="L1774" s="19" t="str">
        <f aca="false">IF(A1774="","",IFERROR(INDEX(Eleitoral!$B:$B,MATCH(A1774,Eleitoral!$A:$A,0))&amp;"","não consta"))</f>
        <v/>
      </c>
      <c r="M1774" s="28" t="str">
        <f aca="false">IF(A1774="","",IF(OR(AND(K1774&lt;&gt;"",LOWER(K1774)&lt;&gt;"não consta"),AND(L1774&lt;&gt;"",LOWER(L1774)&lt;&gt;"não consta"),IFERROR(INDEX(Empresas!$G:$G,MATCH(A1774,Empresas!$A:$A,0))&amp;"","")&lt;&gt;""),"SIM",""))</f>
        <v/>
      </c>
      <c r="N1774" s="5"/>
      <c r="O1774" s="32" t="str">
        <f aca="false">IF(D1774="","",YEAR(D1774))</f>
        <v/>
      </c>
      <c r="P1774" s="5"/>
    </row>
    <row r="1775" customFormat="false" ht="15" hidden="false" customHeight="false" outlineLevel="0" collapsed="false">
      <c r="A1775" s="27"/>
      <c r="B1775" s="5"/>
      <c r="C1775" s="35"/>
      <c r="D1775" s="18"/>
      <c r="E1775" s="5"/>
      <c r="F1775" s="14"/>
      <c r="G1775" s="5"/>
      <c r="H1775" s="27"/>
      <c r="I1775" s="5"/>
      <c r="J1775" s="19" t="str">
        <f aca="false">IF(A1775="","",IFERROR(INDEX(Empresas!$D:$D,MATCH(A1775,Empresas!$A:$A,0))&amp;"","não consta"))</f>
        <v/>
      </c>
      <c r="K1775" s="19" t="str">
        <f aca="false">IF(A1775="","",IFERROR(INDEX(Sancoes!$B:$B,MATCH(A1775,Sancoes!$A:$A,0))&amp;"","não consta"))</f>
        <v/>
      </c>
      <c r="L1775" s="19" t="str">
        <f aca="false">IF(A1775="","",IFERROR(INDEX(Eleitoral!$B:$B,MATCH(A1775,Eleitoral!$A:$A,0))&amp;"","não consta"))</f>
        <v/>
      </c>
      <c r="M1775" s="28" t="str">
        <f aca="false">IF(A1775="","",IF(OR(AND(K1775&lt;&gt;"",LOWER(K1775)&lt;&gt;"não consta"),AND(L1775&lt;&gt;"",LOWER(L1775)&lt;&gt;"não consta"),IFERROR(INDEX(Empresas!$G:$G,MATCH(A1775,Empresas!$A:$A,0))&amp;"","")&lt;&gt;""),"SIM",""))</f>
        <v/>
      </c>
      <c r="N1775" s="5"/>
      <c r="O1775" s="32" t="str">
        <f aca="false">IF(D1775="","",YEAR(D1775))</f>
        <v/>
      </c>
      <c r="P1775" s="5"/>
    </row>
    <row r="1776" customFormat="false" ht="15" hidden="false" customHeight="false" outlineLevel="0" collapsed="false">
      <c r="A1776" s="27"/>
      <c r="B1776" s="5"/>
      <c r="C1776" s="35"/>
      <c r="D1776" s="18"/>
      <c r="E1776" s="5"/>
      <c r="F1776" s="14"/>
      <c r="G1776" s="5"/>
      <c r="H1776" s="27"/>
      <c r="I1776" s="5"/>
      <c r="J1776" s="19" t="str">
        <f aca="false">IF(A1776="","",IFERROR(INDEX(Empresas!$D:$D,MATCH(A1776,Empresas!$A:$A,0))&amp;"","não consta"))</f>
        <v/>
      </c>
      <c r="K1776" s="19" t="str">
        <f aca="false">IF(A1776="","",IFERROR(INDEX(Sancoes!$B:$B,MATCH(A1776,Sancoes!$A:$A,0))&amp;"","não consta"))</f>
        <v/>
      </c>
      <c r="L1776" s="19" t="str">
        <f aca="false">IF(A1776="","",IFERROR(INDEX(Eleitoral!$B:$B,MATCH(A1776,Eleitoral!$A:$A,0))&amp;"","não consta"))</f>
        <v/>
      </c>
      <c r="M1776" s="28" t="str">
        <f aca="false">IF(A1776="","",IF(OR(AND(K1776&lt;&gt;"",LOWER(K1776)&lt;&gt;"não consta"),AND(L1776&lt;&gt;"",LOWER(L1776)&lt;&gt;"não consta"),IFERROR(INDEX(Empresas!$G:$G,MATCH(A1776,Empresas!$A:$A,0))&amp;"","")&lt;&gt;""),"SIM",""))</f>
        <v/>
      </c>
      <c r="N1776" s="5"/>
      <c r="O1776" s="32" t="str">
        <f aca="false">IF(D1776="","",YEAR(D1776))</f>
        <v/>
      </c>
      <c r="P1776" s="5"/>
    </row>
    <row r="1777" customFormat="false" ht="15" hidden="false" customHeight="false" outlineLevel="0" collapsed="false">
      <c r="A1777" s="27"/>
      <c r="B1777" s="5"/>
      <c r="C1777" s="35"/>
      <c r="D1777" s="18"/>
      <c r="E1777" s="5"/>
      <c r="F1777" s="14"/>
      <c r="G1777" s="5"/>
      <c r="H1777" s="27"/>
      <c r="I1777" s="5"/>
      <c r="J1777" s="19" t="str">
        <f aca="false">IF(A1777="","",IFERROR(INDEX(Empresas!$D:$D,MATCH(A1777,Empresas!$A:$A,0))&amp;"","não consta"))</f>
        <v/>
      </c>
      <c r="K1777" s="19" t="str">
        <f aca="false">IF(A1777="","",IFERROR(INDEX(Sancoes!$B:$B,MATCH(A1777,Sancoes!$A:$A,0))&amp;"","não consta"))</f>
        <v/>
      </c>
      <c r="L1777" s="19" t="str">
        <f aca="false">IF(A1777="","",IFERROR(INDEX(Eleitoral!$B:$B,MATCH(A1777,Eleitoral!$A:$A,0))&amp;"","não consta"))</f>
        <v/>
      </c>
      <c r="M1777" s="28" t="str">
        <f aca="false">IF(A1777="","",IF(OR(AND(K1777&lt;&gt;"",LOWER(K1777)&lt;&gt;"não consta"),AND(L1777&lt;&gt;"",LOWER(L1777)&lt;&gt;"não consta"),IFERROR(INDEX(Empresas!$G:$G,MATCH(A1777,Empresas!$A:$A,0))&amp;"","")&lt;&gt;""),"SIM",""))</f>
        <v/>
      </c>
      <c r="N1777" s="5"/>
      <c r="O1777" s="32" t="str">
        <f aca="false">IF(D1777="","",YEAR(D1777))</f>
        <v/>
      </c>
      <c r="P1777" s="5"/>
    </row>
    <row r="1778" customFormat="false" ht="15" hidden="false" customHeight="false" outlineLevel="0" collapsed="false">
      <c r="A1778" s="27"/>
      <c r="B1778" s="5"/>
      <c r="C1778" s="35"/>
      <c r="D1778" s="18"/>
      <c r="E1778" s="5"/>
      <c r="F1778" s="14"/>
      <c r="G1778" s="5"/>
      <c r="H1778" s="27"/>
      <c r="I1778" s="5"/>
      <c r="J1778" s="19" t="str">
        <f aca="false">IF(A1778="","",IFERROR(INDEX(Empresas!$D:$D,MATCH(A1778,Empresas!$A:$A,0))&amp;"","não consta"))</f>
        <v/>
      </c>
      <c r="K1778" s="19" t="str">
        <f aca="false">IF(A1778="","",IFERROR(INDEX(Sancoes!$B:$B,MATCH(A1778,Sancoes!$A:$A,0))&amp;"","não consta"))</f>
        <v/>
      </c>
      <c r="L1778" s="19" t="str">
        <f aca="false">IF(A1778="","",IFERROR(INDEX(Eleitoral!$B:$B,MATCH(A1778,Eleitoral!$A:$A,0))&amp;"","não consta"))</f>
        <v/>
      </c>
      <c r="M1778" s="28" t="str">
        <f aca="false">IF(A1778="","",IF(OR(AND(K1778&lt;&gt;"",LOWER(K1778)&lt;&gt;"não consta"),AND(L1778&lt;&gt;"",LOWER(L1778)&lt;&gt;"não consta"),IFERROR(INDEX(Empresas!$G:$G,MATCH(A1778,Empresas!$A:$A,0))&amp;"","")&lt;&gt;""),"SIM",""))</f>
        <v/>
      </c>
      <c r="N1778" s="5"/>
      <c r="O1778" s="32" t="str">
        <f aca="false">IF(D1778="","",YEAR(D1778))</f>
        <v/>
      </c>
      <c r="P1778" s="5"/>
    </row>
    <row r="1779" customFormat="false" ht="15" hidden="false" customHeight="false" outlineLevel="0" collapsed="false">
      <c r="A1779" s="27"/>
      <c r="B1779" s="5"/>
      <c r="C1779" s="35"/>
      <c r="D1779" s="18"/>
      <c r="E1779" s="5"/>
      <c r="F1779" s="14"/>
      <c r="G1779" s="5"/>
      <c r="H1779" s="27"/>
      <c r="I1779" s="5"/>
      <c r="J1779" s="19" t="str">
        <f aca="false">IF(A1779="","",IFERROR(INDEX(Empresas!$D:$D,MATCH(A1779,Empresas!$A:$A,0))&amp;"","não consta"))</f>
        <v/>
      </c>
      <c r="K1779" s="19" t="str">
        <f aca="false">IF(A1779="","",IFERROR(INDEX(Sancoes!$B:$B,MATCH(A1779,Sancoes!$A:$A,0))&amp;"","não consta"))</f>
        <v/>
      </c>
      <c r="L1779" s="19" t="str">
        <f aca="false">IF(A1779="","",IFERROR(INDEX(Eleitoral!$B:$B,MATCH(A1779,Eleitoral!$A:$A,0))&amp;"","não consta"))</f>
        <v/>
      </c>
      <c r="M1779" s="28" t="str">
        <f aca="false">IF(A1779="","",IF(OR(AND(K1779&lt;&gt;"",LOWER(K1779)&lt;&gt;"não consta"),AND(L1779&lt;&gt;"",LOWER(L1779)&lt;&gt;"não consta"),IFERROR(INDEX(Empresas!$G:$G,MATCH(A1779,Empresas!$A:$A,0))&amp;"","")&lt;&gt;""),"SIM",""))</f>
        <v/>
      </c>
      <c r="N1779" s="5"/>
      <c r="O1779" s="32" t="str">
        <f aca="false">IF(D1779="","",YEAR(D1779))</f>
        <v/>
      </c>
      <c r="P1779" s="5"/>
    </row>
    <row r="1780" customFormat="false" ht="15" hidden="false" customHeight="false" outlineLevel="0" collapsed="false">
      <c r="A1780" s="27"/>
      <c r="B1780" s="5"/>
      <c r="C1780" s="35"/>
      <c r="D1780" s="18"/>
      <c r="E1780" s="5"/>
      <c r="F1780" s="14"/>
      <c r="G1780" s="5"/>
      <c r="H1780" s="27"/>
      <c r="I1780" s="5"/>
      <c r="J1780" s="19" t="str">
        <f aca="false">IF(A1780="","",IFERROR(INDEX(Empresas!$D:$D,MATCH(A1780,Empresas!$A:$A,0))&amp;"","não consta"))</f>
        <v/>
      </c>
      <c r="K1780" s="19" t="str">
        <f aca="false">IF(A1780="","",IFERROR(INDEX(Sancoes!$B:$B,MATCH(A1780,Sancoes!$A:$A,0))&amp;"","não consta"))</f>
        <v/>
      </c>
      <c r="L1780" s="19" t="str">
        <f aca="false">IF(A1780="","",IFERROR(INDEX(Eleitoral!$B:$B,MATCH(A1780,Eleitoral!$A:$A,0))&amp;"","não consta"))</f>
        <v/>
      </c>
      <c r="M1780" s="28" t="str">
        <f aca="false">IF(A1780="","",IF(OR(AND(K1780&lt;&gt;"",LOWER(K1780)&lt;&gt;"não consta"),AND(L1780&lt;&gt;"",LOWER(L1780)&lt;&gt;"não consta"),IFERROR(INDEX(Empresas!$G:$G,MATCH(A1780,Empresas!$A:$A,0))&amp;"","")&lt;&gt;""),"SIM",""))</f>
        <v/>
      </c>
      <c r="N1780" s="5"/>
      <c r="O1780" s="32" t="str">
        <f aca="false">IF(D1780="","",YEAR(D1780))</f>
        <v/>
      </c>
      <c r="P1780" s="5"/>
    </row>
    <row r="1781" customFormat="false" ht="15" hidden="false" customHeight="false" outlineLevel="0" collapsed="false">
      <c r="A1781" s="27"/>
      <c r="B1781" s="5"/>
      <c r="C1781" s="35"/>
      <c r="D1781" s="18"/>
      <c r="E1781" s="5"/>
      <c r="F1781" s="14"/>
      <c r="G1781" s="5"/>
      <c r="H1781" s="27"/>
      <c r="I1781" s="5"/>
      <c r="J1781" s="19" t="str">
        <f aca="false">IF(A1781="","",IFERROR(INDEX(Empresas!$D:$D,MATCH(A1781,Empresas!$A:$A,0))&amp;"","não consta"))</f>
        <v/>
      </c>
      <c r="K1781" s="19" t="str">
        <f aca="false">IF(A1781="","",IFERROR(INDEX(Sancoes!$B:$B,MATCH(A1781,Sancoes!$A:$A,0))&amp;"","não consta"))</f>
        <v/>
      </c>
      <c r="L1781" s="19" t="str">
        <f aca="false">IF(A1781="","",IFERROR(INDEX(Eleitoral!$B:$B,MATCH(A1781,Eleitoral!$A:$A,0))&amp;"","não consta"))</f>
        <v/>
      </c>
      <c r="M1781" s="28" t="str">
        <f aca="false">IF(A1781="","",IF(OR(AND(K1781&lt;&gt;"",LOWER(K1781)&lt;&gt;"não consta"),AND(L1781&lt;&gt;"",LOWER(L1781)&lt;&gt;"não consta"),IFERROR(INDEX(Empresas!$G:$G,MATCH(A1781,Empresas!$A:$A,0))&amp;"","")&lt;&gt;""),"SIM",""))</f>
        <v/>
      </c>
      <c r="N1781" s="5"/>
      <c r="O1781" s="32" t="str">
        <f aca="false">IF(D1781="","",YEAR(D1781))</f>
        <v/>
      </c>
      <c r="P1781" s="5"/>
    </row>
    <row r="1782" customFormat="false" ht="15" hidden="false" customHeight="false" outlineLevel="0" collapsed="false">
      <c r="A1782" s="27"/>
      <c r="B1782" s="5"/>
      <c r="C1782" s="35"/>
      <c r="D1782" s="18"/>
      <c r="E1782" s="5"/>
      <c r="F1782" s="14"/>
      <c r="G1782" s="5"/>
      <c r="H1782" s="27"/>
      <c r="I1782" s="5"/>
      <c r="J1782" s="19" t="str">
        <f aca="false">IF(A1782="","",IFERROR(INDEX(Empresas!$D:$D,MATCH(A1782,Empresas!$A:$A,0))&amp;"","não consta"))</f>
        <v/>
      </c>
      <c r="K1782" s="19" t="str">
        <f aca="false">IF(A1782="","",IFERROR(INDEX(Sancoes!$B:$B,MATCH(A1782,Sancoes!$A:$A,0))&amp;"","não consta"))</f>
        <v/>
      </c>
      <c r="L1782" s="19" t="str">
        <f aca="false">IF(A1782="","",IFERROR(INDEX(Eleitoral!$B:$B,MATCH(A1782,Eleitoral!$A:$A,0))&amp;"","não consta"))</f>
        <v/>
      </c>
      <c r="M1782" s="28" t="str">
        <f aca="false">IF(A1782="","",IF(OR(AND(K1782&lt;&gt;"",LOWER(K1782)&lt;&gt;"não consta"),AND(L1782&lt;&gt;"",LOWER(L1782)&lt;&gt;"não consta"),IFERROR(INDEX(Empresas!$G:$G,MATCH(A1782,Empresas!$A:$A,0))&amp;"","")&lt;&gt;""),"SIM",""))</f>
        <v/>
      </c>
      <c r="N1782" s="5"/>
      <c r="O1782" s="32" t="str">
        <f aca="false">IF(D1782="","",YEAR(D1782))</f>
        <v/>
      </c>
      <c r="P1782" s="5"/>
    </row>
    <row r="1783" customFormat="false" ht="15" hidden="false" customHeight="false" outlineLevel="0" collapsed="false">
      <c r="A1783" s="27"/>
      <c r="B1783" s="5"/>
      <c r="C1783" s="35"/>
      <c r="D1783" s="18"/>
      <c r="E1783" s="5"/>
      <c r="F1783" s="14"/>
      <c r="G1783" s="5"/>
      <c r="H1783" s="27"/>
      <c r="I1783" s="5"/>
      <c r="J1783" s="19" t="str">
        <f aca="false">IF(A1783="","",IFERROR(INDEX(Empresas!$D:$D,MATCH(A1783,Empresas!$A:$A,0))&amp;"","não consta"))</f>
        <v/>
      </c>
      <c r="K1783" s="19" t="str">
        <f aca="false">IF(A1783="","",IFERROR(INDEX(Sancoes!$B:$B,MATCH(A1783,Sancoes!$A:$A,0))&amp;"","não consta"))</f>
        <v/>
      </c>
      <c r="L1783" s="19" t="str">
        <f aca="false">IF(A1783="","",IFERROR(INDEX(Eleitoral!$B:$B,MATCH(A1783,Eleitoral!$A:$A,0))&amp;"","não consta"))</f>
        <v/>
      </c>
      <c r="M1783" s="28" t="str">
        <f aca="false">IF(A1783="","",IF(OR(AND(K1783&lt;&gt;"",LOWER(K1783)&lt;&gt;"não consta"),AND(L1783&lt;&gt;"",LOWER(L1783)&lt;&gt;"não consta"),IFERROR(INDEX(Empresas!$G:$G,MATCH(A1783,Empresas!$A:$A,0))&amp;"","")&lt;&gt;""),"SIM",""))</f>
        <v/>
      </c>
      <c r="N1783" s="5"/>
      <c r="O1783" s="32" t="str">
        <f aca="false">IF(D1783="","",YEAR(D1783))</f>
        <v/>
      </c>
      <c r="P1783" s="5"/>
    </row>
    <row r="1784" customFormat="false" ht="15" hidden="false" customHeight="false" outlineLevel="0" collapsed="false">
      <c r="A1784" s="27"/>
      <c r="B1784" s="5"/>
      <c r="C1784" s="35"/>
      <c r="D1784" s="18"/>
      <c r="E1784" s="5"/>
      <c r="F1784" s="14"/>
      <c r="G1784" s="5"/>
      <c r="H1784" s="27"/>
      <c r="I1784" s="5"/>
      <c r="J1784" s="19" t="str">
        <f aca="false">IF(A1784="","",IFERROR(INDEX(Empresas!$D:$D,MATCH(A1784,Empresas!$A:$A,0))&amp;"","não consta"))</f>
        <v/>
      </c>
      <c r="K1784" s="19" t="str">
        <f aca="false">IF(A1784="","",IFERROR(INDEX(Sancoes!$B:$B,MATCH(A1784,Sancoes!$A:$A,0))&amp;"","não consta"))</f>
        <v/>
      </c>
      <c r="L1784" s="19" t="str">
        <f aca="false">IF(A1784="","",IFERROR(INDEX(Eleitoral!$B:$B,MATCH(A1784,Eleitoral!$A:$A,0))&amp;"","não consta"))</f>
        <v/>
      </c>
      <c r="M1784" s="28" t="str">
        <f aca="false">IF(A1784="","",IF(OR(AND(K1784&lt;&gt;"",LOWER(K1784)&lt;&gt;"não consta"),AND(L1784&lt;&gt;"",LOWER(L1784)&lt;&gt;"não consta"),IFERROR(INDEX(Empresas!$G:$G,MATCH(A1784,Empresas!$A:$A,0))&amp;"","")&lt;&gt;""),"SIM",""))</f>
        <v/>
      </c>
      <c r="N1784" s="5"/>
      <c r="O1784" s="32" t="str">
        <f aca="false">IF(D1784="","",YEAR(D1784))</f>
        <v/>
      </c>
      <c r="P1784" s="5"/>
    </row>
    <row r="1785" customFormat="false" ht="15" hidden="false" customHeight="false" outlineLevel="0" collapsed="false">
      <c r="A1785" s="27"/>
      <c r="B1785" s="5"/>
      <c r="C1785" s="35"/>
      <c r="D1785" s="18"/>
      <c r="E1785" s="5"/>
      <c r="F1785" s="14"/>
      <c r="G1785" s="5"/>
      <c r="H1785" s="27"/>
      <c r="I1785" s="5"/>
      <c r="J1785" s="19" t="str">
        <f aca="false">IF(A1785="","",IFERROR(INDEX(Empresas!$D:$D,MATCH(A1785,Empresas!$A:$A,0))&amp;"","não consta"))</f>
        <v/>
      </c>
      <c r="K1785" s="19" t="str">
        <f aca="false">IF(A1785="","",IFERROR(INDEX(Sancoes!$B:$B,MATCH(A1785,Sancoes!$A:$A,0))&amp;"","não consta"))</f>
        <v/>
      </c>
      <c r="L1785" s="19" t="str">
        <f aca="false">IF(A1785="","",IFERROR(INDEX(Eleitoral!$B:$B,MATCH(A1785,Eleitoral!$A:$A,0))&amp;"","não consta"))</f>
        <v/>
      </c>
      <c r="M1785" s="28" t="str">
        <f aca="false">IF(A1785="","",IF(OR(AND(K1785&lt;&gt;"",LOWER(K1785)&lt;&gt;"não consta"),AND(L1785&lt;&gt;"",LOWER(L1785)&lt;&gt;"não consta"),IFERROR(INDEX(Empresas!$G:$G,MATCH(A1785,Empresas!$A:$A,0))&amp;"","")&lt;&gt;""),"SIM",""))</f>
        <v/>
      </c>
      <c r="N1785" s="5"/>
      <c r="O1785" s="32" t="str">
        <f aca="false">IF(D1785="","",YEAR(D1785))</f>
        <v/>
      </c>
      <c r="P1785" s="5"/>
    </row>
    <row r="1786" customFormat="false" ht="15" hidden="false" customHeight="false" outlineLevel="0" collapsed="false">
      <c r="A1786" s="27"/>
      <c r="B1786" s="5"/>
      <c r="C1786" s="35"/>
      <c r="D1786" s="18"/>
      <c r="E1786" s="5"/>
      <c r="F1786" s="14"/>
      <c r="G1786" s="5"/>
      <c r="H1786" s="27"/>
      <c r="I1786" s="5"/>
      <c r="J1786" s="19" t="str">
        <f aca="false">IF(A1786="","",IFERROR(INDEX(Empresas!$D:$D,MATCH(A1786,Empresas!$A:$A,0))&amp;"","não consta"))</f>
        <v/>
      </c>
      <c r="K1786" s="19" t="str">
        <f aca="false">IF(A1786="","",IFERROR(INDEX(Sancoes!$B:$B,MATCH(A1786,Sancoes!$A:$A,0))&amp;"","não consta"))</f>
        <v/>
      </c>
      <c r="L1786" s="19" t="str">
        <f aca="false">IF(A1786="","",IFERROR(INDEX(Eleitoral!$B:$B,MATCH(A1786,Eleitoral!$A:$A,0))&amp;"","não consta"))</f>
        <v/>
      </c>
      <c r="M1786" s="28" t="str">
        <f aca="false">IF(A1786="","",IF(OR(AND(K1786&lt;&gt;"",LOWER(K1786)&lt;&gt;"não consta"),AND(L1786&lt;&gt;"",LOWER(L1786)&lt;&gt;"não consta"),IFERROR(INDEX(Empresas!$G:$G,MATCH(A1786,Empresas!$A:$A,0))&amp;"","")&lt;&gt;""),"SIM",""))</f>
        <v/>
      </c>
      <c r="N1786" s="5"/>
      <c r="O1786" s="32" t="str">
        <f aca="false">IF(D1786="","",YEAR(D1786))</f>
        <v/>
      </c>
      <c r="P1786" s="5"/>
    </row>
    <row r="1787" customFormat="false" ht="15" hidden="false" customHeight="false" outlineLevel="0" collapsed="false">
      <c r="A1787" s="27"/>
      <c r="B1787" s="5"/>
      <c r="C1787" s="35"/>
      <c r="D1787" s="18"/>
      <c r="E1787" s="5"/>
      <c r="F1787" s="14"/>
      <c r="G1787" s="5"/>
      <c r="H1787" s="27"/>
      <c r="I1787" s="5"/>
      <c r="J1787" s="19" t="str">
        <f aca="false">IF(A1787="","",IFERROR(INDEX(Empresas!$D:$D,MATCH(A1787,Empresas!$A:$A,0))&amp;"","não consta"))</f>
        <v/>
      </c>
      <c r="K1787" s="19" t="str">
        <f aca="false">IF(A1787="","",IFERROR(INDEX(Sancoes!$B:$B,MATCH(A1787,Sancoes!$A:$A,0))&amp;"","não consta"))</f>
        <v/>
      </c>
      <c r="L1787" s="19" t="str">
        <f aca="false">IF(A1787="","",IFERROR(INDEX(Eleitoral!$B:$B,MATCH(A1787,Eleitoral!$A:$A,0))&amp;"","não consta"))</f>
        <v/>
      </c>
      <c r="M1787" s="28" t="str">
        <f aca="false">IF(A1787="","",IF(OR(AND(K1787&lt;&gt;"",LOWER(K1787)&lt;&gt;"não consta"),AND(L1787&lt;&gt;"",LOWER(L1787)&lt;&gt;"não consta"),IFERROR(INDEX(Empresas!$G:$G,MATCH(A1787,Empresas!$A:$A,0))&amp;"","")&lt;&gt;""),"SIM",""))</f>
        <v/>
      </c>
      <c r="N1787" s="5"/>
      <c r="O1787" s="32" t="str">
        <f aca="false">IF(D1787="","",YEAR(D1787))</f>
        <v/>
      </c>
      <c r="P1787" s="5"/>
    </row>
    <row r="1788" customFormat="false" ht="15" hidden="false" customHeight="false" outlineLevel="0" collapsed="false">
      <c r="A1788" s="27"/>
      <c r="B1788" s="5"/>
      <c r="C1788" s="35"/>
      <c r="D1788" s="18"/>
      <c r="E1788" s="5"/>
      <c r="F1788" s="14"/>
      <c r="G1788" s="5"/>
      <c r="H1788" s="27"/>
      <c r="I1788" s="5"/>
      <c r="J1788" s="19" t="str">
        <f aca="false">IF(A1788="","",IFERROR(INDEX(Empresas!$D:$D,MATCH(A1788,Empresas!$A:$A,0))&amp;"","não consta"))</f>
        <v/>
      </c>
      <c r="K1788" s="19" t="str">
        <f aca="false">IF(A1788="","",IFERROR(INDEX(Sancoes!$B:$B,MATCH(A1788,Sancoes!$A:$A,0))&amp;"","não consta"))</f>
        <v/>
      </c>
      <c r="L1788" s="19" t="str">
        <f aca="false">IF(A1788="","",IFERROR(INDEX(Eleitoral!$B:$B,MATCH(A1788,Eleitoral!$A:$A,0))&amp;"","não consta"))</f>
        <v/>
      </c>
      <c r="M1788" s="28" t="str">
        <f aca="false">IF(A1788="","",IF(OR(AND(K1788&lt;&gt;"",LOWER(K1788)&lt;&gt;"não consta"),AND(L1788&lt;&gt;"",LOWER(L1788)&lt;&gt;"não consta"),IFERROR(INDEX(Empresas!$G:$G,MATCH(A1788,Empresas!$A:$A,0))&amp;"","")&lt;&gt;""),"SIM",""))</f>
        <v/>
      </c>
      <c r="N1788" s="5"/>
      <c r="O1788" s="32" t="str">
        <f aca="false">IF(D1788="","",YEAR(D1788))</f>
        <v/>
      </c>
      <c r="P1788" s="5"/>
    </row>
    <row r="1789" customFormat="false" ht="15" hidden="false" customHeight="false" outlineLevel="0" collapsed="false">
      <c r="A1789" s="27"/>
      <c r="B1789" s="5"/>
      <c r="C1789" s="35"/>
      <c r="D1789" s="18"/>
      <c r="E1789" s="5"/>
      <c r="F1789" s="14"/>
      <c r="G1789" s="5"/>
      <c r="H1789" s="27"/>
      <c r="I1789" s="5"/>
      <c r="J1789" s="19" t="str">
        <f aca="false">IF(A1789="","",IFERROR(INDEX(Empresas!$D:$D,MATCH(A1789,Empresas!$A:$A,0))&amp;"","não consta"))</f>
        <v/>
      </c>
      <c r="K1789" s="19" t="str">
        <f aca="false">IF(A1789="","",IFERROR(INDEX(Sancoes!$B:$B,MATCH(A1789,Sancoes!$A:$A,0))&amp;"","não consta"))</f>
        <v/>
      </c>
      <c r="L1789" s="19" t="str">
        <f aca="false">IF(A1789="","",IFERROR(INDEX(Eleitoral!$B:$B,MATCH(A1789,Eleitoral!$A:$A,0))&amp;"","não consta"))</f>
        <v/>
      </c>
      <c r="M1789" s="28" t="str">
        <f aca="false">IF(A1789="","",IF(OR(AND(K1789&lt;&gt;"",LOWER(K1789)&lt;&gt;"não consta"),AND(L1789&lt;&gt;"",LOWER(L1789)&lt;&gt;"não consta"),IFERROR(INDEX(Empresas!$G:$G,MATCH(A1789,Empresas!$A:$A,0))&amp;"","")&lt;&gt;""),"SIM",""))</f>
        <v/>
      </c>
      <c r="N1789" s="5"/>
      <c r="O1789" s="32" t="str">
        <f aca="false">IF(D1789="","",YEAR(D1789))</f>
        <v/>
      </c>
      <c r="P1789" s="5"/>
    </row>
    <row r="1790" customFormat="false" ht="15" hidden="false" customHeight="false" outlineLevel="0" collapsed="false">
      <c r="A1790" s="27"/>
      <c r="B1790" s="5"/>
      <c r="C1790" s="35"/>
      <c r="D1790" s="18"/>
      <c r="E1790" s="5"/>
      <c r="F1790" s="14"/>
      <c r="G1790" s="5"/>
      <c r="H1790" s="27"/>
      <c r="I1790" s="5"/>
      <c r="J1790" s="19" t="str">
        <f aca="false">IF(A1790="","",IFERROR(INDEX(Empresas!$D:$D,MATCH(A1790,Empresas!$A:$A,0))&amp;"","não consta"))</f>
        <v/>
      </c>
      <c r="K1790" s="19" t="str">
        <f aca="false">IF(A1790="","",IFERROR(INDEX(Sancoes!$B:$B,MATCH(A1790,Sancoes!$A:$A,0))&amp;"","não consta"))</f>
        <v/>
      </c>
      <c r="L1790" s="19" t="str">
        <f aca="false">IF(A1790="","",IFERROR(INDEX(Eleitoral!$B:$B,MATCH(A1790,Eleitoral!$A:$A,0))&amp;"","não consta"))</f>
        <v/>
      </c>
      <c r="M1790" s="28" t="str">
        <f aca="false">IF(A1790="","",IF(OR(AND(K1790&lt;&gt;"",LOWER(K1790)&lt;&gt;"não consta"),AND(L1790&lt;&gt;"",LOWER(L1790)&lt;&gt;"não consta"),IFERROR(INDEX(Empresas!$G:$G,MATCH(A1790,Empresas!$A:$A,0))&amp;"","")&lt;&gt;""),"SIM",""))</f>
        <v/>
      </c>
      <c r="N1790" s="5"/>
      <c r="O1790" s="32" t="str">
        <f aca="false">IF(D1790="","",YEAR(D1790))</f>
        <v/>
      </c>
      <c r="P1790" s="5"/>
    </row>
    <row r="1791" customFormat="false" ht="15" hidden="false" customHeight="false" outlineLevel="0" collapsed="false">
      <c r="A1791" s="27"/>
      <c r="B1791" s="5"/>
      <c r="C1791" s="35"/>
      <c r="D1791" s="18"/>
      <c r="E1791" s="5"/>
      <c r="F1791" s="14"/>
      <c r="G1791" s="5"/>
      <c r="H1791" s="27"/>
      <c r="I1791" s="5"/>
      <c r="J1791" s="19" t="str">
        <f aca="false">IF(A1791="","",IFERROR(INDEX(Empresas!$D:$D,MATCH(A1791,Empresas!$A:$A,0))&amp;"","não consta"))</f>
        <v/>
      </c>
      <c r="K1791" s="19" t="str">
        <f aca="false">IF(A1791="","",IFERROR(INDEX(Sancoes!$B:$B,MATCH(A1791,Sancoes!$A:$A,0))&amp;"","não consta"))</f>
        <v/>
      </c>
      <c r="L1791" s="19" t="str">
        <f aca="false">IF(A1791="","",IFERROR(INDEX(Eleitoral!$B:$B,MATCH(A1791,Eleitoral!$A:$A,0))&amp;"","não consta"))</f>
        <v/>
      </c>
      <c r="M1791" s="28" t="str">
        <f aca="false">IF(A1791="","",IF(OR(AND(K1791&lt;&gt;"",LOWER(K1791)&lt;&gt;"não consta"),AND(L1791&lt;&gt;"",LOWER(L1791)&lt;&gt;"não consta"),IFERROR(INDEX(Empresas!$G:$G,MATCH(A1791,Empresas!$A:$A,0))&amp;"","")&lt;&gt;""),"SIM",""))</f>
        <v/>
      </c>
      <c r="N1791" s="5"/>
      <c r="O1791" s="32" t="str">
        <f aca="false">IF(D1791="","",YEAR(D1791))</f>
        <v/>
      </c>
      <c r="P1791" s="5"/>
    </row>
    <row r="1792" customFormat="false" ht="15" hidden="false" customHeight="false" outlineLevel="0" collapsed="false">
      <c r="A1792" s="27"/>
      <c r="B1792" s="5"/>
      <c r="C1792" s="35"/>
      <c r="D1792" s="18"/>
      <c r="E1792" s="5"/>
      <c r="F1792" s="14"/>
      <c r="G1792" s="5"/>
      <c r="H1792" s="27"/>
      <c r="I1792" s="5"/>
      <c r="J1792" s="19" t="str">
        <f aca="false">IF(A1792="","",IFERROR(INDEX(Empresas!$D:$D,MATCH(A1792,Empresas!$A:$A,0))&amp;"","não consta"))</f>
        <v/>
      </c>
      <c r="K1792" s="19" t="str">
        <f aca="false">IF(A1792="","",IFERROR(INDEX(Sancoes!$B:$B,MATCH(A1792,Sancoes!$A:$A,0))&amp;"","não consta"))</f>
        <v/>
      </c>
      <c r="L1792" s="19" t="str">
        <f aca="false">IF(A1792="","",IFERROR(INDEX(Eleitoral!$B:$B,MATCH(A1792,Eleitoral!$A:$A,0))&amp;"","não consta"))</f>
        <v/>
      </c>
      <c r="M1792" s="28" t="str">
        <f aca="false">IF(A1792="","",IF(OR(AND(K1792&lt;&gt;"",LOWER(K1792)&lt;&gt;"não consta"),AND(L1792&lt;&gt;"",LOWER(L1792)&lt;&gt;"não consta"),IFERROR(INDEX(Empresas!$G:$G,MATCH(A1792,Empresas!$A:$A,0))&amp;"","")&lt;&gt;""),"SIM",""))</f>
        <v/>
      </c>
      <c r="N1792" s="5"/>
      <c r="O1792" s="32" t="str">
        <f aca="false">IF(D1792="","",YEAR(D1792))</f>
        <v/>
      </c>
      <c r="P1792" s="5"/>
    </row>
    <row r="1793" customFormat="false" ht="15" hidden="false" customHeight="false" outlineLevel="0" collapsed="false">
      <c r="A1793" s="27"/>
      <c r="B1793" s="5"/>
      <c r="C1793" s="35"/>
      <c r="D1793" s="18"/>
      <c r="E1793" s="5"/>
      <c r="F1793" s="14"/>
      <c r="G1793" s="5"/>
      <c r="H1793" s="27"/>
      <c r="I1793" s="5"/>
      <c r="J1793" s="19" t="str">
        <f aca="false">IF(A1793="","",IFERROR(INDEX(Empresas!$D:$D,MATCH(A1793,Empresas!$A:$A,0))&amp;"","não consta"))</f>
        <v/>
      </c>
      <c r="K1793" s="19" t="str">
        <f aca="false">IF(A1793="","",IFERROR(INDEX(Sancoes!$B:$B,MATCH(A1793,Sancoes!$A:$A,0))&amp;"","não consta"))</f>
        <v/>
      </c>
      <c r="L1793" s="19" t="str">
        <f aca="false">IF(A1793="","",IFERROR(INDEX(Eleitoral!$B:$B,MATCH(A1793,Eleitoral!$A:$A,0))&amp;"","não consta"))</f>
        <v/>
      </c>
      <c r="M1793" s="28" t="str">
        <f aca="false">IF(A1793="","",IF(OR(AND(K1793&lt;&gt;"",LOWER(K1793)&lt;&gt;"não consta"),AND(L1793&lt;&gt;"",LOWER(L1793)&lt;&gt;"não consta"),IFERROR(INDEX(Empresas!$G:$G,MATCH(A1793,Empresas!$A:$A,0))&amp;"","")&lt;&gt;""),"SIM",""))</f>
        <v/>
      </c>
      <c r="N1793" s="5"/>
      <c r="O1793" s="32" t="str">
        <f aca="false">IF(D1793="","",YEAR(D1793))</f>
        <v/>
      </c>
      <c r="P1793" s="5"/>
    </row>
    <row r="1794" customFormat="false" ht="15" hidden="false" customHeight="false" outlineLevel="0" collapsed="false">
      <c r="A1794" s="27"/>
      <c r="B1794" s="5"/>
      <c r="C1794" s="35"/>
      <c r="D1794" s="18"/>
      <c r="E1794" s="5"/>
      <c r="F1794" s="14"/>
      <c r="G1794" s="5"/>
      <c r="H1794" s="27"/>
      <c r="I1794" s="5"/>
      <c r="J1794" s="19" t="str">
        <f aca="false">IF(A1794="","",IFERROR(INDEX(Empresas!$D:$D,MATCH(A1794,Empresas!$A:$A,0))&amp;"","não consta"))</f>
        <v/>
      </c>
      <c r="K1794" s="19" t="str">
        <f aca="false">IF(A1794="","",IFERROR(INDEX(Sancoes!$B:$B,MATCH(A1794,Sancoes!$A:$A,0))&amp;"","não consta"))</f>
        <v/>
      </c>
      <c r="L1794" s="19" t="str">
        <f aca="false">IF(A1794="","",IFERROR(INDEX(Eleitoral!$B:$B,MATCH(A1794,Eleitoral!$A:$A,0))&amp;"","não consta"))</f>
        <v/>
      </c>
      <c r="M1794" s="28" t="str">
        <f aca="false">IF(A1794="","",IF(OR(AND(K1794&lt;&gt;"",LOWER(K1794)&lt;&gt;"não consta"),AND(L1794&lt;&gt;"",LOWER(L1794)&lt;&gt;"não consta"),IFERROR(INDEX(Empresas!$G:$G,MATCH(A1794,Empresas!$A:$A,0))&amp;"","")&lt;&gt;""),"SIM",""))</f>
        <v/>
      </c>
      <c r="N1794" s="5"/>
      <c r="O1794" s="32" t="str">
        <f aca="false">IF(D1794="","",YEAR(D1794))</f>
        <v/>
      </c>
      <c r="P1794" s="5"/>
    </row>
    <row r="1795" customFormat="false" ht="15" hidden="false" customHeight="false" outlineLevel="0" collapsed="false">
      <c r="A1795" s="27"/>
      <c r="B1795" s="5"/>
      <c r="C1795" s="35"/>
      <c r="D1795" s="18"/>
      <c r="E1795" s="5"/>
      <c r="F1795" s="14"/>
      <c r="G1795" s="5"/>
      <c r="H1795" s="27"/>
      <c r="I1795" s="5"/>
      <c r="J1795" s="19" t="str">
        <f aca="false">IF(A1795="","",IFERROR(INDEX(Empresas!$D:$D,MATCH(A1795,Empresas!$A:$A,0))&amp;"","não consta"))</f>
        <v/>
      </c>
      <c r="K1795" s="19" t="str">
        <f aca="false">IF(A1795="","",IFERROR(INDEX(Sancoes!$B:$B,MATCH(A1795,Sancoes!$A:$A,0))&amp;"","não consta"))</f>
        <v/>
      </c>
      <c r="L1795" s="19" t="str">
        <f aca="false">IF(A1795="","",IFERROR(INDEX(Eleitoral!$B:$B,MATCH(A1795,Eleitoral!$A:$A,0))&amp;"","não consta"))</f>
        <v/>
      </c>
      <c r="M1795" s="28" t="str">
        <f aca="false">IF(A1795="","",IF(OR(AND(K1795&lt;&gt;"",LOWER(K1795)&lt;&gt;"não consta"),AND(L1795&lt;&gt;"",LOWER(L1795)&lt;&gt;"não consta"),IFERROR(INDEX(Empresas!$G:$G,MATCH(A1795,Empresas!$A:$A,0))&amp;"","")&lt;&gt;""),"SIM",""))</f>
        <v/>
      </c>
      <c r="N1795" s="5"/>
      <c r="O1795" s="32" t="str">
        <f aca="false">IF(D1795="","",YEAR(D1795))</f>
        <v/>
      </c>
      <c r="P1795" s="5"/>
    </row>
    <row r="1796" customFormat="false" ht="15" hidden="false" customHeight="false" outlineLevel="0" collapsed="false">
      <c r="A1796" s="27"/>
      <c r="B1796" s="5"/>
      <c r="C1796" s="35"/>
      <c r="D1796" s="18"/>
      <c r="E1796" s="5"/>
      <c r="F1796" s="14"/>
      <c r="G1796" s="5"/>
      <c r="H1796" s="27"/>
      <c r="I1796" s="5"/>
      <c r="J1796" s="19" t="str">
        <f aca="false">IF(A1796="","",IFERROR(INDEX(Empresas!$D:$D,MATCH(A1796,Empresas!$A:$A,0))&amp;"","não consta"))</f>
        <v/>
      </c>
      <c r="K1796" s="19" t="str">
        <f aca="false">IF(A1796="","",IFERROR(INDEX(Sancoes!$B:$B,MATCH(A1796,Sancoes!$A:$A,0))&amp;"","não consta"))</f>
        <v/>
      </c>
      <c r="L1796" s="19" t="str">
        <f aca="false">IF(A1796="","",IFERROR(INDEX(Eleitoral!$B:$B,MATCH(A1796,Eleitoral!$A:$A,0))&amp;"","não consta"))</f>
        <v/>
      </c>
      <c r="M1796" s="28" t="str">
        <f aca="false">IF(A1796="","",IF(OR(AND(K1796&lt;&gt;"",LOWER(K1796)&lt;&gt;"não consta"),AND(L1796&lt;&gt;"",LOWER(L1796)&lt;&gt;"não consta"),IFERROR(INDEX(Empresas!$G:$G,MATCH(A1796,Empresas!$A:$A,0))&amp;"","")&lt;&gt;""),"SIM",""))</f>
        <v/>
      </c>
      <c r="N1796" s="5"/>
      <c r="O1796" s="32" t="str">
        <f aca="false">IF(D1796="","",YEAR(D1796))</f>
        <v/>
      </c>
      <c r="P1796" s="5"/>
    </row>
    <row r="1797" customFormat="false" ht="15" hidden="false" customHeight="false" outlineLevel="0" collapsed="false">
      <c r="A1797" s="27"/>
      <c r="B1797" s="5"/>
      <c r="C1797" s="35"/>
      <c r="D1797" s="18"/>
      <c r="E1797" s="5"/>
      <c r="F1797" s="14"/>
      <c r="G1797" s="5"/>
      <c r="H1797" s="27"/>
      <c r="I1797" s="5"/>
      <c r="J1797" s="19" t="str">
        <f aca="false">IF(A1797="","",IFERROR(INDEX(Empresas!$D:$D,MATCH(A1797,Empresas!$A:$A,0))&amp;"","não consta"))</f>
        <v/>
      </c>
      <c r="K1797" s="19" t="str">
        <f aca="false">IF(A1797="","",IFERROR(INDEX(Sancoes!$B:$B,MATCH(A1797,Sancoes!$A:$A,0))&amp;"","não consta"))</f>
        <v/>
      </c>
      <c r="L1797" s="19" t="str">
        <f aca="false">IF(A1797="","",IFERROR(INDEX(Eleitoral!$B:$B,MATCH(A1797,Eleitoral!$A:$A,0))&amp;"","não consta"))</f>
        <v/>
      </c>
      <c r="M1797" s="28" t="str">
        <f aca="false">IF(A1797="","",IF(OR(AND(K1797&lt;&gt;"",LOWER(K1797)&lt;&gt;"não consta"),AND(L1797&lt;&gt;"",LOWER(L1797)&lt;&gt;"não consta"),IFERROR(INDEX(Empresas!$G:$G,MATCH(A1797,Empresas!$A:$A,0))&amp;"","")&lt;&gt;""),"SIM",""))</f>
        <v/>
      </c>
      <c r="N1797" s="5"/>
      <c r="O1797" s="32" t="str">
        <f aca="false">IF(D1797="","",YEAR(D1797))</f>
        <v/>
      </c>
      <c r="P1797" s="5"/>
    </row>
    <row r="1798" customFormat="false" ht="15" hidden="false" customHeight="false" outlineLevel="0" collapsed="false">
      <c r="A1798" s="27"/>
      <c r="B1798" s="5"/>
      <c r="C1798" s="35"/>
      <c r="D1798" s="18"/>
      <c r="E1798" s="5"/>
      <c r="F1798" s="14"/>
      <c r="G1798" s="5"/>
      <c r="H1798" s="27"/>
      <c r="I1798" s="5"/>
      <c r="J1798" s="19" t="str">
        <f aca="false">IF(A1798="","",IFERROR(INDEX(Empresas!$D:$D,MATCH(A1798,Empresas!$A:$A,0))&amp;"","não consta"))</f>
        <v/>
      </c>
      <c r="K1798" s="19" t="str">
        <f aca="false">IF(A1798="","",IFERROR(INDEX(Sancoes!$B:$B,MATCH(A1798,Sancoes!$A:$A,0))&amp;"","não consta"))</f>
        <v/>
      </c>
      <c r="L1798" s="19" t="str">
        <f aca="false">IF(A1798="","",IFERROR(INDEX(Eleitoral!$B:$B,MATCH(A1798,Eleitoral!$A:$A,0))&amp;"","não consta"))</f>
        <v/>
      </c>
      <c r="M1798" s="28" t="str">
        <f aca="false">IF(A1798="","",IF(OR(AND(K1798&lt;&gt;"",LOWER(K1798)&lt;&gt;"não consta"),AND(L1798&lt;&gt;"",LOWER(L1798)&lt;&gt;"não consta"),IFERROR(INDEX(Empresas!$G:$G,MATCH(A1798,Empresas!$A:$A,0))&amp;"","")&lt;&gt;""),"SIM",""))</f>
        <v/>
      </c>
      <c r="N1798" s="5"/>
      <c r="O1798" s="32" t="str">
        <f aca="false">IF(D1798="","",YEAR(D1798))</f>
        <v/>
      </c>
      <c r="P1798" s="5"/>
    </row>
    <row r="1799" customFormat="false" ht="15" hidden="false" customHeight="false" outlineLevel="0" collapsed="false">
      <c r="A1799" s="27"/>
      <c r="B1799" s="5"/>
      <c r="C1799" s="35"/>
      <c r="D1799" s="18"/>
      <c r="E1799" s="5"/>
      <c r="F1799" s="14"/>
      <c r="G1799" s="5"/>
      <c r="H1799" s="27"/>
      <c r="I1799" s="5"/>
      <c r="J1799" s="19" t="str">
        <f aca="false">IF(A1799="","",IFERROR(INDEX(Empresas!$D:$D,MATCH(A1799,Empresas!$A:$A,0))&amp;"","não consta"))</f>
        <v/>
      </c>
      <c r="K1799" s="19" t="str">
        <f aca="false">IF(A1799="","",IFERROR(INDEX(Sancoes!$B:$B,MATCH(A1799,Sancoes!$A:$A,0))&amp;"","não consta"))</f>
        <v/>
      </c>
      <c r="L1799" s="19" t="str">
        <f aca="false">IF(A1799="","",IFERROR(INDEX(Eleitoral!$B:$B,MATCH(A1799,Eleitoral!$A:$A,0))&amp;"","não consta"))</f>
        <v/>
      </c>
      <c r="M1799" s="28" t="str">
        <f aca="false">IF(A1799="","",IF(OR(AND(K1799&lt;&gt;"",LOWER(K1799)&lt;&gt;"não consta"),AND(L1799&lt;&gt;"",LOWER(L1799)&lt;&gt;"não consta"),IFERROR(INDEX(Empresas!$G:$G,MATCH(A1799,Empresas!$A:$A,0))&amp;"","")&lt;&gt;""),"SIM",""))</f>
        <v/>
      </c>
      <c r="N1799" s="5"/>
      <c r="O1799" s="32" t="str">
        <f aca="false">IF(D1799="","",YEAR(D1799))</f>
        <v/>
      </c>
      <c r="P1799" s="5"/>
    </row>
    <row r="1800" customFormat="false" ht="15" hidden="false" customHeight="false" outlineLevel="0" collapsed="false">
      <c r="A1800" s="27"/>
      <c r="B1800" s="5"/>
      <c r="C1800" s="35"/>
      <c r="D1800" s="18"/>
      <c r="E1800" s="5"/>
      <c r="F1800" s="14"/>
      <c r="G1800" s="5"/>
      <c r="H1800" s="27"/>
      <c r="I1800" s="5"/>
      <c r="J1800" s="19" t="str">
        <f aca="false">IF(A1800="","",IFERROR(INDEX(Empresas!$D:$D,MATCH(A1800,Empresas!$A:$A,0))&amp;"","não consta"))</f>
        <v/>
      </c>
      <c r="K1800" s="19" t="str">
        <f aca="false">IF(A1800="","",IFERROR(INDEX(Sancoes!$B:$B,MATCH(A1800,Sancoes!$A:$A,0))&amp;"","não consta"))</f>
        <v/>
      </c>
      <c r="L1800" s="19" t="str">
        <f aca="false">IF(A1800="","",IFERROR(INDEX(Eleitoral!$B:$B,MATCH(A1800,Eleitoral!$A:$A,0))&amp;"","não consta"))</f>
        <v/>
      </c>
      <c r="M1800" s="28" t="str">
        <f aca="false">IF(A1800="","",IF(OR(AND(K1800&lt;&gt;"",LOWER(K1800)&lt;&gt;"não consta"),AND(L1800&lt;&gt;"",LOWER(L1800)&lt;&gt;"não consta"),IFERROR(INDEX(Empresas!$G:$G,MATCH(A1800,Empresas!$A:$A,0))&amp;"","")&lt;&gt;""),"SIM",""))</f>
        <v/>
      </c>
      <c r="N1800" s="5"/>
      <c r="O1800" s="32" t="str">
        <f aca="false">IF(D1800="","",YEAR(D1800))</f>
        <v/>
      </c>
      <c r="P1800" s="5"/>
    </row>
    <row r="1801" customFormat="false" ht="15" hidden="false" customHeight="false" outlineLevel="0" collapsed="false">
      <c r="A1801" s="27"/>
      <c r="B1801" s="5"/>
      <c r="C1801" s="35"/>
      <c r="D1801" s="18"/>
      <c r="E1801" s="5"/>
      <c r="F1801" s="14"/>
      <c r="G1801" s="5"/>
      <c r="H1801" s="27"/>
      <c r="I1801" s="5"/>
      <c r="J1801" s="19" t="str">
        <f aca="false">IF(A1801="","",IFERROR(INDEX(Empresas!$D:$D,MATCH(A1801,Empresas!$A:$A,0))&amp;"","não consta"))</f>
        <v/>
      </c>
      <c r="K1801" s="19" t="str">
        <f aca="false">IF(A1801="","",IFERROR(INDEX(Sancoes!$B:$B,MATCH(A1801,Sancoes!$A:$A,0))&amp;"","não consta"))</f>
        <v/>
      </c>
      <c r="L1801" s="19" t="str">
        <f aca="false">IF(A1801="","",IFERROR(INDEX(Eleitoral!$B:$B,MATCH(A1801,Eleitoral!$A:$A,0))&amp;"","não consta"))</f>
        <v/>
      </c>
      <c r="M1801" s="28" t="str">
        <f aca="false">IF(A1801="","",IF(OR(AND(K1801&lt;&gt;"",LOWER(K1801)&lt;&gt;"não consta"),AND(L1801&lt;&gt;"",LOWER(L1801)&lt;&gt;"não consta"),IFERROR(INDEX(Empresas!$G:$G,MATCH(A1801,Empresas!$A:$A,0))&amp;"","")&lt;&gt;""),"SIM",""))</f>
        <v/>
      </c>
      <c r="N1801" s="5"/>
      <c r="O1801" s="32" t="str">
        <f aca="false">IF(D1801="","",YEAR(D1801))</f>
        <v/>
      </c>
      <c r="P1801" s="5"/>
    </row>
    <row r="1802" customFormat="false" ht="15" hidden="false" customHeight="false" outlineLevel="0" collapsed="false">
      <c r="A1802" s="27"/>
      <c r="B1802" s="5"/>
      <c r="C1802" s="35"/>
      <c r="D1802" s="18"/>
      <c r="E1802" s="5"/>
      <c r="F1802" s="14"/>
      <c r="G1802" s="5"/>
      <c r="H1802" s="27"/>
      <c r="I1802" s="5"/>
      <c r="J1802" s="19" t="str">
        <f aca="false">IF(A1802="","",IFERROR(INDEX(Empresas!$D:$D,MATCH(A1802,Empresas!$A:$A,0))&amp;"","não consta"))</f>
        <v/>
      </c>
      <c r="K1802" s="19" t="str">
        <f aca="false">IF(A1802="","",IFERROR(INDEX(Sancoes!$B:$B,MATCH(A1802,Sancoes!$A:$A,0))&amp;"","não consta"))</f>
        <v/>
      </c>
      <c r="L1802" s="19" t="str">
        <f aca="false">IF(A1802="","",IFERROR(INDEX(Eleitoral!$B:$B,MATCH(A1802,Eleitoral!$A:$A,0))&amp;"","não consta"))</f>
        <v/>
      </c>
      <c r="M1802" s="28" t="str">
        <f aca="false">IF(A1802="","",IF(OR(AND(K1802&lt;&gt;"",LOWER(K1802)&lt;&gt;"não consta"),AND(L1802&lt;&gt;"",LOWER(L1802)&lt;&gt;"não consta"),IFERROR(INDEX(Empresas!$G:$G,MATCH(A1802,Empresas!$A:$A,0))&amp;"","")&lt;&gt;""),"SIM",""))</f>
        <v/>
      </c>
      <c r="N1802" s="5"/>
      <c r="O1802" s="32" t="str">
        <f aca="false">IF(D1802="","",YEAR(D1802))</f>
        <v/>
      </c>
      <c r="P1802" s="5"/>
    </row>
    <row r="1803" customFormat="false" ht="15" hidden="false" customHeight="false" outlineLevel="0" collapsed="false">
      <c r="A1803" s="27"/>
      <c r="B1803" s="5"/>
      <c r="C1803" s="35"/>
      <c r="D1803" s="18"/>
      <c r="E1803" s="5"/>
      <c r="F1803" s="14"/>
      <c r="G1803" s="5"/>
      <c r="H1803" s="27"/>
      <c r="I1803" s="5"/>
      <c r="J1803" s="19" t="str">
        <f aca="false">IF(A1803="","",IFERROR(INDEX(Empresas!$D:$D,MATCH(A1803,Empresas!$A:$A,0))&amp;"","não consta"))</f>
        <v/>
      </c>
      <c r="K1803" s="19" t="str">
        <f aca="false">IF(A1803="","",IFERROR(INDEX(Sancoes!$B:$B,MATCH(A1803,Sancoes!$A:$A,0))&amp;"","não consta"))</f>
        <v/>
      </c>
      <c r="L1803" s="19" t="str">
        <f aca="false">IF(A1803="","",IFERROR(INDEX(Eleitoral!$B:$B,MATCH(A1803,Eleitoral!$A:$A,0))&amp;"","não consta"))</f>
        <v/>
      </c>
      <c r="M1803" s="28" t="str">
        <f aca="false">IF(A1803="","",IF(OR(AND(K1803&lt;&gt;"",LOWER(K1803)&lt;&gt;"não consta"),AND(L1803&lt;&gt;"",LOWER(L1803)&lt;&gt;"não consta"),IFERROR(INDEX(Empresas!$G:$G,MATCH(A1803,Empresas!$A:$A,0))&amp;"","")&lt;&gt;""),"SIM",""))</f>
        <v/>
      </c>
      <c r="N1803" s="5"/>
      <c r="O1803" s="32" t="str">
        <f aca="false">IF(D1803="","",YEAR(D1803))</f>
        <v/>
      </c>
      <c r="P1803" s="5"/>
    </row>
    <row r="1804" customFormat="false" ht="15" hidden="false" customHeight="false" outlineLevel="0" collapsed="false">
      <c r="A1804" s="27"/>
      <c r="B1804" s="5"/>
      <c r="C1804" s="35"/>
      <c r="D1804" s="18"/>
      <c r="E1804" s="5"/>
      <c r="F1804" s="14"/>
      <c r="G1804" s="5"/>
      <c r="H1804" s="27"/>
      <c r="I1804" s="5"/>
      <c r="J1804" s="19" t="str">
        <f aca="false">IF(A1804="","",IFERROR(INDEX(Empresas!$D:$D,MATCH(A1804,Empresas!$A:$A,0))&amp;"","não consta"))</f>
        <v/>
      </c>
      <c r="K1804" s="19" t="str">
        <f aca="false">IF(A1804="","",IFERROR(INDEX(Sancoes!$B:$B,MATCH(A1804,Sancoes!$A:$A,0))&amp;"","não consta"))</f>
        <v/>
      </c>
      <c r="L1804" s="19" t="str">
        <f aca="false">IF(A1804="","",IFERROR(INDEX(Eleitoral!$B:$B,MATCH(A1804,Eleitoral!$A:$A,0))&amp;"","não consta"))</f>
        <v/>
      </c>
      <c r="M1804" s="28" t="str">
        <f aca="false">IF(A1804="","",IF(OR(AND(K1804&lt;&gt;"",LOWER(K1804)&lt;&gt;"não consta"),AND(L1804&lt;&gt;"",LOWER(L1804)&lt;&gt;"não consta"),IFERROR(INDEX(Empresas!$G:$G,MATCH(A1804,Empresas!$A:$A,0))&amp;"","")&lt;&gt;""),"SIM",""))</f>
        <v/>
      </c>
      <c r="N1804" s="5"/>
      <c r="O1804" s="32" t="str">
        <f aca="false">IF(D1804="","",YEAR(D1804))</f>
        <v/>
      </c>
      <c r="P1804" s="5"/>
    </row>
    <row r="1805" customFormat="false" ht="15" hidden="false" customHeight="false" outlineLevel="0" collapsed="false">
      <c r="A1805" s="27"/>
      <c r="B1805" s="5"/>
      <c r="C1805" s="35"/>
      <c r="D1805" s="18"/>
      <c r="E1805" s="5"/>
      <c r="F1805" s="14"/>
      <c r="G1805" s="5"/>
      <c r="H1805" s="27"/>
      <c r="I1805" s="5"/>
      <c r="J1805" s="19" t="str">
        <f aca="false">IF(A1805="","",IFERROR(INDEX(Empresas!$D:$D,MATCH(A1805,Empresas!$A:$A,0))&amp;"","não consta"))</f>
        <v/>
      </c>
      <c r="K1805" s="19" t="str">
        <f aca="false">IF(A1805="","",IFERROR(INDEX(Sancoes!$B:$B,MATCH(A1805,Sancoes!$A:$A,0))&amp;"","não consta"))</f>
        <v/>
      </c>
      <c r="L1805" s="19" t="str">
        <f aca="false">IF(A1805="","",IFERROR(INDEX(Eleitoral!$B:$B,MATCH(A1805,Eleitoral!$A:$A,0))&amp;"","não consta"))</f>
        <v/>
      </c>
      <c r="M1805" s="28" t="str">
        <f aca="false">IF(A1805="","",IF(OR(AND(K1805&lt;&gt;"",LOWER(K1805)&lt;&gt;"não consta"),AND(L1805&lt;&gt;"",LOWER(L1805)&lt;&gt;"não consta"),IFERROR(INDEX(Empresas!$G:$G,MATCH(A1805,Empresas!$A:$A,0))&amp;"","")&lt;&gt;""),"SIM",""))</f>
        <v/>
      </c>
      <c r="N1805" s="5"/>
      <c r="O1805" s="32" t="str">
        <f aca="false">IF(D1805="","",YEAR(D1805))</f>
        <v/>
      </c>
      <c r="P1805" s="5"/>
    </row>
    <row r="1806" customFormat="false" ht="15" hidden="false" customHeight="false" outlineLevel="0" collapsed="false">
      <c r="A1806" s="27"/>
      <c r="B1806" s="5"/>
      <c r="C1806" s="35"/>
      <c r="D1806" s="18"/>
      <c r="E1806" s="5"/>
      <c r="F1806" s="14"/>
      <c r="G1806" s="5"/>
      <c r="H1806" s="27"/>
      <c r="I1806" s="5"/>
      <c r="J1806" s="19" t="str">
        <f aca="false">IF(A1806="","",IFERROR(INDEX(Empresas!$D:$D,MATCH(A1806,Empresas!$A:$A,0))&amp;"","não consta"))</f>
        <v/>
      </c>
      <c r="K1806" s="19" t="str">
        <f aca="false">IF(A1806="","",IFERROR(INDEX(Sancoes!$B:$B,MATCH(A1806,Sancoes!$A:$A,0))&amp;"","não consta"))</f>
        <v/>
      </c>
      <c r="L1806" s="19" t="str">
        <f aca="false">IF(A1806="","",IFERROR(INDEX(Eleitoral!$B:$B,MATCH(A1806,Eleitoral!$A:$A,0))&amp;"","não consta"))</f>
        <v/>
      </c>
      <c r="M1806" s="28" t="str">
        <f aca="false">IF(A1806="","",IF(OR(AND(K1806&lt;&gt;"",LOWER(K1806)&lt;&gt;"não consta"),AND(L1806&lt;&gt;"",LOWER(L1806)&lt;&gt;"não consta"),IFERROR(INDEX(Empresas!$G:$G,MATCH(A1806,Empresas!$A:$A,0))&amp;"","")&lt;&gt;""),"SIM",""))</f>
        <v/>
      </c>
      <c r="N1806" s="5"/>
      <c r="O1806" s="32" t="str">
        <f aca="false">IF(D1806="","",YEAR(D1806))</f>
        <v/>
      </c>
      <c r="P1806" s="5"/>
    </row>
    <row r="1807" customFormat="false" ht="15" hidden="false" customHeight="false" outlineLevel="0" collapsed="false">
      <c r="A1807" s="27"/>
      <c r="B1807" s="5"/>
      <c r="C1807" s="35"/>
      <c r="D1807" s="18"/>
      <c r="E1807" s="5"/>
      <c r="F1807" s="14"/>
      <c r="G1807" s="5"/>
      <c r="H1807" s="27"/>
      <c r="I1807" s="5"/>
      <c r="J1807" s="19" t="str">
        <f aca="false">IF(A1807="","",IFERROR(INDEX(Empresas!$D:$D,MATCH(A1807,Empresas!$A:$A,0))&amp;"","não consta"))</f>
        <v/>
      </c>
      <c r="K1807" s="19" t="str">
        <f aca="false">IF(A1807="","",IFERROR(INDEX(Sancoes!$B:$B,MATCH(A1807,Sancoes!$A:$A,0))&amp;"","não consta"))</f>
        <v/>
      </c>
      <c r="L1807" s="19" t="str">
        <f aca="false">IF(A1807="","",IFERROR(INDEX(Eleitoral!$B:$B,MATCH(A1807,Eleitoral!$A:$A,0))&amp;"","não consta"))</f>
        <v/>
      </c>
      <c r="M1807" s="28" t="str">
        <f aca="false">IF(A1807="","",IF(OR(AND(K1807&lt;&gt;"",LOWER(K1807)&lt;&gt;"não consta"),AND(L1807&lt;&gt;"",LOWER(L1807)&lt;&gt;"não consta"),IFERROR(INDEX(Empresas!$G:$G,MATCH(A1807,Empresas!$A:$A,0))&amp;"","")&lt;&gt;""),"SIM",""))</f>
        <v/>
      </c>
      <c r="N1807" s="5"/>
      <c r="O1807" s="32" t="str">
        <f aca="false">IF(D1807="","",YEAR(D1807))</f>
        <v/>
      </c>
      <c r="P1807" s="5"/>
    </row>
    <row r="1808" customFormat="false" ht="15" hidden="false" customHeight="false" outlineLevel="0" collapsed="false">
      <c r="A1808" s="27"/>
      <c r="B1808" s="5"/>
      <c r="C1808" s="35"/>
      <c r="D1808" s="18"/>
      <c r="E1808" s="5"/>
      <c r="F1808" s="14"/>
      <c r="G1808" s="5"/>
      <c r="H1808" s="27"/>
      <c r="I1808" s="5"/>
      <c r="J1808" s="19" t="str">
        <f aca="false">IF(A1808="","",IFERROR(INDEX(Empresas!$D:$D,MATCH(A1808,Empresas!$A:$A,0))&amp;"","não consta"))</f>
        <v/>
      </c>
      <c r="K1808" s="19" t="str">
        <f aca="false">IF(A1808="","",IFERROR(INDEX(Sancoes!$B:$B,MATCH(A1808,Sancoes!$A:$A,0))&amp;"","não consta"))</f>
        <v/>
      </c>
      <c r="L1808" s="19" t="str">
        <f aca="false">IF(A1808="","",IFERROR(INDEX(Eleitoral!$B:$B,MATCH(A1808,Eleitoral!$A:$A,0))&amp;"","não consta"))</f>
        <v/>
      </c>
      <c r="M1808" s="28" t="str">
        <f aca="false">IF(A1808="","",IF(OR(AND(K1808&lt;&gt;"",LOWER(K1808)&lt;&gt;"não consta"),AND(L1808&lt;&gt;"",LOWER(L1808)&lt;&gt;"não consta"),IFERROR(INDEX(Empresas!$G:$G,MATCH(A1808,Empresas!$A:$A,0))&amp;"","")&lt;&gt;""),"SIM",""))</f>
        <v/>
      </c>
      <c r="N1808" s="5"/>
      <c r="O1808" s="32" t="str">
        <f aca="false">IF(D1808="","",YEAR(D1808))</f>
        <v/>
      </c>
      <c r="P1808" s="5"/>
    </row>
    <row r="1809" customFormat="false" ht="15" hidden="false" customHeight="false" outlineLevel="0" collapsed="false">
      <c r="A1809" s="27"/>
      <c r="B1809" s="5"/>
      <c r="C1809" s="35"/>
      <c r="D1809" s="18"/>
      <c r="E1809" s="5"/>
      <c r="F1809" s="14"/>
      <c r="G1809" s="5"/>
      <c r="H1809" s="27"/>
      <c r="I1809" s="5"/>
      <c r="J1809" s="19" t="str">
        <f aca="false">IF(A1809="","",IFERROR(INDEX(Empresas!$D:$D,MATCH(A1809,Empresas!$A:$A,0))&amp;"","não consta"))</f>
        <v/>
      </c>
      <c r="K1809" s="19" t="str">
        <f aca="false">IF(A1809="","",IFERROR(INDEX(Sancoes!$B:$B,MATCH(A1809,Sancoes!$A:$A,0))&amp;"","não consta"))</f>
        <v/>
      </c>
      <c r="L1809" s="19" t="str">
        <f aca="false">IF(A1809="","",IFERROR(INDEX(Eleitoral!$B:$B,MATCH(A1809,Eleitoral!$A:$A,0))&amp;"","não consta"))</f>
        <v/>
      </c>
      <c r="M1809" s="28" t="str">
        <f aca="false">IF(A1809="","",IF(OR(AND(K1809&lt;&gt;"",LOWER(K1809)&lt;&gt;"não consta"),AND(L1809&lt;&gt;"",LOWER(L1809)&lt;&gt;"não consta"),IFERROR(INDEX(Empresas!$G:$G,MATCH(A1809,Empresas!$A:$A,0))&amp;"","")&lt;&gt;""),"SIM",""))</f>
        <v/>
      </c>
      <c r="N1809" s="5"/>
      <c r="O1809" s="32" t="str">
        <f aca="false">IF(D1809="","",YEAR(D1809))</f>
        <v/>
      </c>
      <c r="P1809" s="5"/>
    </row>
    <row r="1810" customFormat="false" ht="15" hidden="false" customHeight="false" outlineLevel="0" collapsed="false">
      <c r="A1810" s="27"/>
      <c r="B1810" s="5"/>
      <c r="C1810" s="35"/>
      <c r="D1810" s="18"/>
      <c r="E1810" s="5"/>
      <c r="F1810" s="14"/>
      <c r="G1810" s="5"/>
      <c r="H1810" s="27"/>
      <c r="I1810" s="5"/>
      <c r="J1810" s="19" t="str">
        <f aca="false">IF(A1810="","",IFERROR(INDEX(Empresas!$D:$D,MATCH(A1810,Empresas!$A:$A,0))&amp;"","não consta"))</f>
        <v/>
      </c>
      <c r="K1810" s="19" t="str">
        <f aca="false">IF(A1810="","",IFERROR(INDEX(Sancoes!$B:$B,MATCH(A1810,Sancoes!$A:$A,0))&amp;"","não consta"))</f>
        <v/>
      </c>
      <c r="L1810" s="19" t="str">
        <f aca="false">IF(A1810="","",IFERROR(INDEX(Eleitoral!$B:$B,MATCH(A1810,Eleitoral!$A:$A,0))&amp;"","não consta"))</f>
        <v/>
      </c>
      <c r="M1810" s="28" t="str">
        <f aca="false">IF(A1810="","",IF(OR(AND(K1810&lt;&gt;"",LOWER(K1810)&lt;&gt;"não consta"),AND(L1810&lt;&gt;"",LOWER(L1810)&lt;&gt;"não consta"),IFERROR(INDEX(Empresas!$G:$G,MATCH(A1810,Empresas!$A:$A,0))&amp;"","")&lt;&gt;""),"SIM",""))</f>
        <v/>
      </c>
      <c r="N1810" s="5"/>
      <c r="O1810" s="32" t="str">
        <f aca="false">IF(D1810="","",YEAR(D1810))</f>
        <v/>
      </c>
      <c r="P1810" s="5"/>
    </row>
    <row r="1811" customFormat="false" ht="15" hidden="false" customHeight="false" outlineLevel="0" collapsed="false">
      <c r="A1811" s="27"/>
      <c r="B1811" s="5"/>
      <c r="C1811" s="35"/>
      <c r="D1811" s="18"/>
      <c r="E1811" s="5"/>
      <c r="F1811" s="14"/>
      <c r="G1811" s="5"/>
      <c r="H1811" s="27"/>
      <c r="I1811" s="5"/>
      <c r="J1811" s="19" t="str">
        <f aca="false">IF(A1811="","",IFERROR(INDEX(Empresas!$D:$D,MATCH(A1811,Empresas!$A:$A,0))&amp;"","não consta"))</f>
        <v/>
      </c>
      <c r="K1811" s="19" t="str">
        <f aca="false">IF(A1811="","",IFERROR(INDEX(Sancoes!$B:$B,MATCH(A1811,Sancoes!$A:$A,0))&amp;"","não consta"))</f>
        <v/>
      </c>
      <c r="L1811" s="19" t="str">
        <f aca="false">IF(A1811="","",IFERROR(INDEX(Eleitoral!$B:$B,MATCH(A1811,Eleitoral!$A:$A,0))&amp;"","não consta"))</f>
        <v/>
      </c>
      <c r="M1811" s="28" t="str">
        <f aca="false">IF(A1811="","",IF(OR(AND(K1811&lt;&gt;"",LOWER(K1811)&lt;&gt;"não consta"),AND(L1811&lt;&gt;"",LOWER(L1811)&lt;&gt;"não consta"),IFERROR(INDEX(Empresas!$G:$G,MATCH(A1811,Empresas!$A:$A,0))&amp;"","")&lt;&gt;""),"SIM",""))</f>
        <v/>
      </c>
      <c r="N1811" s="5"/>
      <c r="O1811" s="32" t="str">
        <f aca="false">IF(D1811="","",YEAR(D1811))</f>
        <v/>
      </c>
      <c r="P1811" s="5"/>
    </row>
    <row r="1812" customFormat="false" ht="15" hidden="false" customHeight="false" outlineLevel="0" collapsed="false">
      <c r="A1812" s="27"/>
      <c r="B1812" s="5"/>
      <c r="C1812" s="35"/>
      <c r="D1812" s="18"/>
      <c r="E1812" s="5"/>
      <c r="F1812" s="14"/>
      <c r="G1812" s="5"/>
      <c r="H1812" s="27"/>
      <c r="I1812" s="5"/>
      <c r="J1812" s="19" t="str">
        <f aca="false">IF(A1812="","",IFERROR(INDEX(Empresas!$D:$D,MATCH(A1812,Empresas!$A:$A,0))&amp;"","não consta"))</f>
        <v/>
      </c>
      <c r="K1812" s="19" t="str">
        <f aca="false">IF(A1812="","",IFERROR(INDEX(Sancoes!$B:$B,MATCH(A1812,Sancoes!$A:$A,0))&amp;"","não consta"))</f>
        <v/>
      </c>
      <c r="L1812" s="19" t="str">
        <f aca="false">IF(A1812="","",IFERROR(INDEX(Eleitoral!$B:$B,MATCH(A1812,Eleitoral!$A:$A,0))&amp;"","não consta"))</f>
        <v/>
      </c>
      <c r="M1812" s="28" t="str">
        <f aca="false">IF(A1812="","",IF(OR(AND(K1812&lt;&gt;"",LOWER(K1812)&lt;&gt;"não consta"),AND(L1812&lt;&gt;"",LOWER(L1812)&lt;&gt;"não consta"),IFERROR(INDEX(Empresas!$G:$G,MATCH(A1812,Empresas!$A:$A,0))&amp;"","")&lt;&gt;""),"SIM",""))</f>
        <v/>
      </c>
      <c r="N1812" s="5"/>
      <c r="O1812" s="32" t="str">
        <f aca="false">IF(D1812="","",YEAR(D1812))</f>
        <v/>
      </c>
      <c r="P1812" s="5"/>
    </row>
    <row r="1813" customFormat="false" ht="15" hidden="false" customHeight="false" outlineLevel="0" collapsed="false">
      <c r="A1813" s="27"/>
      <c r="B1813" s="5"/>
      <c r="C1813" s="35"/>
      <c r="D1813" s="18"/>
      <c r="E1813" s="5"/>
      <c r="F1813" s="14"/>
      <c r="G1813" s="5"/>
      <c r="H1813" s="27"/>
      <c r="I1813" s="5"/>
      <c r="J1813" s="19" t="str">
        <f aca="false">IF(A1813="","",IFERROR(INDEX(Empresas!$D:$D,MATCH(A1813,Empresas!$A:$A,0))&amp;"","não consta"))</f>
        <v/>
      </c>
      <c r="K1813" s="19" t="str">
        <f aca="false">IF(A1813="","",IFERROR(INDEX(Sancoes!$B:$B,MATCH(A1813,Sancoes!$A:$A,0))&amp;"","não consta"))</f>
        <v/>
      </c>
      <c r="L1813" s="19" t="str">
        <f aca="false">IF(A1813="","",IFERROR(INDEX(Eleitoral!$B:$B,MATCH(A1813,Eleitoral!$A:$A,0))&amp;"","não consta"))</f>
        <v/>
      </c>
      <c r="M1813" s="28" t="str">
        <f aca="false">IF(A1813="","",IF(OR(AND(K1813&lt;&gt;"",LOWER(K1813)&lt;&gt;"não consta"),AND(L1813&lt;&gt;"",LOWER(L1813)&lt;&gt;"não consta"),IFERROR(INDEX(Empresas!$G:$G,MATCH(A1813,Empresas!$A:$A,0))&amp;"","")&lt;&gt;""),"SIM",""))</f>
        <v/>
      </c>
      <c r="N1813" s="5"/>
      <c r="O1813" s="32" t="str">
        <f aca="false">IF(D1813="","",YEAR(D1813))</f>
        <v/>
      </c>
      <c r="P1813" s="5"/>
    </row>
    <row r="1814" customFormat="false" ht="15" hidden="false" customHeight="false" outlineLevel="0" collapsed="false">
      <c r="A1814" s="27"/>
      <c r="B1814" s="5"/>
      <c r="C1814" s="35"/>
      <c r="D1814" s="18"/>
      <c r="E1814" s="5"/>
      <c r="F1814" s="14"/>
      <c r="G1814" s="5"/>
      <c r="H1814" s="27"/>
      <c r="I1814" s="5"/>
      <c r="J1814" s="19" t="str">
        <f aca="false">IF(A1814="","",IFERROR(INDEX(Empresas!$D:$D,MATCH(A1814,Empresas!$A:$A,0))&amp;"","não consta"))</f>
        <v/>
      </c>
      <c r="K1814" s="19" t="str">
        <f aca="false">IF(A1814="","",IFERROR(INDEX(Sancoes!$B:$B,MATCH(A1814,Sancoes!$A:$A,0))&amp;"","não consta"))</f>
        <v/>
      </c>
      <c r="L1814" s="19" t="str">
        <f aca="false">IF(A1814="","",IFERROR(INDEX(Eleitoral!$B:$B,MATCH(A1814,Eleitoral!$A:$A,0))&amp;"","não consta"))</f>
        <v/>
      </c>
      <c r="M1814" s="28" t="str">
        <f aca="false">IF(A1814="","",IF(OR(AND(K1814&lt;&gt;"",LOWER(K1814)&lt;&gt;"não consta"),AND(L1814&lt;&gt;"",LOWER(L1814)&lt;&gt;"não consta"),IFERROR(INDEX(Empresas!$G:$G,MATCH(A1814,Empresas!$A:$A,0))&amp;"","")&lt;&gt;""),"SIM",""))</f>
        <v/>
      </c>
      <c r="N1814" s="5"/>
      <c r="O1814" s="32" t="str">
        <f aca="false">IF(D1814="","",YEAR(D1814))</f>
        <v/>
      </c>
      <c r="P1814" s="5"/>
    </row>
    <row r="1815" customFormat="false" ht="15" hidden="false" customHeight="false" outlineLevel="0" collapsed="false">
      <c r="A1815" s="27"/>
      <c r="B1815" s="5"/>
      <c r="C1815" s="35"/>
      <c r="D1815" s="18"/>
      <c r="E1815" s="5"/>
      <c r="F1815" s="14"/>
      <c r="G1815" s="5"/>
      <c r="H1815" s="27"/>
      <c r="I1815" s="5"/>
      <c r="J1815" s="19" t="str">
        <f aca="false">IF(A1815="","",IFERROR(INDEX(Empresas!$D:$D,MATCH(A1815,Empresas!$A:$A,0))&amp;"","não consta"))</f>
        <v/>
      </c>
      <c r="K1815" s="19" t="str">
        <f aca="false">IF(A1815="","",IFERROR(INDEX(Sancoes!$B:$B,MATCH(A1815,Sancoes!$A:$A,0))&amp;"","não consta"))</f>
        <v/>
      </c>
      <c r="L1815" s="19" t="str">
        <f aca="false">IF(A1815="","",IFERROR(INDEX(Eleitoral!$B:$B,MATCH(A1815,Eleitoral!$A:$A,0))&amp;"","não consta"))</f>
        <v/>
      </c>
      <c r="M1815" s="28" t="str">
        <f aca="false">IF(A1815="","",IF(OR(AND(K1815&lt;&gt;"",LOWER(K1815)&lt;&gt;"não consta"),AND(L1815&lt;&gt;"",LOWER(L1815)&lt;&gt;"não consta"),IFERROR(INDEX(Empresas!$G:$G,MATCH(A1815,Empresas!$A:$A,0))&amp;"","")&lt;&gt;""),"SIM",""))</f>
        <v/>
      </c>
      <c r="N1815" s="5"/>
      <c r="O1815" s="32" t="str">
        <f aca="false">IF(D1815="","",YEAR(D1815))</f>
        <v/>
      </c>
      <c r="P1815" s="5"/>
    </row>
    <row r="1816" customFormat="false" ht="15" hidden="false" customHeight="false" outlineLevel="0" collapsed="false">
      <c r="A1816" s="27"/>
      <c r="B1816" s="5"/>
      <c r="C1816" s="35"/>
      <c r="D1816" s="18"/>
      <c r="E1816" s="5"/>
      <c r="F1816" s="14"/>
      <c r="G1816" s="5"/>
      <c r="H1816" s="27"/>
      <c r="I1816" s="5"/>
      <c r="J1816" s="19" t="str">
        <f aca="false">IF(A1816="","",IFERROR(INDEX(Empresas!$D:$D,MATCH(A1816,Empresas!$A:$A,0))&amp;"","não consta"))</f>
        <v/>
      </c>
      <c r="K1816" s="19" t="str">
        <f aca="false">IF(A1816="","",IFERROR(INDEX(Sancoes!$B:$B,MATCH(A1816,Sancoes!$A:$A,0))&amp;"","não consta"))</f>
        <v/>
      </c>
      <c r="L1816" s="19" t="str">
        <f aca="false">IF(A1816="","",IFERROR(INDEX(Eleitoral!$B:$B,MATCH(A1816,Eleitoral!$A:$A,0))&amp;"","não consta"))</f>
        <v/>
      </c>
      <c r="M1816" s="28" t="str">
        <f aca="false">IF(A1816="","",IF(OR(AND(K1816&lt;&gt;"",LOWER(K1816)&lt;&gt;"não consta"),AND(L1816&lt;&gt;"",LOWER(L1816)&lt;&gt;"não consta"),IFERROR(INDEX(Empresas!$G:$G,MATCH(A1816,Empresas!$A:$A,0))&amp;"","")&lt;&gt;""),"SIM",""))</f>
        <v/>
      </c>
      <c r="N1816" s="5"/>
      <c r="O1816" s="32" t="str">
        <f aca="false">IF(D1816="","",YEAR(D1816))</f>
        <v/>
      </c>
      <c r="P1816" s="5"/>
    </row>
    <row r="1817" customFormat="false" ht="15" hidden="false" customHeight="false" outlineLevel="0" collapsed="false">
      <c r="A1817" s="27"/>
      <c r="B1817" s="5"/>
      <c r="C1817" s="35"/>
      <c r="D1817" s="18"/>
      <c r="E1817" s="5"/>
      <c r="F1817" s="14"/>
      <c r="G1817" s="5"/>
      <c r="H1817" s="27"/>
      <c r="I1817" s="5"/>
      <c r="J1817" s="19" t="str">
        <f aca="false">IF(A1817="","",IFERROR(INDEX(Empresas!$D:$D,MATCH(A1817,Empresas!$A:$A,0))&amp;"","não consta"))</f>
        <v/>
      </c>
      <c r="K1817" s="19" t="str">
        <f aca="false">IF(A1817="","",IFERROR(INDEX(Sancoes!$B:$B,MATCH(A1817,Sancoes!$A:$A,0))&amp;"","não consta"))</f>
        <v/>
      </c>
      <c r="L1817" s="19" t="str">
        <f aca="false">IF(A1817="","",IFERROR(INDEX(Eleitoral!$B:$B,MATCH(A1817,Eleitoral!$A:$A,0))&amp;"","não consta"))</f>
        <v/>
      </c>
      <c r="M1817" s="28" t="str">
        <f aca="false">IF(A1817="","",IF(OR(AND(K1817&lt;&gt;"",LOWER(K1817)&lt;&gt;"não consta"),AND(L1817&lt;&gt;"",LOWER(L1817)&lt;&gt;"não consta"),IFERROR(INDEX(Empresas!$G:$G,MATCH(A1817,Empresas!$A:$A,0))&amp;"","")&lt;&gt;""),"SIM",""))</f>
        <v/>
      </c>
      <c r="N1817" s="5"/>
      <c r="O1817" s="32" t="str">
        <f aca="false">IF(D1817="","",YEAR(D1817))</f>
        <v/>
      </c>
      <c r="P1817" s="5"/>
    </row>
    <row r="1818" customFormat="false" ht="15" hidden="false" customHeight="false" outlineLevel="0" collapsed="false">
      <c r="A1818" s="27"/>
      <c r="B1818" s="5"/>
      <c r="C1818" s="35"/>
      <c r="D1818" s="18"/>
      <c r="E1818" s="5"/>
      <c r="F1818" s="14"/>
      <c r="G1818" s="5"/>
      <c r="H1818" s="27"/>
      <c r="I1818" s="5"/>
      <c r="J1818" s="19" t="str">
        <f aca="false">IF(A1818="","",IFERROR(INDEX(Empresas!$D:$D,MATCH(A1818,Empresas!$A:$A,0))&amp;"","não consta"))</f>
        <v/>
      </c>
      <c r="K1818" s="19" t="str">
        <f aca="false">IF(A1818="","",IFERROR(INDEX(Sancoes!$B:$B,MATCH(A1818,Sancoes!$A:$A,0))&amp;"","não consta"))</f>
        <v/>
      </c>
      <c r="L1818" s="19" t="str">
        <f aca="false">IF(A1818="","",IFERROR(INDEX(Eleitoral!$B:$B,MATCH(A1818,Eleitoral!$A:$A,0))&amp;"","não consta"))</f>
        <v/>
      </c>
      <c r="M1818" s="28" t="str">
        <f aca="false">IF(A1818="","",IF(OR(AND(K1818&lt;&gt;"",LOWER(K1818)&lt;&gt;"não consta"),AND(L1818&lt;&gt;"",LOWER(L1818)&lt;&gt;"não consta"),IFERROR(INDEX(Empresas!$G:$G,MATCH(A1818,Empresas!$A:$A,0))&amp;"","")&lt;&gt;""),"SIM",""))</f>
        <v/>
      </c>
      <c r="N1818" s="5"/>
      <c r="O1818" s="32" t="str">
        <f aca="false">IF(D1818="","",YEAR(D1818))</f>
        <v/>
      </c>
      <c r="P1818" s="5"/>
    </row>
    <row r="1819" customFormat="false" ht="15" hidden="false" customHeight="false" outlineLevel="0" collapsed="false">
      <c r="A1819" s="27"/>
      <c r="B1819" s="5"/>
      <c r="C1819" s="35"/>
      <c r="D1819" s="18"/>
      <c r="E1819" s="5"/>
      <c r="F1819" s="14"/>
      <c r="G1819" s="5"/>
      <c r="H1819" s="27"/>
      <c r="I1819" s="5"/>
      <c r="J1819" s="19" t="str">
        <f aca="false">IF(A1819="","",IFERROR(INDEX(Empresas!$D:$D,MATCH(A1819,Empresas!$A:$A,0))&amp;"","não consta"))</f>
        <v/>
      </c>
      <c r="K1819" s="19" t="str">
        <f aca="false">IF(A1819="","",IFERROR(INDEX(Sancoes!$B:$B,MATCH(A1819,Sancoes!$A:$A,0))&amp;"","não consta"))</f>
        <v/>
      </c>
      <c r="L1819" s="19" t="str">
        <f aca="false">IF(A1819="","",IFERROR(INDEX(Eleitoral!$B:$B,MATCH(A1819,Eleitoral!$A:$A,0))&amp;"","não consta"))</f>
        <v/>
      </c>
      <c r="M1819" s="28" t="str">
        <f aca="false">IF(A1819="","",IF(OR(AND(K1819&lt;&gt;"",LOWER(K1819)&lt;&gt;"não consta"),AND(L1819&lt;&gt;"",LOWER(L1819)&lt;&gt;"não consta"),IFERROR(INDEX(Empresas!$G:$G,MATCH(A1819,Empresas!$A:$A,0))&amp;"","")&lt;&gt;""),"SIM",""))</f>
        <v/>
      </c>
      <c r="N1819" s="5"/>
      <c r="O1819" s="32" t="str">
        <f aca="false">IF(D1819="","",YEAR(D1819))</f>
        <v/>
      </c>
      <c r="P1819" s="5"/>
    </row>
    <row r="1820" customFormat="false" ht="15" hidden="false" customHeight="false" outlineLevel="0" collapsed="false">
      <c r="A1820" s="27"/>
      <c r="B1820" s="5"/>
      <c r="C1820" s="35"/>
      <c r="D1820" s="18"/>
      <c r="E1820" s="5"/>
      <c r="F1820" s="14"/>
      <c r="G1820" s="5"/>
      <c r="H1820" s="27"/>
      <c r="I1820" s="5"/>
      <c r="J1820" s="19" t="str">
        <f aca="false">IF(A1820="","",IFERROR(INDEX(Empresas!$D:$D,MATCH(A1820,Empresas!$A:$A,0))&amp;"","não consta"))</f>
        <v/>
      </c>
      <c r="K1820" s="19" t="str">
        <f aca="false">IF(A1820="","",IFERROR(INDEX(Sancoes!$B:$B,MATCH(A1820,Sancoes!$A:$A,0))&amp;"","não consta"))</f>
        <v/>
      </c>
      <c r="L1820" s="19" t="str">
        <f aca="false">IF(A1820="","",IFERROR(INDEX(Eleitoral!$B:$B,MATCH(A1820,Eleitoral!$A:$A,0))&amp;"","não consta"))</f>
        <v/>
      </c>
      <c r="M1820" s="28" t="str">
        <f aca="false">IF(A1820="","",IF(OR(AND(K1820&lt;&gt;"",LOWER(K1820)&lt;&gt;"não consta"),AND(L1820&lt;&gt;"",LOWER(L1820)&lt;&gt;"não consta"),IFERROR(INDEX(Empresas!$G:$G,MATCH(A1820,Empresas!$A:$A,0))&amp;"","")&lt;&gt;""),"SIM",""))</f>
        <v/>
      </c>
      <c r="N1820" s="5"/>
      <c r="O1820" s="32" t="str">
        <f aca="false">IF(D1820="","",YEAR(D1820))</f>
        <v/>
      </c>
      <c r="P1820" s="5"/>
    </row>
    <row r="1821" customFormat="false" ht="15" hidden="false" customHeight="false" outlineLevel="0" collapsed="false">
      <c r="A1821" s="27"/>
      <c r="B1821" s="5"/>
      <c r="C1821" s="35"/>
      <c r="D1821" s="18"/>
      <c r="E1821" s="5"/>
      <c r="F1821" s="14"/>
      <c r="G1821" s="5"/>
      <c r="H1821" s="27"/>
      <c r="I1821" s="5"/>
      <c r="J1821" s="19" t="str">
        <f aca="false">IF(A1821="","",IFERROR(INDEX(Empresas!$D:$D,MATCH(A1821,Empresas!$A:$A,0))&amp;"","não consta"))</f>
        <v/>
      </c>
      <c r="K1821" s="19" t="str">
        <f aca="false">IF(A1821="","",IFERROR(INDEX(Sancoes!$B:$B,MATCH(A1821,Sancoes!$A:$A,0))&amp;"","não consta"))</f>
        <v/>
      </c>
      <c r="L1821" s="19" t="str">
        <f aca="false">IF(A1821="","",IFERROR(INDEX(Eleitoral!$B:$B,MATCH(A1821,Eleitoral!$A:$A,0))&amp;"","não consta"))</f>
        <v/>
      </c>
      <c r="M1821" s="28" t="str">
        <f aca="false">IF(A1821="","",IF(OR(AND(K1821&lt;&gt;"",LOWER(K1821)&lt;&gt;"não consta"),AND(L1821&lt;&gt;"",LOWER(L1821)&lt;&gt;"não consta"),IFERROR(INDEX(Empresas!$G:$G,MATCH(A1821,Empresas!$A:$A,0))&amp;"","")&lt;&gt;""),"SIM",""))</f>
        <v/>
      </c>
      <c r="N1821" s="5"/>
      <c r="O1821" s="32" t="str">
        <f aca="false">IF(D1821="","",YEAR(D1821))</f>
        <v/>
      </c>
      <c r="P1821" s="5"/>
    </row>
    <row r="1822" customFormat="false" ht="15" hidden="false" customHeight="false" outlineLevel="0" collapsed="false">
      <c r="A1822" s="27"/>
      <c r="B1822" s="5"/>
      <c r="C1822" s="35"/>
      <c r="D1822" s="18"/>
      <c r="E1822" s="5"/>
      <c r="F1822" s="14"/>
      <c r="G1822" s="5"/>
      <c r="H1822" s="27"/>
      <c r="I1822" s="5"/>
      <c r="J1822" s="19" t="str">
        <f aca="false">IF(A1822="","",IFERROR(INDEX(Empresas!$D:$D,MATCH(A1822,Empresas!$A:$A,0))&amp;"","não consta"))</f>
        <v/>
      </c>
      <c r="K1822" s="19" t="str">
        <f aca="false">IF(A1822="","",IFERROR(INDEX(Sancoes!$B:$B,MATCH(A1822,Sancoes!$A:$A,0))&amp;"","não consta"))</f>
        <v/>
      </c>
      <c r="L1822" s="19" t="str">
        <f aca="false">IF(A1822="","",IFERROR(INDEX(Eleitoral!$B:$B,MATCH(A1822,Eleitoral!$A:$A,0))&amp;"","não consta"))</f>
        <v/>
      </c>
      <c r="M1822" s="28" t="str">
        <f aca="false">IF(A1822="","",IF(OR(AND(K1822&lt;&gt;"",LOWER(K1822)&lt;&gt;"não consta"),AND(L1822&lt;&gt;"",LOWER(L1822)&lt;&gt;"não consta"),IFERROR(INDEX(Empresas!$G:$G,MATCH(A1822,Empresas!$A:$A,0))&amp;"","")&lt;&gt;""),"SIM",""))</f>
        <v/>
      </c>
      <c r="N1822" s="5"/>
      <c r="O1822" s="32" t="str">
        <f aca="false">IF(D1822="","",YEAR(D1822))</f>
        <v/>
      </c>
      <c r="P1822" s="5"/>
    </row>
    <row r="1823" customFormat="false" ht="15" hidden="false" customHeight="false" outlineLevel="0" collapsed="false">
      <c r="A1823" s="27"/>
      <c r="B1823" s="5"/>
      <c r="C1823" s="35"/>
      <c r="D1823" s="18"/>
      <c r="E1823" s="5"/>
      <c r="F1823" s="14"/>
      <c r="G1823" s="5"/>
      <c r="H1823" s="27"/>
      <c r="I1823" s="5"/>
      <c r="J1823" s="19" t="str">
        <f aca="false">IF(A1823="","",IFERROR(INDEX(Empresas!$D:$D,MATCH(A1823,Empresas!$A:$A,0))&amp;"","não consta"))</f>
        <v/>
      </c>
      <c r="K1823" s="19" t="str">
        <f aca="false">IF(A1823="","",IFERROR(INDEX(Sancoes!$B:$B,MATCH(A1823,Sancoes!$A:$A,0))&amp;"","não consta"))</f>
        <v/>
      </c>
      <c r="L1823" s="19" t="str">
        <f aca="false">IF(A1823="","",IFERROR(INDEX(Eleitoral!$B:$B,MATCH(A1823,Eleitoral!$A:$A,0))&amp;"","não consta"))</f>
        <v/>
      </c>
      <c r="M1823" s="28" t="str">
        <f aca="false">IF(A1823="","",IF(OR(AND(K1823&lt;&gt;"",LOWER(K1823)&lt;&gt;"não consta"),AND(L1823&lt;&gt;"",LOWER(L1823)&lt;&gt;"não consta"),IFERROR(INDEX(Empresas!$G:$G,MATCH(A1823,Empresas!$A:$A,0))&amp;"","")&lt;&gt;""),"SIM",""))</f>
        <v/>
      </c>
      <c r="N1823" s="5"/>
      <c r="O1823" s="32" t="str">
        <f aca="false">IF(D1823="","",YEAR(D1823))</f>
        <v/>
      </c>
      <c r="P1823" s="5"/>
    </row>
    <row r="1824" customFormat="false" ht="15" hidden="false" customHeight="false" outlineLevel="0" collapsed="false">
      <c r="A1824" s="27"/>
      <c r="B1824" s="5"/>
      <c r="C1824" s="35"/>
      <c r="D1824" s="18"/>
      <c r="E1824" s="5"/>
      <c r="F1824" s="14"/>
      <c r="G1824" s="5"/>
      <c r="H1824" s="27"/>
      <c r="I1824" s="5"/>
      <c r="J1824" s="19" t="str">
        <f aca="false">IF(A1824="","",IFERROR(INDEX(Empresas!$D:$D,MATCH(A1824,Empresas!$A:$A,0))&amp;"","não consta"))</f>
        <v/>
      </c>
      <c r="K1824" s="19" t="str">
        <f aca="false">IF(A1824="","",IFERROR(INDEX(Sancoes!$B:$B,MATCH(A1824,Sancoes!$A:$A,0))&amp;"","não consta"))</f>
        <v/>
      </c>
      <c r="L1824" s="19" t="str">
        <f aca="false">IF(A1824="","",IFERROR(INDEX(Eleitoral!$B:$B,MATCH(A1824,Eleitoral!$A:$A,0))&amp;"","não consta"))</f>
        <v/>
      </c>
      <c r="M1824" s="28" t="str">
        <f aca="false">IF(A1824="","",IF(OR(AND(K1824&lt;&gt;"",LOWER(K1824)&lt;&gt;"não consta"),AND(L1824&lt;&gt;"",LOWER(L1824)&lt;&gt;"não consta"),IFERROR(INDEX(Empresas!$G:$G,MATCH(A1824,Empresas!$A:$A,0))&amp;"","")&lt;&gt;""),"SIM",""))</f>
        <v/>
      </c>
      <c r="N1824" s="5"/>
      <c r="O1824" s="32" t="str">
        <f aca="false">IF(D1824="","",YEAR(D1824))</f>
        <v/>
      </c>
      <c r="P1824" s="5"/>
    </row>
    <row r="1825" customFormat="false" ht="15" hidden="false" customHeight="false" outlineLevel="0" collapsed="false">
      <c r="A1825" s="27"/>
      <c r="B1825" s="5"/>
      <c r="C1825" s="35"/>
      <c r="D1825" s="18"/>
      <c r="E1825" s="5"/>
      <c r="F1825" s="14"/>
      <c r="G1825" s="5"/>
      <c r="H1825" s="27"/>
      <c r="I1825" s="5"/>
      <c r="J1825" s="19" t="str">
        <f aca="false">IF(A1825="","",IFERROR(INDEX(Empresas!$D:$D,MATCH(A1825,Empresas!$A:$A,0))&amp;"","não consta"))</f>
        <v/>
      </c>
      <c r="K1825" s="19" t="str">
        <f aca="false">IF(A1825="","",IFERROR(INDEX(Sancoes!$B:$B,MATCH(A1825,Sancoes!$A:$A,0))&amp;"","não consta"))</f>
        <v/>
      </c>
      <c r="L1825" s="19" t="str">
        <f aca="false">IF(A1825="","",IFERROR(INDEX(Eleitoral!$B:$B,MATCH(A1825,Eleitoral!$A:$A,0))&amp;"","não consta"))</f>
        <v/>
      </c>
      <c r="M1825" s="28" t="str">
        <f aca="false">IF(A1825="","",IF(OR(AND(K1825&lt;&gt;"",LOWER(K1825)&lt;&gt;"não consta"),AND(L1825&lt;&gt;"",LOWER(L1825)&lt;&gt;"não consta"),IFERROR(INDEX(Empresas!$G:$G,MATCH(A1825,Empresas!$A:$A,0))&amp;"","")&lt;&gt;""),"SIM",""))</f>
        <v/>
      </c>
      <c r="N1825" s="5"/>
      <c r="O1825" s="32" t="str">
        <f aca="false">IF(D1825="","",YEAR(D1825))</f>
        <v/>
      </c>
      <c r="P1825" s="5"/>
    </row>
    <row r="1826" customFormat="false" ht="15" hidden="false" customHeight="false" outlineLevel="0" collapsed="false">
      <c r="A1826" s="27"/>
      <c r="B1826" s="5"/>
      <c r="C1826" s="35"/>
      <c r="D1826" s="18"/>
      <c r="E1826" s="5"/>
      <c r="F1826" s="14"/>
      <c r="G1826" s="5"/>
      <c r="H1826" s="27"/>
      <c r="I1826" s="5"/>
      <c r="J1826" s="19" t="str">
        <f aca="false">IF(A1826="","",IFERROR(INDEX(Empresas!$D:$D,MATCH(A1826,Empresas!$A:$A,0))&amp;"","não consta"))</f>
        <v/>
      </c>
      <c r="K1826" s="19" t="str">
        <f aca="false">IF(A1826="","",IFERROR(INDEX(Sancoes!$B:$B,MATCH(A1826,Sancoes!$A:$A,0))&amp;"","não consta"))</f>
        <v/>
      </c>
      <c r="L1826" s="19" t="str">
        <f aca="false">IF(A1826="","",IFERROR(INDEX(Eleitoral!$B:$B,MATCH(A1826,Eleitoral!$A:$A,0))&amp;"","não consta"))</f>
        <v/>
      </c>
      <c r="M1826" s="28" t="str">
        <f aca="false">IF(A1826="","",IF(OR(AND(K1826&lt;&gt;"",LOWER(K1826)&lt;&gt;"não consta"),AND(L1826&lt;&gt;"",LOWER(L1826)&lt;&gt;"não consta"),IFERROR(INDEX(Empresas!$G:$G,MATCH(A1826,Empresas!$A:$A,0))&amp;"","")&lt;&gt;""),"SIM",""))</f>
        <v/>
      </c>
      <c r="N1826" s="5"/>
      <c r="O1826" s="32" t="str">
        <f aca="false">IF(D1826="","",YEAR(D1826))</f>
        <v/>
      </c>
      <c r="P1826" s="5"/>
    </row>
    <row r="1827" customFormat="false" ht="15" hidden="false" customHeight="false" outlineLevel="0" collapsed="false">
      <c r="A1827" s="27"/>
      <c r="B1827" s="5"/>
      <c r="C1827" s="35"/>
      <c r="D1827" s="18"/>
      <c r="E1827" s="5"/>
      <c r="F1827" s="14"/>
      <c r="G1827" s="5"/>
      <c r="H1827" s="27"/>
      <c r="I1827" s="5"/>
      <c r="J1827" s="19" t="str">
        <f aca="false">IF(A1827="","",IFERROR(INDEX(Empresas!$D:$D,MATCH(A1827,Empresas!$A:$A,0))&amp;"","não consta"))</f>
        <v/>
      </c>
      <c r="K1827" s="19" t="str">
        <f aca="false">IF(A1827="","",IFERROR(INDEX(Sancoes!$B:$B,MATCH(A1827,Sancoes!$A:$A,0))&amp;"","não consta"))</f>
        <v/>
      </c>
      <c r="L1827" s="19" t="str">
        <f aca="false">IF(A1827="","",IFERROR(INDEX(Eleitoral!$B:$B,MATCH(A1827,Eleitoral!$A:$A,0))&amp;"","não consta"))</f>
        <v/>
      </c>
      <c r="M1827" s="28" t="str">
        <f aca="false">IF(A1827="","",IF(OR(AND(K1827&lt;&gt;"",LOWER(K1827)&lt;&gt;"não consta"),AND(L1827&lt;&gt;"",LOWER(L1827)&lt;&gt;"não consta"),IFERROR(INDEX(Empresas!$G:$G,MATCH(A1827,Empresas!$A:$A,0))&amp;"","")&lt;&gt;""),"SIM",""))</f>
        <v/>
      </c>
      <c r="N1827" s="5"/>
      <c r="O1827" s="32" t="str">
        <f aca="false">IF(D1827="","",YEAR(D1827))</f>
        <v/>
      </c>
      <c r="P1827" s="5"/>
    </row>
    <row r="1828" customFormat="false" ht="15" hidden="false" customHeight="false" outlineLevel="0" collapsed="false">
      <c r="A1828" s="27"/>
      <c r="B1828" s="5"/>
      <c r="C1828" s="35"/>
      <c r="D1828" s="18"/>
      <c r="E1828" s="5"/>
      <c r="F1828" s="14"/>
      <c r="G1828" s="5"/>
      <c r="H1828" s="27"/>
      <c r="I1828" s="5"/>
      <c r="J1828" s="19" t="str">
        <f aca="false">IF(A1828="","",IFERROR(INDEX(Empresas!$D:$D,MATCH(A1828,Empresas!$A:$A,0))&amp;"","não consta"))</f>
        <v/>
      </c>
      <c r="K1828" s="19" t="str">
        <f aca="false">IF(A1828="","",IFERROR(INDEX(Sancoes!$B:$B,MATCH(A1828,Sancoes!$A:$A,0))&amp;"","não consta"))</f>
        <v/>
      </c>
      <c r="L1828" s="19" t="str">
        <f aca="false">IF(A1828="","",IFERROR(INDEX(Eleitoral!$B:$B,MATCH(A1828,Eleitoral!$A:$A,0))&amp;"","não consta"))</f>
        <v/>
      </c>
      <c r="M1828" s="28" t="str">
        <f aca="false">IF(A1828="","",IF(OR(AND(K1828&lt;&gt;"",LOWER(K1828)&lt;&gt;"não consta"),AND(L1828&lt;&gt;"",LOWER(L1828)&lt;&gt;"não consta"),IFERROR(INDEX(Empresas!$G:$G,MATCH(A1828,Empresas!$A:$A,0))&amp;"","")&lt;&gt;""),"SIM",""))</f>
        <v/>
      </c>
      <c r="N1828" s="5"/>
      <c r="O1828" s="32" t="str">
        <f aca="false">IF(D1828="","",YEAR(D1828))</f>
        <v/>
      </c>
      <c r="P1828" s="5"/>
    </row>
    <row r="1829" customFormat="false" ht="15" hidden="false" customHeight="false" outlineLevel="0" collapsed="false">
      <c r="A1829" s="27"/>
      <c r="B1829" s="5"/>
      <c r="C1829" s="35"/>
      <c r="D1829" s="18"/>
      <c r="E1829" s="5"/>
      <c r="F1829" s="14"/>
      <c r="G1829" s="5"/>
      <c r="H1829" s="27"/>
      <c r="I1829" s="5"/>
      <c r="J1829" s="19" t="str">
        <f aca="false">IF(A1829="","",IFERROR(INDEX(Empresas!$D:$D,MATCH(A1829,Empresas!$A:$A,0))&amp;"","não consta"))</f>
        <v/>
      </c>
      <c r="K1829" s="19" t="str">
        <f aca="false">IF(A1829="","",IFERROR(INDEX(Sancoes!$B:$B,MATCH(A1829,Sancoes!$A:$A,0))&amp;"","não consta"))</f>
        <v/>
      </c>
      <c r="L1829" s="19" t="str">
        <f aca="false">IF(A1829="","",IFERROR(INDEX(Eleitoral!$B:$B,MATCH(A1829,Eleitoral!$A:$A,0))&amp;"","não consta"))</f>
        <v/>
      </c>
      <c r="M1829" s="28" t="str">
        <f aca="false">IF(A1829="","",IF(OR(AND(K1829&lt;&gt;"",LOWER(K1829)&lt;&gt;"não consta"),AND(L1829&lt;&gt;"",LOWER(L1829)&lt;&gt;"não consta"),IFERROR(INDEX(Empresas!$G:$G,MATCH(A1829,Empresas!$A:$A,0))&amp;"","")&lt;&gt;""),"SIM",""))</f>
        <v/>
      </c>
      <c r="N1829" s="5"/>
      <c r="O1829" s="32" t="str">
        <f aca="false">IF(D1829="","",YEAR(D1829))</f>
        <v/>
      </c>
      <c r="P1829" s="5"/>
    </row>
    <row r="1830" customFormat="false" ht="15" hidden="false" customHeight="false" outlineLevel="0" collapsed="false">
      <c r="A1830" s="27"/>
      <c r="B1830" s="5"/>
      <c r="C1830" s="35"/>
      <c r="D1830" s="18"/>
      <c r="E1830" s="5"/>
      <c r="F1830" s="14"/>
      <c r="G1830" s="5"/>
      <c r="H1830" s="27"/>
      <c r="I1830" s="5"/>
      <c r="J1830" s="19" t="str">
        <f aca="false">IF(A1830="","",IFERROR(INDEX(Empresas!$D:$D,MATCH(A1830,Empresas!$A:$A,0))&amp;"","não consta"))</f>
        <v/>
      </c>
      <c r="K1830" s="19" t="str">
        <f aca="false">IF(A1830="","",IFERROR(INDEX(Sancoes!$B:$B,MATCH(A1830,Sancoes!$A:$A,0))&amp;"","não consta"))</f>
        <v/>
      </c>
      <c r="L1830" s="19" t="str">
        <f aca="false">IF(A1830="","",IFERROR(INDEX(Eleitoral!$B:$B,MATCH(A1830,Eleitoral!$A:$A,0))&amp;"","não consta"))</f>
        <v/>
      </c>
      <c r="M1830" s="28" t="str">
        <f aca="false">IF(A1830="","",IF(OR(AND(K1830&lt;&gt;"",LOWER(K1830)&lt;&gt;"não consta"),AND(L1830&lt;&gt;"",LOWER(L1830)&lt;&gt;"não consta"),IFERROR(INDEX(Empresas!$G:$G,MATCH(A1830,Empresas!$A:$A,0))&amp;"","")&lt;&gt;""),"SIM",""))</f>
        <v/>
      </c>
      <c r="N1830" s="5"/>
      <c r="O1830" s="32" t="str">
        <f aca="false">IF(D1830="","",YEAR(D1830))</f>
        <v/>
      </c>
      <c r="P1830" s="5"/>
    </row>
    <row r="1831" customFormat="false" ht="15" hidden="false" customHeight="false" outlineLevel="0" collapsed="false">
      <c r="A1831" s="27"/>
      <c r="B1831" s="5"/>
      <c r="C1831" s="35"/>
      <c r="D1831" s="18"/>
      <c r="E1831" s="5"/>
      <c r="F1831" s="14"/>
      <c r="G1831" s="5"/>
      <c r="H1831" s="27"/>
      <c r="I1831" s="5"/>
      <c r="J1831" s="19" t="str">
        <f aca="false">IF(A1831="","",IFERROR(INDEX(Empresas!$D:$D,MATCH(A1831,Empresas!$A:$A,0))&amp;"","não consta"))</f>
        <v/>
      </c>
      <c r="K1831" s="19" t="str">
        <f aca="false">IF(A1831="","",IFERROR(INDEX(Sancoes!$B:$B,MATCH(A1831,Sancoes!$A:$A,0))&amp;"","não consta"))</f>
        <v/>
      </c>
      <c r="L1831" s="19" t="str">
        <f aca="false">IF(A1831="","",IFERROR(INDEX(Eleitoral!$B:$B,MATCH(A1831,Eleitoral!$A:$A,0))&amp;"","não consta"))</f>
        <v/>
      </c>
      <c r="M1831" s="28" t="str">
        <f aca="false">IF(A1831="","",IF(OR(AND(K1831&lt;&gt;"",LOWER(K1831)&lt;&gt;"não consta"),AND(L1831&lt;&gt;"",LOWER(L1831)&lt;&gt;"não consta"),IFERROR(INDEX(Empresas!$G:$G,MATCH(A1831,Empresas!$A:$A,0))&amp;"","")&lt;&gt;""),"SIM",""))</f>
        <v/>
      </c>
      <c r="N1831" s="5"/>
      <c r="O1831" s="32" t="str">
        <f aca="false">IF(D1831="","",YEAR(D1831))</f>
        <v/>
      </c>
      <c r="P1831" s="5"/>
    </row>
    <row r="1832" customFormat="false" ht="15" hidden="false" customHeight="false" outlineLevel="0" collapsed="false">
      <c r="A1832" s="27"/>
      <c r="B1832" s="5"/>
      <c r="C1832" s="35"/>
      <c r="D1832" s="18"/>
      <c r="E1832" s="5"/>
      <c r="F1832" s="14"/>
      <c r="G1832" s="5"/>
      <c r="H1832" s="27"/>
      <c r="I1832" s="5"/>
      <c r="J1832" s="19" t="str">
        <f aca="false">IF(A1832="","",IFERROR(INDEX(Empresas!$D:$D,MATCH(A1832,Empresas!$A:$A,0))&amp;"","não consta"))</f>
        <v/>
      </c>
      <c r="K1832" s="19" t="str">
        <f aca="false">IF(A1832="","",IFERROR(INDEX(Sancoes!$B:$B,MATCH(A1832,Sancoes!$A:$A,0))&amp;"","não consta"))</f>
        <v/>
      </c>
      <c r="L1832" s="19" t="str">
        <f aca="false">IF(A1832="","",IFERROR(INDEX(Eleitoral!$B:$B,MATCH(A1832,Eleitoral!$A:$A,0))&amp;"","não consta"))</f>
        <v/>
      </c>
      <c r="M1832" s="28" t="str">
        <f aca="false">IF(A1832="","",IF(OR(AND(K1832&lt;&gt;"",LOWER(K1832)&lt;&gt;"não consta"),AND(L1832&lt;&gt;"",LOWER(L1832)&lt;&gt;"não consta"),IFERROR(INDEX(Empresas!$G:$G,MATCH(A1832,Empresas!$A:$A,0))&amp;"","")&lt;&gt;""),"SIM",""))</f>
        <v/>
      </c>
      <c r="N1832" s="5"/>
      <c r="O1832" s="32" t="str">
        <f aca="false">IF(D1832="","",YEAR(D1832))</f>
        <v/>
      </c>
      <c r="P1832" s="5"/>
    </row>
    <row r="1833" customFormat="false" ht="15" hidden="false" customHeight="false" outlineLevel="0" collapsed="false">
      <c r="A1833" s="27"/>
      <c r="B1833" s="5"/>
      <c r="C1833" s="35"/>
      <c r="D1833" s="18"/>
      <c r="E1833" s="5"/>
      <c r="F1833" s="14"/>
      <c r="G1833" s="5"/>
      <c r="H1833" s="27"/>
      <c r="I1833" s="5"/>
      <c r="J1833" s="19" t="str">
        <f aca="false">IF(A1833="","",IFERROR(INDEX(Empresas!$D:$D,MATCH(A1833,Empresas!$A:$A,0))&amp;"","não consta"))</f>
        <v/>
      </c>
      <c r="K1833" s="19" t="str">
        <f aca="false">IF(A1833="","",IFERROR(INDEX(Sancoes!$B:$B,MATCH(A1833,Sancoes!$A:$A,0))&amp;"","não consta"))</f>
        <v/>
      </c>
      <c r="L1833" s="19" t="str">
        <f aca="false">IF(A1833="","",IFERROR(INDEX(Eleitoral!$B:$B,MATCH(A1833,Eleitoral!$A:$A,0))&amp;"","não consta"))</f>
        <v/>
      </c>
      <c r="M1833" s="28" t="str">
        <f aca="false">IF(A1833="","",IF(OR(AND(K1833&lt;&gt;"",LOWER(K1833)&lt;&gt;"não consta"),AND(L1833&lt;&gt;"",LOWER(L1833)&lt;&gt;"não consta"),IFERROR(INDEX(Empresas!$G:$G,MATCH(A1833,Empresas!$A:$A,0))&amp;"","")&lt;&gt;""),"SIM",""))</f>
        <v/>
      </c>
      <c r="N1833" s="5"/>
      <c r="O1833" s="32" t="str">
        <f aca="false">IF(D1833="","",YEAR(D1833))</f>
        <v/>
      </c>
      <c r="P1833" s="5"/>
    </row>
    <row r="1834" customFormat="false" ht="15" hidden="false" customHeight="false" outlineLevel="0" collapsed="false">
      <c r="A1834" s="27"/>
      <c r="B1834" s="5"/>
      <c r="C1834" s="35"/>
      <c r="D1834" s="18"/>
      <c r="E1834" s="5"/>
      <c r="F1834" s="14"/>
      <c r="G1834" s="5"/>
      <c r="H1834" s="27"/>
      <c r="I1834" s="5"/>
      <c r="J1834" s="19" t="str">
        <f aca="false">IF(A1834="","",IFERROR(INDEX(Empresas!$D:$D,MATCH(A1834,Empresas!$A:$A,0))&amp;"","não consta"))</f>
        <v/>
      </c>
      <c r="K1834" s="19" t="str">
        <f aca="false">IF(A1834="","",IFERROR(INDEX(Sancoes!$B:$B,MATCH(A1834,Sancoes!$A:$A,0))&amp;"","não consta"))</f>
        <v/>
      </c>
      <c r="L1834" s="19" t="str">
        <f aca="false">IF(A1834="","",IFERROR(INDEX(Eleitoral!$B:$B,MATCH(A1834,Eleitoral!$A:$A,0))&amp;"","não consta"))</f>
        <v/>
      </c>
      <c r="M1834" s="28" t="str">
        <f aca="false">IF(A1834="","",IF(OR(AND(K1834&lt;&gt;"",LOWER(K1834)&lt;&gt;"não consta"),AND(L1834&lt;&gt;"",LOWER(L1834)&lt;&gt;"não consta"),IFERROR(INDEX(Empresas!$G:$G,MATCH(A1834,Empresas!$A:$A,0))&amp;"","")&lt;&gt;""),"SIM",""))</f>
        <v/>
      </c>
      <c r="N1834" s="5"/>
      <c r="O1834" s="32" t="str">
        <f aca="false">IF(D1834="","",YEAR(D1834))</f>
        <v/>
      </c>
      <c r="P1834" s="5"/>
    </row>
    <row r="1835" customFormat="false" ht="15" hidden="false" customHeight="false" outlineLevel="0" collapsed="false">
      <c r="A1835" s="27"/>
      <c r="B1835" s="5"/>
      <c r="C1835" s="35"/>
      <c r="D1835" s="18"/>
      <c r="E1835" s="5"/>
      <c r="F1835" s="14"/>
      <c r="G1835" s="5"/>
      <c r="H1835" s="27"/>
      <c r="I1835" s="5"/>
      <c r="J1835" s="19" t="str">
        <f aca="false">IF(A1835="","",IFERROR(INDEX(Empresas!$D:$D,MATCH(A1835,Empresas!$A:$A,0))&amp;"","não consta"))</f>
        <v/>
      </c>
      <c r="K1835" s="19" t="str">
        <f aca="false">IF(A1835="","",IFERROR(INDEX(Sancoes!$B:$B,MATCH(A1835,Sancoes!$A:$A,0))&amp;"","não consta"))</f>
        <v/>
      </c>
      <c r="L1835" s="19" t="str">
        <f aca="false">IF(A1835="","",IFERROR(INDEX(Eleitoral!$B:$B,MATCH(A1835,Eleitoral!$A:$A,0))&amp;"","não consta"))</f>
        <v/>
      </c>
      <c r="M1835" s="28" t="str">
        <f aca="false">IF(A1835="","",IF(OR(AND(K1835&lt;&gt;"",LOWER(K1835)&lt;&gt;"não consta"),AND(L1835&lt;&gt;"",LOWER(L1835)&lt;&gt;"não consta"),IFERROR(INDEX(Empresas!$G:$G,MATCH(A1835,Empresas!$A:$A,0))&amp;"","")&lt;&gt;""),"SIM",""))</f>
        <v/>
      </c>
      <c r="N1835" s="5"/>
      <c r="O1835" s="32" t="str">
        <f aca="false">IF(D1835="","",YEAR(D1835))</f>
        <v/>
      </c>
      <c r="P1835" s="5"/>
    </row>
    <row r="1836" customFormat="false" ht="15" hidden="false" customHeight="false" outlineLevel="0" collapsed="false">
      <c r="A1836" s="27"/>
      <c r="B1836" s="5"/>
      <c r="C1836" s="35"/>
      <c r="D1836" s="18"/>
      <c r="E1836" s="5"/>
      <c r="F1836" s="14"/>
      <c r="G1836" s="5"/>
      <c r="H1836" s="27"/>
      <c r="I1836" s="5"/>
      <c r="J1836" s="19" t="str">
        <f aca="false">IF(A1836="","",IFERROR(INDEX(Empresas!$D:$D,MATCH(A1836,Empresas!$A:$A,0))&amp;"","não consta"))</f>
        <v/>
      </c>
      <c r="K1836" s="19" t="str">
        <f aca="false">IF(A1836="","",IFERROR(INDEX(Sancoes!$B:$B,MATCH(A1836,Sancoes!$A:$A,0))&amp;"","não consta"))</f>
        <v/>
      </c>
      <c r="L1836" s="19" t="str">
        <f aca="false">IF(A1836="","",IFERROR(INDEX(Eleitoral!$B:$B,MATCH(A1836,Eleitoral!$A:$A,0))&amp;"","não consta"))</f>
        <v/>
      </c>
      <c r="M1836" s="28" t="str">
        <f aca="false">IF(A1836="","",IF(OR(AND(K1836&lt;&gt;"",LOWER(K1836)&lt;&gt;"não consta"),AND(L1836&lt;&gt;"",LOWER(L1836)&lt;&gt;"não consta"),IFERROR(INDEX(Empresas!$G:$G,MATCH(A1836,Empresas!$A:$A,0))&amp;"","")&lt;&gt;""),"SIM",""))</f>
        <v/>
      </c>
      <c r="N1836" s="5"/>
      <c r="O1836" s="32" t="str">
        <f aca="false">IF(D1836="","",YEAR(D1836))</f>
        <v/>
      </c>
      <c r="P1836" s="5"/>
    </row>
    <row r="1837" customFormat="false" ht="15" hidden="false" customHeight="false" outlineLevel="0" collapsed="false">
      <c r="A1837" s="27"/>
      <c r="B1837" s="5"/>
      <c r="C1837" s="35"/>
      <c r="D1837" s="18"/>
      <c r="E1837" s="5"/>
      <c r="F1837" s="14"/>
      <c r="G1837" s="5"/>
      <c r="H1837" s="27"/>
      <c r="I1837" s="5"/>
      <c r="J1837" s="19" t="str">
        <f aca="false">IF(A1837="","",IFERROR(INDEX(Empresas!$D:$D,MATCH(A1837,Empresas!$A:$A,0))&amp;"","não consta"))</f>
        <v/>
      </c>
      <c r="K1837" s="19" t="str">
        <f aca="false">IF(A1837="","",IFERROR(INDEX(Sancoes!$B:$B,MATCH(A1837,Sancoes!$A:$A,0))&amp;"","não consta"))</f>
        <v/>
      </c>
      <c r="L1837" s="19" t="str">
        <f aca="false">IF(A1837="","",IFERROR(INDEX(Eleitoral!$B:$B,MATCH(A1837,Eleitoral!$A:$A,0))&amp;"","não consta"))</f>
        <v/>
      </c>
      <c r="M1837" s="28" t="str">
        <f aca="false">IF(A1837="","",IF(OR(AND(K1837&lt;&gt;"",LOWER(K1837)&lt;&gt;"não consta"),AND(L1837&lt;&gt;"",LOWER(L1837)&lt;&gt;"não consta"),IFERROR(INDEX(Empresas!$G:$G,MATCH(A1837,Empresas!$A:$A,0))&amp;"","")&lt;&gt;""),"SIM",""))</f>
        <v/>
      </c>
      <c r="N1837" s="5"/>
      <c r="O1837" s="32" t="str">
        <f aca="false">IF(D1837="","",YEAR(D1837))</f>
        <v/>
      </c>
      <c r="P1837" s="5"/>
    </row>
    <row r="1838" customFormat="false" ht="15" hidden="false" customHeight="false" outlineLevel="0" collapsed="false">
      <c r="A1838" s="27"/>
      <c r="B1838" s="5"/>
      <c r="C1838" s="35"/>
      <c r="D1838" s="18"/>
      <c r="E1838" s="5"/>
      <c r="F1838" s="14"/>
      <c r="G1838" s="5"/>
      <c r="H1838" s="27"/>
      <c r="I1838" s="5"/>
      <c r="J1838" s="19" t="str">
        <f aca="false">IF(A1838="","",IFERROR(INDEX(Empresas!$D:$D,MATCH(A1838,Empresas!$A:$A,0))&amp;"","não consta"))</f>
        <v/>
      </c>
      <c r="K1838" s="19" t="str">
        <f aca="false">IF(A1838="","",IFERROR(INDEX(Sancoes!$B:$B,MATCH(A1838,Sancoes!$A:$A,0))&amp;"","não consta"))</f>
        <v/>
      </c>
      <c r="L1838" s="19" t="str">
        <f aca="false">IF(A1838="","",IFERROR(INDEX(Eleitoral!$B:$B,MATCH(A1838,Eleitoral!$A:$A,0))&amp;"","não consta"))</f>
        <v/>
      </c>
      <c r="M1838" s="28" t="str">
        <f aca="false">IF(A1838="","",IF(OR(AND(K1838&lt;&gt;"",LOWER(K1838)&lt;&gt;"não consta"),AND(L1838&lt;&gt;"",LOWER(L1838)&lt;&gt;"não consta"),IFERROR(INDEX(Empresas!$G:$G,MATCH(A1838,Empresas!$A:$A,0))&amp;"","")&lt;&gt;""),"SIM",""))</f>
        <v/>
      </c>
      <c r="N1838" s="5"/>
      <c r="O1838" s="32" t="str">
        <f aca="false">IF(D1838="","",YEAR(D1838))</f>
        <v/>
      </c>
      <c r="P1838" s="5"/>
    </row>
    <row r="1839" customFormat="false" ht="15" hidden="false" customHeight="false" outlineLevel="0" collapsed="false">
      <c r="A1839" s="27"/>
      <c r="B1839" s="5"/>
      <c r="C1839" s="35"/>
      <c r="D1839" s="18"/>
      <c r="E1839" s="5"/>
      <c r="F1839" s="14"/>
      <c r="G1839" s="5"/>
      <c r="H1839" s="27"/>
      <c r="I1839" s="5"/>
      <c r="J1839" s="19" t="str">
        <f aca="false">IF(A1839="","",IFERROR(INDEX(Empresas!$D:$D,MATCH(A1839,Empresas!$A:$A,0))&amp;"","não consta"))</f>
        <v/>
      </c>
      <c r="K1839" s="19" t="str">
        <f aca="false">IF(A1839="","",IFERROR(INDEX(Sancoes!$B:$B,MATCH(A1839,Sancoes!$A:$A,0))&amp;"","não consta"))</f>
        <v/>
      </c>
      <c r="L1839" s="19" t="str">
        <f aca="false">IF(A1839="","",IFERROR(INDEX(Eleitoral!$B:$B,MATCH(A1839,Eleitoral!$A:$A,0))&amp;"","não consta"))</f>
        <v/>
      </c>
      <c r="M1839" s="28" t="str">
        <f aca="false">IF(A1839="","",IF(OR(AND(K1839&lt;&gt;"",LOWER(K1839)&lt;&gt;"não consta"),AND(L1839&lt;&gt;"",LOWER(L1839)&lt;&gt;"não consta"),IFERROR(INDEX(Empresas!$G:$G,MATCH(A1839,Empresas!$A:$A,0))&amp;"","")&lt;&gt;""),"SIM",""))</f>
        <v/>
      </c>
      <c r="N1839" s="5"/>
      <c r="O1839" s="32" t="str">
        <f aca="false">IF(D1839="","",YEAR(D1839))</f>
        <v/>
      </c>
      <c r="P1839" s="5"/>
    </row>
    <row r="1840" customFormat="false" ht="15" hidden="false" customHeight="false" outlineLevel="0" collapsed="false">
      <c r="A1840" s="27"/>
      <c r="B1840" s="5"/>
      <c r="C1840" s="35"/>
      <c r="D1840" s="18"/>
      <c r="E1840" s="5"/>
      <c r="F1840" s="14"/>
      <c r="G1840" s="5"/>
      <c r="H1840" s="27"/>
      <c r="I1840" s="5"/>
      <c r="J1840" s="19" t="str">
        <f aca="false">IF(A1840="","",IFERROR(INDEX(Empresas!$D:$D,MATCH(A1840,Empresas!$A:$A,0))&amp;"","não consta"))</f>
        <v/>
      </c>
      <c r="K1840" s="19" t="str">
        <f aca="false">IF(A1840="","",IFERROR(INDEX(Sancoes!$B:$B,MATCH(A1840,Sancoes!$A:$A,0))&amp;"","não consta"))</f>
        <v/>
      </c>
      <c r="L1840" s="19" t="str">
        <f aca="false">IF(A1840="","",IFERROR(INDEX(Eleitoral!$B:$B,MATCH(A1840,Eleitoral!$A:$A,0))&amp;"","não consta"))</f>
        <v/>
      </c>
      <c r="M1840" s="28" t="str">
        <f aca="false">IF(A1840="","",IF(OR(AND(K1840&lt;&gt;"",LOWER(K1840)&lt;&gt;"não consta"),AND(L1840&lt;&gt;"",LOWER(L1840)&lt;&gt;"não consta"),IFERROR(INDEX(Empresas!$G:$G,MATCH(A1840,Empresas!$A:$A,0))&amp;"","")&lt;&gt;""),"SIM",""))</f>
        <v/>
      </c>
      <c r="N1840" s="5"/>
      <c r="O1840" s="32" t="str">
        <f aca="false">IF(D1840="","",YEAR(D1840))</f>
        <v/>
      </c>
      <c r="P1840" s="5"/>
    </row>
    <row r="1841" customFormat="false" ht="15" hidden="false" customHeight="false" outlineLevel="0" collapsed="false">
      <c r="A1841" s="27"/>
      <c r="B1841" s="5"/>
      <c r="C1841" s="35"/>
      <c r="D1841" s="18"/>
      <c r="E1841" s="5"/>
      <c r="F1841" s="14"/>
      <c r="G1841" s="5"/>
      <c r="H1841" s="27"/>
      <c r="I1841" s="5"/>
      <c r="J1841" s="19" t="str">
        <f aca="false">IF(A1841="","",IFERROR(INDEX(Empresas!$D:$D,MATCH(A1841,Empresas!$A:$A,0))&amp;"","não consta"))</f>
        <v/>
      </c>
      <c r="K1841" s="19" t="str">
        <f aca="false">IF(A1841="","",IFERROR(INDEX(Sancoes!$B:$B,MATCH(A1841,Sancoes!$A:$A,0))&amp;"","não consta"))</f>
        <v/>
      </c>
      <c r="L1841" s="19" t="str">
        <f aca="false">IF(A1841="","",IFERROR(INDEX(Eleitoral!$B:$B,MATCH(A1841,Eleitoral!$A:$A,0))&amp;"","não consta"))</f>
        <v/>
      </c>
      <c r="M1841" s="28" t="str">
        <f aca="false">IF(A1841="","",IF(OR(AND(K1841&lt;&gt;"",LOWER(K1841)&lt;&gt;"não consta"),AND(L1841&lt;&gt;"",LOWER(L1841)&lt;&gt;"não consta"),IFERROR(INDEX(Empresas!$G:$G,MATCH(A1841,Empresas!$A:$A,0))&amp;"","")&lt;&gt;""),"SIM",""))</f>
        <v/>
      </c>
      <c r="N1841" s="5"/>
      <c r="O1841" s="32" t="str">
        <f aca="false">IF(D1841="","",YEAR(D1841))</f>
        <v/>
      </c>
      <c r="P1841" s="5"/>
    </row>
    <row r="1842" customFormat="false" ht="15" hidden="false" customHeight="false" outlineLevel="0" collapsed="false">
      <c r="A1842" s="27"/>
      <c r="B1842" s="5"/>
      <c r="C1842" s="35"/>
      <c r="D1842" s="18"/>
      <c r="E1842" s="5"/>
      <c r="F1842" s="14"/>
      <c r="G1842" s="5"/>
      <c r="H1842" s="27"/>
      <c r="I1842" s="5"/>
      <c r="J1842" s="19" t="str">
        <f aca="false">IF(A1842="","",IFERROR(INDEX(Empresas!$D:$D,MATCH(A1842,Empresas!$A:$A,0))&amp;"","não consta"))</f>
        <v/>
      </c>
      <c r="K1842" s="19" t="str">
        <f aca="false">IF(A1842="","",IFERROR(INDEX(Sancoes!$B:$B,MATCH(A1842,Sancoes!$A:$A,0))&amp;"","não consta"))</f>
        <v/>
      </c>
      <c r="L1842" s="19" t="str">
        <f aca="false">IF(A1842="","",IFERROR(INDEX(Eleitoral!$B:$B,MATCH(A1842,Eleitoral!$A:$A,0))&amp;"","não consta"))</f>
        <v/>
      </c>
      <c r="M1842" s="28" t="str">
        <f aca="false">IF(A1842="","",IF(OR(AND(K1842&lt;&gt;"",LOWER(K1842)&lt;&gt;"não consta"),AND(L1842&lt;&gt;"",LOWER(L1842)&lt;&gt;"não consta"),IFERROR(INDEX(Empresas!$G:$G,MATCH(A1842,Empresas!$A:$A,0))&amp;"","")&lt;&gt;""),"SIM",""))</f>
        <v/>
      </c>
      <c r="N1842" s="5"/>
      <c r="O1842" s="32" t="str">
        <f aca="false">IF(D1842="","",YEAR(D1842))</f>
        <v/>
      </c>
      <c r="P1842" s="5"/>
    </row>
    <row r="1843" customFormat="false" ht="15" hidden="false" customHeight="false" outlineLevel="0" collapsed="false">
      <c r="A1843" s="27"/>
      <c r="B1843" s="5"/>
      <c r="C1843" s="35"/>
      <c r="D1843" s="18"/>
      <c r="E1843" s="5"/>
      <c r="F1843" s="14"/>
      <c r="G1843" s="5"/>
      <c r="H1843" s="27"/>
      <c r="I1843" s="5"/>
      <c r="J1843" s="19" t="str">
        <f aca="false">IF(A1843="","",IFERROR(INDEX(Empresas!$D:$D,MATCH(A1843,Empresas!$A:$A,0))&amp;"","não consta"))</f>
        <v/>
      </c>
      <c r="K1843" s="19" t="str">
        <f aca="false">IF(A1843="","",IFERROR(INDEX(Sancoes!$B:$B,MATCH(A1843,Sancoes!$A:$A,0))&amp;"","não consta"))</f>
        <v/>
      </c>
      <c r="L1843" s="19" t="str">
        <f aca="false">IF(A1843="","",IFERROR(INDEX(Eleitoral!$B:$B,MATCH(A1843,Eleitoral!$A:$A,0))&amp;"","não consta"))</f>
        <v/>
      </c>
      <c r="M1843" s="28" t="str">
        <f aca="false">IF(A1843="","",IF(OR(AND(K1843&lt;&gt;"",LOWER(K1843)&lt;&gt;"não consta"),AND(L1843&lt;&gt;"",LOWER(L1843)&lt;&gt;"não consta"),IFERROR(INDEX(Empresas!$G:$G,MATCH(A1843,Empresas!$A:$A,0))&amp;"","")&lt;&gt;""),"SIM",""))</f>
        <v/>
      </c>
      <c r="N1843" s="5"/>
      <c r="O1843" s="32" t="str">
        <f aca="false">IF(D1843="","",YEAR(D1843))</f>
        <v/>
      </c>
      <c r="P1843" s="5"/>
    </row>
    <row r="1844" customFormat="false" ht="15" hidden="false" customHeight="false" outlineLevel="0" collapsed="false">
      <c r="A1844" s="27"/>
      <c r="B1844" s="5"/>
      <c r="C1844" s="35"/>
      <c r="D1844" s="18"/>
      <c r="E1844" s="5"/>
      <c r="F1844" s="14"/>
      <c r="G1844" s="5"/>
      <c r="H1844" s="27"/>
      <c r="I1844" s="5"/>
      <c r="J1844" s="19" t="str">
        <f aca="false">IF(A1844="","",IFERROR(INDEX(Empresas!$D:$D,MATCH(A1844,Empresas!$A:$A,0))&amp;"","não consta"))</f>
        <v/>
      </c>
      <c r="K1844" s="19" t="str">
        <f aca="false">IF(A1844="","",IFERROR(INDEX(Sancoes!$B:$B,MATCH(A1844,Sancoes!$A:$A,0))&amp;"","não consta"))</f>
        <v/>
      </c>
      <c r="L1844" s="19" t="str">
        <f aca="false">IF(A1844="","",IFERROR(INDEX(Eleitoral!$B:$B,MATCH(A1844,Eleitoral!$A:$A,0))&amp;"","não consta"))</f>
        <v/>
      </c>
      <c r="M1844" s="28" t="str">
        <f aca="false">IF(A1844="","",IF(OR(AND(K1844&lt;&gt;"",LOWER(K1844)&lt;&gt;"não consta"),AND(L1844&lt;&gt;"",LOWER(L1844)&lt;&gt;"não consta"),IFERROR(INDEX(Empresas!$G:$G,MATCH(A1844,Empresas!$A:$A,0))&amp;"","")&lt;&gt;""),"SIM",""))</f>
        <v/>
      </c>
      <c r="N1844" s="5"/>
      <c r="O1844" s="32" t="str">
        <f aca="false">IF(D1844="","",YEAR(D1844))</f>
        <v/>
      </c>
      <c r="P1844" s="5"/>
    </row>
    <row r="1845" customFormat="false" ht="15" hidden="false" customHeight="false" outlineLevel="0" collapsed="false">
      <c r="A1845" s="27"/>
      <c r="B1845" s="5"/>
      <c r="C1845" s="35"/>
      <c r="D1845" s="18"/>
      <c r="E1845" s="5"/>
      <c r="F1845" s="14"/>
      <c r="G1845" s="5"/>
      <c r="H1845" s="27"/>
      <c r="I1845" s="5"/>
      <c r="J1845" s="19" t="str">
        <f aca="false">IF(A1845="","",IFERROR(INDEX(Empresas!$D:$D,MATCH(A1845,Empresas!$A:$A,0))&amp;"","não consta"))</f>
        <v/>
      </c>
      <c r="K1845" s="19" t="str">
        <f aca="false">IF(A1845="","",IFERROR(INDEX(Sancoes!$B:$B,MATCH(A1845,Sancoes!$A:$A,0))&amp;"","não consta"))</f>
        <v/>
      </c>
      <c r="L1845" s="19" t="str">
        <f aca="false">IF(A1845="","",IFERROR(INDEX(Eleitoral!$B:$B,MATCH(A1845,Eleitoral!$A:$A,0))&amp;"","não consta"))</f>
        <v/>
      </c>
      <c r="M1845" s="28" t="str">
        <f aca="false">IF(A1845="","",IF(OR(AND(K1845&lt;&gt;"",LOWER(K1845)&lt;&gt;"não consta"),AND(L1845&lt;&gt;"",LOWER(L1845)&lt;&gt;"não consta"),IFERROR(INDEX(Empresas!$G:$G,MATCH(A1845,Empresas!$A:$A,0))&amp;"","")&lt;&gt;""),"SIM",""))</f>
        <v/>
      </c>
      <c r="N1845" s="5"/>
      <c r="O1845" s="32" t="str">
        <f aca="false">IF(D1845="","",YEAR(D1845))</f>
        <v/>
      </c>
      <c r="P1845" s="5"/>
    </row>
    <row r="1846" customFormat="false" ht="15" hidden="false" customHeight="false" outlineLevel="0" collapsed="false">
      <c r="A1846" s="27"/>
      <c r="B1846" s="5"/>
      <c r="C1846" s="35"/>
      <c r="D1846" s="18"/>
      <c r="E1846" s="5"/>
      <c r="F1846" s="14"/>
      <c r="G1846" s="5"/>
      <c r="H1846" s="27"/>
      <c r="I1846" s="5"/>
      <c r="J1846" s="19" t="str">
        <f aca="false">IF(A1846="","",IFERROR(INDEX(Empresas!$D:$D,MATCH(A1846,Empresas!$A:$A,0))&amp;"","não consta"))</f>
        <v/>
      </c>
      <c r="K1846" s="19" t="str">
        <f aca="false">IF(A1846="","",IFERROR(INDEX(Sancoes!$B:$B,MATCH(A1846,Sancoes!$A:$A,0))&amp;"","não consta"))</f>
        <v/>
      </c>
      <c r="L1846" s="19" t="str">
        <f aca="false">IF(A1846="","",IFERROR(INDEX(Eleitoral!$B:$B,MATCH(A1846,Eleitoral!$A:$A,0))&amp;"","não consta"))</f>
        <v/>
      </c>
      <c r="M1846" s="28" t="str">
        <f aca="false">IF(A1846="","",IF(OR(AND(K1846&lt;&gt;"",LOWER(K1846)&lt;&gt;"não consta"),AND(L1846&lt;&gt;"",LOWER(L1846)&lt;&gt;"não consta"),IFERROR(INDEX(Empresas!$G:$G,MATCH(A1846,Empresas!$A:$A,0))&amp;"","")&lt;&gt;""),"SIM",""))</f>
        <v/>
      </c>
      <c r="N1846" s="5"/>
      <c r="O1846" s="32" t="str">
        <f aca="false">IF(D1846="","",YEAR(D1846))</f>
        <v/>
      </c>
      <c r="P1846" s="5"/>
    </row>
    <row r="1847" customFormat="false" ht="15" hidden="false" customHeight="false" outlineLevel="0" collapsed="false">
      <c r="A1847" s="27"/>
      <c r="B1847" s="5"/>
      <c r="C1847" s="35"/>
      <c r="D1847" s="18"/>
      <c r="E1847" s="5"/>
      <c r="F1847" s="14"/>
      <c r="G1847" s="5"/>
      <c r="H1847" s="27"/>
      <c r="I1847" s="5"/>
      <c r="J1847" s="19" t="str">
        <f aca="false">IF(A1847="","",IFERROR(INDEX(Empresas!$D:$D,MATCH(A1847,Empresas!$A:$A,0))&amp;"","não consta"))</f>
        <v/>
      </c>
      <c r="K1847" s="19" t="str">
        <f aca="false">IF(A1847="","",IFERROR(INDEX(Sancoes!$B:$B,MATCH(A1847,Sancoes!$A:$A,0))&amp;"","não consta"))</f>
        <v/>
      </c>
      <c r="L1847" s="19" t="str">
        <f aca="false">IF(A1847="","",IFERROR(INDEX(Eleitoral!$B:$B,MATCH(A1847,Eleitoral!$A:$A,0))&amp;"","não consta"))</f>
        <v/>
      </c>
      <c r="M1847" s="28" t="str">
        <f aca="false">IF(A1847="","",IF(OR(AND(K1847&lt;&gt;"",LOWER(K1847)&lt;&gt;"não consta"),AND(L1847&lt;&gt;"",LOWER(L1847)&lt;&gt;"não consta"),IFERROR(INDEX(Empresas!$G:$G,MATCH(A1847,Empresas!$A:$A,0))&amp;"","")&lt;&gt;""),"SIM",""))</f>
        <v/>
      </c>
      <c r="N1847" s="5"/>
      <c r="O1847" s="32" t="str">
        <f aca="false">IF(D1847="","",YEAR(D1847))</f>
        <v/>
      </c>
      <c r="P1847" s="5"/>
    </row>
    <row r="1848" customFormat="false" ht="15" hidden="false" customHeight="false" outlineLevel="0" collapsed="false">
      <c r="A1848" s="27"/>
      <c r="B1848" s="5"/>
      <c r="C1848" s="35"/>
      <c r="D1848" s="18"/>
      <c r="E1848" s="5"/>
      <c r="F1848" s="14"/>
      <c r="G1848" s="5"/>
      <c r="H1848" s="27"/>
      <c r="I1848" s="5"/>
      <c r="J1848" s="19" t="str">
        <f aca="false">IF(A1848="","",IFERROR(INDEX(Empresas!$D:$D,MATCH(A1848,Empresas!$A:$A,0))&amp;"","não consta"))</f>
        <v/>
      </c>
      <c r="K1848" s="19" t="str">
        <f aca="false">IF(A1848="","",IFERROR(INDEX(Sancoes!$B:$B,MATCH(A1848,Sancoes!$A:$A,0))&amp;"","não consta"))</f>
        <v/>
      </c>
      <c r="L1848" s="19" t="str">
        <f aca="false">IF(A1848="","",IFERROR(INDEX(Eleitoral!$B:$B,MATCH(A1848,Eleitoral!$A:$A,0))&amp;"","não consta"))</f>
        <v/>
      </c>
      <c r="M1848" s="28" t="str">
        <f aca="false">IF(A1848="","",IF(OR(AND(K1848&lt;&gt;"",LOWER(K1848)&lt;&gt;"não consta"),AND(L1848&lt;&gt;"",LOWER(L1848)&lt;&gt;"não consta"),IFERROR(INDEX(Empresas!$G:$G,MATCH(A1848,Empresas!$A:$A,0))&amp;"","")&lt;&gt;""),"SIM",""))</f>
        <v/>
      </c>
      <c r="N1848" s="5"/>
      <c r="O1848" s="32" t="str">
        <f aca="false">IF(D1848="","",YEAR(D1848))</f>
        <v/>
      </c>
      <c r="P1848" s="5"/>
    </row>
    <row r="1849" customFormat="false" ht="15" hidden="false" customHeight="false" outlineLevel="0" collapsed="false">
      <c r="A1849" s="27"/>
      <c r="B1849" s="5"/>
      <c r="C1849" s="35"/>
      <c r="D1849" s="18"/>
      <c r="E1849" s="5"/>
      <c r="F1849" s="14"/>
      <c r="G1849" s="5"/>
      <c r="H1849" s="27"/>
      <c r="I1849" s="5"/>
      <c r="J1849" s="19" t="str">
        <f aca="false">IF(A1849="","",IFERROR(INDEX(Empresas!$D:$D,MATCH(A1849,Empresas!$A:$A,0))&amp;"","não consta"))</f>
        <v/>
      </c>
      <c r="K1849" s="19" t="str">
        <f aca="false">IF(A1849="","",IFERROR(INDEX(Sancoes!$B:$B,MATCH(A1849,Sancoes!$A:$A,0))&amp;"","não consta"))</f>
        <v/>
      </c>
      <c r="L1849" s="19" t="str">
        <f aca="false">IF(A1849="","",IFERROR(INDEX(Eleitoral!$B:$B,MATCH(A1849,Eleitoral!$A:$A,0))&amp;"","não consta"))</f>
        <v/>
      </c>
      <c r="M1849" s="28" t="str">
        <f aca="false">IF(A1849="","",IF(OR(AND(K1849&lt;&gt;"",LOWER(K1849)&lt;&gt;"não consta"),AND(L1849&lt;&gt;"",LOWER(L1849)&lt;&gt;"não consta"),IFERROR(INDEX(Empresas!$G:$G,MATCH(A1849,Empresas!$A:$A,0))&amp;"","")&lt;&gt;""),"SIM",""))</f>
        <v/>
      </c>
      <c r="N1849" s="5"/>
      <c r="O1849" s="32" t="str">
        <f aca="false">IF(D1849="","",YEAR(D1849))</f>
        <v/>
      </c>
      <c r="P1849" s="5"/>
    </row>
    <row r="1850" customFormat="false" ht="15" hidden="false" customHeight="false" outlineLevel="0" collapsed="false">
      <c r="A1850" s="27"/>
      <c r="B1850" s="5"/>
      <c r="C1850" s="35"/>
      <c r="D1850" s="18"/>
      <c r="E1850" s="5"/>
      <c r="F1850" s="14"/>
      <c r="G1850" s="5"/>
      <c r="H1850" s="27"/>
      <c r="I1850" s="5"/>
      <c r="J1850" s="19" t="str">
        <f aca="false">IF(A1850="","",IFERROR(INDEX(Empresas!$D:$D,MATCH(A1850,Empresas!$A:$A,0))&amp;"","não consta"))</f>
        <v/>
      </c>
      <c r="K1850" s="19" t="str">
        <f aca="false">IF(A1850="","",IFERROR(INDEX(Sancoes!$B:$B,MATCH(A1850,Sancoes!$A:$A,0))&amp;"","não consta"))</f>
        <v/>
      </c>
      <c r="L1850" s="19" t="str">
        <f aca="false">IF(A1850="","",IFERROR(INDEX(Eleitoral!$B:$B,MATCH(A1850,Eleitoral!$A:$A,0))&amp;"","não consta"))</f>
        <v/>
      </c>
      <c r="M1850" s="28" t="str">
        <f aca="false">IF(A1850="","",IF(OR(AND(K1850&lt;&gt;"",LOWER(K1850)&lt;&gt;"não consta"),AND(L1850&lt;&gt;"",LOWER(L1850)&lt;&gt;"não consta"),IFERROR(INDEX(Empresas!$G:$G,MATCH(A1850,Empresas!$A:$A,0))&amp;"","")&lt;&gt;""),"SIM",""))</f>
        <v/>
      </c>
      <c r="N1850" s="5"/>
      <c r="O1850" s="32" t="str">
        <f aca="false">IF(D1850="","",YEAR(D1850))</f>
        <v/>
      </c>
      <c r="P1850" s="5"/>
    </row>
    <row r="1851" customFormat="false" ht="15" hidden="false" customHeight="false" outlineLevel="0" collapsed="false">
      <c r="A1851" s="27"/>
      <c r="B1851" s="5"/>
      <c r="C1851" s="35"/>
      <c r="D1851" s="18"/>
      <c r="E1851" s="5"/>
      <c r="F1851" s="14"/>
      <c r="G1851" s="5"/>
      <c r="H1851" s="27"/>
      <c r="I1851" s="5"/>
      <c r="J1851" s="19" t="str">
        <f aca="false">IF(A1851="","",IFERROR(INDEX(Empresas!$D:$D,MATCH(A1851,Empresas!$A:$A,0))&amp;"","não consta"))</f>
        <v/>
      </c>
      <c r="K1851" s="19" t="str">
        <f aca="false">IF(A1851="","",IFERROR(INDEX(Sancoes!$B:$B,MATCH(A1851,Sancoes!$A:$A,0))&amp;"","não consta"))</f>
        <v/>
      </c>
      <c r="L1851" s="19" t="str">
        <f aca="false">IF(A1851="","",IFERROR(INDEX(Eleitoral!$B:$B,MATCH(A1851,Eleitoral!$A:$A,0))&amp;"","não consta"))</f>
        <v/>
      </c>
      <c r="M1851" s="28" t="str">
        <f aca="false">IF(A1851="","",IF(OR(AND(K1851&lt;&gt;"",LOWER(K1851)&lt;&gt;"não consta"),AND(L1851&lt;&gt;"",LOWER(L1851)&lt;&gt;"não consta"),IFERROR(INDEX(Empresas!$G:$G,MATCH(A1851,Empresas!$A:$A,0))&amp;"","")&lt;&gt;""),"SIM",""))</f>
        <v/>
      </c>
      <c r="N1851" s="5"/>
      <c r="O1851" s="32" t="str">
        <f aca="false">IF(D1851="","",YEAR(D1851))</f>
        <v/>
      </c>
      <c r="P1851" s="5"/>
    </row>
    <row r="1852" customFormat="false" ht="15" hidden="false" customHeight="false" outlineLevel="0" collapsed="false">
      <c r="A1852" s="27"/>
      <c r="B1852" s="5"/>
      <c r="C1852" s="35"/>
      <c r="D1852" s="18"/>
      <c r="E1852" s="5"/>
      <c r="F1852" s="14"/>
      <c r="G1852" s="5"/>
      <c r="H1852" s="27"/>
      <c r="I1852" s="5"/>
      <c r="J1852" s="19" t="str">
        <f aca="false">IF(A1852="","",IFERROR(INDEX(Empresas!$D:$D,MATCH(A1852,Empresas!$A:$A,0))&amp;"","não consta"))</f>
        <v/>
      </c>
      <c r="K1852" s="19" t="str">
        <f aca="false">IF(A1852="","",IFERROR(INDEX(Sancoes!$B:$B,MATCH(A1852,Sancoes!$A:$A,0))&amp;"","não consta"))</f>
        <v/>
      </c>
      <c r="L1852" s="19" t="str">
        <f aca="false">IF(A1852="","",IFERROR(INDEX(Eleitoral!$B:$B,MATCH(A1852,Eleitoral!$A:$A,0))&amp;"","não consta"))</f>
        <v/>
      </c>
      <c r="M1852" s="28" t="str">
        <f aca="false">IF(A1852="","",IF(OR(AND(K1852&lt;&gt;"",LOWER(K1852)&lt;&gt;"não consta"),AND(L1852&lt;&gt;"",LOWER(L1852)&lt;&gt;"não consta"),IFERROR(INDEX(Empresas!$G:$G,MATCH(A1852,Empresas!$A:$A,0))&amp;"","")&lt;&gt;""),"SIM",""))</f>
        <v/>
      </c>
      <c r="N1852" s="5"/>
      <c r="O1852" s="32" t="str">
        <f aca="false">IF(D1852="","",YEAR(D1852))</f>
        <v/>
      </c>
      <c r="P1852" s="5"/>
    </row>
    <row r="1853" customFormat="false" ht="15" hidden="false" customHeight="false" outlineLevel="0" collapsed="false">
      <c r="A1853" s="27"/>
      <c r="B1853" s="5"/>
      <c r="C1853" s="35"/>
      <c r="D1853" s="18"/>
      <c r="E1853" s="5"/>
      <c r="F1853" s="14"/>
      <c r="G1853" s="5"/>
      <c r="H1853" s="27"/>
      <c r="I1853" s="5"/>
      <c r="J1853" s="19" t="str">
        <f aca="false">IF(A1853="","",IFERROR(INDEX(Empresas!$D:$D,MATCH(A1853,Empresas!$A:$A,0))&amp;"","não consta"))</f>
        <v/>
      </c>
      <c r="K1853" s="19" t="str">
        <f aca="false">IF(A1853="","",IFERROR(INDEX(Sancoes!$B:$B,MATCH(A1853,Sancoes!$A:$A,0))&amp;"","não consta"))</f>
        <v/>
      </c>
      <c r="L1853" s="19" t="str">
        <f aca="false">IF(A1853="","",IFERROR(INDEX(Eleitoral!$B:$B,MATCH(A1853,Eleitoral!$A:$A,0))&amp;"","não consta"))</f>
        <v/>
      </c>
      <c r="M1853" s="28" t="str">
        <f aca="false">IF(A1853="","",IF(OR(AND(K1853&lt;&gt;"",LOWER(K1853)&lt;&gt;"não consta"),AND(L1853&lt;&gt;"",LOWER(L1853)&lt;&gt;"não consta"),IFERROR(INDEX(Empresas!$G:$G,MATCH(A1853,Empresas!$A:$A,0))&amp;"","")&lt;&gt;""),"SIM",""))</f>
        <v/>
      </c>
      <c r="N1853" s="5"/>
      <c r="O1853" s="32" t="str">
        <f aca="false">IF(D1853="","",YEAR(D1853))</f>
        <v/>
      </c>
      <c r="P1853" s="5"/>
    </row>
    <row r="1854" customFormat="false" ht="15" hidden="false" customHeight="false" outlineLevel="0" collapsed="false">
      <c r="A1854" s="27"/>
      <c r="B1854" s="5"/>
      <c r="C1854" s="35"/>
      <c r="D1854" s="18"/>
      <c r="E1854" s="5"/>
      <c r="F1854" s="14"/>
      <c r="G1854" s="5"/>
      <c r="H1854" s="27"/>
      <c r="I1854" s="5"/>
      <c r="J1854" s="19" t="str">
        <f aca="false">IF(A1854="","",IFERROR(INDEX(Empresas!$D:$D,MATCH(A1854,Empresas!$A:$A,0))&amp;"","não consta"))</f>
        <v/>
      </c>
      <c r="K1854" s="19" t="str">
        <f aca="false">IF(A1854="","",IFERROR(INDEX(Sancoes!$B:$B,MATCH(A1854,Sancoes!$A:$A,0))&amp;"","não consta"))</f>
        <v/>
      </c>
      <c r="L1854" s="19" t="str">
        <f aca="false">IF(A1854="","",IFERROR(INDEX(Eleitoral!$B:$B,MATCH(A1854,Eleitoral!$A:$A,0))&amp;"","não consta"))</f>
        <v/>
      </c>
      <c r="M1854" s="28" t="str">
        <f aca="false">IF(A1854="","",IF(OR(AND(K1854&lt;&gt;"",LOWER(K1854)&lt;&gt;"não consta"),AND(L1854&lt;&gt;"",LOWER(L1854)&lt;&gt;"não consta"),IFERROR(INDEX(Empresas!$G:$G,MATCH(A1854,Empresas!$A:$A,0))&amp;"","")&lt;&gt;""),"SIM",""))</f>
        <v/>
      </c>
      <c r="N1854" s="5"/>
      <c r="O1854" s="32" t="str">
        <f aca="false">IF(D1854="","",YEAR(D1854))</f>
        <v/>
      </c>
      <c r="P1854" s="5"/>
    </row>
    <row r="1855" customFormat="false" ht="15" hidden="false" customHeight="false" outlineLevel="0" collapsed="false">
      <c r="A1855" s="27"/>
      <c r="B1855" s="5"/>
      <c r="C1855" s="35"/>
      <c r="D1855" s="18"/>
      <c r="E1855" s="5"/>
      <c r="F1855" s="14"/>
      <c r="G1855" s="5"/>
      <c r="H1855" s="27"/>
      <c r="I1855" s="5"/>
      <c r="J1855" s="19" t="str">
        <f aca="false">IF(A1855="","",IFERROR(INDEX(Empresas!$D:$D,MATCH(A1855,Empresas!$A:$A,0))&amp;"","não consta"))</f>
        <v/>
      </c>
      <c r="K1855" s="19" t="str">
        <f aca="false">IF(A1855="","",IFERROR(INDEX(Sancoes!$B:$B,MATCH(A1855,Sancoes!$A:$A,0))&amp;"","não consta"))</f>
        <v/>
      </c>
      <c r="L1855" s="19" t="str">
        <f aca="false">IF(A1855="","",IFERROR(INDEX(Eleitoral!$B:$B,MATCH(A1855,Eleitoral!$A:$A,0))&amp;"","não consta"))</f>
        <v/>
      </c>
      <c r="M1855" s="28" t="str">
        <f aca="false">IF(A1855="","",IF(OR(AND(K1855&lt;&gt;"",LOWER(K1855)&lt;&gt;"não consta"),AND(L1855&lt;&gt;"",LOWER(L1855)&lt;&gt;"não consta"),IFERROR(INDEX(Empresas!$G:$G,MATCH(A1855,Empresas!$A:$A,0))&amp;"","")&lt;&gt;""),"SIM",""))</f>
        <v/>
      </c>
      <c r="N1855" s="5"/>
      <c r="O1855" s="32" t="str">
        <f aca="false">IF(D1855="","",YEAR(D1855))</f>
        <v/>
      </c>
      <c r="P1855" s="5"/>
    </row>
    <row r="1856" customFormat="false" ht="15" hidden="false" customHeight="false" outlineLevel="0" collapsed="false">
      <c r="A1856" s="27"/>
      <c r="B1856" s="5"/>
      <c r="C1856" s="35"/>
      <c r="D1856" s="18"/>
      <c r="E1856" s="5"/>
      <c r="F1856" s="14"/>
      <c r="G1856" s="5"/>
      <c r="H1856" s="27"/>
      <c r="I1856" s="5"/>
      <c r="J1856" s="19" t="str">
        <f aca="false">IF(A1856="","",IFERROR(INDEX(Empresas!$D:$D,MATCH(A1856,Empresas!$A:$A,0))&amp;"","não consta"))</f>
        <v/>
      </c>
      <c r="K1856" s="19" t="str">
        <f aca="false">IF(A1856="","",IFERROR(INDEX(Sancoes!$B:$B,MATCH(A1856,Sancoes!$A:$A,0))&amp;"","não consta"))</f>
        <v/>
      </c>
      <c r="L1856" s="19" t="str">
        <f aca="false">IF(A1856="","",IFERROR(INDEX(Eleitoral!$B:$B,MATCH(A1856,Eleitoral!$A:$A,0))&amp;"","não consta"))</f>
        <v/>
      </c>
      <c r="M1856" s="28" t="str">
        <f aca="false">IF(A1856="","",IF(OR(AND(K1856&lt;&gt;"",LOWER(K1856)&lt;&gt;"não consta"),AND(L1856&lt;&gt;"",LOWER(L1856)&lt;&gt;"não consta"),IFERROR(INDEX(Empresas!$G:$G,MATCH(A1856,Empresas!$A:$A,0))&amp;"","")&lt;&gt;""),"SIM",""))</f>
        <v/>
      </c>
      <c r="N1856" s="5"/>
      <c r="O1856" s="32" t="str">
        <f aca="false">IF(D1856="","",YEAR(D1856))</f>
        <v/>
      </c>
      <c r="P1856" s="5"/>
    </row>
    <row r="1857" customFormat="false" ht="15" hidden="false" customHeight="false" outlineLevel="0" collapsed="false">
      <c r="A1857" s="27"/>
      <c r="B1857" s="5"/>
      <c r="C1857" s="35"/>
      <c r="D1857" s="18"/>
      <c r="E1857" s="5"/>
      <c r="F1857" s="14"/>
      <c r="G1857" s="5"/>
      <c r="H1857" s="27"/>
      <c r="I1857" s="5"/>
      <c r="J1857" s="19" t="str">
        <f aca="false">IF(A1857="","",IFERROR(INDEX(Empresas!$D:$D,MATCH(A1857,Empresas!$A:$A,0))&amp;"","não consta"))</f>
        <v/>
      </c>
      <c r="K1857" s="19" t="str">
        <f aca="false">IF(A1857="","",IFERROR(INDEX(Sancoes!$B:$B,MATCH(A1857,Sancoes!$A:$A,0))&amp;"","não consta"))</f>
        <v/>
      </c>
      <c r="L1857" s="19" t="str">
        <f aca="false">IF(A1857="","",IFERROR(INDEX(Eleitoral!$B:$B,MATCH(A1857,Eleitoral!$A:$A,0))&amp;"","não consta"))</f>
        <v/>
      </c>
      <c r="M1857" s="28" t="str">
        <f aca="false">IF(A1857="","",IF(OR(AND(K1857&lt;&gt;"",LOWER(K1857)&lt;&gt;"não consta"),AND(L1857&lt;&gt;"",LOWER(L1857)&lt;&gt;"não consta"),IFERROR(INDEX(Empresas!$G:$G,MATCH(A1857,Empresas!$A:$A,0))&amp;"","")&lt;&gt;""),"SIM",""))</f>
        <v/>
      </c>
      <c r="N1857" s="5"/>
      <c r="O1857" s="32" t="str">
        <f aca="false">IF(D1857="","",YEAR(D1857))</f>
        <v/>
      </c>
      <c r="P1857" s="5"/>
    </row>
    <row r="1858" customFormat="false" ht="15" hidden="false" customHeight="false" outlineLevel="0" collapsed="false">
      <c r="A1858" s="27"/>
      <c r="B1858" s="5"/>
      <c r="C1858" s="35"/>
      <c r="D1858" s="18"/>
      <c r="E1858" s="5"/>
      <c r="F1858" s="14"/>
      <c r="G1858" s="5"/>
      <c r="H1858" s="27"/>
      <c r="I1858" s="5"/>
      <c r="J1858" s="19" t="str">
        <f aca="false">IF(A1858="","",IFERROR(INDEX(Empresas!$D:$D,MATCH(A1858,Empresas!$A:$A,0))&amp;"","não consta"))</f>
        <v/>
      </c>
      <c r="K1858" s="19" t="str">
        <f aca="false">IF(A1858="","",IFERROR(INDEX(Sancoes!$B:$B,MATCH(A1858,Sancoes!$A:$A,0))&amp;"","não consta"))</f>
        <v/>
      </c>
      <c r="L1858" s="19" t="str">
        <f aca="false">IF(A1858="","",IFERROR(INDEX(Eleitoral!$B:$B,MATCH(A1858,Eleitoral!$A:$A,0))&amp;"","não consta"))</f>
        <v/>
      </c>
      <c r="M1858" s="28" t="str">
        <f aca="false">IF(A1858="","",IF(OR(AND(K1858&lt;&gt;"",LOWER(K1858)&lt;&gt;"não consta"),AND(L1858&lt;&gt;"",LOWER(L1858)&lt;&gt;"não consta"),IFERROR(INDEX(Empresas!$G:$G,MATCH(A1858,Empresas!$A:$A,0))&amp;"","")&lt;&gt;""),"SIM",""))</f>
        <v/>
      </c>
      <c r="N1858" s="5"/>
      <c r="O1858" s="32" t="str">
        <f aca="false">IF(D1858="","",YEAR(D1858))</f>
        <v/>
      </c>
      <c r="P1858" s="5"/>
    </row>
    <row r="1859" customFormat="false" ht="15" hidden="false" customHeight="false" outlineLevel="0" collapsed="false">
      <c r="A1859" s="27"/>
      <c r="B1859" s="5"/>
      <c r="C1859" s="35"/>
      <c r="D1859" s="18"/>
      <c r="E1859" s="5"/>
      <c r="F1859" s="14"/>
      <c r="G1859" s="5"/>
      <c r="H1859" s="27"/>
      <c r="I1859" s="5"/>
      <c r="J1859" s="19" t="str">
        <f aca="false">IF(A1859="","",IFERROR(INDEX(Empresas!$D:$D,MATCH(A1859,Empresas!$A:$A,0))&amp;"","não consta"))</f>
        <v/>
      </c>
      <c r="K1859" s="19" t="str">
        <f aca="false">IF(A1859="","",IFERROR(INDEX(Sancoes!$B:$B,MATCH(A1859,Sancoes!$A:$A,0))&amp;"","não consta"))</f>
        <v/>
      </c>
      <c r="L1859" s="19" t="str">
        <f aca="false">IF(A1859="","",IFERROR(INDEX(Eleitoral!$B:$B,MATCH(A1859,Eleitoral!$A:$A,0))&amp;"","não consta"))</f>
        <v/>
      </c>
      <c r="M1859" s="28" t="str">
        <f aca="false">IF(A1859="","",IF(OR(AND(K1859&lt;&gt;"",LOWER(K1859)&lt;&gt;"não consta"),AND(L1859&lt;&gt;"",LOWER(L1859)&lt;&gt;"não consta"),IFERROR(INDEX(Empresas!$G:$G,MATCH(A1859,Empresas!$A:$A,0))&amp;"","")&lt;&gt;""),"SIM",""))</f>
        <v/>
      </c>
      <c r="N1859" s="5"/>
      <c r="O1859" s="32" t="str">
        <f aca="false">IF(D1859="","",YEAR(D1859))</f>
        <v/>
      </c>
      <c r="P1859" s="5"/>
    </row>
    <row r="1860" customFormat="false" ht="15" hidden="false" customHeight="false" outlineLevel="0" collapsed="false">
      <c r="A1860" s="27"/>
      <c r="B1860" s="5"/>
      <c r="C1860" s="35"/>
      <c r="D1860" s="18"/>
      <c r="E1860" s="5"/>
      <c r="F1860" s="14"/>
      <c r="G1860" s="5"/>
      <c r="H1860" s="27"/>
      <c r="I1860" s="5"/>
      <c r="J1860" s="19" t="str">
        <f aca="false">IF(A1860="","",IFERROR(INDEX(Empresas!$D:$D,MATCH(A1860,Empresas!$A:$A,0))&amp;"","não consta"))</f>
        <v/>
      </c>
      <c r="K1860" s="19" t="str">
        <f aca="false">IF(A1860="","",IFERROR(INDEX(Sancoes!$B:$B,MATCH(A1860,Sancoes!$A:$A,0))&amp;"","não consta"))</f>
        <v/>
      </c>
      <c r="L1860" s="19" t="str">
        <f aca="false">IF(A1860="","",IFERROR(INDEX(Eleitoral!$B:$B,MATCH(A1860,Eleitoral!$A:$A,0))&amp;"","não consta"))</f>
        <v/>
      </c>
      <c r="M1860" s="28" t="str">
        <f aca="false">IF(A1860="","",IF(OR(AND(K1860&lt;&gt;"",LOWER(K1860)&lt;&gt;"não consta"),AND(L1860&lt;&gt;"",LOWER(L1860)&lt;&gt;"não consta"),IFERROR(INDEX(Empresas!$G:$G,MATCH(A1860,Empresas!$A:$A,0))&amp;"","")&lt;&gt;""),"SIM",""))</f>
        <v/>
      </c>
      <c r="N1860" s="5"/>
      <c r="O1860" s="32" t="str">
        <f aca="false">IF(D1860="","",YEAR(D1860))</f>
        <v/>
      </c>
      <c r="P1860" s="5"/>
    </row>
    <row r="1861" customFormat="false" ht="15" hidden="false" customHeight="false" outlineLevel="0" collapsed="false">
      <c r="A1861" s="27"/>
      <c r="B1861" s="5"/>
      <c r="C1861" s="35"/>
      <c r="D1861" s="18"/>
      <c r="E1861" s="5"/>
      <c r="F1861" s="14"/>
      <c r="G1861" s="5"/>
      <c r="H1861" s="27"/>
      <c r="I1861" s="5"/>
      <c r="J1861" s="19" t="str">
        <f aca="false">IF(A1861="","",IFERROR(INDEX(Empresas!$D:$D,MATCH(A1861,Empresas!$A:$A,0))&amp;"","não consta"))</f>
        <v/>
      </c>
      <c r="K1861" s="19" t="str">
        <f aca="false">IF(A1861="","",IFERROR(INDEX(Sancoes!$B:$B,MATCH(A1861,Sancoes!$A:$A,0))&amp;"","não consta"))</f>
        <v/>
      </c>
      <c r="L1861" s="19" t="str">
        <f aca="false">IF(A1861="","",IFERROR(INDEX(Eleitoral!$B:$B,MATCH(A1861,Eleitoral!$A:$A,0))&amp;"","não consta"))</f>
        <v/>
      </c>
      <c r="M1861" s="28" t="str">
        <f aca="false">IF(A1861="","",IF(OR(AND(K1861&lt;&gt;"",LOWER(K1861)&lt;&gt;"não consta"),AND(L1861&lt;&gt;"",LOWER(L1861)&lt;&gt;"não consta"),IFERROR(INDEX(Empresas!$G:$G,MATCH(A1861,Empresas!$A:$A,0))&amp;"","")&lt;&gt;""),"SIM",""))</f>
        <v/>
      </c>
      <c r="N1861" s="5"/>
      <c r="O1861" s="32" t="str">
        <f aca="false">IF(D1861="","",YEAR(D1861))</f>
        <v/>
      </c>
      <c r="P1861" s="5"/>
    </row>
    <row r="1862" customFormat="false" ht="15" hidden="false" customHeight="false" outlineLevel="0" collapsed="false">
      <c r="A1862" s="27"/>
      <c r="B1862" s="5"/>
      <c r="C1862" s="35"/>
      <c r="D1862" s="18"/>
      <c r="E1862" s="5"/>
      <c r="F1862" s="14"/>
      <c r="G1862" s="5"/>
      <c r="H1862" s="27"/>
      <c r="I1862" s="5"/>
      <c r="J1862" s="19" t="str">
        <f aca="false">IF(A1862="","",IFERROR(INDEX(Empresas!$D:$D,MATCH(A1862,Empresas!$A:$A,0))&amp;"","não consta"))</f>
        <v/>
      </c>
      <c r="K1862" s="19" t="str">
        <f aca="false">IF(A1862="","",IFERROR(INDEX(Sancoes!$B:$B,MATCH(A1862,Sancoes!$A:$A,0))&amp;"","não consta"))</f>
        <v/>
      </c>
      <c r="L1862" s="19" t="str">
        <f aca="false">IF(A1862="","",IFERROR(INDEX(Eleitoral!$B:$B,MATCH(A1862,Eleitoral!$A:$A,0))&amp;"","não consta"))</f>
        <v/>
      </c>
      <c r="M1862" s="28" t="str">
        <f aca="false">IF(A1862="","",IF(OR(AND(K1862&lt;&gt;"",LOWER(K1862)&lt;&gt;"não consta"),AND(L1862&lt;&gt;"",LOWER(L1862)&lt;&gt;"não consta"),IFERROR(INDEX(Empresas!$G:$G,MATCH(A1862,Empresas!$A:$A,0))&amp;"","")&lt;&gt;""),"SIM",""))</f>
        <v/>
      </c>
      <c r="N1862" s="5"/>
      <c r="O1862" s="32" t="str">
        <f aca="false">IF(D1862="","",YEAR(D1862))</f>
        <v/>
      </c>
      <c r="P1862" s="5"/>
    </row>
    <row r="1863" customFormat="false" ht="15" hidden="false" customHeight="false" outlineLevel="0" collapsed="false">
      <c r="A1863" s="27"/>
      <c r="B1863" s="5"/>
      <c r="C1863" s="35"/>
      <c r="D1863" s="18"/>
      <c r="E1863" s="5"/>
      <c r="F1863" s="14"/>
      <c r="G1863" s="5"/>
      <c r="H1863" s="27"/>
      <c r="I1863" s="5"/>
      <c r="J1863" s="19" t="str">
        <f aca="false">IF(A1863="","",IFERROR(INDEX(Empresas!$D:$D,MATCH(A1863,Empresas!$A:$A,0))&amp;"","não consta"))</f>
        <v/>
      </c>
      <c r="K1863" s="19" t="str">
        <f aca="false">IF(A1863="","",IFERROR(INDEX(Sancoes!$B:$B,MATCH(A1863,Sancoes!$A:$A,0))&amp;"","não consta"))</f>
        <v/>
      </c>
      <c r="L1863" s="19" t="str">
        <f aca="false">IF(A1863="","",IFERROR(INDEX(Eleitoral!$B:$B,MATCH(A1863,Eleitoral!$A:$A,0))&amp;"","não consta"))</f>
        <v/>
      </c>
      <c r="M1863" s="28" t="str">
        <f aca="false">IF(A1863="","",IF(OR(AND(K1863&lt;&gt;"",LOWER(K1863)&lt;&gt;"não consta"),AND(L1863&lt;&gt;"",LOWER(L1863)&lt;&gt;"não consta"),IFERROR(INDEX(Empresas!$G:$G,MATCH(A1863,Empresas!$A:$A,0))&amp;"","")&lt;&gt;""),"SIM",""))</f>
        <v/>
      </c>
      <c r="N1863" s="5"/>
      <c r="O1863" s="32" t="str">
        <f aca="false">IF(D1863="","",YEAR(D1863))</f>
        <v/>
      </c>
      <c r="P1863" s="5"/>
    </row>
    <row r="1864" customFormat="false" ht="15" hidden="false" customHeight="false" outlineLevel="0" collapsed="false">
      <c r="A1864" s="27"/>
      <c r="B1864" s="5"/>
      <c r="C1864" s="35"/>
      <c r="D1864" s="18"/>
      <c r="E1864" s="5"/>
      <c r="F1864" s="14"/>
      <c r="G1864" s="5"/>
      <c r="H1864" s="27"/>
      <c r="I1864" s="5"/>
      <c r="J1864" s="19" t="str">
        <f aca="false">IF(A1864="","",IFERROR(INDEX(Empresas!$D:$D,MATCH(A1864,Empresas!$A:$A,0))&amp;"","não consta"))</f>
        <v/>
      </c>
      <c r="K1864" s="19" t="str">
        <f aca="false">IF(A1864="","",IFERROR(INDEX(Sancoes!$B:$B,MATCH(A1864,Sancoes!$A:$A,0))&amp;"","não consta"))</f>
        <v/>
      </c>
      <c r="L1864" s="19" t="str">
        <f aca="false">IF(A1864="","",IFERROR(INDEX(Eleitoral!$B:$B,MATCH(A1864,Eleitoral!$A:$A,0))&amp;"","não consta"))</f>
        <v/>
      </c>
      <c r="M1864" s="28" t="str">
        <f aca="false">IF(A1864="","",IF(OR(AND(K1864&lt;&gt;"",LOWER(K1864)&lt;&gt;"não consta"),AND(L1864&lt;&gt;"",LOWER(L1864)&lt;&gt;"não consta"),IFERROR(INDEX(Empresas!$G:$G,MATCH(A1864,Empresas!$A:$A,0))&amp;"","")&lt;&gt;""),"SIM",""))</f>
        <v/>
      </c>
      <c r="N1864" s="5"/>
      <c r="O1864" s="32" t="str">
        <f aca="false">IF(D1864="","",YEAR(D1864))</f>
        <v/>
      </c>
      <c r="P1864" s="5"/>
    </row>
    <row r="1865" customFormat="false" ht="15" hidden="false" customHeight="false" outlineLevel="0" collapsed="false">
      <c r="A1865" s="27"/>
      <c r="B1865" s="5"/>
      <c r="C1865" s="35"/>
      <c r="D1865" s="18"/>
      <c r="E1865" s="5"/>
      <c r="F1865" s="14"/>
      <c r="G1865" s="5"/>
      <c r="H1865" s="27"/>
      <c r="I1865" s="5"/>
      <c r="J1865" s="19" t="str">
        <f aca="false">IF(A1865="","",IFERROR(INDEX(Empresas!$D:$D,MATCH(A1865,Empresas!$A:$A,0))&amp;"","não consta"))</f>
        <v/>
      </c>
      <c r="K1865" s="19" t="str">
        <f aca="false">IF(A1865="","",IFERROR(INDEX(Sancoes!$B:$B,MATCH(A1865,Sancoes!$A:$A,0))&amp;"","não consta"))</f>
        <v/>
      </c>
      <c r="L1865" s="19" t="str">
        <f aca="false">IF(A1865="","",IFERROR(INDEX(Eleitoral!$B:$B,MATCH(A1865,Eleitoral!$A:$A,0))&amp;"","não consta"))</f>
        <v/>
      </c>
      <c r="M1865" s="28" t="str">
        <f aca="false">IF(A1865="","",IF(OR(AND(K1865&lt;&gt;"",LOWER(K1865)&lt;&gt;"não consta"),AND(L1865&lt;&gt;"",LOWER(L1865)&lt;&gt;"não consta"),IFERROR(INDEX(Empresas!$G:$G,MATCH(A1865,Empresas!$A:$A,0))&amp;"","")&lt;&gt;""),"SIM",""))</f>
        <v/>
      </c>
      <c r="N1865" s="5"/>
      <c r="O1865" s="32" t="str">
        <f aca="false">IF(D1865="","",YEAR(D1865))</f>
        <v/>
      </c>
      <c r="P1865" s="5"/>
    </row>
    <row r="1866" customFormat="false" ht="15" hidden="false" customHeight="false" outlineLevel="0" collapsed="false">
      <c r="A1866" s="27"/>
      <c r="B1866" s="5"/>
      <c r="C1866" s="35"/>
      <c r="D1866" s="18"/>
      <c r="E1866" s="5"/>
      <c r="F1866" s="14"/>
      <c r="G1866" s="5"/>
      <c r="H1866" s="27"/>
      <c r="I1866" s="5"/>
      <c r="J1866" s="19" t="str">
        <f aca="false">IF(A1866="","",IFERROR(INDEX(Empresas!$D:$D,MATCH(A1866,Empresas!$A:$A,0))&amp;"","não consta"))</f>
        <v/>
      </c>
      <c r="K1866" s="19" t="str">
        <f aca="false">IF(A1866="","",IFERROR(INDEX(Sancoes!$B:$B,MATCH(A1866,Sancoes!$A:$A,0))&amp;"","não consta"))</f>
        <v/>
      </c>
      <c r="L1866" s="19" t="str">
        <f aca="false">IF(A1866="","",IFERROR(INDEX(Eleitoral!$B:$B,MATCH(A1866,Eleitoral!$A:$A,0))&amp;"","não consta"))</f>
        <v/>
      </c>
      <c r="M1866" s="28" t="str">
        <f aca="false">IF(A1866="","",IF(OR(AND(K1866&lt;&gt;"",LOWER(K1866)&lt;&gt;"não consta"),AND(L1866&lt;&gt;"",LOWER(L1866)&lt;&gt;"não consta"),IFERROR(INDEX(Empresas!$G:$G,MATCH(A1866,Empresas!$A:$A,0))&amp;"","")&lt;&gt;""),"SIM",""))</f>
        <v/>
      </c>
      <c r="N1866" s="5"/>
      <c r="O1866" s="32" t="str">
        <f aca="false">IF(D1866="","",YEAR(D1866))</f>
        <v/>
      </c>
      <c r="P1866" s="5"/>
    </row>
    <row r="1867" customFormat="false" ht="15" hidden="false" customHeight="false" outlineLevel="0" collapsed="false">
      <c r="A1867" s="27"/>
      <c r="B1867" s="5"/>
      <c r="C1867" s="35"/>
      <c r="D1867" s="18"/>
      <c r="E1867" s="5"/>
      <c r="F1867" s="14"/>
      <c r="G1867" s="5"/>
      <c r="H1867" s="27"/>
      <c r="I1867" s="5"/>
      <c r="J1867" s="19" t="str">
        <f aca="false">IF(A1867="","",IFERROR(INDEX(Empresas!$D:$D,MATCH(A1867,Empresas!$A:$A,0))&amp;"","não consta"))</f>
        <v/>
      </c>
      <c r="K1867" s="19" t="str">
        <f aca="false">IF(A1867="","",IFERROR(INDEX(Sancoes!$B:$B,MATCH(A1867,Sancoes!$A:$A,0))&amp;"","não consta"))</f>
        <v/>
      </c>
      <c r="L1867" s="19" t="str">
        <f aca="false">IF(A1867="","",IFERROR(INDEX(Eleitoral!$B:$B,MATCH(A1867,Eleitoral!$A:$A,0))&amp;"","não consta"))</f>
        <v/>
      </c>
      <c r="M1867" s="28" t="str">
        <f aca="false">IF(A1867="","",IF(OR(AND(K1867&lt;&gt;"",LOWER(K1867)&lt;&gt;"não consta"),AND(L1867&lt;&gt;"",LOWER(L1867)&lt;&gt;"não consta"),IFERROR(INDEX(Empresas!$G:$G,MATCH(A1867,Empresas!$A:$A,0))&amp;"","")&lt;&gt;""),"SIM",""))</f>
        <v/>
      </c>
      <c r="N1867" s="5"/>
      <c r="O1867" s="32" t="str">
        <f aca="false">IF(D1867="","",YEAR(D1867))</f>
        <v/>
      </c>
      <c r="P1867" s="5"/>
    </row>
    <row r="1868" customFormat="false" ht="15" hidden="false" customHeight="false" outlineLevel="0" collapsed="false">
      <c r="A1868" s="27"/>
      <c r="B1868" s="5"/>
      <c r="C1868" s="35"/>
      <c r="D1868" s="18"/>
      <c r="E1868" s="5"/>
      <c r="F1868" s="14"/>
      <c r="G1868" s="5"/>
      <c r="H1868" s="27"/>
      <c r="I1868" s="5"/>
      <c r="J1868" s="19" t="str">
        <f aca="false">IF(A1868="","",IFERROR(INDEX(Empresas!$D:$D,MATCH(A1868,Empresas!$A:$A,0))&amp;"","não consta"))</f>
        <v/>
      </c>
      <c r="K1868" s="19" t="str">
        <f aca="false">IF(A1868="","",IFERROR(INDEX(Sancoes!$B:$B,MATCH(A1868,Sancoes!$A:$A,0))&amp;"","não consta"))</f>
        <v/>
      </c>
      <c r="L1868" s="19" t="str">
        <f aca="false">IF(A1868="","",IFERROR(INDEX(Eleitoral!$B:$B,MATCH(A1868,Eleitoral!$A:$A,0))&amp;"","não consta"))</f>
        <v/>
      </c>
      <c r="M1868" s="28" t="str">
        <f aca="false">IF(A1868="","",IF(OR(AND(K1868&lt;&gt;"",LOWER(K1868)&lt;&gt;"não consta"),AND(L1868&lt;&gt;"",LOWER(L1868)&lt;&gt;"não consta"),IFERROR(INDEX(Empresas!$G:$G,MATCH(A1868,Empresas!$A:$A,0))&amp;"","")&lt;&gt;""),"SIM",""))</f>
        <v/>
      </c>
      <c r="N1868" s="5"/>
      <c r="O1868" s="32" t="str">
        <f aca="false">IF(D1868="","",YEAR(D1868))</f>
        <v/>
      </c>
      <c r="P1868" s="5"/>
    </row>
    <row r="1869" customFormat="false" ht="15" hidden="false" customHeight="false" outlineLevel="0" collapsed="false">
      <c r="A1869" s="27"/>
      <c r="B1869" s="5"/>
      <c r="C1869" s="35"/>
      <c r="D1869" s="18"/>
      <c r="E1869" s="5"/>
      <c r="F1869" s="14"/>
      <c r="G1869" s="5"/>
      <c r="H1869" s="27"/>
      <c r="I1869" s="5"/>
      <c r="J1869" s="19" t="str">
        <f aca="false">IF(A1869="","",IFERROR(INDEX(Empresas!$D:$D,MATCH(A1869,Empresas!$A:$A,0))&amp;"","não consta"))</f>
        <v/>
      </c>
      <c r="K1869" s="19" t="str">
        <f aca="false">IF(A1869="","",IFERROR(INDEX(Sancoes!$B:$B,MATCH(A1869,Sancoes!$A:$A,0))&amp;"","não consta"))</f>
        <v/>
      </c>
      <c r="L1869" s="19" t="str">
        <f aca="false">IF(A1869="","",IFERROR(INDEX(Eleitoral!$B:$B,MATCH(A1869,Eleitoral!$A:$A,0))&amp;"","não consta"))</f>
        <v/>
      </c>
      <c r="M1869" s="28" t="str">
        <f aca="false">IF(A1869="","",IF(OR(AND(K1869&lt;&gt;"",LOWER(K1869)&lt;&gt;"não consta"),AND(L1869&lt;&gt;"",LOWER(L1869)&lt;&gt;"não consta"),IFERROR(INDEX(Empresas!$G:$G,MATCH(A1869,Empresas!$A:$A,0))&amp;"","")&lt;&gt;""),"SIM",""))</f>
        <v/>
      </c>
      <c r="N1869" s="5"/>
      <c r="O1869" s="32" t="str">
        <f aca="false">IF(D1869="","",YEAR(D1869))</f>
        <v/>
      </c>
      <c r="P1869" s="5"/>
    </row>
    <row r="1870" customFormat="false" ht="15" hidden="false" customHeight="false" outlineLevel="0" collapsed="false">
      <c r="A1870" s="27"/>
      <c r="B1870" s="5"/>
      <c r="C1870" s="35"/>
      <c r="D1870" s="18"/>
      <c r="E1870" s="5"/>
      <c r="F1870" s="14"/>
      <c r="G1870" s="5"/>
      <c r="H1870" s="27"/>
      <c r="I1870" s="5"/>
      <c r="J1870" s="19" t="str">
        <f aca="false">IF(A1870="","",IFERROR(INDEX(Empresas!$D:$D,MATCH(A1870,Empresas!$A:$A,0))&amp;"","não consta"))</f>
        <v/>
      </c>
      <c r="K1870" s="19" t="str">
        <f aca="false">IF(A1870="","",IFERROR(INDEX(Sancoes!$B:$B,MATCH(A1870,Sancoes!$A:$A,0))&amp;"","não consta"))</f>
        <v/>
      </c>
      <c r="L1870" s="19" t="str">
        <f aca="false">IF(A1870="","",IFERROR(INDEX(Eleitoral!$B:$B,MATCH(A1870,Eleitoral!$A:$A,0))&amp;"","não consta"))</f>
        <v/>
      </c>
      <c r="M1870" s="28" t="str">
        <f aca="false">IF(A1870="","",IF(OR(AND(K1870&lt;&gt;"",LOWER(K1870)&lt;&gt;"não consta"),AND(L1870&lt;&gt;"",LOWER(L1870)&lt;&gt;"não consta"),IFERROR(INDEX(Empresas!$G:$G,MATCH(A1870,Empresas!$A:$A,0))&amp;"","")&lt;&gt;""),"SIM",""))</f>
        <v/>
      </c>
      <c r="N1870" s="5"/>
      <c r="O1870" s="32" t="str">
        <f aca="false">IF(D1870="","",YEAR(D1870))</f>
        <v/>
      </c>
      <c r="P1870" s="5"/>
    </row>
    <row r="1871" customFormat="false" ht="15" hidden="false" customHeight="false" outlineLevel="0" collapsed="false">
      <c r="A1871" s="27"/>
      <c r="B1871" s="5"/>
      <c r="C1871" s="35"/>
      <c r="D1871" s="18"/>
      <c r="E1871" s="5"/>
      <c r="F1871" s="14"/>
      <c r="G1871" s="5"/>
      <c r="H1871" s="27"/>
      <c r="I1871" s="5"/>
      <c r="J1871" s="19" t="str">
        <f aca="false">IF(A1871="","",IFERROR(INDEX(Empresas!$D:$D,MATCH(A1871,Empresas!$A:$A,0))&amp;"","não consta"))</f>
        <v/>
      </c>
      <c r="K1871" s="19" t="str">
        <f aca="false">IF(A1871="","",IFERROR(INDEX(Sancoes!$B:$B,MATCH(A1871,Sancoes!$A:$A,0))&amp;"","não consta"))</f>
        <v/>
      </c>
      <c r="L1871" s="19" t="str">
        <f aca="false">IF(A1871="","",IFERROR(INDEX(Eleitoral!$B:$B,MATCH(A1871,Eleitoral!$A:$A,0))&amp;"","não consta"))</f>
        <v/>
      </c>
      <c r="M1871" s="28" t="str">
        <f aca="false">IF(A1871="","",IF(OR(AND(K1871&lt;&gt;"",LOWER(K1871)&lt;&gt;"não consta"),AND(L1871&lt;&gt;"",LOWER(L1871)&lt;&gt;"não consta"),IFERROR(INDEX(Empresas!$G:$G,MATCH(A1871,Empresas!$A:$A,0))&amp;"","")&lt;&gt;""),"SIM",""))</f>
        <v/>
      </c>
      <c r="N1871" s="5"/>
      <c r="O1871" s="32" t="str">
        <f aca="false">IF(D1871="","",YEAR(D1871))</f>
        <v/>
      </c>
      <c r="P1871" s="5"/>
    </row>
    <row r="1872" customFormat="false" ht="15" hidden="false" customHeight="false" outlineLevel="0" collapsed="false">
      <c r="A1872" s="27"/>
      <c r="B1872" s="5"/>
      <c r="C1872" s="35"/>
      <c r="D1872" s="18"/>
      <c r="E1872" s="5"/>
      <c r="F1872" s="14"/>
      <c r="G1872" s="5"/>
      <c r="H1872" s="27"/>
      <c r="I1872" s="5"/>
      <c r="J1872" s="19" t="str">
        <f aca="false">IF(A1872="","",IFERROR(INDEX(Empresas!$D:$D,MATCH(A1872,Empresas!$A:$A,0))&amp;"","não consta"))</f>
        <v/>
      </c>
      <c r="K1872" s="19" t="str">
        <f aca="false">IF(A1872="","",IFERROR(INDEX(Sancoes!$B:$B,MATCH(A1872,Sancoes!$A:$A,0))&amp;"","não consta"))</f>
        <v/>
      </c>
      <c r="L1872" s="19" t="str">
        <f aca="false">IF(A1872="","",IFERROR(INDEX(Eleitoral!$B:$B,MATCH(A1872,Eleitoral!$A:$A,0))&amp;"","não consta"))</f>
        <v/>
      </c>
      <c r="M1872" s="28" t="str">
        <f aca="false">IF(A1872="","",IF(OR(AND(K1872&lt;&gt;"",LOWER(K1872)&lt;&gt;"não consta"),AND(L1872&lt;&gt;"",LOWER(L1872)&lt;&gt;"não consta"),IFERROR(INDEX(Empresas!$G:$G,MATCH(A1872,Empresas!$A:$A,0))&amp;"","")&lt;&gt;""),"SIM",""))</f>
        <v/>
      </c>
      <c r="N1872" s="5"/>
      <c r="O1872" s="32" t="str">
        <f aca="false">IF(D1872="","",YEAR(D1872))</f>
        <v/>
      </c>
      <c r="P1872" s="5"/>
    </row>
    <row r="1873" customFormat="false" ht="15" hidden="false" customHeight="false" outlineLevel="0" collapsed="false">
      <c r="A1873" s="27"/>
      <c r="B1873" s="5"/>
      <c r="C1873" s="35"/>
      <c r="D1873" s="18"/>
      <c r="E1873" s="5"/>
      <c r="F1873" s="14"/>
      <c r="G1873" s="5"/>
      <c r="H1873" s="27"/>
      <c r="I1873" s="5"/>
      <c r="J1873" s="19" t="str">
        <f aca="false">IF(A1873="","",IFERROR(INDEX(Empresas!$D:$D,MATCH(A1873,Empresas!$A:$A,0))&amp;"","não consta"))</f>
        <v/>
      </c>
      <c r="K1873" s="19" t="str">
        <f aca="false">IF(A1873="","",IFERROR(INDEX(Sancoes!$B:$B,MATCH(A1873,Sancoes!$A:$A,0))&amp;"","não consta"))</f>
        <v/>
      </c>
      <c r="L1873" s="19" t="str">
        <f aca="false">IF(A1873="","",IFERROR(INDEX(Eleitoral!$B:$B,MATCH(A1873,Eleitoral!$A:$A,0))&amp;"","não consta"))</f>
        <v/>
      </c>
      <c r="M1873" s="28" t="str">
        <f aca="false">IF(A1873="","",IF(OR(AND(K1873&lt;&gt;"",LOWER(K1873)&lt;&gt;"não consta"),AND(L1873&lt;&gt;"",LOWER(L1873)&lt;&gt;"não consta"),IFERROR(INDEX(Empresas!$G:$G,MATCH(A1873,Empresas!$A:$A,0))&amp;"","")&lt;&gt;""),"SIM",""))</f>
        <v/>
      </c>
      <c r="N1873" s="5"/>
      <c r="O1873" s="32" t="str">
        <f aca="false">IF(D1873="","",YEAR(D1873))</f>
        <v/>
      </c>
      <c r="P1873" s="5"/>
    </row>
    <row r="1874" customFormat="false" ht="15" hidden="false" customHeight="false" outlineLevel="0" collapsed="false">
      <c r="A1874" s="27"/>
      <c r="B1874" s="5"/>
      <c r="C1874" s="35"/>
      <c r="D1874" s="18"/>
      <c r="E1874" s="5"/>
      <c r="F1874" s="14"/>
      <c r="G1874" s="5"/>
      <c r="H1874" s="27"/>
      <c r="I1874" s="5"/>
      <c r="J1874" s="19" t="str">
        <f aca="false">IF(A1874="","",IFERROR(INDEX(Empresas!$D:$D,MATCH(A1874,Empresas!$A:$A,0))&amp;"","não consta"))</f>
        <v/>
      </c>
      <c r="K1874" s="19" t="str">
        <f aca="false">IF(A1874="","",IFERROR(INDEX(Sancoes!$B:$B,MATCH(A1874,Sancoes!$A:$A,0))&amp;"","não consta"))</f>
        <v/>
      </c>
      <c r="L1874" s="19" t="str">
        <f aca="false">IF(A1874="","",IFERROR(INDEX(Eleitoral!$B:$B,MATCH(A1874,Eleitoral!$A:$A,0))&amp;"","não consta"))</f>
        <v/>
      </c>
      <c r="M1874" s="28" t="str">
        <f aca="false">IF(A1874="","",IF(OR(AND(K1874&lt;&gt;"",LOWER(K1874)&lt;&gt;"não consta"),AND(L1874&lt;&gt;"",LOWER(L1874)&lt;&gt;"não consta"),IFERROR(INDEX(Empresas!$G:$G,MATCH(A1874,Empresas!$A:$A,0))&amp;"","")&lt;&gt;""),"SIM",""))</f>
        <v/>
      </c>
      <c r="N1874" s="5"/>
      <c r="O1874" s="32" t="str">
        <f aca="false">IF(D1874="","",YEAR(D1874))</f>
        <v/>
      </c>
      <c r="P1874" s="5"/>
    </row>
    <row r="1875" customFormat="false" ht="15" hidden="false" customHeight="false" outlineLevel="0" collapsed="false">
      <c r="A1875" s="27"/>
      <c r="B1875" s="5"/>
      <c r="C1875" s="35"/>
      <c r="D1875" s="18"/>
      <c r="E1875" s="5"/>
      <c r="F1875" s="14"/>
      <c r="G1875" s="5"/>
      <c r="H1875" s="27"/>
      <c r="I1875" s="5"/>
      <c r="J1875" s="19" t="str">
        <f aca="false">IF(A1875="","",IFERROR(INDEX(Empresas!$D:$D,MATCH(A1875,Empresas!$A:$A,0))&amp;"","não consta"))</f>
        <v/>
      </c>
      <c r="K1875" s="19" t="str">
        <f aca="false">IF(A1875="","",IFERROR(INDEX(Sancoes!$B:$B,MATCH(A1875,Sancoes!$A:$A,0))&amp;"","não consta"))</f>
        <v/>
      </c>
      <c r="L1875" s="19" t="str">
        <f aca="false">IF(A1875="","",IFERROR(INDEX(Eleitoral!$B:$B,MATCH(A1875,Eleitoral!$A:$A,0))&amp;"","não consta"))</f>
        <v/>
      </c>
      <c r="M1875" s="28" t="str">
        <f aca="false">IF(A1875="","",IF(OR(AND(K1875&lt;&gt;"",LOWER(K1875)&lt;&gt;"não consta"),AND(L1875&lt;&gt;"",LOWER(L1875)&lt;&gt;"não consta"),IFERROR(INDEX(Empresas!$G:$G,MATCH(A1875,Empresas!$A:$A,0))&amp;"","")&lt;&gt;""),"SIM",""))</f>
        <v/>
      </c>
      <c r="N1875" s="5"/>
      <c r="O1875" s="32" t="str">
        <f aca="false">IF(D1875="","",YEAR(D1875))</f>
        <v/>
      </c>
      <c r="P1875" s="5"/>
    </row>
    <row r="1876" customFormat="false" ht="15" hidden="false" customHeight="false" outlineLevel="0" collapsed="false">
      <c r="A1876" s="27"/>
      <c r="B1876" s="5"/>
      <c r="C1876" s="35"/>
      <c r="D1876" s="18"/>
      <c r="E1876" s="5"/>
      <c r="F1876" s="14"/>
      <c r="G1876" s="5"/>
      <c r="H1876" s="27"/>
      <c r="I1876" s="5"/>
      <c r="J1876" s="19" t="str">
        <f aca="false">IF(A1876="","",IFERROR(INDEX(Empresas!$D:$D,MATCH(A1876,Empresas!$A:$A,0))&amp;"","não consta"))</f>
        <v/>
      </c>
      <c r="K1876" s="19" t="str">
        <f aca="false">IF(A1876="","",IFERROR(INDEX(Sancoes!$B:$B,MATCH(A1876,Sancoes!$A:$A,0))&amp;"","não consta"))</f>
        <v/>
      </c>
      <c r="L1876" s="19" t="str">
        <f aca="false">IF(A1876="","",IFERROR(INDEX(Eleitoral!$B:$B,MATCH(A1876,Eleitoral!$A:$A,0))&amp;"","não consta"))</f>
        <v/>
      </c>
      <c r="M1876" s="28" t="str">
        <f aca="false">IF(A1876="","",IF(OR(AND(K1876&lt;&gt;"",LOWER(K1876)&lt;&gt;"não consta"),AND(L1876&lt;&gt;"",LOWER(L1876)&lt;&gt;"não consta"),IFERROR(INDEX(Empresas!$G:$G,MATCH(A1876,Empresas!$A:$A,0))&amp;"","")&lt;&gt;""),"SIM",""))</f>
        <v/>
      </c>
      <c r="N1876" s="5"/>
      <c r="O1876" s="32" t="str">
        <f aca="false">IF(D1876="","",YEAR(D1876))</f>
        <v/>
      </c>
      <c r="P1876" s="5"/>
    </row>
    <row r="1877" customFormat="false" ht="15" hidden="false" customHeight="false" outlineLevel="0" collapsed="false">
      <c r="A1877" s="27"/>
      <c r="B1877" s="5"/>
      <c r="C1877" s="35"/>
      <c r="D1877" s="18"/>
      <c r="E1877" s="5"/>
      <c r="F1877" s="14"/>
      <c r="G1877" s="5"/>
      <c r="H1877" s="27"/>
      <c r="I1877" s="5"/>
      <c r="J1877" s="19" t="str">
        <f aca="false">IF(A1877="","",IFERROR(INDEX(Empresas!$D:$D,MATCH(A1877,Empresas!$A:$A,0))&amp;"","não consta"))</f>
        <v/>
      </c>
      <c r="K1877" s="19" t="str">
        <f aca="false">IF(A1877="","",IFERROR(INDEX(Sancoes!$B:$B,MATCH(A1877,Sancoes!$A:$A,0))&amp;"","não consta"))</f>
        <v/>
      </c>
      <c r="L1877" s="19" t="str">
        <f aca="false">IF(A1877="","",IFERROR(INDEX(Eleitoral!$B:$B,MATCH(A1877,Eleitoral!$A:$A,0))&amp;"","não consta"))</f>
        <v/>
      </c>
      <c r="M1877" s="28" t="str">
        <f aca="false">IF(A1877="","",IF(OR(AND(K1877&lt;&gt;"",LOWER(K1877)&lt;&gt;"não consta"),AND(L1877&lt;&gt;"",LOWER(L1877)&lt;&gt;"não consta"),IFERROR(INDEX(Empresas!$G:$G,MATCH(A1877,Empresas!$A:$A,0))&amp;"","")&lt;&gt;""),"SIM",""))</f>
        <v/>
      </c>
      <c r="N1877" s="5"/>
      <c r="O1877" s="32" t="str">
        <f aca="false">IF(D1877="","",YEAR(D1877))</f>
        <v/>
      </c>
      <c r="P1877" s="5"/>
    </row>
    <row r="1878" customFormat="false" ht="15" hidden="false" customHeight="false" outlineLevel="0" collapsed="false">
      <c r="A1878" s="27"/>
      <c r="B1878" s="5"/>
      <c r="C1878" s="35"/>
      <c r="D1878" s="18"/>
      <c r="E1878" s="5"/>
      <c r="F1878" s="14"/>
      <c r="G1878" s="5"/>
      <c r="H1878" s="27"/>
      <c r="I1878" s="5"/>
      <c r="J1878" s="19" t="str">
        <f aca="false">IF(A1878="","",IFERROR(INDEX(Empresas!$D:$D,MATCH(A1878,Empresas!$A:$A,0))&amp;"","não consta"))</f>
        <v/>
      </c>
      <c r="K1878" s="19" t="str">
        <f aca="false">IF(A1878="","",IFERROR(INDEX(Sancoes!$B:$B,MATCH(A1878,Sancoes!$A:$A,0))&amp;"","não consta"))</f>
        <v/>
      </c>
      <c r="L1878" s="19" t="str">
        <f aca="false">IF(A1878="","",IFERROR(INDEX(Eleitoral!$B:$B,MATCH(A1878,Eleitoral!$A:$A,0))&amp;"","não consta"))</f>
        <v/>
      </c>
      <c r="M1878" s="28" t="str">
        <f aca="false">IF(A1878="","",IF(OR(AND(K1878&lt;&gt;"",LOWER(K1878)&lt;&gt;"não consta"),AND(L1878&lt;&gt;"",LOWER(L1878)&lt;&gt;"não consta"),IFERROR(INDEX(Empresas!$G:$G,MATCH(A1878,Empresas!$A:$A,0))&amp;"","")&lt;&gt;""),"SIM",""))</f>
        <v/>
      </c>
      <c r="N1878" s="5"/>
      <c r="O1878" s="32" t="str">
        <f aca="false">IF(D1878="","",YEAR(D1878))</f>
        <v/>
      </c>
      <c r="P1878" s="5"/>
    </row>
    <row r="1879" customFormat="false" ht="15" hidden="false" customHeight="false" outlineLevel="0" collapsed="false">
      <c r="A1879" s="27"/>
      <c r="B1879" s="5"/>
      <c r="C1879" s="35"/>
      <c r="D1879" s="18"/>
      <c r="E1879" s="5"/>
      <c r="F1879" s="14"/>
      <c r="G1879" s="5"/>
      <c r="H1879" s="27"/>
      <c r="I1879" s="5"/>
      <c r="J1879" s="19" t="str">
        <f aca="false">IF(A1879="","",IFERROR(INDEX(Empresas!$D:$D,MATCH(A1879,Empresas!$A:$A,0))&amp;"","não consta"))</f>
        <v/>
      </c>
      <c r="K1879" s="19" t="str">
        <f aca="false">IF(A1879="","",IFERROR(INDEX(Sancoes!$B:$B,MATCH(A1879,Sancoes!$A:$A,0))&amp;"","não consta"))</f>
        <v/>
      </c>
      <c r="L1879" s="19" t="str">
        <f aca="false">IF(A1879="","",IFERROR(INDEX(Eleitoral!$B:$B,MATCH(A1879,Eleitoral!$A:$A,0))&amp;"","não consta"))</f>
        <v/>
      </c>
      <c r="M1879" s="28" t="str">
        <f aca="false">IF(A1879="","",IF(OR(AND(K1879&lt;&gt;"",LOWER(K1879)&lt;&gt;"não consta"),AND(L1879&lt;&gt;"",LOWER(L1879)&lt;&gt;"não consta"),IFERROR(INDEX(Empresas!$G:$G,MATCH(A1879,Empresas!$A:$A,0))&amp;"","")&lt;&gt;""),"SIM",""))</f>
        <v/>
      </c>
      <c r="N1879" s="5"/>
      <c r="O1879" s="32" t="str">
        <f aca="false">IF(D1879="","",YEAR(D1879))</f>
        <v/>
      </c>
      <c r="P1879" s="5"/>
    </row>
    <row r="1880" customFormat="false" ht="15" hidden="false" customHeight="false" outlineLevel="0" collapsed="false">
      <c r="A1880" s="27"/>
      <c r="B1880" s="5"/>
      <c r="C1880" s="35"/>
      <c r="D1880" s="18"/>
      <c r="E1880" s="5"/>
      <c r="F1880" s="14"/>
      <c r="G1880" s="5"/>
      <c r="H1880" s="27"/>
      <c r="I1880" s="5"/>
      <c r="J1880" s="19" t="str">
        <f aca="false">IF(A1880="","",IFERROR(INDEX(Empresas!$D:$D,MATCH(A1880,Empresas!$A:$A,0))&amp;"","não consta"))</f>
        <v/>
      </c>
      <c r="K1880" s="19" t="str">
        <f aca="false">IF(A1880="","",IFERROR(INDEX(Sancoes!$B:$B,MATCH(A1880,Sancoes!$A:$A,0))&amp;"","não consta"))</f>
        <v/>
      </c>
      <c r="L1880" s="19" t="str">
        <f aca="false">IF(A1880="","",IFERROR(INDEX(Eleitoral!$B:$B,MATCH(A1880,Eleitoral!$A:$A,0))&amp;"","não consta"))</f>
        <v/>
      </c>
      <c r="M1880" s="28" t="str">
        <f aca="false">IF(A1880="","",IF(OR(AND(K1880&lt;&gt;"",LOWER(K1880)&lt;&gt;"não consta"),AND(L1880&lt;&gt;"",LOWER(L1880)&lt;&gt;"não consta"),IFERROR(INDEX(Empresas!$G:$G,MATCH(A1880,Empresas!$A:$A,0))&amp;"","")&lt;&gt;""),"SIM",""))</f>
        <v/>
      </c>
      <c r="N1880" s="5"/>
      <c r="O1880" s="32" t="str">
        <f aca="false">IF(D1880="","",YEAR(D1880))</f>
        <v/>
      </c>
      <c r="P1880" s="5"/>
    </row>
    <row r="1881" customFormat="false" ht="15" hidden="false" customHeight="false" outlineLevel="0" collapsed="false">
      <c r="A1881" s="27"/>
      <c r="B1881" s="5"/>
      <c r="C1881" s="35"/>
      <c r="D1881" s="18"/>
      <c r="E1881" s="5"/>
      <c r="F1881" s="14"/>
      <c r="G1881" s="5"/>
      <c r="H1881" s="27"/>
      <c r="I1881" s="5"/>
      <c r="J1881" s="19" t="str">
        <f aca="false">IF(A1881="","",IFERROR(INDEX(Empresas!$D:$D,MATCH(A1881,Empresas!$A:$A,0))&amp;"","não consta"))</f>
        <v/>
      </c>
      <c r="K1881" s="19" t="str">
        <f aca="false">IF(A1881="","",IFERROR(INDEX(Sancoes!$B:$B,MATCH(A1881,Sancoes!$A:$A,0))&amp;"","não consta"))</f>
        <v/>
      </c>
      <c r="L1881" s="19" t="str">
        <f aca="false">IF(A1881="","",IFERROR(INDEX(Eleitoral!$B:$B,MATCH(A1881,Eleitoral!$A:$A,0))&amp;"","não consta"))</f>
        <v/>
      </c>
      <c r="M1881" s="28" t="str">
        <f aca="false">IF(A1881="","",IF(OR(AND(K1881&lt;&gt;"",LOWER(K1881)&lt;&gt;"não consta"),AND(L1881&lt;&gt;"",LOWER(L1881)&lt;&gt;"não consta"),IFERROR(INDEX(Empresas!$G:$G,MATCH(A1881,Empresas!$A:$A,0))&amp;"","")&lt;&gt;""),"SIM",""))</f>
        <v/>
      </c>
      <c r="N1881" s="5"/>
      <c r="O1881" s="32" t="str">
        <f aca="false">IF(D1881="","",YEAR(D1881))</f>
        <v/>
      </c>
      <c r="P1881" s="5"/>
    </row>
    <row r="1882" customFormat="false" ht="15" hidden="false" customHeight="false" outlineLevel="0" collapsed="false">
      <c r="A1882" s="27"/>
      <c r="B1882" s="5"/>
      <c r="C1882" s="35"/>
      <c r="D1882" s="18"/>
      <c r="E1882" s="5"/>
      <c r="F1882" s="14"/>
      <c r="G1882" s="5"/>
      <c r="H1882" s="27"/>
      <c r="I1882" s="5"/>
      <c r="J1882" s="19" t="str">
        <f aca="false">IF(A1882="","",IFERROR(INDEX(Empresas!$D:$D,MATCH(A1882,Empresas!$A:$A,0))&amp;"","não consta"))</f>
        <v/>
      </c>
      <c r="K1882" s="19" t="str">
        <f aca="false">IF(A1882="","",IFERROR(INDEX(Sancoes!$B:$B,MATCH(A1882,Sancoes!$A:$A,0))&amp;"","não consta"))</f>
        <v/>
      </c>
      <c r="L1882" s="19" t="str">
        <f aca="false">IF(A1882="","",IFERROR(INDEX(Eleitoral!$B:$B,MATCH(A1882,Eleitoral!$A:$A,0))&amp;"","não consta"))</f>
        <v/>
      </c>
      <c r="M1882" s="28" t="str">
        <f aca="false">IF(A1882="","",IF(OR(AND(K1882&lt;&gt;"",LOWER(K1882)&lt;&gt;"não consta"),AND(L1882&lt;&gt;"",LOWER(L1882)&lt;&gt;"não consta"),IFERROR(INDEX(Empresas!$G:$G,MATCH(A1882,Empresas!$A:$A,0))&amp;"","")&lt;&gt;""),"SIM",""))</f>
        <v/>
      </c>
      <c r="N1882" s="5"/>
      <c r="O1882" s="32" t="str">
        <f aca="false">IF(D1882="","",YEAR(D1882))</f>
        <v/>
      </c>
      <c r="P1882" s="5"/>
    </row>
    <row r="1883" customFormat="false" ht="15" hidden="false" customHeight="false" outlineLevel="0" collapsed="false">
      <c r="A1883" s="27"/>
      <c r="B1883" s="5"/>
      <c r="C1883" s="35"/>
      <c r="D1883" s="18"/>
      <c r="E1883" s="5"/>
      <c r="F1883" s="14"/>
      <c r="G1883" s="5"/>
      <c r="H1883" s="27"/>
      <c r="I1883" s="5"/>
      <c r="J1883" s="19" t="str">
        <f aca="false">IF(A1883="","",IFERROR(INDEX(Empresas!$D:$D,MATCH(A1883,Empresas!$A:$A,0))&amp;"","não consta"))</f>
        <v/>
      </c>
      <c r="K1883" s="19" t="str">
        <f aca="false">IF(A1883="","",IFERROR(INDEX(Sancoes!$B:$B,MATCH(A1883,Sancoes!$A:$A,0))&amp;"","não consta"))</f>
        <v/>
      </c>
      <c r="L1883" s="19" t="str">
        <f aca="false">IF(A1883="","",IFERROR(INDEX(Eleitoral!$B:$B,MATCH(A1883,Eleitoral!$A:$A,0))&amp;"","não consta"))</f>
        <v/>
      </c>
      <c r="M1883" s="28" t="str">
        <f aca="false">IF(A1883="","",IF(OR(AND(K1883&lt;&gt;"",LOWER(K1883)&lt;&gt;"não consta"),AND(L1883&lt;&gt;"",LOWER(L1883)&lt;&gt;"não consta"),IFERROR(INDEX(Empresas!$G:$G,MATCH(A1883,Empresas!$A:$A,0))&amp;"","")&lt;&gt;""),"SIM",""))</f>
        <v/>
      </c>
      <c r="N1883" s="5"/>
      <c r="O1883" s="32" t="str">
        <f aca="false">IF(D1883="","",YEAR(D1883))</f>
        <v/>
      </c>
      <c r="P1883" s="5"/>
    </row>
    <row r="1884" customFormat="false" ht="15" hidden="false" customHeight="false" outlineLevel="0" collapsed="false">
      <c r="A1884" s="27"/>
      <c r="B1884" s="5"/>
      <c r="C1884" s="35"/>
      <c r="D1884" s="18"/>
      <c r="E1884" s="5"/>
      <c r="F1884" s="14"/>
      <c r="G1884" s="5"/>
      <c r="H1884" s="27"/>
      <c r="I1884" s="5"/>
      <c r="J1884" s="19" t="str">
        <f aca="false">IF(A1884="","",IFERROR(INDEX(Empresas!$D:$D,MATCH(A1884,Empresas!$A:$A,0))&amp;"","não consta"))</f>
        <v/>
      </c>
      <c r="K1884" s="19" t="str">
        <f aca="false">IF(A1884="","",IFERROR(INDEX(Sancoes!$B:$B,MATCH(A1884,Sancoes!$A:$A,0))&amp;"","não consta"))</f>
        <v/>
      </c>
      <c r="L1884" s="19" t="str">
        <f aca="false">IF(A1884="","",IFERROR(INDEX(Eleitoral!$B:$B,MATCH(A1884,Eleitoral!$A:$A,0))&amp;"","não consta"))</f>
        <v/>
      </c>
      <c r="M1884" s="28" t="str">
        <f aca="false">IF(A1884="","",IF(OR(AND(K1884&lt;&gt;"",LOWER(K1884)&lt;&gt;"não consta"),AND(L1884&lt;&gt;"",LOWER(L1884)&lt;&gt;"não consta"),IFERROR(INDEX(Empresas!$G:$G,MATCH(A1884,Empresas!$A:$A,0))&amp;"","")&lt;&gt;""),"SIM",""))</f>
        <v/>
      </c>
      <c r="N1884" s="5"/>
      <c r="O1884" s="32" t="str">
        <f aca="false">IF(D1884="","",YEAR(D1884))</f>
        <v/>
      </c>
      <c r="P1884" s="5"/>
    </row>
    <row r="1885" customFormat="false" ht="15" hidden="false" customHeight="false" outlineLevel="0" collapsed="false">
      <c r="A1885" s="27"/>
      <c r="B1885" s="5"/>
      <c r="C1885" s="35"/>
      <c r="D1885" s="18"/>
      <c r="E1885" s="5"/>
      <c r="F1885" s="14"/>
      <c r="G1885" s="5"/>
      <c r="H1885" s="27"/>
      <c r="I1885" s="5"/>
      <c r="J1885" s="19" t="str">
        <f aca="false">IF(A1885="","",IFERROR(INDEX(Empresas!$D:$D,MATCH(A1885,Empresas!$A:$A,0))&amp;"","não consta"))</f>
        <v/>
      </c>
      <c r="K1885" s="19" t="str">
        <f aca="false">IF(A1885="","",IFERROR(INDEX(Sancoes!$B:$B,MATCH(A1885,Sancoes!$A:$A,0))&amp;"","não consta"))</f>
        <v/>
      </c>
      <c r="L1885" s="19" t="str">
        <f aca="false">IF(A1885="","",IFERROR(INDEX(Eleitoral!$B:$B,MATCH(A1885,Eleitoral!$A:$A,0))&amp;"","não consta"))</f>
        <v/>
      </c>
      <c r="M1885" s="28" t="str">
        <f aca="false">IF(A1885="","",IF(OR(AND(K1885&lt;&gt;"",LOWER(K1885)&lt;&gt;"não consta"),AND(L1885&lt;&gt;"",LOWER(L1885)&lt;&gt;"não consta"),IFERROR(INDEX(Empresas!$G:$G,MATCH(A1885,Empresas!$A:$A,0))&amp;"","")&lt;&gt;""),"SIM",""))</f>
        <v/>
      </c>
      <c r="N1885" s="5"/>
      <c r="O1885" s="32" t="str">
        <f aca="false">IF(D1885="","",YEAR(D1885))</f>
        <v/>
      </c>
      <c r="P1885" s="5"/>
    </row>
    <row r="1886" customFormat="false" ht="15" hidden="false" customHeight="false" outlineLevel="0" collapsed="false">
      <c r="A1886" s="27"/>
      <c r="B1886" s="5"/>
      <c r="C1886" s="35"/>
      <c r="D1886" s="18"/>
      <c r="E1886" s="5"/>
      <c r="F1886" s="14"/>
      <c r="G1886" s="5"/>
      <c r="H1886" s="27"/>
      <c r="I1886" s="5"/>
      <c r="J1886" s="19" t="str">
        <f aca="false">IF(A1886="","",IFERROR(INDEX(Empresas!$D:$D,MATCH(A1886,Empresas!$A:$A,0))&amp;"","não consta"))</f>
        <v/>
      </c>
      <c r="K1886" s="19" t="str">
        <f aca="false">IF(A1886="","",IFERROR(INDEX(Sancoes!$B:$B,MATCH(A1886,Sancoes!$A:$A,0))&amp;"","não consta"))</f>
        <v/>
      </c>
      <c r="L1886" s="19" t="str">
        <f aca="false">IF(A1886="","",IFERROR(INDEX(Eleitoral!$B:$B,MATCH(A1886,Eleitoral!$A:$A,0))&amp;"","não consta"))</f>
        <v/>
      </c>
      <c r="M1886" s="28" t="str">
        <f aca="false">IF(A1886="","",IF(OR(AND(K1886&lt;&gt;"",LOWER(K1886)&lt;&gt;"não consta"),AND(L1886&lt;&gt;"",LOWER(L1886)&lt;&gt;"não consta"),IFERROR(INDEX(Empresas!$G:$G,MATCH(A1886,Empresas!$A:$A,0))&amp;"","")&lt;&gt;""),"SIM",""))</f>
        <v/>
      </c>
      <c r="N1886" s="5"/>
      <c r="O1886" s="32" t="str">
        <f aca="false">IF(D1886="","",YEAR(D1886))</f>
        <v/>
      </c>
      <c r="P1886" s="5"/>
    </row>
    <row r="1887" customFormat="false" ht="15" hidden="false" customHeight="false" outlineLevel="0" collapsed="false">
      <c r="A1887" s="27"/>
      <c r="B1887" s="5"/>
      <c r="C1887" s="35"/>
      <c r="D1887" s="18"/>
      <c r="E1887" s="5"/>
      <c r="F1887" s="14"/>
      <c r="G1887" s="5"/>
      <c r="H1887" s="27"/>
      <c r="I1887" s="5"/>
      <c r="J1887" s="19" t="str">
        <f aca="false">IF(A1887="","",IFERROR(INDEX(Empresas!$D:$D,MATCH(A1887,Empresas!$A:$A,0))&amp;"","não consta"))</f>
        <v/>
      </c>
      <c r="K1887" s="19" t="str">
        <f aca="false">IF(A1887="","",IFERROR(INDEX(Sancoes!$B:$B,MATCH(A1887,Sancoes!$A:$A,0))&amp;"","não consta"))</f>
        <v/>
      </c>
      <c r="L1887" s="19" t="str">
        <f aca="false">IF(A1887="","",IFERROR(INDEX(Eleitoral!$B:$B,MATCH(A1887,Eleitoral!$A:$A,0))&amp;"","não consta"))</f>
        <v/>
      </c>
      <c r="M1887" s="28" t="str">
        <f aca="false">IF(A1887="","",IF(OR(AND(K1887&lt;&gt;"",LOWER(K1887)&lt;&gt;"não consta"),AND(L1887&lt;&gt;"",LOWER(L1887)&lt;&gt;"não consta"),IFERROR(INDEX(Empresas!$G:$G,MATCH(A1887,Empresas!$A:$A,0))&amp;"","")&lt;&gt;""),"SIM",""))</f>
        <v/>
      </c>
      <c r="N1887" s="5"/>
      <c r="O1887" s="32" t="str">
        <f aca="false">IF(D1887="","",YEAR(D1887))</f>
        <v/>
      </c>
      <c r="P1887" s="5"/>
    </row>
    <row r="1888" customFormat="false" ht="15" hidden="false" customHeight="false" outlineLevel="0" collapsed="false">
      <c r="A1888" s="27"/>
      <c r="B1888" s="5"/>
      <c r="C1888" s="35"/>
      <c r="D1888" s="18"/>
      <c r="E1888" s="5"/>
      <c r="F1888" s="14"/>
      <c r="G1888" s="5"/>
      <c r="H1888" s="27"/>
      <c r="I1888" s="5"/>
      <c r="J1888" s="19" t="str">
        <f aca="false">IF(A1888="","",IFERROR(INDEX(Empresas!$D:$D,MATCH(A1888,Empresas!$A:$A,0))&amp;"","não consta"))</f>
        <v/>
      </c>
      <c r="K1888" s="19" t="str">
        <f aca="false">IF(A1888="","",IFERROR(INDEX(Sancoes!$B:$B,MATCH(A1888,Sancoes!$A:$A,0))&amp;"","não consta"))</f>
        <v/>
      </c>
      <c r="L1888" s="19" t="str">
        <f aca="false">IF(A1888="","",IFERROR(INDEX(Eleitoral!$B:$B,MATCH(A1888,Eleitoral!$A:$A,0))&amp;"","não consta"))</f>
        <v/>
      </c>
      <c r="M1888" s="28" t="str">
        <f aca="false">IF(A1888="","",IF(OR(AND(K1888&lt;&gt;"",LOWER(K1888)&lt;&gt;"não consta"),AND(L1888&lt;&gt;"",LOWER(L1888)&lt;&gt;"não consta"),IFERROR(INDEX(Empresas!$G:$G,MATCH(A1888,Empresas!$A:$A,0))&amp;"","")&lt;&gt;""),"SIM",""))</f>
        <v/>
      </c>
      <c r="N1888" s="5"/>
      <c r="O1888" s="32" t="str">
        <f aca="false">IF(D1888="","",YEAR(D1888))</f>
        <v/>
      </c>
      <c r="P1888" s="5"/>
    </row>
    <row r="1889" customFormat="false" ht="15" hidden="false" customHeight="false" outlineLevel="0" collapsed="false">
      <c r="A1889" s="27"/>
      <c r="B1889" s="5"/>
      <c r="C1889" s="35"/>
      <c r="D1889" s="18"/>
      <c r="E1889" s="5"/>
      <c r="F1889" s="14"/>
      <c r="G1889" s="5"/>
      <c r="H1889" s="27"/>
      <c r="I1889" s="5"/>
      <c r="J1889" s="19" t="str">
        <f aca="false">IF(A1889="","",IFERROR(INDEX(Empresas!$D:$D,MATCH(A1889,Empresas!$A:$A,0))&amp;"","não consta"))</f>
        <v/>
      </c>
      <c r="K1889" s="19" t="str">
        <f aca="false">IF(A1889="","",IFERROR(INDEX(Sancoes!$B:$B,MATCH(A1889,Sancoes!$A:$A,0))&amp;"","não consta"))</f>
        <v/>
      </c>
      <c r="L1889" s="19" t="str">
        <f aca="false">IF(A1889="","",IFERROR(INDEX(Eleitoral!$B:$B,MATCH(A1889,Eleitoral!$A:$A,0))&amp;"","não consta"))</f>
        <v/>
      </c>
      <c r="M1889" s="28" t="str">
        <f aca="false">IF(A1889="","",IF(OR(AND(K1889&lt;&gt;"",LOWER(K1889)&lt;&gt;"não consta"),AND(L1889&lt;&gt;"",LOWER(L1889)&lt;&gt;"não consta"),IFERROR(INDEX(Empresas!$G:$G,MATCH(A1889,Empresas!$A:$A,0))&amp;"","")&lt;&gt;""),"SIM",""))</f>
        <v/>
      </c>
      <c r="N1889" s="5"/>
      <c r="O1889" s="32" t="str">
        <f aca="false">IF(D1889="","",YEAR(D1889))</f>
        <v/>
      </c>
      <c r="P1889" s="5"/>
    </row>
    <row r="1890" customFormat="false" ht="15" hidden="false" customHeight="false" outlineLevel="0" collapsed="false">
      <c r="A1890" s="27"/>
      <c r="B1890" s="5"/>
      <c r="C1890" s="35"/>
      <c r="D1890" s="18"/>
      <c r="E1890" s="5"/>
      <c r="F1890" s="14"/>
      <c r="G1890" s="5"/>
      <c r="H1890" s="27"/>
      <c r="I1890" s="5"/>
      <c r="J1890" s="19" t="str">
        <f aca="false">IF(A1890="","",IFERROR(INDEX(Empresas!$D:$D,MATCH(A1890,Empresas!$A:$A,0))&amp;"","não consta"))</f>
        <v/>
      </c>
      <c r="K1890" s="19" t="str">
        <f aca="false">IF(A1890="","",IFERROR(INDEX(Sancoes!$B:$B,MATCH(A1890,Sancoes!$A:$A,0))&amp;"","não consta"))</f>
        <v/>
      </c>
      <c r="L1890" s="19" t="str">
        <f aca="false">IF(A1890="","",IFERROR(INDEX(Eleitoral!$B:$B,MATCH(A1890,Eleitoral!$A:$A,0))&amp;"","não consta"))</f>
        <v/>
      </c>
      <c r="M1890" s="28" t="str">
        <f aca="false">IF(A1890="","",IF(OR(AND(K1890&lt;&gt;"",LOWER(K1890)&lt;&gt;"não consta"),AND(L1890&lt;&gt;"",LOWER(L1890)&lt;&gt;"não consta"),IFERROR(INDEX(Empresas!$G:$G,MATCH(A1890,Empresas!$A:$A,0))&amp;"","")&lt;&gt;""),"SIM",""))</f>
        <v/>
      </c>
      <c r="N1890" s="5"/>
      <c r="O1890" s="32" t="str">
        <f aca="false">IF(D1890="","",YEAR(D1890))</f>
        <v/>
      </c>
      <c r="P1890" s="5"/>
    </row>
    <row r="1891" customFormat="false" ht="15" hidden="false" customHeight="false" outlineLevel="0" collapsed="false">
      <c r="A1891" s="27"/>
      <c r="B1891" s="5"/>
      <c r="C1891" s="35"/>
      <c r="D1891" s="18"/>
      <c r="E1891" s="5"/>
      <c r="F1891" s="14"/>
      <c r="G1891" s="5"/>
      <c r="H1891" s="27"/>
      <c r="I1891" s="5"/>
      <c r="J1891" s="19" t="str">
        <f aca="false">IF(A1891="","",IFERROR(INDEX(Empresas!$D:$D,MATCH(A1891,Empresas!$A:$A,0))&amp;"","não consta"))</f>
        <v/>
      </c>
      <c r="K1891" s="19" t="str">
        <f aca="false">IF(A1891="","",IFERROR(INDEX(Sancoes!$B:$B,MATCH(A1891,Sancoes!$A:$A,0))&amp;"","não consta"))</f>
        <v/>
      </c>
      <c r="L1891" s="19" t="str">
        <f aca="false">IF(A1891="","",IFERROR(INDEX(Eleitoral!$B:$B,MATCH(A1891,Eleitoral!$A:$A,0))&amp;"","não consta"))</f>
        <v/>
      </c>
      <c r="M1891" s="28" t="str">
        <f aca="false">IF(A1891="","",IF(OR(AND(K1891&lt;&gt;"",LOWER(K1891)&lt;&gt;"não consta"),AND(L1891&lt;&gt;"",LOWER(L1891)&lt;&gt;"não consta"),IFERROR(INDEX(Empresas!$G:$G,MATCH(A1891,Empresas!$A:$A,0))&amp;"","")&lt;&gt;""),"SIM",""))</f>
        <v/>
      </c>
      <c r="N1891" s="5"/>
      <c r="O1891" s="32" t="str">
        <f aca="false">IF(D1891="","",YEAR(D1891))</f>
        <v/>
      </c>
      <c r="P1891" s="5"/>
    </row>
    <row r="1892" customFormat="false" ht="15" hidden="false" customHeight="false" outlineLevel="0" collapsed="false">
      <c r="A1892" s="27"/>
      <c r="B1892" s="5"/>
      <c r="C1892" s="35"/>
      <c r="D1892" s="18"/>
      <c r="E1892" s="5"/>
      <c r="F1892" s="14"/>
      <c r="G1892" s="5"/>
      <c r="H1892" s="27"/>
      <c r="I1892" s="5"/>
      <c r="J1892" s="19" t="str">
        <f aca="false">IF(A1892="","",IFERROR(INDEX(Empresas!$D:$D,MATCH(A1892,Empresas!$A:$A,0))&amp;"","não consta"))</f>
        <v/>
      </c>
      <c r="K1892" s="19" t="str">
        <f aca="false">IF(A1892="","",IFERROR(INDEX(Sancoes!$B:$B,MATCH(A1892,Sancoes!$A:$A,0))&amp;"","não consta"))</f>
        <v/>
      </c>
      <c r="L1892" s="19" t="str">
        <f aca="false">IF(A1892="","",IFERROR(INDEX(Eleitoral!$B:$B,MATCH(A1892,Eleitoral!$A:$A,0))&amp;"","não consta"))</f>
        <v/>
      </c>
      <c r="M1892" s="28" t="str">
        <f aca="false">IF(A1892="","",IF(OR(AND(K1892&lt;&gt;"",LOWER(K1892)&lt;&gt;"não consta"),AND(L1892&lt;&gt;"",LOWER(L1892)&lt;&gt;"não consta"),IFERROR(INDEX(Empresas!$G:$G,MATCH(A1892,Empresas!$A:$A,0))&amp;"","")&lt;&gt;""),"SIM",""))</f>
        <v/>
      </c>
      <c r="N1892" s="5"/>
      <c r="O1892" s="32" t="str">
        <f aca="false">IF(D1892="","",YEAR(D1892))</f>
        <v/>
      </c>
      <c r="P1892" s="5"/>
    </row>
    <row r="1893" customFormat="false" ht="15" hidden="false" customHeight="false" outlineLevel="0" collapsed="false">
      <c r="A1893" s="27"/>
      <c r="B1893" s="5"/>
      <c r="C1893" s="35"/>
      <c r="D1893" s="18"/>
      <c r="E1893" s="5"/>
      <c r="F1893" s="14"/>
      <c r="G1893" s="5"/>
      <c r="H1893" s="27"/>
      <c r="I1893" s="5"/>
      <c r="J1893" s="19" t="str">
        <f aca="false">IF(A1893="","",IFERROR(INDEX(Empresas!$D:$D,MATCH(A1893,Empresas!$A:$A,0))&amp;"","não consta"))</f>
        <v/>
      </c>
      <c r="K1893" s="19" t="str">
        <f aca="false">IF(A1893="","",IFERROR(INDEX(Sancoes!$B:$B,MATCH(A1893,Sancoes!$A:$A,0))&amp;"","não consta"))</f>
        <v/>
      </c>
      <c r="L1893" s="19" t="str">
        <f aca="false">IF(A1893="","",IFERROR(INDEX(Eleitoral!$B:$B,MATCH(A1893,Eleitoral!$A:$A,0))&amp;"","não consta"))</f>
        <v/>
      </c>
      <c r="M1893" s="28" t="str">
        <f aca="false">IF(A1893="","",IF(OR(AND(K1893&lt;&gt;"",LOWER(K1893)&lt;&gt;"não consta"),AND(L1893&lt;&gt;"",LOWER(L1893)&lt;&gt;"não consta"),IFERROR(INDEX(Empresas!$G:$G,MATCH(A1893,Empresas!$A:$A,0))&amp;"","")&lt;&gt;""),"SIM",""))</f>
        <v/>
      </c>
      <c r="N1893" s="5"/>
      <c r="O1893" s="32" t="str">
        <f aca="false">IF(D1893="","",YEAR(D1893))</f>
        <v/>
      </c>
      <c r="P1893" s="5"/>
    </row>
    <row r="1894" customFormat="false" ht="15" hidden="false" customHeight="false" outlineLevel="0" collapsed="false">
      <c r="A1894" s="27"/>
      <c r="B1894" s="5"/>
      <c r="C1894" s="35"/>
      <c r="D1894" s="18"/>
      <c r="E1894" s="5"/>
      <c r="F1894" s="14"/>
      <c r="G1894" s="5"/>
      <c r="H1894" s="27"/>
      <c r="I1894" s="5"/>
      <c r="J1894" s="19" t="str">
        <f aca="false">IF(A1894="","",IFERROR(INDEX(Empresas!$D:$D,MATCH(A1894,Empresas!$A:$A,0))&amp;"","não consta"))</f>
        <v/>
      </c>
      <c r="K1894" s="19" t="str">
        <f aca="false">IF(A1894="","",IFERROR(INDEX(Sancoes!$B:$B,MATCH(A1894,Sancoes!$A:$A,0))&amp;"","não consta"))</f>
        <v/>
      </c>
      <c r="L1894" s="19" t="str">
        <f aca="false">IF(A1894="","",IFERROR(INDEX(Eleitoral!$B:$B,MATCH(A1894,Eleitoral!$A:$A,0))&amp;"","não consta"))</f>
        <v/>
      </c>
      <c r="M1894" s="28" t="str">
        <f aca="false">IF(A1894="","",IF(OR(AND(K1894&lt;&gt;"",LOWER(K1894)&lt;&gt;"não consta"),AND(L1894&lt;&gt;"",LOWER(L1894)&lt;&gt;"não consta"),IFERROR(INDEX(Empresas!$G:$G,MATCH(A1894,Empresas!$A:$A,0))&amp;"","")&lt;&gt;""),"SIM",""))</f>
        <v/>
      </c>
      <c r="N1894" s="5"/>
      <c r="O1894" s="32" t="str">
        <f aca="false">IF(D1894="","",YEAR(D1894))</f>
        <v/>
      </c>
      <c r="P1894" s="5"/>
    </row>
    <row r="1895" customFormat="false" ht="15" hidden="false" customHeight="false" outlineLevel="0" collapsed="false">
      <c r="A1895" s="27"/>
      <c r="B1895" s="5"/>
      <c r="C1895" s="35"/>
      <c r="D1895" s="18"/>
      <c r="E1895" s="5"/>
      <c r="F1895" s="14"/>
      <c r="G1895" s="5"/>
      <c r="H1895" s="27"/>
      <c r="I1895" s="5"/>
      <c r="J1895" s="19" t="str">
        <f aca="false">IF(A1895="","",IFERROR(INDEX(Empresas!$D:$D,MATCH(A1895,Empresas!$A:$A,0))&amp;"","não consta"))</f>
        <v/>
      </c>
      <c r="K1895" s="19" t="str">
        <f aca="false">IF(A1895="","",IFERROR(INDEX(Sancoes!$B:$B,MATCH(A1895,Sancoes!$A:$A,0))&amp;"","não consta"))</f>
        <v/>
      </c>
      <c r="L1895" s="19" t="str">
        <f aca="false">IF(A1895="","",IFERROR(INDEX(Eleitoral!$B:$B,MATCH(A1895,Eleitoral!$A:$A,0))&amp;"","não consta"))</f>
        <v/>
      </c>
      <c r="M1895" s="28" t="str">
        <f aca="false">IF(A1895="","",IF(OR(AND(K1895&lt;&gt;"",LOWER(K1895)&lt;&gt;"não consta"),AND(L1895&lt;&gt;"",LOWER(L1895)&lt;&gt;"não consta"),IFERROR(INDEX(Empresas!$G:$G,MATCH(A1895,Empresas!$A:$A,0))&amp;"","")&lt;&gt;""),"SIM",""))</f>
        <v/>
      </c>
      <c r="N1895" s="5"/>
      <c r="O1895" s="32" t="str">
        <f aca="false">IF(D1895="","",YEAR(D1895))</f>
        <v/>
      </c>
      <c r="P1895" s="5"/>
    </row>
    <row r="1896" customFormat="false" ht="15" hidden="false" customHeight="false" outlineLevel="0" collapsed="false">
      <c r="A1896" s="27"/>
      <c r="B1896" s="5"/>
      <c r="C1896" s="35"/>
      <c r="D1896" s="18"/>
      <c r="E1896" s="5"/>
      <c r="F1896" s="14"/>
      <c r="G1896" s="5"/>
      <c r="H1896" s="27"/>
      <c r="I1896" s="5"/>
      <c r="J1896" s="19" t="str">
        <f aca="false">IF(A1896="","",IFERROR(INDEX(Empresas!$D:$D,MATCH(A1896,Empresas!$A:$A,0))&amp;"","não consta"))</f>
        <v/>
      </c>
      <c r="K1896" s="19" t="str">
        <f aca="false">IF(A1896="","",IFERROR(INDEX(Sancoes!$B:$B,MATCH(A1896,Sancoes!$A:$A,0))&amp;"","não consta"))</f>
        <v/>
      </c>
      <c r="L1896" s="19" t="str">
        <f aca="false">IF(A1896="","",IFERROR(INDEX(Eleitoral!$B:$B,MATCH(A1896,Eleitoral!$A:$A,0))&amp;"","não consta"))</f>
        <v/>
      </c>
      <c r="M1896" s="28" t="str">
        <f aca="false">IF(A1896="","",IF(OR(AND(K1896&lt;&gt;"",LOWER(K1896)&lt;&gt;"não consta"),AND(L1896&lt;&gt;"",LOWER(L1896)&lt;&gt;"não consta"),IFERROR(INDEX(Empresas!$G:$G,MATCH(A1896,Empresas!$A:$A,0))&amp;"","")&lt;&gt;""),"SIM",""))</f>
        <v/>
      </c>
      <c r="N1896" s="5"/>
      <c r="O1896" s="32" t="str">
        <f aca="false">IF(D1896="","",YEAR(D1896))</f>
        <v/>
      </c>
      <c r="P1896" s="5"/>
    </row>
    <row r="1897" customFormat="false" ht="15" hidden="false" customHeight="false" outlineLevel="0" collapsed="false">
      <c r="A1897" s="27"/>
      <c r="B1897" s="5"/>
      <c r="C1897" s="35"/>
      <c r="D1897" s="18"/>
      <c r="E1897" s="5"/>
      <c r="F1897" s="14"/>
      <c r="G1897" s="5"/>
      <c r="H1897" s="27"/>
      <c r="I1897" s="5"/>
      <c r="J1897" s="19" t="str">
        <f aca="false">IF(A1897="","",IFERROR(INDEX(Empresas!$D:$D,MATCH(A1897,Empresas!$A:$A,0))&amp;"","não consta"))</f>
        <v/>
      </c>
      <c r="K1897" s="19" t="str">
        <f aca="false">IF(A1897="","",IFERROR(INDEX(Sancoes!$B:$B,MATCH(A1897,Sancoes!$A:$A,0))&amp;"","não consta"))</f>
        <v/>
      </c>
      <c r="L1897" s="19" t="str">
        <f aca="false">IF(A1897="","",IFERROR(INDEX(Eleitoral!$B:$B,MATCH(A1897,Eleitoral!$A:$A,0))&amp;"","não consta"))</f>
        <v/>
      </c>
      <c r="M1897" s="28" t="str">
        <f aca="false">IF(A1897="","",IF(OR(AND(K1897&lt;&gt;"",LOWER(K1897)&lt;&gt;"não consta"),AND(L1897&lt;&gt;"",LOWER(L1897)&lt;&gt;"não consta"),IFERROR(INDEX(Empresas!$G:$G,MATCH(A1897,Empresas!$A:$A,0))&amp;"","")&lt;&gt;""),"SIM",""))</f>
        <v/>
      </c>
      <c r="N1897" s="5"/>
      <c r="O1897" s="32" t="str">
        <f aca="false">IF(D1897="","",YEAR(D1897))</f>
        <v/>
      </c>
      <c r="P1897" s="5"/>
    </row>
    <row r="1898" customFormat="false" ht="15" hidden="false" customHeight="false" outlineLevel="0" collapsed="false">
      <c r="A1898" s="27"/>
      <c r="B1898" s="5"/>
      <c r="C1898" s="35"/>
      <c r="D1898" s="18"/>
      <c r="E1898" s="5"/>
      <c r="F1898" s="14"/>
      <c r="G1898" s="5"/>
      <c r="H1898" s="27"/>
      <c r="I1898" s="5"/>
      <c r="J1898" s="19" t="str">
        <f aca="false">IF(A1898="","",IFERROR(INDEX(Empresas!$D:$D,MATCH(A1898,Empresas!$A:$A,0))&amp;"","não consta"))</f>
        <v/>
      </c>
      <c r="K1898" s="19" t="str">
        <f aca="false">IF(A1898="","",IFERROR(INDEX(Sancoes!$B:$B,MATCH(A1898,Sancoes!$A:$A,0))&amp;"","não consta"))</f>
        <v/>
      </c>
      <c r="L1898" s="19" t="str">
        <f aca="false">IF(A1898="","",IFERROR(INDEX(Eleitoral!$B:$B,MATCH(A1898,Eleitoral!$A:$A,0))&amp;"","não consta"))</f>
        <v/>
      </c>
      <c r="M1898" s="28" t="str">
        <f aca="false">IF(A1898="","",IF(OR(AND(K1898&lt;&gt;"",LOWER(K1898)&lt;&gt;"não consta"),AND(L1898&lt;&gt;"",LOWER(L1898)&lt;&gt;"não consta"),IFERROR(INDEX(Empresas!$G:$G,MATCH(A1898,Empresas!$A:$A,0))&amp;"","")&lt;&gt;""),"SIM",""))</f>
        <v/>
      </c>
      <c r="N1898" s="5"/>
      <c r="O1898" s="32" t="str">
        <f aca="false">IF(D1898="","",YEAR(D1898))</f>
        <v/>
      </c>
      <c r="P1898" s="5"/>
    </row>
    <row r="1899" customFormat="false" ht="15" hidden="false" customHeight="false" outlineLevel="0" collapsed="false">
      <c r="A1899" s="27"/>
      <c r="B1899" s="5"/>
      <c r="C1899" s="35"/>
      <c r="D1899" s="18"/>
      <c r="E1899" s="5"/>
      <c r="F1899" s="14"/>
      <c r="G1899" s="5"/>
      <c r="H1899" s="27"/>
      <c r="I1899" s="5"/>
      <c r="J1899" s="19" t="str">
        <f aca="false">IF(A1899="","",IFERROR(INDEX(Empresas!$D:$D,MATCH(A1899,Empresas!$A:$A,0))&amp;"","não consta"))</f>
        <v/>
      </c>
      <c r="K1899" s="19" t="str">
        <f aca="false">IF(A1899="","",IFERROR(INDEX(Sancoes!$B:$B,MATCH(A1899,Sancoes!$A:$A,0))&amp;"","não consta"))</f>
        <v/>
      </c>
      <c r="L1899" s="19" t="str">
        <f aca="false">IF(A1899="","",IFERROR(INDEX(Eleitoral!$B:$B,MATCH(A1899,Eleitoral!$A:$A,0))&amp;"","não consta"))</f>
        <v/>
      </c>
      <c r="M1899" s="28" t="str">
        <f aca="false">IF(A1899="","",IF(OR(AND(K1899&lt;&gt;"",LOWER(K1899)&lt;&gt;"não consta"),AND(L1899&lt;&gt;"",LOWER(L1899)&lt;&gt;"não consta"),IFERROR(INDEX(Empresas!$G:$G,MATCH(A1899,Empresas!$A:$A,0))&amp;"","")&lt;&gt;""),"SIM",""))</f>
        <v/>
      </c>
      <c r="N1899" s="5"/>
      <c r="O1899" s="32" t="str">
        <f aca="false">IF(D1899="","",YEAR(D1899))</f>
        <v/>
      </c>
      <c r="P1899" s="5"/>
    </row>
    <row r="1900" customFormat="false" ht="15" hidden="false" customHeight="false" outlineLevel="0" collapsed="false">
      <c r="A1900" s="27"/>
      <c r="B1900" s="5"/>
      <c r="C1900" s="35"/>
      <c r="D1900" s="18"/>
      <c r="E1900" s="5"/>
      <c r="F1900" s="14"/>
      <c r="G1900" s="5"/>
      <c r="H1900" s="27"/>
      <c r="I1900" s="5"/>
      <c r="J1900" s="19" t="str">
        <f aca="false">IF(A1900="","",IFERROR(INDEX(Empresas!$D:$D,MATCH(A1900,Empresas!$A:$A,0))&amp;"","não consta"))</f>
        <v/>
      </c>
      <c r="K1900" s="19" t="str">
        <f aca="false">IF(A1900="","",IFERROR(INDEX(Sancoes!$B:$B,MATCH(A1900,Sancoes!$A:$A,0))&amp;"","não consta"))</f>
        <v/>
      </c>
      <c r="L1900" s="19" t="str">
        <f aca="false">IF(A1900="","",IFERROR(INDEX(Eleitoral!$B:$B,MATCH(A1900,Eleitoral!$A:$A,0))&amp;"","não consta"))</f>
        <v/>
      </c>
      <c r="M1900" s="28" t="str">
        <f aca="false">IF(A1900="","",IF(OR(AND(K1900&lt;&gt;"",LOWER(K1900)&lt;&gt;"não consta"),AND(L1900&lt;&gt;"",LOWER(L1900)&lt;&gt;"não consta"),IFERROR(INDEX(Empresas!$G:$G,MATCH(A1900,Empresas!$A:$A,0))&amp;"","")&lt;&gt;""),"SIM",""))</f>
        <v/>
      </c>
      <c r="N1900" s="5"/>
      <c r="O1900" s="32" t="str">
        <f aca="false">IF(D1900="","",YEAR(D1900))</f>
        <v/>
      </c>
      <c r="P1900" s="5"/>
    </row>
    <row r="1901" customFormat="false" ht="15" hidden="false" customHeight="false" outlineLevel="0" collapsed="false">
      <c r="A1901" s="27"/>
      <c r="B1901" s="5"/>
      <c r="C1901" s="35"/>
      <c r="D1901" s="18"/>
      <c r="E1901" s="5"/>
      <c r="F1901" s="14"/>
      <c r="G1901" s="5"/>
      <c r="H1901" s="27"/>
      <c r="I1901" s="5"/>
      <c r="J1901" s="19" t="str">
        <f aca="false">IF(A1901="","",IFERROR(INDEX(Empresas!$D:$D,MATCH(A1901,Empresas!$A:$A,0))&amp;"","não consta"))</f>
        <v/>
      </c>
      <c r="K1901" s="19" t="str">
        <f aca="false">IF(A1901="","",IFERROR(INDEX(Sancoes!$B:$B,MATCH(A1901,Sancoes!$A:$A,0))&amp;"","não consta"))</f>
        <v/>
      </c>
      <c r="L1901" s="19" t="str">
        <f aca="false">IF(A1901="","",IFERROR(INDEX(Eleitoral!$B:$B,MATCH(A1901,Eleitoral!$A:$A,0))&amp;"","não consta"))</f>
        <v/>
      </c>
      <c r="M1901" s="28" t="str">
        <f aca="false">IF(A1901="","",IF(OR(AND(K1901&lt;&gt;"",LOWER(K1901)&lt;&gt;"não consta"),AND(L1901&lt;&gt;"",LOWER(L1901)&lt;&gt;"não consta"),IFERROR(INDEX(Empresas!$G:$G,MATCH(A1901,Empresas!$A:$A,0))&amp;"","")&lt;&gt;""),"SIM",""))</f>
        <v/>
      </c>
      <c r="N1901" s="5"/>
      <c r="O1901" s="32" t="str">
        <f aca="false">IF(D1901="","",YEAR(D1901))</f>
        <v/>
      </c>
      <c r="P1901" s="5"/>
    </row>
    <row r="1902" customFormat="false" ht="15" hidden="false" customHeight="false" outlineLevel="0" collapsed="false">
      <c r="A1902" s="27"/>
      <c r="B1902" s="5"/>
      <c r="C1902" s="35"/>
      <c r="D1902" s="18"/>
      <c r="E1902" s="5"/>
      <c r="F1902" s="14"/>
      <c r="G1902" s="5"/>
      <c r="H1902" s="27"/>
      <c r="I1902" s="5"/>
      <c r="J1902" s="19" t="str">
        <f aca="false">IF(A1902="","",IFERROR(INDEX(Empresas!$D:$D,MATCH(A1902,Empresas!$A:$A,0))&amp;"","não consta"))</f>
        <v/>
      </c>
      <c r="K1902" s="19" t="str">
        <f aca="false">IF(A1902="","",IFERROR(INDEX(Sancoes!$B:$B,MATCH(A1902,Sancoes!$A:$A,0))&amp;"","não consta"))</f>
        <v/>
      </c>
      <c r="L1902" s="19" t="str">
        <f aca="false">IF(A1902="","",IFERROR(INDEX(Eleitoral!$B:$B,MATCH(A1902,Eleitoral!$A:$A,0))&amp;"","não consta"))</f>
        <v/>
      </c>
      <c r="M1902" s="28" t="str">
        <f aca="false">IF(A1902="","",IF(OR(AND(K1902&lt;&gt;"",LOWER(K1902)&lt;&gt;"não consta"),AND(L1902&lt;&gt;"",LOWER(L1902)&lt;&gt;"não consta"),IFERROR(INDEX(Empresas!$G:$G,MATCH(A1902,Empresas!$A:$A,0))&amp;"","")&lt;&gt;""),"SIM",""))</f>
        <v/>
      </c>
      <c r="N1902" s="5"/>
      <c r="O1902" s="32" t="str">
        <f aca="false">IF(D1902="","",YEAR(D1902))</f>
        <v/>
      </c>
      <c r="P1902" s="5"/>
    </row>
    <row r="1903" customFormat="false" ht="15" hidden="false" customHeight="false" outlineLevel="0" collapsed="false">
      <c r="A1903" s="27"/>
      <c r="B1903" s="5"/>
      <c r="C1903" s="35"/>
      <c r="D1903" s="18"/>
      <c r="E1903" s="5"/>
      <c r="F1903" s="14"/>
      <c r="G1903" s="5"/>
      <c r="H1903" s="27"/>
      <c r="I1903" s="5"/>
      <c r="J1903" s="19" t="str">
        <f aca="false">IF(A1903="","",IFERROR(INDEX(Empresas!$D:$D,MATCH(A1903,Empresas!$A:$A,0))&amp;"","não consta"))</f>
        <v/>
      </c>
      <c r="K1903" s="19" t="str">
        <f aca="false">IF(A1903="","",IFERROR(INDEX(Sancoes!$B:$B,MATCH(A1903,Sancoes!$A:$A,0))&amp;"","não consta"))</f>
        <v/>
      </c>
      <c r="L1903" s="19" t="str">
        <f aca="false">IF(A1903="","",IFERROR(INDEX(Eleitoral!$B:$B,MATCH(A1903,Eleitoral!$A:$A,0))&amp;"","não consta"))</f>
        <v/>
      </c>
      <c r="M1903" s="28" t="str">
        <f aca="false">IF(A1903="","",IF(OR(AND(K1903&lt;&gt;"",LOWER(K1903)&lt;&gt;"não consta"),AND(L1903&lt;&gt;"",LOWER(L1903)&lt;&gt;"não consta"),IFERROR(INDEX(Empresas!$G:$G,MATCH(A1903,Empresas!$A:$A,0))&amp;"","")&lt;&gt;""),"SIM",""))</f>
        <v/>
      </c>
      <c r="N1903" s="5"/>
      <c r="O1903" s="32" t="str">
        <f aca="false">IF(D1903="","",YEAR(D1903))</f>
        <v/>
      </c>
      <c r="P1903" s="5"/>
    </row>
    <row r="1904" customFormat="false" ht="15" hidden="false" customHeight="false" outlineLevel="0" collapsed="false">
      <c r="A1904" s="27"/>
      <c r="B1904" s="5"/>
      <c r="C1904" s="35"/>
      <c r="D1904" s="18"/>
      <c r="E1904" s="5"/>
      <c r="F1904" s="14"/>
      <c r="G1904" s="5"/>
      <c r="H1904" s="27"/>
      <c r="I1904" s="5"/>
      <c r="J1904" s="19" t="str">
        <f aca="false">IF(A1904="","",IFERROR(INDEX(Empresas!$D:$D,MATCH(A1904,Empresas!$A:$A,0))&amp;"","não consta"))</f>
        <v/>
      </c>
      <c r="K1904" s="19" t="str">
        <f aca="false">IF(A1904="","",IFERROR(INDEX(Sancoes!$B:$B,MATCH(A1904,Sancoes!$A:$A,0))&amp;"","não consta"))</f>
        <v/>
      </c>
      <c r="L1904" s="19" t="str">
        <f aca="false">IF(A1904="","",IFERROR(INDEX(Eleitoral!$B:$B,MATCH(A1904,Eleitoral!$A:$A,0))&amp;"","não consta"))</f>
        <v/>
      </c>
      <c r="M1904" s="28" t="str">
        <f aca="false">IF(A1904="","",IF(OR(AND(K1904&lt;&gt;"",LOWER(K1904)&lt;&gt;"não consta"),AND(L1904&lt;&gt;"",LOWER(L1904)&lt;&gt;"não consta"),IFERROR(INDEX(Empresas!$G:$G,MATCH(A1904,Empresas!$A:$A,0))&amp;"","")&lt;&gt;""),"SIM",""))</f>
        <v/>
      </c>
      <c r="N1904" s="5"/>
      <c r="O1904" s="32" t="str">
        <f aca="false">IF(D1904="","",YEAR(D1904))</f>
        <v/>
      </c>
      <c r="P1904" s="5"/>
    </row>
    <row r="1905" customFormat="false" ht="15" hidden="false" customHeight="false" outlineLevel="0" collapsed="false">
      <c r="A1905" s="27"/>
      <c r="B1905" s="5"/>
      <c r="C1905" s="35"/>
      <c r="D1905" s="18"/>
      <c r="E1905" s="5"/>
      <c r="F1905" s="14"/>
      <c r="G1905" s="5"/>
      <c r="H1905" s="27"/>
      <c r="I1905" s="5"/>
      <c r="J1905" s="19" t="str">
        <f aca="false">IF(A1905="","",IFERROR(INDEX(Empresas!$D:$D,MATCH(A1905,Empresas!$A:$A,0))&amp;"","não consta"))</f>
        <v/>
      </c>
      <c r="K1905" s="19" t="str">
        <f aca="false">IF(A1905="","",IFERROR(INDEX(Sancoes!$B:$B,MATCH(A1905,Sancoes!$A:$A,0))&amp;"","não consta"))</f>
        <v/>
      </c>
      <c r="L1905" s="19" t="str">
        <f aca="false">IF(A1905="","",IFERROR(INDEX(Eleitoral!$B:$B,MATCH(A1905,Eleitoral!$A:$A,0))&amp;"","não consta"))</f>
        <v/>
      </c>
      <c r="M1905" s="28" t="str">
        <f aca="false">IF(A1905="","",IF(OR(AND(K1905&lt;&gt;"",LOWER(K1905)&lt;&gt;"não consta"),AND(L1905&lt;&gt;"",LOWER(L1905)&lt;&gt;"não consta"),IFERROR(INDEX(Empresas!$G:$G,MATCH(A1905,Empresas!$A:$A,0))&amp;"","")&lt;&gt;""),"SIM",""))</f>
        <v/>
      </c>
      <c r="N1905" s="5"/>
      <c r="O1905" s="32" t="str">
        <f aca="false">IF(D1905="","",YEAR(D1905))</f>
        <v/>
      </c>
      <c r="P1905" s="5"/>
    </row>
    <row r="1906" customFormat="false" ht="15" hidden="false" customHeight="false" outlineLevel="0" collapsed="false">
      <c r="A1906" s="27"/>
      <c r="B1906" s="5"/>
      <c r="C1906" s="35"/>
      <c r="D1906" s="18"/>
      <c r="E1906" s="5"/>
      <c r="F1906" s="14"/>
      <c r="G1906" s="5"/>
      <c r="H1906" s="27"/>
      <c r="I1906" s="5"/>
      <c r="J1906" s="19" t="str">
        <f aca="false">IF(A1906="","",IFERROR(INDEX(Empresas!$D:$D,MATCH(A1906,Empresas!$A:$A,0))&amp;"","não consta"))</f>
        <v/>
      </c>
      <c r="K1906" s="19" t="str">
        <f aca="false">IF(A1906="","",IFERROR(INDEX(Sancoes!$B:$B,MATCH(A1906,Sancoes!$A:$A,0))&amp;"","não consta"))</f>
        <v/>
      </c>
      <c r="L1906" s="19" t="str">
        <f aca="false">IF(A1906="","",IFERROR(INDEX(Eleitoral!$B:$B,MATCH(A1906,Eleitoral!$A:$A,0))&amp;"","não consta"))</f>
        <v/>
      </c>
      <c r="M1906" s="28" t="str">
        <f aca="false">IF(A1906="","",IF(OR(AND(K1906&lt;&gt;"",LOWER(K1906)&lt;&gt;"não consta"),AND(L1906&lt;&gt;"",LOWER(L1906)&lt;&gt;"não consta"),IFERROR(INDEX(Empresas!$G:$G,MATCH(A1906,Empresas!$A:$A,0))&amp;"","")&lt;&gt;""),"SIM",""))</f>
        <v/>
      </c>
      <c r="N1906" s="5"/>
      <c r="O1906" s="32" t="str">
        <f aca="false">IF(D1906="","",YEAR(D1906))</f>
        <v/>
      </c>
      <c r="P1906" s="5"/>
    </row>
    <row r="1907" customFormat="false" ht="15" hidden="false" customHeight="false" outlineLevel="0" collapsed="false">
      <c r="A1907" s="27"/>
      <c r="B1907" s="5"/>
      <c r="C1907" s="35"/>
      <c r="D1907" s="18"/>
      <c r="E1907" s="5"/>
      <c r="F1907" s="14"/>
      <c r="G1907" s="5"/>
      <c r="H1907" s="27"/>
      <c r="I1907" s="5"/>
      <c r="J1907" s="19" t="str">
        <f aca="false">IF(A1907="","",IFERROR(INDEX(Empresas!$D:$D,MATCH(A1907,Empresas!$A:$A,0))&amp;"","não consta"))</f>
        <v/>
      </c>
      <c r="K1907" s="19" t="str">
        <f aca="false">IF(A1907="","",IFERROR(INDEX(Sancoes!$B:$B,MATCH(A1907,Sancoes!$A:$A,0))&amp;"","não consta"))</f>
        <v/>
      </c>
      <c r="L1907" s="19" t="str">
        <f aca="false">IF(A1907="","",IFERROR(INDEX(Eleitoral!$B:$B,MATCH(A1907,Eleitoral!$A:$A,0))&amp;"","não consta"))</f>
        <v/>
      </c>
      <c r="M1907" s="28" t="str">
        <f aca="false">IF(A1907="","",IF(OR(AND(K1907&lt;&gt;"",LOWER(K1907)&lt;&gt;"não consta"),AND(L1907&lt;&gt;"",LOWER(L1907)&lt;&gt;"não consta"),IFERROR(INDEX(Empresas!$G:$G,MATCH(A1907,Empresas!$A:$A,0))&amp;"","")&lt;&gt;""),"SIM",""))</f>
        <v/>
      </c>
      <c r="N1907" s="5"/>
      <c r="O1907" s="32" t="str">
        <f aca="false">IF(D1907="","",YEAR(D1907))</f>
        <v/>
      </c>
      <c r="P1907" s="5"/>
    </row>
    <row r="1908" customFormat="false" ht="15" hidden="false" customHeight="false" outlineLevel="0" collapsed="false">
      <c r="A1908" s="27"/>
      <c r="B1908" s="5"/>
      <c r="C1908" s="35"/>
      <c r="D1908" s="18"/>
      <c r="E1908" s="5"/>
      <c r="F1908" s="14"/>
      <c r="G1908" s="5"/>
      <c r="H1908" s="27"/>
      <c r="I1908" s="5"/>
      <c r="J1908" s="19" t="str">
        <f aca="false">IF(A1908="","",IFERROR(INDEX(Empresas!$D:$D,MATCH(A1908,Empresas!$A:$A,0))&amp;"","não consta"))</f>
        <v/>
      </c>
      <c r="K1908" s="19" t="str">
        <f aca="false">IF(A1908="","",IFERROR(INDEX(Sancoes!$B:$B,MATCH(A1908,Sancoes!$A:$A,0))&amp;"","não consta"))</f>
        <v/>
      </c>
      <c r="L1908" s="19" t="str">
        <f aca="false">IF(A1908="","",IFERROR(INDEX(Eleitoral!$B:$B,MATCH(A1908,Eleitoral!$A:$A,0))&amp;"","não consta"))</f>
        <v/>
      </c>
      <c r="M1908" s="28" t="str">
        <f aca="false">IF(A1908="","",IF(OR(AND(K1908&lt;&gt;"",LOWER(K1908)&lt;&gt;"não consta"),AND(L1908&lt;&gt;"",LOWER(L1908)&lt;&gt;"não consta"),IFERROR(INDEX(Empresas!$G:$G,MATCH(A1908,Empresas!$A:$A,0))&amp;"","")&lt;&gt;""),"SIM",""))</f>
        <v/>
      </c>
      <c r="N1908" s="5"/>
      <c r="O1908" s="32" t="str">
        <f aca="false">IF(D1908="","",YEAR(D1908))</f>
        <v/>
      </c>
      <c r="P1908" s="5"/>
    </row>
    <row r="1909" customFormat="false" ht="15" hidden="false" customHeight="false" outlineLevel="0" collapsed="false">
      <c r="A1909" s="27"/>
      <c r="B1909" s="5"/>
      <c r="C1909" s="35"/>
      <c r="D1909" s="18"/>
      <c r="E1909" s="5"/>
      <c r="F1909" s="14"/>
      <c r="G1909" s="5"/>
      <c r="H1909" s="27"/>
      <c r="I1909" s="5"/>
      <c r="J1909" s="19" t="str">
        <f aca="false">IF(A1909="","",IFERROR(INDEX(Empresas!$D:$D,MATCH(A1909,Empresas!$A:$A,0))&amp;"","não consta"))</f>
        <v/>
      </c>
      <c r="K1909" s="19" t="str">
        <f aca="false">IF(A1909="","",IFERROR(INDEX(Sancoes!$B:$B,MATCH(A1909,Sancoes!$A:$A,0))&amp;"","não consta"))</f>
        <v/>
      </c>
      <c r="L1909" s="19" t="str">
        <f aca="false">IF(A1909="","",IFERROR(INDEX(Eleitoral!$B:$B,MATCH(A1909,Eleitoral!$A:$A,0))&amp;"","não consta"))</f>
        <v/>
      </c>
      <c r="M1909" s="28" t="str">
        <f aca="false">IF(A1909="","",IF(OR(AND(K1909&lt;&gt;"",LOWER(K1909)&lt;&gt;"não consta"),AND(L1909&lt;&gt;"",LOWER(L1909)&lt;&gt;"não consta"),IFERROR(INDEX(Empresas!$G:$G,MATCH(A1909,Empresas!$A:$A,0))&amp;"","")&lt;&gt;""),"SIM",""))</f>
        <v/>
      </c>
      <c r="N1909" s="5"/>
      <c r="O1909" s="32" t="str">
        <f aca="false">IF(D1909="","",YEAR(D1909))</f>
        <v/>
      </c>
      <c r="P1909" s="5"/>
    </row>
    <row r="1910" customFormat="false" ht="15" hidden="false" customHeight="false" outlineLevel="0" collapsed="false">
      <c r="A1910" s="27"/>
      <c r="B1910" s="5"/>
      <c r="C1910" s="35"/>
      <c r="D1910" s="18"/>
      <c r="E1910" s="5"/>
      <c r="F1910" s="14"/>
      <c r="G1910" s="5"/>
      <c r="H1910" s="27"/>
      <c r="I1910" s="5"/>
      <c r="J1910" s="19" t="str">
        <f aca="false">IF(A1910="","",IFERROR(INDEX(Empresas!$D:$D,MATCH(A1910,Empresas!$A:$A,0))&amp;"","não consta"))</f>
        <v/>
      </c>
      <c r="K1910" s="19" t="str">
        <f aca="false">IF(A1910="","",IFERROR(INDEX(Sancoes!$B:$B,MATCH(A1910,Sancoes!$A:$A,0))&amp;"","não consta"))</f>
        <v/>
      </c>
      <c r="L1910" s="19" t="str">
        <f aca="false">IF(A1910="","",IFERROR(INDEX(Eleitoral!$B:$B,MATCH(A1910,Eleitoral!$A:$A,0))&amp;"","não consta"))</f>
        <v/>
      </c>
      <c r="M1910" s="28" t="str">
        <f aca="false">IF(A1910="","",IF(OR(AND(K1910&lt;&gt;"",LOWER(K1910)&lt;&gt;"não consta"),AND(L1910&lt;&gt;"",LOWER(L1910)&lt;&gt;"não consta"),IFERROR(INDEX(Empresas!$G:$G,MATCH(A1910,Empresas!$A:$A,0))&amp;"","")&lt;&gt;""),"SIM",""))</f>
        <v/>
      </c>
      <c r="N1910" s="5"/>
      <c r="O1910" s="32" t="str">
        <f aca="false">IF(D1910="","",YEAR(D1910))</f>
        <v/>
      </c>
      <c r="P1910" s="5"/>
    </row>
    <row r="1911" customFormat="false" ht="15" hidden="false" customHeight="false" outlineLevel="0" collapsed="false">
      <c r="A1911" s="27"/>
      <c r="B1911" s="5"/>
      <c r="C1911" s="35"/>
      <c r="D1911" s="18"/>
      <c r="E1911" s="5"/>
      <c r="F1911" s="14"/>
      <c r="G1911" s="5"/>
      <c r="H1911" s="27"/>
      <c r="I1911" s="5"/>
      <c r="J1911" s="19" t="str">
        <f aca="false">IF(A1911="","",IFERROR(INDEX(Empresas!$D:$D,MATCH(A1911,Empresas!$A:$A,0))&amp;"","não consta"))</f>
        <v/>
      </c>
      <c r="K1911" s="19" t="str">
        <f aca="false">IF(A1911="","",IFERROR(INDEX(Sancoes!$B:$B,MATCH(A1911,Sancoes!$A:$A,0))&amp;"","não consta"))</f>
        <v/>
      </c>
      <c r="L1911" s="19" t="str">
        <f aca="false">IF(A1911="","",IFERROR(INDEX(Eleitoral!$B:$B,MATCH(A1911,Eleitoral!$A:$A,0))&amp;"","não consta"))</f>
        <v/>
      </c>
      <c r="M1911" s="28" t="str">
        <f aca="false">IF(A1911="","",IF(OR(AND(K1911&lt;&gt;"",LOWER(K1911)&lt;&gt;"não consta"),AND(L1911&lt;&gt;"",LOWER(L1911)&lt;&gt;"não consta"),IFERROR(INDEX(Empresas!$G:$G,MATCH(A1911,Empresas!$A:$A,0))&amp;"","")&lt;&gt;""),"SIM",""))</f>
        <v/>
      </c>
      <c r="N1911" s="5"/>
      <c r="O1911" s="32" t="str">
        <f aca="false">IF(D1911="","",YEAR(D1911))</f>
        <v/>
      </c>
      <c r="P1911" s="5"/>
    </row>
    <row r="1912" customFormat="false" ht="15" hidden="false" customHeight="false" outlineLevel="0" collapsed="false">
      <c r="A1912" s="27"/>
      <c r="B1912" s="5"/>
      <c r="C1912" s="35"/>
      <c r="D1912" s="18"/>
      <c r="E1912" s="5"/>
      <c r="F1912" s="14"/>
      <c r="G1912" s="5"/>
      <c r="H1912" s="27"/>
      <c r="I1912" s="5"/>
      <c r="J1912" s="19" t="str">
        <f aca="false">IF(A1912="","",IFERROR(INDEX(Empresas!$D:$D,MATCH(A1912,Empresas!$A:$A,0))&amp;"","não consta"))</f>
        <v/>
      </c>
      <c r="K1912" s="19" t="str">
        <f aca="false">IF(A1912="","",IFERROR(INDEX(Sancoes!$B:$B,MATCH(A1912,Sancoes!$A:$A,0))&amp;"","não consta"))</f>
        <v/>
      </c>
      <c r="L1912" s="19" t="str">
        <f aca="false">IF(A1912="","",IFERROR(INDEX(Eleitoral!$B:$B,MATCH(A1912,Eleitoral!$A:$A,0))&amp;"","não consta"))</f>
        <v/>
      </c>
      <c r="M1912" s="28" t="str">
        <f aca="false">IF(A1912="","",IF(OR(AND(K1912&lt;&gt;"",LOWER(K1912)&lt;&gt;"não consta"),AND(L1912&lt;&gt;"",LOWER(L1912)&lt;&gt;"não consta"),IFERROR(INDEX(Empresas!$G:$G,MATCH(A1912,Empresas!$A:$A,0))&amp;"","")&lt;&gt;""),"SIM",""))</f>
        <v/>
      </c>
      <c r="N1912" s="5"/>
      <c r="O1912" s="32" t="str">
        <f aca="false">IF(D1912="","",YEAR(D1912))</f>
        <v/>
      </c>
      <c r="P1912" s="5"/>
    </row>
    <row r="1913" customFormat="false" ht="15" hidden="false" customHeight="false" outlineLevel="0" collapsed="false">
      <c r="A1913" s="27"/>
      <c r="B1913" s="5"/>
      <c r="C1913" s="35"/>
      <c r="D1913" s="18"/>
      <c r="E1913" s="5"/>
      <c r="F1913" s="14"/>
      <c r="G1913" s="5"/>
      <c r="H1913" s="27"/>
      <c r="I1913" s="5"/>
      <c r="J1913" s="19" t="str">
        <f aca="false">IF(A1913="","",IFERROR(INDEX(Empresas!$D:$D,MATCH(A1913,Empresas!$A:$A,0))&amp;"","não consta"))</f>
        <v/>
      </c>
      <c r="K1913" s="19" t="str">
        <f aca="false">IF(A1913="","",IFERROR(INDEX(Sancoes!$B:$B,MATCH(A1913,Sancoes!$A:$A,0))&amp;"","não consta"))</f>
        <v/>
      </c>
      <c r="L1913" s="19" t="str">
        <f aca="false">IF(A1913="","",IFERROR(INDEX(Eleitoral!$B:$B,MATCH(A1913,Eleitoral!$A:$A,0))&amp;"","não consta"))</f>
        <v/>
      </c>
      <c r="M1913" s="28" t="str">
        <f aca="false">IF(A1913="","",IF(OR(AND(K1913&lt;&gt;"",LOWER(K1913)&lt;&gt;"não consta"),AND(L1913&lt;&gt;"",LOWER(L1913)&lt;&gt;"não consta"),IFERROR(INDEX(Empresas!$G:$G,MATCH(A1913,Empresas!$A:$A,0))&amp;"","")&lt;&gt;""),"SIM",""))</f>
        <v/>
      </c>
      <c r="N1913" s="5"/>
      <c r="O1913" s="32" t="str">
        <f aca="false">IF(D1913="","",YEAR(D1913))</f>
        <v/>
      </c>
      <c r="P1913" s="5"/>
    </row>
    <row r="1914" customFormat="false" ht="15" hidden="false" customHeight="false" outlineLevel="0" collapsed="false">
      <c r="A1914" s="27"/>
      <c r="B1914" s="5"/>
      <c r="C1914" s="35"/>
      <c r="D1914" s="18"/>
      <c r="E1914" s="5"/>
      <c r="F1914" s="14"/>
      <c r="G1914" s="5"/>
      <c r="H1914" s="27"/>
      <c r="I1914" s="5"/>
      <c r="J1914" s="19" t="str">
        <f aca="false">IF(A1914="","",IFERROR(INDEX(Empresas!$D:$D,MATCH(A1914,Empresas!$A:$A,0))&amp;"","não consta"))</f>
        <v/>
      </c>
      <c r="K1914" s="19" t="str">
        <f aca="false">IF(A1914="","",IFERROR(INDEX(Sancoes!$B:$B,MATCH(A1914,Sancoes!$A:$A,0))&amp;"","não consta"))</f>
        <v/>
      </c>
      <c r="L1914" s="19" t="str">
        <f aca="false">IF(A1914="","",IFERROR(INDEX(Eleitoral!$B:$B,MATCH(A1914,Eleitoral!$A:$A,0))&amp;"","não consta"))</f>
        <v/>
      </c>
      <c r="M1914" s="28" t="str">
        <f aca="false">IF(A1914="","",IF(OR(AND(K1914&lt;&gt;"",LOWER(K1914)&lt;&gt;"não consta"),AND(L1914&lt;&gt;"",LOWER(L1914)&lt;&gt;"não consta"),IFERROR(INDEX(Empresas!$G:$G,MATCH(A1914,Empresas!$A:$A,0))&amp;"","")&lt;&gt;""),"SIM",""))</f>
        <v/>
      </c>
      <c r="N1914" s="5"/>
      <c r="O1914" s="32" t="str">
        <f aca="false">IF(D1914="","",YEAR(D1914))</f>
        <v/>
      </c>
      <c r="P1914" s="5"/>
    </row>
    <row r="1915" customFormat="false" ht="15" hidden="false" customHeight="false" outlineLevel="0" collapsed="false">
      <c r="A1915" s="27"/>
      <c r="B1915" s="5"/>
      <c r="C1915" s="35"/>
      <c r="D1915" s="18"/>
      <c r="E1915" s="5"/>
      <c r="F1915" s="14"/>
      <c r="G1915" s="5"/>
      <c r="H1915" s="27"/>
      <c r="I1915" s="5"/>
      <c r="J1915" s="19" t="str">
        <f aca="false">IF(A1915="","",IFERROR(INDEX(Empresas!$D:$D,MATCH(A1915,Empresas!$A:$A,0))&amp;"","não consta"))</f>
        <v/>
      </c>
      <c r="K1915" s="19" t="str">
        <f aca="false">IF(A1915="","",IFERROR(INDEX(Sancoes!$B:$B,MATCH(A1915,Sancoes!$A:$A,0))&amp;"","não consta"))</f>
        <v/>
      </c>
      <c r="L1915" s="19" t="str">
        <f aca="false">IF(A1915="","",IFERROR(INDEX(Eleitoral!$B:$B,MATCH(A1915,Eleitoral!$A:$A,0))&amp;"","não consta"))</f>
        <v/>
      </c>
      <c r="M1915" s="28" t="str">
        <f aca="false">IF(A1915="","",IF(OR(AND(K1915&lt;&gt;"",LOWER(K1915)&lt;&gt;"não consta"),AND(L1915&lt;&gt;"",LOWER(L1915)&lt;&gt;"não consta"),IFERROR(INDEX(Empresas!$G:$G,MATCH(A1915,Empresas!$A:$A,0))&amp;"","")&lt;&gt;""),"SIM",""))</f>
        <v/>
      </c>
      <c r="N1915" s="5"/>
      <c r="O1915" s="32" t="str">
        <f aca="false">IF(D1915="","",YEAR(D1915))</f>
        <v/>
      </c>
      <c r="P1915" s="5"/>
    </row>
    <row r="1916" customFormat="false" ht="15" hidden="false" customHeight="false" outlineLevel="0" collapsed="false">
      <c r="A1916" s="27"/>
      <c r="B1916" s="5"/>
      <c r="C1916" s="35"/>
      <c r="D1916" s="18"/>
      <c r="E1916" s="5"/>
      <c r="F1916" s="14"/>
      <c r="G1916" s="5"/>
      <c r="H1916" s="27"/>
      <c r="I1916" s="5"/>
      <c r="J1916" s="19" t="str">
        <f aca="false">IF(A1916="","",IFERROR(INDEX(Empresas!$D:$D,MATCH(A1916,Empresas!$A:$A,0))&amp;"","não consta"))</f>
        <v/>
      </c>
      <c r="K1916" s="19" t="str">
        <f aca="false">IF(A1916="","",IFERROR(INDEX(Sancoes!$B:$B,MATCH(A1916,Sancoes!$A:$A,0))&amp;"","não consta"))</f>
        <v/>
      </c>
      <c r="L1916" s="19" t="str">
        <f aca="false">IF(A1916="","",IFERROR(INDEX(Eleitoral!$B:$B,MATCH(A1916,Eleitoral!$A:$A,0))&amp;"","não consta"))</f>
        <v/>
      </c>
      <c r="M1916" s="28" t="str">
        <f aca="false">IF(A1916="","",IF(OR(AND(K1916&lt;&gt;"",LOWER(K1916)&lt;&gt;"não consta"),AND(L1916&lt;&gt;"",LOWER(L1916)&lt;&gt;"não consta"),IFERROR(INDEX(Empresas!$G:$G,MATCH(A1916,Empresas!$A:$A,0))&amp;"","")&lt;&gt;""),"SIM",""))</f>
        <v/>
      </c>
      <c r="N1916" s="5"/>
      <c r="O1916" s="32" t="str">
        <f aca="false">IF(D1916="","",YEAR(D1916))</f>
        <v/>
      </c>
      <c r="P1916" s="5"/>
    </row>
    <row r="1917" customFormat="false" ht="15" hidden="false" customHeight="false" outlineLevel="0" collapsed="false">
      <c r="A1917" s="27"/>
      <c r="B1917" s="5"/>
      <c r="C1917" s="35"/>
      <c r="D1917" s="18"/>
      <c r="E1917" s="5"/>
      <c r="F1917" s="14"/>
      <c r="G1917" s="5"/>
      <c r="H1917" s="27"/>
      <c r="I1917" s="5"/>
      <c r="J1917" s="19" t="str">
        <f aca="false">IF(A1917="","",IFERROR(INDEX(Empresas!$D:$D,MATCH(A1917,Empresas!$A:$A,0))&amp;"","não consta"))</f>
        <v/>
      </c>
      <c r="K1917" s="19" t="str">
        <f aca="false">IF(A1917="","",IFERROR(INDEX(Sancoes!$B:$B,MATCH(A1917,Sancoes!$A:$A,0))&amp;"","não consta"))</f>
        <v/>
      </c>
      <c r="L1917" s="19" t="str">
        <f aca="false">IF(A1917="","",IFERROR(INDEX(Eleitoral!$B:$B,MATCH(A1917,Eleitoral!$A:$A,0))&amp;"","não consta"))</f>
        <v/>
      </c>
      <c r="M1917" s="28" t="str">
        <f aca="false">IF(A1917="","",IF(OR(AND(K1917&lt;&gt;"",LOWER(K1917)&lt;&gt;"não consta"),AND(L1917&lt;&gt;"",LOWER(L1917)&lt;&gt;"não consta"),IFERROR(INDEX(Empresas!$G:$G,MATCH(A1917,Empresas!$A:$A,0))&amp;"","")&lt;&gt;""),"SIM",""))</f>
        <v/>
      </c>
      <c r="N1917" s="5"/>
      <c r="O1917" s="32" t="str">
        <f aca="false">IF(D1917="","",YEAR(D1917))</f>
        <v/>
      </c>
      <c r="P1917" s="5"/>
    </row>
    <row r="1918" customFormat="false" ht="15" hidden="false" customHeight="false" outlineLevel="0" collapsed="false">
      <c r="A1918" s="27"/>
      <c r="B1918" s="5"/>
      <c r="C1918" s="35"/>
      <c r="D1918" s="18"/>
      <c r="E1918" s="5"/>
      <c r="F1918" s="14"/>
      <c r="G1918" s="5"/>
      <c r="H1918" s="27"/>
      <c r="I1918" s="5"/>
      <c r="J1918" s="19" t="str">
        <f aca="false">IF(A1918="","",IFERROR(INDEX(Empresas!$D:$D,MATCH(A1918,Empresas!$A:$A,0))&amp;"","não consta"))</f>
        <v/>
      </c>
      <c r="K1918" s="19" t="str">
        <f aca="false">IF(A1918="","",IFERROR(INDEX(Sancoes!$B:$B,MATCH(A1918,Sancoes!$A:$A,0))&amp;"","não consta"))</f>
        <v/>
      </c>
      <c r="L1918" s="19" t="str">
        <f aca="false">IF(A1918="","",IFERROR(INDEX(Eleitoral!$B:$B,MATCH(A1918,Eleitoral!$A:$A,0))&amp;"","não consta"))</f>
        <v/>
      </c>
      <c r="M1918" s="28" t="str">
        <f aca="false">IF(A1918="","",IF(OR(AND(K1918&lt;&gt;"",LOWER(K1918)&lt;&gt;"não consta"),AND(L1918&lt;&gt;"",LOWER(L1918)&lt;&gt;"não consta"),IFERROR(INDEX(Empresas!$G:$G,MATCH(A1918,Empresas!$A:$A,0))&amp;"","")&lt;&gt;""),"SIM",""))</f>
        <v/>
      </c>
      <c r="N1918" s="5"/>
      <c r="O1918" s="32" t="str">
        <f aca="false">IF(D1918="","",YEAR(D1918))</f>
        <v/>
      </c>
      <c r="P1918" s="5"/>
    </row>
    <row r="1919" customFormat="false" ht="15" hidden="false" customHeight="false" outlineLevel="0" collapsed="false">
      <c r="A1919" s="27"/>
      <c r="B1919" s="5"/>
      <c r="C1919" s="35"/>
      <c r="D1919" s="18"/>
      <c r="E1919" s="5"/>
      <c r="F1919" s="14"/>
      <c r="G1919" s="5"/>
      <c r="H1919" s="27"/>
      <c r="I1919" s="5"/>
      <c r="J1919" s="19" t="str">
        <f aca="false">IF(A1919="","",IFERROR(INDEX(Empresas!$D:$D,MATCH(A1919,Empresas!$A:$A,0))&amp;"","não consta"))</f>
        <v/>
      </c>
      <c r="K1919" s="19" t="str">
        <f aca="false">IF(A1919="","",IFERROR(INDEX(Sancoes!$B:$B,MATCH(A1919,Sancoes!$A:$A,0))&amp;"","não consta"))</f>
        <v/>
      </c>
      <c r="L1919" s="19" t="str">
        <f aca="false">IF(A1919="","",IFERROR(INDEX(Eleitoral!$B:$B,MATCH(A1919,Eleitoral!$A:$A,0))&amp;"","não consta"))</f>
        <v/>
      </c>
      <c r="M1919" s="28" t="str">
        <f aca="false">IF(A1919="","",IF(OR(AND(K1919&lt;&gt;"",LOWER(K1919)&lt;&gt;"não consta"),AND(L1919&lt;&gt;"",LOWER(L1919)&lt;&gt;"não consta"),IFERROR(INDEX(Empresas!$G:$G,MATCH(A1919,Empresas!$A:$A,0))&amp;"","")&lt;&gt;""),"SIM",""))</f>
        <v/>
      </c>
      <c r="N1919" s="5"/>
      <c r="O1919" s="32" t="str">
        <f aca="false">IF(D1919="","",YEAR(D1919))</f>
        <v/>
      </c>
      <c r="P1919" s="5"/>
    </row>
    <row r="1920" customFormat="false" ht="15" hidden="false" customHeight="false" outlineLevel="0" collapsed="false">
      <c r="A1920" s="27"/>
      <c r="B1920" s="5"/>
      <c r="C1920" s="35"/>
      <c r="D1920" s="18"/>
      <c r="E1920" s="5"/>
      <c r="F1920" s="14"/>
      <c r="G1920" s="5"/>
      <c r="H1920" s="27"/>
      <c r="I1920" s="5"/>
      <c r="J1920" s="19" t="str">
        <f aca="false">IF(A1920="","",IFERROR(INDEX(Empresas!$D:$D,MATCH(A1920,Empresas!$A:$A,0))&amp;"","não consta"))</f>
        <v/>
      </c>
      <c r="K1920" s="19" t="str">
        <f aca="false">IF(A1920="","",IFERROR(INDEX(Sancoes!$B:$B,MATCH(A1920,Sancoes!$A:$A,0))&amp;"","não consta"))</f>
        <v/>
      </c>
      <c r="L1920" s="19" t="str">
        <f aca="false">IF(A1920="","",IFERROR(INDEX(Eleitoral!$B:$B,MATCH(A1920,Eleitoral!$A:$A,0))&amp;"","não consta"))</f>
        <v/>
      </c>
      <c r="M1920" s="28" t="str">
        <f aca="false">IF(A1920="","",IF(OR(AND(K1920&lt;&gt;"",LOWER(K1920)&lt;&gt;"não consta"),AND(L1920&lt;&gt;"",LOWER(L1920)&lt;&gt;"não consta"),IFERROR(INDEX(Empresas!$G:$G,MATCH(A1920,Empresas!$A:$A,0))&amp;"","")&lt;&gt;""),"SIM",""))</f>
        <v/>
      </c>
      <c r="N1920" s="5"/>
      <c r="O1920" s="32" t="str">
        <f aca="false">IF(D1920="","",YEAR(D1920))</f>
        <v/>
      </c>
      <c r="P1920" s="5"/>
    </row>
    <row r="1921" customFormat="false" ht="15" hidden="false" customHeight="false" outlineLevel="0" collapsed="false">
      <c r="A1921" s="27"/>
      <c r="B1921" s="5"/>
      <c r="C1921" s="35"/>
      <c r="D1921" s="18"/>
      <c r="E1921" s="5"/>
      <c r="F1921" s="14"/>
      <c r="G1921" s="5"/>
      <c r="H1921" s="27"/>
      <c r="I1921" s="5"/>
      <c r="J1921" s="19" t="str">
        <f aca="false">IF(A1921="","",IFERROR(INDEX(Empresas!$D:$D,MATCH(A1921,Empresas!$A:$A,0))&amp;"","não consta"))</f>
        <v/>
      </c>
      <c r="K1921" s="19" t="str">
        <f aca="false">IF(A1921="","",IFERROR(INDEX(Sancoes!$B:$B,MATCH(A1921,Sancoes!$A:$A,0))&amp;"","não consta"))</f>
        <v/>
      </c>
      <c r="L1921" s="19" t="str">
        <f aca="false">IF(A1921="","",IFERROR(INDEX(Eleitoral!$B:$B,MATCH(A1921,Eleitoral!$A:$A,0))&amp;"","não consta"))</f>
        <v/>
      </c>
      <c r="M1921" s="28" t="str">
        <f aca="false">IF(A1921="","",IF(OR(AND(K1921&lt;&gt;"",LOWER(K1921)&lt;&gt;"não consta"),AND(L1921&lt;&gt;"",LOWER(L1921)&lt;&gt;"não consta"),IFERROR(INDEX(Empresas!$G:$G,MATCH(A1921,Empresas!$A:$A,0))&amp;"","")&lt;&gt;""),"SIM",""))</f>
        <v/>
      </c>
      <c r="N1921" s="5"/>
      <c r="O1921" s="32" t="str">
        <f aca="false">IF(D1921="","",YEAR(D1921))</f>
        <v/>
      </c>
      <c r="P1921" s="5"/>
    </row>
    <row r="1922" customFormat="false" ht="15" hidden="false" customHeight="false" outlineLevel="0" collapsed="false">
      <c r="A1922" s="27"/>
      <c r="B1922" s="5"/>
      <c r="C1922" s="35"/>
      <c r="D1922" s="18"/>
      <c r="E1922" s="5"/>
      <c r="F1922" s="14"/>
      <c r="G1922" s="5"/>
      <c r="H1922" s="27"/>
      <c r="I1922" s="5"/>
      <c r="J1922" s="19" t="str">
        <f aca="false">IF(A1922="","",IFERROR(INDEX(Empresas!$D:$D,MATCH(A1922,Empresas!$A:$A,0))&amp;"","não consta"))</f>
        <v/>
      </c>
      <c r="K1922" s="19" t="str">
        <f aca="false">IF(A1922="","",IFERROR(INDEX(Sancoes!$B:$B,MATCH(A1922,Sancoes!$A:$A,0))&amp;"","não consta"))</f>
        <v/>
      </c>
      <c r="L1922" s="19" t="str">
        <f aca="false">IF(A1922="","",IFERROR(INDEX(Eleitoral!$B:$B,MATCH(A1922,Eleitoral!$A:$A,0))&amp;"","não consta"))</f>
        <v/>
      </c>
      <c r="M1922" s="28" t="str">
        <f aca="false">IF(A1922="","",IF(OR(AND(K1922&lt;&gt;"",LOWER(K1922)&lt;&gt;"não consta"),AND(L1922&lt;&gt;"",LOWER(L1922)&lt;&gt;"não consta"),IFERROR(INDEX(Empresas!$G:$G,MATCH(A1922,Empresas!$A:$A,0))&amp;"","")&lt;&gt;""),"SIM",""))</f>
        <v/>
      </c>
      <c r="N1922" s="5"/>
      <c r="O1922" s="32" t="str">
        <f aca="false">IF(D1922="","",YEAR(D1922))</f>
        <v/>
      </c>
      <c r="P1922" s="5"/>
    </row>
    <row r="1923" customFormat="false" ht="15" hidden="false" customHeight="false" outlineLevel="0" collapsed="false">
      <c r="A1923" s="27"/>
      <c r="B1923" s="5"/>
      <c r="C1923" s="35"/>
      <c r="D1923" s="18"/>
      <c r="E1923" s="5"/>
      <c r="F1923" s="14"/>
      <c r="G1923" s="5"/>
      <c r="H1923" s="27"/>
      <c r="I1923" s="5"/>
      <c r="J1923" s="19" t="str">
        <f aca="false">IF(A1923="","",IFERROR(INDEX(Empresas!$D:$D,MATCH(A1923,Empresas!$A:$A,0))&amp;"","não consta"))</f>
        <v/>
      </c>
      <c r="K1923" s="19" t="str">
        <f aca="false">IF(A1923="","",IFERROR(INDEX(Sancoes!$B:$B,MATCH(A1923,Sancoes!$A:$A,0))&amp;"","não consta"))</f>
        <v/>
      </c>
      <c r="L1923" s="19" t="str">
        <f aca="false">IF(A1923="","",IFERROR(INDEX(Eleitoral!$B:$B,MATCH(A1923,Eleitoral!$A:$A,0))&amp;"","não consta"))</f>
        <v/>
      </c>
      <c r="M1923" s="28" t="str">
        <f aca="false">IF(A1923="","",IF(OR(AND(K1923&lt;&gt;"",LOWER(K1923)&lt;&gt;"não consta"),AND(L1923&lt;&gt;"",LOWER(L1923)&lt;&gt;"não consta"),IFERROR(INDEX(Empresas!$G:$G,MATCH(A1923,Empresas!$A:$A,0))&amp;"","")&lt;&gt;""),"SIM",""))</f>
        <v/>
      </c>
      <c r="N1923" s="5"/>
      <c r="O1923" s="32" t="str">
        <f aca="false">IF(D1923="","",YEAR(D1923))</f>
        <v/>
      </c>
      <c r="P1923" s="5"/>
    </row>
    <row r="1924" customFormat="false" ht="15" hidden="false" customHeight="false" outlineLevel="0" collapsed="false">
      <c r="A1924" s="27"/>
      <c r="B1924" s="5"/>
      <c r="C1924" s="35"/>
      <c r="D1924" s="18"/>
      <c r="E1924" s="5"/>
      <c r="F1924" s="14"/>
      <c r="G1924" s="5"/>
      <c r="H1924" s="27"/>
      <c r="I1924" s="5"/>
      <c r="J1924" s="19" t="str">
        <f aca="false">IF(A1924="","",IFERROR(INDEX(Empresas!$D:$D,MATCH(A1924,Empresas!$A:$A,0))&amp;"","não consta"))</f>
        <v/>
      </c>
      <c r="K1924" s="19" t="str">
        <f aca="false">IF(A1924="","",IFERROR(INDEX(Sancoes!$B:$B,MATCH(A1924,Sancoes!$A:$A,0))&amp;"","não consta"))</f>
        <v/>
      </c>
      <c r="L1924" s="19" t="str">
        <f aca="false">IF(A1924="","",IFERROR(INDEX(Eleitoral!$B:$B,MATCH(A1924,Eleitoral!$A:$A,0))&amp;"","não consta"))</f>
        <v/>
      </c>
      <c r="M1924" s="28" t="str">
        <f aca="false">IF(A1924="","",IF(OR(AND(K1924&lt;&gt;"",LOWER(K1924)&lt;&gt;"não consta"),AND(L1924&lt;&gt;"",LOWER(L1924)&lt;&gt;"não consta"),IFERROR(INDEX(Empresas!$G:$G,MATCH(A1924,Empresas!$A:$A,0))&amp;"","")&lt;&gt;""),"SIM",""))</f>
        <v/>
      </c>
      <c r="N1924" s="5"/>
      <c r="O1924" s="32" t="str">
        <f aca="false">IF(D1924="","",YEAR(D1924))</f>
        <v/>
      </c>
      <c r="P1924" s="5"/>
    </row>
    <row r="1925" customFormat="false" ht="15" hidden="false" customHeight="false" outlineLevel="0" collapsed="false">
      <c r="A1925" s="27"/>
      <c r="B1925" s="5"/>
      <c r="C1925" s="35"/>
      <c r="D1925" s="18"/>
      <c r="E1925" s="5"/>
      <c r="F1925" s="14"/>
      <c r="G1925" s="5"/>
      <c r="H1925" s="27"/>
      <c r="I1925" s="5"/>
      <c r="J1925" s="19" t="str">
        <f aca="false">IF(A1925="","",IFERROR(INDEX(Empresas!$D:$D,MATCH(A1925,Empresas!$A:$A,0))&amp;"","não consta"))</f>
        <v/>
      </c>
      <c r="K1925" s="19" t="str">
        <f aca="false">IF(A1925="","",IFERROR(INDEX(Sancoes!$B:$B,MATCH(A1925,Sancoes!$A:$A,0))&amp;"","não consta"))</f>
        <v/>
      </c>
      <c r="L1925" s="19" t="str">
        <f aca="false">IF(A1925="","",IFERROR(INDEX(Eleitoral!$B:$B,MATCH(A1925,Eleitoral!$A:$A,0))&amp;"","não consta"))</f>
        <v/>
      </c>
      <c r="M1925" s="28" t="str">
        <f aca="false">IF(A1925="","",IF(OR(AND(K1925&lt;&gt;"",LOWER(K1925)&lt;&gt;"não consta"),AND(L1925&lt;&gt;"",LOWER(L1925)&lt;&gt;"não consta"),IFERROR(INDEX(Empresas!$G:$G,MATCH(A1925,Empresas!$A:$A,0))&amp;"","")&lt;&gt;""),"SIM",""))</f>
        <v/>
      </c>
      <c r="N1925" s="5"/>
      <c r="O1925" s="32" t="str">
        <f aca="false">IF(D1925="","",YEAR(D1925))</f>
        <v/>
      </c>
      <c r="P1925" s="5"/>
    </row>
    <row r="1926" customFormat="false" ht="15" hidden="false" customHeight="false" outlineLevel="0" collapsed="false">
      <c r="A1926" s="27"/>
      <c r="B1926" s="5"/>
      <c r="C1926" s="35"/>
      <c r="D1926" s="18"/>
      <c r="E1926" s="5"/>
      <c r="F1926" s="14"/>
      <c r="G1926" s="5"/>
      <c r="H1926" s="27"/>
      <c r="I1926" s="5"/>
      <c r="J1926" s="19" t="str">
        <f aca="false">IF(A1926="","",IFERROR(INDEX(Empresas!$D:$D,MATCH(A1926,Empresas!$A:$A,0))&amp;"","não consta"))</f>
        <v/>
      </c>
      <c r="K1926" s="19" t="str">
        <f aca="false">IF(A1926="","",IFERROR(INDEX(Sancoes!$B:$B,MATCH(A1926,Sancoes!$A:$A,0))&amp;"","não consta"))</f>
        <v/>
      </c>
      <c r="L1926" s="19" t="str">
        <f aca="false">IF(A1926="","",IFERROR(INDEX(Eleitoral!$B:$B,MATCH(A1926,Eleitoral!$A:$A,0))&amp;"","não consta"))</f>
        <v/>
      </c>
      <c r="M1926" s="28" t="str">
        <f aca="false">IF(A1926="","",IF(OR(AND(K1926&lt;&gt;"",LOWER(K1926)&lt;&gt;"não consta"),AND(L1926&lt;&gt;"",LOWER(L1926)&lt;&gt;"não consta"),IFERROR(INDEX(Empresas!$G:$G,MATCH(A1926,Empresas!$A:$A,0))&amp;"","")&lt;&gt;""),"SIM",""))</f>
        <v/>
      </c>
      <c r="N1926" s="5"/>
      <c r="O1926" s="32" t="str">
        <f aca="false">IF(D1926="","",YEAR(D1926))</f>
        <v/>
      </c>
      <c r="P1926" s="5"/>
    </row>
    <row r="1927" customFormat="false" ht="15" hidden="false" customHeight="false" outlineLevel="0" collapsed="false">
      <c r="A1927" s="27"/>
      <c r="B1927" s="5"/>
      <c r="C1927" s="35"/>
      <c r="D1927" s="18"/>
      <c r="E1927" s="5"/>
      <c r="F1927" s="14"/>
      <c r="G1927" s="5"/>
      <c r="H1927" s="27"/>
      <c r="I1927" s="5"/>
      <c r="J1927" s="19" t="str">
        <f aca="false">IF(A1927="","",IFERROR(INDEX(Empresas!$D:$D,MATCH(A1927,Empresas!$A:$A,0))&amp;"","não consta"))</f>
        <v/>
      </c>
      <c r="K1927" s="19" t="str">
        <f aca="false">IF(A1927="","",IFERROR(INDEX(Sancoes!$B:$B,MATCH(A1927,Sancoes!$A:$A,0))&amp;"","não consta"))</f>
        <v/>
      </c>
      <c r="L1927" s="19" t="str">
        <f aca="false">IF(A1927="","",IFERROR(INDEX(Eleitoral!$B:$B,MATCH(A1927,Eleitoral!$A:$A,0))&amp;"","não consta"))</f>
        <v/>
      </c>
      <c r="M1927" s="28" t="str">
        <f aca="false">IF(A1927="","",IF(OR(AND(K1927&lt;&gt;"",LOWER(K1927)&lt;&gt;"não consta"),AND(L1927&lt;&gt;"",LOWER(L1927)&lt;&gt;"não consta"),IFERROR(INDEX(Empresas!$G:$G,MATCH(A1927,Empresas!$A:$A,0))&amp;"","")&lt;&gt;""),"SIM",""))</f>
        <v/>
      </c>
      <c r="N1927" s="5"/>
      <c r="O1927" s="32" t="str">
        <f aca="false">IF(D1927="","",YEAR(D1927))</f>
        <v/>
      </c>
      <c r="P1927" s="5"/>
    </row>
    <row r="1928" customFormat="false" ht="15" hidden="false" customHeight="false" outlineLevel="0" collapsed="false">
      <c r="A1928" s="27"/>
      <c r="B1928" s="5"/>
      <c r="C1928" s="35"/>
      <c r="D1928" s="18"/>
      <c r="E1928" s="5"/>
      <c r="F1928" s="14"/>
      <c r="G1928" s="5"/>
      <c r="H1928" s="27"/>
      <c r="I1928" s="5"/>
      <c r="J1928" s="19" t="str">
        <f aca="false">IF(A1928="","",IFERROR(INDEX(Empresas!$D:$D,MATCH(A1928,Empresas!$A:$A,0))&amp;"","não consta"))</f>
        <v/>
      </c>
      <c r="K1928" s="19" t="str">
        <f aca="false">IF(A1928="","",IFERROR(INDEX(Sancoes!$B:$B,MATCH(A1928,Sancoes!$A:$A,0))&amp;"","não consta"))</f>
        <v/>
      </c>
      <c r="L1928" s="19" t="str">
        <f aca="false">IF(A1928="","",IFERROR(INDEX(Eleitoral!$B:$B,MATCH(A1928,Eleitoral!$A:$A,0))&amp;"","não consta"))</f>
        <v/>
      </c>
      <c r="M1928" s="28" t="str">
        <f aca="false">IF(A1928="","",IF(OR(AND(K1928&lt;&gt;"",LOWER(K1928)&lt;&gt;"não consta"),AND(L1928&lt;&gt;"",LOWER(L1928)&lt;&gt;"não consta"),IFERROR(INDEX(Empresas!$G:$G,MATCH(A1928,Empresas!$A:$A,0))&amp;"","")&lt;&gt;""),"SIM",""))</f>
        <v/>
      </c>
      <c r="N1928" s="5"/>
      <c r="O1928" s="32" t="str">
        <f aca="false">IF(D1928="","",YEAR(D1928))</f>
        <v/>
      </c>
      <c r="P1928" s="5"/>
    </row>
    <row r="1929" customFormat="false" ht="15" hidden="false" customHeight="false" outlineLevel="0" collapsed="false">
      <c r="A1929" s="27"/>
      <c r="B1929" s="5"/>
      <c r="C1929" s="35"/>
      <c r="D1929" s="18"/>
      <c r="E1929" s="5"/>
      <c r="F1929" s="14"/>
      <c r="G1929" s="5"/>
      <c r="H1929" s="27"/>
      <c r="I1929" s="5"/>
      <c r="J1929" s="19" t="str">
        <f aca="false">IF(A1929="","",IFERROR(INDEX(Empresas!$D:$D,MATCH(A1929,Empresas!$A:$A,0))&amp;"","não consta"))</f>
        <v/>
      </c>
      <c r="K1929" s="19" t="str">
        <f aca="false">IF(A1929="","",IFERROR(INDEX(Sancoes!$B:$B,MATCH(A1929,Sancoes!$A:$A,0))&amp;"","não consta"))</f>
        <v/>
      </c>
      <c r="L1929" s="19" t="str">
        <f aca="false">IF(A1929="","",IFERROR(INDEX(Eleitoral!$B:$B,MATCH(A1929,Eleitoral!$A:$A,0))&amp;"","não consta"))</f>
        <v/>
      </c>
      <c r="M1929" s="28" t="str">
        <f aca="false">IF(A1929="","",IF(OR(AND(K1929&lt;&gt;"",LOWER(K1929)&lt;&gt;"não consta"),AND(L1929&lt;&gt;"",LOWER(L1929)&lt;&gt;"não consta"),IFERROR(INDEX(Empresas!$G:$G,MATCH(A1929,Empresas!$A:$A,0))&amp;"","")&lt;&gt;""),"SIM",""))</f>
        <v/>
      </c>
      <c r="N1929" s="5"/>
      <c r="O1929" s="32" t="str">
        <f aca="false">IF(D1929="","",YEAR(D1929))</f>
        <v/>
      </c>
      <c r="P1929" s="5"/>
    </row>
    <row r="1930" customFormat="false" ht="15" hidden="false" customHeight="false" outlineLevel="0" collapsed="false">
      <c r="A1930" s="27"/>
      <c r="B1930" s="5"/>
      <c r="C1930" s="35"/>
      <c r="D1930" s="18"/>
      <c r="E1930" s="5"/>
      <c r="F1930" s="14"/>
      <c r="G1930" s="5"/>
      <c r="H1930" s="27"/>
      <c r="I1930" s="5"/>
      <c r="J1930" s="19" t="str">
        <f aca="false">IF(A1930="","",IFERROR(INDEX(Empresas!$D:$D,MATCH(A1930,Empresas!$A:$A,0))&amp;"","não consta"))</f>
        <v/>
      </c>
      <c r="K1930" s="19" t="str">
        <f aca="false">IF(A1930="","",IFERROR(INDEX(Sancoes!$B:$B,MATCH(A1930,Sancoes!$A:$A,0))&amp;"","não consta"))</f>
        <v/>
      </c>
      <c r="L1930" s="19" t="str">
        <f aca="false">IF(A1930="","",IFERROR(INDEX(Eleitoral!$B:$B,MATCH(A1930,Eleitoral!$A:$A,0))&amp;"","não consta"))</f>
        <v/>
      </c>
      <c r="M1930" s="28" t="str">
        <f aca="false">IF(A1930="","",IF(OR(AND(K1930&lt;&gt;"",LOWER(K1930)&lt;&gt;"não consta"),AND(L1930&lt;&gt;"",LOWER(L1930)&lt;&gt;"não consta"),IFERROR(INDEX(Empresas!$G:$G,MATCH(A1930,Empresas!$A:$A,0))&amp;"","")&lt;&gt;""),"SIM",""))</f>
        <v/>
      </c>
      <c r="N1930" s="5"/>
      <c r="O1930" s="32" t="str">
        <f aca="false">IF(D1930="","",YEAR(D1930))</f>
        <v/>
      </c>
      <c r="P1930" s="5"/>
    </row>
    <row r="1931" customFormat="false" ht="15" hidden="false" customHeight="false" outlineLevel="0" collapsed="false">
      <c r="A1931" s="27"/>
      <c r="B1931" s="5"/>
      <c r="C1931" s="35"/>
      <c r="D1931" s="18"/>
      <c r="E1931" s="5"/>
      <c r="F1931" s="14"/>
      <c r="G1931" s="5"/>
      <c r="H1931" s="27"/>
      <c r="I1931" s="5"/>
      <c r="J1931" s="19" t="str">
        <f aca="false">IF(A1931="","",IFERROR(INDEX(Empresas!$D:$D,MATCH(A1931,Empresas!$A:$A,0))&amp;"","não consta"))</f>
        <v/>
      </c>
      <c r="K1931" s="19" t="str">
        <f aca="false">IF(A1931="","",IFERROR(INDEX(Sancoes!$B:$B,MATCH(A1931,Sancoes!$A:$A,0))&amp;"","não consta"))</f>
        <v/>
      </c>
      <c r="L1931" s="19" t="str">
        <f aca="false">IF(A1931="","",IFERROR(INDEX(Eleitoral!$B:$B,MATCH(A1931,Eleitoral!$A:$A,0))&amp;"","não consta"))</f>
        <v/>
      </c>
      <c r="M1931" s="28" t="str">
        <f aca="false">IF(A1931="","",IF(OR(AND(K1931&lt;&gt;"",LOWER(K1931)&lt;&gt;"não consta"),AND(L1931&lt;&gt;"",LOWER(L1931)&lt;&gt;"não consta"),IFERROR(INDEX(Empresas!$G:$G,MATCH(A1931,Empresas!$A:$A,0))&amp;"","")&lt;&gt;""),"SIM",""))</f>
        <v/>
      </c>
      <c r="N1931" s="5"/>
      <c r="O1931" s="32" t="str">
        <f aca="false">IF(D1931="","",YEAR(D1931))</f>
        <v/>
      </c>
      <c r="P1931" s="5"/>
    </row>
    <row r="1932" customFormat="false" ht="15" hidden="false" customHeight="false" outlineLevel="0" collapsed="false">
      <c r="A1932" s="27"/>
      <c r="B1932" s="5"/>
      <c r="C1932" s="35"/>
      <c r="D1932" s="18"/>
      <c r="E1932" s="5"/>
      <c r="F1932" s="14"/>
      <c r="G1932" s="5"/>
      <c r="H1932" s="27"/>
      <c r="I1932" s="5"/>
      <c r="J1932" s="19" t="str">
        <f aca="false">IF(A1932="","",IFERROR(INDEX(Empresas!$D:$D,MATCH(A1932,Empresas!$A:$A,0))&amp;"","não consta"))</f>
        <v/>
      </c>
      <c r="K1932" s="19" t="str">
        <f aca="false">IF(A1932="","",IFERROR(INDEX(Sancoes!$B:$B,MATCH(A1932,Sancoes!$A:$A,0))&amp;"","não consta"))</f>
        <v/>
      </c>
      <c r="L1932" s="19" t="str">
        <f aca="false">IF(A1932="","",IFERROR(INDEX(Eleitoral!$B:$B,MATCH(A1932,Eleitoral!$A:$A,0))&amp;"","não consta"))</f>
        <v/>
      </c>
      <c r="M1932" s="28" t="str">
        <f aca="false">IF(A1932="","",IF(OR(AND(K1932&lt;&gt;"",LOWER(K1932)&lt;&gt;"não consta"),AND(L1932&lt;&gt;"",LOWER(L1932)&lt;&gt;"não consta"),IFERROR(INDEX(Empresas!$G:$G,MATCH(A1932,Empresas!$A:$A,0))&amp;"","")&lt;&gt;""),"SIM",""))</f>
        <v/>
      </c>
      <c r="N1932" s="5"/>
      <c r="O1932" s="32" t="str">
        <f aca="false">IF(D1932="","",YEAR(D1932))</f>
        <v/>
      </c>
      <c r="P1932" s="5"/>
    </row>
    <row r="1933" customFormat="false" ht="15" hidden="false" customHeight="false" outlineLevel="0" collapsed="false">
      <c r="A1933" s="27"/>
      <c r="B1933" s="5"/>
      <c r="C1933" s="35"/>
      <c r="D1933" s="18"/>
      <c r="E1933" s="5"/>
      <c r="F1933" s="14"/>
      <c r="G1933" s="5"/>
      <c r="H1933" s="27"/>
      <c r="I1933" s="5"/>
      <c r="J1933" s="19" t="str">
        <f aca="false">IF(A1933="","",IFERROR(INDEX(Empresas!$D:$D,MATCH(A1933,Empresas!$A:$A,0))&amp;"","não consta"))</f>
        <v/>
      </c>
      <c r="K1933" s="19" t="str">
        <f aca="false">IF(A1933="","",IFERROR(INDEX(Sancoes!$B:$B,MATCH(A1933,Sancoes!$A:$A,0))&amp;"","não consta"))</f>
        <v/>
      </c>
      <c r="L1933" s="19" t="str">
        <f aca="false">IF(A1933="","",IFERROR(INDEX(Eleitoral!$B:$B,MATCH(A1933,Eleitoral!$A:$A,0))&amp;"","não consta"))</f>
        <v/>
      </c>
      <c r="M1933" s="28" t="str">
        <f aca="false">IF(A1933="","",IF(OR(AND(K1933&lt;&gt;"",LOWER(K1933)&lt;&gt;"não consta"),AND(L1933&lt;&gt;"",LOWER(L1933)&lt;&gt;"não consta"),IFERROR(INDEX(Empresas!$G:$G,MATCH(A1933,Empresas!$A:$A,0))&amp;"","")&lt;&gt;""),"SIM",""))</f>
        <v/>
      </c>
      <c r="N1933" s="5"/>
      <c r="O1933" s="32" t="str">
        <f aca="false">IF(D1933="","",YEAR(D1933))</f>
        <v/>
      </c>
      <c r="P1933" s="5"/>
    </row>
    <row r="1934" customFormat="false" ht="15" hidden="false" customHeight="false" outlineLevel="0" collapsed="false">
      <c r="A1934" s="27"/>
      <c r="B1934" s="5"/>
      <c r="C1934" s="35"/>
      <c r="D1934" s="18"/>
      <c r="E1934" s="5"/>
      <c r="F1934" s="14"/>
      <c r="G1934" s="5"/>
      <c r="H1934" s="27"/>
      <c r="I1934" s="5"/>
      <c r="J1934" s="19" t="str">
        <f aca="false">IF(A1934="","",IFERROR(INDEX(Empresas!$D:$D,MATCH(A1934,Empresas!$A:$A,0))&amp;"","não consta"))</f>
        <v/>
      </c>
      <c r="K1934" s="19" t="str">
        <f aca="false">IF(A1934="","",IFERROR(INDEX(Sancoes!$B:$B,MATCH(A1934,Sancoes!$A:$A,0))&amp;"","não consta"))</f>
        <v/>
      </c>
      <c r="L1934" s="19" t="str">
        <f aca="false">IF(A1934="","",IFERROR(INDEX(Eleitoral!$B:$B,MATCH(A1934,Eleitoral!$A:$A,0))&amp;"","não consta"))</f>
        <v/>
      </c>
      <c r="M1934" s="28" t="str">
        <f aca="false">IF(A1934="","",IF(OR(AND(K1934&lt;&gt;"",LOWER(K1934)&lt;&gt;"não consta"),AND(L1934&lt;&gt;"",LOWER(L1934)&lt;&gt;"não consta"),IFERROR(INDEX(Empresas!$G:$G,MATCH(A1934,Empresas!$A:$A,0))&amp;"","")&lt;&gt;""),"SIM",""))</f>
        <v/>
      </c>
      <c r="N1934" s="5"/>
      <c r="O1934" s="32" t="str">
        <f aca="false">IF(D1934="","",YEAR(D1934))</f>
        <v/>
      </c>
      <c r="P1934" s="5"/>
    </row>
    <row r="1935" customFormat="false" ht="15" hidden="false" customHeight="false" outlineLevel="0" collapsed="false">
      <c r="A1935" s="27"/>
      <c r="B1935" s="5"/>
      <c r="C1935" s="35"/>
      <c r="D1935" s="18"/>
      <c r="E1935" s="5"/>
      <c r="F1935" s="14"/>
      <c r="G1935" s="5"/>
      <c r="H1935" s="27"/>
      <c r="I1935" s="5"/>
      <c r="J1935" s="19" t="str">
        <f aca="false">IF(A1935="","",IFERROR(INDEX(Empresas!$D:$D,MATCH(A1935,Empresas!$A:$A,0))&amp;"","não consta"))</f>
        <v/>
      </c>
      <c r="K1935" s="19" t="str">
        <f aca="false">IF(A1935="","",IFERROR(INDEX(Sancoes!$B:$B,MATCH(A1935,Sancoes!$A:$A,0))&amp;"","não consta"))</f>
        <v/>
      </c>
      <c r="L1935" s="19" t="str">
        <f aca="false">IF(A1935="","",IFERROR(INDEX(Eleitoral!$B:$B,MATCH(A1935,Eleitoral!$A:$A,0))&amp;"","não consta"))</f>
        <v/>
      </c>
      <c r="M1935" s="28" t="str">
        <f aca="false">IF(A1935="","",IF(OR(AND(K1935&lt;&gt;"",LOWER(K1935)&lt;&gt;"não consta"),AND(L1935&lt;&gt;"",LOWER(L1935)&lt;&gt;"não consta"),IFERROR(INDEX(Empresas!$G:$G,MATCH(A1935,Empresas!$A:$A,0))&amp;"","")&lt;&gt;""),"SIM",""))</f>
        <v/>
      </c>
      <c r="N1935" s="5"/>
      <c r="O1935" s="32" t="str">
        <f aca="false">IF(D1935="","",YEAR(D1935))</f>
        <v/>
      </c>
      <c r="P1935" s="5"/>
    </row>
    <row r="1936" customFormat="false" ht="15" hidden="false" customHeight="false" outlineLevel="0" collapsed="false">
      <c r="A1936" s="27"/>
      <c r="B1936" s="5"/>
      <c r="C1936" s="35"/>
      <c r="D1936" s="18"/>
      <c r="E1936" s="5"/>
      <c r="F1936" s="14"/>
      <c r="G1936" s="5"/>
      <c r="H1936" s="27"/>
      <c r="I1936" s="5"/>
      <c r="J1936" s="19" t="str">
        <f aca="false">IF(A1936="","",IFERROR(INDEX(Empresas!$D:$D,MATCH(A1936,Empresas!$A:$A,0))&amp;"","não consta"))</f>
        <v/>
      </c>
      <c r="K1936" s="19" t="str">
        <f aca="false">IF(A1936="","",IFERROR(INDEX(Sancoes!$B:$B,MATCH(A1936,Sancoes!$A:$A,0))&amp;"","não consta"))</f>
        <v/>
      </c>
      <c r="L1936" s="19" t="str">
        <f aca="false">IF(A1936="","",IFERROR(INDEX(Eleitoral!$B:$B,MATCH(A1936,Eleitoral!$A:$A,0))&amp;"","não consta"))</f>
        <v/>
      </c>
      <c r="M1936" s="28" t="str">
        <f aca="false">IF(A1936="","",IF(OR(AND(K1936&lt;&gt;"",LOWER(K1936)&lt;&gt;"não consta"),AND(L1936&lt;&gt;"",LOWER(L1936)&lt;&gt;"não consta"),IFERROR(INDEX(Empresas!$G:$G,MATCH(A1936,Empresas!$A:$A,0))&amp;"","")&lt;&gt;""),"SIM",""))</f>
        <v/>
      </c>
      <c r="N1936" s="5"/>
      <c r="O1936" s="32" t="str">
        <f aca="false">IF(D1936="","",YEAR(D1936))</f>
        <v/>
      </c>
      <c r="P1936" s="5"/>
    </row>
    <row r="1937" customFormat="false" ht="15" hidden="false" customHeight="false" outlineLevel="0" collapsed="false">
      <c r="A1937" s="27"/>
      <c r="B1937" s="5"/>
      <c r="C1937" s="35"/>
      <c r="D1937" s="18"/>
      <c r="E1937" s="5"/>
      <c r="F1937" s="14"/>
      <c r="G1937" s="5"/>
      <c r="H1937" s="27"/>
      <c r="I1937" s="5"/>
      <c r="J1937" s="19" t="str">
        <f aca="false">IF(A1937="","",IFERROR(INDEX(Empresas!$D:$D,MATCH(A1937,Empresas!$A:$A,0))&amp;"","não consta"))</f>
        <v/>
      </c>
      <c r="K1937" s="19" t="str">
        <f aca="false">IF(A1937="","",IFERROR(INDEX(Sancoes!$B:$B,MATCH(A1937,Sancoes!$A:$A,0))&amp;"","não consta"))</f>
        <v/>
      </c>
      <c r="L1937" s="19" t="str">
        <f aca="false">IF(A1937="","",IFERROR(INDEX(Eleitoral!$B:$B,MATCH(A1937,Eleitoral!$A:$A,0))&amp;"","não consta"))</f>
        <v/>
      </c>
      <c r="M1937" s="28" t="str">
        <f aca="false">IF(A1937="","",IF(OR(AND(K1937&lt;&gt;"",LOWER(K1937)&lt;&gt;"não consta"),AND(L1937&lt;&gt;"",LOWER(L1937)&lt;&gt;"não consta"),IFERROR(INDEX(Empresas!$G:$G,MATCH(A1937,Empresas!$A:$A,0))&amp;"","")&lt;&gt;""),"SIM",""))</f>
        <v/>
      </c>
      <c r="N1937" s="5"/>
      <c r="O1937" s="32" t="str">
        <f aca="false">IF(D1937="","",YEAR(D1937))</f>
        <v/>
      </c>
      <c r="P1937" s="5"/>
    </row>
    <row r="1938" customFormat="false" ht="15" hidden="false" customHeight="false" outlineLevel="0" collapsed="false">
      <c r="A1938" s="27"/>
      <c r="B1938" s="5"/>
      <c r="C1938" s="35"/>
      <c r="D1938" s="18"/>
      <c r="E1938" s="5"/>
      <c r="F1938" s="14"/>
      <c r="G1938" s="5"/>
      <c r="H1938" s="27"/>
      <c r="I1938" s="5"/>
      <c r="J1938" s="19" t="str">
        <f aca="false">IF(A1938="","",IFERROR(INDEX(Empresas!$D:$D,MATCH(A1938,Empresas!$A:$A,0))&amp;"","não consta"))</f>
        <v/>
      </c>
      <c r="K1938" s="19" t="str">
        <f aca="false">IF(A1938="","",IFERROR(INDEX(Sancoes!$B:$B,MATCH(A1938,Sancoes!$A:$A,0))&amp;"","não consta"))</f>
        <v/>
      </c>
      <c r="L1938" s="19" t="str">
        <f aca="false">IF(A1938="","",IFERROR(INDEX(Eleitoral!$B:$B,MATCH(A1938,Eleitoral!$A:$A,0))&amp;"","não consta"))</f>
        <v/>
      </c>
      <c r="M1938" s="28" t="str">
        <f aca="false">IF(A1938="","",IF(OR(AND(K1938&lt;&gt;"",LOWER(K1938)&lt;&gt;"não consta"),AND(L1938&lt;&gt;"",LOWER(L1938)&lt;&gt;"não consta"),IFERROR(INDEX(Empresas!$G:$G,MATCH(A1938,Empresas!$A:$A,0))&amp;"","")&lt;&gt;""),"SIM",""))</f>
        <v/>
      </c>
      <c r="N1938" s="5"/>
      <c r="O1938" s="32" t="str">
        <f aca="false">IF(D1938="","",YEAR(D1938))</f>
        <v/>
      </c>
      <c r="P1938" s="5"/>
    </row>
    <row r="1939" customFormat="false" ht="15" hidden="false" customHeight="false" outlineLevel="0" collapsed="false">
      <c r="A1939" s="27"/>
      <c r="B1939" s="5"/>
      <c r="C1939" s="35"/>
      <c r="D1939" s="18"/>
      <c r="E1939" s="5"/>
      <c r="F1939" s="14"/>
      <c r="G1939" s="5"/>
      <c r="H1939" s="27"/>
      <c r="I1939" s="5"/>
      <c r="J1939" s="19" t="str">
        <f aca="false">IF(A1939="","",IFERROR(INDEX(Empresas!$D:$D,MATCH(A1939,Empresas!$A:$A,0))&amp;"","não consta"))</f>
        <v/>
      </c>
      <c r="K1939" s="19" t="str">
        <f aca="false">IF(A1939="","",IFERROR(INDEX(Sancoes!$B:$B,MATCH(A1939,Sancoes!$A:$A,0))&amp;"","não consta"))</f>
        <v/>
      </c>
      <c r="L1939" s="19" t="str">
        <f aca="false">IF(A1939="","",IFERROR(INDEX(Eleitoral!$B:$B,MATCH(A1939,Eleitoral!$A:$A,0))&amp;"","não consta"))</f>
        <v/>
      </c>
      <c r="M1939" s="28" t="str">
        <f aca="false">IF(A1939="","",IF(OR(AND(K1939&lt;&gt;"",LOWER(K1939)&lt;&gt;"não consta"),AND(L1939&lt;&gt;"",LOWER(L1939)&lt;&gt;"não consta"),IFERROR(INDEX(Empresas!$G:$G,MATCH(A1939,Empresas!$A:$A,0))&amp;"","")&lt;&gt;""),"SIM",""))</f>
        <v/>
      </c>
      <c r="N1939" s="5"/>
      <c r="O1939" s="32" t="str">
        <f aca="false">IF(D1939="","",YEAR(D1939))</f>
        <v/>
      </c>
      <c r="P1939" s="5"/>
    </row>
    <row r="1940" customFormat="false" ht="15" hidden="false" customHeight="false" outlineLevel="0" collapsed="false">
      <c r="A1940" s="27"/>
      <c r="B1940" s="5"/>
      <c r="C1940" s="35"/>
      <c r="D1940" s="18"/>
      <c r="E1940" s="5"/>
      <c r="F1940" s="14"/>
      <c r="G1940" s="5"/>
      <c r="H1940" s="27"/>
      <c r="I1940" s="5"/>
      <c r="J1940" s="19" t="str">
        <f aca="false">IF(A1940="","",IFERROR(INDEX(Empresas!$D:$D,MATCH(A1940,Empresas!$A:$A,0))&amp;"","não consta"))</f>
        <v/>
      </c>
      <c r="K1940" s="19" t="str">
        <f aca="false">IF(A1940="","",IFERROR(INDEX(Sancoes!$B:$B,MATCH(A1940,Sancoes!$A:$A,0))&amp;"","não consta"))</f>
        <v/>
      </c>
      <c r="L1940" s="19" t="str">
        <f aca="false">IF(A1940="","",IFERROR(INDEX(Eleitoral!$B:$B,MATCH(A1940,Eleitoral!$A:$A,0))&amp;"","não consta"))</f>
        <v/>
      </c>
      <c r="M1940" s="28" t="str">
        <f aca="false">IF(A1940="","",IF(OR(AND(K1940&lt;&gt;"",LOWER(K1940)&lt;&gt;"não consta"),AND(L1940&lt;&gt;"",LOWER(L1940)&lt;&gt;"não consta"),IFERROR(INDEX(Empresas!$G:$G,MATCH(A1940,Empresas!$A:$A,0))&amp;"","")&lt;&gt;""),"SIM",""))</f>
        <v/>
      </c>
      <c r="N1940" s="5"/>
      <c r="O1940" s="32" t="str">
        <f aca="false">IF(D1940="","",YEAR(D1940))</f>
        <v/>
      </c>
      <c r="P1940" s="5"/>
    </row>
    <row r="1941" customFormat="false" ht="15" hidden="false" customHeight="false" outlineLevel="0" collapsed="false">
      <c r="A1941" s="27"/>
      <c r="B1941" s="5"/>
      <c r="C1941" s="35"/>
      <c r="D1941" s="18"/>
      <c r="E1941" s="5"/>
      <c r="F1941" s="14"/>
      <c r="G1941" s="5"/>
      <c r="H1941" s="27"/>
      <c r="I1941" s="5"/>
      <c r="J1941" s="19" t="str">
        <f aca="false">IF(A1941="","",IFERROR(INDEX(Empresas!$D:$D,MATCH(A1941,Empresas!$A:$A,0))&amp;"","não consta"))</f>
        <v/>
      </c>
      <c r="K1941" s="19" t="str">
        <f aca="false">IF(A1941="","",IFERROR(INDEX(Sancoes!$B:$B,MATCH(A1941,Sancoes!$A:$A,0))&amp;"","não consta"))</f>
        <v/>
      </c>
      <c r="L1941" s="19" t="str">
        <f aca="false">IF(A1941="","",IFERROR(INDEX(Eleitoral!$B:$B,MATCH(A1941,Eleitoral!$A:$A,0))&amp;"","não consta"))</f>
        <v/>
      </c>
      <c r="M1941" s="28" t="str">
        <f aca="false">IF(A1941="","",IF(OR(AND(K1941&lt;&gt;"",LOWER(K1941)&lt;&gt;"não consta"),AND(L1941&lt;&gt;"",LOWER(L1941)&lt;&gt;"não consta"),IFERROR(INDEX(Empresas!$G:$G,MATCH(A1941,Empresas!$A:$A,0))&amp;"","")&lt;&gt;""),"SIM",""))</f>
        <v/>
      </c>
      <c r="N1941" s="5"/>
      <c r="O1941" s="32" t="str">
        <f aca="false">IF(D1941="","",YEAR(D1941))</f>
        <v/>
      </c>
      <c r="P1941" s="5"/>
    </row>
    <row r="1942" customFormat="false" ht="15" hidden="false" customHeight="false" outlineLevel="0" collapsed="false">
      <c r="A1942" s="27"/>
      <c r="B1942" s="5"/>
      <c r="C1942" s="35"/>
      <c r="D1942" s="18"/>
      <c r="E1942" s="5"/>
      <c r="F1942" s="14"/>
      <c r="G1942" s="5"/>
      <c r="H1942" s="27"/>
      <c r="I1942" s="5"/>
      <c r="J1942" s="19" t="str">
        <f aca="false">IF(A1942="","",IFERROR(INDEX(Empresas!$D:$D,MATCH(A1942,Empresas!$A:$A,0))&amp;"","não consta"))</f>
        <v/>
      </c>
      <c r="K1942" s="19" t="str">
        <f aca="false">IF(A1942="","",IFERROR(INDEX(Sancoes!$B:$B,MATCH(A1942,Sancoes!$A:$A,0))&amp;"","não consta"))</f>
        <v/>
      </c>
      <c r="L1942" s="19" t="str">
        <f aca="false">IF(A1942="","",IFERROR(INDEX(Eleitoral!$B:$B,MATCH(A1942,Eleitoral!$A:$A,0))&amp;"","não consta"))</f>
        <v/>
      </c>
      <c r="M1942" s="28" t="str">
        <f aca="false">IF(A1942="","",IF(OR(AND(K1942&lt;&gt;"",LOWER(K1942)&lt;&gt;"não consta"),AND(L1942&lt;&gt;"",LOWER(L1942)&lt;&gt;"não consta"),IFERROR(INDEX(Empresas!$G:$G,MATCH(A1942,Empresas!$A:$A,0))&amp;"","")&lt;&gt;""),"SIM",""))</f>
        <v/>
      </c>
      <c r="N1942" s="5"/>
      <c r="O1942" s="32" t="str">
        <f aca="false">IF(D1942="","",YEAR(D1942))</f>
        <v/>
      </c>
      <c r="P1942" s="5"/>
    </row>
    <row r="1943" customFormat="false" ht="15" hidden="false" customHeight="false" outlineLevel="0" collapsed="false">
      <c r="A1943" s="27"/>
      <c r="B1943" s="5"/>
      <c r="C1943" s="35"/>
      <c r="D1943" s="18"/>
      <c r="E1943" s="5"/>
      <c r="F1943" s="14"/>
      <c r="G1943" s="5"/>
      <c r="H1943" s="27"/>
      <c r="I1943" s="5"/>
      <c r="J1943" s="19" t="str">
        <f aca="false">IF(A1943="","",IFERROR(INDEX(Empresas!$D:$D,MATCH(A1943,Empresas!$A:$A,0))&amp;"","não consta"))</f>
        <v/>
      </c>
      <c r="K1943" s="19" t="str">
        <f aca="false">IF(A1943="","",IFERROR(INDEX(Sancoes!$B:$B,MATCH(A1943,Sancoes!$A:$A,0))&amp;"","não consta"))</f>
        <v/>
      </c>
      <c r="L1943" s="19" t="str">
        <f aca="false">IF(A1943="","",IFERROR(INDEX(Eleitoral!$B:$B,MATCH(A1943,Eleitoral!$A:$A,0))&amp;"","não consta"))</f>
        <v/>
      </c>
      <c r="M1943" s="28" t="str">
        <f aca="false">IF(A1943="","",IF(OR(AND(K1943&lt;&gt;"",LOWER(K1943)&lt;&gt;"não consta"),AND(L1943&lt;&gt;"",LOWER(L1943)&lt;&gt;"não consta"),IFERROR(INDEX(Empresas!$G:$G,MATCH(A1943,Empresas!$A:$A,0))&amp;"","")&lt;&gt;""),"SIM",""))</f>
        <v/>
      </c>
      <c r="N1943" s="5"/>
      <c r="O1943" s="32" t="str">
        <f aca="false">IF(D1943="","",YEAR(D1943))</f>
        <v/>
      </c>
      <c r="P1943" s="5"/>
    </row>
    <row r="1944" customFormat="false" ht="15" hidden="false" customHeight="false" outlineLevel="0" collapsed="false">
      <c r="A1944" s="27"/>
      <c r="B1944" s="5"/>
      <c r="C1944" s="35"/>
      <c r="D1944" s="18"/>
      <c r="E1944" s="5"/>
      <c r="F1944" s="14"/>
      <c r="G1944" s="5"/>
      <c r="H1944" s="27"/>
      <c r="I1944" s="5"/>
      <c r="J1944" s="19" t="str">
        <f aca="false">IF(A1944="","",IFERROR(INDEX(Empresas!$D:$D,MATCH(A1944,Empresas!$A:$A,0))&amp;"","não consta"))</f>
        <v/>
      </c>
      <c r="K1944" s="19" t="str">
        <f aca="false">IF(A1944="","",IFERROR(INDEX(Sancoes!$B:$B,MATCH(A1944,Sancoes!$A:$A,0))&amp;"","não consta"))</f>
        <v/>
      </c>
      <c r="L1944" s="19" t="str">
        <f aca="false">IF(A1944="","",IFERROR(INDEX(Eleitoral!$B:$B,MATCH(A1944,Eleitoral!$A:$A,0))&amp;"","não consta"))</f>
        <v/>
      </c>
      <c r="M1944" s="28" t="str">
        <f aca="false">IF(A1944="","",IF(OR(AND(K1944&lt;&gt;"",LOWER(K1944)&lt;&gt;"não consta"),AND(L1944&lt;&gt;"",LOWER(L1944)&lt;&gt;"não consta"),IFERROR(INDEX(Empresas!$G:$G,MATCH(A1944,Empresas!$A:$A,0))&amp;"","")&lt;&gt;""),"SIM",""))</f>
        <v/>
      </c>
      <c r="N1944" s="5"/>
      <c r="O1944" s="32" t="str">
        <f aca="false">IF(D1944="","",YEAR(D1944))</f>
        <v/>
      </c>
      <c r="P1944" s="5"/>
    </row>
    <row r="1945" customFormat="false" ht="15" hidden="false" customHeight="false" outlineLevel="0" collapsed="false">
      <c r="A1945" s="27"/>
      <c r="B1945" s="5"/>
      <c r="C1945" s="35"/>
      <c r="D1945" s="18"/>
      <c r="E1945" s="5"/>
      <c r="F1945" s="14"/>
      <c r="G1945" s="5"/>
      <c r="H1945" s="27"/>
      <c r="I1945" s="5"/>
      <c r="J1945" s="19" t="str">
        <f aca="false">IF(A1945="","",IFERROR(INDEX(Empresas!$D:$D,MATCH(A1945,Empresas!$A:$A,0))&amp;"","não consta"))</f>
        <v/>
      </c>
      <c r="K1945" s="19" t="str">
        <f aca="false">IF(A1945="","",IFERROR(INDEX(Sancoes!$B:$B,MATCH(A1945,Sancoes!$A:$A,0))&amp;"","não consta"))</f>
        <v/>
      </c>
      <c r="L1945" s="19" t="str">
        <f aca="false">IF(A1945="","",IFERROR(INDEX(Eleitoral!$B:$B,MATCH(A1945,Eleitoral!$A:$A,0))&amp;"","não consta"))</f>
        <v/>
      </c>
      <c r="M1945" s="28" t="str">
        <f aca="false">IF(A1945="","",IF(OR(AND(K1945&lt;&gt;"",LOWER(K1945)&lt;&gt;"não consta"),AND(L1945&lt;&gt;"",LOWER(L1945)&lt;&gt;"não consta"),IFERROR(INDEX(Empresas!$G:$G,MATCH(A1945,Empresas!$A:$A,0))&amp;"","")&lt;&gt;""),"SIM",""))</f>
        <v/>
      </c>
      <c r="N1945" s="5"/>
      <c r="O1945" s="32" t="str">
        <f aca="false">IF(D1945="","",YEAR(D1945))</f>
        <v/>
      </c>
      <c r="P1945" s="5"/>
    </row>
    <row r="1946" customFormat="false" ht="15" hidden="false" customHeight="false" outlineLevel="0" collapsed="false">
      <c r="A1946" s="27"/>
      <c r="B1946" s="5"/>
      <c r="C1946" s="35"/>
      <c r="D1946" s="18"/>
      <c r="E1946" s="5"/>
      <c r="F1946" s="14"/>
      <c r="G1946" s="5"/>
      <c r="H1946" s="27"/>
      <c r="I1946" s="5"/>
      <c r="J1946" s="19" t="str">
        <f aca="false">IF(A1946="","",IFERROR(INDEX(Empresas!$D:$D,MATCH(A1946,Empresas!$A:$A,0))&amp;"","não consta"))</f>
        <v/>
      </c>
      <c r="K1946" s="19" t="str">
        <f aca="false">IF(A1946="","",IFERROR(INDEX(Sancoes!$B:$B,MATCH(A1946,Sancoes!$A:$A,0))&amp;"","não consta"))</f>
        <v/>
      </c>
      <c r="L1946" s="19" t="str">
        <f aca="false">IF(A1946="","",IFERROR(INDEX(Eleitoral!$B:$B,MATCH(A1946,Eleitoral!$A:$A,0))&amp;"","não consta"))</f>
        <v/>
      </c>
      <c r="M1946" s="28" t="str">
        <f aca="false">IF(A1946="","",IF(OR(AND(K1946&lt;&gt;"",LOWER(K1946)&lt;&gt;"não consta"),AND(L1946&lt;&gt;"",LOWER(L1946)&lt;&gt;"não consta"),IFERROR(INDEX(Empresas!$G:$G,MATCH(A1946,Empresas!$A:$A,0))&amp;"","")&lt;&gt;""),"SIM",""))</f>
        <v/>
      </c>
      <c r="N1946" s="5"/>
      <c r="O1946" s="32" t="str">
        <f aca="false">IF(D1946="","",YEAR(D1946))</f>
        <v/>
      </c>
      <c r="P1946" s="5"/>
    </row>
    <row r="1947" customFormat="false" ht="15" hidden="false" customHeight="false" outlineLevel="0" collapsed="false">
      <c r="A1947" s="27"/>
      <c r="B1947" s="5"/>
      <c r="C1947" s="35"/>
      <c r="D1947" s="18"/>
      <c r="E1947" s="5"/>
      <c r="F1947" s="14"/>
      <c r="G1947" s="5"/>
      <c r="H1947" s="27"/>
      <c r="I1947" s="5"/>
      <c r="J1947" s="19" t="str">
        <f aca="false">IF(A1947="","",IFERROR(INDEX(Empresas!$D:$D,MATCH(A1947,Empresas!$A:$A,0))&amp;"","não consta"))</f>
        <v/>
      </c>
      <c r="K1947" s="19" t="str">
        <f aca="false">IF(A1947="","",IFERROR(INDEX(Sancoes!$B:$B,MATCH(A1947,Sancoes!$A:$A,0))&amp;"","não consta"))</f>
        <v/>
      </c>
      <c r="L1947" s="19" t="str">
        <f aca="false">IF(A1947="","",IFERROR(INDEX(Eleitoral!$B:$B,MATCH(A1947,Eleitoral!$A:$A,0))&amp;"","não consta"))</f>
        <v/>
      </c>
      <c r="M1947" s="28" t="str">
        <f aca="false">IF(A1947="","",IF(OR(AND(K1947&lt;&gt;"",LOWER(K1947)&lt;&gt;"não consta"),AND(L1947&lt;&gt;"",LOWER(L1947)&lt;&gt;"não consta"),IFERROR(INDEX(Empresas!$G:$G,MATCH(A1947,Empresas!$A:$A,0))&amp;"","")&lt;&gt;""),"SIM",""))</f>
        <v/>
      </c>
      <c r="N1947" s="5"/>
      <c r="O1947" s="32" t="str">
        <f aca="false">IF(D1947="","",YEAR(D1947))</f>
        <v/>
      </c>
      <c r="P1947" s="5"/>
    </row>
    <row r="1948" customFormat="false" ht="15" hidden="false" customHeight="false" outlineLevel="0" collapsed="false">
      <c r="A1948" s="27"/>
      <c r="B1948" s="5"/>
      <c r="C1948" s="35"/>
      <c r="D1948" s="18"/>
      <c r="E1948" s="5"/>
      <c r="F1948" s="14"/>
      <c r="G1948" s="5"/>
      <c r="H1948" s="27"/>
      <c r="I1948" s="5"/>
      <c r="J1948" s="19" t="str">
        <f aca="false">IF(A1948="","",IFERROR(INDEX(Empresas!$D:$D,MATCH(A1948,Empresas!$A:$A,0))&amp;"","não consta"))</f>
        <v/>
      </c>
      <c r="K1948" s="19" t="str">
        <f aca="false">IF(A1948="","",IFERROR(INDEX(Sancoes!$B:$B,MATCH(A1948,Sancoes!$A:$A,0))&amp;"","não consta"))</f>
        <v/>
      </c>
      <c r="L1948" s="19" t="str">
        <f aca="false">IF(A1948="","",IFERROR(INDEX(Eleitoral!$B:$B,MATCH(A1948,Eleitoral!$A:$A,0))&amp;"","não consta"))</f>
        <v/>
      </c>
      <c r="M1948" s="28" t="str">
        <f aca="false">IF(A1948="","",IF(OR(AND(K1948&lt;&gt;"",LOWER(K1948)&lt;&gt;"não consta"),AND(L1948&lt;&gt;"",LOWER(L1948)&lt;&gt;"não consta"),IFERROR(INDEX(Empresas!$G:$G,MATCH(A1948,Empresas!$A:$A,0))&amp;"","")&lt;&gt;""),"SIM",""))</f>
        <v/>
      </c>
      <c r="N1948" s="5"/>
      <c r="O1948" s="32" t="str">
        <f aca="false">IF(D1948="","",YEAR(D1948))</f>
        <v/>
      </c>
      <c r="P1948" s="5"/>
    </row>
    <row r="1949" customFormat="false" ht="15" hidden="false" customHeight="false" outlineLevel="0" collapsed="false">
      <c r="A1949" s="27"/>
      <c r="B1949" s="5"/>
      <c r="C1949" s="35"/>
      <c r="D1949" s="18"/>
      <c r="E1949" s="5"/>
      <c r="F1949" s="14"/>
      <c r="G1949" s="5"/>
      <c r="H1949" s="27"/>
      <c r="I1949" s="5"/>
      <c r="J1949" s="19" t="str">
        <f aca="false">IF(A1949="","",IFERROR(INDEX(Empresas!$D:$D,MATCH(A1949,Empresas!$A:$A,0))&amp;"","não consta"))</f>
        <v/>
      </c>
      <c r="K1949" s="19" t="str">
        <f aca="false">IF(A1949="","",IFERROR(INDEX(Sancoes!$B:$B,MATCH(A1949,Sancoes!$A:$A,0))&amp;"","não consta"))</f>
        <v/>
      </c>
      <c r="L1949" s="19" t="str">
        <f aca="false">IF(A1949="","",IFERROR(INDEX(Eleitoral!$B:$B,MATCH(A1949,Eleitoral!$A:$A,0))&amp;"","não consta"))</f>
        <v/>
      </c>
      <c r="M1949" s="28" t="str">
        <f aca="false">IF(A1949="","",IF(OR(AND(K1949&lt;&gt;"",LOWER(K1949)&lt;&gt;"não consta"),AND(L1949&lt;&gt;"",LOWER(L1949)&lt;&gt;"não consta"),IFERROR(INDEX(Empresas!$G:$G,MATCH(A1949,Empresas!$A:$A,0))&amp;"","")&lt;&gt;""),"SIM",""))</f>
        <v/>
      </c>
      <c r="N1949" s="5"/>
      <c r="O1949" s="32" t="str">
        <f aca="false">IF(D1949="","",YEAR(D1949))</f>
        <v/>
      </c>
      <c r="P1949" s="5"/>
    </row>
    <row r="1950" customFormat="false" ht="15" hidden="false" customHeight="false" outlineLevel="0" collapsed="false">
      <c r="A1950" s="27"/>
      <c r="B1950" s="5"/>
      <c r="C1950" s="35"/>
      <c r="D1950" s="18"/>
      <c r="E1950" s="5"/>
      <c r="F1950" s="14"/>
      <c r="G1950" s="5"/>
      <c r="H1950" s="27"/>
      <c r="I1950" s="5"/>
      <c r="J1950" s="19" t="str">
        <f aca="false">IF(A1950="","",IFERROR(INDEX(Empresas!$D:$D,MATCH(A1950,Empresas!$A:$A,0))&amp;"","não consta"))</f>
        <v/>
      </c>
      <c r="K1950" s="19" t="str">
        <f aca="false">IF(A1950="","",IFERROR(INDEX(Sancoes!$B:$B,MATCH(A1950,Sancoes!$A:$A,0))&amp;"","não consta"))</f>
        <v/>
      </c>
      <c r="L1950" s="19" t="str">
        <f aca="false">IF(A1950="","",IFERROR(INDEX(Eleitoral!$B:$B,MATCH(A1950,Eleitoral!$A:$A,0))&amp;"","não consta"))</f>
        <v/>
      </c>
      <c r="M1950" s="28" t="str">
        <f aca="false">IF(A1950="","",IF(OR(AND(K1950&lt;&gt;"",LOWER(K1950)&lt;&gt;"não consta"),AND(L1950&lt;&gt;"",LOWER(L1950)&lt;&gt;"não consta"),IFERROR(INDEX(Empresas!$G:$G,MATCH(A1950,Empresas!$A:$A,0))&amp;"","")&lt;&gt;""),"SIM",""))</f>
        <v/>
      </c>
      <c r="N1950" s="5"/>
      <c r="O1950" s="32" t="str">
        <f aca="false">IF(D1950="","",YEAR(D1950))</f>
        <v/>
      </c>
      <c r="P1950" s="5"/>
    </row>
    <row r="1951" customFormat="false" ht="15" hidden="false" customHeight="false" outlineLevel="0" collapsed="false">
      <c r="A1951" s="27"/>
      <c r="B1951" s="5"/>
      <c r="C1951" s="35"/>
      <c r="D1951" s="18"/>
      <c r="E1951" s="5"/>
      <c r="F1951" s="14"/>
      <c r="G1951" s="5"/>
      <c r="H1951" s="27"/>
      <c r="I1951" s="5"/>
      <c r="J1951" s="19" t="str">
        <f aca="false">IF(A1951="","",IFERROR(INDEX(Empresas!$D:$D,MATCH(A1951,Empresas!$A:$A,0))&amp;"","não consta"))</f>
        <v/>
      </c>
      <c r="K1951" s="19" t="str">
        <f aca="false">IF(A1951="","",IFERROR(INDEX(Sancoes!$B:$B,MATCH(A1951,Sancoes!$A:$A,0))&amp;"","não consta"))</f>
        <v/>
      </c>
      <c r="L1951" s="19" t="str">
        <f aca="false">IF(A1951="","",IFERROR(INDEX(Eleitoral!$B:$B,MATCH(A1951,Eleitoral!$A:$A,0))&amp;"","não consta"))</f>
        <v/>
      </c>
      <c r="M1951" s="28" t="str">
        <f aca="false">IF(A1951="","",IF(OR(AND(K1951&lt;&gt;"",LOWER(K1951)&lt;&gt;"não consta"),AND(L1951&lt;&gt;"",LOWER(L1951)&lt;&gt;"não consta"),IFERROR(INDEX(Empresas!$G:$G,MATCH(A1951,Empresas!$A:$A,0))&amp;"","")&lt;&gt;""),"SIM",""))</f>
        <v/>
      </c>
      <c r="N1951" s="5"/>
      <c r="O1951" s="32" t="str">
        <f aca="false">IF(D1951="","",YEAR(D1951))</f>
        <v/>
      </c>
      <c r="P1951" s="5"/>
    </row>
    <row r="1952" customFormat="false" ht="15" hidden="false" customHeight="false" outlineLevel="0" collapsed="false">
      <c r="A1952" s="27"/>
      <c r="B1952" s="5"/>
      <c r="C1952" s="35"/>
      <c r="D1952" s="18"/>
      <c r="E1952" s="5"/>
      <c r="F1952" s="14"/>
      <c r="G1952" s="5"/>
      <c r="H1952" s="27"/>
      <c r="I1952" s="5"/>
      <c r="J1952" s="19" t="str">
        <f aca="false">IF(A1952="","",IFERROR(INDEX(Empresas!$D:$D,MATCH(A1952,Empresas!$A:$A,0))&amp;"","não consta"))</f>
        <v/>
      </c>
      <c r="K1952" s="19" t="str">
        <f aca="false">IF(A1952="","",IFERROR(INDEX(Sancoes!$B:$B,MATCH(A1952,Sancoes!$A:$A,0))&amp;"","não consta"))</f>
        <v/>
      </c>
      <c r="L1952" s="19" t="str">
        <f aca="false">IF(A1952="","",IFERROR(INDEX(Eleitoral!$B:$B,MATCH(A1952,Eleitoral!$A:$A,0))&amp;"","não consta"))</f>
        <v/>
      </c>
      <c r="M1952" s="28" t="str">
        <f aca="false">IF(A1952="","",IF(OR(AND(K1952&lt;&gt;"",LOWER(K1952)&lt;&gt;"não consta"),AND(L1952&lt;&gt;"",LOWER(L1952)&lt;&gt;"não consta"),IFERROR(INDEX(Empresas!$G:$G,MATCH(A1952,Empresas!$A:$A,0))&amp;"","")&lt;&gt;""),"SIM",""))</f>
        <v/>
      </c>
      <c r="N1952" s="5"/>
      <c r="O1952" s="32" t="str">
        <f aca="false">IF(D1952="","",YEAR(D1952))</f>
        <v/>
      </c>
      <c r="P1952" s="5"/>
    </row>
    <row r="1953" customFormat="false" ht="15" hidden="false" customHeight="false" outlineLevel="0" collapsed="false">
      <c r="A1953" s="27"/>
      <c r="B1953" s="5"/>
      <c r="C1953" s="35"/>
      <c r="D1953" s="18"/>
      <c r="E1953" s="5"/>
      <c r="F1953" s="14"/>
      <c r="G1953" s="5"/>
      <c r="H1953" s="27"/>
      <c r="I1953" s="5"/>
      <c r="J1953" s="19" t="str">
        <f aca="false">IF(A1953="","",IFERROR(INDEX(Empresas!$D:$D,MATCH(A1953,Empresas!$A:$A,0))&amp;"","não consta"))</f>
        <v/>
      </c>
      <c r="K1953" s="19" t="str">
        <f aca="false">IF(A1953="","",IFERROR(INDEX(Sancoes!$B:$B,MATCH(A1953,Sancoes!$A:$A,0))&amp;"","não consta"))</f>
        <v/>
      </c>
      <c r="L1953" s="19" t="str">
        <f aca="false">IF(A1953="","",IFERROR(INDEX(Eleitoral!$B:$B,MATCH(A1953,Eleitoral!$A:$A,0))&amp;"","não consta"))</f>
        <v/>
      </c>
      <c r="M1953" s="28" t="str">
        <f aca="false">IF(A1953="","",IF(OR(AND(K1953&lt;&gt;"",LOWER(K1953)&lt;&gt;"não consta"),AND(L1953&lt;&gt;"",LOWER(L1953)&lt;&gt;"não consta"),IFERROR(INDEX(Empresas!$G:$G,MATCH(A1953,Empresas!$A:$A,0))&amp;"","")&lt;&gt;""),"SIM",""))</f>
        <v/>
      </c>
      <c r="N1953" s="5"/>
      <c r="O1953" s="32" t="str">
        <f aca="false">IF(D1953="","",YEAR(D1953))</f>
        <v/>
      </c>
      <c r="P1953" s="5"/>
    </row>
    <row r="1954" customFormat="false" ht="15" hidden="false" customHeight="false" outlineLevel="0" collapsed="false">
      <c r="A1954" s="27"/>
      <c r="B1954" s="5"/>
      <c r="C1954" s="35"/>
      <c r="D1954" s="18"/>
      <c r="E1954" s="5"/>
      <c r="F1954" s="14"/>
      <c r="G1954" s="5"/>
      <c r="H1954" s="27"/>
      <c r="I1954" s="5"/>
      <c r="J1954" s="19" t="str">
        <f aca="false">IF(A1954="","",IFERROR(INDEX(Empresas!$D:$D,MATCH(A1954,Empresas!$A:$A,0))&amp;"","não consta"))</f>
        <v/>
      </c>
      <c r="K1954" s="19" t="str">
        <f aca="false">IF(A1954="","",IFERROR(INDEX(Sancoes!$B:$B,MATCH(A1954,Sancoes!$A:$A,0))&amp;"","não consta"))</f>
        <v/>
      </c>
      <c r="L1954" s="19" t="str">
        <f aca="false">IF(A1954="","",IFERROR(INDEX(Eleitoral!$B:$B,MATCH(A1954,Eleitoral!$A:$A,0))&amp;"","não consta"))</f>
        <v/>
      </c>
      <c r="M1954" s="28" t="str">
        <f aca="false">IF(A1954="","",IF(OR(AND(K1954&lt;&gt;"",LOWER(K1954)&lt;&gt;"não consta"),AND(L1954&lt;&gt;"",LOWER(L1954)&lt;&gt;"não consta"),IFERROR(INDEX(Empresas!$G:$G,MATCH(A1954,Empresas!$A:$A,0))&amp;"","")&lt;&gt;""),"SIM",""))</f>
        <v/>
      </c>
      <c r="N1954" s="5"/>
      <c r="O1954" s="32" t="str">
        <f aca="false">IF(D1954="","",YEAR(D1954))</f>
        <v/>
      </c>
      <c r="P1954" s="5"/>
    </row>
    <row r="1955" customFormat="false" ht="15" hidden="false" customHeight="false" outlineLevel="0" collapsed="false">
      <c r="A1955" s="27"/>
      <c r="B1955" s="5"/>
      <c r="C1955" s="35"/>
      <c r="D1955" s="18"/>
      <c r="E1955" s="5"/>
      <c r="F1955" s="14"/>
      <c r="G1955" s="5"/>
      <c r="H1955" s="27"/>
      <c r="I1955" s="5"/>
      <c r="J1955" s="19" t="str">
        <f aca="false">IF(A1955="","",IFERROR(INDEX(Empresas!$D:$D,MATCH(A1955,Empresas!$A:$A,0))&amp;"","não consta"))</f>
        <v/>
      </c>
      <c r="K1955" s="19" t="str">
        <f aca="false">IF(A1955="","",IFERROR(INDEX(Sancoes!$B:$B,MATCH(A1955,Sancoes!$A:$A,0))&amp;"","não consta"))</f>
        <v/>
      </c>
      <c r="L1955" s="19" t="str">
        <f aca="false">IF(A1955="","",IFERROR(INDEX(Eleitoral!$B:$B,MATCH(A1955,Eleitoral!$A:$A,0))&amp;"","não consta"))</f>
        <v/>
      </c>
      <c r="M1955" s="28" t="str">
        <f aca="false">IF(A1955="","",IF(OR(AND(K1955&lt;&gt;"",LOWER(K1955)&lt;&gt;"não consta"),AND(L1955&lt;&gt;"",LOWER(L1955)&lt;&gt;"não consta"),IFERROR(INDEX(Empresas!$G:$G,MATCH(A1955,Empresas!$A:$A,0))&amp;"","")&lt;&gt;""),"SIM",""))</f>
        <v/>
      </c>
      <c r="N1955" s="5"/>
      <c r="O1955" s="32" t="str">
        <f aca="false">IF(D1955="","",YEAR(D1955))</f>
        <v/>
      </c>
      <c r="P1955" s="5"/>
    </row>
    <row r="1956" customFormat="false" ht="15" hidden="false" customHeight="false" outlineLevel="0" collapsed="false">
      <c r="A1956" s="27"/>
      <c r="B1956" s="5"/>
      <c r="C1956" s="35"/>
      <c r="D1956" s="18"/>
      <c r="E1956" s="5"/>
      <c r="F1956" s="14"/>
      <c r="G1956" s="5"/>
      <c r="H1956" s="27"/>
      <c r="I1956" s="5"/>
      <c r="J1956" s="19" t="str">
        <f aca="false">IF(A1956="","",IFERROR(INDEX(Empresas!$D:$D,MATCH(A1956,Empresas!$A:$A,0))&amp;"","não consta"))</f>
        <v/>
      </c>
      <c r="K1956" s="19" t="str">
        <f aca="false">IF(A1956="","",IFERROR(INDEX(Sancoes!$B:$B,MATCH(A1956,Sancoes!$A:$A,0))&amp;"","não consta"))</f>
        <v/>
      </c>
      <c r="L1956" s="19" t="str">
        <f aca="false">IF(A1956="","",IFERROR(INDEX(Eleitoral!$B:$B,MATCH(A1956,Eleitoral!$A:$A,0))&amp;"","não consta"))</f>
        <v/>
      </c>
      <c r="M1956" s="28" t="str">
        <f aca="false">IF(A1956="","",IF(OR(AND(K1956&lt;&gt;"",LOWER(K1956)&lt;&gt;"não consta"),AND(L1956&lt;&gt;"",LOWER(L1956)&lt;&gt;"não consta"),IFERROR(INDEX(Empresas!$G:$G,MATCH(A1956,Empresas!$A:$A,0))&amp;"","")&lt;&gt;""),"SIM",""))</f>
        <v/>
      </c>
      <c r="N1956" s="5"/>
      <c r="O1956" s="32" t="str">
        <f aca="false">IF(D1956="","",YEAR(D1956))</f>
        <v/>
      </c>
      <c r="P1956" s="5"/>
    </row>
    <row r="1957" customFormat="false" ht="15" hidden="false" customHeight="false" outlineLevel="0" collapsed="false">
      <c r="A1957" s="27"/>
      <c r="B1957" s="5"/>
      <c r="C1957" s="35"/>
      <c r="D1957" s="18"/>
      <c r="E1957" s="5"/>
      <c r="F1957" s="14"/>
      <c r="G1957" s="5"/>
      <c r="H1957" s="27"/>
      <c r="I1957" s="5"/>
      <c r="J1957" s="19" t="str">
        <f aca="false">IF(A1957="","",IFERROR(INDEX(Empresas!$D:$D,MATCH(A1957,Empresas!$A:$A,0))&amp;"","não consta"))</f>
        <v/>
      </c>
      <c r="K1957" s="19" t="str">
        <f aca="false">IF(A1957="","",IFERROR(INDEX(Sancoes!$B:$B,MATCH(A1957,Sancoes!$A:$A,0))&amp;"","não consta"))</f>
        <v/>
      </c>
      <c r="L1957" s="19" t="str">
        <f aca="false">IF(A1957="","",IFERROR(INDEX(Eleitoral!$B:$B,MATCH(A1957,Eleitoral!$A:$A,0))&amp;"","não consta"))</f>
        <v/>
      </c>
      <c r="M1957" s="28" t="str">
        <f aca="false">IF(A1957="","",IF(OR(AND(K1957&lt;&gt;"",LOWER(K1957)&lt;&gt;"não consta"),AND(L1957&lt;&gt;"",LOWER(L1957)&lt;&gt;"não consta"),IFERROR(INDEX(Empresas!$G:$G,MATCH(A1957,Empresas!$A:$A,0))&amp;"","")&lt;&gt;""),"SIM",""))</f>
        <v/>
      </c>
      <c r="N1957" s="5"/>
      <c r="O1957" s="32" t="str">
        <f aca="false">IF(D1957="","",YEAR(D1957))</f>
        <v/>
      </c>
      <c r="P1957" s="5"/>
    </row>
    <row r="1958" customFormat="false" ht="15" hidden="false" customHeight="false" outlineLevel="0" collapsed="false">
      <c r="A1958" s="27"/>
      <c r="B1958" s="5"/>
      <c r="C1958" s="35"/>
      <c r="D1958" s="18"/>
      <c r="E1958" s="5"/>
      <c r="F1958" s="14"/>
      <c r="G1958" s="5"/>
      <c r="H1958" s="27"/>
      <c r="I1958" s="5"/>
      <c r="J1958" s="19" t="str">
        <f aca="false">IF(A1958="","",IFERROR(INDEX(Empresas!$D:$D,MATCH(A1958,Empresas!$A:$A,0))&amp;"","não consta"))</f>
        <v/>
      </c>
      <c r="K1958" s="19" t="str">
        <f aca="false">IF(A1958="","",IFERROR(INDEX(Sancoes!$B:$B,MATCH(A1958,Sancoes!$A:$A,0))&amp;"","não consta"))</f>
        <v/>
      </c>
      <c r="L1958" s="19" t="str">
        <f aca="false">IF(A1958="","",IFERROR(INDEX(Eleitoral!$B:$B,MATCH(A1958,Eleitoral!$A:$A,0))&amp;"","não consta"))</f>
        <v/>
      </c>
      <c r="M1958" s="28" t="str">
        <f aca="false">IF(A1958="","",IF(OR(AND(K1958&lt;&gt;"",LOWER(K1958)&lt;&gt;"não consta"),AND(L1958&lt;&gt;"",LOWER(L1958)&lt;&gt;"não consta"),IFERROR(INDEX(Empresas!$G:$G,MATCH(A1958,Empresas!$A:$A,0))&amp;"","")&lt;&gt;""),"SIM",""))</f>
        <v/>
      </c>
      <c r="N1958" s="5"/>
      <c r="O1958" s="32" t="str">
        <f aca="false">IF(D1958="","",YEAR(D1958))</f>
        <v/>
      </c>
      <c r="P1958" s="5"/>
    </row>
    <row r="1959" customFormat="false" ht="15" hidden="false" customHeight="false" outlineLevel="0" collapsed="false">
      <c r="A1959" s="27"/>
      <c r="B1959" s="5"/>
      <c r="C1959" s="35"/>
      <c r="D1959" s="18"/>
      <c r="E1959" s="5"/>
      <c r="F1959" s="14"/>
      <c r="G1959" s="5"/>
      <c r="H1959" s="27"/>
      <c r="I1959" s="5"/>
      <c r="J1959" s="19" t="str">
        <f aca="false">IF(A1959="","",IFERROR(INDEX(Empresas!$D:$D,MATCH(A1959,Empresas!$A:$A,0))&amp;"","não consta"))</f>
        <v/>
      </c>
      <c r="K1959" s="19" t="str">
        <f aca="false">IF(A1959="","",IFERROR(INDEX(Sancoes!$B:$B,MATCH(A1959,Sancoes!$A:$A,0))&amp;"","não consta"))</f>
        <v/>
      </c>
      <c r="L1959" s="19" t="str">
        <f aca="false">IF(A1959="","",IFERROR(INDEX(Eleitoral!$B:$B,MATCH(A1959,Eleitoral!$A:$A,0))&amp;"","não consta"))</f>
        <v/>
      </c>
      <c r="M1959" s="28" t="str">
        <f aca="false">IF(A1959="","",IF(OR(AND(K1959&lt;&gt;"",LOWER(K1959)&lt;&gt;"não consta"),AND(L1959&lt;&gt;"",LOWER(L1959)&lt;&gt;"não consta"),IFERROR(INDEX(Empresas!$G:$G,MATCH(A1959,Empresas!$A:$A,0))&amp;"","")&lt;&gt;""),"SIM",""))</f>
        <v/>
      </c>
      <c r="N1959" s="5"/>
      <c r="O1959" s="32" t="str">
        <f aca="false">IF(D1959="","",YEAR(D1959))</f>
        <v/>
      </c>
      <c r="P1959" s="5"/>
    </row>
    <row r="1960" customFormat="false" ht="15" hidden="false" customHeight="false" outlineLevel="0" collapsed="false">
      <c r="A1960" s="27"/>
      <c r="B1960" s="5"/>
      <c r="C1960" s="35"/>
      <c r="D1960" s="18"/>
      <c r="E1960" s="5"/>
      <c r="F1960" s="14"/>
      <c r="G1960" s="5"/>
      <c r="H1960" s="27"/>
      <c r="I1960" s="5"/>
      <c r="J1960" s="19" t="str">
        <f aca="false">IF(A1960="","",IFERROR(INDEX(Empresas!$D:$D,MATCH(A1960,Empresas!$A:$A,0))&amp;"","não consta"))</f>
        <v/>
      </c>
      <c r="K1960" s="19" t="str">
        <f aca="false">IF(A1960="","",IFERROR(INDEX(Sancoes!$B:$B,MATCH(A1960,Sancoes!$A:$A,0))&amp;"","não consta"))</f>
        <v/>
      </c>
      <c r="L1960" s="19" t="str">
        <f aca="false">IF(A1960="","",IFERROR(INDEX(Eleitoral!$B:$B,MATCH(A1960,Eleitoral!$A:$A,0))&amp;"","não consta"))</f>
        <v/>
      </c>
      <c r="M1960" s="28" t="str">
        <f aca="false">IF(A1960="","",IF(OR(AND(K1960&lt;&gt;"",LOWER(K1960)&lt;&gt;"não consta"),AND(L1960&lt;&gt;"",LOWER(L1960)&lt;&gt;"não consta"),IFERROR(INDEX(Empresas!$G:$G,MATCH(A1960,Empresas!$A:$A,0))&amp;"","")&lt;&gt;""),"SIM",""))</f>
        <v/>
      </c>
      <c r="N1960" s="5"/>
      <c r="O1960" s="32" t="str">
        <f aca="false">IF(D1960="","",YEAR(D1960))</f>
        <v/>
      </c>
      <c r="P1960" s="5"/>
    </row>
    <row r="1961" customFormat="false" ht="15" hidden="false" customHeight="false" outlineLevel="0" collapsed="false">
      <c r="A1961" s="27"/>
      <c r="B1961" s="5"/>
      <c r="C1961" s="35"/>
      <c r="D1961" s="18"/>
      <c r="E1961" s="5"/>
      <c r="F1961" s="14"/>
      <c r="G1961" s="5"/>
      <c r="H1961" s="27"/>
      <c r="I1961" s="5"/>
      <c r="J1961" s="19" t="str">
        <f aca="false">IF(A1961="","",IFERROR(INDEX(Empresas!$D:$D,MATCH(A1961,Empresas!$A:$A,0))&amp;"","não consta"))</f>
        <v/>
      </c>
      <c r="K1961" s="19" t="str">
        <f aca="false">IF(A1961="","",IFERROR(INDEX(Sancoes!$B:$B,MATCH(A1961,Sancoes!$A:$A,0))&amp;"","não consta"))</f>
        <v/>
      </c>
      <c r="L1961" s="19" t="str">
        <f aca="false">IF(A1961="","",IFERROR(INDEX(Eleitoral!$B:$B,MATCH(A1961,Eleitoral!$A:$A,0))&amp;"","não consta"))</f>
        <v/>
      </c>
      <c r="M1961" s="28" t="str">
        <f aca="false">IF(A1961="","",IF(OR(AND(K1961&lt;&gt;"",LOWER(K1961)&lt;&gt;"não consta"),AND(L1961&lt;&gt;"",LOWER(L1961)&lt;&gt;"não consta"),IFERROR(INDEX(Empresas!$G:$G,MATCH(A1961,Empresas!$A:$A,0))&amp;"","")&lt;&gt;""),"SIM",""))</f>
        <v/>
      </c>
      <c r="N1961" s="5"/>
      <c r="O1961" s="32" t="str">
        <f aca="false">IF(D1961="","",YEAR(D1961))</f>
        <v/>
      </c>
      <c r="P1961" s="5"/>
    </row>
    <row r="1962" customFormat="false" ht="15" hidden="false" customHeight="false" outlineLevel="0" collapsed="false">
      <c r="A1962" s="27"/>
      <c r="B1962" s="5"/>
      <c r="C1962" s="35"/>
      <c r="D1962" s="18"/>
      <c r="E1962" s="5"/>
      <c r="F1962" s="14"/>
      <c r="G1962" s="5"/>
      <c r="H1962" s="27"/>
      <c r="I1962" s="5"/>
      <c r="J1962" s="19" t="str">
        <f aca="false">IF(A1962="","",IFERROR(INDEX(Empresas!$D:$D,MATCH(A1962,Empresas!$A:$A,0))&amp;"","não consta"))</f>
        <v/>
      </c>
      <c r="K1962" s="19" t="str">
        <f aca="false">IF(A1962="","",IFERROR(INDEX(Sancoes!$B:$B,MATCH(A1962,Sancoes!$A:$A,0))&amp;"","não consta"))</f>
        <v/>
      </c>
      <c r="L1962" s="19" t="str">
        <f aca="false">IF(A1962="","",IFERROR(INDEX(Eleitoral!$B:$B,MATCH(A1962,Eleitoral!$A:$A,0))&amp;"","não consta"))</f>
        <v/>
      </c>
      <c r="M1962" s="28" t="str">
        <f aca="false">IF(A1962="","",IF(OR(AND(K1962&lt;&gt;"",LOWER(K1962)&lt;&gt;"não consta"),AND(L1962&lt;&gt;"",LOWER(L1962)&lt;&gt;"não consta"),IFERROR(INDEX(Empresas!$G:$G,MATCH(A1962,Empresas!$A:$A,0))&amp;"","")&lt;&gt;""),"SIM",""))</f>
        <v/>
      </c>
      <c r="N1962" s="5"/>
      <c r="O1962" s="32" t="str">
        <f aca="false">IF(D1962="","",YEAR(D1962))</f>
        <v/>
      </c>
      <c r="P1962" s="5"/>
    </row>
    <row r="1963" customFormat="false" ht="15" hidden="false" customHeight="false" outlineLevel="0" collapsed="false">
      <c r="A1963" s="27"/>
      <c r="B1963" s="5"/>
      <c r="C1963" s="35"/>
      <c r="D1963" s="18"/>
      <c r="E1963" s="5"/>
      <c r="F1963" s="14"/>
      <c r="G1963" s="5"/>
      <c r="H1963" s="27"/>
      <c r="I1963" s="5"/>
      <c r="J1963" s="19" t="str">
        <f aca="false">IF(A1963="","",IFERROR(INDEX(Empresas!$D:$D,MATCH(A1963,Empresas!$A:$A,0))&amp;"","não consta"))</f>
        <v/>
      </c>
      <c r="K1963" s="19" t="str">
        <f aca="false">IF(A1963="","",IFERROR(INDEX(Sancoes!$B:$B,MATCH(A1963,Sancoes!$A:$A,0))&amp;"","não consta"))</f>
        <v/>
      </c>
      <c r="L1963" s="19" t="str">
        <f aca="false">IF(A1963="","",IFERROR(INDEX(Eleitoral!$B:$B,MATCH(A1963,Eleitoral!$A:$A,0))&amp;"","não consta"))</f>
        <v/>
      </c>
      <c r="M1963" s="28" t="str">
        <f aca="false">IF(A1963="","",IF(OR(AND(K1963&lt;&gt;"",LOWER(K1963)&lt;&gt;"não consta"),AND(L1963&lt;&gt;"",LOWER(L1963)&lt;&gt;"não consta"),IFERROR(INDEX(Empresas!$G:$G,MATCH(A1963,Empresas!$A:$A,0))&amp;"","")&lt;&gt;""),"SIM",""))</f>
        <v/>
      </c>
      <c r="N1963" s="5"/>
      <c r="O1963" s="32" t="str">
        <f aca="false">IF(D1963="","",YEAR(D1963))</f>
        <v/>
      </c>
      <c r="P1963" s="5"/>
    </row>
    <row r="1964" customFormat="false" ht="15" hidden="false" customHeight="false" outlineLevel="0" collapsed="false">
      <c r="A1964" s="27"/>
      <c r="B1964" s="5"/>
      <c r="C1964" s="35"/>
      <c r="D1964" s="18"/>
      <c r="E1964" s="5"/>
      <c r="F1964" s="14"/>
      <c r="G1964" s="5"/>
      <c r="H1964" s="27"/>
      <c r="I1964" s="5"/>
      <c r="J1964" s="19" t="str">
        <f aca="false">IF(A1964="","",IFERROR(INDEX(Empresas!$D:$D,MATCH(A1964,Empresas!$A:$A,0))&amp;"","não consta"))</f>
        <v/>
      </c>
      <c r="K1964" s="19" t="str">
        <f aca="false">IF(A1964="","",IFERROR(INDEX(Sancoes!$B:$B,MATCH(A1964,Sancoes!$A:$A,0))&amp;"","não consta"))</f>
        <v/>
      </c>
      <c r="L1964" s="19" t="str">
        <f aca="false">IF(A1964="","",IFERROR(INDEX(Eleitoral!$B:$B,MATCH(A1964,Eleitoral!$A:$A,0))&amp;"","não consta"))</f>
        <v/>
      </c>
      <c r="M1964" s="28" t="str">
        <f aca="false">IF(A1964="","",IF(OR(AND(K1964&lt;&gt;"",LOWER(K1964)&lt;&gt;"não consta"),AND(L1964&lt;&gt;"",LOWER(L1964)&lt;&gt;"não consta"),IFERROR(INDEX(Empresas!$G:$G,MATCH(A1964,Empresas!$A:$A,0))&amp;"","")&lt;&gt;""),"SIM",""))</f>
        <v/>
      </c>
      <c r="N1964" s="5"/>
      <c r="O1964" s="32" t="str">
        <f aca="false">IF(D1964="","",YEAR(D1964))</f>
        <v/>
      </c>
      <c r="P1964" s="5"/>
    </row>
    <row r="1965" customFormat="false" ht="15" hidden="false" customHeight="false" outlineLevel="0" collapsed="false">
      <c r="A1965" s="27"/>
      <c r="B1965" s="5"/>
      <c r="C1965" s="35"/>
      <c r="D1965" s="18"/>
      <c r="E1965" s="5"/>
      <c r="F1965" s="14"/>
      <c r="G1965" s="5"/>
      <c r="H1965" s="27"/>
      <c r="I1965" s="5"/>
      <c r="J1965" s="19" t="str">
        <f aca="false">IF(A1965="","",IFERROR(INDEX(Empresas!$D:$D,MATCH(A1965,Empresas!$A:$A,0))&amp;"","não consta"))</f>
        <v/>
      </c>
      <c r="K1965" s="19" t="str">
        <f aca="false">IF(A1965="","",IFERROR(INDEX(Sancoes!$B:$B,MATCH(A1965,Sancoes!$A:$A,0))&amp;"","não consta"))</f>
        <v/>
      </c>
      <c r="L1965" s="19" t="str">
        <f aca="false">IF(A1965="","",IFERROR(INDEX(Eleitoral!$B:$B,MATCH(A1965,Eleitoral!$A:$A,0))&amp;"","não consta"))</f>
        <v/>
      </c>
      <c r="M1965" s="28" t="str">
        <f aca="false">IF(A1965="","",IF(OR(AND(K1965&lt;&gt;"",LOWER(K1965)&lt;&gt;"não consta"),AND(L1965&lt;&gt;"",LOWER(L1965)&lt;&gt;"não consta"),IFERROR(INDEX(Empresas!$G:$G,MATCH(A1965,Empresas!$A:$A,0))&amp;"","")&lt;&gt;""),"SIM",""))</f>
        <v/>
      </c>
      <c r="N1965" s="5"/>
      <c r="O1965" s="32" t="str">
        <f aca="false">IF(D1965="","",YEAR(D1965))</f>
        <v/>
      </c>
      <c r="P1965" s="5"/>
    </row>
    <row r="1966" customFormat="false" ht="15" hidden="false" customHeight="false" outlineLevel="0" collapsed="false">
      <c r="A1966" s="27"/>
      <c r="B1966" s="5"/>
      <c r="C1966" s="35"/>
      <c r="D1966" s="18"/>
      <c r="E1966" s="5"/>
      <c r="F1966" s="14"/>
      <c r="G1966" s="5"/>
      <c r="H1966" s="27"/>
      <c r="I1966" s="5"/>
      <c r="J1966" s="19" t="str">
        <f aca="false">IF(A1966="","",IFERROR(INDEX(Empresas!$D:$D,MATCH(A1966,Empresas!$A:$A,0))&amp;"","não consta"))</f>
        <v/>
      </c>
      <c r="K1966" s="19" t="str">
        <f aca="false">IF(A1966="","",IFERROR(INDEX(Sancoes!$B:$B,MATCH(A1966,Sancoes!$A:$A,0))&amp;"","não consta"))</f>
        <v/>
      </c>
      <c r="L1966" s="19" t="str">
        <f aca="false">IF(A1966="","",IFERROR(INDEX(Eleitoral!$B:$B,MATCH(A1966,Eleitoral!$A:$A,0))&amp;"","não consta"))</f>
        <v/>
      </c>
      <c r="M1966" s="28" t="str">
        <f aca="false">IF(A1966="","",IF(OR(AND(K1966&lt;&gt;"",LOWER(K1966)&lt;&gt;"não consta"),AND(L1966&lt;&gt;"",LOWER(L1966)&lt;&gt;"não consta"),IFERROR(INDEX(Empresas!$G:$G,MATCH(A1966,Empresas!$A:$A,0))&amp;"","")&lt;&gt;""),"SIM",""))</f>
        <v/>
      </c>
      <c r="N1966" s="5"/>
      <c r="O1966" s="32" t="str">
        <f aca="false">IF(D1966="","",YEAR(D1966))</f>
        <v/>
      </c>
      <c r="P1966" s="5"/>
    </row>
    <row r="1967" customFormat="false" ht="15" hidden="false" customHeight="false" outlineLevel="0" collapsed="false">
      <c r="A1967" s="27"/>
      <c r="B1967" s="5"/>
      <c r="C1967" s="35"/>
      <c r="D1967" s="18"/>
      <c r="E1967" s="5"/>
      <c r="F1967" s="14"/>
      <c r="G1967" s="5"/>
      <c r="H1967" s="27"/>
      <c r="I1967" s="5"/>
      <c r="J1967" s="19" t="str">
        <f aca="false">IF(A1967="","",IFERROR(INDEX(Empresas!$D:$D,MATCH(A1967,Empresas!$A:$A,0))&amp;"","não consta"))</f>
        <v/>
      </c>
      <c r="K1967" s="19" t="str">
        <f aca="false">IF(A1967="","",IFERROR(INDEX(Sancoes!$B:$B,MATCH(A1967,Sancoes!$A:$A,0))&amp;"","não consta"))</f>
        <v/>
      </c>
      <c r="L1967" s="19" t="str">
        <f aca="false">IF(A1967="","",IFERROR(INDEX(Eleitoral!$B:$B,MATCH(A1967,Eleitoral!$A:$A,0))&amp;"","não consta"))</f>
        <v/>
      </c>
      <c r="M1967" s="28" t="str">
        <f aca="false">IF(A1967="","",IF(OR(AND(K1967&lt;&gt;"",LOWER(K1967)&lt;&gt;"não consta"),AND(L1967&lt;&gt;"",LOWER(L1967)&lt;&gt;"não consta"),IFERROR(INDEX(Empresas!$G:$G,MATCH(A1967,Empresas!$A:$A,0))&amp;"","")&lt;&gt;""),"SIM",""))</f>
        <v/>
      </c>
      <c r="N1967" s="5"/>
      <c r="O1967" s="32" t="str">
        <f aca="false">IF(D1967="","",YEAR(D1967))</f>
        <v/>
      </c>
      <c r="P1967" s="5"/>
    </row>
    <row r="1968" customFormat="false" ht="15" hidden="false" customHeight="false" outlineLevel="0" collapsed="false">
      <c r="A1968" s="27"/>
      <c r="B1968" s="5"/>
      <c r="C1968" s="35"/>
      <c r="D1968" s="18"/>
      <c r="E1968" s="5"/>
      <c r="F1968" s="14"/>
      <c r="G1968" s="5"/>
      <c r="H1968" s="27"/>
      <c r="I1968" s="5"/>
      <c r="J1968" s="19" t="str">
        <f aca="false">IF(A1968="","",IFERROR(INDEX(Empresas!$D:$D,MATCH(A1968,Empresas!$A:$A,0))&amp;"","não consta"))</f>
        <v/>
      </c>
      <c r="K1968" s="19" t="str">
        <f aca="false">IF(A1968="","",IFERROR(INDEX(Sancoes!$B:$B,MATCH(A1968,Sancoes!$A:$A,0))&amp;"","não consta"))</f>
        <v/>
      </c>
      <c r="L1968" s="19" t="str">
        <f aca="false">IF(A1968="","",IFERROR(INDEX(Eleitoral!$B:$B,MATCH(A1968,Eleitoral!$A:$A,0))&amp;"","não consta"))</f>
        <v/>
      </c>
      <c r="M1968" s="28" t="str">
        <f aca="false">IF(A1968="","",IF(OR(AND(K1968&lt;&gt;"",LOWER(K1968)&lt;&gt;"não consta"),AND(L1968&lt;&gt;"",LOWER(L1968)&lt;&gt;"não consta"),IFERROR(INDEX(Empresas!$G:$G,MATCH(A1968,Empresas!$A:$A,0))&amp;"","")&lt;&gt;""),"SIM",""))</f>
        <v/>
      </c>
      <c r="N1968" s="5"/>
      <c r="O1968" s="32" t="str">
        <f aca="false">IF(D1968="","",YEAR(D1968))</f>
        <v/>
      </c>
      <c r="P1968" s="5"/>
    </row>
    <row r="1969" customFormat="false" ht="15" hidden="false" customHeight="false" outlineLevel="0" collapsed="false">
      <c r="A1969" s="27"/>
      <c r="B1969" s="5"/>
      <c r="C1969" s="35"/>
      <c r="D1969" s="18"/>
      <c r="E1969" s="5"/>
      <c r="F1969" s="14"/>
      <c r="G1969" s="5"/>
      <c r="H1969" s="27"/>
      <c r="I1969" s="5"/>
      <c r="J1969" s="19" t="str">
        <f aca="false">IF(A1969="","",IFERROR(INDEX(Empresas!$D:$D,MATCH(A1969,Empresas!$A:$A,0))&amp;"","não consta"))</f>
        <v/>
      </c>
      <c r="K1969" s="19" t="str">
        <f aca="false">IF(A1969="","",IFERROR(INDEX(Sancoes!$B:$B,MATCH(A1969,Sancoes!$A:$A,0))&amp;"","não consta"))</f>
        <v/>
      </c>
      <c r="L1969" s="19" t="str">
        <f aca="false">IF(A1969="","",IFERROR(INDEX(Eleitoral!$B:$B,MATCH(A1969,Eleitoral!$A:$A,0))&amp;"","não consta"))</f>
        <v/>
      </c>
      <c r="M1969" s="28" t="str">
        <f aca="false">IF(A1969="","",IF(OR(AND(K1969&lt;&gt;"",LOWER(K1969)&lt;&gt;"não consta"),AND(L1969&lt;&gt;"",LOWER(L1969)&lt;&gt;"não consta"),IFERROR(INDEX(Empresas!$G:$G,MATCH(A1969,Empresas!$A:$A,0))&amp;"","")&lt;&gt;""),"SIM",""))</f>
        <v/>
      </c>
      <c r="N1969" s="5"/>
      <c r="O1969" s="32" t="str">
        <f aca="false">IF(D1969="","",YEAR(D1969))</f>
        <v/>
      </c>
      <c r="P1969" s="5"/>
    </row>
    <row r="1970" customFormat="false" ht="15" hidden="false" customHeight="false" outlineLevel="0" collapsed="false">
      <c r="A1970" s="27"/>
      <c r="B1970" s="5"/>
      <c r="C1970" s="35"/>
      <c r="D1970" s="18"/>
      <c r="E1970" s="5"/>
      <c r="F1970" s="14"/>
      <c r="G1970" s="5"/>
      <c r="H1970" s="27"/>
      <c r="I1970" s="5"/>
      <c r="J1970" s="19" t="str">
        <f aca="false">IF(A1970="","",IFERROR(INDEX(Empresas!$D:$D,MATCH(A1970,Empresas!$A:$A,0))&amp;"","não consta"))</f>
        <v/>
      </c>
      <c r="K1970" s="19" t="str">
        <f aca="false">IF(A1970="","",IFERROR(INDEX(Sancoes!$B:$B,MATCH(A1970,Sancoes!$A:$A,0))&amp;"","não consta"))</f>
        <v/>
      </c>
      <c r="L1970" s="19" t="str">
        <f aca="false">IF(A1970="","",IFERROR(INDEX(Eleitoral!$B:$B,MATCH(A1970,Eleitoral!$A:$A,0))&amp;"","não consta"))</f>
        <v/>
      </c>
      <c r="M1970" s="28" t="str">
        <f aca="false">IF(A1970="","",IF(OR(AND(K1970&lt;&gt;"",LOWER(K1970)&lt;&gt;"não consta"),AND(L1970&lt;&gt;"",LOWER(L1970)&lt;&gt;"não consta"),IFERROR(INDEX(Empresas!$G:$G,MATCH(A1970,Empresas!$A:$A,0))&amp;"","")&lt;&gt;""),"SIM",""))</f>
        <v/>
      </c>
      <c r="N1970" s="5"/>
      <c r="O1970" s="32" t="str">
        <f aca="false">IF(D1970="","",YEAR(D1970))</f>
        <v/>
      </c>
      <c r="P1970" s="5"/>
    </row>
    <row r="1971" customFormat="false" ht="15" hidden="false" customHeight="false" outlineLevel="0" collapsed="false">
      <c r="A1971" s="27"/>
      <c r="B1971" s="5"/>
      <c r="C1971" s="35"/>
      <c r="D1971" s="18"/>
      <c r="E1971" s="5"/>
      <c r="F1971" s="14"/>
      <c r="G1971" s="5"/>
      <c r="H1971" s="27"/>
      <c r="I1971" s="5"/>
      <c r="J1971" s="19" t="str">
        <f aca="false">IF(A1971="","",IFERROR(INDEX(Empresas!$D:$D,MATCH(A1971,Empresas!$A:$A,0))&amp;"","não consta"))</f>
        <v/>
      </c>
      <c r="K1971" s="19" t="str">
        <f aca="false">IF(A1971="","",IFERROR(INDEX(Sancoes!$B:$B,MATCH(A1971,Sancoes!$A:$A,0))&amp;"","não consta"))</f>
        <v/>
      </c>
      <c r="L1971" s="19" t="str">
        <f aca="false">IF(A1971="","",IFERROR(INDEX(Eleitoral!$B:$B,MATCH(A1971,Eleitoral!$A:$A,0))&amp;"","não consta"))</f>
        <v/>
      </c>
      <c r="M1971" s="28" t="str">
        <f aca="false">IF(A1971="","",IF(OR(AND(K1971&lt;&gt;"",LOWER(K1971)&lt;&gt;"não consta"),AND(L1971&lt;&gt;"",LOWER(L1971)&lt;&gt;"não consta"),IFERROR(INDEX(Empresas!$G:$G,MATCH(A1971,Empresas!$A:$A,0))&amp;"","")&lt;&gt;""),"SIM",""))</f>
        <v/>
      </c>
      <c r="N1971" s="5"/>
      <c r="O1971" s="32" t="str">
        <f aca="false">IF(D1971="","",YEAR(D1971))</f>
        <v/>
      </c>
      <c r="P1971" s="5"/>
    </row>
    <row r="1972" customFormat="false" ht="15" hidden="false" customHeight="false" outlineLevel="0" collapsed="false">
      <c r="A1972" s="27"/>
      <c r="B1972" s="5"/>
      <c r="C1972" s="35"/>
      <c r="D1972" s="18"/>
      <c r="E1972" s="5"/>
      <c r="F1972" s="14"/>
      <c r="G1972" s="5"/>
      <c r="H1972" s="27"/>
      <c r="I1972" s="5"/>
      <c r="J1972" s="19" t="str">
        <f aca="false">IF(A1972="","",IFERROR(INDEX(Empresas!$D:$D,MATCH(A1972,Empresas!$A:$A,0))&amp;"","não consta"))</f>
        <v/>
      </c>
      <c r="K1972" s="19" t="str">
        <f aca="false">IF(A1972="","",IFERROR(INDEX(Sancoes!$B:$B,MATCH(A1972,Sancoes!$A:$A,0))&amp;"","não consta"))</f>
        <v/>
      </c>
      <c r="L1972" s="19" t="str">
        <f aca="false">IF(A1972="","",IFERROR(INDEX(Eleitoral!$B:$B,MATCH(A1972,Eleitoral!$A:$A,0))&amp;"","não consta"))</f>
        <v/>
      </c>
      <c r="M1972" s="28" t="str">
        <f aca="false">IF(A1972="","",IF(OR(AND(K1972&lt;&gt;"",LOWER(K1972)&lt;&gt;"não consta"),AND(L1972&lt;&gt;"",LOWER(L1972)&lt;&gt;"não consta"),IFERROR(INDEX(Empresas!$G:$G,MATCH(A1972,Empresas!$A:$A,0))&amp;"","")&lt;&gt;""),"SIM",""))</f>
        <v/>
      </c>
      <c r="N1972" s="5"/>
      <c r="O1972" s="32" t="str">
        <f aca="false">IF(D1972="","",YEAR(D1972))</f>
        <v/>
      </c>
      <c r="P1972" s="5"/>
    </row>
    <row r="1973" customFormat="false" ht="15" hidden="false" customHeight="false" outlineLevel="0" collapsed="false">
      <c r="A1973" s="27"/>
      <c r="B1973" s="5"/>
      <c r="C1973" s="35"/>
      <c r="D1973" s="18"/>
      <c r="E1973" s="5"/>
      <c r="F1973" s="14"/>
      <c r="G1973" s="5"/>
      <c r="H1973" s="27"/>
      <c r="I1973" s="5"/>
      <c r="J1973" s="19" t="str">
        <f aca="false">IF(A1973="","",IFERROR(INDEX(Empresas!$D:$D,MATCH(A1973,Empresas!$A:$A,0))&amp;"","não consta"))</f>
        <v/>
      </c>
      <c r="K1973" s="19" t="str">
        <f aca="false">IF(A1973="","",IFERROR(INDEX(Sancoes!$B:$B,MATCH(A1973,Sancoes!$A:$A,0))&amp;"","não consta"))</f>
        <v/>
      </c>
      <c r="L1973" s="19" t="str">
        <f aca="false">IF(A1973="","",IFERROR(INDEX(Eleitoral!$B:$B,MATCH(A1973,Eleitoral!$A:$A,0))&amp;"","não consta"))</f>
        <v/>
      </c>
      <c r="M1973" s="28" t="str">
        <f aca="false">IF(A1973="","",IF(OR(AND(K1973&lt;&gt;"",LOWER(K1973)&lt;&gt;"não consta"),AND(L1973&lt;&gt;"",LOWER(L1973)&lt;&gt;"não consta"),IFERROR(INDEX(Empresas!$G:$G,MATCH(A1973,Empresas!$A:$A,0))&amp;"","")&lt;&gt;""),"SIM",""))</f>
        <v/>
      </c>
      <c r="N1973" s="5"/>
      <c r="O1973" s="32" t="str">
        <f aca="false">IF(D1973="","",YEAR(D1973))</f>
        <v/>
      </c>
      <c r="P1973" s="5"/>
    </row>
    <row r="1974" customFormat="false" ht="15" hidden="false" customHeight="false" outlineLevel="0" collapsed="false">
      <c r="A1974" s="27"/>
      <c r="B1974" s="5"/>
      <c r="C1974" s="35"/>
      <c r="D1974" s="18"/>
      <c r="E1974" s="5"/>
      <c r="F1974" s="14"/>
      <c r="G1974" s="5"/>
      <c r="H1974" s="27"/>
      <c r="I1974" s="5"/>
      <c r="J1974" s="19" t="str">
        <f aca="false">IF(A1974="","",IFERROR(INDEX(Empresas!$D:$D,MATCH(A1974,Empresas!$A:$A,0))&amp;"","não consta"))</f>
        <v/>
      </c>
      <c r="K1974" s="19" t="str">
        <f aca="false">IF(A1974="","",IFERROR(INDEX(Sancoes!$B:$B,MATCH(A1974,Sancoes!$A:$A,0))&amp;"","não consta"))</f>
        <v/>
      </c>
      <c r="L1974" s="19" t="str">
        <f aca="false">IF(A1974="","",IFERROR(INDEX(Eleitoral!$B:$B,MATCH(A1974,Eleitoral!$A:$A,0))&amp;"","não consta"))</f>
        <v/>
      </c>
      <c r="M1974" s="28" t="str">
        <f aca="false">IF(A1974="","",IF(OR(AND(K1974&lt;&gt;"",LOWER(K1974)&lt;&gt;"não consta"),AND(L1974&lt;&gt;"",LOWER(L1974)&lt;&gt;"não consta"),IFERROR(INDEX(Empresas!$G:$G,MATCH(A1974,Empresas!$A:$A,0))&amp;"","")&lt;&gt;""),"SIM",""))</f>
        <v/>
      </c>
      <c r="N1974" s="5"/>
      <c r="O1974" s="32" t="str">
        <f aca="false">IF(D1974="","",YEAR(D1974))</f>
        <v/>
      </c>
      <c r="P1974" s="5"/>
    </row>
    <row r="1975" customFormat="false" ht="15" hidden="false" customHeight="false" outlineLevel="0" collapsed="false">
      <c r="A1975" s="27"/>
      <c r="B1975" s="5"/>
      <c r="C1975" s="35"/>
      <c r="D1975" s="18"/>
      <c r="E1975" s="5"/>
      <c r="F1975" s="14"/>
      <c r="G1975" s="5"/>
      <c r="H1975" s="27"/>
      <c r="I1975" s="5"/>
      <c r="J1975" s="19" t="str">
        <f aca="false">IF(A1975="","",IFERROR(INDEX(Empresas!$D:$D,MATCH(A1975,Empresas!$A:$A,0))&amp;"","não consta"))</f>
        <v/>
      </c>
      <c r="K1975" s="19" t="str">
        <f aca="false">IF(A1975="","",IFERROR(INDEX(Sancoes!$B:$B,MATCH(A1975,Sancoes!$A:$A,0))&amp;"","não consta"))</f>
        <v/>
      </c>
      <c r="L1975" s="19" t="str">
        <f aca="false">IF(A1975="","",IFERROR(INDEX(Eleitoral!$B:$B,MATCH(A1975,Eleitoral!$A:$A,0))&amp;"","não consta"))</f>
        <v/>
      </c>
      <c r="M1975" s="28" t="str">
        <f aca="false">IF(A1975="","",IF(OR(AND(K1975&lt;&gt;"",LOWER(K1975)&lt;&gt;"não consta"),AND(L1975&lt;&gt;"",LOWER(L1975)&lt;&gt;"não consta"),IFERROR(INDEX(Empresas!$G:$G,MATCH(A1975,Empresas!$A:$A,0))&amp;"","")&lt;&gt;""),"SIM",""))</f>
        <v/>
      </c>
      <c r="N1975" s="5"/>
      <c r="O1975" s="32" t="str">
        <f aca="false">IF(D1975="","",YEAR(D1975))</f>
        <v/>
      </c>
      <c r="P1975" s="5"/>
    </row>
    <row r="1976" customFormat="false" ht="15" hidden="false" customHeight="false" outlineLevel="0" collapsed="false">
      <c r="A1976" s="27"/>
      <c r="B1976" s="5"/>
      <c r="C1976" s="35"/>
      <c r="D1976" s="18"/>
      <c r="E1976" s="5"/>
      <c r="F1976" s="14"/>
      <c r="G1976" s="5"/>
      <c r="H1976" s="27"/>
      <c r="I1976" s="5"/>
      <c r="J1976" s="19" t="str">
        <f aca="false">IF(A1976="","",IFERROR(INDEX(Empresas!$D:$D,MATCH(A1976,Empresas!$A:$A,0))&amp;"","não consta"))</f>
        <v/>
      </c>
      <c r="K1976" s="19" t="str">
        <f aca="false">IF(A1976="","",IFERROR(INDEX(Sancoes!$B:$B,MATCH(A1976,Sancoes!$A:$A,0))&amp;"","não consta"))</f>
        <v/>
      </c>
      <c r="L1976" s="19" t="str">
        <f aca="false">IF(A1976="","",IFERROR(INDEX(Eleitoral!$B:$B,MATCH(A1976,Eleitoral!$A:$A,0))&amp;"","não consta"))</f>
        <v/>
      </c>
      <c r="M1976" s="28" t="str">
        <f aca="false">IF(A1976="","",IF(OR(AND(K1976&lt;&gt;"",LOWER(K1976)&lt;&gt;"não consta"),AND(L1976&lt;&gt;"",LOWER(L1976)&lt;&gt;"não consta"),IFERROR(INDEX(Empresas!$G:$G,MATCH(A1976,Empresas!$A:$A,0))&amp;"","")&lt;&gt;""),"SIM",""))</f>
        <v/>
      </c>
      <c r="N1976" s="5"/>
      <c r="O1976" s="32" t="str">
        <f aca="false">IF(D1976="","",YEAR(D1976))</f>
        <v/>
      </c>
      <c r="P1976" s="5"/>
    </row>
    <row r="1977" customFormat="false" ht="15" hidden="false" customHeight="false" outlineLevel="0" collapsed="false">
      <c r="A1977" s="27"/>
      <c r="B1977" s="5"/>
      <c r="C1977" s="35"/>
      <c r="D1977" s="18"/>
      <c r="E1977" s="5"/>
      <c r="F1977" s="14"/>
      <c r="G1977" s="5"/>
      <c r="H1977" s="27"/>
      <c r="I1977" s="5"/>
      <c r="J1977" s="19" t="str">
        <f aca="false">IF(A1977="","",IFERROR(INDEX(Empresas!$D:$D,MATCH(A1977,Empresas!$A:$A,0))&amp;"","não consta"))</f>
        <v/>
      </c>
      <c r="K1977" s="19" t="str">
        <f aca="false">IF(A1977="","",IFERROR(INDEX(Sancoes!$B:$B,MATCH(A1977,Sancoes!$A:$A,0))&amp;"","não consta"))</f>
        <v/>
      </c>
      <c r="L1977" s="19" t="str">
        <f aca="false">IF(A1977="","",IFERROR(INDEX(Eleitoral!$B:$B,MATCH(A1977,Eleitoral!$A:$A,0))&amp;"","não consta"))</f>
        <v/>
      </c>
      <c r="M1977" s="28" t="str">
        <f aca="false">IF(A1977="","",IF(OR(AND(K1977&lt;&gt;"",LOWER(K1977)&lt;&gt;"não consta"),AND(L1977&lt;&gt;"",LOWER(L1977)&lt;&gt;"não consta"),IFERROR(INDEX(Empresas!$G:$G,MATCH(A1977,Empresas!$A:$A,0))&amp;"","")&lt;&gt;""),"SIM",""))</f>
        <v/>
      </c>
      <c r="N1977" s="5"/>
      <c r="O1977" s="32" t="str">
        <f aca="false">IF(D1977="","",YEAR(D1977))</f>
        <v/>
      </c>
      <c r="P1977" s="5"/>
    </row>
    <row r="1978" customFormat="false" ht="15" hidden="false" customHeight="false" outlineLevel="0" collapsed="false">
      <c r="A1978" s="27"/>
      <c r="B1978" s="5"/>
      <c r="C1978" s="35"/>
      <c r="D1978" s="18"/>
      <c r="E1978" s="5"/>
      <c r="F1978" s="14"/>
      <c r="G1978" s="5"/>
      <c r="H1978" s="27"/>
      <c r="I1978" s="5"/>
      <c r="J1978" s="19" t="str">
        <f aca="false">IF(A1978="","",IFERROR(INDEX(Empresas!$D:$D,MATCH(A1978,Empresas!$A:$A,0))&amp;"","não consta"))</f>
        <v/>
      </c>
      <c r="K1978" s="19" t="str">
        <f aca="false">IF(A1978="","",IFERROR(INDEX(Sancoes!$B:$B,MATCH(A1978,Sancoes!$A:$A,0))&amp;"","não consta"))</f>
        <v/>
      </c>
      <c r="L1978" s="19" t="str">
        <f aca="false">IF(A1978="","",IFERROR(INDEX(Eleitoral!$B:$B,MATCH(A1978,Eleitoral!$A:$A,0))&amp;"","não consta"))</f>
        <v/>
      </c>
      <c r="M1978" s="28" t="str">
        <f aca="false">IF(A1978="","",IF(OR(AND(K1978&lt;&gt;"",LOWER(K1978)&lt;&gt;"não consta"),AND(L1978&lt;&gt;"",LOWER(L1978)&lt;&gt;"não consta"),IFERROR(INDEX(Empresas!$G:$G,MATCH(A1978,Empresas!$A:$A,0))&amp;"","")&lt;&gt;""),"SIM",""))</f>
        <v/>
      </c>
      <c r="N1978" s="5"/>
      <c r="O1978" s="32" t="str">
        <f aca="false">IF(D1978="","",YEAR(D1978))</f>
        <v/>
      </c>
      <c r="P1978" s="5"/>
    </row>
    <row r="1979" customFormat="false" ht="15" hidden="false" customHeight="false" outlineLevel="0" collapsed="false">
      <c r="A1979" s="27"/>
      <c r="B1979" s="5"/>
      <c r="C1979" s="35"/>
      <c r="D1979" s="18"/>
      <c r="E1979" s="5"/>
      <c r="F1979" s="14"/>
      <c r="G1979" s="5"/>
      <c r="H1979" s="27"/>
      <c r="I1979" s="5"/>
      <c r="J1979" s="19" t="str">
        <f aca="false">IF(A1979="","",IFERROR(INDEX(Empresas!$D:$D,MATCH(A1979,Empresas!$A:$A,0))&amp;"","não consta"))</f>
        <v/>
      </c>
      <c r="K1979" s="19" t="str">
        <f aca="false">IF(A1979="","",IFERROR(INDEX(Sancoes!$B:$B,MATCH(A1979,Sancoes!$A:$A,0))&amp;"","não consta"))</f>
        <v/>
      </c>
      <c r="L1979" s="19" t="str">
        <f aca="false">IF(A1979="","",IFERROR(INDEX(Eleitoral!$B:$B,MATCH(A1979,Eleitoral!$A:$A,0))&amp;"","não consta"))</f>
        <v/>
      </c>
      <c r="M1979" s="28" t="str">
        <f aca="false">IF(A1979="","",IF(OR(AND(K1979&lt;&gt;"",LOWER(K1979)&lt;&gt;"não consta"),AND(L1979&lt;&gt;"",LOWER(L1979)&lt;&gt;"não consta"),IFERROR(INDEX(Empresas!$G:$G,MATCH(A1979,Empresas!$A:$A,0))&amp;"","")&lt;&gt;""),"SIM",""))</f>
        <v/>
      </c>
      <c r="N1979" s="5"/>
      <c r="O1979" s="32" t="str">
        <f aca="false">IF(D1979="","",YEAR(D1979))</f>
        <v/>
      </c>
      <c r="P1979" s="5"/>
    </row>
    <row r="1980" customFormat="false" ht="15" hidden="false" customHeight="false" outlineLevel="0" collapsed="false">
      <c r="A1980" s="27"/>
      <c r="B1980" s="5"/>
      <c r="C1980" s="35"/>
      <c r="D1980" s="18"/>
      <c r="E1980" s="5"/>
      <c r="F1980" s="14"/>
      <c r="G1980" s="5"/>
      <c r="H1980" s="27"/>
      <c r="I1980" s="5"/>
      <c r="J1980" s="19" t="str">
        <f aca="false">IF(A1980="","",IFERROR(INDEX(Empresas!$D:$D,MATCH(A1980,Empresas!$A:$A,0))&amp;"","não consta"))</f>
        <v/>
      </c>
      <c r="K1980" s="19" t="str">
        <f aca="false">IF(A1980="","",IFERROR(INDEX(Sancoes!$B:$B,MATCH(A1980,Sancoes!$A:$A,0))&amp;"","não consta"))</f>
        <v/>
      </c>
      <c r="L1980" s="19" t="str">
        <f aca="false">IF(A1980="","",IFERROR(INDEX(Eleitoral!$B:$B,MATCH(A1980,Eleitoral!$A:$A,0))&amp;"","não consta"))</f>
        <v/>
      </c>
      <c r="M1980" s="28" t="str">
        <f aca="false">IF(A1980="","",IF(OR(AND(K1980&lt;&gt;"",LOWER(K1980)&lt;&gt;"não consta"),AND(L1980&lt;&gt;"",LOWER(L1980)&lt;&gt;"não consta"),IFERROR(INDEX(Empresas!$G:$G,MATCH(A1980,Empresas!$A:$A,0))&amp;"","")&lt;&gt;""),"SIM",""))</f>
        <v/>
      </c>
      <c r="N1980" s="5"/>
      <c r="O1980" s="32" t="str">
        <f aca="false">IF(D1980="","",YEAR(D1980))</f>
        <v/>
      </c>
      <c r="P1980" s="5"/>
    </row>
    <row r="1981" customFormat="false" ht="15" hidden="false" customHeight="false" outlineLevel="0" collapsed="false">
      <c r="A1981" s="27"/>
      <c r="B1981" s="5"/>
      <c r="C1981" s="35"/>
      <c r="D1981" s="18"/>
      <c r="E1981" s="5"/>
      <c r="F1981" s="14"/>
      <c r="G1981" s="5"/>
      <c r="H1981" s="27"/>
      <c r="I1981" s="5"/>
      <c r="J1981" s="19" t="str">
        <f aca="false">IF(A1981="","",IFERROR(INDEX(Empresas!$D:$D,MATCH(A1981,Empresas!$A:$A,0))&amp;"","não consta"))</f>
        <v/>
      </c>
      <c r="K1981" s="19" t="str">
        <f aca="false">IF(A1981="","",IFERROR(INDEX(Sancoes!$B:$B,MATCH(A1981,Sancoes!$A:$A,0))&amp;"","não consta"))</f>
        <v/>
      </c>
      <c r="L1981" s="19" t="str">
        <f aca="false">IF(A1981="","",IFERROR(INDEX(Eleitoral!$B:$B,MATCH(A1981,Eleitoral!$A:$A,0))&amp;"","não consta"))</f>
        <v/>
      </c>
      <c r="M1981" s="28" t="str">
        <f aca="false">IF(A1981="","",IF(OR(AND(K1981&lt;&gt;"",LOWER(K1981)&lt;&gt;"não consta"),AND(L1981&lt;&gt;"",LOWER(L1981)&lt;&gt;"não consta"),IFERROR(INDEX(Empresas!$G:$G,MATCH(A1981,Empresas!$A:$A,0))&amp;"","")&lt;&gt;""),"SIM",""))</f>
        <v/>
      </c>
      <c r="N1981" s="5"/>
      <c r="O1981" s="32" t="str">
        <f aca="false">IF(D1981="","",YEAR(D1981))</f>
        <v/>
      </c>
      <c r="P1981" s="5"/>
    </row>
    <row r="1982" customFormat="false" ht="15" hidden="false" customHeight="false" outlineLevel="0" collapsed="false">
      <c r="A1982" s="27"/>
      <c r="B1982" s="5"/>
      <c r="C1982" s="35"/>
      <c r="D1982" s="18"/>
      <c r="E1982" s="5"/>
      <c r="F1982" s="14"/>
      <c r="G1982" s="5"/>
      <c r="H1982" s="27"/>
      <c r="I1982" s="5"/>
      <c r="J1982" s="19" t="str">
        <f aca="false">IF(A1982="","",IFERROR(INDEX(Empresas!$D:$D,MATCH(A1982,Empresas!$A:$A,0))&amp;"","não consta"))</f>
        <v/>
      </c>
      <c r="K1982" s="19" t="str">
        <f aca="false">IF(A1982="","",IFERROR(INDEX(Sancoes!$B:$B,MATCH(A1982,Sancoes!$A:$A,0))&amp;"","não consta"))</f>
        <v/>
      </c>
      <c r="L1982" s="19" t="str">
        <f aca="false">IF(A1982="","",IFERROR(INDEX(Eleitoral!$B:$B,MATCH(A1982,Eleitoral!$A:$A,0))&amp;"","não consta"))</f>
        <v/>
      </c>
      <c r="M1982" s="28" t="str">
        <f aca="false">IF(A1982="","",IF(OR(AND(K1982&lt;&gt;"",LOWER(K1982)&lt;&gt;"não consta"),AND(L1982&lt;&gt;"",LOWER(L1982)&lt;&gt;"não consta"),IFERROR(INDEX(Empresas!$G:$G,MATCH(A1982,Empresas!$A:$A,0))&amp;"","")&lt;&gt;""),"SIM",""))</f>
        <v/>
      </c>
      <c r="N1982" s="5"/>
      <c r="O1982" s="32" t="str">
        <f aca="false">IF(D1982="","",YEAR(D1982))</f>
        <v/>
      </c>
      <c r="P1982" s="5"/>
    </row>
    <row r="1983" customFormat="false" ht="15" hidden="false" customHeight="false" outlineLevel="0" collapsed="false">
      <c r="A1983" s="27"/>
      <c r="B1983" s="5"/>
      <c r="C1983" s="35"/>
      <c r="D1983" s="18"/>
      <c r="E1983" s="5"/>
      <c r="F1983" s="14"/>
      <c r="G1983" s="5"/>
      <c r="H1983" s="27"/>
      <c r="I1983" s="5"/>
      <c r="J1983" s="19" t="str">
        <f aca="false">IF(A1983="","",IFERROR(INDEX(Empresas!$D:$D,MATCH(A1983,Empresas!$A:$A,0))&amp;"","não consta"))</f>
        <v/>
      </c>
      <c r="K1983" s="19" t="str">
        <f aca="false">IF(A1983="","",IFERROR(INDEX(Sancoes!$B:$B,MATCH(A1983,Sancoes!$A:$A,0))&amp;"","não consta"))</f>
        <v/>
      </c>
      <c r="L1983" s="19" t="str">
        <f aca="false">IF(A1983="","",IFERROR(INDEX(Eleitoral!$B:$B,MATCH(A1983,Eleitoral!$A:$A,0))&amp;"","não consta"))</f>
        <v/>
      </c>
      <c r="M1983" s="28" t="str">
        <f aca="false">IF(A1983="","",IF(OR(AND(K1983&lt;&gt;"",LOWER(K1983)&lt;&gt;"não consta"),AND(L1983&lt;&gt;"",LOWER(L1983)&lt;&gt;"não consta"),IFERROR(INDEX(Empresas!$G:$G,MATCH(A1983,Empresas!$A:$A,0))&amp;"","")&lt;&gt;""),"SIM",""))</f>
        <v/>
      </c>
      <c r="N1983" s="5"/>
      <c r="O1983" s="32" t="str">
        <f aca="false">IF(D1983="","",YEAR(D1983))</f>
        <v/>
      </c>
      <c r="P1983" s="5"/>
    </row>
    <row r="1984" customFormat="false" ht="15" hidden="false" customHeight="false" outlineLevel="0" collapsed="false">
      <c r="A1984" s="27"/>
      <c r="B1984" s="5"/>
      <c r="C1984" s="35"/>
      <c r="D1984" s="18"/>
      <c r="E1984" s="5"/>
      <c r="F1984" s="14"/>
      <c r="G1984" s="5"/>
      <c r="H1984" s="27"/>
      <c r="I1984" s="5"/>
      <c r="J1984" s="19" t="str">
        <f aca="false">IF(A1984="","",IFERROR(INDEX(Empresas!$D:$D,MATCH(A1984,Empresas!$A:$A,0))&amp;"","não consta"))</f>
        <v/>
      </c>
      <c r="K1984" s="19" t="str">
        <f aca="false">IF(A1984="","",IFERROR(INDEX(Sancoes!$B:$B,MATCH(A1984,Sancoes!$A:$A,0))&amp;"","não consta"))</f>
        <v/>
      </c>
      <c r="L1984" s="19" t="str">
        <f aca="false">IF(A1984="","",IFERROR(INDEX(Eleitoral!$B:$B,MATCH(A1984,Eleitoral!$A:$A,0))&amp;"","não consta"))</f>
        <v/>
      </c>
      <c r="M1984" s="28" t="str">
        <f aca="false">IF(A1984="","",IF(OR(AND(K1984&lt;&gt;"",LOWER(K1984)&lt;&gt;"não consta"),AND(L1984&lt;&gt;"",LOWER(L1984)&lt;&gt;"não consta"),IFERROR(INDEX(Empresas!$G:$G,MATCH(A1984,Empresas!$A:$A,0))&amp;"","")&lt;&gt;""),"SIM",""))</f>
        <v/>
      </c>
      <c r="N1984" s="5"/>
      <c r="O1984" s="32" t="str">
        <f aca="false">IF(D1984="","",YEAR(D1984))</f>
        <v/>
      </c>
      <c r="P1984" s="5"/>
    </row>
    <row r="1985" customFormat="false" ht="15" hidden="false" customHeight="false" outlineLevel="0" collapsed="false">
      <c r="A1985" s="27"/>
      <c r="B1985" s="5"/>
      <c r="C1985" s="35"/>
      <c r="D1985" s="18"/>
      <c r="E1985" s="5"/>
      <c r="F1985" s="14"/>
      <c r="G1985" s="5"/>
      <c r="H1985" s="27"/>
      <c r="I1985" s="5"/>
      <c r="J1985" s="19" t="str">
        <f aca="false">IF(A1985="","",IFERROR(INDEX(Empresas!$D:$D,MATCH(A1985,Empresas!$A:$A,0))&amp;"","não consta"))</f>
        <v/>
      </c>
      <c r="K1985" s="19" t="str">
        <f aca="false">IF(A1985="","",IFERROR(INDEX(Sancoes!$B:$B,MATCH(A1985,Sancoes!$A:$A,0))&amp;"","não consta"))</f>
        <v/>
      </c>
      <c r="L1985" s="19" t="str">
        <f aca="false">IF(A1985="","",IFERROR(INDEX(Eleitoral!$B:$B,MATCH(A1985,Eleitoral!$A:$A,0))&amp;"","não consta"))</f>
        <v/>
      </c>
      <c r="M1985" s="28" t="str">
        <f aca="false">IF(A1985="","",IF(OR(AND(K1985&lt;&gt;"",LOWER(K1985)&lt;&gt;"não consta"),AND(L1985&lt;&gt;"",LOWER(L1985)&lt;&gt;"não consta"),IFERROR(INDEX(Empresas!$G:$G,MATCH(A1985,Empresas!$A:$A,0))&amp;"","")&lt;&gt;""),"SIM",""))</f>
        <v/>
      </c>
      <c r="N1985" s="5"/>
      <c r="O1985" s="32" t="str">
        <f aca="false">IF(D1985="","",YEAR(D1985))</f>
        <v/>
      </c>
      <c r="P1985" s="5"/>
    </row>
    <row r="1986" customFormat="false" ht="15" hidden="false" customHeight="false" outlineLevel="0" collapsed="false">
      <c r="A1986" s="27"/>
      <c r="B1986" s="5"/>
      <c r="C1986" s="35"/>
      <c r="D1986" s="18"/>
      <c r="E1986" s="5"/>
      <c r="F1986" s="14"/>
      <c r="G1986" s="5"/>
      <c r="H1986" s="27"/>
      <c r="I1986" s="5"/>
      <c r="J1986" s="19" t="str">
        <f aca="false">IF(A1986="","",IFERROR(INDEX(Empresas!$D:$D,MATCH(A1986,Empresas!$A:$A,0))&amp;"","não consta"))</f>
        <v/>
      </c>
      <c r="K1986" s="19" t="str">
        <f aca="false">IF(A1986="","",IFERROR(INDEX(Sancoes!$B:$B,MATCH(A1986,Sancoes!$A:$A,0))&amp;"","não consta"))</f>
        <v/>
      </c>
      <c r="L1986" s="19" t="str">
        <f aca="false">IF(A1986="","",IFERROR(INDEX(Eleitoral!$B:$B,MATCH(A1986,Eleitoral!$A:$A,0))&amp;"","não consta"))</f>
        <v/>
      </c>
      <c r="M1986" s="28" t="str">
        <f aca="false">IF(A1986="","",IF(OR(AND(K1986&lt;&gt;"",LOWER(K1986)&lt;&gt;"não consta"),AND(L1986&lt;&gt;"",LOWER(L1986)&lt;&gt;"não consta"),IFERROR(INDEX(Empresas!$G:$G,MATCH(A1986,Empresas!$A:$A,0))&amp;"","")&lt;&gt;""),"SIM",""))</f>
        <v/>
      </c>
      <c r="N1986" s="5"/>
      <c r="O1986" s="32" t="str">
        <f aca="false">IF(D1986="","",YEAR(D1986))</f>
        <v/>
      </c>
      <c r="P1986" s="5"/>
    </row>
    <row r="1987" customFormat="false" ht="15" hidden="false" customHeight="false" outlineLevel="0" collapsed="false">
      <c r="A1987" s="27"/>
      <c r="B1987" s="5"/>
      <c r="C1987" s="35"/>
      <c r="D1987" s="18"/>
      <c r="E1987" s="5"/>
      <c r="F1987" s="14"/>
      <c r="G1987" s="5"/>
      <c r="H1987" s="27"/>
      <c r="I1987" s="5"/>
      <c r="J1987" s="19" t="str">
        <f aca="false">IF(A1987="","",IFERROR(INDEX(Empresas!$D:$D,MATCH(A1987,Empresas!$A:$A,0))&amp;"","não consta"))</f>
        <v/>
      </c>
      <c r="K1987" s="19" t="str">
        <f aca="false">IF(A1987="","",IFERROR(INDEX(Sancoes!$B:$B,MATCH(A1987,Sancoes!$A:$A,0))&amp;"","não consta"))</f>
        <v/>
      </c>
      <c r="L1987" s="19" t="str">
        <f aca="false">IF(A1987="","",IFERROR(INDEX(Eleitoral!$B:$B,MATCH(A1987,Eleitoral!$A:$A,0))&amp;"","não consta"))</f>
        <v/>
      </c>
      <c r="M1987" s="28" t="str">
        <f aca="false">IF(A1987="","",IF(OR(AND(K1987&lt;&gt;"",LOWER(K1987)&lt;&gt;"não consta"),AND(L1987&lt;&gt;"",LOWER(L1987)&lt;&gt;"não consta"),IFERROR(INDEX(Empresas!$G:$G,MATCH(A1987,Empresas!$A:$A,0))&amp;"","")&lt;&gt;""),"SIM",""))</f>
        <v/>
      </c>
      <c r="N1987" s="5"/>
      <c r="O1987" s="32" t="str">
        <f aca="false">IF(D1987="","",YEAR(D1987))</f>
        <v/>
      </c>
      <c r="P1987" s="5"/>
    </row>
    <row r="1988" customFormat="false" ht="15" hidden="false" customHeight="false" outlineLevel="0" collapsed="false">
      <c r="A1988" s="27"/>
      <c r="B1988" s="5"/>
      <c r="C1988" s="35"/>
      <c r="D1988" s="18"/>
      <c r="E1988" s="5"/>
      <c r="F1988" s="14"/>
      <c r="G1988" s="5"/>
      <c r="H1988" s="27"/>
      <c r="I1988" s="5"/>
      <c r="J1988" s="19" t="str">
        <f aca="false">IF(A1988="","",IFERROR(INDEX(Empresas!$D:$D,MATCH(A1988,Empresas!$A:$A,0))&amp;"","não consta"))</f>
        <v/>
      </c>
      <c r="K1988" s="19" t="str">
        <f aca="false">IF(A1988="","",IFERROR(INDEX(Sancoes!$B:$B,MATCH(A1988,Sancoes!$A:$A,0))&amp;"","não consta"))</f>
        <v/>
      </c>
      <c r="L1988" s="19" t="str">
        <f aca="false">IF(A1988="","",IFERROR(INDEX(Eleitoral!$B:$B,MATCH(A1988,Eleitoral!$A:$A,0))&amp;"","não consta"))</f>
        <v/>
      </c>
      <c r="M1988" s="28" t="str">
        <f aca="false">IF(A1988="","",IF(OR(AND(K1988&lt;&gt;"",LOWER(K1988)&lt;&gt;"não consta"),AND(L1988&lt;&gt;"",LOWER(L1988)&lt;&gt;"não consta"),IFERROR(INDEX(Empresas!$G:$G,MATCH(A1988,Empresas!$A:$A,0))&amp;"","")&lt;&gt;""),"SIM",""))</f>
        <v/>
      </c>
      <c r="N1988" s="5"/>
      <c r="O1988" s="32" t="str">
        <f aca="false">IF(D1988="","",YEAR(D1988))</f>
        <v/>
      </c>
      <c r="P1988" s="5"/>
    </row>
    <row r="1989" customFormat="false" ht="15" hidden="false" customHeight="false" outlineLevel="0" collapsed="false">
      <c r="A1989" s="27"/>
      <c r="B1989" s="5"/>
      <c r="C1989" s="35"/>
      <c r="D1989" s="18"/>
      <c r="E1989" s="5"/>
      <c r="F1989" s="14"/>
      <c r="G1989" s="5"/>
      <c r="H1989" s="27"/>
      <c r="I1989" s="5"/>
      <c r="J1989" s="19" t="str">
        <f aca="false">IF(A1989="","",IFERROR(INDEX(Empresas!$D:$D,MATCH(A1989,Empresas!$A:$A,0))&amp;"","não consta"))</f>
        <v/>
      </c>
      <c r="K1989" s="19" t="str">
        <f aca="false">IF(A1989="","",IFERROR(INDEX(Sancoes!$B:$B,MATCH(A1989,Sancoes!$A:$A,0))&amp;"","não consta"))</f>
        <v/>
      </c>
      <c r="L1989" s="19" t="str">
        <f aca="false">IF(A1989="","",IFERROR(INDEX(Eleitoral!$B:$B,MATCH(A1989,Eleitoral!$A:$A,0))&amp;"","não consta"))</f>
        <v/>
      </c>
      <c r="M1989" s="28" t="str">
        <f aca="false">IF(A1989="","",IF(OR(AND(K1989&lt;&gt;"",LOWER(K1989)&lt;&gt;"não consta"),AND(L1989&lt;&gt;"",LOWER(L1989)&lt;&gt;"não consta"),IFERROR(INDEX(Empresas!$G:$G,MATCH(A1989,Empresas!$A:$A,0))&amp;"","")&lt;&gt;""),"SIM",""))</f>
        <v/>
      </c>
      <c r="N1989" s="5"/>
      <c r="O1989" s="32" t="str">
        <f aca="false">IF(D1989="","",YEAR(D1989))</f>
        <v/>
      </c>
      <c r="P1989" s="5"/>
    </row>
    <row r="1990" customFormat="false" ht="15" hidden="false" customHeight="false" outlineLevel="0" collapsed="false">
      <c r="A1990" s="27"/>
      <c r="B1990" s="5"/>
      <c r="C1990" s="35"/>
      <c r="D1990" s="18"/>
      <c r="E1990" s="5"/>
      <c r="F1990" s="14"/>
      <c r="G1990" s="5"/>
      <c r="H1990" s="27"/>
      <c r="I1990" s="5"/>
      <c r="J1990" s="19" t="str">
        <f aca="false">IF(A1990="","",IFERROR(INDEX(Empresas!$D:$D,MATCH(A1990,Empresas!$A:$A,0))&amp;"","não consta"))</f>
        <v/>
      </c>
      <c r="K1990" s="19" t="str">
        <f aca="false">IF(A1990="","",IFERROR(INDEX(Sancoes!$B:$B,MATCH(A1990,Sancoes!$A:$A,0))&amp;"","não consta"))</f>
        <v/>
      </c>
      <c r="L1990" s="19" t="str">
        <f aca="false">IF(A1990="","",IFERROR(INDEX(Eleitoral!$B:$B,MATCH(A1990,Eleitoral!$A:$A,0))&amp;"","não consta"))</f>
        <v/>
      </c>
      <c r="M1990" s="28" t="str">
        <f aca="false">IF(A1990="","",IF(OR(AND(K1990&lt;&gt;"",LOWER(K1990)&lt;&gt;"não consta"),AND(L1990&lt;&gt;"",LOWER(L1990)&lt;&gt;"não consta"),IFERROR(INDEX(Empresas!$G:$G,MATCH(A1990,Empresas!$A:$A,0))&amp;"","")&lt;&gt;""),"SIM",""))</f>
        <v/>
      </c>
      <c r="N1990" s="5"/>
      <c r="O1990" s="32" t="str">
        <f aca="false">IF(D1990="","",YEAR(D1990))</f>
        <v/>
      </c>
      <c r="P1990" s="5"/>
    </row>
    <row r="1991" customFormat="false" ht="15" hidden="false" customHeight="false" outlineLevel="0" collapsed="false">
      <c r="A1991" s="27"/>
      <c r="B1991" s="5"/>
      <c r="C1991" s="35"/>
      <c r="D1991" s="18"/>
      <c r="E1991" s="5"/>
      <c r="F1991" s="14"/>
      <c r="G1991" s="5"/>
      <c r="H1991" s="27"/>
      <c r="I1991" s="5"/>
      <c r="J1991" s="19" t="str">
        <f aca="false">IF(A1991="","",IFERROR(INDEX(Empresas!$D:$D,MATCH(A1991,Empresas!$A:$A,0))&amp;"","não consta"))</f>
        <v/>
      </c>
      <c r="K1991" s="19" t="str">
        <f aca="false">IF(A1991="","",IFERROR(INDEX(Sancoes!$B:$B,MATCH(A1991,Sancoes!$A:$A,0))&amp;"","não consta"))</f>
        <v/>
      </c>
      <c r="L1991" s="19" t="str">
        <f aca="false">IF(A1991="","",IFERROR(INDEX(Eleitoral!$B:$B,MATCH(A1991,Eleitoral!$A:$A,0))&amp;"","não consta"))</f>
        <v/>
      </c>
      <c r="M1991" s="28" t="str">
        <f aca="false">IF(A1991="","",IF(OR(AND(K1991&lt;&gt;"",LOWER(K1991)&lt;&gt;"não consta"),AND(L1991&lt;&gt;"",LOWER(L1991)&lt;&gt;"não consta"),IFERROR(INDEX(Empresas!$G:$G,MATCH(A1991,Empresas!$A:$A,0))&amp;"","")&lt;&gt;""),"SIM",""))</f>
        <v/>
      </c>
      <c r="N1991" s="5"/>
      <c r="O1991" s="32" t="str">
        <f aca="false">IF(D1991="","",YEAR(D1991))</f>
        <v/>
      </c>
      <c r="P1991" s="5"/>
    </row>
    <row r="1992" customFormat="false" ht="15" hidden="false" customHeight="false" outlineLevel="0" collapsed="false">
      <c r="A1992" s="27"/>
      <c r="B1992" s="5"/>
      <c r="C1992" s="35"/>
      <c r="D1992" s="18"/>
      <c r="E1992" s="5"/>
      <c r="F1992" s="14"/>
      <c r="G1992" s="5"/>
      <c r="H1992" s="27"/>
      <c r="I1992" s="5"/>
      <c r="J1992" s="19" t="str">
        <f aca="false">IF(A1992="","",IFERROR(INDEX(Empresas!$D:$D,MATCH(A1992,Empresas!$A:$A,0))&amp;"","não consta"))</f>
        <v/>
      </c>
      <c r="K1992" s="19" t="str">
        <f aca="false">IF(A1992="","",IFERROR(INDEX(Sancoes!$B:$B,MATCH(A1992,Sancoes!$A:$A,0))&amp;"","não consta"))</f>
        <v/>
      </c>
      <c r="L1992" s="19" t="str">
        <f aca="false">IF(A1992="","",IFERROR(INDEX(Eleitoral!$B:$B,MATCH(A1992,Eleitoral!$A:$A,0))&amp;"","não consta"))</f>
        <v/>
      </c>
      <c r="M1992" s="28" t="str">
        <f aca="false">IF(A1992="","",IF(OR(AND(K1992&lt;&gt;"",LOWER(K1992)&lt;&gt;"não consta"),AND(L1992&lt;&gt;"",LOWER(L1992)&lt;&gt;"não consta"),IFERROR(INDEX(Empresas!$G:$G,MATCH(A1992,Empresas!$A:$A,0))&amp;"","")&lt;&gt;""),"SIM",""))</f>
        <v/>
      </c>
      <c r="N1992" s="5"/>
      <c r="O1992" s="32" t="str">
        <f aca="false">IF(D1992="","",YEAR(D1992))</f>
        <v/>
      </c>
      <c r="P1992" s="5"/>
    </row>
    <row r="1993" customFormat="false" ht="15" hidden="false" customHeight="false" outlineLevel="0" collapsed="false">
      <c r="A1993" s="27"/>
      <c r="B1993" s="5"/>
      <c r="C1993" s="35"/>
      <c r="D1993" s="18"/>
      <c r="E1993" s="5"/>
      <c r="F1993" s="14"/>
      <c r="G1993" s="5"/>
      <c r="H1993" s="27"/>
      <c r="I1993" s="5"/>
      <c r="J1993" s="19" t="str">
        <f aca="false">IF(A1993="","",IFERROR(INDEX(Empresas!$D:$D,MATCH(A1993,Empresas!$A:$A,0))&amp;"","não consta"))</f>
        <v/>
      </c>
      <c r="K1993" s="19" t="str">
        <f aca="false">IF(A1993="","",IFERROR(INDEX(Sancoes!$B:$B,MATCH(A1993,Sancoes!$A:$A,0))&amp;"","não consta"))</f>
        <v/>
      </c>
      <c r="L1993" s="19" t="str">
        <f aca="false">IF(A1993="","",IFERROR(INDEX(Eleitoral!$B:$B,MATCH(A1993,Eleitoral!$A:$A,0))&amp;"","não consta"))</f>
        <v/>
      </c>
      <c r="M1993" s="28" t="str">
        <f aca="false">IF(A1993="","",IF(OR(AND(K1993&lt;&gt;"",LOWER(K1993)&lt;&gt;"não consta"),AND(L1993&lt;&gt;"",LOWER(L1993)&lt;&gt;"não consta"),IFERROR(INDEX(Empresas!$G:$G,MATCH(A1993,Empresas!$A:$A,0))&amp;"","")&lt;&gt;""),"SIM",""))</f>
        <v/>
      </c>
      <c r="N1993" s="5"/>
      <c r="O1993" s="32" t="str">
        <f aca="false">IF(D1993="","",YEAR(D1993))</f>
        <v/>
      </c>
      <c r="P1993" s="5"/>
    </row>
    <row r="1994" customFormat="false" ht="15" hidden="false" customHeight="false" outlineLevel="0" collapsed="false">
      <c r="A1994" s="27"/>
      <c r="B1994" s="5"/>
      <c r="C1994" s="35"/>
      <c r="D1994" s="18"/>
      <c r="E1994" s="5"/>
      <c r="F1994" s="14"/>
      <c r="G1994" s="5"/>
      <c r="H1994" s="27"/>
      <c r="I1994" s="5"/>
      <c r="J1994" s="19" t="str">
        <f aca="false">IF(A1994="","",IFERROR(INDEX(Empresas!$D:$D,MATCH(A1994,Empresas!$A:$A,0))&amp;"","não consta"))</f>
        <v/>
      </c>
      <c r="K1994" s="19" t="str">
        <f aca="false">IF(A1994="","",IFERROR(INDEX(Sancoes!$B:$B,MATCH(A1994,Sancoes!$A:$A,0))&amp;"","não consta"))</f>
        <v/>
      </c>
      <c r="L1994" s="19" t="str">
        <f aca="false">IF(A1994="","",IFERROR(INDEX(Eleitoral!$B:$B,MATCH(A1994,Eleitoral!$A:$A,0))&amp;"","não consta"))</f>
        <v/>
      </c>
      <c r="M1994" s="28" t="str">
        <f aca="false">IF(A1994="","",IF(OR(AND(K1994&lt;&gt;"",LOWER(K1994)&lt;&gt;"não consta"),AND(L1994&lt;&gt;"",LOWER(L1994)&lt;&gt;"não consta"),IFERROR(INDEX(Empresas!$G:$G,MATCH(A1994,Empresas!$A:$A,0))&amp;"","")&lt;&gt;""),"SIM",""))</f>
        <v/>
      </c>
      <c r="N1994" s="5"/>
      <c r="O1994" s="32" t="str">
        <f aca="false">IF(D1994="","",YEAR(D1994))</f>
        <v/>
      </c>
      <c r="P1994" s="5"/>
    </row>
    <row r="1995" customFormat="false" ht="15" hidden="false" customHeight="false" outlineLevel="0" collapsed="false">
      <c r="A1995" s="27"/>
      <c r="B1995" s="5"/>
      <c r="C1995" s="35"/>
      <c r="D1995" s="18"/>
      <c r="E1995" s="5"/>
      <c r="F1995" s="14"/>
      <c r="G1995" s="5"/>
      <c r="H1995" s="27"/>
      <c r="I1995" s="5"/>
      <c r="J1995" s="19" t="str">
        <f aca="false">IF(A1995="","",IFERROR(INDEX(Empresas!$D:$D,MATCH(A1995,Empresas!$A:$A,0))&amp;"","não consta"))</f>
        <v/>
      </c>
      <c r="K1995" s="19" t="str">
        <f aca="false">IF(A1995="","",IFERROR(INDEX(Sancoes!$B:$B,MATCH(A1995,Sancoes!$A:$A,0))&amp;"","não consta"))</f>
        <v/>
      </c>
      <c r="L1995" s="19" t="str">
        <f aca="false">IF(A1995="","",IFERROR(INDEX(Eleitoral!$B:$B,MATCH(A1995,Eleitoral!$A:$A,0))&amp;"","não consta"))</f>
        <v/>
      </c>
      <c r="M1995" s="28" t="str">
        <f aca="false">IF(A1995="","",IF(OR(AND(K1995&lt;&gt;"",LOWER(K1995)&lt;&gt;"não consta"),AND(L1995&lt;&gt;"",LOWER(L1995)&lt;&gt;"não consta"),IFERROR(INDEX(Empresas!$G:$G,MATCH(A1995,Empresas!$A:$A,0))&amp;"","")&lt;&gt;""),"SIM",""))</f>
        <v/>
      </c>
      <c r="N1995" s="5"/>
      <c r="O1995" s="32" t="str">
        <f aca="false">IF(D1995="","",YEAR(D1995))</f>
        <v/>
      </c>
      <c r="P1995" s="5"/>
    </row>
    <row r="1996" customFormat="false" ht="15" hidden="false" customHeight="false" outlineLevel="0" collapsed="false">
      <c r="A1996" s="27"/>
      <c r="B1996" s="5"/>
      <c r="C1996" s="35"/>
      <c r="D1996" s="18"/>
      <c r="E1996" s="5"/>
      <c r="F1996" s="14"/>
      <c r="G1996" s="5"/>
      <c r="H1996" s="27"/>
      <c r="I1996" s="5"/>
      <c r="J1996" s="19" t="str">
        <f aca="false">IF(A1996="","",IFERROR(INDEX(Empresas!$D:$D,MATCH(A1996,Empresas!$A:$A,0))&amp;"","não consta"))</f>
        <v/>
      </c>
      <c r="K1996" s="19" t="str">
        <f aca="false">IF(A1996="","",IFERROR(INDEX(Sancoes!$B:$B,MATCH(A1996,Sancoes!$A:$A,0))&amp;"","não consta"))</f>
        <v/>
      </c>
      <c r="L1996" s="19" t="str">
        <f aca="false">IF(A1996="","",IFERROR(INDEX(Eleitoral!$B:$B,MATCH(A1996,Eleitoral!$A:$A,0))&amp;"","não consta"))</f>
        <v/>
      </c>
      <c r="M1996" s="28" t="str">
        <f aca="false">IF(A1996="","",IF(OR(AND(K1996&lt;&gt;"",LOWER(K1996)&lt;&gt;"não consta"),AND(L1996&lt;&gt;"",LOWER(L1996)&lt;&gt;"não consta"),IFERROR(INDEX(Empresas!$G:$G,MATCH(A1996,Empresas!$A:$A,0))&amp;"","")&lt;&gt;""),"SIM",""))</f>
        <v/>
      </c>
      <c r="N1996" s="5"/>
      <c r="O1996" s="32" t="str">
        <f aca="false">IF(D1996="","",YEAR(D1996))</f>
        <v/>
      </c>
      <c r="P1996" s="5"/>
    </row>
    <row r="1997" customFormat="false" ht="15" hidden="false" customHeight="false" outlineLevel="0" collapsed="false">
      <c r="A1997" s="27"/>
      <c r="B1997" s="5"/>
      <c r="C1997" s="35"/>
      <c r="D1997" s="18"/>
      <c r="E1997" s="5"/>
      <c r="F1997" s="14"/>
      <c r="G1997" s="5"/>
      <c r="H1997" s="27"/>
      <c r="I1997" s="5"/>
      <c r="J1997" s="19" t="str">
        <f aca="false">IF(A1997="","",IFERROR(INDEX(Empresas!$D:$D,MATCH(A1997,Empresas!$A:$A,0))&amp;"","não consta"))</f>
        <v/>
      </c>
      <c r="K1997" s="19" t="str">
        <f aca="false">IF(A1997="","",IFERROR(INDEX(Sancoes!$B:$B,MATCH(A1997,Sancoes!$A:$A,0))&amp;"","não consta"))</f>
        <v/>
      </c>
      <c r="L1997" s="19" t="str">
        <f aca="false">IF(A1997="","",IFERROR(INDEX(Eleitoral!$B:$B,MATCH(A1997,Eleitoral!$A:$A,0))&amp;"","não consta"))</f>
        <v/>
      </c>
      <c r="M1997" s="28" t="str">
        <f aca="false">IF(A1997="","",IF(OR(AND(K1997&lt;&gt;"",LOWER(K1997)&lt;&gt;"não consta"),AND(L1997&lt;&gt;"",LOWER(L1997)&lt;&gt;"não consta"),IFERROR(INDEX(Empresas!$G:$G,MATCH(A1997,Empresas!$A:$A,0))&amp;"","")&lt;&gt;""),"SIM",""))</f>
        <v/>
      </c>
      <c r="N1997" s="5"/>
      <c r="O1997" s="32" t="str">
        <f aca="false">IF(D1997="","",YEAR(D1997))</f>
        <v/>
      </c>
      <c r="P1997" s="5"/>
    </row>
    <row r="1998" customFormat="false" ht="15" hidden="false" customHeight="false" outlineLevel="0" collapsed="false">
      <c r="A1998" s="27"/>
      <c r="B1998" s="5"/>
      <c r="C1998" s="35"/>
      <c r="D1998" s="18"/>
      <c r="E1998" s="5"/>
      <c r="F1998" s="14"/>
      <c r="G1998" s="5"/>
      <c r="H1998" s="27"/>
      <c r="I1998" s="5"/>
      <c r="J1998" s="19" t="str">
        <f aca="false">IF(A1998="","",IFERROR(INDEX(Empresas!$D:$D,MATCH(A1998,Empresas!$A:$A,0))&amp;"","não consta"))</f>
        <v/>
      </c>
      <c r="K1998" s="19" t="str">
        <f aca="false">IF(A1998="","",IFERROR(INDEX(Sancoes!$B:$B,MATCH(A1998,Sancoes!$A:$A,0))&amp;"","não consta"))</f>
        <v/>
      </c>
      <c r="L1998" s="19" t="str">
        <f aca="false">IF(A1998="","",IFERROR(INDEX(Eleitoral!$B:$B,MATCH(A1998,Eleitoral!$A:$A,0))&amp;"","não consta"))</f>
        <v/>
      </c>
      <c r="M1998" s="28" t="str">
        <f aca="false">IF(A1998="","",IF(OR(AND(K1998&lt;&gt;"",LOWER(K1998)&lt;&gt;"não consta"),AND(L1998&lt;&gt;"",LOWER(L1998)&lt;&gt;"não consta"),IFERROR(INDEX(Empresas!$G:$G,MATCH(A1998,Empresas!$A:$A,0))&amp;"","")&lt;&gt;""),"SIM",""))</f>
        <v/>
      </c>
      <c r="N1998" s="5"/>
      <c r="O1998" s="32" t="str">
        <f aca="false">IF(D1998="","",YEAR(D1998))</f>
        <v/>
      </c>
      <c r="P1998" s="5"/>
    </row>
    <row r="1999" customFormat="false" ht="15" hidden="false" customHeight="false" outlineLevel="0" collapsed="false">
      <c r="A1999" s="27"/>
      <c r="B1999" s="5"/>
      <c r="C1999" s="35"/>
      <c r="D1999" s="18"/>
      <c r="E1999" s="5"/>
      <c r="F1999" s="14"/>
      <c r="G1999" s="5"/>
      <c r="H1999" s="27"/>
      <c r="I1999" s="5"/>
      <c r="J1999" s="19" t="str">
        <f aca="false">IF(A1999="","",IFERROR(INDEX(Empresas!$D:$D,MATCH(A1999,Empresas!$A:$A,0))&amp;"","não consta"))</f>
        <v/>
      </c>
      <c r="K1999" s="19" t="str">
        <f aca="false">IF(A1999="","",IFERROR(INDEX(Sancoes!$B:$B,MATCH(A1999,Sancoes!$A:$A,0))&amp;"","não consta"))</f>
        <v/>
      </c>
      <c r="L1999" s="19" t="str">
        <f aca="false">IF(A1999="","",IFERROR(INDEX(Eleitoral!$B:$B,MATCH(A1999,Eleitoral!$A:$A,0))&amp;"","não consta"))</f>
        <v/>
      </c>
      <c r="M1999" s="28" t="str">
        <f aca="false">IF(A1999="","",IF(OR(AND(K1999&lt;&gt;"",LOWER(K1999)&lt;&gt;"não consta"),AND(L1999&lt;&gt;"",LOWER(L1999)&lt;&gt;"não consta"),IFERROR(INDEX(Empresas!$G:$G,MATCH(A1999,Empresas!$A:$A,0))&amp;"","")&lt;&gt;""),"SIM",""))</f>
        <v/>
      </c>
      <c r="N1999" s="5"/>
      <c r="O1999" s="32" t="str">
        <f aca="false">IF(D1999="","",YEAR(D1999))</f>
        <v/>
      </c>
      <c r="P1999" s="5"/>
    </row>
    <row r="2000" customFormat="false" ht="15" hidden="false" customHeight="false" outlineLevel="0" collapsed="false">
      <c r="A2000" s="27"/>
      <c r="B2000" s="5"/>
      <c r="C2000" s="35"/>
      <c r="D2000" s="18"/>
      <c r="E2000" s="5"/>
      <c r="F2000" s="14"/>
      <c r="G2000" s="5"/>
      <c r="H2000" s="27"/>
      <c r="I2000" s="5"/>
      <c r="J2000" s="19" t="str">
        <f aca="false">IF(A2000="","",IFERROR(INDEX(Empresas!$D:$D,MATCH(A2000,Empresas!$A:$A,0))&amp;"","não consta"))</f>
        <v/>
      </c>
      <c r="K2000" s="19" t="str">
        <f aca="false">IF(A2000="","",IFERROR(INDEX(Sancoes!$B:$B,MATCH(A2000,Sancoes!$A:$A,0))&amp;"","não consta"))</f>
        <v/>
      </c>
      <c r="L2000" s="19" t="str">
        <f aca="false">IF(A2000="","",IFERROR(INDEX(Eleitoral!$B:$B,MATCH(A2000,Eleitoral!$A:$A,0))&amp;"","não consta"))</f>
        <v/>
      </c>
      <c r="M2000" s="28" t="str">
        <f aca="false">IF(A2000="","",IF(OR(AND(K2000&lt;&gt;"",LOWER(K2000)&lt;&gt;"não consta"),AND(L2000&lt;&gt;"",LOWER(L2000)&lt;&gt;"não consta"),IFERROR(INDEX(Empresas!$G:$G,MATCH(A2000,Empresas!$A:$A,0))&amp;"","")&lt;&gt;""),"SIM",""))</f>
        <v/>
      </c>
      <c r="N2000" s="5"/>
      <c r="O2000" s="32" t="str">
        <f aca="false">IF(D2000="","",YEAR(D2000))</f>
        <v/>
      </c>
      <c r="P2000" s="5"/>
    </row>
    <row r="2001" customFormat="false" ht="15" hidden="false" customHeight="false" outlineLevel="0" collapsed="false">
      <c r="A2001" s="27"/>
      <c r="B2001" s="5"/>
      <c r="C2001" s="35"/>
      <c r="D2001" s="18"/>
      <c r="E2001" s="5"/>
      <c r="F2001" s="14"/>
      <c r="G2001" s="5"/>
      <c r="H2001" s="27"/>
      <c r="I2001" s="5"/>
      <c r="J2001" s="19" t="str">
        <f aca="false">IF(A2001="","",IFERROR(INDEX(Empresas!$D:$D,MATCH(A2001,Empresas!$A:$A,0))&amp;"","não consta"))</f>
        <v/>
      </c>
      <c r="K2001" s="19" t="str">
        <f aca="false">IF(A2001="","",IFERROR(INDEX(Sancoes!$B:$B,MATCH(A2001,Sancoes!$A:$A,0))&amp;"","não consta"))</f>
        <v/>
      </c>
      <c r="L2001" s="19" t="str">
        <f aca="false">IF(A2001="","",IFERROR(INDEX(Eleitoral!$B:$B,MATCH(A2001,Eleitoral!$A:$A,0))&amp;"","não consta"))</f>
        <v/>
      </c>
      <c r="M2001" s="28" t="str">
        <f aca="false">IF(A2001="","",IF(OR(AND(K2001&lt;&gt;"",LOWER(K2001)&lt;&gt;"não consta"),AND(L2001&lt;&gt;"",LOWER(L2001)&lt;&gt;"não consta"),IFERROR(INDEX(Empresas!$G:$G,MATCH(A2001,Empresas!$A:$A,0))&amp;"","")&lt;&gt;""),"SIM",""))</f>
        <v/>
      </c>
      <c r="N2001" s="5"/>
      <c r="O2001" s="32" t="str">
        <f aca="false">IF(D2001="","",YEAR(D2001))</f>
        <v/>
      </c>
      <c r="P2001" s="5"/>
    </row>
  </sheetData>
  <autoFilter ref="A1:P2001"/>
  <conditionalFormatting sqref="A2:A2001">
    <cfRule type="expression" priority="2" aboveAverage="0" equalAverage="0" bottom="0" percent="0" rank="0" text="" dxfId="17">
      <formula>AND(A2&lt;&gt;"",LEN(A2)&lt;&gt;14)</formula>
    </cfRule>
  </conditionalFormatting>
  <conditionalFormatting sqref="K2:K2001">
    <cfRule type="expression" priority="3" aboveAverage="0" equalAverage="0" bottom="0" percent="0" rank="0" text="" dxfId="8">
      <formula>AND(K2&lt;&gt;"",LOWER(K2)&lt;&gt;"não consta")</formula>
    </cfRule>
  </conditionalFormatting>
  <conditionalFormatting sqref="L2:L2001">
    <cfRule type="expression" priority="4" aboveAverage="0" equalAverage="0" bottom="0" percent="0" rank="0" text="" dxfId="8">
      <formula>AND(L2&lt;&gt;"",LOWER(L2)&lt;&gt;"não consta")</formula>
    </cfRule>
  </conditionalFormatting>
  <conditionalFormatting sqref="M2:M2001">
    <cfRule type="expression" priority="5" aboveAverage="0" equalAverage="0" bottom="0" percent="0" rank="0" text="" dxfId="8">
      <formula>M2="SIM"</formula>
    </cfRule>
  </conditionalFormatting>
  <dataValidations count="2">
    <dataValidation allowBlank="true" error="Digite o CNPJ como texto, com 14 caracteres, sem pontos, barra ou traço. É a chave de todos os cruzamentos." errorStyle="warning" errorTitle="CNPJ com 14 caracteres" operator="equal" showDropDown="false" showErrorMessage="true" showInputMessage="false" sqref="A2:A2001" type="textLength">
      <formula1>14</formula1>
      <formula2>0</formula2>
    </dataValidation>
    <dataValidation allowBlank="true" error="Escolha uma opção da lista (as opções estão na aba Listas)." errorStyle="stop" operator="between" showDropDown="false" showErrorMessage="false" showInputMessage="false" sqref="F2:F2001" type="list">
      <formula1>Listas!$I$2:$I$4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10" min="9" style="0" width="22"/>
    <col collapsed="false" customWidth="true" hidden="false" outlineLevel="0" max="11" min="11" style="0" width="24"/>
    <col collapsed="false" customWidth="true" hidden="false" outlineLevel="0" max="12" min="12" style="0" width="26"/>
    <col collapsed="false" customWidth="true" hidden="false" outlineLevel="0" max="13" min="13" style="0" width="12"/>
    <col collapsed="false" customWidth="true" hidden="false" outlineLevel="0" max="14" min="14" style="0" width="14"/>
    <col collapsed="false" customWidth="true" hidden="false" outlineLevel="0" max="15" min="15" style="0" width="10"/>
    <col collapsed="false" customWidth="true" hidden="false" outlineLevel="0" max="16" min="16" style="0" width="20"/>
    <col collapsed="false" customWidth="true" hidden="false" outlineLevel="0" max="17" min="17" style="0" width="11"/>
    <col collapsed="false" customWidth="true" hidden="false" outlineLevel="0" max="18" min="18" style="0" width="30"/>
  </cols>
  <sheetData>
    <row r="1" customFormat="false" ht="39.75" hidden="false" customHeight="true" outlineLevel="0" collapsed="false">
      <c r="A1" s="10" t="s">
        <v>435</v>
      </c>
      <c r="B1" s="10" t="s">
        <v>382</v>
      </c>
      <c r="C1" s="10" t="s">
        <v>436</v>
      </c>
      <c r="D1" s="10" t="s">
        <v>403</v>
      </c>
      <c r="E1" s="10" t="s">
        <v>437</v>
      </c>
      <c r="F1" s="10" t="s">
        <v>438</v>
      </c>
      <c r="G1" s="15" t="s">
        <v>439</v>
      </c>
      <c r="H1" s="10" t="s">
        <v>440</v>
      </c>
      <c r="I1" s="15" t="s">
        <v>441</v>
      </c>
      <c r="J1" s="15" t="s">
        <v>442</v>
      </c>
      <c r="K1" s="15" t="s">
        <v>443</v>
      </c>
      <c r="L1" s="15" t="s">
        <v>444</v>
      </c>
      <c r="M1" s="10" t="s">
        <v>445</v>
      </c>
      <c r="N1" s="10" t="s">
        <v>446</v>
      </c>
      <c r="O1" s="15" t="s">
        <v>447</v>
      </c>
      <c r="P1" s="15" t="s">
        <v>448</v>
      </c>
      <c r="Q1" s="10" t="s">
        <v>395</v>
      </c>
      <c r="R1" s="10" t="s">
        <v>138</v>
      </c>
    </row>
    <row r="2" customFormat="false" ht="23.85" hidden="false" customHeight="false" outlineLevel="0" collapsed="false">
      <c r="A2" s="23" t="s">
        <v>414</v>
      </c>
      <c r="B2" s="7" t="s">
        <v>417</v>
      </c>
      <c r="C2" s="7" t="s">
        <v>449</v>
      </c>
      <c r="D2" s="33" t="n">
        <v>480000</v>
      </c>
      <c r="E2" s="13" t="s">
        <v>450</v>
      </c>
      <c r="F2" s="16" t="n">
        <v>45889</v>
      </c>
      <c r="G2" s="29" t="n">
        <f aca="false">IF(A2="","",IFERROR(IF(INDEX(Empresas!$C:$C,MATCH(A2,Empresas!$A:$A,0))="","",INDEX(Empresas!$C:$C,MATCH(A2,Empresas!$A:$A,0))),""))</f>
        <v>45726</v>
      </c>
      <c r="H2" s="16" t="n">
        <v>46253</v>
      </c>
      <c r="I2" s="17" t="str">
        <f aca="false">IF(OR(F2="",G2=""),"",IF(F2-G2&lt;0,"CONTRATO ANTERIOR À ABERTURA — conferir datas",IF(F2-G2&lt;180,"ABERTA MENOS DE 6 MESES ANTES","")))</f>
        <v>ABERTA MENOS DE 6 MESES ANTES</v>
      </c>
      <c r="J2" s="17" t="str">
        <f aca="false">IF(A2="","",IFERROR(INDEX(Sancoes!$B:$B,MATCH(A2,Sancoes!$A:$A,0))&amp;"","não consta"))</f>
        <v>Não consta</v>
      </c>
      <c r="K2" s="17" t="str">
        <f aca="false">IF(OR(A2="",F2=""),"",IF(SUMPRODUCT((Sancoes!$A$2:$A$301=A2)*(Sancoes!$B$2:$B$301&lt;&gt;"Não consta")*(Sancoes!$D$2:$D$301&lt;&gt;"")*(Sancoes!$D$2:$D$301&lt;=F2)*(((Sancoes!$E$2:$E$301="")+(Sancoes!$E$2:$E$301&gt;=F2))&gt;0))&gt;0,"SANÇÃO VIGENTE NA DATA — leia o tipo e a abrangência",""))</f>
        <v/>
      </c>
      <c r="L2" s="17" t="str">
        <f aca="false">IF(A2="","",IFERROR(INDEX(Empresas!$B:$B,MATCH(A2,Empresas!$A:$A,0))&amp;"","cadastre o CNPJ em Empresas"))</f>
        <v>ALIMENTOS MODELO LTDA</v>
      </c>
      <c r="M2" s="23" t="s">
        <v>451</v>
      </c>
      <c r="N2" s="33" t="n">
        <v>150000</v>
      </c>
      <c r="O2" s="36" t="n">
        <f aca="false">IF(OR(D2="",D2=0,N2=""),"",N2/D2)</f>
        <v>0.3125</v>
      </c>
      <c r="P2" s="17" t="str">
        <f aca="false">IF(O2="","",IF(O2&gt;0.25,"ACRÉSCIMO ACIMA DE 25% — conferir",""))</f>
        <v>ACRÉSCIMO ACIMA DE 25% — conferir</v>
      </c>
      <c r="Q2" s="23" t="s">
        <v>177</v>
      </c>
      <c r="R2" s="7" t="s">
        <v>167</v>
      </c>
    </row>
    <row r="3" customFormat="false" ht="35.05" hidden="false" customHeight="false" outlineLevel="0" collapsed="false">
      <c r="A3" s="23" t="s">
        <v>423</v>
      </c>
      <c r="B3" s="7" t="s">
        <v>425</v>
      </c>
      <c r="C3" s="7" t="s">
        <v>452</v>
      </c>
      <c r="D3" s="33" t="n">
        <v>2300000</v>
      </c>
      <c r="E3" s="13" t="s">
        <v>453</v>
      </c>
      <c r="F3" s="16" t="n">
        <v>45048</v>
      </c>
      <c r="G3" s="29" t="n">
        <f aca="false">IF(A3="","",IFERROR(IF(INDEX(Empresas!$C:$C,MATCH(A3,Empresas!$A:$A,0))="","",INDEX(Empresas!$C:$C,MATCH(A3,Empresas!$A:$A,0))),""))</f>
        <v>42156</v>
      </c>
      <c r="H3" s="16" t="n">
        <v>45413</v>
      </c>
      <c r="I3" s="17" t="str">
        <f aca="false">IF(OR(F3="",G3=""),"",IF(F3-G3&lt;0,"CONTRATO ANTERIOR À ABERTURA — conferir datas",IF(F3-G3&lt;180,"ABERTA MENOS DE 6 MESES ANTES","")))</f>
        <v/>
      </c>
      <c r="J3" s="17" t="str">
        <f aca="false">IF(A3="","",IFERROR(INDEX(Sancoes!$B:$B,MATCH(A3,Sancoes!$A:$A,0))&amp;"","não consta"))</f>
        <v>Impedimento de licitar e contratar</v>
      </c>
      <c r="K3" s="17" t="str">
        <f aca="false">IF(OR(A3="",F3=""),"",IF(SUMPRODUCT((Sancoes!$A$2:$A$301=A3)*(Sancoes!$B$2:$B$301&lt;&gt;"Não consta")*(Sancoes!$D$2:$D$301&lt;&gt;"")*(Sancoes!$D$2:$D$301&lt;=F3)*(((Sancoes!$E$2:$E$301="")+(Sancoes!$E$2:$E$301&gt;=F3))&gt;0))&gt;0,"SANÇÃO VIGENTE NA DATA — leia o tipo e a abrangência",""))</f>
        <v>SANÇÃO VIGENTE NA DATA — leia o tipo e a abrangência</v>
      </c>
      <c r="L3" s="17" t="str">
        <f aca="false">IF(A3="","",IFERROR(INDEX(Empresas!$B:$B,MATCH(A3,Empresas!$A:$A,0))&amp;"","cadastre o CNPJ em Empresas"))</f>
        <v>CONSTRUTORA EXEMPLO LTDA</v>
      </c>
      <c r="M3" s="23" t="s">
        <v>454</v>
      </c>
      <c r="N3" s="33" t="n">
        <v>0</v>
      </c>
      <c r="O3" s="36" t="n">
        <f aca="false">IF(OR(D3="",D3=0,N3=""),"",N3/D3)</f>
        <v>0</v>
      </c>
      <c r="P3" s="17" t="str">
        <f aca="false">IF(O3="","",IF(O3&gt;0.25,"ACRÉSCIMO ACIMA DE 25% — conferir",""))</f>
        <v/>
      </c>
      <c r="Q3" s="23" t="s">
        <v>325</v>
      </c>
      <c r="R3" s="7" t="s">
        <v>455</v>
      </c>
    </row>
    <row r="4" customFormat="false" ht="23.85" hidden="false" customHeight="false" outlineLevel="0" collapsed="false">
      <c r="A4" s="23" t="s">
        <v>429</v>
      </c>
      <c r="B4" s="7" t="s">
        <v>431</v>
      </c>
      <c r="C4" s="7" t="s">
        <v>456</v>
      </c>
      <c r="D4" s="33" t="n">
        <v>95000</v>
      </c>
      <c r="E4" s="13" t="s">
        <v>457</v>
      </c>
      <c r="F4" s="16" t="n">
        <v>45719</v>
      </c>
      <c r="G4" s="29" t="n">
        <f aca="false">IF(A4="","",IFERROR(IF(INDEX(Empresas!$C:$C,MATCH(A4,Empresas!$A:$A,0))="","",INDEX(Empresas!$C:$C,MATCH(A4,Empresas!$A:$A,0))),""))</f>
        <v>41011</v>
      </c>
      <c r="H4" s="16" t="n">
        <v>46083</v>
      </c>
      <c r="I4" s="17" t="str">
        <f aca="false">IF(OR(F4="",G4=""),"",IF(F4-G4&lt;0,"CONTRATO ANTERIOR À ABERTURA — conferir datas",IF(F4-G4&lt;180,"ABERTA MENOS DE 6 MESES ANTES","")))</f>
        <v/>
      </c>
      <c r="J4" s="17" t="str">
        <f aca="false">IF(A4="","",IFERROR(INDEX(Sancoes!$B:$B,MATCH(A4,Sancoes!$A:$A,0))&amp;"","não consta"))</f>
        <v>Não consta</v>
      </c>
      <c r="K4" s="17" t="str">
        <f aca="false">IF(OR(A4="",F4=""),"",IF(SUMPRODUCT((Sancoes!$A$2:$A$301=A4)*(Sancoes!$B$2:$B$301&lt;&gt;"Não consta")*(Sancoes!$D$2:$D$301&lt;&gt;"")*(Sancoes!$D$2:$D$301&lt;=F4)*(((Sancoes!$E$2:$E$301="")+(Sancoes!$E$2:$E$301&gt;=F4))&gt;0))&gt;0,"SANÇÃO VIGENTE NA DATA — leia o tipo e a abrangência",""))</f>
        <v/>
      </c>
      <c r="L4" s="17" t="str">
        <f aca="false">IF(A4="","",IFERROR(INDEX(Empresas!$B:$B,MATCH(A4,Empresas!$A:$A,0))&amp;"","cadastre o CNPJ em Empresas"))</f>
        <v>GRÁFICA EXEMPLO LTDA</v>
      </c>
      <c r="M4" s="23" t="s">
        <v>458</v>
      </c>
      <c r="N4" s="33" t="n">
        <v>0</v>
      </c>
      <c r="O4" s="36" t="n">
        <f aca="false">IF(OR(D4="",D4=0,N4=""),"",N4/D4)</f>
        <v>0</v>
      </c>
      <c r="P4" s="17" t="str">
        <f aca="false">IF(O4="","",IF(O4&gt;0.25,"ACRÉSCIMO ACIMA DE 25% — conferir",""))</f>
        <v/>
      </c>
      <c r="Q4" s="23" t="s">
        <v>177</v>
      </c>
      <c r="R4" s="7" t="s">
        <v>459</v>
      </c>
    </row>
    <row r="5" customFormat="false" ht="15" hidden="false" customHeight="false" outlineLevel="0" collapsed="false">
      <c r="A5" s="27"/>
      <c r="B5" s="5"/>
      <c r="C5" s="5"/>
      <c r="D5" s="35"/>
      <c r="E5" s="14"/>
      <c r="F5" s="18"/>
      <c r="G5" s="31" t="str">
        <f aca="false">IF(A5="","",IFERROR(IF(INDEX(Empresas!$C:$C,MATCH(A5,Empresas!$A:$A,0))="","",INDEX(Empresas!$C:$C,MATCH(A5,Empresas!$A:$A,0))),""))</f>
        <v/>
      </c>
      <c r="H5" s="18"/>
      <c r="I5" s="19" t="str">
        <f aca="false">IF(OR(F5="",G5=""),"",IF(F5-G5&lt;0,"CONTRATO ANTERIOR À ABERTURA — conferir datas",IF(F5-G5&lt;180,"ABERTA MENOS DE 6 MESES ANTES","")))</f>
        <v/>
      </c>
      <c r="J5" s="19" t="str">
        <f aca="false">IF(A5="","",IFERROR(INDEX(Sancoes!$B:$B,MATCH(A5,Sancoes!$A:$A,0))&amp;"","não consta"))</f>
        <v/>
      </c>
      <c r="K5" s="19" t="str">
        <f aca="false">IF(OR(A5="",F5=""),"",IF(SUMPRODUCT((Sancoes!$A$2:$A$301=A5)*(Sancoes!$B$2:$B$301&lt;&gt;"Não consta")*(Sancoes!$D$2:$D$301&lt;&gt;"")*(Sancoes!$D$2:$D$301&lt;=F5)*(((Sancoes!$E$2:$E$301="")+(Sancoes!$E$2:$E$301&gt;=F5))&gt;0))&gt;0,"SANÇÃO VIGENTE NA DATA — leia o tipo e a abrangência",""))</f>
        <v/>
      </c>
      <c r="L5" s="19" t="str">
        <f aca="false">IF(A5="","",IFERROR(INDEX(Empresas!$B:$B,MATCH(A5,Empresas!$A:$A,0))&amp;"","cadastre o CNPJ em Empresas"))</f>
        <v/>
      </c>
      <c r="M5" s="27"/>
      <c r="N5" s="35"/>
      <c r="O5" s="37" t="str">
        <f aca="false">IF(OR(D5="",D5=0,N5=""),"",N5/D5)</f>
        <v/>
      </c>
      <c r="P5" s="19" t="str">
        <f aca="false">IF(O5="","",IF(O5&gt;0.25,"ACRÉSCIMO ACIMA DE 25% — conferir",""))</f>
        <v/>
      </c>
      <c r="Q5" s="27"/>
      <c r="R5" s="5"/>
    </row>
    <row r="6" customFormat="false" ht="15" hidden="false" customHeight="false" outlineLevel="0" collapsed="false">
      <c r="A6" s="27"/>
      <c r="B6" s="5"/>
      <c r="C6" s="5"/>
      <c r="D6" s="35"/>
      <c r="E6" s="14"/>
      <c r="F6" s="18"/>
      <c r="G6" s="31" t="str">
        <f aca="false">IF(A6="","",IFERROR(IF(INDEX(Empresas!$C:$C,MATCH(A6,Empresas!$A:$A,0))="","",INDEX(Empresas!$C:$C,MATCH(A6,Empresas!$A:$A,0))),""))</f>
        <v/>
      </c>
      <c r="H6" s="18"/>
      <c r="I6" s="19" t="str">
        <f aca="false">IF(OR(F6="",G6=""),"",IF(F6-G6&lt;0,"CONTRATO ANTERIOR À ABERTURA — conferir datas",IF(F6-G6&lt;180,"ABERTA MENOS DE 6 MESES ANTES","")))</f>
        <v/>
      </c>
      <c r="J6" s="19" t="str">
        <f aca="false">IF(A6="","",IFERROR(INDEX(Sancoes!$B:$B,MATCH(A6,Sancoes!$A:$A,0))&amp;"","não consta"))</f>
        <v/>
      </c>
      <c r="K6" s="19" t="str">
        <f aca="false">IF(OR(A6="",F6=""),"",IF(SUMPRODUCT((Sancoes!$A$2:$A$301=A6)*(Sancoes!$B$2:$B$301&lt;&gt;"Não consta")*(Sancoes!$D$2:$D$301&lt;&gt;"")*(Sancoes!$D$2:$D$301&lt;=F6)*(((Sancoes!$E$2:$E$301="")+(Sancoes!$E$2:$E$301&gt;=F6))&gt;0))&gt;0,"SANÇÃO VIGENTE NA DATA — leia o tipo e a abrangência",""))</f>
        <v/>
      </c>
      <c r="L6" s="19" t="str">
        <f aca="false">IF(A6="","",IFERROR(INDEX(Empresas!$B:$B,MATCH(A6,Empresas!$A:$A,0))&amp;"","cadastre o CNPJ em Empresas"))</f>
        <v/>
      </c>
      <c r="M6" s="27"/>
      <c r="N6" s="35"/>
      <c r="O6" s="37" t="str">
        <f aca="false">IF(OR(D6="",D6=0,N6=""),"",N6/D6)</f>
        <v/>
      </c>
      <c r="P6" s="19" t="str">
        <f aca="false">IF(O6="","",IF(O6&gt;0.25,"ACRÉSCIMO ACIMA DE 25% — conferir",""))</f>
        <v/>
      </c>
      <c r="Q6" s="27"/>
      <c r="R6" s="5"/>
    </row>
    <row r="7" customFormat="false" ht="15" hidden="false" customHeight="false" outlineLevel="0" collapsed="false">
      <c r="A7" s="27"/>
      <c r="B7" s="5"/>
      <c r="C7" s="5"/>
      <c r="D7" s="35"/>
      <c r="E7" s="14"/>
      <c r="F7" s="18"/>
      <c r="G7" s="31" t="str">
        <f aca="false">IF(A7="","",IFERROR(IF(INDEX(Empresas!$C:$C,MATCH(A7,Empresas!$A:$A,0))="","",INDEX(Empresas!$C:$C,MATCH(A7,Empresas!$A:$A,0))),""))</f>
        <v/>
      </c>
      <c r="H7" s="18"/>
      <c r="I7" s="19" t="str">
        <f aca="false">IF(OR(F7="",G7=""),"",IF(F7-G7&lt;0,"CONTRATO ANTERIOR À ABERTURA — conferir datas",IF(F7-G7&lt;180,"ABERTA MENOS DE 6 MESES ANTES","")))</f>
        <v/>
      </c>
      <c r="J7" s="19" t="str">
        <f aca="false">IF(A7="","",IFERROR(INDEX(Sancoes!$B:$B,MATCH(A7,Sancoes!$A:$A,0))&amp;"","não consta"))</f>
        <v/>
      </c>
      <c r="K7" s="19" t="str">
        <f aca="false">IF(OR(A7="",F7=""),"",IF(SUMPRODUCT((Sancoes!$A$2:$A$301=A7)*(Sancoes!$B$2:$B$301&lt;&gt;"Não consta")*(Sancoes!$D$2:$D$301&lt;&gt;"")*(Sancoes!$D$2:$D$301&lt;=F7)*(((Sancoes!$E$2:$E$301="")+(Sancoes!$E$2:$E$301&gt;=F7))&gt;0))&gt;0,"SANÇÃO VIGENTE NA DATA — leia o tipo e a abrangência",""))</f>
        <v/>
      </c>
      <c r="L7" s="19" t="str">
        <f aca="false">IF(A7="","",IFERROR(INDEX(Empresas!$B:$B,MATCH(A7,Empresas!$A:$A,0))&amp;"","cadastre o CNPJ em Empresas"))</f>
        <v/>
      </c>
      <c r="M7" s="27"/>
      <c r="N7" s="35"/>
      <c r="O7" s="37" t="str">
        <f aca="false">IF(OR(D7="",D7=0,N7=""),"",N7/D7)</f>
        <v/>
      </c>
      <c r="P7" s="19" t="str">
        <f aca="false">IF(O7="","",IF(O7&gt;0.25,"ACRÉSCIMO ACIMA DE 25% — conferir",""))</f>
        <v/>
      </c>
      <c r="Q7" s="27"/>
      <c r="R7" s="5"/>
    </row>
    <row r="8" customFormat="false" ht="15" hidden="false" customHeight="false" outlineLevel="0" collapsed="false">
      <c r="A8" s="27"/>
      <c r="B8" s="5"/>
      <c r="C8" s="5"/>
      <c r="D8" s="35"/>
      <c r="E8" s="14"/>
      <c r="F8" s="18"/>
      <c r="G8" s="31" t="str">
        <f aca="false">IF(A8="","",IFERROR(IF(INDEX(Empresas!$C:$C,MATCH(A8,Empresas!$A:$A,0))="","",INDEX(Empresas!$C:$C,MATCH(A8,Empresas!$A:$A,0))),""))</f>
        <v/>
      </c>
      <c r="H8" s="18"/>
      <c r="I8" s="19" t="str">
        <f aca="false">IF(OR(F8="",G8=""),"",IF(F8-G8&lt;0,"CONTRATO ANTERIOR À ABERTURA — conferir datas",IF(F8-G8&lt;180,"ABERTA MENOS DE 6 MESES ANTES","")))</f>
        <v/>
      </c>
      <c r="J8" s="19" t="str">
        <f aca="false">IF(A8="","",IFERROR(INDEX(Sancoes!$B:$B,MATCH(A8,Sancoes!$A:$A,0))&amp;"","não consta"))</f>
        <v/>
      </c>
      <c r="K8" s="19" t="str">
        <f aca="false">IF(OR(A8="",F8=""),"",IF(SUMPRODUCT((Sancoes!$A$2:$A$301=A8)*(Sancoes!$B$2:$B$301&lt;&gt;"Não consta")*(Sancoes!$D$2:$D$301&lt;&gt;"")*(Sancoes!$D$2:$D$301&lt;=F8)*(((Sancoes!$E$2:$E$301="")+(Sancoes!$E$2:$E$301&gt;=F8))&gt;0))&gt;0,"SANÇÃO VIGENTE NA DATA — leia o tipo e a abrangência",""))</f>
        <v/>
      </c>
      <c r="L8" s="19" t="str">
        <f aca="false">IF(A8="","",IFERROR(INDEX(Empresas!$B:$B,MATCH(A8,Empresas!$A:$A,0))&amp;"","cadastre o CNPJ em Empresas"))</f>
        <v/>
      </c>
      <c r="M8" s="27"/>
      <c r="N8" s="35"/>
      <c r="O8" s="37" t="str">
        <f aca="false">IF(OR(D8="",D8=0,N8=""),"",N8/D8)</f>
        <v/>
      </c>
      <c r="P8" s="19" t="str">
        <f aca="false">IF(O8="","",IF(O8&gt;0.25,"ACRÉSCIMO ACIMA DE 25% — conferir",""))</f>
        <v/>
      </c>
      <c r="Q8" s="27"/>
      <c r="R8" s="5"/>
    </row>
    <row r="9" customFormat="false" ht="15" hidden="false" customHeight="false" outlineLevel="0" collapsed="false">
      <c r="A9" s="27"/>
      <c r="B9" s="5"/>
      <c r="C9" s="5"/>
      <c r="D9" s="35"/>
      <c r="E9" s="14"/>
      <c r="F9" s="18"/>
      <c r="G9" s="31" t="str">
        <f aca="false">IF(A9="","",IFERROR(IF(INDEX(Empresas!$C:$C,MATCH(A9,Empresas!$A:$A,0))="","",INDEX(Empresas!$C:$C,MATCH(A9,Empresas!$A:$A,0))),""))</f>
        <v/>
      </c>
      <c r="H9" s="18"/>
      <c r="I9" s="19" t="str">
        <f aca="false">IF(OR(F9="",G9=""),"",IF(F9-G9&lt;0,"CONTRATO ANTERIOR À ABERTURA — conferir datas",IF(F9-G9&lt;180,"ABERTA MENOS DE 6 MESES ANTES","")))</f>
        <v/>
      </c>
      <c r="J9" s="19" t="str">
        <f aca="false">IF(A9="","",IFERROR(INDEX(Sancoes!$B:$B,MATCH(A9,Sancoes!$A:$A,0))&amp;"","não consta"))</f>
        <v/>
      </c>
      <c r="K9" s="19" t="str">
        <f aca="false">IF(OR(A9="",F9=""),"",IF(SUMPRODUCT((Sancoes!$A$2:$A$301=A9)*(Sancoes!$B$2:$B$301&lt;&gt;"Não consta")*(Sancoes!$D$2:$D$301&lt;&gt;"")*(Sancoes!$D$2:$D$301&lt;=F9)*(((Sancoes!$E$2:$E$301="")+(Sancoes!$E$2:$E$301&gt;=F9))&gt;0))&gt;0,"SANÇÃO VIGENTE NA DATA — leia o tipo e a abrangência",""))</f>
        <v/>
      </c>
      <c r="L9" s="19" t="str">
        <f aca="false">IF(A9="","",IFERROR(INDEX(Empresas!$B:$B,MATCH(A9,Empresas!$A:$A,0))&amp;"","cadastre o CNPJ em Empresas"))</f>
        <v/>
      </c>
      <c r="M9" s="27"/>
      <c r="N9" s="35"/>
      <c r="O9" s="37" t="str">
        <f aca="false">IF(OR(D9="",D9=0,N9=""),"",N9/D9)</f>
        <v/>
      </c>
      <c r="P9" s="19" t="str">
        <f aca="false">IF(O9="","",IF(O9&gt;0.25,"ACRÉSCIMO ACIMA DE 25% — conferir",""))</f>
        <v/>
      </c>
      <c r="Q9" s="27"/>
      <c r="R9" s="5"/>
    </row>
    <row r="10" customFormat="false" ht="15" hidden="false" customHeight="false" outlineLevel="0" collapsed="false">
      <c r="A10" s="27"/>
      <c r="B10" s="5"/>
      <c r="C10" s="5"/>
      <c r="D10" s="35"/>
      <c r="E10" s="14"/>
      <c r="F10" s="18"/>
      <c r="G10" s="31" t="str">
        <f aca="false">IF(A10="","",IFERROR(IF(INDEX(Empresas!$C:$C,MATCH(A10,Empresas!$A:$A,0))="","",INDEX(Empresas!$C:$C,MATCH(A10,Empresas!$A:$A,0))),""))</f>
        <v/>
      </c>
      <c r="H10" s="18"/>
      <c r="I10" s="19" t="str">
        <f aca="false">IF(OR(F10="",G10=""),"",IF(F10-G10&lt;0,"CONTRATO ANTERIOR À ABERTURA — conferir datas",IF(F10-G10&lt;180,"ABERTA MENOS DE 6 MESES ANTES","")))</f>
        <v/>
      </c>
      <c r="J10" s="19" t="str">
        <f aca="false">IF(A10="","",IFERROR(INDEX(Sancoes!$B:$B,MATCH(A10,Sancoes!$A:$A,0))&amp;"","não consta"))</f>
        <v/>
      </c>
      <c r="K10" s="19" t="str">
        <f aca="false">IF(OR(A10="",F10=""),"",IF(SUMPRODUCT((Sancoes!$A$2:$A$301=A10)*(Sancoes!$B$2:$B$301&lt;&gt;"Não consta")*(Sancoes!$D$2:$D$301&lt;&gt;"")*(Sancoes!$D$2:$D$301&lt;=F10)*(((Sancoes!$E$2:$E$301="")+(Sancoes!$E$2:$E$301&gt;=F10))&gt;0))&gt;0,"SANÇÃO VIGENTE NA DATA — leia o tipo e a abrangência",""))</f>
        <v/>
      </c>
      <c r="L10" s="19" t="str">
        <f aca="false">IF(A10="","",IFERROR(INDEX(Empresas!$B:$B,MATCH(A10,Empresas!$A:$A,0))&amp;"","cadastre o CNPJ em Empresas"))</f>
        <v/>
      </c>
      <c r="M10" s="27"/>
      <c r="N10" s="35"/>
      <c r="O10" s="37" t="str">
        <f aca="false">IF(OR(D10="",D10=0,N10=""),"",N10/D10)</f>
        <v/>
      </c>
      <c r="P10" s="19" t="str">
        <f aca="false">IF(O10="","",IF(O10&gt;0.25,"ACRÉSCIMO ACIMA DE 25% — conferir",""))</f>
        <v/>
      </c>
      <c r="Q10" s="27"/>
      <c r="R10" s="5"/>
    </row>
    <row r="11" customFormat="false" ht="15" hidden="false" customHeight="false" outlineLevel="0" collapsed="false">
      <c r="A11" s="27"/>
      <c r="B11" s="5"/>
      <c r="C11" s="5"/>
      <c r="D11" s="35"/>
      <c r="E11" s="14"/>
      <c r="F11" s="18"/>
      <c r="G11" s="31" t="str">
        <f aca="false">IF(A11="","",IFERROR(IF(INDEX(Empresas!$C:$C,MATCH(A11,Empresas!$A:$A,0))="","",INDEX(Empresas!$C:$C,MATCH(A11,Empresas!$A:$A,0))),""))</f>
        <v/>
      </c>
      <c r="H11" s="18"/>
      <c r="I11" s="19" t="str">
        <f aca="false">IF(OR(F11="",G11=""),"",IF(F11-G11&lt;0,"CONTRATO ANTERIOR À ABERTURA — conferir datas",IF(F11-G11&lt;180,"ABERTA MENOS DE 6 MESES ANTES","")))</f>
        <v/>
      </c>
      <c r="J11" s="19" t="str">
        <f aca="false">IF(A11="","",IFERROR(INDEX(Sancoes!$B:$B,MATCH(A11,Sancoes!$A:$A,0))&amp;"","não consta"))</f>
        <v/>
      </c>
      <c r="K11" s="19" t="str">
        <f aca="false">IF(OR(A11="",F11=""),"",IF(SUMPRODUCT((Sancoes!$A$2:$A$301=A11)*(Sancoes!$B$2:$B$301&lt;&gt;"Não consta")*(Sancoes!$D$2:$D$301&lt;&gt;"")*(Sancoes!$D$2:$D$301&lt;=F11)*(((Sancoes!$E$2:$E$301="")+(Sancoes!$E$2:$E$301&gt;=F11))&gt;0))&gt;0,"SANÇÃO VIGENTE NA DATA — leia o tipo e a abrangência",""))</f>
        <v/>
      </c>
      <c r="L11" s="19" t="str">
        <f aca="false">IF(A11="","",IFERROR(INDEX(Empresas!$B:$B,MATCH(A11,Empresas!$A:$A,0))&amp;"","cadastre o CNPJ em Empresas"))</f>
        <v/>
      </c>
      <c r="M11" s="27"/>
      <c r="N11" s="35"/>
      <c r="O11" s="37" t="str">
        <f aca="false">IF(OR(D11="",D11=0,N11=""),"",N11/D11)</f>
        <v/>
      </c>
      <c r="P11" s="19" t="str">
        <f aca="false">IF(O11="","",IF(O11&gt;0.25,"ACRÉSCIMO ACIMA DE 25% — conferir",""))</f>
        <v/>
      </c>
      <c r="Q11" s="27"/>
      <c r="R11" s="5"/>
    </row>
    <row r="12" customFormat="false" ht="15" hidden="false" customHeight="false" outlineLevel="0" collapsed="false">
      <c r="A12" s="27"/>
      <c r="B12" s="5"/>
      <c r="C12" s="5"/>
      <c r="D12" s="35"/>
      <c r="E12" s="14"/>
      <c r="F12" s="18"/>
      <c r="G12" s="31" t="str">
        <f aca="false">IF(A12="","",IFERROR(IF(INDEX(Empresas!$C:$C,MATCH(A12,Empresas!$A:$A,0))="","",INDEX(Empresas!$C:$C,MATCH(A12,Empresas!$A:$A,0))),""))</f>
        <v/>
      </c>
      <c r="H12" s="18"/>
      <c r="I12" s="19" t="str">
        <f aca="false">IF(OR(F12="",G12=""),"",IF(F12-G12&lt;0,"CONTRATO ANTERIOR À ABERTURA — conferir datas",IF(F12-G12&lt;180,"ABERTA MENOS DE 6 MESES ANTES","")))</f>
        <v/>
      </c>
      <c r="J12" s="19" t="str">
        <f aca="false">IF(A12="","",IFERROR(INDEX(Sancoes!$B:$B,MATCH(A12,Sancoes!$A:$A,0))&amp;"","não consta"))</f>
        <v/>
      </c>
      <c r="K12" s="19" t="str">
        <f aca="false">IF(OR(A12="",F12=""),"",IF(SUMPRODUCT((Sancoes!$A$2:$A$301=A12)*(Sancoes!$B$2:$B$301&lt;&gt;"Não consta")*(Sancoes!$D$2:$D$301&lt;&gt;"")*(Sancoes!$D$2:$D$301&lt;=F12)*(((Sancoes!$E$2:$E$301="")+(Sancoes!$E$2:$E$301&gt;=F12))&gt;0))&gt;0,"SANÇÃO VIGENTE NA DATA — leia o tipo e a abrangência",""))</f>
        <v/>
      </c>
      <c r="L12" s="19" t="str">
        <f aca="false">IF(A12="","",IFERROR(INDEX(Empresas!$B:$B,MATCH(A12,Empresas!$A:$A,0))&amp;"","cadastre o CNPJ em Empresas"))</f>
        <v/>
      </c>
      <c r="M12" s="27"/>
      <c r="N12" s="35"/>
      <c r="O12" s="37" t="str">
        <f aca="false">IF(OR(D12="",D12=0,N12=""),"",N12/D12)</f>
        <v/>
      </c>
      <c r="P12" s="19" t="str">
        <f aca="false">IF(O12="","",IF(O12&gt;0.25,"ACRÉSCIMO ACIMA DE 25% — conferir",""))</f>
        <v/>
      </c>
      <c r="Q12" s="27"/>
      <c r="R12" s="5"/>
    </row>
    <row r="13" customFormat="false" ht="15" hidden="false" customHeight="false" outlineLevel="0" collapsed="false">
      <c r="A13" s="27"/>
      <c r="B13" s="5"/>
      <c r="C13" s="5"/>
      <c r="D13" s="35"/>
      <c r="E13" s="14"/>
      <c r="F13" s="18"/>
      <c r="G13" s="31" t="str">
        <f aca="false">IF(A13="","",IFERROR(IF(INDEX(Empresas!$C:$C,MATCH(A13,Empresas!$A:$A,0))="","",INDEX(Empresas!$C:$C,MATCH(A13,Empresas!$A:$A,0))),""))</f>
        <v/>
      </c>
      <c r="H13" s="18"/>
      <c r="I13" s="19" t="str">
        <f aca="false">IF(OR(F13="",G13=""),"",IF(F13-G13&lt;0,"CONTRATO ANTERIOR À ABERTURA — conferir datas",IF(F13-G13&lt;180,"ABERTA MENOS DE 6 MESES ANTES","")))</f>
        <v/>
      </c>
      <c r="J13" s="19" t="str">
        <f aca="false">IF(A13="","",IFERROR(INDEX(Sancoes!$B:$B,MATCH(A13,Sancoes!$A:$A,0))&amp;"","não consta"))</f>
        <v/>
      </c>
      <c r="K13" s="19" t="str">
        <f aca="false">IF(OR(A13="",F13=""),"",IF(SUMPRODUCT((Sancoes!$A$2:$A$301=A13)*(Sancoes!$B$2:$B$301&lt;&gt;"Não consta")*(Sancoes!$D$2:$D$301&lt;&gt;"")*(Sancoes!$D$2:$D$301&lt;=F13)*(((Sancoes!$E$2:$E$301="")+(Sancoes!$E$2:$E$301&gt;=F13))&gt;0))&gt;0,"SANÇÃO VIGENTE NA DATA — leia o tipo e a abrangência",""))</f>
        <v/>
      </c>
      <c r="L13" s="19" t="str">
        <f aca="false">IF(A13="","",IFERROR(INDEX(Empresas!$B:$B,MATCH(A13,Empresas!$A:$A,0))&amp;"","cadastre o CNPJ em Empresas"))</f>
        <v/>
      </c>
      <c r="M13" s="27"/>
      <c r="N13" s="35"/>
      <c r="O13" s="37" t="str">
        <f aca="false">IF(OR(D13="",D13=0,N13=""),"",N13/D13)</f>
        <v/>
      </c>
      <c r="P13" s="19" t="str">
        <f aca="false">IF(O13="","",IF(O13&gt;0.25,"ACRÉSCIMO ACIMA DE 25% — conferir",""))</f>
        <v/>
      </c>
      <c r="Q13" s="27"/>
      <c r="R13" s="5"/>
    </row>
    <row r="14" customFormat="false" ht="15" hidden="false" customHeight="false" outlineLevel="0" collapsed="false">
      <c r="A14" s="27"/>
      <c r="B14" s="5"/>
      <c r="C14" s="5"/>
      <c r="D14" s="35"/>
      <c r="E14" s="14"/>
      <c r="F14" s="18"/>
      <c r="G14" s="31" t="str">
        <f aca="false">IF(A14="","",IFERROR(IF(INDEX(Empresas!$C:$C,MATCH(A14,Empresas!$A:$A,0))="","",INDEX(Empresas!$C:$C,MATCH(A14,Empresas!$A:$A,0))),""))</f>
        <v/>
      </c>
      <c r="H14" s="18"/>
      <c r="I14" s="19" t="str">
        <f aca="false">IF(OR(F14="",G14=""),"",IF(F14-G14&lt;0,"CONTRATO ANTERIOR À ABERTURA — conferir datas",IF(F14-G14&lt;180,"ABERTA MENOS DE 6 MESES ANTES","")))</f>
        <v/>
      </c>
      <c r="J14" s="19" t="str">
        <f aca="false">IF(A14="","",IFERROR(INDEX(Sancoes!$B:$B,MATCH(A14,Sancoes!$A:$A,0))&amp;"","não consta"))</f>
        <v/>
      </c>
      <c r="K14" s="19" t="str">
        <f aca="false">IF(OR(A14="",F14=""),"",IF(SUMPRODUCT((Sancoes!$A$2:$A$301=A14)*(Sancoes!$B$2:$B$301&lt;&gt;"Não consta")*(Sancoes!$D$2:$D$301&lt;&gt;"")*(Sancoes!$D$2:$D$301&lt;=F14)*(((Sancoes!$E$2:$E$301="")+(Sancoes!$E$2:$E$301&gt;=F14))&gt;0))&gt;0,"SANÇÃO VIGENTE NA DATA — leia o tipo e a abrangência",""))</f>
        <v/>
      </c>
      <c r="L14" s="19" t="str">
        <f aca="false">IF(A14="","",IFERROR(INDEX(Empresas!$B:$B,MATCH(A14,Empresas!$A:$A,0))&amp;"","cadastre o CNPJ em Empresas"))</f>
        <v/>
      </c>
      <c r="M14" s="27"/>
      <c r="N14" s="35"/>
      <c r="O14" s="37" t="str">
        <f aca="false">IF(OR(D14="",D14=0,N14=""),"",N14/D14)</f>
        <v/>
      </c>
      <c r="P14" s="19" t="str">
        <f aca="false">IF(O14="","",IF(O14&gt;0.25,"ACRÉSCIMO ACIMA DE 25% — conferir",""))</f>
        <v/>
      </c>
      <c r="Q14" s="27"/>
      <c r="R14" s="5"/>
    </row>
    <row r="15" customFormat="false" ht="15" hidden="false" customHeight="false" outlineLevel="0" collapsed="false">
      <c r="A15" s="27"/>
      <c r="B15" s="5"/>
      <c r="C15" s="5"/>
      <c r="D15" s="35"/>
      <c r="E15" s="14"/>
      <c r="F15" s="18"/>
      <c r="G15" s="31" t="str">
        <f aca="false">IF(A15="","",IFERROR(IF(INDEX(Empresas!$C:$C,MATCH(A15,Empresas!$A:$A,0))="","",INDEX(Empresas!$C:$C,MATCH(A15,Empresas!$A:$A,0))),""))</f>
        <v/>
      </c>
      <c r="H15" s="18"/>
      <c r="I15" s="19" t="str">
        <f aca="false">IF(OR(F15="",G15=""),"",IF(F15-G15&lt;0,"CONTRATO ANTERIOR À ABERTURA — conferir datas",IF(F15-G15&lt;180,"ABERTA MENOS DE 6 MESES ANTES","")))</f>
        <v/>
      </c>
      <c r="J15" s="19" t="str">
        <f aca="false">IF(A15="","",IFERROR(INDEX(Sancoes!$B:$B,MATCH(A15,Sancoes!$A:$A,0))&amp;"","não consta"))</f>
        <v/>
      </c>
      <c r="K15" s="19" t="str">
        <f aca="false">IF(OR(A15="",F15=""),"",IF(SUMPRODUCT((Sancoes!$A$2:$A$301=A15)*(Sancoes!$B$2:$B$301&lt;&gt;"Não consta")*(Sancoes!$D$2:$D$301&lt;&gt;"")*(Sancoes!$D$2:$D$301&lt;=F15)*(((Sancoes!$E$2:$E$301="")+(Sancoes!$E$2:$E$301&gt;=F15))&gt;0))&gt;0,"SANÇÃO VIGENTE NA DATA — leia o tipo e a abrangência",""))</f>
        <v/>
      </c>
      <c r="L15" s="19" t="str">
        <f aca="false">IF(A15="","",IFERROR(INDEX(Empresas!$B:$B,MATCH(A15,Empresas!$A:$A,0))&amp;"","cadastre o CNPJ em Empresas"))</f>
        <v/>
      </c>
      <c r="M15" s="27"/>
      <c r="N15" s="35"/>
      <c r="O15" s="37" t="str">
        <f aca="false">IF(OR(D15="",D15=0,N15=""),"",N15/D15)</f>
        <v/>
      </c>
      <c r="P15" s="19" t="str">
        <f aca="false">IF(O15="","",IF(O15&gt;0.25,"ACRÉSCIMO ACIMA DE 25% — conferir",""))</f>
        <v/>
      </c>
      <c r="Q15" s="27"/>
      <c r="R15" s="5"/>
    </row>
    <row r="16" customFormat="false" ht="15" hidden="false" customHeight="false" outlineLevel="0" collapsed="false">
      <c r="A16" s="27"/>
      <c r="B16" s="5"/>
      <c r="C16" s="5"/>
      <c r="D16" s="35"/>
      <c r="E16" s="14"/>
      <c r="F16" s="18"/>
      <c r="G16" s="31" t="str">
        <f aca="false">IF(A16="","",IFERROR(IF(INDEX(Empresas!$C:$C,MATCH(A16,Empresas!$A:$A,0))="","",INDEX(Empresas!$C:$C,MATCH(A16,Empresas!$A:$A,0))),""))</f>
        <v/>
      </c>
      <c r="H16" s="18"/>
      <c r="I16" s="19" t="str">
        <f aca="false">IF(OR(F16="",G16=""),"",IF(F16-G16&lt;0,"CONTRATO ANTERIOR À ABERTURA — conferir datas",IF(F16-G16&lt;180,"ABERTA MENOS DE 6 MESES ANTES","")))</f>
        <v/>
      </c>
      <c r="J16" s="19" t="str">
        <f aca="false">IF(A16="","",IFERROR(INDEX(Sancoes!$B:$B,MATCH(A16,Sancoes!$A:$A,0))&amp;"","não consta"))</f>
        <v/>
      </c>
      <c r="K16" s="19" t="str">
        <f aca="false">IF(OR(A16="",F16=""),"",IF(SUMPRODUCT((Sancoes!$A$2:$A$301=A16)*(Sancoes!$B$2:$B$301&lt;&gt;"Não consta")*(Sancoes!$D$2:$D$301&lt;&gt;"")*(Sancoes!$D$2:$D$301&lt;=F16)*(((Sancoes!$E$2:$E$301="")+(Sancoes!$E$2:$E$301&gt;=F16))&gt;0))&gt;0,"SANÇÃO VIGENTE NA DATA — leia o tipo e a abrangência",""))</f>
        <v/>
      </c>
      <c r="L16" s="19" t="str">
        <f aca="false">IF(A16="","",IFERROR(INDEX(Empresas!$B:$B,MATCH(A16,Empresas!$A:$A,0))&amp;"","cadastre o CNPJ em Empresas"))</f>
        <v/>
      </c>
      <c r="M16" s="27"/>
      <c r="N16" s="35"/>
      <c r="O16" s="37" t="str">
        <f aca="false">IF(OR(D16="",D16=0,N16=""),"",N16/D16)</f>
        <v/>
      </c>
      <c r="P16" s="19" t="str">
        <f aca="false">IF(O16="","",IF(O16&gt;0.25,"ACRÉSCIMO ACIMA DE 25% — conferir",""))</f>
        <v/>
      </c>
      <c r="Q16" s="27"/>
      <c r="R16" s="5"/>
    </row>
    <row r="17" customFormat="false" ht="15" hidden="false" customHeight="false" outlineLevel="0" collapsed="false">
      <c r="A17" s="27"/>
      <c r="B17" s="5"/>
      <c r="C17" s="5"/>
      <c r="D17" s="35"/>
      <c r="E17" s="14"/>
      <c r="F17" s="18"/>
      <c r="G17" s="31" t="str">
        <f aca="false">IF(A17="","",IFERROR(IF(INDEX(Empresas!$C:$C,MATCH(A17,Empresas!$A:$A,0))="","",INDEX(Empresas!$C:$C,MATCH(A17,Empresas!$A:$A,0))),""))</f>
        <v/>
      </c>
      <c r="H17" s="18"/>
      <c r="I17" s="19" t="str">
        <f aca="false">IF(OR(F17="",G17=""),"",IF(F17-G17&lt;0,"CONTRATO ANTERIOR À ABERTURA — conferir datas",IF(F17-G17&lt;180,"ABERTA MENOS DE 6 MESES ANTES","")))</f>
        <v/>
      </c>
      <c r="J17" s="19" t="str">
        <f aca="false">IF(A17="","",IFERROR(INDEX(Sancoes!$B:$B,MATCH(A17,Sancoes!$A:$A,0))&amp;"","não consta"))</f>
        <v/>
      </c>
      <c r="K17" s="19" t="str">
        <f aca="false">IF(OR(A17="",F17=""),"",IF(SUMPRODUCT((Sancoes!$A$2:$A$301=A17)*(Sancoes!$B$2:$B$301&lt;&gt;"Não consta")*(Sancoes!$D$2:$D$301&lt;&gt;"")*(Sancoes!$D$2:$D$301&lt;=F17)*(((Sancoes!$E$2:$E$301="")+(Sancoes!$E$2:$E$301&gt;=F17))&gt;0))&gt;0,"SANÇÃO VIGENTE NA DATA — leia o tipo e a abrangência",""))</f>
        <v/>
      </c>
      <c r="L17" s="19" t="str">
        <f aca="false">IF(A17="","",IFERROR(INDEX(Empresas!$B:$B,MATCH(A17,Empresas!$A:$A,0))&amp;"","cadastre o CNPJ em Empresas"))</f>
        <v/>
      </c>
      <c r="M17" s="27"/>
      <c r="N17" s="35"/>
      <c r="O17" s="37" t="str">
        <f aca="false">IF(OR(D17="",D17=0,N17=""),"",N17/D17)</f>
        <v/>
      </c>
      <c r="P17" s="19" t="str">
        <f aca="false">IF(O17="","",IF(O17&gt;0.25,"ACRÉSCIMO ACIMA DE 25% — conferir",""))</f>
        <v/>
      </c>
      <c r="Q17" s="27"/>
      <c r="R17" s="5"/>
    </row>
    <row r="18" customFormat="false" ht="15" hidden="false" customHeight="false" outlineLevel="0" collapsed="false">
      <c r="A18" s="27"/>
      <c r="B18" s="5"/>
      <c r="C18" s="5"/>
      <c r="D18" s="35"/>
      <c r="E18" s="14"/>
      <c r="F18" s="18"/>
      <c r="G18" s="31" t="str">
        <f aca="false">IF(A18="","",IFERROR(IF(INDEX(Empresas!$C:$C,MATCH(A18,Empresas!$A:$A,0))="","",INDEX(Empresas!$C:$C,MATCH(A18,Empresas!$A:$A,0))),""))</f>
        <v/>
      </c>
      <c r="H18" s="18"/>
      <c r="I18" s="19" t="str">
        <f aca="false">IF(OR(F18="",G18=""),"",IF(F18-G18&lt;0,"CONTRATO ANTERIOR À ABERTURA — conferir datas",IF(F18-G18&lt;180,"ABERTA MENOS DE 6 MESES ANTES","")))</f>
        <v/>
      </c>
      <c r="J18" s="19" t="str">
        <f aca="false">IF(A18="","",IFERROR(INDEX(Sancoes!$B:$B,MATCH(A18,Sancoes!$A:$A,0))&amp;"","não consta"))</f>
        <v/>
      </c>
      <c r="K18" s="19" t="str">
        <f aca="false">IF(OR(A18="",F18=""),"",IF(SUMPRODUCT((Sancoes!$A$2:$A$301=A18)*(Sancoes!$B$2:$B$301&lt;&gt;"Não consta")*(Sancoes!$D$2:$D$301&lt;&gt;"")*(Sancoes!$D$2:$D$301&lt;=F18)*(((Sancoes!$E$2:$E$301="")+(Sancoes!$E$2:$E$301&gt;=F18))&gt;0))&gt;0,"SANÇÃO VIGENTE NA DATA — leia o tipo e a abrangência",""))</f>
        <v/>
      </c>
      <c r="L18" s="19" t="str">
        <f aca="false">IF(A18="","",IFERROR(INDEX(Empresas!$B:$B,MATCH(A18,Empresas!$A:$A,0))&amp;"","cadastre o CNPJ em Empresas"))</f>
        <v/>
      </c>
      <c r="M18" s="27"/>
      <c r="N18" s="35"/>
      <c r="O18" s="37" t="str">
        <f aca="false">IF(OR(D18="",D18=0,N18=""),"",N18/D18)</f>
        <v/>
      </c>
      <c r="P18" s="19" t="str">
        <f aca="false">IF(O18="","",IF(O18&gt;0.25,"ACRÉSCIMO ACIMA DE 25% — conferir",""))</f>
        <v/>
      </c>
      <c r="Q18" s="27"/>
      <c r="R18" s="5"/>
    </row>
    <row r="19" customFormat="false" ht="15" hidden="false" customHeight="false" outlineLevel="0" collapsed="false">
      <c r="A19" s="27"/>
      <c r="B19" s="5"/>
      <c r="C19" s="5"/>
      <c r="D19" s="35"/>
      <c r="E19" s="14"/>
      <c r="F19" s="18"/>
      <c r="G19" s="31" t="str">
        <f aca="false">IF(A19="","",IFERROR(IF(INDEX(Empresas!$C:$C,MATCH(A19,Empresas!$A:$A,0))="","",INDEX(Empresas!$C:$C,MATCH(A19,Empresas!$A:$A,0))),""))</f>
        <v/>
      </c>
      <c r="H19" s="18"/>
      <c r="I19" s="19" t="str">
        <f aca="false">IF(OR(F19="",G19=""),"",IF(F19-G19&lt;0,"CONTRATO ANTERIOR À ABERTURA — conferir datas",IF(F19-G19&lt;180,"ABERTA MENOS DE 6 MESES ANTES","")))</f>
        <v/>
      </c>
      <c r="J19" s="19" t="str">
        <f aca="false">IF(A19="","",IFERROR(INDEX(Sancoes!$B:$B,MATCH(A19,Sancoes!$A:$A,0))&amp;"","não consta"))</f>
        <v/>
      </c>
      <c r="K19" s="19" t="str">
        <f aca="false">IF(OR(A19="",F19=""),"",IF(SUMPRODUCT((Sancoes!$A$2:$A$301=A19)*(Sancoes!$B$2:$B$301&lt;&gt;"Não consta")*(Sancoes!$D$2:$D$301&lt;&gt;"")*(Sancoes!$D$2:$D$301&lt;=F19)*(((Sancoes!$E$2:$E$301="")+(Sancoes!$E$2:$E$301&gt;=F19))&gt;0))&gt;0,"SANÇÃO VIGENTE NA DATA — leia o tipo e a abrangência",""))</f>
        <v/>
      </c>
      <c r="L19" s="19" t="str">
        <f aca="false">IF(A19="","",IFERROR(INDEX(Empresas!$B:$B,MATCH(A19,Empresas!$A:$A,0))&amp;"","cadastre o CNPJ em Empresas"))</f>
        <v/>
      </c>
      <c r="M19" s="27"/>
      <c r="N19" s="35"/>
      <c r="O19" s="37" t="str">
        <f aca="false">IF(OR(D19="",D19=0,N19=""),"",N19/D19)</f>
        <v/>
      </c>
      <c r="P19" s="19" t="str">
        <f aca="false">IF(O19="","",IF(O19&gt;0.25,"ACRÉSCIMO ACIMA DE 25% — conferir",""))</f>
        <v/>
      </c>
      <c r="Q19" s="27"/>
      <c r="R19" s="5"/>
    </row>
    <row r="20" customFormat="false" ht="15" hidden="false" customHeight="false" outlineLevel="0" collapsed="false">
      <c r="A20" s="27"/>
      <c r="B20" s="5"/>
      <c r="C20" s="5"/>
      <c r="D20" s="35"/>
      <c r="E20" s="14"/>
      <c r="F20" s="18"/>
      <c r="G20" s="31" t="str">
        <f aca="false">IF(A20="","",IFERROR(IF(INDEX(Empresas!$C:$C,MATCH(A20,Empresas!$A:$A,0))="","",INDEX(Empresas!$C:$C,MATCH(A20,Empresas!$A:$A,0))),""))</f>
        <v/>
      </c>
      <c r="H20" s="18"/>
      <c r="I20" s="19" t="str">
        <f aca="false">IF(OR(F20="",G20=""),"",IF(F20-G20&lt;0,"CONTRATO ANTERIOR À ABERTURA — conferir datas",IF(F20-G20&lt;180,"ABERTA MENOS DE 6 MESES ANTES","")))</f>
        <v/>
      </c>
      <c r="J20" s="19" t="str">
        <f aca="false">IF(A20="","",IFERROR(INDEX(Sancoes!$B:$B,MATCH(A20,Sancoes!$A:$A,0))&amp;"","não consta"))</f>
        <v/>
      </c>
      <c r="K20" s="19" t="str">
        <f aca="false">IF(OR(A20="",F20=""),"",IF(SUMPRODUCT((Sancoes!$A$2:$A$301=A20)*(Sancoes!$B$2:$B$301&lt;&gt;"Não consta")*(Sancoes!$D$2:$D$301&lt;&gt;"")*(Sancoes!$D$2:$D$301&lt;=F20)*(((Sancoes!$E$2:$E$301="")+(Sancoes!$E$2:$E$301&gt;=F20))&gt;0))&gt;0,"SANÇÃO VIGENTE NA DATA — leia o tipo e a abrangência",""))</f>
        <v/>
      </c>
      <c r="L20" s="19" t="str">
        <f aca="false">IF(A20="","",IFERROR(INDEX(Empresas!$B:$B,MATCH(A20,Empresas!$A:$A,0))&amp;"","cadastre o CNPJ em Empresas"))</f>
        <v/>
      </c>
      <c r="M20" s="27"/>
      <c r="N20" s="35"/>
      <c r="O20" s="37" t="str">
        <f aca="false">IF(OR(D20="",D20=0,N20=""),"",N20/D20)</f>
        <v/>
      </c>
      <c r="P20" s="19" t="str">
        <f aca="false">IF(O20="","",IF(O20&gt;0.25,"ACRÉSCIMO ACIMA DE 25% — conferir",""))</f>
        <v/>
      </c>
      <c r="Q20" s="27"/>
      <c r="R20" s="5"/>
    </row>
    <row r="21" customFormat="false" ht="15" hidden="false" customHeight="false" outlineLevel="0" collapsed="false">
      <c r="A21" s="27"/>
      <c r="B21" s="5"/>
      <c r="C21" s="5"/>
      <c r="D21" s="35"/>
      <c r="E21" s="14"/>
      <c r="F21" s="18"/>
      <c r="G21" s="31" t="str">
        <f aca="false">IF(A21="","",IFERROR(IF(INDEX(Empresas!$C:$C,MATCH(A21,Empresas!$A:$A,0))="","",INDEX(Empresas!$C:$C,MATCH(A21,Empresas!$A:$A,0))),""))</f>
        <v/>
      </c>
      <c r="H21" s="18"/>
      <c r="I21" s="19" t="str">
        <f aca="false">IF(OR(F21="",G21=""),"",IF(F21-G21&lt;0,"CONTRATO ANTERIOR À ABERTURA — conferir datas",IF(F21-G21&lt;180,"ABERTA MENOS DE 6 MESES ANTES","")))</f>
        <v/>
      </c>
      <c r="J21" s="19" t="str">
        <f aca="false">IF(A21="","",IFERROR(INDEX(Sancoes!$B:$B,MATCH(A21,Sancoes!$A:$A,0))&amp;"","não consta"))</f>
        <v/>
      </c>
      <c r="K21" s="19" t="str">
        <f aca="false">IF(OR(A21="",F21=""),"",IF(SUMPRODUCT((Sancoes!$A$2:$A$301=A21)*(Sancoes!$B$2:$B$301&lt;&gt;"Não consta")*(Sancoes!$D$2:$D$301&lt;&gt;"")*(Sancoes!$D$2:$D$301&lt;=F21)*(((Sancoes!$E$2:$E$301="")+(Sancoes!$E$2:$E$301&gt;=F21))&gt;0))&gt;0,"SANÇÃO VIGENTE NA DATA — leia o tipo e a abrangência",""))</f>
        <v/>
      </c>
      <c r="L21" s="19" t="str">
        <f aca="false">IF(A21="","",IFERROR(INDEX(Empresas!$B:$B,MATCH(A21,Empresas!$A:$A,0))&amp;"","cadastre o CNPJ em Empresas"))</f>
        <v/>
      </c>
      <c r="M21" s="27"/>
      <c r="N21" s="35"/>
      <c r="O21" s="37" t="str">
        <f aca="false">IF(OR(D21="",D21=0,N21=""),"",N21/D21)</f>
        <v/>
      </c>
      <c r="P21" s="19" t="str">
        <f aca="false">IF(O21="","",IF(O21&gt;0.25,"ACRÉSCIMO ACIMA DE 25% — conferir",""))</f>
        <v/>
      </c>
      <c r="Q21" s="27"/>
      <c r="R21" s="5"/>
    </row>
    <row r="22" customFormat="false" ht="15" hidden="false" customHeight="false" outlineLevel="0" collapsed="false">
      <c r="A22" s="27"/>
      <c r="B22" s="5"/>
      <c r="C22" s="5"/>
      <c r="D22" s="35"/>
      <c r="E22" s="14"/>
      <c r="F22" s="18"/>
      <c r="G22" s="31" t="str">
        <f aca="false">IF(A22="","",IFERROR(IF(INDEX(Empresas!$C:$C,MATCH(A22,Empresas!$A:$A,0))="","",INDEX(Empresas!$C:$C,MATCH(A22,Empresas!$A:$A,0))),""))</f>
        <v/>
      </c>
      <c r="H22" s="18"/>
      <c r="I22" s="19" t="str">
        <f aca="false">IF(OR(F22="",G22=""),"",IF(F22-G22&lt;0,"CONTRATO ANTERIOR À ABERTURA — conferir datas",IF(F22-G22&lt;180,"ABERTA MENOS DE 6 MESES ANTES","")))</f>
        <v/>
      </c>
      <c r="J22" s="19" t="str">
        <f aca="false">IF(A22="","",IFERROR(INDEX(Sancoes!$B:$B,MATCH(A22,Sancoes!$A:$A,0))&amp;"","não consta"))</f>
        <v/>
      </c>
      <c r="K22" s="19" t="str">
        <f aca="false">IF(OR(A22="",F22=""),"",IF(SUMPRODUCT((Sancoes!$A$2:$A$301=A22)*(Sancoes!$B$2:$B$301&lt;&gt;"Não consta")*(Sancoes!$D$2:$D$301&lt;&gt;"")*(Sancoes!$D$2:$D$301&lt;=F22)*(((Sancoes!$E$2:$E$301="")+(Sancoes!$E$2:$E$301&gt;=F22))&gt;0))&gt;0,"SANÇÃO VIGENTE NA DATA — leia o tipo e a abrangência",""))</f>
        <v/>
      </c>
      <c r="L22" s="19" t="str">
        <f aca="false">IF(A22="","",IFERROR(INDEX(Empresas!$B:$B,MATCH(A22,Empresas!$A:$A,0))&amp;"","cadastre o CNPJ em Empresas"))</f>
        <v/>
      </c>
      <c r="M22" s="27"/>
      <c r="N22" s="35"/>
      <c r="O22" s="37" t="str">
        <f aca="false">IF(OR(D22="",D22=0,N22=""),"",N22/D22)</f>
        <v/>
      </c>
      <c r="P22" s="19" t="str">
        <f aca="false">IF(O22="","",IF(O22&gt;0.25,"ACRÉSCIMO ACIMA DE 25% — conferir",""))</f>
        <v/>
      </c>
      <c r="Q22" s="27"/>
      <c r="R22" s="5"/>
    </row>
    <row r="23" customFormat="false" ht="15" hidden="false" customHeight="false" outlineLevel="0" collapsed="false">
      <c r="A23" s="27"/>
      <c r="B23" s="5"/>
      <c r="C23" s="5"/>
      <c r="D23" s="35"/>
      <c r="E23" s="14"/>
      <c r="F23" s="18"/>
      <c r="G23" s="31" t="str">
        <f aca="false">IF(A23="","",IFERROR(IF(INDEX(Empresas!$C:$C,MATCH(A23,Empresas!$A:$A,0))="","",INDEX(Empresas!$C:$C,MATCH(A23,Empresas!$A:$A,0))),""))</f>
        <v/>
      </c>
      <c r="H23" s="18"/>
      <c r="I23" s="19" t="str">
        <f aca="false">IF(OR(F23="",G23=""),"",IF(F23-G23&lt;0,"CONTRATO ANTERIOR À ABERTURA — conferir datas",IF(F23-G23&lt;180,"ABERTA MENOS DE 6 MESES ANTES","")))</f>
        <v/>
      </c>
      <c r="J23" s="19" t="str">
        <f aca="false">IF(A23="","",IFERROR(INDEX(Sancoes!$B:$B,MATCH(A23,Sancoes!$A:$A,0))&amp;"","não consta"))</f>
        <v/>
      </c>
      <c r="K23" s="19" t="str">
        <f aca="false">IF(OR(A23="",F23=""),"",IF(SUMPRODUCT((Sancoes!$A$2:$A$301=A23)*(Sancoes!$B$2:$B$301&lt;&gt;"Não consta")*(Sancoes!$D$2:$D$301&lt;&gt;"")*(Sancoes!$D$2:$D$301&lt;=F23)*(((Sancoes!$E$2:$E$301="")+(Sancoes!$E$2:$E$301&gt;=F23))&gt;0))&gt;0,"SANÇÃO VIGENTE NA DATA — leia o tipo e a abrangência",""))</f>
        <v/>
      </c>
      <c r="L23" s="19" t="str">
        <f aca="false">IF(A23="","",IFERROR(INDEX(Empresas!$B:$B,MATCH(A23,Empresas!$A:$A,0))&amp;"","cadastre o CNPJ em Empresas"))</f>
        <v/>
      </c>
      <c r="M23" s="27"/>
      <c r="N23" s="35"/>
      <c r="O23" s="37" t="str">
        <f aca="false">IF(OR(D23="",D23=0,N23=""),"",N23/D23)</f>
        <v/>
      </c>
      <c r="P23" s="19" t="str">
        <f aca="false">IF(O23="","",IF(O23&gt;0.25,"ACRÉSCIMO ACIMA DE 25% — conferir",""))</f>
        <v/>
      </c>
      <c r="Q23" s="27"/>
      <c r="R23" s="5"/>
    </row>
    <row r="24" customFormat="false" ht="15" hidden="false" customHeight="false" outlineLevel="0" collapsed="false">
      <c r="A24" s="27"/>
      <c r="B24" s="5"/>
      <c r="C24" s="5"/>
      <c r="D24" s="35"/>
      <c r="E24" s="14"/>
      <c r="F24" s="18"/>
      <c r="G24" s="31" t="str">
        <f aca="false">IF(A24="","",IFERROR(IF(INDEX(Empresas!$C:$C,MATCH(A24,Empresas!$A:$A,0))="","",INDEX(Empresas!$C:$C,MATCH(A24,Empresas!$A:$A,0))),""))</f>
        <v/>
      </c>
      <c r="H24" s="18"/>
      <c r="I24" s="19" t="str">
        <f aca="false">IF(OR(F24="",G24=""),"",IF(F24-G24&lt;0,"CONTRATO ANTERIOR À ABERTURA — conferir datas",IF(F24-G24&lt;180,"ABERTA MENOS DE 6 MESES ANTES","")))</f>
        <v/>
      </c>
      <c r="J24" s="19" t="str">
        <f aca="false">IF(A24="","",IFERROR(INDEX(Sancoes!$B:$B,MATCH(A24,Sancoes!$A:$A,0))&amp;"","não consta"))</f>
        <v/>
      </c>
      <c r="K24" s="19" t="str">
        <f aca="false">IF(OR(A24="",F24=""),"",IF(SUMPRODUCT((Sancoes!$A$2:$A$301=A24)*(Sancoes!$B$2:$B$301&lt;&gt;"Não consta")*(Sancoes!$D$2:$D$301&lt;&gt;"")*(Sancoes!$D$2:$D$301&lt;=F24)*(((Sancoes!$E$2:$E$301="")+(Sancoes!$E$2:$E$301&gt;=F24))&gt;0))&gt;0,"SANÇÃO VIGENTE NA DATA — leia o tipo e a abrangência",""))</f>
        <v/>
      </c>
      <c r="L24" s="19" t="str">
        <f aca="false">IF(A24="","",IFERROR(INDEX(Empresas!$B:$B,MATCH(A24,Empresas!$A:$A,0))&amp;"","cadastre o CNPJ em Empresas"))</f>
        <v/>
      </c>
      <c r="M24" s="27"/>
      <c r="N24" s="35"/>
      <c r="O24" s="37" t="str">
        <f aca="false">IF(OR(D24="",D24=0,N24=""),"",N24/D24)</f>
        <v/>
      </c>
      <c r="P24" s="19" t="str">
        <f aca="false">IF(O24="","",IF(O24&gt;0.25,"ACRÉSCIMO ACIMA DE 25% — conferir",""))</f>
        <v/>
      </c>
      <c r="Q24" s="27"/>
      <c r="R24" s="5"/>
    </row>
    <row r="25" customFormat="false" ht="15" hidden="false" customHeight="false" outlineLevel="0" collapsed="false">
      <c r="A25" s="27"/>
      <c r="B25" s="5"/>
      <c r="C25" s="5"/>
      <c r="D25" s="35"/>
      <c r="E25" s="14"/>
      <c r="F25" s="18"/>
      <c r="G25" s="31" t="str">
        <f aca="false">IF(A25="","",IFERROR(IF(INDEX(Empresas!$C:$C,MATCH(A25,Empresas!$A:$A,0))="","",INDEX(Empresas!$C:$C,MATCH(A25,Empresas!$A:$A,0))),""))</f>
        <v/>
      </c>
      <c r="H25" s="18"/>
      <c r="I25" s="19" t="str">
        <f aca="false">IF(OR(F25="",G25=""),"",IF(F25-G25&lt;0,"CONTRATO ANTERIOR À ABERTURA — conferir datas",IF(F25-G25&lt;180,"ABERTA MENOS DE 6 MESES ANTES","")))</f>
        <v/>
      </c>
      <c r="J25" s="19" t="str">
        <f aca="false">IF(A25="","",IFERROR(INDEX(Sancoes!$B:$B,MATCH(A25,Sancoes!$A:$A,0))&amp;"","não consta"))</f>
        <v/>
      </c>
      <c r="K25" s="19" t="str">
        <f aca="false">IF(OR(A25="",F25=""),"",IF(SUMPRODUCT((Sancoes!$A$2:$A$301=A25)*(Sancoes!$B$2:$B$301&lt;&gt;"Não consta")*(Sancoes!$D$2:$D$301&lt;&gt;"")*(Sancoes!$D$2:$D$301&lt;=F25)*(((Sancoes!$E$2:$E$301="")+(Sancoes!$E$2:$E$301&gt;=F25))&gt;0))&gt;0,"SANÇÃO VIGENTE NA DATA — leia o tipo e a abrangência",""))</f>
        <v/>
      </c>
      <c r="L25" s="19" t="str">
        <f aca="false">IF(A25="","",IFERROR(INDEX(Empresas!$B:$B,MATCH(A25,Empresas!$A:$A,0))&amp;"","cadastre o CNPJ em Empresas"))</f>
        <v/>
      </c>
      <c r="M25" s="27"/>
      <c r="N25" s="35"/>
      <c r="O25" s="37" t="str">
        <f aca="false">IF(OR(D25="",D25=0,N25=""),"",N25/D25)</f>
        <v/>
      </c>
      <c r="P25" s="19" t="str">
        <f aca="false">IF(O25="","",IF(O25&gt;0.25,"ACRÉSCIMO ACIMA DE 25% — conferir",""))</f>
        <v/>
      </c>
      <c r="Q25" s="27"/>
      <c r="R25" s="5"/>
    </row>
    <row r="26" customFormat="false" ht="15" hidden="false" customHeight="false" outlineLevel="0" collapsed="false">
      <c r="A26" s="27"/>
      <c r="B26" s="5"/>
      <c r="C26" s="5"/>
      <c r="D26" s="35"/>
      <c r="E26" s="14"/>
      <c r="F26" s="18"/>
      <c r="G26" s="31" t="str">
        <f aca="false">IF(A26="","",IFERROR(IF(INDEX(Empresas!$C:$C,MATCH(A26,Empresas!$A:$A,0))="","",INDEX(Empresas!$C:$C,MATCH(A26,Empresas!$A:$A,0))),""))</f>
        <v/>
      </c>
      <c r="H26" s="18"/>
      <c r="I26" s="19" t="str">
        <f aca="false">IF(OR(F26="",G26=""),"",IF(F26-G26&lt;0,"CONTRATO ANTERIOR À ABERTURA — conferir datas",IF(F26-G26&lt;180,"ABERTA MENOS DE 6 MESES ANTES","")))</f>
        <v/>
      </c>
      <c r="J26" s="19" t="str">
        <f aca="false">IF(A26="","",IFERROR(INDEX(Sancoes!$B:$B,MATCH(A26,Sancoes!$A:$A,0))&amp;"","não consta"))</f>
        <v/>
      </c>
      <c r="K26" s="19" t="str">
        <f aca="false">IF(OR(A26="",F26=""),"",IF(SUMPRODUCT((Sancoes!$A$2:$A$301=A26)*(Sancoes!$B$2:$B$301&lt;&gt;"Não consta")*(Sancoes!$D$2:$D$301&lt;&gt;"")*(Sancoes!$D$2:$D$301&lt;=F26)*(((Sancoes!$E$2:$E$301="")+(Sancoes!$E$2:$E$301&gt;=F26))&gt;0))&gt;0,"SANÇÃO VIGENTE NA DATA — leia o tipo e a abrangência",""))</f>
        <v/>
      </c>
      <c r="L26" s="19" t="str">
        <f aca="false">IF(A26="","",IFERROR(INDEX(Empresas!$B:$B,MATCH(A26,Empresas!$A:$A,0))&amp;"","cadastre o CNPJ em Empresas"))</f>
        <v/>
      </c>
      <c r="M26" s="27"/>
      <c r="N26" s="35"/>
      <c r="O26" s="37" t="str">
        <f aca="false">IF(OR(D26="",D26=0,N26=""),"",N26/D26)</f>
        <v/>
      </c>
      <c r="P26" s="19" t="str">
        <f aca="false">IF(O26="","",IF(O26&gt;0.25,"ACRÉSCIMO ACIMA DE 25% — conferir",""))</f>
        <v/>
      </c>
      <c r="Q26" s="27"/>
      <c r="R26" s="5"/>
    </row>
    <row r="27" customFormat="false" ht="15" hidden="false" customHeight="false" outlineLevel="0" collapsed="false">
      <c r="A27" s="27"/>
      <c r="B27" s="5"/>
      <c r="C27" s="5"/>
      <c r="D27" s="35"/>
      <c r="E27" s="14"/>
      <c r="F27" s="18"/>
      <c r="G27" s="31" t="str">
        <f aca="false">IF(A27="","",IFERROR(IF(INDEX(Empresas!$C:$C,MATCH(A27,Empresas!$A:$A,0))="","",INDEX(Empresas!$C:$C,MATCH(A27,Empresas!$A:$A,0))),""))</f>
        <v/>
      </c>
      <c r="H27" s="18"/>
      <c r="I27" s="19" t="str">
        <f aca="false">IF(OR(F27="",G27=""),"",IF(F27-G27&lt;0,"CONTRATO ANTERIOR À ABERTURA — conferir datas",IF(F27-G27&lt;180,"ABERTA MENOS DE 6 MESES ANTES","")))</f>
        <v/>
      </c>
      <c r="J27" s="19" t="str">
        <f aca="false">IF(A27="","",IFERROR(INDEX(Sancoes!$B:$B,MATCH(A27,Sancoes!$A:$A,0))&amp;"","não consta"))</f>
        <v/>
      </c>
      <c r="K27" s="19" t="str">
        <f aca="false">IF(OR(A27="",F27=""),"",IF(SUMPRODUCT((Sancoes!$A$2:$A$301=A27)*(Sancoes!$B$2:$B$301&lt;&gt;"Não consta")*(Sancoes!$D$2:$D$301&lt;&gt;"")*(Sancoes!$D$2:$D$301&lt;=F27)*(((Sancoes!$E$2:$E$301="")+(Sancoes!$E$2:$E$301&gt;=F27))&gt;0))&gt;0,"SANÇÃO VIGENTE NA DATA — leia o tipo e a abrangência",""))</f>
        <v/>
      </c>
      <c r="L27" s="19" t="str">
        <f aca="false">IF(A27="","",IFERROR(INDEX(Empresas!$B:$B,MATCH(A27,Empresas!$A:$A,0))&amp;"","cadastre o CNPJ em Empresas"))</f>
        <v/>
      </c>
      <c r="M27" s="27"/>
      <c r="N27" s="35"/>
      <c r="O27" s="37" t="str">
        <f aca="false">IF(OR(D27="",D27=0,N27=""),"",N27/D27)</f>
        <v/>
      </c>
      <c r="P27" s="19" t="str">
        <f aca="false">IF(O27="","",IF(O27&gt;0.25,"ACRÉSCIMO ACIMA DE 25% — conferir",""))</f>
        <v/>
      </c>
      <c r="Q27" s="27"/>
      <c r="R27" s="5"/>
    </row>
    <row r="28" customFormat="false" ht="15" hidden="false" customHeight="false" outlineLevel="0" collapsed="false">
      <c r="A28" s="27"/>
      <c r="B28" s="5"/>
      <c r="C28" s="5"/>
      <c r="D28" s="35"/>
      <c r="E28" s="14"/>
      <c r="F28" s="18"/>
      <c r="G28" s="31" t="str">
        <f aca="false">IF(A28="","",IFERROR(IF(INDEX(Empresas!$C:$C,MATCH(A28,Empresas!$A:$A,0))="","",INDEX(Empresas!$C:$C,MATCH(A28,Empresas!$A:$A,0))),""))</f>
        <v/>
      </c>
      <c r="H28" s="18"/>
      <c r="I28" s="19" t="str">
        <f aca="false">IF(OR(F28="",G28=""),"",IF(F28-G28&lt;0,"CONTRATO ANTERIOR À ABERTURA — conferir datas",IF(F28-G28&lt;180,"ABERTA MENOS DE 6 MESES ANTES","")))</f>
        <v/>
      </c>
      <c r="J28" s="19" t="str">
        <f aca="false">IF(A28="","",IFERROR(INDEX(Sancoes!$B:$B,MATCH(A28,Sancoes!$A:$A,0))&amp;"","não consta"))</f>
        <v/>
      </c>
      <c r="K28" s="19" t="str">
        <f aca="false">IF(OR(A28="",F28=""),"",IF(SUMPRODUCT((Sancoes!$A$2:$A$301=A28)*(Sancoes!$B$2:$B$301&lt;&gt;"Não consta")*(Sancoes!$D$2:$D$301&lt;&gt;"")*(Sancoes!$D$2:$D$301&lt;=F28)*(((Sancoes!$E$2:$E$301="")+(Sancoes!$E$2:$E$301&gt;=F28))&gt;0))&gt;0,"SANÇÃO VIGENTE NA DATA — leia o tipo e a abrangência",""))</f>
        <v/>
      </c>
      <c r="L28" s="19" t="str">
        <f aca="false">IF(A28="","",IFERROR(INDEX(Empresas!$B:$B,MATCH(A28,Empresas!$A:$A,0))&amp;"","cadastre o CNPJ em Empresas"))</f>
        <v/>
      </c>
      <c r="M28" s="27"/>
      <c r="N28" s="35"/>
      <c r="O28" s="37" t="str">
        <f aca="false">IF(OR(D28="",D28=0,N28=""),"",N28/D28)</f>
        <v/>
      </c>
      <c r="P28" s="19" t="str">
        <f aca="false">IF(O28="","",IF(O28&gt;0.25,"ACRÉSCIMO ACIMA DE 25% — conferir",""))</f>
        <v/>
      </c>
      <c r="Q28" s="27"/>
      <c r="R28" s="5"/>
    </row>
    <row r="29" customFormat="false" ht="15" hidden="false" customHeight="false" outlineLevel="0" collapsed="false">
      <c r="A29" s="27"/>
      <c r="B29" s="5"/>
      <c r="C29" s="5"/>
      <c r="D29" s="35"/>
      <c r="E29" s="14"/>
      <c r="F29" s="18"/>
      <c r="G29" s="31" t="str">
        <f aca="false">IF(A29="","",IFERROR(IF(INDEX(Empresas!$C:$C,MATCH(A29,Empresas!$A:$A,0))="","",INDEX(Empresas!$C:$C,MATCH(A29,Empresas!$A:$A,0))),""))</f>
        <v/>
      </c>
      <c r="H29" s="18"/>
      <c r="I29" s="19" t="str">
        <f aca="false">IF(OR(F29="",G29=""),"",IF(F29-G29&lt;0,"CONTRATO ANTERIOR À ABERTURA — conferir datas",IF(F29-G29&lt;180,"ABERTA MENOS DE 6 MESES ANTES","")))</f>
        <v/>
      </c>
      <c r="J29" s="19" t="str">
        <f aca="false">IF(A29="","",IFERROR(INDEX(Sancoes!$B:$B,MATCH(A29,Sancoes!$A:$A,0))&amp;"","não consta"))</f>
        <v/>
      </c>
      <c r="K29" s="19" t="str">
        <f aca="false">IF(OR(A29="",F29=""),"",IF(SUMPRODUCT((Sancoes!$A$2:$A$301=A29)*(Sancoes!$B$2:$B$301&lt;&gt;"Não consta")*(Sancoes!$D$2:$D$301&lt;&gt;"")*(Sancoes!$D$2:$D$301&lt;=F29)*(((Sancoes!$E$2:$E$301="")+(Sancoes!$E$2:$E$301&gt;=F29))&gt;0))&gt;0,"SANÇÃO VIGENTE NA DATA — leia o tipo e a abrangência",""))</f>
        <v/>
      </c>
      <c r="L29" s="19" t="str">
        <f aca="false">IF(A29="","",IFERROR(INDEX(Empresas!$B:$B,MATCH(A29,Empresas!$A:$A,0))&amp;"","cadastre o CNPJ em Empresas"))</f>
        <v/>
      </c>
      <c r="M29" s="27"/>
      <c r="N29" s="35"/>
      <c r="O29" s="37" t="str">
        <f aca="false">IF(OR(D29="",D29=0,N29=""),"",N29/D29)</f>
        <v/>
      </c>
      <c r="P29" s="19" t="str">
        <f aca="false">IF(O29="","",IF(O29&gt;0.25,"ACRÉSCIMO ACIMA DE 25% — conferir",""))</f>
        <v/>
      </c>
      <c r="Q29" s="27"/>
      <c r="R29" s="5"/>
    </row>
    <row r="30" customFormat="false" ht="15" hidden="false" customHeight="false" outlineLevel="0" collapsed="false">
      <c r="A30" s="27"/>
      <c r="B30" s="5"/>
      <c r="C30" s="5"/>
      <c r="D30" s="35"/>
      <c r="E30" s="14"/>
      <c r="F30" s="18"/>
      <c r="G30" s="31" t="str">
        <f aca="false">IF(A30="","",IFERROR(IF(INDEX(Empresas!$C:$C,MATCH(A30,Empresas!$A:$A,0))="","",INDEX(Empresas!$C:$C,MATCH(A30,Empresas!$A:$A,0))),""))</f>
        <v/>
      </c>
      <c r="H30" s="18"/>
      <c r="I30" s="19" t="str">
        <f aca="false">IF(OR(F30="",G30=""),"",IF(F30-G30&lt;0,"CONTRATO ANTERIOR À ABERTURA — conferir datas",IF(F30-G30&lt;180,"ABERTA MENOS DE 6 MESES ANTES","")))</f>
        <v/>
      </c>
      <c r="J30" s="19" t="str">
        <f aca="false">IF(A30="","",IFERROR(INDEX(Sancoes!$B:$B,MATCH(A30,Sancoes!$A:$A,0))&amp;"","não consta"))</f>
        <v/>
      </c>
      <c r="K30" s="19" t="str">
        <f aca="false">IF(OR(A30="",F30=""),"",IF(SUMPRODUCT((Sancoes!$A$2:$A$301=A30)*(Sancoes!$B$2:$B$301&lt;&gt;"Não consta")*(Sancoes!$D$2:$D$301&lt;&gt;"")*(Sancoes!$D$2:$D$301&lt;=F30)*(((Sancoes!$E$2:$E$301="")+(Sancoes!$E$2:$E$301&gt;=F30))&gt;0))&gt;0,"SANÇÃO VIGENTE NA DATA — leia o tipo e a abrangência",""))</f>
        <v/>
      </c>
      <c r="L30" s="19" t="str">
        <f aca="false">IF(A30="","",IFERROR(INDEX(Empresas!$B:$B,MATCH(A30,Empresas!$A:$A,0))&amp;"","cadastre o CNPJ em Empresas"))</f>
        <v/>
      </c>
      <c r="M30" s="27"/>
      <c r="N30" s="35"/>
      <c r="O30" s="37" t="str">
        <f aca="false">IF(OR(D30="",D30=0,N30=""),"",N30/D30)</f>
        <v/>
      </c>
      <c r="P30" s="19" t="str">
        <f aca="false">IF(O30="","",IF(O30&gt;0.25,"ACRÉSCIMO ACIMA DE 25% — conferir",""))</f>
        <v/>
      </c>
      <c r="Q30" s="27"/>
      <c r="R30" s="5"/>
    </row>
    <row r="31" customFormat="false" ht="15" hidden="false" customHeight="false" outlineLevel="0" collapsed="false">
      <c r="A31" s="27"/>
      <c r="B31" s="5"/>
      <c r="C31" s="5"/>
      <c r="D31" s="35"/>
      <c r="E31" s="14"/>
      <c r="F31" s="18"/>
      <c r="G31" s="31" t="str">
        <f aca="false">IF(A31="","",IFERROR(IF(INDEX(Empresas!$C:$C,MATCH(A31,Empresas!$A:$A,0))="","",INDEX(Empresas!$C:$C,MATCH(A31,Empresas!$A:$A,0))),""))</f>
        <v/>
      </c>
      <c r="H31" s="18"/>
      <c r="I31" s="19" t="str">
        <f aca="false">IF(OR(F31="",G31=""),"",IF(F31-G31&lt;0,"CONTRATO ANTERIOR À ABERTURA — conferir datas",IF(F31-G31&lt;180,"ABERTA MENOS DE 6 MESES ANTES","")))</f>
        <v/>
      </c>
      <c r="J31" s="19" t="str">
        <f aca="false">IF(A31="","",IFERROR(INDEX(Sancoes!$B:$B,MATCH(A31,Sancoes!$A:$A,0))&amp;"","não consta"))</f>
        <v/>
      </c>
      <c r="K31" s="19" t="str">
        <f aca="false">IF(OR(A31="",F31=""),"",IF(SUMPRODUCT((Sancoes!$A$2:$A$301=A31)*(Sancoes!$B$2:$B$301&lt;&gt;"Não consta")*(Sancoes!$D$2:$D$301&lt;&gt;"")*(Sancoes!$D$2:$D$301&lt;=F31)*(((Sancoes!$E$2:$E$301="")+(Sancoes!$E$2:$E$301&gt;=F31))&gt;0))&gt;0,"SANÇÃO VIGENTE NA DATA — leia o tipo e a abrangência",""))</f>
        <v/>
      </c>
      <c r="L31" s="19" t="str">
        <f aca="false">IF(A31="","",IFERROR(INDEX(Empresas!$B:$B,MATCH(A31,Empresas!$A:$A,0))&amp;"","cadastre o CNPJ em Empresas"))</f>
        <v/>
      </c>
      <c r="M31" s="27"/>
      <c r="N31" s="35"/>
      <c r="O31" s="37" t="str">
        <f aca="false">IF(OR(D31="",D31=0,N31=""),"",N31/D31)</f>
        <v/>
      </c>
      <c r="P31" s="19" t="str">
        <f aca="false">IF(O31="","",IF(O31&gt;0.25,"ACRÉSCIMO ACIMA DE 25% — conferir",""))</f>
        <v/>
      </c>
      <c r="Q31" s="27"/>
      <c r="R31" s="5"/>
    </row>
    <row r="32" customFormat="false" ht="15" hidden="false" customHeight="false" outlineLevel="0" collapsed="false">
      <c r="A32" s="27"/>
      <c r="B32" s="5"/>
      <c r="C32" s="5"/>
      <c r="D32" s="35"/>
      <c r="E32" s="14"/>
      <c r="F32" s="18"/>
      <c r="G32" s="31" t="str">
        <f aca="false">IF(A32="","",IFERROR(IF(INDEX(Empresas!$C:$C,MATCH(A32,Empresas!$A:$A,0))="","",INDEX(Empresas!$C:$C,MATCH(A32,Empresas!$A:$A,0))),""))</f>
        <v/>
      </c>
      <c r="H32" s="18"/>
      <c r="I32" s="19" t="str">
        <f aca="false">IF(OR(F32="",G32=""),"",IF(F32-G32&lt;0,"CONTRATO ANTERIOR À ABERTURA — conferir datas",IF(F32-G32&lt;180,"ABERTA MENOS DE 6 MESES ANTES","")))</f>
        <v/>
      </c>
      <c r="J32" s="19" t="str">
        <f aca="false">IF(A32="","",IFERROR(INDEX(Sancoes!$B:$B,MATCH(A32,Sancoes!$A:$A,0))&amp;"","não consta"))</f>
        <v/>
      </c>
      <c r="K32" s="19" t="str">
        <f aca="false">IF(OR(A32="",F32=""),"",IF(SUMPRODUCT((Sancoes!$A$2:$A$301=A32)*(Sancoes!$B$2:$B$301&lt;&gt;"Não consta")*(Sancoes!$D$2:$D$301&lt;&gt;"")*(Sancoes!$D$2:$D$301&lt;=F32)*(((Sancoes!$E$2:$E$301="")+(Sancoes!$E$2:$E$301&gt;=F32))&gt;0))&gt;0,"SANÇÃO VIGENTE NA DATA — leia o tipo e a abrangência",""))</f>
        <v/>
      </c>
      <c r="L32" s="19" t="str">
        <f aca="false">IF(A32="","",IFERROR(INDEX(Empresas!$B:$B,MATCH(A32,Empresas!$A:$A,0))&amp;"","cadastre o CNPJ em Empresas"))</f>
        <v/>
      </c>
      <c r="M32" s="27"/>
      <c r="N32" s="35"/>
      <c r="O32" s="37" t="str">
        <f aca="false">IF(OR(D32="",D32=0,N32=""),"",N32/D32)</f>
        <v/>
      </c>
      <c r="P32" s="19" t="str">
        <f aca="false">IF(O32="","",IF(O32&gt;0.25,"ACRÉSCIMO ACIMA DE 25% — conferir",""))</f>
        <v/>
      </c>
      <c r="Q32" s="27"/>
      <c r="R32" s="5"/>
    </row>
    <row r="33" customFormat="false" ht="15" hidden="false" customHeight="false" outlineLevel="0" collapsed="false">
      <c r="A33" s="27"/>
      <c r="B33" s="5"/>
      <c r="C33" s="5"/>
      <c r="D33" s="35"/>
      <c r="E33" s="14"/>
      <c r="F33" s="18"/>
      <c r="G33" s="31" t="str">
        <f aca="false">IF(A33="","",IFERROR(IF(INDEX(Empresas!$C:$C,MATCH(A33,Empresas!$A:$A,0))="","",INDEX(Empresas!$C:$C,MATCH(A33,Empresas!$A:$A,0))),""))</f>
        <v/>
      </c>
      <c r="H33" s="18"/>
      <c r="I33" s="19" t="str">
        <f aca="false">IF(OR(F33="",G33=""),"",IF(F33-G33&lt;0,"CONTRATO ANTERIOR À ABERTURA — conferir datas",IF(F33-G33&lt;180,"ABERTA MENOS DE 6 MESES ANTES","")))</f>
        <v/>
      </c>
      <c r="J33" s="19" t="str">
        <f aca="false">IF(A33="","",IFERROR(INDEX(Sancoes!$B:$B,MATCH(A33,Sancoes!$A:$A,0))&amp;"","não consta"))</f>
        <v/>
      </c>
      <c r="K33" s="19" t="str">
        <f aca="false">IF(OR(A33="",F33=""),"",IF(SUMPRODUCT((Sancoes!$A$2:$A$301=A33)*(Sancoes!$B$2:$B$301&lt;&gt;"Não consta")*(Sancoes!$D$2:$D$301&lt;&gt;"")*(Sancoes!$D$2:$D$301&lt;=F33)*(((Sancoes!$E$2:$E$301="")+(Sancoes!$E$2:$E$301&gt;=F33))&gt;0))&gt;0,"SANÇÃO VIGENTE NA DATA — leia o tipo e a abrangência",""))</f>
        <v/>
      </c>
      <c r="L33" s="19" t="str">
        <f aca="false">IF(A33="","",IFERROR(INDEX(Empresas!$B:$B,MATCH(A33,Empresas!$A:$A,0))&amp;"","cadastre o CNPJ em Empresas"))</f>
        <v/>
      </c>
      <c r="M33" s="27"/>
      <c r="N33" s="35"/>
      <c r="O33" s="37" t="str">
        <f aca="false">IF(OR(D33="",D33=0,N33=""),"",N33/D33)</f>
        <v/>
      </c>
      <c r="P33" s="19" t="str">
        <f aca="false">IF(O33="","",IF(O33&gt;0.25,"ACRÉSCIMO ACIMA DE 25% — conferir",""))</f>
        <v/>
      </c>
      <c r="Q33" s="27"/>
      <c r="R33" s="5"/>
    </row>
    <row r="34" customFormat="false" ht="15" hidden="false" customHeight="false" outlineLevel="0" collapsed="false">
      <c r="A34" s="27"/>
      <c r="B34" s="5"/>
      <c r="C34" s="5"/>
      <c r="D34" s="35"/>
      <c r="E34" s="14"/>
      <c r="F34" s="18"/>
      <c r="G34" s="31" t="str">
        <f aca="false">IF(A34="","",IFERROR(IF(INDEX(Empresas!$C:$C,MATCH(A34,Empresas!$A:$A,0))="","",INDEX(Empresas!$C:$C,MATCH(A34,Empresas!$A:$A,0))),""))</f>
        <v/>
      </c>
      <c r="H34" s="18"/>
      <c r="I34" s="19" t="str">
        <f aca="false">IF(OR(F34="",G34=""),"",IF(F34-G34&lt;0,"CONTRATO ANTERIOR À ABERTURA — conferir datas",IF(F34-G34&lt;180,"ABERTA MENOS DE 6 MESES ANTES","")))</f>
        <v/>
      </c>
      <c r="J34" s="19" t="str">
        <f aca="false">IF(A34="","",IFERROR(INDEX(Sancoes!$B:$B,MATCH(A34,Sancoes!$A:$A,0))&amp;"","não consta"))</f>
        <v/>
      </c>
      <c r="K34" s="19" t="str">
        <f aca="false">IF(OR(A34="",F34=""),"",IF(SUMPRODUCT((Sancoes!$A$2:$A$301=A34)*(Sancoes!$B$2:$B$301&lt;&gt;"Não consta")*(Sancoes!$D$2:$D$301&lt;&gt;"")*(Sancoes!$D$2:$D$301&lt;=F34)*(((Sancoes!$E$2:$E$301="")+(Sancoes!$E$2:$E$301&gt;=F34))&gt;0))&gt;0,"SANÇÃO VIGENTE NA DATA — leia o tipo e a abrangência",""))</f>
        <v/>
      </c>
      <c r="L34" s="19" t="str">
        <f aca="false">IF(A34="","",IFERROR(INDEX(Empresas!$B:$B,MATCH(A34,Empresas!$A:$A,0))&amp;"","cadastre o CNPJ em Empresas"))</f>
        <v/>
      </c>
      <c r="M34" s="27"/>
      <c r="N34" s="35"/>
      <c r="O34" s="37" t="str">
        <f aca="false">IF(OR(D34="",D34=0,N34=""),"",N34/D34)</f>
        <v/>
      </c>
      <c r="P34" s="19" t="str">
        <f aca="false">IF(O34="","",IF(O34&gt;0.25,"ACRÉSCIMO ACIMA DE 25% — conferir",""))</f>
        <v/>
      </c>
      <c r="Q34" s="27"/>
      <c r="R34" s="5"/>
    </row>
    <row r="35" customFormat="false" ht="15" hidden="false" customHeight="false" outlineLevel="0" collapsed="false">
      <c r="A35" s="27"/>
      <c r="B35" s="5"/>
      <c r="C35" s="5"/>
      <c r="D35" s="35"/>
      <c r="E35" s="14"/>
      <c r="F35" s="18"/>
      <c r="G35" s="31" t="str">
        <f aca="false">IF(A35="","",IFERROR(IF(INDEX(Empresas!$C:$C,MATCH(A35,Empresas!$A:$A,0))="","",INDEX(Empresas!$C:$C,MATCH(A35,Empresas!$A:$A,0))),""))</f>
        <v/>
      </c>
      <c r="H35" s="18"/>
      <c r="I35" s="19" t="str">
        <f aca="false">IF(OR(F35="",G35=""),"",IF(F35-G35&lt;0,"CONTRATO ANTERIOR À ABERTURA — conferir datas",IF(F35-G35&lt;180,"ABERTA MENOS DE 6 MESES ANTES","")))</f>
        <v/>
      </c>
      <c r="J35" s="19" t="str">
        <f aca="false">IF(A35="","",IFERROR(INDEX(Sancoes!$B:$B,MATCH(A35,Sancoes!$A:$A,0))&amp;"","não consta"))</f>
        <v/>
      </c>
      <c r="K35" s="19" t="str">
        <f aca="false">IF(OR(A35="",F35=""),"",IF(SUMPRODUCT((Sancoes!$A$2:$A$301=A35)*(Sancoes!$B$2:$B$301&lt;&gt;"Não consta")*(Sancoes!$D$2:$D$301&lt;&gt;"")*(Sancoes!$D$2:$D$301&lt;=F35)*(((Sancoes!$E$2:$E$301="")+(Sancoes!$E$2:$E$301&gt;=F35))&gt;0))&gt;0,"SANÇÃO VIGENTE NA DATA — leia o tipo e a abrangência",""))</f>
        <v/>
      </c>
      <c r="L35" s="19" t="str">
        <f aca="false">IF(A35="","",IFERROR(INDEX(Empresas!$B:$B,MATCH(A35,Empresas!$A:$A,0))&amp;"","cadastre o CNPJ em Empresas"))</f>
        <v/>
      </c>
      <c r="M35" s="27"/>
      <c r="N35" s="35"/>
      <c r="O35" s="37" t="str">
        <f aca="false">IF(OR(D35="",D35=0,N35=""),"",N35/D35)</f>
        <v/>
      </c>
      <c r="P35" s="19" t="str">
        <f aca="false">IF(O35="","",IF(O35&gt;0.25,"ACRÉSCIMO ACIMA DE 25% — conferir",""))</f>
        <v/>
      </c>
      <c r="Q35" s="27"/>
      <c r="R35" s="5"/>
    </row>
    <row r="36" customFormat="false" ht="15" hidden="false" customHeight="false" outlineLevel="0" collapsed="false">
      <c r="A36" s="27"/>
      <c r="B36" s="5"/>
      <c r="C36" s="5"/>
      <c r="D36" s="35"/>
      <c r="E36" s="14"/>
      <c r="F36" s="18"/>
      <c r="G36" s="31" t="str">
        <f aca="false">IF(A36="","",IFERROR(IF(INDEX(Empresas!$C:$C,MATCH(A36,Empresas!$A:$A,0))="","",INDEX(Empresas!$C:$C,MATCH(A36,Empresas!$A:$A,0))),""))</f>
        <v/>
      </c>
      <c r="H36" s="18"/>
      <c r="I36" s="19" t="str">
        <f aca="false">IF(OR(F36="",G36=""),"",IF(F36-G36&lt;0,"CONTRATO ANTERIOR À ABERTURA — conferir datas",IF(F36-G36&lt;180,"ABERTA MENOS DE 6 MESES ANTES","")))</f>
        <v/>
      </c>
      <c r="J36" s="19" t="str">
        <f aca="false">IF(A36="","",IFERROR(INDEX(Sancoes!$B:$B,MATCH(A36,Sancoes!$A:$A,0))&amp;"","não consta"))</f>
        <v/>
      </c>
      <c r="K36" s="19" t="str">
        <f aca="false">IF(OR(A36="",F36=""),"",IF(SUMPRODUCT((Sancoes!$A$2:$A$301=A36)*(Sancoes!$B$2:$B$301&lt;&gt;"Não consta")*(Sancoes!$D$2:$D$301&lt;&gt;"")*(Sancoes!$D$2:$D$301&lt;=F36)*(((Sancoes!$E$2:$E$301="")+(Sancoes!$E$2:$E$301&gt;=F36))&gt;0))&gt;0,"SANÇÃO VIGENTE NA DATA — leia o tipo e a abrangência",""))</f>
        <v/>
      </c>
      <c r="L36" s="19" t="str">
        <f aca="false">IF(A36="","",IFERROR(INDEX(Empresas!$B:$B,MATCH(A36,Empresas!$A:$A,0))&amp;"","cadastre o CNPJ em Empresas"))</f>
        <v/>
      </c>
      <c r="M36" s="27"/>
      <c r="N36" s="35"/>
      <c r="O36" s="37" t="str">
        <f aca="false">IF(OR(D36="",D36=0,N36=""),"",N36/D36)</f>
        <v/>
      </c>
      <c r="P36" s="19" t="str">
        <f aca="false">IF(O36="","",IF(O36&gt;0.25,"ACRÉSCIMO ACIMA DE 25% — conferir",""))</f>
        <v/>
      </c>
      <c r="Q36" s="27"/>
      <c r="R36" s="5"/>
    </row>
    <row r="37" customFormat="false" ht="15" hidden="false" customHeight="false" outlineLevel="0" collapsed="false">
      <c r="A37" s="27"/>
      <c r="B37" s="5"/>
      <c r="C37" s="5"/>
      <c r="D37" s="35"/>
      <c r="E37" s="14"/>
      <c r="F37" s="18"/>
      <c r="G37" s="31" t="str">
        <f aca="false">IF(A37="","",IFERROR(IF(INDEX(Empresas!$C:$C,MATCH(A37,Empresas!$A:$A,0))="","",INDEX(Empresas!$C:$C,MATCH(A37,Empresas!$A:$A,0))),""))</f>
        <v/>
      </c>
      <c r="H37" s="18"/>
      <c r="I37" s="19" t="str">
        <f aca="false">IF(OR(F37="",G37=""),"",IF(F37-G37&lt;0,"CONTRATO ANTERIOR À ABERTURA — conferir datas",IF(F37-G37&lt;180,"ABERTA MENOS DE 6 MESES ANTES","")))</f>
        <v/>
      </c>
      <c r="J37" s="19" t="str">
        <f aca="false">IF(A37="","",IFERROR(INDEX(Sancoes!$B:$B,MATCH(A37,Sancoes!$A:$A,0))&amp;"","não consta"))</f>
        <v/>
      </c>
      <c r="K37" s="19" t="str">
        <f aca="false">IF(OR(A37="",F37=""),"",IF(SUMPRODUCT((Sancoes!$A$2:$A$301=A37)*(Sancoes!$B$2:$B$301&lt;&gt;"Não consta")*(Sancoes!$D$2:$D$301&lt;&gt;"")*(Sancoes!$D$2:$D$301&lt;=F37)*(((Sancoes!$E$2:$E$301="")+(Sancoes!$E$2:$E$301&gt;=F37))&gt;0))&gt;0,"SANÇÃO VIGENTE NA DATA — leia o tipo e a abrangência",""))</f>
        <v/>
      </c>
      <c r="L37" s="19" t="str">
        <f aca="false">IF(A37="","",IFERROR(INDEX(Empresas!$B:$B,MATCH(A37,Empresas!$A:$A,0))&amp;"","cadastre o CNPJ em Empresas"))</f>
        <v/>
      </c>
      <c r="M37" s="27"/>
      <c r="N37" s="35"/>
      <c r="O37" s="37" t="str">
        <f aca="false">IF(OR(D37="",D37=0,N37=""),"",N37/D37)</f>
        <v/>
      </c>
      <c r="P37" s="19" t="str">
        <f aca="false">IF(O37="","",IF(O37&gt;0.25,"ACRÉSCIMO ACIMA DE 25% — conferir",""))</f>
        <v/>
      </c>
      <c r="Q37" s="27"/>
      <c r="R37" s="5"/>
    </row>
    <row r="38" customFormat="false" ht="15" hidden="false" customHeight="false" outlineLevel="0" collapsed="false">
      <c r="A38" s="27"/>
      <c r="B38" s="5"/>
      <c r="C38" s="5"/>
      <c r="D38" s="35"/>
      <c r="E38" s="14"/>
      <c r="F38" s="18"/>
      <c r="G38" s="31" t="str">
        <f aca="false">IF(A38="","",IFERROR(IF(INDEX(Empresas!$C:$C,MATCH(A38,Empresas!$A:$A,0))="","",INDEX(Empresas!$C:$C,MATCH(A38,Empresas!$A:$A,0))),""))</f>
        <v/>
      </c>
      <c r="H38" s="18"/>
      <c r="I38" s="19" t="str">
        <f aca="false">IF(OR(F38="",G38=""),"",IF(F38-G38&lt;0,"CONTRATO ANTERIOR À ABERTURA — conferir datas",IF(F38-G38&lt;180,"ABERTA MENOS DE 6 MESES ANTES","")))</f>
        <v/>
      </c>
      <c r="J38" s="19" t="str">
        <f aca="false">IF(A38="","",IFERROR(INDEX(Sancoes!$B:$B,MATCH(A38,Sancoes!$A:$A,0))&amp;"","não consta"))</f>
        <v/>
      </c>
      <c r="K38" s="19" t="str">
        <f aca="false">IF(OR(A38="",F38=""),"",IF(SUMPRODUCT((Sancoes!$A$2:$A$301=A38)*(Sancoes!$B$2:$B$301&lt;&gt;"Não consta")*(Sancoes!$D$2:$D$301&lt;&gt;"")*(Sancoes!$D$2:$D$301&lt;=F38)*(((Sancoes!$E$2:$E$301="")+(Sancoes!$E$2:$E$301&gt;=F38))&gt;0))&gt;0,"SANÇÃO VIGENTE NA DATA — leia o tipo e a abrangência",""))</f>
        <v/>
      </c>
      <c r="L38" s="19" t="str">
        <f aca="false">IF(A38="","",IFERROR(INDEX(Empresas!$B:$B,MATCH(A38,Empresas!$A:$A,0))&amp;"","cadastre o CNPJ em Empresas"))</f>
        <v/>
      </c>
      <c r="M38" s="27"/>
      <c r="N38" s="35"/>
      <c r="O38" s="37" t="str">
        <f aca="false">IF(OR(D38="",D38=0,N38=""),"",N38/D38)</f>
        <v/>
      </c>
      <c r="P38" s="19" t="str">
        <f aca="false">IF(O38="","",IF(O38&gt;0.25,"ACRÉSCIMO ACIMA DE 25% — conferir",""))</f>
        <v/>
      </c>
      <c r="Q38" s="27"/>
      <c r="R38" s="5"/>
    </row>
    <row r="39" customFormat="false" ht="15" hidden="false" customHeight="false" outlineLevel="0" collapsed="false">
      <c r="A39" s="27"/>
      <c r="B39" s="5"/>
      <c r="C39" s="5"/>
      <c r="D39" s="35"/>
      <c r="E39" s="14"/>
      <c r="F39" s="18"/>
      <c r="G39" s="31" t="str">
        <f aca="false">IF(A39="","",IFERROR(IF(INDEX(Empresas!$C:$C,MATCH(A39,Empresas!$A:$A,0))="","",INDEX(Empresas!$C:$C,MATCH(A39,Empresas!$A:$A,0))),""))</f>
        <v/>
      </c>
      <c r="H39" s="18"/>
      <c r="I39" s="19" t="str">
        <f aca="false">IF(OR(F39="",G39=""),"",IF(F39-G39&lt;0,"CONTRATO ANTERIOR À ABERTURA — conferir datas",IF(F39-G39&lt;180,"ABERTA MENOS DE 6 MESES ANTES","")))</f>
        <v/>
      </c>
      <c r="J39" s="19" t="str">
        <f aca="false">IF(A39="","",IFERROR(INDEX(Sancoes!$B:$B,MATCH(A39,Sancoes!$A:$A,0))&amp;"","não consta"))</f>
        <v/>
      </c>
      <c r="K39" s="19" t="str">
        <f aca="false">IF(OR(A39="",F39=""),"",IF(SUMPRODUCT((Sancoes!$A$2:$A$301=A39)*(Sancoes!$B$2:$B$301&lt;&gt;"Não consta")*(Sancoes!$D$2:$D$301&lt;&gt;"")*(Sancoes!$D$2:$D$301&lt;=F39)*(((Sancoes!$E$2:$E$301="")+(Sancoes!$E$2:$E$301&gt;=F39))&gt;0))&gt;0,"SANÇÃO VIGENTE NA DATA — leia o tipo e a abrangência",""))</f>
        <v/>
      </c>
      <c r="L39" s="19" t="str">
        <f aca="false">IF(A39="","",IFERROR(INDEX(Empresas!$B:$B,MATCH(A39,Empresas!$A:$A,0))&amp;"","cadastre o CNPJ em Empresas"))</f>
        <v/>
      </c>
      <c r="M39" s="27"/>
      <c r="N39" s="35"/>
      <c r="O39" s="37" t="str">
        <f aca="false">IF(OR(D39="",D39=0,N39=""),"",N39/D39)</f>
        <v/>
      </c>
      <c r="P39" s="19" t="str">
        <f aca="false">IF(O39="","",IF(O39&gt;0.25,"ACRÉSCIMO ACIMA DE 25% — conferir",""))</f>
        <v/>
      </c>
      <c r="Q39" s="27"/>
      <c r="R39" s="5"/>
    </row>
    <row r="40" customFormat="false" ht="15" hidden="false" customHeight="false" outlineLevel="0" collapsed="false">
      <c r="A40" s="27"/>
      <c r="B40" s="5"/>
      <c r="C40" s="5"/>
      <c r="D40" s="35"/>
      <c r="E40" s="14"/>
      <c r="F40" s="18"/>
      <c r="G40" s="31" t="str">
        <f aca="false">IF(A40="","",IFERROR(IF(INDEX(Empresas!$C:$C,MATCH(A40,Empresas!$A:$A,0))="","",INDEX(Empresas!$C:$C,MATCH(A40,Empresas!$A:$A,0))),""))</f>
        <v/>
      </c>
      <c r="H40" s="18"/>
      <c r="I40" s="19" t="str">
        <f aca="false">IF(OR(F40="",G40=""),"",IF(F40-G40&lt;0,"CONTRATO ANTERIOR À ABERTURA — conferir datas",IF(F40-G40&lt;180,"ABERTA MENOS DE 6 MESES ANTES","")))</f>
        <v/>
      </c>
      <c r="J40" s="19" t="str">
        <f aca="false">IF(A40="","",IFERROR(INDEX(Sancoes!$B:$B,MATCH(A40,Sancoes!$A:$A,0))&amp;"","não consta"))</f>
        <v/>
      </c>
      <c r="K40" s="19" t="str">
        <f aca="false">IF(OR(A40="",F40=""),"",IF(SUMPRODUCT((Sancoes!$A$2:$A$301=A40)*(Sancoes!$B$2:$B$301&lt;&gt;"Não consta")*(Sancoes!$D$2:$D$301&lt;&gt;"")*(Sancoes!$D$2:$D$301&lt;=F40)*(((Sancoes!$E$2:$E$301="")+(Sancoes!$E$2:$E$301&gt;=F40))&gt;0))&gt;0,"SANÇÃO VIGENTE NA DATA — leia o tipo e a abrangência",""))</f>
        <v/>
      </c>
      <c r="L40" s="19" t="str">
        <f aca="false">IF(A40="","",IFERROR(INDEX(Empresas!$B:$B,MATCH(A40,Empresas!$A:$A,0))&amp;"","cadastre o CNPJ em Empresas"))</f>
        <v/>
      </c>
      <c r="M40" s="27"/>
      <c r="N40" s="35"/>
      <c r="O40" s="37" t="str">
        <f aca="false">IF(OR(D40="",D40=0,N40=""),"",N40/D40)</f>
        <v/>
      </c>
      <c r="P40" s="19" t="str">
        <f aca="false">IF(O40="","",IF(O40&gt;0.25,"ACRÉSCIMO ACIMA DE 25% — conferir",""))</f>
        <v/>
      </c>
      <c r="Q40" s="27"/>
      <c r="R40" s="5"/>
    </row>
    <row r="41" customFormat="false" ht="15" hidden="false" customHeight="false" outlineLevel="0" collapsed="false">
      <c r="A41" s="27"/>
      <c r="B41" s="5"/>
      <c r="C41" s="5"/>
      <c r="D41" s="35"/>
      <c r="E41" s="14"/>
      <c r="F41" s="18"/>
      <c r="G41" s="31" t="str">
        <f aca="false">IF(A41="","",IFERROR(IF(INDEX(Empresas!$C:$C,MATCH(A41,Empresas!$A:$A,0))="","",INDEX(Empresas!$C:$C,MATCH(A41,Empresas!$A:$A,0))),""))</f>
        <v/>
      </c>
      <c r="H41" s="18"/>
      <c r="I41" s="19" t="str">
        <f aca="false">IF(OR(F41="",G41=""),"",IF(F41-G41&lt;0,"CONTRATO ANTERIOR À ABERTURA — conferir datas",IF(F41-G41&lt;180,"ABERTA MENOS DE 6 MESES ANTES","")))</f>
        <v/>
      </c>
      <c r="J41" s="19" t="str">
        <f aca="false">IF(A41="","",IFERROR(INDEX(Sancoes!$B:$B,MATCH(A41,Sancoes!$A:$A,0))&amp;"","não consta"))</f>
        <v/>
      </c>
      <c r="K41" s="19" t="str">
        <f aca="false">IF(OR(A41="",F41=""),"",IF(SUMPRODUCT((Sancoes!$A$2:$A$301=A41)*(Sancoes!$B$2:$B$301&lt;&gt;"Não consta")*(Sancoes!$D$2:$D$301&lt;&gt;"")*(Sancoes!$D$2:$D$301&lt;=F41)*(((Sancoes!$E$2:$E$301="")+(Sancoes!$E$2:$E$301&gt;=F41))&gt;0))&gt;0,"SANÇÃO VIGENTE NA DATA — leia o tipo e a abrangência",""))</f>
        <v/>
      </c>
      <c r="L41" s="19" t="str">
        <f aca="false">IF(A41="","",IFERROR(INDEX(Empresas!$B:$B,MATCH(A41,Empresas!$A:$A,0))&amp;"","cadastre o CNPJ em Empresas"))</f>
        <v/>
      </c>
      <c r="M41" s="27"/>
      <c r="N41" s="35"/>
      <c r="O41" s="37" t="str">
        <f aca="false">IF(OR(D41="",D41=0,N41=""),"",N41/D41)</f>
        <v/>
      </c>
      <c r="P41" s="19" t="str">
        <f aca="false">IF(O41="","",IF(O41&gt;0.25,"ACRÉSCIMO ACIMA DE 25% — conferir",""))</f>
        <v/>
      </c>
      <c r="Q41" s="27"/>
      <c r="R41" s="5"/>
    </row>
    <row r="42" customFormat="false" ht="15" hidden="false" customHeight="false" outlineLevel="0" collapsed="false">
      <c r="A42" s="27"/>
      <c r="B42" s="5"/>
      <c r="C42" s="5"/>
      <c r="D42" s="35"/>
      <c r="E42" s="14"/>
      <c r="F42" s="18"/>
      <c r="G42" s="31" t="str">
        <f aca="false">IF(A42="","",IFERROR(IF(INDEX(Empresas!$C:$C,MATCH(A42,Empresas!$A:$A,0))="","",INDEX(Empresas!$C:$C,MATCH(A42,Empresas!$A:$A,0))),""))</f>
        <v/>
      </c>
      <c r="H42" s="18"/>
      <c r="I42" s="19" t="str">
        <f aca="false">IF(OR(F42="",G42=""),"",IF(F42-G42&lt;0,"CONTRATO ANTERIOR À ABERTURA — conferir datas",IF(F42-G42&lt;180,"ABERTA MENOS DE 6 MESES ANTES","")))</f>
        <v/>
      </c>
      <c r="J42" s="19" t="str">
        <f aca="false">IF(A42="","",IFERROR(INDEX(Sancoes!$B:$B,MATCH(A42,Sancoes!$A:$A,0))&amp;"","não consta"))</f>
        <v/>
      </c>
      <c r="K42" s="19" t="str">
        <f aca="false">IF(OR(A42="",F42=""),"",IF(SUMPRODUCT((Sancoes!$A$2:$A$301=A42)*(Sancoes!$B$2:$B$301&lt;&gt;"Não consta")*(Sancoes!$D$2:$D$301&lt;&gt;"")*(Sancoes!$D$2:$D$301&lt;=F42)*(((Sancoes!$E$2:$E$301="")+(Sancoes!$E$2:$E$301&gt;=F42))&gt;0))&gt;0,"SANÇÃO VIGENTE NA DATA — leia o tipo e a abrangência",""))</f>
        <v/>
      </c>
      <c r="L42" s="19" t="str">
        <f aca="false">IF(A42="","",IFERROR(INDEX(Empresas!$B:$B,MATCH(A42,Empresas!$A:$A,0))&amp;"","cadastre o CNPJ em Empresas"))</f>
        <v/>
      </c>
      <c r="M42" s="27"/>
      <c r="N42" s="35"/>
      <c r="O42" s="37" t="str">
        <f aca="false">IF(OR(D42="",D42=0,N42=""),"",N42/D42)</f>
        <v/>
      </c>
      <c r="P42" s="19" t="str">
        <f aca="false">IF(O42="","",IF(O42&gt;0.25,"ACRÉSCIMO ACIMA DE 25% — conferir",""))</f>
        <v/>
      </c>
      <c r="Q42" s="27"/>
      <c r="R42" s="5"/>
    </row>
    <row r="43" customFormat="false" ht="15" hidden="false" customHeight="false" outlineLevel="0" collapsed="false">
      <c r="A43" s="27"/>
      <c r="B43" s="5"/>
      <c r="C43" s="5"/>
      <c r="D43" s="35"/>
      <c r="E43" s="14"/>
      <c r="F43" s="18"/>
      <c r="G43" s="31" t="str">
        <f aca="false">IF(A43="","",IFERROR(IF(INDEX(Empresas!$C:$C,MATCH(A43,Empresas!$A:$A,0))="","",INDEX(Empresas!$C:$C,MATCH(A43,Empresas!$A:$A,0))),""))</f>
        <v/>
      </c>
      <c r="H43" s="18"/>
      <c r="I43" s="19" t="str">
        <f aca="false">IF(OR(F43="",G43=""),"",IF(F43-G43&lt;0,"CONTRATO ANTERIOR À ABERTURA — conferir datas",IF(F43-G43&lt;180,"ABERTA MENOS DE 6 MESES ANTES","")))</f>
        <v/>
      </c>
      <c r="J43" s="19" t="str">
        <f aca="false">IF(A43="","",IFERROR(INDEX(Sancoes!$B:$B,MATCH(A43,Sancoes!$A:$A,0))&amp;"","não consta"))</f>
        <v/>
      </c>
      <c r="K43" s="19" t="str">
        <f aca="false">IF(OR(A43="",F43=""),"",IF(SUMPRODUCT((Sancoes!$A$2:$A$301=A43)*(Sancoes!$B$2:$B$301&lt;&gt;"Não consta")*(Sancoes!$D$2:$D$301&lt;&gt;"")*(Sancoes!$D$2:$D$301&lt;=F43)*(((Sancoes!$E$2:$E$301="")+(Sancoes!$E$2:$E$301&gt;=F43))&gt;0))&gt;0,"SANÇÃO VIGENTE NA DATA — leia o tipo e a abrangência",""))</f>
        <v/>
      </c>
      <c r="L43" s="19" t="str">
        <f aca="false">IF(A43="","",IFERROR(INDEX(Empresas!$B:$B,MATCH(A43,Empresas!$A:$A,0))&amp;"","cadastre o CNPJ em Empresas"))</f>
        <v/>
      </c>
      <c r="M43" s="27"/>
      <c r="N43" s="35"/>
      <c r="O43" s="37" t="str">
        <f aca="false">IF(OR(D43="",D43=0,N43=""),"",N43/D43)</f>
        <v/>
      </c>
      <c r="P43" s="19" t="str">
        <f aca="false">IF(O43="","",IF(O43&gt;0.25,"ACRÉSCIMO ACIMA DE 25% — conferir",""))</f>
        <v/>
      </c>
      <c r="Q43" s="27"/>
      <c r="R43" s="5"/>
    </row>
    <row r="44" customFormat="false" ht="15" hidden="false" customHeight="false" outlineLevel="0" collapsed="false">
      <c r="A44" s="27"/>
      <c r="B44" s="5"/>
      <c r="C44" s="5"/>
      <c r="D44" s="35"/>
      <c r="E44" s="14"/>
      <c r="F44" s="18"/>
      <c r="G44" s="31" t="str">
        <f aca="false">IF(A44="","",IFERROR(IF(INDEX(Empresas!$C:$C,MATCH(A44,Empresas!$A:$A,0))="","",INDEX(Empresas!$C:$C,MATCH(A44,Empresas!$A:$A,0))),""))</f>
        <v/>
      </c>
      <c r="H44" s="18"/>
      <c r="I44" s="19" t="str">
        <f aca="false">IF(OR(F44="",G44=""),"",IF(F44-G44&lt;0,"CONTRATO ANTERIOR À ABERTURA — conferir datas",IF(F44-G44&lt;180,"ABERTA MENOS DE 6 MESES ANTES","")))</f>
        <v/>
      </c>
      <c r="J44" s="19" t="str">
        <f aca="false">IF(A44="","",IFERROR(INDEX(Sancoes!$B:$B,MATCH(A44,Sancoes!$A:$A,0))&amp;"","não consta"))</f>
        <v/>
      </c>
      <c r="K44" s="19" t="str">
        <f aca="false">IF(OR(A44="",F44=""),"",IF(SUMPRODUCT((Sancoes!$A$2:$A$301=A44)*(Sancoes!$B$2:$B$301&lt;&gt;"Não consta")*(Sancoes!$D$2:$D$301&lt;&gt;"")*(Sancoes!$D$2:$D$301&lt;=F44)*(((Sancoes!$E$2:$E$301="")+(Sancoes!$E$2:$E$301&gt;=F44))&gt;0))&gt;0,"SANÇÃO VIGENTE NA DATA — leia o tipo e a abrangência",""))</f>
        <v/>
      </c>
      <c r="L44" s="19" t="str">
        <f aca="false">IF(A44="","",IFERROR(INDEX(Empresas!$B:$B,MATCH(A44,Empresas!$A:$A,0))&amp;"","cadastre o CNPJ em Empresas"))</f>
        <v/>
      </c>
      <c r="M44" s="27"/>
      <c r="N44" s="35"/>
      <c r="O44" s="37" t="str">
        <f aca="false">IF(OR(D44="",D44=0,N44=""),"",N44/D44)</f>
        <v/>
      </c>
      <c r="P44" s="19" t="str">
        <f aca="false">IF(O44="","",IF(O44&gt;0.25,"ACRÉSCIMO ACIMA DE 25% — conferir",""))</f>
        <v/>
      </c>
      <c r="Q44" s="27"/>
      <c r="R44" s="5"/>
    </row>
    <row r="45" customFormat="false" ht="15" hidden="false" customHeight="false" outlineLevel="0" collapsed="false">
      <c r="A45" s="27"/>
      <c r="B45" s="5"/>
      <c r="C45" s="5"/>
      <c r="D45" s="35"/>
      <c r="E45" s="14"/>
      <c r="F45" s="18"/>
      <c r="G45" s="31" t="str">
        <f aca="false">IF(A45="","",IFERROR(IF(INDEX(Empresas!$C:$C,MATCH(A45,Empresas!$A:$A,0))="","",INDEX(Empresas!$C:$C,MATCH(A45,Empresas!$A:$A,0))),""))</f>
        <v/>
      </c>
      <c r="H45" s="18"/>
      <c r="I45" s="19" t="str">
        <f aca="false">IF(OR(F45="",G45=""),"",IF(F45-G45&lt;0,"CONTRATO ANTERIOR À ABERTURA — conferir datas",IF(F45-G45&lt;180,"ABERTA MENOS DE 6 MESES ANTES","")))</f>
        <v/>
      </c>
      <c r="J45" s="19" t="str">
        <f aca="false">IF(A45="","",IFERROR(INDEX(Sancoes!$B:$B,MATCH(A45,Sancoes!$A:$A,0))&amp;"","não consta"))</f>
        <v/>
      </c>
      <c r="K45" s="19" t="str">
        <f aca="false">IF(OR(A45="",F45=""),"",IF(SUMPRODUCT((Sancoes!$A$2:$A$301=A45)*(Sancoes!$B$2:$B$301&lt;&gt;"Não consta")*(Sancoes!$D$2:$D$301&lt;&gt;"")*(Sancoes!$D$2:$D$301&lt;=F45)*(((Sancoes!$E$2:$E$301="")+(Sancoes!$E$2:$E$301&gt;=F45))&gt;0))&gt;0,"SANÇÃO VIGENTE NA DATA — leia o tipo e a abrangência",""))</f>
        <v/>
      </c>
      <c r="L45" s="19" t="str">
        <f aca="false">IF(A45="","",IFERROR(INDEX(Empresas!$B:$B,MATCH(A45,Empresas!$A:$A,0))&amp;"","cadastre o CNPJ em Empresas"))</f>
        <v/>
      </c>
      <c r="M45" s="27"/>
      <c r="N45" s="35"/>
      <c r="O45" s="37" t="str">
        <f aca="false">IF(OR(D45="",D45=0,N45=""),"",N45/D45)</f>
        <v/>
      </c>
      <c r="P45" s="19" t="str">
        <f aca="false">IF(O45="","",IF(O45&gt;0.25,"ACRÉSCIMO ACIMA DE 25% — conferir",""))</f>
        <v/>
      </c>
      <c r="Q45" s="27"/>
      <c r="R45" s="5"/>
    </row>
    <row r="46" customFormat="false" ht="15" hidden="false" customHeight="false" outlineLevel="0" collapsed="false">
      <c r="A46" s="27"/>
      <c r="B46" s="5"/>
      <c r="C46" s="5"/>
      <c r="D46" s="35"/>
      <c r="E46" s="14"/>
      <c r="F46" s="18"/>
      <c r="G46" s="31" t="str">
        <f aca="false">IF(A46="","",IFERROR(IF(INDEX(Empresas!$C:$C,MATCH(A46,Empresas!$A:$A,0))="","",INDEX(Empresas!$C:$C,MATCH(A46,Empresas!$A:$A,0))),""))</f>
        <v/>
      </c>
      <c r="H46" s="18"/>
      <c r="I46" s="19" t="str">
        <f aca="false">IF(OR(F46="",G46=""),"",IF(F46-G46&lt;0,"CONTRATO ANTERIOR À ABERTURA — conferir datas",IF(F46-G46&lt;180,"ABERTA MENOS DE 6 MESES ANTES","")))</f>
        <v/>
      </c>
      <c r="J46" s="19" t="str">
        <f aca="false">IF(A46="","",IFERROR(INDEX(Sancoes!$B:$B,MATCH(A46,Sancoes!$A:$A,0))&amp;"","não consta"))</f>
        <v/>
      </c>
      <c r="K46" s="19" t="str">
        <f aca="false">IF(OR(A46="",F46=""),"",IF(SUMPRODUCT((Sancoes!$A$2:$A$301=A46)*(Sancoes!$B$2:$B$301&lt;&gt;"Não consta")*(Sancoes!$D$2:$D$301&lt;&gt;"")*(Sancoes!$D$2:$D$301&lt;=F46)*(((Sancoes!$E$2:$E$301="")+(Sancoes!$E$2:$E$301&gt;=F46))&gt;0))&gt;0,"SANÇÃO VIGENTE NA DATA — leia o tipo e a abrangência",""))</f>
        <v/>
      </c>
      <c r="L46" s="19" t="str">
        <f aca="false">IF(A46="","",IFERROR(INDEX(Empresas!$B:$B,MATCH(A46,Empresas!$A:$A,0))&amp;"","cadastre o CNPJ em Empresas"))</f>
        <v/>
      </c>
      <c r="M46" s="27"/>
      <c r="N46" s="35"/>
      <c r="O46" s="37" t="str">
        <f aca="false">IF(OR(D46="",D46=0,N46=""),"",N46/D46)</f>
        <v/>
      </c>
      <c r="P46" s="19" t="str">
        <f aca="false">IF(O46="","",IF(O46&gt;0.25,"ACRÉSCIMO ACIMA DE 25% — conferir",""))</f>
        <v/>
      </c>
      <c r="Q46" s="27"/>
      <c r="R46" s="5"/>
    </row>
    <row r="47" customFormat="false" ht="15" hidden="false" customHeight="false" outlineLevel="0" collapsed="false">
      <c r="A47" s="27"/>
      <c r="B47" s="5"/>
      <c r="C47" s="5"/>
      <c r="D47" s="35"/>
      <c r="E47" s="14"/>
      <c r="F47" s="18"/>
      <c r="G47" s="31" t="str">
        <f aca="false">IF(A47="","",IFERROR(IF(INDEX(Empresas!$C:$C,MATCH(A47,Empresas!$A:$A,0))="","",INDEX(Empresas!$C:$C,MATCH(A47,Empresas!$A:$A,0))),""))</f>
        <v/>
      </c>
      <c r="H47" s="18"/>
      <c r="I47" s="19" t="str">
        <f aca="false">IF(OR(F47="",G47=""),"",IF(F47-G47&lt;0,"CONTRATO ANTERIOR À ABERTURA — conferir datas",IF(F47-G47&lt;180,"ABERTA MENOS DE 6 MESES ANTES","")))</f>
        <v/>
      </c>
      <c r="J47" s="19" t="str">
        <f aca="false">IF(A47="","",IFERROR(INDEX(Sancoes!$B:$B,MATCH(A47,Sancoes!$A:$A,0))&amp;"","não consta"))</f>
        <v/>
      </c>
      <c r="K47" s="19" t="str">
        <f aca="false">IF(OR(A47="",F47=""),"",IF(SUMPRODUCT((Sancoes!$A$2:$A$301=A47)*(Sancoes!$B$2:$B$301&lt;&gt;"Não consta")*(Sancoes!$D$2:$D$301&lt;&gt;"")*(Sancoes!$D$2:$D$301&lt;=F47)*(((Sancoes!$E$2:$E$301="")+(Sancoes!$E$2:$E$301&gt;=F47))&gt;0))&gt;0,"SANÇÃO VIGENTE NA DATA — leia o tipo e a abrangência",""))</f>
        <v/>
      </c>
      <c r="L47" s="19" t="str">
        <f aca="false">IF(A47="","",IFERROR(INDEX(Empresas!$B:$B,MATCH(A47,Empresas!$A:$A,0))&amp;"","cadastre o CNPJ em Empresas"))</f>
        <v/>
      </c>
      <c r="M47" s="27"/>
      <c r="N47" s="35"/>
      <c r="O47" s="37" t="str">
        <f aca="false">IF(OR(D47="",D47=0,N47=""),"",N47/D47)</f>
        <v/>
      </c>
      <c r="P47" s="19" t="str">
        <f aca="false">IF(O47="","",IF(O47&gt;0.25,"ACRÉSCIMO ACIMA DE 25% — conferir",""))</f>
        <v/>
      </c>
      <c r="Q47" s="27"/>
      <c r="R47" s="5"/>
    </row>
    <row r="48" customFormat="false" ht="15" hidden="false" customHeight="false" outlineLevel="0" collapsed="false">
      <c r="A48" s="27"/>
      <c r="B48" s="5"/>
      <c r="C48" s="5"/>
      <c r="D48" s="35"/>
      <c r="E48" s="14"/>
      <c r="F48" s="18"/>
      <c r="G48" s="31" t="str">
        <f aca="false">IF(A48="","",IFERROR(IF(INDEX(Empresas!$C:$C,MATCH(A48,Empresas!$A:$A,0))="","",INDEX(Empresas!$C:$C,MATCH(A48,Empresas!$A:$A,0))),""))</f>
        <v/>
      </c>
      <c r="H48" s="18"/>
      <c r="I48" s="19" t="str">
        <f aca="false">IF(OR(F48="",G48=""),"",IF(F48-G48&lt;0,"CONTRATO ANTERIOR À ABERTURA — conferir datas",IF(F48-G48&lt;180,"ABERTA MENOS DE 6 MESES ANTES","")))</f>
        <v/>
      </c>
      <c r="J48" s="19" t="str">
        <f aca="false">IF(A48="","",IFERROR(INDEX(Sancoes!$B:$B,MATCH(A48,Sancoes!$A:$A,0))&amp;"","não consta"))</f>
        <v/>
      </c>
      <c r="K48" s="19" t="str">
        <f aca="false">IF(OR(A48="",F48=""),"",IF(SUMPRODUCT((Sancoes!$A$2:$A$301=A48)*(Sancoes!$B$2:$B$301&lt;&gt;"Não consta")*(Sancoes!$D$2:$D$301&lt;&gt;"")*(Sancoes!$D$2:$D$301&lt;=F48)*(((Sancoes!$E$2:$E$301="")+(Sancoes!$E$2:$E$301&gt;=F48))&gt;0))&gt;0,"SANÇÃO VIGENTE NA DATA — leia o tipo e a abrangência",""))</f>
        <v/>
      </c>
      <c r="L48" s="19" t="str">
        <f aca="false">IF(A48="","",IFERROR(INDEX(Empresas!$B:$B,MATCH(A48,Empresas!$A:$A,0))&amp;"","cadastre o CNPJ em Empresas"))</f>
        <v/>
      </c>
      <c r="M48" s="27"/>
      <c r="N48" s="35"/>
      <c r="O48" s="37" t="str">
        <f aca="false">IF(OR(D48="",D48=0,N48=""),"",N48/D48)</f>
        <v/>
      </c>
      <c r="P48" s="19" t="str">
        <f aca="false">IF(O48="","",IF(O48&gt;0.25,"ACRÉSCIMO ACIMA DE 25% — conferir",""))</f>
        <v/>
      </c>
      <c r="Q48" s="27"/>
      <c r="R48" s="5"/>
    </row>
    <row r="49" customFormat="false" ht="15" hidden="false" customHeight="false" outlineLevel="0" collapsed="false">
      <c r="A49" s="27"/>
      <c r="B49" s="5"/>
      <c r="C49" s="5"/>
      <c r="D49" s="35"/>
      <c r="E49" s="14"/>
      <c r="F49" s="18"/>
      <c r="G49" s="31" t="str">
        <f aca="false">IF(A49="","",IFERROR(IF(INDEX(Empresas!$C:$C,MATCH(A49,Empresas!$A:$A,0))="","",INDEX(Empresas!$C:$C,MATCH(A49,Empresas!$A:$A,0))),""))</f>
        <v/>
      </c>
      <c r="H49" s="18"/>
      <c r="I49" s="19" t="str">
        <f aca="false">IF(OR(F49="",G49=""),"",IF(F49-G49&lt;0,"CONTRATO ANTERIOR À ABERTURA — conferir datas",IF(F49-G49&lt;180,"ABERTA MENOS DE 6 MESES ANTES","")))</f>
        <v/>
      </c>
      <c r="J49" s="19" t="str">
        <f aca="false">IF(A49="","",IFERROR(INDEX(Sancoes!$B:$B,MATCH(A49,Sancoes!$A:$A,0))&amp;"","não consta"))</f>
        <v/>
      </c>
      <c r="K49" s="19" t="str">
        <f aca="false">IF(OR(A49="",F49=""),"",IF(SUMPRODUCT((Sancoes!$A$2:$A$301=A49)*(Sancoes!$B$2:$B$301&lt;&gt;"Não consta")*(Sancoes!$D$2:$D$301&lt;&gt;"")*(Sancoes!$D$2:$D$301&lt;=F49)*(((Sancoes!$E$2:$E$301="")+(Sancoes!$E$2:$E$301&gt;=F49))&gt;0))&gt;0,"SANÇÃO VIGENTE NA DATA — leia o tipo e a abrangência",""))</f>
        <v/>
      </c>
      <c r="L49" s="19" t="str">
        <f aca="false">IF(A49="","",IFERROR(INDEX(Empresas!$B:$B,MATCH(A49,Empresas!$A:$A,0))&amp;"","cadastre o CNPJ em Empresas"))</f>
        <v/>
      </c>
      <c r="M49" s="27"/>
      <c r="N49" s="35"/>
      <c r="O49" s="37" t="str">
        <f aca="false">IF(OR(D49="",D49=0,N49=""),"",N49/D49)</f>
        <v/>
      </c>
      <c r="P49" s="19" t="str">
        <f aca="false">IF(O49="","",IF(O49&gt;0.25,"ACRÉSCIMO ACIMA DE 25% — conferir",""))</f>
        <v/>
      </c>
      <c r="Q49" s="27"/>
      <c r="R49" s="5"/>
    </row>
    <row r="50" customFormat="false" ht="15" hidden="false" customHeight="false" outlineLevel="0" collapsed="false">
      <c r="A50" s="27"/>
      <c r="B50" s="5"/>
      <c r="C50" s="5"/>
      <c r="D50" s="35"/>
      <c r="E50" s="14"/>
      <c r="F50" s="18"/>
      <c r="G50" s="31" t="str">
        <f aca="false">IF(A50="","",IFERROR(IF(INDEX(Empresas!$C:$C,MATCH(A50,Empresas!$A:$A,0))="","",INDEX(Empresas!$C:$C,MATCH(A50,Empresas!$A:$A,0))),""))</f>
        <v/>
      </c>
      <c r="H50" s="18"/>
      <c r="I50" s="19" t="str">
        <f aca="false">IF(OR(F50="",G50=""),"",IF(F50-G50&lt;0,"CONTRATO ANTERIOR À ABERTURA — conferir datas",IF(F50-G50&lt;180,"ABERTA MENOS DE 6 MESES ANTES","")))</f>
        <v/>
      </c>
      <c r="J50" s="19" t="str">
        <f aca="false">IF(A50="","",IFERROR(INDEX(Sancoes!$B:$B,MATCH(A50,Sancoes!$A:$A,0))&amp;"","não consta"))</f>
        <v/>
      </c>
      <c r="K50" s="19" t="str">
        <f aca="false">IF(OR(A50="",F50=""),"",IF(SUMPRODUCT((Sancoes!$A$2:$A$301=A50)*(Sancoes!$B$2:$B$301&lt;&gt;"Não consta")*(Sancoes!$D$2:$D$301&lt;&gt;"")*(Sancoes!$D$2:$D$301&lt;=F50)*(((Sancoes!$E$2:$E$301="")+(Sancoes!$E$2:$E$301&gt;=F50))&gt;0))&gt;0,"SANÇÃO VIGENTE NA DATA — leia o tipo e a abrangência",""))</f>
        <v/>
      </c>
      <c r="L50" s="19" t="str">
        <f aca="false">IF(A50="","",IFERROR(INDEX(Empresas!$B:$B,MATCH(A50,Empresas!$A:$A,0))&amp;"","cadastre o CNPJ em Empresas"))</f>
        <v/>
      </c>
      <c r="M50" s="27"/>
      <c r="N50" s="35"/>
      <c r="O50" s="37" t="str">
        <f aca="false">IF(OR(D50="",D50=0,N50=""),"",N50/D50)</f>
        <v/>
      </c>
      <c r="P50" s="19" t="str">
        <f aca="false">IF(O50="","",IF(O50&gt;0.25,"ACRÉSCIMO ACIMA DE 25% — conferir",""))</f>
        <v/>
      </c>
      <c r="Q50" s="27"/>
      <c r="R50" s="5"/>
    </row>
    <row r="51" customFormat="false" ht="15" hidden="false" customHeight="false" outlineLevel="0" collapsed="false">
      <c r="A51" s="27"/>
      <c r="B51" s="5"/>
      <c r="C51" s="5"/>
      <c r="D51" s="35"/>
      <c r="E51" s="14"/>
      <c r="F51" s="18"/>
      <c r="G51" s="31" t="str">
        <f aca="false">IF(A51="","",IFERROR(IF(INDEX(Empresas!$C:$C,MATCH(A51,Empresas!$A:$A,0))="","",INDEX(Empresas!$C:$C,MATCH(A51,Empresas!$A:$A,0))),""))</f>
        <v/>
      </c>
      <c r="H51" s="18"/>
      <c r="I51" s="19" t="str">
        <f aca="false">IF(OR(F51="",G51=""),"",IF(F51-G51&lt;0,"CONTRATO ANTERIOR À ABERTURA — conferir datas",IF(F51-G51&lt;180,"ABERTA MENOS DE 6 MESES ANTES","")))</f>
        <v/>
      </c>
      <c r="J51" s="19" t="str">
        <f aca="false">IF(A51="","",IFERROR(INDEX(Sancoes!$B:$B,MATCH(A51,Sancoes!$A:$A,0))&amp;"","não consta"))</f>
        <v/>
      </c>
      <c r="K51" s="19" t="str">
        <f aca="false">IF(OR(A51="",F51=""),"",IF(SUMPRODUCT((Sancoes!$A$2:$A$301=A51)*(Sancoes!$B$2:$B$301&lt;&gt;"Não consta")*(Sancoes!$D$2:$D$301&lt;&gt;"")*(Sancoes!$D$2:$D$301&lt;=F51)*(((Sancoes!$E$2:$E$301="")+(Sancoes!$E$2:$E$301&gt;=F51))&gt;0))&gt;0,"SANÇÃO VIGENTE NA DATA — leia o tipo e a abrangência",""))</f>
        <v/>
      </c>
      <c r="L51" s="19" t="str">
        <f aca="false">IF(A51="","",IFERROR(INDEX(Empresas!$B:$B,MATCH(A51,Empresas!$A:$A,0))&amp;"","cadastre o CNPJ em Empresas"))</f>
        <v/>
      </c>
      <c r="M51" s="27"/>
      <c r="N51" s="35"/>
      <c r="O51" s="37" t="str">
        <f aca="false">IF(OR(D51="",D51=0,N51=""),"",N51/D51)</f>
        <v/>
      </c>
      <c r="P51" s="19" t="str">
        <f aca="false">IF(O51="","",IF(O51&gt;0.25,"ACRÉSCIMO ACIMA DE 25% — conferir",""))</f>
        <v/>
      </c>
      <c r="Q51" s="27"/>
      <c r="R51" s="5"/>
    </row>
    <row r="52" customFormat="false" ht="15" hidden="false" customHeight="false" outlineLevel="0" collapsed="false">
      <c r="A52" s="27"/>
      <c r="B52" s="5"/>
      <c r="C52" s="5"/>
      <c r="D52" s="35"/>
      <c r="E52" s="14"/>
      <c r="F52" s="18"/>
      <c r="G52" s="31" t="str">
        <f aca="false">IF(A52="","",IFERROR(IF(INDEX(Empresas!$C:$C,MATCH(A52,Empresas!$A:$A,0))="","",INDEX(Empresas!$C:$C,MATCH(A52,Empresas!$A:$A,0))),""))</f>
        <v/>
      </c>
      <c r="H52" s="18"/>
      <c r="I52" s="19" t="str">
        <f aca="false">IF(OR(F52="",G52=""),"",IF(F52-G52&lt;0,"CONTRATO ANTERIOR À ABERTURA — conferir datas",IF(F52-G52&lt;180,"ABERTA MENOS DE 6 MESES ANTES","")))</f>
        <v/>
      </c>
      <c r="J52" s="19" t="str">
        <f aca="false">IF(A52="","",IFERROR(INDEX(Sancoes!$B:$B,MATCH(A52,Sancoes!$A:$A,0))&amp;"","não consta"))</f>
        <v/>
      </c>
      <c r="K52" s="19" t="str">
        <f aca="false">IF(OR(A52="",F52=""),"",IF(SUMPRODUCT((Sancoes!$A$2:$A$301=A52)*(Sancoes!$B$2:$B$301&lt;&gt;"Não consta")*(Sancoes!$D$2:$D$301&lt;&gt;"")*(Sancoes!$D$2:$D$301&lt;=F52)*(((Sancoes!$E$2:$E$301="")+(Sancoes!$E$2:$E$301&gt;=F52))&gt;0))&gt;0,"SANÇÃO VIGENTE NA DATA — leia o tipo e a abrangência",""))</f>
        <v/>
      </c>
      <c r="L52" s="19" t="str">
        <f aca="false">IF(A52="","",IFERROR(INDEX(Empresas!$B:$B,MATCH(A52,Empresas!$A:$A,0))&amp;"","cadastre o CNPJ em Empresas"))</f>
        <v/>
      </c>
      <c r="M52" s="27"/>
      <c r="N52" s="35"/>
      <c r="O52" s="37" t="str">
        <f aca="false">IF(OR(D52="",D52=0,N52=""),"",N52/D52)</f>
        <v/>
      </c>
      <c r="P52" s="19" t="str">
        <f aca="false">IF(O52="","",IF(O52&gt;0.25,"ACRÉSCIMO ACIMA DE 25% — conferir",""))</f>
        <v/>
      </c>
      <c r="Q52" s="27"/>
      <c r="R52" s="5"/>
    </row>
    <row r="53" customFormat="false" ht="15" hidden="false" customHeight="false" outlineLevel="0" collapsed="false">
      <c r="A53" s="27"/>
      <c r="B53" s="5"/>
      <c r="C53" s="5"/>
      <c r="D53" s="35"/>
      <c r="E53" s="14"/>
      <c r="F53" s="18"/>
      <c r="G53" s="31" t="str">
        <f aca="false">IF(A53="","",IFERROR(IF(INDEX(Empresas!$C:$C,MATCH(A53,Empresas!$A:$A,0))="","",INDEX(Empresas!$C:$C,MATCH(A53,Empresas!$A:$A,0))),""))</f>
        <v/>
      </c>
      <c r="H53" s="18"/>
      <c r="I53" s="19" t="str">
        <f aca="false">IF(OR(F53="",G53=""),"",IF(F53-G53&lt;0,"CONTRATO ANTERIOR À ABERTURA — conferir datas",IF(F53-G53&lt;180,"ABERTA MENOS DE 6 MESES ANTES","")))</f>
        <v/>
      </c>
      <c r="J53" s="19" t="str">
        <f aca="false">IF(A53="","",IFERROR(INDEX(Sancoes!$B:$B,MATCH(A53,Sancoes!$A:$A,0))&amp;"","não consta"))</f>
        <v/>
      </c>
      <c r="K53" s="19" t="str">
        <f aca="false">IF(OR(A53="",F53=""),"",IF(SUMPRODUCT((Sancoes!$A$2:$A$301=A53)*(Sancoes!$B$2:$B$301&lt;&gt;"Não consta")*(Sancoes!$D$2:$D$301&lt;&gt;"")*(Sancoes!$D$2:$D$301&lt;=F53)*(((Sancoes!$E$2:$E$301="")+(Sancoes!$E$2:$E$301&gt;=F53))&gt;0))&gt;0,"SANÇÃO VIGENTE NA DATA — leia o tipo e a abrangência",""))</f>
        <v/>
      </c>
      <c r="L53" s="19" t="str">
        <f aca="false">IF(A53="","",IFERROR(INDEX(Empresas!$B:$B,MATCH(A53,Empresas!$A:$A,0))&amp;"","cadastre o CNPJ em Empresas"))</f>
        <v/>
      </c>
      <c r="M53" s="27"/>
      <c r="N53" s="35"/>
      <c r="O53" s="37" t="str">
        <f aca="false">IF(OR(D53="",D53=0,N53=""),"",N53/D53)</f>
        <v/>
      </c>
      <c r="P53" s="19" t="str">
        <f aca="false">IF(O53="","",IF(O53&gt;0.25,"ACRÉSCIMO ACIMA DE 25% — conferir",""))</f>
        <v/>
      </c>
      <c r="Q53" s="27"/>
      <c r="R53" s="5"/>
    </row>
    <row r="54" customFormat="false" ht="15" hidden="false" customHeight="false" outlineLevel="0" collapsed="false">
      <c r="A54" s="27"/>
      <c r="B54" s="5"/>
      <c r="C54" s="5"/>
      <c r="D54" s="35"/>
      <c r="E54" s="14"/>
      <c r="F54" s="18"/>
      <c r="G54" s="31" t="str">
        <f aca="false">IF(A54="","",IFERROR(IF(INDEX(Empresas!$C:$C,MATCH(A54,Empresas!$A:$A,0))="","",INDEX(Empresas!$C:$C,MATCH(A54,Empresas!$A:$A,0))),""))</f>
        <v/>
      </c>
      <c r="H54" s="18"/>
      <c r="I54" s="19" t="str">
        <f aca="false">IF(OR(F54="",G54=""),"",IF(F54-G54&lt;0,"CONTRATO ANTERIOR À ABERTURA — conferir datas",IF(F54-G54&lt;180,"ABERTA MENOS DE 6 MESES ANTES","")))</f>
        <v/>
      </c>
      <c r="J54" s="19" t="str">
        <f aca="false">IF(A54="","",IFERROR(INDEX(Sancoes!$B:$B,MATCH(A54,Sancoes!$A:$A,0))&amp;"","não consta"))</f>
        <v/>
      </c>
      <c r="K54" s="19" t="str">
        <f aca="false">IF(OR(A54="",F54=""),"",IF(SUMPRODUCT((Sancoes!$A$2:$A$301=A54)*(Sancoes!$B$2:$B$301&lt;&gt;"Não consta")*(Sancoes!$D$2:$D$301&lt;&gt;"")*(Sancoes!$D$2:$D$301&lt;=F54)*(((Sancoes!$E$2:$E$301="")+(Sancoes!$E$2:$E$301&gt;=F54))&gt;0))&gt;0,"SANÇÃO VIGENTE NA DATA — leia o tipo e a abrangência",""))</f>
        <v/>
      </c>
      <c r="L54" s="19" t="str">
        <f aca="false">IF(A54="","",IFERROR(INDEX(Empresas!$B:$B,MATCH(A54,Empresas!$A:$A,0))&amp;"","cadastre o CNPJ em Empresas"))</f>
        <v/>
      </c>
      <c r="M54" s="27"/>
      <c r="N54" s="35"/>
      <c r="O54" s="37" t="str">
        <f aca="false">IF(OR(D54="",D54=0,N54=""),"",N54/D54)</f>
        <v/>
      </c>
      <c r="P54" s="19" t="str">
        <f aca="false">IF(O54="","",IF(O54&gt;0.25,"ACRÉSCIMO ACIMA DE 25% — conferir",""))</f>
        <v/>
      </c>
      <c r="Q54" s="27"/>
      <c r="R54" s="5"/>
    </row>
    <row r="55" customFormat="false" ht="15" hidden="false" customHeight="false" outlineLevel="0" collapsed="false">
      <c r="A55" s="27"/>
      <c r="B55" s="5"/>
      <c r="C55" s="5"/>
      <c r="D55" s="35"/>
      <c r="E55" s="14"/>
      <c r="F55" s="18"/>
      <c r="G55" s="31" t="str">
        <f aca="false">IF(A55="","",IFERROR(IF(INDEX(Empresas!$C:$C,MATCH(A55,Empresas!$A:$A,0))="","",INDEX(Empresas!$C:$C,MATCH(A55,Empresas!$A:$A,0))),""))</f>
        <v/>
      </c>
      <c r="H55" s="18"/>
      <c r="I55" s="19" t="str">
        <f aca="false">IF(OR(F55="",G55=""),"",IF(F55-G55&lt;0,"CONTRATO ANTERIOR À ABERTURA — conferir datas",IF(F55-G55&lt;180,"ABERTA MENOS DE 6 MESES ANTES","")))</f>
        <v/>
      </c>
      <c r="J55" s="19" t="str">
        <f aca="false">IF(A55="","",IFERROR(INDEX(Sancoes!$B:$B,MATCH(A55,Sancoes!$A:$A,0))&amp;"","não consta"))</f>
        <v/>
      </c>
      <c r="K55" s="19" t="str">
        <f aca="false">IF(OR(A55="",F55=""),"",IF(SUMPRODUCT((Sancoes!$A$2:$A$301=A55)*(Sancoes!$B$2:$B$301&lt;&gt;"Não consta")*(Sancoes!$D$2:$D$301&lt;&gt;"")*(Sancoes!$D$2:$D$301&lt;=F55)*(((Sancoes!$E$2:$E$301="")+(Sancoes!$E$2:$E$301&gt;=F55))&gt;0))&gt;0,"SANÇÃO VIGENTE NA DATA — leia o tipo e a abrangência",""))</f>
        <v/>
      </c>
      <c r="L55" s="19" t="str">
        <f aca="false">IF(A55="","",IFERROR(INDEX(Empresas!$B:$B,MATCH(A55,Empresas!$A:$A,0))&amp;"","cadastre o CNPJ em Empresas"))</f>
        <v/>
      </c>
      <c r="M55" s="27"/>
      <c r="N55" s="35"/>
      <c r="O55" s="37" t="str">
        <f aca="false">IF(OR(D55="",D55=0,N55=""),"",N55/D55)</f>
        <v/>
      </c>
      <c r="P55" s="19" t="str">
        <f aca="false">IF(O55="","",IF(O55&gt;0.25,"ACRÉSCIMO ACIMA DE 25% — conferir",""))</f>
        <v/>
      </c>
      <c r="Q55" s="27"/>
      <c r="R55" s="5"/>
    </row>
    <row r="56" customFormat="false" ht="15" hidden="false" customHeight="false" outlineLevel="0" collapsed="false">
      <c r="A56" s="27"/>
      <c r="B56" s="5"/>
      <c r="C56" s="5"/>
      <c r="D56" s="35"/>
      <c r="E56" s="14"/>
      <c r="F56" s="18"/>
      <c r="G56" s="31" t="str">
        <f aca="false">IF(A56="","",IFERROR(IF(INDEX(Empresas!$C:$C,MATCH(A56,Empresas!$A:$A,0))="","",INDEX(Empresas!$C:$C,MATCH(A56,Empresas!$A:$A,0))),""))</f>
        <v/>
      </c>
      <c r="H56" s="18"/>
      <c r="I56" s="19" t="str">
        <f aca="false">IF(OR(F56="",G56=""),"",IF(F56-G56&lt;0,"CONTRATO ANTERIOR À ABERTURA — conferir datas",IF(F56-G56&lt;180,"ABERTA MENOS DE 6 MESES ANTES","")))</f>
        <v/>
      </c>
      <c r="J56" s="19" t="str">
        <f aca="false">IF(A56="","",IFERROR(INDEX(Sancoes!$B:$B,MATCH(A56,Sancoes!$A:$A,0))&amp;"","não consta"))</f>
        <v/>
      </c>
      <c r="K56" s="19" t="str">
        <f aca="false">IF(OR(A56="",F56=""),"",IF(SUMPRODUCT((Sancoes!$A$2:$A$301=A56)*(Sancoes!$B$2:$B$301&lt;&gt;"Não consta")*(Sancoes!$D$2:$D$301&lt;&gt;"")*(Sancoes!$D$2:$D$301&lt;=F56)*(((Sancoes!$E$2:$E$301="")+(Sancoes!$E$2:$E$301&gt;=F56))&gt;0))&gt;0,"SANÇÃO VIGENTE NA DATA — leia o tipo e a abrangência",""))</f>
        <v/>
      </c>
      <c r="L56" s="19" t="str">
        <f aca="false">IF(A56="","",IFERROR(INDEX(Empresas!$B:$B,MATCH(A56,Empresas!$A:$A,0))&amp;"","cadastre o CNPJ em Empresas"))</f>
        <v/>
      </c>
      <c r="M56" s="27"/>
      <c r="N56" s="35"/>
      <c r="O56" s="37" t="str">
        <f aca="false">IF(OR(D56="",D56=0,N56=""),"",N56/D56)</f>
        <v/>
      </c>
      <c r="P56" s="19" t="str">
        <f aca="false">IF(O56="","",IF(O56&gt;0.25,"ACRÉSCIMO ACIMA DE 25% — conferir",""))</f>
        <v/>
      </c>
      <c r="Q56" s="27"/>
      <c r="R56" s="5"/>
    </row>
    <row r="57" customFormat="false" ht="15" hidden="false" customHeight="false" outlineLevel="0" collapsed="false">
      <c r="A57" s="27"/>
      <c r="B57" s="5"/>
      <c r="C57" s="5"/>
      <c r="D57" s="35"/>
      <c r="E57" s="14"/>
      <c r="F57" s="18"/>
      <c r="G57" s="31" t="str">
        <f aca="false">IF(A57="","",IFERROR(IF(INDEX(Empresas!$C:$C,MATCH(A57,Empresas!$A:$A,0))="","",INDEX(Empresas!$C:$C,MATCH(A57,Empresas!$A:$A,0))),""))</f>
        <v/>
      </c>
      <c r="H57" s="18"/>
      <c r="I57" s="19" t="str">
        <f aca="false">IF(OR(F57="",G57=""),"",IF(F57-G57&lt;0,"CONTRATO ANTERIOR À ABERTURA — conferir datas",IF(F57-G57&lt;180,"ABERTA MENOS DE 6 MESES ANTES","")))</f>
        <v/>
      </c>
      <c r="J57" s="19" t="str">
        <f aca="false">IF(A57="","",IFERROR(INDEX(Sancoes!$B:$B,MATCH(A57,Sancoes!$A:$A,0))&amp;"","não consta"))</f>
        <v/>
      </c>
      <c r="K57" s="19" t="str">
        <f aca="false">IF(OR(A57="",F57=""),"",IF(SUMPRODUCT((Sancoes!$A$2:$A$301=A57)*(Sancoes!$B$2:$B$301&lt;&gt;"Não consta")*(Sancoes!$D$2:$D$301&lt;&gt;"")*(Sancoes!$D$2:$D$301&lt;=F57)*(((Sancoes!$E$2:$E$301="")+(Sancoes!$E$2:$E$301&gt;=F57))&gt;0))&gt;0,"SANÇÃO VIGENTE NA DATA — leia o tipo e a abrangência",""))</f>
        <v/>
      </c>
      <c r="L57" s="19" t="str">
        <f aca="false">IF(A57="","",IFERROR(INDEX(Empresas!$B:$B,MATCH(A57,Empresas!$A:$A,0))&amp;"","cadastre o CNPJ em Empresas"))</f>
        <v/>
      </c>
      <c r="M57" s="27"/>
      <c r="N57" s="35"/>
      <c r="O57" s="37" t="str">
        <f aca="false">IF(OR(D57="",D57=0,N57=""),"",N57/D57)</f>
        <v/>
      </c>
      <c r="P57" s="19" t="str">
        <f aca="false">IF(O57="","",IF(O57&gt;0.25,"ACRÉSCIMO ACIMA DE 25% — conferir",""))</f>
        <v/>
      </c>
      <c r="Q57" s="27"/>
      <c r="R57" s="5"/>
    </row>
    <row r="58" customFormat="false" ht="15" hidden="false" customHeight="false" outlineLevel="0" collapsed="false">
      <c r="A58" s="27"/>
      <c r="B58" s="5"/>
      <c r="C58" s="5"/>
      <c r="D58" s="35"/>
      <c r="E58" s="14"/>
      <c r="F58" s="18"/>
      <c r="G58" s="31" t="str">
        <f aca="false">IF(A58="","",IFERROR(IF(INDEX(Empresas!$C:$C,MATCH(A58,Empresas!$A:$A,0))="","",INDEX(Empresas!$C:$C,MATCH(A58,Empresas!$A:$A,0))),""))</f>
        <v/>
      </c>
      <c r="H58" s="18"/>
      <c r="I58" s="19" t="str">
        <f aca="false">IF(OR(F58="",G58=""),"",IF(F58-G58&lt;0,"CONTRATO ANTERIOR À ABERTURA — conferir datas",IF(F58-G58&lt;180,"ABERTA MENOS DE 6 MESES ANTES","")))</f>
        <v/>
      </c>
      <c r="J58" s="19" t="str">
        <f aca="false">IF(A58="","",IFERROR(INDEX(Sancoes!$B:$B,MATCH(A58,Sancoes!$A:$A,0))&amp;"","não consta"))</f>
        <v/>
      </c>
      <c r="K58" s="19" t="str">
        <f aca="false">IF(OR(A58="",F58=""),"",IF(SUMPRODUCT((Sancoes!$A$2:$A$301=A58)*(Sancoes!$B$2:$B$301&lt;&gt;"Não consta")*(Sancoes!$D$2:$D$301&lt;&gt;"")*(Sancoes!$D$2:$D$301&lt;=F58)*(((Sancoes!$E$2:$E$301="")+(Sancoes!$E$2:$E$301&gt;=F58))&gt;0))&gt;0,"SANÇÃO VIGENTE NA DATA — leia o tipo e a abrangência",""))</f>
        <v/>
      </c>
      <c r="L58" s="19" t="str">
        <f aca="false">IF(A58="","",IFERROR(INDEX(Empresas!$B:$B,MATCH(A58,Empresas!$A:$A,0))&amp;"","cadastre o CNPJ em Empresas"))</f>
        <v/>
      </c>
      <c r="M58" s="27"/>
      <c r="N58" s="35"/>
      <c r="O58" s="37" t="str">
        <f aca="false">IF(OR(D58="",D58=0,N58=""),"",N58/D58)</f>
        <v/>
      </c>
      <c r="P58" s="19" t="str">
        <f aca="false">IF(O58="","",IF(O58&gt;0.25,"ACRÉSCIMO ACIMA DE 25% — conferir",""))</f>
        <v/>
      </c>
      <c r="Q58" s="27"/>
      <c r="R58" s="5"/>
    </row>
    <row r="59" customFormat="false" ht="15" hidden="false" customHeight="false" outlineLevel="0" collapsed="false">
      <c r="A59" s="27"/>
      <c r="B59" s="5"/>
      <c r="C59" s="5"/>
      <c r="D59" s="35"/>
      <c r="E59" s="14"/>
      <c r="F59" s="18"/>
      <c r="G59" s="31" t="str">
        <f aca="false">IF(A59="","",IFERROR(IF(INDEX(Empresas!$C:$C,MATCH(A59,Empresas!$A:$A,0))="","",INDEX(Empresas!$C:$C,MATCH(A59,Empresas!$A:$A,0))),""))</f>
        <v/>
      </c>
      <c r="H59" s="18"/>
      <c r="I59" s="19" t="str">
        <f aca="false">IF(OR(F59="",G59=""),"",IF(F59-G59&lt;0,"CONTRATO ANTERIOR À ABERTURA — conferir datas",IF(F59-G59&lt;180,"ABERTA MENOS DE 6 MESES ANTES","")))</f>
        <v/>
      </c>
      <c r="J59" s="19" t="str">
        <f aca="false">IF(A59="","",IFERROR(INDEX(Sancoes!$B:$B,MATCH(A59,Sancoes!$A:$A,0))&amp;"","não consta"))</f>
        <v/>
      </c>
      <c r="K59" s="19" t="str">
        <f aca="false">IF(OR(A59="",F59=""),"",IF(SUMPRODUCT((Sancoes!$A$2:$A$301=A59)*(Sancoes!$B$2:$B$301&lt;&gt;"Não consta")*(Sancoes!$D$2:$D$301&lt;&gt;"")*(Sancoes!$D$2:$D$301&lt;=F59)*(((Sancoes!$E$2:$E$301="")+(Sancoes!$E$2:$E$301&gt;=F59))&gt;0))&gt;0,"SANÇÃO VIGENTE NA DATA — leia o tipo e a abrangência",""))</f>
        <v/>
      </c>
      <c r="L59" s="19" t="str">
        <f aca="false">IF(A59="","",IFERROR(INDEX(Empresas!$B:$B,MATCH(A59,Empresas!$A:$A,0))&amp;"","cadastre o CNPJ em Empresas"))</f>
        <v/>
      </c>
      <c r="M59" s="27"/>
      <c r="N59" s="35"/>
      <c r="O59" s="37" t="str">
        <f aca="false">IF(OR(D59="",D59=0,N59=""),"",N59/D59)</f>
        <v/>
      </c>
      <c r="P59" s="19" t="str">
        <f aca="false">IF(O59="","",IF(O59&gt;0.25,"ACRÉSCIMO ACIMA DE 25% — conferir",""))</f>
        <v/>
      </c>
      <c r="Q59" s="27"/>
      <c r="R59" s="5"/>
    </row>
    <row r="60" customFormat="false" ht="15" hidden="false" customHeight="false" outlineLevel="0" collapsed="false">
      <c r="A60" s="27"/>
      <c r="B60" s="5"/>
      <c r="C60" s="5"/>
      <c r="D60" s="35"/>
      <c r="E60" s="14"/>
      <c r="F60" s="18"/>
      <c r="G60" s="31" t="str">
        <f aca="false">IF(A60="","",IFERROR(IF(INDEX(Empresas!$C:$C,MATCH(A60,Empresas!$A:$A,0))="","",INDEX(Empresas!$C:$C,MATCH(A60,Empresas!$A:$A,0))),""))</f>
        <v/>
      </c>
      <c r="H60" s="18"/>
      <c r="I60" s="19" t="str">
        <f aca="false">IF(OR(F60="",G60=""),"",IF(F60-G60&lt;0,"CONTRATO ANTERIOR À ABERTURA — conferir datas",IF(F60-G60&lt;180,"ABERTA MENOS DE 6 MESES ANTES","")))</f>
        <v/>
      </c>
      <c r="J60" s="19" t="str">
        <f aca="false">IF(A60="","",IFERROR(INDEX(Sancoes!$B:$B,MATCH(A60,Sancoes!$A:$A,0))&amp;"","não consta"))</f>
        <v/>
      </c>
      <c r="K60" s="19" t="str">
        <f aca="false">IF(OR(A60="",F60=""),"",IF(SUMPRODUCT((Sancoes!$A$2:$A$301=A60)*(Sancoes!$B$2:$B$301&lt;&gt;"Não consta")*(Sancoes!$D$2:$D$301&lt;&gt;"")*(Sancoes!$D$2:$D$301&lt;=F60)*(((Sancoes!$E$2:$E$301="")+(Sancoes!$E$2:$E$301&gt;=F60))&gt;0))&gt;0,"SANÇÃO VIGENTE NA DATA — leia o tipo e a abrangência",""))</f>
        <v/>
      </c>
      <c r="L60" s="19" t="str">
        <f aca="false">IF(A60="","",IFERROR(INDEX(Empresas!$B:$B,MATCH(A60,Empresas!$A:$A,0))&amp;"","cadastre o CNPJ em Empresas"))</f>
        <v/>
      </c>
      <c r="M60" s="27"/>
      <c r="N60" s="35"/>
      <c r="O60" s="37" t="str">
        <f aca="false">IF(OR(D60="",D60=0,N60=""),"",N60/D60)</f>
        <v/>
      </c>
      <c r="P60" s="19" t="str">
        <f aca="false">IF(O60="","",IF(O60&gt;0.25,"ACRÉSCIMO ACIMA DE 25% — conferir",""))</f>
        <v/>
      </c>
      <c r="Q60" s="27"/>
      <c r="R60" s="5"/>
    </row>
    <row r="61" customFormat="false" ht="15" hidden="false" customHeight="false" outlineLevel="0" collapsed="false">
      <c r="A61" s="27"/>
      <c r="B61" s="5"/>
      <c r="C61" s="5"/>
      <c r="D61" s="35"/>
      <c r="E61" s="14"/>
      <c r="F61" s="18"/>
      <c r="G61" s="31" t="str">
        <f aca="false">IF(A61="","",IFERROR(IF(INDEX(Empresas!$C:$C,MATCH(A61,Empresas!$A:$A,0))="","",INDEX(Empresas!$C:$C,MATCH(A61,Empresas!$A:$A,0))),""))</f>
        <v/>
      </c>
      <c r="H61" s="18"/>
      <c r="I61" s="19" t="str">
        <f aca="false">IF(OR(F61="",G61=""),"",IF(F61-G61&lt;0,"CONTRATO ANTERIOR À ABERTURA — conferir datas",IF(F61-G61&lt;180,"ABERTA MENOS DE 6 MESES ANTES","")))</f>
        <v/>
      </c>
      <c r="J61" s="19" t="str">
        <f aca="false">IF(A61="","",IFERROR(INDEX(Sancoes!$B:$B,MATCH(A61,Sancoes!$A:$A,0))&amp;"","não consta"))</f>
        <v/>
      </c>
      <c r="K61" s="19" t="str">
        <f aca="false">IF(OR(A61="",F61=""),"",IF(SUMPRODUCT((Sancoes!$A$2:$A$301=A61)*(Sancoes!$B$2:$B$301&lt;&gt;"Não consta")*(Sancoes!$D$2:$D$301&lt;&gt;"")*(Sancoes!$D$2:$D$301&lt;=F61)*(((Sancoes!$E$2:$E$301="")+(Sancoes!$E$2:$E$301&gt;=F61))&gt;0))&gt;0,"SANÇÃO VIGENTE NA DATA — leia o tipo e a abrangência",""))</f>
        <v/>
      </c>
      <c r="L61" s="19" t="str">
        <f aca="false">IF(A61="","",IFERROR(INDEX(Empresas!$B:$B,MATCH(A61,Empresas!$A:$A,0))&amp;"","cadastre o CNPJ em Empresas"))</f>
        <v/>
      </c>
      <c r="M61" s="27"/>
      <c r="N61" s="35"/>
      <c r="O61" s="37" t="str">
        <f aca="false">IF(OR(D61="",D61=0,N61=""),"",N61/D61)</f>
        <v/>
      </c>
      <c r="P61" s="19" t="str">
        <f aca="false">IF(O61="","",IF(O61&gt;0.25,"ACRÉSCIMO ACIMA DE 25% — conferir",""))</f>
        <v/>
      </c>
      <c r="Q61" s="27"/>
      <c r="R61" s="5"/>
    </row>
    <row r="62" customFormat="false" ht="15" hidden="false" customHeight="false" outlineLevel="0" collapsed="false">
      <c r="A62" s="27"/>
      <c r="B62" s="5"/>
      <c r="C62" s="5"/>
      <c r="D62" s="35"/>
      <c r="E62" s="14"/>
      <c r="F62" s="18"/>
      <c r="G62" s="31" t="str">
        <f aca="false">IF(A62="","",IFERROR(IF(INDEX(Empresas!$C:$C,MATCH(A62,Empresas!$A:$A,0))="","",INDEX(Empresas!$C:$C,MATCH(A62,Empresas!$A:$A,0))),""))</f>
        <v/>
      </c>
      <c r="H62" s="18"/>
      <c r="I62" s="19" t="str">
        <f aca="false">IF(OR(F62="",G62=""),"",IF(F62-G62&lt;0,"CONTRATO ANTERIOR À ABERTURA — conferir datas",IF(F62-G62&lt;180,"ABERTA MENOS DE 6 MESES ANTES","")))</f>
        <v/>
      </c>
      <c r="J62" s="19" t="str">
        <f aca="false">IF(A62="","",IFERROR(INDEX(Sancoes!$B:$B,MATCH(A62,Sancoes!$A:$A,0))&amp;"","não consta"))</f>
        <v/>
      </c>
      <c r="K62" s="19" t="str">
        <f aca="false">IF(OR(A62="",F62=""),"",IF(SUMPRODUCT((Sancoes!$A$2:$A$301=A62)*(Sancoes!$B$2:$B$301&lt;&gt;"Não consta")*(Sancoes!$D$2:$D$301&lt;&gt;"")*(Sancoes!$D$2:$D$301&lt;=F62)*(((Sancoes!$E$2:$E$301="")+(Sancoes!$E$2:$E$301&gt;=F62))&gt;0))&gt;0,"SANÇÃO VIGENTE NA DATA — leia o tipo e a abrangência",""))</f>
        <v/>
      </c>
      <c r="L62" s="19" t="str">
        <f aca="false">IF(A62="","",IFERROR(INDEX(Empresas!$B:$B,MATCH(A62,Empresas!$A:$A,0))&amp;"","cadastre o CNPJ em Empresas"))</f>
        <v/>
      </c>
      <c r="M62" s="27"/>
      <c r="N62" s="35"/>
      <c r="O62" s="37" t="str">
        <f aca="false">IF(OR(D62="",D62=0,N62=""),"",N62/D62)</f>
        <v/>
      </c>
      <c r="P62" s="19" t="str">
        <f aca="false">IF(O62="","",IF(O62&gt;0.25,"ACRÉSCIMO ACIMA DE 25% — conferir",""))</f>
        <v/>
      </c>
      <c r="Q62" s="27"/>
      <c r="R62" s="5"/>
    </row>
    <row r="63" customFormat="false" ht="15" hidden="false" customHeight="false" outlineLevel="0" collapsed="false">
      <c r="A63" s="27"/>
      <c r="B63" s="5"/>
      <c r="C63" s="5"/>
      <c r="D63" s="35"/>
      <c r="E63" s="14"/>
      <c r="F63" s="18"/>
      <c r="G63" s="31" t="str">
        <f aca="false">IF(A63="","",IFERROR(IF(INDEX(Empresas!$C:$C,MATCH(A63,Empresas!$A:$A,0))="","",INDEX(Empresas!$C:$C,MATCH(A63,Empresas!$A:$A,0))),""))</f>
        <v/>
      </c>
      <c r="H63" s="18"/>
      <c r="I63" s="19" t="str">
        <f aca="false">IF(OR(F63="",G63=""),"",IF(F63-G63&lt;0,"CONTRATO ANTERIOR À ABERTURA — conferir datas",IF(F63-G63&lt;180,"ABERTA MENOS DE 6 MESES ANTES","")))</f>
        <v/>
      </c>
      <c r="J63" s="19" t="str">
        <f aca="false">IF(A63="","",IFERROR(INDEX(Sancoes!$B:$B,MATCH(A63,Sancoes!$A:$A,0))&amp;"","não consta"))</f>
        <v/>
      </c>
      <c r="K63" s="19" t="str">
        <f aca="false">IF(OR(A63="",F63=""),"",IF(SUMPRODUCT((Sancoes!$A$2:$A$301=A63)*(Sancoes!$B$2:$B$301&lt;&gt;"Não consta")*(Sancoes!$D$2:$D$301&lt;&gt;"")*(Sancoes!$D$2:$D$301&lt;=F63)*(((Sancoes!$E$2:$E$301="")+(Sancoes!$E$2:$E$301&gt;=F63))&gt;0))&gt;0,"SANÇÃO VIGENTE NA DATA — leia o tipo e a abrangência",""))</f>
        <v/>
      </c>
      <c r="L63" s="19" t="str">
        <f aca="false">IF(A63="","",IFERROR(INDEX(Empresas!$B:$B,MATCH(A63,Empresas!$A:$A,0))&amp;"","cadastre o CNPJ em Empresas"))</f>
        <v/>
      </c>
      <c r="M63" s="27"/>
      <c r="N63" s="35"/>
      <c r="O63" s="37" t="str">
        <f aca="false">IF(OR(D63="",D63=0,N63=""),"",N63/D63)</f>
        <v/>
      </c>
      <c r="P63" s="19" t="str">
        <f aca="false">IF(O63="","",IF(O63&gt;0.25,"ACRÉSCIMO ACIMA DE 25% — conferir",""))</f>
        <v/>
      </c>
      <c r="Q63" s="27"/>
      <c r="R63" s="5"/>
    </row>
    <row r="64" customFormat="false" ht="15" hidden="false" customHeight="false" outlineLevel="0" collapsed="false">
      <c r="A64" s="27"/>
      <c r="B64" s="5"/>
      <c r="C64" s="5"/>
      <c r="D64" s="35"/>
      <c r="E64" s="14"/>
      <c r="F64" s="18"/>
      <c r="G64" s="31" t="str">
        <f aca="false">IF(A64="","",IFERROR(IF(INDEX(Empresas!$C:$C,MATCH(A64,Empresas!$A:$A,0))="","",INDEX(Empresas!$C:$C,MATCH(A64,Empresas!$A:$A,0))),""))</f>
        <v/>
      </c>
      <c r="H64" s="18"/>
      <c r="I64" s="19" t="str">
        <f aca="false">IF(OR(F64="",G64=""),"",IF(F64-G64&lt;0,"CONTRATO ANTERIOR À ABERTURA — conferir datas",IF(F64-G64&lt;180,"ABERTA MENOS DE 6 MESES ANTES","")))</f>
        <v/>
      </c>
      <c r="J64" s="19" t="str">
        <f aca="false">IF(A64="","",IFERROR(INDEX(Sancoes!$B:$B,MATCH(A64,Sancoes!$A:$A,0))&amp;"","não consta"))</f>
        <v/>
      </c>
      <c r="K64" s="19" t="str">
        <f aca="false">IF(OR(A64="",F64=""),"",IF(SUMPRODUCT((Sancoes!$A$2:$A$301=A64)*(Sancoes!$B$2:$B$301&lt;&gt;"Não consta")*(Sancoes!$D$2:$D$301&lt;&gt;"")*(Sancoes!$D$2:$D$301&lt;=F64)*(((Sancoes!$E$2:$E$301="")+(Sancoes!$E$2:$E$301&gt;=F64))&gt;0))&gt;0,"SANÇÃO VIGENTE NA DATA — leia o tipo e a abrangência",""))</f>
        <v/>
      </c>
      <c r="L64" s="19" t="str">
        <f aca="false">IF(A64="","",IFERROR(INDEX(Empresas!$B:$B,MATCH(A64,Empresas!$A:$A,0))&amp;"","cadastre o CNPJ em Empresas"))</f>
        <v/>
      </c>
      <c r="M64" s="27"/>
      <c r="N64" s="35"/>
      <c r="O64" s="37" t="str">
        <f aca="false">IF(OR(D64="",D64=0,N64=""),"",N64/D64)</f>
        <v/>
      </c>
      <c r="P64" s="19" t="str">
        <f aca="false">IF(O64="","",IF(O64&gt;0.25,"ACRÉSCIMO ACIMA DE 25% — conferir",""))</f>
        <v/>
      </c>
      <c r="Q64" s="27"/>
      <c r="R64" s="5"/>
    </row>
    <row r="65" customFormat="false" ht="15" hidden="false" customHeight="false" outlineLevel="0" collapsed="false">
      <c r="A65" s="27"/>
      <c r="B65" s="5"/>
      <c r="C65" s="5"/>
      <c r="D65" s="35"/>
      <c r="E65" s="14"/>
      <c r="F65" s="18"/>
      <c r="G65" s="31" t="str">
        <f aca="false">IF(A65="","",IFERROR(IF(INDEX(Empresas!$C:$C,MATCH(A65,Empresas!$A:$A,0))="","",INDEX(Empresas!$C:$C,MATCH(A65,Empresas!$A:$A,0))),""))</f>
        <v/>
      </c>
      <c r="H65" s="18"/>
      <c r="I65" s="19" t="str">
        <f aca="false">IF(OR(F65="",G65=""),"",IF(F65-G65&lt;0,"CONTRATO ANTERIOR À ABERTURA — conferir datas",IF(F65-G65&lt;180,"ABERTA MENOS DE 6 MESES ANTES","")))</f>
        <v/>
      </c>
      <c r="J65" s="19" t="str">
        <f aca="false">IF(A65="","",IFERROR(INDEX(Sancoes!$B:$B,MATCH(A65,Sancoes!$A:$A,0))&amp;"","não consta"))</f>
        <v/>
      </c>
      <c r="K65" s="19" t="str">
        <f aca="false">IF(OR(A65="",F65=""),"",IF(SUMPRODUCT((Sancoes!$A$2:$A$301=A65)*(Sancoes!$B$2:$B$301&lt;&gt;"Não consta")*(Sancoes!$D$2:$D$301&lt;&gt;"")*(Sancoes!$D$2:$D$301&lt;=F65)*(((Sancoes!$E$2:$E$301="")+(Sancoes!$E$2:$E$301&gt;=F65))&gt;0))&gt;0,"SANÇÃO VIGENTE NA DATA — leia o tipo e a abrangência",""))</f>
        <v/>
      </c>
      <c r="L65" s="19" t="str">
        <f aca="false">IF(A65="","",IFERROR(INDEX(Empresas!$B:$B,MATCH(A65,Empresas!$A:$A,0))&amp;"","cadastre o CNPJ em Empresas"))</f>
        <v/>
      </c>
      <c r="M65" s="27"/>
      <c r="N65" s="35"/>
      <c r="O65" s="37" t="str">
        <f aca="false">IF(OR(D65="",D65=0,N65=""),"",N65/D65)</f>
        <v/>
      </c>
      <c r="P65" s="19" t="str">
        <f aca="false">IF(O65="","",IF(O65&gt;0.25,"ACRÉSCIMO ACIMA DE 25% — conferir",""))</f>
        <v/>
      </c>
      <c r="Q65" s="27"/>
      <c r="R65" s="5"/>
    </row>
    <row r="66" customFormat="false" ht="15" hidden="false" customHeight="false" outlineLevel="0" collapsed="false">
      <c r="A66" s="27"/>
      <c r="B66" s="5"/>
      <c r="C66" s="5"/>
      <c r="D66" s="35"/>
      <c r="E66" s="14"/>
      <c r="F66" s="18"/>
      <c r="G66" s="31" t="str">
        <f aca="false">IF(A66="","",IFERROR(IF(INDEX(Empresas!$C:$C,MATCH(A66,Empresas!$A:$A,0))="","",INDEX(Empresas!$C:$C,MATCH(A66,Empresas!$A:$A,0))),""))</f>
        <v/>
      </c>
      <c r="H66" s="18"/>
      <c r="I66" s="19" t="str">
        <f aca="false">IF(OR(F66="",G66=""),"",IF(F66-G66&lt;0,"CONTRATO ANTERIOR À ABERTURA — conferir datas",IF(F66-G66&lt;180,"ABERTA MENOS DE 6 MESES ANTES","")))</f>
        <v/>
      </c>
      <c r="J66" s="19" t="str">
        <f aca="false">IF(A66="","",IFERROR(INDEX(Sancoes!$B:$B,MATCH(A66,Sancoes!$A:$A,0))&amp;"","não consta"))</f>
        <v/>
      </c>
      <c r="K66" s="19" t="str">
        <f aca="false">IF(OR(A66="",F66=""),"",IF(SUMPRODUCT((Sancoes!$A$2:$A$301=A66)*(Sancoes!$B$2:$B$301&lt;&gt;"Não consta")*(Sancoes!$D$2:$D$301&lt;&gt;"")*(Sancoes!$D$2:$D$301&lt;=F66)*(((Sancoes!$E$2:$E$301="")+(Sancoes!$E$2:$E$301&gt;=F66))&gt;0))&gt;0,"SANÇÃO VIGENTE NA DATA — leia o tipo e a abrangência",""))</f>
        <v/>
      </c>
      <c r="L66" s="19" t="str">
        <f aca="false">IF(A66="","",IFERROR(INDEX(Empresas!$B:$B,MATCH(A66,Empresas!$A:$A,0))&amp;"","cadastre o CNPJ em Empresas"))</f>
        <v/>
      </c>
      <c r="M66" s="27"/>
      <c r="N66" s="35"/>
      <c r="O66" s="37" t="str">
        <f aca="false">IF(OR(D66="",D66=0,N66=""),"",N66/D66)</f>
        <v/>
      </c>
      <c r="P66" s="19" t="str">
        <f aca="false">IF(O66="","",IF(O66&gt;0.25,"ACRÉSCIMO ACIMA DE 25% — conferir",""))</f>
        <v/>
      </c>
      <c r="Q66" s="27"/>
      <c r="R66" s="5"/>
    </row>
    <row r="67" customFormat="false" ht="15" hidden="false" customHeight="false" outlineLevel="0" collapsed="false">
      <c r="A67" s="27"/>
      <c r="B67" s="5"/>
      <c r="C67" s="5"/>
      <c r="D67" s="35"/>
      <c r="E67" s="14"/>
      <c r="F67" s="18"/>
      <c r="G67" s="31" t="str">
        <f aca="false">IF(A67="","",IFERROR(IF(INDEX(Empresas!$C:$C,MATCH(A67,Empresas!$A:$A,0))="","",INDEX(Empresas!$C:$C,MATCH(A67,Empresas!$A:$A,0))),""))</f>
        <v/>
      </c>
      <c r="H67" s="18"/>
      <c r="I67" s="19" t="str">
        <f aca="false">IF(OR(F67="",G67=""),"",IF(F67-G67&lt;0,"CONTRATO ANTERIOR À ABERTURA — conferir datas",IF(F67-G67&lt;180,"ABERTA MENOS DE 6 MESES ANTES","")))</f>
        <v/>
      </c>
      <c r="J67" s="19" t="str">
        <f aca="false">IF(A67="","",IFERROR(INDEX(Sancoes!$B:$B,MATCH(A67,Sancoes!$A:$A,0))&amp;"","não consta"))</f>
        <v/>
      </c>
      <c r="K67" s="19" t="str">
        <f aca="false">IF(OR(A67="",F67=""),"",IF(SUMPRODUCT((Sancoes!$A$2:$A$301=A67)*(Sancoes!$B$2:$B$301&lt;&gt;"Não consta")*(Sancoes!$D$2:$D$301&lt;&gt;"")*(Sancoes!$D$2:$D$301&lt;=F67)*(((Sancoes!$E$2:$E$301="")+(Sancoes!$E$2:$E$301&gt;=F67))&gt;0))&gt;0,"SANÇÃO VIGENTE NA DATA — leia o tipo e a abrangência",""))</f>
        <v/>
      </c>
      <c r="L67" s="19" t="str">
        <f aca="false">IF(A67="","",IFERROR(INDEX(Empresas!$B:$B,MATCH(A67,Empresas!$A:$A,0))&amp;"","cadastre o CNPJ em Empresas"))</f>
        <v/>
      </c>
      <c r="M67" s="27"/>
      <c r="N67" s="35"/>
      <c r="O67" s="37" t="str">
        <f aca="false">IF(OR(D67="",D67=0,N67=""),"",N67/D67)</f>
        <v/>
      </c>
      <c r="P67" s="19" t="str">
        <f aca="false">IF(O67="","",IF(O67&gt;0.25,"ACRÉSCIMO ACIMA DE 25% — conferir",""))</f>
        <v/>
      </c>
      <c r="Q67" s="27"/>
      <c r="R67" s="5"/>
    </row>
    <row r="68" customFormat="false" ht="15" hidden="false" customHeight="false" outlineLevel="0" collapsed="false">
      <c r="A68" s="27"/>
      <c r="B68" s="5"/>
      <c r="C68" s="5"/>
      <c r="D68" s="35"/>
      <c r="E68" s="14"/>
      <c r="F68" s="18"/>
      <c r="G68" s="31" t="str">
        <f aca="false">IF(A68="","",IFERROR(IF(INDEX(Empresas!$C:$C,MATCH(A68,Empresas!$A:$A,0))="","",INDEX(Empresas!$C:$C,MATCH(A68,Empresas!$A:$A,0))),""))</f>
        <v/>
      </c>
      <c r="H68" s="18"/>
      <c r="I68" s="19" t="str">
        <f aca="false">IF(OR(F68="",G68=""),"",IF(F68-G68&lt;0,"CONTRATO ANTERIOR À ABERTURA — conferir datas",IF(F68-G68&lt;180,"ABERTA MENOS DE 6 MESES ANTES","")))</f>
        <v/>
      </c>
      <c r="J68" s="19" t="str">
        <f aca="false">IF(A68="","",IFERROR(INDEX(Sancoes!$B:$B,MATCH(A68,Sancoes!$A:$A,0))&amp;"","não consta"))</f>
        <v/>
      </c>
      <c r="K68" s="19" t="str">
        <f aca="false">IF(OR(A68="",F68=""),"",IF(SUMPRODUCT((Sancoes!$A$2:$A$301=A68)*(Sancoes!$B$2:$B$301&lt;&gt;"Não consta")*(Sancoes!$D$2:$D$301&lt;&gt;"")*(Sancoes!$D$2:$D$301&lt;=F68)*(((Sancoes!$E$2:$E$301="")+(Sancoes!$E$2:$E$301&gt;=F68))&gt;0))&gt;0,"SANÇÃO VIGENTE NA DATA — leia o tipo e a abrangência",""))</f>
        <v/>
      </c>
      <c r="L68" s="19" t="str">
        <f aca="false">IF(A68="","",IFERROR(INDEX(Empresas!$B:$B,MATCH(A68,Empresas!$A:$A,0))&amp;"","cadastre o CNPJ em Empresas"))</f>
        <v/>
      </c>
      <c r="M68" s="27"/>
      <c r="N68" s="35"/>
      <c r="O68" s="37" t="str">
        <f aca="false">IF(OR(D68="",D68=0,N68=""),"",N68/D68)</f>
        <v/>
      </c>
      <c r="P68" s="19" t="str">
        <f aca="false">IF(O68="","",IF(O68&gt;0.25,"ACRÉSCIMO ACIMA DE 25% — conferir",""))</f>
        <v/>
      </c>
      <c r="Q68" s="27"/>
      <c r="R68" s="5"/>
    </row>
    <row r="69" customFormat="false" ht="15" hidden="false" customHeight="false" outlineLevel="0" collapsed="false">
      <c r="A69" s="27"/>
      <c r="B69" s="5"/>
      <c r="C69" s="5"/>
      <c r="D69" s="35"/>
      <c r="E69" s="14"/>
      <c r="F69" s="18"/>
      <c r="G69" s="31" t="str">
        <f aca="false">IF(A69="","",IFERROR(IF(INDEX(Empresas!$C:$C,MATCH(A69,Empresas!$A:$A,0))="","",INDEX(Empresas!$C:$C,MATCH(A69,Empresas!$A:$A,0))),""))</f>
        <v/>
      </c>
      <c r="H69" s="18"/>
      <c r="I69" s="19" t="str">
        <f aca="false">IF(OR(F69="",G69=""),"",IF(F69-G69&lt;0,"CONTRATO ANTERIOR À ABERTURA — conferir datas",IF(F69-G69&lt;180,"ABERTA MENOS DE 6 MESES ANTES","")))</f>
        <v/>
      </c>
      <c r="J69" s="19" t="str">
        <f aca="false">IF(A69="","",IFERROR(INDEX(Sancoes!$B:$B,MATCH(A69,Sancoes!$A:$A,0))&amp;"","não consta"))</f>
        <v/>
      </c>
      <c r="K69" s="19" t="str">
        <f aca="false">IF(OR(A69="",F69=""),"",IF(SUMPRODUCT((Sancoes!$A$2:$A$301=A69)*(Sancoes!$B$2:$B$301&lt;&gt;"Não consta")*(Sancoes!$D$2:$D$301&lt;&gt;"")*(Sancoes!$D$2:$D$301&lt;=F69)*(((Sancoes!$E$2:$E$301="")+(Sancoes!$E$2:$E$301&gt;=F69))&gt;0))&gt;0,"SANÇÃO VIGENTE NA DATA — leia o tipo e a abrangência",""))</f>
        <v/>
      </c>
      <c r="L69" s="19" t="str">
        <f aca="false">IF(A69="","",IFERROR(INDEX(Empresas!$B:$B,MATCH(A69,Empresas!$A:$A,0))&amp;"","cadastre o CNPJ em Empresas"))</f>
        <v/>
      </c>
      <c r="M69" s="27"/>
      <c r="N69" s="35"/>
      <c r="O69" s="37" t="str">
        <f aca="false">IF(OR(D69="",D69=0,N69=""),"",N69/D69)</f>
        <v/>
      </c>
      <c r="P69" s="19" t="str">
        <f aca="false">IF(O69="","",IF(O69&gt;0.25,"ACRÉSCIMO ACIMA DE 25% — conferir",""))</f>
        <v/>
      </c>
      <c r="Q69" s="27"/>
      <c r="R69" s="5"/>
    </row>
    <row r="70" customFormat="false" ht="15" hidden="false" customHeight="false" outlineLevel="0" collapsed="false">
      <c r="A70" s="27"/>
      <c r="B70" s="5"/>
      <c r="C70" s="5"/>
      <c r="D70" s="35"/>
      <c r="E70" s="14"/>
      <c r="F70" s="18"/>
      <c r="G70" s="31" t="str">
        <f aca="false">IF(A70="","",IFERROR(IF(INDEX(Empresas!$C:$C,MATCH(A70,Empresas!$A:$A,0))="","",INDEX(Empresas!$C:$C,MATCH(A70,Empresas!$A:$A,0))),""))</f>
        <v/>
      </c>
      <c r="H70" s="18"/>
      <c r="I70" s="19" t="str">
        <f aca="false">IF(OR(F70="",G70=""),"",IF(F70-G70&lt;0,"CONTRATO ANTERIOR À ABERTURA — conferir datas",IF(F70-G70&lt;180,"ABERTA MENOS DE 6 MESES ANTES","")))</f>
        <v/>
      </c>
      <c r="J70" s="19" t="str">
        <f aca="false">IF(A70="","",IFERROR(INDEX(Sancoes!$B:$B,MATCH(A70,Sancoes!$A:$A,0))&amp;"","não consta"))</f>
        <v/>
      </c>
      <c r="K70" s="19" t="str">
        <f aca="false">IF(OR(A70="",F70=""),"",IF(SUMPRODUCT((Sancoes!$A$2:$A$301=A70)*(Sancoes!$B$2:$B$301&lt;&gt;"Não consta")*(Sancoes!$D$2:$D$301&lt;&gt;"")*(Sancoes!$D$2:$D$301&lt;=F70)*(((Sancoes!$E$2:$E$301="")+(Sancoes!$E$2:$E$301&gt;=F70))&gt;0))&gt;0,"SANÇÃO VIGENTE NA DATA — leia o tipo e a abrangência",""))</f>
        <v/>
      </c>
      <c r="L70" s="19" t="str">
        <f aca="false">IF(A70="","",IFERROR(INDEX(Empresas!$B:$B,MATCH(A70,Empresas!$A:$A,0))&amp;"","cadastre o CNPJ em Empresas"))</f>
        <v/>
      </c>
      <c r="M70" s="27"/>
      <c r="N70" s="35"/>
      <c r="O70" s="37" t="str">
        <f aca="false">IF(OR(D70="",D70=0,N70=""),"",N70/D70)</f>
        <v/>
      </c>
      <c r="P70" s="19" t="str">
        <f aca="false">IF(O70="","",IF(O70&gt;0.25,"ACRÉSCIMO ACIMA DE 25% — conferir",""))</f>
        <v/>
      </c>
      <c r="Q70" s="27"/>
      <c r="R70" s="5"/>
    </row>
    <row r="71" customFormat="false" ht="15" hidden="false" customHeight="false" outlineLevel="0" collapsed="false">
      <c r="A71" s="27"/>
      <c r="B71" s="5"/>
      <c r="C71" s="5"/>
      <c r="D71" s="35"/>
      <c r="E71" s="14"/>
      <c r="F71" s="18"/>
      <c r="G71" s="31" t="str">
        <f aca="false">IF(A71="","",IFERROR(IF(INDEX(Empresas!$C:$C,MATCH(A71,Empresas!$A:$A,0))="","",INDEX(Empresas!$C:$C,MATCH(A71,Empresas!$A:$A,0))),""))</f>
        <v/>
      </c>
      <c r="H71" s="18"/>
      <c r="I71" s="19" t="str">
        <f aca="false">IF(OR(F71="",G71=""),"",IF(F71-G71&lt;0,"CONTRATO ANTERIOR À ABERTURA — conferir datas",IF(F71-G71&lt;180,"ABERTA MENOS DE 6 MESES ANTES","")))</f>
        <v/>
      </c>
      <c r="J71" s="19" t="str">
        <f aca="false">IF(A71="","",IFERROR(INDEX(Sancoes!$B:$B,MATCH(A71,Sancoes!$A:$A,0))&amp;"","não consta"))</f>
        <v/>
      </c>
      <c r="K71" s="19" t="str">
        <f aca="false">IF(OR(A71="",F71=""),"",IF(SUMPRODUCT((Sancoes!$A$2:$A$301=A71)*(Sancoes!$B$2:$B$301&lt;&gt;"Não consta")*(Sancoes!$D$2:$D$301&lt;&gt;"")*(Sancoes!$D$2:$D$301&lt;=F71)*(((Sancoes!$E$2:$E$301="")+(Sancoes!$E$2:$E$301&gt;=F71))&gt;0))&gt;0,"SANÇÃO VIGENTE NA DATA — leia o tipo e a abrangência",""))</f>
        <v/>
      </c>
      <c r="L71" s="19" t="str">
        <f aca="false">IF(A71="","",IFERROR(INDEX(Empresas!$B:$B,MATCH(A71,Empresas!$A:$A,0))&amp;"","cadastre o CNPJ em Empresas"))</f>
        <v/>
      </c>
      <c r="M71" s="27"/>
      <c r="N71" s="35"/>
      <c r="O71" s="37" t="str">
        <f aca="false">IF(OR(D71="",D71=0,N71=""),"",N71/D71)</f>
        <v/>
      </c>
      <c r="P71" s="19" t="str">
        <f aca="false">IF(O71="","",IF(O71&gt;0.25,"ACRÉSCIMO ACIMA DE 25% — conferir",""))</f>
        <v/>
      </c>
      <c r="Q71" s="27"/>
      <c r="R71" s="5"/>
    </row>
    <row r="72" customFormat="false" ht="15" hidden="false" customHeight="false" outlineLevel="0" collapsed="false">
      <c r="A72" s="27"/>
      <c r="B72" s="5"/>
      <c r="C72" s="5"/>
      <c r="D72" s="35"/>
      <c r="E72" s="14"/>
      <c r="F72" s="18"/>
      <c r="G72" s="31" t="str">
        <f aca="false">IF(A72="","",IFERROR(IF(INDEX(Empresas!$C:$C,MATCH(A72,Empresas!$A:$A,0))="","",INDEX(Empresas!$C:$C,MATCH(A72,Empresas!$A:$A,0))),""))</f>
        <v/>
      </c>
      <c r="H72" s="18"/>
      <c r="I72" s="19" t="str">
        <f aca="false">IF(OR(F72="",G72=""),"",IF(F72-G72&lt;0,"CONTRATO ANTERIOR À ABERTURA — conferir datas",IF(F72-G72&lt;180,"ABERTA MENOS DE 6 MESES ANTES","")))</f>
        <v/>
      </c>
      <c r="J72" s="19" t="str">
        <f aca="false">IF(A72="","",IFERROR(INDEX(Sancoes!$B:$B,MATCH(A72,Sancoes!$A:$A,0))&amp;"","não consta"))</f>
        <v/>
      </c>
      <c r="K72" s="19" t="str">
        <f aca="false">IF(OR(A72="",F72=""),"",IF(SUMPRODUCT((Sancoes!$A$2:$A$301=A72)*(Sancoes!$B$2:$B$301&lt;&gt;"Não consta")*(Sancoes!$D$2:$D$301&lt;&gt;"")*(Sancoes!$D$2:$D$301&lt;=F72)*(((Sancoes!$E$2:$E$301="")+(Sancoes!$E$2:$E$301&gt;=F72))&gt;0))&gt;0,"SANÇÃO VIGENTE NA DATA — leia o tipo e a abrangência",""))</f>
        <v/>
      </c>
      <c r="L72" s="19" t="str">
        <f aca="false">IF(A72="","",IFERROR(INDEX(Empresas!$B:$B,MATCH(A72,Empresas!$A:$A,0))&amp;"","cadastre o CNPJ em Empresas"))</f>
        <v/>
      </c>
      <c r="M72" s="27"/>
      <c r="N72" s="35"/>
      <c r="O72" s="37" t="str">
        <f aca="false">IF(OR(D72="",D72=0,N72=""),"",N72/D72)</f>
        <v/>
      </c>
      <c r="P72" s="19" t="str">
        <f aca="false">IF(O72="","",IF(O72&gt;0.25,"ACRÉSCIMO ACIMA DE 25% — conferir",""))</f>
        <v/>
      </c>
      <c r="Q72" s="27"/>
      <c r="R72" s="5"/>
    </row>
    <row r="73" customFormat="false" ht="15" hidden="false" customHeight="false" outlineLevel="0" collapsed="false">
      <c r="A73" s="27"/>
      <c r="B73" s="5"/>
      <c r="C73" s="5"/>
      <c r="D73" s="35"/>
      <c r="E73" s="14"/>
      <c r="F73" s="18"/>
      <c r="G73" s="31" t="str">
        <f aca="false">IF(A73="","",IFERROR(IF(INDEX(Empresas!$C:$C,MATCH(A73,Empresas!$A:$A,0))="","",INDEX(Empresas!$C:$C,MATCH(A73,Empresas!$A:$A,0))),""))</f>
        <v/>
      </c>
      <c r="H73" s="18"/>
      <c r="I73" s="19" t="str">
        <f aca="false">IF(OR(F73="",G73=""),"",IF(F73-G73&lt;0,"CONTRATO ANTERIOR À ABERTURA — conferir datas",IF(F73-G73&lt;180,"ABERTA MENOS DE 6 MESES ANTES","")))</f>
        <v/>
      </c>
      <c r="J73" s="19" t="str">
        <f aca="false">IF(A73="","",IFERROR(INDEX(Sancoes!$B:$B,MATCH(A73,Sancoes!$A:$A,0))&amp;"","não consta"))</f>
        <v/>
      </c>
      <c r="K73" s="19" t="str">
        <f aca="false">IF(OR(A73="",F73=""),"",IF(SUMPRODUCT((Sancoes!$A$2:$A$301=A73)*(Sancoes!$B$2:$B$301&lt;&gt;"Não consta")*(Sancoes!$D$2:$D$301&lt;&gt;"")*(Sancoes!$D$2:$D$301&lt;=F73)*(((Sancoes!$E$2:$E$301="")+(Sancoes!$E$2:$E$301&gt;=F73))&gt;0))&gt;0,"SANÇÃO VIGENTE NA DATA — leia o tipo e a abrangência",""))</f>
        <v/>
      </c>
      <c r="L73" s="19" t="str">
        <f aca="false">IF(A73="","",IFERROR(INDEX(Empresas!$B:$B,MATCH(A73,Empresas!$A:$A,0))&amp;"","cadastre o CNPJ em Empresas"))</f>
        <v/>
      </c>
      <c r="M73" s="27"/>
      <c r="N73" s="35"/>
      <c r="O73" s="37" t="str">
        <f aca="false">IF(OR(D73="",D73=0,N73=""),"",N73/D73)</f>
        <v/>
      </c>
      <c r="P73" s="19" t="str">
        <f aca="false">IF(O73="","",IF(O73&gt;0.25,"ACRÉSCIMO ACIMA DE 25% — conferir",""))</f>
        <v/>
      </c>
      <c r="Q73" s="27"/>
      <c r="R73" s="5"/>
    </row>
    <row r="74" customFormat="false" ht="15" hidden="false" customHeight="false" outlineLevel="0" collapsed="false">
      <c r="A74" s="27"/>
      <c r="B74" s="5"/>
      <c r="C74" s="5"/>
      <c r="D74" s="35"/>
      <c r="E74" s="14"/>
      <c r="F74" s="18"/>
      <c r="G74" s="31" t="str">
        <f aca="false">IF(A74="","",IFERROR(IF(INDEX(Empresas!$C:$C,MATCH(A74,Empresas!$A:$A,0))="","",INDEX(Empresas!$C:$C,MATCH(A74,Empresas!$A:$A,0))),""))</f>
        <v/>
      </c>
      <c r="H74" s="18"/>
      <c r="I74" s="19" t="str">
        <f aca="false">IF(OR(F74="",G74=""),"",IF(F74-G74&lt;0,"CONTRATO ANTERIOR À ABERTURA — conferir datas",IF(F74-G74&lt;180,"ABERTA MENOS DE 6 MESES ANTES","")))</f>
        <v/>
      </c>
      <c r="J74" s="19" t="str">
        <f aca="false">IF(A74="","",IFERROR(INDEX(Sancoes!$B:$B,MATCH(A74,Sancoes!$A:$A,0))&amp;"","não consta"))</f>
        <v/>
      </c>
      <c r="K74" s="19" t="str">
        <f aca="false">IF(OR(A74="",F74=""),"",IF(SUMPRODUCT((Sancoes!$A$2:$A$301=A74)*(Sancoes!$B$2:$B$301&lt;&gt;"Não consta")*(Sancoes!$D$2:$D$301&lt;&gt;"")*(Sancoes!$D$2:$D$301&lt;=F74)*(((Sancoes!$E$2:$E$301="")+(Sancoes!$E$2:$E$301&gt;=F74))&gt;0))&gt;0,"SANÇÃO VIGENTE NA DATA — leia o tipo e a abrangência",""))</f>
        <v/>
      </c>
      <c r="L74" s="19" t="str">
        <f aca="false">IF(A74="","",IFERROR(INDEX(Empresas!$B:$B,MATCH(A74,Empresas!$A:$A,0))&amp;"","cadastre o CNPJ em Empresas"))</f>
        <v/>
      </c>
      <c r="M74" s="27"/>
      <c r="N74" s="35"/>
      <c r="O74" s="37" t="str">
        <f aca="false">IF(OR(D74="",D74=0,N74=""),"",N74/D74)</f>
        <v/>
      </c>
      <c r="P74" s="19" t="str">
        <f aca="false">IF(O74="","",IF(O74&gt;0.25,"ACRÉSCIMO ACIMA DE 25% — conferir",""))</f>
        <v/>
      </c>
      <c r="Q74" s="27"/>
      <c r="R74" s="5"/>
    </row>
    <row r="75" customFormat="false" ht="15" hidden="false" customHeight="false" outlineLevel="0" collapsed="false">
      <c r="A75" s="27"/>
      <c r="B75" s="5"/>
      <c r="C75" s="5"/>
      <c r="D75" s="35"/>
      <c r="E75" s="14"/>
      <c r="F75" s="18"/>
      <c r="G75" s="31" t="str">
        <f aca="false">IF(A75="","",IFERROR(IF(INDEX(Empresas!$C:$C,MATCH(A75,Empresas!$A:$A,0))="","",INDEX(Empresas!$C:$C,MATCH(A75,Empresas!$A:$A,0))),""))</f>
        <v/>
      </c>
      <c r="H75" s="18"/>
      <c r="I75" s="19" t="str">
        <f aca="false">IF(OR(F75="",G75=""),"",IF(F75-G75&lt;0,"CONTRATO ANTERIOR À ABERTURA — conferir datas",IF(F75-G75&lt;180,"ABERTA MENOS DE 6 MESES ANTES","")))</f>
        <v/>
      </c>
      <c r="J75" s="19" t="str">
        <f aca="false">IF(A75="","",IFERROR(INDEX(Sancoes!$B:$B,MATCH(A75,Sancoes!$A:$A,0))&amp;"","não consta"))</f>
        <v/>
      </c>
      <c r="K75" s="19" t="str">
        <f aca="false">IF(OR(A75="",F75=""),"",IF(SUMPRODUCT((Sancoes!$A$2:$A$301=A75)*(Sancoes!$B$2:$B$301&lt;&gt;"Não consta")*(Sancoes!$D$2:$D$301&lt;&gt;"")*(Sancoes!$D$2:$D$301&lt;=F75)*(((Sancoes!$E$2:$E$301="")+(Sancoes!$E$2:$E$301&gt;=F75))&gt;0))&gt;0,"SANÇÃO VIGENTE NA DATA — leia o tipo e a abrangência",""))</f>
        <v/>
      </c>
      <c r="L75" s="19" t="str">
        <f aca="false">IF(A75="","",IFERROR(INDEX(Empresas!$B:$B,MATCH(A75,Empresas!$A:$A,0))&amp;"","cadastre o CNPJ em Empresas"))</f>
        <v/>
      </c>
      <c r="M75" s="27"/>
      <c r="N75" s="35"/>
      <c r="O75" s="37" t="str">
        <f aca="false">IF(OR(D75="",D75=0,N75=""),"",N75/D75)</f>
        <v/>
      </c>
      <c r="P75" s="19" t="str">
        <f aca="false">IF(O75="","",IF(O75&gt;0.25,"ACRÉSCIMO ACIMA DE 25% — conferir",""))</f>
        <v/>
      </c>
      <c r="Q75" s="27"/>
      <c r="R75" s="5"/>
    </row>
    <row r="76" customFormat="false" ht="15" hidden="false" customHeight="false" outlineLevel="0" collapsed="false">
      <c r="A76" s="27"/>
      <c r="B76" s="5"/>
      <c r="C76" s="5"/>
      <c r="D76" s="35"/>
      <c r="E76" s="14"/>
      <c r="F76" s="18"/>
      <c r="G76" s="31" t="str">
        <f aca="false">IF(A76="","",IFERROR(IF(INDEX(Empresas!$C:$C,MATCH(A76,Empresas!$A:$A,0))="","",INDEX(Empresas!$C:$C,MATCH(A76,Empresas!$A:$A,0))),""))</f>
        <v/>
      </c>
      <c r="H76" s="18"/>
      <c r="I76" s="19" t="str">
        <f aca="false">IF(OR(F76="",G76=""),"",IF(F76-G76&lt;0,"CONTRATO ANTERIOR À ABERTURA — conferir datas",IF(F76-G76&lt;180,"ABERTA MENOS DE 6 MESES ANTES","")))</f>
        <v/>
      </c>
      <c r="J76" s="19" t="str">
        <f aca="false">IF(A76="","",IFERROR(INDEX(Sancoes!$B:$B,MATCH(A76,Sancoes!$A:$A,0))&amp;"","não consta"))</f>
        <v/>
      </c>
      <c r="K76" s="19" t="str">
        <f aca="false">IF(OR(A76="",F76=""),"",IF(SUMPRODUCT((Sancoes!$A$2:$A$301=A76)*(Sancoes!$B$2:$B$301&lt;&gt;"Não consta")*(Sancoes!$D$2:$D$301&lt;&gt;"")*(Sancoes!$D$2:$D$301&lt;=F76)*(((Sancoes!$E$2:$E$301="")+(Sancoes!$E$2:$E$301&gt;=F76))&gt;0))&gt;0,"SANÇÃO VIGENTE NA DATA — leia o tipo e a abrangência",""))</f>
        <v/>
      </c>
      <c r="L76" s="19" t="str">
        <f aca="false">IF(A76="","",IFERROR(INDEX(Empresas!$B:$B,MATCH(A76,Empresas!$A:$A,0))&amp;"","cadastre o CNPJ em Empresas"))</f>
        <v/>
      </c>
      <c r="M76" s="27"/>
      <c r="N76" s="35"/>
      <c r="O76" s="37" t="str">
        <f aca="false">IF(OR(D76="",D76=0,N76=""),"",N76/D76)</f>
        <v/>
      </c>
      <c r="P76" s="19" t="str">
        <f aca="false">IF(O76="","",IF(O76&gt;0.25,"ACRÉSCIMO ACIMA DE 25% — conferir",""))</f>
        <v/>
      </c>
      <c r="Q76" s="27"/>
      <c r="R76" s="5"/>
    </row>
    <row r="77" customFormat="false" ht="15" hidden="false" customHeight="false" outlineLevel="0" collapsed="false">
      <c r="A77" s="27"/>
      <c r="B77" s="5"/>
      <c r="C77" s="5"/>
      <c r="D77" s="35"/>
      <c r="E77" s="14"/>
      <c r="F77" s="18"/>
      <c r="G77" s="31" t="str">
        <f aca="false">IF(A77="","",IFERROR(IF(INDEX(Empresas!$C:$C,MATCH(A77,Empresas!$A:$A,0))="","",INDEX(Empresas!$C:$C,MATCH(A77,Empresas!$A:$A,0))),""))</f>
        <v/>
      </c>
      <c r="H77" s="18"/>
      <c r="I77" s="19" t="str">
        <f aca="false">IF(OR(F77="",G77=""),"",IF(F77-G77&lt;0,"CONTRATO ANTERIOR À ABERTURA — conferir datas",IF(F77-G77&lt;180,"ABERTA MENOS DE 6 MESES ANTES","")))</f>
        <v/>
      </c>
      <c r="J77" s="19" t="str">
        <f aca="false">IF(A77="","",IFERROR(INDEX(Sancoes!$B:$B,MATCH(A77,Sancoes!$A:$A,0))&amp;"","não consta"))</f>
        <v/>
      </c>
      <c r="K77" s="19" t="str">
        <f aca="false">IF(OR(A77="",F77=""),"",IF(SUMPRODUCT((Sancoes!$A$2:$A$301=A77)*(Sancoes!$B$2:$B$301&lt;&gt;"Não consta")*(Sancoes!$D$2:$D$301&lt;&gt;"")*(Sancoes!$D$2:$D$301&lt;=F77)*(((Sancoes!$E$2:$E$301="")+(Sancoes!$E$2:$E$301&gt;=F77))&gt;0))&gt;0,"SANÇÃO VIGENTE NA DATA — leia o tipo e a abrangência",""))</f>
        <v/>
      </c>
      <c r="L77" s="19" t="str">
        <f aca="false">IF(A77="","",IFERROR(INDEX(Empresas!$B:$B,MATCH(A77,Empresas!$A:$A,0))&amp;"","cadastre o CNPJ em Empresas"))</f>
        <v/>
      </c>
      <c r="M77" s="27"/>
      <c r="N77" s="35"/>
      <c r="O77" s="37" t="str">
        <f aca="false">IF(OR(D77="",D77=0,N77=""),"",N77/D77)</f>
        <v/>
      </c>
      <c r="P77" s="19" t="str">
        <f aca="false">IF(O77="","",IF(O77&gt;0.25,"ACRÉSCIMO ACIMA DE 25% — conferir",""))</f>
        <v/>
      </c>
      <c r="Q77" s="27"/>
      <c r="R77" s="5"/>
    </row>
    <row r="78" customFormat="false" ht="15" hidden="false" customHeight="false" outlineLevel="0" collapsed="false">
      <c r="A78" s="27"/>
      <c r="B78" s="5"/>
      <c r="C78" s="5"/>
      <c r="D78" s="35"/>
      <c r="E78" s="14"/>
      <c r="F78" s="18"/>
      <c r="G78" s="31" t="str">
        <f aca="false">IF(A78="","",IFERROR(IF(INDEX(Empresas!$C:$C,MATCH(A78,Empresas!$A:$A,0))="","",INDEX(Empresas!$C:$C,MATCH(A78,Empresas!$A:$A,0))),""))</f>
        <v/>
      </c>
      <c r="H78" s="18"/>
      <c r="I78" s="19" t="str">
        <f aca="false">IF(OR(F78="",G78=""),"",IF(F78-G78&lt;0,"CONTRATO ANTERIOR À ABERTURA — conferir datas",IF(F78-G78&lt;180,"ABERTA MENOS DE 6 MESES ANTES","")))</f>
        <v/>
      </c>
      <c r="J78" s="19" t="str">
        <f aca="false">IF(A78="","",IFERROR(INDEX(Sancoes!$B:$B,MATCH(A78,Sancoes!$A:$A,0))&amp;"","não consta"))</f>
        <v/>
      </c>
      <c r="K78" s="19" t="str">
        <f aca="false">IF(OR(A78="",F78=""),"",IF(SUMPRODUCT((Sancoes!$A$2:$A$301=A78)*(Sancoes!$B$2:$B$301&lt;&gt;"Não consta")*(Sancoes!$D$2:$D$301&lt;&gt;"")*(Sancoes!$D$2:$D$301&lt;=F78)*(((Sancoes!$E$2:$E$301="")+(Sancoes!$E$2:$E$301&gt;=F78))&gt;0))&gt;0,"SANÇÃO VIGENTE NA DATA — leia o tipo e a abrangência",""))</f>
        <v/>
      </c>
      <c r="L78" s="19" t="str">
        <f aca="false">IF(A78="","",IFERROR(INDEX(Empresas!$B:$B,MATCH(A78,Empresas!$A:$A,0))&amp;"","cadastre o CNPJ em Empresas"))</f>
        <v/>
      </c>
      <c r="M78" s="27"/>
      <c r="N78" s="35"/>
      <c r="O78" s="37" t="str">
        <f aca="false">IF(OR(D78="",D78=0,N78=""),"",N78/D78)</f>
        <v/>
      </c>
      <c r="P78" s="19" t="str">
        <f aca="false">IF(O78="","",IF(O78&gt;0.25,"ACRÉSCIMO ACIMA DE 25% — conferir",""))</f>
        <v/>
      </c>
      <c r="Q78" s="27"/>
      <c r="R78" s="5"/>
    </row>
    <row r="79" customFormat="false" ht="15" hidden="false" customHeight="false" outlineLevel="0" collapsed="false">
      <c r="A79" s="27"/>
      <c r="B79" s="5"/>
      <c r="C79" s="5"/>
      <c r="D79" s="35"/>
      <c r="E79" s="14"/>
      <c r="F79" s="18"/>
      <c r="G79" s="31" t="str">
        <f aca="false">IF(A79="","",IFERROR(IF(INDEX(Empresas!$C:$C,MATCH(A79,Empresas!$A:$A,0))="","",INDEX(Empresas!$C:$C,MATCH(A79,Empresas!$A:$A,0))),""))</f>
        <v/>
      </c>
      <c r="H79" s="18"/>
      <c r="I79" s="19" t="str">
        <f aca="false">IF(OR(F79="",G79=""),"",IF(F79-G79&lt;0,"CONTRATO ANTERIOR À ABERTURA — conferir datas",IF(F79-G79&lt;180,"ABERTA MENOS DE 6 MESES ANTES","")))</f>
        <v/>
      </c>
      <c r="J79" s="19" t="str">
        <f aca="false">IF(A79="","",IFERROR(INDEX(Sancoes!$B:$B,MATCH(A79,Sancoes!$A:$A,0))&amp;"","não consta"))</f>
        <v/>
      </c>
      <c r="K79" s="19" t="str">
        <f aca="false">IF(OR(A79="",F79=""),"",IF(SUMPRODUCT((Sancoes!$A$2:$A$301=A79)*(Sancoes!$B$2:$B$301&lt;&gt;"Não consta")*(Sancoes!$D$2:$D$301&lt;&gt;"")*(Sancoes!$D$2:$D$301&lt;=F79)*(((Sancoes!$E$2:$E$301="")+(Sancoes!$E$2:$E$301&gt;=F79))&gt;0))&gt;0,"SANÇÃO VIGENTE NA DATA — leia o tipo e a abrangência",""))</f>
        <v/>
      </c>
      <c r="L79" s="19" t="str">
        <f aca="false">IF(A79="","",IFERROR(INDEX(Empresas!$B:$B,MATCH(A79,Empresas!$A:$A,0))&amp;"","cadastre o CNPJ em Empresas"))</f>
        <v/>
      </c>
      <c r="M79" s="27"/>
      <c r="N79" s="35"/>
      <c r="O79" s="37" t="str">
        <f aca="false">IF(OR(D79="",D79=0,N79=""),"",N79/D79)</f>
        <v/>
      </c>
      <c r="P79" s="19" t="str">
        <f aca="false">IF(O79="","",IF(O79&gt;0.25,"ACRÉSCIMO ACIMA DE 25% — conferir",""))</f>
        <v/>
      </c>
      <c r="Q79" s="27"/>
      <c r="R79" s="5"/>
    </row>
    <row r="80" customFormat="false" ht="15" hidden="false" customHeight="false" outlineLevel="0" collapsed="false">
      <c r="A80" s="27"/>
      <c r="B80" s="5"/>
      <c r="C80" s="5"/>
      <c r="D80" s="35"/>
      <c r="E80" s="14"/>
      <c r="F80" s="18"/>
      <c r="G80" s="31" t="str">
        <f aca="false">IF(A80="","",IFERROR(IF(INDEX(Empresas!$C:$C,MATCH(A80,Empresas!$A:$A,0))="","",INDEX(Empresas!$C:$C,MATCH(A80,Empresas!$A:$A,0))),""))</f>
        <v/>
      </c>
      <c r="H80" s="18"/>
      <c r="I80" s="19" t="str">
        <f aca="false">IF(OR(F80="",G80=""),"",IF(F80-G80&lt;0,"CONTRATO ANTERIOR À ABERTURA — conferir datas",IF(F80-G80&lt;180,"ABERTA MENOS DE 6 MESES ANTES","")))</f>
        <v/>
      </c>
      <c r="J80" s="19" t="str">
        <f aca="false">IF(A80="","",IFERROR(INDEX(Sancoes!$B:$B,MATCH(A80,Sancoes!$A:$A,0))&amp;"","não consta"))</f>
        <v/>
      </c>
      <c r="K80" s="19" t="str">
        <f aca="false">IF(OR(A80="",F80=""),"",IF(SUMPRODUCT((Sancoes!$A$2:$A$301=A80)*(Sancoes!$B$2:$B$301&lt;&gt;"Não consta")*(Sancoes!$D$2:$D$301&lt;&gt;"")*(Sancoes!$D$2:$D$301&lt;=F80)*(((Sancoes!$E$2:$E$301="")+(Sancoes!$E$2:$E$301&gt;=F80))&gt;0))&gt;0,"SANÇÃO VIGENTE NA DATA — leia o tipo e a abrangência",""))</f>
        <v/>
      </c>
      <c r="L80" s="19" t="str">
        <f aca="false">IF(A80="","",IFERROR(INDEX(Empresas!$B:$B,MATCH(A80,Empresas!$A:$A,0))&amp;"","cadastre o CNPJ em Empresas"))</f>
        <v/>
      </c>
      <c r="M80" s="27"/>
      <c r="N80" s="35"/>
      <c r="O80" s="37" t="str">
        <f aca="false">IF(OR(D80="",D80=0,N80=""),"",N80/D80)</f>
        <v/>
      </c>
      <c r="P80" s="19" t="str">
        <f aca="false">IF(O80="","",IF(O80&gt;0.25,"ACRÉSCIMO ACIMA DE 25% — conferir",""))</f>
        <v/>
      </c>
      <c r="Q80" s="27"/>
      <c r="R80" s="5"/>
    </row>
    <row r="81" customFormat="false" ht="15" hidden="false" customHeight="false" outlineLevel="0" collapsed="false">
      <c r="A81" s="27"/>
      <c r="B81" s="5"/>
      <c r="C81" s="5"/>
      <c r="D81" s="35"/>
      <c r="E81" s="14"/>
      <c r="F81" s="18"/>
      <c r="G81" s="31" t="str">
        <f aca="false">IF(A81="","",IFERROR(IF(INDEX(Empresas!$C:$C,MATCH(A81,Empresas!$A:$A,0))="","",INDEX(Empresas!$C:$C,MATCH(A81,Empresas!$A:$A,0))),""))</f>
        <v/>
      </c>
      <c r="H81" s="18"/>
      <c r="I81" s="19" t="str">
        <f aca="false">IF(OR(F81="",G81=""),"",IF(F81-G81&lt;0,"CONTRATO ANTERIOR À ABERTURA — conferir datas",IF(F81-G81&lt;180,"ABERTA MENOS DE 6 MESES ANTES","")))</f>
        <v/>
      </c>
      <c r="J81" s="19" t="str">
        <f aca="false">IF(A81="","",IFERROR(INDEX(Sancoes!$B:$B,MATCH(A81,Sancoes!$A:$A,0))&amp;"","não consta"))</f>
        <v/>
      </c>
      <c r="K81" s="19" t="str">
        <f aca="false">IF(OR(A81="",F81=""),"",IF(SUMPRODUCT((Sancoes!$A$2:$A$301=A81)*(Sancoes!$B$2:$B$301&lt;&gt;"Não consta")*(Sancoes!$D$2:$D$301&lt;&gt;"")*(Sancoes!$D$2:$D$301&lt;=F81)*(((Sancoes!$E$2:$E$301="")+(Sancoes!$E$2:$E$301&gt;=F81))&gt;0))&gt;0,"SANÇÃO VIGENTE NA DATA — leia o tipo e a abrangência",""))</f>
        <v/>
      </c>
      <c r="L81" s="19" t="str">
        <f aca="false">IF(A81="","",IFERROR(INDEX(Empresas!$B:$B,MATCH(A81,Empresas!$A:$A,0))&amp;"","cadastre o CNPJ em Empresas"))</f>
        <v/>
      </c>
      <c r="M81" s="27"/>
      <c r="N81" s="35"/>
      <c r="O81" s="37" t="str">
        <f aca="false">IF(OR(D81="",D81=0,N81=""),"",N81/D81)</f>
        <v/>
      </c>
      <c r="P81" s="19" t="str">
        <f aca="false">IF(O81="","",IF(O81&gt;0.25,"ACRÉSCIMO ACIMA DE 25% — conferir",""))</f>
        <v/>
      </c>
      <c r="Q81" s="27"/>
      <c r="R81" s="5"/>
    </row>
    <row r="82" customFormat="false" ht="15" hidden="false" customHeight="false" outlineLevel="0" collapsed="false">
      <c r="A82" s="27"/>
      <c r="B82" s="5"/>
      <c r="C82" s="5"/>
      <c r="D82" s="35"/>
      <c r="E82" s="14"/>
      <c r="F82" s="18"/>
      <c r="G82" s="31" t="str">
        <f aca="false">IF(A82="","",IFERROR(IF(INDEX(Empresas!$C:$C,MATCH(A82,Empresas!$A:$A,0))="","",INDEX(Empresas!$C:$C,MATCH(A82,Empresas!$A:$A,0))),""))</f>
        <v/>
      </c>
      <c r="H82" s="18"/>
      <c r="I82" s="19" t="str">
        <f aca="false">IF(OR(F82="",G82=""),"",IF(F82-G82&lt;0,"CONTRATO ANTERIOR À ABERTURA — conferir datas",IF(F82-G82&lt;180,"ABERTA MENOS DE 6 MESES ANTES","")))</f>
        <v/>
      </c>
      <c r="J82" s="19" t="str">
        <f aca="false">IF(A82="","",IFERROR(INDEX(Sancoes!$B:$B,MATCH(A82,Sancoes!$A:$A,0))&amp;"","não consta"))</f>
        <v/>
      </c>
      <c r="K82" s="19" t="str">
        <f aca="false">IF(OR(A82="",F82=""),"",IF(SUMPRODUCT((Sancoes!$A$2:$A$301=A82)*(Sancoes!$B$2:$B$301&lt;&gt;"Não consta")*(Sancoes!$D$2:$D$301&lt;&gt;"")*(Sancoes!$D$2:$D$301&lt;=F82)*(((Sancoes!$E$2:$E$301="")+(Sancoes!$E$2:$E$301&gt;=F82))&gt;0))&gt;0,"SANÇÃO VIGENTE NA DATA — leia o tipo e a abrangência",""))</f>
        <v/>
      </c>
      <c r="L82" s="19" t="str">
        <f aca="false">IF(A82="","",IFERROR(INDEX(Empresas!$B:$B,MATCH(A82,Empresas!$A:$A,0))&amp;"","cadastre o CNPJ em Empresas"))</f>
        <v/>
      </c>
      <c r="M82" s="27"/>
      <c r="N82" s="35"/>
      <c r="O82" s="37" t="str">
        <f aca="false">IF(OR(D82="",D82=0,N82=""),"",N82/D82)</f>
        <v/>
      </c>
      <c r="P82" s="19" t="str">
        <f aca="false">IF(O82="","",IF(O82&gt;0.25,"ACRÉSCIMO ACIMA DE 25% — conferir",""))</f>
        <v/>
      </c>
      <c r="Q82" s="27"/>
      <c r="R82" s="5"/>
    </row>
    <row r="83" customFormat="false" ht="15" hidden="false" customHeight="false" outlineLevel="0" collapsed="false">
      <c r="A83" s="27"/>
      <c r="B83" s="5"/>
      <c r="C83" s="5"/>
      <c r="D83" s="35"/>
      <c r="E83" s="14"/>
      <c r="F83" s="18"/>
      <c r="G83" s="31" t="str">
        <f aca="false">IF(A83="","",IFERROR(IF(INDEX(Empresas!$C:$C,MATCH(A83,Empresas!$A:$A,0))="","",INDEX(Empresas!$C:$C,MATCH(A83,Empresas!$A:$A,0))),""))</f>
        <v/>
      </c>
      <c r="H83" s="18"/>
      <c r="I83" s="19" t="str">
        <f aca="false">IF(OR(F83="",G83=""),"",IF(F83-G83&lt;0,"CONTRATO ANTERIOR À ABERTURA — conferir datas",IF(F83-G83&lt;180,"ABERTA MENOS DE 6 MESES ANTES","")))</f>
        <v/>
      </c>
      <c r="J83" s="19" t="str">
        <f aca="false">IF(A83="","",IFERROR(INDEX(Sancoes!$B:$B,MATCH(A83,Sancoes!$A:$A,0))&amp;"","não consta"))</f>
        <v/>
      </c>
      <c r="K83" s="19" t="str">
        <f aca="false">IF(OR(A83="",F83=""),"",IF(SUMPRODUCT((Sancoes!$A$2:$A$301=A83)*(Sancoes!$B$2:$B$301&lt;&gt;"Não consta")*(Sancoes!$D$2:$D$301&lt;&gt;"")*(Sancoes!$D$2:$D$301&lt;=F83)*(((Sancoes!$E$2:$E$301="")+(Sancoes!$E$2:$E$301&gt;=F83))&gt;0))&gt;0,"SANÇÃO VIGENTE NA DATA — leia o tipo e a abrangência",""))</f>
        <v/>
      </c>
      <c r="L83" s="19" t="str">
        <f aca="false">IF(A83="","",IFERROR(INDEX(Empresas!$B:$B,MATCH(A83,Empresas!$A:$A,0))&amp;"","cadastre o CNPJ em Empresas"))</f>
        <v/>
      </c>
      <c r="M83" s="27"/>
      <c r="N83" s="35"/>
      <c r="O83" s="37" t="str">
        <f aca="false">IF(OR(D83="",D83=0,N83=""),"",N83/D83)</f>
        <v/>
      </c>
      <c r="P83" s="19" t="str">
        <f aca="false">IF(O83="","",IF(O83&gt;0.25,"ACRÉSCIMO ACIMA DE 25% — conferir",""))</f>
        <v/>
      </c>
      <c r="Q83" s="27"/>
      <c r="R83" s="5"/>
    </row>
    <row r="84" customFormat="false" ht="15" hidden="false" customHeight="false" outlineLevel="0" collapsed="false">
      <c r="A84" s="27"/>
      <c r="B84" s="5"/>
      <c r="C84" s="5"/>
      <c r="D84" s="35"/>
      <c r="E84" s="14"/>
      <c r="F84" s="18"/>
      <c r="G84" s="31" t="str">
        <f aca="false">IF(A84="","",IFERROR(IF(INDEX(Empresas!$C:$C,MATCH(A84,Empresas!$A:$A,0))="","",INDEX(Empresas!$C:$C,MATCH(A84,Empresas!$A:$A,0))),""))</f>
        <v/>
      </c>
      <c r="H84" s="18"/>
      <c r="I84" s="19" t="str">
        <f aca="false">IF(OR(F84="",G84=""),"",IF(F84-G84&lt;0,"CONTRATO ANTERIOR À ABERTURA — conferir datas",IF(F84-G84&lt;180,"ABERTA MENOS DE 6 MESES ANTES","")))</f>
        <v/>
      </c>
      <c r="J84" s="19" t="str">
        <f aca="false">IF(A84="","",IFERROR(INDEX(Sancoes!$B:$B,MATCH(A84,Sancoes!$A:$A,0))&amp;"","não consta"))</f>
        <v/>
      </c>
      <c r="K84" s="19" t="str">
        <f aca="false">IF(OR(A84="",F84=""),"",IF(SUMPRODUCT((Sancoes!$A$2:$A$301=A84)*(Sancoes!$B$2:$B$301&lt;&gt;"Não consta")*(Sancoes!$D$2:$D$301&lt;&gt;"")*(Sancoes!$D$2:$D$301&lt;=F84)*(((Sancoes!$E$2:$E$301="")+(Sancoes!$E$2:$E$301&gt;=F84))&gt;0))&gt;0,"SANÇÃO VIGENTE NA DATA — leia o tipo e a abrangência",""))</f>
        <v/>
      </c>
      <c r="L84" s="19" t="str">
        <f aca="false">IF(A84="","",IFERROR(INDEX(Empresas!$B:$B,MATCH(A84,Empresas!$A:$A,0))&amp;"","cadastre o CNPJ em Empresas"))</f>
        <v/>
      </c>
      <c r="M84" s="27"/>
      <c r="N84" s="35"/>
      <c r="O84" s="37" t="str">
        <f aca="false">IF(OR(D84="",D84=0,N84=""),"",N84/D84)</f>
        <v/>
      </c>
      <c r="P84" s="19" t="str">
        <f aca="false">IF(O84="","",IF(O84&gt;0.25,"ACRÉSCIMO ACIMA DE 25% — conferir",""))</f>
        <v/>
      </c>
      <c r="Q84" s="27"/>
      <c r="R84" s="5"/>
    </row>
    <row r="85" customFormat="false" ht="15" hidden="false" customHeight="false" outlineLevel="0" collapsed="false">
      <c r="A85" s="27"/>
      <c r="B85" s="5"/>
      <c r="C85" s="5"/>
      <c r="D85" s="35"/>
      <c r="E85" s="14"/>
      <c r="F85" s="18"/>
      <c r="G85" s="31" t="str">
        <f aca="false">IF(A85="","",IFERROR(IF(INDEX(Empresas!$C:$C,MATCH(A85,Empresas!$A:$A,0))="","",INDEX(Empresas!$C:$C,MATCH(A85,Empresas!$A:$A,0))),""))</f>
        <v/>
      </c>
      <c r="H85" s="18"/>
      <c r="I85" s="19" t="str">
        <f aca="false">IF(OR(F85="",G85=""),"",IF(F85-G85&lt;0,"CONTRATO ANTERIOR À ABERTURA — conferir datas",IF(F85-G85&lt;180,"ABERTA MENOS DE 6 MESES ANTES","")))</f>
        <v/>
      </c>
      <c r="J85" s="19" t="str">
        <f aca="false">IF(A85="","",IFERROR(INDEX(Sancoes!$B:$B,MATCH(A85,Sancoes!$A:$A,0))&amp;"","não consta"))</f>
        <v/>
      </c>
      <c r="K85" s="19" t="str">
        <f aca="false">IF(OR(A85="",F85=""),"",IF(SUMPRODUCT((Sancoes!$A$2:$A$301=A85)*(Sancoes!$B$2:$B$301&lt;&gt;"Não consta")*(Sancoes!$D$2:$D$301&lt;&gt;"")*(Sancoes!$D$2:$D$301&lt;=F85)*(((Sancoes!$E$2:$E$301="")+(Sancoes!$E$2:$E$301&gt;=F85))&gt;0))&gt;0,"SANÇÃO VIGENTE NA DATA — leia o tipo e a abrangência",""))</f>
        <v/>
      </c>
      <c r="L85" s="19" t="str">
        <f aca="false">IF(A85="","",IFERROR(INDEX(Empresas!$B:$B,MATCH(A85,Empresas!$A:$A,0))&amp;"","cadastre o CNPJ em Empresas"))</f>
        <v/>
      </c>
      <c r="M85" s="27"/>
      <c r="N85" s="35"/>
      <c r="O85" s="37" t="str">
        <f aca="false">IF(OR(D85="",D85=0,N85=""),"",N85/D85)</f>
        <v/>
      </c>
      <c r="P85" s="19" t="str">
        <f aca="false">IF(O85="","",IF(O85&gt;0.25,"ACRÉSCIMO ACIMA DE 25% — conferir",""))</f>
        <v/>
      </c>
      <c r="Q85" s="27"/>
      <c r="R85" s="5"/>
    </row>
    <row r="86" customFormat="false" ht="15" hidden="false" customHeight="false" outlineLevel="0" collapsed="false">
      <c r="A86" s="27"/>
      <c r="B86" s="5"/>
      <c r="C86" s="5"/>
      <c r="D86" s="35"/>
      <c r="E86" s="14"/>
      <c r="F86" s="18"/>
      <c r="G86" s="31" t="str">
        <f aca="false">IF(A86="","",IFERROR(IF(INDEX(Empresas!$C:$C,MATCH(A86,Empresas!$A:$A,0))="","",INDEX(Empresas!$C:$C,MATCH(A86,Empresas!$A:$A,0))),""))</f>
        <v/>
      </c>
      <c r="H86" s="18"/>
      <c r="I86" s="19" t="str">
        <f aca="false">IF(OR(F86="",G86=""),"",IF(F86-G86&lt;0,"CONTRATO ANTERIOR À ABERTURA — conferir datas",IF(F86-G86&lt;180,"ABERTA MENOS DE 6 MESES ANTES","")))</f>
        <v/>
      </c>
      <c r="J86" s="19" t="str">
        <f aca="false">IF(A86="","",IFERROR(INDEX(Sancoes!$B:$B,MATCH(A86,Sancoes!$A:$A,0))&amp;"","não consta"))</f>
        <v/>
      </c>
      <c r="K86" s="19" t="str">
        <f aca="false">IF(OR(A86="",F86=""),"",IF(SUMPRODUCT((Sancoes!$A$2:$A$301=A86)*(Sancoes!$B$2:$B$301&lt;&gt;"Não consta")*(Sancoes!$D$2:$D$301&lt;&gt;"")*(Sancoes!$D$2:$D$301&lt;=F86)*(((Sancoes!$E$2:$E$301="")+(Sancoes!$E$2:$E$301&gt;=F86))&gt;0))&gt;0,"SANÇÃO VIGENTE NA DATA — leia o tipo e a abrangência",""))</f>
        <v/>
      </c>
      <c r="L86" s="19" t="str">
        <f aca="false">IF(A86="","",IFERROR(INDEX(Empresas!$B:$B,MATCH(A86,Empresas!$A:$A,0))&amp;"","cadastre o CNPJ em Empresas"))</f>
        <v/>
      </c>
      <c r="M86" s="27"/>
      <c r="N86" s="35"/>
      <c r="O86" s="37" t="str">
        <f aca="false">IF(OR(D86="",D86=0,N86=""),"",N86/D86)</f>
        <v/>
      </c>
      <c r="P86" s="19" t="str">
        <f aca="false">IF(O86="","",IF(O86&gt;0.25,"ACRÉSCIMO ACIMA DE 25% — conferir",""))</f>
        <v/>
      </c>
      <c r="Q86" s="27"/>
      <c r="R86" s="5"/>
    </row>
    <row r="87" customFormat="false" ht="15" hidden="false" customHeight="false" outlineLevel="0" collapsed="false">
      <c r="A87" s="27"/>
      <c r="B87" s="5"/>
      <c r="C87" s="5"/>
      <c r="D87" s="35"/>
      <c r="E87" s="14"/>
      <c r="F87" s="18"/>
      <c r="G87" s="31" t="str">
        <f aca="false">IF(A87="","",IFERROR(IF(INDEX(Empresas!$C:$C,MATCH(A87,Empresas!$A:$A,0))="","",INDEX(Empresas!$C:$C,MATCH(A87,Empresas!$A:$A,0))),""))</f>
        <v/>
      </c>
      <c r="H87" s="18"/>
      <c r="I87" s="19" t="str">
        <f aca="false">IF(OR(F87="",G87=""),"",IF(F87-G87&lt;0,"CONTRATO ANTERIOR À ABERTURA — conferir datas",IF(F87-G87&lt;180,"ABERTA MENOS DE 6 MESES ANTES","")))</f>
        <v/>
      </c>
      <c r="J87" s="19" t="str">
        <f aca="false">IF(A87="","",IFERROR(INDEX(Sancoes!$B:$B,MATCH(A87,Sancoes!$A:$A,0))&amp;"","não consta"))</f>
        <v/>
      </c>
      <c r="K87" s="19" t="str">
        <f aca="false">IF(OR(A87="",F87=""),"",IF(SUMPRODUCT((Sancoes!$A$2:$A$301=A87)*(Sancoes!$B$2:$B$301&lt;&gt;"Não consta")*(Sancoes!$D$2:$D$301&lt;&gt;"")*(Sancoes!$D$2:$D$301&lt;=F87)*(((Sancoes!$E$2:$E$301="")+(Sancoes!$E$2:$E$301&gt;=F87))&gt;0))&gt;0,"SANÇÃO VIGENTE NA DATA — leia o tipo e a abrangência",""))</f>
        <v/>
      </c>
      <c r="L87" s="19" t="str">
        <f aca="false">IF(A87="","",IFERROR(INDEX(Empresas!$B:$B,MATCH(A87,Empresas!$A:$A,0))&amp;"","cadastre o CNPJ em Empresas"))</f>
        <v/>
      </c>
      <c r="M87" s="27"/>
      <c r="N87" s="35"/>
      <c r="O87" s="37" t="str">
        <f aca="false">IF(OR(D87="",D87=0,N87=""),"",N87/D87)</f>
        <v/>
      </c>
      <c r="P87" s="19" t="str">
        <f aca="false">IF(O87="","",IF(O87&gt;0.25,"ACRÉSCIMO ACIMA DE 25% — conferir",""))</f>
        <v/>
      </c>
      <c r="Q87" s="27"/>
      <c r="R87" s="5"/>
    </row>
    <row r="88" customFormat="false" ht="15" hidden="false" customHeight="false" outlineLevel="0" collapsed="false">
      <c r="A88" s="27"/>
      <c r="B88" s="5"/>
      <c r="C88" s="5"/>
      <c r="D88" s="35"/>
      <c r="E88" s="14"/>
      <c r="F88" s="18"/>
      <c r="G88" s="31" t="str">
        <f aca="false">IF(A88="","",IFERROR(IF(INDEX(Empresas!$C:$C,MATCH(A88,Empresas!$A:$A,0))="","",INDEX(Empresas!$C:$C,MATCH(A88,Empresas!$A:$A,0))),""))</f>
        <v/>
      </c>
      <c r="H88" s="18"/>
      <c r="I88" s="19" t="str">
        <f aca="false">IF(OR(F88="",G88=""),"",IF(F88-G88&lt;0,"CONTRATO ANTERIOR À ABERTURA — conferir datas",IF(F88-G88&lt;180,"ABERTA MENOS DE 6 MESES ANTES","")))</f>
        <v/>
      </c>
      <c r="J88" s="19" t="str">
        <f aca="false">IF(A88="","",IFERROR(INDEX(Sancoes!$B:$B,MATCH(A88,Sancoes!$A:$A,0))&amp;"","não consta"))</f>
        <v/>
      </c>
      <c r="K88" s="19" t="str">
        <f aca="false">IF(OR(A88="",F88=""),"",IF(SUMPRODUCT((Sancoes!$A$2:$A$301=A88)*(Sancoes!$B$2:$B$301&lt;&gt;"Não consta")*(Sancoes!$D$2:$D$301&lt;&gt;"")*(Sancoes!$D$2:$D$301&lt;=F88)*(((Sancoes!$E$2:$E$301="")+(Sancoes!$E$2:$E$301&gt;=F88))&gt;0))&gt;0,"SANÇÃO VIGENTE NA DATA — leia o tipo e a abrangência",""))</f>
        <v/>
      </c>
      <c r="L88" s="19" t="str">
        <f aca="false">IF(A88="","",IFERROR(INDEX(Empresas!$B:$B,MATCH(A88,Empresas!$A:$A,0))&amp;"","cadastre o CNPJ em Empresas"))</f>
        <v/>
      </c>
      <c r="M88" s="27"/>
      <c r="N88" s="35"/>
      <c r="O88" s="37" t="str">
        <f aca="false">IF(OR(D88="",D88=0,N88=""),"",N88/D88)</f>
        <v/>
      </c>
      <c r="P88" s="19" t="str">
        <f aca="false">IF(O88="","",IF(O88&gt;0.25,"ACRÉSCIMO ACIMA DE 25% — conferir",""))</f>
        <v/>
      </c>
      <c r="Q88" s="27"/>
      <c r="R88" s="5"/>
    </row>
    <row r="89" customFormat="false" ht="15" hidden="false" customHeight="false" outlineLevel="0" collapsed="false">
      <c r="A89" s="27"/>
      <c r="B89" s="5"/>
      <c r="C89" s="5"/>
      <c r="D89" s="35"/>
      <c r="E89" s="14"/>
      <c r="F89" s="18"/>
      <c r="G89" s="31" t="str">
        <f aca="false">IF(A89="","",IFERROR(IF(INDEX(Empresas!$C:$C,MATCH(A89,Empresas!$A:$A,0))="","",INDEX(Empresas!$C:$C,MATCH(A89,Empresas!$A:$A,0))),""))</f>
        <v/>
      </c>
      <c r="H89" s="18"/>
      <c r="I89" s="19" t="str">
        <f aca="false">IF(OR(F89="",G89=""),"",IF(F89-G89&lt;0,"CONTRATO ANTERIOR À ABERTURA — conferir datas",IF(F89-G89&lt;180,"ABERTA MENOS DE 6 MESES ANTES","")))</f>
        <v/>
      </c>
      <c r="J89" s="19" t="str">
        <f aca="false">IF(A89="","",IFERROR(INDEX(Sancoes!$B:$B,MATCH(A89,Sancoes!$A:$A,0))&amp;"","não consta"))</f>
        <v/>
      </c>
      <c r="K89" s="19" t="str">
        <f aca="false">IF(OR(A89="",F89=""),"",IF(SUMPRODUCT((Sancoes!$A$2:$A$301=A89)*(Sancoes!$B$2:$B$301&lt;&gt;"Não consta")*(Sancoes!$D$2:$D$301&lt;&gt;"")*(Sancoes!$D$2:$D$301&lt;=F89)*(((Sancoes!$E$2:$E$301="")+(Sancoes!$E$2:$E$301&gt;=F89))&gt;0))&gt;0,"SANÇÃO VIGENTE NA DATA — leia o tipo e a abrangência",""))</f>
        <v/>
      </c>
      <c r="L89" s="19" t="str">
        <f aca="false">IF(A89="","",IFERROR(INDEX(Empresas!$B:$B,MATCH(A89,Empresas!$A:$A,0))&amp;"","cadastre o CNPJ em Empresas"))</f>
        <v/>
      </c>
      <c r="M89" s="27"/>
      <c r="N89" s="35"/>
      <c r="O89" s="37" t="str">
        <f aca="false">IF(OR(D89="",D89=0,N89=""),"",N89/D89)</f>
        <v/>
      </c>
      <c r="P89" s="19" t="str">
        <f aca="false">IF(O89="","",IF(O89&gt;0.25,"ACRÉSCIMO ACIMA DE 25% — conferir",""))</f>
        <v/>
      </c>
      <c r="Q89" s="27"/>
      <c r="R89" s="5"/>
    </row>
    <row r="90" customFormat="false" ht="15" hidden="false" customHeight="false" outlineLevel="0" collapsed="false">
      <c r="A90" s="27"/>
      <c r="B90" s="5"/>
      <c r="C90" s="5"/>
      <c r="D90" s="35"/>
      <c r="E90" s="14"/>
      <c r="F90" s="18"/>
      <c r="G90" s="31" t="str">
        <f aca="false">IF(A90="","",IFERROR(IF(INDEX(Empresas!$C:$C,MATCH(A90,Empresas!$A:$A,0))="","",INDEX(Empresas!$C:$C,MATCH(A90,Empresas!$A:$A,0))),""))</f>
        <v/>
      </c>
      <c r="H90" s="18"/>
      <c r="I90" s="19" t="str">
        <f aca="false">IF(OR(F90="",G90=""),"",IF(F90-G90&lt;0,"CONTRATO ANTERIOR À ABERTURA — conferir datas",IF(F90-G90&lt;180,"ABERTA MENOS DE 6 MESES ANTES","")))</f>
        <v/>
      </c>
      <c r="J90" s="19" t="str">
        <f aca="false">IF(A90="","",IFERROR(INDEX(Sancoes!$B:$B,MATCH(A90,Sancoes!$A:$A,0))&amp;"","não consta"))</f>
        <v/>
      </c>
      <c r="K90" s="19" t="str">
        <f aca="false">IF(OR(A90="",F90=""),"",IF(SUMPRODUCT((Sancoes!$A$2:$A$301=A90)*(Sancoes!$B$2:$B$301&lt;&gt;"Não consta")*(Sancoes!$D$2:$D$301&lt;&gt;"")*(Sancoes!$D$2:$D$301&lt;=F90)*(((Sancoes!$E$2:$E$301="")+(Sancoes!$E$2:$E$301&gt;=F90))&gt;0))&gt;0,"SANÇÃO VIGENTE NA DATA — leia o tipo e a abrangência",""))</f>
        <v/>
      </c>
      <c r="L90" s="19" t="str">
        <f aca="false">IF(A90="","",IFERROR(INDEX(Empresas!$B:$B,MATCH(A90,Empresas!$A:$A,0))&amp;"","cadastre o CNPJ em Empresas"))</f>
        <v/>
      </c>
      <c r="M90" s="27"/>
      <c r="N90" s="35"/>
      <c r="O90" s="37" t="str">
        <f aca="false">IF(OR(D90="",D90=0,N90=""),"",N90/D90)</f>
        <v/>
      </c>
      <c r="P90" s="19" t="str">
        <f aca="false">IF(O90="","",IF(O90&gt;0.25,"ACRÉSCIMO ACIMA DE 25% — conferir",""))</f>
        <v/>
      </c>
      <c r="Q90" s="27"/>
      <c r="R90" s="5"/>
    </row>
    <row r="91" customFormat="false" ht="15" hidden="false" customHeight="false" outlineLevel="0" collapsed="false">
      <c r="A91" s="27"/>
      <c r="B91" s="5"/>
      <c r="C91" s="5"/>
      <c r="D91" s="35"/>
      <c r="E91" s="14"/>
      <c r="F91" s="18"/>
      <c r="G91" s="31" t="str">
        <f aca="false">IF(A91="","",IFERROR(IF(INDEX(Empresas!$C:$C,MATCH(A91,Empresas!$A:$A,0))="","",INDEX(Empresas!$C:$C,MATCH(A91,Empresas!$A:$A,0))),""))</f>
        <v/>
      </c>
      <c r="H91" s="18"/>
      <c r="I91" s="19" t="str">
        <f aca="false">IF(OR(F91="",G91=""),"",IF(F91-G91&lt;0,"CONTRATO ANTERIOR À ABERTURA — conferir datas",IF(F91-G91&lt;180,"ABERTA MENOS DE 6 MESES ANTES","")))</f>
        <v/>
      </c>
      <c r="J91" s="19" t="str">
        <f aca="false">IF(A91="","",IFERROR(INDEX(Sancoes!$B:$B,MATCH(A91,Sancoes!$A:$A,0))&amp;"","não consta"))</f>
        <v/>
      </c>
      <c r="K91" s="19" t="str">
        <f aca="false">IF(OR(A91="",F91=""),"",IF(SUMPRODUCT((Sancoes!$A$2:$A$301=A91)*(Sancoes!$B$2:$B$301&lt;&gt;"Não consta")*(Sancoes!$D$2:$D$301&lt;&gt;"")*(Sancoes!$D$2:$D$301&lt;=F91)*(((Sancoes!$E$2:$E$301="")+(Sancoes!$E$2:$E$301&gt;=F91))&gt;0))&gt;0,"SANÇÃO VIGENTE NA DATA — leia o tipo e a abrangência",""))</f>
        <v/>
      </c>
      <c r="L91" s="19" t="str">
        <f aca="false">IF(A91="","",IFERROR(INDEX(Empresas!$B:$B,MATCH(A91,Empresas!$A:$A,0))&amp;"","cadastre o CNPJ em Empresas"))</f>
        <v/>
      </c>
      <c r="M91" s="27"/>
      <c r="N91" s="35"/>
      <c r="O91" s="37" t="str">
        <f aca="false">IF(OR(D91="",D91=0,N91=""),"",N91/D91)</f>
        <v/>
      </c>
      <c r="P91" s="19" t="str">
        <f aca="false">IF(O91="","",IF(O91&gt;0.25,"ACRÉSCIMO ACIMA DE 25% — conferir",""))</f>
        <v/>
      </c>
      <c r="Q91" s="27"/>
      <c r="R91" s="5"/>
    </row>
    <row r="92" customFormat="false" ht="15" hidden="false" customHeight="false" outlineLevel="0" collapsed="false">
      <c r="A92" s="27"/>
      <c r="B92" s="5"/>
      <c r="C92" s="5"/>
      <c r="D92" s="35"/>
      <c r="E92" s="14"/>
      <c r="F92" s="18"/>
      <c r="G92" s="31" t="str">
        <f aca="false">IF(A92="","",IFERROR(IF(INDEX(Empresas!$C:$C,MATCH(A92,Empresas!$A:$A,0))="","",INDEX(Empresas!$C:$C,MATCH(A92,Empresas!$A:$A,0))),""))</f>
        <v/>
      </c>
      <c r="H92" s="18"/>
      <c r="I92" s="19" t="str">
        <f aca="false">IF(OR(F92="",G92=""),"",IF(F92-G92&lt;0,"CONTRATO ANTERIOR À ABERTURA — conferir datas",IF(F92-G92&lt;180,"ABERTA MENOS DE 6 MESES ANTES","")))</f>
        <v/>
      </c>
      <c r="J92" s="19" t="str">
        <f aca="false">IF(A92="","",IFERROR(INDEX(Sancoes!$B:$B,MATCH(A92,Sancoes!$A:$A,0))&amp;"","não consta"))</f>
        <v/>
      </c>
      <c r="K92" s="19" t="str">
        <f aca="false">IF(OR(A92="",F92=""),"",IF(SUMPRODUCT((Sancoes!$A$2:$A$301=A92)*(Sancoes!$B$2:$B$301&lt;&gt;"Não consta")*(Sancoes!$D$2:$D$301&lt;&gt;"")*(Sancoes!$D$2:$D$301&lt;=F92)*(((Sancoes!$E$2:$E$301="")+(Sancoes!$E$2:$E$301&gt;=F92))&gt;0))&gt;0,"SANÇÃO VIGENTE NA DATA — leia o tipo e a abrangência",""))</f>
        <v/>
      </c>
      <c r="L92" s="19" t="str">
        <f aca="false">IF(A92="","",IFERROR(INDEX(Empresas!$B:$B,MATCH(A92,Empresas!$A:$A,0))&amp;"","cadastre o CNPJ em Empresas"))</f>
        <v/>
      </c>
      <c r="M92" s="27"/>
      <c r="N92" s="35"/>
      <c r="O92" s="37" t="str">
        <f aca="false">IF(OR(D92="",D92=0,N92=""),"",N92/D92)</f>
        <v/>
      </c>
      <c r="P92" s="19" t="str">
        <f aca="false">IF(O92="","",IF(O92&gt;0.25,"ACRÉSCIMO ACIMA DE 25% — conferir",""))</f>
        <v/>
      </c>
      <c r="Q92" s="27"/>
      <c r="R92" s="5"/>
    </row>
    <row r="93" customFormat="false" ht="15" hidden="false" customHeight="false" outlineLevel="0" collapsed="false">
      <c r="A93" s="27"/>
      <c r="B93" s="5"/>
      <c r="C93" s="5"/>
      <c r="D93" s="35"/>
      <c r="E93" s="14"/>
      <c r="F93" s="18"/>
      <c r="G93" s="31" t="str">
        <f aca="false">IF(A93="","",IFERROR(IF(INDEX(Empresas!$C:$C,MATCH(A93,Empresas!$A:$A,0))="","",INDEX(Empresas!$C:$C,MATCH(A93,Empresas!$A:$A,0))),""))</f>
        <v/>
      </c>
      <c r="H93" s="18"/>
      <c r="I93" s="19" t="str">
        <f aca="false">IF(OR(F93="",G93=""),"",IF(F93-G93&lt;0,"CONTRATO ANTERIOR À ABERTURA — conferir datas",IF(F93-G93&lt;180,"ABERTA MENOS DE 6 MESES ANTES","")))</f>
        <v/>
      </c>
      <c r="J93" s="19" t="str">
        <f aca="false">IF(A93="","",IFERROR(INDEX(Sancoes!$B:$B,MATCH(A93,Sancoes!$A:$A,0))&amp;"","não consta"))</f>
        <v/>
      </c>
      <c r="K93" s="19" t="str">
        <f aca="false">IF(OR(A93="",F93=""),"",IF(SUMPRODUCT((Sancoes!$A$2:$A$301=A93)*(Sancoes!$B$2:$B$301&lt;&gt;"Não consta")*(Sancoes!$D$2:$D$301&lt;&gt;"")*(Sancoes!$D$2:$D$301&lt;=F93)*(((Sancoes!$E$2:$E$301="")+(Sancoes!$E$2:$E$301&gt;=F93))&gt;0))&gt;0,"SANÇÃO VIGENTE NA DATA — leia o tipo e a abrangência",""))</f>
        <v/>
      </c>
      <c r="L93" s="19" t="str">
        <f aca="false">IF(A93="","",IFERROR(INDEX(Empresas!$B:$B,MATCH(A93,Empresas!$A:$A,0))&amp;"","cadastre o CNPJ em Empresas"))</f>
        <v/>
      </c>
      <c r="M93" s="27"/>
      <c r="N93" s="35"/>
      <c r="O93" s="37" t="str">
        <f aca="false">IF(OR(D93="",D93=0,N93=""),"",N93/D93)</f>
        <v/>
      </c>
      <c r="P93" s="19" t="str">
        <f aca="false">IF(O93="","",IF(O93&gt;0.25,"ACRÉSCIMO ACIMA DE 25% — conferir",""))</f>
        <v/>
      </c>
      <c r="Q93" s="27"/>
      <c r="R93" s="5"/>
    </row>
    <row r="94" customFormat="false" ht="15" hidden="false" customHeight="false" outlineLevel="0" collapsed="false">
      <c r="A94" s="27"/>
      <c r="B94" s="5"/>
      <c r="C94" s="5"/>
      <c r="D94" s="35"/>
      <c r="E94" s="14"/>
      <c r="F94" s="18"/>
      <c r="G94" s="31" t="str">
        <f aca="false">IF(A94="","",IFERROR(IF(INDEX(Empresas!$C:$C,MATCH(A94,Empresas!$A:$A,0))="","",INDEX(Empresas!$C:$C,MATCH(A94,Empresas!$A:$A,0))),""))</f>
        <v/>
      </c>
      <c r="H94" s="18"/>
      <c r="I94" s="19" t="str">
        <f aca="false">IF(OR(F94="",G94=""),"",IF(F94-G94&lt;0,"CONTRATO ANTERIOR À ABERTURA — conferir datas",IF(F94-G94&lt;180,"ABERTA MENOS DE 6 MESES ANTES","")))</f>
        <v/>
      </c>
      <c r="J94" s="19" t="str">
        <f aca="false">IF(A94="","",IFERROR(INDEX(Sancoes!$B:$B,MATCH(A94,Sancoes!$A:$A,0))&amp;"","não consta"))</f>
        <v/>
      </c>
      <c r="K94" s="19" t="str">
        <f aca="false">IF(OR(A94="",F94=""),"",IF(SUMPRODUCT((Sancoes!$A$2:$A$301=A94)*(Sancoes!$B$2:$B$301&lt;&gt;"Não consta")*(Sancoes!$D$2:$D$301&lt;&gt;"")*(Sancoes!$D$2:$D$301&lt;=F94)*(((Sancoes!$E$2:$E$301="")+(Sancoes!$E$2:$E$301&gt;=F94))&gt;0))&gt;0,"SANÇÃO VIGENTE NA DATA — leia o tipo e a abrangência",""))</f>
        <v/>
      </c>
      <c r="L94" s="19" t="str">
        <f aca="false">IF(A94="","",IFERROR(INDEX(Empresas!$B:$B,MATCH(A94,Empresas!$A:$A,0))&amp;"","cadastre o CNPJ em Empresas"))</f>
        <v/>
      </c>
      <c r="M94" s="27"/>
      <c r="N94" s="35"/>
      <c r="O94" s="37" t="str">
        <f aca="false">IF(OR(D94="",D94=0,N94=""),"",N94/D94)</f>
        <v/>
      </c>
      <c r="P94" s="19" t="str">
        <f aca="false">IF(O94="","",IF(O94&gt;0.25,"ACRÉSCIMO ACIMA DE 25% — conferir",""))</f>
        <v/>
      </c>
      <c r="Q94" s="27"/>
      <c r="R94" s="5"/>
    </row>
    <row r="95" customFormat="false" ht="15" hidden="false" customHeight="false" outlineLevel="0" collapsed="false">
      <c r="A95" s="27"/>
      <c r="B95" s="5"/>
      <c r="C95" s="5"/>
      <c r="D95" s="35"/>
      <c r="E95" s="14"/>
      <c r="F95" s="18"/>
      <c r="G95" s="31" t="str">
        <f aca="false">IF(A95="","",IFERROR(IF(INDEX(Empresas!$C:$C,MATCH(A95,Empresas!$A:$A,0))="","",INDEX(Empresas!$C:$C,MATCH(A95,Empresas!$A:$A,0))),""))</f>
        <v/>
      </c>
      <c r="H95" s="18"/>
      <c r="I95" s="19" t="str">
        <f aca="false">IF(OR(F95="",G95=""),"",IF(F95-G95&lt;0,"CONTRATO ANTERIOR À ABERTURA — conferir datas",IF(F95-G95&lt;180,"ABERTA MENOS DE 6 MESES ANTES","")))</f>
        <v/>
      </c>
      <c r="J95" s="19" t="str">
        <f aca="false">IF(A95="","",IFERROR(INDEX(Sancoes!$B:$B,MATCH(A95,Sancoes!$A:$A,0))&amp;"","não consta"))</f>
        <v/>
      </c>
      <c r="K95" s="19" t="str">
        <f aca="false">IF(OR(A95="",F95=""),"",IF(SUMPRODUCT((Sancoes!$A$2:$A$301=A95)*(Sancoes!$B$2:$B$301&lt;&gt;"Não consta")*(Sancoes!$D$2:$D$301&lt;&gt;"")*(Sancoes!$D$2:$D$301&lt;=F95)*(((Sancoes!$E$2:$E$301="")+(Sancoes!$E$2:$E$301&gt;=F95))&gt;0))&gt;0,"SANÇÃO VIGENTE NA DATA — leia o tipo e a abrangência",""))</f>
        <v/>
      </c>
      <c r="L95" s="19" t="str">
        <f aca="false">IF(A95="","",IFERROR(INDEX(Empresas!$B:$B,MATCH(A95,Empresas!$A:$A,0))&amp;"","cadastre o CNPJ em Empresas"))</f>
        <v/>
      </c>
      <c r="M95" s="27"/>
      <c r="N95" s="35"/>
      <c r="O95" s="37" t="str">
        <f aca="false">IF(OR(D95="",D95=0,N95=""),"",N95/D95)</f>
        <v/>
      </c>
      <c r="P95" s="19" t="str">
        <f aca="false">IF(O95="","",IF(O95&gt;0.25,"ACRÉSCIMO ACIMA DE 25% — conferir",""))</f>
        <v/>
      </c>
      <c r="Q95" s="27"/>
      <c r="R95" s="5"/>
    </row>
    <row r="96" customFormat="false" ht="15" hidden="false" customHeight="false" outlineLevel="0" collapsed="false">
      <c r="A96" s="27"/>
      <c r="B96" s="5"/>
      <c r="C96" s="5"/>
      <c r="D96" s="35"/>
      <c r="E96" s="14"/>
      <c r="F96" s="18"/>
      <c r="G96" s="31" t="str">
        <f aca="false">IF(A96="","",IFERROR(IF(INDEX(Empresas!$C:$C,MATCH(A96,Empresas!$A:$A,0))="","",INDEX(Empresas!$C:$C,MATCH(A96,Empresas!$A:$A,0))),""))</f>
        <v/>
      </c>
      <c r="H96" s="18"/>
      <c r="I96" s="19" t="str">
        <f aca="false">IF(OR(F96="",G96=""),"",IF(F96-G96&lt;0,"CONTRATO ANTERIOR À ABERTURA — conferir datas",IF(F96-G96&lt;180,"ABERTA MENOS DE 6 MESES ANTES","")))</f>
        <v/>
      </c>
      <c r="J96" s="19" t="str">
        <f aca="false">IF(A96="","",IFERROR(INDEX(Sancoes!$B:$B,MATCH(A96,Sancoes!$A:$A,0))&amp;"","não consta"))</f>
        <v/>
      </c>
      <c r="K96" s="19" t="str">
        <f aca="false">IF(OR(A96="",F96=""),"",IF(SUMPRODUCT((Sancoes!$A$2:$A$301=A96)*(Sancoes!$B$2:$B$301&lt;&gt;"Não consta")*(Sancoes!$D$2:$D$301&lt;&gt;"")*(Sancoes!$D$2:$D$301&lt;=F96)*(((Sancoes!$E$2:$E$301="")+(Sancoes!$E$2:$E$301&gt;=F96))&gt;0))&gt;0,"SANÇÃO VIGENTE NA DATA — leia o tipo e a abrangência",""))</f>
        <v/>
      </c>
      <c r="L96" s="19" t="str">
        <f aca="false">IF(A96="","",IFERROR(INDEX(Empresas!$B:$B,MATCH(A96,Empresas!$A:$A,0))&amp;"","cadastre o CNPJ em Empresas"))</f>
        <v/>
      </c>
      <c r="M96" s="27"/>
      <c r="N96" s="35"/>
      <c r="O96" s="37" t="str">
        <f aca="false">IF(OR(D96="",D96=0,N96=""),"",N96/D96)</f>
        <v/>
      </c>
      <c r="P96" s="19" t="str">
        <f aca="false">IF(O96="","",IF(O96&gt;0.25,"ACRÉSCIMO ACIMA DE 25% — conferir",""))</f>
        <v/>
      </c>
      <c r="Q96" s="27"/>
      <c r="R96" s="5"/>
    </row>
    <row r="97" customFormat="false" ht="15" hidden="false" customHeight="false" outlineLevel="0" collapsed="false">
      <c r="A97" s="27"/>
      <c r="B97" s="5"/>
      <c r="C97" s="5"/>
      <c r="D97" s="35"/>
      <c r="E97" s="14"/>
      <c r="F97" s="18"/>
      <c r="G97" s="31" t="str">
        <f aca="false">IF(A97="","",IFERROR(IF(INDEX(Empresas!$C:$C,MATCH(A97,Empresas!$A:$A,0))="","",INDEX(Empresas!$C:$C,MATCH(A97,Empresas!$A:$A,0))),""))</f>
        <v/>
      </c>
      <c r="H97" s="18"/>
      <c r="I97" s="19" t="str">
        <f aca="false">IF(OR(F97="",G97=""),"",IF(F97-G97&lt;0,"CONTRATO ANTERIOR À ABERTURA — conferir datas",IF(F97-G97&lt;180,"ABERTA MENOS DE 6 MESES ANTES","")))</f>
        <v/>
      </c>
      <c r="J97" s="19" t="str">
        <f aca="false">IF(A97="","",IFERROR(INDEX(Sancoes!$B:$B,MATCH(A97,Sancoes!$A:$A,0))&amp;"","não consta"))</f>
        <v/>
      </c>
      <c r="K97" s="19" t="str">
        <f aca="false">IF(OR(A97="",F97=""),"",IF(SUMPRODUCT((Sancoes!$A$2:$A$301=A97)*(Sancoes!$B$2:$B$301&lt;&gt;"Não consta")*(Sancoes!$D$2:$D$301&lt;&gt;"")*(Sancoes!$D$2:$D$301&lt;=F97)*(((Sancoes!$E$2:$E$301="")+(Sancoes!$E$2:$E$301&gt;=F97))&gt;0))&gt;0,"SANÇÃO VIGENTE NA DATA — leia o tipo e a abrangência",""))</f>
        <v/>
      </c>
      <c r="L97" s="19" t="str">
        <f aca="false">IF(A97="","",IFERROR(INDEX(Empresas!$B:$B,MATCH(A97,Empresas!$A:$A,0))&amp;"","cadastre o CNPJ em Empresas"))</f>
        <v/>
      </c>
      <c r="M97" s="27"/>
      <c r="N97" s="35"/>
      <c r="O97" s="37" t="str">
        <f aca="false">IF(OR(D97="",D97=0,N97=""),"",N97/D97)</f>
        <v/>
      </c>
      <c r="P97" s="19" t="str">
        <f aca="false">IF(O97="","",IF(O97&gt;0.25,"ACRÉSCIMO ACIMA DE 25% — conferir",""))</f>
        <v/>
      </c>
      <c r="Q97" s="27"/>
      <c r="R97" s="5"/>
    </row>
    <row r="98" customFormat="false" ht="15" hidden="false" customHeight="false" outlineLevel="0" collapsed="false">
      <c r="A98" s="27"/>
      <c r="B98" s="5"/>
      <c r="C98" s="5"/>
      <c r="D98" s="35"/>
      <c r="E98" s="14"/>
      <c r="F98" s="18"/>
      <c r="G98" s="31" t="str">
        <f aca="false">IF(A98="","",IFERROR(IF(INDEX(Empresas!$C:$C,MATCH(A98,Empresas!$A:$A,0))="","",INDEX(Empresas!$C:$C,MATCH(A98,Empresas!$A:$A,0))),""))</f>
        <v/>
      </c>
      <c r="H98" s="18"/>
      <c r="I98" s="19" t="str">
        <f aca="false">IF(OR(F98="",G98=""),"",IF(F98-G98&lt;0,"CONTRATO ANTERIOR À ABERTURA — conferir datas",IF(F98-G98&lt;180,"ABERTA MENOS DE 6 MESES ANTES","")))</f>
        <v/>
      </c>
      <c r="J98" s="19" t="str">
        <f aca="false">IF(A98="","",IFERROR(INDEX(Sancoes!$B:$B,MATCH(A98,Sancoes!$A:$A,0))&amp;"","não consta"))</f>
        <v/>
      </c>
      <c r="K98" s="19" t="str">
        <f aca="false">IF(OR(A98="",F98=""),"",IF(SUMPRODUCT((Sancoes!$A$2:$A$301=A98)*(Sancoes!$B$2:$B$301&lt;&gt;"Não consta")*(Sancoes!$D$2:$D$301&lt;&gt;"")*(Sancoes!$D$2:$D$301&lt;=F98)*(((Sancoes!$E$2:$E$301="")+(Sancoes!$E$2:$E$301&gt;=F98))&gt;0))&gt;0,"SANÇÃO VIGENTE NA DATA — leia o tipo e a abrangência",""))</f>
        <v/>
      </c>
      <c r="L98" s="19" t="str">
        <f aca="false">IF(A98="","",IFERROR(INDEX(Empresas!$B:$B,MATCH(A98,Empresas!$A:$A,0))&amp;"","cadastre o CNPJ em Empresas"))</f>
        <v/>
      </c>
      <c r="M98" s="27"/>
      <c r="N98" s="35"/>
      <c r="O98" s="37" t="str">
        <f aca="false">IF(OR(D98="",D98=0,N98=""),"",N98/D98)</f>
        <v/>
      </c>
      <c r="P98" s="19" t="str">
        <f aca="false">IF(O98="","",IF(O98&gt;0.25,"ACRÉSCIMO ACIMA DE 25% — conferir",""))</f>
        <v/>
      </c>
      <c r="Q98" s="27"/>
      <c r="R98" s="5"/>
    </row>
    <row r="99" customFormat="false" ht="15" hidden="false" customHeight="false" outlineLevel="0" collapsed="false">
      <c r="A99" s="27"/>
      <c r="B99" s="5"/>
      <c r="C99" s="5"/>
      <c r="D99" s="35"/>
      <c r="E99" s="14"/>
      <c r="F99" s="18"/>
      <c r="G99" s="31" t="str">
        <f aca="false">IF(A99="","",IFERROR(IF(INDEX(Empresas!$C:$C,MATCH(A99,Empresas!$A:$A,0))="","",INDEX(Empresas!$C:$C,MATCH(A99,Empresas!$A:$A,0))),""))</f>
        <v/>
      </c>
      <c r="H99" s="18"/>
      <c r="I99" s="19" t="str">
        <f aca="false">IF(OR(F99="",G99=""),"",IF(F99-G99&lt;0,"CONTRATO ANTERIOR À ABERTURA — conferir datas",IF(F99-G99&lt;180,"ABERTA MENOS DE 6 MESES ANTES","")))</f>
        <v/>
      </c>
      <c r="J99" s="19" t="str">
        <f aca="false">IF(A99="","",IFERROR(INDEX(Sancoes!$B:$B,MATCH(A99,Sancoes!$A:$A,0))&amp;"","não consta"))</f>
        <v/>
      </c>
      <c r="K99" s="19" t="str">
        <f aca="false">IF(OR(A99="",F99=""),"",IF(SUMPRODUCT((Sancoes!$A$2:$A$301=A99)*(Sancoes!$B$2:$B$301&lt;&gt;"Não consta")*(Sancoes!$D$2:$D$301&lt;&gt;"")*(Sancoes!$D$2:$D$301&lt;=F99)*(((Sancoes!$E$2:$E$301="")+(Sancoes!$E$2:$E$301&gt;=F99))&gt;0))&gt;0,"SANÇÃO VIGENTE NA DATA — leia o tipo e a abrangência",""))</f>
        <v/>
      </c>
      <c r="L99" s="19" t="str">
        <f aca="false">IF(A99="","",IFERROR(INDEX(Empresas!$B:$B,MATCH(A99,Empresas!$A:$A,0))&amp;"","cadastre o CNPJ em Empresas"))</f>
        <v/>
      </c>
      <c r="M99" s="27"/>
      <c r="N99" s="35"/>
      <c r="O99" s="37" t="str">
        <f aca="false">IF(OR(D99="",D99=0,N99=""),"",N99/D99)</f>
        <v/>
      </c>
      <c r="P99" s="19" t="str">
        <f aca="false">IF(O99="","",IF(O99&gt;0.25,"ACRÉSCIMO ACIMA DE 25% — conferir",""))</f>
        <v/>
      </c>
      <c r="Q99" s="27"/>
      <c r="R99" s="5"/>
    </row>
    <row r="100" customFormat="false" ht="15" hidden="false" customHeight="false" outlineLevel="0" collapsed="false">
      <c r="A100" s="27"/>
      <c r="B100" s="5"/>
      <c r="C100" s="5"/>
      <c r="D100" s="35"/>
      <c r="E100" s="14"/>
      <c r="F100" s="18"/>
      <c r="G100" s="31" t="str">
        <f aca="false">IF(A100="","",IFERROR(IF(INDEX(Empresas!$C:$C,MATCH(A100,Empresas!$A:$A,0))="","",INDEX(Empresas!$C:$C,MATCH(A100,Empresas!$A:$A,0))),""))</f>
        <v/>
      </c>
      <c r="H100" s="18"/>
      <c r="I100" s="19" t="str">
        <f aca="false">IF(OR(F100="",G100=""),"",IF(F100-G100&lt;0,"CONTRATO ANTERIOR À ABERTURA — conferir datas",IF(F100-G100&lt;180,"ABERTA MENOS DE 6 MESES ANTES","")))</f>
        <v/>
      </c>
      <c r="J100" s="19" t="str">
        <f aca="false">IF(A100="","",IFERROR(INDEX(Sancoes!$B:$B,MATCH(A100,Sancoes!$A:$A,0))&amp;"","não consta"))</f>
        <v/>
      </c>
      <c r="K100" s="19" t="str">
        <f aca="false">IF(OR(A100="",F100=""),"",IF(SUMPRODUCT((Sancoes!$A$2:$A$301=A100)*(Sancoes!$B$2:$B$301&lt;&gt;"Não consta")*(Sancoes!$D$2:$D$301&lt;&gt;"")*(Sancoes!$D$2:$D$301&lt;=F100)*(((Sancoes!$E$2:$E$301="")+(Sancoes!$E$2:$E$301&gt;=F100))&gt;0))&gt;0,"SANÇÃO VIGENTE NA DATA — leia o tipo e a abrangência",""))</f>
        <v/>
      </c>
      <c r="L100" s="19" t="str">
        <f aca="false">IF(A100="","",IFERROR(INDEX(Empresas!$B:$B,MATCH(A100,Empresas!$A:$A,0))&amp;"","cadastre o CNPJ em Empresas"))</f>
        <v/>
      </c>
      <c r="M100" s="27"/>
      <c r="N100" s="35"/>
      <c r="O100" s="37" t="str">
        <f aca="false">IF(OR(D100="",D100=0,N100=""),"",N100/D100)</f>
        <v/>
      </c>
      <c r="P100" s="19" t="str">
        <f aca="false">IF(O100="","",IF(O100&gt;0.25,"ACRÉSCIMO ACIMA DE 25% — conferir",""))</f>
        <v/>
      </c>
      <c r="Q100" s="27"/>
      <c r="R100" s="5"/>
    </row>
    <row r="101" customFormat="false" ht="15" hidden="false" customHeight="false" outlineLevel="0" collapsed="false">
      <c r="A101" s="27"/>
      <c r="B101" s="5"/>
      <c r="C101" s="5"/>
      <c r="D101" s="35"/>
      <c r="E101" s="14"/>
      <c r="F101" s="18"/>
      <c r="G101" s="31" t="str">
        <f aca="false">IF(A101="","",IFERROR(IF(INDEX(Empresas!$C:$C,MATCH(A101,Empresas!$A:$A,0))="","",INDEX(Empresas!$C:$C,MATCH(A101,Empresas!$A:$A,0))),""))</f>
        <v/>
      </c>
      <c r="H101" s="18"/>
      <c r="I101" s="19" t="str">
        <f aca="false">IF(OR(F101="",G101=""),"",IF(F101-G101&lt;0,"CONTRATO ANTERIOR À ABERTURA — conferir datas",IF(F101-G101&lt;180,"ABERTA MENOS DE 6 MESES ANTES","")))</f>
        <v/>
      </c>
      <c r="J101" s="19" t="str">
        <f aca="false">IF(A101="","",IFERROR(INDEX(Sancoes!$B:$B,MATCH(A101,Sancoes!$A:$A,0))&amp;"","não consta"))</f>
        <v/>
      </c>
      <c r="K101" s="19" t="str">
        <f aca="false">IF(OR(A101="",F101=""),"",IF(SUMPRODUCT((Sancoes!$A$2:$A$301=A101)*(Sancoes!$B$2:$B$301&lt;&gt;"Não consta")*(Sancoes!$D$2:$D$301&lt;&gt;"")*(Sancoes!$D$2:$D$301&lt;=F101)*(((Sancoes!$E$2:$E$301="")+(Sancoes!$E$2:$E$301&gt;=F101))&gt;0))&gt;0,"SANÇÃO VIGENTE NA DATA — leia o tipo e a abrangência",""))</f>
        <v/>
      </c>
      <c r="L101" s="19" t="str">
        <f aca="false">IF(A101="","",IFERROR(INDEX(Empresas!$B:$B,MATCH(A101,Empresas!$A:$A,0))&amp;"","cadastre o CNPJ em Empresas"))</f>
        <v/>
      </c>
      <c r="M101" s="27"/>
      <c r="N101" s="35"/>
      <c r="O101" s="37" t="str">
        <f aca="false">IF(OR(D101="",D101=0,N101=""),"",N101/D101)</f>
        <v/>
      </c>
      <c r="P101" s="19" t="str">
        <f aca="false">IF(O101="","",IF(O101&gt;0.25,"ACRÉSCIMO ACIMA DE 25% — conferir",""))</f>
        <v/>
      </c>
      <c r="Q101" s="27"/>
      <c r="R101" s="5"/>
    </row>
    <row r="102" customFormat="false" ht="15" hidden="false" customHeight="false" outlineLevel="0" collapsed="false">
      <c r="A102" s="27"/>
      <c r="B102" s="5"/>
      <c r="C102" s="5"/>
      <c r="D102" s="35"/>
      <c r="E102" s="14"/>
      <c r="F102" s="18"/>
      <c r="G102" s="31" t="str">
        <f aca="false">IF(A102="","",IFERROR(IF(INDEX(Empresas!$C:$C,MATCH(A102,Empresas!$A:$A,0))="","",INDEX(Empresas!$C:$C,MATCH(A102,Empresas!$A:$A,0))),""))</f>
        <v/>
      </c>
      <c r="H102" s="18"/>
      <c r="I102" s="19" t="str">
        <f aca="false">IF(OR(F102="",G102=""),"",IF(F102-G102&lt;0,"CONTRATO ANTERIOR À ABERTURA — conferir datas",IF(F102-G102&lt;180,"ABERTA MENOS DE 6 MESES ANTES","")))</f>
        <v/>
      </c>
      <c r="J102" s="19" t="str">
        <f aca="false">IF(A102="","",IFERROR(INDEX(Sancoes!$B:$B,MATCH(A102,Sancoes!$A:$A,0))&amp;"","não consta"))</f>
        <v/>
      </c>
      <c r="K102" s="19" t="str">
        <f aca="false">IF(OR(A102="",F102=""),"",IF(SUMPRODUCT((Sancoes!$A$2:$A$301=A102)*(Sancoes!$B$2:$B$301&lt;&gt;"Não consta")*(Sancoes!$D$2:$D$301&lt;&gt;"")*(Sancoes!$D$2:$D$301&lt;=F102)*(((Sancoes!$E$2:$E$301="")+(Sancoes!$E$2:$E$301&gt;=F102))&gt;0))&gt;0,"SANÇÃO VIGENTE NA DATA — leia o tipo e a abrangência",""))</f>
        <v/>
      </c>
      <c r="L102" s="19" t="str">
        <f aca="false">IF(A102="","",IFERROR(INDEX(Empresas!$B:$B,MATCH(A102,Empresas!$A:$A,0))&amp;"","cadastre o CNPJ em Empresas"))</f>
        <v/>
      </c>
      <c r="M102" s="27"/>
      <c r="N102" s="35"/>
      <c r="O102" s="37" t="str">
        <f aca="false">IF(OR(D102="",D102=0,N102=""),"",N102/D102)</f>
        <v/>
      </c>
      <c r="P102" s="19" t="str">
        <f aca="false">IF(O102="","",IF(O102&gt;0.25,"ACRÉSCIMO ACIMA DE 25% — conferir",""))</f>
        <v/>
      </c>
      <c r="Q102" s="27"/>
      <c r="R102" s="5"/>
    </row>
    <row r="103" customFormat="false" ht="15" hidden="false" customHeight="false" outlineLevel="0" collapsed="false">
      <c r="A103" s="27"/>
      <c r="B103" s="5"/>
      <c r="C103" s="5"/>
      <c r="D103" s="35"/>
      <c r="E103" s="14"/>
      <c r="F103" s="18"/>
      <c r="G103" s="31" t="str">
        <f aca="false">IF(A103="","",IFERROR(IF(INDEX(Empresas!$C:$C,MATCH(A103,Empresas!$A:$A,0))="","",INDEX(Empresas!$C:$C,MATCH(A103,Empresas!$A:$A,0))),""))</f>
        <v/>
      </c>
      <c r="H103" s="18"/>
      <c r="I103" s="19" t="str">
        <f aca="false">IF(OR(F103="",G103=""),"",IF(F103-G103&lt;0,"CONTRATO ANTERIOR À ABERTURA — conferir datas",IF(F103-G103&lt;180,"ABERTA MENOS DE 6 MESES ANTES","")))</f>
        <v/>
      </c>
      <c r="J103" s="19" t="str">
        <f aca="false">IF(A103="","",IFERROR(INDEX(Sancoes!$B:$B,MATCH(A103,Sancoes!$A:$A,0))&amp;"","não consta"))</f>
        <v/>
      </c>
      <c r="K103" s="19" t="str">
        <f aca="false">IF(OR(A103="",F103=""),"",IF(SUMPRODUCT((Sancoes!$A$2:$A$301=A103)*(Sancoes!$B$2:$B$301&lt;&gt;"Não consta")*(Sancoes!$D$2:$D$301&lt;&gt;"")*(Sancoes!$D$2:$D$301&lt;=F103)*(((Sancoes!$E$2:$E$301="")+(Sancoes!$E$2:$E$301&gt;=F103))&gt;0))&gt;0,"SANÇÃO VIGENTE NA DATA — leia o tipo e a abrangência",""))</f>
        <v/>
      </c>
      <c r="L103" s="19" t="str">
        <f aca="false">IF(A103="","",IFERROR(INDEX(Empresas!$B:$B,MATCH(A103,Empresas!$A:$A,0))&amp;"","cadastre o CNPJ em Empresas"))</f>
        <v/>
      </c>
      <c r="M103" s="27"/>
      <c r="N103" s="35"/>
      <c r="O103" s="37" t="str">
        <f aca="false">IF(OR(D103="",D103=0,N103=""),"",N103/D103)</f>
        <v/>
      </c>
      <c r="P103" s="19" t="str">
        <f aca="false">IF(O103="","",IF(O103&gt;0.25,"ACRÉSCIMO ACIMA DE 25% — conferir",""))</f>
        <v/>
      </c>
      <c r="Q103" s="27"/>
      <c r="R103" s="5"/>
    </row>
    <row r="104" customFormat="false" ht="15" hidden="false" customHeight="false" outlineLevel="0" collapsed="false">
      <c r="A104" s="27"/>
      <c r="B104" s="5"/>
      <c r="C104" s="5"/>
      <c r="D104" s="35"/>
      <c r="E104" s="14"/>
      <c r="F104" s="18"/>
      <c r="G104" s="31" t="str">
        <f aca="false">IF(A104="","",IFERROR(IF(INDEX(Empresas!$C:$C,MATCH(A104,Empresas!$A:$A,0))="","",INDEX(Empresas!$C:$C,MATCH(A104,Empresas!$A:$A,0))),""))</f>
        <v/>
      </c>
      <c r="H104" s="18"/>
      <c r="I104" s="19" t="str">
        <f aca="false">IF(OR(F104="",G104=""),"",IF(F104-G104&lt;0,"CONTRATO ANTERIOR À ABERTURA — conferir datas",IF(F104-G104&lt;180,"ABERTA MENOS DE 6 MESES ANTES","")))</f>
        <v/>
      </c>
      <c r="J104" s="19" t="str">
        <f aca="false">IF(A104="","",IFERROR(INDEX(Sancoes!$B:$B,MATCH(A104,Sancoes!$A:$A,0))&amp;"","não consta"))</f>
        <v/>
      </c>
      <c r="K104" s="19" t="str">
        <f aca="false">IF(OR(A104="",F104=""),"",IF(SUMPRODUCT((Sancoes!$A$2:$A$301=A104)*(Sancoes!$B$2:$B$301&lt;&gt;"Não consta")*(Sancoes!$D$2:$D$301&lt;&gt;"")*(Sancoes!$D$2:$D$301&lt;=F104)*(((Sancoes!$E$2:$E$301="")+(Sancoes!$E$2:$E$301&gt;=F104))&gt;0))&gt;0,"SANÇÃO VIGENTE NA DATA — leia o tipo e a abrangência",""))</f>
        <v/>
      </c>
      <c r="L104" s="19" t="str">
        <f aca="false">IF(A104="","",IFERROR(INDEX(Empresas!$B:$B,MATCH(A104,Empresas!$A:$A,0))&amp;"","cadastre o CNPJ em Empresas"))</f>
        <v/>
      </c>
      <c r="M104" s="27"/>
      <c r="N104" s="35"/>
      <c r="O104" s="37" t="str">
        <f aca="false">IF(OR(D104="",D104=0,N104=""),"",N104/D104)</f>
        <v/>
      </c>
      <c r="P104" s="19" t="str">
        <f aca="false">IF(O104="","",IF(O104&gt;0.25,"ACRÉSCIMO ACIMA DE 25% — conferir",""))</f>
        <v/>
      </c>
      <c r="Q104" s="27"/>
      <c r="R104" s="5"/>
    </row>
    <row r="105" customFormat="false" ht="15" hidden="false" customHeight="false" outlineLevel="0" collapsed="false">
      <c r="A105" s="27"/>
      <c r="B105" s="5"/>
      <c r="C105" s="5"/>
      <c r="D105" s="35"/>
      <c r="E105" s="14"/>
      <c r="F105" s="18"/>
      <c r="G105" s="31" t="str">
        <f aca="false">IF(A105="","",IFERROR(IF(INDEX(Empresas!$C:$C,MATCH(A105,Empresas!$A:$A,0))="","",INDEX(Empresas!$C:$C,MATCH(A105,Empresas!$A:$A,0))),""))</f>
        <v/>
      </c>
      <c r="H105" s="18"/>
      <c r="I105" s="19" t="str">
        <f aca="false">IF(OR(F105="",G105=""),"",IF(F105-G105&lt;0,"CONTRATO ANTERIOR À ABERTURA — conferir datas",IF(F105-G105&lt;180,"ABERTA MENOS DE 6 MESES ANTES","")))</f>
        <v/>
      </c>
      <c r="J105" s="19" t="str">
        <f aca="false">IF(A105="","",IFERROR(INDEX(Sancoes!$B:$B,MATCH(A105,Sancoes!$A:$A,0))&amp;"","não consta"))</f>
        <v/>
      </c>
      <c r="K105" s="19" t="str">
        <f aca="false">IF(OR(A105="",F105=""),"",IF(SUMPRODUCT((Sancoes!$A$2:$A$301=A105)*(Sancoes!$B$2:$B$301&lt;&gt;"Não consta")*(Sancoes!$D$2:$D$301&lt;&gt;"")*(Sancoes!$D$2:$D$301&lt;=F105)*(((Sancoes!$E$2:$E$301="")+(Sancoes!$E$2:$E$301&gt;=F105))&gt;0))&gt;0,"SANÇÃO VIGENTE NA DATA — leia o tipo e a abrangência",""))</f>
        <v/>
      </c>
      <c r="L105" s="19" t="str">
        <f aca="false">IF(A105="","",IFERROR(INDEX(Empresas!$B:$B,MATCH(A105,Empresas!$A:$A,0))&amp;"","cadastre o CNPJ em Empresas"))</f>
        <v/>
      </c>
      <c r="M105" s="27"/>
      <c r="N105" s="35"/>
      <c r="O105" s="37" t="str">
        <f aca="false">IF(OR(D105="",D105=0,N105=""),"",N105/D105)</f>
        <v/>
      </c>
      <c r="P105" s="19" t="str">
        <f aca="false">IF(O105="","",IF(O105&gt;0.25,"ACRÉSCIMO ACIMA DE 25% — conferir",""))</f>
        <v/>
      </c>
      <c r="Q105" s="27"/>
      <c r="R105" s="5"/>
    </row>
    <row r="106" customFormat="false" ht="15" hidden="false" customHeight="false" outlineLevel="0" collapsed="false">
      <c r="A106" s="27"/>
      <c r="B106" s="5"/>
      <c r="C106" s="5"/>
      <c r="D106" s="35"/>
      <c r="E106" s="14"/>
      <c r="F106" s="18"/>
      <c r="G106" s="31" t="str">
        <f aca="false">IF(A106="","",IFERROR(IF(INDEX(Empresas!$C:$C,MATCH(A106,Empresas!$A:$A,0))="","",INDEX(Empresas!$C:$C,MATCH(A106,Empresas!$A:$A,0))),""))</f>
        <v/>
      </c>
      <c r="H106" s="18"/>
      <c r="I106" s="19" t="str">
        <f aca="false">IF(OR(F106="",G106=""),"",IF(F106-G106&lt;0,"CONTRATO ANTERIOR À ABERTURA — conferir datas",IF(F106-G106&lt;180,"ABERTA MENOS DE 6 MESES ANTES","")))</f>
        <v/>
      </c>
      <c r="J106" s="19" t="str">
        <f aca="false">IF(A106="","",IFERROR(INDEX(Sancoes!$B:$B,MATCH(A106,Sancoes!$A:$A,0))&amp;"","não consta"))</f>
        <v/>
      </c>
      <c r="K106" s="19" t="str">
        <f aca="false">IF(OR(A106="",F106=""),"",IF(SUMPRODUCT((Sancoes!$A$2:$A$301=A106)*(Sancoes!$B$2:$B$301&lt;&gt;"Não consta")*(Sancoes!$D$2:$D$301&lt;&gt;"")*(Sancoes!$D$2:$D$301&lt;=F106)*(((Sancoes!$E$2:$E$301="")+(Sancoes!$E$2:$E$301&gt;=F106))&gt;0))&gt;0,"SANÇÃO VIGENTE NA DATA — leia o tipo e a abrangência",""))</f>
        <v/>
      </c>
      <c r="L106" s="19" t="str">
        <f aca="false">IF(A106="","",IFERROR(INDEX(Empresas!$B:$B,MATCH(A106,Empresas!$A:$A,0))&amp;"","cadastre o CNPJ em Empresas"))</f>
        <v/>
      </c>
      <c r="M106" s="27"/>
      <c r="N106" s="35"/>
      <c r="O106" s="37" t="str">
        <f aca="false">IF(OR(D106="",D106=0,N106=""),"",N106/D106)</f>
        <v/>
      </c>
      <c r="P106" s="19" t="str">
        <f aca="false">IF(O106="","",IF(O106&gt;0.25,"ACRÉSCIMO ACIMA DE 25% — conferir",""))</f>
        <v/>
      </c>
      <c r="Q106" s="27"/>
      <c r="R106" s="5"/>
    </row>
    <row r="107" customFormat="false" ht="15" hidden="false" customHeight="false" outlineLevel="0" collapsed="false">
      <c r="A107" s="27"/>
      <c r="B107" s="5"/>
      <c r="C107" s="5"/>
      <c r="D107" s="35"/>
      <c r="E107" s="14"/>
      <c r="F107" s="18"/>
      <c r="G107" s="31" t="str">
        <f aca="false">IF(A107="","",IFERROR(IF(INDEX(Empresas!$C:$C,MATCH(A107,Empresas!$A:$A,0))="","",INDEX(Empresas!$C:$C,MATCH(A107,Empresas!$A:$A,0))),""))</f>
        <v/>
      </c>
      <c r="H107" s="18"/>
      <c r="I107" s="19" t="str">
        <f aca="false">IF(OR(F107="",G107=""),"",IF(F107-G107&lt;0,"CONTRATO ANTERIOR À ABERTURA — conferir datas",IF(F107-G107&lt;180,"ABERTA MENOS DE 6 MESES ANTES","")))</f>
        <v/>
      </c>
      <c r="J107" s="19" t="str">
        <f aca="false">IF(A107="","",IFERROR(INDEX(Sancoes!$B:$B,MATCH(A107,Sancoes!$A:$A,0))&amp;"","não consta"))</f>
        <v/>
      </c>
      <c r="K107" s="19" t="str">
        <f aca="false">IF(OR(A107="",F107=""),"",IF(SUMPRODUCT((Sancoes!$A$2:$A$301=A107)*(Sancoes!$B$2:$B$301&lt;&gt;"Não consta")*(Sancoes!$D$2:$D$301&lt;&gt;"")*(Sancoes!$D$2:$D$301&lt;=F107)*(((Sancoes!$E$2:$E$301="")+(Sancoes!$E$2:$E$301&gt;=F107))&gt;0))&gt;0,"SANÇÃO VIGENTE NA DATA — leia o tipo e a abrangência",""))</f>
        <v/>
      </c>
      <c r="L107" s="19" t="str">
        <f aca="false">IF(A107="","",IFERROR(INDEX(Empresas!$B:$B,MATCH(A107,Empresas!$A:$A,0))&amp;"","cadastre o CNPJ em Empresas"))</f>
        <v/>
      </c>
      <c r="M107" s="27"/>
      <c r="N107" s="35"/>
      <c r="O107" s="37" t="str">
        <f aca="false">IF(OR(D107="",D107=0,N107=""),"",N107/D107)</f>
        <v/>
      </c>
      <c r="P107" s="19" t="str">
        <f aca="false">IF(O107="","",IF(O107&gt;0.25,"ACRÉSCIMO ACIMA DE 25% — conferir",""))</f>
        <v/>
      </c>
      <c r="Q107" s="27"/>
      <c r="R107" s="5"/>
    </row>
    <row r="108" customFormat="false" ht="15" hidden="false" customHeight="false" outlineLevel="0" collapsed="false">
      <c r="A108" s="27"/>
      <c r="B108" s="5"/>
      <c r="C108" s="5"/>
      <c r="D108" s="35"/>
      <c r="E108" s="14"/>
      <c r="F108" s="18"/>
      <c r="G108" s="31" t="str">
        <f aca="false">IF(A108="","",IFERROR(IF(INDEX(Empresas!$C:$C,MATCH(A108,Empresas!$A:$A,0))="","",INDEX(Empresas!$C:$C,MATCH(A108,Empresas!$A:$A,0))),""))</f>
        <v/>
      </c>
      <c r="H108" s="18"/>
      <c r="I108" s="19" t="str">
        <f aca="false">IF(OR(F108="",G108=""),"",IF(F108-G108&lt;0,"CONTRATO ANTERIOR À ABERTURA — conferir datas",IF(F108-G108&lt;180,"ABERTA MENOS DE 6 MESES ANTES","")))</f>
        <v/>
      </c>
      <c r="J108" s="19" t="str">
        <f aca="false">IF(A108="","",IFERROR(INDEX(Sancoes!$B:$B,MATCH(A108,Sancoes!$A:$A,0))&amp;"","não consta"))</f>
        <v/>
      </c>
      <c r="K108" s="19" t="str">
        <f aca="false">IF(OR(A108="",F108=""),"",IF(SUMPRODUCT((Sancoes!$A$2:$A$301=A108)*(Sancoes!$B$2:$B$301&lt;&gt;"Não consta")*(Sancoes!$D$2:$D$301&lt;&gt;"")*(Sancoes!$D$2:$D$301&lt;=F108)*(((Sancoes!$E$2:$E$301="")+(Sancoes!$E$2:$E$301&gt;=F108))&gt;0))&gt;0,"SANÇÃO VIGENTE NA DATA — leia o tipo e a abrangência",""))</f>
        <v/>
      </c>
      <c r="L108" s="19" t="str">
        <f aca="false">IF(A108="","",IFERROR(INDEX(Empresas!$B:$B,MATCH(A108,Empresas!$A:$A,0))&amp;"","cadastre o CNPJ em Empresas"))</f>
        <v/>
      </c>
      <c r="M108" s="27"/>
      <c r="N108" s="35"/>
      <c r="O108" s="37" t="str">
        <f aca="false">IF(OR(D108="",D108=0,N108=""),"",N108/D108)</f>
        <v/>
      </c>
      <c r="P108" s="19" t="str">
        <f aca="false">IF(O108="","",IF(O108&gt;0.25,"ACRÉSCIMO ACIMA DE 25% — conferir",""))</f>
        <v/>
      </c>
      <c r="Q108" s="27"/>
      <c r="R108" s="5"/>
    </row>
    <row r="109" customFormat="false" ht="15" hidden="false" customHeight="false" outlineLevel="0" collapsed="false">
      <c r="A109" s="27"/>
      <c r="B109" s="5"/>
      <c r="C109" s="5"/>
      <c r="D109" s="35"/>
      <c r="E109" s="14"/>
      <c r="F109" s="18"/>
      <c r="G109" s="31" t="str">
        <f aca="false">IF(A109="","",IFERROR(IF(INDEX(Empresas!$C:$C,MATCH(A109,Empresas!$A:$A,0))="","",INDEX(Empresas!$C:$C,MATCH(A109,Empresas!$A:$A,0))),""))</f>
        <v/>
      </c>
      <c r="H109" s="18"/>
      <c r="I109" s="19" t="str">
        <f aca="false">IF(OR(F109="",G109=""),"",IF(F109-G109&lt;0,"CONTRATO ANTERIOR À ABERTURA — conferir datas",IF(F109-G109&lt;180,"ABERTA MENOS DE 6 MESES ANTES","")))</f>
        <v/>
      </c>
      <c r="J109" s="19" t="str">
        <f aca="false">IF(A109="","",IFERROR(INDEX(Sancoes!$B:$B,MATCH(A109,Sancoes!$A:$A,0))&amp;"","não consta"))</f>
        <v/>
      </c>
      <c r="K109" s="19" t="str">
        <f aca="false">IF(OR(A109="",F109=""),"",IF(SUMPRODUCT((Sancoes!$A$2:$A$301=A109)*(Sancoes!$B$2:$B$301&lt;&gt;"Não consta")*(Sancoes!$D$2:$D$301&lt;&gt;"")*(Sancoes!$D$2:$D$301&lt;=F109)*(((Sancoes!$E$2:$E$301="")+(Sancoes!$E$2:$E$301&gt;=F109))&gt;0))&gt;0,"SANÇÃO VIGENTE NA DATA — leia o tipo e a abrangência",""))</f>
        <v/>
      </c>
      <c r="L109" s="19" t="str">
        <f aca="false">IF(A109="","",IFERROR(INDEX(Empresas!$B:$B,MATCH(A109,Empresas!$A:$A,0))&amp;"","cadastre o CNPJ em Empresas"))</f>
        <v/>
      </c>
      <c r="M109" s="27"/>
      <c r="N109" s="35"/>
      <c r="O109" s="37" t="str">
        <f aca="false">IF(OR(D109="",D109=0,N109=""),"",N109/D109)</f>
        <v/>
      </c>
      <c r="P109" s="19" t="str">
        <f aca="false">IF(O109="","",IF(O109&gt;0.25,"ACRÉSCIMO ACIMA DE 25% — conferir",""))</f>
        <v/>
      </c>
      <c r="Q109" s="27"/>
      <c r="R109" s="5"/>
    </row>
    <row r="110" customFormat="false" ht="15" hidden="false" customHeight="false" outlineLevel="0" collapsed="false">
      <c r="A110" s="27"/>
      <c r="B110" s="5"/>
      <c r="C110" s="5"/>
      <c r="D110" s="35"/>
      <c r="E110" s="14"/>
      <c r="F110" s="18"/>
      <c r="G110" s="31" t="str">
        <f aca="false">IF(A110="","",IFERROR(IF(INDEX(Empresas!$C:$C,MATCH(A110,Empresas!$A:$A,0))="","",INDEX(Empresas!$C:$C,MATCH(A110,Empresas!$A:$A,0))),""))</f>
        <v/>
      </c>
      <c r="H110" s="18"/>
      <c r="I110" s="19" t="str">
        <f aca="false">IF(OR(F110="",G110=""),"",IF(F110-G110&lt;0,"CONTRATO ANTERIOR À ABERTURA — conferir datas",IF(F110-G110&lt;180,"ABERTA MENOS DE 6 MESES ANTES","")))</f>
        <v/>
      </c>
      <c r="J110" s="19" t="str">
        <f aca="false">IF(A110="","",IFERROR(INDEX(Sancoes!$B:$B,MATCH(A110,Sancoes!$A:$A,0))&amp;"","não consta"))</f>
        <v/>
      </c>
      <c r="K110" s="19" t="str">
        <f aca="false">IF(OR(A110="",F110=""),"",IF(SUMPRODUCT((Sancoes!$A$2:$A$301=A110)*(Sancoes!$B$2:$B$301&lt;&gt;"Não consta")*(Sancoes!$D$2:$D$301&lt;&gt;"")*(Sancoes!$D$2:$D$301&lt;=F110)*(((Sancoes!$E$2:$E$301="")+(Sancoes!$E$2:$E$301&gt;=F110))&gt;0))&gt;0,"SANÇÃO VIGENTE NA DATA — leia o tipo e a abrangência",""))</f>
        <v/>
      </c>
      <c r="L110" s="19" t="str">
        <f aca="false">IF(A110="","",IFERROR(INDEX(Empresas!$B:$B,MATCH(A110,Empresas!$A:$A,0))&amp;"","cadastre o CNPJ em Empresas"))</f>
        <v/>
      </c>
      <c r="M110" s="27"/>
      <c r="N110" s="35"/>
      <c r="O110" s="37" t="str">
        <f aca="false">IF(OR(D110="",D110=0,N110=""),"",N110/D110)</f>
        <v/>
      </c>
      <c r="P110" s="19" t="str">
        <f aca="false">IF(O110="","",IF(O110&gt;0.25,"ACRÉSCIMO ACIMA DE 25% — conferir",""))</f>
        <v/>
      </c>
      <c r="Q110" s="27"/>
      <c r="R110" s="5"/>
    </row>
    <row r="111" customFormat="false" ht="15" hidden="false" customHeight="false" outlineLevel="0" collapsed="false">
      <c r="A111" s="27"/>
      <c r="B111" s="5"/>
      <c r="C111" s="5"/>
      <c r="D111" s="35"/>
      <c r="E111" s="14"/>
      <c r="F111" s="18"/>
      <c r="G111" s="31" t="str">
        <f aca="false">IF(A111="","",IFERROR(IF(INDEX(Empresas!$C:$C,MATCH(A111,Empresas!$A:$A,0))="","",INDEX(Empresas!$C:$C,MATCH(A111,Empresas!$A:$A,0))),""))</f>
        <v/>
      </c>
      <c r="H111" s="18"/>
      <c r="I111" s="19" t="str">
        <f aca="false">IF(OR(F111="",G111=""),"",IF(F111-G111&lt;0,"CONTRATO ANTERIOR À ABERTURA — conferir datas",IF(F111-G111&lt;180,"ABERTA MENOS DE 6 MESES ANTES","")))</f>
        <v/>
      </c>
      <c r="J111" s="19" t="str">
        <f aca="false">IF(A111="","",IFERROR(INDEX(Sancoes!$B:$B,MATCH(A111,Sancoes!$A:$A,0))&amp;"","não consta"))</f>
        <v/>
      </c>
      <c r="K111" s="19" t="str">
        <f aca="false">IF(OR(A111="",F111=""),"",IF(SUMPRODUCT((Sancoes!$A$2:$A$301=A111)*(Sancoes!$B$2:$B$301&lt;&gt;"Não consta")*(Sancoes!$D$2:$D$301&lt;&gt;"")*(Sancoes!$D$2:$D$301&lt;=F111)*(((Sancoes!$E$2:$E$301="")+(Sancoes!$E$2:$E$301&gt;=F111))&gt;0))&gt;0,"SANÇÃO VIGENTE NA DATA — leia o tipo e a abrangência",""))</f>
        <v/>
      </c>
      <c r="L111" s="19" t="str">
        <f aca="false">IF(A111="","",IFERROR(INDEX(Empresas!$B:$B,MATCH(A111,Empresas!$A:$A,0))&amp;"","cadastre o CNPJ em Empresas"))</f>
        <v/>
      </c>
      <c r="M111" s="27"/>
      <c r="N111" s="35"/>
      <c r="O111" s="37" t="str">
        <f aca="false">IF(OR(D111="",D111=0,N111=""),"",N111/D111)</f>
        <v/>
      </c>
      <c r="P111" s="19" t="str">
        <f aca="false">IF(O111="","",IF(O111&gt;0.25,"ACRÉSCIMO ACIMA DE 25% — conferir",""))</f>
        <v/>
      </c>
      <c r="Q111" s="27"/>
      <c r="R111" s="5"/>
    </row>
    <row r="112" customFormat="false" ht="15" hidden="false" customHeight="false" outlineLevel="0" collapsed="false">
      <c r="A112" s="27"/>
      <c r="B112" s="5"/>
      <c r="C112" s="5"/>
      <c r="D112" s="35"/>
      <c r="E112" s="14"/>
      <c r="F112" s="18"/>
      <c r="G112" s="31" t="str">
        <f aca="false">IF(A112="","",IFERROR(IF(INDEX(Empresas!$C:$C,MATCH(A112,Empresas!$A:$A,0))="","",INDEX(Empresas!$C:$C,MATCH(A112,Empresas!$A:$A,0))),""))</f>
        <v/>
      </c>
      <c r="H112" s="18"/>
      <c r="I112" s="19" t="str">
        <f aca="false">IF(OR(F112="",G112=""),"",IF(F112-G112&lt;0,"CONTRATO ANTERIOR À ABERTURA — conferir datas",IF(F112-G112&lt;180,"ABERTA MENOS DE 6 MESES ANTES","")))</f>
        <v/>
      </c>
      <c r="J112" s="19" t="str">
        <f aca="false">IF(A112="","",IFERROR(INDEX(Sancoes!$B:$B,MATCH(A112,Sancoes!$A:$A,0))&amp;"","não consta"))</f>
        <v/>
      </c>
      <c r="K112" s="19" t="str">
        <f aca="false">IF(OR(A112="",F112=""),"",IF(SUMPRODUCT((Sancoes!$A$2:$A$301=A112)*(Sancoes!$B$2:$B$301&lt;&gt;"Não consta")*(Sancoes!$D$2:$D$301&lt;&gt;"")*(Sancoes!$D$2:$D$301&lt;=F112)*(((Sancoes!$E$2:$E$301="")+(Sancoes!$E$2:$E$301&gt;=F112))&gt;0))&gt;0,"SANÇÃO VIGENTE NA DATA — leia o tipo e a abrangência",""))</f>
        <v/>
      </c>
      <c r="L112" s="19" t="str">
        <f aca="false">IF(A112="","",IFERROR(INDEX(Empresas!$B:$B,MATCH(A112,Empresas!$A:$A,0))&amp;"","cadastre o CNPJ em Empresas"))</f>
        <v/>
      </c>
      <c r="M112" s="27"/>
      <c r="N112" s="35"/>
      <c r="O112" s="37" t="str">
        <f aca="false">IF(OR(D112="",D112=0,N112=""),"",N112/D112)</f>
        <v/>
      </c>
      <c r="P112" s="19" t="str">
        <f aca="false">IF(O112="","",IF(O112&gt;0.25,"ACRÉSCIMO ACIMA DE 25% — conferir",""))</f>
        <v/>
      </c>
      <c r="Q112" s="27"/>
      <c r="R112" s="5"/>
    </row>
    <row r="113" customFormat="false" ht="15" hidden="false" customHeight="false" outlineLevel="0" collapsed="false">
      <c r="A113" s="27"/>
      <c r="B113" s="5"/>
      <c r="C113" s="5"/>
      <c r="D113" s="35"/>
      <c r="E113" s="14"/>
      <c r="F113" s="18"/>
      <c r="G113" s="31" t="str">
        <f aca="false">IF(A113="","",IFERROR(IF(INDEX(Empresas!$C:$C,MATCH(A113,Empresas!$A:$A,0))="","",INDEX(Empresas!$C:$C,MATCH(A113,Empresas!$A:$A,0))),""))</f>
        <v/>
      </c>
      <c r="H113" s="18"/>
      <c r="I113" s="19" t="str">
        <f aca="false">IF(OR(F113="",G113=""),"",IF(F113-G113&lt;0,"CONTRATO ANTERIOR À ABERTURA — conferir datas",IF(F113-G113&lt;180,"ABERTA MENOS DE 6 MESES ANTES","")))</f>
        <v/>
      </c>
      <c r="J113" s="19" t="str">
        <f aca="false">IF(A113="","",IFERROR(INDEX(Sancoes!$B:$B,MATCH(A113,Sancoes!$A:$A,0))&amp;"","não consta"))</f>
        <v/>
      </c>
      <c r="K113" s="19" t="str">
        <f aca="false">IF(OR(A113="",F113=""),"",IF(SUMPRODUCT((Sancoes!$A$2:$A$301=A113)*(Sancoes!$B$2:$B$301&lt;&gt;"Não consta")*(Sancoes!$D$2:$D$301&lt;&gt;"")*(Sancoes!$D$2:$D$301&lt;=F113)*(((Sancoes!$E$2:$E$301="")+(Sancoes!$E$2:$E$301&gt;=F113))&gt;0))&gt;0,"SANÇÃO VIGENTE NA DATA — leia o tipo e a abrangência",""))</f>
        <v/>
      </c>
      <c r="L113" s="19" t="str">
        <f aca="false">IF(A113="","",IFERROR(INDEX(Empresas!$B:$B,MATCH(A113,Empresas!$A:$A,0))&amp;"","cadastre o CNPJ em Empresas"))</f>
        <v/>
      </c>
      <c r="M113" s="27"/>
      <c r="N113" s="35"/>
      <c r="O113" s="37" t="str">
        <f aca="false">IF(OR(D113="",D113=0,N113=""),"",N113/D113)</f>
        <v/>
      </c>
      <c r="P113" s="19" t="str">
        <f aca="false">IF(O113="","",IF(O113&gt;0.25,"ACRÉSCIMO ACIMA DE 25% — conferir",""))</f>
        <v/>
      </c>
      <c r="Q113" s="27"/>
      <c r="R113" s="5"/>
    </row>
    <row r="114" customFormat="false" ht="15" hidden="false" customHeight="false" outlineLevel="0" collapsed="false">
      <c r="A114" s="27"/>
      <c r="B114" s="5"/>
      <c r="C114" s="5"/>
      <c r="D114" s="35"/>
      <c r="E114" s="14"/>
      <c r="F114" s="18"/>
      <c r="G114" s="31" t="str">
        <f aca="false">IF(A114="","",IFERROR(IF(INDEX(Empresas!$C:$C,MATCH(A114,Empresas!$A:$A,0))="","",INDEX(Empresas!$C:$C,MATCH(A114,Empresas!$A:$A,0))),""))</f>
        <v/>
      </c>
      <c r="H114" s="18"/>
      <c r="I114" s="19" t="str">
        <f aca="false">IF(OR(F114="",G114=""),"",IF(F114-G114&lt;0,"CONTRATO ANTERIOR À ABERTURA — conferir datas",IF(F114-G114&lt;180,"ABERTA MENOS DE 6 MESES ANTES","")))</f>
        <v/>
      </c>
      <c r="J114" s="19" t="str">
        <f aca="false">IF(A114="","",IFERROR(INDEX(Sancoes!$B:$B,MATCH(A114,Sancoes!$A:$A,0))&amp;"","não consta"))</f>
        <v/>
      </c>
      <c r="K114" s="19" t="str">
        <f aca="false">IF(OR(A114="",F114=""),"",IF(SUMPRODUCT((Sancoes!$A$2:$A$301=A114)*(Sancoes!$B$2:$B$301&lt;&gt;"Não consta")*(Sancoes!$D$2:$D$301&lt;&gt;"")*(Sancoes!$D$2:$D$301&lt;=F114)*(((Sancoes!$E$2:$E$301="")+(Sancoes!$E$2:$E$301&gt;=F114))&gt;0))&gt;0,"SANÇÃO VIGENTE NA DATA — leia o tipo e a abrangência",""))</f>
        <v/>
      </c>
      <c r="L114" s="19" t="str">
        <f aca="false">IF(A114="","",IFERROR(INDEX(Empresas!$B:$B,MATCH(A114,Empresas!$A:$A,0))&amp;"","cadastre o CNPJ em Empresas"))</f>
        <v/>
      </c>
      <c r="M114" s="27"/>
      <c r="N114" s="35"/>
      <c r="O114" s="37" t="str">
        <f aca="false">IF(OR(D114="",D114=0,N114=""),"",N114/D114)</f>
        <v/>
      </c>
      <c r="P114" s="19" t="str">
        <f aca="false">IF(O114="","",IF(O114&gt;0.25,"ACRÉSCIMO ACIMA DE 25% — conferir",""))</f>
        <v/>
      </c>
      <c r="Q114" s="27"/>
      <c r="R114" s="5"/>
    </row>
    <row r="115" customFormat="false" ht="15" hidden="false" customHeight="false" outlineLevel="0" collapsed="false">
      <c r="A115" s="27"/>
      <c r="B115" s="5"/>
      <c r="C115" s="5"/>
      <c r="D115" s="35"/>
      <c r="E115" s="14"/>
      <c r="F115" s="18"/>
      <c r="G115" s="31" t="str">
        <f aca="false">IF(A115="","",IFERROR(IF(INDEX(Empresas!$C:$C,MATCH(A115,Empresas!$A:$A,0))="","",INDEX(Empresas!$C:$C,MATCH(A115,Empresas!$A:$A,0))),""))</f>
        <v/>
      </c>
      <c r="H115" s="18"/>
      <c r="I115" s="19" t="str">
        <f aca="false">IF(OR(F115="",G115=""),"",IF(F115-G115&lt;0,"CONTRATO ANTERIOR À ABERTURA — conferir datas",IF(F115-G115&lt;180,"ABERTA MENOS DE 6 MESES ANTES","")))</f>
        <v/>
      </c>
      <c r="J115" s="19" t="str">
        <f aca="false">IF(A115="","",IFERROR(INDEX(Sancoes!$B:$B,MATCH(A115,Sancoes!$A:$A,0))&amp;"","não consta"))</f>
        <v/>
      </c>
      <c r="K115" s="19" t="str">
        <f aca="false">IF(OR(A115="",F115=""),"",IF(SUMPRODUCT((Sancoes!$A$2:$A$301=A115)*(Sancoes!$B$2:$B$301&lt;&gt;"Não consta")*(Sancoes!$D$2:$D$301&lt;&gt;"")*(Sancoes!$D$2:$D$301&lt;=F115)*(((Sancoes!$E$2:$E$301="")+(Sancoes!$E$2:$E$301&gt;=F115))&gt;0))&gt;0,"SANÇÃO VIGENTE NA DATA — leia o tipo e a abrangência",""))</f>
        <v/>
      </c>
      <c r="L115" s="19" t="str">
        <f aca="false">IF(A115="","",IFERROR(INDEX(Empresas!$B:$B,MATCH(A115,Empresas!$A:$A,0))&amp;"","cadastre o CNPJ em Empresas"))</f>
        <v/>
      </c>
      <c r="M115" s="27"/>
      <c r="N115" s="35"/>
      <c r="O115" s="37" t="str">
        <f aca="false">IF(OR(D115="",D115=0,N115=""),"",N115/D115)</f>
        <v/>
      </c>
      <c r="P115" s="19" t="str">
        <f aca="false">IF(O115="","",IF(O115&gt;0.25,"ACRÉSCIMO ACIMA DE 25% — conferir",""))</f>
        <v/>
      </c>
      <c r="Q115" s="27"/>
      <c r="R115" s="5"/>
    </row>
    <row r="116" customFormat="false" ht="15" hidden="false" customHeight="false" outlineLevel="0" collapsed="false">
      <c r="A116" s="27"/>
      <c r="B116" s="5"/>
      <c r="C116" s="5"/>
      <c r="D116" s="35"/>
      <c r="E116" s="14"/>
      <c r="F116" s="18"/>
      <c r="G116" s="31" t="str">
        <f aca="false">IF(A116="","",IFERROR(IF(INDEX(Empresas!$C:$C,MATCH(A116,Empresas!$A:$A,0))="","",INDEX(Empresas!$C:$C,MATCH(A116,Empresas!$A:$A,0))),""))</f>
        <v/>
      </c>
      <c r="H116" s="18"/>
      <c r="I116" s="19" t="str">
        <f aca="false">IF(OR(F116="",G116=""),"",IF(F116-G116&lt;0,"CONTRATO ANTERIOR À ABERTURA — conferir datas",IF(F116-G116&lt;180,"ABERTA MENOS DE 6 MESES ANTES","")))</f>
        <v/>
      </c>
      <c r="J116" s="19" t="str">
        <f aca="false">IF(A116="","",IFERROR(INDEX(Sancoes!$B:$B,MATCH(A116,Sancoes!$A:$A,0))&amp;"","não consta"))</f>
        <v/>
      </c>
      <c r="K116" s="19" t="str">
        <f aca="false">IF(OR(A116="",F116=""),"",IF(SUMPRODUCT((Sancoes!$A$2:$A$301=A116)*(Sancoes!$B$2:$B$301&lt;&gt;"Não consta")*(Sancoes!$D$2:$D$301&lt;&gt;"")*(Sancoes!$D$2:$D$301&lt;=F116)*(((Sancoes!$E$2:$E$301="")+(Sancoes!$E$2:$E$301&gt;=F116))&gt;0))&gt;0,"SANÇÃO VIGENTE NA DATA — leia o tipo e a abrangência",""))</f>
        <v/>
      </c>
      <c r="L116" s="19" t="str">
        <f aca="false">IF(A116="","",IFERROR(INDEX(Empresas!$B:$B,MATCH(A116,Empresas!$A:$A,0))&amp;"","cadastre o CNPJ em Empresas"))</f>
        <v/>
      </c>
      <c r="M116" s="27"/>
      <c r="N116" s="35"/>
      <c r="O116" s="37" t="str">
        <f aca="false">IF(OR(D116="",D116=0,N116=""),"",N116/D116)</f>
        <v/>
      </c>
      <c r="P116" s="19" t="str">
        <f aca="false">IF(O116="","",IF(O116&gt;0.25,"ACRÉSCIMO ACIMA DE 25% — conferir",""))</f>
        <v/>
      </c>
      <c r="Q116" s="27"/>
      <c r="R116" s="5"/>
    </row>
    <row r="117" customFormat="false" ht="15" hidden="false" customHeight="false" outlineLevel="0" collapsed="false">
      <c r="A117" s="27"/>
      <c r="B117" s="5"/>
      <c r="C117" s="5"/>
      <c r="D117" s="35"/>
      <c r="E117" s="14"/>
      <c r="F117" s="18"/>
      <c r="G117" s="31" t="str">
        <f aca="false">IF(A117="","",IFERROR(IF(INDEX(Empresas!$C:$C,MATCH(A117,Empresas!$A:$A,0))="","",INDEX(Empresas!$C:$C,MATCH(A117,Empresas!$A:$A,0))),""))</f>
        <v/>
      </c>
      <c r="H117" s="18"/>
      <c r="I117" s="19" t="str">
        <f aca="false">IF(OR(F117="",G117=""),"",IF(F117-G117&lt;0,"CONTRATO ANTERIOR À ABERTURA — conferir datas",IF(F117-G117&lt;180,"ABERTA MENOS DE 6 MESES ANTES","")))</f>
        <v/>
      </c>
      <c r="J117" s="19" t="str">
        <f aca="false">IF(A117="","",IFERROR(INDEX(Sancoes!$B:$B,MATCH(A117,Sancoes!$A:$A,0))&amp;"","não consta"))</f>
        <v/>
      </c>
      <c r="K117" s="19" t="str">
        <f aca="false">IF(OR(A117="",F117=""),"",IF(SUMPRODUCT((Sancoes!$A$2:$A$301=A117)*(Sancoes!$B$2:$B$301&lt;&gt;"Não consta")*(Sancoes!$D$2:$D$301&lt;&gt;"")*(Sancoes!$D$2:$D$301&lt;=F117)*(((Sancoes!$E$2:$E$301="")+(Sancoes!$E$2:$E$301&gt;=F117))&gt;0))&gt;0,"SANÇÃO VIGENTE NA DATA — leia o tipo e a abrangência",""))</f>
        <v/>
      </c>
      <c r="L117" s="19" t="str">
        <f aca="false">IF(A117="","",IFERROR(INDEX(Empresas!$B:$B,MATCH(A117,Empresas!$A:$A,0))&amp;"","cadastre o CNPJ em Empresas"))</f>
        <v/>
      </c>
      <c r="M117" s="27"/>
      <c r="N117" s="35"/>
      <c r="O117" s="37" t="str">
        <f aca="false">IF(OR(D117="",D117=0,N117=""),"",N117/D117)</f>
        <v/>
      </c>
      <c r="P117" s="19" t="str">
        <f aca="false">IF(O117="","",IF(O117&gt;0.25,"ACRÉSCIMO ACIMA DE 25% — conferir",""))</f>
        <v/>
      </c>
      <c r="Q117" s="27"/>
      <c r="R117" s="5"/>
    </row>
    <row r="118" customFormat="false" ht="15" hidden="false" customHeight="false" outlineLevel="0" collapsed="false">
      <c r="A118" s="27"/>
      <c r="B118" s="5"/>
      <c r="C118" s="5"/>
      <c r="D118" s="35"/>
      <c r="E118" s="14"/>
      <c r="F118" s="18"/>
      <c r="G118" s="31" t="str">
        <f aca="false">IF(A118="","",IFERROR(IF(INDEX(Empresas!$C:$C,MATCH(A118,Empresas!$A:$A,0))="","",INDEX(Empresas!$C:$C,MATCH(A118,Empresas!$A:$A,0))),""))</f>
        <v/>
      </c>
      <c r="H118" s="18"/>
      <c r="I118" s="19" t="str">
        <f aca="false">IF(OR(F118="",G118=""),"",IF(F118-G118&lt;0,"CONTRATO ANTERIOR À ABERTURA — conferir datas",IF(F118-G118&lt;180,"ABERTA MENOS DE 6 MESES ANTES","")))</f>
        <v/>
      </c>
      <c r="J118" s="19" t="str">
        <f aca="false">IF(A118="","",IFERROR(INDEX(Sancoes!$B:$B,MATCH(A118,Sancoes!$A:$A,0))&amp;"","não consta"))</f>
        <v/>
      </c>
      <c r="K118" s="19" t="str">
        <f aca="false">IF(OR(A118="",F118=""),"",IF(SUMPRODUCT((Sancoes!$A$2:$A$301=A118)*(Sancoes!$B$2:$B$301&lt;&gt;"Não consta")*(Sancoes!$D$2:$D$301&lt;&gt;"")*(Sancoes!$D$2:$D$301&lt;=F118)*(((Sancoes!$E$2:$E$301="")+(Sancoes!$E$2:$E$301&gt;=F118))&gt;0))&gt;0,"SANÇÃO VIGENTE NA DATA — leia o tipo e a abrangência",""))</f>
        <v/>
      </c>
      <c r="L118" s="19" t="str">
        <f aca="false">IF(A118="","",IFERROR(INDEX(Empresas!$B:$B,MATCH(A118,Empresas!$A:$A,0))&amp;"","cadastre o CNPJ em Empresas"))</f>
        <v/>
      </c>
      <c r="M118" s="27"/>
      <c r="N118" s="35"/>
      <c r="O118" s="37" t="str">
        <f aca="false">IF(OR(D118="",D118=0,N118=""),"",N118/D118)</f>
        <v/>
      </c>
      <c r="P118" s="19" t="str">
        <f aca="false">IF(O118="","",IF(O118&gt;0.25,"ACRÉSCIMO ACIMA DE 25% — conferir",""))</f>
        <v/>
      </c>
      <c r="Q118" s="27"/>
      <c r="R118" s="5"/>
    </row>
    <row r="119" customFormat="false" ht="15" hidden="false" customHeight="false" outlineLevel="0" collapsed="false">
      <c r="A119" s="27"/>
      <c r="B119" s="5"/>
      <c r="C119" s="5"/>
      <c r="D119" s="35"/>
      <c r="E119" s="14"/>
      <c r="F119" s="18"/>
      <c r="G119" s="31" t="str">
        <f aca="false">IF(A119="","",IFERROR(IF(INDEX(Empresas!$C:$C,MATCH(A119,Empresas!$A:$A,0))="","",INDEX(Empresas!$C:$C,MATCH(A119,Empresas!$A:$A,0))),""))</f>
        <v/>
      </c>
      <c r="H119" s="18"/>
      <c r="I119" s="19" t="str">
        <f aca="false">IF(OR(F119="",G119=""),"",IF(F119-G119&lt;0,"CONTRATO ANTERIOR À ABERTURA — conferir datas",IF(F119-G119&lt;180,"ABERTA MENOS DE 6 MESES ANTES","")))</f>
        <v/>
      </c>
      <c r="J119" s="19" t="str">
        <f aca="false">IF(A119="","",IFERROR(INDEX(Sancoes!$B:$B,MATCH(A119,Sancoes!$A:$A,0))&amp;"","não consta"))</f>
        <v/>
      </c>
      <c r="K119" s="19" t="str">
        <f aca="false">IF(OR(A119="",F119=""),"",IF(SUMPRODUCT((Sancoes!$A$2:$A$301=A119)*(Sancoes!$B$2:$B$301&lt;&gt;"Não consta")*(Sancoes!$D$2:$D$301&lt;&gt;"")*(Sancoes!$D$2:$D$301&lt;=F119)*(((Sancoes!$E$2:$E$301="")+(Sancoes!$E$2:$E$301&gt;=F119))&gt;0))&gt;0,"SANÇÃO VIGENTE NA DATA — leia o tipo e a abrangência",""))</f>
        <v/>
      </c>
      <c r="L119" s="19" t="str">
        <f aca="false">IF(A119="","",IFERROR(INDEX(Empresas!$B:$B,MATCH(A119,Empresas!$A:$A,0))&amp;"","cadastre o CNPJ em Empresas"))</f>
        <v/>
      </c>
      <c r="M119" s="27"/>
      <c r="N119" s="35"/>
      <c r="O119" s="37" t="str">
        <f aca="false">IF(OR(D119="",D119=0,N119=""),"",N119/D119)</f>
        <v/>
      </c>
      <c r="P119" s="19" t="str">
        <f aca="false">IF(O119="","",IF(O119&gt;0.25,"ACRÉSCIMO ACIMA DE 25% — conferir",""))</f>
        <v/>
      </c>
      <c r="Q119" s="27"/>
      <c r="R119" s="5"/>
    </row>
    <row r="120" customFormat="false" ht="15" hidden="false" customHeight="false" outlineLevel="0" collapsed="false">
      <c r="A120" s="27"/>
      <c r="B120" s="5"/>
      <c r="C120" s="5"/>
      <c r="D120" s="35"/>
      <c r="E120" s="14"/>
      <c r="F120" s="18"/>
      <c r="G120" s="31" t="str">
        <f aca="false">IF(A120="","",IFERROR(IF(INDEX(Empresas!$C:$C,MATCH(A120,Empresas!$A:$A,0))="","",INDEX(Empresas!$C:$C,MATCH(A120,Empresas!$A:$A,0))),""))</f>
        <v/>
      </c>
      <c r="H120" s="18"/>
      <c r="I120" s="19" t="str">
        <f aca="false">IF(OR(F120="",G120=""),"",IF(F120-G120&lt;0,"CONTRATO ANTERIOR À ABERTURA — conferir datas",IF(F120-G120&lt;180,"ABERTA MENOS DE 6 MESES ANTES","")))</f>
        <v/>
      </c>
      <c r="J120" s="19" t="str">
        <f aca="false">IF(A120="","",IFERROR(INDEX(Sancoes!$B:$B,MATCH(A120,Sancoes!$A:$A,0))&amp;"","não consta"))</f>
        <v/>
      </c>
      <c r="K120" s="19" t="str">
        <f aca="false">IF(OR(A120="",F120=""),"",IF(SUMPRODUCT((Sancoes!$A$2:$A$301=A120)*(Sancoes!$B$2:$B$301&lt;&gt;"Não consta")*(Sancoes!$D$2:$D$301&lt;&gt;"")*(Sancoes!$D$2:$D$301&lt;=F120)*(((Sancoes!$E$2:$E$301="")+(Sancoes!$E$2:$E$301&gt;=F120))&gt;0))&gt;0,"SANÇÃO VIGENTE NA DATA — leia o tipo e a abrangência",""))</f>
        <v/>
      </c>
      <c r="L120" s="19" t="str">
        <f aca="false">IF(A120="","",IFERROR(INDEX(Empresas!$B:$B,MATCH(A120,Empresas!$A:$A,0))&amp;"","cadastre o CNPJ em Empresas"))</f>
        <v/>
      </c>
      <c r="M120" s="27"/>
      <c r="N120" s="35"/>
      <c r="O120" s="37" t="str">
        <f aca="false">IF(OR(D120="",D120=0,N120=""),"",N120/D120)</f>
        <v/>
      </c>
      <c r="P120" s="19" t="str">
        <f aca="false">IF(O120="","",IF(O120&gt;0.25,"ACRÉSCIMO ACIMA DE 25% — conferir",""))</f>
        <v/>
      </c>
      <c r="Q120" s="27"/>
      <c r="R120" s="5"/>
    </row>
    <row r="121" customFormat="false" ht="15" hidden="false" customHeight="false" outlineLevel="0" collapsed="false">
      <c r="A121" s="27"/>
      <c r="B121" s="5"/>
      <c r="C121" s="5"/>
      <c r="D121" s="35"/>
      <c r="E121" s="14"/>
      <c r="F121" s="18"/>
      <c r="G121" s="31" t="str">
        <f aca="false">IF(A121="","",IFERROR(IF(INDEX(Empresas!$C:$C,MATCH(A121,Empresas!$A:$A,0))="","",INDEX(Empresas!$C:$C,MATCH(A121,Empresas!$A:$A,0))),""))</f>
        <v/>
      </c>
      <c r="H121" s="18"/>
      <c r="I121" s="19" t="str">
        <f aca="false">IF(OR(F121="",G121=""),"",IF(F121-G121&lt;0,"CONTRATO ANTERIOR À ABERTURA — conferir datas",IF(F121-G121&lt;180,"ABERTA MENOS DE 6 MESES ANTES","")))</f>
        <v/>
      </c>
      <c r="J121" s="19" t="str">
        <f aca="false">IF(A121="","",IFERROR(INDEX(Sancoes!$B:$B,MATCH(A121,Sancoes!$A:$A,0))&amp;"","não consta"))</f>
        <v/>
      </c>
      <c r="K121" s="19" t="str">
        <f aca="false">IF(OR(A121="",F121=""),"",IF(SUMPRODUCT((Sancoes!$A$2:$A$301=A121)*(Sancoes!$B$2:$B$301&lt;&gt;"Não consta")*(Sancoes!$D$2:$D$301&lt;&gt;"")*(Sancoes!$D$2:$D$301&lt;=F121)*(((Sancoes!$E$2:$E$301="")+(Sancoes!$E$2:$E$301&gt;=F121))&gt;0))&gt;0,"SANÇÃO VIGENTE NA DATA — leia o tipo e a abrangência",""))</f>
        <v/>
      </c>
      <c r="L121" s="19" t="str">
        <f aca="false">IF(A121="","",IFERROR(INDEX(Empresas!$B:$B,MATCH(A121,Empresas!$A:$A,0))&amp;"","cadastre o CNPJ em Empresas"))</f>
        <v/>
      </c>
      <c r="M121" s="27"/>
      <c r="N121" s="35"/>
      <c r="O121" s="37" t="str">
        <f aca="false">IF(OR(D121="",D121=0,N121=""),"",N121/D121)</f>
        <v/>
      </c>
      <c r="P121" s="19" t="str">
        <f aca="false">IF(O121="","",IF(O121&gt;0.25,"ACRÉSCIMO ACIMA DE 25% — conferir",""))</f>
        <v/>
      </c>
      <c r="Q121" s="27"/>
      <c r="R121" s="5"/>
    </row>
    <row r="122" customFormat="false" ht="15" hidden="false" customHeight="false" outlineLevel="0" collapsed="false">
      <c r="A122" s="27"/>
      <c r="B122" s="5"/>
      <c r="C122" s="5"/>
      <c r="D122" s="35"/>
      <c r="E122" s="14"/>
      <c r="F122" s="18"/>
      <c r="G122" s="31" t="str">
        <f aca="false">IF(A122="","",IFERROR(IF(INDEX(Empresas!$C:$C,MATCH(A122,Empresas!$A:$A,0))="","",INDEX(Empresas!$C:$C,MATCH(A122,Empresas!$A:$A,0))),""))</f>
        <v/>
      </c>
      <c r="H122" s="18"/>
      <c r="I122" s="19" t="str">
        <f aca="false">IF(OR(F122="",G122=""),"",IF(F122-G122&lt;0,"CONTRATO ANTERIOR À ABERTURA — conferir datas",IF(F122-G122&lt;180,"ABERTA MENOS DE 6 MESES ANTES","")))</f>
        <v/>
      </c>
      <c r="J122" s="19" t="str">
        <f aca="false">IF(A122="","",IFERROR(INDEX(Sancoes!$B:$B,MATCH(A122,Sancoes!$A:$A,0))&amp;"","não consta"))</f>
        <v/>
      </c>
      <c r="K122" s="19" t="str">
        <f aca="false">IF(OR(A122="",F122=""),"",IF(SUMPRODUCT((Sancoes!$A$2:$A$301=A122)*(Sancoes!$B$2:$B$301&lt;&gt;"Não consta")*(Sancoes!$D$2:$D$301&lt;&gt;"")*(Sancoes!$D$2:$D$301&lt;=F122)*(((Sancoes!$E$2:$E$301="")+(Sancoes!$E$2:$E$301&gt;=F122))&gt;0))&gt;0,"SANÇÃO VIGENTE NA DATA — leia o tipo e a abrangência",""))</f>
        <v/>
      </c>
      <c r="L122" s="19" t="str">
        <f aca="false">IF(A122="","",IFERROR(INDEX(Empresas!$B:$B,MATCH(A122,Empresas!$A:$A,0))&amp;"","cadastre o CNPJ em Empresas"))</f>
        <v/>
      </c>
      <c r="M122" s="27"/>
      <c r="N122" s="35"/>
      <c r="O122" s="37" t="str">
        <f aca="false">IF(OR(D122="",D122=0,N122=""),"",N122/D122)</f>
        <v/>
      </c>
      <c r="P122" s="19" t="str">
        <f aca="false">IF(O122="","",IF(O122&gt;0.25,"ACRÉSCIMO ACIMA DE 25% — conferir",""))</f>
        <v/>
      </c>
      <c r="Q122" s="27"/>
      <c r="R122" s="5"/>
    </row>
    <row r="123" customFormat="false" ht="15" hidden="false" customHeight="false" outlineLevel="0" collapsed="false">
      <c r="A123" s="27"/>
      <c r="B123" s="5"/>
      <c r="C123" s="5"/>
      <c r="D123" s="35"/>
      <c r="E123" s="14"/>
      <c r="F123" s="18"/>
      <c r="G123" s="31" t="str">
        <f aca="false">IF(A123="","",IFERROR(IF(INDEX(Empresas!$C:$C,MATCH(A123,Empresas!$A:$A,0))="","",INDEX(Empresas!$C:$C,MATCH(A123,Empresas!$A:$A,0))),""))</f>
        <v/>
      </c>
      <c r="H123" s="18"/>
      <c r="I123" s="19" t="str">
        <f aca="false">IF(OR(F123="",G123=""),"",IF(F123-G123&lt;0,"CONTRATO ANTERIOR À ABERTURA — conferir datas",IF(F123-G123&lt;180,"ABERTA MENOS DE 6 MESES ANTES","")))</f>
        <v/>
      </c>
      <c r="J123" s="19" t="str">
        <f aca="false">IF(A123="","",IFERROR(INDEX(Sancoes!$B:$B,MATCH(A123,Sancoes!$A:$A,0))&amp;"","não consta"))</f>
        <v/>
      </c>
      <c r="K123" s="19" t="str">
        <f aca="false">IF(OR(A123="",F123=""),"",IF(SUMPRODUCT((Sancoes!$A$2:$A$301=A123)*(Sancoes!$B$2:$B$301&lt;&gt;"Não consta")*(Sancoes!$D$2:$D$301&lt;&gt;"")*(Sancoes!$D$2:$D$301&lt;=F123)*(((Sancoes!$E$2:$E$301="")+(Sancoes!$E$2:$E$301&gt;=F123))&gt;0))&gt;0,"SANÇÃO VIGENTE NA DATA — leia o tipo e a abrangência",""))</f>
        <v/>
      </c>
      <c r="L123" s="19" t="str">
        <f aca="false">IF(A123="","",IFERROR(INDEX(Empresas!$B:$B,MATCH(A123,Empresas!$A:$A,0))&amp;"","cadastre o CNPJ em Empresas"))</f>
        <v/>
      </c>
      <c r="M123" s="27"/>
      <c r="N123" s="35"/>
      <c r="O123" s="37" t="str">
        <f aca="false">IF(OR(D123="",D123=0,N123=""),"",N123/D123)</f>
        <v/>
      </c>
      <c r="P123" s="19" t="str">
        <f aca="false">IF(O123="","",IF(O123&gt;0.25,"ACRÉSCIMO ACIMA DE 25% — conferir",""))</f>
        <v/>
      </c>
      <c r="Q123" s="27"/>
      <c r="R123" s="5"/>
    </row>
    <row r="124" customFormat="false" ht="15" hidden="false" customHeight="false" outlineLevel="0" collapsed="false">
      <c r="A124" s="27"/>
      <c r="B124" s="5"/>
      <c r="C124" s="5"/>
      <c r="D124" s="35"/>
      <c r="E124" s="14"/>
      <c r="F124" s="18"/>
      <c r="G124" s="31" t="str">
        <f aca="false">IF(A124="","",IFERROR(IF(INDEX(Empresas!$C:$C,MATCH(A124,Empresas!$A:$A,0))="","",INDEX(Empresas!$C:$C,MATCH(A124,Empresas!$A:$A,0))),""))</f>
        <v/>
      </c>
      <c r="H124" s="18"/>
      <c r="I124" s="19" t="str">
        <f aca="false">IF(OR(F124="",G124=""),"",IF(F124-G124&lt;0,"CONTRATO ANTERIOR À ABERTURA — conferir datas",IF(F124-G124&lt;180,"ABERTA MENOS DE 6 MESES ANTES","")))</f>
        <v/>
      </c>
      <c r="J124" s="19" t="str">
        <f aca="false">IF(A124="","",IFERROR(INDEX(Sancoes!$B:$B,MATCH(A124,Sancoes!$A:$A,0))&amp;"","não consta"))</f>
        <v/>
      </c>
      <c r="K124" s="19" t="str">
        <f aca="false">IF(OR(A124="",F124=""),"",IF(SUMPRODUCT((Sancoes!$A$2:$A$301=A124)*(Sancoes!$B$2:$B$301&lt;&gt;"Não consta")*(Sancoes!$D$2:$D$301&lt;&gt;"")*(Sancoes!$D$2:$D$301&lt;=F124)*(((Sancoes!$E$2:$E$301="")+(Sancoes!$E$2:$E$301&gt;=F124))&gt;0))&gt;0,"SANÇÃO VIGENTE NA DATA — leia o tipo e a abrangência",""))</f>
        <v/>
      </c>
      <c r="L124" s="19" t="str">
        <f aca="false">IF(A124="","",IFERROR(INDEX(Empresas!$B:$B,MATCH(A124,Empresas!$A:$A,0))&amp;"","cadastre o CNPJ em Empresas"))</f>
        <v/>
      </c>
      <c r="M124" s="27"/>
      <c r="N124" s="35"/>
      <c r="O124" s="37" t="str">
        <f aca="false">IF(OR(D124="",D124=0,N124=""),"",N124/D124)</f>
        <v/>
      </c>
      <c r="P124" s="19" t="str">
        <f aca="false">IF(O124="","",IF(O124&gt;0.25,"ACRÉSCIMO ACIMA DE 25% — conferir",""))</f>
        <v/>
      </c>
      <c r="Q124" s="27"/>
      <c r="R124" s="5"/>
    </row>
    <row r="125" customFormat="false" ht="15" hidden="false" customHeight="false" outlineLevel="0" collapsed="false">
      <c r="A125" s="27"/>
      <c r="B125" s="5"/>
      <c r="C125" s="5"/>
      <c r="D125" s="35"/>
      <c r="E125" s="14"/>
      <c r="F125" s="18"/>
      <c r="G125" s="31" t="str">
        <f aca="false">IF(A125="","",IFERROR(IF(INDEX(Empresas!$C:$C,MATCH(A125,Empresas!$A:$A,0))="","",INDEX(Empresas!$C:$C,MATCH(A125,Empresas!$A:$A,0))),""))</f>
        <v/>
      </c>
      <c r="H125" s="18"/>
      <c r="I125" s="19" t="str">
        <f aca="false">IF(OR(F125="",G125=""),"",IF(F125-G125&lt;0,"CONTRATO ANTERIOR À ABERTURA — conferir datas",IF(F125-G125&lt;180,"ABERTA MENOS DE 6 MESES ANTES","")))</f>
        <v/>
      </c>
      <c r="J125" s="19" t="str">
        <f aca="false">IF(A125="","",IFERROR(INDEX(Sancoes!$B:$B,MATCH(A125,Sancoes!$A:$A,0))&amp;"","não consta"))</f>
        <v/>
      </c>
      <c r="K125" s="19" t="str">
        <f aca="false">IF(OR(A125="",F125=""),"",IF(SUMPRODUCT((Sancoes!$A$2:$A$301=A125)*(Sancoes!$B$2:$B$301&lt;&gt;"Não consta")*(Sancoes!$D$2:$D$301&lt;&gt;"")*(Sancoes!$D$2:$D$301&lt;=F125)*(((Sancoes!$E$2:$E$301="")+(Sancoes!$E$2:$E$301&gt;=F125))&gt;0))&gt;0,"SANÇÃO VIGENTE NA DATA — leia o tipo e a abrangência",""))</f>
        <v/>
      </c>
      <c r="L125" s="19" t="str">
        <f aca="false">IF(A125="","",IFERROR(INDEX(Empresas!$B:$B,MATCH(A125,Empresas!$A:$A,0))&amp;"","cadastre o CNPJ em Empresas"))</f>
        <v/>
      </c>
      <c r="M125" s="27"/>
      <c r="N125" s="35"/>
      <c r="O125" s="37" t="str">
        <f aca="false">IF(OR(D125="",D125=0,N125=""),"",N125/D125)</f>
        <v/>
      </c>
      <c r="P125" s="19" t="str">
        <f aca="false">IF(O125="","",IF(O125&gt;0.25,"ACRÉSCIMO ACIMA DE 25% — conferir",""))</f>
        <v/>
      </c>
      <c r="Q125" s="27"/>
      <c r="R125" s="5"/>
    </row>
    <row r="126" customFormat="false" ht="15" hidden="false" customHeight="false" outlineLevel="0" collapsed="false">
      <c r="A126" s="27"/>
      <c r="B126" s="5"/>
      <c r="C126" s="5"/>
      <c r="D126" s="35"/>
      <c r="E126" s="14"/>
      <c r="F126" s="18"/>
      <c r="G126" s="31" t="str">
        <f aca="false">IF(A126="","",IFERROR(IF(INDEX(Empresas!$C:$C,MATCH(A126,Empresas!$A:$A,0))="","",INDEX(Empresas!$C:$C,MATCH(A126,Empresas!$A:$A,0))),""))</f>
        <v/>
      </c>
      <c r="H126" s="18"/>
      <c r="I126" s="19" t="str">
        <f aca="false">IF(OR(F126="",G126=""),"",IF(F126-G126&lt;0,"CONTRATO ANTERIOR À ABERTURA — conferir datas",IF(F126-G126&lt;180,"ABERTA MENOS DE 6 MESES ANTES","")))</f>
        <v/>
      </c>
      <c r="J126" s="19" t="str">
        <f aca="false">IF(A126="","",IFERROR(INDEX(Sancoes!$B:$B,MATCH(A126,Sancoes!$A:$A,0))&amp;"","não consta"))</f>
        <v/>
      </c>
      <c r="K126" s="19" t="str">
        <f aca="false">IF(OR(A126="",F126=""),"",IF(SUMPRODUCT((Sancoes!$A$2:$A$301=A126)*(Sancoes!$B$2:$B$301&lt;&gt;"Não consta")*(Sancoes!$D$2:$D$301&lt;&gt;"")*(Sancoes!$D$2:$D$301&lt;=F126)*(((Sancoes!$E$2:$E$301="")+(Sancoes!$E$2:$E$301&gt;=F126))&gt;0))&gt;0,"SANÇÃO VIGENTE NA DATA — leia o tipo e a abrangência",""))</f>
        <v/>
      </c>
      <c r="L126" s="19" t="str">
        <f aca="false">IF(A126="","",IFERROR(INDEX(Empresas!$B:$B,MATCH(A126,Empresas!$A:$A,0))&amp;"","cadastre o CNPJ em Empresas"))</f>
        <v/>
      </c>
      <c r="M126" s="27"/>
      <c r="N126" s="35"/>
      <c r="O126" s="37" t="str">
        <f aca="false">IF(OR(D126="",D126=0,N126=""),"",N126/D126)</f>
        <v/>
      </c>
      <c r="P126" s="19" t="str">
        <f aca="false">IF(O126="","",IF(O126&gt;0.25,"ACRÉSCIMO ACIMA DE 25% — conferir",""))</f>
        <v/>
      </c>
      <c r="Q126" s="27"/>
      <c r="R126" s="5"/>
    </row>
    <row r="127" customFormat="false" ht="15" hidden="false" customHeight="false" outlineLevel="0" collapsed="false">
      <c r="A127" s="27"/>
      <c r="B127" s="5"/>
      <c r="C127" s="5"/>
      <c r="D127" s="35"/>
      <c r="E127" s="14"/>
      <c r="F127" s="18"/>
      <c r="G127" s="31" t="str">
        <f aca="false">IF(A127="","",IFERROR(IF(INDEX(Empresas!$C:$C,MATCH(A127,Empresas!$A:$A,0))="","",INDEX(Empresas!$C:$C,MATCH(A127,Empresas!$A:$A,0))),""))</f>
        <v/>
      </c>
      <c r="H127" s="18"/>
      <c r="I127" s="19" t="str">
        <f aca="false">IF(OR(F127="",G127=""),"",IF(F127-G127&lt;0,"CONTRATO ANTERIOR À ABERTURA — conferir datas",IF(F127-G127&lt;180,"ABERTA MENOS DE 6 MESES ANTES","")))</f>
        <v/>
      </c>
      <c r="J127" s="19" t="str">
        <f aca="false">IF(A127="","",IFERROR(INDEX(Sancoes!$B:$B,MATCH(A127,Sancoes!$A:$A,0))&amp;"","não consta"))</f>
        <v/>
      </c>
      <c r="K127" s="19" t="str">
        <f aca="false">IF(OR(A127="",F127=""),"",IF(SUMPRODUCT((Sancoes!$A$2:$A$301=A127)*(Sancoes!$B$2:$B$301&lt;&gt;"Não consta")*(Sancoes!$D$2:$D$301&lt;&gt;"")*(Sancoes!$D$2:$D$301&lt;=F127)*(((Sancoes!$E$2:$E$301="")+(Sancoes!$E$2:$E$301&gt;=F127))&gt;0))&gt;0,"SANÇÃO VIGENTE NA DATA — leia o tipo e a abrangência",""))</f>
        <v/>
      </c>
      <c r="L127" s="19" t="str">
        <f aca="false">IF(A127="","",IFERROR(INDEX(Empresas!$B:$B,MATCH(A127,Empresas!$A:$A,0))&amp;"","cadastre o CNPJ em Empresas"))</f>
        <v/>
      </c>
      <c r="M127" s="27"/>
      <c r="N127" s="35"/>
      <c r="O127" s="37" t="str">
        <f aca="false">IF(OR(D127="",D127=0,N127=""),"",N127/D127)</f>
        <v/>
      </c>
      <c r="P127" s="19" t="str">
        <f aca="false">IF(O127="","",IF(O127&gt;0.25,"ACRÉSCIMO ACIMA DE 25% — conferir",""))</f>
        <v/>
      </c>
      <c r="Q127" s="27"/>
      <c r="R127" s="5"/>
    </row>
    <row r="128" customFormat="false" ht="15" hidden="false" customHeight="false" outlineLevel="0" collapsed="false">
      <c r="A128" s="27"/>
      <c r="B128" s="5"/>
      <c r="C128" s="5"/>
      <c r="D128" s="35"/>
      <c r="E128" s="14"/>
      <c r="F128" s="18"/>
      <c r="G128" s="31" t="str">
        <f aca="false">IF(A128="","",IFERROR(IF(INDEX(Empresas!$C:$C,MATCH(A128,Empresas!$A:$A,0))="","",INDEX(Empresas!$C:$C,MATCH(A128,Empresas!$A:$A,0))),""))</f>
        <v/>
      </c>
      <c r="H128" s="18"/>
      <c r="I128" s="19" t="str">
        <f aca="false">IF(OR(F128="",G128=""),"",IF(F128-G128&lt;0,"CONTRATO ANTERIOR À ABERTURA — conferir datas",IF(F128-G128&lt;180,"ABERTA MENOS DE 6 MESES ANTES","")))</f>
        <v/>
      </c>
      <c r="J128" s="19" t="str">
        <f aca="false">IF(A128="","",IFERROR(INDEX(Sancoes!$B:$B,MATCH(A128,Sancoes!$A:$A,0))&amp;"","não consta"))</f>
        <v/>
      </c>
      <c r="K128" s="19" t="str">
        <f aca="false">IF(OR(A128="",F128=""),"",IF(SUMPRODUCT((Sancoes!$A$2:$A$301=A128)*(Sancoes!$B$2:$B$301&lt;&gt;"Não consta")*(Sancoes!$D$2:$D$301&lt;&gt;"")*(Sancoes!$D$2:$D$301&lt;=F128)*(((Sancoes!$E$2:$E$301="")+(Sancoes!$E$2:$E$301&gt;=F128))&gt;0))&gt;0,"SANÇÃO VIGENTE NA DATA — leia o tipo e a abrangência",""))</f>
        <v/>
      </c>
      <c r="L128" s="19" t="str">
        <f aca="false">IF(A128="","",IFERROR(INDEX(Empresas!$B:$B,MATCH(A128,Empresas!$A:$A,0))&amp;"","cadastre o CNPJ em Empresas"))</f>
        <v/>
      </c>
      <c r="M128" s="27"/>
      <c r="N128" s="35"/>
      <c r="O128" s="37" t="str">
        <f aca="false">IF(OR(D128="",D128=0,N128=""),"",N128/D128)</f>
        <v/>
      </c>
      <c r="P128" s="19" t="str">
        <f aca="false">IF(O128="","",IF(O128&gt;0.25,"ACRÉSCIMO ACIMA DE 25% — conferir",""))</f>
        <v/>
      </c>
      <c r="Q128" s="27"/>
      <c r="R128" s="5"/>
    </row>
    <row r="129" customFormat="false" ht="15" hidden="false" customHeight="false" outlineLevel="0" collapsed="false">
      <c r="A129" s="27"/>
      <c r="B129" s="5"/>
      <c r="C129" s="5"/>
      <c r="D129" s="35"/>
      <c r="E129" s="14"/>
      <c r="F129" s="18"/>
      <c r="G129" s="31" t="str">
        <f aca="false">IF(A129="","",IFERROR(IF(INDEX(Empresas!$C:$C,MATCH(A129,Empresas!$A:$A,0))="","",INDEX(Empresas!$C:$C,MATCH(A129,Empresas!$A:$A,0))),""))</f>
        <v/>
      </c>
      <c r="H129" s="18"/>
      <c r="I129" s="19" t="str">
        <f aca="false">IF(OR(F129="",G129=""),"",IF(F129-G129&lt;0,"CONTRATO ANTERIOR À ABERTURA — conferir datas",IF(F129-G129&lt;180,"ABERTA MENOS DE 6 MESES ANTES","")))</f>
        <v/>
      </c>
      <c r="J129" s="19" t="str">
        <f aca="false">IF(A129="","",IFERROR(INDEX(Sancoes!$B:$B,MATCH(A129,Sancoes!$A:$A,0))&amp;"","não consta"))</f>
        <v/>
      </c>
      <c r="K129" s="19" t="str">
        <f aca="false">IF(OR(A129="",F129=""),"",IF(SUMPRODUCT((Sancoes!$A$2:$A$301=A129)*(Sancoes!$B$2:$B$301&lt;&gt;"Não consta")*(Sancoes!$D$2:$D$301&lt;&gt;"")*(Sancoes!$D$2:$D$301&lt;=F129)*(((Sancoes!$E$2:$E$301="")+(Sancoes!$E$2:$E$301&gt;=F129))&gt;0))&gt;0,"SANÇÃO VIGENTE NA DATA — leia o tipo e a abrangência",""))</f>
        <v/>
      </c>
      <c r="L129" s="19" t="str">
        <f aca="false">IF(A129="","",IFERROR(INDEX(Empresas!$B:$B,MATCH(A129,Empresas!$A:$A,0))&amp;"","cadastre o CNPJ em Empresas"))</f>
        <v/>
      </c>
      <c r="M129" s="27"/>
      <c r="N129" s="35"/>
      <c r="O129" s="37" t="str">
        <f aca="false">IF(OR(D129="",D129=0,N129=""),"",N129/D129)</f>
        <v/>
      </c>
      <c r="P129" s="19" t="str">
        <f aca="false">IF(O129="","",IF(O129&gt;0.25,"ACRÉSCIMO ACIMA DE 25% — conferir",""))</f>
        <v/>
      </c>
      <c r="Q129" s="27"/>
      <c r="R129" s="5"/>
    </row>
    <row r="130" customFormat="false" ht="15" hidden="false" customHeight="false" outlineLevel="0" collapsed="false">
      <c r="A130" s="27"/>
      <c r="B130" s="5"/>
      <c r="C130" s="5"/>
      <c r="D130" s="35"/>
      <c r="E130" s="14"/>
      <c r="F130" s="18"/>
      <c r="G130" s="31" t="str">
        <f aca="false">IF(A130="","",IFERROR(IF(INDEX(Empresas!$C:$C,MATCH(A130,Empresas!$A:$A,0))="","",INDEX(Empresas!$C:$C,MATCH(A130,Empresas!$A:$A,0))),""))</f>
        <v/>
      </c>
      <c r="H130" s="18"/>
      <c r="I130" s="19" t="str">
        <f aca="false">IF(OR(F130="",G130=""),"",IF(F130-G130&lt;0,"CONTRATO ANTERIOR À ABERTURA — conferir datas",IF(F130-G130&lt;180,"ABERTA MENOS DE 6 MESES ANTES","")))</f>
        <v/>
      </c>
      <c r="J130" s="19" t="str">
        <f aca="false">IF(A130="","",IFERROR(INDEX(Sancoes!$B:$B,MATCH(A130,Sancoes!$A:$A,0))&amp;"","não consta"))</f>
        <v/>
      </c>
      <c r="K130" s="19" t="str">
        <f aca="false">IF(OR(A130="",F130=""),"",IF(SUMPRODUCT((Sancoes!$A$2:$A$301=A130)*(Sancoes!$B$2:$B$301&lt;&gt;"Não consta")*(Sancoes!$D$2:$D$301&lt;&gt;"")*(Sancoes!$D$2:$D$301&lt;=F130)*(((Sancoes!$E$2:$E$301="")+(Sancoes!$E$2:$E$301&gt;=F130))&gt;0))&gt;0,"SANÇÃO VIGENTE NA DATA — leia o tipo e a abrangência",""))</f>
        <v/>
      </c>
      <c r="L130" s="19" t="str">
        <f aca="false">IF(A130="","",IFERROR(INDEX(Empresas!$B:$B,MATCH(A130,Empresas!$A:$A,0))&amp;"","cadastre o CNPJ em Empresas"))</f>
        <v/>
      </c>
      <c r="M130" s="27"/>
      <c r="N130" s="35"/>
      <c r="O130" s="37" t="str">
        <f aca="false">IF(OR(D130="",D130=0,N130=""),"",N130/D130)</f>
        <v/>
      </c>
      <c r="P130" s="19" t="str">
        <f aca="false">IF(O130="","",IF(O130&gt;0.25,"ACRÉSCIMO ACIMA DE 25% — conferir",""))</f>
        <v/>
      </c>
      <c r="Q130" s="27"/>
      <c r="R130" s="5"/>
    </row>
    <row r="131" customFormat="false" ht="15" hidden="false" customHeight="false" outlineLevel="0" collapsed="false">
      <c r="A131" s="27"/>
      <c r="B131" s="5"/>
      <c r="C131" s="5"/>
      <c r="D131" s="35"/>
      <c r="E131" s="14"/>
      <c r="F131" s="18"/>
      <c r="G131" s="31" t="str">
        <f aca="false">IF(A131="","",IFERROR(IF(INDEX(Empresas!$C:$C,MATCH(A131,Empresas!$A:$A,0))="","",INDEX(Empresas!$C:$C,MATCH(A131,Empresas!$A:$A,0))),""))</f>
        <v/>
      </c>
      <c r="H131" s="18"/>
      <c r="I131" s="19" t="str">
        <f aca="false">IF(OR(F131="",G131=""),"",IF(F131-G131&lt;0,"CONTRATO ANTERIOR À ABERTURA — conferir datas",IF(F131-G131&lt;180,"ABERTA MENOS DE 6 MESES ANTES","")))</f>
        <v/>
      </c>
      <c r="J131" s="19" t="str">
        <f aca="false">IF(A131="","",IFERROR(INDEX(Sancoes!$B:$B,MATCH(A131,Sancoes!$A:$A,0))&amp;"","não consta"))</f>
        <v/>
      </c>
      <c r="K131" s="19" t="str">
        <f aca="false">IF(OR(A131="",F131=""),"",IF(SUMPRODUCT((Sancoes!$A$2:$A$301=A131)*(Sancoes!$B$2:$B$301&lt;&gt;"Não consta")*(Sancoes!$D$2:$D$301&lt;&gt;"")*(Sancoes!$D$2:$D$301&lt;=F131)*(((Sancoes!$E$2:$E$301="")+(Sancoes!$E$2:$E$301&gt;=F131))&gt;0))&gt;0,"SANÇÃO VIGENTE NA DATA — leia o tipo e a abrangência",""))</f>
        <v/>
      </c>
      <c r="L131" s="19" t="str">
        <f aca="false">IF(A131="","",IFERROR(INDEX(Empresas!$B:$B,MATCH(A131,Empresas!$A:$A,0))&amp;"","cadastre o CNPJ em Empresas"))</f>
        <v/>
      </c>
      <c r="M131" s="27"/>
      <c r="N131" s="35"/>
      <c r="O131" s="37" t="str">
        <f aca="false">IF(OR(D131="",D131=0,N131=""),"",N131/D131)</f>
        <v/>
      </c>
      <c r="P131" s="19" t="str">
        <f aca="false">IF(O131="","",IF(O131&gt;0.25,"ACRÉSCIMO ACIMA DE 25% — conferir",""))</f>
        <v/>
      </c>
      <c r="Q131" s="27"/>
      <c r="R131" s="5"/>
    </row>
    <row r="132" customFormat="false" ht="15" hidden="false" customHeight="false" outlineLevel="0" collapsed="false">
      <c r="A132" s="27"/>
      <c r="B132" s="5"/>
      <c r="C132" s="5"/>
      <c r="D132" s="35"/>
      <c r="E132" s="14"/>
      <c r="F132" s="18"/>
      <c r="G132" s="31" t="str">
        <f aca="false">IF(A132="","",IFERROR(IF(INDEX(Empresas!$C:$C,MATCH(A132,Empresas!$A:$A,0))="","",INDEX(Empresas!$C:$C,MATCH(A132,Empresas!$A:$A,0))),""))</f>
        <v/>
      </c>
      <c r="H132" s="18"/>
      <c r="I132" s="19" t="str">
        <f aca="false">IF(OR(F132="",G132=""),"",IF(F132-G132&lt;0,"CONTRATO ANTERIOR À ABERTURA — conferir datas",IF(F132-G132&lt;180,"ABERTA MENOS DE 6 MESES ANTES","")))</f>
        <v/>
      </c>
      <c r="J132" s="19" t="str">
        <f aca="false">IF(A132="","",IFERROR(INDEX(Sancoes!$B:$B,MATCH(A132,Sancoes!$A:$A,0))&amp;"","não consta"))</f>
        <v/>
      </c>
      <c r="K132" s="19" t="str">
        <f aca="false">IF(OR(A132="",F132=""),"",IF(SUMPRODUCT((Sancoes!$A$2:$A$301=A132)*(Sancoes!$B$2:$B$301&lt;&gt;"Não consta")*(Sancoes!$D$2:$D$301&lt;&gt;"")*(Sancoes!$D$2:$D$301&lt;=F132)*(((Sancoes!$E$2:$E$301="")+(Sancoes!$E$2:$E$301&gt;=F132))&gt;0))&gt;0,"SANÇÃO VIGENTE NA DATA — leia o tipo e a abrangência",""))</f>
        <v/>
      </c>
      <c r="L132" s="19" t="str">
        <f aca="false">IF(A132="","",IFERROR(INDEX(Empresas!$B:$B,MATCH(A132,Empresas!$A:$A,0))&amp;"","cadastre o CNPJ em Empresas"))</f>
        <v/>
      </c>
      <c r="M132" s="27"/>
      <c r="N132" s="35"/>
      <c r="O132" s="37" t="str">
        <f aca="false">IF(OR(D132="",D132=0,N132=""),"",N132/D132)</f>
        <v/>
      </c>
      <c r="P132" s="19" t="str">
        <f aca="false">IF(O132="","",IF(O132&gt;0.25,"ACRÉSCIMO ACIMA DE 25% — conferir",""))</f>
        <v/>
      </c>
      <c r="Q132" s="27"/>
      <c r="R132" s="5"/>
    </row>
    <row r="133" customFormat="false" ht="15" hidden="false" customHeight="false" outlineLevel="0" collapsed="false">
      <c r="A133" s="27"/>
      <c r="B133" s="5"/>
      <c r="C133" s="5"/>
      <c r="D133" s="35"/>
      <c r="E133" s="14"/>
      <c r="F133" s="18"/>
      <c r="G133" s="31" t="str">
        <f aca="false">IF(A133="","",IFERROR(IF(INDEX(Empresas!$C:$C,MATCH(A133,Empresas!$A:$A,0))="","",INDEX(Empresas!$C:$C,MATCH(A133,Empresas!$A:$A,0))),""))</f>
        <v/>
      </c>
      <c r="H133" s="18"/>
      <c r="I133" s="19" t="str">
        <f aca="false">IF(OR(F133="",G133=""),"",IF(F133-G133&lt;0,"CONTRATO ANTERIOR À ABERTURA — conferir datas",IF(F133-G133&lt;180,"ABERTA MENOS DE 6 MESES ANTES","")))</f>
        <v/>
      </c>
      <c r="J133" s="19" t="str">
        <f aca="false">IF(A133="","",IFERROR(INDEX(Sancoes!$B:$B,MATCH(A133,Sancoes!$A:$A,0))&amp;"","não consta"))</f>
        <v/>
      </c>
      <c r="K133" s="19" t="str">
        <f aca="false">IF(OR(A133="",F133=""),"",IF(SUMPRODUCT((Sancoes!$A$2:$A$301=A133)*(Sancoes!$B$2:$B$301&lt;&gt;"Não consta")*(Sancoes!$D$2:$D$301&lt;&gt;"")*(Sancoes!$D$2:$D$301&lt;=F133)*(((Sancoes!$E$2:$E$301="")+(Sancoes!$E$2:$E$301&gt;=F133))&gt;0))&gt;0,"SANÇÃO VIGENTE NA DATA — leia o tipo e a abrangência",""))</f>
        <v/>
      </c>
      <c r="L133" s="19" t="str">
        <f aca="false">IF(A133="","",IFERROR(INDEX(Empresas!$B:$B,MATCH(A133,Empresas!$A:$A,0))&amp;"","cadastre o CNPJ em Empresas"))</f>
        <v/>
      </c>
      <c r="M133" s="27"/>
      <c r="N133" s="35"/>
      <c r="O133" s="37" t="str">
        <f aca="false">IF(OR(D133="",D133=0,N133=""),"",N133/D133)</f>
        <v/>
      </c>
      <c r="P133" s="19" t="str">
        <f aca="false">IF(O133="","",IF(O133&gt;0.25,"ACRÉSCIMO ACIMA DE 25% — conferir",""))</f>
        <v/>
      </c>
      <c r="Q133" s="27"/>
      <c r="R133" s="5"/>
    </row>
    <row r="134" customFormat="false" ht="15" hidden="false" customHeight="false" outlineLevel="0" collapsed="false">
      <c r="A134" s="27"/>
      <c r="B134" s="5"/>
      <c r="C134" s="5"/>
      <c r="D134" s="35"/>
      <c r="E134" s="14"/>
      <c r="F134" s="18"/>
      <c r="G134" s="31" t="str">
        <f aca="false">IF(A134="","",IFERROR(IF(INDEX(Empresas!$C:$C,MATCH(A134,Empresas!$A:$A,0))="","",INDEX(Empresas!$C:$C,MATCH(A134,Empresas!$A:$A,0))),""))</f>
        <v/>
      </c>
      <c r="H134" s="18"/>
      <c r="I134" s="19" t="str">
        <f aca="false">IF(OR(F134="",G134=""),"",IF(F134-G134&lt;0,"CONTRATO ANTERIOR À ABERTURA — conferir datas",IF(F134-G134&lt;180,"ABERTA MENOS DE 6 MESES ANTES","")))</f>
        <v/>
      </c>
      <c r="J134" s="19" t="str">
        <f aca="false">IF(A134="","",IFERROR(INDEX(Sancoes!$B:$B,MATCH(A134,Sancoes!$A:$A,0))&amp;"","não consta"))</f>
        <v/>
      </c>
      <c r="K134" s="19" t="str">
        <f aca="false">IF(OR(A134="",F134=""),"",IF(SUMPRODUCT((Sancoes!$A$2:$A$301=A134)*(Sancoes!$B$2:$B$301&lt;&gt;"Não consta")*(Sancoes!$D$2:$D$301&lt;&gt;"")*(Sancoes!$D$2:$D$301&lt;=F134)*(((Sancoes!$E$2:$E$301="")+(Sancoes!$E$2:$E$301&gt;=F134))&gt;0))&gt;0,"SANÇÃO VIGENTE NA DATA — leia o tipo e a abrangência",""))</f>
        <v/>
      </c>
      <c r="L134" s="19" t="str">
        <f aca="false">IF(A134="","",IFERROR(INDEX(Empresas!$B:$B,MATCH(A134,Empresas!$A:$A,0))&amp;"","cadastre o CNPJ em Empresas"))</f>
        <v/>
      </c>
      <c r="M134" s="27"/>
      <c r="N134" s="35"/>
      <c r="O134" s="37" t="str">
        <f aca="false">IF(OR(D134="",D134=0,N134=""),"",N134/D134)</f>
        <v/>
      </c>
      <c r="P134" s="19" t="str">
        <f aca="false">IF(O134="","",IF(O134&gt;0.25,"ACRÉSCIMO ACIMA DE 25% — conferir",""))</f>
        <v/>
      </c>
      <c r="Q134" s="27"/>
      <c r="R134" s="5"/>
    </row>
    <row r="135" customFormat="false" ht="15" hidden="false" customHeight="false" outlineLevel="0" collapsed="false">
      <c r="A135" s="27"/>
      <c r="B135" s="5"/>
      <c r="C135" s="5"/>
      <c r="D135" s="35"/>
      <c r="E135" s="14"/>
      <c r="F135" s="18"/>
      <c r="G135" s="31" t="str">
        <f aca="false">IF(A135="","",IFERROR(IF(INDEX(Empresas!$C:$C,MATCH(A135,Empresas!$A:$A,0))="","",INDEX(Empresas!$C:$C,MATCH(A135,Empresas!$A:$A,0))),""))</f>
        <v/>
      </c>
      <c r="H135" s="18"/>
      <c r="I135" s="19" t="str">
        <f aca="false">IF(OR(F135="",G135=""),"",IF(F135-G135&lt;0,"CONTRATO ANTERIOR À ABERTURA — conferir datas",IF(F135-G135&lt;180,"ABERTA MENOS DE 6 MESES ANTES","")))</f>
        <v/>
      </c>
      <c r="J135" s="19" t="str">
        <f aca="false">IF(A135="","",IFERROR(INDEX(Sancoes!$B:$B,MATCH(A135,Sancoes!$A:$A,0))&amp;"","não consta"))</f>
        <v/>
      </c>
      <c r="K135" s="19" t="str">
        <f aca="false">IF(OR(A135="",F135=""),"",IF(SUMPRODUCT((Sancoes!$A$2:$A$301=A135)*(Sancoes!$B$2:$B$301&lt;&gt;"Não consta")*(Sancoes!$D$2:$D$301&lt;&gt;"")*(Sancoes!$D$2:$D$301&lt;=F135)*(((Sancoes!$E$2:$E$301="")+(Sancoes!$E$2:$E$301&gt;=F135))&gt;0))&gt;0,"SANÇÃO VIGENTE NA DATA — leia o tipo e a abrangência",""))</f>
        <v/>
      </c>
      <c r="L135" s="19" t="str">
        <f aca="false">IF(A135="","",IFERROR(INDEX(Empresas!$B:$B,MATCH(A135,Empresas!$A:$A,0))&amp;"","cadastre o CNPJ em Empresas"))</f>
        <v/>
      </c>
      <c r="M135" s="27"/>
      <c r="N135" s="35"/>
      <c r="O135" s="37" t="str">
        <f aca="false">IF(OR(D135="",D135=0,N135=""),"",N135/D135)</f>
        <v/>
      </c>
      <c r="P135" s="19" t="str">
        <f aca="false">IF(O135="","",IF(O135&gt;0.25,"ACRÉSCIMO ACIMA DE 25% — conferir",""))</f>
        <v/>
      </c>
      <c r="Q135" s="27"/>
      <c r="R135" s="5"/>
    </row>
    <row r="136" customFormat="false" ht="15" hidden="false" customHeight="false" outlineLevel="0" collapsed="false">
      <c r="A136" s="27"/>
      <c r="B136" s="5"/>
      <c r="C136" s="5"/>
      <c r="D136" s="35"/>
      <c r="E136" s="14"/>
      <c r="F136" s="18"/>
      <c r="G136" s="31" t="str">
        <f aca="false">IF(A136="","",IFERROR(IF(INDEX(Empresas!$C:$C,MATCH(A136,Empresas!$A:$A,0))="","",INDEX(Empresas!$C:$C,MATCH(A136,Empresas!$A:$A,0))),""))</f>
        <v/>
      </c>
      <c r="H136" s="18"/>
      <c r="I136" s="19" t="str">
        <f aca="false">IF(OR(F136="",G136=""),"",IF(F136-G136&lt;0,"CONTRATO ANTERIOR À ABERTURA — conferir datas",IF(F136-G136&lt;180,"ABERTA MENOS DE 6 MESES ANTES","")))</f>
        <v/>
      </c>
      <c r="J136" s="19" t="str">
        <f aca="false">IF(A136="","",IFERROR(INDEX(Sancoes!$B:$B,MATCH(A136,Sancoes!$A:$A,0))&amp;"","não consta"))</f>
        <v/>
      </c>
      <c r="K136" s="19" t="str">
        <f aca="false">IF(OR(A136="",F136=""),"",IF(SUMPRODUCT((Sancoes!$A$2:$A$301=A136)*(Sancoes!$B$2:$B$301&lt;&gt;"Não consta")*(Sancoes!$D$2:$D$301&lt;&gt;"")*(Sancoes!$D$2:$D$301&lt;=F136)*(((Sancoes!$E$2:$E$301="")+(Sancoes!$E$2:$E$301&gt;=F136))&gt;0))&gt;0,"SANÇÃO VIGENTE NA DATA — leia o tipo e a abrangência",""))</f>
        <v/>
      </c>
      <c r="L136" s="19" t="str">
        <f aca="false">IF(A136="","",IFERROR(INDEX(Empresas!$B:$B,MATCH(A136,Empresas!$A:$A,0))&amp;"","cadastre o CNPJ em Empresas"))</f>
        <v/>
      </c>
      <c r="M136" s="27"/>
      <c r="N136" s="35"/>
      <c r="O136" s="37" t="str">
        <f aca="false">IF(OR(D136="",D136=0,N136=""),"",N136/D136)</f>
        <v/>
      </c>
      <c r="P136" s="19" t="str">
        <f aca="false">IF(O136="","",IF(O136&gt;0.25,"ACRÉSCIMO ACIMA DE 25% — conferir",""))</f>
        <v/>
      </c>
      <c r="Q136" s="27"/>
      <c r="R136" s="5"/>
    </row>
    <row r="137" customFormat="false" ht="15" hidden="false" customHeight="false" outlineLevel="0" collapsed="false">
      <c r="A137" s="27"/>
      <c r="B137" s="5"/>
      <c r="C137" s="5"/>
      <c r="D137" s="35"/>
      <c r="E137" s="14"/>
      <c r="F137" s="18"/>
      <c r="G137" s="31" t="str">
        <f aca="false">IF(A137="","",IFERROR(IF(INDEX(Empresas!$C:$C,MATCH(A137,Empresas!$A:$A,0))="","",INDEX(Empresas!$C:$C,MATCH(A137,Empresas!$A:$A,0))),""))</f>
        <v/>
      </c>
      <c r="H137" s="18"/>
      <c r="I137" s="19" t="str">
        <f aca="false">IF(OR(F137="",G137=""),"",IF(F137-G137&lt;0,"CONTRATO ANTERIOR À ABERTURA — conferir datas",IF(F137-G137&lt;180,"ABERTA MENOS DE 6 MESES ANTES","")))</f>
        <v/>
      </c>
      <c r="J137" s="19" t="str">
        <f aca="false">IF(A137="","",IFERROR(INDEX(Sancoes!$B:$B,MATCH(A137,Sancoes!$A:$A,0))&amp;"","não consta"))</f>
        <v/>
      </c>
      <c r="K137" s="19" t="str">
        <f aca="false">IF(OR(A137="",F137=""),"",IF(SUMPRODUCT((Sancoes!$A$2:$A$301=A137)*(Sancoes!$B$2:$B$301&lt;&gt;"Não consta")*(Sancoes!$D$2:$D$301&lt;&gt;"")*(Sancoes!$D$2:$D$301&lt;=F137)*(((Sancoes!$E$2:$E$301="")+(Sancoes!$E$2:$E$301&gt;=F137))&gt;0))&gt;0,"SANÇÃO VIGENTE NA DATA — leia o tipo e a abrangência",""))</f>
        <v/>
      </c>
      <c r="L137" s="19" t="str">
        <f aca="false">IF(A137="","",IFERROR(INDEX(Empresas!$B:$B,MATCH(A137,Empresas!$A:$A,0))&amp;"","cadastre o CNPJ em Empresas"))</f>
        <v/>
      </c>
      <c r="M137" s="27"/>
      <c r="N137" s="35"/>
      <c r="O137" s="37" t="str">
        <f aca="false">IF(OR(D137="",D137=0,N137=""),"",N137/D137)</f>
        <v/>
      </c>
      <c r="P137" s="19" t="str">
        <f aca="false">IF(O137="","",IF(O137&gt;0.25,"ACRÉSCIMO ACIMA DE 25% — conferir",""))</f>
        <v/>
      </c>
      <c r="Q137" s="27"/>
      <c r="R137" s="5"/>
    </row>
    <row r="138" customFormat="false" ht="15" hidden="false" customHeight="false" outlineLevel="0" collapsed="false">
      <c r="A138" s="27"/>
      <c r="B138" s="5"/>
      <c r="C138" s="5"/>
      <c r="D138" s="35"/>
      <c r="E138" s="14"/>
      <c r="F138" s="18"/>
      <c r="G138" s="31" t="str">
        <f aca="false">IF(A138="","",IFERROR(IF(INDEX(Empresas!$C:$C,MATCH(A138,Empresas!$A:$A,0))="","",INDEX(Empresas!$C:$C,MATCH(A138,Empresas!$A:$A,0))),""))</f>
        <v/>
      </c>
      <c r="H138" s="18"/>
      <c r="I138" s="19" t="str">
        <f aca="false">IF(OR(F138="",G138=""),"",IF(F138-G138&lt;0,"CONTRATO ANTERIOR À ABERTURA — conferir datas",IF(F138-G138&lt;180,"ABERTA MENOS DE 6 MESES ANTES","")))</f>
        <v/>
      </c>
      <c r="J138" s="19" t="str">
        <f aca="false">IF(A138="","",IFERROR(INDEX(Sancoes!$B:$B,MATCH(A138,Sancoes!$A:$A,0))&amp;"","não consta"))</f>
        <v/>
      </c>
      <c r="K138" s="19" t="str">
        <f aca="false">IF(OR(A138="",F138=""),"",IF(SUMPRODUCT((Sancoes!$A$2:$A$301=A138)*(Sancoes!$B$2:$B$301&lt;&gt;"Não consta")*(Sancoes!$D$2:$D$301&lt;&gt;"")*(Sancoes!$D$2:$D$301&lt;=F138)*(((Sancoes!$E$2:$E$301="")+(Sancoes!$E$2:$E$301&gt;=F138))&gt;0))&gt;0,"SANÇÃO VIGENTE NA DATA — leia o tipo e a abrangência",""))</f>
        <v/>
      </c>
      <c r="L138" s="19" t="str">
        <f aca="false">IF(A138="","",IFERROR(INDEX(Empresas!$B:$B,MATCH(A138,Empresas!$A:$A,0))&amp;"","cadastre o CNPJ em Empresas"))</f>
        <v/>
      </c>
      <c r="M138" s="27"/>
      <c r="N138" s="35"/>
      <c r="O138" s="37" t="str">
        <f aca="false">IF(OR(D138="",D138=0,N138=""),"",N138/D138)</f>
        <v/>
      </c>
      <c r="P138" s="19" t="str">
        <f aca="false">IF(O138="","",IF(O138&gt;0.25,"ACRÉSCIMO ACIMA DE 25% — conferir",""))</f>
        <v/>
      </c>
      <c r="Q138" s="27"/>
      <c r="R138" s="5"/>
    </row>
    <row r="139" customFormat="false" ht="15" hidden="false" customHeight="false" outlineLevel="0" collapsed="false">
      <c r="A139" s="27"/>
      <c r="B139" s="5"/>
      <c r="C139" s="5"/>
      <c r="D139" s="35"/>
      <c r="E139" s="14"/>
      <c r="F139" s="18"/>
      <c r="G139" s="31" t="str">
        <f aca="false">IF(A139="","",IFERROR(IF(INDEX(Empresas!$C:$C,MATCH(A139,Empresas!$A:$A,0))="","",INDEX(Empresas!$C:$C,MATCH(A139,Empresas!$A:$A,0))),""))</f>
        <v/>
      </c>
      <c r="H139" s="18"/>
      <c r="I139" s="19" t="str">
        <f aca="false">IF(OR(F139="",G139=""),"",IF(F139-G139&lt;0,"CONTRATO ANTERIOR À ABERTURA — conferir datas",IF(F139-G139&lt;180,"ABERTA MENOS DE 6 MESES ANTES","")))</f>
        <v/>
      </c>
      <c r="J139" s="19" t="str">
        <f aca="false">IF(A139="","",IFERROR(INDEX(Sancoes!$B:$B,MATCH(A139,Sancoes!$A:$A,0))&amp;"","não consta"))</f>
        <v/>
      </c>
      <c r="K139" s="19" t="str">
        <f aca="false">IF(OR(A139="",F139=""),"",IF(SUMPRODUCT((Sancoes!$A$2:$A$301=A139)*(Sancoes!$B$2:$B$301&lt;&gt;"Não consta")*(Sancoes!$D$2:$D$301&lt;&gt;"")*(Sancoes!$D$2:$D$301&lt;=F139)*(((Sancoes!$E$2:$E$301="")+(Sancoes!$E$2:$E$301&gt;=F139))&gt;0))&gt;0,"SANÇÃO VIGENTE NA DATA — leia o tipo e a abrangência",""))</f>
        <v/>
      </c>
      <c r="L139" s="19" t="str">
        <f aca="false">IF(A139="","",IFERROR(INDEX(Empresas!$B:$B,MATCH(A139,Empresas!$A:$A,0))&amp;"","cadastre o CNPJ em Empresas"))</f>
        <v/>
      </c>
      <c r="M139" s="27"/>
      <c r="N139" s="35"/>
      <c r="O139" s="37" t="str">
        <f aca="false">IF(OR(D139="",D139=0,N139=""),"",N139/D139)</f>
        <v/>
      </c>
      <c r="P139" s="19" t="str">
        <f aca="false">IF(O139="","",IF(O139&gt;0.25,"ACRÉSCIMO ACIMA DE 25% — conferir",""))</f>
        <v/>
      </c>
      <c r="Q139" s="27"/>
      <c r="R139" s="5"/>
    </row>
    <row r="140" customFormat="false" ht="15" hidden="false" customHeight="false" outlineLevel="0" collapsed="false">
      <c r="A140" s="27"/>
      <c r="B140" s="5"/>
      <c r="C140" s="5"/>
      <c r="D140" s="35"/>
      <c r="E140" s="14"/>
      <c r="F140" s="18"/>
      <c r="G140" s="31" t="str">
        <f aca="false">IF(A140="","",IFERROR(IF(INDEX(Empresas!$C:$C,MATCH(A140,Empresas!$A:$A,0))="","",INDEX(Empresas!$C:$C,MATCH(A140,Empresas!$A:$A,0))),""))</f>
        <v/>
      </c>
      <c r="H140" s="18"/>
      <c r="I140" s="19" t="str">
        <f aca="false">IF(OR(F140="",G140=""),"",IF(F140-G140&lt;0,"CONTRATO ANTERIOR À ABERTURA — conferir datas",IF(F140-G140&lt;180,"ABERTA MENOS DE 6 MESES ANTES","")))</f>
        <v/>
      </c>
      <c r="J140" s="19" t="str">
        <f aca="false">IF(A140="","",IFERROR(INDEX(Sancoes!$B:$B,MATCH(A140,Sancoes!$A:$A,0))&amp;"","não consta"))</f>
        <v/>
      </c>
      <c r="K140" s="19" t="str">
        <f aca="false">IF(OR(A140="",F140=""),"",IF(SUMPRODUCT((Sancoes!$A$2:$A$301=A140)*(Sancoes!$B$2:$B$301&lt;&gt;"Não consta")*(Sancoes!$D$2:$D$301&lt;&gt;"")*(Sancoes!$D$2:$D$301&lt;=F140)*(((Sancoes!$E$2:$E$301="")+(Sancoes!$E$2:$E$301&gt;=F140))&gt;0))&gt;0,"SANÇÃO VIGENTE NA DATA — leia o tipo e a abrangência",""))</f>
        <v/>
      </c>
      <c r="L140" s="19" t="str">
        <f aca="false">IF(A140="","",IFERROR(INDEX(Empresas!$B:$B,MATCH(A140,Empresas!$A:$A,0))&amp;"","cadastre o CNPJ em Empresas"))</f>
        <v/>
      </c>
      <c r="M140" s="27"/>
      <c r="N140" s="35"/>
      <c r="O140" s="37" t="str">
        <f aca="false">IF(OR(D140="",D140=0,N140=""),"",N140/D140)</f>
        <v/>
      </c>
      <c r="P140" s="19" t="str">
        <f aca="false">IF(O140="","",IF(O140&gt;0.25,"ACRÉSCIMO ACIMA DE 25% — conferir",""))</f>
        <v/>
      </c>
      <c r="Q140" s="27"/>
      <c r="R140" s="5"/>
    </row>
    <row r="141" customFormat="false" ht="15" hidden="false" customHeight="false" outlineLevel="0" collapsed="false">
      <c r="A141" s="27"/>
      <c r="B141" s="5"/>
      <c r="C141" s="5"/>
      <c r="D141" s="35"/>
      <c r="E141" s="14"/>
      <c r="F141" s="18"/>
      <c r="G141" s="31" t="str">
        <f aca="false">IF(A141="","",IFERROR(IF(INDEX(Empresas!$C:$C,MATCH(A141,Empresas!$A:$A,0))="","",INDEX(Empresas!$C:$C,MATCH(A141,Empresas!$A:$A,0))),""))</f>
        <v/>
      </c>
      <c r="H141" s="18"/>
      <c r="I141" s="19" t="str">
        <f aca="false">IF(OR(F141="",G141=""),"",IF(F141-G141&lt;0,"CONTRATO ANTERIOR À ABERTURA — conferir datas",IF(F141-G141&lt;180,"ABERTA MENOS DE 6 MESES ANTES","")))</f>
        <v/>
      </c>
      <c r="J141" s="19" t="str">
        <f aca="false">IF(A141="","",IFERROR(INDEX(Sancoes!$B:$B,MATCH(A141,Sancoes!$A:$A,0))&amp;"","não consta"))</f>
        <v/>
      </c>
      <c r="K141" s="19" t="str">
        <f aca="false">IF(OR(A141="",F141=""),"",IF(SUMPRODUCT((Sancoes!$A$2:$A$301=A141)*(Sancoes!$B$2:$B$301&lt;&gt;"Não consta")*(Sancoes!$D$2:$D$301&lt;&gt;"")*(Sancoes!$D$2:$D$301&lt;=F141)*(((Sancoes!$E$2:$E$301="")+(Sancoes!$E$2:$E$301&gt;=F141))&gt;0))&gt;0,"SANÇÃO VIGENTE NA DATA — leia o tipo e a abrangência",""))</f>
        <v/>
      </c>
      <c r="L141" s="19" t="str">
        <f aca="false">IF(A141="","",IFERROR(INDEX(Empresas!$B:$B,MATCH(A141,Empresas!$A:$A,0))&amp;"","cadastre o CNPJ em Empresas"))</f>
        <v/>
      </c>
      <c r="M141" s="27"/>
      <c r="N141" s="35"/>
      <c r="O141" s="37" t="str">
        <f aca="false">IF(OR(D141="",D141=0,N141=""),"",N141/D141)</f>
        <v/>
      </c>
      <c r="P141" s="19" t="str">
        <f aca="false">IF(O141="","",IF(O141&gt;0.25,"ACRÉSCIMO ACIMA DE 25% — conferir",""))</f>
        <v/>
      </c>
      <c r="Q141" s="27"/>
      <c r="R141" s="5"/>
    </row>
    <row r="142" customFormat="false" ht="15" hidden="false" customHeight="false" outlineLevel="0" collapsed="false">
      <c r="A142" s="27"/>
      <c r="B142" s="5"/>
      <c r="C142" s="5"/>
      <c r="D142" s="35"/>
      <c r="E142" s="14"/>
      <c r="F142" s="18"/>
      <c r="G142" s="31" t="str">
        <f aca="false">IF(A142="","",IFERROR(IF(INDEX(Empresas!$C:$C,MATCH(A142,Empresas!$A:$A,0))="","",INDEX(Empresas!$C:$C,MATCH(A142,Empresas!$A:$A,0))),""))</f>
        <v/>
      </c>
      <c r="H142" s="18"/>
      <c r="I142" s="19" t="str">
        <f aca="false">IF(OR(F142="",G142=""),"",IF(F142-G142&lt;0,"CONTRATO ANTERIOR À ABERTURA — conferir datas",IF(F142-G142&lt;180,"ABERTA MENOS DE 6 MESES ANTES","")))</f>
        <v/>
      </c>
      <c r="J142" s="19" t="str">
        <f aca="false">IF(A142="","",IFERROR(INDEX(Sancoes!$B:$B,MATCH(A142,Sancoes!$A:$A,0))&amp;"","não consta"))</f>
        <v/>
      </c>
      <c r="K142" s="19" t="str">
        <f aca="false">IF(OR(A142="",F142=""),"",IF(SUMPRODUCT((Sancoes!$A$2:$A$301=A142)*(Sancoes!$B$2:$B$301&lt;&gt;"Não consta")*(Sancoes!$D$2:$D$301&lt;&gt;"")*(Sancoes!$D$2:$D$301&lt;=F142)*(((Sancoes!$E$2:$E$301="")+(Sancoes!$E$2:$E$301&gt;=F142))&gt;0))&gt;0,"SANÇÃO VIGENTE NA DATA — leia o tipo e a abrangência",""))</f>
        <v/>
      </c>
      <c r="L142" s="19" t="str">
        <f aca="false">IF(A142="","",IFERROR(INDEX(Empresas!$B:$B,MATCH(A142,Empresas!$A:$A,0))&amp;"","cadastre o CNPJ em Empresas"))</f>
        <v/>
      </c>
      <c r="M142" s="27"/>
      <c r="N142" s="35"/>
      <c r="O142" s="37" t="str">
        <f aca="false">IF(OR(D142="",D142=0,N142=""),"",N142/D142)</f>
        <v/>
      </c>
      <c r="P142" s="19" t="str">
        <f aca="false">IF(O142="","",IF(O142&gt;0.25,"ACRÉSCIMO ACIMA DE 25% — conferir",""))</f>
        <v/>
      </c>
      <c r="Q142" s="27"/>
      <c r="R142" s="5"/>
    </row>
    <row r="143" customFormat="false" ht="15" hidden="false" customHeight="false" outlineLevel="0" collapsed="false">
      <c r="A143" s="27"/>
      <c r="B143" s="5"/>
      <c r="C143" s="5"/>
      <c r="D143" s="35"/>
      <c r="E143" s="14"/>
      <c r="F143" s="18"/>
      <c r="G143" s="31" t="str">
        <f aca="false">IF(A143="","",IFERROR(IF(INDEX(Empresas!$C:$C,MATCH(A143,Empresas!$A:$A,0))="","",INDEX(Empresas!$C:$C,MATCH(A143,Empresas!$A:$A,0))),""))</f>
        <v/>
      </c>
      <c r="H143" s="18"/>
      <c r="I143" s="19" t="str">
        <f aca="false">IF(OR(F143="",G143=""),"",IF(F143-G143&lt;0,"CONTRATO ANTERIOR À ABERTURA — conferir datas",IF(F143-G143&lt;180,"ABERTA MENOS DE 6 MESES ANTES","")))</f>
        <v/>
      </c>
      <c r="J143" s="19" t="str">
        <f aca="false">IF(A143="","",IFERROR(INDEX(Sancoes!$B:$B,MATCH(A143,Sancoes!$A:$A,0))&amp;"","não consta"))</f>
        <v/>
      </c>
      <c r="K143" s="19" t="str">
        <f aca="false">IF(OR(A143="",F143=""),"",IF(SUMPRODUCT((Sancoes!$A$2:$A$301=A143)*(Sancoes!$B$2:$B$301&lt;&gt;"Não consta")*(Sancoes!$D$2:$D$301&lt;&gt;"")*(Sancoes!$D$2:$D$301&lt;=F143)*(((Sancoes!$E$2:$E$301="")+(Sancoes!$E$2:$E$301&gt;=F143))&gt;0))&gt;0,"SANÇÃO VIGENTE NA DATA — leia o tipo e a abrangência",""))</f>
        <v/>
      </c>
      <c r="L143" s="19" t="str">
        <f aca="false">IF(A143="","",IFERROR(INDEX(Empresas!$B:$B,MATCH(A143,Empresas!$A:$A,0))&amp;"","cadastre o CNPJ em Empresas"))</f>
        <v/>
      </c>
      <c r="M143" s="27"/>
      <c r="N143" s="35"/>
      <c r="O143" s="37" t="str">
        <f aca="false">IF(OR(D143="",D143=0,N143=""),"",N143/D143)</f>
        <v/>
      </c>
      <c r="P143" s="19" t="str">
        <f aca="false">IF(O143="","",IF(O143&gt;0.25,"ACRÉSCIMO ACIMA DE 25% — conferir",""))</f>
        <v/>
      </c>
      <c r="Q143" s="27"/>
      <c r="R143" s="5"/>
    </row>
    <row r="144" customFormat="false" ht="15" hidden="false" customHeight="false" outlineLevel="0" collapsed="false">
      <c r="A144" s="27"/>
      <c r="B144" s="5"/>
      <c r="C144" s="5"/>
      <c r="D144" s="35"/>
      <c r="E144" s="14"/>
      <c r="F144" s="18"/>
      <c r="G144" s="31" t="str">
        <f aca="false">IF(A144="","",IFERROR(IF(INDEX(Empresas!$C:$C,MATCH(A144,Empresas!$A:$A,0))="","",INDEX(Empresas!$C:$C,MATCH(A144,Empresas!$A:$A,0))),""))</f>
        <v/>
      </c>
      <c r="H144" s="18"/>
      <c r="I144" s="19" t="str">
        <f aca="false">IF(OR(F144="",G144=""),"",IF(F144-G144&lt;0,"CONTRATO ANTERIOR À ABERTURA — conferir datas",IF(F144-G144&lt;180,"ABERTA MENOS DE 6 MESES ANTES","")))</f>
        <v/>
      </c>
      <c r="J144" s="19" t="str">
        <f aca="false">IF(A144="","",IFERROR(INDEX(Sancoes!$B:$B,MATCH(A144,Sancoes!$A:$A,0))&amp;"","não consta"))</f>
        <v/>
      </c>
      <c r="K144" s="19" t="str">
        <f aca="false">IF(OR(A144="",F144=""),"",IF(SUMPRODUCT((Sancoes!$A$2:$A$301=A144)*(Sancoes!$B$2:$B$301&lt;&gt;"Não consta")*(Sancoes!$D$2:$D$301&lt;&gt;"")*(Sancoes!$D$2:$D$301&lt;=F144)*(((Sancoes!$E$2:$E$301="")+(Sancoes!$E$2:$E$301&gt;=F144))&gt;0))&gt;0,"SANÇÃO VIGENTE NA DATA — leia o tipo e a abrangência",""))</f>
        <v/>
      </c>
      <c r="L144" s="19" t="str">
        <f aca="false">IF(A144="","",IFERROR(INDEX(Empresas!$B:$B,MATCH(A144,Empresas!$A:$A,0))&amp;"","cadastre o CNPJ em Empresas"))</f>
        <v/>
      </c>
      <c r="M144" s="27"/>
      <c r="N144" s="35"/>
      <c r="O144" s="37" t="str">
        <f aca="false">IF(OR(D144="",D144=0,N144=""),"",N144/D144)</f>
        <v/>
      </c>
      <c r="P144" s="19" t="str">
        <f aca="false">IF(O144="","",IF(O144&gt;0.25,"ACRÉSCIMO ACIMA DE 25% — conferir",""))</f>
        <v/>
      </c>
      <c r="Q144" s="27"/>
      <c r="R144" s="5"/>
    </row>
    <row r="145" customFormat="false" ht="15" hidden="false" customHeight="false" outlineLevel="0" collapsed="false">
      <c r="A145" s="27"/>
      <c r="B145" s="5"/>
      <c r="C145" s="5"/>
      <c r="D145" s="35"/>
      <c r="E145" s="14"/>
      <c r="F145" s="18"/>
      <c r="G145" s="31" t="str">
        <f aca="false">IF(A145="","",IFERROR(IF(INDEX(Empresas!$C:$C,MATCH(A145,Empresas!$A:$A,0))="","",INDEX(Empresas!$C:$C,MATCH(A145,Empresas!$A:$A,0))),""))</f>
        <v/>
      </c>
      <c r="H145" s="18"/>
      <c r="I145" s="19" t="str">
        <f aca="false">IF(OR(F145="",G145=""),"",IF(F145-G145&lt;0,"CONTRATO ANTERIOR À ABERTURA — conferir datas",IF(F145-G145&lt;180,"ABERTA MENOS DE 6 MESES ANTES","")))</f>
        <v/>
      </c>
      <c r="J145" s="19" t="str">
        <f aca="false">IF(A145="","",IFERROR(INDEX(Sancoes!$B:$B,MATCH(A145,Sancoes!$A:$A,0))&amp;"","não consta"))</f>
        <v/>
      </c>
      <c r="K145" s="19" t="str">
        <f aca="false">IF(OR(A145="",F145=""),"",IF(SUMPRODUCT((Sancoes!$A$2:$A$301=A145)*(Sancoes!$B$2:$B$301&lt;&gt;"Não consta")*(Sancoes!$D$2:$D$301&lt;&gt;"")*(Sancoes!$D$2:$D$301&lt;=F145)*(((Sancoes!$E$2:$E$301="")+(Sancoes!$E$2:$E$301&gt;=F145))&gt;0))&gt;0,"SANÇÃO VIGENTE NA DATA — leia o tipo e a abrangência",""))</f>
        <v/>
      </c>
      <c r="L145" s="19" t="str">
        <f aca="false">IF(A145="","",IFERROR(INDEX(Empresas!$B:$B,MATCH(A145,Empresas!$A:$A,0))&amp;"","cadastre o CNPJ em Empresas"))</f>
        <v/>
      </c>
      <c r="M145" s="27"/>
      <c r="N145" s="35"/>
      <c r="O145" s="37" t="str">
        <f aca="false">IF(OR(D145="",D145=0,N145=""),"",N145/D145)</f>
        <v/>
      </c>
      <c r="P145" s="19" t="str">
        <f aca="false">IF(O145="","",IF(O145&gt;0.25,"ACRÉSCIMO ACIMA DE 25% — conferir",""))</f>
        <v/>
      </c>
      <c r="Q145" s="27"/>
      <c r="R145" s="5"/>
    </row>
    <row r="146" customFormat="false" ht="15" hidden="false" customHeight="false" outlineLevel="0" collapsed="false">
      <c r="A146" s="27"/>
      <c r="B146" s="5"/>
      <c r="C146" s="5"/>
      <c r="D146" s="35"/>
      <c r="E146" s="14"/>
      <c r="F146" s="18"/>
      <c r="G146" s="31" t="str">
        <f aca="false">IF(A146="","",IFERROR(IF(INDEX(Empresas!$C:$C,MATCH(A146,Empresas!$A:$A,0))="","",INDEX(Empresas!$C:$C,MATCH(A146,Empresas!$A:$A,0))),""))</f>
        <v/>
      </c>
      <c r="H146" s="18"/>
      <c r="I146" s="19" t="str">
        <f aca="false">IF(OR(F146="",G146=""),"",IF(F146-G146&lt;0,"CONTRATO ANTERIOR À ABERTURA — conferir datas",IF(F146-G146&lt;180,"ABERTA MENOS DE 6 MESES ANTES","")))</f>
        <v/>
      </c>
      <c r="J146" s="19" t="str">
        <f aca="false">IF(A146="","",IFERROR(INDEX(Sancoes!$B:$B,MATCH(A146,Sancoes!$A:$A,0))&amp;"","não consta"))</f>
        <v/>
      </c>
      <c r="K146" s="19" t="str">
        <f aca="false">IF(OR(A146="",F146=""),"",IF(SUMPRODUCT((Sancoes!$A$2:$A$301=A146)*(Sancoes!$B$2:$B$301&lt;&gt;"Não consta")*(Sancoes!$D$2:$D$301&lt;&gt;"")*(Sancoes!$D$2:$D$301&lt;=F146)*(((Sancoes!$E$2:$E$301="")+(Sancoes!$E$2:$E$301&gt;=F146))&gt;0))&gt;0,"SANÇÃO VIGENTE NA DATA — leia o tipo e a abrangência",""))</f>
        <v/>
      </c>
      <c r="L146" s="19" t="str">
        <f aca="false">IF(A146="","",IFERROR(INDEX(Empresas!$B:$B,MATCH(A146,Empresas!$A:$A,0))&amp;"","cadastre o CNPJ em Empresas"))</f>
        <v/>
      </c>
      <c r="M146" s="27"/>
      <c r="N146" s="35"/>
      <c r="O146" s="37" t="str">
        <f aca="false">IF(OR(D146="",D146=0,N146=""),"",N146/D146)</f>
        <v/>
      </c>
      <c r="P146" s="19" t="str">
        <f aca="false">IF(O146="","",IF(O146&gt;0.25,"ACRÉSCIMO ACIMA DE 25% — conferir",""))</f>
        <v/>
      </c>
      <c r="Q146" s="27"/>
      <c r="R146" s="5"/>
    </row>
    <row r="147" customFormat="false" ht="15" hidden="false" customHeight="false" outlineLevel="0" collapsed="false">
      <c r="A147" s="27"/>
      <c r="B147" s="5"/>
      <c r="C147" s="5"/>
      <c r="D147" s="35"/>
      <c r="E147" s="14"/>
      <c r="F147" s="18"/>
      <c r="G147" s="31" t="str">
        <f aca="false">IF(A147="","",IFERROR(IF(INDEX(Empresas!$C:$C,MATCH(A147,Empresas!$A:$A,0))="","",INDEX(Empresas!$C:$C,MATCH(A147,Empresas!$A:$A,0))),""))</f>
        <v/>
      </c>
      <c r="H147" s="18"/>
      <c r="I147" s="19" t="str">
        <f aca="false">IF(OR(F147="",G147=""),"",IF(F147-G147&lt;0,"CONTRATO ANTERIOR À ABERTURA — conferir datas",IF(F147-G147&lt;180,"ABERTA MENOS DE 6 MESES ANTES","")))</f>
        <v/>
      </c>
      <c r="J147" s="19" t="str">
        <f aca="false">IF(A147="","",IFERROR(INDEX(Sancoes!$B:$B,MATCH(A147,Sancoes!$A:$A,0))&amp;"","não consta"))</f>
        <v/>
      </c>
      <c r="K147" s="19" t="str">
        <f aca="false">IF(OR(A147="",F147=""),"",IF(SUMPRODUCT((Sancoes!$A$2:$A$301=A147)*(Sancoes!$B$2:$B$301&lt;&gt;"Não consta")*(Sancoes!$D$2:$D$301&lt;&gt;"")*(Sancoes!$D$2:$D$301&lt;=F147)*(((Sancoes!$E$2:$E$301="")+(Sancoes!$E$2:$E$301&gt;=F147))&gt;0))&gt;0,"SANÇÃO VIGENTE NA DATA — leia o tipo e a abrangência",""))</f>
        <v/>
      </c>
      <c r="L147" s="19" t="str">
        <f aca="false">IF(A147="","",IFERROR(INDEX(Empresas!$B:$B,MATCH(A147,Empresas!$A:$A,0))&amp;"","cadastre o CNPJ em Empresas"))</f>
        <v/>
      </c>
      <c r="M147" s="27"/>
      <c r="N147" s="35"/>
      <c r="O147" s="37" t="str">
        <f aca="false">IF(OR(D147="",D147=0,N147=""),"",N147/D147)</f>
        <v/>
      </c>
      <c r="P147" s="19" t="str">
        <f aca="false">IF(O147="","",IF(O147&gt;0.25,"ACRÉSCIMO ACIMA DE 25% — conferir",""))</f>
        <v/>
      </c>
      <c r="Q147" s="27"/>
      <c r="R147" s="5"/>
    </row>
    <row r="148" customFormat="false" ht="15" hidden="false" customHeight="false" outlineLevel="0" collapsed="false">
      <c r="A148" s="27"/>
      <c r="B148" s="5"/>
      <c r="C148" s="5"/>
      <c r="D148" s="35"/>
      <c r="E148" s="14"/>
      <c r="F148" s="18"/>
      <c r="G148" s="31" t="str">
        <f aca="false">IF(A148="","",IFERROR(IF(INDEX(Empresas!$C:$C,MATCH(A148,Empresas!$A:$A,0))="","",INDEX(Empresas!$C:$C,MATCH(A148,Empresas!$A:$A,0))),""))</f>
        <v/>
      </c>
      <c r="H148" s="18"/>
      <c r="I148" s="19" t="str">
        <f aca="false">IF(OR(F148="",G148=""),"",IF(F148-G148&lt;0,"CONTRATO ANTERIOR À ABERTURA — conferir datas",IF(F148-G148&lt;180,"ABERTA MENOS DE 6 MESES ANTES","")))</f>
        <v/>
      </c>
      <c r="J148" s="19" t="str">
        <f aca="false">IF(A148="","",IFERROR(INDEX(Sancoes!$B:$B,MATCH(A148,Sancoes!$A:$A,0))&amp;"","não consta"))</f>
        <v/>
      </c>
      <c r="K148" s="19" t="str">
        <f aca="false">IF(OR(A148="",F148=""),"",IF(SUMPRODUCT((Sancoes!$A$2:$A$301=A148)*(Sancoes!$B$2:$B$301&lt;&gt;"Não consta")*(Sancoes!$D$2:$D$301&lt;&gt;"")*(Sancoes!$D$2:$D$301&lt;=F148)*(((Sancoes!$E$2:$E$301="")+(Sancoes!$E$2:$E$301&gt;=F148))&gt;0))&gt;0,"SANÇÃO VIGENTE NA DATA — leia o tipo e a abrangência",""))</f>
        <v/>
      </c>
      <c r="L148" s="19" t="str">
        <f aca="false">IF(A148="","",IFERROR(INDEX(Empresas!$B:$B,MATCH(A148,Empresas!$A:$A,0))&amp;"","cadastre o CNPJ em Empresas"))</f>
        <v/>
      </c>
      <c r="M148" s="27"/>
      <c r="N148" s="35"/>
      <c r="O148" s="37" t="str">
        <f aca="false">IF(OR(D148="",D148=0,N148=""),"",N148/D148)</f>
        <v/>
      </c>
      <c r="P148" s="19" t="str">
        <f aca="false">IF(O148="","",IF(O148&gt;0.25,"ACRÉSCIMO ACIMA DE 25% — conferir",""))</f>
        <v/>
      </c>
      <c r="Q148" s="27"/>
      <c r="R148" s="5"/>
    </row>
    <row r="149" customFormat="false" ht="15" hidden="false" customHeight="false" outlineLevel="0" collapsed="false">
      <c r="A149" s="27"/>
      <c r="B149" s="5"/>
      <c r="C149" s="5"/>
      <c r="D149" s="35"/>
      <c r="E149" s="14"/>
      <c r="F149" s="18"/>
      <c r="G149" s="31" t="str">
        <f aca="false">IF(A149="","",IFERROR(IF(INDEX(Empresas!$C:$C,MATCH(A149,Empresas!$A:$A,0))="","",INDEX(Empresas!$C:$C,MATCH(A149,Empresas!$A:$A,0))),""))</f>
        <v/>
      </c>
      <c r="H149" s="18"/>
      <c r="I149" s="19" t="str">
        <f aca="false">IF(OR(F149="",G149=""),"",IF(F149-G149&lt;0,"CONTRATO ANTERIOR À ABERTURA — conferir datas",IF(F149-G149&lt;180,"ABERTA MENOS DE 6 MESES ANTES","")))</f>
        <v/>
      </c>
      <c r="J149" s="19" t="str">
        <f aca="false">IF(A149="","",IFERROR(INDEX(Sancoes!$B:$B,MATCH(A149,Sancoes!$A:$A,0))&amp;"","não consta"))</f>
        <v/>
      </c>
      <c r="K149" s="19" t="str">
        <f aca="false">IF(OR(A149="",F149=""),"",IF(SUMPRODUCT((Sancoes!$A$2:$A$301=A149)*(Sancoes!$B$2:$B$301&lt;&gt;"Não consta")*(Sancoes!$D$2:$D$301&lt;&gt;"")*(Sancoes!$D$2:$D$301&lt;=F149)*(((Sancoes!$E$2:$E$301="")+(Sancoes!$E$2:$E$301&gt;=F149))&gt;0))&gt;0,"SANÇÃO VIGENTE NA DATA — leia o tipo e a abrangência",""))</f>
        <v/>
      </c>
      <c r="L149" s="19" t="str">
        <f aca="false">IF(A149="","",IFERROR(INDEX(Empresas!$B:$B,MATCH(A149,Empresas!$A:$A,0))&amp;"","cadastre o CNPJ em Empresas"))</f>
        <v/>
      </c>
      <c r="M149" s="27"/>
      <c r="N149" s="35"/>
      <c r="O149" s="37" t="str">
        <f aca="false">IF(OR(D149="",D149=0,N149=""),"",N149/D149)</f>
        <v/>
      </c>
      <c r="P149" s="19" t="str">
        <f aca="false">IF(O149="","",IF(O149&gt;0.25,"ACRÉSCIMO ACIMA DE 25% — conferir",""))</f>
        <v/>
      </c>
      <c r="Q149" s="27"/>
      <c r="R149" s="5"/>
    </row>
    <row r="150" customFormat="false" ht="15" hidden="false" customHeight="false" outlineLevel="0" collapsed="false">
      <c r="A150" s="27"/>
      <c r="B150" s="5"/>
      <c r="C150" s="5"/>
      <c r="D150" s="35"/>
      <c r="E150" s="14"/>
      <c r="F150" s="18"/>
      <c r="G150" s="31" t="str">
        <f aca="false">IF(A150="","",IFERROR(IF(INDEX(Empresas!$C:$C,MATCH(A150,Empresas!$A:$A,0))="","",INDEX(Empresas!$C:$C,MATCH(A150,Empresas!$A:$A,0))),""))</f>
        <v/>
      </c>
      <c r="H150" s="18"/>
      <c r="I150" s="19" t="str">
        <f aca="false">IF(OR(F150="",G150=""),"",IF(F150-G150&lt;0,"CONTRATO ANTERIOR À ABERTURA — conferir datas",IF(F150-G150&lt;180,"ABERTA MENOS DE 6 MESES ANTES","")))</f>
        <v/>
      </c>
      <c r="J150" s="19" t="str">
        <f aca="false">IF(A150="","",IFERROR(INDEX(Sancoes!$B:$B,MATCH(A150,Sancoes!$A:$A,0))&amp;"","não consta"))</f>
        <v/>
      </c>
      <c r="K150" s="19" t="str">
        <f aca="false">IF(OR(A150="",F150=""),"",IF(SUMPRODUCT((Sancoes!$A$2:$A$301=A150)*(Sancoes!$B$2:$B$301&lt;&gt;"Não consta")*(Sancoes!$D$2:$D$301&lt;&gt;"")*(Sancoes!$D$2:$D$301&lt;=F150)*(((Sancoes!$E$2:$E$301="")+(Sancoes!$E$2:$E$301&gt;=F150))&gt;0))&gt;0,"SANÇÃO VIGENTE NA DATA — leia o tipo e a abrangência",""))</f>
        <v/>
      </c>
      <c r="L150" s="19" t="str">
        <f aca="false">IF(A150="","",IFERROR(INDEX(Empresas!$B:$B,MATCH(A150,Empresas!$A:$A,0))&amp;"","cadastre o CNPJ em Empresas"))</f>
        <v/>
      </c>
      <c r="M150" s="27"/>
      <c r="N150" s="35"/>
      <c r="O150" s="37" t="str">
        <f aca="false">IF(OR(D150="",D150=0,N150=""),"",N150/D150)</f>
        <v/>
      </c>
      <c r="P150" s="19" t="str">
        <f aca="false">IF(O150="","",IF(O150&gt;0.25,"ACRÉSCIMO ACIMA DE 25% — conferir",""))</f>
        <v/>
      </c>
      <c r="Q150" s="27"/>
      <c r="R150" s="5"/>
    </row>
    <row r="151" customFormat="false" ht="15" hidden="false" customHeight="false" outlineLevel="0" collapsed="false">
      <c r="A151" s="27"/>
      <c r="B151" s="5"/>
      <c r="C151" s="5"/>
      <c r="D151" s="35"/>
      <c r="E151" s="14"/>
      <c r="F151" s="18"/>
      <c r="G151" s="31" t="str">
        <f aca="false">IF(A151="","",IFERROR(IF(INDEX(Empresas!$C:$C,MATCH(A151,Empresas!$A:$A,0))="","",INDEX(Empresas!$C:$C,MATCH(A151,Empresas!$A:$A,0))),""))</f>
        <v/>
      </c>
      <c r="H151" s="18"/>
      <c r="I151" s="19" t="str">
        <f aca="false">IF(OR(F151="",G151=""),"",IF(F151-G151&lt;0,"CONTRATO ANTERIOR À ABERTURA — conferir datas",IF(F151-G151&lt;180,"ABERTA MENOS DE 6 MESES ANTES","")))</f>
        <v/>
      </c>
      <c r="J151" s="19" t="str">
        <f aca="false">IF(A151="","",IFERROR(INDEX(Sancoes!$B:$B,MATCH(A151,Sancoes!$A:$A,0))&amp;"","não consta"))</f>
        <v/>
      </c>
      <c r="K151" s="19" t="str">
        <f aca="false">IF(OR(A151="",F151=""),"",IF(SUMPRODUCT((Sancoes!$A$2:$A$301=A151)*(Sancoes!$B$2:$B$301&lt;&gt;"Não consta")*(Sancoes!$D$2:$D$301&lt;&gt;"")*(Sancoes!$D$2:$D$301&lt;=F151)*(((Sancoes!$E$2:$E$301="")+(Sancoes!$E$2:$E$301&gt;=F151))&gt;0))&gt;0,"SANÇÃO VIGENTE NA DATA — leia o tipo e a abrangência",""))</f>
        <v/>
      </c>
      <c r="L151" s="19" t="str">
        <f aca="false">IF(A151="","",IFERROR(INDEX(Empresas!$B:$B,MATCH(A151,Empresas!$A:$A,0))&amp;"","cadastre o CNPJ em Empresas"))</f>
        <v/>
      </c>
      <c r="M151" s="27"/>
      <c r="N151" s="35"/>
      <c r="O151" s="37" t="str">
        <f aca="false">IF(OR(D151="",D151=0,N151=""),"",N151/D151)</f>
        <v/>
      </c>
      <c r="P151" s="19" t="str">
        <f aca="false">IF(O151="","",IF(O151&gt;0.25,"ACRÉSCIMO ACIMA DE 25% — conferir",""))</f>
        <v/>
      </c>
      <c r="Q151" s="27"/>
      <c r="R151" s="5"/>
    </row>
    <row r="152" customFormat="false" ht="15" hidden="false" customHeight="false" outlineLevel="0" collapsed="false">
      <c r="A152" s="27"/>
      <c r="B152" s="5"/>
      <c r="C152" s="5"/>
      <c r="D152" s="35"/>
      <c r="E152" s="14"/>
      <c r="F152" s="18"/>
      <c r="G152" s="31" t="str">
        <f aca="false">IF(A152="","",IFERROR(IF(INDEX(Empresas!$C:$C,MATCH(A152,Empresas!$A:$A,0))="","",INDEX(Empresas!$C:$C,MATCH(A152,Empresas!$A:$A,0))),""))</f>
        <v/>
      </c>
      <c r="H152" s="18"/>
      <c r="I152" s="19" t="str">
        <f aca="false">IF(OR(F152="",G152=""),"",IF(F152-G152&lt;0,"CONTRATO ANTERIOR À ABERTURA — conferir datas",IF(F152-G152&lt;180,"ABERTA MENOS DE 6 MESES ANTES","")))</f>
        <v/>
      </c>
      <c r="J152" s="19" t="str">
        <f aca="false">IF(A152="","",IFERROR(INDEX(Sancoes!$B:$B,MATCH(A152,Sancoes!$A:$A,0))&amp;"","não consta"))</f>
        <v/>
      </c>
      <c r="K152" s="19" t="str">
        <f aca="false">IF(OR(A152="",F152=""),"",IF(SUMPRODUCT((Sancoes!$A$2:$A$301=A152)*(Sancoes!$B$2:$B$301&lt;&gt;"Não consta")*(Sancoes!$D$2:$D$301&lt;&gt;"")*(Sancoes!$D$2:$D$301&lt;=F152)*(((Sancoes!$E$2:$E$301="")+(Sancoes!$E$2:$E$301&gt;=F152))&gt;0))&gt;0,"SANÇÃO VIGENTE NA DATA — leia o tipo e a abrangência",""))</f>
        <v/>
      </c>
      <c r="L152" s="19" t="str">
        <f aca="false">IF(A152="","",IFERROR(INDEX(Empresas!$B:$B,MATCH(A152,Empresas!$A:$A,0))&amp;"","cadastre o CNPJ em Empresas"))</f>
        <v/>
      </c>
      <c r="M152" s="27"/>
      <c r="N152" s="35"/>
      <c r="O152" s="37" t="str">
        <f aca="false">IF(OR(D152="",D152=0,N152=""),"",N152/D152)</f>
        <v/>
      </c>
      <c r="P152" s="19" t="str">
        <f aca="false">IF(O152="","",IF(O152&gt;0.25,"ACRÉSCIMO ACIMA DE 25% — conferir",""))</f>
        <v/>
      </c>
      <c r="Q152" s="27"/>
      <c r="R152" s="5"/>
    </row>
    <row r="153" customFormat="false" ht="15" hidden="false" customHeight="false" outlineLevel="0" collapsed="false">
      <c r="A153" s="27"/>
      <c r="B153" s="5"/>
      <c r="C153" s="5"/>
      <c r="D153" s="35"/>
      <c r="E153" s="14"/>
      <c r="F153" s="18"/>
      <c r="G153" s="31" t="str">
        <f aca="false">IF(A153="","",IFERROR(IF(INDEX(Empresas!$C:$C,MATCH(A153,Empresas!$A:$A,0))="","",INDEX(Empresas!$C:$C,MATCH(A153,Empresas!$A:$A,0))),""))</f>
        <v/>
      </c>
      <c r="H153" s="18"/>
      <c r="I153" s="19" t="str">
        <f aca="false">IF(OR(F153="",G153=""),"",IF(F153-G153&lt;0,"CONTRATO ANTERIOR À ABERTURA — conferir datas",IF(F153-G153&lt;180,"ABERTA MENOS DE 6 MESES ANTES","")))</f>
        <v/>
      </c>
      <c r="J153" s="19" t="str">
        <f aca="false">IF(A153="","",IFERROR(INDEX(Sancoes!$B:$B,MATCH(A153,Sancoes!$A:$A,0))&amp;"","não consta"))</f>
        <v/>
      </c>
      <c r="K153" s="19" t="str">
        <f aca="false">IF(OR(A153="",F153=""),"",IF(SUMPRODUCT((Sancoes!$A$2:$A$301=A153)*(Sancoes!$B$2:$B$301&lt;&gt;"Não consta")*(Sancoes!$D$2:$D$301&lt;&gt;"")*(Sancoes!$D$2:$D$301&lt;=F153)*(((Sancoes!$E$2:$E$301="")+(Sancoes!$E$2:$E$301&gt;=F153))&gt;0))&gt;0,"SANÇÃO VIGENTE NA DATA — leia o tipo e a abrangência",""))</f>
        <v/>
      </c>
      <c r="L153" s="19" t="str">
        <f aca="false">IF(A153="","",IFERROR(INDEX(Empresas!$B:$B,MATCH(A153,Empresas!$A:$A,0))&amp;"","cadastre o CNPJ em Empresas"))</f>
        <v/>
      </c>
      <c r="M153" s="27"/>
      <c r="N153" s="35"/>
      <c r="O153" s="37" t="str">
        <f aca="false">IF(OR(D153="",D153=0,N153=""),"",N153/D153)</f>
        <v/>
      </c>
      <c r="P153" s="19" t="str">
        <f aca="false">IF(O153="","",IF(O153&gt;0.25,"ACRÉSCIMO ACIMA DE 25% — conferir",""))</f>
        <v/>
      </c>
      <c r="Q153" s="27"/>
      <c r="R153" s="5"/>
    </row>
    <row r="154" customFormat="false" ht="15" hidden="false" customHeight="false" outlineLevel="0" collapsed="false">
      <c r="A154" s="27"/>
      <c r="B154" s="5"/>
      <c r="C154" s="5"/>
      <c r="D154" s="35"/>
      <c r="E154" s="14"/>
      <c r="F154" s="18"/>
      <c r="G154" s="31" t="str">
        <f aca="false">IF(A154="","",IFERROR(IF(INDEX(Empresas!$C:$C,MATCH(A154,Empresas!$A:$A,0))="","",INDEX(Empresas!$C:$C,MATCH(A154,Empresas!$A:$A,0))),""))</f>
        <v/>
      </c>
      <c r="H154" s="18"/>
      <c r="I154" s="19" t="str">
        <f aca="false">IF(OR(F154="",G154=""),"",IF(F154-G154&lt;0,"CONTRATO ANTERIOR À ABERTURA — conferir datas",IF(F154-G154&lt;180,"ABERTA MENOS DE 6 MESES ANTES","")))</f>
        <v/>
      </c>
      <c r="J154" s="19" t="str">
        <f aca="false">IF(A154="","",IFERROR(INDEX(Sancoes!$B:$B,MATCH(A154,Sancoes!$A:$A,0))&amp;"","não consta"))</f>
        <v/>
      </c>
      <c r="K154" s="19" t="str">
        <f aca="false">IF(OR(A154="",F154=""),"",IF(SUMPRODUCT((Sancoes!$A$2:$A$301=A154)*(Sancoes!$B$2:$B$301&lt;&gt;"Não consta")*(Sancoes!$D$2:$D$301&lt;&gt;"")*(Sancoes!$D$2:$D$301&lt;=F154)*(((Sancoes!$E$2:$E$301="")+(Sancoes!$E$2:$E$301&gt;=F154))&gt;0))&gt;0,"SANÇÃO VIGENTE NA DATA — leia o tipo e a abrangência",""))</f>
        <v/>
      </c>
      <c r="L154" s="19" t="str">
        <f aca="false">IF(A154="","",IFERROR(INDEX(Empresas!$B:$B,MATCH(A154,Empresas!$A:$A,0))&amp;"","cadastre o CNPJ em Empresas"))</f>
        <v/>
      </c>
      <c r="M154" s="27"/>
      <c r="N154" s="35"/>
      <c r="O154" s="37" t="str">
        <f aca="false">IF(OR(D154="",D154=0,N154=""),"",N154/D154)</f>
        <v/>
      </c>
      <c r="P154" s="19" t="str">
        <f aca="false">IF(O154="","",IF(O154&gt;0.25,"ACRÉSCIMO ACIMA DE 25% — conferir",""))</f>
        <v/>
      </c>
      <c r="Q154" s="27"/>
      <c r="R154" s="5"/>
    </row>
    <row r="155" customFormat="false" ht="15" hidden="false" customHeight="false" outlineLevel="0" collapsed="false">
      <c r="A155" s="27"/>
      <c r="B155" s="5"/>
      <c r="C155" s="5"/>
      <c r="D155" s="35"/>
      <c r="E155" s="14"/>
      <c r="F155" s="18"/>
      <c r="G155" s="31" t="str">
        <f aca="false">IF(A155="","",IFERROR(IF(INDEX(Empresas!$C:$C,MATCH(A155,Empresas!$A:$A,0))="","",INDEX(Empresas!$C:$C,MATCH(A155,Empresas!$A:$A,0))),""))</f>
        <v/>
      </c>
      <c r="H155" s="18"/>
      <c r="I155" s="19" t="str">
        <f aca="false">IF(OR(F155="",G155=""),"",IF(F155-G155&lt;0,"CONTRATO ANTERIOR À ABERTURA — conferir datas",IF(F155-G155&lt;180,"ABERTA MENOS DE 6 MESES ANTES","")))</f>
        <v/>
      </c>
      <c r="J155" s="19" t="str">
        <f aca="false">IF(A155="","",IFERROR(INDEX(Sancoes!$B:$B,MATCH(A155,Sancoes!$A:$A,0))&amp;"","não consta"))</f>
        <v/>
      </c>
      <c r="K155" s="19" t="str">
        <f aca="false">IF(OR(A155="",F155=""),"",IF(SUMPRODUCT((Sancoes!$A$2:$A$301=A155)*(Sancoes!$B$2:$B$301&lt;&gt;"Não consta")*(Sancoes!$D$2:$D$301&lt;&gt;"")*(Sancoes!$D$2:$D$301&lt;=F155)*(((Sancoes!$E$2:$E$301="")+(Sancoes!$E$2:$E$301&gt;=F155))&gt;0))&gt;0,"SANÇÃO VIGENTE NA DATA — leia o tipo e a abrangência",""))</f>
        <v/>
      </c>
      <c r="L155" s="19" t="str">
        <f aca="false">IF(A155="","",IFERROR(INDEX(Empresas!$B:$B,MATCH(A155,Empresas!$A:$A,0))&amp;"","cadastre o CNPJ em Empresas"))</f>
        <v/>
      </c>
      <c r="M155" s="27"/>
      <c r="N155" s="35"/>
      <c r="O155" s="37" t="str">
        <f aca="false">IF(OR(D155="",D155=0,N155=""),"",N155/D155)</f>
        <v/>
      </c>
      <c r="P155" s="19" t="str">
        <f aca="false">IF(O155="","",IF(O155&gt;0.25,"ACRÉSCIMO ACIMA DE 25% — conferir",""))</f>
        <v/>
      </c>
      <c r="Q155" s="27"/>
      <c r="R155" s="5"/>
    </row>
    <row r="156" customFormat="false" ht="15" hidden="false" customHeight="false" outlineLevel="0" collapsed="false">
      <c r="A156" s="27"/>
      <c r="B156" s="5"/>
      <c r="C156" s="5"/>
      <c r="D156" s="35"/>
      <c r="E156" s="14"/>
      <c r="F156" s="18"/>
      <c r="G156" s="31" t="str">
        <f aca="false">IF(A156="","",IFERROR(IF(INDEX(Empresas!$C:$C,MATCH(A156,Empresas!$A:$A,0))="","",INDEX(Empresas!$C:$C,MATCH(A156,Empresas!$A:$A,0))),""))</f>
        <v/>
      </c>
      <c r="H156" s="18"/>
      <c r="I156" s="19" t="str">
        <f aca="false">IF(OR(F156="",G156=""),"",IF(F156-G156&lt;0,"CONTRATO ANTERIOR À ABERTURA — conferir datas",IF(F156-G156&lt;180,"ABERTA MENOS DE 6 MESES ANTES","")))</f>
        <v/>
      </c>
      <c r="J156" s="19" t="str">
        <f aca="false">IF(A156="","",IFERROR(INDEX(Sancoes!$B:$B,MATCH(A156,Sancoes!$A:$A,0))&amp;"","não consta"))</f>
        <v/>
      </c>
      <c r="K156" s="19" t="str">
        <f aca="false">IF(OR(A156="",F156=""),"",IF(SUMPRODUCT((Sancoes!$A$2:$A$301=A156)*(Sancoes!$B$2:$B$301&lt;&gt;"Não consta")*(Sancoes!$D$2:$D$301&lt;&gt;"")*(Sancoes!$D$2:$D$301&lt;=F156)*(((Sancoes!$E$2:$E$301="")+(Sancoes!$E$2:$E$301&gt;=F156))&gt;0))&gt;0,"SANÇÃO VIGENTE NA DATA — leia o tipo e a abrangência",""))</f>
        <v/>
      </c>
      <c r="L156" s="19" t="str">
        <f aca="false">IF(A156="","",IFERROR(INDEX(Empresas!$B:$B,MATCH(A156,Empresas!$A:$A,0))&amp;"","cadastre o CNPJ em Empresas"))</f>
        <v/>
      </c>
      <c r="M156" s="27"/>
      <c r="N156" s="35"/>
      <c r="O156" s="37" t="str">
        <f aca="false">IF(OR(D156="",D156=0,N156=""),"",N156/D156)</f>
        <v/>
      </c>
      <c r="P156" s="19" t="str">
        <f aca="false">IF(O156="","",IF(O156&gt;0.25,"ACRÉSCIMO ACIMA DE 25% — conferir",""))</f>
        <v/>
      </c>
      <c r="Q156" s="27"/>
      <c r="R156" s="5"/>
    </row>
    <row r="157" customFormat="false" ht="15" hidden="false" customHeight="false" outlineLevel="0" collapsed="false">
      <c r="A157" s="27"/>
      <c r="B157" s="5"/>
      <c r="C157" s="5"/>
      <c r="D157" s="35"/>
      <c r="E157" s="14"/>
      <c r="F157" s="18"/>
      <c r="G157" s="31" t="str">
        <f aca="false">IF(A157="","",IFERROR(IF(INDEX(Empresas!$C:$C,MATCH(A157,Empresas!$A:$A,0))="","",INDEX(Empresas!$C:$C,MATCH(A157,Empresas!$A:$A,0))),""))</f>
        <v/>
      </c>
      <c r="H157" s="18"/>
      <c r="I157" s="19" t="str">
        <f aca="false">IF(OR(F157="",G157=""),"",IF(F157-G157&lt;0,"CONTRATO ANTERIOR À ABERTURA — conferir datas",IF(F157-G157&lt;180,"ABERTA MENOS DE 6 MESES ANTES","")))</f>
        <v/>
      </c>
      <c r="J157" s="19" t="str">
        <f aca="false">IF(A157="","",IFERROR(INDEX(Sancoes!$B:$B,MATCH(A157,Sancoes!$A:$A,0))&amp;"","não consta"))</f>
        <v/>
      </c>
      <c r="K157" s="19" t="str">
        <f aca="false">IF(OR(A157="",F157=""),"",IF(SUMPRODUCT((Sancoes!$A$2:$A$301=A157)*(Sancoes!$B$2:$B$301&lt;&gt;"Não consta")*(Sancoes!$D$2:$D$301&lt;&gt;"")*(Sancoes!$D$2:$D$301&lt;=F157)*(((Sancoes!$E$2:$E$301="")+(Sancoes!$E$2:$E$301&gt;=F157))&gt;0))&gt;0,"SANÇÃO VIGENTE NA DATA — leia o tipo e a abrangência",""))</f>
        <v/>
      </c>
      <c r="L157" s="19" t="str">
        <f aca="false">IF(A157="","",IFERROR(INDEX(Empresas!$B:$B,MATCH(A157,Empresas!$A:$A,0))&amp;"","cadastre o CNPJ em Empresas"))</f>
        <v/>
      </c>
      <c r="M157" s="27"/>
      <c r="N157" s="35"/>
      <c r="O157" s="37" t="str">
        <f aca="false">IF(OR(D157="",D157=0,N157=""),"",N157/D157)</f>
        <v/>
      </c>
      <c r="P157" s="19" t="str">
        <f aca="false">IF(O157="","",IF(O157&gt;0.25,"ACRÉSCIMO ACIMA DE 25% — conferir",""))</f>
        <v/>
      </c>
      <c r="Q157" s="27"/>
      <c r="R157" s="5"/>
    </row>
    <row r="158" customFormat="false" ht="15" hidden="false" customHeight="false" outlineLevel="0" collapsed="false">
      <c r="A158" s="27"/>
      <c r="B158" s="5"/>
      <c r="C158" s="5"/>
      <c r="D158" s="35"/>
      <c r="E158" s="14"/>
      <c r="F158" s="18"/>
      <c r="G158" s="31" t="str">
        <f aca="false">IF(A158="","",IFERROR(IF(INDEX(Empresas!$C:$C,MATCH(A158,Empresas!$A:$A,0))="","",INDEX(Empresas!$C:$C,MATCH(A158,Empresas!$A:$A,0))),""))</f>
        <v/>
      </c>
      <c r="H158" s="18"/>
      <c r="I158" s="19" t="str">
        <f aca="false">IF(OR(F158="",G158=""),"",IF(F158-G158&lt;0,"CONTRATO ANTERIOR À ABERTURA — conferir datas",IF(F158-G158&lt;180,"ABERTA MENOS DE 6 MESES ANTES","")))</f>
        <v/>
      </c>
      <c r="J158" s="19" t="str">
        <f aca="false">IF(A158="","",IFERROR(INDEX(Sancoes!$B:$B,MATCH(A158,Sancoes!$A:$A,0))&amp;"","não consta"))</f>
        <v/>
      </c>
      <c r="K158" s="19" t="str">
        <f aca="false">IF(OR(A158="",F158=""),"",IF(SUMPRODUCT((Sancoes!$A$2:$A$301=A158)*(Sancoes!$B$2:$B$301&lt;&gt;"Não consta")*(Sancoes!$D$2:$D$301&lt;&gt;"")*(Sancoes!$D$2:$D$301&lt;=F158)*(((Sancoes!$E$2:$E$301="")+(Sancoes!$E$2:$E$301&gt;=F158))&gt;0))&gt;0,"SANÇÃO VIGENTE NA DATA — leia o tipo e a abrangência",""))</f>
        <v/>
      </c>
      <c r="L158" s="19" t="str">
        <f aca="false">IF(A158="","",IFERROR(INDEX(Empresas!$B:$B,MATCH(A158,Empresas!$A:$A,0))&amp;"","cadastre o CNPJ em Empresas"))</f>
        <v/>
      </c>
      <c r="M158" s="27"/>
      <c r="N158" s="35"/>
      <c r="O158" s="37" t="str">
        <f aca="false">IF(OR(D158="",D158=0,N158=""),"",N158/D158)</f>
        <v/>
      </c>
      <c r="P158" s="19" t="str">
        <f aca="false">IF(O158="","",IF(O158&gt;0.25,"ACRÉSCIMO ACIMA DE 25% — conferir",""))</f>
        <v/>
      </c>
      <c r="Q158" s="27"/>
      <c r="R158" s="5"/>
    </row>
    <row r="159" customFormat="false" ht="15" hidden="false" customHeight="false" outlineLevel="0" collapsed="false">
      <c r="A159" s="27"/>
      <c r="B159" s="5"/>
      <c r="C159" s="5"/>
      <c r="D159" s="35"/>
      <c r="E159" s="14"/>
      <c r="F159" s="18"/>
      <c r="G159" s="31" t="str">
        <f aca="false">IF(A159="","",IFERROR(IF(INDEX(Empresas!$C:$C,MATCH(A159,Empresas!$A:$A,0))="","",INDEX(Empresas!$C:$C,MATCH(A159,Empresas!$A:$A,0))),""))</f>
        <v/>
      </c>
      <c r="H159" s="18"/>
      <c r="I159" s="19" t="str">
        <f aca="false">IF(OR(F159="",G159=""),"",IF(F159-G159&lt;0,"CONTRATO ANTERIOR À ABERTURA — conferir datas",IF(F159-G159&lt;180,"ABERTA MENOS DE 6 MESES ANTES","")))</f>
        <v/>
      </c>
      <c r="J159" s="19" t="str">
        <f aca="false">IF(A159="","",IFERROR(INDEX(Sancoes!$B:$B,MATCH(A159,Sancoes!$A:$A,0))&amp;"","não consta"))</f>
        <v/>
      </c>
      <c r="K159" s="19" t="str">
        <f aca="false">IF(OR(A159="",F159=""),"",IF(SUMPRODUCT((Sancoes!$A$2:$A$301=A159)*(Sancoes!$B$2:$B$301&lt;&gt;"Não consta")*(Sancoes!$D$2:$D$301&lt;&gt;"")*(Sancoes!$D$2:$D$301&lt;=F159)*(((Sancoes!$E$2:$E$301="")+(Sancoes!$E$2:$E$301&gt;=F159))&gt;0))&gt;0,"SANÇÃO VIGENTE NA DATA — leia o tipo e a abrangência",""))</f>
        <v/>
      </c>
      <c r="L159" s="19" t="str">
        <f aca="false">IF(A159="","",IFERROR(INDEX(Empresas!$B:$B,MATCH(A159,Empresas!$A:$A,0))&amp;"","cadastre o CNPJ em Empresas"))</f>
        <v/>
      </c>
      <c r="M159" s="27"/>
      <c r="N159" s="35"/>
      <c r="O159" s="37" t="str">
        <f aca="false">IF(OR(D159="",D159=0,N159=""),"",N159/D159)</f>
        <v/>
      </c>
      <c r="P159" s="19" t="str">
        <f aca="false">IF(O159="","",IF(O159&gt;0.25,"ACRÉSCIMO ACIMA DE 25% — conferir",""))</f>
        <v/>
      </c>
      <c r="Q159" s="27"/>
      <c r="R159" s="5"/>
    </row>
    <row r="160" customFormat="false" ht="15" hidden="false" customHeight="false" outlineLevel="0" collapsed="false">
      <c r="A160" s="27"/>
      <c r="B160" s="5"/>
      <c r="C160" s="5"/>
      <c r="D160" s="35"/>
      <c r="E160" s="14"/>
      <c r="F160" s="18"/>
      <c r="G160" s="31" t="str">
        <f aca="false">IF(A160="","",IFERROR(IF(INDEX(Empresas!$C:$C,MATCH(A160,Empresas!$A:$A,0))="","",INDEX(Empresas!$C:$C,MATCH(A160,Empresas!$A:$A,0))),""))</f>
        <v/>
      </c>
      <c r="H160" s="18"/>
      <c r="I160" s="19" t="str">
        <f aca="false">IF(OR(F160="",G160=""),"",IF(F160-G160&lt;0,"CONTRATO ANTERIOR À ABERTURA — conferir datas",IF(F160-G160&lt;180,"ABERTA MENOS DE 6 MESES ANTES","")))</f>
        <v/>
      </c>
      <c r="J160" s="19" t="str">
        <f aca="false">IF(A160="","",IFERROR(INDEX(Sancoes!$B:$B,MATCH(A160,Sancoes!$A:$A,0))&amp;"","não consta"))</f>
        <v/>
      </c>
      <c r="K160" s="19" t="str">
        <f aca="false">IF(OR(A160="",F160=""),"",IF(SUMPRODUCT((Sancoes!$A$2:$A$301=A160)*(Sancoes!$B$2:$B$301&lt;&gt;"Não consta")*(Sancoes!$D$2:$D$301&lt;&gt;"")*(Sancoes!$D$2:$D$301&lt;=F160)*(((Sancoes!$E$2:$E$301="")+(Sancoes!$E$2:$E$301&gt;=F160))&gt;0))&gt;0,"SANÇÃO VIGENTE NA DATA — leia o tipo e a abrangência",""))</f>
        <v/>
      </c>
      <c r="L160" s="19" t="str">
        <f aca="false">IF(A160="","",IFERROR(INDEX(Empresas!$B:$B,MATCH(A160,Empresas!$A:$A,0))&amp;"","cadastre o CNPJ em Empresas"))</f>
        <v/>
      </c>
      <c r="M160" s="27"/>
      <c r="N160" s="35"/>
      <c r="O160" s="37" t="str">
        <f aca="false">IF(OR(D160="",D160=0,N160=""),"",N160/D160)</f>
        <v/>
      </c>
      <c r="P160" s="19" t="str">
        <f aca="false">IF(O160="","",IF(O160&gt;0.25,"ACRÉSCIMO ACIMA DE 25% — conferir",""))</f>
        <v/>
      </c>
      <c r="Q160" s="27"/>
      <c r="R160" s="5"/>
    </row>
    <row r="161" customFormat="false" ht="15" hidden="false" customHeight="false" outlineLevel="0" collapsed="false">
      <c r="A161" s="27"/>
      <c r="B161" s="5"/>
      <c r="C161" s="5"/>
      <c r="D161" s="35"/>
      <c r="E161" s="14"/>
      <c r="F161" s="18"/>
      <c r="G161" s="31" t="str">
        <f aca="false">IF(A161="","",IFERROR(IF(INDEX(Empresas!$C:$C,MATCH(A161,Empresas!$A:$A,0))="","",INDEX(Empresas!$C:$C,MATCH(A161,Empresas!$A:$A,0))),""))</f>
        <v/>
      </c>
      <c r="H161" s="18"/>
      <c r="I161" s="19" t="str">
        <f aca="false">IF(OR(F161="",G161=""),"",IF(F161-G161&lt;0,"CONTRATO ANTERIOR À ABERTURA — conferir datas",IF(F161-G161&lt;180,"ABERTA MENOS DE 6 MESES ANTES","")))</f>
        <v/>
      </c>
      <c r="J161" s="19" t="str">
        <f aca="false">IF(A161="","",IFERROR(INDEX(Sancoes!$B:$B,MATCH(A161,Sancoes!$A:$A,0))&amp;"","não consta"))</f>
        <v/>
      </c>
      <c r="K161" s="19" t="str">
        <f aca="false">IF(OR(A161="",F161=""),"",IF(SUMPRODUCT((Sancoes!$A$2:$A$301=A161)*(Sancoes!$B$2:$B$301&lt;&gt;"Não consta")*(Sancoes!$D$2:$D$301&lt;&gt;"")*(Sancoes!$D$2:$D$301&lt;=F161)*(((Sancoes!$E$2:$E$301="")+(Sancoes!$E$2:$E$301&gt;=F161))&gt;0))&gt;0,"SANÇÃO VIGENTE NA DATA — leia o tipo e a abrangência",""))</f>
        <v/>
      </c>
      <c r="L161" s="19" t="str">
        <f aca="false">IF(A161="","",IFERROR(INDEX(Empresas!$B:$B,MATCH(A161,Empresas!$A:$A,0))&amp;"","cadastre o CNPJ em Empresas"))</f>
        <v/>
      </c>
      <c r="M161" s="27"/>
      <c r="N161" s="35"/>
      <c r="O161" s="37" t="str">
        <f aca="false">IF(OR(D161="",D161=0,N161=""),"",N161/D161)</f>
        <v/>
      </c>
      <c r="P161" s="19" t="str">
        <f aca="false">IF(O161="","",IF(O161&gt;0.25,"ACRÉSCIMO ACIMA DE 25% — conferir",""))</f>
        <v/>
      </c>
      <c r="Q161" s="27"/>
      <c r="R161" s="5"/>
    </row>
    <row r="162" customFormat="false" ht="15" hidden="false" customHeight="false" outlineLevel="0" collapsed="false">
      <c r="A162" s="27"/>
      <c r="B162" s="5"/>
      <c r="C162" s="5"/>
      <c r="D162" s="35"/>
      <c r="E162" s="14"/>
      <c r="F162" s="18"/>
      <c r="G162" s="31" t="str">
        <f aca="false">IF(A162="","",IFERROR(IF(INDEX(Empresas!$C:$C,MATCH(A162,Empresas!$A:$A,0))="","",INDEX(Empresas!$C:$C,MATCH(A162,Empresas!$A:$A,0))),""))</f>
        <v/>
      </c>
      <c r="H162" s="18"/>
      <c r="I162" s="19" t="str">
        <f aca="false">IF(OR(F162="",G162=""),"",IF(F162-G162&lt;0,"CONTRATO ANTERIOR À ABERTURA — conferir datas",IF(F162-G162&lt;180,"ABERTA MENOS DE 6 MESES ANTES","")))</f>
        <v/>
      </c>
      <c r="J162" s="19" t="str">
        <f aca="false">IF(A162="","",IFERROR(INDEX(Sancoes!$B:$B,MATCH(A162,Sancoes!$A:$A,0))&amp;"","não consta"))</f>
        <v/>
      </c>
      <c r="K162" s="19" t="str">
        <f aca="false">IF(OR(A162="",F162=""),"",IF(SUMPRODUCT((Sancoes!$A$2:$A$301=A162)*(Sancoes!$B$2:$B$301&lt;&gt;"Não consta")*(Sancoes!$D$2:$D$301&lt;&gt;"")*(Sancoes!$D$2:$D$301&lt;=F162)*(((Sancoes!$E$2:$E$301="")+(Sancoes!$E$2:$E$301&gt;=F162))&gt;0))&gt;0,"SANÇÃO VIGENTE NA DATA — leia o tipo e a abrangência",""))</f>
        <v/>
      </c>
      <c r="L162" s="19" t="str">
        <f aca="false">IF(A162="","",IFERROR(INDEX(Empresas!$B:$B,MATCH(A162,Empresas!$A:$A,0))&amp;"","cadastre o CNPJ em Empresas"))</f>
        <v/>
      </c>
      <c r="M162" s="27"/>
      <c r="N162" s="35"/>
      <c r="O162" s="37" t="str">
        <f aca="false">IF(OR(D162="",D162=0,N162=""),"",N162/D162)</f>
        <v/>
      </c>
      <c r="P162" s="19" t="str">
        <f aca="false">IF(O162="","",IF(O162&gt;0.25,"ACRÉSCIMO ACIMA DE 25% — conferir",""))</f>
        <v/>
      </c>
      <c r="Q162" s="27"/>
      <c r="R162" s="5"/>
    </row>
    <row r="163" customFormat="false" ht="15" hidden="false" customHeight="false" outlineLevel="0" collapsed="false">
      <c r="A163" s="27"/>
      <c r="B163" s="5"/>
      <c r="C163" s="5"/>
      <c r="D163" s="35"/>
      <c r="E163" s="14"/>
      <c r="F163" s="18"/>
      <c r="G163" s="31" t="str">
        <f aca="false">IF(A163="","",IFERROR(IF(INDEX(Empresas!$C:$C,MATCH(A163,Empresas!$A:$A,0))="","",INDEX(Empresas!$C:$C,MATCH(A163,Empresas!$A:$A,0))),""))</f>
        <v/>
      </c>
      <c r="H163" s="18"/>
      <c r="I163" s="19" t="str">
        <f aca="false">IF(OR(F163="",G163=""),"",IF(F163-G163&lt;0,"CONTRATO ANTERIOR À ABERTURA — conferir datas",IF(F163-G163&lt;180,"ABERTA MENOS DE 6 MESES ANTES","")))</f>
        <v/>
      </c>
      <c r="J163" s="19" t="str">
        <f aca="false">IF(A163="","",IFERROR(INDEX(Sancoes!$B:$B,MATCH(A163,Sancoes!$A:$A,0))&amp;"","não consta"))</f>
        <v/>
      </c>
      <c r="K163" s="19" t="str">
        <f aca="false">IF(OR(A163="",F163=""),"",IF(SUMPRODUCT((Sancoes!$A$2:$A$301=A163)*(Sancoes!$B$2:$B$301&lt;&gt;"Não consta")*(Sancoes!$D$2:$D$301&lt;&gt;"")*(Sancoes!$D$2:$D$301&lt;=F163)*(((Sancoes!$E$2:$E$301="")+(Sancoes!$E$2:$E$301&gt;=F163))&gt;0))&gt;0,"SANÇÃO VIGENTE NA DATA — leia o tipo e a abrangência",""))</f>
        <v/>
      </c>
      <c r="L163" s="19" t="str">
        <f aca="false">IF(A163="","",IFERROR(INDEX(Empresas!$B:$B,MATCH(A163,Empresas!$A:$A,0))&amp;"","cadastre o CNPJ em Empresas"))</f>
        <v/>
      </c>
      <c r="M163" s="27"/>
      <c r="N163" s="35"/>
      <c r="O163" s="37" t="str">
        <f aca="false">IF(OR(D163="",D163=0,N163=""),"",N163/D163)</f>
        <v/>
      </c>
      <c r="P163" s="19" t="str">
        <f aca="false">IF(O163="","",IF(O163&gt;0.25,"ACRÉSCIMO ACIMA DE 25% — conferir",""))</f>
        <v/>
      </c>
      <c r="Q163" s="27"/>
      <c r="R163" s="5"/>
    </row>
    <row r="164" customFormat="false" ht="15" hidden="false" customHeight="false" outlineLevel="0" collapsed="false">
      <c r="A164" s="27"/>
      <c r="B164" s="5"/>
      <c r="C164" s="5"/>
      <c r="D164" s="35"/>
      <c r="E164" s="14"/>
      <c r="F164" s="18"/>
      <c r="G164" s="31" t="str">
        <f aca="false">IF(A164="","",IFERROR(IF(INDEX(Empresas!$C:$C,MATCH(A164,Empresas!$A:$A,0))="","",INDEX(Empresas!$C:$C,MATCH(A164,Empresas!$A:$A,0))),""))</f>
        <v/>
      </c>
      <c r="H164" s="18"/>
      <c r="I164" s="19" t="str">
        <f aca="false">IF(OR(F164="",G164=""),"",IF(F164-G164&lt;0,"CONTRATO ANTERIOR À ABERTURA — conferir datas",IF(F164-G164&lt;180,"ABERTA MENOS DE 6 MESES ANTES","")))</f>
        <v/>
      </c>
      <c r="J164" s="19" t="str">
        <f aca="false">IF(A164="","",IFERROR(INDEX(Sancoes!$B:$B,MATCH(A164,Sancoes!$A:$A,0))&amp;"","não consta"))</f>
        <v/>
      </c>
      <c r="K164" s="19" t="str">
        <f aca="false">IF(OR(A164="",F164=""),"",IF(SUMPRODUCT((Sancoes!$A$2:$A$301=A164)*(Sancoes!$B$2:$B$301&lt;&gt;"Não consta")*(Sancoes!$D$2:$D$301&lt;&gt;"")*(Sancoes!$D$2:$D$301&lt;=F164)*(((Sancoes!$E$2:$E$301="")+(Sancoes!$E$2:$E$301&gt;=F164))&gt;0))&gt;0,"SANÇÃO VIGENTE NA DATA — leia o tipo e a abrangência",""))</f>
        <v/>
      </c>
      <c r="L164" s="19" t="str">
        <f aca="false">IF(A164="","",IFERROR(INDEX(Empresas!$B:$B,MATCH(A164,Empresas!$A:$A,0))&amp;"","cadastre o CNPJ em Empresas"))</f>
        <v/>
      </c>
      <c r="M164" s="27"/>
      <c r="N164" s="35"/>
      <c r="O164" s="37" t="str">
        <f aca="false">IF(OR(D164="",D164=0,N164=""),"",N164/D164)</f>
        <v/>
      </c>
      <c r="P164" s="19" t="str">
        <f aca="false">IF(O164="","",IF(O164&gt;0.25,"ACRÉSCIMO ACIMA DE 25% — conferir",""))</f>
        <v/>
      </c>
      <c r="Q164" s="27"/>
      <c r="R164" s="5"/>
    </row>
    <row r="165" customFormat="false" ht="15" hidden="false" customHeight="false" outlineLevel="0" collapsed="false">
      <c r="A165" s="27"/>
      <c r="B165" s="5"/>
      <c r="C165" s="5"/>
      <c r="D165" s="35"/>
      <c r="E165" s="14"/>
      <c r="F165" s="18"/>
      <c r="G165" s="31" t="str">
        <f aca="false">IF(A165="","",IFERROR(IF(INDEX(Empresas!$C:$C,MATCH(A165,Empresas!$A:$A,0))="","",INDEX(Empresas!$C:$C,MATCH(A165,Empresas!$A:$A,0))),""))</f>
        <v/>
      </c>
      <c r="H165" s="18"/>
      <c r="I165" s="19" t="str">
        <f aca="false">IF(OR(F165="",G165=""),"",IF(F165-G165&lt;0,"CONTRATO ANTERIOR À ABERTURA — conferir datas",IF(F165-G165&lt;180,"ABERTA MENOS DE 6 MESES ANTES","")))</f>
        <v/>
      </c>
      <c r="J165" s="19" t="str">
        <f aca="false">IF(A165="","",IFERROR(INDEX(Sancoes!$B:$B,MATCH(A165,Sancoes!$A:$A,0))&amp;"","não consta"))</f>
        <v/>
      </c>
      <c r="K165" s="19" t="str">
        <f aca="false">IF(OR(A165="",F165=""),"",IF(SUMPRODUCT((Sancoes!$A$2:$A$301=A165)*(Sancoes!$B$2:$B$301&lt;&gt;"Não consta")*(Sancoes!$D$2:$D$301&lt;&gt;"")*(Sancoes!$D$2:$D$301&lt;=F165)*(((Sancoes!$E$2:$E$301="")+(Sancoes!$E$2:$E$301&gt;=F165))&gt;0))&gt;0,"SANÇÃO VIGENTE NA DATA — leia o tipo e a abrangência",""))</f>
        <v/>
      </c>
      <c r="L165" s="19" t="str">
        <f aca="false">IF(A165="","",IFERROR(INDEX(Empresas!$B:$B,MATCH(A165,Empresas!$A:$A,0))&amp;"","cadastre o CNPJ em Empresas"))</f>
        <v/>
      </c>
      <c r="M165" s="27"/>
      <c r="N165" s="35"/>
      <c r="O165" s="37" t="str">
        <f aca="false">IF(OR(D165="",D165=0,N165=""),"",N165/D165)</f>
        <v/>
      </c>
      <c r="P165" s="19" t="str">
        <f aca="false">IF(O165="","",IF(O165&gt;0.25,"ACRÉSCIMO ACIMA DE 25% — conferir",""))</f>
        <v/>
      </c>
      <c r="Q165" s="27"/>
      <c r="R165" s="5"/>
    </row>
    <row r="166" customFormat="false" ht="15" hidden="false" customHeight="false" outlineLevel="0" collapsed="false">
      <c r="A166" s="27"/>
      <c r="B166" s="5"/>
      <c r="C166" s="5"/>
      <c r="D166" s="35"/>
      <c r="E166" s="14"/>
      <c r="F166" s="18"/>
      <c r="G166" s="31" t="str">
        <f aca="false">IF(A166="","",IFERROR(IF(INDEX(Empresas!$C:$C,MATCH(A166,Empresas!$A:$A,0))="","",INDEX(Empresas!$C:$C,MATCH(A166,Empresas!$A:$A,0))),""))</f>
        <v/>
      </c>
      <c r="H166" s="18"/>
      <c r="I166" s="19" t="str">
        <f aca="false">IF(OR(F166="",G166=""),"",IF(F166-G166&lt;0,"CONTRATO ANTERIOR À ABERTURA — conferir datas",IF(F166-G166&lt;180,"ABERTA MENOS DE 6 MESES ANTES","")))</f>
        <v/>
      </c>
      <c r="J166" s="19" t="str">
        <f aca="false">IF(A166="","",IFERROR(INDEX(Sancoes!$B:$B,MATCH(A166,Sancoes!$A:$A,0))&amp;"","não consta"))</f>
        <v/>
      </c>
      <c r="K166" s="19" t="str">
        <f aca="false">IF(OR(A166="",F166=""),"",IF(SUMPRODUCT((Sancoes!$A$2:$A$301=A166)*(Sancoes!$B$2:$B$301&lt;&gt;"Não consta")*(Sancoes!$D$2:$D$301&lt;&gt;"")*(Sancoes!$D$2:$D$301&lt;=F166)*(((Sancoes!$E$2:$E$301="")+(Sancoes!$E$2:$E$301&gt;=F166))&gt;0))&gt;0,"SANÇÃO VIGENTE NA DATA — leia o tipo e a abrangência",""))</f>
        <v/>
      </c>
      <c r="L166" s="19" t="str">
        <f aca="false">IF(A166="","",IFERROR(INDEX(Empresas!$B:$B,MATCH(A166,Empresas!$A:$A,0))&amp;"","cadastre o CNPJ em Empresas"))</f>
        <v/>
      </c>
      <c r="M166" s="27"/>
      <c r="N166" s="35"/>
      <c r="O166" s="37" t="str">
        <f aca="false">IF(OR(D166="",D166=0,N166=""),"",N166/D166)</f>
        <v/>
      </c>
      <c r="P166" s="19" t="str">
        <f aca="false">IF(O166="","",IF(O166&gt;0.25,"ACRÉSCIMO ACIMA DE 25% — conferir",""))</f>
        <v/>
      </c>
      <c r="Q166" s="27"/>
      <c r="R166" s="5"/>
    </row>
    <row r="167" customFormat="false" ht="15" hidden="false" customHeight="false" outlineLevel="0" collapsed="false">
      <c r="A167" s="27"/>
      <c r="B167" s="5"/>
      <c r="C167" s="5"/>
      <c r="D167" s="35"/>
      <c r="E167" s="14"/>
      <c r="F167" s="18"/>
      <c r="G167" s="31" t="str">
        <f aca="false">IF(A167="","",IFERROR(IF(INDEX(Empresas!$C:$C,MATCH(A167,Empresas!$A:$A,0))="","",INDEX(Empresas!$C:$C,MATCH(A167,Empresas!$A:$A,0))),""))</f>
        <v/>
      </c>
      <c r="H167" s="18"/>
      <c r="I167" s="19" t="str">
        <f aca="false">IF(OR(F167="",G167=""),"",IF(F167-G167&lt;0,"CONTRATO ANTERIOR À ABERTURA — conferir datas",IF(F167-G167&lt;180,"ABERTA MENOS DE 6 MESES ANTES","")))</f>
        <v/>
      </c>
      <c r="J167" s="19" t="str">
        <f aca="false">IF(A167="","",IFERROR(INDEX(Sancoes!$B:$B,MATCH(A167,Sancoes!$A:$A,0))&amp;"","não consta"))</f>
        <v/>
      </c>
      <c r="K167" s="19" t="str">
        <f aca="false">IF(OR(A167="",F167=""),"",IF(SUMPRODUCT((Sancoes!$A$2:$A$301=A167)*(Sancoes!$B$2:$B$301&lt;&gt;"Não consta")*(Sancoes!$D$2:$D$301&lt;&gt;"")*(Sancoes!$D$2:$D$301&lt;=F167)*(((Sancoes!$E$2:$E$301="")+(Sancoes!$E$2:$E$301&gt;=F167))&gt;0))&gt;0,"SANÇÃO VIGENTE NA DATA — leia o tipo e a abrangência",""))</f>
        <v/>
      </c>
      <c r="L167" s="19" t="str">
        <f aca="false">IF(A167="","",IFERROR(INDEX(Empresas!$B:$B,MATCH(A167,Empresas!$A:$A,0))&amp;"","cadastre o CNPJ em Empresas"))</f>
        <v/>
      </c>
      <c r="M167" s="27"/>
      <c r="N167" s="35"/>
      <c r="O167" s="37" t="str">
        <f aca="false">IF(OR(D167="",D167=0,N167=""),"",N167/D167)</f>
        <v/>
      </c>
      <c r="P167" s="19" t="str">
        <f aca="false">IF(O167="","",IF(O167&gt;0.25,"ACRÉSCIMO ACIMA DE 25% — conferir",""))</f>
        <v/>
      </c>
      <c r="Q167" s="27"/>
      <c r="R167" s="5"/>
    </row>
    <row r="168" customFormat="false" ht="15" hidden="false" customHeight="false" outlineLevel="0" collapsed="false">
      <c r="A168" s="27"/>
      <c r="B168" s="5"/>
      <c r="C168" s="5"/>
      <c r="D168" s="35"/>
      <c r="E168" s="14"/>
      <c r="F168" s="18"/>
      <c r="G168" s="31" t="str">
        <f aca="false">IF(A168="","",IFERROR(IF(INDEX(Empresas!$C:$C,MATCH(A168,Empresas!$A:$A,0))="","",INDEX(Empresas!$C:$C,MATCH(A168,Empresas!$A:$A,0))),""))</f>
        <v/>
      </c>
      <c r="H168" s="18"/>
      <c r="I168" s="19" t="str">
        <f aca="false">IF(OR(F168="",G168=""),"",IF(F168-G168&lt;0,"CONTRATO ANTERIOR À ABERTURA — conferir datas",IF(F168-G168&lt;180,"ABERTA MENOS DE 6 MESES ANTES","")))</f>
        <v/>
      </c>
      <c r="J168" s="19" t="str">
        <f aca="false">IF(A168="","",IFERROR(INDEX(Sancoes!$B:$B,MATCH(A168,Sancoes!$A:$A,0))&amp;"","não consta"))</f>
        <v/>
      </c>
      <c r="K168" s="19" t="str">
        <f aca="false">IF(OR(A168="",F168=""),"",IF(SUMPRODUCT((Sancoes!$A$2:$A$301=A168)*(Sancoes!$B$2:$B$301&lt;&gt;"Não consta")*(Sancoes!$D$2:$D$301&lt;&gt;"")*(Sancoes!$D$2:$D$301&lt;=F168)*(((Sancoes!$E$2:$E$301="")+(Sancoes!$E$2:$E$301&gt;=F168))&gt;0))&gt;0,"SANÇÃO VIGENTE NA DATA — leia o tipo e a abrangência",""))</f>
        <v/>
      </c>
      <c r="L168" s="19" t="str">
        <f aca="false">IF(A168="","",IFERROR(INDEX(Empresas!$B:$B,MATCH(A168,Empresas!$A:$A,0))&amp;"","cadastre o CNPJ em Empresas"))</f>
        <v/>
      </c>
      <c r="M168" s="27"/>
      <c r="N168" s="35"/>
      <c r="O168" s="37" t="str">
        <f aca="false">IF(OR(D168="",D168=0,N168=""),"",N168/D168)</f>
        <v/>
      </c>
      <c r="P168" s="19" t="str">
        <f aca="false">IF(O168="","",IF(O168&gt;0.25,"ACRÉSCIMO ACIMA DE 25% — conferir",""))</f>
        <v/>
      </c>
      <c r="Q168" s="27"/>
      <c r="R168" s="5"/>
    </row>
    <row r="169" customFormat="false" ht="15" hidden="false" customHeight="false" outlineLevel="0" collapsed="false">
      <c r="A169" s="27"/>
      <c r="B169" s="5"/>
      <c r="C169" s="5"/>
      <c r="D169" s="35"/>
      <c r="E169" s="14"/>
      <c r="F169" s="18"/>
      <c r="G169" s="31" t="str">
        <f aca="false">IF(A169="","",IFERROR(IF(INDEX(Empresas!$C:$C,MATCH(A169,Empresas!$A:$A,0))="","",INDEX(Empresas!$C:$C,MATCH(A169,Empresas!$A:$A,0))),""))</f>
        <v/>
      </c>
      <c r="H169" s="18"/>
      <c r="I169" s="19" t="str">
        <f aca="false">IF(OR(F169="",G169=""),"",IF(F169-G169&lt;0,"CONTRATO ANTERIOR À ABERTURA — conferir datas",IF(F169-G169&lt;180,"ABERTA MENOS DE 6 MESES ANTES","")))</f>
        <v/>
      </c>
      <c r="J169" s="19" t="str">
        <f aca="false">IF(A169="","",IFERROR(INDEX(Sancoes!$B:$B,MATCH(A169,Sancoes!$A:$A,0))&amp;"","não consta"))</f>
        <v/>
      </c>
      <c r="K169" s="19" t="str">
        <f aca="false">IF(OR(A169="",F169=""),"",IF(SUMPRODUCT((Sancoes!$A$2:$A$301=A169)*(Sancoes!$B$2:$B$301&lt;&gt;"Não consta")*(Sancoes!$D$2:$D$301&lt;&gt;"")*(Sancoes!$D$2:$D$301&lt;=F169)*(((Sancoes!$E$2:$E$301="")+(Sancoes!$E$2:$E$301&gt;=F169))&gt;0))&gt;0,"SANÇÃO VIGENTE NA DATA — leia o tipo e a abrangência",""))</f>
        <v/>
      </c>
      <c r="L169" s="19" t="str">
        <f aca="false">IF(A169="","",IFERROR(INDEX(Empresas!$B:$B,MATCH(A169,Empresas!$A:$A,0))&amp;"","cadastre o CNPJ em Empresas"))</f>
        <v/>
      </c>
      <c r="M169" s="27"/>
      <c r="N169" s="35"/>
      <c r="O169" s="37" t="str">
        <f aca="false">IF(OR(D169="",D169=0,N169=""),"",N169/D169)</f>
        <v/>
      </c>
      <c r="P169" s="19" t="str">
        <f aca="false">IF(O169="","",IF(O169&gt;0.25,"ACRÉSCIMO ACIMA DE 25% — conferir",""))</f>
        <v/>
      </c>
      <c r="Q169" s="27"/>
      <c r="R169" s="5"/>
    </row>
    <row r="170" customFormat="false" ht="15" hidden="false" customHeight="false" outlineLevel="0" collapsed="false">
      <c r="A170" s="27"/>
      <c r="B170" s="5"/>
      <c r="C170" s="5"/>
      <c r="D170" s="35"/>
      <c r="E170" s="14"/>
      <c r="F170" s="18"/>
      <c r="G170" s="31" t="str">
        <f aca="false">IF(A170="","",IFERROR(IF(INDEX(Empresas!$C:$C,MATCH(A170,Empresas!$A:$A,0))="","",INDEX(Empresas!$C:$C,MATCH(A170,Empresas!$A:$A,0))),""))</f>
        <v/>
      </c>
      <c r="H170" s="18"/>
      <c r="I170" s="19" t="str">
        <f aca="false">IF(OR(F170="",G170=""),"",IF(F170-G170&lt;0,"CONTRATO ANTERIOR À ABERTURA — conferir datas",IF(F170-G170&lt;180,"ABERTA MENOS DE 6 MESES ANTES","")))</f>
        <v/>
      </c>
      <c r="J170" s="19" t="str">
        <f aca="false">IF(A170="","",IFERROR(INDEX(Sancoes!$B:$B,MATCH(A170,Sancoes!$A:$A,0))&amp;"","não consta"))</f>
        <v/>
      </c>
      <c r="K170" s="19" t="str">
        <f aca="false">IF(OR(A170="",F170=""),"",IF(SUMPRODUCT((Sancoes!$A$2:$A$301=A170)*(Sancoes!$B$2:$B$301&lt;&gt;"Não consta")*(Sancoes!$D$2:$D$301&lt;&gt;"")*(Sancoes!$D$2:$D$301&lt;=F170)*(((Sancoes!$E$2:$E$301="")+(Sancoes!$E$2:$E$301&gt;=F170))&gt;0))&gt;0,"SANÇÃO VIGENTE NA DATA — leia o tipo e a abrangência",""))</f>
        <v/>
      </c>
      <c r="L170" s="19" t="str">
        <f aca="false">IF(A170="","",IFERROR(INDEX(Empresas!$B:$B,MATCH(A170,Empresas!$A:$A,0))&amp;"","cadastre o CNPJ em Empresas"))</f>
        <v/>
      </c>
      <c r="M170" s="27"/>
      <c r="N170" s="35"/>
      <c r="O170" s="37" t="str">
        <f aca="false">IF(OR(D170="",D170=0,N170=""),"",N170/D170)</f>
        <v/>
      </c>
      <c r="P170" s="19" t="str">
        <f aca="false">IF(O170="","",IF(O170&gt;0.25,"ACRÉSCIMO ACIMA DE 25% — conferir",""))</f>
        <v/>
      </c>
      <c r="Q170" s="27"/>
      <c r="R170" s="5"/>
    </row>
    <row r="171" customFormat="false" ht="15" hidden="false" customHeight="false" outlineLevel="0" collapsed="false">
      <c r="A171" s="27"/>
      <c r="B171" s="5"/>
      <c r="C171" s="5"/>
      <c r="D171" s="35"/>
      <c r="E171" s="14"/>
      <c r="F171" s="18"/>
      <c r="G171" s="31" t="str">
        <f aca="false">IF(A171="","",IFERROR(IF(INDEX(Empresas!$C:$C,MATCH(A171,Empresas!$A:$A,0))="","",INDEX(Empresas!$C:$C,MATCH(A171,Empresas!$A:$A,0))),""))</f>
        <v/>
      </c>
      <c r="H171" s="18"/>
      <c r="I171" s="19" t="str">
        <f aca="false">IF(OR(F171="",G171=""),"",IF(F171-G171&lt;0,"CONTRATO ANTERIOR À ABERTURA — conferir datas",IF(F171-G171&lt;180,"ABERTA MENOS DE 6 MESES ANTES","")))</f>
        <v/>
      </c>
      <c r="J171" s="19" t="str">
        <f aca="false">IF(A171="","",IFERROR(INDEX(Sancoes!$B:$B,MATCH(A171,Sancoes!$A:$A,0))&amp;"","não consta"))</f>
        <v/>
      </c>
      <c r="K171" s="19" t="str">
        <f aca="false">IF(OR(A171="",F171=""),"",IF(SUMPRODUCT((Sancoes!$A$2:$A$301=A171)*(Sancoes!$B$2:$B$301&lt;&gt;"Não consta")*(Sancoes!$D$2:$D$301&lt;&gt;"")*(Sancoes!$D$2:$D$301&lt;=F171)*(((Sancoes!$E$2:$E$301="")+(Sancoes!$E$2:$E$301&gt;=F171))&gt;0))&gt;0,"SANÇÃO VIGENTE NA DATA — leia o tipo e a abrangência",""))</f>
        <v/>
      </c>
      <c r="L171" s="19" t="str">
        <f aca="false">IF(A171="","",IFERROR(INDEX(Empresas!$B:$B,MATCH(A171,Empresas!$A:$A,0))&amp;"","cadastre o CNPJ em Empresas"))</f>
        <v/>
      </c>
      <c r="M171" s="27"/>
      <c r="N171" s="35"/>
      <c r="O171" s="37" t="str">
        <f aca="false">IF(OR(D171="",D171=0,N171=""),"",N171/D171)</f>
        <v/>
      </c>
      <c r="P171" s="19" t="str">
        <f aca="false">IF(O171="","",IF(O171&gt;0.25,"ACRÉSCIMO ACIMA DE 25% — conferir",""))</f>
        <v/>
      </c>
      <c r="Q171" s="27"/>
      <c r="R171" s="5"/>
    </row>
    <row r="172" customFormat="false" ht="15" hidden="false" customHeight="false" outlineLevel="0" collapsed="false">
      <c r="A172" s="27"/>
      <c r="B172" s="5"/>
      <c r="C172" s="5"/>
      <c r="D172" s="35"/>
      <c r="E172" s="14"/>
      <c r="F172" s="18"/>
      <c r="G172" s="31" t="str">
        <f aca="false">IF(A172="","",IFERROR(IF(INDEX(Empresas!$C:$C,MATCH(A172,Empresas!$A:$A,0))="","",INDEX(Empresas!$C:$C,MATCH(A172,Empresas!$A:$A,0))),""))</f>
        <v/>
      </c>
      <c r="H172" s="18"/>
      <c r="I172" s="19" t="str">
        <f aca="false">IF(OR(F172="",G172=""),"",IF(F172-G172&lt;0,"CONTRATO ANTERIOR À ABERTURA — conferir datas",IF(F172-G172&lt;180,"ABERTA MENOS DE 6 MESES ANTES","")))</f>
        <v/>
      </c>
      <c r="J172" s="19" t="str">
        <f aca="false">IF(A172="","",IFERROR(INDEX(Sancoes!$B:$B,MATCH(A172,Sancoes!$A:$A,0))&amp;"","não consta"))</f>
        <v/>
      </c>
      <c r="K172" s="19" t="str">
        <f aca="false">IF(OR(A172="",F172=""),"",IF(SUMPRODUCT((Sancoes!$A$2:$A$301=A172)*(Sancoes!$B$2:$B$301&lt;&gt;"Não consta")*(Sancoes!$D$2:$D$301&lt;&gt;"")*(Sancoes!$D$2:$D$301&lt;=F172)*(((Sancoes!$E$2:$E$301="")+(Sancoes!$E$2:$E$301&gt;=F172))&gt;0))&gt;0,"SANÇÃO VIGENTE NA DATA — leia o tipo e a abrangência",""))</f>
        <v/>
      </c>
      <c r="L172" s="19" t="str">
        <f aca="false">IF(A172="","",IFERROR(INDEX(Empresas!$B:$B,MATCH(A172,Empresas!$A:$A,0))&amp;"","cadastre o CNPJ em Empresas"))</f>
        <v/>
      </c>
      <c r="M172" s="27"/>
      <c r="N172" s="35"/>
      <c r="O172" s="37" t="str">
        <f aca="false">IF(OR(D172="",D172=0,N172=""),"",N172/D172)</f>
        <v/>
      </c>
      <c r="P172" s="19" t="str">
        <f aca="false">IF(O172="","",IF(O172&gt;0.25,"ACRÉSCIMO ACIMA DE 25% — conferir",""))</f>
        <v/>
      </c>
      <c r="Q172" s="27"/>
      <c r="R172" s="5"/>
    </row>
    <row r="173" customFormat="false" ht="15" hidden="false" customHeight="false" outlineLevel="0" collapsed="false">
      <c r="A173" s="27"/>
      <c r="B173" s="5"/>
      <c r="C173" s="5"/>
      <c r="D173" s="35"/>
      <c r="E173" s="14"/>
      <c r="F173" s="18"/>
      <c r="G173" s="31" t="str">
        <f aca="false">IF(A173="","",IFERROR(IF(INDEX(Empresas!$C:$C,MATCH(A173,Empresas!$A:$A,0))="","",INDEX(Empresas!$C:$C,MATCH(A173,Empresas!$A:$A,0))),""))</f>
        <v/>
      </c>
      <c r="H173" s="18"/>
      <c r="I173" s="19" t="str">
        <f aca="false">IF(OR(F173="",G173=""),"",IF(F173-G173&lt;0,"CONTRATO ANTERIOR À ABERTURA — conferir datas",IF(F173-G173&lt;180,"ABERTA MENOS DE 6 MESES ANTES","")))</f>
        <v/>
      </c>
      <c r="J173" s="19" t="str">
        <f aca="false">IF(A173="","",IFERROR(INDEX(Sancoes!$B:$B,MATCH(A173,Sancoes!$A:$A,0))&amp;"","não consta"))</f>
        <v/>
      </c>
      <c r="K173" s="19" t="str">
        <f aca="false">IF(OR(A173="",F173=""),"",IF(SUMPRODUCT((Sancoes!$A$2:$A$301=A173)*(Sancoes!$B$2:$B$301&lt;&gt;"Não consta")*(Sancoes!$D$2:$D$301&lt;&gt;"")*(Sancoes!$D$2:$D$301&lt;=F173)*(((Sancoes!$E$2:$E$301="")+(Sancoes!$E$2:$E$301&gt;=F173))&gt;0))&gt;0,"SANÇÃO VIGENTE NA DATA — leia o tipo e a abrangência",""))</f>
        <v/>
      </c>
      <c r="L173" s="19" t="str">
        <f aca="false">IF(A173="","",IFERROR(INDEX(Empresas!$B:$B,MATCH(A173,Empresas!$A:$A,0))&amp;"","cadastre o CNPJ em Empresas"))</f>
        <v/>
      </c>
      <c r="M173" s="27"/>
      <c r="N173" s="35"/>
      <c r="O173" s="37" t="str">
        <f aca="false">IF(OR(D173="",D173=0,N173=""),"",N173/D173)</f>
        <v/>
      </c>
      <c r="P173" s="19" t="str">
        <f aca="false">IF(O173="","",IF(O173&gt;0.25,"ACRÉSCIMO ACIMA DE 25% — conferir",""))</f>
        <v/>
      </c>
      <c r="Q173" s="27"/>
      <c r="R173" s="5"/>
    </row>
    <row r="174" customFormat="false" ht="15" hidden="false" customHeight="false" outlineLevel="0" collapsed="false">
      <c r="A174" s="27"/>
      <c r="B174" s="5"/>
      <c r="C174" s="5"/>
      <c r="D174" s="35"/>
      <c r="E174" s="14"/>
      <c r="F174" s="18"/>
      <c r="G174" s="31" t="str">
        <f aca="false">IF(A174="","",IFERROR(IF(INDEX(Empresas!$C:$C,MATCH(A174,Empresas!$A:$A,0))="","",INDEX(Empresas!$C:$C,MATCH(A174,Empresas!$A:$A,0))),""))</f>
        <v/>
      </c>
      <c r="H174" s="18"/>
      <c r="I174" s="19" t="str">
        <f aca="false">IF(OR(F174="",G174=""),"",IF(F174-G174&lt;0,"CONTRATO ANTERIOR À ABERTURA — conferir datas",IF(F174-G174&lt;180,"ABERTA MENOS DE 6 MESES ANTES","")))</f>
        <v/>
      </c>
      <c r="J174" s="19" t="str">
        <f aca="false">IF(A174="","",IFERROR(INDEX(Sancoes!$B:$B,MATCH(A174,Sancoes!$A:$A,0))&amp;"","não consta"))</f>
        <v/>
      </c>
      <c r="K174" s="19" t="str">
        <f aca="false">IF(OR(A174="",F174=""),"",IF(SUMPRODUCT((Sancoes!$A$2:$A$301=A174)*(Sancoes!$B$2:$B$301&lt;&gt;"Não consta")*(Sancoes!$D$2:$D$301&lt;&gt;"")*(Sancoes!$D$2:$D$301&lt;=F174)*(((Sancoes!$E$2:$E$301="")+(Sancoes!$E$2:$E$301&gt;=F174))&gt;0))&gt;0,"SANÇÃO VIGENTE NA DATA — leia o tipo e a abrangência",""))</f>
        <v/>
      </c>
      <c r="L174" s="19" t="str">
        <f aca="false">IF(A174="","",IFERROR(INDEX(Empresas!$B:$B,MATCH(A174,Empresas!$A:$A,0))&amp;"","cadastre o CNPJ em Empresas"))</f>
        <v/>
      </c>
      <c r="M174" s="27"/>
      <c r="N174" s="35"/>
      <c r="O174" s="37" t="str">
        <f aca="false">IF(OR(D174="",D174=0,N174=""),"",N174/D174)</f>
        <v/>
      </c>
      <c r="P174" s="19" t="str">
        <f aca="false">IF(O174="","",IF(O174&gt;0.25,"ACRÉSCIMO ACIMA DE 25% — conferir",""))</f>
        <v/>
      </c>
      <c r="Q174" s="27"/>
      <c r="R174" s="5"/>
    </row>
    <row r="175" customFormat="false" ht="15" hidden="false" customHeight="false" outlineLevel="0" collapsed="false">
      <c r="A175" s="27"/>
      <c r="B175" s="5"/>
      <c r="C175" s="5"/>
      <c r="D175" s="35"/>
      <c r="E175" s="14"/>
      <c r="F175" s="18"/>
      <c r="G175" s="31" t="str">
        <f aca="false">IF(A175="","",IFERROR(IF(INDEX(Empresas!$C:$C,MATCH(A175,Empresas!$A:$A,0))="","",INDEX(Empresas!$C:$C,MATCH(A175,Empresas!$A:$A,0))),""))</f>
        <v/>
      </c>
      <c r="H175" s="18"/>
      <c r="I175" s="19" t="str">
        <f aca="false">IF(OR(F175="",G175=""),"",IF(F175-G175&lt;0,"CONTRATO ANTERIOR À ABERTURA — conferir datas",IF(F175-G175&lt;180,"ABERTA MENOS DE 6 MESES ANTES","")))</f>
        <v/>
      </c>
      <c r="J175" s="19" t="str">
        <f aca="false">IF(A175="","",IFERROR(INDEX(Sancoes!$B:$B,MATCH(A175,Sancoes!$A:$A,0))&amp;"","não consta"))</f>
        <v/>
      </c>
      <c r="K175" s="19" t="str">
        <f aca="false">IF(OR(A175="",F175=""),"",IF(SUMPRODUCT((Sancoes!$A$2:$A$301=A175)*(Sancoes!$B$2:$B$301&lt;&gt;"Não consta")*(Sancoes!$D$2:$D$301&lt;&gt;"")*(Sancoes!$D$2:$D$301&lt;=F175)*(((Sancoes!$E$2:$E$301="")+(Sancoes!$E$2:$E$301&gt;=F175))&gt;0))&gt;0,"SANÇÃO VIGENTE NA DATA — leia o tipo e a abrangência",""))</f>
        <v/>
      </c>
      <c r="L175" s="19" t="str">
        <f aca="false">IF(A175="","",IFERROR(INDEX(Empresas!$B:$B,MATCH(A175,Empresas!$A:$A,0))&amp;"","cadastre o CNPJ em Empresas"))</f>
        <v/>
      </c>
      <c r="M175" s="27"/>
      <c r="N175" s="35"/>
      <c r="O175" s="37" t="str">
        <f aca="false">IF(OR(D175="",D175=0,N175=""),"",N175/D175)</f>
        <v/>
      </c>
      <c r="P175" s="19" t="str">
        <f aca="false">IF(O175="","",IF(O175&gt;0.25,"ACRÉSCIMO ACIMA DE 25% — conferir",""))</f>
        <v/>
      </c>
      <c r="Q175" s="27"/>
      <c r="R175" s="5"/>
    </row>
    <row r="176" customFormat="false" ht="15" hidden="false" customHeight="false" outlineLevel="0" collapsed="false">
      <c r="A176" s="27"/>
      <c r="B176" s="5"/>
      <c r="C176" s="5"/>
      <c r="D176" s="35"/>
      <c r="E176" s="14"/>
      <c r="F176" s="18"/>
      <c r="G176" s="31" t="str">
        <f aca="false">IF(A176="","",IFERROR(IF(INDEX(Empresas!$C:$C,MATCH(A176,Empresas!$A:$A,0))="","",INDEX(Empresas!$C:$C,MATCH(A176,Empresas!$A:$A,0))),""))</f>
        <v/>
      </c>
      <c r="H176" s="18"/>
      <c r="I176" s="19" t="str">
        <f aca="false">IF(OR(F176="",G176=""),"",IF(F176-G176&lt;0,"CONTRATO ANTERIOR À ABERTURA — conferir datas",IF(F176-G176&lt;180,"ABERTA MENOS DE 6 MESES ANTES","")))</f>
        <v/>
      </c>
      <c r="J176" s="19" t="str">
        <f aca="false">IF(A176="","",IFERROR(INDEX(Sancoes!$B:$B,MATCH(A176,Sancoes!$A:$A,0))&amp;"","não consta"))</f>
        <v/>
      </c>
      <c r="K176" s="19" t="str">
        <f aca="false">IF(OR(A176="",F176=""),"",IF(SUMPRODUCT((Sancoes!$A$2:$A$301=A176)*(Sancoes!$B$2:$B$301&lt;&gt;"Não consta")*(Sancoes!$D$2:$D$301&lt;&gt;"")*(Sancoes!$D$2:$D$301&lt;=F176)*(((Sancoes!$E$2:$E$301="")+(Sancoes!$E$2:$E$301&gt;=F176))&gt;0))&gt;0,"SANÇÃO VIGENTE NA DATA — leia o tipo e a abrangência",""))</f>
        <v/>
      </c>
      <c r="L176" s="19" t="str">
        <f aca="false">IF(A176="","",IFERROR(INDEX(Empresas!$B:$B,MATCH(A176,Empresas!$A:$A,0))&amp;"","cadastre o CNPJ em Empresas"))</f>
        <v/>
      </c>
      <c r="M176" s="27"/>
      <c r="N176" s="35"/>
      <c r="O176" s="37" t="str">
        <f aca="false">IF(OR(D176="",D176=0,N176=""),"",N176/D176)</f>
        <v/>
      </c>
      <c r="P176" s="19" t="str">
        <f aca="false">IF(O176="","",IF(O176&gt;0.25,"ACRÉSCIMO ACIMA DE 25% — conferir",""))</f>
        <v/>
      </c>
      <c r="Q176" s="27"/>
      <c r="R176" s="5"/>
    </row>
    <row r="177" customFormat="false" ht="15" hidden="false" customHeight="false" outlineLevel="0" collapsed="false">
      <c r="A177" s="27"/>
      <c r="B177" s="5"/>
      <c r="C177" s="5"/>
      <c r="D177" s="35"/>
      <c r="E177" s="14"/>
      <c r="F177" s="18"/>
      <c r="G177" s="31" t="str">
        <f aca="false">IF(A177="","",IFERROR(IF(INDEX(Empresas!$C:$C,MATCH(A177,Empresas!$A:$A,0))="","",INDEX(Empresas!$C:$C,MATCH(A177,Empresas!$A:$A,0))),""))</f>
        <v/>
      </c>
      <c r="H177" s="18"/>
      <c r="I177" s="19" t="str">
        <f aca="false">IF(OR(F177="",G177=""),"",IF(F177-G177&lt;0,"CONTRATO ANTERIOR À ABERTURA — conferir datas",IF(F177-G177&lt;180,"ABERTA MENOS DE 6 MESES ANTES","")))</f>
        <v/>
      </c>
      <c r="J177" s="19" t="str">
        <f aca="false">IF(A177="","",IFERROR(INDEX(Sancoes!$B:$B,MATCH(A177,Sancoes!$A:$A,0))&amp;"","não consta"))</f>
        <v/>
      </c>
      <c r="K177" s="19" t="str">
        <f aca="false">IF(OR(A177="",F177=""),"",IF(SUMPRODUCT((Sancoes!$A$2:$A$301=A177)*(Sancoes!$B$2:$B$301&lt;&gt;"Não consta")*(Sancoes!$D$2:$D$301&lt;&gt;"")*(Sancoes!$D$2:$D$301&lt;=F177)*(((Sancoes!$E$2:$E$301="")+(Sancoes!$E$2:$E$301&gt;=F177))&gt;0))&gt;0,"SANÇÃO VIGENTE NA DATA — leia o tipo e a abrangência",""))</f>
        <v/>
      </c>
      <c r="L177" s="19" t="str">
        <f aca="false">IF(A177="","",IFERROR(INDEX(Empresas!$B:$B,MATCH(A177,Empresas!$A:$A,0))&amp;"","cadastre o CNPJ em Empresas"))</f>
        <v/>
      </c>
      <c r="M177" s="27"/>
      <c r="N177" s="35"/>
      <c r="O177" s="37" t="str">
        <f aca="false">IF(OR(D177="",D177=0,N177=""),"",N177/D177)</f>
        <v/>
      </c>
      <c r="P177" s="19" t="str">
        <f aca="false">IF(O177="","",IF(O177&gt;0.25,"ACRÉSCIMO ACIMA DE 25% — conferir",""))</f>
        <v/>
      </c>
      <c r="Q177" s="27"/>
      <c r="R177" s="5"/>
    </row>
    <row r="178" customFormat="false" ht="15" hidden="false" customHeight="false" outlineLevel="0" collapsed="false">
      <c r="A178" s="27"/>
      <c r="B178" s="5"/>
      <c r="C178" s="5"/>
      <c r="D178" s="35"/>
      <c r="E178" s="14"/>
      <c r="F178" s="18"/>
      <c r="G178" s="31" t="str">
        <f aca="false">IF(A178="","",IFERROR(IF(INDEX(Empresas!$C:$C,MATCH(A178,Empresas!$A:$A,0))="","",INDEX(Empresas!$C:$C,MATCH(A178,Empresas!$A:$A,0))),""))</f>
        <v/>
      </c>
      <c r="H178" s="18"/>
      <c r="I178" s="19" t="str">
        <f aca="false">IF(OR(F178="",G178=""),"",IF(F178-G178&lt;0,"CONTRATO ANTERIOR À ABERTURA — conferir datas",IF(F178-G178&lt;180,"ABERTA MENOS DE 6 MESES ANTES","")))</f>
        <v/>
      </c>
      <c r="J178" s="19" t="str">
        <f aca="false">IF(A178="","",IFERROR(INDEX(Sancoes!$B:$B,MATCH(A178,Sancoes!$A:$A,0))&amp;"","não consta"))</f>
        <v/>
      </c>
      <c r="K178" s="19" t="str">
        <f aca="false">IF(OR(A178="",F178=""),"",IF(SUMPRODUCT((Sancoes!$A$2:$A$301=A178)*(Sancoes!$B$2:$B$301&lt;&gt;"Não consta")*(Sancoes!$D$2:$D$301&lt;&gt;"")*(Sancoes!$D$2:$D$301&lt;=F178)*(((Sancoes!$E$2:$E$301="")+(Sancoes!$E$2:$E$301&gt;=F178))&gt;0))&gt;0,"SANÇÃO VIGENTE NA DATA — leia o tipo e a abrangência",""))</f>
        <v/>
      </c>
      <c r="L178" s="19" t="str">
        <f aca="false">IF(A178="","",IFERROR(INDEX(Empresas!$B:$B,MATCH(A178,Empresas!$A:$A,0))&amp;"","cadastre o CNPJ em Empresas"))</f>
        <v/>
      </c>
      <c r="M178" s="27"/>
      <c r="N178" s="35"/>
      <c r="O178" s="37" t="str">
        <f aca="false">IF(OR(D178="",D178=0,N178=""),"",N178/D178)</f>
        <v/>
      </c>
      <c r="P178" s="19" t="str">
        <f aca="false">IF(O178="","",IF(O178&gt;0.25,"ACRÉSCIMO ACIMA DE 25% — conferir",""))</f>
        <v/>
      </c>
      <c r="Q178" s="27"/>
      <c r="R178" s="5"/>
    </row>
    <row r="179" customFormat="false" ht="15" hidden="false" customHeight="false" outlineLevel="0" collapsed="false">
      <c r="A179" s="27"/>
      <c r="B179" s="5"/>
      <c r="C179" s="5"/>
      <c r="D179" s="35"/>
      <c r="E179" s="14"/>
      <c r="F179" s="18"/>
      <c r="G179" s="31" t="str">
        <f aca="false">IF(A179="","",IFERROR(IF(INDEX(Empresas!$C:$C,MATCH(A179,Empresas!$A:$A,0))="","",INDEX(Empresas!$C:$C,MATCH(A179,Empresas!$A:$A,0))),""))</f>
        <v/>
      </c>
      <c r="H179" s="18"/>
      <c r="I179" s="19" t="str">
        <f aca="false">IF(OR(F179="",G179=""),"",IF(F179-G179&lt;0,"CONTRATO ANTERIOR À ABERTURA — conferir datas",IF(F179-G179&lt;180,"ABERTA MENOS DE 6 MESES ANTES","")))</f>
        <v/>
      </c>
      <c r="J179" s="19" t="str">
        <f aca="false">IF(A179="","",IFERROR(INDEX(Sancoes!$B:$B,MATCH(A179,Sancoes!$A:$A,0))&amp;"","não consta"))</f>
        <v/>
      </c>
      <c r="K179" s="19" t="str">
        <f aca="false">IF(OR(A179="",F179=""),"",IF(SUMPRODUCT((Sancoes!$A$2:$A$301=A179)*(Sancoes!$B$2:$B$301&lt;&gt;"Não consta")*(Sancoes!$D$2:$D$301&lt;&gt;"")*(Sancoes!$D$2:$D$301&lt;=F179)*(((Sancoes!$E$2:$E$301="")+(Sancoes!$E$2:$E$301&gt;=F179))&gt;0))&gt;0,"SANÇÃO VIGENTE NA DATA — leia o tipo e a abrangência",""))</f>
        <v/>
      </c>
      <c r="L179" s="19" t="str">
        <f aca="false">IF(A179="","",IFERROR(INDEX(Empresas!$B:$B,MATCH(A179,Empresas!$A:$A,0))&amp;"","cadastre o CNPJ em Empresas"))</f>
        <v/>
      </c>
      <c r="M179" s="27"/>
      <c r="N179" s="35"/>
      <c r="O179" s="37" t="str">
        <f aca="false">IF(OR(D179="",D179=0,N179=""),"",N179/D179)</f>
        <v/>
      </c>
      <c r="P179" s="19" t="str">
        <f aca="false">IF(O179="","",IF(O179&gt;0.25,"ACRÉSCIMO ACIMA DE 25% — conferir",""))</f>
        <v/>
      </c>
      <c r="Q179" s="27"/>
      <c r="R179" s="5"/>
    </row>
    <row r="180" customFormat="false" ht="15" hidden="false" customHeight="false" outlineLevel="0" collapsed="false">
      <c r="A180" s="27"/>
      <c r="B180" s="5"/>
      <c r="C180" s="5"/>
      <c r="D180" s="35"/>
      <c r="E180" s="14"/>
      <c r="F180" s="18"/>
      <c r="G180" s="31" t="str">
        <f aca="false">IF(A180="","",IFERROR(IF(INDEX(Empresas!$C:$C,MATCH(A180,Empresas!$A:$A,0))="","",INDEX(Empresas!$C:$C,MATCH(A180,Empresas!$A:$A,0))),""))</f>
        <v/>
      </c>
      <c r="H180" s="18"/>
      <c r="I180" s="19" t="str">
        <f aca="false">IF(OR(F180="",G180=""),"",IF(F180-G180&lt;0,"CONTRATO ANTERIOR À ABERTURA — conferir datas",IF(F180-G180&lt;180,"ABERTA MENOS DE 6 MESES ANTES","")))</f>
        <v/>
      </c>
      <c r="J180" s="19" t="str">
        <f aca="false">IF(A180="","",IFERROR(INDEX(Sancoes!$B:$B,MATCH(A180,Sancoes!$A:$A,0))&amp;"","não consta"))</f>
        <v/>
      </c>
      <c r="K180" s="19" t="str">
        <f aca="false">IF(OR(A180="",F180=""),"",IF(SUMPRODUCT((Sancoes!$A$2:$A$301=A180)*(Sancoes!$B$2:$B$301&lt;&gt;"Não consta")*(Sancoes!$D$2:$D$301&lt;&gt;"")*(Sancoes!$D$2:$D$301&lt;=F180)*(((Sancoes!$E$2:$E$301="")+(Sancoes!$E$2:$E$301&gt;=F180))&gt;0))&gt;0,"SANÇÃO VIGENTE NA DATA — leia o tipo e a abrangência",""))</f>
        <v/>
      </c>
      <c r="L180" s="19" t="str">
        <f aca="false">IF(A180="","",IFERROR(INDEX(Empresas!$B:$B,MATCH(A180,Empresas!$A:$A,0))&amp;"","cadastre o CNPJ em Empresas"))</f>
        <v/>
      </c>
      <c r="M180" s="27"/>
      <c r="N180" s="35"/>
      <c r="O180" s="37" t="str">
        <f aca="false">IF(OR(D180="",D180=0,N180=""),"",N180/D180)</f>
        <v/>
      </c>
      <c r="P180" s="19" t="str">
        <f aca="false">IF(O180="","",IF(O180&gt;0.25,"ACRÉSCIMO ACIMA DE 25% — conferir",""))</f>
        <v/>
      </c>
      <c r="Q180" s="27"/>
      <c r="R180" s="5"/>
    </row>
    <row r="181" customFormat="false" ht="15" hidden="false" customHeight="false" outlineLevel="0" collapsed="false">
      <c r="A181" s="27"/>
      <c r="B181" s="5"/>
      <c r="C181" s="5"/>
      <c r="D181" s="35"/>
      <c r="E181" s="14"/>
      <c r="F181" s="18"/>
      <c r="G181" s="31" t="str">
        <f aca="false">IF(A181="","",IFERROR(IF(INDEX(Empresas!$C:$C,MATCH(A181,Empresas!$A:$A,0))="","",INDEX(Empresas!$C:$C,MATCH(A181,Empresas!$A:$A,0))),""))</f>
        <v/>
      </c>
      <c r="H181" s="18"/>
      <c r="I181" s="19" t="str">
        <f aca="false">IF(OR(F181="",G181=""),"",IF(F181-G181&lt;0,"CONTRATO ANTERIOR À ABERTURA — conferir datas",IF(F181-G181&lt;180,"ABERTA MENOS DE 6 MESES ANTES","")))</f>
        <v/>
      </c>
      <c r="J181" s="19" t="str">
        <f aca="false">IF(A181="","",IFERROR(INDEX(Sancoes!$B:$B,MATCH(A181,Sancoes!$A:$A,0))&amp;"","não consta"))</f>
        <v/>
      </c>
      <c r="K181" s="19" t="str">
        <f aca="false">IF(OR(A181="",F181=""),"",IF(SUMPRODUCT((Sancoes!$A$2:$A$301=A181)*(Sancoes!$B$2:$B$301&lt;&gt;"Não consta")*(Sancoes!$D$2:$D$301&lt;&gt;"")*(Sancoes!$D$2:$D$301&lt;=F181)*(((Sancoes!$E$2:$E$301="")+(Sancoes!$E$2:$E$301&gt;=F181))&gt;0))&gt;0,"SANÇÃO VIGENTE NA DATA — leia o tipo e a abrangência",""))</f>
        <v/>
      </c>
      <c r="L181" s="19" t="str">
        <f aca="false">IF(A181="","",IFERROR(INDEX(Empresas!$B:$B,MATCH(A181,Empresas!$A:$A,0))&amp;"","cadastre o CNPJ em Empresas"))</f>
        <v/>
      </c>
      <c r="M181" s="27"/>
      <c r="N181" s="35"/>
      <c r="O181" s="37" t="str">
        <f aca="false">IF(OR(D181="",D181=0,N181=""),"",N181/D181)</f>
        <v/>
      </c>
      <c r="P181" s="19" t="str">
        <f aca="false">IF(O181="","",IF(O181&gt;0.25,"ACRÉSCIMO ACIMA DE 25% — conferir",""))</f>
        <v/>
      </c>
      <c r="Q181" s="27"/>
      <c r="R181" s="5"/>
    </row>
    <row r="182" customFormat="false" ht="15" hidden="false" customHeight="false" outlineLevel="0" collapsed="false">
      <c r="A182" s="27"/>
      <c r="B182" s="5"/>
      <c r="C182" s="5"/>
      <c r="D182" s="35"/>
      <c r="E182" s="14"/>
      <c r="F182" s="18"/>
      <c r="G182" s="31" t="str">
        <f aca="false">IF(A182="","",IFERROR(IF(INDEX(Empresas!$C:$C,MATCH(A182,Empresas!$A:$A,0))="","",INDEX(Empresas!$C:$C,MATCH(A182,Empresas!$A:$A,0))),""))</f>
        <v/>
      </c>
      <c r="H182" s="18"/>
      <c r="I182" s="19" t="str">
        <f aca="false">IF(OR(F182="",G182=""),"",IF(F182-G182&lt;0,"CONTRATO ANTERIOR À ABERTURA — conferir datas",IF(F182-G182&lt;180,"ABERTA MENOS DE 6 MESES ANTES","")))</f>
        <v/>
      </c>
      <c r="J182" s="19" t="str">
        <f aca="false">IF(A182="","",IFERROR(INDEX(Sancoes!$B:$B,MATCH(A182,Sancoes!$A:$A,0))&amp;"","não consta"))</f>
        <v/>
      </c>
      <c r="K182" s="19" t="str">
        <f aca="false">IF(OR(A182="",F182=""),"",IF(SUMPRODUCT((Sancoes!$A$2:$A$301=A182)*(Sancoes!$B$2:$B$301&lt;&gt;"Não consta")*(Sancoes!$D$2:$D$301&lt;&gt;"")*(Sancoes!$D$2:$D$301&lt;=F182)*(((Sancoes!$E$2:$E$301="")+(Sancoes!$E$2:$E$301&gt;=F182))&gt;0))&gt;0,"SANÇÃO VIGENTE NA DATA — leia o tipo e a abrangência",""))</f>
        <v/>
      </c>
      <c r="L182" s="19" t="str">
        <f aca="false">IF(A182="","",IFERROR(INDEX(Empresas!$B:$B,MATCH(A182,Empresas!$A:$A,0))&amp;"","cadastre o CNPJ em Empresas"))</f>
        <v/>
      </c>
      <c r="M182" s="27"/>
      <c r="N182" s="35"/>
      <c r="O182" s="37" t="str">
        <f aca="false">IF(OR(D182="",D182=0,N182=""),"",N182/D182)</f>
        <v/>
      </c>
      <c r="P182" s="19" t="str">
        <f aca="false">IF(O182="","",IF(O182&gt;0.25,"ACRÉSCIMO ACIMA DE 25% — conferir",""))</f>
        <v/>
      </c>
      <c r="Q182" s="27"/>
      <c r="R182" s="5"/>
    </row>
    <row r="183" customFormat="false" ht="15" hidden="false" customHeight="false" outlineLevel="0" collapsed="false">
      <c r="A183" s="27"/>
      <c r="B183" s="5"/>
      <c r="C183" s="5"/>
      <c r="D183" s="35"/>
      <c r="E183" s="14"/>
      <c r="F183" s="18"/>
      <c r="G183" s="31" t="str">
        <f aca="false">IF(A183="","",IFERROR(IF(INDEX(Empresas!$C:$C,MATCH(A183,Empresas!$A:$A,0))="","",INDEX(Empresas!$C:$C,MATCH(A183,Empresas!$A:$A,0))),""))</f>
        <v/>
      </c>
      <c r="H183" s="18"/>
      <c r="I183" s="19" t="str">
        <f aca="false">IF(OR(F183="",G183=""),"",IF(F183-G183&lt;0,"CONTRATO ANTERIOR À ABERTURA — conferir datas",IF(F183-G183&lt;180,"ABERTA MENOS DE 6 MESES ANTES","")))</f>
        <v/>
      </c>
      <c r="J183" s="19" t="str">
        <f aca="false">IF(A183="","",IFERROR(INDEX(Sancoes!$B:$B,MATCH(A183,Sancoes!$A:$A,0))&amp;"","não consta"))</f>
        <v/>
      </c>
      <c r="K183" s="19" t="str">
        <f aca="false">IF(OR(A183="",F183=""),"",IF(SUMPRODUCT((Sancoes!$A$2:$A$301=A183)*(Sancoes!$B$2:$B$301&lt;&gt;"Não consta")*(Sancoes!$D$2:$D$301&lt;&gt;"")*(Sancoes!$D$2:$D$301&lt;=F183)*(((Sancoes!$E$2:$E$301="")+(Sancoes!$E$2:$E$301&gt;=F183))&gt;0))&gt;0,"SANÇÃO VIGENTE NA DATA — leia o tipo e a abrangência",""))</f>
        <v/>
      </c>
      <c r="L183" s="19" t="str">
        <f aca="false">IF(A183="","",IFERROR(INDEX(Empresas!$B:$B,MATCH(A183,Empresas!$A:$A,0))&amp;"","cadastre o CNPJ em Empresas"))</f>
        <v/>
      </c>
      <c r="M183" s="27"/>
      <c r="N183" s="35"/>
      <c r="O183" s="37" t="str">
        <f aca="false">IF(OR(D183="",D183=0,N183=""),"",N183/D183)</f>
        <v/>
      </c>
      <c r="P183" s="19" t="str">
        <f aca="false">IF(O183="","",IF(O183&gt;0.25,"ACRÉSCIMO ACIMA DE 25% — conferir",""))</f>
        <v/>
      </c>
      <c r="Q183" s="27"/>
      <c r="R183" s="5"/>
    </row>
    <row r="184" customFormat="false" ht="15" hidden="false" customHeight="false" outlineLevel="0" collapsed="false">
      <c r="A184" s="27"/>
      <c r="B184" s="5"/>
      <c r="C184" s="5"/>
      <c r="D184" s="35"/>
      <c r="E184" s="14"/>
      <c r="F184" s="18"/>
      <c r="G184" s="31" t="str">
        <f aca="false">IF(A184="","",IFERROR(IF(INDEX(Empresas!$C:$C,MATCH(A184,Empresas!$A:$A,0))="","",INDEX(Empresas!$C:$C,MATCH(A184,Empresas!$A:$A,0))),""))</f>
        <v/>
      </c>
      <c r="H184" s="18"/>
      <c r="I184" s="19" t="str">
        <f aca="false">IF(OR(F184="",G184=""),"",IF(F184-G184&lt;0,"CONTRATO ANTERIOR À ABERTURA — conferir datas",IF(F184-G184&lt;180,"ABERTA MENOS DE 6 MESES ANTES","")))</f>
        <v/>
      </c>
      <c r="J184" s="19" t="str">
        <f aca="false">IF(A184="","",IFERROR(INDEX(Sancoes!$B:$B,MATCH(A184,Sancoes!$A:$A,0))&amp;"","não consta"))</f>
        <v/>
      </c>
      <c r="K184" s="19" t="str">
        <f aca="false">IF(OR(A184="",F184=""),"",IF(SUMPRODUCT((Sancoes!$A$2:$A$301=A184)*(Sancoes!$B$2:$B$301&lt;&gt;"Não consta")*(Sancoes!$D$2:$D$301&lt;&gt;"")*(Sancoes!$D$2:$D$301&lt;=F184)*(((Sancoes!$E$2:$E$301="")+(Sancoes!$E$2:$E$301&gt;=F184))&gt;0))&gt;0,"SANÇÃO VIGENTE NA DATA — leia o tipo e a abrangência",""))</f>
        <v/>
      </c>
      <c r="L184" s="19" t="str">
        <f aca="false">IF(A184="","",IFERROR(INDEX(Empresas!$B:$B,MATCH(A184,Empresas!$A:$A,0))&amp;"","cadastre o CNPJ em Empresas"))</f>
        <v/>
      </c>
      <c r="M184" s="27"/>
      <c r="N184" s="35"/>
      <c r="O184" s="37" t="str">
        <f aca="false">IF(OR(D184="",D184=0,N184=""),"",N184/D184)</f>
        <v/>
      </c>
      <c r="P184" s="19" t="str">
        <f aca="false">IF(O184="","",IF(O184&gt;0.25,"ACRÉSCIMO ACIMA DE 25% — conferir",""))</f>
        <v/>
      </c>
      <c r="Q184" s="27"/>
      <c r="R184" s="5"/>
    </row>
    <row r="185" customFormat="false" ht="15" hidden="false" customHeight="false" outlineLevel="0" collapsed="false">
      <c r="A185" s="27"/>
      <c r="B185" s="5"/>
      <c r="C185" s="5"/>
      <c r="D185" s="35"/>
      <c r="E185" s="14"/>
      <c r="F185" s="18"/>
      <c r="G185" s="31" t="str">
        <f aca="false">IF(A185="","",IFERROR(IF(INDEX(Empresas!$C:$C,MATCH(A185,Empresas!$A:$A,0))="","",INDEX(Empresas!$C:$C,MATCH(A185,Empresas!$A:$A,0))),""))</f>
        <v/>
      </c>
      <c r="H185" s="18"/>
      <c r="I185" s="19" t="str">
        <f aca="false">IF(OR(F185="",G185=""),"",IF(F185-G185&lt;0,"CONTRATO ANTERIOR À ABERTURA — conferir datas",IF(F185-G185&lt;180,"ABERTA MENOS DE 6 MESES ANTES","")))</f>
        <v/>
      </c>
      <c r="J185" s="19" t="str">
        <f aca="false">IF(A185="","",IFERROR(INDEX(Sancoes!$B:$B,MATCH(A185,Sancoes!$A:$A,0))&amp;"","não consta"))</f>
        <v/>
      </c>
      <c r="K185" s="19" t="str">
        <f aca="false">IF(OR(A185="",F185=""),"",IF(SUMPRODUCT((Sancoes!$A$2:$A$301=A185)*(Sancoes!$B$2:$B$301&lt;&gt;"Não consta")*(Sancoes!$D$2:$D$301&lt;&gt;"")*(Sancoes!$D$2:$D$301&lt;=F185)*(((Sancoes!$E$2:$E$301="")+(Sancoes!$E$2:$E$301&gt;=F185))&gt;0))&gt;0,"SANÇÃO VIGENTE NA DATA — leia o tipo e a abrangência",""))</f>
        <v/>
      </c>
      <c r="L185" s="19" t="str">
        <f aca="false">IF(A185="","",IFERROR(INDEX(Empresas!$B:$B,MATCH(A185,Empresas!$A:$A,0))&amp;"","cadastre o CNPJ em Empresas"))</f>
        <v/>
      </c>
      <c r="M185" s="27"/>
      <c r="N185" s="35"/>
      <c r="O185" s="37" t="str">
        <f aca="false">IF(OR(D185="",D185=0,N185=""),"",N185/D185)</f>
        <v/>
      </c>
      <c r="P185" s="19" t="str">
        <f aca="false">IF(O185="","",IF(O185&gt;0.25,"ACRÉSCIMO ACIMA DE 25% — conferir",""))</f>
        <v/>
      </c>
      <c r="Q185" s="27"/>
      <c r="R185" s="5"/>
    </row>
    <row r="186" customFormat="false" ht="15" hidden="false" customHeight="false" outlineLevel="0" collapsed="false">
      <c r="A186" s="27"/>
      <c r="B186" s="5"/>
      <c r="C186" s="5"/>
      <c r="D186" s="35"/>
      <c r="E186" s="14"/>
      <c r="F186" s="18"/>
      <c r="G186" s="31" t="str">
        <f aca="false">IF(A186="","",IFERROR(IF(INDEX(Empresas!$C:$C,MATCH(A186,Empresas!$A:$A,0))="","",INDEX(Empresas!$C:$C,MATCH(A186,Empresas!$A:$A,0))),""))</f>
        <v/>
      </c>
      <c r="H186" s="18"/>
      <c r="I186" s="19" t="str">
        <f aca="false">IF(OR(F186="",G186=""),"",IF(F186-G186&lt;0,"CONTRATO ANTERIOR À ABERTURA — conferir datas",IF(F186-G186&lt;180,"ABERTA MENOS DE 6 MESES ANTES","")))</f>
        <v/>
      </c>
      <c r="J186" s="19" t="str">
        <f aca="false">IF(A186="","",IFERROR(INDEX(Sancoes!$B:$B,MATCH(A186,Sancoes!$A:$A,0))&amp;"","não consta"))</f>
        <v/>
      </c>
      <c r="K186" s="19" t="str">
        <f aca="false">IF(OR(A186="",F186=""),"",IF(SUMPRODUCT((Sancoes!$A$2:$A$301=A186)*(Sancoes!$B$2:$B$301&lt;&gt;"Não consta")*(Sancoes!$D$2:$D$301&lt;&gt;"")*(Sancoes!$D$2:$D$301&lt;=F186)*(((Sancoes!$E$2:$E$301="")+(Sancoes!$E$2:$E$301&gt;=F186))&gt;0))&gt;0,"SANÇÃO VIGENTE NA DATA — leia o tipo e a abrangência",""))</f>
        <v/>
      </c>
      <c r="L186" s="19" t="str">
        <f aca="false">IF(A186="","",IFERROR(INDEX(Empresas!$B:$B,MATCH(A186,Empresas!$A:$A,0))&amp;"","cadastre o CNPJ em Empresas"))</f>
        <v/>
      </c>
      <c r="M186" s="27"/>
      <c r="N186" s="35"/>
      <c r="O186" s="37" t="str">
        <f aca="false">IF(OR(D186="",D186=0,N186=""),"",N186/D186)</f>
        <v/>
      </c>
      <c r="P186" s="19" t="str">
        <f aca="false">IF(O186="","",IF(O186&gt;0.25,"ACRÉSCIMO ACIMA DE 25% — conferir",""))</f>
        <v/>
      </c>
      <c r="Q186" s="27"/>
      <c r="R186" s="5"/>
    </row>
    <row r="187" customFormat="false" ht="15" hidden="false" customHeight="false" outlineLevel="0" collapsed="false">
      <c r="A187" s="27"/>
      <c r="B187" s="5"/>
      <c r="C187" s="5"/>
      <c r="D187" s="35"/>
      <c r="E187" s="14"/>
      <c r="F187" s="18"/>
      <c r="G187" s="31" t="str">
        <f aca="false">IF(A187="","",IFERROR(IF(INDEX(Empresas!$C:$C,MATCH(A187,Empresas!$A:$A,0))="","",INDEX(Empresas!$C:$C,MATCH(A187,Empresas!$A:$A,0))),""))</f>
        <v/>
      </c>
      <c r="H187" s="18"/>
      <c r="I187" s="19" t="str">
        <f aca="false">IF(OR(F187="",G187=""),"",IF(F187-G187&lt;0,"CONTRATO ANTERIOR À ABERTURA — conferir datas",IF(F187-G187&lt;180,"ABERTA MENOS DE 6 MESES ANTES","")))</f>
        <v/>
      </c>
      <c r="J187" s="19" t="str">
        <f aca="false">IF(A187="","",IFERROR(INDEX(Sancoes!$B:$B,MATCH(A187,Sancoes!$A:$A,0))&amp;"","não consta"))</f>
        <v/>
      </c>
      <c r="K187" s="19" t="str">
        <f aca="false">IF(OR(A187="",F187=""),"",IF(SUMPRODUCT((Sancoes!$A$2:$A$301=A187)*(Sancoes!$B$2:$B$301&lt;&gt;"Não consta")*(Sancoes!$D$2:$D$301&lt;&gt;"")*(Sancoes!$D$2:$D$301&lt;=F187)*(((Sancoes!$E$2:$E$301="")+(Sancoes!$E$2:$E$301&gt;=F187))&gt;0))&gt;0,"SANÇÃO VIGENTE NA DATA — leia o tipo e a abrangência",""))</f>
        <v/>
      </c>
      <c r="L187" s="19" t="str">
        <f aca="false">IF(A187="","",IFERROR(INDEX(Empresas!$B:$B,MATCH(A187,Empresas!$A:$A,0))&amp;"","cadastre o CNPJ em Empresas"))</f>
        <v/>
      </c>
      <c r="M187" s="27"/>
      <c r="N187" s="35"/>
      <c r="O187" s="37" t="str">
        <f aca="false">IF(OR(D187="",D187=0,N187=""),"",N187/D187)</f>
        <v/>
      </c>
      <c r="P187" s="19" t="str">
        <f aca="false">IF(O187="","",IF(O187&gt;0.25,"ACRÉSCIMO ACIMA DE 25% — conferir",""))</f>
        <v/>
      </c>
      <c r="Q187" s="27"/>
      <c r="R187" s="5"/>
    </row>
    <row r="188" customFormat="false" ht="15" hidden="false" customHeight="false" outlineLevel="0" collapsed="false">
      <c r="A188" s="27"/>
      <c r="B188" s="5"/>
      <c r="C188" s="5"/>
      <c r="D188" s="35"/>
      <c r="E188" s="14"/>
      <c r="F188" s="18"/>
      <c r="G188" s="31" t="str">
        <f aca="false">IF(A188="","",IFERROR(IF(INDEX(Empresas!$C:$C,MATCH(A188,Empresas!$A:$A,0))="","",INDEX(Empresas!$C:$C,MATCH(A188,Empresas!$A:$A,0))),""))</f>
        <v/>
      </c>
      <c r="H188" s="18"/>
      <c r="I188" s="19" t="str">
        <f aca="false">IF(OR(F188="",G188=""),"",IF(F188-G188&lt;0,"CONTRATO ANTERIOR À ABERTURA — conferir datas",IF(F188-G188&lt;180,"ABERTA MENOS DE 6 MESES ANTES","")))</f>
        <v/>
      </c>
      <c r="J188" s="19" t="str">
        <f aca="false">IF(A188="","",IFERROR(INDEX(Sancoes!$B:$B,MATCH(A188,Sancoes!$A:$A,0))&amp;"","não consta"))</f>
        <v/>
      </c>
      <c r="K188" s="19" t="str">
        <f aca="false">IF(OR(A188="",F188=""),"",IF(SUMPRODUCT((Sancoes!$A$2:$A$301=A188)*(Sancoes!$B$2:$B$301&lt;&gt;"Não consta")*(Sancoes!$D$2:$D$301&lt;&gt;"")*(Sancoes!$D$2:$D$301&lt;=F188)*(((Sancoes!$E$2:$E$301="")+(Sancoes!$E$2:$E$301&gt;=F188))&gt;0))&gt;0,"SANÇÃO VIGENTE NA DATA — leia o tipo e a abrangência",""))</f>
        <v/>
      </c>
      <c r="L188" s="19" t="str">
        <f aca="false">IF(A188="","",IFERROR(INDEX(Empresas!$B:$B,MATCH(A188,Empresas!$A:$A,0))&amp;"","cadastre o CNPJ em Empresas"))</f>
        <v/>
      </c>
      <c r="M188" s="27"/>
      <c r="N188" s="35"/>
      <c r="O188" s="37" t="str">
        <f aca="false">IF(OR(D188="",D188=0,N188=""),"",N188/D188)</f>
        <v/>
      </c>
      <c r="P188" s="19" t="str">
        <f aca="false">IF(O188="","",IF(O188&gt;0.25,"ACRÉSCIMO ACIMA DE 25% — conferir",""))</f>
        <v/>
      </c>
      <c r="Q188" s="27"/>
      <c r="R188" s="5"/>
    </row>
    <row r="189" customFormat="false" ht="15" hidden="false" customHeight="false" outlineLevel="0" collapsed="false">
      <c r="A189" s="27"/>
      <c r="B189" s="5"/>
      <c r="C189" s="5"/>
      <c r="D189" s="35"/>
      <c r="E189" s="14"/>
      <c r="F189" s="18"/>
      <c r="G189" s="31" t="str">
        <f aca="false">IF(A189="","",IFERROR(IF(INDEX(Empresas!$C:$C,MATCH(A189,Empresas!$A:$A,0))="","",INDEX(Empresas!$C:$C,MATCH(A189,Empresas!$A:$A,0))),""))</f>
        <v/>
      </c>
      <c r="H189" s="18"/>
      <c r="I189" s="19" t="str">
        <f aca="false">IF(OR(F189="",G189=""),"",IF(F189-G189&lt;0,"CONTRATO ANTERIOR À ABERTURA — conferir datas",IF(F189-G189&lt;180,"ABERTA MENOS DE 6 MESES ANTES","")))</f>
        <v/>
      </c>
      <c r="J189" s="19" t="str">
        <f aca="false">IF(A189="","",IFERROR(INDEX(Sancoes!$B:$B,MATCH(A189,Sancoes!$A:$A,0))&amp;"","não consta"))</f>
        <v/>
      </c>
      <c r="K189" s="19" t="str">
        <f aca="false">IF(OR(A189="",F189=""),"",IF(SUMPRODUCT((Sancoes!$A$2:$A$301=A189)*(Sancoes!$B$2:$B$301&lt;&gt;"Não consta")*(Sancoes!$D$2:$D$301&lt;&gt;"")*(Sancoes!$D$2:$D$301&lt;=F189)*(((Sancoes!$E$2:$E$301="")+(Sancoes!$E$2:$E$301&gt;=F189))&gt;0))&gt;0,"SANÇÃO VIGENTE NA DATA — leia o tipo e a abrangência",""))</f>
        <v/>
      </c>
      <c r="L189" s="19" t="str">
        <f aca="false">IF(A189="","",IFERROR(INDEX(Empresas!$B:$B,MATCH(A189,Empresas!$A:$A,0))&amp;"","cadastre o CNPJ em Empresas"))</f>
        <v/>
      </c>
      <c r="M189" s="27"/>
      <c r="N189" s="35"/>
      <c r="O189" s="37" t="str">
        <f aca="false">IF(OR(D189="",D189=0,N189=""),"",N189/D189)</f>
        <v/>
      </c>
      <c r="P189" s="19" t="str">
        <f aca="false">IF(O189="","",IF(O189&gt;0.25,"ACRÉSCIMO ACIMA DE 25% — conferir",""))</f>
        <v/>
      </c>
      <c r="Q189" s="27"/>
      <c r="R189" s="5"/>
    </row>
    <row r="190" customFormat="false" ht="15" hidden="false" customHeight="false" outlineLevel="0" collapsed="false">
      <c r="A190" s="27"/>
      <c r="B190" s="5"/>
      <c r="C190" s="5"/>
      <c r="D190" s="35"/>
      <c r="E190" s="14"/>
      <c r="F190" s="18"/>
      <c r="G190" s="31" t="str">
        <f aca="false">IF(A190="","",IFERROR(IF(INDEX(Empresas!$C:$C,MATCH(A190,Empresas!$A:$A,0))="","",INDEX(Empresas!$C:$C,MATCH(A190,Empresas!$A:$A,0))),""))</f>
        <v/>
      </c>
      <c r="H190" s="18"/>
      <c r="I190" s="19" t="str">
        <f aca="false">IF(OR(F190="",G190=""),"",IF(F190-G190&lt;0,"CONTRATO ANTERIOR À ABERTURA — conferir datas",IF(F190-G190&lt;180,"ABERTA MENOS DE 6 MESES ANTES","")))</f>
        <v/>
      </c>
      <c r="J190" s="19" t="str">
        <f aca="false">IF(A190="","",IFERROR(INDEX(Sancoes!$B:$B,MATCH(A190,Sancoes!$A:$A,0))&amp;"","não consta"))</f>
        <v/>
      </c>
      <c r="K190" s="19" t="str">
        <f aca="false">IF(OR(A190="",F190=""),"",IF(SUMPRODUCT((Sancoes!$A$2:$A$301=A190)*(Sancoes!$B$2:$B$301&lt;&gt;"Não consta")*(Sancoes!$D$2:$D$301&lt;&gt;"")*(Sancoes!$D$2:$D$301&lt;=F190)*(((Sancoes!$E$2:$E$301="")+(Sancoes!$E$2:$E$301&gt;=F190))&gt;0))&gt;0,"SANÇÃO VIGENTE NA DATA — leia o tipo e a abrangência",""))</f>
        <v/>
      </c>
      <c r="L190" s="19" t="str">
        <f aca="false">IF(A190="","",IFERROR(INDEX(Empresas!$B:$B,MATCH(A190,Empresas!$A:$A,0))&amp;"","cadastre o CNPJ em Empresas"))</f>
        <v/>
      </c>
      <c r="M190" s="27"/>
      <c r="N190" s="35"/>
      <c r="O190" s="37" t="str">
        <f aca="false">IF(OR(D190="",D190=0,N190=""),"",N190/D190)</f>
        <v/>
      </c>
      <c r="P190" s="19" t="str">
        <f aca="false">IF(O190="","",IF(O190&gt;0.25,"ACRÉSCIMO ACIMA DE 25% — conferir",""))</f>
        <v/>
      </c>
      <c r="Q190" s="27"/>
      <c r="R190" s="5"/>
    </row>
    <row r="191" customFormat="false" ht="15" hidden="false" customHeight="false" outlineLevel="0" collapsed="false">
      <c r="A191" s="27"/>
      <c r="B191" s="5"/>
      <c r="C191" s="5"/>
      <c r="D191" s="35"/>
      <c r="E191" s="14"/>
      <c r="F191" s="18"/>
      <c r="G191" s="31" t="str">
        <f aca="false">IF(A191="","",IFERROR(IF(INDEX(Empresas!$C:$C,MATCH(A191,Empresas!$A:$A,0))="","",INDEX(Empresas!$C:$C,MATCH(A191,Empresas!$A:$A,0))),""))</f>
        <v/>
      </c>
      <c r="H191" s="18"/>
      <c r="I191" s="19" t="str">
        <f aca="false">IF(OR(F191="",G191=""),"",IF(F191-G191&lt;0,"CONTRATO ANTERIOR À ABERTURA — conferir datas",IF(F191-G191&lt;180,"ABERTA MENOS DE 6 MESES ANTES","")))</f>
        <v/>
      </c>
      <c r="J191" s="19" t="str">
        <f aca="false">IF(A191="","",IFERROR(INDEX(Sancoes!$B:$B,MATCH(A191,Sancoes!$A:$A,0))&amp;"","não consta"))</f>
        <v/>
      </c>
      <c r="K191" s="19" t="str">
        <f aca="false">IF(OR(A191="",F191=""),"",IF(SUMPRODUCT((Sancoes!$A$2:$A$301=A191)*(Sancoes!$B$2:$B$301&lt;&gt;"Não consta")*(Sancoes!$D$2:$D$301&lt;&gt;"")*(Sancoes!$D$2:$D$301&lt;=F191)*(((Sancoes!$E$2:$E$301="")+(Sancoes!$E$2:$E$301&gt;=F191))&gt;0))&gt;0,"SANÇÃO VIGENTE NA DATA — leia o tipo e a abrangência",""))</f>
        <v/>
      </c>
      <c r="L191" s="19" t="str">
        <f aca="false">IF(A191="","",IFERROR(INDEX(Empresas!$B:$B,MATCH(A191,Empresas!$A:$A,0))&amp;"","cadastre o CNPJ em Empresas"))</f>
        <v/>
      </c>
      <c r="M191" s="27"/>
      <c r="N191" s="35"/>
      <c r="O191" s="37" t="str">
        <f aca="false">IF(OR(D191="",D191=0,N191=""),"",N191/D191)</f>
        <v/>
      </c>
      <c r="P191" s="19" t="str">
        <f aca="false">IF(O191="","",IF(O191&gt;0.25,"ACRÉSCIMO ACIMA DE 25% — conferir",""))</f>
        <v/>
      </c>
      <c r="Q191" s="27"/>
      <c r="R191" s="5"/>
    </row>
    <row r="192" customFormat="false" ht="15" hidden="false" customHeight="false" outlineLevel="0" collapsed="false">
      <c r="A192" s="27"/>
      <c r="B192" s="5"/>
      <c r="C192" s="5"/>
      <c r="D192" s="35"/>
      <c r="E192" s="14"/>
      <c r="F192" s="18"/>
      <c r="G192" s="31" t="str">
        <f aca="false">IF(A192="","",IFERROR(IF(INDEX(Empresas!$C:$C,MATCH(A192,Empresas!$A:$A,0))="","",INDEX(Empresas!$C:$C,MATCH(A192,Empresas!$A:$A,0))),""))</f>
        <v/>
      </c>
      <c r="H192" s="18"/>
      <c r="I192" s="19" t="str">
        <f aca="false">IF(OR(F192="",G192=""),"",IF(F192-G192&lt;0,"CONTRATO ANTERIOR À ABERTURA — conferir datas",IF(F192-G192&lt;180,"ABERTA MENOS DE 6 MESES ANTES","")))</f>
        <v/>
      </c>
      <c r="J192" s="19" t="str">
        <f aca="false">IF(A192="","",IFERROR(INDEX(Sancoes!$B:$B,MATCH(A192,Sancoes!$A:$A,0))&amp;"","não consta"))</f>
        <v/>
      </c>
      <c r="K192" s="19" t="str">
        <f aca="false">IF(OR(A192="",F192=""),"",IF(SUMPRODUCT((Sancoes!$A$2:$A$301=A192)*(Sancoes!$B$2:$B$301&lt;&gt;"Não consta")*(Sancoes!$D$2:$D$301&lt;&gt;"")*(Sancoes!$D$2:$D$301&lt;=F192)*(((Sancoes!$E$2:$E$301="")+(Sancoes!$E$2:$E$301&gt;=F192))&gt;0))&gt;0,"SANÇÃO VIGENTE NA DATA — leia o tipo e a abrangência",""))</f>
        <v/>
      </c>
      <c r="L192" s="19" t="str">
        <f aca="false">IF(A192="","",IFERROR(INDEX(Empresas!$B:$B,MATCH(A192,Empresas!$A:$A,0))&amp;"","cadastre o CNPJ em Empresas"))</f>
        <v/>
      </c>
      <c r="M192" s="27"/>
      <c r="N192" s="35"/>
      <c r="O192" s="37" t="str">
        <f aca="false">IF(OR(D192="",D192=0,N192=""),"",N192/D192)</f>
        <v/>
      </c>
      <c r="P192" s="19" t="str">
        <f aca="false">IF(O192="","",IF(O192&gt;0.25,"ACRÉSCIMO ACIMA DE 25% — conferir",""))</f>
        <v/>
      </c>
      <c r="Q192" s="27"/>
      <c r="R192" s="5"/>
    </row>
    <row r="193" customFormat="false" ht="15" hidden="false" customHeight="false" outlineLevel="0" collapsed="false">
      <c r="A193" s="27"/>
      <c r="B193" s="5"/>
      <c r="C193" s="5"/>
      <c r="D193" s="35"/>
      <c r="E193" s="14"/>
      <c r="F193" s="18"/>
      <c r="G193" s="31" t="str">
        <f aca="false">IF(A193="","",IFERROR(IF(INDEX(Empresas!$C:$C,MATCH(A193,Empresas!$A:$A,0))="","",INDEX(Empresas!$C:$C,MATCH(A193,Empresas!$A:$A,0))),""))</f>
        <v/>
      </c>
      <c r="H193" s="18"/>
      <c r="I193" s="19" t="str">
        <f aca="false">IF(OR(F193="",G193=""),"",IF(F193-G193&lt;0,"CONTRATO ANTERIOR À ABERTURA — conferir datas",IF(F193-G193&lt;180,"ABERTA MENOS DE 6 MESES ANTES","")))</f>
        <v/>
      </c>
      <c r="J193" s="19" t="str">
        <f aca="false">IF(A193="","",IFERROR(INDEX(Sancoes!$B:$B,MATCH(A193,Sancoes!$A:$A,0))&amp;"","não consta"))</f>
        <v/>
      </c>
      <c r="K193" s="19" t="str">
        <f aca="false">IF(OR(A193="",F193=""),"",IF(SUMPRODUCT((Sancoes!$A$2:$A$301=A193)*(Sancoes!$B$2:$B$301&lt;&gt;"Não consta")*(Sancoes!$D$2:$D$301&lt;&gt;"")*(Sancoes!$D$2:$D$301&lt;=F193)*(((Sancoes!$E$2:$E$301="")+(Sancoes!$E$2:$E$301&gt;=F193))&gt;0))&gt;0,"SANÇÃO VIGENTE NA DATA — leia o tipo e a abrangência",""))</f>
        <v/>
      </c>
      <c r="L193" s="19" t="str">
        <f aca="false">IF(A193="","",IFERROR(INDEX(Empresas!$B:$B,MATCH(A193,Empresas!$A:$A,0))&amp;"","cadastre o CNPJ em Empresas"))</f>
        <v/>
      </c>
      <c r="M193" s="27"/>
      <c r="N193" s="35"/>
      <c r="O193" s="37" t="str">
        <f aca="false">IF(OR(D193="",D193=0,N193=""),"",N193/D193)</f>
        <v/>
      </c>
      <c r="P193" s="19" t="str">
        <f aca="false">IF(O193="","",IF(O193&gt;0.25,"ACRÉSCIMO ACIMA DE 25% — conferir",""))</f>
        <v/>
      </c>
      <c r="Q193" s="27"/>
      <c r="R193" s="5"/>
    </row>
    <row r="194" customFormat="false" ht="15" hidden="false" customHeight="false" outlineLevel="0" collapsed="false">
      <c r="A194" s="27"/>
      <c r="B194" s="5"/>
      <c r="C194" s="5"/>
      <c r="D194" s="35"/>
      <c r="E194" s="14"/>
      <c r="F194" s="18"/>
      <c r="G194" s="31" t="str">
        <f aca="false">IF(A194="","",IFERROR(IF(INDEX(Empresas!$C:$C,MATCH(A194,Empresas!$A:$A,0))="","",INDEX(Empresas!$C:$C,MATCH(A194,Empresas!$A:$A,0))),""))</f>
        <v/>
      </c>
      <c r="H194" s="18"/>
      <c r="I194" s="19" t="str">
        <f aca="false">IF(OR(F194="",G194=""),"",IF(F194-G194&lt;0,"CONTRATO ANTERIOR À ABERTURA — conferir datas",IF(F194-G194&lt;180,"ABERTA MENOS DE 6 MESES ANTES","")))</f>
        <v/>
      </c>
      <c r="J194" s="19" t="str">
        <f aca="false">IF(A194="","",IFERROR(INDEX(Sancoes!$B:$B,MATCH(A194,Sancoes!$A:$A,0))&amp;"","não consta"))</f>
        <v/>
      </c>
      <c r="K194" s="19" t="str">
        <f aca="false">IF(OR(A194="",F194=""),"",IF(SUMPRODUCT((Sancoes!$A$2:$A$301=A194)*(Sancoes!$B$2:$B$301&lt;&gt;"Não consta")*(Sancoes!$D$2:$D$301&lt;&gt;"")*(Sancoes!$D$2:$D$301&lt;=F194)*(((Sancoes!$E$2:$E$301="")+(Sancoes!$E$2:$E$301&gt;=F194))&gt;0))&gt;0,"SANÇÃO VIGENTE NA DATA — leia o tipo e a abrangência",""))</f>
        <v/>
      </c>
      <c r="L194" s="19" t="str">
        <f aca="false">IF(A194="","",IFERROR(INDEX(Empresas!$B:$B,MATCH(A194,Empresas!$A:$A,0))&amp;"","cadastre o CNPJ em Empresas"))</f>
        <v/>
      </c>
      <c r="M194" s="27"/>
      <c r="N194" s="35"/>
      <c r="O194" s="37" t="str">
        <f aca="false">IF(OR(D194="",D194=0,N194=""),"",N194/D194)</f>
        <v/>
      </c>
      <c r="P194" s="19" t="str">
        <f aca="false">IF(O194="","",IF(O194&gt;0.25,"ACRÉSCIMO ACIMA DE 25% — conferir",""))</f>
        <v/>
      </c>
      <c r="Q194" s="27"/>
      <c r="R194" s="5"/>
    </row>
    <row r="195" customFormat="false" ht="15" hidden="false" customHeight="false" outlineLevel="0" collapsed="false">
      <c r="A195" s="27"/>
      <c r="B195" s="5"/>
      <c r="C195" s="5"/>
      <c r="D195" s="35"/>
      <c r="E195" s="14"/>
      <c r="F195" s="18"/>
      <c r="G195" s="31" t="str">
        <f aca="false">IF(A195="","",IFERROR(IF(INDEX(Empresas!$C:$C,MATCH(A195,Empresas!$A:$A,0))="","",INDEX(Empresas!$C:$C,MATCH(A195,Empresas!$A:$A,0))),""))</f>
        <v/>
      </c>
      <c r="H195" s="18"/>
      <c r="I195" s="19" t="str">
        <f aca="false">IF(OR(F195="",G195=""),"",IF(F195-G195&lt;0,"CONTRATO ANTERIOR À ABERTURA — conferir datas",IF(F195-G195&lt;180,"ABERTA MENOS DE 6 MESES ANTES","")))</f>
        <v/>
      </c>
      <c r="J195" s="19" t="str">
        <f aca="false">IF(A195="","",IFERROR(INDEX(Sancoes!$B:$B,MATCH(A195,Sancoes!$A:$A,0))&amp;"","não consta"))</f>
        <v/>
      </c>
      <c r="K195" s="19" t="str">
        <f aca="false">IF(OR(A195="",F195=""),"",IF(SUMPRODUCT((Sancoes!$A$2:$A$301=A195)*(Sancoes!$B$2:$B$301&lt;&gt;"Não consta")*(Sancoes!$D$2:$D$301&lt;&gt;"")*(Sancoes!$D$2:$D$301&lt;=F195)*(((Sancoes!$E$2:$E$301="")+(Sancoes!$E$2:$E$301&gt;=F195))&gt;0))&gt;0,"SANÇÃO VIGENTE NA DATA — leia o tipo e a abrangência",""))</f>
        <v/>
      </c>
      <c r="L195" s="19" t="str">
        <f aca="false">IF(A195="","",IFERROR(INDEX(Empresas!$B:$B,MATCH(A195,Empresas!$A:$A,0))&amp;"","cadastre o CNPJ em Empresas"))</f>
        <v/>
      </c>
      <c r="M195" s="27"/>
      <c r="N195" s="35"/>
      <c r="O195" s="37" t="str">
        <f aca="false">IF(OR(D195="",D195=0,N195=""),"",N195/D195)</f>
        <v/>
      </c>
      <c r="P195" s="19" t="str">
        <f aca="false">IF(O195="","",IF(O195&gt;0.25,"ACRÉSCIMO ACIMA DE 25% — conferir",""))</f>
        <v/>
      </c>
      <c r="Q195" s="27"/>
      <c r="R195" s="5"/>
    </row>
    <row r="196" customFormat="false" ht="15" hidden="false" customHeight="false" outlineLevel="0" collapsed="false">
      <c r="A196" s="27"/>
      <c r="B196" s="5"/>
      <c r="C196" s="5"/>
      <c r="D196" s="35"/>
      <c r="E196" s="14"/>
      <c r="F196" s="18"/>
      <c r="G196" s="31" t="str">
        <f aca="false">IF(A196="","",IFERROR(IF(INDEX(Empresas!$C:$C,MATCH(A196,Empresas!$A:$A,0))="","",INDEX(Empresas!$C:$C,MATCH(A196,Empresas!$A:$A,0))),""))</f>
        <v/>
      </c>
      <c r="H196" s="18"/>
      <c r="I196" s="19" t="str">
        <f aca="false">IF(OR(F196="",G196=""),"",IF(F196-G196&lt;0,"CONTRATO ANTERIOR À ABERTURA — conferir datas",IF(F196-G196&lt;180,"ABERTA MENOS DE 6 MESES ANTES","")))</f>
        <v/>
      </c>
      <c r="J196" s="19" t="str">
        <f aca="false">IF(A196="","",IFERROR(INDEX(Sancoes!$B:$B,MATCH(A196,Sancoes!$A:$A,0))&amp;"","não consta"))</f>
        <v/>
      </c>
      <c r="K196" s="19" t="str">
        <f aca="false">IF(OR(A196="",F196=""),"",IF(SUMPRODUCT((Sancoes!$A$2:$A$301=A196)*(Sancoes!$B$2:$B$301&lt;&gt;"Não consta")*(Sancoes!$D$2:$D$301&lt;&gt;"")*(Sancoes!$D$2:$D$301&lt;=F196)*(((Sancoes!$E$2:$E$301="")+(Sancoes!$E$2:$E$301&gt;=F196))&gt;0))&gt;0,"SANÇÃO VIGENTE NA DATA — leia o tipo e a abrangência",""))</f>
        <v/>
      </c>
      <c r="L196" s="19" t="str">
        <f aca="false">IF(A196="","",IFERROR(INDEX(Empresas!$B:$B,MATCH(A196,Empresas!$A:$A,0))&amp;"","cadastre o CNPJ em Empresas"))</f>
        <v/>
      </c>
      <c r="M196" s="27"/>
      <c r="N196" s="35"/>
      <c r="O196" s="37" t="str">
        <f aca="false">IF(OR(D196="",D196=0,N196=""),"",N196/D196)</f>
        <v/>
      </c>
      <c r="P196" s="19" t="str">
        <f aca="false">IF(O196="","",IF(O196&gt;0.25,"ACRÉSCIMO ACIMA DE 25% — conferir",""))</f>
        <v/>
      </c>
      <c r="Q196" s="27"/>
      <c r="R196" s="5"/>
    </row>
    <row r="197" customFormat="false" ht="15" hidden="false" customHeight="false" outlineLevel="0" collapsed="false">
      <c r="A197" s="27"/>
      <c r="B197" s="5"/>
      <c r="C197" s="5"/>
      <c r="D197" s="35"/>
      <c r="E197" s="14"/>
      <c r="F197" s="18"/>
      <c r="G197" s="31" t="str">
        <f aca="false">IF(A197="","",IFERROR(IF(INDEX(Empresas!$C:$C,MATCH(A197,Empresas!$A:$A,0))="","",INDEX(Empresas!$C:$C,MATCH(A197,Empresas!$A:$A,0))),""))</f>
        <v/>
      </c>
      <c r="H197" s="18"/>
      <c r="I197" s="19" t="str">
        <f aca="false">IF(OR(F197="",G197=""),"",IF(F197-G197&lt;0,"CONTRATO ANTERIOR À ABERTURA — conferir datas",IF(F197-G197&lt;180,"ABERTA MENOS DE 6 MESES ANTES","")))</f>
        <v/>
      </c>
      <c r="J197" s="19" t="str">
        <f aca="false">IF(A197="","",IFERROR(INDEX(Sancoes!$B:$B,MATCH(A197,Sancoes!$A:$A,0))&amp;"","não consta"))</f>
        <v/>
      </c>
      <c r="K197" s="19" t="str">
        <f aca="false">IF(OR(A197="",F197=""),"",IF(SUMPRODUCT((Sancoes!$A$2:$A$301=A197)*(Sancoes!$B$2:$B$301&lt;&gt;"Não consta")*(Sancoes!$D$2:$D$301&lt;&gt;"")*(Sancoes!$D$2:$D$301&lt;=F197)*(((Sancoes!$E$2:$E$301="")+(Sancoes!$E$2:$E$301&gt;=F197))&gt;0))&gt;0,"SANÇÃO VIGENTE NA DATA — leia o tipo e a abrangência",""))</f>
        <v/>
      </c>
      <c r="L197" s="19" t="str">
        <f aca="false">IF(A197="","",IFERROR(INDEX(Empresas!$B:$B,MATCH(A197,Empresas!$A:$A,0))&amp;"","cadastre o CNPJ em Empresas"))</f>
        <v/>
      </c>
      <c r="M197" s="27"/>
      <c r="N197" s="35"/>
      <c r="O197" s="37" t="str">
        <f aca="false">IF(OR(D197="",D197=0,N197=""),"",N197/D197)</f>
        <v/>
      </c>
      <c r="P197" s="19" t="str">
        <f aca="false">IF(O197="","",IF(O197&gt;0.25,"ACRÉSCIMO ACIMA DE 25% — conferir",""))</f>
        <v/>
      </c>
      <c r="Q197" s="27"/>
      <c r="R197" s="5"/>
    </row>
    <row r="198" customFormat="false" ht="15" hidden="false" customHeight="false" outlineLevel="0" collapsed="false">
      <c r="A198" s="27"/>
      <c r="B198" s="5"/>
      <c r="C198" s="5"/>
      <c r="D198" s="35"/>
      <c r="E198" s="14"/>
      <c r="F198" s="18"/>
      <c r="G198" s="31" t="str">
        <f aca="false">IF(A198="","",IFERROR(IF(INDEX(Empresas!$C:$C,MATCH(A198,Empresas!$A:$A,0))="","",INDEX(Empresas!$C:$C,MATCH(A198,Empresas!$A:$A,0))),""))</f>
        <v/>
      </c>
      <c r="H198" s="18"/>
      <c r="I198" s="19" t="str">
        <f aca="false">IF(OR(F198="",G198=""),"",IF(F198-G198&lt;0,"CONTRATO ANTERIOR À ABERTURA — conferir datas",IF(F198-G198&lt;180,"ABERTA MENOS DE 6 MESES ANTES","")))</f>
        <v/>
      </c>
      <c r="J198" s="19" t="str">
        <f aca="false">IF(A198="","",IFERROR(INDEX(Sancoes!$B:$B,MATCH(A198,Sancoes!$A:$A,0))&amp;"","não consta"))</f>
        <v/>
      </c>
      <c r="K198" s="19" t="str">
        <f aca="false">IF(OR(A198="",F198=""),"",IF(SUMPRODUCT((Sancoes!$A$2:$A$301=A198)*(Sancoes!$B$2:$B$301&lt;&gt;"Não consta")*(Sancoes!$D$2:$D$301&lt;&gt;"")*(Sancoes!$D$2:$D$301&lt;=F198)*(((Sancoes!$E$2:$E$301="")+(Sancoes!$E$2:$E$301&gt;=F198))&gt;0))&gt;0,"SANÇÃO VIGENTE NA DATA — leia o tipo e a abrangência",""))</f>
        <v/>
      </c>
      <c r="L198" s="19" t="str">
        <f aca="false">IF(A198="","",IFERROR(INDEX(Empresas!$B:$B,MATCH(A198,Empresas!$A:$A,0))&amp;"","cadastre o CNPJ em Empresas"))</f>
        <v/>
      </c>
      <c r="M198" s="27"/>
      <c r="N198" s="35"/>
      <c r="O198" s="37" t="str">
        <f aca="false">IF(OR(D198="",D198=0,N198=""),"",N198/D198)</f>
        <v/>
      </c>
      <c r="P198" s="19" t="str">
        <f aca="false">IF(O198="","",IF(O198&gt;0.25,"ACRÉSCIMO ACIMA DE 25% — conferir",""))</f>
        <v/>
      </c>
      <c r="Q198" s="27"/>
      <c r="R198" s="5"/>
    </row>
    <row r="199" customFormat="false" ht="15" hidden="false" customHeight="false" outlineLevel="0" collapsed="false">
      <c r="A199" s="27"/>
      <c r="B199" s="5"/>
      <c r="C199" s="5"/>
      <c r="D199" s="35"/>
      <c r="E199" s="14"/>
      <c r="F199" s="18"/>
      <c r="G199" s="31" t="str">
        <f aca="false">IF(A199="","",IFERROR(IF(INDEX(Empresas!$C:$C,MATCH(A199,Empresas!$A:$A,0))="","",INDEX(Empresas!$C:$C,MATCH(A199,Empresas!$A:$A,0))),""))</f>
        <v/>
      </c>
      <c r="H199" s="18"/>
      <c r="I199" s="19" t="str">
        <f aca="false">IF(OR(F199="",G199=""),"",IF(F199-G199&lt;0,"CONTRATO ANTERIOR À ABERTURA — conferir datas",IF(F199-G199&lt;180,"ABERTA MENOS DE 6 MESES ANTES","")))</f>
        <v/>
      </c>
      <c r="J199" s="19" t="str">
        <f aca="false">IF(A199="","",IFERROR(INDEX(Sancoes!$B:$B,MATCH(A199,Sancoes!$A:$A,0))&amp;"","não consta"))</f>
        <v/>
      </c>
      <c r="K199" s="19" t="str">
        <f aca="false">IF(OR(A199="",F199=""),"",IF(SUMPRODUCT((Sancoes!$A$2:$A$301=A199)*(Sancoes!$B$2:$B$301&lt;&gt;"Não consta")*(Sancoes!$D$2:$D$301&lt;&gt;"")*(Sancoes!$D$2:$D$301&lt;=F199)*(((Sancoes!$E$2:$E$301="")+(Sancoes!$E$2:$E$301&gt;=F199))&gt;0))&gt;0,"SANÇÃO VIGENTE NA DATA — leia o tipo e a abrangência",""))</f>
        <v/>
      </c>
      <c r="L199" s="19" t="str">
        <f aca="false">IF(A199="","",IFERROR(INDEX(Empresas!$B:$B,MATCH(A199,Empresas!$A:$A,0))&amp;"","cadastre o CNPJ em Empresas"))</f>
        <v/>
      </c>
      <c r="M199" s="27"/>
      <c r="N199" s="35"/>
      <c r="O199" s="37" t="str">
        <f aca="false">IF(OR(D199="",D199=0,N199=""),"",N199/D199)</f>
        <v/>
      </c>
      <c r="P199" s="19" t="str">
        <f aca="false">IF(O199="","",IF(O199&gt;0.25,"ACRÉSCIMO ACIMA DE 25% — conferir",""))</f>
        <v/>
      </c>
      <c r="Q199" s="27"/>
      <c r="R199" s="5"/>
    </row>
    <row r="200" customFormat="false" ht="15" hidden="false" customHeight="false" outlineLevel="0" collapsed="false">
      <c r="A200" s="27"/>
      <c r="B200" s="5"/>
      <c r="C200" s="5"/>
      <c r="D200" s="35"/>
      <c r="E200" s="14"/>
      <c r="F200" s="18"/>
      <c r="G200" s="31" t="str">
        <f aca="false">IF(A200="","",IFERROR(IF(INDEX(Empresas!$C:$C,MATCH(A200,Empresas!$A:$A,0))="","",INDEX(Empresas!$C:$C,MATCH(A200,Empresas!$A:$A,0))),""))</f>
        <v/>
      </c>
      <c r="H200" s="18"/>
      <c r="I200" s="19" t="str">
        <f aca="false">IF(OR(F200="",G200=""),"",IF(F200-G200&lt;0,"CONTRATO ANTERIOR À ABERTURA — conferir datas",IF(F200-G200&lt;180,"ABERTA MENOS DE 6 MESES ANTES","")))</f>
        <v/>
      </c>
      <c r="J200" s="19" t="str">
        <f aca="false">IF(A200="","",IFERROR(INDEX(Sancoes!$B:$B,MATCH(A200,Sancoes!$A:$A,0))&amp;"","não consta"))</f>
        <v/>
      </c>
      <c r="K200" s="19" t="str">
        <f aca="false">IF(OR(A200="",F200=""),"",IF(SUMPRODUCT((Sancoes!$A$2:$A$301=A200)*(Sancoes!$B$2:$B$301&lt;&gt;"Não consta")*(Sancoes!$D$2:$D$301&lt;&gt;"")*(Sancoes!$D$2:$D$301&lt;=F200)*(((Sancoes!$E$2:$E$301="")+(Sancoes!$E$2:$E$301&gt;=F200))&gt;0))&gt;0,"SANÇÃO VIGENTE NA DATA — leia o tipo e a abrangência",""))</f>
        <v/>
      </c>
      <c r="L200" s="19" t="str">
        <f aca="false">IF(A200="","",IFERROR(INDEX(Empresas!$B:$B,MATCH(A200,Empresas!$A:$A,0))&amp;"","cadastre o CNPJ em Empresas"))</f>
        <v/>
      </c>
      <c r="M200" s="27"/>
      <c r="N200" s="35"/>
      <c r="O200" s="37" t="str">
        <f aca="false">IF(OR(D200="",D200=0,N200=""),"",N200/D200)</f>
        <v/>
      </c>
      <c r="P200" s="19" t="str">
        <f aca="false">IF(O200="","",IF(O200&gt;0.25,"ACRÉSCIMO ACIMA DE 25% — conferir",""))</f>
        <v/>
      </c>
      <c r="Q200" s="27"/>
      <c r="R200" s="5"/>
    </row>
    <row r="201" customFormat="false" ht="15" hidden="false" customHeight="false" outlineLevel="0" collapsed="false">
      <c r="A201" s="27"/>
      <c r="B201" s="5"/>
      <c r="C201" s="5"/>
      <c r="D201" s="35"/>
      <c r="E201" s="14"/>
      <c r="F201" s="18"/>
      <c r="G201" s="31" t="str">
        <f aca="false">IF(A201="","",IFERROR(IF(INDEX(Empresas!$C:$C,MATCH(A201,Empresas!$A:$A,0))="","",INDEX(Empresas!$C:$C,MATCH(A201,Empresas!$A:$A,0))),""))</f>
        <v/>
      </c>
      <c r="H201" s="18"/>
      <c r="I201" s="19" t="str">
        <f aca="false">IF(OR(F201="",G201=""),"",IF(F201-G201&lt;0,"CONTRATO ANTERIOR À ABERTURA — conferir datas",IF(F201-G201&lt;180,"ABERTA MENOS DE 6 MESES ANTES","")))</f>
        <v/>
      </c>
      <c r="J201" s="19" t="str">
        <f aca="false">IF(A201="","",IFERROR(INDEX(Sancoes!$B:$B,MATCH(A201,Sancoes!$A:$A,0))&amp;"","não consta"))</f>
        <v/>
      </c>
      <c r="K201" s="19" t="str">
        <f aca="false">IF(OR(A201="",F201=""),"",IF(SUMPRODUCT((Sancoes!$A$2:$A$301=A201)*(Sancoes!$B$2:$B$301&lt;&gt;"Não consta")*(Sancoes!$D$2:$D$301&lt;&gt;"")*(Sancoes!$D$2:$D$301&lt;=F201)*(((Sancoes!$E$2:$E$301="")+(Sancoes!$E$2:$E$301&gt;=F201))&gt;0))&gt;0,"SANÇÃO VIGENTE NA DATA — leia o tipo e a abrangência",""))</f>
        <v/>
      </c>
      <c r="L201" s="19" t="str">
        <f aca="false">IF(A201="","",IFERROR(INDEX(Empresas!$B:$B,MATCH(A201,Empresas!$A:$A,0))&amp;"","cadastre o CNPJ em Empresas"))</f>
        <v/>
      </c>
      <c r="M201" s="27"/>
      <c r="N201" s="35"/>
      <c r="O201" s="37" t="str">
        <f aca="false">IF(OR(D201="",D201=0,N201=""),"",N201/D201)</f>
        <v/>
      </c>
      <c r="P201" s="19" t="str">
        <f aca="false">IF(O201="","",IF(O201&gt;0.25,"ACRÉSCIMO ACIMA DE 25% — conferir",""))</f>
        <v/>
      </c>
      <c r="Q201" s="27"/>
      <c r="R201" s="5"/>
    </row>
    <row r="202" customFormat="false" ht="15" hidden="false" customHeight="false" outlineLevel="0" collapsed="false">
      <c r="A202" s="27"/>
      <c r="B202" s="5"/>
      <c r="C202" s="5"/>
      <c r="D202" s="35"/>
      <c r="E202" s="14"/>
      <c r="F202" s="18"/>
      <c r="G202" s="31" t="str">
        <f aca="false">IF(A202="","",IFERROR(IF(INDEX(Empresas!$C:$C,MATCH(A202,Empresas!$A:$A,0))="","",INDEX(Empresas!$C:$C,MATCH(A202,Empresas!$A:$A,0))),""))</f>
        <v/>
      </c>
      <c r="H202" s="18"/>
      <c r="I202" s="19" t="str">
        <f aca="false">IF(OR(F202="",G202=""),"",IF(F202-G202&lt;0,"CONTRATO ANTERIOR À ABERTURA — conferir datas",IF(F202-G202&lt;180,"ABERTA MENOS DE 6 MESES ANTES","")))</f>
        <v/>
      </c>
      <c r="J202" s="19" t="str">
        <f aca="false">IF(A202="","",IFERROR(INDEX(Sancoes!$B:$B,MATCH(A202,Sancoes!$A:$A,0))&amp;"","não consta"))</f>
        <v/>
      </c>
      <c r="K202" s="19" t="str">
        <f aca="false">IF(OR(A202="",F202=""),"",IF(SUMPRODUCT((Sancoes!$A$2:$A$301=A202)*(Sancoes!$B$2:$B$301&lt;&gt;"Não consta")*(Sancoes!$D$2:$D$301&lt;&gt;"")*(Sancoes!$D$2:$D$301&lt;=F202)*(((Sancoes!$E$2:$E$301="")+(Sancoes!$E$2:$E$301&gt;=F202))&gt;0))&gt;0,"SANÇÃO VIGENTE NA DATA — leia o tipo e a abrangência",""))</f>
        <v/>
      </c>
      <c r="L202" s="19" t="str">
        <f aca="false">IF(A202="","",IFERROR(INDEX(Empresas!$B:$B,MATCH(A202,Empresas!$A:$A,0))&amp;"","cadastre o CNPJ em Empresas"))</f>
        <v/>
      </c>
      <c r="M202" s="27"/>
      <c r="N202" s="35"/>
      <c r="O202" s="37" t="str">
        <f aca="false">IF(OR(D202="",D202=0,N202=""),"",N202/D202)</f>
        <v/>
      </c>
      <c r="P202" s="19" t="str">
        <f aca="false">IF(O202="","",IF(O202&gt;0.25,"ACRÉSCIMO ACIMA DE 25% — conferir",""))</f>
        <v/>
      </c>
      <c r="Q202" s="27"/>
      <c r="R202" s="5"/>
    </row>
    <row r="203" customFormat="false" ht="15" hidden="false" customHeight="false" outlineLevel="0" collapsed="false">
      <c r="A203" s="27"/>
      <c r="B203" s="5"/>
      <c r="C203" s="5"/>
      <c r="D203" s="35"/>
      <c r="E203" s="14"/>
      <c r="F203" s="18"/>
      <c r="G203" s="31" t="str">
        <f aca="false">IF(A203="","",IFERROR(IF(INDEX(Empresas!$C:$C,MATCH(A203,Empresas!$A:$A,0))="","",INDEX(Empresas!$C:$C,MATCH(A203,Empresas!$A:$A,0))),""))</f>
        <v/>
      </c>
      <c r="H203" s="18"/>
      <c r="I203" s="19" t="str">
        <f aca="false">IF(OR(F203="",G203=""),"",IF(F203-G203&lt;0,"CONTRATO ANTERIOR À ABERTURA — conferir datas",IF(F203-G203&lt;180,"ABERTA MENOS DE 6 MESES ANTES","")))</f>
        <v/>
      </c>
      <c r="J203" s="19" t="str">
        <f aca="false">IF(A203="","",IFERROR(INDEX(Sancoes!$B:$B,MATCH(A203,Sancoes!$A:$A,0))&amp;"","não consta"))</f>
        <v/>
      </c>
      <c r="K203" s="19" t="str">
        <f aca="false">IF(OR(A203="",F203=""),"",IF(SUMPRODUCT((Sancoes!$A$2:$A$301=A203)*(Sancoes!$B$2:$B$301&lt;&gt;"Não consta")*(Sancoes!$D$2:$D$301&lt;&gt;"")*(Sancoes!$D$2:$D$301&lt;=F203)*(((Sancoes!$E$2:$E$301="")+(Sancoes!$E$2:$E$301&gt;=F203))&gt;0))&gt;0,"SANÇÃO VIGENTE NA DATA — leia o tipo e a abrangência",""))</f>
        <v/>
      </c>
      <c r="L203" s="19" t="str">
        <f aca="false">IF(A203="","",IFERROR(INDEX(Empresas!$B:$B,MATCH(A203,Empresas!$A:$A,0))&amp;"","cadastre o CNPJ em Empresas"))</f>
        <v/>
      </c>
      <c r="M203" s="27"/>
      <c r="N203" s="35"/>
      <c r="O203" s="37" t="str">
        <f aca="false">IF(OR(D203="",D203=0,N203=""),"",N203/D203)</f>
        <v/>
      </c>
      <c r="P203" s="19" t="str">
        <f aca="false">IF(O203="","",IF(O203&gt;0.25,"ACRÉSCIMO ACIMA DE 25% — conferir",""))</f>
        <v/>
      </c>
      <c r="Q203" s="27"/>
      <c r="R203" s="5"/>
    </row>
    <row r="204" customFormat="false" ht="15" hidden="false" customHeight="false" outlineLevel="0" collapsed="false">
      <c r="A204" s="27"/>
      <c r="B204" s="5"/>
      <c r="C204" s="5"/>
      <c r="D204" s="35"/>
      <c r="E204" s="14"/>
      <c r="F204" s="18"/>
      <c r="G204" s="31" t="str">
        <f aca="false">IF(A204="","",IFERROR(IF(INDEX(Empresas!$C:$C,MATCH(A204,Empresas!$A:$A,0))="","",INDEX(Empresas!$C:$C,MATCH(A204,Empresas!$A:$A,0))),""))</f>
        <v/>
      </c>
      <c r="H204" s="18"/>
      <c r="I204" s="19" t="str">
        <f aca="false">IF(OR(F204="",G204=""),"",IF(F204-G204&lt;0,"CONTRATO ANTERIOR À ABERTURA — conferir datas",IF(F204-G204&lt;180,"ABERTA MENOS DE 6 MESES ANTES","")))</f>
        <v/>
      </c>
      <c r="J204" s="19" t="str">
        <f aca="false">IF(A204="","",IFERROR(INDEX(Sancoes!$B:$B,MATCH(A204,Sancoes!$A:$A,0))&amp;"","não consta"))</f>
        <v/>
      </c>
      <c r="K204" s="19" t="str">
        <f aca="false">IF(OR(A204="",F204=""),"",IF(SUMPRODUCT((Sancoes!$A$2:$A$301=A204)*(Sancoes!$B$2:$B$301&lt;&gt;"Não consta")*(Sancoes!$D$2:$D$301&lt;&gt;"")*(Sancoes!$D$2:$D$301&lt;=F204)*(((Sancoes!$E$2:$E$301="")+(Sancoes!$E$2:$E$301&gt;=F204))&gt;0))&gt;0,"SANÇÃO VIGENTE NA DATA — leia o tipo e a abrangência",""))</f>
        <v/>
      </c>
      <c r="L204" s="19" t="str">
        <f aca="false">IF(A204="","",IFERROR(INDEX(Empresas!$B:$B,MATCH(A204,Empresas!$A:$A,0))&amp;"","cadastre o CNPJ em Empresas"))</f>
        <v/>
      </c>
      <c r="M204" s="27"/>
      <c r="N204" s="35"/>
      <c r="O204" s="37" t="str">
        <f aca="false">IF(OR(D204="",D204=0,N204=""),"",N204/D204)</f>
        <v/>
      </c>
      <c r="P204" s="19" t="str">
        <f aca="false">IF(O204="","",IF(O204&gt;0.25,"ACRÉSCIMO ACIMA DE 25% — conferir",""))</f>
        <v/>
      </c>
      <c r="Q204" s="27"/>
      <c r="R204" s="5"/>
    </row>
    <row r="205" customFormat="false" ht="15" hidden="false" customHeight="false" outlineLevel="0" collapsed="false">
      <c r="A205" s="27"/>
      <c r="B205" s="5"/>
      <c r="C205" s="5"/>
      <c r="D205" s="35"/>
      <c r="E205" s="14"/>
      <c r="F205" s="18"/>
      <c r="G205" s="31" t="str">
        <f aca="false">IF(A205="","",IFERROR(IF(INDEX(Empresas!$C:$C,MATCH(A205,Empresas!$A:$A,0))="","",INDEX(Empresas!$C:$C,MATCH(A205,Empresas!$A:$A,0))),""))</f>
        <v/>
      </c>
      <c r="H205" s="18"/>
      <c r="I205" s="19" t="str">
        <f aca="false">IF(OR(F205="",G205=""),"",IF(F205-G205&lt;0,"CONTRATO ANTERIOR À ABERTURA — conferir datas",IF(F205-G205&lt;180,"ABERTA MENOS DE 6 MESES ANTES","")))</f>
        <v/>
      </c>
      <c r="J205" s="19" t="str">
        <f aca="false">IF(A205="","",IFERROR(INDEX(Sancoes!$B:$B,MATCH(A205,Sancoes!$A:$A,0))&amp;"","não consta"))</f>
        <v/>
      </c>
      <c r="K205" s="19" t="str">
        <f aca="false">IF(OR(A205="",F205=""),"",IF(SUMPRODUCT((Sancoes!$A$2:$A$301=A205)*(Sancoes!$B$2:$B$301&lt;&gt;"Não consta")*(Sancoes!$D$2:$D$301&lt;&gt;"")*(Sancoes!$D$2:$D$301&lt;=F205)*(((Sancoes!$E$2:$E$301="")+(Sancoes!$E$2:$E$301&gt;=F205))&gt;0))&gt;0,"SANÇÃO VIGENTE NA DATA — leia o tipo e a abrangência",""))</f>
        <v/>
      </c>
      <c r="L205" s="19" t="str">
        <f aca="false">IF(A205="","",IFERROR(INDEX(Empresas!$B:$B,MATCH(A205,Empresas!$A:$A,0))&amp;"","cadastre o CNPJ em Empresas"))</f>
        <v/>
      </c>
      <c r="M205" s="27"/>
      <c r="N205" s="35"/>
      <c r="O205" s="37" t="str">
        <f aca="false">IF(OR(D205="",D205=0,N205=""),"",N205/D205)</f>
        <v/>
      </c>
      <c r="P205" s="19" t="str">
        <f aca="false">IF(O205="","",IF(O205&gt;0.25,"ACRÉSCIMO ACIMA DE 25% — conferir",""))</f>
        <v/>
      </c>
      <c r="Q205" s="27"/>
      <c r="R205" s="5"/>
    </row>
    <row r="206" customFormat="false" ht="15" hidden="false" customHeight="false" outlineLevel="0" collapsed="false">
      <c r="A206" s="27"/>
      <c r="B206" s="5"/>
      <c r="C206" s="5"/>
      <c r="D206" s="35"/>
      <c r="E206" s="14"/>
      <c r="F206" s="18"/>
      <c r="G206" s="31" t="str">
        <f aca="false">IF(A206="","",IFERROR(IF(INDEX(Empresas!$C:$C,MATCH(A206,Empresas!$A:$A,0))="","",INDEX(Empresas!$C:$C,MATCH(A206,Empresas!$A:$A,0))),""))</f>
        <v/>
      </c>
      <c r="H206" s="18"/>
      <c r="I206" s="19" t="str">
        <f aca="false">IF(OR(F206="",G206=""),"",IF(F206-G206&lt;0,"CONTRATO ANTERIOR À ABERTURA — conferir datas",IF(F206-G206&lt;180,"ABERTA MENOS DE 6 MESES ANTES","")))</f>
        <v/>
      </c>
      <c r="J206" s="19" t="str">
        <f aca="false">IF(A206="","",IFERROR(INDEX(Sancoes!$B:$B,MATCH(A206,Sancoes!$A:$A,0))&amp;"","não consta"))</f>
        <v/>
      </c>
      <c r="K206" s="19" t="str">
        <f aca="false">IF(OR(A206="",F206=""),"",IF(SUMPRODUCT((Sancoes!$A$2:$A$301=A206)*(Sancoes!$B$2:$B$301&lt;&gt;"Não consta")*(Sancoes!$D$2:$D$301&lt;&gt;"")*(Sancoes!$D$2:$D$301&lt;=F206)*(((Sancoes!$E$2:$E$301="")+(Sancoes!$E$2:$E$301&gt;=F206))&gt;0))&gt;0,"SANÇÃO VIGENTE NA DATA — leia o tipo e a abrangência",""))</f>
        <v/>
      </c>
      <c r="L206" s="19" t="str">
        <f aca="false">IF(A206="","",IFERROR(INDEX(Empresas!$B:$B,MATCH(A206,Empresas!$A:$A,0))&amp;"","cadastre o CNPJ em Empresas"))</f>
        <v/>
      </c>
      <c r="M206" s="27"/>
      <c r="N206" s="35"/>
      <c r="O206" s="37" t="str">
        <f aca="false">IF(OR(D206="",D206=0,N206=""),"",N206/D206)</f>
        <v/>
      </c>
      <c r="P206" s="19" t="str">
        <f aca="false">IF(O206="","",IF(O206&gt;0.25,"ACRÉSCIMO ACIMA DE 25% — conferir",""))</f>
        <v/>
      </c>
      <c r="Q206" s="27"/>
      <c r="R206" s="5"/>
    </row>
    <row r="207" customFormat="false" ht="15" hidden="false" customHeight="false" outlineLevel="0" collapsed="false">
      <c r="A207" s="27"/>
      <c r="B207" s="5"/>
      <c r="C207" s="5"/>
      <c r="D207" s="35"/>
      <c r="E207" s="14"/>
      <c r="F207" s="18"/>
      <c r="G207" s="31" t="str">
        <f aca="false">IF(A207="","",IFERROR(IF(INDEX(Empresas!$C:$C,MATCH(A207,Empresas!$A:$A,0))="","",INDEX(Empresas!$C:$C,MATCH(A207,Empresas!$A:$A,0))),""))</f>
        <v/>
      </c>
      <c r="H207" s="18"/>
      <c r="I207" s="19" t="str">
        <f aca="false">IF(OR(F207="",G207=""),"",IF(F207-G207&lt;0,"CONTRATO ANTERIOR À ABERTURA — conferir datas",IF(F207-G207&lt;180,"ABERTA MENOS DE 6 MESES ANTES","")))</f>
        <v/>
      </c>
      <c r="J207" s="19" t="str">
        <f aca="false">IF(A207="","",IFERROR(INDEX(Sancoes!$B:$B,MATCH(A207,Sancoes!$A:$A,0))&amp;"","não consta"))</f>
        <v/>
      </c>
      <c r="K207" s="19" t="str">
        <f aca="false">IF(OR(A207="",F207=""),"",IF(SUMPRODUCT((Sancoes!$A$2:$A$301=A207)*(Sancoes!$B$2:$B$301&lt;&gt;"Não consta")*(Sancoes!$D$2:$D$301&lt;&gt;"")*(Sancoes!$D$2:$D$301&lt;=F207)*(((Sancoes!$E$2:$E$301="")+(Sancoes!$E$2:$E$301&gt;=F207))&gt;0))&gt;0,"SANÇÃO VIGENTE NA DATA — leia o tipo e a abrangência",""))</f>
        <v/>
      </c>
      <c r="L207" s="19" t="str">
        <f aca="false">IF(A207="","",IFERROR(INDEX(Empresas!$B:$B,MATCH(A207,Empresas!$A:$A,0))&amp;"","cadastre o CNPJ em Empresas"))</f>
        <v/>
      </c>
      <c r="M207" s="27"/>
      <c r="N207" s="35"/>
      <c r="O207" s="37" t="str">
        <f aca="false">IF(OR(D207="",D207=0,N207=""),"",N207/D207)</f>
        <v/>
      </c>
      <c r="P207" s="19" t="str">
        <f aca="false">IF(O207="","",IF(O207&gt;0.25,"ACRÉSCIMO ACIMA DE 25% — conferir",""))</f>
        <v/>
      </c>
      <c r="Q207" s="27"/>
      <c r="R207" s="5"/>
    </row>
    <row r="208" customFormat="false" ht="15" hidden="false" customHeight="false" outlineLevel="0" collapsed="false">
      <c r="A208" s="27"/>
      <c r="B208" s="5"/>
      <c r="C208" s="5"/>
      <c r="D208" s="35"/>
      <c r="E208" s="14"/>
      <c r="F208" s="18"/>
      <c r="G208" s="31" t="str">
        <f aca="false">IF(A208="","",IFERROR(IF(INDEX(Empresas!$C:$C,MATCH(A208,Empresas!$A:$A,0))="","",INDEX(Empresas!$C:$C,MATCH(A208,Empresas!$A:$A,0))),""))</f>
        <v/>
      </c>
      <c r="H208" s="18"/>
      <c r="I208" s="19" t="str">
        <f aca="false">IF(OR(F208="",G208=""),"",IF(F208-G208&lt;0,"CONTRATO ANTERIOR À ABERTURA — conferir datas",IF(F208-G208&lt;180,"ABERTA MENOS DE 6 MESES ANTES","")))</f>
        <v/>
      </c>
      <c r="J208" s="19" t="str">
        <f aca="false">IF(A208="","",IFERROR(INDEX(Sancoes!$B:$B,MATCH(A208,Sancoes!$A:$A,0))&amp;"","não consta"))</f>
        <v/>
      </c>
      <c r="K208" s="19" t="str">
        <f aca="false">IF(OR(A208="",F208=""),"",IF(SUMPRODUCT((Sancoes!$A$2:$A$301=A208)*(Sancoes!$B$2:$B$301&lt;&gt;"Não consta")*(Sancoes!$D$2:$D$301&lt;&gt;"")*(Sancoes!$D$2:$D$301&lt;=F208)*(((Sancoes!$E$2:$E$301="")+(Sancoes!$E$2:$E$301&gt;=F208))&gt;0))&gt;0,"SANÇÃO VIGENTE NA DATA — leia o tipo e a abrangência",""))</f>
        <v/>
      </c>
      <c r="L208" s="19" t="str">
        <f aca="false">IF(A208="","",IFERROR(INDEX(Empresas!$B:$B,MATCH(A208,Empresas!$A:$A,0))&amp;"","cadastre o CNPJ em Empresas"))</f>
        <v/>
      </c>
      <c r="M208" s="27"/>
      <c r="N208" s="35"/>
      <c r="O208" s="37" t="str">
        <f aca="false">IF(OR(D208="",D208=0,N208=""),"",N208/D208)</f>
        <v/>
      </c>
      <c r="P208" s="19" t="str">
        <f aca="false">IF(O208="","",IF(O208&gt;0.25,"ACRÉSCIMO ACIMA DE 25% — conferir",""))</f>
        <v/>
      </c>
      <c r="Q208" s="27"/>
      <c r="R208" s="5"/>
    </row>
    <row r="209" customFormat="false" ht="15" hidden="false" customHeight="false" outlineLevel="0" collapsed="false">
      <c r="A209" s="27"/>
      <c r="B209" s="5"/>
      <c r="C209" s="5"/>
      <c r="D209" s="35"/>
      <c r="E209" s="14"/>
      <c r="F209" s="18"/>
      <c r="G209" s="31" t="str">
        <f aca="false">IF(A209="","",IFERROR(IF(INDEX(Empresas!$C:$C,MATCH(A209,Empresas!$A:$A,0))="","",INDEX(Empresas!$C:$C,MATCH(A209,Empresas!$A:$A,0))),""))</f>
        <v/>
      </c>
      <c r="H209" s="18"/>
      <c r="I209" s="19" t="str">
        <f aca="false">IF(OR(F209="",G209=""),"",IF(F209-G209&lt;0,"CONTRATO ANTERIOR À ABERTURA — conferir datas",IF(F209-G209&lt;180,"ABERTA MENOS DE 6 MESES ANTES","")))</f>
        <v/>
      </c>
      <c r="J209" s="19" t="str">
        <f aca="false">IF(A209="","",IFERROR(INDEX(Sancoes!$B:$B,MATCH(A209,Sancoes!$A:$A,0))&amp;"","não consta"))</f>
        <v/>
      </c>
      <c r="K209" s="19" t="str">
        <f aca="false">IF(OR(A209="",F209=""),"",IF(SUMPRODUCT((Sancoes!$A$2:$A$301=A209)*(Sancoes!$B$2:$B$301&lt;&gt;"Não consta")*(Sancoes!$D$2:$D$301&lt;&gt;"")*(Sancoes!$D$2:$D$301&lt;=F209)*(((Sancoes!$E$2:$E$301="")+(Sancoes!$E$2:$E$301&gt;=F209))&gt;0))&gt;0,"SANÇÃO VIGENTE NA DATA — leia o tipo e a abrangência",""))</f>
        <v/>
      </c>
      <c r="L209" s="19" t="str">
        <f aca="false">IF(A209="","",IFERROR(INDEX(Empresas!$B:$B,MATCH(A209,Empresas!$A:$A,0))&amp;"","cadastre o CNPJ em Empresas"))</f>
        <v/>
      </c>
      <c r="M209" s="27"/>
      <c r="N209" s="35"/>
      <c r="O209" s="37" t="str">
        <f aca="false">IF(OR(D209="",D209=0,N209=""),"",N209/D209)</f>
        <v/>
      </c>
      <c r="P209" s="19" t="str">
        <f aca="false">IF(O209="","",IF(O209&gt;0.25,"ACRÉSCIMO ACIMA DE 25% — conferir",""))</f>
        <v/>
      </c>
      <c r="Q209" s="27"/>
      <c r="R209" s="5"/>
    </row>
    <row r="210" customFormat="false" ht="15" hidden="false" customHeight="false" outlineLevel="0" collapsed="false">
      <c r="A210" s="27"/>
      <c r="B210" s="5"/>
      <c r="C210" s="5"/>
      <c r="D210" s="35"/>
      <c r="E210" s="14"/>
      <c r="F210" s="18"/>
      <c r="G210" s="31" t="str">
        <f aca="false">IF(A210="","",IFERROR(IF(INDEX(Empresas!$C:$C,MATCH(A210,Empresas!$A:$A,0))="","",INDEX(Empresas!$C:$C,MATCH(A210,Empresas!$A:$A,0))),""))</f>
        <v/>
      </c>
      <c r="H210" s="18"/>
      <c r="I210" s="19" t="str">
        <f aca="false">IF(OR(F210="",G210=""),"",IF(F210-G210&lt;0,"CONTRATO ANTERIOR À ABERTURA — conferir datas",IF(F210-G210&lt;180,"ABERTA MENOS DE 6 MESES ANTES","")))</f>
        <v/>
      </c>
      <c r="J210" s="19" t="str">
        <f aca="false">IF(A210="","",IFERROR(INDEX(Sancoes!$B:$B,MATCH(A210,Sancoes!$A:$A,0))&amp;"","não consta"))</f>
        <v/>
      </c>
      <c r="K210" s="19" t="str">
        <f aca="false">IF(OR(A210="",F210=""),"",IF(SUMPRODUCT((Sancoes!$A$2:$A$301=A210)*(Sancoes!$B$2:$B$301&lt;&gt;"Não consta")*(Sancoes!$D$2:$D$301&lt;&gt;"")*(Sancoes!$D$2:$D$301&lt;=F210)*(((Sancoes!$E$2:$E$301="")+(Sancoes!$E$2:$E$301&gt;=F210))&gt;0))&gt;0,"SANÇÃO VIGENTE NA DATA — leia o tipo e a abrangência",""))</f>
        <v/>
      </c>
      <c r="L210" s="19" t="str">
        <f aca="false">IF(A210="","",IFERROR(INDEX(Empresas!$B:$B,MATCH(A210,Empresas!$A:$A,0))&amp;"","cadastre o CNPJ em Empresas"))</f>
        <v/>
      </c>
      <c r="M210" s="27"/>
      <c r="N210" s="35"/>
      <c r="O210" s="37" t="str">
        <f aca="false">IF(OR(D210="",D210=0,N210=""),"",N210/D210)</f>
        <v/>
      </c>
      <c r="P210" s="19" t="str">
        <f aca="false">IF(O210="","",IF(O210&gt;0.25,"ACRÉSCIMO ACIMA DE 25% — conferir",""))</f>
        <v/>
      </c>
      <c r="Q210" s="27"/>
      <c r="R210" s="5"/>
    </row>
    <row r="211" customFormat="false" ht="15" hidden="false" customHeight="false" outlineLevel="0" collapsed="false">
      <c r="A211" s="27"/>
      <c r="B211" s="5"/>
      <c r="C211" s="5"/>
      <c r="D211" s="35"/>
      <c r="E211" s="14"/>
      <c r="F211" s="18"/>
      <c r="G211" s="31" t="str">
        <f aca="false">IF(A211="","",IFERROR(IF(INDEX(Empresas!$C:$C,MATCH(A211,Empresas!$A:$A,0))="","",INDEX(Empresas!$C:$C,MATCH(A211,Empresas!$A:$A,0))),""))</f>
        <v/>
      </c>
      <c r="H211" s="18"/>
      <c r="I211" s="19" t="str">
        <f aca="false">IF(OR(F211="",G211=""),"",IF(F211-G211&lt;0,"CONTRATO ANTERIOR À ABERTURA — conferir datas",IF(F211-G211&lt;180,"ABERTA MENOS DE 6 MESES ANTES","")))</f>
        <v/>
      </c>
      <c r="J211" s="19" t="str">
        <f aca="false">IF(A211="","",IFERROR(INDEX(Sancoes!$B:$B,MATCH(A211,Sancoes!$A:$A,0))&amp;"","não consta"))</f>
        <v/>
      </c>
      <c r="K211" s="19" t="str">
        <f aca="false">IF(OR(A211="",F211=""),"",IF(SUMPRODUCT((Sancoes!$A$2:$A$301=A211)*(Sancoes!$B$2:$B$301&lt;&gt;"Não consta")*(Sancoes!$D$2:$D$301&lt;&gt;"")*(Sancoes!$D$2:$D$301&lt;=F211)*(((Sancoes!$E$2:$E$301="")+(Sancoes!$E$2:$E$301&gt;=F211))&gt;0))&gt;0,"SANÇÃO VIGENTE NA DATA — leia o tipo e a abrangência",""))</f>
        <v/>
      </c>
      <c r="L211" s="19" t="str">
        <f aca="false">IF(A211="","",IFERROR(INDEX(Empresas!$B:$B,MATCH(A211,Empresas!$A:$A,0))&amp;"","cadastre o CNPJ em Empresas"))</f>
        <v/>
      </c>
      <c r="M211" s="27"/>
      <c r="N211" s="35"/>
      <c r="O211" s="37" t="str">
        <f aca="false">IF(OR(D211="",D211=0,N211=""),"",N211/D211)</f>
        <v/>
      </c>
      <c r="P211" s="19" t="str">
        <f aca="false">IF(O211="","",IF(O211&gt;0.25,"ACRÉSCIMO ACIMA DE 25% — conferir",""))</f>
        <v/>
      </c>
      <c r="Q211" s="27"/>
      <c r="R211" s="5"/>
    </row>
    <row r="212" customFormat="false" ht="15" hidden="false" customHeight="false" outlineLevel="0" collapsed="false">
      <c r="A212" s="27"/>
      <c r="B212" s="5"/>
      <c r="C212" s="5"/>
      <c r="D212" s="35"/>
      <c r="E212" s="14"/>
      <c r="F212" s="18"/>
      <c r="G212" s="31" t="str">
        <f aca="false">IF(A212="","",IFERROR(IF(INDEX(Empresas!$C:$C,MATCH(A212,Empresas!$A:$A,0))="","",INDEX(Empresas!$C:$C,MATCH(A212,Empresas!$A:$A,0))),""))</f>
        <v/>
      </c>
      <c r="H212" s="18"/>
      <c r="I212" s="19" t="str">
        <f aca="false">IF(OR(F212="",G212=""),"",IF(F212-G212&lt;0,"CONTRATO ANTERIOR À ABERTURA — conferir datas",IF(F212-G212&lt;180,"ABERTA MENOS DE 6 MESES ANTES","")))</f>
        <v/>
      </c>
      <c r="J212" s="19" t="str">
        <f aca="false">IF(A212="","",IFERROR(INDEX(Sancoes!$B:$B,MATCH(A212,Sancoes!$A:$A,0))&amp;"","não consta"))</f>
        <v/>
      </c>
      <c r="K212" s="19" t="str">
        <f aca="false">IF(OR(A212="",F212=""),"",IF(SUMPRODUCT((Sancoes!$A$2:$A$301=A212)*(Sancoes!$B$2:$B$301&lt;&gt;"Não consta")*(Sancoes!$D$2:$D$301&lt;&gt;"")*(Sancoes!$D$2:$D$301&lt;=F212)*(((Sancoes!$E$2:$E$301="")+(Sancoes!$E$2:$E$301&gt;=F212))&gt;0))&gt;0,"SANÇÃO VIGENTE NA DATA — leia o tipo e a abrangência",""))</f>
        <v/>
      </c>
      <c r="L212" s="19" t="str">
        <f aca="false">IF(A212="","",IFERROR(INDEX(Empresas!$B:$B,MATCH(A212,Empresas!$A:$A,0))&amp;"","cadastre o CNPJ em Empresas"))</f>
        <v/>
      </c>
      <c r="M212" s="27"/>
      <c r="N212" s="35"/>
      <c r="O212" s="37" t="str">
        <f aca="false">IF(OR(D212="",D212=0,N212=""),"",N212/D212)</f>
        <v/>
      </c>
      <c r="P212" s="19" t="str">
        <f aca="false">IF(O212="","",IF(O212&gt;0.25,"ACRÉSCIMO ACIMA DE 25% — conferir",""))</f>
        <v/>
      </c>
      <c r="Q212" s="27"/>
      <c r="R212" s="5"/>
    </row>
    <row r="213" customFormat="false" ht="15" hidden="false" customHeight="false" outlineLevel="0" collapsed="false">
      <c r="A213" s="27"/>
      <c r="B213" s="5"/>
      <c r="C213" s="5"/>
      <c r="D213" s="35"/>
      <c r="E213" s="14"/>
      <c r="F213" s="18"/>
      <c r="G213" s="31" t="str">
        <f aca="false">IF(A213="","",IFERROR(IF(INDEX(Empresas!$C:$C,MATCH(A213,Empresas!$A:$A,0))="","",INDEX(Empresas!$C:$C,MATCH(A213,Empresas!$A:$A,0))),""))</f>
        <v/>
      </c>
      <c r="H213" s="18"/>
      <c r="I213" s="19" t="str">
        <f aca="false">IF(OR(F213="",G213=""),"",IF(F213-G213&lt;0,"CONTRATO ANTERIOR À ABERTURA — conferir datas",IF(F213-G213&lt;180,"ABERTA MENOS DE 6 MESES ANTES","")))</f>
        <v/>
      </c>
      <c r="J213" s="19" t="str">
        <f aca="false">IF(A213="","",IFERROR(INDEX(Sancoes!$B:$B,MATCH(A213,Sancoes!$A:$A,0))&amp;"","não consta"))</f>
        <v/>
      </c>
      <c r="K213" s="19" t="str">
        <f aca="false">IF(OR(A213="",F213=""),"",IF(SUMPRODUCT((Sancoes!$A$2:$A$301=A213)*(Sancoes!$B$2:$B$301&lt;&gt;"Não consta")*(Sancoes!$D$2:$D$301&lt;&gt;"")*(Sancoes!$D$2:$D$301&lt;=F213)*(((Sancoes!$E$2:$E$301="")+(Sancoes!$E$2:$E$301&gt;=F213))&gt;0))&gt;0,"SANÇÃO VIGENTE NA DATA — leia o tipo e a abrangência",""))</f>
        <v/>
      </c>
      <c r="L213" s="19" t="str">
        <f aca="false">IF(A213="","",IFERROR(INDEX(Empresas!$B:$B,MATCH(A213,Empresas!$A:$A,0))&amp;"","cadastre o CNPJ em Empresas"))</f>
        <v/>
      </c>
      <c r="M213" s="27"/>
      <c r="N213" s="35"/>
      <c r="O213" s="37" t="str">
        <f aca="false">IF(OR(D213="",D213=0,N213=""),"",N213/D213)</f>
        <v/>
      </c>
      <c r="P213" s="19" t="str">
        <f aca="false">IF(O213="","",IF(O213&gt;0.25,"ACRÉSCIMO ACIMA DE 25% — conferir",""))</f>
        <v/>
      </c>
      <c r="Q213" s="27"/>
      <c r="R213" s="5"/>
    </row>
    <row r="214" customFormat="false" ht="15" hidden="false" customHeight="false" outlineLevel="0" collapsed="false">
      <c r="A214" s="27"/>
      <c r="B214" s="5"/>
      <c r="C214" s="5"/>
      <c r="D214" s="35"/>
      <c r="E214" s="14"/>
      <c r="F214" s="18"/>
      <c r="G214" s="31" t="str">
        <f aca="false">IF(A214="","",IFERROR(IF(INDEX(Empresas!$C:$C,MATCH(A214,Empresas!$A:$A,0))="","",INDEX(Empresas!$C:$C,MATCH(A214,Empresas!$A:$A,0))),""))</f>
        <v/>
      </c>
      <c r="H214" s="18"/>
      <c r="I214" s="19" t="str">
        <f aca="false">IF(OR(F214="",G214=""),"",IF(F214-G214&lt;0,"CONTRATO ANTERIOR À ABERTURA — conferir datas",IF(F214-G214&lt;180,"ABERTA MENOS DE 6 MESES ANTES","")))</f>
        <v/>
      </c>
      <c r="J214" s="19" t="str">
        <f aca="false">IF(A214="","",IFERROR(INDEX(Sancoes!$B:$B,MATCH(A214,Sancoes!$A:$A,0))&amp;"","não consta"))</f>
        <v/>
      </c>
      <c r="K214" s="19" t="str">
        <f aca="false">IF(OR(A214="",F214=""),"",IF(SUMPRODUCT((Sancoes!$A$2:$A$301=A214)*(Sancoes!$B$2:$B$301&lt;&gt;"Não consta")*(Sancoes!$D$2:$D$301&lt;&gt;"")*(Sancoes!$D$2:$D$301&lt;=F214)*(((Sancoes!$E$2:$E$301="")+(Sancoes!$E$2:$E$301&gt;=F214))&gt;0))&gt;0,"SANÇÃO VIGENTE NA DATA — leia o tipo e a abrangência",""))</f>
        <v/>
      </c>
      <c r="L214" s="19" t="str">
        <f aca="false">IF(A214="","",IFERROR(INDEX(Empresas!$B:$B,MATCH(A214,Empresas!$A:$A,0))&amp;"","cadastre o CNPJ em Empresas"))</f>
        <v/>
      </c>
      <c r="M214" s="27"/>
      <c r="N214" s="35"/>
      <c r="O214" s="37" t="str">
        <f aca="false">IF(OR(D214="",D214=0,N214=""),"",N214/D214)</f>
        <v/>
      </c>
      <c r="P214" s="19" t="str">
        <f aca="false">IF(O214="","",IF(O214&gt;0.25,"ACRÉSCIMO ACIMA DE 25% — conferir",""))</f>
        <v/>
      </c>
      <c r="Q214" s="27"/>
      <c r="R214" s="5"/>
    </row>
    <row r="215" customFormat="false" ht="15" hidden="false" customHeight="false" outlineLevel="0" collapsed="false">
      <c r="A215" s="27"/>
      <c r="B215" s="5"/>
      <c r="C215" s="5"/>
      <c r="D215" s="35"/>
      <c r="E215" s="14"/>
      <c r="F215" s="18"/>
      <c r="G215" s="31" t="str">
        <f aca="false">IF(A215="","",IFERROR(IF(INDEX(Empresas!$C:$C,MATCH(A215,Empresas!$A:$A,0))="","",INDEX(Empresas!$C:$C,MATCH(A215,Empresas!$A:$A,0))),""))</f>
        <v/>
      </c>
      <c r="H215" s="18"/>
      <c r="I215" s="19" t="str">
        <f aca="false">IF(OR(F215="",G215=""),"",IF(F215-G215&lt;0,"CONTRATO ANTERIOR À ABERTURA — conferir datas",IF(F215-G215&lt;180,"ABERTA MENOS DE 6 MESES ANTES","")))</f>
        <v/>
      </c>
      <c r="J215" s="19" t="str">
        <f aca="false">IF(A215="","",IFERROR(INDEX(Sancoes!$B:$B,MATCH(A215,Sancoes!$A:$A,0))&amp;"","não consta"))</f>
        <v/>
      </c>
      <c r="K215" s="19" t="str">
        <f aca="false">IF(OR(A215="",F215=""),"",IF(SUMPRODUCT((Sancoes!$A$2:$A$301=A215)*(Sancoes!$B$2:$B$301&lt;&gt;"Não consta")*(Sancoes!$D$2:$D$301&lt;&gt;"")*(Sancoes!$D$2:$D$301&lt;=F215)*(((Sancoes!$E$2:$E$301="")+(Sancoes!$E$2:$E$301&gt;=F215))&gt;0))&gt;0,"SANÇÃO VIGENTE NA DATA — leia o tipo e a abrangência",""))</f>
        <v/>
      </c>
      <c r="L215" s="19" t="str">
        <f aca="false">IF(A215="","",IFERROR(INDEX(Empresas!$B:$B,MATCH(A215,Empresas!$A:$A,0))&amp;"","cadastre o CNPJ em Empresas"))</f>
        <v/>
      </c>
      <c r="M215" s="27"/>
      <c r="N215" s="35"/>
      <c r="O215" s="37" t="str">
        <f aca="false">IF(OR(D215="",D215=0,N215=""),"",N215/D215)</f>
        <v/>
      </c>
      <c r="P215" s="19" t="str">
        <f aca="false">IF(O215="","",IF(O215&gt;0.25,"ACRÉSCIMO ACIMA DE 25% — conferir",""))</f>
        <v/>
      </c>
      <c r="Q215" s="27"/>
      <c r="R215" s="5"/>
    </row>
    <row r="216" customFormat="false" ht="15" hidden="false" customHeight="false" outlineLevel="0" collapsed="false">
      <c r="A216" s="27"/>
      <c r="B216" s="5"/>
      <c r="C216" s="5"/>
      <c r="D216" s="35"/>
      <c r="E216" s="14"/>
      <c r="F216" s="18"/>
      <c r="G216" s="31" t="str">
        <f aca="false">IF(A216="","",IFERROR(IF(INDEX(Empresas!$C:$C,MATCH(A216,Empresas!$A:$A,0))="","",INDEX(Empresas!$C:$C,MATCH(A216,Empresas!$A:$A,0))),""))</f>
        <v/>
      </c>
      <c r="H216" s="18"/>
      <c r="I216" s="19" t="str">
        <f aca="false">IF(OR(F216="",G216=""),"",IF(F216-G216&lt;0,"CONTRATO ANTERIOR À ABERTURA — conferir datas",IF(F216-G216&lt;180,"ABERTA MENOS DE 6 MESES ANTES","")))</f>
        <v/>
      </c>
      <c r="J216" s="19" t="str">
        <f aca="false">IF(A216="","",IFERROR(INDEX(Sancoes!$B:$B,MATCH(A216,Sancoes!$A:$A,0))&amp;"","não consta"))</f>
        <v/>
      </c>
      <c r="K216" s="19" t="str">
        <f aca="false">IF(OR(A216="",F216=""),"",IF(SUMPRODUCT((Sancoes!$A$2:$A$301=A216)*(Sancoes!$B$2:$B$301&lt;&gt;"Não consta")*(Sancoes!$D$2:$D$301&lt;&gt;"")*(Sancoes!$D$2:$D$301&lt;=F216)*(((Sancoes!$E$2:$E$301="")+(Sancoes!$E$2:$E$301&gt;=F216))&gt;0))&gt;0,"SANÇÃO VIGENTE NA DATA — leia o tipo e a abrangência",""))</f>
        <v/>
      </c>
      <c r="L216" s="19" t="str">
        <f aca="false">IF(A216="","",IFERROR(INDEX(Empresas!$B:$B,MATCH(A216,Empresas!$A:$A,0))&amp;"","cadastre o CNPJ em Empresas"))</f>
        <v/>
      </c>
      <c r="M216" s="27"/>
      <c r="N216" s="35"/>
      <c r="O216" s="37" t="str">
        <f aca="false">IF(OR(D216="",D216=0,N216=""),"",N216/D216)</f>
        <v/>
      </c>
      <c r="P216" s="19" t="str">
        <f aca="false">IF(O216="","",IF(O216&gt;0.25,"ACRÉSCIMO ACIMA DE 25% — conferir",""))</f>
        <v/>
      </c>
      <c r="Q216" s="27"/>
      <c r="R216" s="5"/>
    </row>
    <row r="217" customFormat="false" ht="15" hidden="false" customHeight="false" outlineLevel="0" collapsed="false">
      <c r="A217" s="27"/>
      <c r="B217" s="5"/>
      <c r="C217" s="5"/>
      <c r="D217" s="35"/>
      <c r="E217" s="14"/>
      <c r="F217" s="18"/>
      <c r="G217" s="31" t="str">
        <f aca="false">IF(A217="","",IFERROR(IF(INDEX(Empresas!$C:$C,MATCH(A217,Empresas!$A:$A,0))="","",INDEX(Empresas!$C:$C,MATCH(A217,Empresas!$A:$A,0))),""))</f>
        <v/>
      </c>
      <c r="H217" s="18"/>
      <c r="I217" s="19" t="str">
        <f aca="false">IF(OR(F217="",G217=""),"",IF(F217-G217&lt;0,"CONTRATO ANTERIOR À ABERTURA — conferir datas",IF(F217-G217&lt;180,"ABERTA MENOS DE 6 MESES ANTES","")))</f>
        <v/>
      </c>
      <c r="J217" s="19" t="str">
        <f aca="false">IF(A217="","",IFERROR(INDEX(Sancoes!$B:$B,MATCH(A217,Sancoes!$A:$A,0))&amp;"","não consta"))</f>
        <v/>
      </c>
      <c r="K217" s="19" t="str">
        <f aca="false">IF(OR(A217="",F217=""),"",IF(SUMPRODUCT((Sancoes!$A$2:$A$301=A217)*(Sancoes!$B$2:$B$301&lt;&gt;"Não consta")*(Sancoes!$D$2:$D$301&lt;&gt;"")*(Sancoes!$D$2:$D$301&lt;=F217)*(((Sancoes!$E$2:$E$301="")+(Sancoes!$E$2:$E$301&gt;=F217))&gt;0))&gt;0,"SANÇÃO VIGENTE NA DATA — leia o tipo e a abrangência",""))</f>
        <v/>
      </c>
      <c r="L217" s="19" t="str">
        <f aca="false">IF(A217="","",IFERROR(INDEX(Empresas!$B:$B,MATCH(A217,Empresas!$A:$A,0))&amp;"","cadastre o CNPJ em Empresas"))</f>
        <v/>
      </c>
      <c r="M217" s="27"/>
      <c r="N217" s="35"/>
      <c r="O217" s="37" t="str">
        <f aca="false">IF(OR(D217="",D217=0,N217=""),"",N217/D217)</f>
        <v/>
      </c>
      <c r="P217" s="19" t="str">
        <f aca="false">IF(O217="","",IF(O217&gt;0.25,"ACRÉSCIMO ACIMA DE 25% — conferir",""))</f>
        <v/>
      </c>
      <c r="Q217" s="27"/>
      <c r="R217" s="5"/>
    </row>
    <row r="218" customFormat="false" ht="15" hidden="false" customHeight="false" outlineLevel="0" collapsed="false">
      <c r="A218" s="27"/>
      <c r="B218" s="5"/>
      <c r="C218" s="5"/>
      <c r="D218" s="35"/>
      <c r="E218" s="14"/>
      <c r="F218" s="18"/>
      <c r="G218" s="31" t="str">
        <f aca="false">IF(A218="","",IFERROR(IF(INDEX(Empresas!$C:$C,MATCH(A218,Empresas!$A:$A,0))="","",INDEX(Empresas!$C:$C,MATCH(A218,Empresas!$A:$A,0))),""))</f>
        <v/>
      </c>
      <c r="H218" s="18"/>
      <c r="I218" s="19" t="str">
        <f aca="false">IF(OR(F218="",G218=""),"",IF(F218-G218&lt;0,"CONTRATO ANTERIOR À ABERTURA — conferir datas",IF(F218-G218&lt;180,"ABERTA MENOS DE 6 MESES ANTES","")))</f>
        <v/>
      </c>
      <c r="J218" s="19" t="str">
        <f aca="false">IF(A218="","",IFERROR(INDEX(Sancoes!$B:$B,MATCH(A218,Sancoes!$A:$A,0))&amp;"","não consta"))</f>
        <v/>
      </c>
      <c r="K218" s="19" t="str">
        <f aca="false">IF(OR(A218="",F218=""),"",IF(SUMPRODUCT((Sancoes!$A$2:$A$301=A218)*(Sancoes!$B$2:$B$301&lt;&gt;"Não consta")*(Sancoes!$D$2:$D$301&lt;&gt;"")*(Sancoes!$D$2:$D$301&lt;=F218)*(((Sancoes!$E$2:$E$301="")+(Sancoes!$E$2:$E$301&gt;=F218))&gt;0))&gt;0,"SANÇÃO VIGENTE NA DATA — leia o tipo e a abrangência",""))</f>
        <v/>
      </c>
      <c r="L218" s="19" t="str">
        <f aca="false">IF(A218="","",IFERROR(INDEX(Empresas!$B:$B,MATCH(A218,Empresas!$A:$A,0))&amp;"","cadastre o CNPJ em Empresas"))</f>
        <v/>
      </c>
      <c r="M218" s="27"/>
      <c r="N218" s="35"/>
      <c r="O218" s="37" t="str">
        <f aca="false">IF(OR(D218="",D218=0,N218=""),"",N218/D218)</f>
        <v/>
      </c>
      <c r="P218" s="19" t="str">
        <f aca="false">IF(O218="","",IF(O218&gt;0.25,"ACRÉSCIMO ACIMA DE 25% — conferir",""))</f>
        <v/>
      </c>
      <c r="Q218" s="27"/>
      <c r="R218" s="5"/>
    </row>
    <row r="219" customFormat="false" ht="15" hidden="false" customHeight="false" outlineLevel="0" collapsed="false">
      <c r="A219" s="27"/>
      <c r="B219" s="5"/>
      <c r="C219" s="5"/>
      <c r="D219" s="35"/>
      <c r="E219" s="14"/>
      <c r="F219" s="18"/>
      <c r="G219" s="31" t="str">
        <f aca="false">IF(A219="","",IFERROR(IF(INDEX(Empresas!$C:$C,MATCH(A219,Empresas!$A:$A,0))="","",INDEX(Empresas!$C:$C,MATCH(A219,Empresas!$A:$A,0))),""))</f>
        <v/>
      </c>
      <c r="H219" s="18"/>
      <c r="I219" s="19" t="str">
        <f aca="false">IF(OR(F219="",G219=""),"",IF(F219-G219&lt;0,"CONTRATO ANTERIOR À ABERTURA — conferir datas",IF(F219-G219&lt;180,"ABERTA MENOS DE 6 MESES ANTES","")))</f>
        <v/>
      </c>
      <c r="J219" s="19" t="str">
        <f aca="false">IF(A219="","",IFERROR(INDEX(Sancoes!$B:$B,MATCH(A219,Sancoes!$A:$A,0))&amp;"","não consta"))</f>
        <v/>
      </c>
      <c r="K219" s="19" t="str">
        <f aca="false">IF(OR(A219="",F219=""),"",IF(SUMPRODUCT((Sancoes!$A$2:$A$301=A219)*(Sancoes!$B$2:$B$301&lt;&gt;"Não consta")*(Sancoes!$D$2:$D$301&lt;&gt;"")*(Sancoes!$D$2:$D$301&lt;=F219)*(((Sancoes!$E$2:$E$301="")+(Sancoes!$E$2:$E$301&gt;=F219))&gt;0))&gt;0,"SANÇÃO VIGENTE NA DATA — leia o tipo e a abrangência",""))</f>
        <v/>
      </c>
      <c r="L219" s="19" t="str">
        <f aca="false">IF(A219="","",IFERROR(INDEX(Empresas!$B:$B,MATCH(A219,Empresas!$A:$A,0))&amp;"","cadastre o CNPJ em Empresas"))</f>
        <v/>
      </c>
      <c r="M219" s="27"/>
      <c r="N219" s="35"/>
      <c r="O219" s="37" t="str">
        <f aca="false">IF(OR(D219="",D219=0,N219=""),"",N219/D219)</f>
        <v/>
      </c>
      <c r="P219" s="19" t="str">
        <f aca="false">IF(O219="","",IF(O219&gt;0.25,"ACRÉSCIMO ACIMA DE 25% — conferir",""))</f>
        <v/>
      </c>
      <c r="Q219" s="27"/>
      <c r="R219" s="5"/>
    </row>
    <row r="220" customFormat="false" ht="15" hidden="false" customHeight="false" outlineLevel="0" collapsed="false">
      <c r="A220" s="27"/>
      <c r="B220" s="5"/>
      <c r="C220" s="5"/>
      <c r="D220" s="35"/>
      <c r="E220" s="14"/>
      <c r="F220" s="18"/>
      <c r="G220" s="31" t="str">
        <f aca="false">IF(A220="","",IFERROR(IF(INDEX(Empresas!$C:$C,MATCH(A220,Empresas!$A:$A,0))="","",INDEX(Empresas!$C:$C,MATCH(A220,Empresas!$A:$A,0))),""))</f>
        <v/>
      </c>
      <c r="H220" s="18"/>
      <c r="I220" s="19" t="str">
        <f aca="false">IF(OR(F220="",G220=""),"",IF(F220-G220&lt;0,"CONTRATO ANTERIOR À ABERTURA — conferir datas",IF(F220-G220&lt;180,"ABERTA MENOS DE 6 MESES ANTES","")))</f>
        <v/>
      </c>
      <c r="J220" s="19" t="str">
        <f aca="false">IF(A220="","",IFERROR(INDEX(Sancoes!$B:$B,MATCH(A220,Sancoes!$A:$A,0))&amp;"","não consta"))</f>
        <v/>
      </c>
      <c r="K220" s="19" t="str">
        <f aca="false">IF(OR(A220="",F220=""),"",IF(SUMPRODUCT((Sancoes!$A$2:$A$301=A220)*(Sancoes!$B$2:$B$301&lt;&gt;"Não consta")*(Sancoes!$D$2:$D$301&lt;&gt;"")*(Sancoes!$D$2:$D$301&lt;=F220)*(((Sancoes!$E$2:$E$301="")+(Sancoes!$E$2:$E$301&gt;=F220))&gt;0))&gt;0,"SANÇÃO VIGENTE NA DATA — leia o tipo e a abrangência",""))</f>
        <v/>
      </c>
      <c r="L220" s="19" t="str">
        <f aca="false">IF(A220="","",IFERROR(INDEX(Empresas!$B:$B,MATCH(A220,Empresas!$A:$A,0))&amp;"","cadastre o CNPJ em Empresas"))</f>
        <v/>
      </c>
      <c r="M220" s="27"/>
      <c r="N220" s="35"/>
      <c r="O220" s="37" t="str">
        <f aca="false">IF(OR(D220="",D220=0,N220=""),"",N220/D220)</f>
        <v/>
      </c>
      <c r="P220" s="19" t="str">
        <f aca="false">IF(O220="","",IF(O220&gt;0.25,"ACRÉSCIMO ACIMA DE 25% — conferir",""))</f>
        <v/>
      </c>
      <c r="Q220" s="27"/>
      <c r="R220" s="5"/>
    </row>
    <row r="221" customFormat="false" ht="15" hidden="false" customHeight="false" outlineLevel="0" collapsed="false">
      <c r="A221" s="27"/>
      <c r="B221" s="5"/>
      <c r="C221" s="5"/>
      <c r="D221" s="35"/>
      <c r="E221" s="14"/>
      <c r="F221" s="18"/>
      <c r="G221" s="31" t="str">
        <f aca="false">IF(A221="","",IFERROR(IF(INDEX(Empresas!$C:$C,MATCH(A221,Empresas!$A:$A,0))="","",INDEX(Empresas!$C:$C,MATCH(A221,Empresas!$A:$A,0))),""))</f>
        <v/>
      </c>
      <c r="H221" s="18"/>
      <c r="I221" s="19" t="str">
        <f aca="false">IF(OR(F221="",G221=""),"",IF(F221-G221&lt;0,"CONTRATO ANTERIOR À ABERTURA — conferir datas",IF(F221-G221&lt;180,"ABERTA MENOS DE 6 MESES ANTES","")))</f>
        <v/>
      </c>
      <c r="J221" s="19" t="str">
        <f aca="false">IF(A221="","",IFERROR(INDEX(Sancoes!$B:$B,MATCH(A221,Sancoes!$A:$A,0))&amp;"","não consta"))</f>
        <v/>
      </c>
      <c r="K221" s="19" t="str">
        <f aca="false">IF(OR(A221="",F221=""),"",IF(SUMPRODUCT((Sancoes!$A$2:$A$301=A221)*(Sancoes!$B$2:$B$301&lt;&gt;"Não consta")*(Sancoes!$D$2:$D$301&lt;&gt;"")*(Sancoes!$D$2:$D$301&lt;=F221)*(((Sancoes!$E$2:$E$301="")+(Sancoes!$E$2:$E$301&gt;=F221))&gt;0))&gt;0,"SANÇÃO VIGENTE NA DATA — leia o tipo e a abrangência",""))</f>
        <v/>
      </c>
      <c r="L221" s="19" t="str">
        <f aca="false">IF(A221="","",IFERROR(INDEX(Empresas!$B:$B,MATCH(A221,Empresas!$A:$A,0))&amp;"","cadastre o CNPJ em Empresas"))</f>
        <v/>
      </c>
      <c r="M221" s="27"/>
      <c r="N221" s="35"/>
      <c r="O221" s="37" t="str">
        <f aca="false">IF(OR(D221="",D221=0,N221=""),"",N221/D221)</f>
        <v/>
      </c>
      <c r="P221" s="19" t="str">
        <f aca="false">IF(O221="","",IF(O221&gt;0.25,"ACRÉSCIMO ACIMA DE 25% — conferir",""))</f>
        <v/>
      </c>
      <c r="Q221" s="27"/>
      <c r="R221" s="5"/>
    </row>
    <row r="222" customFormat="false" ht="15" hidden="false" customHeight="false" outlineLevel="0" collapsed="false">
      <c r="A222" s="27"/>
      <c r="B222" s="5"/>
      <c r="C222" s="5"/>
      <c r="D222" s="35"/>
      <c r="E222" s="14"/>
      <c r="F222" s="18"/>
      <c r="G222" s="31" t="str">
        <f aca="false">IF(A222="","",IFERROR(IF(INDEX(Empresas!$C:$C,MATCH(A222,Empresas!$A:$A,0))="","",INDEX(Empresas!$C:$C,MATCH(A222,Empresas!$A:$A,0))),""))</f>
        <v/>
      </c>
      <c r="H222" s="18"/>
      <c r="I222" s="19" t="str">
        <f aca="false">IF(OR(F222="",G222=""),"",IF(F222-G222&lt;0,"CONTRATO ANTERIOR À ABERTURA — conferir datas",IF(F222-G222&lt;180,"ABERTA MENOS DE 6 MESES ANTES","")))</f>
        <v/>
      </c>
      <c r="J222" s="19" t="str">
        <f aca="false">IF(A222="","",IFERROR(INDEX(Sancoes!$B:$B,MATCH(A222,Sancoes!$A:$A,0))&amp;"","não consta"))</f>
        <v/>
      </c>
      <c r="K222" s="19" t="str">
        <f aca="false">IF(OR(A222="",F222=""),"",IF(SUMPRODUCT((Sancoes!$A$2:$A$301=A222)*(Sancoes!$B$2:$B$301&lt;&gt;"Não consta")*(Sancoes!$D$2:$D$301&lt;&gt;"")*(Sancoes!$D$2:$D$301&lt;=F222)*(((Sancoes!$E$2:$E$301="")+(Sancoes!$E$2:$E$301&gt;=F222))&gt;0))&gt;0,"SANÇÃO VIGENTE NA DATA — leia o tipo e a abrangência",""))</f>
        <v/>
      </c>
      <c r="L222" s="19" t="str">
        <f aca="false">IF(A222="","",IFERROR(INDEX(Empresas!$B:$B,MATCH(A222,Empresas!$A:$A,0))&amp;"","cadastre o CNPJ em Empresas"))</f>
        <v/>
      </c>
      <c r="M222" s="27"/>
      <c r="N222" s="35"/>
      <c r="O222" s="37" t="str">
        <f aca="false">IF(OR(D222="",D222=0,N222=""),"",N222/D222)</f>
        <v/>
      </c>
      <c r="P222" s="19" t="str">
        <f aca="false">IF(O222="","",IF(O222&gt;0.25,"ACRÉSCIMO ACIMA DE 25% — conferir",""))</f>
        <v/>
      </c>
      <c r="Q222" s="27"/>
      <c r="R222" s="5"/>
    </row>
    <row r="223" customFormat="false" ht="15" hidden="false" customHeight="false" outlineLevel="0" collapsed="false">
      <c r="A223" s="27"/>
      <c r="B223" s="5"/>
      <c r="C223" s="5"/>
      <c r="D223" s="35"/>
      <c r="E223" s="14"/>
      <c r="F223" s="18"/>
      <c r="G223" s="31" t="str">
        <f aca="false">IF(A223="","",IFERROR(IF(INDEX(Empresas!$C:$C,MATCH(A223,Empresas!$A:$A,0))="","",INDEX(Empresas!$C:$C,MATCH(A223,Empresas!$A:$A,0))),""))</f>
        <v/>
      </c>
      <c r="H223" s="18"/>
      <c r="I223" s="19" t="str">
        <f aca="false">IF(OR(F223="",G223=""),"",IF(F223-G223&lt;0,"CONTRATO ANTERIOR À ABERTURA — conferir datas",IF(F223-G223&lt;180,"ABERTA MENOS DE 6 MESES ANTES","")))</f>
        <v/>
      </c>
      <c r="J223" s="19" t="str">
        <f aca="false">IF(A223="","",IFERROR(INDEX(Sancoes!$B:$B,MATCH(A223,Sancoes!$A:$A,0))&amp;"","não consta"))</f>
        <v/>
      </c>
      <c r="K223" s="19" t="str">
        <f aca="false">IF(OR(A223="",F223=""),"",IF(SUMPRODUCT((Sancoes!$A$2:$A$301=A223)*(Sancoes!$B$2:$B$301&lt;&gt;"Não consta")*(Sancoes!$D$2:$D$301&lt;&gt;"")*(Sancoes!$D$2:$D$301&lt;=F223)*(((Sancoes!$E$2:$E$301="")+(Sancoes!$E$2:$E$301&gt;=F223))&gt;0))&gt;0,"SANÇÃO VIGENTE NA DATA — leia o tipo e a abrangência",""))</f>
        <v/>
      </c>
      <c r="L223" s="19" t="str">
        <f aca="false">IF(A223="","",IFERROR(INDEX(Empresas!$B:$B,MATCH(A223,Empresas!$A:$A,0))&amp;"","cadastre o CNPJ em Empresas"))</f>
        <v/>
      </c>
      <c r="M223" s="27"/>
      <c r="N223" s="35"/>
      <c r="O223" s="37" t="str">
        <f aca="false">IF(OR(D223="",D223=0,N223=""),"",N223/D223)</f>
        <v/>
      </c>
      <c r="P223" s="19" t="str">
        <f aca="false">IF(O223="","",IF(O223&gt;0.25,"ACRÉSCIMO ACIMA DE 25% — conferir",""))</f>
        <v/>
      </c>
      <c r="Q223" s="27"/>
      <c r="R223" s="5"/>
    </row>
    <row r="224" customFormat="false" ht="15" hidden="false" customHeight="false" outlineLevel="0" collapsed="false">
      <c r="A224" s="27"/>
      <c r="B224" s="5"/>
      <c r="C224" s="5"/>
      <c r="D224" s="35"/>
      <c r="E224" s="14"/>
      <c r="F224" s="18"/>
      <c r="G224" s="31" t="str">
        <f aca="false">IF(A224="","",IFERROR(IF(INDEX(Empresas!$C:$C,MATCH(A224,Empresas!$A:$A,0))="","",INDEX(Empresas!$C:$C,MATCH(A224,Empresas!$A:$A,0))),""))</f>
        <v/>
      </c>
      <c r="H224" s="18"/>
      <c r="I224" s="19" t="str">
        <f aca="false">IF(OR(F224="",G224=""),"",IF(F224-G224&lt;0,"CONTRATO ANTERIOR À ABERTURA — conferir datas",IF(F224-G224&lt;180,"ABERTA MENOS DE 6 MESES ANTES","")))</f>
        <v/>
      </c>
      <c r="J224" s="19" t="str">
        <f aca="false">IF(A224="","",IFERROR(INDEX(Sancoes!$B:$B,MATCH(A224,Sancoes!$A:$A,0))&amp;"","não consta"))</f>
        <v/>
      </c>
      <c r="K224" s="19" t="str">
        <f aca="false">IF(OR(A224="",F224=""),"",IF(SUMPRODUCT((Sancoes!$A$2:$A$301=A224)*(Sancoes!$B$2:$B$301&lt;&gt;"Não consta")*(Sancoes!$D$2:$D$301&lt;&gt;"")*(Sancoes!$D$2:$D$301&lt;=F224)*(((Sancoes!$E$2:$E$301="")+(Sancoes!$E$2:$E$301&gt;=F224))&gt;0))&gt;0,"SANÇÃO VIGENTE NA DATA — leia o tipo e a abrangência",""))</f>
        <v/>
      </c>
      <c r="L224" s="19" t="str">
        <f aca="false">IF(A224="","",IFERROR(INDEX(Empresas!$B:$B,MATCH(A224,Empresas!$A:$A,0))&amp;"","cadastre o CNPJ em Empresas"))</f>
        <v/>
      </c>
      <c r="M224" s="27"/>
      <c r="N224" s="35"/>
      <c r="O224" s="37" t="str">
        <f aca="false">IF(OR(D224="",D224=0,N224=""),"",N224/D224)</f>
        <v/>
      </c>
      <c r="P224" s="19" t="str">
        <f aca="false">IF(O224="","",IF(O224&gt;0.25,"ACRÉSCIMO ACIMA DE 25% — conferir",""))</f>
        <v/>
      </c>
      <c r="Q224" s="27"/>
      <c r="R224" s="5"/>
    </row>
    <row r="225" customFormat="false" ht="15" hidden="false" customHeight="false" outlineLevel="0" collapsed="false">
      <c r="A225" s="27"/>
      <c r="B225" s="5"/>
      <c r="C225" s="5"/>
      <c r="D225" s="35"/>
      <c r="E225" s="14"/>
      <c r="F225" s="18"/>
      <c r="G225" s="31" t="str">
        <f aca="false">IF(A225="","",IFERROR(IF(INDEX(Empresas!$C:$C,MATCH(A225,Empresas!$A:$A,0))="","",INDEX(Empresas!$C:$C,MATCH(A225,Empresas!$A:$A,0))),""))</f>
        <v/>
      </c>
      <c r="H225" s="18"/>
      <c r="I225" s="19" t="str">
        <f aca="false">IF(OR(F225="",G225=""),"",IF(F225-G225&lt;0,"CONTRATO ANTERIOR À ABERTURA — conferir datas",IF(F225-G225&lt;180,"ABERTA MENOS DE 6 MESES ANTES","")))</f>
        <v/>
      </c>
      <c r="J225" s="19" t="str">
        <f aca="false">IF(A225="","",IFERROR(INDEX(Sancoes!$B:$B,MATCH(A225,Sancoes!$A:$A,0))&amp;"","não consta"))</f>
        <v/>
      </c>
      <c r="K225" s="19" t="str">
        <f aca="false">IF(OR(A225="",F225=""),"",IF(SUMPRODUCT((Sancoes!$A$2:$A$301=A225)*(Sancoes!$B$2:$B$301&lt;&gt;"Não consta")*(Sancoes!$D$2:$D$301&lt;&gt;"")*(Sancoes!$D$2:$D$301&lt;=F225)*(((Sancoes!$E$2:$E$301="")+(Sancoes!$E$2:$E$301&gt;=F225))&gt;0))&gt;0,"SANÇÃO VIGENTE NA DATA — leia o tipo e a abrangência",""))</f>
        <v/>
      </c>
      <c r="L225" s="19" t="str">
        <f aca="false">IF(A225="","",IFERROR(INDEX(Empresas!$B:$B,MATCH(A225,Empresas!$A:$A,0))&amp;"","cadastre o CNPJ em Empresas"))</f>
        <v/>
      </c>
      <c r="M225" s="27"/>
      <c r="N225" s="35"/>
      <c r="O225" s="37" t="str">
        <f aca="false">IF(OR(D225="",D225=0,N225=""),"",N225/D225)</f>
        <v/>
      </c>
      <c r="P225" s="19" t="str">
        <f aca="false">IF(O225="","",IF(O225&gt;0.25,"ACRÉSCIMO ACIMA DE 25% — conferir",""))</f>
        <v/>
      </c>
      <c r="Q225" s="27"/>
      <c r="R225" s="5"/>
    </row>
    <row r="226" customFormat="false" ht="15" hidden="false" customHeight="false" outlineLevel="0" collapsed="false">
      <c r="A226" s="27"/>
      <c r="B226" s="5"/>
      <c r="C226" s="5"/>
      <c r="D226" s="35"/>
      <c r="E226" s="14"/>
      <c r="F226" s="18"/>
      <c r="G226" s="31" t="str">
        <f aca="false">IF(A226="","",IFERROR(IF(INDEX(Empresas!$C:$C,MATCH(A226,Empresas!$A:$A,0))="","",INDEX(Empresas!$C:$C,MATCH(A226,Empresas!$A:$A,0))),""))</f>
        <v/>
      </c>
      <c r="H226" s="18"/>
      <c r="I226" s="19" t="str">
        <f aca="false">IF(OR(F226="",G226=""),"",IF(F226-G226&lt;0,"CONTRATO ANTERIOR À ABERTURA — conferir datas",IF(F226-G226&lt;180,"ABERTA MENOS DE 6 MESES ANTES","")))</f>
        <v/>
      </c>
      <c r="J226" s="19" t="str">
        <f aca="false">IF(A226="","",IFERROR(INDEX(Sancoes!$B:$B,MATCH(A226,Sancoes!$A:$A,0))&amp;"","não consta"))</f>
        <v/>
      </c>
      <c r="K226" s="19" t="str">
        <f aca="false">IF(OR(A226="",F226=""),"",IF(SUMPRODUCT((Sancoes!$A$2:$A$301=A226)*(Sancoes!$B$2:$B$301&lt;&gt;"Não consta")*(Sancoes!$D$2:$D$301&lt;&gt;"")*(Sancoes!$D$2:$D$301&lt;=F226)*(((Sancoes!$E$2:$E$301="")+(Sancoes!$E$2:$E$301&gt;=F226))&gt;0))&gt;0,"SANÇÃO VIGENTE NA DATA — leia o tipo e a abrangência",""))</f>
        <v/>
      </c>
      <c r="L226" s="19" t="str">
        <f aca="false">IF(A226="","",IFERROR(INDEX(Empresas!$B:$B,MATCH(A226,Empresas!$A:$A,0))&amp;"","cadastre o CNPJ em Empresas"))</f>
        <v/>
      </c>
      <c r="M226" s="27"/>
      <c r="N226" s="35"/>
      <c r="O226" s="37" t="str">
        <f aca="false">IF(OR(D226="",D226=0,N226=""),"",N226/D226)</f>
        <v/>
      </c>
      <c r="P226" s="19" t="str">
        <f aca="false">IF(O226="","",IF(O226&gt;0.25,"ACRÉSCIMO ACIMA DE 25% — conferir",""))</f>
        <v/>
      </c>
      <c r="Q226" s="27"/>
      <c r="R226" s="5"/>
    </row>
    <row r="227" customFormat="false" ht="15" hidden="false" customHeight="false" outlineLevel="0" collapsed="false">
      <c r="A227" s="27"/>
      <c r="B227" s="5"/>
      <c r="C227" s="5"/>
      <c r="D227" s="35"/>
      <c r="E227" s="14"/>
      <c r="F227" s="18"/>
      <c r="G227" s="31" t="str">
        <f aca="false">IF(A227="","",IFERROR(IF(INDEX(Empresas!$C:$C,MATCH(A227,Empresas!$A:$A,0))="","",INDEX(Empresas!$C:$C,MATCH(A227,Empresas!$A:$A,0))),""))</f>
        <v/>
      </c>
      <c r="H227" s="18"/>
      <c r="I227" s="19" t="str">
        <f aca="false">IF(OR(F227="",G227=""),"",IF(F227-G227&lt;0,"CONTRATO ANTERIOR À ABERTURA — conferir datas",IF(F227-G227&lt;180,"ABERTA MENOS DE 6 MESES ANTES","")))</f>
        <v/>
      </c>
      <c r="J227" s="19" t="str">
        <f aca="false">IF(A227="","",IFERROR(INDEX(Sancoes!$B:$B,MATCH(A227,Sancoes!$A:$A,0))&amp;"","não consta"))</f>
        <v/>
      </c>
      <c r="K227" s="19" t="str">
        <f aca="false">IF(OR(A227="",F227=""),"",IF(SUMPRODUCT((Sancoes!$A$2:$A$301=A227)*(Sancoes!$B$2:$B$301&lt;&gt;"Não consta")*(Sancoes!$D$2:$D$301&lt;&gt;"")*(Sancoes!$D$2:$D$301&lt;=F227)*(((Sancoes!$E$2:$E$301="")+(Sancoes!$E$2:$E$301&gt;=F227))&gt;0))&gt;0,"SANÇÃO VIGENTE NA DATA — leia o tipo e a abrangência",""))</f>
        <v/>
      </c>
      <c r="L227" s="19" t="str">
        <f aca="false">IF(A227="","",IFERROR(INDEX(Empresas!$B:$B,MATCH(A227,Empresas!$A:$A,0))&amp;"","cadastre o CNPJ em Empresas"))</f>
        <v/>
      </c>
      <c r="M227" s="27"/>
      <c r="N227" s="35"/>
      <c r="O227" s="37" t="str">
        <f aca="false">IF(OR(D227="",D227=0,N227=""),"",N227/D227)</f>
        <v/>
      </c>
      <c r="P227" s="19" t="str">
        <f aca="false">IF(O227="","",IF(O227&gt;0.25,"ACRÉSCIMO ACIMA DE 25% — conferir",""))</f>
        <v/>
      </c>
      <c r="Q227" s="27"/>
      <c r="R227" s="5"/>
    </row>
    <row r="228" customFormat="false" ht="15" hidden="false" customHeight="false" outlineLevel="0" collapsed="false">
      <c r="A228" s="27"/>
      <c r="B228" s="5"/>
      <c r="C228" s="5"/>
      <c r="D228" s="35"/>
      <c r="E228" s="14"/>
      <c r="F228" s="18"/>
      <c r="G228" s="31" t="str">
        <f aca="false">IF(A228="","",IFERROR(IF(INDEX(Empresas!$C:$C,MATCH(A228,Empresas!$A:$A,0))="","",INDEX(Empresas!$C:$C,MATCH(A228,Empresas!$A:$A,0))),""))</f>
        <v/>
      </c>
      <c r="H228" s="18"/>
      <c r="I228" s="19" t="str">
        <f aca="false">IF(OR(F228="",G228=""),"",IF(F228-G228&lt;0,"CONTRATO ANTERIOR À ABERTURA — conferir datas",IF(F228-G228&lt;180,"ABERTA MENOS DE 6 MESES ANTES","")))</f>
        <v/>
      </c>
      <c r="J228" s="19" t="str">
        <f aca="false">IF(A228="","",IFERROR(INDEX(Sancoes!$B:$B,MATCH(A228,Sancoes!$A:$A,0))&amp;"","não consta"))</f>
        <v/>
      </c>
      <c r="K228" s="19" t="str">
        <f aca="false">IF(OR(A228="",F228=""),"",IF(SUMPRODUCT((Sancoes!$A$2:$A$301=A228)*(Sancoes!$B$2:$B$301&lt;&gt;"Não consta")*(Sancoes!$D$2:$D$301&lt;&gt;"")*(Sancoes!$D$2:$D$301&lt;=F228)*(((Sancoes!$E$2:$E$301="")+(Sancoes!$E$2:$E$301&gt;=F228))&gt;0))&gt;0,"SANÇÃO VIGENTE NA DATA — leia o tipo e a abrangência",""))</f>
        <v/>
      </c>
      <c r="L228" s="19" t="str">
        <f aca="false">IF(A228="","",IFERROR(INDEX(Empresas!$B:$B,MATCH(A228,Empresas!$A:$A,0))&amp;"","cadastre o CNPJ em Empresas"))</f>
        <v/>
      </c>
      <c r="M228" s="27"/>
      <c r="N228" s="35"/>
      <c r="O228" s="37" t="str">
        <f aca="false">IF(OR(D228="",D228=0,N228=""),"",N228/D228)</f>
        <v/>
      </c>
      <c r="P228" s="19" t="str">
        <f aca="false">IF(O228="","",IF(O228&gt;0.25,"ACRÉSCIMO ACIMA DE 25% — conferir",""))</f>
        <v/>
      </c>
      <c r="Q228" s="27"/>
      <c r="R228" s="5"/>
    </row>
    <row r="229" customFormat="false" ht="15" hidden="false" customHeight="false" outlineLevel="0" collapsed="false">
      <c r="A229" s="27"/>
      <c r="B229" s="5"/>
      <c r="C229" s="5"/>
      <c r="D229" s="35"/>
      <c r="E229" s="14"/>
      <c r="F229" s="18"/>
      <c r="G229" s="31" t="str">
        <f aca="false">IF(A229="","",IFERROR(IF(INDEX(Empresas!$C:$C,MATCH(A229,Empresas!$A:$A,0))="","",INDEX(Empresas!$C:$C,MATCH(A229,Empresas!$A:$A,0))),""))</f>
        <v/>
      </c>
      <c r="H229" s="18"/>
      <c r="I229" s="19" t="str">
        <f aca="false">IF(OR(F229="",G229=""),"",IF(F229-G229&lt;0,"CONTRATO ANTERIOR À ABERTURA — conferir datas",IF(F229-G229&lt;180,"ABERTA MENOS DE 6 MESES ANTES","")))</f>
        <v/>
      </c>
      <c r="J229" s="19" t="str">
        <f aca="false">IF(A229="","",IFERROR(INDEX(Sancoes!$B:$B,MATCH(A229,Sancoes!$A:$A,0))&amp;"","não consta"))</f>
        <v/>
      </c>
      <c r="K229" s="19" t="str">
        <f aca="false">IF(OR(A229="",F229=""),"",IF(SUMPRODUCT((Sancoes!$A$2:$A$301=A229)*(Sancoes!$B$2:$B$301&lt;&gt;"Não consta")*(Sancoes!$D$2:$D$301&lt;&gt;"")*(Sancoes!$D$2:$D$301&lt;=F229)*(((Sancoes!$E$2:$E$301="")+(Sancoes!$E$2:$E$301&gt;=F229))&gt;0))&gt;0,"SANÇÃO VIGENTE NA DATA — leia o tipo e a abrangência",""))</f>
        <v/>
      </c>
      <c r="L229" s="19" t="str">
        <f aca="false">IF(A229="","",IFERROR(INDEX(Empresas!$B:$B,MATCH(A229,Empresas!$A:$A,0))&amp;"","cadastre o CNPJ em Empresas"))</f>
        <v/>
      </c>
      <c r="M229" s="27"/>
      <c r="N229" s="35"/>
      <c r="O229" s="37" t="str">
        <f aca="false">IF(OR(D229="",D229=0,N229=""),"",N229/D229)</f>
        <v/>
      </c>
      <c r="P229" s="19" t="str">
        <f aca="false">IF(O229="","",IF(O229&gt;0.25,"ACRÉSCIMO ACIMA DE 25% — conferir",""))</f>
        <v/>
      </c>
      <c r="Q229" s="27"/>
      <c r="R229" s="5"/>
    </row>
    <row r="230" customFormat="false" ht="15" hidden="false" customHeight="false" outlineLevel="0" collapsed="false">
      <c r="A230" s="27"/>
      <c r="B230" s="5"/>
      <c r="C230" s="5"/>
      <c r="D230" s="35"/>
      <c r="E230" s="14"/>
      <c r="F230" s="18"/>
      <c r="G230" s="31" t="str">
        <f aca="false">IF(A230="","",IFERROR(IF(INDEX(Empresas!$C:$C,MATCH(A230,Empresas!$A:$A,0))="","",INDEX(Empresas!$C:$C,MATCH(A230,Empresas!$A:$A,0))),""))</f>
        <v/>
      </c>
      <c r="H230" s="18"/>
      <c r="I230" s="19" t="str">
        <f aca="false">IF(OR(F230="",G230=""),"",IF(F230-G230&lt;0,"CONTRATO ANTERIOR À ABERTURA — conferir datas",IF(F230-G230&lt;180,"ABERTA MENOS DE 6 MESES ANTES","")))</f>
        <v/>
      </c>
      <c r="J230" s="19" t="str">
        <f aca="false">IF(A230="","",IFERROR(INDEX(Sancoes!$B:$B,MATCH(A230,Sancoes!$A:$A,0))&amp;"","não consta"))</f>
        <v/>
      </c>
      <c r="K230" s="19" t="str">
        <f aca="false">IF(OR(A230="",F230=""),"",IF(SUMPRODUCT((Sancoes!$A$2:$A$301=A230)*(Sancoes!$B$2:$B$301&lt;&gt;"Não consta")*(Sancoes!$D$2:$D$301&lt;&gt;"")*(Sancoes!$D$2:$D$301&lt;=F230)*(((Sancoes!$E$2:$E$301="")+(Sancoes!$E$2:$E$301&gt;=F230))&gt;0))&gt;0,"SANÇÃO VIGENTE NA DATA — leia o tipo e a abrangência",""))</f>
        <v/>
      </c>
      <c r="L230" s="19" t="str">
        <f aca="false">IF(A230="","",IFERROR(INDEX(Empresas!$B:$B,MATCH(A230,Empresas!$A:$A,0))&amp;"","cadastre o CNPJ em Empresas"))</f>
        <v/>
      </c>
      <c r="M230" s="27"/>
      <c r="N230" s="35"/>
      <c r="O230" s="37" t="str">
        <f aca="false">IF(OR(D230="",D230=0,N230=""),"",N230/D230)</f>
        <v/>
      </c>
      <c r="P230" s="19" t="str">
        <f aca="false">IF(O230="","",IF(O230&gt;0.25,"ACRÉSCIMO ACIMA DE 25% — conferir",""))</f>
        <v/>
      </c>
      <c r="Q230" s="27"/>
      <c r="R230" s="5"/>
    </row>
    <row r="231" customFormat="false" ht="15" hidden="false" customHeight="false" outlineLevel="0" collapsed="false">
      <c r="A231" s="27"/>
      <c r="B231" s="5"/>
      <c r="C231" s="5"/>
      <c r="D231" s="35"/>
      <c r="E231" s="14"/>
      <c r="F231" s="18"/>
      <c r="G231" s="31" t="str">
        <f aca="false">IF(A231="","",IFERROR(IF(INDEX(Empresas!$C:$C,MATCH(A231,Empresas!$A:$A,0))="","",INDEX(Empresas!$C:$C,MATCH(A231,Empresas!$A:$A,0))),""))</f>
        <v/>
      </c>
      <c r="H231" s="18"/>
      <c r="I231" s="19" t="str">
        <f aca="false">IF(OR(F231="",G231=""),"",IF(F231-G231&lt;0,"CONTRATO ANTERIOR À ABERTURA — conferir datas",IF(F231-G231&lt;180,"ABERTA MENOS DE 6 MESES ANTES","")))</f>
        <v/>
      </c>
      <c r="J231" s="19" t="str">
        <f aca="false">IF(A231="","",IFERROR(INDEX(Sancoes!$B:$B,MATCH(A231,Sancoes!$A:$A,0))&amp;"","não consta"))</f>
        <v/>
      </c>
      <c r="K231" s="19" t="str">
        <f aca="false">IF(OR(A231="",F231=""),"",IF(SUMPRODUCT((Sancoes!$A$2:$A$301=A231)*(Sancoes!$B$2:$B$301&lt;&gt;"Não consta")*(Sancoes!$D$2:$D$301&lt;&gt;"")*(Sancoes!$D$2:$D$301&lt;=F231)*(((Sancoes!$E$2:$E$301="")+(Sancoes!$E$2:$E$301&gt;=F231))&gt;0))&gt;0,"SANÇÃO VIGENTE NA DATA — leia o tipo e a abrangência",""))</f>
        <v/>
      </c>
      <c r="L231" s="19" t="str">
        <f aca="false">IF(A231="","",IFERROR(INDEX(Empresas!$B:$B,MATCH(A231,Empresas!$A:$A,0))&amp;"","cadastre o CNPJ em Empresas"))</f>
        <v/>
      </c>
      <c r="M231" s="27"/>
      <c r="N231" s="35"/>
      <c r="O231" s="37" t="str">
        <f aca="false">IF(OR(D231="",D231=0,N231=""),"",N231/D231)</f>
        <v/>
      </c>
      <c r="P231" s="19" t="str">
        <f aca="false">IF(O231="","",IF(O231&gt;0.25,"ACRÉSCIMO ACIMA DE 25% — conferir",""))</f>
        <v/>
      </c>
      <c r="Q231" s="27"/>
      <c r="R231" s="5"/>
    </row>
    <row r="232" customFormat="false" ht="15" hidden="false" customHeight="false" outlineLevel="0" collapsed="false">
      <c r="A232" s="27"/>
      <c r="B232" s="5"/>
      <c r="C232" s="5"/>
      <c r="D232" s="35"/>
      <c r="E232" s="14"/>
      <c r="F232" s="18"/>
      <c r="G232" s="31" t="str">
        <f aca="false">IF(A232="","",IFERROR(IF(INDEX(Empresas!$C:$C,MATCH(A232,Empresas!$A:$A,0))="","",INDEX(Empresas!$C:$C,MATCH(A232,Empresas!$A:$A,0))),""))</f>
        <v/>
      </c>
      <c r="H232" s="18"/>
      <c r="I232" s="19" t="str">
        <f aca="false">IF(OR(F232="",G232=""),"",IF(F232-G232&lt;0,"CONTRATO ANTERIOR À ABERTURA — conferir datas",IF(F232-G232&lt;180,"ABERTA MENOS DE 6 MESES ANTES","")))</f>
        <v/>
      </c>
      <c r="J232" s="19" t="str">
        <f aca="false">IF(A232="","",IFERROR(INDEX(Sancoes!$B:$B,MATCH(A232,Sancoes!$A:$A,0))&amp;"","não consta"))</f>
        <v/>
      </c>
      <c r="K232" s="19" t="str">
        <f aca="false">IF(OR(A232="",F232=""),"",IF(SUMPRODUCT((Sancoes!$A$2:$A$301=A232)*(Sancoes!$B$2:$B$301&lt;&gt;"Não consta")*(Sancoes!$D$2:$D$301&lt;&gt;"")*(Sancoes!$D$2:$D$301&lt;=F232)*(((Sancoes!$E$2:$E$301="")+(Sancoes!$E$2:$E$301&gt;=F232))&gt;0))&gt;0,"SANÇÃO VIGENTE NA DATA — leia o tipo e a abrangência",""))</f>
        <v/>
      </c>
      <c r="L232" s="19" t="str">
        <f aca="false">IF(A232="","",IFERROR(INDEX(Empresas!$B:$B,MATCH(A232,Empresas!$A:$A,0))&amp;"","cadastre o CNPJ em Empresas"))</f>
        <v/>
      </c>
      <c r="M232" s="27"/>
      <c r="N232" s="35"/>
      <c r="O232" s="37" t="str">
        <f aca="false">IF(OR(D232="",D232=0,N232=""),"",N232/D232)</f>
        <v/>
      </c>
      <c r="P232" s="19" t="str">
        <f aca="false">IF(O232="","",IF(O232&gt;0.25,"ACRÉSCIMO ACIMA DE 25% — conferir",""))</f>
        <v/>
      </c>
      <c r="Q232" s="27"/>
      <c r="R232" s="5"/>
    </row>
    <row r="233" customFormat="false" ht="15" hidden="false" customHeight="false" outlineLevel="0" collapsed="false">
      <c r="A233" s="27"/>
      <c r="B233" s="5"/>
      <c r="C233" s="5"/>
      <c r="D233" s="35"/>
      <c r="E233" s="14"/>
      <c r="F233" s="18"/>
      <c r="G233" s="31" t="str">
        <f aca="false">IF(A233="","",IFERROR(IF(INDEX(Empresas!$C:$C,MATCH(A233,Empresas!$A:$A,0))="","",INDEX(Empresas!$C:$C,MATCH(A233,Empresas!$A:$A,0))),""))</f>
        <v/>
      </c>
      <c r="H233" s="18"/>
      <c r="I233" s="19" t="str">
        <f aca="false">IF(OR(F233="",G233=""),"",IF(F233-G233&lt;0,"CONTRATO ANTERIOR À ABERTURA — conferir datas",IF(F233-G233&lt;180,"ABERTA MENOS DE 6 MESES ANTES","")))</f>
        <v/>
      </c>
      <c r="J233" s="19" t="str">
        <f aca="false">IF(A233="","",IFERROR(INDEX(Sancoes!$B:$B,MATCH(A233,Sancoes!$A:$A,0))&amp;"","não consta"))</f>
        <v/>
      </c>
      <c r="K233" s="19" t="str">
        <f aca="false">IF(OR(A233="",F233=""),"",IF(SUMPRODUCT((Sancoes!$A$2:$A$301=A233)*(Sancoes!$B$2:$B$301&lt;&gt;"Não consta")*(Sancoes!$D$2:$D$301&lt;&gt;"")*(Sancoes!$D$2:$D$301&lt;=F233)*(((Sancoes!$E$2:$E$301="")+(Sancoes!$E$2:$E$301&gt;=F233))&gt;0))&gt;0,"SANÇÃO VIGENTE NA DATA — leia o tipo e a abrangência",""))</f>
        <v/>
      </c>
      <c r="L233" s="19" t="str">
        <f aca="false">IF(A233="","",IFERROR(INDEX(Empresas!$B:$B,MATCH(A233,Empresas!$A:$A,0))&amp;"","cadastre o CNPJ em Empresas"))</f>
        <v/>
      </c>
      <c r="M233" s="27"/>
      <c r="N233" s="35"/>
      <c r="O233" s="37" t="str">
        <f aca="false">IF(OR(D233="",D233=0,N233=""),"",N233/D233)</f>
        <v/>
      </c>
      <c r="P233" s="19" t="str">
        <f aca="false">IF(O233="","",IF(O233&gt;0.25,"ACRÉSCIMO ACIMA DE 25% — conferir",""))</f>
        <v/>
      </c>
      <c r="Q233" s="27"/>
      <c r="R233" s="5"/>
    </row>
    <row r="234" customFormat="false" ht="15" hidden="false" customHeight="false" outlineLevel="0" collapsed="false">
      <c r="A234" s="27"/>
      <c r="B234" s="5"/>
      <c r="C234" s="5"/>
      <c r="D234" s="35"/>
      <c r="E234" s="14"/>
      <c r="F234" s="18"/>
      <c r="G234" s="31" t="str">
        <f aca="false">IF(A234="","",IFERROR(IF(INDEX(Empresas!$C:$C,MATCH(A234,Empresas!$A:$A,0))="","",INDEX(Empresas!$C:$C,MATCH(A234,Empresas!$A:$A,0))),""))</f>
        <v/>
      </c>
      <c r="H234" s="18"/>
      <c r="I234" s="19" t="str">
        <f aca="false">IF(OR(F234="",G234=""),"",IF(F234-G234&lt;0,"CONTRATO ANTERIOR À ABERTURA — conferir datas",IF(F234-G234&lt;180,"ABERTA MENOS DE 6 MESES ANTES","")))</f>
        <v/>
      </c>
      <c r="J234" s="19" t="str">
        <f aca="false">IF(A234="","",IFERROR(INDEX(Sancoes!$B:$B,MATCH(A234,Sancoes!$A:$A,0))&amp;"","não consta"))</f>
        <v/>
      </c>
      <c r="K234" s="19" t="str">
        <f aca="false">IF(OR(A234="",F234=""),"",IF(SUMPRODUCT((Sancoes!$A$2:$A$301=A234)*(Sancoes!$B$2:$B$301&lt;&gt;"Não consta")*(Sancoes!$D$2:$D$301&lt;&gt;"")*(Sancoes!$D$2:$D$301&lt;=F234)*(((Sancoes!$E$2:$E$301="")+(Sancoes!$E$2:$E$301&gt;=F234))&gt;0))&gt;0,"SANÇÃO VIGENTE NA DATA — leia o tipo e a abrangência",""))</f>
        <v/>
      </c>
      <c r="L234" s="19" t="str">
        <f aca="false">IF(A234="","",IFERROR(INDEX(Empresas!$B:$B,MATCH(A234,Empresas!$A:$A,0))&amp;"","cadastre o CNPJ em Empresas"))</f>
        <v/>
      </c>
      <c r="M234" s="27"/>
      <c r="N234" s="35"/>
      <c r="O234" s="37" t="str">
        <f aca="false">IF(OR(D234="",D234=0,N234=""),"",N234/D234)</f>
        <v/>
      </c>
      <c r="P234" s="19" t="str">
        <f aca="false">IF(O234="","",IF(O234&gt;0.25,"ACRÉSCIMO ACIMA DE 25% — conferir",""))</f>
        <v/>
      </c>
      <c r="Q234" s="27"/>
      <c r="R234" s="5"/>
    </row>
    <row r="235" customFormat="false" ht="15" hidden="false" customHeight="false" outlineLevel="0" collapsed="false">
      <c r="A235" s="27"/>
      <c r="B235" s="5"/>
      <c r="C235" s="5"/>
      <c r="D235" s="35"/>
      <c r="E235" s="14"/>
      <c r="F235" s="18"/>
      <c r="G235" s="31" t="str">
        <f aca="false">IF(A235="","",IFERROR(IF(INDEX(Empresas!$C:$C,MATCH(A235,Empresas!$A:$A,0))="","",INDEX(Empresas!$C:$C,MATCH(A235,Empresas!$A:$A,0))),""))</f>
        <v/>
      </c>
      <c r="H235" s="18"/>
      <c r="I235" s="19" t="str">
        <f aca="false">IF(OR(F235="",G235=""),"",IF(F235-G235&lt;0,"CONTRATO ANTERIOR À ABERTURA — conferir datas",IF(F235-G235&lt;180,"ABERTA MENOS DE 6 MESES ANTES","")))</f>
        <v/>
      </c>
      <c r="J235" s="19" t="str">
        <f aca="false">IF(A235="","",IFERROR(INDEX(Sancoes!$B:$B,MATCH(A235,Sancoes!$A:$A,0))&amp;"","não consta"))</f>
        <v/>
      </c>
      <c r="K235" s="19" t="str">
        <f aca="false">IF(OR(A235="",F235=""),"",IF(SUMPRODUCT((Sancoes!$A$2:$A$301=A235)*(Sancoes!$B$2:$B$301&lt;&gt;"Não consta")*(Sancoes!$D$2:$D$301&lt;&gt;"")*(Sancoes!$D$2:$D$301&lt;=F235)*(((Sancoes!$E$2:$E$301="")+(Sancoes!$E$2:$E$301&gt;=F235))&gt;0))&gt;0,"SANÇÃO VIGENTE NA DATA — leia o tipo e a abrangência",""))</f>
        <v/>
      </c>
      <c r="L235" s="19" t="str">
        <f aca="false">IF(A235="","",IFERROR(INDEX(Empresas!$B:$B,MATCH(A235,Empresas!$A:$A,0))&amp;"","cadastre o CNPJ em Empresas"))</f>
        <v/>
      </c>
      <c r="M235" s="27"/>
      <c r="N235" s="35"/>
      <c r="O235" s="37" t="str">
        <f aca="false">IF(OR(D235="",D235=0,N235=""),"",N235/D235)</f>
        <v/>
      </c>
      <c r="P235" s="19" t="str">
        <f aca="false">IF(O235="","",IF(O235&gt;0.25,"ACRÉSCIMO ACIMA DE 25% — conferir",""))</f>
        <v/>
      </c>
      <c r="Q235" s="27"/>
      <c r="R235" s="5"/>
    </row>
    <row r="236" customFormat="false" ht="15" hidden="false" customHeight="false" outlineLevel="0" collapsed="false">
      <c r="A236" s="27"/>
      <c r="B236" s="5"/>
      <c r="C236" s="5"/>
      <c r="D236" s="35"/>
      <c r="E236" s="14"/>
      <c r="F236" s="18"/>
      <c r="G236" s="31" t="str">
        <f aca="false">IF(A236="","",IFERROR(IF(INDEX(Empresas!$C:$C,MATCH(A236,Empresas!$A:$A,0))="","",INDEX(Empresas!$C:$C,MATCH(A236,Empresas!$A:$A,0))),""))</f>
        <v/>
      </c>
      <c r="H236" s="18"/>
      <c r="I236" s="19" t="str">
        <f aca="false">IF(OR(F236="",G236=""),"",IF(F236-G236&lt;0,"CONTRATO ANTERIOR À ABERTURA — conferir datas",IF(F236-G236&lt;180,"ABERTA MENOS DE 6 MESES ANTES","")))</f>
        <v/>
      </c>
      <c r="J236" s="19" t="str">
        <f aca="false">IF(A236="","",IFERROR(INDEX(Sancoes!$B:$B,MATCH(A236,Sancoes!$A:$A,0))&amp;"","não consta"))</f>
        <v/>
      </c>
      <c r="K236" s="19" t="str">
        <f aca="false">IF(OR(A236="",F236=""),"",IF(SUMPRODUCT((Sancoes!$A$2:$A$301=A236)*(Sancoes!$B$2:$B$301&lt;&gt;"Não consta")*(Sancoes!$D$2:$D$301&lt;&gt;"")*(Sancoes!$D$2:$D$301&lt;=F236)*(((Sancoes!$E$2:$E$301="")+(Sancoes!$E$2:$E$301&gt;=F236))&gt;0))&gt;0,"SANÇÃO VIGENTE NA DATA — leia o tipo e a abrangência",""))</f>
        <v/>
      </c>
      <c r="L236" s="19" t="str">
        <f aca="false">IF(A236="","",IFERROR(INDEX(Empresas!$B:$B,MATCH(A236,Empresas!$A:$A,0))&amp;"","cadastre o CNPJ em Empresas"))</f>
        <v/>
      </c>
      <c r="M236" s="27"/>
      <c r="N236" s="35"/>
      <c r="O236" s="37" t="str">
        <f aca="false">IF(OR(D236="",D236=0,N236=""),"",N236/D236)</f>
        <v/>
      </c>
      <c r="P236" s="19" t="str">
        <f aca="false">IF(O236="","",IF(O236&gt;0.25,"ACRÉSCIMO ACIMA DE 25% — conferir",""))</f>
        <v/>
      </c>
      <c r="Q236" s="27"/>
      <c r="R236" s="5"/>
    </row>
    <row r="237" customFormat="false" ht="15" hidden="false" customHeight="false" outlineLevel="0" collapsed="false">
      <c r="A237" s="27"/>
      <c r="B237" s="5"/>
      <c r="C237" s="5"/>
      <c r="D237" s="35"/>
      <c r="E237" s="14"/>
      <c r="F237" s="18"/>
      <c r="G237" s="31" t="str">
        <f aca="false">IF(A237="","",IFERROR(IF(INDEX(Empresas!$C:$C,MATCH(A237,Empresas!$A:$A,0))="","",INDEX(Empresas!$C:$C,MATCH(A237,Empresas!$A:$A,0))),""))</f>
        <v/>
      </c>
      <c r="H237" s="18"/>
      <c r="I237" s="19" t="str">
        <f aca="false">IF(OR(F237="",G237=""),"",IF(F237-G237&lt;0,"CONTRATO ANTERIOR À ABERTURA — conferir datas",IF(F237-G237&lt;180,"ABERTA MENOS DE 6 MESES ANTES","")))</f>
        <v/>
      </c>
      <c r="J237" s="19" t="str">
        <f aca="false">IF(A237="","",IFERROR(INDEX(Sancoes!$B:$B,MATCH(A237,Sancoes!$A:$A,0))&amp;"","não consta"))</f>
        <v/>
      </c>
      <c r="K237" s="19" t="str">
        <f aca="false">IF(OR(A237="",F237=""),"",IF(SUMPRODUCT((Sancoes!$A$2:$A$301=A237)*(Sancoes!$B$2:$B$301&lt;&gt;"Não consta")*(Sancoes!$D$2:$D$301&lt;&gt;"")*(Sancoes!$D$2:$D$301&lt;=F237)*(((Sancoes!$E$2:$E$301="")+(Sancoes!$E$2:$E$301&gt;=F237))&gt;0))&gt;0,"SANÇÃO VIGENTE NA DATA — leia o tipo e a abrangência",""))</f>
        <v/>
      </c>
      <c r="L237" s="19" t="str">
        <f aca="false">IF(A237="","",IFERROR(INDEX(Empresas!$B:$B,MATCH(A237,Empresas!$A:$A,0))&amp;"","cadastre o CNPJ em Empresas"))</f>
        <v/>
      </c>
      <c r="M237" s="27"/>
      <c r="N237" s="35"/>
      <c r="O237" s="37" t="str">
        <f aca="false">IF(OR(D237="",D237=0,N237=""),"",N237/D237)</f>
        <v/>
      </c>
      <c r="P237" s="19" t="str">
        <f aca="false">IF(O237="","",IF(O237&gt;0.25,"ACRÉSCIMO ACIMA DE 25% — conferir",""))</f>
        <v/>
      </c>
      <c r="Q237" s="27"/>
      <c r="R237" s="5"/>
    </row>
    <row r="238" customFormat="false" ht="15" hidden="false" customHeight="false" outlineLevel="0" collapsed="false">
      <c r="A238" s="27"/>
      <c r="B238" s="5"/>
      <c r="C238" s="5"/>
      <c r="D238" s="35"/>
      <c r="E238" s="14"/>
      <c r="F238" s="18"/>
      <c r="G238" s="31" t="str">
        <f aca="false">IF(A238="","",IFERROR(IF(INDEX(Empresas!$C:$C,MATCH(A238,Empresas!$A:$A,0))="","",INDEX(Empresas!$C:$C,MATCH(A238,Empresas!$A:$A,0))),""))</f>
        <v/>
      </c>
      <c r="H238" s="18"/>
      <c r="I238" s="19" t="str">
        <f aca="false">IF(OR(F238="",G238=""),"",IF(F238-G238&lt;0,"CONTRATO ANTERIOR À ABERTURA — conferir datas",IF(F238-G238&lt;180,"ABERTA MENOS DE 6 MESES ANTES","")))</f>
        <v/>
      </c>
      <c r="J238" s="19" t="str">
        <f aca="false">IF(A238="","",IFERROR(INDEX(Sancoes!$B:$B,MATCH(A238,Sancoes!$A:$A,0))&amp;"","não consta"))</f>
        <v/>
      </c>
      <c r="K238" s="19" t="str">
        <f aca="false">IF(OR(A238="",F238=""),"",IF(SUMPRODUCT((Sancoes!$A$2:$A$301=A238)*(Sancoes!$B$2:$B$301&lt;&gt;"Não consta")*(Sancoes!$D$2:$D$301&lt;&gt;"")*(Sancoes!$D$2:$D$301&lt;=F238)*(((Sancoes!$E$2:$E$301="")+(Sancoes!$E$2:$E$301&gt;=F238))&gt;0))&gt;0,"SANÇÃO VIGENTE NA DATA — leia o tipo e a abrangência",""))</f>
        <v/>
      </c>
      <c r="L238" s="19" t="str">
        <f aca="false">IF(A238="","",IFERROR(INDEX(Empresas!$B:$B,MATCH(A238,Empresas!$A:$A,0))&amp;"","cadastre o CNPJ em Empresas"))</f>
        <v/>
      </c>
      <c r="M238" s="27"/>
      <c r="N238" s="35"/>
      <c r="O238" s="37" t="str">
        <f aca="false">IF(OR(D238="",D238=0,N238=""),"",N238/D238)</f>
        <v/>
      </c>
      <c r="P238" s="19" t="str">
        <f aca="false">IF(O238="","",IF(O238&gt;0.25,"ACRÉSCIMO ACIMA DE 25% — conferir",""))</f>
        <v/>
      </c>
      <c r="Q238" s="27"/>
      <c r="R238" s="5"/>
    </row>
    <row r="239" customFormat="false" ht="15" hidden="false" customHeight="false" outlineLevel="0" collapsed="false">
      <c r="A239" s="27"/>
      <c r="B239" s="5"/>
      <c r="C239" s="5"/>
      <c r="D239" s="35"/>
      <c r="E239" s="14"/>
      <c r="F239" s="18"/>
      <c r="G239" s="31" t="str">
        <f aca="false">IF(A239="","",IFERROR(IF(INDEX(Empresas!$C:$C,MATCH(A239,Empresas!$A:$A,0))="","",INDEX(Empresas!$C:$C,MATCH(A239,Empresas!$A:$A,0))),""))</f>
        <v/>
      </c>
      <c r="H239" s="18"/>
      <c r="I239" s="19" t="str">
        <f aca="false">IF(OR(F239="",G239=""),"",IF(F239-G239&lt;0,"CONTRATO ANTERIOR À ABERTURA — conferir datas",IF(F239-G239&lt;180,"ABERTA MENOS DE 6 MESES ANTES","")))</f>
        <v/>
      </c>
      <c r="J239" s="19" t="str">
        <f aca="false">IF(A239="","",IFERROR(INDEX(Sancoes!$B:$B,MATCH(A239,Sancoes!$A:$A,0))&amp;"","não consta"))</f>
        <v/>
      </c>
      <c r="K239" s="19" t="str">
        <f aca="false">IF(OR(A239="",F239=""),"",IF(SUMPRODUCT((Sancoes!$A$2:$A$301=A239)*(Sancoes!$B$2:$B$301&lt;&gt;"Não consta")*(Sancoes!$D$2:$D$301&lt;&gt;"")*(Sancoes!$D$2:$D$301&lt;=F239)*(((Sancoes!$E$2:$E$301="")+(Sancoes!$E$2:$E$301&gt;=F239))&gt;0))&gt;0,"SANÇÃO VIGENTE NA DATA — leia o tipo e a abrangência",""))</f>
        <v/>
      </c>
      <c r="L239" s="19" t="str">
        <f aca="false">IF(A239="","",IFERROR(INDEX(Empresas!$B:$B,MATCH(A239,Empresas!$A:$A,0))&amp;"","cadastre o CNPJ em Empresas"))</f>
        <v/>
      </c>
      <c r="M239" s="27"/>
      <c r="N239" s="35"/>
      <c r="O239" s="37" t="str">
        <f aca="false">IF(OR(D239="",D239=0,N239=""),"",N239/D239)</f>
        <v/>
      </c>
      <c r="P239" s="19" t="str">
        <f aca="false">IF(O239="","",IF(O239&gt;0.25,"ACRÉSCIMO ACIMA DE 25% — conferir",""))</f>
        <v/>
      </c>
      <c r="Q239" s="27"/>
      <c r="R239" s="5"/>
    </row>
    <row r="240" customFormat="false" ht="15" hidden="false" customHeight="false" outlineLevel="0" collapsed="false">
      <c r="A240" s="27"/>
      <c r="B240" s="5"/>
      <c r="C240" s="5"/>
      <c r="D240" s="35"/>
      <c r="E240" s="14"/>
      <c r="F240" s="18"/>
      <c r="G240" s="31" t="str">
        <f aca="false">IF(A240="","",IFERROR(IF(INDEX(Empresas!$C:$C,MATCH(A240,Empresas!$A:$A,0))="","",INDEX(Empresas!$C:$C,MATCH(A240,Empresas!$A:$A,0))),""))</f>
        <v/>
      </c>
      <c r="H240" s="18"/>
      <c r="I240" s="19" t="str">
        <f aca="false">IF(OR(F240="",G240=""),"",IF(F240-G240&lt;0,"CONTRATO ANTERIOR À ABERTURA — conferir datas",IF(F240-G240&lt;180,"ABERTA MENOS DE 6 MESES ANTES","")))</f>
        <v/>
      </c>
      <c r="J240" s="19" t="str">
        <f aca="false">IF(A240="","",IFERROR(INDEX(Sancoes!$B:$B,MATCH(A240,Sancoes!$A:$A,0))&amp;"","não consta"))</f>
        <v/>
      </c>
      <c r="K240" s="19" t="str">
        <f aca="false">IF(OR(A240="",F240=""),"",IF(SUMPRODUCT((Sancoes!$A$2:$A$301=A240)*(Sancoes!$B$2:$B$301&lt;&gt;"Não consta")*(Sancoes!$D$2:$D$301&lt;&gt;"")*(Sancoes!$D$2:$D$301&lt;=F240)*(((Sancoes!$E$2:$E$301="")+(Sancoes!$E$2:$E$301&gt;=F240))&gt;0))&gt;0,"SANÇÃO VIGENTE NA DATA — leia o tipo e a abrangência",""))</f>
        <v/>
      </c>
      <c r="L240" s="19" t="str">
        <f aca="false">IF(A240="","",IFERROR(INDEX(Empresas!$B:$B,MATCH(A240,Empresas!$A:$A,0))&amp;"","cadastre o CNPJ em Empresas"))</f>
        <v/>
      </c>
      <c r="M240" s="27"/>
      <c r="N240" s="35"/>
      <c r="O240" s="37" t="str">
        <f aca="false">IF(OR(D240="",D240=0,N240=""),"",N240/D240)</f>
        <v/>
      </c>
      <c r="P240" s="19" t="str">
        <f aca="false">IF(O240="","",IF(O240&gt;0.25,"ACRÉSCIMO ACIMA DE 25% — conferir",""))</f>
        <v/>
      </c>
      <c r="Q240" s="27"/>
      <c r="R240" s="5"/>
    </row>
    <row r="241" customFormat="false" ht="15" hidden="false" customHeight="false" outlineLevel="0" collapsed="false">
      <c r="A241" s="27"/>
      <c r="B241" s="5"/>
      <c r="C241" s="5"/>
      <c r="D241" s="35"/>
      <c r="E241" s="14"/>
      <c r="F241" s="18"/>
      <c r="G241" s="31" t="str">
        <f aca="false">IF(A241="","",IFERROR(IF(INDEX(Empresas!$C:$C,MATCH(A241,Empresas!$A:$A,0))="","",INDEX(Empresas!$C:$C,MATCH(A241,Empresas!$A:$A,0))),""))</f>
        <v/>
      </c>
      <c r="H241" s="18"/>
      <c r="I241" s="19" t="str">
        <f aca="false">IF(OR(F241="",G241=""),"",IF(F241-G241&lt;0,"CONTRATO ANTERIOR À ABERTURA — conferir datas",IF(F241-G241&lt;180,"ABERTA MENOS DE 6 MESES ANTES","")))</f>
        <v/>
      </c>
      <c r="J241" s="19" t="str">
        <f aca="false">IF(A241="","",IFERROR(INDEX(Sancoes!$B:$B,MATCH(A241,Sancoes!$A:$A,0))&amp;"","não consta"))</f>
        <v/>
      </c>
      <c r="K241" s="19" t="str">
        <f aca="false">IF(OR(A241="",F241=""),"",IF(SUMPRODUCT((Sancoes!$A$2:$A$301=A241)*(Sancoes!$B$2:$B$301&lt;&gt;"Não consta")*(Sancoes!$D$2:$D$301&lt;&gt;"")*(Sancoes!$D$2:$D$301&lt;=F241)*(((Sancoes!$E$2:$E$301="")+(Sancoes!$E$2:$E$301&gt;=F241))&gt;0))&gt;0,"SANÇÃO VIGENTE NA DATA — leia o tipo e a abrangência",""))</f>
        <v/>
      </c>
      <c r="L241" s="19" t="str">
        <f aca="false">IF(A241="","",IFERROR(INDEX(Empresas!$B:$B,MATCH(A241,Empresas!$A:$A,0))&amp;"","cadastre o CNPJ em Empresas"))</f>
        <v/>
      </c>
      <c r="M241" s="27"/>
      <c r="N241" s="35"/>
      <c r="O241" s="37" t="str">
        <f aca="false">IF(OR(D241="",D241=0,N241=""),"",N241/D241)</f>
        <v/>
      </c>
      <c r="P241" s="19" t="str">
        <f aca="false">IF(O241="","",IF(O241&gt;0.25,"ACRÉSCIMO ACIMA DE 25% — conferir",""))</f>
        <v/>
      </c>
      <c r="Q241" s="27"/>
      <c r="R241" s="5"/>
    </row>
    <row r="242" customFormat="false" ht="15" hidden="false" customHeight="false" outlineLevel="0" collapsed="false">
      <c r="A242" s="27"/>
      <c r="B242" s="5"/>
      <c r="C242" s="5"/>
      <c r="D242" s="35"/>
      <c r="E242" s="14"/>
      <c r="F242" s="18"/>
      <c r="G242" s="31" t="str">
        <f aca="false">IF(A242="","",IFERROR(IF(INDEX(Empresas!$C:$C,MATCH(A242,Empresas!$A:$A,0))="","",INDEX(Empresas!$C:$C,MATCH(A242,Empresas!$A:$A,0))),""))</f>
        <v/>
      </c>
      <c r="H242" s="18"/>
      <c r="I242" s="19" t="str">
        <f aca="false">IF(OR(F242="",G242=""),"",IF(F242-G242&lt;0,"CONTRATO ANTERIOR À ABERTURA — conferir datas",IF(F242-G242&lt;180,"ABERTA MENOS DE 6 MESES ANTES","")))</f>
        <v/>
      </c>
      <c r="J242" s="19" t="str">
        <f aca="false">IF(A242="","",IFERROR(INDEX(Sancoes!$B:$B,MATCH(A242,Sancoes!$A:$A,0))&amp;"","não consta"))</f>
        <v/>
      </c>
      <c r="K242" s="19" t="str">
        <f aca="false">IF(OR(A242="",F242=""),"",IF(SUMPRODUCT((Sancoes!$A$2:$A$301=A242)*(Sancoes!$B$2:$B$301&lt;&gt;"Não consta")*(Sancoes!$D$2:$D$301&lt;&gt;"")*(Sancoes!$D$2:$D$301&lt;=F242)*(((Sancoes!$E$2:$E$301="")+(Sancoes!$E$2:$E$301&gt;=F242))&gt;0))&gt;0,"SANÇÃO VIGENTE NA DATA — leia o tipo e a abrangência",""))</f>
        <v/>
      </c>
      <c r="L242" s="19" t="str">
        <f aca="false">IF(A242="","",IFERROR(INDEX(Empresas!$B:$B,MATCH(A242,Empresas!$A:$A,0))&amp;"","cadastre o CNPJ em Empresas"))</f>
        <v/>
      </c>
      <c r="M242" s="27"/>
      <c r="N242" s="35"/>
      <c r="O242" s="37" t="str">
        <f aca="false">IF(OR(D242="",D242=0,N242=""),"",N242/D242)</f>
        <v/>
      </c>
      <c r="P242" s="19" t="str">
        <f aca="false">IF(O242="","",IF(O242&gt;0.25,"ACRÉSCIMO ACIMA DE 25% — conferir",""))</f>
        <v/>
      </c>
      <c r="Q242" s="27"/>
      <c r="R242" s="5"/>
    </row>
    <row r="243" customFormat="false" ht="15" hidden="false" customHeight="false" outlineLevel="0" collapsed="false">
      <c r="A243" s="27"/>
      <c r="B243" s="5"/>
      <c r="C243" s="5"/>
      <c r="D243" s="35"/>
      <c r="E243" s="14"/>
      <c r="F243" s="18"/>
      <c r="G243" s="31" t="str">
        <f aca="false">IF(A243="","",IFERROR(IF(INDEX(Empresas!$C:$C,MATCH(A243,Empresas!$A:$A,0))="","",INDEX(Empresas!$C:$C,MATCH(A243,Empresas!$A:$A,0))),""))</f>
        <v/>
      </c>
      <c r="H243" s="18"/>
      <c r="I243" s="19" t="str">
        <f aca="false">IF(OR(F243="",G243=""),"",IF(F243-G243&lt;0,"CONTRATO ANTERIOR À ABERTURA — conferir datas",IF(F243-G243&lt;180,"ABERTA MENOS DE 6 MESES ANTES","")))</f>
        <v/>
      </c>
      <c r="J243" s="19" t="str">
        <f aca="false">IF(A243="","",IFERROR(INDEX(Sancoes!$B:$B,MATCH(A243,Sancoes!$A:$A,0))&amp;"","não consta"))</f>
        <v/>
      </c>
      <c r="K243" s="19" t="str">
        <f aca="false">IF(OR(A243="",F243=""),"",IF(SUMPRODUCT((Sancoes!$A$2:$A$301=A243)*(Sancoes!$B$2:$B$301&lt;&gt;"Não consta")*(Sancoes!$D$2:$D$301&lt;&gt;"")*(Sancoes!$D$2:$D$301&lt;=F243)*(((Sancoes!$E$2:$E$301="")+(Sancoes!$E$2:$E$301&gt;=F243))&gt;0))&gt;0,"SANÇÃO VIGENTE NA DATA — leia o tipo e a abrangência",""))</f>
        <v/>
      </c>
      <c r="L243" s="19" t="str">
        <f aca="false">IF(A243="","",IFERROR(INDEX(Empresas!$B:$B,MATCH(A243,Empresas!$A:$A,0))&amp;"","cadastre o CNPJ em Empresas"))</f>
        <v/>
      </c>
      <c r="M243" s="27"/>
      <c r="N243" s="35"/>
      <c r="O243" s="37" t="str">
        <f aca="false">IF(OR(D243="",D243=0,N243=""),"",N243/D243)</f>
        <v/>
      </c>
      <c r="P243" s="19" t="str">
        <f aca="false">IF(O243="","",IF(O243&gt;0.25,"ACRÉSCIMO ACIMA DE 25% — conferir",""))</f>
        <v/>
      </c>
      <c r="Q243" s="27"/>
      <c r="R243" s="5"/>
    </row>
    <row r="244" customFormat="false" ht="15" hidden="false" customHeight="false" outlineLevel="0" collapsed="false">
      <c r="A244" s="27"/>
      <c r="B244" s="5"/>
      <c r="C244" s="5"/>
      <c r="D244" s="35"/>
      <c r="E244" s="14"/>
      <c r="F244" s="18"/>
      <c r="G244" s="31" t="str">
        <f aca="false">IF(A244="","",IFERROR(IF(INDEX(Empresas!$C:$C,MATCH(A244,Empresas!$A:$A,0))="","",INDEX(Empresas!$C:$C,MATCH(A244,Empresas!$A:$A,0))),""))</f>
        <v/>
      </c>
      <c r="H244" s="18"/>
      <c r="I244" s="19" t="str">
        <f aca="false">IF(OR(F244="",G244=""),"",IF(F244-G244&lt;0,"CONTRATO ANTERIOR À ABERTURA — conferir datas",IF(F244-G244&lt;180,"ABERTA MENOS DE 6 MESES ANTES","")))</f>
        <v/>
      </c>
      <c r="J244" s="19" t="str">
        <f aca="false">IF(A244="","",IFERROR(INDEX(Sancoes!$B:$B,MATCH(A244,Sancoes!$A:$A,0))&amp;"","não consta"))</f>
        <v/>
      </c>
      <c r="K244" s="19" t="str">
        <f aca="false">IF(OR(A244="",F244=""),"",IF(SUMPRODUCT((Sancoes!$A$2:$A$301=A244)*(Sancoes!$B$2:$B$301&lt;&gt;"Não consta")*(Sancoes!$D$2:$D$301&lt;&gt;"")*(Sancoes!$D$2:$D$301&lt;=F244)*(((Sancoes!$E$2:$E$301="")+(Sancoes!$E$2:$E$301&gt;=F244))&gt;0))&gt;0,"SANÇÃO VIGENTE NA DATA — leia o tipo e a abrangência",""))</f>
        <v/>
      </c>
      <c r="L244" s="19" t="str">
        <f aca="false">IF(A244="","",IFERROR(INDEX(Empresas!$B:$B,MATCH(A244,Empresas!$A:$A,0))&amp;"","cadastre o CNPJ em Empresas"))</f>
        <v/>
      </c>
      <c r="M244" s="27"/>
      <c r="N244" s="35"/>
      <c r="O244" s="37" t="str">
        <f aca="false">IF(OR(D244="",D244=0,N244=""),"",N244/D244)</f>
        <v/>
      </c>
      <c r="P244" s="19" t="str">
        <f aca="false">IF(O244="","",IF(O244&gt;0.25,"ACRÉSCIMO ACIMA DE 25% — conferir",""))</f>
        <v/>
      </c>
      <c r="Q244" s="27"/>
      <c r="R244" s="5"/>
    </row>
    <row r="245" customFormat="false" ht="15" hidden="false" customHeight="false" outlineLevel="0" collapsed="false">
      <c r="A245" s="27"/>
      <c r="B245" s="5"/>
      <c r="C245" s="5"/>
      <c r="D245" s="35"/>
      <c r="E245" s="14"/>
      <c r="F245" s="18"/>
      <c r="G245" s="31" t="str">
        <f aca="false">IF(A245="","",IFERROR(IF(INDEX(Empresas!$C:$C,MATCH(A245,Empresas!$A:$A,0))="","",INDEX(Empresas!$C:$C,MATCH(A245,Empresas!$A:$A,0))),""))</f>
        <v/>
      </c>
      <c r="H245" s="18"/>
      <c r="I245" s="19" t="str">
        <f aca="false">IF(OR(F245="",G245=""),"",IF(F245-G245&lt;0,"CONTRATO ANTERIOR À ABERTURA — conferir datas",IF(F245-G245&lt;180,"ABERTA MENOS DE 6 MESES ANTES","")))</f>
        <v/>
      </c>
      <c r="J245" s="19" t="str">
        <f aca="false">IF(A245="","",IFERROR(INDEX(Sancoes!$B:$B,MATCH(A245,Sancoes!$A:$A,0))&amp;"","não consta"))</f>
        <v/>
      </c>
      <c r="K245" s="19" t="str">
        <f aca="false">IF(OR(A245="",F245=""),"",IF(SUMPRODUCT((Sancoes!$A$2:$A$301=A245)*(Sancoes!$B$2:$B$301&lt;&gt;"Não consta")*(Sancoes!$D$2:$D$301&lt;&gt;"")*(Sancoes!$D$2:$D$301&lt;=F245)*(((Sancoes!$E$2:$E$301="")+(Sancoes!$E$2:$E$301&gt;=F245))&gt;0))&gt;0,"SANÇÃO VIGENTE NA DATA — leia o tipo e a abrangência",""))</f>
        <v/>
      </c>
      <c r="L245" s="19" t="str">
        <f aca="false">IF(A245="","",IFERROR(INDEX(Empresas!$B:$B,MATCH(A245,Empresas!$A:$A,0))&amp;"","cadastre o CNPJ em Empresas"))</f>
        <v/>
      </c>
      <c r="M245" s="27"/>
      <c r="N245" s="35"/>
      <c r="O245" s="37" t="str">
        <f aca="false">IF(OR(D245="",D245=0,N245=""),"",N245/D245)</f>
        <v/>
      </c>
      <c r="P245" s="19" t="str">
        <f aca="false">IF(O245="","",IF(O245&gt;0.25,"ACRÉSCIMO ACIMA DE 25% — conferir",""))</f>
        <v/>
      </c>
      <c r="Q245" s="27"/>
      <c r="R245" s="5"/>
    </row>
    <row r="246" customFormat="false" ht="15" hidden="false" customHeight="false" outlineLevel="0" collapsed="false">
      <c r="A246" s="27"/>
      <c r="B246" s="5"/>
      <c r="C246" s="5"/>
      <c r="D246" s="35"/>
      <c r="E246" s="14"/>
      <c r="F246" s="18"/>
      <c r="G246" s="31" t="str">
        <f aca="false">IF(A246="","",IFERROR(IF(INDEX(Empresas!$C:$C,MATCH(A246,Empresas!$A:$A,0))="","",INDEX(Empresas!$C:$C,MATCH(A246,Empresas!$A:$A,0))),""))</f>
        <v/>
      </c>
      <c r="H246" s="18"/>
      <c r="I246" s="19" t="str">
        <f aca="false">IF(OR(F246="",G246=""),"",IF(F246-G246&lt;0,"CONTRATO ANTERIOR À ABERTURA — conferir datas",IF(F246-G246&lt;180,"ABERTA MENOS DE 6 MESES ANTES","")))</f>
        <v/>
      </c>
      <c r="J246" s="19" t="str">
        <f aca="false">IF(A246="","",IFERROR(INDEX(Sancoes!$B:$B,MATCH(A246,Sancoes!$A:$A,0))&amp;"","não consta"))</f>
        <v/>
      </c>
      <c r="K246" s="19" t="str">
        <f aca="false">IF(OR(A246="",F246=""),"",IF(SUMPRODUCT((Sancoes!$A$2:$A$301=A246)*(Sancoes!$B$2:$B$301&lt;&gt;"Não consta")*(Sancoes!$D$2:$D$301&lt;&gt;"")*(Sancoes!$D$2:$D$301&lt;=F246)*(((Sancoes!$E$2:$E$301="")+(Sancoes!$E$2:$E$301&gt;=F246))&gt;0))&gt;0,"SANÇÃO VIGENTE NA DATA — leia o tipo e a abrangência",""))</f>
        <v/>
      </c>
      <c r="L246" s="19" t="str">
        <f aca="false">IF(A246="","",IFERROR(INDEX(Empresas!$B:$B,MATCH(A246,Empresas!$A:$A,0))&amp;"","cadastre o CNPJ em Empresas"))</f>
        <v/>
      </c>
      <c r="M246" s="27"/>
      <c r="N246" s="35"/>
      <c r="O246" s="37" t="str">
        <f aca="false">IF(OR(D246="",D246=0,N246=""),"",N246/D246)</f>
        <v/>
      </c>
      <c r="P246" s="19" t="str">
        <f aca="false">IF(O246="","",IF(O246&gt;0.25,"ACRÉSCIMO ACIMA DE 25% — conferir",""))</f>
        <v/>
      </c>
      <c r="Q246" s="27"/>
      <c r="R246" s="5"/>
    </row>
    <row r="247" customFormat="false" ht="15" hidden="false" customHeight="false" outlineLevel="0" collapsed="false">
      <c r="A247" s="27"/>
      <c r="B247" s="5"/>
      <c r="C247" s="5"/>
      <c r="D247" s="35"/>
      <c r="E247" s="14"/>
      <c r="F247" s="18"/>
      <c r="G247" s="31" t="str">
        <f aca="false">IF(A247="","",IFERROR(IF(INDEX(Empresas!$C:$C,MATCH(A247,Empresas!$A:$A,0))="","",INDEX(Empresas!$C:$C,MATCH(A247,Empresas!$A:$A,0))),""))</f>
        <v/>
      </c>
      <c r="H247" s="18"/>
      <c r="I247" s="19" t="str">
        <f aca="false">IF(OR(F247="",G247=""),"",IF(F247-G247&lt;0,"CONTRATO ANTERIOR À ABERTURA — conferir datas",IF(F247-G247&lt;180,"ABERTA MENOS DE 6 MESES ANTES","")))</f>
        <v/>
      </c>
      <c r="J247" s="19" t="str">
        <f aca="false">IF(A247="","",IFERROR(INDEX(Sancoes!$B:$B,MATCH(A247,Sancoes!$A:$A,0))&amp;"","não consta"))</f>
        <v/>
      </c>
      <c r="K247" s="19" t="str">
        <f aca="false">IF(OR(A247="",F247=""),"",IF(SUMPRODUCT((Sancoes!$A$2:$A$301=A247)*(Sancoes!$B$2:$B$301&lt;&gt;"Não consta")*(Sancoes!$D$2:$D$301&lt;&gt;"")*(Sancoes!$D$2:$D$301&lt;=F247)*(((Sancoes!$E$2:$E$301="")+(Sancoes!$E$2:$E$301&gt;=F247))&gt;0))&gt;0,"SANÇÃO VIGENTE NA DATA — leia o tipo e a abrangência",""))</f>
        <v/>
      </c>
      <c r="L247" s="19" t="str">
        <f aca="false">IF(A247="","",IFERROR(INDEX(Empresas!$B:$B,MATCH(A247,Empresas!$A:$A,0))&amp;"","cadastre o CNPJ em Empresas"))</f>
        <v/>
      </c>
      <c r="M247" s="27"/>
      <c r="N247" s="35"/>
      <c r="O247" s="37" t="str">
        <f aca="false">IF(OR(D247="",D247=0,N247=""),"",N247/D247)</f>
        <v/>
      </c>
      <c r="P247" s="19" t="str">
        <f aca="false">IF(O247="","",IF(O247&gt;0.25,"ACRÉSCIMO ACIMA DE 25% — conferir",""))</f>
        <v/>
      </c>
      <c r="Q247" s="27"/>
      <c r="R247" s="5"/>
    </row>
    <row r="248" customFormat="false" ht="15" hidden="false" customHeight="false" outlineLevel="0" collapsed="false">
      <c r="A248" s="27"/>
      <c r="B248" s="5"/>
      <c r="C248" s="5"/>
      <c r="D248" s="35"/>
      <c r="E248" s="14"/>
      <c r="F248" s="18"/>
      <c r="G248" s="31" t="str">
        <f aca="false">IF(A248="","",IFERROR(IF(INDEX(Empresas!$C:$C,MATCH(A248,Empresas!$A:$A,0))="","",INDEX(Empresas!$C:$C,MATCH(A248,Empresas!$A:$A,0))),""))</f>
        <v/>
      </c>
      <c r="H248" s="18"/>
      <c r="I248" s="19" t="str">
        <f aca="false">IF(OR(F248="",G248=""),"",IF(F248-G248&lt;0,"CONTRATO ANTERIOR À ABERTURA — conferir datas",IF(F248-G248&lt;180,"ABERTA MENOS DE 6 MESES ANTES","")))</f>
        <v/>
      </c>
      <c r="J248" s="19" t="str">
        <f aca="false">IF(A248="","",IFERROR(INDEX(Sancoes!$B:$B,MATCH(A248,Sancoes!$A:$A,0))&amp;"","não consta"))</f>
        <v/>
      </c>
      <c r="K248" s="19" t="str">
        <f aca="false">IF(OR(A248="",F248=""),"",IF(SUMPRODUCT((Sancoes!$A$2:$A$301=A248)*(Sancoes!$B$2:$B$301&lt;&gt;"Não consta")*(Sancoes!$D$2:$D$301&lt;&gt;"")*(Sancoes!$D$2:$D$301&lt;=F248)*(((Sancoes!$E$2:$E$301="")+(Sancoes!$E$2:$E$301&gt;=F248))&gt;0))&gt;0,"SANÇÃO VIGENTE NA DATA — leia o tipo e a abrangência",""))</f>
        <v/>
      </c>
      <c r="L248" s="19" t="str">
        <f aca="false">IF(A248="","",IFERROR(INDEX(Empresas!$B:$B,MATCH(A248,Empresas!$A:$A,0))&amp;"","cadastre o CNPJ em Empresas"))</f>
        <v/>
      </c>
      <c r="M248" s="27"/>
      <c r="N248" s="35"/>
      <c r="O248" s="37" t="str">
        <f aca="false">IF(OR(D248="",D248=0,N248=""),"",N248/D248)</f>
        <v/>
      </c>
      <c r="P248" s="19" t="str">
        <f aca="false">IF(O248="","",IF(O248&gt;0.25,"ACRÉSCIMO ACIMA DE 25% — conferir",""))</f>
        <v/>
      </c>
      <c r="Q248" s="27"/>
      <c r="R248" s="5"/>
    </row>
    <row r="249" customFormat="false" ht="15" hidden="false" customHeight="false" outlineLevel="0" collapsed="false">
      <c r="A249" s="27"/>
      <c r="B249" s="5"/>
      <c r="C249" s="5"/>
      <c r="D249" s="35"/>
      <c r="E249" s="14"/>
      <c r="F249" s="18"/>
      <c r="G249" s="31" t="str">
        <f aca="false">IF(A249="","",IFERROR(IF(INDEX(Empresas!$C:$C,MATCH(A249,Empresas!$A:$A,0))="","",INDEX(Empresas!$C:$C,MATCH(A249,Empresas!$A:$A,0))),""))</f>
        <v/>
      </c>
      <c r="H249" s="18"/>
      <c r="I249" s="19" t="str">
        <f aca="false">IF(OR(F249="",G249=""),"",IF(F249-G249&lt;0,"CONTRATO ANTERIOR À ABERTURA — conferir datas",IF(F249-G249&lt;180,"ABERTA MENOS DE 6 MESES ANTES","")))</f>
        <v/>
      </c>
      <c r="J249" s="19" t="str">
        <f aca="false">IF(A249="","",IFERROR(INDEX(Sancoes!$B:$B,MATCH(A249,Sancoes!$A:$A,0))&amp;"","não consta"))</f>
        <v/>
      </c>
      <c r="K249" s="19" t="str">
        <f aca="false">IF(OR(A249="",F249=""),"",IF(SUMPRODUCT((Sancoes!$A$2:$A$301=A249)*(Sancoes!$B$2:$B$301&lt;&gt;"Não consta")*(Sancoes!$D$2:$D$301&lt;&gt;"")*(Sancoes!$D$2:$D$301&lt;=F249)*(((Sancoes!$E$2:$E$301="")+(Sancoes!$E$2:$E$301&gt;=F249))&gt;0))&gt;0,"SANÇÃO VIGENTE NA DATA — leia o tipo e a abrangência",""))</f>
        <v/>
      </c>
      <c r="L249" s="19" t="str">
        <f aca="false">IF(A249="","",IFERROR(INDEX(Empresas!$B:$B,MATCH(A249,Empresas!$A:$A,0))&amp;"","cadastre o CNPJ em Empresas"))</f>
        <v/>
      </c>
      <c r="M249" s="27"/>
      <c r="N249" s="35"/>
      <c r="O249" s="37" t="str">
        <f aca="false">IF(OR(D249="",D249=0,N249=""),"",N249/D249)</f>
        <v/>
      </c>
      <c r="P249" s="19" t="str">
        <f aca="false">IF(O249="","",IF(O249&gt;0.25,"ACRÉSCIMO ACIMA DE 25% — conferir",""))</f>
        <v/>
      </c>
      <c r="Q249" s="27"/>
      <c r="R249" s="5"/>
    </row>
    <row r="250" customFormat="false" ht="15" hidden="false" customHeight="false" outlineLevel="0" collapsed="false">
      <c r="A250" s="27"/>
      <c r="B250" s="5"/>
      <c r="C250" s="5"/>
      <c r="D250" s="35"/>
      <c r="E250" s="14"/>
      <c r="F250" s="18"/>
      <c r="G250" s="31" t="str">
        <f aca="false">IF(A250="","",IFERROR(IF(INDEX(Empresas!$C:$C,MATCH(A250,Empresas!$A:$A,0))="","",INDEX(Empresas!$C:$C,MATCH(A250,Empresas!$A:$A,0))),""))</f>
        <v/>
      </c>
      <c r="H250" s="18"/>
      <c r="I250" s="19" t="str">
        <f aca="false">IF(OR(F250="",G250=""),"",IF(F250-G250&lt;0,"CONTRATO ANTERIOR À ABERTURA — conferir datas",IF(F250-G250&lt;180,"ABERTA MENOS DE 6 MESES ANTES","")))</f>
        <v/>
      </c>
      <c r="J250" s="19" t="str">
        <f aca="false">IF(A250="","",IFERROR(INDEX(Sancoes!$B:$B,MATCH(A250,Sancoes!$A:$A,0))&amp;"","não consta"))</f>
        <v/>
      </c>
      <c r="K250" s="19" t="str">
        <f aca="false">IF(OR(A250="",F250=""),"",IF(SUMPRODUCT((Sancoes!$A$2:$A$301=A250)*(Sancoes!$B$2:$B$301&lt;&gt;"Não consta")*(Sancoes!$D$2:$D$301&lt;&gt;"")*(Sancoes!$D$2:$D$301&lt;=F250)*(((Sancoes!$E$2:$E$301="")+(Sancoes!$E$2:$E$301&gt;=F250))&gt;0))&gt;0,"SANÇÃO VIGENTE NA DATA — leia o tipo e a abrangência",""))</f>
        <v/>
      </c>
      <c r="L250" s="19" t="str">
        <f aca="false">IF(A250="","",IFERROR(INDEX(Empresas!$B:$B,MATCH(A250,Empresas!$A:$A,0))&amp;"","cadastre o CNPJ em Empresas"))</f>
        <v/>
      </c>
      <c r="M250" s="27"/>
      <c r="N250" s="35"/>
      <c r="O250" s="37" t="str">
        <f aca="false">IF(OR(D250="",D250=0,N250=""),"",N250/D250)</f>
        <v/>
      </c>
      <c r="P250" s="19" t="str">
        <f aca="false">IF(O250="","",IF(O250&gt;0.25,"ACRÉSCIMO ACIMA DE 25% — conferir",""))</f>
        <v/>
      </c>
      <c r="Q250" s="27"/>
      <c r="R250" s="5"/>
    </row>
    <row r="251" customFormat="false" ht="15" hidden="false" customHeight="false" outlineLevel="0" collapsed="false">
      <c r="A251" s="27"/>
      <c r="B251" s="5"/>
      <c r="C251" s="5"/>
      <c r="D251" s="35"/>
      <c r="E251" s="14"/>
      <c r="F251" s="18"/>
      <c r="G251" s="31" t="str">
        <f aca="false">IF(A251="","",IFERROR(IF(INDEX(Empresas!$C:$C,MATCH(A251,Empresas!$A:$A,0))="","",INDEX(Empresas!$C:$C,MATCH(A251,Empresas!$A:$A,0))),""))</f>
        <v/>
      </c>
      <c r="H251" s="18"/>
      <c r="I251" s="19" t="str">
        <f aca="false">IF(OR(F251="",G251=""),"",IF(F251-G251&lt;0,"CONTRATO ANTERIOR À ABERTURA — conferir datas",IF(F251-G251&lt;180,"ABERTA MENOS DE 6 MESES ANTES","")))</f>
        <v/>
      </c>
      <c r="J251" s="19" t="str">
        <f aca="false">IF(A251="","",IFERROR(INDEX(Sancoes!$B:$B,MATCH(A251,Sancoes!$A:$A,0))&amp;"","não consta"))</f>
        <v/>
      </c>
      <c r="K251" s="19" t="str">
        <f aca="false">IF(OR(A251="",F251=""),"",IF(SUMPRODUCT((Sancoes!$A$2:$A$301=A251)*(Sancoes!$B$2:$B$301&lt;&gt;"Não consta")*(Sancoes!$D$2:$D$301&lt;&gt;"")*(Sancoes!$D$2:$D$301&lt;=F251)*(((Sancoes!$E$2:$E$301="")+(Sancoes!$E$2:$E$301&gt;=F251))&gt;0))&gt;0,"SANÇÃO VIGENTE NA DATA — leia o tipo e a abrangência",""))</f>
        <v/>
      </c>
      <c r="L251" s="19" t="str">
        <f aca="false">IF(A251="","",IFERROR(INDEX(Empresas!$B:$B,MATCH(A251,Empresas!$A:$A,0))&amp;"","cadastre o CNPJ em Empresas"))</f>
        <v/>
      </c>
      <c r="M251" s="27"/>
      <c r="N251" s="35"/>
      <c r="O251" s="37" t="str">
        <f aca="false">IF(OR(D251="",D251=0,N251=""),"",N251/D251)</f>
        <v/>
      </c>
      <c r="P251" s="19" t="str">
        <f aca="false">IF(O251="","",IF(O251&gt;0.25,"ACRÉSCIMO ACIMA DE 25% — conferir",""))</f>
        <v/>
      </c>
      <c r="Q251" s="27"/>
      <c r="R251" s="5"/>
    </row>
    <row r="252" customFormat="false" ht="15" hidden="false" customHeight="false" outlineLevel="0" collapsed="false">
      <c r="A252" s="27"/>
      <c r="B252" s="5"/>
      <c r="C252" s="5"/>
      <c r="D252" s="35"/>
      <c r="E252" s="14"/>
      <c r="F252" s="18"/>
      <c r="G252" s="31" t="str">
        <f aca="false">IF(A252="","",IFERROR(IF(INDEX(Empresas!$C:$C,MATCH(A252,Empresas!$A:$A,0))="","",INDEX(Empresas!$C:$C,MATCH(A252,Empresas!$A:$A,0))),""))</f>
        <v/>
      </c>
      <c r="H252" s="18"/>
      <c r="I252" s="19" t="str">
        <f aca="false">IF(OR(F252="",G252=""),"",IF(F252-G252&lt;0,"CONTRATO ANTERIOR À ABERTURA — conferir datas",IF(F252-G252&lt;180,"ABERTA MENOS DE 6 MESES ANTES","")))</f>
        <v/>
      </c>
      <c r="J252" s="19" t="str">
        <f aca="false">IF(A252="","",IFERROR(INDEX(Sancoes!$B:$B,MATCH(A252,Sancoes!$A:$A,0))&amp;"","não consta"))</f>
        <v/>
      </c>
      <c r="K252" s="19" t="str">
        <f aca="false">IF(OR(A252="",F252=""),"",IF(SUMPRODUCT((Sancoes!$A$2:$A$301=A252)*(Sancoes!$B$2:$B$301&lt;&gt;"Não consta")*(Sancoes!$D$2:$D$301&lt;&gt;"")*(Sancoes!$D$2:$D$301&lt;=F252)*(((Sancoes!$E$2:$E$301="")+(Sancoes!$E$2:$E$301&gt;=F252))&gt;0))&gt;0,"SANÇÃO VIGENTE NA DATA — leia o tipo e a abrangência",""))</f>
        <v/>
      </c>
      <c r="L252" s="19" t="str">
        <f aca="false">IF(A252="","",IFERROR(INDEX(Empresas!$B:$B,MATCH(A252,Empresas!$A:$A,0))&amp;"","cadastre o CNPJ em Empresas"))</f>
        <v/>
      </c>
      <c r="M252" s="27"/>
      <c r="N252" s="35"/>
      <c r="O252" s="37" t="str">
        <f aca="false">IF(OR(D252="",D252=0,N252=""),"",N252/D252)</f>
        <v/>
      </c>
      <c r="P252" s="19" t="str">
        <f aca="false">IF(O252="","",IF(O252&gt;0.25,"ACRÉSCIMO ACIMA DE 25% — conferir",""))</f>
        <v/>
      </c>
      <c r="Q252" s="27"/>
      <c r="R252" s="5"/>
    </row>
    <row r="253" customFormat="false" ht="15" hidden="false" customHeight="false" outlineLevel="0" collapsed="false">
      <c r="A253" s="27"/>
      <c r="B253" s="5"/>
      <c r="C253" s="5"/>
      <c r="D253" s="35"/>
      <c r="E253" s="14"/>
      <c r="F253" s="18"/>
      <c r="G253" s="31" t="str">
        <f aca="false">IF(A253="","",IFERROR(IF(INDEX(Empresas!$C:$C,MATCH(A253,Empresas!$A:$A,0))="","",INDEX(Empresas!$C:$C,MATCH(A253,Empresas!$A:$A,0))),""))</f>
        <v/>
      </c>
      <c r="H253" s="18"/>
      <c r="I253" s="19" t="str">
        <f aca="false">IF(OR(F253="",G253=""),"",IF(F253-G253&lt;0,"CONTRATO ANTERIOR À ABERTURA — conferir datas",IF(F253-G253&lt;180,"ABERTA MENOS DE 6 MESES ANTES","")))</f>
        <v/>
      </c>
      <c r="J253" s="19" t="str">
        <f aca="false">IF(A253="","",IFERROR(INDEX(Sancoes!$B:$B,MATCH(A253,Sancoes!$A:$A,0))&amp;"","não consta"))</f>
        <v/>
      </c>
      <c r="K253" s="19" t="str">
        <f aca="false">IF(OR(A253="",F253=""),"",IF(SUMPRODUCT((Sancoes!$A$2:$A$301=A253)*(Sancoes!$B$2:$B$301&lt;&gt;"Não consta")*(Sancoes!$D$2:$D$301&lt;&gt;"")*(Sancoes!$D$2:$D$301&lt;=F253)*(((Sancoes!$E$2:$E$301="")+(Sancoes!$E$2:$E$301&gt;=F253))&gt;0))&gt;0,"SANÇÃO VIGENTE NA DATA — leia o tipo e a abrangência",""))</f>
        <v/>
      </c>
      <c r="L253" s="19" t="str">
        <f aca="false">IF(A253="","",IFERROR(INDEX(Empresas!$B:$B,MATCH(A253,Empresas!$A:$A,0))&amp;"","cadastre o CNPJ em Empresas"))</f>
        <v/>
      </c>
      <c r="M253" s="27"/>
      <c r="N253" s="35"/>
      <c r="O253" s="37" t="str">
        <f aca="false">IF(OR(D253="",D253=0,N253=""),"",N253/D253)</f>
        <v/>
      </c>
      <c r="P253" s="19" t="str">
        <f aca="false">IF(O253="","",IF(O253&gt;0.25,"ACRÉSCIMO ACIMA DE 25% — conferir",""))</f>
        <v/>
      </c>
      <c r="Q253" s="27"/>
      <c r="R253" s="5"/>
    </row>
    <row r="254" customFormat="false" ht="15" hidden="false" customHeight="false" outlineLevel="0" collapsed="false">
      <c r="A254" s="27"/>
      <c r="B254" s="5"/>
      <c r="C254" s="5"/>
      <c r="D254" s="35"/>
      <c r="E254" s="14"/>
      <c r="F254" s="18"/>
      <c r="G254" s="31" t="str">
        <f aca="false">IF(A254="","",IFERROR(IF(INDEX(Empresas!$C:$C,MATCH(A254,Empresas!$A:$A,0))="","",INDEX(Empresas!$C:$C,MATCH(A254,Empresas!$A:$A,0))),""))</f>
        <v/>
      </c>
      <c r="H254" s="18"/>
      <c r="I254" s="19" t="str">
        <f aca="false">IF(OR(F254="",G254=""),"",IF(F254-G254&lt;0,"CONTRATO ANTERIOR À ABERTURA — conferir datas",IF(F254-G254&lt;180,"ABERTA MENOS DE 6 MESES ANTES","")))</f>
        <v/>
      </c>
      <c r="J254" s="19" t="str">
        <f aca="false">IF(A254="","",IFERROR(INDEX(Sancoes!$B:$B,MATCH(A254,Sancoes!$A:$A,0))&amp;"","não consta"))</f>
        <v/>
      </c>
      <c r="K254" s="19" t="str">
        <f aca="false">IF(OR(A254="",F254=""),"",IF(SUMPRODUCT((Sancoes!$A$2:$A$301=A254)*(Sancoes!$B$2:$B$301&lt;&gt;"Não consta")*(Sancoes!$D$2:$D$301&lt;&gt;"")*(Sancoes!$D$2:$D$301&lt;=F254)*(((Sancoes!$E$2:$E$301="")+(Sancoes!$E$2:$E$301&gt;=F254))&gt;0))&gt;0,"SANÇÃO VIGENTE NA DATA — leia o tipo e a abrangência",""))</f>
        <v/>
      </c>
      <c r="L254" s="19" t="str">
        <f aca="false">IF(A254="","",IFERROR(INDEX(Empresas!$B:$B,MATCH(A254,Empresas!$A:$A,0))&amp;"","cadastre o CNPJ em Empresas"))</f>
        <v/>
      </c>
      <c r="M254" s="27"/>
      <c r="N254" s="35"/>
      <c r="O254" s="37" t="str">
        <f aca="false">IF(OR(D254="",D254=0,N254=""),"",N254/D254)</f>
        <v/>
      </c>
      <c r="P254" s="19" t="str">
        <f aca="false">IF(O254="","",IF(O254&gt;0.25,"ACRÉSCIMO ACIMA DE 25% — conferir",""))</f>
        <v/>
      </c>
      <c r="Q254" s="27"/>
      <c r="R254" s="5"/>
    </row>
    <row r="255" customFormat="false" ht="15" hidden="false" customHeight="false" outlineLevel="0" collapsed="false">
      <c r="A255" s="27"/>
      <c r="B255" s="5"/>
      <c r="C255" s="5"/>
      <c r="D255" s="35"/>
      <c r="E255" s="14"/>
      <c r="F255" s="18"/>
      <c r="G255" s="31" t="str">
        <f aca="false">IF(A255="","",IFERROR(IF(INDEX(Empresas!$C:$C,MATCH(A255,Empresas!$A:$A,0))="","",INDEX(Empresas!$C:$C,MATCH(A255,Empresas!$A:$A,0))),""))</f>
        <v/>
      </c>
      <c r="H255" s="18"/>
      <c r="I255" s="19" t="str">
        <f aca="false">IF(OR(F255="",G255=""),"",IF(F255-G255&lt;0,"CONTRATO ANTERIOR À ABERTURA — conferir datas",IF(F255-G255&lt;180,"ABERTA MENOS DE 6 MESES ANTES","")))</f>
        <v/>
      </c>
      <c r="J255" s="19" t="str">
        <f aca="false">IF(A255="","",IFERROR(INDEX(Sancoes!$B:$B,MATCH(A255,Sancoes!$A:$A,0))&amp;"","não consta"))</f>
        <v/>
      </c>
      <c r="K255" s="19" t="str">
        <f aca="false">IF(OR(A255="",F255=""),"",IF(SUMPRODUCT((Sancoes!$A$2:$A$301=A255)*(Sancoes!$B$2:$B$301&lt;&gt;"Não consta")*(Sancoes!$D$2:$D$301&lt;&gt;"")*(Sancoes!$D$2:$D$301&lt;=F255)*(((Sancoes!$E$2:$E$301="")+(Sancoes!$E$2:$E$301&gt;=F255))&gt;0))&gt;0,"SANÇÃO VIGENTE NA DATA — leia o tipo e a abrangência",""))</f>
        <v/>
      </c>
      <c r="L255" s="19" t="str">
        <f aca="false">IF(A255="","",IFERROR(INDEX(Empresas!$B:$B,MATCH(A255,Empresas!$A:$A,0))&amp;"","cadastre o CNPJ em Empresas"))</f>
        <v/>
      </c>
      <c r="M255" s="27"/>
      <c r="N255" s="35"/>
      <c r="O255" s="37" t="str">
        <f aca="false">IF(OR(D255="",D255=0,N255=""),"",N255/D255)</f>
        <v/>
      </c>
      <c r="P255" s="19" t="str">
        <f aca="false">IF(O255="","",IF(O255&gt;0.25,"ACRÉSCIMO ACIMA DE 25% — conferir",""))</f>
        <v/>
      </c>
      <c r="Q255" s="27"/>
      <c r="R255" s="5"/>
    </row>
    <row r="256" customFormat="false" ht="15" hidden="false" customHeight="false" outlineLevel="0" collapsed="false">
      <c r="A256" s="27"/>
      <c r="B256" s="5"/>
      <c r="C256" s="5"/>
      <c r="D256" s="35"/>
      <c r="E256" s="14"/>
      <c r="F256" s="18"/>
      <c r="G256" s="31" t="str">
        <f aca="false">IF(A256="","",IFERROR(IF(INDEX(Empresas!$C:$C,MATCH(A256,Empresas!$A:$A,0))="","",INDEX(Empresas!$C:$C,MATCH(A256,Empresas!$A:$A,0))),""))</f>
        <v/>
      </c>
      <c r="H256" s="18"/>
      <c r="I256" s="19" t="str">
        <f aca="false">IF(OR(F256="",G256=""),"",IF(F256-G256&lt;0,"CONTRATO ANTERIOR À ABERTURA — conferir datas",IF(F256-G256&lt;180,"ABERTA MENOS DE 6 MESES ANTES","")))</f>
        <v/>
      </c>
      <c r="J256" s="19" t="str">
        <f aca="false">IF(A256="","",IFERROR(INDEX(Sancoes!$B:$B,MATCH(A256,Sancoes!$A:$A,0))&amp;"","não consta"))</f>
        <v/>
      </c>
      <c r="K256" s="19" t="str">
        <f aca="false">IF(OR(A256="",F256=""),"",IF(SUMPRODUCT((Sancoes!$A$2:$A$301=A256)*(Sancoes!$B$2:$B$301&lt;&gt;"Não consta")*(Sancoes!$D$2:$D$301&lt;&gt;"")*(Sancoes!$D$2:$D$301&lt;=F256)*(((Sancoes!$E$2:$E$301="")+(Sancoes!$E$2:$E$301&gt;=F256))&gt;0))&gt;0,"SANÇÃO VIGENTE NA DATA — leia o tipo e a abrangência",""))</f>
        <v/>
      </c>
      <c r="L256" s="19" t="str">
        <f aca="false">IF(A256="","",IFERROR(INDEX(Empresas!$B:$B,MATCH(A256,Empresas!$A:$A,0))&amp;"","cadastre o CNPJ em Empresas"))</f>
        <v/>
      </c>
      <c r="M256" s="27"/>
      <c r="N256" s="35"/>
      <c r="O256" s="37" t="str">
        <f aca="false">IF(OR(D256="",D256=0,N256=""),"",N256/D256)</f>
        <v/>
      </c>
      <c r="P256" s="19" t="str">
        <f aca="false">IF(O256="","",IF(O256&gt;0.25,"ACRÉSCIMO ACIMA DE 25% — conferir",""))</f>
        <v/>
      </c>
      <c r="Q256" s="27"/>
      <c r="R256" s="5"/>
    </row>
    <row r="257" customFormat="false" ht="15" hidden="false" customHeight="false" outlineLevel="0" collapsed="false">
      <c r="A257" s="27"/>
      <c r="B257" s="5"/>
      <c r="C257" s="5"/>
      <c r="D257" s="35"/>
      <c r="E257" s="14"/>
      <c r="F257" s="18"/>
      <c r="G257" s="31" t="str">
        <f aca="false">IF(A257="","",IFERROR(IF(INDEX(Empresas!$C:$C,MATCH(A257,Empresas!$A:$A,0))="","",INDEX(Empresas!$C:$C,MATCH(A257,Empresas!$A:$A,0))),""))</f>
        <v/>
      </c>
      <c r="H257" s="18"/>
      <c r="I257" s="19" t="str">
        <f aca="false">IF(OR(F257="",G257=""),"",IF(F257-G257&lt;0,"CONTRATO ANTERIOR À ABERTURA — conferir datas",IF(F257-G257&lt;180,"ABERTA MENOS DE 6 MESES ANTES","")))</f>
        <v/>
      </c>
      <c r="J257" s="19" t="str">
        <f aca="false">IF(A257="","",IFERROR(INDEX(Sancoes!$B:$B,MATCH(A257,Sancoes!$A:$A,0))&amp;"","não consta"))</f>
        <v/>
      </c>
      <c r="K257" s="19" t="str">
        <f aca="false">IF(OR(A257="",F257=""),"",IF(SUMPRODUCT((Sancoes!$A$2:$A$301=A257)*(Sancoes!$B$2:$B$301&lt;&gt;"Não consta")*(Sancoes!$D$2:$D$301&lt;&gt;"")*(Sancoes!$D$2:$D$301&lt;=F257)*(((Sancoes!$E$2:$E$301="")+(Sancoes!$E$2:$E$301&gt;=F257))&gt;0))&gt;0,"SANÇÃO VIGENTE NA DATA — leia o tipo e a abrangência",""))</f>
        <v/>
      </c>
      <c r="L257" s="19" t="str">
        <f aca="false">IF(A257="","",IFERROR(INDEX(Empresas!$B:$B,MATCH(A257,Empresas!$A:$A,0))&amp;"","cadastre o CNPJ em Empresas"))</f>
        <v/>
      </c>
      <c r="M257" s="27"/>
      <c r="N257" s="35"/>
      <c r="O257" s="37" t="str">
        <f aca="false">IF(OR(D257="",D257=0,N257=""),"",N257/D257)</f>
        <v/>
      </c>
      <c r="P257" s="19" t="str">
        <f aca="false">IF(O257="","",IF(O257&gt;0.25,"ACRÉSCIMO ACIMA DE 25% — conferir",""))</f>
        <v/>
      </c>
      <c r="Q257" s="27"/>
      <c r="R257" s="5"/>
    </row>
    <row r="258" customFormat="false" ht="15" hidden="false" customHeight="false" outlineLevel="0" collapsed="false">
      <c r="A258" s="27"/>
      <c r="B258" s="5"/>
      <c r="C258" s="5"/>
      <c r="D258" s="35"/>
      <c r="E258" s="14"/>
      <c r="F258" s="18"/>
      <c r="G258" s="31" t="str">
        <f aca="false">IF(A258="","",IFERROR(IF(INDEX(Empresas!$C:$C,MATCH(A258,Empresas!$A:$A,0))="","",INDEX(Empresas!$C:$C,MATCH(A258,Empresas!$A:$A,0))),""))</f>
        <v/>
      </c>
      <c r="H258" s="18"/>
      <c r="I258" s="19" t="str">
        <f aca="false">IF(OR(F258="",G258=""),"",IF(F258-G258&lt;0,"CONTRATO ANTERIOR À ABERTURA — conferir datas",IF(F258-G258&lt;180,"ABERTA MENOS DE 6 MESES ANTES","")))</f>
        <v/>
      </c>
      <c r="J258" s="19" t="str">
        <f aca="false">IF(A258="","",IFERROR(INDEX(Sancoes!$B:$B,MATCH(A258,Sancoes!$A:$A,0))&amp;"","não consta"))</f>
        <v/>
      </c>
      <c r="K258" s="19" t="str">
        <f aca="false">IF(OR(A258="",F258=""),"",IF(SUMPRODUCT((Sancoes!$A$2:$A$301=A258)*(Sancoes!$B$2:$B$301&lt;&gt;"Não consta")*(Sancoes!$D$2:$D$301&lt;&gt;"")*(Sancoes!$D$2:$D$301&lt;=F258)*(((Sancoes!$E$2:$E$301="")+(Sancoes!$E$2:$E$301&gt;=F258))&gt;0))&gt;0,"SANÇÃO VIGENTE NA DATA — leia o tipo e a abrangência",""))</f>
        <v/>
      </c>
      <c r="L258" s="19" t="str">
        <f aca="false">IF(A258="","",IFERROR(INDEX(Empresas!$B:$B,MATCH(A258,Empresas!$A:$A,0))&amp;"","cadastre o CNPJ em Empresas"))</f>
        <v/>
      </c>
      <c r="M258" s="27"/>
      <c r="N258" s="35"/>
      <c r="O258" s="37" t="str">
        <f aca="false">IF(OR(D258="",D258=0,N258=""),"",N258/D258)</f>
        <v/>
      </c>
      <c r="P258" s="19" t="str">
        <f aca="false">IF(O258="","",IF(O258&gt;0.25,"ACRÉSCIMO ACIMA DE 25% — conferir",""))</f>
        <v/>
      </c>
      <c r="Q258" s="27"/>
      <c r="R258" s="5"/>
    </row>
    <row r="259" customFormat="false" ht="15" hidden="false" customHeight="false" outlineLevel="0" collapsed="false">
      <c r="A259" s="27"/>
      <c r="B259" s="5"/>
      <c r="C259" s="5"/>
      <c r="D259" s="35"/>
      <c r="E259" s="14"/>
      <c r="F259" s="18"/>
      <c r="G259" s="31" t="str">
        <f aca="false">IF(A259="","",IFERROR(IF(INDEX(Empresas!$C:$C,MATCH(A259,Empresas!$A:$A,0))="","",INDEX(Empresas!$C:$C,MATCH(A259,Empresas!$A:$A,0))),""))</f>
        <v/>
      </c>
      <c r="H259" s="18"/>
      <c r="I259" s="19" t="str">
        <f aca="false">IF(OR(F259="",G259=""),"",IF(F259-G259&lt;0,"CONTRATO ANTERIOR À ABERTURA — conferir datas",IF(F259-G259&lt;180,"ABERTA MENOS DE 6 MESES ANTES","")))</f>
        <v/>
      </c>
      <c r="J259" s="19" t="str">
        <f aca="false">IF(A259="","",IFERROR(INDEX(Sancoes!$B:$B,MATCH(A259,Sancoes!$A:$A,0))&amp;"","não consta"))</f>
        <v/>
      </c>
      <c r="K259" s="19" t="str">
        <f aca="false">IF(OR(A259="",F259=""),"",IF(SUMPRODUCT((Sancoes!$A$2:$A$301=A259)*(Sancoes!$B$2:$B$301&lt;&gt;"Não consta")*(Sancoes!$D$2:$D$301&lt;&gt;"")*(Sancoes!$D$2:$D$301&lt;=F259)*(((Sancoes!$E$2:$E$301="")+(Sancoes!$E$2:$E$301&gt;=F259))&gt;0))&gt;0,"SANÇÃO VIGENTE NA DATA — leia o tipo e a abrangência",""))</f>
        <v/>
      </c>
      <c r="L259" s="19" t="str">
        <f aca="false">IF(A259="","",IFERROR(INDEX(Empresas!$B:$B,MATCH(A259,Empresas!$A:$A,0))&amp;"","cadastre o CNPJ em Empresas"))</f>
        <v/>
      </c>
      <c r="M259" s="27"/>
      <c r="N259" s="35"/>
      <c r="O259" s="37" t="str">
        <f aca="false">IF(OR(D259="",D259=0,N259=""),"",N259/D259)</f>
        <v/>
      </c>
      <c r="P259" s="19" t="str">
        <f aca="false">IF(O259="","",IF(O259&gt;0.25,"ACRÉSCIMO ACIMA DE 25% — conferir",""))</f>
        <v/>
      </c>
      <c r="Q259" s="27"/>
      <c r="R259" s="5"/>
    </row>
    <row r="260" customFormat="false" ht="15" hidden="false" customHeight="false" outlineLevel="0" collapsed="false">
      <c r="A260" s="27"/>
      <c r="B260" s="5"/>
      <c r="C260" s="5"/>
      <c r="D260" s="35"/>
      <c r="E260" s="14"/>
      <c r="F260" s="18"/>
      <c r="G260" s="31" t="str">
        <f aca="false">IF(A260="","",IFERROR(IF(INDEX(Empresas!$C:$C,MATCH(A260,Empresas!$A:$A,0))="","",INDEX(Empresas!$C:$C,MATCH(A260,Empresas!$A:$A,0))),""))</f>
        <v/>
      </c>
      <c r="H260" s="18"/>
      <c r="I260" s="19" t="str">
        <f aca="false">IF(OR(F260="",G260=""),"",IF(F260-G260&lt;0,"CONTRATO ANTERIOR À ABERTURA — conferir datas",IF(F260-G260&lt;180,"ABERTA MENOS DE 6 MESES ANTES","")))</f>
        <v/>
      </c>
      <c r="J260" s="19" t="str">
        <f aca="false">IF(A260="","",IFERROR(INDEX(Sancoes!$B:$B,MATCH(A260,Sancoes!$A:$A,0))&amp;"","não consta"))</f>
        <v/>
      </c>
      <c r="K260" s="19" t="str">
        <f aca="false">IF(OR(A260="",F260=""),"",IF(SUMPRODUCT((Sancoes!$A$2:$A$301=A260)*(Sancoes!$B$2:$B$301&lt;&gt;"Não consta")*(Sancoes!$D$2:$D$301&lt;&gt;"")*(Sancoes!$D$2:$D$301&lt;=F260)*(((Sancoes!$E$2:$E$301="")+(Sancoes!$E$2:$E$301&gt;=F260))&gt;0))&gt;0,"SANÇÃO VIGENTE NA DATA — leia o tipo e a abrangência",""))</f>
        <v/>
      </c>
      <c r="L260" s="19" t="str">
        <f aca="false">IF(A260="","",IFERROR(INDEX(Empresas!$B:$B,MATCH(A260,Empresas!$A:$A,0))&amp;"","cadastre o CNPJ em Empresas"))</f>
        <v/>
      </c>
      <c r="M260" s="27"/>
      <c r="N260" s="35"/>
      <c r="O260" s="37" t="str">
        <f aca="false">IF(OR(D260="",D260=0,N260=""),"",N260/D260)</f>
        <v/>
      </c>
      <c r="P260" s="19" t="str">
        <f aca="false">IF(O260="","",IF(O260&gt;0.25,"ACRÉSCIMO ACIMA DE 25% — conferir",""))</f>
        <v/>
      </c>
      <c r="Q260" s="27"/>
      <c r="R260" s="5"/>
    </row>
    <row r="261" customFormat="false" ht="15" hidden="false" customHeight="false" outlineLevel="0" collapsed="false">
      <c r="A261" s="27"/>
      <c r="B261" s="5"/>
      <c r="C261" s="5"/>
      <c r="D261" s="35"/>
      <c r="E261" s="14"/>
      <c r="F261" s="18"/>
      <c r="G261" s="31" t="str">
        <f aca="false">IF(A261="","",IFERROR(IF(INDEX(Empresas!$C:$C,MATCH(A261,Empresas!$A:$A,0))="","",INDEX(Empresas!$C:$C,MATCH(A261,Empresas!$A:$A,0))),""))</f>
        <v/>
      </c>
      <c r="H261" s="18"/>
      <c r="I261" s="19" t="str">
        <f aca="false">IF(OR(F261="",G261=""),"",IF(F261-G261&lt;0,"CONTRATO ANTERIOR À ABERTURA — conferir datas",IF(F261-G261&lt;180,"ABERTA MENOS DE 6 MESES ANTES","")))</f>
        <v/>
      </c>
      <c r="J261" s="19" t="str">
        <f aca="false">IF(A261="","",IFERROR(INDEX(Sancoes!$B:$B,MATCH(A261,Sancoes!$A:$A,0))&amp;"","não consta"))</f>
        <v/>
      </c>
      <c r="K261" s="19" t="str">
        <f aca="false">IF(OR(A261="",F261=""),"",IF(SUMPRODUCT((Sancoes!$A$2:$A$301=A261)*(Sancoes!$B$2:$B$301&lt;&gt;"Não consta")*(Sancoes!$D$2:$D$301&lt;&gt;"")*(Sancoes!$D$2:$D$301&lt;=F261)*(((Sancoes!$E$2:$E$301="")+(Sancoes!$E$2:$E$301&gt;=F261))&gt;0))&gt;0,"SANÇÃO VIGENTE NA DATA — leia o tipo e a abrangência",""))</f>
        <v/>
      </c>
      <c r="L261" s="19" t="str">
        <f aca="false">IF(A261="","",IFERROR(INDEX(Empresas!$B:$B,MATCH(A261,Empresas!$A:$A,0))&amp;"","cadastre o CNPJ em Empresas"))</f>
        <v/>
      </c>
      <c r="M261" s="27"/>
      <c r="N261" s="35"/>
      <c r="O261" s="37" t="str">
        <f aca="false">IF(OR(D261="",D261=0,N261=""),"",N261/D261)</f>
        <v/>
      </c>
      <c r="P261" s="19" t="str">
        <f aca="false">IF(O261="","",IF(O261&gt;0.25,"ACRÉSCIMO ACIMA DE 25% — conferir",""))</f>
        <v/>
      </c>
      <c r="Q261" s="27"/>
      <c r="R261" s="5"/>
    </row>
    <row r="262" customFormat="false" ht="15" hidden="false" customHeight="false" outlineLevel="0" collapsed="false">
      <c r="A262" s="27"/>
      <c r="B262" s="5"/>
      <c r="C262" s="5"/>
      <c r="D262" s="35"/>
      <c r="E262" s="14"/>
      <c r="F262" s="18"/>
      <c r="G262" s="31" t="str">
        <f aca="false">IF(A262="","",IFERROR(IF(INDEX(Empresas!$C:$C,MATCH(A262,Empresas!$A:$A,0))="","",INDEX(Empresas!$C:$C,MATCH(A262,Empresas!$A:$A,0))),""))</f>
        <v/>
      </c>
      <c r="H262" s="18"/>
      <c r="I262" s="19" t="str">
        <f aca="false">IF(OR(F262="",G262=""),"",IF(F262-G262&lt;0,"CONTRATO ANTERIOR À ABERTURA — conferir datas",IF(F262-G262&lt;180,"ABERTA MENOS DE 6 MESES ANTES","")))</f>
        <v/>
      </c>
      <c r="J262" s="19" t="str">
        <f aca="false">IF(A262="","",IFERROR(INDEX(Sancoes!$B:$B,MATCH(A262,Sancoes!$A:$A,0))&amp;"","não consta"))</f>
        <v/>
      </c>
      <c r="K262" s="19" t="str">
        <f aca="false">IF(OR(A262="",F262=""),"",IF(SUMPRODUCT((Sancoes!$A$2:$A$301=A262)*(Sancoes!$B$2:$B$301&lt;&gt;"Não consta")*(Sancoes!$D$2:$D$301&lt;&gt;"")*(Sancoes!$D$2:$D$301&lt;=F262)*(((Sancoes!$E$2:$E$301="")+(Sancoes!$E$2:$E$301&gt;=F262))&gt;0))&gt;0,"SANÇÃO VIGENTE NA DATA — leia o tipo e a abrangência",""))</f>
        <v/>
      </c>
      <c r="L262" s="19" t="str">
        <f aca="false">IF(A262="","",IFERROR(INDEX(Empresas!$B:$B,MATCH(A262,Empresas!$A:$A,0))&amp;"","cadastre o CNPJ em Empresas"))</f>
        <v/>
      </c>
      <c r="M262" s="27"/>
      <c r="N262" s="35"/>
      <c r="O262" s="37" t="str">
        <f aca="false">IF(OR(D262="",D262=0,N262=""),"",N262/D262)</f>
        <v/>
      </c>
      <c r="P262" s="19" t="str">
        <f aca="false">IF(O262="","",IF(O262&gt;0.25,"ACRÉSCIMO ACIMA DE 25% — conferir",""))</f>
        <v/>
      </c>
      <c r="Q262" s="27"/>
      <c r="R262" s="5"/>
    </row>
    <row r="263" customFormat="false" ht="15" hidden="false" customHeight="false" outlineLevel="0" collapsed="false">
      <c r="A263" s="27"/>
      <c r="B263" s="5"/>
      <c r="C263" s="5"/>
      <c r="D263" s="35"/>
      <c r="E263" s="14"/>
      <c r="F263" s="18"/>
      <c r="G263" s="31" t="str">
        <f aca="false">IF(A263="","",IFERROR(IF(INDEX(Empresas!$C:$C,MATCH(A263,Empresas!$A:$A,0))="","",INDEX(Empresas!$C:$C,MATCH(A263,Empresas!$A:$A,0))),""))</f>
        <v/>
      </c>
      <c r="H263" s="18"/>
      <c r="I263" s="19" t="str">
        <f aca="false">IF(OR(F263="",G263=""),"",IF(F263-G263&lt;0,"CONTRATO ANTERIOR À ABERTURA — conferir datas",IF(F263-G263&lt;180,"ABERTA MENOS DE 6 MESES ANTES","")))</f>
        <v/>
      </c>
      <c r="J263" s="19" t="str">
        <f aca="false">IF(A263="","",IFERROR(INDEX(Sancoes!$B:$B,MATCH(A263,Sancoes!$A:$A,0))&amp;"","não consta"))</f>
        <v/>
      </c>
      <c r="K263" s="19" t="str">
        <f aca="false">IF(OR(A263="",F263=""),"",IF(SUMPRODUCT((Sancoes!$A$2:$A$301=A263)*(Sancoes!$B$2:$B$301&lt;&gt;"Não consta")*(Sancoes!$D$2:$D$301&lt;&gt;"")*(Sancoes!$D$2:$D$301&lt;=F263)*(((Sancoes!$E$2:$E$301="")+(Sancoes!$E$2:$E$301&gt;=F263))&gt;0))&gt;0,"SANÇÃO VIGENTE NA DATA — leia o tipo e a abrangência",""))</f>
        <v/>
      </c>
      <c r="L263" s="19" t="str">
        <f aca="false">IF(A263="","",IFERROR(INDEX(Empresas!$B:$B,MATCH(A263,Empresas!$A:$A,0))&amp;"","cadastre o CNPJ em Empresas"))</f>
        <v/>
      </c>
      <c r="M263" s="27"/>
      <c r="N263" s="35"/>
      <c r="O263" s="37" t="str">
        <f aca="false">IF(OR(D263="",D263=0,N263=""),"",N263/D263)</f>
        <v/>
      </c>
      <c r="P263" s="19" t="str">
        <f aca="false">IF(O263="","",IF(O263&gt;0.25,"ACRÉSCIMO ACIMA DE 25% — conferir",""))</f>
        <v/>
      </c>
      <c r="Q263" s="27"/>
      <c r="R263" s="5"/>
    </row>
    <row r="264" customFormat="false" ht="15" hidden="false" customHeight="false" outlineLevel="0" collapsed="false">
      <c r="A264" s="27"/>
      <c r="B264" s="5"/>
      <c r="C264" s="5"/>
      <c r="D264" s="35"/>
      <c r="E264" s="14"/>
      <c r="F264" s="18"/>
      <c r="G264" s="31" t="str">
        <f aca="false">IF(A264="","",IFERROR(IF(INDEX(Empresas!$C:$C,MATCH(A264,Empresas!$A:$A,0))="","",INDEX(Empresas!$C:$C,MATCH(A264,Empresas!$A:$A,0))),""))</f>
        <v/>
      </c>
      <c r="H264" s="18"/>
      <c r="I264" s="19" t="str">
        <f aca="false">IF(OR(F264="",G264=""),"",IF(F264-G264&lt;0,"CONTRATO ANTERIOR À ABERTURA — conferir datas",IF(F264-G264&lt;180,"ABERTA MENOS DE 6 MESES ANTES","")))</f>
        <v/>
      </c>
      <c r="J264" s="19" t="str">
        <f aca="false">IF(A264="","",IFERROR(INDEX(Sancoes!$B:$B,MATCH(A264,Sancoes!$A:$A,0))&amp;"","não consta"))</f>
        <v/>
      </c>
      <c r="K264" s="19" t="str">
        <f aca="false">IF(OR(A264="",F264=""),"",IF(SUMPRODUCT((Sancoes!$A$2:$A$301=A264)*(Sancoes!$B$2:$B$301&lt;&gt;"Não consta")*(Sancoes!$D$2:$D$301&lt;&gt;"")*(Sancoes!$D$2:$D$301&lt;=F264)*(((Sancoes!$E$2:$E$301="")+(Sancoes!$E$2:$E$301&gt;=F264))&gt;0))&gt;0,"SANÇÃO VIGENTE NA DATA — leia o tipo e a abrangência",""))</f>
        <v/>
      </c>
      <c r="L264" s="19" t="str">
        <f aca="false">IF(A264="","",IFERROR(INDEX(Empresas!$B:$B,MATCH(A264,Empresas!$A:$A,0))&amp;"","cadastre o CNPJ em Empresas"))</f>
        <v/>
      </c>
      <c r="M264" s="27"/>
      <c r="N264" s="35"/>
      <c r="O264" s="37" t="str">
        <f aca="false">IF(OR(D264="",D264=0,N264=""),"",N264/D264)</f>
        <v/>
      </c>
      <c r="P264" s="19" t="str">
        <f aca="false">IF(O264="","",IF(O264&gt;0.25,"ACRÉSCIMO ACIMA DE 25% — conferir",""))</f>
        <v/>
      </c>
      <c r="Q264" s="27"/>
      <c r="R264" s="5"/>
    </row>
    <row r="265" customFormat="false" ht="15" hidden="false" customHeight="false" outlineLevel="0" collapsed="false">
      <c r="A265" s="27"/>
      <c r="B265" s="5"/>
      <c r="C265" s="5"/>
      <c r="D265" s="35"/>
      <c r="E265" s="14"/>
      <c r="F265" s="18"/>
      <c r="G265" s="31" t="str">
        <f aca="false">IF(A265="","",IFERROR(IF(INDEX(Empresas!$C:$C,MATCH(A265,Empresas!$A:$A,0))="","",INDEX(Empresas!$C:$C,MATCH(A265,Empresas!$A:$A,0))),""))</f>
        <v/>
      </c>
      <c r="H265" s="18"/>
      <c r="I265" s="19" t="str">
        <f aca="false">IF(OR(F265="",G265=""),"",IF(F265-G265&lt;0,"CONTRATO ANTERIOR À ABERTURA — conferir datas",IF(F265-G265&lt;180,"ABERTA MENOS DE 6 MESES ANTES","")))</f>
        <v/>
      </c>
      <c r="J265" s="19" t="str">
        <f aca="false">IF(A265="","",IFERROR(INDEX(Sancoes!$B:$B,MATCH(A265,Sancoes!$A:$A,0))&amp;"","não consta"))</f>
        <v/>
      </c>
      <c r="K265" s="19" t="str">
        <f aca="false">IF(OR(A265="",F265=""),"",IF(SUMPRODUCT((Sancoes!$A$2:$A$301=A265)*(Sancoes!$B$2:$B$301&lt;&gt;"Não consta")*(Sancoes!$D$2:$D$301&lt;&gt;"")*(Sancoes!$D$2:$D$301&lt;=F265)*(((Sancoes!$E$2:$E$301="")+(Sancoes!$E$2:$E$301&gt;=F265))&gt;0))&gt;0,"SANÇÃO VIGENTE NA DATA — leia o tipo e a abrangência",""))</f>
        <v/>
      </c>
      <c r="L265" s="19" t="str">
        <f aca="false">IF(A265="","",IFERROR(INDEX(Empresas!$B:$B,MATCH(A265,Empresas!$A:$A,0))&amp;"","cadastre o CNPJ em Empresas"))</f>
        <v/>
      </c>
      <c r="M265" s="27"/>
      <c r="N265" s="35"/>
      <c r="O265" s="37" t="str">
        <f aca="false">IF(OR(D265="",D265=0,N265=""),"",N265/D265)</f>
        <v/>
      </c>
      <c r="P265" s="19" t="str">
        <f aca="false">IF(O265="","",IF(O265&gt;0.25,"ACRÉSCIMO ACIMA DE 25% — conferir",""))</f>
        <v/>
      </c>
      <c r="Q265" s="27"/>
      <c r="R265" s="5"/>
    </row>
    <row r="266" customFormat="false" ht="15" hidden="false" customHeight="false" outlineLevel="0" collapsed="false">
      <c r="A266" s="27"/>
      <c r="B266" s="5"/>
      <c r="C266" s="5"/>
      <c r="D266" s="35"/>
      <c r="E266" s="14"/>
      <c r="F266" s="18"/>
      <c r="G266" s="31" t="str">
        <f aca="false">IF(A266="","",IFERROR(IF(INDEX(Empresas!$C:$C,MATCH(A266,Empresas!$A:$A,0))="","",INDEX(Empresas!$C:$C,MATCH(A266,Empresas!$A:$A,0))),""))</f>
        <v/>
      </c>
      <c r="H266" s="18"/>
      <c r="I266" s="19" t="str">
        <f aca="false">IF(OR(F266="",G266=""),"",IF(F266-G266&lt;0,"CONTRATO ANTERIOR À ABERTURA — conferir datas",IF(F266-G266&lt;180,"ABERTA MENOS DE 6 MESES ANTES","")))</f>
        <v/>
      </c>
      <c r="J266" s="19" t="str">
        <f aca="false">IF(A266="","",IFERROR(INDEX(Sancoes!$B:$B,MATCH(A266,Sancoes!$A:$A,0))&amp;"","não consta"))</f>
        <v/>
      </c>
      <c r="K266" s="19" t="str">
        <f aca="false">IF(OR(A266="",F266=""),"",IF(SUMPRODUCT((Sancoes!$A$2:$A$301=A266)*(Sancoes!$B$2:$B$301&lt;&gt;"Não consta")*(Sancoes!$D$2:$D$301&lt;&gt;"")*(Sancoes!$D$2:$D$301&lt;=F266)*(((Sancoes!$E$2:$E$301="")+(Sancoes!$E$2:$E$301&gt;=F266))&gt;0))&gt;0,"SANÇÃO VIGENTE NA DATA — leia o tipo e a abrangência",""))</f>
        <v/>
      </c>
      <c r="L266" s="19" t="str">
        <f aca="false">IF(A266="","",IFERROR(INDEX(Empresas!$B:$B,MATCH(A266,Empresas!$A:$A,0))&amp;"","cadastre o CNPJ em Empresas"))</f>
        <v/>
      </c>
      <c r="M266" s="27"/>
      <c r="N266" s="35"/>
      <c r="O266" s="37" t="str">
        <f aca="false">IF(OR(D266="",D266=0,N266=""),"",N266/D266)</f>
        <v/>
      </c>
      <c r="P266" s="19" t="str">
        <f aca="false">IF(O266="","",IF(O266&gt;0.25,"ACRÉSCIMO ACIMA DE 25% — conferir",""))</f>
        <v/>
      </c>
      <c r="Q266" s="27"/>
      <c r="R266" s="5"/>
    </row>
    <row r="267" customFormat="false" ht="15" hidden="false" customHeight="false" outlineLevel="0" collapsed="false">
      <c r="A267" s="27"/>
      <c r="B267" s="5"/>
      <c r="C267" s="5"/>
      <c r="D267" s="35"/>
      <c r="E267" s="14"/>
      <c r="F267" s="18"/>
      <c r="G267" s="31" t="str">
        <f aca="false">IF(A267="","",IFERROR(IF(INDEX(Empresas!$C:$C,MATCH(A267,Empresas!$A:$A,0))="","",INDEX(Empresas!$C:$C,MATCH(A267,Empresas!$A:$A,0))),""))</f>
        <v/>
      </c>
      <c r="H267" s="18"/>
      <c r="I267" s="19" t="str">
        <f aca="false">IF(OR(F267="",G267=""),"",IF(F267-G267&lt;0,"CONTRATO ANTERIOR À ABERTURA — conferir datas",IF(F267-G267&lt;180,"ABERTA MENOS DE 6 MESES ANTES","")))</f>
        <v/>
      </c>
      <c r="J267" s="19" t="str">
        <f aca="false">IF(A267="","",IFERROR(INDEX(Sancoes!$B:$B,MATCH(A267,Sancoes!$A:$A,0))&amp;"","não consta"))</f>
        <v/>
      </c>
      <c r="K267" s="19" t="str">
        <f aca="false">IF(OR(A267="",F267=""),"",IF(SUMPRODUCT((Sancoes!$A$2:$A$301=A267)*(Sancoes!$B$2:$B$301&lt;&gt;"Não consta")*(Sancoes!$D$2:$D$301&lt;&gt;"")*(Sancoes!$D$2:$D$301&lt;=F267)*(((Sancoes!$E$2:$E$301="")+(Sancoes!$E$2:$E$301&gt;=F267))&gt;0))&gt;0,"SANÇÃO VIGENTE NA DATA — leia o tipo e a abrangência",""))</f>
        <v/>
      </c>
      <c r="L267" s="19" t="str">
        <f aca="false">IF(A267="","",IFERROR(INDEX(Empresas!$B:$B,MATCH(A267,Empresas!$A:$A,0))&amp;"","cadastre o CNPJ em Empresas"))</f>
        <v/>
      </c>
      <c r="M267" s="27"/>
      <c r="N267" s="35"/>
      <c r="O267" s="37" t="str">
        <f aca="false">IF(OR(D267="",D267=0,N267=""),"",N267/D267)</f>
        <v/>
      </c>
      <c r="P267" s="19" t="str">
        <f aca="false">IF(O267="","",IF(O267&gt;0.25,"ACRÉSCIMO ACIMA DE 25% — conferir",""))</f>
        <v/>
      </c>
      <c r="Q267" s="27"/>
      <c r="R267" s="5"/>
    </row>
    <row r="268" customFormat="false" ht="15" hidden="false" customHeight="false" outlineLevel="0" collapsed="false">
      <c r="A268" s="27"/>
      <c r="B268" s="5"/>
      <c r="C268" s="5"/>
      <c r="D268" s="35"/>
      <c r="E268" s="14"/>
      <c r="F268" s="18"/>
      <c r="G268" s="31" t="str">
        <f aca="false">IF(A268="","",IFERROR(IF(INDEX(Empresas!$C:$C,MATCH(A268,Empresas!$A:$A,0))="","",INDEX(Empresas!$C:$C,MATCH(A268,Empresas!$A:$A,0))),""))</f>
        <v/>
      </c>
      <c r="H268" s="18"/>
      <c r="I268" s="19" t="str">
        <f aca="false">IF(OR(F268="",G268=""),"",IF(F268-G268&lt;0,"CONTRATO ANTERIOR À ABERTURA — conferir datas",IF(F268-G268&lt;180,"ABERTA MENOS DE 6 MESES ANTES","")))</f>
        <v/>
      </c>
      <c r="J268" s="19" t="str">
        <f aca="false">IF(A268="","",IFERROR(INDEX(Sancoes!$B:$B,MATCH(A268,Sancoes!$A:$A,0))&amp;"","não consta"))</f>
        <v/>
      </c>
      <c r="K268" s="19" t="str">
        <f aca="false">IF(OR(A268="",F268=""),"",IF(SUMPRODUCT((Sancoes!$A$2:$A$301=A268)*(Sancoes!$B$2:$B$301&lt;&gt;"Não consta")*(Sancoes!$D$2:$D$301&lt;&gt;"")*(Sancoes!$D$2:$D$301&lt;=F268)*(((Sancoes!$E$2:$E$301="")+(Sancoes!$E$2:$E$301&gt;=F268))&gt;0))&gt;0,"SANÇÃO VIGENTE NA DATA — leia o tipo e a abrangência",""))</f>
        <v/>
      </c>
      <c r="L268" s="19" t="str">
        <f aca="false">IF(A268="","",IFERROR(INDEX(Empresas!$B:$B,MATCH(A268,Empresas!$A:$A,0))&amp;"","cadastre o CNPJ em Empresas"))</f>
        <v/>
      </c>
      <c r="M268" s="27"/>
      <c r="N268" s="35"/>
      <c r="O268" s="37" t="str">
        <f aca="false">IF(OR(D268="",D268=0,N268=""),"",N268/D268)</f>
        <v/>
      </c>
      <c r="P268" s="19" t="str">
        <f aca="false">IF(O268="","",IF(O268&gt;0.25,"ACRÉSCIMO ACIMA DE 25% — conferir",""))</f>
        <v/>
      </c>
      <c r="Q268" s="27"/>
      <c r="R268" s="5"/>
    </row>
    <row r="269" customFormat="false" ht="15" hidden="false" customHeight="false" outlineLevel="0" collapsed="false">
      <c r="A269" s="27"/>
      <c r="B269" s="5"/>
      <c r="C269" s="5"/>
      <c r="D269" s="35"/>
      <c r="E269" s="14"/>
      <c r="F269" s="18"/>
      <c r="G269" s="31" t="str">
        <f aca="false">IF(A269="","",IFERROR(IF(INDEX(Empresas!$C:$C,MATCH(A269,Empresas!$A:$A,0))="","",INDEX(Empresas!$C:$C,MATCH(A269,Empresas!$A:$A,0))),""))</f>
        <v/>
      </c>
      <c r="H269" s="18"/>
      <c r="I269" s="19" t="str">
        <f aca="false">IF(OR(F269="",G269=""),"",IF(F269-G269&lt;0,"CONTRATO ANTERIOR À ABERTURA — conferir datas",IF(F269-G269&lt;180,"ABERTA MENOS DE 6 MESES ANTES","")))</f>
        <v/>
      </c>
      <c r="J269" s="19" t="str">
        <f aca="false">IF(A269="","",IFERROR(INDEX(Sancoes!$B:$B,MATCH(A269,Sancoes!$A:$A,0))&amp;"","não consta"))</f>
        <v/>
      </c>
      <c r="K269" s="19" t="str">
        <f aca="false">IF(OR(A269="",F269=""),"",IF(SUMPRODUCT((Sancoes!$A$2:$A$301=A269)*(Sancoes!$B$2:$B$301&lt;&gt;"Não consta")*(Sancoes!$D$2:$D$301&lt;&gt;"")*(Sancoes!$D$2:$D$301&lt;=F269)*(((Sancoes!$E$2:$E$301="")+(Sancoes!$E$2:$E$301&gt;=F269))&gt;0))&gt;0,"SANÇÃO VIGENTE NA DATA — leia o tipo e a abrangência",""))</f>
        <v/>
      </c>
      <c r="L269" s="19" t="str">
        <f aca="false">IF(A269="","",IFERROR(INDEX(Empresas!$B:$B,MATCH(A269,Empresas!$A:$A,0))&amp;"","cadastre o CNPJ em Empresas"))</f>
        <v/>
      </c>
      <c r="M269" s="27"/>
      <c r="N269" s="35"/>
      <c r="O269" s="37" t="str">
        <f aca="false">IF(OR(D269="",D269=0,N269=""),"",N269/D269)</f>
        <v/>
      </c>
      <c r="P269" s="19" t="str">
        <f aca="false">IF(O269="","",IF(O269&gt;0.25,"ACRÉSCIMO ACIMA DE 25% — conferir",""))</f>
        <v/>
      </c>
      <c r="Q269" s="27"/>
      <c r="R269" s="5"/>
    </row>
    <row r="270" customFormat="false" ht="15" hidden="false" customHeight="false" outlineLevel="0" collapsed="false">
      <c r="A270" s="27"/>
      <c r="B270" s="5"/>
      <c r="C270" s="5"/>
      <c r="D270" s="35"/>
      <c r="E270" s="14"/>
      <c r="F270" s="18"/>
      <c r="G270" s="31" t="str">
        <f aca="false">IF(A270="","",IFERROR(IF(INDEX(Empresas!$C:$C,MATCH(A270,Empresas!$A:$A,0))="","",INDEX(Empresas!$C:$C,MATCH(A270,Empresas!$A:$A,0))),""))</f>
        <v/>
      </c>
      <c r="H270" s="18"/>
      <c r="I270" s="19" t="str">
        <f aca="false">IF(OR(F270="",G270=""),"",IF(F270-G270&lt;0,"CONTRATO ANTERIOR À ABERTURA — conferir datas",IF(F270-G270&lt;180,"ABERTA MENOS DE 6 MESES ANTES","")))</f>
        <v/>
      </c>
      <c r="J270" s="19" t="str">
        <f aca="false">IF(A270="","",IFERROR(INDEX(Sancoes!$B:$B,MATCH(A270,Sancoes!$A:$A,0))&amp;"","não consta"))</f>
        <v/>
      </c>
      <c r="K270" s="19" t="str">
        <f aca="false">IF(OR(A270="",F270=""),"",IF(SUMPRODUCT((Sancoes!$A$2:$A$301=A270)*(Sancoes!$B$2:$B$301&lt;&gt;"Não consta")*(Sancoes!$D$2:$D$301&lt;&gt;"")*(Sancoes!$D$2:$D$301&lt;=F270)*(((Sancoes!$E$2:$E$301="")+(Sancoes!$E$2:$E$301&gt;=F270))&gt;0))&gt;0,"SANÇÃO VIGENTE NA DATA — leia o tipo e a abrangência",""))</f>
        <v/>
      </c>
      <c r="L270" s="19" t="str">
        <f aca="false">IF(A270="","",IFERROR(INDEX(Empresas!$B:$B,MATCH(A270,Empresas!$A:$A,0))&amp;"","cadastre o CNPJ em Empresas"))</f>
        <v/>
      </c>
      <c r="M270" s="27"/>
      <c r="N270" s="35"/>
      <c r="O270" s="37" t="str">
        <f aca="false">IF(OR(D270="",D270=0,N270=""),"",N270/D270)</f>
        <v/>
      </c>
      <c r="P270" s="19" t="str">
        <f aca="false">IF(O270="","",IF(O270&gt;0.25,"ACRÉSCIMO ACIMA DE 25% — conferir",""))</f>
        <v/>
      </c>
      <c r="Q270" s="27"/>
      <c r="R270" s="5"/>
    </row>
    <row r="271" customFormat="false" ht="15" hidden="false" customHeight="false" outlineLevel="0" collapsed="false">
      <c r="A271" s="27"/>
      <c r="B271" s="5"/>
      <c r="C271" s="5"/>
      <c r="D271" s="35"/>
      <c r="E271" s="14"/>
      <c r="F271" s="18"/>
      <c r="G271" s="31" t="str">
        <f aca="false">IF(A271="","",IFERROR(IF(INDEX(Empresas!$C:$C,MATCH(A271,Empresas!$A:$A,0))="","",INDEX(Empresas!$C:$C,MATCH(A271,Empresas!$A:$A,0))),""))</f>
        <v/>
      </c>
      <c r="H271" s="18"/>
      <c r="I271" s="19" t="str">
        <f aca="false">IF(OR(F271="",G271=""),"",IF(F271-G271&lt;0,"CONTRATO ANTERIOR À ABERTURA — conferir datas",IF(F271-G271&lt;180,"ABERTA MENOS DE 6 MESES ANTES","")))</f>
        <v/>
      </c>
      <c r="J271" s="19" t="str">
        <f aca="false">IF(A271="","",IFERROR(INDEX(Sancoes!$B:$B,MATCH(A271,Sancoes!$A:$A,0))&amp;"","não consta"))</f>
        <v/>
      </c>
      <c r="K271" s="19" t="str">
        <f aca="false">IF(OR(A271="",F271=""),"",IF(SUMPRODUCT((Sancoes!$A$2:$A$301=A271)*(Sancoes!$B$2:$B$301&lt;&gt;"Não consta")*(Sancoes!$D$2:$D$301&lt;&gt;"")*(Sancoes!$D$2:$D$301&lt;=F271)*(((Sancoes!$E$2:$E$301="")+(Sancoes!$E$2:$E$301&gt;=F271))&gt;0))&gt;0,"SANÇÃO VIGENTE NA DATA — leia o tipo e a abrangência",""))</f>
        <v/>
      </c>
      <c r="L271" s="19" t="str">
        <f aca="false">IF(A271="","",IFERROR(INDEX(Empresas!$B:$B,MATCH(A271,Empresas!$A:$A,0))&amp;"","cadastre o CNPJ em Empresas"))</f>
        <v/>
      </c>
      <c r="M271" s="27"/>
      <c r="N271" s="35"/>
      <c r="O271" s="37" t="str">
        <f aca="false">IF(OR(D271="",D271=0,N271=""),"",N271/D271)</f>
        <v/>
      </c>
      <c r="P271" s="19" t="str">
        <f aca="false">IF(O271="","",IF(O271&gt;0.25,"ACRÉSCIMO ACIMA DE 25% — conferir",""))</f>
        <v/>
      </c>
      <c r="Q271" s="27"/>
      <c r="R271" s="5"/>
    </row>
    <row r="272" customFormat="false" ht="15" hidden="false" customHeight="false" outlineLevel="0" collapsed="false">
      <c r="A272" s="27"/>
      <c r="B272" s="5"/>
      <c r="C272" s="5"/>
      <c r="D272" s="35"/>
      <c r="E272" s="14"/>
      <c r="F272" s="18"/>
      <c r="G272" s="31" t="str">
        <f aca="false">IF(A272="","",IFERROR(IF(INDEX(Empresas!$C:$C,MATCH(A272,Empresas!$A:$A,0))="","",INDEX(Empresas!$C:$C,MATCH(A272,Empresas!$A:$A,0))),""))</f>
        <v/>
      </c>
      <c r="H272" s="18"/>
      <c r="I272" s="19" t="str">
        <f aca="false">IF(OR(F272="",G272=""),"",IF(F272-G272&lt;0,"CONTRATO ANTERIOR À ABERTURA — conferir datas",IF(F272-G272&lt;180,"ABERTA MENOS DE 6 MESES ANTES","")))</f>
        <v/>
      </c>
      <c r="J272" s="19" t="str">
        <f aca="false">IF(A272="","",IFERROR(INDEX(Sancoes!$B:$B,MATCH(A272,Sancoes!$A:$A,0))&amp;"","não consta"))</f>
        <v/>
      </c>
      <c r="K272" s="19" t="str">
        <f aca="false">IF(OR(A272="",F272=""),"",IF(SUMPRODUCT((Sancoes!$A$2:$A$301=A272)*(Sancoes!$B$2:$B$301&lt;&gt;"Não consta")*(Sancoes!$D$2:$D$301&lt;&gt;"")*(Sancoes!$D$2:$D$301&lt;=F272)*(((Sancoes!$E$2:$E$301="")+(Sancoes!$E$2:$E$301&gt;=F272))&gt;0))&gt;0,"SANÇÃO VIGENTE NA DATA — leia o tipo e a abrangência",""))</f>
        <v/>
      </c>
      <c r="L272" s="19" t="str">
        <f aca="false">IF(A272="","",IFERROR(INDEX(Empresas!$B:$B,MATCH(A272,Empresas!$A:$A,0))&amp;"","cadastre o CNPJ em Empresas"))</f>
        <v/>
      </c>
      <c r="M272" s="27"/>
      <c r="N272" s="35"/>
      <c r="O272" s="37" t="str">
        <f aca="false">IF(OR(D272="",D272=0,N272=""),"",N272/D272)</f>
        <v/>
      </c>
      <c r="P272" s="19" t="str">
        <f aca="false">IF(O272="","",IF(O272&gt;0.25,"ACRÉSCIMO ACIMA DE 25% — conferir",""))</f>
        <v/>
      </c>
      <c r="Q272" s="27"/>
      <c r="R272" s="5"/>
    </row>
    <row r="273" customFormat="false" ht="15" hidden="false" customHeight="false" outlineLevel="0" collapsed="false">
      <c r="A273" s="27"/>
      <c r="B273" s="5"/>
      <c r="C273" s="5"/>
      <c r="D273" s="35"/>
      <c r="E273" s="14"/>
      <c r="F273" s="18"/>
      <c r="G273" s="31" t="str">
        <f aca="false">IF(A273="","",IFERROR(IF(INDEX(Empresas!$C:$C,MATCH(A273,Empresas!$A:$A,0))="","",INDEX(Empresas!$C:$C,MATCH(A273,Empresas!$A:$A,0))),""))</f>
        <v/>
      </c>
      <c r="H273" s="18"/>
      <c r="I273" s="19" t="str">
        <f aca="false">IF(OR(F273="",G273=""),"",IF(F273-G273&lt;0,"CONTRATO ANTERIOR À ABERTURA — conferir datas",IF(F273-G273&lt;180,"ABERTA MENOS DE 6 MESES ANTES","")))</f>
        <v/>
      </c>
      <c r="J273" s="19" t="str">
        <f aca="false">IF(A273="","",IFERROR(INDEX(Sancoes!$B:$B,MATCH(A273,Sancoes!$A:$A,0))&amp;"","não consta"))</f>
        <v/>
      </c>
      <c r="K273" s="19" t="str">
        <f aca="false">IF(OR(A273="",F273=""),"",IF(SUMPRODUCT((Sancoes!$A$2:$A$301=A273)*(Sancoes!$B$2:$B$301&lt;&gt;"Não consta")*(Sancoes!$D$2:$D$301&lt;&gt;"")*(Sancoes!$D$2:$D$301&lt;=F273)*(((Sancoes!$E$2:$E$301="")+(Sancoes!$E$2:$E$301&gt;=F273))&gt;0))&gt;0,"SANÇÃO VIGENTE NA DATA — leia o tipo e a abrangência",""))</f>
        <v/>
      </c>
      <c r="L273" s="19" t="str">
        <f aca="false">IF(A273="","",IFERROR(INDEX(Empresas!$B:$B,MATCH(A273,Empresas!$A:$A,0))&amp;"","cadastre o CNPJ em Empresas"))</f>
        <v/>
      </c>
      <c r="M273" s="27"/>
      <c r="N273" s="35"/>
      <c r="O273" s="37" t="str">
        <f aca="false">IF(OR(D273="",D273=0,N273=""),"",N273/D273)</f>
        <v/>
      </c>
      <c r="P273" s="19" t="str">
        <f aca="false">IF(O273="","",IF(O273&gt;0.25,"ACRÉSCIMO ACIMA DE 25% — conferir",""))</f>
        <v/>
      </c>
      <c r="Q273" s="27"/>
      <c r="R273" s="5"/>
    </row>
    <row r="274" customFormat="false" ht="15" hidden="false" customHeight="false" outlineLevel="0" collapsed="false">
      <c r="A274" s="27"/>
      <c r="B274" s="5"/>
      <c r="C274" s="5"/>
      <c r="D274" s="35"/>
      <c r="E274" s="14"/>
      <c r="F274" s="18"/>
      <c r="G274" s="31" t="str">
        <f aca="false">IF(A274="","",IFERROR(IF(INDEX(Empresas!$C:$C,MATCH(A274,Empresas!$A:$A,0))="","",INDEX(Empresas!$C:$C,MATCH(A274,Empresas!$A:$A,0))),""))</f>
        <v/>
      </c>
      <c r="H274" s="18"/>
      <c r="I274" s="19" t="str">
        <f aca="false">IF(OR(F274="",G274=""),"",IF(F274-G274&lt;0,"CONTRATO ANTERIOR À ABERTURA — conferir datas",IF(F274-G274&lt;180,"ABERTA MENOS DE 6 MESES ANTES","")))</f>
        <v/>
      </c>
      <c r="J274" s="19" t="str">
        <f aca="false">IF(A274="","",IFERROR(INDEX(Sancoes!$B:$B,MATCH(A274,Sancoes!$A:$A,0))&amp;"","não consta"))</f>
        <v/>
      </c>
      <c r="K274" s="19" t="str">
        <f aca="false">IF(OR(A274="",F274=""),"",IF(SUMPRODUCT((Sancoes!$A$2:$A$301=A274)*(Sancoes!$B$2:$B$301&lt;&gt;"Não consta")*(Sancoes!$D$2:$D$301&lt;&gt;"")*(Sancoes!$D$2:$D$301&lt;=F274)*(((Sancoes!$E$2:$E$301="")+(Sancoes!$E$2:$E$301&gt;=F274))&gt;0))&gt;0,"SANÇÃO VIGENTE NA DATA — leia o tipo e a abrangência",""))</f>
        <v/>
      </c>
      <c r="L274" s="19" t="str">
        <f aca="false">IF(A274="","",IFERROR(INDEX(Empresas!$B:$B,MATCH(A274,Empresas!$A:$A,0))&amp;"","cadastre o CNPJ em Empresas"))</f>
        <v/>
      </c>
      <c r="M274" s="27"/>
      <c r="N274" s="35"/>
      <c r="O274" s="37" t="str">
        <f aca="false">IF(OR(D274="",D274=0,N274=""),"",N274/D274)</f>
        <v/>
      </c>
      <c r="P274" s="19" t="str">
        <f aca="false">IF(O274="","",IF(O274&gt;0.25,"ACRÉSCIMO ACIMA DE 25% — conferir",""))</f>
        <v/>
      </c>
      <c r="Q274" s="27"/>
      <c r="R274" s="5"/>
    </row>
    <row r="275" customFormat="false" ht="15" hidden="false" customHeight="false" outlineLevel="0" collapsed="false">
      <c r="A275" s="27"/>
      <c r="B275" s="5"/>
      <c r="C275" s="5"/>
      <c r="D275" s="35"/>
      <c r="E275" s="14"/>
      <c r="F275" s="18"/>
      <c r="G275" s="31" t="str">
        <f aca="false">IF(A275="","",IFERROR(IF(INDEX(Empresas!$C:$C,MATCH(A275,Empresas!$A:$A,0))="","",INDEX(Empresas!$C:$C,MATCH(A275,Empresas!$A:$A,0))),""))</f>
        <v/>
      </c>
      <c r="H275" s="18"/>
      <c r="I275" s="19" t="str">
        <f aca="false">IF(OR(F275="",G275=""),"",IF(F275-G275&lt;0,"CONTRATO ANTERIOR À ABERTURA — conferir datas",IF(F275-G275&lt;180,"ABERTA MENOS DE 6 MESES ANTES","")))</f>
        <v/>
      </c>
      <c r="J275" s="19" t="str">
        <f aca="false">IF(A275="","",IFERROR(INDEX(Sancoes!$B:$B,MATCH(A275,Sancoes!$A:$A,0))&amp;"","não consta"))</f>
        <v/>
      </c>
      <c r="K275" s="19" t="str">
        <f aca="false">IF(OR(A275="",F275=""),"",IF(SUMPRODUCT((Sancoes!$A$2:$A$301=A275)*(Sancoes!$B$2:$B$301&lt;&gt;"Não consta")*(Sancoes!$D$2:$D$301&lt;&gt;"")*(Sancoes!$D$2:$D$301&lt;=F275)*(((Sancoes!$E$2:$E$301="")+(Sancoes!$E$2:$E$301&gt;=F275))&gt;0))&gt;0,"SANÇÃO VIGENTE NA DATA — leia o tipo e a abrangência",""))</f>
        <v/>
      </c>
      <c r="L275" s="19" t="str">
        <f aca="false">IF(A275="","",IFERROR(INDEX(Empresas!$B:$B,MATCH(A275,Empresas!$A:$A,0))&amp;"","cadastre o CNPJ em Empresas"))</f>
        <v/>
      </c>
      <c r="M275" s="27"/>
      <c r="N275" s="35"/>
      <c r="O275" s="37" t="str">
        <f aca="false">IF(OR(D275="",D275=0,N275=""),"",N275/D275)</f>
        <v/>
      </c>
      <c r="P275" s="19" t="str">
        <f aca="false">IF(O275="","",IF(O275&gt;0.25,"ACRÉSCIMO ACIMA DE 25% — conferir",""))</f>
        <v/>
      </c>
      <c r="Q275" s="27"/>
      <c r="R275" s="5"/>
    </row>
    <row r="276" customFormat="false" ht="15" hidden="false" customHeight="false" outlineLevel="0" collapsed="false">
      <c r="A276" s="27"/>
      <c r="B276" s="5"/>
      <c r="C276" s="5"/>
      <c r="D276" s="35"/>
      <c r="E276" s="14"/>
      <c r="F276" s="18"/>
      <c r="G276" s="31" t="str">
        <f aca="false">IF(A276="","",IFERROR(IF(INDEX(Empresas!$C:$C,MATCH(A276,Empresas!$A:$A,0))="","",INDEX(Empresas!$C:$C,MATCH(A276,Empresas!$A:$A,0))),""))</f>
        <v/>
      </c>
      <c r="H276" s="18"/>
      <c r="I276" s="19" t="str">
        <f aca="false">IF(OR(F276="",G276=""),"",IF(F276-G276&lt;0,"CONTRATO ANTERIOR À ABERTURA — conferir datas",IF(F276-G276&lt;180,"ABERTA MENOS DE 6 MESES ANTES","")))</f>
        <v/>
      </c>
      <c r="J276" s="19" t="str">
        <f aca="false">IF(A276="","",IFERROR(INDEX(Sancoes!$B:$B,MATCH(A276,Sancoes!$A:$A,0))&amp;"","não consta"))</f>
        <v/>
      </c>
      <c r="K276" s="19" t="str">
        <f aca="false">IF(OR(A276="",F276=""),"",IF(SUMPRODUCT((Sancoes!$A$2:$A$301=A276)*(Sancoes!$B$2:$B$301&lt;&gt;"Não consta")*(Sancoes!$D$2:$D$301&lt;&gt;"")*(Sancoes!$D$2:$D$301&lt;=F276)*(((Sancoes!$E$2:$E$301="")+(Sancoes!$E$2:$E$301&gt;=F276))&gt;0))&gt;0,"SANÇÃO VIGENTE NA DATA — leia o tipo e a abrangência",""))</f>
        <v/>
      </c>
      <c r="L276" s="19" t="str">
        <f aca="false">IF(A276="","",IFERROR(INDEX(Empresas!$B:$B,MATCH(A276,Empresas!$A:$A,0))&amp;"","cadastre o CNPJ em Empresas"))</f>
        <v/>
      </c>
      <c r="M276" s="27"/>
      <c r="N276" s="35"/>
      <c r="O276" s="37" t="str">
        <f aca="false">IF(OR(D276="",D276=0,N276=""),"",N276/D276)</f>
        <v/>
      </c>
      <c r="P276" s="19" t="str">
        <f aca="false">IF(O276="","",IF(O276&gt;0.25,"ACRÉSCIMO ACIMA DE 25% — conferir",""))</f>
        <v/>
      </c>
      <c r="Q276" s="27"/>
      <c r="R276" s="5"/>
    </row>
    <row r="277" customFormat="false" ht="15" hidden="false" customHeight="false" outlineLevel="0" collapsed="false">
      <c r="A277" s="27"/>
      <c r="B277" s="5"/>
      <c r="C277" s="5"/>
      <c r="D277" s="35"/>
      <c r="E277" s="14"/>
      <c r="F277" s="18"/>
      <c r="G277" s="31" t="str">
        <f aca="false">IF(A277="","",IFERROR(IF(INDEX(Empresas!$C:$C,MATCH(A277,Empresas!$A:$A,0))="","",INDEX(Empresas!$C:$C,MATCH(A277,Empresas!$A:$A,0))),""))</f>
        <v/>
      </c>
      <c r="H277" s="18"/>
      <c r="I277" s="19" t="str">
        <f aca="false">IF(OR(F277="",G277=""),"",IF(F277-G277&lt;0,"CONTRATO ANTERIOR À ABERTURA — conferir datas",IF(F277-G277&lt;180,"ABERTA MENOS DE 6 MESES ANTES","")))</f>
        <v/>
      </c>
      <c r="J277" s="19" t="str">
        <f aca="false">IF(A277="","",IFERROR(INDEX(Sancoes!$B:$B,MATCH(A277,Sancoes!$A:$A,0))&amp;"","não consta"))</f>
        <v/>
      </c>
      <c r="K277" s="19" t="str">
        <f aca="false">IF(OR(A277="",F277=""),"",IF(SUMPRODUCT((Sancoes!$A$2:$A$301=A277)*(Sancoes!$B$2:$B$301&lt;&gt;"Não consta")*(Sancoes!$D$2:$D$301&lt;&gt;"")*(Sancoes!$D$2:$D$301&lt;=F277)*(((Sancoes!$E$2:$E$301="")+(Sancoes!$E$2:$E$301&gt;=F277))&gt;0))&gt;0,"SANÇÃO VIGENTE NA DATA — leia o tipo e a abrangência",""))</f>
        <v/>
      </c>
      <c r="L277" s="19" t="str">
        <f aca="false">IF(A277="","",IFERROR(INDEX(Empresas!$B:$B,MATCH(A277,Empresas!$A:$A,0))&amp;"","cadastre o CNPJ em Empresas"))</f>
        <v/>
      </c>
      <c r="M277" s="27"/>
      <c r="N277" s="35"/>
      <c r="O277" s="37" t="str">
        <f aca="false">IF(OR(D277="",D277=0,N277=""),"",N277/D277)</f>
        <v/>
      </c>
      <c r="P277" s="19" t="str">
        <f aca="false">IF(O277="","",IF(O277&gt;0.25,"ACRÉSCIMO ACIMA DE 25% — conferir",""))</f>
        <v/>
      </c>
      <c r="Q277" s="27"/>
      <c r="R277" s="5"/>
    </row>
    <row r="278" customFormat="false" ht="15" hidden="false" customHeight="false" outlineLevel="0" collapsed="false">
      <c r="A278" s="27"/>
      <c r="B278" s="5"/>
      <c r="C278" s="5"/>
      <c r="D278" s="35"/>
      <c r="E278" s="14"/>
      <c r="F278" s="18"/>
      <c r="G278" s="31" t="str">
        <f aca="false">IF(A278="","",IFERROR(IF(INDEX(Empresas!$C:$C,MATCH(A278,Empresas!$A:$A,0))="","",INDEX(Empresas!$C:$C,MATCH(A278,Empresas!$A:$A,0))),""))</f>
        <v/>
      </c>
      <c r="H278" s="18"/>
      <c r="I278" s="19" t="str">
        <f aca="false">IF(OR(F278="",G278=""),"",IF(F278-G278&lt;0,"CONTRATO ANTERIOR À ABERTURA — conferir datas",IF(F278-G278&lt;180,"ABERTA MENOS DE 6 MESES ANTES","")))</f>
        <v/>
      </c>
      <c r="J278" s="19" t="str">
        <f aca="false">IF(A278="","",IFERROR(INDEX(Sancoes!$B:$B,MATCH(A278,Sancoes!$A:$A,0))&amp;"","não consta"))</f>
        <v/>
      </c>
      <c r="K278" s="19" t="str">
        <f aca="false">IF(OR(A278="",F278=""),"",IF(SUMPRODUCT((Sancoes!$A$2:$A$301=A278)*(Sancoes!$B$2:$B$301&lt;&gt;"Não consta")*(Sancoes!$D$2:$D$301&lt;&gt;"")*(Sancoes!$D$2:$D$301&lt;=F278)*(((Sancoes!$E$2:$E$301="")+(Sancoes!$E$2:$E$301&gt;=F278))&gt;0))&gt;0,"SANÇÃO VIGENTE NA DATA — leia o tipo e a abrangência",""))</f>
        <v/>
      </c>
      <c r="L278" s="19" t="str">
        <f aca="false">IF(A278="","",IFERROR(INDEX(Empresas!$B:$B,MATCH(A278,Empresas!$A:$A,0))&amp;"","cadastre o CNPJ em Empresas"))</f>
        <v/>
      </c>
      <c r="M278" s="27"/>
      <c r="N278" s="35"/>
      <c r="O278" s="37" t="str">
        <f aca="false">IF(OR(D278="",D278=0,N278=""),"",N278/D278)</f>
        <v/>
      </c>
      <c r="P278" s="19" t="str">
        <f aca="false">IF(O278="","",IF(O278&gt;0.25,"ACRÉSCIMO ACIMA DE 25% — conferir",""))</f>
        <v/>
      </c>
      <c r="Q278" s="27"/>
      <c r="R278" s="5"/>
    </row>
    <row r="279" customFormat="false" ht="15" hidden="false" customHeight="false" outlineLevel="0" collapsed="false">
      <c r="A279" s="27"/>
      <c r="B279" s="5"/>
      <c r="C279" s="5"/>
      <c r="D279" s="35"/>
      <c r="E279" s="14"/>
      <c r="F279" s="18"/>
      <c r="G279" s="31" t="str">
        <f aca="false">IF(A279="","",IFERROR(IF(INDEX(Empresas!$C:$C,MATCH(A279,Empresas!$A:$A,0))="","",INDEX(Empresas!$C:$C,MATCH(A279,Empresas!$A:$A,0))),""))</f>
        <v/>
      </c>
      <c r="H279" s="18"/>
      <c r="I279" s="19" t="str">
        <f aca="false">IF(OR(F279="",G279=""),"",IF(F279-G279&lt;0,"CONTRATO ANTERIOR À ABERTURA — conferir datas",IF(F279-G279&lt;180,"ABERTA MENOS DE 6 MESES ANTES","")))</f>
        <v/>
      </c>
      <c r="J279" s="19" t="str">
        <f aca="false">IF(A279="","",IFERROR(INDEX(Sancoes!$B:$B,MATCH(A279,Sancoes!$A:$A,0))&amp;"","não consta"))</f>
        <v/>
      </c>
      <c r="K279" s="19" t="str">
        <f aca="false">IF(OR(A279="",F279=""),"",IF(SUMPRODUCT((Sancoes!$A$2:$A$301=A279)*(Sancoes!$B$2:$B$301&lt;&gt;"Não consta")*(Sancoes!$D$2:$D$301&lt;&gt;"")*(Sancoes!$D$2:$D$301&lt;=F279)*(((Sancoes!$E$2:$E$301="")+(Sancoes!$E$2:$E$301&gt;=F279))&gt;0))&gt;0,"SANÇÃO VIGENTE NA DATA — leia o tipo e a abrangência",""))</f>
        <v/>
      </c>
      <c r="L279" s="19" t="str">
        <f aca="false">IF(A279="","",IFERROR(INDEX(Empresas!$B:$B,MATCH(A279,Empresas!$A:$A,0))&amp;"","cadastre o CNPJ em Empresas"))</f>
        <v/>
      </c>
      <c r="M279" s="27"/>
      <c r="N279" s="35"/>
      <c r="O279" s="37" t="str">
        <f aca="false">IF(OR(D279="",D279=0,N279=""),"",N279/D279)</f>
        <v/>
      </c>
      <c r="P279" s="19" t="str">
        <f aca="false">IF(O279="","",IF(O279&gt;0.25,"ACRÉSCIMO ACIMA DE 25% — conferir",""))</f>
        <v/>
      </c>
      <c r="Q279" s="27"/>
      <c r="R279" s="5"/>
    </row>
    <row r="280" customFormat="false" ht="15" hidden="false" customHeight="false" outlineLevel="0" collapsed="false">
      <c r="A280" s="27"/>
      <c r="B280" s="5"/>
      <c r="C280" s="5"/>
      <c r="D280" s="35"/>
      <c r="E280" s="14"/>
      <c r="F280" s="18"/>
      <c r="G280" s="31" t="str">
        <f aca="false">IF(A280="","",IFERROR(IF(INDEX(Empresas!$C:$C,MATCH(A280,Empresas!$A:$A,0))="","",INDEX(Empresas!$C:$C,MATCH(A280,Empresas!$A:$A,0))),""))</f>
        <v/>
      </c>
      <c r="H280" s="18"/>
      <c r="I280" s="19" t="str">
        <f aca="false">IF(OR(F280="",G280=""),"",IF(F280-G280&lt;0,"CONTRATO ANTERIOR À ABERTURA — conferir datas",IF(F280-G280&lt;180,"ABERTA MENOS DE 6 MESES ANTES","")))</f>
        <v/>
      </c>
      <c r="J280" s="19" t="str">
        <f aca="false">IF(A280="","",IFERROR(INDEX(Sancoes!$B:$B,MATCH(A280,Sancoes!$A:$A,0))&amp;"","não consta"))</f>
        <v/>
      </c>
      <c r="K280" s="19" t="str">
        <f aca="false">IF(OR(A280="",F280=""),"",IF(SUMPRODUCT((Sancoes!$A$2:$A$301=A280)*(Sancoes!$B$2:$B$301&lt;&gt;"Não consta")*(Sancoes!$D$2:$D$301&lt;&gt;"")*(Sancoes!$D$2:$D$301&lt;=F280)*(((Sancoes!$E$2:$E$301="")+(Sancoes!$E$2:$E$301&gt;=F280))&gt;0))&gt;0,"SANÇÃO VIGENTE NA DATA — leia o tipo e a abrangência",""))</f>
        <v/>
      </c>
      <c r="L280" s="19" t="str">
        <f aca="false">IF(A280="","",IFERROR(INDEX(Empresas!$B:$B,MATCH(A280,Empresas!$A:$A,0))&amp;"","cadastre o CNPJ em Empresas"))</f>
        <v/>
      </c>
      <c r="M280" s="27"/>
      <c r="N280" s="35"/>
      <c r="O280" s="37" t="str">
        <f aca="false">IF(OR(D280="",D280=0,N280=""),"",N280/D280)</f>
        <v/>
      </c>
      <c r="P280" s="19" t="str">
        <f aca="false">IF(O280="","",IF(O280&gt;0.25,"ACRÉSCIMO ACIMA DE 25% — conferir",""))</f>
        <v/>
      </c>
      <c r="Q280" s="27"/>
      <c r="R280" s="5"/>
    </row>
    <row r="281" customFormat="false" ht="15" hidden="false" customHeight="false" outlineLevel="0" collapsed="false">
      <c r="A281" s="27"/>
      <c r="B281" s="5"/>
      <c r="C281" s="5"/>
      <c r="D281" s="35"/>
      <c r="E281" s="14"/>
      <c r="F281" s="18"/>
      <c r="G281" s="31" t="str">
        <f aca="false">IF(A281="","",IFERROR(IF(INDEX(Empresas!$C:$C,MATCH(A281,Empresas!$A:$A,0))="","",INDEX(Empresas!$C:$C,MATCH(A281,Empresas!$A:$A,0))),""))</f>
        <v/>
      </c>
      <c r="H281" s="18"/>
      <c r="I281" s="19" t="str">
        <f aca="false">IF(OR(F281="",G281=""),"",IF(F281-G281&lt;0,"CONTRATO ANTERIOR À ABERTURA — conferir datas",IF(F281-G281&lt;180,"ABERTA MENOS DE 6 MESES ANTES","")))</f>
        <v/>
      </c>
      <c r="J281" s="19" t="str">
        <f aca="false">IF(A281="","",IFERROR(INDEX(Sancoes!$B:$B,MATCH(A281,Sancoes!$A:$A,0))&amp;"","não consta"))</f>
        <v/>
      </c>
      <c r="K281" s="19" t="str">
        <f aca="false">IF(OR(A281="",F281=""),"",IF(SUMPRODUCT((Sancoes!$A$2:$A$301=A281)*(Sancoes!$B$2:$B$301&lt;&gt;"Não consta")*(Sancoes!$D$2:$D$301&lt;&gt;"")*(Sancoes!$D$2:$D$301&lt;=F281)*(((Sancoes!$E$2:$E$301="")+(Sancoes!$E$2:$E$301&gt;=F281))&gt;0))&gt;0,"SANÇÃO VIGENTE NA DATA — leia o tipo e a abrangência",""))</f>
        <v/>
      </c>
      <c r="L281" s="19" t="str">
        <f aca="false">IF(A281="","",IFERROR(INDEX(Empresas!$B:$B,MATCH(A281,Empresas!$A:$A,0))&amp;"","cadastre o CNPJ em Empresas"))</f>
        <v/>
      </c>
      <c r="M281" s="27"/>
      <c r="N281" s="35"/>
      <c r="O281" s="37" t="str">
        <f aca="false">IF(OR(D281="",D281=0,N281=""),"",N281/D281)</f>
        <v/>
      </c>
      <c r="P281" s="19" t="str">
        <f aca="false">IF(O281="","",IF(O281&gt;0.25,"ACRÉSCIMO ACIMA DE 25% — conferir",""))</f>
        <v/>
      </c>
      <c r="Q281" s="27"/>
      <c r="R281" s="5"/>
    </row>
    <row r="282" customFormat="false" ht="15" hidden="false" customHeight="false" outlineLevel="0" collapsed="false">
      <c r="A282" s="27"/>
      <c r="B282" s="5"/>
      <c r="C282" s="5"/>
      <c r="D282" s="35"/>
      <c r="E282" s="14"/>
      <c r="F282" s="18"/>
      <c r="G282" s="31" t="str">
        <f aca="false">IF(A282="","",IFERROR(IF(INDEX(Empresas!$C:$C,MATCH(A282,Empresas!$A:$A,0))="","",INDEX(Empresas!$C:$C,MATCH(A282,Empresas!$A:$A,0))),""))</f>
        <v/>
      </c>
      <c r="H282" s="18"/>
      <c r="I282" s="19" t="str">
        <f aca="false">IF(OR(F282="",G282=""),"",IF(F282-G282&lt;0,"CONTRATO ANTERIOR À ABERTURA — conferir datas",IF(F282-G282&lt;180,"ABERTA MENOS DE 6 MESES ANTES","")))</f>
        <v/>
      </c>
      <c r="J282" s="19" t="str">
        <f aca="false">IF(A282="","",IFERROR(INDEX(Sancoes!$B:$B,MATCH(A282,Sancoes!$A:$A,0))&amp;"","não consta"))</f>
        <v/>
      </c>
      <c r="K282" s="19" t="str">
        <f aca="false">IF(OR(A282="",F282=""),"",IF(SUMPRODUCT((Sancoes!$A$2:$A$301=A282)*(Sancoes!$B$2:$B$301&lt;&gt;"Não consta")*(Sancoes!$D$2:$D$301&lt;&gt;"")*(Sancoes!$D$2:$D$301&lt;=F282)*(((Sancoes!$E$2:$E$301="")+(Sancoes!$E$2:$E$301&gt;=F282))&gt;0))&gt;0,"SANÇÃO VIGENTE NA DATA — leia o tipo e a abrangência",""))</f>
        <v/>
      </c>
      <c r="L282" s="19" t="str">
        <f aca="false">IF(A282="","",IFERROR(INDEX(Empresas!$B:$B,MATCH(A282,Empresas!$A:$A,0))&amp;"","cadastre o CNPJ em Empresas"))</f>
        <v/>
      </c>
      <c r="M282" s="27"/>
      <c r="N282" s="35"/>
      <c r="O282" s="37" t="str">
        <f aca="false">IF(OR(D282="",D282=0,N282=""),"",N282/D282)</f>
        <v/>
      </c>
      <c r="P282" s="19" t="str">
        <f aca="false">IF(O282="","",IF(O282&gt;0.25,"ACRÉSCIMO ACIMA DE 25% — conferir",""))</f>
        <v/>
      </c>
      <c r="Q282" s="27"/>
      <c r="R282" s="5"/>
    </row>
    <row r="283" customFormat="false" ht="15" hidden="false" customHeight="false" outlineLevel="0" collapsed="false">
      <c r="A283" s="27"/>
      <c r="B283" s="5"/>
      <c r="C283" s="5"/>
      <c r="D283" s="35"/>
      <c r="E283" s="14"/>
      <c r="F283" s="18"/>
      <c r="G283" s="31" t="str">
        <f aca="false">IF(A283="","",IFERROR(IF(INDEX(Empresas!$C:$C,MATCH(A283,Empresas!$A:$A,0))="","",INDEX(Empresas!$C:$C,MATCH(A283,Empresas!$A:$A,0))),""))</f>
        <v/>
      </c>
      <c r="H283" s="18"/>
      <c r="I283" s="19" t="str">
        <f aca="false">IF(OR(F283="",G283=""),"",IF(F283-G283&lt;0,"CONTRATO ANTERIOR À ABERTURA — conferir datas",IF(F283-G283&lt;180,"ABERTA MENOS DE 6 MESES ANTES","")))</f>
        <v/>
      </c>
      <c r="J283" s="19" t="str">
        <f aca="false">IF(A283="","",IFERROR(INDEX(Sancoes!$B:$B,MATCH(A283,Sancoes!$A:$A,0))&amp;"","não consta"))</f>
        <v/>
      </c>
      <c r="K283" s="19" t="str">
        <f aca="false">IF(OR(A283="",F283=""),"",IF(SUMPRODUCT((Sancoes!$A$2:$A$301=A283)*(Sancoes!$B$2:$B$301&lt;&gt;"Não consta")*(Sancoes!$D$2:$D$301&lt;&gt;"")*(Sancoes!$D$2:$D$301&lt;=F283)*(((Sancoes!$E$2:$E$301="")+(Sancoes!$E$2:$E$301&gt;=F283))&gt;0))&gt;0,"SANÇÃO VIGENTE NA DATA — leia o tipo e a abrangência",""))</f>
        <v/>
      </c>
      <c r="L283" s="19" t="str">
        <f aca="false">IF(A283="","",IFERROR(INDEX(Empresas!$B:$B,MATCH(A283,Empresas!$A:$A,0))&amp;"","cadastre o CNPJ em Empresas"))</f>
        <v/>
      </c>
      <c r="M283" s="27"/>
      <c r="N283" s="35"/>
      <c r="O283" s="37" t="str">
        <f aca="false">IF(OR(D283="",D283=0,N283=""),"",N283/D283)</f>
        <v/>
      </c>
      <c r="P283" s="19" t="str">
        <f aca="false">IF(O283="","",IF(O283&gt;0.25,"ACRÉSCIMO ACIMA DE 25% — conferir",""))</f>
        <v/>
      </c>
      <c r="Q283" s="27"/>
      <c r="R283" s="5"/>
    </row>
    <row r="284" customFormat="false" ht="15" hidden="false" customHeight="false" outlineLevel="0" collapsed="false">
      <c r="A284" s="27"/>
      <c r="B284" s="5"/>
      <c r="C284" s="5"/>
      <c r="D284" s="35"/>
      <c r="E284" s="14"/>
      <c r="F284" s="18"/>
      <c r="G284" s="31" t="str">
        <f aca="false">IF(A284="","",IFERROR(IF(INDEX(Empresas!$C:$C,MATCH(A284,Empresas!$A:$A,0))="","",INDEX(Empresas!$C:$C,MATCH(A284,Empresas!$A:$A,0))),""))</f>
        <v/>
      </c>
      <c r="H284" s="18"/>
      <c r="I284" s="19" t="str">
        <f aca="false">IF(OR(F284="",G284=""),"",IF(F284-G284&lt;0,"CONTRATO ANTERIOR À ABERTURA — conferir datas",IF(F284-G284&lt;180,"ABERTA MENOS DE 6 MESES ANTES","")))</f>
        <v/>
      </c>
      <c r="J284" s="19" t="str">
        <f aca="false">IF(A284="","",IFERROR(INDEX(Sancoes!$B:$B,MATCH(A284,Sancoes!$A:$A,0))&amp;"","não consta"))</f>
        <v/>
      </c>
      <c r="K284" s="19" t="str">
        <f aca="false">IF(OR(A284="",F284=""),"",IF(SUMPRODUCT((Sancoes!$A$2:$A$301=A284)*(Sancoes!$B$2:$B$301&lt;&gt;"Não consta")*(Sancoes!$D$2:$D$301&lt;&gt;"")*(Sancoes!$D$2:$D$301&lt;=F284)*(((Sancoes!$E$2:$E$301="")+(Sancoes!$E$2:$E$301&gt;=F284))&gt;0))&gt;0,"SANÇÃO VIGENTE NA DATA — leia o tipo e a abrangência",""))</f>
        <v/>
      </c>
      <c r="L284" s="19" t="str">
        <f aca="false">IF(A284="","",IFERROR(INDEX(Empresas!$B:$B,MATCH(A284,Empresas!$A:$A,0))&amp;"","cadastre o CNPJ em Empresas"))</f>
        <v/>
      </c>
      <c r="M284" s="27"/>
      <c r="N284" s="35"/>
      <c r="O284" s="37" t="str">
        <f aca="false">IF(OR(D284="",D284=0,N284=""),"",N284/D284)</f>
        <v/>
      </c>
      <c r="P284" s="19" t="str">
        <f aca="false">IF(O284="","",IF(O284&gt;0.25,"ACRÉSCIMO ACIMA DE 25% — conferir",""))</f>
        <v/>
      </c>
      <c r="Q284" s="27"/>
      <c r="R284" s="5"/>
    </row>
    <row r="285" customFormat="false" ht="15" hidden="false" customHeight="false" outlineLevel="0" collapsed="false">
      <c r="A285" s="27"/>
      <c r="B285" s="5"/>
      <c r="C285" s="5"/>
      <c r="D285" s="35"/>
      <c r="E285" s="14"/>
      <c r="F285" s="18"/>
      <c r="G285" s="31" t="str">
        <f aca="false">IF(A285="","",IFERROR(IF(INDEX(Empresas!$C:$C,MATCH(A285,Empresas!$A:$A,0))="","",INDEX(Empresas!$C:$C,MATCH(A285,Empresas!$A:$A,0))),""))</f>
        <v/>
      </c>
      <c r="H285" s="18"/>
      <c r="I285" s="19" t="str">
        <f aca="false">IF(OR(F285="",G285=""),"",IF(F285-G285&lt;0,"CONTRATO ANTERIOR À ABERTURA — conferir datas",IF(F285-G285&lt;180,"ABERTA MENOS DE 6 MESES ANTES","")))</f>
        <v/>
      </c>
      <c r="J285" s="19" t="str">
        <f aca="false">IF(A285="","",IFERROR(INDEX(Sancoes!$B:$B,MATCH(A285,Sancoes!$A:$A,0))&amp;"","não consta"))</f>
        <v/>
      </c>
      <c r="K285" s="19" t="str">
        <f aca="false">IF(OR(A285="",F285=""),"",IF(SUMPRODUCT((Sancoes!$A$2:$A$301=A285)*(Sancoes!$B$2:$B$301&lt;&gt;"Não consta")*(Sancoes!$D$2:$D$301&lt;&gt;"")*(Sancoes!$D$2:$D$301&lt;=F285)*(((Sancoes!$E$2:$E$301="")+(Sancoes!$E$2:$E$301&gt;=F285))&gt;0))&gt;0,"SANÇÃO VIGENTE NA DATA — leia o tipo e a abrangência",""))</f>
        <v/>
      </c>
      <c r="L285" s="19" t="str">
        <f aca="false">IF(A285="","",IFERROR(INDEX(Empresas!$B:$B,MATCH(A285,Empresas!$A:$A,0))&amp;"","cadastre o CNPJ em Empresas"))</f>
        <v/>
      </c>
      <c r="M285" s="27"/>
      <c r="N285" s="35"/>
      <c r="O285" s="37" t="str">
        <f aca="false">IF(OR(D285="",D285=0,N285=""),"",N285/D285)</f>
        <v/>
      </c>
      <c r="P285" s="19" t="str">
        <f aca="false">IF(O285="","",IF(O285&gt;0.25,"ACRÉSCIMO ACIMA DE 25% — conferir",""))</f>
        <v/>
      </c>
      <c r="Q285" s="27"/>
      <c r="R285" s="5"/>
    </row>
    <row r="286" customFormat="false" ht="15" hidden="false" customHeight="false" outlineLevel="0" collapsed="false">
      <c r="A286" s="27"/>
      <c r="B286" s="5"/>
      <c r="C286" s="5"/>
      <c r="D286" s="35"/>
      <c r="E286" s="14"/>
      <c r="F286" s="18"/>
      <c r="G286" s="31" t="str">
        <f aca="false">IF(A286="","",IFERROR(IF(INDEX(Empresas!$C:$C,MATCH(A286,Empresas!$A:$A,0))="","",INDEX(Empresas!$C:$C,MATCH(A286,Empresas!$A:$A,0))),""))</f>
        <v/>
      </c>
      <c r="H286" s="18"/>
      <c r="I286" s="19" t="str">
        <f aca="false">IF(OR(F286="",G286=""),"",IF(F286-G286&lt;0,"CONTRATO ANTERIOR À ABERTURA — conferir datas",IF(F286-G286&lt;180,"ABERTA MENOS DE 6 MESES ANTES","")))</f>
        <v/>
      </c>
      <c r="J286" s="19" t="str">
        <f aca="false">IF(A286="","",IFERROR(INDEX(Sancoes!$B:$B,MATCH(A286,Sancoes!$A:$A,0))&amp;"","não consta"))</f>
        <v/>
      </c>
      <c r="K286" s="19" t="str">
        <f aca="false">IF(OR(A286="",F286=""),"",IF(SUMPRODUCT((Sancoes!$A$2:$A$301=A286)*(Sancoes!$B$2:$B$301&lt;&gt;"Não consta")*(Sancoes!$D$2:$D$301&lt;&gt;"")*(Sancoes!$D$2:$D$301&lt;=F286)*(((Sancoes!$E$2:$E$301="")+(Sancoes!$E$2:$E$301&gt;=F286))&gt;0))&gt;0,"SANÇÃO VIGENTE NA DATA — leia o tipo e a abrangência",""))</f>
        <v/>
      </c>
      <c r="L286" s="19" t="str">
        <f aca="false">IF(A286="","",IFERROR(INDEX(Empresas!$B:$B,MATCH(A286,Empresas!$A:$A,0))&amp;"","cadastre o CNPJ em Empresas"))</f>
        <v/>
      </c>
      <c r="M286" s="27"/>
      <c r="N286" s="35"/>
      <c r="O286" s="37" t="str">
        <f aca="false">IF(OR(D286="",D286=0,N286=""),"",N286/D286)</f>
        <v/>
      </c>
      <c r="P286" s="19" t="str">
        <f aca="false">IF(O286="","",IF(O286&gt;0.25,"ACRÉSCIMO ACIMA DE 25% — conferir",""))</f>
        <v/>
      </c>
      <c r="Q286" s="27"/>
      <c r="R286" s="5"/>
    </row>
    <row r="287" customFormat="false" ht="15" hidden="false" customHeight="false" outlineLevel="0" collapsed="false">
      <c r="A287" s="27"/>
      <c r="B287" s="5"/>
      <c r="C287" s="5"/>
      <c r="D287" s="35"/>
      <c r="E287" s="14"/>
      <c r="F287" s="18"/>
      <c r="G287" s="31" t="str">
        <f aca="false">IF(A287="","",IFERROR(IF(INDEX(Empresas!$C:$C,MATCH(A287,Empresas!$A:$A,0))="","",INDEX(Empresas!$C:$C,MATCH(A287,Empresas!$A:$A,0))),""))</f>
        <v/>
      </c>
      <c r="H287" s="18"/>
      <c r="I287" s="19" t="str">
        <f aca="false">IF(OR(F287="",G287=""),"",IF(F287-G287&lt;0,"CONTRATO ANTERIOR À ABERTURA — conferir datas",IF(F287-G287&lt;180,"ABERTA MENOS DE 6 MESES ANTES","")))</f>
        <v/>
      </c>
      <c r="J287" s="19" t="str">
        <f aca="false">IF(A287="","",IFERROR(INDEX(Sancoes!$B:$B,MATCH(A287,Sancoes!$A:$A,0))&amp;"","não consta"))</f>
        <v/>
      </c>
      <c r="K287" s="19" t="str">
        <f aca="false">IF(OR(A287="",F287=""),"",IF(SUMPRODUCT((Sancoes!$A$2:$A$301=A287)*(Sancoes!$B$2:$B$301&lt;&gt;"Não consta")*(Sancoes!$D$2:$D$301&lt;&gt;"")*(Sancoes!$D$2:$D$301&lt;=F287)*(((Sancoes!$E$2:$E$301="")+(Sancoes!$E$2:$E$301&gt;=F287))&gt;0))&gt;0,"SANÇÃO VIGENTE NA DATA — leia o tipo e a abrangência",""))</f>
        <v/>
      </c>
      <c r="L287" s="19" t="str">
        <f aca="false">IF(A287="","",IFERROR(INDEX(Empresas!$B:$B,MATCH(A287,Empresas!$A:$A,0))&amp;"","cadastre o CNPJ em Empresas"))</f>
        <v/>
      </c>
      <c r="M287" s="27"/>
      <c r="N287" s="35"/>
      <c r="O287" s="37" t="str">
        <f aca="false">IF(OR(D287="",D287=0,N287=""),"",N287/D287)</f>
        <v/>
      </c>
      <c r="P287" s="19" t="str">
        <f aca="false">IF(O287="","",IF(O287&gt;0.25,"ACRÉSCIMO ACIMA DE 25% — conferir",""))</f>
        <v/>
      </c>
      <c r="Q287" s="27"/>
      <c r="R287" s="5"/>
    </row>
    <row r="288" customFormat="false" ht="15" hidden="false" customHeight="false" outlineLevel="0" collapsed="false">
      <c r="A288" s="27"/>
      <c r="B288" s="5"/>
      <c r="C288" s="5"/>
      <c r="D288" s="35"/>
      <c r="E288" s="14"/>
      <c r="F288" s="18"/>
      <c r="G288" s="31" t="str">
        <f aca="false">IF(A288="","",IFERROR(IF(INDEX(Empresas!$C:$C,MATCH(A288,Empresas!$A:$A,0))="","",INDEX(Empresas!$C:$C,MATCH(A288,Empresas!$A:$A,0))),""))</f>
        <v/>
      </c>
      <c r="H288" s="18"/>
      <c r="I288" s="19" t="str">
        <f aca="false">IF(OR(F288="",G288=""),"",IF(F288-G288&lt;0,"CONTRATO ANTERIOR À ABERTURA — conferir datas",IF(F288-G288&lt;180,"ABERTA MENOS DE 6 MESES ANTES","")))</f>
        <v/>
      </c>
      <c r="J288" s="19" t="str">
        <f aca="false">IF(A288="","",IFERROR(INDEX(Sancoes!$B:$B,MATCH(A288,Sancoes!$A:$A,0))&amp;"","não consta"))</f>
        <v/>
      </c>
      <c r="K288" s="19" t="str">
        <f aca="false">IF(OR(A288="",F288=""),"",IF(SUMPRODUCT((Sancoes!$A$2:$A$301=A288)*(Sancoes!$B$2:$B$301&lt;&gt;"Não consta")*(Sancoes!$D$2:$D$301&lt;&gt;"")*(Sancoes!$D$2:$D$301&lt;=F288)*(((Sancoes!$E$2:$E$301="")+(Sancoes!$E$2:$E$301&gt;=F288))&gt;0))&gt;0,"SANÇÃO VIGENTE NA DATA — leia o tipo e a abrangência",""))</f>
        <v/>
      </c>
      <c r="L288" s="19" t="str">
        <f aca="false">IF(A288="","",IFERROR(INDEX(Empresas!$B:$B,MATCH(A288,Empresas!$A:$A,0))&amp;"","cadastre o CNPJ em Empresas"))</f>
        <v/>
      </c>
      <c r="M288" s="27"/>
      <c r="N288" s="35"/>
      <c r="O288" s="37" t="str">
        <f aca="false">IF(OR(D288="",D288=0,N288=""),"",N288/D288)</f>
        <v/>
      </c>
      <c r="P288" s="19" t="str">
        <f aca="false">IF(O288="","",IF(O288&gt;0.25,"ACRÉSCIMO ACIMA DE 25% — conferir",""))</f>
        <v/>
      </c>
      <c r="Q288" s="27"/>
      <c r="R288" s="5"/>
    </row>
    <row r="289" customFormat="false" ht="15" hidden="false" customHeight="false" outlineLevel="0" collapsed="false">
      <c r="A289" s="27"/>
      <c r="B289" s="5"/>
      <c r="C289" s="5"/>
      <c r="D289" s="35"/>
      <c r="E289" s="14"/>
      <c r="F289" s="18"/>
      <c r="G289" s="31" t="str">
        <f aca="false">IF(A289="","",IFERROR(IF(INDEX(Empresas!$C:$C,MATCH(A289,Empresas!$A:$A,0))="","",INDEX(Empresas!$C:$C,MATCH(A289,Empresas!$A:$A,0))),""))</f>
        <v/>
      </c>
      <c r="H289" s="18"/>
      <c r="I289" s="19" t="str">
        <f aca="false">IF(OR(F289="",G289=""),"",IF(F289-G289&lt;0,"CONTRATO ANTERIOR À ABERTURA — conferir datas",IF(F289-G289&lt;180,"ABERTA MENOS DE 6 MESES ANTES","")))</f>
        <v/>
      </c>
      <c r="J289" s="19" t="str">
        <f aca="false">IF(A289="","",IFERROR(INDEX(Sancoes!$B:$B,MATCH(A289,Sancoes!$A:$A,0))&amp;"","não consta"))</f>
        <v/>
      </c>
      <c r="K289" s="19" t="str">
        <f aca="false">IF(OR(A289="",F289=""),"",IF(SUMPRODUCT((Sancoes!$A$2:$A$301=A289)*(Sancoes!$B$2:$B$301&lt;&gt;"Não consta")*(Sancoes!$D$2:$D$301&lt;&gt;"")*(Sancoes!$D$2:$D$301&lt;=F289)*(((Sancoes!$E$2:$E$301="")+(Sancoes!$E$2:$E$301&gt;=F289))&gt;0))&gt;0,"SANÇÃO VIGENTE NA DATA — leia o tipo e a abrangência",""))</f>
        <v/>
      </c>
      <c r="L289" s="19" t="str">
        <f aca="false">IF(A289="","",IFERROR(INDEX(Empresas!$B:$B,MATCH(A289,Empresas!$A:$A,0))&amp;"","cadastre o CNPJ em Empresas"))</f>
        <v/>
      </c>
      <c r="M289" s="27"/>
      <c r="N289" s="35"/>
      <c r="O289" s="37" t="str">
        <f aca="false">IF(OR(D289="",D289=0,N289=""),"",N289/D289)</f>
        <v/>
      </c>
      <c r="P289" s="19" t="str">
        <f aca="false">IF(O289="","",IF(O289&gt;0.25,"ACRÉSCIMO ACIMA DE 25% — conferir",""))</f>
        <v/>
      </c>
      <c r="Q289" s="27"/>
      <c r="R289" s="5"/>
    </row>
    <row r="290" customFormat="false" ht="15" hidden="false" customHeight="false" outlineLevel="0" collapsed="false">
      <c r="A290" s="27"/>
      <c r="B290" s="5"/>
      <c r="C290" s="5"/>
      <c r="D290" s="35"/>
      <c r="E290" s="14"/>
      <c r="F290" s="18"/>
      <c r="G290" s="31" t="str">
        <f aca="false">IF(A290="","",IFERROR(IF(INDEX(Empresas!$C:$C,MATCH(A290,Empresas!$A:$A,0))="","",INDEX(Empresas!$C:$C,MATCH(A290,Empresas!$A:$A,0))),""))</f>
        <v/>
      </c>
      <c r="H290" s="18"/>
      <c r="I290" s="19" t="str">
        <f aca="false">IF(OR(F290="",G290=""),"",IF(F290-G290&lt;0,"CONTRATO ANTERIOR À ABERTURA — conferir datas",IF(F290-G290&lt;180,"ABERTA MENOS DE 6 MESES ANTES","")))</f>
        <v/>
      </c>
      <c r="J290" s="19" t="str">
        <f aca="false">IF(A290="","",IFERROR(INDEX(Sancoes!$B:$B,MATCH(A290,Sancoes!$A:$A,0))&amp;"","não consta"))</f>
        <v/>
      </c>
      <c r="K290" s="19" t="str">
        <f aca="false">IF(OR(A290="",F290=""),"",IF(SUMPRODUCT((Sancoes!$A$2:$A$301=A290)*(Sancoes!$B$2:$B$301&lt;&gt;"Não consta")*(Sancoes!$D$2:$D$301&lt;&gt;"")*(Sancoes!$D$2:$D$301&lt;=F290)*(((Sancoes!$E$2:$E$301="")+(Sancoes!$E$2:$E$301&gt;=F290))&gt;0))&gt;0,"SANÇÃO VIGENTE NA DATA — leia o tipo e a abrangência",""))</f>
        <v/>
      </c>
      <c r="L290" s="19" t="str">
        <f aca="false">IF(A290="","",IFERROR(INDEX(Empresas!$B:$B,MATCH(A290,Empresas!$A:$A,0))&amp;"","cadastre o CNPJ em Empresas"))</f>
        <v/>
      </c>
      <c r="M290" s="27"/>
      <c r="N290" s="35"/>
      <c r="O290" s="37" t="str">
        <f aca="false">IF(OR(D290="",D290=0,N290=""),"",N290/D290)</f>
        <v/>
      </c>
      <c r="P290" s="19" t="str">
        <f aca="false">IF(O290="","",IF(O290&gt;0.25,"ACRÉSCIMO ACIMA DE 25% — conferir",""))</f>
        <v/>
      </c>
      <c r="Q290" s="27"/>
      <c r="R290" s="5"/>
    </row>
    <row r="291" customFormat="false" ht="15" hidden="false" customHeight="false" outlineLevel="0" collapsed="false">
      <c r="A291" s="27"/>
      <c r="B291" s="5"/>
      <c r="C291" s="5"/>
      <c r="D291" s="35"/>
      <c r="E291" s="14"/>
      <c r="F291" s="18"/>
      <c r="G291" s="31" t="str">
        <f aca="false">IF(A291="","",IFERROR(IF(INDEX(Empresas!$C:$C,MATCH(A291,Empresas!$A:$A,0))="","",INDEX(Empresas!$C:$C,MATCH(A291,Empresas!$A:$A,0))),""))</f>
        <v/>
      </c>
      <c r="H291" s="18"/>
      <c r="I291" s="19" t="str">
        <f aca="false">IF(OR(F291="",G291=""),"",IF(F291-G291&lt;0,"CONTRATO ANTERIOR À ABERTURA — conferir datas",IF(F291-G291&lt;180,"ABERTA MENOS DE 6 MESES ANTES","")))</f>
        <v/>
      </c>
      <c r="J291" s="19" t="str">
        <f aca="false">IF(A291="","",IFERROR(INDEX(Sancoes!$B:$B,MATCH(A291,Sancoes!$A:$A,0))&amp;"","não consta"))</f>
        <v/>
      </c>
      <c r="K291" s="19" t="str">
        <f aca="false">IF(OR(A291="",F291=""),"",IF(SUMPRODUCT((Sancoes!$A$2:$A$301=A291)*(Sancoes!$B$2:$B$301&lt;&gt;"Não consta")*(Sancoes!$D$2:$D$301&lt;&gt;"")*(Sancoes!$D$2:$D$301&lt;=F291)*(((Sancoes!$E$2:$E$301="")+(Sancoes!$E$2:$E$301&gt;=F291))&gt;0))&gt;0,"SANÇÃO VIGENTE NA DATA — leia o tipo e a abrangência",""))</f>
        <v/>
      </c>
      <c r="L291" s="19" t="str">
        <f aca="false">IF(A291="","",IFERROR(INDEX(Empresas!$B:$B,MATCH(A291,Empresas!$A:$A,0))&amp;"","cadastre o CNPJ em Empresas"))</f>
        <v/>
      </c>
      <c r="M291" s="27"/>
      <c r="N291" s="35"/>
      <c r="O291" s="37" t="str">
        <f aca="false">IF(OR(D291="",D291=0,N291=""),"",N291/D291)</f>
        <v/>
      </c>
      <c r="P291" s="19" t="str">
        <f aca="false">IF(O291="","",IF(O291&gt;0.25,"ACRÉSCIMO ACIMA DE 25% — conferir",""))</f>
        <v/>
      </c>
      <c r="Q291" s="27"/>
      <c r="R291" s="5"/>
    </row>
    <row r="292" customFormat="false" ht="15" hidden="false" customHeight="false" outlineLevel="0" collapsed="false">
      <c r="A292" s="27"/>
      <c r="B292" s="5"/>
      <c r="C292" s="5"/>
      <c r="D292" s="35"/>
      <c r="E292" s="14"/>
      <c r="F292" s="18"/>
      <c r="G292" s="31" t="str">
        <f aca="false">IF(A292="","",IFERROR(IF(INDEX(Empresas!$C:$C,MATCH(A292,Empresas!$A:$A,0))="","",INDEX(Empresas!$C:$C,MATCH(A292,Empresas!$A:$A,0))),""))</f>
        <v/>
      </c>
      <c r="H292" s="18"/>
      <c r="I292" s="19" t="str">
        <f aca="false">IF(OR(F292="",G292=""),"",IF(F292-G292&lt;0,"CONTRATO ANTERIOR À ABERTURA — conferir datas",IF(F292-G292&lt;180,"ABERTA MENOS DE 6 MESES ANTES","")))</f>
        <v/>
      </c>
      <c r="J292" s="19" t="str">
        <f aca="false">IF(A292="","",IFERROR(INDEX(Sancoes!$B:$B,MATCH(A292,Sancoes!$A:$A,0))&amp;"","não consta"))</f>
        <v/>
      </c>
      <c r="K292" s="19" t="str">
        <f aca="false">IF(OR(A292="",F292=""),"",IF(SUMPRODUCT((Sancoes!$A$2:$A$301=A292)*(Sancoes!$B$2:$B$301&lt;&gt;"Não consta")*(Sancoes!$D$2:$D$301&lt;&gt;"")*(Sancoes!$D$2:$D$301&lt;=F292)*(((Sancoes!$E$2:$E$301="")+(Sancoes!$E$2:$E$301&gt;=F292))&gt;0))&gt;0,"SANÇÃO VIGENTE NA DATA — leia o tipo e a abrangência",""))</f>
        <v/>
      </c>
      <c r="L292" s="19" t="str">
        <f aca="false">IF(A292="","",IFERROR(INDEX(Empresas!$B:$B,MATCH(A292,Empresas!$A:$A,0))&amp;"","cadastre o CNPJ em Empresas"))</f>
        <v/>
      </c>
      <c r="M292" s="27"/>
      <c r="N292" s="35"/>
      <c r="O292" s="37" t="str">
        <f aca="false">IF(OR(D292="",D292=0,N292=""),"",N292/D292)</f>
        <v/>
      </c>
      <c r="P292" s="19" t="str">
        <f aca="false">IF(O292="","",IF(O292&gt;0.25,"ACRÉSCIMO ACIMA DE 25% — conferir",""))</f>
        <v/>
      </c>
      <c r="Q292" s="27"/>
      <c r="R292" s="5"/>
    </row>
    <row r="293" customFormat="false" ht="15" hidden="false" customHeight="false" outlineLevel="0" collapsed="false">
      <c r="A293" s="27"/>
      <c r="B293" s="5"/>
      <c r="C293" s="5"/>
      <c r="D293" s="35"/>
      <c r="E293" s="14"/>
      <c r="F293" s="18"/>
      <c r="G293" s="31" t="str">
        <f aca="false">IF(A293="","",IFERROR(IF(INDEX(Empresas!$C:$C,MATCH(A293,Empresas!$A:$A,0))="","",INDEX(Empresas!$C:$C,MATCH(A293,Empresas!$A:$A,0))),""))</f>
        <v/>
      </c>
      <c r="H293" s="18"/>
      <c r="I293" s="19" t="str">
        <f aca="false">IF(OR(F293="",G293=""),"",IF(F293-G293&lt;0,"CONTRATO ANTERIOR À ABERTURA — conferir datas",IF(F293-G293&lt;180,"ABERTA MENOS DE 6 MESES ANTES","")))</f>
        <v/>
      </c>
      <c r="J293" s="19" t="str">
        <f aca="false">IF(A293="","",IFERROR(INDEX(Sancoes!$B:$B,MATCH(A293,Sancoes!$A:$A,0))&amp;"","não consta"))</f>
        <v/>
      </c>
      <c r="K293" s="19" t="str">
        <f aca="false">IF(OR(A293="",F293=""),"",IF(SUMPRODUCT((Sancoes!$A$2:$A$301=A293)*(Sancoes!$B$2:$B$301&lt;&gt;"Não consta")*(Sancoes!$D$2:$D$301&lt;&gt;"")*(Sancoes!$D$2:$D$301&lt;=F293)*(((Sancoes!$E$2:$E$301="")+(Sancoes!$E$2:$E$301&gt;=F293))&gt;0))&gt;0,"SANÇÃO VIGENTE NA DATA — leia o tipo e a abrangência",""))</f>
        <v/>
      </c>
      <c r="L293" s="19" t="str">
        <f aca="false">IF(A293="","",IFERROR(INDEX(Empresas!$B:$B,MATCH(A293,Empresas!$A:$A,0))&amp;"","cadastre o CNPJ em Empresas"))</f>
        <v/>
      </c>
      <c r="M293" s="27"/>
      <c r="N293" s="35"/>
      <c r="O293" s="37" t="str">
        <f aca="false">IF(OR(D293="",D293=0,N293=""),"",N293/D293)</f>
        <v/>
      </c>
      <c r="P293" s="19" t="str">
        <f aca="false">IF(O293="","",IF(O293&gt;0.25,"ACRÉSCIMO ACIMA DE 25% — conferir",""))</f>
        <v/>
      </c>
      <c r="Q293" s="27"/>
      <c r="R293" s="5"/>
    </row>
    <row r="294" customFormat="false" ht="15" hidden="false" customHeight="false" outlineLevel="0" collapsed="false">
      <c r="A294" s="27"/>
      <c r="B294" s="5"/>
      <c r="C294" s="5"/>
      <c r="D294" s="35"/>
      <c r="E294" s="14"/>
      <c r="F294" s="18"/>
      <c r="G294" s="31" t="str">
        <f aca="false">IF(A294="","",IFERROR(IF(INDEX(Empresas!$C:$C,MATCH(A294,Empresas!$A:$A,0))="","",INDEX(Empresas!$C:$C,MATCH(A294,Empresas!$A:$A,0))),""))</f>
        <v/>
      </c>
      <c r="H294" s="18"/>
      <c r="I294" s="19" t="str">
        <f aca="false">IF(OR(F294="",G294=""),"",IF(F294-G294&lt;0,"CONTRATO ANTERIOR À ABERTURA — conferir datas",IF(F294-G294&lt;180,"ABERTA MENOS DE 6 MESES ANTES","")))</f>
        <v/>
      </c>
      <c r="J294" s="19" t="str">
        <f aca="false">IF(A294="","",IFERROR(INDEX(Sancoes!$B:$B,MATCH(A294,Sancoes!$A:$A,0))&amp;"","não consta"))</f>
        <v/>
      </c>
      <c r="K294" s="19" t="str">
        <f aca="false">IF(OR(A294="",F294=""),"",IF(SUMPRODUCT((Sancoes!$A$2:$A$301=A294)*(Sancoes!$B$2:$B$301&lt;&gt;"Não consta")*(Sancoes!$D$2:$D$301&lt;&gt;"")*(Sancoes!$D$2:$D$301&lt;=F294)*(((Sancoes!$E$2:$E$301="")+(Sancoes!$E$2:$E$301&gt;=F294))&gt;0))&gt;0,"SANÇÃO VIGENTE NA DATA — leia o tipo e a abrangência",""))</f>
        <v/>
      </c>
      <c r="L294" s="19" t="str">
        <f aca="false">IF(A294="","",IFERROR(INDEX(Empresas!$B:$B,MATCH(A294,Empresas!$A:$A,0))&amp;"","cadastre o CNPJ em Empresas"))</f>
        <v/>
      </c>
      <c r="M294" s="27"/>
      <c r="N294" s="35"/>
      <c r="O294" s="37" t="str">
        <f aca="false">IF(OR(D294="",D294=0,N294=""),"",N294/D294)</f>
        <v/>
      </c>
      <c r="P294" s="19" t="str">
        <f aca="false">IF(O294="","",IF(O294&gt;0.25,"ACRÉSCIMO ACIMA DE 25% — conferir",""))</f>
        <v/>
      </c>
      <c r="Q294" s="27"/>
      <c r="R294" s="5"/>
    </row>
    <row r="295" customFormat="false" ht="15" hidden="false" customHeight="false" outlineLevel="0" collapsed="false">
      <c r="A295" s="27"/>
      <c r="B295" s="5"/>
      <c r="C295" s="5"/>
      <c r="D295" s="35"/>
      <c r="E295" s="14"/>
      <c r="F295" s="18"/>
      <c r="G295" s="31" t="str">
        <f aca="false">IF(A295="","",IFERROR(IF(INDEX(Empresas!$C:$C,MATCH(A295,Empresas!$A:$A,0))="","",INDEX(Empresas!$C:$C,MATCH(A295,Empresas!$A:$A,0))),""))</f>
        <v/>
      </c>
      <c r="H295" s="18"/>
      <c r="I295" s="19" t="str">
        <f aca="false">IF(OR(F295="",G295=""),"",IF(F295-G295&lt;0,"CONTRATO ANTERIOR À ABERTURA — conferir datas",IF(F295-G295&lt;180,"ABERTA MENOS DE 6 MESES ANTES","")))</f>
        <v/>
      </c>
      <c r="J295" s="19" t="str">
        <f aca="false">IF(A295="","",IFERROR(INDEX(Sancoes!$B:$B,MATCH(A295,Sancoes!$A:$A,0))&amp;"","não consta"))</f>
        <v/>
      </c>
      <c r="K295" s="19" t="str">
        <f aca="false">IF(OR(A295="",F295=""),"",IF(SUMPRODUCT((Sancoes!$A$2:$A$301=A295)*(Sancoes!$B$2:$B$301&lt;&gt;"Não consta")*(Sancoes!$D$2:$D$301&lt;&gt;"")*(Sancoes!$D$2:$D$301&lt;=F295)*(((Sancoes!$E$2:$E$301="")+(Sancoes!$E$2:$E$301&gt;=F295))&gt;0))&gt;0,"SANÇÃO VIGENTE NA DATA — leia o tipo e a abrangência",""))</f>
        <v/>
      </c>
      <c r="L295" s="19" t="str">
        <f aca="false">IF(A295="","",IFERROR(INDEX(Empresas!$B:$B,MATCH(A295,Empresas!$A:$A,0))&amp;"","cadastre o CNPJ em Empresas"))</f>
        <v/>
      </c>
      <c r="M295" s="27"/>
      <c r="N295" s="35"/>
      <c r="O295" s="37" t="str">
        <f aca="false">IF(OR(D295="",D295=0,N295=""),"",N295/D295)</f>
        <v/>
      </c>
      <c r="P295" s="19" t="str">
        <f aca="false">IF(O295="","",IF(O295&gt;0.25,"ACRÉSCIMO ACIMA DE 25% — conferir",""))</f>
        <v/>
      </c>
      <c r="Q295" s="27"/>
      <c r="R295" s="5"/>
    </row>
    <row r="296" customFormat="false" ht="15" hidden="false" customHeight="false" outlineLevel="0" collapsed="false">
      <c r="A296" s="27"/>
      <c r="B296" s="5"/>
      <c r="C296" s="5"/>
      <c r="D296" s="35"/>
      <c r="E296" s="14"/>
      <c r="F296" s="18"/>
      <c r="G296" s="31" t="str">
        <f aca="false">IF(A296="","",IFERROR(IF(INDEX(Empresas!$C:$C,MATCH(A296,Empresas!$A:$A,0))="","",INDEX(Empresas!$C:$C,MATCH(A296,Empresas!$A:$A,0))),""))</f>
        <v/>
      </c>
      <c r="H296" s="18"/>
      <c r="I296" s="19" t="str">
        <f aca="false">IF(OR(F296="",G296=""),"",IF(F296-G296&lt;0,"CONTRATO ANTERIOR À ABERTURA — conferir datas",IF(F296-G296&lt;180,"ABERTA MENOS DE 6 MESES ANTES","")))</f>
        <v/>
      </c>
      <c r="J296" s="19" t="str">
        <f aca="false">IF(A296="","",IFERROR(INDEX(Sancoes!$B:$B,MATCH(A296,Sancoes!$A:$A,0))&amp;"","não consta"))</f>
        <v/>
      </c>
      <c r="K296" s="19" t="str">
        <f aca="false">IF(OR(A296="",F296=""),"",IF(SUMPRODUCT((Sancoes!$A$2:$A$301=A296)*(Sancoes!$B$2:$B$301&lt;&gt;"Não consta")*(Sancoes!$D$2:$D$301&lt;&gt;"")*(Sancoes!$D$2:$D$301&lt;=F296)*(((Sancoes!$E$2:$E$301="")+(Sancoes!$E$2:$E$301&gt;=F296))&gt;0))&gt;0,"SANÇÃO VIGENTE NA DATA — leia o tipo e a abrangência",""))</f>
        <v/>
      </c>
      <c r="L296" s="19" t="str">
        <f aca="false">IF(A296="","",IFERROR(INDEX(Empresas!$B:$B,MATCH(A296,Empresas!$A:$A,0))&amp;"","cadastre o CNPJ em Empresas"))</f>
        <v/>
      </c>
      <c r="M296" s="27"/>
      <c r="N296" s="35"/>
      <c r="O296" s="37" t="str">
        <f aca="false">IF(OR(D296="",D296=0,N296=""),"",N296/D296)</f>
        <v/>
      </c>
      <c r="P296" s="19" t="str">
        <f aca="false">IF(O296="","",IF(O296&gt;0.25,"ACRÉSCIMO ACIMA DE 25% — conferir",""))</f>
        <v/>
      </c>
      <c r="Q296" s="27"/>
      <c r="R296" s="5"/>
    </row>
    <row r="297" customFormat="false" ht="15" hidden="false" customHeight="false" outlineLevel="0" collapsed="false">
      <c r="A297" s="27"/>
      <c r="B297" s="5"/>
      <c r="C297" s="5"/>
      <c r="D297" s="35"/>
      <c r="E297" s="14"/>
      <c r="F297" s="18"/>
      <c r="G297" s="31" t="str">
        <f aca="false">IF(A297="","",IFERROR(IF(INDEX(Empresas!$C:$C,MATCH(A297,Empresas!$A:$A,0))="","",INDEX(Empresas!$C:$C,MATCH(A297,Empresas!$A:$A,0))),""))</f>
        <v/>
      </c>
      <c r="H297" s="18"/>
      <c r="I297" s="19" t="str">
        <f aca="false">IF(OR(F297="",G297=""),"",IF(F297-G297&lt;0,"CONTRATO ANTERIOR À ABERTURA — conferir datas",IF(F297-G297&lt;180,"ABERTA MENOS DE 6 MESES ANTES","")))</f>
        <v/>
      </c>
      <c r="J297" s="19" t="str">
        <f aca="false">IF(A297="","",IFERROR(INDEX(Sancoes!$B:$B,MATCH(A297,Sancoes!$A:$A,0))&amp;"","não consta"))</f>
        <v/>
      </c>
      <c r="K297" s="19" t="str">
        <f aca="false">IF(OR(A297="",F297=""),"",IF(SUMPRODUCT((Sancoes!$A$2:$A$301=A297)*(Sancoes!$B$2:$B$301&lt;&gt;"Não consta")*(Sancoes!$D$2:$D$301&lt;&gt;"")*(Sancoes!$D$2:$D$301&lt;=F297)*(((Sancoes!$E$2:$E$301="")+(Sancoes!$E$2:$E$301&gt;=F297))&gt;0))&gt;0,"SANÇÃO VIGENTE NA DATA — leia o tipo e a abrangência",""))</f>
        <v/>
      </c>
      <c r="L297" s="19" t="str">
        <f aca="false">IF(A297="","",IFERROR(INDEX(Empresas!$B:$B,MATCH(A297,Empresas!$A:$A,0))&amp;"","cadastre o CNPJ em Empresas"))</f>
        <v/>
      </c>
      <c r="M297" s="27"/>
      <c r="N297" s="35"/>
      <c r="O297" s="37" t="str">
        <f aca="false">IF(OR(D297="",D297=0,N297=""),"",N297/D297)</f>
        <v/>
      </c>
      <c r="P297" s="19" t="str">
        <f aca="false">IF(O297="","",IF(O297&gt;0.25,"ACRÉSCIMO ACIMA DE 25% — conferir",""))</f>
        <v/>
      </c>
      <c r="Q297" s="27"/>
      <c r="R297" s="5"/>
    </row>
    <row r="298" customFormat="false" ht="15" hidden="false" customHeight="false" outlineLevel="0" collapsed="false">
      <c r="A298" s="27"/>
      <c r="B298" s="5"/>
      <c r="C298" s="5"/>
      <c r="D298" s="35"/>
      <c r="E298" s="14"/>
      <c r="F298" s="18"/>
      <c r="G298" s="31" t="str">
        <f aca="false">IF(A298="","",IFERROR(IF(INDEX(Empresas!$C:$C,MATCH(A298,Empresas!$A:$A,0))="","",INDEX(Empresas!$C:$C,MATCH(A298,Empresas!$A:$A,0))),""))</f>
        <v/>
      </c>
      <c r="H298" s="18"/>
      <c r="I298" s="19" t="str">
        <f aca="false">IF(OR(F298="",G298=""),"",IF(F298-G298&lt;0,"CONTRATO ANTERIOR À ABERTURA — conferir datas",IF(F298-G298&lt;180,"ABERTA MENOS DE 6 MESES ANTES","")))</f>
        <v/>
      </c>
      <c r="J298" s="19" t="str">
        <f aca="false">IF(A298="","",IFERROR(INDEX(Sancoes!$B:$B,MATCH(A298,Sancoes!$A:$A,0))&amp;"","não consta"))</f>
        <v/>
      </c>
      <c r="K298" s="19" t="str">
        <f aca="false">IF(OR(A298="",F298=""),"",IF(SUMPRODUCT((Sancoes!$A$2:$A$301=A298)*(Sancoes!$B$2:$B$301&lt;&gt;"Não consta")*(Sancoes!$D$2:$D$301&lt;&gt;"")*(Sancoes!$D$2:$D$301&lt;=F298)*(((Sancoes!$E$2:$E$301="")+(Sancoes!$E$2:$E$301&gt;=F298))&gt;0))&gt;0,"SANÇÃO VIGENTE NA DATA — leia o tipo e a abrangência",""))</f>
        <v/>
      </c>
      <c r="L298" s="19" t="str">
        <f aca="false">IF(A298="","",IFERROR(INDEX(Empresas!$B:$B,MATCH(A298,Empresas!$A:$A,0))&amp;"","cadastre o CNPJ em Empresas"))</f>
        <v/>
      </c>
      <c r="M298" s="27"/>
      <c r="N298" s="35"/>
      <c r="O298" s="37" t="str">
        <f aca="false">IF(OR(D298="",D298=0,N298=""),"",N298/D298)</f>
        <v/>
      </c>
      <c r="P298" s="19" t="str">
        <f aca="false">IF(O298="","",IF(O298&gt;0.25,"ACRÉSCIMO ACIMA DE 25% — conferir",""))</f>
        <v/>
      </c>
      <c r="Q298" s="27"/>
      <c r="R298" s="5"/>
    </row>
    <row r="299" customFormat="false" ht="15" hidden="false" customHeight="false" outlineLevel="0" collapsed="false">
      <c r="A299" s="27"/>
      <c r="B299" s="5"/>
      <c r="C299" s="5"/>
      <c r="D299" s="35"/>
      <c r="E299" s="14"/>
      <c r="F299" s="18"/>
      <c r="G299" s="31" t="str">
        <f aca="false">IF(A299="","",IFERROR(IF(INDEX(Empresas!$C:$C,MATCH(A299,Empresas!$A:$A,0))="","",INDEX(Empresas!$C:$C,MATCH(A299,Empresas!$A:$A,0))),""))</f>
        <v/>
      </c>
      <c r="H299" s="18"/>
      <c r="I299" s="19" t="str">
        <f aca="false">IF(OR(F299="",G299=""),"",IF(F299-G299&lt;0,"CONTRATO ANTERIOR À ABERTURA — conferir datas",IF(F299-G299&lt;180,"ABERTA MENOS DE 6 MESES ANTES","")))</f>
        <v/>
      </c>
      <c r="J299" s="19" t="str">
        <f aca="false">IF(A299="","",IFERROR(INDEX(Sancoes!$B:$B,MATCH(A299,Sancoes!$A:$A,0))&amp;"","não consta"))</f>
        <v/>
      </c>
      <c r="K299" s="19" t="str">
        <f aca="false">IF(OR(A299="",F299=""),"",IF(SUMPRODUCT((Sancoes!$A$2:$A$301=A299)*(Sancoes!$B$2:$B$301&lt;&gt;"Não consta")*(Sancoes!$D$2:$D$301&lt;&gt;"")*(Sancoes!$D$2:$D$301&lt;=F299)*(((Sancoes!$E$2:$E$301="")+(Sancoes!$E$2:$E$301&gt;=F299))&gt;0))&gt;0,"SANÇÃO VIGENTE NA DATA — leia o tipo e a abrangência",""))</f>
        <v/>
      </c>
      <c r="L299" s="19" t="str">
        <f aca="false">IF(A299="","",IFERROR(INDEX(Empresas!$B:$B,MATCH(A299,Empresas!$A:$A,0))&amp;"","cadastre o CNPJ em Empresas"))</f>
        <v/>
      </c>
      <c r="M299" s="27"/>
      <c r="N299" s="35"/>
      <c r="O299" s="37" t="str">
        <f aca="false">IF(OR(D299="",D299=0,N299=""),"",N299/D299)</f>
        <v/>
      </c>
      <c r="P299" s="19" t="str">
        <f aca="false">IF(O299="","",IF(O299&gt;0.25,"ACRÉSCIMO ACIMA DE 25% — conferir",""))</f>
        <v/>
      </c>
      <c r="Q299" s="27"/>
      <c r="R299" s="5"/>
    </row>
    <row r="300" customFormat="false" ht="15" hidden="false" customHeight="false" outlineLevel="0" collapsed="false">
      <c r="A300" s="27"/>
      <c r="B300" s="5"/>
      <c r="C300" s="5"/>
      <c r="D300" s="35"/>
      <c r="E300" s="14"/>
      <c r="F300" s="18"/>
      <c r="G300" s="31" t="str">
        <f aca="false">IF(A300="","",IFERROR(IF(INDEX(Empresas!$C:$C,MATCH(A300,Empresas!$A:$A,0))="","",INDEX(Empresas!$C:$C,MATCH(A300,Empresas!$A:$A,0))),""))</f>
        <v/>
      </c>
      <c r="H300" s="18"/>
      <c r="I300" s="19" t="str">
        <f aca="false">IF(OR(F300="",G300=""),"",IF(F300-G300&lt;0,"CONTRATO ANTERIOR À ABERTURA — conferir datas",IF(F300-G300&lt;180,"ABERTA MENOS DE 6 MESES ANTES","")))</f>
        <v/>
      </c>
      <c r="J300" s="19" t="str">
        <f aca="false">IF(A300="","",IFERROR(INDEX(Sancoes!$B:$B,MATCH(A300,Sancoes!$A:$A,0))&amp;"","não consta"))</f>
        <v/>
      </c>
      <c r="K300" s="19" t="str">
        <f aca="false">IF(OR(A300="",F300=""),"",IF(SUMPRODUCT((Sancoes!$A$2:$A$301=A300)*(Sancoes!$B$2:$B$301&lt;&gt;"Não consta")*(Sancoes!$D$2:$D$301&lt;&gt;"")*(Sancoes!$D$2:$D$301&lt;=F300)*(((Sancoes!$E$2:$E$301="")+(Sancoes!$E$2:$E$301&gt;=F300))&gt;0))&gt;0,"SANÇÃO VIGENTE NA DATA — leia o tipo e a abrangência",""))</f>
        <v/>
      </c>
      <c r="L300" s="19" t="str">
        <f aca="false">IF(A300="","",IFERROR(INDEX(Empresas!$B:$B,MATCH(A300,Empresas!$A:$A,0))&amp;"","cadastre o CNPJ em Empresas"))</f>
        <v/>
      </c>
      <c r="M300" s="27"/>
      <c r="N300" s="35"/>
      <c r="O300" s="37" t="str">
        <f aca="false">IF(OR(D300="",D300=0,N300=""),"",N300/D300)</f>
        <v/>
      </c>
      <c r="P300" s="19" t="str">
        <f aca="false">IF(O300="","",IF(O300&gt;0.25,"ACRÉSCIMO ACIMA DE 25% — conferir",""))</f>
        <v/>
      </c>
      <c r="Q300" s="27"/>
      <c r="R300" s="5"/>
    </row>
    <row r="301" customFormat="false" ht="15" hidden="false" customHeight="false" outlineLevel="0" collapsed="false">
      <c r="A301" s="27"/>
      <c r="B301" s="5"/>
      <c r="C301" s="5"/>
      <c r="D301" s="35"/>
      <c r="E301" s="14"/>
      <c r="F301" s="18"/>
      <c r="G301" s="31" t="str">
        <f aca="false">IF(A301="","",IFERROR(IF(INDEX(Empresas!$C:$C,MATCH(A301,Empresas!$A:$A,0))="","",INDEX(Empresas!$C:$C,MATCH(A301,Empresas!$A:$A,0))),""))</f>
        <v/>
      </c>
      <c r="H301" s="18"/>
      <c r="I301" s="19" t="str">
        <f aca="false">IF(OR(F301="",G301=""),"",IF(F301-G301&lt;0,"CONTRATO ANTERIOR À ABERTURA — conferir datas",IF(F301-G301&lt;180,"ABERTA MENOS DE 6 MESES ANTES","")))</f>
        <v/>
      </c>
      <c r="J301" s="19" t="str">
        <f aca="false">IF(A301="","",IFERROR(INDEX(Sancoes!$B:$B,MATCH(A301,Sancoes!$A:$A,0))&amp;"","não consta"))</f>
        <v/>
      </c>
      <c r="K301" s="19" t="str">
        <f aca="false">IF(OR(A301="",F301=""),"",IF(SUMPRODUCT((Sancoes!$A$2:$A$301=A301)*(Sancoes!$B$2:$B$301&lt;&gt;"Não consta")*(Sancoes!$D$2:$D$301&lt;&gt;"")*(Sancoes!$D$2:$D$301&lt;=F301)*(((Sancoes!$E$2:$E$301="")+(Sancoes!$E$2:$E$301&gt;=F301))&gt;0))&gt;0,"SANÇÃO VIGENTE NA DATA — leia o tipo e a abrangência",""))</f>
        <v/>
      </c>
      <c r="L301" s="19" t="str">
        <f aca="false">IF(A301="","",IFERROR(INDEX(Empresas!$B:$B,MATCH(A301,Empresas!$A:$A,0))&amp;"","cadastre o CNPJ em Empresas"))</f>
        <v/>
      </c>
      <c r="M301" s="27"/>
      <c r="N301" s="35"/>
      <c r="O301" s="37" t="str">
        <f aca="false">IF(OR(D301="",D301=0,N301=""),"",N301/D301)</f>
        <v/>
      </c>
      <c r="P301" s="19" t="str">
        <f aca="false">IF(O301="","",IF(O301&gt;0.25,"ACRÉSCIMO ACIMA DE 25% — conferir",""))</f>
        <v/>
      </c>
      <c r="Q301" s="27"/>
      <c r="R301" s="5"/>
    </row>
    <row r="302" customFormat="false" ht="15" hidden="false" customHeight="false" outlineLevel="0" collapsed="false">
      <c r="A302" s="27"/>
      <c r="B302" s="5"/>
      <c r="C302" s="5"/>
      <c r="D302" s="35"/>
      <c r="E302" s="14"/>
      <c r="F302" s="18"/>
      <c r="G302" s="31" t="str">
        <f aca="false">IF(A302="","",IFERROR(IF(INDEX(Empresas!$C:$C,MATCH(A302,Empresas!$A:$A,0))="","",INDEX(Empresas!$C:$C,MATCH(A302,Empresas!$A:$A,0))),""))</f>
        <v/>
      </c>
      <c r="H302" s="18"/>
      <c r="I302" s="19" t="str">
        <f aca="false">IF(OR(F302="",G302=""),"",IF(F302-G302&lt;0,"CONTRATO ANTERIOR À ABERTURA — conferir datas",IF(F302-G302&lt;180,"ABERTA MENOS DE 6 MESES ANTES","")))</f>
        <v/>
      </c>
      <c r="J302" s="19" t="str">
        <f aca="false">IF(A302="","",IFERROR(INDEX(Sancoes!$B:$B,MATCH(A302,Sancoes!$A:$A,0))&amp;"","não consta"))</f>
        <v/>
      </c>
      <c r="K302" s="19" t="str">
        <f aca="false">IF(OR(A302="",F302=""),"",IF(SUMPRODUCT((Sancoes!$A$2:$A$301=A302)*(Sancoes!$B$2:$B$301&lt;&gt;"Não consta")*(Sancoes!$D$2:$D$301&lt;&gt;"")*(Sancoes!$D$2:$D$301&lt;=F302)*(((Sancoes!$E$2:$E$301="")+(Sancoes!$E$2:$E$301&gt;=F302))&gt;0))&gt;0,"SANÇÃO VIGENTE NA DATA — leia o tipo e a abrangência",""))</f>
        <v/>
      </c>
      <c r="L302" s="19" t="str">
        <f aca="false">IF(A302="","",IFERROR(INDEX(Empresas!$B:$B,MATCH(A302,Empresas!$A:$A,0))&amp;"","cadastre o CNPJ em Empresas"))</f>
        <v/>
      </c>
      <c r="M302" s="27"/>
      <c r="N302" s="35"/>
      <c r="O302" s="37" t="str">
        <f aca="false">IF(OR(D302="",D302=0,N302=""),"",N302/D302)</f>
        <v/>
      </c>
      <c r="P302" s="19" t="str">
        <f aca="false">IF(O302="","",IF(O302&gt;0.25,"ACRÉSCIMO ACIMA DE 25% — conferir",""))</f>
        <v/>
      </c>
      <c r="Q302" s="27"/>
      <c r="R302" s="5"/>
    </row>
    <row r="303" customFormat="false" ht="15" hidden="false" customHeight="false" outlineLevel="0" collapsed="false">
      <c r="A303" s="27"/>
      <c r="B303" s="5"/>
      <c r="C303" s="5"/>
      <c r="D303" s="35"/>
      <c r="E303" s="14"/>
      <c r="F303" s="18"/>
      <c r="G303" s="31" t="str">
        <f aca="false">IF(A303="","",IFERROR(IF(INDEX(Empresas!$C:$C,MATCH(A303,Empresas!$A:$A,0))="","",INDEX(Empresas!$C:$C,MATCH(A303,Empresas!$A:$A,0))),""))</f>
        <v/>
      </c>
      <c r="H303" s="18"/>
      <c r="I303" s="19" t="str">
        <f aca="false">IF(OR(F303="",G303=""),"",IF(F303-G303&lt;0,"CONTRATO ANTERIOR À ABERTURA — conferir datas",IF(F303-G303&lt;180,"ABERTA MENOS DE 6 MESES ANTES","")))</f>
        <v/>
      </c>
      <c r="J303" s="19" t="str">
        <f aca="false">IF(A303="","",IFERROR(INDEX(Sancoes!$B:$B,MATCH(A303,Sancoes!$A:$A,0))&amp;"","não consta"))</f>
        <v/>
      </c>
      <c r="K303" s="19" t="str">
        <f aca="false">IF(OR(A303="",F303=""),"",IF(SUMPRODUCT((Sancoes!$A$2:$A$301=A303)*(Sancoes!$B$2:$B$301&lt;&gt;"Não consta")*(Sancoes!$D$2:$D$301&lt;&gt;"")*(Sancoes!$D$2:$D$301&lt;=F303)*(((Sancoes!$E$2:$E$301="")+(Sancoes!$E$2:$E$301&gt;=F303))&gt;0))&gt;0,"SANÇÃO VIGENTE NA DATA — leia o tipo e a abrangência",""))</f>
        <v/>
      </c>
      <c r="L303" s="19" t="str">
        <f aca="false">IF(A303="","",IFERROR(INDEX(Empresas!$B:$B,MATCH(A303,Empresas!$A:$A,0))&amp;"","cadastre o CNPJ em Empresas"))</f>
        <v/>
      </c>
      <c r="M303" s="27"/>
      <c r="N303" s="35"/>
      <c r="O303" s="37" t="str">
        <f aca="false">IF(OR(D303="",D303=0,N303=""),"",N303/D303)</f>
        <v/>
      </c>
      <c r="P303" s="19" t="str">
        <f aca="false">IF(O303="","",IF(O303&gt;0.25,"ACRÉSCIMO ACIMA DE 25% — conferir",""))</f>
        <v/>
      </c>
      <c r="Q303" s="27"/>
      <c r="R303" s="5"/>
    </row>
    <row r="304" customFormat="false" ht="15" hidden="false" customHeight="false" outlineLevel="0" collapsed="false">
      <c r="A304" s="27"/>
      <c r="B304" s="5"/>
      <c r="C304" s="5"/>
      <c r="D304" s="35"/>
      <c r="E304" s="14"/>
      <c r="F304" s="18"/>
      <c r="G304" s="31" t="str">
        <f aca="false">IF(A304="","",IFERROR(IF(INDEX(Empresas!$C:$C,MATCH(A304,Empresas!$A:$A,0))="","",INDEX(Empresas!$C:$C,MATCH(A304,Empresas!$A:$A,0))),""))</f>
        <v/>
      </c>
      <c r="H304" s="18"/>
      <c r="I304" s="19" t="str">
        <f aca="false">IF(OR(F304="",G304=""),"",IF(F304-G304&lt;0,"CONTRATO ANTERIOR À ABERTURA — conferir datas",IF(F304-G304&lt;180,"ABERTA MENOS DE 6 MESES ANTES","")))</f>
        <v/>
      </c>
      <c r="J304" s="19" t="str">
        <f aca="false">IF(A304="","",IFERROR(INDEX(Sancoes!$B:$B,MATCH(A304,Sancoes!$A:$A,0))&amp;"","não consta"))</f>
        <v/>
      </c>
      <c r="K304" s="19" t="str">
        <f aca="false">IF(OR(A304="",F304=""),"",IF(SUMPRODUCT((Sancoes!$A$2:$A$301=A304)*(Sancoes!$B$2:$B$301&lt;&gt;"Não consta")*(Sancoes!$D$2:$D$301&lt;&gt;"")*(Sancoes!$D$2:$D$301&lt;=F304)*(((Sancoes!$E$2:$E$301="")+(Sancoes!$E$2:$E$301&gt;=F304))&gt;0))&gt;0,"SANÇÃO VIGENTE NA DATA — leia o tipo e a abrangência",""))</f>
        <v/>
      </c>
      <c r="L304" s="19" t="str">
        <f aca="false">IF(A304="","",IFERROR(INDEX(Empresas!$B:$B,MATCH(A304,Empresas!$A:$A,0))&amp;"","cadastre o CNPJ em Empresas"))</f>
        <v/>
      </c>
      <c r="M304" s="27"/>
      <c r="N304" s="35"/>
      <c r="O304" s="37" t="str">
        <f aca="false">IF(OR(D304="",D304=0,N304=""),"",N304/D304)</f>
        <v/>
      </c>
      <c r="P304" s="19" t="str">
        <f aca="false">IF(O304="","",IF(O304&gt;0.25,"ACRÉSCIMO ACIMA DE 25% — conferir",""))</f>
        <v/>
      </c>
      <c r="Q304" s="27"/>
      <c r="R304" s="5"/>
    </row>
    <row r="305" customFormat="false" ht="15" hidden="false" customHeight="false" outlineLevel="0" collapsed="false">
      <c r="A305" s="27"/>
      <c r="B305" s="5"/>
      <c r="C305" s="5"/>
      <c r="D305" s="35"/>
      <c r="E305" s="14"/>
      <c r="F305" s="18"/>
      <c r="G305" s="31" t="str">
        <f aca="false">IF(A305="","",IFERROR(IF(INDEX(Empresas!$C:$C,MATCH(A305,Empresas!$A:$A,0))="","",INDEX(Empresas!$C:$C,MATCH(A305,Empresas!$A:$A,0))),""))</f>
        <v/>
      </c>
      <c r="H305" s="18"/>
      <c r="I305" s="19" t="str">
        <f aca="false">IF(OR(F305="",G305=""),"",IF(F305-G305&lt;0,"CONTRATO ANTERIOR À ABERTURA — conferir datas",IF(F305-G305&lt;180,"ABERTA MENOS DE 6 MESES ANTES","")))</f>
        <v/>
      </c>
      <c r="J305" s="19" t="str">
        <f aca="false">IF(A305="","",IFERROR(INDEX(Sancoes!$B:$B,MATCH(A305,Sancoes!$A:$A,0))&amp;"","não consta"))</f>
        <v/>
      </c>
      <c r="K305" s="19" t="str">
        <f aca="false">IF(OR(A305="",F305=""),"",IF(SUMPRODUCT((Sancoes!$A$2:$A$301=A305)*(Sancoes!$B$2:$B$301&lt;&gt;"Não consta")*(Sancoes!$D$2:$D$301&lt;&gt;"")*(Sancoes!$D$2:$D$301&lt;=F305)*(((Sancoes!$E$2:$E$301="")+(Sancoes!$E$2:$E$301&gt;=F305))&gt;0))&gt;0,"SANÇÃO VIGENTE NA DATA — leia o tipo e a abrangência",""))</f>
        <v/>
      </c>
      <c r="L305" s="19" t="str">
        <f aca="false">IF(A305="","",IFERROR(INDEX(Empresas!$B:$B,MATCH(A305,Empresas!$A:$A,0))&amp;"","cadastre o CNPJ em Empresas"))</f>
        <v/>
      </c>
      <c r="M305" s="27"/>
      <c r="N305" s="35"/>
      <c r="O305" s="37" t="str">
        <f aca="false">IF(OR(D305="",D305=0,N305=""),"",N305/D305)</f>
        <v/>
      </c>
      <c r="P305" s="19" t="str">
        <f aca="false">IF(O305="","",IF(O305&gt;0.25,"ACRÉSCIMO ACIMA DE 25% — conferir",""))</f>
        <v/>
      </c>
      <c r="Q305" s="27"/>
      <c r="R305" s="5"/>
    </row>
    <row r="306" customFormat="false" ht="15" hidden="false" customHeight="false" outlineLevel="0" collapsed="false">
      <c r="A306" s="27"/>
      <c r="B306" s="5"/>
      <c r="C306" s="5"/>
      <c r="D306" s="35"/>
      <c r="E306" s="14"/>
      <c r="F306" s="18"/>
      <c r="G306" s="31" t="str">
        <f aca="false">IF(A306="","",IFERROR(IF(INDEX(Empresas!$C:$C,MATCH(A306,Empresas!$A:$A,0))="","",INDEX(Empresas!$C:$C,MATCH(A306,Empresas!$A:$A,0))),""))</f>
        <v/>
      </c>
      <c r="H306" s="18"/>
      <c r="I306" s="19" t="str">
        <f aca="false">IF(OR(F306="",G306=""),"",IF(F306-G306&lt;0,"CONTRATO ANTERIOR À ABERTURA — conferir datas",IF(F306-G306&lt;180,"ABERTA MENOS DE 6 MESES ANTES","")))</f>
        <v/>
      </c>
      <c r="J306" s="19" t="str">
        <f aca="false">IF(A306="","",IFERROR(INDEX(Sancoes!$B:$B,MATCH(A306,Sancoes!$A:$A,0))&amp;"","não consta"))</f>
        <v/>
      </c>
      <c r="K306" s="19" t="str">
        <f aca="false">IF(OR(A306="",F306=""),"",IF(SUMPRODUCT((Sancoes!$A$2:$A$301=A306)*(Sancoes!$B$2:$B$301&lt;&gt;"Não consta")*(Sancoes!$D$2:$D$301&lt;&gt;"")*(Sancoes!$D$2:$D$301&lt;=F306)*(((Sancoes!$E$2:$E$301="")+(Sancoes!$E$2:$E$301&gt;=F306))&gt;0))&gt;0,"SANÇÃO VIGENTE NA DATA — leia o tipo e a abrangência",""))</f>
        <v/>
      </c>
      <c r="L306" s="19" t="str">
        <f aca="false">IF(A306="","",IFERROR(INDEX(Empresas!$B:$B,MATCH(A306,Empresas!$A:$A,0))&amp;"","cadastre o CNPJ em Empresas"))</f>
        <v/>
      </c>
      <c r="M306" s="27"/>
      <c r="N306" s="35"/>
      <c r="O306" s="37" t="str">
        <f aca="false">IF(OR(D306="",D306=0,N306=""),"",N306/D306)</f>
        <v/>
      </c>
      <c r="P306" s="19" t="str">
        <f aca="false">IF(O306="","",IF(O306&gt;0.25,"ACRÉSCIMO ACIMA DE 25% — conferir",""))</f>
        <v/>
      </c>
      <c r="Q306" s="27"/>
      <c r="R306" s="5"/>
    </row>
    <row r="307" customFormat="false" ht="15" hidden="false" customHeight="false" outlineLevel="0" collapsed="false">
      <c r="A307" s="27"/>
      <c r="B307" s="5"/>
      <c r="C307" s="5"/>
      <c r="D307" s="35"/>
      <c r="E307" s="14"/>
      <c r="F307" s="18"/>
      <c r="G307" s="31" t="str">
        <f aca="false">IF(A307="","",IFERROR(IF(INDEX(Empresas!$C:$C,MATCH(A307,Empresas!$A:$A,0))="","",INDEX(Empresas!$C:$C,MATCH(A307,Empresas!$A:$A,0))),""))</f>
        <v/>
      </c>
      <c r="H307" s="18"/>
      <c r="I307" s="19" t="str">
        <f aca="false">IF(OR(F307="",G307=""),"",IF(F307-G307&lt;0,"CONTRATO ANTERIOR À ABERTURA — conferir datas",IF(F307-G307&lt;180,"ABERTA MENOS DE 6 MESES ANTES","")))</f>
        <v/>
      </c>
      <c r="J307" s="19" t="str">
        <f aca="false">IF(A307="","",IFERROR(INDEX(Sancoes!$B:$B,MATCH(A307,Sancoes!$A:$A,0))&amp;"","não consta"))</f>
        <v/>
      </c>
      <c r="K307" s="19" t="str">
        <f aca="false">IF(OR(A307="",F307=""),"",IF(SUMPRODUCT((Sancoes!$A$2:$A$301=A307)*(Sancoes!$B$2:$B$301&lt;&gt;"Não consta")*(Sancoes!$D$2:$D$301&lt;&gt;"")*(Sancoes!$D$2:$D$301&lt;=F307)*(((Sancoes!$E$2:$E$301="")+(Sancoes!$E$2:$E$301&gt;=F307))&gt;0))&gt;0,"SANÇÃO VIGENTE NA DATA — leia o tipo e a abrangência",""))</f>
        <v/>
      </c>
      <c r="L307" s="19" t="str">
        <f aca="false">IF(A307="","",IFERROR(INDEX(Empresas!$B:$B,MATCH(A307,Empresas!$A:$A,0))&amp;"","cadastre o CNPJ em Empresas"))</f>
        <v/>
      </c>
      <c r="M307" s="27"/>
      <c r="N307" s="35"/>
      <c r="O307" s="37" t="str">
        <f aca="false">IF(OR(D307="",D307=0,N307=""),"",N307/D307)</f>
        <v/>
      </c>
      <c r="P307" s="19" t="str">
        <f aca="false">IF(O307="","",IF(O307&gt;0.25,"ACRÉSCIMO ACIMA DE 25% — conferir",""))</f>
        <v/>
      </c>
      <c r="Q307" s="27"/>
      <c r="R307" s="5"/>
    </row>
    <row r="308" customFormat="false" ht="15" hidden="false" customHeight="false" outlineLevel="0" collapsed="false">
      <c r="A308" s="27"/>
      <c r="B308" s="5"/>
      <c r="C308" s="5"/>
      <c r="D308" s="35"/>
      <c r="E308" s="14"/>
      <c r="F308" s="18"/>
      <c r="G308" s="31" t="str">
        <f aca="false">IF(A308="","",IFERROR(IF(INDEX(Empresas!$C:$C,MATCH(A308,Empresas!$A:$A,0))="","",INDEX(Empresas!$C:$C,MATCH(A308,Empresas!$A:$A,0))),""))</f>
        <v/>
      </c>
      <c r="H308" s="18"/>
      <c r="I308" s="19" t="str">
        <f aca="false">IF(OR(F308="",G308=""),"",IF(F308-G308&lt;0,"CONTRATO ANTERIOR À ABERTURA — conferir datas",IF(F308-G308&lt;180,"ABERTA MENOS DE 6 MESES ANTES","")))</f>
        <v/>
      </c>
      <c r="J308" s="19" t="str">
        <f aca="false">IF(A308="","",IFERROR(INDEX(Sancoes!$B:$B,MATCH(A308,Sancoes!$A:$A,0))&amp;"","não consta"))</f>
        <v/>
      </c>
      <c r="K308" s="19" t="str">
        <f aca="false">IF(OR(A308="",F308=""),"",IF(SUMPRODUCT((Sancoes!$A$2:$A$301=A308)*(Sancoes!$B$2:$B$301&lt;&gt;"Não consta")*(Sancoes!$D$2:$D$301&lt;&gt;"")*(Sancoes!$D$2:$D$301&lt;=F308)*(((Sancoes!$E$2:$E$301="")+(Sancoes!$E$2:$E$301&gt;=F308))&gt;0))&gt;0,"SANÇÃO VIGENTE NA DATA — leia o tipo e a abrangência",""))</f>
        <v/>
      </c>
      <c r="L308" s="19" t="str">
        <f aca="false">IF(A308="","",IFERROR(INDEX(Empresas!$B:$B,MATCH(A308,Empresas!$A:$A,0))&amp;"","cadastre o CNPJ em Empresas"))</f>
        <v/>
      </c>
      <c r="M308" s="27"/>
      <c r="N308" s="35"/>
      <c r="O308" s="37" t="str">
        <f aca="false">IF(OR(D308="",D308=0,N308=""),"",N308/D308)</f>
        <v/>
      </c>
      <c r="P308" s="19" t="str">
        <f aca="false">IF(O308="","",IF(O308&gt;0.25,"ACRÉSCIMO ACIMA DE 25% — conferir",""))</f>
        <v/>
      </c>
      <c r="Q308" s="27"/>
      <c r="R308" s="5"/>
    </row>
    <row r="309" customFormat="false" ht="15" hidden="false" customHeight="false" outlineLevel="0" collapsed="false">
      <c r="A309" s="27"/>
      <c r="B309" s="5"/>
      <c r="C309" s="5"/>
      <c r="D309" s="35"/>
      <c r="E309" s="14"/>
      <c r="F309" s="18"/>
      <c r="G309" s="31" t="str">
        <f aca="false">IF(A309="","",IFERROR(IF(INDEX(Empresas!$C:$C,MATCH(A309,Empresas!$A:$A,0))="","",INDEX(Empresas!$C:$C,MATCH(A309,Empresas!$A:$A,0))),""))</f>
        <v/>
      </c>
      <c r="H309" s="18"/>
      <c r="I309" s="19" t="str">
        <f aca="false">IF(OR(F309="",G309=""),"",IF(F309-G309&lt;0,"CONTRATO ANTERIOR À ABERTURA — conferir datas",IF(F309-G309&lt;180,"ABERTA MENOS DE 6 MESES ANTES","")))</f>
        <v/>
      </c>
      <c r="J309" s="19" t="str">
        <f aca="false">IF(A309="","",IFERROR(INDEX(Sancoes!$B:$B,MATCH(A309,Sancoes!$A:$A,0))&amp;"","não consta"))</f>
        <v/>
      </c>
      <c r="K309" s="19" t="str">
        <f aca="false">IF(OR(A309="",F309=""),"",IF(SUMPRODUCT((Sancoes!$A$2:$A$301=A309)*(Sancoes!$B$2:$B$301&lt;&gt;"Não consta")*(Sancoes!$D$2:$D$301&lt;&gt;"")*(Sancoes!$D$2:$D$301&lt;=F309)*(((Sancoes!$E$2:$E$301="")+(Sancoes!$E$2:$E$301&gt;=F309))&gt;0))&gt;0,"SANÇÃO VIGENTE NA DATA — leia o tipo e a abrangência",""))</f>
        <v/>
      </c>
      <c r="L309" s="19" t="str">
        <f aca="false">IF(A309="","",IFERROR(INDEX(Empresas!$B:$B,MATCH(A309,Empresas!$A:$A,0))&amp;"","cadastre o CNPJ em Empresas"))</f>
        <v/>
      </c>
      <c r="M309" s="27"/>
      <c r="N309" s="35"/>
      <c r="O309" s="37" t="str">
        <f aca="false">IF(OR(D309="",D309=0,N309=""),"",N309/D309)</f>
        <v/>
      </c>
      <c r="P309" s="19" t="str">
        <f aca="false">IF(O309="","",IF(O309&gt;0.25,"ACRÉSCIMO ACIMA DE 25% — conferir",""))</f>
        <v/>
      </c>
      <c r="Q309" s="27"/>
      <c r="R309" s="5"/>
    </row>
    <row r="310" customFormat="false" ht="15" hidden="false" customHeight="false" outlineLevel="0" collapsed="false">
      <c r="A310" s="27"/>
      <c r="B310" s="5"/>
      <c r="C310" s="5"/>
      <c r="D310" s="35"/>
      <c r="E310" s="14"/>
      <c r="F310" s="18"/>
      <c r="G310" s="31" t="str">
        <f aca="false">IF(A310="","",IFERROR(IF(INDEX(Empresas!$C:$C,MATCH(A310,Empresas!$A:$A,0))="","",INDEX(Empresas!$C:$C,MATCH(A310,Empresas!$A:$A,0))),""))</f>
        <v/>
      </c>
      <c r="H310" s="18"/>
      <c r="I310" s="19" t="str">
        <f aca="false">IF(OR(F310="",G310=""),"",IF(F310-G310&lt;0,"CONTRATO ANTERIOR À ABERTURA — conferir datas",IF(F310-G310&lt;180,"ABERTA MENOS DE 6 MESES ANTES","")))</f>
        <v/>
      </c>
      <c r="J310" s="19" t="str">
        <f aca="false">IF(A310="","",IFERROR(INDEX(Sancoes!$B:$B,MATCH(A310,Sancoes!$A:$A,0))&amp;"","não consta"))</f>
        <v/>
      </c>
      <c r="K310" s="19" t="str">
        <f aca="false">IF(OR(A310="",F310=""),"",IF(SUMPRODUCT((Sancoes!$A$2:$A$301=A310)*(Sancoes!$B$2:$B$301&lt;&gt;"Não consta")*(Sancoes!$D$2:$D$301&lt;&gt;"")*(Sancoes!$D$2:$D$301&lt;=F310)*(((Sancoes!$E$2:$E$301="")+(Sancoes!$E$2:$E$301&gt;=F310))&gt;0))&gt;0,"SANÇÃO VIGENTE NA DATA — leia o tipo e a abrangência",""))</f>
        <v/>
      </c>
      <c r="L310" s="19" t="str">
        <f aca="false">IF(A310="","",IFERROR(INDEX(Empresas!$B:$B,MATCH(A310,Empresas!$A:$A,0))&amp;"","cadastre o CNPJ em Empresas"))</f>
        <v/>
      </c>
      <c r="M310" s="27"/>
      <c r="N310" s="35"/>
      <c r="O310" s="37" t="str">
        <f aca="false">IF(OR(D310="",D310=0,N310=""),"",N310/D310)</f>
        <v/>
      </c>
      <c r="P310" s="19" t="str">
        <f aca="false">IF(O310="","",IF(O310&gt;0.25,"ACRÉSCIMO ACIMA DE 25% — conferir",""))</f>
        <v/>
      </c>
      <c r="Q310" s="27"/>
      <c r="R310" s="5"/>
    </row>
    <row r="311" customFormat="false" ht="15" hidden="false" customHeight="false" outlineLevel="0" collapsed="false">
      <c r="A311" s="27"/>
      <c r="B311" s="5"/>
      <c r="C311" s="5"/>
      <c r="D311" s="35"/>
      <c r="E311" s="14"/>
      <c r="F311" s="18"/>
      <c r="G311" s="31" t="str">
        <f aca="false">IF(A311="","",IFERROR(IF(INDEX(Empresas!$C:$C,MATCH(A311,Empresas!$A:$A,0))="","",INDEX(Empresas!$C:$C,MATCH(A311,Empresas!$A:$A,0))),""))</f>
        <v/>
      </c>
      <c r="H311" s="18"/>
      <c r="I311" s="19" t="str">
        <f aca="false">IF(OR(F311="",G311=""),"",IF(F311-G311&lt;0,"CONTRATO ANTERIOR À ABERTURA — conferir datas",IF(F311-G311&lt;180,"ABERTA MENOS DE 6 MESES ANTES","")))</f>
        <v/>
      </c>
      <c r="J311" s="19" t="str">
        <f aca="false">IF(A311="","",IFERROR(INDEX(Sancoes!$B:$B,MATCH(A311,Sancoes!$A:$A,0))&amp;"","não consta"))</f>
        <v/>
      </c>
      <c r="K311" s="19" t="str">
        <f aca="false">IF(OR(A311="",F311=""),"",IF(SUMPRODUCT((Sancoes!$A$2:$A$301=A311)*(Sancoes!$B$2:$B$301&lt;&gt;"Não consta")*(Sancoes!$D$2:$D$301&lt;&gt;"")*(Sancoes!$D$2:$D$301&lt;=F311)*(((Sancoes!$E$2:$E$301="")+(Sancoes!$E$2:$E$301&gt;=F311))&gt;0))&gt;0,"SANÇÃO VIGENTE NA DATA — leia o tipo e a abrangência",""))</f>
        <v/>
      </c>
      <c r="L311" s="19" t="str">
        <f aca="false">IF(A311="","",IFERROR(INDEX(Empresas!$B:$B,MATCH(A311,Empresas!$A:$A,0))&amp;"","cadastre o CNPJ em Empresas"))</f>
        <v/>
      </c>
      <c r="M311" s="27"/>
      <c r="N311" s="35"/>
      <c r="O311" s="37" t="str">
        <f aca="false">IF(OR(D311="",D311=0,N311=""),"",N311/D311)</f>
        <v/>
      </c>
      <c r="P311" s="19" t="str">
        <f aca="false">IF(O311="","",IF(O311&gt;0.25,"ACRÉSCIMO ACIMA DE 25% — conferir",""))</f>
        <v/>
      </c>
      <c r="Q311" s="27"/>
      <c r="R311" s="5"/>
    </row>
    <row r="312" customFormat="false" ht="15" hidden="false" customHeight="false" outlineLevel="0" collapsed="false">
      <c r="A312" s="27"/>
      <c r="B312" s="5"/>
      <c r="C312" s="5"/>
      <c r="D312" s="35"/>
      <c r="E312" s="14"/>
      <c r="F312" s="18"/>
      <c r="G312" s="31" t="str">
        <f aca="false">IF(A312="","",IFERROR(IF(INDEX(Empresas!$C:$C,MATCH(A312,Empresas!$A:$A,0))="","",INDEX(Empresas!$C:$C,MATCH(A312,Empresas!$A:$A,0))),""))</f>
        <v/>
      </c>
      <c r="H312" s="18"/>
      <c r="I312" s="19" t="str">
        <f aca="false">IF(OR(F312="",G312=""),"",IF(F312-G312&lt;0,"CONTRATO ANTERIOR À ABERTURA — conferir datas",IF(F312-G312&lt;180,"ABERTA MENOS DE 6 MESES ANTES","")))</f>
        <v/>
      </c>
      <c r="J312" s="19" t="str">
        <f aca="false">IF(A312="","",IFERROR(INDEX(Sancoes!$B:$B,MATCH(A312,Sancoes!$A:$A,0))&amp;"","não consta"))</f>
        <v/>
      </c>
      <c r="K312" s="19" t="str">
        <f aca="false">IF(OR(A312="",F312=""),"",IF(SUMPRODUCT((Sancoes!$A$2:$A$301=A312)*(Sancoes!$B$2:$B$301&lt;&gt;"Não consta")*(Sancoes!$D$2:$D$301&lt;&gt;"")*(Sancoes!$D$2:$D$301&lt;=F312)*(((Sancoes!$E$2:$E$301="")+(Sancoes!$E$2:$E$301&gt;=F312))&gt;0))&gt;0,"SANÇÃO VIGENTE NA DATA — leia o tipo e a abrangência",""))</f>
        <v/>
      </c>
      <c r="L312" s="19" t="str">
        <f aca="false">IF(A312="","",IFERROR(INDEX(Empresas!$B:$B,MATCH(A312,Empresas!$A:$A,0))&amp;"","cadastre o CNPJ em Empresas"))</f>
        <v/>
      </c>
      <c r="M312" s="27"/>
      <c r="N312" s="35"/>
      <c r="O312" s="37" t="str">
        <f aca="false">IF(OR(D312="",D312=0,N312=""),"",N312/D312)</f>
        <v/>
      </c>
      <c r="P312" s="19" t="str">
        <f aca="false">IF(O312="","",IF(O312&gt;0.25,"ACRÉSCIMO ACIMA DE 25% — conferir",""))</f>
        <v/>
      </c>
      <c r="Q312" s="27"/>
      <c r="R312" s="5"/>
    </row>
    <row r="313" customFormat="false" ht="15" hidden="false" customHeight="false" outlineLevel="0" collapsed="false">
      <c r="A313" s="27"/>
      <c r="B313" s="5"/>
      <c r="C313" s="5"/>
      <c r="D313" s="35"/>
      <c r="E313" s="14"/>
      <c r="F313" s="18"/>
      <c r="G313" s="31" t="str">
        <f aca="false">IF(A313="","",IFERROR(IF(INDEX(Empresas!$C:$C,MATCH(A313,Empresas!$A:$A,0))="","",INDEX(Empresas!$C:$C,MATCH(A313,Empresas!$A:$A,0))),""))</f>
        <v/>
      </c>
      <c r="H313" s="18"/>
      <c r="I313" s="19" t="str">
        <f aca="false">IF(OR(F313="",G313=""),"",IF(F313-G313&lt;0,"CONTRATO ANTERIOR À ABERTURA — conferir datas",IF(F313-G313&lt;180,"ABERTA MENOS DE 6 MESES ANTES","")))</f>
        <v/>
      </c>
      <c r="J313" s="19" t="str">
        <f aca="false">IF(A313="","",IFERROR(INDEX(Sancoes!$B:$B,MATCH(A313,Sancoes!$A:$A,0))&amp;"","não consta"))</f>
        <v/>
      </c>
      <c r="K313" s="19" t="str">
        <f aca="false">IF(OR(A313="",F313=""),"",IF(SUMPRODUCT((Sancoes!$A$2:$A$301=A313)*(Sancoes!$B$2:$B$301&lt;&gt;"Não consta")*(Sancoes!$D$2:$D$301&lt;&gt;"")*(Sancoes!$D$2:$D$301&lt;=F313)*(((Sancoes!$E$2:$E$301="")+(Sancoes!$E$2:$E$301&gt;=F313))&gt;0))&gt;0,"SANÇÃO VIGENTE NA DATA — leia o tipo e a abrangência",""))</f>
        <v/>
      </c>
      <c r="L313" s="19" t="str">
        <f aca="false">IF(A313="","",IFERROR(INDEX(Empresas!$B:$B,MATCH(A313,Empresas!$A:$A,0))&amp;"","cadastre o CNPJ em Empresas"))</f>
        <v/>
      </c>
      <c r="M313" s="27"/>
      <c r="N313" s="35"/>
      <c r="O313" s="37" t="str">
        <f aca="false">IF(OR(D313="",D313=0,N313=""),"",N313/D313)</f>
        <v/>
      </c>
      <c r="P313" s="19" t="str">
        <f aca="false">IF(O313="","",IF(O313&gt;0.25,"ACRÉSCIMO ACIMA DE 25% — conferir",""))</f>
        <v/>
      </c>
      <c r="Q313" s="27"/>
      <c r="R313" s="5"/>
    </row>
    <row r="314" customFormat="false" ht="15" hidden="false" customHeight="false" outlineLevel="0" collapsed="false">
      <c r="A314" s="27"/>
      <c r="B314" s="5"/>
      <c r="C314" s="5"/>
      <c r="D314" s="35"/>
      <c r="E314" s="14"/>
      <c r="F314" s="18"/>
      <c r="G314" s="31" t="str">
        <f aca="false">IF(A314="","",IFERROR(IF(INDEX(Empresas!$C:$C,MATCH(A314,Empresas!$A:$A,0))="","",INDEX(Empresas!$C:$C,MATCH(A314,Empresas!$A:$A,0))),""))</f>
        <v/>
      </c>
      <c r="H314" s="18"/>
      <c r="I314" s="19" t="str">
        <f aca="false">IF(OR(F314="",G314=""),"",IF(F314-G314&lt;0,"CONTRATO ANTERIOR À ABERTURA — conferir datas",IF(F314-G314&lt;180,"ABERTA MENOS DE 6 MESES ANTES","")))</f>
        <v/>
      </c>
      <c r="J314" s="19" t="str">
        <f aca="false">IF(A314="","",IFERROR(INDEX(Sancoes!$B:$B,MATCH(A314,Sancoes!$A:$A,0))&amp;"","não consta"))</f>
        <v/>
      </c>
      <c r="K314" s="19" t="str">
        <f aca="false">IF(OR(A314="",F314=""),"",IF(SUMPRODUCT((Sancoes!$A$2:$A$301=A314)*(Sancoes!$B$2:$B$301&lt;&gt;"Não consta")*(Sancoes!$D$2:$D$301&lt;&gt;"")*(Sancoes!$D$2:$D$301&lt;=F314)*(((Sancoes!$E$2:$E$301="")+(Sancoes!$E$2:$E$301&gt;=F314))&gt;0))&gt;0,"SANÇÃO VIGENTE NA DATA — leia o tipo e a abrangência",""))</f>
        <v/>
      </c>
      <c r="L314" s="19" t="str">
        <f aca="false">IF(A314="","",IFERROR(INDEX(Empresas!$B:$B,MATCH(A314,Empresas!$A:$A,0))&amp;"","cadastre o CNPJ em Empresas"))</f>
        <v/>
      </c>
      <c r="M314" s="27"/>
      <c r="N314" s="35"/>
      <c r="O314" s="37" t="str">
        <f aca="false">IF(OR(D314="",D314=0,N314=""),"",N314/D314)</f>
        <v/>
      </c>
      <c r="P314" s="19" t="str">
        <f aca="false">IF(O314="","",IF(O314&gt;0.25,"ACRÉSCIMO ACIMA DE 25% — conferir",""))</f>
        <v/>
      </c>
      <c r="Q314" s="27"/>
      <c r="R314" s="5"/>
    </row>
    <row r="315" customFormat="false" ht="15" hidden="false" customHeight="false" outlineLevel="0" collapsed="false">
      <c r="A315" s="27"/>
      <c r="B315" s="5"/>
      <c r="C315" s="5"/>
      <c r="D315" s="35"/>
      <c r="E315" s="14"/>
      <c r="F315" s="18"/>
      <c r="G315" s="31" t="str">
        <f aca="false">IF(A315="","",IFERROR(IF(INDEX(Empresas!$C:$C,MATCH(A315,Empresas!$A:$A,0))="","",INDEX(Empresas!$C:$C,MATCH(A315,Empresas!$A:$A,0))),""))</f>
        <v/>
      </c>
      <c r="H315" s="18"/>
      <c r="I315" s="19" t="str">
        <f aca="false">IF(OR(F315="",G315=""),"",IF(F315-G315&lt;0,"CONTRATO ANTERIOR À ABERTURA — conferir datas",IF(F315-G315&lt;180,"ABERTA MENOS DE 6 MESES ANTES","")))</f>
        <v/>
      </c>
      <c r="J315" s="19" t="str">
        <f aca="false">IF(A315="","",IFERROR(INDEX(Sancoes!$B:$B,MATCH(A315,Sancoes!$A:$A,0))&amp;"","não consta"))</f>
        <v/>
      </c>
      <c r="K315" s="19" t="str">
        <f aca="false">IF(OR(A315="",F315=""),"",IF(SUMPRODUCT((Sancoes!$A$2:$A$301=A315)*(Sancoes!$B$2:$B$301&lt;&gt;"Não consta")*(Sancoes!$D$2:$D$301&lt;&gt;"")*(Sancoes!$D$2:$D$301&lt;=F315)*(((Sancoes!$E$2:$E$301="")+(Sancoes!$E$2:$E$301&gt;=F315))&gt;0))&gt;0,"SANÇÃO VIGENTE NA DATA — leia o tipo e a abrangência",""))</f>
        <v/>
      </c>
      <c r="L315" s="19" t="str">
        <f aca="false">IF(A315="","",IFERROR(INDEX(Empresas!$B:$B,MATCH(A315,Empresas!$A:$A,0))&amp;"","cadastre o CNPJ em Empresas"))</f>
        <v/>
      </c>
      <c r="M315" s="27"/>
      <c r="N315" s="35"/>
      <c r="O315" s="37" t="str">
        <f aca="false">IF(OR(D315="",D315=0,N315=""),"",N315/D315)</f>
        <v/>
      </c>
      <c r="P315" s="19" t="str">
        <f aca="false">IF(O315="","",IF(O315&gt;0.25,"ACRÉSCIMO ACIMA DE 25% — conferir",""))</f>
        <v/>
      </c>
      <c r="Q315" s="27"/>
      <c r="R315" s="5"/>
    </row>
    <row r="316" customFormat="false" ht="15" hidden="false" customHeight="false" outlineLevel="0" collapsed="false">
      <c r="A316" s="27"/>
      <c r="B316" s="5"/>
      <c r="C316" s="5"/>
      <c r="D316" s="35"/>
      <c r="E316" s="14"/>
      <c r="F316" s="18"/>
      <c r="G316" s="31" t="str">
        <f aca="false">IF(A316="","",IFERROR(IF(INDEX(Empresas!$C:$C,MATCH(A316,Empresas!$A:$A,0))="","",INDEX(Empresas!$C:$C,MATCH(A316,Empresas!$A:$A,0))),""))</f>
        <v/>
      </c>
      <c r="H316" s="18"/>
      <c r="I316" s="19" t="str">
        <f aca="false">IF(OR(F316="",G316=""),"",IF(F316-G316&lt;0,"CONTRATO ANTERIOR À ABERTURA — conferir datas",IF(F316-G316&lt;180,"ABERTA MENOS DE 6 MESES ANTES","")))</f>
        <v/>
      </c>
      <c r="J316" s="19" t="str">
        <f aca="false">IF(A316="","",IFERROR(INDEX(Sancoes!$B:$B,MATCH(A316,Sancoes!$A:$A,0))&amp;"","não consta"))</f>
        <v/>
      </c>
      <c r="K316" s="19" t="str">
        <f aca="false">IF(OR(A316="",F316=""),"",IF(SUMPRODUCT((Sancoes!$A$2:$A$301=A316)*(Sancoes!$B$2:$B$301&lt;&gt;"Não consta")*(Sancoes!$D$2:$D$301&lt;&gt;"")*(Sancoes!$D$2:$D$301&lt;=F316)*(((Sancoes!$E$2:$E$301="")+(Sancoes!$E$2:$E$301&gt;=F316))&gt;0))&gt;0,"SANÇÃO VIGENTE NA DATA — leia o tipo e a abrangência",""))</f>
        <v/>
      </c>
      <c r="L316" s="19" t="str">
        <f aca="false">IF(A316="","",IFERROR(INDEX(Empresas!$B:$B,MATCH(A316,Empresas!$A:$A,0))&amp;"","cadastre o CNPJ em Empresas"))</f>
        <v/>
      </c>
      <c r="M316" s="27"/>
      <c r="N316" s="35"/>
      <c r="O316" s="37" t="str">
        <f aca="false">IF(OR(D316="",D316=0,N316=""),"",N316/D316)</f>
        <v/>
      </c>
      <c r="P316" s="19" t="str">
        <f aca="false">IF(O316="","",IF(O316&gt;0.25,"ACRÉSCIMO ACIMA DE 25% — conferir",""))</f>
        <v/>
      </c>
      <c r="Q316" s="27"/>
      <c r="R316" s="5"/>
    </row>
    <row r="317" customFormat="false" ht="15" hidden="false" customHeight="false" outlineLevel="0" collapsed="false">
      <c r="A317" s="27"/>
      <c r="B317" s="5"/>
      <c r="C317" s="5"/>
      <c r="D317" s="35"/>
      <c r="E317" s="14"/>
      <c r="F317" s="18"/>
      <c r="G317" s="31" t="str">
        <f aca="false">IF(A317="","",IFERROR(IF(INDEX(Empresas!$C:$C,MATCH(A317,Empresas!$A:$A,0))="","",INDEX(Empresas!$C:$C,MATCH(A317,Empresas!$A:$A,0))),""))</f>
        <v/>
      </c>
      <c r="H317" s="18"/>
      <c r="I317" s="19" t="str">
        <f aca="false">IF(OR(F317="",G317=""),"",IF(F317-G317&lt;0,"CONTRATO ANTERIOR À ABERTURA — conferir datas",IF(F317-G317&lt;180,"ABERTA MENOS DE 6 MESES ANTES","")))</f>
        <v/>
      </c>
      <c r="J317" s="19" t="str">
        <f aca="false">IF(A317="","",IFERROR(INDEX(Sancoes!$B:$B,MATCH(A317,Sancoes!$A:$A,0))&amp;"","não consta"))</f>
        <v/>
      </c>
      <c r="K317" s="19" t="str">
        <f aca="false">IF(OR(A317="",F317=""),"",IF(SUMPRODUCT((Sancoes!$A$2:$A$301=A317)*(Sancoes!$B$2:$B$301&lt;&gt;"Não consta")*(Sancoes!$D$2:$D$301&lt;&gt;"")*(Sancoes!$D$2:$D$301&lt;=F317)*(((Sancoes!$E$2:$E$301="")+(Sancoes!$E$2:$E$301&gt;=F317))&gt;0))&gt;0,"SANÇÃO VIGENTE NA DATA — leia o tipo e a abrangência",""))</f>
        <v/>
      </c>
      <c r="L317" s="19" t="str">
        <f aca="false">IF(A317="","",IFERROR(INDEX(Empresas!$B:$B,MATCH(A317,Empresas!$A:$A,0))&amp;"","cadastre o CNPJ em Empresas"))</f>
        <v/>
      </c>
      <c r="M317" s="27"/>
      <c r="N317" s="35"/>
      <c r="O317" s="37" t="str">
        <f aca="false">IF(OR(D317="",D317=0,N317=""),"",N317/D317)</f>
        <v/>
      </c>
      <c r="P317" s="19" t="str">
        <f aca="false">IF(O317="","",IF(O317&gt;0.25,"ACRÉSCIMO ACIMA DE 25% — conferir",""))</f>
        <v/>
      </c>
      <c r="Q317" s="27"/>
      <c r="R317" s="5"/>
    </row>
    <row r="318" customFormat="false" ht="15" hidden="false" customHeight="false" outlineLevel="0" collapsed="false">
      <c r="A318" s="27"/>
      <c r="B318" s="5"/>
      <c r="C318" s="5"/>
      <c r="D318" s="35"/>
      <c r="E318" s="14"/>
      <c r="F318" s="18"/>
      <c r="G318" s="31" t="str">
        <f aca="false">IF(A318="","",IFERROR(IF(INDEX(Empresas!$C:$C,MATCH(A318,Empresas!$A:$A,0))="","",INDEX(Empresas!$C:$C,MATCH(A318,Empresas!$A:$A,0))),""))</f>
        <v/>
      </c>
      <c r="H318" s="18"/>
      <c r="I318" s="19" t="str">
        <f aca="false">IF(OR(F318="",G318=""),"",IF(F318-G318&lt;0,"CONTRATO ANTERIOR À ABERTURA — conferir datas",IF(F318-G318&lt;180,"ABERTA MENOS DE 6 MESES ANTES","")))</f>
        <v/>
      </c>
      <c r="J318" s="19" t="str">
        <f aca="false">IF(A318="","",IFERROR(INDEX(Sancoes!$B:$B,MATCH(A318,Sancoes!$A:$A,0))&amp;"","não consta"))</f>
        <v/>
      </c>
      <c r="K318" s="19" t="str">
        <f aca="false">IF(OR(A318="",F318=""),"",IF(SUMPRODUCT((Sancoes!$A$2:$A$301=A318)*(Sancoes!$B$2:$B$301&lt;&gt;"Não consta")*(Sancoes!$D$2:$D$301&lt;&gt;"")*(Sancoes!$D$2:$D$301&lt;=F318)*(((Sancoes!$E$2:$E$301="")+(Sancoes!$E$2:$E$301&gt;=F318))&gt;0))&gt;0,"SANÇÃO VIGENTE NA DATA — leia o tipo e a abrangência",""))</f>
        <v/>
      </c>
      <c r="L318" s="19" t="str">
        <f aca="false">IF(A318="","",IFERROR(INDEX(Empresas!$B:$B,MATCH(A318,Empresas!$A:$A,0))&amp;"","cadastre o CNPJ em Empresas"))</f>
        <v/>
      </c>
      <c r="M318" s="27"/>
      <c r="N318" s="35"/>
      <c r="O318" s="37" t="str">
        <f aca="false">IF(OR(D318="",D318=0,N318=""),"",N318/D318)</f>
        <v/>
      </c>
      <c r="P318" s="19" t="str">
        <f aca="false">IF(O318="","",IF(O318&gt;0.25,"ACRÉSCIMO ACIMA DE 25% — conferir",""))</f>
        <v/>
      </c>
      <c r="Q318" s="27"/>
      <c r="R318" s="5"/>
    </row>
    <row r="319" customFormat="false" ht="15" hidden="false" customHeight="false" outlineLevel="0" collapsed="false">
      <c r="A319" s="27"/>
      <c r="B319" s="5"/>
      <c r="C319" s="5"/>
      <c r="D319" s="35"/>
      <c r="E319" s="14"/>
      <c r="F319" s="18"/>
      <c r="G319" s="31" t="str">
        <f aca="false">IF(A319="","",IFERROR(IF(INDEX(Empresas!$C:$C,MATCH(A319,Empresas!$A:$A,0))="","",INDEX(Empresas!$C:$C,MATCH(A319,Empresas!$A:$A,0))),""))</f>
        <v/>
      </c>
      <c r="H319" s="18"/>
      <c r="I319" s="19" t="str">
        <f aca="false">IF(OR(F319="",G319=""),"",IF(F319-G319&lt;0,"CONTRATO ANTERIOR À ABERTURA — conferir datas",IF(F319-G319&lt;180,"ABERTA MENOS DE 6 MESES ANTES","")))</f>
        <v/>
      </c>
      <c r="J319" s="19" t="str">
        <f aca="false">IF(A319="","",IFERROR(INDEX(Sancoes!$B:$B,MATCH(A319,Sancoes!$A:$A,0))&amp;"","não consta"))</f>
        <v/>
      </c>
      <c r="K319" s="19" t="str">
        <f aca="false">IF(OR(A319="",F319=""),"",IF(SUMPRODUCT((Sancoes!$A$2:$A$301=A319)*(Sancoes!$B$2:$B$301&lt;&gt;"Não consta")*(Sancoes!$D$2:$D$301&lt;&gt;"")*(Sancoes!$D$2:$D$301&lt;=F319)*(((Sancoes!$E$2:$E$301="")+(Sancoes!$E$2:$E$301&gt;=F319))&gt;0))&gt;0,"SANÇÃO VIGENTE NA DATA — leia o tipo e a abrangência",""))</f>
        <v/>
      </c>
      <c r="L319" s="19" t="str">
        <f aca="false">IF(A319="","",IFERROR(INDEX(Empresas!$B:$B,MATCH(A319,Empresas!$A:$A,0))&amp;"","cadastre o CNPJ em Empresas"))</f>
        <v/>
      </c>
      <c r="M319" s="27"/>
      <c r="N319" s="35"/>
      <c r="O319" s="37" t="str">
        <f aca="false">IF(OR(D319="",D319=0,N319=""),"",N319/D319)</f>
        <v/>
      </c>
      <c r="P319" s="19" t="str">
        <f aca="false">IF(O319="","",IF(O319&gt;0.25,"ACRÉSCIMO ACIMA DE 25% — conferir",""))</f>
        <v/>
      </c>
      <c r="Q319" s="27"/>
      <c r="R319" s="5"/>
    </row>
    <row r="320" customFormat="false" ht="15" hidden="false" customHeight="false" outlineLevel="0" collapsed="false">
      <c r="A320" s="27"/>
      <c r="B320" s="5"/>
      <c r="C320" s="5"/>
      <c r="D320" s="35"/>
      <c r="E320" s="14"/>
      <c r="F320" s="18"/>
      <c r="G320" s="31" t="str">
        <f aca="false">IF(A320="","",IFERROR(IF(INDEX(Empresas!$C:$C,MATCH(A320,Empresas!$A:$A,0))="","",INDEX(Empresas!$C:$C,MATCH(A320,Empresas!$A:$A,0))),""))</f>
        <v/>
      </c>
      <c r="H320" s="18"/>
      <c r="I320" s="19" t="str">
        <f aca="false">IF(OR(F320="",G320=""),"",IF(F320-G320&lt;0,"CONTRATO ANTERIOR À ABERTURA — conferir datas",IF(F320-G320&lt;180,"ABERTA MENOS DE 6 MESES ANTES","")))</f>
        <v/>
      </c>
      <c r="J320" s="19" t="str">
        <f aca="false">IF(A320="","",IFERROR(INDEX(Sancoes!$B:$B,MATCH(A320,Sancoes!$A:$A,0))&amp;"","não consta"))</f>
        <v/>
      </c>
      <c r="K320" s="19" t="str">
        <f aca="false">IF(OR(A320="",F320=""),"",IF(SUMPRODUCT((Sancoes!$A$2:$A$301=A320)*(Sancoes!$B$2:$B$301&lt;&gt;"Não consta")*(Sancoes!$D$2:$D$301&lt;&gt;"")*(Sancoes!$D$2:$D$301&lt;=F320)*(((Sancoes!$E$2:$E$301="")+(Sancoes!$E$2:$E$301&gt;=F320))&gt;0))&gt;0,"SANÇÃO VIGENTE NA DATA — leia o tipo e a abrangência",""))</f>
        <v/>
      </c>
      <c r="L320" s="19" t="str">
        <f aca="false">IF(A320="","",IFERROR(INDEX(Empresas!$B:$B,MATCH(A320,Empresas!$A:$A,0))&amp;"","cadastre o CNPJ em Empresas"))</f>
        <v/>
      </c>
      <c r="M320" s="27"/>
      <c r="N320" s="35"/>
      <c r="O320" s="37" t="str">
        <f aca="false">IF(OR(D320="",D320=0,N320=""),"",N320/D320)</f>
        <v/>
      </c>
      <c r="P320" s="19" t="str">
        <f aca="false">IF(O320="","",IF(O320&gt;0.25,"ACRÉSCIMO ACIMA DE 25% — conferir",""))</f>
        <v/>
      </c>
      <c r="Q320" s="27"/>
      <c r="R320" s="5"/>
    </row>
    <row r="321" customFormat="false" ht="15" hidden="false" customHeight="false" outlineLevel="0" collapsed="false">
      <c r="A321" s="27"/>
      <c r="B321" s="5"/>
      <c r="C321" s="5"/>
      <c r="D321" s="35"/>
      <c r="E321" s="14"/>
      <c r="F321" s="18"/>
      <c r="G321" s="31" t="str">
        <f aca="false">IF(A321="","",IFERROR(IF(INDEX(Empresas!$C:$C,MATCH(A321,Empresas!$A:$A,0))="","",INDEX(Empresas!$C:$C,MATCH(A321,Empresas!$A:$A,0))),""))</f>
        <v/>
      </c>
      <c r="H321" s="18"/>
      <c r="I321" s="19" t="str">
        <f aca="false">IF(OR(F321="",G321=""),"",IF(F321-G321&lt;0,"CONTRATO ANTERIOR À ABERTURA — conferir datas",IF(F321-G321&lt;180,"ABERTA MENOS DE 6 MESES ANTES","")))</f>
        <v/>
      </c>
      <c r="J321" s="19" t="str">
        <f aca="false">IF(A321="","",IFERROR(INDEX(Sancoes!$B:$B,MATCH(A321,Sancoes!$A:$A,0))&amp;"","não consta"))</f>
        <v/>
      </c>
      <c r="K321" s="19" t="str">
        <f aca="false">IF(OR(A321="",F321=""),"",IF(SUMPRODUCT((Sancoes!$A$2:$A$301=A321)*(Sancoes!$B$2:$B$301&lt;&gt;"Não consta")*(Sancoes!$D$2:$D$301&lt;&gt;"")*(Sancoes!$D$2:$D$301&lt;=F321)*(((Sancoes!$E$2:$E$301="")+(Sancoes!$E$2:$E$301&gt;=F321))&gt;0))&gt;0,"SANÇÃO VIGENTE NA DATA — leia o tipo e a abrangência",""))</f>
        <v/>
      </c>
      <c r="L321" s="19" t="str">
        <f aca="false">IF(A321="","",IFERROR(INDEX(Empresas!$B:$B,MATCH(A321,Empresas!$A:$A,0))&amp;"","cadastre o CNPJ em Empresas"))</f>
        <v/>
      </c>
      <c r="M321" s="27"/>
      <c r="N321" s="35"/>
      <c r="O321" s="37" t="str">
        <f aca="false">IF(OR(D321="",D321=0,N321=""),"",N321/D321)</f>
        <v/>
      </c>
      <c r="P321" s="19" t="str">
        <f aca="false">IF(O321="","",IF(O321&gt;0.25,"ACRÉSCIMO ACIMA DE 25% — conferir",""))</f>
        <v/>
      </c>
      <c r="Q321" s="27"/>
      <c r="R321" s="5"/>
    </row>
    <row r="322" customFormat="false" ht="15" hidden="false" customHeight="false" outlineLevel="0" collapsed="false">
      <c r="A322" s="27"/>
      <c r="B322" s="5"/>
      <c r="C322" s="5"/>
      <c r="D322" s="35"/>
      <c r="E322" s="14"/>
      <c r="F322" s="18"/>
      <c r="G322" s="31" t="str">
        <f aca="false">IF(A322="","",IFERROR(IF(INDEX(Empresas!$C:$C,MATCH(A322,Empresas!$A:$A,0))="","",INDEX(Empresas!$C:$C,MATCH(A322,Empresas!$A:$A,0))),""))</f>
        <v/>
      </c>
      <c r="H322" s="18"/>
      <c r="I322" s="19" t="str">
        <f aca="false">IF(OR(F322="",G322=""),"",IF(F322-G322&lt;0,"CONTRATO ANTERIOR À ABERTURA — conferir datas",IF(F322-G322&lt;180,"ABERTA MENOS DE 6 MESES ANTES","")))</f>
        <v/>
      </c>
      <c r="J322" s="19" t="str">
        <f aca="false">IF(A322="","",IFERROR(INDEX(Sancoes!$B:$B,MATCH(A322,Sancoes!$A:$A,0))&amp;"","não consta"))</f>
        <v/>
      </c>
      <c r="K322" s="19" t="str">
        <f aca="false">IF(OR(A322="",F322=""),"",IF(SUMPRODUCT((Sancoes!$A$2:$A$301=A322)*(Sancoes!$B$2:$B$301&lt;&gt;"Não consta")*(Sancoes!$D$2:$D$301&lt;&gt;"")*(Sancoes!$D$2:$D$301&lt;=F322)*(((Sancoes!$E$2:$E$301="")+(Sancoes!$E$2:$E$301&gt;=F322))&gt;0))&gt;0,"SANÇÃO VIGENTE NA DATA — leia o tipo e a abrangência",""))</f>
        <v/>
      </c>
      <c r="L322" s="19" t="str">
        <f aca="false">IF(A322="","",IFERROR(INDEX(Empresas!$B:$B,MATCH(A322,Empresas!$A:$A,0))&amp;"","cadastre o CNPJ em Empresas"))</f>
        <v/>
      </c>
      <c r="M322" s="27"/>
      <c r="N322" s="35"/>
      <c r="O322" s="37" t="str">
        <f aca="false">IF(OR(D322="",D322=0,N322=""),"",N322/D322)</f>
        <v/>
      </c>
      <c r="P322" s="19" t="str">
        <f aca="false">IF(O322="","",IF(O322&gt;0.25,"ACRÉSCIMO ACIMA DE 25% — conferir",""))</f>
        <v/>
      </c>
      <c r="Q322" s="27"/>
      <c r="R322" s="5"/>
    </row>
    <row r="323" customFormat="false" ht="15" hidden="false" customHeight="false" outlineLevel="0" collapsed="false">
      <c r="A323" s="27"/>
      <c r="B323" s="5"/>
      <c r="C323" s="5"/>
      <c r="D323" s="35"/>
      <c r="E323" s="14"/>
      <c r="F323" s="18"/>
      <c r="G323" s="31" t="str">
        <f aca="false">IF(A323="","",IFERROR(IF(INDEX(Empresas!$C:$C,MATCH(A323,Empresas!$A:$A,0))="","",INDEX(Empresas!$C:$C,MATCH(A323,Empresas!$A:$A,0))),""))</f>
        <v/>
      </c>
      <c r="H323" s="18"/>
      <c r="I323" s="19" t="str">
        <f aca="false">IF(OR(F323="",G323=""),"",IF(F323-G323&lt;0,"CONTRATO ANTERIOR À ABERTURA — conferir datas",IF(F323-G323&lt;180,"ABERTA MENOS DE 6 MESES ANTES","")))</f>
        <v/>
      </c>
      <c r="J323" s="19" t="str">
        <f aca="false">IF(A323="","",IFERROR(INDEX(Sancoes!$B:$B,MATCH(A323,Sancoes!$A:$A,0))&amp;"","não consta"))</f>
        <v/>
      </c>
      <c r="K323" s="19" t="str">
        <f aca="false">IF(OR(A323="",F323=""),"",IF(SUMPRODUCT((Sancoes!$A$2:$A$301=A323)*(Sancoes!$B$2:$B$301&lt;&gt;"Não consta")*(Sancoes!$D$2:$D$301&lt;&gt;"")*(Sancoes!$D$2:$D$301&lt;=F323)*(((Sancoes!$E$2:$E$301="")+(Sancoes!$E$2:$E$301&gt;=F323))&gt;0))&gt;0,"SANÇÃO VIGENTE NA DATA — leia o tipo e a abrangência",""))</f>
        <v/>
      </c>
      <c r="L323" s="19" t="str">
        <f aca="false">IF(A323="","",IFERROR(INDEX(Empresas!$B:$B,MATCH(A323,Empresas!$A:$A,0))&amp;"","cadastre o CNPJ em Empresas"))</f>
        <v/>
      </c>
      <c r="M323" s="27"/>
      <c r="N323" s="35"/>
      <c r="O323" s="37" t="str">
        <f aca="false">IF(OR(D323="",D323=0,N323=""),"",N323/D323)</f>
        <v/>
      </c>
      <c r="P323" s="19" t="str">
        <f aca="false">IF(O323="","",IF(O323&gt;0.25,"ACRÉSCIMO ACIMA DE 25% — conferir",""))</f>
        <v/>
      </c>
      <c r="Q323" s="27"/>
      <c r="R323" s="5"/>
    </row>
    <row r="324" customFormat="false" ht="15" hidden="false" customHeight="false" outlineLevel="0" collapsed="false">
      <c r="A324" s="27"/>
      <c r="B324" s="5"/>
      <c r="C324" s="5"/>
      <c r="D324" s="35"/>
      <c r="E324" s="14"/>
      <c r="F324" s="18"/>
      <c r="G324" s="31" t="str">
        <f aca="false">IF(A324="","",IFERROR(IF(INDEX(Empresas!$C:$C,MATCH(A324,Empresas!$A:$A,0))="","",INDEX(Empresas!$C:$C,MATCH(A324,Empresas!$A:$A,0))),""))</f>
        <v/>
      </c>
      <c r="H324" s="18"/>
      <c r="I324" s="19" t="str">
        <f aca="false">IF(OR(F324="",G324=""),"",IF(F324-G324&lt;0,"CONTRATO ANTERIOR À ABERTURA — conferir datas",IF(F324-G324&lt;180,"ABERTA MENOS DE 6 MESES ANTES","")))</f>
        <v/>
      </c>
      <c r="J324" s="19" t="str">
        <f aca="false">IF(A324="","",IFERROR(INDEX(Sancoes!$B:$B,MATCH(A324,Sancoes!$A:$A,0))&amp;"","não consta"))</f>
        <v/>
      </c>
      <c r="K324" s="19" t="str">
        <f aca="false">IF(OR(A324="",F324=""),"",IF(SUMPRODUCT((Sancoes!$A$2:$A$301=A324)*(Sancoes!$B$2:$B$301&lt;&gt;"Não consta")*(Sancoes!$D$2:$D$301&lt;&gt;"")*(Sancoes!$D$2:$D$301&lt;=F324)*(((Sancoes!$E$2:$E$301="")+(Sancoes!$E$2:$E$301&gt;=F324))&gt;0))&gt;0,"SANÇÃO VIGENTE NA DATA — leia o tipo e a abrangência",""))</f>
        <v/>
      </c>
      <c r="L324" s="19" t="str">
        <f aca="false">IF(A324="","",IFERROR(INDEX(Empresas!$B:$B,MATCH(A324,Empresas!$A:$A,0))&amp;"","cadastre o CNPJ em Empresas"))</f>
        <v/>
      </c>
      <c r="M324" s="27"/>
      <c r="N324" s="35"/>
      <c r="O324" s="37" t="str">
        <f aca="false">IF(OR(D324="",D324=0,N324=""),"",N324/D324)</f>
        <v/>
      </c>
      <c r="P324" s="19" t="str">
        <f aca="false">IF(O324="","",IF(O324&gt;0.25,"ACRÉSCIMO ACIMA DE 25% — conferir",""))</f>
        <v/>
      </c>
      <c r="Q324" s="27"/>
      <c r="R324" s="5"/>
    </row>
    <row r="325" customFormat="false" ht="15" hidden="false" customHeight="false" outlineLevel="0" collapsed="false">
      <c r="A325" s="27"/>
      <c r="B325" s="5"/>
      <c r="C325" s="5"/>
      <c r="D325" s="35"/>
      <c r="E325" s="14"/>
      <c r="F325" s="18"/>
      <c r="G325" s="31" t="str">
        <f aca="false">IF(A325="","",IFERROR(IF(INDEX(Empresas!$C:$C,MATCH(A325,Empresas!$A:$A,0))="","",INDEX(Empresas!$C:$C,MATCH(A325,Empresas!$A:$A,0))),""))</f>
        <v/>
      </c>
      <c r="H325" s="18"/>
      <c r="I325" s="19" t="str">
        <f aca="false">IF(OR(F325="",G325=""),"",IF(F325-G325&lt;0,"CONTRATO ANTERIOR À ABERTURA — conferir datas",IF(F325-G325&lt;180,"ABERTA MENOS DE 6 MESES ANTES","")))</f>
        <v/>
      </c>
      <c r="J325" s="19" t="str">
        <f aca="false">IF(A325="","",IFERROR(INDEX(Sancoes!$B:$B,MATCH(A325,Sancoes!$A:$A,0))&amp;"","não consta"))</f>
        <v/>
      </c>
      <c r="K325" s="19" t="str">
        <f aca="false">IF(OR(A325="",F325=""),"",IF(SUMPRODUCT((Sancoes!$A$2:$A$301=A325)*(Sancoes!$B$2:$B$301&lt;&gt;"Não consta")*(Sancoes!$D$2:$D$301&lt;&gt;"")*(Sancoes!$D$2:$D$301&lt;=F325)*(((Sancoes!$E$2:$E$301="")+(Sancoes!$E$2:$E$301&gt;=F325))&gt;0))&gt;0,"SANÇÃO VIGENTE NA DATA — leia o tipo e a abrangência",""))</f>
        <v/>
      </c>
      <c r="L325" s="19" t="str">
        <f aca="false">IF(A325="","",IFERROR(INDEX(Empresas!$B:$B,MATCH(A325,Empresas!$A:$A,0))&amp;"","cadastre o CNPJ em Empresas"))</f>
        <v/>
      </c>
      <c r="M325" s="27"/>
      <c r="N325" s="35"/>
      <c r="O325" s="37" t="str">
        <f aca="false">IF(OR(D325="",D325=0,N325=""),"",N325/D325)</f>
        <v/>
      </c>
      <c r="P325" s="19" t="str">
        <f aca="false">IF(O325="","",IF(O325&gt;0.25,"ACRÉSCIMO ACIMA DE 25% — conferir",""))</f>
        <v/>
      </c>
      <c r="Q325" s="27"/>
      <c r="R325" s="5"/>
    </row>
    <row r="326" customFormat="false" ht="15" hidden="false" customHeight="false" outlineLevel="0" collapsed="false">
      <c r="A326" s="27"/>
      <c r="B326" s="5"/>
      <c r="C326" s="5"/>
      <c r="D326" s="35"/>
      <c r="E326" s="14"/>
      <c r="F326" s="18"/>
      <c r="G326" s="31" t="str">
        <f aca="false">IF(A326="","",IFERROR(IF(INDEX(Empresas!$C:$C,MATCH(A326,Empresas!$A:$A,0))="","",INDEX(Empresas!$C:$C,MATCH(A326,Empresas!$A:$A,0))),""))</f>
        <v/>
      </c>
      <c r="H326" s="18"/>
      <c r="I326" s="19" t="str">
        <f aca="false">IF(OR(F326="",G326=""),"",IF(F326-G326&lt;0,"CONTRATO ANTERIOR À ABERTURA — conferir datas",IF(F326-G326&lt;180,"ABERTA MENOS DE 6 MESES ANTES","")))</f>
        <v/>
      </c>
      <c r="J326" s="19" t="str">
        <f aca="false">IF(A326="","",IFERROR(INDEX(Sancoes!$B:$B,MATCH(A326,Sancoes!$A:$A,0))&amp;"","não consta"))</f>
        <v/>
      </c>
      <c r="K326" s="19" t="str">
        <f aca="false">IF(OR(A326="",F326=""),"",IF(SUMPRODUCT((Sancoes!$A$2:$A$301=A326)*(Sancoes!$B$2:$B$301&lt;&gt;"Não consta")*(Sancoes!$D$2:$D$301&lt;&gt;"")*(Sancoes!$D$2:$D$301&lt;=F326)*(((Sancoes!$E$2:$E$301="")+(Sancoes!$E$2:$E$301&gt;=F326))&gt;0))&gt;0,"SANÇÃO VIGENTE NA DATA — leia o tipo e a abrangência",""))</f>
        <v/>
      </c>
      <c r="L326" s="19" t="str">
        <f aca="false">IF(A326="","",IFERROR(INDEX(Empresas!$B:$B,MATCH(A326,Empresas!$A:$A,0))&amp;"","cadastre o CNPJ em Empresas"))</f>
        <v/>
      </c>
      <c r="M326" s="27"/>
      <c r="N326" s="35"/>
      <c r="O326" s="37" t="str">
        <f aca="false">IF(OR(D326="",D326=0,N326=""),"",N326/D326)</f>
        <v/>
      </c>
      <c r="P326" s="19" t="str">
        <f aca="false">IF(O326="","",IF(O326&gt;0.25,"ACRÉSCIMO ACIMA DE 25% — conferir",""))</f>
        <v/>
      </c>
      <c r="Q326" s="27"/>
      <c r="R326" s="5"/>
    </row>
    <row r="327" customFormat="false" ht="15" hidden="false" customHeight="false" outlineLevel="0" collapsed="false">
      <c r="A327" s="27"/>
      <c r="B327" s="5"/>
      <c r="C327" s="5"/>
      <c r="D327" s="35"/>
      <c r="E327" s="14"/>
      <c r="F327" s="18"/>
      <c r="G327" s="31" t="str">
        <f aca="false">IF(A327="","",IFERROR(IF(INDEX(Empresas!$C:$C,MATCH(A327,Empresas!$A:$A,0))="","",INDEX(Empresas!$C:$C,MATCH(A327,Empresas!$A:$A,0))),""))</f>
        <v/>
      </c>
      <c r="H327" s="18"/>
      <c r="I327" s="19" t="str">
        <f aca="false">IF(OR(F327="",G327=""),"",IF(F327-G327&lt;0,"CONTRATO ANTERIOR À ABERTURA — conferir datas",IF(F327-G327&lt;180,"ABERTA MENOS DE 6 MESES ANTES","")))</f>
        <v/>
      </c>
      <c r="J327" s="19" t="str">
        <f aca="false">IF(A327="","",IFERROR(INDEX(Sancoes!$B:$B,MATCH(A327,Sancoes!$A:$A,0))&amp;"","não consta"))</f>
        <v/>
      </c>
      <c r="K327" s="19" t="str">
        <f aca="false">IF(OR(A327="",F327=""),"",IF(SUMPRODUCT((Sancoes!$A$2:$A$301=A327)*(Sancoes!$B$2:$B$301&lt;&gt;"Não consta")*(Sancoes!$D$2:$D$301&lt;&gt;"")*(Sancoes!$D$2:$D$301&lt;=F327)*(((Sancoes!$E$2:$E$301="")+(Sancoes!$E$2:$E$301&gt;=F327))&gt;0))&gt;0,"SANÇÃO VIGENTE NA DATA — leia o tipo e a abrangência",""))</f>
        <v/>
      </c>
      <c r="L327" s="19" t="str">
        <f aca="false">IF(A327="","",IFERROR(INDEX(Empresas!$B:$B,MATCH(A327,Empresas!$A:$A,0))&amp;"","cadastre o CNPJ em Empresas"))</f>
        <v/>
      </c>
      <c r="M327" s="27"/>
      <c r="N327" s="35"/>
      <c r="O327" s="37" t="str">
        <f aca="false">IF(OR(D327="",D327=0,N327=""),"",N327/D327)</f>
        <v/>
      </c>
      <c r="P327" s="19" t="str">
        <f aca="false">IF(O327="","",IF(O327&gt;0.25,"ACRÉSCIMO ACIMA DE 25% — conferir",""))</f>
        <v/>
      </c>
      <c r="Q327" s="27"/>
      <c r="R327" s="5"/>
    </row>
    <row r="328" customFormat="false" ht="15" hidden="false" customHeight="false" outlineLevel="0" collapsed="false">
      <c r="A328" s="27"/>
      <c r="B328" s="5"/>
      <c r="C328" s="5"/>
      <c r="D328" s="35"/>
      <c r="E328" s="14"/>
      <c r="F328" s="18"/>
      <c r="G328" s="31" t="str">
        <f aca="false">IF(A328="","",IFERROR(IF(INDEX(Empresas!$C:$C,MATCH(A328,Empresas!$A:$A,0))="","",INDEX(Empresas!$C:$C,MATCH(A328,Empresas!$A:$A,0))),""))</f>
        <v/>
      </c>
      <c r="H328" s="18"/>
      <c r="I328" s="19" t="str">
        <f aca="false">IF(OR(F328="",G328=""),"",IF(F328-G328&lt;0,"CONTRATO ANTERIOR À ABERTURA — conferir datas",IF(F328-G328&lt;180,"ABERTA MENOS DE 6 MESES ANTES","")))</f>
        <v/>
      </c>
      <c r="J328" s="19" t="str">
        <f aca="false">IF(A328="","",IFERROR(INDEX(Sancoes!$B:$B,MATCH(A328,Sancoes!$A:$A,0))&amp;"","não consta"))</f>
        <v/>
      </c>
      <c r="K328" s="19" t="str">
        <f aca="false">IF(OR(A328="",F328=""),"",IF(SUMPRODUCT((Sancoes!$A$2:$A$301=A328)*(Sancoes!$B$2:$B$301&lt;&gt;"Não consta")*(Sancoes!$D$2:$D$301&lt;&gt;"")*(Sancoes!$D$2:$D$301&lt;=F328)*(((Sancoes!$E$2:$E$301="")+(Sancoes!$E$2:$E$301&gt;=F328))&gt;0))&gt;0,"SANÇÃO VIGENTE NA DATA — leia o tipo e a abrangência",""))</f>
        <v/>
      </c>
      <c r="L328" s="19" t="str">
        <f aca="false">IF(A328="","",IFERROR(INDEX(Empresas!$B:$B,MATCH(A328,Empresas!$A:$A,0))&amp;"","cadastre o CNPJ em Empresas"))</f>
        <v/>
      </c>
      <c r="M328" s="27"/>
      <c r="N328" s="35"/>
      <c r="O328" s="37" t="str">
        <f aca="false">IF(OR(D328="",D328=0,N328=""),"",N328/D328)</f>
        <v/>
      </c>
      <c r="P328" s="19" t="str">
        <f aca="false">IF(O328="","",IF(O328&gt;0.25,"ACRÉSCIMO ACIMA DE 25% — conferir",""))</f>
        <v/>
      </c>
      <c r="Q328" s="27"/>
      <c r="R328" s="5"/>
    </row>
    <row r="329" customFormat="false" ht="15" hidden="false" customHeight="false" outlineLevel="0" collapsed="false">
      <c r="A329" s="27"/>
      <c r="B329" s="5"/>
      <c r="C329" s="5"/>
      <c r="D329" s="35"/>
      <c r="E329" s="14"/>
      <c r="F329" s="18"/>
      <c r="G329" s="31" t="str">
        <f aca="false">IF(A329="","",IFERROR(IF(INDEX(Empresas!$C:$C,MATCH(A329,Empresas!$A:$A,0))="","",INDEX(Empresas!$C:$C,MATCH(A329,Empresas!$A:$A,0))),""))</f>
        <v/>
      </c>
      <c r="H329" s="18"/>
      <c r="I329" s="19" t="str">
        <f aca="false">IF(OR(F329="",G329=""),"",IF(F329-G329&lt;0,"CONTRATO ANTERIOR À ABERTURA — conferir datas",IF(F329-G329&lt;180,"ABERTA MENOS DE 6 MESES ANTES","")))</f>
        <v/>
      </c>
      <c r="J329" s="19" t="str">
        <f aca="false">IF(A329="","",IFERROR(INDEX(Sancoes!$B:$B,MATCH(A329,Sancoes!$A:$A,0))&amp;"","não consta"))</f>
        <v/>
      </c>
      <c r="K329" s="19" t="str">
        <f aca="false">IF(OR(A329="",F329=""),"",IF(SUMPRODUCT((Sancoes!$A$2:$A$301=A329)*(Sancoes!$B$2:$B$301&lt;&gt;"Não consta")*(Sancoes!$D$2:$D$301&lt;&gt;"")*(Sancoes!$D$2:$D$301&lt;=F329)*(((Sancoes!$E$2:$E$301="")+(Sancoes!$E$2:$E$301&gt;=F329))&gt;0))&gt;0,"SANÇÃO VIGENTE NA DATA — leia o tipo e a abrangência",""))</f>
        <v/>
      </c>
      <c r="L329" s="19" t="str">
        <f aca="false">IF(A329="","",IFERROR(INDEX(Empresas!$B:$B,MATCH(A329,Empresas!$A:$A,0))&amp;"","cadastre o CNPJ em Empresas"))</f>
        <v/>
      </c>
      <c r="M329" s="27"/>
      <c r="N329" s="35"/>
      <c r="O329" s="37" t="str">
        <f aca="false">IF(OR(D329="",D329=0,N329=""),"",N329/D329)</f>
        <v/>
      </c>
      <c r="P329" s="19" t="str">
        <f aca="false">IF(O329="","",IF(O329&gt;0.25,"ACRÉSCIMO ACIMA DE 25% — conferir",""))</f>
        <v/>
      </c>
      <c r="Q329" s="27"/>
      <c r="R329" s="5"/>
    </row>
    <row r="330" customFormat="false" ht="15" hidden="false" customHeight="false" outlineLevel="0" collapsed="false">
      <c r="A330" s="27"/>
      <c r="B330" s="5"/>
      <c r="C330" s="5"/>
      <c r="D330" s="35"/>
      <c r="E330" s="14"/>
      <c r="F330" s="18"/>
      <c r="G330" s="31" t="str">
        <f aca="false">IF(A330="","",IFERROR(IF(INDEX(Empresas!$C:$C,MATCH(A330,Empresas!$A:$A,0))="","",INDEX(Empresas!$C:$C,MATCH(A330,Empresas!$A:$A,0))),""))</f>
        <v/>
      </c>
      <c r="H330" s="18"/>
      <c r="I330" s="19" t="str">
        <f aca="false">IF(OR(F330="",G330=""),"",IF(F330-G330&lt;0,"CONTRATO ANTERIOR À ABERTURA — conferir datas",IF(F330-G330&lt;180,"ABERTA MENOS DE 6 MESES ANTES","")))</f>
        <v/>
      </c>
      <c r="J330" s="19" t="str">
        <f aca="false">IF(A330="","",IFERROR(INDEX(Sancoes!$B:$B,MATCH(A330,Sancoes!$A:$A,0))&amp;"","não consta"))</f>
        <v/>
      </c>
      <c r="K330" s="19" t="str">
        <f aca="false">IF(OR(A330="",F330=""),"",IF(SUMPRODUCT((Sancoes!$A$2:$A$301=A330)*(Sancoes!$B$2:$B$301&lt;&gt;"Não consta")*(Sancoes!$D$2:$D$301&lt;&gt;"")*(Sancoes!$D$2:$D$301&lt;=F330)*(((Sancoes!$E$2:$E$301="")+(Sancoes!$E$2:$E$301&gt;=F330))&gt;0))&gt;0,"SANÇÃO VIGENTE NA DATA — leia o tipo e a abrangência",""))</f>
        <v/>
      </c>
      <c r="L330" s="19" t="str">
        <f aca="false">IF(A330="","",IFERROR(INDEX(Empresas!$B:$B,MATCH(A330,Empresas!$A:$A,0))&amp;"","cadastre o CNPJ em Empresas"))</f>
        <v/>
      </c>
      <c r="M330" s="27"/>
      <c r="N330" s="35"/>
      <c r="O330" s="37" t="str">
        <f aca="false">IF(OR(D330="",D330=0,N330=""),"",N330/D330)</f>
        <v/>
      </c>
      <c r="P330" s="19" t="str">
        <f aca="false">IF(O330="","",IF(O330&gt;0.25,"ACRÉSCIMO ACIMA DE 25% — conferir",""))</f>
        <v/>
      </c>
      <c r="Q330" s="27"/>
      <c r="R330" s="5"/>
    </row>
    <row r="331" customFormat="false" ht="15" hidden="false" customHeight="false" outlineLevel="0" collapsed="false">
      <c r="A331" s="27"/>
      <c r="B331" s="5"/>
      <c r="C331" s="5"/>
      <c r="D331" s="35"/>
      <c r="E331" s="14"/>
      <c r="F331" s="18"/>
      <c r="G331" s="31" t="str">
        <f aca="false">IF(A331="","",IFERROR(IF(INDEX(Empresas!$C:$C,MATCH(A331,Empresas!$A:$A,0))="","",INDEX(Empresas!$C:$C,MATCH(A331,Empresas!$A:$A,0))),""))</f>
        <v/>
      </c>
      <c r="H331" s="18"/>
      <c r="I331" s="19" t="str">
        <f aca="false">IF(OR(F331="",G331=""),"",IF(F331-G331&lt;0,"CONTRATO ANTERIOR À ABERTURA — conferir datas",IF(F331-G331&lt;180,"ABERTA MENOS DE 6 MESES ANTES","")))</f>
        <v/>
      </c>
      <c r="J331" s="19" t="str">
        <f aca="false">IF(A331="","",IFERROR(INDEX(Sancoes!$B:$B,MATCH(A331,Sancoes!$A:$A,0))&amp;"","não consta"))</f>
        <v/>
      </c>
      <c r="K331" s="19" t="str">
        <f aca="false">IF(OR(A331="",F331=""),"",IF(SUMPRODUCT((Sancoes!$A$2:$A$301=A331)*(Sancoes!$B$2:$B$301&lt;&gt;"Não consta")*(Sancoes!$D$2:$D$301&lt;&gt;"")*(Sancoes!$D$2:$D$301&lt;=F331)*(((Sancoes!$E$2:$E$301="")+(Sancoes!$E$2:$E$301&gt;=F331))&gt;0))&gt;0,"SANÇÃO VIGENTE NA DATA — leia o tipo e a abrangência",""))</f>
        <v/>
      </c>
      <c r="L331" s="19" t="str">
        <f aca="false">IF(A331="","",IFERROR(INDEX(Empresas!$B:$B,MATCH(A331,Empresas!$A:$A,0))&amp;"","cadastre o CNPJ em Empresas"))</f>
        <v/>
      </c>
      <c r="M331" s="27"/>
      <c r="N331" s="35"/>
      <c r="O331" s="37" t="str">
        <f aca="false">IF(OR(D331="",D331=0,N331=""),"",N331/D331)</f>
        <v/>
      </c>
      <c r="P331" s="19" t="str">
        <f aca="false">IF(O331="","",IF(O331&gt;0.25,"ACRÉSCIMO ACIMA DE 25% — conferir",""))</f>
        <v/>
      </c>
      <c r="Q331" s="27"/>
      <c r="R331" s="5"/>
    </row>
    <row r="332" customFormat="false" ht="15" hidden="false" customHeight="false" outlineLevel="0" collapsed="false">
      <c r="A332" s="27"/>
      <c r="B332" s="5"/>
      <c r="C332" s="5"/>
      <c r="D332" s="35"/>
      <c r="E332" s="14"/>
      <c r="F332" s="18"/>
      <c r="G332" s="31" t="str">
        <f aca="false">IF(A332="","",IFERROR(IF(INDEX(Empresas!$C:$C,MATCH(A332,Empresas!$A:$A,0))="","",INDEX(Empresas!$C:$C,MATCH(A332,Empresas!$A:$A,0))),""))</f>
        <v/>
      </c>
      <c r="H332" s="18"/>
      <c r="I332" s="19" t="str">
        <f aca="false">IF(OR(F332="",G332=""),"",IF(F332-G332&lt;0,"CONTRATO ANTERIOR À ABERTURA — conferir datas",IF(F332-G332&lt;180,"ABERTA MENOS DE 6 MESES ANTES","")))</f>
        <v/>
      </c>
      <c r="J332" s="19" t="str">
        <f aca="false">IF(A332="","",IFERROR(INDEX(Sancoes!$B:$B,MATCH(A332,Sancoes!$A:$A,0))&amp;"","não consta"))</f>
        <v/>
      </c>
      <c r="K332" s="19" t="str">
        <f aca="false">IF(OR(A332="",F332=""),"",IF(SUMPRODUCT((Sancoes!$A$2:$A$301=A332)*(Sancoes!$B$2:$B$301&lt;&gt;"Não consta")*(Sancoes!$D$2:$D$301&lt;&gt;"")*(Sancoes!$D$2:$D$301&lt;=F332)*(((Sancoes!$E$2:$E$301="")+(Sancoes!$E$2:$E$301&gt;=F332))&gt;0))&gt;0,"SANÇÃO VIGENTE NA DATA — leia o tipo e a abrangência",""))</f>
        <v/>
      </c>
      <c r="L332" s="19" t="str">
        <f aca="false">IF(A332="","",IFERROR(INDEX(Empresas!$B:$B,MATCH(A332,Empresas!$A:$A,0))&amp;"","cadastre o CNPJ em Empresas"))</f>
        <v/>
      </c>
      <c r="M332" s="27"/>
      <c r="N332" s="35"/>
      <c r="O332" s="37" t="str">
        <f aca="false">IF(OR(D332="",D332=0,N332=""),"",N332/D332)</f>
        <v/>
      </c>
      <c r="P332" s="19" t="str">
        <f aca="false">IF(O332="","",IF(O332&gt;0.25,"ACRÉSCIMO ACIMA DE 25% — conferir",""))</f>
        <v/>
      </c>
      <c r="Q332" s="27"/>
      <c r="R332" s="5"/>
    </row>
    <row r="333" customFormat="false" ht="15" hidden="false" customHeight="false" outlineLevel="0" collapsed="false">
      <c r="A333" s="27"/>
      <c r="B333" s="5"/>
      <c r="C333" s="5"/>
      <c r="D333" s="35"/>
      <c r="E333" s="14"/>
      <c r="F333" s="18"/>
      <c r="G333" s="31" t="str">
        <f aca="false">IF(A333="","",IFERROR(IF(INDEX(Empresas!$C:$C,MATCH(A333,Empresas!$A:$A,0))="","",INDEX(Empresas!$C:$C,MATCH(A333,Empresas!$A:$A,0))),""))</f>
        <v/>
      </c>
      <c r="H333" s="18"/>
      <c r="I333" s="19" t="str">
        <f aca="false">IF(OR(F333="",G333=""),"",IF(F333-G333&lt;0,"CONTRATO ANTERIOR À ABERTURA — conferir datas",IF(F333-G333&lt;180,"ABERTA MENOS DE 6 MESES ANTES","")))</f>
        <v/>
      </c>
      <c r="J333" s="19" t="str">
        <f aca="false">IF(A333="","",IFERROR(INDEX(Sancoes!$B:$B,MATCH(A333,Sancoes!$A:$A,0))&amp;"","não consta"))</f>
        <v/>
      </c>
      <c r="K333" s="19" t="str">
        <f aca="false">IF(OR(A333="",F333=""),"",IF(SUMPRODUCT((Sancoes!$A$2:$A$301=A333)*(Sancoes!$B$2:$B$301&lt;&gt;"Não consta")*(Sancoes!$D$2:$D$301&lt;&gt;"")*(Sancoes!$D$2:$D$301&lt;=F333)*(((Sancoes!$E$2:$E$301="")+(Sancoes!$E$2:$E$301&gt;=F333))&gt;0))&gt;0,"SANÇÃO VIGENTE NA DATA — leia o tipo e a abrangência",""))</f>
        <v/>
      </c>
      <c r="L333" s="19" t="str">
        <f aca="false">IF(A333="","",IFERROR(INDEX(Empresas!$B:$B,MATCH(A333,Empresas!$A:$A,0))&amp;"","cadastre o CNPJ em Empresas"))</f>
        <v/>
      </c>
      <c r="M333" s="27"/>
      <c r="N333" s="35"/>
      <c r="O333" s="37" t="str">
        <f aca="false">IF(OR(D333="",D333=0,N333=""),"",N333/D333)</f>
        <v/>
      </c>
      <c r="P333" s="19" t="str">
        <f aca="false">IF(O333="","",IF(O333&gt;0.25,"ACRÉSCIMO ACIMA DE 25% — conferir",""))</f>
        <v/>
      </c>
      <c r="Q333" s="27"/>
      <c r="R333" s="5"/>
    </row>
    <row r="334" customFormat="false" ht="15" hidden="false" customHeight="false" outlineLevel="0" collapsed="false">
      <c r="A334" s="27"/>
      <c r="B334" s="5"/>
      <c r="C334" s="5"/>
      <c r="D334" s="35"/>
      <c r="E334" s="14"/>
      <c r="F334" s="18"/>
      <c r="G334" s="31" t="str">
        <f aca="false">IF(A334="","",IFERROR(IF(INDEX(Empresas!$C:$C,MATCH(A334,Empresas!$A:$A,0))="","",INDEX(Empresas!$C:$C,MATCH(A334,Empresas!$A:$A,0))),""))</f>
        <v/>
      </c>
      <c r="H334" s="18"/>
      <c r="I334" s="19" t="str">
        <f aca="false">IF(OR(F334="",G334=""),"",IF(F334-G334&lt;0,"CONTRATO ANTERIOR À ABERTURA — conferir datas",IF(F334-G334&lt;180,"ABERTA MENOS DE 6 MESES ANTES","")))</f>
        <v/>
      </c>
      <c r="J334" s="19" t="str">
        <f aca="false">IF(A334="","",IFERROR(INDEX(Sancoes!$B:$B,MATCH(A334,Sancoes!$A:$A,0))&amp;"","não consta"))</f>
        <v/>
      </c>
      <c r="K334" s="19" t="str">
        <f aca="false">IF(OR(A334="",F334=""),"",IF(SUMPRODUCT((Sancoes!$A$2:$A$301=A334)*(Sancoes!$B$2:$B$301&lt;&gt;"Não consta")*(Sancoes!$D$2:$D$301&lt;&gt;"")*(Sancoes!$D$2:$D$301&lt;=F334)*(((Sancoes!$E$2:$E$301="")+(Sancoes!$E$2:$E$301&gt;=F334))&gt;0))&gt;0,"SANÇÃO VIGENTE NA DATA — leia o tipo e a abrangência",""))</f>
        <v/>
      </c>
      <c r="L334" s="19" t="str">
        <f aca="false">IF(A334="","",IFERROR(INDEX(Empresas!$B:$B,MATCH(A334,Empresas!$A:$A,0))&amp;"","cadastre o CNPJ em Empresas"))</f>
        <v/>
      </c>
      <c r="M334" s="27"/>
      <c r="N334" s="35"/>
      <c r="O334" s="37" t="str">
        <f aca="false">IF(OR(D334="",D334=0,N334=""),"",N334/D334)</f>
        <v/>
      </c>
      <c r="P334" s="19" t="str">
        <f aca="false">IF(O334="","",IF(O334&gt;0.25,"ACRÉSCIMO ACIMA DE 25% — conferir",""))</f>
        <v/>
      </c>
      <c r="Q334" s="27"/>
      <c r="R334" s="5"/>
    </row>
    <row r="335" customFormat="false" ht="15" hidden="false" customHeight="false" outlineLevel="0" collapsed="false">
      <c r="A335" s="27"/>
      <c r="B335" s="5"/>
      <c r="C335" s="5"/>
      <c r="D335" s="35"/>
      <c r="E335" s="14"/>
      <c r="F335" s="18"/>
      <c r="G335" s="31" t="str">
        <f aca="false">IF(A335="","",IFERROR(IF(INDEX(Empresas!$C:$C,MATCH(A335,Empresas!$A:$A,0))="","",INDEX(Empresas!$C:$C,MATCH(A335,Empresas!$A:$A,0))),""))</f>
        <v/>
      </c>
      <c r="H335" s="18"/>
      <c r="I335" s="19" t="str">
        <f aca="false">IF(OR(F335="",G335=""),"",IF(F335-G335&lt;0,"CONTRATO ANTERIOR À ABERTURA — conferir datas",IF(F335-G335&lt;180,"ABERTA MENOS DE 6 MESES ANTES","")))</f>
        <v/>
      </c>
      <c r="J335" s="19" t="str">
        <f aca="false">IF(A335="","",IFERROR(INDEX(Sancoes!$B:$B,MATCH(A335,Sancoes!$A:$A,0))&amp;"","não consta"))</f>
        <v/>
      </c>
      <c r="K335" s="19" t="str">
        <f aca="false">IF(OR(A335="",F335=""),"",IF(SUMPRODUCT((Sancoes!$A$2:$A$301=A335)*(Sancoes!$B$2:$B$301&lt;&gt;"Não consta")*(Sancoes!$D$2:$D$301&lt;&gt;"")*(Sancoes!$D$2:$D$301&lt;=F335)*(((Sancoes!$E$2:$E$301="")+(Sancoes!$E$2:$E$301&gt;=F335))&gt;0))&gt;0,"SANÇÃO VIGENTE NA DATA — leia o tipo e a abrangência",""))</f>
        <v/>
      </c>
      <c r="L335" s="19" t="str">
        <f aca="false">IF(A335="","",IFERROR(INDEX(Empresas!$B:$B,MATCH(A335,Empresas!$A:$A,0))&amp;"","cadastre o CNPJ em Empresas"))</f>
        <v/>
      </c>
      <c r="M335" s="27"/>
      <c r="N335" s="35"/>
      <c r="O335" s="37" t="str">
        <f aca="false">IF(OR(D335="",D335=0,N335=""),"",N335/D335)</f>
        <v/>
      </c>
      <c r="P335" s="19" t="str">
        <f aca="false">IF(O335="","",IF(O335&gt;0.25,"ACRÉSCIMO ACIMA DE 25% — conferir",""))</f>
        <v/>
      </c>
      <c r="Q335" s="27"/>
      <c r="R335" s="5"/>
    </row>
    <row r="336" customFormat="false" ht="15" hidden="false" customHeight="false" outlineLevel="0" collapsed="false">
      <c r="A336" s="27"/>
      <c r="B336" s="5"/>
      <c r="C336" s="5"/>
      <c r="D336" s="35"/>
      <c r="E336" s="14"/>
      <c r="F336" s="18"/>
      <c r="G336" s="31" t="str">
        <f aca="false">IF(A336="","",IFERROR(IF(INDEX(Empresas!$C:$C,MATCH(A336,Empresas!$A:$A,0))="","",INDEX(Empresas!$C:$C,MATCH(A336,Empresas!$A:$A,0))),""))</f>
        <v/>
      </c>
      <c r="H336" s="18"/>
      <c r="I336" s="19" t="str">
        <f aca="false">IF(OR(F336="",G336=""),"",IF(F336-G336&lt;0,"CONTRATO ANTERIOR À ABERTURA — conferir datas",IF(F336-G336&lt;180,"ABERTA MENOS DE 6 MESES ANTES","")))</f>
        <v/>
      </c>
      <c r="J336" s="19" t="str">
        <f aca="false">IF(A336="","",IFERROR(INDEX(Sancoes!$B:$B,MATCH(A336,Sancoes!$A:$A,0))&amp;"","não consta"))</f>
        <v/>
      </c>
      <c r="K336" s="19" t="str">
        <f aca="false">IF(OR(A336="",F336=""),"",IF(SUMPRODUCT((Sancoes!$A$2:$A$301=A336)*(Sancoes!$B$2:$B$301&lt;&gt;"Não consta")*(Sancoes!$D$2:$D$301&lt;&gt;"")*(Sancoes!$D$2:$D$301&lt;=F336)*(((Sancoes!$E$2:$E$301="")+(Sancoes!$E$2:$E$301&gt;=F336))&gt;0))&gt;0,"SANÇÃO VIGENTE NA DATA — leia o tipo e a abrangência",""))</f>
        <v/>
      </c>
      <c r="L336" s="19" t="str">
        <f aca="false">IF(A336="","",IFERROR(INDEX(Empresas!$B:$B,MATCH(A336,Empresas!$A:$A,0))&amp;"","cadastre o CNPJ em Empresas"))</f>
        <v/>
      </c>
      <c r="M336" s="27"/>
      <c r="N336" s="35"/>
      <c r="O336" s="37" t="str">
        <f aca="false">IF(OR(D336="",D336=0,N336=""),"",N336/D336)</f>
        <v/>
      </c>
      <c r="P336" s="19" t="str">
        <f aca="false">IF(O336="","",IF(O336&gt;0.25,"ACRÉSCIMO ACIMA DE 25% — conferir",""))</f>
        <v/>
      </c>
      <c r="Q336" s="27"/>
      <c r="R336" s="5"/>
    </row>
    <row r="337" customFormat="false" ht="15" hidden="false" customHeight="false" outlineLevel="0" collapsed="false">
      <c r="A337" s="27"/>
      <c r="B337" s="5"/>
      <c r="C337" s="5"/>
      <c r="D337" s="35"/>
      <c r="E337" s="14"/>
      <c r="F337" s="18"/>
      <c r="G337" s="31" t="str">
        <f aca="false">IF(A337="","",IFERROR(IF(INDEX(Empresas!$C:$C,MATCH(A337,Empresas!$A:$A,0))="","",INDEX(Empresas!$C:$C,MATCH(A337,Empresas!$A:$A,0))),""))</f>
        <v/>
      </c>
      <c r="H337" s="18"/>
      <c r="I337" s="19" t="str">
        <f aca="false">IF(OR(F337="",G337=""),"",IF(F337-G337&lt;0,"CONTRATO ANTERIOR À ABERTURA — conferir datas",IF(F337-G337&lt;180,"ABERTA MENOS DE 6 MESES ANTES","")))</f>
        <v/>
      </c>
      <c r="J337" s="19" t="str">
        <f aca="false">IF(A337="","",IFERROR(INDEX(Sancoes!$B:$B,MATCH(A337,Sancoes!$A:$A,0))&amp;"","não consta"))</f>
        <v/>
      </c>
      <c r="K337" s="19" t="str">
        <f aca="false">IF(OR(A337="",F337=""),"",IF(SUMPRODUCT((Sancoes!$A$2:$A$301=A337)*(Sancoes!$B$2:$B$301&lt;&gt;"Não consta")*(Sancoes!$D$2:$D$301&lt;&gt;"")*(Sancoes!$D$2:$D$301&lt;=F337)*(((Sancoes!$E$2:$E$301="")+(Sancoes!$E$2:$E$301&gt;=F337))&gt;0))&gt;0,"SANÇÃO VIGENTE NA DATA — leia o tipo e a abrangência",""))</f>
        <v/>
      </c>
      <c r="L337" s="19" t="str">
        <f aca="false">IF(A337="","",IFERROR(INDEX(Empresas!$B:$B,MATCH(A337,Empresas!$A:$A,0))&amp;"","cadastre o CNPJ em Empresas"))</f>
        <v/>
      </c>
      <c r="M337" s="27"/>
      <c r="N337" s="35"/>
      <c r="O337" s="37" t="str">
        <f aca="false">IF(OR(D337="",D337=0,N337=""),"",N337/D337)</f>
        <v/>
      </c>
      <c r="P337" s="19" t="str">
        <f aca="false">IF(O337="","",IF(O337&gt;0.25,"ACRÉSCIMO ACIMA DE 25% — conferir",""))</f>
        <v/>
      </c>
      <c r="Q337" s="27"/>
      <c r="R337" s="5"/>
    </row>
    <row r="338" customFormat="false" ht="15" hidden="false" customHeight="false" outlineLevel="0" collapsed="false">
      <c r="A338" s="27"/>
      <c r="B338" s="5"/>
      <c r="C338" s="5"/>
      <c r="D338" s="35"/>
      <c r="E338" s="14"/>
      <c r="F338" s="18"/>
      <c r="G338" s="31" t="str">
        <f aca="false">IF(A338="","",IFERROR(IF(INDEX(Empresas!$C:$C,MATCH(A338,Empresas!$A:$A,0))="","",INDEX(Empresas!$C:$C,MATCH(A338,Empresas!$A:$A,0))),""))</f>
        <v/>
      </c>
      <c r="H338" s="18"/>
      <c r="I338" s="19" t="str">
        <f aca="false">IF(OR(F338="",G338=""),"",IF(F338-G338&lt;0,"CONTRATO ANTERIOR À ABERTURA — conferir datas",IF(F338-G338&lt;180,"ABERTA MENOS DE 6 MESES ANTES","")))</f>
        <v/>
      </c>
      <c r="J338" s="19" t="str">
        <f aca="false">IF(A338="","",IFERROR(INDEX(Sancoes!$B:$B,MATCH(A338,Sancoes!$A:$A,0))&amp;"","não consta"))</f>
        <v/>
      </c>
      <c r="K338" s="19" t="str">
        <f aca="false">IF(OR(A338="",F338=""),"",IF(SUMPRODUCT((Sancoes!$A$2:$A$301=A338)*(Sancoes!$B$2:$B$301&lt;&gt;"Não consta")*(Sancoes!$D$2:$D$301&lt;&gt;"")*(Sancoes!$D$2:$D$301&lt;=F338)*(((Sancoes!$E$2:$E$301="")+(Sancoes!$E$2:$E$301&gt;=F338))&gt;0))&gt;0,"SANÇÃO VIGENTE NA DATA — leia o tipo e a abrangência",""))</f>
        <v/>
      </c>
      <c r="L338" s="19" t="str">
        <f aca="false">IF(A338="","",IFERROR(INDEX(Empresas!$B:$B,MATCH(A338,Empresas!$A:$A,0))&amp;"","cadastre o CNPJ em Empresas"))</f>
        <v/>
      </c>
      <c r="M338" s="27"/>
      <c r="N338" s="35"/>
      <c r="O338" s="37" t="str">
        <f aca="false">IF(OR(D338="",D338=0,N338=""),"",N338/D338)</f>
        <v/>
      </c>
      <c r="P338" s="19" t="str">
        <f aca="false">IF(O338="","",IF(O338&gt;0.25,"ACRÉSCIMO ACIMA DE 25% — conferir",""))</f>
        <v/>
      </c>
      <c r="Q338" s="27"/>
      <c r="R338" s="5"/>
    </row>
    <row r="339" customFormat="false" ht="15" hidden="false" customHeight="false" outlineLevel="0" collapsed="false">
      <c r="A339" s="27"/>
      <c r="B339" s="5"/>
      <c r="C339" s="5"/>
      <c r="D339" s="35"/>
      <c r="E339" s="14"/>
      <c r="F339" s="18"/>
      <c r="G339" s="31" t="str">
        <f aca="false">IF(A339="","",IFERROR(IF(INDEX(Empresas!$C:$C,MATCH(A339,Empresas!$A:$A,0))="","",INDEX(Empresas!$C:$C,MATCH(A339,Empresas!$A:$A,0))),""))</f>
        <v/>
      </c>
      <c r="H339" s="18"/>
      <c r="I339" s="19" t="str">
        <f aca="false">IF(OR(F339="",G339=""),"",IF(F339-G339&lt;0,"CONTRATO ANTERIOR À ABERTURA — conferir datas",IF(F339-G339&lt;180,"ABERTA MENOS DE 6 MESES ANTES","")))</f>
        <v/>
      </c>
      <c r="J339" s="19" t="str">
        <f aca="false">IF(A339="","",IFERROR(INDEX(Sancoes!$B:$B,MATCH(A339,Sancoes!$A:$A,0))&amp;"","não consta"))</f>
        <v/>
      </c>
      <c r="K339" s="19" t="str">
        <f aca="false">IF(OR(A339="",F339=""),"",IF(SUMPRODUCT((Sancoes!$A$2:$A$301=A339)*(Sancoes!$B$2:$B$301&lt;&gt;"Não consta")*(Sancoes!$D$2:$D$301&lt;&gt;"")*(Sancoes!$D$2:$D$301&lt;=F339)*(((Sancoes!$E$2:$E$301="")+(Sancoes!$E$2:$E$301&gt;=F339))&gt;0))&gt;0,"SANÇÃO VIGENTE NA DATA — leia o tipo e a abrangência",""))</f>
        <v/>
      </c>
      <c r="L339" s="19" t="str">
        <f aca="false">IF(A339="","",IFERROR(INDEX(Empresas!$B:$B,MATCH(A339,Empresas!$A:$A,0))&amp;"","cadastre o CNPJ em Empresas"))</f>
        <v/>
      </c>
      <c r="M339" s="27"/>
      <c r="N339" s="35"/>
      <c r="O339" s="37" t="str">
        <f aca="false">IF(OR(D339="",D339=0,N339=""),"",N339/D339)</f>
        <v/>
      </c>
      <c r="P339" s="19" t="str">
        <f aca="false">IF(O339="","",IF(O339&gt;0.25,"ACRÉSCIMO ACIMA DE 25% — conferir",""))</f>
        <v/>
      </c>
      <c r="Q339" s="27"/>
      <c r="R339" s="5"/>
    </row>
    <row r="340" customFormat="false" ht="15" hidden="false" customHeight="false" outlineLevel="0" collapsed="false">
      <c r="A340" s="27"/>
      <c r="B340" s="5"/>
      <c r="C340" s="5"/>
      <c r="D340" s="35"/>
      <c r="E340" s="14"/>
      <c r="F340" s="18"/>
      <c r="G340" s="31" t="str">
        <f aca="false">IF(A340="","",IFERROR(IF(INDEX(Empresas!$C:$C,MATCH(A340,Empresas!$A:$A,0))="","",INDEX(Empresas!$C:$C,MATCH(A340,Empresas!$A:$A,0))),""))</f>
        <v/>
      </c>
      <c r="H340" s="18"/>
      <c r="I340" s="19" t="str">
        <f aca="false">IF(OR(F340="",G340=""),"",IF(F340-G340&lt;0,"CONTRATO ANTERIOR À ABERTURA — conferir datas",IF(F340-G340&lt;180,"ABERTA MENOS DE 6 MESES ANTES","")))</f>
        <v/>
      </c>
      <c r="J340" s="19" t="str">
        <f aca="false">IF(A340="","",IFERROR(INDEX(Sancoes!$B:$B,MATCH(A340,Sancoes!$A:$A,0))&amp;"","não consta"))</f>
        <v/>
      </c>
      <c r="K340" s="19" t="str">
        <f aca="false">IF(OR(A340="",F340=""),"",IF(SUMPRODUCT((Sancoes!$A$2:$A$301=A340)*(Sancoes!$B$2:$B$301&lt;&gt;"Não consta")*(Sancoes!$D$2:$D$301&lt;&gt;"")*(Sancoes!$D$2:$D$301&lt;=F340)*(((Sancoes!$E$2:$E$301="")+(Sancoes!$E$2:$E$301&gt;=F340))&gt;0))&gt;0,"SANÇÃO VIGENTE NA DATA — leia o tipo e a abrangência",""))</f>
        <v/>
      </c>
      <c r="L340" s="19" t="str">
        <f aca="false">IF(A340="","",IFERROR(INDEX(Empresas!$B:$B,MATCH(A340,Empresas!$A:$A,0))&amp;"","cadastre o CNPJ em Empresas"))</f>
        <v/>
      </c>
      <c r="M340" s="27"/>
      <c r="N340" s="35"/>
      <c r="O340" s="37" t="str">
        <f aca="false">IF(OR(D340="",D340=0,N340=""),"",N340/D340)</f>
        <v/>
      </c>
      <c r="P340" s="19" t="str">
        <f aca="false">IF(O340="","",IF(O340&gt;0.25,"ACRÉSCIMO ACIMA DE 25% — conferir",""))</f>
        <v/>
      </c>
      <c r="Q340" s="27"/>
      <c r="R340" s="5"/>
    </row>
    <row r="341" customFormat="false" ht="15" hidden="false" customHeight="false" outlineLevel="0" collapsed="false">
      <c r="A341" s="27"/>
      <c r="B341" s="5"/>
      <c r="C341" s="5"/>
      <c r="D341" s="35"/>
      <c r="E341" s="14"/>
      <c r="F341" s="18"/>
      <c r="G341" s="31" t="str">
        <f aca="false">IF(A341="","",IFERROR(IF(INDEX(Empresas!$C:$C,MATCH(A341,Empresas!$A:$A,0))="","",INDEX(Empresas!$C:$C,MATCH(A341,Empresas!$A:$A,0))),""))</f>
        <v/>
      </c>
      <c r="H341" s="18"/>
      <c r="I341" s="19" t="str">
        <f aca="false">IF(OR(F341="",G341=""),"",IF(F341-G341&lt;0,"CONTRATO ANTERIOR À ABERTURA — conferir datas",IF(F341-G341&lt;180,"ABERTA MENOS DE 6 MESES ANTES","")))</f>
        <v/>
      </c>
      <c r="J341" s="19" t="str">
        <f aca="false">IF(A341="","",IFERROR(INDEX(Sancoes!$B:$B,MATCH(A341,Sancoes!$A:$A,0))&amp;"","não consta"))</f>
        <v/>
      </c>
      <c r="K341" s="19" t="str">
        <f aca="false">IF(OR(A341="",F341=""),"",IF(SUMPRODUCT((Sancoes!$A$2:$A$301=A341)*(Sancoes!$B$2:$B$301&lt;&gt;"Não consta")*(Sancoes!$D$2:$D$301&lt;&gt;"")*(Sancoes!$D$2:$D$301&lt;=F341)*(((Sancoes!$E$2:$E$301="")+(Sancoes!$E$2:$E$301&gt;=F341))&gt;0))&gt;0,"SANÇÃO VIGENTE NA DATA — leia o tipo e a abrangência",""))</f>
        <v/>
      </c>
      <c r="L341" s="19" t="str">
        <f aca="false">IF(A341="","",IFERROR(INDEX(Empresas!$B:$B,MATCH(A341,Empresas!$A:$A,0))&amp;"","cadastre o CNPJ em Empresas"))</f>
        <v/>
      </c>
      <c r="M341" s="27"/>
      <c r="N341" s="35"/>
      <c r="O341" s="37" t="str">
        <f aca="false">IF(OR(D341="",D341=0,N341=""),"",N341/D341)</f>
        <v/>
      </c>
      <c r="P341" s="19" t="str">
        <f aca="false">IF(O341="","",IF(O341&gt;0.25,"ACRÉSCIMO ACIMA DE 25% — conferir",""))</f>
        <v/>
      </c>
      <c r="Q341" s="27"/>
      <c r="R341" s="5"/>
    </row>
    <row r="342" customFormat="false" ht="15" hidden="false" customHeight="false" outlineLevel="0" collapsed="false">
      <c r="A342" s="27"/>
      <c r="B342" s="5"/>
      <c r="C342" s="5"/>
      <c r="D342" s="35"/>
      <c r="E342" s="14"/>
      <c r="F342" s="18"/>
      <c r="G342" s="31" t="str">
        <f aca="false">IF(A342="","",IFERROR(IF(INDEX(Empresas!$C:$C,MATCH(A342,Empresas!$A:$A,0))="","",INDEX(Empresas!$C:$C,MATCH(A342,Empresas!$A:$A,0))),""))</f>
        <v/>
      </c>
      <c r="H342" s="18"/>
      <c r="I342" s="19" t="str">
        <f aca="false">IF(OR(F342="",G342=""),"",IF(F342-G342&lt;0,"CONTRATO ANTERIOR À ABERTURA — conferir datas",IF(F342-G342&lt;180,"ABERTA MENOS DE 6 MESES ANTES","")))</f>
        <v/>
      </c>
      <c r="J342" s="19" t="str">
        <f aca="false">IF(A342="","",IFERROR(INDEX(Sancoes!$B:$B,MATCH(A342,Sancoes!$A:$A,0))&amp;"","não consta"))</f>
        <v/>
      </c>
      <c r="K342" s="19" t="str">
        <f aca="false">IF(OR(A342="",F342=""),"",IF(SUMPRODUCT((Sancoes!$A$2:$A$301=A342)*(Sancoes!$B$2:$B$301&lt;&gt;"Não consta")*(Sancoes!$D$2:$D$301&lt;&gt;"")*(Sancoes!$D$2:$D$301&lt;=F342)*(((Sancoes!$E$2:$E$301="")+(Sancoes!$E$2:$E$301&gt;=F342))&gt;0))&gt;0,"SANÇÃO VIGENTE NA DATA — leia o tipo e a abrangência",""))</f>
        <v/>
      </c>
      <c r="L342" s="19" t="str">
        <f aca="false">IF(A342="","",IFERROR(INDEX(Empresas!$B:$B,MATCH(A342,Empresas!$A:$A,0))&amp;"","cadastre o CNPJ em Empresas"))</f>
        <v/>
      </c>
      <c r="M342" s="27"/>
      <c r="N342" s="35"/>
      <c r="O342" s="37" t="str">
        <f aca="false">IF(OR(D342="",D342=0,N342=""),"",N342/D342)</f>
        <v/>
      </c>
      <c r="P342" s="19" t="str">
        <f aca="false">IF(O342="","",IF(O342&gt;0.25,"ACRÉSCIMO ACIMA DE 25% — conferir",""))</f>
        <v/>
      </c>
      <c r="Q342" s="27"/>
      <c r="R342" s="5"/>
    </row>
    <row r="343" customFormat="false" ht="15" hidden="false" customHeight="false" outlineLevel="0" collapsed="false">
      <c r="A343" s="27"/>
      <c r="B343" s="5"/>
      <c r="C343" s="5"/>
      <c r="D343" s="35"/>
      <c r="E343" s="14"/>
      <c r="F343" s="18"/>
      <c r="G343" s="31" t="str">
        <f aca="false">IF(A343="","",IFERROR(IF(INDEX(Empresas!$C:$C,MATCH(A343,Empresas!$A:$A,0))="","",INDEX(Empresas!$C:$C,MATCH(A343,Empresas!$A:$A,0))),""))</f>
        <v/>
      </c>
      <c r="H343" s="18"/>
      <c r="I343" s="19" t="str">
        <f aca="false">IF(OR(F343="",G343=""),"",IF(F343-G343&lt;0,"CONTRATO ANTERIOR À ABERTURA — conferir datas",IF(F343-G343&lt;180,"ABERTA MENOS DE 6 MESES ANTES","")))</f>
        <v/>
      </c>
      <c r="J343" s="19" t="str">
        <f aca="false">IF(A343="","",IFERROR(INDEX(Sancoes!$B:$B,MATCH(A343,Sancoes!$A:$A,0))&amp;"","não consta"))</f>
        <v/>
      </c>
      <c r="K343" s="19" t="str">
        <f aca="false">IF(OR(A343="",F343=""),"",IF(SUMPRODUCT((Sancoes!$A$2:$A$301=A343)*(Sancoes!$B$2:$B$301&lt;&gt;"Não consta")*(Sancoes!$D$2:$D$301&lt;&gt;"")*(Sancoes!$D$2:$D$301&lt;=F343)*(((Sancoes!$E$2:$E$301="")+(Sancoes!$E$2:$E$301&gt;=F343))&gt;0))&gt;0,"SANÇÃO VIGENTE NA DATA — leia o tipo e a abrangência",""))</f>
        <v/>
      </c>
      <c r="L343" s="19" t="str">
        <f aca="false">IF(A343="","",IFERROR(INDEX(Empresas!$B:$B,MATCH(A343,Empresas!$A:$A,0))&amp;"","cadastre o CNPJ em Empresas"))</f>
        <v/>
      </c>
      <c r="M343" s="27"/>
      <c r="N343" s="35"/>
      <c r="O343" s="37" t="str">
        <f aca="false">IF(OR(D343="",D343=0,N343=""),"",N343/D343)</f>
        <v/>
      </c>
      <c r="P343" s="19" t="str">
        <f aca="false">IF(O343="","",IF(O343&gt;0.25,"ACRÉSCIMO ACIMA DE 25% — conferir",""))</f>
        <v/>
      </c>
      <c r="Q343" s="27"/>
      <c r="R343" s="5"/>
    </row>
    <row r="344" customFormat="false" ht="15" hidden="false" customHeight="false" outlineLevel="0" collapsed="false">
      <c r="A344" s="27"/>
      <c r="B344" s="5"/>
      <c r="C344" s="5"/>
      <c r="D344" s="35"/>
      <c r="E344" s="14"/>
      <c r="F344" s="18"/>
      <c r="G344" s="31" t="str">
        <f aca="false">IF(A344="","",IFERROR(IF(INDEX(Empresas!$C:$C,MATCH(A344,Empresas!$A:$A,0))="","",INDEX(Empresas!$C:$C,MATCH(A344,Empresas!$A:$A,0))),""))</f>
        <v/>
      </c>
      <c r="H344" s="18"/>
      <c r="I344" s="19" t="str">
        <f aca="false">IF(OR(F344="",G344=""),"",IF(F344-G344&lt;0,"CONTRATO ANTERIOR À ABERTURA — conferir datas",IF(F344-G344&lt;180,"ABERTA MENOS DE 6 MESES ANTES","")))</f>
        <v/>
      </c>
      <c r="J344" s="19" t="str">
        <f aca="false">IF(A344="","",IFERROR(INDEX(Sancoes!$B:$B,MATCH(A344,Sancoes!$A:$A,0))&amp;"","não consta"))</f>
        <v/>
      </c>
      <c r="K344" s="19" t="str">
        <f aca="false">IF(OR(A344="",F344=""),"",IF(SUMPRODUCT((Sancoes!$A$2:$A$301=A344)*(Sancoes!$B$2:$B$301&lt;&gt;"Não consta")*(Sancoes!$D$2:$D$301&lt;&gt;"")*(Sancoes!$D$2:$D$301&lt;=F344)*(((Sancoes!$E$2:$E$301="")+(Sancoes!$E$2:$E$301&gt;=F344))&gt;0))&gt;0,"SANÇÃO VIGENTE NA DATA — leia o tipo e a abrangência",""))</f>
        <v/>
      </c>
      <c r="L344" s="19" t="str">
        <f aca="false">IF(A344="","",IFERROR(INDEX(Empresas!$B:$B,MATCH(A344,Empresas!$A:$A,0))&amp;"","cadastre o CNPJ em Empresas"))</f>
        <v/>
      </c>
      <c r="M344" s="27"/>
      <c r="N344" s="35"/>
      <c r="O344" s="37" t="str">
        <f aca="false">IF(OR(D344="",D344=0,N344=""),"",N344/D344)</f>
        <v/>
      </c>
      <c r="P344" s="19" t="str">
        <f aca="false">IF(O344="","",IF(O344&gt;0.25,"ACRÉSCIMO ACIMA DE 25% — conferir",""))</f>
        <v/>
      </c>
      <c r="Q344" s="27"/>
      <c r="R344" s="5"/>
    </row>
    <row r="345" customFormat="false" ht="15" hidden="false" customHeight="false" outlineLevel="0" collapsed="false">
      <c r="A345" s="27"/>
      <c r="B345" s="5"/>
      <c r="C345" s="5"/>
      <c r="D345" s="35"/>
      <c r="E345" s="14"/>
      <c r="F345" s="18"/>
      <c r="G345" s="31" t="str">
        <f aca="false">IF(A345="","",IFERROR(IF(INDEX(Empresas!$C:$C,MATCH(A345,Empresas!$A:$A,0))="","",INDEX(Empresas!$C:$C,MATCH(A345,Empresas!$A:$A,0))),""))</f>
        <v/>
      </c>
      <c r="H345" s="18"/>
      <c r="I345" s="19" t="str">
        <f aca="false">IF(OR(F345="",G345=""),"",IF(F345-G345&lt;0,"CONTRATO ANTERIOR À ABERTURA — conferir datas",IF(F345-G345&lt;180,"ABERTA MENOS DE 6 MESES ANTES","")))</f>
        <v/>
      </c>
      <c r="J345" s="19" t="str">
        <f aca="false">IF(A345="","",IFERROR(INDEX(Sancoes!$B:$B,MATCH(A345,Sancoes!$A:$A,0))&amp;"","não consta"))</f>
        <v/>
      </c>
      <c r="K345" s="19" t="str">
        <f aca="false">IF(OR(A345="",F345=""),"",IF(SUMPRODUCT((Sancoes!$A$2:$A$301=A345)*(Sancoes!$B$2:$B$301&lt;&gt;"Não consta")*(Sancoes!$D$2:$D$301&lt;&gt;"")*(Sancoes!$D$2:$D$301&lt;=F345)*(((Sancoes!$E$2:$E$301="")+(Sancoes!$E$2:$E$301&gt;=F345))&gt;0))&gt;0,"SANÇÃO VIGENTE NA DATA — leia o tipo e a abrangência",""))</f>
        <v/>
      </c>
      <c r="L345" s="19" t="str">
        <f aca="false">IF(A345="","",IFERROR(INDEX(Empresas!$B:$B,MATCH(A345,Empresas!$A:$A,0))&amp;"","cadastre o CNPJ em Empresas"))</f>
        <v/>
      </c>
      <c r="M345" s="27"/>
      <c r="N345" s="35"/>
      <c r="O345" s="37" t="str">
        <f aca="false">IF(OR(D345="",D345=0,N345=""),"",N345/D345)</f>
        <v/>
      </c>
      <c r="P345" s="19" t="str">
        <f aca="false">IF(O345="","",IF(O345&gt;0.25,"ACRÉSCIMO ACIMA DE 25% — conferir",""))</f>
        <v/>
      </c>
      <c r="Q345" s="27"/>
      <c r="R345" s="5"/>
    </row>
    <row r="346" customFormat="false" ht="15" hidden="false" customHeight="false" outlineLevel="0" collapsed="false">
      <c r="A346" s="27"/>
      <c r="B346" s="5"/>
      <c r="C346" s="5"/>
      <c r="D346" s="35"/>
      <c r="E346" s="14"/>
      <c r="F346" s="18"/>
      <c r="G346" s="31" t="str">
        <f aca="false">IF(A346="","",IFERROR(IF(INDEX(Empresas!$C:$C,MATCH(A346,Empresas!$A:$A,0))="","",INDEX(Empresas!$C:$C,MATCH(A346,Empresas!$A:$A,0))),""))</f>
        <v/>
      </c>
      <c r="H346" s="18"/>
      <c r="I346" s="19" t="str">
        <f aca="false">IF(OR(F346="",G346=""),"",IF(F346-G346&lt;0,"CONTRATO ANTERIOR À ABERTURA — conferir datas",IF(F346-G346&lt;180,"ABERTA MENOS DE 6 MESES ANTES","")))</f>
        <v/>
      </c>
      <c r="J346" s="19" t="str">
        <f aca="false">IF(A346="","",IFERROR(INDEX(Sancoes!$B:$B,MATCH(A346,Sancoes!$A:$A,0))&amp;"","não consta"))</f>
        <v/>
      </c>
      <c r="K346" s="19" t="str">
        <f aca="false">IF(OR(A346="",F346=""),"",IF(SUMPRODUCT((Sancoes!$A$2:$A$301=A346)*(Sancoes!$B$2:$B$301&lt;&gt;"Não consta")*(Sancoes!$D$2:$D$301&lt;&gt;"")*(Sancoes!$D$2:$D$301&lt;=F346)*(((Sancoes!$E$2:$E$301="")+(Sancoes!$E$2:$E$301&gt;=F346))&gt;0))&gt;0,"SANÇÃO VIGENTE NA DATA — leia o tipo e a abrangência",""))</f>
        <v/>
      </c>
      <c r="L346" s="19" t="str">
        <f aca="false">IF(A346="","",IFERROR(INDEX(Empresas!$B:$B,MATCH(A346,Empresas!$A:$A,0))&amp;"","cadastre o CNPJ em Empresas"))</f>
        <v/>
      </c>
      <c r="M346" s="27"/>
      <c r="N346" s="35"/>
      <c r="O346" s="37" t="str">
        <f aca="false">IF(OR(D346="",D346=0,N346=""),"",N346/D346)</f>
        <v/>
      </c>
      <c r="P346" s="19" t="str">
        <f aca="false">IF(O346="","",IF(O346&gt;0.25,"ACRÉSCIMO ACIMA DE 25% — conferir",""))</f>
        <v/>
      </c>
      <c r="Q346" s="27"/>
      <c r="R346" s="5"/>
    </row>
    <row r="347" customFormat="false" ht="15" hidden="false" customHeight="false" outlineLevel="0" collapsed="false">
      <c r="A347" s="27"/>
      <c r="B347" s="5"/>
      <c r="C347" s="5"/>
      <c r="D347" s="35"/>
      <c r="E347" s="14"/>
      <c r="F347" s="18"/>
      <c r="G347" s="31" t="str">
        <f aca="false">IF(A347="","",IFERROR(IF(INDEX(Empresas!$C:$C,MATCH(A347,Empresas!$A:$A,0))="","",INDEX(Empresas!$C:$C,MATCH(A347,Empresas!$A:$A,0))),""))</f>
        <v/>
      </c>
      <c r="H347" s="18"/>
      <c r="I347" s="19" t="str">
        <f aca="false">IF(OR(F347="",G347=""),"",IF(F347-G347&lt;0,"CONTRATO ANTERIOR À ABERTURA — conferir datas",IF(F347-G347&lt;180,"ABERTA MENOS DE 6 MESES ANTES","")))</f>
        <v/>
      </c>
      <c r="J347" s="19" t="str">
        <f aca="false">IF(A347="","",IFERROR(INDEX(Sancoes!$B:$B,MATCH(A347,Sancoes!$A:$A,0))&amp;"","não consta"))</f>
        <v/>
      </c>
      <c r="K347" s="19" t="str">
        <f aca="false">IF(OR(A347="",F347=""),"",IF(SUMPRODUCT((Sancoes!$A$2:$A$301=A347)*(Sancoes!$B$2:$B$301&lt;&gt;"Não consta")*(Sancoes!$D$2:$D$301&lt;&gt;"")*(Sancoes!$D$2:$D$301&lt;=F347)*(((Sancoes!$E$2:$E$301="")+(Sancoes!$E$2:$E$301&gt;=F347))&gt;0))&gt;0,"SANÇÃO VIGENTE NA DATA — leia o tipo e a abrangência",""))</f>
        <v/>
      </c>
      <c r="L347" s="19" t="str">
        <f aca="false">IF(A347="","",IFERROR(INDEX(Empresas!$B:$B,MATCH(A347,Empresas!$A:$A,0))&amp;"","cadastre o CNPJ em Empresas"))</f>
        <v/>
      </c>
      <c r="M347" s="27"/>
      <c r="N347" s="35"/>
      <c r="O347" s="37" t="str">
        <f aca="false">IF(OR(D347="",D347=0,N347=""),"",N347/D347)</f>
        <v/>
      </c>
      <c r="P347" s="19" t="str">
        <f aca="false">IF(O347="","",IF(O347&gt;0.25,"ACRÉSCIMO ACIMA DE 25% — conferir",""))</f>
        <v/>
      </c>
      <c r="Q347" s="27"/>
      <c r="R347" s="5"/>
    </row>
    <row r="348" customFormat="false" ht="15" hidden="false" customHeight="false" outlineLevel="0" collapsed="false">
      <c r="A348" s="27"/>
      <c r="B348" s="5"/>
      <c r="C348" s="5"/>
      <c r="D348" s="35"/>
      <c r="E348" s="14"/>
      <c r="F348" s="18"/>
      <c r="G348" s="31" t="str">
        <f aca="false">IF(A348="","",IFERROR(IF(INDEX(Empresas!$C:$C,MATCH(A348,Empresas!$A:$A,0))="","",INDEX(Empresas!$C:$C,MATCH(A348,Empresas!$A:$A,0))),""))</f>
        <v/>
      </c>
      <c r="H348" s="18"/>
      <c r="I348" s="19" t="str">
        <f aca="false">IF(OR(F348="",G348=""),"",IF(F348-G348&lt;0,"CONTRATO ANTERIOR À ABERTURA — conferir datas",IF(F348-G348&lt;180,"ABERTA MENOS DE 6 MESES ANTES","")))</f>
        <v/>
      </c>
      <c r="J348" s="19" t="str">
        <f aca="false">IF(A348="","",IFERROR(INDEX(Sancoes!$B:$B,MATCH(A348,Sancoes!$A:$A,0))&amp;"","não consta"))</f>
        <v/>
      </c>
      <c r="K348" s="19" t="str">
        <f aca="false">IF(OR(A348="",F348=""),"",IF(SUMPRODUCT((Sancoes!$A$2:$A$301=A348)*(Sancoes!$B$2:$B$301&lt;&gt;"Não consta")*(Sancoes!$D$2:$D$301&lt;&gt;"")*(Sancoes!$D$2:$D$301&lt;=F348)*(((Sancoes!$E$2:$E$301="")+(Sancoes!$E$2:$E$301&gt;=F348))&gt;0))&gt;0,"SANÇÃO VIGENTE NA DATA — leia o tipo e a abrangência",""))</f>
        <v/>
      </c>
      <c r="L348" s="19" t="str">
        <f aca="false">IF(A348="","",IFERROR(INDEX(Empresas!$B:$B,MATCH(A348,Empresas!$A:$A,0))&amp;"","cadastre o CNPJ em Empresas"))</f>
        <v/>
      </c>
      <c r="M348" s="27"/>
      <c r="N348" s="35"/>
      <c r="O348" s="37" t="str">
        <f aca="false">IF(OR(D348="",D348=0,N348=""),"",N348/D348)</f>
        <v/>
      </c>
      <c r="P348" s="19" t="str">
        <f aca="false">IF(O348="","",IF(O348&gt;0.25,"ACRÉSCIMO ACIMA DE 25% — conferir",""))</f>
        <v/>
      </c>
      <c r="Q348" s="27"/>
      <c r="R348" s="5"/>
    </row>
    <row r="349" customFormat="false" ht="15" hidden="false" customHeight="false" outlineLevel="0" collapsed="false">
      <c r="A349" s="27"/>
      <c r="B349" s="5"/>
      <c r="C349" s="5"/>
      <c r="D349" s="35"/>
      <c r="E349" s="14"/>
      <c r="F349" s="18"/>
      <c r="G349" s="31" t="str">
        <f aca="false">IF(A349="","",IFERROR(IF(INDEX(Empresas!$C:$C,MATCH(A349,Empresas!$A:$A,0))="","",INDEX(Empresas!$C:$C,MATCH(A349,Empresas!$A:$A,0))),""))</f>
        <v/>
      </c>
      <c r="H349" s="18"/>
      <c r="I349" s="19" t="str">
        <f aca="false">IF(OR(F349="",G349=""),"",IF(F349-G349&lt;0,"CONTRATO ANTERIOR À ABERTURA — conferir datas",IF(F349-G349&lt;180,"ABERTA MENOS DE 6 MESES ANTES","")))</f>
        <v/>
      </c>
      <c r="J349" s="19" t="str">
        <f aca="false">IF(A349="","",IFERROR(INDEX(Sancoes!$B:$B,MATCH(A349,Sancoes!$A:$A,0))&amp;"","não consta"))</f>
        <v/>
      </c>
      <c r="K349" s="19" t="str">
        <f aca="false">IF(OR(A349="",F349=""),"",IF(SUMPRODUCT((Sancoes!$A$2:$A$301=A349)*(Sancoes!$B$2:$B$301&lt;&gt;"Não consta")*(Sancoes!$D$2:$D$301&lt;&gt;"")*(Sancoes!$D$2:$D$301&lt;=F349)*(((Sancoes!$E$2:$E$301="")+(Sancoes!$E$2:$E$301&gt;=F349))&gt;0))&gt;0,"SANÇÃO VIGENTE NA DATA — leia o tipo e a abrangência",""))</f>
        <v/>
      </c>
      <c r="L349" s="19" t="str">
        <f aca="false">IF(A349="","",IFERROR(INDEX(Empresas!$B:$B,MATCH(A349,Empresas!$A:$A,0))&amp;"","cadastre o CNPJ em Empresas"))</f>
        <v/>
      </c>
      <c r="M349" s="27"/>
      <c r="N349" s="35"/>
      <c r="O349" s="37" t="str">
        <f aca="false">IF(OR(D349="",D349=0,N349=""),"",N349/D349)</f>
        <v/>
      </c>
      <c r="P349" s="19" t="str">
        <f aca="false">IF(O349="","",IF(O349&gt;0.25,"ACRÉSCIMO ACIMA DE 25% — conferir",""))</f>
        <v/>
      </c>
      <c r="Q349" s="27"/>
      <c r="R349" s="5"/>
    </row>
    <row r="350" customFormat="false" ht="15" hidden="false" customHeight="false" outlineLevel="0" collapsed="false">
      <c r="A350" s="27"/>
      <c r="B350" s="5"/>
      <c r="C350" s="5"/>
      <c r="D350" s="35"/>
      <c r="E350" s="14"/>
      <c r="F350" s="18"/>
      <c r="G350" s="31" t="str">
        <f aca="false">IF(A350="","",IFERROR(IF(INDEX(Empresas!$C:$C,MATCH(A350,Empresas!$A:$A,0))="","",INDEX(Empresas!$C:$C,MATCH(A350,Empresas!$A:$A,0))),""))</f>
        <v/>
      </c>
      <c r="H350" s="18"/>
      <c r="I350" s="19" t="str">
        <f aca="false">IF(OR(F350="",G350=""),"",IF(F350-G350&lt;0,"CONTRATO ANTERIOR À ABERTURA — conferir datas",IF(F350-G350&lt;180,"ABERTA MENOS DE 6 MESES ANTES","")))</f>
        <v/>
      </c>
      <c r="J350" s="19" t="str">
        <f aca="false">IF(A350="","",IFERROR(INDEX(Sancoes!$B:$B,MATCH(A350,Sancoes!$A:$A,0))&amp;"","não consta"))</f>
        <v/>
      </c>
      <c r="K350" s="19" t="str">
        <f aca="false">IF(OR(A350="",F350=""),"",IF(SUMPRODUCT((Sancoes!$A$2:$A$301=A350)*(Sancoes!$B$2:$B$301&lt;&gt;"Não consta")*(Sancoes!$D$2:$D$301&lt;&gt;"")*(Sancoes!$D$2:$D$301&lt;=F350)*(((Sancoes!$E$2:$E$301="")+(Sancoes!$E$2:$E$301&gt;=F350))&gt;0))&gt;0,"SANÇÃO VIGENTE NA DATA — leia o tipo e a abrangência",""))</f>
        <v/>
      </c>
      <c r="L350" s="19" t="str">
        <f aca="false">IF(A350="","",IFERROR(INDEX(Empresas!$B:$B,MATCH(A350,Empresas!$A:$A,0))&amp;"","cadastre o CNPJ em Empresas"))</f>
        <v/>
      </c>
      <c r="M350" s="27"/>
      <c r="N350" s="35"/>
      <c r="O350" s="37" t="str">
        <f aca="false">IF(OR(D350="",D350=0,N350=""),"",N350/D350)</f>
        <v/>
      </c>
      <c r="P350" s="19" t="str">
        <f aca="false">IF(O350="","",IF(O350&gt;0.25,"ACRÉSCIMO ACIMA DE 25% — conferir",""))</f>
        <v/>
      </c>
      <c r="Q350" s="27"/>
      <c r="R350" s="5"/>
    </row>
    <row r="351" customFormat="false" ht="15" hidden="false" customHeight="false" outlineLevel="0" collapsed="false">
      <c r="A351" s="27"/>
      <c r="B351" s="5"/>
      <c r="C351" s="5"/>
      <c r="D351" s="35"/>
      <c r="E351" s="14"/>
      <c r="F351" s="18"/>
      <c r="G351" s="31" t="str">
        <f aca="false">IF(A351="","",IFERROR(IF(INDEX(Empresas!$C:$C,MATCH(A351,Empresas!$A:$A,0))="","",INDEX(Empresas!$C:$C,MATCH(A351,Empresas!$A:$A,0))),""))</f>
        <v/>
      </c>
      <c r="H351" s="18"/>
      <c r="I351" s="19" t="str">
        <f aca="false">IF(OR(F351="",G351=""),"",IF(F351-G351&lt;0,"CONTRATO ANTERIOR À ABERTURA — conferir datas",IF(F351-G351&lt;180,"ABERTA MENOS DE 6 MESES ANTES","")))</f>
        <v/>
      </c>
      <c r="J351" s="19" t="str">
        <f aca="false">IF(A351="","",IFERROR(INDEX(Sancoes!$B:$B,MATCH(A351,Sancoes!$A:$A,0))&amp;"","não consta"))</f>
        <v/>
      </c>
      <c r="K351" s="19" t="str">
        <f aca="false">IF(OR(A351="",F351=""),"",IF(SUMPRODUCT((Sancoes!$A$2:$A$301=A351)*(Sancoes!$B$2:$B$301&lt;&gt;"Não consta")*(Sancoes!$D$2:$D$301&lt;&gt;"")*(Sancoes!$D$2:$D$301&lt;=F351)*(((Sancoes!$E$2:$E$301="")+(Sancoes!$E$2:$E$301&gt;=F351))&gt;0))&gt;0,"SANÇÃO VIGENTE NA DATA — leia o tipo e a abrangência",""))</f>
        <v/>
      </c>
      <c r="L351" s="19" t="str">
        <f aca="false">IF(A351="","",IFERROR(INDEX(Empresas!$B:$B,MATCH(A351,Empresas!$A:$A,0))&amp;"","cadastre o CNPJ em Empresas"))</f>
        <v/>
      </c>
      <c r="M351" s="27"/>
      <c r="N351" s="35"/>
      <c r="O351" s="37" t="str">
        <f aca="false">IF(OR(D351="",D351=0,N351=""),"",N351/D351)</f>
        <v/>
      </c>
      <c r="P351" s="19" t="str">
        <f aca="false">IF(O351="","",IF(O351&gt;0.25,"ACRÉSCIMO ACIMA DE 25% — conferir",""))</f>
        <v/>
      </c>
      <c r="Q351" s="27"/>
      <c r="R351" s="5"/>
    </row>
    <row r="352" customFormat="false" ht="15" hidden="false" customHeight="false" outlineLevel="0" collapsed="false">
      <c r="A352" s="27"/>
      <c r="B352" s="5"/>
      <c r="C352" s="5"/>
      <c r="D352" s="35"/>
      <c r="E352" s="14"/>
      <c r="F352" s="18"/>
      <c r="G352" s="31" t="str">
        <f aca="false">IF(A352="","",IFERROR(IF(INDEX(Empresas!$C:$C,MATCH(A352,Empresas!$A:$A,0))="","",INDEX(Empresas!$C:$C,MATCH(A352,Empresas!$A:$A,0))),""))</f>
        <v/>
      </c>
      <c r="H352" s="18"/>
      <c r="I352" s="19" t="str">
        <f aca="false">IF(OR(F352="",G352=""),"",IF(F352-G352&lt;0,"CONTRATO ANTERIOR À ABERTURA — conferir datas",IF(F352-G352&lt;180,"ABERTA MENOS DE 6 MESES ANTES","")))</f>
        <v/>
      </c>
      <c r="J352" s="19" t="str">
        <f aca="false">IF(A352="","",IFERROR(INDEX(Sancoes!$B:$B,MATCH(A352,Sancoes!$A:$A,0))&amp;"","não consta"))</f>
        <v/>
      </c>
      <c r="K352" s="19" t="str">
        <f aca="false">IF(OR(A352="",F352=""),"",IF(SUMPRODUCT((Sancoes!$A$2:$A$301=A352)*(Sancoes!$B$2:$B$301&lt;&gt;"Não consta")*(Sancoes!$D$2:$D$301&lt;&gt;"")*(Sancoes!$D$2:$D$301&lt;=F352)*(((Sancoes!$E$2:$E$301="")+(Sancoes!$E$2:$E$301&gt;=F352))&gt;0))&gt;0,"SANÇÃO VIGENTE NA DATA — leia o tipo e a abrangência",""))</f>
        <v/>
      </c>
      <c r="L352" s="19" t="str">
        <f aca="false">IF(A352="","",IFERROR(INDEX(Empresas!$B:$B,MATCH(A352,Empresas!$A:$A,0))&amp;"","cadastre o CNPJ em Empresas"))</f>
        <v/>
      </c>
      <c r="M352" s="27"/>
      <c r="N352" s="35"/>
      <c r="O352" s="37" t="str">
        <f aca="false">IF(OR(D352="",D352=0,N352=""),"",N352/D352)</f>
        <v/>
      </c>
      <c r="P352" s="19" t="str">
        <f aca="false">IF(O352="","",IF(O352&gt;0.25,"ACRÉSCIMO ACIMA DE 25% — conferir",""))</f>
        <v/>
      </c>
      <c r="Q352" s="27"/>
      <c r="R352" s="5"/>
    </row>
    <row r="353" customFormat="false" ht="15" hidden="false" customHeight="false" outlineLevel="0" collapsed="false">
      <c r="A353" s="27"/>
      <c r="B353" s="5"/>
      <c r="C353" s="5"/>
      <c r="D353" s="35"/>
      <c r="E353" s="14"/>
      <c r="F353" s="18"/>
      <c r="G353" s="31" t="str">
        <f aca="false">IF(A353="","",IFERROR(IF(INDEX(Empresas!$C:$C,MATCH(A353,Empresas!$A:$A,0))="","",INDEX(Empresas!$C:$C,MATCH(A353,Empresas!$A:$A,0))),""))</f>
        <v/>
      </c>
      <c r="H353" s="18"/>
      <c r="I353" s="19" t="str">
        <f aca="false">IF(OR(F353="",G353=""),"",IF(F353-G353&lt;0,"CONTRATO ANTERIOR À ABERTURA — conferir datas",IF(F353-G353&lt;180,"ABERTA MENOS DE 6 MESES ANTES","")))</f>
        <v/>
      </c>
      <c r="J353" s="19" t="str">
        <f aca="false">IF(A353="","",IFERROR(INDEX(Sancoes!$B:$B,MATCH(A353,Sancoes!$A:$A,0))&amp;"","não consta"))</f>
        <v/>
      </c>
      <c r="K353" s="19" t="str">
        <f aca="false">IF(OR(A353="",F353=""),"",IF(SUMPRODUCT((Sancoes!$A$2:$A$301=A353)*(Sancoes!$B$2:$B$301&lt;&gt;"Não consta")*(Sancoes!$D$2:$D$301&lt;&gt;"")*(Sancoes!$D$2:$D$301&lt;=F353)*(((Sancoes!$E$2:$E$301="")+(Sancoes!$E$2:$E$301&gt;=F353))&gt;0))&gt;0,"SANÇÃO VIGENTE NA DATA — leia o tipo e a abrangência",""))</f>
        <v/>
      </c>
      <c r="L353" s="19" t="str">
        <f aca="false">IF(A353="","",IFERROR(INDEX(Empresas!$B:$B,MATCH(A353,Empresas!$A:$A,0))&amp;"","cadastre o CNPJ em Empresas"))</f>
        <v/>
      </c>
      <c r="M353" s="27"/>
      <c r="N353" s="35"/>
      <c r="O353" s="37" t="str">
        <f aca="false">IF(OR(D353="",D353=0,N353=""),"",N353/D353)</f>
        <v/>
      </c>
      <c r="P353" s="19" t="str">
        <f aca="false">IF(O353="","",IF(O353&gt;0.25,"ACRÉSCIMO ACIMA DE 25% — conferir",""))</f>
        <v/>
      </c>
      <c r="Q353" s="27"/>
      <c r="R353" s="5"/>
    </row>
    <row r="354" customFormat="false" ht="15" hidden="false" customHeight="false" outlineLevel="0" collapsed="false">
      <c r="A354" s="27"/>
      <c r="B354" s="5"/>
      <c r="C354" s="5"/>
      <c r="D354" s="35"/>
      <c r="E354" s="14"/>
      <c r="F354" s="18"/>
      <c r="G354" s="31" t="str">
        <f aca="false">IF(A354="","",IFERROR(IF(INDEX(Empresas!$C:$C,MATCH(A354,Empresas!$A:$A,0))="","",INDEX(Empresas!$C:$C,MATCH(A354,Empresas!$A:$A,0))),""))</f>
        <v/>
      </c>
      <c r="H354" s="18"/>
      <c r="I354" s="19" t="str">
        <f aca="false">IF(OR(F354="",G354=""),"",IF(F354-G354&lt;0,"CONTRATO ANTERIOR À ABERTURA — conferir datas",IF(F354-G354&lt;180,"ABERTA MENOS DE 6 MESES ANTES","")))</f>
        <v/>
      </c>
      <c r="J354" s="19" t="str">
        <f aca="false">IF(A354="","",IFERROR(INDEX(Sancoes!$B:$B,MATCH(A354,Sancoes!$A:$A,0))&amp;"","não consta"))</f>
        <v/>
      </c>
      <c r="K354" s="19" t="str">
        <f aca="false">IF(OR(A354="",F354=""),"",IF(SUMPRODUCT((Sancoes!$A$2:$A$301=A354)*(Sancoes!$B$2:$B$301&lt;&gt;"Não consta")*(Sancoes!$D$2:$D$301&lt;&gt;"")*(Sancoes!$D$2:$D$301&lt;=F354)*(((Sancoes!$E$2:$E$301="")+(Sancoes!$E$2:$E$301&gt;=F354))&gt;0))&gt;0,"SANÇÃO VIGENTE NA DATA — leia o tipo e a abrangência",""))</f>
        <v/>
      </c>
      <c r="L354" s="19" t="str">
        <f aca="false">IF(A354="","",IFERROR(INDEX(Empresas!$B:$B,MATCH(A354,Empresas!$A:$A,0))&amp;"","cadastre o CNPJ em Empresas"))</f>
        <v/>
      </c>
      <c r="M354" s="27"/>
      <c r="N354" s="35"/>
      <c r="O354" s="37" t="str">
        <f aca="false">IF(OR(D354="",D354=0,N354=""),"",N354/D354)</f>
        <v/>
      </c>
      <c r="P354" s="19" t="str">
        <f aca="false">IF(O354="","",IF(O354&gt;0.25,"ACRÉSCIMO ACIMA DE 25% — conferir",""))</f>
        <v/>
      </c>
      <c r="Q354" s="27"/>
      <c r="R354" s="5"/>
    </row>
    <row r="355" customFormat="false" ht="15" hidden="false" customHeight="false" outlineLevel="0" collapsed="false">
      <c r="A355" s="27"/>
      <c r="B355" s="5"/>
      <c r="C355" s="5"/>
      <c r="D355" s="35"/>
      <c r="E355" s="14"/>
      <c r="F355" s="18"/>
      <c r="G355" s="31" t="str">
        <f aca="false">IF(A355="","",IFERROR(IF(INDEX(Empresas!$C:$C,MATCH(A355,Empresas!$A:$A,0))="","",INDEX(Empresas!$C:$C,MATCH(A355,Empresas!$A:$A,0))),""))</f>
        <v/>
      </c>
      <c r="H355" s="18"/>
      <c r="I355" s="19" t="str">
        <f aca="false">IF(OR(F355="",G355=""),"",IF(F355-G355&lt;0,"CONTRATO ANTERIOR À ABERTURA — conferir datas",IF(F355-G355&lt;180,"ABERTA MENOS DE 6 MESES ANTES","")))</f>
        <v/>
      </c>
      <c r="J355" s="19" t="str">
        <f aca="false">IF(A355="","",IFERROR(INDEX(Sancoes!$B:$B,MATCH(A355,Sancoes!$A:$A,0))&amp;"","não consta"))</f>
        <v/>
      </c>
      <c r="K355" s="19" t="str">
        <f aca="false">IF(OR(A355="",F355=""),"",IF(SUMPRODUCT((Sancoes!$A$2:$A$301=A355)*(Sancoes!$B$2:$B$301&lt;&gt;"Não consta")*(Sancoes!$D$2:$D$301&lt;&gt;"")*(Sancoes!$D$2:$D$301&lt;=F355)*(((Sancoes!$E$2:$E$301="")+(Sancoes!$E$2:$E$301&gt;=F355))&gt;0))&gt;0,"SANÇÃO VIGENTE NA DATA — leia o tipo e a abrangência",""))</f>
        <v/>
      </c>
      <c r="L355" s="19" t="str">
        <f aca="false">IF(A355="","",IFERROR(INDEX(Empresas!$B:$B,MATCH(A355,Empresas!$A:$A,0))&amp;"","cadastre o CNPJ em Empresas"))</f>
        <v/>
      </c>
      <c r="M355" s="27"/>
      <c r="N355" s="35"/>
      <c r="O355" s="37" t="str">
        <f aca="false">IF(OR(D355="",D355=0,N355=""),"",N355/D355)</f>
        <v/>
      </c>
      <c r="P355" s="19" t="str">
        <f aca="false">IF(O355="","",IF(O355&gt;0.25,"ACRÉSCIMO ACIMA DE 25% — conferir",""))</f>
        <v/>
      </c>
      <c r="Q355" s="27"/>
      <c r="R355" s="5"/>
    </row>
    <row r="356" customFormat="false" ht="15" hidden="false" customHeight="false" outlineLevel="0" collapsed="false">
      <c r="A356" s="27"/>
      <c r="B356" s="5"/>
      <c r="C356" s="5"/>
      <c r="D356" s="35"/>
      <c r="E356" s="14"/>
      <c r="F356" s="18"/>
      <c r="G356" s="31" t="str">
        <f aca="false">IF(A356="","",IFERROR(IF(INDEX(Empresas!$C:$C,MATCH(A356,Empresas!$A:$A,0))="","",INDEX(Empresas!$C:$C,MATCH(A356,Empresas!$A:$A,0))),""))</f>
        <v/>
      </c>
      <c r="H356" s="18"/>
      <c r="I356" s="19" t="str">
        <f aca="false">IF(OR(F356="",G356=""),"",IF(F356-G356&lt;0,"CONTRATO ANTERIOR À ABERTURA — conferir datas",IF(F356-G356&lt;180,"ABERTA MENOS DE 6 MESES ANTES","")))</f>
        <v/>
      </c>
      <c r="J356" s="19" t="str">
        <f aca="false">IF(A356="","",IFERROR(INDEX(Sancoes!$B:$B,MATCH(A356,Sancoes!$A:$A,0))&amp;"","não consta"))</f>
        <v/>
      </c>
      <c r="K356" s="19" t="str">
        <f aca="false">IF(OR(A356="",F356=""),"",IF(SUMPRODUCT((Sancoes!$A$2:$A$301=A356)*(Sancoes!$B$2:$B$301&lt;&gt;"Não consta")*(Sancoes!$D$2:$D$301&lt;&gt;"")*(Sancoes!$D$2:$D$301&lt;=F356)*(((Sancoes!$E$2:$E$301="")+(Sancoes!$E$2:$E$301&gt;=F356))&gt;0))&gt;0,"SANÇÃO VIGENTE NA DATA — leia o tipo e a abrangência",""))</f>
        <v/>
      </c>
      <c r="L356" s="19" t="str">
        <f aca="false">IF(A356="","",IFERROR(INDEX(Empresas!$B:$B,MATCH(A356,Empresas!$A:$A,0))&amp;"","cadastre o CNPJ em Empresas"))</f>
        <v/>
      </c>
      <c r="M356" s="27"/>
      <c r="N356" s="35"/>
      <c r="O356" s="37" t="str">
        <f aca="false">IF(OR(D356="",D356=0,N356=""),"",N356/D356)</f>
        <v/>
      </c>
      <c r="P356" s="19" t="str">
        <f aca="false">IF(O356="","",IF(O356&gt;0.25,"ACRÉSCIMO ACIMA DE 25% — conferir",""))</f>
        <v/>
      </c>
      <c r="Q356" s="27"/>
      <c r="R356" s="5"/>
    </row>
    <row r="357" customFormat="false" ht="15" hidden="false" customHeight="false" outlineLevel="0" collapsed="false">
      <c r="A357" s="27"/>
      <c r="B357" s="5"/>
      <c r="C357" s="5"/>
      <c r="D357" s="35"/>
      <c r="E357" s="14"/>
      <c r="F357" s="18"/>
      <c r="G357" s="31" t="str">
        <f aca="false">IF(A357="","",IFERROR(IF(INDEX(Empresas!$C:$C,MATCH(A357,Empresas!$A:$A,0))="","",INDEX(Empresas!$C:$C,MATCH(A357,Empresas!$A:$A,0))),""))</f>
        <v/>
      </c>
      <c r="H357" s="18"/>
      <c r="I357" s="19" t="str">
        <f aca="false">IF(OR(F357="",G357=""),"",IF(F357-G357&lt;0,"CONTRATO ANTERIOR À ABERTURA — conferir datas",IF(F357-G357&lt;180,"ABERTA MENOS DE 6 MESES ANTES","")))</f>
        <v/>
      </c>
      <c r="J357" s="19" t="str">
        <f aca="false">IF(A357="","",IFERROR(INDEX(Sancoes!$B:$B,MATCH(A357,Sancoes!$A:$A,0))&amp;"","não consta"))</f>
        <v/>
      </c>
      <c r="K357" s="19" t="str">
        <f aca="false">IF(OR(A357="",F357=""),"",IF(SUMPRODUCT((Sancoes!$A$2:$A$301=A357)*(Sancoes!$B$2:$B$301&lt;&gt;"Não consta")*(Sancoes!$D$2:$D$301&lt;&gt;"")*(Sancoes!$D$2:$D$301&lt;=F357)*(((Sancoes!$E$2:$E$301="")+(Sancoes!$E$2:$E$301&gt;=F357))&gt;0))&gt;0,"SANÇÃO VIGENTE NA DATA — leia o tipo e a abrangência",""))</f>
        <v/>
      </c>
      <c r="L357" s="19" t="str">
        <f aca="false">IF(A357="","",IFERROR(INDEX(Empresas!$B:$B,MATCH(A357,Empresas!$A:$A,0))&amp;"","cadastre o CNPJ em Empresas"))</f>
        <v/>
      </c>
      <c r="M357" s="27"/>
      <c r="N357" s="35"/>
      <c r="O357" s="37" t="str">
        <f aca="false">IF(OR(D357="",D357=0,N357=""),"",N357/D357)</f>
        <v/>
      </c>
      <c r="P357" s="19" t="str">
        <f aca="false">IF(O357="","",IF(O357&gt;0.25,"ACRÉSCIMO ACIMA DE 25% — conferir",""))</f>
        <v/>
      </c>
      <c r="Q357" s="27"/>
      <c r="R357" s="5"/>
    </row>
    <row r="358" customFormat="false" ht="15" hidden="false" customHeight="false" outlineLevel="0" collapsed="false">
      <c r="A358" s="27"/>
      <c r="B358" s="5"/>
      <c r="C358" s="5"/>
      <c r="D358" s="35"/>
      <c r="E358" s="14"/>
      <c r="F358" s="18"/>
      <c r="G358" s="31" t="str">
        <f aca="false">IF(A358="","",IFERROR(IF(INDEX(Empresas!$C:$C,MATCH(A358,Empresas!$A:$A,0))="","",INDEX(Empresas!$C:$C,MATCH(A358,Empresas!$A:$A,0))),""))</f>
        <v/>
      </c>
      <c r="H358" s="18"/>
      <c r="I358" s="19" t="str">
        <f aca="false">IF(OR(F358="",G358=""),"",IF(F358-G358&lt;0,"CONTRATO ANTERIOR À ABERTURA — conferir datas",IF(F358-G358&lt;180,"ABERTA MENOS DE 6 MESES ANTES","")))</f>
        <v/>
      </c>
      <c r="J358" s="19" t="str">
        <f aca="false">IF(A358="","",IFERROR(INDEX(Sancoes!$B:$B,MATCH(A358,Sancoes!$A:$A,0))&amp;"","não consta"))</f>
        <v/>
      </c>
      <c r="K358" s="19" t="str">
        <f aca="false">IF(OR(A358="",F358=""),"",IF(SUMPRODUCT((Sancoes!$A$2:$A$301=A358)*(Sancoes!$B$2:$B$301&lt;&gt;"Não consta")*(Sancoes!$D$2:$D$301&lt;&gt;"")*(Sancoes!$D$2:$D$301&lt;=F358)*(((Sancoes!$E$2:$E$301="")+(Sancoes!$E$2:$E$301&gt;=F358))&gt;0))&gt;0,"SANÇÃO VIGENTE NA DATA — leia o tipo e a abrangência",""))</f>
        <v/>
      </c>
      <c r="L358" s="19" t="str">
        <f aca="false">IF(A358="","",IFERROR(INDEX(Empresas!$B:$B,MATCH(A358,Empresas!$A:$A,0))&amp;"","cadastre o CNPJ em Empresas"))</f>
        <v/>
      </c>
      <c r="M358" s="27"/>
      <c r="N358" s="35"/>
      <c r="O358" s="37" t="str">
        <f aca="false">IF(OR(D358="",D358=0,N358=""),"",N358/D358)</f>
        <v/>
      </c>
      <c r="P358" s="19" t="str">
        <f aca="false">IF(O358="","",IF(O358&gt;0.25,"ACRÉSCIMO ACIMA DE 25% — conferir",""))</f>
        <v/>
      </c>
      <c r="Q358" s="27"/>
      <c r="R358" s="5"/>
    </row>
    <row r="359" customFormat="false" ht="15" hidden="false" customHeight="false" outlineLevel="0" collapsed="false">
      <c r="A359" s="27"/>
      <c r="B359" s="5"/>
      <c r="C359" s="5"/>
      <c r="D359" s="35"/>
      <c r="E359" s="14"/>
      <c r="F359" s="18"/>
      <c r="G359" s="31" t="str">
        <f aca="false">IF(A359="","",IFERROR(IF(INDEX(Empresas!$C:$C,MATCH(A359,Empresas!$A:$A,0))="","",INDEX(Empresas!$C:$C,MATCH(A359,Empresas!$A:$A,0))),""))</f>
        <v/>
      </c>
      <c r="H359" s="18"/>
      <c r="I359" s="19" t="str">
        <f aca="false">IF(OR(F359="",G359=""),"",IF(F359-G359&lt;0,"CONTRATO ANTERIOR À ABERTURA — conferir datas",IF(F359-G359&lt;180,"ABERTA MENOS DE 6 MESES ANTES","")))</f>
        <v/>
      </c>
      <c r="J359" s="19" t="str">
        <f aca="false">IF(A359="","",IFERROR(INDEX(Sancoes!$B:$B,MATCH(A359,Sancoes!$A:$A,0))&amp;"","não consta"))</f>
        <v/>
      </c>
      <c r="K359" s="19" t="str">
        <f aca="false">IF(OR(A359="",F359=""),"",IF(SUMPRODUCT((Sancoes!$A$2:$A$301=A359)*(Sancoes!$B$2:$B$301&lt;&gt;"Não consta")*(Sancoes!$D$2:$D$301&lt;&gt;"")*(Sancoes!$D$2:$D$301&lt;=F359)*(((Sancoes!$E$2:$E$301="")+(Sancoes!$E$2:$E$301&gt;=F359))&gt;0))&gt;0,"SANÇÃO VIGENTE NA DATA — leia o tipo e a abrangência",""))</f>
        <v/>
      </c>
      <c r="L359" s="19" t="str">
        <f aca="false">IF(A359="","",IFERROR(INDEX(Empresas!$B:$B,MATCH(A359,Empresas!$A:$A,0))&amp;"","cadastre o CNPJ em Empresas"))</f>
        <v/>
      </c>
      <c r="M359" s="27"/>
      <c r="N359" s="35"/>
      <c r="O359" s="37" t="str">
        <f aca="false">IF(OR(D359="",D359=0,N359=""),"",N359/D359)</f>
        <v/>
      </c>
      <c r="P359" s="19" t="str">
        <f aca="false">IF(O359="","",IF(O359&gt;0.25,"ACRÉSCIMO ACIMA DE 25% — conferir",""))</f>
        <v/>
      </c>
      <c r="Q359" s="27"/>
      <c r="R359" s="5"/>
    </row>
    <row r="360" customFormat="false" ht="15" hidden="false" customHeight="false" outlineLevel="0" collapsed="false">
      <c r="A360" s="27"/>
      <c r="B360" s="5"/>
      <c r="C360" s="5"/>
      <c r="D360" s="35"/>
      <c r="E360" s="14"/>
      <c r="F360" s="18"/>
      <c r="G360" s="31" t="str">
        <f aca="false">IF(A360="","",IFERROR(IF(INDEX(Empresas!$C:$C,MATCH(A360,Empresas!$A:$A,0))="","",INDEX(Empresas!$C:$C,MATCH(A360,Empresas!$A:$A,0))),""))</f>
        <v/>
      </c>
      <c r="H360" s="18"/>
      <c r="I360" s="19" t="str">
        <f aca="false">IF(OR(F360="",G360=""),"",IF(F360-G360&lt;0,"CONTRATO ANTERIOR À ABERTURA — conferir datas",IF(F360-G360&lt;180,"ABERTA MENOS DE 6 MESES ANTES","")))</f>
        <v/>
      </c>
      <c r="J360" s="19" t="str">
        <f aca="false">IF(A360="","",IFERROR(INDEX(Sancoes!$B:$B,MATCH(A360,Sancoes!$A:$A,0))&amp;"","não consta"))</f>
        <v/>
      </c>
      <c r="K360" s="19" t="str">
        <f aca="false">IF(OR(A360="",F360=""),"",IF(SUMPRODUCT((Sancoes!$A$2:$A$301=A360)*(Sancoes!$B$2:$B$301&lt;&gt;"Não consta")*(Sancoes!$D$2:$D$301&lt;&gt;"")*(Sancoes!$D$2:$D$301&lt;=F360)*(((Sancoes!$E$2:$E$301="")+(Sancoes!$E$2:$E$301&gt;=F360))&gt;0))&gt;0,"SANÇÃO VIGENTE NA DATA — leia o tipo e a abrangência",""))</f>
        <v/>
      </c>
      <c r="L360" s="19" t="str">
        <f aca="false">IF(A360="","",IFERROR(INDEX(Empresas!$B:$B,MATCH(A360,Empresas!$A:$A,0))&amp;"","cadastre o CNPJ em Empresas"))</f>
        <v/>
      </c>
      <c r="M360" s="27"/>
      <c r="N360" s="35"/>
      <c r="O360" s="37" t="str">
        <f aca="false">IF(OR(D360="",D360=0,N360=""),"",N360/D360)</f>
        <v/>
      </c>
      <c r="P360" s="19" t="str">
        <f aca="false">IF(O360="","",IF(O360&gt;0.25,"ACRÉSCIMO ACIMA DE 25% — conferir",""))</f>
        <v/>
      </c>
      <c r="Q360" s="27"/>
      <c r="R360" s="5"/>
    </row>
    <row r="361" customFormat="false" ht="15" hidden="false" customHeight="false" outlineLevel="0" collapsed="false">
      <c r="A361" s="27"/>
      <c r="B361" s="5"/>
      <c r="C361" s="5"/>
      <c r="D361" s="35"/>
      <c r="E361" s="14"/>
      <c r="F361" s="18"/>
      <c r="G361" s="31" t="str">
        <f aca="false">IF(A361="","",IFERROR(IF(INDEX(Empresas!$C:$C,MATCH(A361,Empresas!$A:$A,0))="","",INDEX(Empresas!$C:$C,MATCH(A361,Empresas!$A:$A,0))),""))</f>
        <v/>
      </c>
      <c r="H361" s="18"/>
      <c r="I361" s="19" t="str">
        <f aca="false">IF(OR(F361="",G361=""),"",IF(F361-G361&lt;0,"CONTRATO ANTERIOR À ABERTURA — conferir datas",IF(F361-G361&lt;180,"ABERTA MENOS DE 6 MESES ANTES","")))</f>
        <v/>
      </c>
      <c r="J361" s="19" t="str">
        <f aca="false">IF(A361="","",IFERROR(INDEX(Sancoes!$B:$B,MATCH(A361,Sancoes!$A:$A,0))&amp;"","não consta"))</f>
        <v/>
      </c>
      <c r="K361" s="19" t="str">
        <f aca="false">IF(OR(A361="",F361=""),"",IF(SUMPRODUCT((Sancoes!$A$2:$A$301=A361)*(Sancoes!$B$2:$B$301&lt;&gt;"Não consta")*(Sancoes!$D$2:$D$301&lt;&gt;"")*(Sancoes!$D$2:$D$301&lt;=F361)*(((Sancoes!$E$2:$E$301="")+(Sancoes!$E$2:$E$301&gt;=F361))&gt;0))&gt;0,"SANÇÃO VIGENTE NA DATA — leia o tipo e a abrangência",""))</f>
        <v/>
      </c>
      <c r="L361" s="19" t="str">
        <f aca="false">IF(A361="","",IFERROR(INDEX(Empresas!$B:$B,MATCH(A361,Empresas!$A:$A,0))&amp;"","cadastre o CNPJ em Empresas"))</f>
        <v/>
      </c>
      <c r="M361" s="27"/>
      <c r="N361" s="35"/>
      <c r="O361" s="37" t="str">
        <f aca="false">IF(OR(D361="",D361=0,N361=""),"",N361/D361)</f>
        <v/>
      </c>
      <c r="P361" s="19" t="str">
        <f aca="false">IF(O361="","",IF(O361&gt;0.25,"ACRÉSCIMO ACIMA DE 25% — conferir",""))</f>
        <v/>
      </c>
      <c r="Q361" s="27"/>
      <c r="R361" s="5"/>
    </row>
    <row r="362" customFormat="false" ht="15" hidden="false" customHeight="false" outlineLevel="0" collapsed="false">
      <c r="A362" s="27"/>
      <c r="B362" s="5"/>
      <c r="C362" s="5"/>
      <c r="D362" s="35"/>
      <c r="E362" s="14"/>
      <c r="F362" s="18"/>
      <c r="G362" s="31" t="str">
        <f aca="false">IF(A362="","",IFERROR(IF(INDEX(Empresas!$C:$C,MATCH(A362,Empresas!$A:$A,0))="","",INDEX(Empresas!$C:$C,MATCH(A362,Empresas!$A:$A,0))),""))</f>
        <v/>
      </c>
      <c r="H362" s="18"/>
      <c r="I362" s="19" t="str">
        <f aca="false">IF(OR(F362="",G362=""),"",IF(F362-G362&lt;0,"CONTRATO ANTERIOR À ABERTURA — conferir datas",IF(F362-G362&lt;180,"ABERTA MENOS DE 6 MESES ANTES","")))</f>
        <v/>
      </c>
      <c r="J362" s="19" t="str">
        <f aca="false">IF(A362="","",IFERROR(INDEX(Sancoes!$B:$B,MATCH(A362,Sancoes!$A:$A,0))&amp;"","não consta"))</f>
        <v/>
      </c>
      <c r="K362" s="19" t="str">
        <f aca="false">IF(OR(A362="",F362=""),"",IF(SUMPRODUCT((Sancoes!$A$2:$A$301=A362)*(Sancoes!$B$2:$B$301&lt;&gt;"Não consta")*(Sancoes!$D$2:$D$301&lt;&gt;"")*(Sancoes!$D$2:$D$301&lt;=F362)*(((Sancoes!$E$2:$E$301="")+(Sancoes!$E$2:$E$301&gt;=F362))&gt;0))&gt;0,"SANÇÃO VIGENTE NA DATA — leia o tipo e a abrangência",""))</f>
        <v/>
      </c>
      <c r="L362" s="19" t="str">
        <f aca="false">IF(A362="","",IFERROR(INDEX(Empresas!$B:$B,MATCH(A362,Empresas!$A:$A,0))&amp;"","cadastre o CNPJ em Empresas"))</f>
        <v/>
      </c>
      <c r="M362" s="27"/>
      <c r="N362" s="35"/>
      <c r="O362" s="37" t="str">
        <f aca="false">IF(OR(D362="",D362=0,N362=""),"",N362/D362)</f>
        <v/>
      </c>
      <c r="P362" s="19" t="str">
        <f aca="false">IF(O362="","",IF(O362&gt;0.25,"ACRÉSCIMO ACIMA DE 25% — conferir",""))</f>
        <v/>
      </c>
      <c r="Q362" s="27"/>
      <c r="R362" s="5"/>
    </row>
    <row r="363" customFormat="false" ht="15" hidden="false" customHeight="false" outlineLevel="0" collapsed="false">
      <c r="A363" s="27"/>
      <c r="B363" s="5"/>
      <c r="C363" s="5"/>
      <c r="D363" s="35"/>
      <c r="E363" s="14"/>
      <c r="F363" s="18"/>
      <c r="G363" s="31" t="str">
        <f aca="false">IF(A363="","",IFERROR(IF(INDEX(Empresas!$C:$C,MATCH(A363,Empresas!$A:$A,0))="","",INDEX(Empresas!$C:$C,MATCH(A363,Empresas!$A:$A,0))),""))</f>
        <v/>
      </c>
      <c r="H363" s="18"/>
      <c r="I363" s="19" t="str">
        <f aca="false">IF(OR(F363="",G363=""),"",IF(F363-G363&lt;0,"CONTRATO ANTERIOR À ABERTURA — conferir datas",IF(F363-G363&lt;180,"ABERTA MENOS DE 6 MESES ANTES","")))</f>
        <v/>
      </c>
      <c r="J363" s="19" t="str">
        <f aca="false">IF(A363="","",IFERROR(INDEX(Sancoes!$B:$B,MATCH(A363,Sancoes!$A:$A,0))&amp;"","não consta"))</f>
        <v/>
      </c>
      <c r="K363" s="19" t="str">
        <f aca="false">IF(OR(A363="",F363=""),"",IF(SUMPRODUCT((Sancoes!$A$2:$A$301=A363)*(Sancoes!$B$2:$B$301&lt;&gt;"Não consta")*(Sancoes!$D$2:$D$301&lt;&gt;"")*(Sancoes!$D$2:$D$301&lt;=F363)*(((Sancoes!$E$2:$E$301="")+(Sancoes!$E$2:$E$301&gt;=F363))&gt;0))&gt;0,"SANÇÃO VIGENTE NA DATA — leia o tipo e a abrangência",""))</f>
        <v/>
      </c>
      <c r="L363" s="19" t="str">
        <f aca="false">IF(A363="","",IFERROR(INDEX(Empresas!$B:$B,MATCH(A363,Empresas!$A:$A,0))&amp;"","cadastre o CNPJ em Empresas"))</f>
        <v/>
      </c>
      <c r="M363" s="27"/>
      <c r="N363" s="35"/>
      <c r="O363" s="37" t="str">
        <f aca="false">IF(OR(D363="",D363=0,N363=""),"",N363/D363)</f>
        <v/>
      </c>
      <c r="P363" s="19" t="str">
        <f aca="false">IF(O363="","",IF(O363&gt;0.25,"ACRÉSCIMO ACIMA DE 25% — conferir",""))</f>
        <v/>
      </c>
      <c r="Q363" s="27"/>
      <c r="R363" s="5"/>
    </row>
    <row r="364" customFormat="false" ht="15" hidden="false" customHeight="false" outlineLevel="0" collapsed="false">
      <c r="A364" s="27"/>
      <c r="B364" s="5"/>
      <c r="C364" s="5"/>
      <c r="D364" s="35"/>
      <c r="E364" s="14"/>
      <c r="F364" s="18"/>
      <c r="G364" s="31" t="str">
        <f aca="false">IF(A364="","",IFERROR(IF(INDEX(Empresas!$C:$C,MATCH(A364,Empresas!$A:$A,0))="","",INDEX(Empresas!$C:$C,MATCH(A364,Empresas!$A:$A,0))),""))</f>
        <v/>
      </c>
      <c r="H364" s="18"/>
      <c r="I364" s="19" t="str">
        <f aca="false">IF(OR(F364="",G364=""),"",IF(F364-G364&lt;0,"CONTRATO ANTERIOR À ABERTURA — conferir datas",IF(F364-G364&lt;180,"ABERTA MENOS DE 6 MESES ANTES","")))</f>
        <v/>
      </c>
      <c r="J364" s="19" t="str">
        <f aca="false">IF(A364="","",IFERROR(INDEX(Sancoes!$B:$B,MATCH(A364,Sancoes!$A:$A,0))&amp;"","não consta"))</f>
        <v/>
      </c>
      <c r="K364" s="19" t="str">
        <f aca="false">IF(OR(A364="",F364=""),"",IF(SUMPRODUCT((Sancoes!$A$2:$A$301=A364)*(Sancoes!$B$2:$B$301&lt;&gt;"Não consta")*(Sancoes!$D$2:$D$301&lt;&gt;"")*(Sancoes!$D$2:$D$301&lt;=F364)*(((Sancoes!$E$2:$E$301="")+(Sancoes!$E$2:$E$301&gt;=F364))&gt;0))&gt;0,"SANÇÃO VIGENTE NA DATA — leia o tipo e a abrangência",""))</f>
        <v/>
      </c>
      <c r="L364" s="19" t="str">
        <f aca="false">IF(A364="","",IFERROR(INDEX(Empresas!$B:$B,MATCH(A364,Empresas!$A:$A,0))&amp;"","cadastre o CNPJ em Empresas"))</f>
        <v/>
      </c>
      <c r="M364" s="27"/>
      <c r="N364" s="35"/>
      <c r="O364" s="37" t="str">
        <f aca="false">IF(OR(D364="",D364=0,N364=""),"",N364/D364)</f>
        <v/>
      </c>
      <c r="P364" s="19" t="str">
        <f aca="false">IF(O364="","",IF(O364&gt;0.25,"ACRÉSCIMO ACIMA DE 25% — conferir",""))</f>
        <v/>
      </c>
      <c r="Q364" s="27"/>
      <c r="R364" s="5"/>
    </row>
    <row r="365" customFormat="false" ht="15" hidden="false" customHeight="false" outlineLevel="0" collapsed="false">
      <c r="A365" s="27"/>
      <c r="B365" s="5"/>
      <c r="C365" s="5"/>
      <c r="D365" s="35"/>
      <c r="E365" s="14"/>
      <c r="F365" s="18"/>
      <c r="G365" s="31" t="str">
        <f aca="false">IF(A365="","",IFERROR(IF(INDEX(Empresas!$C:$C,MATCH(A365,Empresas!$A:$A,0))="","",INDEX(Empresas!$C:$C,MATCH(A365,Empresas!$A:$A,0))),""))</f>
        <v/>
      </c>
      <c r="H365" s="18"/>
      <c r="I365" s="19" t="str">
        <f aca="false">IF(OR(F365="",G365=""),"",IF(F365-G365&lt;0,"CONTRATO ANTERIOR À ABERTURA — conferir datas",IF(F365-G365&lt;180,"ABERTA MENOS DE 6 MESES ANTES","")))</f>
        <v/>
      </c>
      <c r="J365" s="19" t="str">
        <f aca="false">IF(A365="","",IFERROR(INDEX(Sancoes!$B:$B,MATCH(A365,Sancoes!$A:$A,0))&amp;"","não consta"))</f>
        <v/>
      </c>
      <c r="K365" s="19" t="str">
        <f aca="false">IF(OR(A365="",F365=""),"",IF(SUMPRODUCT((Sancoes!$A$2:$A$301=A365)*(Sancoes!$B$2:$B$301&lt;&gt;"Não consta")*(Sancoes!$D$2:$D$301&lt;&gt;"")*(Sancoes!$D$2:$D$301&lt;=F365)*(((Sancoes!$E$2:$E$301="")+(Sancoes!$E$2:$E$301&gt;=F365))&gt;0))&gt;0,"SANÇÃO VIGENTE NA DATA — leia o tipo e a abrangência",""))</f>
        <v/>
      </c>
      <c r="L365" s="19" t="str">
        <f aca="false">IF(A365="","",IFERROR(INDEX(Empresas!$B:$B,MATCH(A365,Empresas!$A:$A,0))&amp;"","cadastre o CNPJ em Empresas"))</f>
        <v/>
      </c>
      <c r="M365" s="27"/>
      <c r="N365" s="35"/>
      <c r="O365" s="37" t="str">
        <f aca="false">IF(OR(D365="",D365=0,N365=""),"",N365/D365)</f>
        <v/>
      </c>
      <c r="P365" s="19" t="str">
        <f aca="false">IF(O365="","",IF(O365&gt;0.25,"ACRÉSCIMO ACIMA DE 25% — conferir",""))</f>
        <v/>
      </c>
      <c r="Q365" s="27"/>
      <c r="R365" s="5"/>
    </row>
    <row r="366" customFormat="false" ht="15" hidden="false" customHeight="false" outlineLevel="0" collapsed="false">
      <c r="A366" s="27"/>
      <c r="B366" s="5"/>
      <c r="C366" s="5"/>
      <c r="D366" s="35"/>
      <c r="E366" s="14"/>
      <c r="F366" s="18"/>
      <c r="G366" s="31" t="str">
        <f aca="false">IF(A366="","",IFERROR(IF(INDEX(Empresas!$C:$C,MATCH(A366,Empresas!$A:$A,0))="","",INDEX(Empresas!$C:$C,MATCH(A366,Empresas!$A:$A,0))),""))</f>
        <v/>
      </c>
      <c r="H366" s="18"/>
      <c r="I366" s="19" t="str">
        <f aca="false">IF(OR(F366="",G366=""),"",IF(F366-G366&lt;0,"CONTRATO ANTERIOR À ABERTURA — conferir datas",IF(F366-G366&lt;180,"ABERTA MENOS DE 6 MESES ANTES","")))</f>
        <v/>
      </c>
      <c r="J366" s="19" t="str">
        <f aca="false">IF(A366="","",IFERROR(INDEX(Sancoes!$B:$B,MATCH(A366,Sancoes!$A:$A,0))&amp;"","não consta"))</f>
        <v/>
      </c>
      <c r="K366" s="19" t="str">
        <f aca="false">IF(OR(A366="",F366=""),"",IF(SUMPRODUCT((Sancoes!$A$2:$A$301=A366)*(Sancoes!$B$2:$B$301&lt;&gt;"Não consta")*(Sancoes!$D$2:$D$301&lt;&gt;"")*(Sancoes!$D$2:$D$301&lt;=F366)*(((Sancoes!$E$2:$E$301="")+(Sancoes!$E$2:$E$301&gt;=F366))&gt;0))&gt;0,"SANÇÃO VIGENTE NA DATA — leia o tipo e a abrangência",""))</f>
        <v/>
      </c>
      <c r="L366" s="19" t="str">
        <f aca="false">IF(A366="","",IFERROR(INDEX(Empresas!$B:$B,MATCH(A366,Empresas!$A:$A,0))&amp;"","cadastre o CNPJ em Empresas"))</f>
        <v/>
      </c>
      <c r="M366" s="27"/>
      <c r="N366" s="35"/>
      <c r="O366" s="37" t="str">
        <f aca="false">IF(OR(D366="",D366=0,N366=""),"",N366/D366)</f>
        <v/>
      </c>
      <c r="P366" s="19" t="str">
        <f aca="false">IF(O366="","",IF(O366&gt;0.25,"ACRÉSCIMO ACIMA DE 25% — conferir",""))</f>
        <v/>
      </c>
      <c r="Q366" s="27"/>
      <c r="R366" s="5"/>
    </row>
    <row r="367" customFormat="false" ht="15" hidden="false" customHeight="false" outlineLevel="0" collapsed="false">
      <c r="A367" s="27"/>
      <c r="B367" s="5"/>
      <c r="C367" s="5"/>
      <c r="D367" s="35"/>
      <c r="E367" s="14"/>
      <c r="F367" s="18"/>
      <c r="G367" s="31" t="str">
        <f aca="false">IF(A367="","",IFERROR(IF(INDEX(Empresas!$C:$C,MATCH(A367,Empresas!$A:$A,0))="","",INDEX(Empresas!$C:$C,MATCH(A367,Empresas!$A:$A,0))),""))</f>
        <v/>
      </c>
      <c r="H367" s="18"/>
      <c r="I367" s="19" t="str">
        <f aca="false">IF(OR(F367="",G367=""),"",IF(F367-G367&lt;0,"CONTRATO ANTERIOR À ABERTURA — conferir datas",IF(F367-G367&lt;180,"ABERTA MENOS DE 6 MESES ANTES","")))</f>
        <v/>
      </c>
      <c r="J367" s="19" t="str">
        <f aca="false">IF(A367="","",IFERROR(INDEX(Sancoes!$B:$B,MATCH(A367,Sancoes!$A:$A,0))&amp;"","não consta"))</f>
        <v/>
      </c>
      <c r="K367" s="19" t="str">
        <f aca="false">IF(OR(A367="",F367=""),"",IF(SUMPRODUCT((Sancoes!$A$2:$A$301=A367)*(Sancoes!$B$2:$B$301&lt;&gt;"Não consta")*(Sancoes!$D$2:$D$301&lt;&gt;"")*(Sancoes!$D$2:$D$301&lt;=F367)*(((Sancoes!$E$2:$E$301="")+(Sancoes!$E$2:$E$301&gt;=F367))&gt;0))&gt;0,"SANÇÃO VIGENTE NA DATA — leia o tipo e a abrangência",""))</f>
        <v/>
      </c>
      <c r="L367" s="19" t="str">
        <f aca="false">IF(A367="","",IFERROR(INDEX(Empresas!$B:$B,MATCH(A367,Empresas!$A:$A,0))&amp;"","cadastre o CNPJ em Empresas"))</f>
        <v/>
      </c>
      <c r="M367" s="27"/>
      <c r="N367" s="35"/>
      <c r="O367" s="37" t="str">
        <f aca="false">IF(OR(D367="",D367=0,N367=""),"",N367/D367)</f>
        <v/>
      </c>
      <c r="P367" s="19" t="str">
        <f aca="false">IF(O367="","",IF(O367&gt;0.25,"ACRÉSCIMO ACIMA DE 25% — conferir",""))</f>
        <v/>
      </c>
      <c r="Q367" s="27"/>
      <c r="R367" s="5"/>
    </row>
    <row r="368" customFormat="false" ht="15" hidden="false" customHeight="false" outlineLevel="0" collapsed="false">
      <c r="A368" s="27"/>
      <c r="B368" s="5"/>
      <c r="C368" s="5"/>
      <c r="D368" s="35"/>
      <c r="E368" s="14"/>
      <c r="F368" s="18"/>
      <c r="G368" s="31" t="str">
        <f aca="false">IF(A368="","",IFERROR(IF(INDEX(Empresas!$C:$C,MATCH(A368,Empresas!$A:$A,0))="","",INDEX(Empresas!$C:$C,MATCH(A368,Empresas!$A:$A,0))),""))</f>
        <v/>
      </c>
      <c r="H368" s="18"/>
      <c r="I368" s="19" t="str">
        <f aca="false">IF(OR(F368="",G368=""),"",IF(F368-G368&lt;0,"CONTRATO ANTERIOR À ABERTURA — conferir datas",IF(F368-G368&lt;180,"ABERTA MENOS DE 6 MESES ANTES","")))</f>
        <v/>
      </c>
      <c r="J368" s="19" t="str">
        <f aca="false">IF(A368="","",IFERROR(INDEX(Sancoes!$B:$B,MATCH(A368,Sancoes!$A:$A,0))&amp;"","não consta"))</f>
        <v/>
      </c>
      <c r="K368" s="19" t="str">
        <f aca="false">IF(OR(A368="",F368=""),"",IF(SUMPRODUCT((Sancoes!$A$2:$A$301=A368)*(Sancoes!$B$2:$B$301&lt;&gt;"Não consta")*(Sancoes!$D$2:$D$301&lt;&gt;"")*(Sancoes!$D$2:$D$301&lt;=F368)*(((Sancoes!$E$2:$E$301="")+(Sancoes!$E$2:$E$301&gt;=F368))&gt;0))&gt;0,"SANÇÃO VIGENTE NA DATA — leia o tipo e a abrangência",""))</f>
        <v/>
      </c>
      <c r="L368" s="19" t="str">
        <f aca="false">IF(A368="","",IFERROR(INDEX(Empresas!$B:$B,MATCH(A368,Empresas!$A:$A,0))&amp;"","cadastre o CNPJ em Empresas"))</f>
        <v/>
      </c>
      <c r="M368" s="27"/>
      <c r="N368" s="35"/>
      <c r="O368" s="37" t="str">
        <f aca="false">IF(OR(D368="",D368=0,N368=""),"",N368/D368)</f>
        <v/>
      </c>
      <c r="P368" s="19" t="str">
        <f aca="false">IF(O368="","",IF(O368&gt;0.25,"ACRÉSCIMO ACIMA DE 25% — conferir",""))</f>
        <v/>
      </c>
      <c r="Q368" s="27"/>
      <c r="R368" s="5"/>
    </row>
    <row r="369" customFormat="false" ht="15" hidden="false" customHeight="false" outlineLevel="0" collapsed="false">
      <c r="A369" s="27"/>
      <c r="B369" s="5"/>
      <c r="C369" s="5"/>
      <c r="D369" s="35"/>
      <c r="E369" s="14"/>
      <c r="F369" s="18"/>
      <c r="G369" s="31" t="str">
        <f aca="false">IF(A369="","",IFERROR(IF(INDEX(Empresas!$C:$C,MATCH(A369,Empresas!$A:$A,0))="","",INDEX(Empresas!$C:$C,MATCH(A369,Empresas!$A:$A,0))),""))</f>
        <v/>
      </c>
      <c r="H369" s="18"/>
      <c r="I369" s="19" t="str">
        <f aca="false">IF(OR(F369="",G369=""),"",IF(F369-G369&lt;0,"CONTRATO ANTERIOR À ABERTURA — conferir datas",IF(F369-G369&lt;180,"ABERTA MENOS DE 6 MESES ANTES","")))</f>
        <v/>
      </c>
      <c r="J369" s="19" t="str">
        <f aca="false">IF(A369="","",IFERROR(INDEX(Sancoes!$B:$B,MATCH(A369,Sancoes!$A:$A,0))&amp;"","não consta"))</f>
        <v/>
      </c>
      <c r="K369" s="19" t="str">
        <f aca="false">IF(OR(A369="",F369=""),"",IF(SUMPRODUCT((Sancoes!$A$2:$A$301=A369)*(Sancoes!$B$2:$B$301&lt;&gt;"Não consta")*(Sancoes!$D$2:$D$301&lt;&gt;"")*(Sancoes!$D$2:$D$301&lt;=F369)*(((Sancoes!$E$2:$E$301="")+(Sancoes!$E$2:$E$301&gt;=F369))&gt;0))&gt;0,"SANÇÃO VIGENTE NA DATA — leia o tipo e a abrangência",""))</f>
        <v/>
      </c>
      <c r="L369" s="19" t="str">
        <f aca="false">IF(A369="","",IFERROR(INDEX(Empresas!$B:$B,MATCH(A369,Empresas!$A:$A,0))&amp;"","cadastre o CNPJ em Empresas"))</f>
        <v/>
      </c>
      <c r="M369" s="27"/>
      <c r="N369" s="35"/>
      <c r="O369" s="37" t="str">
        <f aca="false">IF(OR(D369="",D369=0,N369=""),"",N369/D369)</f>
        <v/>
      </c>
      <c r="P369" s="19" t="str">
        <f aca="false">IF(O369="","",IF(O369&gt;0.25,"ACRÉSCIMO ACIMA DE 25% — conferir",""))</f>
        <v/>
      </c>
      <c r="Q369" s="27"/>
      <c r="R369" s="5"/>
    </row>
    <row r="370" customFormat="false" ht="15" hidden="false" customHeight="false" outlineLevel="0" collapsed="false">
      <c r="A370" s="27"/>
      <c r="B370" s="5"/>
      <c r="C370" s="5"/>
      <c r="D370" s="35"/>
      <c r="E370" s="14"/>
      <c r="F370" s="18"/>
      <c r="G370" s="31" t="str">
        <f aca="false">IF(A370="","",IFERROR(IF(INDEX(Empresas!$C:$C,MATCH(A370,Empresas!$A:$A,0))="","",INDEX(Empresas!$C:$C,MATCH(A370,Empresas!$A:$A,0))),""))</f>
        <v/>
      </c>
      <c r="H370" s="18"/>
      <c r="I370" s="19" t="str">
        <f aca="false">IF(OR(F370="",G370=""),"",IF(F370-G370&lt;0,"CONTRATO ANTERIOR À ABERTURA — conferir datas",IF(F370-G370&lt;180,"ABERTA MENOS DE 6 MESES ANTES","")))</f>
        <v/>
      </c>
      <c r="J370" s="19" t="str">
        <f aca="false">IF(A370="","",IFERROR(INDEX(Sancoes!$B:$B,MATCH(A370,Sancoes!$A:$A,0))&amp;"","não consta"))</f>
        <v/>
      </c>
      <c r="K370" s="19" t="str">
        <f aca="false">IF(OR(A370="",F370=""),"",IF(SUMPRODUCT((Sancoes!$A$2:$A$301=A370)*(Sancoes!$B$2:$B$301&lt;&gt;"Não consta")*(Sancoes!$D$2:$D$301&lt;&gt;"")*(Sancoes!$D$2:$D$301&lt;=F370)*(((Sancoes!$E$2:$E$301="")+(Sancoes!$E$2:$E$301&gt;=F370))&gt;0))&gt;0,"SANÇÃO VIGENTE NA DATA — leia o tipo e a abrangência",""))</f>
        <v/>
      </c>
      <c r="L370" s="19" t="str">
        <f aca="false">IF(A370="","",IFERROR(INDEX(Empresas!$B:$B,MATCH(A370,Empresas!$A:$A,0))&amp;"","cadastre o CNPJ em Empresas"))</f>
        <v/>
      </c>
      <c r="M370" s="27"/>
      <c r="N370" s="35"/>
      <c r="O370" s="37" t="str">
        <f aca="false">IF(OR(D370="",D370=0,N370=""),"",N370/D370)</f>
        <v/>
      </c>
      <c r="P370" s="19" t="str">
        <f aca="false">IF(O370="","",IF(O370&gt;0.25,"ACRÉSCIMO ACIMA DE 25% — conferir",""))</f>
        <v/>
      </c>
      <c r="Q370" s="27"/>
      <c r="R370" s="5"/>
    </row>
    <row r="371" customFormat="false" ht="15" hidden="false" customHeight="false" outlineLevel="0" collapsed="false">
      <c r="A371" s="27"/>
      <c r="B371" s="5"/>
      <c r="C371" s="5"/>
      <c r="D371" s="35"/>
      <c r="E371" s="14"/>
      <c r="F371" s="18"/>
      <c r="G371" s="31" t="str">
        <f aca="false">IF(A371="","",IFERROR(IF(INDEX(Empresas!$C:$C,MATCH(A371,Empresas!$A:$A,0))="","",INDEX(Empresas!$C:$C,MATCH(A371,Empresas!$A:$A,0))),""))</f>
        <v/>
      </c>
      <c r="H371" s="18"/>
      <c r="I371" s="19" t="str">
        <f aca="false">IF(OR(F371="",G371=""),"",IF(F371-G371&lt;0,"CONTRATO ANTERIOR À ABERTURA — conferir datas",IF(F371-G371&lt;180,"ABERTA MENOS DE 6 MESES ANTES","")))</f>
        <v/>
      </c>
      <c r="J371" s="19" t="str">
        <f aca="false">IF(A371="","",IFERROR(INDEX(Sancoes!$B:$B,MATCH(A371,Sancoes!$A:$A,0))&amp;"","não consta"))</f>
        <v/>
      </c>
      <c r="K371" s="19" t="str">
        <f aca="false">IF(OR(A371="",F371=""),"",IF(SUMPRODUCT((Sancoes!$A$2:$A$301=A371)*(Sancoes!$B$2:$B$301&lt;&gt;"Não consta")*(Sancoes!$D$2:$D$301&lt;&gt;"")*(Sancoes!$D$2:$D$301&lt;=F371)*(((Sancoes!$E$2:$E$301="")+(Sancoes!$E$2:$E$301&gt;=F371))&gt;0))&gt;0,"SANÇÃO VIGENTE NA DATA — leia o tipo e a abrangência",""))</f>
        <v/>
      </c>
      <c r="L371" s="19" t="str">
        <f aca="false">IF(A371="","",IFERROR(INDEX(Empresas!$B:$B,MATCH(A371,Empresas!$A:$A,0))&amp;"","cadastre o CNPJ em Empresas"))</f>
        <v/>
      </c>
      <c r="M371" s="27"/>
      <c r="N371" s="35"/>
      <c r="O371" s="37" t="str">
        <f aca="false">IF(OR(D371="",D371=0,N371=""),"",N371/D371)</f>
        <v/>
      </c>
      <c r="P371" s="19" t="str">
        <f aca="false">IF(O371="","",IF(O371&gt;0.25,"ACRÉSCIMO ACIMA DE 25% — conferir",""))</f>
        <v/>
      </c>
      <c r="Q371" s="27"/>
      <c r="R371" s="5"/>
    </row>
    <row r="372" customFormat="false" ht="15" hidden="false" customHeight="false" outlineLevel="0" collapsed="false">
      <c r="A372" s="27"/>
      <c r="B372" s="5"/>
      <c r="C372" s="5"/>
      <c r="D372" s="35"/>
      <c r="E372" s="14"/>
      <c r="F372" s="18"/>
      <c r="G372" s="31" t="str">
        <f aca="false">IF(A372="","",IFERROR(IF(INDEX(Empresas!$C:$C,MATCH(A372,Empresas!$A:$A,0))="","",INDEX(Empresas!$C:$C,MATCH(A372,Empresas!$A:$A,0))),""))</f>
        <v/>
      </c>
      <c r="H372" s="18"/>
      <c r="I372" s="19" t="str">
        <f aca="false">IF(OR(F372="",G372=""),"",IF(F372-G372&lt;0,"CONTRATO ANTERIOR À ABERTURA — conferir datas",IF(F372-G372&lt;180,"ABERTA MENOS DE 6 MESES ANTES","")))</f>
        <v/>
      </c>
      <c r="J372" s="19" t="str">
        <f aca="false">IF(A372="","",IFERROR(INDEX(Sancoes!$B:$B,MATCH(A372,Sancoes!$A:$A,0))&amp;"","não consta"))</f>
        <v/>
      </c>
      <c r="K372" s="19" t="str">
        <f aca="false">IF(OR(A372="",F372=""),"",IF(SUMPRODUCT((Sancoes!$A$2:$A$301=A372)*(Sancoes!$B$2:$B$301&lt;&gt;"Não consta")*(Sancoes!$D$2:$D$301&lt;&gt;"")*(Sancoes!$D$2:$D$301&lt;=F372)*(((Sancoes!$E$2:$E$301="")+(Sancoes!$E$2:$E$301&gt;=F372))&gt;0))&gt;0,"SANÇÃO VIGENTE NA DATA — leia o tipo e a abrangência",""))</f>
        <v/>
      </c>
      <c r="L372" s="19" t="str">
        <f aca="false">IF(A372="","",IFERROR(INDEX(Empresas!$B:$B,MATCH(A372,Empresas!$A:$A,0))&amp;"","cadastre o CNPJ em Empresas"))</f>
        <v/>
      </c>
      <c r="M372" s="27"/>
      <c r="N372" s="35"/>
      <c r="O372" s="37" t="str">
        <f aca="false">IF(OR(D372="",D372=0,N372=""),"",N372/D372)</f>
        <v/>
      </c>
      <c r="P372" s="19" t="str">
        <f aca="false">IF(O372="","",IF(O372&gt;0.25,"ACRÉSCIMO ACIMA DE 25% — conferir",""))</f>
        <v/>
      </c>
      <c r="Q372" s="27"/>
      <c r="R372" s="5"/>
    </row>
    <row r="373" customFormat="false" ht="15" hidden="false" customHeight="false" outlineLevel="0" collapsed="false">
      <c r="A373" s="27"/>
      <c r="B373" s="5"/>
      <c r="C373" s="5"/>
      <c r="D373" s="35"/>
      <c r="E373" s="14"/>
      <c r="F373" s="18"/>
      <c r="G373" s="31" t="str">
        <f aca="false">IF(A373="","",IFERROR(IF(INDEX(Empresas!$C:$C,MATCH(A373,Empresas!$A:$A,0))="","",INDEX(Empresas!$C:$C,MATCH(A373,Empresas!$A:$A,0))),""))</f>
        <v/>
      </c>
      <c r="H373" s="18"/>
      <c r="I373" s="19" t="str">
        <f aca="false">IF(OR(F373="",G373=""),"",IF(F373-G373&lt;0,"CONTRATO ANTERIOR À ABERTURA — conferir datas",IF(F373-G373&lt;180,"ABERTA MENOS DE 6 MESES ANTES","")))</f>
        <v/>
      </c>
      <c r="J373" s="19" t="str">
        <f aca="false">IF(A373="","",IFERROR(INDEX(Sancoes!$B:$B,MATCH(A373,Sancoes!$A:$A,0))&amp;"","não consta"))</f>
        <v/>
      </c>
      <c r="K373" s="19" t="str">
        <f aca="false">IF(OR(A373="",F373=""),"",IF(SUMPRODUCT((Sancoes!$A$2:$A$301=A373)*(Sancoes!$B$2:$B$301&lt;&gt;"Não consta")*(Sancoes!$D$2:$D$301&lt;&gt;"")*(Sancoes!$D$2:$D$301&lt;=F373)*(((Sancoes!$E$2:$E$301="")+(Sancoes!$E$2:$E$301&gt;=F373))&gt;0))&gt;0,"SANÇÃO VIGENTE NA DATA — leia o tipo e a abrangência",""))</f>
        <v/>
      </c>
      <c r="L373" s="19" t="str">
        <f aca="false">IF(A373="","",IFERROR(INDEX(Empresas!$B:$B,MATCH(A373,Empresas!$A:$A,0))&amp;"","cadastre o CNPJ em Empresas"))</f>
        <v/>
      </c>
      <c r="M373" s="27"/>
      <c r="N373" s="35"/>
      <c r="O373" s="37" t="str">
        <f aca="false">IF(OR(D373="",D373=0,N373=""),"",N373/D373)</f>
        <v/>
      </c>
      <c r="P373" s="19" t="str">
        <f aca="false">IF(O373="","",IF(O373&gt;0.25,"ACRÉSCIMO ACIMA DE 25% — conferir",""))</f>
        <v/>
      </c>
      <c r="Q373" s="27"/>
      <c r="R373" s="5"/>
    </row>
    <row r="374" customFormat="false" ht="15" hidden="false" customHeight="false" outlineLevel="0" collapsed="false">
      <c r="A374" s="27"/>
      <c r="B374" s="5"/>
      <c r="C374" s="5"/>
      <c r="D374" s="35"/>
      <c r="E374" s="14"/>
      <c r="F374" s="18"/>
      <c r="G374" s="31" t="str">
        <f aca="false">IF(A374="","",IFERROR(IF(INDEX(Empresas!$C:$C,MATCH(A374,Empresas!$A:$A,0))="","",INDEX(Empresas!$C:$C,MATCH(A374,Empresas!$A:$A,0))),""))</f>
        <v/>
      </c>
      <c r="H374" s="18"/>
      <c r="I374" s="19" t="str">
        <f aca="false">IF(OR(F374="",G374=""),"",IF(F374-G374&lt;0,"CONTRATO ANTERIOR À ABERTURA — conferir datas",IF(F374-G374&lt;180,"ABERTA MENOS DE 6 MESES ANTES","")))</f>
        <v/>
      </c>
      <c r="J374" s="19" t="str">
        <f aca="false">IF(A374="","",IFERROR(INDEX(Sancoes!$B:$B,MATCH(A374,Sancoes!$A:$A,0))&amp;"","não consta"))</f>
        <v/>
      </c>
      <c r="K374" s="19" t="str">
        <f aca="false">IF(OR(A374="",F374=""),"",IF(SUMPRODUCT((Sancoes!$A$2:$A$301=A374)*(Sancoes!$B$2:$B$301&lt;&gt;"Não consta")*(Sancoes!$D$2:$D$301&lt;&gt;"")*(Sancoes!$D$2:$D$301&lt;=F374)*(((Sancoes!$E$2:$E$301="")+(Sancoes!$E$2:$E$301&gt;=F374))&gt;0))&gt;0,"SANÇÃO VIGENTE NA DATA — leia o tipo e a abrangência",""))</f>
        <v/>
      </c>
      <c r="L374" s="19" t="str">
        <f aca="false">IF(A374="","",IFERROR(INDEX(Empresas!$B:$B,MATCH(A374,Empresas!$A:$A,0))&amp;"","cadastre o CNPJ em Empresas"))</f>
        <v/>
      </c>
      <c r="M374" s="27"/>
      <c r="N374" s="35"/>
      <c r="O374" s="37" t="str">
        <f aca="false">IF(OR(D374="",D374=0,N374=""),"",N374/D374)</f>
        <v/>
      </c>
      <c r="P374" s="19" t="str">
        <f aca="false">IF(O374="","",IF(O374&gt;0.25,"ACRÉSCIMO ACIMA DE 25% — conferir",""))</f>
        <v/>
      </c>
      <c r="Q374" s="27"/>
      <c r="R374" s="5"/>
    </row>
    <row r="375" customFormat="false" ht="15" hidden="false" customHeight="false" outlineLevel="0" collapsed="false">
      <c r="A375" s="27"/>
      <c r="B375" s="5"/>
      <c r="C375" s="5"/>
      <c r="D375" s="35"/>
      <c r="E375" s="14"/>
      <c r="F375" s="18"/>
      <c r="G375" s="31" t="str">
        <f aca="false">IF(A375="","",IFERROR(IF(INDEX(Empresas!$C:$C,MATCH(A375,Empresas!$A:$A,0))="","",INDEX(Empresas!$C:$C,MATCH(A375,Empresas!$A:$A,0))),""))</f>
        <v/>
      </c>
      <c r="H375" s="18"/>
      <c r="I375" s="19" t="str">
        <f aca="false">IF(OR(F375="",G375=""),"",IF(F375-G375&lt;0,"CONTRATO ANTERIOR À ABERTURA — conferir datas",IF(F375-G375&lt;180,"ABERTA MENOS DE 6 MESES ANTES","")))</f>
        <v/>
      </c>
      <c r="J375" s="19" t="str">
        <f aca="false">IF(A375="","",IFERROR(INDEX(Sancoes!$B:$B,MATCH(A375,Sancoes!$A:$A,0))&amp;"","não consta"))</f>
        <v/>
      </c>
      <c r="K375" s="19" t="str">
        <f aca="false">IF(OR(A375="",F375=""),"",IF(SUMPRODUCT((Sancoes!$A$2:$A$301=A375)*(Sancoes!$B$2:$B$301&lt;&gt;"Não consta")*(Sancoes!$D$2:$D$301&lt;&gt;"")*(Sancoes!$D$2:$D$301&lt;=F375)*(((Sancoes!$E$2:$E$301="")+(Sancoes!$E$2:$E$301&gt;=F375))&gt;0))&gt;0,"SANÇÃO VIGENTE NA DATA — leia o tipo e a abrangência",""))</f>
        <v/>
      </c>
      <c r="L375" s="19" t="str">
        <f aca="false">IF(A375="","",IFERROR(INDEX(Empresas!$B:$B,MATCH(A375,Empresas!$A:$A,0))&amp;"","cadastre o CNPJ em Empresas"))</f>
        <v/>
      </c>
      <c r="M375" s="27"/>
      <c r="N375" s="35"/>
      <c r="O375" s="37" t="str">
        <f aca="false">IF(OR(D375="",D375=0,N375=""),"",N375/D375)</f>
        <v/>
      </c>
      <c r="P375" s="19" t="str">
        <f aca="false">IF(O375="","",IF(O375&gt;0.25,"ACRÉSCIMO ACIMA DE 25% — conferir",""))</f>
        <v/>
      </c>
      <c r="Q375" s="27"/>
      <c r="R375" s="5"/>
    </row>
    <row r="376" customFormat="false" ht="15" hidden="false" customHeight="false" outlineLevel="0" collapsed="false">
      <c r="A376" s="27"/>
      <c r="B376" s="5"/>
      <c r="C376" s="5"/>
      <c r="D376" s="35"/>
      <c r="E376" s="14"/>
      <c r="F376" s="18"/>
      <c r="G376" s="31" t="str">
        <f aca="false">IF(A376="","",IFERROR(IF(INDEX(Empresas!$C:$C,MATCH(A376,Empresas!$A:$A,0))="","",INDEX(Empresas!$C:$C,MATCH(A376,Empresas!$A:$A,0))),""))</f>
        <v/>
      </c>
      <c r="H376" s="18"/>
      <c r="I376" s="19" t="str">
        <f aca="false">IF(OR(F376="",G376=""),"",IF(F376-G376&lt;0,"CONTRATO ANTERIOR À ABERTURA — conferir datas",IF(F376-G376&lt;180,"ABERTA MENOS DE 6 MESES ANTES","")))</f>
        <v/>
      </c>
      <c r="J376" s="19" t="str">
        <f aca="false">IF(A376="","",IFERROR(INDEX(Sancoes!$B:$B,MATCH(A376,Sancoes!$A:$A,0))&amp;"","não consta"))</f>
        <v/>
      </c>
      <c r="K376" s="19" t="str">
        <f aca="false">IF(OR(A376="",F376=""),"",IF(SUMPRODUCT((Sancoes!$A$2:$A$301=A376)*(Sancoes!$B$2:$B$301&lt;&gt;"Não consta")*(Sancoes!$D$2:$D$301&lt;&gt;"")*(Sancoes!$D$2:$D$301&lt;=F376)*(((Sancoes!$E$2:$E$301="")+(Sancoes!$E$2:$E$301&gt;=F376))&gt;0))&gt;0,"SANÇÃO VIGENTE NA DATA — leia o tipo e a abrangência",""))</f>
        <v/>
      </c>
      <c r="L376" s="19" t="str">
        <f aca="false">IF(A376="","",IFERROR(INDEX(Empresas!$B:$B,MATCH(A376,Empresas!$A:$A,0))&amp;"","cadastre o CNPJ em Empresas"))</f>
        <v/>
      </c>
      <c r="M376" s="27"/>
      <c r="N376" s="35"/>
      <c r="O376" s="37" t="str">
        <f aca="false">IF(OR(D376="",D376=0,N376=""),"",N376/D376)</f>
        <v/>
      </c>
      <c r="P376" s="19" t="str">
        <f aca="false">IF(O376="","",IF(O376&gt;0.25,"ACRÉSCIMO ACIMA DE 25% — conferir",""))</f>
        <v/>
      </c>
      <c r="Q376" s="27"/>
      <c r="R376" s="5"/>
    </row>
    <row r="377" customFormat="false" ht="15" hidden="false" customHeight="false" outlineLevel="0" collapsed="false">
      <c r="A377" s="27"/>
      <c r="B377" s="5"/>
      <c r="C377" s="5"/>
      <c r="D377" s="35"/>
      <c r="E377" s="14"/>
      <c r="F377" s="18"/>
      <c r="G377" s="31" t="str">
        <f aca="false">IF(A377="","",IFERROR(IF(INDEX(Empresas!$C:$C,MATCH(A377,Empresas!$A:$A,0))="","",INDEX(Empresas!$C:$C,MATCH(A377,Empresas!$A:$A,0))),""))</f>
        <v/>
      </c>
      <c r="H377" s="18"/>
      <c r="I377" s="19" t="str">
        <f aca="false">IF(OR(F377="",G377=""),"",IF(F377-G377&lt;0,"CONTRATO ANTERIOR À ABERTURA — conferir datas",IF(F377-G377&lt;180,"ABERTA MENOS DE 6 MESES ANTES","")))</f>
        <v/>
      </c>
      <c r="J377" s="19" t="str">
        <f aca="false">IF(A377="","",IFERROR(INDEX(Sancoes!$B:$B,MATCH(A377,Sancoes!$A:$A,0))&amp;"","não consta"))</f>
        <v/>
      </c>
      <c r="K377" s="19" t="str">
        <f aca="false">IF(OR(A377="",F377=""),"",IF(SUMPRODUCT((Sancoes!$A$2:$A$301=A377)*(Sancoes!$B$2:$B$301&lt;&gt;"Não consta")*(Sancoes!$D$2:$D$301&lt;&gt;"")*(Sancoes!$D$2:$D$301&lt;=F377)*(((Sancoes!$E$2:$E$301="")+(Sancoes!$E$2:$E$301&gt;=F377))&gt;0))&gt;0,"SANÇÃO VIGENTE NA DATA — leia o tipo e a abrangência",""))</f>
        <v/>
      </c>
      <c r="L377" s="19" t="str">
        <f aca="false">IF(A377="","",IFERROR(INDEX(Empresas!$B:$B,MATCH(A377,Empresas!$A:$A,0))&amp;"","cadastre o CNPJ em Empresas"))</f>
        <v/>
      </c>
      <c r="M377" s="27"/>
      <c r="N377" s="35"/>
      <c r="O377" s="37" t="str">
        <f aca="false">IF(OR(D377="",D377=0,N377=""),"",N377/D377)</f>
        <v/>
      </c>
      <c r="P377" s="19" t="str">
        <f aca="false">IF(O377="","",IF(O377&gt;0.25,"ACRÉSCIMO ACIMA DE 25% — conferir",""))</f>
        <v/>
      </c>
      <c r="Q377" s="27"/>
      <c r="R377" s="5"/>
    </row>
    <row r="378" customFormat="false" ht="15" hidden="false" customHeight="false" outlineLevel="0" collapsed="false">
      <c r="A378" s="27"/>
      <c r="B378" s="5"/>
      <c r="C378" s="5"/>
      <c r="D378" s="35"/>
      <c r="E378" s="14"/>
      <c r="F378" s="18"/>
      <c r="G378" s="31" t="str">
        <f aca="false">IF(A378="","",IFERROR(IF(INDEX(Empresas!$C:$C,MATCH(A378,Empresas!$A:$A,0))="","",INDEX(Empresas!$C:$C,MATCH(A378,Empresas!$A:$A,0))),""))</f>
        <v/>
      </c>
      <c r="H378" s="18"/>
      <c r="I378" s="19" t="str">
        <f aca="false">IF(OR(F378="",G378=""),"",IF(F378-G378&lt;0,"CONTRATO ANTERIOR À ABERTURA — conferir datas",IF(F378-G378&lt;180,"ABERTA MENOS DE 6 MESES ANTES","")))</f>
        <v/>
      </c>
      <c r="J378" s="19" t="str">
        <f aca="false">IF(A378="","",IFERROR(INDEX(Sancoes!$B:$B,MATCH(A378,Sancoes!$A:$A,0))&amp;"","não consta"))</f>
        <v/>
      </c>
      <c r="K378" s="19" t="str">
        <f aca="false">IF(OR(A378="",F378=""),"",IF(SUMPRODUCT((Sancoes!$A$2:$A$301=A378)*(Sancoes!$B$2:$B$301&lt;&gt;"Não consta")*(Sancoes!$D$2:$D$301&lt;&gt;"")*(Sancoes!$D$2:$D$301&lt;=F378)*(((Sancoes!$E$2:$E$301="")+(Sancoes!$E$2:$E$301&gt;=F378))&gt;0))&gt;0,"SANÇÃO VIGENTE NA DATA — leia o tipo e a abrangência",""))</f>
        <v/>
      </c>
      <c r="L378" s="19" t="str">
        <f aca="false">IF(A378="","",IFERROR(INDEX(Empresas!$B:$B,MATCH(A378,Empresas!$A:$A,0))&amp;"","cadastre o CNPJ em Empresas"))</f>
        <v/>
      </c>
      <c r="M378" s="27"/>
      <c r="N378" s="35"/>
      <c r="O378" s="37" t="str">
        <f aca="false">IF(OR(D378="",D378=0,N378=""),"",N378/D378)</f>
        <v/>
      </c>
      <c r="P378" s="19" t="str">
        <f aca="false">IF(O378="","",IF(O378&gt;0.25,"ACRÉSCIMO ACIMA DE 25% — conferir",""))</f>
        <v/>
      </c>
      <c r="Q378" s="27"/>
      <c r="R378" s="5"/>
    </row>
    <row r="379" customFormat="false" ht="15" hidden="false" customHeight="false" outlineLevel="0" collapsed="false">
      <c r="A379" s="27"/>
      <c r="B379" s="5"/>
      <c r="C379" s="5"/>
      <c r="D379" s="35"/>
      <c r="E379" s="14"/>
      <c r="F379" s="18"/>
      <c r="G379" s="31" t="str">
        <f aca="false">IF(A379="","",IFERROR(IF(INDEX(Empresas!$C:$C,MATCH(A379,Empresas!$A:$A,0))="","",INDEX(Empresas!$C:$C,MATCH(A379,Empresas!$A:$A,0))),""))</f>
        <v/>
      </c>
      <c r="H379" s="18"/>
      <c r="I379" s="19" t="str">
        <f aca="false">IF(OR(F379="",G379=""),"",IF(F379-G379&lt;0,"CONTRATO ANTERIOR À ABERTURA — conferir datas",IF(F379-G379&lt;180,"ABERTA MENOS DE 6 MESES ANTES","")))</f>
        <v/>
      </c>
      <c r="J379" s="19" t="str">
        <f aca="false">IF(A379="","",IFERROR(INDEX(Sancoes!$B:$B,MATCH(A379,Sancoes!$A:$A,0))&amp;"","não consta"))</f>
        <v/>
      </c>
      <c r="K379" s="19" t="str">
        <f aca="false">IF(OR(A379="",F379=""),"",IF(SUMPRODUCT((Sancoes!$A$2:$A$301=A379)*(Sancoes!$B$2:$B$301&lt;&gt;"Não consta")*(Sancoes!$D$2:$D$301&lt;&gt;"")*(Sancoes!$D$2:$D$301&lt;=F379)*(((Sancoes!$E$2:$E$301="")+(Sancoes!$E$2:$E$301&gt;=F379))&gt;0))&gt;0,"SANÇÃO VIGENTE NA DATA — leia o tipo e a abrangência",""))</f>
        <v/>
      </c>
      <c r="L379" s="19" t="str">
        <f aca="false">IF(A379="","",IFERROR(INDEX(Empresas!$B:$B,MATCH(A379,Empresas!$A:$A,0))&amp;"","cadastre o CNPJ em Empresas"))</f>
        <v/>
      </c>
      <c r="M379" s="27"/>
      <c r="N379" s="35"/>
      <c r="O379" s="37" t="str">
        <f aca="false">IF(OR(D379="",D379=0,N379=""),"",N379/D379)</f>
        <v/>
      </c>
      <c r="P379" s="19" t="str">
        <f aca="false">IF(O379="","",IF(O379&gt;0.25,"ACRÉSCIMO ACIMA DE 25% — conferir",""))</f>
        <v/>
      </c>
      <c r="Q379" s="27"/>
      <c r="R379" s="5"/>
    </row>
    <row r="380" customFormat="false" ht="15" hidden="false" customHeight="false" outlineLevel="0" collapsed="false">
      <c r="A380" s="27"/>
      <c r="B380" s="5"/>
      <c r="C380" s="5"/>
      <c r="D380" s="35"/>
      <c r="E380" s="14"/>
      <c r="F380" s="18"/>
      <c r="G380" s="31" t="str">
        <f aca="false">IF(A380="","",IFERROR(IF(INDEX(Empresas!$C:$C,MATCH(A380,Empresas!$A:$A,0))="","",INDEX(Empresas!$C:$C,MATCH(A380,Empresas!$A:$A,0))),""))</f>
        <v/>
      </c>
      <c r="H380" s="18"/>
      <c r="I380" s="19" t="str">
        <f aca="false">IF(OR(F380="",G380=""),"",IF(F380-G380&lt;0,"CONTRATO ANTERIOR À ABERTURA — conferir datas",IF(F380-G380&lt;180,"ABERTA MENOS DE 6 MESES ANTES","")))</f>
        <v/>
      </c>
      <c r="J380" s="19" t="str">
        <f aca="false">IF(A380="","",IFERROR(INDEX(Sancoes!$B:$B,MATCH(A380,Sancoes!$A:$A,0))&amp;"","não consta"))</f>
        <v/>
      </c>
      <c r="K380" s="19" t="str">
        <f aca="false">IF(OR(A380="",F380=""),"",IF(SUMPRODUCT((Sancoes!$A$2:$A$301=A380)*(Sancoes!$B$2:$B$301&lt;&gt;"Não consta")*(Sancoes!$D$2:$D$301&lt;&gt;"")*(Sancoes!$D$2:$D$301&lt;=F380)*(((Sancoes!$E$2:$E$301="")+(Sancoes!$E$2:$E$301&gt;=F380))&gt;0))&gt;0,"SANÇÃO VIGENTE NA DATA — leia o tipo e a abrangência",""))</f>
        <v/>
      </c>
      <c r="L380" s="19" t="str">
        <f aca="false">IF(A380="","",IFERROR(INDEX(Empresas!$B:$B,MATCH(A380,Empresas!$A:$A,0))&amp;"","cadastre o CNPJ em Empresas"))</f>
        <v/>
      </c>
      <c r="M380" s="27"/>
      <c r="N380" s="35"/>
      <c r="O380" s="37" t="str">
        <f aca="false">IF(OR(D380="",D380=0,N380=""),"",N380/D380)</f>
        <v/>
      </c>
      <c r="P380" s="19" t="str">
        <f aca="false">IF(O380="","",IF(O380&gt;0.25,"ACRÉSCIMO ACIMA DE 25% — conferir",""))</f>
        <v/>
      </c>
      <c r="Q380" s="27"/>
      <c r="R380" s="5"/>
    </row>
    <row r="381" customFormat="false" ht="15" hidden="false" customHeight="false" outlineLevel="0" collapsed="false">
      <c r="A381" s="27"/>
      <c r="B381" s="5"/>
      <c r="C381" s="5"/>
      <c r="D381" s="35"/>
      <c r="E381" s="14"/>
      <c r="F381" s="18"/>
      <c r="G381" s="31" t="str">
        <f aca="false">IF(A381="","",IFERROR(IF(INDEX(Empresas!$C:$C,MATCH(A381,Empresas!$A:$A,0))="","",INDEX(Empresas!$C:$C,MATCH(A381,Empresas!$A:$A,0))),""))</f>
        <v/>
      </c>
      <c r="H381" s="18"/>
      <c r="I381" s="19" t="str">
        <f aca="false">IF(OR(F381="",G381=""),"",IF(F381-G381&lt;0,"CONTRATO ANTERIOR À ABERTURA — conferir datas",IF(F381-G381&lt;180,"ABERTA MENOS DE 6 MESES ANTES","")))</f>
        <v/>
      </c>
      <c r="J381" s="19" t="str">
        <f aca="false">IF(A381="","",IFERROR(INDEX(Sancoes!$B:$B,MATCH(A381,Sancoes!$A:$A,0))&amp;"","não consta"))</f>
        <v/>
      </c>
      <c r="K381" s="19" t="str">
        <f aca="false">IF(OR(A381="",F381=""),"",IF(SUMPRODUCT((Sancoes!$A$2:$A$301=A381)*(Sancoes!$B$2:$B$301&lt;&gt;"Não consta")*(Sancoes!$D$2:$D$301&lt;&gt;"")*(Sancoes!$D$2:$D$301&lt;=F381)*(((Sancoes!$E$2:$E$301="")+(Sancoes!$E$2:$E$301&gt;=F381))&gt;0))&gt;0,"SANÇÃO VIGENTE NA DATA — leia o tipo e a abrangência",""))</f>
        <v/>
      </c>
      <c r="L381" s="19" t="str">
        <f aca="false">IF(A381="","",IFERROR(INDEX(Empresas!$B:$B,MATCH(A381,Empresas!$A:$A,0))&amp;"","cadastre o CNPJ em Empresas"))</f>
        <v/>
      </c>
      <c r="M381" s="27"/>
      <c r="N381" s="35"/>
      <c r="O381" s="37" t="str">
        <f aca="false">IF(OR(D381="",D381=0,N381=""),"",N381/D381)</f>
        <v/>
      </c>
      <c r="P381" s="19" t="str">
        <f aca="false">IF(O381="","",IF(O381&gt;0.25,"ACRÉSCIMO ACIMA DE 25% — conferir",""))</f>
        <v/>
      </c>
      <c r="Q381" s="27"/>
      <c r="R381" s="5"/>
    </row>
    <row r="382" customFormat="false" ht="15" hidden="false" customHeight="false" outlineLevel="0" collapsed="false">
      <c r="A382" s="27"/>
      <c r="B382" s="5"/>
      <c r="C382" s="5"/>
      <c r="D382" s="35"/>
      <c r="E382" s="14"/>
      <c r="F382" s="18"/>
      <c r="G382" s="31" t="str">
        <f aca="false">IF(A382="","",IFERROR(IF(INDEX(Empresas!$C:$C,MATCH(A382,Empresas!$A:$A,0))="","",INDEX(Empresas!$C:$C,MATCH(A382,Empresas!$A:$A,0))),""))</f>
        <v/>
      </c>
      <c r="H382" s="18"/>
      <c r="I382" s="19" t="str">
        <f aca="false">IF(OR(F382="",G382=""),"",IF(F382-G382&lt;0,"CONTRATO ANTERIOR À ABERTURA — conferir datas",IF(F382-G382&lt;180,"ABERTA MENOS DE 6 MESES ANTES","")))</f>
        <v/>
      </c>
      <c r="J382" s="19" t="str">
        <f aca="false">IF(A382="","",IFERROR(INDEX(Sancoes!$B:$B,MATCH(A382,Sancoes!$A:$A,0))&amp;"","não consta"))</f>
        <v/>
      </c>
      <c r="K382" s="19" t="str">
        <f aca="false">IF(OR(A382="",F382=""),"",IF(SUMPRODUCT((Sancoes!$A$2:$A$301=A382)*(Sancoes!$B$2:$B$301&lt;&gt;"Não consta")*(Sancoes!$D$2:$D$301&lt;&gt;"")*(Sancoes!$D$2:$D$301&lt;=F382)*(((Sancoes!$E$2:$E$301="")+(Sancoes!$E$2:$E$301&gt;=F382))&gt;0))&gt;0,"SANÇÃO VIGENTE NA DATA — leia o tipo e a abrangência",""))</f>
        <v/>
      </c>
      <c r="L382" s="19" t="str">
        <f aca="false">IF(A382="","",IFERROR(INDEX(Empresas!$B:$B,MATCH(A382,Empresas!$A:$A,0))&amp;"","cadastre o CNPJ em Empresas"))</f>
        <v/>
      </c>
      <c r="M382" s="27"/>
      <c r="N382" s="35"/>
      <c r="O382" s="37" t="str">
        <f aca="false">IF(OR(D382="",D382=0,N382=""),"",N382/D382)</f>
        <v/>
      </c>
      <c r="P382" s="19" t="str">
        <f aca="false">IF(O382="","",IF(O382&gt;0.25,"ACRÉSCIMO ACIMA DE 25% — conferir",""))</f>
        <v/>
      </c>
      <c r="Q382" s="27"/>
      <c r="R382" s="5"/>
    </row>
    <row r="383" customFormat="false" ht="15" hidden="false" customHeight="false" outlineLevel="0" collapsed="false">
      <c r="A383" s="27"/>
      <c r="B383" s="5"/>
      <c r="C383" s="5"/>
      <c r="D383" s="35"/>
      <c r="E383" s="14"/>
      <c r="F383" s="18"/>
      <c r="G383" s="31" t="str">
        <f aca="false">IF(A383="","",IFERROR(IF(INDEX(Empresas!$C:$C,MATCH(A383,Empresas!$A:$A,0))="","",INDEX(Empresas!$C:$C,MATCH(A383,Empresas!$A:$A,0))),""))</f>
        <v/>
      </c>
      <c r="H383" s="18"/>
      <c r="I383" s="19" t="str">
        <f aca="false">IF(OR(F383="",G383=""),"",IF(F383-G383&lt;0,"CONTRATO ANTERIOR À ABERTURA — conferir datas",IF(F383-G383&lt;180,"ABERTA MENOS DE 6 MESES ANTES","")))</f>
        <v/>
      </c>
      <c r="J383" s="19" t="str">
        <f aca="false">IF(A383="","",IFERROR(INDEX(Sancoes!$B:$B,MATCH(A383,Sancoes!$A:$A,0))&amp;"","não consta"))</f>
        <v/>
      </c>
      <c r="K383" s="19" t="str">
        <f aca="false">IF(OR(A383="",F383=""),"",IF(SUMPRODUCT((Sancoes!$A$2:$A$301=A383)*(Sancoes!$B$2:$B$301&lt;&gt;"Não consta")*(Sancoes!$D$2:$D$301&lt;&gt;"")*(Sancoes!$D$2:$D$301&lt;=F383)*(((Sancoes!$E$2:$E$301="")+(Sancoes!$E$2:$E$301&gt;=F383))&gt;0))&gt;0,"SANÇÃO VIGENTE NA DATA — leia o tipo e a abrangência",""))</f>
        <v/>
      </c>
      <c r="L383" s="19" t="str">
        <f aca="false">IF(A383="","",IFERROR(INDEX(Empresas!$B:$B,MATCH(A383,Empresas!$A:$A,0))&amp;"","cadastre o CNPJ em Empresas"))</f>
        <v/>
      </c>
      <c r="M383" s="27"/>
      <c r="N383" s="35"/>
      <c r="O383" s="37" t="str">
        <f aca="false">IF(OR(D383="",D383=0,N383=""),"",N383/D383)</f>
        <v/>
      </c>
      <c r="P383" s="19" t="str">
        <f aca="false">IF(O383="","",IF(O383&gt;0.25,"ACRÉSCIMO ACIMA DE 25% — conferir",""))</f>
        <v/>
      </c>
      <c r="Q383" s="27"/>
      <c r="R383" s="5"/>
    </row>
    <row r="384" customFormat="false" ht="15" hidden="false" customHeight="false" outlineLevel="0" collapsed="false">
      <c r="A384" s="27"/>
      <c r="B384" s="5"/>
      <c r="C384" s="5"/>
      <c r="D384" s="35"/>
      <c r="E384" s="14"/>
      <c r="F384" s="18"/>
      <c r="G384" s="31" t="str">
        <f aca="false">IF(A384="","",IFERROR(IF(INDEX(Empresas!$C:$C,MATCH(A384,Empresas!$A:$A,0))="","",INDEX(Empresas!$C:$C,MATCH(A384,Empresas!$A:$A,0))),""))</f>
        <v/>
      </c>
      <c r="H384" s="18"/>
      <c r="I384" s="19" t="str">
        <f aca="false">IF(OR(F384="",G384=""),"",IF(F384-G384&lt;0,"CONTRATO ANTERIOR À ABERTURA — conferir datas",IF(F384-G384&lt;180,"ABERTA MENOS DE 6 MESES ANTES","")))</f>
        <v/>
      </c>
      <c r="J384" s="19" t="str">
        <f aca="false">IF(A384="","",IFERROR(INDEX(Sancoes!$B:$B,MATCH(A384,Sancoes!$A:$A,0))&amp;"","não consta"))</f>
        <v/>
      </c>
      <c r="K384" s="19" t="str">
        <f aca="false">IF(OR(A384="",F384=""),"",IF(SUMPRODUCT((Sancoes!$A$2:$A$301=A384)*(Sancoes!$B$2:$B$301&lt;&gt;"Não consta")*(Sancoes!$D$2:$D$301&lt;&gt;"")*(Sancoes!$D$2:$D$301&lt;=F384)*(((Sancoes!$E$2:$E$301="")+(Sancoes!$E$2:$E$301&gt;=F384))&gt;0))&gt;0,"SANÇÃO VIGENTE NA DATA — leia o tipo e a abrangência",""))</f>
        <v/>
      </c>
      <c r="L384" s="19" t="str">
        <f aca="false">IF(A384="","",IFERROR(INDEX(Empresas!$B:$B,MATCH(A384,Empresas!$A:$A,0))&amp;"","cadastre o CNPJ em Empresas"))</f>
        <v/>
      </c>
      <c r="M384" s="27"/>
      <c r="N384" s="35"/>
      <c r="O384" s="37" t="str">
        <f aca="false">IF(OR(D384="",D384=0,N384=""),"",N384/D384)</f>
        <v/>
      </c>
      <c r="P384" s="19" t="str">
        <f aca="false">IF(O384="","",IF(O384&gt;0.25,"ACRÉSCIMO ACIMA DE 25% — conferir",""))</f>
        <v/>
      </c>
      <c r="Q384" s="27"/>
      <c r="R384" s="5"/>
    </row>
    <row r="385" customFormat="false" ht="15" hidden="false" customHeight="false" outlineLevel="0" collapsed="false">
      <c r="A385" s="27"/>
      <c r="B385" s="5"/>
      <c r="C385" s="5"/>
      <c r="D385" s="35"/>
      <c r="E385" s="14"/>
      <c r="F385" s="18"/>
      <c r="G385" s="31" t="str">
        <f aca="false">IF(A385="","",IFERROR(IF(INDEX(Empresas!$C:$C,MATCH(A385,Empresas!$A:$A,0))="","",INDEX(Empresas!$C:$C,MATCH(A385,Empresas!$A:$A,0))),""))</f>
        <v/>
      </c>
      <c r="H385" s="18"/>
      <c r="I385" s="19" t="str">
        <f aca="false">IF(OR(F385="",G385=""),"",IF(F385-G385&lt;0,"CONTRATO ANTERIOR À ABERTURA — conferir datas",IF(F385-G385&lt;180,"ABERTA MENOS DE 6 MESES ANTES","")))</f>
        <v/>
      </c>
      <c r="J385" s="19" t="str">
        <f aca="false">IF(A385="","",IFERROR(INDEX(Sancoes!$B:$B,MATCH(A385,Sancoes!$A:$A,0))&amp;"","não consta"))</f>
        <v/>
      </c>
      <c r="K385" s="19" t="str">
        <f aca="false">IF(OR(A385="",F385=""),"",IF(SUMPRODUCT((Sancoes!$A$2:$A$301=A385)*(Sancoes!$B$2:$B$301&lt;&gt;"Não consta")*(Sancoes!$D$2:$D$301&lt;&gt;"")*(Sancoes!$D$2:$D$301&lt;=F385)*(((Sancoes!$E$2:$E$301="")+(Sancoes!$E$2:$E$301&gt;=F385))&gt;0))&gt;0,"SANÇÃO VIGENTE NA DATA — leia o tipo e a abrangência",""))</f>
        <v/>
      </c>
      <c r="L385" s="19" t="str">
        <f aca="false">IF(A385="","",IFERROR(INDEX(Empresas!$B:$B,MATCH(A385,Empresas!$A:$A,0))&amp;"","cadastre o CNPJ em Empresas"))</f>
        <v/>
      </c>
      <c r="M385" s="27"/>
      <c r="N385" s="35"/>
      <c r="O385" s="37" t="str">
        <f aca="false">IF(OR(D385="",D385=0,N385=""),"",N385/D385)</f>
        <v/>
      </c>
      <c r="P385" s="19" t="str">
        <f aca="false">IF(O385="","",IF(O385&gt;0.25,"ACRÉSCIMO ACIMA DE 25% — conferir",""))</f>
        <v/>
      </c>
      <c r="Q385" s="27"/>
      <c r="R385" s="5"/>
    </row>
    <row r="386" customFormat="false" ht="15" hidden="false" customHeight="false" outlineLevel="0" collapsed="false">
      <c r="A386" s="27"/>
      <c r="B386" s="5"/>
      <c r="C386" s="5"/>
      <c r="D386" s="35"/>
      <c r="E386" s="14"/>
      <c r="F386" s="18"/>
      <c r="G386" s="31" t="str">
        <f aca="false">IF(A386="","",IFERROR(IF(INDEX(Empresas!$C:$C,MATCH(A386,Empresas!$A:$A,0))="","",INDEX(Empresas!$C:$C,MATCH(A386,Empresas!$A:$A,0))),""))</f>
        <v/>
      </c>
      <c r="H386" s="18"/>
      <c r="I386" s="19" t="str">
        <f aca="false">IF(OR(F386="",G386=""),"",IF(F386-G386&lt;0,"CONTRATO ANTERIOR À ABERTURA — conferir datas",IF(F386-G386&lt;180,"ABERTA MENOS DE 6 MESES ANTES","")))</f>
        <v/>
      </c>
      <c r="J386" s="19" t="str">
        <f aca="false">IF(A386="","",IFERROR(INDEX(Sancoes!$B:$B,MATCH(A386,Sancoes!$A:$A,0))&amp;"","não consta"))</f>
        <v/>
      </c>
      <c r="K386" s="19" t="str">
        <f aca="false">IF(OR(A386="",F386=""),"",IF(SUMPRODUCT((Sancoes!$A$2:$A$301=A386)*(Sancoes!$B$2:$B$301&lt;&gt;"Não consta")*(Sancoes!$D$2:$D$301&lt;&gt;"")*(Sancoes!$D$2:$D$301&lt;=F386)*(((Sancoes!$E$2:$E$301="")+(Sancoes!$E$2:$E$301&gt;=F386))&gt;0))&gt;0,"SANÇÃO VIGENTE NA DATA — leia o tipo e a abrangência",""))</f>
        <v/>
      </c>
      <c r="L386" s="19" t="str">
        <f aca="false">IF(A386="","",IFERROR(INDEX(Empresas!$B:$B,MATCH(A386,Empresas!$A:$A,0))&amp;"","cadastre o CNPJ em Empresas"))</f>
        <v/>
      </c>
      <c r="M386" s="27"/>
      <c r="N386" s="35"/>
      <c r="O386" s="37" t="str">
        <f aca="false">IF(OR(D386="",D386=0,N386=""),"",N386/D386)</f>
        <v/>
      </c>
      <c r="P386" s="19" t="str">
        <f aca="false">IF(O386="","",IF(O386&gt;0.25,"ACRÉSCIMO ACIMA DE 25% — conferir",""))</f>
        <v/>
      </c>
      <c r="Q386" s="27"/>
      <c r="R386" s="5"/>
    </row>
    <row r="387" customFormat="false" ht="15" hidden="false" customHeight="false" outlineLevel="0" collapsed="false">
      <c r="A387" s="27"/>
      <c r="B387" s="5"/>
      <c r="C387" s="5"/>
      <c r="D387" s="35"/>
      <c r="E387" s="14"/>
      <c r="F387" s="18"/>
      <c r="G387" s="31" t="str">
        <f aca="false">IF(A387="","",IFERROR(IF(INDEX(Empresas!$C:$C,MATCH(A387,Empresas!$A:$A,0))="","",INDEX(Empresas!$C:$C,MATCH(A387,Empresas!$A:$A,0))),""))</f>
        <v/>
      </c>
      <c r="H387" s="18"/>
      <c r="I387" s="19" t="str">
        <f aca="false">IF(OR(F387="",G387=""),"",IF(F387-G387&lt;0,"CONTRATO ANTERIOR À ABERTURA — conferir datas",IF(F387-G387&lt;180,"ABERTA MENOS DE 6 MESES ANTES","")))</f>
        <v/>
      </c>
      <c r="J387" s="19" t="str">
        <f aca="false">IF(A387="","",IFERROR(INDEX(Sancoes!$B:$B,MATCH(A387,Sancoes!$A:$A,0))&amp;"","não consta"))</f>
        <v/>
      </c>
      <c r="K387" s="19" t="str">
        <f aca="false">IF(OR(A387="",F387=""),"",IF(SUMPRODUCT((Sancoes!$A$2:$A$301=A387)*(Sancoes!$B$2:$B$301&lt;&gt;"Não consta")*(Sancoes!$D$2:$D$301&lt;&gt;"")*(Sancoes!$D$2:$D$301&lt;=F387)*(((Sancoes!$E$2:$E$301="")+(Sancoes!$E$2:$E$301&gt;=F387))&gt;0))&gt;0,"SANÇÃO VIGENTE NA DATA — leia o tipo e a abrangência",""))</f>
        <v/>
      </c>
      <c r="L387" s="19" t="str">
        <f aca="false">IF(A387="","",IFERROR(INDEX(Empresas!$B:$B,MATCH(A387,Empresas!$A:$A,0))&amp;"","cadastre o CNPJ em Empresas"))</f>
        <v/>
      </c>
      <c r="M387" s="27"/>
      <c r="N387" s="35"/>
      <c r="O387" s="37" t="str">
        <f aca="false">IF(OR(D387="",D387=0,N387=""),"",N387/D387)</f>
        <v/>
      </c>
      <c r="P387" s="19" t="str">
        <f aca="false">IF(O387="","",IF(O387&gt;0.25,"ACRÉSCIMO ACIMA DE 25% — conferir",""))</f>
        <v/>
      </c>
      <c r="Q387" s="27"/>
      <c r="R387" s="5"/>
    </row>
    <row r="388" customFormat="false" ht="15" hidden="false" customHeight="false" outlineLevel="0" collapsed="false">
      <c r="A388" s="27"/>
      <c r="B388" s="5"/>
      <c r="C388" s="5"/>
      <c r="D388" s="35"/>
      <c r="E388" s="14"/>
      <c r="F388" s="18"/>
      <c r="G388" s="31" t="str">
        <f aca="false">IF(A388="","",IFERROR(IF(INDEX(Empresas!$C:$C,MATCH(A388,Empresas!$A:$A,0))="","",INDEX(Empresas!$C:$C,MATCH(A388,Empresas!$A:$A,0))),""))</f>
        <v/>
      </c>
      <c r="H388" s="18"/>
      <c r="I388" s="19" t="str">
        <f aca="false">IF(OR(F388="",G388=""),"",IF(F388-G388&lt;0,"CONTRATO ANTERIOR À ABERTURA — conferir datas",IF(F388-G388&lt;180,"ABERTA MENOS DE 6 MESES ANTES","")))</f>
        <v/>
      </c>
      <c r="J388" s="19" t="str">
        <f aca="false">IF(A388="","",IFERROR(INDEX(Sancoes!$B:$B,MATCH(A388,Sancoes!$A:$A,0))&amp;"","não consta"))</f>
        <v/>
      </c>
      <c r="K388" s="19" t="str">
        <f aca="false">IF(OR(A388="",F388=""),"",IF(SUMPRODUCT((Sancoes!$A$2:$A$301=A388)*(Sancoes!$B$2:$B$301&lt;&gt;"Não consta")*(Sancoes!$D$2:$D$301&lt;&gt;"")*(Sancoes!$D$2:$D$301&lt;=F388)*(((Sancoes!$E$2:$E$301="")+(Sancoes!$E$2:$E$301&gt;=F388))&gt;0))&gt;0,"SANÇÃO VIGENTE NA DATA — leia o tipo e a abrangência",""))</f>
        <v/>
      </c>
      <c r="L388" s="19" t="str">
        <f aca="false">IF(A388="","",IFERROR(INDEX(Empresas!$B:$B,MATCH(A388,Empresas!$A:$A,0))&amp;"","cadastre o CNPJ em Empresas"))</f>
        <v/>
      </c>
      <c r="M388" s="27"/>
      <c r="N388" s="35"/>
      <c r="O388" s="37" t="str">
        <f aca="false">IF(OR(D388="",D388=0,N388=""),"",N388/D388)</f>
        <v/>
      </c>
      <c r="P388" s="19" t="str">
        <f aca="false">IF(O388="","",IF(O388&gt;0.25,"ACRÉSCIMO ACIMA DE 25% — conferir",""))</f>
        <v/>
      </c>
      <c r="Q388" s="27"/>
      <c r="R388" s="5"/>
    </row>
    <row r="389" customFormat="false" ht="15" hidden="false" customHeight="false" outlineLevel="0" collapsed="false">
      <c r="A389" s="27"/>
      <c r="B389" s="5"/>
      <c r="C389" s="5"/>
      <c r="D389" s="35"/>
      <c r="E389" s="14"/>
      <c r="F389" s="18"/>
      <c r="G389" s="31" t="str">
        <f aca="false">IF(A389="","",IFERROR(IF(INDEX(Empresas!$C:$C,MATCH(A389,Empresas!$A:$A,0))="","",INDEX(Empresas!$C:$C,MATCH(A389,Empresas!$A:$A,0))),""))</f>
        <v/>
      </c>
      <c r="H389" s="18"/>
      <c r="I389" s="19" t="str">
        <f aca="false">IF(OR(F389="",G389=""),"",IF(F389-G389&lt;0,"CONTRATO ANTERIOR À ABERTURA — conferir datas",IF(F389-G389&lt;180,"ABERTA MENOS DE 6 MESES ANTES","")))</f>
        <v/>
      </c>
      <c r="J389" s="19" t="str">
        <f aca="false">IF(A389="","",IFERROR(INDEX(Sancoes!$B:$B,MATCH(A389,Sancoes!$A:$A,0))&amp;"","não consta"))</f>
        <v/>
      </c>
      <c r="K389" s="19" t="str">
        <f aca="false">IF(OR(A389="",F389=""),"",IF(SUMPRODUCT((Sancoes!$A$2:$A$301=A389)*(Sancoes!$B$2:$B$301&lt;&gt;"Não consta")*(Sancoes!$D$2:$D$301&lt;&gt;"")*(Sancoes!$D$2:$D$301&lt;=F389)*(((Sancoes!$E$2:$E$301="")+(Sancoes!$E$2:$E$301&gt;=F389))&gt;0))&gt;0,"SANÇÃO VIGENTE NA DATA — leia o tipo e a abrangência",""))</f>
        <v/>
      </c>
      <c r="L389" s="19" t="str">
        <f aca="false">IF(A389="","",IFERROR(INDEX(Empresas!$B:$B,MATCH(A389,Empresas!$A:$A,0))&amp;"","cadastre o CNPJ em Empresas"))</f>
        <v/>
      </c>
      <c r="M389" s="27"/>
      <c r="N389" s="35"/>
      <c r="O389" s="37" t="str">
        <f aca="false">IF(OR(D389="",D389=0,N389=""),"",N389/D389)</f>
        <v/>
      </c>
      <c r="P389" s="19" t="str">
        <f aca="false">IF(O389="","",IF(O389&gt;0.25,"ACRÉSCIMO ACIMA DE 25% — conferir",""))</f>
        <v/>
      </c>
      <c r="Q389" s="27"/>
      <c r="R389" s="5"/>
    </row>
    <row r="390" customFormat="false" ht="15" hidden="false" customHeight="false" outlineLevel="0" collapsed="false">
      <c r="A390" s="27"/>
      <c r="B390" s="5"/>
      <c r="C390" s="5"/>
      <c r="D390" s="35"/>
      <c r="E390" s="14"/>
      <c r="F390" s="18"/>
      <c r="G390" s="31" t="str">
        <f aca="false">IF(A390="","",IFERROR(IF(INDEX(Empresas!$C:$C,MATCH(A390,Empresas!$A:$A,0))="","",INDEX(Empresas!$C:$C,MATCH(A390,Empresas!$A:$A,0))),""))</f>
        <v/>
      </c>
      <c r="H390" s="18"/>
      <c r="I390" s="19" t="str">
        <f aca="false">IF(OR(F390="",G390=""),"",IF(F390-G390&lt;0,"CONTRATO ANTERIOR À ABERTURA — conferir datas",IF(F390-G390&lt;180,"ABERTA MENOS DE 6 MESES ANTES","")))</f>
        <v/>
      </c>
      <c r="J390" s="19" t="str">
        <f aca="false">IF(A390="","",IFERROR(INDEX(Sancoes!$B:$B,MATCH(A390,Sancoes!$A:$A,0))&amp;"","não consta"))</f>
        <v/>
      </c>
      <c r="K390" s="19" t="str">
        <f aca="false">IF(OR(A390="",F390=""),"",IF(SUMPRODUCT((Sancoes!$A$2:$A$301=A390)*(Sancoes!$B$2:$B$301&lt;&gt;"Não consta")*(Sancoes!$D$2:$D$301&lt;&gt;"")*(Sancoes!$D$2:$D$301&lt;=F390)*(((Sancoes!$E$2:$E$301="")+(Sancoes!$E$2:$E$301&gt;=F390))&gt;0))&gt;0,"SANÇÃO VIGENTE NA DATA — leia o tipo e a abrangência",""))</f>
        <v/>
      </c>
      <c r="L390" s="19" t="str">
        <f aca="false">IF(A390="","",IFERROR(INDEX(Empresas!$B:$B,MATCH(A390,Empresas!$A:$A,0))&amp;"","cadastre o CNPJ em Empresas"))</f>
        <v/>
      </c>
      <c r="M390" s="27"/>
      <c r="N390" s="35"/>
      <c r="O390" s="37" t="str">
        <f aca="false">IF(OR(D390="",D390=0,N390=""),"",N390/D390)</f>
        <v/>
      </c>
      <c r="P390" s="19" t="str">
        <f aca="false">IF(O390="","",IF(O390&gt;0.25,"ACRÉSCIMO ACIMA DE 25% — conferir",""))</f>
        <v/>
      </c>
      <c r="Q390" s="27"/>
      <c r="R390" s="5"/>
    </row>
    <row r="391" customFormat="false" ht="15" hidden="false" customHeight="false" outlineLevel="0" collapsed="false">
      <c r="A391" s="27"/>
      <c r="B391" s="5"/>
      <c r="C391" s="5"/>
      <c r="D391" s="35"/>
      <c r="E391" s="14"/>
      <c r="F391" s="18"/>
      <c r="G391" s="31" t="str">
        <f aca="false">IF(A391="","",IFERROR(IF(INDEX(Empresas!$C:$C,MATCH(A391,Empresas!$A:$A,0))="","",INDEX(Empresas!$C:$C,MATCH(A391,Empresas!$A:$A,0))),""))</f>
        <v/>
      </c>
      <c r="H391" s="18"/>
      <c r="I391" s="19" t="str">
        <f aca="false">IF(OR(F391="",G391=""),"",IF(F391-G391&lt;0,"CONTRATO ANTERIOR À ABERTURA — conferir datas",IF(F391-G391&lt;180,"ABERTA MENOS DE 6 MESES ANTES","")))</f>
        <v/>
      </c>
      <c r="J391" s="19" t="str">
        <f aca="false">IF(A391="","",IFERROR(INDEX(Sancoes!$B:$B,MATCH(A391,Sancoes!$A:$A,0))&amp;"","não consta"))</f>
        <v/>
      </c>
      <c r="K391" s="19" t="str">
        <f aca="false">IF(OR(A391="",F391=""),"",IF(SUMPRODUCT((Sancoes!$A$2:$A$301=A391)*(Sancoes!$B$2:$B$301&lt;&gt;"Não consta")*(Sancoes!$D$2:$D$301&lt;&gt;"")*(Sancoes!$D$2:$D$301&lt;=F391)*(((Sancoes!$E$2:$E$301="")+(Sancoes!$E$2:$E$301&gt;=F391))&gt;0))&gt;0,"SANÇÃO VIGENTE NA DATA — leia o tipo e a abrangência",""))</f>
        <v/>
      </c>
      <c r="L391" s="19" t="str">
        <f aca="false">IF(A391="","",IFERROR(INDEX(Empresas!$B:$B,MATCH(A391,Empresas!$A:$A,0))&amp;"","cadastre o CNPJ em Empresas"))</f>
        <v/>
      </c>
      <c r="M391" s="27"/>
      <c r="N391" s="35"/>
      <c r="O391" s="37" t="str">
        <f aca="false">IF(OR(D391="",D391=0,N391=""),"",N391/D391)</f>
        <v/>
      </c>
      <c r="P391" s="19" t="str">
        <f aca="false">IF(O391="","",IF(O391&gt;0.25,"ACRÉSCIMO ACIMA DE 25% — conferir",""))</f>
        <v/>
      </c>
      <c r="Q391" s="27"/>
      <c r="R391" s="5"/>
    </row>
    <row r="392" customFormat="false" ht="15" hidden="false" customHeight="false" outlineLevel="0" collapsed="false">
      <c r="A392" s="27"/>
      <c r="B392" s="5"/>
      <c r="C392" s="5"/>
      <c r="D392" s="35"/>
      <c r="E392" s="14"/>
      <c r="F392" s="18"/>
      <c r="G392" s="31" t="str">
        <f aca="false">IF(A392="","",IFERROR(IF(INDEX(Empresas!$C:$C,MATCH(A392,Empresas!$A:$A,0))="","",INDEX(Empresas!$C:$C,MATCH(A392,Empresas!$A:$A,0))),""))</f>
        <v/>
      </c>
      <c r="H392" s="18"/>
      <c r="I392" s="19" t="str">
        <f aca="false">IF(OR(F392="",G392=""),"",IF(F392-G392&lt;0,"CONTRATO ANTERIOR À ABERTURA — conferir datas",IF(F392-G392&lt;180,"ABERTA MENOS DE 6 MESES ANTES","")))</f>
        <v/>
      </c>
      <c r="J392" s="19" t="str">
        <f aca="false">IF(A392="","",IFERROR(INDEX(Sancoes!$B:$B,MATCH(A392,Sancoes!$A:$A,0))&amp;"","não consta"))</f>
        <v/>
      </c>
      <c r="K392" s="19" t="str">
        <f aca="false">IF(OR(A392="",F392=""),"",IF(SUMPRODUCT((Sancoes!$A$2:$A$301=A392)*(Sancoes!$B$2:$B$301&lt;&gt;"Não consta")*(Sancoes!$D$2:$D$301&lt;&gt;"")*(Sancoes!$D$2:$D$301&lt;=F392)*(((Sancoes!$E$2:$E$301="")+(Sancoes!$E$2:$E$301&gt;=F392))&gt;0))&gt;0,"SANÇÃO VIGENTE NA DATA — leia o tipo e a abrangência",""))</f>
        <v/>
      </c>
      <c r="L392" s="19" t="str">
        <f aca="false">IF(A392="","",IFERROR(INDEX(Empresas!$B:$B,MATCH(A392,Empresas!$A:$A,0))&amp;"","cadastre o CNPJ em Empresas"))</f>
        <v/>
      </c>
      <c r="M392" s="27"/>
      <c r="N392" s="35"/>
      <c r="O392" s="37" t="str">
        <f aca="false">IF(OR(D392="",D392=0,N392=""),"",N392/D392)</f>
        <v/>
      </c>
      <c r="P392" s="19" t="str">
        <f aca="false">IF(O392="","",IF(O392&gt;0.25,"ACRÉSCIMO ACIMA DE 25% — conferir",""))</f>
        <v/>
      </c>
      <c r="Q392" s="27"/>
      <c r="R392" s="5"/>
    </row>
    <row r="393" customFormat="false" ht="15" hidden="false" customHeight="false" outlineLevel="0" collapsed="false">
      <c r="A393" s="27"/>
      <c r="B393" s="5"/>
      <c r="C393" s="5"/>
      <c r="D393" s="35"/>
      <c r="E393" s="14"/>
      <c r="F393" s="18"/>
      <c r="G393" s="31" t="str">
        <f aca="false">IF(A393="","",IFERROR(IF(INDEX(Empresas!$C:$C,MATCH(A393,Empresas!$A:$A,0))="","",INDEX(Empresas!$C:$C,MATCH(A393,Empresas!$A:$A,0))),""))</f>
        <v/>
      </c>
      <c r="H393" s="18"/>
      <c r="I393" s="19" t="str">
        <f aca="false">IF(OR(F393="",G393=""),"",IF(F393-G393&lt;0,"CONTRATO ANTERIOR À ABERTURA — conferir datas",IF(F393-G393&lt;180,"ABERTA MENOS DE 6 MESES ANTES","")))</f>
        <v/>
      </c>
      <c r="J393" s="19" t="str">
        <f aca="false">IF(A393="","",IFERROR(INDEX(Sancoes!$B:$B,MATCH(A393,Sancoes!$A:$A,0))&amp;"","não consta"))</f>
        <v/>
      </c>
      <c r="K393" s="19" t="str">
        <f aca="false">IF(OR(A393="",F393=""),"",IF(SUMPRODUCT((Sancoes!$A$2:$A$301=A393)*(Sancoes!$B$2:$B$301&lt;&gt;"Não consta")*(Sancoes!$D$2:$D$301&lt;&gt;"")*(Sancoes!$D$2:$D$301&lt;=F393)*(((Sancoes!$E$2:$E$301="")+(Sancoes!$E$2:$E$301&gt;=F393))&gt;0))&gt;0,"SANÇÃO VIGENTE NA DATA — leia o tipo e a abrangência",""))</f>
        <v/>
      </c>
      <c r="L393" s="19" t="str">
        <f aca="false">IF(A393="","",IFERROR(INDEX(Empresas!$B:$B,MATCH(A393,Empresas!$A:$A,0))&amp;"","cadastre o CNPJ em Empresas"))</f>
        <v/>
      </c>
      <c r="M393" s="27"/>
      <c r="N393" s="35"/>
      <c r="O393" s="37" t="str">
        <f aca="false">IF(OR(D393="",D393=0,N393=""),"",N393/D393)</f>
        <v/>
      </c>
      <c r="P393" s="19" t="str">
        <f aca="false">IF(O393="","",IF(O393&gt;0.25,"ACRÉSCIMO ACIMA DE 25% — conferir",""))</f>
        <v/>
      </c>
      <c r="Q393" s="27"/>
      <c r="R393" s="5"/>
    </row>
    <row r="394" customFormat="false" ht="15" hidden="false" customHeight="false" outlineLevel="0" collapsed="false">
      <c r="A394" s="27"/>
      <c r="B394" s="5"/>
      <c r="C394" s="5"/>
      <c r="D394" s="35"/>
      <c r="E394" s="14"/>
      <c r="F394" s="18"/>
      <c r="G394" s="31" t="str">
        <f aca="false">IF(A394="","",IFERROR(IF(INDEX(Empresas!$C:$C,MATCH(A394,Empresas!$A:$A,0))="","",INDEX(Empresas!$C:$C,MATCH(A394,Empresas!$A:$A,0))),""))</f>
        <v/>
      </c>
      <c r="H394" s="18"/>
      <c r="I394" s="19" t="str">
        <f aca="false">IF(OR(F394="",G394=""),"",IF(F394-G394&lt;0,"CONTRATO ANTERIOR À ABERTURA — conferir datas",IF(F394-G394&lt;180,"ABERTA MENOS DE 6 MESES ANTES","")))</f>
        <v/>
      </c>
      <c r="J394" s="19" t="str">
        <f aca="false">IF(A394="","",IFERROR(INDEX(Sancoes!$B:$B,MATCH(A394,Sancoes!$A:$A,0))&amp;"","não consta"))</f>
        <v/>
      </c>
      <c r="K394" s="19" t="str">
        <f aca="false">IF(OR(A394="",F394=""),"",IF(SUMPRODUCT((Sancoes!$A$2:$A$301=A394)*(Sancoes!$B$2:$B$301&lt;&gt;"Não consta")*(Sancoes!$D$2:$D$301&lt;&gt;"")*(Sancoes!$D$2:$D$301&lt;=F394)*(((Sancoes!$E$2:$E$301="")+(Sancoes!$E$2:$E$301&gt;=F394))&gt;0))&gt;0,"SANÇÃO VIGENTE NA DATA — leia o tipo e a abrangência",""))</f>
        <v/>
      </c>
      <c r="L394" s="19" t="str">
        <f aca="false">IF(A394="","",IFERROR(INDEX(Empresas!$B:$B,MATCH(A394,Empresas!$A:$A,0))&amp;"","cadastre o CNPJ em Empresas"))</f>
        <v/>
      </c>
      <c r="M394" s="27"/>
      <c r="N394" s="35"/>
      <c r="O394" s="37" t="str">
        <f aca="false">IF(OR(D394="",D394=0,N394=""),"",N394/D394)</f>
        <v/>
      </c>
      <c r="P394" s="19" t="str">
        <f aca="false">IF(O394="","",IF(O394&gt;0.25,"ACRÉSCIMO ACIMA DE 25% — conferir",""))</f>
        <v/>
      </c>
      <c r="Q394" s="27"/>
      <c r="R394" s="5"/>
    </row>
    <row r="395" customFormat="false" ht="15" hidden="false" customHeight="false" outlineLevel="0" collapsed="false">
      <c r="A395" s="27"/>
      <c r="B395" s="5"/>
      <c r="C395" s="5"/>
      <c r="D395" s="35"/>
      <c r="E395" s="14"/>
      <c r="F395" s="18"/>
      <c r="G395" s="31" t="str">
        <f aca="false">IF(A395="","",IFERROR(IF(INDEX(Empresas!$C:$C,MATCH(A395,Empresas!$A:$A,0))="","",INDEX(Empresas!$C:$C,MATCH(A395,Empresas!$A:$A,0))),""))</f>
        <v/>
      </c>
      <c r="H395" s="18"/>
      <c r="I395" s="19" t="str">
        <f aca="false">IF(OR(F395="",G395=""),"",IF(F395-G395&lt;0,"CONTRATO ANTERIOR À ABERTURA — conferir datas",IF(F395-G395&lt;180,"ABERTA MENOS DE 6 MESES ANTES","")))</f>
        <v/>
      </c>
      <c r="J395" s="19" t="str">
        <f aca="false">IF(A395="","",IFERROR(INDEX(Sancoes!$B:$B,MATCH(A395,Sancoes!$A:$A,0))&amp;"","não consta"))</f>
        <v/>
      </c>
      <c r="K395" s="19" t="str">
        <f aca="false">IF(OR(A395="",F395=""),"",IF(SUMPRODUCT((Sancoes!$A$2:$A$301=A395)*(Sancoes!$B$2:$B$301&lt;&gt;"Não consta")*(Sancoes!$D$2:$D$301&lt;&gt;"")*(Sancoes!$D$2:$D$301&lt;=F395)*(((Sancoes!$E$2:$E$301="")+(Sancoes!$E$2:$E$301&gt;=F395))&gt;0))&gt;0,"SANÇÃO VIGENTE NA DATA — leia o tipo e a abrangência",""))</f>
        <v/>
      </c>
      <c r="L395" s="19" t="str">
        <f aca="false">IF(A395="","",IFERROR(INDEX(Empresas!$B:$B,MATCH(A395,Empresas!$A:$A,0))&amp;"","cadastre o CNPJ em Empresas"))</f>
        <v/>
      </c>
      <c r="M395" s="27"/>
      <c r="N395" s="35"/>
      <c r="O395" s="37" t="str">
        <f aca="false">IF(OR(D395="",D395=0,N395=""),"",N395/D395)</f>
        <v/>
      </c>
      <c r="P395" s="19" t="str">
        <f aca="false">IF(O395="","",IF(O395&gt;0.25,"ACRÉSCIMO ACIMA DE 25% — conferir",""))</f>
        <v/>
      </c>
      <c r="Q395" s="27"/>
      <c r="R395" s="5"/>
    </row>
    <row r="396" customFormat="false" ht="15" hidden="false" customHeight="false" outlineLevel="0" collapsed="false">
      <c r="A396" s="27"/>
      <c r="B396" s="5"/>
      <c r="C396" s="5"/>
      <c r="D396" s="35"/>
      <c r="E396" s="14"/>
      <c r="F396" s="18"/>
      <c r="G396" s="31" t="str">
        <f aca="false">IF(A396="","",IFERROR(IF(INDEX(Empresas!$C:$C,MATCH(A396,Empresas!$A:$A,0))="","",INDEX(Empresas!$C:$C,MATCH(A396,Empresas!$A:$A,0))),""))</f>
        <v/>
      </c>
      <c r="H396" s="18"/>
      <c r="I396" s="19" t="str">
        <f aca="false">IF(OR(F396="",G396=""),"",IF(F396-G396&lt;0,"CONTRATO ANTERIOR À ABERTURA — conferir datas",IF(F396-G396&lt;180,"ABERTA MENOS DE 6 MESES ANTES","")))</f>
        <v/>
      </c>
      <c r="J396" s="19" t="str">
        <f aca="false">IF(A396="","",IFERROR(INDEX(Sancoes!$B:$B,MATCH(A396,Sancoes!$A:$A,0))&amp;"","não consta"))</f>
        <v/>
      </c>
      <c r="K396" s="19" t="str">
        <f aca="false">IF(OR(A396="",F396=""),"",IF(SUMPRODUCT((Sancoes!$A$2:$A$301=A396)*(Sancoes!$B$2:$B$301&lt;&gt;"Não consta")*(Sancoes!$D$2:$D$301&lt;&gt;"")*(Sancoes!$D$2:$D$301&lt;=F396)*(((Sancoes!$E$2:$E$301="")+(Sancoes!$E$2:$E$301&gt;=F396))&gt;0))&gt;0,"SANÇÃO VIGENTE NA DATA — leia o tipo e a abrangência",""))</f>
        <v/>
      </c>
      <c r="L396" s="19" t="str">
        <f aca="false">IF(A396="","",IFERROR(INDEX(Empresas!$B:$B,MATCH(A396,Empresas!$A:$A,0))&amp;"","cadastre o CNPJ em Empresas"))</f>
        <v/>
      </c>
      <c r="M396" s="27"/>
      <c r="N396" s="35"/>
      <c r="O396" s="37" t="str">
        <f aca="false">IF(OR(D396="",D396=0,N396=""),"",N396/D396)</f>
        <v/>
      </c>
      <c r="P396" s="19" t="str">
        <f aca="false">IF(O396="","",IF(O396&gt;0.25,"ACRÉSCIMO ACIMA DE 25% — conferir",""))</f>
        <v/>
      </c>
      <c r="Q396" s="27"/>
      <c r="R396" s="5"/>
    </row>
    <row r="397" customFormat="false" ht="15" hidden="false" customHeight="false" outlineLevel="0" collapsed="false">
      <c r="A397" s="27"/>
      <c r="B397" s="5"/>
      <c r="C397" s="5"/>
      <c r="D397" s="35"/>
      <c r="E397" s="14"/>
      <c r="F397" s="18"/>
      <c r="G397" s="31" t="str">
        <f aca="false">IF(A397="","",IFERROR(IF(INDEX(Empresas!$C:$C,MATCH(A397,Empresas!$A:$A,0))="","",INDEX(Empresas!$C:$C,MATCH(A397,Empresas!$A:$A,0))),""))</f>
        <v/>
      </c>
      <c r="H397" s="18"/>
      <c r="I397" s="19" t="str">
        <f aca="false">IF(OR(F397="",G397=""),"",IF(F397-G397&lt;0,"CONTRATO ANTERIOR À ABERTURA — conferir datas",IF(F397-G397&lt;180,"ABERTA MENOS DE 6 MESES ANTES","")))</f>
        <v/>
      </c>
      <c r="J397" s="19" t="str">
        <f aca="false">IF(A397="","",IFERROR(INDEX(Sancoes!$B:$B,MATCH(A397,Sancoes!$A:$A,0))&amp;"","não consta"))</f>
        <v/>
      </c>
      <c r="K397" s="19" t="str">
        <f aca="false">IF(OR(A397="",F397=""),"",IF(SUMPRODUCT((Sancoes!$A$2:$A$301=A397)*(Sancoes!$B$2:$B$301&lt;&gt;"Não consta")*(Sancoes!$D$2:$D$301&lt;&gt;"")*(Sancoes!$D$2:$D$301&lt;=F397)*(((Sancoes!$E$2:$E$301="")+(Sancoes!$E$2:$E$301&gt;=F397))&gt;0))&gt;0,"SANÇÃO VIGENTE NA DATA — leia o tipo e a abrangência",""))</f>
        <v/>
      </c>
      <c r="L397" s="19" t="str">
        <f aca="false">IF(A397="","",IFERROR(INDEX(Empresas!$B:$B,MATCH(A397,Empresas!$A:$A,0))&amp;"","cadastre o CNPJ em Empresas"))</f>
        <v/>
      </c>
      <c r="M397" s="27"/>
      <c r="N397" s="35"/>
      <c r="O397" s="37" t="str">
        <f aca="false">IF(OR(D397="",D397=0,N397=""),"",N397/D397)</f>
        <v/>
      </c>
      <c r="P397" s="19" t="str">
        <f aca="false">IF(O397="","",IF(O397&gt;0.25,"ACRÉSCIMO ACIMA DE 25% — conferir",""))</f>
        <v/>
      </c>
      <c r="Q397" s="27"/>
      <c r="R397" s="5"/>
    </row>
    <row r="398" customFormat="false" ht="15" hidden="false" customHeight="false" outlineLevel="0" collapsed="false">
      <c r="A398" s="27"/>
      <c r="B398" s="5"/>
      <c r="C398" s="5"/>
      <c r="D398" s="35"/>
      <c r="E398" s="14"/>
      <c r="F398" s="18"/>
      <c r="G398" s="31" t="str">
        <f aca="false">IF(A398="","",IFERROR(IF(INDEX(Empresas!$C:$C,MATCH(A398,Empresas!$A:$A,0))="","",INDEX(Empresas!$C:$C,MATCH(A398,Empresas!$A:$A,0))),""))</f>
        <v/>
      </c>
      <c r="H398" s="18"/>
      <c r="I398" s="19" t="str">
        <f aca="false">IF(OR(F398="",G398=""),"",IF(F398-G398&lt;0,"CONTRATO ANTERIOR À ABERTURA — conferir datas",IF(F398-G398&lt;180,"ABERTA MENOS DE 6 MESES ANTES","")))</f>
        <v/>
      </c>
      <c r="J398" s="19" t="str">
        <f aca="false">IF(A398="","",IFERROR(INDEX(Sancoes!$B:$B,MATCH(A398,Sancoes!$A:$A,0))&amp;"","não consta"))</f>
        <v/>
      </c>
      <c r="K398" s="19" t="str">
        <f aca="false">IF(OR(A398="",F398=""),"",IF(SUMPRODUCT((Sancoes!$A$2:$A$301=A398)*(Sancoes!$B$2:$B$301&lt;&gt;"Não consta")*(Sancoes!$D$2:$D$301&lt;&gt;"")*(Sancoes!$D$2:$D$301&lt;=F398)*(((Sancoes!$E$2:$E$301="")+(Sancoes!$E$2:$E$301&gt;=F398))&gt;0))&gt;0,"SANÇÃO VIGENTE NA DATA — leia o tipo e a abrangência",""))</f>
        <v/>
      </c>
      <c r="L398" s="19" t="str">
        <f aca="false">IF(A398="","",IFERROR(INDEX(Empresas!$B:$B,MATCH(A398,Empresas!$A:$A,0))&amp;"","cadastre o CNPJ em Empresas"))</f>
        <v/>
      </c>
      <c r="M398" s="27"/>
      <c r="N398" s="35"/>
      <c r="O398" s="37" t="str">
        <f aca="false">IF(OR(D398="",D398=0,N398=""),"",N398/D398)</f>
        <v/>
      </c>
      <c r="P398" s="19" t="str">
        <f aca="false">IF(O398="","",IF(O398&gt;0.25,"ACRÉSCIMO ACIMA DE 25% — conferir",""))</f>
        <v/>
      </c>
      <c r="Q398" s="27"/>
      <c r="R398" s="5"/>
    </row>
    <row r="399" customFormat="false" ht="15" hidden="false" customHeight="false" outlineLevel="0" collapsed="false">
      <c r="A399" s="27"/>
      <c r="B399" s="5"/>
      <c r="C399" s="5"/>
      <c r="D399" s="35"/>
      <c r="E399" s="14"/>
      <c r="F399" s="18"/>
      <c r="G399" s="31" t="str">
        <f aca="false">IF(A399="","",IFERROR(IF(INDEX(Empresas!$C:$C,MATCH(A399,Empresas!$A:$A,0))="","",INDEX(Empresas!$C:$C,MATCH(A399,Empresas!$A:$A,0))),""))</f>
        <v/>
      </c>
      <c r="H399" s="18"/>
      <c r="I399" s="19" t="str">
        <f aca="false">IF(OR(F399="",G399=""),"",IF(F399-G399&lt;0,"CONTRATO ANTERIOR À ABERTURA — conferir datas",IF(F399-G399&lt;180,"ABERTA MENOS DE 6 MESES ANTES","")))</f>
        <v/>
      </c>
      <c r="J399" s="19" t="str">
        <f aca="false">IF(A399="","",IFERROR(INDEX(Sancoes!$B:$B,MATCH(A399,Sancoes!$A:$A,0))&amp;"","não consta"))</f>
        <v/>
      </c>
      <c r="K399" s="19" t="str">
        <f aca="false">IF(OR(A399="",F399=""),"",IF(SUMPRODUCT((Sancoes!$A$2:$A$301=A399)*(Sancoes!$B$2:$B$301&lt;&gt;"Não consta")*(Sancoes!$D$2:$D$301&lt;&gt;"")*(Sancoes!$D$2:$D$301&lt;=F399)*(((Sancoes!$E$2:$E$301="")+(Sancoes!$E$2:$E$301&gt;=F399))&gt;0))&gt;0,"SANÇÃO VIGENTE NA DATA — leia o tipo e a abrangência",""))</f>
        <v/>
      </c>
      <c r="L399" s="19" t="str">
        <f aca="false">IF(A399="","",IFERROR(INDEX(Empresas!$B:$B,MATCH(A399,Empresas!$A:$A,0))&amp;"","cadastre o CNPJ em Empresas"))</f>
        <v/>
      </c>
      <c r="M399" s="27"/>
      <c r="N399" s="35"/>
      <c r="O399" s="37" t="str">
        <f aca="false">IF(OR(D399="",D399=0,N399=""),"",N399/D399)</f>
        <v/>
      </c>
      <c r="P399" s="19" t="str">
        <f aca="false">IF(O399="","",IF(O399&gt;0.25,"ACRÉSCIMO ACIMA DE 25% — conferir",""))</f>
        <v/>
      </c>
      <c r="Q399" s="27"/>
      <c r="R399" s="5"/>
    </row>
    <row r="400" customFormat="false" ht="15" hidden="false" customHeight="false" outlineLevel="0" collapsed="false">
      <c r="A400" s="27"/>
      <c r="B400" s="5"/>
      <c r="C400" s="5"/>
      <c r="D400" s="35"/>
      <c r="E400" s="14"/>
      <c r="F400" s="18"/>
      <c r="G400" s="31" t="str">
        <f aca="false">IF(A400="","",IFERROR(IF(INDEX(Empresas!$C:$C,MATCH(A400,Empresas!$A:$A,0))="","",INDEX(Empresas!$C:$C,MATCH(A400,Empresas!$A:$A,0))),""))</f>
        <v/>
      </c>
      <c r="H400" s="18"/>
      <c r="I400" s="19" t="str">
        <f aca="false">IF(OR(F400="",G400=""),"",IF(F400-G400&lt;0,"CONTRATO ANTERIOR À ABERTURA — conferir datas",IF(F400-G400&lt;180,"ABERTA MENOS DE 6 MESES ANTES","")))</f>
        <v/>
      </c>
      <c r="J400" s="19" t="str">
        <f aca="false">IF(A400="","",IFERROR(INDEX(Sancoes!$B:$B,MATCH(A400,Sancoes!$A:$A,0))&amp;"","não consta"))</f>
        <v/>
      </c>
      <c r="K400" s="19" t="str">
        <f aca="false">IF(OR(A400="",F400=""),"",IF(SUMPRODUCT((Sancoes!$A$2:$A$301=A400)*(Sancoes!$B$2:$B$301&lt;&gt;"Não consta")*(Sancoes!$D$2:$D$301&lt;&gt;"")*(Sancoes!$D$2:$D$301&lt;=F400)*(((Sancoes!$E$2:$E$301="")+(Sancoes!$E$2:$E$301&gt;=F400))&gt;0))&gt;0,"SANÇÃO VIGENTE NA DATA — leia o tipo e a abrangência",""))</f>
        <v/>
      </c>
      <c r="L400" s="19" t="str">
        <f aca="false">IF(A400="","",IFERROR(INDEX(Empresas!$B:$B,MATCH(A400,Empresas!$A:$A,0))&amp;"","cadastre o CNPJ em Empresas"))</f>
        <v/>
      </c>
      <c r="M400" s="27"/>
      <c r="N400" s="35"/>
      <c r="O400" s="37" t="str">
        <f aca="false">IF(OR(D400="",D400=0,N400=""),"",N400/D400)</f>
        <v/>
      </c>
      <c r="P400" s="19" t="str">
        <f aca="false">IF(O400="","",IF(O400&gt;0.25,"ACRÉSCIMO ACIMA DE 25% — conferir",""))</f>
        <v/>
      </c>
      <c r="Q400" s="27"/>
      <c r="R400" s="5"/>
    </row>
    <row r="401" customFormat="false" ht="15" hidden="false" customHeight="false" outlineLevel="0" collapsed="false">
      <c r="A401" s="27"/>
      <c r="B401" s="5"/>
      <c r="C401" s="5"/>
      <c r="D401" s="35"/>
      <c r="E401" s="14"/>
      <c r="F401" s="18"/>
      <c r="G401" s="31" t="str">
        <f aca="false">IF(A401="","",IFERROR(IF(INDEX(Empresas!$C:$C,MATCH(A401,Empresas!$A:$A,0))="","",INDEX(Empresas!$C:$C,MATCH(A401,Empresas!$A:$A,0))),""))</f>
        <v/>
      </c>
      <c r="H401" s="18"/>
      <c r="I401" s="19" t="str">
        <f aca="false">IF(OR(F401="",G401=""),"",IF(F401-G401&lt;0,"CONTRATO ANTERIOR À ABERTURA — conferir datas",IF(F401-G401&lt;180,"ABERTA MENOS DE 6 MESES ANTES","")))</f>
        <v/>
      </c>
      <c r="J401" s="19" t="str">
        <f aca="false">IF(A401="","",IFERROR(INDEX(Sancoes!$B:$B,MATCH(A401,Sancoes!$A:$A,0))&amp;"","não consta"))</f>
        <v/>
      </c>
      <c r="K401" s="19" t="str">
        <f aca="false">IF(OR(A401="",F401=""),"",IF(SUMPRODUCT((Sancoes!$A$2:$A$301=A401)*(Sancoes!$B$2:$B$301&lt;&gt;"Não consta")*(Sancoes!$D$2:$D$301&lt;&gt;"")*(Sancoes!$D$2:$D$301&lt;=F401)*(((Sancoes!$E$2:$E$301="")+(Sancoes!$E$2:$E$301&gt;=F401))&gt;0))&gt;0,"SANÇÃO VIGENTE NA DATA — leia o tipo e a abrangência",""))</f>
        <v/>
      </c>
      <c r="L401" s="19" t="str">
        <f aca="false">IF(A401="","",IFERROR(INDEX(Empresas!$B:$B,MATCH(A401,Empresas!$A:$A,0))&amp;"","cadastre o CNPJ em Empresas"))</f>
        <v/>
      </c>
      <c r="M401" s="27"/>
      <c r="N401" s="35"/>
      <c r="O401" s="37" t="str">
        <f aca="false">IF(OR(D401="",D401=0,N401=""),"",N401/D401)</f>
        <v/>
      </c>
      <c r="P401" s="19" t="str">
        <f aca="false">IF(O401="","",IF(O401&gt;0.25,"ACRÉSCIMO ACIMA DE 25% — conferir",""))</f>
        <v/>
      </c>
      <c r="Q401" s="27"/>
      <c r="R401" s="5"/>
    </row>
    <row r="402" customFormat="false" ht="15" hidden="false" customHeight="false" outlineLevel="0" collapsed="false">
      <c r="A402" s="27"/>
      <c r="B402" s="5"/>
      <c r="C402" s="5"/>
      <c r="D402" s="35"/>
      <c r="E402" s="14"/>
      <c r="F402" s="18"/>
      <c r="G402" s="31" t="str">
        <f aca="false">IF(A402="","",IFERROR(IF(INDEX(Empresas!$C:$C,MATCH(A402,Empresas!$A:$A,0))="","",INDEX(Empresas!$C:$C,MATCH(A402,Empresas!$A:$A,0))),""))</f>
        <v/>
      </c>
      <c r="H402" s="18"/>
      <c r="I402" s="19" t="str">
        <f aca="false">IF(OR(F402="",G402=""),"",IF(F402-G402&lt;0,"CONTRATO ANTERIOR À ABERTURA — conferir datas",IF(F402-G402&lt;180,"ABERTA MENOS DE 6 MESES ANTES","")))</f>
        <v/>
      </c>
      <c r="J402" s="19" t="str">
        <f aca="false">IF(A402="","",IFERROR(INDEX(Sancoes!$B:$B,MATCH(A402,Sancoes!$A:$A,0))&amp;"","não consta"))</f>
        <v/>
      </c>
      <c r="K402" s="19" t="str">
        <f aca="false">IF(OR(A402="",F402=""),"",IF(SUMPRODUCT((Sancoes!$A$2:$A$301=A402)*(Sancoes!$B$2:$B$301&lt;&gt;"Não consta")*(Sancoes!$D$2:$D$301&lt;&gt;"")*(Sancoes!$D$2:$D$301&lt;=F402)*(((Sancoes!$E$2:$E$301="")+(Sancoes!$E$2:$E$301&gt;=F402))&gt;0))&gt;0,"SANÇÃO VIGENTE NA DATA — leia o tipo e a abrangência",""))</f>
        <v/>
      </c>
      <c r="L402" s="19" t="str">
        <f aca="false">IF(A402="","",IFERROR(INDEX(Empresas!$B:$B,MATCH(A402,Empresas!$A:$A,0))&amp;"","cadastre o CNPJ em Empresas"))</f>
        <v/>
      </c>
      <c r="M402" s="27"/>
      <c r="N402" s="35"/>
      <c r="O402" s="37" t="str">
        <f aca="false">IF(OR(D402="",D402=0,N402=""),"",N402/D402)</f>
        <v/>
      </c>
      <c r="P402" s="19" t="str">
        <f aca="false">IF(O402="","",IF(O402&gt;0.25,"ACRÉSCIMO ACIMA DE 25% — conferir",""))</f>
        <v/>
      </c>
      <c r="Q402" s="27"/>
      <c r="R402" s="5"/>
    </row>
    <row r="403" customFormat="false" ht="15" hidden="false" customHeight="false" outlineLevel="0" collapsed="false">
      <c r="A403" s="27"/>
      <c r="B403" s="5"/>
      <c r="C403" s="5"/>
      <c r="D403" s="35"/>
      <c r="E403" s="14"/>
      <c r="F403" s="18"/>
      <c r="G403" s="31" t="str">
        <f aca="false">IF(A403="","",IFERROR(IF(INDEX(Empresas!$C:$C,MATCH(A403,Empresas!$A:$A,0))="","",INDEX(Empresas!$C:$C,MATCH(A403,Empresas!$A:$A,0))),""))</f>
        <v/>
      </c>
      <c r="H403" s="18"/>
      <c r="I403" s="19" t="str">
        <f aca="false">IF(OR(F403="",G403=""),"",IF(F403-G403&lt;0,"CONTRATO ANTERIOR À ABERTURA — conferir datas",IF(F403-G403&lt;180,"ABERTA MENOS DE 6 MESES ANTES","")))</f>
        <v/>
      </c>
      <c r="J403" s="19" t="str">
        <f aca="false">IF(A403="","",IFERROR(INDEX(Sancoes!$B:$B,MATCH(A403,Sancoes!$A:$A,0))&amp;"","não consta"))</f>
        <v/>
      </c>
      <c r="K403" s="19" t="str">
        <f aca="false">IF(OR(A403="",F403=""),"",IF(SUMPRODUCT((Sancoes!$A$2:$A$301=A403)*(Sancoes!$B$2:$B$301&lt;&gt;"Não consta")*(Sancoes!$D$2:$D$301&lt;&gt;"")*(Sancoes!$D$2:$D$301&lt;=F403)*(((Sancoes!$E$2:$E$301="")+(Sancoes!$E$2:$E$301&gt;=F403))&gt;0))&gt;0,"SANÇÃO VIGENTE NA DATA — leia o tipo e a abrangência",""))</f>
        <v/>
      </c>
      <c r="L403" s="19" t="str">
        <f aca="false">IF(A403="","",IFERROR(INDEX(Empresas!$B:$B,MATCH(A403,Empresas!$A:$A,0))&amp;"","cadastre o CNPJ em Empresas"))</f>
        <v/>
      </c>
      <c r="M403" s="27"/>
      <c r="N403" s="35"/>
      <c r="O403" s="37" t="str">
        <f aca="false">IF(OR(D403="",D403=0,N403=""),"",N403/D403)</f>
        <v/>
      </c>
      <c r="P403" s="19" t="str">
        <f aca="false">IF(O403="","",IF(O403&gt;0.25,"ACRÉSCIMO ACIMA DE 25% — conferir",""))</f>
        <v/>
      </c>
      <c r="Q403" s="27"/>
      <c r="R403" s="5"/>
    </row>
    <row r="404" customFormat="false" ht="15" hidden="false" customHeight="false" outlineLevel="0" collapsed="false">
      <c r="A404" s="27"/>
      <c r="B404" s="5"/>
      <c r="C404" s="5"/>
      <c r="D404" s="35"/>
      <c r="E404" s="14"/>
      <c r="F404" s="18"/>
      <c r="G404" s="31" t="str">
        <f aca="false">IF(A404="","",IFERROR(IF(INDEX(Empresas!$C:$C,MATCH(A404,Empresas!$A:$A,0))="","",INDEX(Empresas!$C:$C,MATCH(A404,Empresas!$A:$A,0))),""))</f>
        <v/>
      </c>
      <c r="H404" s="18"/>
      <c r="I404" s="19" t="str">
        <f aca="false">IF(OR(F404="",G404=""),"",IF(F404-G404&lt;0,"CONTRATO ANTERIOR À ABERTURA — conferir datas",IF(F404-G404&lt;180,"ABERTA MENOS DE 6 MESES ANTES","")))</f>
        <v/>
      </c>
      <c r="J404" s="19" t="str">
        <f aca="false">IF(A404="","",IFERROR(INDEX(Sancoes!$B:$B,MATCH(A404,Sancoes!$A:$A,0))&amp;"","não consta"))</f>
        <v/>
      </c>
      <c r="K404" s="19" t="str">
        <f aca="false">IF(OR(A404="",F404=""),"",IF(SUMPRODUCT((Sancoes!$A$2:$A$301=A404)*(Sancoes!$B$2:$B$301&lt;&gt;"Não consta")*(Sancoes!$D$2:$D$301&lt;&gt;"")*(Sancoes!$D$2:$D$301&lt;=F404)*(((Sancoes!$E$2:$E$301="")+(Sancoes!$E$2:$E$301&gt;=F404))&gt;0))&gt;0,"SANÇÃO VIGENTE NA DATA — leia o tipo e a abrangência",""))</f>
        <v/>
      </c>
      <c r="L404" s="19" t="str">
        <f aca="false">IF(A404="","",IFERROR(INDEX(Empresas!$B:$B,MATCH(A404,Empresas!$A:$A,0))&amp;"","cadastre o CNPJ em Empresas"))</f>
        <v/>
      </c>
      <c r="M404" s="27"/>
      <c r="N404" s="35"/>
      <c r="O404" s="37" t="str">
        <f aca="false">IF(OR(D404="",D404=0,N404=""),"",N404/D404)</f>
        <v/>
      </c>
      <c r="P404" s="19" t="str">
        <f aca="false">IF(O404="","",IF(O404&gt;0.25,"ACRÉSCIMO ACIMA DE 25% — conferir",""))</f>
        <v/>
      </c>
      <c r="Q404" s="27"/>
      <c r="R404" s="5"/>
    </row>
    <row r="405" customFormat="false" ht="15" hidden="false" customHeight="false" outlineLevel="0" collapsed="false">
      <c r="A405" s="27"/>
      <c r="B405" s="5"/>
      <c r="C405" s="5"/>
      <c r="D405" s="35"/>
      <c r="E405" s="14"/>
      <c r="F405" s="18"/>
      <c r="G405" s="31" t="str">
        <f aca="false">IF(A405="","",IFERROR(IF(INDEX(Empresas!$C:$C,MATCH(A405,Empresas!$A:$A,0))="","",INDEX(Empresas!$C:$C,MATCH(A405,Empresas!$A:$A,0))),""))</f>
        <v/>
      </c>
      <c r="H405" s="18"/>
      <c r="I405" s="19" t="str">
        <f aca="false">IF(OR(F405="",G405=""),"",IF(F405-G405&lt;0,"CONTRATO ANTERIOR À ABERTURA — conferir datas",IF(F405-G405&lt;180,"ABERTA MENOS DE 6 MESES ANTES","")))</f>
        <v/>
      </c>
      <c r="J405" s="19" t="str">
        <f aca="false">IF(A405="","",IFERROR(INDEX(Sancoes!$B:$B,MATCH(A405,Sancoes!$A:$A,0))&amp;"","não consta"))</f>
        <v/>
      </c>
      <c r="K405" s="19" t="str">
        <f aca="false">IF(OR(A405="",F405=""),"",IF(SUMPRODUCT((Sancoes!$A$2:$A$301=A405)*(Sancoes!$B$2:$B$301&lt;&gt;"Não consta")*(Sancoes!$D$2:$D$301&lt;&gt;"")*(Sancoes!$D$2:$D$301&lt;=F405)*(((Sancoes!$E$2:$E$301="")+(Sancoes!$E$2:$E$301&gt;=F405))&gt;0))&gt;0,"SANÇÃO VIGENTE NA DATA — leia o tipo e a abrangência",""))</f>
        <v/>
      </c>
      <c r="L405" s="19" t="str">
        <f aca="false">IF(A405="","",IFERROR(INDEX(Empresas!$B:$B,MATCH(A405,Empresas!$A:$A,0))&amp;"","cadastre o CNPJ em Empresas"))</f>
        <v/>
      </c>
      <c r="M405" s="27"/>
      <c r="N405" s="35"/>
      <c r="O405" s="37" t="str">
        <f aca="false">IF(OR(D405="",D405=0,N405=""),"",N405/D405)</f>
        <v/>
      </c>
      <c r="P405" s="19" t="str">
        <f aca="false">IF(O405="","",IF(O405&gt;0.25,"ACRÉSCIMO ACIMA DE 25% — conferir",""))</f>
        <v/>
      </c>
      <c r="Q405" s="27"/>
      <c r="R405" s="5"/>
    </row>
    <row r="406" customFormat="false" ht="15" hidden="false" customHeight="false" outlineLevel="0" collapsed="false">
      <c r="A406" s="27"/>
      <c r="B406" s="5"/>
      <c r="C406" s="5"/>
      <c r="D406" s="35"/>
      <c r="E406" s="14"/>
      <c r="F406" s="18"/>
      <c r="G406" s="31" t="str">
        <f aca="false">IF(A406="","",IFERROR(IF(INDEX(Empresas!$C:$C,MATCH(A406,Empresas!$A:$A,0))="","",INDEX(Empresas!$C:$C,MATCH(A406,Empresas!$A:$A,0))),""))</f>
        <v/>
      </c>
      <c r="H406" s="18"/>
      <c r="I406" s="19" t="str">
        <f aca="false">IF(OR(F406="",G406=""),"",IF(F406-G406&lt;0,"CONTRATO ANTERIOR À ABERTURA — conferir datas",IF(F406-G406&lt;180,"ABERTA MENOS DE 6 MESES ANTES","")))</f>
        <v/>
      </c>
      <c r="J406" s="19" t="str">
        <f aca="false">IF(A406="","",IFERROR(INDEX(Sancoes!$B:$B,MATCH(A406,Sancoes!$A:$A,0))&amp;"","não consta"))</f>
        <v/>
      </c>
      <c r="K406" s="19" t="str">
        <f aca="false">IF(OR(A406="",F406=""),"",IF(SUMPRODUCT((Sancoes!$A$2:$A$301=A406)*(Sancoes!$B$2:$B$301&lt;&gt;"Não consta")*(Sancoes!$D$2:$D$301&lt;&gt;"")*(Sancoes!$D$2:$D$301&lt;=F406)*(((Sancoes!$E$2:$E$301="")+(Sancoes!$E$2:$E$301&gt;=F406))&gt;0))&gt;0,"SANÇÃO VIGENTE NA DATA — leia o tipo e a abrangência",""))</f>
        <v/>
      </c>
      <c r="L406" s="19" t="str">
        <f aca="false">IF(A406="","",IFERROR(INDEX(Empresas!$B:$B,MATCH(A406,Empresas!$A:$A,0))&amp;"","cadastre o CNPJ em Empresas"))</f>
        <v/>
      </c>
      <c r="M406" s="27"/>
      <c r="N406" s="35"/>
      <c r="O406" s="37" t="str">
        <f aca="false">IF(OR(D406="",D406=0,N406=""),"",N406/D406)</f>
        <v/>
      </c>
      <c r="P406" s="19" t="str">
        <f aca="false">IF(O406="","",IF(O406&gt;0.25,"ACRÉSCIMO ACIMA DE 25% — conferir",""))</f>
        <v/>
      </c>
      <c r="Q406" s="27"/>
      <c r="R406" s="5"/>
    </row>
    <row r="407" customFormat="false" ht="15" hidden="false" customHeight="false" outlineLevel="0" collapsed="false">
      <c r="A407" s="27"/>
      <c r="B407" s="5"/>
      <c r="C407" s="5"/>
      <c r="D407" s="35"/>
      <c r="E407" s="14"/>
      <c r="F407" s="18"/>
      <c r="G407" s="31" t="str">
        <f aca="false">IF(A407="","",IFERROR(IF(INDEX(Empresas!$C:$C,MATCH(A407,Empresas!$A:$A,0))="","",INDEX(Empresas!$C:$C,MATCH(A407,Empresas!$A:$A,0))),""))</f>
        <v/>
      </c>
      <c r="H407" s="18"/>
      <c r="I407" s="19" t="str">
        <f aca="false">IF(OR(F407="",G407=""),"",IF(F407-G407&lt;0,"CONTRATO ANTERIOR À ABERTURA — conferir datas",IF(F407-G407&lt;180,"ABERTA MENOS DE 6 MESES ANTES","")))</f>
        <v/>
      </c>
      <c r="J407" s="19" t="str">
        <f aca="false">IF(A407="","",IFERROR(INDEX(Sancoes!$B:$B,MATCH(A407,Sancoes!$A:$A,0))&amp;"","não consta"))</f>
        <v/>
      </c>
      <c r="K407" s="19" t="str">
        <f aca="false">IF(OR(A407="",F407=""),"",IF(SUMPRODUCT((Sancoes!$A$2:$A$301=A407)*(Sancoes!$B$2:$B$301&lt;&gt;"Não consta")*(Sancoes!$D$2:$D$301&lt;&gt;"")*(Sancoes!$D$2:$D$301&lt;=F407)*(((Sancoes!$E$2:$E$301="")+(Sancoes!$E$2:$E$301&gt;=F407))&gt;0))&gt;0,"SANÇÃO VIGENTE NA DATA — leia o tipo e a abrangência",""))</f>
        <v/>
      </c>
      <c r="L407" s="19" t="str">
        <f aca="false">IF(A407="","",IFERROR(INDEX(Empresas!$B:$B,MATCH(A407,Empresas!$A:$A,0))&amp;"","cadastre o CNPJ em Empresas"))</f>
        <v/>
      </c>
      <c r="M407" s="27"/>
      <c r="N407" s="35"/>
      <c r="O407" s="37" t="str">
        <f aca="false">IF(OR(D407="",D407=0,N407=""),"",N407/D407)</f>
        <v/>
      </c>
      <c r="P407" s="19" t="str">
        <f aca="false">IF(O407="","",IF(O407&gt;0.25,"ACRÉSCIMO ACIMA DE 25% — conferir",""))</f>
        <v/>
      </c>
      <c r="Q407" s="27"/>
      <c r="R407" s="5"/>
    </row>
    <row r="408" customFormat="false" ht="15" hidden="false" customHeight="false" outlineLevel="0" collapsed="false">
      <c r="A408" s="27"/>
      <c r="B408" s="5"/>
      <c r="C408" s="5"/>
      <c r="D408" s="35"/>
      <c r="E408" s="14"/>
      <c r="F408" s="18"/>
      <c r="G408" s="31" t="str">
        <f aca="false">IF(A408="","",IFERROR(IF(INDEX(Empresas!$C:$C,MATCH(A408,Empresas!$A:$A,0))="","",INDEX(Empresas!$C:$C,MATCH(A408,Empresas!$A:$A,0))),""))</f>
        <v/>
      </c>
      <c r="H408" s="18"/>
      <c r="I408" s="19" t="str">
        <f aca="false">IF(OR(F408="",G408=""),"",IF(F408-G408&lt;0,"CONTRATO ANTERIOR À ABERTURA — conferir datas",IF(F408-G408&lt;180,"ABERTA MENOS DE 6 MESES ANTES","")))</f>
        <v/>
      </c>
      <c r="J408" s="19" t="str">
        <f aca="false">IF(A408="","",IFERROR(INDEX(Sancoes!$B:$B,MATCH(A408,Sancoes!$A:$A,0))&amp;"","não consta"))</f>
        <v/>
      </c>
      <c r="K408" s="19" t="str">
        <f aca="false">IF(OR(A408="",F408=""),"",IF(SUMPRODUCT((Sancoes!$A$2:$A$301=A408)*(Sancoes!$B$2:$B$301&lt;&gt;"Não consta")*(Sancoes!$D$2:$D$301&lt;&gt;"")*(Sancoes!$D$2:$D$301&lt;=F408)*(((Sancoes!$E$2:$E$301="")+(Sancoes!$E$2:$E$301&gt;=F408))&gt;0))&gt;0,"SANÇÃO VIGENTE NA DATA — leia o tipo e a abrangência",""))</f>
        <v/>
      </c>
      <c r="L408" s="19" t="str">
        <f aca="false">IF(A408="","",IFERROR(INDEX(Empresas!$B:$B,MATCH(A408,Empresas!$A:$A,0))&amp;"","cadastre o CNPJ em Empresas"))</f>
        <v/>
      </c>
      <c r="M408" s="27"/>
      <c r="N408" s="35"/>
      <c r="O408" s="37" t="str">
        <f aca="false">IF(OR(D408="",D408=0,N408=""),"",N408/D408)</f>
        <v/>
      </c>
      <c r="P408" s="19" t="str">
        <f aca="false">IF(O408="","",IF(O408&gt;0.25,"ACRÉSCIMO ACIMA DE 25% — conferir",""))</f>
        <v/>
      </c>
      <c r="Q408" s="27"/>
      <c r="R408" s="5"/>
    </row>
    <row r="409" customFormat="false" ht="15" hidden="false" customHeight="false" outlineLevel="0" collapsed="false">
      <c r="A409" s="27"/>
      <c r="B409" s="5"/>
      <c r="C409" s="5"/>
      <c r="D409" s="35"/>
      <c r="E409" s="14"/>
      <c r="F409" s="18"/>
      <c r="G409" s="31" t="str">
        <f aca="false">IF(A409="","",IFERROR(IF(INDEX(Empresas!$C:$C,MATCH(A409,Empresas!$A:$A,0))="","",INDEX(Empresas!$C:$C,MATCH(A409,Empresas!$A:$A,0))),""))</f>
        <v/>
      </c>
      <c r="H409" s="18"/>
      <c r="I409" s="19" t="str">
        <f aca="false">IF(OR(F409="",G409=""),"",IF(F409-G409&lt;0,"CONTRATO ANTERIOR À ABERTURA — conferir datas",IF(F409-G409&lt;180,"ABERTA MENOS DE 6 MESES ANTES","")))</f>
        <v/>
      </c>
      <c r="J409" s="19" t="str">
        <f aca="false">IF(A409="","",IFERROR(INDEX(Sancoes!$B:$B,MATCH(A409,Sancoes!$A:$A,0))&amp;"","não consta"))</f>
        <v/>
      </c>
      <c r="K409" s="19" t="str">
        <f aca="false">IF(OR(A409="",F409=""),"",IF(SUMPRODUCT((Sancoes!$A$2:$A$301=A409)*(Sancoes!$B$2:$B$301&lt;&gt;"Não consta")*(Sancoes!$D$2:$D$301&lt;&gt;"")*(Sancoes!$D$2:$D$301&lt;=F409)*(((Sancoes!$E$2:$E$301="")+(Sancoes!$E$2:$E$301&gt;=F409))&gt;0))&gt;0,"SANÇÃO VIGENTE NA DATA — leia o tipo e a abrangência",""))</f>
        <v/>
      </c>
      <c r="L409" s="19" t="str">
        <f aca="false">IF(A409="","",IFERROR(INDEX(Empresas!$B:$B,MATCH(A409,Empresas!$A:$A,0))&amp;"","cadastre o CNPJ em Empresas"))</f>
        <v/>
      </c>
      <c r="M409" s="27"/>
      <c r="N409" s="35"/>
      <c r="O409" s="37" t="str">
        <f aca="false">IF(OR(D409="",D409=0,N409=""),"",N409/D409)</f>
        <v/>
      </c>
      <c r="P409" s="19" t="str">
        <f aca="false">IF(O409="","",IF(O409&gt;0.25,"ACRÉSCIMO ACIMA DE 25% — conferir",""))</f>
        <v/>
      </c>
      <c r="Q409" s="27"/>
      <c r="R409" s="5"/>
    </row>
    <row r="410" customFormat="false" ht="15" hidden="false" customHeight="false" outlineLevel="0" collapsed="false">
      <c r="A410" s="27"/>
      <c r="B410" s="5"/>
      <c r="C410" s="5"/>
      <c r="D410" s="35"/>
      <c r="E410" s="14"/>
      <c r="F410" s="18"/>
      <c r="G410" s="31" t="str">
        <f aca="false">IF(A410="","",IFERROR(IF(INDEX(Empresas!$C:$C,MATCH(A410,Empresas!$A:$A,0))="","",INDEX(Empresas!$C:$C,MATCH(A410,Empresas!$A:$A,0))),""))</f>
        <v/>
      </c>
      <c r="H410" s="18"/>
      <c r="I410" s="19" t="str">
        <f aca="false">IF(OR(F410="",G410=""),"",IF(F410-G410&lt;0,"CONTRATO ANTERIOR À ABERTURA — conferir datas",IF(F410-G410&lt;180,"ABERTA MENOS DE 6 MESES ANTES","")))</f>
        <v/>
      </c>
      <c r="J410" s="19" t="str">
        <f aca="false">IF(A410="","",IFERROR(INDEX(Sancoes!$B:$B,MATCH(A410,Sancoes!$A:$A,0))&amp;"","não consta"))</f>
        <v/>
      </c>
      <c r="K410" s="19" t="str">
        <f aca="false">IF(OR(A410="",F410=""),"",IF(SUMPRODUCT((Sancoes!$A$2:$A$301=A410)*(Sancoes!$B$2:$B$301&lt;&gt;"Não consta")*(Sancoes!$D$2:$D$301&lt;&gt;"")*(Sancoes!$D$2:$D$301&lt;=F410)*(((Sancoes!$E$2:$E$301="")+(Sancoes!$E$2:$E$301&gt;=F410))&gt;0))&gt;0,"SANÇÃO VIGENTE NA DATA — leia o tipo e a abrangência",""))</f>
        <v/>
      </c>
      <c r="L410" s="19" t="str">
        <f aca="false">IF(A410="","",IFERROR(INDEX(Empresas!$B:$B,MATCH(A410,Empresas!$A:$A,0))&amp;"","cadastre o CNPJ em Empresas"))</f>
        <v/>
      </c>
      <c r="M410" s="27"/>
      <c r="N410" s="35"/>
      <c r="O410" s="37" t="str">
        <f aca="false">IF(OR(D410="",D410=0,N410=""),"",N410/D410)</f>
        <v/>
      </c>
      <c r="P410" s="19" t="str">
        <f aca="false">IF(O410="","",IF(O410&gt;0.25,"ACRÉSCIMO ACIMA DE 25% — conferir",""))</f>
        <v/>
      </c>
      <c r="Q410" s="27"/>
      <c r="R410" s="5"/>
    </row>
    <row r="411" customFormat="false" ht="15" hidden="false" customHeight="false" outlineLevel="0" collapsed="false">
      <c r="A411" s="27"/>
      <c r="B411" s="5"/>
      <c r="C411" s="5"/>
      <c r="D411" s="35"/>
      <c r="E411" s="14"/>
      <c r="F411" s="18"/>
      <c r="G411" s="31" t="str">
        <f aca="false">IF(A411="","",IFERROR(IF(INDEX(Empresas!$C:$C,MATCH(A411,Empresas!$A:$A,0))="","",INDEX(Empresas!$C:$C,MATCH(A411,Empresas!$A:$A,0))),""))</f>
        <v/>
      </c>
      <c r="H411" s="18"/>
      <c r="I411" s="19" t="str">
        <f aca="false">IF(OR(F411="",G411=""),"",IF(F411-G411&lt;0,"CONTRATO ANTERIOR À ABERTURA — conferir datas",IF(F411-G411&lt;180,"ABERTA MENOS DE 6 MESES ANTES","")))</f>
        <v/>
      </c>
      <c r="J411" s="19" t="str">
        <f aca="false">IF(A411="","",IFERROR(INDEX(Sancoes!$B:$B,MATCH(A411,Sancoes!$A:$A,0))&amp;"","não consta"))</f>
        <v/>
      </c>
      <c r="K411" s="19" t="str">
        <f aca="false">IF(OR(A411="",F411=""),"",IF(SUMPRODUCT((Sancoes!$A$2:$A$301=A411)*(Sancoes!$B$2:$B$301&lt;&gt;"Não consta")*(Sancoes!$D$2:$D$301&lt;&gt;"")*(Sancoes!$D$2:$D$301&lt;=F411)*(((Sancoes!$E$2:$E$301="")+(Sancoes!$E$2:$E$301&gt;=F411))&gt;0))&gt;0,"SANÇÃO VIGENTE NA DATA — leia o tipo e a abrangência",""))</f>
        <v/>
      </c>
      <c r="L411" s="19" t="str">
        <f aca="false">IF(A411="","",IFERROR(INDEX(Empresas!$B:$B,MATCH(A411,Empresas!$A:$A,0))&amp;"","cadastre o CNPJ em Empresas"))</f>
        <v/>
      </c>
      <c r="M411" s="27"/>
      <c r="N411" s="35"/>
      <c r="O411" s="37" t="str">
        <f aca="false">IF(OR(D411="",D411=0,N411=""),"",N411/D411)</f>
        <v/>
      </c>
      <c r="P411" s="19" t="str">
        <f aca="false">IF(O411="","",IF(O411&gt;0.25,"ACRÉSCIMO ACIMA DE 25% — conferir",""))</f>
        <v/>
      </c>
      <c r="Q411" s="27"/>
      <c r="R411" s="5"/>
    </row>
    <row r="412" customFormat="false" ht="15" hidden="false" customHeight="false" outlineLevel="0" collapsed="false">
      <c r="A412" s="27"/>
      <c r="B412" s="5"/>
      <c r="C412" s="5"/>
      <c r="D412" s="35"/>
      <c r="E412" s="14"/>
      <c r="F412" s="18"/>
      <c r="G412" s="31" t="str">
        <f aca="false">IF(A412="","",IFERROR(IF(INDEX(Empresas!$C:$C,MATCH(A412,Empresas!$A:$A,0))="","",INDEX(Empresas!$C:$C,MATCH(A412,Empresas!$A:$A,0))),""))</f>
        <v/>
      </c>
      <c r="H412" s="18"/>
      <c r="I412" s="19" t="str">
        <f aca="false">IF(OR(F412="",G412=""),"",IF(F412-G412&lt;0,"CONTRATO ANTERIOR À ABERTURA — conferir datas",IF(F412-G412&lt;180,"ABERTA MENOS DE 6 MESES ANTES","")))</f>
        <v/>
      </c>
      <c r="J412" s="19" t="str">
        <f aca="false">IF(A412="","",IFERROR(INDEX(Sancoes!$B:$B,MATCH(A412,Sancoes!$A:$A,0))&amp;"","não consta"))</f>
        <v/>
      </c>
      <c r="K412" s="19" t="str">
        <f aca="false">IF(OR(A412="",F412=""),"",IF(SUMPRODUCT((Sancoes!$A$2:$A$301=A412)*(Sancoes!$B$2:$B$301&lt;&gt;"Não consta")*(Sancoes!$D$2:$D$301&lt;&gt;"")*(Sancoes!$D$2:$D$301&lt;=F412)*(((Sancoes!$E$2:$E$301="")+(Sancoes!$E$2:$E$301&gt;=F412))&gt;0))&gt;0,"SANÇÃO VIGENTE NA DATA — leia o tipo e a abrangência",""))</f>
        <v/>
      </c>
      <c r="L412" s="19" t="str">
        <f aca="false">IF(A412="","",IFERROR(INDEX(Empresas!$B:$B,MATCH(A412,Empresas!$A:$A,0))&amp;"","cadastre o CNPJ em Empresas"))</f>
        <v/>
      </c>
      <c r="M412" s="27"/>
      <c r="N412" s="35"/>
      <c r="O412" s="37" t="str">
        <f aca="false">IF(OR(D412="",D412=0,N412=""),"",N412/D412)</f>
        <v/>
      </c>
      <c r="P412" s="19" t="str">
        <f aca="false">IF(O412="","",IF(O412&gt;0.25,"ACRÉSCIMO ACIMA DE 25% — conferir",""))</f>
        <v/>
      </c>
      <c r="Q412" s="27"/>
      <c r="R412" s="5"/>
    </row>
    <row r="413" customFormat="false" ht="15" hidden="false" customHeight="false" outlineLevel="0" collapsed="false">
      <c r="A413" s="27"/>
      <c r="B413" s="5"/>
      <c r="C413" s="5"/>
      <c r="D413" s="35"/>
      <c r="E413" s="14"/>
      <c r="F413" s="18"/>
      <c r="G413" s="31" t="str">
        <f aca="false">IF(A413="","",IFERROR(IF(INDEX(Empresas!$C:$C,MATCH(A413,Empresas!$A:$A,0))="","",INDEX(Empresas!$C:$C,MATCH(A413,Empresas!$A:$A,0))),""))</f>
        <v/>
      </c>
      <c r="H413" s="18"/>
      <c r="I413" s="19" t="str">
        <f aca="false">IF(OR(F413="",G413=""),"",IF(F413-G413&lt;0,"CONTRATO ANTERIOR À ABERTURA — conferir datas",IF(F413-G413&lt;180,"ABERTA MENOS DE 6 MESES ANTES","")))</f>
        <v/>
      </c>
      <c r="J413" s="19" t="str">
        <f aca="false">IF(A413="","",IFERROR(INDEX(Sancoes!$B:$B,MATCH(A413,Sancoes!$A:$A,0))&amp;"","não consta"))</f>
        <v/>
      </c>
      <c r="K413" s="19" t="str">
        <f aca="false">IF(OR(A413="",F413=""),"",IF(SUMPRODUCT((Sancoes!$A$2:$A$301=A413)*(Sancoes!$B$2:$B$301&lt;&gt;"Não consta")*(Sancoes!$D$2:$D$301&lt;&gt;"")*(Sancoes!$D$2:$D$301&lt;=F413)*(((Sancoes!$E$2:$E$301="")+(Sancoes!$E$2:$E$301&gt;=F413))&gt;0))&gt;0,"SANÇÃO VIGENTE NA DATA — leia o tipo e a abrangência",""))</f>
        <v/>
      </c>
      <c r="L413" s="19" t="str">
        <f aca="false">IF(A413="","",IFERROR(INDEX(Empresas!$B:$B,MATCH(A413,Empresas!$A:$A,0))&amp;"","cadastre o CNPJ em Empresas"))</f>
        <v/>
      </c>
      <c r="M413" s="27"/>
      <c r="N413" s="35"/>
      <c r="O413" s="37" t="str">
        <f aca="false">IF(OR(D413="",D413=0,N413=""),"",N413/D413)</f>
        <v/>
      </c>
      <c r="P413" s="19" t="str">
        <f aca="false">IF(O413="","",IF(O413&gt;0.25,"ACRÉSCIMO ACIMA DE 25% — conferir",""))</f>
        <v/>
      </c>
      <c r="Q413" s="27"/>
      <c r="R413" s="5"/>
    </row>
    <row r="414" customFormat="false" ht="15" hidden="false" customHeight="false" outlineLevel="0" collapsed="false">
      <c r="A414" s="27"/>
      <c r="B414" s="5"/>
      <c r="C414" s="5"/>
      <c r="D414" s="35"/>
      <c r="E414" s="14"/>
      <c r="F414" s="18"/>
      <c r="G414" s="31" t="str">
        <f aca="false">IF(A414="","",IFERROR(IF(INDEX(Empresas!$C:$C,MATCH(A414,Empresas!$A:$A,0))="","",INDEX(Empresas!$C:$C,MATCH(A414,Empresas!$A:$A,0))),""))</f>
        <v/>
      </c>
      <c r="H414" s="18"/>
      <c r="I414" s="19" t="str">
        <f aca="false">IF(OR(F414="",G414=""),"",IF(F414-G414&lt;0,"CONTRATO ANTERIOR À ABERTURA — conferir datas",IF(F414-G414&lt;180,"ABERTA MENOS DE 6 MESES ANTES","")))</f>
        <v/>
      </c>
      <c r="J414" s="19" t="str">
        <f aca="false">IF(A414="","",IFERROR(INDEX(Sancoes!$B:$B,MATCH(A414,Sancoes!$A:$A,0))&amp;"","não consta"))</f>
        <v/>
      </c>
      <c r="K414" s="19" t="str">
        <f aca="false">IF(OR(A414="",F414=""),"",IF(SUMPRODUCT((Sancoes!$A$2:$A$301=A414)*(Sancoes!$B$2:$B$301&lt;&gt;"Não consta")*(Sancoes!$D$2:$D$301&lt;&gt;"")*(Sancoes!$D$2:$D$301&lt;=F414)*(((Sancoes!$E$2:$E$301="")+(Sancoes!$E$2:$E$301&gt;=F414))&gt;0))&gt;0,"SANÇÃO VIGENTE NA DATA — leia o tipo e a abrangência",""))</f>
        <v/>
      </c>
      <c r="L414" s="19" t="str">
        <f aca="false">IF(A414="","",IFERROR(INDEX(Empresas!$B:$B,MATCH(A414,Empresas!$A:$A,0))&amp;"","cadastre o CNPJ em Empresas"))</f>
        <v/>
      </c>
      <c r="M414" s="27"/>
      <c r="N414" s="35"/>
      <c r="O414" s="37" t="str">
        <f aca="false">IF(OR(D414="",D414=0,N414=""),"",N414/D414)</f>
        <v/>
      </c>
      <c r="P414" s="19" t="str">
        <f aca="false">IF(O414="","",IF(O414&gt;0.25,"ACRÉSCIMO ACIMA DE 25% — conferir",""))</f>
        <v/>
      </c>
      <c r="Q414" s="27"/>
      <c r="R414" s="5"/>
    </row>
    <row r="415" customFormat="false" ht="15" hidden="false" customHeight="false" outlineLevel="0" collapsed="false">
      <c r="A415" s="27"/>
      <c r="B415" s="5"/>
      <c r="C415" s="5"/>
      <c r="D415" s="35"/>
      <c r="E415" s="14"/>
      <c r="F415" s="18"/>
      <c r="G415" s="31" t="str">
        <f aca="false">IF(A415="","",IFERROR(IF(INDEX(Empresas!$C:$C,MATCH(A415,Empresas!$A:$A,0))="","",INDEX(Empresas!$C:$C,MATCH(A415,Empresas!$A:$A,0))),""))</f>
        <v/>
      </c>
      <c r="H415" s="18"/>
      <c r="I415" s="19" t="str">
        <f aca="false">IF(OR(F415="",G415=""),"",IF(F415-G415&lt;0,"CONTRATO ANTERIOR À ABERTURA — conferir datas",IF(F415-G415&lt;180,"ABERTA MENOS DE 6 MESES ANTES","")))</f>
        <v/>
      </c>
      <c r="J415" s="19" t="str">
        <f aca="false">IF(A415="","",IFERROR(INDEX(Sancoes!$B:$B,MATCH(A415,Sancoes!$A:$A,0))&amp;"","não consta"))</f>
        <v/>
      </c>
      <c r="K415" s="19" t="str">
        <f aca="false">IF(OR(A415="",F415=""),"",IF(SUMPRODUCT((Sancoes!$A$2:$A$301=A415)*(Sancoes!$B$2:$B$301&lt;&gt;"Não consta")*(Sancoes!$D$2:$D$301&lt;&gt;"")*(Sancoes!$D$2:$D$301&lt;=F415)*(((Sancoes!$E$2:$E$301="")+(Sancoes!$E$2:$E$301&gt;=F415))&gt;0))&gt;0,"SANÇÃO VIGENTE NA DATA — leia o tipo e a abrangência",""))</f>
        <v/>
      </c>
      <c r="L415" s="19" t="str">
        <f aca="false">IF(A415="","",IFERROR(INDEX(Empresas!$B:$B,MATCH(A415,Empresas!$A:$A,0))&amp;"","cadastre o CNPJ em Empresas"))</f>
        <v/>
      </c>
      <c r="M415" s="27"/>
      <c r="N415" s="35"/>
      <c r="O415" s="37" t="str">
        <f aca="false">IF(OR(D415="",D415=0,N415=""),"",N415/D415)</f>
        <v/>
      </c>
      <c r="P415" s="19" t="str">
        <f aca="false">IF(O415="","",IF(O415&gt;0.25,"ACRÉSCIMO ACIMA DE 25% — conferir",""))</f>
        <v/>
      </c>
      <c r="Q415" s="27"/>
      <c r="R415" s="5"/>
    </row>
    <row r="416" customFormat="false" ht="15" hidden="false" customHeight="false" outlineLevel="0" collapsed="false">
      <c r="A416" s="27"/>
      <c r="B416" s="5"/>
      <c r="C416" s="5"/>
      <c r="D416" s="35"/>
      <c r="E416" s="14"/>
      <c r="F416" s="18"/>
      <c r="G416" s="31" t="str">
        <f aca="false">IF(A416="","",IFERROR(IF(INDEX(Empresas!$C:$C,MATCH(A416,Empresas!$A:$A,0))="","",INDEX(Empresas!$C:$C,MATCH(A416,Empresas!$A:$A,0))),""))</f>
        <v/>
      </c>
      <c r="H416" s="18"/>
      <c r="I416" s="19" t="str">
        <f aca="false">IF(OR(F416="",G416=""),"",IF(F416-G416&lt;0,"CONTRATO ANTERIOR À ABERTURA — conferir datas",IF(F416-G416&lt;180,"ABERTA MENOS DE 6 MESES ANTES","")))</f>
        <v/>
      </c>
      <c r="J416" s="19" t="str">
        <f aca="false">IF(A416="","",IFERROR(INDEX(Sancoes!$B:$B,MATCH(A416,Sancoes!$A:$A,0))&amp;"","não consta"))</f>
        <v/>
      </c>
      <c r="K416" s="19" t="str">
        <f aca="false">IF(OR(A416="",F416=""),"",IF(SUMPRODUCT((Sancoes!$A$2:$A$301=A416)*(Sancoes!$B$2:$B$301&lt;&gt;"Não consta")*(Sancoes!$D$2:$D$301&lt;&gt;"")*(Sancoes!$D$2:$D$301&lt;=F416)*(((Sancoes!$E$2:$E$301="")+(Sancoes!$E$2:$E$301&gt;=F416))&gt;0))&gt;0,"SANÇÃO VIGENTE NA DATA — leia o tipo e a abrangência",""))</f>
        <v/>
      </c>
      <c r="L416" s="19" t="str">
        <f aca="false">IF(A416="","",IFERROR(INDEX(Empresas!$B:$B,MATCH(A416,Empresas!$A:$A,0))&amp;"","cadastre o CNPJ em Empresas"))</f>
        <v/>
      </c>
      <c r="M416" s="27"/>
      <c r="N416" s="35"/>
      <c r="O416" s="37" t="str">
        <f aca="false">IF(OR(D416="",D416=0,N416=""),"",N416/D416)</f>
        <v/>
      </c>
      <c r="P416" s="19" t="str">
        <f aca="false">IF(O416="","",IF(O416&gt;0.25,"ACRÉSCIMO ACIMA DE 25% — conferir",""))</f>
        <v/>
      </c>
      <c r="Q416" s="27"/>
      <c r="R416" s="5"/>
    </row>
    <row r="417" customFormat="false" ht="15" hidden="false" customHeight="false" outlineLevel="0" collapsed="false">
      <c r="A417" s="27"/>
      <c r="B417" s="5"/>
      <c r="C417" s="5"/>
      <c r="D417" s="35"/>
      <c r="E417" s="14"/>
      <c r="F417" s="18"/>
      <c r="G417" s="31" t="str">
        <f aca="false">IF(A417="","",IFERROR(IF(INDEX(Empresas!$C:$C,MATCH(A417,Empresas!$A:$A,0))="","",INDEX(Empresas!$C:$C,MATCH(A417,Empresas!$A:$A,0))),""))</f>
        <v/>
      </c>
      <c r="H417" s="18"/>
      <c r="I417" s="19" t="str">
        <f aca="false">IF(OR(F417="",G417=""),"",IF(F417-G417&lt;0,"CONTRATO ANTERIOR À ABERTURA — conferir datas",IF(F417-G417&lt;180,"ABERTA MENOS DE 6 MESES ANTES","")))</f>
        <v/>
      </c>
      <c r="J417" s="19" t="str">
        <f aca="false">IF(A417="","",IFERROR(INDEX(Sancoes!$B:$B,MATCH(A417,Sancoes!$A:$A,0))&amp;"","não consta"))</f>
        <v/>
      </c>
      <c r="K417" s="19" t="str">
        <f aca="false">IF(OR(A417="",F417=""),"",IF(SUMPRODUCT((Sancoes!$A$2:$A$301=A417)*(Sancoes!$B$2:$B$301&lt;&gt;"Não consta")*(Sancoes!$D$2:$D$301&lt;&gt;"")*(Sancoes!$D$2:$D$301&lt;=F417)*(((Sancoes!$E$2:$E$301="")+(Sancoes!$E$2:$E$301&gt;=F417))&gt;0))&gt;0,"SANÇÃO VIGENTE NA DATA — leia o tipo e a abrangência",""))</f>
        <v/>
      </c>
      <c r="L417" s="19" t="str">
        <f aca="false">IF(A417="","",IFERROR(INDEX(Empresas!$B:$B,MATCH(A417,Empresas!$A:$A,0))&amp;"","cadastre o CNPJ em Empresas"))</f>
        <v/>
      </c>
      <c r="M417" s="27"/>
      <c r="N417" s="35"/>
      <c r="O417" s="37" t="str">
        <f aca="false">IF(OR(D417="",D417=0,N417=""),"",N417/D417)</f>
        <v/>
      </c>
      <c r="P417" s="19" t="str">
        <f aca="false">IF(O417="","",IF(O417&gt;0.25,"ACRÉSCIMO ACIMA DE 25% — conferir",""))</f>
        <v/>
      </c>
      <c r="Q417" s="27"/>
      <c r="R417" s="5"/>
    </row>
    <row r="418" customFormat="false" ht="15" hidden="false" customHeight="false" outlineLevel="0" collapsed="false">
      <c r="A418" s="27"/>
      <c r="B418" s="5"/>
      <c r="C418" s="5"/>
      <c r="D418" s="35"/>
      <c r="E418" s="14"/>
      <c r="F418" s="18"/>
      <c r="G418" s="31" t="str">
        <f aca="false">IF(A418="","",IFERROR(IF(INDEX(Empresas!$C:$C,MATCH(A418,Empresas!$A:$A,0))="","",INDEX(Empresas!$C:$C,MATCH(A418,Empresas!$A:$A,0))),""))</f>
        <v/>
      </c>
      <c r="H418" s="18"/>
      <c r="I418" s="19" t="str">
        <f aca="false">IF(OR(F418="",G418=""),"",IF(F418-G418&lt;0,"CONTRATO ANTERIOR À ABERTURA — conferir datas",IF(F418-G418&lt;180,"ABERTA MENOS DE 6 MESES ANTES","")))</f>
        <v/>
      </c>
      <c r="J418" s="19" t="str">
        <f aca="false">IF(A418="","",IFERROR(INDEX(Sancoes!$B:$B,MATCH(A418,Sancoes!$A:$A,0))&amp;"","não consta"))</f>
        <v/>
      </c>
      <c r="K418" s="19" t="str">
        <f aca="false">IF(OR(A418="",F418=""),"",IF(SUMPRODUCT((Sancoes!$A$2:$A$301=A418)*(Sancoes!$B$2:$B$301&lt;&gt;"Não consta")*(Sancoes!$D$2:$D$301&lt;&gt;"")*(Sancoes!$D$2:$D$301&lt;=F418)*(((Sancoes!$E$2:$E$301="")+(Sancoes!$E$2:$E$301&gt;=F418))&gt;0))&gt;0,"SANÇÃO VIGENTE NA DATA — leia o tipo e a abrangência",""))</f>
        <v/>
      </c>
      <c r="L418" s="19" t="str">
        <f aca="false">IF(A418="","",IFERROR(INDEX(Empresas!$B:$B,MATCH(A418,Empresas!$A:$A,0))&amp;"","cadastre o CNPJ em Empresas"))</f>
        <v/>
      </c>
      <c r="M418" s="27"/>
      <c r="N418" s="35"/>
      <c r="O418" s="37" t="str">
        <f aca="false">IF(OR(D418="",D418=0,N418=""),"",N418/D418)</f>
        <v/>
      </c>
      <c r="P418" s="19" t="str">
        <f aca="false">IF(O418="","",IF(O418&gt;0.25,"ACRÉSCIMO ACIMA DE 25% — conferir",""))</f>
        <v/>
      </c>
      <c r="Q418" s="27"/>
      <c r="R418" s="5"/>
    </row>
    <row r="419" customFormat="false" ht="15" hidden="false" customHeight="false" outlineLevel="0" collapsed="false">
      <c r="A419" s="27"/>
      <c r="B419" s="5"/>
      <c r="C419" s="5"/>
      <c r="D419" s="35"/>
      <c r="E419" s="14"/>
      <c r="F419" s="18"/>
      <c r="G419" s="31" t="str">
        <f aca="false">IF(A419="","",IFERROR(IF(INDEX(Empresas!$C:$C,MATCH(A419,Empresas!$A:$A,0))="","",INDEX(Empresas!$C:$C,MATCH(A419,Empresas!$A:$A,0))),""))</f>
        <v/>
      </c>
      <c r="H419" s="18"/>
      <c r="I419" s="19" t="str">
        <f aca="false">IF(OR(F419="",G419=""),"",IF(F419-G419&lt;0,"CONTRATO ANTERIOR À ABERTURA — conferir datas",IF(F419-G419&lt;180,"ABERTA MENOS DE 6 MESES ANTES","")))</f>
        <v/>
      </c>
      <c r="J419" s="19" t="str">
        <f aca="false">IF(A419="","",IFERROR(INDEX(Sancoes!$B:$B,MATCH(A419,Sancoes!$A:$A,0))&amp;"","não consta"))</f>
        <v/>
      </c>
      <c r="K419" s="19" t="str">
        <f aca="false">IF(OR(A419="",F419=""),"",IF(SUMPRODUCT((Sancoes!$A$2:$A$301=A419)*(Sancoes!$B$2:$B$301&lt;&gt;"Não consta")*(Sancoes!$D$2:$D$301&lt;&gt;"")*(Sancoes!$D$2:$D$301&lt;=F419)*(((Sancoes!$E$2:$E$301="")+(Sancoes!$E$2:$E$301&gt;=F419))&gt;0))&gt;0,"SANÇÃO VIGENTE NA DATA — leia o tipo e a abrangência",""))</f>
        <v/>
      </c>
      <c r="L419" s="19" t="str">
        <f aca="false">IF(A419="","",IFERROR(INDEX(Empresas!$B:$B,MATCH(A419,Empresas!$A:$A,0))&amp;"","cadastre o CNPJ em Empresas"))</f>
        <v/>
      </c>
      <c r="M419" s="27"/>
      <c r="N419" s="35"/>
      <c r="O419" s="37" t="str">
        <f aca="false">IF(OR(D419="",D419=0,N419=""),"",N419/D419)</f>
        <v/>
      </c>
      <c r="P419" s="19" t="str">
        <f aca="false">IF(O419="","",IF(O419&gt;0.25,"ACRÉSCIMO ACIMA DE 25% — conferir",""))</f>
        <v/>
      </c>
      <c r="Q419" s="27"/>
      <c r="R419" s="5"/>
    </row>
    <row r="420" customFormat="false" ht="15" hidden="false" customHeight="false" outlineLevel="0" collapsed="false">
      <c r="A420" s="27"/>
      <c r="B420" s="5"/>
      <c r="C420" s="5"/>
      <c r="D420" s="35"/>
      <c r="E420" s="14"/>
      <c r="F420" s="18"/>
      <c r="G420" s="31" t="str">
        <f aca="false">IF(A420="","",IFERROR(IF(INDEX(Empresas!$C:$C,MATCH(A420,Empresas!$A:$A,0))="","",INDEX(Empresas!$C:$C,MATCH(A420,Empresas!$A:$A,0))),""))</f>
        <v/>
      </c>
      <c r="H420" s="18"/>
      <c r="I420" s="19" t="str">
        <f aca="false">IF(OR(F420="",G420=""),"",IF(F420-G420&lt;0,"CONTRATO ANTERIOR À ABERTURA — conferir datas",IF(F420-G420&lt;180,"ABERTA MENOS DE 6 MESES ANTES","")))</f>
        <v/>
      </c>
      <c r="J420" s="19" t="str">
        <f aca="false">IF(A420="","",IFERROR(INDEX(Sancoes!$B:$B,MATCH(A420,Sancoes!$A:$A,0))&amp;"","não consta"))</f>
        <v/>
      </c>
      <c r="K420" s="19" t="str">
        <f aca="false">IF(OR(A420="",F420=""),"",IF(SUMPRODUCT((Sancoes!$A$2:$A$301=A420)*(Sancoes!$B$2:$B$301&lt;&gt;"Não consta")*(Sancoes!$D$2:$D$301&lt;&gt;"")*(Sancoes!$D$2:$D$301&lt;=F420)*(((Sancoes!$E$2:$E$301="")+(Sancoes!$E$2:$E$301&gt;=F420))&gt;0))&gt;0,"SANÇÃO VIGENTE NA DATA — leia o tipo e a abrangência",""))</f>
        <v/>
      </c>
      <c r="L420" s="19" t="str">
        <f aca="false">IF(A420="","",IFERROR(INDEX(Empresas!$B:$B,MATCH(A420,Empresas!$A:$A,0))&amp;"","cadastre o CNPJ em Empresas"))</f>
        <v/>
      </c>
      <c r="M420" s="27"/>
      <c r="N420" s="35"/>
      <c r="O420" s="37" t="str">
        <f aca="false">IF(OR(D420="",D420=0,N420=""),"",N420/D420)</f>
        <v/>
      </c>
      <c r="P420" s="19" t="str">
        <f aca="false">IF(O420="","",IF(O420&gt;0.25,"ACRÉSCIMO ACIMA DE 25% — conferir",""))</f>
        <v/>
      </c>
      <c r="Q420" s="27"/>
      <c r="R420" s="5"/>
    </row>
    <row r="421" customFormat="false" ht="15" hidden="false" customHeight="false" outlineLevel="0" collapsed="false">
      <c r="A421" s="27"/>
      <c r="B421" s="5"/>
      <c r="C421" s="5"/>
      <c r="D421" s="35"/>
      <c r="E421" s="14"/>
      <c r="F421" s="18"/>
      <c r="G421" s="31" t="str">
        <f aca="false">IF(A421="","",IFERROR(IF(INDEX(Empresas!$C:$C,MATCH(A421,Empresas!$A:$A,0))="","",INDEX(Empresas!$C:$C,MATCH(A421,Empresas!$A:$A,0))),""))</f>
        <v/>
      </c>
      <c r="H421" s="18"/>
      <c r="I421" s="19" t="str">
        <f aca="false">IF(OR(F421="",G421=""),"",IF(F421-G421&lt;0,"CONTRATO ANTERIOR À ABERTURA — conferir datas",IF(F421-G421&lt;180,"ABERTA MENOS DE 6 MESES ANTES","")))</f>
        <v/>
      </c>
      <c r="J421" s="19" t="str">
        <f aca="false">IF(A421="","",IFERROR(INDEX(Sancoes!$B:$B,MATCH(A421,Sancoes!$A:$A,0))&amp;"","não consta"))</f>
        <v/>
      </c>
      <c r="K421" s="19" t="str">
        <f aca="false">IF(OR(A421="",F421=""),"",IF(SUMPRODUCT((Sancoes!$A$2:$A$301=A421)*(Sancoes!$B$2:$B$301&lt;&gt;"Não consta")*(Sancoes!$D$2:$D$301&lt;&gt;"")*(Sancoes!$D$2:$D$301&lt;=F421)*(((Sancoes!$E$2:$E$301="")+(Sancoes!$E$2:$E$301&gt;=F421))&gt;0))&gt;0,"SANÇÃO VIGENTE NA DATA — leia o tipo e a abrangência",""))</f>
        <v/>
      </c>
      <c r="L421" s="19" t="str">
        <f aca="false">IF(A421="","",IFERROR(INDEX(Empresas!$B:$B,MATCH(A421,Empresas!$A:$A,0))&amp;"","cadastre o CNPJ em Empresas"))</f>
        <v/>
      </c>
      <c r="M421" s="27"/>
      <c r="N421" s="35"/>
      <c r="O421" s="37" t="str">
        <f aca="false">IF(OR(D421="",D421=0,N421=""),"",N421/D421)</f>
        <v/>
      </c>
      <c r="P421" s="19" t="str">
        <f aca="false">IF(O421="","",IF(O421&gt;0.25,"ACRÉSCIMO ACIMA DE 25% — conferir",""))</f>
        <v/>
      </c>
      <c r="Q421" s="27"/>
      <c r="R421" s="5"/>
    </row>
    <row r="422" customFormat="false" ht="15" hidden="false" customHeight="false" outlineLevel="0" collapsed="false">
      <c r="A422" s="27"/>
      <c r="B422" s="5"/>
      <c r="C422" s="5"/>
      <c r="D422" s="35"/>
      <c r="E422" s="14"/>
      <c r="F422" s="18"/>
      <c r="G422" s="31" t="str">
        <f aca="false">IF(A422="","",IFERROR(IF(INDEX(Empresas!$C:$C,MATCH(A422,Empresas!$A:$A,0))="","",INDEX(Empresas!$C:$C,MATCH(A422,Empresas!$A:$A,0))),""))</f>
        <v/>
      </c>
      <c r="H422" s="18"/>
      <c r="I422" s="19" t="str">
        <f aca="false">IF(OR(F422="",G422=""),"",IF(F422-G422&lt;0,"CONTRATO ANTERIOR À ABERTURA — conferir datas",IF(F422-G422&lt;180,"ABERTA MENOS DE 6 MESES ANTES","")))</f>
        <v/>
      </c>
      <c r="J422" s="19" t="str">
        <f aca="false">IF(A422="","",IFERROR(INDEX(Sancoes!$B:$B,MATCH(A422,Sancoes!$A:$A,0))&amp;"","não consta"))</f>
        <v/>
      </c>
      <c r="K422" s="19" t="str">
        <f aca="false">IF(OR(A422="",F422=""),"",IF(SUMPRODUCT((Sancoes!$A$2:$A$301=A422)*(Sancoes!$B$2:$B$301&lt;&gt;"Não consta")*(Sancoes!$D$2:$D$301&lt;&gt;"")*(Sancoes!$D$2:$D$301&lt;=F422)*(((Sancoes!$E$2:$E$301="")+(Sancoes!$E$2:$E$301&gt;=F422))&gt;0))&gt;0,"SANÇÃO VIGENTE NA DATA — leia o tipo e a abrangência",""))</f>
        <v/>
      </c>
      <c r="L422" s="19" t="str">
        <f aca="false">IF(A422="","",IFERROR(INDEX(Empresas!$B:$B,MATCH(A422,Empresas!$A:$A,0))&amp;"","cadastre o CNPJ em Empresas"))</f>
        <v/>
      </c>
      <c r="M422" s="27"/>
      <c r="N422" s="35"/>
      <c r="O422" s="37" t="str">
        <f aca="false">IF(OR(D422="",D422=0,N422=""),"",N422/D422)</f>
        <v/>
      </c>
      <c r="P422" s="19" t="str">
        <f aca="false">IF(O422="","",IF(O422&gt;0.25,"ACRÉSCIMO ACIMA DE 25% — conferir",""))</f>
        <v/>
      </c>
      <c r="Q422" s="27"/>
      <c r="R422" s="5"/>
    </row>
    <row r="423" customFormat="false" ht="15" hidden="false" customHeight="false" outlineLevel="0" collapsed="false">
      <c r="A423" s="27"/>
      <c r="B423" s="5"/>
      <c r="C423" s="5"/>
      <c r="D423" s="35"/>
      <c r="E423" s="14"/>
      <c r="F423" s="18"/>
      <c r="G423" s="31" t="str">
        <f aca="false">IF(A423="","",IFERROR(IF(INDEX(Empresas!$C:$C,MATCH(A423,Empresas!$A:$A,0))="","",INDEX(Empresas!$C:$C,MATCH(A423,Empresas!$A:$A,0))),""))</f>
        <v/>
      </c>
      <c r="H423" s="18"/>
      <c r="I423" s="19" t="str">
        <f aca="false">IF(OR(F423="",G423=""),"",IF(F423-G423&lt;0,"CONTRATO ANTERIOR À ABERTURA — conferir datas",IF(F423-G423&lt;180,"ABERTA MENOS DE 6 MESES ANTES","")))</f>
        <v/>
      </c>
      <c r="J423" s="19" t="str">
        <f aca="false">IF(A423="","",IFERROR(INDEX(Sancoes!$B:$B,MATCH(A423,Sancoes!$A:$A,0))&amp;"","não consta"))</f>
        <v/>
      </c>
      <c r="K423" s="19" t="str">
        <f aca="false">IF(OR(A423="",F423=""),"",IF(SUMPRODUCT((Sancoes!$A$2:$A$301=A423)*(Sancoes!$B$2:$B$301&lt;&gt;"Não consta")*(Sancoes!$D$2:$D$301&lt;&gt;"")*(Sancoes!$D$2:$D$301&lt;=F423)*(((Sancoes!$E$2:$E$301="")+(Sancoes!$E$2:$E$301&gt;=F423))&gt;0))&gt;0,"SANÇÃO VIGENTE NA DATA — leia o tipo e a abrangência",""))</f>
        <v/>
      </c>
      <c r="L423" s="19" t="str">
        <f aca="false">IF(A423="","",IFERROR(INDEX(Empresas!$B:$B,MATCH(A423,Empresas!$A:$A,0))&amp;"","cadastre o CNPJ em Empresas"))</f>
        <v/>
      </c>
      <c r="M423" s="27"/>
      <c r="N423" s="35"/>
      <c r="O423" s="37" t="str">
        <f aca="false">IF(OR(D423="",D423=0,N423=""),"",N423/D423)</f>
        <v/>
      </c>
      <c r="P423" s="19" t="str">
        <f aca="false">IF(O423="","",IF(O423&gt;0.25,"ACRÉSCIMO ACIMA DE 25% — conferir",""))</f>
        <v/>
      </c>
      <c r="Q423" s="27"/>
      <c r="R423" s="5"/>
    </row>
    <row r="424" customFormat="false" ht="15" hidden="false" customHeight="false" outlineLevel="0" collapsed="false">
      <c r="A424" s="27"/>
      <c r="B424" s="5"/>
      <c r="C424" s="5"/>
      <c r="D424" s="35"/>
      <c r="E424" s="14"/>
      <c r="F424" s="18"/>
      <c r="G424" s="31" t="str">
        <f aca="false">IF(A424="","",IFERROR(IF(INDEX(Empresas!$C:$C,MATCH(A424,Empresas!$A:$A,0))="","",INDEX(Empresas!$C:$C,MATCH(A424,Empresas!$A:$A,0))),""))</f>
        <v/>
      </c>
      <c r="H424" s="18"/>
      <c r="I424" s="19" t="str">
        <f aca="false">IF(OR(F424="",G424=""),"",IF(F424-G424&lt;0,"CONTRATO ANTERIOR À ABERTURA — conferir datas",IF(F424-G424&lt;180,"ABERTA MENOS DE 6 MESES ANTES","")))</f>
        <v/>
      </c>
      <c r="J424" s="19" t="str">
        <f aca="false">IF(A424="","",IFERROR(INDEX(Sancoes!$B:$B,MATCH(A424,Sancoes!$A:$A,0))&amp;"","não consta"))</f>
        <v/>
      </c>
      <c r="K424" s="19" t="str">
        <f aca="false">IF(OR(A424="",F424=""),"",IF(SUMPRODUCT((Sancoes!$A$2:$A$301=A424)*(Sancoes!$B$2:$B$301&lt;&gt;"Não consta")*(Sancoes!$D$2:$D$301&lt;&gt;"")*(Sancoes!$D$2:$D$301&lt;=F424)*(((Sancoes!$E$2:$E$301="")+(Sancoes!$E$2:$E$301&gt;=F424))&gt;0))&gt;0,"SANÇÃO VIGENTE NA DATA — leia o tipo e a abrangência",""))</f>
        <v/>
      </c>
      <c r="L424" s="19" t="str">
        <f aca="false">IF(A424="","",IFERROR(INDEX(Empresas!$B:$B,MATCH(A424,Empresas!$A:$A,0))&amp;"","cadastre o CNPJ em Empresas"))</f>
        <v/>
      </c>
      <c r="M424" s="27"/>
      <c r="N424" s="35"/>
      <c r="O424" s="37" t="str">
        <f aca="false">IF(OR(D424="",D424=0,N424=""),"",N424/D424)</f>
        <v/>
      </c>
      <c r="P424" s="19" t="str">
        <f aca="false">IF(O424="","",IF(O424&gt;0.25,"ACRÉSCIMO ACIMA DE 25% — conferir",""))</f>
        <v/>
      </c>
      <c r="Q424" s="27"/>
      <c r="R424" s="5"/>
    </row>
    <row r="425" customFormat="false" ht="15" hidden="false" customHeight="false" outlineLevel="0" collapsed="false">
      <c r="A425" s="27"/>
      <c r="B425" s="5"/>
      <c r="C425" s="5"/>
      <c r="D425" s="35"/>
      <c r="E425" s="14"/>
      <c r="F425" s="18"/>
      <c r="G425" s="31" t="str">
        <f aca="false">IF(A425="","",IFERROR(IF(INDEX(Empresas!$C:$C,MATCH(A425,Empresas!$A:$A,0))="","",INDEX(Empresas!$C:$C,MATCH(A425,Empresas!$A:$A,0))),""))</f>
        <v/>
      </c>
      <c r="H425" s="18"/>
      <c r="I425" s="19" t="str">
        <f aca="false">IF(OR(F425="",G425=""),"",IF(F425-G425&lt;0,"CONTRATO ANTERIOR À ABERTURA — conferir datas",IF(F425-G425&lt;180,"ABERTA MENOS DE 6 MESES ANTES","")))</f>
        <v/>
      </c>
      <c r="J425" s="19" t="str">
        <f aca="false">IF(A425="","",IFERROR(INDEX(Sancoes!$B:$B,MATCH(A425,Sancoes!$A:$A,0))&amp;"","não consta"))</f>
        <v/>
      </c>
      <c r="K425" s="19" t="str">
        <f aca="false">IF(OR(A425="",F425=""),"",IF(SUMPRODUCT((Sancoes!$A$2:$A$301=A425)*(Sancoes!$B$2:$B$301&lt;&gt;"Não consta")*(Sancoes!$D$2:$D$301&lt;&gt;"")*(Sancoes!$D$2:$D$301&lt;=F425)*(((Sancoes!$E$2:$E$301="")+(Sancoes!$E$2:$E$301&gt;=F425))&gt;0))&gt;0,"SANÇÃO VIGENTE NA DATA — leia o tipo e a abrangência",""))</f>
        <v/>
      </c>
      <c r="L425" s="19" t="str">
        <f aca="false">IF(A425="","",IFERROR(INDEX(Empresas!$B:$B,MATCH(A425,Empresas!$A:$A,0))&amp;"","cadastre o CNPJ em Empresas"))</f>
        <v/>
      </c>
      <c r="M425" s="27"/>
      <c r="N425" s="35"/>
      <c r="O425" s="37" t="str">
        <f aca="false">IF(OR(D425="",D425=0,N425=""),"",N425/D425)</f>
        <v/>
      </c>
      <c r="P425" s="19" t="str">
        <f aca="false">IF(O425="","",IF(O425&gt;0.25,"ACRÉSCIMO ACIMA DE 25% — conferir",""))</f>
        <v/>
      </c>
      <c r="Q425" s="27"/>
      <c r="R425" s="5"/>
    </row>
    <row r="426" customFormat="false" ht="15" hidden="false" customHeight="false" outlineLevel="0" collapsed="false">
      <c r="A426" s="27"/>
      <c r="B426" s="5"/>
      <c r="C426" s="5"/>
      <c r="D426" s="35"/>
      <c r="E426" s="14"/>
      <c r="F426" s="18"/>
      <c r="G426" s="31" t="str">
        <f aca="false">IF(A426="","",IFERROR(IF(INDEX(Empresas!$C:$C,MATCH(A426,Empresas!$A:$A,0))="","",INDEX(Empresas!$C:$C,MATCH(A426,Empresas!$A:$A,0))),""))</f>
        <v/>
      </c>
      <c r="H426" s="18"/>
      <c r="I426" s="19" t="str">
        <f aca="false">IF(OR(F426="",G426=""),"",IF(F426-G426&lt;0,"CONTRATO ANTERIOR À ABERTURA — conferir datas",IF(F426-G426&lt;180,"ABERTA MENOS DE 6 MESES ANTES","")))</f>
        <v/>
      </c>
      <c r="J426" s="19" t="str">
        <f aca="false">IF(A426="","",IFERROR(INDEX(Sancoes!$B:$B,MATCH(A426,Sancoes!$A:$A,0))&amp;"","não consta"))</f>
        <v/>
      </c>
      <c r="K426" s="19" t="str">
        <f aca="false">IF(OR(A426="",F426=""),"",IF(SUMPRODUCT((Sancoes!$A$2:$A$301=A426)*(Sancoes!$B$2:$B$301&lt;&gt;"Não consta")*(Sancoes!$D$2:$D$301&lt;&gt;"")*(Sancoes!$D$2:$D$301&lt;=F426)*(((Sancoes!$E$2:$E$301="")+(Sancoes!$E$2:$E$301&gt;=F426))&gt;0))&gt;0,"SANÇÃO VIGENTE NA DATA — leia o tipo e a abrangência",""))</f>
        <v/>
      </c>
      <c r="L426" s="19" t="str">
        <f aca="false">IF(A426="","",IFERROR(INDEX(Empresas!$B:$B,MATCH(A426,Empresas!$A:$A,0))&amp;"","cadastre o CNPJ em Empresas"))</f>
        <v/>
      </c>
      <c r="M426" s="27"/>
      <c r="N426" s="35"/>
      <c r="O426" s="37" t="str">
        <f aca="false">IF(OR(D426="",D426=0,N426=""),"",N426/D426)</f>
        <v/>
      </c>
      <c r="P426" s="19" t="str">
        <f aca="false">IF(O426="","",IF(O426&gt;0.25,"ACRÉSCIMO ACIMA DE 25% — conferir",""))</f>
        <v/>
      </c>
      <c r="Q426" s="27"/>
      <c r="R426" s="5"/>
    </row>
    <row r="427" customFormat="false" ht="15" hidden="false" customHeight="false" outlineLevel="0" collapsed="false">
      <c r="A427" s="27"/>
      <c r="B427" s="5"/>
      <c r="C427" s="5"/>
      <c r="D427" s="35"/>
      <c r="E427" s="14"/>
      <c r="F427" s="18"/>
      <c r="G427" s="31" t="str">
        <f aca="false">IF(A427="","",IFERROR(IF(INDEX(Empresas!$C:$C,MATCH(A427,Empresas!$A:$A,0))="","",INDEX(Empresas!$C:$C,MATCH(A427,Empresas!$A:$A,0))),""))</f>
        <v/>
      </c>
      <c r="H427" s="18"/>
      <c r="I427" s="19" t="str">
        <f aca="false">IF(OR(F427="",G427=""),"",IF(F427-G427&lt;0,"CONTRATO ANTERIOR À ABERTURA — conferir datas",IF(F427-G427&lt;180,"ABERTA MENOS DE 6 MESES ANTES","")))</f>
        <v/>
      </c>
      <c r="J427" s="19" t="str">
        <f aca="false">IF(A427="","",IFERROR(INDEX(Sancoes!$B:$B,MATCH(A427,Sancoes!$A:$A,0))&amp;"","não consta"))</f>
        <v/>
      </c>
      <c r="K427" s="19" t="str">
        <f aca="false">IF(OR(A427="",F427=""),"",IF(SUMPRODUCT((Sancoes!$A$2:$A$301=A427)*(Sancoes!$B$2:$B$301&lt;&gt;"Não consta")*(Sancoes!$D$2:$D$301&lt;&gt;"")*(Sancoes!$D$2:$D$301&lt;=F427)*(((Sancoes!$E$2:$E$301="")+(Sancoes!$E$2:$E$301&gt;=F427))&gt;0))&gt;0,"SANÇÃO VIGENTE NA DATA — leia o tipo e a abrangência",""))</f>
        <v/>
      </c>
      <c r="L427" s="19" t="str">
        <f aca="false">IF(A427="","",IFERROR(INDEX(Empresas!$B:$B,MATCH(A427,Empresas!$A:$A,0))&amp;"","cadastre o CNPJ em Empresas"))</f>
        <v/>
      </c>
      <c r="M427" s="27"/>
      <c r="N427" s="35"/>
      <c r="O427" s="37" t="str">
        <f aca="false">IF(OR(D427="",D427=0,N427=""),"",N427/D427)</f>
        <v/>
      </c>
      <c r="P427" s="19" t="str">
        <f aca="false">IF(O427="","",IF(O427&gt;0.25,"ACRÉSCIMO ACIMA DE 25% — conferir",""))</f>
        <v/>
      </c>
      <c r="Q427" s="27"/>
      <c r="R427" s="5"/>
    </row>
    <row r="428" customFormat="false" ht="15" hidden="false" customHeight="false" outlineLevel="0" collapsed="false">
      <c r="A428" s="27"/>
      <c r="B428" s="5"/>
      <c r="C428" s="5"/>
      <c r="D428" s="35"/>
      <c r="E428" s="14"/>
      <c r="F428" s="18"/>
      <c r="G428" s="31" t="str">
        <f aca="false">IF(A428="","",IFERROR(IF(INDEX(Empresas!$C:$C,MATCH(A428,Empresas!$A:$A,0))="","",INDEX(Empresas!$C:$C,MATCH(A428,Empresas!$A:$A,0))),""))</f>
        <v/>
      </c>
      <c r="H428" s="18"/>
      <c r="I428" s="19" t="str">
        <f aca="false">IF(OR(F428="",G428=""),"",IF(F428-G428&lt;0,"CONTRATO ANTERIOR À ABERTURA — conferir datas",IF(F428-G428&lt;180,"ABERTA MENOS DE 6 MESES ANTES","")))</f>
        <v/>
      </c>
      <c r="J428" s="19" t="str">
        <f aca="false">IF(A428="","",IFERROR(INDEX(Sancoes!$B:$B,MATCH(A428,Sancoes!$A:$A,0))&amp;"","não consta"))</f>
        <v/>
      </c>
      <c r="K428" s="19" t="str">
        <f aca="false">IF(OR(A428="",F428=""),"",IF(SUMPRODUCT((Sancoes!$A$2:$A$301=A428)*(Sancoes!$B$2:$B$301&lt;&gt;"Não consta")*(Sancoes!$D$2:$D$301&lt;&gt;"")*(Sancoes!$D$2:$D$301&lt;=F428)*(((Sancoes!$E$2:$E$301="")+(Sancoes!$E$2:$E$301&gt;=F428))&gt;0))&gt;0,"SANÇÃO VIGENTE NA DATA — leia o tipo e a abrangência",""))</f>
        <v/>
      </c>
      <c r="L428" s="19" t="str">
        <f aca="false">IF(A428="","",IFERROR(INDEX(Empresas!$B:$B,MATCH(A428,Empresas!$A:$A,0))&amp;"","cadastre o CNPJ em Empresas"))</f>
        <v/>
      </c>
      <c r="M428" s="27"/>
      <c r="N428" s="35"/>
      <c r="O428" s="37" t="str">
        <f aca="false">IF(OR(D428="",D428=0,N428=""),"",N428/D428)</f>
        <v/>
      </c>
      <c r="P428" s="19" t="str">
        <f aca="false">IF(O428="","",IF(O428&gt;0.25,"ACRÉSCIMO ACIMA DE 25% — conferir",""))</f>
        <v/>
      </c>
      <c r="Q428" s="27"/>
      <c r="R428" s="5"/>
    </row>
    <row r="429" customFormat="false" ht="15" hidden="false" customHeight="false" outlineLevel="0" collapsed="false">
      <c r="A429" s="27"/>
      <c r="B429" s="5"/>
      <c r="C429" s="5"/>
      <c r="D429" s="35"/>
      <c r="E429" s="14"/>
      <c r="F429" s="18"/>
      <c r="G429" s="31" t="str">
        <f aca="false">IF(A429="","",IFERROR(IF(INDEX(Empresas!$C:$C,MATCH(A429,Empresas!$A:$A,0))="","",INDEX(Empresas!$C:$C,MATCH(A429,Empresas!$A:$A,0))),""))</f>
        <v/>
      </c>
      <c r="H429" s="18"/>
      <c r="I429" s="19" t="str">
        <f aca="false">IF(OR(F429="",G429=""),"",IF(F429-G429&lt;0,"CONTRATO ANTERIOR À ABERTURA — conferir datas",IF(F429-G429&lt;180,"ABERTA MENOS DE 6 MESES ANTES","")))</f>
        <v/>
      </c>
      <c r="J429" s="19" t="str">
        <f aca="false">IF(A429="","",IFERROR(INDEX(Sancoes!$B:$B,MATCH(A429,Sancoes!$A:$A,0))&amp;"","não consta"))</f>
        <v/>
      </c>
      <c r="K429" s="19" t="str">
        <f aca="false">IF(OR(A429="",F429=""),"",IF(SUMPRODUCT((Sancoes!$A$2:$A$301=A429)*(Sancoes!$B$2:$B$301&lt;&gt;"Não consta")*(Sancoes!$D$2:$D$301&lt;&gt;"")*(Sancoes!$D$2:$D$301&lt;=F429)*(((Sancoes!$E$2:$E$301="")+(Sancoes!$E$2:$E$301&gt;=F429))&gt;0))&gt;0,"SANÇÃO VIGENTE NA DATA — leia o tipo e a abrangência",""))</f>
        <v/>
      </c>
      <c r="L429" s="19" t="str">
        <f aca="false">IF(A429="","",IFERROR(INDEX(Empresas!$B:$B,MATCH(A429,Empresas!$A:$A,0))&amp;"","cadastre o CNPJ em Empresas"))</f>
        <v/>
      </c>
      <c r="M429" s="27"/>
      <c r="N429" s="35"/>
      <c r="O429" s="37" t="str">
        <f aca="false">IF(OR(D429="",D429=0,N429=""),"",N429/D429)</f>
        <v/>
      </c>
      <c r="P429" s="19" t="str">
        <f aca="false">IF(O429="","",IF(O429&gt;0.25,"ACRÉSCIMO ACIMA DE 25% — conferir",""))</f>
        <v/>
      </c>
      <c r="Q429" s="27"/>
      <c r="R429" s="5"/>
    </row>
    <row r="430" customFormat="false" ht="15" hidden="false" customHeight="false" outlineLevel="0" collapsed="false">
      <c r="A430" s="27"/>
      <c r="B430" s="5"/>
      <c r="C430" s="5"/>
      <c r="D430" s="35"/>
      <c r="E430" s="14"/>
      <c r="F430" s="18"/>
      <c r="G430" s="31" t="str">
        <f aca="false">IF(A430="","",IFERROR(IF(INDEX(Empresas!$C:$C,MATCH(A430,Empresas!$A:$A,0))="","",INDEX(Empresas!$C:$C,MATCH(A430,Empresas!$A:$A,0))),""))</f>
        <v/>
      </c>
      <c r="H430" s="18"/>
      <c r="I430" s="19" t="str">
        <f aca="false">IF(OR(F430="",G430=""),"",IF(F430-G430&lt;0,"CONTRATO ANTERIOR À ABERTURA — conferir datas",IF(F430-G430&lt;180,"ABERTA MENOS DE 6 MESES ANTES","")))</f>
        <v/>
      </c>
      <c r="J430" s="19" t="str">
        <f aca="false">IF(A430="","",IFERROR(INDEX(Sancoes!$B:$B,MATCH(A430,Sancoes!$A:$A,0))&amp;"","não consta"))</f>
        <v/>
      </c>
      <c r="K430" s="19" t="str">
        <f aca="false">IF(OR(A430="",F430=""),"",IF(SUMPRODUCT((Sancoes!$A$2:$A$301=A430)*(Sancoes!$B$2:$B$301&lt;&gt;"Não consta")*(Sancoes!$D$2:$D$301&lt;&gt;"")*(Sancoes!$D$2:$D$301&lt;=F430)*(((Sancoes!$E$2:$E$301="")+(Sancoes!$E$2:$E$301&gt;=F430))&gt;0))&gt;0,"SANÇÃO VIGENTE NA DATA — leia o tipo e a abrangência",""))</f>
        <v/>
      </c>
      <c r="L430" s="19" t="str">
        <f aca="false">IF(A430="","",IFERROR(INDEX(Empresas!$B:$B,MATCH(A430,Empresas!$A:$A,0))&amp;"","cadastre o CNPJ em Empresas"))</f>
        <v/>
      </c>
      <c r="M430" s="27"/>
      <c r="N430" s="35"/>
      <c r="O430" s="37" t="str">
        <f aca="false">IF(OR(D430="",D430=0,N430=""),"",N430/D430)</f>
        <v/>
      </c>
      <c r="P430" s="19" t="str">
        <f aca="false">IF(O430="","",IF(O430&gt;0.25,"ACRÉSCIMO ACIMA DE 25% — conferir",""))</f>
        <v/>
      </c>
      <c r="Q430" s="27"/>
      <c r="R430" s="5"/>
    </row>
    <row r="431" customFormat="false" ht="15" hidden="false" customHeight="false" outlineLevel="0" collapsed="false">
      <c r="A431" s="27"/>
      <c r="B431" s="5"/>
      <c r="C431" s="5"/>
      <c r="D431" s="35"/>
      <c r="E431" s="14"/>
      <c r="F431" s="18"/>
      <c r="G431" s="31" t="str">
        <f aca="false">IF(A431="","",IFERROR(IF(INDEX(Empresas!$C:$C,MATCH(A431,Empresas!$A:$A,0))="","",INDEX(Empresas!$C:$C,MATCH(A431,Empresas!$A:$A,0))),""))</f>
        <v/>
      </c>
      <c r="H431" s="18"/>
      <c r="I431" s="19" t="str">
        <f aca="false">IF(OR(F431="",G431=""),"",IF(F431-G431&lt;0,"CONTRATO ANTERIOR À ABERTURA — conferir datas",IF(F431-G431&lt;180,"ABERTA MENOS DE 6 MESES ANTES","")))</f>
        <v/>
      </c>
      <c r="J431" s="19" t="str">
        <f aca="false">IF(A431="","",IFERROR(INDEX(Sancoes!$B:$B,MATCH(A431,Sancoes!$A:$A,0))&amp;"","não consta"))</f>
        <v/>
      </c>
      <c r="K431" s="19" t="str">
        <f aca="false">IF(OR(A431="",F431=""),"",IF(SUMPRODUCT((Sancoes!$A$2:$A$301=A431)*(Sancoes!$B$2:$B$301&lt;&gt;"Não consta")*(Sancoes!$D$2:$D$301&lt;&gt;"")*(Sancoes!$D$2:$D$301&lt;=F431)*(((Sancoes!$E$2:$E$301="")+(Sancoes!$E$2:$E$301&gt;=F431))&gt;0))&gt;0,"SANÇÃO VIGENTE NA DATA — leia o tipo e a abrangência",""))</f>
        <v/>
      </c>
      <c r="L431" s="19" t="str">
        <f aca="false">IF(A431="","",IFERROR(INDEX(Empresas!$B:$B,MATCH(A431,Empresas!$A:$A,0))&amp;"","cadastre o CNPJ em Empresas"))</f>
        <v/>
      </c>
      <c r="M431" s="27"/>
      <c r="N431" s="35"/>
      <c r="O431" s="37" t="str">
        <f aca="false">IF(OR(D431="",D431=0,N431=""),"",N431/D431)</f>
        <v/>
      </c>
      <c r="P431" s="19" t="str">
        <f aca="false">IF(O431="","",IF(O431&gt;0.25,"ACRÉSCIMO ACIMA DE 25% — conferir",""))</f>
        <v/>
      </c>
      <c r="Q431" s="27"/>
      <c r="R431" s="5"/>
    </row>
    <row r="432" customFormat="false" ht="15" hidden="false" customHeight="false" outlineLevel="0" collapsed="false">
      <c r="A432" s="27"/>
      <c r="B432" s="5"/>
      <c r="C432" s="5"/>
      <c r="D432" s="35"/>
      <c r="E432" s="14"/>
      <c r="F432" s="18"/>
      <c r="G432" s="31" t="str">
        <f aca="false">IF(A432="","",IFERROR(IF(INDEX(Empresas!$C:$C,MATCH(A432,Empresas!$A:$A,0))="","",INDEX(Empresas!$C:$C,MATCH(A432,Empresas!$A:$A,0))),""))</f>
        <v/>
      </c>
      <c r="H432" s="18"/>
      <c r="I432" s="19" t="str">
        <f aca="false">IF(OR(F432="",G432=""),"",IF(F432-G432&lt;0,"CONTRATO ANTERIOR À ABERTURA — conferir datas",IF(F432-G432&lt;180,"ABERTA MENOS DE 6 MESES ANTES","")))</f>
        <v/>
      </c>
      <c r="J432" s="19" t="str">
        <f aca="false">IF(A432="","",IFERROR(INDEX(Sancoes!$B:$B,MATCH(A432,Sancoes!$A:$A,0))&amp;"","não consta"))</f>
        <v/>
      </c>
      <c r="K432" s="19" t="str">
        <f aca="false">IF(OR(A432="",F432=""),"",IF(SUMPRODUCT((Sancoes!$A$2:$A$301=A432)*(Sancoes!$B$2:$B$301&lt;&gt;"Não consta")*(Sancoes!$D$2:$D$301&lt;&gt;"")*(Sancoes!$D$2:$D$301&lt;=F432)*(((Sancoes!$E$2:$E$301="")+(Sancoes!$E$2:$E$301&gt;=F432))&gt;0))&gt;0,"SANÇÃO VIGENTE NA DATA — leia o tipo e a abrangência",""))</f>
        <v/>
      </c>
      <c r="L432" s="19" t="str">
        <f aca="false">IF(A432="","",IFERROR(INDEX(Empresas!$B:$B,MATCH(A432,Empresas!$A:$A,0))&amp;"","cadastre o CNPJ em Empresas"))</f>
        <v/>
      </c>
      <c r="M432" s="27"/>
      <c r="N432" s="35"/>
      <c r="O432" s="37" t="str">
        <f aca="false">IF(OR(D432="",D432=0,N432=""),"",N432/D432)</f>
        <v/>
      </c>
      <c r="P432" s="19" t="str">
        <f aca="false">IF(O432="","",IF(O432&gt;0.25,"ACRÉSCIMO ACIMA DE 25% — conferir",""))</f>
        <v/>
      </c>
      <c r="Q432" s="27"/>
      <c r="R432" s="5"/>
    </row>
    <row r="433" customFormat="false" ht="15" hidden="false" customHeight="false" outlineLevel="0" collapsed="false">
      <c r="A433" s="27"/>
      <c r="B433" s="5"/>
      <c r="C433" s="5"/>
      <c r="D433" s="35"/>
      <c r="E433" s="14"/>
      <c r="F433" s="18"/>
      <c r="G433" s="31" t="str">
        <f aca="false">IF(A433="","",IFERROR(IF(INDEX(Empresas!$C:$C,MATCH(A433,Empresas!$A:$A,0))="","",INDEX(Empresas!$C:$C,MATCH(A433,Empresas!$A:$A,0))),""))</f>
        <v/>
      </c>
      <c r="H433" s="18"/>
      <c r="I433" s="19" t="str">
        <f aca="false">IF(OR(F433="",G433=""),"",IF(F433-G433&lt;0,"CONTRATO ANTERIOR À ABERTURA — conferir datas",IF(F433-G433&lt;180,"ABERTA MENOS DE 6 MESES ANTES","")))</f>
        <v/>
      </c>
      <c r="J433" s="19" t="str">
        <f aca="false">IF(A433="","",IFERROR(INDEX(Sancoes!$B:$B,MATCH(A433,Sancoes!$A:$A,0))&amp;"","não consta"))</f>
        <v/>
      </c>
      <c r="K433" s="19" t="str">
        <f aca="false">IF(OR(A433="",F433=""),"",IF(SUMPRODUCT((Sancoes!$A$2:$A$301=A433)*(Sancoes!$B$2:$B$301&lt;&gt;"Não consta")*(Sancoes!$D$2:$D$301&lt;&gt;"")*(Sancoes!$D$2:$D$301&lt;=F433)*(((Sancoes!$E$2:$E$301="")+(Sancoes!$E$2:$E$301&gt;=F433))&gt;0))&gt;0,"SANÇÃO VIGENTE NA DATA — leia o tipo e a abrangência",""))</f>
        <v/>
      </c>
      <c r="L433" s="19" t="str">
        <f aca="false">IF(A433="","",IFERROR(INDEX(Empresas!$B:$B,MATCH(A433,Empresas!$A:$A,0))&amp;"","cadastre o CNPJ em Empresas"))</f>
        <v/>
      </c>
      <c r="M433" s="27"/>
      <c r="N433" s="35"/>
      <c r="O433" s="37" t="str">
        <f aca="false">IF(OR(D433="",D433=0,N433=""),"",N433/D433)</f>
        <v/>
      </c>
      <c r="P433" s="19" t="str">
        <f aca="false">IF(O433="","",IF(O433&gt;0.25,"ACRÉSCIMO ACIMA DE 25% — conferir",""))</f>
        <v/>
      </c>
      <c r="Q433" s="27"/>
      <c r="R433" s="5"/>
    </row>
    <row r="434" customFormat="false" ht="15" hidden="false" customHeight="false" outlineLevel="0" collapsed="false">
      <c r="A434" s="27"/>
      <c r="B434" s="5"/>
      <c r="C434" s="5"/>
      <c r="D434" s="35"/>
      <c r="E434" s="14"/>
      <c r="F434" s="18"/>
      <c r="G434" s="31" t="str">
        <f aca="false">IF(A434="","",IFERROR(IF(INDEX(Empresas!$C:$C,MATCH(A434,Empresas!$A:$A,0))="","",INDEX(Empresas!$C:$C,MATCH(A434,Empresas!$A:$A,0))),""))</f>
        <v/>
      </c>
      <c r="H434" s="18"/>
      <c r="I434" s="19" t="str">
        <f aca="false">IF(OR(F434="",G434=""),"",IF(F434-G434&lt;0,"CONTRATO ANTERIOR À ABERTURA — conferir datas",IF(F434-G434&lt;180,"ABERTA MENOS DE 6 MESES ANTES","")))</f>
        <v/>
      </c>
      <c r="J434" s="19" t="str">
        <f aca="false">IF(A434="","",IFERROR(INDEX(Sancoes!$B:$B,MATCH(A434,Sancoes!$A:$A,0))&amp;"","não consta"))</f>
        <v/>
      </c>
      <c r="K434" s="19" t="str">
        <f aca="false">IF(OR(A434="",F434=""),"",IF(SUMPRODUCT((Sancoes!$A$2:$A$301=A434)*(Sancoes!$B$2:$B$301&lt;&gt;"Não consta")*(Sancoes!$D$2:$D$301&lt;&gt;"")*(Sancoes!$D$2:$D$301&lt;=F434)*(((Sancoes!$E$2:$E$301="")+(Sancoes!$E$2:$E$301&gt;=F434))&gt;0))&gt;0,"SANÇÃO VIGENTE NA DATA — leia o tipo e a abrangência",""))</f>
        <v/>
      </c>
      <c r="L434" s="19" t="str">
        <f aca="false">IF(A434="","",IFERROR(INDEX(Empresas!$B:$B,MATCH(A434,Empresas!$A:$A,0))&amp;"","cadastre o CNPJ em Empresas"))</f>
        <v/>
      </c>
      <c r="M434" s="27"/>
      <c r="N434" s="35"/>
      <c r="O434" s="37" t="str">
        <f aca="false">IF(OR(D434="",D434=0,N434=""),"",N434/D434)</f>
        <v/>
      </c>
      <c r="P434" s="19" t="str">
        <f aca="false">IF(O434="","",IF(O434&gt;0.25,"ACRÉSCIMO ACIMA DE 25% — conferir",""))</f>
        <v/>
      </c>
      <c r="Q434" s="27"/>
      <c r="R434" s="5"/>
    </row>
    <row r="435" customFormat="false" ht="15" hidden="false" customHeight="false" outlineLevel="0" collapsed="false">
      <c r="A435" s="27"/>
      <c r="B435" s="5"/>
      <c r="C435" s="5"/>
      <c r="D435" s="35"/>
      <c r="E435" s="14"/>
      <c r="F435" s="18"/>
      <c r="G435" s="31" t="str">
        <f aca="false">IF(A435="","",IFERROR(IF(INDEX(Empresas!$C:$C,MATCH(A435,Empresas!$A:$A,0))="","",INDEX(Empresas!$C:$C,MATCH(A435,Empresas!$A:$A,0))),""))</f>
        <v/>
      </c>
      <c r="H435" s="18"/>
      <c r="I435" s="19" t="str">
        <f aca="false">IF(OR(F435="",G435=""),"",IF(F435-G435&lt;0,"CONTRATO ANTERIOR À ABERTURA — conferir datas",IF(F435-G435&lt;180,"ABERTA MENOS DE 6 MESES ANTES","")))</f>
        <v/>
      </c>
      <c r="J435" s="19" t="str">
        <f aca="false">IF(A435="","",IFERROR(INDEX(Sancoes!$B:$B,MATCH(A435,Sancoes!$A:$A,0))&amp;"","não consta"))</f>
        <v/>
      </c>
      <c r="K435" s="19" t="str">
        <f aca="false">IF(OR(A435="",F435=""),"",IF(SUMPRODUCT((Sancoes!$A$2:$A$301=A435)*(Sancoes!$B$2:$B$301&lt;&gt;"Não consta")*(Sancoes!$D$2:$D$301&lt;&gt;"")*(Sancoes!$D$2:$D$301&lt;=F435)*(((Sancoes!$E$2:$E$301="")+(Sancoes!$E$2:$E$301&gt;=F435))&gt;0))&gt;0,"SANÇÃO VIGENTE NA DATA — leia o tipo e a abrangência",""))</f>
        <v/>
      </c>
      <c r="L435" s="19" t="str">
        <f aca="false">IF(A435="","",IFERROR(INDEX(Empresas!$B:$B,MATCH(A435,Empresas!$A:$A,0))&amp;"","cadastre o CNPJ em Empresas"))</f>
        <v/>
      </c>
      <c r="M435" s="27"/>
      <c r="N435" s="35"/>
      <c r="O435" s="37" t="str">
        <f aca="false">IF(OR(D435="",D435=0,N435=""),"",N435/D435)</f>
        <v/>
      </c>
      <c r="P435" s="19" t="str">
        <f aca="false">IF(O435="","",IF(O435&gt;0.25,"ACRÉSCIMO ACIMA DE 25% — conferir",""))</f>
        <v/>
      </c>
      <c r="Q435" s="27"/>
      <c r="R435" s="5"/>
    </row>
    <row r="436" customFormat="false" ht="15" hidden="false" customHeight="false" outlineLevel="0" collapsed="false">
      <c r="A436" s="27"/>
      <c r="B436" s="5"/>
      <c r="C436" s="5"/>
      <c r="D436" s="35"/>
      <c r="E436" s="14"/>
      <c r="F436" s="18"/>
      <c r="G436" s="31" t="str">
        <f aca="false">IF(A436="","",IFERROR(IF(INDEX(Empresas!$C:$C,MATCH(A436,Empresas!$A:$A,0))="","",INDEX(Empresas!$C:$C,MATCH(A436,Empresas!$A:$A,0))),""))</f>
        <v/>
      </c>
      <c r="H436" s="18"/>
      <c r="I436" s="19" t="str">
        <f aca="false">IF(OR(F436="",G436=""),"",IF(F436-G436&lt;0,"CONTRATO ANTERIOR À ABERTURA — conferir datas",IF(F436-G436&lt;180,"ABERTA MENOS DE 6 MESES ANTES","")))</f>
        <v/>
      </c>
      <c r="J436" s="19" t="str">
        <f aca="false">IF(A436="","",IFERROR(INDEX(Sancoes!$B:$B,MATCH(A436,Sancoes!$A:$A,0))&amp;"","não consta"))</f>
        <v/>
      </c>
      <c r="K436" s="19" t="str">
        <f aca="false">IF(OR(A436="",F436=""),"",IF(SUMPRODUCT((Sancoes!$A$2:$A$301=A436)*(Sancoes!$B$2:$B$301&lt;&gt;"Não consta")*(Sancoes!$D$2:$D$301&lt;&gt;"")*(Sancoes!$D$2:$D$301&lt;=F436)*(((Sancoes!$E$2:$E$301="")+(Sancoes!$E$2:$E$301&gt;=F436))&gt;0))&gt;0,"SANÇÃO VIGENTE NA DATA — leia o tipo e a abrangência",""))</f>
        <v/>
      </c>
      <c r="L436" s="19" t="str">
        <f aca="false">IF(A436="","",IFERROR(INDEX(Empresas!$B:$B,MATCH(A436,Empresas!$A:$A,0))&amp;"","cadastre o CNPJ em Empresas"))</f>
        <v/>
      </c>
      <c r="M436" s="27"/>
      <c r="N436" s="35"/>
      <c r="O436" s="37" t="str">
        <f aca="false">IF(OR(D436="",D436=0,N436=""),"",N436/D436)</f>
        <v/>
      </c>
      <c r="P436" s="19" t="str">
        <f aca="false">IF(O436="","",IF(O436&gt;0.25,"ACRÉSCIMO ACIMA DE 25% — conferir",""))</f>
        <v/>
      </c>
      <c r="Q436" s="27"/>
      <c r="R436" s="5"/>
    </row>
    <row r="437" customFormat="false" ht="15" hidden="false" customHeight="false" outlineLevel="0" collapsed="false">
      <c r="A437" s="27"/>
      <c r="B437" s="5"/>
      <c r="C437" s="5"/>
      <c r="D437" s="35"/>
      <c r="E437" s="14"/>
      <c r="F437" s="18"/>
      <c r="G437" s="31" t="str">
        <f aca="false">IF(A437="","",IFERROR(IF(INDEX(Empresas!$C:$C,MATCH(A437,Empresas!$A:$A,0))="","",INDEX(Empresas!$C:$C,MATCH(A437,Empresas!$A:$A,0))),""))</f>
        <v/>
      </c>
      <c r="H437" s="18"/>
      <c r="I437" s="19" t="str">
        <f aca="false">IF(OR(F437="",G437=""),"",IF(F437-G437&lt;0,"CONTRATO ANTERIOR À ABERTURA — conferir datas",IF(F437-G437&lt;180,"ABERTA MENOS DE 6 MESES ANTES","")))</f>
        <v/>
      </c>
      <c r="J437" s="19" t="str">
        <f aca="false">IF(A437="","",IFERROR(INDEX(Sancoes!$B:$B,MATCH(A437,Sancoes!$A:$A,0))&amp;"","não consta"))</f>
        <v/>
      </c>
      <c r="K437" s="19" t="str">
        <f aca="false">IF(OR(A437="",F437=""),"",IF(SUMPRODUCT((Sancoes!$A$2:$A$301=A437)*(Sancoes!$B$2:$B$301&lt;&gt;"Não consta")*(Sancoes!$D$2:$D$301&lt;&gt;"")*(Sancoes!$D$2:$D$301&lt;=F437)*(((Sancoes!$E$2:$E$301="")+(Sancoes!$E$2:$E$301&gt;=F437))&gt;0))&gt;0,"SANÇÃO VIGENTE NA DATA — leia o tipo e a abrangência",""))</f>
        <v/>
      </c>
      <c r="L437" s="19" t="str">
        <f aca="false">IF(A437="","",IFERROR(INDEX(Empresas!$B:$B,MATCH(A437,Empresas!$A:$A,0))&amp;"","cadastre o CNPJ em Empresas"))</f>
        <v/>
      </c>
      <c r="M437" s="27"/>
      <c r="N437" s="35"/>
      <c r="O437" s="37" t="str">
        <f aca="false">IF(OR(D437="",D437=0,N437=""),"",N437/D437)</f>
        <v/>
      </c>
      <c r="P437" s="19" t="str">
        <f aca="false">IF(O437="","",IF(O437&gt;0.25,"ACRÉSCIMO ACIMA DE 25% — conferir",""))</f>
        <v/>
      </c>
      <c r="Q437" s="27"/>
      <c r="R437" s="5"/>
    </row>
    <row r="438" customFormat="false" ht="15" hidden="false" customHeight="false" outlineLevel="0" collapsed="false">
      <c r="A438" s="27"/>
      <c r="B438" s="5"/>
      <c r="C438" s="5"/>
      <c r="D438" s="35"/>
      <c r="E438" s="14"/>
      <c r="F438" s="18"/>
      <c r="G438" s="31" t="str">
        <f aca="false">IF(A438="","",IFERROR(IF(INDEX(Empresas!$C:$C,MATCH(A438,Empresas!$A:$A,0))="","",INDEX(Empresas!$C:$C,MATCH(A438,Empresas!$A:$A,0))),""))</f>
        <v/>
      </c>
      <c r="H438" s="18"/>
      <c r="I438" s="19" t="str">
        <f aca="false">IF(OR(F438="",G438=""),"",IF(F438-G438&lt;0,"CONTRATO ANTERIOR À ABERTURA — conferir datas",IF(F438-G438&lt;180,"ABERTA MENOS DE 6 MESES ANTES","")))</f>
        <v/>
      </c>
      <c r="J438" s="19" t="str">
        <f aca="false">IF(A438="","",IFERROR(INDEX(Sancoes!$B:$B,MATCH(A438,Sancoes!$A:$A,0))&amp;"","não consta"))</f>
        <v/>
      </c>
      <c r="K438" s="19" t="str">
        <f aca="false">IF(OR(A438="",F438=""),"",IF(SUMPRODUCT((Sancoes!$A$2:$A$301=A438)*(Sancoes!$B$2:$B$301&lt;&gt;"Não consta")*(Sancoes!$D$2:$D$301&lt;&gt;"")*(Sancoes!$D$2:$D$301&lt;=F438)*(((Sancoes!$E$2:$E$301="")+(Sancoes!$E$2:$E$301&gt;=F438))&gt;0))&gt;0,"SANÇÃO VIGENTE NA DATA — leia o tipo e a abrangência",""))</f>
        <v/>
      </c>
      <c r="L438" s="19" t="str">
        <f aca="false">IF(A438="","",IFERROR(INDEX(Empresas!$B:$B,MATCH(A438,Empresas!$A:$A,0))&amp;"","cadastre o CNPJ em Empresas"))</f>
        <v/>
      </c>
      <c r="M438" s="27"/>
      <c r="N438" s="35"/>
      <c r="O438" s="37" t="str">
        <f aca="false">IF(OR(D438="",D438=0,N438=""),"",N438/D438)</f>
        <v/>
      </c>
      <c r="P438" s="19" t="str">
        <f aca="false">IF(O438="","",IF(O438&gt;0.25,"ACRÉSCIMO ACIMA DE 25% — conferir",""))</f>
        <v/>
      </c>
      <c r="Q438" s="27"/>
      <c r="R438" s="5"/>
    </row>
    <row r="439" customFormat="false" ht="15" hidden="false" customHeight="false" outlineLevel="0" collapsed="false">
      <c r="A439" s="27"/>
      <c r="B439" s="5"/>
      <c r="C439" s="5"/>
      <c r="D439" s="35"/>
      <c r="E439" s="14"/>
      <c r="F439" s="18"/>
      <c r="G439" s="31" t="str">
        <f aca="false">IF(A439="","",IFERROR(IF(INDEX(Empresas!$C:$C,MATCH(A439,Empresas!$A:$A,0))="","",INDEX(Empresas!$C:$C,MATCH(A439,Empresas!$A:$A,0))),""))</f>
        <v/>
      </c>
      <c r="H439" s="18"/>
      <c r="I439" s="19" t="str">
        <f aca="false">IF(OR(F439="",G439=""),"",IF(F439-G439&lt;0,"CONTRATO ANTERIOR À ABERTURA — conferir datas",IF(F439-G439&lt;180,"ABERTA MENOS DE 6 MESES ANTES","")))</f>
        <v/>
      </c>
      <c r="J439" s="19" t="str">
        <f aca="false">IF(A439="","",IFERROR(INDEX(Sancoes!$B:$B,MATCH(A439,Sancoes!$A:$A,0))&amp;"","não consta"))</f>
        <v/>
      </c>
      <c r="K439" s="19" t="str">
        <f aca="false">IF(OR(A439="",F439=""),"",IF(SUMPRODUCT((Sancoes!$A$2:$A$301=A439)*(Sancoes!$B$2:$B$301&lt;&gt;"Não consta")*(Sancoes!$D$2:$D$301&lt;&gt;"")*(Sancoes!$D$2:$D$301&lt;=F439)*(((Sancoes!$E$2:$E$301="")+(Sancoes!$E$2:$E$301&gt;=F439))&gt;0))&gt;0,"SANÇÃO VIGENTE NA DATA — leia o tipo e a abrangência",""))</f>
        <v/>
      </c>
      <c r="L439" s="19" t="str">
        <f aca="false">IF(A439="","",IFERROR(INDEX(Empresas!$B:$B,MATCH(A439,Empresas!$A:$A,0))&amp;"","cadastre o CNPJ em Empresas"))</f>
        <v/>
      </c>
      <c r="M439" s="27"/>
      <c r="N439" s="35"/>
      <c r="O439" s="37" t="str">
        <f aca="false">IF(OR(D439="",D439=0,N439=""),"",N439/D439)</f>
        <v/>
      </c>
      <c r="P439" s="19" t="str">
        <f aca="false">IF(O439="","",IF(O439&gt;0.25,"ACRÉSCIMO ACIMA DE 25% — conferir",""))</f>
        <v/>
      </c>
      <c r="Q439" s="27"/>
      <c r="R439" s="5"/>
    </row>
    <row r="440" customFormat="false" ht="15" hidden="false" customHeight="false" outlineLevel="0" collapsed="false">
      <c r="A440" s="27"/>
      <c r="B440" s="5"/>
      <c r="C440" s="5"/>
      <c r="D440" s="35"/>
      <c r="E440" s="14"/>
      <c r="F440" s="18"/>
      <c r="G440" s="31" t="str">
        <f aca="false">IF(A440="","",IFERROR(IF(INDEX(Empresas!$C:$C,MATCH(A440,Empresas!$A:$A,0))="","",INDEX(Empresas!$C:$C,MATCH(A440,Empresas!$A:$A,0))),""))</f>
        <v/>
      </c>
      <c r="H440" s="18"/>
      <c r="I440" s="19" t="str">
        <f aca="false">IF(OR(F440="",G440=""),"",IF(F440-G440&lt;0,"CONTRATO ANTERIOR À ABERTURA — conferir datas",IF(F440-G440&lt;180,"ABERTA MENOS DE 6 MESES ANTES","")))</f>
        <v/>
      </c>
      <c r="J440" s="19" t="str">
        <f aca="false">IF(A440="","",IFERROR(INDEX(Sancoes!$B:$B,MATCH(A440,Sancoes!$A:$A,0))&amp;"","não consta"))</f>
        <v/>
      </c>
      <c r="K440" s="19" t="str">
        <f aca="false">IF(OR(A440="",F440=""),"",IF(SUMPRODUCT((Sancoes!$A$2:$A$301=A440)*(Sancoes!$B$2:$B$301&lt;&gt;"Não consta")*(Sancoes!$D$2:$D$301&lt;&gt;"")*(Sancoes!$D$2:$D$301&lt;=F440)*(((Sancoes!$E$2:$E$301="")+(Sancoes!$E$2:$E$301&gt;=F440))&gt;0))&gt;0,"SANÇÃO VIGENTE NA DATA — leia o tipo e a abrangência",""))</f>
        <v/>
      </c>
      <c r="L440" s="19" t="str">
        <f aca="false">IF(A440="","",IFERROR(INDEX(Empresas!$B:$B,MATCH(A440,Empresas!$A:$A,0))&amp;"","cadastre o CNPJ em Empresas"))</f>
        <v/>
      </c>
      <c r="M440" s="27"/>
      <c r="N440" s="35"/>
      <c r="O440" s="37" t="str">
        <f aca="false">IF(OR(D440="",D440=0,N440=""),"",N440/D440)</f>
        <v/>
      </c>
      <c r="P440" s="19" t="str">
        <f aca="false">IF(O440="","",IF(O440&gt;0.25,"ACRÉSCIMO ACIMA DE 25% — conferir",""))</f>
        <v/>
      </c>
      <c r="Q440" s="27"/>
      <c r="R440" s="5"/>
    </row>
    <row r="441" customFormat="false" ht="15" hidden="false" customHeight="false" outlineLevel="0" collapsed="false">
      <c r="A441" s="27"/>
      <c r="B441" s="5"/>
      <c r="C441" s="5"/>
      <c r="D441" s="35"/>
      <c r="E441" s="14"/>
      <c r="F441" s="18"/>
      <c r="G441" s="31" t="str">
        <f aca="false">IF(A441="","",IFERROR(IF(INDEX(Empresas!$C:$C,MATCH(A441,Empresas!$A:$A,0))="","",INDEX(Empresas!$C:$C,MATCH(A441,Empresas!$A:$A,0))),""))</f>
        <v/>
      </c>
      <c r="H441" s="18"/>
      <c r="I441" s="19" t="str">
        <f aca="false">IF(OR(F441="",G441=""),"",IF(F441-G441&lt;0,"CONTRATO ANTERIOR À ABERTURA — conferir datas",IF(F441-G441&lt;180,"ABERTA MENOS DE 6 MESES ANTES","")))</f>
        <v/>
      </c>
      <c r="J441" s="19" t="str">
        <f aca="false">IF(A441="","",IFERROR(INDEX(Sancoes!$B:$B,MATCH(A441,Sancoes!$A:$A,0))&amp;"","não consta"))</f>
        <v/>
      </c>
      <c r="K441" s="19" t="str">
        <f aca="false">IF(OR(A441="",F441=""),"",IF(SUMPRODUCT((Sancoes!$A$2:$A$301=A441)*(Sancoes!$B$2:$B$301&lt;&gt;"Não consta")*(Sancoes!$D$2:$D$301&lt;&gt;"")*(Sancoes!$D$2:$D$301&lt;=F441)*(((Sancoes!$E$2:$E$301="")+(Sancoes!$E$2:$E$301&gt;=F441))&gt;0))&gt;0,"SANÇÃO VIGENTE NA DATA — leia o tipo e a abrangência",""))</f>
        <v/>
      </c>
      <c r="L441" s="19" t="str">
        <f aca="false">IF(A441="","",IFERROR(INDEX(Empresas!$B:$B,MATCH(A441,Empresas!$A:$A,0))&amp;"","cadastre o CNPJ em Empresas"))</f>
        <v/>
      </c>
      <c r="M441" s="27"/>
      <c r="N441" s="35"/>
      <c r="O441" s="37" t="str">
        <f aca="false">IF(OR(D441="",D441=0,N441=""),"",N441/D441)</f>
        <v/>
      </c>
      <c r="P441" s="19" t="str">
        <f aca="false">IF(O441="","",IF(O441&gt;0.25,"ACRÉSCIMO ACIMA DE 25% — conferir",""))</f>
        <v/>
      </c>
      <c r="Q441" s="27"/>
      <c r="R441" s="5"/>
    </row>
    <row r="442" customFormat="false" ht="15" hidden="false" customHeight="false" outlineLevel="0" collapsed="false">
      <c r="A442" s="27"/>
      <c r="B442" s="5"/>
      <c r="C442" s="5"/>
      <c r="D442" s="35"/>
      <c r="E442" s="14"/>
      <c r="F442" s="18"/>
      <c r="G442" s="31" t="str">
        <f aca="false">IF(A442="","",IFERROR(IF(INDEX(Empresas!$C:$C,MATCH(A442,Empresas!$A:$A,0))="","",INDEX(Empresas!$C:$C,MATCH(A442,Empresas!$A:$A,0))),""))</f>
        <v/>
      </c>
      <c r="H442" s="18"/>
      <c r="I442" s="19" t="str">
        <f aca="false">IF(OR(F442="",G442=""),"",IF(F442-G442&lt;0,"CONTRATO ANTERIOR À ABERTURA — conferir datas",IF(F442-G442&lt;180,"ABERTA MENOS DE 6 MESES ANTES","")))</f>
        <v/>
      </c>
      <c r="J442" s="19" t="str">
        <f aca="false">IF(A442="","",IFERROR(INDEX(Sancoes!$B:$B,MATCH(A442,Sancoes!$A:$A,0))&amp;"","não consta"))</f>
        <v/>
      </c>
      <c r="K442" s="19" t="str">
        <f aca="false">IF(OR(A442="",F442=""),"",IF(SUMPRODUCT((Sancoes!$A$2:$A$301=A442)*(Sancoes!$B$2:$B$301&lt;&gt;"Não consta")*(Sancoes!$D$2:$D$301&lt;&gt;"")*(Sancoes!$D$2:$D$301&lt;=F442)*(((Sancoes!$E$2:$E$301="")+(Sancoes!$E$2:$E$301&gt;=F442))&gt;0))&gt;0,"SANÇÃO VIGENTE NA DATA — leia o tipo e a abrangência",""))</f>
        <v/>
      </c>
      <c r="L442" s="19" t="str">
        <f aca="false">IF(A442="","",IFERROR(INDEX(Empresas!$B:$B,MATCH(A442,Empresas!$A:$A,0))&amp;"","cadastre o CNPJ em Empresas"))</f>
        <v/>
      </c>
      <c r="M442" s="27"/>
      <c r="N442" s="35"/>
      <c r="O442" s="37" t="str">
        <f aca="false">IF(OR(D442="",D442=0,N442=""),"",N442/D442)</f>
        <v/>
      </c>
      <c r="P442" s="19" t="str">
        <f aca="false">IF(O442="","",IF(O442&gt;0.25,"ACRÉSCIMO ACIMA DE 25% — conferir",""))</f>
        <v/>
      </c>
      <c r="Q442" s="27"/>
      <c r="R442" s="5"/>
    </row>
    <row r="443" customFormat="false" ht="15" hidden="false" customHeight="false" outlineLevel="0" collapsed="false">
      <c r="A443" s="27"/>
      <c r="B443" s="5"/>
      <c r="C443" s="5"/>
      <c r="D443" s="35"/>
      <c r="E443" s="14"/>
      <c r="F443" s="18"/>
      <c r="G443" s="31" t="str">
        <f aca="false">IF(A443="","",IFERROR(IF(INDEX(Empresas!$C:$C,MATCH(A443,Empresas!$A:$A,0))="","",INDEX(Empresas!$C:$C,MATCH(A443,Empresas!$A:$A,0))),""))</f>
        <v/>
      </c>
      <c r="H443" s="18"/>
      <c r="I443" s="19" t="str">
        <f aca="false">IF(OR(F443="",G443=""),"",IF(F443-G443&lt;0,"CONTRATO ANTERIOR À ABERTURA — conferir datas",IF(F443-G443&lt;180,"ABERTA MENOS DE 6 MESES ANTES","")))</f>
        <v/>
      </c>
      <c r="J443" s="19" t="str">
        <f aca="false">IF(A443="","",IFERROR(INDEX(Sancoes!$B:$B,MATCH(A443,Sancoes!$A:$A,0))&amp;"","não consta"))</f>
        <v/>
      </c>
      <c r="K443" s="19" t="str">
        <f aca="false">IF(OR(A443="",F443=""),"",IF(SUMPRODUCT((Sancoes!$A$2:$A$301=A443)*(Sancoes!$B$2:$B$301&lt;&gt;"Não consta")*(Sancoes!$D$2:$D$301&lt;&gt;"")*(Sancoes!$D$2:$D$301&lt;=F443)*(((Sancoes!$E$2:$E$301="")+(Sancoes!$E$2:$E$301&gt;=F443))&gt;0))&gt;0,"SANÇÃO VIGENTE NA DATA — leia o tipo e a abrangência",""))</f>
        <v/>
      </c>
      <c r="L443" s="19" t="str">
        <f aca="false">IF(A443="","",IFERROR(INDEX(Empresas!$B:$B,MATCH(A443,Empresas!$A:$A,0))&amp;"","cadastre o CNPJ em Empresas"))</f>
        <v/>
      </c>
      <c r="M443" s="27"/>
      <c r="N443" s="35"/>
      <c r="O443" s="37" t="str">
        <f aca="false">IF(OR(D443="",D443=0,N443=""),"",N443/D443)</f>
        <v/>
      </c>
      <c r="P443" s="19" t="str">
        <f aca="false">IF(O443="","",IF(O443&gt;0.25,"ACRÉSCIMO ACIMA DE 25% — conferir",""))</f>
        <v/>
      </c>
      <c r="Q443" s="27"/>
      <c r="R443" s="5"/>
    </row>
    <row r="444" customFormat="false" ht="15" hidden="false" customHeight="false" outlineLevel="0" collapsed="false">
      <c r="A444" s="27"/>
      <c r="B444" s="5"/>
      <c r="C444" s="5"/>
      <c r="D444" s="35"/>
      <c r="E444" s="14"/>
      <c r="F444" s="18"/>
      <c r="G444" s="31" t="str">
        <f aca="false">IF(A444="","",IFERROR(IF(INDEX(Empresas!$C:$C,MATCH(A444,Empresas!$A:$A,0))="","",INDEX(Empresas!$C:$C,MATCH(A444,Empresas!$A:$A,0))),""))</f>
        <v/>
      </c>
      <c r="H444" s="18"/>
      <c r="I444" s="19" t="str">
        <f aca="false">IF(OR(F444="",G444=""),"",IF(F444-G444&lt;0,"CONTRATO ANTERIOR À ABERTURA — conferir datas",IF(F444-G444&lt;180,"ABERTA MENOS DE 6 MESES ANTES","")))</f>
        <v/>
      </c>
      <c r="J444" s="19" t="str">
        <f aca="false">IF(A444="","",IFERROR(INDEX(Sancoes!$B:$B,MATCH(A444,Sancoes!$A:$A,0))&amp;"","não consta"))</f>
        <v/>
      </c>
      <c r="K444" s="19" t="str">
        <f aca="false">IF(OR(A444="",F444=""),"",IF(SUMPRODUCT((Sancoes!$A$2:$A$301=A444)*(Sancoes!$B$2:$B$301&lt;&gt;"Não consta")*(Sancoes!$D$2:$D$301&lt;&gt;"")*(Sancoes!$D$2:$D$301&lt;=F444)*(((Sancoes!$E$2:$E$301="")+(Sancoes!$E$2:$E$301&gt;=F444))&gt;0))&gt;0,"SANÇÃO VIGENTE NA DATA — leia o tipo e a abrangência",""))</f>
        <v/>
      </c>
      <c r="L444" s="19" t="str">
        <f aca="false">IF(A444="","",IFERROR(INDEX(Empresas!$B:$B,MATCH(A444,Empresas!$A:$A,0))&amp;"","cadastre o CNPJ em Empresas"))</f>
        <v/>
      </c>
      <c r="M444" s="27"/>
      <c r="N444" s="35"/>
      <c r="O444" s="37" t="str">
        <f aca="false">IF(OR(D444="",D444=0,N444=""),"",N444/D444)</f>
        <v/>
      </c>
      <c r="P444" s="19" t="str">
        <f aca="false">IF(O444="","",IF(O444&gt;0.25,"ACRÉSCIMO ACIMA DE 25% — conferir",""))</f>
        <v/>
      </c>
      <c r="Q444" s="27"/>
      <c r="R444" s="5"/>
    </row>
    <row r="445" customFormat="false" ht="15" hidden="false" customHeight="false" outlineLevel="0" collapsed="false">
      <c r="A445" s="27"/>
      <c r="B445" s="5"/>
      <c r="C445" s="5"/>
      <c r="D445" s="35"/>
      <c r="E445" s="14"/>
      <c r="F445" s="18"/>
      <c r="G445" s="31" t="str">
        <f aca="false">IF(A445="","",IFERROR(IF(INDEX(Empresas!$C:$C,MATCH(A445,Empresas!$A:$A,0))="","",INDEX(Empresas!$C:$C,MATCH(A445,Empresas!$A:$A,0))),""))</f>
        <v/>
      </c>
      <c r="H445" s="18"/>
      <c r="I445" s="19" t="str">
        <f aca="false">IF(OR(F445="",G445=""),"",IF(F445-G445&lt;0,"CONTRATO ANTERIOR À ABERTURA — conferir datas",IF(F445-G445&lt;180,"ABERTA MENOS DE 6 MESES ANTES","")))</f>
        <v/>
      </c>
      <c r="J445" s="19" t="str">
        <f aca="false">IF(A445="","",IFERROR(INDEX(Sancoes!$B:$B,MATCH(A445,Sancoes!$A:$A,0))&amp;"","não consta"))</f>
        <v/>
      </c>
      <c r="K445" s="19" t="str">
        <f aca="false">IF(OR(A445="",F445=""),"",IF(SUMPRODUCT((Sancoes!$A$2:$A$301=A445)*(Sancoes!$B$2:$B$301&lt;&gt;"Não consta")*(Sancoes!$D$2:$D$301&lt;&gt;"")*(Sancoes!$D$2:$D$301&lt;=F445)*(((Sancoes!$E$2:$E$301="")+(Sancoes!$E$2:$E$301&gt;=F445))&gt;0))&gt;0,"SANÇÃO VIGENTE NA DATA — leia o tipo e a abrangência",""))</f>
        <v/>
      </c>
      <c r="L445" s="19" t="str">
        <f aca="false">IF(A445="","",IFERROR(INDEX(Empresas!$B:$B,MATCH(A445,Empresas!$A:$A,0))&amp;"","cadastre o CNPJ em Empresas"))</f>
        <v/>
      </c>
      <c r="M445" s="27"/>
      <c r="N445" s="35"/>
      <c r="O445" s="37" t="str">
        <f aca="false">IF(OR(D445="",D445=0,N445=""),"",N445/D445)</f>
        <v/>
      </c>
      <c r="P445" s="19" t="str">
        <f aca="false">IF(O445="","",IF(O445&gt;0.25,"ACRÉSCIMO ACIMA DE 25% — conferir",""))</f>
        <v/>
      </c>
      <c r="Q445" s="27"/>
      <c r="R445" s="5"/>
    </row>
    <row r="446" customFormat="false" ht="15" hidden="false" customHeight="false" outlineLevel="0" collapsed="false">
      <c r="A446" s="27"/>
      <c r="B446" s="5"/>
      <c r="C446" s="5"/>
      <c r="D446" s="35"/>
      <c r="E446" s="14"/>
      <c r="F446" s="18"/>
      <c r="G446" s="31" t="str">
        <f aca="false">IF(A446="","",IFERROR(IF(INDEX(Empresas!$C:$C,MATCH(A446,Empresas!$A:$A,0))="","",INDEX(Empresas!$C:$C,MATCH(A446,Empresas!$A:$A,0))),""))</f>
        <v/>
      </c>
      <c r="H446" s="18"/>
      <c r="I446" s="19" t="str">
        <f aca="false">IF(OR(F446="",G446=""),"",IF(F446-G446&lt;0,"CONTRATO ANTERIOR À ABERTURA — conferir datas",IF(F446-G446&lt;180,"ABERTA MENOS DE 6 MESES ANTES","")))</f>
        <v/>
      </c>
      <c r="J446" s="19" t="str">
        <f aca="false">IF(A446="","",IFERROR(INDEX(Sancoes!$B:$B,MATCH(A446,Sancoes!$A:$A,0))&amp;"","não consta"))</f>
        <v/>
      </c>
      <c r="K446" s="19" t="str">
        <f aca="false">IF(OR(A446="",F446=""),"",IF(SUMPRODUCT((Sancoes!$A$2:$A$301=A446)*(Sancoes!$B$2:$B$301&lt;&gt;"Não consta")*(Sancoes!$D$2:$D$301&lt;&gt;"")*(Sancoes!$D$2:$D$301&lt;=F446)*(((Sancoes!$E$2:$E$301="")+(Sancoes!$E$2:$E$301&gt;=F446))&gt;0))&gt;0,"SANÇÃO VIGENTE NA DATA — leia o tipo e a abrangência",""))</f>
        <v/>
      </c>
      <c r="L446" s="19" t="str">
        <f aca="false">IF(A446="","",IFERROR(INDEX(Empresas!$B:$B,MATCH(A446,Empresas!$A:$A,0))&amp;"","cadastre o CNPJ em Empresas"))</f>
        <v/>
      </c>
      <c r="M446" s="27"/>
      <c r="N446" s="35"/>
      <c r="O446" s="37" t="str">
        <f aca="false">IF(OR(D446="",D446=0,N446=""),"",N446/D446)</f>
        <v/>
      </c>
      <c r="P446" s="19" t="str">
        <f aca="false">IF(O446="","",IF(O446&gt;0.25,"ACRÉSCIMO ACIMA DE 25% — conferir",""))</f>
        <v/>
      </c>
      <c r="Q446" s="27"/>
      <c r="R446" s="5"/>
    </row>
    <row r="447" customFormat="false" ht="15" hidden="false" customHeight="false" outlineLevel="0" collapsed="false">
      <c r="A447" s="27"/>
      <c r="B447" s="5"/>
      <c r="C447" s="5"/>
      <c r="D447" s="35"/>
      <c r="E447" s="14"/>
      <c r="F447" s="18"/>
      <c r="G447" s="31" t="str">
        <f aca="false">IF(A447="","",IFERROR(IF(INDEX(Empresas!$C:$C,MATCH(A447,Empresas!$A:$A,0))="","",INDEX(Empresas!$C:$C,MATCH(A447,Empresas!$A:$A,0))),""))</f>
        <v/>
      </c>
      <c r="H447" s="18"/>
      <c r="I447" s="19" t="str">
        <f aca="false">IF(OR(F447="",G447=""),"",IF(F447-G447&lt;0,"CONTRATO ANTERIOR À ABERTURA — conferir datas",IF(F447-G447&lt;180,"ABERTA MENOS DE 6 MESES ANTES","")))</f>
        <v/>
      </c>
      <c r="J447" s="19" t="str">
        <f aca="false">IF(A447="","",IFERROR(INDEX(Sancoes!$B:$B,MATCH(A447,Sancoes!$A:$A,0))&amp;"","não consta"))</f>
        <v/>
      </c>
      <c r="K447" s="19" t="str">
        <f aca="false">IF(OR(A447="",F447=""),"",IF(SUMPRODUCT((Sancoes!$A$2:$A$301=A447)*(Sancoes!$B$2:$B$301&lt;&gt;"Não consta")*(Sancoes!$D$2:$D$301&lt;&gt;"")*(Sancoes!$D$2:$D$301&lt;=F447)*(((Sancoes!$E$2:$E$301="")+(Sancoes!$E$2:$E$301&gt;=F447))&gt;0))&gt;0,"SANÇÃO VIGENTE NA DATA — leia o tipo e a abrangência",""))</f>
        <v/>
      </c>
      <c r="L447" s="19" t="str">
        <f aca="false">IF(A447="","",IFERROR(INDEX(Empresas!$B:$B,MATCH(A447,Empresas!$A:$A,0))&amp;"","cadastre o CNPJ em Empresas"))</f>
        <v/>
      </c>
      <c r="M447" s="27"/>
      <c r="N447" s="35"/>
      <c r="O447" s="37" t="str">
        <f aca="false">IF(OR(D447="",D447=0,N447=""),"",N447/D447)</f>
        <v/>
      </c>
      <c r="P447" s="19" t="str">
        <f aca="false">IF(O447="","",IF(O447&gt;0.25,"ACRÉSCIMO ACIMA DE 25% — conferir",""))</f>
        <v/>
      </c>
      <c r="Q447" s="27"/>
      <c r="R447" s="5"/>
    </row>
    <row r="448" customFormat="false" ht="15" hidden="false" customHeight="false" outlineLevel="0" collapsed="false">
      <c r="A448" s="27"/>
      <c r="B448" s="5"/>
      <c r="C448" s="5"/>
      <c r="D448" s="35"/>
      <c r="E448" s="14"/>
      <c r="F448" s="18"/>
      <c r="G448" s="31" t="str">
        <f aca="false">IF(A448="","",IFERROR(IF(INDEX(Empresas!$C:$C,MATCH(A448,Empresas!$A:$A,0))="","",INDEX(Empresas!$C:$C,MATCH(A448,Empresas!$A:$A,0))),""))</f>
        <v/>
      </c>
      <c r="H448" s="18"/>
      <c r="I448" s="19" t="str">
        <f aca="false">IF(OR(F448="",G448=""),"",IF(F448-G448&lt;0,"CONTRATO ANTERIOR À ABERTURA — conferir datas",IF(F448-G448&lt;180,"ABERTA MENOS DE 6 MESES ANTES","")))</f>
        <v/>
      </c>
      <c r="J448" s="19" t="str">
        <f aca="false">IF(A448="","",IFERROR(INDEX(Sancoes!$B:$B,MATCH(A448,Sancoes!$A:$A,0))&amp;"","não consta"))</f>
        <v/>
      </c>
      <c r="K448" s="19" t="str">
        <f aca="false">IF(OR(A448="",F448=""),"",IF(SUMPRODUCT((Sancoes!$A$2:$A$301=A448)*(Sancoes!$B$2:$B$301&lt;&gt;"Não consta")*(Sancoes!$D$2:$D$301&lt;&gt;"")*(Sancoes!$D$2:$D$301&lt;=F448)*(((Sancoes!$E$2:$E$301="")+(Sancoes!$E$2:$E$301&gt;=F448))&gt;0))&gt;0,"SANÇÃO VIGENTE NA DATA — leia o tipo e a abrangência",""))</f>
        <v/>
      </c>
      <c r="L448" s="19" t="str">
        <f aca="false">IF(A448="","",IFERROR(INDEX(Empresas!$B:$B,MATCH(A448,Empresas!$A:$A,0))&amp;"","cadastre o CNPJ em Empresas"))</f>
        <v/>
      </c>
      <c r="M448" s="27"/>
      <c r="N448" s="35"/>
      <c r="O448" s="37" t="str">
        <f aca="false">IF(OR(D448="",D448=0,N448=""),"",N448/D448)</f>
        <v/>
      </c>
      <c r="P448" s="19" t="str">
        <f aca="false">IF(O448="","",IF(O448&gt;0.25,"ACRÉSCIMO ACIMA DE 25% — conferir",""))</f>
        <v/>
      </c>
      <c r="Q448" s="27"/>
      <c r="R448" s="5"/>
    </row>
    <row r="449" customFormat="false" ht="15" hidden="false" customHeight="false" outlineLevel="0" collapsed="false">
      <c r="A449" s="27"/>
      <c r="B449" s="5"/>
      <c r="C449" s="5"/>
      <c r="D449" s="35"/>
      <c r="E449" s="14"/>
      <c r="F449" s="18"/>
      <c r="G449" s="31" t="str">
        <f aca="false">IF(A449="","",IFERROR(IF(INDEX(Empresas!$C:$C,MATCH(A449,Empresas!$A:$A,0))="","",INDEX(Empresas!$C:$C,MATCH(A449,Empresas!$A:$A,0))),""))</f>
        <v/>
      </c>
      <c r="H449" s="18"/>
      <c r="I449" s="19" t="str">
        <f aca="false">IF(OR(F449="",G449=""),"",IF(F449-G449&lt;0,"CONTRATO ANTERIOR À ABERTURA — conferir datas",IF(F449-G449&lt;180,"ABERTA MENOS DE 6 MESES ANTES","")))</f>
        <v/>
      </c>
      <c r="J449" s="19" t="str">
        <f aca="false">IF(A449="","",IFERROR(INDEX(Sancoes!$B:$B,MATCH(A449,Sancoes!$A:$A,0))&amp;"","não consta"))</f>
        <v/>
      </c>
      <c r="K449" s="19" t="str">
        <f aca="false">IF(OR(A449="",F449=""),"",IF(SUMPRODUCT((Sancoes!$A$2:$A$301=A449)*(Sancoes!$B$2:$B$301&lt;&gt;"Não consta")*(Sancoes!$D$2:$D$301&lt;&gt;"")*(Sancoes!$D$2:$D$301&lt;=F449)*(((Sancoes!$E$2:$E$301="")+(Sancoes!$E$2:$E$301&gt;=F449))&gt;0))&gt;0,"SANÇÃO VIGENTE NA DATA — leia o tipo e a abrangência",""))</f>
        <v/>
      </c>
      <c r="L449" s="19" t="str">
        <f aca="false">IF(A449="","",IFERROR(INDEX(Empresas!$B:$B,MATCH(A449,Empresas!$A:$A,0))&amp;"","cadastre o CNPJ em Empresas"))</f>
        <v/>
      </c>
      <c r="M449" s="27"/>
      <c r="N449" s="35"/>
      <c r="O449" s="37" t="str">
        <f aca="false">IF(OR(D449="",D449=0,N449=""),"",N449/D449)</f>
        <v/>
      </c>
      <c r="P449" s="19" t="str">
        <f aca="false">IF(O449="","",IF(O449&gt;0.25,"ACRÉSCIMO ACIMA DE 25% — conferir",""))</f>
        <v/>
      </c>
      <c r="Q449" s="27"/>
      <c r="R449" s="5"/>
    </row>
    <row r="450" customFormat="false" ht="15" hidden="false" customHeight="false" outlineLevel="0" collapsed="false">
      <c r="A450" s="27"/>
      <c r="B450" s="5"/>
      <c r="C450" s="5"/>
      <c r="D450" s="35"/>
      <c r="E450" s="14"/>
      <c r="F450" s="18"/>
      <c r="G450" s="31" t="str">
        <f aca="false">IF(A450="","",IFERROR(IF(INDEX(Empresas!$C:$C,MATCH(A450,Empresas!$A:$A,0))="","",INDEX(Empresas!$C:$C,MATCH(A450,Empresas!$A:$A,0))),""))</f>
        <v/>
      </c>
      <c r="H450" s="18"/>
      <c r="I450" s="19" t="str">
        <f aca="false">IF(OR(F450="",G450=""),"",IF(F450-G450&lt;0,"CONTRATO ANTERIOR À ABERTURA — conferir datas",IF(F450-G450&lt;180,"ABERTA MENOS DE 6 MESES ANTES","")))</f>
        <v/>
      </c>
      <c r="J450" s="19" t="str">
        <f aca="false">IF(A450="","",IFERROR(INDEX(Sancoes!$B:$B,MATCH(A450,Sancoes!$A:$A,0))&amp;"","não consta"))</f>
        <v/>
      </c>
      <c r="K450" s="19" t="str">
        <f aca="false">IF(OR(A450="",F450=""),"",IF(SUMPRODUCT((Sancoes!$A$2:$A$301=A450)*(Sancoes!$B$2:$B$301&lt;&gt;"Não consta")*(Sancoes!$D$2:$D$301&lt;&gt;"")*(Sancoes!$D$2:$D$301&lt;=F450)*(((Sancoes!$E$2:$E$301="")+(Sancoes!$E$2:$E$301&gt;=F450))&gt;0))&gt;0,"SANÇÃO VIGENTE NA DATA — leia o tipo e a abrangência",""))</f>
        <v/>
      </c>
      <c r="L450" s="19" t="str">
        <f aca="false">IF(A450="","",IFERROR(INDEX(Empresas!$B:$B,MATCH(A450,Empresas!$A:$A,0))&amp;"","cadastre o CNPJ em Empresas"))</f>
        <v/>
      </c>
      <c r="M450" s="27"/>
      <c r="N450" s="35"/>
      <c r="O450" s="37" t="str">
        <f aca="false">IF(OR(D450="",D450=0,N450=""),"",N450/D450)</f>
        <v/>
      </c>
      <c r="P450" s="19" t="str">
        <f aca="false">IF(O450="","",IF(O450&gt;0.25,"ACRÉSCIMO ACIMA DE 25% — conferir",""))</f>
        <v/>
      </c>
      <c r="Q450" s="27"/>
      <c r="R450" s="5"/>
    </row>
    <row r="451" customFormat="false" ht="15" hidden="false" customHeight="false" outlineLevel="0" collapsed="false">
      <c r="A451" s="27"/>
      <c r="B451" s="5"/>
      <c r="C451" s="5"/>
      <c r="D451" s="35"/>
      <c r="E451" s="14"/>
      <c r="F451" s="18"/>
      <c r="G451" s="31" t="str">
        <f aca="false">IF(A451="","",IFERROR(IF(INDEX(Empresas!$C:$C,MATCH(A451,Empresas!$A:$A,0))="","",INDEX(Empresas!$C:$C,MATCH(A451,Empresas!$A:$A,0))),""))</f>
        <v/>
      </c>
      <c r="H451" s="18"/>
      <c r="I451" s="19" t="str">
        <f aca="false">IF(OR(F451="",G451=""),"",IF(F451-G451&lt;0,"CONTRATO ANTERIOR À ABERTURA — conferir datas",IF(F451-G451&lt;180,"ABERTA MENOS DE 6 MESES ANTES","")))</f>
        <v/>
      </c>
      <c r="J451" s="19" t="str">
        <f aca="false">IF(A451="","",IFERROR(INDEX(Sancoes!$B:$B,MATCH(A451,Sancoes!$A:$A,0))&amp;"","não consta"))</f>
        <v/>
      </c>
      <c r="K451" s="19" t="str">
        <f aca="false">IF(OR(A451="",F451=""),"",IF(SUMPRODUCT((Sancoes!$A$2:$A$301=A451)*(Sancoes!$B$2:$B$301&lt;&gt;"Não consta")*(Sancoes!$D$2:$D$301&lt;&gt;"")*(Sancoes!$D$2:$D$301&lt;=F451)*(((Sancoes!$E$2:$E$301="")+(Sancoes!$E$2:$E$301&gt;=F451))&gt;0))&gt;0,"SANÇÃO VIGENTE NA DATA — leia o tipo e a abrangência",""))</f>
        <v/>
      </c>
      <c r="L451" s="19" t="str">
        <f aca="false">IF(A451="","",IFERROR(INDEX(Empresas!$B:$B,MATCH(A451,Empresas!$A:$A,0))&amp;"","cadastre o CNPJ em Empresas"))</f>
        <v/>
      </c>
      <c r="M451" s="27"/>
      <c r="N451" s="35"/>
      <c r="O451" s="37" t="str">
        <f aca="false">IF(OR(D451="",D451=0,N451=""),"",N451/D451)</f>
        <v/>
      </c>
      <c r="P451" s="19" t="str">
        <f aca="false">IF(O451="","",IF(O451&gt;0.25,"ACRÉSCIMO ACIMA DE 25% — conferir",""))</f>
        <v/>
      </c>
      <c r="Q451" s="27"/>
      <c r="R451" s="5"/>
    </row>
    <row r="452" customFormat="false" ht="15" hidden="false" customHeight="false" outlineLevel="0" collapsed="false">
      <c r="A452" s="27"/>
      <c r="B452" s="5"/>
      <c r="C452" s="5"/>
      <c r="D452" s="35"/>
      <c r="E452" s="14"/>
      <c r="F452" s="18"/>
      <c r="G452" s="31" t="str">
        <f aca="false">IF(A452="","",IFERROR(IF(INDEX(Empresas!$C:$C,MATCH(A452,Empresas!$A:$A,0))="","",INDEX(Empresas!$C:$C,MATCH(A452,Empresas!$A:$A,0))),""))</f>
        <v/>
      </c>
      <c r="H452" s="18"/>
      <c r="I452" s="19" t="str">
        <f aca="false">IF(OR(F452="",G452=""),"",IF(F452-G452&lt;0,"CONTRATO ANTERIOR À ABERTURA — conferir datas",IF(F452-G452&lt;180,"ABERTA MENOS DE 6 MESES ANTES","")))</f>
        <v/>
      </c>
      <c r="J452" s="19" t="str">
        <f aca="false">IF(A452="","",IFERROR(INDEX(Sancoes!$B:$B,MATCH(A452,Sancoes!$A:$A,0))&amp;"","não consta"))</f>
        <v/>
      </c>
      <c r="K452" s="19" t="str">
        <f aca="false">IF(OR(A452="",F452=""),"",IF(SUMPRODUCT((Sancoes!$A$2:$A$301=A452)*(Sancoes!$B$2:$B$301&lt;&gt;"Não consta")*(Sancoes!$D$2:$D$301&lt;&gt;"")*(Sancoes!$D$2:$D$301&lt;=F452)*(((Sancoes!$E$2:$E$301="")+(Sancoes!$E$2:$E$301&gt;=F452))&gt;0))&gt;0,"SANÇÃO VIGENTE NA DATA — leia o tipo e a abrangência",""))</f>
        <v/>
      </c>
      <c r="L452" s="19" t="str">
        <f aca="false">IF(A452="","",IFERROR(INDEX(Empresas!$B:$B,MATCH(A452,Empresas!$A:$A,0))&amp;"","cadastre o CNPJ em Empresas"))</f>
        <v/>
      </c>
      <c r="M452" s="27"/>
      <c r="N452" s="35"/>
      <c r="O452" s="37" t="str">
        <f aca="false">IF(OR(D452="",D452=0,N452=""),"",N452/D452)</f>
        <v/>
      </c>
      <c r="P452" s="19" t="str">
        <f aca="false">IF(O452="","",IF(O452&gt;0.25,"ACRÉSCIMO ACIMA DE 25% — conferir",""))</f>
        <v/>
      </c>
      <c r="Q452" s="27"/>
      <c r="R452" s="5"/>
    </row>
    <row r="453" customFormat="false" ht="15" hidden="false" customHeight="false" outlineLevel="0" collapsed="false">
      <c r="A453" s="27"/>
      <c r="B453" s="5"/>
      <c r="C453" s="5"/>
      <c r="D453" s="35"/>
      <c r="E453" s="14"/>
      <c r="F453" s="18"/>
      <c r="G453" s="31" t="str">
        <f aca="false">IF(A453="","",IFERROR(IF(INDEX(Empresas!$C:$C,MATCH(A453,Empresas!$A:$A,0))="","",INDEX(Empresas!$C:$C,MATCH(A453,Empresas!$A:$A,0))),""))</f>
        <v/>
      </c>
      <c r="H453" s="18"/>
      <c r="I453" s="19" t="str">
        <f aca="false">IF(OR(F453="",G453=""),"",IF(F453-G453&lt;0,"CONTRATO ANTERIOR À ABERTURA — conferir datas",IF(F453-G453&lt;180,"ABERTA MENOS DE 6 MESES ANTES","")))</f>
        <v/>
      </c>
      <c r="J453" s="19" t="str">
        <f aca="false">IF(A453="","",IFERROR(INDEX(Sancoes!$B:$B,MATCH(A453,Sancoes!$A:$A,0))&amp;"","não consta"))</f>
        <v/>
      </c>
      <c r="K453" s="19" t="str">
        <f aca="false">IF(OR(A453="",F453=""),"",IF(SUMPRODUCT((Sancoes!$A$2:$A$301=A453)*(Sancoes!$B$2:$B$301&lt;&gt;"Não consta")*(Sancoes!$D$2:$D$301&lt;&gt;"")*(Sancoes!$D$2:$D$301&lt;=F453)*(((Sancoes!$E$2:$E$301="")+(Sancoes!$E$2:$E$301&gt;=F453))&gt;0))&gt;0,"SANÇÃO VIGENTE NA DATA — leia o tipo e a abrangência",""))</f>
        <v/>
      </c>
      <c r="L453" s="19" t="str">
        <f aca="false">IF(A453="","",IFERROR(INDEX(Empresas!$B:$B,MATCH(A453,Empresas!$A:$A,0))&amp;"","cadastre o CNPJ em Empresas"))</f>
        <v/>
      </c>
      <c r="M453" s="27"/>
      <c r="N453" s="35"/>
      <c r="O453" s="37" t="str">
        <f aca="false">IF(OR(D453="",D453=0,N453=""),"",N453/D453)</f>
        <v/>
      </c>
      <c r="P453" s="19" t="str">
        <f aca="false">IF(O453="","",IF(O453&gt;0.25,"ACRÉSCIMO ACIMA DE 25% — conferir",""))</f>
        <v/>
      </c>
      <c r="Q453" s="27"/>
      <c r="R453" s="5"/>
    </row>
    <row r="454" customFormat="false" ht="15" hidden="false" customHeight="false" outlineLevel="0" collapsed="false">
      <c r="A454" s="27"/>
      <c r="B454" s="5"/>
      <c r="C454" s="5"/>
      <c r="D454" s="35"/>
      <c r="E454" s="14"/>
      <c r="F454" s="18"/>
      <c r="G454" s="31" t="str">
        <f aca="false">IF(A454="","",IFERROR(IF(INDEX(Empresas!$C:$C,MATCH(A454,Empresas!$A:$A,0))="","",INDEX(Empresas!$C:$C,MATCH(A454,Empresas!$A:$A,0))),""))</f>
        <v/>
      </c>
      <c r="H454" s="18"/>
      <c r="I454" s="19" t="str">
        <f aca="false">IF(OR(F454="",G454=""),"",IF(F454-G454&lt;0,"CONTRATO ANTERIOR À ABERTURA — conferir datas",IF(F454-G454&lt;180,"ABERTA MENOS DE 6 MESES ANTES","")))</f>
        <v/>
      </c>
      <c r="J454" s="19" t="str">
        <f aca="false">IF(A454="","",IFERROR(INDEX(Sancoes!$B:$B,MATCH(A454,Sancoes!$A:$A,0))&amp;"","não consta"))</f>
        <v/>
      </c>
      <c r="K454" s="19" t="str">
        <f aca="false">IF(OR(A454="",F454=""),"",IF(SUMPRODUCT((Sancoes!$A$2:$A$301=A454)*(Sancoes!$B$2:$B$301&lt;&gt;"Não consta")*(Sancoes!$D$2:$D$301&lt;&gt;"")*(Sancoes!$D$2:$D$301&lt;=F454)*(((Sancoes!$E$2:$E$301="")+(Sancoes!$E$2:$E$301&gt;=F454))&gt;0))&gt;0,"SANÇÃO VIGENTE NA DATA — leia o tipo e a abrangência",""))</f>
        <v/>
      </c>
      <c r="L454" s="19" t="str">
        <f aca="false">IF(A454="","",IFERROR(INDEX(Empresas!$B:$B,MATCH(A454,Empresas!$A:$A,0))&amp;"","cadastre o CNPJ em Empresas"))</f>
        <v/>
      </c>
      <c r="M454" s="27"/>
      <c r="N454" s="35"/>
      <c r="O454" s="37" t="str">
        <f aca="false">IF(OR(D454="",D454=0,N454=""),"",N454/D454)</f>
        <v/>
      </c>
      <c r="P454" s="19" t="str">
        <f aca="false">IF(O454="","",IF(O454&gt;0.25,"ACRÉSCIMO ACIMA DE 25% — conferir",""))</f>
        <v/>
      </c>
      <c r="Q454" s="27"/>
      <c r="R454" s="5"/>
    </row>
    <row r="455" customFormat="false" ht="15" hidden="false" customHeight="false" outlineLevel="0" collapsed="false">
      <c r="A455" s="27"/>
      <c r="B455" s="5"/>
      <c r="C455" s="5"/>
      <c r="D455" s="35"/>
      <c r="E455" s="14"/>
      <c r="F455" s="18"/>
      <c r="G455" s="31" t="str">
        <f aca="false">IF(A455="","",IFERROR(IF(INDEX(Empresas!$C:$C,MATCH(A455,Empresas!$A:$A,0))="","",INDEX(Empresas!$C:$C,MATCH(A455,Empresas!$A:$A,0))),""))</f>
        <v/>
      </c>
      <c r="H455" s="18"/>
      <c r="I455" s="19" t="str">
        <f aca="false">IF(OR(F455="",G455=""),"",IF(F455-G455&lt;0,"CONTRATO ANTERIOR À ABERTURA — conferir datas",IF(F455-G455&lt;180,"ABERTA MENOS DE 6 MESES ANTES","")))</f>
        <v/>
      </c>
      <c r="J455" s="19" t="str">
        <f aca="false">IF(A455="","",IFERROR(INDEX(Sancoes!$B:$B,MATCH(A455,Sancoes!$A:$A,0))&amp;"","não consta"))</f>
        <v/>
      </c>
      <c r="K455" s="19" t="str">
        <f aca="false">IF(OR(A455="",F455=""),"",IF(SUMPRODUCT((Sancoes!$A$2:$A$301=A455)*(Sancoes!$B$2:$B$301&lt;&gt;"Não consta")*(Sancoes!$D$2:$D$301&lt;&gt;"")*(Sancoes!$D$2:$D$301&lt;=F455)*(((Sancoes!$E$2:$E$301="")+(Sancoes!$E$2:$E$301&gt;=F455))&gt;0))&gt;0,"SANÇÃO VIGENTE NA DATA — leia o tipo e a abrangência",""))</f>
        <v/>
      </c>
      <c r="L455" s="19" t="str">
        <f aca="false">IF(A455="","",IFERROR(INDEX(Empresas!$B:$B,MATCH(A455,Empresas!$A:$A,0))&amp;"","cadastre o CNPJ em Empresas"))</f>
        <v/>
      </c>
      <c r="M455" s="27"/>
      <c r="N455" s="35"/>
      <c r="O455" s="37" t="str">
        <f aca="false">IF(OR(D455="",D455=0,N455=""),"",N455/D455)</f>
        <v/>
      </c>
      <c r="P455" s="19" t="str">
        <f aca="false">IF(O455="","",IF(O455&gt;0.25,"ACRÉSCIMO ACIMA DE 25% — conferir",""))</f>
        <v/>
      </c>
      <c r="Q455" s="27"/>
      <c r="R455" s="5"/>
    </row>
    <row r="456" customFormat="false" ht="15" hidden="false" customHeight="false" outlineLevel="0" collapsed="false">
      <c r="A456" s="27"/>
      <c r="B456" s="5"/>
      <c r="C456" s="5"/>
      <c r="D456" s="35"/>
      <c r="E456" s="14"/>
      <c r="F456" s="18"/>
      <c r="G456" s="31" t="str">
        <f aca="false">IF(A456="","",IFERROR(IF(INDEX(Empresas!$C:$C,MATCH(A456,Empresas!$A:$A,0))="","",INDEX(Empresas!$C:$C,MATCH(A456,Empresas!$A:$A,0))),""))</f>
        <v/>
      </c>
      <c r="H456" s="18"/>
      <c r="I456" s="19" t="str">
        <f aca="false">IF(OR(F456="",G456=""),"",IF(F456-G456&lt;0,"CONTRATO ANTERIOR À ABERTURA — conferir datas",IF(F456-G456&lt;180,"ABERTA MENOS DE 6 MESES ANTES","")))</f>
        <v/>
      </c>
      <c r="J456" s="19" t="str">
        <f aca="false">IF(A456="","",IFERROR(INDEX(Sancoes!$B:$B,MATCH(A456,Sancoes!$A:$A,0))&amp;"","não consta"))</f>
        <v/>
      </c>
      <c r="K456" s="19" t="str">
        <f aca="false">IF(OR(A456="",F456=""),"",IF(SUMPRODUCT((Sancoes!$A$2:$A$301=A456)*(Sancoes!$B$2:$B$301&lt;&gt;"Não consta")*(Sancoes!$D$2:$D$301&lt;&gt;"")*(Sancoes!$D$2:$D$301&lt;=F456)*(((Sancoes!$E$2:$E$301="")+(Sancoes!$E$2:$E$301&gt;=F456))&gt;0))&gt;0,"SANÇÃO VIGENTE NA DATA — leia o tipo e a abrangência",""))</f>
        <v/>
      </c>
      <c r="L456" s="19" t="str">
        <f aca="false">IF(A456="","",IFERROR(INDEX(Empresas!$B:$B,MATCH(A456,Empresas!$A:$A,0))&amp;"","cadastre o CNPJ em Empresas"))</f>
        <v/>
      </c>
      <c r="M456" s="27"/>
      <c r="N456" s="35"/>
      <c r="O456" s="37" t="str">
        <f aca="false">IF(OR(D456="",D456=0,N456=""),"",N456/D456)</f>
        <v/>
      </c>
      <c r="P456" s="19" t="str">
        <f aca="false">IF(O456="","",IF(O456&gt;0.25,"ACRÉSCIMO ACIMA DE 25% — conferir",""))</f>
        <v/>
      </c>
      <c r="Q456" s="27"/>
      <c r="R456" s="5"/>
    </row>
    <row r="457" customFormat="false" ht="15" hidden="false" customHeight="false" outlineLevel="0" collapsed="false">
      <c r="A457" s="27"/>
      <c r="B457" s="5"/>
      <c r="C457" s="5"/>
      <c r="D457" s="35"/>
      <c r="E457" s="14"/>
      <c r="F457" s="18"/>
      <c r="G457" s="31" t="str">
        <f aca="false">IF(A457="","",IFERROR(IF(INDEX(Empresas!$C:$C,MATCH(A457,Empresas!$A:$A,0))="","",INDEX(Empresas!$C:$C,MATCH(A457,Empresas!$A:$A,0))),""))</f>
        <v/>
      </c>
      <c r="H457" s="18"/>
      <c r="I457" s="19" t="str">
        <f aca="false">IF(OR(F457="",G457=""),"",IF(F457-G457&lt;0,"CONTRATO ANTERIOR À ABERTURA — conferir datas",IF(F457-G457&lt;180,"ABERTA MENOS DE 6 MESES ANTES","")))</f>
        <v/>
      </c>
      <c r="J457" s="19" t="str">
        <f aca="false">IF(A457="","",IFERROR(INDEX(Sancoes!$B:$B,MATCH(A457,Sancoes!$A:$A,0))&amp;"","não consta"))</f>
        <v/>
      </c>
      <c r="K457" s="19" t="str">
        <f aca="false">IF(OR(A457="",F457=""),"",IF(SUMPRODUCT((Sancoes!$A$2:$A$301=A457)*(Sancoes!$B$2:$B$301&lt;&gt;"Não consta")*(Sancoes!$D$2:$D$301&lt;&gt;"")*(Sancoes!$D$2:$D$301&lt;=F457)*(((Sancoes!$E$2:$E$301="")+(Sancoes!$E$2:$E$301&gt;=F457))&gt;0))&gt;0,"SANÇÃO VIGENTE NA DATA — leia o tipo e a abrangência",""))</f>
        <v/>
      </c>
      <c r="L457" s="19" t="str">
        <f aca="false">IF(A457="","",IFERROR(INDEX(Empresas!$B:$B,MATCH(A457,Empresas!$A:$A,0))&amp;"","cadastre o CNPJ em Empresas"))</f>
        <v/>
      </c>
      <c r="M457" s="27"/>
      <c r="N457" s="35"/>
      <c r="O457" s="37" t="str">
        <f aca="false">IF(OR(D457="",D457=0,N457=""),"",N457/D457)</f>
        <v/>
      </c>
      <c r="P457" s="19" t="str">
        <f aca="false">IF(O457="","",IF(O457&gt;0.25,"ACRÉSCIMO ACIMA DE 25% — conferir",""))</f>
        <v/>
      </c>
      <c r="Q457" s="27"/>
      <c r="R457" s="5"/>
    </row>
    <row r="458" customFormat="false" ht="15" hidden="false" customHeight="false" outlineLevel="0" collapsed="false">
      <c r="A458" s="27"/>
      <c r="B458" s="5"/>
      <c r="C458" s="5"/>
      <c r="D458" s="35"/>
      <c r="E458" s="14"/>
      <c r="F458" s="18"/>
      <c r="G458" s="31" t="str">
        <f aca="false">IF(A458="","",IFERROR(IF(INDEX(Empresas!$C:$C,MATCH(A458,Empresas!$A:$A,0))="","",INDEX(Empresas!$C:$C,MATCH(A458,Empresas!$A:$A,0))),""))</f>
        <v/>
      </c>
      <c r="H458" s="18"/>
      <c r="I458" s="19" t="str">
        <f aca="false">IF(OR(F458="",G458=""),"",IF(F458-G458&lt;0,"CONTRATO ANTERIOR À ABERTURA — conferir datas",IF(F458-G458&lt;180,"ABERTA MENOS DE 6 MESES ANTES","")))</f>
        <v/>
      </c>
      <c r="J458" s="19" t="str">
        <f aca="false">IF(A458="","",IFERROR(INDEX(Sancoes!$B:$B,MATCH(A458,Sancoes!$A:$A,0))&amp;"","não consta"))</f>
        <v/>
      </c>
      <c r="K458" s="19" t="str">
        <f aca="false">IF(OR(A458="",F458=""),"",IF(SUMPRODUCT((Sancoes!$A$2:$A$301=A458)*(Sancoes!$B$2:$B$301&lt;&gt;"Não consta")*(Sancoes!$D$2:$D$301&lt;&gt;"")*(Sancoes!$D$2:$D$301&lt;=F458)*(((Sancoes!$E$2:$E$301="")+(Sancoes!$E$2:$E$301&gt;=F458))&gt;0))&gt;0,"SANÇÃO VIGENTE NA DATA — leia o tipo e a abrangência",""))</f>
        <v/>
      </c>
      <c r="L458" s="19" t="str">
        <f aca="false">IF(A458="","",IFERROR(INDEX(Empresas!$B:$B,MATCH(A458,Empresas!$A:$A,0))&amp;"","cadastre o CNPJ em Empresas"))</f>
        <v/>
      </c>
      <c r="M458" s="27"/>
      <c r="N458" s="35"/>
      <c r="O458" s="37" t="str">
        <f aca="false">IF(OR(D458="",D458=0,N458=""),"",N458/D458)</f>
        <v/>
      </c>
      <c r="P458" s="19" t="str">
        <f aca="false">IF(O458="","",IF(O458&gt;0.25,"ACRÉSCIMO ACIMA DE 25% — conferir",""))</f>
        <v/>
      </c>
      <c r="Q458" s="27"/>
      <c r="R458" s="5"/>
    </row>
    <row r="459" customFormat="false" ht="15" hidden="false" customHeight="false" outlineLevel="0" collapsed="false">
      <c r="A459" s="27"/>
      <c r="B459" s="5"/>
      <c r="C459" s="5"/>
      <c r="D459" s="35"/>
      <c r="E459" s="14"/>
      <c r="F459" s="18"/>
      <c r="G459" s="31" t="str">
        <f aca="false">IF(A459="","",IFERROR(IF(INDEX(Empresas!$C:$C,MATCH(A459,Empresas!$A:$A,0))="","",INDEX(Empresas!$C:$C,MATCH(A459,Empresas!$A:$A,0))),""))</f>
        <v/>
      </c>
      <c r="H459" s="18"/>
      <c r="I459" s="19" t="str">
        <f aca="false">IF(OR(F459="",G459=""),"",IF(F459-G459&lt;0,"CONTRATO ANTERIOR À ABERTURA — conferir datas",IF(F459-G459&lt;180,"ABERTA MENOS DE 6 MESES ANTES","")))</f>
        <v/>
      </c>
      <c r="J459" s="19" t="str">
        <f aca="false">IF(A459="","",IFERROR(INDEX(Sancoes!$B:$B,MATCH(A459,Sancoes!$A:$A,0))&amp;"","não consta"))</f>
        <v/>
      </c>
      <c r="K459" s="19" t="str">
        <f aca="false">IF(OR(A459="",F459=""),"",IF(SUMPRODUCT((Sancoes!$A$2:$A$301=A459)*(Sancoes!$B$2:$B$301&lt;&gt;"Não consta")*(Sancoes!$D$2:$D$301&lt;&gt;"")*(Sancoes!$D$2:$D$301&lt;=F459)*(((Sancoes!$E$2:$E$301="")+(Sancoes!$E$2:$E$301&gt;=F459))&gt;0))&gt;0,"SANÇÃO VIGENTE NA DATA — leia o tipo e a abrangência",""))</f>
        <v/>
      </c>
      <c r="L459" s="19" t="str">
        <f aca="false">IF(A459="","",IFERROR(INDEX(Empresas!$B:$B,MATCH(A459,Empresas!$A:$A,0))&amp;"","cadastre o CNPJ em Empresas"))</f>
        <v/>
      </c>
      <c r="M459" s="27"/>
      <c r="N459" s="35"/>
      <c r="O459" s="37" t="str">
        <f aca="false">IF(OR(D459="",D459=0,N459=""),"",N459/D459)</f>
        <v/>
      </c>
      <c r="P459" s="19" t="str">
        <f aca="false">IF(O459="","",IF(O459&gt;0.25,"ACRÉSCIMO ACIMA DE 25% — conferir",""))</f>
        <v/>
      </c>
      <c r="Q459" s="27"/>
      <c r="R459" s="5"/>
    </row>
    <row r="460" customFormat="false" ht="15" hidden="false" customHeight="false" outlineLevel="0" collapsed="false">
      <c r="A460" s="27"/>
      <c r="B460" s="5"/>
      <c r="C460" s="5"/>
      <c r="D460" s="35"/>
      <c r="E460" s="14"/>
      <c r="F460" s="18"/>
      <c r="G460" s="31" t="str">
        <f aca="false">IF(A460="","",IFERROR(IF(INDEX(Empresas!$C:$C,MATCH(A460,Empresas!$A:$A,0))="","",INDEX(Empresas!$C:$C,MATCH(A460,Empresas!$A:$A,0))),""))</f>
        <v/>
      </c>
      <c r="H460" s="18"/>
      <c r="I460" s="19" t="str">
        <f aca="false">IF(OR(F460="",G460=""),"",IF(F460-G460&lt;0,"CONTRATO ANTERIOR À ABERTURA — conferir datas",IF(F460-G460&lt;180,"ABERTA MENOS DE 6 MESES ANTES","")))</f>
        <v/>
      </c>
      <c r="J460" s="19" t="str">
        <f aca="false">IF(A460="","",IFERROR(INDEX(Sancoes!$B:$B,MATCH(A460,Sancoes!$A:$A,0))&amp;"","não consta"))</f>
        <v/>
      </c>
      <c r="K460" s="19" t="str">
        <f aca="false">IF(OR(A460="",F460=""),"",IF(SUMPRODUCT((Sancoes!$A$2:$A$301=A460)*(Sancoes!$B$2:$B$301&lt;&gt;"Não consta")*(Sancoes!$D$2:$D$301&lt;&gt;"")*(Sancoes!$D$2:$D$301&lt;=F460)*(((Sancoes!$E$2:$E$301="")+(Sancoes!$E$2:$E$301&gt;=F460))&gt;0))&gt;0,"SANÇÃO VIGENTE NA DATA — leia o tipo e a abrangência",""))</f>
        <v/>
      </c>
      <c r="L460" s="19" t="str">
        <f aca="false">IF(A460="","",IFERROR(INDEX(Empresas!$B:$B,MATCH(A460,Empresas!$A:$A,0))&amp;"","cadastre o CNPJ em Empresas"))</f>
        <v/>
      </c>
      <c r="M460" s="27"/>
      <c r="N460" s="35"/>
      <c r="O460" s="37" t="str">
        <f aca="false">IF(OR(D460="",D460=0,N460=""),"",N460/D460)</f>
        <v/>
      </c>
      <c r="P460" s="19" t="str">
        <f aca="false">IF(O460="","",IF(O460&gt;0.25,"ACRÉSCIMO ACIMA DE 25% — conferir",""))</f>
        <v/>
      </c>
      <c r="Q460" s="27"/>
      <c r="R460" s="5"/>
    </row>
    <row r="461" customFormat="false" ht="15" hidden="false" customHeight="false" outlineLevel="0" collapsed="false">
      <c r="A461" s="27"/>
      <c r="B461" s="5"/>
      <c r="C461" s="5"/>
      <c r="D461" s="35"/>
      <c r="E461" s="14"/>
      <c r="F461" s="18"/>
      <c r="G461" s="31" t="str">
        <f aca="false">IF(A461="","",IFERROR(IF(INDEX(Empresas!$C:$C,MATCH(A461,Empresas!$A:$A,0))="","",INDEX(Empresas!$C:$C,MATCH(A461,Empresas!$A:$A,0))),""))</f>
        <v/>
      </c>
      <c r="H461" s="18"/>
      <c r="I461" s="19" t="str">
        <f aca="false">IF(OR(F461="",G461=""),"",IF(F461-G461&lt;0,"CONTRATO ANTERIOR À ABERTURA — conferir datas",IF(F461-G461&lt;180,"ABERTA MENOS DE 6 MESES ANTES","")))</f>
        <v/>
      </c>
      <c r="J461" s="19" t="str">
        <f aca="false">IF(A461="","",IFERROR(INDEX(Sancoes!$B:$B,MATCH(A461,Sancoes!$A:$A,0))&amp;"","não consta"))</f>
        <v/>
      </c>
      <c r="K461" s="19" t="str">
        <f aca="false">IF(OR(A461="",F461=""),"",IF(SUMPRODUCT((Sancoes!$A$2:$A$301=A461)*(Sancoes!$B$2:$B$301&lt;&gt;"Não consta")*(Sancoes!$D$2:$D$301&lt;&gt;"")*(Sancoes!$D$2:$D$301&lt;=F461)*(((Sancoes!$E$2:$E$301="")+(Sancoes!$E$2:$E$301&gt;=F461))&gt;0))&gt;0,"SANÇÃO VIGENTE NA DATA — leia o tipo e a abrangência",""))</f>
        <v/>
      </c>
      <c r="L461" s="19" t="str">
        <f aca="false">IF(A461="","",IFERROR(INDEX(Empresas!$B:$B,MATCH(A461,Empresas!$A:$A,0))&amp;"","cadastre o CNPJ em Empresas"))</f>
        <v/>
      </c>
      <c r="M461" s="27"/>
      <c r="N461" s="35"/>
      <c r="O461" s="37" t="str">
        <f aca="false">IF(OR(D461="",D461=0,N461=""),"",N461/D461)</f>
        <v/>
      </c>
      <c r="P461" s="19" t="str">
        <f aca="false">IF(O461="","",IF(O461&gt;0.25,"ACRÉSCIMO ACIMA DE 25% — conferir",""))</f>
        <v/>
      </c>
      <c r="Q461" s="27"/>
      <c r="R461" s="5"/>
    </row>
    <row r="462" customFormat="false" ht="15" hidden="false" customHeight="false" outlineLevel="0" collapsed="false">
      <c r="A462" s="27"/>
      <c r="B462" s="5"/>
      <c r="C462" s="5"/>
      <c r="D462" s="35"/>
      <c r="E462" s="14"/>
      <c r="F462" s="18"/>
      <c r="G462" s="31" t="str">
        <f aca="false">IF(A462="","",IFERROR(IF(INDEX(Empresas!$C:$C,MATCH(A462,Empresas!$A:$A,0))="","",INDEX(Empresas!$C:$C,MATCH(A462,Empresas!$A:$A,0))),""))</f>
        <v/>
      </c>
      <c r="H462" s="18"/>
      <c r="I462" s="19" t="str">
        <f aca="false">IF(OR(F462="",G462=""),"",IF(F462-G462&lt;0,"CONTRATO ANTERIOR À ABERTURA — conferir datas",IF(F462-G462&lt;180,"ABERTA MENOS DE 6 MESES ANTES","")))</f>
        <v/>
      </c>
      <c r="J462" s="19" t="str">
        <f aca="false">IF(A462="","",IFERROR(INDEX(Sancoes!$B:$B,MATCH(A462,Sancoes!$A:$A,0))&amp;"","não consta"))</f>
        <v/>
      </c>
      <c r="K462" s="19" t="str">
        <f aca="false">IF(OR(A462="",F462=""),"",IF(SUMPRODUCT((Sancoes!$A$2:$A$301=A462)*(Sancoes!$B$2:$B$301&lt;&gt;"Não consta")*(Sancoes!$D$2:$D$301&lt;&gt;"")*(Sancoes!$D$2:$D$301&lt;=F462)*(((Sancoes!$E$2:$E$301="")+(Sancoes!$E$2:$E$301&gt;=F462))&gt;0))&gt;0,"SANÇÃO VIGENTE NA DATA — leia o tipo e a abrangência",""))</f>
        <v/>
      </c>
      <c r="L462" s="19" t="str">
        <f aca="false">IF(A462="","",IFERROR(INDEX(Empresas!$B:$B,MATCH(A462,Empresas!$A:$A,0))&amp;"","cadastre o CNPJ em Empresas"))</f>
        <v/>
      </c>
      <c r="M462" s="27"/>
      <c r="N462" s="35"/>
      <c r="O462" s="37" t="str">
        <f aca="false">IF(OR(D462="",D462=0,N462=""),"",N462/D462)</f>
        <v/>
      </c>
      <c r="P462" s="19" t="str">
        <f aca="false">IF(O462="","",IF(O462&gt;0.25,"ACRÉSCIMO ACIMA DE 25% — conferir",""))</f>
        <v/>
      </c>
      <c r="Q462" s="27"/>
      <c r="R462" s="5"/>
    </row>
    <row r="463" customFormat="false" ht="15" hidden="false" customHeight="false" outlineLevel="0" collapsed="false">
      <c r="A463" s="27"/>
      <c r="B463" s="5"/>
      <c r="C463" s="5"/>
      <c r="D463" s="35"/>
      <c r="E463" s="14"/>
      <c r="F463" s="18"/>
      <c r="G463" s="31" t="str">
        <f aca="false">IF(A463="","",IFERROR(IF(INDEX(Empresas!$C:$C,MATCH(A463,Empresas!$A:$A,0))="","",INDEX(Empresas!$C:$C,MATCH(A463,Empresas!$A:$A,0))),""))</f>
        <v/>
      </c>
      <c r="H463" s="18"/>
      <c r="I463" s="19" t="str">
        <f aca="false">IF(OR(F463="",G463=""),"",IF(F463-G463&lt;0,"CONTRATO ANTERIOR À ABERTURA — conferir datas",IF(F463-G463&lt;180,"ABERTA MENOS DE 6 MESES ANTES","")))</f>
        <v/>
      </c>
      <c r="J463" s="19" t="str">
        <f aca="false">IF(A463="","",IFERROR(INDEX(Sancoes!$B:$B,MATCH(A463,Sancoes!$A:$A,0))&amp;"","não consta"))</f>
        <v/>
      </c>
      <c r="K463" s="19" t="str">
        <f aca="false">IF(OR(A463="",F463=""),"",IF(SUMPRODUCT((Sancoes!$A$2:$A$301=A463)*(Sancoes!$B$2:$B$301&lt;&gt;"Não consta")*(Sancoes!$D$2:$D$301&lt;&gt;"")*(Sancoes!$D$2:$D$301&lt;=F463)*(((Sancoes!$E$2:$E$301="")+(Sancoes!$E$2:$E$301&gt;=F463))&gt;0))&gt;0,"SANÇÃO VIGENTE NA DATA — leia o tipo e a abrangência",""))</f>
        <v/>
      </c>
      <c r="L463" s="19" t="str">
        <f aca="false">IF(A463="","",IFERROR(INDEX(Empresas!$B:$B,MATCH(A463,Empresas!$A:$A,0))&amp;"","cadastre o CNPJ em Empresas"))</f>
        <v/>
      </c>
      <c r="M463" s="27"/>
      <c r="N463" s="35"/>
      <c r="O463" s="37" t="str">
        <f aca="false">IF(OR(D463="",D463=0,N463=""),"",N463/D463)</f>
        <v/>
      </c>
      <c r="P463" s="19" t="str">
        <f aca="false">IF(O463="","",IF(O463&gt;0.25,"ACRÉSCIMO ACIMA DE 25% — conferir",""))</f>
        <v/>
      </c>
      <c r="Q463" s="27"/>
      <c r="R463" s="5"/>
    </row>
    <row r="464" customFormat="false" ht="15" hidden="false" customHeight="false" outlineLevel="0" collapsed="false">
      <c r="A464" s="27"/>
      <c r="B464" s="5"/>
      <c r="C464" s="5"/>
      <c r="D464" s="35"/>
      <c r="E464" s="14"/>
      <c r="F464" s="18"/>
      <c r="G464" s="31" t="str">
        <f aca="false">IF(A464="","",IFERROR(IF(INDEX(Empresas!$C:$C,MATCH(A464,Empresas!$A:$A,0))="","",INDEX(Empresas!$C:$C,MATCH(A464,Empresas!$A:$A,0))),""))</f>
        <v/>
      </c>
      <c r="H464" s="18"/>
      <c r="I464" s="19" t="str">
        <f aca="false">IF(OR(F464="",G464=""),"",IF(F464-G464&lt;0,"CONTRATO ANTERIOR À ABERTURA — conferir datas",IF(F464-G464&lt;180,"ABERTA MENOS DE 6 MESES ANTES","")))</f>
        <v/>
      </c>
      <c r="J464" s="19" t="str">
        <f aca="false">IF(A464="","",IFERROR(INDEX(Sancoes!$B:$B,MATCH(A464,Sancoes!$A:$A,0))&amp;"","não consta"))</f>
        <v/>
      </c>
      <c r="K464" s="19" t="str">
        <f aca="false">IF(OR(A464="",F464=""),"",IF(SUMPRODUCT((Sancoes!$A$2:$A$301=A464)*(Sancoes!$B$2:$B$301&lt;&gt;"Não consta")*(Sancoes!$D$2:$D$301&lt;&gt;"")*(Sancoes!$D$2:$D$301&lt;=F464)*(((Sancoes!$E$2:$E$301="")+(Sancoes!$E$2:$E$301&gt;=F464))&gt;0))&gt;0,"SANÇÃO VIGENTE NA DATA — leia o tipo e a abrangência",""))</f>
        <v/>
      </c>
      <c r="L464" s="19" t="str">
        <f aca="false">IF(A464="","",IFERROR(INDEX(Empresas!$B:$B,MATCH(A464,Empresas!$A:$A,0))&amp;"","cadastre o CNPJ em Empresas"))</f>
        <v/>
      </c>
      <c r="M464" s="27"/>
      <c r="N464" s="35"/>
      <c r="O464" s="37" t="str">
        <f aca="false">IF(OR(D464="",D464=0,N464=""),"",N464/D464)</f>
        <v/>
      </c>
      <c r="P464" s="19" t="str">
        <f aca="false">IF(O464="","",IF(O464&gt;0.25,"ACRÉSCIMO ACIMA DE 25% — conferir",""))</f>
        <v/>
      </c>
      <c r="Q464" s="27"/>
      <c r="R464" s="5"/>
    </row>
    <row r="465" customFormat="false" ht="15" hidden="false" customHeight="false" outlineLevel="0" collapsed="false">
      <c r="A465" s="27"/>
      <c r="B465" s="5"/>
      <c r="C465" s="5"/>
      <c r="D465" s="35"/>
      <c r="E465" s="14"/>
      <c r="F465" s="18"/>
      <c r="G465" s="31" t="str">
        <f aca="false">IF(A465="","",IFERROR(IF(INDEX(Empresas!$C:$C,MATCH(A465,Empresas!$A:$A,0))="","",INDEX(Empresas!$C:$C,MATCH(A465,Empresas!$A:$A,0))),""))</f>
        <v/>
      </c>
      <c r="H465" s="18"/>
      <c r="I465" s="19" t="str">
        <f aca="false">IF(OR(F465="",G465=""),"",IF(F465-G465&lt;0,"CONTRATO ANTERIOR À ABERTURA — conferir datas",IF(F465-G465&lt;180,"ABERTA MENOS DE 6 MESES ANTES","")))</f>
        <v/>
      </c>
      <c r="J465" s="19" t="str">
        <f aca="false">IF(A465="","",IFERROR(INDEX(Sancoes!$B:$B,MATCH(A465,Sancoes!$A:$A,0))&amp;"","não consta"))</f>
        <v/>
      </c>
      <c r="K465" s="19" t="str">
        <f aca="false">IF(OR(A465="",F465=""),"",IF(SUMPRODUCT((Sancoes!$A$2:$A$301=A465)*(Sancoes!$B$2:$B$301&lt;&gt;"Não consta")*(Sancoes!$D$2:$D$301&lt;&gt;"")*(Sancoes!$D$2:$D$301&lt;=F465)*(((Sancoes!$E$2:$E$301="")+(Sancoes!$E$2:$E$301&gt;=F465))&gt;0))&gt;0,"SANÇÃO VIGENTE NA DATA — leia o tipo e a abrangência",""))</f>
        <v/>
      </c>
      <c r="L465" s="19" t="str">
        <f aca="false">IF(A465="","",IFERROR(INDEX(Empresas!$B:$B,MATCH(A465,Empresas!$A:$A,0))&amp;"","cadastre o CNPJ em Empresas"))</f>
        <v/>
      </c>
      <c r="M465" s="27"/>
      <c r="N465" s="35"/>
      <c r="O465" s="37" t="str">
        <f aca="false">IF(OR(D465="",D465=0,N465=""),"",N465/D465)</f>
        <v/>
      </c>
      <c r="P465" s="19" t="str">
        <f aca="false">IF(O465="","",IF(O465&gt;0.25,"ACRÉSCIMO ACIMA DE 25% — conferir",""))</f>
        <v/>
      </c>
      <c r="Q465" s="27"/>
      <c r="R465" s="5"/>
    </row>
    <row r="466" customFormat="false" ht="15" hidden="false" customHeight="false" outlineLevel="0" collapsed="false">
      <c r="A466" s="27"/>
      <c r="B466" s="5"/>
      <c r="C466" s="5"/>
      <c r="D466" s="35"/>
      <c r="E466" s="14"/>
      <c r="F466" s="18"/>
      <c r="G466" s="31" t="str">
        <f aca="false">IF(A466="","",IFERROR(IF(INDEX(Empresas!$C:$C,MATCH(A466,Empresas!$A:$A,0))="","",INDEX(Empresas!$C:$C,MATCH(A466,Empresas!$A:$A,0))),""))</f>
        <v/>
      </c>
      <c r="H466" s="18"/>
      <c r="I466" s="19" t="str">
        <f aca="false">IF(OR(F466="",G466=""),"",IF(F466-G466&lt;0,"CONTRATO ANTERIOR À ABERTURA — conferir datas",IF(F466-G466&lt;180,"ABERTA MENOS DE 6 MESES ANTES","")))</f>
        <v/>
      </c>
      <c r="J466" s="19" t="str">
        <f aca="false">IF(A466="","",IFERROR(INDEX(Sancoes!$B:$B,MATCH(A466,Sancoes!$A:$A,0))&amp;"","não consta"))</f>
        <v/>
      </c>
      <c r="K466" s="19" t="str">
        <f aca="false">IF(OR(A466="",F466=""),"",IF(SUMPRODUCT((Sancoes!$A$2:$A$301=A466)*(Sancoes!$B$2:$B$301&lt;&gt;"Não consta")*(Sancoes!$D$2:$D$301&lt;&gt;"")*(Sancoes!$D$2:$D$301&lt;=F466)*(((Sancoes!$E$2:$E$301="")+(Sancoes!$E$2:$E$301&gt;=F466))&gt;0))&gt;0,"SANÇÃO VIGENTE NA DATA — leia o tipo e a abrangência",""))</f>
        <v/>
      </c>
      <c r="L466" s="19" t="str">
        <f aca="false">IF(A466="","",IFERROR(INDEX(Empresas!$B:$B,MATCH(A466,Empresas!$A:$A,0))&amp;"","cadastre o CNPJ em Empresas"))</f>
        <v/>
      </c>
      <c r="M466" s="27"/>
      <c r="N466" s="35"/>
      <c r="O466" s="37" t="str">
        <f aca="false">IF(OR(D466="",D466=0,N466=""),"",N466/D466)</f>
        <v/>
      </c>
      <c r="P466" s="19" t="str">
        <f aca="false">IF(O466="","",IF(O466&gt;0.25,"ACRÉSCIMO ACIMA DE 25% — conferir",""))</f>
        <v/>
      </c>
      <c r="Q466" s="27"/>
      <c r="R466" s="5"/>
    </row>
    <row r="467" customFormat="false" ht="15" hidden="false" customHeight="false" outlineLevel="0" collapsed="false">
      <c r="A467" s="27"/>
      <c r="B467" s="5"/>
      <c r="C467" s="5"/>
      <c r="D467" s="35"/>
      <c r="E467" s="14"/>
      <c r="F467" s="18"/>
      <c r="G467" s="31" t="str">
        <f aca="false">IF(A467="","",IFERROR(IF(INDEX(Empresas!$C:$C,MATCH(A467,Empresas!$A:$A,0))="","",INDEX(Empresas!$C:$C,MATCH(A467,Empresas!$A:$A,0))),""))</f>
        <v/>
      </c>
      <c r="H467" s="18"/>
      <c r="I467" s="19" t="str">
        <f aca="false">IF(OR(F467="",G467=""),"",IF(F467-G467&lt;0,"CONTRATO ANTERIOR À ABERTURA — conferir datas",IF(F467-G467&lt;180,"ABERTA MENOS DE 6 MESES ANTES","")))</f>
        <v/>
      </c>
      <c r="J467" s="19" t="str">
        <f aca="false">IF(A467="","",IFERROR(INDEX(Sancoes!$B:$B,MATCH(A467,Sancoes!$A:$A,0))&amp;"","não consta"))</f>
        <v/>
      </c>
      <c r="K467" s="19" t="str">
        <f aca="false">IF(OR(A467="",F467=""),"",IF(SUMPRODUCT((Sancoes!$A$2:$A$301=A467)*(Sancoes!$B$2:$B$301&lt;&gt;"Não consta")*(Sancoes!$D$2:$D$301&lt;&gt;"")*(Sancoes!$D$2:$D$301&lt;=F467)*(((Sancoes!$E$2:$E$301="")+(Sancoes!$E$2:$E$301&gt;=F467))&gt;0))&gt;0,"SANÇÃO VIGENTE NA DATA — leia o tipo e a abrangência",""))</f>
        <v/>
      </c>
      <c r="L467" s="19" t="str">
        <f aca="false">IF(A467="","",IFERROR(INDEX(Empresas!$B:$B,MATCH(A467,Empresas!$A:$A,0))&amp;"","cadastre o CNPJ em Empresas"))</f>
        <v/>
      </c>
      <c r="M467" s="27"/>
      <c r="N467" s="35"/>
      <c r="O467" s="37" t="str">
        <f aca="false">IF(OR(D467="",D467=0,N467=""),"",N467/D467)</f>
        <v/>
      </c>
      <c r="P467" s="19" t="str">
        <f aca="false">IF(O467="","",IF(O467&gt;0.25,"ACRÉSCIMO ACIMA DE 25% — conferir",""))</f>
        <v/>
      </c>
      <c r="Q467" s="27"/>
      <c r="R467" s="5"/>
    </row>
    <row r="468" customFormat="false" ht="15" hidden="false" customHeight="false" outlineLevel="0" collapsed="false">
      <c r="A468" s="27"/>
      <c r="B468" s="5"/>
      <c r="C468" s="5"/>
      <c r="D468" s="35"/>
      <c r="E468" s="14"/>
      <c r="F468" s="18"/>
      <c r="G468" s="31" t="str">
        <f aca="false">IF(A468="","",IFERROR(IF(INDEX(Empresas!$C:$C,MATCH(A468,Empresas!$A:$A,0))="","",INDEX(Empresas!$C:$C,MATCH(A468,Empresas!$A:$A,0))),""))</f>
        <v/>
      </c>
      <c r="H468" s="18"/>
      <c r="I468" s="19" t="str">
        <f aca="false">IF(OR(F468="",G468=""),"",IF(F468-G468&lt;0,"CONTRATO ANTERIOR À ABERTURA — conferir datas",IF(F468-G468&lt;180,"ABERTA MENOS DE 6 MESES ANTES","")))</f>
        <v/>
      </c>
      <c r="J468" s="19" t="str">
        <f aca="false">IF(A468="","",IFERROR(INDEX(Sancoes!$B:$B,MATCH(A468,Sancoes!$A:$A,0))&amp;"","não consta"))</f>
        <v/>
      </c>
      <c r="K468" s="19" t="str">
        <f aca="false">IF(OR(A468="",F468=""),"",IF(SUMPRODUCT((Sancoes!$A$2:$A$301=A468)*(Sancoes!$B$2:$B$301&lt;&gt;"Não consta")*(Sancoes!$D$2:$D$301&lt;&gt;"")*(Sancoes!$D$2:$D$301&lt;=F468)*(((Sancoes!$E$2:$E$301="")+(Sancoes!$E$2:$E$301&gt;=F468))&gt;0))&gt;0,"SANÇÃO VIGENTE NA DATA — leia o tipo e a abrangência",""))</f>
        <v/>
      </c>
      <c r="L468" s="19" t="str">
        <f aca="false">IF(A468="","",IFERROR(INDEX(Empresas!$B:$B,MATCH(A468,Empresas!$A:$A,0))&amp;"","cadastre o CNPJ em Empresas"))</f>
        <v/>
      </c>
      <c r="M468" s="27"/>
      <c r="N468" s="35"/>
      <c r="O468" s="37" t="str">
        <f aca="false">IF(OR(D468="",D468=0,N468=""),"",N468/D468)</f>
        <v/>
      </c>
      <c r="P468" s="19" t="str">
        <f aca="false">IF(O468="","",IF(O468&gt;0.25,"ACRÉSCIMO ACIMA DE 25% — conferir",""))</f>
        <v/>
      </c>
      <c r="Q468" s="27"/>
      <c r="R468" s="5"/>
    </row>
    <row r="469" customFormat="false" ht="15" hidden="false" customHeight="false" outlineLevel="0" collapsed="false">
      <c r="A469" s="27"/>
      <c r="B469" s="5"/>
      <c r="C469" s="5"/>
      <c r="D469" s="35"/>
      <c r="E469" s="14"/>
      <c r="F469" s="18"/>
      <c r="G469" s="31" t="str">
        <f aca="false">IF(A469="","",IFERROR(IF(INDEX(Empresas!$C:$C,MATCH(A469,Empresas!$A:$A,0))="","",INDEX(Empresas!$C:$C,MATCH(A469,Empresas!$A:$A,0))),""))</f>
        <v/>
      </c>
      <c r="H469" s="18"/>
      <c r="I469" s="19" t="str">
        <f aca="false">IF(OR(F469="",G469=""),"",IF(F469-G469&lt;0,"CONTRATO ANTERIOR À ABERTURA — conferir datas",IF(F469-G469&lt;180,"ABERTA MENOS DE 6 MESES ANTES","")))</f>
        <v/>
      </c>
      <c r="J469" s="19" t="str">
        <f aca="false">IF(A469="","",IFERROR(INDEX(Sancoes!$B:$B,MATCH(A469,Sancoes!$A:$A,0))&amp;"","não consta"))</f>
        <v/>
      </c>
      <c r="K469" s="19" t="str">
        <f aca="false">IF(OR(A469="",F469=""),"",IF(SUMPRODUCT((Sancoes!$A$2:$A$301=A469)*(Sancoes!$B$2:$B$301&lt;&gt;"Não consta")*(Sancoes!$D$2:$D$301&lt;&gt;"")*(Sancoes!$D$2:$D$301&lt;=F469)*(((Sancoes!$E$2:$E$301="")+(Sancoes!$E$2:$E$301&gt;=F469))&gt;0))&gt;0,"SANÇÃO VIGENTE NA DATA — leia o tipo e a abrangência",""))</f>
        <v/>
      </c>
      <c r="L469" s="19" t="str">
        <f aca="false">IF(A469="","",IFERROR(INDEX(Empresas!$B:$B,MATCH(A469,Empresas!$A:$A,0))&amp;"","cadastre o CNPJ em Empresas"))</f>
        <v/>
      </c>
      <c r="M469" s="27"/>
      <c r="N469" s="35"/>
      <c r="O469" s="37" t="str">
        <f aca="false">IF(OR(D469="",D469=0,N469=""),"",N469/D469)</f>
        <v/>
      </c>
      <c r="P469" s="19" t="str">
        <f aca="false">IF(O469="","",IF(O469&gt;0.25,"ACRÉSCIMO ACIMA DE 25% — conferir",""))</f>
        <v/>
      </c>
      <c r="Q469" s="27"/>
      <c r="R469" s="5"/>
    </row>
    <row r="470" customFormat="false" ht="15" hidden="false" customHeight="false" outlineLevel="0" collapsed="false">
      <c r="A470" s="27"/>
      <c r="B470" s="5"/>
      <c r="C470" s="5"/>
      <c r="D470" s="35"/>
      <c r="E470" s="14"/>
      <c r="F470" s="18"/>
      <c r="G470" s="31" t="str">
        <f aca="false">IF(A470="","",IFERROR(IF(INDEX(Empresas!$C:$C,MATCH(A470,Empresas!$A:$A,0))="","",INDEX(Empresas!$C:$C,MATCH(A470,Empresas!$A:$A,0))),""))</f>
        <v/>
      </c>
      <c r="H470" s="18"/>
      <c r="I470" s="19" t="str">
        <f aca="false">IF(OR(F470="",G470=""),"",IF(F470-G470&lt;0,"CONTRATO ANTERIOR À ABERTURA — conferir datas",IF(F470-G470&lt;180,"ABERTA MENOS DE 6 MESES ANTES","")))</f>
        <v/>
      </c>
      <c r="J470" s="19" t="str">
        <f aca="false">IF(A470="","",IFERROR(INDEX(Sancoes!$B:$B,MATCH(A470,Sancoes!$A:$A,0))&amp;"","não consta"))</f>
        <v/>
      </c>
      <c r="K470" s="19" t="str">
        <f aca="false">IF(OR(A470="",F470=""),"",IF(SUMPRODUCT((Sancoes!$A$2:$A$301=A470)*(Sancoes!$B$2:$B$301&lt;&gt;"Não consta")*(Sancoes!$D$2:$D$301&lt;&gt;"")*(Sancoes!$D$2:$D$301&lt;=F470)*(((Sancoes!$E$2:$E$301="")+(Sancoes!$E$2:$E$301&gt;=F470))&gt;0))&gt;0,"SANÇÃO VIGENTE NA DATA — leia o tipo e a abrangência",""))</f>
        <v/>
      </c>
      <c r="L470" s="19" t="str">
        <f aca="false">IF(A470="","",IFERROR(INDEX(Empresas!$B:$B,MATCH(A470,Empresas!$A:$A,0))&amp;"","cadastre o CNPJ em Empresas"))</f>
        <v/>
      </c>
      <c r="M470" s="27"/>
      <c r="N470" s="35"/>
      <c r="O470" s="37" t="str">
        <f aca="false">IF(OR(D470="",D470=0,N470=""),"",N470/D470)</f>
        <v/>
      </c>
      <c r="P470" s="19" t="str">
        <f aca="false">IF(O470="","",IF(O470&gt;0.25,"ACRÉSCIMO ACIMA DE 25% — conferir",""))</f>
        <v/>
      </c>
      <c r="Q470" s="27"/>
      <c r="R470" s="5"/>
    </row>
    <row r="471" customFormat="false" ht="15" hidden="false" customHeight="false" outlineLevel="0" collapsed="false">
      <c r="A471" s="27"/>
      <c r="B471" s="5"/>
      <c r="C471" s="5"/>
      <c r="D471" s="35"/>
      <c r="E471" s="14"/>
      <c r="F471" s="18"/>
      <c r="G471" s="31" t="str">
        <f aca="false">IF(A471="","",IFERROR(IF(INDEX(Empresas!$C:$C,MATCH(A471,Empresas!$A:$A,0))="","",INDEX(Empresas!$C:$C,MATCH(A471,Empresas!$A:$A,0))),""))</f>
        <v/>
      </c>
      <c r="H471" s="18"/>
      <c r="I471" s="19" t="str">
        <f aca="false">IF(OR(F471="",G471=""),"",IF(F471-G471&lt;0,"CONTRATO ANTERIOR À ABERTURA — conferir datas",IF(F471-G471&lt;180,"ABERTA MENOS DE 6 MESES ANTES","")))</f>
        <v/>
      </c>
      <c r="J471" s="19" t="str">
        <f aca="false">IF(A471="","",IFERROR(INDEX(Sancoes!$B:$B,MATCH(A471,Sancoes!$A:$A,0))&amp;"","não consta"))</f>
        <v/>
      </c>
      <c r="K471" s="19" t="str">
        <f aca="false">IF(OR(A471="",F471=""),"",IF(SUMPRODUCT((Sancoes!$A$2:$A$301=A471)*(Sancoes!$B$2:$B$301&lt;&gt;"Não consta")*(Sancoes!$D$2:$D$301&lt;&gt;"")*(Sancoes!$D$2:$D$301&lt;=F471)*(((Sancoes!$E$2:$E$301="")+(Sancoes!$E$2:$E$301&gt;=F471))&gt;0))&gt;0,"SANÇÃO VIGENTE NA DATA — leia o tipo e a abrangência",""))</f>
        <v/>
      </c>
      <c r="L471" s="19" t="str">
        <f aca="false">IF(A471="","",IFERROR(INDEX(Empresas!$B:$B,MATCH(A471,Empresas!$A:$A,0))&amp;"","cadastre o CNPJ em Empresas"))</f>
        <v/>
      </c>
      <c r="M471" s="27"/>
      <c r="N471" s="35"/>
      <c r="O471" s="37" t="str">
        <f aca="false">IF(OR(D471="",D471=0,N471=""),"",N471/D471)</f>
        <v/>
      </c>
      <c r="P471" s="19" t="str">
        <f aca="false">IF(O471="","",IF(O471&gt;0.25,"ACRÉSCIMO ACIMA DE 25% — conferir",""))</f>
        <v/>
      </c>
      <c r="Q471" s="27"/>
      <c r="R471" s="5"/>
    </row>
    <row r="472" customFormat="false" ht="15" hidden="false" customHeight="false" outlineLevel="0" collapsed="false">
      <c r="A472" s="27"/>
      <c r="B472" s="5"/>
      <c r="C472" s="5"/>
      <c r="D472" s="35"/>
      <c r="E472" s="14"/>
      <c r="F472" s="18"/>
      <c r="G472" s="31" t="str">
        <f aca="false">IF(A472="","",IFERROR(IF(INDEX(Empresas!$C:$C,MATCH(A472,Empresas!$A:$A,0))="","",INDEX(Empresas!$C:$C,MATCH(A472,Empresas!$A:$A,0))),""))</f>
        <v/>
      </c>
      <c r="H472" s="18"/>
      <c r="I472" s="19" t="str">
        <f aca="false">IF(OR(F472="",G472=""),"",IF(F472-G472&lt;0,"CONTRATO ANTERIOR À ABERTURA — conferir datas",IF(F472-G472&lt;180,"ABERTA MENOS DE 6 MESES ANTES","")))</f>
        <v/>
      </c>
      <c r="J472" s="19" t="str">
        <f aca="false">IF(A472="","",IFERROR(INDEX(Sancoes!$B:$B,MATCH(A472,Sancoes!$A:$A,0))&amp;"","não consta"))</f>
        <v/>
      </c>
      <c r="K472" s="19" t="str">
        <f aca="false">IF(OR(A472="",F472=""),"",IF(SUMPRODUCT((Sancoes!$A$2:$A$301=A472)*(Sancoes!$B$2:$B$301&lt;&gt;"Não consta")*(Sancoes!$D$2:$D$301&lt;&gt;"")*(Sancoes!$D$2:$D$301&lt;=F472)*(((Sancoes!$E$2:$E$301="")+(Sancoes!$E$2:$E$301&gt;=F472))&gt;0))&gt;0,"SANÇÃO VIGENTE NA DATA — leia o tipo e a abrangência",""))</f>
        <v/>
      </c>
      <c r="L472" s="19" t="str">
        <f aca="false">IF(A472="","",IFERROR(INDEX(Empresas!$B:$B,MATCH(A472,Empresas!$A:$A,0))&amp;"","cadastre o CNPJ em Empresas"))</f>
        <v/>
      </c>
      <c r="M472" s="27"/>
      <c r="N472" s="35"/>
      <c r="O472" s="37" t="str">
        <f aca="false">IF(OR(D472="",D472=0,N472=""),"",N472/D472)</f>
        <v/>
      </c>
      <c r="P472" s="19" t="str">
        <f aca="false">IF(O472="","",IF(O472&gt;0.25,"ACRÉSCIMO ACIMA DE 25% — conferir",""))</f>
        <v/>
      </c>
      <c r="Q472" s="27"/>
      <c r="R472" s="5"/>
    </row>
    <row r="473" customFormat="false" ht="15" hidden="false" customHeight="false" outlineLevel="0" collapsed="false">
      <c r="A473" s="27"/>
      <c r="B473" s="5"/>
      <c r="C473" s="5"/>
      <c r="D473" s="35"/>
      <c r="E473" s="14"/>
      <c r="F473" s="18"/>
      <c r="G473" s="31" t="str">
        <f aca="false">IF(A473="","",IFERROR(IF(INDEX(Empresas!$C:$C,MATCH(A473,Empresas!$A:$A,0))="","",INDEX(Empresas!$C:$C,MATCH(A473,Empresas!$A:$A,0))),""))</f>
        <v/>
      </c>
      <c r="H473" s="18"/>
      <c r="I473" s="19" t="str">
        <f aca="false">IF(OR(F473="",G473=""),"",IF(F473-G473&lt;0,"CONTRATO ANTERIOR À ABERTURA — conferir datas",IF(F473-G473&lt;180,"ABERTA MENOS DE 6 MESES ANTES","")))</f>
        <v/>
      </c>
      <c r="J473" s="19" t="str">
        <f aca="false">IF(A473="","",IFERROR(INDEX(Sancoes!$B:$B,MATCH(A473,Sancoes!$A:$A,0))&amp;"","não consta"))</f>
        <v/>
      </c>
      <c r="K473" s="19" t="str">
        <f aca="false">IF(OR(A473="",F473=""),"",IF(SUMPRODUCT((Sancoes!$A$2:$A$301=A473)*(Sancoes!$B$2:$B$301&lt;&gt;"Não consta")*(Sancoes!$D$2:$D$301&lt;&gt;"")*(Sancoes!$D$2:$D$301&lt;=F473)*(((Sancoes!$E$2:$E$301="")+(Sancoes!$E$2:$E$301&gt;=F473))&gt;0))&gt;0,"SANÇÃO VIGENTE NA DATA — leia o tipo e a abrangência",""))</f>
        <v/>
      </c>
      <c r="L473" s="19" t="str">
        <f aca="false">IF(A473="","",IFERROR(INDEX(Empresas!$B:$B,MATCH(A473,Empresas!$A:$A,0))&amp;"","cadastre o CNPJ em Empresas"))</f>
        <v/>
      </c>
      <c r="M473" s="27"/>
      <c r="N473" s="35"/>
      <c r="O473" s="37" t="str">
        <f aca="false">IF(OR(D473="",D473=0,N473=""),"",N473/D473)</f>
        <v/>
      </c>
      <c r="P473" s="19" t="str">
        <f aca="false">IF(O473="","",IF(O473&gt;0.25,"ACRÉSCIMO ACIMA DE 25% — conferir",""))</f>
        <v/>
      </c>
      <c r="Q473" s="27"/>
      <c r="R473" s="5"/>
    </row>
    <row r="474" customFormat="false" ht="15" hidden="false" customHeight="false" outlineLevel="0" collapsed="false">
      <c r="A474" s="27"/>
      <c r="B474" s="5"/>
      <c r="C474" s="5"/>
      <c r="D474" s="35"/>
      <c r="E474" s="14"/>
      <c r="F474" s="18"/>
      <c r="G474" s="31" t="str">
        <f aca="false">IF(A474="","",IFERROR(IF(INDEX(Empresas!$C:$C,MATCH(A474,Empresas!$A:$A,0))="","",INDEX(Empresas!$C:$C,MATCH(A474,Empresas!$A:$A,0))),""))</f>
        <v/>
      </c>
      <c r="H474" s="18"/>
      <c r="I474" s="19" t="str">
        <f aca="false">IF(OR(F474="",G474=""),"",IF(F474-G474&lt;0,"CONTRATO ANTERIOR À ABERTURA — conferir datas",IF(F474-G474&lt;180,"ABERTA MENOS DE 6 MESES ANTES","")))</f>
        <v/>
      </c>
      <c r="J474" s="19" t="str">
        <f aca="false">IF(A474="","",IFERROR(INDEX(Sancoes!$B:$B,MATCH(A474,Sancoes!$A:$A,0))&amp;"","não consta"))</f>
        <v/>
      </c>
      <c r="K474" s="19" t="str">
        <f aca="false">IF(OR(A474="",F474=""),"",IF(SUMPRODUCT((Sancoes!$A$2:$A$301=A474)*(Sancoes!$B$2:$B$301&lt;&gt;"Não consta")*(Sancoes!$D$2:$D$301&lt;&gt;"")*(Sancoes!$D$2:$D$301&lt;=F474)*(((Sancoes!$E$2:$E$301="")+(Sancoes!$E$2:$E$301&gt;=F474))&gt;0))&gt;0,"SANÇÃO VIGENTE NA DATA — leia o tipo e a abrangência",""))</f>
        <v/>
      </c>
      <c r="L474" s="19" t="str">
        <f aca="false">IF(A474="","",IFERROR(INDEX(Empresas!$B:$B,MATCH(A474,Empresas!$A:$A,0))&amp;"","cadastre o CNPJ em Empresas"))</f>
        <v/>
      </c>
      <c r="M474" s="27"/>
      <c r="N474" s="35"/>
      <c r="O474" s="37" t="str">
        <f aca="false">IF(OR(D474="",D474=0,N474=""),"",N474/D474)</f>
        <v/>
      </c>
      <c r="P474" s="19" t="str">
        <f aca="false">IF(O474="","",IF(O474&gt;0.25,"ACRÉSCIMO ACIMA DE 25% — conferir",""))</f>
        <v/>
      </c>
      <c r="Q474" s="27"/>
      <c r="R474" s="5"/>
    </row>
    <row r="475" customFormat="false" ht="15" hidden="false" customHeight="false" outlineLevel="0" collapsed="false">
      <c r="A475" s="27"/>
      <c r="B475" s="5"/>
      <c r="C475" s="5"/>
      <c r="D475" s="35"/>
      <c r="E475" s="14"/>
      <c r="F475" s="18"/>
      <c r="G475" s="31" t="str">
        <f aca="false">IF(A475="","",IFERROR(IF(INDEX(Empresas!$C:$C,MATCH(A475,Empresas!$A:$A,0))="","",INDEX(Empresas!$C:$C,MATCH(A475,Empresas!$A:$A,0))),""))</f>
        <v/>
      </c>
      <c r="H475" s="18"/>
      <c r="I475" s="19" t="str">
        <f aca="false">IF(OR(F475="",G475=""),"",IF(F475-G475&lt;0,"CONTRATO ANTERIOR À ABERTURA — conferir datas",IF(F475-G475&lt;180,"ABERTA MENOS DE 6 MESES ANTES","")))</f>
        <v/>
      </c>
      <c r="J475" s="19" t="str">
        <f aca="false">IF(A475="","",IFERROR(INDEX(Sancoes!$B:$B,MATCH(A475,Sancoes!$A:$A,0))&amp;"","não consta"))</f>
        <v/>
      </c>
      <c r="K475" s="19" t="str">
        <f aca="false">IF(OR(A475="",F475=""),"",IF(SUMPRODUCT((Sancoes!$A$2:$A$301=A475)*(Sancoes!$B$2:$B$301&lt;&gt;"Não consta")*(Sancoes!$D$2:$D$301&lt;&gt;"")*(Sancoes!$D$2:$D$301&lt;=F475)*(((Sancoes!$E$2:$E$301="")+(Sancoes!$E$2:$E$301&gt;=F475))&gt;0))&gt;0,"SANÇÃO VIGENTE NA DATA — leia o tipo e a abrangência",""))</f>
        <v/>
      </c>
      <c r="L475" s="19" t="str">
        <f aca="false">IF(A475="","",IFERROR(INDEX(Empresas!$B:$B,MATCH(A475,Empresas!$A:$A,0))&amp;"","cadastre o CNPJ em Empresas"))</f>
        <v/>
      </c>
      <c r="M475" s="27"/>
      <c r="N475" s="35"/>
      <c r="O475" s="37" t="str">
        <f aca="false">IF(OR(D475="",D475=0,N475=""),"",N475/D475)</f>
        <v/>
      </c>
      <c r="P475" s="19" t="str">
        <f aca="false">IF(O475="","",IF(O475&gt;0.25,"ACRÉSCIMO ACIMA DE 25% — conferir",""))</f>
        <v/>
      </c>
      <c r="Q475" s="27"/>
      <c r="R475" s="5"/>
    </row>
    <row r="476" customFormat="false" ht="15" hidden="false" customHeight="false" outlineLevel="0" collapsed="false">
      <c r="A476" s="27"/>
      <c r="B476" s="5"/>
      <c r="C476" s="5"/>
      <c r="D476" s="35"/>
      <c r="E476" s="14"/>
      <c r="F476" s="18"/>
      <c r="G476" s="31" t="str">
        <f aca="false">IF(A476="","",IFERROR(IF(INDEX(Empresas!$C:$C,MATCH(A476,Empresas!$A:$A,0))="","",INDEX(Empresas!$C:$C,MATCH(A476,Empresas!$A:$A,0))),""))</f>
        <v/>
      </c>
      <c r="H476" s="18"/>
      <c r="I476" s="19" t="str">
        <f aca="false">IF(OR(F476="",G476=""),"",IF(F476-G476&lt;0,"CONTRATO ANTERIOR À ABERTURA — conferir datas",IF(F476-G476&lt;180,"ABERTA MENOS DE 6 MESES ANTES","")))</f>
        <v/>
      </c>
      <c r="J476" s="19" t="str">
        <f aca="false">IF(A476="","",IFERROR(INDEX(Sancoes!$B:$B,MATCH(A476,Sancoes!$A:$A,0))&amp;"","não consta"))</f>
        <v/>
      </c>
      <c r="K476" s="19" t="str">
        <f aca="false">IF(OR(A476="",F476=""),"",IF(SUMPRODUCT((Sancoes!$A$2:$A$301=A476)*(Sancoes!$B$2:$B$301&lt;&gt;"Não consta")*(Sancoes!$D$2:$D$301&lt;&gt;"")*(Sancoes!$D$2:$D$301&lt;=F476)*(((Sancoes!$E$2:$E$301="")+(Sancoes!$E$2:$E$301&gt;=F476))&gt;0))&gt;0,"SANÇÃO VIGENTE NA DATA — leia o tipo e a abrangência",""))</f>
        <v/>
      </c>
      <c r="L476" s="19" t="str">
        <f aca="false">IF(A476="","",IFERROR(INDEX(Empresas!$B:$B,MATCH(A476,Empresas!$A:$A,0))&amp;"","cadastre o CNPJ em Empresas"))</f>
        <v/>
      </c>
      <c r="M476" s="27"/>
      <c r="N476" s="35"/>
      <c r="O476" s="37" t="str">
        <f aca="false">IF(OR(D476="",D476=0,N476=""),"",N476/D476)</f>
        <v/>
      </c>
      <c r="P476" s="19" t="str">
        <f aca="false">IF(O476="","",IF(O476&gt;0.25,"ACRÉSCIMO ACIMA DE 25% — conferir",""))</f>
        <v/>
      </c>
      <c r="Q476" s="27"/>
      <c r="R476" s="5"/>
    </row>
    <row r="477" customFormat="false" ht="15" hidden="false" customHeight="false" outlineLevel="0" collapsed="false">
      <c r="A477" s="27"/>
      <c r="B477" s="5"/>
      <c r="C477" s="5"/>
      <c r="D477" s="35"/>
      <c r="E477" s="14"/>
      <c r="F477" s="18"/>
      <c r="G477" s="31" t="str">
        <f aca="false">IF(A477="","",IFERROR(IF(INDEX(Empresas!$C:$C,MATCH(A477,Empresas!$A:$A,0))="","",INDEX(Empresas!$C:$C,MATCH(A477,Empresas!$A:$A,0))),""))</f>
        <v/>
      </c>
      <c r="H477" s="18"/>
      <c r="I477" s="19" t="str">
        <f aca="false">IF(OR(F477="",G477=""),"",IF(F477-G477&lt;0,"CONTRATO ANTERIOR À ABERTURA — conferir datas",IF(F477-G477&lt;180,"ABERTA MENOS DE 6 MESES ANTES","")))</f>
        <v/>
      </c>
      <c r="J477" s="19" t="str">
        <f aca="false">IF(A477="","",IFERROR(INDEX(Sancoes!$B:$B,MATCH(A477,Sancoes!$A:$A,0))&amp;"","não consta"))</f>
        <v/>
      </c>
      <c r="K477" s="19" t="str">
        <f aca="false">IF(OR(A477="",F477=""),"",IF(SUMPRODUCT((Sancoes!$A$2:$A$301=A477)*(Sancoes!$B$2:$B$301&lt;&gt;"Não consta")*(Sancoes!$D$2:$D$301&lt;&gt;"")*(Sancoes!$D$2:$D$301&lt;=F477)*(((Sancoes!$E$2:$E$301="")+(Sancoes!$E$2:$E$301&gt;=F477))&gt;0))&gt;0,"SANÇÃO VIGENTE NA DATA — leia o tipo e a abrangência",""))</f>
        <v/>
      </c>
      <c r="L477" s="19" t="str">
        <f aca="false">IF(A477="","",IFERROR(INDEX(Empresas!$B:$B,MATCH(A477,Empresas!$A:$A,0))&amp;"","cadastre o CNPJ em Empresas"))</f>
        <v/>
      </c>
      <c r="M477" s="27"/>
      <c r="N477" s="35"/>
      <c r="O477" s="37" t="str">
        <f aca="false">IF(OR(D477="",D477=0,N477=""),"",N477/D477)</f>
        <v/>
      </c>
      <c r="P477" s="19" t="str">
        <f aca="false">IF(O477="","",IF(O477&gt;0.25,"ACRÉSCIMO ACIMA DE 25% — conferir",""))</f>
        <v/>
      </c>
      <c r="Q477" s="27"/>
      <c r="R477" s="5"/>
    </row>
    <row r="478" customFormat="false" ht="15" hidden="false" customHeight="false" outlineLevel="0" collapsed="false">
      <c r="A478" s="27"/>
      <c r="B478" s="5"/>
      <c r="C478" s="5"/>
      <c r="D478" s="35"/>
      <c r="E478" s="14"/>
      <c r="F478" s="18"/>
      <c r="G478" s="31" t="str">
        <f aca="false">IF(A478="","",IFERROR(IF(INDEX(Empresas!$C:$C,MATCH(A478,Empresas!$A:$A,0))="","",INDEX(Empresas!$C:$C,MATCH(A478,Empresas!$A:$A,0))),""))</f>
        <v/>
      </c>
      <c r="H478" s="18"/>
      <c r="I478" s="19" t="str">
        <f aca="false">IF(OR(F478="",G478=""),"",IF(F478-G478&lt;0,"CONTRATO ANTERIOR À ABERTURA — conferir datas",IF(F478-G478&lt;180,"ABERTA MENOS DE 6 MESES ANTES","")))</f>
        <v/>
      </c>
      <c r="J478" s="19" t="str">
        <f aca="false">IF(A478="","",IFERROR(INDEX(Sancoes!$B:$B,MATCH(A478,Sancoes!$A:$A,0))&amp;"","não consta"))</f>
        <v/>
      </c>
      <c r="K478" s="19" t="str">
        <f aca="false">IF(OR(A478="",F478=""),"",IF(SUMPRODUCT((Sancoes!$A$2:$A$301=A478)*(Sancoes!$B$2:$B$301&lt;&gt;"Não consta")*(Sancoes!$D$2:$D$301&lt;&gt;"")*(Sancoes!$D$2:$D$301&lt;=F478)*(((Sancoes!$E$2:$E$301="")+(Sancoes!$E$2:$E$301&gt;=F478))&gt;0))&gt;0,"SANÇÃO VIGENTE NA DATA — leia o tipo e a abrangência",""))</f>
        <v/>
      </c>
      <c r="L478" s="19" t="str">
        <f aca="false">IF(A478="","",IFERROR(INDEX(Empresas!$B:$B,MATCH(A478,Empresas!$A:$A,0))&amp;"","cadastre o CNPJ em Empresas"))</f>
        <v/>
      </c>
      <c r="M478" s="27"/>
      <c r="N478" s="35"/>
      <c r="O478" s="37" t="str">
        <f aca="false">IF(OR(D478="",D478=0,N478=""),"",N478/D478)</f>
        <v/>
      </c>
      <c r="P478" s="19" t="str">
        <f aca="false">IF(O478="","",IF(O478&gt;0.25,"ACRÉSCIMO ACIMA DE 25% — conferir",""))</f>
        <v/>
      </c>
      <c r="Q478" s="27"/>
      <c r="R478" s="5"/>
    </row>
    <row r="479" customFormat="false" ht="15" hidden="false" customHeight="false" outlineLevel="0" collapsed="false">
      <c r="A479" s="27"/>
      <c r="B479" s="5"/>
      <c r="C479" s="5"/>
      <c r="D479" s="35"/>
      <c r="E479" s="14"/>
      <c r="F479" s="18"/>
      <c r="G479" s="31" t="str">
        <f aca="false">IF(A479="","",IFERROR(IF(INDEX(Empresas!$C:$C,MATCH(A479,Empresas!$A:$A,0))="","",INDEX(Empresas!$C:$C,MATCH(A479,Empresas!$A:$A,0))),""))</f>
        <v/>
      </c>
      <c r="H479" s="18"/>
      <c r="I479" s="19" t="str">
        <f aca="false">IF(OR(F479="",G479=""),"",IF(F479-G479&lt;0,"CONTRATO ANTERIOR À ABERTURA — conferir datas",IF(F479-G479&lt;180,"ABERTA MENOS DE 6 MESES ANTES","")))</f>
        <v/>
      </c>
      <c r="J479" s="19" t="str">
        <f aca="false">IF(A479="","",IFERROR(INDEX(Sancoes!$B:$B,MATCH(A479,Sancoes!$A:$A,0))&amp;"","não consta"))</f>
        <v/>
      </c>
      <c r="K479" s="19" t="str">
        <f aca="false">IF(OR(A479="",F479=""),"",IF(SUMPRODUCT((Sancoes!$A$2:$A$301=A479)*(Sancoes!$B$2:$B$301&lt;&gt;"Não consta")*(Sancoes!$D$2:$D$301&lt;&gt;"")*(Sancoes!$D$2:$D$301&lt;=F479)*(((Sancoes!$E$2:$E$301="")+(Sancoes!$E$2:$E$301&gt;=F479))&gt;0))&gt;0,"SANÇÃO VIGENTE NA DATA — leia o tipo e a abrangência",""))</f>
        <v/>
      </c>
      <c r="L479" s="19" t="str">
        <f aca="false">IF(A479="","",IFERROR(INDEX(Empresas!$B:$B,MATCH(A479,Empresas!$A:$A,0))&amp;"","cadastre o CNPJ em Empresas"))</f>
        <v/>
      </c>
      <c r="M479" s="27"/>
      <c r="N479" s="35"/>
      <c r="O479" s="37" t="str">
        <f aca="false">IF(OR(D479="",D479=0,N479=""),"",N479/D479)</f>
        <v/>
      </c>
      <c r="P479" s="19" t="str">
        <f aca="false">IF(O479="","",IF(O479&gt;0.25,"ACRÉSCIMO ACIMA DE 25% — conferir",""))</f>
        <v/>
      </c>
      <c r="Q479" s="27"/>
      <c r="R479" s="5"/>
    </row>
    <row r="480" customFormat="false" ht="15" hidden="false" customHeight="false" outlineLevel="0" collapsed="false">
      <c r="A480" s="27"/>
      <c r="B480" s="5"/>
      <c r="C480" s="5"/>
      <c r="D480" s="35"/>
      <c r="E480" s="14"/>
      <c r="F480" s="18"/>
      <c r="G480" s="31" t="str">
        <f aca="false">IF(A480="","",IFERROR(IF(INDEX(Empresas!$C:$C,MATCH(A480,Empresas!$A:$A,0))="","",INDEX(Empresas!$C:$C,MATCH(A480,Empresas!$A:$A,0))),""))</f>
        <v/>
      </c>
      <c r="H480" s="18"/>
      <c r="I480" s="19" t="str">
        <f aca="false">IF(OR(F480="",G480=""),"",IF(F480-G480&lt;0,"CONTRATO ANTERIOR À ABERTURA — conferir datas",IF(F480-G480&lt;180,"ABERTA MENOS DE 6 MESES ANTES","")))</f>
        <v/>
      </c>
      <c r="J480" s="19" t="str">
        <f aca="false">IF(A480="","",IFERROR(INDEX(Sancoes!$B:$B,MATCH(A480,Sancoes!$A:$A,0))&amp;"","não consta"))</f>
        <v/>
      </c>
      <c r="K480" s="19" t="str">
        <f aca="false">IF(OR(A480="",F480=""),"",IF(SUMPRODUCT((Sancoes!$A$2:$A$301=A480)*(Sancoes!$B$2:$B$301&lt;&gt;"Não consta")*(Sancoes!$D$2:$D$301&lt;&gt;"")*(Sancoes!$D$2:$D$301&lt;=F480)*(((Sancoes!$E$2:$E$301="")+(Sancoes!$E$2:$E$301&gt;=F480))&gt;0))&gt;0,"SANÇÃO VIGENTE NA DATA — leia o tipo e a abrangência",""))</f>
        <v/>
      </c>
      <c r="L480" s="19" t="str">
        <f aca="false">IF(A480="","",IFERROR(INDEX(Empresas!$B:$B,MATCH(A480,Empresas!$A:$A,0))&amp;"","cadastre o CNPJ em Empresas"))</f>
        <v/>
      </c>
      <c r="M480" s="27"/>
      <c r="N480" s="35"/>
      <c r="O480" s="37" t="str">
        <f aca="false">IF(OR(D480="",D480=0,N480=""),"",N480/D480)</f>
        <v/>
      </c>
      <c r="P480" s="19" t="str">
        <f aca="false">IF(O480="","",IF(O480&gt;0.25,"ACRÉSCIMO ACIMA DE 25% — conferir",""))</f>
        <v/>
      </c>
      <c r="Q480" s="27"/>
      <c r="R480" s="5"/>
    </row>
    <row r="481" customFormat="false" ht="15" hidden="false" customHeight="false" outlineLevel="0" collapsed="false">
      <c r="A481" s="27"/>
      <c r="B481" s="5"/>
      <c r="C481" s="5"/>
      <c r="D481" s="35"/>
      <c r="E481" s="14"/>
      <c r="F481" s="18"/>
      <c r="G481" s="31" t="str">
        <f aca="false">IF(A481="","",IFERROR(IF(INDEX(Empresas!$C:$C,MATCH(A481,Empresas!$A:$A,0))="","",INDEX(Empresas!$C:$C,MATCH(A481,Empresas!$A:$A,0))),""))</f>
        <v/>
      </c>
      <c r="H481" s="18"/>
      <c r="I481" s="19" t="str">
        <f aca="false">IF(OR(F481="",G481=""),"",IF(F481-G481&lt;0,"CONTRATO ANTERIOR À ABERTURA — conferir datas",IF(F481-G481&lt;180,"ABERTA MENOS DE 6 MESES ANTES","")))</f>
        <v/>
      </c>
      <c r="J481" s="19" t="str">
        <f aca="false">IF(A481="","",IFERROR(INDEX(Sancoes!$B:$B,MATCH(A481,Sancoes!$A:$A,0))&amp;"","não consta"))</f>
        <v/>
      </c>
      <c r="K481" s="19" t="str">
        <f aca="false">IF(OR(A481="",F481=""),"",IF(SUMPRODUCT((Sancoes!$A$2:$A$301=A481)*(Sancoes!$B$2:$B$301&lt;&gt;"Não consta")*(Sancoes!$D$2:$D$301&lt;&gt;"")*(Sancoes!$D$2:$D$301&lt;=F481)*(((Sancoes!$E$2:$E$301="")+(Sancoes!$E$2:$E$301&gt;=F481))&gt;0))&gt;0,"SANÇÃO VIGENTE NA DATA — leia o tipo e a abrangência",""))</f>
        <v/>
      </c>
      <c r="L481" s="19" t="str">
        <f aca="false">IF(A481="","",IFERROR(INDEX(Empresas!$B:$B,MATCH(A481,Empresas!$A:$A,0))&amp;"","cadastre o CNPJ em Empresas"))</f>
        <v/>
      </c>
      <c r="M481" s="27"/>
      <c r="N481" s="35"/>
      <c r="O481" s="37" t="str">
        <f aca="false">IF(OR(D481="",D481=0,N481=""),"",N481/D481)</f>
        <v/>
      </c>
      <c r="P481" s="19" t="str">
        <f aca="false">IF(O481="","",IF(O481&gt;0.25,"ACRÉSCIMO ACIMA DE 25% — conferir",""))</f>
        <v/>
      </c>
      <c r="Q481" s="27"/>
      <c r="R481" s="5"/>
    </row>
    <row r="482" customFormat="false" ht="15" hidden="false" customHeight="false" outlineLevel="0" collapsed="false">
      <c r="A482" s="27"/>
      <c r="B482" s="5"/>
      <c r="C482" s="5"/>
      <c r="D482" s="35"/>
      <c r="E482" s="14"/>
      <c r="F482" s="18"/>
      <c r="G482" s="31" t="str">
        <f aca="false">IF(A482="","",IFERROR(IF(INDEX(Empresas!$C:$C,MATCH(A482,Empresas!$A:$A,0))="","",INDEX(Empresas!$C:$C,MATCH(A482,Empresas!$A:$A,0))),""))</f>
        <v/>
      </c>
      <c r="H482" s="18"/>
      <c r="I482" s="19" t="str">
        <f aca="false">IF(OR(F482="",G482=""),"",IF(F482-G482&lt;0,"CONTRATO ANTERIOR À ABERTURA — conferir datas",IF(F482-G482&lt;180,"ABERTA MENOS DE 6 MESES ANTES","")))</f>
        <v/>
      </c>
      <c r="J482" s="19" t="str">
        <f aca="false">IF(A482="","",IFERROR(INDEX(Sancoes!$B:$B,MATCH(A482,Sancoes!$A:$A,0))&amp;"","não consta"))</f>
        <v/>
      </c>
      <c r="K482" s="19" t="str">
        <f aca="false">IF(OR(A482="",F482=""),"",IF(SUMPRODUCT((Sancoes!$A$2:$A$301=A482)*(Sancoes!$B$2:$B$301&lt;&gt;"Não consta")*(Sancoes!$D$2:$D$301&lt;&gt;"")*(Sancoes!$D$2:$D$301&lt;=F482)*(((Sancoes!$E$2:$E$301="")+(Sancoes!$E$2:$E$301&gt;=F482))&gt;0))&gt;0,"SANÇÃO VIGENTE NA DATA — leia o tipo e a abrangência",""))</f>
        <v/>
      </c>
      <c r="L482" s="19" t="str">
        <f aca="false">IF(A482="","",IFERROR(INDEX(Empresas!$B:$B,MATCH(A482,Empresas!$A:$A,0))&amp;"","cadastre o CNPJ em Empresas"))</f>
        <v/>
      </c>
      <c r="M482" s="27"/>
      <c r="N482" s="35"/>
      <c r="O482" s="37" t="str">
        <f aca="false">IF(OR(D482="",D482=0,N482=""),"",N482/D482)</f>
        <v/>
      </c>
      <c r="P482" s="19" t="str">
        <f aca="false">IF(O482="","",IF(O482&gt;0.25,"ACRÉSCIMO ACIMA DE 25% — conferir",""))</f>
        <v/>
      </c>
      <c r="Q482" s="27"/>
      <c r="R482" s="5"/>
    </row>
    <row r="483" customFormat="false" ht="15" hidden="false" customHeight="false" outlineLevel="0" collapsed="false">
      <c r="A483" s="27"/>
      <c r="B483" s="5"/>
      <c r="C483" s="5"/>
      <c r="D483" s="35"/>
      <c r="E483" s="14"/>
      <c r="F483" s="18"/>
      <c r="G483" s="31" t="str">
        <f aca="false">IF(A483="","",IFERROR(IF(INDEX(Empresas!$C:$C,MATCH(A483,Empresas!$A:$A,0))="","",INDEX(Empresas!$C:$C,MATCH(A483,Empresas!$A:$A,0))),""))</f>
        <v/>
      </c>
      <c r="H483" s="18"/>
      <c r="I483" s="19" t="str">
        <f aca="false">IF(OR(F483="",G483=""),"",IF(F483-G483&lt;0,"CONTRATO ANTERIOR À ABERTURA — conferir datas",IF(F483-G483&lt;180,"ABERTA MENOS DE 6 MESES ANTES","")))</f>
        <v/>
      </c>
      <c r="J483" s="19" t="str">
        <f aca="false">IF(A483="","",IFERROR(INDEX(Sancoes!$B:$B,MATCH(A483,Sancoes!$A:$A,0))&amp;"","não consta"))</f>
        <v/>
      </c>
      <c r="K483" s="19" t="str">
        <f aca="false">IF(OR(A483="",F483=""),"",IF(SUMPRODUCT((Sancoes!$A$2:$A$301=A483)*(Sancoes!$B$2:$B$301&lt;&gt;"Não consta")*(Sancoes!$D$2:$D$301&lt;&gt;"")*(Sancoes!$D$2:$D$301&lt;=F483)*(((Sancoes!$E$2:$E$301="")+(Sancoes!$E$2:$E$301&gt;=F483))&gt;0))&gt;0,"SANÇÃO VIGENTE NA DATA — leia o tipo e a abrangência",""))</f>
        <v/>
      </c>
      <c r="L483" s="19" t="str">
        <f aca="false">IF(A483="","",IFERROR(INDEX(Empresas!$B:$B,MATCH(A483,Empresas!$A:$A,0))&amp;"","cadastre o CNPJ em Empresas"))</f>
        <v/>
      </c>
      <c r="M483" s="27"/>
      <c r="N483" s="35"/>
      <c r="O483" s="37" t="str">
        <f aca="false">IF(OR(D483="",D483=0,N483=""),"",N483/D483)</f>
        <v/>
      </c>
      <c r="P483" s="19" t="str">
        <f aca="false">IF(O483="","",IF(O483&gt;0.25,"ACRÉSCIMO ACIMA DE 25% — conferir",""))</f>
        <v/>
      </c>
      <c r="Q483" s="27"/>
      <c r="R483" s="5"/>
    </row>
    <row r="484" customFormat="false" ht="15" hidden="false" customHeight="false" outlineLevel="0" collapsed="false">
      <c r="A484" s="27"/>
      <c r="B484" s="5"/>
      <c r="C484" s="5"/>
      <c r="D484" s="35"/>
      <c r="E484" s="14"/>
      <c r="F484" s="18"/>
      <c r="G484" s="31" t="str">
        <f aca="false">IF(A484="","",IFERROR(IF(INDEX(Empresas!$C:$C,MATCH(A484,Empresas!$A:$A,0))="","",INDEX(Empresas!$C:$C,MATCH(A484,Empresas!$A:$A,0))),""))</f>
        <v/>
      </c>
      <c r="H484" s="18"/>
      <c r="I484" s="19" t="str">
        <f aca="false">IF(OR(F484="",G484=""),"",IF(F484-G484&lt;0,"CONTRATO ANTERIOR À ABERTURA — conferir datas",IF(F484-G484&lt;180,"ABERTA MENOS DE 6 MESES ANTES","")))</f>
        <v/>
      </c>
      <c r="J484" s="19" t="str">
        <f aca="false">IF(A484="","",IFERROR(INDEX(Sancoes!$B:$B,MATCH(A484,Sancoes!$A:$A,0))&amp;"","não consta"))</f>
        <v/>
      </c>
      <c r="K484" s="19" t="str">
        <f aca="false">IF(OR(A484="",F484=""),"",IF(SUMPRODUCT((Sancoes!$A$2:$A$301=A484)*(Sancoes!$B$2:$B$301&lt;&gt;"Não consta")*(Sancoes!$D$2:$D$301&lt;&gt;"")*(Sancoes!$D$2:$D$301&lt;=F484)*(((Sancoes!$E$2:$E$301="")+(Sancoes!$E$2:$E$301&gt;=F484))&gt;0))&gt;0,"SANÇÃO VIGENTE NA DATA — leia o tipo e a abrangência",""))</f>
        <v/>
      </c>
      <c r="L484" s="19" t="str">
        <f aca="false">IF(A484="","",IFERROR(INDEX(Empresas!$B:$B,MATCH(A484,Empresas!$A:$A,0))&amp;"","cadastre o CNPJ em Empresas"))</f>
        <v/>
      </c>
      <c r="M484" s="27"/>
      <c r="N484" s="35"/>
      <c r="O484" s="37" t="str">
        <f aca="false">IF(OR(D484="",D484=0,N484=""),"",N484/D484)</f>
        <v/>
      </c>
      <c r="P484" s="19" t="str">
        <f aca="false">IF(O484="","",IF(O484&gt;0.25,"ACRÉSCIMO ACIMA DE 25% — conferir",""))</f>
        <v/>
      </c>
      <c r="Q484" s="27"/>
      <c r="R484" s="5"/>
    </row>
    <row r="485" customFormat="false" ht="15" hidden="false" customHeight="false" outlineLevel="0" collapsed="false">
      <c r="A485" s="27"/>
      <c r="B485" s="5"/>
      <c r="C485" s="5"/>
      <c r="D485" s="35"/>
      <c r="E485" s="14"/>
      <c r="F485" s="18"/>
      <c r="G485" s="31" t="str">
        <f aca="false">IF(A485="","",IFERROR(IF(INDEX(Empresas!$C:$C,MATCH(A485,Empresas!$A:$A,0))="","",INDEX(Empresas!$C:$C,MATCH(A485,Empresas!$A:$A,0))),""))</f>
        <v/>
      </c>
      <c r="H485" s="18"/>
      <c r="I485" s="19" t="str">
        <f aca="false">IF(OR(F485="",G485=""),"",IF(F485-G485&lt;0,"CONTRATO ANTERIOR À ABERTURA — conferir datas",IF(F485-G485&lt;180,"ABERTA MENOS DE 6 MESES ANTES","")))</f>
        <v/>
      </c>
      <c r="J485" s="19" t="str">
        <f aca="false">IF(A485="","",IFERROR(INDEX(Sancoes!$B:$B,MATCH(A485,Sancoes!$A:$A,0))&amp;"","não consta"))</f>
        <v/>
      </c>
      <c r="K485" s="19" t="str">
        <f aca="false">IF(OR(A485="",F485=""),"",IF(SUMPRODUCT((Sancoes!$A$2:$A$301=A485)*(Sancoes!$B$2:$B$301&lt;&gt;"Não consta")*(Sancoes!$D$2:$D$301&lt;&gt;"")*(Sancoes!$D$2:$D$301&lt;=F485)*(((Sancoes!$E$2:$E$301="")+(Sancoes!$E$2:$E$301&gt;=F485))&gt;0))&gt;0,"SANÇÃO VIGENTE NA DATA — leia o tipo e a abrangência",""))</f>
        <v/>
      </c>
      <c r="L485" s="19" t="str">
        <f aca="false">IF(A485="","",IFERROR(INDEX(Empresas!$B:$B,MATCH(A485,Empresas!$A:$A,0))&amp;"","cadastre o CNPJ em Empresas"))</f>
        <v/>
      </c>
      <c r="M485" s="27"/>
      <c r="N485" s="35"/>
      <c r="O485" s="37" t="str">
        <f aca="false">IF(OR(D485="",D485=0,N485=""),"",N485/D485)</f>
        <v/>
      </c>
      <c r="P485" s="19" t="str">
        <f aca="false">IF(O485="","",IF(O485&gt;0.25,"ACRÉSCIMO ACIMA DE 25% — conferir",""))</f>
        <v/>
      </c>
      <c r="Q485" s="27"/>
      <c r="R485" s="5"/>
    </row>
    <row r="486" customFormat="false" ht="15" hidden="false" customHeight="false" outlineLevel="0" collapsed="false">
      <c r="A486" s="27"/>
      <c r="B486" s="5"/>
      <c r="C486" s="5"/>
      <c r="D486" s="35"/>
      <c r="E486" s="14"/>
      <c r="F486" s="18"/>
      <c r="G486" s="31" t="str">
        <f aca="false">IF(A486="","",IFERROR(IF(INDEX(Empresas!$C:$C,MATCH(A486,Empresas!$A:$A,0))="","",INDEX(Empresas!$C:$C,MATCH(A486,Empresas!$A:$A,0))),""))</f>
        <v/>
      </c>
      <c r="H486" s="18"/>
      <c r="I486" s="19" t="str">
        <f aca="false">IF(OR(F486="",G486=""),"",IF(F486-G486&lt;0,"CONTRATO ANTERIOR À ABERTURA — conferir datas",IF(F486-G486&lt;180,"ABERTA MENOS DE 6 MESES ANTES","")))</f>
        <v/>
      </c>
      <c r="J486" s="19" t="str">
        <f aca="false">IF(A486="","",IFERROR(INDEX(Sancoes!$B:$B,MATCH(A486,Sancoes!$A:$A,0))&amp;"","não consta"))</f>
        <v/>
      </c>
      <c r="K486" s="19" t="str">
        <f aca="false">IF(OR(A486="",F486=""),"",IF(SUMPRODUCT((Sancoes!$A$2:$A$301=A486)*(Sancoes!$B$2:$B$301&lt;&gt;"Não consta")*(Sancoes!$D$2:$D$301&lt;&gt;"")*(Sancoes!$D$2:$D$301&lt;=F486)*(((Sancoes!$E$2:$E$301="")+(Sancoes!$E$2:$E$301&gt;=F486))&gt;0))&gt;0,"SANÇÃO VIGENTE NA DATA — leia o tipo e a abrangência",""))</f>
        <v/>
      </c>
      <c r="L486" s="19" t="str">
        <f aca="false">IF(A486="","",IFERROR(INDEX(Empresas!$B:$B,MATCH(A486,Empresas!$A:$A,0))&amp;"","cadastre o CNPJ em Empresas"))</f>
        <v/>
      </c>
      <c r="M486" s="27"/>
      <c r="N486" s="35"/>
      <c r="O486" s="37" t="str">
        <f aca="false">IF(OR(D486="",D486=0,N486=""),"",N486/D486)</f>
        <v/>
      </c>
      <c r="P486" s="19" t="str">
        <f aca="false">IF(O486="","",IF(O486&gt;0.25,"ACRÉSCIMO ACIMA DE 25% — conferir",""))</f>
        <v/>
      </c>
      <c r="Q486" s="27"/>
      <c r="R486" s="5"/>
    </row>
    <row r="487" customFormat="false" ht="15" hidden="false" customHeight="false" outlineLevel="0" collapsed="false">
      <c r="A487" s="27"/>
      <c r="B487" s="5"/>
      <c r="C487" s="5"/>
      <c r="D487" s="35"/>
      <c r="E487" s="14"/>
      <c r="F487" s="18"/>
      <c r="G487" s="31" t="str">
        <f aca="false">IF(A487="","",IFERROR(IF(INDEX(Empresas!$C:$C,MATCH(A487,Empresas!$A:$A,0))="","",INDEX(Empresas!$C:$C,MATCH(A487,Empresas!$A:$A,0))),""))</f>
        <v/>
      </c>
      <c r="H487" s="18"/>
      <c r="I487" s="19" t="str">
        <f aca="false">IF(OR(F487="",G487=""),"",IF(F487-G487&lt;0,"CONTRATO ANTERIOR À ABERTURA — conferir datas",IF(F487-G487&lt;180,"ABERTA MENOS DE 6 MESES ANTES","")))</f>
        <v/>
      </c>
      <c r="J487" s="19" t="str">
        <f aca="false">IF(A487="","",IFERROR(INDEX(Sancoes!$B:$B,MATCH(A487,Sancoes!$A:$A,0))&amp;"","não consta"))</f>
        <v/>
      </c>
      <c r="K487" s="19" t="str">
        <f aca="false">IF(OR(A487="",F487=""),"",IF(SUMPRODUCT((Sancoes!$A$2:$A$301=A487)*(Sancoes!$B$2:$B$301&lt;&gt;"Não consta")*(Sancoes!$D$2:$D$301&lt;&gt;"")*(Sancoes!$D$2:$D$301&lt;=F487)*(((Sancoes!$E$2:$E$301="")+(Sancoes!$E$2:$E$301&gt;=F487))&gt;0))&gt;0,"SANÇÃO VIGENTE NA DATA — leia o tipo e a abrangência",""))</f>
        <v/>
      </c>
      <c r="L487" s="19" t="str">
        <f aca="false">IF(A487="","",IFERROR(INDEX(Empresas!$B:$B,MATCH(A487,Empresas!$A:$A,0))&amp;"","cadastre o CNPJ em Empresas"))</f>
        <v/>
      </c>
      <c r="M487" s="27"/>
      <c r="N487" s="35"/>
      <c r="O487" s="37" t="str">
        <f aca="false">IF(OR(D487="",D487=0,N487=""),"",N487/D487)</f>
        <v/>
      </c>
      <c r="P487" s="19" t="str">
        <f aca="false">IF(O487="","",IF(O487&gt;0.25,"ACRÉSCIMO ACIMA DE 25% — conferir",""))</f>
        <v/>
      </c>
      <c r="Q487" s="27"/>
      <c r="R487" s="5"/>
    </row>
    <row r="488" customFormat="false" ht="15" hidden="false" customHeight="false" outlineLevel="0" collapsed="false">
      <c r="A488" s="27"/>
      <c r="B488" s="5"/>
      <c r="C488" s="5"/>
      <c r="D488" s="35"/>
      <c r="E488" s="14"/>
      <c r="F488" s="18"/>
      <c r="G488" s="31" t="str">
        <f aca="false">IF(A488="","",IFERROR(IF(INDEX(Empresas!$C:$C,MATCH(A488,Empresas!$A:$A,0))="","",INDEX(Empresas!$C:$C,MATCH(A488,Empresas!$A:$A,0))),""))</f>
        <v/>
      </c>
      <c r="H488" s="18"/>
      <c r="I488" s="19" t="str">
        <f aca="false">IF(OR(F488="",G488=""),"",IF(F488-G488&lt;0,"CONTRATO ANTERIOR À ABERTURA — conferir datas",IF(F488-G488&lt;180,"ABERTA MENOS DE 6 MESES ANTES","")))</f>
        <v/>
      </c>
      <c r="J488" s="19" t="str">
        <f aca="false">IF(A488="","",IFERROR(INDEX(Sancoes!$B:$B,MATCH(A488,Sancoes!$A:$A,0))&amp;"","não consta"))</f>
        <v/>
      </c>
      <c r="K488" s="19" t="str">
        <f aca="false">IF(OR(A488="",F488=""),"",IF(SUMPRODUCT((Sancoes!$A$2:$A$301=A488)*(Sancoes!$B$2:$B$301&lt;&gt;"Não consta")*(Sancoes!$D$2:$D$301&lt;&gt;"")*(Sancoes!$D$2:$D$301&lt;=F488)*(((Sancoes!$E$2:$E$301="")+(Sancoes!$E$2:$E$301&gt;=F488))&gt;0))&gt;0,"SANÇÃO VIGENTE NA DATA — leia o tipo e a abrangência",""))</f>
        <v/>
      </c>
      <c r="L488" s="19" t="str">
        <f aca="false">IF(A488="","",IFERROR(INDEX(Empresas!$B:$B,MATCH(A488,Empresas!$A:$A,0))&amp;"","cadastre o CNPJ em Empresas"))</f>
        <v/>
      </c>
      <c r="M488" s="27"/>
      <c r="N488" s="35"/>
      <c r="O488" s="37" t="str">
        <f aca="false">IF(OR(D488="",D488=0,N488=""),"",N488/D488)</f>
        <v/>
      </c>
      <c r="P488" s="19" t="str">
        <f aca="false">IF(O488="","",IF(O488&gt;0.25,"ACRÉSCIMO ACIMA DE 25% — conferir",""))</f>
        <v/>
      </c>
      <c r="Q488" s="27"/>
      <c r="R488" s="5"/>
    </row>
    <row r="489" customFormat="false" ht="15" hidden="false" customHeight="false" outlineLevel="0" collapsed="false">
      <c r="A489" s="27"/>
      <c r="B489" s="5"/>
      <c r="C489" s="5"/>
      <c r="D489" s="35"/>
      <c r="E489" s="14"/>
      <c r="F489" s="18"/>
      <c r="G489" s="31" t="str">
        <f aca="false">IF(A489="","",IFERROR(IF(INDEX(Empresas!$C:$C,MATCH(A489,Empresas!$A:$A,0))="","",INDEX(Empresas!$C:$C,MATCH(A489,Empresas!$A:$A,0))),""))</f>
        <v/>
      </c>
      <c r="H489" s="18"/>
      <c r="I489" s="19" t="str">
        <f aca="false">IF(OR(F489="",G489=""),"",IF(F489-G489&lt;0,"CONTRATO ANTERIOR À ABERTURA — conferir datas",IF(F489-G489&lt;180,"ABERTA MENOS DE 6 MESES ANTES","")))</f>
        <v/>
      </c>
      <c r="J489" s="19" t="str">
        <f aca="false">IF(A489="","",IFERROR(INDEX(Sancoes!$B:$B,MATCH(A489,Sancoes!$A:$A,0))&amp;"","não consta"))</f>
        <v/>
      </c>
      <c r="K489" s="19" t="str">
        <f aca="false">IF(OR(A489="",F489=""),"",IF(SUMPRODUCT((Sancoes!$A$2:$A$301=A489)*(Sancoes!$B$2:$B$301&lt;&gt;"Não consta")*(Sancoes!$D$2:$D$301&lt;&gt;"")*(Sancoes!$D$2:$D$301&lt;=F489)*(((Sancoes!$E$2:$E$301="")+(Sancoes!$E$2:$E$301&gt;=F489))&gt;0))&gt;0,"SANÇÃO VIGENTE NA DATA — leia o tipo e a abrangência",""))</f>
        <v/>
      </c>
      <c r="L489" s="19" t="str">
        <f aca="false">IF(A489="","",IFERROR(INDEX(Empresas!$B:$B,MATCH(A489,Empresas!$A:$A,0))&amp;"","cadastre o CNPJ em Empresas"))</f>
        <v/>
      </c>
      <c r="M489" s="27"/>
      <c r="N489" s="35"/>
      <c r="O489" s="37" t="str">
        <f aca="false">IF(OR(D489="",D489=0,N489=""),"",N489/D489)</f>
        <v/>
      </c>
      <c r="P489" s="19" t="str">
        <f aca="false">IF(O489="","",IF(O489&gt;0.25,"ACRÉSCIMO ACIMA DE 25% — conferir",""))</f>
        <v/>
      </c>
      <c r="Q489" s="27"/>
      <c r="R489" s="5"/>
    </row>
    <row r="490" customFormat="false" ht="15" hidden="false" customHeight="false" outlineLevel="0" collapsed="false">
      <c r="A490" s="27"/>
      <c r="B490" s="5"/>
      <c r="C490" s="5"/>
      <c r="D490" s="35"/>
      <c r="E490" s="14"/>
      <c r="F490" s="18"/>
      <c r="G490" s="31" t="str">
        <f aca="false">IF(A490="","",IFERROR(IF(INDEX(Empresas!$C:$C,MATCH(A490,Empresas!$A:$A,0))="","",INDEX(Empresas!$C:$C,MATCH(A490,Empresas!$A:$A,0))),""))</f>
        <v/>
      </c>
      <c r="H490" s="18"/>
      <c r="I490" s="19" t="str">
        <f aca="false">IF(OR(F490="",G490=""),"",IF(F490-G490&lt;0,"CONTRATO ANTERIOR À ABERTURA — conferir datas",IF(F490-G490&lt;180,"ABERTA MENOS DE 6 MESES ANTES","")))</f>
        <v/>
      </c>
      <c r="J490" s="19" t="str">
        <f aca="false">IF(A490="","",IFERROR(INDEX(Sancoes!$B:$B,MATCH(A490,Sancoes!$A:$A,0))&amp;"","não consta"))</f>
        <v/>
      </c>
      <c r="K490" s="19" t="str">
        <f aca="false">IF(OR(A490="",F490=""),"",IF(SUMPRODUCT((Sancoes!$A$2:$A$301=A490)*(Sancoes!$B$2:$B$301&lt;&gt;"Não consta")*(Sancoes!$D$2:$D$301&lt;&gt;"")*(Sancoes!$D$2:$D$301&lt;=F490)*(((Sancoes!$E$2:$E$301="")+(Sancoes!$E$2:$E$301&gt;=F490))&gt;0))&gt;0,"SANÇÃO VIGENTE NA DATA — leia o tipo e a abrangência",""))</f>
        <v/>
      </c>
      <c r="L490" s="19" t="str">
        <f aca="false">IF(A490="","",IFERROR(INDEX(Empresas!$B:$B,MATCH(A490,Empresas!$A:$A,0))&amp;"","cadastre o CNPJ em Empresas"))</f>
        <v/>
      </c>
      <c r="M490" s="27"/>
      <c r="N490" s="35"/>
      <c r="O490" s="37" t="str">
        <f aca="false">IF(OR(D490="",D490=0,N490=""),"",N490/D490)</f>
        <v/>
      </c>
      <c r="P490" s="19" t="str">
        <f aca="false">IF(O490="","",IF(O490&gt;0.25,"ACRÉSCIMO ACIMA DE 25% — conferir",""))</f>
        <v/>
      </c>
      <c r="Q490" s="27"/>
      <c r="R490" s="5"/>
    </row>
    <row r="491" customFormat="false" ht="15" hidden="false" customHeight="false" outlineLevel="0" collapsed="false">
      <c r="A491" s="27"/>
      <c r="B491" s="5"/>
      <c r="C491" s="5"/>
      <c r="D491" s="35"/>
      <c r="E491" s="14"/>
      <c r="F491" s="18"/>
      <c r="G491" s="31" t="str">
        <f aca="false">IF(A491="","",IFERROR(IF(INDEX(Empresas!$C:$C,MATCH(A491,Empresas!$A:$A,0))="","",INDEX(Empresas!$C:$C,MATCH(A491,Empresas!$A:$A,0))),""))</f>
        <v/>
      </c>
      <c r="H491" s="18"/>
      <c r="I491" s="19" t="str">
        <f aca="false">IF(OR(F491="",G491=""),"",IF(F491-G491&lt;0,"CONTRATO ANTERIOR À ABERTURA — conferir datas",IF(F491-G491&lt;180,"ABERTA MENOS DE 6 MESES ANTES","")))</f>
        <v/>
      </c>
      <c r="J491" s="19" t="str">
        <f aca="false">IF(A491="","",IFERROR(INDEX(Sancoes!$B:$B,MATCH(A491,Sancoes!$A:$A,0))&amp;"","não consta"))</f>
        <v/>
      </c>
      <c r="K491" s="19" t="str">
        <f aca="false">IF(OR(A491="",F491=""),"",IF(SUMPRODUCT((Sancoes!$A$2:$A$301=A491)*(Sancoes!$B$2:$B$301&lt;&gt;"Não consta")*(Sancoes!$D$2:$D$301&lt;&gt;"")*(Sancoes!$D$2:$D$301&lt;=F491)*(((Sancoes!$E$2:$E$301="")+(Sancoes!$E$2:$E$301&gt;=F491))&gt;0))&gt;0,"SANÇÃO VIGENTE NA DATA — leia o tipo e a abrangência",""))</f>
        <v/>
      </c>
      <c r="L491" s="19" t="str">
        <f aca="false">IF(A491="","",IFERROR(INDEX(Empresas!$B:$B,MATCH(A491,Empresas!$A:$A,0))&amp;"","cadastre o CNPJ em Empresas"))</f>
        <v/>
      </c>
      <c r="M491" s="27"/>
      <c r="N491" s="35"/>
      <c r="O491" s="37" t="str">
        <f aca="false">IF(OR(D491="",D491=0,N491=""),"",N491/D491)</f>
        <v/>
      </c>
      <c r="P491" s="19" t="str">
        <f aca="false">IF(O491="","",IF(O491&gt;0.25,"ACRÉSCIMO ACIMA DE 25% — conferir",""))</f>
        <v/>
      </c>
      <c r="Q491" s="27"/>
      <c r="R491" s="5"/>
    </row>
    <row r="492" customFormat="false" ht="15" hidden="false" customHeight="false" outlineLevel="0" collapsed="false">
      <c r="A492" s="27"/>
      <c r="B492" s="5"/>
      <c r="C492" s="5"/>
      <c r="D492" s="35"/>
      <c r="E492" s="14"/>
      <c r="F492" s="18"/>
      <c r="G492" s="31" t="str">
        <f aca="false">IF(A492="","",IFERROR(IF(INDEX(Empresas!$C:$C,MATCH(A492,Empresas!$A:$A,0))="","",INDEX(Empresas!$C:$C,MATCH(A492,Empresas!$A:$A,0))),""))</f>
        <v/>
      </c>
      <c r="H492" s="18"/>
      <c r="I492" s="19" t="str">
        <f aca="false">IF(OR(F492="",G492=""),"",IF(F492-G492&lt;0,"CONTRATO ANTERIOR À ABERTURA — conferir datas",IF(F492-G492&lt;180,"ABERTA MENOS DE 6 MESES ANTES","")))</f>
        <v/>
      </c>
      <c r="J492" s="19" t="str">
        <f aca="false">IF(A492="","",IFERROR(INDEX(Sancoes!$B:$B,MATCH(A492,Sancoes!$A:$A,0))&amp;"","não consta"))</f>
        <v/>
      </c>
      <c r="K492" s="19" t="str">
        <f aca="false">IF(OR(A492="",F492=""),"",IF(SUMPRODUCT((Sancoes!$A$2:$A$301=A492)*(Sancoes!$B$2:$B$301&lt;&gt;"Não consta")*(Sancoes!$D$2:$D$301&lt;&gt;"")*(Sancoes!$D$2:$D$301&lt;=F492)*(((Sancoes!$E$2:$E$301="")+(Sancoes!$E$2:$E$301&gt;=F492))&gt;0))&gt;0,"SANÇÃO VIGENTE NA DATA — leia o tipo e a abrangência",""))</f>
        <v/>
      </c>
      <c r="L492" s="19" t="str">
        <f aca="false">IF(A492="","",IFERROR(INDEX(Empresas!$B:$B,MATCH(A492,Empresas!$A:$A,0))&amp;"","cadastre o CNPJ em Empresas"))</f>
        <v/>
      </c>
      <c r="M492" s="27"/>
      <c r="N492" s="35"/>
      <c r="O492" s="37" t="str">
        <f aca="false">IF(OR(D492="",D492=0,N492=""),"",N492/D492)</f>
        <v/>
      </c>
      <c r="P492" s="19" t="str">
        <f aca="false">IF(O492="","",IF(O492&gt;0.25,"ACRÉSCIMO ACIMA DE 25% — conferir",""))</f>
        <v/>
      </c>
      <c r="Q492" s="27"/>
      <c r="R492" s="5"/>
    </row>
    <row r="493" customFormat="false" ht="15" hidden="false" customHeight="false" outlineLevel="0" collapsed="false">
      <c r="A493" s="27"/>
      <c r="B493" s="5"/>
      <c r="C493" s="5"/>
      <c r="D493" s="35"/>
      <c r="E493" s="14"/>
      <c r="F493" s="18"/>
      <c r="G493" s="31" t="str">
        <f aca="false">IF(A493="","",IFERROR(IF(INDEX(Empresas!$C:$C,MATCH(A493,Empresas!$A:$A,0))="","",INDEX(Empresas!$C:$C,MATCH(A493,Empresas!$A:$A,0))),""))</f>
        <v/>
      </c>
      <c r="H493" s="18"/>
      <c r="I493" s="19" t="str">
        <f aca="false">IF(OR(F493="",G493=""),"",IF(F493-G493&lt;0,"CONTRATO ANTERIOR À ABERTURA — conferir datas",IF(F493-G493&lt;180,"ABERTA MENOS DE 6 MESES ANTES","")))</f>
        <v/>
      </c>
      <c r="J493" s="19" t="str">
        <f aca="false">IF(A493="","",IFERROR(INDEX(Sancoes!$B:$B,MATCH(A493,Sancoes!$A:$A,0))&amp;"","não consta"))</f>
        <v/>
      </c>
      <c r="K493" s="19" t="str">
        <f aca="false">IF(OR(A493="",F493=""),"",IF(SUMPRODUCT((Sancoes!$A$2:$A$301=A493)*(Sancoes!$B$2:$B$301&lt;&gt;"Não consta")*(Sancoes!$D$2:$D$301&lt;&gt;"")*(Sancoes!$D$2:$D$301&lt;=F493)*(((Sancoes!$E$2:$E$301="")+(Sancoes!$E$2:$E$301&gt;=F493))&gt;0))&gt;0,"SANÇÃO VIGENTE NA DATA — leia o tipo e a abrangência",""))</f>
        <v/>
      </c>
      <c r="L493" s="19" t="str">
        <f aca="false">IF(A493="","",IFERROR(INDEX(Empresas!$B:$B,MATCH(A493,Empresas!$A:$A,0))&amp;"","cadastre o CNPJ em Empresas"))</f>
        <v/>
      </c>
      <c r="M493" s="27"/>
      <c r="N493" s="35"/>
      <c r="O493" s="37" t="str">
        <f aca="false">IF(OR(D493="",D493=0,N493=""),"",N493/D493)</f>
        <v/>
      </c>
      <c r="P493" s="19" t="str">
        <f aca="false">IF(O493="","",IF(O493&gt;0.25,"ACRÉSCIMO ACIMA DE 25% — conferir",""))</f>
        <v/>
      </c>
      <c r="Q493" s="27"/>
      <c r="R493" s="5"/>
    </row>
    <row r="494" customFormat="false" ht="15" hidden="false" customHeight="false" outlineLevel="0" collapsed="false">
      <c r="A494" s="27"/>
      <c r="B494" s="5"/>
      <c r="C494" s="5"/>
      <c r="D494" s="35"/>
      <c r="E494" s="14"/>
      <c r="F494" s="18"/>
      <c r="G494" s="31" t="str">
        <f aca="false">IF(A494="","",IFERROR(IF(INDEX(Empresas!$C:$C,MATCH(A494,Empresas!$A:$A,0))="","",INDEX(Empresas!$C:$C,MATCH(A494,Empresas!$A:$A,0))),""))</f>
        <v/>
      </c>
      <c r="H494" s="18"/>
      <c r="I494" s="19" t="str">
        <f aca="false">IF(OR(F494="",G494=""),"",IF(F494-G494&lt;0,"CONTRATO ANTERIOR À ABERTURA — conferir datas",IF(F494-G494&lt;180,"ABERTA MENOS DE 6 MESES ANTES","")))</f>
        <v/>
      </c>
      <c r="J494" s="19" t="str">
        <f aca="false">IF(A494="","",IFERROR(INDEX(Sancoes!$B:$B,MATCH(A494,Sancoes!$A:$A,0))&amp;"","não consta"))</f>
        <v/>
      </c>
      <c r="K494" s="19" t="str">
        <f aca="false">IF(OR(A494="",F494=""),"",IF(SUMPRODUCT((Sancoes!$A$2:$A$301=A494)*(Sancoes!$B$2:$B$301&lt;&gt;"Não consta")*(Sancoes!$D$2:$D$301&lt;&gt;"")*(Sancoes!$D$2:$D$301&lt;=F494)*(((Sancoes!$E$2:$E$301="")+(Sancoes!$E$2:$E$301&gt;=F494))&gt;0))&gt;0,"SANÇÃO VIGENTE NA DATA — leia o tipo e a abrangência",""))</f>
        <v/>
      </c>
      <c r="L494" s="19" t="str">
        <f aca="false">IF(A494="","",IFERROR(INDEX(Empresas!$B:$B,MATCH(A494,Empresas!$A:$A,0))&amp;"","cadastre o CNPJ em Empresas"))</f>
        <v/>
      </c>
      <c r="M494" s="27"/>
      <c r="N494" s="35"/>
      <c r="O494" s="37" t="str">
        <f aca="false">IF(OR(D494="",D494=0,N494=""),"",N494/D494)</f>
        <v/>
      </c>
      <c r="P494" s="19" t="str">
        <f aca="false">IF(O494="","",IF(O494&gt;0.25,"ACRÉSCIMO ACIMA DE 25% — conferir",""))</f>
        <v/>
      </c>
      <c r="Q494" s="27"/>
      <c r="R494" s="5"/>
    </row>
    <row r="495" customFormat="false" ht="15" hidden="false" customHeight="false" outlineLevel="0" collapsed="false">
      <c r="A495" s="27"/>
      <c r="B495" s="5"/>
      <c r="C495" s="5"/>
      <c r="D495" s="35"/>
      <c r="E495" s="14"/>
      <c r="F495" s="18"/>
      <c r="G495" s="31" t="str">
        <f aca="false">IF(A495="","",IFERROR(IF(INDEX(Empresas!$C:$C,MATCH(A495,Empresas!$A:$A,0))="","",INDEX(Empresas!$C:$C,MATCH(A495,Empresas!$A:$A,0))),""))</f>
        <v/>
      </c>
      <c r="H495" s="18"/>
      <c r="I495" s="19" t="str">
        <f aca="false">IF(OR(F495="",G495=""),"",IF(F495-G495&lt;0,"CONTRATO ANTERIOR À ABERTURA — conferir datas",IF(F495-G495&lt;180,"ABERTA MENOS DE 6 MESES ANTES","")))</f>
        <v/>
      </c>
      <c r="J495" s="19" t="str">
        <f aca="false">IF(A495="","",IFERROR(INDEX(Sancoes!$B:$B,MATCH(A495,Sancoes!$A:$A,0))&amp;"","não consta"))</f>
        <v/>
      </c>
      <c r="K495" s="19" t="str">
        <f aca="false">IF(OR(A495="",F495=""),"",IF(SUMPRODUCT((Sancoes!$A$2:$A$301=A495)*(Sancoes!$B$2:$B$301&lt;&gt;"Não consta")*(Sancoes!$D$2:$D$301&lt;&gt;"")*(Sancoes!$D$2:$D$301&lt;=F495)*(((Sancoes!$E$2:$E$301="")+(Sancoes!$E$2:$E$301&gt;=F495))&gt;0))&gt;0,"SANÇÃO VIGENTE NA DATA — leia o tipo e a abrangência",""))</f>
        <v/>
      </c>
      <c r="L495" s="19" t="str">
        <f aca="false">IF(A495="","",IFERROR(INDEX(Empresas!$B:$B,MATCH(A495,Empresas!$A:$A,0))&amp;"","cadastre o CNPJ em Empresas"))</f>
        <v/>
      </c>
      <c r="M495" s="27"/>
      <c r="N495" s="35"/>
      <c r="O495" s="37" t="str">
        <f aca="false">IF(OR(D495="",D495=0,N495=""),"",N495/D495)</f>
        <v/>
      </c>
      <c r="P495" s="19" t="str">
        <f aca="false">IF(O495="","",IF(O495&gt;0.25,"ACRÉSCIMO ACIMA DE 25% — conferir",""))</f>
        <v/>
      </c>
      <c r="Q495" s="27"/>
      <c r="R495" s="5"/>
    </row>
    <row r="496" customFormat="false" ht="15" hidden="false" customHeight="false" outlineLevel="0" collapsed="false">
      <c r="A496" s="27"/>
      <c r="B496" s="5"/>
      <c r="C496" s="5"/>
      <c r="D496" s="35"/>
      <c r="E496" s="14"/>
      <c r="F496" s="18"/>
      <c r="G496" s="31" t="str">
        <f aca="false">IF(A496="","",IFERROR(IF(INDEX(Empresas!$C:$C,MATCH(A496,Empresas!$A:$A,0))="","",INDEX(Empresas!$C:$C,MATCH(A496,Empresas!$A:$A,0))),""))</f>
        <v/>
      </c>
      <c r="H496" s="18"/>
      <c r="I496" s="19" t="str">
        <f aca="false">IF(OR(F496="",G496=""),"",IF(F496-G496&lt;0,"CONTRATO ANTERIOR À ABERTURA — conferir datas",IF(F496-G496&lt;180,"ABERTA MENOS DE 6 MESES ANTES","")))</f>
        <v/>
      </c>
      <c r="J496" s="19" t="str">
        <f aca="false">IF(A496="","",IFERROR(INDEX(Sancoes!$B:$B,MATCH(A496,Sancoes!$A:$A,0))&amp;"","não consta"))</f>
        <v/>
      </c>
      <c r="K496" s="19" t="str">
        <f aca="false">IF(OR(A496="",F496=""),"",IF(SUMPRODUCT((Sancoes!$A$2:$A$301=A496)*(Sancoes!$B$2:$B$301&lt;&gt;"Não consta")*(Sancoes!$D$2:$D$301&lt;&gt;"")*(Sancoes!$D$2:$D$301&lt;=F496)*(((Sancoes!$E$2:$E$301="")+(Sancoes!$E$2:$E$301&gt;=F496))&gt;0))&gt;0,"SANÇÃO VIGENTE NA DATA — leia o tipo e a abrangência",""))</f>
        <v/>
      </c>
      <c r="L496" s="19" t="str">
        <f aca="false">IF(A496="","",IFERROR(INDEX(Empresas!$B:$B,MATCH(A496,Empresas!$A:$A,0))&amp;"","cadastre o CNPJ em Empresas"))</f>
        <v/>
      </c>
      <c r="M496" s="27"/>
      <c r="N496" s="35"/>
      <c r="O496" s="37" t="str">
        <f aca="false">IF(OR(D496="",D496=0,N496=""),"",N496/D496)</f>
        <v/>
      </c>
      <c r="P496" s="19" t="str">
        <f aca="false">IF(O496="","",IF(O496&gt;0.25,"ACRÉSCIMO ACIMA DE 25% — conferir",""))</f>
        <v/>
      </c>
      <c r="Q496" s="27"/>
      <c r="R496" s="5"/>
    </row>
    <row r="497" customFormat="false" ht="15" hidden="false" customHeight="false" outlineLevel="0" collapsed="false">
      <c r="A497" s="27"/>
      <c r="B497" s="5"/>
      <c r="C497" s="5"/>
      <c r="D497" s="35"/>
      <c r="E497" s="14"/>
      <c r="F497" s="18"/>
      <c r="G497" s="31" t="str">
        <f aca="false">IF(A497="","",IFERROR(IF(INDEX(Empresas!$C:$C,MATCH(A497,Empresas!$A:$A,0))="","",INDEX(Empresas!$C:$C,MATCH(A497,Empresas!$A:$A,0))),""))</f>
        <v/>
      </c>
      <c r="H497" s="18"/>
      <c r="I497" s="19" t="str">
        <f aca="false">IF(OR(F497="",G497=""),"",IF(F497-G497&lt;0,"CONTRATO ANTERIOR À ABERTURA — conferir datas",IF(F497-G497&lt;180,"ABERTA MENOS DE 6 MESES ANTES","")))</f>
        <v/>
      </c>
      <c r="J497" s="19" t="str">
        <f aca="false">IF(A497="","",IFERROR(INDEX(Sancoes!$B:$B,MATCH(A497,Sancoes!$A:$A,0))&amp;"","não consta"))</f>
        <v/>
      </c>
      <c r="K497" s="19" t="str">
        <f aca="false">IF(OR(A497="",F497=""),"",IF(SUMPRODUCT((Sancoes!$A$2:$A$301=A497)*(Sancoes!$B$2:$B$301&lt;&gt;"Não consta")*(Sancoes!$D$2:$D$301&lt;&gt;"")*(Sancoes!$D$2:$D$301&lt;=F497)*(((Sancoes!$E$2:$E$301="")+(Sancoes!$E$2:$E$301&gt;=F497))&gt;0))&gt;0,"SANÇÃO VIGENTE NA DATA — leia o tipo e a abrangência",""))</f>
        <v/>
      </c>
      <c r="L497" s="19" t="str">
        <f aca="false">IF(A497="","",IFERROR(INDEX(Empresas!$B:$B,MATCH(A497,Empresas!$A:$A,0))&amp;"","cadastre o CNPJ em Empresas"))</f>
        <v/>
      </c>
      <c r="M497" s="27"/>
      <c r="N497" s="35"/>
      <c r="O497" s="37" t="str">
        <f aca="false">IF(OR(D497="",D497=0,N497=""),"",N497/D497)</f>
        <v/>
      </c>
      <c r="P497" s="19" t="str">
        <f aca="false">IF(O497="","",IF(O497&gt;0.25,"ACRÉSCIMO ACIMA DE 25% — conferir",""))</f>
        <v/>
      </c>
      <c r="Q497" s="27"/>
      <c r="R497" s="5"/>
    </row>
    <row r="498" customFormat="false" ht="15" hidden="false" customHeight="false" outlineLevel="0" collapsed="false">
      <c r="A498" s="27"/>
      <c r="B498" s="5"/>
      <c r="C498" s="5"/>
      <c r="D498" s="35"/>
      <c r="E498" s="14"/>
      <c r="F498" s="18"/>
      <c r="G498" s="31" t="str">
        <f aca="false">IF(A498="","",IFERROR(IF(INDEX(Empresas!$C:$C,MATCH(A498,Empresas!$A:$A,0))="","",INDEX(Empresas!$C:$C,MATCH(A498,Empresas!$A:$A,0))),""))</f>
        <v/>
      </c>
      <c r="H498" s="18"/>
      <c r="I498" s="19" t="str">
        <f aca="false">IF(OR(F498="",G498=""),"",IF(F498-G498&lt;0,"CONTRATO ANTERIOR À ABERTURA — conferir datas",IF(F498-G498&lt;180,"ABERTA MENOS DE 6 MESES ANTES","")))</f>
        <v/>
      </c>
      <c r="J498" s="19" t="str">
        <f aca="false">IF(A498="","",IFERROR(INDEX(Sancoes!$B:$B,MATCH(A498,Sancoes!$A:$A,0))&amp;"","não consta"))</f>
        <v/>
      </c>
      <c r="K498" s="19" t="str">
        <f aca="false">IF(OR(A498="",F498=""),"",IF(SUMPRODUCT((Sancoes!$A$2:$A$301=A498)*(Sancoes!$B$2:$B$301&lt;&gt;"Não consta")*(Sancoes!$D$2:$D$301&lt;&gt;"")*(Sancoes!$D$2:$D$301&lt;=F498)*(((Sancoes!$E$2:$E$301="")+(Sancoes!$E$2:$E$301&gt;=F498))&gt;0))&gt;0,"SANÇÃO VIGENTE NA DATA — leia o tipo e a abrangência",""))</f>
        <v/>
      </c>
      <c r="L498" s="19" t="str">
        <f aca="false">IF(A498="","",IFERROR(INDEX(Empresas!$B:$B,MATCH(A498,Empresas!$A:$A,0))&amp;"","cadastre o CNPJ em Empresas"))</f>
        <v/>
      </c>
      <c r="M498" s="27"/>
      <c r="N498" s="35"/>
      <c r="O498" s="37" t="str">
        <f aca="false">IF(OR(D498="",D498=0,N498=""),"",N498/D498)</f>
        <v/>
      </c>
      <c r="P498" s="19" t="str">
        <f aca="false">IF(O498="","",IF(O498&gt;0.25,"ACRÉSCIMO ACIMA DE 25% — conferir",""))</f>
        <v/>
      </c>
      <c r="Q498" s="27"/>
      <c r="R498" s="5"/>
    </row>
    <row r="499" customFormat="false" ht="15" hidden="false" customHeight="false" outlineLevel="0" collapsed="false">
      <c r="A499" s="27"/>
      <c r="B499" s="5"/>
      <c r="C499" s="5"/>
      <c r="D499" s="35"/>
      <c r="E499" s="14"/>
      <c r="F499" s="18"/>
      <c r="G499" s="31" t="str">
        <f aca="false">IF(A499="","",IFERROR(IF(INDEX(Empresas!$C:$C,MATCH(A499,Empresas!$A:$A,0))="","",INDEX(Empresas!$C:$C,MATCH(A499,Empresas!$A:$A,0))),""))</f>
        <v/>
      </c>
      <c r="H499" s="18"/>
      <c r="I499" s="19" t="str">
        <f aca="false">IF(OR(F499="",G499=""),"",IF(F499-G499&lt;0,"CONTRATO ANTERIOR À ABERTURA — conferir datas",IF(F499-G499&lt;180,"ABERTA MENOS DE 6 MESES ANTES","")))</f>
        <v/>
      </c>
      <c r="J499" s="19" t="str">
        <f aca="false">IF(A499="","",IFERROR(INDEX(Sancoes!$B:$B,MATCH(A499,Sancoes!$A:$A,0))&amp;"","não consta"))</f>
        <v/>
      </c>
      <c r="K499" s="19" t="str">
        <f aca="false">IF(OR(A499="",F499=""),"",IF(SUMPRODUCT((Sancoes!$A$2:$A$301=A499)*(Sancoes!$B$2:$B$301&lt;&gt;"Não consta")*(Sancoes!$D$2:$D$301&lt;&gt;"")*(Sancoes!$D$2:$D$301&lt;=F499)*(((Sancoes!$E$2:$E$301="")+(Sancoes!$E$2:$E$301&gt;=F499))&gt;0))&gt;0,"SANÇÃO VIGENTE NA DATA — leia o tipo e a abrangência",""))</f>
        <v/>
      </c>
      <c r="L499" s="19" t="str">
        <f aca="false">IF(A499="","",IFERROR(INDEX(Empresas!$B:$B,MATCH(A499,Empresas!$A:$A,0))&amp;"","cadastre o CNPJ em Empresas"))</f>
        <v/>
      </c>
      <c r="M499" s="27"/>
      <c r="N499" s="35"/>
      <c r="O499" s="37" t="str">
        <f aca="false">IF(OR(D499="",D499=0,N499=""),"",N499/D499)</f>
        <v/>
      </c>
      <c r="P499" s="19" t="str">
        <f aca="false">IF(O499="","",IF(O499&gt;0.25,"ACRÉSCIMO ACIMA DE 25% — conferir",""))</f>
        <v/>
      </c>
      <c r="Q499" s="27"/>
      <c r="R499" s="5"/>
    </row>
    <row r="500" customFormat="false" ht="15" hidden="false" customHeight="false" outlineLevel="0" collapsed="false">
      <c r="A500" s="27"/>
      <c r="B500" s="5"/>
      <c r="C500" s="5"/>
      <c r="D500" s="35"/>
      <c r="E500" s="14"/>
      <c r="F500" s="18"/>
      <c r="G500" s="31" t="str">
        <f aca="false">IF(A500="","",IFERROR(IF(INDEX(Empresas!$C:$C,MATCH(A500,Empresas!$A:$A,0))="","",INDEX(Empresas!$C:$C,MATCH(A500,Empresas!$A:$A,0))),""))</f>
        <v/>
      </c>
      <c r="H500" s="18"/>
      <c r="I500" s="19" t="str">
        <f aca="false">IF(OR(F500="",G500=""),"",IF(F500-G500&lt;0,"CONTRATO ANTERIOR À ABERTURA — conferir datas",IF(F500-G500&lt;180,"ABERTA MENOS DE 6 MESES ANTES","")))</f>
        <v/>
      </c>
      <c r="J500" s="19" t="str">
        <f aca="false">IF(A500="","",IFERROR(INDEX(Sancoes!$B:$B,MATCH(A500,Sancoes!$A:$A,0))&amp;"","não consta"))</f>
        <v/>
      </c>
      <c r="K500" s="19" t="str">
        <f aca="false">IF(OR(A500="",F500=""),"",IF(SUMPRODUCT((Sancoes!$A$2:$A$301=A500)*(Sancoes!$B$2:$B$301&lt;&gt;"Não consta")*(Sancoes!$D$2:$D$301&lt;&gt;"")*(Sancoes!$D$2:$D$301&lt;=F500)*(((Sancoes!$E$2:$E$301="")+(Sancoes!$E$2:$E$301&gt;=F500))&gt;0))&gt;0,"SANÇÃO VIGENTE NA DATA — leia o tipo e a abrangência",""))</f>
        <v/>
      </c>
      <c r="L500" s="19" t="str">
        <f aca="false">IF(A500="","",IFERROR(INDEX(Empresas!$B:$B,MATCH(A500,Empresas!$A:$A,0))&amp;"","cadastre o CNPJ em Empresas"))</f>
        <v/>
      </c>
      <c r="M500" s="27"/>
      <c r="N500" s="35"/>
      <c r="O500" s="37" t="str">
        <f aca="false">IF(OR(D500="",D500=0,N500=""),"",N500/D500)</f>
        <v/>
      </c>
      <c r="P500" s="19" t="str">
        <f aca="false">IF(O500="","",IF(O500&gt;0.25,"ACRÉSCIMO ACIMA DE 25% — conferir",""))</f>
        <v/>
      </c>
      <c r="Q500" s="27"/>
      <c r="R500" s="5"/>
    </row>
    <row r="501" customFormat="false" ht="15" hidden="false" customHeight="false" outlineLevel="0" collapsed="false">
      <c r="A501" s="27"/>
      <c r="B501" s="5"/>
      <c r="C501" s="5"/>
      <c r="D501" s="35"/>
      <c r="E501" s="14"/>
      <c r="F501" s="18"/>
      <c r="G501" s="31" t="str">
        <f aca="false">IF(A501="","",IFERROR(IF(INDEX(Empresas!$C:$C,MATCH(A501,Empresas!$A:$A,0))="","",INDEX(Empresas!$C:$C,MATCH(A501,Empresas!$A:$A,0))),""))</f>
        <v/>
      </c>
      <c r="H501" s="18"/>
      <c r="I501" s="19" t="str">
        <f aca="false">IF(OR(F501="",G501=""),"",IF(F501-G501&lt;0,"CONTRATO ANTERIOR À ABERTURA — conferir datas",IF(F501-G501&lt;180,"ABERTA MENOS DE 6 MESES ANTES","")))</f>
        <v/>
      </c>
      <c r="J501" s="19" t="str">
        <f aca="false">IF(A501="","",IFERROR(INDEX(Sancoes!$B:$B,MATCH(A501,Sancoes!$A:$A,0))&amp;"","não consta"))</f>
        <v/>
      </c>
      <c r="K501" s="19" t="str">
        <f aca="false">IF(OR(A501="",F501=""),"",IF(SUMPRODUCT((Sancoes!$A$2:$A$301=A501)*(Sancoes!$B$2:$B$301&lt;&gt;"Não consta")*(Sancoes!$D$2:$D$301&lt;&gt;"")*(Sancoes!$D$2:$D$301&lt;=F501)*(((Sancoes!$E$2:$E$301="")+(Sancoes!$E$2:$E$301&gt;=F501))&gt;0))&gt;0,"SANÇÃO VIGENTE NA DATA — leia o tipo e a abrangência",""))</f>
        <v/>
      </c>
      <c r="L501" s="19" t="str">
        <f aca="false">IF(A501="","",IFERROR(INDEX(Empresas!$B:$B,MATCH(A501,Empresas!$A:$A,0))&amp;"","cadastre o CNPJ em Empresas"))</f>
        <v/>
      </c>
      <c r="M501" s="27"/>
      <c r="N501" s="35"/>
      <c r="O501" s="37" t="str">
        <f aca="false">IF(OR(D501="",D501=0,N501=""),"",N501/D501)</f>
        <v/>
      </c>
      <c r="P501" s="19" t="str">
        <f aca="false">IF(O501="","",IF(O501&gt;0.25,"ACRÉSCIMO ACIMA DE 25% — conferir",""))</f>
        <v/>
      </c>
      <c r="Q501" s="27"/>
      <c r="R501" s="5"/>
    </row>
    <row r="502" customFormat="false" ht="15" hidden="false" customHeight="false" outlineLevel="0" collapsed="false">
      <c r="A502" s="27"/>
      <c r="B502" s="5"/>
      <c r="C502" s="5"/>
      <c r="D502" s="35"/>
      <c r="E502" s="14"/>
      <c r="F502" s="18"/>
      <c r="G502" s="31" t="str">
        <f aca="false">IF(A502="","",IFERROR(IF(INDEX(Empresas!$C:$C,MATCH(A502,Empresas!$A:$A,0))="","",INDEX(Empresas!$C:$C,MATCH(A502,Empresas!$A:$A,0))),""))</f>
        <v/>
      </c>
      <c r="H502" s="18"/>
      <c r="I502" s="19" t="str">
        <f aca="false">IF(OR(F502="",G502=""),"",IF(F502-G502&lt;0,"CONTRATO ANTERIOR À ABERTURA — conferir datas",IF(F502-G502&lt;180,"ABERTA MENOS DE 6 MESES ANTES","")))</f>
        <v/>
      </c>
      <c r="J502" s="19" t="str">
        <f aca="false">IF(A502="","",IFERROR(INDEX(Sancoes!$B:$B,MATCH(A502,Sancoes!$A:$A,0))&amp;"","não consta"))</f>
        <v/>
      </c>
      <c r="K502" s="19" t="str">
        <f aca="false">IF(OR(A502="",F502=""),"",IF(SUMPRODUCT((Sancoes!$A$2:$A$301=A502)*(Sancoes!$B$2:$B$301&lt;&gt;"Não consta")*(Sancoes!$D$2:$D$301&lt;&gt;"")*(Sancoes!$D$2:$D$301&lt;=F502)*(((Sancoes!$E$2:$E$301="")+(Sancoes!$E$2:$E$301&gt;=F502))&gt;0))&gt;0,"SANÇÃO VIGENTE NA DATA — leia o tipo e a abrangência",""))</f>
        <v/>
      </c>
      <c r="L502" s="19" t="str">
        <f aca="false">IF(A502="","",IFERROR(INDEX(Empresas!$B:$B,MATCH(A502,Empresas!$A:$A,0))&amp;"","cadastre o CNPJ em Empresas"))</f>
        <v/>
      </c>
      <c r="M502" s="27"/>
      <c r="N502" s="35"/>
      <c r="O502" s="37" t="str">
        <f aca="false">IF(OR(D502="",D502=0,N502=""),"",N502/D502)</f>
        <v/>
      </c>
      <c r="P502" s="19" t="str">
        <f aca="false">IF(O502="","",IF(O502&gt;0.25,"ACRÉSCIMO ACIMA DE 25% — conferir",""))</f>
        <v/>
      </c>
      <c r="Q502" s="27"/>
      <c r="R502" s="5"/>
    </row>
    <row r="503" customFormat="false" ht="15" hidden="false" customHeight="false" outlineLevel="0" collapsed="false">
      <c r="A503" s="27"/>
      <c r="B503" s="5"/>
      <c r="C503" s="5"/>
      <c r="D503" s="35"/>
      <c r="E503" s="14"/>
      <c r="F503" s="18"/>
      <c r="G503" s="31" t="str">
        <f aca="false">IF(A503="","",IFERROR(IF(INDEX(Empresas!$C:$C,MATCH(A503,Empresas!$A:$A,0))="","",INDEX(Empresas!$C:$C,MATCH(A503,Empresas!$A:$A,0))),""))</f>
        <v/>
      </c>
      <c r="H503" s="18"/>
      <c r="I503" s="19" t="str">
        <f aca="false">IF(OR(F503="",G503=""),"",IF(F503-G503&lt;0,"CONTRATO ANTERIOR À ABERTURA — conferir datas",IF(F503-G503&lt;180,"ABERTA MENOS DE 6 MESES ANTES","")))</f>
        <v/>
      </c>
      <c r="J503" s="19" t="str">
        <f aca="false">IF(A503="","",IFERROR(INDEX(Sancoes!$B:$B,MATCH(A503,Sancoes!$A:$A,0))&amp;"","não consta"))</f>
        <v/>
      </c>
      <c r="K503" s="19" t="str">
        <f aca="false">IF(OR(A503="",F503=""),"",IF(SUMPRODUCT((Sancoes!$A$2:$A$301=A503)*(Sancoes!$B$2:$B$301&lt;&gt;"Não consta")*(Sancoes!$D$2:$D$301&lt;&gt;"")*(Sancoes!$D$2:$D$301&lt;=F503)*(((Sancoes!$E$2:$E$301="")+(Sancoes!$E$2:$E$301&gt;=F503))&gt;0))&gt;0,"SANÇÃO VIGENTE NA DATA — leia o tipo e a abrangência",""))</f>
        <v/>
      </c>
      <c r="L503" s="19" t="str">
        <f aca="false">IF(A503="","",IFERROR(INDEX(Empresas!$B:$B,MATCH(A503,Empresas!$A:$A,0))&amp;"","cadastre o CNPJ em Empresas"))</f>
        <v/>
      </c>
      <c r="M503" s="27"/>
      <c r="N503" s="35"/>
      <c r="O503" s="37" t="str">
        <f aca="false">IF(OR(D503="",D503=0,N503=""),"",N503/D503)</f>
        <v/>
      </c>
      <c r="P503" s="19" t="str">
        <f aca="false">IF(O503="","",IF(O503&gt;0.25,"ACRÉSCIMO ACIMA DE 25% — conferir",""))</f>
        <v/>
      </c>
      <c r="Q503" s="27"/>
      <c r="R503" s="5"/>
    </row>
    <row r="504" customFormat="false" ht="15" hidden="false" customHeight="false" outlineLevel="0" collapsed="false">
      <c r="A504" s="27"/>
      <c r="B504" s="5"/>
      <c r="C504" s="5"/>
      <c r="D504" s="35"/>
      <c r="E504" s="14"/>
      <c r="F504" s="18"/>
      <c r="G504" s="31" t="str">
        <f aca="false">IF(A504="","",IFERROR(IF(INDEX(Empresas!$C:$C,MATCH(A504,Empresas!$A:$A,0))="","",INDEX(Empresas!$C:$C,MATCH(A504,Empresas!$A:$A,0))),""))</f>
        <v/>
      </c>
      <c r="H504" s="18"/>
      <c r="I504" s="19" t="str">
        <f aca="false">IF(OR(F504="",G504=""),"",IF(F504-G504&lt;0,"CONTRATO ANTERIOR À ABERTURA — conferir datas",IF(F504-G504&lt;180,"ABERTA MENOS DE 6 MESES ANTES","")))</f>
        <v/>
      </c>
      <c r="J504" s="19" t="str">
        <f aca="false">IF(A504="","",IFERROR(INDEX(Sancoes!$B:$B,MATCH(A504,Sancoes!$A:$A,0))&amp;"","não consta"))</f>
        <v/>
      </c>
      <c r="K504" s="19" t="str">
        <f aca="false">IF(OR(A504="",F504=""),"",IF(SUMPRODUCT((Sancoes!$A$2:$A$301=A504)*(Sancoes!$B$2:$B$301&lt;&gt;"Não consta")*(Sancoes!$D$2:$D$301&lt;&gt;"")*(Sancoes!$D$2:$D$301&lt;=F504)*(((Sancoes!$E$2:$E$301="")+(Sancoes!$E$2:$E$301&gt;=F504))&gt;0))&gt;0,"SANÇÃO VIGENTE NA DATA — leia o tipo e a abrangência",""))</f>
        <v/>
      </c>
      <c r="L504" s="19" t="str">
        <f aca="false">IF(A504="","",IFERROR(INDEX(Empresas!$B:$B,MATCH(A504,Empresas!$A:$A,0))&amp;"","cadastre o CNPJ em Empresas"))</f>
        <v/>
      </c>
      <c r="M504" s="27"/>
      <c r="N504" s="35"/>
      <c r="O504" s="37" t="str">
        <f aca="false">IF(OR(D504="",D504=0,N504=""),"",N504/D504)</f>
        <v/>
      </c>
      <c r="P504" s="19" t="str">
        <f aca="false">IF(O504="","",IF(O504&gt;0.25,"ACRÉSCIMO ACIMA DE 25% — conferir",""))</f>
        <v/>
      </c>
      <c r="Q504" s="27"/>
      <c r="R504" s="5"/>
    </row>
    <row r="505" customFormat="false" ht="15" hidden="false" customHeight="false" outlineLevel="0" collapsed="false">
      <c r="A505" s="27"/>
      <c r="B505" s="5"/>
      <c r="C505" s="5"/>
      <c r="D505" s="35"/>
      <c r="E505" s="14"/>
      <c r="F505" s="18"/>
      <c r="G505" s="31" t="str">
        <f aca="false">IF(A505="","",IFERROR(IF(INDEX(Empresas!$C:$C,MATCH(A505,Empresas!$A:$A,0))="","",INDEX(Empresas!$C:$C,MATCH(A505,Empresas!$A:$A,0))),""))</f>
        <v/>
      </c>
      <c r="H505" s="18"/>
      <c r="I505" s="19" t="str">
        <f aca="false">IF(OR(F505="",G505=""),"",IF(F505-G505&lt;0,"CONTRATO ANTERIOR À ABERTURA — conferir datas",IF(F505-G505&lt;180,"ABERTA MENOS DE 6 MESES ANTES","")))</f>
        <v/>
      </c>
      <c r="J505" s="19" t="str">
        <f aca="false">IF(A505="","",IFERROR(INDEX(Sancoes!$B:$B,MATCH(A505,Sancoes!$A:$A,0))&amp;"","não consta"))</f>
        <v/>
      </c>
      <c r="K505" s="19" t="str">
        <f aca="false">IF(OR(A505="",F505=""),"",IF(SUMPRODUCT((Sancoes!$A$2:$A$301=A505)*(Sancoes!$B$2:$B$301&lt;&gt;"Não consta")*(Sancoes!$D$2:$D$301&lt;&gt;"")*(Sancoes!$D$2:$D$301&lt;=F505)*(((Sancoes!$E$2:$E$301="")+(Sancoes!$E$2:$E$301&gt;=F505))&gt;0))&gt;0,"SANÇÃO VIGENTE NA DATA — leia o tipo e a abrangência",""))</f>
        <v/>
      </c>
      <c r="L505" s="19" t="str">
        <f aca="false">IF(A505="","",IFERROR(INDEX(Empresas!$B:$B,MATCH(A505,Empresas!$A:$A,0))&amp;"","cadastre o CNPJ em Empresas"))</f>
        <v/>
      </c>
      <c r="M505" s="27"/>
      <c r="N505" s="35"/>
      <c r="O505" s="37" t="str">
        <f aca="false">IF(OR(D505="",D505=0,N505=""),"",N505/D505)</f>
        <v/>
      </c>
      <c r="P505" s="19" t="str">
        <f aca="false">IF(O505="","",IF(O505&gt;0.25,"ACRÉSCIMO ACIMA DE 25% — conferir",""))</f>
        <v/>
      </c>
      <c r="Q505" s="27"/>
      <c r="R505" s="5"/>
    </row>
    <row r="506" customFormat="false" ht="15" hidden="false" customHeight="false" outlineLevel="0" collapsed="false">
      <c r="A506" s="27"/>
      <c r="B506" s="5"/>
      <c r="C506" s="5"/>
      <c r="D506" s="35"/>
      <c r="E506" s="14"/>
      <c r="F506" s="18"/>
      <c r="G506" s="31" t="str">
        <f aca="false">IF(A506="","",IFERROR(IF(INDEX(Empresas!$C:$C,MATCH(A506,Empresas!$A:$A,0))="","",INDEX(Empresas!$C:$C,MATCH(A506,Empresas!$A:$A,0))),""))</f>
        <v/>
      </c>
      <c r="H506" s="18"/>
      <c r="I506" s="19" t="str">
        <f aca="false">IF(OR(F506="",G506=""),"",IF(F506-G506&lt;0,"CONTRATO ANTERIOR À ABERTURA — conferir datas",IF(F506-G506&lt;180,"ABERTA MENOS DE 6 MESES ANTES","")))</f>
        <v/>
      </c>
      <c r="J506" s="19" t="str">
        <f aca="false">IF(A506="","",IFERROR(INDEX(Sancoes!$B:$B,MATCH(A506,Sancoes!$A:$A,0))&amp;"","não consta"))</f>
        <v/>
      </c>
      <c r="K506" s="19" t="str">
        <f aca="false">IF(OR(A506="",F506=""),"",IF(SUMPRODUCT((Sancoes!$A$2:$A$301=A506)*(Sancoes!$B$2:$B$301&lt;&gt;"Não consta")*(Sancoes!$D$2:$D$301&lt;&gt;"")*(Sancoes!$D$2:$D$301&lt;=F506)*(((Sancoes!$E$2:$E$301="")+(Sancoes!$E$2:$E$301&gt;=F506))&gt;0))&gt;0,"SANÇÃO VIGENTE NA DATA — leia o tipo e a abrangência",""))</f>
        <v/>
      </c>
      <c r="L506" s="19" t="str">
        <f aca="false">IF(A506="","",IFERROR(INDEX(Empresas!$B:$B,MATCH(A506,Empresas!$A:$A,0))&amp;"","cadastre o CNPJ em Empresas"))</f>
        <v/>
      </c>
      <c r="M506" s="27"/>
      <c r="N506" s="35"/>
      <c r="O506" s="37" t="str">
        <f aca="false">IF(OR(D506="",D506=0,N506=""),"",N506/D506)</f>
        <v/>
      </c>
      <c r="P506" s="19" t="str">
        <f aca="false">IF(O506="","",IF(O506&gt;0.25,"ACRÉSCIMO ACIMA DE 25% — conferir",""))</f>
        <v/>
      </c>
      <c r="Q506" s="27"/>
      <c r="R506" s="5"/>
    </row>
    <row r="507" customFormat="false" ht="15" hidden="false" customHeight="false" outlineLevel="0" collapsed="false">
      <c r="A507" s="27"/>
      <c r="B507" s="5"/>
      <c r="C507" s="5"/>
      <c r="D507" s="35"/>
      <c r="E507" s="14"/>
      <c r="F507" s="18"/>
      <c r="G507" s="31" t="str">
        <f aca="false">IF(A507="","",IFERROR(IF(INDEX(Empresas!$C:$C,MATCH(A507,Empresas!$A:$A,0))="","",INDEX(Empresas!$C:$C,MATCH(A507,Empresas!$A:$A,0))),""))</f>
        <v/>
      </c>
      <c r="H507" s="18"/>
      <c r="I507" s="19" t="str">
        <f aca="false">IF(OR(F507="",G507=""),"",IF(F507-G507&lt;0,"CONTRATO ANTERIOR À ABERTURA — conferir datas",IF(F507-G507&lt;180,"ABERTA MENOS DE 6 MESES ANTES","")))</f>
        <v/>
      </c>
      <c r="J507" s="19" t="str">
        <f aca="false">IF(A507="","",IFERROR(INDEX(Sancoes!$B:$B,MATCH(A507,Sancoes!$A:$A,0))&amp;"","não consta"))</f>
        <v/>
      </c>
      <c r="K507" s="19" t="str">
        <f aca="false">IF(OR(A507="",F507=""),"",IF(SUMPRODUCT((Sancoes!$A$2:$A$301=A507)*(Sancoes!$B$2:$B$301&lt;&gt;"Não consta")*(Sancoes!$D$2:$D$301&lt;&gt;"")*(Sancoes!$D$2:$D$301&lt;=F507)*(((Sancoes!$E$2:$E$301="")+(Sancoes!$E$2:$E$301&gt;=F507))&gt;0))&gt;0,"SANÇÃO VIGENTE NA DATA — leia o tipo e a abrangência",""))</f>
        <v/>
      </c>
      <c r="L507" s="19" t="str">
        <f aca="false">IF(A507="","",IFERROR(INDEX(Empresas!$B:$B,MATCH(A507,Empresas!$A:$A,0))&amp;"","cadastre o CNPJ em Empresas"))</f>
        <v/>
      </c>
      <c r="M507" s="27"/>
      <c r="N507" s="35"/>
      <c r="O507" s="37" t="str">
        <f aca="false">IF(OR(D507="",D507=0,N507=""),"",N507/D507)</f>
        <v/>
      </c>
      <c r="P507" s="19" t="str">
        <f aca="false">IF(O507="","",IF(O507&gt;0.25,"ACRÉSCIMO ACIMA DE 25% — conferir",""))</f>
        <v/>
      </c>
      <c r="Q507" s="27"/>
      <c r="R507" s="5"/>
    </row>
    <row r="508" customFormat="false" ht="15" hidden="false" customHeight="false" outlineLevel="0" collapsed="false">
      <c r="A508" s="27"/>
      <c r="B508" s="5"/>
      <c r="C508" s="5"/>
      <c r="D508" s="35"/>
      <c r="E508" s="14"/>
      <c r="F508" s="18"/>
      <c r="G508" s="31" t="str">
        <f aca="false">IF(A508="","",IFERROR(IF(INDEX(Empresas!$C:$C,MATCH(A508,Empresas!$A:$A,0))="","",INDEX(Empresas!$C:$C,MATCH(A508,Empresas!$A:$A,0))),""))</f>
        <v/>
      </c>
      <c r="H508" s="18"/>
      <c r="I508" s="19" t="str">
        <f aca="false">IF(OR(F508="",G508=""),"",IF(F508-G508&lt;0,"CONTRATO ANTERIOR À ABERTURA — conferir datas",IF(F508-G508&lt;180,"ABERTA MENOS DE 6 MESES ANTES","")))</f>
        <v/>
      </c>
      <c r="J508" s="19" t="str">
        <f aca="false">IF(A508="","",IFERROR(INDEX(Sancoes!$B:$B,MATCH(A508,Sancoes!$A:$A,0))&amp;"","não consta"))</f>
        <v/>
      </c>
      <c r="K508" s="19" t="str">
        <f aca="false">IF(OR(A508="",F508=""),"",IF(SUMPRODUCT((Sancoes!$A$2:$A$301=A508)*(Sancoes!$B$2:$B$301&lt;&gt;"Não consta")*(Sancoes!$D$2:$D$301&lt;&gt;"")*(Sancoes!$D$2:$D$301&lt;=F508)*(((Sancoes!$E$2:$E$301="")+(Sancoes!$E$2:$E$301&gt;=F508))&gt;0))&gt;0,"SANÇÃO VIGENTE NA DATA — leia o tipo e a abrangência",""))</f>
        <v/>
      </c>
      <c r="L508" s="19" t="str">
        <f aca="false">IF(A508="","",IFERROR(INDEX(Empresas!$B:$B,MATCH(A508,Empresas!$A:$A,0))&amp;"","cadastre o CNPJ em Empresas"))</f>
        <v/>
      </c>
      <c r="M508" s="27"/>
      <c r="N508" s="35"/>
      <c r="O508" s="37" t="str">
        <f aca="false">IF(OR(D508="",D508=0,N508=""),"",N508/D508)</f>
        <v/>
      </c>
      <c r="P508" s="19" t="str">
        <f aca="false">IF(O508="","",IF(O508&gt;0.25,"ACRÉSCIMO ACIMA DE 25% — conferir",""))</f>
        <v/>
      </c>
      <c r="Q508" s="27"/>
      <c r="R508" s="5"/>
    </row>
    <row r="509" customFormat="false" ht="15" hidden="false" customHeight="false" outlineLevel="0" collapsed="false">
      <c r="A509" s="27"/>
      <c r="B509" s="5"/>
      <c r="C509" s="5"/>
      <c r="D509" s="35"/>
      <c r="E509" s="14"/>
      <c r="F509" s="18"/>
      <c r="G509" s="31" t="str">
        <f aca="false">IF(A509="","",IFERROR(IF(INDEX(Empresas!$C:$C,MATCH(A509,Empresas!$A:$A,0))="","",INDEX(Empresas!$C:$C,MATCH(A509,Empresas!$A:$A,0))),""))</f>
        <v/>
      </c>
      <c r="H509" s="18"/>
      <c r="I509" s="19" t="str">
        <f aca="false">IF(OR(F509="",G509=""),"",IF(F509-G509&lt;0,"CONTRATO ANTERIOR À ABERTURA — conferir datas",IF(F509-G509&lt;180,"ABERTA MENOS DE 6 MESES ANTES","")))</f>
        <v/>
      </c>
      <c r="J509" s="19" t="str">
        <f aca="false">IF(A509="","",IFERROR(INDEX(Sancoes!$B:$B,MATCH(A509,Sancoes!$A:$A,0))&amp;"","não consta"))</f>
        <v/>
      </c>
      <c r="K509" s="19" t="str">
        <f aca="false">IF(OR(A509="",F509=""),"",IF(SUMPRODUCT((Sancoes!$A$2:$A$301=A509)*(Sancoes!$B$2:$B$301&lt;&gt;"Não consta")*(Sancoes!$D$2:$D$301&lt;&gt;"")*(Sancoes!$D$2:$D$301&lt;=F509)*(((Sancoes!$E$2:$E$301="")+(Sancoes!$E$2:$E$301&gt;=F509))&gt;0))&gt;0,"SANÇÃO VIGENTE NA DATA — leia o tipo e a abrangência",""))</f>
        <v/>
      </c>
      <c r="L509" s="19" t="str">
        <f aca="false">IF(A509="","",IFERROR(INDEX(Empresas!$B:$B,MATCH(A509,Empresas!$A:$A,0))&amp;"","cadastre o CNPJ em Empresas"))</f>
        <v/>
      </c>
      <c r="M509" s="27"/>
      <c r="N509" s="35"/>
      <c r="O509" s="37" t="str">
        <f aca="false">IF(OR(D509="",D509=0,N509=""),"",N509/D509)</f>
        <v/>
      </c>
      <c r="P509" s="19" t="str">
        <f aca="false">IF(O509="","",IF(O509&gt;0.25,"ACRÉSCIMO ACIMA DE 25% — conferir",""))</f>
        <v/>
      </c>
      <c r="Q509" s="27"/>
      <c r="R509" s="5"/>
    </row>
    <row r="510" customFormat="false" ht="15" hidden="false" customHeight="false" outlineLevel="0" collapsed="false">
      <c r="A510" s="27"/>
      <c r="B510" s="5"/>
      <c r="C510" s="5"/>
      <c r="D510" s="35"/>
      <c r="E510" s="14"/>
      <c r="F510" s="18"/>
      <c r="G510" s="31" t="str">
        <f aca="false">IF(A510="","",IFERROR(IF(INDEX(Empresas!$C:$C,MATCH(A510,Empresas!$A:$A,0))="","",INDEX(Empresas!$C:$C,MATCH(A510,Empresas!$A:$A,0))),""))</f>
        <v/>
      </c>
      <c r="H510" s="18"/>
      <c r="I510" s="19" t="str">
        <f aca="false">IF(OR(F510="",G510=""),"",IF(F510-G510&lt;0,"CONTRATO ANTERIOR À ABERTURA — conferir datas",IF(F510-G510&lt;180,"ABERTA MENOS DE 6 MESES ANTES","")))</f>
        <v/>
      </c>
      <c r="J510" s="19" t="str">
        <f aca="false">IF(A510="","",IFERROR(INDEX(Sancoes!$B:$B,MATCH(A510,Sancoes!$A:$A,0))&amp;"","não consta"))</f>
        <v/>
      </c>
      <c r="K510" s="19" t="str">
        <f aca="false">IF(OR(A510="",F510=""),"",IF(SUMPRODUCT((Sancoes!$A$2:$A$301=A510)*(Sancoes!$B$2:$B$301&lt;&gt;"Não consta")*(Sancoes!$D$2:$D$301&lt;&gt;"")*(Sancoes!$D$2:$D$301&lt;=F510)*(((Sancoes!$E$2:$E$301="")+(Sancoes!$E$2:$E$301&gt;=F510))&gt;0))&gt;0,"SANÇÃO VIGENTE NA DATA — leia o tipo e a abrangência",""))</f>
        <v/>
      </c>
      <c r="L510" s="19" t="str">
        <f aca="false">IF(A510="","",IFERROR(INDEX(Empresas!$B:$B,MATCH(A510,Empresas!$A:$A,0))&amp;"","cadastre o CNPJ em Empresas"))</f>
        <v/>
      </c>
      <c r="M510" s="27"/>
      <c r="N510" s="35"/>
      <c r="O510" s="37" t="str">
        <f aca="false">IF(OR(D510="",D510=0,N510=""),"",N510/D510)</f>
        <v/>
      </c>
      <c r="P510" s="19" t="str">
        <f aca="false">IF(O510="","",IF(O510&gt;0.25,"ACRÉSCIMO ACIMA DE 25% — conferir",""))</f>
        <v/>
      </c>
      <c r="Q510" s="27"/>
      <c r="R510" s="5"/>
    </row>
    <row r="511" customFormat="false" ht="15" hidden="false" customHeight="false" outlineLevel="0" collapsed="false">
      <c r="A511" s="27"/>
      <c r="B511" s="5"/>
      <c r="C511" s="5"/>
      <c r="D511" s="35"/>
      <c r="E511" s="14"/>
      <c r="F511" s="18"/>
      <c r="G511" s="31" t="str">
        <f aca="false">IF(A511="","",IFERROR(IF(INDEX(Empresas!$C:$C,MATCH(A511,Empresas!$A:$A,0))="","",INDEX(Empresas!$C:$C,MATCH(A511,Empresas!$A:$A,0))),""))</f>
        <v/>
      </c>
      <c r="H511" s="18"/>
      <c r="I511" s="19" t="str">
        <f aca="false">IF(OR(F511="",G511=""),"",IF(F511-G511&lt;0,"CONTRATO ANTERIOR À ABERTURA — conferir datas",IF(F511-G511&lt;180,"ABERTA MENOS DE 6 MESES ANTES","")))</f>
        <v/>
      </c>
      <c r="J511" s="19" t="str">
        <f aca="false">IF(A511="","",IFERROR(INDEX(Sancoes!$B:$B,MATCH(A511,Sancoes!$A:$A,0))&amp;"","não consta"))</f>
        <v/>
      </c>
      <c r="K511" s="19" t="str">
        <f aca="false">IF(OR(A511="",F511=""),"",IF(SUMPRODUCT((Sancoes!$A$2:$A$301=A511)*(Sancoes!$B$2:$B$301&lt;&gt;"Não consta")*(Sancoes!$D$2:$D$301&lt;&gt;"")*(Sancoes!$D$2:$D$301&lt;=F511)*(((Sancoes!$E$2:$E$301="")+(Sancoes!$E$2:$E$301&gt;=F511))&gt;0))&gt;0,"SANÇÃO VIGENTE NA DATA — leia o tipo e a abrangência",""))</f>
        <v/>
      </c>
      <c r="L511" s="19" t="str">
        <f aca="false">IF(A511="","",IFERROR(INDEX(Empresas!$B:$B,MATCH(A511,Empresas!$A:$A,0))&amp;"","cadastre o CNPJ em Empresas"))</f>
        <v/>
      </c>
      <c r="M511" s="27"/>
      <c r="N511" s="35"/>
      <c r="O511" s="37" t="str">
        <f aca="false">IF(OR(D511="",D511=0,N511=""),"",N511/D511)</f>
        <v/>
      </c>
      <c r="P511" s="19" t="str">
        <f aca="false">IF(O511="","",IF(O511&gt;0.25,"ACRÉSCIMO ACIMA DE 25% — conferir",""))</f>
        <v/>
      </c>
      <c r="Q511" s="27"/>
      <c r="R511" s="5"/>
    </row>
    <row r="512" customFormat="false" ht="15" hidden="false" customHeight="false" outlineLevel="0" collapsed="false">
      <c r="A512" s="27"/>
      <c r="B512" s="5"/>
      <c r="C512" s="5"/>
      <c r="D512" s="35"/>
      <c r="E512" s="14"/>
      <c r="F512" s="18"/>
      <c r="G512" s="31" t="str">
        <f aca="false">IF(A512="","",IFERROR(IF(INDEX(Empresas!$C:$C,MATCH(A512,Empresas!$A:$A,0))="","",INDEX(Empresas!$C:$C,MATCH(A512,Empresas!$A:$A,0))),""))</f>
        <v/>
      </c>
      <c r="H512" s="18"/>
      <c r="I512" s="19" t="str">
        <f aca="false">IF(OR(F512="",G512=""),"",IF(F512-G512&lt;0,"CONTRATO ANTERIOR À ABERTURA — conferir datas",IF(F512-G512&lt;180,"ABERTA MENOS DE 6 MESES ANTES","")))</f>
        <v/>
      </c>
      <c r="J512" s="19" t="str">
        <f aca="false">IF(A512="","",IFERROR(INDEX(Sancoes!$B:$B,MATCH(A512,Sancoes!$A:$A,0))&amp;"","não consta"))</f>
        <v/>
      </c>
      <c r="K512" s="19" t="str">
        <f aca="false">IF(OR(A512="",F512=""),"",IF(SUMPRODUCT((Sancoes!$A$2:$A$301=A512)*(Sancoes!$B$2:$B$301&lt;&gt;"Não consta")*(Sancoes!$D$2:$D$301&lt;&gt;"")*(Sancoes!$D$2:$D$301&lt;=F512)*(((Sancoes!$E$2:$E$301="")+(Sancoes!$E$2:$E$301&gt;=F512))&gt;0))&gt;0,"SANÇÃO VIGENTE NA DATA — leia o tipo e a abrangência",""))</f>
        <v/>
      </c>
      <c r="L512" s="19" t="str">
        <f aca="false">IF(A512="","",IFERROR(INDEX(Empresas!$B:$B,MATCH(A512,Empresas!$A:$A,0))&amp;"","cadastre o CNPJ em Empresas"))</f>
        <v/>
      </c>
      <c r="M512" s="27"/>
      <c r="N512" s="35"/>
      <c r="O512" s="37" t="str">
        <f aca="false">IF(OR(D512="",D512=0,N512=""),"",N512/D512)</f>
        <v/>
      </c>
      <c r="P512" s="19" t="str">
        <f aca="false">IF(O512="","",IF(O512&gt;0.25,"ACRÉSCIMO ACIMA DE 25% — conferir",""))</f>
        <v/>
      </c>
      <c r="Q512" s="27"/>
      <c r="R512" s="5"/>
    </row>
    <row r="513" customFormat="false" ht="15" hidden="false" customHeight="false" outlineLevel="0" collapsed="false">
      <c r="A513" s="27"/>
      <c r="B513" s="5"/>
      <c r="C513" s="5"/>
      <c r="D513" s="35"/>
      <c r="E513" s="14"/>
      <c r="F513" s="18"/>
      <c r="G513" s="31" t="str">
        <f aca="false">IF(A513="","",IFERROR(IF(INDEX(Empresas!$C:$C,MATCH(A513,Empresas!$A:$A,0))="","",INDEX(Empresas!$C:$C,MATCH(A513,Empresas!$A:$A,0))),""))</f>
        <v/>
      </c>
      <c r="H513" s="18"/>
      <c r="I513" s="19" t="str">
        <f aca="false">IF(OR(F513="",G513=""),"",IF(F513-G513&lt;0,"CONTRATO ANTERIOR À ABERTURA — conferir datas",IF(F513-G513&lt;180,"ABERTA MENOS DE 6 MESES ANTES","")))</f>
        <v/>
      </c>
      <c r="J513" s="19" t="str">
        <f aca="false">IF(A513="","",IFERROR(INDEX(Sancoes!$B:$B,MATCH(A513,Sancoes!$A:$A,0))&amp;"","não consta"))</f>
        <v/>
      </c>
      <c r="K513" s="19" t="str">
        <f aca="false">IF(OR(A513="",F513=""),"",IF(SUMPRODUCT((Sancoes!$A$2:$A$301=A513)*(Sancoes!$B$2:$B$301&lt;&gt;"Não consta")*(Sancoes!$D$2:$D$301&lt;&gt;"")*(Sancoes!$D$2:$D$301&lt;=F513)*(((Sancoes!$E$2:$E$301="")+(Sancoes!$E$2:$E$301&gt;=F513))&gt;0))&gt;0,"SANÇÃO VIGENTE NA DATA — leia o tipo e a abrangência",""))</f>
        <v/>
      </c>
      <c r="L513" s="19" t="str">
        <f aca="false">IF(A513="","",IFERROR(INDEX(Empresas!$B:$B,MATCH(A513,Empresas!$A:$A,0))&amp;"","cadastre o CNPJ em Empresas"))</f>
        <v/>
      </c>
      <c r="M513" s="27"/>
      <c r="N513" s="35"/>
      <c r="O513" s="37" t="str">
        <f aca="false">IF(OR(D513="",D513=0,N513=""),"",N513/D513)</f>
        <v/>
      </c>
      <c r="P513" s="19" t="str">
        <f aca="false">IF(O513="","",IF(O513&gt;0.25,"ACRÉSCIMO ACIMA DE 25% — conferir",""))</f>
        <v/>
      </c>
      <c r="Q513" s="27"/>
      <c r="R513" s="5"/>
    </row>
    <row r="514" customFormat="false" ht="15" hidden="false" customHeight="false" outlineLevel="0" collapsed="false">
      <c r="A514" s="27"/>
      <c r="B514" s="5"/>
      <c r="C514" s="5"/>
      <c r="D514" s="35"/>
      <c r="E514" s="14"/>
      <c r="F514" s="18"/>
      <c r="G514" s="31" t="str">
        <f aca="false">IF(A514="","",IFERROR(IF(INDEX(Empresas!$C:$C,MATCH(A514,Empresas!$A:$A,0))="","",INDEX(Empresas!$C:$C,MATCH(A514,Empresas!$A:$A,0))),""))</f>
        <v/>
      </c>
      <c r="H514" s="18"/>
      <c r="I514" s="19" t="str">
        <f aca="false">IF(OR(F514="",G514=""),"",IF(F514-G514&lt;0,"CONTRATO ANTERIOR À ABERTURA — conferir datas",IF(F514-G514&lt;180,"ABERTA MENOS DE 6 MESES ANTES","")))</f>
        <v/>
      </c>
      <c r="J514" s="19" t="str">
        <f aca="false">IF(A514="","",IFERROR(INDEX(Sancoes!$B:$B,MATCH(A514,Sancoes!$A:$A,0))&amp;"","não consta"))</f>
        <v/>
      </c>
      <c r="K514" s="19" t="str">
        <f aca="false">IF(OR(A514="",F514=""),"",IF(SUMPRODUCT((Sancoes!$A$2:$A$301=A514)*(Sancoes!$B$2:$B$301&lt;&gt;"Não consta")*(Sancoes!$D$2:$D$301&lt;&gt;"")*(Sancoes!$D$2:$D$301&lt;=F514)*(((Sancoes!$E$2:$E$301="")+(Sancoes!$E$2:$E$301&gt;=F514))&gt;0))&gt;0,"SANÇÃO VIGENTE NA DATA — leia o tipo e a abrangência",""))</f>
        <v/>
      </c>
      <c r="L514" s="19" t="str">
        <f aca="false">IF(A514="","",IFERROR(INDEX(Empresas!$B:$B,MATCH(A514,Empresas!$A:$A,0))&amp;"","cadastre o CNPJ em Empresas"))</f>
        <v/>
      </c>
      <c r="M514" s="27"/>
      <c r="N514" s="35"/>
      <c r="O514" s="37" t="str">
        <f aca="false">IF(OR(D514="",D514=0,N514=""),"",N514/D514)</f>
        <v/>
      </c>
      <c r="P514" s="19" t="str">
        <f aca="false">IF(O514="","",IF(O514&gt;0.25,"ACRÉSCIMO ACIMA DE 25% — conferir",""))</f>
        <v/>
      </c>
      <c r="Q514" s="27"/>
      <c r="R514" s="5"/>
    </row>
    <row r="515" customFormat="false" ht="15" hidden="false" customHeight="false" outlineLevel="0" collapsed="false">
      <c r="A515" s="27"/>
      <c r="B515" s="5"/>
      <c r="C515" s="5"/>
      <c r="D515" s="35"/>
      <c r="E515" s="14"/>
      <c r="F515" s="18"/>
      <c r="G515" s="31" t="str">
        <f aca="false">IF(A515="","",IFERROR(IF(INDEX(Empresas!$C:$C,MATCH(A515,Empresas!$A:$A,0))="","",INDEX(Empresas!$C:$C,MATCH(A515,Empresas!$A:$A,0))),""))</f>
        <v/>
      </c>
      <c r="H515" s="18"/>
      <c r="I515" s="19" t="str">
        <f aca="false">IF(OR(F515="",G515=""),"",IF(F515-G515&lt;0,"CONTRATO ANTERIOR À ABERTURA — conferir datas",IF(F515-G515&lt;180,"ABERTA MENOS DE 6 MESES ANTES","")))</f>
        <v/>
      </c>
      <c r="J515" s="19" t="str">
        <f aca="false">IF(A515="","",IFERROR(INDEX(Sancoes!$B:$B,MATCH(A515,Sancoes!$A:$A,0))&amp;"","não consta"))</f>
        <v/>
      </c>
      <c r="K515" s="19" t="str">
        <f aca="false">IF(OR(A515="",F515=""),"",IF(SUMPRODUCT((Sancoes!$A$2:$A$301=A515)*(Sancoes!$B$2:$B$301&lt;&gt;"Não consta")*(Sancoes!$D$2:$D$301&lt;&gt;"")*(Sancoes!$D$2:$D$301&lt;=F515)*(((Sancoes!$E$2:$E$301="")+(Sancoes!$E$2:$E$301&gt;=F515))&gt;0))&gt;0,"SANÇÃO VIGENTE NA DATA — leia o tipo e a abrangência",""))</f>
        <v/>
      </c>
      <c r="L515" s="19" t="str">
        <f aca="false">IF(A515="","",IFERROR(INDEX(Empresas!$B:$B,MATCH(A515,Empresas!$A:$A,0))&amp;"","cadastre o CNPJ em Empresas"))</f>
        <v/>
      </c>
      <c r="M515" s="27"/>
      <c r="N515" s="35"/>
      <c r="O515" s="37" t="str">
        <f aca="false">IF(OR(D515="",D515=0,N515=""),"",N515/D515)</f>
        <v/>
      </c>
      <c r="P515" s="19" t="str">
        <f aca="false">IF(O515="","",IF(O515&gt;0.25,"ACRÉSCIMO ACIMA DE 25% — conferir",""))</f>
        <v/>
      </c>
      <c r="Q515" s="27"/>
      <c r="R515" s="5"/>
    </row>
    <row r="516" customFormat="false" ht="15" hidden="false" customHeight="false" outlineLevel="0" collapsed="false">
      <c r="A516" s="27"/>
      <c r="B516" s="5"/>
      <c r="C516" s="5"/>
      <c r="D516" s="35"/>
      <c r="E516" s="14"/>
      <c r="F516" s="18"/>
      <c r="G516" s="31" t="str">
        <f aca="false">IF(A516="","",IFERROR(IF(INDEX(Empresas!$C:$C,MATCH(A516,Empresas!$A:$A,0))="","",INDEX(Empresas!$C:$C,MATCH(A516,Empresas!$A:$A,0))),""))</f>
        <v/>
      </c>
      <c r="H516" s="18"/>
      <c r="I516" s="19" t="str">
        <f aca="false">IF(OR(F516="",G516=""),"",IF(F516-G516&lt;0,"CONTRATO ANTERIOR À ABERTURA — conferir datas",IF(F516-G516&lt;180,"ABERTA MENOS DE 6 MESES ANTES","")))</f>
        <v/>
      </c>
      <c r="J516" s="19" t="str">
        <f aca="false">IF(A516="","",IFERROR(INDEX(Sancoes!$B:$B,MATCH(A516,Sancoes!$A:$A,0))&amp;"","não consta"))</f>
        <v/>
      </c>
      <c r="K516" s="19" t="str">
        <f aca="false">IF(OR(A516="",F516=""),"",IF(SUMPRODUCT((Sancoes!$A$2:$A$301=A516)*(Sancoes!$B$2:$B$301&lt;&gt;"Não consta")*(Sancoes!$D$2:$D$301&lt;&gt;"")*(Sancoes!$D$2:$D$301&lt;=F516)*(((Sancoes!$E$2:$E$301="")+(Sancoes!$E$2:$E$301&gt;=F516))&gt;0))&gt;0,"SANÇÃO VIGENTE NA DATA — leia o tipo e a abrangência",""))</f>
        <v/>
      </c>
      <c r="L516" s="19" t="str">
        <f aca="false">IF(A516="","",IFERROR(INDEX(Empresas!$B:$B,MATCH(A516,Empresas!$A:$A,0))&amp;"","cadastre o CNPJ em Empresas"))</f>
        <v/>
      </c>
      <c r="M516" s="27"/>
      <c r="N516" s="35"/>
      <c r="O516" s="37" t="str">
        <f aca="false">IF(OR(D516="",D516=0,N516=""),"",N516/D516)</f>
        <v/>
      </c>
      <c r="P516" s="19" t="str">
        <f aca="false">IF(O516="","",IF(O516&gt;0.25,"ACRÉSCIMO ACIMA DE 25% — conferir",""))</f>
        <v/>
      </c>
      <c r="Q516" s="27"/>
      <c r="R516" s="5"/>
    </row>
    <row r="517" customFormat="false" ht="15" hidden="false" customHeight="false" outlineLevel="0" collapsed="false">
      <c r="A517" s="27"/>
      <c r="B517" s="5"/>
      <c r="C517" s="5"/>
      <c r="D517" s="35"/>
      <c r="E517" s="14"/>
      <c r="F517" s="18"/>
      <c r="G517" s="31" t="str">
        <f aca="false">IF(A517="","",IFERROR(IF(INDEX(Empresas!$C:$C,MATCH(A517,Empresas!$A:$A,0))="","",INDEX(Empresas!$C:$C,MATCH(A517,Empresas!$A:$A,0))),""))</f>
        <v/>
      </c>
      <c r="H517" s="18"/>
      <c r="I517" s="19" t="str">
        <f aca="false">IF(OR(F517="",G517=""),"",IF(F517-G517&lt;0,"CONTRATO ANTERIOR À ABERTURA — conferir datas",IF(F517-G517&lt;180,"ABERTA MENOS DE 6 MESES ANTES","")))</f>
        <v/>
      </c>
      <c r="J517" s="19" t="str">
        <f aca="false">IF(A517="","",IFERROR(INDEX(Sancoes!$B:$B,MATCH(A517,Sancoes!$A:$A,0))&amp;"","não consta"))</f>
        <v/>
      </c>
      <c r="K517" s="19" t="str">
        <f aca="false">IF(OR(A517="",F517=""),"",IF(SUMPRODUCT((Sancoes!$A$2:$A$301=A517)*(Sancoes!$B$2:$B$301&lt;&gt;"Não consta")*(Sancoes!$D$2:$D$301&lt;&gt;"")*(Sancoes!$D$2:$D$301&lt;=F517)*(((Sancoes!$E$2:$E$301="")+(Sancoes!$E$2:$E$301&gt;=F517))&gt;0))&gt;0,"SANÇÃO VIGENTE NA DATA — leia o tipo e a abrangência",""))</f>
        <v/>
      </c>
      <c r="L517" s="19" t="str">
        <f aca="false">IF(A517="","",IFERROR(INDEX(Empresas!$B:$B,MATCH(A517,Empresas!$A:$A,0))&amp;"","cadastre o CNPJ em Empresas"))</f>
        <v/>
      </c>
      <c r="M517" s="27"/>
      <c r="N517" s="35"/>
      <c r="O517" s="37" t="str">
        <f aca="false">IF(OR(D517="",D517=0,N517=""),"",N517/D517)</f>
        <v/>
      </c>
      <c r="P517" s="19" t="str">
        <f aca="false">IF(O517="","",IF(O517&gt;0.25,"ACRÉSCIMO ACIMA DE 25% — conferir",""))</f>
        <v/>
      </c>
      <c r="Q517" s="27"/>
      <c r="R517" s="5"/>
    </row>
    <row r="518" customFormat="false" ht="15" hidden="false" customHeight="false" outlineLevel="0" collapsed="false">
      <c r="A518" s="27"/>
      <c r="B518" s="5"/>
      <c r="C518" s="5"/>
      <c r="D518" s="35"/>
      <c r="E518" s="14"/>
      <c r="F518" s="18"/>
      <c r="G518" s="31" t="str">
        <f aca="false">IF(A518="","",IFERROR(IF(INDEX(Empresas!$C:$C,MATCH(A518,Empresas!$A:$A,0))="","",INDEX(Empresas!$C:$C,MATCH(A518,Empresas!$A:$A,0))),""))</f>
        <v/>
      </c>
      <c r="H518" s="18"/>
      <c r="I518" s="19" t="str">
        <f aca="false">IF(OR(F518="",G518=""),"",IF(F518-G518&lt;0,"CONTRATO ANTERIOR À ABERTURA — conferir datas",IF(F518-G518&lt;180,"ABERTA MENOS DE 6 MESES ANTES","")))</f>
        <v/>
      </c>
      <c r="J518" s="19" t="str">
        <f aca="false">IF(A518="","",IFERROR(INDEX(Sancoes!$B:$B,MATCH(A518,Sancoes!$A:$A,0))&amp;"","não consta"))</f>
        <v/>
      </c>
      <c r="K518" s="19" t="str">
        <f aca="false">IF(OR(A518="",F518=""),"",IF(SUMPRODUCT((Sancoes!$A$2:$A$301=A518)*(Sancoes!$B$2:$B$301&lt;&gt;"Não consta")*(Sancoes!$D$2:$D$301&lt;&gt;"")*(Sancoes!$D$2:$D$301&lt;=F518)*(((Sancoes!$E$2:$E$301="")+(Sancoes!$E$2:$E$301&gt;=F518))&gt;0))&gt;0,"SANÇÃO VIGENTE NA DATA — leia o tipo e a abrangência",""))</f>
        <v/>
      </c>
      <c r="L518" s="19" t="str">
        <f aca="false">IF(A518="","",IFERROR(INDEX(Empresas!$B:$B,MATCH(A518,Empresas!$A:$A,0))&amp;"","cadastre o CNPJ em Empresas"))</f>
        <v/>
      </c>
      <c r="M518" s="27"/>
      <c r="N518" s="35"/>
      <c r="O518" s="37" t="str">
        <f aca="false">IF(OR(D518="",D518=0,N518=""),"",N518/D518)</f>
        <v/>
      </c>
      <c r="P518" s="19" t="str">
        <f aca="false">IF(O518="","",IF(O518&gt;0.25,"ACRÉSCIMO ACIMA DE 25% — conferir",""))</f>
        <v/>
      </c>
      <c r="Q518" s="27"/>
      <c r="R518" s="5"/>
    </row>
    <row r="519" customFormat="false" ht="15" hidden="false" customHeight="false" outlineLevel="0" collapsed="false">
      <c r="A519" s="27"/>
      <c r="B519" s="5"/>
      <c r="C519" s="5"/>
      <c r="D519" s="35"/>
      <c r="E519" s="14"/>
      <c r="F519" s="18"/>
      <c r="G519" s="31" t="str">
        <f aca="false">IF(A519="","",IFERROR(IF(INDEX(Empresas!$C:$C,MATCH(A519,Empresas!$A:$A,0))="","",INDEX(Empresas!$C:$C,MATCH(A519,Empresas!$A:$A,0))),""))</f>
        <v/>
      </c>
      <c r="H519" s="18"/>
      <c r="I519" s="19" t="str">
        <f aca="false">IF(OR(F519="",G519=""),"",IF(F519-G519&lt;0,"CONTRATO ANTERIOR À ABERTURA — conferir datas",IF(F519-G519&lt;180,"ABERTA MENOS DE 6 MESES ANTES","")))</f>
        <v/>
      </c>
      <c r="J519" s="19" t="str">
        <f aca="false">IF(A519="","",IFERROR(INDEX(Sancoes!$B:$B,MATCH(A519,Sancoes!$A:$A,0))&amp;"","não consta"))</f>
        <v/>
      </c>
      <c r="K519" s="19" t="str">
        <f aca="false">IF(OR(A519="",F519=""),"",IF(SUMPRODUCT((Sancoes!$A$2:$A$301=A519)*(Sancoes!$B$2:$B$301&lt;&gt;"Não consta")*(Sancoes!$D$2:$D$301&lt;&gt;"")*(Sancoes!$D$2:$D$301&lt;=F519)*(((Sancoes!$E$2:$E$301="")+(Sancoes!$E$2:$E$301&gt;=F519))&gt;0))&gt;0,"SANÇÃO VIGENTE NA DATA — leia o tipo e a abrangência",""))</f>
        <v/>
      </c>
      <c r="L519" s="19" t="str">
        <f aca="false">IF(A519="","",IFERROR(INDEX(Empresas!$B:$B,MATCH(A519,Empresas!$A:$A,0))&amp;"","cadastre o CNPJ em Empresas"))</f>
        <v/>
      </c>
      <c r="M519" s="27"/>
      <c r="N519" s="35"/>
      <c r="O519" s="37" t="str">
        <f aca="false">IF(OR(D519="",D519=0,N519=""),"",N519/D519)</f>
        <v/>
      </c>
      <c r="P519" s="19" t="str">
        <f aca="false">IF(O519="","",IF(O519&gt;0.25,"ACRÉSCIMO ACIMA DE 25% — conferir",""))</f>
        <v/>
      </c>
      <c r="Q519" s="27"/>
      <c r="R519" s="5"/>
    </row>
    <row r="520" customFormat="false" ht="15" hidden="false" customHeight="false" outlineLevel="0" collapsed="false">
      <c r="A520" s="27"/>
      <c r="B520" s="5"/>
      <c r="C520" s="5"/>
      <c r="D520" s="35"/>
      <c r="E520" s="14"/>
      <c r="F520" s="18"/>
      <c r="G520" s="31" t="str">
        <f aca="false">IF(A520="","",IFERROR(IF(INDEX(Empresas!$C:$C,MATCH(A520,Empresas!$A:$A,0))="","",INDEX(Empresas!$C:$C,MATCH(A520,Empresas!$A:$A,0))),""))</f>
        <v/>
      </c>
      <c r="H520" s="18"/>
      <c r="I520" s="19" t="str">
        <f aca="false">IF(OR(F520="",G520=""),"",IF(F520-G520&lt;0,"CONTRATO ANTERIOR À ABERTURA — conferir datas",IF(F520-G520&lt;180,"ABERTA MENOS DE 6 MESES ANTES","")))</f>
        <v/>
      </c>
      <c r="J520" s="19" t="str">
        <f aca="false">IF(A520="","",IFERROR(INDEX(Sancoes!$B:$B,MATCH(A520,Sancoes!$A:$A,0))&amp;"","não consta"))</f>
        <v/>
      </c>
      <c r="K520" s="19" t="str">
        <f aca="false">IF(OR(A520="",F520=""),"",IF(SUMPRODUCT((Sancoes!$A$2:$A$301=A520)*(Sancoes!$B$2:$B$301&lt;&gt;"Não consta")*(Sancoes!$D$2:$D$301&lt;&gt;"")*(Sancoes!$D$2:$D$301&lt;=F520)*(((Sancoes!$E$2:$E$301="")+(Sancoes!$E$2:$E$301&gt;=F520))&gt;0))&gt;0,"SANÇÃO VIGENTE NA DATA — leia o tipo e a abrangência",""))</f>
        <v/>
      </c>
      <c r="L520" s="19" t="str">
        <f aca="false">IF(A520="","",IFERROR(INDEX(Empresas!$B:$B,MATCH(A520,Empresas!$A:$A,0))&amp;"","cadastre o CNPJ em Empresas"))</f>
        <v/>
      </c>
      <c r="M520" s="27"/>
      <c r="N520" s="35"/>
      <c r="O520" s="37" t="str">
        <f aca="false">IF(OR(D520="",D520=0,N520=""),"",N520/D520)</f>
        <v/>
      </c>
      <c r="P520" s="19" t="str">
        <f aca="false">IF(O520="","",IF(O520&gt;0.25,"ACRÉSCIMO ACIMA DE 25% — conferir",""))</f>
        <v/>
      </c>
      <c r="Q520" s="27"/>
      <c r="R520" s="5"/>
    </row>
    <row r="521" customFormat="false" ht="15" hidden="false" customHeight="false" outlineLevel="0" collapsed="false">
      <c r="A521" s="27"/>
      <c r="B521" s="5"/>
      <c r="C521" s="5"/>
      <c r="D521" s="35"/>
      <c r="E521" s="14"/>
      <c r="F521" s="18"/>
      <c r="G521" s="31" t="str">
        <f aca="false">IF(A521="","",IFERROR(IF(INDEX(Empresas!$C:$C,MATCH(A521,Empresas!$A:$A,0))="","",INDEX(Empresas!$C:$C,MATCH(A521,Empresas!$A:$A,0))),""))</f>
        <v/>
      </c>
      <c r="H521" s="18"/>
      <c r="I521" s="19" t="str">
        <f aca="false">IF(OR(F521="",G521=""),"",IF(F521-G521&lt;0,"CONTRATO ANTERIOR À ABERTURA — conferir datas",IF(F521-G521&lt;180,"ABERTA MENOS DE 6 MESES ANTES","")))</f>
        <v/>
      </c>
      <c r="J521" s="19" t="str">
        <f aca="false">IF(A521="","",IFERROR(INDEX(Sancoes!$B:$B,MATCH(A521,Sancoes!$A:$A,0))&amp;"","não consta"))</f>
        <v/>
      </c>
      <c r="K521" s="19" t="str">
        <f aca="false">IF(OR(A521="",F521=""),"",IF(SUMPRODUCT((Sancoes!$A$2:$A$301=A521)*(Sancoes!$B$2:$B$301&lt;&gt;"Não consta")*(Sancoes!$D$2:$D$301&lt;&gt;"")*(Sancoes!$D$2:$D$301&lt;=F521)*(((Sancoes!$E$2:$E$301="")+(Sancoes!$E$2:$E$301&gt;=F521))&gt;0))&gt;0,"SANÇÃO VIGENTE NA DATA — leia o tipo e a abrangência",""))</f>
        <v/>
      </c>
      <c r="L521" s="19" t="str">
        <f aca="false">IF(A521="","",IFERROR(INDEX(Empresas!$B:$B,MATCH(A521,Empresas!$A:$A,0))&amp;"","cadastre o CNPJ em Empresas"))</f>
        <v/>
      </c>
      <c r="M521" s="27"/>
      <c r="N521" s="35"/>
      <c r="O521" s="37" t="str">
        <f aca="false">IF(OR(D521="",D521=0,N521=""),"",N521/D521)</f>
        <v/>
      </c>
      <c r="P521" s="19" t="str">
        <f aca="false">IF(O521="","",IF(O521&gt;0.25,"ACRÉSCIMO ACIMA DE 25% — conferir",""))</f>
        <v/>
      </c>
      <c r="Q521" s="27"/>
      <c r="R521" s="5"/>
    </row>
    <row r="522" customFormat="false" ht="15" hidden="false" customHeight="false" outlineLevel="0" collapsed="false">
      <c r="A522" s="27"/>
      <c r="B522" s="5"/>
      <c r="C522" s="5"/>
      <c r="D522" s="35"/>
      <c r="E522" s="14"/>
      <c r="F522" s="18"/>
      <c r="G522" s="31" t="str">
        <f aca="false">IF(A522="","",IFERROR(IF(INDEX(Empresas!$C:$C,MATCH(A522,Empresas!$A:$A,0))="","",INDEX(Empresas!$C:$C,MATCH(A522,Empresas!$A:$A,0))),""))</f>
        <v/>
      </c>
      <c r="H522" s="18"/>
      <c r="I522" s="19" t="str">
        <f aca="false">IF(OR(F522="",G522=""),"",IF(F522-G522&lt;0,"CONTRATO ANTERIOR À ABERTURA — conferir datas",IF(F522-G522&lt;180,"ABERTA MENOS DE 6 MESES ANTES","")))</f>
        <v/>
      </c>
      <c r="J522" s="19" t="str">
        <f aca="false">IF(A522="","",IFERROR(INDEX(Sancoes!$B:$B,MATCH(A522,Sancoes!$A:$A,0))&amp;"","não consta"))</f>
        <v/>
      </c>
      <c r="K522" s="19" t="str">
        <f aca="false">IF(OR(A522="",F522=""),"",IF(SUMPRODUCT((Sancoes!$A$2:$A$301=A522)*(Sancoes!$B$2:$B$301&lt;&gt;"Não consta")*(Sancoes!$D$2:$D$301&lt;&gt;"")*(Sancoes!$D$2:$D$301&lt;=F522)*(((Sancoes!$E$2:$E$301="")+(Sancoes!$E$2:$E$301&gt;=F522))&gt;0))&gt;0,"SANÇÃO VIGENTE NA DATA — leia o tipo e a abrangência",""))</f>
        <v/>
      </c>
      <c r="L522" s="19" t="str">
        <f aca="false">IF(A522="","",IFERROR(INDEX(Empresas!$B:$B,MATCH(A522,Empresas!$A:$A,0))&amp;"","cadastre o CNPJ em Empresas"))</f>
        <v/>
      </c>
      <c r="M522" s="27"/>
      <c r="N522" s="35"/>
      <c r="O522" s="37" t="str">
        <f aca="false">IF(OR(D522="",D522=0,N522=""),"",N522/D522)</f>
        <v/>
      </c>
      <c r="P522" s="19" t="str">
        <f aca="false">IF(O522="","",IF(O522&gt;0.25,"ACRÉSCIMO ACIMA DE 25% — conferir",""))</f>
        <v/>
      </c>
      <c r="Q522" s="27"/>
      <c r="R522" s="5"/>
    </row>
    <row r="523" customFormat="false" ht="15" hidden="false" customHeight="false" outlineLevel="0" collapsed="false">
      <c r="A523" s="27"/>
      <c r="B523" s="5"/>
      <c r="C523" s="5"/>
      <c r="D523" s="35"/>
      <c r="E523" s="14"/>
      <c r="F523" s="18"/>
      <c r="G523" s="31" t="str">
        <f aca="false">IF(A523="","",IFERROR(IF(INDEX(Empresas!$C:$C,MATCH(A523,Empresas!$A:$A,0))="","",INDEX(Empresas!$C:$C,MATCH(A523,Empresas!$A:$A,0))),""))</f>
        <v/>
      </c>
      <c r="H523" s="18"/>
      <c r="I523" s="19" t="str">
        <f aca="false">IF(OR(F523="",G523=""),"",IF(F523-G523&lt;0,"CONTRATO ANTERIOR À ABERTURA — conferir datas",IF(F523-G523&lt;180,"ABERTA MENOS DE 6 MESES ANTES","")))</f>
        <v/>
      </c>
      <c r="J523" s="19" t="str">
        <f aca="false">IF(A523="","",IFERROR(INDEX(Sancoes!$B:$B,MATCH(A523,Sancoes!$A:$A,0))&amp;"","não consta"))</f>
        <v/>
      </c>
      <c r="K523" s="19" t="str">
        <f aca="false">IF(OR(A523="",F523=""),"",IF(SUMPRODUCT((Sancoes!$A$2:$A$301=A523)*(Sancoes!$B$2:$B$301&lt;&gt;"Não consta")*(Sancoes!$D$2:$D$301&lt;&gt;"")*(Sancoes!$D$2:$D$301&lt;=F523)*(((Sancoes!$E$2:$E$301="")+(Sancoes!$E$2:$E$301&gt;=F523))&gt;0))&gt;0,"SANÇÃO VIGENTE NA DATA — leia o tipo e a abrangência",""))</f>
        <v/>
      </c>
      <c r="L523" s="19" t="str">
        <f aca="false">IF(A523="","",IFERROR(INDEX(Empresas!$B:$B,MATCH(A523,Empresas!$A:$A,0))&amp;"","cadastre o CNPJ em Empresas"))</f>
        <v/>
      </c>
      <c r="M523" s="27"/>
      <c r="N523" s="35"/>
      <c r="O523" s="37" t="str">
        <f aca="false">IF(OR(D523="",D523=0,N523=""),"",N523/D523)</f>
        <v/>
      </c>
      <c r="P523" s="19" t="str">
        <f aca="false">IF(O523="","",IF(O523&gt;0.25,"ACRÉSCIMO ACIMA DE 25% — conferir",""))</f>
        <v/>
      </c>
      <c r="Q523" s="27"/>
      <c r="R523" s="5"/>
    </row>
    <row r="524" customFormat="false" ht="15" hidden="false" customHeight="false" outlineLevel="0" collapsed="false">
      <c r="A524" s="27"/>
      <c r="B524" s="5"/>
      <c r="C524" s="5"/>
      <c r="D524" s="35"/>
      <c r="E524" s="14"/>
      <c r="F524" s="18"/>
      <c r="G524" s="31" t="str">
        <f aca="false">IF(A524="","",IFERROR(IF(INDEX(Empresas!$C:$C,MATCH(A524,Empresas!$A:$A,0))="","",INDEX(Empresas!$C:$C,MATCH(A524,Empresas!$A:$A,0))),""))</f>
        <v/>
      </c>
      <c r="H524" s="18"/>
      <c r="I524" s="19" t="str">
        <f aca="false">IF(OR(F524="",G524=""),"",IF(F524-G524&lt;0,"CONTRATO ANTERIOR À ABERTURA — conferir datas",IF(F524-G524&lt;180,"ABERTA MENOS DE 6 MESES ANTES","")))</f>
        <v/>
      </c>
      <c r="J524" s="19" t="str">
        <f aca="false">IF(A524="","",IFERROR(INDEX(Sancoes!$B:$B,MATCH(A524,Sancoes!$A:$A,0))&amp;"","não consta"))</f>
        <v/>
      </c>
      <c r="K524" s="19" t="str">
        <f aca="false">IF(OR(A524="",F524=""),"",IF(SUMPRODUCT((Sancoes!$A$2:$A$301=A524)*(Sancoes!$B$2:$B$301&lt;&gt;"Não consta")*(Sancoes!$D$2:$D$301&lt;&gt;"")*(Sancoes!$D$2:$D$301&lt;=F524)*(((Sancoes!$E$2:$E$301="")+(Sancoes!$E$2:$E$301&gt;=F524))&gt;0))&gt;0,"SANÇÃO VIGENTE NA DATA — leia o tipo e a abrangência",""))</f>
        <v/>
      </c>
      <c r="L524" s="19" t="str">
        <f aca="false">IF(A524="","",IFERROR(INDEX(Empresas!$B:$B,MATCH(A524,Empresas!$A:$A,0))&amp;"","cadastre o CNPJ em Empresas"))</f>
        <v/>
      </c>
      <c r="M524" s="27"/>
      <c r="N524" s="35"/>
      <c r="O524" s="37" t="str">
        <f aca="false">IF(OR(D524="",D524=0,N524=""),"",N524/D524)</f>
        <v/>
      </c>
      <c r="P524" s="19" t="str">
        <f aca="false">IF(O524="","",IF(O524&gt;0.25,"ACRÉSCIMO ACIMA DE 25% — conferir",""))</f>
        <v/>
      </c>
      <c r="Q524" s="27"/>
      <c r="R524" s="5"/>
    </row>
    <row r="525" customFormat="false" ht="15" hidden="false" customHeight="false" outlineLevel="0" collapsed="false">
      <c r="A525" s="27"/>
      <c r="B525" s="5"/>
      <c r="C525" s="5"/>
      <c r="D525" s="35"/>
      <c r="E525" s="14"/>
      <c r="F525" s="18"/>
      <c r="G525" s="31" t="str">
        <f aca="false">IF(A525="","",IFERROR(IF(INDEX(Empresas!$C:$C,MATCH(A525,Empresas!$A:$A,0))="","",INDEX(Empresas!$C:$C,MATCH(A525,Empresas!$A:$A,0))),""))</f>
        <v/>
      </c>
      <c r="H525" s="18"/>
      <c r="I525" s="19" t="str">
        <f aca="false">IF(OR(F525="",G525=""),"",IF(F525-G525&lt;0,"CONTRATO ANTERIOR À ABERTURA — conferir datas",IF(F525-G525&lt;180,"ABERTA MENOS DE 6 MESES ANTES","")))</f>
        <v/>
      </c>
      <c r="J525" s="19" t="str">
        <f aca="false">IF(A525="","",IFERROR(INDEX(Sancoes!$B:$B,MATCH(A525,Sancoes!$A:$A,0))&amp;"","não consta"))</f>
        <v/>
      </c>
      <c r="K525" s="19" t="str">
        <f aca="false">IF(OR(A525="",F525=""),"",IF(SUMPRODUCT((Sancoes!$A$2:$A$301=A525)*(Sancoes!$B$2:$B$301&lt;&gt;"Não consta")*(Sancoes!$D$2:$D$301&lt;&gt;"")*(Sancoes!$D$2:$D$301&lt;=F525)*(((Sancoes!$E$2:$E$301="")+(Sancoes!$E$2:$E$301&gt;=F525))&gt;0))&gt;0,"SANÇÃO VIGENTE NA DATA — leia o tipo e a abrangência",""))</f>
        <v/>
      </c>
      <c r="L525" s="19" t="str">
        <f aca="false">IF(A525="","",IFERROR(INDEX(Empresas!$B:$B,MATCH(A525,Empresas!$A:$A,0))&amp;"","cadastre o CNPJ em Empresas"))</f>
        <v/>
      </c>
      <c r="M525" s="27"/>
      <c r="N525" s="35"/>
      <c r="O525" s="37" t="str">
        <f aca="false">IF(OR(D525="",D525=0,N525=""),"",N525/D525)</f>
        <v/>
      </c>
      <c r="P525" s="19" t="str">
        <f aca="false">IF(O525="","",IF(O525&gt;0.25,"ACRÉSCIMO ACIMA DE 25% — conferir",""))</f>
        <v/>
      </c>
      <c r="Q525" s="27"/>
      <c r="R525" s="5"/>
    </row>
    <row r="526" customFormat="false" ht="15" hidden="false" customHeight="false" outlineLevel="0" collapsed="false">
      <c r="A526" s="27"/>
      <c r="B526" s="5"/>
      <c r="C526" s="5"/>
      <c r="D526" s="35"/>
      <c r="E526" s="14"/>
      <c r="F526" s="18"/>
      <c r="G526" s="31" t="str">
        <f aca="false">IF(A526="","",IFERROR(IF(INDEX(Empresas!$C:$C,MATCH(A526,Empresas!$A:$A,0))="","",INDEX(Empresas!$C:$C,MATCH(A526,Empresas!$A:$A,0))),""))</f>
        <v/>
      </c>
      <c r="H526" s="18"/>
      <c r="I526" s="19" t="str">
        <f aca="false">IF(OR(F526="",G526=""),"",IF(F526-G526&lt;0,"CONTRATO ANTERIOR À ABERTURA — conferir datas",IF(F526-G526&lt;180,"ABERTA MENOS DE 6 MESES ANTES","")))</f>
        <v/>
      </c>
      <c r="J526" s="19" t="str">
        <f aca="false">IF(A526="","",IFERROR(INDEX(Sancoes!$B:$B,MATCH(A526,Sancoes!$A:$A,0))&amp;"","não consta"))</f>
        <v/>
      </c>
      <c r="K526" s="19" t="str">
        <f aca="false">IF(OR(A526="",F526=""),"",IF(SUMPRODUCT((Sancoes!$A$2:$A$301=A526)*(Sancoes!$B$2:$B$301&lt;&gt;"Não consta")*(Sancoes!$D$2:$D$301&lt;&gt;"")*(Sancoes!$D$2:$D$301&lt;=F526)*(((Sancoes!$E$2:$E$301="")+(Sancoes!$E$2:$E$301&gt;=F526))&gt;0))&gt;0,"SANÇÃO VIGENTE NA DATA — leia o tipo e a abrangência",""))</f>
        <v/>
      </c>
      <c r="L526" s="19" t="str">
        <f aca="false">IF(A526="","",IFERROR(INDEX(Empresas!$B:$B,MATCH(A526,Empresas!$A:$A,0))&amp;"","cadastre o CNPJ em Empresas"))</f>
        <v/>
      </c>
      <c r="M526" s="27"/>
      <c r="N526" s="35"/>
      <c r="O526" s="37" t="str">
        <f aca="false">IF(OR(D526="",D526=0,N526=""),"",N526/D526)</f>
        <v/>
      </c>
      <c r="P526" s="19" t="str">
        <f aca="false">IF(O526="","",IF(O526&gt;0.25,"ACRÉSCIMO ACIMA DE 25% — conferir",""))</f>
        <v/>
      </c>
      <c r="Q526" s="27"/>
      <c r="R526" s="5"/>
    </row>
    <row r="527" customFormat="false" ht="15" hidden="false" customHeight="false" outlineLevel="0" collapsed="false">
      <c r="A527" s="27"/>
      <c r="B527" s="5"/>
      <c r="C527" s="5"/>
      <c r="D527" s="35"/>
      <c r="E527" s="14"/>
      <c r="F527" s="18"/>
      <c r="G527" s="31" t="str">
        <f aca="false">IF(A527="","",IFERROR(IF(INDEX(Empresas!$C:$C,MATCH(A527,Empresas!$A:$A,0))="","",INDEX(Empresas!$C:$C,MATCH(A527,Empresas!$A:$A,0))),""))</f>
        <v/>
      </c>
      <c r="H527" s="18"/>
      <c r="I527" s="19" t="str">
        <f aca="false">IF(OR(F527="",G527=""),"",IF(F527-G527&lt;0,"CONTRATO ANTERIOR À ABERTURA — conferir datas",IF(F527-G527&lt;180,"ABERTA MENOS DE 6 MESES ANTES","")))</f>
        <v/>
      </c>
      <c r="J527" s="19" t="str">
        <f aca="false">IF(A527="","",IFERROR(INDEX(Sancoes!$B:$B,MATCH(A527,Sancoes!$A:$A,0))&amp;"","não consta"))</f>
        <v/>
      </c>
      <c r="K527" s="19" t="str">
        <f aca="false">IF(OR(A527="",F527=""),"",IF(SUMPRODUCT((Sancoes!$A$2:$A$301=A527)*(Sancoes!$B$2:$B$301&lt;&gt;"Não consta")*(Sancoes!$D$2:$D$301&lt;&gt;"")*(Sancoes!$D$2:$D$301&lt;=F527)*(((Sancoes!$E$2:$E$301="")+(Sancoes!$E$2:$E$301&gt;=F527))&gt;0))&gt;0,"SANÇÃO VIGENTE NA DATA — leia o tipo e a abrangência",""))</f>
        <v/>
      </c>
      <c r="L527" s="19" t="str">
        <f aca="false">IF(A527="","",IFERROR(INDEX(Empresas!$B:$B,MATCH(A527,Empresas!$A:$A,0))&amp;"","cadastre o CNPJ em Empresas"))</f>
        <v/>
      </c>
      <c r="M527" s="27"/>
      <c r="N527" s="35"/>
      <c r="O527" s="37" t="str">
        <f aca="false">IF(OR(D527="",D527=0,N527=""),"",N527/D527)</f>
        <v/>
      </c>
      <c r="P527" s="19" t="str">
        <f aca="false">IF(O527="","",IF(O527&gt;0.25,"ACRÉSCIMO ACIMA DE 25% — conferir",""))</f>
        <v/>
      </c>
      <c r="Q527" s="27"/>
      <c r="R527" s="5"/>
    </row>
    <row r="528" customFormat="false" ht="15" hidden="false" customHeight="false" outlineLevel="0" collapsed="false">
      <c r="A528" s="27"/>
      <c r="B528" s="5"/>
      <c r="C528" s="5"/>
      <c r="D528" s="35"/>
      <c r="E528" s="14"/>
      <c r="F528" s="18"/>
      <c r="G528" s="31" t="str">
        <f aca="false">IF(A528="","",IFERROR(IF(INDEX(Empresas!$C:$C,MATCH(A528,Empresas!$A:$A,0))="","",INDEX(Empresas!$C:$C,MATCH(A528,Empresas!$A:$A,0))),""))</f>
        <v/>
      </c>
      <c r="H528" s="18"/>
      <c r="I528" s="19" t="str">
        <f aca="false">IF(OR(F528="",G528=""),"",IF(F528-G528&lt;0,"CONTRATO ANTERIOR À ABERTURA — conferir datas",IF(F528-G528&lt;180,"ABERTA MENOS DE 6 MESES ANTES","")))</f>
        <v/>
      </c>
      <c r="J528" s="19" t="str">
        <f aca="false">IF(A528="","",IFERROR(INDEX(Sancoes!$B:$B,MATCH(A528,Sancoes!$A:$A,0))&amp;"","não consta"))</f>
        <v/>
      </c>
      <c r="K528" s="19" t="str">
        <f aca="false">IF(OR(A528="",F528=""),"",IF(SUMPRODUCT((Sancoes!$A$2:$A$301=A528)*(Sancoes!$B$2:$B$301&lt;&gt;"Não consta")*(Sancoes!$D$2:$D$301&lt;&gt;"")*(Sancoes!$D$2:$D$301&lt;=F528)*(((Sancoes!$E$2:$E$301="")+(Sancoes!$E$2:$E$301&gt;=F528))&gt;0))&gt;0,"SANÇÃO VIGENTE NA DATA — leia o tipo e a abrangência",""))</f>
        <v/>
      </c>
      <c r="L528" s="19" t="str">
        <f aca="false">IF(A528="","",IFERROR(INDEX(Empresas!$B:$B,MATCH(A528,Empresas!$A:$A,0))&amp;"","cadastre o CNPJ em Empresas"))</f>
        <v/>
      </c>
      <c r="M528" s="27"/>
      <c r="N528" s="35"/>
      <c r="O528" s="37" t="str">
        <f aca="false">IF(OR(D528="",D528=0,N528=""),"",N528/D528)</f>
        <v/>
      </c>
      <c r="P528" s="19" t="str">
        <f aca="false">IF(O528="","",IF(O528&gt;0.25,"ACRÉSCIMO ACIMA DE 25% — conferir",""))</f>
        <v/>
      </c>
      <c r="Q528" s="27"/>
      <c r="R528" s="5"/>
    </row>
    <row r="529" customFormat="false" ht="15" hidden="false" customHeight="false" outlineLevel="0" collapsed="false">
      <c r="A529" s="27"/>
      <c r="B529" s="5"/>
      <c r="C529" s="5"/>
      <c r="D529" s="35"/>
      <c r="E529" s="14"/>
      <c r="F529" s="18"/>
      <c r="G529" s="31" t="str">
        <f aca="false">IF(A529="","",IFERROR(IF(INDEX(Empresas!$C:$C,MATCH(A529,Empresas!$A:$A,0))="","",INDEX(Empresas!$C:$C,MATCH(A529,Empresas!$A:$A,0))),""))</f>
        <v/>
      </c>
      <c r="H529" s="18"/>
      <c r="I529" s="19" t="str">
        <f aca="false">IF(OR(F529="",G529=""),"",IF(F529-G529&lt;0,"CONTRATO ANTERIOR À ABERTURA — conferir datas",IF(F529-G529&lt;180,"ABERTA MENOS DE 6 MESES ANTES","")))</f>
        <v/>
      </c>
      <c r="J529" s="19" t="str">
        <f aca="false">IF(A529="","",IFERROR(INDEX(Sancoes!$B:$B,MATCH(A529,Sancoes!$A:$A,0))&amp;"","não consta"))</f>
        <v/>
      </c>
      <c r="K529" s="19" t="str">
        <f aca="false">IF(OR(A529="",F529=""),"",IF(SUMPRODUCT((Sancoes!$A$2:$A$301=A529)*(Sancoes!$B$2:$B$301&lt;&gt;"Não consta")*(Sancoes!$D$2:$D$301&lt;&gt;"")*(Sancoes!$D$2:$D$301&lt;=F529)*(((Sancoes!$E$2:$E$301="")+(Sancoes!$E$2:$E$301&gt;=F529))&gt;0))&gt;0,"SANÇÃO VIGENTE NA DATA — leia o tipo e a abrangência",""))</f>
        <v/>
      </c>
      <c r="L529" s="19" t="str">
        <f aca="false">IF(A529="","",IFERROR(INDEX(Empresas!$B:$B,MATCH(A529,Empresas!$A:$A,0))&amp;"","cadastre o CNPJ em Empresas"))</f>
        <v/>
      </c>
      <c r="M529" s="27"/>
      <c r="N529" s="35"/>
      <c r="O529" s="37" t="str">
        <f aca="false">IF(OR(D529="",D529=0,N529=""),"",N529/D529)</f>
        <v/>
      </c>
      <c r="P529" s="19" t="str">
        <f aca="false">IF(O529="","",IF(O529&gt;0.25,"ACRÉSCIMO ACIMA DE 25% — conferir",""))</f>
        <v/>
      </c>
      <c r="Q529" s="27"/>
      <c r="R529" s="5"/>
    </row>
    <row r="530" customFormat="false" ht="15" hidden="false" customHeight="false" outlineLevel="0" collapsed="false">
      <c r="A530" s="27"/>
      <c r="B530" s="5"/>
      <c r="C530" s="5"/>
      <c r="D530" s="35"/>
      <c r="E530" s="14"/>
      <c r="F530" s="18"/>
      <c r="G530" s="31" t="str">
        <f aca="false">IF(A530="","",IFERROR(IF(INDEX(Empresas!$C:$C,MATCH(A530,Empresas!$A:$A,0))="","",INDEX(Empresas!$C:$C,MATCH(A530,Empresas!$A:$A,0))),""))</f>
        <v/>
      </c>
      <c r="H530" s="18"/>
      <c r="I530" s="19" t="str">
        <f aca="false">IF(OR(F530="",G530=""),"",IF(F530-G530&lt;0,"CONTRATO ANTERIOR À ABERTURA — conferir datas",IF(F530-G530&lt;180,"ABERTA MENOS DE 6 MESES ANTES","")))</f>
        <v/>
      </c>
      <c r="J530" s="19" t="str">
        <f aca="false">IF(A530="","",IFERROR(INDEX(Sancoes!$B:$B,MATCH(A530,Sancoes!$A:$A,0))&amp;"","não consta"))</f>
        <v/>
      </c>
      <c r="K530" s="19" t="str">
        <f aca="false">IF(OR(A530="",F530=""),"",IF(SUMPRODUCT((Sancoes!$A$2:$A$301=A530)*(Sancoes!$B$2:$B$301&lt;&gt;"Não consta")*(Sancoes!$D$2:$D$301&lt;&gt;"")*(Sancoes!$D$2:$D$301&lt;=F530)*(((Sancoes!$E$2:$E$301="")+(Sancoes!$E$2:$E$301&gt;=F530))&gt;0))&gt;0,"SANÇÃO VIGENTE NA DATA — leia o tipo e a abrangência",""))</f>
        <v/>
      </c>
      <c r="L530" s="19" t="str">
        <f aca="false">IF(A530="","",IFERROR(INDEX(Empresas!$B:$B,MATCH(A530,Empresas!$A:$A,0))&amp;"","cadastre o CNPJ em Empresas"))</f>
        <v/>
      </c>
      <c r="M530" s="27"/>
      <c r="N530" s="35"/>
      <c r="O530" s="37" t="str">
        <f aca="false">IF(OR(D530="",D530=0,N530=""),"",N530/D530)</f>
        <v/>
      </c>
      <c r="P530" s="19" t="str">
        <f aca="false">IF(O530="","",IF(O530&gt;0.25,"ACRÉSCIMO ACIMA DE 25% — conferir",""))</f>
        <v/>
      </c>
      <c r="Q530" s="27"/>
      <c r="R530" s="5"/>
    </row>
    <row r="531" customFormat="false" ht="15" hidden="false" customHeight="false" outlineLevel="0" collapsed="false">
      <c r="A531" s="27"/>
      <c r="B531" s="5"/>
      <c r="C531" s="5"/>
      <c r="D531" s="35"/>
      <c r="E531" s="14"/>
      <c r="F531" s="18"/>
      <c r="G531" s="31" t="str">
        <f aca="false">IF(A531="","",IFERROR(IF(INDEX(Empresas!$C:$C,MATCH(A531,Empresas!$A:$A,0))="","",INDEX(Empresas!$C:$C,MATCH(A531,Empresas!$A:$A,0))),""))</f>
        <v/>
      </c>
      <c r="H531" s="18"/>
      <c r="I531" s="19" t="str">
        <f aca="false">IF(OR(F531="",G531=""),"",IF(F531-G531&lt;0,"CONTRATO ANTERIOR À ABERTURA — conferir datas",IF(F531-G531&lt;180,"ABERTA MENOS DE 6 MESES ANTES","")))</f>
        <v/>
      </c>
      <c r="J531" s="19" t="str">
        <f aca="false">IF(A531="","",IFERROR(INDEX(Sancoes!$B:$B,MATCH(A531,Sancoes!$A:$A,0))&amp;"","não consta"))</f>
        <v/>
      </c>
      <c r="K531" s="19" t="str">
        <f aca="false">IF(OR(A531="",F531=""),"",IF(SUMPRODUCT((Sancoes!$A$2:$A$301=A531)*(Sancoes!$B$2:$B$301&lt;&gt;"Não consta")*(Sancoes!$D$2:$D$301&lt;&gt;"")*(Sancoes!$D$2:$D$301&lt;=F531)*(((Sancoes!$E$2:$E$301="")+(Sancoes!$E$2:$E$301&gt;=F531))&gt;0))&gt;0,"SANÇÃO VIGENTE NA DATA — leia o tipo e a abrangência",""))</f>
        <v/>
      </c>
      <c r="L531" s="19" t="str">
        <f aca="false">IF(A531="","",IFERROR(INDEX(Empresas!$B:$B,MATCH(A531,Empresas!$A:$A,0))&amp;"","cadastre o CNPJ em Empresas"))</f>
        <v/>
      </c>
      <c r="M531" s="27"/>
      <c r="N531" s="35"/>
      <c r="O531" s="37" t="str">
        <f aca="false">IF(OR(D531="",D531=0,N531=""),"",N531/D531)</f>
        <v/>
      </c>
      <c r="P531" s="19" t="str">
        <f aca="false">IF(O531="","",IF(O531&gt;0.25,"ACRÉSCIMO ACIMA DE 25% — conferir",""))</f>
        <v/>
      </c>
      <c r="Q531" s="27"/>
      <c r="R531" s="5"/>
    </row>
    <row r="532" customFormat="false" ht="15" hidden="false" customHeight="false" outlineLevel="0" collapsed="false">
      <c r="A532" s="27"/>
      <c r="B532" s="5"/>
      <c r="C532" s="5"/>
      <c r="D532" s="35"/>
      <c r="E532" s="14"/>
      <c r="F532" s="18"/>
      <c r="G532" s="31" t="str">
        <f aca="false">IF(A532="","",IFERROR(IF(INDEX(Empresas!$C:$C,MATCH(A532,Empresas!$A:$A,0))="","",INDEX(Empresas!$C:$C,MATCH(A532,Empresas!$A:$A,0))),""))</f>
        <v/>
      </c>
      <c r="H532" s="18"/>
      <c r="I532" s="19" t="str">
        <f aca="false">IF(OR(F532="",G532=""),"",IF(F532-G532&lt;0,"CONTRATO ANTERIOR À ABERTURA — conferir datas",IF(F532-G532&lt;180,"ABERTA MENOS DE 6 MESES ANTES","")))</f>
        <v/>
      </c>
      <c r="J532" s="19" t="str">
        <f aca="false">IF(A532="","",IFERROR(INDEX(Sancoes!$B:$B,MATCH(A532,Sancoes!$A:$A,0))&amp;"","não consta"))</f>
        <v/>
      </c>
      <c r="K532" s="19" t="str">
        <f aca="false">IF(OR(A532="",F532=""),"",IF(SUMPRODUCT((Sancoes!$A$2:$A$301=A532)*(Sancoes!$B$2:$B$301&lt;&gt;"Não consta")*(Sancoes!$D$2:$D$301&lt;&gt;"")*(Sancoes!$D$2:$D$301&lt;=F532)*(((Sancoes!$E$2:$E$301="")+(Sancoes!$E$2:$E$301&gt;=F532))&gt;0))&gt;0,"SANÇÃO VIGENTE NA DATA — leia o tipo e a abrangência",""))</f>
        <v/>
      </c>
      <c r="L532" s="19" t="str">
        <f aca="false">IF(A532="","",IFERROR(INDEX(Empresas!$B:$B,MATCH(A532,Empresas!$A:$A,0))&amp;"","cadastre o CNPJ em Empresas"))</f>
        <v/>
      </c>
      <c r="M532" s="27"/>
      <c r="N532" s="35"/>
      <c r="O532" s="37" t="str">
        <f aca="false">IF(OR(D532="",D532=0,N532=""),"",N532/D532)</f>
        <v/>
      </c>
      <c r="P532" s="19" t="str">
        <f aca="false">IF(O532="","",IF(O532&gt;0.25,"ACRÉSCIMO ACIMA DE 25% — conferir",""))</f>
        <v/>
      </c>
      <c r="Q532" s="27"/>
      <c r="R532" s="5"/>
    </row>
    <row r="533" customFormat="false" ht="15" hidden="false" customHeight="false" outlineLevel="0" collapsed="false">
      <c r="A533" s="27"/>
      <c r="B533" s="5"/>
      <c r="C533" s="5"/>
      <c r="D533" s="35"/>
      <c r="E533" s="14"/>
      <c r="F533" s="18"/>
      <c r="G533" s="31" t="str">
        <f aca="false">IF(A533="","",IFERROR(IF(INDEX(Empresas!$C:$C,MATCH(A533,Empresas!$A:$A,0))="","",INDEX(Empresas!$C:$C,MATCH(A533,Empresas!$A:$A,0))),""))</f>
        <v/>
      </c>
      <c r="H533" s="18"/>
      <c r="I533" s="19" t="str">
        <f aca="false">IF(OR(F533="",G533=""),"",IF(F533-G533&lt;0,"CONTRATO ANTERIOR À ABERTURA — conferir datas",IF(F533-G533&lt;180,"ABERTA MENOS DE 6 MESES ANTES","")))</f>
        <v/>
      </c>
      <c r="J533" s="19" t="str">
        <f aca="false">IF(A533="","",IFERROR(INDEX(Sancoes!$B:$B,MATCH(A533,Sancoes!$A:$A,0))&amp;"","não consta"))</f>
        <v/>
      </c>
      <c r="K533" s="19" t="str">
        <f aca="false">IF(OR(A533="",F533=""),"",IF(SUMPRODUCT((Sancoes!$A$2:$A$301=A533)*(Sancoes!$B$2:$B$301&lt;&gt;"Não consta")*(Sancoes!$D$2:$D$301&lt;&gt;"")*(Sancoes!$D$2:$D$301&lt;=F533)*(((Sancoes!$E$2:$E$301="")+(Sancoes!$E$2:$E$301&gt;=F533))&gt;0))&gt;0,"SANÇÃO VIGENTE NA DATA — leia o tipo e a abrangência",""))</f>
        <v/>
      </c>
      <c r="L533" s="19" t="str">
        <f aca="false">IF(A533="","",IFERROR(INDEX(Empresas!$B:$B,MATCH(A533,Empresas!$A:$A,0))&amp;"","cadastre o CNPJ em Empresas"))</f>
        <v/>
      </c>
      <c r="M533" s="27"/>
      <c r="N533" s="35"/>
      <c r="O533" s="37" t="str">
        <f aca="false">IF(OR(D533="",D533=0,N533=""),"",N533/D533)</f>
        <v/>
      </c>
      <c r="P533" s="19" t="str">
        <f aca="false">IF(O533="","",IF(O533&gt;0.25,"ACRÉSCIMO ACIMA DE 25% — conferir",""))</f>
        <v/>
      </c>
      <c r="Q533" s="27"/>
      <c r="R533" s="5"/>
    </row>
    <row r="534" customFormat="false" ht="15" hidden="false" customHeight="false" outlineLevel="0" collapsed="false">
      <c r="A534" s="27"/>
      <c r="B534" s="5"/>
      <c r="C534" s="5"/>
      <c r="D534" s="35"/>
      <c r="E534" s="14"/>
      <c r="F534" s="18"/>
      <c r="G534" s="31" t="str">
        <f aca="false">IF(A534="","",IFERROR(IF(INDEX(Empresas!$C:$C,MATCH(A534,Empresas!$A:$A,0))="","",INDEX(Empresas!$C:$C,MATCH(A534,Empresas!$A:$A,0))),""))</f>
        <v/>
      </c>
      <c r="H534" s="18"/>
      <c r="I534" s="19" t="str">
        <f aca="false">IF(OR(F534="",G534=""),"",IF(F534-G534&lt;0,"CONTRATO ANTERIOR À ABERTURA — conferir datas",IF(F534-G534&lt;180,"ABERTA MENOS DE 6 MESES ANTES","")))</f>
        <v/>
      </c>
      <c r="J534" s="19" t="str">
        <f aca="false">IF(A534="","",IFERROR(INDEX(Sancoes!$B:$B,MATCH(A534,Sancoes!$A:$A,0))&amp;"","não consta"))</f>
        <v/>
      </c>
      <c r="K534" s="19" t="str">
        <f aca="false">IF(OR(A534="",F534=""),"",IF(SUMPRODUCT((Sancoes!$A$2:$A$301=A534)*(Sancoes!$B$2:$B$301&lt;&gt;"Não consta")*(Sancoes!$D$2:$D$301&lt;&gt;"")*(Sancoes!$D$2:$D$301&lt;=F534)*(((Sancoes!$E$2:$E$301="")+(Sancoes!$E$2:$E$301&gt;=F534))&gt;0))&gt;0,"SANÇÃO VIGENTE NA DATA — leia o tipo e a abrangência",""))</f>
        <v/>
      </c>
      <c r="L534" s="19" t="str">
        <f aca="false">IF(A534="","",IFERROR(INDEX(Empresas!$B:$B,MATCH(A534,Empresas!$A:$A,0))&amp;"","cadastre o CNPJ em Empresas"))</f>
        <v/>
      </c>
      <c r="M534" s="27"/>
      <c r="N534" s="35"/>
      <c r="O534" s="37" t="str">
        <f aca="false">IF(OR(D534="",D534=0,N534=""),"",N534/D534)</f>
        <v/>
      </c>
      <c r="P534" s="19" t="str">
        <f aca="false">IF(O534="","",IF(O534&gt;0.25,"ACRÉSCIMO ACIMA DE 25% — conferir",""))</f>
        <v/>
      </c>
      <c r="Q534" s="27"/>
      <c r="R534" s="5"/>
    </row>
    <row r="535" customFormat="false" ht="15" hidden="false" customHeight="false" outlineLevel="0" collapsed="false">
      <c r="A535" s="27"/>
      <c r="B535" s="5"/>
      <c r="C535" s="5"/>
      <c r="D535" s="35"/>
      <c r="E535" s="14"/>
      <c r="F535" s="18"/>
      <c r="G535" s="31" t="str">
        <f aca="false">IF(A535="","",IFERROR(IF(INDEX(Empresas!$C:$C,MATCH(A535,Empresas!$A:$A,0))="","",INDEX(Empresas!$C:$C,MATCH(A535,Empresas!$A:$A,0))),""))</f>
        <v/>
      </c>
      <c r="H535" s="18"/>
      <c r="I535" s="19" t="str">
        <f aca="false">IF(OR(F535="",G535=""),"",IF(F535-G535&lt;0,"CONTRATO ANTERIOR À ABERTURA — conferir datas",IF(F535-G535&lt;180,"ABERTA MENOS DE 6 MESES ANTES","")))</f>
        <v/>
      </c>
      <c r="J535" s="19" t="str">
        <f aca="false">IF(A535="","",IFERROR(INDEX(Sancoes!$B:$B,MATCH(A535,Sancoes!$A:$A,0))&amp;"","não consta"))</f>
        <v/>
      </c>
      <c r="K535" s="19" t="str">
        <f aca="false">IF(OR(A535="",F535=""),"",IF(SUMPRODUCT((Sancoes!$A$2:$A$301=A535)*(Sancoes!$B$2:$B$301&lt;&gt;"Não consta")*(Sancoes!$D$2:$D$301&lt;&gt;"")*(Sancoes!$D$2:$D$301&lt;=F535)*(((Sancoes!$E$2:$E$301="")+(Sancoes!$E$2:$E$301&gt;=F535))&gt;0))&gt;0,"SANÇÃO VIGENTE NA DATA — leia o tipo e a abrangência",""))</f>
        <v/>
      </c>
      <c r="L535" s="19" t="str">
        <f aca="false">IF(A535="","",IFERROR(INDEX(Empresas!$B:$B,MATCH(A535,Empresas!$A:$A,0))&amp;"","cadastre o CNPJ em Empresas"))</f>
        <v/>
      </c>
      <c r="M535" s="27"/>
      <c r="N535" s="35"/>
      <c r="O535" s="37" t="str">
        <f aca="false">IF(OR(D535="",D535=0,N535=""),"",N535/D535)</f>
        <v/>
      </c>
      <c r="P535" s="19" t="str">
        <f aca="false">IF(O535="","",IF(O535&gt;0.25,"ACRÉSCIMO ACIMA DE 25% — conferir",""))</f>
        <v/>
      </c>
      <c r="Q535" s="27"/>
      <c r="R535" s="5"/>
    </row>
    <row r="536" customFormat="false" ht="15" hidden="false" customHeight="false" outlineLevel="0" collapsed="false">
      <c r="A536" s="27"/>
      <c r="B536" s="5"/>
      <c r="C536" s="5"/>
      <c r="D536" s="35"/>
      <c r="E536" s="14"/>
      <c r="F536" s="18"/>
      <c r="G536" s="31" t="str">
        <f aca="false">IF(A536="","",IFERROR(IF(INDEX(Empresas!$C:$C,MATCH(A536,Empresas!$A:$A,0))="","",INDEX(Empresas!$C:$C,MATCH(A536,Empresas!$A:$A,0))),""))</f>
        <v/>
      </c>
      <c r="H536" s="18"/>
      <c r="I536" s="19" t="str">
        <f aca="false">IF(OR(F536="",G536=""),"",IF(F536-G536&lt;0,"CONTRATO ANTERIOR À ABERTURA — conferir datas",IF(F536-G536&lt;180,"ABERTA MENOS DE 6 MESES ANTES","")))</f>
        <v/>
      </c>
      <c r="J536" s="19" t="str">
        <f aca="false">IF(A536="","",IFERROR(INDEX(Sancoes!$B:$B,MATCH(A536,Sancoes!$A:$A,0))&amp;"","não consta"))</f>
        <v/>
      </c>
      <c r="K536" s="19" t="str">
        <f aca="false">IF(OR(A536="",F536=""),"",IF(SUMPRODUCT((Sancoes!$A$2:$A$301=A536)*(Sancoes!$B$2:$B$301&lt;&gt;"Não consta")*(Sancoes!$D$2:$D$301&lt;&gt;"")*(Sancoes!$D$2:$D$301&lt;=F536)*(((Sancoes!$E$2:$E$301="")+(Sancoes!$E$2:$E$301&gt;=F536))&gt;0))&gt;0,"SANÇÃO VIGENTE NA DATA — leia o tipo e a abrangência",""))</f>
        <v/>
      </c>
      <c r="L536" s="19" t="str">
        <f aca="false">IF(A536="","",IFERROR(INDEX(Empresas!$B:$B,MATCH(A536,Empresas!$A:$A,0))&amp;"","cadastre o CNPJ em Empresas"))</f>
        <v/>
      </c>
      <c r="M536" s="27"/>
      <c r="N536" s="35"/>
      <c r="O536" s="37" t="str">
        <f aca="false">IF(OR(D536="",D536=0,N536=""),"",N536/D536)</f>
        <v/>
      </c>
      <c r="P536" s="19" t="str">
        <f aca="false">IF(O536="","",IF(O536&gt;0.25,"ACRÉSCIMO ACIMA DE 25% — conferir",""))</f>
        <v/>
      </c>
      <c r="Q536" s="27"/>
      <c r="R536" s="5"/>
    </row>
    <row r="537" customFormat="false" ht="15" hidden="false" customHeight="false" outlineLevel="0" collapsed="false">
      <c r="A537" s="27"/>
      <c r="B537" s="5"/>
      <c r="C537" s="5"/>
      <c r="D537" s="35"/>
      <c r="E537" s="14"/>
      <c r="F537" s="18"/>
      <c r="G537" s="31" t="str">
        <f aca="false">IF(A537="","",IFERROR(IF(INDEX(Empresas!$C:$C,MATCH(A537,Empresas!$A:$A,0))="","",INDEX(Empresas!$C:$C,MATCH(A537,Empresas!$A:$A,0))),""))</f>
        <v/>
      </c>
      <c r="H537" s="18"/>
      <c r="I537" s="19" t="str">
        <f aca="false">IF(OR(F537="",G537=""),"",IF(F537-G537&lt;0,"CONTRATO ANTERIOR À ABERTURA — conferir datas",IF(F537-G537&lt;180,"ABERTA MENOS DE 6 MESES ANTES","")))</f>
        <v/>
      </c>
      <c r="J537" s="19" t="str">
        <f aca="false">IF(A537="","",IFERROR(INDEX(Sancoes!$B:$B,MATCH(A537,Sancoes!$A:$A,0))&amp;"","não consta"))</f>
        <v/>
      </c>
      <c r="K537" s="19" t="str">
        <f aca="false">IF(OR(A537="",F537=""),"",IF(SUMPRODUCT((Sancoes!$A$2:$A$301=A537)*(Sancoes!$B$2:$B$301&lt;&gt;"Não consta")*(Sancoes!$D$2:$D$301&lt;&gt;"")*(Sancoes!$D$2:$D$301&lt;=F537)*(((Sancoes!$E$2:$E$301="")+(Sancoes!$E$2:$E$301&gt;=F537))&gt;0))&gt;0,"SANÇÃO VIGENTE NA DATA — leia o tipo e a abrangência",""))</f>
        <v/>
      </c>
      <c r="L537" s="19" t="str">
        <f aca="false">IF(A537="","",IFERROR(INDEX(Empresas!$B:$B,MATCH(A537,Empresas!$A:$A,0))&amp;"","cadastre o CNPJ em Empresas"))</f>
        <v/>
      </c>
      <c r="M537" s="27"/>
      <c r="N537" s="35"/>
      <c r="O537" s="37" t="str">
        <f aca="false">IF(OR(D537="",D537=0,N537=""),"",N537/D537)</f>
        <v/>
      </c>
      <c r="P537" s="19" t="str">
        <f aca="false">IF(O537="","",IF(O537&gt;0.25,"ACRÉSCIMO ACIMA DE 25% — conferir",""))</f>
        <v/>
      </c>
      <c r="Q537" s="27"/>
      <c r="R537" s="5"/>
    </row>
    <row r="538" customFormat="false" ht="15" hidden="false" customHeight="false" outlineLevel="0" collapsed="false">
      <c r="A538" s="27"/>
      <c r="B538" s="5"/>
      <c r="C538" s="5"/>
      <c r="D538" s="35"/>
      <c r="E538" s="14"/>
      <c r="F538" s="18"/>
      <c r="G538" s="31" t="str">
        <f aca="false">IF(A538="","",IFERROR(IF(INDEX(Empresas!$C:$C,MATCH(A538,Empresas!$A:$A,0))="","",INDEX(Empresas!$C:$C,MATCH(A538,Empresas!$A:$A,0))),""))</f>
        <v/>
      </c>
      <c r="H538" s="18"/>
      <c r="I538" s="19" t="str">
        <f aca="false">IF(OR(F538="",G538=""),"",IF(F538-G538&lt;0,"CONTRATO ANTERIOR À ABERTURA — conferir datas",IF(F538-G538&lt;180,"ABERTA MENOS DE 6 MESES ANTES","")))</f>
        <v/>
      </c>
      <c r="J538" s="19" t="str">
        <f aca="false">IF(A538="","",IFERROR(INDEX(Sancoes!$B:$B,MATCH(A538,Sancoes!$A:$A,0))&amp;"","não consta"))</f>
        <v/>
      </c>
      <c r="K538" s="19" t="str">
        <f aca="false">IF(OR(A538="",F538=""),"",IF(SUMPRODUCT((Sancoes!$A$2:$A$301=A538)*(Sancoes!$B$2:$B$301&lt;&gt;"Não consta")*(Sancoes!$D$2:$D$301&lt;&gt;"")*(Sancoes!$D$2:$D$301&lt;=F538)*(((Sancoes!$E$2:$E$301="")+(Sancoes!$E$2:$E$301&gt;=F538))&gt;0))&gt;0,"SANÇÃO VIGENTE NA DATA — leia o tipo e a abrangência",""))</f>
        <v/>
      </c>
      <c r="L538" s="19" t="str">
        <f aca="false">IF(A538="","",IFERROR(INDEX(Empresas!$B:$B,MATCH(A538,Empresas!$A:$A,0))&amp;"","cadastre o CNPJ em Empresas"))</f>
        <v/>
      </c>
      <c r="M538" s="27"/>
      <c r="N538" s="35"/>
      <c r="O538" s="37" t="str">
        <f aca="false">IF(OR(D538="",D538=0,N538=""),"",N538/D538)</f>
        <v/>
      </c>
      <c r="P538" s="19" t="str">
        <f aca="false">IF(O538="","",IF(O538&gt;0.25,"ACRÉSCIMO ACIMA DE 25% — conferir",""))</f>
        <v/>
      </c>
      <c r="Q538" s="27"/>
      <c r="R538" s="5"/>
    </row>
    <row r="539" customFormat="false" ht="15" hidden="false" customHeight="false" outlineLevel="0" collapsed="false">
      <c r="A539" s="27"/>
      <c r="B539" s="5"/>
      <c r="C539" s="5"/>
      <c r="D539" s="35"/>
      <c r="E539" s="14"/>
      <c r="F539" s="18"/>
      <c r="G539" s="31" t="str">
        <f aca="false">IF(A539="","",IFERROR(IF(INDEX(Empresas!$C:$C,MATCH(A539,Empresas!$A:$A,0))="","",INDEX(Empresas!$C:$C,MATCH(A539,Empresas!$A:$A,0))),""))</f>
        <v/>
      </c>
      <c r="H539" s="18"/>
      <c r="I539" s="19" t="str">
        <f aca="false">IF(OR(F539="",G539=""),"",IF(F539-G539&lt;0,"CONTRATO ANTERIOR À ABERTURA — conferir datas",IF(F539-G539&lt;180,"ABERTA MENOS DE 6 MESES ANTES","")))</f>
        <v/>
      </c>
      <c r="J539" s="19" t="str">
        <f aca="false">IF(A539="","",IFERROR(INDEX(Sancoes!$B:$B,MATCH(A539,Sancoes!$A:$A,0))&amp;"","não consta"))</f>
        <v/>
      </c>
      <c r="K539" s="19" t="str">
        <f aca="false">IF(OR(A539="",F539=""),"",IF(SUMPRODUCT((Sancoes!$A$2:$A$301=A539)*(Sancoes!$B$2:$B$301&lt;&gt;"Não consta")*(Sancoes!$D$2:$D$301&lt;&gt;"")*(Sancoes!$D$2:$D$301&lt;=F539)*(((Sancoes!$E$2:$E$301="")+(Sancoes!$E$2:$E$301&gt;=F539))&gt;0))&gt;0,"SANÇÃO VIGENTE NA DATA — leia o tipo e a abrangência",""))</f>
        <v/>
      </c>
      <c r="L539" s="19" t="str">
        <f aca="false">IF(A539="","",IFERROR(INDEX(Empresas!$B:$B,MATCH(A539,Empresas!$A:$A,0))&amp;"","cadastre o CNPJ em Empresas"))</f>
        <v/>
      </c>
      <c r="M539" s="27"/>
      <c r="N539" s="35"/>
      <c r="O539" s="37" t="str">
        <f aca="false">IF(OR(D539="",D539=0,N539=""),"",N539/D539)</f>
        <v/>
      </c>
      <c r="P539" s="19" t="str">
        <f aca="false">IF(O539="","",IF(O539&gt;0.25,"ACRÉSCIMO ACIMA DE 25% — conferir",""))</f>
        <v/>
      </c>
      <c r="Q539" s="27"/>
      <c r="R539" s="5"/>
    </row>
    <row r="540" customFormat="false" ht="15" hidden="false" customHeight="false" outlineLevel="0" collapsed="false">
      <c r="A540" s="27"/>
      <c r="B540" s="5"/>
      <c r="C540" s="5"/>
      <c r="D540" s="35"/>
      <c r="E540" s="14"/>
      <c r="F540" s="18"/>
      <c r="G540" s="31" t="str">
        <f aca="false">IF(A540="","",IFERROR(IF(INDEX(Empresas!$C:$C,MATCH(A540,Empresas!$A:$A,0))="","",INDEX(Empresas!$C:$C,MATCH(A540,Empresas!$A:$A,0))),""))</f>
        <v/>
      </c>
      <c r="H540" s="18"/>
      <c r="I540" s="19" t="str">
        <f aca="false">IF(OR(F540="",G540=""),"",IF(F540-G540&lt;0,"CONTRATO ANTERIOR À ABERTURA — conferir datas",IF(F540-G540&lt;180,"ABERTA MENOS DE 6 MESES ANTES","")))</f>
        <v/>
      </c>
      <c r="J540" s="19" t="str">
        <f aca="false">IF(A540="","",IFERROR(INDEX(Sancoes!$B:$B,MATCH(A540,Sancoes!$A:$A,0))&amp;"","não consta"))</f>
        <v/>
      </c>
      <c r="K540" s="19" t="str">
        <f aca="false">IF(OR(A540="",F540=""),"",IF(SUMPRODUCT((Sancoes!$A$2:$A$301=A540)*(Sancoes!$B$2:$B$301&lt;&gt;"Não consta")*(Sancoes!$D$2:$D$301&lt;&gt;"")*(Sancoes!$D$2:$D$301&lt;=F540)*(((Sancoes!$E$2:$E$301="")+(Sancoes!$E$2:$E$301&gt;=F540))&gt;0))&gt;0,"SANÇÃO VIGENTE NA DATA — leia o tipo e a abrangência",""))</f>
        <v/>
      </c>
      <c r="L540" s="19" t="str">
        <f aca="false">IF(A540="","",IFERROR(INDEX(Empresas!$B:$B,MATCH(A540,Empresas!$A:$A,0))&amp;"","cadastre o CNPJ em Empresas"))</f>
        <v/>
      </c>
      <c r="M540" s="27"/>
      <c r="N540" s="35"/>
      <c r="O540" s="37" t="str">
        <f aca="false">IF(OR(D540="",D540=0,N540=""),"",N540/D540)</f>
        <v/>
      </c>
      <c r="P540" s="19" t="str">
        <f aca="false">IF(O540="","",IF(O540&gt;0.25,"ACRÉSCIMO ACIMA DE 25% — conferir",""))</f>
        <v/>
      </c>
      <c r="Q540" s="27"/>
      <c r="R540" s="5"/>
    </row>
    <row r="541" customFormat="false" ht="15" hidden="false" customHeight="false" outlineLevel="0" collapsed="false">
      <c r="A541" s="27"/>
      <c r="B541" s="5"/>
      <c r="C541" s="5"/>
      <c r="D541" s="35"/>
      <c r="E541" s="14"/>
      <c r="F541" s="18"/>
      <c r="G541" s="31" t="str">
        <f aca="false">IF(A541="","",IFERROR(IF(INDEX(Empresas!$C:$C,MATCH(A541,Empresas!$A:$A,0))="","",INDEX(Empresas!$C:$C,MATCH(A541,Empresas!$A:$A,0))),""))</f>
        <v/>
      </c>
      <c r="H541" s="18"/>
      <c r="I541" s="19" t="str">
        <f aca="false">IF(OR(F541="",G541=""),"",IF(F541-G541&lt;0,"CONTRATO ANTERIOR À ABERTURA — conferir datas",IF(F541-G541&lt;180,"ABERTA MENOS DE 6 MESES ANTES","")))</f>
        <v/>
      </c>
      <c r="J541" s="19" t="str">
        <f aca="false">IF(A541="","",IFERROR(INDEX(Sancoes!$B:$B,MATCH(A541,Sancoes!$A:$A,0))&amp;"","não consta"))</f>
        <v/>
      </c>
      <c r="K541" s="19" t="str">
        <f aca="false">IF(OR(A541="",F541=""),"",IF(SUMPRODUCT((Sancoes!$A$2:$A$301=A541)*(Sancoes!$B$2:$B$301&lt;&gt;"Não consta")*(Sancoes!$D$2:$D$301&lt;&gt;"")*(Sancoes!$D$2:$D$301&lt;=F541)*(((Sancoes!$E$2:$E$301="")+(Sancoes!$E$2:$E$301&gt;=F541))&gt;0))&gt;0,"SANÇÃO VIGENTE NA DATA — leia o tipo e a abrangência",""))</f>
        <v/>
      </c>
      <c r="L541" s="19" t="str">
        <f aca="false">IF(A541="","",IFERROR(INDEX(Empresas!$B:$B,MATCH(A541,Empresas!$A:$A,0))&amp;"","cadastre o CNPJ em Empresas"))</f>
        <v/>
      </c>
      <c r="M541" s="27"/>
      <c r="N541" s="35"/>
      <c r="O541" s="37" t="str">
        <f aca="false">IF(OR(D541="",D541=0,N541=""),"",N541/D541)</f>
        <v/>
      </c>
      <c r="P541" s="19" t="str">
        <f aca="false">IF(O541="","",IF(O541&gt;0.25,"ACRÉSCIMO ACIMA DE 25% — conferir",""))</f>
        <v/>
      </c>
      <c r="Q541" s="27"/>
      <c r="R541" s="5"/>
    </row>
    <row r="542" customFormat="false" ht="15" hidden="false" customHeight="false" outlineLevel="0" collapsed="false">
      <c r="A542" s="27"/>
      <c r="B542" s="5"/>
      <c r="C542" s="5"/>
      <c r="D542" s="35"/>
      <c r="E542" s="14"/>
      <c r="F542" s="18"/>
      <c r="G542" s="31" t="str">
        <f aca="false">IF(A542="","",IFERROR(IF(INDEX(Empresas!$C:$C,MATCH(A542,Empresas!$A:$A,0))="","",INDEX(Empresas!$C:$C,MATCH(A542,Empresas!$A:$A,0))),""))</f>
        <v/>
      </c>
      <c r="H542" s="18"/>
      <c r="I542" s="19" t="str">
        <f aca="false">IF(OR(F542="",G542=""),"",IF(F542-G542&lt;0,"CONTRATO ANTERIOR À ABERTURA — conferir datas",IF(F542-G542&lt;180,"ABERTA MENOS DE 6 MESES ANTES","")))</f>
        <v/>
      </c>
      <c r="J542" s="19" t="str">
        <f aca="false">IF(A542="","",IFERROR(INDEX(Sancoes!$B:$B,MATCH(A542,Sancoes!$A:$A,0))&amp;"","não consta"))</f>
        <v/>
      </c>
      <c r="K542" s="19" t="str">
        <f aca="false">IF(OR(A542="",F542=""),"",IF(SUMPRODUCT((Sancoes!$A$2:$A$301=A542)*(Sancoes!$B$2:$B$301&lt;&gt;"Não consta")*(Sancoes!$D$2:$D$301&lt;&gt;"")*(Sancoes!$D$2:$D$301&lt;=F542)*(((Sancoes!$E$2:$E$301="")+(Sancoes!$E$2:$E$301&gt;=F542))&gt;0))&gt;0,"SANÇÃO VIGENTE NA DATA — leia o tipo e a abrangência",""))</f>
        <v/>
      </c>
      <c r="L542" s="19" t="str">
        <f aca="false">IF(A542="","",IFERROR(INDEX(Empresas!$B:$B,MATCH(A542,Empresas!$A:$A,0))&amp;"","cadastre o CNPJ em Empresas"))</f>
        <v/>
      </c>
      <c r="M542" s="27"/>
      <c r="N542" s="35"/>
      <c r="O542" s="37" t="str">
        <f aca="false">IF(OR(D542="",D542=0,N542=""),"",N542/D542)</f>
        <v/>
      </c>
      <c r="P542" s="19" t="str">
        <f aca="false">IF(O542="","",IF(O542&gt;0.25,"ACRÉSCIMO ACIMA DE 25% — conferir",""))</f>
        <v/>
      </c>
      <c r="Q542" s="27"/>
      <c r="R542" s="5"/>
    </row>
    <row r="543" customFormat="false" ht="15" hidden="false" customHeight="false" outlineLevel="0" collapsed="false">
      <c r="A543" s="27"/>
      <c r="B543" s="5"/>
      <c r="C543" s="5"/>
      <c r="D543" s="35"/>
      <c r="E543" s="14"/>
      <c r="F543" s="18"/>
      <c r="G543" s="31" t="str">
        <f aca="false">IF(A543="","",IFERROR(IF(INDEX(Empresas!$C:$C,MATCH(A543,Empresas!$A:$A,0))="","",INDEX(Empresas!$C:$C,MATCH(A543,Empresas!$A:$A,0))),""))</f>
        <v/>
      </c>
      <c r="H543" s="18"/>
      <c r="I543" s="19" t="str">
        <f aca="false">IF(OR(F543="",G543=""),"",IF(F543-G543&lt;0,"CONTRATO ANTERIOR À ABERTURA — conferir datas",IF(F543-G543&lt;180,"ABERTA MENOS DE 6 MESES ANTES","")))</f>
        <v/>
      </c>
      <c r="J543" s="19" t="str">
        <f aca="false">IF(A543="","",IFERROR(INDEX(Sancoes!$B:$B,MATCH(A543,Sancoes!$A:$A,0))&amp;"","não consta"))</f>
        <v/>
      </c>
      <c r="K543" s="19" t="str">
        <f aca="false">IF(OR(A543="",F543=""),"",IF(SUMPRODUCT((Sancoes!$A$2:$A$301=A543)*(Sancoes!$B$2:$B$301&lt;&gt;"Não consta")*(Sancoes!$D$2:$D$301&lt;&gt;"")*(Sancoes!$D$2:$D$301&lt;=F543)*(((Sancoes!$E$2:$E$301="")+(Sancoes!$E$2:$E$301&gt;=F543))&gt;0))&gt;0,"SANÇÃO VIGENTE NA DATA — leia o tipo e a abrangência",""))</f>
        <v/>
      </c>
      <c r="L543" s="19" t="str">
        <f aca="false">IF(A543="","",IFERROR(INDEX(Empresas!$B:$B,MATCH(A543,Empresas!$A:$A,0))&amp;"","cadastre o CNPJ em Empresas"))</f>
        <v/>
      </c>
      <c r="M543" s="27"/>
      <c r="N543" s="35"/>
      <c r="O543" s="37" t="str">
        <f aca="false">IF(OR(D543="",D543=0,N543=""),"",N543/D543)</f>
        <v/>
      </c>
      <c r="P543" s="19" t="str">
        <f aca="false">IF(O543="","",IF(O543&gt;0.25,"ACRÉSCIMO ACIMA DE 25% — conferir",""))</f>
        <v/>
      </c>
      <c r="Q543" s="27"/>
      <c r="R543" s="5"/>
    </row>
    <row r="544" customFormat="false" ht="15" hidden="false" customHeight="false" outlineLevel="0" collapsed="false">
      <c r="A544" s="27"/>
      <c r="B544" s="5"/>
      <c r="C544" s="5"/>
      <c r="D544" s="35"/>
      <c r="E544" s="14"/>
      <c r="F544" s="18"/>
      <c r="G544" s="31" t="str">
        <f aca="false">IF(A544="","",IFERROR(IF(INDEX(Empresas!$C:$C,MATCH(A544,Empresas!$A:$A,0))="","",INDEX(Empresas!$C:$C,MATCH(A544,Empresas!$A:$A,0))),""))</f>
        <v/>
      </c>
      <c r="H544" s="18"/>
      <c r="I544" s="19" t="str">
        <f aca="false">IF(OR(F544="",G544=""),"",IF(F544-G544&lt;0,"CONTRATO ANTERIOR À ABERTURA — conferir datas",IF(F544-G544&lt;180,"ABERTA MENOS DE 6 MESES ANTES","")))</f>
        <v/>
      </c>
      <c r="J544" s="19" t="str">
        <f aca="false">IF(A544="","",IFERROR(INDEX(Sancoes!$B:$B,MATCH(A544,Sancoes!$A:$A,0))&amp;"","não consta"))</f>
        <v/>
      </c>
      <c r="K544" s="19" t="str">
        <f aca="false">IF(OR(A544="",F544=""),"",IF(SUMPRODUCT((Sancoes!$A$2:$A$301=A544)*(Sancoes!$B$2:$B$301&lt;&gt;"Não consta")*(Sancoes!$D$2:$D$301&lt;&gt;"")*(Sancoes!$D$2:$D$301&lt;=F544)*(((Sancoes!$E$2:$E$301="")+(Sancoes!$E$2:$E$301&gt;=F544))&gt;0))&gt;0,"SANÇÃO VIGENTE NA DATA — leia o tipo e a abrangência",""))</f>
        <v/>
      </c>
      <c r="L544" s="19" t="str">
        <f aca="false">IF(A544="","",IFERROR(INDEX(Empresas!$B:$B,MATCH(A544,Empresas!$A:$A,0))&amp;"","cadastre o CNPJ em Empresas"))</f>
        <v/>
      </c>
      <c r="M544" s="27"/>
      <c r="N544" s="35"/>
      <c r="O544" s="37" t="str">
        <f aca="false">IF(OR(D544="",D544=0,N544=""),"",N544/D544)</f>
        <v/>
      </c>
      <c r="P544" s="19" t="str">
        <f aca="false">IF(O544="","",IF(O544&gt;0.25,"ACRÉSCIMO ACIMA DE 25% — conferir",""))</f>
        <v/>
      </c>
      <c r="Q544" s="27"/>
      <c r="R544" s="5"/>
    </row>
    <row r="545" customFormat="false" ht="15" hidden="false" customHeight="false" outlineLevel="0" collapsed="false">
      <c r="A545" s="27"/>
      <c r="B545" s="5"/>
      <c r="C545" s="5"/>
      <c r="D545" s="35"/>
      <c r="E545" s="14"/>
      <c r="F545" s="18"/>
      <c r="G545" s="31" t="str">
        <f aca="false">IF(A545="","",IFERROR(IF(INDEX(Empresas!$C:$C,MATCH(A545,Empresas!$A:$A,0))="","",INDEX(Empresas!$C:$C,MATCH(A545,Empresas!$A:$A,0))),""))</f>
        <v/>
      </c>
      <c r="H545" s="18"/>
      <c r="I545" s="19" t="str">
        <f aca="false">IF(OR(F545="",G545=""),"",IF(F545-G545&lt;0,"CONTRATO ANTERIOR À ABERTURA — conferir datas",IF(F545-G545&lt;180,"ABERTA MENOS DE 6 MESES ANTES","")))</f>
        <v/>
      </c>
      <c r="J545" s="19" t="str">
        <f aca="false">IF(A545="","",IFERROR(INDEX(Sancoes!$B:$B,MATCH(A545,Sancoes!$A:$A,0))&amp;"","não consta"))</f>
        <v/>
      </c>
      <c r="K545" s="19" t="str">
        <f aca="false">IF(OR(A545="",F545=""),"",IF(SUMPRODUCT((Sancoes!$A$2:$A$301=A545)*(Sancoes!$B$2:$B$301&lt;&gt;"Não consta")*(Sancoes!$D$2:$D$301&lt;&gt;"")*(Sancoes!$D$2:$D$301&lt;=F545)*(((Sancoes!$E$2:$E$301="")+(Sancoes!$E$2:$E$301&gt;=F545))&gt;0))&gt;0,"SANÇÃO VIGENTE NA DATA — leia o tipo e a abrangência",""))</f>
        <v/>
      </c>
      <c r="L545" s="19" t="str">
        <f aca="false">IF(A545="","",IFERROR(INDEX(Empresas!$B:$B,MATCH(A545,Empresas!$A:$A,0))&amp;"","cadastre o CNPJ em Empresas"))</f>
        <v/>
      </c>
      <c r="M545" s="27"/>
      <c r="N545" s="35"/>
      <c r="O545" s="37" t="str">
        <f aca="false">IF(OR(D545="",D545=0,N545=""),"",N545/D545)</f>
        <v/>
      </c>
      <c r="P545" s="19" t="str">
        <f aca="false">IF(O545="","",IF(O545&gt;0.25,"ACRÉSCIMO ACIMA DE 25% — conferir",""))</f>
        <v/>
      </c>
      <c r="Q545" s="27"/>
      <c r="R545" s="5"/>
    </row>
    <row r="546" customFormat="false" ht="15" hidden="false" customHeight="false" outlineLevel="0" collapsed="false">
      <c r="A546" s="27"/>
      <c r="B546" s="5"/>
      <c r="C546" s="5"/>
      <c r="D546" s="35"/>
      <c r="E546" s="14"/>
      <c r="F546" s="18"/>
      <c r="G546" s="31" t="str">
        <f aca="false">IF(A546="","",IFERROR(IF(INDEX(Empresas!$C:$C,MATCH(A546,Empresas!$A:$A,0))="","",INDEX(Empresas!$C:$C,MATCH(A546,Empresas!$A:$A,0))),""))</f>
        <v/>
      </c>
      <c r="H546" s="18"/>
      <c r="I546" s="19" t="str">
        <f aca="false">IF(OR(F546="",G546=""),"",IF(F546-G546&lt;0,"CONTRATO ANTERIOR À ABERTURA — conferir datas",IF(F546-G546&lt;180,"ABERTA MENOS DE 6 MESES ANTES","")))</f>
        <v/>
      </c>
      <c r="J546" s="19" t="str">
        <f aca="false">IF(A546="","",IFERROR(INDEX(Sancoes!$B:$B,MATCH(A546,Sancoes!$A:$A,0))&amp;"","não consta"))</f>
        <v/>
      </c>
      <c r="K546" s="19" t="str">
        <f aca="false">IF(OR(A546="",F546=""),"",IF(SUMPRODUCT((Sancoes!$A$2:$A$301=A546)*(Sancoes!$B$2:$B$301&lt;&gt;"Não consta")*(Sancoes!$D$2:$D$301&lt;&gt;"")*(Sancoes!$D$2:$D$301&lt;=F546)*(((Sancoes!$E$2:$E$301="")+(Sancoes!$E$2:$E$301&gt;=F546))&gt;0))&gt;0,"SANÇÃO VIGENTE NA DATA — leia o tipo e a abrangência",""))</f>
        <v/>
      </c>
      <c r="L546" s="19" t="str">
        <f aca="false">IF(A546="","",IFERROR(INDEX(Empresas!$B:$B,MATCH(A546,Empresas!$A:$A,0))&amp;"","cadastre o CNPJ em Empresas"))</f>
        <v/>
      </c>
      <c r="M546" s="27"/>
      <c r="N546" s="35"/>
      <c r="O546" s="37" t="str">
        <f aca="false">IF(OR(D546="",D546=0,N546=""),"",N546/D546)</f>
        <v/>
      </c>
      <c r="P546" s="19" t="str">
        <f aca="false">IF(O546="","",IF(O546&gt;0.25,"ACRÉSCIMO ACIMA DE 25% — conferir",""))</f>
        <v/>
      </c>
      <c r="Q546" s="27"/>
      <c r="R546" s="5"/>
    </row>
    <row r="547" customFormat="false" ht="15" hidden="false" customHeight="false" outlineLevel="0" collapsed="false">
      <c r="A547" s="27"/>
      <c r="B547" s="5"/>
      <c r="C547" s="5"/>
      <c r="D547" s="35"/>
      <c r="E547" s="14"/>
      <c r="F547" s="18"/>
      <c r="G547" s="31" t="str">
        <f aca="false">IF(A547="","",IFERROR(IF(INDEX(Empresas!$C:$C,MATCH(A547,Empresas!$A:$A,0))="","",INDEX(Empresas!$C:$C,MATCH(A547,Empresas!$A:$A,0))),""))</f>
        <v/>
      </c>
      <c r="H547" s="18"/>
      <c r="I547" s="19" t="str">
        <f aca="false">IF(OR(F547="",G547=""),"",IF(F547-G547&lt;0,"CONTRATO ANTERIOR À ABERTURA — conferir datas",IF(F547-G547&lt;180,"ABERTA MENOS DE 6 MESES ANTES","")))</f>
        <v/>
      </c>
      <c r="J547" s="19" t="str">
        <f aca="false">IF(A547="","",IFERROR(INDEX(Sancoes!$B:$B,MATCH(A547,Sancoes!$A:$A,0))&amp;"","não consta"))</f>
        <v/>
      </c>
      <c r="K547" s="19" t="str">
        <f aca="false">IF(OR(A547="",F547=""),"",IF(SUMPRODUCT((Sancoes!$A$2:$A$301=A547)*(Sancoes!$B$2:$B$301&lt;&gt;"Não consta")*(Sancoes!$D$2:$D$301&lt;&gt;"")*(Sancoes!$D$2:$D$301&lt;=F547)*(((Sancoes!$E$2:$E$301="")+(Sancoes!$E$2:$E$301&gt;=F547))&gt;0))&gt;0,"SANÇÃO VIGENTE NA DATA — leia o tipo e a abrangência",""))</f>
        <v/>
      </c>
      <c r="L547" s="19" t="str">
        <f aca="false">IF(A547="","",IFERROR(INDEX(Empresas!$B:$B,MATCH(A547,Empresas!$A:$A,0))&amp;"","cadastre o CNPJ em Empresas"))</f>
        <v/>
      </c>
      <c r="M547" s="27"/>
      <c r="N547" s="35"/>
      <c r="O547" s="37" t="str">
        <f aca="false">IF(OR(D547="",D547=0,N547=""),"",N547/D547)</f>
        <v/>
      </c>
      <c r="P547" s="19" t="str">
        <f aca="false">IF(O547="","",IF(O547&gt;0.25,"ACRÉSCIMO ACIMA DE 25% — conferir",""))</f>
        <v/>
      </c>
      <c r="Q547" s="27"/>
      <c r="R547" s="5"/>
    </row>
    <row r="548" customFormat="false" ht="15" hidden="false" customHeight="false" outlineLevel="0" collapsed="false">
      <c r="A548" s="27"/>
      <c r="B548" s="5"/>
      <c r="C548" s="5"/>
      <c r="D548" s="35"/>
      <c r="E548" s="14"/>
      <c r="F548" s="18"/>
      <c r="G548" s="31" t="str">
        <f aca="false">IF(A548="","",IFERROR(IF(INDEX(Empresas!$C:$C,MATCH(A548,Empresas!$A:$A,0))="","",INDEX(Empresas!$C:$C,MATCH(A548,Empresas!$A:$A,0))),""))</f>
        <v/>
      </c>
      <c r="H548" s="18"/>
      <c r="I548" s="19" t="str">
        <f aca="false">IF(OR(F548="",G548=""),"",IF(F548-G548&lt;0,"CONTRATO ANTERIOR À ABERTURA — conferir datas",IF(F548-G548&lt;180,"ABERTA MENOS DE 6 MESES ANTES","")))</f>
        <v/>
      </c>
      <c r="J548" s="19" t="str">
        <f aca="false">IF(A548="","",IFERROR(INDEX(Sancoes!$B:$B,MATCH(A548,Sancoes!$A:$A,0))&amp;"","não consta"))</f>
        <v/>
      </c>
      <c r="K548" s="19" t="str">
        <f aca="false">IF(OR(A548="",F548=""),"",IF(SUMPRODUCT((Sancoes!$A$2:$A$301=A548)*(Sancoes!$B$2:$B$301&lt;&gt;"Não consta")*(Sancoes!$D$2:$D$301&lt;&gt;"")*(Sancoes!$D$2:$D$301&lt;=F548)*(((Sancoes!$E$2:$E$301="")+(Sancoes!$E$2:$E$301&gt;=F548))&gt;0))&gt;0,"SANÇÃO VIGENTE NA DATA — leia o tipo e a abrangência",""))</f>
        <v/>
      </c>
      <c r="L548" s="19" t="str">
        <f aca="false">IF(A548="","",IFERROR(INDEX(Empresas!$B:$B,MATCH(A548,Empresas!$A:$A,0))&amp;"","cadastre o CNPJ em Empresas"))</f>
        <v/>
      </c>
      <c r="M548" s="27"/>
      <c r="N548" s="35"/>
      <c r="O548" s="37" t="str">
        <f aca="false">IF(OR(D548="",D548=0,N548=""),"",N548/D548)</f>
        <v/>
      </c>
      <c r="P548" s="19" t="str">
        <f aca="false">IF(O548="","",IF(O548&gt;0.25,"ACRÉSCIMO ACIMA DE 25% — conferir",""))</f>
        <v/>
      </c>
      <c r="Q548" s="27"/>
      <c r="R548" s="5"/>
    </row>
    <row r="549" customFormat="false" ht="15" hidden="false" customHeight="false" outlineLevel="0" collapsed="false">
      <c r="A549" s="27"/>
      <c r="B549" s="5"/>
      <c r="C549" s="5"/>
      <c r="D549" s="35"/>
      <c r="E549" s="14"/>
      <c r="F549" s="18"/>
      <c r="G549" s="31" t="str">
        <f aca="false">IF(A549="","",IFERROR(IF(INDEX(Empresas!$C:$C,MATCH(A549,Empresas!$A:$A,0))="","",INDEX(Empresas!$C:$C,MATCH(A549,Empresas!$A:$A,0))),""))</f>
        <v/>
      </c>
      <c r="H549" s="18"/>
      <c r="I549" s="19" t="str">
        <f aca="false">IF(OR(F549="",G549=""),"",IF(F549-G549&lt;0,"CONTRATO ANTERIOR À ABERTURA — conferir datas",IF(F549-G549&lt;180,"ABERTA MENOS DE 6 MESES ANTES","")))</f>
        <v/>
      </c>
      <c r="J549" s="19" t="str">
        <f aca="false">IF(A549="","",IFERROR(INDEX(Sancoes!$B:$B,MATCH(A549,Sancoes!$A:$A,0))&amp;"","não consta"))</f>
        <v/>
      </c>
      <c r="K549" s="19" t="str">
        <f aca="false">IF(OR(A549="",F549=""),"",IF(SUMPRODUCT((Sancoes!$A$2:$A$301=A549)*(Sancoes!$B$2:$B$301&lt;&gt;"Não consta")*(Sancoes!$D$2:$D$301&lt;&gt;"")*(Sancoes!$D$2:$D$301&lt;=F549)*(((Sancoes!$E$2:$E$301="")+(Sancoes!$E$2:$E$301&gt;=F549))&gt;0))&gt;0,"SANÇÃO VIGENTE NA DATA — leia o tipo e a abrangência",""))</f>
        <v/>
      </c>
      <c r="L549" s="19" t="str">
        <f aca="false">IF(A549="","",IFERROR(INDEX(Empresas!$B:$B,MATCH(A549,Empresas!$A:$A,0))&amp;"","cadastre o CNPJ em Empresas"))</f>
        <v/>
      </c>
      <c r="M549" s="27"/>
      <c r="N549" s="35"/>
      <c r="O549" s="37" t="str">
        <f aca="false">IF(OR(D549="",D549=0,N549=""),"",N549/D549)</f>
        <v/>
      </c>
      <c r="P549" s="19" t="str">
        <f aca="false">IF(O549="","",IF(O549&gt;0.25,"ACRÉSCIMO ACIMA DE 25% — conferir",""))</f>
        <v/>
      </c>
      <c r="Q549" s="27"/>
      <c r="R549" s="5"/>
    </row>
    <row r="550" customFormat="false" ht="15" hidden="false" customHeight="false" outlineLevel="0" collapsed="false">
      <c r="A550" s="27"/>
      <c r="B550" s="5"/>
      <c r="C550" s="5"/>
      <c r="D550" s="35"/>
      <c r="E550" s="14"/>
      <c r="F550" s="18"/>
      <c r="G550" s="31" t="str">
        <f aca="false">IF(A550="","",IFERROR(IF(INDEX(Empresas!$C:$C,MATCH(A550,Empresas!$A:$A,0))="","",INDEX(Empresas!$C:$C,MATCH(A550,Empresas!$A:$A,0))),""))</f>
        <v/>
      </c>
      <c r="H550" s="18"/>
      <c r="I550" s="19" t="str">
        <f aca="false">IF(OR(F550="",G550=""),"",IF(F550-G550&lt;0,"CONTRATO ANTERIOR À ABERTURA — conferir datas",IF(F550-G550&lt;180,"ABERTA MENOS DE 6 MESES ANTES","")))</f>
        <v/>
      </c>
      <c r="J550" s="19" t="str">
        <f aca="false">IF(A550="","",IFERROR(INDEX(Sancoes!$B:$B,MATCH(A550,Sancoes!$A:$A,0))&amp;"","não consta"))</f>
        <v/>
      </c>
      <c r="K550" s="19" t="str">
        <f aca="false">IF(OR(A550="",F550=""),"",IF(SUMPRODUCT((Sancoes!$A$2:$A$301=A550)*(Sancoes!$B$2:$B$301&lt;&gt;"Não consta")*(Sancoes!$D$2:$D$301&lt;&gt;"")*(Sancoes!$D$2:$D$301&lt;=F550)*(((Sancoes!$E$2:$E$301="")+(Sancoes!$E$2:$E$301&gt;=F550))&gt;0))&gt;0,"SANÇÃO VIGENTE NA DATA — leia o tipo e a abrangência",""))</f>
        <v/>
      </c>
      <c r="L550" s="19" t="str">
        <f aca="false">IF(A550="","",IFERROR(INDEX(Empresas!$B:$B,MATCH(A550,Empresas!$A:$A,0))&amp;"","cadastre o CNPJ em Empresas"))</f>
        <v/>
      </c>
      <c r="M550" s="27"/>
      <c r="N550" s="35"/>
      <c r="O550" s="37" t="str">
        <f aca="false">IF(OR(D550="",D550=0,N550=""),"",N550/D550)</f>
        <v/>
      </c>
      <c r="P550" s="19" t="str">
        <f aca="false">IF(O550="","",IF(O550&gt;0.25,"ACRÉSCIMO ACIMA DE 25% — conferir",""))</f>
        <v/>
      </c>
      <c r="Q550" s="27"/>
      <c r="R550" s="5"/>
    </row>
    <row r="551" customFormat="false" ht="15" hidden="false" customHeight="false" outlineLevel="0" collapsed="false">
      <c r="A551" s="27"/>
      <c r="B551" s="5"/>
      <c r="C551" s="5"/>
      <c r="D551" s="35"/>
      <c r="E551" s="14"/>
      <c r="F551" s="18"/>
      <c r="G551" s="31" t="str">
        <f aca="false">IF(A551="","",IFERROR(IF(INDEX(Empresas!$C:$C,MATCH(A551,Empresas!$A:$A,0))="","",INDEX(Empresas!$C:$C,MATCH(A551,Empresas!$A:$A,0))),""))</f>
        <v/>
      </c>
      <c r="H551" s="18"/>
      <c r="I551" s="19" t="str">
        <f aca="false">IF(OR(F551="",G551=""),"",IF(F551-G551&lt;0,"CONTRATO ANTERIOR À ABERTURA — conferir datas",IF(F551-G551&lt;180,"ABERTA MENOS DE 6 MESES ANTES","")))</f>
        <v/>
      </c>
      <c r="J551" s="19" t="str">
        <f aca="false">IF(A551="","",IFERROR(INDEX(Sancoes!$B:$B,MATCH(A551,Sancoes!$A:$A,0))&amp;"","não consta"))</f>
        <v/>
      </c>
      <c r="K551" s="19" t="str">
        <f aca="false">IF(OR(A551="",F551=""),"",IF(SUMPRODUCT((Sancoes!$A$2:$A$301=A551)*(Sancoes!$B$2:$B$301&lt;&gt;"Não consta")*(Sancoes!$D$2:$D$301&lt;&gt;"")*(Sancoes!$D$2:$D$301&lt;=F551)*(((Sancoes!$E$2:$E$301="")+(Sancoes!$E$2:$E$301&gt;=F551))&gt;0))&gt;0,"SANÇÃO VIGENTE NA DATA — leia o tipo e a abrangência",""))</f>
        <v/>
      </c>
      <c r="L551" s="19" t="str">
        <f aca="false">IF(A551="","",IFERROR(INDEX(Empresas!$B:$B,MATCH(A551,Empresas!$A:$A,0))&amp;"","cadastre o CNPJ em Empresas"))</f>
        <v/>
      </c>
      <c r="M551" s="27"/>
      <c r="N551" s="35"/>
      <c r="O551" s="37" t="str">
        <f aca="false">IF(OR(D551="",D551=0,N551=""),"",N551/D551)</f>
        <v/>
      </c>
      <c r="P551" s="19" t="str">
        <f aca="false">IF(O551="","",IF(O551&gt;0.25,"ACRÉSCIMO ACIMA DE 25% — conferir",""))</f>
        <v/>
      </c>
      <c r="Q551" s="27"/>
      <c r="R551" s="5"/>
    </row>
    <row r="552" customFormat="false" ht="15" hidden="false" customHeight="false" outlineLevel="0" collapsed="false">
      <c r="A552" s="27"/>
      <c r="B552" s="5"/>
      <c r="C552" s="5"/>
      <c r="D552" s="35"/>
      <c r="E552" s="14"/>
      <c r="F552" s="18"/>
      <c r="G552" s="31" t="str">
        <f aca="false">IF(A552="","",IFERROR(IF(INDEX(Empresas!$C:$C,MATCH(A552,Empresas!$A:$A,0))="","",INDEX(Empresas!$C:$C,MATCH(A552,Empresas!$A:$A,0))),""))</f>
        <v/>
      </c>
      <c r="H552" s="18"/>
      <c r="I552" s="19" t="str">
        <f aca="false">IF(OR(F552="",G552=""),"",IF(F552-G552&lt;0,"CONTRATO ANTERIOR À ABERTURA — conferir datas",IF(F552-G552&lt;180,"ABERTA MENOS DE 6 MESES ANTES","")))</f>
        <v/>
      </c>
      <c r="J552" s="19" t="str">
        <f aca="false">IF(A552="","",IFERROR(INDEX(Sancoes!$B:$B,MATCH(A552,Sancoes!$A:$A,0))&amp;"","não consta"))</f>
        <v/>
      </c>
      <c r="K552" s="19" t="str">
        <f aca="false">IF(OR(A552="",F552=""),"",IF(SUMPRODUCT((Sancoes!$A$2:$A$301=A552)*(Sancoes!$B$2:$B$301&lt;&gt;"Não consta")*(Sancoes!$D$2:$D$301&lt;&gt;"")*(Sancoes!$D$2:$D$301&lt;=F552)*(((Sancoes!$E$2:$E$301="")+(Sancoes!$E$2:$E$301&gt;=F552))&gt;0))&gt;0,"SANÇÃO VIGENTE NA DATA — leia o tipo e a abrangência",""))</f>
        <v/>
      </c>
      <c r="L552" s="19" t="str">
        <f aca="false">IF(A552="","",IFERROR(INDEX(Empresas!$B:$B,MATCH(A552,Empresas!$A:$A,0))&amp;"","cadastre o CNPJ em Empresas"))</f>
        <v/>
      </c>
      <c r="M552" s="27"/>
      <c r="N552" s="35"/>
      <c r="O552" s="37" t="str">
        <f aca="false">IF(OR(D552="",D552=0,N552=""),"",N552/D552)</f>
        <v/>
      </c>
      <c r="P552" s="19" t="str">
        <f aca="false">IF(O552="","",IF(O552&gt;0.25,"ACRÉSCIMO ACIMA DE 25% — conferir",""))</f>
        <v/>
      </c>
      <c r="Q552" s="27"/>
      <c r="R552" s="5"/>
    </row>
    <row r="553" customFormat="false" ht="15" hidden="false" customHeight="false" outlineLevel="0" collapsed="false">
      <c r="A553" s="27"/>
      <c r="B553" s="5"/>
      <c r="C553" s="5"/>
      <c r="D553" s="35"/>
      <c r="E553" s="14"/>
      <c r="F553" s="18"/>
      <c r="G553" s="31" t="str">
        <f aca="false">IF(A553="","",IFERROR(IF(INDEX(Empresas!$C:$C,MATCH(A553,Empresas!$A:$A,0))="","",INDEX(Empresas!$C:$C,MATCH(A553,Empresas!$A:$A,0))),""))</f>
        <v/>
      </c>
      <c r="H553" s="18"/>
      <c r="I553" s="19" t="str">
        <f aca="false">IF(OR(F553="",G553=""),"",IF(F553-G553&lt;0,"CONTRATO ANTERIOR À ABERTURA — conferir datas",IF(F553-G553&lt;180,"ABERTA MENOS DE 6 MESES ANTES","")))</f>
        <v/>
      </c>
      <c r="J553" s="19" t="str">
        <f aca="false">IF(A553="","",IFERROR(INDEX(Sancoes!$B:$B,MATCH(A553,Sancoes!$A:$A,0))&amp;"","não consta"))</f>
        <v/>
      </c>
      <c r="K553" s="19" t="str">
        <f aca="false">IF(OR(A553="",F553=""),"",IF(SUMPRODUCT((Sancoes!$A$2:$A$301=A553)*(Sancoes!$B$2:$B$301&lt;&gt;"Não consta")*(Sancoes!$D$2:$D$301&lt;&gt;"")*(Sancoes!$D$2:$D$301&lt;=F553)*(((Sancoes!$E$2:$E$301="")+(Sancoes!$E$2:$E$301&gt;=F553))&gt;0))&gt;0,"SANÇÃO VIGENTE NA DATA — leia o tipo e a abrangência",""))</f>
        <v/>
      </c>
      <c r="L553" s="19" t="str">
        <f aca="false">IF(A553="","",IFERROR(INDEX(Empresas!$B:$B,MATCH(A553,Empresas!$A:$A,0))&amp;"","cadastre o CNPJ em Empresas"))</f>
        <v/>
      </c>
      <c r="M553" s="27"/>
      <c r="N553" s="35"/>
      <c r="O553" s="37" t="str">
        <f aca="false">IF(OR(D553="",D553=0,N553=""),"",N553/D553)</f>
        <v/>
      </c>
      <c r="P553" s="19" t="str">
        <f aca="false">IF(O553="","",IF(O553&gt;0.25,"ACRÉSCIMO ACIMA DE 25% — conferir",""))</f>
        <v/>
      </c>
      <c r="Q553" s="27"/>
      <c r="R553" s="5"/>
    </row>
    <row r="554" customFormat="false" ht="15" hidden="false" customHeight="false" outlineLevel="0" collapsed="false">
      <c r="A554" s="27"/>
      <c r="B554" s="5"/>
      <c r="C554" s="5"/>
      <c r="D554" s="35"/>
      <c r="E554" s="14"/>
      <c r="F554" s="18"/>
      <c r="G554" s="31" t="str">
        <f aca="false">IF(A554="","",IFERROR(IF(INDEX(Empresas!$C:$C,MATCH(A554,Empresas!$A:$A,0))="","",INDEX(Empresas!$C:$C,MATCH(A554,Empresas!$A:$A,0))),""))</f>
        <v/>
      </c>
      <c r="H554" s="18"/>
      <c r="I554" s="19" t="str">
        <f aca="false">IF(OR(F554="",G554=""),"",IF(F554-G554&lt;0,"CONTRATO ANTERIOR À ABERTURA — conferir datas",IF(F554-G554&lt;180,"ABERTA MENOS DE 6 MESES ANTES","")))</f>
        <v/>
      </c>
      <c r="J554" s="19" t="str">
        <f aca="false">IF(A554="","",IFERROR(INDEX(Sancoes!$B:$B,MATCH(A554,Sancoes!$A:$A,0))&amp;"","não consta"))</f>
        <v/>
      </c>
      <c r="K554" s="19" t="str">
        <f aca="false">IF(OR(A554="",F554=""),"",IF(SUMPRODUCT((Sancoes!$A$2:$A$301=A554)*(Sancoes!$B$2:$B$301&lt;&gt;"Não consta")*(Sancoes!$D$2:$D$301&lt;&gt;"")*(Sancoes!$D$2:$D$301&lt;=F554)*(((Sancoes!$E$2:$E$301="")+(Sancoes!$E$2:$E$301&gt;=F554))&gt;0))&gt;0,"SANÇÃO VIGENTE NA DATA — leia o tipo e a abrangência",""))</f>
        <v/>
      </c>
      <c r="L554" s="19" t="str">
        <f aca="false">IF(A554="","",IFERROR(INDEX(Empresas!$B:$B,MATCH(A554,Empresas!$A:$A,0))&amp;"","cadastre o CNPJ em Empresas"))</f>
        <v/>
      </c>
      <c r="M554" s="27"/>
      <c r="N554" s="35"/>
      <c r="O554" s="37" t="str">
        <f aca="false">IF(OR(D554="",D554=0,N554=""),"",N554/D554)</f>
        <v/>
      </c>
      <c r="P554" s="19" t="str">
        <f aca="false">IF(O554="","",IF(O554&gt;0.25,"ACRÉSCIMO ACIMA DE 25% — conferir",""))</f>
        <v/>
      </c>
      <c r="Q554" s="27"/>
      <c r="R554" s="5"/>
    </row>
    <row r="555" customFormat="false" ht="15" hidden="false" customHeight="false" outlineLevel="0" collapsed="false">
      <c r="A555" s="27"/>
      <c r="B555" s="5"/>
      <c r="C555" s="5"/>
      <c r="D555" s="35"/>
      <c r="E555" s="14"/>
      <c r="F555" s="18"/>
      <c r="G555" s="31" t="str">
        <f aca="false">IF(A555="","",IFERROR(IF(INDEX(Empresas!$C:$C,MATCH(A555,Empresas!$A:$A,0))="","",INDEX(Empresas!$C:$C,MATCH(A555,Empresas!$A:$A,0))),""))</f>
        <v/>
      </c>
      <c r="H555" s="18"/>
      <c r="I555" s="19" t="str">
        <f aca="false">IF(OR(F555="",G555=""),"",IF(F555-G555&lt;0,"CONTRATO ANTERIOR À ABERTURA — conferir datas",IF(F555-G555&lt;180,"ABERTA MENOS DE 6 MESES ANTES","")))</f>
        <v/>
      </c>
      <c r="J555" s="19" t="str">
        <f aca="false">IF(A555="","",IFERROR(INDEX(Sancoes!$B:$B,MATCH(A555,Sancoes!$A:$A,0))&amp;"","não consta"))</f>
        <v/>
      </c>
      <c r="K555" s="19" t="str">
        <f aca="false">IF(OR(A555="",F555=""),"",IF(SUMPRODUCT((Sancoes!$A$2:$A$301=A555)*(Sancoes!$B$2:$B$301&lt;&gt;"Não consta")*(Sancoes!$D$2:$D$301&lt;&gt;"")*(Sancoes!$D$2:$D$301&lt;=F555)*(((Sancoes!$E$2:$E$301="")+(Sancoes!$E$2:$E$301&gt;=F555))&gt;0))&gt;0,"SANÇÃO VIGENTE NA DATA — leia o tipo e a abrangência",""))</f>
        <v/>
      </c>
      <c r="L555" s="19" t="str">
        <f aca="false">IF(A555="","",IFERROR(INDEX(Empresas!$B:$B,MATCH(A555,Empresas!$A:$A,0))&amp;"","cadastre o CNPJ em Empresas"))</f>
        <v/>
      </c>
      <c r="M555" s="27"/>
      <c r="N555" s="35"/>
      <c r="O555" s="37" t="str">
        <f aca="false">IF(OR(D555="",D555=0,N555=""),"",N555/D555)</f>
        <v/>
      </c>
      <c r="P555" s="19" t="str">
        <f aca="false">IF(O555="","",IF(O555&gt;0.25,"ACRÉSCIMO ACIMA DE 25% — conferir",""))</f>
        <v/>
      </c>
      <c r="Q555" s="27"/>
      <c r="R555" s="5"/>
    </row>
    <row r="556" customFormat="false" ht="15" hidden="false" customHeight="false" outlineLevel="0" collapsed="false">
      <c r="A556" s="27"/>
      <c r="B556" s="5"/>
      <c r="C556" s="5"/>
      <c r="D556" s="35"/>
      <c r="E556" s="14"/>
      <c r="F556" s="18"/>
      <c r="G556" s="31" t="str">
        <f aca="false">IF(A556="","",IFERROR(IF(INDEX(Empresas!$C:$C,MATCH(A556,Empresas!$A:$A,0))="","",INDEX(Empresas!$C:$C,MATCH(A556,Empresas!$A:$A,0))),""))</f>
        <v/>
      </c>
      <c r="H556" s="18"/>
      <c r="I556" s="19" t="str">
        <f aca="false">IF(OR(F556="",G556=""),"",IF(F556-G556&lt;0,"CONTRATO ANTERIOR À ABERTURA — conferir datas",IF(F556-G556&lt;180,"ABERTA MENOS DE 6 MESES ANTES","")))</f>
        <v/>
      </c>
      <c r="J556" s="19" t="str">
        <f aca="false">IF(A556="","",IFERROR(INDEX(Sancoes!$B:$B,MATCH(A556,Sancoes!$A:$A,0))&amp;"","não consta"))</f>
        <v/>
      </c>
      <c r="K556" s="19" t="str">
        <f aca="false">IF(OR(A556="",F556=""),"",IF(SUMPRODUCT((Sancoes!$A$2:$A$301=A556)*(Sancoes!$B$2:$B$301&lt;&gt;"Não consta")*(Sancoes!$D$2:$D$301&lt;&gt;"")*(Sancoes!$D$2:$D$301&lt;=F556)*(((Sancoes!$E$2:$E$301="")+(Sancoes!$E$2:$E$301&gt;=F556))&gt;0))&gt;0,"SANÇÃO VIGENTE NA DATA — leia o tipo e a abrangência",""))</f>
        <v/>
      </c>
      <c r="L556" s="19" t="str">
        <f aca="false">IF(A556="","",IFERROR(INDEX(Empresas!$B:$B,MATCH(A556,Empresas!$A:$A,0))&amp;"","cadastre o CNPJ em Empresas"))</f>
        <v/>
      </c>
      <c r="M556" s="27"/>
      <c r="N556" s="35"/>
      <c r="O556" s="37" t="str">
        <f aca="false">IF(OR(D556="",D556=0,N556=""),"",N556/D556)</f>
        <v/>
      </c>
      <c r="P556" s="19" t="str">
        <f aca="false">IF(O556="","",IF(O556&gt;0.25,"ACRÉSCIMO ACIMA DE 25% — conferir",""))</f>
        <v/>
      </c>
      <c r="Q556" s="27"/>
      <c r="R556" s="5"/>
    </row>
    <row r="557" customFormat="false" ht="15" hidden="false" customHeight="false" outlineLevel="0" collapsed="false">
      <c r="A557" s="27"/>
      <c r="B557" s="5"/>
      <c r="C557" s="5"/>
      <c r="D557" s="35"/>
      <c r="E557" s="14"/>
      <c r="F557" s="18"/>
      <c r="G557" s="31" t="str">
        <f aca="false">IF(A557="","",IFERROR(IF(INDEX(Empresas!$C:$C,MATCH(A557,Empresas!$A:$A,0))="","",INDEX(Empresas!$C:$C,MATCH(A557,Empresas!$A:$A,0))),""))</f>
        <v/>
      </c>
      <c r="H557" s="18"/>
      <c r="I557" s="19" t="str">
        <f aca="false">IF(OR(F557="",G557=""),"",IF(F557-G557&lt;0,"CONTRATO ANTERIOR À ABERTURA — conferir datas",IF(F557-G557&lt;180,"ABERTA MENOS DE 6 MESES ANTES","")))</f>
        <v/>
      </c>
      <c r="J557" s="19" t="str">
        <f aca="false">IF(A557="","",IFERROR(INDEX(Sancoes!$B:$B,MATCH(A557,Sancoes!$A:$A,0))&amp;"","não consta"))</f>
        <v/>
      </c>
      <c r="K557" s="19" t="str">
        <f aca="false">IF(OR(A557="",F557=""),"",IF(SUMPRODUCT((Sancoes!$A$2:$A$301=A557)*(Sancoes!$B$2:$B$301&lt;&gt;"Não consta")*(Sancoes!$D$2:$D$301&lt;&gt;"")*(Sancoes!$D$2:$D$301&lt;=F557)*(((Sancoes!$E$2:$E$301="")+(Sancoes!$E$2:$E$301&gt;=F557))&gt;0))&gt;0,"SANÇÃO VIGENTE NA DATA — leia o tipo e a abrangência",""))</f>
        <v/>
      </c>
      <c r="L557" s="19" t="str">
        <f aca="false">IF(A557="","",IFERROR(INDEX(Empresas!$B:$B,MATCH(A557,Empresas!$A:$A,0))&amp;"","cadastre o CNPJ em Empresas"))</f>
        <v/>
      </c>
      <c r="M557" s="27"/>
      <c r="N557" s="35"/>
      <c r="O557" s="37" t="str">
        <f aca="false">IF(OR(D557="",D557=0,N557=""),"",N557/D557)</f>
        <v/>
      </c>
      <c r="P557" s="19" t="str">
        <f aca="false">IF(O557="","",IF(O557&gt;0.25,"ACRÉSCIMO ACIMA DE 25% — conferir",""))</f>
        <v/>
      </c>
      <c r="Q557" s="27"/>
      <c r="R557" s="5"/>
    </row>
    <row r="558" customFormat="false" ht="15" hidden="false" customHeight="false" outlineLevel="0" collapsed="false">
      <c r="A558" s="27"/>
      <c r="B558" s="5"/>
      <c r="C558" s="5"/>
      <c r="D558" s="35"/>
      <c r="E558" s="14"/>
      <c r="F558" s="18"/>
      <c r="G558" s="31" t="str">
        <f aca="false">IF(A558="","",IFERROR(IF(INDEX(Empresas!$C:$C,MATCH(A558,Empresas!$A:$A,0))="","",INDEX(Empresas!$C:$C,MATCH(A558,Empresas!$A:$A,0))),""))</f>
        <v/>
      </c>
      <c r="H558" s="18"/>
      <c r="I558" s="19" t="str">
        <f aca="false">IF(OR(F558="",G558=""),"",IF(F558-G558&lt;0,"CONTRATO ANTERIOR À ABERTURA — conferir datas",IF(F558-G558&lt;180,"ABERTA MENOS DE 6 MESES ANTES","")))</f>
        <v/>
      </c>
      <c r="J558" s="19" t="str">
        <f aca="false">IF(A558="","",IFERROR(INDEX(Sancoes!$B:$B,MATCH(A558,Sancoes!$A:$A,0))&amp;"","não consta"))</f>
        <v/>
      </c>
      <c r="K558" s="19" t="str">
        <f aca="false">IF(OR(A558="",F558=""),"",IF(SUMPRODUCT((Sancoes!$A$2:$A$301=A558)*(Sancoes!$B$2:$B$301&lt;&gt;"Não consta")*(Sancoes!$D$2:$D$301&lt;&gt;"")*(Sancoes!$D$2:$D$301&lt;=F558)*(((Sancoes!$E$2:$E$301="")+(Sancoes!$E$2:$E$301&gt;=F558))&gt;0))&gt;0,"SANÇÃO VIGENTE NA DATA — leia o tipo e a abrangência",""))</f>
        <v/>
      </c>
      <c r="L558" s="19" t="str">
        <f aca="false">IF(A558="","",IFERROR(INDEX(Empresas!$B:$B,MATCH(A558,Empresas!$A:$A,0))&amp;"","cadastre o CNPJ em Empresas"))</f>
        <v/>
      </c>
      <c r="M558" s="27"/>
      <c r="N558" s="35"/>
      <c r="O558" s="37" t="str">
        <f aca="false">IF(OR(D558="",D558=0,N558=""),"",N558/D558)</f>
        <v/>
      </c>
      <c r="P558" s="19" t="str">
        <f aca="false">IF(O558="","",IF(O558&gt;0.25,"ACRÉSCIMO ACIMA DE 25% — conferir",""))</f>
        <v/>
      </c>
      <c r="Q558" s="27"/>
      <c r="R558" s="5"/>
    </row>
    <row r="559" customFormat="false" ht="15" hidden="false" customHeight="false" outlineLevel="0" collapsed="false">
      <c r="A559" s="27"/>
      <c r="B559" s="5"/>
      <c r="C559" s="5"/>
      <c r="D559" s="35"/>
      <c r="E559" s="14"/>
      <c r="F559" s="18"/>
      <c r="G559" s="31" t="str">
        <f aca="false">IF(A559="","",IFERROR(IF(INDEX(Empresas!$C:$C,MATCH(A559,Empresas!$A:$A,0))="","",INDEX(Empresas!$C:$C,MATCH(A559,Empresas!$A:$A,0))),""))</f>
        <v/>
      </c>
      <c r="H559" s="18"/>
      <c r="I559" s="19" t="str">
        <f aca="false">IF(OR(F559="",G559=""),"",IF(F559-G559&lt;0,"CONTRATO ANTERIOR À ABERTURA — conferir datas",IF(F559-G559&lt;180,"ABERTA MENOS DE 6 MESES ANTES","")))</f>
        <v/>
      </c>
      <c r="J559" s="19" t="str">
        <f aca="false">IF(A559="","",IFERROR(INDEX(Sancoes!$B:$B,MATCH(A559,Sancoes!$A:$A,0))&amp;"","não consta"))</f>
        <v/>
      </c>
      <c r="K559" s="19" t="str">
        <f aca="false">IF(OR(A559="",F559=""),"",IF(SUMPRODUCT((Sancoes!$A$2:$A$301=A559)*(Sancoes!$B$2:$B$301&lt;&gt;"Não consta")*(Sancoes!$D$2:$D$301&lt;&gt;"")*(Sancoes!$D$2:$D$301&lt;=F559)*(((Sancoes!$E$2:$E$301="")+(Sancoes!$E$2:$E$301&gt;=F559))&gt;0))&gt;0,"SANÇÃO VIGENTE NA DATA — leia o tipo e a abrangência",""))</f>
        <v/>
      </c>
      <c r="L559" s="19" t="str">
        <f aca="false">IF(A559="","",IFERROR(INDEX(Empresas!$B:$B,MATCH(A559,Empresas!$A:$A,0))&amp;"","cadastre o CNPJ em Empresas"))</f>
        <v/>
      </c>
      <c r="M559" s="27"/>
      <c r="N559" s="35"/>
      <c r="O559" s="37" t="str">
        <f aca="false">IF(OR(D559="",D559=0,N559=""),"",N559/D559)</f>
        <v/>
      </c>
      <c r="P559" s="19" t="str">
        <f aca="false">IF(O559="","",IF(O559&gt;0.25,"ACRÉSCIMO ACIMA DE 25% — conferir",""))</f>
        <v/>
      </c>
      <c r="Q559" s="27"/>
      <c r="R559" s="5"/>
    </row>
    <row r="560" customFormat="false" ht="15" hidden="false" customHeight="false" outlineLevel="0" collapsed="false">
      <c r="A560" s="27"/>
      <c r="B560" s="5"/>
      <c r="C560" s="5"/>
      <c r="D560" s="35"/>
      <c r="E560" s="14"/>
      <c r="F560" s="18"/>
      <c r="G560" s="31" t="str">
        <f aca="false">IF(A560="","",IFERROR(IF(INDEX(Empresas!$C:$C,MATCH(A560,Empresas!$A:$A,0))="","",INDEX(Empresas!$C:$C,MATCH(A560,Empresas!$A:$A,0))),""))</f>
        <v/>
      </c>
      <c r="H560" s="18"/>
      <c r="I560" s="19" t="str">
        <f aca="false">IF(OR(F560="",G560=""),"",IF(F560-G560&lt;0,"CONTRATO ANTERIOR À ABERTURA — conferir datas",IF(F560-G560&lt;180,"ABERTA MENOS DE 6 MESES ANTES","")))</f>
        <v/>
      </c>
      <c r="J560" s="19" t="str">
        <f aca="false">IF(A560="","",IFERROR(INDEX(Sancoes!$B:$B,MATCH(A560,Sancoes!$A:$A,0))&amp;"","não consta"))</f>
        <v/>
      </c>
      <c r="K560" s="19" t="str">
        <f aca="false">IF(OR(A560="",F560=""),"",IF(SUMPRODUCT((Sancoes!$A$2:$A$301=A560)*(Sancoes!$B$2:$B$301&lt;&gt;"Não consta")*(Sancoes!$D$2:$D$301&lt;&gt;"")*(Sancoes!$D$2:$D$301&lt;=F560)*(((Sancoes!$E$2:$E$301="")+(Sancoes!$E$2:$E$301&gt;=F560))&gt;0))&gt;0,"SANÇÃO VIGENTE NA DATA — leia o tipo e a abrangência",""))</f>
        <v/>
      </c>
      <c r="L560" s="19" t="str">
        <f aca="false">IF(A560="","",IFERROR(INDEX(Empresas!$B:$B,MATCH(A560,Empresas!$A:$A,0))&amp;"","cadastre o CNPJ em Empresas"))</f>
        <v/>
      </c>
      <c r="M560" s="27"/>
      <c r="N560" s="35"/>
      <c r="O560" s="37" t="str">
        <f aca="false">IF(OR(D560="",D560=0,N560=""),"",N560/D560)</f>
        <v/>
      </c>
      <c r="P560" s="19" t="str">
        <f aca="false">IF(O560="","",IF(O560&gt;0.25,"ACRÉSCIMO ACIMA DE 25% — conferir",""))</f>
        <v/>
      </c>
      <c r="Q560" s="27"/>
      <c r="R560" s="5"/>
    </row>
    <row r="561" customFormat="false" ht="15" hidden="false" customHeight="false" outlineLevel="0" collapsed="false">
      <c r="A561" s="27"/>
      <c r="B561" s="5"/>
      <c r="C561" s="5"/>
      <c r="D561" s="35"/>
      <c r="E561" s="14"/>
      <c r="F561" s="18"/>
      <c r="G561" s="31" t="str">
        <f aca="false">IF(A561="","",IFERROR(IF(INDEX(Empresas!$C:$C,MATCH(A561,Empresas!$A:$A,0))="","",INDEX(Empresas!$C:$C,MATCH(A561,Empresas!$A:$A,0))),""))</f>
        <v/>
      </c>
      <c r="H561" s="18"/>
      <c r="I561" s="19" t="str">
        <f aca="false">IF(OR(F561="",G561=""),"",IF(F561-G561&lt;0,"CONTRATO ANTERIOR À ABERTURA — conferir datas",IF(F561-G561&lt;180,"ABERTA MENOS DE 6 MESES ANTES","")))</f>
        <v/>
      </c>
      <c r="J561" s="19" t="str">
        <f aca="false">IF(A561="","",IFERROR(INDEX(Sancoes!$B:$B,MATCH(A561,Sancoes!$A:$A,0))&amp;"","não consta"))</f>
        <v/>
      </c>
      <c r="K561" s="19" t="str">
        <f aca="false">IF(OR(A561="",F561=""),"",IF(SUMPRODUCT((Sancoes!$A$2:$A$301=A561)*(Sancoes!$B$2:$B$301&lt;&gt;"Não consta")*(Sancoes!$D$2:$D$301&lt;&gt;"")*(Sancoes!$D$2:$D$301&lt;=F561)*(((Sancoes!$E$2:$E$301="")+(Sancoes!$E$2:$E$301&gt;=F561))&gt;0))&gt;0,"SANÇÃO VIGENTE NA DATA — leia o tipo e a abrangência",""))</f>
        <v/>
      </c>
      <c r="L561" s="19" t="str">
        <f aca="false">IF(A561="","",IFERROR(INDEX(Empresas!$B:$B,MATCH(A561,Empresas!$A:$A,0))&amp;"","cadastre o CNPJ em Empresas"))</f>
        <v/>
      </c>
      <c r="M561" s="27"/>
      <c r="N561" s="35"/>
      <c r="O561" s="37" t="str">
        <f aca="false">IF(OR(D561="",D561=0,N561=""),"",N561/D561)</f>
        <v/>
      </c>
      <c r="P561" s="19" t="str">
        <f aca="false">IF(O561="","",IF(O561&gt;0.25,"ACRÉSCIMO ACIMA DE 25% — conferir",""))</f>
        <v/>
      </c>
      <c r="Q561" s="27"/>
      <c r="R561" s="5"/>
    </row>
    <row r="562" customFormat="false" ht="15" hidden="false" customHeight="false" outlineLevel="0" collapsed="false">
      <c r="A562" s="27"/>
      <c r="B562" s="5"/>
      <c r="C562" s="5"/>
      <c r="D562" s="35"/>
      <c r="E562" s="14"/>
      <c r="F562" s="18"/>
      <c r="G562" s="31" t="str">
        <f aca="false">IF(A562="","",IFERROR(IF(INDEX(Empresas!$C:$C,MATCH(A562,Empresas!$A:$A,0))="","",INDEX(Empresas!$C:$C,MATCH(A562,Empresas!$A:$A,0))),""))</f>
        <v/>
      </c>
      <c r="H562" s="18"/>
      <c r="I562" s="19" t="str">
        <f aca="false">IF(OR(F562="",G562=""),"",IF(F562-G562&lt;0,"CONTRATO ANTERIOR À ABERTURA — conferir datas",IF(F562-G562&lt;180,"ABERTA MENOS DE 6 MESES ANTES","")))</f>
        <v/>
      </c>
      <c r="J562" s="19" t="str">
        <f aca="false">IF(A562="","",IFERROR(INDEX(Sancoes!$B:$B,MATCH(A562,Sancoes!$A:$A,0))&amp;"","não consta"))</f>
        <v/>
      </c>
      <c r="K562" s="19" t="str">
        <f aca="false">IF(OR(A562="",F562=""),"",IF(SUMPRODUCT((Sancoes!$A$2:$A$301=A562)*(Sancoes!$B$2:$B$301&lt;&gt;"Não consta")*(Sancoes!$D$2:$D$301&lt;&gt;"")*(Sancoes!$D$2:$D$301&lt;=F562)*(((Sancoes!$E$2:$E$301="")+(Sancoes!$E$2:$E$301&gt;=F562))&gt;0))&gt;0,"SANÇÃO VIGENTE NA DATA — leia o tipo e a abrangência",""))</f>
        <v/>
      </c>
      <c r="L562" s="19" t="str">
        <f aca="false">IF(A562="","",IFERROR(INDEX(Empresas!$B:$B,MATCH(A562,Empresas!$A:$A,0))&amp;"","cadastre o CNPJ em Empresas"))</f>
        <v/>
      </c>
      <c r="M562" s="27"/>
      <c r="N562" s="35"/>
      <c r="O562" s="37" t="str">
        <f aca="false">IF(OR(D562="",D562=0,N562=""),"",N562/D562)</f>
        <v/>
      </c>
      <c r="P562" s="19" t="str">
        <f aca="false">IF(O562="","",IF(O562&gt;0.25,"ACRÉSCIMO ACIMA DE 25% — conferir",""))</f>
        <v/>
      </c>
      <c r="Q562" s="27"/>
      <c r="R562" s="5"/>
    </row>
    <row r="563" customFormat="false" ht="15" hidden="false" customHeight="false" outlineLevel="0" collapsed="false">
      <c r="A563" s="27"/>
      <c r="B563" s="5"/>
      <c r="C563" s="5"/>
      <c r="D563" s="35"/>
      <c r="E563" s="14"/>
      <c r="F563" s="18"/>
      <c r="G563" s="31" t="str">
        <f aca="false">IF(A563="","",IFERROR(IF(INDEX(Empresas!$C:$C,MATCH(A563,Empresas!$A:$A,0))="","",INDEX(Empresas!$C:$C,MATCH(A563,Empresas!$A:$A,0))),""))</f>
        <v/>
      </c>
      <c r="H563" s="18"/>
      <c r="I563" s="19" t="str">
        <f aca="false">IF(OR(F563="",G563=""),"",IF(F563-G563&lt;0,"CONTRATO ANTERIOR À ABERTURA — conferir datas",IF(F563-G563&lt;180,"ABERTA MENOS DE 6 MESES ANTES","")))</f>
        <v/>
      </c>
      <c r="J563" s="19" t="str">
        <f aca="false">IF(A563="","",IFERROR(INDEX(Sancoes!$B:$B,MATCH(A563,Sancoes!$A:$A,0))&amp;"","não consta"))</f>
        <v/>
      </c>
      <c r="K563" s="19" t="str">
        <f aca="false">IF(OR(A563="",F563=""),"",IF(SUMPRODUCT((Sancoes!$A$2:$A$301=A563)*(Sancoes!$B$2:$B$301&lt;&gt;"Não consta")*(Sancoes!$D$2:$D$301&lt;&gt;"")*(Sancoes!$D$2:$D$301&lt;=F563)*(((Sancoes!$E$2:$E$301="")+(Sancoes!$E$2:$E$301&gt;=F563))&gt;0))&gt;0,"SANÇÃO VIGENTE NA DATA — leia o tipo e a abrangência",""))</f>
        <v/>
      </c>
      <c r="L563" s="19" t="str">
        <f aca="false">IF(A563="","",IFERROR(INDEX(Empresas!$B:$B,MATCH(A563,Empresas!$A:$A,0))&amp;"","cadastre o CNPJ em Empresas"))</f>
        <v/>
      </c>
      <c r="M563" s="27"/>
      <c r="N563" s="35"/>
      <c r="O563" s="37" t="str">
        <f aca="false">IF(OR(D563="",D563=0,N563=""),"",N563/D563)</f>
        <v/>
      </c>
      <c r="P563" s="19" t="str">
        <f aca="false">IF(O563="","",IF(O563&gt;0.25,"ACRÉSCIMO ACIMA DE 25% — conferir",""))</f>
        <v/>
      </c>
      <c r="Q563" s="27"/>
      <c r="R563" s="5"/>
    </row>
    <row r="564" customFormat="false" ht="15" hidden="false" customHeight="false" outlineLevel="0" collapsed="false">
      <c r="A564" s="27"/>
      <c r="B564" s="5"/>
      <c r="C564" s="5"/>
      <c r="D564" s="35"/>
      <c r="E564" s="14"/>
      <c r="F564" s="18"/>
      <c r="G564" s="31" t="str">
        <f aca="false">IF(A564="","",IFERROR(IF(INDEX(Empresas!$C:$C,MATCH(A564,Empresas!$A:$A,0))="","",INDEX(Empresas!$C:$C,MATCH(A564,Empresas!$A:$A,0))),""))</f>
        <v/>
      </c>
      <c r="H564" s="18"/>
      <c r="I564" s="19" t="str">
        <f aca="false">IF(OR(F564="",G564=""),"",IF(F564-G564&lt;0,"CONTRATO ANTERIOR À ABERTURA — conferir datas",IF(F564-G564&lt;180,"ABERTA MENOS DE 6 MESES ANTES","")))</f>
        <v/>
      </c>
      <c r="J564" s="19" t="str">
        <f aca="false">IF(A564="","",IFERROR(INDEX(Sancoes!$B:$B,MATCH(A564,Sancoes!$A:$A,0))&amp;"","não consta"))</f>
        <v/>
      </c>
      <c r="K564" s="19" t="str">
        <f aca="false">IF(OR(A564="",F564=""),"",IF(SUMPRODUCT((Sancoes!$A$2:$A$301=A564)*(Sancoes!$B$2:$B$301&lt;&gt;"Não consta")*(Sancoes!$D$2:$D$301&lt;&gt;"")*(Sancoes!$D$2:$D$301&lt;=F564)*(((Sancoes!$E$2:$E$301="")+(Sancoes!$E$2:$E$301&gt;=F564))&gt;0))&gt;0,"SANÇÃO VIGENTE NA DATA — leia o tipo e a abrangência",""))</f>
        <v/>
      </c>
      <c r="L564" s="19" t="str">
        <f aca="false">IF(A564="","",IFERROR(INDEX(Empresas!$B:$B,MATCH(A564,Empresas!$A:$A,0))&amp;"","cadastre o CNPJ em Empresas"))</f>
        <v/>
      </c>
      <c r="M564" s="27"/>
      <c r="N564" s="35"/>
      <c r="O564" s="37" t="str">
        <f aca="false">IF(OR(D564="",D564=0,N564=""),"",N564/D564)</f>
        <v/>
      </c>
      <c r="P564" s="19" t="str">
        <f aca="false">IF(O564="","",IF(O564&gt;0.25,"ACRÉSCIMO ACIMA DE 25% — conferir",""))</f>
        <v/>
      </c>
      <c r="Q564" s="27"/>
      <c r="R564" s="5"/>
    </row>
    <row r="565" customFormat="false" ht="15" hidden="false" customHeight="false" outlineLevel="0" collapsed="false">
      <c r="A565" s="27"/>
      <c r="B565" s="5"/>
      <c r="C565" s="5"/>
      <c r="D565" s="35"/>
      <c r="E565" s="14"/>
      <c r="F565" s="18"/>
      <c r="G565" s="31" t="str">
        <f aca="false">IF(A565="","",IFERROR(IF(INDEX(Empresas!$C:$C,MATCH(A565,Empresas!$A:$A,0))="","",INDEX(Empresas!$C:$C,MATCH(A565,Empresas!$A:$A,0))),""))</f>
        <v/>
      </c>
      <c r="H565" s="18"/>
      <c r="I565" s="19" t="str">
        <f aca="false">IF(OR(F565="",G565=""),"",IF(F565-G565&lt;0,"CONTRATO ANTERIOR À ABERTURA — conferir datas",IF(F565-G565&lt;180,"ABERTA MENOS DE 6 MESES ANTES","")))</f>
        <v/>
      </c>
      <c r="J565" s="19" t="str">
        <f aca="false">IF(A565="","",IFERROR(INDEX(Sancoes!$B:$B,MATCH(A565,Sancoes!$A:$A,0))&amp;"","não consta"))</f>
        <v/>
      </c>
      <c r="K565" s="19" t="str">
        <f aca="false">IF(OR(A565="",F565=""),"",IF(SUMPRODUCT((Sancoes!$A$2:$A$301=A565)*(Sancoes!$B$2:$B$301&lt;&gt;"Não consta")*(Sancoes!$D$2:$D$301&lt;&gt;"")*(Sancoes!$D$2:$D$301&lt;=F565)*(((Sancoes!$E$2:$E$301="")+(Sancoes!$E$2:$E$301&gt;=F565))&gt;0))&gt;0,"SANÇÃO VIGENTE NA DATA — leia o tipo e a abrangência",""))</f>
        <v/>
      </c>
      <c r="L565" s="19" t="str">
        <f aca="false">IF(A565="","",IFERROR(INDEX(Empresas!$B:$B,MATCH(A565,Empresas!$A:$A,0))&amp;"","cadastre o CNPJ em Empresas"))</f>
        <v/>
      </c>
      <c r="M565" s="27"/>
      <c r="N565" s="35"/>
      <c r="O565" s="37" t="str">
        <f aca="false">IF(OR(D565="",D565=0,N565=""),"",N565/D565)</f>
        <v/>
      </c>
      <c r="P565" s="19" t="str">
        <f aca="false">IF(O565="","",IF(O565&gt;0.25,"ACRÉSCIMO ACIMA DE 25% — conferir",""))</f>
        <v/>
      </c>
      <c r="Q565" s="27"/>
      <c r="R565" s="5"/>
    </row>
    <row r="566" customFormat="false" ht="15" hidden="false" customHeight="false" outlineLevel="0" collapsed="false">
      <c r="A566" s="27"/>
      <c r="B566" s="5"/>
      <c r="C566" s="5"/>
      <c r="D566" s="35"/>
      <c r="E566" s="14"/>
      <c r="F566" s="18"/>
      <c r="G566" s="31" t="str">
        <f aca="false">IF(A566="","",IFERROR(IF(INDEX(Empresas!$C:$C,MATCH(A566,Empresas!$A:$A,0))="","",INDEX(Empresas!$C:$C,MATCH(A566,Empresas!$A:$A,0))),""))</f>
        <v/>
      </c>
      <c r="H566" s="18"/>
      <c r="I566" s="19" t="str">
        <f aca="false">IF(OR(F566="",G566=""),"",IF(F566-G566&lt;0,"CONTRATO ANTERIOR À ABERTURA — conferir datas",IF(F566-G566&lt;180,"ABERTA MENOS DE 6 MESES ANTES","")))</f>
        <v/>
      </c>
      <c r="J566" s="19" t="str">
        <f aca="false">IF(A566="","",IFERROR(INDEX(Sancoes!$B:$B,MATCH(A566,Sancoes!$A:$A,0))&amp;"","não consta"))</f>
        <v/>
      </c>
      <c r="K566" s="19" t="str">
        <f aca="false">IF(OR(A566="",F566=""),"",IF(SUMPRODUCT((Sancoes!$A$2:$A$301=A566)*(Sancoes!$B$2:$B$301&lt;&gt;"Não consta")*(Sancoes!$D$2:$D$301&lt;&gt;"")*(Sancoes!$D$2:$D$301&lt;=F566)*(((Sancoes!$E$2:$E$301="")+(Sancoes!$E$2:$E$301&gt;=F566))&gt;0))&gt;0,"SANÇÃO VIGENTE NA DATA — leia o tipo e a abrangência",""))</f>
        <v/>
      </c>
      <c r="L566" s="19" t="str">
        <f aca="false">IF(A566="","",IFERROR(INDEX(Empresas!$B:$B,MATCH(A566,Empresas!$A:$A,0))&amp;"","cadastre o CNPJ em Empresas"))</f>
        <v/>
      </c>
      <c r="M566" s="27"/>
      <c r="N566" s="35"/>
      <c r="O566" s="37" t="str">
        <f aca="false">IF(OR(D566="",D566=0,N566=""),"",N566/D566)</f>
        <v/>
      </c>
      <c r="P566" s="19" t="str">
        <f aca="false">IF(O566="","",IF(O566&gt;0.25,"ACRÉSCIMO ACIMA DE 25% — conferir",""))</f>
        <v/>
      </c>
      <c r="Q566" s="27"/>
      <c r="R566" s="5"/>
    </row>
    <row r="567" customFormat="false" ht="15" hidden="false" customHeight="false" outlineLevel="0" collapsed="false">
      <c r="A567" s="27"/>
      <c r="B567" s="5"/>
      <c r="C567" s="5"/>
      <c r="D567" s="35"/>
      <c r="E567" s="14"/>
      <c r="F567" s="18"/>
      <c r="G567" s="31" t="str">
        <f aca="false">IF(A567="","",IFERROR(IF(INDEX(Empresas!$C:$C,MATCH(A567,Empresas!$A:$A,0))="","",INDEX(Empresas!$C:$C,MATCH(A567,Empresas!$A:$A,0))),""))</f>
        <v/>
      </c>
      <c r="H567" s="18"/>
      <c r="I567" s="19" t="str">
        <f aca="false">IF(OR(F567="",G567=""),"",IF(F567-G567&lt;0,"CONTRATO ANTERIOR À ABERTURA — conferir datas",IF(F567-G567&lt;180,"ABERTA MENOS DE 6 MESES ANTES","")))</f>
        <v/>
      </c>
      <c r="J567" s="19" t="str">
        <f aca="false">IF(A567="","",IFERROR(INDEX(Sancoes!$B:$B,MATCH(A567,Sancoes!$A:$A,0))&amp;"","não consta"))</f>
        <v/>
      </c>
      <c r="K567" s="19" t="str">
        <f aca="false">IF(OR(A567="",F567=""),"",IF(SUMPRODUCT((Sancoes!$A$2:$A$301=A567)*(Sancoes!$B$2:$B$301&lt;&gt;"Não consta")*(Sancoes!$D$2:$D$301&lt;&gt;"")*(Sancoes!$D$2:$D$301&lt;=F567)*(((Sancoes!$E$2:$E$301="")+(Sancoes!$E$2:$E$301&gt;=F567))&gt;0))&gt;0,"SANÇÃO VIGENTE NA DATA — leia o tipo e a abrangência",""))</f>
        <v/>
      </c>
      <c r="L567" s="19" t="str">
        <f aca="false">IF(A567="","",IFERROR(INDEX(Empresas!$B:$B,MATCH(A567,Empresas!$A:$A,0))&amp;"","cadastre o CNPJ em Empresas"))</f>
        <v/>
      </c>
      <c r="M567" s="27"/>
      <c r="N567" s="35"/>
      <c r="O567" s="37" t="str">
        <f aca="false">IF(OR(D567="",D567=0,N567=""),"",N567/D567)</f>
        <v/>
      </c>
      <c r="P567" s="19" t="str">
        <f aca="false">IF(O567="","",IF(O567&gt;0.25,"ACRÉSCIMO ACIMA DE 25% — conferir",""))</f>
        <v/>
      </c>
      <c r="Q567" s="27"/>
      <c r="R567" s="5"/>
    </row>
    <row r="568" customFormat="false" ht="15" hidden="false" customHeight="false" outlineLevel="0" collapsed="false">
      <c r="A568" s="27"/>
      <c r="B568" s="5"/>
      <c r="C568" s="5"/>
      <c r="D568" s="35"/>
      <c r="E568" s="14"/>
      <c r="F568" s="18"/>
      <c r="G568" s="31" t="str">
        <f aca="false">IF(A568="","",IFERROR(IF(INDEX(Empresas!$C:$C,MATCH(A568,Empresas!$A:$A,0))="","",INDEX(Empresas!$C:$C,MATCH(A568,Empresas!$A:$A,0))),""))</f>
        <v/>
      </c>
      <c r="H568" s="18"/>
      <c r="I568" s="19" t="str">
        <f aca="false">IF(OR(F568="",G568=""),"",IF(F568-G568&lt;0,"CONTRATO ANTERIOR À ABERTURA — conferir datas",IF(F568-G568&lt;180,"ABERTA MENOS DE 6 MESES ANTES","")))</f>
        <v/>
      </c>
      <c r="J568" s="19" t="str">
        <f aca="false">IF(A568="","",IFERROR(INDEX(Sancoes!$B:$B,MATCH(A568,Sancoes!$A:$A,0))&amp;"","não consta"))</f>
        <v/>
      </c>
      <c r="K568" s="19" t="str">
        <f aca="false">IF(OR(A568="",F568=""),"",IF(SUMPRODUCT((Sancoes!$A$2:$A$301=A568)*(Sancoes!$B$2:$B$301&lt;&gt;"Não consta")*(Sancoes!$D$2:$D$301&lt;&gt;"")*(Sancoes!$D$2:$D$301&lt;=F568)*(((Sancoes!$E$2:$E$301="")+(Sancoes!$E$2:$E$301&gt;=F568))&gt;0))&gt;0,"SANÇÃO VIGENTE NA DATA — leia o tipo e a abrangência",""))</f>
        <v/>
      </c>
      <c r="L568" s="19" t="str">
        <f aca="false">IF(A568="","",IFERROR(INDEX(Empresas!$B:$B,MATCH(A568,Empresas!$A:$A,0))&amp;"","cadastre o CNPJ em Empresas"))</f>
        <v/>
      </c>
      <c r="M568" s="27"/>
      <c r="N568" s="35"/>
      <c r="O568" s="37" t="str">
        <f aca="false">IF(OR(D568="",D568=0,N568=""),"",N568/D568)</f>
        <v/>
      </c>
      <c r="P568" s="19" t="str">
        <f aca="false">IF(O568="","",IF(O568&gt;0.25,"ACRÉSCIMO ACIMA DE 25% — conferir",""))</f>
        <v/>
      </c>
      <c r="Q568" s="27"/>
      <c r="R568" s="5"/>
    </row>
    <row r="569" customFormat="false" ht="15" hidden="false" customHeight="false" outlineLevel="0" collapsed="false">
      <c r="A569" s="27"/>
      <c r="B569" s="5"/>
      <c r="C569" s="5"/>
      <c r="D569" s="35"/>
      <c r="E569" s="14"/>
      <c r="F569" s="18"/>
      <c r="G569" s="31" t="str">
        <f aca="false">IF(A569="","",IFERROR(IF(INDEX(Empresas!$C:$C,MATCH(A569,Empresas!$A:$A,0))="","",INDEX(Empresas!$C:$C,MATCH(A569,Empresas!$A:$A,0))),""))</f>
        <v/>
      </c>
      <c r="H569" s="18"/>
      <c r="I569" s="19" t="str">
        <f aca="false">IF(OR(F569="",G569=""),"",IF(F569-G569&lt;0,"CONTRATO ANTERIOR À ABERTURA — conferir datas",IF(F569-G569&lt;180,"ABERTA MENOS DE 6 MESES ANTES","")))</f>
        <v/>
      </c>
      <c r="J569" s="19" t="str">
        <f aca="false">IF(A569="","",IFERROR(INDEX(Sancoes!$B:$B,MATCH(A569,Sancoes!$A:$A,0))&amp;"","não consta"))</f>
        <v/>
      </c>
      <c r="K569" s="19" t="str">
        <f aca="false">IF(OR(A569="",F569=""),"",IF(SUMPRODUCT((Sancoes!$A$2:$A$301=A569)*(Sancoes!$B$2:$B$301&lt;&gt;"Não consta")*(Sancoes!$D$2:$D$301&lt;&gt;"")*(Sancoes!$D$2:$D$301&lt;=F569)*(((Sancoes!$E$2:$E$301="")+(Sancoes!$E$2:$E$301&gt;=F569))&gt;0))&gt;0,"SANÇÃO VIGENTE NA DATA — leia o tipo e a abrangência",""))</f>
        <v/>
      </c>
      <c r="L569" s="19" t="str">
        <f aca="false">IF(A569="","",IFERROR(INDEX(Empresas!$B:$B,MATCH(A569,Empresas!$A:$A,0))&amp;"","cadastre o CNPJ em Empresas"))</f>
        <v/>
      </c>
      <c r="M569" s="27"/>
      <c r="N569" s="35"/>
      <c r="O569" s="37" t="str">
        <f aca="false">IF(OR(D569="",D569=0,N569=""),"",N569/D569)</f>
        <v/>
      </c>
      <c r="P569" s="19" t="str">
        <f aca="false">IF(O569="","",IF(O569&gt;0.25,"ACRÉSCIMO ACIMA DE 25% — conferir",""))</f>
        <v/>
      </c>
      <c r="Q569" s="27"/>
      <c r="R569" s="5"/>
    </row>
    <row r="570" customFormat="false" ht="15" hidden="false" customHeight="false" outlineLevel="0" collapsed="false">
      <c r="A570" s="27"/>
      <c r="B570" s="5"/>
      <c r="C570" s="5"/>
      <c r="D570" s="35"/>
      <c r="E570" s="14"/>
      <c r="F570" s="18"/>
      <c r="G570" s="31" t="str">
        <f aca="false">IF(A570="","",IFERROR(IF(INDEX(Empresas!$C:$C,MATCH(A570,Empresas!$A:$A,0))="","",INDEX(Empresas!$C:$C,MATCH(A570,Empresas!$A:$A,0))),""))</f>
        <v/>
      </c>
      <c r="H570" s="18"/>
      <c r="I570" s="19" t="str">
        <f aca="false">IF(OR(F570="",G570=""),"",IF(F570-G570&lt;0,"CONTRATO ANTERIOR À ABERTURA — conferir datas",IF(F570-G570&lt;180,"ABERTA MENOS DE 6 MESES ANTES","")))</f>
        <v/>
      </c>
      <c r="J570" s="19" t="str">
        <f aca="false">IF(A570="","",IFERROR(INDEX(Sancoes!$B:$B,MATCH(A570,Sancoes!$A:$A,0))&amp;"","não consta"))</f>
        <v/>
      </c>
      <c r="K570" s="19" t="str">
        <f aca="false">IF(OR(A570="",F570=""),"",IF(SUMPRODUCT((Sancoes!$A$2:$A$301=A570)*(Sancoes!$B$2:$B$301&lt;&gt;"Não consta")*(Sancoes!$D$2:$D$301&lt;&gt;"")*(Sancoes!$D$2:$D$301&lt;=F570)*(((Sancoes!$E$2:$E$301="")+(Sancoes!$E$2:$E$301&gt;=F570))&gt;0))&gt;0,"SANÇÃO VIGENTE NA DATA — leia o tipo e a abrangência",""))</f>
        <v/>
      </c>
      <c r="L570" s="19" t="str">
        <f aca="false">IF(A570="","",IFERROR(INDEX(Empresas!$B:$B,MATCH(A570,Empresas!$A:$A,0))&amp;"","cadastre o CNPJ em Empresas"))</f>
        <v/>
      </c>
      <c r="M570" s="27"/>
      <c r="N570" s="35"/>
      <c r="O570" s="37" t="str">
        <f aca="false">IF(OR(D570="",D570=0,N570=""),"",N570/D570)</f>
        <v/>
      </c>
      <c r="P570" s="19" t="str">
        <f aca="false">IF(O570="","",IF(O570&gt;0.25,"ACRÉSCIMO ACIMA DE 25% — conferir",""))</f>
        <v/>
      </c>
      <c r="Q570" s="27"/>
      <c r="R570" s="5"/>
    </row>
    <row r="571" customFormat="false" ht="15" hidden="false" customHeight="false" outlineLevel="0" collapsed="false">
      <c r="A571" s="27"/>
      <c r="B571" s="5"/>
      <c r="C571" s="5"/>
      <c r="D571" s="35"/>
      <c r="E571" s="14"/>
      <c r="F571" s="18"/>
      <c r="G571" s="31" t="str">
        <f aca="false">IF(A571="","",IFERROR(IF(INDEX(Empresas!$C:$C,MATCH(A571,Empresas!$A:$A,0))="","",INDEX(Empresas!$C:$C,MATCH(A571,Empresas!$A:$A,0))),""))</f>
        <v/>
      </c>
      <c r="H571" s="18"/>
      <c r="I571" s="19" t="str">
        <f aca="false">IF(OR(F571="",G571=""),"",IF(F571-G571&lt;0,"CONTRATO ANTERIOR À ABERTURA — conferir datas",IF(F571-G571&lt;180,"ABERTA MENOS DE 6 MESES ANTES","")))</f>
        <v/>
      </c>
      <c r="J571" s="19" t="str">
        <f aca="false">IF(A571="","",IFERROR(INDEX(Sancoes!$B:$B,MATCH(A571,Sancoes!$A:$A,0))&amp;"","não consta"))</f>
        <v/>
      </c>
      <c r="K571" s="19" t="str">
        <f aca="false">IF(OR(A571="",F571=""),"",IF(SUMPRODUCT((Sancoes!$A$2:$A$301=A571)*(Sancoes!$B$2:$B$301&lt;&gt;"Não consta")*(Sancoes!$D$2:$D$301&lt;&gt;"")*(Sancoes!$D$2:$D$301&lt;=F571)*(((Sancoes!$E$2:$E$301="")+(Sancoes!$E$2:$E$301&gt;=F571))&gt;0))&gt;0,"SANÇÃO VIGENTE NA DATA — leia o tipo e a abrangência",""))</f>
        <v/>
      </c>
      <c r="L571" s="19" t="str">
        <f aca="false">IF(A571="","",IFERROR(INDEX(Empresas!$B:$B,MATCH(A571,Empresas!$A:$A,0))&amp;"","cadastre o CNPJ em Empresas"))</f>
        <v/>
      </c>
      <c r="M571" s="27"/>
      <c r="N571" s="35"/>
      <c r="O571" s="37" t="str">
        <f aca="false">IF(OR(D571="",D571=0,N571=""),"",N571/D571)</f>
        <v/>
      </c>
      <c r="P571" s="19" t="str">
        <f aca="false">IF(O571="","",IF(O571&gt;0.25,"ACRÉSCIMO ACIMA DE 25% — conferir",""))</f>
        <v/>
      </c>
      <c r="Q571" s="27"/>
      <c r="R571" s="5"/>
    </row>
    <row r="572" customFormat="false" ht="15" hidden="false" customHeight="false" outlineLevel="0" collapsed="false">
      <c r="A572" s="27"/>
      <c r="B572" s="5"/>
      <c r="C572" s="5"/>
      <c r="D572" s="35"/>
      <c r="E572" s="14"/>
      <c r="F572" s="18"/>
      <c r="G572" s="31" t="str">
        <f aca="false">IF(A572="","",IFERROR(IF(INDEX(Empresas!$C:$C,MATCH(A572,Empresas!$A:$A,0))="","",INDEX(Empresas!$C:$C,MATCH(A572,Empresas!$A:$A,0))),""))</f>
        <v/>
      </c>
      <c r="H572" s="18"/>
      <c r="I572" s="19" t="str">
        <f aca="false">IF(OR(F572="",G572=""),"",IF(F572-G572&lt;0,"CONTRATO ANTERIOR À ABERTURA — conferir datas",IF(F572-G572&lt;180,"ABERTA MENOS DE 6 MESES ANTES","")))</f>
        <v/>
      </c>
      <c r="J572" s="19" t="str">
        <f aca="false">IF(A572="","",IFERROR(INDEX(Sancoes!$B:$B,MATCH(A572,Sancoes!$A:$A,0))&amp;"","não consta"))</f>
        <v/>
      </c>
      <c r="K572" s="19" t="str">
        <f aca="false">IF(OR(A572="",F572=""),"",IF(SUMPRODUCT((Sancoes!$A$2:$A$301=A572)*(Sancoes!$B$2:$B$301&lt;&gt;"Não consta")*(Sancoes!$D$2:$D$301&lt;&gt;"")*(Sancoes!$D$2:$D$301&lt;=F572)*(((Sancoes!$E$2:$E$301="")+(Sancoes!$E$2:$E$301&gt;=F572))&gt;0))&gt;0,"SANÇÃO VIGENTE NA DATA — leia o tipo e a abrangência",""))</f>
        <v/>
      </c>
      <c r="L572" s="19" t="str">
        <f aca="false">IF(A572="","",IFERROR(INDEX(Empresas!$B:$B,MATCH(A572,Empresas!$A:$A,0))&amp;"","cadastre o CNPJ em Empresas"))</f>
        <v/>
      </c>
      <c r="M572" s="27"/>
      <c r="N572" s="35"/>
      <c r="O572" s="37" t="str">
        <f aca="false">IF(OR(D572="",D572=0,N572=""),"",N572/D572)</f>
        <v/>
      </c>
      <c r="P572" s="19" t="str">
        <f aca="false">IF(O572="","",IF(O572&gt;0.25,"ACRÉSCIMO ACIMA DE 25% — conferir",""))</f>
        <v/>
      </c>
      <c r="Q572" s="27"/>
      <c r="R572" s="5"/>
    </row>
    <row r="573" customFormat="false" ht="15" hidden="false" customHeight="false" outlineLevel="0" collapsed="false">
      <c r="A573" s="27"/>
      <c r="B573" s="5"/>
      <c r="C573" s="5"/>
      <c r="D573" s="35"/>
      <c r="E573" s="14"/>
      <c r="F573" s="18"/>
      <c r="G573" s="31" t="str">
        <f aca="false">IF(A573="","",IFERROR(IF(INDEX(Empresas!$C:$C,MATCH(A573,Empresas!$A:$A,0))="","",INDEX(Empresas!$C:$C,MATCH(A573,Empresas!$A:$A,0))),""))</f>
        <v/>
      </c>
      <c r="H573" s="18"/>
      <c r="I573" s="19" t="str">
        <f aca="false">IF(OR(F573="",G573=""),"",IF(F573-G573&lt;0,"CONTRATO ANTERIOR À ABERTURA — conferir datas",IF(F573-G573&lt;180,"ABERTA MENOS DE 6 MESES ANTES","")))</f>
        <v/>
      </c>
      <c r="J573" s="19" t="str">
        <f aca="false">IF(A573="","",IFERROR(INDEX(Sancoes!$B:$B,MATCH(A573,Sancoes!$A:$A,0))&amp;"","não consta"))</f>
        <v/>
      </c>
      <c r="K573" s="19" t="str">
        <f aca="false">IF(OR(A573="",F573=""),"",IF(SUMPRODUCT((Sancoes!$A$2:$A$301=A573)*(Sancoes!$B$2:$B$301&lt;&gt;"Não consta")*(Sancoes!$D$2:$D$301&lt;&gt;"")*(Sancoes!$D$2:$D$301&lt;=F573)*(((Sancoes!$E$2:$E$301="")+(Sancoes!$E$2:$E$301&gt;=F573))&gt;0))&gt;0,"SANÇÃO VIGENTE NA DATA — leia o tipo e a abrangência",""))</f>
        <v/>
      </c>
      <c r="L573" s="19" t="str">
        <f aca="false">IF(A573="","",IFERROR(INDEX(Empresas!$B:$B,MATCH(A573,Empresas!$A:$A,0))&amp;"","cadastre o CNPJ em Empresas"))</f>
        <v/>
      </c>
      <c r="M573" s="27"/>
      <c r="N573" s="35"/>
      <c r="O573" s="37" t="str">
        <f aca="false">IF(OR(D573="",D573=0,N573=""),"",N573/D573)</f>
        <v/>
      </c>
      <c r="P573" s="19" t="str">
        <f aca="false">IF(O573="","",IF(O573&gt;0.25,"ACRÉSCIMO ACIMA DE 25% — conferir",""))</f>
        <v/>
      </c>
      <c r="Q573" s="27"/>
      <c r="R573" s="5"/>
    </row>
    <row r="574" customFormat="false" ht="15" hidden="false" customHeight="false" outlineLevel="0" collapsed="false">
      <c r="A574" s="27"/>
      <c r="B574" s="5"/>
      <c r="C574" s="5"/>
      <c r="D574" s="35"/>
      <c r="E574" s="14"/>
      <c r="F574" s="18"/>
      <c r="G574" s="31" t="str">
        <f aca="false">IF(A574="","",IFERROR(IF(INDEX(Empresas!$C:$C,MATCH(A574,Empresas!$A:$A,0))="","",INDEX(Empresas!$C:$C,MATCH(A574,Empresas!$A:$A,0))),""))</f>
        <v/>
      </c>
      <c r="H574" s="18"/>
      <c r="I574" s="19" t="str">
        <f aca="false">IF(OR(F574="",G574=""),"",IF(F574-G574&lt;0,"CONTRATO ANTERIOR À ABERTURA — conferir datas",IF(F574-G574&lt;180,"ABERTA MENOS DE 6 MESES ANTES","")))</f>
        <v/>
      </c>
      <c r="J574" s="19" t="str">
        <f aca="false">IF(A574="","",IFERROR(INDEX(Sancoes!$B:$B,MATCH(A574,Sancoes!$A:$A,0))&amp;"","não consta"))</f>
        <v/>
      </c>
      <c r="K574" s="19" t="str">
        <f aca="false">IF(OR(A574="",F574=""),"",IF(SUMPRODUCT((Sancoes!$A$2:$A$301=A574)*(Sancoes!$B$2:$B$301&lt;&gt;"Não consta")*(Sancoes!$D$2:$D$301&lt;&gt;"")*(Sancoes!$D$2:$D$301&lt;=F574)*(((Sancoes!$E$2:$E$301="")+(Sancoes!$E$2:$E$301&gt;=F574))&gt;0))&gt;0,"SANÇÃO VIGENTE NA DATA — leia o tipo e a abrangência",""))</f>
        <v/>
      </c>
      <c r="L574" s="19" t="str">
        <f aca="false">IF(A574="","",IFERROR(INDEX(Empresas!$B:$B,MATCH(A574,Empresas!$A:$A,0))&amp;"","cadastre o CNPJ em Empresas"))</f>
        <v/>
      </c>
      <c r="M574" s="27"/>
      <c r="N574" s="35"/>
      <c r="O574" s="37" t="str">
        <f aca="false">IF(OR(D574="",D574=0,N574=""),"",N574/D574)</f>
        <v/>
      </c>
      <c r="P574" s="19" t="str">
        <f aca="false">IF(O574="","",IF(O574&gt;0.25,"ACRÉSCIMO ACIMA DE 25% — conferir",""))</f>
        <v/>
      </c>
      <c r="Q574" s="27"/>
      <c r="R574" s="5"/>
    </row>
    <row r="575" customFormat="false" ht="15" hidden="false" customHeight="false" outlineLevel="0" collapsed="false">
      <c r="A575" s="27"/>
      <c r="B575" s="5"/>
      <c r="C575" s="5"/>
      <c r="D575" s="35"/>
      <c r="E575" s="14"/>
      <c r="F575" s="18"/>
      <c r="G575" s="31" t="str">
        <f aca="false">IF(A575="","",IFERROR(IF(INDEX(Empresas!$C:$C,MATCH(A575,Empresas!$A:$A,0))="","",INDEX(Empresas!$C:$C,MATCH(A575,Empresas!$A:$A,0))),""))</f>
        <v/>
      </c>
      <c r="H575" s="18"/>
      <c r="I575" s="19" t="str">
        <f aca="false">IF(OR(F575="",G575=""),"",IF(F575-G575&lt;0,"CONTRATO ANTERIOR À ABERTURA — conferir datas",IF(F575-G575&lt;180,"ABERTA MENOS DE 6 MESES ANTES","")))</f>
        <v/>
      </c>
      <c r="J575" s="19" t="str">
        <f aca="false">IF(A575="","",IFERROR(INDEX(Sancoes!$B:$B,MATCH(A575,Sancoes!$A:$A,0))&amp;"","não consta"))</f>
        <v/>
      </c>
      <c r="K575" s="19" t="str">
        <f aca="false">IF(OR(A575="",F575=""),"",IF(SUMPRODUCT((Sancoes!$A$2:$A$301=A575)*(Sancoes!$B$2:$B$301&lt;&gt;"Não consta")*(Sancoes!$D$2:$D$301&lt;&gt;"")*(Sancoes!$D$2:$D$301&lt;=F575)*(((Sancoes!$E$2:$E$301="")+(Sancoes!$E$2:$E$301&gt;=F575))&gt;0))&gt;0,"SANÇÃO VIGENTE NA DATA — leia o tipo e a abrangência",""))</f>
        <v/>
      </c>
      <c r="L575" s="19" t="str">
        <f aca="false">IF(A575="","",IFERROR(INDEX(Empresas!$B:$B,MATCH(A575,Empresas!$A:$A,0))&amp;"","cadastre o CNPJ em Empresas"))</f>
        <v/>
      </c>
      <c r="M575" s="27"/>
      <c r="N575" s="35"/>
      <c r="O575" s="37" t="str">
        <f aca="false">IF(OR(D575="",D575=0,N575=""),"",N575/D575)</f>
        <v/>
      </c>
      <c r="P575" s="19" t="str">
        <f aca="false">IF(O575="","",IF(O575&gt;0.25,"ACRÉSCIMO ACIMA DE 25% — conferir",""))</f>
        <v/>
      </c>
      <c r="Q575" s="27"/>
      <c r="R575" s="5"/>
    </row>
    <row r="576" customFormat="false" ht="15" hidden="false" customHeight="false" outlineLevel="0" collapsed="false">
      <c r="A576" s="27"/>
      <c r="B576" s="5"/>
      <c r="C576" s="5"/>
      <c r="D576" s="35"/>
      <c r="E576" s="14"/>
      <c r="F576" s="18"/>
      <c r="G576" s="31" t="str">
        <f aca="false">IF(A576="","",IFERROR(IF(INDEX(Empresas!$C:$C,MATCH(A576,Empresas!$A:$A,0))="","",INDEX(Empresas!$C:$C,MATCH(A576,Empresas!$A:$A,0))),""))</f>
        <v/>
      </c>
      <c r="H576" s="18"/>
      <c r="I576" s="19" t="str">
        <f aca="false">IF(OR(F576="",G576=""),"",IF(F576-G576&lt;0,"CONTRATO ANTERIOR À ABERTURA — conferir datas",IF(F576-G576&lt;180,"ABERTA MENOS DE 6 MESES ANTES","")))</f>
        <v/>
      </c>
      <c r="J576" s="19" t="str">
        <f aca="false">IF(A576="","",IFERROR(INDEX(Sancoes!$B:$B,MATCH(A576,Sancoes!$A:$A,0))&amp;"","não consta"))</f>
        <v/>
      </c>
      <c r="K576" s="19" t="str">
        <f aca="false">IF(OR(A576="",F576=""),"",IF(SUMPRODUCT((Sancoes!$A$2:$A$301=A576)*(Sancoes!$B$2:$B$301&lt;&gt;"Não consta")*(Sancoes!$D$2:$D$301&lt;&gt;"")*(Sancoes!$D$2:$D$301&lt;=F576)*(((Sancoes!$E$2:$E$301="")+(Sancoes!$E$2:$E$301&gt;=F576))&gt;0))&gt;0,"SANÇÃO VIGENTE NA DATA — leia o tipo e a abrangência",""))</f>
        <v/>
      </c>
      <c r="L576" s="19" t="str">
        <f aca="false">IF(A576="","",IFERROR(INDEX(Empresas!$B:$B,MATCH(A576,Empresas!$A:$A,0))&amp;"","cadastre o CNPJ em Empresas"))</f>
        <v/>
      </c>
      <c r="M576" s="27"/>
      <c r="N576" s="35"/>
      <c r="O576" s="37" t="str">
        <f aca="false">IF(OR(D576="",D576=0,N576=""),"",N576/D576)</f>
        <v/>
      </c>
      <c r="P576" s="19" t="str">
        <f aca="false">IF(O576="","",IF(O576&gt;0.25,"ACRÉSCIMO ACIMA DE 25% — conferir",""))</f>
        <v/>
      </c>
      <c r="Q576" s="27"/>
      <c r="R576" s="5"/>
    </row>
    <row r="577" customFormat="false" ht="15" hidden="false" customHeight="false" outlineLevel="0" collapsed="false">
      <c r="A577" s="27"/>
      <c r="B577" s="5"/>
      <c r="C577" s="5"/>
      <c r="D577" s="35"/>
      <c r="E577" s="14"/>
      <c r="F577" s="18"/>
      <c r="G577" s="31" t="str">
        <f aca="false">IF(A577="","",IFERROR(IF(INDEX(Empresas!$C:$C,MATCH(A577,Empresas!$A:$A,0))="","",INDEX(Empresas!$C:$C,MATCH(A577,Empresas!$A:$A,0))),""))</f>
        <v/>
      </c>
      <c r="H577" s="18"/>
      <c r="I577" s="19" t="str">
        <f aca="false">IF(OR(F577="",G577=""),"",IF(F577-G577&lt;0,"CONTRATO ANTERIOR À ABERTURA — conferir datas",IF(F577-G577&lt;180,"ABERTA MENOS DE 6 MESES ANTES","")))</f>
        <v/>
      </c>
      <c r="J577" s="19" t="str">
        <f aca="false">IF(A577="","",IFERROR(INDEX(Sancoes!$B:$B,MATCH(A577,Sancoes!$A:$A,0))&amp;"","não consta"))</f>
        <v/>
      </c>
      <c r="K577" s="19" t="str">
        <f aca="false">IF(OR(A577="",F577=""),"",IF(SUMPRODUCT((Sancoes!$A$2:$A$301=A577)*(Sancoes!$B$2:$B$301&lt;&gt;"Não consta")*(Sancoes!$D$2:$D$301&lt;&gt;"")*(Sancoes!$D$2:$D$301&lt;=F577)*(((Sancoes!$E$2:$E$301="")+(Sancoes!$E$2:$E$301&gt;=F577))&gt;0))&gt;0,"SANÇÃO VIGENTE NA DATA — leia o tipo e a abrangência",""))</f>
        <v/>
      </c>
      <c r="L577" s="19" t="str">
        <f aca="false">IF(A577="","",IFERROR(INDEX(Empresas!$B:$B,MATCH(A577,Empresas!$A:$A,0))&amp;"","cadastre o CNPJ em Empresas"))</f>
        <v/>
      </c>
      <c r="M577" s="27"/>
      <c r="N577" s="35"/>
      <c r="O577" s="37" t="str">
        <f aca="false">IF(OR(D577="",D577=0,N577=""),"",N577/D577)</f>
        <v/>
      </c>
      <c r="P577" s="19" t="str">
        <f aca="false">IF(O577="","",IF(O577&gt;0.25,"ACRÉSCIMO ACIMA DE 25% — conferir",""))</f>
        <v/>
      </c>
      <c r="Q577" s="27"/>
      <c r="R577" s="5"/>
    </row>
    <row r="578" customFormat="false" ht="15" hidden="false" customHeight="false" outlineLevel="0" collapsed="false">
      <c r="A578" s="27"/>
      <c r="B578" s="5"/>
      <c r="C578" s="5"/>
      <c r="D578" s="35"/>
      <c r="E578" s="14"/>
      <c r="F578" s="18"/>
      <c r="G578" s="31" t="str">
        <f aca="false">IF(A578="","",IFERROR(IF(INDEX(Empresas!$C:$C,MATCH(A578,Empresas!$A:$A,0))="","",INDEX(Empresas!$C:$C,MATCH(A578,Empresas!$A:$A,0))),""))</f>
        <v/>
      </c>
      <c r="H578" s="18"/>
      <c r="I578" s="19" t="str">
        <f aca="false">IF(OR(F578="",G578=""),"",IF(F578-G578&lt;0,"CONTRATO ANTERIOR À ABERTURA — conferir datas",IF(F578-G578&lt;180,"ABERTA MENOS DE 6 MESES ANTES","")))</f>
        <v/>
      </c>
      <c r="J578" s="19" t="str">
        <f aca="false">IF(A578="","",IFERROR(INDEX(Sancoes!$B:$B,MATCH(A578,Sancoes!$A:$A,0))&amp;"","não consta"))</f>
        <v/>
      </c>
      <c r="K578" s="19" t="str">
        <f aca="false">IF(OR(A578="",F578=""),"",IF(SUMPRODUCT((Sancoes!$A$2:$A$301=A578)*(Sancoes!$B$2:$B$301&lt;&gt;"Não consta")*(Sancoes!$D$2:$D$301&lt;&gt;"")*(Sancoes!$D$2:$D$301&lt;=F578)*(((Sancoes!$E$2:$E$301="")+(Sancoes!$E$2:$E$301&gt;=F578))&gt;0))&gt;0,"SANÇÃO VIGENTE NA DATA — leia o tipo e a abrangência",""))</f>
        <v/>
      </c>
      <c r="L578" s="19" t="str">
        <f aca="false">IF(A578="","",IFERROR(INDEX(Empresas!$B:$B,MATCH(A578,Empresas!$A:$A,0))&amp;"","cadastre o CNPJ em Empresas"))</f>
        <v/>
      </c>
      <c r="M578" s="27"/>
      <c r="N578" s="35"/>
      <c r="O578" s="37" t="str">
        <f aca="false">IF(OR(D578="",D578=0,N578=""),"",N578/D578)</f>
        <v/>
      </c>
      <c r="P578" s="19" t="str">
        <f aca="false">IF(O578="","",IF(O578&gt;0.25,"ACRÉSCIMO ACIMA DE 25% — conferir",""))</f>
        <v/>
      </c>
      <c r="Q578" s="27"/>
      <c r="R578" s="5"/>
    </row>
    <row r="579" customFormat="false" ht="15" hidden="false" customHeight="false" outlineLevel="0" collapsed="false">
      <c r="A579" s="27"/>
      <c r="B579" s="5"/>
      <c r="C579" s="5"/>
      <c r="D579" s="35"/>
      <c r="E579" s="14"/>
      <c r="F579" s="18"/>
      <c r="G579" s="31" t="str">
        <f aca="false">IF(A579="","",IFERROR(IF(INDEX(Empresas!$C:$C,MATCH(A579,Empresas!$A:$A,0))="","",INDEX(Empresas!$C:$C,MATCH(A579,Empresas!$A:$A,0))),""))</f>
        <v/>
      </c>
      <c r="H579" s="18"/>
      <c r="I579" s="19" t="str">
        <f aca="false">IF(OR(F579="",G579=""),"",IF(F579-G579&lt;0,"CONTRATO ANTERIOR À ABERTURA — conferir datas",IF(F579-G579&lt;180,"ABERTA MENOS DE 6 MESES ANTES","")))</f>
        <v/>
      </c>
      <c r="J579" s="19" t="str">
        <f aca="false">IF(A579="","",IFERROR(INDEX(Sancoes!$B:$B,MATCH(A579,Sancoes!$A:$A,0))&amp;"","não consta"))</f>
        <v/>
      </c>
      <c r="K579" s="19" t="str">
        <f aca="false">IF(OR(A579="",F579=""),"",IF(SUMPRODUCT((Sancoes!$A$2:$A$301=A579)*(Sancoes!$B$2:$B$301&lt;&gt;"Não consta")*(Sancoes!$D$2:$D$301&lt;&gt;"")*(Sancoes!$D$2:$D$301&lt;=F579)*(((Sancoes!$E$2:$E$301="")+(Sancoes!$E$2:$E$301&gt;=F579))&gt;0))&gt;0,"SANÇÃO VIGENTE NA DATA — leia o tipo e a abrangência",""))</f>
        <v/>
      </c>
      <c r="L579" s="19" t="str">
        <f aca="false">IF(A579="","",IFERROR(INDEX(Empresas!$B:$B,MATCH(A579,Empresas!$A:$A,0))&amp;"","cadastre o CNPJ em Empresas"))</f>
        <v/>
      </c>
      <c r="M579" s="27"/>
      <c r="N579" s="35"/>
      <c r="O579" s="37" t="str">
        <f aca="false">IF(OR(D579="",D579=0,N579=""),"",N579/D579)</f>
        <v/>
      </c>
      <c r="P579" s="19" t="str">
        <f aca="false">IF(O579="","",IF(O579&gt;0.25,"ACRÉSCIMO ACIMA DE 25% — conferir",""))</f>
        <v/>
      </c>
      <c r="Q579" s="27"/>
      <c r="R579" s="5"/>
    </row>
    <row r="580" customFormat="false" ht="15" hidden="false" customHeight="false" outlineLevel="0" collapsed="false">
      <c r="A580" s="27"/>
      <c r="B580" s="5"/>
      <c r="C580" s="5"/>
      <c r="D580" s="35"/>
      <c r="E580" s="14"/>
      <c r="F580" s="18"/>
      <c r="G580" s="31" t="str">
        <f aca="false">IF(A580="","",IFERROR(IF(INDEX(Empresas!$C:$C,MATCH(A580,Empresas!$A:$A,0))="","",INDEX(Empresas!$C:$C,MATCH(A580,Empresas!$A:$A,0))),""))</f>
        <v/>
      </c>
      <c r="H580" s="18"/>
      <c r="I580" s="19" t="str">
        <f aca="false">IF(OR(F580="",G580=""),"",IF(F580-G580&lt;0,"CONTRATO ANTERIOR À ABERTURA — conferir datas",IF(F580-G580&lt;180,"ABERTA MENOS DE 6 MESES ANTES","")))</f>
        <v/>
      </c>
      <c r="J580" s="19" t="str">
        <f aca="false">IF(A580="","",IFERROR(INDEX(Sancoes!$B:$B,MATCH(A580,Sancoes!$A:$A,0))&amp;"","não consta"))</f>
        <v/>
      </c>
      <c r="K580" s="19" t="str">
        <f aca="false">IF(OR(A580="",F580=""),"",IF(SUMPRODUCT((Sancoes!$A$2:$A$301=A580)*(Sancoes!$B$2:$B$301&lt;&gt;"Não consta")*(Sancoes!$D$2:$D$301&lt;&gt;"")*(Sancoes!$D$2:$D$301&lt;=F580)*(((Sancoes!$E$2:$E$301="")+(Sancoes!$E$2:$E$301&gt;=F580))&gt;0))&gt;0,"SANÇÃO VIGENTE NA DATA — leia o tipo e a abrangência",""))</f>
        <v/>
      </c>
      <c r="L580" s="19" t="str">
        <f aca="false">IF(A580="","",IFERROR(INDEX(Empresas!$B:$B,MATCH(A580,Empresas!$A:$A,0))&amp;"","cadastre o CNPJ em Empresas"))</f>
        <v/>
      </c>
      <c r="M580" s="27"/>
      <c r="N580" s="35"/>
      <c r="O580" s="37" t="str">
        <f aca="false">IF(OR(D580="",D580=0,N580=""),"",N580/D580)</f>
        <v/>
      </c>
      <c r="P580" s="19" t="str">
        <f aca="false">IF(O580="","",IF(O580&gt;0.25,"ACRÉSCIMO ACIMA DE 25% — conferir",""))</f>
        <v/>
      </c>
      <c r="Q580" s="27"/>
      <c r="R580" s="5"/>
    </row>
    <row r="581" customFormat="false" ht="15" hidden="false" customHeight="false" outlineLevel="0" collapsed="false">
      <c r="A581" s="27"/>
      <c r="B581" s="5"/>
      <c r="C581" s="5"/>
      <c r="D581" s="35"/>
      <c r="E581" s="14"/>
      <c r="F581" s="18"/>
      <c r="G581" s="31" t="str">
        <f aca="false">IF(A581="","",IFERROR(IF(INDEX(Empresas!$C:$C,MATCH(A581,Empresas!$A:$A,0))="","",INDEX(Empresas!$C:$C,MATCH(A581,Empresas!$A:$A,0))),""))</f>
        <v/>
      </c>
      <c r="H581" s="18"/>
      <c r="I581" s="19" t="str">
        <f aca="false">IF(OR(F581="",G581=""),"",IF(F581-G581&lt;0,"CONTRATO ANTERIOR À ABERTURA — conferir datas",IF(F581-G581&lt;180,"ABERTA MENOS DE 6 MESES ANTES","")))</f>
        <v/>
      </c>
      <c r="J581" s="19" t="str">
        <f aca="false">IF(A581="","",IFERROR(INDEX(Sancoes!$B:$B,MATCH(A581,Sancoes!$A:$A,0))&amp;"","não consta"))</f>
        <v/>
      </c>
      <c r="K581" s="19" t="str">
        <f aca="false">IF(OR(A581="",F581=""),"",IF(SUMPRODUCT((Sancoes!$A$2:$A$301=A581)*(Sancoes!$B$2:$B$301&lt;&gt;"Não consta")*(Sancoes!$D$2:$D$301&lt;&gt;"")*(Sancoes!$D$2:$D$301&lt;=F581)*(((Sancoes!$E$2:$E$301="")+(Sancoes!$E$2:$E$301&gt;=F581))&gt;0))&gt;0,"SANÇÃO VIGENTE NA DATA — leia o tipo e a abrangência",""))</f>
        <v/>
      </c>
      <c r="L581" s="19" t="str">
        <f aca="false">IF(A581="","",IFERROR(INDEX(Empresas!$B:$B,MATCH(A581,Empresas!$A:$A,0))&amp;"","cadastre o CNPJ em Empresas"))</f>
        <v/>
      </c>
      <c r="M581" s="27"/>
      <c r="N581" s="35"/>
      <c r="O581" s="37" t="str">
        <f aca="false">IF(OR(D581="",D581=0,N581=""),"",N581/D581)</f>
        <v/>
      </c>
      <c r="P581" s="19" t="str">
        <f aca="false">IF(O581="","",IF(O581&gt;0.25,"ACRÉSCIMO ACIMA DE 25% — conferir",""))</f>
        <v/>
      </c>
      <c r="Q581" s="27"/>
      <c r="R581" s="5"/>
    </row>
    <row r="582" customFormat="false" ht="15" hidden="false" customHeight="false" outlineLevel="0" collapsed="false">
      <c r="A582" s="27"/>
      <c r="B582" s="5"/>
      <c r="C582" s="5"/>
      <c r="D582" s="35"/>
      <c r="E582" s="14"/>
      <c r="F582" s="18"/>
      <c r="G582" s="31" t="str">
        <f aca="false">IF(A582="","",IFERROR(IF(INDEX(Empresas!$C:$C,MATCH(A582,Empresas!$A:$A,0))="","",INDEX(Empresas!$C:$C,MATCH(A582,Empresas!$A:$A,0))),""))</f>
        <v/>
      </c>
      <c r="H582" s="18"/>
      <c r="I582" s="19" t="str">
        <f aca="false">IF(OR(F582="",G582=""),"",IF(F582-G582&lt;0,"CONTRATO ANTERIOR À ABERTURA — conferir datas",IF(F582-G582&lt;180,"ABERTA MENOS DE 6 MESES ANTES","")))</f>
        <v/>
      </c>
      <c r="J582" s="19" t="str">
        <f aca="false">IF(A582="","",IFERROR(INDEX(Sancoes!$B:$B,MATCH(A582,Sancoes!$A:$A,0))&amp;"","não consta"))</f>
        <v/>
      </c>
      <c r="K582" s="19" t="str">
        <f aca="false">IF(OR(A582="",F582=""),"",IF(SUMPRODUCT((Sancoes!$A$2:$A$301=A582)*(Sancoes!$B$2:$B$301&lt;&gt;"Não consta")*(Sancoes!$D$2:$D$301&lt;&gt;"")*(Sancoes!$D$2:$D$301&lt;=F582)*(((Sancoes!$E$2:$E$301="")+(Sancoes!$E$2:$E$301&gt;=F582))&gt;0))&gt;0,"SANÇÃO VIGENTE NA DATA — leia o tipo e a abrangência",""))</f>
        <v/>
      </c>
      <c r="L582" s="19" t="str">
        <f aca="false">IF(A582="","",IFERROR(INDEX(Empresas!$B:$B,MATCH(A582,Empresas!$A:$A,0))&amp;"","cadastre o CNPJ em Empresas"))</f>
        <v/>
      </c>
      <c r="M582" s="27"/>
      <c r="N582" s="35"/>
      <c r="O582" s="37" t="str">
        <f aca="false">IF(OR(D582="",D582=0,N582=""),"",N582/D582)</f>
        <v/>
      </c>
      <c r="P582" s="19" t="str">
        <f aca="false">IF(O582="","",IF(O582&gt;0.25,"ACRÉSCIMO ACIMA DE 25% — conferir",""))</f>
        <v/>
      </c>
      <c r="Q582" s="27"/>
      <c r="R582" s="5"/>
    </row>
    <row r="583" customFormat="false" ht="15" hidden="false" customHeight="false" outlineLevel="0" collapsed="false">
      <c r="A583" s="27"/>
      <c r="B583" s="5"/>
      <c r="C583" s="5"/>
      <c r="D583" s="35"/>
      <c r="E583" s="14"/>
      <c r="F583" s="18"/>
      <c r="G583" s="31" t="str">
        <f aca="false">IF(A583="","",IFERROR(IF(INDEX(Empresas!$C:$C,MATCH(A583,Empresas!$A:$A,0))="","",INDEX(Empresas!$C:$C,MATCH(A583,Empresas!$A:$A,0))),""))</f>
        <v/>
      </c>
      <c r="H583" s="18"/>
      <c r="I583" s="19" t="str">
        <f aca="false">IF(OR(F583="",G583=""),"",IF(F583-G583&lt;0,"CONTRATO ANTERIOR À ABERTURA — conferir datas",IF(F583-G583&lt;180,"ABERTA MENOS DE 6 MESES ANTES","")))</f>
        <v/>
      </c>
      <c r="J583" s="19" t="str">
        <f aca="false">IF(A583="","",IFERROR(INDEX(Sancoes!$B:$B,MATCH(A583,Sancoes!$A:$A,0))&amp;"","não consta"))</f>
        <v/>
      </c>
      <c r="K583" s="19" t="str">
        <f aca="false">IF(OR(A583="",F583=""),"",IF(SUMPRODUCT((Sancoes!$A$2:$A$301=A583)*(Sancoes!$B$2:$B$301&lt;&gt;"Não consta")*(Sancoes!$D$2:$D$301&lt;&gt;"")*(Sancoes!$D$2:$D$301&lt;=F583)*(((Sancoes!$E$2:$E$301="")+(Sancoes!$E$2:$E$301&gt;=F583))&gt;0))&gt;0,"SANÇÃO VIGENTE NA DATA — leia o tipo e a abrangência",""))</f>
        <v/>
      </c>
      <c r="L583" s="19" t="str">
        <f aca="false">IF(A583="","",IFERROR(INDEX(Empresas!$B:$B,MATCH(A583,Empresas!$A:$A,0))&amp;"","cadastre o CNPJ em Empresas"))</f>
        <v/>
      </c>
      <c r="M583" s="27"/>
      <c r="N583" s="35"/>
      <c r="O583" s="37" t="str">
        <f aca="false">IF(OR(D583="",D583=0,N583=""),"",N583/D583)</f>
        <v/>
      </c>
      <c r="P583" s="19" t="str">
        <f aca="false">IF(O583="","",IF(O583&gt;0.25,"ACRÉSCIMO ACIMA DE 25% — conferir",""))</f>
        <v/>
      </c>
      <c r="Q583" s="27"/>
      <c r="R583" s="5"/>
    </row>
    <row r="584" customFormat="false" ht="15" hidden="false" customHeight="false" outlineLevel="0" collapsed="false">
      <c r="A584" s="27"/>
      <c r="B584" s="5"/>
      <c r="C584" s="5"/>
      <c r="D584" s="35"/>
      <c r="E584" s="14"/>
      <c r="F584" s="18"/>
      <c r="G584" s="31" t="str">
        <f aca="false">IF(A584="","",IFERROR(IF(INDEX(Empresas!$C:$C,MATCH(A584,Empresas!$A:$A,0))="","",INDEX(Empresas!$C:$C,MATCH(A584,Empresas!$A:$A,0))),""))</f>
        <v/>
      </c>
      <c r="H584" s="18"/>
      <c r="I584" s="19" t="str">
        <f aca="false">IF(OR(F584="",G584=""),"",IF(F584-G584&lt;0,"CONTRATO ANTERIOR À ABERTURA — conferir datas",IF(F584-G584&lt;180,"ABERTA MENOS DE 6 MESES ANTES","")))</f>
        <v/>
      </c>
      <c r="J584" s="19" t="str">
        <f aca="false">IF(A584="","",IFERROR(INDEX(Sancoes!$B:$B,MATCH(A584,Sancoes!$A:$A,0))&amp;"","não consta"))</f>
        <v/>
      </c>
      <c r="K584" s="19" t="str">
        <f aca="false">IF(OR(A584="",F584=""),"",IF(SUMPRODUCT((Sancoes!$A$2:$A$301=A584)*(Sancoes!$B$2:$B$301&lt;&gt;"Não consta")*(Sancoes!$D$2:$D$301&lt;&gt;"")*(Sancoes!$D$2:$D$301&lt;=F584)*(((Sancoes!$E$2:$E$301="")+(Sancoes!$E$2:$E$301&gt;=F584))&gt;0))&gt;0,"SANÇÃO VIGENTE NA DATA — leia o tipo e a abrangência",""))</f>
        <v/>
      </c>
      <c r="L584" s="19" t="str">
        <f aca="false">IF(A584="","",IFERROR(INDEX(Empresas!$B:$B,MATCH(A584,Empresas!$A:$A,0))&amp;"","cadastre o CNPJ em Empresas"))</f>
        <v/>
      </c>
      <c r="M584" s="27"/>
      <c r="N584" s="35"/>
      <c r="O584" s="37" t="str">
        <f aca="false">IF(OR(D584="",D584=0,N584=""),"",N584/D584)</f>
        <v/>
      </c>
      <c r="P584" s="19" t="str">
        <f aca="false">IF(O584="","",IF(O584&gt;0.25,"ACRÉSCIMO ACIMA DE 25% — conferir",""))</f>
        <v/>
      </c>
      <c r="Q584" s="27"/>
      <c r="R584" s="5"/>
    </row>
    <row r="585" customFormat="false" ht="15" hidden="false" customHeight="false" outlineLevel="0" collapsed="false">
      <c r="A585" s="27"/>
      <c r="B585" s="5"/>
      <c r="C585" s="5"/>
      <c r="D585" s="35"/>
      <c r="E585" s="14"/>
      <c r="F585" s="18"/>
      <c r="G585" s="31" t="str">
        <f aca="false">IF(A585="","",IFERROR(IF(INDEX(Empresas!$C:$C,MATCH(A585,Empresas!$A:$A,0))="","",INDEX(Empresas!$C:$C,MATCH(A585,Empresas!$A:$A,0))),""))</f>
        <v/>
      </c>
      <c r="H585" s="18"/>
      <c r="I585" s="19" t="str">
        <f aca="false">IF(OR(F585="",G585=""),"",IF(F585-G585&lt;0,"CONTRATO ANTERIOR À ABERTURA — conferir datas",IF(F585-G585&lt;180,"ABERTA MENOS DE 6 MESES ANTES","")))</f>
        <v/>
      </c>
      <c r="J585" s="19" t="str">
        <f aca="false">IF(A585="","",IFERROR(INDEX(Sancoes!$B:$B,MATCH(A585,Sancoes!$A:$A,0))&amp;"","não consta"))</f>
        <v/>
      </c>
      <c r="K585" s="19" t="str">
        <f aca="false">IF(OR(A585="",F585=""),"",IF(SUMPRODUCT((Sancoes!$A$2:$A$301=A585)*(Sancoes!$B$2:$B$301&lt;&gt;"Não consta")*(Sancoes!$D$2:$D$301&lt;&gt;"")*(Sancoes!$D$2:$D$301&lt;=F585)*(((Sancoes!$E$2:$E$301="")+(Sancoes!$E$2:$E$301&gt;=F585))&gt;0))&gt;0,"SANÇÃO VIGENTE NA DATA — leia o tipo e a abrangência",""))</f>
        <v/>
      </c>
      <c r="L585" s="19" t="str">
        <f aca="false">IF(A585="","",IFERROR(INDEX(Empresas!$B:$B,MATCH(A585,Empresas!$A:$A,0))&amp;"","cadastre o CNPJ em Empresas"))</f>
        <v/>
      </c>
      <c r="M585" s="27"/>
      <c r="N585" s="35"/>
      <c r="O585" s="37" t="str">
        <f aca="false">IF(OR(D585="",D585=0,N585=""),"",N585/D585)</f>
        <v/>
      </c>
      <c r="P585" s="19" t="str">
        <f aca="false">IF(O585="","",IF(O585&gt;0.25,"ACRÉSCIMO ACIMA DE 25% — conferir",""))</f>
        <v/>
      </c>
      <c r="Q585" s="27"/>
      <c r="R585" s="5"/>
    </row>
    <row r="586" customFormat="false" ht="15" hidden="false" customHeight="false" outlineLevel="0" collapsed="false">
      <c r="A586" s="27"/>
      <c r="B586" s="5"/>
      <c r="C586" s="5"/>
      <c r="D586" s="35"/>
      <c r="E586" s="14"/>
      <c r="F586" s="18"/>
      <c r="G586" s="31" t="str">
        <f aca="false">IF(A586="","",IFERROR(IF(INDEX(Empresas!$C:$C,MATCH(A586,Empresas!$A:$A,0))="","",INDEX(Empresas!$C:$C,MATCH(A586,Empresas!$A:$A,0))),""))</f>
        <v/>
      </c>
      <c r="H586" s="18"/>
      <c r="I586" s="19" t="str">
        <f aca="false">IF(OR(F586="",G586=""),"",IF(F586-G586&lt;0,"CONTRATO ANTERIOR À ABERTURA — conferir datas",IF(F586-G586&lt;180,"ABERTA MENOS DE 6 MESES ANTES","")))</f>
        <v/>
      </c>
      <c r="J586" s="19" t="str">
        <f aca="false">IF(A586="","",IFERROR(INDEX(Sancoes!$B:$B,MATCH(A586,Sancoes!$A:$A,0))&amp;"","não consta"))</f>
        <v/>
      </c>
      <c r="K586" s="19" t="str">
        <f aca="false">IF(OR(A586="",F586=""),"",IF(SUMPRODUCT((Sancoes!$A$2:$A$301=A586)*(Sancoes!$B$2:$B$301&lt;&gt;"Não consta")*(Sancoes!$D$2:$D$301&lt;&gt;"")*(Sancoes!$D$2:$D$301&lt;=F586)*(((Sancoes!$E$2:$E$301="")+(Sancoes!$E$2:$E$301&gt;=F586))&gt;0))&gt;0,"SANÇÃO VIGENTE NA DATA — leia o tipo e a abrangência",""))</f>
        <v/>
      </c>
      <c r="L586" s="19" t="str">
        <f aca="false">IF(A586="","",IFERROR(INDEX(Empresas!$B:$B,MATCH(A586,Empresas!$A:$A,0))&amp;"","cadastre o CNPJ em Empresas"))</f>
        <v/>
      </c>
      <c r="M586" s="27"/>
      <c r="N586" s="35"/>
      <c r="O586" s="37" t="str">
        <f aca="false">IF(OR(D586="",D586=0,N586=""),"",N586/D586)</f>
        <v/>
      </c>
      <c r="P586" s="19" t="str">
        <f aca="false">IF(O586="","",IF(O586&gt;0.25,"ACRÉSCIMO ACIMA DE 25% — conferir",""))</f>
        <v/>
      </c>
      <c r="Q586" s="27"/>
      <c r="R586" s="5"/>
    </row>
    <row r="587" customFormat="false" ht="15" hidden="false" customHeight="false" outlineLevel="0" collapsed="false">
      <c r="A587" s="27"/>
      <c r="B587" s="5"/>
      <c r="C587" s="5"/>
      <c r="D587" s="35"/>
      <c r="E587" s="14"/>
      <c r="F587" s="18"/>
      <c r="G587" s="31" t="str">
        <f aca="false">IF(A587="","",IFERROR(IF(INDEX(Empresas!$C:$C,MATCH(A587,Empresas!$A:$A,0))="","",INDEX(Empresas!$C:$C,MATCH(A587,Empresas!$A:$A,0))),""))</f>
        <v/>
      </c>
      <c r="H587" s="18"/>
      <c r="I587" s="19" t="str">
        <f aca="false">IF(OR(F587="",G587=""),"",IF(F587-G587&lt;0,"CONTRATO ANTERIOR À ABERTURA — conferir datas",IF(F587-G587&lt;180,"ABERTA MENOS DE 6 MESES ANTES","")))</f>
        <v/>
      </c>
      <c r="J587" s="19" t="str">
        <f aca="false">IF(A587="","",IFERROR(INDEX(Sancoes!$B:$B,MATCH(A587,Sancoes!$A:$A,0))&amp;"","não consta"))</f>
        <v/>
      </c>
      <c r="K587" s="19" t="str">
        <f aca="false">IF(OR(A587="",F587=""),"",IF(SUMPRODUCT((Sancoes!$A$2:$A$301=A587)*(Sancoes!$B$2:$B$301&lt;&gt;"Não consta")*(Sancoes!$D$2:$D$301&lt;&gt;"")*(Sancoes!$D$2:$D$301&lt;=F587)*(((Sancoes!$E$2:$E$301="")+(Sancoes!$E$2:$E$301&gt;=F587))&gt;0))&gt;0,"SANÇÃO VIGENTE NA DATA — leia o tipo e a abrangência",""))</f>
        <v/>
      </c>
      <c r="L587" s="19" t="str">
        <f aca="false">IF(A587="","",IFERROR(INDEX(Empresas!$B:$B,MATCH(A587,Empresas!$A:$A,0))&amp;"","cadastre o CNPJ em Empresas"))</f>
        <v/>
      </c>
      <c r="M587" s="27"/>
      <c r="N587" s="35"/>
      <c r="O587" s="37" t="str">
        <f aca="false">IF(OR(D587="",D587=0,N587=""),"",N587/D587)</f>
        <v/>
      </c>
      <c r="P587" s="19" t="str">
        <f aca="false">IF(O587="","",IF(O587&gt;0.25,"ACRÉSCIMO ACIMA DE 25% — conferir",""))</f>
        <v/>
      </c>
      <c r="Q587" s="27"/>
      <c r="R587" s="5"/>
    </row>
    <row r="588" customFormat="false" ht="15" hidden="false" customHeight="false" outlineLevel="0" collapsed="false">
      <c r="A588" s="27"/>
      <c r="B588" s="5"/>
      <c r="C588" s="5"/>
      <c r="D588" s="35"/>
      <c r="E588" s="14"/>
      <c r="F588" s="18"/>
      <c r="G588" s="31" t="str">
        <f aca="false">IF(A588="","",IFERROR(IF(INDEX(Empresas!$C:$C,MATCH(A588,Empresas!$A:$A,0))="","",INDEX(Empresas!$C:$C,MATCH(A588,Empresas!$A:$A,0))),""))</f>
        <v/>
      </c>
      <c r="H588" s="18"/>
      <c r="I588" s="19" t="str">
        <f aca="false">IF(OR(F588="",G588=""),"",IF(F588-G588&lt;0,"CONTRATO ANTERIOR À ABERTURA — conferir datas",IF(F588-G588&lt;180,"ABERTA MENOS DE 6 MESES ANTES","")))</f>
        <v/>
      </c>
      <c r="J588" s="19" t="str">
        <f aca="false">IF(A588="","",IFERROR(INDEX(Sancoes!$B:$B,MATCH(A588,Sancoes!$A:$A,0))&amp;"","não consta"))</f>
        <v/>
      </c>
      <c r="K588" s="19" t="str">
        <f aca="false">IF(OR(A588="",F588=""),"",IF(SUMPRODUCT((Sancoes!$A$2:$A$301=A588)*(Sancoes!$B$2:$B$301&lt;&gt;"Não consta")*(Sancoes!$D$2:$D$301&lt;&gt;"")*(Sancoes!$D$2:$D$301&lt;=F588)*(((Sancoes!$E$2:$E$301="")+(Sancoes!$E$2:$E$301&gt;=F588))&gt;0))&gt;0,"SANÇÃO VIGENTE NA DATA — leia o tipo e a abrangência",""))</f>
        <v/>
      </c>
      <c r="L588" s="19" t="str">
        <f aca="false">IF(A588="","",IFERROR(INDEX(Empresas!$B:$B,MATCH(A588,Empresas!$A:$A,0))&amp;"","cadastre o CNPJ em Empresas"))</f>
        <v/>
      </c>
      <c r="M588" s="27"/>
      <c r="N588" s="35"/>
      <c r="O588" s="37" t="str">
        <f aca="false">IF(OR(D588="",D588=0,N588=""),"",N588/D588)</f>
        <v/>
      </c>
      <c r="P588" s="19" t="str">
        <f aca="false">IF(O588="","",IF(O588&gt;0.25,"ACRÉSCIMO ACIMA DE 25% — conferir",""))</f>
        <v/>
      </c>
      <c r="Q588" s="27"/>
      <c r="R588" s="5"/>
    </row>
    <row r="589" customFormat="false" ht="15" hidden="false" customHeight="false" outlineLevel="0" collapsed="false">
      <c r="A589" s="27"/>
      <c r="B589" s="5"/>
      <c r="C589" s="5"/>
      <c r="D589" s="35"/>
      <c r="E589" s="14"/>
      <c r="F589" s="18"/>
      <c r="G589" s="31" t="str">
        <f aca="false">IF(A589="","",IFERROR(IF(INDEX(Empresas!$C:$C,MATCH(A589,Empresas!$A:$A,0))="","",INDEX(Empresas!$C:$C,MATCH(A589,Empresas!$A:$A,0))),""))</f>
        <v/>
      </c>
      <c r="H589" s="18"/>
      <c r="I589" s="19" t="str">
        <f aca="false">IF(OR(F589="",G589=""),"",IF(F589-G589&lt;0,"CONTRATO ANTERIOR À ABERTURA — conferir datas",IF(F589-G589&lt;180,"ABERTA MENOS DE 6 MESES ANTES","")))</f>
        <v/>
      </c>
      <c r="J589" s="19" t="str">
        <f aca="false">IF(A589="","",IFERROR(INDEX(Sancoes!$B:$B,MATCH(A589,Sancoes!$A:$A,0))&amp;"","não consta"))</f>
        <v/>
      </c>
      <c r="K589" s="19" t="str">
        <f aca="false">IF(OR(A589="",F589=""),"",IF(SUMPRODUCT((Sancoes!$A$2:$A$301=A589)*(Sancoes!$B$2:$B$301&lt;&gt;"Não consta")*(Sancoes!$D$2:$D$301&lt;&gt;"")*(Sancoes!$D$2:$D$301&lt;=F589)*(((Sancoes!$E$2:$E$301="")+(Sancoes!$E$2:$E$301&gt;=F589))&gt;0))&gt;0,"SANÇÃO VIGENTE NA DATA — leia o tipo e a abrangência",""))</f>
        <v/>
      </c>
      <c r="L589" s="19" t="str">
        <f aca="false">IF(A589="","",IFERROR(INDEX(Empresas!$B:$B,MATCH(A589,Empresas!$A:$A,0))&amp;"","cadastre o CNPJ em Empresas"))</f>
        <v/>
      </c>
      <c r="M589" s="27"/>
      <c r="N589" s="35"/>
      <c r="O589" s="37" t="str">
        <f aca="false">IF(OR(D589="",D589=0,N589=""),"",N589/D589)</f>
        <v/>
      </c>
      <c r="P589" s="19" t="str">
        <f aca="false">IF(O589="","",IF(O589&gt;0.25,"ACRÉSCIMO ACIMA DE 25% — conferir",""))</f>
        <v/>
      </c>
      <c r="Q589" s="27"/>
      <c r="R589" s="5"/>
    </row>
    <row r="590" customFormat="false" ht="15" hidden="false" customHeight="false" outlineLevel="0" collapsed="false">
      <c r="A590" s="27"/>
      <c r="B590" s="5"/>
      <c r="C590" s="5"/>
      <c r="D590" s="35"/>
      <c r="E590" s="14"/>
      <c r="F590" s="18"/>
      <c r="G590" s="31" t="str">
        <f aca="false">IF(A590="","",IFERROR(IF(INDEX(Empresas!$C:$C,MATCH(A590,Empresas!$A:$A,0))="","",INDEX(Empresas!$C:$C,MATCH(A590,Empresas!$A:$A,0))),""))</f>
        <v/>
      </c>
      <c r="H590" s="18"/>
      <c r="I590" s="19" t="str">
        <f aca="false">IF(OR(F590="",G590=""),"",IF(F590-G590&lt;0,"CONTRATO ANTERIOR À ABERTURA — conferir datas",IF(F590-G590&lt;180,"ABERTA MENOS DE 6 MESES ANTES","")))</f>
        <v/>
      </c>
      <c r="J590" s="19" t="str">
        <f aca="false">IF(A590="","",IFERROR(INDEX(Sancoes!$B:$B,MATCH(A590,Sancoes!$A:$A,0))&amp;"","não consta"))</f>
        <v/>
      </c>
      <c r="K590" s="19" t="str">
        <f aca="false">IF(OR(A590="",F590=""),"",IF(SUMPRODUCT((Sancoes!$A$2:$A$301=A590)*(Sancoes!$B$2:$B$301&lt;&gt;"Não consta")*(Sancoes!$D$2:$D$301&lt;&gt;"")*(Sancoes!$D$2:$D$301&lt;=F590)*(((Sancoes!$E$2:$E$301="")+(Sancoes!$E$2:$E$301&gt;=F590))&gt;0))&gt;0,"SANÇÃO VIGENTE NA DATA — leia o tipo e a abrangência",""))</f>
        <v/>
      </c>
      <c r="L590" s="19" t="str">
        <f aca="false">IF(A590="","",IFERROR(INDEX(Empresas!$B:$B,MATCH(A590,Empresas!$A:$A,0))&amp;"","cadastre o CNPJ em Empresas"))</f>
        <v/>
      </c>
      <c r="M590" s="27"/>
      <c r="N590" s="35"/>
      <c r="O590" s="37" t="str">
        <f aca="false">IF(OR(D590="",D590=0,N590=""),"",N590/D590)</f>
        <v/>
      </c>
      <c r="P590" s="19" t="str">
        <f aca="false">IF(O590="","",IF(O590&gt;0.25,"ACRÉSCIMO ACIMA DE 25% — conferir",""))</f>
        <v/>
      </c>
      <c r="Q590" s="27"/>
      <c r="R590" s="5"/>
    </row>
    <row r="591" customFormat="false" ht="15" hidden="false" customHeight="false" outlineLevel="0" collapsed="false">
      <c r="A591" s="27"/>
      <c r="B591" s="5"/>
      <c r="C591" s="5"/>
      <c r="D591" s="35"/>
      <c r="E591" s="14"/>
      <c r="F591" s="18"/>
      <c r="G591" s="31" t="str">
        <f aca="false">IF(A591="","",IFERROR(IF(INDEX(Empresas!$C:$C,MATCH(A591,Empresas!$A:$A,0))="","",INDEX(Empresas!$C:$C,MATCH(A591,Empresas!$A:$A,0))),""))</f>
        <v/>
      </c>
      <c r="H591" s="18"/>
      <c r="I591" s="19" t="str">
        <f aca="false">IF(OR(F591="",G591=""),"",IF(F591-G591&lt;0,"CONTRATO ANTERIOR À ABERTURA — conferir datas",IF(F591-G591&lt;180,"ABERTA MENOS DE 6 MESES ANTES","")))</f>
        <v/>
      </c>
      <c r="J591" s="19" t="str">
        <f aca="false">IF(A591="","",IFERROR(INDEX(Sancoes!$B:$B,MATCH(A591,Sancoes!$A:$A,0))&amp;"","não consta"))</f>
        <v/>
      </c>
      <c r="K591" s="19" t="str">
        <f aca="false">IF(OR(A591="",F591=""),"",IF(SUMPRODUCT((Sancoes!$A$2:$A$301=A591)*(Sancoes!$B$2:$B$301&lt;&gt;"Não consta")*(Sancoes!$D$2:$D$301&lt;&gt;"")*(Sancoes!$D$2:$D$301&lt;=F591)*(((Sancoes!$E$2:$E$301="")+(Sancoes!$E$2:$E$301&gt;=F591))&gt;0))&gt;0,"SANÇÃO VIGENTE NA DATA — leia o tipo e a abrangência",""))</f>
        <v/>
      </c>
      <c r="L591" s="19" t="str">
        <f aca="false">IF(A591="","",IFERROR(INDEX(Empresas!$B:$B,MATCH(A591,Empresas!$A:$A,0))&amp;"","cadastre o CNPJ em Empresas"))</f>
        <v/>
      </c>
      <c r="M591" s="27"/>
      <c r="N591" s="35"/>
      <c r="O591" s="37" t="str">
        <f aca="false">IF(OR(D591="",D591=0,N591=""),"",N591/D591)</f>
        <v/>
      </c>
      <c r="P591" s="19" t="str">
        <f aca="false">IF(O591="","",IF(O591&gt;0.25,"ACRÉSCIMO ACIMA DE 25% — conferir",""))</f>
        <v/>
      </c>
      <c r="Q591" s="27"/>
      <c r="R591" s="5"/>
    </row>
    <row r="592" customFormat="false" ht="15" hidden="false" customHeight="false" outlineLevel="0" collapsed="false">
      <c r="A592" s="27"/>
      <c r="B592" s="5"/>
      <c r="C592" s="5"/>
      <c r="D592" s="35"/>
      <c r="E592" s="14"/>
      <c r="F592" s="18"/>
      <c r="G592" s="31" t="str">
        <f aca="false">IF(A592="","",IFERROR(IF(INDEX(Empresas!$C:$C,MATCH(A592,Empresas!$A:$A,0))="","",INDEX(Empresas!$C:$C,MATCH(A592,Empresas!$A:$A,0))),""))</f>
        <v/>
      </c>
      <c r="H592" s="18"/>
      <c r="I592" s="19" t="str">
        <f aca="false">IF(OR(F592="",G592=""),"",IF(F592-G592&lt;0,"CONTRATO ANTERIOR À ABERTURA — conferir datas",IF(F592-G592&lt;180,"ABERTA MENOS DE 6 MESES ANTES","")))</f>
        <v/>
      </c>
      <c r="J592" s="19" t="str">
        <f aca="false">IF(A592="","",IFERROR(INDEX(Sancoes!$B:$B,MATCH(A592,Sancoes!$A:$A,0))&amp;"","não consta"))</f>
        <v/>
      </c>
      <c r="K592" s="19" t="str">
        <f aca="false">IF(OR(A592="",F592=""),"",IF(SUMPRODUCT((Sancoes!$A$2:$A$301=A592)*(Sancoes!$B$2:$B$301&lt;&gt;"Não consta")*(Sancoes!$D$2:$D$301&lt;&gt;"")*(Sancoes!$D$2:$D$301&lt;=F592)*(((Sancoes!$E$2:$E$301="")+(Sancoes!$E$2:$E$301&gt;=F592))&gt;0))&gt;0,"SANÇÃO VIGENTE NA DATA — leia o tipo e a abrangência",""))</f>
        <v/>
      </c>
      <c r="L592" s="19" t="str">
        <f aca="false">IF(A592="","",IFERROR(INDEX(Empresas!$B:$B,MATCH(A592,Empresas!$A:$A,0))&amp;"","cadastre o CNPJ em Empresas"))</f>
        <v/>
      </c>
      <c r="M592" s="27"/>
      <c r="N592" s="35"/>
      <c r="O592" s="37" t="str">
        <f aca="false">IF(OR(D592="",D592=0,N592=""),"",N592/D592)</f>
        <v/>
      </c>
      <c r="P592" s="19" t="str">
        <f aca="false">IF(O592="","",IF(O592&gt;0.25,"ACRÉSCIMO ACIMA DE 25% — conferir",""))</f>
        <v/>
      </c>
      <c r="Q592" s="27"/>
      <c r="R592" s="5"/>
    </row>
    <row r="593" customFormat="false" ht="15" hidden="false" customHeight="false" outlineLevel="0" collapsed="false">
      <c r="A593" s="27"/>
      <c r="B593" s="5"/>
      <c r="C593" s="5"/>
      <c r="D593" s="35"/>
      <c r="E593" s="14"/>
      <c r="F593" s="18"/>
      <c r="G593" s="31" t="str">
        <f aca="false">IF(A593="","",IFERROR(IF(INDEX(Empresas!$C:$C,MATCH(A593,Empresas!$A:$A,0))="","",INDEX(Empresas!$C:$C,MATCH(A593,Empresas!$A:$A,0))),""))</f>
        <v/>
      </c>
      <c r="H593" s="18"/>
      <c r="I593" s="19" t="str">
        <f aca="false">IF(OR(F593="",G593=""),"",IF(F593-G593&lt;0,"CONTRATO ANTERIOR À ABERTURA — conferir datas",IF(F593-G593&lt;180,"ABERTA MENOS DE 6 MESES ANTES","")))</f>
        <v/>
      </c>
      <c r="J593" s="19" t="str">
        <f aca="false">IF(A593="","",IFERROR(INDEX(Sancoes!$B:$B,MATCH(A593,Sancoes!$A:$A,0))&amp;"","não consta"))</f>
        <v/>
      </c>
      <c r="K593" s="19" t="str">
        <f aca="false">IF(OR(A593="",F593=""),"",IF(SUMPRODUCT((Sancoes!$A$2:$A$301=A593)*(Sancoes!$B$2:$B$301&lt;&gt;"Não consta")*(Sancoes!$D$2:$D$301&lt;&gt;"")*(Sancoes!$D$2:$D$301&lt;=F593)*(((Sancoes!$E$2:$E$301="")+(Sancoes!$E$2:$E$301&gt;=F593))&gt;0))&gt;0,"SANÇÃO VIGENTE NA DATA — leia o tipo e a abrangência",""))</f>
        <v/>
      </c>
      <c r="L593" s="19" t="str">
        <f aca="false">IF(A593="","",IFERROR(INDEX(Empresas!$B:$B,MATCH(A593,Empresas!$A:$A,0))&amp;"","cadastre o CNPJ em Empresas"))</f>
        <v/>
      </c>
      <c r="M593" s="27"/>
      <c r="N593" s="35"/>
      <c r="O593" s="37" t="str">
        <f aca="false">IF(OR(D593="",D593=0,N593=""),"",N593/D593)</f>
        <v/>
      </c>
      <c r="P593" s="19" t="str">
        <f aca="false">IF(O593="","",IF(O593&gt;0.25,"ACRÉSCIMO ACIMA DE 25% — conferir",""))</f>
        <v/>
      </c>
      <c r="Q593" s="27"/>
      <c r="R593" s="5"/>
    </row>
    <row r="594" customFormat="false" ht="15" hidden="false" customHeight="false" outlineLevel="0" collapsed="false">
      <c r="A594" s="27"/>
      <c r="B594" s="5"/>
      <c r="C594" s="5"/>
      <c r="D594" s="35"/>
      <c r="E594" s="14"/>
      <c r="F594" s="18"/>
      <c r="G594" s="31" t="str">
        <f aca="false">IF(A594="","",IFERROR(IF(INDEX(Empresas!$C:$C,MATCH(A594,Empresas!$A:$A,0))="","",INDEX(Empresas!$C:$C,MATCH(A594,Empresas!$A:$A,0))),""))</f>
        <v/>
      </c>
      <c r="H594" s="18"/>
      <c r="I594" s="19" t="str">
        <f aca="false">IF(OR(F594="",G594=""),"",IF(F594-G594&lt;0,"CONTRATO ANTERIOR À ABERTURA — conferir datas",IF(F594-G594&lt;180,"ABERTA MENOS DE 6 MESES ANTES","")))</f>
        <v/>
      </c>
      <c r="J594" s="19" t="str">
        <f aca="false">IF(A594="","",IFERROR(INDEX(Sancoes!$B:$B,MATCH(A594,Sancoes!$A:$A,0))&amp;"","não consta"))</f>
        <v/>
      </c>
      <c r="K594" s="19" t="str">
        <f aca="false">IF(OR(A594="",F594=""),"",IF(SUMPRODUCT((Sancoes!$A$2:$A$301=A594)*(Sancoes!$B$2:$B$301&lt;&gt;"Não consta")*(Sancoes!$D$2:$D$301&lt;&gt;"")*(Sancoes!$D$2:$D$301&lt;=F594)*(((Sancoes!$E$2:$E$301="")+(Sancoes!$E$2:$E$301&gt;=F594))&gt;0))&gt;0,"SANÇÃO VIGENTE NA DATA — leia o tipo e a abrangência",""))</f>
        <v/>
      </c>
      <c r="L594" s="19" t="str">
        <f aca="false">IF(A594="","",IFERROR(INDEX(Empresas!$B:$B,MATCH(A594,Empresas!$A:$A,0))&amp;"","cadastre o CNPJ em Empresas"))</f>
        <v/>
      </c>
      <c r="M594" s="27"/>
      <c r="N594" s="35"/>
      <c r="O594" s="37" t="str">
        <f aca="false">IF(OR(D594="",D594=0,N594=""),"",N594/D594)</f>
        <v/>
      </c>
      <c r="P594" s="19" t="str">
        <f aca="false">IF(O594="","",IF(O594&gt;0.25,"ACRÉSCIMO ACIMA DE 25% — conferir",""))</f>
        <v/>
      </c>
      <c r="Q594" s="27"/>
      <c r="R594" s="5"/>
    </row>
    <row r="595" customFormat="false" ht="15" hidden="false" customHeight="false" outlineLevel="0" collapsed="false">
      <c r="A595" s="27"/>
      <c r="B595" s="5"/>
      <c r="C595" s="5"/>
      <c r="D595" s="35"/>
      <c r="E595" s="14"/>
      <c r="F595" s="18"/>
      <c r="G595" s="31" t="str">
        <f aca="false">IF(A595="","",IFERROR(IF(INDEX(Empresas!$C:$C,MATCH(A595,Empresas!$A:$A,0))="","",INDEX(Empresas!$C:$C,MATCH(A595,Empresas!$A:$A,0))),""))</f>
        <v/>
      </c>
      <c r="H595" s="18"/>
      <c r="I595" s="19" t="str">
        <f aca="false">IF(OR(F595="",G595=""),"",IF(F595-G595&lt;0,"CONTRATO ANTERIOR À ABERTURA — conferir datas",IF(F595-G595&lt;180,"ABERTA MENOS DE 6 MESES ANTES","")))</f>
        <v/>
      </c>
      <c r="J595" s="19" t="str">
        <f aca="false">IF(A595="","",IFERROR(INDEX(Sancoes!$B:$B,MATCH(A595,Sancoes!$A:$A,0))&amp;"","não consta"))</f>
        <v/>
      </c>
      <c r="K595" s="19" t="str">
        <f aca="false">IF(OR(A595="",F595=""),"",IF(SUMPRODUCT((Sancoes!$A$2:$A$301=A595)*(Sancoes!$B$2:$B$301&lt;&gt;"Não consta")*(Sancoes!$D$2:$D$301&lt;&gt;"")*(Sancoes!$D$2:$D$301&lt;=F595)*(((Sancoes!$E$2:$E$301="")+(Sancoes!$E$2:$E$301&gt;=F595))&gt;0))&gt;0,"SANÇÃO VIGENTE NA DATA — leia o tipo e a abrangência",""))</f>
        <v/>
      </c>
      <c r="L595" s="19" t="str">
        <f aca="false">IF(A595="","",IFERROR(INDEX(Empresas!$B:$B,MATCH(A595,Empresas!$A:$A,0))&amp;"","cadastre o CNPJ em Empresas"))</f>
        <v/>
      </c>
      <c r="M595" s="27"/>
      <c r="N595" s="35"/>
      <c r="O595" s="37" t="str">
        <f aca="false">IF(OR(D595="",D595=0,N595=""),"",N595/D595)</f>
        <v/>
      </c>
      <c r="P595" s="19" t="str">
        <f aca="false">IF(O595="","",IF(O595&gt;0.25,"ACRÉSCIMO ACIMA DE 25% — conferir",""))</f>
        <v/>
      </c>
      <c r="Q595" s="27"/>
      <c r="R595" s="5"/>
    </row>
    <row r="596" customFormat="false" ht="15" hidden="false" customHeight="false" outlineLevel="0" collapsed="false">
      <c r="A596" s="27"/>
      <c r="B596" s="5"/>
      <c r="C596" s="5"/>
      <c r="D596" s="35"/>
      <c r="E596" s="14"/>
      <c r="F596" s="18"/>
      <c r="G596" s="31" t="str">
        <f aca="false">IF(A596="","",IFERROR(IF(INDEX(Empresas!$C:$C,MATCH(A596,Empresas!$A:$A,0))="","",INDEX(Empresas!$C:$C,MATCH(A596,Empresas!$A:$A,0))),""))</f>
        <v/>
      </c>
      <c r="H596" s="18"/>
      <c r="I596" s="19" t="str">
        <f aca="false">IF(OR(F596="",G596=""),"",IF(F596-G596&lt;0,"CONTRATO ANTERIOR À ABERTURA — conferir datas",IF(F596-G596&lt;180,"ABERTA MENOS DE 6 MESES ANTES","")))</f>
        <v/>
      </c>
      <c r="J596" s="19" t="str">
        <f aca="false">IF(A596="","",IFERROR(INDEX(Sancoes!$B:$B,MATCH(A596,Sancoes!$A:$A,0))&amp;"","não consta"))</f>
        <v/>
      </c>
      <c r="K596" s="19" t="str">
        <f aca="false">IF(OR(A596="",F596=""),"",IF(SUMPRODUCT((Sancoes!$A$2:$A$301=A596)*(Sancoes!$B$2:$B$301&lt;&gt;"Não consta")*(Sancoes!$D$2:$D$301&lt;&gt;"")*(Sancoes!$D$2:$D$301&lt;=F596)*(((Sancoes!$E$2:$E$301="")+(Sancoes!$E$2:$E$301&gt;=F596))&gt;0))&gt;0,"SANÇÃO VIGENTE NA DATA — leia o tipo e a abrangência",""))</f>
        <v/>
      </c>
      <c r="L596" s="19" t="str">
        <f aca="false">IF(A596="","",IFERROR(INDEX(Empresas!$B:$B,MATCH(A596,Empresas!$A:$A,0))&amp;"","cadastre o CNPJ em Empresas"))</f>
        <v/>
      </c>
      <c r="M596" s="27"/>
      <c r="N596" s="35"/>
      <c r="O596" s="37" t="str">
        <f aca="false">IF(OR(D596="",D596=0,N596=""),"",N596/D596)</f>
        <v/>
      </c>
      <c r="P596" s="19" t="str">
        <f aca="false">IF(O596="","",IF(O596&gt;0.25,"ACRÉSCIMO ACIMA DE 25% — conferir",""))</f>
        <v/>
      </c>
      <c r="Q596" s="27"/>
      <c r="R596" s="5"/>
    </row>
    <row r="597" customFormat="false" ht="15" hidden="false" customHeight="false" outlineLevel="0" collapsed="false">
      <c r="A597" s="27"/>
      <c r="B597" s="5"/>
      <c r="C597" s="5"/>
      <c r="D597" s="35"/>
      <c r="E597" s="14"/>
      <c r="F597" s="18"/>
      <c r="G597" s="31" t="str">
        <f aca="false">IF(A597="","",IFERROR(IF(INDEX(Empresas!$C:$C,MATCH(A597,Empresas!$A:$A,0))="","",INDEX(Empresas!$C:$C,MATCH(A597,Empresas!$A:$A,0))),""))</f>
        <v/>
      </c>
      <c r="H597" s="18"/>
      <c r="I597" s="19" t="str">
        <f aca="false">IF(OR(F597="",G597=""),"",IF(F597-G597&lt;0,"CONTRATO ANTERIOR À ABERTURA — conferir datas",IF(F597-G597&lt;180,"ABERTA MENOS DE 6 MESES ANTES","")))</f>
        <v/>
      </c>
      <c r="J597" s="19" t="str">
        <f aca="false">IF(A597="","",IFERROR(INDEX(Sancoes!$B:$B,MATCH(A597,Sancoes!$A:$A,0))&amp;"","não consta"))</f>
        <v/>
      </c>
      <c r="K597" s="19" t="str">
        <f aca="false">IF(OR(A597="",F597=""),"",IF(SUMPRODUCT((Sancoes!$A$2:$A$301=A597)*(Sancoes!$B$2:$B$301&lt;&gt;"Não consta")*(Sancoes!$D$2:$D$301&lt;&gt;"")*(Sancoes!$D$2:$D$301&lt;=F597)*(((Sancoes!$E$2:$E$301="")+(Sancoes!$E$2:$E$301&gt;=F597))&gt;0))&gt;0,"SANÇÃO VIGENTE NA DATA — leia o tipo e a abrangência",""))</f>
        <v/>
      </c>
      <c r="L597" s="19" t="str">
        <f aca="false">IF(A597="","",IFERROR(INDEX(Empresas!$B:$B,MATCH(A597,Empresas!$A:$A,0))&amp;"","cadastre o CNPJ em Empresas"))</f>
        <v/>
      </c>
      <c r="M597" s="27"/>
      <c r="N597" s="35"/>
      <c r="O597" s="37" t="str">
        <f aca="false">IF(OR(D597="",D597=0,N597=""),"",N597/D597)</f>
        <v/>
      </c>
      <c r="P597" s="19" t="str">
        <f aca="false">IF(O597="","",IF(O597&gt;0.25,"ACRÉSCIMO ACIMA DE 25% — conferir",""))</f>
        <v/>
      </c>
      <c r="Q597" s="27"/>
      <c r="R597" s="5"/>
    </row>
    <row r="598" customFormat="false" ht="15" hidden="false" customHeight="false" outlineLevel="0" collapsed="false">
      <c r="A598" s="27"/>
      <c r="B598" s="5"/>
      <c r="C598" s="5"/>
      <c r="D598" s="35"/>
      <c r="E598" s="14"/>
      <c r="F598" s="18"/>
      <c r="G598" s="31" t="str">
        <f aca="false">IF(A598="","",IFERROR(IF(INDEX(Empresas!$C:$C,MATCH(A598,Empresas!$A:$A,0))="","",INDEX(Empresas!$C:$C,MATCH(A598,Empresas!$A:$A,0))),""))</f>
        <v/>
      </c>
      <c r="H598" s="18"/>
      <c r="I598" s="19" t="str">
        <f aca="false">IF(OR(F598="",G598=""),"",IF(F598-G598&lt;0,"CONTRATO ANTERIOR À ABERTURA — conferir datas",IF(F598-G598&lt;180,"ABERTA MENOS DE 6 MESES ANTES","")))</f>
        <v/>
      </c>
      <c r="J598" s="19" t="str">
        <f aca="false">IF(A598="","",IFERROR(INDEX(Sancoes!$B:$B,MATCH(A598,Sancoes!$A:$A,0))&amp;"","não consta"))</f>
        <v/>
      </c>
      <c r="K598" s="19" t="str">
        <f aca="false">IF(OR(A598="",F598=""),"",IF(SUMPRODUCT((Sancoes!$A$2:$A$301=A598)*(Sancoes!$B$2:$B$301&lt;&gt;"Não consta")*(Sancoes!$D$2:$D$301&lt;&gt;"")*(Sancoes!$D$2:$D$301&lt;=F598)*(((Sancoes!$E$2:$E$301="")+(Sancoes!$E$2:$E$301&gt;=F598))&gt;0))&gt;0,"SANÇÃO VIGENTE NA DATA — leia o tipo e a abrangência",""))</f>
        <v/>
      </c>
      <c r="L598" s="19" t="str">
        <f aca="false">IF(A598="","",IFERROR(INDEX(Empresas!$B:$B,MATCH(A598,Empresas!$A:$A,0))&amp;"","cadastre o CNPJ em Empresas"))</f>
        <v/>
      </c>
      <c r="M598" s="27"/>
      <c r="N598" s="35"/>
      <c r="O598" s="37" t="str">
        <f aca="false">IF(OR(D598="",D598=0,N598=""),"",N598/D598)</f>
        <v/>
      </c>
      <c r="P598" s="19" t="str">
        <f aca="false">IF(O598="","",IF(O598&gt;0.25,"ACRÉSCIMO ACIMA DE 25% — conferir",""))</f>
        <v/>
      </c>
      <c r="Q598" s="27"/>
      <c r="R598" s="5"/>
    </row>
    <row r="599" customFormat="false" ht="15" hidden="false" customHeight="false" outlineLevel="0" collapsed="false">
      <c r="A599" s="27"/>
      <c r="B599" s="5"/>
      <c r="C599" s="5"/>
      <c r="D599" s="35"/>
      <c r="E599" s="14"/>
      <c r="F599" s="18"/>
      <c r="G599" s="31" t="str">
        <f aca="false">IF(A599="","",IFERROR(IF(INDEX(Empresas!$C:$C,MATCH(A599,Empresas!$A:$A,0))="","",INDEX(Empresas!$C:$C,MATCH(A599,Empresas!$A:$A,0))),""))</f>
        <v/>
      </c>
      <c r="H599" s="18"/>
      <c r="I599" s="19" t="str">
        <f aca="false">IF(OR(F599="",G599=""),"",IF(F599-G599&lt;0,"CONTRATO ANTERIOR À ABERTURA — conferir datas",IF(F599-G599&lt;180,"ABERTA MENOS DE 6 MESES ANTES","")))</f>
        <v/>
      </c>
      <c r="J599" s="19" t="str">
        <f aca="false">IF(A599="","",IFERROR(INDEX(Sancoes!$B:$B,MATCH(A599,Sancoes!$A:$A,0))&amp;"","não consta"))</f>
        <v/>
      </c>
      <c r="K599" s="19" t="str">
        <f aca="false">IF(OR(A599="",F599=""),"",IF(SUMPRODUCT((Sancoes!$A$2:$A$301=A599)*(Sancoes!$B$2:$B$301&lt;&gt;"Não consta")*(Sancoes!$D$2:$D$301&lt;&gt;"")*(Sancoes!$D$2:$D$301&lt;=F599)*(((Sancoes!$E$2:$E$301="")+(Sancoes!$E$2:$E$301&gt;=F599))&gt;0))&gt;0,"SANÇÃO VIGENTE NA DATA — leia o tipo e a abrangência",""))</f>
        <v/>
      </c>
      <c r="L599" s="19" t="str">
        <f aca="false">IF(A599="","",IFERROR(INDEX(Empresas!$B:$B,MATCH(A599,Empresas!$A:$A,0))&amp;"","cadastre o CNPJ em Empresas"))</f>
        <v/>
      </c>
      <c r="M599" s="27"/>
      <c r="N599" s="35"/>
      <c r="O599" s="37" t="str">
        <f aca="false">IF(OR(D599="",D599=0,N599=""),"",N599/D599)</f>
        <v/>
      </c>
      <c r="P599" s="19" t="str">
        <f aca="false">IF(O599="","",IF(O599&gt;0.25,"ACRÉSCIMO ACIMA DE 25% — conferir",""))</f>
        <v/>
      </c>
      <c r="Q599" s="27"/>
      <c r="R599" s="5"/>
    </row>
    <row r="600" customFormat="false" ht="15" hidden="false" customHeight="false" outlineLevel="0" collapsed="false">
      <c r="A600" s="27"/>
      <c r="B600" s="5"/>
      <c r="C600" s="5"/>
      <c r="D600" s="35"/>
      <c r="E600" s="14"/>
      <c r="F600" s="18"/>
      <c r="G600" s="31" t="str">
        <f aca="false">IF(A600="","",IFERROR(IF(INDEX(Empresas!$C:$C,MATCH(A600,Empresas!$A:$A,0))="","",INDEX(Empresas!$C:$C,MATCH(A600,Empresas!$A:$A,0))),""))</f>
        <v/>
      </c>
      <c r="H600" s="18"/>
      <c r="I600" s="19" t="str">
        <f aca="false">IF(OR(F600="",G600=""),"",IF(F600-G600&lt;0,"CONTRATO ANTERIOR À ABERTURA — conferir datas",IF(F600-G600&lt;180,"ABERTA MENOS DE 6 MESES ANTES","")))</f>
        <v/>
      </c>
      <c r="J600" s="19" t="str">
        <f aca="false">IF(A600="","",IFERROR(INDEX(Sancoes!$B:$B,MATCH(A600,Sancoes!$A:$A,0))&amp;"","não consta"))</f>
        <v/>
      </c>
      <c r="K600" s="19" t="str">
        <f aca="false">IF(OR(A600="",F600=""),"",IF(SUMPRODUCT((Sancoes!$A$2:$A$301=A600)*(Sancoes!$B$2:$B$301&lt;&gt;"Não consta")*(Sancoes!$D$2:$D$301&lt;&gt;"")*(Sancoes!$D$2:$D$301&lt;=F600)*(((Sancoes!$E$2:$E$301="")+(Sancoes!$E$2:$E$301&gt;=F600))&gt;0))&gt;0,"SANÇÃO VIGENTE NA DATA — leia o tipo e a abrangência",""))</f>
        <v/>
      </c>
      <c r="L600" s="19" t="str">
        <f aca="false">IF(A600="","",IFERROR(INDEX(Empresas!$B:$B,MATCH(A600,Empresas!$A:$A,0))&amp;"","cadastre o CNPJ em Empresas"))</f>
        <v/>
      </c>
      <c r="M600" s="27"/>
      <c r="N600" s="35"/>
      <c r="O600" s="37" t="str">
        <f aca="false">IF(OR(D600="",D600=0,N600=""),"",N600/D600)</f>
        <v/>
      </c>
      <c r="P600" s="19" t="str">
        <f aca="false">IF(O600="","",IF(O600&gt;0.25,"ACRÉSCIMO ACIMA DE 25% — conferir",""))</f>
        <v/>
      </c>
      <c r="Q600" s="27"/>
      <c r="R600" s="5"/>
    </row>
    <row r="601" customFormat="false" ht="15" hidden="false" customHeight="false" outlineLevel="0" collapsed="false">
      <c r="A601" s="27"/>
      <c r="B601" s="5"/>
      <c r="C601" s="5"/>
      <c r="D601" s="35"/>
      <c r="E601" s="14"/>
      <c r="F601" s="18"/>
      <c r="G601" s="31" t="str">
        <f aca="false">IF(A601="","",IFERROR(IF(INDEX(Empresas!$C:$C,MATCH(A601,Empresas!$A:$A,0))="","",INDEX(Empresas!$C:$C,MATCH(A601,Empresas!$A:$A,0))),""))</f>
        <v/>
      </c>
      <c r="H601" s="18"/>
      <c r="I601" s="19" t="str">
        <f aca="false">IF(OR(F601="",G601=""),"",IF(F601-G601&lt;0,"CONTRATO ANTERIOR À ABERTURA — conferir datas",IF(F601-G601&lt;180,"ABERTA MENOS DE 6 MESES ANTES","")))</f>
        <v/>
      </c>
      <c r="J601" s="19" t="str">
        <f aca="false">IF(A601="","",IFERROR(INDEX(Sancoes!$B:$B,MATCH(A601,Sancoes!$A:$A,0))&amp;"","não consta"))</f>
        <v/>
      </c>
      <c r="K601" s="19" t="str">
        <f aca="false">IF(OR(A601="",F601=""),"",IF(SUMPRODUCT((Sancoes!$A$2:$A$301=A601)*(Sancoes!$B$2:$B$301&lt;&gt;"Não consta")*(Sancoes!$D$2:$D$301&lt;&gt;"")*(Sancoes!$D$2:$D$301&lt;=F601)*(((Sancoes!$E$2:$E$301="")+(Sancoes!$E$2:$E$301&gt;=F601))&gt;0))&gt;0,"SANÇÃO VIGENTE NA DATA — leia o tipo e a abrangência",""))</f>
        <v/>
      </c>
      <c r="L601" s="19" t="str">
        <f aca="false">IF(A601="","",IFERROR(INDEX(Empresas!$B:$B,MATCH(A601,Empresas!$A:$A,0))&amp;"","cadastre o CNPJ em Empresas"))</f>
        <v/>
      </c>
      <c r="M601" s="27"/>
      <c r="N601" s="35"/>
      <c r="O601" s="37" t="str">
        <f aca="false">IF(OR(D601="",D601=0,N601=""),"",N601/D601)</f>
        <v/>
      </c>
      <c r="P601" s="19" t="str">
        <f aca="false">IF(O601="","",IF(O601&gt;0.25,"ACRÉSCIMO ACIMA DE 25% — conferir",""))</f>
        <v/>
      </c>
      <c r="Q601" s="27"/>
      <c r="R601" s="5"/>
    </row>
    <row r="602" customFormat="false" ht="15" hidden="false" customHeight="false" outlineLevel="0" collapsed="false">
      <c r="A602" s="27"/>
      <c r="B602" s="5"/>
      <c r="C602" s="5"/>
      <c r="D602" s="35"/>
      <c r="E602" s="14"/>
      <c r="F602" s="18"/>
      <c r="G602" s="31" t="str">
        <f aca="false">IF(A602="","",IFERROR(IF(INDEX(Empresas!$C:$C,MATCH(A602,Empresas!$A:$A,0))="","",INDEX(Empresas!$C:$C,MATCH(A602,Empresas!$A:$A,0))),""))</f>
        <v/>
      </c>
      <c r="H602" s="18"/>
      <c r="I602" s="19" t="str">
        <f aca="false">IF(OR(F602="",G602=""),"",IF(F602-G602&lt;0,"CONTRATO ANTERIOR À ABERTURA — conferir datas",IF(F602-G602&lt;180,"ABERTA MENOS DE 6 MESES ANTES","")))</f>
        <v/>
      </c>
      <c r="J602" s="19" t="str">
        <f aca="false">IF(A602="","",IFERROR(INDEX(Sancoes!$B:$B,MATCH(A602,Sancoes!$A:$A,0))&amp;"","não consta"))</f>
        <v/>
      </c>
      <c r="K602" s="19" t="str">
        <f aca="false">IF(OR(A602="",F602=""),"",IF(SUMPRODUCT((Sancoes!$A$2:$A$301=A602)*(Sancoes!$B$2:$B$301&lt;&gt;"Não consta")*(Sancoes!$D$2:$D$301&lt;&gt;"")*(Sancoes!$D$2:$D$301&lt;=F602)*(((Sancoes!$E$2:$E$301="")+(Sancoes!$E$2:$E$301&gt;=F602))&gt;0))&gt;0,"SANÇÃO VIGENTE NA DATA — leia o tipo e a abrangência",""))</f>
        <v/>
      </c>
      <c r="L602" s="19" t="str">
        <f aca="false">IF(A602="","",IFERROR(INDEX(Empresas!$B:$B,MATCH(A602,Empresas!$A:$A,0))&amp;"","cadastre o CNPJ em Empresas"))</f>
        <v/>
      </c>
      <c r="M602" s="27"/>
      <c r="N602" s="35"/>
      <c r="O602" s="37" t="str">
        <f aca="false">IF(OR(D602="",D602=0,N602=""),"",N602/D602)</f>
        <v/>
      </c>
      <c r="P602" s="19" t="str">
        <f aca="false">IF(O602="","",IF(O602&gt;0.25,"ACRÉSCIMO ACIMA DE 25% — conferir",""))</f>
        <v/>
      </c>
      <c r="Q602" s="27"/>
      <c r="R602" s="5"/>
    </row>
    <row r="603" customFormat="false" ht="15" hidden="false" customHeight="false" outlineLevel="0" collapsed="false">
      <c r="A603" s="27"/>
      <c r="B603" s="5"/>
      <c r="C603" s="5"/>
      <c r="D603" s="35"/>
      <c r="E603" s="14"/>
      <c r="F603" s="18"/>
      <c r="G603" s="31" t="str">
        <f aca="false">IF(A603="","",IFERROR(IF(INDEX(Empresas!$C:$C,MATCH(A603,Empresas!$A:$A,0))="","",INDEX(Empresas!$C:$C,MATCH(A603,Empresas!$A:$A,0))),""))</f>
        <v/>
      </c>
      <c r="H603" s="18"/>
      <c r="I603" s="19" t="str">
        <f aca="false">IF(OR(F603="",G603=""),"",IF(F603-G603&lt;0,"CONTRATO ANTERIOR À ABERTURA — conferir datas",IF(F603-G603&lt;180,"ABERTA MENOS DE 6 MESES ANTES","")))</f>
        <v/>
      </c>
      <c r="J603" s="19" t="str">
        <f aca="false">IF(A603="","",IFERROR(INDEX(Sancoes!$B:$B,MATCH(A603,Sancoes!$A:$A,0))&amp;"","não consta"))</f>
        <v/>
      </c>
      <c r="K603" s="19" t="str">
        <f aca="false">IF(OR(A603="",F603=""),"",IF(SUMPRODUCT((Sancoes!$A$2:$A$301=A603)*(Sancoes!$B$2:$B$301&lt;&gt;"Não consta")*(Sancoes!$D$2:$D$301&lt;&gt;"")*(Sancoes!$D$2:$D$301&lt;=F603)*(((Sancoes!$E$2:$E$301="")+(Sancoes!$E$2:$E$301&gt;=F603))&gt;0))&gt;0,"SANÇÃO VIGENTE NA DATA — leia o tipo e a abrangência",""))</f>
        <v/>
      </c>
      <c r="L603" s="19" t="str">
        <f aca="false">IF(A603="","",IFERROR(INDEX(Empresas!$B:$B,MATCH(A603,Empresas!$A:$A,0))&amp;"","cadastre o CNPJ em Empresas"))</f>
        <v/>
      </c>
      <c r="M603" s="27"/>
      <c r="N603" s="35"/>
      <c r="O603" s="37" t="str">
        <f aca="false">IF(OR(D603="",D603=0,N603=""),"",N603/D603)</f>
        <v/>
      </c>
      <c r="P603" s="19" t="str">
        <f aca="false">IF(O603="","",IF(O603&gt;0.25,"ACRÉSCIMO ACIMA DE 25% — conferir",""))</f>
        <v/>
      </c>
      <c r="Q603" s="27"/>
      <c r="R603" s="5"/>
    </row>
    <row r="604" customFormat="false" ht="15" hidden="false" customHeight="false" outlineLevel="0" collapsed="false">
      <c r="A604" s="27"/>
      <c r="B604" s="5"/>
      <c r="C604" s="5"/>
      <c r="D604" s="35"/>
      <c r="E604" s="14"/>
      <c r="F604" s="18"/>
      <c r="G604" s="31" t="str">
        <f aca="false">IF(A604="","",IFERROR(IF(INDEX(Empresas!$C:$C,MATCH(A604,Empresas!$A:$A,0))="","",INDEX(Empresas!$C:$C,MATCH(A604,Empresas!$A:$A,0))),""))</f>
        <v/>
      </c>
      <c r="H604" s="18"/>
      <c r="I604" s="19" t="str">
        <f aca="false">IF(OR(F604="",G604=""),"",IF(F604-G604&lt;0,"CONTRATO ANTERIOR À ABERTURA — conferir datas",IF(F604-G604&lt;180,"ABERTA MENOS DE 6 MESES ANTES","")))</f>
        <v/>
      </c>
      <c r="J604" s="19" t="str">
        <f aca="false">IF(A604="","",IFERROR(INDEX(Sancoes!$B:$B,MATCH(A604,Sancoes!$A:$A,0))&amp;"","não consta"))</f>
        <v/>
      </c>
      <c r="K604" s="19" t="str">
        <f aca="false">IF(OR(A604="",F604=""),"",IF(SUMPRODUCT((Sancoes!$A$2:$A$301=A604)*(Sancoes!$B$2:$B$301&lt;&gt;"Não consta")*(Sancoes!$D$2:$D$301&lt;&gt;"")*(Sancoes!$D$2:$D$301&lt;=F604)*(((Sancoes!$E$2:$E$301="")+(Sancoes!$E$2:$E$301&gt;=F604))&gt;0))&gt;0,"SANÇÃO VIGENTE NA DATA — leia o tipo e a abrangência",""))</f>
        <v/>
      </c>
      <c r="L604" s="19" t="str">
        <f aca="false">IF(A604="","",IFERROR(INDEX(Empresas!$B:$B,MATCH(A604,Empresas!$A:$A,0))&amp;"","cadastre o CNPJ em Empresas"))</f>
        <v/>
      </c>
      <c r="M604" s="27"/>
      <c r="N604" s="35"/>
      <c r="O604" s="37" t="str">
        <f aca="false">IF(OR(D604="",D604=0,N604=""),"",N604/D604)</f>
        <v/>
      </c>
      <c r="P604" s="19" t="str">
        <f aca="false">IF(O604="","",IF(O604&gt;0.25,"ACRÉSCIMO ACIMA DE 25% — conferir",""))</f>
        <v/>
      </c>
      <c r="Q604" s="27"/>
      <c r="R604" s="5"/>
    </row>
    <row r="605" customFormat="false" ht="15" hidden="false" customHeight="false" outlineLevel="0" collapsed="false">
      <c r="A605" s="27"/>
      <c r="B605" s="5"/>
      <c r="C605" s="5"/>
      <c r="D605" s="35"/>
      <c r="E605" s="14"/>
      <c r="F605" s="18"/>
      <c r="G605" s="31" t="str">
        <f aca="false">IF(A605="","",IFERROR(IF(INDEX(Empresas!$C:$C,MATCH(A605,Empresas!$A:$A,0))="","",INDEX(Empresas!$C:$C,MATCH(A605,Empresas!$A:$A,0))),""))</f>
        <v/>
      </c>
      <c r="H605" s="18"/>
      <c r="I605" s="19" t="str">
        <f aca="false">IF(OR(F605="",G605=""),"",IF(F605-G605&lt;0,"CONTRATO ANTERIOR À ABERTURA — conferir datas",IF(F605-G605&lt;180,"ABERTA MENOS DE 6 MESES ANTES","")))</f>
        <v/>
      </c>
      <c r="J605" s="19" t="str">
        <f aca="false">IF(A605="","",IFERROR(INDEX(Sancoes!$B:$B,MATCH(A605,Sancoes!$A:$A,0))&amp;"","não consta"))</f>
        <v/>
      </c>
      <c r="K605" s="19" t="str">
        <f aca="false">IF(OR(A605="",F605=""),"",IF(SUMPRODUCT((Sancoes!$A$2:$A$301=A605)*(Sancoes!$B$2:$B$301&lt;&gt;"Não consta")*(Sancoes!$D$2:$D$301&lt;&gt;"")*(Sancoes!$D$2:$D$301&lt;=F605)*(((Sancoes!$E$2:$E$301="")+(Sancoes!$E$2:$E$301&gt;=F605))&gt;0))&gt;0,"SANÇÃO VIGENTE NA DATA — leia o tipo e a abrangência",""))</f>
        <v/>
      </c>
      <c r="L605" s="19" t="str">
        <f aca="false">IF(A605="","",IFERROR(INDEX(Empresas!$B:$B,MATCH(A605,Empresas!$A:$A,0))&amp;"","cadastre o CNPJ em Empresas"))</f>
        <v/>
      </c>
      <c r="M605" s="27"/>
      <c r="N605" s="35"/>
      <c r="O605" s="37" t="str">
        <f aca="false">IF(OR(D605="",D605=0,N605=""),"",N605/D605)</f>
        <v/>
      </c>
      <c r="P605" s="19" t="str">
        <f aca="false">IF(O605="","",IF(O605&gt;0.25,"ACRÉSCIMO ACIMA DE 25% — conferir",""))</f>
        <v/>
      </c>
      <c r="Q605" s="27"/>
      <c r="R605" s="5"/>
    </row>
    <row r="606" customFormat="false" ht="15" hidden="false" customHeight="false" outlineLevel="0" collapsed="false">
      <c r="A606" s="27"/>
      <c r="B606" s="5"/>
      <c r="C606" s="5"/>
      <c r="D606" s="35"/>
      <c r="E606" s="14"/>
      <c r="F606" s="18"/>
      <c r="G606" s="31" t="str">
        <f aca="false">IF(A606="","",IFERROR(IF(INDEX(Empresas!$C:$C,MATCH(A606,Empresas!$A:$A,0))="","",INDEX(Empresas!$C:$C,MATCH(A606,Empresas!$A:$A,0))),""))</f>
        <v/>
      </c>
      <c r="H606" s="18"/>
      <c r="I606" s="19" t="str">
        <f aca="false">IF(OR(F606="",G606=""),"",IF(F606-G606&lt;0,"CONTRATO ANTERIOR À ABERTURA — conferir datas",IF(F606-G606&lt;180,"ABERTA MENOS DE 6 MESES ANTES","")))</f>
        <v/>
      </c>
      <c r="J606" s="19" t="str">
        <f aca="false">IF(A606="","",IFERROR(INDEX(Sancoes!$B:$B,MATCH(A606,Sancoes!$A:$A,0))&amp;"","não consta"))</f>
        <v/>
      </c>
      <c r="K606" s="19" t="str">
        <f aca="false">IF(OR(A606="",F606=""),"",IF(SUMPRODUCT((Sancoes!$A$2:$A$301=A606)*(Sancoes!$B$2:$B$301&lt;&gt;"Não consta")*(Sancoes!$D$2:$D$301&lt;&gt;"")*(Sancoes!$D$2:$D$301&lt;=F606)*(((Sancoes!$E$2:$E$301="")+(Sancoes!$E$2:$E$301&gt;=F606))&gt;0))&gt;0,"SANÇÃO VIGENTE NA DATA — leia o tipo e a abrangência",""))</f>
        <v/>
      </c>
      <c r="L606" s="19" t="str">
        <f aca="false">IF(A606="","",IFERROR(INDEX(Empresas!$B:$B,MATCH(A606,Empresas!$A:$A,0))&amp;"","cadastre o CNPJ em Empresas"))</f>
        <v/>
      </c>
      <c r="M606" s="27"/>
      <c r="N606" s="35"/>
      <c r="O606" s="37" t="str">
        <f aca="false">IF(OR(D606="",D606=0,N606=""),"",N606/D606)</f>
        <v/>
      </c>
      <c r="P606" s="19" t="str">
        <f aca="false">IF(O606="","",IF(O606&gt;0.25,"ACRÉSCIMO ACIMA DE 25% — conferir",""))</f>
        <v/>
      </c>
      <c r="Q606" s="27"/>
      <c r="R606" s="5"/>
    </row>
    <row r="607" customFormat="false" ht="15" hidden="false" customHeight="false" outlineLevel="0" collapsed="false">
      <c r="A607" s="27"/>
      <c r="B607" s="5"/>
      <c r="C607" s="5"/>
      <c r="D607" s="35"/>
      <c r="E607" s="14"/>
      <c r="F607" s="18"/>
      <c r="G607" s="31" t="str">
        <f aca="false">IF(A607="","",IFERROR(IF(INDEX(Empresas!$C:$C,MATCH(A607,Empresas!$A:$A,0))="","",INDEX(Empresas!$C:$C,MATCH(A607,Empresas!$A:$A,0))),""))</f>
        <v/>
      </c>
      <c r="H607" s="18"/>
      <c r="I607" s="19" t="str">
        <f aca="false">IF(OR(F607="",G607=""),"",IF(F607-G607&lt;0,"CONTRATO ANTERIOR À ABERTURA — conferir datas",IF(F607-G607&lt;180,"ABERTA MENOS DE 6 MESES ANTES","")))</f>
        <v/>
      </c>
      <c r="J607" s="19" t="str">
        <f aca="false">IF(A607="","",IFERROR(INDEX(Sancoes!$B:$B,MATCH(A607,Sancoes!$A:$A,0))&amp;"","não consta"))</f>
        <v/>
      </c>
      <c r="K607" s="19" t="str">
        <f aca="false">IF(OR(A607="",F607=""),"",IF(SUMPRODUCT((Sancoes!$A$2:$A$301=A607)*(Sancoes!$B$2:$B$301&lt;&gt;"Não consta")*(Sancoes!$D$2:$D$301&lt;&gt;"")*(Sancoes!$D$2:$D$301&lt;=F607)*(((Sancoes!$E$2:$E$301="")+(Sancoes!$E$2:$E$301&gt;=F607))&gt;0))&gt;0,"SANÇÃO VIGENTE NA DATA — leia o tipo e a abrangência",""))</f>
        <v/>
      </c>
      <c r="L607" s="19" t="str">
        <f aca="false">IF(A607="","",IFERROR(INDEX(Empresas!$B:$B,MATCH(A607,Empresas!$A:$A,0))&amp;"","cadastre o CNPJ em Empresas"))</f>
        <v/>
      </c>
      <c r="M607" s="27"/>
      <c r="N607" s="35"/>
      <c r="O607" s="37" t="str">
        <f aca="false">IF(OR(D607="",D607=0,N607=""),"",N607/D607)</f>
        <v/>
      </c>
      <c r="P607" s="19" t="str">
        <f aca="false">IF(O607="","",IF(O607&gt;0.25,"ACRÉSCIMO ACIMA DE 25% — conferir",""))</f>
        <v/>
      </c>
      <c r="Q607" s="27"/>
      <c r="R607" s="5"/>
    </row>
    <row r="608" customFormat="false" ht="15" hidden="false" customHeight="false" outlineLevel="0" collapsed="false">
      <c r="A608" s="27"/>
      <c r="B608" s="5"/>
      <c r="C608" s="5"/>
      <c r="D608" s="35"/>
      <c r="E608" s="14"/>
      <c r="F608" s="18"/>
      <c r="G608" s="31" t="str">
        <f aca="false">IF(A608="","",IFERROR(IF(INDEX(Empresas!$C:$C,MATCH(A608,Empresas!$A:$A,0))="","",INDEX(Empresas!$C:$C,MATCH(A608,Empresas!$A:$A,0))),""))</f>
        <v/>
      </c>
      <c r="H608" s="18"/>
      <c r="I608" s="19" t="str">
        <f aca="false">IF(OR(F608="",G608=""),"",IF(F608-G608&lt;0,"CONTRATO ANTERIOR À ABERTURA — conferir datas",IF(F608-G608&lt;180,"ABERTA MENOS DE 6 MESES ANTES","")))</f>
        <v/>
      </c>
      <c r="J608" s="19" t="str">
        <f aca="false">IF(A608="","",IFERROR(INDEX(Sancoes!$B:$B,MATCH(A608,Sancoes!$A:$A,0))&amp;"","não consta"))</f>
        <v/>
      </c>
      <c r="K608" s="19" t="str">
        <f aca="false">IF(OR(A608="",F608=""),"",IF(SUMPRODUCT((Sancoes!$A$2:$A$301=A608)*(Sancoes!$B$2:$B$301&lt;&gt;"Não consta")*(Sancoes!$D$2:$D$301&lt;&gt;"")*(Sancoes!$D$2:$D$301&lt;=F608)*(((Sancoes!$E$2:$E$301="")+(Sancoes!$E$2:$E$301&gt;=F608))&gt;0))&gt;0,"SANÇÃO VIGENTE NA DATA — leia o tipo e a abrangência",""))</f>
        <v/>
      </c>
      <c r="L608" s="19" t="str">
        <f aca="false">IF(A608="","",IFERROR(INDEX(Empresas!$B:$B,MATCH(A608,Empresas!$A:$A,0))&amp;"","cadastre o CNPJ em Empresas"))</f>
        <v/>
      </c>
      <c r="M608" s="27"/>
      <c r="N608" s="35"/>
      <c r="O608" s="37" t="str">
        <f aca="false">IF(OR(D608="",D608=0,N608=""),"",N608/D608)</f>
        <v/>
      </c>
      <c r="P608" s="19" t="str">
        <f aca="false">IF(O608="","",IF(O608&gt;0.25,"ACRÉSCIMO ACIMA DE 25% — conferir",""))</f>
        <v/>
      </c>
      <c r="Q608" s="27"/>
      <c r="R608" s="5"/>
    </row>
    <row r="609" customFormat="false" ht="15" hidden="false" customHeight="false" outlineLevel="0" collapsed="false">
      <c r="A609" s="27"/>
      <c r="B609" s="5"/>
      <c r="C609" s="5"/>
      <c r="D609" s="35"/>
      <c r="E609" s="14"/>
      <c r="F609" s="18"/>
      <c r="G609" s="31" t="str">
        <f aca="false">IF(A609="","",IFERROR(IF(INDEX(Empresas!$C:$C,MATCH(A609,Empresas!$A:$A,0))="","",INDEX(Empresas!$C:$C,MATCH(A609,Empresas!$A:$A,0))),""))</f>
        <v/>
      </c>
      <c r="H609" s="18"/>
      <c r="I609" s="19" t="str">
        <f aca="false">IF(OR(F609="",G609=""),"",IF(F609-G609&lt;0,"CONTRATO ANTERIOR À ABERTURA — conferir datas",IF(F609-G609&lt;180,"ABERTA MENOS DE 6 MESES ANTES","")))</f>
        <v/>
      </c>
      <c r="J609" s="19" t="str">
        <f aca="false">IF(A609="","",IFERROR(INDEX(Sancoes!$B:$B,MATCH(A609,Sancoes!$A:$A,0))&amp;"","não consta"))</f>
        <v/>
      </c>
      <c r="K609" s="19" t="str">
        <f aca="false">IF(OR(A609="",F609=""),"",IF(SUMPRODUCT((Sancoes!$A$2:$A$301=A609)*(Sancoes!$B$2:$B$301&lt;&gt;"Não consta")*(Sancoes!$D$2:$D$301&lt;&gt;"")*(Sancoes!$D$2:$D$301&lt;=F609)*(((Sancoes!$E$2:$E$301="")+(Sancoes!$E$2:$E$301&gt;=F609))&gt;0))&gt;0,"SANÇÃO VIGENTE NA DATA — leia o tipo e a abrangência",""))</f>
        <v/>
      </c>
      <c r="L609" s="19" t="str">
        <f aca="false">IF(A609="","",IFERROR(INDEX(Empresas!$B:$B,MATCH(A609,Empresas!$A:$A,0))&amp;"","cadastre o CNPJ em Empresas"))</f>
        <v/>
      </c>
      <c r="M609" s="27"/>
      <c r="N609" s="35"/>
      <c r="O609" s="37" t="str">
        <f aca="false">IF(OR(D609="",D609=0,N609=""),"",N609/D609)</f>
        <v/>
      </c>
      <c r="P609" s="19" t="str">
        <f aca="false">IF(O609="","",IF(O609&gt;0.25,"ACRÉSCIMO ACIMA DE 25% — conferir",""))</f>
        <v/>
      </c>
      <c r="Q609" s="27"/>
      <c r="R609" s="5"/>
    </row>
    <row r="610" customFormat="false" ht="15" hidden="false" customHeight="false" outlineLevel="0" collapsed="false">
      <c r="A610" s="27"/>
      <c r="B610" s="5"/>
      <c r="C610" s="5"/>
      <c r="D610" s="35"/>
      <c r="E610" s="14"/>
      <c r="F610" s="18"/>
      <c r="G610" s="31" t="str">
        <f aca="false">IF(A610="","",IFERROR(IF(INDEX(Empresas!$C:$C,MATCH(A610,Empresas!$A:$A,0))="","",INDEX(Empresas!$C:$C,MATCH(A610,Empresas!$A:$A,0))),""))</f>
        <v/>
      </c>
      <c r="H610" s="18"/>
      <c r="I610" s="19" t="str">
        <f aca="false">IF(OR(F610="",G610=""),"",IF(F610-G610&lt;0,"CONTRATO ANTERIOR À ABERTURA — conferir datas",IF(F610-G610&lt;180,"ABERTA MENOS DE 6 MESES ANTES","")))</f>
        <v/>
      </c>
      <c r="J610" s="19" t="str">
        <f aca="false">IF(A610="","",IFERROR(INDEX(Sancoes!$B:$B,MATCH(A610,Sancoes!$A:$A,0))&amp;"","não consta"))</f>
        <v/>
      </c>
      <c r="K610" s="19" t="str">
        <f aca="false">IF(OR(A610="",F610=""),"",IF(SUMPRODUCT((Sancoes!$A$2:$A$301=A610)*(Sancoes!$B$2:$B$301&lt;&gt;"Não consta")*(Sancoes!$D$2:$D$301&lt;&gt;"")*(Sancoes!$D$2:$D$301&lt;=F610)*(((Sancoes!$E$2:$E$301="")+(Sancoes!$E$2:$E$301&gt;=F610))&gt;0))&gt;0,"SANÇÃO VIGENTE NA DATA — leia o tipo e a abrangência",""))</f>
        <v/>
      </c>
      <c r="L610" s="19" t="str">
        <f aca="false">IF(A610="","",IFERROR(INDEX(Empresas!$B:$B,MATCH(A610,Empresas!$A:$A,0))&amp;"","cadastre o CNPJ em Empresas"))</f>
        <v/>
      </c>
      <c r="M610" s="27"/>
      <c r="N610" s="35"/>
      <c r="O610" s="37" t="str">
        <f aca="false">IF(OR(D610="",D610=0,N610=""),"",N610/D610)</f>
        <v/>
      </c>
      <c r="P610" s="19" t="str">
        <f aca="false">IF(O610="","",IF(O610&gt;0.25,"ACRÉSCIMO ACIMA DE 25% — conferir",""))</f>
        <v/>
      </c>
      <c r="Q610" s="27"/>
      <c r="R610" s="5"/>
    </row>
    <row r="611" customFormat="false" ht="15" hidden="false" customHeight="false" outlineLevel="0" collapsed="false">
      <c r="A611" s="27"/>
      <c r="B611" s="5"/>
      <c r="C611" s="5"/>
      <c r="D611" s="35"/>
      <c r="E611" s="14"/>
      <c r="F611" s="18"/>
      <c r="G611" s="31" t="str">
        <f aca="false">IF(A611="","",IFERROR(IF(INDEX(Empresas!$C:$C,MATCH(A611,Empresas!$A:$A,0))="","",INDEX(Empresas!$C:$C,MATCH(A611,Empresas!$A:$A,0))),""))</f>
        <v/>
      </c>
      <c r="H611" s="18"/>
      <c r="I611" s="19" t="str">
        <f aca="false">IF(OR(F611="",G611=""),"",IF(F611-G611&lt;0,"CONTRATO ANTERIOR À ABERTURA — conferir datas",IF(F611-G611&lt;180,"ABERTA MENOS DE 6 MESES ANTES","")))</f>
        <v/>
      </c>
      <c r="J611" s="19" t="str">
        <f aca="false">IF(A611="","",IFERROR(INDEX(Sancoes!$B:$B,MATCH(A611,Sancoes!$A:$A,0))&amp;"","não consta"))</f>
        <v/>
      </c>
      <c r="K611" s="19" t="str">
        <f aca="false">IF(OR(A611="",F611=""),"",IF(SUMPRODUCT((Sancoes!$A$2:$A$301=A611)*(Sancoes!$B$2:$B$301&lt;&gt;"Não consta")*(Sancoes!$D$2:$D$301&lt;&gt;"")*(Sancoes!$D$2:$D$301&lt;=F611)*(((Sancoes!$E$2:$E$301="")+(Sancoes!$E$2:$E$301&gt;=F611))&gt;0))&gt;0,"SANÇÃO VIGENTE NA DATA — leia o tipo e a abrangência",""))</f>
        <v/>
      </c>
      <c r="L611" s="19" t="str">
        <f aca="false">IF(A611="","",IFERROR(INDEX(Empresas!$B:$B,MATCH(A611,Empresas!$A:$A,0))&amp;"","cadastre o CNPJ em Empresas"))</f>
        <v/>
      </c>
      <c r="M611" s="27"/>
      <c r="N611" s="35"/>
      <c r="O611" s="37" t="str">
        <f aca="false">IF(OR(D611="",D611=0,N611=""),"",N611/D611)</f>
        <v/>
      </c>
      <c r="P611" s="19" t="str">
        <f aca="false">IF(O611="","",IF(O611&gt;0.25,"ACRÉSCIMO ACIMA DE 25% — conferir",""))</f>
        <v/>
      </c>
      <c r="Q611" s="27"/>
      <c r="R611" s="5"/>
    </row>
    <row r="612" customFormat="false" ht="15" hidden="false" customHeight="false" outlineLevel="0" collapsed="false">
      <c r="A612" s="27"/>
      <c r="B612" s="5"/>
      <c r="C612" s="5"/>
      <c r="D612" s="35"/>
      <c r="E612" s="14"/>
      <c r="F612" s="18"/>
      <c r="G612" s="31" t="str">
        <f aca="false">IF(A612="","",IFERROR(IF(INDEX(Empresas!$C:$C,MATCH(A612,Empresas!$A:$A,0))="","",INDEX(Empresas!$C:$C,MATCH(A612,Empresas!$A:$A,0))),""))</f>
        <v/>
      </c>
      <c r="H612" s="18"/>
      <c r="I612" s="19" t="str">
        <f aca="false">IF(OR(F612="",G612=""),"",IF(F612-G612&lt;0,"CONTRATO ANTERIOR À ABERTURA — conferir datas",IF(F612-G612&lt;180,"ABERTA MENOS DE 6 MESES ANTES","")))</f>
        <v/>
      </c>
      <c r="J612" s="19" t="str">
        <f aca="false">IF(A612="","",IFERROR(INDEX(Sancoes!$B:$B,MATCH(A612,Sancoes!$A:$A,0))&amp;"","não consta"))</f>
        <v/>
      </c>
      <c r="K612" s="19" t="str">
        <f aca="false">IF(OR(A612="",F612=""),"",IF(SUMPRODUCT((Sancoes!$A$2:$A$301=A612)*(Sancoes!$B$2:$B$301&lt;&gt;"Não consta")*(Sancoes!$D$2:$D$301&lt;&gt;"")*(Sancoes!$D$2:$D$301&lt;=F612)*(((Sancoes!$E$2:$E$301="")+(Sancoes!$E$2:$E$301&gt;=F612))&gt;0))&gt;0,"SANÇÃO VIGENTE NA DATA — leia o tipo e a abrangência",""))</f>
        <v/>
      </c>
      <c r="L612" s="19" t="str">
        <f aca="false">IF(A612="","",IFERROR(INDEX(Empresas!$B:$B,MATCH(A612,Empresas!$A:$A,0))&amp;"","cadastre o CNPJ em Empresas"))</f>
        <v/>
      </c>
      <c r="M612" s="27"/>
      <c r="N612" s="35"/>
      <c r="O612" s="37" t="str">
        <f aca="false">IF(OR(D612="",D612=0,N612=""),"",N612/D612)</f>
        <v/>
      </c>
      <c r="P612" s="19" t="str">
        <f aca="false">IF(O612="","",IF(O612&gt;0.25,"ACRÉSCIMO ACIMA DE 25% — conferir",""))</f>
        <v/>
      </c>
      <c r="Q612" s="27"/>
      <c r="R612" s="5"/>
    </row>
    <row r="613" customFormat="false" ht="15" hidden="false" customHeight="false" outlineLevel="0" collapsed="false">
      <c r="A613" s="27"/>
      <c r="B613" s="5"/>
      <c r="C613" s="5"/>
      <c r="D613" s="35"/>
      <c r="E613" s="14"/>
      <c r="F613" s="18"/>
      <c r="G613" s="31" t="str">
        <f aca="false">IF(A613="","",IFERROR(IF(INDEX(Empresas!$C:$C,MATCH(A613,Empresas!$A:$A,0))="","",INDEX(Empresas!$C:$C,MATCH(A613,Empresas!$A:$A,0))),""))</f>
        <v/>
      </c>
      <c r="H613" s="18"/>
      <c r="I613" s="19" t="str">
        <f aca="false">IF(OR(F613="",G613=""),"",IF(F613-G613&lt;0,"CONTRATO ANTERIOR À ABERTURA — conferir datas",IF(F613-G613&lt;180,"ABERTA MENOS DE 6 MESES ANTES","")))</f>
        <v/>
      </c>
      <c r="J613" s="19" t="str">
        <f aca="false">IF(A613="","",IFERROR(INDEX(Sancoes!$B:$B,MATCH(A613,Sancoes!$A:$A,0))&amp;"","não consta"))</f>
        <v/>
      </c>
      <c r="K613" s="19" t="str">
        <f aca="false">IF(OR(A613="",F613=""),"",IF(SUMPRODUCT((Sancoes!$A$2:$A$301=A613)*(Sancoes!$B$2:$B$301&lt;&gt;"Não consta")*(Sancoes!$D$2:$D$301&lt;&gt;"")*(Sancoes!$D$2:$D$301&lt;=F613)*(((Sancoes!$E$2:$E$301="")+(Sancoes!$E$2:$E$301&gt;=F613))&gt;0))&gt;0,"SANÇÃO VIGENTE NA DATA — leia o tipo e a abrangência",""))</f>
        <v/>
      </c>
      <c r="L613" s="19" t="str">
        <f aca="false">IF(A613="","",IFERROR(INDEX(Empresas!$B:$B,MATCH(A613,Empresas!$A:$A,0))&amp;"","cadastre o CNPJ em Empresas"))</f>
        <v/>
      </c>
      <c r="M613" s="27"/>
      <c r="N613" s="35"/>
      <c r="O613" s="37" t="str">
        <f aca="false">IF(OR(D613="",D613=0,N613=""),"",N613/D613)</f>
        <v/>
      </c>
      <c r="P613" s="19" t="str">
        <f aca="false">IF(O613="","",IF(O613&gt;0.25,"ACRÉSCIMO ACIMA DE 25% — conferir",""))</f>
        <v/>
      </c>
      <c r="Q613" s="27"/>
      <c r="R613" s="5"/>
    </row>
    <row r="614" customFormat="false" ht="15" hidden="false" customHeight="false" outlineLevel="0" collapsed="false">
      <c r="A614" s="27"/>
      <c r="B614" s="5"/>
      <c r="C614" s="5"/>
      <c r="D614" s="35"/>
      <c r="E614" s="14"/>
      <c r="F614" s="18"/>
      <c r="G614" s="31" t="str">
        <f aca="false">IF(A614="","",IFERROR(IF(INDEX(Empresas!$C:$C,MATCH(A614,Empresas!$A:$A,0))="","",INDEX(Empresas!$C:$C,MATCH(A614,Empresas!$A:$A,0))),""))</f>
        <v/>
      </c>
      <c r="H614" s="18"/>
      <c r="I614" s="19" t="str">
        <f aca="false">IF(OR(F614="",G614=""),"",IF(F614-G614&lt;0,"CONTRATO ANTERIOR À ABERTURA — conferir datas",IF(F614-G614&lt;180,"ABERTA MENOS DE 6 MESES ANTES","")))</f>
        <v/>
      </c>
      <c r="J614" s="19" t="str">
        <f aca="false">IF(A614="","",IFERROR(INDEX(Sancoes!$B:$B,MATCH(A614,Sancoes!$A:$A,0))&amp;"","não consta"))</f>
        <v/>
      </c>
      <c r="K614" s="19" t="str">
        <f aca="false">IF(OR(A614="",F614=""),"",IF(SUMPRODUCT((Sancoes!$A$2:$A$301=A614)*(Sancoes!$B$2:$B$301&lt;&gt;"Não consta")*(Sancoes!$D$2:$D$301&lt;&gt;"")*(Sancoes!$D$2:$D$301&lt;=F614)*(((Sancoes!$E$2:$E$301="")+(Sancoes!$E$2:$E$301&gt;=F614))&gt;0))&gt;0,"SANÇÃO VIGENTE NA DATA — leia o tipo e a abrangência",""))</f>
        <v/>
      </c>
      <c r="L614" s="19" t="str">
        <f aca="false">IF(A614="","",IFERROR(INDEX(Empresas!$B:$B,MATCH(A614,Empresas!$A:$A,0))&amp;"","cadastre o CNPJ em Empresas"))</f>
        <v/>
      </c>
      <c r="M614" s="27"/>
      <c r="N614" s="35"/>
      <c r="O614" s="37" t="str">
        <f aca="false">IF(OR(D614="",D614=0,N614=""),"",N614/D614)</f>
        <v/>
      </c>
      <c r="P614" s="19" t="str">
        <f aca="false">IF(O614="","",IF(O614&gt;0.25,"ACRÉSCIMO ACIMA DE 25% — conferir",""))</f>
        <v/>
      </c>
      <c r="Q614" s="27"/>
      <c r="R614" s="5"/>
    </row>
    <row r="615" customFormat="false" ht="15" hidden="false" customHeight="false" outlineLevel="0" collapsed="false">
      <c r="A615" s="27"/>
      <c r="B615" s="5"/>
      <c r="C615" s="5"/>
      <c r="D615" s="35"/>
      <c r="E615" s="14"/>
      <c r="F615" s="18"/>
      <c r="G615" s="31" t="str">
        <f aca="false">IF(A615="","",IFERROR(IF(INDEX(Empresas!$C:$C,MATCH(A615,Empresas!$A:$A,0))="","",INDEX(Empresas!$C:$C,MATCH(A615,Empresas!$A:$A,0))),""))</f>
        <v/>
      </c>
      <c r="H615" s="18"/>
      <c r="I615" s="19" t="str">
        <f aca="false">IF(OR(F615="",G615=""),"",IF(F615-G615&lt;0,"CONTRATO ANTERIOR À ABERTURA — conferir datas",IF(F615-G615&lt;180,"ABERTA MENOS DE 6 MESES ANTES","")))</f>
        <v/>
      </c>
      <c r="J615" s="19" t="str">
        <f aca="false">IF(A615="","",IFERROR(INDEX(Sancoes!$B:$B,MATCH(A615,Sancoes!$A:$A,0))&amp;"","não consta"))</f>
        <v/>
      </c>
      <c r="K615" s="19" t="str">
        <f aca="false">IF(OR(A615="",F615=""),"",IF(SUMPRODUCT((Sancoes!$A$2:$A$301=A615)*(Sancoes!$B$2:$B$301&lt;&gt;"Não consta")*(Sancoes!$D$2:$D$301&lt;&gt;"")*(Sancoes!$D$2:$D$301&lt;=F615)*(((Sancoes!$E$2:$E$301="")+(Sancoes!$E$2:$E$301&gt;=F615))&gt;0))&gt;0,"SANÇÃO VIGENTE NA DATA — leia o tipo e a abrangência",""))</f>
        <v/>
      </c>
      <c r="L615" s="19" t="str">
        <f aca="false">IF(A615="","",IFERROR(INDEX(Empresas!$B:$B,MATCH(A615,Empresas!$A:$A,0))&amp;"","cadastre o CNPJ em Empresas"))</f>
        <v/>
      </c>
      <c r="M615" s="27"/>
      <c r="N615" s="35"/>
      <c r="O615" s="37" t="str">
        <f aca="false">IF(OR(D615="",D615=0,N615=""),"",N615/D615)</f>
        <v/>
      </c>
      <c r="P615" s="19" t="str">
        <f aca="false">IF(O615="","",IF(O615&gt;0.25,"ACRÉSCIMO ACIMA DE 25% — conferir",""))</f>
        <v/>
      </c>
      <c r="Q615" s="27"/>
      <c r="R615" s="5"/>
    </row>
    <row r="616" customFormat="false" ht="15" hidden="false" customHeight="false" outlineLevel="0" collapsed="false">
      <c r="A616" s="27"/>
      <c r="B616" s="5"/>
      <c r="C616" s="5"/>
      <c r="D616" s="35"/>
      <c r="E616" s="14"/>
      <c r="F616" s="18"/>
      <c r="G616" s="31" t="str">
        <f aca="false">IF(A616="","",IFERROR(IF(INDEX(Empresas!$C:$C,MATCH(A616,Empresas!$A:$A,0))="","",INDEX(Empresas!$C:$C,MATCH(A616,Empresas!$A:$A,0))),""))</f>
        <v/>
      </c>
      <c r="H616" s="18"/>
      <c r="I616" s="19" t="str">
        <f aca="false">IF(OR(F616="",G616=""),"",IF(F616-G616&lt;0,"CONTRATO ANTERIOR À ABERTURA — conferir datas",IF(F616-G616&lt;180,"ABERTA MENOS DE 6 MESES ANTES","")))</f>
        <v/>
      </c>
      <c r="J616" s="19" t="str">
        <f aca="false">IF(A616="","",IFERROR(INDEX(Sancoes!$B:$B,MATCH(A616,Sancoes!$A:$A,0))&amp;"","não consta"))</f>
        <v/>
      </c>
      <c r="K616" s="19" t="str">
        <f aca="false">IF(OR(A616="",F616=""),"",IF(SUMPRODUCT((Sancoes!$A$2:$A$301=A616)*(Sancoes!$B$2:$B$301&lt;&gt;"Não consta")*(Sancoes!$D$2:$D$301&lt;&gt;"")*(Sancoes!$D$2:$D$301&lt;=F616)*(((Sancoes!$E$2:$E$301="")+(Sancoes!$E$2:$E$301&gt;=F616))&gt;0))&gt;0,"SANÇÃO VIGENTE NA DATA — leia o tipo e a abrangência",""))</f>
        <v/>
      </c>
      <c r="L616" s="19" t="str">
        <f aca="false">IF(A616="","",IFERROR(INDEX(Empresas!$B:$B,MATCH(A616,Empresas!$A:$A,0))&amp;"","cadastre o CNPJ em Empresas"))</f>
        <v/>
      </c>
      <c r="M616" s="27"/>
      <c r="N616" s="35"/>
      <c r="O616" s="37" t="str">
        <f aca="false">IF(OR(D616="",D616=0,N616=""),"",N616/D616)</f>
        <v/>
      </c>
      <c r="P616" s="19" t="str">
        <f aca="false">IF(O616="","",IF(O616&gt;0.25,"ACRÉSCIMO ACIMA DE 25% — conferir",""))</f>
        <v/>
      </c>
      <c r="Q616" s="27"/>
      <c r="R616" s="5"/>
    </row>
    <row r="617" customFormat="false" ht="15" hidden="false" customHeight="false" outlineLevel="0" collapsed="false">
      <c r="A617" s="27"/>
      <c r="B617" s="5"/>
      <c r="C617" s="5"/>
      <c r="D617" s="35"/>
      <c r="E617" s="14"/>
      <c r="F617" s="18"/>
      <c r="G617" s="31" t="str">
        <f aca="false">IF(A617="","",IFERROR(IF(INDEX(Empresas!$C:$C,MATCH(A617,Empresas!$A:$A,0))="","",INDEX(Empresas!$C:$C,MATCH(A617,Empresas!$A:$A,0))),""))</f>
        <v/>
      </c>
      <c r="H617" s="18"/>
      <c r="I617" s="19" t="str">
        <f aca="false">IF(OR(F617="",G617=""),"",IF(F617-G617&lt;0,"CONTRATO ANTERIOR À ABERTURA — conferir datas",IF(F617-G617&lt;180,"ABERTA MENOS DE 6 MESES ANTES","")))</f>
        <v/>
      </c>
      <c r="J617" s="19" t="str">
        <f aca="false">IF(A617="","",IFERROR(INDEX(Sancoes!$B:$B,MATCH(A617,Sancoes!$A:$A,0))&amp;"","não consta"))</f>
        <v/>
      </c>
      <c r="K617" s="19" t="str">
        <f aca="false">IF(OR(A617="",F617=""),"",IF(SUMPRODUCT((Sancoes!$A$2:$A$301=A617)*(Sancoes!$B$2:$B$301&lt;&gt;"Não consta")*(Sancoes!$D$2:$D$301&lt;&gt;"")*(Sancoes!$D$2:$D$301&lt;=F617)*(((Sancoes!$E$2:$E$301="")+(Sancoes!$E$2:$E$301&gt;=F617))&gt;0))&gt;0,"SANÇÃO VIGENTE NA DATA — leia o tipo e a abrangência",""))</f>
        <v/>
      </c>
      <c r="L617" s="19" t="str">
        <f aca="false">IF(A617="","",IFERROR(INDEX(Empresas!$B:$B,MATCH(A617,Empresas!$A:$A,0))&amp;"","cadastre o CNPJ em Empresas"))</f>
        <v/>
      </c>
      <c r="M617" s="27"/>
      <c r="N617" s="35"/>
      <c r="O617" s="37" t="str">
        <f aca="false">IF(OR(D617="",D617=0,N617=""),"",N617/D617)</f>
        <v/>
      </c>
      <c r="P617" s="19" t="str">
        <f aca="false">IF(O617="","",IF(O617&gt;0.25,"ACRÉSCIMO ACIMA DE 25% — conferir",""))</f>
        <v/>
      </c>
      <c r="Q617" s="27"/>
      <c r="R617" s="5"/>
    </row>
    <row r="618" customFormat="false" ht="15" hidden="false" customHeight="false" outlineLevel="0" collapsed="false">
      <c r="A618" s="27"/>
      <c r="B618" s="5"/>
      <c r="C618" s="5"/>
      <c r="D618" s="35"/>
      <c r="E618" s="14"/>
      <c r="F618" s="18"/>
      <c r="G618" s="31" t="str">
        <f aca="false">IF(A618="","",IFERROR(IF(INDEX(Empresas!$C:$C,MATCH(A618,Empresas!$A:$A,0))="","",INDEX(Empresas!$C:$C,MATCH(A618,Empresas!$A:$A,0))),""))</f>
        <v/>
      </c>
      <c r="H618" s="18"/>
      <c r="I618" s="19" t="str">
        <f aca="false">IF(OR(F618="",G618=""),"",IF(F618-G618&lt;0,"CONTRATO ANTERIOR À ABERTURA — conferir datas",IF(F618-G618&lt;180,"ABERTA MENOS DE 6 MESES ANTES","")))</f>
        <v/>
      </c>
      <c r="J618" s="19" t="str">
        <f aca="false">IF(A618="","",IFERROR(INDEX(Sancoes!$B:$B,MATCH(A618,Sancoes!$A:$A,0))&amp;"","não consta"))</f>
        <v/>
      </c>
      <c r="K618" s="19" t="str">
        <f aca="false">IF(OR(A618="",F618=""),"",IF(SUMPRODUCT((Sancoes!$A$2:$A$301=A618)*(Sancoes!$B$2:$B$301&lt;&gt;"Não consta")*(Sancoes!$D$2:$D$301&lt;&gt;"")*(Sancoes!$D$2:$D$301&lt;=F618)*(((Sancoes!$E$2:$E$301="")+(Sancoes!$E$2:$E$301&gt;=F618))&gt;0))&gt;0,"SANÇÃO VIGENTE NA DATA — leia o tipo e a abrangência",""))</f>
        <v/>
      </c>
      <c r="L618" s="19" t="str">
        <f aca="false">IF(A618="","",IFERROR(INDEX(Empresas!$B:$B,MATCH(A618,Empresas!$A:$A,0))&amp;"","cadastre o CNPJ em Empresas"))</f>
        <v/>
      </c>
      <c r="M618" s="27"/>
      <c r="N618" s="35"/>
      <c r="O618" s="37" t="str">
        <f aca="false">IF(OR(D618="",D618=0,N618=""),"",N618/D618)</f>
        <v/>
      </c>
      <c r="P618" s="19" t="str">
        <f aca="false">IF(O618="","",IF(O618&gt;0.25,"ACRÉSCIMO ACIMA DE 25% — conferir",""))</f>
        <v/>
      </c>
      <c r="Q618" s="27"/>
      <c r="R618" s="5"/>
    </row>
    <row r="619" customFormat="false" ht="15" hidden="false" customHeight="false" outlineLevel="0" collapsed="false">
      <c r="A619" s="27"/>
      <c r="B619" s="5"/>
      <c r="C619" s="5"/>
      <c r="D619" s="35"/>
      <c r="E619" s="14"/>
      <c r="F619" s="18"/>
      <c r="G619" s="31" t="str">
        <f aca="false">IF(A619="","",IFERROR(IF(INDEX(Empresas!$C:$C,MATCH(A619,Empresas!$A:$A,0))="","",INDEX(Empresas!$C:$C,MATCH(A619,Empresas!$A:$A,0))),""))</f>
        <v/>
      </c>
      <c r="H619" s="18"/>
      <c r="I619" s="19" t="str">
        <f aca="false">IF(OR(F619="",G619=""),"",IF(F619-G619&lt;0,"CONTRATO ANTERIOR À ABERTURA — conferir datas",IF(F619-G619&lt;180,"ABERTA MENOS DE 6 MESES ANTES","")))</f>
        <v/>
      </c>
      <c r="J619" s="19" t="str">
        <f aca="false">IF(A619="","",IFERROR(INDEX(Sancoes!$B:$B,MATCH(A619,Sancoes!$A:$A,0))&amp;"","não consta"))</f>
        <v/>
      </c>
      <c r="K619" s="19" t="str">
        <f aca="false">IF(OR(A619="",F619=""),"",IF(SUMPRODUCT((Sancoes!$A$2:$A$301=A619)*(Sancoes!$B$2:$B$301&lt;&gt;"Não consta")*(Sancoes!$D$2:$D$301&lt;&gt;"")*(Sancoes!$D$2:$D$301&lt;=F619)*(((Sancoes!$E$2:$E$301="")+(Sancoes!$E$2:$E$301&gt;=F619))&gt;0))&gt;0,"SANÇÃO VIGENTE NA DATA — leia o tipo e a abrangência",""))</f>
        <v/>
      </c>
      <c r="L619" s="19" t="str">
        <f aca="false">IF(A619="","",IFERROR(INDEX(Empresas!$B:$B,MATCH(A619,Empresas!$A:$A,0))&amp;"","cadastre o CNPJ em Empresas"))</f>
        <v/>
      </c>
      <c r="M619" s="27"/>
      <c r="N619" s="35"/>
      <c r="O619" s="37" t="str">
        <f aca="false">IF(OR(D619="",D619=0,N619=""),"",N619/D619)</f>
        <v/>
      </c>
      <c r="P619" s="19" t="str">
        <f aca="false">IF(O619="","",IF(O619&gt;0.25,"ACRÉSCIMO ACIMA DE 25% — conferir",""))</f>
        <v/>
      </c>
      <c r="Q619" s="27"/>
      <c r="R619" s="5"/>
    </row>
    <row r="620" customFormat="false" ht="15" hidden="false" customHeight="false" outlineLevel="0" collapsed="false">
      <c r="A620" s="27"/>
      <c r="B620" s="5"/>
      <c r="C620" s="5"/>
      <c r="D620" s="35"/>
      <c r="E620" s="14"/>
      <c r="F620" s="18"/>
      <c r="G620" s="31" t="str">
        <f aca="false">IF(A620="","",IFERROR(IF(INDEX(Empresas!$C:$C,MATCH(A620,Empresas!$A:$A,0))="","",INDEX(Empresas!$C:$C,MATCH(A620,Empresas!$A:$A,0))),""))</f>
        <v/>
      </c>
      <c r="H620" s="18"/>
      <c r="I620" s="19" t="str">
        <f aca="false">IF(OR(F620="",G620=""),"",IF(F620-G620&lt;0,"CONTRATO ANTERIOR À ABERTURA — conferir datas",IF(F620-G620&lt;180,"ABERTA MENOS DE 6 MESES ANTES","")))</f>
        <v/>
      </c>
      <c r="J620" s="19" t="str">
        <f aca="false">IF(A620="","",IFERROR(INDEX(Sancoes!$B:$B,MATCH(A620,Sancoes!$A:$A,0))&amp;"","não consta"))</f>
        <v/>
      </c>
      <c r="K620" s="19" t="str">
        <f aca="false">IF(OR(A620="",F620=""),"",IF(SUMPRODUCT((Sancoes!$A$2:$A$301=A620)*(Sancoes!$B$2:$B$301&lt;&gt;"Não consta")*(Sancoes!$D$2:$D$301&lt;&gt;"")*(Sancoes!$D$2:$D$301&lt;=F620)*(((Sancoes!$E$2:$E$301="")+(Sancoes!$E$2:$E$301&gt;=F620))&gt;0))&gt;0,"SANÇÃO VIGENTE NA DATA — leia o tipo e a abrangência",""))</f>
        <v/>
      </c>
      <c r="L620" s="19" t="str">
        <f aca="false">IF(A620="","",IFERROR(INDEX(Empresas!$B:$B,MATCH(A620,Empresas!$A:$A,0))&amp;"","cadastre o CNPJ em Empresas"))</f>
        <v/>
      </c>
      <c r="M620" s="27"/>
      <c r="N620" s="35"/>
      <c r="O620" s="37" t="str">
        <f aca="false">IF(OR(D620="",D620=0,N620=""),"",N620/D620)</f>
        <v/>
      </c>
      <c r="P620" s="19" t="str">
        <f aca="false">IF(O620="","",IF(O620&gt;0.25,"ACRÉSCIMO ACIMA DE 25% — conferir",""))</f>
        <v/>
      </c>
      <c r="Q620" s="27"/>
      <c r="R620" s="5"/>
    </row>
    <row r="621" customFormat="false" ht="15" hidden="false" customHeight="false" outlineLevel="0" collapsed="false">
      <c r="A621" s="27"/>
      <c r="B621" s="5"/>
      <c r="C621" s="5"/>
      <c r="D621" s="35"/>
      <c r="E621" s="14"/>
      <c r="F621" s="18"/>
      <c r="G621" s="31" t="str">
        <f aca="false">IF(A621="","",IFERROR(IF(INDEX(Empresas!$C:$C,MATCH(A621,Empresas!$A:$A,0))="","",INDEX(Empresas!$C:$C,MATCH(A621,Empresas!$A:$A,0))),""))</f>
        <v/>
      </c>
      <c r="H621" s="18"/>
      <c r="I621" s="19" t="str">
        <f aca="false">IF(OR(F621="",G621=""),"",IF(F621-G621&lt;0,"CONTRATO ANTERIOR À ABERTURA — conferir datas",IF(F621-G621&lt;180,"ABERTA MENOS DE 6 MESES ANTES","")))</f>
        <v/>
      </c>
      <c r="J621" s="19" t="str">
        <f aca="false">IF(A621="","",IFERROR(INDEX(Sancoes!$B:$B,MATCH(A621,Sancoes!$A:$A,0))&amp;"","não consta"))</f>
        <v/>
      </c>
      <c r="K621" s="19" t="str">
        <f aca="false">IF(OR(A621="",F621=""),"",IF(SUMPRODUCT((Sancoes!$A$2:$A$301=A621)*(Sancoes!$B$2:$B$301&lt;&gt;"Não consta")*(Sancoes!$D$2:$D$301&lt;&gt;"")*(Sancoes!$D$2:$D$301&lt;=F621)*(((Sancoes!$E$2:$E$301="")+(Sancoes!$E$2:$E$301&gt;=F621))&gt;0))&gt;0,"SANÇÃO VIGENTE NA DATA — leia o tipo e a abrangência",""))</f>
        <v/>
      </c>
      <c r="L621" s="19" t="str">
        <f aca="false">IF(A621="","",IFERROR(INDEX(Empresas!$B:$B,MATCH(A621,Empresas!$A:$A,0))&amp;"","cadastre o CNPJ em Empresas"))</f>
        <v/>
      </c>
      <c r="M621" s="27"/>
      <c r="N621" s="35"/>
      <c r="O621" s="37" t="str">
        <f aca="false">IF(OR(D621="",D621=0,N621=""),"",N621/D621)</f>
        <v/>
      </c>
      <c r="P621" s="19" t="str">
        <f aca="false">IF(O621="","",IF(O621&gt;0.25,"ACRÉSCIMO ACIMA DE 25% — conferir",""))</f>
        <v/>
      </c>
      <c r="Q621" s="27"/>
      <c r="R621" s="5"/>
    </row>
    <row r="622" customFormat="false" ht="15" hidden="false" customHeight="false" outlineLevel="0" collapsed="false">
      <c r="A622" s="27"/>
      <c r="B622" s="5"/>
      <c r="C622" s="5"/>
      <c r="D622" s="35"/>
      <c r="E622" s="14"/>
      <c r="F622" s="18"/>
      <c r="G622" s="31" t="str">
        <f aca="false">IF(A622="","",IFERROR(IF(INDEX(Empresas!$C:$C,MATCH(A622,Empresas!$A:$A,0))="","",INDEX(Empresas!$C:$C,MATCH(A622,Empresas!$A:$A,0))),""))</f>
        <v/>
      </c>
      <c r="H622" s="18"/>
      <c r="I622" s="19" t="str">
        <f aca="false">IF(OR(F622="",G622=""),"",IF(F622-G622&lt;0,"CONTRATO ANTERIOR À ABERTURA — conferir datas",IF(F622-G622&lt;180,"ABERTA MENOS DE 6 MESES ANTES","")))</f>
        <v/>
      </c>
      <c r="J622" s="19" t="str">
        <f aca="false">IF(A622="","",IFERROR(INDEX(Sancoes!$B:$B,MATCH(A622,Sancoes!$A:$A,0))&amp;"","não consta"))</f>
        <v/>
      </c>
      <c r="K622" s="19" t="str">
        <f aca="false">IF(OR(A622="",F622=""),"",IF(SUMPRODUCT((Sancoes!$A$2:$A$301=A622)*(Sancoes!$B$2:$B$301&lt;&gt;"Não consta")*(Sancoes!$D$2:$D$301&lt;&gt;"")*(Sancoes!$D$2:$D$301&lt;=F622)*(((Sancoes!$E$2:$E$301="")+(Sancoes!$E$2:$E$301&gt;=F622))&gt;0))&gt;0,"SANÇÃO VIGENTE NA DATA — leia o tipo e a abrangência",""))</f>
        <v/>
      </c>
      <c r="L622" s="19" t="str">
        <f aca="false">IF(A622="","",IFERROR(INDEX(Empresas!$B:$B,MATCH(A622,Empresas!$A:$A,0))&amp;"","cadastre o CNPJ em Empresas"))</f>
        <v/>
      </c>
      <c r="M622" s="27"/>
      <c r="N622" s="35"/>
      <c r="O622" s="37" t="str">
        <f aca="false">IF(OR(D622="",D622=0,N622=""),"",N622/D622)</f>
        <v/>
      </c>
      <c r="P622" s="19" t="str">
        <f aca="false">IF(O622="","",IF(O622&gt;0.25,"ACRÉSCIMO ACIMA DE 25% — conferir",""))</f>
        <v/>
      </c>
      <c r="Q622" s="27"/>
      <c r="R622" s="5"/>
    </row>
    <row r="623" customFormat="false" ht="15" hidden="false" customHeight="false" outlineLevel="0" collapsed="false">
      <c r="A623" s="27"/>
      <c r="B623" s="5"/>
      <c r="C623" s="5"/>
      <c r="D623" s="35"/>
      <c r="E623" s="14"/>
      <c r="F623" s="18"/>
      <c r="G623" s="31" t="str">
        <f aca="false">IF(A623="","",IFERROR(IF(INDEX(Empresas!$C:$C,MATCH(A623,Empresas!$A:$A,0))="","",INDEX(Empresas!$C:$C,MATCH(A623,Empresas!$A:$A,0))),""))</f>
        <v/>
      </c>
      <c r="H623" s="18"/>
      <c r="I623" s="19" t="str">
        <f aca="false">IF(OR(F623="",G623=""),"",IF(F623-G623&lt;0,"CONTRATO ANTERIOR À ABERTURA — conferir datas",IF(F623-G623&lt;180,"ABERTA MENOS DE 6 MESES ANTES","")))</f>
        <v/>
      </c>
      <c r="J623" s="19" t="str">
        <f aca="false">IF(A623="","",IFERROR(INDEX(Sancoes!$B:$B,MATCH(A623,Sancoes!$A:$A,0))&amp;"","não consta"))</f>
        <v/>
      </c>
      <c r="K623" s="19" t="str">
        <f aca="false">IF(OR(A623="",F623=""),"",IF(SUMPRODUCT((Sancoes!$A$2:$A$301=A623)*(Sancoes!$B$2:$B$301&lt;&gt;"Não consta")*(Sancoes!$D$2:$D$301&lt;&gt;"")*(Sancoes!$D$2:$D$301&lt;=F623)*(((Sancoes!$E$2:$E$301="")+(Sancoes!$E$2:$E$301&gt;=F623))&gt;0))&gt;0,"SANÇÃO VIGENTE NA DATA — leia o tipo e a abrangência",""))</f>
        <v/>
      </c>
      <c r="L623" s="19" t="str">
        <f aca="false">IF(A623="","",IFERROR(INDEX(Empresas!$B:$B,MATCH(A623,Empresas!$A:$A,0))&amp;"","cadastre o CNPJ em Empresas"))</f>
        <v/>
      </c>
      <c r="M623" s="27"/>
      <c r="N623" s="35"/>
      <c r="O623" s="37" t="str">
        <f aca="false">IF(OR(D623="",D623=0,N623=""),"",N623/D623)</f>
        <v/>
      </c>
      <c r="P623" s="19" t="str">
        <f aca="false">IF(O623="","",IF(O623&gt;0.25,"ACRÉSCIMO ACIMA DE 25% — conferir",""))</f>
        <v/>
      </c>
      <c r="Q623" s="27"/>
      <c r="R623" s="5"/>
    </row>
    <row r="624" customFormat="false" ht="15" hidden="false" customHeight="false" outlineLevel="0" collapsed="false">
      <c r="A624" s="27"/>
      <c r="B624" s="5"/>
      <c r="C624" s="5"/>
      <c r="D624" s="35"/>
      <c r="E624" s="14"/>
      <c r="F624" s="18"/>
      <c r="G624" s="31" t="str">
        <f aca="false">IF(A624="","",IFERROR(IF(INDEX(Empresas!$C:$C,MATCH(A624,Empresas!$A:$A,0))="","",INDEX(Empresas!$C:$C,MATCH(A624,Empresas!$A:$A,0))),""))</f>
        <v/>
      </c>
      <c r="H624" s="18"/>
      <c r="I624" s="19" t="str">
        <f aca="false">IF(OR(F624="",G624=""),"",IF(F624-G624&lt;0,"CONTRATO ANTERIOR À ABERTURA — conferir datas",IF(F624-G624&lt;180,"ABERTA MENOS DE 6 MESES ANTES","")))</f>
        <v/>
      </c>
      <c r="J624" s="19" t="str">
        <f aca="false">IF(A624="","",IFERROR(INDEX(Sancoes!$B:$B,MATCH(A624,Sancoes!$A:$A,0))&amp;"","não consta"))</f>
        <v/>
      </c>
      <c r="K624" s="19" t="str">
        <f aca="false">IF(OR(A624="",F624=""),"",IF(SUMPRODUCT((Sancoes!$A$2:$A$301=A624)*(Sancoes!$B$2:$B$301&lt;&gt;"Não consta")*(Sancoes!$D$2:$D$301&lt;&gt;"")*(Sancoes!$D$2:$D$301&lt;=F624)*(((Sancoes!$E$2:$E$301="")+(Sancoes!$E$2:$E$301&gt;=F624))&gt;0))&gt;0,"SANÇÃO VIGENTE NA DATA — leia o tipo e a abrangência",""))</f>
        <v/>
      </c>
      <c r="L624" s="19" t="str">
        <f aca="false">IF(A624="","",IFERROR(INDEX(Empresas!$B:$B,MATCH(A624,Empresas!$A:$A,0))&amp;"","cadastre o CNPJ em Empresas"))</f>
        <v/>
      </c>
      <c r="M624" s="27"/>
      <c r="N624" s="35"/>
      <c r="O624" s="37" t="str">
        <f aca="false">IF(OR(D624="",D624=0,N624=""),"",N624/D624)</f>
        <v/>
      </c>
      <c r="P624" s="19" t="str">
        <f aca="false">IF(O624="","",IF(O624&gt;0.25,"ACRÉSCIMO ACIMA DE 25% — conferir",""))</f>
        <v/>
      </c>
      <c r="Q624" s="27"/>
      <c r="R624" s="5"/>
    </row>
    <row r="625" customFormat="false" ht="15" hidden="false" customHeight="false" outlineLevel="0" collapsed="false">
      <c r="A625" s="27"/>
      <c r="B625" s="5"/>
      <c r="C625" s="5"/>
      <c r="D625" s="35"/>
      <c r="E625" s="14"/>
      <c r="F625" s="18"/>
      <c r="G625" s="31" t="str">
        <f aca="false">IF(A625="","",IFERROR(IF(INDEX(Empresas!$C:$C,MATCH(A625,Empresas!$A:$A,0))="","",INDEX(Empresas!$C:$C,MATCH(A625,Empresas!$A:$A,0))),""))</f>
        <v/>
      </c>
      <c r="H625" s="18"/>
      <c r="I625" s="19" t="str">
        <f aca="false">IF(OR(F625="",G625=""),"",IF(F625-G625&lt;0,"CONTRATO ANTERIOR À ABERTURA — conferir datas",IF(F625-G625&lt;180,"ABERTA MENOS DE 6 MESES ANTES","")))</f>
        <v/>
      </c>
      <c r="J625" s="19" t="str">
        <f aca="false">IF(A625="","",IFERROR(INDEX(Sancoes!$B:$B,MATCH(A625,Sancoes!$A:$A,0))&amp;"","não consta"))</f>
        <v/>
      </c>
      <c r="K625" s="19" t="str">
        <f aca="false">IF(OR(A625="",F625=""),"",IF(SUMPRODUCT((Sancoes!$A$2:$A$301=A625)*(Sancoes!$B$2:$B$301&lt;&gt;"Não consta")*(Sancoes!$D$2:$D$301&lt;&gt;"")*(Sancoes!$D$2:$D$301&lt;=F625)*(((Sancoes!$E$2:$E$301="")+(Sancoes!$E$2:$E$301&gt;=F625))&gt;0))&gt;0,"SANÇÃO VIGENTE NA DATA — leia o tipo e a abrangência",""))</f>
        <v/>
      </c>
      <c r="L625" s="19" t="str">
        <f aca="false">IF(A625="","",IFERROR(INDEX(Empresas!$B:$B,MATCH(A625,Empresas!$A:$A,0))&amp;"","cadastre o CNPJ em Empresas"))</f>
        <v/>
      </c>
      <c r="M625" s="27"/>
      <c r="N625" s="35"/>
      <c r="O625" s="37" t="str">
        <f aca="false">IF(OR(D625="",D625=0,N625=""),"",N625/D625)</f>
        <v/>
      </c>
      <c r="P625" s="19" t="str">
        <f aca="false">IF(O625="","",IF(O625&gt;0.25,"ACRÉSCIMO ACIMA DE 25% — conferir",""))</f>
        <v/>
      </c>
      <c r="Q625" s="27"/>
      <c r="R625" s="5"/>
    </row>
    <row r="626" customFormat="false" ht="15" hidden="false" customHeight="false" outlineLevel="0" collapsed="false">
      <c r="A626" s="27"/>
      <c r="B626" s="5"/>
      <c r="C626" s="5"/>
      <c r="D626" s="35"/>
      <c r="E626" s="14"/>
      <c r="F626" s="18"/>
      <c r="G626" s="31" t="str">
        <f aca="false">IF(A626="","",IFERROR(IF(INDEX(Empresas!$C:$C,MATCH(A626,Empresas!$A:$A,0))="","",INDEX(Empresas!$C:$C,MATCH(A626,Empresas!$A:$A,0))),""))</f>
        <v/>
      </c>
      <c r="H626" s="18"/>
      <c r="I626" s="19" t="str">
        <f aca="false">IF(OR(F626="",G626=""),"",IF(F626-G626&lt;0,"CONTRATO ANTERIOR À ABERTURA — conferir datas",IF(F626-G626&lt;180,"ABERTA MENOS DE 6 MESES ANTES","")))</f>
        <v/>
      </c>
      <c r="J626" s="19" t="str">
        <f aca="false">IF(A626="","",IFERROR(INDEX(Sancoes!$B:$B,MATCH(A626,Sancoes!$A:$A,0))&amp;"","não consta"))</f>
        <v/>
      </c>
      <c r="K626" s="19" t="str">
        <f aca="false">IF(OR(A626="",F626=""),"",IF(SUMPRODUCT((Sancoes!$A$2:$A$301=A626)*(Sancoes!$B$2:$B$301&lt;&gt;"Não consta")*(Sancoes!$D$2:$D$301&lt;&gt;"")*(Sancoes!$D$2:$D$301&lt;=F626)*(((Sancoes!$E$2:$E$301="")+(Sancoes!$E$2:$E$301&gt;=F626))&gt;0))&gt;0,"SANÇÃO VIGENTE NA DATA — leia o tipo e a abrangência",""))</f>
        <v/>
      </c>
      <c r="L626" s="19" t="str">
        <f aca="false">IF(A626="","",IFERROR(INDEX(Empresas!$B:$B,MATCH(A626,Empresas!$A:$A,0))&amp;"","cadastre o CNPJ em Empresas"))</f>
        <v/>
      </c>
      <c r="M626" s="27"/>
      <c r="N626" s="35"/>
      <c r="O626" s="37" t="str">
        <f aca="false">IF(OR(D626="",D626=0,N626=""),"",N626/D626)</f>
        <v/>
      </c>
      <c r="P626" s="19" t="str">
        <f aca="false">IF(O626="","",IF(O626&gt;0.25,"ACRÉSCIMO ACIMA DE 25% — conferir",""))</f>
        <v/>
      </c>
      <c r="Q626" s="27"/>
      <c r="R626" s="5"/>
    </row>
    <row r="627" customFormat="false" ht="15" hidden="false" customHeight="false" outlineLevel="0" collapsed="false">
      <c r="A627" s="27"/>
      <c r="B627" s="5"/>
      <c r="C627" s="5"/>
      <c r="D627" s="35"/>
      <c r="E627" s="14"/>
      <c r="F627" s="18"/>
      <c r="G627" s="31" t="str">
        <f aca="false">IF(A627="","",IFERROR(IF(INDEX(Empresas!$C:$C,MATCH(A627,Empresas!$A:$A,0))="","",INDEX(Empresas!$C:$C,MATCH(A627,Empresas!$A:$A,0))),""))</f>
        <v/>
      </c>
      <c r="H627" s="18"/>
      <c r="I627" s="19" t="str">
        <f aca="false">IF(OR(F627="",G627=""),"",IF(F627-G627&lt;0,"CONTRATO ANTERIOR À ABERTURA — conferir datas",IF(F627-G627&lt;180,"ABERTA MENOS DE 6 MESES ANTES","")))</f>
        <v/>
      </c>
      <c r="J627" s="19" t="str">
        <f aca="false">IF(A627="","",IFERROR(INDEX(Sancoes!$B:$B,MATCH(A627,Sancoes!$A:$A,0))&amp;"","não consta"))</f>
        <v/>
      </c>
      <c r="K627" s="19" t="str">
        <f aca="false">IF(OR(A627="",F627=""),"",IF(SUMPRODUCT((Sancoes!$A$2:$A$301=A627)*(Sancoes!$B$2:$B$301&lt;&gt;"Não consta")*(Sancoes!$D$2:$D$301&lt;&gt;"")*(Sancoes!$D$2:$D$301&lt;=F627)*(((Sancoes!$E$2:$E$301="")+(Sancoes!$E$2:$E$301&gt;=F627))&gt;0))&gt;0,"SANÇÃO VIGENTE NA DATA — leia o tipo e a abrangência",""))</f>
        <v/>
      </c>
      <c r="L627" s="19" t="str">
        <f aca="false">IF(A627="","",IFERROR(INDEX(Empresas!$B:$B,MATCH(A627,Empresas!$A:$A,0))&amp;"","cadastre o CNPJ em Empresas"))</f>
        <v/>
      </c>
      <c r="M627" s="27"/>
      <c r="N627" s="35"/>
      <c r="O627" s="37" t="str">
        <f aca="false">IF(OR(D627="",D627=0,N627=""),"",N627/D627)</f>
        <v/>
      </c>
      <c r="P627" s="19" t="str">
        <f aca="false">IF(O627="","",IF(O627&gt;0.25,"ACRÉSCIMO ACIMA DE 25% — conferir",""))</f>
        <v/>
      </c>
      <c r="Q627" s="27"/>
      <c r="R627" s="5"/>
    </row>
    <row r="628" customFormat="false" ht="15" hidden="false" customHeight="false" outlineLevel="0" collapsed="false">
      <c r="A628" s="27"/>
      <c r="B628" s="5"/>
      <c r="C628" s="5"/>
      <c r="D628" s="35"/>
      <c r="E628" s="14"/>
      <c r="F628" s="18"/>
      <c r="G628" s="31" t="str">
        <f aca="false">IF(A628="","",IFERROR(IF(INDEX(Empresas!$C:$C,MATCH(A628,Empresas!$A:$A,0))="","",INDEX(Empresas!$C:$C,MATCH(A628,Empresas!$A:$A,0))),""))</f>
        <v/>
      </c>
      <c r="H628" s="18"/>
      <c r="I628" s="19" t="str">
        <f aca="false">IF(OR(F628="",G628=""),"",IF(F628-G628&lt;0,"CONTRATO ANTERIOR À ABERTURA — conferir datas",IF(F628-G628&lt;180,"ABERTA MENOS DE 6 MESES ANTES","")))</f>
        <v/>
      </c>
      <c r="J628" s="19" t="str">
        <f aca="false">IF(A628="","",IFERROR(INDEX(Sancoes!$B:$B,MATCH(A628,Sancoes!$A:$A,0))&amp;"","não consta"))</f>
        <v/>
      </c>
      <c r="K628" s="19" t="str">
        <f aca="false">IF(OR(A628="",F628=""),"",IF(SUMPRODUCT((Sancoes!$A$2:$A$301=A628)*(Sancoes!$B$2:$B$301&lt;&gt;"Não consta")*(Sancoes!$D$2:$D$301&lt;&gt;"")*(Sancoes!$D$2:$D$301&lt;=F628)*(((Sancoes!$E$2:$E$301="")+(Sancoes!$E$2:$E$301&gt;=F628))&gt;0))&gt;0,"SANÇÃO VIGENTE NA DATA — leia o tipo e a abrangência",""))</f>
        <v/>
      </c>
      <c r="L628" s="19" t="str">
        <f aca="false">IF(A628="","",IFERROR(INDEX(Empresas!$B:$B,MATCH(A628,Empresas!$A:$A,0))&amp;"","cadastre o CNPJ em Empresas"))</f>
        <v/>
      </c>
      <c r="M628" s="27"/>
      <c r="N628" s="35"/>
      <c r="O628" s="37" t="str">
        <f aca="false">IF(OR(D628="",D628=0,N628=""),"",N628/D628)</f>
        <v/>
      </c>
      <c r="P628" s="19" t="str">
        <f aca="false">IF(O628="","",IF(O628&gt;0.25,"ACRÉSCIMO ACIMA DE 25% — conferir",""))</f>
        <v/>
      </c>
      <c r="Q628" s="27"/>
      <c r="R628" s="5"/>
    </row>
    <row r="629" customFormat="false" ht="15" hidden="false" customHeight="false" outlineLevel="0" collapsed="false">
      <c r="A629" s="27"/>
      <c r="B629" s="5"/>
      <c r="C629" s="5"/>
      <c r="D629" s="35"/>
      <c r="E629" s="14"/>
      <c r="F629" s="18"/>
      <c r="G629" s="31" t="str">
        <f aca="false">IF(A629="","",IFERROR(IF(INDEX(Empresas!$C:$C,MATCH(A629,Empresas!$A:$A,0))="","",INDEX(Empresas!$C:$C,MATCH(A629,Empresas!$A:$A,0))),""))</f>
        <v/>
      </c>
      <c r="H629" s="18"/>
      <c r="I629" s="19" t="str">
        <f aca="false">IF(OR(F629="",G629=""),"",IF(F629-G629&lt;0,"CONTRATO ANTERIOR À ABERTURA — conferir datas",IF(F629-G629&lt;180,"ABERTA MENOS DE 6 MESES ANTES","")))</f>
        <v/>
      </c>
      <c r="J629" s="19" t="str">
        <f aca="false">IF(A629="","",IFERROR(INDEX(Sancoes!$B:$B,MATCH(A629,Sancoes!$A:$A,0))&amp;"","não consta"))</f>
        <v/>
      </c>
      <c r="K629" s="19" t="str">
        <f aca="false">IF(OR(A629="",F629=""),"",IF(SUMPRODUCT((Sancoes!$A$2:$A$301=A629)*(Sancoes!$B$2:$B$301&lt;&gt;"Não consta")*(Sancoes!$D$2:$D$301&lt;&gt;"")*(Sancoes!$D$2:$D$301&lt;=F629)*(((Sancoes!$E$2:$E$301="")+(Sancoes!$E$2:$E$301&gt;=F629))&gt;0))&gt;0,"SANÇÃO VIGENTE NA DATA — leia o tipo e a abrangência",""))</f>
        <v/>
      </c>
      <c r="L629" s="19" t="str">
        <f aca="false">IF(A629="","",IFERROR(INDEX(Empresas!$B:$B,MATCH(A629,Empresas!$A:$A,0))&amp;"","cadastre o CNPJ em Empresas"))</f>
        <v/>
      </c>
      <c r="M629" s="27"/>
      <c r="N629" s="35"/>
      <c r="O629" s="37" t="str">
        <f aca="false">IF(OR(D629="",D629=0,N629=""),"",N629/D629)</f>
        <v/>
      </c>
      <c r="P629" s="19" t="str">
        <f aca="false">IF(O629="","",IF(O629&gt;0.25,"ACRÉSCIMO ACIMA DE 25% — conferir",""))</f>
        <v/>
      </c>
      <c r="Q629" s="27"/>
      <c r="R629" s="5"/>
    </row>
    <row r="630" customFormat="false" ht="15" hidden="false" customHeight="false" outlineLevel="0" collapsed="false">
      <c r="A630" s="27"/>
      <c r="B630" s="5"/>
      <c r="C630" s="5"/>
      <c r="D630" s="35"/>
      <c r="E630" s="14"/>
      <c r="F630" s="18"/>
      <c r="G630" s="31" t="str">
        <f aca="false">IF(A630="","",IFERROR(IF(INDEX(Empresas!$C:$C,MATCH(A630,Empresas!$A:$A,0))="","",INDEX(Empresas!$C:$C,MATCH(A630,Empresas!$A:$A,0))),""))</f>
        <v/>
      </c>
      <c r="H630" s="18"/>
      <c r="I630" s="19" t="str">
        <f aca="false">IF(OR(F630="",G630=""),"",IF(F630-G630&lt;0,"CONTRATO ANTERIOR À ABERTURA — conferir datas",IF(F630-G630&lt;180,"ABERTA MENOS DE 6 MESES ANTES","")))</f>
        <v/>
      </c>
      <c r="J630" s="19" t="str">
        <f aca="false">IF(A630="","",IFERROR(INDEX(Sancoes!$B:$B,MATCH(A630,Sancoes!$A:$A,0))&amp;"","não consta"))</f>
        <v/>
      </c>
      <c r="K630" s="19" t="str">
        <f aca="false">IF(OR(A630="",F630=""),"",IF(SUMPRODUCT((Sancoes!$A$2:$A$301=A630)*(Sancoes!$B$2:$B$301&lt;&gt;"Não consta")*(Sancoes!$D$2:$D$301&lt;&gt;"")*(Sancoes!$D$2:$D$301&lt;=F630)*(((Sancoes!$E$2:$E$301="")+(Sancoes!$E$2:$E$301&gt;=F630))&gt;0))&gt;0,"SANÇÃO VIGENTE NA DATA — leia o tipo e a abrangência",""))</f>
        <v/>
      </c>
      <c r="L630" s="19" t="str">
        <f aca="false">IF(A630="","",IFERROR(INDEX(Empresas!$B:$B,MATCH(A630,Empresas!$A:$A,0))&amp;"","cadastre o CNPJ em Empresas"))</f>
        <v/>
      </c>
      <c r="M630" s="27"/>
      <c r="N630" s="35"/>
      <c r="O630" s="37" t="str">
        <f aca="false">IF(OR(D630="",D630=0,N630=""),"",N630/D630)</f>
        <v/>
      </c>
      <c r="P630" s="19" t="str">
        <f aca="false">IF(O630="","",IF(O630&gt;0.25,"ACRÉSCIMO ACIMA DE 25% — conferir",""))</f>
        <v/>
      </c>
      <c r="Q630" s="27"/>
      <c r="R630" s="5"/>
    </row>
    <row r="631" customFormat="false" ht="15" hidden="false" customHeight="false" outlineLevel="0" collapsed="false">
      <c r="A631" s="27"/>
      <c r="B631" s="5"/>
      <c r="C631" s="5"/>
      <c r="D631" s="35"/>
      <c r="E631" s="14"/>
      <c r="F631" s="18"/>
      <c r="G631" s="31" t="str">
        <f aca="false">IF(A631="","",IFERROR(IF(INDEX(Empresas!$C:$C,MATCH(A631,Empresas!$A:$A,0))="","",INDEX(Empresas!$C:$C,MATCH(A631,Empresas!$A:$A,0))),""))</f>
        <v/>
      </c>
      <c r="H631" s="18"/>
      <c r="I631" s="19" t="str">
        <f aca="false">IF(OR(F631="",G631=""),"",IF(F631-G631&lt;0,"CONTRATO ANTERIOR À ABERTURA — conferir datas",IF(F631-G631&lt;180,"ABERTA MENOS DE 6 MESES ANTES","")))</f>
        <v/>
      </c>
      <c r="J631" s="19" t="str">
        <f aca="false">IF(A631="","",IFERROR(INDEX(Sancoes!$B:$B,MATCH(A631,Sancoes!$A:$A,0))&amp;"","não consta"))</f>
        <v/>
      </c>
      <c r="K631" s="19" t="str">
        <f aca="false">IF(OR(A631="",F631=""),"",IF(SUMPRODUCT((Sancoes!$A$2:$A$301=A631)*(Sancoes!$B$2:$B$301&lt;&gt;"Não consta")*(Sancoes!$D$2:$D$301&lt;&gt;"")*(Sancoes!$D$2:$D$301&lt;=F631)*(((Sancoes!$E$2:$E$301="")+(Sancoes!$E$2:$E$301&gt;=F631))&gt;0))&gt;0,"SANÇÃO VIGENTE NA DATA — leia o tipo e a abrangência",""))</f>
        <v/>
      </c>
      <c r="L631" s="19" t="str">
        <f aca="false">IF(A631="","",IFERROR(INDEX(Empresas!$B:$B,MATCH(A631,Empresas!$A:$A,0))&amp;"","cadastre o CNPJ em Empresas"))</f>
        <v/>
      </c>
      <c r="M631" s="27"/>
      <c r="N631" s="35"/>
      <c r="O631" s="37" t="str">
        <f aca="false">IF(OR(D631="",D631=0,N631=""),"",N631/D631)</f>
        <v/>
      </c>
      <c r="P631" s="19" t="str">
        <f aca="false">IF(O631="","",IF(O631&gt;0.25,"ACRÉSCIMO ACIMA DE 25% — conferir",""))</f>
        <v/>
      </c>
      <c r="Q631" s="27"/>
      <c r="R631" s="5"/>
    </row>
    <row r="632" customFormat="false" ht="15" hidden="false" customHeight="false" outlineLevel="0" collapsed="false">
      <c r="A632" s="27"/>
      <c r="B632" s="5"/>
      <c r="C632" s="5"/>
      <c r="D632" s="35"/>
      <c r="E632" s="14"/>
      <c r="F632" s="18"/>
      <c r="G632" s="31" t="str">
        <f aca="false">IF(A632="","",IFERROR(IF(INDEX(Empresas!$C:$C,MATCH(A632,Empresas!$A:$A,0))="","",INDEX(Empresas!$C:$C,MATCH(A632,Empresas!$A:$A,0))),""))</f>
        <v/>
      </c>
      <c r="H632" s="18"/>
      <c r="I632" s="19" t="str">
        <f aca="false">IF(OR(F632="",G632=""),"",IF(F632-G632&lt;0,"CONTRATO ANTERIOR À ABERTURA — conferir datas",IF(F632-G632&lt;180,"ABERTA MENOS DE 6 MESES ANTES","")))</f>
        <v/>
      </c>
      <c r="J632" s="19" t="str">
        <f aca="false">IF(A632="","",IFERROR(INDEX(Sancoes!$B:$B,MATCH(A632,Sancoes!$A:$A,0))&amp;"","não consta"))</f>
        <v/>
      </c>
      <c r="K632" s="19" t="str">
        <f aca="false">IF(OR(A632="",F632=""),"",IF(SUMPRODUCT((Sancoes!$A$2:$A$301=A632)*(Sancoes!$B$2:$B$301&lt;&gt;"Não consta")*(Sancoes!$D$2:$D$301&lt;&gt;"")*(Sancoes!$D$2:$D$301&lt;=F632)*(((Sancoes!$E$2:$E$301="")+(Sancoes!$E$2:$E$301&gt;=F632))&gt;0))&gt;0,"SANÇÃO VIGENTE NA DATA — leia o tipo e a abrangência",""))</f>
        <v/>
      </c>
      <c r="L632" s="19" t="str">
        <f aca="false">IF(A632="","",IFERROR(INDEX(Empresas!$B:$B,MATCH(A632,Empresas!$A:$A,0))&amp;"","cadastre o CNPJ em Empresas"))</f>
        <v/>
      </c>
      <c r="M632" s="27"/>
      <c r="N632" s="35"/>
      <c r="O632" s="37" t="str">
        <f aca="false">IF(OR(D632="",D632=0,N632=""),"",N632/D632)</f>
        <v/>
      </c>
      <c r="P632" s="19" t="str">
        <f aca="false">IF(O632="","",IF(O632&gt;0.25,"ACRÉSCIMO ACIMA DE 25% — conferir",""))</f>
        <v/>
      </c>
      <c r="Q632" s="27"/>
      <c r="R632" s="5"/>
    </row>
    <row r="633" customFormat="false" ht="15" hidden="false" customHeight="false" outlineLevel="0" collapsed="false">
      <c r="A633" s="27"/>
      <c r="B633" s="5"/>
      <c r="C633" s="5"/>
      <c r="D633" s="35"/>
      <c r="E633" s="14"/>
      <c r="F633" s="18"/>
      <c r="G633" s="31" t="str">
        <f aca="false">IF(A633="","",IFERROR(IF(INDEX(Empresas!$C:$C,MATCH(A633,Empresas!$A:$A,0))="","",INDEX(Empresas!$C:$C,MATCH(A633,Empresas!$A:$A,0))),""))</f>
        <v/>
      </c>
      <c r="H633" s="18"/>
      <c r="I633" s="19" t="str">
        <f aca="false">IF(OR(F633="",G633=""),"",IF(F633-G633&lt;0,"CONTRATO ANTERIOR À ABERTURA — conferir datas",IF(F633-G633&lt;180,"ABERTA MENOS DE 6 MESES ANTES","")))</f>
        <v/>
      </c>
      <c r="J633" s="19" t="str">
        <f aca="false">IF(A633="","",IFERROR(INDEX(Sancoes!$B:$B,MATCH(A633,Sancoes!$A:$A,0))&amp;"","não consta"))</f>
        <v/>
      </c>
      <c r="K633" s="19" t="str">
        <f aca="false">IF(OR(A633="",F633=""),"",IF(SUMPRODUCT((Sancoes!$A$2:$A$301=A633)*(Sancoes!$B$2:$B$301&lt;&gt;"Não consta")*(Sancoes!$D$2:$D$301&lt;&gt;"")*(Sancoes!$D$2:$D$301&lt;=F633)*(((Sancoes!$E$2:$E$301="")+(Sancoes!$E$2:$E$301&gt;=F633))&gt;0))&gt;0,"SANÇÃO VIGENTE NA DATA — leia o tipo e a abrangência",""))</f>
        <v/>
      </c>
      <c r="L633" s="19" t="str">
        <f aca="false">IF(A633="","",IFERROR(INDEX(Empresas!$B:$B,MATCH(A633,Empresas!$A:$A,0))&amp;"","cadastre o CNPJ em Empresas"))</f>
        <v/>
      </c>
      <c r="M633" s="27"/>
      <c r="N633" s="35"/>
      <c r="O633" s="37" t="str">
        <f aca="false">IF(OR(D633="",D633=0,N633=""),"",N633/D633)</f>
        <v/>
      </c>
      <c r="P633" s="19" t="str">
        <f aca="false">IF(O633="","",IF(O633&gt;0.25,"ACRÉSCIMO ACIMA DE 25% — conferir",""))</f>
        <v/>
      </c>
      <c r="Q633" s="27"/>
      <c r="R633" s="5"/>
    </row>
    <row r="634" customFormat="false" ht="15" hidden="false" customHeight="false" outlineLevel="0" collapsed="false">
      <c r="A634" s="27"/>
      <c r="B634" s="5"/>
      <c r="C634" s="5"/>
      <c r="D634" s="35"/>
      <c r="E634" s="14"/>
      <c r="F634" s="18"/>
      <c r="G634" s="31" t="str">
        <f aca="false">IF(A634="","",IFERROR(IF(INDEX(Empresas!$C:$C,MATCH(A634,Empresas!$A:$A,0))="","",INDEX(Empresas!$C:$C,MATCH(A634,Empresas!$A:$A,0))),""))</f>
        <v/>
      </c>
      <c r="H634" s="18"/>
      <c r="I634" s="19" t="str">
        <f aca="false">IF(OR(F634="",G634=""),"",IF(F634-G634&lt;0,"CONTRATO ANTERIOR À ABERTURA — conferir datas",IF(F634-G634&lt;180,"ABERTA MENOS DE 6 MESES ANTES","")))</f>
        <v/>
      </c>
      <c r="J634" s="19" t="str">
        <f aca="false">IF(A634="","",IFERROR(INDEX(Sancoes!$B:$B,MATCH(A634,Sancoes!$A:$A,0))&amp;"","não consta"))</f>
        <v/>
      </c>
      <c r="K634" s="19" t="str">
        <f aca="false">IF(OR(A634="",F634=""),"",IF(SUMPRODUCT((Sancoes!$A$2:$A$301=A634)*(Sancoes!$B$2:$B$301&lt;&gt;"Não consta")*(Sancoes!$D$2:$D$301&lt;&gt;"")*(Sancoes!$D$2:$D$301&lt;=F634)*(((Sancoes!$E$2:$E$301="")+(Sancoes!$E$2:$E$301&gt;=F634))&gt;0))&gt;0,"SANÇÃO VIGENTE NA DATA — leia o tipo e a abrangência",""))</f>
        <v/>
      </c>
      <c r="L634" s="19" t="str">
        <f aca="false">IF(A634="","",IFERROR(INDEX(Empresas!$B:$B,MATCH(A634,Empresas!$A:$A,0))&amp;"","cadastre o CNPJ em Empresas"))</f>
        <v/>
      </c>
      <c r="M634" s="27"/>
      <c r="N634" s="35"/>
      <c r="O634" s="37" t="str">
        <f aca="false">IF(OR(D634="",D634=0,N634=""),"",N634/D634)</f>
        <v/>
      </c>
      <c r="P634" s="19" t="str">
        <f aca="false">IF(O634="","",IF(O634&gt;0.25,"ACRÉSCIMO ACIMA DE 25% — conferir",""))</f>
        <v/>
      </c>
      <c r="Q634" s="27"/>
      <c r="R634" s="5"/>
    </row>
    <row r="635" customFormat="false" ht="15" hidden="false" customHeight="false" outlineLevel="0" collapsed="false">
      <c r="A635" s="27"/>
      <c r="B635" s="5"/>
      <c r="C635" s="5"/>
      <c r="D635" s="35"/>
      <c r="E635" s="14"/>
      <c r="F635" s="18"/>
      <c r="G635" s="31" t="str">
        <f aca="false">IF(A635="","",IFERROR(IF(INDEX(Empresas!$C:$C,MATCH(A635,Empresas!$A:$A,0))="","",INDEX(Empresas!$C:$C,MATCH(A635,Empresas!$A:$A,0))),""))</f>
        <v/>
      </c>
      <c r="H635" s="18"/>
      <c r="I635" s="19" t="str">
        <f aca="false">IF(OR(F635="",G635=""),"",IF(F635-G635&lt;0,"CONTRATO ANTERIOR À ABERTURA — conferir datas",IF(F635-G635&lt;180,"ABERTA MENOS DE 6 MESES ANTES","")))</f>
        <v/>
      </c>
      <c r="J635" s="19" t="str">
        <f aca="false">IF(A635="","",IFERROR(INDEX(Sancoes!$B:$B,MATCH(A635,Sancoes!$A:$A,0))&amp;"","não consta"))</f>
        <v/>
      </c>
      <c r="K635" s="19" t="str">
        <f aca="false">IF(OR(A635="",F635=""),"",IF(SUMPRODUCT((Sancoes!$A$2:$A$301=A635)*(Sancoes!$B$2:$B$301&lt;&gt;"Não consta")*(Sancoes!$D$2:$D$301&lt;&gt;"")*(Sancoes!$D$2:$D$301&lt;=F635)*(((Sancoes!$E$2:$E$301="")+(Sancoes!$E$2:$E$301&gt;=F635))&gt;0))&gt;0,"SANÇÃO VIGENTE NA DATA — leia o tipo e a abrangência",""))</f>
        <v/>
      </c>
      <c r="L635" s="19" t="str">
        <f aca="false">IF(A635="","",IFERROR(INDEX(Empresas!$B:$B,MATCH(A635,Empresas!$A:$A,0))&amp;"","cadastre o CNPJ em Empresas"))</f>
        <v/>
      </c>
      <c r="M635" s="27"/>
      <c r="N635" s="35"/>
      <c r="O635" s="37" t="str">
        <f aca="false">IF(OR(D635="",D635=0,N635=""),"",N635/D635)</f>
        <v/>
      </c>
      <c r="P635" s="19" t="str">
        <f aca="false">IF(O635="","",IF(O635&gt;0.25,"ACRÉSCIMO ACIMA DE 25% — conferir",""))</f>
        <v/>
      </c>
      <c r="Q635" s="27"/>
      <c r="R635" s="5"/>
    </row>
    <row r="636" customFormat="false" ht="15" hidden="false" customHeight="false" outlineLevel="0" collapsed="false">
      <c r="A636" s="27"/>
      <c r="B636" s="5"/>
      <c r="C636" s="5"/>
      <c r="D636" s="35"/>
      <c r="E636" s="14"/>
      <c r="F636" s="18"/>
      <c r="G636" s="31" t="str">
        <f aca="false">IF(A636="","",IFERROR(IF(INDEX(Empresas!$C:$C,MATCH(A636,Empresas!$A:$A,0))="","",INDEX(Empresas!$C:$C,MATCH(A636,Empresas!$A:$A,0))),""))</f>
        <v/>
      </c>
      <c r="H636" s="18"/>
      <c r="I636" s="19" t="str">
        <f aca="false">IF(OR(F636="",G636=""),"",IF(F636-G636&lt;0,"CONTRATO ANTERIOR À ABERTURA — conferir datas",IF(F636-G636&lt;180,"ABERTA MENOS DE 6 MESES ANTES","")))</f>
        <v/>
      </c>
      <c r="J636" s="19" t="str">
        <f aca="false">IF(A636="","",IFERROR(INDEX(Sancoes!$B:$B,MATCH(A636,Sancoes!$A:$A,0))&amp;"","não consta"))</f>
        <v/>
      </c>
      <c r="K636" s="19" t="str">
        <f aca="false">IF(OR(A636="",F636=""),"",IF(SUMPRODUCT((Sancoes!$A$2:$A$301=A636)*(Sancoes!$B$2:$B$301&lt;&gt;"Não consta")*(Sancoes!$D$2:$D$301&lt;&gt;"")*(Sancoes!$D$2:$D$301&lt;=F636)*(((Sancoes!$E$2:$E$301="")+(Sancoes!$E$2:$E$301&gt;=F636))&gt;0))&gt;0,"SANÇÃO VIGENTE NA DATA — leia o tipo e a abrangência",""))</f>
        <v/>
      </c>
      <c r="L636" s="19" t="str">
        <f aca="false">IF(A636="","",IFERROR(INDEX(Empresas!$B:$B,MATCH(A636,Empresas!$A:$A,0))&amp;"","cadastre o CNPJ em Empresas"))</f>
        <v/>
      </c>
      <c r="M636" s="27"/>
      <c r="N636" s="35"/>
      <c r="O636" s="37" t="str">
        <f aca="false">IF(OR(D636="",D636=0,N636=""),"",N636/D636)</f>
        <v/>
      </c>
      <c r="P636" s="19" t="str">
        <f aca="false">IF(O636="","",IF(O636&gt;0.25,"ACRÉSCIMO ACIMA DE 25% — conferir",""))</f>
        <v/>
      </c>
      <c r="Q636" s="27"/>
      <c r="R636" s="5"/>
    </row>
    <row r="637" customFormat="false" ht="15" hidden="false" customHeight="false" outlineLevel="0" collapsed="false">
      <c r="A637" s="27"/>
      <c r="B637" s="5"/>
      <c r="C637" s="5"/>
      <c r="D637" s="35"/>
      <c r="E637" s="14"/>
      <c r="F637" s="18"/>
      <c r="G637" s="31" t="str">
        <f aca="false">IF(A637="","",IFERROR(IF(INDEX(Empresas!$C:$C,MATCH(A637,Empresas!$A:$A,0))="","",INDEX(Empresas!$C:$C,MATCH(A637,Empresas!$A:$A,0))),""))</f>
        <v/>
      </c>
      <c r="H637" s="18"/>
      <c r="I637" s="19" t="str">
        <f aca="false">IF(OR(F637="",G637=""),"",IF(F637-G637&lt;0,"CONTRATO ANTERIOR À ABERTURA — conferir datas",IF(F637-G637&lt;180,"ABERTA MENOS DE 6 MESES ANTES","")))</f>
        <v/>
      </c>
      <c r="J637" s="19" t="str">
        <f aca="false">IF(A637="","",IFERROR(INDEX(Sancoes!$B:$B,MATCH(A637,Sancoes!$A:$A,0))&amp;"","não consta"))</f>
        <v/>
      </c>
      <c r="K637" s="19" t="str">
        <f aca="false">IF(OR(A637="",F637=""),"",IF(SUMPRODUCT((Sancoes!$A$2:$A$301=A637)*(Sancoes!$B$2:$B$301&lt;&gt;"Não consta")*(Sancoes!$D$2:$D$301&lt;&gt;"")*(Sancoes!$D$2:$D$301&lt;=F637)*(((Sancoes!$E$2:$E$301="")+(Sancoes!$E$2:$E$301&gt;=F637))&gt;0))&gt;0,"SANÇÃO VIGENTE NA DATA — leia o tipo e a abrangência",""))</f>
        <v/>
      </c>
      <c r="L637" s="19" t="str">
        <f aca="false">IF(A637="","",IFERROR(INDEX(Empresas!$B:$B,MATCH(A637,Empresas!$A:$A,0))&amp;"","cadastre o CNPJ em Empresas"))</f>
        <v/>
      </c>
      <c r="M637" s="27"/>
      <c r="N637" s="35"/>
      <c r="O637" s="37" t="str">
        <f aca="false">IF(OR(D637="",D637=0,N637=""),"",N637/D637)</f>
        <v/>
      </c>
      <c r="P637" s="19" t="str">
        <f aca="false">IF(O637="","",IF(O637&gt;0.25,"ACRÉSCIMO ACIMA DE 25% — conferir",""))</f>
        <v/>
      </c>
      <c r="Q637" s="27"/>
      <c r="R637" s="5"/>
    </row>
    <row r="638" customFormat="false" ht="15" hidden="false" customHeight="false" outlineLevel="0" collapsed="false">
      <c r="A638" s="27"/>
      <c r="B638" s="5"/>
      <c r="C638" s="5"/>
      <c r="D638" s="35"/>
      <c r="E638" s="14"/>
      <c r="F638" s="18"/>
      <c r="G638" s="31" t="str">
        <f aca="false">IF(A638="","",IFERROR(IF(INDEX(Empresas!$C:$C,MATCH(A638,Empresas!$A:$A,0))="","",INDEX(Empresas!$C:$C,MATCH(A638,Empresas!$A:$A,0))),""))</f>
        <v/>
      </c>
      <c r="H638" s="18"/>
      <c r="I638" s="19" t="str">
        <f aca="false">IF(OR(F638="",G638=""),"",IF(F638-G638&lt;0,"CONTRATO ANTERIOR À ABERTURA — conferir datas",IF(F638-G638&lt;180,"ABERTA MENOS DE 6 MESES ANTES","")))</f>
        <v/>
      </c>
      <c r="J638" s="19" t="str">
        <f aca="false">IF(A638="","",IFERROR(INDEX(Sancoes!$B:$B,MATCH(A638,Sancoes!$A:$A,0))&amp;"","não consta"))</f>
        <v/>
      </c>
      <c r="K638" s="19" t="str">
        <f aca="false">IF(OR(A638="",F638=""),"",IF(SUMPRODUCT((Sancoes!$A$2:$A$301=A638)*(Sancoes!$B$2:$B$301&lt;&gt;"Não consta")*(Sancoes!$D$2:$D$301&lt;&gt;"")*(Sancoes!$D$2:$D$301&lt;=F638)*(((Sancoes!$E$2:$E$301="")+(Sancoes!$E$2:$E$301&gt;=F638))&gt;0))&gt;0,"SANÇÃO VIGENTE NA DATA — leia o tipo e a abrangência",""))</f>
        <v/>
      </c>
      <c r="L638" s="19" t="str">
        <f aca="false">IF(A638="","",IFERROR(INDEX(Empresas!$B:$B,MATCH(A638,Empresas!$A:$A,0))&amp;"","cadastre o CNPJ em Empresas"))</f>
        <v/>
      </c>
      <c r="M638" s="27"/>
      <c r="N638" s="35"/>
      <c r="O638" s="37" t="str">
        <f aca="false">IF(OR(D638="",D638=0,N638=""),"",N638/D638)</f>
        <v/>
      </c>
      <c r="P638" s="19" t="str">
        <f aca="false">IF(O638="","",IF(O638&gt;0.25,"ACRÉSCIMO ACIMA DE 25% — conferir",""))</f>
        <v/>
      </c>
      <c r="Q638" s="27"/>
      <c r="R638" s="5"/>
    </row>
    <row r="639" customFormat="false" ht="15" hidden="false" customHeight="false" outlineLevel="0" collapsed="false">
      <c r="A639" s="27"/>
      <c r="B639" s="5"/>
      <c r="C639" s="5"/>
      <c r="D639" s="35"/>
      <c r="E639" s="14"/>
      <c r="F639" s="18"/>
      <c r="G639" s="31" t="str">
        <f aca="false">IF(A639="","",IFERROR(IF(INDEX(Empresas!$C:$C,MATCH(A639,Empresas!$A:$A,0))="","",INDEX(Empresas!$C:$C,MATCH(A639,Empresas!$A:$A,0))),""))</f>
        <v/>
      </c>
      <c r="H639" s="18"/>
      <c r="I639" s="19" t="str">
        <f aca="false">IF(OR(F639="",G639=""),"",IF(F639-G639&lt;0,"CONTRATO ANTERIOR À ABERTURA — conferir datas",IF(F639-G639&lt;180,"ABERTA MENOS DE 6 MESES ANTES","")))</f>
        <v/>
      </c>
      <c r="J639" s="19" t="str">
        <f aca="false">IF(A639="","",IFERROR(INDEX(Sancoes!$B:$B,MATCH(A639,Sancoes!$A:$A,0))&amp;"","não consta"))</f>
        <v/>
      </c>
      <c r="K639" s="19" t="str">
        <f aca="false">IF(OR(A639="",F639=""),"",IF(SUMPRODUCT((Sancoes!$A$2:$A$301=A639)*(Sancoes!$B$2:$B$301&lt;&gt;"Não consta")*(Sancoes!$D$2:$D$301&lt;&gt;"")*(Sancoes!$D$2:$D$301&lt;=F639)*(((Sancoes!$E$2:$E$301="")+(Sancoes!$E$2:$E$301&gt;=F639))&gt;0))&gt;0,"SANÇÃO VIGENTE NA DATA — leia o tipo e a abrangência",""))</f>
        <v/>
      </c>
      <c r="L639" s="19" t="str">
        <f aca="false">IF(A639="","",IFERROR(INDEX(Empresas!$B:$B,MATCH(A639,Empresas!$A:$A,0))&amp;"","cadastre o CNPJ em Empresas"))</f>
        <v/>
      </c>
      <c r="M639" s="27"/>
      <c r="N639" s="35"/>
      <c r="O639" s="37" t="str">
        <f aca="false">IF(OR(D639="",D639=0,N639=""),"",N639/D639)</f>
        <v/>
      </c>
      <c r="P639" s="19" t="str">
        <f aca="false">IF(O639="","",IF(O639&gt;0.25,"ACRÉSCIMO ACIMA DE 25% — conferir",""))</f>
        <v/>
      </c>
      <c r="Q639" s="27"/>
      <c r="R639" s="5"/>
    </row>
    <row r="640" customFormat="false" ht="15" hidden="false" customHeight="false" outlineLevel="0" collapsed="false">
      <c r="A640" s="27"/>
      <c r="B640" s="5"/>
      <c r="C640" s="5"/>
      <c r="D640" s="35"/>
      <c r="E640" s="14"/>
      <c r="F640" s="18"/>
      <c r="G640" s="31" t="str">
        <f aca="false">IF(A640="","",IFERROR(IF(INDEX(Empresas!$C:$C,MATCH(A640,Empresas!$A:$A,0))="","",INDEX(Empresas!$C:$C,MATCH(A640,Empresas!$A:$A,0))),""))</f>
        <v/>
      </c>
      <c r="H640" s="18"/>
      <c r="I640" s="19" t="str">
        <f aca="false">IF(OR(F640="",G640=""),"",IF(F640-G640&lt;0,"CONTRATO ANTERIOR À ABERTURA — conferir datas",IF(F640-G640&lt;180,"ABERTA MENOS DE 6 MESES ANTES","")))</f>
        <v/>
      </c>
      <c r="J640" s="19" t="str">
        <f aca="false">IF(A640="","",IFERROR(INDEX(Sancoes!$B:$B,MATCH(A640,Sancoes!$A:$A,0))&amp;"","não consta"))</f>
        <v/>
      </c>
      <c r="K640" s="19" t="str">
        <f aca="false">IF(OR(A640="",F640=""),"",IF(SUMPRODUCT((Sancoes!$A$2:$A$301=A640)*(Sancoes!$B$2:$B$301&lt;&gt;"Não consta")*(Sancoes!$D$2:$D$301&lt;&gt;"")*(Sancoes!$D$2:$D$301&lt;=F640)*(((Sancoes!$E$2:$E$301="")+(Sancoes!$E$2:$E$301&gt;=F640))&gt;0))&gt;0,"SANÇÃO VIGENTE NA DATA — leia o tipo e a abrangência",""))</f>
        <v/>
      </c>
      <c r="L640" s="19" t="str">
        <f aca="false">IF(A640="","",IFERROR(INDEX(Empresas!$B:$B,MATCH(A640,Empresas!$A:$A,0))&amp;"","cadastre o CNPJ em Empresas"))</f>
        <v/>
      </c>
      <c r="M640" s="27"/>
      <c r="N640" s="35"/>
      <c r="O640" s="37" t="str">
        <f aca="false">IF(OR(D640="",D640=0,N640=""),"",N640/D640)</f>
        <v/>
      </c>
      <c r="P640" s="19" t="str">
        <f aca="false">IF(O640="","",IF(O640&gt;0.25,"ACRÉSCIMO ACIMA DE 25% — conferir",""))</f>
        <v/>
      </c>
      <c r="Q640" s="27"/>
      <c r="R640" s="5"/>
    </row>
    <row r="641" customFormat="false" ht="15" hidden="false" customHeight="false" outlineLevel="0" collapsed="false">
      <c r="A641" s="27"/>
      <c r="B641" s="5"/>
      <c r="C641" s="5"/>
      <c r="D641" s="35"/>
      <c r="E641" s="14"/>
      <c r="F641" s="18"/>
      <c r="G641" s="31" t="str">
        <f aca="false">IF(A641="","",IFERROR(IF(INDEX(Empresas!$C:$C,MATCH(A641,Empresas!$A:$A,0))="","",INDEX(Empresas!$C:$C,MATCH(A641,Empresas!$A:$A,0))),""))</f>
        <v/>
      </c>
      <c r="H641" s="18"/>
      <c r="I641" s="19" t="str">
        <f aca="false">IF(OR(F641="",G641=""),"",IF(F641-G641&lt;0,"CONTRATO ANTERIOR À ABERTURA — conferir datas",IF(F641-G641&lt;180,"ABERTA MENOS DE 6 MESES ANTES","")))</f>
        <v/>
      </c>
      <c r="J641" s="19" t="str">
        <f aca="false">IF(A641="","",IFERROR(INDEX(Sancoes!$B:$B,MATCH(A641,Sancoes!$A:$A,0))&amp;"","não consta"))</f>
        <v/>
      </c>
      <c r="K641" s="19" t="str">
        <f aca="false">IF(OR(A641="",F641=""),"",IF(SUMPRODUCT((Sancoes!$A$2:$A$301=A641)*(Sancoes!$B$2:$B$301&lt;&gt;"Não consta")*(Sancoes!$D$2:$D$301&lt;&gt;"")*(Sancoes!$D$2:$D$301&lt;=F641)*(((Sancoes!$E$2:$E$301="")+(Sancoes!$E$2:$E$301&gt;=F641))&gt;0))&gt;0,"SANÇÃO VIGENTE NA DATA — leia o tipo e a abrangência",""))</f>
        <v/>
      </c>
      <c r="L641" s="19" t="str">
        <f aca="false">IF(A641="","",IFERROR(INDEX(Empresas!$B:$B,MATCH(A641,Empresas!$A:$A,0))&amp;"","cadastre o CNPJ em Empresas"))</f>
        <v/>
      </c>
      <c r="M641" s="27"/>
      <c r="N641" s="35"/>
      <c r="O641" s="37" t="str">
        <f aca="false">IF(OR(D641="",D641=0,N641=""),"",N641/D641)</f>
        <v/>
      </c>
      <c r="P641" s="19" t="str">
        <f aca="false">IF(O641="","",IF(O641&gt;0.25,"ACRÉSCIMO ACIMA DE 25% — conferir",""))</f>
        <v/>
      </c>
      <c r="Q641" s="27"/>
      <c r="R641" s="5"/>
    </row>
    <row r="642" customFormat="false" ht="15" hidden="false" customHeight="false" outlineLevel="0" collapsed="false">
      <c r="A642" s="27"/>
      <c r="B642" s="5"/>
      <c r="C642" s="5"/>
      <c r="D642" s="35"/>
      <c r="E642" s="14"/>
      <c r="F642" s="18"/>
      <c r="G642" s="31" t="str">
        <f aca="false">IF(A642="","",IFERROR(IF(INDEX(Empresas!$C:$C,MATCH(A642,Empresas!$A:$A,0))="","",INDEX(Empresas!$C:$C,MATCH(A642,Empresas!$A:$A,0))),""))</f>
        <v/>
      </c>
      <c r="H642" s="18"/>
      <c r="I642" s="19" t="str">
        <f aca="false">IF(OR(F642="",G642=""),"",IF(F642-G642&lt;0,"CONTRATO ANTERIOR À ABERTURA — conferir datas",IF(F642-G642&lt;180,"ABERTA MENOS DE 6 MESES ANTES","")))</f>
        <v/>
      </c>
      <c r="J642" s="19" t="str">
        <f aca="false">IF(A642="","",IFERROR(INDEX(Sancoes!$B:$B,MATCH(A642,Sancoes!$A:$A,0))&amp;"","não consta"))</f>
        <v/>
      </c>
      <c r="K642" s="19" t="str">
        <f aca="false">IF(OR(A642="",F642=""),"",IF(SUMPRODUCT((Sancoes!$A$2:$A$301=A642)*(Sancoes!$B$2:$B$301&lt;&gt;"Não consta")*(Sancoes!$D$2:$D$301&lt;&gt;"")*(Sancoes!$D$2:$D$301&lt;=F642)*(((Sancoes!$E$2:$E$301="")+(Sancoes!$E$2:$E$301&gt;=F642))&gt;0))&gt;0,"SANÇÃO VIGENTE NA DATA — leia o tipo e a abrangência",""))</f>
        <v/>
      </c>
      <c r="L642" s="19" t="str">
        <f aca="false">IF(A642="","",IFERROR(INDEX(Empresas!$B:$B,MATCH(A642,Empresas!$A:$A,0))&amp;"","cadastre o CNPJ em Empresas"))</f>
        <v/>
      </c>
      <c r="M642" s="27"/>
      <c r="N642" s="35"/>
      <c r="O642" s="37" t="str">
        <f aca="false">IF(OR(D642="",D642=0,N642=""),"",N642/D642)</f>
        <v/>
      </c>
      <c r="P642" s="19" t="str">
        <f aca="false">IF(O642="","",IF(O642&gt;0.25,"ACRÉSCIMO ACIMA DE 25% — conferir",""))</f>
        <v/>
      </c>
      <c r="Q642" s="27"/>
      <c r="R642" s="5"/>
    </row>
    <row r="643" customFormat="false" ht="15" hidden="false" customHeight="false" outlineLevel="0" collapsed="false">
      <c r="A643" s="27"/>
      <c r="B643" s="5"/>
      <c r="C643" s="5"/>
      <c r="D643" s="35"/>
      <c r="E643" s="14"/>
      <c r="F643" s="18"/>
      <c r="G643" s="31" t="str">
        <f aca="false">IF(A643="","",IFERROR(IF(INDEX(Empresas!$C:$C,MATCH(A643,Empresas!$A:$A,0))="","",INDEX(Empresas!$C:$C,MATCH(A643,Empresas!$A:$A,0))),""))</f>
        <v/>
      </c>
      <c r="H643" s="18"/>
      <c r="I643" s="19" t="str">
        <f aca="false">IF(OR(F643="",G643=""),"",IF(F643-G643&lt;0,"CONTRATO ANTERIOR À ABERTURA — conferir datas",IF(F643-G643&lt;180,"ABERTA MENOS DE 6 MESES ANTES","")))</f>
        <v/>
      </c>
      <c r="J643" s="19" t="str">
        <f aca="false">IF(A643="","",IFERROR(INDEX(Sancoes!$B:$B,MATCH(A643,Sancoes!$A:$A,0))&amp;"","não consta"))</f>
        <v/>
      </c>
      <c r="K643" s="19" t="str">
        <f aca="false">IF(OR(A643="",F643=""),"",IF(SUMPRODUCT((Sancoes!$A$2:$A$301=A643)*(Sancoes!$B$2:$B$301&lt;&gt;"Não consta")*(Sancoes!$D$2:$D$301&lt;&gt;"")*(Sancoes!$D$2:$D$301&lt;=F643)*(((Sancoes!$E$2:$E$301="")+(Sancoes!$E$2:$E$301&gt;=F643))&gt;0))&gt;0,"SANÇÃO VIGENTE NA DATA — leia o tipo e a abrangência",""))</f>
        <v/>
      </c>
      <c r="L643" s="19" t="str">
        <f aca="false">IF(A643="","",IFERROR(INDEX(Empresas!$B:$B,MATCH(A643,Empresas!$A:$A,0))&amp;"","cadastre o CNPJ em Empresas"))</f>
        <v/>
      </c>
      <c r="M643" s="27"/>
      <c r="N643" s="35"/>
      <c r="O643" s="37" t="str">
        <f aca="false">IF(OR(D643="",D643=0,N643=""),"",N643/D643)</f>
        <v/>
      </c>
      <c r="P643" s="19" t="str">
        <f aca="false">IF(O643="","",IF(O643&gt;0.25,"ACRÉSCIMO ACIMA DE 25% — conferir",""))</f>
        <v/>
      </c>
      <c r="Q643" s="27"/>
      <c r="R643" s="5"/>
    </row>
    <row r="644" customFormat="false" ht="15" hidden="false" customHeight="false" outlineLevel="0" collapsed="false">
      <c r="A644" s="27"/>
      <c r="B644" s="5"/>
      <c r="C644" s="5"/>
      <c r="D644" s="35"/>
      <c r="E644" s="14"/>
      <c r="F644" s="18"/>
      <c r="G644" s="31" t="str">
        <f aca="false">IF(A644="","",IFERROR(IF(INDEX(Empresas!$C:$C,MATCH(A644,Empresas!$A:$A,0))="","",INDEX(Empresas!$C:$C,MATCH(A644,Empresas!$A:$A,0))),""))</f>
        <v/>
      </c>
      <c r="H644" s="18"/>
      <c r="I644" s="19" t="str">
        <f aca="false">IF(OR(F644="",G644=""),"",IF(F644-G644&lt;0,"CONTRATO ANTERIOR À ABERTURA — conferir datas",IF(F644-G644&lt;180,"ABERTA MENOS DE 6 MESES ANTES","")))</f>
        <v/>
      </c>
      <c r="J644" s="19" t="str">
        <f aca="false">IF(A644="","",IFERROR(INDEX(Sancoes!$B:$B,MATCH(A644,Sancoes!$A:$A,0))&amp;"","não consta"))</f>
        <v/>
      </c>
      <c r="K644" s="19" t="str">
        <f aca="false">IF(OR(A644="",F644=""),"",IF(SUMPRODUCT((Sancoes!$A$2:$A$301=A644)*(Sancoes!$B$2:$B$301&lt;&gt;"Não consta")*(Sancoes!$D$2:$D$301&lt;&gt;"")*(Sancoes!$D$2:$D$301&lt;=F644)*(((Sancoes!$E$2:$E$301="")+(Sancoes!$E$2:$E$301&gt;=F644))&gt;0))&gt;0,"SANÇÃO VIGENTE NA DATA — leia o tipo e a abrangência",""))</f>
        <v/>
      </c>
      <c r="L644" s="19" t="str">
        <f aca="false">IF(A644="","",IFERROR(INDEX(Empresas!$B:$B,MATCH(A644,Empresas!$A:$A,0))&amp;"","cadastre o CNPJ em Empresas"))</f>
        <v/>
      </c>
      <c r="M644" s="27"/>
      <c r="N644" s="35"/>
      <c r="O644" s="37" t="str">
        <f aca="false">IF(OR(D644="",D644=0,N644=""),"",N644/D644)</f>
        <v/>
      </c>
      <c r="P644" s="19" t="str">
        <f aca="false">IF(O644="","",IF(O644&gt;0.25,"ACRÉSCIMO ACIMA DE 25% — conferir",""))</f>
        <v/>
      </c>
      <c r="Q644" s="27"/>
      <c r="R644" s="5"/>
    </row>
    <row r="645" customFormat="false" ht="15" hidden="false" customHeight="false" outlineLevel="0" collapsed="false">
      <c r="A645" s="27"/>
      <c r="B645" s="5"/>
      <c r="C645" s="5"/>
      <c r="D645" s="35"/>
      <c r="E645" s="14"/>
      <c r="F645" s="18"/>
      <c r="G645" s="31" t="str">
        <f aca="false">IF(A645="","",IFERROR(IF(INDEX(Empresas!$C:$C,MATCH(A645,Empresas!$A:$A,0))="","",INDEX(Empresas!$C:$C,MATCH(A645,Empresas!$A:$A,0))),""))</f>
        <v/>
      </c>
      <c r="H645" s="18"/>
      <c r="I645" s="19" t="str">
        <f aca="false">IF(OR(F645="",G645=""),"",IF(F645-G645&lt;0,"CONTRATO ANTERIOR À ABERTURA — conferir datas",IF(F645-G645&lt;180,"ABERTA MENOS DE 6 MESES ANTES","")))</f>
        <v/>
      </c>
      <c r="J645" s="19" t="str">
        <f aca="false">IF(A645="","",IFERROR(INDEX(Sancoes!$B:$B,MATCH(A645,Sancoes!$A:$A,0))&amp;"","não consta"))</f>
        <v/>
      </c>
      <c r="K645" s="19" t="str">
        <f aca="false">IF(OR(A645="",F645=""),"",IF(SUMPRODUCT((Sancoes!$A$2:$A$301=A645)*(Sancoes!$B$2:$B$301&lt;&gt;"Não consta")*(Sancoes!$D$2:$D$301&lt;&gt;"")*(Sancoes!$D$2:$D$301&lt;=F645)*(((Sancoes!$E$2:$E$301="")+(Sancoes!$E$2:$E$301&gt;=F645))&gt;0))&gt;0,"SANÇÃO VIGENTE NA DATA — leia o tipo e a abrangência",""))</f>
        <v/>
      </c>
      <c r="L645" s="19" t="str">
        <f aca="false">IF(A645="","",IFERROR(INDEX(Empresas!$B:$B,MATCH(A645,Empresas!$A:$A,0))&amp;"","cadastre o CNPJ em Empresas"))</f>
        <v/>
      </c>
      <c r="M645" s="27"/>
      <c r="N645" s="35"/>
      <c r="O645" s="37" t="str">
        <f aca="false">IF(OR(D645="",D645=0,N645=""),"",N645/D645)</f>
        <v/>
      </c>
      <c r="P645" s="19" t="str">
        <f aca="false">IF(O645="","",IF(O645&gt;0.25,"ACRÉSCIMO ACIMA DE 25% — conferir",""))</f>
        <v/>
      </c>
      <c r="Q645" s="27"/>
      <c r="R645" s="5"/>
    </row>
    <row r="646" customFormat="false" ht="15" hidden="false" customHeight="false" outlineLevel="0" collapsed="false">
      <c r="A646" s="27"/>
      <c r="B646" s="5"/>
      <c r="C646" s="5"/>
      <c r="D646" s="35"/>
      <c r="E646" s="14"/>
      <c r="F646" s="18"/>
      <c r="G646" s="31" t="str">
        <f aca="false">IF(A646="","",IFERROR(IF(INDEX(Empresas!$C:$C,MATCH(A646,Empresas!$A:$A,0))="","",INDEX(Empresas!$C:$C,MATCH(A646,Empresas!$A:$A,0))),""))</f>
        <v/>
      </c>
      <c r="H646" s="18"/>
      <c r="I646" s="19" t="str">
        <f aca="false">IF(OR(F646="",G646=""),"",IF(F646-G646&lt;0,"CONTRATO ANTERIOR À ABERTURA — conferir datas",IF(F646-G646&lt;180,"ABERTA MENOS DE 6 MESES ANTES","")))</f>
        <v/>
      </c>
      <c r="J646" s="19" t="str">
        <f aca="false">IF(A646="","",IFERROR(INDEX(Sancoes!$B:$B,MATCH(A646,Sancoes!$A:$A,0))&amp;"","não consta"))</f>
        <v/>
      </c>
      <c r="K646" s="19" t="str">
        <f aca="false">IF(OR(A646="",F646=""),"",IF(SUMPRODUCT((Sancoes!$A$2:$A$301=A646)*(Sancoes!$B$2:$B$301&lt;&gt;"Não consta")*(Sancoes!$D$2:$D$301&lt;&gt;"")*(Sancoes!$D$2:$D$301&lt;=F646)*(((Sancoes!$E$2:$E$301="")+(Sancoes!$E$2:$E$301&gt;=F646))&gt;0))&gt;0,"SANÇÃO VIGENTE NA DATA — leia o tipo e a abrangência",""))</f>
        <v/>
      </c>
      <c r="L646" s="19" t="str">
        <f aca="false">IF(A646="","",IFERROR(INDEX(Empresas!$B:$B,MATCH(A646,Empresas!$A:$A,0))&amp;"","cadastre o CNPJ em Empresas"))</f>
        <v/>
      </c>
      <c r="M646" s="27"/>
      <c r="N646" s="35"/>
      <c r="O646" s="37" t="str">
        <f aca="false">IF(OR(D646="",D646=0,N646=""),"",N646/D646)</f>
        <v/>
      </c>
      <c r="P646" s="19" t="str">
        <f aca="false">IF(O646="","",IF(O646&gt;0.25,"ACRÉSCIMO ACIMA DE 25% — conferir",""))</f>
        <v/>
      </c>
      <c r="Q646" s="27"/>
      <c r="R646" s="5"/>
    </row>
    <row r="647" customFormat="false" ht="15" hidden="false" customHeight="false" outlineLevel="0" collapsed="false">
      <c r="A647" s="27"/>
      <c r="B647" s="5"/>
      <c r="C647" s="5"/>
      <c r="D647" s="35"/>
      <c r="E647" s="14"/>
      <c r="F647" s="18"/>
      <c r="G647" s="31" t="str">
        <f aca="false">IF(A647="","",IFERROR(IF(INDEX(Empresas!$C:$C,MATCH(A647,Empresas!$A:$A,0))="","",INDEX(Empresas!$C:$C,MATCH(A647,Empresas!$A:$A,0))),""))</f>
        <v/>
      </c>
      <c r="H647" s="18"/>
      <c r="I647" s="19" t="str">
        <f aca="false">IF(OR(F647="",G647=""),"",IF(F647-G647&lt;0,"CONTRATO ANTERIOR À ABERTURA — conferir datas",IF(F647-G647&lt;180,"ABERTA MENOS DE 6 MESES ANTES","")))</f>
        <v/>
      </c>
      <c r="J647" s="19" t="str">
        <f aca="false">IF(A647="","",IFERROR(INDEX(Sancoes!$B:$B,MATCH(A647,Sancoes!$A:$A,0))&amp;"","não consta"))</f>
        <v/>
      </c>
      <c r="K647" s="19" t="str">
        <f aca="false">IF(OR(A647="",F647=""),"",IF(SUMPRODUCT((Sancoes!$A$2:$A$301=A647)*(Sancoes!$B$2:$B$301&lt;&gt;"Não consta")*(Sancoes!$D$2:$D$301&lt;&gt;"")*(Sancoes!$D$2:$D$301&lt;=F647)*(((Sancoes!$E$2:$E$301="")+(Sancoes!$E$2:$E$301&gt;=F647))&gt;0))&gt;0,"SANÇÃO VIGENTE NA DATA — leia o tipo e a abrangência",""))</f>
        <v/>
      </c>
      <c r="L647" s="19" t="str">
        <f aca="false">IF(A647="","",IFERROR(INDEX(Empresas!$B:$B,MATCH(A647,Empresas!$A:$A,0))&amp;"","cadastre o CNPJ em Empresas"))</f>
        <v/>
      </c>
      <c r="M647" s="27"/>
      <c r="N647" s="35"/>
      <c r="O647" s="37" t="str">
        <f aca="false">IF(OR(D647="",D647=0,N647=""),"",N647/D647)</f>
        <v/>
      </c>
      <c r="P647" s="19" t="str">
        <f aca="false">IF(O647="","",IF(O647&gt;0.25,"ACRÉSCIMO ACIMA DE 25% — conferir",""))</f>
        <v/>
      </c>
      <c r="Q647" s="27"/>
      <c r="R647" s="5"/>
    </row>
    <row r="648" customFormat="false" ht="15" hidden="false" customHeight="false" outlineLevel="0" collapsed="false">
      <c r="A648" s="27"/>
      <c r="B648" s="5"/>
      <c r="C648" s="5"/>
      <c r="D648" s="35"/>
      <c r="E648" s="14"/>
      <c r="F648" s="18"/>
      <c r="G648" s="31" t="str">
        <f aca="false">IF(A648="","",IFERROR(IF(INDEX(Empresas!$C:$C,MATCH(A648,Empresas!$A:$A,0))="","",INDEX(Empresas!$C:$C,MATCH(A648,Empresas!$A:$A,0))),""))</f>
        <v/>
      </c>
      <c r="H648" s="18"/>
      <c r="I648" s="19" t="str">
        <f aca="false">IF(OR(F648="",G648=""),"",IF(F648-G648&lt;0,"CONTRATO ANTERIOR À ABERTURA — conferir datas",IF(F648-G648&lt;180,"ABERTA MENOS DE 6 MESES ANTES","")))</f>
        <v/>
      </c>
      <c r="J648" s="19" t="str">
        <f aca="false">IF(A648="","",IFERROR(INDEX(Sancoes!$B:$B,MATCH(A648,Sancoes!$A:$A,0))&amp;"","não consta"))</f>
        <v/>
      </c>
      <c r="K648" s="19" t="str">
        <f aca="false">IF(OR(A648="",F648=""),"",IF(SUMPRODUCT((Sancoes!$A$2:$A$301=A648)*(Sancoes!$B$2:$B$301&lt;&gt;"Não consta")*(Sancoes!$D$2:$D$301&lt;&gt;"")*(Sancoes!$D$2:$D$301&lt;=F648)*(((Sancoes!$E$2:$E$301="")+(Sancoes!$E$2:$E$301&gt;=F648))&gt;0))&gt;0,"SANÇÃO VIGENTE NA DATA — leia o tipo e a abrangência",""))</f>
        <v/>
      </c>
      <c r="L648" s="19" t="str">
        <f aca="false">IF(A648="","",IFERROR(INDEX(Empresas!$B:$B,MATCH(A648,Empresas!$A:$A,0))&amp;"","cadastre o CNPJ em Empresas"))</f>
        <v/>
      </c>
      <c r="M648" s="27"/>
      <c r="N648" s="35"/>
      <c r="O648" s="37" t="str">
        <f aca="false">IF(OR(D648="",D648=0,N648=""),"",N648/D648)</f>
        <v/>
      </c>
      <c r="P648" s="19" t="str">
        <f aca="false">IF(O648="","",IF(O648&gt;0.25,"ACRÉSCIMO ACIMA DE 25% — conferir",""))</f>
        <v/>
      </c>
      <c r="Q648" s="27"/>
      <c r="R648" s="5"/>
    </row>
    <row r="649" customFormat="false" ht="15" hidden="false" customHeight="false" outlineLevel="0" collapsed="false">
      <c r="A649" s="27"/>
      <c r="B649" s="5"/>
      <c r="C649" s="5"/>
      <c r="D649" s="35"/>
      <c r="E649" s="14"/>
      <c r="F649" s="18"/>
      <c r="G649" s="31" t="str">
        <f aca="false">IF(A649="","",IFERROR(IF(INDEX(Empresas!$C:$C,MATCH(A649,Empresas!$A:$A,0))="","",INDEX(Empresas!$C:$C,MATCH(A649,Empresas!$A:$A,0))),""))</f>
        <v/>
      </c>
      <c r="H649" s="18"/>
      <c r="I649" s="19" t="str">
        <f aca="false">IF(OR(F649="",G649=""),"",IF(F649-G649&lt;0,"CONTRATO ANTERIOR À ABERTURA — conferir datas",IF(F649-G649&lt;180,"ABERTA MENOS DE 6 MESES ANTES","")))</f>
        <v/>
      </c>
      <c r="J649" s="19" t="str">
        <f aca="false">IF(A649="","",IFERROR(INDEX(Sancoes!$B:$B,MATCH(A649,Sancoes!$A:$A,0))&amp;"","não consta"))</f>
        <v/>
      </c>
      <c r="K649" s="19" t="str">
        <f aca="false">IF(OR(A649="",F649=""),"",IF(SUMPRODUCT((Sancoes!$A$2:$A$301=A649)*(Sancoes!$B$2:$B$301&lt;&gt;"Não consta")*(Sancoes!$D$2:$D$301&lt;&gt;"")*(Sancoes!$D$2:$D$301&lt;=F649)*(((Sancoes!$E$2:$E$301="")+(Sancoes!$E$2:$E$301&gt;=F649))&gt;0))&gt;0,"SANÇÃO VIGENTE NA DATA — leia o tipo e a abrangência",""))</f>
        <v/>
      </c>
      <c r="L649" s="19" t="str">
        <f aca="false">IF(A649="","",IFERROR(INDEX(Empresas!$B:$B,MATCH(A649,Empresas!$A:$A,0))&amp;"","cadastre o CNPJ em Empresas"))</f>
        <v/>
      </c>
      <c r="M649" s="27"/>
      <c r="N649" s="35"/>
      <c r="O649" s="37" t="str">
        <f aca="false">IF(OR(D649="",D649=0,N649=""),"",N649/D649)</f>
        <v/>
      </c>
      <c r="P649" s="19" t="str">
        <f aca="false">IF(O649="","",IF(O649&gt;0.25,"ACRÉSCIMO ACIMA DE 25% — conferir",""))</f>
        <v/>
      </c>
      <c r="Q649" s="27"/>
      <c r="R649" s="5"/>
    </row>
    <row r="650" customFormat="false" ht="15" hidden="false" customHeight="false" outlineLevel="0" collapsed="false">
      <c r="A650" s="27"/>
      <c r="B650" s="5"/>
      <c r="C650" s="5"/>
      <c r="D650" s="35"/>
      <c r="E650" s="14"/>
      <c r="F650" s="18"/>
      <c r="G650" s="31" t="str">
        <f aca="false">IF(A650="","",IFERROR(IF(INDEX(Empresas!$C:$C,MATCH(A650,Empresas!$A:$A,0))="","",INDEX(Empresas!$C:$C,MATCH(A650,Empresas!$A:$A,0))),""))</f>
        <v/>
      </c>
      <c r="H650" s="18"/>
      <c r="I650" s="19" t="str">
        <f aca="false">IF(OR(F650="",G650=""),"",IF(F650-G650&lt;0,"CONTRATO ANTERIOR À ABERTURA — conferir datas",IF(F650-G650&lt;180,"ABERTA MENOS DE 6 MESES ANTES","")))</f>
        <v/>
      </c>
      <c r="J650" s="19" t="str">
        <f aca="false">IF(A650="","",IFERROR(INDEX(Sancoes!$B:$B,MATCH(A650,Sancoes!$A:$A,0))&amp;"","não consta"))</f>
        <v/>
      </c>
      <c r="K650" s="19" t="str">
        <f aca="false">IF(OR(A650="",F650=""),"",IF(SUMPRODUCT((Sancoes!$A$2:$A$301=A650)*(Sancoes!$B$2:$B$301&lt;&gt;"Não consta")*(Sancoes!$D$2:$D$301&lt;&gt;"")*(Sancoes!$D$2:$D$301&lt;=F650)*(((Sancoes!$E$2:$E$301="")+(Sancoes!$E$2:$E$301&gt;=F650))&gt;0))&gt;0,"SANÇÃO VIGENTE NA DATA — leia o tipo e a abrangência",""))</f>
        <v/>
      </c>
      <c r="L650" s="19" t="str">
        <f aca="false">IF(A650="","",IFERROR(INDEX(Empresas!$B:$B,MATCH(A650,Empresas!$A:$A,0))&amp;"","cadastre o CNPJ em Empresas"))</f>
        <v/>
      </c>
      <c r="M650" s="27"/>
      <c r="N650" s="35"/>
      <c r="O650" s="37" t="str">
        <f aca="false">IF(OR(D650="",D650=0,N650=""),"",N650/D650)</f>
        <v/>
      </c>
      <c r="P650" s="19" t="str">
        <f aca="false">IF(O650="","",IF(O650&gt;0.25,"ACRÉSCIMO ACIMA DE 25% — conferir",""))</f>
        <v/>
      </c>
      <c r="Q650" s="27"/>
      <c r="R650" s="5"/>
    </row>
    <row r="651" customFormat="false" ht="15" hidden="false" customHeight="false" outlineLevel="0" collapsed="false">
      <c r="A651" s="27"/>
      <c r="B651" s="5"/>
      <c r="C651" s="5"/>
      <c r="D651" s="35"/>
      <c r="E651" s="14"/>
      <c r="F651" s="18"/>
      <c r="G651" s="31" t="str">
        <f aca="false">IF(A651="","",IFERROR(IF(INDEX(Empresas!$C:$C,MATCH(A651,Empresas!$A:$A,0))="","",INDEX(Empresas!$C:$C,MATCH(A651,Empresas!$A:$A,0))),""))</f>
        <v/>
      </c>
      <c r="H651" s="18"/>
      <c r="I651" s="19" t="str">
        <f aca="false">IF(OR(F651="",G651=""),"",IF(F651-G651&lt;0,"CONTRATO ANTERIOR À ABERTURA — conferir datas",IF(F651-G651&lt;180,"ABERTA MENOS DE 6 MESES ANTES","")))</f>
        <v/>
      </c>
      <c r="J651" s="19" t="str">
        <f aca="false">IF(A651="","",IFERROR(INDEX(Sancoes!$B:$B,MATCH(A651,Sancoes!$A:$A,0))&amp;"","não consta"))</f>
        <v/>
      </c>
      <c r="K651" s="19" t="str">
        <f aca="false">IF(OR(A651="",F651=""),"",IF(SUMPRODUCT((Sancoes!$A$2:$A$301=A651)*(Sancoes!$B$2:$B$301&lt;&gt;"Não consta")*(Sancoes!$D$2:$D$301&lt;&gt;"")*(Sancoes!$D$2:$D$301&lt;=F651)*(((Sancoes!$E$2:$E$301="")+(Sancoes!$E$2:$E$301&gt;=F651))&gt;0))&gt;0,"SANÇÃO VIGENTE NA DATA — leia o tipo e a abrangência",""))</f>
        <v/>
      </c>
      <c r="L651" s="19" t="str">
        <f aca="false">IF(A651="","",IFERROR(INDEX(Empresas!$B:$B,MATCH(A651,Empresas!$A:$A,0))&amp;"","cadastre o CNPJ em Empresas"))</f>
        <v/>
      </c>
      <c r="M651" s="27"/>
      <c r="N651" s="35"/>
      <c r="O651" s="37" t="str">
        <f aca="false">IF(OR(D651="",D651=0,N651=""),"",N651/D651)</f>
        <v/>
      </c>
      <c r="P651" s="19" t="str">
        <f aca="false">IF(O651="","",IF(O651&gt;0.25,"ACRÉSCIMO ACIMA DE 25% — conferir",""))</f>
        <v/>
      </c>
      <c r="Q651" s="27"/>
      <c r="R651" s="5"/>
    </row>
    <row r="652" customFormat="false" ht="15" hidden="false" customHeight="false" outlineLevel="0" collapsed="false">
      <c r="A652" s="27"/>
      <c r="B652" s="5"/>
      <c r="C652" s="5"/>
      <c r="D652" s="35"/>
      <c r="E652" s="14"/>
      <c r="F652" s="18"/>
      <c r="G652" s="31" t="str">
        <f aca="false">IF(A652="","",IFERROR(IF(INDEX(Empresas!$C:$C,MATCH(A652,Empresas!$A:$A,0))="","",INDEX(Empresas!$C:$C,MATCH(A652,Empresas!$A:$A,0))),""))</f>
        <v/>
      </c>
      <c r="H652" s="18"/>
      <c r="I652" s="19" t="str">
        <f aca="false">IF(OR(F652="",G652=""),"",IF(F652-G652&lt;0,"CONTRATO ANTERIOR À ABERTURA — conferir datas",IF(F652-G652&lt;180,"ABERTA MENOS DE 6 MESES ANTES","")))</f>
        <v/>
      </c>
      <c r="J652" s="19" t="str">
        <f aca="false">IF(A652="","",IFERROR(INDEX(Sancoes!$B:$B,MATCH(A652,Sancoes!$A:$A,0))&amp;"","não consta"))</f>
        <v/>
      </c>
      <c r="K652" s="19" t="str">
        <f aca="false">IF(OR(A652="",F652=""),"",IF(SUMPRODUCT((Sancoes!$A$2:$A$301=A652)*(Sancoes!$B$2:$B$301&lt;&gt;"Não consta")*(Sancoes!$D$2:$D$301&lt;&gt;"")*(Sancoes!$D$2:$D$301&lt;=F652)*(((Sancoes!$E$2:$E$301="")+(Sancoes!$E$2:$E$301&gt;=F652))&gt;0))&gt;0,"SANÇÃO VIGENTE NA DATA — leia o tipo e a abrangência",""))</f>
        <v/>
      </c>
      <c r="L652" s="19" t="str">
        <f aca="false">IF(A652="","",IFERROR(INDEX(Empresas!$B:$B,MATCH(A652,Empresas!$A:$A,0))&amp;"","cadastre o CNPJ em Empresas"))</f>
        <v/>
      </c>
      <c r="M652" s="27"/>
      <c r="N652" s="35"/>
      <c r="O652" s="37" t="str">
        <f aca="false">IF(OR(D652="",D652=0,N652=""),"",N652/D652)</f>
        <v/>
      </c>
      <c r="P652" s="19" t="str">
        <f aca="false">IF(O652="","",IF(O652&gt;0.25,"ACRÉSCIMO ACIMA DE 25% — conferir",""))</f>
        <v/>
      </c>
      <c r="Q652" s="27"/>
      <c r="R652" s="5"/>
    </row>
    <row r="653" customFormat="false" ht="15" hidden="false" customHeight="false" outlineLevel="0" collapsed="false">
      <c r="A653" s="27"/>
      <c r="B653" s="5"/>
      <c r="C653" s="5"/>
      <c r="D653" s="35"/>
      <c r="E653" s="14"/>
      <c r="F653" s="18"/>
      <c r="G653" s="31" t="str">
        <f aca="false">IF(A653="","",IFERROR(IF(INDEX(Empresas!$C:$C,MATCH(A653,Empresas!$A:$A,0))="","",INDEX(Empresas!$C:$C,MATCH(A653,Empresas!$A:$A,0))),""))</f>
        <v/>
      </c>
      <c r="H653" s="18"/>
      <c r="I653" s="19" t="str">
        <f aca="false">IF(OR(F653="",G653=""),"",IF(F653-G653&lt;0,"CONTRATO ANTERIOR À ABERTURA — conferir datas",IF(F653-G653&lt;180,"ABERTA MENOS DE 6 MESES ANTES","")))</f>
        <v/>
      </c>
      <c r="J653" s="19" t="str">
        <f aca="false">IF(A653="","",IFERROR(INDEX(Sancoes!$B:$B,MATCH(A653,Sancoes!$A:$A,0))&amp;"","não consta"))</f>
        <v/>
      </c>
      <c r="K653" s="19" t="str">
        <f aca="false">IF(OR(A653="",F653=""),"",IF(SUMPRODUCT((Sancoes!$A$2:$A$301=A653)*(Sancoes!$B$2:$B$301&lt;&gt;"Não consta")*(Sancoes!$D$2:$D$301&lt;&gt;"")*(Sancoes!$D$2:$D$301&lt;=F653)*(((Sancoes!$E$2:$E$301="")+(Sancoes!$E$2:$E$301&gt;=F653))&gt;0))&gt;0,"SANÇÃO VIGENTE NA DATA — leia o tipo e a abrangência",""))</f>
        <v/>
      </c>
      <c r="L653" s="19" t="str">
        <f aca="false">IF(A653="","",IFERROR(INDEX(Empresas!$B:$B,MATCH(A653,Empresas!$A:$A,0))&amp;"","cadastre o CNPJ em Empresas"))</f>
        <v/>
      </c>
      <c r="M653" s="27"/>
      <c r="N653" s="35"/>
      <c r="O653" s="37" t="str">
        <f aca="false">IF(OR(D653="",D653=0,N653=""),"",N653/D653)</f>
        <v/>
      </c>
      <c r="P653" s="19" t="str">
        <f aca="false">IF(O653="","",IF(O653&gt;0.25,"ACRÉSCIMO ACIMA DE 25% — conferir",""))</f>
        <v/>
      </c>
      <c r="Q653" s="27"/>
      <c r="R653" s="5"/>
    </row>
    <row r="654" customFormat="false" ht="15" hidden="false" customHeight="false" outlineLevel="0" collapsed="false">
      <c r="A654" s="27"/>
      <c r="B654" s="5"/>
      <c r="C654" s="5"/>
      <c r="D654" s="35"/>
      <c r="E654" s="14"/>
      <c r="F654" s="18"/>
      <c r="G654" s="31" t="str">
        <f aca="false">IF(A654="","",IFERROR(IF(INDEX(Empresas!$C:$C,MATCH(A654,Empresas!$A:$A,0))="","",INDEX(Empresas!$C:$C,MATCH(A654,Empresas!$A:$A,0))),""))</f>
        <v/>
      </c>
      <c r="H654" s="18"/>
      <c r="I654" s="19" t="str">
        <f aca="false">IF(OR(F654="",G654=""),"",IF(F654-G654&lt;0,"CONTRATO ANTERIOR À ABERTURA — conferir datas",IF(F654-G654&lt;180,"ABERTA MENOS DE 6 MESES ANTES","")))</f>
        <v/>
      </c>
      <c r="J654" s="19" t="str">
        <f aca="false">IF(A654="","",IFERROR(INDEX(Sancoes!$B:$B,MATCH(A654,Sancoes!$A:$A,0))&amp;"","não consta"))</f>
        <v/>
      </c>
      <c r="K654" s="19" t="str">
        <f aca="false">IF(OR(A654="",F654=""),"",IF(SUMPRODUCT((Sancoes!$A$2:$A$301=A654)*(Sancoes!$B$2:$B$301&lt;&gt;"Não consta")*(Sancoes!$D$2:$D$301&lt;&gt;"")*(Sancoes!$D$2:$D$301&lt;=F654)*(((Sancoes!$E$2:$E$301="")+(Sancoes!$E$2:$E$301&gt;=F654))&gt;0))&gt;0,"SANÇÃO VIGENTE NA DATA — leia o tipo e a abrangência",""))</f>
        <v/>
      </c>
      <c r="L654" s="19" t="str">
        <f aca="false">IF(A654="","",IFERROR(INDEX(Empresas!$B:$B,MATCH(A654,Empresas!$A:$A,0))&amp;"","cadastre o CNPJ em Empresas"))</f>
        <v/>
      </c>
      <c r="M654" s="27"/>
      <c r="N654" s="35"/>
      <c r="O654" s="37" t="str">
        <f aca="false">IF(OR(D654="",D654=0,N654=""),"",N654/D654)</f>
        <v/>
      </c>
      <c r="P654" s="19" t="str">
        <f aca="false">IF(O654="","",IF(O654&gt;0.25,"ACRÉSCIMO ACIMA DE 25% — conferir",""))</f>
        <v/>
      </c>
      <c r="Q654" s="27"/>
      <c r="R654" s="5"/>
    </row>
    <row r="655" customFormat="false" ht="15" hidden="false" customHeight="false" outlineLevel="0" collapsed="false">
      <c r="A655" s="27"/>
      <c r="B655" s="5"/>
      <c r="C655" s="5"/>
      <c r="D655" s="35"/>
      <c r="E655" s="14"/>
      <c r="F655" s="18"/>
      <c r="G655" s="31" t="str">
        <f aca="false">IF(A655="","",IFERROR(IF(INDEX(Empresas!$C:$C,MATCH(A655,Empresas!$A:$A,0))="","",INDEX(Empresas!$C:$C,MATCH(A655,Empresas!$A:$A,0))),""))</f>
        <v/>
      </c>
      <c r="H655" s="18"/>
      <c r="I655" s="19" t="str">
        <f aca="false">IF(OR(F655="",G655=""),"",IF(F655-G655&lt;0,"CONTRATO ANTERIOR À ABERTURA — conferir datas",IF(F655-G655&lt;180,"ABERTA MENOS DE 6 MESES ANTES","")))</f>
        <v/>
      </c>
      <c r="J655" s="19" t="str">
        <f aca="false">IF(A655="","",IFERROR(INDEX(Sancoes!$B:$B,MATCH(A655,Sancoes!$A:$A,0))&amp;"","não consta"))</f>
        <v/>
      </c>
      <c r="K655" s="19" t="str">
        <f aca="false">IF(OR(A655="",F655=""),"",IF(SUMPRODUCT((Sancoes!$A$2:$A$301=A655)*(Sancoes!$B$2:$B$301&lt;&gt;"Não consta")*(Sancoes!$D$2:$D$301&lt;&gt;"")*(Sancoes!$D$2:$D$301&lt;=F655)*(((Sancoes!$E$2:$E$301="")+(Sancoes!$E$2:$E$301&gt;=F655))&gt;0))&gt;0,"SANÇÃO VIGENTE NA DATA — leia o tipo e a abrangência",""))</f>
        <v/>
      </c>
      <c r="L655" s="19" t="str">
        <f aca="false">IF(A655="","",IFERROR(INDEX(Empresas!$B:$B,MATCH(A655,Empresas!$A:$A,0))&amp;"","cadastre o CNPJ em Empresas"))</f>
        <v/>
      </c>
      <c r="M655" s="27"/>
      <c r="N655" s="35"/>
      <c r="O655" s="37" t="str">
        <f aca="false">IF(OR(D655="",D655=0,N655=""),"",N655/D655)</f>
        <v/>
      </c>
      <c r="P655" s="19" t="str">
        <f aca="false">IF(O655="","",IF(O655&gt;0.25,"ACRÉSCIMO ACIMA DE 25% — conferir",""))</f>
        <v/>
      </c>
      <c r="Q655" s="27"/>
      <c r="R655" s="5"/>
    </row>
    <row r="656" customFormat="false" ht="15" hidden="false" customHeight="false" outlineLevel="0" collapsed="false">
      <c r="A656" s="27"/>
      <c r="B656" s="5"/>
      <c r="C656" s="5"/>
      <c r="D656" s="35"/>
      <c r="E656" s="14"/>
      <c r="F656" s="18"/>
      <c r="G656" s="31" t="str">
        <f aca="false">IF(A656="","",IFERROR(IF(INDEX(Empresas!$C:$C,MATCH(A656,Empresas!$A:$A,0))="","",INDEX(Empresas!$C:$C,MATCH(A656,Empresas!$A:$A,0))),""))</f>
        <v/>
      </c>
      <c r="H656" s="18"/>
      <c r="I656" s="19" t="str">
        <f aca="false">IF(OR(F656="",G656=""),"",IF(F656-G656&lt;0,"CONTRATO ANTERIOR À ABERTURA — conferir datas",IF(F656-G656&lt;180,"ABERTA MENOS DE 6 MESES ANTES","")))</f>
        <v/>
      </c>
      <c r="J656" s="19" t="str">
        <f aca="false">IF(A656="","",IFERROR(INDEX(Sancoes!$B:$B,MATCH(A656,Sancoes!$A:$A,0))&amp;"","não consta"))</f>
        <v/>
      </c>
      <c r="K656" s="19" t="str">
        <f aca="false">IF(OR(A656="",F656=""),"",IF(SUMPRODUCT((Sancoes!$A$2:$A$301=A656)*(Sancoes!$B$2:$B$301&lt;&gt;"Não consta")*(Sancoes!$D$2:$D$301&lt;&gt;"")*(Sancoes!$D$2:$D$301&lt;=F656)*(((Sancoes!$E$2:$E$301="")+(Sancoes!$E$2:$E$301&gt;=F656))&gt;0))&gt;0,"SANÇÃO VIGENTE NA DATA — leia o tipo e a abrangência",""))</f>
        <v/>
      </c>
      <c r="L656" s="19" t="str">
        <f aca="false">IF(A656="","",IFERROR(INDEX(Empresas!$B:$B,MATCH(A656,Empresas!$A:$A,0))&amp;"","cadastre o CNPJ em Empresas"))</f>
        <v/>
      </c>
      <c r="M656" s="27"/>
      <c r="N656" s="35"/>
      <c r="O656" s="37" t="str">
        <f aca="false">IF(OR(D656="",D656=0,N656=""),"",N656/D656)</f>
        <v/>
      </c>
      <c r="P656" s="19" t="str">
        <f aca="false">IF(O656="","",IF(O656&gt;0.25,"ACRÉSCIMO ACIMA DE 25% — conferir",""))</f>
        <v/>
      </c>
      <c r="Q656" s="27"/>
      <c r="R656" s="5"/>
    </row>
    <row r="657" customFormat="false" ht="15" hidden="false" customHeight="false" outlineLevel="0" collapsed="false">
      <c r="A657" s="27"/>
      <c r="B657" s="5"/>
      <c r="C657" s="5"/>
      <c r="D657" s="35"/>
      <c r="E657" s="14"/>
      <c r="F657" s="18"/>
      <c r="G657" s="31" t="str">
        <f aca="false">IF(A657="","",IFERROR(IF(INDEX(Empresas!$C:$C,MATCH(A657,Empresas!$A:$A,0))="","",INDEX(Empresas!$C:$C,MATCH(A657,Empresas!$A:$A,0))),""))</f>
        <v/>
      </c>
      <c r="H657" s="18"/>
      <c r="I657" s="19" t="str">
        <f aca="false">IF(OR(F657="",G657=""),"",IF(F657-G657&lt;0,"CONTRATO ANTERIOR À ABERTURA — conferir datas",IF(F657-G657&lt;180,"ABERTA MENOS DE 6 MESES ANTES","")))</f>
        <v/>
      </c>
      <c r="J657" s="19" t="str">
        <f aca="false">IF(A657="","",IFERROR(INDEX(Sancoes!$B:$B,MATCH(A657,Sancoes!$A:$A,0))&amp;"","não consta"))</f>
        <v/>
      </c>
      <c r="K657" s="19" t="str">
        <f aca="false">IF(OR(A657="",F657=""),"",IF(SUMPRODUCT((Sancoes!$A$2:$A$301=A657)*(Sancoes!$B$2:$B$301&lt;&gt;"Não consta")*(Sancoes!$D$2:$D$301&lt;&gt;"")*(Sancoes!$D$2:$D$301&lt;=F657)*(((Sancoes!$E$2:$E$301="")+(Sancoes!$E$2:$E$301&gt;=F657))&gt;0))&gt;0,"SANÇÃO VIGENTE NA DATA — leia o tipo e a abrangência",""))</f>
        <v/>
      </c>
      <c r="L657" s="19" t="str">
        <f aca="false">IF(A657="","",IFERROR(INDEX(Empresas!$B:$B,MATCH(A657,Empresas!$A:$A,0))&amp;"","cadastre o CNPJ em Empresas"))</f>
        <v/>
      </c>
      <c r="M657" s="27"/>
      <c r="N657" s="35"/>
      <c r="O657" s="37" t="str">
        <f aca="false">IF(OR(D657="",D657=0,N657=""),"",N657/D657)</f>
        <v/>
      </c>
      <c r="P657" s="19" t="str">
        <f aca="false">IF(O657="","",IF(O657&gt;0.25,"ACRÉSCIMO ACIMA DE 25% — conferir",""))</f>
        <v/>
      </c>
      <c r="Q657" s="27"/>
      <c r="R657" s="5"/>
    </row>
    <row r="658" customFormat="false" ht="15" hidden="false" customHeight="false" outlineLevel="0" collapsed="false">
      <c r="A658" s="27"/>
      <c r="B658" s="5"/>
      <c r="C658" s="5"/>
      <c r="D658" s="35"/>
      <c r="E658" s="14"/>
      <c r="F658" s="18"/>
      <c r="G658" s="31" t="str">
        <f aca="false">IF(A658="","",IFERROR(IF(INDEX(Empresas!$C:$C,MATCH(A658,Empresas!$A:$A,0))="","",INDEX(Empresas!$C:$C,MATCH(A658,Empresas!$A:$A,0))),""))</f>
        <v/>
      </c>
      <c r="H658" s="18"/>
      <c r="I658" s="19" t="str">
        <f aca="false">IF(OR(F658="",G658=""),"",IF(F658-G658&lt;0,"CONTRATO ANTERIOR À ABERTURA — conferir datas",IF(F658-G658&lt;180,"ABERTA MENOS DE 6 MESES ANTES","")))</f>
        <v/>
      </c>
      <c r="J658" s="19" t="str">
        <f aca="false">IF(A658="","",IFERROR(INDEX(Sancoes!$B:$B,MATCH(A658,Sancoes!$A:$A,0))&amp;"","não consta"))</f>
        <v/>
      </c>
      <c r="K658" s="19" t="str">
        <f aca="false">IF(OR(A658="",F658=""),"",IF(SUMPRODUCT((Sancoes!$A$2:$A$301=A658)*(Sancoes!$B$2:$B$301&lt;&gt;"Não consta")*(Sancoes!$D$2:$D$301&lt;&gt;"")*(Sancoes!$D$2:$D$301&lt;=F658)*(((Sancoes!$E$2:$E$301="")+(Sancoes!$E$2:$E$301&gt;=F658))&gt;0))&gt;0,"SANÇÃO VIGENTE NA DATA — leia o tipo e a abrangência",""))</f>
        <v/>
      </c>
      <c r="L658" s="19" t="str">
        <f aca="false">IF(A658="","",IFERROR(INDEX(Empresas!$B:$B,MATCH(A658,Empresas!$A:$A,0))&amp;"","cadastre o CNPJ em Empresas"))</f>
        <v/>
      </c>
      <c r="M658" s="27"/>
      <c r="N658" s="35"/>
      <c r="O658" s="37" t="str">
        <f aca="false">IF(OR(D658="",D658=0,N658=""),"",N658/D658)</f>
        <v/>
      </c>
      <c r="P658" s="19" t="str">
        <f aca="false">IF(O658="","",IF(O658&gt;0.25,"ACRÉSCIMO ACIMA DE 25% — conferir",""))</f>
        <v/>
      </c>
      <c r="Q658" s="27"/>
      <c r="R658" s="5"/>
    </row>
    <row r="659" customFormat="false" ht="15" hidden="false" customHeight="false" outlineLevel="0" collapsed="false">
      <c r="A659" s="27"/>
      <c r="B659" s="5"/>
      <c r="C659" s="5"/>
      <c r="D659" s="35"/>
      <c r="E659" s="14"/>
      <c r="F659" s="18"/>
      <c r="G659" s="31" t="str">
        <f aca="false">IF(A659="","",IFERROR(IF(INDEX(Empresas!$C:$C,MATCH(A659,Empresas!$A:$A,0))="","",INDEX(Empresas!$C:$C,MATCH(A659,Empresas!$A:$A,0))),""))</f>
        <v/>
      </c>
      <c r="H659" s="18"/>
      <c r="I659" s="19" t="str">
        <f aca="false">IF(OR(F659="",G659=""),"",IF(F659-G659&lt;0,"CONTRATO ANTERIOR À ABERTURA — conferir datas",IF(F659-G659&lt;180,"ABERTA MENOS DE 6 MESES ANTES","")))</f>
        <v/>
      </c>
      <c r="J659" s="19" t="str">
        <f aca="false">IF(A659="","",IFERROR(INDEX(Sancoes!$B:$B,MATCH(A659,Sancoes!$A:$A,0))&amp;"","não consta"))</f>
        <v/>
      </c>
      <c r="K659" s="19" t="str">
        <f aca="false">IF(OR(A659="",F659=""),"",IF(SUMPRODUCT((Sancoes!$A$2:$A$301=A659)*(Sancoes!$B$2:$B$301&lt;&gt;"Não consta")*(Sancoes!$D$2:$D$301&lt;&gt;"")*(Sancoes!$D$2:$D$301&lt;=F659)*(((Sancoes!$E$2:$E$301="")+(Sancoes!$E$2:$E$301&gt;=F659))&gt;0))&gt;0,"SANÇÃO VIGENTE NA DATA — leia o tipo e a abrangência",""))</f>
        <v/>
      </c>
      <c r="L659" s="19" t="str">
        <f aca="false">IF(A659="","",IFERROR(INDEX(Empresas!$B:$B,MATCH(A659,Empresas!$A:$A,0))&amp;"","cadastre o CNPJ em Empresas"))</f>
        <v/>
      </c>
      <c r="M659" s="27"/>
      <c r="N659" s="35"/>
      <c r="O659" s="37" t="str">
        <f aca="false">IF(OR(D659="",D659=0,N659=""),"",N659/D659)</f>
        <v/>
      </c>
      <c r="P659" s="19" t="str">
        <f aca="false">IF(O659="","",IF(O659&gt;0.25,"ACRÉSCIMO ACIMA DE 25% — conferir",""))</f>
        <v/>
      </c>
      <c r="Q659" s="27"/>
      <c r="R659" s="5"/>
    </row>
    <row r="660" customFormat="false" ht="15" hidden="false" customHeight="false" outlineLevel="0" collapsed="false">
      <c r="A660" s="27"/>
      <c r="B660" s="5"/>
      <c r="C660" s="5"/>
      <c r="D660" s="35"/>
      <c r="E660" s="14"/>
      <c r="F660" s="18"/>
      <c r="G660" s="31" t="str">
        <f aca="false">IF(A660="","",IFERROR(IF(INDEX(Empresas!$C:$C,MATCH(A660,Empresas!$A:$A,0))="","",INDEX(Empresas!$C:$C,MATCH(A660,Empresas!$A:$A,0))),""))</f>
        <v/>
      </c>
      <c r="H660" s="18"/>
      <c r="I660" s="19" t="str">
        <f aca="false">IF(OR(F660="",G660=""),"",IF(F660-G660&lt;0,"CONTRATO ANTERIOR À ABERTURA — conferir datas",IF(F660-G660&lt;180,"ABERTA MENOS DE 6 MESES ANTES","")))</f>
        <v/>
      </c>
      <c r="J660" s="19" t="str">
        <f aca="false">IF(A660="","",IFERROR(INDEX(Sancoes!$B:$B,MATCH(A660,Sancoes!$A:$A,0))&amp;"","não consta"))</f>
        <v/>
      </c>
      <c r="K660" s="19" t="str">
        <f aca="false">IF(OR(A660="",F660=""),"",IF(SUMPRODUCT((Sancoes!$A$2:$A$301=A660)*(Sancoes!$B$2:$B$301&lt;&gt;"Não consta")*(Sancoes!$D$2:$D$301&lt;&gt;"")*(Sancoes!$D$2:$D$301&lt;=F660)*(((Sancoes!$E$2:$E$301="")+(Sancoes!$E$2:$E$301&gt;=F660))&gt;0))&gt;0,"SANÇÃO VIGENTE NA DATA — leia o tipo e a abrangência",""))</f>
        <v/>
      </c>
      <c r="L660" s="19" t="str">
        <f aca="false">IF(A660="","",IFERROR(INDEX(Empresas!$B:$B,MATCH(A660,Empresas!$A:$A,0))&amp;"","cadastre o CNPJ em Empresas"))</f>
        <v/>
      </c>
      <c r="M660" s="27"/>
      <c r="N660" s="35"/>
      <c r="O660" s="37" t="str">
        <f aca="false">IF(OR(D660="",D660=0,N660=""),"",N660/D660)</f>
        <v/>
      </c>
      <c r="P660" s="19" t="str">
        <f aca="false">IF(O660="","",IF(O660&gt;0.25,"ACRÉSCIMO ACIMA DE 25% — conferir",""))</f>
        <v/>
      </c>
      <c r="Q660" s="27"/>
      <c r="R660" s="5"/>
    </row>
    <row r="661" customFormat="false" ht="15" hidden="false" customHeight="false" outlineLevel="0" collapsed="false">
      <c r="A661" s="27"/>
      <c r="B661" s="5"/>
      <c r="C661" s="5"/>
      <c r="D661" s="35"/>
      <c r="E661" s="14"/>
      <c r="F661" s="18"/>
      <c r="G661" s="31" t="str">
        <f aca="false">IF(A661="","",IFERROR(IF(INDEX(Empresas!$C:$C,MATCH(A661,Empresas!$A:$A,0))="","",INDEX(Empresas!$C:$C,MATCH(A661,Empresas!$A:$A,0))),""))</f>
        <v/>
      </c>
      <c r="H661" s="18"/>
      <c r="I661" s="19" t="str">
        <f aca="false">IF(OR(F661="",G661=""),"",IF(F661-G661&lt;0,"CONTRATO ANTERIOR À ABERTURA — conferir datas",IF(F661-G661&lt;180,"ABERTA MENOS DE 6 MESES ANTES","")))</f>
        <v/>
      </c>
      <c r="J661" s="19" t="str">
        <f aca="false">IF(A661="","",IFERROR(INDEX(Sancoes!$B:$B,MATCH(A661,Sancoes!$A:$A,0))&amp;"","não consta"))</f>
        <v/>
      </c>
      <c r="K661" s="19" t="str">
        <f aca="false">IF(OR(A661="",F661=""),"",IF(SUMPRODUCT((Sancoes!$A$2:$A$301=A661)*(Sancoes!$B$2:$B$301&lt;&gt;"Não consta")*(Sancoes!$D$2:$D$301&lt;&gt;"")*(Sancoes!$D$2:$D$301&lt;=F661)*(((Sancoes!$E$2:$E$301="")+(Sancoes!$E$2:$E$301&gt;=F661))&gt;0))&gt;0,"SANÇÃO VIGENTE NA DATA — leia o tipo e a abrangência",""))</f>
        <v/>
      </c>
      <c r="L661" s="19" t="str">
        <f aca="false">IF(A661="","",IFERROR(INDEX(Empresas!$B:$B,MATCH(A661,Empresas!$A:$A,0))&amp;"","cadastre o CNPJ em Empresas"))</f>
        <v/>
      </c>
      <c r="M661" s="27"/>
      <c r="N661" s="35"/>
      <c r="O661" s="37" t="str">
        <f aca="false">IF(OR(D661="",D661=0,N661=""),"",N661/D661)</f>
        <v/>
      </c>
      <c r="P661" s="19" t="str">
        <f aca="false">IF(O661="","",IF(O661&gt;0.25,"ACRÉSCIMO ACIMA DE 25% — conferir",""))</f>
        <v/>
      </c>
      <c r="Q661" s="27"/>
      <c r="R661" s="5"/>
    </row>
    <row r="662" customFormat="false" ht="15" hidden="false" customHeight="false" outlineLevel="0" collapsed="false">
      <c r="A662" s="27"/>
      <c r="B662" s="5"/>
      <c r="C662" s="5"/>
      <c r="D662" s="35"/>
      <c r="E662" s="14"/>
      <c r="F662" s="18"/>
      <c r="G662" s="31" t="str">
        <f aca="false">IF(A662="","",IFERROR(IF(INDEX(Empresas!$C:$C,MATCH(A662,Empresas!$A:$A,0))="","",INDEX(Empresas!$C:$C,MATCH(A662,Empresas!$A:$A,0))),""))</f>
        <v/>
      </c>
      <c r="H662" s="18"/>
      <c r="I662" s="19" t="str">
        <f aca="false">IF(OR(F662="",G662=""),"",IF(F662-G662&lt;0,"CONTRATO ANTERIOR À ABERTURA — conferir datas",IF(F662-G662&lt;180,"ABERTA MENOS DE 6 MESES ANTES","")))</f>
        <v/>
      </c>
      <c r="J662" s="19" t="str">
        <f aca="false">IF(A662="","",IFERROR(INDEX(Sancoes!$B:$B,MATCH(A662,Sancoes!$A:$A,0))&amp;"","não consta"))</f>
        <v/>
      </c>
      <c r="K662" s="19" t="str">
        <f aca="false">IF(OR(A662="",F662=""),"",IF(SUMPRODUCT((Sancoes!$A$2:$A$301=A662)*(Sancoes!$B$2:$B$301&lt;&gt;"Não consta")*(Sancoes!$D$2:$D$301&lt;&gt;"")*(Sancoes!$D$2:$D$301&lt;=F662)*(((Sancoes!$E$2:$E$301="")+(Sancoes!$E$2:$E$301&gt;=F662))&gt;0))&gt;0,"SANÇÃO VIGENTE NA DATA — leia o tipo e a abrangência",""))</f>
        <v/>
      </c>
      <c r="L662" s="19" t="str">
        <f aca="false">IF(A662="","",IFERROR(INDEX(Empresas!$B:$B,MATCH(A662,Empresas!$A:$A,0))&amp;"","cadastre o CNPJ em Empresas"))</f>
        <v/>
      </c>
      <c r="M662" s="27"/>
      <c r="N662" s="35"/>
      <c r="O662" s="37" t="str">
        <f aca="false">IF(OR(D662="",D662=0,N662=""),"",N662/D662)</f>
        <v/>
      </c>
      <c r="P662" s="19" t="str">
        <f aca="false">IF(O662="","",IF(O662&gt;0.25,"ACRÉSCIMO ACIMA DE 25% — conferir",""))</f>
        <v/>
      </c>
      <c r="Q662" s="27"/>
      <c r="R662" s="5"/>
    </row>
    <row r="663" customFormat="false" ht="15" hidden="false" customHeight="false" outlineLevel="0" collapsed="false">
      <c r="A663" s="27"/>
      <c r="B663" s="5"/>
      <c r="C663" s="5"/>
      <c r="D663" s="35"/>
      <c r="E663" s="14"/>
      <c r="F663" s="18"/>
      <c r="G663" s="31" t="str">
        <f aca="false">IF(A663="","",IFERROR(IF(INDEX(Empresas!$C:$C,MATCH(A663,Empresas!$A:$A,0))="","",INDEX(Empresas!$C:$C,MATCH(A663,Empresas!$A:$A,0))),""))</f>
        <v/>
      </c>
      <c r="H663" s="18"/>
      <c r="I663" s="19" t="str">
        <f aca="false">IF(OR(F663="",G663=""),"",IF(F663-G663&lt;0,"CONTRATO ANTERIOR À ABERTURA — conferir datas",IF(F663-G663&lt;180,"ABERTA MENOS DE 6 MESES ANTES","")))</f>
        <v/>
      </c>
      <c r="J663" s="19" t="str">
        <f aca="false">IF(A663="","",IFERROR(INDEX(Sancoes!$B:$B,MATCH(A663,Sancoes!$A:$A,0))&amp;"","não consta"))</f>
        <v/>
      </c>
      <c r="K663" s="19" t="str">
        <f aca="false">IF(OR(A663="",F663=""),"",IF(SUMPRODUCT((Sancoes!$A$2:$A$301=A663)*(Sancoes!$B$2:$B$301&lt;&gt;"Não consta")*(Sancoes!$D$2:$D$301&lt;&gt;"")*(Sancoes!$D$2:$D$301&lt;=F663)*(((Sancoes!$E$2:$E$301="")+(Sancoes!$E$2:$E$301&gt;=F663))&gt;0))&gt;0,"SANÇÃO VIGENTE NA DATA — leia o tipo e a abrangência",""))</f>
        <v/>
      </c>
      <c r="L663" s="19" t="str">
        <f aca="false">IF(A663="","",IFERROR(INDEX(Empresas!$B:$B,MATCH(A663,Empresas!$A:$A,0))&amp;"","cadastre o CNPJ em Empresas"))</f>
        <v/>
      </c>
      <c r="M663" s="27"/>
      <c r="N663" s="35"/>
      <c r="O663" s="37" t="str">
        <f aca="false">IF(OR(D663="",D663=0,N663=""),"",N663/D663)</f>
        <v/>
      </c>
      <c r="P663" s="19" t="str">
        <f aca="false">IF(O663="","",IF(O663&gt;0.25,"ACRÉSCIMO ACIMA DE 25% — conferir",""))</f>
        <v/>
      </c>
      <c r="Q663" s="27"/>
      <c r="R663" s="5"/>
    </row>
    <row r="664" customFormat="false" ht="15" hidden="false" customHeight="false" outlineLevel="0" collapsed="false">
      <c r="A664" s="27"/>
      <c r="B664" s="5"/>
      <c r="C664" s="5"/>
      <c r="D664" s="35"/>
      <c r="E664" s="14"/>
      <c r="F664" s="18"/>
      <c r="G664" s="31" t="str">
        <f aca="false">IF(A664="","",IFERROR(IF(INDEX(Empresas!$C:$C,MATCH(A664,Empresas!$A:$A,0))="","",INDEX(Empresas!$C:$C,MATCH(A664,Empresas!$A:$A,0))),""))</f>
        <v/>
      </c>
      <c r="H664" s="18"/>
      <c r="I664" s="19" t="str">
        <f aca="false">IF(OR(F664="",G664=""),"",IF(F664-G664&lt;0,"CONTRATO ANTERIOR À ABERTURA — conferir datas",IF(F664-G664&lt;180,"ABERTA MENOS DE 6 MESES ANTES","")))</f>
        <v/>
      </c>
      <c r="J664" s="19" t="str">
        <f aca="false">IF(A664="","",IFERROR(INDEX(Sancoes!$B:$B,MATCH(A664,Sancoes!$A:$A,0))&amp;"","não consta"))</f>
        <v/>
      </c>
      <c r="K664" s="19" t="str">
        <f aca="false">IF(OR(A664="",F664=""),"",IF(SUMPRODUCT((Sancoes!$A$2:$A$301=A664)*(Sancoes!$B$2:$B$301&lt;&gt;"Não consta")*(Sancoes!$D$2:$D$301&lt;&gt;"")*(Sancoes!$D$2:$D$301&lt;=F664)*(((Sancoes!$E$2:$E$301="")+(Sancoes!$E$2:$E$301&gt;=F664))&gt;0))&gt;0,"SANÇÃO VIGENTE NA DATA — leia o tipo e a abrangência",""))</f>
        <v/>
      </c>
      <c r="L664" s="19" t="str">
        <f aca="false">IF(A664="","",IFERROR(INDEX(Empresas!$B:$B,MATCH(A664,Empresas!$A:$A,0))&amp;"","cadastre o CNPJ em Empresas"))</f>
        <v/>
      </c>
      <c r="M664" s="27"/>
      <c r="N664" s="35"/>
      <c r="O664" s="37" t="str">
        <f aca="false">IF(OR(D664="",D664=0,N664=""),"",N664/D664)</f>
        <v/>
      </c>
      <c r="P664" s="19" t="str">
        <f aca="false">IF(O664="","",IF(O664&gt;0.25,"ACRÉSCIMO ACIMA DE 25% — conferir",""))</f>
        <v/>
      </c>
      <c r="Q664" s="27"/>
      <c r="R664" s="5"/>
    </row>
    <row r="665" customFormat="false" ht="15" hidden="false" customHeight="false" outlineLevel="0" collapsed="false">
      <c r="A665" s="27"/>
      <c r="B665" s="5"/>
      <c r="C665" s="5"/>
      <c r="D665" s="35"/>
      <c r="E665" s="14"/>
      <c r="F665" s="18"/>
      <c r="G665" s="31" t="str">
        <f aca="false">IF(A665="","",IFERROR(IF(INDEX(Empresas!$C:$C,MATCH(A665,Empresas!$A:$A,0))="","",INDEX(Empresas!$C:$C,MATCH(A665,Empresas!$A:$A,0))),""))</f>
        <v/>
      </c>
      <c r="H665" s="18"/>
      <c r="I665" s="19" t="str">
        <f aca="false">IF(OR(F665="",G665=""),"",IF(F665-G665&lt;0,"CONTRATO ANTERIOR À ABERTURA — conferir datas",IF(F665-G665&lt;180,"ABERTA MENOS DE 6 MESES ANTES","")))</f>
        <v/>
      </c>
      <c r="J665" s="19" t="str">
        <f aca="false">IF(A665="","",IFERROR(INDEX(Sancoes!$B:$B,MATCH(A665,Sancoes!$A:$A,0))&amp;"","não consta"))</f>
        <v/>
      </c>
      <c r="K665" s="19" t="str">
        <f aca="false">IF(OR(A665="",F665=""),"",IF(SUMPRODUCT((Sancoes!$A$2:$A$301=A665)*(Sancoes!$B$2:$B$301&lt;&gt;"Não consta")*(Sancoes!$D$2:$D$301&lt;&gt;"")*(Sancoes!$D$2:$D$301&lt;=F665)*(((Sancoes!$E$2:$E$301="")+(Sancoes!$E$2:$E$301&gt;=F665))&gt;0))&gt;0,"SANÇÃO VIGENTE NA DATA — leia o tipo e a abrangência",""))</f>
        <v/>
      </c>
      <c r="L665" s="19" t="str">
        <f aca="false">IF(A665="","",IFERROR(INDEX(Empresas!$B:$B,MATCH(A665,Empresas!$A:$A,0))&amp;"","cadastre o CNPJ em Empresas"))</f>
        <v/>
      </c>
      <c r="M665" s="27"/>
      <c r="N665" s="35"/>
      <c r="O665" s="37" t="str">
        <f aca="false">IF(OR(D665="",D665=0,N665=""),"",N665/D665)</f>
        <v/>
      </c>
      <c r="P665" s="19" t="str">
        <f aca="false">IF(O665="","",IF(O665&gt;0.25,"ACRÉSCIMO ACIMA DE 25% — conferir",""))</f>
        <v/>
      </c>
      <c r="Q665" s="27"/>
      <c r="R665" s="5"/>
    </row>
    <row r="666" customFormat="false" ht="15" hidden="false" customHeight="false" outlineLevel="0" collapsed="false">
      <c r="A666" s="27"/>
      <c r="B666" s="5"/>
      <c r="C666" s="5"/>
      <c r="D666" s="35"/>
      <c r="E666" s="14"/>
      <c r="F666" s="18"/>
      <c r="G666" s="31" t="str">
        <f aca="false">IF(A666="","",IFERROR(IF(INDEX(Empresas!$C:$C,MATCH(A666,Empresas!$A:$A,0))="","",INDEX(Empresas!$C:$C,MATCH(A666,Empresas!$A:$A,0))),""))</f>
        <v/>
      </c>
      <c r="H666" s="18"/>
      <c r="I666" s="19" t="str">
        <f aca="false">IF(OR(F666="",G666=""),"",IF(F666-G666&lt;0,"CONTRATO ANTERIOR À ABERTURA — conferir datas",IF(F666-G666&lt;180,"ABERTA MENOS DE 6 MESES ANTES","")))</f>
        <v/>
      </c>
      <c r="J666" s="19" t="str">
        <f aca="false">IF(A666="","",IFERROR(INDEX(Sancoes!$B:$B,MATCH(A666,Sancoes!$A:$A,0))&amp;"","não consta"))</f>
        <v/>
      </c>
      <c r="K666" s="19" t="str">
        <f aca="false">IF(OR(A666="",F666=""),"",IF(SUMPRODUCT((Sancoes!$A$2:$A$301=A666)*(Sancoes!$B$2:$B$301&lt;&gt;"Não consta")*(Sancoes!$D$2:$D$301&lt;&gt;"")*(Sancoes!$D$2:$D$301&lt;=F666)*(((Sancoes!$E$2:$E$301="")+(Sancoes!$E$2:$E$301&gt;=F666))&gt;0))&gt;0,"SANÇÃO VIGENTE NA DATA — leia o tipo e a abrangência",""))</f>
        <v/>
      </c>
      <c r="L666" s="19" t="str">
        <f aca="false">IF(A666="","",IFERROR(INDEX(Empresas!$B:$B,MATCH(A666,Empresas!$A:$A,0))&amp;"","cadastre o CNPJ em Empresas"))</f>
        <v/>
      </c>
      <c r="M666" s="27"/>
      <c r="N666" s="35"/>
      <c r="O666" s="37" t="str">
        <f aca="false">IF(OR(D666="",D666=0,N666=""),"",N666/D666)</f>
        <v/>
      </c>
      <c r="P666" s="19" t="str">
        <f aca="false">IF(O666="","",IF(O666&gt;0.25,"ACRÉSCIMO ACIMA DE 25% — conferir",""))</f>
        <v/>
      </c>
      <c r="Q666" s="27"/>
      <c r="R666" s="5"/>
    </row>
    <row r="667" customFormat="false" ht="15" hidden="false" customHeight="false" outlineLevel="0" collapsed="false">
      <c r="A667" s="27"/>
      <c r="B667" s="5"/>
      <c r="C667" s="5"/>
      <c r="D667" s="35"/>
      <c r="E667" s="14"/>
      <c r="F667" s="18"/>
      <c r="G667" s="31" t="str">
        <f aca="false">IF(A667="","",IFERROR(IF(INDEX(Empresas!$C:$C,MATCH(A667,Empresas!$A:$A,0))="","",INDEX(Empresas!$C:$C,MATCH(A667,Empresas!$A:$A,0))),""))</f>
        <v/>
      </c>
      <c r="H667" s="18"/>
      <c r="I667" s="19" t="str">
        <f aca="false">IF(OR(F667="",G667=""),"",IF(F667-G667&lt;0,"CONTRATO ANTERIOR À ABERTURA — conferir datas",IF(F667-G667&lt;180,"ABERTA MENOS DE 6 MESES ANTES","")))</f>
        <v/>
      </c>
      <c r="J667" s="19" t="str">
        <f aca="false">IF(A667="","",IFERROR(INDEX(Sancoes!$B:$B,MATCH(A667,Sancoes!$A:$A,0))&amp;"","não consta"))</f>
        <v/>
      </c>
      <c r="K667" s="19" t="str">
        <f aca="false">IF(OR(A667="",F667=""),"",IF(SUMPRODUCT((Sancoes!$A$2:$A$301=A667)*(Sancoes!$B$2:$B$301&lt;&gt;"Não consta")*(Sancoes!$D$2:$D$301&lt;&gt;"")*(Sancoes!$D$2:$D$301&lt;=F667)*(((Sancoes!$E$2:$E$301="")+(Sancoes!$E$2:$E$301&gt;=F667))&gt;0))&gt;0,"SANÇÃO VIGENTE NA DATA — leia o tipo e a abrangência",""))</f>
        <v/>
      </c>
      <c r="L667" s="19" t="str">
        <f aca="false">IF(A667="","",IFERROR(INDEX(Empresas!$B:$B,MATCH(A667,Empresas!$A:$A,0))&amp;"","cadastre o CNPJ em Empresas"))</f>
        <v/>
      </c>
      <c r="M667" s="27"/>
      <c r="N667" s="35"/>
      <c r="O667" s="37" t="str">
        <f aca="false">IF(OR(D667="",D667=0,N667=""),"",N667/D667)</f>
        <v/>
      </c>
      <c r="P667" s="19" t="str">
        <f aca="false">IF(O667="","",IF(O667&gt;0.25,"ACRÉSCIMO ACIMA DE 25% — conferir",""))</f>
        <v/>
      </c>
      <c r="Q667" s="27"/>
      <c r="R667" s="5"/>
    </row>
    <row r="668" customFormat="false" ht="15" hidden="false" customHeight="false" outlineLevel="0" collapsed="false">
      <c r="A668" s="27"/>
      <c r="B668" s="5"/>
      <c r="C668" s="5"/>
      <c r="D668" s="35"/>
      <c r="E668" s="14"/>
      <c r="F668" s="18"/>
      <c r="G668" s="31" t="str">
        <f aca="false">IF(A668="","",IFERROR(IF(INDEX(Empresas!$C:$C,MATCH(A668,Empresas!$A:$A,0))="","",INDEX(Empresas!$C:$C,MATCH(A668,Empresas!$A:$A,0))),""))</f>
        <v/>
      </c>
      <c r="H668" s="18"/>
      <c r="I668" s="19" t="str">
        <f aca="false">IF(OR(F668="",G668=""),"",IF(F668-G668&lt;0,"CONTRATO ANTERIOR À ABERTURA — conferir datas",IF(F668-G668&lt;180,"ABERTA MENOS DE 6 MESES ANTES","")))</f>
        <v/>
      </c>
      <c r="J668" s="19" t="str">
        <f aca="false">IF(A668="","",IFERROR(INDEX(Sancoes!$B:$B,MATCH(A668,Sancoes!$A:$A,0))&amp;"","não consta"))</f>
        <v/>
      </c>
      <c r="K668" s="19" t="str">
        <f aca="false">IF(OR(A668="",F668=""),"",IF(SUMPRODUCT((Sancoes!$A$2:$A$301=A668)*(Sancoes!$B$2:$B$301&lt;&gt;"Não consta")*(Sancoes!$D$2:$D$301&lt;&gt;"")*(Sancoes!$D$2:$D$301&lt;=F668)*(((Sancoes!$E$2:$E$301="")+(Sancoes!$E$2:$E$301&gt;=F668))&gt;0))&gt;0,"SANÇÃO VIGENTE NA DATA — leia o tipo e a abrangência",""))</f>
        <v/>
      </c>
      <c r="L668" s="19" t="str">
        <f aca="false">IF(A668="","",IFERROR(INDEX(Empresas!$B:$B,MATCH(A668,Empresas!$A:$A,0))&amp;"","cadastre o CNPJ em Empresas"))</f>
        <v/>
      </c>
      <c r="M668" s="27"/>
      <c r="N668" s="35"/>
      <c r="O668" s="37" t="str">
        <f aca="false">IF(OR(D668="",D668=0,N668=""),"",N668/D668)</f>
        <v/>
      </c>
      <c r="P668" s="19" t="str">
        <f aca="false">IF(O668="","",IF(O668&gt;0.25,"ACRÉSCIMO ACIMA DE 25% — conferir",""))</f>
        <v/>
      </c>
      <c r="Q668" s="27"/>
      <c r="R668" s="5"/>
    </row>
    <row r="669" customFormat="false" ht="15" hidden="false" customHeight="false" outlineLevel="0" collapsed="false">
      <c r="A669" s="27"/>
      <c r="B669" s="5"/>
      <c r="C669" s="5"/>
      <c r="D669" s="35"/>
      <c r="E669" s="14"/>
      <c r="F669" s="18"/>
      <c r="G669" s="31" t="str">
        <f aca="false">IF(A669="","",IFERROR(IF(INDEX(Empresas!$C:$C,MATCH(A669,Empresas!$A:$A,0))="","",INDEX(Empresas!$C:$C,MATCH(A669,Empresas!$A:$A,0))),""))</f>
        <v/>
      </c>
      <c r="H669" s="18"/>
      <c r="I669" s="19" t="str">
        <f aca="false">IF(OR(F669="",G669=""),"",IF(F669-G669&lt;0,"CONTRATO ANTERIOR À ABERTURA — conferir datas",IF(F669-G669&lt;180,"ABERTA MENOS DE 6 MESES ANTES","")))</f>
        <v/>
      </c>
      <c r="J669" s="19" t="str">
        <f aca="false">IF(A669="","",IFERROR(INDEX(Sancoes!$B:$B,MATCH(A669,Sancoes!$A:$A,0))&amp;"","não consta"))</f>
        <v/>
      </c>
      <c r="K669" s="19" t="str">
        <f aca="false">IF(OR(A669="",F669=""),"",IF(SUMPRODUCT((Sancoes!$A$2:$A$301=A669)*(Sancoes!$B$2:$B$301&lt;&gt;"Não consta")*(Sancoes!$D$2:$D$301&lt;&gt;"")*(Sancoes!$D$2:$D$301&lt;=F669)*(((Sancoes!$E$2:$E$301="")+(Sancoes!$E$2:$E$301&gt;=F669))&gt;0))&gt;0,"SANÇÃO VIGENTE NA DATA — leia o tipo e a abrangência",""))</f>
        <v/>
      </c>
      <c r="L669" s="19" t="str">
        <f aca="false">IF(A669="","",IFERROR(INDEX(Empresas!$B:$B,MATCH(A669,Empresas!$A:$A,0))&amp;"","cadastre o CNPJ em Empresas"))</f>
        <v/>
      </c>
      <c r="M669" s="27"/>
      <c r="N669" s="35"/>
      <c r="O669" s="37" t="str">
        <f aca="false">IF(OR(D669="",D669=0,N669=""),"",N669/D669)</f>
        <v/>
      </c>
      <c r="P669" s="19" t="str">
        <f aca="false">IF(O669="","",IF(O669&gt;0.25,"ACRÉSCIMO ACIMA DE 25% — conferir",""))</f>
        <v/>
      </c>
      <c r="Q669" s="27"/>
      <c r="R669" s="5"/>
    </row>
    <row r="670" customFormat="false" ht="15" hidden="false" customHeight="false" outlineLevel="0" collapsed="false">
      <c r="A670" s="27"/>
      <c r="B670" s="5"/>
      <c r="C670" s="5"/>
      <c r="D670" s="35"/>
      <c r="E670" s="14"/>
      <c r="F670" s="18"/>
      <c r="G670" s="31" t="str">
        <f aca="false">IF(A670="","",IFERROR(IF(INDEX(Empresas!$C:$C,MATCH(A670,Empresas!$A:$A,0))="","",INDEX(Empresas!$C:$C,MATCH(A670,Empresas!$A:$A,0))),""))</f>
        <v/>
      </c>
      <c r="H670" s="18"/>
      <c r="I670" s="19" t="str">
        <f aca="false">IF(OR(F670="",G670=""),"",IF(F670-G670&lt;0,"CONTRATO ANTERIOR À ABERTURA — conferir datas",IF(F670-G670&lt;180,"ABERTA MENOS DE 6 MESES ANTES","")))</f>
        <v/>
      </c>
      <c r="J670" s="19" t="str">
        <f aca="false">IF(A670="","",IFERROR(INDEX(Sancoes!$B:$B,MATCH(A670,Sancoes!$A:$A,0))&amp;"","não consta"))</f>
        <v/>
      </c>
      <c r="K670" s="19" t="str">
        <f aca="false">IF(OR(A670="",F670=""),"",IF(SUMPRODUCT((Sancoes!$A$2:$A$301=A670)*(Sancoes!$B$2:$B$301&lt;&gt;"Não consta")*(Sancoes!$D$2:$D$301&lt;&gt;"")*(Sancoes!$D$2:$D$301&lt;=F670)*(((Sancoes!$E$2:$E$301="")+(Sancoes!$E$2:$E$301&gt;=F670))&gt;0))&gt;0,"SANÇÃO VIGENTE NA DATA — leia o tipo e a abrangência",""))</f>
        <v/>
      </c>
      <c r="L670" s="19" t="str">
        <f aca="false">IF(A670="","",IFERROR(INDEX(Empresas!$B:$B,MATCH(A670,Empresas!$A:$A,0))&amp;"","cadastre o CNPJ em Empresas"))</f>
        <v/>
      </c>
      <c r="M670" s="27"/>
      <c r="N670" s="35"/>
      <c r="O670" s="37" t="str">
        <f aca="false">IF(OR(D670="",D670=0,N670=""),"",N670/D670)</f>
        <v/>
      </c>
      <c r="P670" s="19" t="str">
        <f aca="false">IF(O670="","",IF(O670&gt;0.25,"ACRÉSCIMO ACIMA DE 25% — conferir",""))</f>
        <v/>
      </c>
      <c r="Q670" s="27"/>
      <c r="R670" s="5"/>
    </row>
    <row r="671" customFormat="false" ht="15" hidden="false" customHeight="false" outlineLevel="0" collapsed="false">
      <c r="A671" s="27"/>
      <c r="B671" s="5"/>
      <c r="C671" s="5"/>
      <c r="D671" s="35"/>
      <c r="E671" s="14"/>
      <c r="F671" s="18"/>
      <c r="G671" s="31" t="str">
        <f aca="false">IF(A671="","",IFERROR(IF(INDEX(Empresas!$C:$C,MATCH(A671,Empresas!$A:$A,0))="","",INDEX(Empresas!$C:$C,MATCH(A671,Empresas!$A:$A,0))),""))</f>
        <v/>
      </c>
      <c r="H671" s="18"/>
      <c r="I671" s="19" t="str">
        <f aca="false">IF(OR(F671="",G671=""),"",IF(F671-G671&lt;0,"CONTRATO ANTERIOR À ABERTURA — conferir datas",IF(F671-G671&lt;180,"ABERTA MENOS DE 6 MESES ANTES","")))</f>
        <v/>
      </c>
      <c r="J671" s="19" t="str">
        <f aca="false">IF(A671="","",IFERROR(INDEX(Sancoes!$B:$B,MATCH(A671,Sancoes!$A:$A,0))&amp;"","não consta"))</f>
        <v/>
      </c>
      <c r="K671" s="19" t="str">
        <f aca="false">IF(OR(A671="",F671=""),"",IF(SUMPRODUCT((Sancoes!$A$2:$A$301=A671)*(Sancoes!$B$2:$B$301&lt;&gt;"Não consta")*(Sancoes!$D$2:$D$301&lt;&gt;"")*(Sancoes!$D$2:$D$301&lt;=F671)*(((Sancoes!$E$2:$E$301="")+(Sancoes!$E$2:$E$301&gt;=F671))&gt;0))&gt;0,"SANÇÃO VIGENTE NA DATA — leia o tipo e a abrangência",""))</f>
        <v/>
      </c>
      <c r="L671" s="19" t="str">
        <f aca="false">IF(A671="","",IFERROR(INDEX(Empresas!$B:$B,MATCH(A671,Empresas!$A:$A,0))&amp;"","cadastre o CNPJ em Empresas"))</f>
        <v/>
      </c>
      <c r="M671" s="27"/>
      <c r="N671" s="35"/>
      <c r="O671" s="37" t="str">
        <f aca="false">IF(OR(D671="",D671=0,N671=""),"",N671/D671)</f>
        <v/>
      </c>
      <c r="P671" s="19" t="str">
        <f aca="false">IF(O671="","",IF(O671&gt;0.25,"ACRÉSCIMO ACIMA DE 25% — conferir",""))</f>
        <v/>
      </c>
      <c r="Q671" s="27"/>
      <c r="R671" s="5"/>
    </row>
    <row r="672" customFormat="false" ht="15" hidden="false" customHeight="false" outlineLevel="0" collapsed="false">
      <c r="A672" s="27"/>
      <c r="B672" s="5"/>
      <c r="C672" s="5"/>
      <c r="D672" s="35"/>
      <c r="E672" s="14"/>
      <c r="F672" s="18"/>
      <c r="G672" s="31" t="str">
        <f aca="false">IF(A672="","",IFERROR(IF(INDEX(Empresas!$C:$C,MATCH(A672,Empresas!$A:$A,0))="","",INDEX(Empresas!$C:$C,MATCH(A672,Empresas!$A:$A,0))),""))</f>
        <v/>
      </c>
      <c r="H672" s="18"/>
      <c r="I672" s="19" t="str">
        <f aca="false">IF(OR(F672="",G672=""),"",IF(F672-G672&lt;0,"CONTRATO ANTERIOR À ABERTURA — conferir datas",IF(F672-G672&lt;180,"ABERTA MENOS DE 6 MESES ANTES","")))</f>
        <v/>
      </c>
      <c r="J672" s="19" t="str">
        <f aca="false">IF(A672="","",IFERROR(INDEX(Sancoes!$B:$B,MATCH(A672,Sancoes!$A:$A,0))&amp;"","não consta"))</f>
        <v/>
      </c>
      <c r="K672" s="19" t="str">
        <f aca="false">IF(OR(A672="",F672=""),"",IF(SUMPRODUCT((Sancoes!$A$2:$A$301=A672)*(Sancoes!$B$2:$B$301&lt;&gt;"Não consta")*(Sancoes!$D$2:$D$301&lt;&gt;"")*(Sancoes!$D$2:$D$301&lt;=F672)*(((Sancoes!$E$2:$E$301="")+(Sancoes!$E$2:$E$301&gt;=F672))&gt;0))&gt;0,"SANÇÃO VIGENTE NA DATA — leia o tipo e a abrangência",""))</f>
        <v/>
      </c>
      <c r="L672" s="19" t="str">
        <f aca="false">IF(A672="","",IFERROR(INDEX(Empresas!$B:$B,MATCH(A672,Empresas!$A:$A,0))&amp;"","cadastre o CNPJ em Empresas"))</f>
        <v/>
      </c>
      <c r="M672" s="27"/>
      <c r="N672" s="35"/>
      <c r="O672" s="37" t="str">
        <f aca="false">IF(OR(D672="",D672=0,N672=""),"",N672/D672)</f>
        <v/>
      </c>
      <c r="P672" s="19" t="str">
        <f aca="false">IF(O672="","",IF(O672&gt;0.25,"ACRÉSCIMO ACIMA DE 25% — conferir",""))</f>
        <v/>
      </c>
      <c r="Q672" s="27"/>
      <c r="R672" s="5"/>
    </row>
    <row r="673" customFormat="false" ht="15" hidden="false" customHeight="false" outlineLevel="0" collapsed="false">
      <c r="A673" s="27"/>
      <c r="B673" s="5"/>
      <c r="C673" s="5"/>
      <c r="D673" s="35"/>
      <c r="E673" s="14"/>
      <c r="F673" s="18"/>
      <c r="G673" s="31" t="str">
        <f aca="false">IF(A673="","",IFERROR(IF(INDEX(Empresas!$C:$C,MATCH(A673,Empresas!$A:$A,0))="","",INDEX(Empresas!$C:$C,MATCH(A673,Empresas!$A:$A,0))),""))</f>
        <v/>
      </c>
      <c r="H673" s="18"/>
      <c r="I673" s="19" t="str">
        <f aca="false">IF(OR(F673="",G673=""),"",IF(F673-G673&lt;0,"CONTRATO ANTERIOR À ABERTURA — conferir datas",IF(F673-G673&lt;180,"ABERTA MENOS DE 6 MESES ANTES","")))</f>
        <v/>
      </c>
      <c r="J673" s="19" t="str">
        <f aca="false">IF(A673="","",IFERROR(INDEX(Sancoes!$B:$B,MATCH(A673,Sancoes!$A:$A,0))&amp;"","não consta"))</f>
        <v/>
      </c>
      <c r="K673" s="19" t="str">
        <f aca="false">IF(OR(A673="",F673=""),"",IF(SUMPRODUCT((Sancoes!$A$2:$A$301=A673)*(Sancoes!$B$2:$B$301&lt;&gt;"Não consta")*(Sancoes!$D$2:$D$301&lt;&gt;"")*(Sancoes!$D$2:$D$301&lt;=F673)*(((Sancoes!$E$2:$E$301="")+(Sancoes!$E$2:$E$301&gt;=F673))&gt;0))&gt;0,"SANÇÃO VIGENTE NA DATA — leia o tipo e a abrangência",""))</f>
        <v/>
      </c>
      <c r="L673" s="19" t="str">
        <f aca="false">IF(A673="","",IFERROR(INDEX(Empresas!$B:$B,MATCH(A673,Empresas!$A:$A,0))&amp;"","cadastre o CNPJ em Empresas"))</f>
        <v/>
      </c>
      <c r="M673" s="27"/>
      <c r="N673" s="35"/>
      <c r="O673" s="37" t="str">
        <f aca="false">IF(OR(D673="",D673=0,N673=""),"",N673/D673)</f>
        <v/>
      </c>
      <c r="P673" s="19" t="str">
        <f aca="false">IF(O673="","",IF(O673&gt;0.25,"ACRÉSCIMO ACIMA DE 25% — conferir",""))</f>
        <v/>
      </c>
      <c r="Q673" s="27"/>
      <c r="R673" s="5"/>
    </row>
    <row r="674" customFormat="false" ht="15" hidden="false" customHeight="false" outlineLevel="0" collapsed="false">
      <c r="A674" s="27"/>
      <c r="B674" s="5"/>
      <c r="C674" s="5"/>
      <c r="D674" s="35"/>
      <c r="E674" s="14"/>
      <c r="F674" s="18"/>
      <c r="G674" s="31" t="str">
        <f aca="false">IF(A674="","",IFERROR(IF(INDEX(Empresas!$C:$C,MATCH(A674,Empresas!$A:$A,0))="","",INDEX(Empresas!$C:$C,MATCH(A674,Empresas!$A:$A,0))),""))</f>
        <v/>
      </c>
      <c r="H674" s="18"/>
      <c r="I674" s="19" t="str">
        <f aca="false">IF(OR(F674="",G674=""),"",IF(F674-G674&lt;0,"CONTRATO ANTERIOR À ABERTURA — conferir datas",IF(F674-G674&lt;180,"ABERTA MENOS DE 6 MESES ANTES","")))</f>
        <v/>
      </c>
      <c r="J674" s="19" t="str">
        <f aca="false">IF(A674="","",IFERROR(INDEX(Sancoes!$B:$B,MATCH(A674,Sancoes!$A:$A,0))&amp;"","não consta"))</f>
        <v/>
      </c>
      <c r="K674" s="19" t="str">
        <f aca="false">IF(OR(A674="",F674=""),"",IF(SUMPRODUCT((Sancoes!$A$2:$A$301=A674)*(Sancoes!$B$2:$B$301&lt;&gt;"Não consta")*(Sancoes!$D$2:$D$301&lt;&gt;"")*(Sancoes!$D$2:$D$301&lt;=F674)*(((Sancoes!$E$2:$E$301="")+(Sancoes!$E$2:$E$301&gt;=F674))&gt;0))&gt;0,"SANÇÃO VIGENTE NA DATA — leia o tipo e a abrangência",""))</f>
        <v/>
      </c>
      <c r="L674" s="19" t="str">
        <f aca="false">IF(A674="","",IFERROR(INDEX(Empresas!$B:$B,MATCH(A674,Empresas!$A:$A,0))&amp;"","cadastre o CNPJ em Empresas"))</f>
        <v/>
      </c>
      <c r="M674" s="27"/>
      <c r="N674" s="35"/>
      <c r="O674" s="37" t="str">
        <f aca="false">IF(OR(D674="",D674=0,N674=""),"",N674/D674)</f>
        <v/>
      </c>
      <c r="P674" s="19" t="str">
        <f aca="false">IF(O674="","",IF(O674&gt;0.25,"ACRÉSCIMO ACIMA DE 25% — conferir",""))</f>
        <v/>
      </c>
      <c r="Q674" s="27"/>
      <c r="R674" s="5"/>
    </row>
    <row r="675" customFormat="false" ht="15" hidden="false" customHeight="false" outlineLevel="0" collapsed="false">
      <c r="A675" s="27"/>
      <c r="B675" s="5"/>
      <c r="C675" s="5"/>
      <c r="D675" s="35"/>
      <c r="E675" s="14"/>
      <c r="F675" s="18"/>
      <c r="G675" s="31" t="str">
        <f aca="false">IF(A675="","",IFERROR(IF(INDEX(Empresas!$C:$C,MATCH(A675,Empresas!$A:$A,0))="","",INDEX(Empresas!$C:$C,MATCH(A675,Empresas!$A:$A,0))),""))</f>
        <v/>
      </c>
      <c r="H675" s="18"/>
      <c r="I675" s="19" t="str">
        <f aca="false">IF(OR(F675="",G675=""),"",IF(F675-G675&lt;0,"CONTRATO ANTERIOR À ABERTURA — conferir datas",IF(F675-G675&lt;180,"ABERTA MENOS DE 6 MESES ANTES","")))</f>
        <v/>
      </c>
      <c r="J675" s="19" t="str">
        <f aca="false">IF(A675="","",IFERROR(INDEX(Sancoes!$B:$B,MATCH(A675,Sancoes!$A:$A,0))&amp;"","não consta"))</f>
        <v/>
      </c>
      <c r="K675" s="19" t="str">
        <f aca="false">IF(OR(A675="",F675=""),"",IF(SUMPRODUCT((Sancoes!$A$2:$A$301=A675)*(Sancoes!$B$2:$B$301&lt;&gt;"Não consta")*(Sancoes!$D$2:$D$301&lt;&gt;"")*(Sancoes!$D$2:$D$301&lt;=F675)*(((Sancoes!$E$2:$E$301="")+(Sancoes!$E$2:$E$301&gt;=F675))&gt;0))&gt;0,"SANÇÃO VIGENTE NA DATA — leia o tipo e a abrangência",""))</f>
        <v/>
      </c>
      <c r="L675" s="19" t="str">
        <f aca="false">IF(A675="","",IFERROR(INDEX(Empresas!$B:$B,MATCH(A675,Empresas!$A:$A,0))&amp;"","cadastre o CNPJ em Empresas"))</f>
        <v/>
      </c>
      <c r="M675" s="27"/>
      <c r="N675" s="35"/>
      <c r="O675" s="37" t="str">
        <f aca="false">IF(OR(D675="",D675=0,N675=""),"",N675/D675)</f>
        <v/>
      </c>
      <c r="P675" s="19" t="str">
        <f aca="false">IF(O675="","",IF(O675&gt;0.25,"ACRÉSCIMO ACIMA DE 25% — conferir",""))</f>
        <v/>
      </c>
      <c r="Q675" s="27"/>
      <c r="R675" s="5"/>
    </row>
    <row r="676" customFormat="false" ht="15" hidden="false" customHeight="false" outlineLevel="0" collapsed="false">
      <c r="A676" s="27"/>
      <c r="B676" s="5"/>
      <c r="C676" s="5"/>
      <c r="D676" s="35"/>
      <c r="E676" s="14"/>
      <c r="F676" s="18"/>
      <c r="G676" s="31" t="str">
        <f aca="false">IF(A676="","",IFERROR(IF(INDEX(Empresas!$C:$C,MATCH(A676,Empresas!$A:$A,0))="","",INDEX(Empresas!$C:$C,MATCH(A676,Empresas!$A:$A,0))),""))</f>
        <v/>
      </c>
      <c r="H676" s="18"/>
      <c r="I676" s="19" t="str">
        <f aca="false">IF(OR(F676="",G676=""),"",IF(F676-G676&lt;0,"CONTRATO ANTERIOR À ABERTURA — conferir datas",IF(F676-G676&lt;180,"ABERTA MENOS DE 6 MESES ANTES","")))</f>
        <v/>
      </c>
      <c r="J676" s="19" t="str">
        <f aca="false">IF(A676="","",IFERROR(INDEX(Sancoes!$B:$B,MATCH(A676,Sancoes!$A:$A,0))&amp;"","não consta"))</f>
        <v/>
      </c>
      <c r="K676" s="19" t="str">
        <f aca="false">IF(OR(A676="",F676=""),"",IF(SUMPRODUCT((Sancoes!$A$2:$A$301=A676)*(Sancoes!$B$2:$B$301&lt;&gt;"Não consta")*(Sancoes!$D$2:$D$301&lt;&gt;"")*(Sancoes!$D$2:$D$301&lt;=F676)*(((Sancoes!$E$2:$E$301="")+(Sancoes!$E$2:$E$301&gt;=F676))&gt;0))&gt;0,"SANÇÃO VIGENTE NA DATA — leia o tipo e a abrangência",""))</f>
        <v/>
      </c>
      <c r="L676" s="19" t="str">
        <f aca="false">IF(A676="","",IFERROR(INDEX(Empresas!$B:$B,MATCH(A676,Empresas!$A:$A,0))&amp;"","cadastre o CNPJ em Empresas"))</f>
        <v/>
      </c>
      <c r="M676" s="27"/>
      <c r="N676" s="35"/>
      <c r="O676" s="37" t="str">
        <f aca="false">IF(OR(D676="",D676=0,N676=""),"",N676/D676)</f>
        <v/>
      </c>
      <c r="P676" s="19" t="str">
        <f aca="false">IF(O676="","",IF(O676&gt;0.25,"ACRÉSCIMO ACIMA DE 25% — conferir",""))</f>
        <v/>
      </c>
      <c r="Q676" s="27"/>
      <c r="R676" s="5"/>
    </row>
    <row r="677" customFormat="false" ht="15" hidden="false" customHeight="false" outlineLevel="0" collapsed="false">
      <c r="A677" s="27"/>
      <c r="B677" s="5"/>
      <c r="C677" s="5"/>
      <c r="D677" s="35"/>
      <c r="E677" s="14"/>
      <c r="F677" s="18"/>
      <c r="G677" s="31" t="str">
        <f aca="false">IF(A677="","",IFERROR(IF(INDEX(Empresas!$C:$C,MATCH(A677,Empresas!$A:$A,0))="","",INDEX(Empresas!$C:$C,MATCH(A677,Empresas!$A:$A,0))),""))</f>
        <v/>
      </c>
      <c r="H677" s="18"/>
      <c r="I677" s="19" t="str">
        <f aca="false">IF(OR(F677="",G677=""),"",IF(F677-G677&lt;0,"CONTRATO ANTERIOR À ABERTURA — conferir datas",IF(F677-G677&lt;180,"ABERTA MENOS DE 6 MESES ANTES","")))</f>
        <v/>
      </c>
      <c r="J677" s="19" t="str">
        <f aca="false">IF(A677="","",IFERROR(INDEX(Sancoes!$B:$B,MATCH(A677,Sancoes!$A:$A,0))&amp;"","não consta"))</f>
        <v/>
      </c>
      <c r="K677" s="19" t="str">
        <f aca="false">IF(OR(A677="",F677=""),"",IF(SUMPRODUCT((Sancoes!$A$2:$A$301=A677)*(Sancoes!$B$2:$B$301&lt;&gt;"Não consta")*(Sancoes!$D$2:$D$301&lt;&gt;"")*(Sancoes!$D$2:$D$301&lt;=F677)*(((Sancoes!$E$2:$E$301="")+(Sancoes!$E$2:$E$301&gt;=F677))&gt;0))&gt;0,"SANÇÃO VIGENTE NA DATA — leia o tipo e a abrangência",""))</f>
        <v/>
      </c>
      <c r="L677" s="19" t="str">
        <f aca="false">IF(A677="","",IFERROR(INDEX(Empresas!$B:$B,MATCH(A677,Empresas!$A:$A,0))&amp;"","cadastre o CNPJ em Empresas"))</f>
        <v/>
      </c>
      <c r="M677" s="27"/>
      <c r="N677" s="35"/>
      <c r="O677" s="37" t="str">
        <f aca="false">IF(OR(D677="",D677=0,N677=""),"",N677/D677)</f>
        <v/>
      </c>
      <c r="P677" s="19" t="str">
        <f aca="false">IF(O677="","",IF(O677&gt;0.25,"ACRÉSCIMO ACIMA DE 25% — conferir",""))</f>
        <v/>
      </c>
      <c r="Q677" s="27"/>
      <c r="R677" s="5"/>
    </row>
    <row r="678" customFormat="false" ht="15" hidden="false" customHeight="false" outlineLevel="0" collapsed="false">
      <c r="A678" s="27"/>
      <c r="B678" s="5"/>
      <c r="C678" s="5"/>
      <c r="D678" s="35"/>
      <c r="E678" s="14"/>
      <c r="F678" s="18"/>
      <c r="G678" s="31" t="str">
        <f aca="false">IF(A678="","",IFERROR(IF(INDEX(Empresas!$C:$C,MATCH(A678,Empresas!$A:$A,0))="","",INDEX(Empresas!$C:$C,MATCH(A678,Empresas!$A:$A,0))),""))</f>
        <v/>
      </c>
      <c r="H678" s="18"/>
      <c r="I678" s="19" t="str">
        <f aca="false">IF(OR(F678="",G678=""),"",IF(F678-G678&lt;0,"CONTRATO ANTERIOR À ABERTURA — conferir datas",IF(F678-G678&lt;180,"ABERTA MENOS DE 6 MESES ANTES","")))</f>
        <v/>
      </c>
      <c r="J678" s="19" t="str">
        <f aca="false">IF(A678="","",IFERROR(INDEX(Sancoes!$B:$B,MATCH(A678,Sancoes!$A:$A,0))&amp;"","não consta"))</f>
        <v/>
      </c>
      <c r="K678" s="19" t="str">
        <f aca="false">IF(OR(A678="",F678=""),"",IF(SUMPRODUCT((Sancoes!$A$2:$A$301=A678)*(Sancoes!$B$2:$B$301&lt;&gt;"Não consta")*(Sancoes!$D$2:$D$301&lt;&gt;"")*(Sancoes!$D$2:$D$301&lt;=F678)*(((Sancoes!$E$2:$E$301="")+(Sancoes!$E$2:$E$301&gt;=F678))&gt;0))&gt;0,"SANÇÃO VIGENTE NA DATA — leia o tipo e a abrangência",""))</f>
        <v/>
      </c>
      <c r="L678" s="19" t="str">
        <f aca="false">IF(A678="","",IFERROR(INDEX(Empresas!$B:$B,MATCH(A678,Empresas!$A:$A,0))&amp;"","cadastre o CNPJ em Empresas"))</f>
        <v/>
      </c>
      <c r="M678" s="27"/>
      <c r="N678" s="35"/>
      <c r="O678" s="37" t="str">
        <f aca="false">IF(OR(D678="",D678=0,N678=""),"",N678/D678)</f>
        <v/>
      </c>
      <c r="P678" s="19" t="str">
        <f aca="false">IF(O678="","",IF(O678&gt;0.25,"ACRÉSCIMO ACIMA DE 25% — conferir",""))</f>
        <v/>
      </c>
      <c r="Q678" s="27"/>
      <c r="R678" s="5"/>
    </row>
    <row r="679" customFormat="false" ht="15" hidden="false" customHeight="false" outlineLevel="0" collapsed="false">
      <c r="A679" s="27"/>
      <c r="B679" s="5"/>
      <c r="C679" s="5"/>
      <c r="D679" s="35"/>
      <c r="E679" s="14"/>
      <c r="F679" s="18"/>
      <c r="G679" s="31" t="str">
        <f aca="false">IF(A679="","",IFERROR(IF(INDEX(Empresas!$C:$C,MATCH(A679,Empresas!$A:$A,0))="","",INDEX(Empresas!$C:$C,MATCH(A679,Empresas!$A:$A,0))),""))</f>
        <v/>
      </c>
      <c r="H679" s="18"/>
      <c r="I679" s="19" t="str">
        <f aca="false">IF(OR(F679="",G679=""),"",IF(F679-G679&lt;0,"CONTRATO ANTERIOR À ABERTURA — conferir datas",IF(F679-G679&lt;180,"ABERTA MENOS DE 6 MESES ANTES","")))</f>
        <v/>
      </c>
      <c r="J679" s="19" t="str">
        <f aca="false">IF(A679="","",IFERROR(INDEX(Sancoes!$B:$B,MATCH(A679,Sancoes!$A:$A,0))&amp;"","não consta"))</f>
        <v/>
      </c>
      <c r="K679" s="19" t="str">
        <f aca="false">IF(OR(A679="",F679=""),"",IF(SUMPRODUCT((Sancoes!$A$2:$A$301=A679)*(Sancoes!$B$2:$B$301&lt;&gt;"Não consta")*(Sancoes!$D$2:$D$301&lt;&gt;"")*(Sancoes!$D$2:$D$301&lt;=F679)*(((Sancoes!$E$2:$E$301="")+(Sancoes!$E$2:$E$301&gt;=F679))&gt;0))&gt;0,"SANÇÃO VIGENTE NA DATA — leia o tipo e a abrangência",""))</f>
        <v/>
      </c>
      <c r="L679" s="19" t="str">
        <f aca="false">IF(A679="","",IFERROR(INDEX(Empresas!$B:$B,MATCH(A679,Empresas!$A:$A,0))&amp;"","cadastre o CNPJ em Empresas"))</f>
        <v/>
      </c>
      <c r="M679" s="27"/>
      <c r="N679" s="35"/>
      <c r="O679" s="37" t="str">
        <f aca="false">IF(OR(D679="",D679=0,N679=""),"",N679/D679)</f>
        <v/>
      </c>
      <c r="P679" s="19" t="str">
        <f aca="false">IF(O679="","",IF(O679&gt;0.25,"ACRÉSCIMO ACIMA DE 25% — conferir",""))</f>
        <v/>
      </c>
      <c r="Q679" s="27"/>
      <c r="R679" s="5"/>
    </row>
    <row r="680" customFormat="false" ht="15" hidden="false" customHeight="false" outlineLevel="0" collapsed="false">
      <c r="A680" s="27"/>
      <c r="B680" s="5"/>
      <c r="C680" s="5"/>
      <c r="D680" s="35"/>
      <c r="E680" s="14"/>
      <c r="F680" s="18"/>
      <c r="G680" s="31" t="str">
        <f aca="false">IF(A680="","",IFERROR(IF(INDEX(Empresas!$C:$C,MATCH(A680,Empresas!$A:$A,0))="","",INDEX(Empresas!$C:$C,MATCH(A680,Empresas!$A:$A,0))),""))</f>
        <v/>
      </c>
      <c r="H680" s="18"/>
      <c r="I680" s="19" t="str">
        <f aca="false">IF(OR(F680="",G680=""),"",IF(F680-G680&lt;0,"CONTRATO ANTERIOR À ABERTURA — conferir datas",IF(F680-G680&lt;180,"ABERTA MENOS DE 6 MESES ANTES","")))</f>
        <v/>
      </c>
      <c r="J680" s="19" t="str">
        <f aca="false">IF(A680="","",IFERROR(INDEX(Sancoes!$B:$B,MATCH(A680,Sancoes!$A:$A,0))&amp;"","não consta"))</f>
        <v/>
      </c>
      <c r="K680" s="19" t="str">
        <f aca="false">IF(OR(A680="",F680=""),"",IF(SUMPRODUCT((Sancoes!$A$2:$A$301=A680)*(Sancoes!$B$2:$B$301&lt;&gt;"Não consta")*(Sancoes!$D$2:$D$301&lt;&gt;"")*(Sancoes!$D$2:$D$301&lt;=F680)*(((Sancoes!$E$2:$E$301="")+(Sancoes!$E$2:$E$301&gt;=F680))&gt;0))&gt;0,"SANÇÃO VIGENTE NA DATA — leia o tipo e a abrangência",""))</f>
        <v/>
      </c>
      <c r="L680" s="19" t="str">
        <f aca="false">IF(A680="","",IFERROR(INDEX(Empresas!$B:$B,MATCH(A680,Empresas!$A:$A,0))&amp;"","cadastre o CNPJ em Empresas"))</f>
        <v/>
      </c>
      <c r="M680" s="27"/>
      <c r="N680" s="35"/>
      <c r="O680" s="37" t="str">
        <f aca="false">IF(OR(D680="",D680=0,N680=""),"",N680/D680)</f>
        <v/>
      </c>
      <c r="P680" s="19" t="str">
        <f aca="false">IF(O680="","",IF(O680&gt;0.25,"ACRÉSCIMO ACIMA DE 25% — conferir",""))</f>
        <v/>
      </c>
      <c r="Q680" s="27"/>
      <c r="R680" s="5"/>
    </row>
    <row r="681" customFormat="false" ht="15" hidden="false" customHeight="false" outlineLevel="0" collapsed="false">
      <c r="A681" s="27"/>
      <c r="B681" s="5"/>
      <c r="C681" s="5"/>
      <c r="D681" s="35"/>
      <c r="E681" s="14"/>
      <c r="F681" s="18"/>
      <c r="G681" s="31" t="str">
        <f aca="false">IF(A681="","",IFERROR(IF(INDEX(Empresas!$C:$C,MATCH(A681,Empresas!$A:$A,0))="","",INDEX(Empresas!$C:$C,MATCH(A681,Empresas!$A:$A,0))),""))</f>
        <v/>
      </c>
      <c r="H681" s="18"/>
      <c r="I681" s="19" t="str">
        <f aca="false">IF(OR(F681="",G681=""),"",IF(F681-G681&lt;0,"CONTRATO ANTERIOR À ABERTURA — conferir datas",IF(F681-G681&lt;180,"ABERTA MENOS DE 6 MESES ANTES","")))</f>
        <v/>
      </c>
      <c r="J681" s="19" t="str">
        <f aca="false">IF(A681="","",IFERROR(INDEX(Sancoes!$B:$B,MATCH(A681,Sancoes!$A:$A,0))&amp;"","não consta"))</f>
        <v/>
      </c>
      <c r="K681" s="19" t="str">
        <f aca="false">IF(OR(A681="",F681=""),"",IF(SUMPRODUCT((Sancoes!$A$2:$A$301=A681)*(Sancoes!$B$2:$B$301&lt;&gt;"Não consta")*(Sancoes!$D$2:$D$301&lt;&gt;"")*(Sancoes!$D$2:$D$301&lt;=F681)*(((Sancoes!$E$2:$E$301="")+(Sancoes!$E$2:$E$301&gt;=F681))&gt;0))&gt;0,"SANÇÃO VIGENTE NA DATA — leia o tipo e a abrangência",""))</f>
        <v/>
      </c>
      <c r="L681" s="19" t="str">
        <f aca="false">IF(A681="","",IFERROR(INDEX(Empresas!$B:$B,MATCH(A681,Empresas!$A:$A,0))&amp;"","cadastre o CNPJ em Empresas"))</f>
        <v/>
      </c>
      <c r="M681" s="27"/>
      <c r="N681" s="35"/>
      <c r="O681" s="37" t="str">
        <f aca="false">IF(OR(D681="",D681=0,N681=""),"",N681/D681)</f>
        <v/>
      </c>
      <c r="P681" s="19" t="str">
        <f aca="false">IF(O681="","",IF(O681&gt;0.25,"ACRÉSCIMO ACIMA DE 25% — conferir",""))</f>
        <v/>
      </c>
      <c r="Q681" s="27"/>
      <c r="R681" s="5"/>
    </row>
    <row r="682" customFormat="false" ht="15" hidden="false" customHeight="false" outlineLevel="0" collapsed="false">
      <c r="A682" s="27"/>
      <c r="B682" s="5"/>
      <c r="C682" s="5"/>
      <c r="D682" s="35"/>
      <c r="E682" s="14"/>
      <c r="F682" s="18"/>
      <c r="G682" s="31" t="str">
        <f aca="false">IF(A682="","",IFERROR(IF(INDEX(Empresas!$C:$C,MATCH(A682,Empresas!$A:$A,0))="","",INDEX(Empresas!$C:$C,MATCH(A682,Empresas!$A:$A,0))),""))</f>
        <v/>
      </c>
      <c r="H682" s="18"/>
      <c r="I682" s="19" t="str">
        <f aca="false">IF(OR(F682="",G682=""),"",IF(F682-G682&lt;0,"CONTRATO ANTERIOR À ABERTURA — conferir datas",IF(F682-G682&lt;180,"ABERTA MENOS DE 6 MESES ANTES","")))</f>
        <v/>
      </c>
      <c r="J682" s="19" t="str">
        <f aca="false">IF(A682="","",IFERROR(INDEX(Sancoes!$B:$B,MATCH(A682,Sancoes!$A:$A,0))&amp;"","não consta"))</f>
        <v/>
      </c>
      <c r="K682" s="19" t="str">
        <f aca="false">IF(OR(A682="",F682=""),"",IF(SUMPRODUCT((Sancoes!$A$2:$A$301=A682)*(Sancoes!$B$2:$B$301&lt;&gt;"Não consta")*(Sancoes!$D$2:$D$301&lt;&gt;"")*(Sancoes!$D$2:$D$301&lt;=F682)*(((Sancoes!$E$2:$E$301="")+(Sancoes!$E$2:$E$301&gt;=F682))&gt;0))&gt;0,"SANÇÃO VIGENTE NA DATA — leia o tipo e a abrangência",""))</f>
        <v/>
      </c>
      <c r="L682" s="19" t="str">
        <f aca="false">IF(A682="","",IFERROR(INDEX(Empresas!$B:$B,MATCH(A682,Empresas!$A:$A,0))&amp;"","cadastre o CNPJ em Empresas"))</f>
        <v/>
      </c>
      <c r="M682" s="27"/>
      <c r="N682" s="35"/>
      <c r="O682" s="37" t="str">
        <f aca="false">IF(OR(D682="",D682=0,N682=""),"",N682/D682)</f>
        <v/>
      </c>
      <c r="P682" s="19" t="str">
        <f aca="false">IF(O682="","",IF(O682&gt;0.25,"ACRÉSCIMO ACIMA DE 25% — conferir",""))</f>
        <v/>
      </c>
      <c r="Q682" s="27"/>
      <c r="R682" s="5"/>
    </row>
    <row r="683" customFormat="false" ht="15" hidden="false" customHeight="false" outlineLevel="0" collapsed="false">
      <c r="A683" s="27"/>
      <c r="B683" s="5"/>
      <c r="C683" s="5"/>
      <c r="D683" s="35"/>
      <c r="E683" s="14"/>
      <c r="F683" s="18"/>
      <c r="G683" s="31" t="str">
        <f aca="false">IF(A683="","",IFERROR(IF(INDEX(Empresas!$C:$C,MATCH(A683,Empresas!$A:$A,0))="","",INDEX(Empresas!$C:$C,MATCH(A683,Empresas!$A:$A,0))),""))</f>
        <v/>
      </c>
      <c r="H683" s="18"/>
      <c r="I683" s="19" t="str">
        <f aca="false">IF(OR(F683="",G683=""),"",IF(F683-G683&lt;0,"CONTRATO ANTERIOR À ABERTURA — conferir datas",IF(F683-G683&lt;180,"ABERTA MENOS DE 6 MESES ANTES","")))</f>
        <v/>
      </c>
      <c r="J683" s="19" t="str">
        <f aca="false">IF(A683="","",IFERROR(INDEX(Sancoes!$B:$B,MATCH(A683,Sancoes!$A:$A,0))&amp;"","não consta"))</f>
        <v/>
      </c>
      <c r="K683" s="19" t="str">
        <f aca="false">IF(OR(A683="",F683=""),"",IF(SUMPRODUCT((Sancoes!$A$2:$A$301=A683)*(Sancoes!$B$2:$B$301&lt;&gt;"Não consta")*(Sancoes!$D$2:$D$301&lt;&gt;"")*(Sancoes!$D$2:$D$301&lt;=F683)*(((Sancoes!$E$2:$E$301="")+(Sancoes!$E$2:$E$301&gt;=F683))&gt;0))&gt;0,"SANÇÃO VIGENTE NA DATA — leia o tipo e a abrangência",""))</f>
        <v/>
      </c>
      <c r="L683" s="19" t="str">
        <f aca="false">IF(A683="","",IFERROR(INDEX(Empresas!$B:$B,MATCH(A683,Empresas!$A:$A,0))&amp;"","cadastre o CNPJ em Empresas"))</f>
        <v/>
      </c>
      <c r="M683" s="27"/>
      <c r="N683" s="35"/>
      <c r="O683" s="37" t="str">
        <f aca="false">IF(OR(D683="",D683=0,N683=""),"",N683/D683)</f>
        <v/>
      </c>
      <c r="P683" s="19" t="str">
        <f aca="false">IF(O683="","",IF(O683&gt;0.25,"ACRÉSCIMO ACIMA DE 25% — conferir",""))</f>
        <v/>
      </c>
      <c r="Q683" s="27"/>
      <c r="R683" s="5"/>
    </row>
    <row r="684" customFormat="false" ht="15" hidden="false" customHeight="false" outlineLevel="0" collapsed="false">
      <c r="A684" s="27"/>
      <c r="B684" s="5"/>
      <c r="C684" s="5"/>
      <c r="D684" s="35"/>
      <c r="E684" s="14"/>
      <c r="F684" s="18"/>
      <c r="G684" s="31" t="str">
        <f aca="false">IF(A684="","",IFERROR(IF(INDEX(Empresas!$C:$C,MATCH(A684,Empresas!$A:$A,0))="","",INDEX(Empresas!$C:$C,MATCH(A684,Empresas!$A:$A,0))),""))</f>
        <v/>
      </c>
      <c r="H684" s="18"/>
      <c r="I684" s="19" t="str">
        <f aca="false">IF(OR(F684="",G684=""),"",IF(F684-G684&lt;0,"CONTRATO ANTERIOR À ABERTURA — conferir datas",IF(F684-G684&lt;180,"ABERTA MENOS DE 6 MESES ANTES","")))</f>
        <v/>
      </c>
      <c r="J684" s="19" t="str">
        <f aca="false">IF(A684="","",IFERROR(INDEX(Sancoes!$B:$B,MATCH(A684,Sancoes!$A:$A,0))&amp;"","não consta"))</f>
        <v/>
      </c>
      <c r="K684" s="19" t="str">
        <f aca="false">IF(OR(A684="",F684=""),"",IF(SUMPRODUCT((Sancoes!$A$2:$A$301=A684)*(Sancoes!$B$2:$B$301&lt;&gt;"Não consta")*(Sancoes!$D$2:$D$301&lt;&gt;"")*(Sancoes!$D$2:$D$301&lt;=F684)*(((Sancoes!$E$2:$E$301="")+(Sancoes!$E$2:$E$301&gt;=F684))&gt;0))&gt;0,"SANÇÃO VIGENTE NA DATA — leia o tipo e a abrangência",""))</f>
        <v/>
      </c>
      <c r="L684" s="19" t="str">
        <f aca="false">IF(A684="","",IFERROR(INDEX(Empresas!$B:$B,MATCH(A684,Empresas!$A:$A,0))&amp;"","cadastre o CNPJ em Empresas"))</f>
        <v/>
      </c>
      <c r="M684" s="27"/>
      <c r="N684" s="35"/>
      <c r="O684" s="37" t="str">
        <f aca="false">IF(OR(D684="",D684=0,N684=""),"",N684/D684)</f>
        <v/>
      </c>
      <c r="P684" s="19" t="str">
        <f aca="false">IF(O684="","",IF(O684&gt;0.25,"ACRÉSCIMO ACIMA DE 25% — conferir",""))</f>
        <v/>
      </c>
      <c r="Q684" s="27"/>
      <c r="R684" s="5"/>
    </row>
    <row r="685" customFormat="false" ht="15" hidden="false" customHeight="false" outlineLevel="0" collapsed="false">
      <c r="A685" s="27"/>
      <c r="B685" s="5"/>
      <c r="C685" s="5"/>
      <c r="D685" s="35"/>
      <c r="E685" s="14"/>
      <c r="F685" s="18"/>
      <c r="G685" s="31" t="str">
        <f aca="false">IF(A685="","",IFERROR(IF(INDEX(Empresas!$C:$C,MATCH(A685,Empresas!$A:$A,0))="","",INDEX(Empresas!$C:$C,MATCH(A685,Empresas!$A:$A,0))),""))</f>
        <v/>
      </c>
      <c r="H685" s="18"/>
      <c r="I685" s="19" t="str">
        <f aca="false">IF(OR(F685="",G685=""),"",IF(F685-G685&lt;0,"CONTRATO ANTERIOR À ABERTURA — conferir datas",IF(F685-G685&lt;180,"ABERTA MENOS DE 6 MESES ANTES","")))</f>
        <v/>
      </c>
      <c r="J685" s="19" t="str">
        <f aca="false">IF(A685="","",IFERROR(INDEX(Sancoes!$B:$B,MATCH(A685,Sancoes!$A:$A,0))&amp;"","não consta"))</f>
        <v/>
      </c>
      <c r="K685" s="19" t="str">
        <f aca="false">IF(OR(A685="",F685=""),"",IF(SUMPRODUCT((Sancoes!$A$2:$A$301=A685)*(Sancoes!$B$2:$B$301&lt;&gt;"Não consta")*(Sancoes!$D$2:$D$301&lt;&gt;"")*(Sancoes!$D$2:$D$301&lt;=F685)*(((Sancoes!$E$2:$E$301="")+(Sancoes!$E$2:$E$301&gt;=F685))&gt;0))&gt;0,"SANÇÃO VIGENTE NA DATA — leia o tipo e a abrangência",""))</f>
        <v/>
      </c>
      <c r="L685" s="19" t="str">
        <f aca="false">IF(A685="","",IFERROR(INDEX(Empresas!$B:$B,MATCH(A685,Empresas!$A:$A,0))&amp;"","cadastre o CNPJ em Empresas"))</f>
        <v/>
      </c>
      <c r="M685" s="27"/>
      <c r="N685" s="35"/>
      <c r="O685" s="37" t="str">
        <f aca="false">IF(OR(D685="",D685=0,N685=""),"",N685/D685)</f>
        <v/>
      </c>
      <c r="P685" s="19" t="str">
        <f aca="false">IF(O685="","",IF(O685&gt;0.25,"ACRÉSCIMO ACIMA DE 25% — conferir",""))</f>
        <v/>
      </c>
      <c r="Q685" s="27"/>
      <c r="R685" s="5"/>
    </row>
    <row r="686" customFormat="false" ht="15" hidden="false" customHeight="false" outlineLevel="0" collapsed="false">
      <c r="A686" s="27"/>
      <c r="B686" s="5"/>
      <c r="C686" s="5"/>
      <c r="D686" s="35"/>
      <c r="E686" s="14"/>
      <c r="F686" s="18"/>
      <c r="G686" s="31" t="str">
        <f aca="false">IF(A686="","",IFERROR(IF(INDEX(Empresas!$C:$C,MATCH(A686,Empresas!$A:$A,0))="","",INDEX(Empresas!$C:$C,MATCH(A686,Empresas!$A:$A,0))),""))</f>
        <v/>
      </c>
      <c r="H686" s="18"/>
      <c r="I686" s="19" t="str">
        <f aca="false">IF(OR(F686="",G686=""),"",IF(F686-G686&lt;0,"CONTRATO ANTERIOR À ABERTURA — conferir datas",IF(F686-G686&lt;180,"ABERTA MENOS DE 6 MESES ANTES","")))</f>
        <v/>
      </c>
      <c r="J686" s="19" t="str">
        <f aca="false">IF(A686="","",IFERROR(INDEX(Sancoes!$B:$B,MATCH(A686,Sancoes!$A:$A,0))&amp;"","não consta"))</f>
        <v/>
      </c>
      <c r="K686" s="19" t="str">
        <f aca="false">IF(OR(A686="",F686=""),"",IF(SUMPRODUCT((Sancoes!$A$2:$A$301=A686)*(Sancoes!$B$2:$B$301&lt;&gt;"Não consta")*(Sancoes!$D$2:$D$301&lt;&gt;"")*(Sancoes!$D$2:$D$301&lt;=F686)*(((Sancoes!$E$2:$E$301="")+(Sancoes!$E$2:$E$301&gt;=F686))&gt;0))&gt;0,"SANÇÃO VIGENTE NA DATA — leia o tipo e a abrangência",""))</f>
        <v/>
      </c>
      <c r="L686" s="19" t="str">
        <f aca="false">IF(A686="","",IFERROR(INDEX(Empresas!$B:$B,MATCH(A686,Empresas!$A:$A,0))&amp;"","cadastre o CNPJ em Empresas"))</f>
        <v/>
      </c>
      <c r="M686" s="27"/>
      <c r="N686" s="35"/>
      <c r="O686" s="37" t="str">
        <f aca="false">IF(OR(D686="",D686=0,N686=""),"",N686/D686)</f>
        <v/>
      </c>
      <c r="P686" s="19" t="str">
        <f aca="false">IF(O686="","",IF(O686&gt;0.25,"ACRÉSCIMO ACIMA DE 25% — conferir",""))</f>
        <v/>
      </c>
      <c r="Q686" s="27"/>
      <c r="R686" s="5"/>
    </row>
    <row r="687" customFormat="false" ht="15" hidden="false" customHeight="false" outlineLevel="0" collapsed="false">
      <c r="A687" s="27"/>
      <c r="B687" s="5"/>
      <c r="C687" s="5"/>
      <c r="D687" s="35"/>
      <c r="E687" s="14"/>
      <c r="F687" s="18"/>
      <c r="G687" s="31" t="str">
        <f aca="false">IF(A687="","",IFERROR(IF(INDEX(Empresas!$C:$C,MATCH(A687,Empresas!$A:$A,0))="","",INDEX(Empresas!$C:$C,MATCH(A687,Empresas!$A:$A,0))),""))</f>
        <v/>
      </c>
      <c r="H687" s="18"/>
      <c r="I687" s="19" t="str">
        <f aca="false">IF(OR(F687="",G687=""),"",IF(F687-G687&lt;0,"CONTRATO ANTERIOR À ABERTURA — conferir datas",IF(F687-G687&lt;180,"ABERTA MENOS DE 6 MESES ANTES","")))</f>
        <v/>
      </c>
      <c r="J687" s="19" t="str">
        <f aca="false">IF(A687="","",IFERROR(INDEX(Sancoes!$B:$B,MATCH(A687,Sancoes!$A:$A,0))&amp;"","não consta"))</f>
        <v/>
      </c>
      <c r="K687" s="19" t="str">
        <f aca="false">IF(OR(A687="",F687=""),"",IF(SUMPRODUCT((Sancoes!$A$2:$A$301=A687)*(Sancoes!$B$2:$B$301&lt;&gt;"Não consta")*(Sancoes!$D$2:$D$301&lt;&gt;"")*(Sancoes!$D$2:$D$301&lt;=F687)*(((Sancoes!$E$2:$E$301="")+(Sancoes!$E$2:$E$301&gt;=F687))&gt;0))&gt;0,"SANÇÃO VIGENTE NA DATA — leia o tipo e a abrangência",""))</f>
        <v/>
      </c>
      <c r="L687" s="19" t="str">
        <f aca="false">IF(A687="","",IFERROR(INDEX(Empresas!$B:$B,MATCH(A687,Empresas!$A:$A,0))&amp;"","cadastre o CNPJ em Empresas"))</f>
        <v/>
      </c>
      <c r="M687" s="27"/>
      <c r="N687" s="35"/>
      <c r="O687" s="37" t="str">
        <f aca="false">IF(OR(D687="",D687=0,N687=""),"",N687/D687)</f>
        <v/>
      </c>
      <c r="P687" s="19" t="str">
        <f aca="false">IF(O687="","",IF(O687&gt;0.25,"ACRÉSCIMO ACIMA DE 25% — conferir",""))</f>
        <v/>
      </c>
      <c r="Q687" s="27"/>
      <c r="R687" s="5"/>
    </row>
    <row r="688" customFormat="false" ht="15" hidden="false" customHeight="false" outlineLevel="0" collapsed="false">
      <c r="A688" s="27"/>
      <c r="B688" s="5"/>
      <c r="C688" s="5"/>
      <c r="D688" s="35"/>
      <c r="E688" s="14"/>
      <c r="F688" s="18"/>
      <c r="G688" s="31" t="str">
        <f aca="false">IF(A688="","",IFERROR(IF(INDEX(Empresas!$C:$C,MATCH(A688,Empresas!$A:$A,0))="","",INDEX(Empresas!$C:$C,MATCH(A688,Empresas!$A:$A,0))),""))</f>
        <v/>
      </c>
      <c r="H688" s="18"/>
      <c r="I688" s="19" t="str">
        <f aca="false">IF(OR(F688="",G688=""),"",IF(F688-G688&lt;0,"CONTRATO ANTERIOR À ABERTURA — conferir datas",IF(F688-G688&lt;180,"ABERTA MENOS DE 6 MESES ANTES","")))</f>
        <v/>
      </c>
      <c r="J688" s="19" t="str">
        <f aca="false">IF(A688="","",IFERROR(INDEX(Sancoes!$B:$B,MATCH(A688,Sancoes!$A:$A,0))&amp;"","não consta"))</f>
        <v/>
      </c>
      <c r="K688" s="19" t="str">
        <f aca="false">IF(OR(A688="",F688=""),"",IF(SUMPRODUCT((Sancoes!$A$2:$A$301=A688)*(Sancoes!$B$2:$B$301&lt;&gt;"Não consta")*(Sancoes!$D$2:$D$301&lt;&gt;"")*(Sancoes!$D$2:$D$301&lt;=F688)*(((Sancoes!$E$2:$E$301="")+(Sancoes!$E$2:$E$301&gt;=F688))&gt;0))&gt;0,"SANÇÃO VIGENTE NA DATA — leia o tipo e a abrangência",""))</f>
        <v/>
      </c>
      <c r="L688" s="19" t="str">
        <f aca="false">IF(A688="","",IFERROR(INDEX(Empresas!$B:$B,MATCH(A688,Empresas!$A:$A,0))&amp;"","cadastre o CNPJ em Empresas"))</f>
        <v/>
      </c>
      <c r="M688" s="27"/>
      <c r="N688" s="35"/>
      <c r="O688" s="37" t="str">
        <f aca="false">IF(OR(D688="",D688=0,N688=""),"",N688/D688)</f>
        <v/>
      </c>
      <c r="P688" s="19" t="str">
        <f aca="false">IF(O688="","",IF(O688&gt;0.25,"ACRÉSCIMO ACIMA DE 25% — conferir",""))</f>
        <v/>
      </c>
      <c r="Q688" s="27"/>
      <c r="R688" s="5"/>
    </row>
    <row r="689" customFormat="false" ht="15" hidden="false" customHeight="false" outlineLevel="0" collapsed="false">
      <c r="A689" s="27"/>
      <c r="B689" s="5"/>
      <c r="C689" s="5"/>
      <c r="D689" s="35"/>
      <c r="E689" s="14"/>
      <c r="F689" s="18"/>
      <c r="G689" s="31" t="str">
        <f aca="false">IF(A689="","",IFERROR(IF(INDEX(Empresas!$C:$C,MATCH(A689,Empresas!$A:$A,0))="","",INDEX(Empresas!$C:$C,MATCH(A689,Empresas!$A:$A,0))),""))</f>
        <v/>
      </c>
      <c r="H689" s="18"/>
      <c r="I689" s="19" t="str">
        <f aca="false">IF(OR(F689="",G689=""),"",IF(F689-G689&lt;0,"CONTRATO ANTERIOR À ABERTURA — conferir datas",IF(F689-G689&lt;180,"ABERTA MENOS DE 6 MESES ANTES","")))</f>
        <v/>
      </c>
      <c r="J689" s="19" t="str">
        <f aca="false">IF(A689="","",IFERROR(INDEX(Sancoes!$B:$B,MATCH(A689,Sancoes!$A:$A,0))&amp;"","não consta"))</f>
        <v/>
      </c>
      <c r="K689" s="19" t="str">
        <f aca="false">IF(OR(A689="",F689=""),"",IF(SUMPRODUCT((Sancoes!$A$2:$A$301=A689)*(Sancoes!$B$2:$B$301&lt;&gt;"Não consta")*(Sancoes!$D$2:$D$301&lt;&gt;"")*(Sancoes!$D$2:$D$301&lt;=F689)*(((Sancoes!$E$2:$E$301="")+(Sancoes!$E$2:$E$301&gt;=F689))&gt;0))&gt;0,"SANÇÃO VIGENTE NA DATA — leia o tipo e a abrangência",""))</f>
        <v/>
      </c>
      <c r="L689" s="19" t="str">
        <f aca="false">IF(A689="","",IFERROR(INDEX(Empresas!$B:$B,MATCH(A689,Empresas!$A:$A,0))&amp;"","cadastre o CNPJ em Empresas"))</f>
        <v/>
      </c>
      <c r="M689" s="27"/>
      <c r="N689" s="35"/>
      <c r="O689" s="37" t="str">
        <f aca="false">IF(OR(D689="",D689=0,N689=""),"",N689/D689)</f>
        <v/>
      </c>
      <c r="P689" s="19" t="str">
        <f aca="false">IF(O689="","",IF(O689&gt;0.25,"ACRÉSCIMO ACIMA DE 25% — conferir",""))</f>
        <v/>
      </c>
      <c r="Q689" s="27"/>
      <c r="R689" s="5"/>
    </row>
    <row r="690" customFormat="false" ht="15" hidden="false" customHeight="false" outlineLevel="0" collapsed="false">
      <c r="A690" s="27"/>
      <c r="B690" s="5"/>
      <c r="C690" s="5"/>
      <c r="D690" s="35"/>
      <c r="E690" s="14"/>
      <c r="F690" s="18"/>
      <c r="G690" s="31" t="str">
        <f aca="false">IF(A690="","",IFERROR(IF(INDEX(Empresas!$C:$C,MATCH(A690,Empresas!$A:$A,0))="","",INDEX(Empresas!$C:$C,MATCH(A690,Empresas!$A:$A,0))),""))</f>
        <v/>
      </c>
      <c r="H690" s="18"/>
      <c r="I690" s="19" t="str">
        <f aca="false">IF(OR(F690="",G690=""),"",IF(F690-G690&lt;0,"CONTRATO ANTERIOR À ABERTURA — conferir datas",IF(F690-G690&lt;180,"ABERTA MENOS DE 6 MESES ANTES","")))</f>
        <v/>
      </c>
      <c r="J690" s="19" t="str">
        <f aca="false">IF(A690="","",IFERROR(INDEX(Sancoes!$B:$B,MATCH(A690,Sancoes!$A:$A,0))&amp;"","não consta"))</f>
        <v/>
      </c>
      <c r="K690" s="19" t="str">
        <f aca="false">IF(OR(A690="",F690=""),"",IF(SUMPRODUCT((Sancoes!$A$2:$A$301=A690)*(Sancoes!$B$2:$B$301&lt;&gt;"Não consta")*(Sancoes!$D$2:$D$301&lt;&gt;"")*(Sancoes!$D$2:$D$301&lt;=F690)*(((Sancoes!$E$2:$E$301="")+(Sancoes!$E$2:$E$301&gt;=F690))&gt;0))&gt;0,"SANÇÃO VIGENTE NA DATA — leia o tipo e a abrangência",""))</f>
        <v/>
      </c>
      <c r="L690" s="19" t="str">
        <f aca="false">IF(A690="","",IFERROR(INDEX(Empresas!$B:$B,MATCH(A690,Empresas!$A:$A,0))&amp;"","cadastre o CNPJ em Empresas"))</f>
        <v/>
      </c>
      <c r="M690" s="27"/>
      <c r="N690" s="35"/>
      <c r="O690" s="37" t="str">
        <f aca="false">IF(OR(D690="",D690=0,N690=""),"",N690/D690)</f>
        <v/>
      </c>
      <c r="P690" s="19" t="str">
        <f aca="false">IF(O690="","",IF(O690&gt;0.25,"ACRÉSCIMO ACIMA DE 25% — conferir",""))</f>
        <v/>
      </c>
      <c r="Q690" s="27"/>
      <c r="R690" s="5"/>
    </row>
    <row r="691" customFormat="false" ht="15" hidden="false" customHeight="false" outlineLevel="0" collapsed="false">
      <c r="A691" s="27"/>
      <c r="B691" s="5"/>
      <c r="C691" s="5"/>
      <c r="D691" s="35"/>
      <c r="E691" s="14"/>
      <c r="F691" s="18"/>
      <c r="G691" s="31" t="str">
        <f aca="false">IF(A691="","",IFERROR(IF(INDEX(Empresas!$C:$C,MATCH(A691,Empresas!$A:$A,0))="","",INDEX(Empresas!$C:$C,MATCH(A691,Empresas!$A:$A,0))),""))</f>
        <v/>
      </c>
      <c r="H691" s="18"/>
      <c r="I691" s="19" t="str">
        <f aca="false">IF(OR(F691="",G691=""),"",IF(F691-G691&lt;0,"CONTRATO ANTERIOR À ABERTURA — conferir datas",IF(F691-G691&lt;180,"ABERTA MENOS DE 6 MESES ANTES","")))</f>
        <v/>
      </c>
      <c r="J691" s="19" t="str">
        <f aca="false">IF(A691="","",IFERROR(INDEX(Sancoes!$B:$B,MATCH(A691,Sancoes!$A:$A,0))&amp;"","não consta"))</f>
        <v/>
      </c>
      <c r="K691" s="19" t="str">
        <f aca="false">IF(OR(A691="",F691=""),"",IF(SUMPRODUCT((Sancoes!$A$2:$A$301=A691)*(Sancoes!$B$2:$B$301&lt;&gt;"Não consta")*(Sancoes!$D$2:$D$301&lt;&gt;"")*(Sancoes!$D$2:$D$301&lt;=F691)*(((Sancoes!$E$2:$E$301="")+(Sancoes!$E$2:$E$301&gt;=F691))&gt;0))&gt;0,"SANÇÃO VIGENTE NA DATA — leia o tipo e a abrangência",""))</f>
        <v/>
      </c>
      <c r="L691" s="19" t="str">
        <f aca="false">IF(A691="","",IFERROR(INDEX(Empresas!$B:$B,MATCH(A691,Empresas!$A:$A,0))&amp;"","cadastre o CNPJ em Empresas"))</f>
        <v/>
      </c>
      <c r="M691" s="27"/>
      <c r="N691" s="35"/>
      <c r="O691" s="37" t="str">
        <f aca="false">IF(OR(D691="",D691=0,N691=""),"",N691/D691)</f>
        <v/>
      </c>
      <c r="P691" s="19" t="str">
        <f aca="false">IF(O691="","",IF(O691&gt;0.25,"ACRÉSCIMO ACIMA DE 25% — conferir",""))</f>
        <v/>
      </c>
      <c r="Q691" s="27"/>
      <c r="R691" s="5"/>
    </row>
    <row r="692" customFormat="false" ht="15" hidden="false" customHeight="false" outlineLevel="0" collapsed="false">
      <c r="A692" s="27"/>
      <c r="B692" s="5"/>
      <c r="C692" s="5"/>
      <c r="D692" s="35"/>
      <c r="E692" s="14"/>
      <c r="F692" s="18"/>
      <c r="G692" s="31" t="str">
        <f aca="false">IF(A692="","",IFERROR(IF(INDEX(Empresas!$C:$C,MATCH(A692,Empresas!$A:$A,0))="","",INDEX(Empresas!$C:$C,MATCH(A692,Empresas!$A:$A,0))),""))</f>
        <v/>
      </c>
      <c r="H692" s="18"/>
      <c r="I692" s="19" t="str">
        <f aca="false">IF(OR(F692="",G692=""),"",IF(F692-G692&lt;0,"CONTRATO ANTERIOR À ABERTURA — conferir datas",IF(F692-G692&lt;180,"ABERTA MENOS DE 6 MESES ANTES","")))</f>
        <v/>
      </c>
      <c r="J692" s="19" t="str">
        <f aca="false">IF(A692="","",IFERROR(INDEX(Sancoes!$B:$B,MATCH(A692,Sancoes!$A:$A,0))&amp;"","não consta"))</f>
        <v/>
      </c>
      <c r="K692" s="19" t="str">
        <f aca="false">IF(OR(A692="",F692=""),"",IF(SUMPRODUCT((Sancoes!$A$2:$A$301=A692)*(Sancoes!$B$2:$B$301&lt;&gt;"Não consta")*(Sancoes!$D$2:$D$301&lt;&gt;"")*(Sancoes!$D$2:$D$301&lt;=F692)*(((Sancoes!$E$2:$E$301="")+(Sancoes!$E$2:$E$301&gt;=F692))&gt;0))&gt;0,"SANÇÃO VIGENTE NA DATA — leia o tipo e a abrangência",""))</f>
        <v/>
      </c>
      <c r="L692" s="19" t="str">
        <f aca="false">IF(A692="","",IFERROR(INDEX(Empresas!$B:$B,MATCH(A692,Empresas!$A:$A,0))&amp;"","cadastre o CNPJ em Empresas"))</f>
        <v/>
      </c>
      <c r="M692" s="27"/>
      <c r="N692" s="35"/>
      <c r="O692" s="37" t="str">
        <f aca="false">IF(OR(D692="",D692=0,N692=""),"",N692/D692)</f>
        <v/>
      </c>
      <c r="P692" s="19" t="str">
        <f aca="false">IF(O692="","",IF(O692&gt;0.25,"ACRÉSCIMO ACIMA DE 25% — conferir",""))</f>
        <v/>
      </c>
      <c r="Q692" s="27"/>
      <c r="R692" s="5"/>
    </row>
    <row r="693" customFormat="false" ht="15" hidden="false" customHeight="false" outlineLevel="0" collapsed="false">
      <c r="A693" s="27"/>
      <c r="B693" s="5"/>
      <c r="C693" s="5"/>
      <c r="D693" s="35"/>
      <c r="E693" s="14"/>
      <c r="F693" s="18"/>
      <c r="G693" s="31" t="str">
        <f aca="false">IF(A693="","",IFERROR(IF(INDEX(Empresas!$C:$C,MATCH(A693,Empresas!$A:$A,0))="","",INDEX(Empresas!$C:$C,MATCH(A693,Empresas!$A:$A,0))),""))</f>
        <v/>
      </c>
      <c r="H693" s="18"/>
      <c r="I693" s="19" t="str">
        <f aca="false">IF(OR(F693="",G693=""),"",IF(F693-G693&lt;0,"CONTRATO ANTERIOR À ABERTURA — conferir datas",IF(F693-G693&lt;180,"ABERTA MENOS DE 6 MESES ANTES","")))</f>
        <v/>
      </c>
      <c r="J693" s="19" t="str">
        <f aca="false">IF(A693="","",IFERROR(INDEX(Sancoes!$B:$B,MATCH(A693,Sancoes!$A:$A,0))&amp;"","não consta"))</f>
        <v/>
      </c>
      <c r="K693" s="19" t="str">
        <f aca="false">IF(OR(A693="",F693=""),"",IF(SUMPRODUCT((Sancoes!$A$2:$A$301=A693)*(Sancoes!$B$2:$B$301&lt;&gt;"Não consta")*(Sancoes!$D$2:$D$301&lt;&gt;"")*(Sancoes!$D$2:$D$301&lt;=F693)*(((Sancoes!$E$2:$E$301="")+(Sancoes!$E$2:$E$301&gt;=F693))&gt;0))&gt;0,"SANÇÃO VIGENTE NA DATA — leia o tipo e a abrangência",""))</f>
        <v/>
      </c>
      <c r="L693" s="19" t="str">
        <f aca="false">IF(A693="","",IFERROR(INDEX(Empresas!$B:$B,MATCH(A693,Empresas!$A:$A,0))&amp;"","cadastre o CNPJ em Empresas"))</f>
        <v/>
      </c>
      <c r="M693" s="27"/>
      <c r="N693" s="35"/>
      <c r="O693" s="37" t="str">
        <f aca="false">IF(OR(D693="",D693=0,N693=""),"",N693/D693)</f>
        <v/>
      </c>
      <c r="P693" s="19" t="str">
        <f aca="false">IF(O693="","",IF(O693&gt;0.25,"ACRÉSCIMO ACIMA DE 25% — conferir",""))</f>
        <v/>
      </c>
      <c r="Q693" s="27"/>
      <c r="R693" s="5"/>
    </row>
    <row r="694" customFormat="false" ht="15" hidden="false" customHeight="false" outlineLevel="0" collapsed="false">
      <c r="A694" s="27"/>
      <c r="B694" s="5"/>
      <c r="C694" s="5"/>
      <c r="D694" s="35"/>
      <c r="E694" s="14"/>
      <c r="F694" s="18"/>
      <c r="G694" s="31" t="str">
        <f aca="false">IF(A694="","",IFERROR(IF(INDEX(Empresas!$C:$C,MATCH(A694,Empresas!$A:$A,0))="","",INDEX(Empresas!$C:$C,MATCH(A694,Empresas!$A:$A,0))),""))</f>
        <v/>
      </c>
      <c r="H694" s="18"/>
      <c r="I694" s="19" t="str">
        <f aca="false">IF(OR(F694="",G694=""),"",IF(F694-G694&lt;0,"CONTRATO ANTERIOR À ABERTURA — conferir datas",IF(F694-G694&lt;180,"ABERTA MENOS DE 6 MESES ANTES","")))</f>
        <v/>
      </c>
      <c r="J694" s="19" t="str">
        <f aca="false">IF(A694="","",IFERROR(INDEX(Sancoes!$B:$B,MATCH(A694,Sancoes!$A:$A,0))&amp;"","não consta"))</f>
        <v/>
      </c>
      <c r="K694" s="19" t="str">
        <f aca="false">IF(OR(A694="",F694=""),"",IF(SUMPRODUCT((Sancoes!$A$2:$A$301=A694)*(Sancoes!$B$2:$B$301&lt;&gt;"Não consta")*(Sancoes!$D$2:$D$301&lt;&gt;"")*(Sancoes!$D$2:$D$301&lt;=F694)*(((Sancoes!$E$2:$E$301="")+(Sancoes!$E$2:$E$301&gt;=F694))&gt;0))&gt;0,"SANÇÃO VIGENTE NA DATA — leia o tipo e a abrangência",""))</f>
        <v/>
      </c>
      <c r="L694" s="19" t="str">
        <f aca="false">IF(A694="","",IFERROR(INDEX(Empresas!$B:$B,MATCH(A694,Empresas!$A:$A,0))&amp;"","cadastre o CNPJ em Empresas"))</f>
        <v/>
      </c>
      <c r="M694" s="27"/>
      <c r="N694" s="35"/>
      <c r="O694" s="37" t="str">
        <f aca="false">IF(OR(D694="",D694=0,N694=""),"",N694/D694)</f>
        <v/>
      </c>
      <c r="P694" s="19" t="str">
        <f aca="false">IF(O694="","",IF(O694&gt;0.25,"ACRÉSCIMO ACIMA DE 25% — conferir",""))</f>
        <v/>
      </c>
      <c r="Q694" s="27"/>
      <c r="R694" s="5"/>
    </row>
    <row r="695" customFormat="false" ht="15" hidden="false" customHeight="false" outlineLevel="0" collapsed="false">
      <c r="A695" s="27"/>
      <c r="B695" s="5"/>
      <c r="C695" s="5"/>
      <c r="D695" s="35"/>
      <c r="E695" s="14"/>
      <c r="F695" s="18"/>
      <c r="G695" s="31" t="str">
        <f aca="false">IF(A695="","",IFERROR(IF(INDEX(Empresas!$C:$C,MATCH(A695,Empresas!$A:$A,0))="","",INDEX(Empresas!$C:$C,MATCH(A695,Empresas!$A:$A,0))),""))</f>
        <v/>
      </c>
      <c r="H695" s="18"/>
      <c r="I695" s="19" t="str">
        <f aca="false">IF(OR(F695="",G695=""),"",IF(F695-G695&lt;0,"CONTRATO ANTERIOR À ABERTURA — conferir datas",IF(F695-G695&lt;180,"ABERTA MENOS DE 6 MESES ANTES","")))</f>
        <v/>
      </c>
      <c r="J695" s="19" t="str">
        <f aca="false">IF(A695="","",IFERROR(INDEX(Sancoes!$B:$B,MATCH(A695,Sancoes!$A:$A,0))&amp;"","não consta"))</f>
        <v/>
      </c>
      <c r="K695" s="19" t="str">
        <f aca="false">IF(OR(A695="",F695=""),"",IF(SUMPRODUCT((Sancoes!$A$2:$A$301=A695)*(Sancoes!$B$2:$B$301&lt;&gt;"Não consta")*(Sancoes!$D$2:$D$301&lt;&gt;"")*(Sancoes!$D$2:$D$301&lt;=F695)*(((Sancoes!$E$2:$E$301="")+(Sancoes!$E$2:$E$301&gt;=F695))&gt;0))&gt;0,"SANÇÃO VIGENTE NA DATA — leia o tipo e a abrangência",""))</f>
        <v/>
      </c>
      <c r="L695" s="19" t="str">
        <f aca="false">IF(A695="","",IFERROR(INDEX(Empresas!$B:$B,MATCH(A695,Empresas!$A:$A,0))&amp;"","cadastre o CNPJ em Empresas"))</f>
        <v/>
      </c>
      <c r="M695" s="27"/>
      <c r="N695" s="35"/>
      <c r="O695" s="37" t="str">
        <f aca="false">IF(OR(D695="",D695=0,N695=""),"",N695/D695)</f>
        <v/>
      </c>
      <c r="P695" s="19" t="str">
        <f aca="false">IF(O695="","",IF(O695&gt;0.25,"ACRÉSCIMO ACIMA DE 25% — conferir",""))</f>
        <v/>
      </c>
      <c r="Q695" s="27"/>
      <c r="R695" s="5"/>
    </row>
    <row r="696" customFormat="false" ht="15" hidden="false" customHeight="false" outlineLevel="0" collapsed="false">
      <c r="A696" s="27"/>
      <c r="B696" s="5"/>
      <c r="C696" s="5"/>
      <c r="D696" s="35"/>
      <c r="E696" s="14"/>
      <c r="F696" s="18"/>
      <c r="G696" s="31" t="str">
        <f aca="false">IF(A696="","",IFERROR(IF(INDEX(Empresas!$C:$C,MATCH(A696,Empresas!$A:$A,0))="","",INDEX(Empresas!$C:$C,MATCH(A696,Empresas!$A:$A,0))),""))</f>
        <v/>
      </c>
      <c r="H696" s="18"/>
      <c r="I696" s="19" t="str">
        <f aca="false">IF(OR(F696="",G696=""),"",IF(F696-G696&lt;0,"CONTRATO ANTERIOR À ABERTURA — conferir datas",IF(F696-G696&lt;180,"ABERTA MENOS DE 6 MESES ANTES","")))</f>
        <v/>
      </c>
      <c r="J696" s="19" t="str">
        <f aca="false">IF(A696="","",IFERROR(INDEX(Sancoes!$B:$B,MATCH(A696,Sancoes!$A:$A,0))&amp;"","não consta"))</f>
        <v/>
      </c>
      <c r="K696" s="19" t="str">
        <f aca="false">IF(OR(A696="",F696=""),"",IF(SUMPRODUCT((Sancoes!$A$2:$A$301=A696)*(Sancoes!$B$2:$B$301&lt;&gt;"Não consta")*(Sancoes!$D$2:$D$301&lt;&gt;"")*(Sancoes!$D$2:$D$301&lt;=F696)*(((Sancoes!$E$2:$E$301="")+(Sancoes!$E$2:$E$301&gt;=F696))&gt;0))&gt;0,"SANÇÃO VIGENTE NA DATA — leia o tipo e a abrangência",""))</f>
        <v/>
      </c>
      <c r="L696" s="19" t="str">
        <f aca="false">IF(A696="","",IFERROR(INDEX(Empresas!$B:$B,MATCH(A696,Empresas!$A:$A,0))&amp;"","cadastre o CNPJ em Empresas"))</f>
        <v/>
      </c>
      <c r="M696" s="27"/>
      <c r="N696" s="35"/>
      <c r="O696" s="37" t="str">
        <f aca="false">IF(OR(D696="",D696=0,N696=""),"",N696/D696)</f>
        <v/>
      </c>
      <c r="P696" s="19" t="str">
        <f aca="false">IF(O696="","",IF(O696&gt;0.25,"ACRÉSCIMO ACIMA DE 25% — conferir",""))</f>
        <v/>
      </c>
      <c r="Q696" s="27"/>
      <c r="R696" s="5"/>
    </row>
    <row r="697" customFormat="false" ht="15" hidden="false" customHeight="false" outlineLevel="0" collapsed="false">
      <c r="A697" s="27"/>
      <c r="B697" s="5"/>
      <c r="C697" s="5"/>
      <c r="D697" s="35"/>
      <c r="E697" s="14"/>
      <c r="F697" s="18"/>
      <c r="G697" s="31" t="str">
        <f aca="false">IF(A697="","",IFERROR(IF(INDEX(Empresas!$C:$C,MATCH(A697,Empresas!$A:$A,0))="","",INDEX(Empresas!$C:$C,MATCH(A697,Empresas!$A:$A,0))),""))</f>
        <v/>
      </c>
      <c r="H697" s="18"/>
      <c r="I697" s="19" t="str">
        <f aca="false">IF(OR(F697="",G697=""),"",IF(F697-G697&lt;0,"CONTRATO ANTERIOR À ABERTURA — conferir datas",IF(F697-G697&lt;180,"ABERTA MENOS DE 6 MESES ANTES","")))</f>
        <v/>
      </c>
      <c r="J697" s="19" t="str">
        <f aca="false">IF(A697="","",IFERROR(INDEX(Sancoes!$B:$B,MATCH(A697,Sancoes!$A:$A,0))&amp;"","não consta"))</f>
        <v/>
      </c>
      <c r="K697" s="19" t="str">
        <f aca="false">IF(OR(A697="",F697=""),"",IF(SUMPRODUCT((Sancoes!$A$2:$A$301=A697)*(Sancoes!$B$2:$B$301&lt;&gt;"Não consta")*(Sancoes!$D$2:$D$301&lt;&gt;"")*(Sancoes!$D$2:$D$301&lt;=F697)*(((Sancoes!$E$2:$E$301="")+(Sancoes!$E$2:$E$301&gt;=F697))&gt;0))&gt;0,"SANÇÃO VIGENTE NA DATA — leia o tipo e a abrangência",""))</f>
        <v/>
      </c>
      <c r="L697" s="19" t="str">
        <f aca="false">IF(A697="","",IFERROR(INDEX(Empresas!$B:$B,MATCH(A697,Empresas!$A:$A,0))&amp;"","cadastre o CNPJ em Empresas"))</f>
        <v/>
      </c>
      <c r="M697" s="27"/>
      <c r="N697" s="35"/>
      <c r="O697" s="37" t="str">
        <f aca="false">IF(OR(D697="",D697=0,N697=""),"",N697/D697)</f>
        <v/>
      </c>
      <c r="P697" s="19" t="str">
        <f aca="false">IF(O697="","",IF(O697&gt;0.25,"ACRÉSCIMO ACIMA DE 25% — conferir",""))</f>
        <v/>
      </c>
      <c r="Q697" s="27"/>
      <c r="R697" s="5"/>
    </row>
    <row r="698" customFormat="false" ht="15" hidden="false" customHeight="false" outlineLevel="0" collapsed="false">
      <c r="A698" s="27"/>
      <c r="B698" s="5"/>
      <c r="C698" s="5"/>
      <c r="D698" s="35"/>
      <c r="E698" s="14"/>
      <c r="F698" s="18"/>
      <c r="G698" s="31" t="str">
        <f aca="false">IF(A698="","",IFERROR(IF(INDEX(Empresas!$C:$C,MATCH(A698,Empresas!$A:$A,0))="","",INDEX(Empresas!$C:$C,MATCH(A698,Empresas!$A:$A,0))),""))</f>
        <v/>
      </c>
      <c r="H698" s="18"/>
      <c r="I698" s="19" t="str">
        <f aca="false">IF(OR(F698="",G698=""),"",IF(F698-G698&lt;0,"CONTRATO ANTERIOR À ABERTURA — conferir datas",IF(F698-G698&lt;180,"ABERTA MENOS DE 6 MESES ANTES","")))</f>
        <v/>
      </c>
      <c r="J698" s="19" t="str">
        <f aca="false">IF(A698="","",IFERROR(INDEX(Sancoes!$B:$B,MATCH(A698,Sancoes!$A:$A,0))&amp;"","não consta"))</f>
        <v/>
      </c>
      <c r="K698" s="19" t="str">
        <f aca="false">IF(OR(A698="",F698=""),"",IF(SUMPRODUCT((Sancoes!$A$2:$A$301=A698)*(Sancoes!$B$2:$B$301&lt;&gt;"Não consta")*(Sancoes!$D$2:$D$301&lt;&gt;"")*(Sancoes!$D$2:$D$301&lt;=F698)*(((Sancoes!$E$2:$E$301="")+(Sancoes!$E$2:$E$301&gt;=F698))&gt;0))&gt;0,"SANÇÃO VIGENTE NA DATA — leia o tipo e a abrangência",""))</f>
        <v/>
      </c>
      <c r="L698" s="19" t="str">
        <f aca="false">IF(A698="","",IFERROR(INDEX(Empresas!$B:$B,MATCH(A698,Empresas!$A:$A,0))&amp;"","cadastre o CNPJ em Empresas"))</f>
        <v/>
      </c>
      <c r="M698" s="27"/>
      <c r="N698" s="35"/>
      <c r="O698" s="37" t="str">
        <f aca="false">IF(OR(D698="",D698=0,N698=""),"",N698/D698)</f>
        <v/>
      </c>
      <c r="P698" s="19" t="str">
        <f aca="false">IF(O698="","",IF(O698&gt;0.25,"ACRÉSCIMO ACIMA DE 25% — conferir",""))</f>
        <v/>
      </c>
      <c r="Q698" s="27"/>
      <c r="R698" s="5"/>
    </row>
    <row r="699" customFormat="false" ht="15" hidden="false" customHeight="false" outlineLevel="0" collapsed="false">
      <c r="A699" s="27"/>
      <c r="B699" s="5"/>
      <c r="C699" s="5"/>
      <c r="D699" s="35"/>
      <c r="E699" s="14"/>
      <c r="F699" s="18"/>
      <c r="G699" s="31" t="str">
        <f aca="false">IF(A699="","",IFERROR(IF(INDEX(Empresas!$C:$C,MATCH(A699,Empresas!$A:$A,0))="","",INDEX(Empresas!$C:$C,MATCH(A699,Empresas!$A:$A,0))),""))</f>
        <v/>
      </c>
      <c r="H699" s="18"/>
      <c r="I699" s="19" t="str">
        <f aca="false">IF(OR(F699="",G699=""),"",IF(F699-G699&lt;0,"CONTRATO ANTERIOR À ABERTURA — conferir datas",IF(F699-G699&lt;180,"ABERTA MENOS DE 6 MESES ANTES","")))</f>
        <v/>
      </c>
      <c r="J699" s="19" t="str">
        <f aca="false">IF(A699="","",IFERROR(INDEX(Sancoes!$B:$B,MATCH(A699,Sancoes!$A:$A,0))&amp;"","não consta"))</f>
        <v/>
      </c>
      <c r="K699" s="19" t="str">
        <f aca="false">IF(OR(A699="",F699=""),"",IF(SUMPRODUCT((Sancoes!$A$2:$A$301=A699)*(Sancoes!$B$2:$B$301&lt;&gt;"Não consta")*(Sancoes!$D$2:$D$301&lt;&gt;"")*(Sancoes!$D$2:$D$301&lt;=F699)*(((Sancoes!$E$2:$E$301="")+(Sancoes!$E$2:$E$301&gt;=F699))&gt;0))&gt;0,"SANÇÃO VIGENTE NA DATA — leia o tipo e a abrangência",""))</f>
        <v/>
      </c>
      <c r="L699" s="19" t="str">
        <f aca="false">IF(A699="","",IFERROR(INDEX(Empresas!$B:$B,MATCH(A699,Empresas!$A:$A,0))&amp;"","cadastre o CNPJ em Empresas"))</f>
        <v/>
      </c>
      <c r="M699" s="27"/>
      <c r="N699" s="35"/>
      <c r="O699" s="37" t="str">
        <f aca="false">IF(OR(D699="",D699=0,N699=""),"",N699/D699)</f>
        <v/>
      </c>
      <c r="P699" s="19" t="str">
        <f aca="false">IF(O699="","",IF(O699&gt;0.25,"ACRÉSCIMO ACIMA DE 25% — conferir",""))</f>
        <v/>
      </c>
      <c r="Q699" s="27"/>
      <c r="R699" s="5"/>
    </row>
    <row r="700" customFormat="false" ht="15" hidden="false" customHeight="false" outlineLevel="0" collapsed="false">
      <c r="A700" s="27"/>
      <c r="B700" s="5"/>
      <c r="C700" s="5"/>
      <c r="D700" s="35"/>
      <c r="E700" s="14"/>
      <c r="F700" s="18"/>
      <c r="G700" s="31" t="str">
        <f aca="false">IF(A700="","",IFERROR(IF(INDEX(Empresas!$C:$C,MATCH(A700,Empresas!$A:$A,0))="","",INDEX(Empresas!$C:$C,MATCH(A700,Empresas!$A:$A,0))),""))</f>
        <v/>
      </c>
      <c r="H700" s="18"/>
      <c r="I700" s="19" t="str">
        <f aca="false">IF(OR(F700="",G700=""),"",IF(F700-G700&lt;0,"CONTRATO ANTERIOR À ABERTURA — conferir datas",IF(F700-G700&lt;180,"ABERTA MENOS DE 6 MESES ANTES","")))</f>
        <v/>
      </c>
      <c r="J700" s="19" t="str">
        <f aca="false">IF(A700="","",IFERROR(INDEX(Sancoes!$B:$B,MATCH(A700,Sancoes!$A:$A,0))&amp;"","não consta"))</f>
        <v/>
      </c>
      <c r="K700" s="19" t="str">
        <f aca="false">IF(OR(A700="",F700=""),"",IF(SUMPRODUCT((Sancoes!$A$2:$A$301=A700)*(Sancoes!$B$2:$B$301&lt;&gt;"Não consta")*(Sancoes!$D$2:$D$301&lt;&gt;"")*(Sancoes!$D$2:$D$301&lt;=F700)*(((Sancoes!$E$2:$E$301="")+(Sancoes!$E$2:$E$301&gt;=F700))&gt;0))&gt;0,"SANÇÃO VIGENTE NA DATA — leia o tipo e a abrangência",""))</f>
        <v/>
      </c>
      <c r="L700" s="19" t="str">
        <f aca="false">IF(A700="","",IFERROR(INDEX(Empresas!$B:$B,MATCH(A700,Empresas!$A:$A,0))&amp;"","cadastre o CNPJ em Empresas"))</f>
        <v/>
      </c>
      <c r="M700" s="27"/>
      <c r="N700" s="35"/>
      <c r="O700" s="37" t="str">
        <f aca="false">IF(OR(D700="",D700=0,N700=""),"",N700/D700)</f>
        <v/>
      </c>
      <c r="P700" s="19" t="str">
        <f aca="false">IF(O700="","",IF(O700&gt;0.25,"ACRÉSCIMO ACIMA DE 25% — conferir",""))</f>
        <v/>
      </c>
      <c r="Q700" s="27"/>
      <c r="R700" s="5"/>
    </row>
    <row r="701" customFormat="false" ht="15" hidden="false" customHeight="false" outlineLevel="0" collapsed="false">
      <c r="A701" s="27"/>
      <c r="B701" s="5"/>
      <c r="C701" s="5"/>
      <c r="D701" s="35"/>
      <c r="E701" s="14"/>
      <c r="F701" s="18"/>
      <c r="G701" s="31" t="str">
        <f aca="false">IF(A701="","",IFERROR(IF(INDEX(Empresas!$C:$C,MATCH(A701,Empresas!$A:$A,0))="","",INDEX(Empresas!$C:$C,MATCH(A701,Empresas!$A:$A,0))),""))</f>
        <v/>
      </c>
      <c r="H701" s="18"/>
      <c r="I701" s="19" t="str">
        <f aca="false">IF(OR(F701="",G701=""),"",IF(F701-G701&lt;0,"CONTRATO ANTERIOR À ABERTURA — conferir datas",IF(F701-G701&lt;180,"ABERTA MENOS DE 6 MESES ANTES","")))</f>
        <v/>
      </c>
      <c r="J701" s="19" t="str">
        <f aca="false">IF(A701="","",IFERROR(INDEX(Sancoes!$B:$B,MATCH(A701,Sancoes!$A:$A,0))&amp;"","não consta"))</f>
        <v/>
      </c>
      <c r="K701" s="19" t="str">
        <f aca="false">IF(OR(A701="",F701=""),"",IF(SUMPRODUCT((Sancoes!$A$2:$A$301=A701)*(Sancoes!$B$2:$B$301&lt;&gt;"Não consta")*(Sancoes!$D$2:$D$301&lt;&gt;"")*(Sancoes!$D$2:$D$301&lt;=F701)*(((Sancoes!$E$2:$E$301="")+(Sancoes!$E$2:$E$301&gt;=F701))&gt;0))&gt;0,"SANÇÃO VIGENTE NA DATA — leia o tipo e a abrangência",""))</f>
        <v/>
      </c>
      <c r="L701" s="19" t="str">
        <f aca="false">IF(A701="","",IFERROR(INDEX(Empresas!$B:$B,MATCH(A701,Empresas!$A:$A,0))&amp;"","cadastre o CNPJ em Empresas"))</f>
        <v/>
      </c>
      <c r="M701" s="27"/>
      <c r="N701" s="35"/>
      <c r="O701" s="37" t="str">
        <f aca="false">IF(OR(D701="",D701=0,N701=""),"",N701/D701)</f>
        <v/>
      </c>
      <c r="P701" s="19" t="str">
        <f aca="false">IF(O701="","",IF(O701&gt;0.25,"ACRÉSCIMO ACIMA DE 25% — conferir",""))</f>
        <v/>
      </c>
      <c r="Q701" s="27"/>
      <c r="R701" s="5"/>
    </row>
    <row r="702" customFormat="false" ht="15" hidden="false" customHeight="false" outlineLevel="0" collapsed="false">
      <c r="A702" s="27"/>
      <c r="B702" s="5"/>
      <c r="C702" s="5"/>
      <c r="D702" s="35"/>
      <c r="E702" s="14"/>
      <c r="F702" s="18"/>
      <c r="G702" s="31" t="str">
        <f aca="false">IF(A702="","",IFERROR(IF(INDEX(Empresas!$C:$C,MATCH(A702,Empresas!$A:$A,0))="","",INDEX(Empresas!$C:$C,MATCH(A702,Empresas!$A:$A,0))),""))</f>
        <v/>
      </c>
      <c r="H702" s="18"/>
      <c r="I702" s="19" t="str">
        <f aca="false">IF(OR(F702="",G702=""),"",IF(F702-G702&lt;0,"CONTRATO ANTERIOR À ABERTURA — conferir datas",IF(F702-G702&lt;180,"ABERTA MENOS DE 6 MESES ANTES","")))</f>
        <v/>
      </c>
      <c r="J702" s="19" t="str">
        <f aca="false">IF(A702="","",IFERROR(INDEX(Sancoes!$B:$B,MATCH(A702,Sancoes!$A:$A,0))&amp;"","não consta"))</f>
        <v/>
      </c>
      <c r="K702" s="19" t="str">
        <f aca="false">IF(OR(A702="",F702=""),"",IF(SUMPRODUCT((Sancoes!$A$2:$A$301=A702)*(Sancoes!$B$2:$B$301&lt;&gt;"Não consta")*(Sancoes!$D$2:$D$301&lt;&gt;"")*(Sancoes!$D$2:$D$301&lt;=F702)*(((Sancoes!$E$2:$E$301="")+(Sancoes!$E$2:$E$301&gt;=F702))&gt;0))&gt;0,"SANÇÃO VIGENTE NA DATA — leia o tipo e a abrangência",""))</f>
        <v/>
      </c>
      <c r="L702" s="19" t="str">
        <f aca="false">IF(A702="","",IFERROR(INDEX(Empresas!$B:$B,MATCH(A702,Empresas!$A:$A,0))&amp;"","cadastre o CNPJ em Empresas"))</f>
        <v/>
      </c>
      <c r="M702" s="27"/>
      <c r="N702" s="35"/>
      <c r="O702" s="37" t="str">
        <f aca="false">IF(OR(D702="",D702=0,N702=""),"",N702/D702)</f>
        <v/>
      </c>
      <c r="P702" s="19" t="str">
        <f aca="false">IF(O702="","",IF(O702&gt;0.25,"ACRÉSCIMO ACIMA DE 25% — conferir",""))</f>
        <v/>
      </c>
      <c r="Q702" s="27"/>
      <c r="R702" s="5"/>
    </row>
    <row r="703" customFormat="false" ht="15" hidden="false" customHeight="false" outlineLevel="0" collapsed="false">
      <c r="A703" s="27"/>
      <c r="B703" s="5"/>
      <c r="C703" s="5"/>
      <c r="D703" s="35"/>
      <c r="E703" s="14"/>
      <c r="F703" s="18"/>
      <c r="G703" s="31" t="str">
        <f aca="false">IF(A703="","",IFERROR(IF(INDEX(Empresas!$C:$C,MATCH(A703,Empresas!$A:$A,0))="","",INDEX(Empresas!$C:$C,MATCH(A703,Empresas!$A:$A,0))),""))</f>
        <v/>
      </c>
      <c r="H703" s="18"/>
      <c r="I703" s="19" t="str">
        <f aca="false">IF(OR(F703="",G703=""),"",IF(F703-G703&lt;0,"CONTRATO ANTERIOR À ABERTURA — conferir datas",IF(F703-G703&lt;180,"ABERTA MENOS DE 6 MESES ANTES","")))</f>
        <v/>
      </c>
      <c r="J703" s="19" t="str">
        <f aca="false">IF(A703="","",IFERROR(INDEX(Sancoes!$B:$B,MATCH(A703,Sancoes!$A:$A,0))&amp;"","não consta"))</f>
        <v/>
      </c>
      <c r="K703" s="19" t="str">
        <f aca="false">IF(OR(A703="",F703=""),"",IF(SUMPRODUCT((Sancoes!$A$2:$A$301=A703)*(Sancoes!$B$2:$B$301&lt;&gt;"Não consta")*(Sancoes!$D$2:$D$301&lt;&gt;"")*(Sancoes!$D$2:$D$301&lt;=F703)*(((Sancoes!$E$2:$E$301="")+(Sancoes!$E$2:$E$301&gt;=F703))&gt;0))&gt;0,"SANÇÃO VIGENTE NA DATA — leia o tipo e a abrangência",""))</f>
        <v/>
      </c>
      <c r="L703" s="19" t="str">
        <f aca="false">IF(A703="","",IFERROR(INDEX(Empresas!$B:$B,MATCH(A703,Empresas!$A:$A,0))&amp;"","cadastre o CNPJ em Empresas"))</f>
        <v/>
      </c>
      <c r="M703" s="27"/>
      <c r="N703" s="35"/>
      <c r="O703" s="37" t="str">
        <f aca="false">IF(OR(D703="",D703=0,N703=""),"",N703/D703)</f>
        <v/>
      </c>
      <c r="P703" s="19" t="str">
        <f aca="false">IF(O703="","",IF(O703&gt;0.25,"ACRÉSCIMO ACIMA DE 25% — conferir",""))</f>
        <v/>
      </c>
      <c r="Q703" s="27"/>
      <c r="R703" s="5"/>
    </row>
    <row r="704" customFormat="false" ht="15" hidden="false" customHeight="false" outlineLevel="0" collapsed="false">
      <c r="A704" s="27"/>
      <c r="B704" s="5"/>
      <c r="C704" s="5"/>
      <c r="D704" s="35"/>
      <c r="E704" s="14"/>
      <c r="F704" s="18"/>
      <c r="G704" s="31" t="str">
        <f aca="false">IF(A704="","",IFERROR(IF(INDEX(Empresas!$C:$C,MATCH(A704,Empresas!$A:$A,0))="","",INDEX(Empresas!$C:$C,MATCH(A704,Empresas!$A:$A,0))),""))</f>
        <v/>
      </c>
      <c r="H704" s="18"/>
      <c r="I704" s="19" t="str">
        <f aca="false">IF(OR(F704="",G704=""),"",IF(F704-G704&lt;0,"CONTRATO ANTERIOR À ABERTURA — conferir datas",IF(F704-G704&lt;180,"ABERTA MENOS DE 6 MESES ANTES","")))</f>
        <v/>
      </c>
      <c r="J704" s="19" t="str">
        <f aca="false">IF(A704="","",IFERROR(INDEX(Sancoes!$B:$B,MATCH(A704,Sancoes!$A:$A,0))&amp;"","não consta"))</f>
        <v/>
      </c>
      <c r="K704" s="19" t="str">
        <f aca="false">IF(OR(A704="",F704=""),"",IF(SUMPRODUCT((Sancoes!$A$2:$A$301=A704)*(Sancoes!$B$2:$B$301&lt;&gt;"Não consta")*(Sancoes!$D$2:$D$301&lt;&gt;"")*(Sancoes!$D$2:$D$301&lt;=F704)*(((Sancoes!$E$2:$E$301="")+(Sancoes!$E$2:$E$301&gt;=F704))&gt;0))&gt;0,"SANÇÃO VIGENTE NA DATA — leia o tipo e a abrangência",""))</f>
        <v/>
      </c>
      <c r="L704" s="19" t="str">
        <f aca="false">IF(A704="","",IFERROR(INDEX(Empresas!$B:$B,MATCH(A704,Empresas!$A:$A,0))&amp;"","cadastre o CNPJ em Empresas"))</f>
        <v/>
      </c>
      <c r="M704" s="27"/>
      <c r="N704" s="35"/>
      <c r="O704" s="37" t="str">
        <f aca="false">IF(OR(D704="",D704=0,N704=""),"",N704/D704)</f>
        <v/>
      </c>
      <c r="P704" s="19" t="str">
        <f aca="false">IF(O704="","",IF(O704&gt;0.25,"ACRÉSCIMO ACIMA DE 25% — conferir",""))</f>
        <v/>
      </c>
      <c r="Q704" s="27"/>
      <c r="R704" s="5"/>
    </row>
    <row r="705" customFormat="false" ht="15" hidden="false" customHeight="false" outlineLevel="0" collapsed="false">
      <c r="A705" s="27"/>
      <c r="B705" s="5"/>
      <c r="C705" s="5"/>
      <c r="D705" s="35"/>
      <c r="E705" s="14"/>
      <c r="F705" s="18"/>
      <c r="G705" s="31" t="str">
        <f aca="false">IF(A705="","",IFERROR(IF(INDEX(Empresas!$C:$C,MATCH(A705,Empresas!$A:$A,0))="","",INDEX(Empresas!$C:$C,MATCH(A705,Empresas!$A:$A,0))),""))</f>
        <v/>
      </c>
      <c r="H705" s="18"/>
      <c r="I705" s="19" t="str">
        <f aca="false">IF(OR(F705="",G705=""),"",IF(F705-G705&lt;0,"CONTRATO ANTERIOR À ABERTURA — conferir datas",IF(F705-G705&lt;180,"ABERTA MENOS DE 6 MESES ANTES","")))</f>
        <v/>
      </c>
      <c r="J705" s="19" t="str">
        <f aca="false">IF(A705="","",IFERROR(INDEX(Sancoes!$B:$B,MATCH(A705,Sancoes!$A:$A,0))&amp;"","não consta"))</f>
        <v/>
      </c>
      <c r="K705" s="19" t="str">
        <f aca="false">IF(OR(A705="",F705=""),"",IF(SUMPRODUCT((Sancoes!$A$2:$A$301=A705)*(Sancoes!$B$2:$B$301&lt;&gt;"Não consta")*(Sancoes!$D$2:$D$301&lt;&gt;"")*(Sancoes!$D$2:$D$301&lt;=F705)*(((Sancoes!$E$2:$E$301="")+(Sancoes!$E$2:$E$301&gt;=F705))&gt;0))&gt;0,"SANÇÃO VIGENTE NA DATA — leia o tipo e a abrangência",""))</f>
        <v/>
      </c>
      <c r="L705" s="19" t="str">
        <f aca="false">IF(A705="","",IFERROR(INDEX(Empresas!$B:$B,MATCH(A705,Empresas!$A:$A,0))&amp;"","cadastre o CNPJ em Empresas"))</f>
        <v/>
      </c>
      <c r="M705" s="27"/>
      <c r="N705" s="35"/>
      <c r="O705" s="37" t="str">
        <f aca="false">IF(OR(D705="",D705=0,N705=""),"",N705/D705)</f>
        <v/>
      </c>
      <c r="P705" s="19" t="str">
        <f aca="false">IF(O705="","",IF(O705&gt;0.25,"ACRÉSCIMO ACIMA DE 25% — conferir",""))</f>
        <v/>
      </c>
      <c r="Q705" s="27"/>
      <c r="R705" s="5"/>
    </row>
    <row r="706" customFormat="false" ht="15" hidden="false" customHeight="false" outlineLevel="0" collapsed="false">
      <c r="A706" s="27"/>
      <c r="B706" s="5"/>
      <c r="C706" s="5"/>
      <c r="D706" s="35"/>
      <c r="E706" s="14"/>
      <c r="F706" s="18"/>
      <c r="G706" s="31" t="str">
        <f aca="false">IF(A706="","",IFERROR(IF(INDEX(Empresas!$C:$C,MATCH(A706,Empresas!$A:$A,0))="","",INDEX(Empresas!$C:$C,MATCH(A706,Empresas!$A:$A,0))),""))</f>
        <v/>
      </c>
      <c r="H706" s="18"/>
      <c r="I706" s="19" t="str">
        <f aca="false">IF(OR(F706="",G706=""),"",IF(F706-G706&lt;0,"CONTRATO ANTERIOR À ABERTURA — conferir datas",IF(F706-G706&lt;180,"ABERTA MENOS DE 6 MESES ANTES","")))</f>
        <v/>
      </c>
      <c r="J706" s="19" t="str">
        <f aca="false">IF(A706="","",IFERROR(INDEX(Sancoes!$B:$B,MATCH(A706,Sancoes!$A:$A,0))&amp;"","não consta"))</f>
        <v/>
      </c>
      <c r="K706" s="19" t="str">
        <f aca="false">IF(OR(A706="",F706=""),"",IF(SUMPRODUCT((Sancoes!$A$2:$A$301=A706)*(Sancoes!$B$2:$B$301&lt;&gt;"Não consta")*(Sancoes!$D$2:$D$301&lt;&gt;"")*(Sancoes!$D$2:$D$301&lt;=F706)*(((Sancoes!$E$2:$E$301="")+(Sancoes!$E$2:$E$301&gt;=F706))&gt;0))&gt;0,"SANÇÃO VIGENTE NA DATA — leia o tipo e a abrangência",""))</f>
        <v/>
      </c>
      <c r="L706" s="19" t="str">
        <f aca="false">IF(A706="","",IFERROR(INDEX(Empresas!$B:$B,MATCH(A706,Empresas!$A:$A,0))&amp;"","cadastre o CNPJ em Empresas"))</f>
        <v/>
      </c>
      <c r="M706" s="27"/>
      <c r="N706" s="35"/>
      <c r="O706" s="37" t="str">
        <f aca="false">IF(OR(D706="",D706=0,N706=""),"",N706/D706)</f>
        <v/>
      </c>
      <c r="P706" s="19" t="str">
        <f aca="false">IF(O706="","",IF(O706&gt;0.25,"ACRÉSCIMO ACIMA DE 25% — conferir",""))</f>
        <v/>
      </c>
      <c r="Q706" s="27"/>
      <c r="R706" s="5"/>
    </row>
    <row r="707" customFormat="false" ht="15" hidden="false" customHeight="false" outlineLevel="0" collapsed="false">
      <c r="A707" s="27"/>
      <c r="B707" s="5"/>
      <c r="C707" s="5"/>
      <c r="D707" s="35"/>
      <c r="E707" s="14"/>
      <c r="F707" s="18"/>
      <c r="G707" s="31" t="str">
        <f aca="false">IF(A707="","",IFERROR(IF(INDEX(Empresas!$C:$C,MATCH(A707,Empresas!$A:$A,0))="","",INDEX(Empresas!$C:$C,MATCH(A707,Empresas!$A:$A,0))),""))</f>
        <v/>
      </c>
      <c r="H707" s="18"/>
      <c r="I707" s="19" t="str">
        <f aca="false">IF(OR(F707="",G707=""),"",IF(F707-G707&lt;0,"CONTRATO ANTERIOR À ABERTURA — conferir datas",IF(F707-G707&lt;180,"ABERTA MENOS DE 6 MESES ANTES","")))</f>
        <v/>
      </c>
      <c r="J707" s="19" t="str">
        <f aca="false">IF(A707="","",IFERROR(INDEX(Sancoes!$B:$B,MATCH(A707,Sancoes!$A:$A,0))&amp;"","não consta"))</f>
        <v/>
      </c>
      <c r="K707" s="19" t="str">
        <f aca="false">IF(OR(A707="",F707=""),"",IF(SUMPRODUCT((Sancoes!$A$2:$A$301=A707)*(Sancoes!$B$2:$B$301&lt;&gt;"Não consta")*(Sancoes!$D$2:$D$301&lt;&gt;"")*(Sancoes!$D$2:$D$301&lt;=F707)*(((Sancoes!$E$2:$E$301="")+(Sancoes!$E$2:$E$301&gt;=F707))&gt;0))&gt;0,"SANÇÃO VIGENTE NA DATA — leia o tipo e a abrangência",""))</f>
        <v/>
      </c>
      <c r="L707" s="19" t="str">
        <f aca="false">IF(A707="","",IFERROR(INDEX(Empresas!$B:$B,MATCH(A707,Empresas!$A:$A,0))&amp;"","cadastre o CNPJ em Empresas"))</f>
        <v/>
      </c>
      <c r="M707" s="27"/>
      <c r="N707" s="35"/>
      <c r="O707" s="37" t="str">
        <f aca="false">IF(OR(D707="",D707=0,N707=""),"",N707/D707)</f>
        <v/>
      </c>
      <c r="P707" s="19" t="str">
        <f aca="false">IF(O707="","",IF(O707&gt;0.25,"ACRÉSCIMO ACIMA DE 25% — conferir",""))</f>
        <v/>
      </c>
      <c r="Q707" s="27"/>
      <c r="R707" s="5"/>
    </row>
    <row r="708" customFormat="false" ht="15" hidden="false" customHeight="false" outlineLevel="0" collapsed="false">
      <c r="A708" s="27"/>
      <c r="B708" s="5"/>
      <c r="C708" s="5"/>
      <c r="D708" s="35"/>
      <c r="E708" s="14"/>
      <c r="F708" s="18"/>
      <c r="G708" s="31" t="str">
        <f aca="false">IF(A708="","",IFERROR(IF(INDEX(Empresas!$C:$C,MATCH(A708,Empresas!$A:$A,0))="","",INDEX(Empresas!$C:$C,MATCH(A708,Empresas!$A:$A,0))),""))</f>
        <v/>
      </c>
      <c r="H708" s="18"/>
      <c r="I708" s="19" t="str">
        <f aca="false">IF(OR(F708="",G708=""),"",IF(F708-G708&lt;0,"CONTRATO ANTERIOR À ABERTURA — conferir datas",IF(F708-G708&lt;180,"ABERTA MENOS DE 6 MESES ANTES","")))</f>
        <v/>
      </c>
      <c r="J708" s="19" t="str">
        <f aca="false">IF(A708="","",IFERROR(INDEX(Sancoes!$B:$B,MATCH(A708,Sancoes!$A:$A,0))&amp;"","não consta"))</f>
        <v/>
      </c>
      <c r="K708" s="19" t="str">
        <f aca="false">IF(OR(A708="",F708=""),"",IF(SUMPRODUCT((Sancoes!$A$2:$A$301=A708)*(Sancoes!$B$2:$B$301&lt;&gt;"Não consta")*(Sancoes!$D$2:$D$301&lt;&gt;"")*(Sancoes!$D$2:$D$301&lt;=F708)*(((Sancoes!$E$2:$E$301="")+(Sancoes!$E$2:$E$301&gt;=F708))&gt;0))&gt;0,"SANÇÃO VIGENTE NA DATA — leia o tipo e a abrangência",""))</f>
        <v/>
      </c>
      <c r="L708" s="19" t="str">
        <f aca="false">IF(A708="","",IFERROR(INDEX(Empresas!$B:$B,MATCH(A708,Empresas!$A:$A,0))&amp;"","cadastre o CNPJ em Empresas"))</f>
        <v/>
      </c>
      <c r="M708" s="27"/>
      <c r="N708" s="35"/>
      <c r="O708" s="37" t="str">
        <f aca="false">IF(OR(D708="",D708=0,N708=""),"",N708/D708)</f>
        <v/>
      </c>
      <c r="P708" s="19" t="str">
        <f aca="false">IF(O708="","",IF(O708&gt;0.25,"ACRÉSCIMO ACIMA DE 25% — conferir",""))</f>
        <v/>
      </c>
      <c r="Q708" s="27"/>
      <c r="R708" s="5"/>
    </row>
    <row r="709" customFormat="false" ht="15" hidden="false" customHeight="false" outlineLevel="0" collapsed="false">
      <c r="A709" s="27"/>
      <c r="B709" s="5"/>
      <c r="C709" s="5"/>
      <c r="D709" s="35"/>
      <c r="E709" s="14"/>
      <c r="F709" s="18"/>
      <c r="G709" s="31" t="str">
        <f aca="false">IF(A709="","",IFERROR(IF(INDEX(Empresas!$C:$C,MATCH(A709,Empresas!$A:$A,0))="","",INDEX(Empresas!$C:$C,MATCH(A709,Empresas!$A:$A,0))),""))</f>
        <v/>
      </c>
      <c r="H709" s="18"/>
      <c r="I709" s="19" t="str">
        <f aca="false">IF(OR(F709="",G709=""),"",IF(F709-G709&lt;0,"CONTRATO ANTERIOR À ABERTURA — conferir datas",IF(F709-G709&lt;180,"ABERTA MENOS DE 6 MESES ANTES","")))</f>
        <v/>
      </c>
      <c r="J709" s="19" t="str">
        <f aca="false">IF(A709="","",IFERROR(INDEX(Sancoes!$B:$B,MATCH(A709,Sancoes!$A:$A,0))&amp;"","não consta"))</f>
        <v/>
      </c>
      <c r="K709" s="19" t="str">
        <f aca="false">IF(OR(A709="",F709=""),"",IF(SUMPRODUCT((Sancoes!$A$2:$A$301=A709)*(Sancoes!$B$2:$B$301&lt;&gt;"Não consta")*(Sancoes!$D$2:$D$301&lt;&gt;"")*(Sancoes!$D$2:$D$301&lt;=F709)*(((Sancoes!$E$2:$E$301="")+(Sancoes!$E$2:$E$301&gt;=F709))&gt;0))&gt;0,"SANÇÃO VIGENTE NA DATA — leia o tipo e a abrangência",""))</f>
        <v/>
      </c>
      <c r="L709" s="19" t="str">
        <f aca="false">IF(A709="","",IFERROR(INDEX(Empresas!$B:$B,MATCH(A709,Empresas!$A:$A,0))&amp;"","cadastre o CNPJ em Empresas"))</f>
        <v/>
      </c>
      <c r="M709" s="27"/>
      <c r="N709" s="35"/>
      <c r="O709" s="37" t="str">
        <f aca="false">IF(OR(D709="",D709=0,N709=""),"",N709/D709)</f>
        <v/>
      </c>
      <c r="P709" s="19" t="str">
        <f aca="false">IF(O709="","",IF(O709&gt;0.25,"ACRÉSCIMO ACIMA DE 25% — conferir",""))</f>
        <v/>
      </c>
      <c r="Q709" s="27"/>
      <c r="R709" s="5"/>
    </row>
    <row r="710" customFormat="false" ht="15" hidden="false" customHeight="false" outlineLevel="0" collapsed="false">
      <c r="A710" s="27"/>
      <c r="B710" s="5"/>
      <c r="C710" s="5"/>
      <c r="D710" s="35"/>
      <c r="E710" s="14"/>
      <c r="F710" s="18"/>
      <c r="G710" s="31" t="str">
        <f aca="false">IF(A710="","",IFERROR(IF(INDEX(Empresas!$C:$C,MATCH(A710,Empresas!$A:$A,0))="","",INDEX(Empresas!$C:$C,MATCH(A710,Empresas!$A:$A,0))),""))</f>
        <v/>
      </c>
      <c r="H710" s="18"/>
      <c r="I710" s="19" t="str">
        <f aca="false">IF(OR(F710="",G710=""),"",IF(F710-G710&lt;0,"CONTRATO ANTERIOR À ABERTURA — conferir datas",IF(F710-G710&lt;180,"ABERTA MENOS DE 6 MESES ANTES","")))</f>
        <v/>
      </c>
      <c r="J710" s="19" t="str">
        <f aca="false">IF(A710="","",IFERROR(INDEX(Sancoes!$B:$B,MATCH(A710,Sancoes!$A:$A,0))&amp;"","não consta"))</f>
        <v/>
      </c>
      <c r="K710" s="19" t="str">
        <f aca="false">IF(OR(A710="",F710=""),"",IF(SUMPRODUCT((Sancoes!$A$2:$A$301=A710)*(Sancoes!$B$2:$B$301&lt;&gt;"Não consta")*(Sancoes!$D$2:$D$301&lt;&gt;"")*(Sancoes!$D$2:$D$301&lt;=F710)*(((Sancoes!$E$2:$E$301="")+(Sancoes!$E$2:$E$301&gt;=F710))&gt;0))&gt;0,"SANÇÃO VIGENTE NA DATA — leia o tipo e a abrangência",""))</f>
        <v/>
      </c>
      <c r="L710" s="19" t="str">
        <f aca="false">IF(A710="","",IFERROR(INDEX(Empresas!$B:$B,MATCH(A710,Empresas!$A:$A,0))&amp;"","cadastre o CNPJ em Empresas"))</f>
        <v/>
      </c>
      <c r="M710" s="27"/>
      <c r="N710" s="35"/>
      <c r="O710" s="37" t="str">
        <f aca="false">IF(OR(D710="",D710=0,N710=""),"",N710/D710)</f>
        <v/>
      </c>
      <c r="P710" s="19" t="str">
        <f aca="false">IF(O710="","",IF(O710&gt;0.25,"ACRÉSCIMO ACIMA DE 25% — conferir",""))</f>
        <v/>
      </c>
      <c r="Q710" s="27"/>
      <c r="R710" s="5"/>
    </row>
    <row r="711" customFormat="false" ht="15" hidden="false" customHeight="false" outlineLevel="0" collapsed="false">
      <c r="A711" s="27"/>
      <c r="B711" s="5"/>
      <c r="C711" s="5"/>
      <c r="D711" s="35"/>
      <c r="E711" s="14"/>
      <c r="F711" s="18"/>
      <c r="G711" s="31" t="str">
        <f aca="false">IF(A711="","",IFERROR(IF(INDEX(Empresas!$C:$C,MATCH(A711,Empresas!$A:$A,0))="","",INDEX(Empresas!$C:$C,MATCH(A711,Empresas!$A:$A,0))),""))</f>
        <v/>
      </c>
      <c r="H711" s="18"/>
      <c r="I711" s="19" t="str">
        <f aca="false">IF(OR(F711="",G711=""),"",IF(F711-G711&lt;0,"CONTRATO ANTERIOR À ABERTURA — conferir datas",IF(F711-G711&lt;180,"ABERTA MENOS DE 6 MESES ANTES","")))</f>
        <v/>
      </c>
      <c r="J711" s="19" t="str">
        <f aca="false">IF(A711="","",IFERROR(INDEX(Sancoes!$B:$B,MATCH(A711,Sancoes!$A:$A,0))&amp;"","não consta"))</f>
        <v/>
      </c>
      <c r="K711" s="19" t="str">
        <f aca="false">IF(OR(A711="",F711=""),"",IF(SUMPRODUCT((Sancoes!$A$2:$A$301=A711)*(Sancoes!$B$2:$B$301&lt;&gt;"Não consta")*(Sancoes!$D$2:$D$301&lt;&gt;"")*(Sancoes!$D$2:$D$301&lt;=F711)*(((Sancoes!$E$2:$E$301="")+(Sancoes!$E$2:$E$301&gt;=F711))&gt;0))&gt;0,"SANÇÃO VIGENTE NA DATA — leia o tipo e a abrangência",""))</f>
        <v/>
      </c>
      <c r="L711" s="19" t="str">
        <f aca="false">IF(A711="","",IFERROR(INDEX(Empresas!$B:$B,MATCH(A711,Empresas!$A:$A,0))&amp;"","cadastre o CNPJ em Empresas"))</f>
        <v/>
      </c>
      <c r="M711" s="27"/>
      <c r="N711" s="35"/>
      <c r="O711" s="37" t="str">
        <f aca="false">IF(OR(D711="",D711=0,N711=""),"",N711/D711)</f>
        <v/>
      </c>
      <c r="P711" s="19" t="str">
        <f aca="false">IF(O711="","",IF(O711&gt;0.25,"ACRÉSCIMO ACIMA DE 25% — conferir",""))</f>
        <v/>
      </c>
      <c r="Q711" s="27"/>
      <c r="R711" s="5"/>
    </row>
    <row r="712" customFormat="false" ht="15" hidden="false" customHeight="false" outlineLevel="0" collapsed="false">
      <c r="A712" s="27"/>
      <c r="B712" s="5"/>
      <c r="C712" s="5"/>
      <c r="D712" s="35"/>
      <c r="E712" s="14"/>
      <c r="F712" s="18"/>
      <c r="G712" s="31" t="str">
        <f aca="false">IF(A712="","",IFERROR(IF(INDEX(Empresas!$C:$C,MATCH(A712,Empresas!$A:$A,0))="","",INDEX(Empresas!$C:$C,MATCH(A712,Empresas!$A:$A,0))),""))</f>
        <v/>
      </c>
      <c r="H712" s="18"/>
      <c r="I712" s="19" t="str">
        <f aca="false">IF(OR(F712="",G712=""),"",IF(F712-G712&lt;0,"CONTRATO ANTERIOR À ABERTURA — conferir datas",IF(F712-G712&lt;180,"ABERTA MENOS DE 6 MESES ANTES","")))</f>
        <v/>
      </c>
      <c r="J712" s="19" t="str">
        <f aca="false">IF(A712="","",IFERROR(INDEX(Sancoes!$B:$B,MATCH(A712,Sancoes!$A:$A,0))&amp;"","não consta"))</f>
        <v/>
      </c>
      <c r="K712" s="19" t="str">
        <f aca="false">IF(OR(A712="",F712=""),"",IF(SUMPRODUCT((Sancoes!$A$2:$A$301=A712)*(Sancoes!$B$2:$B$301&lt;&gt;"Não consta")*(Sancoes!$D$2:$D$301&lt;&gt;"")*(Sancoes!$D$2:$D$301&lt;=F712)*(((Sancoes!$E$2:$E$301="")+(Sancoes!$E$2:$E$301&gt;=F712))&gt;0))&gt;0,"SANÇÃO VIGENTE NA DATA — leia o tipo e a abrangência",""))</f>
        <v/>
      </c>
      <c r="L712" s="19" t="str">
        <f aca="false">IF(A712="","",IFERROR(INDEX(Empresas!$B:$B,MATCH(A712,Empresas!$A:$A,0))&amp;"","cadastre o CNPJ em Empresas"))</f>
        <v/>
      </c>
      <c r="M712" s="27"/>
      <c r="N712" s="35"/>
      <c r="O712" s="37" t="str">
        <f aca="false">IF(OR(D712="",D712=0,N712=""),"",N712/D712)</f>
        <v/>
      </c>
      <c r="P712" s="19" t="str">
        <f aca="false">IF(O712="","",IF(O712&gt;0.25,"ACRÉSCIMO ACIMA DE 25% — conferir",""))</f>
        <v/>
      </c>
      <c r="Q712" s="27"/>
      <c r="R712" s="5"/>
    </row>
    <row r="713" customFormat="false" ht="15" hidden="false" customHeight="false" outlineLevel="0" collapsed="false">
      <c r="A713" s="27"/>
      <c r="B713" s="5"/>
      <c r="C713" s="5"/>
      <c r="D713" s="35"/>
      <c r="E713" s="14"/>
      <c r="F713" s="18"/>
      <c r="G713" s="31" t="str">
        <f aca="false">IF(A713="","",IFERROR(IF(INDEX(Empresas!$C:$C,MATCH(A713,Empresas!$A:$A,0))="","",INDEX(Empresas!$C:$C,MATCH(A713,Empresas!$A:$A,0))),""))</f>
        <v/>
      </c>
      <c r="H713" s="18"/>
      <c r="I713" s="19" t="str">
        <f aca="false">IF(OR(F713="",G713=""),"",IF(F713-G713&lt;0,"CONTRATO ANTERIOR À ABERTURA — conferir datas",IF(F713-G713&lt;180,"ABERTA MENOS DE 6 MESES ANTES","")))</f>
        <v/>
      </c>
      <c r="J713" s="19" t="str">
        <f aca="false">IF(A713="","",IFERROR(INDEX(Sancoes!$B:$B,MATCH(A713,Sancoes!$A:$A,0))&amp;"","não consta"))</f>
        <v/>
      </c>
      <c r="K713" s="19" t="str">
        <f aca="false">IF(OR(A713="",F713=""),"",IF(SUMPRODUCT((Sancoes!$A$2:$A$301=A713)*(Sancoes!$B$2:$B$301&lt;&gt;"Não consta")*(Sancoes!$D$2:$D$301&lt;&gt;"")*(Sancoes!$D$2:$D$301&lt;=F713)*(((Sancoes!$E$2:$E$301="")+(Sancoes!$E$2:$E$301&gt;=F713))&gt;0))&gt;0,"SANÇÃO VIGENTE NA DATA — leia o tipo e a abrangência",""))</f>
        <v/>
      </c>
      <c r="L713" s="19" t="str">
        <f aca="false">IF(A713="","",IFERROR(INDEX(Empresas!$B:$B,MATCH(A713,Empresas!$A:$A,0))&amp;"","cadastre o CNPJ em Empresas"))</f>
        <v/>
      </c>
      <c r="M713" s="27"/>
      <c r="N713" s="35"/>
      <c r="O713" s="37" t="str">
        <f aca="false">IF(OR(D713="",D713=0,N713=""),"",N713/D713)</f>
        <v/>
      </c>
      <c r="P713" s="19" t="str">
        <f aca="false">IF(O713="","",IF(O713&gt;0.25,"ACRÉSCIMO ACIMA DE 25% — conferir",""))</f>
        <v/>
      </c>
      <c r="Q713" s="27"/>
      <c r="R713" s="5"/>
    </row>
    <row r="714" customFormat="false" ht="15" hidden="false" customHeight="false" outlineLevel="0" collapsed="false">
      <c r="A714" s="27"/>
      <c r="B714" s="5"/>
      <c r="C714" s="5"/>
      <c r="D714" s="35"/>
      <c r="E714" s="14"/>
      <c r="F714" s="18"/>
      <c r="G714" s="31" t="str">
        <f aca="false">IF(A714="","",IFERROR(IF(INDEX(Empresas!$C:$C,MATCH(A714,Empresas!$A:$A,0))="","",INDEX(Empresas!$C:$C,MATCH(A714,Empresas!$A:$A,0))),""))</f>
        <v/>
      </c>
      <c r="H714" s="18"/>
      <c r="I714" s="19" t="str">
        <f aca="false">IF(OR(F714="",G714=""),"",IF(F714-G714&lt;0,"CONTRATO ANTERIOR À ABERTURA — conferir datas",IF(F714-G714&lt;180,"ABERTA MENOS DE 6 MESES ANTES","")))</f>
        <v/>
      </c>
      <c r="J714" s="19" t="str">
        <f aca="false">IF(A714="","",IFERROR(INDEX(Sancoes!$B:$B,MATCH(A714,Sancoes!$A:$A,0))&amp;"","não consta"))</f>
        <v/>
      </c>
      <c r="K714" s="19" t="str">
        <f aca="false">IF(OR(A714="",F714=""),"",IF(SUMPRODUCT((Sancoes!$A$2:$A$301=A714)*(Sancoes!$B$2:$B$301&lt;&gt;"Não consta")*(Sancoes!$D$2:$D$301&lt;&gt;"")*(Sancoes!$D$2:$D$301&lt;=F714)*(((Sancoes!$E$2:$E$301="")+(Sancoes!$E$2:$E$301&gt;=F714))&gt;0))&gt;0,"SANÇÃO VIGENTE NA DATA — leia o tipo e a abrangência",""))</f>
        <v/>
      </c>
      <c r="L714" s="19" t="str">
        <f aca="false">IF(A714="","",IFERROR(INDEX(Empresas!$B:$B,MATCH(A714,Empresas!$A:$A,0))&amp;"","cadastre o CNPJ em Empresas"))</f>
        <v/>
      </c>
      <c r="M714" s="27"/>
      <c r="N714" s="35"/>
      <c r="O714" s="37" t="str">
        <f aca="false">IF(OR(D714="",D714=0,N714=""),"",N714/D714)</f>
        <v/>
      </c>
      <c r="P714" s="19" t="str">
        <f aca="false">IF(O714="","",IF(O714&gt;0.25,"ACRÉSCIMO ACIMA DE 25% — conferir",""))</f>
        <v/>
      </c>
      <c r="Q714" s="27"/>
      <c r="R714" s="5"/>
    </row>
    <row r="715" customFormat="false" ht="15" hidden="false" customHeight="false" outlineLevel="0" collapsed="false">
      <c r="A715" s="27"/>
      <c r="B715" s="5"/>
      <c r="C715" s="5"/>
      <c r="D715" s="35"/>
      <c r="E715" s="14"/>
      <c r="F715" s="18"/>
      <c r="G715" s="31" t="str">
        <f aca="false">IF(A715="","",IFERROR(IF(INDEX(Empresas!$C:$C,MATCH(A715,Empresas!$A:$A,0))="","",INDEX(Empresas!$C:$C,MATCH(A715,Empresas!$A:$A,0))),""))</f>
        <v/>
      </c>
      <c r="H715" s="18"/>
      <c r="I715" s="19" t="str">
        <f aca="false">IF(OR(F715="",G715=""),"",IF(F715-G715&lt;0,"CONTRATO ANTERIOR À ABERTURA — conferir datas",IF(F715-G715&lt;180,"ABERTA MENOS DE 6 MESES ANTES","")))</f>
        <v/>
      </c>
      <c r="J715" s="19" t="str">
        <f aca="false">IF(A715="","",IFERROR(INDEX(Sancoes!$B:$B,MATCH(A715,Sancoes!$A:$A,0))&amp;"","não consta"))</f>
        <v/>
      </c>
      <c r="K715" s="19" t="str">
        <f aca="false">IF(OR(A715="",F715=""),"",IF(SUMPRODUCT((Sancoes!$A$2:$A$301=A715)*(Sancoes!$B$2:$B$301&lt;&gt;"Não consta")*(Sancoes!$D$2:$D$301&lt;&gt;"")*(Sancoes!$D$2:$D$301&lt;=F715)*(((Sancoes!$E$2:$E$301="")+(Sancoes!$E$2:$E$301&gt;=F715))&gt;0))&gt;0,"SANÇÃO VIGENTE NA DATA — leia o tipo e a abrangência",""))</f>
        <v/>
      </c>
      <c r="L715" s="19" t="str">
        <f aca="false">IF(A715="","",IFERROR(INDEX(Empresas!$B:$B,MATCH(A715,Empresas!$A:$A,0))&amp;"","cadastre o CNPJ em Empresas"))</f>
        <v/>
      </c>
      <c r="M715" s="27"/>
      <c r="N715" s="35"/>
      <c r="O715" s="37" t="str">
        <f aca="false">IF(OR(D715="",D715=0,N715=""),"",N715/D715)</f>
        <v/>
      </c>
      <c r="P715" s="19" t="str">
        <f aca="false">IF(O715="","",IF(O715&gt;0.25,"ACRÉSCIMO ACIMA DE 25% — conferir",""))</f>
        <v/>
      </c>
      <c r="Q715" s="27"/>
      <c r="R715" s="5"/>
    </row>
    <row r="716" customFormat="false" ht="15" hidden="false" customHeight="false" outlineLevel="0" collapsed="false">
      <c r="A716" s="27"/>
      <c r="B716" s="5"/>
      <c r="C716" s="5"/>
      <c r="D716" s="35"/>
      <c r="E716" s="14"/>
      <c r="F716" s="18"/>
      <c r="G716" s="31" t="str">
        <f aca="false">IF(A716="","",IFERROR(IF(INDEX(Empresas!$C:$C,MATCH(A716,Empresas!$A:$A,0))="","",INDEX(Empresas!$C:$C,MATCH(A716,Empresas!$A:$A,0))),""))</f>
        <v/>
      </c>
      <c r="H716" s="18"/>
      <c r="I716" s="19" t="str">
        <f aca="false">IF(OR(F716="",G716=""),"",IF(F716-G716&lt;0,"CONTRATO ANTERIOR À ABERTURA — conferir datas",IF(F716-G716&lt;180,"ABERTA MENOS DE 6 MESES ANTES","")))</f>
        <v/>
      </c>
      <c r="J716" s="19" t="str">
        <f aca="false">IF(A716="","",IFERROR(INDEX(Sancoes!$B:$B,MATCH(A716,Sancoes!$A:$A,0))&amp;"","não consta"))</f>
        <v/>
      </c>
      <c r="K716" s="19" t="str">
        <f aca="false">IF(OR(A716="",F716=""),"",IF(SUMPRODUCT((Sancoes!$A$2:$A$301=A716)*(Sancoes!$B$2:$B$301&lt;&gt;"Não consta")*(Sancoes!$D$2:$D$301&lt;&gt;"")*(Sancoes!$D$2:$D$301&lt;=F716)*(((Sancoes!$E$2:$E$301="")+(Sancoes!$E$2:$E$301&gt;=F716))&gt;0))&gt;0,"SANÇÃO VIGENTE NA DATA — leia o tipo e a abrangência",""))</f>
        <v/>
      </c>
      <c r="L716" s="19" t="str">
        <f aca="false">IF(A716="","",IFERROR(INDEX(Empresas!$B:$B,MATCH(A716,Empresas!$A:$A,0))&amp;"","cadastre o CNPJ em Empresas"))</f>
        <v/>
      </c>
      <c r="M716" s="27"/>
      <c r="N716" s="35"/>
      <c r="O716" s="37" t="str">
        <f aca="false">IF(OR(D716="",D716=0,N716=""),"",N716/D716)</f>
        <v/>
      </c>
      <c r="P716" s="19" t="str">
        <f aca="false">IF(O716="","",IF(O716&gt;0.25,"ACRÉSCIMO ACIMA DE 25% — conferir",""))</f>
        <v/>
      </c>
      <c r="Q716" s="27"/>
      <c r="R716" s="5"/>
    </row>
    <row r="717" customFormat="false" ht="15" hidden="false" customHeight="false" outlineLevel="0" collapsed="false">
      <c r="A717" s="27"/>
      <c r="B717" s="5"/>
      <c r="C717" s="5"/>
      <c r="D717" s="35"/>
      <c r="E717" s="14"/>
      <c r="F717" s="18"/>
      <c r="G717" s="31" t="str">
        <f aca="false">IF(A717="","",IFERROR(IF(INDEX(Empresas!$C:$C,MATCH(A717,Empresas!$A:$A,0))="","",INDEX(Empresas!$C:$C,MATCH(A717,Empresas!$A:$A,0))),""))</f>
        <v/>
      </c>
      <c r="H717" s="18"/>
      <c r="I717" s="19" t="str">
        <f aca="false">IF(OR(F717="",G717=""),"",IF(F717-G717&lt;0,"CONTRATO ANTERIOR À ABERTURA — conferir datas",IF(F717-G717&lt;180,"ABERTA MENOS DE 6 MESES ANTES","")))</f>
        <v/>
      </c>
      <c r="J717" s="19" t="str">
        <f aca="false">IF(A717="","",IFERROR(INDEX(Sancoes!$B:$B,MATCH(A717,Sancoes!$A:$A,0))&amp;"","não consta"))</f>
        <v/>
      </c>
      <c r="K717" s="19" t="str">
        <f aca="false">IF(OR(A717="",F717=""),"",IF(SUMPRODUCT((Sancoes!$A$2:$A$301=A717)*(Sancoes!$B$2:$B$301&lt;&gt;"Não consta")*(Sancoes!$D$2:$D$301&lt;&gt;"")*(Sancoes!$D$2:$D$301&lt;=F717)*(((Sancoes!$E$2:$E$301="")+(Sancoes!$E$2:$E$301&gt;=F717))&gt;0))&gt;0,"SANÇÃO VIGENTE NA DATA — leia o tipo e a abrangência",""))</f>
        <v/>
      </c>
      <c r="L717" s="19" t="str">
        <f aca="false">IF(A717="","",IFERROR(INDEX(Empresas!$B:$B,MATCH(A717,Empresas!$A:$A,0))&amp;"","cadastre o CNPJ em Empresas"))</f>
        <v/>
      </c>
      <c r="M717" s="27"/>
      <c r="N717" s="35"/>
      <c r="O717" s="37" t="str">
        <f aca="false">IF(OR(D717="",D717=0,N717=""),"",N717/D717)</f>
        <v/>
      </c>
      <c r="P717" s="19" t="str">
        <f aca="false">IF(O717="","",IF(O717&gt;0.25,"ACRÉSCIMO ACIMA DE 25% — conferir",""))</f>
        <v/>
      </c>
      <c r="Q717" s="27"/>
      <c r="R717" s="5"/>
    </row>
    <row r="718" customFormat="false" ht="15" hidden="false" customHeight="false" outlineLevel="0" collapsed="false">
      <c r="A718" s="27"/>
      <c r="B718" s="5"/>
      <c r="C718" s="5"/>
      <c r="D718" s="35"/>
      <c r="E718" s="14"/>
      <c r="F718" s="18"/>
      <c r="G718" s="31" t="str">
        <f aca="false">IF(A718="","",IFERROR(IF(INDEX(Empresas!$C:$C,MATCH(A718,Empresas!$A:$A,0))="","",INDEX(Empresas!$C:$C,MATCH(A718,Empresas!$A:$A,0))),""))</f>
        <v/>
      </c>
      <c r="H718" s="18"/>
      <c r="I718" s="19" t="str">
        <f aca="false">IF(OR(F718="",G718=""),"",IF(F718-G718&lt;0,"CONTRATO ANTERIOR À ABERTURA — conferir datas",IF(F718-G718&lt;180,"ABERTA MENOS DE 6 MESES ANTES","")))</f>
        <v/>
      </c>
      <c r="J718" s="19" t="str">
        <f aca="false">IF(A718="","",IFERROR(INDEX(Sancoes!$B:$B,MATCH(A718,Sancoes!$A:$A,0))&amp;"","não consta"))</f>
        <v/>
      </c>
      <c r="K718" s="19" t="str">
        <f aca="false">IF(OR(A718="",F718=""),"",IF(SUMPRODUCT((Sancoes!$A$2:$A$301=A718)*(Sancoes!$B$2:$B$301&lt;&gt;"Não consta")*(Sancoes!$D$2:$D$301&lt;&gt;"")*(Sancoes!$D$2:$D$301&lt;=F718)*(((Sancoes!$E$2:$E$301="")+(Sancoes!$E$2:$E$301&gt;=F718))&gt;0))&gt;0,"SANÇÃO VIGENTE NA DATA — leia o tipo e a abrangência",""))</f>
        <v/>
      </c>
      <c r="L718" s="19" t="str">
        <f aca="false">IF(A718="","",IFERROR(INDEX(Empresas!$B:$B,MATCH(A718,Empresas!$A:$A,0))&amp;"","cadastre o CNPJ em Empresas"))</f>
        <v/>
      </c>
      <c r="M718" s="27"/>
      <c r="N718" s="35"/>
      <c r="O718" s="37" t="str">
        <f aca="false">IF(OR(D718="",D718=0,N718=""),"",N718/D718)</f>
        <v/>
      </c>
      <c r="P718" s="19" t="str">
        <f aca="false">IF(O718="","",IF(O718&gt;0.25,"ACRÉSCIMO ACIMA DE 25% — conferir",""))</f>
        <v/>
      </c>
      <c r="Q718" s="27"/>
      <c r="R718" s="5"/>
    </row>
    <row r="719" customFormat="false" ht="15" hidden="false" customHeight="false" outlineLevel="0" collapsed="false">
      <c r="A719" s="27"/>
      <c r="B719" s="5"/>
      <c r="C719" s="5"/>
      <c r="D719" s="35"/>
      <c r="E719" s="14"/>
      <c r="F719" s="18"/>
      <c r="G719" s="31" t="str">
        <f aca="false">IF(A719="","",IFERROR(IF(INDEX(Empresas!$C:$C,MATCH(A719,Empresas!$A:$A,0))="","",INDEX(Empresas!$C:$C,MATCH(A719,Empresas!$A:$A,0))),""))</f>
        <v/>
      </c>
      <c r="H719" s="18"/>
      <c r="I719" s="19" t="str">
        <f aca="false">IF(OR(F719="",G719=""),"",IF(F719-G719&lt;0,"CONTRATO ANTERIOR À ABERTURA — conferir datas",IF(F719-G719&lt;180,"ABERTA MENOS DE 6 MESES ANTES","")))</f>
        <v/>
      </c>
      <c r="J719" s="19" t="str">
        <f aca="false">IF(A719="","",IFERROR(INDEX(Sancoes!$B:$B,MATCH(A719,Sancoes!$A:$A,0))&amp;"","não consta"))</f>
        <v/>
      </c>
      <c r="K719" s="19" t="str">
        <f aca="false">IF(OR(A719="",F719=""),"",IF(SUMPRODUCT((Sancoes!$A$2:$A$301=A719)*(Sancoes!$B$2:$B$301&lt;&gt;"Não consta")*(Sancoes!$D$2:$D$301&lt;&gt;"")*(Sancoes!$D$2:$D$301&lt;=F719)*(((Sancoes!$E$2:$E$301="")+(Sancoes!$E$2:$E$301&gt;=F719))&gt;0))&gt;0,"SANÇÃO VIGENTE NA DATA — leia o tipo e a abrangência",""))</f>
        <v/>
      </c>
      <c r="L719" s="19" t="str">
        <f aca="false">IF(A719="","",IFERROR(INDEX(Empresas!$B:$B,MATCH(A719,Empresas!$A:$A,0))&amp;"","cadastre o CNPJ em Empresas"))</f>
        <v/>
      </c>
      <c r="M719" s="27"/>
      <c r="N719" s="35"/>
      <c r="O719" s="37" t="str">
        <f aca="false">IF(OR(D719="",D719=0,N719=""),"",N719/D719)</f>
        <v/>
      </c>
      <c r="P719" s="19" t="str">
        <f aca="false">IF(O719="","",IF(O719&gt;0.25,"ACRÉSCIMO ACIMA DE 25% — conferir",""))</f>
        <v/>
      </c>
      <c r="Q719" s="27"/>
      <c r="R719" s="5"/>
    </row>
    <row r="720" customFormat="false" ht="15" hidden="false" customHeight="false" outlineLevel="0" collapsed="false">
      <c r="A720" s="27"/>
      <c r="B720" s="5"/>
      <c r="C720" s="5"/>
      <c r="D720" s="35"/>
      <c r="E720" s="14"/>
      <c r="F720" s="18"/>
      <c r="G720" s="31" t="str">
        <f aca="false">IF(A720="","",IFERROR(IF(INDEX(Empresas!$C:$C,MATCH(A720,Empresas!$A:$A,0))="","",INDEX(Empresas!$C:$C,MATCH(A720,Empresas!$A:$A,0))),""))</f>
        <v/>
      </c>
      <c r="H720" s="18"/>
      <c r="I720" s="19" t="str">
        <f aca="false">IF(OR(F720="",G720=""),"",IF(F720-G720&lt;0,"CONTRATO ANTERIOR À ABERTURA — conferir datas",IF(F720-G720&lt;180,"ABERTA MENOS DE 6 MESES ANTES","")))</f>
        <v/>
      </c>
      <c r="J720" s="19" t="str">
        <f aca="false">IF(A720="","",IFERROR(INDEX(Sancoes!$B:$B,MATCH(A720,Sancoes!$A:$A,0))&amp;"","não consta"))</f>
        <v/>
      </c>
      <c r="K720" s="19" t="str">
        <f aca="false">IF(OR(A720="",F720=""),"",IF(SUMPRODUCT((Sancoes!$A$2:$A$301=A720)*(Sancoes!$B$2:$B$301&lt;&gt;"Não consta")*(Sancoes!$D$2:$D$301&lt;&gt;"")*(Sancoes!$D$2:$D$301&lt;=F720)*(((Sancoes!$E$2:$E$301="")+(Sancoes!$E$2:$E$301&gt;=F720))&gt;0))&gt;0,"SANÇÃO VIGENTE NA DATA — leia o tipo e a abrangência",""))</f>
        <v/>
      </c>
      <c r="L720" s="19" t="str">
        <f aca="false">IF(A720="","",IFERROR(INDEX(Empresas!$B:$B,MATCH(A720,Empresas!$A:$A,0))&amp;"","cadastre o CNPJ em Empresas"))</f>
        <v/>
      </c>
      <c r="M720" s="27"/>
      <c r="N720" s="35"/>
      <c r="O720" s="37" t="str">
        <f aca="false">IF(OR(D720="",D720=0,N720=""),"",N720/D720)</f>
        <v/>
      </c>
      <c r="P720" s="19" t="str">
        <f aca="false">IF(O720="","",IF(O720&gt;0.25,"ACRÉSCIMO ACIMA DE 25% — conferir",""))</f>
        <v/>
      </c>
      <c r="Q720" s="27"/>
      <c r="R720" s="5"/>
    </row>
    <row r="721" customFormat="false" ht="15" hidden="false" customHeight="false" outlineLevel="0" collapsed="false">
      <c r="A721" s="27"/>
      <c r="B721" s="5"/>
      <c r="C721" s="5"/>
      <c r="D721" s="35"/>
      <c r="E721" s="14"/>
      <c r="F721" s="18"/>
      <c r="G721" s="31" t="str">
        <f aca="false">IF(A721="","",IFERROR(IF(INDEX(Empresas!$C:$C,MATCH(A721,Empresas!$A:$A,0))="","",INDEX(Empresas!$C:$C,MATCH(A721,Empresas!$A:$A,0))),""))</f>
        <v/>
      </c>
      <c r="H721" s="18"/>
      <c r="I721" s="19" t="str">
        <f aca="false">IF(OR(F721="",G721=""),"",IF(F721-G721&lt;0,"CONTRATO ANTERIOR À ABERTURA — conferir datas",IF(F721-G721&lt;180,"ABERTA MENOS DE 6 MESES ANTES","")))</f>
        <v/>
      </c>
      <c r="J721" s="19" t="str">
        <f aca="false">IF(A721="","",IFERROR(INDEX(Sancoes!$B:$B,MATCH(A721,Sancoes!$A:$A,0))&amp;"","não consta"))</f>
        <v/>
      </c>
      <c r="K721" s="19" t="str">
        <f aca="false">IF(OR(A721="",F721=""),"",IF(SUMPRODUCT((Sancoes!$A$2:$A$301=A721)*(Sancoes!$B$2:$B$301&lt;&gt;"Não consta")*(Sancoes!$D$2:$D$301&lt;&gt;"")*(Sancoes!$D$2:$D$301&lt;=F721)*(((Sancoes!$E$2:$E$301="")+(Sancoes!$E$2:$E$301&gt;=F721))&gt;0))&gt;0,"SANÇÃO VIGENTE NA DATA — leia o tipo e a abrangência",""))</f>
        <v/>
      </c>
      <c r="L721" s="19" t="str">
        <f aca="false">IF(A721="","",IFERROR(INDEX(Empresas!$B:$B,MATCH(A721,Empresas!$A:$A,0))&amp;"","cadastre o CNPJ em Empresas"))</f>
        <v/>
      </c>
      <c r="M721" s="27"/>
      <c r="N721" s="35"/>
      <c r="O721" s="37" t="str">
        <f aca="false">IF(OR(D721="",D721=0,N721=""),"",N721/D721)</f>
        <v/>
      </c>
      <c r="P721" s="19" t="str">
        <f aca="false">IF(O721="","",IF(O721&gt;0.25,"ACRÉSCIMO ACIMA DE 25% — conferir",""))</f>
        <v/>
      </c>
      <c r="Q721" s="27"/>
      <c r="R721" s="5"/>
    </row>
    <row r="722" customFormat="false" ht="15" hidden="false" customHeight="false" outlineLevel="0" collapsed="false">
      <c r="A722" s="27"/>
      <c r="B722" s="5"/>
      <c r="C722" s="5"/>
      <c r="D722" s="35"/>
      <c r="E722" s="14"/>
      <c r="F722" s="18"/>
      <c r="G722" s="31" t="str">
        <f aca="false">IF(A722="","",IFERROR(IF(INDEX(Empresas!$C:$C,MATCH(A722,Empresas!$A:$A,0))="","",INDEX(Empresas!$C:$C,MATCH(A722,Empresas!$A:$A,0))),""))</f>
        <v/>
      </c>
      <c r="H722" s="18"/>
      <c r="I722" s="19" t="str">
        <f aca="false">IF(OR(F722="",G722=""),"",IF(F722-G722&lt;0,"CONTRATO ANTERIOR À ABERTURA — conferir datas",IF(F722-G722&lt;180,"ABERTA MENOS DE 6 MESES ANTES","")))</f>
        <v/>
      </c>
      <c r="J722" s="19" t="str">
        <f aca="false">IF(A722="","",IFERROR(INDEX(Sancoes!$B:$B,MATCH(A722,Sancoes!$A:$A,0))&amp;"","não consta"))</f>
        <v/>
      </c>
      <c r="K722" s="19" t="str">
        <f aca="false">IF(OR(A722="",F722=""),"",IF(SUMPRODUCT((Sancoes!$A$2:$A$301=A722)*(Sancoes!$B$2:$B$301&lt;&gt;"Não consta")*(Sancoes!$D$2:$D$301&lt;&gt;"")*(Sancoes!$D$2:$D$301&lt;=F722)*(((Sancoes!$E$2:$E$301="")+(Sancoes!$E$2:$E$301&gt;=F722))&gt;0))&gt;0,"SANÇÃO VIGENTE NA DATA — leia o tipo e a abrangência",""))</f>
        <v/>
      </c>
      <c r="L722" s="19" t="str">
        <f aca="false">IF(A722="","",IFERROR(INDEX(Empresas!$B:$B,MATCH(A722,Empresas!$A:$A,0))&amp;"","cadastre o CNPJ em Empresas"))</f>
        <v/>
      </c>
      <c r="M722" s="27"/>
      <c r="N722" s="35"/>
      <c r="O722" s="37" t="str">
        <f aca="false">IF(OR(D722="",D722=0,N722=""),"",N722/D722)</f>
        <v/>
      </c>
      <c r="P722" s="19" t="str">
        <f aca="false">IF(O722="","",IF(O722&gt;0.25,"ACRÉSCIMO ACIMA DE 25% — conferir",""))</f>
        <v/>
      </c>
      <c r="Q722" s="27"/>
      <c r="R722" s="5"/>
    </row>
    <row r="723" customFormat="false" ht="15" hidden="false" customHeight="false" outlineLevel="0" collapsed="false">
      <c r="A723" s="27"/>
      <c r="B723" s="5"/>
      <c r="C723" s="5"/>
      <c r="D723" s="35"/>
      <c r="E723" s="14"/>
      <c r="F723" s="18"/>
      <c r="G723" s="31" t="str">
        <f aca="false">IF(A723="","",IFERROR(IF(INDEX(Empresas!$C:$C,MATCH(A723,Empresas!$A:$A,0))="","",INDEX(Empresas!$C:$C,MATCH(A723,Empresas!$A:$A,0))),""))</f>
        <v/>
      </c>
      <c r="H723" s="18"/>
      <c r="I723" s="19" t="str">
        <f aca="false">IF(OR(F723="",G723=""),"",IF(F723-G723&lt;0,"CONTRATO ANTERIOR À ABERTURA — conferir datas",IF(F723-G723&lt;180,"ABERTA MENOS DE 6 MESES ANTES","")))</f>
        <v/>
      </c>
      <c r="J723" s="19" t="str">
        <f aca="false">IF(A723="","",IFERROR(INDEX(Sancoes!$B:$B,MATCH(A723,Sancoes!$A:$A,0))&amp;"","não consta"))</f>
        <v/>
      </c>
      <c r="K723" s="19" t="str">
        <f aca="false">IF(OR(A723="",F723=""),"",IF(SUMPRODUCT((Sancoes!$A$2:$A$301=A723)*(Sancoes!$B$2:$B$301&lt;&gt;"Não consta")*(Sancoes!$D$2:$D$301&lt;&gt;"")*(Sancoes!$D$2:$D$301&lt;=F723)*(((Sancoes!$E$2:$E$301="")+(Sancoes!$E$2:$E$301&gt;=F723))&gt;0))&gt;0,"SANÇÃO VIGENTE NA DATA — leia o tipo e a abrangência",""))</f>
        <v/>
      </c>
      <c r="L723" s="19" t="str">
        <f aca="false">IF(A723="","",IFERROR(INDEX(Empresas!$B:$B,MATCH(A723,Empresas!$A:$A,0))&amp;"","cadastre o CNPJ em Empresas"))</f>
        <v/>
      </c>
      <c r="M723" s="27"/>
      <c r="N723" s="35"/>
      <c r="O723" s="37" t="str">
        <f aca="false">IF(OR(D723="",D723=0,N723=""),"",N723/D723)</f>
        <v/>
      </c>
      <c r="P723" s="19" t="str">
        <f aca="false">IF(O723="","",IF(O723&gt;0.25,"ACRÉSCIMO ACIMA DE 25% — conferir",""))</f>
        <v/>
      </c>
      <c r="Q723" s="27"/>
      <c r="R723" s="5"/>
    </row>
    <row r="724" customFormat="false" ht="15" hidden="false" customHeight="false" outlineLevel="0" collapsed="false">
      <c r="A724" s="27"/>
      <c r="B724" s="5"/>
      <c r="C724" s="5"/>
      <c r="D724" s="35"/>
      <c r="E724" s="14"/>
      <c r="F724" s="18"/>
      <c r="G724" s="31" t="str">
        <f aca="false">IF(A724="","",IFERROR(IF(INDEX(Empresas!$C:$C,MATCH(A724,Empresas!$A:$A,0))="","",INDEX(Empresas!$C:$C,MATCH(A724,Empresas!$A:$A,0))),""))</f>
        <v/>
      </c>
      <c r="H724" s="18"/>
      <c r="I724" s="19" t="str">
        <f aca="false">IF(OR(F724="",G724=""),"",IF(F724-G724&lt;0,"CONTRATO ANTERIOR À ABERTURA — conferir datas",IF(F724-G724&lt;180,"ABERTA MENOS DE 6 MESES ANTES","")))</f>
        <v/>
      </c>
      <c r="J724" s="19" t="str">
        <f aca="false">IF(A724="","",IFERROR(INDEX(Sancoes!$B:$B,MATCH(A724,Sancoes!$A:$A,0))&amp;"","não consta"))</f>
        <v/>
      </c>
      <c r="K724" s="19" t="str">
        <f aca="false">IF(OR(A724="",F724=""),"",IF(SUMPRODUCT((Sancoes!$A$2:$A$301=A724)*(Sancoes!$B$2:$B$301&lt;&gt;"Não consta")*(Sancoes!$D$2:$D$301&lt;&gt;"")*(Sancoes!$D$2:$D$301&lt;=F724)*(((Sancoes!$E$2:$E$301="")+(Sancoes!$E$2:$E$301&gt;=F724))&gt;0))&gt;0,"SANÇÃO VIGENTE NA DATA — leia o tipo e a abrangência",""))</f>
        <v/>
      </c>
      <c r="L724" s="19" t="str">
        <f aca="false">IF(A724="","",IFERROR(INDEX(Empresas!$B:$B,MATCH(A724,Empresas!$A:$A,0))&amp;"","cadastre o CNPJ em Empresas"))</f>
        <v/>
      </c>
      <c r="M724" s="27"/>
      <c r="N724" s="35"/>
      <c r="O724" s="37" t="str">
        <f aca="false">IF(OR(D724="",D724=0,N724=""),"",N724/D724)</f>
        <v/>
      </c>
      <c r="P724" s="19" t="str">
        <f aca="false">IF(O724="","",IF(O724&gt;0.25,"ACRÉSCIMO ACIMA DE 25% — conferir",""))</f>
        <v/>
      </c>
      <c r="Q724" s="27"/>
      <c r="R724" s="5"/>
    </row>
    <row r="725" customFormat="false" ht="15" hidden="false" customHeight="false" outlineLevel="0" collapsed="false">
      <c r="A725" s="27"/>
      <c r="B725" s="5"/>
      <c r="C725" s="5"/>
      <c r="D725" s="35"/>
      <c r="E725" s="14"/>
      <c r="F725" s="18"/>
      <c r="G725" s="31" t="str">
        <f aca="false">IF(A725="","",IFERROR(IF(INDEX(Empresas!$C:$C,MATCH(A725,Empresas!$A:$A,0))="","",INDEX(Empresas!$C:$C,MATCH(A725,Empresas!$A:$A,0))),""))</f>
        <v/>
      </c>
      <c r="H725" s="18"/>
      <c r="I725" s="19" t="str">
        <f aca="false">IF(OR(F725="",G725=""),"",IF(F725-G725&lt;0,"CONTRATO ANTERIOR À ABERTURA — conferir datas",IF(F725-G725&lt;180,"ABERTA MENOS DE 6 MESES ANTES","")))</f>
        <v/>
      </c>
      <c r="J725" s="19" t="str">
        <f aca="false">IF(A725="","",IFERROR(INDEX(Sancoes!$B:$B,MATCH(A725,Sancoes!$A:$A,0))&amp;"","não consta"))</f>
        <v/>
      </c>
      <c r="K725" s="19" t="str">
        <f aca="false">IF(OR(A725="",F725=""),"",IF(SUMPRODUCT((Sancoes!$A$2:$A$301=A725)*(Sancoes!$B$2:$B$301&lt;&gt;"Não consta")*(Sancoes!$D$2:$D$301&lt;&gt;"")*(Sancoes!$D$2:$D$301&lt;=F725)*(((Sancoes!$E$2:$E$301="")+(Sancoes!$E$2:$E$301&gt;=F725))&gt;0))&gt;0,"SANÇÃO VIGENTE NA DATA — leia o tipo e a abrangência",""))</f>
        <v/>
      </c>
      <c r="L725" s="19" t="str">
        <f aca="false">IF(A725="","",IFERROR(INDEX(Empresas!$B:$B,MATCH(A725,Empresas!$A:$A,0))&amp;"","cadastre o CNPJ em Empresas"))</f>
        <v/>
      </c>
      <c r="M725" s="27"/>
      <c r="N725" s="35"/>
      <c r="O725" s="37" t="str">
        <f aca="false">IF(OR(D725="",D725=0,N725=""),"",N725/D725)</f>
        <v/>
      </c>
      <c r="P725" s="19" t="str">
        <f aca="false">IF(O725="","",IF(O725&gt;0.25,"ACRÉSCIMO ACIMA DE 25% — conferir",""))</f>
        <v/>
      </c>
      <c r="Q725" s="27"/>
      <c r="R725" s="5"/>
    </row>
    <row r="726" customFormat="false" ht="15" hidden="false" customHeight="false" outlineLevel="0" collapsed="false">
      <c r="A726" s="27"/>
      <c r="B726" s="5"/>
      <c r="C726" s="5"/>
      <c r="D726" s="35"/>
      <c r="E726" s="14"/>
      <c r="F726" s="18"/>
      <c r="G726" s="31" t="str">
        <f aca="false">IF(A726="","",IFERROR(IF(INDEX(Empresas!$C:$C,MATCH(A726,Empresas!$A:$A,0))="","",INDEX(Empresas!$C:$C,MATCH(A726,Empresas!$A:$A,0))),""))</f>
        <v/>
      </c>
      <c r="H726" s="18"/>
      <c r="I726" s="19" t="str">
        <f aca="false">IF(OR(F726="",G726=""),"",IF(F726-G726&lt;0,"CONTRATO ANTERIOR À ABERTURA — conferir datas",IF(F726-G726&lt;180,"ABERTA MENOS DE 6 MESES ANTES","")))</f>
        <v/>
      </c>
      <c r="J726" s="19" t="str">
        <f aca="false">IF(A726="","",IFERROR(INDEX(Sancoes!$B:$B,MATCH(A726,Sancoes!$A:$A,0))&amp;"","não consta"))</f>
        <v/>
      </c>
      <c r="K726" s="19" t="str">
        <f aca="false">IF(OR(A726="",F726=""),"",IF(SUMPRODUCT((Sancoes!$A$2:$A$301=A726)*(Sancoes!$B$2:$B$301&lt;&gt;"Não consta")*(Sancoes!$D$2:$D$301&lt;&gt;"")*(Sancoes!$D$2:$D$301&lt;=F726)*(((Sancoes!$E$2:$E$301="")+(Sancoes!$E$2:$E$301&gt;=F726))&gt;0))&gt;0,"SANÇÃO VIGENTE NA DATA — leia o tipo e a abrangência",""))</f>
        <v/>
      </c>
      <c r="L726" s="19" t="str">
        <f aca="false">IF(A726="","",IFERROR(INDEX(Empresas!$B:$B,MATCH(A726,Empresas!$A:$A,0))&amp;"","cadastre o CNPJ em Empresas"))</f>
        <v/>
      </c>
      <c r="M726" s="27"/>
      <c r="N726" s="35"/>
      <c r="O726" s="37" t="str">
        <f aca="false">IF(OR(D726="",D726=0,N726=""),"",N726/D726)</f>
        <v/>
      </c>
      <c r="P726" s="19" t="str">
        <f aca="false">IF(O726="","",IF(O726&gt;0.25,"ACRÉSCIMO ACIMA DE 25% — conferir",""))</f>
        <v/>
      </c>
      <c r="Q726" s="27"/>
      <c r="R726" s="5"/>
    </row>
    <row r="727" customFormat="false" ht="15" hidden="false" customHeight="false" outlineLevel="0" collapsed="false">
      <c r="A727" s="27"/>
      <c r="B727" s="5"/>
      <c r="C727" s="5"/>
      <c r="D727" s="35"/>
      <c r="E727" s="14"/>
      <c r="F727" s="18"/>
      <c r="G727" s="31" t="str">
        <f aca="false">IF(A727="","",IFERROR(IF(INDEX(Empresas!$C:$C,MATCH(A727,Empresas!$A:$A,0))="","",INDEX(Empresas!$C:$C,MATCH(A727,Empresas!$A:$A,0))),""))</f>
        <v/>
      </c>
      <c r="H727" s="18"/>
      <c r="I727" s="19" t="str">
        <f aca="false">IF(OR(F727="",G727=""),"",IF(F727-G727&lt;0,"CONTRATO ANTERIOR À ABERTURA — conferir datas",IF(F727-G727&lt;180,"ABERTA MENOS DE 6 MESES ANTES","")))</f>
        <v/>
      </c>
      <c r="J727" s="19" t="str">
        <f aca="false">IF(A727="","",IFERROR(INDEX(Sancoes!$B:$B,MATCH(A727,Sancoes!$A:$A,0))&amp;"","não consta"))</f>
        <v/>
      </c>
      <c r="K727" s="19" t="str">
        <f aca="false">IF(OR(A727="",F727=""),"",IF(SUMPRODUCT((Sancoes!$A$2:$A$301=A727)*(Sancoes!$B$2:$B$301&lt;&gt;"Não consta")*(Sancoes!$D$2:$D$301&lt;&gt;"")*(Sancoes!$D$2:$D$301&lt;=F727)*(((Sancoes!$E$2:$E$301="")+(Sancoes!$E$2:$E$301&gt;=F727))&gt;0))&gt;0,"SANÇÃO VIGENTE NA DATA — leia o tipo e a abrangência",""))</f>
        <v/>
      </c>
      <c r="L727" s="19" t="str">
        <f aca="false">IF(A727="","",IFERROR(INDEX(Empresas!$B:$B,MATCH(A727,Empresas!$A:$A,0))&amp;"","cadastre o CNPJ em Empresas"))</f>
        <v/>
      </c>
      <c r="M727" s="27"/>
      <c r="N727" s="35"/>
      <c r="O727" s="37" t="str">
        <f aca="false">IF(OR(D727="",D727=0,N727=""),"",N727/D727)</f>
        <v/>
      </c>
      <c r="P727" s="19" t="str">
        <f aca="false">IF(O727="","",IF(O727&gt;0.25,"ACRÉSCIMO ACIMA DE 25% — conferir",""))</f>
        <v/>
      </c>
      <c r="Q727" s="27"/>
      <c r="R727" s="5"/>
    </row>
    <row r="728" customFormat="false" ht="15" hidden="false" customHeight="false" outlineLevel="0" collapsed="false">
      <c r="A728" s="27"/>
      <c r="B728" s="5"/>
      <c r="C728" s="5"/>
      <c r="D728" s="35"/>
      <c r="E728" s="14"/>
      <c r="F728" s="18"/>
      <c r="G728" s="31" t="str">
        <f aca="false">IF(A728="","",IFERROR(IF(INDEX(Empresas!$C:$C,MATCH(A728,Empresas!$A:$A,0))="","",INDEX(Empresas!$C:$C,MATCH(A728,Empresas!$A:$A,0))),""))</f>
        <v/>
      </c>
      <c r="H728" s="18"/>
      <c r="I728" s="19" t="str">
        <f aca="false">IF(OR(F728="",G728=""),"",IF(F728-G728&lt;0,"CONTRATO ANTERIOR À ABERTURA — conferir datas",IF(F728-G728&lt;180,"ABERTA MENOS DE 6 MESES ANTES","")))</f>
        <v/>
      </c>
      <c r="J728" s="19" t="str">
        <f aca="false">IF(A728="","",IFERROR(INDEX(Sancoes!$B:$B,MATCH(A728,Sancoes!$A:$A,0))&amp;"","não consta"))</f>
        <v/>
      </c>
      <c r="K728" s="19" t="str">
        <f aca="false">IF(OR(A728="",F728=""),"",IF(SUMPRODUCT((Sancoes!$A$2:$A$301=A728)*(Sancoes!$B$2:$B$301&lt;&gt;"Não consta")*(Sancoes!$D$2:$D$301&lt;&gt;"")*(Sancoes!$D$2:$D$301&lt;=F728)*(((Sancoes!$E$2:$E$301="")+(Sancoes!$E$2:$E$301&gt;=F728))&gt;0))&gt;0,"SANÇÃO VIGENTE NA DATA — leia o tipo e a abrangência",""))</f>
        <v/>
      </c>
      <c r="L728" s="19" t="str">
        <f aca="false">IF(A728="","",IFERROR(INDEX(Empresas!$B:$B,MATCH(A728,Empresas!$A:$A,0))&amp;"","cadastre o CNPJ em Empresas"))</f>
        <v/>
      </c>
      <c r="M728" s="27"/>
      <c r="N728" s="35"/>
      <c r="O728" s="37" t="str">
        <f aca="false">IF(OR(D728="",D728=0,N728=""),"",N728/D728)</f>
        <v/>
      </c>
      <c r="P728" s="19" t="str">
        <f aca="false">IF(O728="","",IF(O728&gt;0.25,"ACRÉSCIMO ACIMA DE 25% — conferir",""))</f>
        <v/>
      </c>
      <c r="Q728" s="27"/>
      <c r="R728" s="5"/>
    </row>
    <row r="729" customFormat="false" ht="15" hidden="false" customHeight="false" outlineLevel="0" collapsed="false">
      <c r="A729" s="27"/>
      <c r="B729" s="5"/>
      <c r="C729" s="5"/>
      <c r="D729" s="35"/>
      <c r="E729" s="14"/>
      <c r="F729" s="18"/>
      <c r="G729" s="31" t="str">
        <f aca="false">IF(A729="","",IFERROR(IF(INDEX(Empresas!$C:$C,MATCH(A729,Empresas!$A:$A,0))="","",INDEX(Empresas!$C:$C,MATCH(A729,Empresas!$A:$A,0))),""))</f>
        <v/>
      </c>
      <c r="H729" s="18"/>
      <c r="I729" s="19" t="str">
        <f aca="false">IF(OR(F729="",G729=""),"",IF(F729-G729&lt;0,"CONTRATO ANTERIOR À ABERTURA — conferir datas",IF(F729-G729&lt;180,"ABERTA MENOS DE 6 MESES ANTES","")))</f>
        <v/>
      </c>
      <c r="J729" s="19" t="str">
        <f aca="false">IF(A729="","",IFERROR(INDEX(Sancoes!$B:$B,MATCH(A729,Sancoes!$A:$A,0))&amp;"","não consta"))</f>
        <v/>
      </c>
      <c r="K729" s="19" t="str">
        <f aca="false">IF(OR(A729="",F729=""),"",IF(SUMPRODUCT((Sancoes!$A$2:$A$301=A729)*(Sancoes!$B$2:$B$301&lt;&gt;"Não consta")*(Sancoes!$D$2:$D$301&lt;&gt;"")*(Sancoes!$D$2:$D$301&lt;=F729)*(((Sancoes!$E$2:$E$301="")+(Sancoes!$E$2:$E$301&gt;=F729))&gt;0))&gt;0,"SANÇÃO VIGENTE NA DATA — leia o tipo e a abrangência",""))</f>
        <v/>
      </c>
      <c r="L729" s="19" t="str">
        <f aca="false">IF(A729="","",IFERROR(INDEX(Empresas!$B:$B,MATCH(A729,Empresas!$A:$A,0))&amp;"","cadastre o CNPJ em Empresas"))</f>
        <v/>
      </c>
      <c r="M729" s="27"/>
      <c r="N729" s="35"/>
      <c r="O729" s="37" t="str">
        <f aca="false">IF(OR(D729="",D729=0,N729=""),"",N729/D729)</f>
        <v/>
      </c>
      <c r="P729" s="19" t="str">
        <f aca="false">IF(O729="","",IF(O729&gt;0.25,"ACRÉSCIMO ACIMA DE 25% — conferir",""))</f>
        <v/>
      </c>
      <c r="Q729" s="27"/>
      <c r="R729" s="5"/>
    </row>
    <row r="730" customFormat="false" ht="15" hidden="false" customHeight="false" outlineLevel="0" collapsed="false">
      <c r="A730" s="27"/>
      <c r="B730" s="5"/>
      <c r="C730" s="5"/>
      <c r="D730" s="35"/>
      <c r="E730" s="14"/>
      <c r="F730" s="18"/>
      <c r="G730" s="31" t="str">
        <f aca="false">IF(A730="","",IFERROR(IF(INDEX(Empresas!$C:$C,MATCH(A730,Empresas!$A:$A,0))="","",INDEX(Empresas!$C:$C,MATCH(A730,Empresas!$A:$A,0))),""))</f>
        <v/>
      </c>
      <c r="H730" s="18"/>
      <c r="I730" s="19" t="str">
        <f aca="false">IF(OR(F730="",G730=""),"",IF(F730-G730&lt;0,"CONTRATO ANTERIOR À ABERTURA — conferir datas",IF(F730-G730&lt;180,"ABERTA MENOS DE 6 MESES ANTES","")))</f>
        <v/>
      </c>
      <c r="J730" s="19" t="str">
        <f aca="false">IF(A730="","",IFERROR(INDEX(Sancoes!$B:$B,MATCH(A730,Sancoes!$A:$A,0))&amp;"","não consta"))</f>
        <v/>
      </c>
      <c r="K730" s="19" t="str">
        <f aca="false">IF(OR(A730="",F730=""),"",IF(SUMPRODUCT((Sancoes!$A$2:$A$301=A730)*(Sancoes!$B$2:$B$301&lt;&gt;"Não consta")*(Sancoes!$D$2:$D$301&lt;&gt;"")*(Sancoes!$D$2:$D$301&lt;=F730)*(((Sancoes!$E$2:$E$301="")+(Sancoes!$E$2:$E$301&gt;=F730))&gt;0))&gt;0,"SANÇÃO VIGENTE NA DATA — leia o tipo e a abrangência",""))</f>
        <v/>
      </c>
      <c r="L730" s="19" t="str">
        <f aca="false">IF(A730="","",IFERROR(INDEX(Empresas!$B:$B,MATCH(A730,Empresas!$A:$A,0))&amp;"","cadastre o CNPJ em Empresas"))</f>
        <v/>
      </c>
      <c r="M730" s="27"/>
      <c r="N730" s="35"/>
      <c r="O730" s="37" t="str">
        <f aca="false">IF(OR(D730="",D730=0,N730=""),"",N730/D730)</f>
        <v/>
      </c>
      <c r="P730" s="19" t="str">
        <f aca="false">IF(O730="","",IF(O730&gt;0.25,"ACRÉSCIMO ACIMA DE 25% — conferir",""))</f>
        <v/>
      </c>
      <c r="Q730" s="27"/>
      <c r="R730" s="5"/>
    </row>
    <row r="731" customFormat="false" ht="15" hidden="false" customHeight="false" outlineLevel="0" collapsed="false">
      <c r="A731" s="27"/>
      <c r="B731" s="5"/>
      <c r="C731" s="5"/>
      <c r="D731" s="35"/>
      <c r="E731" s="14"/>
      <c r="F731" s="18"/>
      <c r="G731" s="31" t="str">
        <f aca="false">IF(A731="","",IFERROR(IF(INDEX(Empresas!$C:$C,MATCH(A731,Empresas!$A:$A,0))="","",INDEX(Empresas!$C:$C,MATCH(A731,Empresas!$A:$A,0))),""))</f>
        <v/>
      </c>
      <c r="H731" s="18"/>
      <c r="I731" s="19" t="str">
        <f aca="false">IF(OR(F731="",G731=""),"",IF(F731-G731&lt;0,"CONTRATO ANTERIOR À ABERTURA — conferir datas",IF(F731-G731&lt;180,"ABERTA MENOS DE 6 MESES ANTES","")))</f>
        <v/>
      </c>
      <c r="J731" s="19" t="str">
        <f aca="false">IF(A731="","",IFERROR(INDEX(Sancoes!$B:$B,MATCH(A731,Sancoes!$A:$A,0))&amp;"","não consta"))</f>
        <v/>
      </c>
      <c r="K731" s="19" t="str">
        <f aca="false">IF(OR(A731="",F731=""),"",IF(SUMPRODUCT((Sancoes!$A$2:$A$301=A731)*(Sancoes!$B$2:$B$301&lt;&gt;"Não consta")*(Sancoes!$D$2:$D$301&lt;&gt;"")*(Sancoes!$D$2:$D$301&lt;=F731)*(((Sancoes!$E$2:$E$301="")+(Sancoes!$E$2:$E$301&gt;=F731))&gt;0))&gt;0,"SANÇÃO VIGENTE NA DATA — leia o tipo e a abrangência",""))</f>
        <v/>
      </c>
      <c r="L731" s="19" t="str">
        <f aca="false">IF(A731="","",IFERROR(INDEX(Empresas!$B:$B,MATCH(A731,Empresas!$A:$A,0))&amp;"","cadastre o CNPJ em Empresas"))</f>
        <v/>
      </c>
      <c r="M731" s="27"/>
      <c r="N731" s="35"/>
      <c r="O731" s="37" t="str">
        <f aca="false">IF(OR(D731="",D731=0,N731=""),"",N731/D731)</f>
        <v/>
      </c>
      <c r="P731" s="19" t="str">
        <f aca="false">IF(O731="","",IF(O731&gt;0.25,"ACRÉSCIMO ACIMA DE 25% — conferir",""))</f>
        <v/>
      </c>
      <c r="Q731" s="27"/>
      <c r="R731" s="5"/>
    </row>
    <row r="732" customFormat="false" ht="15" hidden="false" customHeight="false" outlineLevel="0" collapsed="false">
      <c r="A732" s="27"/>
      <c r="B732" s="5"/>
      <c r="C732" s="5"/>
      <c r="D732" s="35"/>
      <c r="E732" s="14"/>
      <c r="F732" s="18"/>
      <c r="G732" s="31" t="str">
        <f aca="false">IF(A732="","",IFERROR(IF(INDEX(Empresas!$C:$C,MATCH(A732,Empresas!$A:$A,0))="","",INDEX(Empresas!$C:$C,MATCH(A732,Empresas!$A:$A,0))),""))</f>
        <v/>
      </c>
      <c r="H732" s="18"/>
      <c r="I732" s="19" t="str">
        <f aca="false">IF(OR(F732="",G732=""),"",IF(F732-G732&lt;0,"CONTRATO ANTERIOR À ABERTURA — conferir datas",IF(F732-G732&lt;180,"ABERTA MENOS DE 6 MESES ANTES","")))</f>
        <v/>
      </c>
      <c r="J732" s="19" t="str">
        <f aca="false">IF(A732="","",IFERROR(INDEX(Sancoes!$B:$B,MATCH(A732,Sancoes!$A:$A,0))&amp;"","não consta"))</f>
        <v/>
      </c>
      <c r="K732" s="19" t="str">
        <f aca="false">IF(OR(A732="",F732=""),"",IF(SUMPRODUCT((Sancoes!$A$2:$A$301=A732)*(Sancoes!$B$2:$B$301&lt;&gt;"Não consta")*(Sancoes!$D$2:$D$301&lt;&gt;"")*(Sancoes!$D$2:$D$301&lt;=F732)*(((Sancoes!$E$2:$E$301="")+(Sancoes!$E$2:$E$301&gt;=F732))&gt;0))&gt;0,"SANÇÃO VIGENTE NA DATA — leia o tipo e a abrangência",""))</f>
        <v/>
      </c>
      <c r="L732" s="19" t="str">
        <f aca="false">IF(A732="","",IFERROR(INDEX(Empresas!$B:$B,MATCH(A732,Empresas!$A:$A,0))&amp;"","cadastre o CNPJ em Empresas"))</f>
        <v/>
      </c>
      <c r="M732" s="27"/>
      <c r="N732" s="35"/>
      <c r="O732" s="37" t="str">
        <f aca="false">IF(OR(D732="",D732=0,N732=""),"",N732/D732)</f>
        <v/>
      </c>
      <c r="P732" s="19" t="str">
        <f aca="false">IF(O732="","",IF(O732&gt;0.25,"ACRÉSCIMO ACIMA DE 25% — conferir",""))</f>
        <v/>
      </c>
      <c r="Q732" s="27"/>
      <c r="R732" s="5"/>
    </row>
    <row r="733" customFormat="false" ht="15" hidden="false" customHeight="false" outlineLevel="0" collapsed="false">
      <c r="A733" s="27"/>
      <c r="B733" s="5"/>
      <c r="C733" s="5"/>
      <c r="D733" s="35"/>
      <c r="E733" s="14"/>
      <c r="F733" s="18"/>
      <c r="G733" s="31" t="str">
        <f aca="false">IF(A733="","",IFERROR(IF(INDEX(Empresas!$C:$C,MATCH(A733,Empresas!$A:$A,0))="","",INDEX(Empresas!$C:$C,MATCH(A733,Empresas!$A:$A,0))),""))</f>
        <v/>
      </c>
      <c r="H733" s="18"/>
      <c r="I733" s="19" t="str">
        <f aca="false">IF(OR(F733="",G733=""),"",IF(F733-G733&lt;0,"CONTRATO ANTERIOR À ABERTURA — conferir datas",IF(F733-G733&lt;180,"ABERTA MENOS DE 6 MESES ANTES","")))</f>
        <v/>
      </c>
      <c r="J733" s="19" t="str">
        <f aca="false">IF(A733="","",IFERROR(INDEX(Sancoes!$B:$B,MATCH(A733,Sancoes!$A:$A,0))&amp;"","não consta"))</f>
        <v/>
      </c>
      <c r="K733" s="19" t="str">
        <f aca="false">IF(OR(A733="",F733=""),"",IF(SUMPRODUCT((Sancoes!$A$2:$A$301=A733)*(Sancoes!$B$2:$B$301&lt;&gt;"Não consta")*(Sancoes!$D$2:$D$301&lt;&gt;"")*(Sancoes!$D$2:$D$301&lt;=F733)*(((Sancoes!$E$2:$E$301="")+(Sancoes!$E$2:$E$301&gt;=F733))&gt;0))&gt;0,"SANÇÃO VIGENTE NA DATA — leia o tipo e a abrangência",""))</f>
        <v/>
      </c>
      <c r="L733" s="19" t="str">
        <f aca="false">IF(A733="","",IFERROR(INDEX(Empresas!$B:$B,MATCH(A733,Empresas!$A:$A,0))&amp;"","cadastre o CNPJ em Empresas"))</f>
        <v/>
      </c>
      <c r="M733" s="27"/>
      <c r="N733" s="35"/>
      <c r="O733" s="37" t="str">
        <f aca="false">IF(OR(D733="",D733=0,N733=""),"",N733/D733)</f>
        <v/>
      </c>
      <c r="P733" s="19" t="str">
        <f aca="false">IF(O733="","",IF(O733&gt;0.25,"ACRÉSCIMO ACIMA DE 25% — conferir",""))</f>
        <v/>
      </c>
      <c r="Q733" s="27"/>
      <c r="R733" s="5"/>
    </row>
    <row r="734" customFormat="false" ht="15" hidden="false" customHeight="false" outlineLevel="0" collapsed="false">
      <c r="A734" s="27"/>
      <c r="B734" s="5"/>
      <c r="C734" s="5"/>
      <c r="D734" s="35"/>
      <c r="E734" s="14"/>
      <c r="F734" s="18"/>
      <c r="G734" s="31" t="str">
        <f aca="false">IF(A734="","",IFERROR(IF(INDEX(Empresas!$C:$C,MATCH(A734,Empresas!$A:$A,0))="","",INDEX(Empresas!$C:$C,MATCH(A734,Empresas!$A:$A,0))),""))</f>
        <v/>
      </c>
      <c r="H734" s="18"/>
      <c r="I734" s="19" t="str">
        <f aca="false">IF(OR(F734="",G734=""),"",IF(F734-G734&lt;0,"CONTRATO ANTERIOR À ABERTURA — conferir datas",IF(F734-G734&lt;180,"ABERTA MENOS DE 6 MESES ANTES","")))</f>
        <v/>
      </c>
      <c r="J734" s="19" t="str">
        <f aca="false">IF(A734="","",IFERROR(INDEX(Sancoes!$B:$B,MATCH(A734,Sancoes!$A:$A,0))&amp;"","não consta"))</f>
        <v/>
      </c>
      <c r="K734" s="19" t="str">
        <f aca="false">IF(OR(A734="",F734=""),"",IF(SUMPRODUCT((Sancoes!$A$2:$A$301=A734)*(Sancoes!$B$2:$B$301&lt;&gt;"Não consta")*(Sancoes!$D$2:$D$301&lt;&gt;"")*(Sancoes!$D$2:$D$301&lt;=F734)*(((Sancoes!$E$2:$E$301="")+(Sancoes!$E$2:$E$301&gt;=F734))&gt;0))&gt;0,"SANÇÃO VIGENTE NA DATA — leia o tipo e a abrangência",""))</f>
        <v/>
      </c>
      <c r="L734" s="19" t="str">
        <f aca="false">IF(A734="","",IFERROR(INDEX(Empresas!$B:$B,MATCH(A734,Empresas!$A:$A,0))&amp;"","cadastre o CNPJ em Empresas"))</f>
        <v/>
      </c>
      <c r="M734" s="27"/>
      <c r="N734" s="35"/>
      <c r="O734" s="37" t="str">
        <f aca="false">IF(OR(D734="",D734=0,N734=""),"",N734/D734)</f>
        <v/>
      </c>
      <c r="P734" s="19" t="str">
        <f aca="false">IF(O734="","",IF(O734&gt;0.25,"ACRÉSCIMO ACIMA DE 25% — conferir",""))</f>
        <v/>
      </c>
      <c r="Q734" s="27"/>
      <c r="R734" s="5"/>
    </row>
    <row r="735" customFormat="false" ht="15" hidden="false" customHeight="false" outlineLevel="0" collapsed="false">
      <c r="A735" s="27"/>
      <c r="B735" s="5"/>
      <c r="C735" s="5"/>
      <c r="D735" s="35"/>
      <c r="E735" s="14"/>
      <c r="F735" s="18"/>
      <c r="G735" s="31" t="str">
        <f aca="false">IF(A735="","",IFERROR(IF(INDEX(Empresas!$C:$C,MATCH(A735,Empresas!$A:$A,0))="","",INDEX(Empresas!$C:$C,MATCH(A735,Empresas!$A:$A,0))),""))</f>
        <v/>
      </c>
      <c r="H735" s="18"/>
      <c r="I735" s="19" t="str">
        <f aca="false">IF(OR(F735="",G735=""),"",IF(F735-G735&lt;0,"CONTRATO ANTERIOR À ABERTURA — conferir datas",IF(F735-G735&lt;180,"ABERTA MENOS DE 6 MESES ANTES","")))</f>
        <v/>
      </c>
      <c r="J735" s="19" t="str">
        <f aca="false">IF(A735="","",IFERROR(INDEX(Sancoes!$B:$B,MATCH(A735,Sancoes!$A:$A,0))&amp;"","não consta"))</f>
        <v/>
      </c>
      <c r="K735" s="19" t="str">
        <f aca="false">IF(OR(A735="",F735=""),"",IF(SUMPRODUCT((Sancoes!$A$2:$A$301=A735)*(Sancoes!$B$2:$B$301&lt;&gt;"Não consta")*(Sancoes!$D$2:$D$301&lt;&gt;"")*(Sancoes!$D$2:$D$301&lt;=F735)*(((Sancoes!$E$2:$E$301="")+(Sancoes!$E$2:$E$301&gt;=F735))&gt;0))&gt;0,"SANÇÃO VIGENTE NA DATA — leia o tipo e a abrangência",""))</f>
        <v/>
      </c>
      <c r="L735" s="19" t="str">
        <f aca="false">IF(A735="","",IFERROR(INDEX(Empresas!$B:$B,MATCH(A735,Empresas!$A:$A,0))&amp;"","cadastre o CNPJ em Empresas"))</f>
        <v/>
      </c>
      <c r="M735" s="27"/>
      <c r="N735" s="35"/>
      <c r="O735" s="37" t="str">
        <f aca="false">IF(OR(D735="",D735=0,N735=""),"",N735/D735)</f>
        <v/>
      </c>
      <c r="P735" s="19" t="str">
        <f aca="false">IF(O735="","",IF(O735&gt;0.25,"ACRÉSCIMO ACIMA DE 25% — conferir",""))</f>
        <v/>
      </c>
      <c r="Q735" s="27"/>
      <c r="R735" s="5"/>
    </row>
    <row r="736" customFormat="false" ht="15" hidden="false" customHeight="false" outlineLevel="0" collapsed="false">
      <c r="A736" s="27"/>
      <c r="B736" s="5"/>
      <c r="C736" s="5"/>
      <c r="D736" s="35"/>
      <c r="E736" s="14"/>
      <c r="F736" s="18"/>
      <c r="G736" s="31" t="str">
        <f aca="false">IF(A736="","",IFERROR(IF(INDEX(Empresas!$C:$C,MATCH(A736,Empresas!$A:$A,0))="","",INDEX(Empresas!$C:$C,MATCH(A736,Empresas!$A:$A,0))),""))</f>
        <v/>
      </c>
      <c r="H736" s="18"/>
      <c r="I736" s="19" t="str">
        <f aca="false">IF(OR(F736="",G736=""),"",IF(F736-G736&lt;0,"CONTRATO ANTERIOR À ABERTURA — conferir datas",IF(F736-G736&lt;180,"ABERTA MENOS DE 6 MESES ANTES","")))</f>
        <v/>
      </c>
      <c r="J736" s="19" t="str">
        <f aca="false">IF(A736="","",IFERROR(INDEX(Sancoes!$B:$B,MATCH(A736,Sancoes!$A:$A,0))&amp;"","não consta"))</f>
        <v/>
      </c>
      <c r="K736" s="19" t="str">
        <f aca="false">IF(OR(A736="",F736=""),"",IF(SUMPRODUCT((Sancoes!$A$2:$A$301=A736)*(Sancoes!$B$2:$B$301&lt;&gt;"Não consta")*(Sancoes!$D$2:$D$301&lt;&gt;"")*(Sancoes!$D$2:$D$301&lt;=F736)*(((Sancoes!$E$2:$E$301="")+(Sancoes!$E$2:$E$301&gt;=F736))&gt;0))&gt;0,"SANÇÃO VIGENTE NA DATA — leia o tipo e a abrangência",""))</f>
        <v/>
      </c>
      <c r="L736" s="19" t="str">
        <f aca="false">IF(A736="","",IFERROR(INDEX(Empresas!$B:$B,MATCH(A736,Empresas!$A:$A,0))&amp;"","cadastre o CNPJ em Empresas"))</f>
        <v/>
      </c>
      <c r="M736" s="27"/>
      <c r="N736" s="35"/>
      <c r="O736" s="37" t="str">
        <f aca="false">IF(OR(D736="",D736=0,N736=""),"",N736/D736)</f>
        <v/>
      </c>
      <c r="P736" s="19" t="str">
        <f aca="false">IF(O736="","",IF(O736&gt;0.25,"ACRÉSCIMO ACIMA DE 25% — conferir",""))</f>
        <v/>
      </c>
      <c r="Q736" s="27"/>
      <c r="R736" s="5"/>
    </row>
    <row r="737" customFormat="false" ht="15" hidden="false" customHeight="false" outlineLevel="0" collapsed="false">
      <c r="A737" s="27"/>
      <c r="B737" s="5"/>
      <c r="C737" s="5"/>
      <c r="D737" s="35"/>
      <c r="E737" s="14"/>
      <c r="F737" s="18"/>
      <c r="G737" s="31" t="str">
        <f aca="false">IF(A737="","",IFERROR(IF(INDEX(Empresas!$C:$C,MATCH(A737,Empresas!$A:$A,0))="","",INDEX(Empresas!$C:$C,MATCH(A737,Empresas!$A:$A,0))),""))</f>
        <v/>
      </c>
      <c r="H737" s="18"/>
      <c r="I737" s="19" t="str">
        <f aca="false">IF(OR(F737="",G737=""),"",IF(F737-G737&lt;0,"CONTRATO ANTERIOR À ABERTURA — conferir datas",IF(F737-G737&lt;180,"ABERTA MENOS DE 6 MESES ANTES","")))</f>
        <v/>
      </c>
      <c r="J737" s="19" t="str">
        <f aca="false">IF(A737="","",IFERROR(INDEX(Sancoes!$B:$B,MATCH(A737,Sancoes!$A:$A,0))&amp;"","não consta"))</f>
        <v/>
      </c>
      <c r="K737" s="19" t="str">
        <f aca="false">IF(OR(A737="",F737=""),"",IF(SUMPRODUCT((Sancoes!$A$2:$A$301=A737)*(Sancoes!$B$2:$B$301&lt;&gt;"Não consta")*(Sancoes!$D$2:$D$301&lt;&gt;"")*(Sancoes!$D$2:$D$301&lt;=F737)*(((Sancoes!$E$2:$E$301="")+(Sancoes!$E$2:$E$301&gt;=F737))&gt;0))&gt;0,"SANÇÃO VIGENTE NA DATA — leia o tipo e a abrangência",""))</f>
        <v/>
      </c>
      <c r="L737" s="19" t="str">
        <f aca="false">IF(A737="","",IFERROR(INDEX(Empresas!$B:$B,MATCH(A737,Empresas!$A:$A,0))&amp;"","cadastre o CNPJ em Empresas"))</f>
        <v/>
      </c>
      <c r="M737" s="27"/>
      <c r="N737" s="35"/>
      <c r="O737" s="37" t="str">
        <f aca="false">IF(OR(D737="",D737=0,N737=""),"",N737/D737)</f>
        <v/>
      </c>
      <c r="P737" s="19" t="str">
        <f aca="false">IF(O737="","",IF(O737&gt;0.25,"ACRÉSCIMO ACIMA DE 25% — conferir",""))</f>
        <v/>
      </c>
      <c r="Q737" s="27"/>
      <c r="R737" s="5"/>
    </row>
    <row r="738" customFormat="false" ht="15" hidden="false" customHeight="false" outlineLevel="0" collapsed="false">
      <c r="A738" s="27"/>
      <c r="B738" s="5"/>
      <c r="C738" s="5"/>
      <c r="D738" s="35"/>
      <c r="E738" s="14"/>
      <c r="F738" s="18"/>
      <c r="G738" s="31" t="str">
        <f aca="false">IF(A738="","",IFERROR(IF(INDEX(Empresas!$C:$C,MATCH(A738,Empresas!$A:$A,0))="","",INDEX(Empresas!$C:$C,MATCH(A738,Empresas!$A:$A,0))),""))</f>
        <v/>
      </c>
      <c r="H738" s="18"/>
      <c r="I738" s="19" t="str">
        <f aca="false">IF(OR(F738="",G738=""),"",IF(F738-G738&lt;0,"CONTRATO ANTERIOR À ABERTURA — conferir datas",IF(F738-G738&lt;180,"ABERTA MENOS DE 6 MESES ANTES","")))</f>
        <v/>
      </c>
      <c r="J738" s="19" t="str">
        <f aca="false">IF(A738="","",IFERROR(INDEX(Sancoes!$B:$B,MATCH(A738,Sancoes!$A:$A,0))&amp;"","não consta"))</f>
        <v/>
      </c>
      <c r="K738" s="19" t="str">
        <f aca="false">IF(OR(A738="",F738=""),"",IF(SUMPRODUCT((Sancoes!$A$2:$A$301=A738)*(Sancoes!$B$2:$B$301&lt;&gt;"Não consta")*(Sancoes!$D$2:$D$301&lt;&gt;"")*(Sancoes!$D$2:$D$301&lt;=F738)*(((Sancoes!$E$2:$E$301="")+(Sancoes!$E$2:$E$301&gt;=F738))&gt;0))&gt;0,"SANÇÃO VIGENTE NA DATA — leia o tipo e a abrangência",""))</f>
        <v/>
      </c>
      <c r="L738" s="19" t="str">
        <f aca="false">IF(A738="","",IFERROR(INDEX(Empresas!$B:$B,MATCH(A738,Empresas!$A:$A,0))&amp;"","cadastre o CNPJ em Empresas"))</f>
        <v/>
      </c>
      <c r="M738" s="27"/>
      <c r="N738" s="35"/>
      <c r="O738" s="37" t="str">
        <f aca="false">IF(OR(D738="",D738=0,N738=""),"",N738/D738)</f>
        <v/>
      </c>
      <c r="P738" s="19" t="str">
        <f aca="false">IF(O738="","",IF(O738&gt;0.25,"ACRÉSCIMO ACIMA DE 25% — conferir",""))</f>
        <v/>
      </c>
      <c r="Q738" s="27"/>
      <c r="R738" s="5"/>
    </row>
    <row r="739" customFormat="false" ht="15" hidden="false" customHeight="false" outlineLevel="0" collapsed="false">
      <c r="A739" s="27"/>
      <c r="B739" s="5"/>
      <c r="C739" s="5"/>
      <c r="D739" s="35"/>
      <c r="E739" s="14"/>
      <c r="F739" s="18"/>
      <c r="G739" s="31" t="str">
        <f aca="false">IF(A739="","",IFERROR(IF(INDEX(Empresas!$C:$C,MATCH(A739,Empresas!$A:$A,0))="","",INDEX(Empresas!$C:$C,MATCH(A739,Empresas!$A:$A,0))),""))</f>
        <v/>
      </c>
      <c r="H739" s="18"/>
      <c r="I739" s="19" t="str">
        <f aca="false">IF(OR(F739="",G739=""),"",IF(F739-G739&lt;0,"CONTRATO ANTERIOR À ABERTURA — conferir datas",IF(F739-G739&lt;180,"ABERTA MENOS DE 6 MESES ANTES","")))</f>
        <v/>
      </c>
      <c r="J739" s="19" t="str">
        <f aca="false">IF(A739="","",IFERROR(INDEX(Sancoes!$B:$B,MATCH(A739,Sancoes!$A:$A,0))&amp;"","não consta"))</f>
        <v/>
      </c>
      <c r="K739" s="19" t="str">
        <f aca="false">IF(OR(A739="",F739=""),"",IF(SUMPRODUCT((Sancoes!$A$2:$A$301=A739)*(Sancoes!$B$2:$B$301&lt;&gt;"Não consta")*(Sancoes!$D$2:$D$301&lt;&gt;"")*(Sancoes!$D$2:$D$301&lt;=F739)*(((Sancoes!$E$2:$E$301="")+(Sancoes!$E$2:$E$301&gt;=F739))&gt;0))&gt;0,"SANÇÃO VIGENTE NA DATA — leia o tipo e a abrangência",""))</f>
        <v/>
      </c>
      <c r="L739" s="19" t="str">
        <f aca="false">IF(A739="","",IFERROR(INDEX(Empresas!$B:$B,MATCH(A739,Empresas!$A:$A,0))&amp;"","cadastre o CNPJ em Empresas"))</f>
        <v/>
      </c>
      <c r="M739" s="27"/>
      <c r="N739" s="35"/>
      <c r="O739" s="37" t="str">
        <f aca="false">IF(OR(D739="",D739=0,N739=""),"",N739/D739)</f>
        <v/>
      </c>
      <c r="P739" s="19" t="str">
        <f aca="false">IF(O739="","",IF(O739&gt;0.25,"ACRÉSCIMO ACIMA DE 25% — conferir",""))</f>
        <v/>
      </c>
      <c r="Q739" s="27"/>
      <c r="R739" s="5"/>
    </row>
    <row r="740" customFormat="false" ht="15" hidden="false" customHeight="false" outlineLevel="0" collapsed="false">
      <c r="A740" s="27"/>
      <c r="B740" s="5"/>
      <c r="C740" s="5"/>
      <c r="D740" s="35"/>
      <c r="E740" s="14"/>
      <c r="F740" s="18"/>
      <c r="G740" s="31" t="str">
        <f aca="false">IF(A740="","",IFERROR(IF(INDEX(Empresas!$C:$C,MATCH(A740,Empresas!$A:$A,0))="","",INDEX(Empresas!$C:$C,MATCH(A740,Empresas!$A:$A,0))),""))</f>
        <v/>
      </c>
      <c r="H740" s="18"/>
      <c r="I740" s="19" t="str">
        <f aca="false">IF(OR(F740="",G740=""),"",IF(F740-G740&lt;0,"CONTRATO ANTERIOR À ABERTURA — conferir datas",IF(F740-G740&lt;180,"ABERTA MENOS DE 6 MESES ANTES","")))</f>
        <v/>
      </c>
      <c r="J740" s="19" t="str">
        <f aca="false">IF(A740="","",IFERROR(INDEX(Sancoes!$B:$B,MATCH(A740,Sancoes!$A:$A,0))&amp;"","não consta"))</f>
        <v/>
      </c>
      <c r="K740" s="19" t="str">
        <f aca="false">IF(OR(A740="",F740=""),"",IF(SUMPRODUCT((Sancoes!$A$2:$A$301=A740)*(Sancoes!$B$2:$B$301&lt;&gt;"Não consta")*(Sancoes!$D$2:$D$301&lt;&gt;"")*(Sancoes!$D$2:$D$301&lt;=F740)*(((Sancoes!$E$2:$E$301="")+(Sancoes!$E$2:$E$301&gt;=F740))&gt;0))&gt;0,"SANÇÃO VIGENTE NA DATA — leia o tipo e a abrangência",""))</f>
        <v/>
      </c>
      <c r="L740" s="19" t="str">
        <f aca="false">IF(A740="","",IFERROR(INDEX(Empresas!$B:$B,MATCH(A740,Empresas!$A:$A,0))&amp;"","cadastre o CNPJ em Empresas"))</f>
        <v/>
      </c>
      <c r="M740" s="27"/>
      <c r="N740" s="35"/>
      <c r="O740" s="37" t="str">
        <f aca="false">IF(OR(D740="",D740=0,N740=""),"",N740/D740)</f>
        <v/>
      </c>
      <c r="P740" s="19" t="str">
        <f aca="false">IF(O740="","",IF(O740&gt;0.25,"ACRÉSCIMO ACIMA DE 25% — conferir",""))</f>
        <v/>
      </c>
      <c r="Q740" s="27"/>
      <c r="R740" s="5"/>
    </row>
    <row r="741" customFormat="false" ht="15" hidden="false" customHeight="false" outlineLevel="0" collapsed="false">
      <c r="A741" s="27"/>
      <c r="B741" s="5"/>
      <c r="C741" s="5"/>
      <c r="D741" s="35"/>
      <c r="E741" s="14"/>
      <c r="F741" s="18"/>
      <c r="G741" s="31" t="str">
        <f aca="false">IF(A741="","",IFERROR(IF(INDEX(Empresas!$C:$C,MATCH(A741,Empresas!$A:$A,0))="","",INDEX(Empresas!$C:$C,MATCH(A741,Empresas!$A:$A,0))),""))</f>
        <v/>
      </c>
      <c r="H741" s="18"/>
      <c r="I741" s="19" t="str">
        <f aca="false">IF(OR(F741="",G741=""),"",IF(F741-G741&lt;0,"CONTRATO ANTERIOR À ABERTURA — conferir datas",IF(F741-G741&lt;180,"ABERTA MENOS DE 6 MESES ANTES","")))</f>
        <v/>
      </c>
      <c r="J741" s="19" t="str">
        <f aca="false">IF(A741="","",IFERROR(INDEX(Sancoes!$B:$B,MATCH(A741,Sancoes!$A:$A,0))&amp;"","não consta"))</f>
        <v/>
      </c>
      <c r="K741" s="19" t="str">
        <f aca="false">IF(OR(A741="",F741=""),"",IF(SUMPRODUCT((Sancoes!$A$2:$A$301=A741)*(Sancoes!$B$2:$B$301&lt;&gt;"Não consta")*(Sancoes!$D$2:$D$301&lt;&gt;"")*(Sancoes!$D$2:$D$301&lt;=F741)*(((Sancoes!$E$2:$E$301="")+(Sancoes!$E$2:$E$301&gt;=F741))&gt;0))&gt;0,"SANÇÃO VIGENTE NA DATA — leia o tipo e a abrangência",""))</f>
        <v/>
      </c>
      <c r="L741" s="19" t="str">
        <f aca="false">IF(A741="","",IFERROR(INDEX(Empresas!$B:$B,MATCH(A741,Empresas!$A:$A,0))&amp;"","cadastre o CNPJ em Empresas"))</f>
        <v/>
      </c>
      <c r="M741" s="27"/>
      <c r="N741" s="35"/>
      <c r="O741" s="37" t="str">
        <f aca="false">IF(OR(D741="",D741=0,N741=""),"",N741/D741)</f>
        <v/>
      </c>
      <c r="P741" s="19" t="str">
        <f aca="false">IF(O741="","",IF(O741&gt;0.25,"ACRÉSCIMO ACIMA DE 25% — conferir",""))</f>
        <v/>
      </c>
      <c r="Q741" s="27"/>
      <c r="R741" s="5"/>
    </row>
    <row r="742" customFormat="false" ht="15" hidden="false" customHeight="false" outlineLevel="0" collapsed="false">
      <c r="A742" s="27"/>
      <c r="B742" s="5"/>
      <c r="C742" s="5"/>
      <c r="D742" s="35"/>
      <c r="E742" s="14"/>
      <c r="F742" s="18"/>
      <c r="G742" s="31" t="str">
        <f aca="false">IF(A742="","",IFERROR(IF(INDEX(Empresas!$C:$C,MATCH(A742,Empresas!$A:$A,0))="","",INDEX(Empresas!$C:$C,MATCH(A742,Empresas!$A:$A,0))),""))</f>
        <v/>
      </c>
      <c r="H742" s="18"/>
      <c r="I742" s="19" t="str">
        <f aca="false">IF(OR(F742="",G742=""),"",IF(F742-G742&lt;0,"CONTRATO ANTERIOR À ABERTURA — conferir datas",IF(F742-G742&lt;180,"ABERTA MENOS DE 6 MESES ANTES","")))</f>
        <v/>
      </c>
      <c r="J742" s="19" t="str">
        <f aca="false">IF(A742="","",IFERROR(INDEX(Sancoes!$B:$B,MATCH(A742,Sancoes!$A:$A,0))&amp;"","não consta"))</f>
        <v/>
      </c>
      <c r="K742" s="19" t="str">
        <f aca="false">IF(OR(A742="",F742=""),"",IF(SUMPRODUCT((Sancoes!$A$2:$A$301=A742)*(Sancoes!$B$2:$B$301&lt;&gt;"Não consta")*(Sancoes!$D$2:$D$301&lt;&gt;"")*(Sancoes!$D$2:$D$301&lt;=F742)*(((Sancoes!$E$2:$E$301="")+(Sancoes!$E$2:$E$301&gt;=F742))&gt;0))&gt;0,"SANÇÃO VIGENTE NA DATA — leia o tipo e a abrangência",""))</f>
        <v/>
      </c>
      <c r="L742" s="19" t="str">
        <f aca="false">IF(A742="","",IFERROR(INDEX(Empresas!$B:$B,MATCH(A742,Empresas!$A:$A,0))&amp;"","cadastre o CNPJ em Empresas"))</f>
        <v/>
      </c>
      <c r="M742" s="27"/>
      <c r="N742" s="35"/>
      <c r="O742" s="37" t="str">
        <f aca="false">IF(OR(D742="",D742=0,N742=""),"",N742/D742)</f>
        <v/>
      </c>
      <c r="P742" s="19" t="str">
        <f aca="false">IF(O742="","",IF(O742&gt;0.25,"ACRÉSCIMO ACIMA DE 25% — conferir",""))</f>
        <v/>
      </c>
      <c r="Q742" s="27"/>
      <c r="R742" s="5"/>
    </row>
    <row r="743" customFormat="false" ht="15" hidden="false" customHeight="false" outlineLevel="0" collapsed="false">
      <c r="A743" s="27"/>
      <c r="B743" s="5"/>
      <c r="C743" s="5"/>
      <c r="D743" s="35"/>
      <c r="E743" s="14"/>
      <c r="F743" s="18"/>
      <c r="G743" s="31" t="str">
        <f aca="false">IF(A743="","",IFERROR(IF(INDEX(Empresas!$C:$C,MATCH(A743,Empresas!$A:$A,0))="","",INDEX(Empresas!$C:$C,MATCH(A743,Empresas!$A:$A,0))),""))</f>
        <v/>
      </c>
      <c r="H743" s="18"/>
      <c r="I743" s="19" t="str">
        <f aca="false">IF(OR(F743="",G743=""),"",IF(F743-G743&lt;0,"CONTRATO ANTERIOR À ABERTURA — conferir datas",IF(F743-G743&lt;180,"ABERTA MENOS DE 6 MESES ANTES","")))</f>
        <v/>
      </c>
      <c r="J743" s="19" t="str">
        <f aca="false">IF(A743="","",IFERROR(INDEX(Sancoes!$B:$B,MATCH(A743,Sancoes!$A:$A,0))&amp;"","não consta"))</f>
        <v/>
      </c>
      <c r="K743" s="19" t="str">
        <f aca="false">IF(OR(A743="",F743=""),"",IF(SUMPRODUCT((Sancoes!$A$2:$A$301=A743)*(Sancoes!$B$2:$B$301&lt;&gt;"Não consta")*(Sancoes!$D$2:$D$301&lt;&gt;"")*(Sancoes!$D$2:$D$301&lt;=F743)*(((Sancoes!$E$2:$E$301="")+(Sancoes!$E$2:$E$301&gt;=F743))&gt;0))&gt;0,"SANÇÃO VIGENTE NA DATA — leia o tipo e a abrangência",""))</f>
        <v/>
      </c>
      <c r="L743" s="19" t="str">
        <f aca="false">IF(A743="","",IFERROR(INDEX(Empresas!$B:$B,MATCH(A743,Empresas!$A:$A,0))&amp;"","cadastre o CNPJ em Empresas"))</f>
        <v/>
      </c>
      <c r="M743" s="27"/>
      <c r="N743" s="35"/>
      <c r="O743" s="37" t="str">
        <f aca="false">IF(OR(D743="",D743=0,N743=""),"",N743/D743)</f>
        <v/>
      </c>
      <c r="P743" s="19" t="str">
        <f aca="false">IF(O743="","",IF(O743&gt;0.25,"ACRÉSCIMO ACIMA DE 25% — conferir",""))</f>
        <v/>
      </c>
      <c r="Q743" s="27"/>
      <c r="R743" s="5"/>
    </row>
    <row r="744" customFormat="false" ht="15" hidden="false" customHeight="false" outlineLevel="0" collapsed="false">
      <c r="A744" s="27"/>
      <c r="B744" s="5"/>
      <c r="C744" s="5"/>
      <c r="D744" s="35"/>
      <c r="E744" s="14"/>
      <c r="F744" s="18"/>
      <c r="G744" s="31" t="str">
        <f aca="false">IF(A744="","",IFERROR(IF(INDEX(Empresas!$C:$C,MATCH(A744,Empresas!$A:$A,0))="","",INDEX(Empresas!$C:$C,MATCH(A744,Empresas!$A:$A,0))),""))</f>
        <v/>
      </c>
      <c r="H744" s="18"/>
      <c r="I744" s="19" t="str">
        <f aca="false">IF(OR(F744="",G744=""),"",IF(F744-G744&lt;0,"CONTRATO ANTERIOR À ABERTURA — conferir datas",IF(F744-G744&lt;180,"ABERTA MENOS DE 6 MESES ANTES","")))</f>
        <v/>
      </c>
      <c r="J744" s="19" t="str">
        <f aca="false">IF(A744="","",IFERROR(INDEX(Sancoes!$B:$B,MATCH(A744,Sancoes!$A:$A,0))&amp;"","não consta"))</f>
        <v/>
      </c>
      <c r="K744" s="19" t="str">
        <f aca="false">IF(OR(A744="",F744=""),"",IF(SUMPRODUCT((Sancoes!$A$2:$A$301=A744)*(Sancoes!$B$2:$B$301&lt;&gt;"Não consta")*(Sancoes!$D$2:$D$301&lt;&gt;"")*(Sancoes!$D$2:$D$301&lt;=F744)*(((Sancoes!$E$2:$E$301="")+(Sancoes!$E$2:$E$301&gt;=F744))&gt;0))&gt;0,"SANÇÃO VIGENTE NA DATA — leia o tipo e a abrangência",""))</f>
        <v/>
      </c>
      <c r="L744" s="19" t="str">
        <f aca="false">IF(A744="","",IFERROR(INDEX(Empresas!$B:$B,MATCH(A744,Empresas!$A:$A,0))&amp;"","cadastre o CNPJ em Empresas"))</f>
        <v/>
      </c>
      <c r="M744" s="27"/>
      <c r="N744" s="35"/>
      <c r="O744" s="37" t="str">
        <f aca="false">IF(OR(D744="",D744=0,N744=""),"",N744/D744)</f>
        <v/>
      </c>
      <c r="P744" s="19" t="str">
        <f aca="false">IF(O744="","",IF(O744&gt;0.25,"ACRÉSCIMO ACIMA DE 25% — conferir",""))</f>
        <v/>
      </c>
      <c r="Q744" s="27"/>
      <c r="R744" s="5"/>
    </row>
    <row r="745" customFormat="false" ht="15" hidden="false" customHeight="false" outlineLevel="0" collapsed="false">
      <c r="A745" s="27"/>
      <c r="B745" s="5"/>
      <c r="C745" s="5"/>
      <c r="D745" s="35"/>
      <c r="E745" s="14"/>
      <c r="F745" s="18"/>
      <c r="G745" s="31" t="str">
        <f aca="false">IF(A745="","",IFERROR(IF(INDEX(Empresas!$C:$C,MATCH(A745,Empresas!$A:$A,0))="","",INDEX(Empresas!$C:$C,MATCH(A745,Empresas!$A:$A,0))),""))</f>
        <v/>
      </c>
      <c r="H745" s="18"/>
      <c r="I745" s="19" t="str">
        <f aca="false">IF(OR(F745="",G745=""),"",IF(F745-G745&lt;0,"CONTRATO ANTERIOR À ABERTURA — conferir datas",IF(F745-G745&lt;180,"ABERTA MENOS DE 6 MESES ANTES","")))</f>
        <v/>
      </c>
      <c r="J745" s="19" t="str">
        <f aca="false">IF(A745="","",IFERROR(INDEX(Sancoes!$B:$B,MATCH(A745,Sancoes!$A:$A,0))&amp;"","não consta"))</f>
        <v/>
      </c>
      <c r="K745" s="19" t="str">
        <f aca="false">IF(OR(A745="",F745=""),"",IF(SUMPRODUCT((Sancoes!$A$2:$A$301=A745)*(Sancoes!$B$2:$B$301&lt;&gt;"Não consta")*(Sancoes!$D$2:$D$301&lt;&gt;"")*(Sancoes!$D$2:$D$301&lt;=F745)*(((Sancoes!$E$2:$E$301="")+(Sancoes!$E$2:$E$301&gt;=F745))&gt;0))&gt;0,"SANÇÃO VIGENTE NA DATA — leia o tipo e a abrangência",""))</f>
        <v/>
      </c>
      <c r="L745" s="19" t="str">
        <f aca="false">IF(A745="","",IFERROR(INDEX(Empresas!$B:$B,MATCH(A745,Empresas!$A:$A,0))&amp;"","cadastre o CNPJ em Empresas"))</f>
        <v/>
      </c>
      <c r="M745" s="27"/>
      <c r="N745" s="35"/>
      <c r="O745" s="37" t="str">
        <f aca="false">IF(OR(D745="",D745=0,N745=""),"",N745/D745)</f>
        <v/>
      </c>
      <c r="P745" s="19" t="str">
        <f aca="false">IF(O745="","",IF(O745&gt;0.25,"ACRÉSCIMO ACIMA DE 25% — conferir",""))</f>
        <v/>
      </c>
      <c r="Q745" s="27"/>
      <c r="R745" s="5"/>
    </row>
    <row r="746" customFormat="false" ht="15" hidden="false" customHeight="false" outlineLevel="0" collapsed="false">
      <c r="A746" s="27"/>
      <c r="B746" s="5"/>
      <c r="C746" s="5"/>
      <c r="D746" s="35"/>
      <c r="E746" s="14"/>
      <c r="F746" s="18"/>
      <c r="G746" s="31" t="str">
        <f aca="false">IF(A746="","",IFERROR(IF(INDEX(Empresas!$C:$C,MATCH(A746,Empresas!$A:$A,0))="","",INDEX(Empresas!$C:$C,MATCH(A746,Empresas!$A:$A,0))),""))</f>
        <v/>
      </c>
      <c r="H746" s="18"/>
      <c r="I746" s="19" t="str">
        <f aca="false">IF(OR(F746="",G746=""),"",IF(F746-G746&lt;0,"CONTRATO ANTERIOR À ABERTURA — conferir datas",IF(F746-G746&lt;180,"ABERTA MENOS DE 6 MESES ANTES","")))</f>
        <v/>
      </c>
      <c r="J746" s="19" t="str">
        <f aca="false">IF(A746="","",IFERROR(INDEX(Sancoes!$B:$B,MATCH(A746,Sancoes!$A:$A,0))&amp;"","não consta"))</f>
        <v/>
      </c>
      <c r="K746" s="19" t="str">
        <f aca="false">IF(OR(A746="",F746=""),"",IF(SUMPRODUCT((Sancoes!$A$2:$A$301=A746)*(Sancoes!$B$2:$B$301&lt;&gt;"Não consta")*(Sancoes!$D$2:$D$301&lt;&gt;"")*(Sancoes!$D$2:$D$301&lt;=F746)*(((Sancoes!$E$2:$E$301="")+(Sancoes!$E$2:$E$301&gt;=F746))&gt;0))&gt;0,"SANÇÃO VIGENTE NA DATA — leia o tipo e a abrangência",""))</f>
        <v/>
      </c>
      <c r="L746" s="19" t="str">
        <f aca="false">IF(A746="","",IFERROR(INDEX(Empresas!$B:$B,MATCH(A746,Empresas!$A:$A,0))&amp;"","cadastre o CNPJ em Empresas"))</f>
        <v/>
      </c>
      <c r="M746" s="27"/>
      <c r="N746" s="35"/>
      <c r="O746" s="37" t="str">
        <f aca="false">IF(OR(D746="",D746=0,N746=""),"",N746/D746)</f>
        <v/>
      </c>
      <c r="P746" s="19" t="str">
        <f aca="false">IF(O746="","",IF(O746&gt;0.25,"ACRÉSCIMO ACIMA DE 25% — conferir",""))</f>
        <v/>
      </c>
      <c r="Q746" s="27"/>
      <c r="R746" s="5"/>
    </row>
    <row r="747" customFormat="false" ht="15" hidden="false" customHeight="false" outlineLevel="0" collapsed="false">
      <c r="A747" s="27"/>
      <c r="B747" s="5"/>
      <c r="C747" s="5"/>
      <c r="D747" s="35"/>
      <c r="E747" s="14"/>
      <c r="F747" s="18"/>
      <c r="G747" s="31" t="str">
        <f aca="false">IF(A747="","",IFERROR(IF(INDEX(Empresas!$C:$C,MATCH(A747,Empresas!$A:$A,0))="","",INDEX(Empresas!$C:$C,MATCH(A747,Empresas!$A:$A,0))),""))</f>
        <v/>
      </c>
      <c r="H747" s="18"/>
      <c r="I747" s="19" t="str">
        <f aca="false">IF(OR(F747="",G747=""),"",IF(F747-G747&lt;0,"CONTRATO ANTERIOR À ABERTURA — conferir datas",IF(F747-G747&lt;180,"ABERTA MENOS DE 6 MESES ANTES","")))</f>
        <v/>
      </c>
      <c r="J747" s="19" t="str">
        <f aca="false">IF(A747="","",IFERROR(INDEX(Sancoes!$B:$B,MATCH(A747,Sancoes!$A:$A,0))&amp;"","não consta"))</f>
        <v/>
      </c>
      <c r="K747" s="19" t="str">
        <f aca="false">IF(OR(A747="",F747=""),"",IF(SUMPRODUCT((Sancoes!$A$2:$A$301=A747)*(Sancoes!$B$2:$B$301&lt;&gt;"Não consta")*(Sancoes!$D$2:$D$301&lt;&gt;"")*(Sancoes!$D$2:$D$301&lt;=F747)*(((Sancoes!$E$2:$E$301="")+(Sancoes!$E$2:$E$301&gt;=F747))&gt;0))&gt;0,"SANÇÃO VIGENTE NA DATA — leia o tipo e a abrangência",""))</f>
        <v/>
      </c>
      <c r="L747" s="19" t="str">
        <f aca="false">IF(A747="","",IFERROR(INDEX(Empresas!$B:$B,MATCH(A747,Empresas!$A:$A,0))&amp;"","cadastre o CNPJ em Empresas"))</f>
        <v/>
      </c>
      <c r="M747" s="27"/>
      <c r="N747" s="35"/>
      <c r="O747" s="37" t="str">
        <f aca="false">IF(OR(D747="",D747=0,N747=""),"",N747/D747)</f>
        <v/>
      </c>
      <c r="P747" s="19" t="str">
        <f aca="false">IF(O747="","",IF(O747&gt;0.25,"ACRÉSCIMO ACIMA DE 25% — conferir",""))</f>
        <v/>
      </c>
      <c r="Q747" s="27"/>
      <c r="R747" s="5"/>
    </row>
    <row r="748" customFormat="false" ht="15" hidden="false" customHeight="false" outlineLevel="0" collapsed="false">
      <c r="A748" s="27"/>
      <c r="B748" s="5"/>
      <c r="C748" s="5"/>
      <c r="D748" s="35"/>
      <c r="E748" s="14"/>
      <c r="F748" s="18"/>
      <c r="G748" s="31" t="str">
        <f aca="false">IF(A748="","",IFERROR(IF(INDEX(Empresas!$C:$C,MATCH(A748,Empresas!$A:$A,0))="","",INDEX(Empresas!$C:$C,MATCH(A748,Empresas!$A:$A,0))),""))</f>
        <v/>
      </c>
      <c r="H748" s="18"/>
      <c r="I748" s="19" t="str">
        <f aca="false">IF(OR(F748="",G748=""),"",IF(F748-G748&lt;0,"CONTRATO ANTERIOR À ABERTURA — conferir datas",IF(F748-G748&lt;180,"ABERTA MENOS DE 6 MESES ANTES","")))</f>
        <v/>
      </c>
      <c r="J748" s="19" t="str">
        <f aca="false">IF(A748="","",IFERROR(INDEX(Sancoes!$B:$B,MATCH(A748,Sancoes!$A:$A,0))&amp;"","não consta"))</f>
        <v/>
      </c>
      <c r="K748" s="19" t="str">
        <f aca="false">IF(OR(A748="",F748=""),"",IF(SUMPRODUCT((Sancoes!$A$2:$A$301=A748)*(Sancoes!$B$2:$B$301&lt;&gt;"Não consta")*(Sancoes!$D$2:$D$301&lt;&gt;"")*(Sancoes!$D$2:$D$301&lt;=F748)*(((Sancoes!$E$2:$E$301="")+(Sancoes!$E$2:$E$301&gt;=F748))&gt;0))&gt;0,"SANÇÃO VIGENTE NA DATA — leia o tipo e a abrangência",""))</f>
        <v/>
      </c>
      <c r="L748" s="19" t="str">
        <f aca="false">IF(A748="","",IFERROR(INDEX(Empresas!$B:$B,MATCH(A748,Empresas!$A:$A,0))&amp;"","cadastre o CNPJ em Empresas"))</f>
        <v/>
      </c>
      <c r="M748" s="27"/>
      <c r="N748" s="35"/>
      <c r="O748" s="37" t="str">
        <f aca="false">IF(OR(D748="",D748=0,N748=""),"",N748/D748)</f>
        <v/>
      </c>
      <c r="P748" s="19" t="str">
        <f aca="false">IF(O748="","",IF(O748&gt;0.25,"ACRÉSCIMO ACIMA DE 25% — conferir",""))</f>
        <v/>
      </c>
      <c r="Q748" s="27"/>
      <c r="R748" s="5"/>
    </row>
    <row r="749" customFormat="false" ht="15" hidden="false" customHeight="false" outlineLevel="0" collapsed="false">
      <c r="A749" s="27"/>
      <c r="B749" s="5"/>
      <c r="C749" s="5"/>
      <c r="D749" s="35"/>
      <c r="E749" s="14"/>
      <c r="F749" s="18"/>
      <c r="G749" s="31" t="str">
        <f aca="false">IF(A749="","",IFERROR(IF(INDEX(Empresas!$C:$C,MATCH(A749,Empresas!$A:$A,0))="","",INDEX(Empresas!$C:$C,MATCH(A749,Empresas!$A:$A,0))),""))</f>
        <v/>
      </c>
      <c r="H749" s="18"/>
      <c r="I749" s="19" t="str">
        <f aca="false">IF(OR(F749="",G749=""),"",IF(F749-G749&lt;0,"CONTRATO ANTERIOR À ABERTURA — conferir datas",IF(F749-G749&lt;180,"ABERTA MENOS DE 6 MESES ANTES","")))</f>
        <v/>
      </c>
      <c r="J749" s="19" t="str">
        <f aca="false">IF(A749="","",IFERROR(INDEX(Sancoes!$B:$B,MATCH(A749,Sancoes!$A:$A,0))&amp;"","não consta"))</f>
        <v/>
      </c>
      <c r="K749" s="19" t="str">
        <f aca="false">IF(OR(A749="",F749=""),"",IF(SUMPRODUCT((Sancoes!$A$2:$A$301=A749)*(Sancoes!$B$2:$B$301&lt;&gt;"Não consta")*(Sancoes!$D$2:$D$301&lt;&gt;"")*(Sancoes!$D$2:$D$301&lt;=F749)*(((Sancoes!$E$2:$E$301="")+(Sancoes!$E$2:$E$301&gt;=F749))&gt;0))&gt;0,"SANÇÃO VIGENTE NA DATA — leia o tipo e a abrangência",""))</f>
        <v/>
      </c>
      <c r="L749" s="19" t="str">
        <f aca="false">IF(A749="","",IFERROR(INDEX(Empresas!$B:$B,MATCH(A749,Empresas!$A:$A,0))&amp;"","cadastre o CNPJ em Empresas"))</f>
        <v/>
      </c>
      <c r="M749" s="27"/>
      <c r="N749" s="35"/>
      <c r="O749" s="37" t="str">
        <f aca="false">IF(OR(D749="",D749=0,N749=""),"",N749/D749)</f>
        <v/>
      </c>
      <c r="P749" s="19" t="str">
        <f aca="false">IF(O749="","",IF(O749&gt;0.25,"ACRÉSCIMO ACIMA DE 25% — conferir",""))</f>
        <v/>
      </c>
      <c r="Q749" s="27"/>
      <c r="R749" s="5"/>
    </row>
    <row r="750" customFormat="false" ht="15" hidden="false" customHeight="false" outlineLevel="0" collapsed="false">
      <c r="A750" s="27"/>
      <c r="B750" s="5"/>
      <c r="C750" s="5"/>
      <c r="D750" s="35"/>
      <c r="E750" s="14"/>
      <c r="F750" s="18"/>
      <c r="G750" s="31" t="str">
        <f aca="false">IF(A750="","",IFERROR(IF(INDEX(Empresas!$C:$C,MATCH(A750,Empresas!$A:$A,0))="","",INDEX(Empresas!$C:$C,MATCH(A750,Empresas!$A:$A,0))),""))</f>
        <v/>
      </c>
      <c r="H750" s="18"/>
      <c r="I750" s="19" t="str">
        <f aca="false">IF(OR(F750="",G750=""),"",IF(F750-G750&lt;0,"CONTRATO ANTERIOR À ABERTURA — conferir datas",IF(F750-G750&lt;180,"ABERTA MENOS DE 6 MESES ANTES","")))</f>
        <v/>
      </c>
      <c r="J750" s="19" t="str">
        <f aca="false">IF(A750="","",IFERROR(INDEX(Sancoes!$B:$B,MATCH(A750,Sancoes!$A:$A,0))&amp;"","não consta"))</f>
        <v/>
      </c>
      <c r="K750" s="19" t="str">
        <f aca="false">IF(OR(A750="",F750=""),"",IF(SUMPRODUCT((Sancoes!$A$2:$A$301=A750)*(Sancoes!$B$2:$B$301&lt;&gt;"Não consta")*(Sancoes!$D$2:$D$301&lt;&gt;"")*(Sancoes!$D$2:$D$301&lt;=F750)*(((Sancoes!$E$2:$E$301="")+(Sancoes!$E$2:$E$301&gt;=F750))&gt;0))&gt;0,"SANÇÃO VIGENTE NA DATA — leia o tipo e a abrangência",""))</f>
        <v/>
      </c>
      <c r="L750" s="19" t="str">
        <f aca="false">IF(A750="","",IFERROR(INDEX(Empresas!$B:$B,MATCH(A750,Empresas!$A:$A,0))&amp;"","cadastre o CNPJ em Empresas"))</f>
        <v/>
      </c>
      <c r="M750" s="27"/>
      <c r="N750" s="35"/>
      <c r="O750" s="37" t="str">
        <f aca="false">IF(OR(D750="",D750=0,N750=""),"",N750/D750)</f>
        <v/>
      </c>
      <c r="P750" s="19" t="str">
        <f aca="false">IF(O750="","",IF(O750&gt;0.25,"ACRÉSCIMO ACIMA DE 25% — conferir",""))</f>
        <v/>
      </c>
      <c r="Q750" s="27"/>
      <c r="R750" s="5"/>
    </row>
    <row r="751" customFormat="false" ht="15" hidden="false" customHeight="false" outlineLevel="0" collapsed="false">
      <c r="A751" s="27"/>
      <c r="B751" s="5"/>
      <c r="C751" s="5"/>
      <c r="D751" s="35"/>
      <c r="E751" s="14"/>
      <c r="F751" s="18"/>
      <c r="G751" s="31" t="str">
        <f aca="false">IF(A751="","",IFERROR(IF(INDEX(Empresas!$C:$C,MATCH(A751,Empresas!$A:$A,0))="","",INDEX(Empresas!$C:$C,MATCH(A751,Empresas!$A:$A,0))),""))</f>
        <v/>
      </c>
      <c r="H751" s="18"/>
      <c r="I751" s="19" t="str">
        <f aca="false">IF(OR(F751="",G751=""),"",IF(F751-G751&lt;0,"CONTRATO ANTERIOR À ABERTURA — conferir datas",IF(F751-G751&lt;180,"ABERTA MENOS DE 6 MESES ANTES","")))</f>
        <v/>
      </c>
      <c r="J751" s="19" t="str">
        <f aca="false">IF(A751="","",IFERROR(INDEX(Sancoes!$B:$B,MATCH(A751,Sancoes!$A:$A,0))&amp;"","não consta"))</f>
        <v/>
      </c>
      <c r="K751" s="19" t="str">
        <f aca="false">IF(OR(A751="",F751=""),"",IF(SUMPRODUCT((Sancoes!$A$2:$A$301=A751)*(Sancoes!$B$2:$B$301&lt;&gt;"Não consta")*(Sancoes!$D$2:$D$301&lt;&gt;"")*(Sancoes!$D$2:$D$301&lt;=F751)*(((Sancoes!$E$2:$E$301="")+(Sancoes!$E$2:$E$301&gt;=F751))&gt;0))&gt;0,"SANÇÃO VIGENTE NA DATA — leia o tipo e a abrangência",""))</f>
        <v/>
      </c>
      <c r="L751" s="19" t="str">
        <f aca="false">IF(A751="","",IFERROR(INDEX(Empresas!$B:$B,MATCH(A751,Empresas!$A:$A,0))&amp;"","cadastre o CNPJ em Empresas"))</f>
        <v/>
      </c>
      <c r="M751" s="27"/>
      <c r="N751" s="35"/>
      <c r="O751" s="37" t="str">
        <f aca="false">IF(OR(D751="",D751=0,N751=""),"",N751/D751)</f>
        <v/>
      </c>
      <c r="P751" s="19" t="str">
        <f aca="false">IF(O751="","",IF(O751&gt;0.25,"ACRÉSCIMO ACIMA DE 25% — conferir",""))</f>
        <v/>
      </c>
      <c r="Q751" s="27"/>
      <c r="R751" s="5"/>
    </row>
    <row r="752" customFormat="false" ht="15" hidden="false" customHeight="false" outlineLevel="0" collapsed="false">
      <c r="A752" s="27"/>
      <c r="B752" s="5"/>
      <c r="C752" s="5"/>
      <c r="D752" s="35"/>
      <c r="E752" s="14"/>
      <c r="F752" s="18"/>
      <c r="G752" s="31" t="str">
        <f aca="false">IF(A752="","",IFERROR(IF(INDEX(Empresas!$C:$C,MATCH(A752,Empresas!$A:$A,0))="","",INDEX(Empresas!$C:$C,MATCH(A752,Empresas!$A:$A,0))),""))</f>
        <v/>
      </c>
      <c r="H752" s="18"/>
      <c r="I752" s="19" t="str">
        <f aca="false">IF(OR(F752="",G752=""),"",IF(F752-G752&lt;0,"CONTRATO ANTERIOR À ABERTURA — conferir datas",IF(F752-G752&lt;180,"ABERTA MENOS DE 6 MESES ANTES","")))</f>
        <v/>
      </c>
      <c r="J752" s="19" t="str">
        <f aca="false">IF(A752="","",IFERROR(INDEX(Sancoes!$B:$B,MATCH(A752,Sancoes!$A:$A,0))&amp;"","não consta"))</f>
        <v/>
      </c>
      <c r="K752" s="19" t="str">
        <f aca="false">IF(OR(A752="",F752=""),"",IF(SUMPRODUCT((Sancoes!$A$2:$A$301=A752)*(Sancoes!$B$2:$B$301&lt;&gt;"Não consta")*(Sancoes!$D$2:$D$301&lt;&gt;"")*(Sancoes!$D$2:$D$301&lt;=F752)*(((Sancoes!$E$2:$E$301="")+(Sancoes!$E$2:$E$301&gt;=F752))&gt;0))&gt;0,"SANÇÃO VIGENTE NA DATA — leia o tipo e a abrangência",""))</f>
        <v/>
      </c>
      <c r="L752" s="19" t="str">
        <f aca="false">IF(A752="","",IFERROR(INDEX(Empresas!$B:$B,MATCH(A752,Empresas!$A:$A,0))&amp;"","cadastre o CNPJ em Empresas"))</f>
        <v/>
      </c>
      <c r="M752" s="27"/>
      <c r="N752" s="35"/>
      <c r="O752" s="37" t="str">
        <f aca="false">IF(OR(D752="",D752=0,N752=""),"",N752/D752)</f>
        <v/>
      </c>
      <c r="P752" s="19" t="str">
        <f aca="false">IF(O752="","",IF(O752&gt;0.25,"ACRÉSCIMO ACIMA DE 25% — conferir",""))</f>
        <v/>
      </c>
      <c r="Q752" s="27"/>
      <c r="R752" s="5"/>
    </row>
    <row r="753" customFormat="false" ht="15" hidden="false" customHeight="false" outlineLevel="0" collapsed="false">
      <c r="A753" s="27"/>
      <c r="B753" s="5"/>
      <c r="C753" s="5"/>
      <c r="D753" s="35"/>
      <c r="E753" s="14"/>
      <c r="F753" s="18"/>
      <c r="G753" s="31" t="str">
        <f aca="false">IF(A753="","",IFERROR(IF(INDEX(Empresas!$C:$C,MATCH(A753,Empresas!$A:$A,0))="","",INDEX(Empresas!$C:$C,MATCH(A753,Empresas!$A:$A,0))),""))</f>
        <v/>
      </c>
      <c r="H753" s="18"/>
      <c r="I753" s="19" t="str">
        <f aca="false">IF(OR(F753="",G753=""),"",IF(F753-G753&lt;0,"CONTRATO ANTERIOR À ABERTURA — conferir datas",IF(F753-G753&lt;180,"ABERTA MENOS DE 6 MESES ANTES","")))</f>
        <v/>
      </c>
      <c r="J753" s="19" t="str">
        <f aca="false">IF(A753="","",IFERROR(INDEX(Sancoes!$B:$B,MATCH(A753,Sancoes!$A:$A,0))&amp;"","não consta"))</f>
        <v/>
      </c>
      <c r="K753" s="19" t="str">
        <f aca="false">IF(OR(A753="",F753=""),"",IF(SUMPRODUCT((Sancoes!$A$2:$A$301=A753)*(Sancoes!$B$2:$B$301&lt;&gt;"Não consta")*(Sancoes!$D$2:$D$301&lt;&gt;"")*(Sancoes!$D$2:$D$301&lt;=F753)*(((Sancoes!$E$2:$E$301="")+(Sancoes!$E$2:$E$301&gt;=F753))&gt;0))&gt;0,"SANÇÃO VIGENTE NA DATA — leia o tipo e a abrangência",""))</f>
        <v/>
      </c>
      <c r="L753" s="19" t="str">
        <f aca="false">IF(A753="","",IFERROR(INDEX(Empresas!$B:$B,MATCH(A753,Empresas!$A:$A,0))&amp;"","cadastre o CNPJ em Empresas"))</f>
        <v/>
      </c>
      <c r="M753" s="27"/>
      <c r="N753" s="35"/>
      <c r="O753" s="37" t="str">
        <f aca="false">IF(OR(D753="",D753=0,N753=""),"",N753/D753)</f>
        <v/>
      </c>
      <c r="P753" s="19" t="str">
        <f aca="false">IF(O753="","",IF(O753&gt;0.25,"ACRÉSCIMO ACIMA DE 25% — conferir",""))</f>
        <v/>
      </c>
      <c r="Q753" s="27"/>
      <c r="R753" s="5"/>
    </row>
    <row r="754" customFormat="false" ht="15" hidden="false" customHeight="false" outlineLevel="0" collapsed="false">
      <c r="A754" s="27"/>
      <c r="B754" s="5"/>
      <c r="C754" s="5"/>
      <c r="D754" s="35"/>
      <c r="E754" s="14"/>
      <c r="F754" s="18"/>
      <c r="G754" s="31" t="str">
        <f aca="false">IF(A754="","",IFERROR(IF(INDEX(Empresas!$C:$C,MATCH(A754,Empresas!$A:$A,0))="","",INDEX(Empresas!$C:$C,MATCH(A754,Empresas!$A:$A,0))),""))</f>
        <v/>
      </c>
      <c r="H754" s="18"/>
      <c r="I754" s="19" t="str">
        <f aca="false">IF(OR(F754="",G754=""),"",IF(F754-G754&lt;0,"CONTRATO ANTERIOR À ABERTURA — conferir datas",IF(F754-G754&lt;180,"ABERTA MENOS DE 6 MESES ANTES","")))</f>
        <v/>
      </c>
      <c r="J754" s="19" t="str">
        <f aca="false">IF(A754="","",IFERROR(INDEX(Sancoes!$B:$B,MATCH(A754,Sancoes!$A:$A,0))&amp;"","não consta"))</f>
        <v/>
      </c>
      <c r="K754" s="19" t="str">
        <f aca="false">IF(OR(A754="",F754=""),"",IF(SUMPRODUCT((Sancoes!$A$2:$A$301=A754)*(Sancoes!$B$2:$B$301&lt;&gt;"Não consta")*(Sancoes!$D$2:$D$301&lt;&gt;"")*(Sancoes!$D$2:$D$301&lt;=F754)*(((Sancoes!$E$2:$E$301="")+(Sancoes!$E$2:$E$301&gt;=F754))&gt;0))&gt;0,"SANÇÃO VIGENTE NA DATA — leia o tipo e a abrangência",""))</f>
        <v/>
      </c>
      <c r="L754" s="19" t="str">
        <f aca="false">IF(A754="","",IFERROR(INDEX(Empresas!$B:$B,MATCH(A754,Empresas!$A:$A,0))&amp;"","cadastre o CNPJ em Empresas"))</f>
        <v/>
      </c>
      <c r="M754" s="27"/>
      <c r="N754" s="35"/>
      <c r="O754" s="37" t="str">
        <f aca="false">IF(OR(D754="",D754=0,N754=""),"",N754/D754)</f>
        <v/>
      </c>
      <c r="P754" s="19" t="str">
        <f aca="false">IF(O754="","",IF(O754&gt;0.25,"ACRÉSCIMO ACIMA DE 25% — conferir",""))</f>
        <v/>
      </c>
      <c r="Q754" s="27"/>
      <c r="R754" s="5"/>
    </row>
    <row r="755" customFormat="false" ht="15" hidden="false" customHeight="false" outlineLevel="0" collapsed="false">
      <c r="A755" s="27"/>
      <c r="B755" s="5"/>
      <c r="C755" s="5"/>
      <c r="D755" s="35"/>
      <c r="E755" s="14"/>
      <c r="F755" s="18"/>
      <c r="G755" s="31" t="str">
        <f aca="false">IF(A755="","",IFERROR(IF(INDEX(Empresas!$C:$C,MATCH(A755,Empresas!$A:$A,0))="","",INDEX(Empresas!$C:$C,MATCH(A755,Empresas!$A:$A,0))),""))</f>
        <v/>
      </c>
      <c r="H755" s="18"/>
      <c r="I755" s="19" t="str">
        <f aca="false">IF(OR(F755="",G755=""),"",IF(F755-G755&lt;0,"CONTRATO ANTERIOR À ABERTURA — conferir datas",IF(F755-G755&lt;180,"ABERTA MENOS DE 6 MESES ANTES","")))</f>
        <v/>
      </c>
      <c r="J755" s="19" t="str">
        <f aca="false">IF(A755="","",IFERROR(INDEX(Sancoes!$B:$B,MATCH(A755,Sancoes!$A:$A,0))&amp;"","não consta"))</f>
        <v/>
      </c>
      <c r="K755" s="19" t="str">
        <f aca="false">IF(OR(A755="",F755=""),"",IF(SUMPRODUCT((Sancoes!$A$2:$A$301=A755)*(Sancoes!$B$2:$B$301&lt;&gt;"Não consta")*(Sancoes!$D$2:$D$301&lt;&gt;"")*(Sancoes!$D$2:$D$301&lt;=F755)*(((Sancoes!$E$2:$E$301="")+(Sancoes!$E$2:$E$301&gt;=F755))&gt;0))&gt;0,"SANÇÃO VIGENTE NA DATA — leia o tipo e a abrangência",""))</f>
        <v/>
      </c>
      <c r="L755" s="19" t="str">
        <f aca="false">IF(A755="","",IFERROR(INDEX(Empresas!$B:$B,MATCH(A755,Empresas!$A:$A,0))&amp;"","cadastre o CNPJ em Empresas"))</f>
        <v/>
      </c>
      <c r="M755" s="27"/>
      <c r="N755" s="35"/>
      <c r="O755" s="37" t="str">
        <f aca="false">IF(OR(D755="",D755=0,N755=""),"",N755/D755)</f>
        <v/>
      </c>
      <c r="P755" s="19" t="str">
        <f aca="false">IF(O755="","",IF(O755&gt;0.25,"ACRÉSCIMO ACIMA DE 25% — conferir",""))</f>
        <v/>
      </c>
      <c r="Q755" s="27"/>
      <c r="R755" s="5"/>
    </row>
    <row r="756" customFormat="false" ht="15" hidden="false" customHeight="false" outlineLevel="0" collapsed="false">
      <c r="A756" s="27"/>
      <c r="B756" s="5"/>
      <c r="C756" s="5"/>
      <c r="D756" s="35"/>
      <c r="E756" s="14"/>
      <c r="F756" s="18"/>
      <c r="G756" s="31" t="str">
        <f aca="false">IF(A756="","",IFERROR(IF(INDEX(Empresas!$C:$C,MATCH(A756,Empresas!$A:$A,0))="","",INDEX(Empresas!$C:$C,MATCH(A756,Empresas!$A:$A,0))),""))</f>
        <v/>
      </c>
      <c r="H756" s="18"/>
      <c r="I756" s="19" t="str">
        <f aca="false">IF(OR(F756="",G756=""),"",IF(F756-G756&lt;0,"CONTRATO ANTERIOR À ABERTURA — conferir datas",IF(F756-G756&lt;180,"ABERTA MENOS DE 6 MESES ANTES","")))</f>
        <v/>
      </c>
      <c r="J756" s="19" t="str">
        <f aca="false">IF(A756="","",IFERROR(INDEX(Sancoes!$B:$B,MATCH(A756,Sancoes!$A:$A,0))&amp;"","não consta"))</f>
        <v/>
      </c>
      <c r="K756" s="19" t="str">
        <f aca="false">IF(OR(A756="",F756=""),"",IF(SUMPRODUCT((Sancoes!$A$2:$A$301=A756)*(Sancoes!$B$2:$B$301&lt;&gt;"Não consta")*(Sancoes!$D$2:$D$301&lt;&gt;"")*(Sancoes!$D$2:$D$301&lt;=F756)*(((Sancoes!$E$2:$E$301="")+(Sancoes!$E$2:$E$301&gt;=F756))&gt;0))&gt;0,"SANÇÃO VIGENTE NA DATA — leia o tipo e a abrangência",""))</f>
        <v/>
      </c>
      <c r="L756" s="19" t="str">
        <f aca="false">IF(A756="","",IFERROR(INDEX(Empresas!$B:$B,MATCH(A756,Empresas!$A:$A,0))&amp;"","cadastre o CNPJ em Empresas"))</f>
        <v/>
      </c>
      <c r="M756" s="27"/>
      <c r="N756" s="35"/>
      <c r="O756" s="37" t="str">
        <f aca="false">IF(OR(D756="",D756=0,N756=""),"",N756/D756)</f>
        <v/>
      </c>
      <c r="P756" s="19" t="str">
        <f aca="false">IF(O756="","",IF(O756&gt;0.25,"ACRÉSCIMO ACIMA DE 25% — conferir",""))</f>
        <v/>
      </c>
      <c r="Q756" s="27"/>
      <c r="R756" s="5"/>
    </row>
    <row r="757" customFormat="false" ht="15" hidden="false" customHeight="false" outlineLevel="0" collapsed="false">
      <c r="A757" s="27"/>
      <c r="B757" s="5"/>
      <c r="C757" s="5"/>
      <c r="D757" s="35"/>
      <c r="E757" s="14"/>
      <c r="F757" s="18"/>
      <c r="G757" s="31" t="str">
        <f aca="false">IF(A757="","",IFERROR(IF(INDEX(Empresas!$C:$C,MATCH(A757,Empresas!$A:$A,0))="","",INDEX(Empresas!$C:$C,MATCH(A757,Empresas!$A:$A,0))),""))</f>
        <v/>
      </c>
      <c r="H757" s="18"/>
      <c r="I757" s="19" t="str">
        <f aca="false">IF(OR(F757="",G757=""),"",IF(F757-G757&lt;0,"CONTRATO ANTERIOR À ABERTURA — conferir datas",IF(F757-G757&lt;180,"ABERTA MENOS DE 6 MESES ANTES","")))</f>
        <v/>
      </c>
      <c r="J757" s="19" t="str">
        <f aca="false">IF(A757="","",IFERROR(INDEX(Sancoes!$B:$B,MATCH(A757,Sancoes!$A:$A,0))&amp;"","não consta"))</f>
        <v/>
      </c>
      <c r="K757" s="19" t="str">
        <f aca="false">IF(OR(A757="",F757=""),"",IF(SUMPRODUCT((Sancoes!$A$2:$A$301=A757)*(Sancoes!$B$2:$B$301&lt;&gt;"Não consta")*(Sancoes!$D$2:$D$301&lt;&gt;"")*(Sancoes!$D$2:$D$301&lt;=F757)*(((Sancoes!$E$2:$E$301="")+(Sancoes!$E$2:$E$301&gt;=F757))&gt;0))&gt;0,"SANÇÃO VIGENTE NA DATA — leia o tipo e a abrangência",""))</f>
        <v/>
      </c>
      <c r="L757" s="19" t="str">
        <f aca="false">IF(A757="","",IFERROR(INDEX(Empresas!$B:$B,MATCH(A757,Empresas!$A:$A,0))&amp;"","cadastre o CNPJ em Empresas"))</f>
        <v/>
      </c>
      <c r="M757" s="27"/>
      <c r="N757" s="35"/>
      <c r="O757" s="37" t="str">
        <f aca="false">IF(OR(D757="",D757=0,N757=""),"",N757/D757)</f>
        <v/>
      </c>
      <c r="P757" s="19" t="str">
        <f aca="false">IF(O757="","",IF(O757&gt;0.25,"ACRÉSCIMO ACIMA DE 25% — conferir",""))</f>
        <v/>
      </c>
      <c r="Q757" s="27"/>
      <c r="R757" s="5"/>
    </row>
    <row r="758" customFormat="false" ht="15" hidden="false" customHeight="false" outlineLevel="0" collapsed="false">
      <c r="A758" s="27"/>
      <c r="B758" s="5"/>
      <c r="C758" s="5"/>
      <c r="D758" s="35"/>
      <c r="E758" s="14"/>
      <c r="F758" s="18"/>
      <c r="G758" s="31" t="str">
        <f aca="false">IF(A758="","",IFERROR(IF(INDEX(Empresas!$C:$C,MATCH(A758,Empresas!$A:$A,0))="","",INDEX(Empresas!$C:$C,MATCH(A758,Empresas!$A:$A,0))),""))</f>
        <v/>
      </c>
      <c r="H758" s="18"/>
      <c r="I758" s="19" t="str">
        <f aca="false">IF(OR(F758="",G758=""),"",IF(F758-G758&lt;0,"CONTRATO ANTERIOR À ABERTURA — conferir datas",IF(F758-G758&lt;180,"ABERTA MENOS DE 6 MESES ANTES","")))</f>
        <v/>
      </c>
      <c r="J758" s="19" t="str">
        <f aca="false">IF(A758="","",IFERROR(INDEX(Sancoes!$B:$B,MATCH(A758,Sancoes!$A:$A,0))&amp;"","não consta"))</f>
        <v/>
      </c>
      <c r="K758" s="19" t="str">
        <f aca="false">IF(OR(A758="",F758=""),"",IF(SUMPRODUCT((Sancoes!$A$2:$A$301=A758)*(Sancoes!$B$2:$B$301&lt;&gt;"Não consta")*(Sancoes!$D$2:$D$301&lt;&gt;"")*(Sancoes!$D$2:$D$301&lt;=F758)*(((Sancoes!$E$2:$E$301="")+(Sancoes!$E$2:$E$301&gt;=F758))&gt;0))&gt;0,"SANÇÃO VIGENTE NA DATA — leia o tipo e a abrangência",""))</f>
        <v/>
      </c>
      <c r="L758" s="19" t="str">
        <f aca="false">IF(A758="","",IFERROR(INDEX(Empresas!$B:$B,MATCH(A758,Empresas!$A:$A,0))&amp;"","cadastre o CNPJ em Empresas"))</f>
        <v/>
      </c>
      <c r="M758" s="27"/>
      <c r="N758" s="35"/>
      <c r="O758" s="37" t="str">
        <f aca="false">IF(OR(D758="",D758=0,N758=""),"",N758/D758)</f>
        <v/>
      </c>
      <c r="P758" s="19" t="str">
        <f aca="false">IF(O758="","",IF(O758&gt;0.25,"ACRÉSCIMO ACIMA DE 25% — conferir",""))</f>
        <v/>
      </c>
      <c r="Q758" s="27"/>
      <c r="R758" s="5"/>
    </row>
    <row r="759" customFormat="false" ht="15" hidden="false" customHeight="false" outlineLevel="0" collapsed="false">
      <c r="A759" s="27"/>
      <c r="B759" s="5"/>
      <c r="C759" s="5"/>
      <c r="D759" s="35"/>
      <c r="E759" s="14"/>
      <c r="F759" s="18"/>
      <c r="G759" s="31" t="str">
        <f aca="false">IF(A759="","",IFERROR(IF(INDEX(Empresas!$C:$C,MATCH(A759,Empresas!$A:$A,0))="","",INDEX(Empresas!$C:$C,MATCH(A759,Empresas!$A:$A,0))),""))</f>
        <v/>
      </c>
      <c r="H759" s="18"/>
      <c r="I759" s="19" t="str">
        <f aca="false">IF(OR(F759="",G759=""),"",IF(F759-G759&lt;0,"CONTRATO ANTERIOR À ABERTURA — conferir datas",IF(F759-G759&lt;180,"ABERTA MENOS DE 6 MESES ANTES","")))</f>
        <v/>
      </c>
      <c r="J759" s="19" t="str">
        <f aca="false">IF(A759="","",IFERROR(INDEX(Sancoes!$B:$B,MATCH(A759,Sancoes!$A:$A,0))&amp;"","não consta"))</f>
        <v/>
      </c>
      <c r="K759" s="19" t="str">
        <f aca="false">IF(OR(A759="",F759=""),"",IF(SUMPRODUCT((Sancoes!$A$2:$A$301=A759)*(Sancoes!$B$2:$B$301&lt;&gt;"Não consta")*(Sancoes!$D$2:$D$301&lt;&gt;"")*(Sancoes!$D$2:$D$301&lt;=F759)*(((Sancoes!$E$2:$E$301="")+(Sancoes!$E$2:$E$301&gt;=F759))&gt;0))&gt;0,"SANÇÃO VIGENTE NA DATA — leia o tipo e a abrangência",""))</f>
        <v/>
      </c>
      <c r="L759" s="19" t="str">
        <f aca="false">IF(A759="","",IFERROR(INDEX(Empresas!$B:$B,MATCH(A759,Empresas!$A:$A,0))&amp;"","cadastre o CNPJ em Empresas"))</f>
        <v/>
      </c>
      <c r="M759" s="27"/>
      <c r="N759" s="35"/>
      <c r="O759" s="37" t="str">
        <f aca="false">IF(OR(D759="",D759=0,N759=""),"",N759/D759)</f>
        <v/>
      </c>
      <c r="P759" s="19" t="str">
        <f aca="false">IF(O759="","",IF(O759&gt;0.25,"ACRÉSCIMO ACIMA DE 25% — conferir",""))</f>
        <v/>
      </c>
      <c r="Q759" s="27"/>
      <c r="R759" s="5"/>
    </row>
    <row r="760" customFormat="false" ht="15" hidden="false" customHeight="false" outlineLevel="0" collapsed="false">
      <c r="A760" s="27"/>
      <c r="B760" s="5"/>
      <c r="C760" s="5"/>
      <c r="D760" s="35"/>
      <c r="E760" s="14"/>
      <c r="F760" s="18"/>
      <c r="G760" s="31" t="str">
        <f aca="false">IF(A760="","",IFERROR(IF(INDEX(Empresas!$C:$C,MATCH(A760,Empresas!$A:$A,0))="","",INDEX(Empresas!$C:$C,MATCH(A760,Empresas!$A:$A,0))),""))</f>
        <v/>
      </c>
      <c r="H760" s="18"/>
      <c r="I760" s="19" t="str">
        <f aca="false">IF(OR(F760="",G760=""),"",IF(F760-G760&lt;0,"CONTRATO ANTERIOR À ABERTURA — conferir datas",IF(F760-G760&lt;180,"ABERTA MENOS DE 6 MESES ANTES","")))</f>
        <v/>
      </c>
      <c r="J760" s="19" t="str">
        <f aca="false">IF(A760="","",IFERROR(INDEX(Sancoes!$B:$B,MATCH(A760,Sancoes!$A:$A,0))&amp;"","não consta"))</f>
        <v/>
      </c>
      <c r="K760" s="19" t="str">
        <f aca="false">IF(OR(A760="",F760=""),"",IF(SUMPRODUCT((Sancoes!$A$2:$A$301=A760)*(Sancoes!$B$2:$B$301&lt;&gt;"Não consta")*(Sancoes!$D$2:$D$301&lt;&gt;"")*(Sancoes!$D$2:$D$301&lt;=F760)*(((Sancoes!$E$2:$E$301="")+(Sancoes!$E$2:$E$301&gt;=F760))&gt;0))&gt;0,"SANÇÃO VIGENTE NA DATA — leia o tipo e a abrangência",""))</f>
        <v/>
      </c>
      <c r="L760" s="19" t="str">
        <f aca="false">IF(A760="","",IFERROR(INDEX(Empresas!$B:$B,MATCH(A760,Empresas!$A:$A,0))&amp;"","cadastre o CNPJ em Empresas"))</f>
        <v/>
      </c>
      <c r="M760" s="27"/>
      <c r="N760" s="35"/>
      <c r="O760" s="37" t="str">
        <f aca="false">IF(OR(D760="",D760=0,N760=""),"",N760/D760)</f>
        <v/>
      </c>
      <c r="P760" s="19" t="str">
        <f aca="false">IF(O760="","",IF(O760&gt;0.25,"ACRÉSCIMO ACIMA DE 25% — conferir",""))</f>
        <v/>
      </c>
      <c r="Q760" s="27"/>
      <c r="R760" s="5"/>
    </row>
    <row r="761" customFormat="false" ht="15" hidden="false" customHeight="false" outlineLevel="0" collapsed="false">
      <c r="A761" s="27"/>
      <c r="B761" s="5"/>
      <c r="C761" s="5"/>
      <c r="D761" s="35"/>
      <c r="E761" s="14"/>
      <c r="F761" s="18"/>
      <c r="G761" s="31" t="str">
        <f aca="false">IF(A761="","",IFERROR(IF(INDEX(Empresas!$C:$C,MATCH(A761,Empresas!$A:$A,0))="","",INDEX(Empresas!$C:$C,MATCH(A761,Empresas!$A:$A,0))),""))</f>
        <v/>
      </c>
      <c r="H761" s="18"/>
      <c r="I761" s="19" t="str">
        <f aca="false">IF(OR(F761="",G761=""),"",IF(F761-G761&lt;0,"CONTRATO ANTERIOR À ABERTURA — conferir datas",IF(F761-G761&lt;180,"ABERTA MENOS DE 6 MESES ANTES","")))</f>
        <v/>
      </c>
      <c r="J761" s="19" t="str">
        <f aca="false">IF(A761="","",IFERROR(INDEX(Sancoes!$B:$B,MATCH(A761,Sancoes!$A:$A,0))&amp;"","não consta"))</f>
        <v/>
      </c>
      <c r="K761" s="19" t="str">
        <f aca="false">IF(OR(A761="",F761=""),"",IF(SUMPRODUCT((Sancoes!$A$2:$A$301=A761)*(Sancoes!$B$2:$B$301&lt;&gt;"Não consta")*(Sancoes!$D$2:$D$301&lt;&gt;"")*(Sancoes!$D$2:$D$301&lt;=F761)*(((Sancoes!$E$2:$E$301="")+(Sancoes!$E$2:$E$301&gt;=F761))&gt;0))&gt;0,"SANÇÃO VIGENTE NA DATA — leia o tipo e a abrangência",""))</f>
        <v/>
      </c>
      <c r="L761" s="19" t="str">
        <f aca="false">IF(A761="","",IFERROR(INDEX(Empresas!$B:$B,MATCH(A761,Empresas!$A:$A,0))&amp;"","cadastre o CNPJ em Empresas"))</f>
        <v/>
      </c>
      <c r="M761" s="27"/>
      <c r="N761" s="35"/>
      <c r="O761" s="37" t="str">
        <f aca="false">IF(OR(D761="",D761=0,N761=""),"",N761/D761)</f>
        <v/>
      </c>
      <c r="P761" s="19" t="str">
        <f aca="false">IF(O761="","",IF(O761&gt;0.25,"ACRÉSCIMO ACIMA DE 25% — conferir",""))</f>
        <v/>
      </c>
      <c r="Q761" s="27"/>
      <c r="R761" s="5"/>
    </row>
    <row r="762" customFormat="false" ht="15" hidden="false" customHeight="false" outlineLevel="0" collapsed="false">
      <c r="A762" s="27"/>
      <c r="B762" s="5"/>
      <c r="C762" s="5"/>
      <c r="D762" s="35"/>
      <c r="E762" s="14"/>
      <c r="F762" s="18"/>
      <c r="G762" s="31" t="str">
        <f aca="false">IF(A762="","",IFERROR(IF(INDEX(Empresas!$C:$C,MATCH(A762,Empresas!$A:$A,0))="","",INDEX(Empresas!$C:$C,MATCH(A762,Empresas!$A:$A,0))),""))</f>
        <v/>
      </c>
      <c r="H762" s="18"/>
      <c r="I762" s="19" t="str">
        <f aca="false">IF(OR(F762="",G762=""),"",IF(F762-G762&lt;0,"CONTRATO ANTERIOR À ABERTURA — conferir datas",IF(F762-G762&lt;180,"ABERTA MENOS DE 6 MESES ANTES","")))</f>
        <v/>
      </c>
      <c r="J762" s="19" t="str">
        <f aca="false">IF(A762="","",IFERROR(INDEX(Sancoes!$B:$B,MATCH(A762,Sancoes!$A:$A,0))&amp;"","não consta"))</f>
        <v/>
      </c>
      <c r="K762" s="19" t="str">
        <f aca="false">IF(OR(A762="",F762=""),"",IF(SUMPRODUCT((Sancoes!$A$2:$A$301=A762)*(Sancoes!$B$2:$B$301&lt;&gt;"Não consta")*(Sancoes!$D$2:$D$301&lt;&gt;"")*(Sancoes!$D$2:$D$301&lt;=F762)*(((Sancoes!$E$2:$E$301="")+(Sancoes!$E$2:$E$301&gt;=F762))&gt;0))&gt;0,"SANÇÃO VIGENTE NA DATA — leia o tipo e a abrangência",""))</f>
        <v/>
      </c>
      <c r="L762" s="19" t="str">
        <f aca="false">IF(A762="","",IFERROR(INDEX(Empresas!$B:$B,MATCH(A762,Empresas!$A:$A,0))&amp;"","cadastre o CNPJ em Empresas"))</f>
        <v/>
      </c>
      <c r="M762" s="27"/>
      <c r="N762" s="35"/>
      <c r="O762" s="37" t="str">
        <f aca="false">IF(OR(D762="",D762=0,N762=""),"",N762/D762)</f>
        <v/>
      </c>
      <c r="P762" s="19" t="str">
        <f aca="false">IF(O762="","",IF(O762&gt;0.25,"ACRÉSCIMO ACIMA DE 25% — conferir",""))</f>
        <v/>
      </c>
      <c r="Q762" s="27"/>
      <c r="R762" s="5"/>
    </row>
    <row r="763" customFormat="false" ht="15" hidden="false" customHeight="false" outlineLevel="0" collapsed="false">
      <c r="A763" s="27"/>
      <c r="B763" s="5"/>
      <c r="C763" s="5"/>
      <c r="D763" s="35"/>
      <c r="E763" s="14"/>
      <c r="F763" s="18"/>
      <c r="G763" s="31" t="str">
        <f aca="false">IF(A763="","",IFERROR(IF(INDEX(Empresas!$C:$C,MATCH(A763,Empresas!$A:$A,0))="","",INDEX(Empresas!$C:$C,MATCH(A763,Empresas!$A:$A,0))),""))</f>
        <v/>
      </c>
      <c r="H763" s="18"/>
      <c r="I763" s="19" t="str">
        <f aca="false">IF(OR(F763="",G763=""),"",IF(F763-G763&lt;0,"CONTRATO ANTERIOR À ABERTURA — conferir datas",IF(F763-G763&lt;180,"ABERTA MENOS DE 6 MESES ANTES","")))</f>
        <v/>
      </c>
      <c r="J763" s="19" t="str">
        <f aca="false">IF(A763="","",IFERROR(INDEX(Sancoes!$B:$B,MATCH(A763,Sancoes!$A:$A,0))&amp;"","não consta"))</f>
        <v/>
      </c>
      <c r="K763" s="19" t="str">
        <f aca="false">IF(OR(A763="",F763=""),"",IF(SUMPRODUCT((Sancoes!$A$2:$A$301=A763)*(Sancoes!$B$2:$B$301&lt;&gt;"Não consta")*(Sancoes!$D$2:$D$301&lt;&gt;"")*(Sancoes!$D$2:$D$301&lt;=F763)*(((Sancoes!$E$2:$E$301="")+(Sancoes!$E$2:$E$301&gt;=F763))&gt;0))&gt;0,"SANÇÃO VIGENTE NA DATA — leia o tipo e a abrangência",""))</f>
        <v/>
      </c>
      <c r="L763" s="19" t="str">
        <f aca="false">IF(A763="","",IFERROR(INDEX(Empresas!$B:$B,MATCH(A763,Empresas!$A:$A,0))&amp;"","cadastre o CNPJ em Empresas"))</f>
        <v/>
      </c>
      <c r="M763" s="27"/>
      <c r="N763" s="35"/>
      <c r="O763" s="37" t="str">
        <f aca="false">IF(OR(D763="",D763=0,N763=""),"",N763/D763)</f>
        <v/>
      </c>
      <c r="P763" s="19" t="str">
        <f aca="false">IF(O763="","",IF(O763&gt;0.25,"ACRÉSCIMO ACIMA DE 25% — conferir",""))</f>
        <v/>
      </c>
      <c r="Q763" s="27"/>
      <c r="R763" s="5"/>
    </row>
    <row r="764" customFormat="false" ht="15" hidden="false" customHeight="false" outlineLevel="0" collapsed="false">
      <c r="A764" s="27"/>
      <c r="B764" s="5"/>
      <c r="C764" s="5"/>
      <c r="D764" s="35"/>
      <c r="E764" s="14"/>
      <c r="F764" s="18"/>
      <c r="G764" s="31" t="str">
        <f aca="false">IF(A764="","",IFERROR(IF(INDEX(Empresas!$C:$C,MATCH(A764,Empresas!$A:$A,0))="","",INDEX(Empresas!$C:$C,MATCH(A764,Empresas!$A:$A,0))),""))</f>
        <v/>
      </c>
      <c r="H764" s="18"/>
      <c r="I764" s="19" t="str">
        <f aca="false">IF(OR(F764="",G764=""),"",IF(F764-G764&lt;0,"CONTRATO ANTERIOR À ABERTURA — conferir datas",IF(F764-G764&lt;180,"ABERTA MENOS DE 6 MESES ANTES","")))</f>
        <v/>
      </c>
      <c r="J764" s="19" t="str">
        <f aca="false">IF(A764="","",IFERROR(INDEX(Sancoes!$B:$B,MATCH(A764,Sancoes!$A:$A,0))&amp;"","não consta"))</f>
        <v/>
      </c>
      <c r="K764" s="19" t="str">
        <f aca="false">IF(OR(A764="",F764=""),"",IF(SUMPRODUCT((Sancoes!$A$2:$A$301=A764)*(Sancoes!$B$2:$B$301&lt;&gt;"Não consta")*(Sancoes!$D$2:$D$301&lt;&gt;"")*(Sancoes!$D$2:$D$301&lt;=F764)*(((Sancoes!$E$2:$E$301="")+(Sancoes!$E$2:$E$301&gt;=F764))&gt;0))&gt;0,"SANÇÃO VIGENTE NA DATA — leia o tipo e a abrangência",""))</f>
        <v/>
      </c>
      <c r="L764" s="19" t="str">
        <f aca="false">IF(A764="","",IFERROR(INDEX(Empresas!$B:$B,MATCH(A764,Empresas!$A:$A,0))&amp;"","cadastre o CNPJ em Empresas"))</f>
        <v/>
      </c>
      <c r="M764" s="27"/>
      <c r="N764" s="35"/>
      <c r="O764" s="37" t="str">
        <f aca="false">IF(OR(D764="",D764=0,N764=""),"",N764/D764)</f>
        <v/>
      </c>
      <c r="P764" s="19" t="str">
        <f aca="false">IF(O764="","",IF(O764&gt;0.25,"ACRÉSCIMO ACIMA DE 25% — conferir",""))</f>
        <v/>
      </c>
      <c r="Q764" s="27"/>
      <c r="R764" s="5"/>
    </row>
    <row r="765" customFormat="false" ht="15" hidden="false" customHeight="false" outlineLevel="0" collapsed="false">
      <c r="A765" s="27"/>
      <c r="B765" s="5"/>
      <c r="C765" s="5"/>
      <c r="D765" s="35"/>
      <c r="E765" s="14"/>
      <c r="F765" s="18"/>
      <c r="G765" s="31" t="str">
        <f aca="false">IF(A765="","",IFERROR(IF(INDEX(Empresas!$C:$C,MATCH(A765,Empresas!$A:$A,0))="","",INDEX(Empresas!$C:$C,MATCH(A765,Empresas!$A:$A,0))),""))</f>
        <v/>
      </c>
      <c r="H765" s="18"/>
      <c r="I765" s="19" t="str">
        <f aca="false">IF(OR(F765="",G765=""),"",IF(F765-G765&lt;0,"CONTRATO ANTERIOR À ABERTURA — conferir datas",IF(F765-G765&lt;180,"ABERTA MENOS DE 6 MESES ANTES","")))</f>
        <v/>
      </c>
      <c r="J765" s="19" t="str">
        <f aca="false">IF(A765="","",IFERROR(INDEX(Sancoes!$B:$B,MATCH(A765,Sancoes!$A:$A,0))&amp;"","não consta"))</f>
        <v/>
      </c>
      <c r="K765" s="19" t="str">
        <f aca="false">IF(OR(A765="",F765=""),"",IF(SUMPRODUCT((Sancoes!$A$2:$A$301=A765)*(Sancoes!$B$2:$B$301&lt;&gt;"Não consta")*(Sancoes!$D$2:$D$301&lt;&gt;"")*(Sancoes!$D$2:$D$301&lt;=F765)*(((Sancoes!$E$2:$E$301="")+(Sancoes!$E$2:$E$301&gt;=F765))&gt;0))&gt;0,"SANÇÃO VIGENTE NA DATA — leia o tipo e a abrangência",""))</f>
        <v/>
      </c>
      <c r="L765" s="19" t="str">
        <f aca="false">IF(A765="","",IFERROR(INDEX(Empresas!$B:$B,MATCH(A765,Empresas!$A:$A,0))&amp;"","cadastre o CNPJ em Empresas"))</f>
        <v/>
      </c>
      <c r="M765" s="27"/>
      <c r="N765" s="35"/>
      <c r="O765" s="37" t="str">
        <f aca="false">IF(OR(D765="",D765=0,N765=""),"",N765/D765)</f>
        <v/>
      </c>
      <c r="P765" s="19" t="str">
        <f aca="false">IF(O765="","",IF(O765&gt;0.25,"ACRÉSCIMO ACIMA DE 25% — conferir",""))</f>
        <v/>
      </c>
      <c r="Q765" s="27"/>
      <c r="R765" s="5"/>
    </row>
    <row r="766" customFormat="false" ht="15" hidden="false" customHeight="false" outlineLevel="0" collapsed="false">
      <c r="A766" s="27"/>
      <c r="B766" s="5"/>
      <c r="C766" s="5"/>
      <c r="D766" s="35"/>
      <c r="E766" s="14"/>
      <c r="F766" s="18"/>
      <c r="G766" s="31" t="str">
        <f aca="false">IF(A766="","",IFERROR(IF(INDEX(Empresas!$C:$C,MATCH(A766,Empresas!$A:$A,0))="","",INDEX(Empresas!$C:$C,MATCH(A766,Empresas!$A:$A,0))),""))</f>
        <v/>
      </c>
      <c r="H766" s="18"/>
      <c r="I766" s="19" t="str">
        <f aca="false">IF(OR(F766="",G766=""),"",IF(F766-G766&lt;0,"CONTRATO ANTERIOR À ABERTURA — conferir datas",IF(F766-G766&lt;180,"ABERTA MENOS DE 6 MESES ANTES","")))</f>
        <v/>
      </c>
      <c r="J766" s="19" t="str">
        <f aca="false">IF(A766="","",IFERROR(INDEX(Sancoes!$B:$B,MATCH(A766,Sancoes!$A:$A,0))&amp;"","não consta"))</f>
        <v/>
      </c>
      <c r="K766" s="19" t="str">
        <f aca="false">IF(OR(A766="",F766=""),"",IF(SUMPRODUCT((Sancoes!$A$2:$A$301=A766)*(Sancoes!$B$2:$B$301&lt;&gt;"Não consta")*(Sancoes!$D$2:$D$301&lt;&gt;"")*(Sancoes!$D$2:$D$301&lt;=F766)*(((Sancoes!$E$2:$E$301="")+(Sancoes!$E$2:$E$301&gt;=F766))&gt;0))&gt;0,"SANÇÃO VIGENTE NA DATA — leia o tipo e a abrangência",""))</f>
        <v/>
      </c>
      <c r="L766" s="19" t="str">
        <f aca="false">IF(A766="","",IFERROR(INDEX(Empresas!$B:$B,MATCH(A766,Empresas!$A:$A,0))&amp;"","cadastre o CNPJ em Empresas"))</f>
        <v/>
      </c>
      <c r="M766" s="27"/>
      <c r="N766" s="35"/>
      <c r="O766" s="37" t="str">
        <f aca="false">IF(OR(D766="",D766=0,N766=""),"",N766/D766)</f>
        <v/>
      </c>
      <c r="P766" s="19" t="str">
        <f aca="false">IF(O766="","",IF(O766&gt;0.25,"ACRÉSCIMO ACIMA DE 25% — conferir",""))</f>
        <v/>
      </c>
      <c r="Q766" s="27"/>
      <c r="R766" s="5"/>
    </row>
    <row r="767" customFormat="false" ht="15" hidden="false" customHeight="false" outlineLevel="0" collapsed="false">
      <c r="A767" s="27"/>
      <c r="B767" s="5"/>
      <c r="C767" s="5"/>
      <c r="D767" s="35"/>
      <c r="E767" s="14"/>
      <c r="F767" s="18"/>
      <c r="G767" s="31" t="str">
        <f aca="false">IF(A767="","",IFERROR(IF(INDEX(Empresas!$C:$C,MATCH(A767,Empresas!$A:$A,0))="","",INDEX(Empresas!$C:$C,MATCH(A767,Empresas!$A:$A,0))),""))</f>
        <v/>
      </c>
      <c r="H767" s="18"/>
      <c r="I767" s="19" t="str">
        <f aca="false">IF(OR(F767="",G767=""),"",IF(F767-G767&lt;0,"CONTRATO ANTERIOR À ABERTURA — conferir datas",IF(F767-G767&lt;180,"ABERTA MENOS DE 6 MESES ANTES","")))</f>
        <v/>
      </c>
      <c r="J767" s="19" t="str">
        <f aca="false">IF(A767="","",IFERROR(INDEX(Sancoes!$B:$B,MATCH(A767,Sancoes!$A:$A,0))&amp;"","não consta"))</f>
        <v/>
      </c>
      <c r="K767" s="19" t="str">
        <f aca="false">IF(OR(A767="",F767=""),"",IF(SUMPRODUCT((Sancoes!$A$2:$A$301=A767)*(Sancoes!$B$2:$B$301&lt;&gt;"Não consta")*(Sancoes!$D$2:$D$301&lt;&gt;"")*(Sancoes!$D$2:$D$301&lt;=F767)*(((Sancoes!$E$2:$E$301="")+(Sancoes!$E$2:$E$301&gt;=F767))&gt;0))&gt;0,"SANÇÃO VIGENTE NA DATA — leia o tipo e a abrangência",""))</f>
        <v/>
      </c>
      <c r="L767" s="19" t="str">
        <f aca="false">IF(A767="","",IFERROR(INDEX(Empresas!$B:$B,MATCH(A767,Empresas!$A:$A,0))&amp;"","cadastre o CNPJ em Empresas"))</f>
        <v/>
      </c>
      <c r="M767" s="27"/>
      <c r="N767" s="35"/>
      <c r="O767" s="37" t="str">
        <f aca="false">IF(OR(D767="",D767=0,N767=""),"",N767/D767)</f>
        <v/>
      </c>
      <c r="P767" s="19" t="str">
        <f aca="false">IF(O767="","",IF(O767&gt;0.25,"ACRÉSCIMO ACIMA DE 25% — conferir",""))</f>
        <v/>
      </c>
      <c r="Q767" s="27"/>
      <c r="R767" s="5"/>
    </row>
    <row r="768" customFormat="false" ht="15" hidden="false" customHeight="false" outlineLevel="0" collapsed="false">
      <c r="A768" s="27"/>
      <c r="B768" s="5"/>
      <c r="C768" s="5"/>
      <c r="D768" s="35"/>
      <c r="E768" s="14"/>
      <c r="F768" s="18"/>
      <c r="G768" s="31" t="str">
        <f aca="false">IF(A768="","",IFERROR(IF(INDEX(Empresas!$C:$C,MATCH(A768,Empresas!$A:$A,0))="","",INDEX(Empresas!$C:$C,MATCH(A768,Empresas!$A:$A,0))),""))</f>
        <v/>
      </c>
      <c r="H768" s="18"/>
      <c r="I768" s="19" t="str">
        <f aca="false">IF(OR(F768="",G768=""),"",IF(F768-G768&lt;0,"CONTRATO ANTERIOR À ABERTURA — conferir datas",IF(F768-G768&lt;180,"ABERTA MENOS DE 6 MESES ANTES","")))</f>
        <v/>
      </c>
      <c r="J768" s="19" t="str">
        <f aca="false">IF(A768="","",IFERROR(INDEX(Sancoes!$B:$B,MATCH(A768,Sancoes!$A:$A,0))&amp;"","não consta"))</f>
        <v/>
      </c>
      <c r="K768" s="19" t="str">
        <f aca="false">IF(OR(A768="",F768=""),"",IF(SUMPRODUCT((Sancoes!$A$2:$A$301=A768)*(Sancoes!$B$2:$B$301&lt;&gt;"Não consta")*(Sancoes!$D$2:$D$301&lt;&gt;"")*(Sancoes!$D$2:$D$301&lt;=F768)*(((Sancoes!$E$2:$E$301="")+(Sancoes!$E$2:$E$301&gt;=F768))&gt;0))&gt;0,"SANÇÃO VIGENTE NA DATA — leia o tipo e a abrangência",""))</f>
        <v/>
      </c>
      <c r="L768" s="19" t="str">
        <f aca="false">IF(A768="","",IFERROR(INDEX(Empresas!$B:$B,MATCH(A768,Empresas!$A:$A,0))&amp;"","cadastre o CNPJ em Empresas"))</f>
        <v/>
      </c>
      <c r="M768" s="27"/>
      <c r="N768" s="35"/>
      <c r="O768" s="37" t="str">
        <f aca="false">IF(OR(D768="",D768=0,N768=""),"",N768/D768)</f>
        <v/>
      </c>
      <c r="P768" s="19" t="str">
        <f aca="false">IF(O768="","",IF(O768&gt;0.25,"ACRÉSCIMO ACIMA DE 25% — conferir",""))</f>
        <v/>
      </c>
      <c r="Q768" s="27"/>
      <c r="R768" s="5"/>
    </row>
    <row r="769" customFormat="false" ht="15" hidden="false" customHeight="false" outlineLevel="0" collapsed="false">
      <c r="A769" s="27"/>
      <c r="B769" s="5"/>
      <c r="C769" s="5"/>
      <c r="D769" s="35"/>
      <c r="E769" s="14"/>
      <c r="F769" s="18"/>
      <c r="G769" s="31" t="str">
        <f aca="false">IF(A769="","",IFERROR(IF(INDEX(Empresas!$C:$C,MATCH(A769,Empresas!$A:$A,0))="","",INDEX(Empresas!$C:$C,MATCH(A769,Empresas!$A:$A,0))),""))</f>
        <v/>
      </c>
      <c r="H769" s="18"/>
      <c r="I769" s="19" t="str">
        <f aca="false">IF(OR(F769="",G769=""),"",IF(F769-G769&lt;0,"CONTRATO ANTERIOR À ABERTURA — conferir datas",IF(F769-G769&lt;180,"ABERTA MENOS DE 6 MESES ANTES","")))</f>
        <v/>
      </c>
      <c r="J769" s="19" t="str">
        <f aca="false">IF(A769="","",IFERROR(INDEX(Sancoes!$B:$B,MATCH(A769,Sancoes!$A:$A,0))&amp;"","não consta"))</f>
        <v/>
      </c>
      <c r="K769" s="19" t="str">
        <f aca="false">IF(OR(A769="",F769=""),"",IF(SUMPRODUCT((Sancoes!$A$2:$A$301=A769)*(Sancoes!$B$2:$B$301&lt;&gt;"Não consta")*(Sancoes!$D$2:$D$301&lt;&gt;"")*(Sancoes!$D$2:$D$301&lt;=F769)*(((Sancoes!$E$2:$E$301="")+(Sancoes!$E$2:$E$301&gt;=F769))&gt;0))&gt;0,"SANÇÃO VIGENTE NA DATA — leia o tipo e a abrangência",""))</f>
        <v/>
      </c>
      <c r="L769" s="19" t="str">
        <f aca="false">IF(A769="","",IFERROR(INDEX(Empresas!$B:$B,MATCH(A769,Empresas!$A:$A,0))&amp;"","cadastre o CNPJ em Empresas"))</f>
        <v/>
      </c>
      <c r="M769" s="27"/>
      <c r="N769" s="35"/>
      <c r="O769" s="37" t="str">
        <f aca="false">IF(OR(D769="",D769=0,N769=""),"",N769/D769)</f>
        <v/>
      </c>
      <c r="P769" s="19" t="str">
        <f aca="false">IF(O769="","",IF(O769&gt;0.25,"ACRÉSCIMO ACIMA DE 25% — conferir",""))</f>
        <v/>
      </c>
      <c r="Q769" s="27"/>
      <c r="R769" s="5"/>
    </row>
    <row r="770" customFormat="false" ht="15" hidden="false" customHeight="false" outlineLevel="0" collapsed="false">
      <c r="A770" s="27"/>
      <c r="B770" s="5"/>
      <c r="C770" s="5"/>
      <c r="D770" s="35"/>
      <c r="E770" s="14"/>
      <c r="F770" s="18"/>
      <c r="G770" s="31" t="str">
        <f aca="false">IF(A770="","",IFERROR(IF(INDEX(Empresas!$C:$C,MATCH(A770,Empresas!$A:$A,0))="","",INDEX(Empresas!$C:$C,MATCH(A770,Empresas!$A:$A,0))),""))</f>
        <v/>
      </c>
      <c r="H770" s="18"/>
      <c r="I770" s="19" t="str">
        <f aca="false">IF(OR(F770="",G770=""),"",IF(F770-G770&lt;0,"CONTRATO ANTERIOR À ABERTURA — conferir datas",IF(F770-G770&lt;180,"ABERTA MENOS DE 6 MESES ANTES","")))</f>
        <v/>
      </c>
      <c r="J770" s="19" t="str">
        <f aca="false">IF(A770="","",IFERROR(INDEX(Sancoes!$B:$B,MATCH(A770,Sancoes!$A:$A,0))&amp;"","não consta"))</f>
        <v/>
      </c>
      <c r="K770" s="19" t="str">
        <f aca="false">IF(OR(A770="",F770=""),"",IF(SUMPRODUCT((Sancoes!$A$2:$A$301=A770)*(Sancoes!$B$2:$B$301&lt;&gt;"Não consta")*(Sancoes!$D$2:$D$301&lt;&gt;"")*(Sancoes!$D$2:$D$301&lt;=F770)*(((Sancoes!$E$2:$E$301="")+(Sancoes!$E$2:$E$301&gt;=F770))&gt;0))&gt;0,"SANÇÃO VIGENTE NA DATA — leia o tipo e a abrangência",""))</f>
        <v/>
      </c>
      <c r="L770" s="19" t="str">
        <f aca="false">IF(A770="","",IFERROR(INDEX(Empresas!$B:$B,MATCH(A770,Empresas!$A:$A,0))&amp;"","cadastre o CNPJ em Empresas"))</f>
        <v/>
      </c>
      <c r="M770" s="27"/>
      <c r="N770" s="35"/>
      <c r="O770" s="37" t="str">
        <f aca="false">IF(OR(D770="",D770=0,N770=""),"",N770/D770)</f>
        <v/>
      </c>
      <c r="P770" s="19" t="str">
        <f aca="false">IF(O770="","",IF(O770&gt;0.25,"ACRÉSCIMO ACIMA DE 25% — conferir",""))</f>
        <v/>
      </c>
      <c r="Q770" s="27"/>
      <c r="R770" s="5"/>
    </row>
    <row r="771" customFormat="false" ht="15" hidden="false" customHeight="false" outlineLevel="0" collapsed="false">
      <c r="A771" s="27"/>
      <c r="B771" s="5"/>
      <c r="C771" s="5"/>
      <c r="D771" s="35"/>
      <c r="E771" s="14"/>
      <c r="F771" s="18"/>
      <c r="G771" s="31" t="str">
        <f aca="false">IF(A771="","",IFERROR(IF(INDEX(Empresas!$C:$C,MATCH(A771,Empresas!$A:$A,0))="","",INDEX(Empresas!$C:$C,MATCH(A771,Empresas!$A:$A,0))),""))</f>
        <v/>
      </c>
      <c r="H771" s="18"/>
      <c r="I771" s="19" t="str">
        <f aca="false">IF(OR(F771="",G771=""),"",IF(F771-G771&lt;0,"CONTRATO ANTERIOR À ABERTURA — conferir datas",IF(F771-G771&lt;180,"ABERTA MENOS DE 6 MESES ANTES","")))</f>
        <v/>
      </c>
      <c r="J771" s="19" t="str">
        <f aca="false">IF(A771="","",IFERROR(INDEX(Sancoes!$B:$B,MATCH(A771,Sancoes!$A:$A,0))&amp;"","não consta"))</f>
        <v/>
      </c>
      <c r="K771" s="19" t="str">
        <f aca="false">IF(OR(A771="",F771=""),"",IF(SUMPRODUCT((Sancoes!$A$2:$A$301=A771)*(Sancoes!$B$2:$B$301&lt;&gt;"Não consta")*(Sancoes!$D$2:$D$301&lt;&gt;"")*(Sancoes!$D$2:$D$301&lt;=F771)*(((Sancoes!$E$2:$E$301="")+(Sancoes!$E$2:$E$301&gt;=F771))&gt;0))&gt;0,"SANÇÃO VIGENTE NA DATA — leia o tipo e a abrangência",""))</f>
        <v/>
      </c>
      <c r="L771" s="19" t="str">
        <f aca="false">IF(A771="","",IFERROR(INDEX(Empresas!$B:$B,MATCH(A771,Empresas!$A:$A,0))&amp;"","cadastre o CNPJ em Empresas"))</f>
        <v/>
      </c>
      <c r="M771" s="27"/>
      <c r="N771" s="35"/>
      <c r="O771" s="37" t="str">
        <f aca="false">IF(OR(D771="",D771=0,N771=""),"",N771/D771)</f>
        <v/>
      </c>
      <c r="P771" s="19" t="str">
        <f aca="false">IF(O771="","",IF(O771&gt;0.25,"ACRÉSCIMO ACIMA DE 25% — conferir",""))</f>
        <v/>
      </c>
      <c r="Q771" s="27"/>
      <c r="R771" s="5"/>
    </row>
    <row r="772" customFormat="false" ht="15" hidden="false" customHeight="false" outlineLevel="0" collapsed="false">
      <c r="A772" s="27"/>
      <c r="B772" s="5"/>
      <c r="C772" s="5"/>
      <c r="D772" s="35"/>
      <c r="E772" s="14"/>
      <c r="F772" s="18"/>
      <c r="G772" s="31" t="str">
        <f aca="false">IF(A772="","",IFERROR(IF(INDEX(Empresas!$C:$C,MATCH(A772,Empresas!$A:$A,0))="","",INDEX(Empresas!$C:$C,MATCH(A772,Empresas!$A:$A,0))),""))</f>
        <v/>
      </c>
      <c r="H772" s="18"/>
      <c r="I772" s="19" t="str">
        <f aca="false">IF(OR(F772="",G772=""),"",IF(F772-G772&lt;0,"CONTRATO ANTERIOR À ABERTURA — conferir datas",IF(F772-G772&lt;180,"ABERTA MENOS DE 6 MESES ANTES","")))</f>
        <v/>
      </c>
      <c r="J772" s="19" t="str">
        <f aca="false">IF(A772="","",IFERROR(INDEX(Sancoes!$B:$B,MATCH(A772,Sancoes!$A:$A,0))&amp;"","não consta"))</f>
        <v/>
      </c>
      <c r="K772" s="19" t="str">
        <f aca="false">IF(OR(A772="",F772=""),"",IF(SUMPRODUCT((Sancoes!$A$2:$A$301=A772)*(Sancoes!$B$2:$B$301&lt;&gt;"Não consta")*(Sancoes!$D$2:$D$301&lt;&gt;"")*(Sancoes!$D$2:$D$301&lt;=F772)*(((Sancoes!$E$2:$E$301="")+(Sancoes!$E$2:$E$301&gt;=F772))&gt;0))&gt;0,"SANÇÃO VIGENTE NA DATA — leia o tipo e a abrangência",""))</f>
        <v/>
      </c>
      <c r="L772" s="19" t="str">
        <f aca="false">IF(A772="","",IFERROR(INDEX(Empresas!$B:$B,MATCH(A772,Empresas!$A:$A,0))&amp;"","cadastre o CNPJ em Empresas"))</f>
        <v/>
      </c>
      <c r="M772" s="27"/>
      <c r="N772" s="35"/>
      <c r="O772" s="37" t="str">
        <f aca="false">IF(OR(D772="",D772=0,N772=""),"",N772/D772)</f>
        <v/>
      </c>
      <c r="P772" s="19" t="str">
        <f aca="false">IF(O772="","",IF(O772&gt;0.25,"ACRÉSCIMO ACIMA DE 25% — conferir",""))</f>
        <v/>
      </c>
      <c r="Q772" s="27"/>
      <c r="R772" s="5"/>
    </row>
    <row r="773" customFormat="false" ht="15" hidden="false" customHeight="false" outlineLevel="0" collapsed="false">
      <c r="A773" s="27"/>
      <c r="B773" s="5"/>
      <c r="C773" s="5"/>
      <c r="D773" s="35"/>
      <c r="E773" s="14"/>
      <c r="F773" s="18"/>
      <c r="G773" s="31" t="str">
        <f aca="false">IF(A773="","",IFERROR(IF(INDEX(Empresas!$C:$C,MATCH(A773,Empresas!$A:$A,0))="","",INDEX(Empresas!$C:$C,MATCH(A773,Empresas!$A:$A,0))),""))</f>
        <v/>
      </c>
      <c r="H773" s="18"/>
      <c r="I773" s="19" t="str">
        <f aca="false">IF(OR(F773="",G773=""),"",IF(F773-G773&lt;0,"CONTRATO ANTERIOR À ABERTURA — conferir datas",IF(F773-G773&lt;180,"ABERTA MENOS DE 6 MESES ANTES","")))</f>
        <v/>
      </c>
      <c r="J773" s="19" t="str">
        <f aca="false">IF(A773="","",IFERROR(INDEX(Sancoes!$B:$B,MATCH(A773,Sancoes!$A:$A,0))&amp;"","não consta"))</f>
        <v/>
      </c>
      <c r="K773" s="19" t="str">
        <f aca="false">IF(OR(A773="",F773=""),"",IF(SUMPRODUCT((Sancoes!$A$2:$A$301=A773)*(Sancoes!$B$2:$B$301&lt;&gt;"Não consta")*(Sancoes!$D$2:$D$301&lt;&gt;"")*(Sancoes!$D$2:$D$301&lt;=F773)*(((Sancoes!$E$2:$E$301="")+(Sancoes!$E$2:$E$301&gt;=F773))&gt;0))&gt;0,"SANÇÃO VIGENTE NA DATA — leia o tipo e a abrangência",""))</f>
        <v/>
      </c>
      <c r="L773" s="19" t="str">
        <f aca="false">IF(A773="","",IFERROR(INDEX(Empresas!$B:$B,MATCH(A773,Empresas!$A:$A,0))&amp;"","cadastre o CNPJ em Empresas"))</f>
        <v/>
      </c>
      <c r="M773" s="27"/>
      <c r="N773" s="35"/>
      <c r="O773" s="37" t="str">
        <f aca="false">IF(OR(D773="",D773=0,N773=""),"",N773/D773)</f>
        <v/>
      </c>
      <c r="P773" s="19" t="str">
        <f aca="false">IF(O773="","",IF(O773&gt;0.25,"ACRÉSCIMO ACIMA DE 25% — conferir",""))</f>
        <v/>
      </c>
      <c r="Q773" s="27"/>
      <c r="R773" s="5"/>
    </row>
    <row r="774" customFormat="false" ht="15" hidden="false" customHeight="false" outlineLevel="0" collapsed="false">
      <c r="A774" s="27"/>
      <c r="B774" s="5"/>
      <c r="C774" s="5"/>
      <c r="D774" s="35"/>
      <c r="E774" s="14"/>
      <c r="F774" s="18"/>
      <c r="G774" s="31" t="str">
        <f aca="false">IF(A774="","",IFERROR(IF(INDEX(Empresas!$C:$C,MATCH(A774,Empresas!$A:$A,0))="","",INDEX(Empresas!$C:$C,MATCH(A774,Empresas!$A:$A,0))),""))</f>
        <v/>
      </c>
      <c r="H774" s="18"/>
      <c r="I774" s="19" t="str">
        <f aca="false">IF(OR(F774="",G774=""),"",IF(F774-G774&lt;0,"CONTRATO ANTERIOR À ABERTURA — conferir datas",IF(F774-G774&lt;180,"ABERTA MENOS DE 6 MESES ANTES","")))</f>
        <v/>
      </c>
      <c r="J774" s="19" t="str">
        <f aca="false">IF(A774="","",IFERROR(INDEX(Sancoes!$B:$B,MATCH(A774,Sancoes!$A:$A,0))&amp;"","não consta"))</f>
        <v/>
      </c>
      <c r="K774" s="19" t="str">
        <f aca="false">IF(OR(A774="",F774=""),"",IF(SUMPRODUCT((Sancoes!$A$2:$A$301=A774)*(Sancoes!$B$2:$B$301&lt;&gt;"Não consta")*(Sancoes!$D$2:$D$301&lt;&gt;"")*(Sancoes!$D$2:$D$301&lt;=F774)*(((Sancoes!$E$2:$E$301="")+(Sancoes!$E$2:$E$301&gt;=F774))&gt;0))&gt;0,"SANÇÃO VIGENTE NA DATA — leia o tipo e a abrangência",""))</f>
        <v/>
      </c>
      <c r="L774" s="19" t="str">
        <f aca="false">IF(A774="","",IFERROR(INDEX(Empresas!$B:$B,MATCH(A774,Empresas!$A:$A,0))&amp;"","cadastre o CNPJ em Empresas"))</f>
        <v/>
      </c>
      <c r="M774" s="27"/>
      <c r="N774" s="35"/>
      <c r="O774" s="37" t="str">
        <f aca="false">IF(OR(D774="",D774=0,N774=""),"",N774/D774)</f>
        <v/>
      </c>
      <c r="P774" s="19" t="str">
        <f aca="false">IF(O774="","",IF(O774&gt;0.25,"ACRÉSCIMO ACIMA DE 25% — conferir",""))</f>
        <v/>
      </c>
      <c r="Q774" s="27"/>
      <c r="R774" s="5"/>
    </row>
    <row r="775" customFormat="false" ht="15" hidden="false" customHeight="false" outlineLevel="0" collapsed="false">
      <c r="A775" s="27"/>
      <c r="B775" s="5"/>
      <c r="C775" s="5"/>
      <c r="D775" s="35"/>
      <c r="E775" s="14"/>
      <c r="F775" s="18"/>
      <c r="G775" s="31" t="str">
        <f aca="false">IF(A775="","",IFERROR(IF(INDEX(Empresas!$C:$C,MATCH(A775,Empresas!$A:$A,0))="","",INDEX(Empresas!$C:$C,MATCH(A775,Empresas!$A:$A,0))),""))</f>
        <v/>
      </c>
      <c r="H775" s="18"/>
      <c r="I775" s="19" t="str">
        <f aca="false">IF(OR(F775="",G775=""),"",IF(F775-G775&lt;0,"CONTRATO ANTERIOR À ABERTURA — conferir datas",IF(F775-G775&lt;180,"ABERTA MENOS DE 6 MESES ANTES","")))</f>
        <v/>
      </c>
      <c r="J775" s="19" t="str">
        <f aca="false">IF(A775="","",IFERROR(INDEX(Sancoes!$B:$B,MATCH(A775,Sancoes!$A:$A,0))&amp;"","não consta"))</f>
        <v/>
      </c>
      <c r="K775" s="19" t="str">
        <f aca="false">IF(OR(A775="",F775=""),"",IF(SUMPRODUCT((Sancoes!$A$2:$A$301=A775)*(Sancoes!$B$2:$B$301&lt;&gt;"Não consta")*(Sancoes!$D$2:$D$301&lt;&gt;"")*(Sancoes!$D$2:$D$301&lt;=F775)*(((Sancoes!$E$2:$E$301="")+(Sancoes!$E$2:$E$301&gt;=F775))&gt;0))&gt;0,"SANÇÃO VIGENTE NA DATA — leia o tipo e a abrangência",""))</f>
        <v/>
      </c>
      <c r="L775" s="19" t="str">
        <f aca="false">IF(A775="","",IFERROR(INDEX(Empresas!$B:$B,MATCH(A775,Empresas!$A:$A,0))&amp;"","cadastre o CNPJ em Empresas"))</f>
        <v/>
      </c>
      <c r="M775" s="27"/>
      <c r="N775" s="35"/>
      <c r="O775" s="37" t="str">
        <f aca="false">IF(OR(D775="",D775=0,N775=""),"",N775/D775)</f>
        <v/>
      </c>
      <c r="P775" s="19" t="str">
        <f aca="false">IF(O775="","",IF(O775&gt;0.25,"ACRÉSCIMO ACIMA DE 25% — conferir",""))</f>
        <v/>
      </c>
      <c r="Q775" s="27"/>
      <c r="R775" s="5"/>
    </row>
    <row r="776" customFormat="false" ht="15" hidden="false" customHeight="false" outlineLevel="0" collapsed="false">
      <c r="A776" s="27"/>
      <c r="B776" s="5"/>
      <c r="C776" s="5"/>
      <c r="D776" s="35"/>
      <c r="E776" s="14"/>
      <c r="F776" s="18"/>
      <c r="G776" s="31" t="str">
        <f aca="false">IF(A776="","",IFERROR(IF(INDEX(Empresas!$C:$C,MATCH(A776,Empresas!$A:$A,0))="","",INDEX(Empresas!$C:$C,MATCH(A776,Empresas!$A:$A,0))),""))</f>
        <v/>
      </c>
      <c r="H776" s="18"/>
      <c r="I776" s="19" t="str">
        <f aca="false">IF(OR(F776="",G776=""),"",IF(F776-G776&lt;0,"CONTRATO ANTERIOR À ABERTURA — conferir datas",IF(F776-G776&lt;180,"ABERTA MENOS DE 6 MESES ANTES","")))</f>
        <v/>
      </c>
      <c r="J776" s="19" t="str">
        <f aca="false">IF(A776="","",IFERROR(INDEX(Sancoes!$B:$B,MATCH(A776,Sancoes!$A:$A,0))&amp;"","não consta"))</f>
        <v/>
      </c>
      <c r="K776" s="19" t="str">
        <f aca="false">IF(OR(A776="",F776=""),"",IF(SUMPRODUCT((Sancoes!$A$2:$A$301=A776)*(Sancoes!$B$2:$B$301&lt;&gt;"Não consta")*(Sancoes!$D$2:$D$301&lt;&gt;"")*(Sancoes!$D$2:$D$301&lt;=F776)*(((Sancoes!$E$2:$E$301="")+(Sancoes!$E$2:$E$301&gt;=F776))&gt;0))&gt;0,"SANÇÃO VIGENTE NA DATA — leia o tipo e a abrangência",""))</f>
        <v/>
      </c>
      <c r="L776" s="19" t="str">
        <f aca="false">IF(A776="","",IFERROR(INDEX(Empresas!$B:$B,MATCH(A776,Empresas!$A:$A,0))&amp;"","cadastre o CNPJ em Empresas"))</f>
        <v/>
      </c>
      <c r="M776" s="27"/>
      <c r="N776" s="35"/>
      <c r="O776" s="37" t="str">
        <f aca="false">IF(OR(D776="",D776=0,N776=""),"",N776/D776)</f>
        <v/>
      </c>
      <c r="P776" s="19" t="str">
        <f aca="false">IF(O776="","",IF(O776&gt;0.25,"ACRÉSCIMO ACIMA DE 25% — conferir",""))</f>
        <v/>
      </c>
      <c r="Q776" s="27"/>
      <c r="R776" s="5"/>
    </row>
    <row r="777" customFormat="false" ht="15" hidden="false" customHeight="false" outlineLevel="0" collapsed="false">
      <c r="A777" s="27"/>
      <c r="B777" s="5"/>
      <c r="C777" s="5"/>
      <c r="D777" s="35"/>
      <c r="E777" s="14"/>
      <c r="F777" s="18"/>
      <c r="G777" s="31" t="str">
        <f aca="false">IF(A777="","",IFERROR(IF(INDEX(Empresas!$C:$C,MATCH(A777,Empresas!$A:$A,0))="","",INDEX(Empresas!$C:$C,MATCH(A777,Empresas!$A:$A,0))),""))</f>
        <v/>
      </c>
      <c r="H777" s="18"/>
      <c r="I777" s="19" t="str">
        <f aca="false">IF(OR(F777="",G777=""),"",IF(F777-G777&lt;0,"CONTRATO ANTERIOR À ABERTURA — conferir datas",IF(F777-G777&lt;180,"ABERTA MENOS DE 6 MESES ANTES","")))</f>
        <v/>
      </c>
      <c r="J777" s="19" t="str">
        <f aca="false">IF(A777="","",IFERROR(INDEX(Sancoes!$B:$B,MATCH(A777,Sancoes!$A:$A,0))&amp;"","não consta"))</f>
        <v/>
      </c>
      <c r="K777" s="19" t="str">
        <f aca="false">IF(OR(A777="",F777=""),"",IF(SUMPRODUCT((Sancoes!$A$2:$A$301=A777)*(Sancoes!$B$2:$B$301&lt;&gt;"Não consta")*(Sancoes!$D$2:$D$301&lt;&gt;"")*(Sancoes!$D$2:$D$301&lt;=F777)*(((Sancoes!$E$2:$E$301="")+(Sancoes!$E$2:$E$301&gt;=F777))&gt;0))&gt;0,"SANÇÃO VIGENTE NA DATA — leia o tipo e a abrangência",""))</f>
        <v/>
      </c>
      <c r="L777" s="19" t="str">
        <f aca="false">IF(A777="","",IFERROR(INDEX(Empresas!$B:$B,MATCH(A777,Empresas!$A:$A,0))&amp;"","cadastre o CNPJ em Empresas"))</f>
        <v/>
      </c>
      <c r="M777" s="27"/>
      <c r="N777" s="35"/>
      <c r="O777" s="37" t="str">
        <f aca="false">IF(OR(D777="",D777=0,N777=""),"",N777/D777)</f>
        <v/>
      </c>
      <c r="P777" s="19" t="str">
        <f aca="false">IF(O777="","",IF(O777&gt;0.25,"ACRÉSCIMO ACIMA DE 25% — conferir",""))</f>
        <v/>
      </c>
      <c r="Q777" s="27"/>
      <c r="R777" s="5"/>
    </row>
    <row r="778" customFormat="false" ht="15" hidden="false" customHeight="false" outlineLevel="0" collapsed="false">
      <c r="A778" s="27"/>
      <c r="B778" s="5"/>
      <c r="C778" s="5"/>
      <c r="D778" s="35"/>
      <c r="E778" s="14"/>
      <c r="F778" s="18"/>
      <c r="G778" s="31" t="str">
        <f aca="false">IF(A778="","",IFERROR(IF(INDEX(Empresas!$C:$C,MATCH(A778,Empresas!$A:$A,0))="","",INDEX(Empresas!$C:$C,MATCH(A778,Empresas!$A:$A,0))),""))</f>
        <v/>
      </c>
      <c r="H778" s="18"/>
      <c r="I778" s="19" t="str">
        <f aca="false">IF(OR(F778="",G778=""),"",IF(F778-G778&lt;0,"CONTRATO ANTERIOR À ABERTURA — conferir datas",IF(F778-G778&lt;180,"ABERTA MENOS DE 6 MESES ANTES","")))</f>
        <v/>
      </c>
      <c r="J778" s="19" t="str">
        <f aca="false">IF(A778="","",IFERROR(INDEX(Sancoes!$B:$B,MATCH(A778,Sancoes!$A:$A,0))&amp;"","não consta"))</f>
        <v/>
      </c>
      <c r="K778" s="19" t="str">
        <f aca="false">IF(OR(A778="",F778=""),"",IF(SUMPRODUCT((Sancoes!$A$2:$A$301=A778)*(Sancoes!$B$2:$B$301&lt;&gt;"Não consta")*(Sancoes!$D$2:$D$301&lt;&gt;"")*(Sancoes!$D$2:$D$301&lt;=F778)*(((Sancoes!$E$2:$E$301="")+(Sancoes!$E$2:$E$301&gt;=F778))&gt;0))&gt;0,"SANÇÃO VIGENTE NA DATA — leia o tipo e a abrangência",""))</f>
        <v/>
      </c>
      <c r="L778" s="19" t="str">
        <f aca="false">IF(A778="","",IFERROR(INDEX(Empresas!$B:$B,MATCH(A778,Empresas!$A:$A,0))&amp;"","cadastre o CNPJ em Empresas"))</f>
        <v/>
      </c>
      <c r="M778" s="27"/>
      <c r="N778" s="35"/>
      <c r="O778" s="37" t="str">
        <f aca="false">IF(OR(D778="",D778=0,N778=""),"",N778/D778)</f>
        <v/>
      </c>
      <c r="P778" s="19" t="str">
        <f aca="false">IF(O778="","",IF(O778&gt;0.25,"ACRÉSCIMO ACIMA DE 25% — conferir",""))</f>
        <v/>
      </c>
      <c r="Q778" s="27"/>
      <c r="R778" s="5"/>
    </row>
    <row r="779" customFormat="false" ht="15" hidden="false" customHeight="false" outlineLevel="0" collapsed="false">
      <c r="A779" s="27"/>
      <c r="B779" s="5"/>
      <c r="C779" s="5"/>
      <c r="D779" s="35"/>
      <c r="E779" s="14"/>
      <c r="F779" s="18"/>
      <c r="G779" s="31" t="str">
        <f aca="false">IF(A779="","",IFERROR(IF(INDEX(Empresas!$C:$C,MATCH(A779,Empresas!$A:$A,0))="","",INDEX(Empresas!$C:$C,MATCH(A779,Empresas!$A:$A,0))),""))</f>
        <v/>
      </c>
      <c r="H779" s="18"/>
      <c r="I779" s="19" t="str">
        <f aca="false">IF(OR(F779="",G779=""),"",IF(F779-G779&lt;0,"CONTRATO ANTERIOR À ABERTURA — conferir datas",IF(F779-G779&lt;180,"ABERTA MENOS DE 6 MESES ANTES","")))</f>
        <v/>
      </c>
      <c r="J779" s="19" t="str">
        <f aca="false">IF(A779="","",IFERROR(INDEX(Sancoes!$B:$B,MATCH(A779,Sancoes!$A:$A,0))&amp;"","não consta"))</f>
        <v/>
      </c>
      <c r="K779" s="19" t="str">
        <f aca="false">IF(OR(A779="",F779=""),"",IF(SUMPRODUCT((Sancoes!$A$2:$A$301=A779)*(Sancoes!$B$2:$B$301&lt;&gt;"Não consta")*(Sancoes!$D$2:$D$301&lt;&gt;"")*(Sancoes!$D$2:$D$301&lt;=F779)*(((Sancoes!$E$2:$E$301="")+(Sancoes!$E$2:$E$301&gt;=F779))&gt;0))&gt;0,"SANÇÃO VIGENTE NA DATA — leia o tipo e a abrangência",""))</f>
        <v/>
      </c>
      <c r="L779" s="19" t="str">
        <f aca="false">IF(A779="","",IFERROR(INDEX(Empresas!$B:$B,MATCH(A779,Empresas!$A:$A,0))&amp;"","cadastre o CNPJ em Empresas"))</f>
        <v/>
      </c>
      <c r="M779" s="27"/>
      <c r="N779" s="35"/>
      <c r="O779" s="37" t="str">
        <f aca="false">IF(OR(D779="",D779=0,N779=""),"",N779/D779)</f>
        <v/>
      </c>
      <c r="P779" s="19" t="str">
        <f aca="false">IF(O779="","",IF(O779&gt;0.25,"ACRÉSCIMO ACIMA DE 25% — conferir",""))</f>
        <v/>
      </c>
      <c r="Q779" s="27"/>
      <c r="R779" s="5"/>
    </row>
    <row r="780" customFormat="false" ht="15" hidden="false" customHeight="false" outlineLevel="0" collapsed="false">
      <c r="A780" s="27"/>
      <c r="B780" s="5"/>
      <c r="C780" s="5"/>
      <c r="D780" s="35"/>
      <c r="E780" s="14"/>
      <c r="F780" s="18"/>
      <c r="G780" s="31" t="str">
        <f aca="false">IF(A780="","",IFERROR(IF(INDEX(Empresas!$C:$C,MATCH(A780,Empresas!$A:$A,0))="","",INDEX(Empresas!$C:$C,MATCH(A780,Empresas!$A:$A,0))),""))</f>
        <v/>
      </c>
      <c r="H780" s="18"/>
      <c r="I780" s="19" t="str">
        <f aca="false">IF(OR(F780="",G780=""),"",IF(F780-G780&lt;0,"CONTRATO ANTERIOR À ABERTURA — conferir datas",IF(F780-G780&lt;180,"ABERTA MENOS DE 6 MESES ANTES","")))</f>
        <v/>
      </c>
      <c r="J780" s="19" t="str">
        <f aca="false">IF(A780="","",IFERROR(INDEX(Sancoes!$B:$B,MATCH(A780,Sancoes!$A:$A,0))&amp;"","não consta"))</f>
        <v/>
      </c>
      <c r="K780" s="19" t="str">
        <f aca="false">IF(OR(A780="",F780=""),"",IF(SUMPRODUCT((Sancoes!$A$2:$A$301=A780)*(Sancoes!$B$2:$B$301&lt;&gt;"Não consta")*(Sancoes!$D$2:$D$301&lt;&gt;"")*(Sancoes!$D$2:$D$301&lt;=F780)*(((Sancoes!$E$2:$E$301="")+(Sancoes!$E$2:$E$301&gt;=F780))&gt;0))&gt;0,"SANÇÃO VIGENTE NA DATA — leia o tipo e a abrangência",""))</f>
        <v/>
      </c>
      <c r="L780" s="19" t="str">
        <f aca="false">IF(A780="","",IFERROR(INDEX(Empresas!$B:$B,MATCH(A780,Empresas!$A:$A,0))&amp;"","cadastre o CNPJ em Empresas"))</f>
        <v/>
      </c>
      <c r="M780" s="27"/>
      <c r="N780" s="35"/>
      <c r="O780" s="37" t="str">
        <f aca="false">IF(OR(D780="",D780=0,N780=""),"",N780/D780)</f>
        <v/>
      </c>
      <c r="P780" s="19" t="str">
        <f aca="false">IF(O780="","",IF(O780&gt;0.25,"ACRÉSCIMO ACIMA DE 25% — conferir",""))</f>
        <v/>
      </c>
      <c r="Q780" s="27"/>
      <c r="R780" s="5"/>
    </row>
    <row r="781" customFormat="false" ht="15" hidden="false" customHeight="false" outlineLevel="0" collapsed="false">
      <c r="A781" s="27"/>
      <c r="B781" s="5"/>
      <c r="C781" s="5"/>
      <c r="D781" s="35"/>
      <c r="E781" s="14"/>
      <c r="F781" s="18"/>
      <c r="G781" s="31" t="str">
        <f aca="false">IF(A781="","",IFERROR(IF(INDEX(Empresas!$C:$C,MATCH(A781,Empresas!$A:$A,0))="","",INDEX(Empresas!$C:$C,MATCH(A781,Empresas!$A:$A,0))),""))</f>
        <v/>
      </c>
      <c r="H781" s="18"/>
      <c r="I781" s="19" t="str">
        <f aca="false">IF(OR(F781="",G781=""),"",IF(F781-G781&lt;0,"CONTRATO ANTERIOR À ABERTURA — conferir datas",IF(F781-G781&lt;180,"ABERTA MENOS DE 6 MESES ANTES","")))</f>
        <v/>
      </c>
      <c r="J781" s="19" t="str">
        <f aca="false">IF(A781="","",IFERROR(INDEX(Sancoes!$B:$B,MATCH(A781,Sancoes!$A:$A,0))&amp;"","não consta"))</f>
        <v/>
      </c>
      <c r="K781" s="19" t="str">
        <f aca="false">IF(OR(A781="",F781=""),"",IF(SUMPRODUCT((Sancoes!$A$2:$A$301=A781)*(Sancoes!$B$2:$B$301&lt;&gt;"Não consta")*(Sancoes!$D$2:$D$301&lt;&gt;"")*(Sancoes!$D$2:$D$301&lt;=F781)*(((Sancoes!$E$2:$E$301="")+(Sancoes!$E$2:$E$301&gt;=F781))&gt;0))&gt;0,"SANÇÃO VIGENTE NA DATA — leia o tipo e a abrangência",""))</f>
        <v/>
      </c>
      <c r="L781" s="19" t="str">
        <f aca="false">IF(A781="","",IFERROR(INDEX(Empresas!$B:$B,MATCH(A781,Empresas!$A:$A,0))&amp;"","cadastre o CNPJ em Empresas"))</f>
        <v/>
      </c>
      <c r="M781" s="27"/>
      <c r="N781" s="35"/>
      <c r="O781" s="37" t="str">
        <f aca="false">IF(OR(D781="",D781=0,N781=""),"",N781/D781)</f>
        <v/>
      </c>
      <c r="P781" s="19" t="str">
        <f aca="false">IF(O781="","",IF(O781&gt;0.25,"ACRÉSCIMO ACIMA DE 25% — conferir",""))</f>
        <v/>
      </c>
      <c r="Q781" s="27"/>
      <c r="R781" s="5"/>
    </row>
    <row r="782" customFormat="false" ht="15" hidden="false" customHeight="false" outlineLevel="0" collapsed="false">
      <c r="A782" s="27"/>
      <c r="B782" s="5"/>
      <c r="C782" s="5"/>
      <c r="D782" s="35"/>
      <c r="E782" s="14"/>
      <c r="F782" s="18"/>
      <c r="G782" s="31" t="str">
        <f aca="false">IF(A782="","",IFERROR(IF(INDEX(Empresas!$C:$C,MATCH(A782,Empresas!$A:$A,0))="","",INDEX(Empresas!$C:$C,MATCH(A782,Empresas!$A:$A,0))),""))</f>
        <v/>
      </c>
      <c r="H782" s="18"/>
      <c r="I782" s="19" t="str">
        <f aca="false">IF(OR(F782="",G782=""),"",IF(F782-G782&lt;0,"CONTRATO ANTERIOR À ABERTURA — conferir datas",IF(F782-G782&lt;180,"ABERTA MENOS DE 6 MESES ANTES","")))</f>
        <v/>
      </c>
      <c r="J782" s="19" t="str">
        <f aca="false">IF(A782="","",IFERROR(INDEX(Sancoes!$B:$B,MATCH(A782,Sancoes!$A:$A,0))&amp;"","não consta"))</f>
        <v/>
      </c>
      <c r="K782" s="19" t="str">
        <f aca="false">IF(OR(A782="",F782=""),"",IF(SUMPRODUCT((Sancoes!$A$2:$A$301=A782)*(Sancoes!$B$2:$B$301&lt;&gt;"Não consta")*(Sancoes!$D$2:$D$301&lt;&gt;"")*(Sancoes!$D$2:$D$301&lt;=F782)*(((Sancoes!$E$2:$E$301="")+(Sancoes!$E$2:$E$301&gt;=F782))&gt;0))&gt;0,"SANÇÃO VIGENTE NA DATA — leia o tipo e a abrangência",""))</f>
        <v/>
      </c>
      <c r="L782" s="19" t="str">
        <f aca="false">IF(A782="","",IFERROR(INDEX(Empresas!$B:$B,MATCH(A782,Empresas!$A:$A,0))&amp;"","cadastre o CNPJ em Empresas"))</f>
        <v/>
      </c>
      <c r="M782" s="27"/>
      <c r="N782" s="35"/>
      <c r="O782" s="37" t="str">
        <f aca="false">IF(OR(D782="",D782=0,N782=""),"",N782/D782)</f>
        <v/>
      </c>
      <c r="P782" s="19" t="str">
        <f aca="false">IF(O782="","",IF(O782&gt;0.25,"ACRÉSCIMO ACIMA DE 25% — conferir",""))</f>
        <v/>
      </c>
      <c r="Q782" s="27"/>
      <c r="R782" s="5"/>
    </row>
    <row r="783" customFormat="false" ht="15" hidden="false" customHeight="false" outlineLevel="0" collapsed="false">
      <c r="A783" s="27"/>
      <c r="B783" s="5"/>
      <c r="C783" s="5"/>
      <c r="D783" s="35"/>
      <c r="E783" s="14"/>
      <c r="F783" s="18"/>
      <c r="G783" s="31" t="str">
        <f aca="false">IF(A783="","",IFERROR(IF(INDEX(Empresas!$C:$C,MATCH(A783,Empresas!$A:$A,0))="","",INDEX(Empresas!$C:$C,MATCH(A783,Empresas!$A:$A,0))),""))</f>
        <v/>
      </c>
      <c r="H783" s="18"/>
      <c r="I783" s="19" t="str">
        <f aca="false">IF(OR(F783="",G783=""),"",IF(F783-G783&lt;0,"CONTRATO ANTERIOR À ABERTURA — conferir datas",IF(F783-G783&lt;180,"ABERTA MENOS DE 6 MESES ANTES","")))</f>
        <v/>
      </c>
      <c r="J783" s="19" t="str">
        <f aca="false">IF(A783="","",IFERROR(INDEX(Sancoes!$B:$B,MATCH(A783,Sancoes!$A:$A,0))&amp;"","não consta"))</f>
        <v/>
      </c>
      <c r="K783" s="19" t="str">
        <f aca="false">IF(OR(A783="",F783=""),"",IF(SUMPRODUCT((Sancoes!$A$2:$A$301=A783)*(Sancoes!$B$2:$B$301&lt;&gt;"Não consta")*(Sancoes!$D$2:$D$301&lt;&gt;"")*(Sancoes!$D$2:$D$301&lt;=F783)*(((Sancoes!$E$2:$E$301="")+(Sancoes!$E$2:$E$301&gt;=F783))&gt;0))&gt;0,"SANÇÃO VIGENTE NA DATA — leia o tipo e a abrangência",""))</f>
        <v/>
      </c>
      <c r="L783" s="19" t="str">
        <f aca="false">IF(A783="","",IFERROR(INDEX(Empresas!$B:$B,MATCH(A783,Empresas!$A:$A,0))&amp;"","cadastre o CNPJ em Empresas"))</f>
        <v/>
      </c>
      <c r="M783" s="27"/>
      <c r="N783" s="35"/>
      <c r="O783" s="37" t="str">
        <f aca="false">IF(OR(D783="",D783=0,N783=""),"",N783/D783)</f>
        <v/>
      </c>
      <c r="P783" s="19" t="str">
        <f aca="false">IF(O783="","",IF(O783&gt;0.25,"ACRÉSCIMO ACIMA DE 25% — conferir",""))</f>
        <v/>
      </c>
      <c r="Q783" s="27"/>
      <c r="R783" s="5"/>
    </row>
    <row r="784" customFormat="false" ht="15" hidden="false" customHeight="false" outlineLevel="0" collapsed="false">
      <c r="A784" s="27"/>
      <c r="B784" s="5"/>
      <c r="C784" s="5"/>
      <c r="D784" s="35"/>
      <c r="E784" s="14"/>
      <c r="F784" s="18"/>
      <c r="G784" s="31" t="str">
        <f aca="false">IF(A784="","",IFERROR(IF(INDEX(Empresas!$C:$C,MATCH(A784,Empresas!$A:$A,0))="","",INDEX(Empresas!$C:$C,MATCH(A784,Empresas!$A:$A,0))),""))</f>
        <v/>
      </c>
      <c r="H784" s="18"/>
      <c r="I784" s="19" t="str">
        <f aca="false">IF(OR(F784="",G784=""),"",IF(F784-G784&lt;0,"CONTRATO ANTERIOR À ABERTURA — conferir datas",IF(F784-G784&lt;180,"ABERTA MENOS DE 6 MESES ANTES","")))</f>
        <v/>
      </c>
      <c r="J784" s="19" t="str">
        <f aca="false">IF(A784="","",IFERROR(INDEX(Sancoes!$B:$B,MATCH(A784,Sancoes!$A:$A,0))&amp;"","não consta"))</f>
        <v/>
      </c>
      <c r="K784" s="19" t="str">
        <f aca="false">IF(OR(A784="",F784=""),"",IF(SUMPRODUCT((Sancoes!$A$2:$A$301=A784)*(Sancoes!$B$2:$B$301&lt;&gt;"Não consta")*(Sancoes!$D$2:$D$301&lt;&gt;"")*(Sancoes!$D$2:$D$301&lt;=F784)*(((Sancoes!$E$2:$E$301="")+(Sancoes!$E$2:$E$301&gt;=F784))&gt;0))&gt;0,"SANÇÃO VIGENTE NA DATA — leia o tipo e a abrangência",""))</f>
        <v/>
      </c>
      <c r="L784" s="19" t="str">
        <f aca="false">IF(A784="","",IFERROR(INDEX(Empresas!$B:$B,MATCH(A784,Empresas!$A:$A,0))&amp;"","cadastre o CNPJ em Empresas"))</f>
        <v/>
      </c>
      <c r="M784" s="27"/>
      <c r="N784" s="35"/>
      <c r="O784" s="37" t="str">
        <f aca="false">IF(OR(D784="",D784=0,N784=""),"",N784/D784)</f>
        <v/>
      </c>
      <c r="P784" s="19" t="str">
        <f aca="false">IF(O784="","",IF(O784&gt;0.25,"ACRÉSCIMO ACIMA DE 25% — conferir",""))</f>
        <v/>
      </c>
      <c r="Q784" s="27"/>
      <c r="R784" s="5"/>
    </row>
    <row r="785" customFormat="false" ht="15" hidden="false" customHeight="false" outlineLevel="0" collapsed="false">
      <c r="A785" s="27"/>
      <c r="B785" s="5"/>
      <c r="C785" s="5"/>
      <c r="D785" s="35"/>
      <c r="E785" s="14"/>
      <c r="F785" s="18"/>
      <c r="G785" s="31" t="str">
        <f aca="false">IF(A785="","",IFERROR(IF(INDEX(Empresas!$C:$C,MATCH(A785,Empresas!$A:$A,0))="","",INDEX(Empresas!$C:$C,MATCH(A785,Empresas!$A:$A,0))),""))</f>
        <v/>
      </c>
      <c r="H785" s="18"/>
      <c r="I785" s="19" t="str">
        <f aca="false">IF(OR(F785="",G785=""),"",IF(F785-G785&lt;0,"CONTRATO ANTERIOR À ABERTURA — conferir datas",IF(F785-G785&lt;180,"ABERTA MENOS DE 6 MESES ANTES","")))</f>
        <v/>
      </c>
      <c r="J785" s="19" t="str">
        <f aca="false">IF(A785="","",IFERROR(INDEX(Sancoes!$B:$B,MATCH(A785,Sancoes!$A:$A,0))&amp;"","não consta"))</f>
        <v/>
      </c>
      <c r="K785" s="19" t="str">
        <f aca="false">IF(OR(A785="",F785=""),"",IF(SUMPRODUCT((Sancoes!$A$2:$A$301=A785)*(Sancoes!$B$2:$B$301&lt;&gt;"Não consta")*(Sancoes!$D$2:$D$301&lt;&gt;"")*(Sancoes!$D$2:$D$301&lt;=F785)*(((Sancoes!$E$2:$E$301="")+(Sancoes!$E$2:$E$301&gt;=F785))&gt;0))&gt;0,"SANÇÃO VIGENTE NA DATA — leia o tipo e a abrangência",""))</f>
        <v/>
      </c>
      <c r="L785" s="19" t="str">
        <f aca="false">IF(A785="","",IFERROR(INDEX(Empresas!$B:$B,MATCH(A785,Empresas!$A:$A,0))&amp;"","cadastre o CNPJ em Empresas"))</f>
        <v/>
      </c>
      <c r="M785" s="27"/>
      <c r="N785" s="35"/>
      <c r="O785" s="37" t="str">
        <f aca="false">IF(OR(D785="",D785=0,N785=""),"",N785/D785)</f>
        <v/>
      </c>
      <c r="P785" s="19" t="str">
        <f aca="false">IF(O785="","",IF(O785&gt;0.25,"ACRÉSCIMO ACIMA DE 25% — conferir",""))</f>
        <v/>
      </c>
      <c r="Q785" s="27"/>
      <c r="R785" s="5"/>
    </row>
    <row r="786" customFormat="false" ht="15" hidden="false" customHeight="false" outlineLevel="0" collapsed="false">
      <c r="A786" s="27"/>
      <c r="B786" s="5"/>
      <c r="C786" s="5"/>
      <c r="D786" s="35"/>
      <c r="E786" s="14"/>
      <c r="F786" s="18"/>
      <c r="G786" s="31" t="str">
        <f aca="false">IF(A786="","",IFERROR(IF(INDEX(Empresas!$C:$C,MATCH(A786,Empresas!$A:$A,0))="","",INDEX(Empresas!$C:$C,MATCH(A786,Empresas!$A:$A,0))),""))</f>
        <v/>
      </c>
      <c r="H786" s="18"/>
      <c r="I786" s="19" t="str">
        <f aca="false">IF(OR(F786="",G786=""),"",IF(F786-G786&lt;0,"CONTRATO ANTERIOR À ABERTURA — conferir datas",IF(F786-G786&lt;180,"ABERTA MENOS DE 6 MESES ANTES","")))</f>
        <v/>
      </c>
      <c r="J786" s="19" t="str">
        <f aca="false">IF(A786="","",IFERROR(INDEX(Sancoes!$B:$B,MATCH(A786,Sancoes!$A:$A,0))&amp;"","não consta"))</f>
        <v/>
      </c>
      <c r="K786" s="19" t="str">
        <f aca="false">IF(OR(A786="",F786=""),"",IF(SUMPRODUCT((Sancoes!$A$2:$A$301=A786)*(Sancoes!$B$2:$B$301&lt;&gt;"Não consta")*(Sancoes!$D$2:$D$301&lt;&gt;"")*(Sancoes!$D$2:$D$301&lt;=F786)*(((Sancoes!$E$2:$E$301="")+(Sancoes!$E$2:$E$301&gt;=F786))&gt;0))&gt;0,"SANÇÃO VIGENTE NA DATA — leia o tipo e a abrangência",""))</f>
        <v/>
      </c>
      <c r="L786" s="19" t="str">
        <f aca="false">IF(A786="","",IFERROR(INDEX(Empresas!$B:$B,MATCH(A786,Empresas!$A:$A,0))&amp;"","cadastre o CNPJ em Empresas"))</f>
        <v/>
      </c>
      <c r="M786" s="27"/>
      <c r="N786" s="35"/>
      <c r="O786" s="37" t="str">
        <f aca="false">IF(OR(D786="",D786=0,N786=""),"",N786/D786)</f>
        <v/>
      </c>
      <c r="P786" s="19" t="str">
        <f aca="false">IF(O786="","",IF(O786&gt;0.25,"ACRÉSCIMO ACIMA DE 25% — conferir",""))</f>
        <v/>
      </c>
      <c r="Q786" s="27"/>
      <c r="R786" s="5"/>
    </row>
    <row r="787" customFormat="false" ht="15" hidden="false" customHeight="false" outlineLevel="0" collapsed="false">
      <c r="A787" s="27"/>
      <c r="B787" s="5"/>
      <c r="C787" s="5"/>
      <c r="D787" s="35"/>
      <c r="E787" s="14"/>
      <c r="F787" s="18"/>
      <c r="G787" s="31" t="str">
        <f aca="false">IF(A787="","",IFERROR(IF(INDEX(Empresas!$C:$C,MATCH(A787,Empresas!$A:$A,0))="","",INDEX(Empresas!$C:$C,MATCH(A787,Empresas!$A:$A,0))),""))</f>
        <v/>
      </c>
      <c r="H787" s="18"/>
      <c r="I787" s="19" t="str">
        <f aca="false">IF(OR(F787="",G787=""),"",IF(F787-G787&lt;0,"CONTRATO ANTERIOR À ABERTURA — conferir datas",IF(F787-G787&lt;180,"ABERTA MENOS DE 6 MESES ANTES","")))</f>
        <v/>
      </c>
      <c r="J787" s="19" t="str">
        <f aca="false">IF(A787="","",IFERROR(INDEX(Sancoes!$B:$B,MATCH(A787,Sancoes!$A:$A,0))&amp;"","não consta"))</f>
        <v/>
      </c>
      <c r="K787" s="19" t="str">
        <f aca="false">IF(OR(A787="",F787=""),"",IF(SUMPRODUCT((Sancoes!$A$2:$A$301=A787)*(Sancoes!$B$2:$B$301&lt;&gt;"Não consta")*(Sancoes!$D$2:$D$301&lt;&gt;"")*(Sancoes!$D$2:$D$301&lt;=F787)*(((Sancoes!$E$2:$E$301="")+(Sancoes!$E$2:$E$301&gt;=F787))&gt;0))&gt;0,"SANÇÃO VIGENTE NA DATA — leia o tipo e a abrangência",""))</f>
        <v/>
      </c>
      <c r="L787" s="19" t="str">
        <f aca="false">IF(A787="","",IFERROR(INDEX(Empresas!$B:$B,MATCH(A787,Empresas!$A:$A,0))&amp;"","cadastre o CNPJ em Empresas"))</f>
        <v/>
      </c>
      <c r="M787" s="27"/>
      <c r="N787" s="35"/>
      <c r="O787" s="37" t="str">
        <f aca="false">IF(OR(D787="",D787=0,N787=""),"",N787/D787)</f>
        <v/>
      </c>
      <c r="P787" s="19" t="str">
        <f aca="false">IF(O787="","",IF(O787&gt;0.25,"ACRÉSCIMO ACIMA DE 25% — conferir",""))</f>
        <v/>
      </c>
      <c r="Q787" s="27"/>
      <c r="R787" s="5"/>
    </row>
    <row r="788" customFormat="false" ht="15" hidden="false" customHeight="false" outlineLevel="0" collapsed="false">
      <c r="A788" s="27"/>
      <c r="B788" s="5"/>
      <c r="C788" s="5"/>
      <c r="D788" s="35"/>
      <c r="E788" s="14"/>
      <c r="F788" s="18"/>
      <c r="G788" s="31" t="str">
        <f aca="false">IF(A788="","",IFERROR(IF(INDEX(Empresas!$C:$C,MATCH(A788,Empresas!$A:$A,0))="","",INDEX(Empresas!$C:$C,MATCH(A788,Empresas!$A:$A,0))),""))</f>
        <v/>
      </c>
      <c r="H788" s="18"/>
      <c r="I788" s="19" t="str">
        <f aca="false">IF(OR(F788="",G788=""),"",IF(F788-G788&lt;0,"CONTRATO ANTERIOR À ABERTURA — conferir datas",IF(F788-G788&lt;180,"ABERTA MENOS DE 6 MESES ANTES","")))</f>
        <v/>
      </c>
      <c r="J788" s="19" t="str">
        <f aca="false">IF(A788="","",IFERROR(INDEX(Sancoes!$B:$B,MATCH(A788,Sancoes!$A:$A,0))&amp;"","não consta"))</f>
        <v/>
      </c>
      <c r="K788" s="19" t="str">
        <f aca="false">IF(OR(A788="",F788=""),"",IF(SUMPRODUCT((Sancoes!$A$2:$A$301=A788)*(Sancoes!$B$2:$B$301&lt;&gt;"Não consta")*(Sancoes!$D$2:$D$301&lt;&gt;"")*(Sancoes!$D$2:$D$301&lt;=F788)*(((Sancoes!$E$2:$E$301="")+(Sancoes!$E$2:$E$301&gt;=F788))&gt;0))&gt;0,"SANÇÃO VIGENTE NA DATA — leia o tipo e a abrangência",""))</f>
        <v/>
      </c>
      <c r="L788" s="19" t="str">
        <f aca="false">IF(A788="","",IFERROR(INDEX(Empresas!$B:$B,MATCH(A788,Empresas!$A:$A,0))&amp;"","cadastre o CNPJ em Empresas"))</f>
        <v/>
      </c>
      <c r="M788" s="27"/>
      <c r="N788" s="35"/>
      <c r="O788" s="37" t="str">
        <f aca="false">IF(OR(D788="",D788=0,N788=""),"",N788/D788)</f>
        <v/>
      </c>
      <c r="P788" s="19" t="str">
        <f aca="false">IF(O788="","",IF(O788&gt;0.25,"ACRÉSCIMO ACIMA DE 25% — conferir",""))</f>
        <v/>
      </c>
      <c r="Q788" s="27"/>
      <c r="R788" s="5"/>
    </row>
    <row r="789" customFormat="false" ht="15" hidden="false" customHeight="false" outlineLevel="0" collapsed="false">
      <c r="A789" s="27"/>
      <c r="B789" s="5"/>
      <c r="C789" s="5"/>
      <c r="D789" s="35"/>
      <c r="E789" s="14"/>
      <c r="F789" s="18"/>
      <c r="G789" s="31" t="str">
        <f aca="false">IF(A789="","",IFERROR(IF(INDEX(Empresas!$C:$C,MATCH(A789,Empresas!$A:$A,0))="","",INDEX(Empresas!$C:$C,MATCH(A789,Empresas!$A:$A,0))),""))</f>
        <v/>
      </c>
      <c r="H789" s="18"/>
      <c r="I789" s="19" t="str">
        <f aca="false">IF(OR(F789="",G789=""),"",IF(F789-G789&lt;0,"CONTRATO ANTERIOR À ABERTURA — conferir datas",IF(F789-G789&lt;180,"ABERTA MENOS DE 6 MESES ANTES","")))</f>
        <v/>
      </c>
      <c r="J789" s="19" t="str">
        <f aca="false">IF(A789="","",IFERROR(INDEX(Sancoes!$B:$B,MATCH(A789,Sancoes!$A:$A,0))&amp;"","não consta"))</f>
        <v/>
      </c>
      <c r="K789" s="19" t="str">
        <f aca="false">IF(OR(A789="",F789=""),"",IF(SUMPRODUCT((Sancoes!$A$2:$A$301=A789)*(Sancoes!$B$2:$B$301&lt;&gt;"Não consta")*(Sancoes!$D$2:$D$301&lt;&gt;"")*(Sancoes!$D$2:$D$301&lt;=F789)*(((Sancoes!$E$2:$E$301="")+(Sancoes!$E$2:$E$301&gt;=F789))&gt;0))&gt;0,"SANÇÃO VIGENTE NA DATA — leia o tipo e a abrangência",""))</f>
        <v/>
      </c>
      <c r="L789" s="19" t="str">
        <f aca="false">IF(A789="","",IFERROR(INDEX(Empresas!$B:$B,MATCH(A789,Empresas!$A:$A,0))&amp;"","cadastre o CNPJ em Empresas"))</f>
        <v/>
      </c>
      <c r="M789" s="27"/>
      <c r="N789" s="35"/>
      <c r="O789" s="37" t="str">
        <f aca="false">IF(OR(D789="",D789=0,N789=""),"",N789/D789)</f>
        <v/>
      </c>
      <c r="P789" s="19" t="str">
        <f aca="false">IF(O789="","",IF(O789&gt;0.25,"ACRÉSCIMO ACIMA DE 25% — conferir",""))</f>
        <v/>
      </c>
      <c r="Q789" s="27"/>
      <c r="R789" s="5"/>
    </row>
    <row r="790" customFormat="false" ht="15" hidden="false" customHeight="false" outlineLevel="0" collapsed="false">
      <c r="A790" s="27"/>
      <c r="B790" s="5"/>
      <c r="C790" s="5"/>
      <c r="D790" s="35"/>
      <c r="E790" s="14"/>
      <c r="F790" s="18"/>
      <c r="G790" s="31" t="str">
        <f aca="false">IF(A790="","",IFERROR(IF(INDEX(Empresas!$C:$C,MATCH(A790,Empresas!$A:$A,0))="","",INDEX(Empresas!$C:$C,MATCH(A790,Empresas!$A:$A,0))),""))</f>
        <v/>
      </c>
      <c r="H790" s="18"/>
      <c r="I790" s="19" t="str">
        <f aca="false">IF(OR(F790="",G790=""),"",IF(F790-G790&lt;0,"CONTRATO ANTERIOR À ABERTURA — conferir datas",IF(F790-G790&lt;180,"ABERTA MENOS DE 6 MESES ANTES","")))</f>
        <v/>
      </c>
      <c r="J790" s="19" t="str">
        <f aca="false">IF(A790="","",IFERROR(INDEX(Sancoes!$B:$B,MATCH(A790,Sancoes!$A:$A,0))&amp;"","não consta"))</f>
        <v/>
      </c>
      <c r="K790" s="19" t="str">
        <f aca="false">IF(OR(A790="",F790=""),"",IF(SUMPRODUCT((Sancoes!$A$2:$A$301=A790)*(Sancoes!$B$2:$B$301&lt;&gt;"Não consta")*(Sancoes!$D$2:$D$301&lt;&gt;"")*(Sancoes!$D$2:$D$301&lt;=F790)*(((Sancoes!$E$2:$E$301="")+(Sancoes!$E$2:$E$301&gt;=F790))&gt;0))&gt;0,"SANÇÃO VIGENTE NA DATA — leia o tipo e a abrangência",""))</f>
        <v/>
      </c>
      <c r="L790" s="19" t="str">
        <f aca="false">IF(A790="","",IFERROR(INDEX(Empresas!$B:$B,MATCH(A790,Empresas!$A:$A,0))&amp;"","cadastre o CNPJ em Empresas"))</f>
        <v/>
      </c>
      <c r="M790" s="27"/>
      <c r="N790" s="35"/>
      <c r="O790" s="37" t="str">
        <f aca="false">IF(OR(D790="",D790=0,N790=""),"",N790/D790)</f>
        <v/>
      </c>
      <c r="P790" s="19" t="str">
        <f aca="false">IF(O790="","",IF(O790&gt;0.25,"ACRÉSCIMO ACIMA DE 25% — conferir",""))</f>
        <v/>
      </c>
      <c r="Q790" s="27"/>
      <c r="R790" s="5"/>
    </row>
    <row r="791" customFormat="false" ht="15" hidden="false" customHeight="false" outlineLevel="0" collapsed="false">
      <c r="A791" s="27"/>
      <c r="B791" s="5"/>
      <c r="C791" s="5"/>
      <c r="D791" s="35"/>
      <c r="E791" s="14"/>
      <c r="F791" s="18"/>
      <c r="G791" s="31" t="str">
        <f aca="false">IF(A791="","",IFERROR(IF(INDEX(Empresas!$C:$C,MATCH(A791,Empresas!$A:$A,0))="","",INDEX(Empresas!$C:$C,MATCH(A791,Empresas!$A:$A,0))),""))</f>
        <v/>
      </c>
      <c r="H791" s="18"/>
      <c r="I791" s="19" t="str">
        <f aca="false">IF(OR(F791="",G791=""),"",IF(F791-G791&lt;0,"CONTRATO ANTERIOR À ABERTURA — conferir datas",IF(F791-G791&lt;180,"ABERTA MENOS DE 6 MESES ANTES","")))</f>
        <v/>
      </c>
      <c r="J791" s="19" t="str">
        <f aca="false">IF(A791="","",IFERROR(INDEX(Sancoes!$B:$B,MATCH(A791,Sancoes!$A:$A,0))&amp;"","não consta"))</f>
        <v/>
      </c>
      <c r="K791" s="19" t="str">
        <f aca="false">IF(OR(A791="",F791=""),"",IF(SUMPRODUCT((Sancoes!$A$2:$A$301=A791)*(Sancoes!$B$2:$B$301&lt;&gt;"Não consta")*(Sancoes!$D$2:$D$301&lt;&gt;"")*(Sancoes!$D$2:$D$301&lt;=F791)*(((Sancoes!$E$2:$E$301="")+(Sancoes!$E$2:$E$301&gt;=F791))&gt;0))&gt;0,"SANÇÃO VIGENTE NA DATA — leia o tipo e a abrangência",""))</f>
        <v/>
      </c>
      <c r="L791" s="19" t="str">
        <f aca="false">IF(A791="","",IFERROR(INDEX(Empresas!$B:$B,MATCH(A791,Empresas!$A:$A,0))&amp;"","cadastre o CNPJ em Empresas"))</f>
        <v/>
      </c>
      <c r="M791" s="27"/>
      <c r="N791" s="35"/>
      <c r="O791" s="37" t="str">
        <f aca="false">IF(OR(D791="",D791=0,N791=""),"",N791/D791)</f>
        <v/>
      </c>
      <c r="P791" s="19" t="str">
        <f aca="false">IF(O791="","",IF(O791&gt;0.25,"ACRÉSCIMO ACIMA DE 25% — conferir",""))</f>
        <v/>
      </c>
      <c r="Q791" s="27"/>
      <c r="R791" s="5"/>
    </row>
    <row r="792" customFormat="false" ht="15" hidden="false" customHeight="false" outlineLevel="0" collapsed="false">
      <c r="A792" s="27"/>
      <c r="B792" s="5"/>
      <c r="C792" s="5"/>
      <c r="D792" s="35"/>
      <c r="E792" s="14"/>
      <c r="F792" s="18"/>
      <c r="G792" s="31" t="str">
        <f aca="false">IF(A792="","",IFERROR(IF(INDEX(Empresas!$C:$C,MATCH(A792,Empresas!$A:$A,0))="","",INDEX(Empresas!$C:$C,MATCH(A792,Empresas!$A:$A,0))),""))</f>
        <v/>
      </c>
      <c r="H792" s="18"/>
      <c r="I792" s="19" t="str">
        <f aca="false">IF(OR(F792="",G792=""),"",IF(F792-G792&lt;0,"CONTRATO ANTERIOR À ABERTURA — conferir datas",IF(F792-G792&lt;180,"ABERTA MENOS DE 6 MESES ANTES","")))</f>
        <v/>
      </c>
      <c r="J792" s="19" t="str">
        <f aca="false">IF(A792="","",IFERROR(INDEX(Sancoes!$B:$B,MATCH(A792,Sancoes!$A:$A,0))&amp;"","não consta"))</f>
        <v/>
      </c>
      <c r="K792" s="19" t="str">
        <f aca="false">IF(OR(A792="",F792=""),"",IF(SUMPRODUCT((Sancoes!$A$2:$A$301=A792)*(Sancoes!$B$2:$B$301&lt;&gt;"Não consta")*(Sancoes!$D$2:$D$301&lt;&gt;"")*(Sancoes!$D$2:$D$301&lt;=F792)*(((Sancoes!$E$2:$E$301="")+(Sancoes!$E$2:$E$301&gt;=F792))&gt;0))&gt;0,"SANÇÃO VIGENTE NA DATA — leia o tipo e a abrangência",""))</f>
        <v/>
      </c>
      <c r="L792" s="19" t="str">
        <f aca="false">IF(A792="","",IFERROR(INDEX(Empresas!$B:$B,MATCH(A792,Empresas!$A:$A,0))&amp;"","cadastre o CNPJ em Empresas"))</f>
        <v/>
      </c>
      <c r="M792" s="27"/>
      <c r="N792" s="35"/>
      <c r="O792" s="37" t="str">
        <f aca="false">IF(OR(D792="",D792=0,N792=""),"",N792/D792)</f>
        <v/>
      </c>
      <c r="P792" s="19" t="str">
        <f aca="false">IF(O792="","",IF(O792&gt;0.25,"ACRÉSCIMO ACIMA DE 25% — conferir",""))</f>
        <v/>
      </c>
      <c r="Q792" s="27"/>
      <c r="R792" s="5"/>
    </row>
    <row r="793" customFormat="false" ht="15" hidden="false" customHeight="false" outlineLevel="0" collapsed="false">
      <c r="A793" s="27"/>
      <c r="B793" s="5"/>
      <c r="C793" s="5"/>
      <c r="D793" s="35"/>
      <c r="E793" s="14"/>
      <c r="F793" s="18"/>
      <c r="G793" s="31" t="str">
        <f aca="false">IF(A793="","",IFERROR(IF(INDEX(Empresas!$C:$C,MATCH(A793,Empresas!$A:$A,0))="","",INDEX(Empresas!$C:$C,MATCH(A793,Empresas!$A:$A,0))),""))</f>
        <v/>
      </c>
      <c r="H793" s="18"/>
      <c r="I793" s="19" t="str">
        <f aca="false">IF(OR(F793="",G793=""),"",IF(F793-G793&lt;0,"CONTRATO ANTERIOR À ABERTURA — conferir datas",IF(F793-G793&lt;180,"ABERTA MENOS DE 6 MESES ANTES","")))</f>
        <v/>
      </c>
      <c r="J793" s="19" t="str">
        <f aca="false">IF(A793="","",IFERROR(INDEX(Sancoes!$B:$B,MATCH(A793,Sancoes!$A:$A,0))&amp;"","não consta"))</f>
        <v/>
      </c>
      <c r="K793" s="19" t="str">
        <f aca="false">IF(OR(A793="",F793=""),"",IF(SUMPRODUCT((Sancoes!$A$2:$A$301=A793)*(Sancoes!$B$2:$B$301&lt;&gt;"Não consta")*(Sancoes!$D$2:$D$301&lt;&gt;"")*(Sancoes!$D$2:$D$301&lt;=F793)*(((Sancoes!$E$2:$E$301="")+(Sancoes!$E$2:$E$301&gt;=F793))&gt;0))&gt;0,"SANÇÃO VIGENTE NA DATA — leia o tipo e a abrangência",""))</f>
        <v/>
      </c>
      <c r="L793" s="19" t="str">
        <f aca="false">IF(A793="","",IFERROR(INDEX(Empresas!$B:$B,MATCH(A793,Empresas!$A:$A,0))&amp;"","cadastre o CNPJ em Empresas"))</f>
        <v/>
      </c>
      <c r="M793" s="27"/>
      <c r="N793" s="35"/>
      <c r="O793" s="37" t="str">
        <f aca="false">IF(OR(D793="",D793=0,N793=""),"",N793/D793)</f>
        <v/>
      </c>
      <c r="P793" s="19" t="str">
        <f aca="false">IF(O793="","",IF(O793&gt;0.25,"ACRÉSCIMO ACIMA DE 25% — conferir",""))</f>
        <v/>
      </c>
      <c r="Q793" s="27"/>
      <c r="R793" s="5"/>
    </row>
    <row r="794" customFormat="false" ht="15" hidden="false" customHeight="false" outlineLevel="0" collapsed="false">
      <c r="A794" s="27"/>
      <c r="B794" s="5"/>
      <c r="C794" s="5"/>
      <c r="D794" s="35"/>
      <c r="E794" s="14"/>
      <c r="F794" s="18"/>
      <c r="G794" s="31" t="str">
        <f aca="false">IF(A794="","",IFERROR(IF(INDEX(Empresas!$C:$C,MATCH(A794,Empresas!$A:$A,0))="","",INDEX(Empresas!$C:$C,MATCH(A794,Empresas!$A:$A,0))),""))</f>
        <v/>
      </c>
      <c r="H794" s="18"/>
      <c r="I794" s="19" t="str">
        <f aca="false">IF(OR(F794="",G794=""),"",IF(F794-G794&lt;0,"CONTRATO ANTERIOR À ABERTURA — conferir datas",IF(F794-G794&lt;180,"ABERTA MENOS DE 6 MESES ANTES","")))</f>
        <v/>
      </c>
      <c r="J794" s="19" t="str">
        <f aca="false">IF(A794="","",IFERROR(INDEX(Sancoes!$B:$B,MATCH(A794,Sancoes!$A:$A,0))&amp;"","não consta"))</f>
        <v/>
      </c>
      <c r="K794" s="19" t="str">
        <f aca="false">IF(OR(A794="",F794=""),"",IF(SUMPRODUCT((Sancoes!$A$2:$A$301=A794)*(Sancoes!$B$2:$B$301&lt;&gt;"Não consta")*(Sancoes!$D$2:$D$301&lt;&gt;"")*(Sancoes!$D$2:$D$301&lt;=F794)*(((Sancoes!$E$2:$E$301="")+(Sancoes!$E$2:$E$301&gt;=F794))&gt;0))&gt;0,"SANÇÃO VIGENTE NA DATA — leia o tipo e a abrangência",""))</f>
        <v/>
      </c>
      <c r="L794" s="19" t="str">
        <f aca="false">IF(A794="","",IFERROR(INDEX(Empresas!$B:$B,MATCH(A794,Empresas!$A:$A,0))&amp;"","cadastre o CNPJ em Empresas"))</f>
        <v/>
      </c>
      <c r="M794" s="27"/>
      <c r="N794" s="35"/>
      <c r="O794" s="37" t="str">
        <f aca="false">IF(OR(D794="",D794=0,N794=""),"",N794/D794)</f>
        <v/>
      </c>
      <c r="P794" s="19" t="str">
        <f aca="false">IF(O794="","",IF(O794&gt;0.25,"ACRÉSCIMO ACIMA DE 25% — conferir",""))</f>
        <v/>
      </c>
      <c r="Q794" s="27"/>
      <c r="R794" s="5"/>
    </row>
    <row r="795" customFormat="false" ht="15" hidden="false" customHeight="false" outlineLevel="0" collapsed="false">
      <c r="A795" s="27"/>
      <c r="B795" s="5"/>
      <c r="C795" s="5"/>
      <c r="D795" s="35"/>
      <c r="E795" s="14"/>
      <c r="F795" s="18"/>
      <c r="G795" s="31" t="str">
        <f aca="false">IF(A795="","",IFERROR(IF(INDEX(Empresas!$C:$C,MATCH(A795,Empresas!$A:$A,0))="","",INDEX(Empresas!$C:$C,MATCH(A795,Empresas!$A:$A,0))),""))</f>
        <v/>
      </c>
      <c r="H795" s="18"/>
      <c r="I795" s="19" t="str">
        <f aca="false">IF(OR(F795="",G795=""),"",IF(F795-G795&lt;0,"CONTRATO ANTERIOR À ABERTURA — conferir datas",IF(F795-G795&lt;180,"ABERTA MENOS DE 6 MESES ANTES","")))</f>
        <v/>
      </c>
      <c r="J795" s="19" t="str">
        <f aca="false">IF(A795="","",IFERROR(INDEX(Sancoes!$B:$B,MATCH(A795,Sancoes!$A:$A,0))&amp;"","não consta"))</f>
        <v/>
      </c>
      <c r="K795" s="19" t="str">
        <f aca="false">IF(OR(A795="",F795=""),"",IF(SUMPRODUCT((Sancoes!$A$2:$A$301=A795)*(Sancoes!$B$2:$B$301&lt;&gt;"Não consta")*(Sancoes!$D$2:$D$301&lt;&gt;"")*(Sancoes!$D$2:$D$301&lt;=F795)*(((Sancoes!$E$2:$E$301="")+(Sancoes!$E$2:$E$301&gt;=F795))&gt;0))&gt;0,"SANÇÃO VIGENTE NA DATA — leia o tipo e a abrangência",""))</f>
        <v/>
      </c>
      <c r="L795" s="19" t="str">
        <f aca="false">IF(A795="","",IFERROR(INDEX(Empresas!$B:$B,MATCH(A795,Empresas!$A:$A,0))&amp;"","cadastre o CNPJ em Empresas"))</f>
        <v/>
      </c>
      <c r="M795" s="27"/>
      <c r="N795" s="35"/>
      <c r="O795" s="37" t="str">
        <f aca="false">IF(OR(D795="",D795=0,N795=""),"",N795/D795)</f>
        <v/>
      </c>
      <c r="P795" s="19" t="str">
        <f aca="false">IF(O795="","",IF(O795&gt;0.25,"ACRÉSCIMO ACIMA DE 25% — conferir",""))</f>
        <v/>
      </c>
      <c r="Q795" s="27"/>
      <c r="R795" s="5"/>
    </row>
    <row r="796" customFormat="false" ht="15" hidden="false" customHeight="false" outlineLevel="0" collapsed="false">
      <c r="A796" s="27"/>
      <c r="B796" s="5"/>
      <c r="C796" s="5"/>
      <c r="D796" s="35"/>
      <c r="E796" s="14"/>
      <c r="F796" s="18"/>
      <c r="G796" s="31" t="str">
        <f aca="false">IF(A796="","",IFERROR(IF(INDEX(Empresas!$C:$C,MATCH(A796,Empresas!$A:$A,0))="","",INDEX(Empresas!$C:$C,MATCH(A796,Empresas!$A:$A,0))),""))</f>
        <v/>
      </c>
      <c r="H796" s="18"/>
      <c r="I796" s="19" t="str">
        <f aca="false">IF(OR(F796="",G796=""),"",IF(F796-G796&lt;0,"CONTRATO ANTERIOR À ABERTURA — conferir datas",IF(F796-G796&lt;180,"ABERTA MENOS DE 6 MESES ANTES","")))</f>
        <v/>
      </c>
      <c r="J796" s="19" t="str">
        <f aca="false">IF(A796="","",IFERROR(INDEX(Sancoes!$B:$B,MATCH(A796,Sancoes!$A:$A,0))&amp;"","não consta"))</f>
        <v/>
      </c>
      <c r="K796" s="19" t="str">
        <f aca="false">IF(OR(A796="",F796=""),"",IF(SUMPRODUCT((Sancoes!$A$2:$A$301=A796)*(Sancoes!$B$2:$B$301&lt;&gt;"Não consta")*(Sancoes!$D$2:$D$301&lt;&gt;"")*(Sancoes!$D$2:$D$301&lt;=F796)*(((Sancoes!$E$2:$E$301="")+(Sancoes!$E$2:$E$301&gt;=F796))&gt;0))&gt;0,"SANÇÃO VIGENTE NA DATA — leia o tipo e a abrangência",""))</f>
        <v/>
      </c>
      <c r="L796" s="19" t="str">
        <f aca="false">IF(A796="","",IFERROR(INDEX(Empresas!$B:$B,MATCH(A796,Empresas!$A:$A,0))&amp;"","cadastre o CNPJ em Empresas"))</f>
        <v/>
      </c>
      <c r="M796" s="27"/>
      <c r="N796" s="35"/>
      <c r="O796" s="37" t="str">
        <f aca="false">IF(OR(D796="",D796=0,N796=""),"",N796/D796)</f>
        <v/>
      </c>
      <c r="P796" s="19" t="str">
        <f aca="false">IF(O796="","",IF(O796&gt;0.25,"ACRÉSCIMO ACIMA DE 25% — conferir",""))</f>
        <v/>
      </c>
      <c r="Q796" s="27"/>
      <c r="R796" s="5"/>
    </row>
    <row r="797" customFormat="false" ht="15" hidden="false" customHeight="false" outlineLevel="0" collapsed="false">
      <c r="A797" s="27"/>
      <c r="B797" s="5"/>
      <c r="C797" s="5"/>
      <c r="D797" s="35"/>
      <c r="E797" s="14"/>
      <c r="F797" s="18"/>
      <c r="G797" s="31" t="str">
        <f aca="false">IF(A797="","",IFERROR(IF(INDEX(Empresas!$C:$C,MATCH(A797,Empresas!$A:$A,0))="","",INDEX(Empresas!$C:$C,MATCH(A797,Empresas!$A:$A,0))),""))</f>
        <v/>
      </c>
      <c r="H797" s="18"/>
      <c r="I797" s="19" t="str">
        <f aca="false">IF(OR(F797="",G797=""),"",IF(F797-G797&lt;0,"CONTRATO ANTERIOR À ABERTURA — conferir datas",IF(F797-G797&lt;180,"ABERTA MENOS DE 6 MESES ANTES","")))</f>
        <v/>
      </c>
      <c r="J797" s="19" t="str">
        <f aca="false">IF(A797="","",IFERROR(INDEX(Sancoes!$B:$B,MATCH(A797,Sancoes!$A:$A,0))&amp;"","não consta"))</f>
        <v/>
      </c>
      <c r="K797" s="19" t="str">
        <f aca="false">IF(OR(A797="",F797=""),"",IF(SUMPRODUCT((Sancoes!$A$2:$A$301=A797)*(Sancoes!$B$2:$B$301&lt;&gt;"Não consta")*(Sancoes!$D$2:$D$301&lt;&gt;"")*(Sancoes!$D$2:$D$301&lt;=F797)*(((Sancoes!$E$2:$E$301="")+(Sancoes!$E$2:$E$301&gt;=F797))&gt;0))&gt;0,"SANÇÃO VIGENTE NA DATA — leia o tipo e a abrangência",""))</f>
        <v/>
      </c>
      <c r="L797" s="19" t="str">
        <f aca="false">IF(A797="","",IFERROR(INDEX(Empresas!$B:$B,MATCH(A797,Empresas!$A:$A,0))&amp;"","cadastre o CNPJ em Empresas"))</f>
        <v/>
      </c>
      <c r="M797" s="27"/>
      <c r="N797" s="35"/>
      <c r="O797" s="37" t="str">
        <f aca="false">IF(OR(D797="",D797=0,N797=""),"",N797/D797)</f>
        <v/>
      </c>
      <c r="P797" s="19" t="str">
        <f aca="false">IF(O797="","",IF(O797&gt;0.25,"ACRÉSCIMO ACIMA DE 25% — conferir",""))</f>
        <v/>
      </c>
      <c r="Q797" s="27"/>
      <c r="R797" s="5"/>
    </row>
    <row r="798" customFormat="false" ht="15" hidden="false" customHeight="false" outlineLevel="0" collapsed="false">
      <c r="A798" s="27"/>
      <c r="B798" s="5"/>
      <c r="C798" s="5"/>
      <c r="D798" s="35"/>
      <c r="E798" s="14"/>
      <c r="F798" s="18"/>
      <c r="G798" s="31" t="str">
        <f aca="false">IF(A798="","",IFERROR(IF(INDEX(Empresas!$C:$C,MATCH(A798,Empresas!$A:$A,0))="","",INDEX(Empresas!$C:$C,MATCH(A798,Empresas!$A:$A,0))),""))</f>
        <v/>
      </c>
      <c r="H798" s="18"/>
      <c r="I798" s="19" t="str">
        <f aca="false">IF(OR(F798="",G798=""),"",IF(F798-G798&lt;0,"CONTRATO ANTERIOR À ABERTURA — conferir datas",IF(F798-G798&lt;180,"ABERTA MENOS DE 6 MESES ANTES","")))</f>
        <v/>
      </c>
      <c r="J798" s="19" t="str">
        <f aca="false">IF(A798="","",IFERROR(INDEX(Sancoes!$B:$B,MATCH(A798,Sancoes!$A:$A,0))&amp;"","não consta"))</f>
        <v/>
      </c>
      <c r="K798" s="19" t="str">
        <f aca="false">IF(OR(A798="",F798=""),"",IF(SUMPRODUCT((Sancoes!$A$2:$A$301=A798)*(Sancoes!$B$2:$B$301&lt;&gt;"Não consta")*(Sancoes!$D$2:$D$301&lt;&gt;"")*(Sancoes!$D$2:$D$301&lt;=F798)*(((Sancoes!$E$2:$E$301="")+(Sancoes!$E$2:$E$301&gt;=F798))&gt;0))&gt;0,"SANÇÃO VIGENTE NA DATA — leia o tipo e a abrangência",""))</f>
        <v/>
      </c>
      <c r="L798" s="19" t="str">
        <f aca="false">IF(A798="","",IFERROR(INDEX(Empresas!$B:$B,MATCH(A798,Empresas!$A:$A,0))&amp;"","cadastre o CNPJ em Empresas"))</f>
        <v/>
      </c>
      <c r="M798" s="27"/>
      <c r="N798" s="35"/>
      <c r="O798" s="37" t="str">
        <f aca="false">IF(OR(D798="",D798=0,N798=""),"",N798/D798)</f>
        <v/>
      </c>
      <c r="P798" s="19" t="str">
        <f aca="false">IF(O798="","",IF(O798&gt;0.25,"ACRÉSCIMO ACIMA DE 25% — conferir",""))</f>
        <v/>
      </c>
      <c r="Q798" s="27"/>
      <c r="R798" s="5"/>
    </row>
    <row r="799" customFormat="false" ht="15" hidden="false" customHeight="false" outlineLevel="0" collapsed="false">
      <c r="A799" s="27"/>
      <c r="B799" s="5"/>
      <c r="C799" s="5"/>
      <c r="D799" s="35"/>
      <c r="E799" s="14"/>
      <c r="F799" s="18"/>
      <c r="G799" s="31" t="str">
        <f aca="false">IF(A799="","",IFERROR(IF(INDEX(Empresas!$C:$C,MATCH(A799,Empresas!$A:$A,0))="","",INDEX(Empresas!$C:$C,MATCH(A799,Empresas!$A:$A,0))),""))</f>
        <v/>
      </c>
      <c r="H799" s="18"/>
      <c r="I799" s="19" t="str">
        <f aca="false">IF(OR(F799="",G799=""),"",IF(F799-G799&lt;0,"CONTRATO ANTERIOR À ABERTURA — conferir datas",IF(F799-G799&lt;180,"ABERTA MENOS DE 6 MESES ANTES","")))</f>
        <v/>
      </c>
      <c r="J799" s="19" t="str">
        <f aca="false">IF(A799="","",IFERROR(INDEX(Sancoes!$B:$B,MATCH(A799,Sancoes!$A:$A,0))&amp;"","não consta"))</f>
        <v/>
      </c>
      <c r="K799" s="19" t="str">
        <f aca="false">IF(OR(A799="",F799=""),"",IF(SUMPRODUCT((Sancoes!$A$2:$A$301=A799)*(Sancoes!$B$2:$B$301&lt;&gt;"Não consta")*(Sancoes!$D$2:$D$301&lt;&gt;"")*(Sancoes!$D$2:$D$301&lt;=F799)*(((Sancoes!$E$2:$E$301="")+(Sancoes!$E$2:$E$301&gt;=F799))&gt;0))&gt;0,"SANÇÃO VIGENTE NA DATA — leia o tipo e a abrangência",""))</f>
        <v/>
      </c>
      <c r="L799" s="19" t="str">
        <f aca="false">IF(A799="","",IFERROR(INDEX(Empresas!$B:$B,MATCH(A799,Empresas!$A:$A,0))&amp;"","cadastre o CNPJ em Empresas"))</f>
        <v/>
      </c>
      <c r="M799" s="27"/>
      <c r="N799" s="35"/>
      <c r="O799" s="37" t="str">
        <f aca="false">IF(OR(D799="",D799=0,N799=""),"",N799/D799)</f>
        <v/>
      </c>
      <c r="P799" s="19" t="str">
        <f aca="false">IF(O799="","",IF(O799&gt;0.25,"ACRÉSCIMO ACIMA DE 25% — conferir",""))</f>
        <v/>
      </c>
      <c r="Q799" s="27"/>
      <c r="R799" s="5"/>
    </row>
    <row r="800" customFormat="false" ht="15" hidden="false" customHeight="false" outlineLevel="0" collapsed="false">
      <c r="A800" s="27"/>
      <c r="B800" s="5"/>
      <c r="C800" s="5"/>
      <c r="D800" s="35"/>
      <c r="E800" s="14"/>
      <c r="F800" s="18"/>
      <c r="G800" s="31" t="str">
        <f aca="false">IF(A800="","",IFERROR(IF(INDEX(Empresas!$C:$C,MATCH(A800,Empresas!$A:$A,0))="","",INDEX(Empresas!$C:$C,MATCH(A800,Empresas!$A:$A,0))),""))</f>
        <v/>
      </c>
      <c r="H800" s="18"/>
      <c r="I800" s="19" t="str">
        <f aca="false">IF(OR(F800="",G800=""),"",IF(F800-G800&lt;0,"CONTRATO ANTERIOR À ABERTURA — conferir datas",IF(F800-G800&lt;180,"ABERTA MENOS DE 6 MESES ANTES","")))</f>
        <v/>
      </c>
      <c r="J800" s="19" t="str">
        <f aca="false">IF(A800="","",IFERROR(INDEX(Sancoes!$B:$B,MATCH(A800,Sancoes!$A:$A,0))&amp;"","não consta"))</f>
        <v/>
      </c>
      <c r="K800" s="19" t="str">
        <f aca="false">IF(OR(A800="",F800=""),"",IF(SUMPRODUCT((Sancoes!$A$2:$A$301=A800)*(Sancoes!$B$2:$B$301&lt;&gt;"Não consta")*(Sancoes!$D$2:$D$301&lt;&gt;"")*(Sancoes!$D$2:$D$301&lt;=F800)*(((Sancoes!$E$2:$E$301="")+(Sancoes!$E$2:$E$301&gt;=F800))&gt;0))&gt;0,"SANÇÃO VIGENTE NA DATA — leia o tipo e a abrangência",""))</f>
        <v/>
      </c>
      <c r="L800" s="19" t="str">
        <f aca="false">IF(A800="","",IFERROR(INDEX(Empresas!$B:$B,MATCH(A800,Empresas!$A:$A,0))&amp;"","cadastre o CNPJ em Empresas"))</f>
        <v/>
      </c>
      <c r="M800" s="27"/>
      <c r="N800" s="35"/>
      <c r="O800" s="37" t="str">
        <f aca="false">IF(OR(D800="",D800=0,N800=""),"",N800/D800)</f>
        <v/>
      </c>
      <c r="P800" s="19" t="str">
        <f aca="false">IF(O800="","",IF(O800&gt;0.25,"ACRÉSCIMO ACIMA DE 25% — conferir",""))</f>
        <v/>
      </c>
      <c r="Q800" s="27"/>
      <c r="R800" s="5"/>
    </row>
    <row r="801" customFormat="false" ht="15" hidden="false" customHeight="false" outlineLevel="0" collapsed="false">
      <c r="A801" s="27"/>
      <c r="B801" s="5"/>
      <c r="C801" s="5"/>
      <c r="D801" s="35"/>
      <c r="E801" s="14"/>
      <c r="F801" s="18"/>
      <c r="G801" s="31" t="str">
        <f aca="false">IF(A801="","",IFERROR(IF(INDEX(Empresas!$C:$C,MATCH(A801,Empresas!$A:$A,0))="","",INDEX(Empresas!$C:$C,MATCH(A801,Empresas!$A:$A,0))),""))</f>
        <v/>
      </c>
      <c r="H801" s="18"/>
      <c r="I801" s="19" t="str">
        <f aca="false">IF(OR(F801="",G801=""),"",IF(F801-G801&lt;0,"CONTRATO ANTERIOR À ABERTURA — conferir datas",IF(F801-G801&lt;180,"ABERTA MENOS DE 6 MESES ANTES","")))</f>
        <v/>
      </c>
      <c r="J801" s="19" t="str">
        <f aca="false">IF(A801="","",IFERROR(INDEX(Sancoes!$B:$B,MATCH(A801,Sancoes!$A:$A,0))&amp;"","não consta"))</f>
        <v/>
      </c>
      <c r="K801" s="19" t="str">
        <f aca="false">IF(OR(A801="",F801=""),"",IF(SUMPRODUCT((Sancoes!$A$2:$A$301=A801)*(Sancoes!$B$2:$B$301&lt;&gt;"Não consta")*(Sancoes!$D$2:$D$301&lt;&gt;"")*(Sancoes!$D$2:$D$301&lt;=F801)*(((Sancoes!$E$2:$E$301="")+(Sancoes!$E$2:$E$301&gt;=F801))&gt;0))&gt;0,"SANÇÃO VIGENTE NA DATA — leia o tipo e a abrangência",""))</f>
        <v/>
      </c>
      <c r="L801" s="19" t="str">
        <f aca="false">IF(A801="","",IFERROR(INDEX(Empresas!$B:$B,MATCH(A801,Empresas!$A:$A,0))&amp;"","cadastre o CNPJ em Empresas"))</f>
        <v/>
      </c>
      <c r="M801" s="27"/>
      <c r="N801" s="35"/>
      <c r="O801" s="37" t="str">
        <f aca="false">IF(OR(D801="",D801=0,N801=""),"",N801/D801)</f>
        <v/>
      </c>
      <c r="P801" s="19" t="str">
        <f aca="false">IF(O801="","",IF(O801&gt;0.25,"ACRÉSCIMO ACIMA DE 25% — conferir",""))</f>
        <v/>
      </c>
      <c r="Q801" s="27"/>
      <c r="R801" s="5"/>
    </row>
    <row r="802" customFormat="false" ht="15" hidden="false" customHeight="false" outlineLevel="0" collapsed="false">
      <c r="A802" s="27"/>
      <c r="B802" s="5"/>
      <c r="C802" s="5"/>
      <c r="D802" s="35"/>
      <c r="E802" s="14"/>
      <c r="F802" s="18"/>
      <c r="G802" s="31" t="str">
        <f aca="false">IF(A802="","",IFERROR(IF(INDEX(Empresas!$C:$C,MATCH(A802,Empresas!$A:$A,0))="","",INDEX(Empresas!$C:$C,MATCH(A802,Empresas!$A:$A,0))),""))</f>
        <v/>
      </c>
      <c r="H802" s="18"/>
      <c r="I802" s="19" t="str">
        <f aca="false">IF(OR(F802="",G802=""),"",IF(F802-G802&lt;0,"CONTRATO ANTERIOR À ABERTURA — conferir datas",IF(F802-G802&lt;180,"ABERTA MENOS DE 6 MESES ANTES","")))</f>
        <v/>
      </c>
      <c r="J802" s="19" t="str">
        <f aca="false">IF(A802="","",IFERROR(INDEX(Sancoes!$B:$B,MATCH(A802,Sancoes!$A:$A,0))&amp;"","não consta"))</f>
        <v/>
      </c>
      <c r="K802" s="19" t="str">
        <f aca="false">IF(OR(A802="",F802=""),"",IF(SUMPRODUCT((Sancoes!$A$2:$A$301=A802)*(Sancoes!$B$2:$B$301&lt;&gt;"Não consta")*(Sancoes!$D$2:$D$301&lt;&gt;"")*(Sancoes!$D$2:$D$301&lt;=F802)*(((Sancoes!$E$2:$E$301="")+(Sancoes!$E$2:$E$301&gt;=F802))&gt;0))&gt;0,"SANÇÃO VIGENTE NA DATA — leia o tipo e a abrangência",""))</f>
        <v/>
      </c>
      <c r="L802" s="19" t="str">
        <f aca="false">IF(A802="","",IFERROR(INDEX(Empresas!$B:$B,MATCH(A802,Empresas!$A:$A,0))&amp;"","cadastre o CNPJ em Empresas"))</f>
        <v/>
      </c>
      <c r="M802" s="27"/>
      <c r="N802" s="35"/>
      <c r="O802" s="37" t="str">
        <f aca="false">IF(OR(D802="",D802=0,N802=""),"",N802/D802)</f>
        <v/>
      </c>
      <c r="P802" s="19" t="str">
        <f aca="false">IF(O802="","",IF(O802&gt;0.25,"ACRÉSCIMO ACIMA DE 25% — conferir",""))</f>
        <v/>
      </c>
      <c r="Q802" s="27"/>
      <c r="R802" s="5"/>
    </row>
    <row r="803" customFormat="false" ht="15" hidden="false" customHeight="false" outlineLevel="0" collapsed="false">
      <c r="A803" s="27"/>
      <c r="B803" s="5"/>
      <c r="C803" s="5"/>
      <c r="D803" s="35"/>
      <c r="E803" s="14"/>
      <c r="F803" s="18"/>
      <c r="G803" s="31" t="str">
        <f aca="false">IF(A803="","",IFERROR(IF(INDEX(Empresas!$C:$C,MATCH(A803,Empresas!$A:$A,0))="","",INDEX(Empresas!$C:$C,MATCH(A803,Empresas!$A:$A,0))),""))</f>
        <v/>
      </c>
      <c r="H803" s="18"/>
      <c r="I803" s="19" t="str">
        <f aca="false">IF(OR(F803="",G803=""),"",IF(F803-G803&lt;0,"CONTRATO ANTERIOR À ABERTURA — conferir datas",IF(F803-G803&lt;180,"ABERTA MENOS DE 6 MESES ANTES","")))</f>
        <v/>
      </c>
      <c r="J803" s="19" t="str">
        <f aca="false">IF(A803="","",IFERROR(INDEX(Sancoes!$B:$B,MATCH(A803,Sancoes!$A:$A,0))&amp;"","não consta"))</f>
        <v/>
      </c>
      <c r="K803" s="19" t="str">
        <f aca="false">IF(OR(A803="",F803=""),"",IF(SUMPRODUCT((Sancoes!$A$2:$A$301=A803)*(Sancoes!$B$2:$B$301&lt;&gt;"Não consta")*(Sancoes!$D$2:$D$301&lt;&gt;"")*(Sancoes!$D$2:$D$301&lt;=F803)*(((Sancoes!$E$2:$E$301="")+(Sancoes!$E$2:$E$301&gt;=F803))&gt;0))&gt;0,"SANÇÃO VIGENTE NA DATA — leia o tipo e a abrangência",""))</f>
        <v/>
      </c>
      <c r="L803" s="19" t="str">
        <f aca="false">IF(A803="","",IFERROR(INDEX(Empresas!$B:$B,MATCH(A803,Empresas!$A:$A,0))&amp;"","cadastre o CNPJ em Empresas"))</f>
        <v/>
      </c>
      <c r="M803" s="27"/>
      <c r="N803" s="35"/>
      <c r="O803" s="37" t="str">
        <f aca="false">IF(OR(D803="",D803=0,N803=""),"",N803/D803)</f>
        <v/>
      </c>
      <c r="P803" s="19" t="str">
        <f aca="false">IF(O803="","",IF(O803&gt;0.25,"ACRÉSCIMO ACIMA DE 25% — conferir",""))</f>
        <v/>
      </c>
      <c r="Q803" s="27"/>
      <c r="R803" s="5"/>
    </row>
    <row r="804" customFormat="false" ht="15" hidden="false" customHeight="false" outlineLevel="0" collapsed="false">
      <c r="A804" s="27"/>
      <c r="B804" s="5"/>
      <c r="C804" s="5"/>
      <c r="D804" s="35"/>
      <c r="E804" s="14"/>
      <c r="F804" s="18"/>
      <c r="G804" s="31" t="str">
        <f aca="false">IF(A804="","",IFERROR(IF(INDEX(Empresas!$C:$C,MATCH(A804,Empresas!$A:$A,0))="","",INDEX(Empresas!$C:$C,MATCH(A804,Empresas!$A:$A,0))),""))</f>
        <v/>
      </c>
      <c r="H804" s="18"/>
      <c r="I804" s="19" t="str">
        <f aca="false">IF(OR(F804="",G804=""),"",IF(F804-G804&lt;0,"CONTRATO ANTERIOR À ABERTURA — conferir datas",IF(F804-G804&lt;180,"ABERTA MENOS DE 6 MESES ANTES","")))</f>
        <v/>
      </c>
      <c r="J804" s="19" t="str">
        <f aca="false">IF(A804="","",IFERROR(INDEX(Sancoes!$B:$B,MATCH(A804,Sancoes!$A:$A,0))&amp;"","não consta"))</f>
        <v/>
      </c>
      <c r="K804" s="19" t="str">
        <f aca="false">IF(OR(A804="",F804=""),"",IF(SUMPRODUCT((Sancoes!$A$2:$A$301=A804)*(Sancoes!$B$2:$B$301&lt;&gt;"Não consta")*(Sancoes!$D$2:$D$301&lt;&gt;"")*(Sancoes!$D$2:$D$301&lt;=F804)*(((Sancoes!$E$2:$E$301="")+(Sancoes!$E$2:$E$301&gt;=F804))&gt;0))&gt;0,"SANÇÃO VIGENTE NA DATA — leia o tipo e a abrangência",""))</f>
        <v/>
      </c>
      <c r="L804" s="19" t="str">
        <f aca="false">IF(A804="","",IFERROR(INDEX(Empresas!$B:$B,MATCH(A804,Empresas!$A:$A,0))&amp;"","cadastre o CNPJ em Empresas"))</f>
        <v/>
      </c>
      <c r="M804" s="27"/>
      <c r="N804" s="35"/>
      <c r="O804" s="37" t="str">
        <f aca="false">IF(OR(D804="",D804=0,N804=""),"",N804/D804)</f>
        <v/>
      </c>
      <c r="P804" s="19" t="str">
        <f aca="false">IF(O804="","",IF(O804&gt;0.25,"ACRÉSCIMO ACIMA DE 25% — conferir",""))</f>
        <v/>
      </c>
      <c r="Q804" s="27"/>
      <c r="R804" s="5"/>
    </row>
    <row r="805" customFormat="false" ht="15" hidden="false" customHeight="false" outlineLevel="0" collapsed="false">
      <c r="A805" s="27"/>
      <c r="B805" s="5"/>
      <c r="C805" s="5"/>
      <c r="D805" s="35"/>
      <c r="E805" s="14"/>
      <c r="F805" s="18"/>
      <c r="G805" s="31" t="str">
        <f aca="false">IF(A805="","",IFERROR(IF(INDEX(Empresas!$C:$C,MATCH(A805,Empresas!$A:$A,0))="","",INDEX(Empresas!$C:$C,MATCH(A805,Empresas!$A:$A,0))),""))</f>
        <v/>
      </c>
      <c r="H805" s="18"/>
      <c r="I805" s="19" t="str">
        <f aca="false">IF(OR(F805="",G805=""),"",IF(F805-G805&lt;0,"CONTRATO ANTERIOR À ABERTURA — conferir datas",IF(F805-G805&lt;180,"ABERTA MENOS DE 6 MESES ANTES","")))</f>
        <v/>
      </c>
      <c r="J805" s="19" t="str">
        <f aca="false">IF(A805="","",IFERROR(INDEX(Sancoes!$B:$B,MATCH(A805,Sancoes!$A:$A,0))&amp;"","não consta"))</f>
        <v/>
      </c>
      <c r="K805" s="19" t="str">
        <f aca="false">IF(OR(A805="",F805=""),"",IF(SUMPRODUCT((Sancoes!$A$2:$A$301=A805)*(Sancoes!$B$2:$B$301&lt;&gt;"Não consta")*(Sancoes!$D$2:$D$301&lt;&gt;"")*(Sancoes!$D$2:$D$301&lt;=F805)*(((Sancoes!$E$2:$E$301="")+(Sancoes!$E$2:$E$301&gt;=F805))&gt;0))&gt;0,"SANÇÃO VIGENTE NA DATA — leia o tipo e a abrangência",""))</f>
        <v/>
      </c>
      <c r="L805" s="19" t="str">
        <f aca="false">IF(A805="","",IFERROR(INDEX(Empresas!$B:$B,MATCH(A805,Empresas!$A:$A,0))&amp;"","cadastre o CNPJ em Empresas"))</f>
        <v/>
      </c>
      <c r="M805" s="27"/>
      <c r="N805" s="35"/>
      <c r="O805" s="37" t="str">
        <f aca="false">IF(OR(D805="",D805=0,N805=""),"",N805/D805)</f>
        <v/>
      </c>
      <c r="P805" s="19" t="str">
        <f aca="false">IF(O805="","",IF(O805&gt;0.25,"ACRÉSCIMO ACIMA DE 25% — conferir",""))</f>
        <v/>
      </c>
      <c r="Q805" s="27"/>
      <c r="R805" s="5"/>
    </row>
    <row r="806" customFormat="false" ht="15" hidden="false" customHeight="false" outlineLevel="0" collapsed="false">
      <c r="A806" s="27"/>
      <c r="B806" s="5"/>
      <c r="C806" s="5"/>
      <c r="D806" s="35"/>
      <c r="E806" s="14"/>
      <c r="F806" s="18"/>
      <c r="G806" s="31" t="str">
        <f aca="false">IF(A806="","",IFERROR(IF(INDEX(Empresas!$C:$C,MATCH(A806,Empresas!$A:$A,0))="","",INDEX(Empresas!$C:$C,MATCH(A806,Empresas!$A:$A,0))),""))</f>
        <v/>
      </c>
      <c r="H806" s="18"/>
      <c r="I806" s="19" t="str">
        <f aca="false">IF(OR(F806="",G806=""),"",IF(F806-G806&lt;0,"CONTRATO ANTERIOR À ABERTURA — conferir datas",IF(F806-G806&lt;180,"ABERTA MENOS DE 6 MESES ANTES","")))</f>
        <v/>
      </c>
      <c r="J806" s="19" t="str">
        <f aca="false">IF(A806="","",IFERROR(INDEX(Sancoes!$B:$B,MATCH(A806,Sancoes!$A:$A,0))&amp;"","não consta"))</f>
        <v/>
      </c>
      <c r="K806" s="19" t="str">
        <f aca="false">IF(OR(A806="",F806=""),"",IF(SUMPRODUCT((Sancoes!$A$2:$A$301=A806)*(Sancoes!$B$2:$B$301&lt;&gt;"Não consta")*(Sancoes!$D$2:$D$301&lt;&gt;"")*(Sancoes!$D$2:$D$301&lt;=F806)*(((Sancoes!$E$2:$E$301="")+(Sancoes!$E$2:$E$301&gt;=F806))&gt;0))&gt;0,"SANÇÃO VIGENTE NA DATA — leia o tipo e a abrangência",""))</f>
        <v/>
      </c>
      <c r="L806" s="19" t="str">
        <f aca="false">IF(A806="","",IFERROR(INDEX(Empresas!$B:$B,MATCH(A806,Empresas!$A:$A,0))&amp;"","cadastre o CNPJ em Empresas"))</f>
        <v/>
      </c>
      <c r="M806" s="27"/>
      <c r="N806" s="35"/>
      <c r="O806" s="37" t="str">
        <f aca="false">IF(OR(D806="",D806=0,N806=""),"",N806/D806)</f>
        <v/>
      </c>
      <c r="P806" s="19" t="str">
        <f aca="false">IF(O806="","",IF(O806&gt;0.25,"ACRÉSCIMO ACIMA DE 25% — conferir",""))</f>
        <v/>
      </c>
      <c r="Q806" s="27"/>
      <c r="R806" s="5"/>
    </row>
    <row r="807" customFormat="false" ht="15" hidden="false" customHeight="false" outlineLevel="0" collapsed="false">
      <c r="A807" s="27"/>
      <c r="B807" s="5"/>
      <c r="C807" s="5"/>
      <c r="D807" s="35"/>
      <c r="E807" s="14"/>
      <c r="F807" s="18"/>
      <c r="G807" s="31" t="str">
        <f aca="false">IF(A807="","",IFERROR(IF(INDEX(Empresas!$C:$C,MATCH(A807,Empresas!$A:$A,0))="","",INDEX(Empresas!$C:$C,MATCH(A807,Empresas!$A:$A,0))),""))</f>
        <v/>
      </c>
      <c r="H807" s="18"/>
      <c r="I807" s="19" t="str">
        <f aca="false">IF(OR(F807="",G807=""),"",IF(F807-G807&lt;0,"CONTRATO ANTERIOR À ABERTURA — conferir datas",IF(F807-G807&lt;180,"ABERTA MENOS DE 6 MESES ANTES","")))</f>
        <v/>
      </c>
      <c r="J807" s="19" t="str">
        <f aca="false">IF(A807="","",IFERROR(INDEX(Sancoes!$B:$B,MATCH(A807,Sancoes!$A:$A,0))&amp;"","não consta"))</f>
        <v/>
      </c>
      <c r="K807" s="19" t="str">
        <f aca="false">IF(OR(A807="",F807=""),"",IF(SUMPRODUCT((Sancoes!$A$2:$A$301=A807)*(Sancoes!$B$2:$B$301&lt;&gt;"Não consta")*(Sancoes!$D$2:$D$301&lt;&gt;"")*(Sancoes!$D$2:$D$301&lt;=F807)*(((Sancoes!$E$2:$E$301="")+(Sancoes!$E$2:$E$301&gt;=F807))&gt;0))&gt;0,"SANÇÃO VIGENTE NA DATA — leia o tipo e a abrangência",""))</f>
        <v/>
      </c>
      <c r="L807" s="19" t="str">
        <f aca="false">IF(A807="","",IFERROR(INDEX(Empresas!$B:$B,MATCH(A807,Empresas!$A:$A,0))&amp;"","cadastre o CNPJ em Empresas"))</f>
        <v/>
      </c>
      <c r="M807" s="27"/>
      <c r="N807" s="35"/>
      <c r="O807" s="37" t="str">
        <f aca="false">IF(OR(D807="",D807=0,N807=""),"",N807/D807)</f>
        <v/>
      </c>
      <c r="P807" s="19" t="str">
        <f aca="false">IF(O807="","",IF(O807&gt;0.25,"ACRÉSCIMO ACIMA DE 25% — conferir",""))</f>
        <v/>
      </c>
      <c r="Q807" s="27"/>
      <c r="R807" s="5"/>
    </row>
    <row r="808" customFormat="false" ht="15" hidden="false" customHeight="false" outlineLevel="0" collapsed="false">
      <c r="A808" s="27"/>
      <c r="B808" s="5"/>
      <c r="C808" s="5"/>
      <c r="D808" s="35"/>
      <c r="E808" s="14"/>
      <c r="F808" s="18"/>
      <c r="G808" s="31" t="str">
        <f aca="false">IF(A808="","",IFERROR(IF(INDEX(Empresas!$C:$C,MATCH(A808,Empresas!$A:$A,0))="","",INDEX(Empresas!$C:$C,MATCH(A808,Empresas!$A:$A,0))),""))</f>
        <v/>
      </c>
      <c r="H808" s="18"/>
      <c r="I808" s="19" t="str">
        <f aca="false">IF(OR(F808="",G808=""),"",IF(F808-G808&lt;0,"CONTRATO ANTERIOR À ABERTURA — conferir datas",IF(F808-G808&lt;180,"ABERTA MENOS DE 6 MESES ANTES","")))</f>
        <v/>
      </c>
      <c r="J808" s="19" t="str">
        <f aca="false">IF(A808="","",IFERROR(INDEX(Sancoes!$B:$B,MATCH(A808,Sancoes!$A:$A,0))&amp;"","não consta"))</f>
        <v/>
      </c>
      <c r="K808" s="19" t="str">
        <f aca="false">IF(OR(A808="",F808=""),"",IF(SUMPRODUCT((Sancoes!$A$2:$A$301=A808)*(Sancoes!$B$2:$B$301&lt;&gt;"Não consta")*(Sancoes!$D$2:$D$301&lt;&gt;"")*(Sancoes!$D$2:$D$301&lt;=F808)*(((Sancoes!$E$2:$E$301="")+(Sancoes!$E$2:$E$301&gt;=F808))&gt;0))&gt;0,"SANÇÃO VIGENTE NA DATA — leia o tipo e a abrangência",""))</f>
        <v/>
      </c>
      <c r="L808" s="19" t="str">
        <f aca="false">IF(A808="","",IFERROR(INDEX(Empresas!$B:$B,MATCH(A808,Empresas!$A:$A,0))&amp;"","cadastre o CNPJ em Empresas"))</f>
        <v/>
      </c>
      <c r="M808" s="27"/>
      <c r="N808" s="35"/>
      <c r="O808" s="37" t="str">
        <f aca="false">IF(OR(D808="",D808=0,N808=""),"",N808/D808)</f>
        <v/>
      </c>
      <c r="P808" s="19" t="str">
        <f aca="false">IF(O808="","",IF(O808&gt;0.25,"ACRÉSCIMO ACIMA DE 25% — conferir",""))</f>
        <v/>
      </c>
      <c r="Q808" s="27"/>
      <c r="R808" s="5"/>
    </row>
    <row r="809" customFormat="false" ht="15" hidden="false" customHeight="false" outlineLevel="0" collapsed="false">
      <c r="A809" s="27"/>
      <c r="B809" s="5"/>
      <c r="C809" s="5"/>
      <c r="D809" s="35"/>
      <c r="E809" s="14"/>
      <c r="F809" s="18"/>
      <c r="G809" s="31" t="str">
        <f aca="false">IF(A809="","",IFERROR(IF(INDEX(Empresas!$C:$C,MATCH(A809,Empresas!$A:$A,0))="","",INDEX(Empresas!$C:$C,MATCH(A809,Empresas!$A:$A,0))),""))</f>
        <v/>
      </c>
      <c r="H809" s="18"/>
      <c r="I809" s="19" t="str">
        <f aca="false">IF(OR(F809="",G809=""),"",IF(F809-G809&lt;0,"CONTRATO ANTERIOR À ABERTURA — conferir datas",IF(F809-G809&lt;180,"ABERTA MENOS DE 6 MESES ANTES","")))</f>
        <v/>
      </c>
      <c r="J809" s="19" t="str">
        <f aca="false">IF(A809="","",IFERROR(INDEX(Sancoes!$B:$B,MATCH(A809,Sancoes!$A:$A,0))&amp;"","não consta"))</f>
        <v/>
      </c>
      <c r="K809" s="19" t="str">
        <f aca="false">IF(OR(A809="",F809=""),"",IF(SUMPRODUCT((Sancoes!$A$2:$A$301=A809)*(Sancoes!$B$2:$B$301&lt;&gt;"Não consta")*(Sancoes!$D$2:$D$301&lt;&gt;"")*(Sancoes!$D$2:$D$301&lt;=F809)*(((Sancoes!$E$2:$E$301="")+(Sancoes!$E$2:$E$301&gt;=F809))&gt;0))&gt;0,"SANÇÃO VIGENTE NA DATA — leia o tipo e a abrangência",""))</f>
        <v/>
      </c>
      <c r="L809" s="19" t="str">
        <f aca="false">IF(A809="","",IFERROR(INDEX(Empresas!$B:$B,MATCH(A809,Empresas!$A:$A,0))&amp;"","cadastre o CNPJ em Empresas"))</f>
        <v/>
      </c>
      <c r="M809" s="27"/>
      <c r="N809" s="35"/>
      <c r="O809" s="37" t="str">
        <f aca="false">IF(OR(D809="",D809=0,N809=""),"",N809/D809)</f>
        <v/>
      </c>
      <c r="P809" s="19" t="str">
        <f aca="false">IF(O809="","",IF(O809&gt;0.25,"ACRÉSCIMO ACIMA DE 25% — conferir",""))</f>
        <v/>
      </c>
      <c r="Q809" s="27"/>
      <c r="R809" s="5"/>
    </row>
    <row r="810" customFormat="false" ht="15" hidden="false" customHeight="false" outlineLevel="0" collapsed="false">
      <c r="A810" s="27"/>
      <c r="B810" s="5"/>
      <c r="C810" s="5"/>
      <c r="D810" s="35"/>
      <c r="E810" s="14"/>
      <c r="F810" s="18"/>
      <c r="G810" s="31" t="str">
        <f aca="false">IF(A810="","",IFERROR(IF(INDEX(Empresas!$C:$C,MATCH(A810,Empresas!$A:$A,0))="","",INDEX(Empresas!$C:$C,MATCH(A810,Empresas!$A:$A,0))),""))</f>
        <v/>
      </c>
      <c r="H810" s="18"/>
      <c r="I810" s="19" t="str">
        <f aca="false">IF(OR(F810="",G810=""),"",IF(F810-G810&lt;0,"CONTRATO ANTERIOR À ABERTURA — conferir datas",IF(F810-G810&lt;180,"ABERTA MENOS DE 6 MESES ANTES","")))</f>
        <v/>
      </c>
      <c r="J810" s="19" t="str">
        <f aca="false">IF(A810="","",IFERROR(INDEX(Sancoes!$B:$B,MATCH(A810,Sancoes!$A:$A,0))&amp;"","não consta"))</f>
        <v/>
      </c>
      <c r="K810" s="19" t="str">
        <f aca="false">IF(OR(A810="",F810=""),"",IF(SUMPRODUCT((Sancoes!$A$2:$A$301=A810)*(Sancoes!$B$2:$B$301&lt;&gt;"Não consta")*(Sancoes!$D$2:$D$301&lt;&gt;"")*(Sancoes!$D$2:$D$301&lt;=F810)*(((Sancoes!$E$2:$E$301="")+(Sancoes!$E$2:$E$301&gt;=F810))&gt;0))&gt;0,"SANÇÃO VIGENTE NA DATA — leia o tipo e a abrangência",""))</f>
        <v/>
      </c>
      <c r="L810" s="19" t="str">
        <f aca="false">IF(A810="","",IFERROR(INDEX(Empresas!$B:$B,MATCH(A810,Empresas!$A:$A,0))&amp;"","cadastre o CNPJ em Empresas"))</f>
        <v/>
      </c>
      <c r="M810" s="27"/>
      <c r="N810" s="35"/>
      <c r="O810" s="37" t="str">
        <f aca="false">IF(OR(D810="",D810=0,N810=""),"",N810/D810)</f>
        <v/>
      </c>
      <c r="P810" s="19" t="str">
        <f aca="false">IF(O810="","",IF(O810&gt;0.25,"ACRÉSCIMO ACIMA DE 25% — conferir",""))</f>
        <v/>
      </c>
      <c r="Q810" s="27"/>
      <c r="R810" s="5"/>
    </row>
    <row r="811" customFormat="false" ht="15" hidden="false" customHeight="false" outlineLevel="0" collapsed="false">
      <c r="A811" s="27"/>
      <c r="B811" s="5"/>
      <c r="C811" s="5"/>
      <c r="D811" s="35"/>
      <c r="E811" s="14"/>
      <c r="F811" s="18"/>
      <c r="G811" s="31" t="str">
        <f aca="false">IF(A811="","",IFERROR(IF(INDEX(Empresas!$C:$C,MATCH(A811,Empresas!$A:$A,0))="","",INDEX(Empresas!$C:$C,MATCH(A811,Empresas!$A:$A,0))),""))</f>
        <v/>
      </c>
      <c r="H811" s="18"/>
      <c r="I811" s="19" t="str">
        <f aca="false">IF(OR(F811="",G811=""),"",IF(F811-G811&lt;0,"CONTRATO ANTERIOR À ABERTURA — conferir datas",IF(F811-G811&lt;180,"ABERTA MENOS DE 6 MESES ANTES","")))</f>
        <v/>
      </c>
      <c r="J811" s="19" t="str">
        <f aca="false">IF(A811="","",IFERROR(INDEX(Sancoes!$B:$B,MATCH(A811,Sancoes!$A:$A,0))&amp;"","não consta"))</f>
        <v/>
      </c>
      <c r="K811" s="19" t="str">
        <f aca="false">IF(OR(A811="",F811=""),"",IF(SUMPRODUCT((Sancoes!$A$2:$A$301=A811)*(Sancoes!$B$2:$B$301&lt;&gt;"Não consta")*(Sancoes!$D$2:$D$301&lt;&gt;"")*(Sancoes!$D$2:$D$301&lt;=F811)*(((Sancoes!$E$2:$E$301="")+(Sancoes!$E$2:$E$301&gt;=F811))&gt;0))&gt;0,"SANÇÃO VIGENTE NA DATA — leia o tipo e a abrangência",""))</f>
        <v/>
      </c>
      <c r="L811" s="19" t="str">
        <f aca="false">IF(A811="","",IFERROR(INDEX(Empresas!$B:$B,MATCH(A811,Empresas!$A:$A,0))&amp;"","cadastre o CNPJ em Empresas"))</f>
        <v/>
      </c>
      <c r="M811" s="27"/>
      <c r="N811" s="35"/>
      <c r="O811" s="37" t="str">
        <f aca="false">IF(OR(D811="",D811=0,N811=""),"",N811/D811)</f>
        <v/>
      </c>
      <c r="P811" s="19" t="str">
        <f aca="false">IF(O811="","",IF(O811&gt;0.25,"ACRÉSCIMO ACIMA DE 25% — conferir",""))</f>
        <v/>
      </c>
      <c r="Q811" s="27"/>
      <c r="R811" s="5"/>
    </row>
    <row r="812" customFormat="false" ht="15" hidden="false" customHeight="false" outlineLevel="0" collapsed="false">
      <c r="A812" s="27"/>
      <c r="B812" s="5"/>
      <c r="C812" s="5"/>
      <c r="D812" s="35"/>
      <c r="E812" s="14"/>
      <c r="F812" s="18"/>
      <c r="G812" s="31" t="str">
        <f aca="false">IF(A812="","",IFERROR(IF(INDEX(Empresas!$C:$C,MATCH(A812,Empresas!$A:$A,0))="","",INDEX(Empresas!$C:$C,MATCH(A812,Empresas!$A:$A,0))),""))</f>
        <v/>
      </c>
      <c r="H812" s="18"/>
      <c r="I812" s="19" t="str">
        <f aca="false">IF(OR(F812="",G812=""),"",IF(F812-G812&lt;0,"CONTRATO ANTERIOR À ABERTURA — conferir datas",IF(F812-G812&lt;180,"ABERTA MENOS DE 6 MESES ANTES","")))</f>
        <v/>
      </c>
      <c r="J812" s="19" t="str">
        <f aca="false">IF(A812="","",IFERROR(INDEX(Sancoes!$B:$B,MATCH(A812,Sancoes!$A:$A,0))&amp;"","não consta"))</f>
        <v/>
      </c>
      <c r="K812" s="19" t="str">
        <f aca="false">IF(OR(A812="",F812=""),"",IF(SUMPRODUCT((Sancoes!$A$2:$A$301=A812)*(Sancoes!$B$2:$B$301&lt;&gt;"Não consta")*(Sancoes!$D$2:$D$301&lt;&gt;"")*(Sancoes!$D$2:$D$301&lt;=F812)*(((Sancoes!$E$2:$E$301="")+(Sancoes!$E$2:$E$301&gt;=F812))&gt;0))&gt;0,"SANÇÃO VIGENTE NA DATA — leia o tipo e a abrangência",""))</f>
        <v/>
      </c>
      <c r="L812" s="19" t="str">
        <f aca="false">IF(A812="","",IFERROR(INDEX(Empresas!$B:$B,MATCH(A812,Empresas!$A:$A,0))&amp;"","cadastre o CNPJ em Empresas"))</f>
        <v/>
      </c>
      <c r="M812" s="27"/>
      <c r="N812" s="35"/>
      <c r="O812" s="37" t="str">
        <f aca="false">IF(OR(D812="",D812=0,N812=""),"",N812/D812)</f>
        <v/>
      </c>
      <c r="P812" s="19" t="str">
        <f aca="false">IF(O812="","",IF(O812&gt;0.25,"ACRÉSCIMO ACIMA DE 25% — conferir",""))</f>
        <v/>
      </c>
      <c r="Q812" s="27"/>
      <c r="R812" s="5"/>
    </row>
    <row r="813" customFormat="false" ht="15" hidden="false" customHeight="false" outlineLevel="0" collapsed="false">
      <c r="A813" s="27"/>
      <c r="B813" s="5"/>
      <c r="C813" s="5"/>
      <c r="D813" s="35"/>
      <c r="E813" s="14"/>
      <c r="F813" s="18"/>
      <c r="G813" s="31" t="str">
        <f aca="false">IF(A813="","",IFERROR(IF(INDEX(Empresas!$C:$C,MATCH(A813,Empresas!$A:$A,0))="","",INDEX(Empresas!$C:$C,MATCH(A813,Empresas!$A:$A,0))),""))</f>
        <v/>
      </c>
      <c r="H813" s="18"/>
      <c r="I813" s="19" t="str">
        <f aca="false">IF(OR(F813="",G813=""),"",IF(F813-G813&lt;0,"CONTRATO ANTERIOR À ABERTURA — conferir datas",IF(F813-G813&lt;180,"ABERTA MENOS DE 6 MESES ANTES","")))</f>
        <v/>
      </c>
      <c r="J813" s="19" t="str">
        <f aca="false">IF(A813="","",IFERROR(INDEX(Sancoes!$B:$B,MATCH(A813,Sancoes!$A:$A,0))&amp;"","não consta"))</f>
        <v/>
      </c>
      <c r="K813" s="19" t="str">
        <f aca="false">IF(OR(A813="",F813=""),"",IF(SUMPRODUCT((Sancoes!$A$2:$A$301=A813)*(Sancoes!$B$2:$B$301&lt;&gt;"Não consta")*(Sancoes!$D$2:$D$301&lt;&gt;"")*(Sancoes!$D$2:$D$301&lt;=F813)*(((Sancoes!$E$2:$E$301="")+(Sancoes!$E$2:$E$301&gt;=F813))&gt;0))&gt;0,"SANÇÃO VIGENTE NA DATA — leia o tipo e a abrangência",""))</f>
        <v/>
      </c>
      <c r="L813" s="19" t="str">
        <f aca="false">IF(A813="","",IFERROR(INDEX(Empresas!$B:$B,MATCH(A813,Empresas!$A:$A,0))&amp;"","cadastre o CNPJ em Empresas"))</f>
        <v/>
      </c>
      <c r="M813" s="27"/>
      <c r="N813" s="35"/>
      <c r="O813" s="37" t="str">
        <f aca="false">IF(OR(D813="",D813=0,N813=""),"",N813/D813)</f>
        <v/>
      </c>
      <c r="P813" s="19" t="str">
        <f aca="false">IF(O813="","",IF(O813&gt;0.25,"ACRÉSCIMO ACIMA DE 25% — conferir",""))</f>
        <v/>
      </c>
      <c r="Q813" s="27"/>
      <c r="R813" s="5"/>
    </row>
    <row r="814" customFormat="false" ht="15" hidden="false" customHeight="false" outlineLevel="0" collapsed="false">
      <c r="A814" s="27"/>
      <c r="B814" s="5"/>
      <c r="C814" s="5"/>
      <c r="D814" s="35"/>
      <c r="E814" s="14"/>
      <c r="F814" s="18"/>
      <c r="G814" s="31" t="str">
        <f aca="false">IF(A814="","",IFERROR(IF(INDEX(Empresas!$C:$C,MATCH(A814,Empresas!$A:$A,0))="","",INDEX(Empresas!$C:$C,MATCH(A814,Empresas!$A:$A,0))),""))</f>
        <v/>
      </c>
      <c r="H814" s="18"/>
      <c r="I814" s="19" t="str">
        <f aca="false">IF(OR(F814="",G814=""),"",IF(F814-G814&lt;0,"CONTRATO ANTERIOR À ABERTURA — conferir datas",IF(F814-G814&lt;180,"ABERTA MENOS DE 6 MESES ANTES","")))</f>
        <v/>
      </c>
      <c r="J814" s="19" t="str">
        <f aca="false">IF(A814="","",IFERROR(INDEX(Sancoes!$B:$B,MATCH(A814,Sancoes!$A:$A,0))&amp;"","não consta"))</f>
        <v/>
      </c>
      <c r="K814" s="19" t="str">
        <f aca="false">IF(OR(A814="",F814=""),"",IF(SUMPRODUCT((Sancoes!$A$2:$A$301=A814)*(Sancoes!$B$2:$B$301&lt;&gt;"Não consta")*(Sancoes!$D$2:$D$301&lt;&gt;"")*(Sancoes!$D$2:$D$301&lt;=F814)*(((Sancoes!$E$2:$E$301="")+(Sancoes!$E$2:$E$301&gt;=F814))&gt;0))&gt;0,"SANÇÃO VIGENTE NA DATA — leia o tipo e a abrangência",""))</f>
        <v/>
      </c>
      <c r="L814" s="19" t="str">
        <f aca="false">IF(A814="","",IFERROR(INDEX(Empresas!$B:$B,MATCH(A814,Empresas!$A:$A,0))&amp;"","cadastre o CNPJ em Empresas"))</f>
        <v/>
      </c>
      <c r="M814" s="27"/>
      <c r="N814" s="35"/>
      <c r="O814" s="37" t="str">
        <f aca="false">IF(OR(D814="",D814=0,N814=""),"",N814/D814)</f>
        <v/>
      </c>
      <c r="P814" s="19" t="str">
        <f aca="false">IF(O814="","",IF(O814&gt;0.25,"ACRÉSCIMO ACIMA DE 25% — conferir",""))</f>
        <v/>
      </c>
      <c r="Q814" s="27"/>
      <c r="R814" s="5"/>
    </row>
    <row r="815" customFormat="false" ht="15" hidden="false" customHeight="false" outlineLevel="0" collapsed="false">
      <c r="A815" s="27"/>
      <c r="B815" s="5"/>
      <c r="C815" s="5"/>
      <c r="D815" s="35"/>
      <c r="E815" s="14"/>
      <c r="F815" s="18"/>
      <c r="G815" s="31" t="str">
        <f aca="false">IF(A815="","",IFERROR(IF(INDEX(Empresas!$C:$C,MATCH(A815,Empresas!$A:$A,0))="","",INDEX(Empresas!$C:$C,MATCH(A815,Empresas!$A:$A,0))),""))</f>
        <v/>
      </c>
      <c r="H815" s="18"/>
      <c r="I815" s="19" t="str">
        <f aca="false">IF(OR(F815="",G815=""),"",IF(F815-G815&lt;0,"CONTRATO ANTERIOR À ABERTURA — conferir datas",IF(F815-G815&lt;180,"ABERTA MENOS DE 6 MESES ANTES","")))</f>
        <v/>
      </c>
      <c r="J815" s="19" t="str">
        <f aca="false">IF(A815="","",IFERROR(INDEX(Sancoes!$B:$B,MATCH(A815,Sancoes!$A:$A,0))&amp;"","não consta"))</f>
        <v/>
      </c>
      <c r="K815" s="19" t="str">
        <f aca="false">IF(OR(A815="",F815=""),"",IF(SUMPRODUCT((Sancoes!$A$2:$A$301=A815)*(Sancoes!$B$2:$B$301&lt;&gt;"Não consta")*(Sancoes!$D$2:$D$301&lt;&gt;"")*(Sancoes!$D$2:$D$301&lt;=F815)*(((Sancoes!$E$2:$E$301="")+(Sancoes!$E$2:$E$301&gt;=F815))&gt;0))&gt;0,"SANÇÃO VIGENTE NA DATA — leia o tipo e a abrangência",""))</f>
        <v/>
      </c>
      <c r="L815" s="19" t="str">
        <f aca="false">IF(A815="","",IFERROR(INDEX(Empresas!$B:$B,MATCH(A815,Empresas!$A:$A,0))&amp;"","cadastre o CNPJ em Empresas"))</f>
        <v/>
      </c>
      <c r="M815" s="27"/>
      <c r="N815" s="35"/>
      <c r="O815" s="37" t="str">
        <f aca="false">IF(OR(D815="",D815=0,N815=""),"",N815/D815)</f>
        <v/>
      </c>
      <c r="P815" s="19" t="str">
        <f aca="false">IF(O815="","",IF(O815&gt;0.25,"ACRÉSCIMO ACIMA DE 25% — conferir",""))</f>
        <v/>
      </c>
      <c r="Q815" s="27"/>
      <c r="R815" s="5"/>
    </row>
    <row r="816" customFormat="false" ht="15" hidden="false" customHeight="false" outlineLevel="0" collapsed="false">
      <c r="A816" s="27"/>
      <c r="B816" s="5"/>
      <c r="C816" s="5"/>
      <c r="D816" s="35"/>
      <c r="E816" s="14"/>
      <c r="F816" s="18"/>
      <c r="G816" s="31" t="str">
        <f aca="false">IF(A816="","",IFERROR(IF(INDEX(Empresas!$C:$C,MATCH(A816,Empresas!$A:$A,0))="","",INDEX(Empresas!$C:$C,MATCH(A816,Empresas!$A:$A,0))),""))</f>
        <v/>
      </c>
      <c r="H816" s="18"/>
      <c r="I816" s="19" t="str">
        <f aca="false">IF(OR(F816="",G816=""),"",IF(F816-G816&lt;0,"CONTRATO ANTERIOR À ABERTURA — conferir datas",IF(F816-G816&lt;180,"ABERTA MENOS DE 6 MESES ANTES","")))</f>
        <v/>
      </c>
      <c r="J816" s="19" t="str">
        <f aca="false">IF(A816="","",IFERROR(INDEX(Sancoes!$B:$B,MATCH(A816,Sancoes!$A:$A,0))&amp;"","não consta"))</f>
        <v/>
      </c>
      <c r="K816" s="19" t="str">
        <f aca="false">IF(OR(A816="",F816=""),"",IF(SUMPRODUCT((Sancoes!$A$2:$A$301=A816)*(Sancoes!$B$2:$B$301&lt;&gt;"Não consta")*(Sancoes!$D$2:$D$301&lt;&gt;"")*(Sancoes!$D$2:$D$301&lt;=F816)*(((Sancoes!$E$2:$E$301="")+(Sancoes!$E$2:$E$301&gt;=F816))&gt;0))&gt;0,"SANÇÃO VIGENTE NA DATA — leia o tipo e a abrangência",""))</f>
        <v/>
      </c>
      <c r="L816" s="19" t="str">
        <f aca="false">IF(A816="","",IFERROR(INDEX(Empresas!$B:$B,MATCH(A816,Empresas!$A:$A,0))&amp;"","cadastre o CNPJ em Empresas"))</f>
        <v/>
      </c>
      <c r="M816" s="27"/>
      <c r="N816" s="35"/>
      <c r="O816" s="37" t="str">
        <f aca="false">IF(OR(D816="",D816=0,N816=""),"",N816/D816)</f>
        <v/>
      </c>
      <c r="P816" s="19" t="str">
        <f aca="false">IF(O816="","",IF(O816&gt;0.25,"ACRÉSCIMO ACIMA DE 25% — conferir",""))</f>
        <v/>
      </c>
      <c r="Q816" s="27"/>
      <c r="R816" s="5"/>
    </row>
    <row r="817" customFormat="false" ht="15" hidden="false" customHeight="false" outlineLevel="0" collapsed="false">
      <c r="A817" s="27"/>
      <c r="B817" s="5"/>
      <c r="C817" s="5"/>
      <c r="D817" s="35"/>
      <c r="E817" s="14"/>
      <c r="F817" s="18"/>
      <c r="G817" s="31" t="str">
        <f aca="false">IF(A817="","",IFERROR(IF(INDEX(Empresas!$C:$C,MATCH(A817,Empresas!$A:$A,0))="","",INDEX(Empresas!$C:$C,MATCH(A817,Empresas!$A:$A,0))),""))</f>
        <v/>
      </c>
      <c r="H817" s="18"/>
      <c r="I817" s="19" t="str">
        <f aca="false">IF(OR(F817="",G817=""),"",IF(F817-G817&lt;0,"CONTRATO ANTERIOR À ABERTURA — conferir datas",IF(F817-G817&lt;180,"ABERTA MENOS DE 6 MESES ANTES","")))</f>
        <v/>
      </c>
      <c r="J817" s="19" t="str">
        <f aca="false">IF(A817="","",IFERROR(INDEX(Sancoes!$B:$B,MATCH(A817,Sancoes!$A:$A,0))&amp;"","não consta"))</f>
        <v/>
      </c>
      <c r="K817" s="19" t="str">
        <f aca="false">IF(OR(A817="",F817=""),"",IF(SUMPRODUCT((Sancoes!$A$2:$A$301=A817)*(Sancoes!$B$2:$B$301&lt;&gt;"Não consta")*(Sancoes!$D$2:$D$301&lt;&gt;"")*(Sancoes!$D$2:$D$301&lt;=F817)*(((Sancoes!$E$2:$E$301="")+(Sancoes!$E$2:$E$301&gt;=F817))&gt;0))&gt;0,"SANÇÃO VIGENTE NA DATA — leia o tipo e a abrangência",""))</f>
        <v/>
      </c>
      <c r="L817" s="19" t="str">
        <f aca="false">IF(A817="","",IFERROR(INDEX(Empresas!$B:$B,MATCH(A817,Empresas!$A:$A,0))&amp;"","cadastre o CNPJ em Empresas"))</f>
        <v/>
      </c>
      <c r="M817" s="27"/>
      <c r="N817" s="35"/>
      <c r="O817" s="37" t="str">
        <f aca="false">IF(OR(D817="",D817=0,N817=""),"",N817/D817)</f>
        <v/>
      </c>
      <c r="P817" s="19" t="str">
        <f aca="false">IF(O817="","",IF(O817&gt;0.25,"ACRÉSCIMO ACIMA DE 25% — conferir",""))</f>
        <v/>
      </c>
      <c r="Q817" s="27"/>
      <c r="R817" s="5"/>
    </row>
    <row r="818" customFormat="false" ht="15" hidden="false" customHeight="false" outlineLevel="0" collapsed="false">
      <c r="A818" s="27"/>
      <c r="B818" s="5"/>
      <c r="C818" s="5"/>
      <c r="D818" s="35"/>
      <c r="E818" s="14"/>
      <c r="F818" s="18"/>
      <c r="G818" s="31" t="str">
        <f aca="false">IF(A818="","",IFERROR(IF(INDEX(Empresas!$C:$C,MATCH(A818,Empresas!$A:$A,0))="","",INDEX(Empresas!$C:$C,MATCH(A818,Empresas!$A:$A,0))),""))</f>
        <v/>
      </c>
      <c r="H818" s="18"/>
      <c r="I818" s="19" t="str">
        <f aca="false">IF(OR(F818="",G818=""),"",IF(F818-G818&lt;0,"CONTRATO ANTERIOR À ABERTURA — conferir datas",IF(F818-G818&lt;180,"ABERTA MENOS DE 6 MESES ANTES","")))</f>
        <v/>
      </c>
      <c r="J818" s="19" t="str">
        <f aca="false">IF(A818="","",IFERROR(INDEX(Sancoes!$B:$B,MATCH(A818,Sancoes!$A:$A,0))&amp;"","não consta"))</f>
        <v/>
      </c>
      <c r="K818" s="19" t="str">
        <f aca="false">IF(OR(A818="",F818=""),"",IF(SUMPRODUCT((Sancoes!$A$2:$A$301=A818)*(Sancoes!$B$2:$B$301&lt;&gt;"Não consta")*(Sancoes!$D$2:$D$301&lt;&gt;"")*(Sancoes!$D$2:$D$301&lt;=F818)*(((Sancoes!$E$2:$E$301="")+(Sancoes!$E$2:$E$301&gt;=F818))&gt;0))&gt;0,"SANÇÃO VIGENTE NA DATA — leia o tipo e a abrangência",""))</f>
        <v/>
      </c>
      <c r="L818" s="19" t="str">
        <f aca="false">IF(A818="","",IFERROR(INDEX(Empresas!$B:$B,MATCH(A818,Empresas!$A:$A,0))&amp;"","cadastre o CNPJ em Empresas"))</f>
        <v/>
      </c>
      <c r="M818" s="27"/>
      <c r="N818" s="35"/>
      <c r="O818" s="37" t="str">
        <f aca="false">IF(OR(D818="",D818=0,N818=""),"",N818/D818)</f>
        <v/>
      </c>
      <c r="P818" s="19" t="str">
        <f aca="false">IF(O818="","",IF(O818&gt;0.25,"ACRÉSCIMO ACIMA DE 25% — conferir",""))</f>
        <v/>
      </c>
      <c r="Q818" s="27"/>
      <c r="R818" s="5"/>
    </row>
    <row r="819" customFormat="false" ht="15" hidden="false" customHeight="false" outlineLevel="0" collapsed="false">
      <c r="A819" s="27"/>
      <c r="B819" s="5"/>
      <c r="C819" s="5"/>
      <c r="D819" s="35"/>
      <c r="E819" s="14"/>
      <c r="F819" s="18"/>
      <c r="G819" s="31" t="str">
        <f aca="false">IF(A819="","",IFERROR(IF(INDEX(Empresas!$C:$C,MATCH(A819,Empresas!$A:$A,0))="","",INDEX(Empresas!$C:$C,MATCH(A819,Empresas!$A:$A,0))),""))</f>
        <v/>
      </c>
      <c r="H819" s="18"/>
      <c r="I819" s="19" t="str">
        <f aca="false">IF(OR(F819="",G819=""),"",IF(F819-G819&lt;0,"CONTRATO ANTERIOR À ABERTURA — conferir datas",IF(F819-G819&lt;180,"ABERTA MENOS DE 6 MESES ANTES","")))</f>
        <v/>
      </c>
      <c r="J819" s="19" t="str">
        <f aca="false">IF(A819="","",IFERROR(INDEX(Sancoes!$B:$B,MATCH(A819,Sancoes!$A:$A,0))&amp;"","não consta"))</f>
        <v/>
      </c>
      <c r="K819" s="19" t="str">
        <f aca="false">IF(OR(A819="",F819=""),"",IF(SUMPRODUCT((Sancoes!$A$2:$A$301=A819)*(Sancoes!$B$2:$B$301&lt;&gt;"Não consta")*(Sancoes!$D$2:$D$301&lt;&gt;"")*(Sancoes!$D$2:$D$301&lt;=F819)*(((Sancoes!$E$2:$E$301="")+(Sancoes!$E$2:$E$301&gt;=F819))&gt;0))&gt;0,"SANÇÃO VIGENTE NA DATA — leia o tipo e a abrangência",""))</f>
        <v/>
      </c>
      <c r="L819" s="19" t="str">
        <f aca="false">IF(A819="","",IFERROR(INDEX(Empresas!$B:$B,MATCH(A819,Empresas!$A:$A,0))&amp;"","cadastre o CNPJ em Empresas"))</f>
        <v/>
      </c>
      <c r="M819" s="27"/>
      <c r="N819" s="35"/>
      <c r="O819" s="37" t="str">
        <f aca="false">IF(OR(D819="",D819=0,N819=""),"",N819/D819)</f>
        <v/>
      </c>
      <c r="P819" s="19" t="str">
        <f aca="false">IF(O819="","",IF(O819&gt;0.25,"ACRÉSCIMO ACIMA DE 25% — conferir",""))</f>
        <v/>
      </c>
      <c r="Q819" s="27"/>
      <c r="R819" s="5"/>
    </row>
    <row r="820" customFormat="false" ht="15" hidden="false" customHeight="false" outlineLevel="0" collapsed="false">
      <c r="A820" s="27"/>
      <c r="B820" s="5"/>
      <c r="C820" s="5"/>
      <c r="D820" s="35"/>
      <c r="E820" s="14"/>
      <c r="F820" s="18"/>
      <c r="G820" s="31" t="str">
        <f aca="false">IF(A820="","",IFERROR(IF(INDEX(Empresas!$C:$C,MATCH(A820,Empresas!$A:$A,0))="","",INDEX(Empresas!$C:$C,MATCH(A820,Empresas!$A:$A,0))),""))</f>
        <v/>
      </c>
      <c r="H820" s="18"/>
      <c r="I820" s="19" t="str">
        <f aca="false">IF(OR(F820="",G820=""),"",IF(F820-G820&lt;0,"CONTRATO ANTERIOR À ABERTURA — conferir datas",IF(F820-G820&lt;180,"ABERTA MENOS DE 6 MESES ANTES","")))</f>
        <v/>
      </c>
      <c r="J820" s="19" t="str">
        <f aca="false">IF(A820="","",IFERROR(INDEX(Sancoes!$B:$B,MATCH(A820,Sancoes!$A:$A,0))&amp;"","não consta"))</f>
        <v/>
      </c>
      <c r="K820" s="19" t="str">
        <f aca="false">IF(OR(A820="",F820=""),"",IF(SUMPRODUCT((Sancoes!$A$2:$A$301=A820)*(Sancoes!$B$2:$B$301&lt;&gt;"Não consta")*(Sancoes!$D$2:$D$301&lt;&gt;"")*(Sancoes!$D$2:$D$301&lt;=F820)*(((Sancoes!$E$2:$E$301="")+(Sancoes!$E$2:$E$301&gt;=F820))&gt;0))&gt;0,"SANÇÃO VIGENTE NA DATA — leia o tipo e a abrangência",""))</f>
        <v/>
      </c>
      <c r="L820" s="19" t="str">
        <f aca="false">IF(A820="","",IFERROR(INDEX(Empresas!$B:$B,MATCH(A820,Empresas!$A:$A,0))&amp;"","cadastre o CNPJ em Empresas"))</f>
        <v/>
      </c>
      <c r="M820" s="27"/>
      <c r="N820" s="35"/>
      <c r="O820" s="37" t="str">
        <f aca="false">IF(OR(D820="",D820=0,N820=""),"",N820/D820)</f>
        <v/>
      </c>
      <c r="P820" s="19" t="str">
        <f aca="false">IF(O820="","",IF(O820&gt;0.25,"ACRÉSCIMO ACIMA DE 25% — conferir",""))</f>
        <v/>
      </c>
      <c r="Q820" s="27"/>
      <c r="R820" s="5"/>
    </row>
    <row r="821" customFormat="false" ht="15" hidden="false" customHeight="false" outlineLevel="0" collapsed="false">
      <c r="A821" s="27"/>
      <c r="B821" s="5"/>
      <c r="C821" s="5"/>
      <c r="D821" s="35"/>
      <c r="E821" s="14"/>
      <c r="F821" s="18"/>
      <c r="G821" s="31" t="str">
        <f aca="false">IF(A821="","",IFERROR(IF(INDEX(Empresas!$C:$C,MATCH(A821,Empresas!$A:$A,0))="","",INDEX(Empresas!$C:$C,MATCH(A821,Empresas!$A:$A,0))),""))</f>
        <v/>
      </c>
      <c r="H821" s="18"/>
      <c r="I821" s="19" t="str">
        <f aca="false">IF(OR(F821="",G821=""),"",IF(F821-G821&lt;0,"CONTRATO ANTERIOR À ABERTURA — conferir datas",IF(F821-G821&lt;180,"ABERTA MENOS DE 6 MESES ANTES","")))</f>
        <v/>
      </c>
      <c r="J821" s="19" t="str">
        <f aca="false">IF(A821="","",IFERROR(INDEX(Sancoes!$B:$B,MATCH(A821,Sancoes!$A:$A,0))&amp;"","não consta"))</f>
        <v/>
      </c>
      <c r="K821" s="19" t="str">
        <f aca="false">IF(OR(A821="",F821=""),"",IF(SUMPRODUCT((Sancoes!$A$2:$A$301=A821)*(Sancoes!$B$2:$B$301&lt;&gt;"Não consta")*(Sancoes!$D$2:$D$301&lt;&gt;"")*(Sancoes!$D$2:$D$301&lt;=F821)*(((Sancoes!$E$2:$E$301="")+(Sancoes!$E$2:$E$301&gt;=F821))&gt;0))&gt;0,"SANÇÃO VIGENTE NA DATA — leia o tipo e a abrangência",""))</f>
        <v/>
      </c>
      <c r="L821" s="19" t="str">
        <f aca="false">IF(A821="","",IFERROR(INDEX(Empresas!$B:$B,MATCH(A821,Empresas!$A:$A,0))&amp;"","cadastre o CNPJ em Empresas"))</f>
        <v/>
      </c>
      <c r="M821" s="27"/>
      <c r="N821" s="35"/>
      <c r="O821" s="37" t="str">
        <f aca="false">IF(OR(D821="",D821=0,N821=""),"",N821/D821)</f>
        <v/>
      </c>
      <c r="P821" s="19" t="str">
        <f aca="false">IF(O821="","",IF(O821&gt;0.25,"ACRÉSCIMO ACIMA DE 25% — conferir",""))</f>
        <v/>
      </c>
      <c r="Q821" s="27"/>
      <c r="R821" s="5"/>
    </row>
    <row r="822" customFormat="false" ht="15" hidden="false" customHeight="false" outlineLevel="0" collapsed="false">
      <c r="A822" s="27"/>
      <c r="B822" s="5"/>
      <c r="C822" s="5"/>
      <c r="D822" s="35"/>
      <c r="E822" s="14"/>
      <c r="F822" s="18"/>
      <c r="G822" s="31" t="str">
        <f aca="false">IF(A822="","",IFERROR(IF(INDEX(Empresas!$C:$C,MATCH(A822,Empresas!$A:$A,0))="","",INDEX(Empresas!$C:$C,MATCH(A822,Empresas!$A:$A,0))),""))</f>
        <v/>
      </c>
      <c r="H822" s="18"/>
      <c r="I822" s="19" t="str">
        <f aca="false">IF(OR(F822="",G822=""),"",IF(F822-G822&lt;0,"CONTRATO ANTERIOR À ABERTURA — conferir datas",IF(F822-G822&lt;180,"ABERTA MENOS DE 6 MESES ANTES","")))</f>
        <v/>
      </c>
      <c r="J822" s="19" t="str">
        <f aca="false">IF(A822="","",IFERROR(INDEX(Sancoes!$B:$B,MATCH(A822,Sancoes!$A:$A,0))&amp;"","não consta"))</f>
        <v/>
      </c>
      <c r="K822" s="19" t="str">
        <f aca="false">IF(OR(A822="",F822=""),"",IF(SUMPRODUCT((Sancoes!$A$2:$A$301=A822)*(Sancoes!$B$2:$B$301&lt;&gt;"Não consta")*(Sancoes!$D$2:$D$301&lt;&gt;"")*(Sancoes!$D$2:$D$301&lt;=F822)*(((Sancoes!$E$2:$E$301="")+(Sancoes!$E$2:$E$301&gt;=F822))&gt;0))&gt;0,"SANÇÃO VIGENTE NA DATA — leia o tipo e a abrangência",""))</f>
        <v/>
      </c>
      <c r="L822" s="19" t="str">
        <f aca="false">IF(A822="","",IFERROR(INDEX(Empresas!$B:$B,MATCH(A822,Empresas!$A:$A,0))&amp;"","cadastre o CNPJ em Empresas"))</f>
        <v/>
      </c>
      <c r="M822" s="27"/>
      <c r="N822" s="35"/>
      <c r="O822" s="37" t="str">
        <f aca="false">IF(OR(D822="",D822=0,N822=""),"",N822/D822)</f>
        <v/>
      </c>
      <c r="P822" s="19" t="str">
        <f aca="false">IF(O822="","",IF(O822&gt;0.25,"ACRÉSCIMO ACIMA DE 25% — conferir",""))</f>
        <v/>
      </c>
      <c r="Q822" s="27"/>
      <c r="R822" s="5"/>
    </row>
    <row r="823" customFormat="false" ht="15" hidden="false" customHeight="false" outlineLevel="0" collapsed="false">
      <c r="A823" s="27"/>
      <c r="B823" s="5"/>
      <c r="C823" s="5"/>
      <c r="D823" s="35"/>
      <c r="E823" s="14"/>
      <c r="F823" s="18"/>
      <c r="G823" s="31" t="str">
        <f aca="false">IF(A823="","",IFERROR(IF(INDEX(Empresas!$C:$C,MATCH(A823,Empresas!$A:$A,0))="","",INDEX(Empresas!$C:$C,MATCH(A823,Empresas!$A:$A,0))),""))</f>
        <v/>
      </c>
      <c r="H823" s="18"/>
      <c r="I823" s="19" t="str">
        <f aca="false">IF(OR(F823="",G823=""),"",IF(F823-G823&lt;0,"CONTRATO ANTERIOR À ABERTURA — conferir datas",IF(F823-G823&lt;180,"ABERTA MENOS DE 6 MESES ANTES","")))</f>
        <v/>
      </c>
      <c r="J823" s="19" t="str">
        <f aca="false">IF(A823="","",IFERROR(INDEX(Sancoes!$B:$B,MATCH(A823,Sancoes!$A:$A,0))&amp;"","não consta"))</f>
        <v/>
      </c>
      <c r="K823" s="19" t="str">
        <f aca="false">IF(OR(A823="",F823=""),"",IF(SUMPRODUCT((Sancoes!$A$2:$A$301=A823)*(Sancoes!$B$2:$B$301&lt;&gt;"Não consta")*(Sancoes!$D$2:$D$301&lt;&gt;"")*(Sancoes!$D$2:$D$301&lt;=F823)*(((Sancoes!$E$2:$E$301="")+(Sancoes!$E$2:$E$301&gt;=F823))&gt;0))&gt;0,"SANÇÃO VIGENTE NA DATA — leia o tipo e a abrangência",""))</f>
        <v/>
      </c>
      <c r="L823" s="19" t="str">
        <f aca="false">IF(A823="","",IFERROR(INDEX(Empresas!$B:$B,MATCH(A823,Empresas!$A:$A,0))&amp;"","cadastre o CNPJ em Empresas"))</f>
        <v/>
      </c>
      <c r="M823" s="27"/>
      <c r="N823" s="35"/>
      <c r="O823" s="37" t="str">
        <f aca="false">IF(OR(D823="",D823=0,N823=""),"",N823/D823)</f>
        <v/>
      </c>
      <c r="P823" s="19" t="str">
        <f aca="false">IF(O823="","",IF(O823&gt;0.25,"ACRÉSCIMO ACIMA DE 25% — conferir",""))</f>
        <v/>
      </c>
      <c r="Q823" s="27"/>
      <c r="R823" s="5"/>
    </row>
    <row r="824" customFormat="false" ht="15" hidden="false" customHeight="false" outlineLevel="0" collapsed="false">
      <c r="A824" s="27"/>
      <c r="B824" s="5"/>
      <c r="C824" s="5"/>
      <c r="D824" s="35"/>
      <c r="E824" s="14"/>
      <c r="F824" s="18"/>
      <c r="G824" s="31" t="str">
        <f aca="false">IF(A824="","",IFERROR(IF(INDEX(Empresas!$C:$C,MATCH(A824,Empresas!$A:$A,0))="","",INDEX(Empresas!$C:$C,MATCH(A824,Empresas!$A:$A,0))),""))</f>
        <v/>
      </c>
      <c r="H824" s="18"/>
      <c r="I824" s="19" t="str">
        <f aca="false">IF(OR(F824="",G824=""),"",IF(F824-G824&lt;0,"CONTRATO ANTERIOR À ABERTURA — conferir datas",IF(F824-G824&lt;180,"ABERTA MENOS DE 6 MESES ANTES","")))</f>
        <v/>
      </c>
      <c r="J824" s="19" t="str">
        <f aca="false">IF(A824="","",IFERROR(INDEX(Sancoes!$B:$B,MATCH(A824,Sancoes!$A:$A,0))&amp;"","não consta"))</f>
        <v/>
      </c>
      <c r="K824" s="19" t="str">
        <f aca="false">IF(OR(A824="",F824=""),"",IF(SUMPRODUCT((Sancoes!$A$2:$A$301=A824)*(Sancoes!$B$2:$B$301&lt;&gt;"Não consta")*(Sancoes!$D$2:$D$301&lt;&gt;"")*(Sancoes!$D$2:$D$301&lt;=F824)*(((Sancoes!$E$2:$E$301="")+(Sancoes!$E$2:$E$301&gt;=F824))&gt;0))&gt;0,"SANÇÃO VIGENTE NA DATA — leia o tipo e a abrangência",""))</f>
        <v/>
      </c>
      <c r="L824" s="19" t="str">
        <f aca="false">IF(A824="","",IFERROR(INDEX(Empresas!$B:$B,MATCH(A824,Empresas!$A:$A,0))&amp;"","cadastre o CNPJ em Empresas"))</f>
        <v/>
      </c>
      <c r="M824" s="27"/>
      <c r="N824" s="35"/>
      <c r="O824" s="37" t="str">
        <f aca="false">IF(OR(D824="",D824=0,N824=""),"",N824/D824)</f>
        <v/>
      </c>
      <c r="P824" s="19" t="str">
        <f aca="false">IF(O824="","",IF(O824&gt;0.25,"ACRÉSCIMO ACIMA DE 25% — conferir",""))</f>
        <v/>
      </c>
      <c r="Q824" s="27"/>
      <c r="R824" s="5"/>
    </row>
    <row r="825" customFormat="false" ht="15" hidden="false" customHeight="false" outlineLevel="0" collapsed="false">
      <c r="A825" s="27"/>
      <c r="B825" s="5"/>
      <c r="C825" s="5"/>
      <c r="D825" s="35"/>
      <c r="E825" s="14"/>
      <c r="F825" s="18"/>
      <c r="G825" s="31" t="str">
        <f aca="false">IF(A825="","",IFERROR(IF(INDEX(Empresas!$C:$C,MATCH(A825,Empresas!$A:$A,0))="","",INDEX(Empresas!$C:$C,MATCH(A825,Empresas!$A:$A,0))),""))</f>
        <v/>
      </c>
      <c r="H825" s="18"/>
      <c r="I825" s="19" t="str">
        <f aca="false">IF(OR(F825="",G825=""),"",IF(F825-G825&lt;0,"CONTRATO ANTERIOR À ABERTURA — conferir datas",IF(F825-G825&lt;180,"ABERTA MENOS DE 6 MESES ANTES","")))</f>
        <v/>
      </c>
      <c r="J825" s="19" t="str">
        <f aca="false">IF(A825="","",IFERROR(INDEX(Sancoes!$B:$B,MATCH(A825,Sancoes!$A:$A,0))&amp;"","não consta"))</f>
        <v/>
      </c>
      <c r="K825" s="19" t="str">
        <f aca="false">IF(OR(A825="",F825=""),"",IF(SUMPRODUCT((Sancoes!$A$2:$A$301=A825)*(Sancoes!$B$2:$B$301&lt;&gt;"Não consta")*(Sancoes!$D$2:$D$301&lt;&gt;"")*(Sancoes!$D$2:$D$301&lt;=F825)*(((Sancoes!$E$2:$E$301="")+(Sancoes!$E$2:$E$301&gt;=F825))&gt;0))&gt;0,"SANÇÃO VIGENTE NA DATA — leia o tipo e a abrangência",""))</f>
        <v/>
      </c>
      <c r="L825" s="19" t="str">
        <f aca="false">IF(A825="","",IFERROR(INDEX(Empresas!$B:$B,MATCH(A825,Empresas!$A:$A,0))&amp;"","cadastre o CNPJ em Empresas"))</f>
        <v/>
      </c>
      <c r="M825" s="27"/>
      <c r="N825" s="35"/>
      <c r="O825" s="37" t="str">
        <f aca="false">IF(OR(D825="",D825=0,N825=""),"",N825/D825)</f>
        <v/>
      </c>
      <c r="P825" s="19" t="str">
        <f aca="false">IF(O825="","",IF(O825&gt;0.25,"ACRÉSCIMO ACIMA DE 25% — conferir",""))</f>
        <v/>
      </c>
      <c r="Q825" s="27"/>
      <c r="R825" s="5"/>
    </row>
    <row r="826" customFormat="false" ht="15" hidden="false" customHeight="false" outlineLevel="0" collapsed="false">
      <c r="A826" s="27"/>
      <c r="B826" s="5"/>
      <c r="C826" s="5"/>
      <c r="D826" s="35"/>
      <c r="E826" s="14"/>
      <c r="F826" s="18"/>
      <c r="G826" s="31" t="str">
        <f aca="false">IF(A826="","",IFERROR(IF(INDEX(Empresas!$C:$C,MATCH(A826,Empresas!$A:$A,0))="","",INDEX(Empresas!$C:$C,MATCH(A826,Empresas!$A:$A,0))),""))</f>
        <v/>
      </c>
      <c r="H826" s="18"/>
      <c r="I826" s="19" t="str">
        <f aca="false">IF(OR(F826="",G826=""),"",IF(F826-G826&lt;0,"CONTRATO ANTERIOR À ABERTURA — conferir datas",IF(F826-G826&lt;180,"ABERTA MENOS DE 6 MESES ANTES","")))</f>
        <v/>
      </c>
      <c r="J826" s="19" t="str">
        <f aca="false">IF(A826="","",IFERROR(INDEX(Sancoes!$B:$B,MATCH(A826,Sancoes!$A:$A,0))&amp;"","não consta"))</f>
        <v/>
      </c>
      <c r="K826" s="19" t="str">
        <f aca="false">IF(OR(A826="",F826=""),"",IF(SUMPRODUCT((Sancoes!$A$2:$A$301=A826)*(Sancoes!$B$2:$B$301&lt;&gt;"Não consta")*(Sancoes!$D$2:$D$301&lt;&gt;"")*(Sancoes!$D$2:$D$301&lt;=F826)*(((Sancoes!$E$2:$E$301="")+(Sancoes!$E$2:$E$301&gt;=F826))&gt;0))&gt;0,"SANÇÃO VIGENTE NA DATA — leia o tipo e a abrangência",""))</f>
        <v/>
      </c>
      <c r="L826" s="19" t="str">
        <f aca="false">IF(A826="","",IFERROR(INDEX(Empresas!$B:$B,MATCH(A826,Empresas!$A:$A,0))&amp;"","cadastre o CNPJ em Empresas"))</f>
        <v/>
      </c>
      <c r="M826" s="27"/>
      <c r="N826" s="35"/>
      <c r="O826" s="37" t="str">
        <f aca="false">IF(OR(D826="",D826=0,N826=""),"",N826/D826)</f>
        <v/>
      </c>
      <c r="P826" s="19" t="str">
        <f aca="false">IF(O826="","",IF(O826&gt;0.25,"ACRÉSCIMO ACIMA DE 25% — conferir",""))</f>
        <v/>
      </c>
      <c r="Q826" s="27"/>
      <c r="R826" s="5"/>
    </row>
    <row r="827" customFormat="false" ht="15" hidden="false" customHeight="false" outlineLevel="0" collapsed="false">
      <c r="A827" s="27"/>
      <c r="B827" s="5"/>
      <c r="C827" s="5"/>
      <c r="D827" s="35"/>
      <c r="E827" s="14"/>
      <c r="F827" s="18"/>
      <c r="G827" s="31" t="str">
        <f aca="false">IF(A827="","",IFERROR(IF(INDEX(Empresas!$C:$C,MATCH(A827,Empresas!$A:$A,0))="","",INDEX(Empresas!$C:$C,MATCH(A827,Empresas!$A:$A,0))),""))</f>
        <v/>
      </c>
      <c r="H827" s="18"/>
      <c r="I827" s="19" t="str">
        <f aca="false">IF(OR(F827="",G827=""),"",IF(F827-G827&lt;0,"CONTRATO ANTERIOR À ABERTURA — conferir datas",IF(F827-G827&lt;180,"ABERTA MENOS DE 6 MESES ANTES","")))</f>
        <v/>
      </c>
      <c r="J827" s="19" t="str">
        <f aca="false">IF(A827="","",IFERROR(INDEX(Sancoes!$B:$B,MATCH(A827,Sancoes!$A:$A,0))&amp;"","não consta"))</f>
        <v/>
      </c>
      <c r="K827" s="19" t="str">
        <f aca="false">IF(OR(A827="",F827=""),"",IF(SUMPRODUCT((Sancoes!$A$2:$A$301=A827)*(Sancoes!$B$2:$B$301&lt;&gt;"Não consta")*(Sancoes!$D$2:$D$301&lt;&gt;"")*(Sancoes!$D$2:$D$301&lt;=F827)*(((Sancoes!$E$2:$E$301="")+(Sancoes!$E$2:$E$301&gt;=F827))&gt;0))&gt;0,"SANÇÃO VIGENTE NA DATA — leia o tipo e a abrangência",""))</f>
        <v/>
      </c>
      <c r="L827" s="19" t="str">
        <f aca="false">IF(A827="","",IFERROR(INDEX(Empresas!$B:$B,MATCH(A827,Empresas!$A:$A,0))&amp;"","cadastre o CNPJ em Empresas"))</f>
        <v/>
      </c>
      <c r="M827" s="27"/>
      <c r="N827" s="35"/>
      <c r="O827" s="37" t="str">
        <f aca="false">IF(OR(D827="",D827=0,N827=""),"",N827/D827)</f>
        <v/>
      </c>
      <c r="P827" s="19" t="str">
        <f aca="false">IF(O827="","",IF(O827&gt;0.25,"ACRÉSCIMO ACIMA DE 25% — conferir",""))</f>
        <v/>
      </c>
      <c r="Q827" s="27"/>
      <c r="R827" s="5"/>
    </row>
    <row r="828" customFormat="false" ht="15" hidden="false" customHeight="false" outlineLevel="0" collapsed="false">
      <c r="A828" s="27"/>
      <c r="B828" s="5"/>
      <c r="C828" s="5"/>
      <c r="D828" s="35"/>
      <c r="E828" s="14"/>
      <c r="F828" s="18"/>
      <c r="G828" s="31" t="str">
        <f aca="false">IF(A828="","",IFERROR(IF(INDEX(Empresas!$C:$C,MATCH(A828,Empresas!$A:$A,0))="","",INDEX(Empresas!$C:$C,MATCH(A828,Empresas!$A:$A,0))),""))</f>
        <v/>
      </c>
      <c r="H828" s="18"/>
      <c r="I828" s="19" t="str">
        <f aca="false">IF(OR(F828="",G828=""),"",IF(F828-G828&lt;0,"CONTRATO ANTERIOR À ABERTURA — conferir datas",IF(F828-G828&lt;180,"ABERTA MENOS DE 6 MESES ANTES","")))</f>
        <v/>
      </c>
      <c r="J828" s="19" t="str">
        <f aca="false">IF(A828="","",IFERROR(INDEX(Sancoes!$B:$B,MATCH(A828,Sancoes!$A:$A,0))&amp;"","não consta"))</f>
        <v/>
      </c>
      <c r="K828" s="19" t="str">
        <f aca="false">IF(OR(A828="",F828=""),"",IF(SUMPRODUCT((Sancoes!$A$2:$A$301=A828)*(Sancoes!$B$2:$B$301&lt;&gt;"Não consta")*(Sancoes!$D$2:$D$301&lt;&gt;"")*(Sancoes!$D$2:$D$301&lt;=F828)*(((Sancoes!$E$2:$E$301="")+(Sancoes!$E$2:$E$301&gt;=F828))&gt;0))&gt;0,"SANÇÃO VIGENTE NA DATA — leia o tipo e a abrangência",""))</f>
        <v/>
      </c>
      <c r="L828" s="19" t="str">
        <f aca="false">IF(A828="","",IFERROR(INDEX(Empresas!$B:$B,MATCH(A828,Empresas!$A:$A,0))&amp;"","cadastre o CNPJ em Empresas"))</f>
        <v/>
      </c>
      <c r="M828" s="27"/>
      <c r="N828" s="35"/>
      <c r="O828" s="37" t="str">
        <f aca="false">IF(OR(D828="",D828=0,N828=""),"",N828/D828)</f>
        <v/>
      </c>
      <c r="P828" s="19" t="str">
        <f aca="false">IF(O828="","",IF(O828&gt;0.25,"ACRÉSCIMO ACIMA DE 25% — conferir",""))</f>
        <v/>
      </c>
      <c r="Q828" s="27"/>
      <c r="R828" s="5"/>
    </row>
    <row r="829" customFormat="false" ht="15" hidden="false" customHeight="false" outlineLevel="0" collapsed="false">
      <c r="A829" s="27"/>
      <c r="B829" s="5"/>
      <c r="C829" s="5"/>
      <c r="D829" s="35"/>
      <c r="E829" s="14"/>
      <c r="F829" s="18"/>
      <c r="G829" s="31" t="str">
        <f aca="false">IF(A829="","",IFERROR(IF(INDEX(Empresas!$C:$C,MATCH(A829,Empresas!$A:$A,0))="","",INDEX(Empresas!$C:$C,MATCH(A829,Empresas!$A:$A,0))),""))</f>
        <v/>
      </c>
      <c r="H829" s="18"/>
      <c r="I829" s="19" t="str">
        <f aca="false">IF(OR(F829="",G829=""),"",IF(F829-G829&lt;0,"CONTRATO ANTERIOR À ABERTURA — conferir datas",IF(F829-G829&lt;180,"ABERTA MENOS DE 6 MESES ANTES","")))</f>
        <v/>
      </c>
      <c r="J829" s="19" t="str">
        <f aca="false">IF(A829="","",IFERROR(INDEX(Sancoes!$B:$B,MATCH(A829,Sancoes!$A:$A,0))&amp;"","não consta"))</f>
        <v/>
      </c>
      <c r="K829" s="19" t="str">
        <f aca="false">IF(OR(A829="",F829=""),"",IF(SUMPRODUCT((Sancoes!$A$2:$A$301=A829)*(Sancoes!$B$2:$B$301&lt;&gt;"Não consta")*(Sancoes!$D$2:$D$301&lt;&gt;"")*(Sancoes!$D$2:$D$301&lt;=F829)*(((Sancoes!$E$2:$E$301="")+(Sancoes!$E$2:$E$301&gt;=F829))&gt;0))&gt;0,"SANÇÃO VIGENTE NA DATA — leia o tipo e a abrangência",""))</f>
        <v/>
      </c>
      <c r="L829" s="19" t="str">
        <f aca="false">IF(A829="","",IFERROR(INDEX(Empresas!$B:$B,MATCH(A829,Empresas!$A:$A,0))&amp;"","cadastre o CNPJ em Empresas"))</f>
        <v/>
      </c>
      <c r="M829" s="27"/>
      <c r="N829" s="35"/>
      <c r="O829" s="37" t="str">
        <f aca="false">IF(OR(D829="",D829=0,N829=""),"",N829/D829)</f>
        <v/>
      </c>
      <c r="P829" s="19" t="str">
        <f aca="false">IF(O829="","",IF(O829&gt;0.25,"ACRÉSCIMO ACIMA DE 25% — conferir",""))</f>
        <v/>
      </c>
      <c r="Q829" s="27"/>
      <c r="R829" s="5"/>
    </row>
    <row r="830" customFormat="false" ht="15" hidden="false" customHeight="false" outlineLevel="0" collapsed="false">
      <c r="A830" s="27"/>
      <c r="B830" s="5"/>
      <c r="C830" s="5"/>
      <c r="D830" s="35"/>
      <c r="E830" s="14"/>
      <c r="F830" s="18"/>
      <c r="G830" s="31" t="str">
        <f aca="false">IF(A830="","",IFERROR(IF(INDEX(Empresas!$C:$C,MATCH(A830,Empresas!$A:$A,0))="","",INDEX(Empresas!$C:$C,MATCH(A830,Empresas!$A:$A,0))),""))</f>
        <v/>
      </c>
      <c r="H830" s="18"/>
      <c r="I830" s="19" t="str">
        <f aca="false">IF(OR(F830="",G830=""),"",IF(F830-G830&lt;0,"CONTRATO ANTERIOR À ABERTURA — conferir datas",IF(F830-G830&lt;180,"ABERTA MENOS DE 6 MESES ANTES","")))</f>
        <v/>
      </c>
      <c r="J830" s="19" t="str">
        <f aca="false">IF(A830="","",IFERROR(INDEX(Sancoes!$B:$B,MATCH(A830,Sancoes!$A:$A,0))&amp;"","não consta"))</f>
        <v/>
      </c>
      <c r="K830" s="19" t="str">
        <f aca="false">IF(OR(A830="",F830=""),"",IF(SUMPRODUCT((Sancoes!$A$2:$A$301=A830)*(Sancoes!$B$2:$B$301&lt;&gt;"Não consta")*(Sancoes!$D$2:$D$301&lt;&gt;"")*(Sancoes!$D$2:$D$301&lt;=F830)*(((Sancoes!$E$2:$E$301="")+(Sancoes!$E$2:$E$301&gt;=F830))&gt;0))&gt;0,"SANÇÃO VIGENTE NA DATA — leia o tipo e a abrangência",""))</f>
        <v/>
      </c>
      <c r="L830" s="19" t="str">
        <f aca="false">IF(A830="","",IFERROR(INDEX(Empresas!$B:$B,MATCH(A830,Empresas!$A:$A,0))&amp;"","cadastre o CNPJ em Empresas"))</f>
        <v/>
      </c>
      <c r="M830" s="27"/>
      <c r="N830" s="35"/>
      <c r="O830" s="37" t="str">
        <f aca="false">IF(OR(D830="",D830=0,N830=""),"",N830/D830)</f>
        <v/>
      </c>
      <c r="P830" s="19" t="str">
        <f aca="false">IF(O830="","",IF(O830&gt;0.25,"ACRÉSCIMO ACIMA DE 25% — conferir",""))</f>
        <v/>
      </c>
      <c r="Q830" s="27"/>
      <c r="R830" s="5"/>
    </row>
    <row r="831" customFormat="false" ht="15" hidden="false" customHeight="false" outlineLevel="0" collapsed="false">
      <c r="A831" s="27"/>
      <c r="B831" s="5"/>
      <c r="C831" s="5"/>
      <c r="D831" s="35"/>
      <c r="E831" s="14"/>
      <c r="F831" s="18"/>
      <c r="G831" s="31" t="str">
        <f aca="false">IF(A831="","",IFERROR(IF(INDEX(Empresas!$C:$C,MATCH(A831,Empresas!$A:$A,0))="","",INDEX(Empresas!$C:$C,MATCH(A831,Empresas!$A:$A,0))),""))</f>
        <v/>
      </c>
      <c r="H831" s="18"/>
      <c r="I831" s="19" t="str">
        <f aca="false">IF(OR(F831="",G831=""),"",IF(F831-G831&lt;0,"CONTRATO ANTERIOR À ABERTURA — conferir datas",IF(F831-G831&lt;180,"ABERTA MENOS DE 6 MESES ANTES","")))</f>
        <v/>
      </c>
      <c r="J831" s="19" t="str">
        <f aca="false">IF(A831="","",IFERROR(INDEX(Sancoes!$B:$B,MATCH(A831,Sancoes!$A:$A,0))&amp;"","não consta"))</f>
        <v/>
      </c>
      <c r="K831" s="19" t="str">
        <f aca="false">IF(OR(A831="",F831=""),"",IF(SUMPRODUCT((Sancoes!$A$2:$A$301=A831)*(Sancoes!$B$2:$B$301&lt;&gt;"Não consta")*(Sancoes!$D$2:$D$301&lt;&gt;"")*(Sancoes!$D$2:$D$301&lt;=F831)*(((Sancoes!$E$2:$E$301="")+(Sancoes!$E$2:$E$301&gt;=F831))&gt;0))&gt;0,"SANÇÃO VIGENTE NA DATA — leia o tipo e a abrangência",""))</f>
        <v/>
      </c>
      <c r="L831" s="19" t="str">
        <f aca="false">IF(A831="","",IFERROR(INDEX(Empresas!$B:$B,MATCH(A831,Empresas!$A:$A,0))&amp;"","cadastre o CNPJ em Empresas"))</f>
        <v/>
      </c>
      <c r="M831" s="27"/>
      <c r="N831" s="35"/>
      <c r="O831" s="37" t="str">
        <f aca="false">IF(OR(D831="",D831=0,N831=""),"",N831/D831)</f>
        <v/>
      </c>
      <c r="P831" s="19" t="str">
        <f aca="false">IF(O831="","",IF(O831&gt;0.25,"ACRÉSCIMO ACIMA DE 25% — conferir",""))</f>
        <v/>
      </c>
      <c r="Q831" s="27"/>
      <c r="R831" s="5"/>
    </row>
    <row r="832" customFormat="false" ht="15" hidden="false" customHeight="false" outlineLevel="0" collapsed="false">
      <c r="A832" s="27"/>
      <c r="B832" s="5"/>
      <c r="C832" s="5"/>
      <c r="D832" s="35"/>
      <c r="E832" s="14"/>
      <c r="F832" s="18"/>
      <c r="G832" s="31" t="str">
        <f aca="false">IF(A832="","",IFERROR(IF(INDEX(Empresas!$C:$C,MATCH(A832,Empresas!$A:$A,0))="","",INDEX(Empresas!$C:$C,MATCH(A832,Empresas!$A:$A,0))),""))</f>
        <v/>
      </c>
      <c r="H832" s="18"/>
      <c r="I832" s="19" t="str">
        <f aca="false">IF(OR(F832="",G832=""),"",IF(F832-G832&lt;0,"CONTRATO ANTERIOR À ABERTURA — conferir datas",IF(F832-G832&lt;180,"ABERTA MENOS DE 6 MESES ANTES","")))</f>
        <v/>
      </c>
      <c r="J832" s="19" t="str">
        <f aca="false">IF(A832="","",IFERROR(INDEX(Sancoes!$B:$B,MATCH(A832,Sancoes!$A:$A,0))&amp;"","não consta"))</f>
        <v/>
      </c>
      <c r="K832" s="19" t="str">
        <f aca="false">IF(OR(A832="",F832=""),"",IF(SUMPRODUCT((Sancoes!$A$2:$A$301=A832)*(Sancoes!$B$2:$B$301&lt;&gt;"Não consta")*(Sancoes!$D$2:$D$301&lt;&gt;"")*(Sancoes!$D$2:$D$301&lt;=F832)*(((Sancoes!$E$2:$E$301="")+(Sancoes!$E$2:$E$301&gt;=F832))&gt;0))&gt;0,"SANÇÃO VIGENTE NA DATA — leia o tipo e a abrangência",""))</f>
        <v/>
      </c>
      <c r="L832" s="19" t="str">
        <f aca="false">IF(A832="","",IFERROR(INDEX(Empresas!$B:$B,MATCH(A832,Empresas!$A:$A,0))&amp;"","cadastre o CNPJ em Empresas"))</f>
        <v/>
      </c>
      <c r="M832" s="27"/>
      <c r="N832" s="35"/>
      <c r="O832" s="37" t="str">
        <f aca="false">IF(OR(D832="",D832=0,N832=""),"",N832/D832)</f>
        <v/>
      </c>
      <c r="P832" s="19" t="str">
        <f aca="false">IF(O832="","",IF(O832&gt;0.25,"ACRÉSCIMO ACIMA DE 25% — conferir",""))</f>
        <v/>
      </c>
      <c r="Q832" s="27"/>
      <c r="R832" s="5"/>
    </row>
    <row r="833" customFormat="false" ht="15" hidden="false" customHeight="false" outlineLevel="0" collapsed="false">
      <c r="A833" s="27"/>
      <c r="B833" s="5"/>
      <c r="C833" s="5"/>
      <c r="D833" s="35"/>
      <c r="E833" s="14"/>
      <c r="F833" s="18"/>
      <c r="G833" s="31" t="str">
        <f aca="false">IF(A833="","",IFERROR(IF(INDEX(Empresas!$C:$C,MATCH(A833,Empresas!$A:$A,0))="","",INDEX(Empresas!$C:$C,MATCH(A833,Empresas!$A:$A,0))),""))</f>
        <v/>
      </c>
      <c r="H833" s="18"/>
      <c r="I833" s="19" t="str">
        <f aca="false">IF(OR(F833="",G833=""),"",IF(F833-G833&lt;0,"CONTRATO ANTERIOR À ABERTURA — conferir datas",IF(F833-G833&lt;180,"ABERTA MENOS DE 6 MESES ANTES","")))</f>
        <v/>
      </c>
      <c r="J833" s="19" t="str">
        <f aca="false">IF(A833="","",IFERROR(INDEX(Sancoes!$B:$B,MATCH(A833,Sancoes!$A:$A,0))&amp;"","não consta"))</f>
        <v/>
      </c>
      <c r="K833" s="19" t="str">
        <f aca="false">IF(OR(A833="",F833=""),"",IF(SUMPRODUCT((Sancoes!$A$2:$A$301=A833)*(Sancoes!$B$2:$B$301&lt;&gt;"Não consta")*(Sancoes!$D$2:$D$301&lt;&gt;"")*(Sancoes!$D$2:$D$301&lt;=F833)*(((Sancoes!$E$2:$E$301="")+(Sancoes!$E$2:$E$301&gt;=F833))&gt;0))&gt;0,"SANÇÃO VIGENTE NA DATA — leia o tipo e a abrangência",""))</f>
        <v/>
      </c>
      <c r="L833" s="19" t="str">
        <f aca="false">IF(A833="","",IFERROR(INDEX(Empresas!$B:$B,MATCH(A833,Empresas!$A:$A,0))&amp;"","cadastre o CNPJ em Empresas"))</f>
        <v/>
      </c>
      <c r="M833" s="27"/>
      <c r="N833" s="35"/>
      <c r="O833" s="37" t="str">
        <f aca="false">IF(OR(D833="",D833=0,N833=""),"",N833/D833)</f>
        <v/>
      </c>
      <c r="P833" s="19" t="str">
        <f aca="false">IF(O833="","",IF(O833&gt;0.25,"ACRÉSCIMO ACIMA DE 25% — conferir",""))</f>
        <v/>
      </c>
      <c r="Q833" s="27"/>
      <c r="R833" s="5"/>
    </row>
    <row r="834" customFormat="false" ht="15" hidden="false" customHeight="false" outlineLevel="0" collapsed="false">
      <c r="A834" s="27"/>
      <c r="B834" s="5"/>
      <c r="C834" s="5"/>
      <c r="D834" s="35"/>
      <c r="E834" s="14"/>
      <c r="F834" s="18"/>
      <c r="G834" s="31" t="str">
        <f aca="false">IF(A834="","",IFERROR(IF(INDEX(Empresas!$C:$C,MATCH(A834,Empresas!$A:$A,0))="","",INDEX(Empresas!$C:$C,MATCH(A834,Empresas!$A:$A,0))),""))</f>
        <v/>
      </c>
      <c r="H834" s="18"/>
      <c r="I834" s="19" t="str">
        <f aca="false">IF(OR(F834="",G834=""),"",IF(F834-G834&lt;0,"CONTRATO ANTERIOR À ABERTURA — conferir datas",IF(F834-G834&lt;180,"ABERTA MENOS DE 6 MESES ANTES","")))</f>
        <v/>
      </c>
      <c r="J834" s="19" t="str">
        <f aca="false">IF(A834="","",IFERROR(INDEX(Sancoes!$B:$B,MATCH(A834,Sancoes!$A:$A,0))&amp;"","não consta"))</f>
        <v/>
      </c>
      <c r="K834" s="19" t="str">
        <f aca="false">IF(OR(A834="",F834=""),"",IF(SUMPRODUCT((Sancoes!$A$2:$A$301=A834)*(Sancoes!$B$2:$B$301&lt;&gt;"Não consta")*(Sancoes!$D$2:$D$301&lt;&gt;"")*(Sancoes!$D$2:$D$301&lt;=F834)*(((Sancoes!$E$2:$E$301="")+(Sancoes!$E$2:$E$301&gt;=F834))&gt;0))&gt;0,"SANÇÃO VIGENTE NA DATA — leia o tipo e a abrangência",""))</f>
        <v/>
      </c>
      <c r="L834" s="19" t="str">
        <f aca="false">IF(A834="","",IFERROR(INDEX(Empresas!$B:$B,MATCH(A834,Empresas!$A:$A,0))&amp;"","cadastre o CNPJ em Empresas"))</f>
        <v/>
      </c>
      <c r="M834" s="27"/>
      <c r="N834" s="35"/>
      <c r="O834" s="37" t="str">
        <f aca="false">IF(OR(D834="",D834=0,N834=""),"",N834/D834)</f>
        <v/>
      </c>
      <c r="P834" s="19" t="str">
        <f aca="false">IF(O834="","",IF(O834&gt;0.25,"ACRÉSCIMO ACIMA DE 25% — conferir",""))</f>
        <v/>
      </c>
      <c r="Q834" s="27"/>
      <c r="R834" s="5"/>
    </row>
    <row r="835" customFormat="false" ht="15" hidden="false" customHeight="false" outlineLevel="0" collapsed="false">
      <c r="A835" s="27"/>
      <c r="B835" s="5"/>
      <c r="C835" s="5"/>
      <c r="D835" s="35"/>
      <c r="E835" s="14"/>
      <c r="F835" s="18"/>
      <c r="G835" s="31" t="str">
        <f aca="false">IF(A835="","",IFERROR(IF(INDEX(Empresas!$C:$C,MATCH(A835,Empresas!$A:$A,0))="","",INDEX(Empresas!$C:$C,MATCH(A835,Empresas!$A:$A,0))),""))</f>
        <v/>
      </c>
      <c r="H835" s="18"/>
      <c r="I835" s="19" t="str">
        <f aca="false">IF(OR(F835="",G835=""),"",IF(F835-G835&lt;0,"CONTRATO ANTERIOR À ABERTURA — conferir datas",IF(F835-G835&lt;180,"ABERTA MENOS DE 6 MESES ANTES","")))</f>
        <v/>
      </c>
      <c r="J835" s="19" t="str">
        <f aca="false">IF(A835="","",IFERROR(INDEX(Sancoes!$B:$B,MATCH(A835,Sancoes!$A:$A,0))&amp;"","não consta"))</f>
        <v/>
      </c>
      <c r="K835" s="19" t="str">
        <f aca="false">IF(OR(A835="",F835=""),"",IF(SUMPRODUCT((Sancoes!$A$2:$A$301=A835)*(Sancoes!$B$2:$B$301&lt;&gt;"Não consta")*(Sancoes!$D$2:$D$301&lt;&gt;"")*(Sancoes!$D$2:$D$301&lt;=F835)*(((Sancoes!$E$2:$E$301="")+(Sancoes!$E$2:$E$301&gt;=F835))&gt;0))&gt;0,"SANÇÃO VIGENTE NA DATA — leia o tipo e a abrangência",""))</f>
        <v/>
      </c>
      <c r="L835" s="19" t="str">
        <f aca="false">IF(A835="","",IFERROR(INDEX(Empresas!$B:$B,MATCH(A835,Empresas!$A:$A,0))&amp;"","cadastre o CNPJ em Empresas"))</f>
        <v/>
      </c>
      <c r="M835" s="27"/>
      <c r="N835" s="35"/>
      <c r="O835" s="37" t="str">
        <f aca="false">IF(OR(D835="",D835=0,N835=""),"",N835/D835)</f>
        <v/>
      </c>
      <c r="P835" s="19" t="str">
        <f aca="false">IF(O835="","",IF(O835&gt;0.25,"ACRÉSCIMO ACIMA DE 25% — conferir",""))</f>
        <v/>
      </c>
      <c r="Q835" s="27"/>
      <c r="R835" s="5"/>
    </row>
    <row r="836" customFormat="false" ht="15" hidden="false" customHeight="false" outlineLevel="0" collapsed="false">
      <c r="A836" s="27"/>
      <c r="B836" s="5"/>
      <c r="C836" s="5"/>
      <c r="D836" s="35"/>
      <c r="E836" s="14"/>
      <c r="F836" s="18"/>
      <c r="G836" s="31" t="str">
        <f aca="false">IF(A836="","",IFERROR(IF(INDEX(Empresas!$C:$C,MATCH(A836,Empresas!$A:$A,0))="","",INDEX(Empresas!$C:$C,MATCH(A836,Empresas!$A:$A,0))),""))</f>
        <v/>
      </c>
      <c r="H836" s="18"/>
      <c r="I836" s="19" t="str">
        <f aca="false">IF(OR(F836="",G836=""),"",IF(F836-G836&lt;0,"CONTRATO ANTERIOR À ABERTURA — conferir datas",IF(F836-G836&lt;180,"ABERTA MENOS DE 6 MESES ANTES","")))</f>
        <v/>
      </c>
      <c r="J836" s="19" t="str">
        <f aca="false">IF(A836="","",IFERROR(INDEX(Sancoes!$B:$B,MATCH(A836,Sancoes!$A:$A,0))&amp;"","não consta"))</f>
        <v/>
      </c>
      <c r="K836" s="19" t="str">
        <f aca="false">IF(OR(A836="",F836=""),"",IF(SUMPRODUCT((Sancoes!$A$2:$A$301=A836)*(Sancoes!$B$2:$B$301&lt;&gt;"Não consta")*(Sancoes!$D$2:$D$301&lt;&gt;"")*(Sancoes!$D$2:$D$301&lt;=F836)*(((Sancoes!$E$2:$E$301="")+(Sancoes!$E$2:$E$301&gt;=F836))&gt;0))&gt;0,"SANÇÃO VIGENTE NA DATA — leia o tipo e a abrangência",""))</f>
        <v/>
      </c>
      <c r="L836" s="19" t="str">
        <f aca="false">IF(A836="","",IFERROR(INDEX(Empresas!$B:$B,MATCH(A836,Empresas!$A:$A,0))&amp;"","cadastre o CNPJ em Empresas"))</f>
        <v/>
      </c>
      <c r="M836" s="27"/>
      <c r="N836" s="35"/>
      <c r="O836" s="37" t="str">
        <f aca="false">IF(OR(D836="",D836=0,N836=""),"",N836/D836)</f>
        <v/>
      </c>
      <c r="P836" s="19" t="str">
        <f aca="false">IF(O836="","",IF(O836&gt;0.25,"ACRÉSCIMO ACIMA DE 25% — conferir",""))</f>
        <v/>
      </c>
      <c r="Q836" s="27"/>
      <c r="R836" s="5"/>
    </row>
    <row r="837" customFormat="false" ht="15" hidden="false" customHeight="false" outlineLevel="0" collapsed="false">
      <c r="A837" s="27"/>
      <c r="B837" s="5"/>
      <c r="C837" s="5"/>
      <c r="D837" s="35"/>
      <c r="E837" s="14"/>
      <c r="F837" s="18"/>
      <c r="G837" s="31" t="str">
        <f aca="false">IF(A837="","",IFERROR(IF(INDEX(Empresas!$C:$C,MATCH(A837,Empresas!$A:$A,0))="","",INDEX(Empresas!$C:$C,MATCH(A837,Empresas!$A:$A,0))),""))</f>
        <v/>
      </c>
      <c r="H837" s="18"/>
      <c r="I837" s="19" t="str">
        <f aca="false">IF(OR(F837="",G837=""),"",IF(F837-G837&lt;0,"CONTRATO ANTERIOR À ABERTURA — conferir datas",IF(F837-G837&lt;180,"ABERTA MENOS DE 6 MESES ANTES","")))</f>
        <v/>
      </c>
      <c r="J837" s="19" t="str">
        <f aca="false">IF(A837="","",IFERROR(INDEX(Sancoes!$B:$B,MATCH(A837,Sancoes!$A:$A,0))&amp;"","não consta"))</f>
        <v/>
      </c>
      <c r="K837" s="19" t="str">
        <f aca="false">IF(OR(A837="",F837=""),"",IF(SUMPRODUCT((Sancoes!$A$2:$A$301=A837)*(Sancoes!$B$2:$B$301&lt;&gt;"Não consta")*(Sancoes!$D$2:$D$301&lt;&gt;"")*(Sancoes!$D$2:$D$301&lt;=F837)*(((Sancoes!$E$2:$E$301="")+(Sancoes!$E$2:$E$301&gt;=F837))&gt;0))&gt;0,"SANÇÃO VIGENTE NA DATA — leia o tipo e a abrangência",""))</f>
        <v/>
      </c>
      <c r="L837" s="19" t="str">
        <f aca="false">IF(A837="","",IFERROR(INDEX(Empresas!$B:$B,MATCH(A837,Empresas!$A:$A,0))&amp;"","cadastre o CNPJ em Empresas"))</f>
        <v/>
      </c>
      <c r="M837" s="27"/>
      <c r="N837" s="35"/>
      <c r="O837" s="37" t="str">
        <f aca="false">IF(OR(D837="",D837=0,N837=""),"",N837/D837)</f>
        <v/>
      </c>
      <c r="P837" s="19" t="str">
        <f aca="false">IF(O837="","",IF(O837&gt;0.25,"ACRÉSCIMO ACIMA DE 25% — conferir",""))</f>
        <v/>
      </c>
      <c r="Q837" s="27"/>
      <c r="R837" s="5"/>
    </row>
    <row r="838" customFormat="false" ht="15" hidden="false" customHeight="false" outlineLevel="0" collapsed="false">
      <c r="A838" s="27"/>
      <c r="B838" s="5"/>
      <c r="C838" s="5"/>
      <c r="D838" s="35"/>
      <c r="E838" s="14"/>
      <c r="F838" s="18"/>
      <c r="G838" s="31" t="str">
        <f aca="false">IF(A838="","",IFERROR(IF(INDEX(Empresas!$C:$C,MATCH(A838,Empresas!$A:$A,0))="","",INDEX(Empresas!$C:$C,MATCH(A838,Empresas!$A:$A,0))),""))</f>
        <v/>
      </c>
      <c r="H838" s="18"/>
      <c r="I838" s="19" t="str">
        <f aca="false">IF(OR(F838="",G838=""),"",IF(F838-G838&lt;0,"CONTRATO ANTERIOR À ABERTURA — conferir datas",IF(F838-G838&lt;180,"ABERTA MENOS DE 6 MESES ANTES","")))</f>
        <v/>
      </c>
      <c r="J838" s="19" t="str">
        <f aca="false">IF(A838="","",IFERROR(INDEX(Sancoes!$B:$B,MATCH(A838,Sancoes!$A:$A,0))&amp;"","não consta"))</f>
        <v/>
      </c>
      <c r="K838" s="19" t="str">
        <f aca="false">IF(OR(A838="",F838=""),"",IF(SUMPRODUCT((Sancoes!$A$2:$A$301=A838)*(Sancoes!$B$2:$B$301&lt;&gt;"Não consta")*(Sancoes!$D$2:$D$301&lt;&gt;"")*(Sancoes!$D$2:$D$301&lt;=F838)*(((Sancoes!$E$2:$E$301="")+(Sancoes!$E$2:$E$301&gt;=F838))&gt;0))&gt;0,"SANÇÃO VIGENTE NA DATA — leia o tipo e a abrangência",""))</f>
        <v/>
      </c>
      <c r="L838" s="19" t="str">
        <f aca="false">IF(A838="","",IFERROR(INDEX(Empresas!$B:$B,MATCH(A838,Empresas!$A:$A,0))&amp;"","cadastre o CNPJ em Empresas"))</f>
        <v/>
      </c>
      <c r="M838" s="27"/>
      <c r="N838" s="35"/>
      <c r="O838" s="37" t="str">
        <f aca="false">IF(OR(D838="",D838=0,N838=""),"",N838/D838)</f>
        <v/>
      </c>
      <c r="P838" s="19" t="str">
        <f aca="false">IF(O838="","",IF(O838&gt;0.25,"ACRÉSCIMO ACIMA DE 25% — conferir",""))</f>
        <v/>
      </c>
      <c r="Q838" s="27"/>
      <c r="R838" s="5"/>
    </row>
    <row r="839" customFormat="false" ht="15" hidden="false" customHeight="false" outlineLevel="0" collapsed="false">
      <c r="A839" s="27"/>
      <c r="B839" s="5"/>
      <c r="C839" s="5"/>
      <c r="D839" s="35"/>
      <c r="E839" s="14"/>
      <c r="F839" s="18"/>
      <c r="G839" s="31" t="str">
        <f aca="false">IF(A839="","",IFERROR(IF(INDEX(Empresas!$C:$C,MATCH(A839,Empresas!$A:$A,0))="","",INDEX(Empresas!$C:$C,MATCH(A839,Empresas!$A:$A,0))),""))</f>
        <v/>
      </c>
      <c r="H839" s="18"/>
      <c r="I839" s="19" t="str">
        <f aca="false">IF(OR(F839="",G839=""),"",IF(F839-G839&lt;0,"CONTRATO ANTERIOR À ABERTURA — conferir datas",IF(F839-G839&lt;180,"ABERTA MENOS DE 6 MESES ANTES","")))</f>
        <v/>
      </c>
      <c r="J839" s="19" t="str">
        <f aca="false">IF(A839="","",IFERROR(INDEX(Sancoes!$B:$B,MATCH(A839,Sancoes!$A:$A,0))&amp;"","não consta"))</f>
        <v/>
      </c>
      <c r="K839" s="19" t="str">
        <f aca="false">IF(OR(A839="",F839=""),"",IF(SUMPRODUCT((Sancoes!$A$2:$A$301=A839)*(Sancoes!$B$2:$B$301&lt;&gt;"Não consta")*(Sancoes!$D$2:$D$301&lt;&gt;"")*(Sancoes!$D$2:$D$301&lt;=F839)*(((Sancoes!$E$2:$E$301="")+(Sancoes!$E$2:$E$301&gt;=F839))&gt;0))&gt;0,"SANÇÃO VIGENTE NA DATA — leia o tipo e a abrangência",""))</f>
        <v/>
      </c>
      <c r="L839" s="19" t="str">
        <f aca="false">IF(A839="","",IFERROR(INDEX(Empresas!$B:$B,MATCH(A839,Empresas!$A:$A,0))&amp;"","cadastre o CNPJ em Empresas"))</f>
        <v/>
      </c>
      <c r="M839" s="27"/>
      <c r="N839" s="35"/>
      <c r="O839" s="37" t="str">
        <f aca="false">IF(OR(D839="",D839=0,N839=""),"",N839/D839)</f>
        <v/>
      </c>
      <c r="P839" s="19" t="str">
        <f aca="false">IF(O839="","",IF(O839&gt;0.25,"ACRÉSCIMO ACIMA DE 25% — conferir",""))</f>
        <v/>
      </c>
      <c r="Q839" s="27"/>
      <c r="R839" s="5"/>
    </row>
    <row r="840" customFormat="false" ht="15" hidden="false" customHeight="false" outlineLevel="0" collapsed="false">
      <c r="A840" s="27"/>
      <c r="B840" s="5"/>
      <c r="C840" s="5"/>
      <c r="D840" s="35"/>
      <c r="E840" s="14"/>
      <c r="F840" s="18"/>
      <c r="G840" s="31" t="str">
        <f aca="false">IF(A840="","",IFERROR(IF(INDEX(Empresas!$C:$C,MATCH(A840,Empresas!$A:$A,0))="","",INDEX(Empresas!$C:$C,MATCH(A840,Empresas!$A:$A,0))),""))</f>
        <v/>
      </c>
      <c r="H840" s="18"/>
      <c r="I840" s="19" t="str">
        <f aca="false">IF(OR(F840="",G840=""),"",IF(F840-G840&lt;0,"CONTRATO ANTERIOR À ABERTURA — conferir datas",IF(F840-G840&lt;180,"ABERTA MENOS DE 6 MESES ANTES","")))</f>
        <v/>
      </c>
      <c r="J840" s="19" t="str">
        <f aca="false">IF(A840="","",IFERROR(INDEX(Sancoes!$B:$B,MATCH(A840,Sancoes!$A:$A,0))&amp;"","não consta"))</f>
        <v/>
      </c>
      <c r="K840" s="19" t="str">
        <f aca="false">IF(OR(A840="",F840=""),"",IF(SUMPRODUCT((Sancoes!$A$2:$A$301=A840)*(Sancoes!$B$2:$B$301&lt;&gt;"Não consta")*(Sancoes!$D$2:$D$301&lt;&gt;"")*(Sancoes!$D$2:$D$301&lt;=F840)*(((Sancoes!$E$2:$E$301="")+(Sancoes!$E$2:$E$301&gt;=F840))&gt;0))&gt;0,"SANÇÃO VIGENTE NA DATA — leia o tipo e a abrangência",""))</f>
        <v/>
      </c>
      <c r="L840" s="19" t="str">
        <f aca="false">IF(A840="","",IFERROR(INDEX(Empresas!$B:$B,MATCH(A840,Empresas!$A:$A,0))&amp;"","cadastre o CNPJ em Empresas"))</f>
        <v/>
      </c>
      <c r="M840" s="27"/>
      <c r="N840" s="35"/>
      <c r="O840" s="37" t="str">
        <f aca="false">IF(OR(D840="",D840=0,N840=""),"",N840/D840)</f>
        <v/>
      </c>
      <c r="P840" s="19" t="str">
        <f aca="false">IF(O840="","",IF(O840&gt;0.25,"ACRÉSCIMO ACIMA DE 25% — conferir",""))</f>
        <v/>
      </c>
      <c r="Q840" s="27"/>
      <c r="R840" s="5"/>
    </row>
    <row r="841" customFormat="false" ht="15" hidden="false" customHeight="false" outlineLevel="0" collapsed="false">
      <c r="A841" s="27"/>
      <c r="B841" s="5"/>
      <c r="C841" s="5"/>
      <c r="D841" s="35"/>
      <c r="E841" s="14"/>
      <c r="F841" s="18"/>
      <c r="G841" s="31" t="str">
        <f aca="false">IF(A841="","",IFERROR(IF(INDEX(Empresas!$C:$C,MATCH(A841,Empresas!$A:$A,0))="","",INDEX(Empresas!$C:$C,MATCH(A841,Empresas!$A:$A,0))),""))</f>
        <v/>
      </c>
      <c r="H841" s="18"/>
      <c r="I841" s="19" t="str">
        <f aca="false">IF(OR(F841="",G841=""),"",IF(F841-G841&lt;0,"CONTRATO ANTERIOR À ABERTURA — conferir datas",IF(F841-G841&lt;180,"ABERTA MENOS DE 6 MESES ANTES","")))</f>
        <v/>
      </c>
      <c r="J841" s="19" t="str">
        <f aca="false">IF(A841="","",IFERROR(INDEX(Sancoes!$B:$B,MATCH(A841,Sancoes!$A:$A,0))&amp;"","não consta"))</f>
        <v/>
      </c>
      <c r="K841" s="19" t="str">
        <f aca="false">IF(OR(A841="",F841=""),"",IF(SUMPRODUCT((Sancoes!$A$2:$A$301=A841)*(Sancoes!$B$2:$B$301&lt;&gt;"Não consta")*(Sancoes!$D$2:$D$301&lt;&gt;"")*(Sancoes!$D$2:$D$301&lt;=F841)*(((Sancoes!$E$2:$E$301="")+(Sancoes!$E$2:$E$301&gt;=F841))&gt;0))&gt;0,"SANÇÃO VIGENTE NA DATA — leia o tipo e a abrangência",""))</f>
        <v/>
      </c>
      <c r="L841" s="19" t="str">
        <f aca="false">IF(A841="","",IFERROR(INDEX(Empresas!$B:$B,MATCH(A841,Empresas!$A:$A,0))&amp;"","cadastre o CNPJ em Empresas"))</f>
        <v/>
      </c>
      <c r="M841" s="27"/>
      <c r="N841" s="35"/>
      <c r="O841" s="37" t="str">
        <f aca="false">IF(OR(D841="",D841=0,N841=""),"",N841/D841)</f>
        <v/>
      </c>
      <c r="P841" s="19" t="str">
        <f aca="false">IF(O841="","",IF(O841&gt;0.25,"ACRÉSCIMO ACIMA DE 25% — conferir",""))</f>
        <v/>
      </c>
      <c r="Q841" s="27"/>
      <c r="R841" s="5"/>
    </row>
    <row r="842" customFormat="false" ht="15" hidden="false" customHeight="false" outlineLevel="0" collapsed="false">
      <c r="A842" s="27"/>
      <c r="B842" s="5"/>
      <c r="C842" s="5"/>
      <c r="D842" s="35"/>
      <c r="E842" s="14"/>
      <c r="F842" s="18"/>
      <c r="G842" s="31" t="str">
        <f aca="false">IF(A842="","",IFERROR(IF(INDEX(Empresas!$C:$C,MATCH(A842,Empresas!$A:$A,0))="","",INDEX(Empresas!$C:$C,MATCH(A842,Empresas!$A:$A,0))),""))</f>
        <v/>
      </c>
      <c r="H842" s="18"/>
      <c r="I842" s="19" t="str">
        <f aca="false">IF(OR(F842="",G842=""),"",IF(F842-G842&lt;0,"CONTRATO ANTERIOR À ABERTURA — conferir datas",IF(F842-G842&lt;180,"ABERTA MENOS DE 6 MESES ANTES","")))</f>
        <v/>
      </c>
      <c r="J842" s="19" t="str">
        <f aca="false">IF(A842="","",IFERROR(INDEX(Sancoes!$B:$B,MATCH(A842,Sancoes!$A:$A,0))&amp;"","não consta"))</f>
        <v/>
      </c>
      <c r="K842" s="19" t="str">
        <f aca="false">IF(OR(A842="",F842=""),"",IF(SUMPRODUCT((Sancoes!$A$2:$A$301=A842)*(Sancoes!$B$2:$B$301&lt;&gt;"Não consta")*(Sancoes!$D$2:$D$301&lt;&gt;"")*(Sancoes!$D$2:$D$301&lt;=F842)*(((Sancoes!$E$2:$E$301="")+(Sancoes!$E$2:$E$301&gt;=F842))&gt;0))&gt;0,"SANÇÃO VIGENTE NA DATA — leia o tipo e a abrangência",""))</f>
        <v/>
      </c>
      <c r="L842" s="19" t="str">
        <f aca="false">IF(A842="","",IFERROR(INDEX(Empresas!$B:$B,MATCH(A842,Empresas!$A:$A,0))&amp;"","cadastre o CNPJ em Empresas"))</f>
        <v/>
      </c>
      <c r="M842" s="27"/>
      <c r="N842" s="35"/>
      <c r="O842" s="37" t="str">
        <f aca="false">IF(OR(D842="",D842=0,N842=""),"",N842/D842)</f>
        <v/>
      </c>
      <c r="P842" s="19" t="str">
        <f aca="false">IF(O842="","",IF(O842&gt;0.25,"ACRÉSCIMO ACIMA DE 25% — conferir",""))</f>
        <v/>
      </c>
      <c r="Q842" s="27"/>
      <c r="R842" s="5"/>
    </row>
    <row r="843" customFormat="false" ht="15" hidden="false" customHeight="false" outlineLevel="0" collapsed="false">
      <c r="A843" s="27"/>
      <c r="B843" s="5"/>
      <c r="C843" s="5"/>
      <c r="D843" s="35"/>
      <c r="E843" s="14"/>
      <c r="F843" s="18"/>
      <c r="G843" s="31" t="str">
        <f aca="false">IF(A843="","",IFERROR(IF(INDEX(Empresas!$C:$C,MATCH(A843,Empresas!$A:$A,0))="","",INDEX(Empresas!$C:$C,MATCH(A843,Empresas!$A:$A,0))),""))</f>
        <v/>
      </c>
      <c r="H843" s="18"/>
      <c r="I843" s="19" t="str">
        <f aca="false">IF(OR(F843="",G843=""),"",IF(F843-G843&lt;0,"CONTRATO ANTERIOR À ABERTURA — conferir datas",IF(F843-G843&lt;180,"ABERTA MENOS DE 6 MESES ANTES","")))</f>
        <v/>
      </c>
      <c r="J843" s="19" t="str">
        <f aca="false">IF(A843="","",IFERROR(INDEX(Sancoes!$B:$B,MATCH(A843,Sancoes!$A:$A,0))&amp;"","não consta"))</f>
        <v/>
      </c>
      <c r="K843" s="19" t="str">
        <f aca="false">IF(OR(A843="",F843=""),"",IF(SUMPRODUCT((Sancoes!$A$2:$A$301=A843)*(Sancoes!$B$2:$B$301&lt;&gt;"Não consta")*(Sancoes!$D$2:$D$301&lt;&gt;"")*(Sancoes!$D$2:$D$301&lt;=F843)*(((Sancoes!$E$2:$E$301="")+(Sancoes!$E$2:$E$301&gt;=F843))&gt;0))&gt;0,"SANÇÃO VIGENTE NA DATA — leia o tipo e a abrangência",""))</f>
        <v/>
      </c>
      <c r="L843" s="19" t="str">
        <f aca="false">IF(A843="","",IFERROR(INDEX(Empresas!$B:$B,MATCH(A843,Empresas!$A:$A,0))&amp;"","cadastre o CNPJ em Empresas"))</f>
        <v/>
      </c>
      <c r="M843" s="27"/>
      <c r="N843" s="35"/>
      <c r="O843" s="37" t="str">
        <f aca="false">IF(OR(D843="",D843=0,N843=""),"",N843/D843)</f>
        <v/>
      </c>
      <c r="P843" s="19" t="str">
        <f aca="false">IF(O843="","",IF(O843&gt;0.25,"ACRÉSCIMO ACIMA DE 25% — conferir",""))</f>
        <v/>
      </c>
      <c r="Q843" s="27"/>
      <c r="R843" s="5"/>
    </row>
    <row r="844" customFormat="false" ht="15" hidden="false" customHeight="false" outlineLevel="0" collapsed="false">
      <c r="A844" s="27"/>
      <c r="B844" s="5"/>
      <c r="C844" s="5"/>
      <c r="D844" s="35"/>
      <c r="E844" s="14"/>
      <c r="F844" s="18"/>
      <c r="G844" s="31" t="str">
        <f aca="false">IF(A844="","",IFERROR(IF(INDEX(Empresas!$C:$C,MATCH(A844,Empresas!$A:$A,0))="","",INDEX(Empresas!$C:$C,MATCH(A844,Empresas!$A:$A,0))),""))</f>
        <v/>
      </c>
      <c r="H844" s="18"/>
      <c r="I844" s="19" t="str">
        <f aca="false">IF(OR(F844="",G844=""),"",IF(F844-G844&lt;0,"CONTRATO ANTERIOR À ABERTURA — conferir datas",IF(F844-G844&lt;180,"ABERTA MENOS DE 6 MESES ANTES","")))</f>
        <v/>
      </c>
      <c r="J844" s="19" t="str">
        <f aca="false">IF(A844="","",IFERROR(INDEX(Sancoes!$B:$B,MATCH(A844,Sancoes!$A:$A,0))&amp;"","não consta"))</f>
        <v/>
      </c>
      <c r="K844" s="19" t="str">
        <f aca="false">IF(OR(A844="",F844=""),"",IF(SUMPRODUCT((Sancoes!$A$2:$A$301=A844)*(Sancoes!$B$2:$B$301&lt;&gt;"Não consta")*(Sancoes!$D$2:$D$301&lt;&gt;"")*(Sancoes!$D$2:$D$301&lt;=F844)*(((Sancoes!$E$2:$E$301="")+(Sancoes!$E$2:$E$301&gt;=F844))&gt;0))&gt;0,"SANÇÃO VIGENTE NA DATA — leia o tipo e a abrangência",""))</f>
        <v/>
      </c>
      <c r="L844" s="19" t="str">
        <f aca="false">IF(A844="","",IFERROR(INDEX(Empresas!$B:$B,MATCH(A844,Empresas!$A:$A,0))&amp;"","cadastre o CNPJ em Empresas"))</f>
        <v/>
      </c>
      <c r="M844" s="27"/>
      <c r="N844" s="35"/>
      <c r="O844" s="37" t="str">
        <f aca="false">IF(OR(D844="",D844=0,N844=""),"",N844/D844)</f>
        <v/>
      </c>
      <c r="P844" s="19" t="str">
        <f aca="false">IF(O844="","",IF(O844&gt;0.25,"ACRÉSCIMO ACIMA DE 25% — conferir",""))</f>
        <v/>
      </c>
      <c r="Q844" s="27"/>
      <c r="R844" s="5"/>
    </row>
    <row r="845" customFormat="false" ht="15" hidden="false" customHeight="false" outlineLevel="0" collapsed="false">
      <c r="A845" s="27"/>
      <c r="B845" s="5"/>
      <c r="C845" s="5"/>
      <c r="D845" s="35"/>
      <c r="E845" s="14"/>
      <c r="F845" s="18"/>
      <c r="G845" s="31" t="str">
        <f aca="false">IF(A845="","",IFERROR(IF(INDEX(Empresas!$C:$C,MATCH(A845,Empresas!$A:$A,0))="","",INDEX(Empresas!$C:$C,MATCH(A845,Empresas!$A:$A,0))),""))</f>
        <v/>
      </c>
      <c r="H845" s="18"/>
      <c r="I845" s="19" t="str">
        <f aca="false">IF(OR(F845="",G845=""),"",IF(F845-G845&lt;0,"CONTRATO ANTERIOR À ABERTURA — conferir datas",IF(F845-G845&lt;180,"ABERTA MENOS DE 6 MESES ANTES","")))</f>
        <v/>
      </c>
      <c r="J845" s="19" t="str">
        <f aca="false">IF(A845="","",IFERROR(INDEX(Sancoes!$B:$B,MATCH(A845,Sancoes!$A:$A,0))&amp;"","não consta"))</f>
        <v/>
      </c>
      <c r="K845" s="19" t="str">
        <f aca="false">IF(OR(A845="",F845=""),"",IF(SUMPRODUCT((Sancoes!$A$2:$A$301=A845)*(Sancoes!$B$2:$B$301&lt;&gt;"Não consta")*(Sancoes!$D$2:$D$301&lt;&gt;"")*(Sancoes!$D$2:$D$301&lt;=F845)*(((Sancoes!$E$2:$E$301="")+(Sancoes!$E$2:$E$301&gt;=F845))&gt;0))&gt;0,"SANÇÃO VIGENTE NA DATA — leia o tipo e a abrangência",""))</f>
        <v/>
      </c>
      <c r="L845" s="19" t="str">
        <f aca="false">IF(A845="","",IFERROR(INDEX(Empresas!$B:$B,MATCH(A845,Empresas!$A:$A,0))&amp;"","cadastre o CNPJ em Empresas"))</f>
        <v/>
      </c>
      <c r="M845" s="27"/>
      <c r="N845" s="35"/>
      <c r="O845" s="37" t="str">
        <f aca="false">IF(OR(D845="",D845=0,N845=""),"",N845/D845)</f>
        <v/>
      </c>
      <c r="P845" s="19" t="str">
        <f aca="false">IF(O845="","",IF(O845&gt;0.25,"ACRÉSCIMO ACIMA DE 25% — conferir",""))</f>
        <v/>
      </c>
      <c r="Q845" s="27"/>
      <c r="R845" s="5"/>
    </row>
    <row r="846" customFormat="false" ht="15" hidden="false" customHeight="false" outlineLevel="0" collapsed="false">
      <c r="A846" s="27"/>
      <c r="B846" s="5"/>
      <c r="C846" s="5"/>
      <c r="D846" s="35"/>
      <c r="E846" s="14"/>
      <c r="F846" s="18"/>
      <c r="G846" s="31" t="str">
        <f aca="false">IF(A846="","",IFERROR(IF(INDEX(Empresas!$C:$C,MATCH(A846,Empresas!$A:$A,0))="","",INDEX(Empresas!$C:$C,MATCH(A846,Empresas!$A:$A,0))),""))</f>
        <v/>
      </c>
      <c r="H846" s="18"/>
      <c r="I846" s="19" t="str">
        <f aca="false">IF(OR(F846="",G846=""),"",IF(F846-G846&lt;0,"CONTRATO ANTERIOR À ABERTURA — conferir datas",IF(F846-G846&lt;180,"ABERTA MENOS DE 6 MESES ANTES","")))</f>
        <v/>
      </c>
      <c r="J846" s="19" t="str">
        <f aca="false">IF(A846="","",IFERROR(INDEX(Sancoes!$B:$B,MATCH(A846,Sancoes!$A:$A,0))&amp;"","não consta"))</f>
        <v/>
      </c>
      <c r="K846" s="19" t="str">
        <f aca="false">IF(OR(A846="",F846=""),"",IF(SUMPRODUCT((Sancoes!$A$2:$A$301=A846)*(Sancoes!$B$2:$B$301&lt;&gt;"Não consta")*(Sancoes!$D$2:$D$301&lt;&gt;"")*(Sancoes!$D$2:$D$301&lt;=F846)*(((Sancoes!$E$2:$E$301="")+(Sancoes!$E$2:$E$301&gt;=F846))&gt;0))&gt;0,"SANÇÃO VIGENTE NA DATA — leia o tipo e a abrangência",""))</f>
        <v/>
      </c>
      <c r="L846" s="19" t="str">
        <f aca="false">IF(A846="","",IFERROR(INDEX(Empresas!$B:$B,MATCH(A846,Empresas!$A:$A,0))&amp;"","cadastre o CNPJ em Empresas"))</f>
        <v/>
      </c>
      <c r="M846" s="27"/>
      <c r="N846" s="35"/>
      <c r="O846" s="37" t="str">
        <f aca="false">IF(OR(D846="",D846=0,N846=""),"",N846/D846)</f>
        <v/>
      </c>
      <c r="P846" s="19" t="str">
        <f aca="false">IF(O846="","",IF(O846&gt;0.25,"ACRÉSCIMO ACIMA DE 25% — conferir",""))</f>
        <v/>
      </c>
      <c r="Q846" s="27"/>
      <c r="R846" s="5"/>
    </row>
    <row r="847" customFormat="false" ht="15" hidden="false" customHeight="false" outlineLevel="0" collapsed="false">
      <c r="A847" s="27"/>
      <c r="B847" s="5"/>
      <c r="C847" s="5"/>
      <c r="D847" s="35"/>
      <c r="E847" s="14"/>
      <c r="F847" s="18"/>
      <c r="G847" s="31" t="str">
        <f aca="false">IF(A847="","",IFERROR(IF(INDEX(Empresas!$C:$C,MATCH(A847,Empresas!$A:$A,0))="","",INDEX(Empresas!$C:$C,MATCH(A847,Empresas!$A:$A,0))),""))</f>
        <v/>
      </c>
      <c r="H847" s="18"/>
      <c r="I847" s="19" t="str">
        <f aca="false">IF(OR(F847="",G847=""),"",IF(F847-G847&lt;0,"CONTRATO ANTERIOR À ABERTURA — conferir datas",IF(F847-G847&lt;180,"ABERTA MENOS DE 6 MESES ANTES","")))</f>
        <v/>
      </c>
      <c r="J847" s="19" t="str">
        <f aca="false">IF(A847="","",IFERROR(INDEX(Sancoes!$B:$B,MATCH(A847,Sancoes!$A:$A,0))&amp;"","não consta"))</f>
        <v/>
      </c>
      <c r="K847" s="19" t="str">
        <f aca="false">IF(OR(A847="",F847=""),"",IF(SUMPRODUCT((Sancoes!$A$2:$A$301=A847)*(Sancoes!$B$2:$B$301&lt;&gt;"Não consta")*(Sancoes!$D$2:$D$301&lt;&gt;"")*(Sancoes!$D$2:$D$301&lt;=F847)*(((Sancoes!$E$2:$E$301="")+(Sancoes!$E$2:$E$301&gt;=F847))&gt;0))&gt;0,"SANÇÃO VIGENTE NA DATA — leia o tipo e a abrangência",""))</f>
        <v/>
      </c>
      <c r="L847" s="19" t="str">
        <f aca="false">IF(A847="","",IFERROR(INDEX(Empresas!$B:$B,MATCH(A847,Empresas!$A:$A,0))&amp;"","cadastre o CNPJ em Empresas"))</f>
        <v/>
      </c>
      <c r="M847" s="27"/>
      <c r="N847" s="35"/>
      <c r="O847" s="37" t="str">
        <f aca="false">IF(OR(D847="",D847=0,N847=""),"",N847/D847)</f>
        <v/>
      </c>
      <c r="P847" s="19" t="str">
        <f aca="false">IF(O847="","",IF(O847&gt;0.25,"ACRÉSCIMO ACIMA DE 25% — conferir",""))</f>
        <v/>
      </c>
      <c r="Q847" s="27"/>
      <c r="R847" s="5"/>
    </row>
    <row r="848" customFormat="false" ht="15" hidden="false" customHeight="false" outlineLevel="0" collapsed="false">
      <c r="A848" s="27"/>
      <c r="B848" s="5"/>
      <c r="C848" s="5"/>
      <c r="D848" s="35"/>
      <c r="E848" s="14"/>
      <c r="F848" s="18"/>
      <c r="G848" s="31" t="str">
        <f aca="false">IF(A848="","",IFERROR(IF(INDEX(Empresas!$C:$C,MATCH(A848,Empresas!$A:$A,0))="","",INDEX(Empresas!$C:$C,MATCH(A848,Empresas!$A:$A,0))),""))</f>
        <v/>
      </c>
      <c r="H848" s="18"/>
      <c r="I848" s="19" t="str">
        <f aca="false">IF(OR(F848="",G848=""),"",IF(F848-G848&lt;0,"CONTRATO ANTERIOR À ABERTURA — conferir datas",IF(F848-G848&lt;180,"ABERTA MENOS DE 6 MESES ANTES","")))</f>
        <v/>
      </c>
      <c r="J848" s="19" t="str">
        <f aca="false">IF(A848="","",IFERROR(INDEX(Sancoes!$B:$B,MATCH(A848,Sancoes!$A:$A,0))&amp;"","não consta"))</f>
        <v/>
      </c>
      <c r="K848" s="19" t="str">
        <f aca="false">IF(OR(A848="",F848=""),"",IF(SUMPRODUCT((Sancoes!$A$2:$A$301=A848)*(Sancoes!$B$2:$B$301&lt;&gt;"Não consta")*(Sancoes!$D$2:$D$301&lt;&gt;"")*(Sancoes!$D$2:$D$301&lt;=F848)*(((Sancoes!$E$2:$E$301="")+(Sancoes!$E$2:$E$301&gt;=F848))&gt;0))&gt;0,"SANÇÃO VIGENTE NA DATA — leia o tipo e a abrangência",""))</f>
        <v/>
      </c>
      <c r="L848" s="19" t="str">
        <f aca="false">IF(A848="","",IFERROR(INDEX(Empresas!$B:$B,MATCH(A848,Empresas!$A:$A,0))&amp;"","cadastre o CNPJ em Empresas"))</f>
        <v/>
      </c>
      <c r="M848" s="27"/>
      <c r="N848" s="35"/>
      <c r="O848" s="37" t="str">
        <f aca="false">IF(OR(D848="",D848=0,N848=""),"",N848/D848)</f>
        <v/>
      </c>
      <c r="P848" s="19" t="str">
        <f aca="false">IF(O848="","",IF(O848&gt;0.25,"ACRÉSCIMO ACIMA DE 25% — conferir",""))</f>
        <v/>
      </c>
      <c r="Q848" s="27"/>
      <c r="R848" s="5"/>
    </row>
    <row r="849" customFormat="false" ht="15" hidden="false" customHeight="false" outlineLevel="0" collapsed="false">
      <c r="A849" s="27"/>
      <c r="B849" s="5"/>
      <c r="C849" s="5"/>
      <c r="D849" s="35"/>
      <c r="E849" s="14"/>
      <c r="F849" s="18"/>
      <c r="G849" s="31" t="str">
        <f aca="false">IF(A849="","",IFERROR(IF(INDEX(Empresas!$C:$C,MATCH(A849,Empresas!$A:$A,0))="","",INDEX(Empresas!$C:$C,MATCH(A849,Empresas!$A:$A,0))),""))</f>
        <v/>
      </c>
      <c r="H849" s="18"/>
      <c r="I849" s="19" t="str">
        <f aca="false">IF(OR(F849="",G849=""),"",IF(F849-G849&lt;0,"CONTRATO ANTERIOR À ABERTURA — conferir datas",IF(F849-G849&lt;180,"ABERTA MENOS DE 6 MESES ANTES","")))</f>
        <v/>
      </c>
      <c r="J849" s="19" t="str">
        <f aca="false">IF(A849="","",IFERROR(INDEX(Sancoes!$B:$B,MATCH(A849,Sancoes!$A:$A,0))&amp;"","não consta"))</f>
        <v/>
      </c>
      <c r="K849" s="19" t="str">
        <f aca="false">IF(OR(A849="",F849=""),"",IF(SUMPRODUCT((Sancoes!$A$2:$A$301=A849)*(Sancoes!$B$2:$B$301&lt;&gt;"Não consta")*(Sancoes!$D$2:$D$301&lt;&gt;"")*(Sancoes!$D$2:$D$301&lt;=F849)*(((Sancoes!$E$2:$E$301="")+(Sancoes!$E$2:$E$301&gt;=F849))&gt;0))&gt;0,"SANÇÃO VIGENTE NA DATA — leia o tipo e a abrangência",""))</f>
        <v/>
      </c>
      <c r="L849" s="19" t="str">
        <f aca="false">IF(A849="","",IFERROR(INDEX(Empresas!$B:$B,MATCH(A849,Empresas!$A:$A,0))&amp;"","cadastre o CNPJ em Empresas"))</f>
        <v/>
      </c>
      <c r="M849" s="27"/>
      <c r="N849" s="35"/>
      <c r="O849" s="37" t="str">
        <f aca="false">IF(OR(D849="",D849=0,N849=""),"",N849/D849)</f>
        <v/>
      </c>
      <c r="P849" s="19" t="str">
        <f aca="false">IF(O849="","",IF(O849&gt;0.25,"ACRÉSCIMO ACIMA DE 25% — conferir",""))</f>
        <v/>
      </c>
      <c r="Q849" s="27"/>
      <c r="R849" s="5"/>
    </row>
    <row r="850" customFormat="false" ht="15" hidden="false" customHeight="false" outlineLevel="0" collapsed="false">
      <c r="A850" s="27"/>
      <c r="B850" s="5"/>
      <c r="C850" s="5"/>
      <c r="D850" s="35"/>
      <c r="E850" s="14"/>
      <c r="F850" s="18"/>
      <c r="G850" s="31" t="str">
        <f aca="false">IF(A850="","",IFERROR(IF(INDEX(Empresas!$C:$C,MATCH(A850,Empresas!$A:$A,0))="","",INDEX(Empresas!$C:$C,MATCH(A850,Empresas!$A:$A,0))),""))</f>
        <v/>
      </c>
      <c r="H850" s="18"/>
      <c r="I850" s="19" t="str">
        <f aca="false">IF(OR(F850="",G850=""),"",IF(F850-G850&lt;0,"CONTRATO ANTERIOR À ABERTURA — conferir datas",IF(F850-G850&lt;180,"ABERTA MENOS DE 6 MESES ANTES","")))</f>
        <v/>
      </c>
      <c r="J850" s="19" t="str">
        <f aca="false">IF(A850="","",IFERROR(INDEX(Sancoes!$B:$B,MATCH(A850,Sancoes!$A:$A,0))&amp;"","não consta"))</f>
        <v/>
      </c>
      <c r="K850" s="19" t="str">
        <f aca="false">IF(OR(A850="",F850=""),"",IF(SUMPRODUCT((Sancoes!$A$2:$A$301=A850)*(Sancoes!$B$2:$B$301&lt;&gt;"Não consta")*(Sancoes!$D$2:$D$301&lt;&gt;"")*(Sancoes!$D$2:$D$301&lt;=F850)*(((Sancoes!$E$2:$E$301="")+(Sancoes!$E$2:$E$301&gt;=F850))&gt;0))&gt;0,"SANÇÃO VIGENTE NA DATA — leia o tipo e a abrangência",""))</f>
        <v/>
      </c>
      <c r="L850" s="19" t="str">
        <f aca="false">IF(A850="","",IFERROR(INDEX(Empresas!$B:$B,MATCH(A850,Empresas!$A:$A,0))&amp;"","cadastre o CNPJ em Empresas"))</f>
        <v/>
      </c>
      <c r="M850" s="27"/>
      <c r="N850" s="35"/>
      <c r="O850" s="37" t="str">
        <f aca="false">IF(OR(D850="",D850=0,N850=""),"",N850/D850)</f>
        <v/>
      </c>
      <c r="P850" s="19" t="str">
        <f aca="false">IF(O850="","",IF(O850&gt;0.25,"ACRÉSCIMO ACIMA DE 25% — conferir",""))</f>
        <v/>
      </c>
      <c r="Q850" s="27"/>
      <c r="R850" s="5"/>
    </row>
    <row r="851" customFormat="false" ht="15" hidden="false" customHeight="false" outlineLevel="0" collapsed="false">
      <c r="A851" s="27"/>
      <c r="B851" s="5"/>
      <c r="C851" s="5"/>
      <c r="D851" s="35"/>
      <c r="E851" s="14"/>
      <c r="F851" s="18"/>
      <c r="G851" s="31" t="str">
        <f aca="false">IF(A851="","",IFERROR(IF(INDEX(Empresas!$C:$C,MATCH(A851,Empresas!$A:$A,0))="","",INDEX(Empresas!$C:$C,MATCH(A851,Empresas!$A:$A,0))),""))</f>
        <v/>
      </c>
      <c r="H851" s="18"/>
      <c r="I851" s="19" t="str">
        <f aca="false">IF(OR(F851="",G851=""),"",IF(F851-G851&lt;0,"CONTRATO ANTERIOR À ABERTURA — conferir datas",IF(F851-G851&lt;180,"ABERTA MENOS DE 6 MESES ANTES","")))</f>
        <v/>
      </c>
      <c r="J851" s="19" t="str">
        <f aca="false">IF(A851="","",IFERROR(INDEX(Sancoes!$B:$B,MATCH(A851,Sancoes!$A:$A,0))&amp;"","não consta"))</f>
        <v/>
      </c>
      <c r="K851" s="19" t="str">
        <f aca="false">IF(OR(A851="",F851=""),"",IF(SUMPRODUCT((Sancoes!$A$2:$A$301=A851)*(Sancoes!$B$2:$B$301&lt;&gt;"Não consta")*(Sancoes!$D$2:$D$301&lt;&gt;"")*(Sancoes!$D$2:$D$301&lt;=F851)*(((Sancoes!$E$2:$E$301="")+(Sancoes!$E$2:$E$301&gt;=F851))&gt;0))&gt;0,"SANÇÃO VIGENTE NA DATA — leia o tipo e a abrangência",""))</f>
        <v/>
      </c>
      <c r="L851" s="19" t="str">
        <f aca="false">IF(A851="","",IFERROR(INDEX(Empresas!$B:$B,MATCH(A851,Empresas!$A:$A,0))&amp;"","cadastre o CNPJ em Empresas"))</f>
        <v/>
      </c>
      <c r="M851" s="27"/>
      <c r="N851" s="35"/>
      <c r="O851" s="37" t="str">
        <f aca="false">IF(OR(D851="",D851=0,N851=""),"",N851/D851)</f>
        <v/>
      </c>
      <c r="P851" s="19" t="str">
        <f aca="false">IF(O851="","",IF(O851&gt;0.25,"ACRÉSCIMO ACIMA DE 25% — conferir",""))</f>
        <v/>
      </c>
      <c r="Q851" s="27"/>
      <c r="R851" s="5"/>
    </row>
    <row r="852" customFormat="false" ht="15" hidden="false" customHeight="false" outlineLevel="0" collapsed="false">
      <c r="A852" s="27"/>
      <c r="B852" s="5"/>
      <c r="C852" s="5"/>
      <c r="D852" s="35"/>
      <c r="E852" s="14"/>
      <c r="F852" s="18"/>
      <c r="G852" s="31" t="str">
        <f aca="false">IF(A852="","",IFERROR(IF(INDEX(Empresas!$C:$C,MATCH(A852,Empresas!$A:$A,0))="","",INDEX(Empresas!$C:$C,MATCH(A852,Empresas!$A:$A,0))),""))</f>
        <v/>
      </c>
      <c r="H852" s="18"/>
      <c r="I852" s="19" t="str">
        <f aca="false">IF(OR(F852="",G852=""),"",IF(F852-G852&lt;0,"CONTRATO ANTERIOR À ABERTURA — conferir datas",IF(F852-G852&lt;180,"ABERTA MENOS DE 6 MESES ANTES","")))</f>
        <v/>
      </c>
      <c r="J852" s="19" t="str">
        <f aca="false">IF(A852="","",IFERROR(INDEX(Sancoes!$B:$B,MATCH(A852,Sancoes!$A:$A,0))&amp;"","não consta"))</f>
        <v/>
      </c>
      <c r="K852" s="19" t="str">
        <f aca="false">IF(OR(A852="",F852=""),"",IF(SUMPRODUCT((Sancoes!$A$2:$A$301=A852)*(Sancoes!$B$2:$B$301&lt;&gt;"Não consta")*(Sancoes!$D$2:$D$301&lt;&gt;"")*(Sancoes!$D$2:$D$301&lt;=F852)*(((Sancoes!$E$2:$E$301="")+(Sancoes!$E$2:$E$301&gt;=F852))&gt;0))&gt;0,"SANÇÃO VIGENTE NA DATA — leia o tipo e a abrangência",""))</f>
        <v/>
      </c>
      <c r="L852" s="19" t="str">
        <f aca="false">IF(A852="","",IFERROR(INDEX(Empresas!$B:$B,MATCH(A852,Empresas!$A:$A,0))&amp;"","cadastre o CNPJ em Empresas"))</f>
        <v/>
      </c>
      <c r="M852" s="27"/>
      <c r="N852" s="35"/>
      <c r="O852" s="37" t="str">
        <f aca="false">IF(OR(D852="",D852=0,N852=""),"",N852/D852)</f>
        <v/>
      </c>
      <c r="P852" s="19" t="str">
        <f aca="false">IF(O852="","",IF(O852&gt;0.25,"ACRÉSCIMO ACIMA DE 25% — conferir",""))</f>
        <v/>
      </c>
      <c r="Q852" s="27"/>
      <c r="R852" s="5"/>
    </row>
    <row r="853" customFormat="false" ht="15" hidden="false" customHeight="false" outlineLevel="0" collapsed="false">
      <c r="A853" s="27"/>
      <c r="B853" s="5"/>
      <c r="C853" s="5"/>
      <c r="D853" s="35"/>
      <c r="E853" s="14"/>
      <c r="F853" s="18"/>
      <c r="G853" s="31" t="str">
        <f aca="false">IF(A853="","",IFERROR(IF(INDEX(Empresas!$C:$C,MATCH(A853,Empresas!$A:$A,0))="","",INDEX(Empresas!$C:$C,MATCH(A853,Empresas!$A:$A,0))),""))</f>
        <v/>
      </c>
      <c r="H853" s="18"/>
      <c r="I853" s="19" t="str">
        <f aca="false">IF(OR(F853="",G853=""),"",IF(F853-G853&lt;0,"CONTRATO ANTERIOR À ABERTURA — conferir datas",IF(F853-G853&lt;180,"ABERTA MENOS DE 6 MESES ANTES","")))</f>
        <v/>
      </c>
      <c r="J853" s="19" t="str">
        <f aca="false">IF(A853="","",IFERROR(INDEX(Sancoes!$B:$B,MATCH(A853,Sancoes!$A:$A,0))&amp;"","não consta"))</f>
        <v/>
      </c>
      <c r="K853" s="19" t="str">
        <f aca="false">IF(OR(A853="",F853=""),"",IF(SUMPRODUCT((Sancoes!$A$2:$A$301=A853)*(Sancoes!$B$2:$B$301&lt;&gt;"Não consta")*(Sancoes!$D$2:$D$301&lt;&gt;"")*(Sancoes!$D$2:$D$301&lt;=F853)*(((Sancoes!$E$2:$E$301="")+(Sancoes!$E$2:$E$301&gt;=F853))&gt;0))&gt;0,"SANÇÃO VIGENTE NA DATA — leia o tipo e a abrangência",""))</f>
        <v/>
      </c>
      <c r="L853" s="19" t="str">
        <f aca="false">IF(A853="","",IFERROR(INDEX(Empresas!$B:$B,MATCH(A853,Empresas!$A:$A,0))&amp;"","cadastre o CNPJ em Empresas"))</f>
        <v/>
      </c>
      <c r="M853" s="27"/>
      <c r="N853" s="35"/>
      <c r="O853" s="37" t="str">
        <f aca="false">IF(OR(D853="",D853=0,N853=""),"",N853/D853)</f>
        <v/>
      </c>
      <c r="P853" s="19" t="str">
        <f aca="false">IF(O853="","",IF(O853&gt;0.25,"ACRÉSCIMO ACIMA DE 25% — conferir",""))</f>
        <v/>
      </c>
      <c r="Q853" s="27"/>
      <c r="R853" s="5"/>
    </row>
    <row r="854" customFormat="false" ht="15" hidden="false" customHeight="false" outlineLevel="0" collapsed="false">
      <c r="A854" s="27"/>
      <c r="B854" s="5"/>
      <c r="C854" s="5"/>
      <c r="D854" s="35"/>
      <c r="E854" s="14"/>
      <c r="F854" s="18"/>
      <c r="G854" s="31" t="str">
        <f aca="false">IF(A854="","",IFERROR(IF(INDEX(Empresas!$C:$C,MATCH(A854,Empresas!$A:$A,0))="","",INDEX(Empresas!$C:$C,MATCH(A854,Empresas!$A:$A,0))),""))</f>
        <v/>
      </c>
      <c r="H854" s="18"/>
      <c r="I854" s="19" t="str">
        <f aca="false">IF(OR(F854="",G854=""),"",IF(F854-G854&lt;0,"CONTRATO ANTERIOR À ABERTURA — conferir datas",IF(F854-G854&lt;180,"ABERTA MENOS DE 6 MESES ANTES","")))</f>
        <v/>
      </c>
      <c r="J854" s="19" t="str">
        <f aca="false">IF(A854="","",IFERROR(INDEX(Sancoes!$B:$B,MATCH(A854,Sancoes!$A:$A,0))&amp;"","não consta"))</f>
        <v/>
      </c>
      <c r="K854" s="19" t="str">
        <f aca="false">IF(OR(A854="",F854=""),"",IF(SUMPRODUCT((Sancoes!$A$2:$A$301=A854)*(Sancoes!$B$2:$B$301&lt;&gt;"Não consta")*(Sancoes!$D$2:$D$301&lt;&gt;"")*(Sancoes!$D$2:$D$301&lt;=F854)*(((Sancoes!$E$2:$E$301="")+(Sancoes!$E$2:$E$301&gt;=F854))&gt;0))&gt;0,"SANÇÃO VIGENTE NA DATA — leia o tipo e a abrangência",""))</f>
        <v/>
      </c>
      <c r="L854" s="19" t="str">
        <f aca="false">IF(A854="","",IFERROR(INDEX(Empresas!$B:$B,MATCH(A854,Empresas!$A:$A,0))&amp;"","cadastre o CNPJ em Empresas"))</f>
        <v/>
      </c>
      <c r="M854" s="27"/>
      <c r="N854" s="35"/>
      <c r="O854" s="37" t="str">
        <f aca="false">IF(OR(D854="",D854=0,N854=""),"",N854/D854)</f>
        <v/>
      </c>
      <c r="P854" s="19" t="str">
        <f aca="false">IF(O854="","",IF(O854&gt;0.25,"ACRÉSCIMO ACIMA DE 25% — conferir",""))</f>
        <v/>
      </c>
      <c r="Q854" s="27"/>
      <c r="R854" s="5"/>
    </row>
    <row r="855" customFormat="false" ht="15" hidden="false" customHeight="false" outlineLevel="0" collapsed="false">
      <c r="A855" s="27"/>
      <c r="B855" s="5"/>
      <c r="C855" s="5"/>
      <c r="D855" s="35"/>
      <c r="E855" s="14"/>
      <c r="F855" s="18"/>
      <c r="G855" s="31" t="str">
        <f aca="false">IF(A855="","",IFERROR(IF(INDEX(Empresas!$C:$C,MATCH(A855,Empresas!$A:$A,0))="","",INDEX(Empresas!$C:$C,MATCH(A855,Empresas!$A:$A,0))),""))</f>
        <v/>
      </c>
      <c r="H855" s="18"/>
      <c r="I855" s="19" t="str">
        <f aca="false">IF(OR(F855="",G855=""),"",IF(F855-G855&lt;0,"CONTRATO ANTERIOR À ABERTURA — conferir datas",IF(F855-G855&lt;180,"ABERTA MENOS DE 6 MESES ANTES","")))</f>
        <v/>
      </c>
      <c r="J855" s="19" t="str">
        <f aca="false">IF(A855="","",IFERROR(INDEX(Sancoes!$B:$B,MATCH(A855,Sancoes!$A:$A,0))&amp;"","não consta"))</f>
        <v/>
      </c>
      <c r="K855" s="19" t="str">
        <f aca="false">IF(OR(A855="",F855=""),"",IF(SUMPRODUCT((Sancoes!$A$2:$A$301=A855)*(Sancoes!$B$2:$B$301&lt;&gt;"Não consta")*(Sancoes!$D$2:$D$301&lt;&gt;"")*(Sancoes!$D$2:$D$301&lt;=F855)*(((Sancoes!$E$2:$E$301="")+(Sancoes!$E$2:$E$301&gt;=F855))&gt;0))&gt;0,"SANÇÃO VIGENTE NA DATA — leia o tipo e a abrangência",""))</f>
        <v/>
      </c>
      <c r="L855" s="19" t="str">
        <f aca="false">IF(A855="","",IFERROR(INDEX(Empresas!$B:$B,MATCH(A855,Empresas!$A:$A,0))&amp;"","cadastre o CNPJ em Empresas"))</f>
        <v/>
      </c>
      <c r="M855" s="27"/>
      <c r="N855" s="35"/>
      <c r="O855" s="37" t="str">
        <f aca="false">IF(OR(D855="",D855=0,N855=""),"",N855/D855)</f>
        <v/>
      </c>
      <c r="P855" s="19" t="str">
        <f aca="false">IF(O855="","",IF(O855&gt;0.25,"ACRÉSCIMO ACIMA DE 25% — conferir",""))</f>
        <v/>
      </c>
      <c r="Q855" s="27"/>
      <c r="R855" s="5"/>
    </row>
    <row r="856" customFormat="false" ht="15" hidden="false" customHeight="false" outlineLevel="0" collapsed="false">
      <c r="A856" s="27"/>
      <c r="B856" s="5"/>
      <c r="C856" s="5"/>
      <c r="D856" s="35"/>
      <c r="E856" s="14"/>
      <c r="F856" s="18"/>
      <c r="G856" s="31" t="str">
        <f aca="false">IF(A856="","",IFERROR(IF(INDEX(Empresas!$C:$C,MATCH(A856,Empresas!$A:$A,0))="","",INDEX(Empresas!$C:$C,MATCH(A856,Empresas!$A:$A,0))),""))</f>
        <v/>
      </c>
      <c r="H856" s="18"/>
      <c r="I856" s="19" t="str">
        <f aca="false">IF(OR(F856="",G856=""),"",IF(F856-G856&lt;0,"CONTRATO ANTERIOR À ABERTURA — conferir datas",IF(F856-G856&lt;180,"ABERTA MENOS DE 6 MESES ANTES","")))</f>
        <v/>
      </c>
      <c r="J856" s="19" t="str">
        <f aca="false">IF(A856="","",IFERROR(INDEX(Sancoes!$B:$B,MATCH(A856,Sancoes!$A:$A,0))&amp;"","não consta"))</f>
        <v/>
      </c>
      <c r="K856" s="19" t="str">
        <f aca="false">IF(OR(A856="",F856=""),"",IF(SUMPRODUCT((Sancoes!$A$2:$A$301=A856)*(Sancoes!$B$2:$B$301&lt;&gt;"Não consta")*(Sancoes!$D$2:$D$301&lt;&gt;"")*(Sancoes!$D$2:$D$301&lt;=F856)*(((Sancoes!$E$2:$E$301="")+(Sancoes!$E$2:$E$301&gt;=F856))&gt;0))&gt;0,"SANÇÃO VIGENTE NA DATA — leia o tipo e a abrangência",""))</f>
        <v/>
      </c>
      <c r="L856" s="19" t="str">
        <f aca="false">IF(A856="","",IFERROR(INDEX(Empresas!$B:$B,MATCH(A856,Empresas!$A:$A,0))&amp;"","cadastre o CNPJ em Empresas"))</f>
        <v/>
      </c>
      <c r="M856" s="27"/>
      <c r="N856" s="35"/>
      <c r="O856" s="37" t="str">
        <f aca="false">IF(OR(D856="",D856=0,N856=""),"",N856/D856)</f>
        <v/>
      </c>
      <c r="P856" s="19" t="str">
        <f aca="false">IF(O856="","",IF(O856&gt;0.25,"ACRÉSCIMO ACIMA DE 25% — conferir",""))</f>
        <v/>
      </c>
      <c r="Q856" s="27"/>
      <c r="R856" s="5"/>
    </row>
    <row r="857" customFormat="false" ht="15" hidden="false" customHeight="false" outlineLevel="0" collapsed="false">
      <c r="A857" s="27"/>
      <c r="B857" s="5"/>
      <c r="C857" s="5"/>
      <c r="D857" s="35"/>
      <c r="E857" s="14"/>
      <c r="F857" s="18"/>
      <c r="G857" s="31" t="str">
        <f aca="false">IF(A857="","",IFERROR(IF(INDEX(Empresas!$C:$C,MATCH(A857,Empresas!$A:$A,0))="","",INDEX(Empresas!$C:$C,MATCH(A857,Empresas!$A:$A,0))),""))</f>
        <v/>
      </c>
      <c r="H857" s="18"/>
      <c r="I857" s="19" t="str">
        <f aca="false">IF(OR(F857="",G857=""),"",IF(F857-G857&lt;0,"CONTRATO ANTERIOR À ABERTURA — conferir datas",IF(F857-G857&lt;180,"ABERTA MENOS DE 6 MESES ANTES","")))</f>
        <v/>
      </c>
      <c r="J857" s="19" t="str">
        <f aca="false">IF(A857="","",IFERROR(INDEX(Sancoes!$B:$B,MATCH(A857,Sancoes!$A:$A,0))&amp;"","não consta"))</f>
        <v/>
      </c>
      <c r="K857" s="19" t="str">
        <f aca="false">IF(OR(A857="",F857=""),"",IF(SUMPRODUCT((Sancoes!$A$2:$A$301=A857)*(Sancoes!$B$2:$B$301&lt;&gt;"Não consta")*(Sancoes!$D$2:$D$301&lt;&gt;"")*(Sancoes!$D$2:$D$301&lt;=F857)*(((Sancoes!$E$2:$E$301="")+(Sancoes!$E$2:$E$301&gt;=F857))&gt;0))&gt;0,"SANÇÃO VIGENTE NA DATA — leia o tipo e a abrangência",""))</f>
        <v/>
      </c>
      <c r="L857" s="19" t="str">
        <f aca="false">IF(A857="","",IFERROR(INDEX(Empresas!$B:$B,MATCH(A857,Empresas!$A:$A,0))&amp;"","cadastre o CNPJ em Empresas"))</f>
        <v/>
      </c>
      <c r="M857" s="27"/>
      <c r="N857" s="35"/>
      <c r="O857" s="37" t="str">
        <f aca="false">IF(OR(D857="",D857=0,N857=""),"",N857/D857)</f>
        <v/>
      </c>
      <c r="P857" s="19" t="str">
        <f aca="false">IF(O857="","",IF(O857&gt;0.25,"ACRÉSCIMO ACIMA DE 25% — conferir",""))</f>
        <v/>
      </c>
      <c r="Q857" s="27"/>
      <c r="R857" s="5"/>
    </row>
    <row r="858" customFormat="false" ht="15" hidden="false" customHeight="false" outlineLevel="0" collapsed="false">
      <c r="A858" s="27"/>
      <c r="B858" s="5"/>
      <c r="C858" s="5"/>
      <c r="D858" s="35"/>
      <c r="E858" s="14"/>
      <c r="F858" s="18"/>
      <c r="G858" s="31" t="str">
        <f aca="false">IF(A858="","",IFERROR(IF(INDEX(Empresas!$C:$C,MATCH(A858,Empresas!$A:$A,0))="","",INDEX(Empresas!$C:$C,MATCH(A858,Empresas!$A:$A,0))),""))</f>
        <v/>
      </c>
      <c r="H858" s="18"/>
      <c r="I858" s="19" t="str">
        <f aca="false">IF(OR(F858="",G858=""),"",IF(F858-G858&lt;0,"CONTRATO ANTERIOR À ABERTURA — conferir datas",IF(F858-G858&lt;180,"ABERTA MENOS DE 6 MESES ANTES","")))</f>
        <v/>
      </c>
      <c r="J858" s="19" t="str">
        <f aca="false">IF(A858="","",IFERROR(INDEX(Sancoes!$B:$B,MATCH(A858,Sancoes!$A:$A,0))&amp;"","não consta"))</f>
        <v/>
      </c>
      <c r="K858" s="19" t="str">
        <f aca="false">IF(OR(A858="",F858=""),"",IF(SUMPRODUCT((Sancoes!$A$2:$A$301=A858)*(Sancoes!$B$2:$B$301&lt;&gt;"Não consta")*(Sancoes!$D$2:$D$301&lt;&gt;"")*(Sancoes!$D$2:$D$301&lt;=F858)*(((Sancoes!$E$2:$E$301="")+(Sancoes!$E$2:$E$301&gt;=F858))&gt;0))&gt;0,"SANÇÃO VIGENTE NA DATA — leia o tipo e a abrangência",""))</f>
        <v/>
      </c>
      <c r="L858" s="19" t="str">
        <f aca="false">IF(A858="","",IFERROR(INDEX(Empresas!$B:$B,MATCH(A858,Empresas!$A:$A,0))&amp;"","cadastre o CNPJ em Empresas"))</f>
        <v/>
      </c>
      <c r="M858" s="27"/>
      <c r="N858" s="35"/>
      <c r="O858" s="37" t="str">
        <f aca="false">IF(OR(D858="",D858=0,N858=""),"",N858/D858)</f>
        <v/>
      </c>
      <c r="P858" s="19" t="str">
        <f aca="false">IF(O858="","",IF(O858&gt;0.25,"ACRÉSCIMO ACIMA DE 25% — conferir",""))</f>
        <v/>
      </c>
      <c r="Q858" s="27"/>
      <c r="R858" s="5"/>
    </row>
    <row r="859" customFormat="false" ht="15" hidden="false" customHeight="false" outlineLevel="0" collapsed="false">
      <c r="A859" s="27"/>
      <c r="B859" s="5"/>
      <c r="C859" s="5"/>
      <c r="D859" s="35"/>
      <c r="E859" s="14"/>
      <c r="F859" s="18"/>
      <c r="G859" s="31" t="str">
        <f aca="false">IF(A859="","",IFERROR(IF(INDEX(Empresas!$C:$C,MATCH(A859,Empresas!$A:$A,0))="","",INDEX(Empresas!$C:$C,MATCH(A859,Empresas!$A:$A,0))),""))</f>
        <v/>
      </c>
      <c r="H859" s="18"/>
      <c r="I859" s="19" t="str">
        <f aca="false">IF(OR(F859="",G859=""),"",IF(F859-G859&lt;0,"CONTRATO ANTERIOR À ABERTURA — conferir datas",IF(F859-G859&lt;180,"ABERTA MENOS DE 6 MESES ANTES","")))</f>
        <v/>
      </c>
      <c r="J859" s="19" t="str">
        <f aca="false">IF(A859="","",IFERROR(INDEX(Sancoes!$B:$B,MATCH(A859,Sancoes!$A:$A,0))&amp;"","não consta"))</f>
        <v/>
      </c>
      <c r="K859" s="19" t="str">
        <f aca="false">IF(OR(A859="",F859=""),"",IF(SUMPRODUCT((Sancoes!$A$2:$A$301=A859)*(Sancoes!$B$2:$B$301&lt;&gt;"Não consta")*(Sancoes!$D$2:$D$301&lt;&gt;"")*(Sancoes!$D$2:$D$301&lt;=F859)*(((Sancoes!$E$2:$E$301="")+(Sancoes!$E$2:$E$301&gt;=F859))&gt;0))&gt;0,"SANÇÃO VIGENTE NA DATA — leia o tipo e a abrangência",""))</f>
        <v/>
      </c>
      <c r="L859" s="19" t="str">
        <f aca="false">IF(A859="","",IFERROR(INDEX(Empresas!$B:$B,MATCH(A859,Empresas!$A:$A,0))&amp;"","cadastre o CNPJ em Empresas"))</f>
        <v/>
      </c>
      <c r="M859" s="27"/>
      <c r="N859" s="35"/>
      <c r="O859" s="37" t="str">
        <f aca="false">IF(OR(D859="",D859=0,N859=""),"",N859/D859)</f>
        <v/>
      </c>
      <c r="P859" s="19" t="str">
        <f aca="false">IF(O859="","",IF(O859&gt;0.25,"ACRÉSCIMO ACIMA DE 25% — conferir",""))</f>
        <v/>
      </c>
      <c r="Q859" s="27"/>
      <c r="R859" s="5"/>
    </row>
    <row r="860" customFormat="false" ht="15" hidden="false" customHeight="false" outlineLevel="0" collapsed="false">
      <c r="A860" s="27"/>
      <c r="B860" s="5"/>
      <c r="C860" s="5"/>
      <c r="D860" s="35"/>
      <c r="E860" s="14"/>
      <c r="F860" s="18"/>
      <c r="G860" s="31" t="str">
        <f aca="false">IF(A860="","",IFERROR(IF(INDEX(Empresas!$C:$C,MATCH(A860,Empresas!$A:$A,0))="","",INDEX(Empresas!$C:$C,MATCH(A860,Empresas!$A:$A,0))),""))</f>
        <v/>
      </c>
      <c r="H860" s="18"/>
      <c r="I860" s="19" t="str">
        <f aca="false">IF(OR(F860="",G860=""),"",IF(F860-G860&lt;0,"CONTRATO ANTERIOR À ABERTURA — conferir datas",IF(F860-G860&lt;180,"ABERTA MENOS DE 6 MESES ANTES","")))</f>
        <v/>
      </c>
      <c r="J860" s="19" t="str">
        <f aca="false">IF(A860="","",IFERROR(INDEX(Sancoes!$B:$B,MATCH(A860,Sancoes!$A:$A,0))&amp;"","não consta"))</f>
        <v/>
      </c>
      <c r="K860" s="19" t="str">
        <f aca="false">IF(OR(A860="",F860=""),"",IF(SUMPRODUCT((Sancoes!$A$2:$A$301=A860)*(Sancoes!$B$2:$B$301&lt;&gt;"Não consta")*(Sancoes!$D$2:$D$301&lt;&gt;"")*(Sancoes!$D$2:$D$301&lt;=F860)*(((Sancoes!$E$2:$E$301="")+(Sancoes!$E$2:$E$301&gt;=F860))&gt;0))&gt;0,"SANÇÃO VIGENTE NA DATA — leia o tipo e a abrangência",""))</f>
        <v/>
      </c>
      <c r="L860" s="19" t="str">
        <f aca="false">IF(A860="","",IFERROR(INDEX(Empresas!$B:$B,MATCH(A860,Empresas!$A:$A,0))&amp;"","cadastre o CNPJ em Empresas"))</f>
        <v/>
      </c>
      <c r="M860" s="27"/>
      <c r="N860" s="35"/>
      <c r="O860" s="37" t="str">
        <f aca="false">IF(OR(D860="",D860=0,N860=""),"",N860/D860)</f>
        <v/>
      </c>
      <c r="P860" s="19" t="str">
        <f aca="false">IF(O860="","",IF(O860&gt;0.25,"ACRÉSCIMO ACIMA DE 25% — conferir",""))</f>
        <v/>
      </c>
      <c r="Q860" s="27"/>
      <c r="R860" s="5"/>
    </row>
    <row r="861" customFormat="false" ht="15" hidden="false" customHeight="false" outlineLevel="0" collapsed="false">
      <c r="A861" s="27"/>
      <c r="B861" s="5"/>
      <c r="C861" s="5"/>
      <c r="D861" s="35"/>
      <c r="E861" s="14"/>
      <c r="F861" s="18"/>
      <c r="G861" s="31" t="str">
        <f aca="false">IF(A861="","",IFERROR(IF(INDEX(Empresas!$C:$C,MATCH(A861,Empresas!$A:$A,0))="","",INDEX(Empresas!$C:$C,MATCH(A861,Empresas!$A:$A,0))),""))</f>
        <v/>
      </c>
      <c r="H861" s="18"/>
      <c r="I861" s="19" t="str">
        <f aca="false">IF(OR(F861="",G861=""),"",IF(F861-G861&lt;0,"CONTRATO ANTERIOR À ABERTURA — conferir datas",IF(F861-G861&lt;180,"ABERTA MENOS DE 6 MESES ANTES","")))</f>
        <v/>
      </c>
      <c r="J861" s="19" t="str">
        <f aca="false">IF(A861="","",IFERROR(INDEX(Sancoes!$B:$B,MATCH(A861,Sancoes!$A:$A,0))&amp;"","não consta"))</f>
        <v/>
      </c>
      <c r="K861" s="19" t="str">
        <f aca="false">IF(OR(A861="",F861=""),"",IF(SUMPRODUCT((Sancoes!$A$2:$A$301=A861)*(Sancoes!$B$2:$B$301&lt;&gt;"Não consta")*(Sancoes!$D$2:$D$301&lt;&gt;"")*(Sancoes!$D$2:$D$301&lt;=F861)*(((Sancoes!$E$2:$E$301="")+(Sancoes!$E$2:$E$301&gt;=F861))&gt;0))&gt;0,"SANÇÃO VIGENTE NA DATA — leia o tipo e a abrangência",""))</f>
        <v/>
      </c>
      <c r="L861" s="19" t="str">
        <f aca="false">IF(A861="","",IFERROR(INDEX(Empresas!$B:$B,MATCH(A861,Empresas!$A:$A,0))&amp;"","cadastre o CNPJ em Empresas"))</f>
        <v/>
      </c>
      <c r="M861" s="27"/>
      <c r="N861" s="35"/>
      <c r="O861" s="37" t="str">
        <f aca="false">IF(OR(D861="",D861=0,N861=""),"",N861/D861)</f>
        <v/>
      </c>
      <c r="P861" s="19" t="str">
        <f aca="false">IF(O861="","",IF(O861&gt;0.25,"ACRÉSCIMO ACIMA DE 25% — conferir",""))</f>
        <v/>
      </c>
      <c r="Q861" s="27"/>
      <c r="R861" s="5"/>
    </row>
    <row r="862" customFormat="false" ht="15" hidden="false" customHeight="false" outlineLevel="0" collapsed="false">
      <c r="A862" s="27"/>
      <c r="B862" s="5"/>
      <c r="C862" s="5"/>
      <c r="D862" s="35"/>
      <c r="E862" s="14"/>
      <c r="F862" s="18"/>
      <c r="G862" s="31" t="str">
        <f aca="false">IF(A862="","",IFERROR(IF(INDEX(Empresas!$C:$C,MATCH(A862,Empresas!$A:$A,0))="","",INDEX(Empresas!$C:$C,MATCH(A862,Empresas!$A:$A,0))),""))</f>
        <v/>
      </c>
      <c r="H862" s="18"/>
      <c r="I862" s="19" t="str">
        <f aca="false">IF(OR(F862="",G862=""),"",IF(F862-G862&lt;0,"CONTRATO ANTERIOR À ABERTURA — conferir datas",IF(F862-G862&lt;180,"ABERTA MENOS DE 6 MESES ANTES","")))</f>
        <v/>
      </c>
      <c r="J862" s="19" t="str">
        <f aca="false">IF(A862="","",IFERROR(INDEX(Sancoes!$B:$B,MATCH(A862,Sancoes!$A:$A,0))&amp;"","não consta"))</f>
        <v/>
      </c>
      <c r="K862" s="19" t="str">
        <f aca="false">IF(OR(A862="",F862=""),"",IF(SUMPRODUCT((Sancoes!$A$2:$A$301=A862)*(Sancoes!$B$2:$B$301&lt;&gt;"Não consta")*(Sancoes!$D$2:$D$301&lt;&gt;"")*(Sancoes!$D$2:$D$301&lt;=F862)*(((Sancoes!$E$2:$E$301="")+(Sancoes!$E$2:$E$301&gt;=F862))&gt;0))&gt;0,"SANÇÃO VIGENTE NA DATA — leia o tipo e a abrangência",""))</f>
        <v/>
      </c>
      <c r="L862" s="19" t="str">
        <f aca="false">IF(A862="","",IFERROR(INDEX(Empresas!$B:$B,MATCH(A862,Empresas!$A:$A,0))&amp;"","cadastre o CNPJ em Empresas"))</f>
        <v/>
      </c>
      <c r="M862" s="27"/>
      <c r="N862" s="35"/>
      <c r="O862" s="37" t="str">
        <f aca="false">IF(OR(D862="",D862=0,N862=""),"",N862/D862)</f>
        <v/>
      </c>
      <c r="P862" s="19" t="str">
        <f aca="false">IF(O862="","",IF(O862&gt;0.25,"ACRÉSCIMO ACIMA DE 25% — conferir",""))</f>
        <v/>
      </c>
      <c r="Q862" s="27"/>
      <c r="R862" s="5"/>
    </row>
    <row r="863" customFormat="false" ht="15" hidden="false" customHeight="false" outlineLevel="0" collapsed="false">
      <c r="A863" s="27"/>
      <c r="B863" s="5"/>
      <c r="C863" s="5"/>
      <c r="D863" s="35"/>
      <c r="E863" s="14"/>
      <c r="F863" s="18"/>
      <c r="G863" s="31" t="str">
        <f aca="false">IF(A863="","",IFERROR(IF(INDEX(Empresas!$C:$C,MATCH(A863,Empresas!$A:$A,0))="","",INDEX(Empresas!$C:$C,MATCH(A863,Empresas!$A:$A,0))),""))</f>
        <v/>
      </c>
      <c r="H863" s="18"/>
      <c r="I863" s="19" t="str">
        <f aca="false">IF(OR(F863="",G863=""),"",IF(F863-G863&lt;0,"CONTRATO ANTERIOR À ABERTURA — conferir datas",IF(F863-G863&lt;180,"ABERTA MENOS DE 6 MESES ANTES","")))</f>
        <v/>
      </c>
      <c r="J863" s="19" t="str">
        <f aca="false">IF(A863="","",IFERROR(INDEX(Sancoes!$B:$B,MATCH(A863,Sancoes!$A:$A,0))&amp;"","não consta"))</f>
        <v/>
      </c>
      <c r="K863" s="19" t="str">
        <f aca="false">IF(OR(A863="",F863=""),"",IF(SUMPRODUCT((Sancoes!$A$2:$A$301=A863)*(Sancoes!$B$2:$B$301&lt;&gt;"Não consta")*(Sancoes!$D$2:$D$301&lt;&gt;"")*(Sancoes!$D$2:$D$301&lt;=F863)*(((Sancoes!$E$2:$E$301="")+(Sancoes!$E$2:$E$301&gt;=F863))&gt;0))&gt;0,"SANÇÃO VIGENTE NA DATA — leia o tipo e a abrangência",""))</f>
        <v/>
      </c>
      <c r="L863" s="19" t="str">
        <f aca="false">IF(A863="","",IFERROR(INDEX(Empresas!$B:$B,MATCH(A863,Empresas!$A:$A,0))&amp;"","cadastre o CNPJ em Empresas"))</f>
        <v/>
      </c>
      <c r="M863" s="27"/>
      <c r="N863" s="35"/>
      <c r="O863" s="37" t="str">
        <f aca="false">IF(OR(D863="",D863=0,N863=""),"",N863/D863)</f>
        <v/>
      </c>
      <c r="P863" s="19" t="str">
        <f aca="false">IF(O863="","",IF(O863&gt;0.25,"ACRÉSCIMO ACIMA DE 25% — conferir",""))</f>
        <v/>
      </c>
      <c r="Q863" s="27"/>
      <c r="R863" s="5"/>
    </row>
    <row r="864" customFormat="false" ht="15" hidden="false" customHeight="false" outlineLevel="0" collapsed="false">
      <c r="A864" s="27"/>
      <c r="B864" s="5"/>
      <c r="C864" s="5"/>
      <c r="D864" s="35"/>
      <c r="E864" s="14"/>
      <c r="F864" s="18"/>
      <c r="G864" s="31" t="str">
        <f aca="false">IF(A864="","",IFERROR(IF(INDEX(Empresas!$C:$C,MATCH(A864,Empresas!$A:$A,0))="","",INDEX(Empresas!$C:$C,MATCH(A864,Empresas!$A:$A,0))),""))</f>
        <v/>
      </c>
      <c r="H864" s="18"/>
      <c r="I864" s="19" t="str">
        <f aca="false">IF(OR(F864="",G864=""),"",IF(F864-G864&lt;0,"CONTRATO ANTERIOR À ABERTURA — conferir datas",IF(F864-G864&lt;180,"ABERTA MENOS DE 6 MESES ANTES","")))</f>
        <v/>
      </c>
      <c r="J864" s="19" t="str">
        <f aca="false">IF(A864="","",IFERROR(INDEX(Sancoes!$B:$B,MATCH(A864,Sancoes!$A:$A,0))&amp;"","não consta"))</f>
        <v/>
      </c>
      <c r="K864" s="19" t="str">
        <f aca="false">IF(OR(A864="",F864=""),"",IF(SUMPRODUCT((Sancoes!$A$2:$A$301=A864)*(Sancoes!$B$2:$B$301&lt;&gt;"Não consta")*(Sancoes!$D$2:$D$301&lt;&gt;"")*(Sancoes!$D$2:$D$301&lt;=F864)*(((Sancoes!$E$2:$E$301="")+(Sancoes!$E$2:$E$301&gt;=F864))&gt;0))&gt;0,"SANÇÃO VIGENTE NA DATA — leia o tipo e a abrangência",""))</f>
        <v/>
      </c>
      <c r="L864" s="19" t="str">
        <f aca="false">IF(A864="","",IFERROR(INDEX(Empresas!$B:$B,MATCH(A864,Empresas!$A:$A,0))&amp;"","cadastre o CNPJ em Empresas"))</f>
        <v/>
      </c>
      <c r="M864" s="27"/>
      <c r="N864" s="35"/>
      <c r="O864" s="37" t="str">
        <f aca="false">IF(OR(D864="",D864=0,N864=""),"",N864/D864)</f>
        <v/>
      </c>
      <c r="P864" s="19" t="str">
        <f aca="false">IF(O864="","",IF(O864&gt;0.25,"ACRÉSCIMO ACIMA DE 25% — conferir",""))</f>
        <v/>
      </c>
      <c r="Q864" s="27"/>
      <c r="R864" s="5"/>
    </row>
    <row r="865" customFormat="false" ht="15" hidden="false" customHeight="false" outlineLevel="0" collapsed="false">
      <c r="A865" s="27"/>
      <c r="B865" s="5"/>
      <c r="C865" s="5"/>
      <c r="D865" s="35"/>
      <c r="E865" s="14"/>
      <c r="F865" s="18"/>
      <c r="G865" s="31" t="str">
        <f aca="false">IF(A865="","",IFERROR(IF(INDEX(Empresas!$C:$C,MATCH(A865,Empresas!$A:$A,0))="","",INDEX(Empresas!$C:$C,MATCH(A865,Empresas!$A:$A,0))),""))</f>
        <v/>
      </c>
      <c r="H865" s="18"/>
      <c r="I865" s="19" t="str">
        <f aca="false">IF(OR(F865="",G865=""),"",IF(F865-G865&lt;0,"CONTRATO ANTERIOR À ABERTURA — conferir datas",IF(F865-G865&lt;180,"ABERTA MENOS DE 6 MESES ANTES","")))</f>
        <v/>
      </c>
      <c r="J865" s="19" t="str">
        <f aca="false">IF(A865="","",IFERROR(INDEX(Sancoes!$B:$B,MATCH(A865,Sancoes!$A:$A,0))&amp;"","não consta"))</f>
        <v/>
      </c>
      <c r="K865" s="19" t="str">
        <f aca="false">IF(OR(A865="",F865=""),"",IF(SUMPRODUCT((Sancoes!$A$2:$A$301=A865)*(Sancoes!$B$2:$B$301&lt;&gt;"Não consta")*(Sancoes!$D$2:$D$301&lt;&gt;"")*(Sancoes!$D$2:$D$301&lt;=F865)*(((Sancoes!$E$2:$E$301="")+(Sancoes!$E$2:$E$301&gt;=F865))&gt;0))&gt;0,"SANÇÃO VIGENTE NA DATA — leia o tipo e a abrangência",""))</f>
        <v/>
      </c>
      <c r="L865" s="19" t="str">
        <f aca="false">IF(A865="","",IFERROR(INDEX(Empresas!$B:$B,MATCH(A865,Empresas!$A:$A,0))&amp;"","cadastre o CNPJ em Empresas"))</f>
        <v/>
      </c>
      <c r="M865" s="27"/>
      <c r="N865" s="35"/>
      <c r="O865" s="37" t="str">
        <f aca="false">IF(OR(D865="",D865=0,N865=""),"",N865/D865)</f>
        <v/>
      </c>
      <c r="P865" s="19" t="str">
        <f aca="false">IF(O865="","",IF(O865&gt;0.25,"ACRÉSCIMO ACIMA DE 25% — conferir",""))</f>
        <v/>
      </c>
      <c r="Q865" s="27"/>
      <c r="R865" s="5"/>
    </row>
    <row r="866" customFormat="false" ht="15" hidden="false" customHeight="false" outlineLevel="0" collapsed="false">
      <c r="A866" s="27"/>
      <c r="B866" s="5"/>
      <c r="C866" s="5"/>
      <c r="D866" s="35"/>
      <c r="E866" s="14"/>
      <c r="F866" s="18"/>
      <c r="G866" s="31" t="str">
        <f aca="false">IF(A866="","",IFERROR(IF(INDEX(Empresas!$C:$C,MATCH(A866,Empresas!$A:$A,0))="","",INDEX(Empresas!$C:$C,MATCH(A866,Empresas!$A:$A,0))),""))</f>
        <v/>
      </c>
      <c r="H866" s="18"/>
      <c r="I866" s="19" t="str">
        <f aca="false">IF(OR(F866="",G866=""),"",IF(F866-G866&lt;0,"CONTRATO ANTERIOR À ABERTURA — conferir datas",IF(F866-G866&lt;180,"ABERTA MENOS DE 6 MESES ANTES","")))</f>
        <v/>
      </c>
      <c r="J866" s="19" t="str">
        <f aca="false">IF(A866="","",IFERROR(INDEX(Sancoes!$B:$B,MATCH(A866,Sancoes!$A:$A,0))&amp;"","não consta"))</f>
        <v/>
      </c>
      <c r="K866" s="19" t="str">
        <f aca="false">IF(OR(A866="",F866=""),"",IF(SUMPRODUCT((Sancoes!$A$2:$A$301=A866)*(Sancoes!$B$2:$B$301&lt;&gt;"Não consta")*(Sancoes!$D$2:$D$301&lt;&gt;"")*(Sancoes!$D$2:$D$301&lt;=F866)*(((Sancoes!$E$2:$E$301="")+(Sancoes!$E$2:$E$301&gt;=F866))&gt;0))&gt;0,"SANÇÃO VIGENTE NA DATA — leia o tipo e a abrangência",""))</f>
        <v/>
      </c>
      <c r="L866" s="19" t="str">
        <f aca="false">IF(A866="","",IFERROR(INDEX(Empresas!$B:$B,MATCH(A866,Empresas!$A:$A,0))&amp;"","cadastre o CNPJ em Empresas"))</f>
        <v/>
      </c>
      <c r="M866" s="27"/>
      <c r="N866" s="35"/>
      <c r="O866" s="37" t="str">
        <f aca="false">IF(OR(D866="",D866=0,N866=""),"",N866/D866)</f>
        <v/>
      </c>
      <c r="P866" s="19" t="str">
        <f aca="false">IF(O866="","",IF(O866&gt;0.25,"ACRÉSCIMO ACIMA DE 25% — conferir",""))</f>
        <v/>
      </c>
      <c r="Q866" s="27"/>
      <c r="R866" s="5"/>
    </row>
    <row r="867" customFormat="false" ht="15" hidden="false" customHeight="false" outlineLevel="0" collapsed="false">
      <c r="A867" s="27"/>
      <c r="B867" s="5"/>
      <c r="C867" s="5"/>
      <c r="D867" s="35"/>
      <c r="E867" s="14"/>
      <c r="F867" s="18"/>
      <c r="G867" s="31" t="str">
        <f aca="false">IF(A867="","",IFERROR(IF(INDEX(Empresas!$C:$C,MATCH(A867,Empresas!$A:$A,0))="","",INDEX(Empresas!$C:$C,MATCH(A867,Empresas!$A:$A,0))),""))</f>
        <v/>
      </c>
      <c r="H867" s="18"/>
      <c r="I867" s="19" t="str">
        <f aca="false">IF(OR(F867="",G867=""),"",IF(F867-G867&lt;0,"CONTRATO ANTERIOR À ABERTURA — conferir datas",IF(F867-G867&lt;180,"ABERTA MENOS DE 6 MESES ANTES","")))</f>
        <v/>
      </c>
      <c r="J867" s="19" t="str">
        <f aca="false">IF(A867="","",IFERROR(INDEX(Sancoes!$B:$B,MATCH(A867,Sancoes!$A:$A,0))&amp;"","não consta"))</f>
        <v/>
      </c>
      <c r="K867" s="19" t="str">
        <f aca="false">IF(OR(A867="",F867=""),"",IF(SUMPRODUCT((Sancoes!$A$2:$A$301=A867)*(Sancoes!$B$2:$B$301&lt;&gt;"Não consta")*(Sancoes!$D$2:$D$301&lt;&gt;"")*(Sancoes!$D$2:$D$301&lt;=F867)*(((Sancoes!$E$2:$E$301="")+(Sancoes!$E$2:$E$301&gt;=F867))&gt;0))&gt;0,"SANÇÃO VIGENTE NA DATA — leia o tipo e a abrangência",""))</f>
        <v/>
      </c>
      <c r="L867" s="19" t="str">
        <f aca="false">IF(A867="","",IFERROR(INDEX(Empresas!$B:$B,MATCH(A867,Empresas!$A:$A,0))&amp;"","cadastre o CNPJ em Empresas"))</f>
        <v/>
      </c>
      <c r="M867" s="27"/>
      <c r="N867" s="35"/>
      <c r="O867" s="37" t="str">
        <f aca="false">IF(OR(D867="",D867=0,N867=""),"",N867/D867)</f>
        <v/>
      </c>
      <c r="P867" s="19" t="str">
        <f aca="false">IF(O867="","",IF(O867&gt;0.25,"ACRÉSCIMO ACIMA DE 25% — conferir",""))</f>
        <v/>
      </c>
      <c r="Q867" s="27"/>
      <c r="R867" s="5"/>
    </row>
    <row r="868" customFormat="false" ht="15" hidden="false" customHeight="false" outlineLevel="0" collapsed="false">
      <c r="A868" s="27"/>
      <c r="B868" s="5"/>
      <c r="C868" s="5"/>
      <c r="D868" s="35"/>
      <c r="E868" s="14"/>
      <c r="F868" s="18"/>
      <c r="G868" s="31" t="str">
        <f aca="false">IF(A868="","",IFERROR(IF(INDEX(Empresas!$C:$C,MATCH(A868,Empresas!$A:$A,0))="","",INDEX(Empresas!$C:$C,MATCH(A868,Empresas!$A:$A,0))),""))</f>
        <v/>
      </c>
      <c r="H868" s="18"/>
      <c r="I868" s="19" t="str">
        <f aca="false">IF(OR(F868="",G868=""),"",IF(F868-G868&lt;0,"CONTRATO ANTERIOR À ABERTURA — conferir datas",IF(F868-G868&lt;180,"ABERTA MENOS DE 6 MESES ANTES","")))</f>
        <v/>
      </c>
      <c r="J868" s="19" t="str">
        <f aca="false">IF(A868="","",IFERROR(INDEX(Sancoes!$B:$B,MATCH(A868,Sancoes!$A:$A,0))&amp;"","não consta"))</f>
        <v/>
      </c>
      <c r="K868" s="19" t="str">
        <f aca="false">IF(OR(A868="",F868=""),"",IF(SUMPRODUCT((Sancoes!$A$2:$A$301=A868)*(Sancoes!$B$2:$B$301&lt;&gt;"Não consta")*(Sancoes!$D$2:$D$301&lt;&gt;"")*(Sancoes!$D$2:$D$301&lt;=F868)*(((Sancoes!$E$2:$E$301="")+(Sancoes!$E$2:$E$301&gt;=F868))&gt;0))&gt;0,"SANÇÃO VIGENTE NA DATA — leia o tipo e a abrangência",""))</f>
        <v/>
      </c>
      <c r="L868" s="19" t="str">
        <f aca="false">IF(A868="","",IFERROR(INDEX(Empresas!$B:$B,MATCH(A868,Empresas!$A:$A,0))&amp;"","cadastre o CNPJ em Empresas"))</f>
        <v/>
      </c>
      <c r="M868" s="27"/>
      <c r="N868" s="35"/>
      <c r="O868" s="37" t="str">
        <f aca="false">IF(OR(D868="",D868=0,N868=""),"",N868/D868)</f>
        <v/>
      </c>
      <c r="P868" s="19" t="str">
        <f aca="false">IF(O868="","",IF(O868&gt;0.25,"ACRÉSCIMO ACIMA DE 25% — conferir",""))</f>
        <v/>
      </c>
      <c r="Q868" s="27"/>
      <c r="R868" s="5"/>
    </row>
    <row r="869" customFormat="false" ht="15" hidden="false" customHeight="false" outlineLevel="0" collapsed="false">
      <c r="A869" s="27"/>
      <c r="B869" s="5"/>
      <c r="C869" s="5"/>
      <c r="D869" s="35"/>
      <c r="E869" s="14"/>
      <c r="F869" s="18"/>
      <c r="G869" s="31" t="str">
        <f aca="false">IF(A869="","",IFERROR(IF(INDEX(Empresas!$C:$C,MATCH(A869,Empresas!$A:$A,0))="","",INDEX(Empresas!$C:$C,MATCH(A869,Empresas!$A:$A,0))),""))</f>
        <v/>
      </c>
      <c r="H869" s="18"/>
      <c r="I869" s="19" t="str">
        <f aca="false">IF(OR(F869="",G869=""),"",IF(F869-G869&lt;0,"CONTRATO ANTERIOR À ABERTURA — conferir datas",IF(F869-G869&lt;180,"ABERTA MENOS DE 6 MESES ANTES","")))</f>
        <v/>
      </c>
      <c r="J869" s="19" t="str">
        <f aca="false">IF(A869="","",IFERROR(INDEX(Sancoes!$B:$B,MATCH(A869,Sancoes!$A:$A,0))&amp;"","não consta"))</f>
        <v/>
      </c>
      <c r="K869" s="19" t="str">
        <f aca="false">IF(OR(A869="",F869=""),"",IF(SUMPRODUCT((Sancoes!$A$2:$A$301=A869)*(Sancoes!$B$2:$B$301&lt;&gt;"Não consta")*(Sancoes!$D$2:$D$301&lt;&gt;"")*(Sancoes!$D$2:$D$301&lt;=F869)*(((Sancoes!$E$2:$E$301="")+(Sancoes!$E$2:$E$301&gt;=F869))&gt;0))&gt;0,"SANÇÃO VIGENTE NA DATA — leia o tipo e a abrangência",""))</f>
        <v/>
      </c>
      <c r="L869" s="19" t="str">
        <f aca="false">IF(A869="","",IFERROR(INDEX(Empresas!$B:$B,MATCH(A869,Empresas!$A:$A,0))&amp;"","cadastre o CNPJ em Empresas"))</f>
        <v/>
      </c>
      <c r="M869" s="27"/>
      <c r="N869" s="35"/>
      <c r="O869" s="37" t="str">
        <f aca="false">IF(OR(D869="",D869=0,N869=""),"",N869/D869)</f>
        <v/>
      </c>
      <c r="P869" s="19" t="str">
        <f aca="false">IF(O869="","",IF(O869&gt;0.25,"ACRÉSCIMO ACIMA DE 25% — conferir",""))</f>
        <v/>
      </c>
      <c r="Q869" s="27"/>
      <c r="R869" s="5"/>
    </row>
    <row r="870" customFormat="false" ht="15" hidden="false" customHeight="false" outlineLevel="0" collapsed="false">
      <c r="A870" s="27"/>
      <c r="B870" s="5"/>
      <c r="C870" s="5"/>
      <c r="D870" s="35"/>
      <c r="E870" s="14"/>
      <c r="F870" s="18"/>
      <c r="G870" s="31" t="str">
        <f aca="false">IF(A870="","",IFERROR(IF(INDEX(Empresas!$C:$C,MATCH(A870,Empresas!$A:$A,0))="","",INDEX(Empresas!$C:$C,MATCH(A870,Empresas!$A:$A,0))),""))</f>
        <v/>
      </c>
      <c r="H870" s="18"/>
      <c r="I870" s="19" t="str">
        <f aca="false">IF(OR(F870="",G870=""),"",IF(F870-G870&lt;0,"CONTRATO ANTERIOR À ABERTURA — conferir datas",IF(F870-G870&lt;180,"ABERTA MENOS DE 6 MESES ANTES","")))</f>
        <v/>
      </c>
      <c r="J870" s="19" t="str">
        <f aca="false">IF(A870="","",IFERROR(INDEX(Sancoes!$B:$B,MATCH(A870,Sancoes!$A:$A,0))&amp;"","não consta"))</f>
        <v/>
      </c>
      <c r="K870" s="19" t="str">
        <f aca="false">IF(OR(A870="",F870=""),"",IF(SUMPRODUCT((Sancoes!$A$2:$A$301=A870)*(Sancoes!$B$2:$B$301&lt;&gt;"Não consta")*(Sancoes!$D$2:$D$301&lt;&gt;"")*(Sancoes!$D$2:$D$301&lt;=F870)*(((Sancoes!$E$2:$E$301="")+(Sancoes!$E$2:$E$301&gt;=F870))&gt;0))&gt;0,"SANÇÃO VIGENTE NA DATA — leia o tipo e a abrangência",""))</f>
        <v/>
      </c>
      <c r="L870" s="19" t="str">
        <f aca="false">IF(A870="","",IFERROR(INDEX(Empresas!$B:$B,MATCH(A870,Empresas!$A:$A,0))&amp;"","cadastre o CNPJ em Empresas"))</f>
        <v/>
      </c>
      <c r="M870" s="27"/>
      <c r="N870" s="35"/>
      <c r="O870" s="37" t="str">
        <f aca="false">IF(OR(D870="",D870=0,N870=""),"",N870/D870)</f>
        <v/>
      </c>
      <c r="P870" s="19" t="str">
        <f aca="false">IF(O870="","",IF(O870&gt;0.25,"ACRÉSCIMO ACIMA DE 25% — conferir",""))</f>
        <v/>
      </c>
      <c r="Q870" s="27"/>
      <c r="R870" s="5"/>
    </row>
    <row r="871" customFormat="false" ht="15" hidden="false" customHeight="false" outlineLevel="0" collapsed="false">
      <c r="A871" s="27"/>
      <c r="B871" s="5"/>
      <c r="C871" s="5"/>
      <c r="D871" s="35"/>
      <c r="E871" s="14"/>
      <c r="F871" s="18"/>
      <c r="G871" s="31" t="str">
        <f aca="false">IF(A871="","",IFERROR(IF(INDEX(Empresas!$C:$C,MATCH(A871,Empresas!$A:$A,0))="","",INDEX(Empresas!$C:$C,MATCH(A871,Empresas!$A:$A,0))),""))</f>
        <v/>
      </c>
      <c r="H871" s="18"/>
      <c r="I871" s="19" t="str">
        <f aca="false">IF(OR(F871="",G871=""),"",IF(F871-G871&lt;0,"CONTRATO ANTERIOR À ABERTURA — conferir datas",IF(F871-G871&lt;180,"ABERTA MENOS DE 6 MESES ANTES","")))</f>
        <v/>
      </c>
      <c r="J871" s="19" t="str">
        <f aca="false">IF(A871="","",IFERROR(INDEX(Sancoes!$B:$B,MATCH(A871,Sancoes!$A:$A,0))&amp;"","não consta"))</f>
        <v/>
      </c>
      <c r="K871" s="19" t="str">
        <f aca="false">IF(OR(A871="",F871=""),"",IF(SUMPRODUCT((Sancoes!$A$2:$A$301=A871)*(Sancoes!$B$2:$B$301&lt;&gt;"Não consta")*(Sancoes!$D$2:$D$301&lt;&gt;"")*(Sancoes!$D$2:$D$301&lt;=F871)*(((Sancoes!$E$2:$E$301="")+(Sancoes!$E$2:$E$301&gt;=F871))&gt;0))&gt;0,"SANÇÃO VIGENTE NA DATA — leia o tipo e a abrangência",""))</f>
        <v/>
      </c>
      <c r="L871" s="19" t="str">
        <f aca="false">IF(A871="","",IFERROR(INDEX(Empresas!$B:$B,MATCH(A871,Empresas!$A:$A,0))&amp;"","cadastre o CNPJ em Empresas"))</f>
        <v/>
      </c>
      <c r="M871" s="27"/>
      <c r="N871" s="35"/>
      <c r="O871" s="37" t="str">
        <f aca="false">IF(OR(D871="",D871=0,N871=""),"",N871/D871)</f>
        <v/>
      </c>
      <c r="P871" s="19" t="str">
        <f aca="false">IF(O871="","",IF(O871&gt;0.25,"ACRÉSCIMO ACIMA DE 25% — conferir",""))</f>
        <v/>
      </c>
      <c r="Q871" s="27"/>
      <c r="R871" s="5"/>
    </row>
    <row r="872" customFormat="false" ht="15" hidden="false" customHeight="false" outlineLevel="0" collapsed="false">
      <c r="A872" s="27"/>
      <c r="B872" s="5"/>
      <c r="C872" s="5"/>
      <c r="D872" s="35"/>
      <c r="E872" s="14"/>
      <c r="F872" s="18"/>
      <c r="G872" s="31" t="str">
        <f aca="false">IF(A872="","",IFERROR(IF(INDEX(Empresas!$C:$C,MATCH(A872,Empresas!$A:$A,0))="","",INDEX(Empresas!$C:$C,MATCH(A872,Empresas!$A:$A,0))),""))</f>
        <v/>
      </c>
      <c r="H872" s="18"/>
      <c r="I872" s="19" t="str">
        <f aca="false">IF(OR(F872="",G872=""),"",IF(F872-G872&lt;0,"CONTRATO ANTERIOR À ABERTURA — conferir datas",IF(F872-G872&lt;180,"ABERTA MENOS DE 6 MESES ANTES","")))</f>
        <v/>
      </c>
      <c r="J872" s="19" t="str">
        <f aca="false">IF(A872="","",IFERROR(INDEX(Sancoes!$B:$B,MATCH(A872,Sancoes!$A:$A,0))&amp;"","não consta"))</f>
        <v/>
      </c>
      <c r="K872" s="19" t="str">
        <f aca="false">IF(OR(A872="",F872=""),"",IF(SUMPRODUCT((Sancoes!$A$2:$A$301=A872)*(Sancoes!$B$2:$B$301&lt;&gt;"Não consta")*(Sancoes!$D$2:$D$301&lt;&gt;"")*(Sancoes!$D$2:$D$301&lt;=F872)*(((Sancoes!$E$2:$E$301="")+(Sancoes!$E$2:$E$301&gt;=F872))&gt;0))&gt;0,"SANÇÃO VIGENTE NA DATA — leia o tipo e a abrangência",""))</f>
        <v/>
      </c>
      <c r="L872" s="19" t="str">
        <f aca="false">IF(A872="","",IFERROR(INDEX(Empresas!$B:$B,MATCH(A872,Empresas!$A:$A,0))&amp;"","cadastre o CNPJ em Empresas"))</f>
        <v/>
      </c>
      <c r="M872" s="27"/>
      <c r="N872" s="35"/>
      <c r="O872" s="37" t="str">
        <f aca="false">IF(OR(D872="",D872=0,N872=""),"",N872/D872)</f>
        <v/>
      </c>
      <c r="P872" s="19" t="str">
        <f aca="false">IF(O872="","",IF(O872&gt;0.25,"ACRÉSCIMO ACIMA DE 25% — conferir",""))</f>
        <v/>
      </c>
      <c r="Q872" s="27"/>
      <c r="R872" s="5"/>
    </row>
    <row r="873" customFormat="false" ht="15" hidden="false" customHeight="false" outlineLevel="0" collapsed="false">
      <c r="A873" s="27"/>
      <c r="B873" s="5"/>
      <c r="C873" s="5"/>
      <c r="D873" s="35"/>
      <c r="E873" s="14"/>
      <c r="F873" s="18"/>
      <c r="G873" s="31" t="str">
        <f aca="false">IF(A873="","",IFERROR(IF(INDEX(Empresas!$C:$C,MATCH(A873,Empresas!$A:$A,0))="","",INDEX(Empresas!$C:$C,MATCH(A873,Empresas!$A:$A,0))),""))</f>
        <v/>
      </c>
      <c r="H873" s="18"/>
      <c r="I873" s="19" t="str">
        <f aca="false">IF(OR(F873="",G873=""),"",IF(F873-G873&lt;0,"CONTRATO ANTERIOR À ABERTURA — conferir datas",IF(F873-G873&lt;180,"ABERTA MENOS DE 6 MESES ANTES","")))</f>
        <v/>
      </c>
      <c r="J873" s="19" t="str">
        <f aca="false">IF(A873="","",IFERROR(INDEX(Sancoes!$B:$B,MATCH(A873,Sancoes!$A:$A,0))&amp;"","não consta"))</f>
        <v/>
      </c>
      <c r="K873" s="19" t="str">
        <f aca="false">IF(OR(A873="",F873=""),"",IF(SUMPRODUCT((Sancoes!$A$2:$A$301=A873)*(Sancoes!$B$2:$B$301&lt;&gt;"Não consta")*(Sancoes!$D$2:$D$301&lt;&gt;"")*(Sancoes!$D$2:$D$301&lt;=F873)*(((Sancoes!$E$2:$E$301="")+(Sancoes!$E$2:$E$301&gt;=F873))&gt;0))&gt;0,"SANÇÃO VIGENTE NA DATA — leia o tipo e a abrangência",""))</f>
        <v/>
      </c>
      <c r="L873" s="19" t="str">
        <f aca="false">IF(A873="","",IFERROR(INDEX(Empresas!$B:$B,MATCH(A873,Empresas!$A:$A,0))&amp;"","cadastre o CNPJ em Empresas"))</f>
        <v/>
      </c>
      <c r="M873" s="27"/>
      <c r="N873" s="35"/>
      <c r="O873" s="37" t="str">
        <f aca="false">IF(OR(D873="",D873=0,N873=""),"",N873/D873)</f>
        <v/>
      </c>
      <c r="P873" s="19" t="str">
        <f aca="false">IF(O873="","",IF(O873&gt;0.25,"ACRÉSCIMO ACIMA DE 25% — conferir",""))</f>
        <v/>
      </c>
      <c r="Q873" s="27"/>
      <c r="R873" s="5"/>
    </row>
    <row r="874" customFormat="false" ht="15" hidden="false" customHeight="false" outlineLevel="0" collapsed="false">
      <c r="A874" s="27"/>
      <c r="B874" s="5"/>
      <c r="C874" s="5"/>
      <c r="D874" s="35"/>
      <c r="E874" s="14"/>
      <c r="F874" s="18"/>
      <c r="G874" s="31" t="str">
        <f aca="false">IF(A874="","",IFERROR(IF(INDEX(Empresas!$C:$C,MATCH(A874,Empresas!$A:$A,0))="","",INDEX(Empresas!$C:$C,MATCH(A874,Empresas!$A:$A,0))),""))</f>
        <v/>
      </c>
      <c r="H874" s="18"/>
      <c r="I874" s="19" t="str">
        <f aca="false">IF(OR(F874="",G874=""),"",IF(F874-G874&lt;0,"CONTRATO ANTERIOR À ABERTURA — conferir datas",IF(F874-G874&lt;180,"ABERTA MENOS DE 6 MESES ANTES","")))</f>
        <v/>
      </c>
      <c r="J874" s="19" t="str">
        <f aca="false">IF(A874="","",IFERROR(INDEX(Sancoes!$B:$B,MATCH(A874,Sancoes!$A:$A,0))&amp;"","não consta"))</f>
        <v/>
      </c>
      <c r="K874" s="19" t="str">
        <f aca="false">IF(OR(A874="",F874=""),"",IF(SUMPRODUCT((Sancoes!$A$2:$A$301=A874)*(Sancoes!$B$2:$B$301&lt;&gt;"Não consta")*(Sancoes!$D$2:$D$301&lt;&gt;"")*(Sancoes!$D$2:$D$301&lt;=F874)*(((Sancoes!$E$2:$E$301="")+(Sancoes!$E$2:$E$301&gt;=F874))&gt;0))&gt;0,"SANÇÃO VIGENTE NA DATA — leia o tipo e a abrangência",""))</f>
        <v/>
      </c>
      <c r="L874" s="19" t="str">
        <f aca="false">IF(A874="","",IFERROR(INDEX(Empresas!$B:$B,MATCH(A874,Empresas!$A:$A,0))&amp;"","cadastre o CNPJ em Empresas"))</f>
        <v/>
      </c>
      <c r="M874" s="27"/>
      <c r="N874" s="35"/>
      <c r="O874" s="37" t="str">
        <f aca="false">IF(OR(D874="",D874=0,N874=""),"",N874/D874)</f>
        <v/>
      </c>
      <c r="P874" s="19" t="str">
        <f aca="false">IF(O874="","",IF(O874&gt;0.25,"ACRÉSCIMO ACIMA DE 25% — conferir",""))</f>
        <v/>
      </c>
      <c r="Q874" s="27"/>
      <c r="R874" s="5"/>
    </row>
    <row r="875" customFormat="false" ht="15" hidden="false" customHeight="false" outlineLevel="0" collapsed="false">
      <c r="A875" s="27"/>
      <c r="B875" s="5"/>
      <c r="C875" s="5"/>
      <c r="D875" s="35"/>
      <c r="E875" s="14"/>
      <c r="F875" s="18"/>
      <c r="G875" s="31" t="str">
        <f aca="false">IF(A875="","",IFERROR(IF(INDEX(Empresas!$C:$C,MATCH(A875,Empresas!$A:$A,0))="","",INDEX(Empresas!$C:$C,MATCH(A875,Empresas!$A:$A,0))),""))</f>
        <v/>
      </c>
      <c r="H875" s="18"/>
      <c r="I875" s="19" t="str">
        <f aca="false">IF(OR(F875="",G875=""),"",IF(F875-G875&lt;0,"CONTRATO ANTERIOR À ABERTURA — conferir datas",IF(F875-G875&lt;180,"ABERTA MENOS DE 6 MESES ANTES","")))</f>
        <v/>
      </c>
      <c r="J875" s="19" t="str">
        <f aca="false">IF(A875="","",IFERROR(INDEX(Sancoes!$B:$B,MATCH(A875,Sancoes!$A:$A,0))&amp;"","não consta"))</f>
        <v/>
      </c>
      <c r="K875" s="19" t="str">
        <f aca="false">IF(OR(A875="",F875=""),"",IF(SUMPRODUCT((Sancoes!$A$2:$A$301=A875)*(Sancoes!$B$2:$B$301&lt;&gt;"Não consta")*(Sancoes!$D$2:$D$301&lt;&gt;"")*(Sancoes!$D$2:$D$301&lt;=F875)*(((Sancoes!$E$2:$E$301="")+(Sancoes!$E$2:$E$301&gt;=F875))&gt;0))&gt;0,"SANÇÃO VIGENTE NA DATA — leia o tipo e a abrangência",""))</f>
        <v/>
      </c>
      <c r="L875" s="19" t="str">
        <f aca="false">IF(A875="","",IFERROR(INDEX(Empresas!$B:$B,MATCH(A875,Empresas!$A:$A,0))&amp;"","cadastre o CNPJ em Empresas"))</f>
        <v/>
      </c>
      <c r="M875" s="27"/>
      <c r="N875" s="35"/>
      <c r="O875" s="37" t="str">
        <f aca="false">IF(OR(D875="",D875=0,N875=""),"",N875/D875)</f>
        <v/>
      </c>
      <c r="P875" s="19" t="str">
        <f aca="false">IF(O875="","",IF(O875&gt;0.25,"ACRÉSCIMO ACIMA DE 25% — conferir",""))</f>
        <v/>
      </c>
      <c r="Q875" s="27"/>
      <c r="R875" s="5"/>
    </row>
    <row r="876" customFormat="false" ht="15" hidden="false" customHeight="false" outlineLevel="0" collapsed="false">
      <c r="A876" s="27"/>
      <c r="B876" s="5"/>
      <c r="C876" s="5"/>
      <c r="D876" s="35"/>
      <c r="E876" s="14"/>
      <c r="F876" s="18"/>
      <c r="G876" s="31" t="str">
        <f aca="false">IF(A876="","",IFERROR(IF(INDEX(Empresas!$C:$C,MATCH(A876,Empresas!$A:$A,0))="","",INDEX(Empresas!$C:$C,MATCH(A876,Empresas!$A:$A,0))),""))</f>
        <v/>
      </c>
      <c r="H876" s="18"/>
      <c r="I876" s="19" t="str">
        <f aca="false">IF(OR(F876="",G876=""),"",IF(F876-G876&lt;0,"CONTRATO ANTERIOR À ABERTURA — conferir datas",IF(F876-G876&lt;180,"ABERTA MENOS DE 6 MESES ANTES","")))</f>
        <v/>
      </c>
      <c r="J876" s="19" t="str">
        <f aca="false">IF(A876="","",IFERROR(INDEX(Sancoes!$B:$B,MATCH(A876,Sancoes!$A:$A,0))&amp;"","não consta"))</f>
        <v/>
      </c>
      <c r="K876" s="19" t="str">
        <f aca="false">IF(OR(A876="",F876=""),"",IF(SUMPRODUCT((Sancoes!$A$2:$A$301=A876)*(Sancoes!$B$2:$B$301&lt;&gt;"Não consta")*(Sancoes!$D$2:$D$301&lt;&gt;"")*(Sancoes!$D$2:$D$301&lt;=F876)*(((Sancoes!$E$2:$E$301="")+(Sancoes!$E$2:$E$301&gt;=F876))&gt;0))&gt;0,"SANÇÃO VIGENTE NA DATA — leia o tipo e a abrangência",""))</f>
        <v/>
      </c>
      <c r="L876" s="19" t="str">
        <f aca="false">IF(A876="","",IFERROR(INDEX(Empresas!$B:$B,MATCH(A876,Empresas!$A:$A,0))&amp;"","cadastre o CNPJ em Empresas"))</f>
        <v/>
      </c>
      <c r="M876" s="27"/>
      <c r="N876" s="35"/>
      <c r="O876" s="37" t="str">
        <f aca="false">IF(OR(D876="",D876=0,N876=""),"",N876/D876)</f>
        <v/>
      </c>
      <c r="P876" s="19" t="str">
        <f aca="false">IF(O876="","",IF(O876&gt;0.25,"ACRÉSCIMO ACIMA DE 25% — conferir",""))</f>
        <v/>
      </c>
      <c r="Q876" s="27"/>
      <c r="R876" s="5"/>
    </row>
    <row r="877" customFormat="false" ht="15" hidden="false" customHeight="false" outlineLevel="0" collapsed="false">
      <c r="A877" s="27"/>
      <c r="B877" s="5"/>
      <c r="C877" s="5"/>
      <c r="D877" s="35"/>
      <c r="E877" s="14"/>
      <c r="F877" s="18"/>
      <c r="G877" s="31" t="str">
        <f aca="false">IF(A877="","",IFERROR(IF(INDEX(Empresas!$C:$C,MATCH(A877,Empresas!$A:$A,0))="","",INDEX(Empresas!$C:$C,MATCH(A877,Empresas!$A:$A,0))),""))</f>
        <v/>
      </c>
      <c r="H877" s="18"/>
      <c r="I877" s="19" t="str">
        <f aca="false">IF(OR(F877="",G877=""),"",IF(F877-G877&lt;0,"CONTRATO ANTERIOR À ABERTURA — conferir datas",IF(F877-G877&lt;180,"ABERTA MENOS DE 6 MESES ANTES","")))</f>
        <v/>
      </c>
      <c r="J877" s="19" t="str">
        <f aca="false">IF(A877="","",IFERROR(INDEX(Sancoes!$B:$B,MATCH(A877,Sancoes!$A:$A,0))&amp;"","não consta"))</f>
        <v/>
      </c>
      <c r="K877" s="19" t="str">
        <f aca="false">IF(OR(A877="",F877=""),"",IF(SUMPRODUCT((Sancoes!$A$2:$A$301=A877)*(Sancoes!$B$2:$B$301&lt;&gt;"Não consta")*(Sancoes!$D$2:$D$301&lt;&gt;"")*(Sancoes!$D$2:$D$301&lt;=F877)*(((Sancoes!$E$2:$E$301="")+(Sancoes!$E$2:$E$301&gt;=F877))&gt;0))&gt;0,"SANÇÃO VIGENTE NA DATA — leia o tipo e a abrangência",""))</f>
        <v/>
      </c>
      <c r="L877" s="19" t="str">
        <f aca="false">IF(A877="","",IFERROR(INDEX(Empresas!$B:$B,MATCH(A877,Empresas!$A:$A,0))&amp;"","cadastre o CNPJ em Empresas"))</f>
        <v/>
      </c>
      <c r="M877" s="27"/>
      <c r="N877" s="35"/>
      <c r="O877" s="37" t="str">
        <f aca="false">IF(OR(D877="",D877=0,N877=""),"",N877/D877)</f>
        <v/>
      </c>
      <c r="P877" s="19" t="str">
        <f aca="false">IF(O877="","",IF(O877&gt;0.25,"ACRÉSCIMO ACIMA DE 25% — conferir",""))</f>
        <v/>
      </c>
      <c r="Q877" s="27"/>
      <c r="R877" s="5"/>
    </row>
    <row r="878" customFormat="false" ht="15" hidden="false" customHeight="false" outlineLevel="0" collapsed="false">
      <c r="A878" s="27"/>
      <c r="B878" s="5"/>
      <c r="C878" s="5"/>
      <c r="D878" s="35"/>
      <c r="E878" s="14"/>
      <c r="F878" s="18"/>
      <c r="G878" s="31" t="str">
        <f aca="false">IF(A878="","",IFERROR(IF(INDEX(Empresas!$C:$C,MATCH(A878,Empresas!$A:$A,0))="","",INDEX(Empresas!$C:$C,MATCH(A878,Empresas!$A:$A,0))),""))</f>
        <v/>
      </c>
      <c r="H878" s="18"/>
      <c r="I878" s="19" t="str">
        <f aca="false">IF(OR(F878="",G878=""),"",IF(F878-G878&lt;0,"CONTRATO ANTERIOR À ABERTURA — conferir datas",IF(F878-G878&lt;180,"ABERTA MENOS DE 6 MESES ANTES","")))</f>
        <v/>
      </c>
      <c r="J878" s="19" t="str">
        <f aca="false">IF(A878="","",IFERROR(INDEX(Sancoes!$B:$B,MATCH(A878,Sancoes!$A:$A,0))&amp;"","não consta"))</f>
        <v/>
      </c>
      <c r="K878" s="19" t="str">
        <f aca="false">IF(OR(A878="",F878=""),"",IF(SUMPRODUCT((Sancoes!$A$2:$A$301=A878)*(Sancoes!$B$2:$B$301&lt;&gt;"Não consta")*(Sancoes!$D$2:$D$301&lt;&gt;"")*(Sancoes!$D$2:$D$301&lt;=F878)*(((Sancoes!$E$2:$E$301="")+(Sancoes!$E$2:$E$301&gt;=F878))&gt;0))&gt;0,"SANÇÃO VIGENTE NA DATA — leia o tipo e a abrangência",""))</f>
        <v/>
      </c>
      <c r="L878" s="19" t="str">
        <f aca="false">IF(A878="","",IFERROR(INDEX(Empresas!$B:$B,MATCH(A878,Empresas!$A:$A,0))&amp;"","cadastre o CNPJ em Empresas"))</f>
        <v/>
      </c>
      <c r="M878" s="27"/>
      <c r="N878" s="35"/>
      <c r="O878" s="37" t="str">
        <f aca="false">IF(OR(D878="",D878=0,N878=""),"",N878/D878)</f>
        <v/>
      </c>
      <c r="P878" s="19" t="str">
        <f aca="false">IF(O878="","",IF(O878&gt;0.25,"ACRÉSCIMO ACIMA DE 25% — conferir",""))</f>
        <v/>
      </c>
      <c r="Q878" s="27"/>
      <c r="R878" s="5"/>
    </row>
    <row r="879" customFormat="false" ht="15" hidden="false" customHeight="false" outlineLevel="0" collapsed="false">
      <c r="A879" s="27"/>
      <c r="B879" s="5"/>
      <c r="C879" s="5"/>
      <c r="D879" s="35"/>
      <c r="E879" s="14"/>
      <c r="F879" s="18"/>
      <c r="G879" s="31" t="str">
        <f aca="false">IF(A879="","",IFERROR(IF(INDEX(Empresas!$C:$C,MATCH(A879,Empresas!$A:$A,0))="","",INDEX(Empresas!$C:$C,MATCH(A879,Empresas!$A:$A,0))),""))</f>
        <v/>
      </c>
      <c r="H879" s="18"/>
      <c r="I879" s="19" t="str">
        <f aca="false">IF(OR(F879="",G879=""),"",IF(F879-G879&lt;0,"CONTRATO ANTERIOR À ABERTURA — conferir datas",IF(F879-G879&lt;180,"ABERTA MENOS DE 6 MESES ANTES","")))</f>
        <v/>
      </c>
      <c r="J879" s="19" t="str">
        <f aca="false">IF(A879="","",IFERROR(INDEX(Sancoes!$B:$B,MATCH(A879,Sancoes!$A:$A,0))&amp;"","não consta"))</f>
        <v/>
      </c>
      <c r="K879" s="19" t="str">
        <f aca="false">IF(OR(A879="",F879=""),"",IF(SUMPRODUCT((Sancoes!$A$2:$A$301=A879)*(Sancoes!$B$2:$B$301&lt;&gt;"Não consta")*(Sancoes!$D$2:$D$301&lt;&gt;"")*(Sancoes!$D$2:$D$301&lt;=F879)*(((Sancoes!$E$2:$E$301="")+(Sancoes!$E$2:$E$301&gt;=F879))&gt;0))&gt;0,"SANÇÃO VIGENTE NA DATA — leia o tipo e a abrangência",""))</f>
        <v/>
      </c>
      <c r="L879" s="19" t="str">
        <f aca="false">IF(A879="","",IFERROR(INDEX(Empresas!$B:$B,MATCH(A879,Empresas!$A:$A,0))&amp;"","cadastre o CNPJ em Empresas"))</f>
        <v/>
      </c>
      <c r="M879" s="27"/>
      <c r="N879" s="35"/>
      <c r="O879" s="37" t="str">
        <f aca="false">IF(OR(D879="",D879=0,N879=""),"",N879/D879)</f>
        <v/>
      </c>
      <c r="P879" s="19" t="str">
        <f aca="false">IF(O879="","",IF(O879&gt;0.25,"ACRÉSCIMO ACIMA DE 25% — conferir",""))</f>
        <v/>
      </c>
      <c r="Q879" s="27"/>
      <c r="R879" s="5"/>
    </row>
    <row r="880" customFormat="false" ht="15" hidden="false" customHeight="false" outlineLevel="0" collapsed="false">
      <c r="A880" s="27"/>
      <c r="B880" s="5"/>
      <c r="C880" s="5"/>
      <c r="D880" s="35"/>
      <c r="E880" s="14"/>
      <c r="F880" s="18"/>
      <c r="G880" s="31" t="str">
        <f aca="false">IF(A880="","",IFERROR(IF(INDEX(Empresas!$C:$C,MATCH(A880,Empresas!$A:$A,0))="","",INDEX(Empresas!$C:$C,MATCH(A880,Empresas!$A:$A,0))),""))</f>
        <v/>
      </c>
      <c r="H880" s="18"/>
      <c r="I880" s="19" t="str">
        <f aca="false">IF(OR(F880="",G880=""),"",IF(F880-G880&lt;0,"CONTRATO ANTERIOR À ABERTURA — conferir datas",IF(F880-G880&lt;180,"ABERTA MENOS DE 6 MESES ANTES","")))</f>
        <v/>
      </c>
      <c r="J880" s="19" t="str">
        <f aca="false">IF(A880="","",IFERROR(INDEX(Sancoes!$B:$B,MATCH(A880,Sancoes!$A:$A,0))&amp;"","não consta"))</f>
        <v/>
      </c>
      <c r="K880" s="19" t="str">
        <f aca="false">IF(OR(A880="",F880=""),"",IF(SUMPRODUCT((Sancoes!$A$2:$A$301=A880)*(Sancoes!$B$2:$B$301&lt;&gt;"Não consta")*(Sancoes!$D$2:$D$301&lt;&gt;"")*(Sancoes!$D$2:$D$301&lt;=F880)*(((Sancoes!$E$2:$E$301="")+(Sancoes!$E$2:$E$301&gt;=F880))&gt;0))&gt;0,"SANÇÃO VIGENTE NA DATA — leia o tipo e a abrangência",""))</f>
        <v/>
      </c>
      <c r="L880" s="19" t="str">
        <f aca="false">IF(A880="","",IFERROR(INDEX(Empresas!$B:$B,MATCH(A880,Empresas!$A:$A,0))&amp;"","cadastre o CNPJ em Empresas"))</f>
        <v/>
      </c>
      <c r="M880" s="27"/>
      <c r="N880" s="35"/>
      <c r="O880" s="37" t="str">
        <f aca="false">IF(OR(D880="",D880=0,N880=""),"",N880/D880)</f>
        <v/>
      </c>
      <c r="P880" s="19" t="str">
        <f aca="false">IF(O880="","",IF(O880&gt;0.25,"ACRÉSCIMO ACIMA DE 25% — conferir",""))</f>
        <v/>
      </c>
      <c r="Q880" s="27"/>
      <c r="R880" s="5"/>
    </row>
    <row r="881" customFormat="false" ht="15" hidden="false" customHeight="false" outlineLevel="0" collapsed="false">
      <c r="A881" s="27"/>
      <c r="B881" s="5"/>
      <c r="C881" s="5"/>
      <c r="D881" s="35"/>
      <c r="E881" s="14"/>
      <c r="F881" s="18"/>
      <c r="G881" s="31" t="str">
        <f aca="false">IF(A881="","",IFERROR(IF(INDEX(Empresas!$C:$C,MATCH(A881,Empresas!$A:$A,0))="","",INDEX(Empresas!$C:$C,MATCH(A881,Empresas!$A:$A,0))),""))</f>
        <v/>
      </c>
      <c r="H881" s="18"/>
      <c r="I881" s="19" t="str">
        <f aca="false">IF(OR(F881="",G881=""),"",IF(F881-G881&lt;0,"CONTRATO ANTERIOR À ABERTURA — conferir datas",IF(F881-G881&lt;180,"ABERTA MENOS DE 6 MESES ANTES","")))</f>
        <v/>
      </c>
      <c r="J881" s="19" t="str">
        <f aca="false">IF(A881="","",IFERROR(INDEX(Sancoes!$B:$B,MATCH(A881,Sancoes!$A:$A,0))&amp;"","não consta"))</f>
        <v/>
      </c>
      <c r="K881" s="19" t="str">
        <f aca="false">IF(OR(A881="",F881=""),"",IF(SUMPRODUCT((Sancoes!$A$2:$A$301=A881)*(Sancoes!$B$2:$B$301&lt;&gt;"Não consta")*(Sancoes!$D$2:$D$301&lt;&gt;"")*(Sancoes!$D$2:$D$301&lt;=F881)*(((Sancoes!$E$2:$E$301="")+(Sancoes!$E$2:$E$301&gt;=F881))&gt;0))&gt;0,"SANÇÃO VIGENTE NA DATA — leia o tipo e a abrangência",""))</f>
        <v/>
      </c>
      <c r="L881" s="19" t="str">
        <f aca="false">IF(A881="","",IFERROR(INDEX(Empresas!$B:$B,MATCH(A881,Empresas!$A:$A,0))&amp;"","cadastre o CNPJ em Empresas"))</f>
        <v/>
      </c>
      <c r="M881" s="27"/>
      <c r="N881" s="35"/>
      <c r="O881" s="37" t="str">
        <f aca="false">IF(OR(D881="",D881=0,N881=""),"",N881/D881)</f>
        <v/>
      </c>
      <c r="P881" s="19" t="str">
        <f aca="false">IF(O881="","",IF(O881&gt;0.25,"ACRÉSCIMO ACIMA DE 25% — conferir",""))</f>
        <v/>
      </c>
      <c r="Q881" s="27"/>
      <c r="R881" s="5"/>
    </row>
    <row r="882" customFormat="false" ht="15" hidden="false" customHeight="false" outlineLevel="0" collapsed="false">
      <c r="A882" s="27"/>
      <c r="B882" s="5"/>
      <c r="C882" s="5"/>
      <c r="D882" s="35"/>
      <c r="E882" s="14"/>
      <c r="F882" s="18"/>
      <c r="G882" s="31" t="str">
        <f aca="false">IF(A882="","",IFERROR(IF(INDEX(Empresas!$C:$C,MATCH(A882,Empresas!$A:$A,0))="","",INDEX(Empresas!$C:$C,MATCH(A882,Empresas!$A:$A,0))),""))</f>
        <v/>
      </c>
      <c r="H882" s="18"/>
      <c r="I882" s="19" t="str">
        <f aca="false">IF(OR(F882="",G882=""),"",IF(F882-G882&lt;0,"CONTRATO ANTERIOR À ABERTURA — conferir datas",IF(F882-G882&lt;180,"ABERTA MENOS DE 6 MESES ANTES","")))</f>
        <v/>
      </c>
      <c r="J882" s="19" t="str">
        <f aca="false">IF(A882="","",IFERROR(INDEX(Sancoes!$B:$B,MATCH(A882,Sancoes!$A:$A,0))&amp;"","não consta"))</f>
        <v/>
      </c>
      <c r="K882" s="19" t="str">
        <f aca="false">IF(OR(A882="",F882=""),"",IF(SUMPRODUCT((Sancoes!$A$2:$A$301=A882)*(Sancoes!$B$2:$B$301&lt;&gt;"Não consta")*(Sancoes!$D$2:$D$301&lt;&gt;"")*(Sancoes!$D$2:$D$301&lt;=F882)*(((Sancoes!$E$2:$E$301="")+(Sancoes!$E$2:$E$301&gt;=F882))&gt;0))&gt;0,"SANÇÃO VIGENTE NA DATA — leia o tipo e a abrangência",""))</f>
        <v/>
      </c>
      <c r="L882" s="19" t="str">
        <f aca="false">IF(A882="","",IFERROR(INDEX(Empresas!$B:$B,MATCH(A882,Empresas!$A:$A,0))&amp;"","cadastre o CNPJ em Empresas"))</f>
        <v/>
      </c>
      <c r="M882" s="27"/>
      <c r="N882" s="35"/>
      <c r="O882" s="37" t="str">
        <f aca="false">IF(OR(D882="",D882=0,N882=""),"",N882/D882)</f>
        <v/>
      </c>
      <c r="P882" s="19" t="str">
        <f aca="false">IF(O882="","",IF(O882&gt;0.25,"ACRÉSCIMO ACIMA DE 25% — conferir",""))</f>
        <v/>
      </c>
      <c r="Q882" s="27"/>
      <c r="R882" s="5"/>
    </row>
    <row r="883" customFormat="false" ht="15" hidden="false" customHeight="false" outlineLevel="0" collapsed="false">
      <c r="A883" s="27"/>
      <c r="B883" s="5"/>
      <c r="C883" s="5"/>
      <c r="D883" s="35"/>
      <c r="E883" s="14"/>
      <c r="F883" s="18"/>
      <c r="G883" s="31" t="str">
        <f aca="false">IF(A883="","",IFERROR(IF(INDEX(Empresas!$C:$C,MATCH(A883,Empresas!$A:$A,0))="","",INDEX(Empresas!$C:$C,MATCH(A883,Empresas!$A:$A,0))),""))</f>
        <v/>
      </c>
      <c r="H883" s="18"/>
      <c r="I883" s="19" t="str">
        <f aca="false">IF(OR(F883="",G883=""),"",IF(F883-G883&lt;0,"CONTRATO ANTERIOR À ABERTURA — conferir datas",IF(F883-G883&lt;180,"ABERTA MENOS DE 6 MESES ANTES","")))</f>
        <v/>
      </c>
      <c r="J883" s="19" t="str">
        <f aca="false">IF(A883="","",IFERROR(INDEX(Sancoes!$B:$B,MATCH(A883,Sancoes!$A:$A,0))&amp;"","não consta"))</f>
        <v/>
      </c>
      <c r="K883" s="19" t="str">
        <f aca="false">IF(OR(A883="",F883=""),"",IF(SUMPRODUCT((Sancoes!$A$2:$A$301=A883)*(Sancoes!$B$2:$B$301&lt;&gt;"Não consta")*(Sancoes!$D$2:$D$301&lt;&gt;"")*(Sancoes!$D$2:$D$301&lt;=F883)*(((Sancoes!$E$2:$E$301="")+(Sancoes!$E$2:$E$301&gt;=F883))&gt;0))&gt;0,"SANÇÃO VIGENTE NA DATA — leia o tipo e a abrangência",""))</f>
        <v/>
      </c>
      <c r="L883" s="19" t="str">
        <f aca="false">IF(A883="","",IFERROR(INDEX(Empresas!$B:$B,MATCH(A883,Empresas!$A:$A,0))&amp;"","cadastre o CNPJ em Empresas"))</f>
        <v/>
      </c>
      <c r="M883" s="27"/>
      <c r="N883" s="35"/>
      <c r="O883" s="37" t="str">
        <f aca="false">IF(OR(D883="",D883=0,N883=""),"",N883/D883)</f>
        <v/>
      </c>
      <c r="P883" s="19" t="str">
        <f aca="false">IF(O883="","",IF(O883&gt;0.25,"ACRÉSCIMO ACIMA DE 25% — conferir",""))</f>
        <v/>
      </c>
      <c r="Q883" s="27"/>
      <c r="R883" s="5"/>
    </row>
    <row r="884" customFormat="false" ht="15" hidden="false" customHeight="false" outlineLevel="0" collapsed="false">
      <c r="A884" s="27"/>
      <c r="B884" s="5"/>
      <c r="C884" s="5"/>
      <c r="D884" s="35"/>
      <c r="E884" s="14"/>
      <c r="F884" s="18"/>
      <c r="G884" s="31" t="str">
        <f aca="false">IF(A884="","",IFERROR(IF(INDEX(Empresas!$C:$C,MATCH(A884,Empresas!$A:$A,0))="","",INDEX(Empresas!$C:$C,MATCH(A884,Empresas!$A:$A,0))),""))</f>
        <v/>
      </c>
      <c r="H884" s="18"/>
      <c r="I884" s="19" t="str">
        <f aca="false">IF(OR(F884="",G884=""),"",IF(F884-G884&lt;0,"CONTRATO ANTERIOR À ABERTURA — conferir datas",IF(F884-G884&lt;180,"ABERTA MENOS DE 6 MESES ANTES","")))</f>
        <v/>
      </c>
      <c r="J884" s="19" t="str">
        <f aca="false">IF(A884="","",IFERROR(INDEX(Sancoes!$B:$B,MATCH(A884,Sancoes!$A:$A,0))&amp;"","não consta"))</f>
        <v/>
      </c>
      <c r="K884" s="19" t="str">
        <f aca="false">IF(OR(A884="",F884=""),"",IF(SUMPRODUCT((Sancoes!$A$2:$A$301=A884)*(Sancoes!$B$2:$B$301&lt;&gt;"Não consta")*(Sancoes!$D$2:$D$301&lt;&gt;"")*(Sancoes!$D$2:$D$301&lt;=F884)*(((Sancoes!$E$2:$E$301="")+(Sancoes!$E$2:$E$301&gt;=F884))&gt;0))&gt;0,"SANÇÃO VIGENTE NA DATA — leia o tipo e a abrangência",""))</f>
        <v/>
      </c>
      <c r="L884" s="19" t="str">
        <f aca="false">IF(A884="","",IFERROR(INDEX(Empresas!$B:$B,MATCH(A884,Empresas!$A:$A,0))&amp;"","cadastre o CNPJ em Empresas"))</f>
        <v/>
      </c>
      <c r="M884" s="27"/>
      <c r="N884" s="35"/>
      <c r="O884" s="37" t="str">
        <f aca="false">IF(OR(D884="",D884=0,N884=""),"",N884/D884)</f>
        <v/>
      </c>
      <c r="P884" s="19" t="str">
        <f aca="false">IF(O884="","",IF(O884&gt;0.25,"ACRÉSCIMO ACIMA DE 25% — conferir",""))</f>
        <v/>
      </c>
      <c r="Q884" s="27"/>
      <c r="R884" s="5"/>
    </row>
    <row r="885" customFormat="false" ht="15" hidden="false" customHeight="false" outlineLevel="0" collapsed="false">
      <c r="A885" s="27"/>
      <c r="B885" s="5"/>
      <c r="C885" s="5"/>
      <c r="D885" s="35"/>
      <c r="E885" s="14"/>
      <c r="F885" s="18"/>
      <c r="G885" s="31" t="str">
        <f aca="false">IF(A885="","",IFERROR(IF(INDEX(Empresas!$C:$C,MATCH(A885,Empresas!$A:$A,0))="","",INDEX(Empresas!$C:$C,MATCH(A885,Empresas!$A:$A,0))),""))</f>
        <v/>
      </c>
      <c r="H885" s="18"/>
      <c r="I885" s="19" t="str">
        <f aca="false">IF(OR(F885="",G885=""),"",IF(F885-G885&lt;0,"CONTRATO ANTERIOR À ABERTURA — conferir datas",IF(F885-G885&lt;180,"ABERTA MENOS DE 6 MESES ANTES","")))</f>
        <v/>
      </c>
      <c r="J885" s="19" t="str">
        <f aca="false">IF(A885="","",IFERROR(INDEX(Sancoes!$B:$B,MATCH(A885,Sancoes!$A:$A,0))&amp;"","não consta"))</f>
        <v/>
      </c>
      <c r="K885" s="19" t="str">
        <f aca="false">IF(OR(A885="",F885=""),"",IF(SUMPRODUCT((Sancoes!$A$2:$A$301=A885)*(Sancoes!$B$2:$B$301&lt;&gt;"Não consta")*(Sancoes!$D$2:$D$301&lt;&gt;"")*(Sancoes!$D$2:$D$301&lt;=F885)*(((Sancoes!$E$2:$E$301="")+(Sancoes!$E$2:$E$301&gt;=F885))&gt;0))&gt;0,"SANÇÃO VIGENTE NA DATA — leia o tipo e a abrangência",""))</f>
        <v/>
      </c>
      <c r="L885" s="19" t="str">
        <f aca="false">IF(A885="","",IFERROR(INDEX(Empresas!$B:$B,MATCH(A885,Empresas!$A:$A,0))&amp;"","cadastre o CNPJ em Empresas"))</f>
        <v/>
      </c>
      <c r="M885" s="27"/>
      <c r="N885" s="35"/>
      <c r="O885" s="37" t="str">
        <f aca="false">IF(OR(D885="",D885=0,N885=""),"",N885/D885)</f>
        <v/>
      </c>
      <c r="P885" s="19" t="str">
        <f aca="false">IF(O885="","",IF(O885&gt;0.25,"ACRÉSCIMO ACIMA DE 25% — conferir",""))</f>
        <v/>
      </c>
      <c r="Q885" s="27"/>
      <c r="R885" s="5"/>
    </row>
    <row r="886" customFormat="false" ht="15" hidden="false" customHeight="false" outlineLevel="0" collapsed="false">
      <c r="A886" s="27"/>
      <c r="B886" s="5"/>
      <c r="C886" s="5"/>
      <c r="D886" s="35"/>
      <c r="E886" s="14"/>
      <c r="F886" s="18"/>
      <c r="G886" s="31" t="str">
        <f aca="false">IF(A886="","",IFERROR(IF(INDEX(Empresas!$C:$C,MATCH(A886,Empresas!$A:$A,0))="","",INDEX(Empresas!$C:$C,MATCH(A886,Empresas!$A:$A,0))),""))</f>
        <v/>
      </c>
      <c r="H886" s="18"/>
      <c r="I886" s="19" t="str">
        <f aca="false">IF(OR(F886="",G886=""),"",IF(F886-G886&lt;0,"CONTRATO ANTERIOR À ABERTURA — conferir datas",IF(F886-G886&lt;180,"ABERTA MENOS DE 6 MESES ANTES","")))</f>
        <v/>
      </c>
      <c r="J886" s="19" t="str">
        <f aca="false">IF(A886="","",IFERROR(INDEX(Sancoes!$B:$B,MATCH(A886,Sancoes!$A:$A,0))&amp;"","não consta"))</f>
        <v/>
      </c>
      <c r="K886" s="19" t="str">
        <f aca="false">IF(OR(A886="",F886=""),"",IF(SUMPRODUCT((Sancoes!$A$2:$A$301=A886)*(Sancoes!$B$2:$B$301&lt;&gt;"Não consta")*(Sancoes!$D$2:$D$301&lt;&gt;"")*(Sancoes!$D$2:$D$301&lt;=F886)*(((Sancoes!$E$2:$E$301="")+(Sancoes!$E$2:$E$301&gt;=F886))&gt;0))&gt;0,"SANÇÃO VIGENTE NA DATA — leia o tipo e a abrangência",""))</f>
        <v/>
      </c>
      <c r="L886" s="19" t="str">
        <f aca="false">IF(A886="","",IFERROR(INDEX(Empresas!$B:$B,MATCH(A886,Empresas!$A:$A,0))&amp;"","cadastre o CNPJ em Empresas"))</f>
        <v/>
      </c>
      <c r="M886" s="27"/>
      <c r="N886" s="35"/>
      <c r="O886" s="37" t="str">
        <f aca="false">IF(OR(D886="",D886=0,N886=""),"",N886/D886)</f>
        <v/>
      </c>
      <c r="P886" s="19" t="str">
        <f aca="false">IF(O886="","",IF(O886&gt;0.25,"ACRÉSCIMO ACIMA DE 25% — conferir",""))</f>
        <v/>
      </c>
      <c r="Q886" s="27"/>
      <c r="R886" s="5"/>
    </row>
    <row r="887" customFormat="false" ht="15" hidden="false" customHeight="false" outlineLevel="0" collapsed="false">
      <c r="A887" s="27"/>
      <c r="B887" s="5"/>
      <c r="C887" s="5"/>
      <c r="D887" s="35"/>
      <c r="E887" s="14"/>
      <c r="F887" s="18"/>
      <c r="G887" s="31" t="str">
        <f aca="false">IF(A887="","",IFERROR(IF(INDEX(Empresas!$C:$C,MATCH(A887,Empresas!$A:$A,0))="","",INDEX(Empresas!$C:$C,MATCH(A887,Empresas!$A:$A,0))),""))</f>
        <v/>
      </c>
      <c r="H887" s="18"/>
      <c r="I887" s="19" t="str">
        <f aca="false">IF(OR(F887="",G887=""),"",IF(F887-G887&lt;0,"CONTRATO ANTERIOR À ABERTURA — conferir datas",IF(F887-G887&lt;180,"ABERTA MENOS DE 6 MESES ANTES","")))</f>
        <v/>
      </c>
      <c r="J887" s="19" t="str">
        <f aca="false">IF(A887="","",IFERROR(INDEX(Sancoes!$B:$B,MATCH(A887,Sancoes!$A:$A,0))&amp;"","não consta"))</f>
        <v/>
      </c>
      <c r="K887" s="19" t="str">
        <f aca="false">IF(OR(A887="",F887=""),"",IF(SUMPRODUCT((Sancoes!$A$2:$A$301=A887)*(Sancoes!$B$2:$B$301&lt;&gt;"Não consta")*(Sancoes!$D$2:$D$301&lt;&gt;"")*(Sancoes!$D$2:$D$301&lt;=F887)*(((Sancoes!$E$2:$E$301="")+(Sancoes!$E$2:$E$301&gt;=F887))&gt;0))&gt;0,"SANÇÃO VIGENTE NA DATA — leia o tipo e a abrangência",""))</f>
        <v/>
      </c>
      <c r="L887" s="19" t="str">
        <f aca="false">IF(A887="","",IFERROR(INDEX(Empresas!$B:$B,MATCH(A887,Empresas!$A:$A,0))&amp;"","cadastre o CNPJ em Empresas"))</f>
        <v/>
      </c>
      <c r="M887" s="27"/>
      <c r="N887" s="35"/>
      <c r="O887" s="37" t="str">
        <f aca="false">IF(OR(D887="",D887=0,N887=""),"",N887/D887)</f>
        <v/>
      </c>
      <c r="P887" s="19" t="str">
        <f aca="false">IF(O887="","",IF(O887&gt;0.25,"ACRÉSCIMO ACIMA DE 25% — conferir",""))</f>
        <v/>
      </c>
      <c r="Q887" s="27"/>
      <c r="R887" s="5"/>
    </row>
    <row r="888" customFormat="false" ht="15" hidden="false" customHeight="false" outlineLevel="0" collapsed="false">
      <c r="A888" s="27"/>
      <c r="B888" s="5"/>
      <c r="C888" s="5"/>
      <c r="D888" s="35"/>
      <c r="E888" s="14"/>
      <c r="F888" s="18"/>
      <c r="G888" s="31" t="str">
        <f aca="false">IF(A888="","",IFERROR(IF(INDEX(Empresas!$C:$C,MATCH(A888,Empresas!$A:$A,0))="","",INDEX(Empresas!$C:$C,MATCH(A888,Empresas!$A:$A,0))),""))</f>
        <v/>
      </c>
      <c r="H888" s="18"/>
      <c r="I888" s="19" t="str">
        <f aca="false">IF(OR(F888="",G888=""),"",IF(F888-G888&lt;0,"CONTRATO ANTERIOR À ABERTURA — conferir datas",IF(F888-G888&lt;180,"ABERTA MENOS DE 6 MESES ANTES","")))</f>
        <v/>
      </c>
      <c r="J888" s="19" t="str">
        <f aca="false">IF(A888="","",IFERROR(INDEX(Sancoes!$B:$B,MATCH(A888,Sancoes!$A:$A,0))&amp;"","não consta"))</f>
        <v/>
      </c>
      <c r="K888" s="19" t="str">
        <f aca="false">IF(OR(A888="",F888=""),"",IF(SUMPRODUCT((Sancoes!$A$2:$A$301=A888)*(Sancoes!$B$2:$B$301&lt;&gt;"Não consta")*(Sancoes!$D$2:$D$301&lt;&gt;"")*(Sancoes!$D$2:$D$301&lt;=F888)*(((Sancoes!$E$2:$E$301="")+(Sancoes!$E$2:$E$301&gt;=F888))&gt;0))&gt;0,"SANÇÃO VIGENTE NA DATA — leia o tipo e a abrangência",""))</f>
        <v/>
      </c>
      <c r="L888" s="19" t="str">
        <f aca="false">IF(A888="","",IFERROR(INDEX(Empresas!$B:$B,MATCH(A888,Empresas!$A:$A,0))&amp;"","cadastre o CNPJ em Empresas"))</f>
        <v/>
      </c>
      <c r="M888" s="27"/>
      <c r="N888" s="35"/>
      <c r="O888" s="37" t="str">
        <f aca="false">IF(OR(D888="",D888=0,N888=""),"",N888/D888)</f>
        <v/>
      </c>
      <c r="P888" s="19" t="str">
        <f aca="false">IF(O888="","",IF(O888&gt;0.25,"ACRÉSCIMO ACIMA DE 25% — conferir",""))</f>
        <v/>
      </c>
      <c r="Q888" s="27"/>
      <c r="R888" s="5"/>
    </row>
    <row r="889" customFormat="false" ht="15" hidden="false" customHeight="false" outlineLevel="0" collapsed="false">
      <c r="A889" s="27"/>
      <c r="B889" s="5"/>
      <c r="C889" s="5"/>
      <c r="D889" s="35"/>
      <c r="E889" s="14"/>
      <c r="F889" s="18"/>
      <c r="G889" s="31" t="str">
        <f aca="false">IF(A889="","",IFERROR(IF(INDEX(Empresas!$C:$C,MATCH(A889,Empresas!$A:$A,0))="","",INDEX(Empresas!$C:$C,MATCH(A889,Empresas!$A:$A,0))),""))</f>
        <v/>
      </c>
      <c r="H889" s="18"/>
      <c r="I889" s="19" t="str">
        <f aca="false">IF(OR(F889="",G889=""),"",IF(F889-G889&lt;0,"CONTRATO ANTERIOR À ABERTURA — conferir datas",IF(F889-G889&lt;180,"ABERTA MENOS DE 6 MESES ANTES","")))</f>
        <v/>
      </c>
      <c r="J889" s="19" t="str">
        <f aca="false">IF(A889="","",IFERROR(INDEX(Sancoes!$B:$B,MATCH(A889,Sancoes!$A:$A,0))&amp;"","não consta"))</f>
        <v/>
      </c>
      <c r="K889" s="19" t="str">
        <f aca="false">IF(OR(A889="",F889=""),"",IF(SUMPRODUCT((Sancoes!$A$2:$A$301=A889)*(Sancoes!$B$2:$B$301&lt;&gt;"Não consta")*(Sancoes!$D$2:$D$301&lt;&gt;"")*(Sancoes!$D$2:$D$301&lt;=F889)*(((Sancoes!$E$2:$E$301="")+(Sancoes!$E$2:$E$301&gt;=F889))&gt;0))&gt;0,"SANÇÃO VIGENTE NA DATA — leia o tipo e a abrangência",""))</f>
        <v/>
      </c>
      <c r="L889" s="19" t="str">
        <f aca="false">IF(A889="","",IFERROR(INDEX(Empresas!$B:$B,MATCH(A889,Empresas!$A:$A,0))&amp;"","cadastre o CNPJ em Empresas"))</f>
        <v/>
      </c>
      <c r="M889" s="27"/>
      <c r="N889" s="35"/>
      <c r="O889" s="37" t="str">
        <f aca="false">IF(OR(D889="",D889=0,N889=""),"",N889/D889)</f>
        <v/>
      </c>
      <c r="P889" s="19" t="str">
        <f aca="false">IF(O889="","",IF(O889&gt;0.25,"ACRÉSCIMO ACIMA DE 25% — conferir",""))</f>
        <v/>
      </c>
      <c r="Q889" s="27"/>
      <c r="R889" s="5"/>
    </row>
    <row r="890" customFormat="false" ht="15" hidden="false" customHeight="false" outlineLevel="0" collapsed="false">
      <c r="A890" s="27"/>
      <c r="B890" s="5"/>
      <c r="C890" s="5"/>
      <c r="D890" s="35"/>
      <c r="E890" s="14"/>
      <c r="F890" s="18"/>
      <c r="G890" s="31" t="str">
        <f aca="false">IF(A890="","",IFERROR(IF(INDEX(Empresas!$C:$C,MATCH(A890,Empresas!$A:$A,0))="","",INDEX(Empresas!$C:$C,MATCH(A890,Empresas!$A:$A,0))),""))</f>
        <v/>
      </c>
      <c r="H890" s="18"/>
      <c r="I890" s="19" t="str">
        <f aca="false">IF(OR(F890="",G890=""),"",IF(F890-G890&lt;0,"CONTRATO ANTERIOR À ABERTURA — conferir datas",IF(F890-G890&lt;180,"ABERTA MENOS DE 6 MESES ANTES","")))</f>
        <v/>
      </c>
      <c r="J890" s="19" t="str">
        <f aca="false">IF(A890="","",IFERROR(INDEX(Sancoes!$B:$B,MATCH(A890,Sancoes!$A:$A,0))&amp;"","não consta"))</f>
        <v/>
      </c>
      <c r="K890" s="19" t="str">
        <f aca="false">IF(OR(A890="",F890=""),"",IF(SUMPRODUCT((Sancoes!$A$2:$A$301=A890)*(Sancoes!$B$2:$B$301&lt;&gt;"Não consta")*(Sancoes!$D$2:$D$301&lt;&gt;"")*(Sancoes!$D$2:$D$301&lt;=F890)*(((Sancoes!$E$2:$E$301="")+(Sancoes!$E$2:$E$301&gt;=F890))&gt;0))&gt;0,"SANÇÃO VIGENTE NA DATA — leia o tipo e a abrangência",""))</f>
        <v/>
      </c>
      <c r="L890" s="19" t="str">
        <f aca="false">IF(A890="","",IFERROR(INDEX(Empresas!$B:$B,MATCH(A890,Empresas!$A:$A,0))&amp;"","cadastre o CNPJ em Empresas"))</f>
        <v/>
      </c>
      <c r="M890" s="27"/>
      <c r="N890" s="35"/>
      <c r="O890" s="37" t="str">
        <f aca="false">IF(OR(D890="",D890=0,N890=""),"",N890/D890)</f>
        <v/>
      </c>
      <c r="P890" s="19" t="str">
        <f aca="false">IF(O890="","",IF(O890&gt;0.25,"ACRÉSCIMO ACIMA DE 25% — conferir",""))</f>
        <v/>
      </c>
      <c r="Q890" s="27"/>
      <c r="R890" s="5"/>
    </row>
    <row r="891" customFormat="false" ht="15" hidden="false" customHeight="false" outlineLevel="0" collapsed="false">
      <c r="A891" s="27"/>
      <c r="B891" s="5"/>
      <c r="C891" s="5"/>
      <c r="D891" s="35"/>
      <c r="E891" s="14"/>
      <c r="F891" s="18"/>
      <c r="G891" s="31" t="str">
        <f aca="false">IF(A891="","",IFERROR(IF(INDEX(Empresas!$C:$C,MATCH(A891,Empresas!$A:$A,0))="","",INDEX(Empresas!$C:$C,MATCH(A891,Empresas!$A:$A,0))),""))</f>
        <v/>
      </c>
      <c r="H891" s="18"/>
      <c r="I891" s="19" t="str">
        <f aca="false">IF(OR(F891="",G891=""),"",IF(F891-G891&lt;0,"CONTRATO ANTERIOR À ABERTURA — conferir datas",IF(F891-G891&lt;180,"ABERTA MENOS DE 6 MESES ANTES","")))</f>
        <v/>
      </c>
      <c r="J891" s="19" t="str">
        <f aca="false">IF(A891="","",IFERROR(INDEX(Sancoes!$B:$B,MATCH(A891,Sancoes!$A:$A,0))&amp;"","não consta"))</f>
        <v/>
      </c>
      <c r="K891" s="19" t="str">
        <f aca="false">IF(OR(A891="",F891=""),"",IF(SUMPRODUCT((Sancoes!$A$2:$A$301=A891)*(Sancoes!$B$2:$B$301&lt;&gt;"Não consta")*(Sancoes!$D$2:$D$301&lt;&gt;"")*(Sancoes!$D$2:$D$301&lt;=F891)*(((Sancoes!$E$2:$E$301="")+(Sancoes!$E$2:$E$301&gt;=F891))&gt;0))&gt;0,"SANÇÃO VIGENTE NA DATA — leia o tipo e a abrangência",""))</f>
        <v/>
      </c>
      <c r="L891" s="19" t="str">
        <f aca="false">IF(A891="","",IFERROR(INDEX(Empresas!$B:$B,MATCH(A891,Empresas!$A:$A,0))&amp;"","cadastre o CNPJ em Empresas"))</f>
        <v/>
      </c>
      <c r="M891" s="27"/>
      <c r="N891" s="35"/>
      <c r="O891" s="37" t="str">
        <f aca="false">IF(OR(D891="",D891=0,N891=""),"",N891/D891)</f>
        <v/>
      </c>
      <c r="P891" s="19" t="str">
        <f aca="false">IF(O891="","",IF(O891&gt;0.25,"ACRÉSCIMO ACIMA DE 25% — conferir",""))</f>
        <v/>
      </c>
      <c r="Q891" s="27"/>
      <c r="R891" s="5"/>
    </row>
    <row r="892" customFormat="false" ht="15" hidden="false" customHeight="false" outlineLevel="0" collapsed="false">
      <c r="A892" s="27"/>
      <c r="B892" s="5"/>
      <c r="C892" s="5"/>
      <c r="D892" s="35"/>
      <c r="E892" s="14"/>
      <c r="F892" s="18"/>
      <c r="G892" s="31" t="str">
        <f aca="false">IF(A892="","",IFERROR(IF(INDEX(Empresas!$C:$C,MATCH(A892,Empresas!$A:$A,0))="","",INDEX(Empresas!$C:$C,MATCH(A892,Empresas!$A:$A,0))),""))</f>
        <v/>
      </c>
      <c r="H892" s="18"/>
      <c r="I892" s="19" t="str">
        <f aca="false">IF(OR(F892="",G892=""),"",IF(F892-G892&lt;0,"CONTRATO ANTERIOR À ABERTURA — conferir datas",IF(F892-G892&lt;180,"ABERTA MENOS DE 6 MESES ANTES","")))</f>
        <v/>
      </c>
      <c r="J892" s="19" t="str">
        <f aca="false">IF(A892="","",IFERROR(INDEX(Sancoes!$B:$B,MATCH(A892,Sancoes!$A:$A,0))&amp;"","não consta"))</f>
        <v/>
      </c>
      <c r="K892" s="19" t="str">
        <f aca="false">IF(OR(A892="",F892=""),"",IF(SUMPRODUCT((Sancoes!$A$2:$A$301=A892)*(Sancoes!$B$2:$B$301&lt;&gt;"Não consta")*(Sancoes!$D$2:$D$301&lt;&gt;"")*(Sancoes!$D$2:$D$301&lt;=F892)*(((Sancoes!$E$2:$E$301="")+(Sancoes!$E$2:$E$301&gt;=F892))&gt;0))&gt;0,"SANÇÃO VIGENTE NA DATA — leia o tipo e a abrangência",""))</f>
        <v/>
      </c>
      <c r="L892" s="19" t="str">
        <f aca="false">IF(A892="","",IFERROR(INDEX(Empresas!$B:$B,MATCH(A892,Empresas!$A:$A,0))&amp;"","cadastre o CNPJ em Empresas"))</f>
        <v/>
      </c>
      <c r="M892" s="27"/>
      <c r="N892" s="35"/>
      <c r="O892" s="37" t="str">
        <f aca="false">IF(OR(D892="",D892=0,N892=""),"",N892/D892)</f>
        <v/>
      </c>
      <c r="P892" s="19" t="str">
        <f aca="false">IF(O892="","",IF(O892&gt;0.25,"ACRÉSCIMO ACIMA DE 25% — conferir",""))</f>
        <v/>
      </c>
      <c r="Q892" s="27"/>
      <c r="R892" s="5"/>
    </row>
    <row r="893" customFormat="false" ht="15" hidden="false" customHeight="false" outlineLevel="0" collapsed="false">
      <c r="A893" s="27"/>
      <c r="B893" s="5"/>
      <c r="C893" s="5"/>
      <c r="D893" s="35"/>
      <c r="E893" s="14"/>
      <c r="F893" s="18"/>
      <c r="G893" s="31" t="str">
        <f aca="false">IF(A893="","",IFERROR(IF(INDEX(Empresas!$C:$C,MATCH(A893,Empresas!$A:$A,0))="","",INDEX(Empresas!$C:$C,MATCH(A893,Empresas!$A:$A,0))),""))</f>
        <v/>
      </c>
      <c r="H893" s="18"/>
      <c r="I893" s="19" t="str">
        <f aca="false">IF(OR(F893="",G893=""),"",IF(F893-G893&lt;0,"CONTRATO ANTERIOR À ABERTURA — conferir datas",IF(F893-G893&lt;180,"ABERTA MENOS DE 6 MESES ANTES","")))</f>
        <v/>
      </c>
      <c r="J893" s="19" t="str">
        <f aca="false">IF(A893="","",IFERROR(INDEX(Sancoes!$B:$B,MATCH(A893,Sancoes!$A:$A,0))&amp;"","não consta"))</f>
        <v/>
      </c>
      <c r="K893" s="19" t="str">
        <f aca="false">IF(OR(A893="",F893=""),"",IF(SUMPRODUCT((Sancoes!$A$2:$A$301=A893)*(Sancoes!$B$2:$B$301&lt;&gt;"Não consta")*(Sancoes!$D$2:$D$301&lt;&gt;"")*(Sancoes!$D$2:$D$301&lt;=F893)*(((Sancoes!$E$2:$E$301="")+(Sancoes!$E$2:$E$301&gt;=F893))&gt;0))&gt;0,"SANÇÃO VIGENTE NA DATA — leia o tipo e a abrangência",""))</f>
        <v/>
      </c>
      <c r="L893" s="19" t="str">
        <f aca="false">IF(A893="","",IFERROR(INDEX(Empresas!$B:$B,MATCH(A893,Empresas!$A:$A,0))&amp;"","cadastre o CNPJ em Empresas"))</f>
        <v/>
      </c>
      <c r="M893" s="27"/>
      <c r="N893" s="35"/>
      <c r="O893" s="37" t="str">
        <f aca="false">IF(OR(D893="",D893=0,N893=""),"",N893/D893)</f>
        <v/>
      </c>
      <c r="P893" s="19" t="str">
        <f aca="false">IF(O893="","",IF(O893&gt;0.25,"ACRÉSCIMO ACIMA DE 25% — conferir",""))</f>
        <v/>
      </c>
      <c r="Q893" s="27"/>
      <c r="R893" s="5"/>
    </row>
    <row r="894" customFormat="false" ht="15" hidden="false" customHeight="false" outlineLevel="0" collapsed="false">
      <c r="A894" s="27"/>
      <c r="B894" s="5"/>
      <c r="C894" s="5"/>
      <c r="D894" s="35"/>
      <c r="E894" s="14"/>
      <c r="F894" s="18"/>
      <c r="G894" s="31" t="str">
        <f aca="false">IF(A894="","",IFERROR(IF(INDEX(Empresas!$C:$C,MATCH(A894,Empresas!$A:$A,0))="","",INDEX(Empresas!$C:$C,MATCH(A894,Empresas!$A:$A,0))),""))</f>
        <v/>
      </c>
      <c r="H894" s="18"/>
      <c r="I894" s="19" t="str">
        <f aca="false">IF(OR(F894="",G894=""),"",IF(F894-G894&lt;0,"CONTRATO ANTERIOR À ABERTURA — conferir datas",IF(F894-G894&lt;180,"ABERTA MENOS DE 6 MESES ANTES","")))</f>
        <v/>
      </c>
      <c r="J894" s="19" t="str">
        <f aca="false">IF(A894="","",IFERROR(INDEX(Sancoes!$B:$B,MATCH(A894,Sancoes!$A:$A,0))&amp;"","não consta"))</f>
        <v/>
      </c>
      <c r="K894" s="19" t="str">
        <f aca="false">IF(OR(A894="",F894=""),"",IF(SUMPRODUCT((Sancoes!$A$2:$A$301=A894)*(Sancoes!$B$2:$B$301&lt;&gt;"Não consta")*(Sancoes!$D$2:$D$301&lt;&gt;"")*(Sancoes!$D$2:$D$301&lt;=F894)*(((Sancoes!$E$2:$E$301="")+(Sancoes!$E$2:$E$301&gt;=F894))&gt;0))&gt;0,"SANÇÃO VIGENTE NA DATA — leia o tipo e a abrangência",""))</f>
        <v/>
      </c>
      <c r="L894" s="19" t="str">
        <f aca="false">IF(A894="","",IFERROR(INDEX(Empresas!$B:$B,MATCH(A894,Empresas!$A:$A,0))&amp;"","cadastre o CNPJ em Empresas"))</f>
        <v/>
      </c>
      <c r="M894" s="27"/>
      <c r="N894" s="35"/>
      <c r="O894" s="37" t="str">
        <f aca="false">IF(OR(D894="",D894=0,N894=""),"",N894/D894)</f>
        <v/>
      </c>
      <c r="P894" s="19" t="str">
        <f aca="false">IF(O894="","",IF(O894&gt;0.25,"ACRÉSCIMO ACIMA DE 25% — conferir",""))</f>
        <v/>
      </c>
      <c r="Q894" s="27"/>
      <c r="R894" s="5"/>
    </row>
    <row r="895" customFormat="false" ht="15" hidden="false" customHeight="false" outlineLevel="0" collapsed="false">
      <c r="A895" s="27"/>
      <c r="B895" s="5"/>
      <c r="C895" s="5"/>
      <c r="D895" s="35"/>
      <c r="E895" s="14"/>
      <c r="F895" s="18"/>
      <c r="G895" s="31" t="str">
        <f aca="false">IF(A895="","",IFERROR(IF(INDEX(Empresas!$C:$C,MATCH(A895,Empresas!$A:$A,0))="","",INDEX(Empresas!$C:$C,MATCH(A895,Empresas!$A:$A,0))),""))</f>
        <v/>
      </c>
      <c r="H895" s="18"/>
      <c r="I895" s="19" t="str">
        <f aca="false">IF(OR(F895="",G895=""),"",IF(F895-G895&lt;0,"CONTRATO ANTERIOR À ABERTURA — conferir datas",IF(F895-G895&lt;180,"ABERTA MENOS DE 6 MESES ANTES","")))</f>
        <v/>
      </c>
      <c r="J895" s="19" t="str">
        <f aca="false">IF(A895="","",IFERROR(INDEX(Sancoes!$B:$B,MATCH(A895,Sancoes!$A:$A,0))&amp;"","não consta"))</f>
        <v/>
      </c>
      <c r="K895" s="19" t="str">
        <f aca="false">IF(OR(A895="",F895=""),"",IF(SUMPRODUCT((Sancoes!$A$2:$A$301=A895)*(Sancoes!$B$2:$B$301&lt;&gt;"Não consta")*(Sancoes!$D$2:$D$301&lt;&gt;"")*(Sancoes!$D$2:$D$301&lt;=F895)*(((Sancoes!$E$2:$E$301="")+(Sancoes!$E$2:$E$301&gt;=F895))&gt;0))&gt;0,"SANÇÃO VIGENTE NA DATA — leia o tipo e a abrangência",""))</f>
        <v/>
      </c>
      <c r="L895" s="19" t="str">
        <f aca="false">IF(A895="","",IFERROR(INDEX(Empresas!$B:$B,MATCH(A895,Empresas!$A:$A,0))&amp;"","cadastre o CNPJ em Empresas"))</f>
        <v/>
      </c>
      <c r="M895" s="27"/>
      <c r="N895" s="35"/>
      <c r="O895" s="37" t="str">
        <f aca="false">IF(OR(D895="",D895=0,N895=""),"",N895/D895)</f>
        <v/>
      </c>
      <c r="P895" s="19" t="str">
        <f aca="false">IF(O895="","",IF(O895&gt;0.25,"ACRÉSCIMO ACIMA DE 25% — conferir",""))</f>
        <v/>
      </c>
      <c r="Q895" s="27"/>
      <c r="R895" s="5"/>
    </row>
    <row r="896" customFormat="false" ht="15" hidden="false" customHeight="false" outlineLevel="0" collapsed="false">
      <c r="A896" s="27"/>
      <c r="B896" s="5"/>
      <c r="C896" s="5"/>
      <c r="D896" s="35"/>
      <c r="E896" s="14"/>
      <c r="F896" s="18"/>
      <c r="G896" s="31" t="str">
        <f aca="false">IF(A896="","",IFERROR(IF(INDEX(Empresas!$C:$C,MATCH(A896,Empresas!$A:$A,0))="","",INDEX(Empresas!$C:$C,MATCH(A896,Empresas!$A:$A,0))),""))</f>
        <v/>
      </c>
      <c r="H896" s="18"/>
      <c r="I896" s="19" t="str">
        <f aca="false">IF(OR(F896="",G896=""),"",IF(F896-G896&lt;0,"CONTRATO ANTERIOR À ABERTURA — conferir datas",IF(F896-G896&lt;180,"ABERTA MENOS DE 6 MESES ANTES","")))</f>
        <v/>
      </c>
      <c r="J896" s="19" t="str">
        <f aca="false">IF(A896="","",IFERROR(INDEX(Sancoes!$B:$B,MATCH(A896,Sancoes!$A:$A,0))&amp;"","não consta"))</f>
        <v/>
      </c>
      <c r="K896" s="19" t="str">
        <f aca="false">IF(OR(A896="",F896=""),"",IF(SUMPRODUCT((Sancoes!$A$2:$A$301=A896)*(Sancoes!$B$2:$B$301&lt;&gt;"Não consta")*(Sancoes!$D$2:$D$301&lt;&gt;"")*(Sancoes!$D$2:$D$301&lt;=F896)*(((Sancoes!$E$2:$E$301="")+(Sancoes!$E$2:$E$301&gt;=F896))&gt;0))&gt;0,"SANÇÃO VIGENTE NA DATA — leia o tipo e a abrangência",""))</f>
        <v/>
      </c>
      <c r="L896" s="19" t="str">
        <f aca="false">IF(A896="","",IFERROR(INDEX(Empresas!$B:$B,MATCH(A896,Empresas!$A:$A,0))&amp;"","cadastre o CNPJ em Empresas"))</f>
        <v/>
      </c>
      <c r="M896" s="27"/>
      <c r="N896" s="35"/>
      <c r="O896" s="37" t="str">
        <f aca="false">IF(OR(D896="",D896=0,N896=""),"",N896/D896)</f>
        <v/>
      </c>
      <c r="P896" s="19" t="str">
        <f aca="false">IF(O896="","",IF(O896&gt;0.25,"ACRÉSCIMO ACIMA DE 25% — conferir",""))</f>
        <v/>
      </c>
      <c r="Q896" s="27"/>
      <c r="R896" s="5"/>
    </row>
    <row r="897" customFormat="false" ht="15" hidden="false" customHeight="false" outlineLevel="0" collapsed="false">
      <c r="A897" s="27"/>
      <c r="B897" s="5"/>
      <c r="C897" s="5"/>
      <c r="D897" s="35"/>
      <c r="E897" s="14"/>
      <c r="F897" s="18"/>
      <c r="G897" s="31" t="str">
        <f aca="false">IF(A897="","",IFERROR(IF(INDEX(Empresas!$C:$C,MATCH(A897,Empresas!$A:$A,0))="","",INDEX(Empresas!$C:$C,MATCH(A897,Empresas!$A:$A,0))),""))</f>
        <v/>
      </c>
      <c r="H897" s="18"/>
      <c r="I897" s="19" t="str">
        <f aca="false">IF(OR(F897="",G897=""),"",IF(F897-G897&lt;0,"CONTRATO ANTERIOR À ABERTURA — conferir datas",IF(F897-G897&lt;180,"ABERTA MENOS DE 6 MESES ANTES","")))</f>
        <v/>
      </c>
      <c r="J897" s="19" t="str">
        <f aca="false">IF(A897="","",IFERROR(INDEX(Sancoes!$B:$B,MATCH(A897,Sancoes!$A:$A,0))&amp;"","não consta"))</f>
        <v/>
      </c>
      <c r="K897" s="19" t="str">
        <f aca="false">IF(OR(A897="",F897=""),"",IF(SUMPRODUCT((Sancoes!$A$2:$A$301=A897)*(Sancoes!$B$2:$B$301&lt;&gt;"Não consta")*(Sancoes!$D$2:$D$301&lt;&gt;"")*(Sancoes!$D$2:$D$301&lt;=F897)*(((Sancoes!$E$2:$E$301="")+(Sancoes!$E$2:$E$301&gt;=F897))&gt;0))&gt;0,"SANÇÃO VIGENTE NA DATA — leia o tipo e a abrangência",""))</f>
        <v/>
      </c>
      <c r="L897" s="19" t="str">
        <f aca="false">IF(A897="","",IFERROR(INDEX(Empresas!$B:$B,MATCH(A897,Empresas!$A:$A,0))&amp;"","cadastre o CNPJ em Empresas"))</f>
        <v/>
      </c>
      <c r="M897" s="27"/>
      <c r="N897" s="35"/>
      <c r="O897" s="37" t="str">
        <f aca="false">IF(OR(D897="",D897=0,N897=""),"",N897/D897)</f>
        <v/>
      </c>
      <c r="P897" s="19" t="str">
        <f aca="false">IF(O897="","",IF(O897&gt;0.25,"ACRÉSCIMO ACIMA DE 25% — conferir",""))</f>
        <v/>
      </c>
      <c r="Q897" s="27"/>
      <c r="R897" s="5"/>
    </row>
    <row r="898" customFormat="false" ht="15" hidden="false" customHeight="false" outlineLevel="0" collapsed="false">
      <c r="A898" s="27"/>
      <c r="B898" s="5"/>
      <c r="C898" s="5"/>
      <c r="D898" s="35"/>
      <c r="E898" s="14"/>
      <c r="F898" s="18"/>
      <c r="G898" s="31" t="str">
        <f aca="false">IF(A898="","",IFERROR(IF(INDEX(Empresas!$C:$C,MATCH(A898,Empresas!$A:$A,0))="","",INDEX(Empresas!$C:$C,MATCH(A898,Empresas!$A:$A,0))),""))</f>
        <v/>
      </c>
      <c r="H898" s="18"/>
      <c r="I898" s="19" t="str">
        <f aca="false">IF(OR(F898="",G898=""),"",IF(F898-G898&lt;0,"CONTRATO ANTERIOR À ABERTURA — conferir datas",IF(F898-G898&lt;180,"ABERTA MENOS DE 6 MESES ANTES","")))</f>
        <v/>
      </c>
      <c r="J898" s="19" t="str">
        <f aca="false">IF(A898="","",IFERROR(INDEX(Sancoes!$B:$B,MATCH(A898,Sancoes!$A:$A,0))&amp;"","não consta"))</f>
        <v/>
      </c>
      <c r="K898" s="19" t="str">
        <f aca="false">IF(OR(A898="",F898=""),"",IF(SUMPRODUCT((Sancoes!$A$2:$A$301=A898)*(Sancoes!$B$2:$B$301&lt;&gt;"Não consta")*(Sancoes!$D$2:$D$301&lt;&gt;"")*(Sancoes!$D$2:$D$301&lt;=F898)*(((Sancoes!$E$2:$E$301="")+(Sancoes!$E$2:$E$301&gt;=F898))&gt;0))&gt;0,"SANÇÃO VIGENTE NA DATA — leia o tipo e a abrangência",""))</f>
        <v/>
      </c>
      <c r="L898" s="19" t="str">
        <f aca="false">IF(A898="","",IFERROR(INDEX(Empresas!$B:$B,MATCH(A898,Empresas!$A:$A,0))&amp;"","cadastre o CNPJ em Empresas"))</f>
        <v/>
      </c>
      <c r="M898" s="27"/>
      <c r="N898" s="35"/>
      <c r="O898" s="37" t="str">
        <f aca="false">IF(OR(D898="",D898=0,N898=""),"",N898/D898)</f>
        <v/>
      </c>
      <c r="P898" s="19" t="str">
        <f aca="false">IF(O898="","",IF(O898&gt;0.25,"ACRÉSCIMO ACIMA DE 25% — conferir",""))</f>
        <v/>
      </c>
      <c r="Q898" s="27"/>
      <c r="R898" s="5"/>
    </row>
    <row r="899" customFormat="false" ht="15" hidden="false" customHeight="false" outlineLevel="0" collapsed="false">
      <c r="A899" s="27"/>
      <c r="B899" s="5"/>
      <c r="C899" s="5"/>
      <c r="D899" s="35"/>
      <c r="E899" s="14"/>
      <c r="F899" s="18"/>
      <c r="G899" s="31" t="str">
        <f aca="false">IF(A899="","",IFERROR(IF(INDEX(Empresas!$C:$C,MATCH(A899,Empresas!$A:$A,0))="","",INDEX(Empresas!$C:$C,MATCH(A899,Empresas!$A:$A,0))),""))</f>
        <v/>
      </c>
      <c r="H899" s="18"/>
      <c r="I899" s="19" t="str">
        <f aca="false">IF(OR(F899="",G899=""),"",IF(F899-G899&lt;0,"CONTRATO ANTERIOR À ABERTURA — conferir datas",IF(F899-G899&lt;180,"ABERTA MENOS DE 6 MESES ANTES","")))</f>
        <v/>
      </c>
      <c r="J899" s="19" t="str">
        <f aca="false">IF(A899="","",IFERROR(INDEX(Sancoes!$B:$B,MATCH(A899,Sancoes!$A:$A,0))&amp;"","não consta"))</f>
        <v/>
      </c>
      <c r="K899" s="19" t="str">
        <f aca="false">IF(OR(A899="",F899=""),"",IF(SUMPRODUCT((Sancoes!$A$2:$A$301=A899)*(Sancoes!$B$2:$B$301&lt;&gt;"Não consta")*(Sancoes!$D$2:$D$301&lt;&gt;"")*(Sancoes!$D$2:$D$301&lt;=F899)*(((Sancoes!$E$2:$E$301="")+(Sancoes!$E$2:$E$301&gt;=F899))&gt;0))&gt;0,"SANÇÃO VIGENTE NA DATA — leia o tipo e a abrangência",""))</f>
        <v/>
      </c>
      <c r="L899" s="19" t="str">
        <f aca="false">IF(A899="","",IFERROR(INDEX(Empresas!$B:$B,MATCH(A899,Empresas!$A:$A,0))&amp;"","cadastre o CNPJ em Empresas"))</f>
        <v/>
      </c>
      <c r="M899" s="27"/>
      <c r="N899" s="35"/>
      <c r="O899" s="37" t="str">
        <f aca="false">IF(OR(D899="",D899=0,N899=""),"",N899/D899)</f>
        <v/>
      </c>
      <c r="P899" s="19" t="str">
        <f aca="false">IF(O899="","",IF(O899&gt;0.25,"ACRÉSCIMO ACIMA DE 25% — conferir",""))</f>
        <v/>
      </c>
      <c r="Q899" s="27"/>
      <c r="R899" s="5"/>
    </row>
    <row r="900" customFormat="false" ht="15" hidden="false" customHeight="false" outlineLevel="0" collapsed="false">
      <c r="A900" s="27"/>
      <c r="B900" s="5"/>
      <c r="C900" s="5"/>
      <c r="D900" s="35"/>
      <c r="E900" s="14"/>
      <c r="F900" s="18"/>
      <c r="G900" s="31" t="str">
        <f aca="false">IF(A900="","",IFERROR(IF(INDEX(Empresas!$C:$C,MATCH(A900,Empresas!$A:$A,0))="","",INDEX(Empresas!$C:$C,MATCH(A900,Empresas!$A:$A,0))),""))</f>
        <v/>
      </c>
      <c r="H900" s="18"/>
      <c r="I900" s="19" t="str">
        <f aca="false">IF(OR(F900="",G900=""),"",IF(F900-G900&lt;0,"CONTRATO ANTERIOR À ABERTURA — conferir datas",IF(F900-G900&lt;180,"ABERTA MENOS DE 6 MESES ANTES","")))</f>
        <v/>
      </c>
      <c r="J900" s="19" t="str">
        <f aca="false">IF(A900="","",IFERROR(INDEX(Sancoes!$B:$B,MATCH(A900,Sancoes!$A:$A,0))&amp;"","não consta"))</f>
        <v/>
      </c>
      <c r="K900" s="19" t="str">
        <f aca="false">IF(OR(A900="",F900=""),"",IF(SUMPRODUCT((Sancoes!$A$2:$A$301=A900)*(Sancoes!$B$2:$B$301&lt;&gt;"Não consta")*(Sancoes!$D$2:$D$301&lt;&gt;"")*(Sancoes!$D$2:$D$301&lt;=F900)*(((Sancoes!$E$2:$E$301="")+(Sancoes!$E$2:$E$301&gt;=F900))&gt;0))&gt;0,"SANÇÃO VIGENTE NA DATA — leia o tipo e a abrangência",""))</f>
        <v/>
      </c>
      <c r="L900" s="19" t="str">
        <f aca="false">IF(A900="","",IFERROR(INDEX(Empresas!$B:$B,MATCH(A900,Empresas!$A:$A,0))&amp;"","cadastre o CNPJ em Empresas"))</f>
        <v/>
      </c>
      <c r="M900" s="27"/>
      <c r="N900" s="35"/>
      <c r="O900" s="37" t="str">
        <f aca="false">IF(OR(D900="",D900=0,N900=""),"",N900/D900)</f>
        <v/>
      </c>
      <c r="P900" s="19" t="str">
        <f aca="false">IF(O900="","",IF(O900&gt;0.25,"ACRÉSCIMO ACIMA DE 25% — conferir",""))</f>
        <v/>
      </c>
      <c r="Q900" s="27"/>
      <c r="R900" s="5"/>
    </row>
    <row r="901" customFormat="false" ht="15" hidden="false" customHeight="false" outlineLevel="0" collapsed="false">
      <c r="A901" s="27"/>
      <c r="B901" s="5"/>
      <c r="C901" s="5"/>
      <c r="D901" s="35"/>
      <c r="E901" s="14"/>
      <c r="F901" s="18"/>
      <c r="G901" s="31" t="str">
        <f aca="false">IF(A901="","",IFERROR(IF(INDEX(Empresas!$C:$C,MATCH(A901,Empresas!$A:$A,0))="","",INDEX(Empresas!$C:$C,MATCH(A901,Empresas!$A:$A,0))),""))</f>
        <v/>
      </c>
      <c r="H901" s="18"/>
      <c r="I901" s="19" t="str">
        <f aca="false">IF(OR(F901="",G901=""),"",IF(F901-G901&lt;0,"CONTRATO ANTERIOR À ABERTURA — conferir datas",IF(F901-G901&lt;180,"ABERTA MENOS DE 6 MESES ANTES","")))</f>
        <v/>
      </c>
      <c r="J901" s="19" t="str">
        <f aca="false">IF(A901="","",IFERROR(INDEX(Sancoes!$B:$B,MATCH(A901,Sancoes!$A:$A,0))&amp;"","não consta"))</f>
        <v/>
      </c>
      <c r="K901" s="19" t="str">
        <f aca="false">IF(OR(A901="",F901=""),"",IF(SUMPRODUCT((Sancoes!$A$2:$A$301=A901)*(Sancoes!$B$2:$B$301&lt;&gt;"Não consta")*(Sancoes!$D$2:$D$301&lt;&gt;"")*(Sancoes!$D$2:$D$301&lt;=F901)*(((Sancoes!$E$2:$E$301="")+(Sancoes!$E$2:$E$301&gt;=F901))&gt;0))&gt;0,"SANÇÃO VIGENTE NA DATA — leia o tipo e a abrangência",""))</f>
        <v/>
      </c>
      <c r="L901" s="19" t="str">
        <f aca="false">IF(A901="","",IFERROR(INDEX(Empresas!$B:$B,MATCH(A901,Empresas!$A:$A,0))&amp;"","cadastre o CNPJ em Empresas"))</f>
        <v/>
      </c>
      <c r="M901" s="27"/>
      <c r="N901" s="35"/>
      <c r="O901" s="37" t="str">
        <f aca="false">IF(OR(D901="",D901=0,N901=""),"",N901/D901)</f>
        <v/>
      </c>
      <c r="P901" s="19" t="str">
        <f aca="false">IF(O901="","",IF(O901&gt;0.25,"ACRÉSCIMO ACIMA DE 25% — conferir",""))</f>
        <v/>
      </c>
      <c r="Q901" s="27"/>
      <c r="R901" s="5"/>
    </row>
    <row r="902" customFormat="false" ht="15" hidden="false" customHeight="false" outlineLevel="0" collapsed="false">
      <c r="A902" s="27"/>
      <c r="B902" s="5"/>
      <c r="C902" s="5"/>
      <c r="D902" s="35"/>
      <c r="E902" s="14"/>
      <c r="F902" s="18"/>
      <c r="G902" s="31" t="str">
        <f aca="false">IF(A902="","",IFERROR(IF(INDEX(Empresas!$C:$C,MATCH(A902,Empresas!$A:$A,0))="","",INDEX(Empresas!$C:$C,MATCH(A902,Empresas!$A:$A,0))),""))</f>
        <v/>
      </c>
      <c r="H902" s="18"/>
      <c r="I902" s="19" t="str">
        <f aca="false">IF(OR(F902="",G902=""),"",IF(F902-G902&lt;0,"CONTRATO ANTERIOR À ABERTURA — conferir datas",IF(F902-G902&lt;180,"ABERTA MENOS DE 6 MESES ANTES","")))</f>
        <v/>
      </c>
      <c r="J902" s="19" t="str">
        <f aca="false">IF(A902="","",IFERROR(INDEX(Sancoes!$B:$B,MATCH(A902,Sancoes!$A:$A,0))&amp;"","não consta"))</f>
        <v/>
      </c>
      <c r="K902" s="19" t="str">
        <f aca="false">IF(OR(A902="",F902=""),"",IF(SUMPRODUCT((Sancoes!$A$2:$A$301=A902)*(Sancoes!$B$2:$B$301&lt;&gt;"Não consta")*(Sancoes!$D$2:$D$301&lt;&gt;"")*(Sancoes!$D$2:$D$301&lt;=F902)*(((Sancoes!$E$2:$E$301="")+(Sancoes!$E$2:$E$301&gt;=F902))&gt;0))&gt;0,"SANÇÃO VIGENTE NA DATA — leia o tipo e a abrangência",""))</f>
        <v/>
      </c>
      <c r="L902" s="19" t="str">
        <f aca="false">IF(A902="","",IFERROR(INDEX(Empresas!$B:$B,MATCH(A902,Empresas!$A:$A,0))&amp;"","cadastre o CNPJ em Empresas"))</f>
        <v/>
      </c>
      <c r="M902" s="27"/>
      <c r="N902" s="35"/>
      <c r="O902" s="37" t="str">
        <f aca="false">IF(OR(D902="",D902=0,N902=""),"",N902/D902)</f>
        <v/>
      </c>
      <c r="P902" s="19" t="str">
        <f aca="false">IF(O902="","",IF(O902&gt;0.25,"ACRÉSCIMO ACIMA DE 25% — conferir",""))</f>
        <v/>
      </c>
      <c r="Q902" s="27"/>
      <c r="R902" s="5"/>
    </row>
    <row r="903" customFormat="false" ht="15" hidden="false" customHeight="false" outlineLevel="0" collapsed="false">
      <c r="A903" s="27"/>
      <c r="B903" s="5"/>
      <c r="C903" s="5"/>
      <c r="D903" s="35"/>
      <c r="E903" s="14"/>
      <c r="F903" s="18"/>
      <c r="G903" s="31" t="str">
        <f aca="false">IF(A903="","",IFERROR(IF(INDEX(Empresas!$C:$C,MATCH(A903,Empresas!$A:$A,0))="","",INDEX(Empresas!$C:$C,MATCH(A903,Empresas!$A:$A,0))),""))</f>
        <v/>
      </c>
      <c r="H903" s="18"/>
      <c r="I903" s="19" t="str">
        <f aca="false">IF(OR(F903="",G903=""),"",IF(F903-G903&lt;0,"CONTRATO ANTERIOR À ABERTURA — conferir datas",IF(F903-G903&lt;180,"ABERTA MENOS DE 6 MESES ANTES","")))</f>
        <v/>
      </c>
      <c r="J903" s="19" t="str">
        <f aca="false">IF(A903="","",IFERROR(INDEX(Sancoes!$B:$B,MATCH(A903,Sancoes!$A:$A,0))&amp;"","não consta"))</f>
        <v/>
      </c>
      <c r="K903" s="19" t="str">
        <f aca="false">IF(OR(A903="",F903=""),"",IF(SUMPRODUCT((Sancoes!$A$2:$A$301=A903)*(Sancoes!$B$2:$B$301&lt;&gt;"Não consta")*(Sancoes!$D$2:$D$301&lt;&gt;"")*(Sancoes!$D$2:$D$301&lt;=F903)*(((Sancoes!$E$2:$E$301="")+(Sancoes!$E$2:$E$301&gt;=F903))&gt;0))&gt;0,"SANÇÃO VIGENTE NA DATA — leia o tipo e a abrangência",""))</f>
        <v/>
      </c>
      <c r="L903" s="19" t="str">
        <f aca="false">IF(A903="","",IFERROR(INDEX(Empresas!$B:$B,MATCH(A903,Empresas!$A:$A,0))&amp;"","cadastre o CNPJ em Empresas"))</f>
        <v/>
      </c>
      <c r="M903" s="27"/>
      <c r="N903" s="35"/>
      <c r="O903" s="37" t="str">
        <f aca="false">IF(OR(D903="",D903=0,N903=""),"",N903/D903)</f>
        <v/>
      </c>
      <c r="P903" s="19" t="str">
        <f aca="false">IF(O903="","",IF(O903&gt;0.25,"ACRÉSCIMO ACIMA DE 25% — conferir",""))</f>
        <v/>
      </c>
      <c r="Q903" s="27"/>
      <c r="R903" s="5"/>
    </row>
    <row r="904" customFormat="false" ht="15" hidden="false" customHeight="false" outlineLevel="0" collapsed="false">
      <c r="A904" s="27"/>
      <c r="B904" s="5"/>
      <c r="C904" s="5"/>
      <c r="D904" s="35"/>
      <c r="E904" s="14"/>
      <c r="F904" s="18"/>
      <c r="G904" s="31" t="str">
        <f aca="false">IF(A904="","",IFERROR(IF(INDEX(Empresas!$C:$C,MATCH(A904,Empresas!$A:$A,0))="","",INDEX(Empresas!$C:$C,MATCH(A904,Empresas!$A:$A,0))),""))</f>
        <v/>
      </c>
      <c r="H904" s="18"/>
      <c r="I904" s="19" t="str">
        <f aca="false">IF(OR(F904="",G904=""),"",IF(F904-G904&lt;0,"CONTRATO ANTERIOR À ABERTURA — conferir datas",IF(F904-G904&lt;180,"ABERTA MENOS DE 6 MESES ANTES","")))</f>
        <v/>
      </c>
      <c r="J904" s="19" t="str">
        <f aca="false">IF(A904="","",IFERROR(INDEX(Sancoes!$B:$B,MATCH(A904,Sancoes!$A:$A,0))&amp;"","não consta"))</f>
        <v/>
      </c>
      <c r="K904" s="19" t="str">
        <f aca="false">IF(OR(A904="",F904=""),"",IF(SUMPRODUCT((Sancoes!$A$2:$A$301=A904)*(Sancoes!$B$2:$B$301&lt;&gt;"Não consta")*(Sancoes!$D$2:$D$301&lt;&gt;"")*(Sancoes!$D$2:$D$301&lt;=F904)*(((Sancoes!$E$2:$E$301="")+(Sancoes!$E$2:$E$301&gt;=F904))&gt;0))&gt;0,"SANÇÃO VIGENTE NA DATA — leia o tipo e a abrangência",""))</f>
        <v/>
      </c>
      <c r="L904" s="19" t="str">
        <f aca="false">IF(A904="","",IFERROR(INDEX(Empresas!$B:$B,MATCH(A904,Empresas!$A:$A,0))&amp;"","cadastre o CNPJ em Empresas"))</f>
        <v/>
      </c>
      <c r="M904" s="27"/>
      <c r="N904" s="35"/>
      <c r="O904" s="37" t="str">
        <f aca="false">IF(OR(D904="",D904=0,N904=""),"",N904/D904)</f>
        <v/>
      </c>
      <c r="P904" s="19" t="str">
        <f aca="false">IF(O904="","",IF(O904&gt;0.25,"ACRÉSCIMO ACIMA DE 25% — conferir",""))</f>
        <v/>
      </c>
      <c r="Q904" s="27"/>
      <c r="R904" s="5"/>
    </row>
    <row r="905" customFormat="false" ht="15" hidden="false" customHeight="false" outlineLevel="0" collapsed="false">
      <c r="A905" s="27"/>
      <c r="B905" s="5"/>
      <c r="C905" s="5"/>
      <c r="D905" s="35"/>
      <c r="E905" s="14"/>
      <c r="F905" s="18"/>
      <c r="G905" s="31" t="str">
        <f aca="false">IF(A905="","",IFERROR(IF(INDEX(Empresas!$C:$C,MATCH(A905,Empresas!$A:$A,0))="","",INDEX(Empresas!$C:$C,MATCH(A905,Empresas!$A:$A,0))),""))</f>
        <v/>
      </c>
      <c r="H905" s="18"/>
      <c r="I905" s="19" t="str">
        <f aca="false">IF(OR(F905="",G905=""),"",IF(F905-G905&lt;0,"CONTRATO ANTERIOR À ABERTURA — conferir datas",IF(F905-G905&lt;180,"ABERTA MENOS DE 6 MESES ANTES","")))</f>
        <v/>
      </c>
      <c r="J905" s="19" t="str">
        <f aca="false">IF(A905="","",IFERROR(INDEX(Sancoes!$B:$B,MATCH(A905,Sancoes!$A:$A,0))&amp;"","não consta"))</f>
        <v/>
      </c>
      <c r="K905" s="19" t="str">
        <f aca="false">IF(OR(A905="",F905=""),"",IF(SUMPRODUCT((Sancoes!$A$2:$A$301=A905)*(Sancoes!$B$2:$B$301&lt;&gt;"Não consta")*(Sancoes!$D$2:$D$301&lt;&gt;"")*(Sancoes!$D$2:$D$301&lt;=F905)*(((Sancoes!$E$2:$E$301="")+(Sancoes!$E$2:$E$301&gt;=F905))&gt;0))&gt;0,"SANÇÃO VIGENTE NA DATA — leia o tipo e a abrangência",""))</f>
        <v/>
      </c>
      <c r="L905" s="19" t="str">
        <f aca="false">IF(A905="","",IFERROR(INDEX(Empresas!$B:$B,MATCH(A905,Empresas!$A:$A,0))&amp;"","cadastre o CNPJ em Empresas"))</f>
        <v/>
      </c>
      <c r="M905" s="27"/>
      <c r="N905" s="35"/>
      <c r="O905" s="37" t="str">
        <f aca="false">IF(OR(D905="",D905=0,N905=""),"",N905/D905)</f>
        <v/>
      </c>
      <c r="P905" s="19" t="str">
        <f aca="false">IF(O905="","",IF(O905&gt;0.25,"ACRÉSCIMO ACIMA DE 25% — conferir",""))</f>
        <v/>
      </c>
      <c r="Q905" s="27"/>
      <c r="R905" s="5"/>
    </row>
    <row r="906" customFormat="false" ht="15" hidden="false" customHeight="false" outlineLevel="0" collapsed="false">
      <c r="A906" s="27"/>
      <c r="B906" s="5"/>
      <c r="C906" s="5"/>
      <c r="D906" s="35"/>
      <c r="E906" s="14"/>
      <c r="F906" s="18"/>
      <c r="G906" s="31" t="str">
        <f aca="false">IF(A906="","",IFERROR(IF(INDEX(Empresas!$C:$C,MATCH(A906,Empresas!$A:$A,0))="","",INDEX(Empresas!$C:$C,MATCH(A906,Empresas!$A:$A,0))),""))</f>
        <v/>
      </c>
      <c r="H906" s="18"/>
      <c r="I906" s="19" t="str">
        <f aca="false">IF(OR(F906="",G906=""),"",IF(F906-G906&lt;0,"CONTRATO ANTERIOR À ABERTURA — conferir datas",IF(F906-G906&lt;180,"ABERTA MENOS DE 6 MESES ANTES","")))</f>
        <v/>
      </c>
      <c r="J906" s="19" t="str">
        <f aca="false">IF(A906="","",IFERROR(INDEX(Sancoes!$B:$B,MATCH(A906,Sancoes!$A:$A,0))&amp;"","não consta"))</f>
        <v/>
      </c>
      <c r="K906" s="19" t="str">
        <f aca="false">IF(OR(A906="",F906=""),"",IF(SUMPRODUCT((Sancoes!$A$2:$A$301=A906)*(Sancoes!$B$2:$B$301&lt;&gt;"Não consta")*(Sancoes!$D$2:$D$301&lt;&gt;"")*(Sancoes!$D$2:$D$301&lt;=F906)*(((Sancoes!$E$2:$E$301="")+(Sancoes!$E$2:$E$301&gt;=F906))&gt;0))&gt;0,"SANÇÃO VIGENTE NA DATA — leia o tipo e a abrangência",""))</f>
        <v/>
      </c>
      <c r="L906" s="19" t="str">
        <f aca="false">IF(A906="","",IFERROR(INDEX(Empresas!$B:$B,MATCH(A906,Empresas!$A:$A,0))&amp;"","cadastre o CNPJ em Empresas"))</f>
        <v/>
      </c>
      <c r="M906" s="27"/>
      <c r="N906" s="35"/>
      <c r="O906" s="37" t="str">
        <f aca="false">IF(OR(D906="",D906=0,N906=""),"",N906/D906)</f>
        <v/>
      </c>
      <c r="P906" s="19" t="str">
        <f aca="false">IF(O906="","",IF(O906&gt;0.25,"ACRÉSCIMO ACIMA DE 25% — conferir",""))</f>
        <v/>
      </c>
      <c r="Q906" s="27"/>
      <c r="R906" s="5"/>
    </row>
    <row r="907" customFormat="false" ht="15" hidden="false" customHeight="false" outlineLevel="0" collapsed="false">
      <c r="A907" s="27"/>
      <c r="B907" s="5"/>
      <c r="C907" s="5"/>
      <c r="D907" s="35"/>
      <c r="E907" s="14"/>
      <c r="F907" s="18"/>
      <c r="G907" s="31" t="str">
        <f aca="false">IF(A907="","",IFERROR(IF(INDEX(Empresas!$C:$C,MATCH(A907,Empresas!$A:$A,0))="","",INDEX(Empresas!$C:$C,MATCH(A907,Empresas!$A:$A,0))),""))</f>
        <v/>
      </c>
      <c r="H907" s="18"/>
      <c r="I907" s="19" t="str">
        <f aca="false">IF(OR(F907="",G907=""),"",IF(F907-G907&lt;0,"CONTRATO ANTERIOR À ABERTURA — conferir datas",IF(F907-G907&lt;180,"ABERTA MENOS DE 6 MESES ANTES","")))</f>
        <v/>
      </c>
      <c r="J907" s="19" t="str">
        <f aca="false">IF(A907="","",IFERROR(INDEX(Sancoes!$B:$B,MATCH(A907,Sancoes!$A:$A,0))&amp;"","não consta"))</f>
        <v/>
      </c>
      <c r="K907" s="19" t="str">
        <f aca="false">IF(OR(A907="",F907=""),"",IF(SUMPRODUCT((Sancoes!$A$2:$A$301=A907)*(Sancoes!$B$2:$B$301&lt;&gt;"Não consta")*(Sancoes!$D$2:$D$301&lt;&gt;"")*(Sancoes!$D$2:$D$301&lt;=F907)*(((Sancoes!$E$2:$E$301="")+(Sancoes!$E$2:$E$301&gt;=F907))&gt;0))&gt;0,"SANÇÃO VIGENTE NA DATA — leia o tipo e a abrangência",""))</f>
        <v/>
      </c>
      <c r="L907" s="19" t="str">
        <f aca="false">IF(A907="","",IFERROR(INDEX(Empresas!$B:$B,MATCH(A907,Empresas!$A:$A,0))&amp;"","cadastre o CNPJ em Empresas"))</f>
        <v/>
      </c>
      <c r="M907" s="27"/>
      <c r="N907" s="35"/>
      <c r="O907" s="37" t="str">
        <f aca="false">IF(OR(D907="",D907=0,N907=""),"",N907/D907)</f>
        <v/>
      </c>
      <c r="P907" s="19" t="str">
        <f aca="false">IF(O907="","",IF(O907&gt;0.25,"ACRÉSCIMO ACIMA DE 25% — conferir",""))</f>
        <v/>
      </c>
      <c r="Q907" s="27"/>
      <c r="R907" s="5"/>
    </row>
    <row r="908" customFormat="false" ht="15" hidden="false" customHeight="false" outlineLevel="0" collapsed="false">
      <c r="A908" s="27"/>
      <c r="B908" s="5"/>
      <c r="C908" s="5"/>
      <c r="D908" s="35"/>
      <c r="E908" s="14"/>
      <c r="F908" s="18"/>
      <c r="G908" s="31" t="str">
        <f aca="false">IF(A908="","",IFERROR(IF(INDEX(Empresas!$C:$C,MATCH(A908,Empresas!$A:$A,0))="","",INDEX(Empresas!$C:$C,MATCH(A908,Empresas!$A:$A,0))),""))</f>
        <v/>
      </c>
      <c r="H908" s="18"/>
      <c r="I908" s="19" t="str">
        <f aca="false">IF(OR(F908="",G908=""),"",IF(F908-G908&lt;0,"CONTRATO ANTERIOR À ABERTURA — conferir datas",IF(F908-G908&lt;180,"ABERTA MENOS DE 6 MESES ANTES","")))</f>
        <v/>
      </c>
      <c r="J908" s="19" t="str">
        <f aca="false">IF(A908="","",IFERROR(INDEX(Sancoes!$B:$B,MATCH(A908,Sancoes!$A:$A,0))&amp;"","não consta"))</f>
        <v/>
      </c>
      <c r="K908" s="19" t="str">
        <f aca="false">IF(OR(A908="",F908=""),"",IF(SUMPRODUCT((Sancoes!$A$2:$A$301=A908)*(Sancoes!$B$2:$B$301&lt;&gt;"Não consta")*(Sancoes!$D$2:$D$301&lt;&gt;"")*(Sancoes!$D$2:$D$301&lt;=F908)*(((Sancoes!$E$2:$E$301="")+(Sancoes!$E$2:$E$301&gt;=F908))&gt;0))&gt;0,"SANÇÃO VIGENTE NA DATA — leia o tipo e a abrangência",""))</f>
        <v/>
      </c>
      <c r="L908" s="19" t="str">
        <f aca="false">IF(A908="","",IFERROR(INDEX(Empresas!$B:$B,MATCH(A908,Empresas!$A:$A,0))&amp;"","cadastre o CNPJ em Empresas"))</f>
        <v/>
      </c>
      <c r="M908" s="27"/>
      <c r="N908" s="35"/>
      <c r="O908" s="37" t="str">
        <f aca="false">IF(OR(D908="",D908=0,N908=""),"",N908/D908)</f>
        <v/>
      </c>
      <c r="P908" s="19" t="str">
        <f aca="false">IF(O908="","",IF(O908&gt;0.25,"ACRÉSCIMO ACIMA DE 25% — conferir",""))</f>
        <v/>
      </c>
      <c r="Q908" s="27"/>
      <c r="R908" s="5"/>
    </row>
    <row r="909" customFormat="false" ht="15" hidden="false" customHeight="false" outlineLevel="0" collapsed="false">
      <c r="A909" s="27"/>
      <c r="B909" s="5"/>
      <c r="C909" s="5"/>
      <c r="D909" s="35"/>
      <c r="E909" s="14"/>
      <c r="F909" s="18"/>
      <c r="G909" s="31" t="str">
        <f aca="false">IF(A909="","",IFERROR(IF(INDEX(Empresas!$C:$C,MATCH(A909,Empresas!$A:$A,0))="","",INDEX(Empresas!$C:$C,MATCH(A909,Empresas!$A:$A,0))),""))</f>
        <v/>
      </c>
      <c r="H909" s="18"/>
      <c r="I909" s="19" t="str">
        <f aca="false">IF(OR(F909="",G909=""),"",IF(F909-G909&lt;0,"CONTRATO ANTERIOR À ABERTURA — conferir datas",IF(F909-G909&lt;180,"ABERTA MENOS DE 6 MESES ANTES","")))</f>
        <v/>
      </c>
      <c r="J909" s="19" t="str">
        <f aca="false">IF(A909="","",IFERROR(INDEX(Sancoes!$B:$B,MATCH(A909,Sancoes!$A:$A,0))&amp;"","não consta"))</f>
        <v/>
      </c>
      <c r="K909" s="19" t="str">
        <f aca="false">IF(OR(A909="",F909=""),"",IF(SUMPRODUCT((Sancoes!$A$2:$A$301=A909)*(Sancoes!$B$2:$B$301&lt;&gt;"Não consta")*(Sancoes!$D$2:$D$301&lt;&gt;"")*(Sancoes!$D$2:$D$301&lt;=F909)*(((Sancoes!$E$2:$E$301="")+(Sancoes!$E$2:$E$301&gt;=F909))&gt;0))&gt;0,"SANÇÃO VIGENTE NA DATA — leia o tipo e a abrangência",""))</f>
        <v/>
      </c>
      <c r="L909" s="19" t="str">
        <f aca="false">IF(A909="","",IFERROR(INDEX(Empresas!$B:$B,MATCH(A909,Empresas!$A:$A,0))&amp;"","cadastre o CNPJ em Empresas"))</f>
        <v/>
      </c>
      <c r="M909" s="27"/>
      <c r="N909" s="35"/>
      <c r="O909" s="37" t="str">
        <f aca="false">IF(OR(D909="",D909=0,N909=""),"",N909/D909)</f>
        <v/>
      </c>
      <c r="P909" s="19" t="str">
        <f aca="false">IF(O909="","",IF(O909&gt;0.25,"ACRÉSCIMO ACIMA DE 25% — conferir",""))</f>
        <v/>
      </c>
      <c r="Q909" s="27"/>
      <c r="R909" s="5"/>
    </row>
    <row r="910" customFormat="false" ht="15" hidden="false" customHeight="false" outlineLevel="0" collapsed="false">
      <c r="A910" s="27"/>
      <c r="B910" s="5"/>
      <c r="C910" s="5"/>
      <c r="D910" s="35"/>
      <c r="E910" s="14"/>
      <c r="F910" s="18"/>
      <c r="G910" s="31" t="str">
        <f aca="false">IF(A910="","",IFERROR(IF(INDEX(Empresas!$C:$C,MATCH(A910,Empresas!$A:$A,0))="","",INDEX(Empresas!$C:$C,MATCH(A910,Empresas!$A:$A,0))),""))</f>
        <v/>
      </c>
      <c r="H910" s="18"/>
      <c r="I910" s="19" t="str">
        <f aca="false">IF(OR(F910="",G910=""),"",IF(F910-G910&lt;0,"CONTRATO ANTERIOR À ABERTURA — conferir datas",IF(F910-G910&lt;180,"ABERTA MENOS DE 6 MESES ANTES","")))</f>
        <v/>
      </c>
      <c r="J910" s="19" t="str">
        <f aca="false">IF(A910="","",IFERROR(INDEX(Sancoes!$B:$B,MATCH(A910,Sancoes!$A:$A,0))&amp;"","não consta"))</f>
        <v/>
      </c>
      <c r="K910" s="19" t="str">
        <f aca="false">IF(OR(A910="",F910=""),"",IF(SUMPRODUCT((Sancoes!$A$2:$A$301=A910)*(Sancoes!$B$2:$B$301&lt;&gt;"Não consta")*(Sancoes!$D$2:$D$301&lt;&gt;"")*(Sancoes!$D$2:$D$301&lt;=F910)*(((Sancoes!$E$2:$E$301="")+(Sancoes!$E$2:$E$301&gt;=F910))&gt;0))&gt;0,"SANÇÃO VIGENTE NA DATA — leia o tipo e a abrangência",""))</f>
        <v/>
      </c>
      <c r="L910" s="19" t="str">
        <f aca="false">IF(A910="","",IFERROR(INDEX(Empresas!$B:$B,MATCH(A910,Empresas!$A:$A,0))&amp;"","cadastre o CNPJ em Empresas"))</f>
        <v/>
      </c>
      <c r="M910" s="27"/>
      <c r="N910" s="35"/>
      <c r="O910" s="37" t="str">
        <f aca="false">IF(OR(D910="",D910=0,N910=""),"",N910/D910)</f>
        <v/>
      </c>
      <c r="P910" s="19" t="str">
        <f aca="false">IF(O910="","",IF(O910&gt;0.25,"ACRÉSCIMO ACIMA DE 25% — conferir",""))</f>
        <v/>
      </c>
      <c r="Q910" s="27"/>
      <c r="R910" s="5"/>
    </row>
    <row r="911" customFormat="false" ht="15" hidden="false" customHeight="false" outlineLevel="0" collapsed="false">
      <c r="A911" s="27"/>
      <c r="B911" s="5"/>
      <c r="C911" s="5"/>
      <c r="D911" s="35"/>
      <c r="E911" s="14"/>
      <c r="F911" s="18"/>
      <c r="G911" s="31" t="str">
        <f aca="false">IF(A911="","",IFERROR(IF(INDEX(Empresas!$C:$C,MATCH(A911,Empresas!$A:$A,0))="","",INDEX(Empresas!$C:$C,MATCH(A911,Empresas!$A:$A,0))),""))</f>
        <v/>
      </c>
      <c r="H911" s="18"/>
      <c r="I911" s="19" t="str">
        <f aca="false">IF(OR(F911="",G911=""),"",IF(F911-G911&lt;0,"CONTRATO ANTERIOR À ABERTURA — conferir datas",IF(F911-G911&lt;180,"ABERTA MENOS DE 6 MESES ANTES","")))</f>
        <v/>
      </c>
      <c r="J911" s="19" t="str">
        <f aca="false">IF(A911="","",IFERROR(INDEX(Sancoes!$B:$B,MATCH(A911,Sancoes!$A:$A,0))&amp;"","não consta"))</f>
        <v/>
      </c>
      <c r="K911" s="19" t="str">
        <f aca="false">IF(OR(A911="",F911=""),"",IF(SUMPRODUCT((Sancoes!$A$2:$A$301=A911)*(Sancoes!$B$2:$B$301&lt;&gt;"Não consta")*(Sancoes!$D$2:$D$301&lt;&gt;"")*(Sancoes!$D$2:$D$301&lt;=F911)*(((Sancoes!$E$2:$E$301="")+(Sancoes!$E$2:$E$301&gt;=F911))&gt;0))&gt;0,"SANÇÃO VIGENTE NA DATA — leia o tipo e a abrangência",""))</f>
        <v/>
      </c>
      <c r="L911" s="19" t="str">
        <f aca="false">IF(A911="","",IFERROR(INDEX(Empresas!$B:$B,MATCH(A911,Empresas!$A:$A,0))&amp;"","cadastre o CNPJ em Empresas"))</f>
        <v/>
      </c>
      <c r="M911" s="27"/>
      <c r="N911" s="35"/>
      <c r="O911" s="37" t="str">
        <f aca="false">IF(OR(D911="",D911=0,N911=""),"",N911/D911)</f>
        <v/>
      </c>
      <c r="P911" s="19" t="str">
        <f aca="false">IF(O911="","",IF(O911&gt;0.25,"ACRÉSCIMO ACIMA DE 25% — conferir",""))</f>
        <v/>
      </c>
      <c r="Q911" s="27"/>
      <c r="R911" s="5"/>
    </row>
    <row r="912" customFormat="false" ht="15" hidden="false" customHeight="false" outlineLevel="0" collapsed="false">
      <c r="A912" s="27"/>
      <c r="B912" s="5"/>
      <c r="C912" s="5"/>
      <c r="D912" s="35"/>
      <c r="E912" s="14"/>
      <c r="F912" s="18"/>
      <c r="G912" s="31" t="str">
        <f aca="false">IF(A912="","",IFERROR(IF(INDEX(Empresas!$C:$C,MATCH(A912,Empresas!$A:$A,0))="","",INDEX(Empresas!$C:$C,MATCH(A912,Empresas!$A:$A,0))),""))</f>
        <v/>
      </c>
      <c r="H912" s="18"/>
      <c r="I912" s="19" t="str">
        <f aca="false">IF(OR(F912="",G912=""),"",IF(F912-G912&lt;0,"CONTRATO ANTERIOR À ABERTURA — conferir datas",IF(F912-G912&lt;180,"ABERTA MENOS DE 6 MESES ANTES","")))</f>
        <v/>
      </c>
      <c r="J912" s="19" t="str">
        <f aca="false">IF(A912="","",IFERROR(INDEX(Sancoes!$B:$B,MATCH(A912,Sancoes!$A:$A,0))&amp;"","não consta"))</f>
        <v/>
      </c>
      <c r="K912" s="19" t="str">
        <f aca="false">IF(OR(A912="",F912=""),"",IF(SUMPRODUCT((Sancoes!$A$2:$A$301=A912)*(Sancoes!$B$2:$B$301&lt;&gt;"Não consta")*(Sancoes!$D$2:$D$301&lt;&gt;"")*(Sancoes!$D$2:$D$301&lt;=F912)*(((Sancoes!$E$2:$E$301="")+(Sancoes!$E$2:$E$301&gt;=F912))&gt;0))&gt;0,"SANÇÃO VIGENTE NA DATA — leia o tipo e a abrangência",""))</f>
        <v/>
      </c>
      <c r="L912" s="19" t="str">
        <f aca="false">IF(A912="","",IFERROR(INDEX(Empresas!$B:$B,MATCH(A912,Empresas!$A:$A,0))&amp;"","cadastre o CNPJ em Empresas"))</f>
        <v/>
      </c>
      <c r="M912" s="27"/>
      <c r="N912" s="35"/>
      <c r="O912" s="37" t="str">
        <f aca="false">IF(OR(D912="",D912=0,N912=""),"",N912/D912)</f>
        <v/>
      </c>
      <c r="P912" s="19" t="str">
        <f aca="false">IF(O912="","",IF(O912&gt;0.25,"ACRÉSCIMO ACIMA DE 25% — conferir",""))</f>
        <v/>
      </c>
      <c r="Q912" s="27"/>
      <c r="R912" s="5"/>
    </row>
    <row r="913" customFormat="false" ht="15" hidden="false" customHeight="false" outlineLevel="0" collapsed="false">
      <c r="A913" s="27"/>
      <c r="B913" s="5"/>
      <c r="C913" s="5"/>
      <c r="D913" s="35"/>
      <c r="E913" s="14"/>
      <c r="F913" s="18"/>
      <c r="G913" s="31" t="str">
        <f aca="false">IF(A913="","",IFERROR(IF(INDEX(Empresas!$C:$C,MATCH(A913,Empresas!$A:$A,0))="","",INDEX(Empresas!$C:$C,MATCH(A913,Empresas!$A:$A,0))),""))</f>
        <v/>
      </c>
      <c r="H913" s="18"/>
      <c r="I913" s="19" t="str">
        <f aca="false">IF(OR(F913="",G913=""),"",IF(F913-G913&lt;0,"CONTRATO ANTERIOR À ABERTURA — conferir datas",IF(F913-G913&lt;180,"ABERTA MENOS DE 6 MESES ANTES","")))</f>
        <v/>
      </c>
      <c r="J913" s="19" t="str">
        <f aca="false">IF(A913="","",IFERROR(INDEX(Sancoes!$B:$B,MATCH(A913,Sancoes!$A:$A,0))&amp;"","não consta"))</f>
        <v/>
      </c>
      <c r="K913" s="19" t="str">
        <f aca="false">IF(OR(A913="",F913=""),"",IF(SUMPRODUCT((Sancoes!$A$2:$A$301=A913)*(Sancoes!$B$2:$B$301&lt;&gt;"Não consta")*(Sancoes!$D$2:$D$301&lt;&gt;"")*(Sancoes!$D$2:$D$301&lt;=F913)*(((Sancoes!$E$2:$E$301="")+(Sancoes!$E$2:$E$301&gt;=F913))&gt;0))&gt;0,"SANÇÃO VIGENTE NA DATA — leia o tipo e a abrangência",""))</f>
        <v/>
      </c>
      <c r="L913" s="19" t="str">
        <f aca="false">IF(A913="","",IFERROR(INDEX(Empresas!$B:$B,MATCH(A913,Empresas!$A:$A,0))&amp;"","cadastre o CNPJ em Empresas"))</f>
        <v/>
      </c>
      <c r="M913" s="27"/>
      <c r="N913" s="35"/>
      <c r="O913" s="37" t="str">
        <f aca="false">IF(OR(D913="",D913=0,N913=""),"",N913/D913)</f>
        <v/>
      </c>
      <c r="P913" s="19" t="str">
        <f aca="false">IF(O913="","",IF(O913&gt;0.25,"ACRÉSCIMO ACIMA DE 25% — conferir",""))</f>
        <v/>
      </c>
      <c r="Q913" s="27"/>
      <c r="R913" s="5"/>
    </row>
    <row r="914" customFormat="false" ht="15" hidden="false" customHeight="false" outlineLevel="0" collapsed="false">
      <c r="A914" s="27"/>
      <c r="B914" s="5"/>
      <c r="C914" s="5"/>
      <c r="D914" s="35"/>
      <c r="E914" s="14"/>
      <c r="F914" s="18"/>
      <c r="G914" s="31" t="str">
        <f aca="false">IF(A914="","",IFERROR(IF(INDEX(Empresas!$C:$C,MATCH(A914,Empresas!$A:$A,0))="","",INDEX(Empresas!$C:$C,MATCH(A914,Empresas!$A:$A,0))),""))</f>
        <v/>
      </c>
      <c r="H914" s="18"/>
      <c r="I914" s="19" t="str">
        <f aca="false">IF(OR(F914="",G914=""),"",IF(F914-G914&lt;0,"CONTRATO ANTERIOR À ABERTURA — conferir datas",IF(F914-G914&lt;180,"ABERTA MENOS DE 6 MESES ANTES","")))</f>
        <v/>
      </c>
      <c r="J914" s="19" t="str">
        <f aca="false">IF(A914="","",IFERROR(INDEX(Sancoes!$B:$B,MATCH(A914,Sancoes!$A:$A,0))&amp;"","não consta"))</f>
        <v/>
      </c>
      <c r="K914" s="19" t="str">
        <f aca="false">IF(OR(A914="",F914=""),"",IF(SUMPRODUCT((Sancoes!$A$2:$A$301=A914)*(Sancoes!$B$2:$B$301&lt;&gt;"Não consta")*(Sancoes!$D$2:$D$301&lt;&gt;"")*(Sancoes!$D$2:$D$301&lt;=F914)*(((Sancoes!$E$2:$E$301="")+(Sancoes!$E$2:$E$301&gt;=F914))&gt;0))&gt;0,"SANÇÃO VIGENTE NA DATA — leia o tipo e a abrangência",""))</f>
        <v/>
      </c>
      <c r="L914" s="19" t="str">
        <f aca="false">IF(A914="","",IFERROR(INDEX(Empresas!$B:$B,MATCH(A914,Empresas!$A:$A,0))&amp;"","cadastre o CNPJ em Empresas"))</f>
        <v/>
      </c>
      <c r="M914" s="27"/>
      <c r="N914" s="35"/>
      <c r="O914" s="37" t="str">
        <f aca="false">IF(OR(D914="",D914=0,N914=""),"",N914/D914)</f>
        <v/>
      </c>
      <c r="P914" s="19" t="str">
        <f aca="false">IF(O914="","",IF(O914&gt;0.25,"ACRÉSCIMO ACIMA DE 25% — conferir",""))</f>
        <v/>
      </c>
      <c r="Q914" s="27"/>
      <c r="R914" s="5"/>
    </row>
    <row r="915" customFormat="false" ht="15" hidden="false" customHeight="false" outlineLevel="0" collapsed="false">
      <c r="A915" s="27"/>
      <c r="B915" s="5"/>
      <c r="C915" s="5"/>
      <c r="D915" s="35"/>
      <c r="E915" s="14"/>
      <c r="F915" s="18"/>
      <c r="G915" s="31" t="str">
        <f aca="false">IF(A915="","",IFERROR(IF(INDEX(Empresas!$C:$C,MATCH(A915,Empresas!$A:$A,0))="","",INDEX(Empresas!$C:$C,MATCH(A915,Empresas!$A:$A,0))),""))</f>
        <v/>
      </c>
      <c r="H915" s="18"/>
      <c r="I915" s="19" t="str">
        <f aca="false">IF(OR(F915="",G915=""),"",IF(F915-G915&lt;0,"CONTRATO ANTERIOR À ABERTURA — conferir datas",IF(F915-G915&lt;180,"ABERTA MENOS DE 6 MESES ANTES","")))</f>
        <v/>
      </c>
      <c r="J915" s="19" t="str">
        <f aca="false">IF(A915="","",IFERROR(INDEX(Sancoes!$B:$B,MATCH(A915,Sancoes!$A:$A,0))&amp;"","não consta"))</f>
        <v/>
      </c>
      <c r="K915" s="19" t="str">
        <f aca="false">IF(OR(A915="",F915=""),"",IF(SUMPRODUCT((Sancoes!$A$2:$A$301=A915)*(Sancoes!$B$2:$B$301&lt;&gt;"Não consta")*(Sancoes!$D$2:$D$301&lt;&gt;"")*(Sancoes!$D$2:$D$301&lt;=F915)*(((Sancoes!$E$2:$E$301="")+(Sancoes!$E$2:$E$301&gt;=F915))&gt;0))&gt;0,"SANÇÃO VIGENTE NA DATA — leia o tipo e a abrangência",""))</f>
        <v/>
      </c>
      <c r="L915" s="19" t="str">
        <f aca="false">IF(A915="","",IFERROR(INDEX(Empresas!$B:$B,MATCH(A915,Empresas!$A:$A,0))&amp;"","cadastre o CNPJ em Empresas"))</f>
        <v/>
      </c>
      <c r="M915" s="27"/>
      <c r="N915" s="35"/>
      <c r="O915" s="37" t="str">
        <f aca="false">IF(OR(D915="",D915=0,N915=""),"",N915/D915)</f>
        <v/>
      </c>
      <c r="P915" s="19" t="str">
        <f aca="false">IF(O915="","",IF(O915&gt;0.25,"ACRÉSCIMO ACIMA DE 25% — conferir",""))</f>
        <v/>
      </c>
      <c r="Q915" s="27"/>
      <c r="R915" s="5"/>
    </row>
    <row r="916" customFormat="false" ht="15" hidden="false" customHeight="false" outlineLevel="0" collapsed="false">
      <c r="A916" s="27"/>
      <c r="B916" s="5"/>
      <c r="C916" s="5"/>
      <c r="D916" s="35"/>
      <c r="E916" s="14"/>
      <c r="F916" s="18"/>
      <c r="G916" s="31" t="str">
        <f aca="false">IF(A916="","",IFERROR(IF(INDEX(Empresas!$C:$C,MATCH(A916,Empresas!$A:$A,0))="","",INDEX(Empresas!$C:$C,MATCH(A916,Empresas!$A:$A,0))),""))</f>
        <v/>
      </c>
      <c r="H916" s="18"/>
      <c r="I916" s="19" t="str">
        <f aca="false">IF(OR(F916="",G916=""),"",IF(F916-G916&lt;0,"CONTRATO ANTERIOR À ABERTURA — conferir datas",IF(F916-G916&lt;180,"ABERTA MENOS DE 6 MESES ANTES","")))</f>
        <v/>
      </c>
      <c r="J916" s="19" t="str">
        <f aca="false">IF(A916="","",IFERROR(INDEX(Sancoes!$B:$B,MATCH(A916,Sancoes!$A:$A,0))&amp;"","não consta"))</f>
        <v/>
      </c>
      <c r="K916" s="19" t="str">
        <f aca="false">IF(OR(A916="",F916=""),"",IF(SUMPRODUCT((Sancoes!$A$2:$A$301=A916)*(Sancoes!$B$2:$B$301&lt;&gt;"Não consta")*(Sancoes!$D$2:$D$301&lt;&gt;"")*(Sancoes!$D$2:$D$301&lt;=F916)*(((Sancoes!$E$2:$E$301="")+(Sancoes!$E$2:$E$301&gt;=F916))&gt;0))&gt;0,"SANÇÃO VIGENTE NA DATA — leia o tipo e a abrangência",""))</f>
        <v/>
      </c>
      <c r="L916" s="19" t="str">
        <f aca="false">IF(A916="","",IFERROR(INDEX(Empresas!$B:$B,MATCH(A916,Empresas!$A:$A,0))&amp;"","cadastre o CNPJ em Empresas"))</f>
        <v/>
      </c>
      <c r="M916" s="27"/>
      <c r="N916" s="35"/>
      <c r="O916" s="37" t="str">
        <f aca="false">IF(OR(D916="",D916=0,N916=""),"",N916/D916)</f>
        <v/>
      </c>
      <c r="P916" s="19" t="str">
        <f aca="false">IF(O916="","",IF(O916&gt;0.25,"ACRÉSCIMO ACIMA DE 25% — conferir",""))</f>
        <v/>
      </c>
      <c r="Q916" s="27"/>
      <c r="R916" s="5"/>
    </row>
    <row r="917" customFormat="false" ht="15" hidden="false" customHeight="false" outlineLevel="0" collapsed="false">
      <c r="A917" s="27"/>
      <c r="B917" s="5"/>
      <c r="C917" s="5"/>
      <c r="D917" s="35"/>
      <c r="E917" s="14"/>
      <c r="F917" s="18"/>
      <c r="G917" s="31" t="str">
        <f aca="false">IF(A917="","",IFERROR(IF(INDEX(Empresas!$C:$C,MATCH(A917,Empresas!$A:$A,0))="","",INDEX(Empresas!$C:$C,MATCH(A917,Empresas!$A:$A,0))),""))</f>
        <v/>
      </c>
      <c r="H917" s="18"/>
      <c r="I917" s="19" t="str">
        <f aca="false">IF(OR(F917="",G917=""),"",IF(F917-G917&lt;0,"CONTRATO ANTERIOR À ABERTURA — conferir datas",IF(F917-G917&lt;180,"ABERTA MENOS DE 6 MESES ANTES","")))</f>
        <v/>
      </c>
      <c r="J917" s="19" t="str">
        <f aca="false">IF(A917="","",IFERROR(INDEX(Sancoes!$B:$B,MATCH(A917,Sancoes!$A:$A,0))&amp;"","não consta"))</f>
        <v/>
      </c>
      <c r="K917" s="19" t="str">
        <f aca="false">IF(OR(A917="",F917=""),"",IF(SUMPRODUCT((Sancoes!$A$2:$A$301=A917)*(Sancoes!$B$2:$B$301&lt;&gt;"Não consta")*(Sancoes!$D$2:$D$301&lt;&gt;"")*(Sancoes!$D$2:$D$301&lt;=F917)*(((Sancoes!$E$2:$E$301="")+(Sancoes!$E$2:$E$301&gt;=F917))&gt;0))&gt;0,"SANÇÃO VIGENTE NA DATA — leia o tipo e a abrangência",""))</f>
        <v/>
      </c>
      <c r="L917" s="19" t="str">
        <f aca="false">IF(A917="","",IFERROR(INDEX(Empresas!$B:$B,MATCH(A917,Empresas!$A:$A,0))&amp;"","cadastre o CNPJ em Empresas"))</f>
        <v/>
      </c>
      <c r="M917" s="27"/>
      <c r="N917" s="35"/>
      <c r="O917" s="37" t="str">
        <f aca="false">IF(OR(D917="",D917=0,N917=""),"",N917/D917)</f>
        <v/>
      </c>
      <c r="P917" s="19" t="str">
        <f aca="false">IF(O917="","",IF(O917&gt;0.25,"ACRÉSCIMO ACIMA DE 25% — conferir",""))</f>
        <v/>
      </c>
      <c r="Q917" s="27"/>
      <c r="R917" s="5"/>
    </row>
    <row r="918" customFormat="false" ht="15" hidden="false" customHeight="false" outlineLevel="0" collapsed="false">
      <c r="A918" s="27"/>
      <c r="B918" s="5"/>
      <c r="C918" s="5"/>
      <c r="D918" s="35"/>
      <c r="E918" s="14"/>
      <c r="F918" s="18"/>
      <c r="G918" s="31" t="str">
        <f aca="false">IF(A918="","",IFERROR(IF(INDEX(Empresas!$C:$C,MATCH(A918,Empresas!$A:$A,0))="","",INDEX(Empresas!$C:$C,MATCH(A918,Empresas!$A:$A,0))),""))</f>
        <v/>
      </c>
      <c r="H918" s="18"/>
      <c r="I918" s="19" t="str">
        <f aca="false">IF(OR(F918="",G918=""),"",IF(F918-G918&lt;0,"CONTRATO ANTERIOR À ABERTURA — conferir datas",IF(F918-G918&lt;180,"ABERTA MENOS DE 6 MESES ANTES","")))</f>
        <v/>
      </c>
      <c r="J918" s="19" t="str">
        <f aca="false">IF(A918="","",IFERROR(INDEX(Sancoes!$B:$B,MATCH(A918,Sancoes!$A:$A,0))&amp;"","não consta"))</f>
        <v/>
      </c>
      <c r="K918" s="19" t="str">
        <f aca="false">IF(OR(A918="",F918=""),"",IF(SUMPRODUCT((Sancoes!$A$2:$A$301=A918)*(Sancoes!$B$2:$B$301&lt;&gt;"Não consta")*(Sancoes!$D$2:$D$301&lt;&gt;"")*(Sancoes!$D$2:$D$301&lt;=F918)*(((Sancoes!$E$2:$E$301="")+(Sancoes!$E$2:$E$301&gt;=F918))&gt;0))&gt;0,"SANÇÃO VIGENTE NA DATA — leia o tipo e a abrangência",""))</f>
        <v/>
      </c>
      <c r="L918" s="19" t="str">
        <f aca="false">IF(A918="","",IFERROR(INDEX(Empresas!$B:$B,MATCH(A918,Empresas!$A:$A,0))&amp;"","cadastre o CNPJ em Empresas"))</f>
        <v/>
      </c>
      <c r="M918" s="27"/>
      <c r="N918" s="35"/>
      <c r="O918" s="37" t="str">
        <f aca="false">IF(OR(D918="",D918=0,N918=""),"",N918/D918)</f>
        <v/>
      </c>
      <c r="P918" s="19" t="str">
        <f aca="false">IF(O918="","",IF(O918&gt;0.25,"ACRÉSCIMO ACIMA DE 25% — conferir",""))</f>
        <v/>
      </c>
      <c r="Q918" s="27"/>
      <c r="R918" s="5"/>
    </row>
    <row r="919" customFormat="false" ht="15" hidden="false" customHeight="false" outlineLevel="0" collapsed="false">
      <c r="A919" s="27"/>
      <c r="B919" s="5"/>
      <c r="C919" s="5"/>
      <c r="D919" s="35"/>
      <c r="E919" s="14"/>
      <c r="F919" s="18"/>
      <c r="G919" s="31" t="str">
        <f aca="false">IF(A919="","",IFERROR(IF(INDEX(Empresas!$C:$C,MATCH(A919,Empresas!$A:$A,0))="","",INDEX(Empresas!$C:$C,MATCH(A919,Empresas!$A:$A,0))),""))</f>
        <v/>
      </c>
      <c r="H919" s="18"/>
      <c r="I919" s="19" t="str">
        <f aca="false">IF(OR(F919="",G919=""),"",IF(F919-G919&lt;0,"CONTRATO ANTERIOR À ABERTURA — conferir datas",IF(F919-G919&lt;180,"ABERTA MENOS DE 6 MESES ANTES","")))</f>
        <v/>
      </c>
      <c r="J919" s="19" t="str">
        <f aca="false">IF(A919="","",IFERROR(INDEX(Sancoes!$B:$B,MATCH(A919,Sancoes!$A:$A,0))&amp;"","não consta"))</f>
        <v/>
      </c>
      <c r="K919" s="19" t="str">
        <f aca="false">IF(OR(A919="",F919=""),"",IF(SUMPRODUCT((Sancoes!$A$2:$A$301=A919)*(Sancoes!$B$2:$B$301&lt;&gt;"Não consta")*(Sancoes!$D$2:$D$301&lt;&gt;"")*(Sancoes!$D$2:$D$301&lt;=F919)*(((Sancoes!$E$2:$E$301="")+(Sancoes!$E$2:$E$301&gt;=F919))&gt;0))&gt;0,"SANÇÃO VIGENTE NA DATA — leia o tipo e a abrangência",""))</f>
        <v/>
      </c>
      <c r="L919" s="19" t="str">
        <f aca="false">IF(A919="","",IFERROR(INDEX(Empresas!$B:$B,MATCH(A919,Empresas!$A:$A,0))&amp;"","cadastre o CNPJ em Empresas"))</f>
        <v/>
      </c>
      <c r="M919" s="27"/>
      <c r="N919" s="35"/>
      <c r="O919" s="37" t="str">
        <f aca="false">IF(OR(D919="",D919=0,N919=""),"",N919/D919)</f>
        <v/>
      </c>
      <c r="P919" s="19" t="str">
        <f aca="false">IF(O919="","",IF(O919&gt;0.25,"ACRÉSCIMO ACIMA DE 25% — conferir",""))</f>
        <v/>
      </c>
      <c r="Q919" s="27"/>
      <c r="R919" s="5"/>
    </row>
    <row r="920" customFormat="false" ht="15" hidden="false" customHeight="false" outlineLevel="0" collapsed="false">
      <c r="A920" s="27"/>
      <c r="B920" s="5"/>
      <c r="C920" s="5"/>
      <c r="D920" s="35"/>
      <c r="E920" s="14"/>
      <c r="F920" s="18"/>
      <c r="G920" s="31" t="str">
        <f aca="false">IF(A920="","",IFERROR(IF(INDEX(Empresas!$C:$C,MATCH(A920,Empresas!$A:$A,0))="","",INDEX(Empresas!$C:$C,MATCH(A920,Empresas!$A:$A,0))),""))</f>
        <v/>
      </c>
      <c r="H920" s="18"/>
      <c r="I920" s="19" t="str">
        <f aca="false">IF(OR(F920="",G920=""),"",IF(F920-G920&lt;0,"CONTRATO ANTERIOR À ABERTURA — conferir datas",IF(F920-G920&lt;180,"ABERTA MENOS DE 6 MESES ANTES","")))</f>
        <v/>
      </c>
      <c r="J920" s="19" t="str">
        <f aca="false">IF(A920="","",IFERROR(INDEX(Sancoes!$B:$B,MATCH(A920,Sancoes!$A:$A,0))&amp;"","não consta"))</f>
        <v/>
      </c>
      <c r="K920" s="19" t="str">
        <f aca="false">IF(OR(A920="",F920=""),"",IF(SUMPRODUCT((Sancoes!$A$2:$A$301=A920)*(Sancoes!$B$2:$B$301&lt;&gt;"Não consta")*(Sancoes!$D$2:$D$301&lt;&gt;"")*(Sancoes!$D$2:$D$301&lt;=F920)*(((Sancoes!$E$2:$E$301="")+(Sancoes!$E$2:$E$301&gt;=F920))&gt;0))&gt;0,"SANÇÃO VIGENTE NA DATA — leia o tipo e a abrangência",""))</f>
        <v/>
      </c>
      <c r="L920" s="19" t="str">
        <f aca="false">IF(A920="","",IFERROR(INDEX(Empresas!$B:$B,MATCH(A920,Empresas!$A:$A,0))&amp;"","cadastre o CNPJ em Empresas"))</f>
        <v/>
      </c>
      <c r="M920" s="27"/>
      <c r="N920" s="35"/>
      <c r="O920" s="37" t="str">
        <f aca="false">IF(OR(D920="",D920=0,N920=""),"",N920/D920)</f>
        <v/>
      </c>
      <c r="P920" s="19" t="str">
        <f aca="false">IF(O920="","",IF(O920&gt;0.25,"ACRÉSCIMO ACIMA DE 25% — conferir",""))</f>
        <v/>
      </c>
      <c r="Q920" s="27"/>
      <c r="R920" s="5"/>
    </row>
    <row r="921" customFormat="false" ht="15" hidden="false" customHeight="false" outlineLevel="0" collapsed="false">
      <c r="A921" s="27"/>
      <c r="B921" s="5"/>
      <c r="C921" s="5"/>
      <c r="D921" s="35"/>
      <c r="E921" s="14"/>
      <c r="F921" s="18"/>
      <c r="G921" s="31" t="str">
        <f aca="false">IF(A921="","",IFERROR(IF(INDEX(Empresas!$C:$C,MATCH(A921,Empresas!$A:$A,0))="","",INDEX(Empresas!$C:$C,MATCH(A921,Empresas!$A:$A,0))),""))</f>
        <v/>
      </c>
      <c r="H921" s="18"/>
      <c r="I921" s="19" t="str">
        <f aca="false">IF(OR(F921="",G921=""),"",IF(F921-G921&lt;0,"CONTRATO ANTERIOR À ABERTURA — conferir datas",IF(F921-G921&lt;180,"ABERTA MENOS DE 6 MESES ANTES","")))</f>
        <v/>
      </c>
      <c r="J921" s="19" t="str">
        <f aca="false">IF(A921="","",IFERROR(INDEX(Sancoes!$B:$B,MATCH(A921,Sancoes!$A:$A,0))&amp;"","não consta"))</f>
        <v/>
      </c>
      <c r="K921" s="19" t="str">
        <f aca="false">IF(OR(A921="",F921=""),"",IF(SUMPRODUCT((Sancoes!$A$2:$A$301=A921)*(Sancoes!$B$2:$B$301&lt;&gt;"Não consta")*(Sancoes!$D$2:$D$301&lt;&gt;"")*(Sancoes!$D$2:$D$301&lt;=F921)*(((Sancoes!$E$2:$E$301="")+(Sancoes!$E$2:$E$301&gt;=F921))&gt;0))&gt;0,"SANÇÃO VIGENTE NA DATA — leia o tipo e a abrangência",""))</f>
        <v/>
      </c>
      <c r="L921" s="19" t="str">
        <f aca="false">IF(A921="","",IFERROR(INDEX(Empresas!$B:$B,MATCH(A921,Empresas!$A:$A,0))&amp;"","cadastre o CNPJ em Empresas"))</f>
        <v/>
      </c>
      <c r="M921" s="27"/>
      <c r="N921" s="35"/>
      <c r="O921" s="37" t="str">
        <f aca="false">IF(OR(D921="",D921=0,N921=""),"",N921/D921)</f>
        <v/>
      </c>
      <c r="P921" s="19" t="str">
        <f aca="false">IF(O921="","",IF(O921&gt;0.25,"ACRÉSCIMO ACIMA DE 25% — conferir",""))</f>
        <v/>
      </c>
      <c r="Q921" s="27"/>
      <c r="R921" s="5"/>
    </row>
    <row r="922" customFormat="false" ht="15" hidden="false" customHeight="false" outlineLevel="0" collapsed="false">
      <c r="A922" s="27"/>
      <c r="B922" s="5"/>
      <c r="C922" s="5"/>
      <c r="D922" s="35"/>
      <c r="E922" s="14"/>
      <c r="F922" s="18"/>
      <c r="G922" s="31" t="str">
        <f aca="false">IF(A922="","",IFERROR(IF(INDEX(Empresas!$C:$C,MATCH(A922,Empresas!$A:$A,0))="","",INDEX(Empresas!$C:$C,MATCH(A922,Empresas!$A:$A,0))),""))</f>
        <v/>
      </c>
      <c r="H922" s="18"/>
      <c r="I922" s="19" t="str">
        <f aca="false">IF(OR(F922="",G922=""),"",IF(F922-G922&lt;0,"CONTRATO ANTERIOR À ABERTURA — conferir datas",IF(F922-G922&lt;180,"ABERTA MENOS DE 6 MESES ANTES","")))</f>
        <v/>
      </c>
      <c r="J922" s="19" t="str">
        <f aca="false">IF(A922="","",IFERROR(INDEX(Sancoes!$B:$B,MATCH(A922,Sancoes!$A:$A,0))&amp;"","não consta"))</f>
        <v/>
      </c>
      <c r="K922" s="19" t="str">
        <f aca="false">IF(OR(A922="",F922=""),"",IF(SUMPRODUCT((Sancoes!$A$2:$A$301=A922)*(Sancoes!$B$2:$B$301&lt;&gt;"Não consta")*(Sancoes!$D$2:$D$301&lt;&gt;"")*(Sancoes!$D$2:$D$301&lt;=F922)*(((Sancoes!$E$2:$E$301="")+(Sancoes!$E$2:$E$301&gt;=F922))&gt;0))&gt;0,"SANÇÃO VIGENTE NA DATA — leia o tipo e a abrangência",""))</f>
        <v/>
      </c>
      <c r="L922" s="19" t="str">
        <f aca="false">IF(A922="","",IFERROR(INDEX(Empresas!$B:$B,MATCH(A922,Empresas!$A:$A,0))&amp;"","cadastre o CNPJ em Empresas"))</f>
        <v/>
      </c>
      <c r="M922" s="27"/>
      <c r="N922" s="35"/>
      <c r="O922" s="37" t="str">
        <f aca="false">IF(OR(D922="",D922=0,N922=""),"",N922/D922)</f>
        <v/>
      </c>
      <c r="P922" s="19" t="str">
        <f aca="false">IF(O922="","",IF(O922&gt;0.25,"ACRÉSCIMO ACIMA DE 25% — conferir",""))</f>
        <v/>
      </c>
      <c r="Q922" s="27"/>
      <c r="R922" s="5"/>
    </row>
    <row r="923" customFormat="false" ht="15" hidden="false" customHeight="false" outlineLevel="0" collapsed="false">
      <c r="A923" s="27"/>
      <c r="B923" s="5"/>
      <c r="C923" s="5"/>
      <c r="D923" s="35"/>
      <c r="E923" s="14"/>
      <c r="F923" s="18"/>
      <c r="G923" s="31" t="str">
        <f aca="false">IF(A923="","",IFERROR(IF(INDEX(Empresas!$C:$C,MATCH(A923,Empresas!$A:$A,0))="","",INDEX(Empresas!$C:$C,MATCH(A923,Empresas!$A:$A,0))),""))</f>
        <v/>
      </c>
      <c r="H923" s="18"/>
      <c r="I923" s="19" t="str">
        <f aca="false">IF(OR(F923="",G923=""),"",IF(F923-G923&lt;0,"CONTRATO ANTERIOR À ABERTURA — conferir datas",IF(F923-G923&lt;180,"ABERTA MENOS DE 6 MESES ANTES","")))</f>
        <v/>
      </c>
      <c r="J923" s="19" t="str">
        <f aca="false">IF(A923="","",IFERROR(INDEX(Sancoes!$B:$B,MATCH(A923,Sancoes!$A:$A,0))&amp;"","não consta"))</f>
        <v/>
      </c>
      <c r="K923" s="19" t="str">
        <f aca="false">IF(OR(A923="",F923=""),"",IF(SUMPRODUCT((Sancoes!$A$2:$A$301=A923)*(Sancoes!$B$2:$B$301&lt;&gt;"Não consta")*(Sancoes!$D$2:$D$301&lt;&gt;"")*(Sancoes!$D$2:$D$301&lt;=F923)*(((Sancoes!$E$2:$E$301="")+(Sancoes!$E$2:$E$301&gt;=F923))&gt;0))&gt;0,"SANÇÃO VIGENTE NA DATA — leia o tipo e a abrangência",""))</f>
        <v/>
      </c>
      <c r="L923" s="19" t="str">
        <f aca="false">IF(A923="","",IFERROR(INDEX(Empresas!$B:$B,MATCH(A923,Empresas!$A:$A,0))&amp;"","cadastre o CNPJ em Empresas"))</f>
        <v/>
      </c>
      <c r="M923" s="27"/>
      <c r="N923" s="35"/>
      <c r="O923" s="37" t="str">
        <f aca="false">IF(OR(D923="",D923=0,N923=""),"",N923/D923)</f>
        <v/>
      </c>
      <c r="P923" s="19" t="str">
        <f aca="false">IF(O923="","",IF(O923&gt;0.25,"ACRÉSCIMO ACIMA DE 25% — conferir",""))</f>
        <v/>
      </c>
      <c r="Q923" s="27"/>
      <c r="R923" s="5"/>
    </row>
    <row r="924" customFormat="false" ht="15" hidden="false" customHeight="false" outlineLevel="0" collapsed="false">
      <c r="A924" s="27"/>
      <c r="B924" s="5"/>
      <c r="C924" s="5"/>
      <c r="D924" s="35"/>
      <c r="E924" s="14"/>
      <c r="F924" s="18"/>
      <c r="G924" s="31" t="str">
        <f aca="false">IF(A924="","",IFERROR(IF(INDEX(Empresas!$C:$C,MATCH(A924,Empresas!$A:$A,0))="","",INDEX(Empresas!$C:$C,MATCH(A924,Empresas!$A:$A,0))),""))</f>
        <v/>
      </c>
      <c r="H924" s="18"/>
      <c r="I924" s="19" t="str">
        <f aca="false">IF(OR(F924="",G924=""),"",IF(F924-G924&lt;0,"CONTRATO ANTERIOR À ABERTURA — conferir datas",IF(F924-G924&lt;180,"ABERTA MENOS DE 6 MESES ANTES","")))</f>
        <v/>
      </c>
      <c r="J924" s="19" t="str">
        <f aca="false">IF(A924="","",IFERROR(INDEX(Sancoes!$B:$B,MATCH(A924,Sancoes!$A:$A,0))&amp;"","não consta"))</f>
        <v/>
      </c>
      <c r="K924" s="19" t="str">
        <f aca="false">IF(OR(A924="",F924=""),"",IF(SUMPRODUCT((Sancoes!$A$2:$A$301=A924)*(Sancoes!$B$2:$B$301&lt;&gt;"Não consta")*(Sancoes!$D$2:$D$301&lt;&gt;"")*(Sancoes!$D$2:$D$301&lt;=F924)*(((Sancoes!$E$2:$E$301="")+(Sancoes!$E$2:$E$301&gt;=F924))&gt;0))&gt;0,"SANÇÃO VIGENTE NA DATA — leia o tipo e a abrangência",""))</f>
        <v/>
      </c>
      <c r="L924" s="19" t="str">
        <f aca="false">IF(A924="","",IFERROR(INDEX(Empresas!$B:$B,MATCH(A924,Empresas!$A:$A,0))&amp;"","cadastre o CNPJ em Empresas"))</f>
        <v/>
      </c>
      <c r="M924" s="27"/>
      <c r="N924" s="35"/>
      <c r="O924" s="37" t="str">
        <f aca="false">IF(OR(D924="",D924=0,N924=""),"",N924/D924)</f>
        <v/>
      </c>
      <c r="P924" s="19" t="str">
        <f aca="false">IF(O924="","",IF(O924&gt;0.25,"ACRÉSCIMO ACIMA DE 25% — conferir",""))</f>
        <v/>
      </c>
      <c r="Q924" s="27"/>
      <c r="R924" s="5"/>
    </row>
    <row r="925" customFormat="false" ht="15" hidden="false" customHeight="false" outlineLevel="0" collapsed="false">
      <c r="A925" s="27"/>
      <c r="B925" s="5"/>
      <c r="C925" s="5"/>
      <c r="D925" s="35"/>
      <c r="E925" s="14"/>
      <c r="F925" s="18"/>
      <c r="G925" s="31" t="str">
        <f aca="false">IF(A925="","",IFERROR(IF(INDEX(Empresas!$C:$C,MATCH(A925,Empresas!$A:$A,0))="","",INDEX(Empresas!$C:$C,MATCH(A925,Empresas!$A:$A,0))),""))</f>
        <v/>
      </c>
      <c r="H925" s="18"/>
      <c r="I925" s="19" t="str">
        <f aca="false">IF(OR(F925="",G925=""),"",IF(F925-G925&lt;0,"CONTRATO ANTERIOR À ABERTURA — conferir datas",IF(F925-G925&lt;180,"ABERTA MENOS DE 6 MESES ANTES","")))</f>
        <v/>
      </c>
      <c r="J925" s="19" t="str">
        <f aca="false">IF(A925="","",IFERROR(INDEX(Sancoes!$B:$B,MATCH(A925,Sancoes!$A:$A,0))&amp;"","não consta"))</f>
        <v/>
      </c>
      <c r="K925" s="19" t="str">
        <f aca="false">IF(OR(A925="",F925=""),"",IF(SUMPRODUCT((Sancoes!$A$2:$A$301=A925)*(Sancoes!$B$2:$B$301&lt;&gt;"Não consta")*(Sancoes!$D$2:$D$301&lt;&gt;"")*(Sancoes!$D$2:$D$301&lt;=F925)*(((Sancoes!$E$2:$E$301="")+(Sancoes!$E$2:$E$301&gt;=F925))&gt;0))&gt;0,"SANÇÃO VIGENTE NA DATA — leia o tipo e a abrangência",""))</f>
        <v/>
      </c>
      <c r="L925" s="19" t="str">
        <f aca="false">IF(A925="","",IFERROR(INDEX(Empresas!$B:$B,MATCH(A925,Empresas!$A:$A,0))&amp;"","cadastre o CNPJ em Empresas"))</f>
        <v/>
      </c>
      <c r="M925" s="27"/>
      <c r="N925" s="35"/>
      <c r="O925" s="37" t="str">
        <f aca="false">IF(OR(D925="",D925=0,N925=""),"",N925/D925)</f>
        <v/>
      </c>
      <c r="P925" s="19" t="str">
        <f aca="false">IF(O925="","",IF(O925&gt;0.25,"ACRÉSCIMO ACIMA DE 25% — conferir",""))</f>
        <v/>
      </c>
      <c r="Q925" s="27"/>
      <c r="R925" s="5"/>
    </row>
    <row r="926" customFormat="false" ht="15" hidden="false" customHeight="false" outlineLevel="0" collapsed="false">
      <c r="A926" s="27"/>
      <c r="B926" s="5"/>
      <c r="C926" s="5"/>
      <c r="D926" s="35"/>
      <c r="E926" s="14"/>
      <c r="F926" s="18"/>
      <c r="G926" s="31" t="str">
        <f aca="false">IF(A926="","",IFERROR(IF(INDEX(Empresas!$C:$C,MATCH(A926,Empresas!$A:$A,0))="","",INDEX(Empresas!$C:$C,MATCH(A926,Empresas!$A:$A,0))),""))</f>
        <v/>
      </c>
      <c r="H926" s="18"/>
      <c r="I926" s="19" t="str">
        <f aca="false">IF(OR(F926="",G926=""),"",IF(F926-G926&lt;0,"CONTRATO ANTERIOR À ABERTURA — conferir datas",IF(F926-G926&lt;180,"ABERTA MENOS DE 6 MESES ANTES","")))</f>
        <v/>
      </c>
      <c r="J926" s="19" t="str">
        <f aca="false">IF(A926="","",IFERROR(INDEX(Sancoes!$B:$B,MATCH(A926,Sancoes!$A:$A,0))&amp;"","não consta"))</f>
        <v/>
      </c>
      <c r="K926" s="19" t="str">
        <f aca="false">IF(OR(A926="",F926=""),"",IF(SUMPRODUCT((Sancoes!$A$2:$A$301=A926)*(Sancoes!$B$2:$B$301&lt;&gt;"Não consta")*(Sancoes!$D$2:$D$301&lt;&gt;"")*(Sancoes!$D$2:$D$301&lt;=F926)*(((Sancoes!$E$2:$E$301="")+(Sancoes!$E$2:$E$301&gt;=F926))&gt;0))&gt;0,"SANÇÃO VIGENTE NA DATA — leia o tipo e a abrangência",""))</f>
        <v/>
      </c>
      <c r="L926" s="19" t="str">
        <f aca="false">IF(A926="","",IFERROR(INDEX(Empresas!$B:$B,MATCH(A926,Empresas!$A:$A,0))&amp;"","cadastre o CNPJ em Empresas"))</f>
        <v/>
      </c>
      <c r="M926" s="27"/>
      <c r="N926" s="35"/>
      <c r="O926" s="37" t="str">
        <f aca="false">IF(OR(D926="",D926=0,N926=""),"",N926/D926)</f>
        <v/>
      </c>
      <c r="P926" s="19" t="str">
        <f aca="false">IF(O926="","",IF(O926&gt;0.25,"ACRÉSCIMO ACIMA DE 25% — conferir",""))</f>
        <v/>
      </c>
      <c r="Q926" s="27"/>
      <c r="R926" s="5"/>
    </row>
    <row r="927" customFormat="false" ht="15" hidden="false" customHeight="false" outlineLevel="0" collapsed="false">
      <c r="A927" s="27"/>
      <c r="B927" s="5"/>
      <c r="C927" s="5"/>
      <c r="D927" s="35"/>
      <c r="E927" s="14"/>
      <c r="F927" s="18"/>
      <c r="G927" s="31" t="str">
        <f aca="false">IF(A927="","",IFERROR(IF(INDEX(Empresas!$C:$C,MATCH(A927,Empresas!$A:$A,0))="","",INDEX(Empresas!$C:$C,MATCH(A927,Empresas!$A:$A,0))),""))</f>
        <v/>
      </c>
      <c r="H927" s="18"/>
      <c r="I927" s="19" t="str">
        <f aca="false">IF(OR(F927="",G927=""),"",IF(F927-G927&lt;0,"CONTRATO ANTERIOR À ABERTURA — conferir datas",IF(F927-G927&lt;180,"ABERTA MENOS DE 6 MESES ANTES","")))</f>
        <v/>
      </c>
      <c r="J927" s="19" t="str">
        <f aca="false">IF(A927="","",IFERROR(INDEX(Sancoes!$B:$B,MATCH(A927,Sancoes!$A:$A,0))&amp;"","não consta"))</f>
        <v/>
      </c>
      <c r="K927" s="19" t="str">
        <f aca="false">IF(OR(A927="",F927=""),"",IF(SUMPRODUCT((Sancoes!$A$2:$A$301=A927)*(Sancoes!$B$2:$B$301&lt;&gt;"Não consta")*(Sancoes!$D$2:$D$301&lt;&gt;"")*(Sancoes!$D$2:$D$301&lt;=F927)*(((Sancoes!$E$2:$E$301="")+(Sancoes!$E$2:$E$301&gt;=F927))&gt;0))&gt;0,"SANÇÃO VIGENTE NA DATA — leia o tipo e a abrangência",""))</f>
        <v/>
      </c>
      <c r="L927" s="19" t="str">
        <f aca="false">IF(A927="","",IFERROR(INDEX(Empresas!$B:$B,MATCH(A927,Empresas!$A:$A,0))&amp;"","cadastre o CNPJ em Empresas"))</f>
        <v/>
      </c>
      <c r="M927" s="27"/>
      <c r="N927" s="35"/>
      <c r="O927" s="37" t="str">
        <f aca="false">IF(OR(D927="",D927=0,N927=""),"",N927/D927)</f>
        <v/>
      </c>
      <c r="P927" s="19" t="str">
        <f aca="false">IF(O927="","",IF(O927&gt;0.25,"ACRÉSCIMO ACIMA DE 25% — conferir",""))</f>
        <v/>
      </c>
      <c r="Q927" s="27"/>
      <c r="R927" s="5"/>
    </row>
    <row r="928" customFormat="false" ht="15" hidden="false" customHeight="false" outlineLevel="0" collapsed="false">
      <c r="A928" s="27"/>
      <c r="B928" s="5"/>
      <c r="C928" s="5"/>
      <c r="D928" s="35"/>
      <c r="E928" s="14"/>
      <c r="F928" s="18"/>
      <c r="G928" s="31" t="str">
        <f aca="false">IF(A928="","",IFERROR(IF(INDEX(Empresas!$C:$C,MATCH(A928,Empresas!$A:$A,0))="","",INDEX(Empresas!$C:$C,MATCH(A928,Empresas!$A:$A,0))),""))</f>
        <v/>
      </c>
      <c r="H928" s="18"/>
      <c r="I928" s="19" t="str">
        <f aca="false">IF(OR(F928="",G928=""),"",IF(F928-G928&lt;0,"CONTRATO ANTERIOR À ABERTURA — conferir datas",IF(F928-G928&lt;180,"ABERTA MENOS DE 6 MESES ANTES","")))</f>
        <v/>
      </c>
      <c r="J928" s="19" t="str">
        <f aca="false">IF(A928="","",IFERROR(INDEX(Sancoes!$B:$B,MATCH(A928,Sancoes!$A:$A,0))&amp;"","não consta"))</f>
        <v/>
      </c>
      <c r="K928" s="19" t="str">
        <f aca="false">IF(OR(A928="",F928=""),"",IF(SUMPRODUCT((Sancoes!$A$2:$A$301=A928)*(Sancoes!$B$2:$B$301&lt;&gt;"Não consta")*(Sancoes!$D$2:$D$301&lt;&gt;"")*(Sancoes!$D$2:$D$301&lt;=F928)*(((Sancoes!$E$2:$E$301="")+(Sancoes!$E$2:$E$301&gt;=F928))&gt;0))&gt;0,"SANÇÃO VIGENTE NA DATA — leia o tipo e a abrangência",""))</f>
        <v/>
      </c>
      <c r="L928" s="19" t="str">
        <f aca="false">IF(A928="","",IFERROR(INDEX(Empresas!$B:$B,MATCH(A928,Empresas!$A:$A,0))&amp;"","cadastre o CNPJ em Empresas"))</f>
        <v/>
      </c>
      <c r="M928" s="27"/>
      <c r="N928" s="35"/>
      <c r="O928" s="37" t="str">
        <f aca="false">IF(OR(D928="",D928=0,N928=""),"",N928/D928)</f>
        <v/>
      </c>
      <c r="P928" s="19" t="str">
        <f aca="false">IF(O928="","",IF(O928&gt;0.25,"ACRÉSCIMO ACIMA DE 25% — conferir",""))</f>
        <v/>
      </c>
      <c r="Q928" s="27"/>
      <c r="R928" s="5"/>
    </row>
    <row r="929" customFormat="false" ht="15" hidden="false" customHeight="false" outlineLevel="0" collapsed="false">
      <c r="A929" s="27"/>
      <c r="B929" s="5"/>
      <c r="C929" s="5"/>
      <c r="D929" s="35"/>
      <c r="E929" s="14"/>
      <c r="F929" s="18"/>
      <c r="G929" s="31" t="str">
        <f aca="false">IF(A929="","",IFERROR(IF(INDEX(Empresas!$C:$C,MATCH(A929,Empresas!$A:$A,0))="","",INDEX(Empresas!$C:$C,MATCH(A929,Empresas!$A:$A,0))),""))</f>
        <v/>
      </c>
      <c r="H929" s="18"/>
      <c r="I929" s="19" t="str">
        <f aca="false">IF(OR(F929="",G929=""),"",IF(F929-G929&lt;0,"CONTRATO ANTERIOR À ABERTURA — conferir datas",IF(F929-G929&lt;180,"ABERTA MENOS DE 6 MESES ANTES","")))</f>
        <v/>
      </c>
      <c r="J929" s="19" t="str">
        <f aca="false">IF(A929="","",IFERROR(INDEX(Sancoes!$B:$B,MATCH(A929,Sancoes!$A:$A,0))&amp;"","não consta"))</f>
        <v/>
      </c>
      <c r="K929" s="19" t="str">
        <f aca="false">IF(OR(A929="",F929=""),"",IF(SUMPRODUCT((Sancoes!$A$2:$A$301=A929)*(Sancoes!$B$2:$B$301&lt;&gt;"Não consta")*(Sancoes!$D$2:$D$301&lt;&gt;"")*(Sancoes!$D$2:$D$301&lt;=F929)*(((Sancoes!$E$2:$E$301="")+(Sancoes!$E$2:$E$301&gt;=F929))&gt;0))&gt;0,"SANÇÃO VIGENTE NA DATA — leia o tipo e a abrangência",""))</f>
        <v/>
      </c>
      <c r="L929" s="19" t="str">
        <f aca="false">IF(A929="","",IFERROR(INDEX(Empresas!$B:$B,MATCH(A929,Empresas!$A:$A,0))&amp;"","cadastre o CNPJ em Empresas"))</f>
        <v/>
      </c>
      <c r="M929" s="27"/>
      <c r="N929" s="35"/>
      <c r="O929" s="37" t="str">
        <f aca="false">IF(OR(D929="",D929=0,N929=""),"",N929/D929)</f>
        <v/>
      </c>
      <c r="P929" s="19" t="str">
        <f aca="false">IF(O929="","",IF(O929&gt;0.25,"ACRÉSCIMO ACIMA DE 25% — conferir",""))</f>
        <v/>
      </c>
      <c r="Q929" s="27"/>
      <c r="R929" s="5"/>
    </row>
    <row r="930" customFormat="false" ht="15" hidden="false" customHeight="false" outlineLevel="0" collapsed="false">
      <c r="A930" s="27"/>
      <c r="B930" s="5"/>
      <c r="C930" s="5"/>
      <c r="D930" s="35"/>
      <c r="E930" s="14"/>
      <c r="F930" s="18"/>
      <c r="G930" s="31" t="str">
        <f aca="false">IF(A930="","",IFERROR(IF(INDEX(Empresas!$C:$C,MATCH(A930,Empresas!$A:$A,0))="","",INDEX(Empresas!$C:$C,MATCH(A930,Empresas!$A:$A,0))),""))</f>
        <v/>
      </c>
      <c r="H930" s="18"/>
      <c r="I930" s="19" t="str">
        <f aca="false">IF(OR(F930="",G930=""),"",IF(F930-G930&lt;0,"CONTRATO ANTERIOR À ABERTURA — conferir datas",IF(F930-G930&lt;180,"ABERTA MENOS DE 6 MESES ANTES","")))</f>
        <v/>
      </c>
      <c r="J930" s="19" t="str">
        <f aca="false">IF(A930="","",IFERROR(INDEX(Sancoes!$B:$B,MATCH(A930,Sancoes!$A:$A,0))&amp;"","não consta"))</f>
        <v/>
      </c>
      <c r="K930" s="19" t="str">
        <f aca="false">IF(OR(A930="",F930=""),"",IF(SUMPRODUCT((Sancoes!$A$2:$A$301=A930)*(Sancoes!$B$2:$B$301&lt;&gt;"Não consta")*(Sancoes!$D$2:$D$301&lt;&gt;"")*(Sancoes!$D$2:$D$301&lt;=F930)*(((Sancoes!$E$2:$E$301="")+(Sancoes!$E$2:$E$301&gt;=F930))&gt;0))&gt;0,"SANÇÃO VIGENTE NA DATA — leia o tipo e a abrangência",""))</f>
        <v/>
      </c>
      <c r="L930" s="19" t="str">
        <f aca="false">IF(A930="","",IFERROR(INDEX(Empresas!$B:$B,MATCH(A930,Empresas!$A:$A,0))&amp;"","cadastre o CNPJ em Empresas"))</f>
        <v/>
      </c>
      <c r="M930" s="27"/>
      <c r="N930" s="35"/>
      <c r="O930" s="37" t="str">
        <f aca="false">IF(OR(D930="",D930=0,N930=""),"",N930/D930)</f>
        <v/>
      </c>
      <c r="P930" s="19" t="str">
        <f aca="false">IF(O930="","",IF(O930&gt;0.25,"ACRÉSCIMO ACIMA DE 25% — conferir",""))</f>
        <v/>
      </c>
      <c r="Q930" s="27"/>
      <c r="R930" s="5"/>
    </row>
    <row r="931" customFormat="false" ht="15" hidden="false" customHeight="false" outlineLevel="0" collapsed="false">
      <c r="A931" s="27"/>
      <c r="B931" s="5"/>
      <c r="C931" s="5"/>
      <c r="D931" s="35"/>
      <c r="E931" s="14"/>
      <c r="F931" s="18"/>
      <c r="G931" s="31" t="str">
        <f aca="false">IF(A931="","",IFERROR(IF(INDEX(Empresas!$C:$C,MATCH(A931,Empresas!$A:$A,0))="","",INDEX(Empresas!$C:$C,MATCH(A931,Empresas!$A:$A,0))),""))</f>
        <v/>
      </c>
      <c r="H931" s="18"/>
      <c r="I931" s="19" t="str">
        <f aca="false">IF(OR(F931="",G931=""),"",IF(F931-G931&lt;0,"CONTRATO ANTERIOR À ABERTURA — conferir datas",IF(F931-G931&lt;180,"ABERTA MENOS DE 6 MESES ANTES","")))</f>
        <v/>
      </c>
      <c r="J931" s="19" t="str">
        <f aca="false">IF(A931="","",IFERROR(INDEX(Sancoes!$B:$B,MATCH(A931,Sancoes!$A:$A,0))&amp;"","não consta"))</f>
        <v/>
      </c>
      <c r="K931" s="19" t="str">
        <f aca="false">IF(OR(A931="",F931=""),"",IF(SUMPRODUCT((Sancoes!$A$2:$A$301=A931)*(Sancoes!$B$2:$B$301&lt;&gt;"Não consta")*(Sancoes!$D$2:$D$301&lt;&gt;"")*(Sancoes!$D$2:$D$301&lt;=F931)*(((Sancoes!$E$2:$E$301="")+(Sancoes!$E$2:$E$301&gt;=F931))&gt;0))&gt;0,"SANÇÃO VIGENTE NA DATA — leia o tipo e a abrangência",""))</f>
        <v/>
      </c>
      <c r="L931" s="19" t="str">
        <f aca="false">IF(A931="","",IFERROR(INDEX(Empresas!$B:$B,MATCH(A931,Empresas!$A:$A,0))&amp;"","cadastre o CNPJ em Empresas"))</f>
        <v/>
      </c>
      <c r="M931" s="27"/>
      <c r="N931" s="35"/>
      <c r="O931" s="37" t="str">
        <f aca="false">IF(OR(D931="",D931=0,N931=""),"",N931/D931)</f>
        <v/>
      </c>
      <c r="P931" s="19" t="str">
        <f aca="false">IF(O931="","",IF(O931&gt;0.25,"ACRÉSCIMO ACIMA DE 25% — conferir",""))</f>
        <v/>
      </c>
      <c r="Q931" s="27"/>
      <c r="R931" s="5"/>
    </row>
    <row r="932" customFormat="false" ht="15" hidden="false" customHeight="false" outlineLevel="0" collapsed="false">
      <c r="A932" s="27"/>
      <c r="B932" s="5"/>
      <c r="C932" s="5"/>
      <c r="D932" s="35"/>
      <c r="E932" s="14"/>
      <c r="F932" s="18"/>
      <c r="G932" s="31" t="str">
        <f aca="false">IF(A932="","",IFERROR(IF(INDEX(Empresas!$C:$C,MATCH(A932,Empresas!$A:$A,0))="","",INDEX(Empresas!$C:$C,MATCH(A932,Empresas!$A:$A,0))),""))</f>
        <v/>
      </c>
      <c r="H932" s="18"/>
      <c r="I932" s="19" t="str">
        <f aca="false">IF(OR(F932="",G932=""),"",IF(F932-G932&lt;0,"CONTRATO ANTERIOR À ABERTURA — conferir datas",IF(F932-G932&lt;180,"ABERTA MENOS DE 6 MESES ANTES","")))</f>
        <v/>
      </c>
      <c r="J932" s="19" t="str">
        <f aca="false">IF(A932="","",IFERROR(INDEX(Sancoes!$B:$B,MATCH(A932,Sancoes!$A:$A,0))&amp;"","não consta"))</f>
        <v/>
      </c>
      <c r="K932" s="19" t="str">
        <f aca="false">IF(OR(A932="",F932=""),"",IF(SUMPRODUCT((Sancoes!$A$2:$A$301=A932)*(Sancoes!$B$2:$B$301&lt;&gt;"Não consta")*(Sancoes!$D$2:$D$301&lt;&gt;"")*(Sancoes!$D$2:$D$301&lt;=F932)*(((Sancoes!$E$2:$E$301="")+(Sancoes!$E$2:$E$301&gt;=F932))&gt;0))&gt;0,"SANÇÃO VIGENTE NA DATA — leia o tipo e a abrangência",""))</f>
        <v/>
      </c>
      <c r="L932" s="19" t="str">
        <f aca="false">IF(A932="","",IFERROR(INDEX(Empresas!$B:$B,MATCH(A932,Empresas!$A:$A,0))&amp;"","cadastre o CNPJ em Empresas"))</f>
        <v/>
      </c>
      <c r="M932" s="27"/>
      <c r="N932" s="35"/>
      <c r="O932" s="37" t="str">
        <f aca="false">IF(OR(D932="",D932=0,N932=""),"",N932/D932)</f>
        <v/>
      </c>
      <c r="P932" s="19" t="str">
        <f aca="false">IF(O932="","",IF(O932&gt;0.25,"ACRÉSCIMO ACIMA DE 25% — conferir",""))</f>
        <v/>
      </c>
      <c r="Q932" s="27"/>
      <c r="R932" s="5"/>
    </row>
    <row r="933" customFormat="false" ht="15" hidden="false" customHeight="false" outlineLevel="0" collapsed="false">
      <c r="A933" s="27"/>
      <c r="B933" s="5"/>
      <c r="C933" s="5"/>
      <c r="D933" s="35"/>
      <c r="E933" s="14"/>
      <c r="F933" s="18"/>
      <c r="G933" s="31" t="str">
        <f aca="false">IF(A933="","",IFERROR(IF(INDEX(Empresas!$C:$C,MATCH(A933,Empresas!$A:$A,0))="","",INDEX(Empresas!$C:$C,MATCH(A933,Empresas!$A:$A,0))),""))</f>
        <v/>
      </c>
      <c r="H933" s="18"/>
      <c r="I933" s="19" t="str">
        <f aca="false">IF(OR(F933="",G933=""),"",IF(F933-G933&lt;0,"CONTRATO ANTERIOR À ABERTURA — conferir datas",IF(F933-G933&lt;180,"ABERTA MENOS DE 6 MESES ANTES","")))</f>
        <v/>
      </c>
      <c r="J933" s="19" t="str">
        <f aca="false">IF(A933="","",IFERROR(INDEX(Sancoes!$B:$B,MATCH(A933,Sancoes!$A:$A,0))&amp;"","não consta"))</f>
        <v/>
      </c>
      <c r="K933" s="19" t="str">
        <f aca="false">IF(OR(A933="",F933=""),"",IF(SUMPRODUCT((Sancoes!$A$2:$A$301=A933)*(Sancoes!$B$2:$B$301&lt;&gt;"Não consta")*(Sancoes!$D$2:$D$301&lt;&gt;"")*(Sancoes!$D$2:$D$301&lt;=F933)*(((Sancoes!$E$2:$E$301="")+(Sancoes!$E$2:$E$301&gt;=F933))&gt;0))&gt;0,"SANÇÃO VIGENTE NA DATA — leia o tipo e a abrangência",""))</f>
        <v/>
      </c>
      <c r="L933" s="19" t="str">
        <f aca="false">IF(A933="","",IFERROR(INDEX(Empresas!$B:$B,MATCH(A933,Empresas!$A:$A,0))&amp;"","cadastre o CNPJ em Empresas"))</f>
        <v/>
      </c>
      <c r="M933" s="27"/>
      <c r="N933" s="35"/>
      <c r="O933" s="37" t="str">
        <f aca="false">IF(OR(D933="",D933=0,N933=""),"",N933/D933)</f>
        <v/>
      </c>
      <c r="P933" s="19" t="str">
        <f aca="false">IF(O933="","",IF(O933&gt;0.25,"ACRÉSCIMO ACIMA DE 25% — conferir",""))</f>
        <v/>
      </c>
      <c r="Q933" s="27"/>
      <c r="R933" s="5"/>
    </row>
    <row r="934" customFormat="false" ht="15" hidden="false" customHeight="false" outlineLevel="0" collapsed="false">
      <c r="A934" s="27"/>
      <c r="B934" s="5"/>
      <c r="C934" s="5"/>
      <c r="D934" s="35"/>
      <c r="E934" s="14"/>
      <c r="F934" s="18"/>
      <c r="G934" s="31" t="str">
        <f aca="false">IF(A934="","",IFERROR(IF(INDEX(Empresas!$C:$C,MATCH(A934,Empresas!$A:$A,0))="","",INDEX(Empresas!$C:$C,MATCH(A934,Empresas!$A:$A,0))),""))</f>
        <v/>
      </c>
      <c r="H934" s="18"/>
      <c r="I934" s="19" t="str">
        <f aca="false">IF(OR(F934="",G934=""),"",IF(F934-G934&lt;0,"CONTRATO ANTERIOR À ABERTURA — conferir datas",IF(F934-G934&lt;180,"ABERTA MENOS DE 6 MESES ANTES","")))</f>
        <v/>
      </c>
      <c r="J934" s="19" t="str">
        <f aca="false">IF(A934="","",IFERROR(INDEX(Sancoes!$B:$B,MATCH(A934,Sancoes!$A:$A,0))&amp;"","não consta"))</f>
        <v/>
      </c>
      <c r="K934" s="19" t="str">
        <f aca="false">IF(OR(A934="",F934=""),"",IF(SUMPRODUCT((Sancoes!$A$2:$A$301=A934)*(Sancoes!$B$2:$B$301&lt;&gt;"Não consta")*(Sancoes!$D$2:$D$301&lt;&gt;"")*(Sancoes!$D$2:$D$301&lt;=F934)*(((Sancoes!$E$2:$E$301="")+(Sancoes!$E$2:$E$301&gt;=F934))&gt;0))&gt;0,"SANÇÃO VIGENTE NA DATA — leia o tipo e a abrangência",""))</f>
        <v/>
      </c>
      <c r="L934" s="19" t="str">
        <f aca="false">IF(A934="","",IFERROR(INDEX(Empresas!$B:$B,MATCH(A934,Empresas!$A:$A,0))&amp;"","cadastre o CNPJ em Empresas"))</f>
        <v/>
      </c>
      <c r="M934" s="27"/>
      <c r="N934" s="35"/>
      <c r="O934" s="37" t="str">
        <f aca="false">IF(OR(D934="",D934=0,N934=""),"",N934/D934)</f>
        <v/>
      </c>
      <c r="P934" s="19" t="str">
        <f aca="false">IF(O934="","",IF(O934&gt;0.25,"ACRÉSCIMO ACIMA DE 25% — conferir",""))</f>
        <v/>
      </c>
      <c r="Q934" s="27"/>
      <c r="R934" s="5"/>
    </row>
    <row r="935" customFormat="false" ht="15" hidden="false" customHeight="false" outlineLevel="0" collapsed="false">
      <c r="A935" s="27"/>
      <c r="B935" s="5"/>
      <c r="C935" s="5"/>
      <c r="D935" s="35"/>
      <c r="E935" s="14"/>
      <c r="F935" s="18"/>
      <c r="G935" s="31" t="str">
        <f aca="false">IF(A935="","",IFERROR(IF(INDEX(Empresas!$C:$C,MATCH(A935,Empresas!$A:$A,0))="","",INDEX(Empresas!$C:$C,MATCH(A935,Empresas!$A:$A,0))),""))</f>
        <v/>
      </c>
      <c r="H935" s="18"/>
      <c r="I935" s="19" t="str">
        <f aca="false">IF(OR(F935="",G935=""),"",IF(F935-G935&lt;0,"CONTRATO ANTERIOR À ABERTURA — conferir datas",IF(F935-G935&lt;180,"ABERTA MENOS DE 6 MESES ANTES","")))</f>
        <v/>
      </c>
      <c r="J935" s="19" t="str">
        <f aca="false">IF(A935="","",IFERROR(INDEX(Sancoes!$B:$B,MATCH(A935,Sancoes!$A:$A,0))&amp;"","não consta"))</f>
        <v/>
      </c>
      <c r="K935" s="19" t="str">
        <f aca="false">IF(OR(A935="",F935=""),"",IF(SUMPRODUCT((Sancoes!$A$2:$A$301=A935)*(Sancoes!$B$2:$B$301&lt;&gt;"Não consta")*(Sancoes!$D$2:$D$301&lt;&gt;"")*(Sancoes!$D$2:$D$301&lt;=F935)*(((Sancoes!$E$2:$E$301="")+(Sancoes!$E$2:$E$301&gt;=F935))&gt;0))&gt;0,"SANÇÃO VIGENTE NA DATA — leia o tipo e a abrangência",""))</f>
        <v/>
      </c>
      <c r="L935" s="19" t="str">
        <f aca="false">IF(A935="","",IFERROR(INDEX(Empresas!$B:$B,MATCH(A935,Empresas!$A:$A,0))&amp;"","cadastre o CNPJ em Empresas"))</f>
        <v/>
      </c>
      <c r="M935" s="27"/>
      <c r="N935" s="35"/>
      <c r="O935" s="37" t="str">
        <f aca="false">IF(OR(D935="",D935=0,N935=""),"",N935/D935)</f>
        <v/>
      </c>
      <c r="P935" s="19" t="str">
        <f aca="false">IF(O935="","",IF(O935&gt;0.25,"ACRÉSCIMO ACIMA DE 25% — conferir",""))</f>
        <v/>
      </c>
      <c r="Q935" s="27"/>
      <c r="R935" s="5"/>
    </row>
    <row r="936" customFormat="false" ht="15" hidden="false" customHeight="false" outlineLevel="0" collapsed="false">
      <c r="A936" s="27"/>
      <c r="B936" s="5"/>
      <c r="C936" s="5"/>
      <c r="D936" s="35"/>
      <c r="E936" s="14"/>
      <c r="F936" s="18"/>
      <c r="G936" s="31" t="str">
        <f aca="false">IF(A936="","",IFERROR(IF(INDEX(Empresas!$C:$C,MATCH(A936,Empresas!$A:$A,0))="","",INDEX(Empresas!$C:$C,MATCH(A936,Empresas!$A:$A,0))),""))</f>
        <v/>
      </c>
      <c r="H936" s="18"/>
      <c r="I936" s="19" t="str">
        <f aca="false">IF(OR(F936="",G936=""),"",IF(F936-G936&lt;0,"CONTRATO ANTERIOR À ABERTURA — conferir datas",IF(F936-G936&lt;180,"ABERTA MENOS DE 6 MESES ANTES","")))</f>
        <v/>
      </c>
      <c r="J936" s="19" t="str">
        <f aca="false">IF(A936="","",IFERROR(INDEX(Sancoes!$B:$B,MATCH(A936,Sancoes!$A:$A,0))&amp;"","não consta"))</f>
        <v/>
      </c>
      <c r="K936" s="19" t="str">
        <f aca="false">IF(OR(A936="",F936=""),"",IF(SUMPRODUCT((Sancoes!$A$2:$A$301=A936)*(Sancoes!$B$2:$B$301&lt;&gt;"Não consta")*(Sancoes!$D$2:$D$301&lt;&gt;"")*(Sancoes!$D$2:$D$301&lt;=F936)*(((Sancoes!$E$2:$E$301="")+(Sancoes!$E$2:$E$301&gt;=F936))&gt;0))&gt;0,"SANÇÃO VIGENTE NA DATA — leia o tipo e a abrangência",""))</f>
        <v/>
      </c>
      <c r="L936" s="19" t="str">
        <f aca="false">IF(A936="","",IFERROR(INDEX(Empresas!$B:$B,MATCH(A936,Empresas!$A:$A,0))&amp;"","cadastre o CNPJ em Empresas"))</f>
        <v/>
      </c>
      <c r="M936" s="27"/>
      <c r="N936" s="35"/>
      <c r="O936" s="37" t="str">
        <f aca="false">IF(OR(D936="",D936=0,N936=""),"",N936/D936)</f>
        <v/>
      </c>
      <c r="P936" s="19" t="str">
        <f aca="false">IF(O936="","",IF(O936&gt;0.25,"ACRÉSCIMO ACIMA DE 25% — conferir",""))</f>
        <v/>
      </c>
      <c r="Q936" s="27"/>
      <c r="R936" s="5"/>
    </row>
    <row r="937" customFormat="false" ht="15" hidden="false" customHeight="false" outlineLevel="0" collapsed="false">
      <c r="A937" s="27"/>
      <c r="B937" s="5"/>
      <c r="C937" s="5"/>
      <c r="D937" s="35"/>
      <c r="E937" s="14"/>
      <c r="F937" s="18"/>
      <c r="G937" s="31" t="str">
        <f aca="false">IF(A937="","",IFERROR(IF(INDEX(Empresas!$C:$C,MATCH(A937,Empresas!$A:$A,0))="","",INDEX(Empresas!$C:$C,MATCH(A937,Empresas!$A:$A,0))),""))</f>
        <v/>
      </c>
      <c r="H937" s="18"/>
      <c r="I937" s="19" t="str">
        <f aca="false">IF(OR(F937="",G937=""),"",IF(F937-G937&lt;0,"CONTRATO ANTERIOR À ABERTURA — conferir datas",IF(F937-G937&lt;180,"ABERTA MENOS DE 6 MESES ANTES","")))</f>
        <v/>
      </c>
      <c r="J937" s="19" t="str">
        <f aca="false">IF(A937="","",IFERROR(INDEX(Sancoes!$B:$B,MATCH(A937,Sancoes!$A:$A,0))&amp;"","não consta"))</f>
        <v/>
      </c>
      <c r="K937" s="19" t="str">
        <f aca="false">IF(OR(A937="",F937=""),"",IF(SUMPRODUCT((Sancoes!$A$2:$A$301=A937)*(Sancoes!$B$2:$B$301&lt;&gt;"Não consta")*(Sancoes!$D$2:$D$301&lt;&gt;"")*(Sancoes!$D$2:$D$301&lt;=F937)*(((Sancoes!$E$2:$E$301="")+(Sancoes!$E$2:$E$301&gt;=F937))&gt;0))&gt;0,"SANÇÃO VIGENTE NA DATA — leia o tipo e a abrangência",""))</f>
        <v/>
      </c>
      <c r="L937" s="19" t="str">
        <f aca="false">IF(A937="","",IFERROR(INDEX(Empresas!$B:$B,MATCH(A937,Empresas!$A:$A,0))&amp;"","cadastre o CNPJ em Empresas"))</f>
        <v/>
      </c>
      <c r="M937" s="27"/>
      <c r="N937" s="35"/>
      <c r="O937" s="37" t="str">
        <f aca="false">IF(OR(D937="",D937=0,N937=""),"",N937/D937)</f>
        <v/>
      </c>
      <c r="P937" s="19" t="str">
        <f aca="false">IF(O937="","",IF(O937&gt;0.25,"ACRÉSCIMO ACIMA DE 25% — conferir",""))</f>
        <v/>
      </c>
      <c r="Q937" s="27"/>
      <c r="R937" s="5"/>
    </row>
    <row r="938" customFormat="false" ht="15" hidden="false" customHeight="false" outlineLevel="0" collapsed="false">
      <c r="A938" s="27"/>
      <c r="B938" s="5"/>
      <c r="C938" s="5"/>
      <c r="D938" s="35"/>
      <c r="E938" s="14"/>
      <c r="F938" s="18"/>
      <c r="G938" s="31" t="str">
        <f aca="false">IF(A938="","",IFERROR(IF(INDEX(Empresas!$C:$C,MATCH(A938,Empresas!$A:$A,0))="","",INDEX(Empresas!$C:$C,MATCH(A938,Empresas!$A:$A,0))),""))</f>
        <v/>
      </c>
      <c r="H938" s="18"/>
      <c r="I938" s="19" t="str">
        <f aca="false">IF(OR(F938="",G938=""),"",IF(F938-G938&lt;0,"CONTRATO ANTERIOR À ABERTURA — conferir datas",IF(F938-G938&lt;180,"ABERTA MENOS DE 6 MESES ANTES","")))</f>
        <v/>
      </c>
      <c r="J938" s="19" t="str">
        <f aca="false">IF(A938="","",IFERROR(INDEX(Sancoes!$B:$B,MATCH(A938,Sancoes!$A:$A,0))&amp;"","não consta"))</f>
        <v/>
      </c>
      <c r="K938" s="19" t="str">
        <f aca="false">IF(OR(A938="",F938=""),"",IF(SUMPRODUCT((Sancoes!$A$2:$A$301=A938)*(Sancoes!$B$2:$B$301&lt;&gt;"Não consta")*(Sancoes!$D$2:$D$301&lt;&gt;"")*(Sancoes!$D$2:$D$301&lt;=F938)*(((Sancoes!$E$2:$E$301="")+(Sancoes!$E$2:$E$301&gt;=F938))&gt;0))&gt;0,"SANÇÃO VIGENTE NA DATA — leia o tipo e a abrangência",""))</f>
        <v/>
      </c>
      <c r="L938" s="19" t="str">
        <f aca="false">IF(A938="","",IFERROR(INDEX(Empresas!$B:$B,MATCH(A938,Empresas!$A:$A,0))&amp;"","cadastre o CNPJ em Empresas"))</f>
        <v/>
      </c>
      <c r="M938" s="27"/>
      <c r="N938" s="35"/>
      <c r="O938" s="37" t="str">
        <f aca="false">IF(OR(D938="",D938=0,N938=""),"",N938/D938)</f>
        <v/>
      </c>
      <c r="P938" s="19" t="str">
        <f aca="false">IF(O938="","",IF(O938&gt;0.25,"ACRÉSCIMO ACIMA DE 25% — conferir",""))</f>
        <v/>
      </c>
      <c r="Q938" s="27"/>
      <c r="R938" s="5"/>
    </row>
    <row r="939" customFormat="false" ht="15" hidden="false" customHeight="false" outlineLevel="0" collapsed="false">
      <c r="A939" s="27"/>
      <c r="B939" s="5"/>
      <c r="C939" s="5"/>
      <c r="D939" s="35"/>
      <c r="E939" s="14"/>
      <c r="F939" s="18"/>
      <c r="G939" s="31" t="str">
        <f aca="false">IF(A939="","",IFERROR(IF(INDEX(Empresas!$C:$C,MATCH(A939,Empresas!$A:$A,0))="","",INDEX(Empresas!$C:$C,MATCH(A939,Empresas!$A:$A,0))),""))</f>
        <v/>
      </c>
      <c r="H939" s="18"/>
      <c r="I939" s="19" t="str">
        <f aca="false">IF(OR(F939="",G939=""),"",IF(F939-G939&lt;0,"CONTRATO ANTERIOR À ABERTURA — conferir datas",IF(F939-G939&lt;180,"ABERTA MENOS DE 6 MESES ANTES","")))</f>
        <v/>
      </c>
      <c r="J939" s="19" t="str">
        <f aca="false">IF(A939="","",IFERROR(INDEX(Sancoes!$B:$B,MATCH(A939,Sancoes!$A:$A,0))&amp;"","não consta"))</f>
        <v/>
      </c>
      <c r="K939" s="19" t="str">
        <f aca="false">IF(OR(A939="",F939=""),"",IF(SUMPRODUCT((Sancoes!$A$2:$A$301=A939)*(Sancoes!$B$2:$B$301&lt;&gt;"Não consta")*(Sancoes!$D$2:$D$301&lt;&gt;"")*(Sancoes!$D$2:$D$301&lt;=F939)*(((Sancoes!$E$2:$E$301="")+(Sancoes!$E$2:$E$301&gt;=F939))&gt;0))&gt;0,"SANÇÃO VIGENTE NA DATA — leia o tipo e a abrangência",""))</f>
        <v/>
      </c>
      <c r="L939" s="19" t="str">
        <f aca="false">IF(A939="","",IFERROR(INDEX(Empresas!$B:$B,MATCH(A939,Empresas!$A:$A,0))&amp;"","cadastre o CNPJ em Empresas"))</f>
        <v/>
      </c>
      <c r="M939" s="27"/>
      <c r="N939" s="35"/>
      <c r="O939" s="37" t="str">
        <f aca="false">IF(OR(D939="",D939=0,N939=""),"",N939/D939)</f>
        <v/>
      </c>
      <c r="P939" s="19" t="str">
        <f aca="false">IF(O939="","",IF(O939&gt;0.25,"ACRÉSCIMO ACIMA DE 25% — conferir",""))</f>
        <v/>
      </c>
      <c r="Q939" s="27"/>
      <c r="R939" s="5"/>
    </row>
    <row r="940" customFormat="false" ht="15" hidden="false" customHeight="false" outlineLevel="0" collapsed="false">
      <c r="A940" s="27"/>
      <c r="B940" s="5"/>
      <c r="C940" s="5"/>
      <c r="D940" s="35"/>
      <c r="E940" s="14"/>
      <c r="F940" s="18"/>
      <c r="G940" s="31" t="str">
        <f aca="false">IF(A940="","",IFERROR(IF(INDEX(Empresas!$C:$C,MATCH(A940,Empresas!$A:$A,0))="","",INDEX(Empresas!$C:$C,MATCH(A940,Empresas!$A:$A,0))),""))</f>
        <v/>
      </c>
      <c r="H940" s="18"/>
      <c r="I940" s="19" t="str">
        <f aca="false">IF(OR(F940="",G940=""),"",IF(F940-G940&lt;0,"CONTRATO ANTERIOR À ABERTURA — conferir datas",IF(F940-G940&lt;180,"ABERTA MENOS DE 6 MESES ANTES","")))</f>
        <v/>
      </c>
      <c r="J940" s="19" t="str">
        <f aca="false">IF(A940="","",IFERROR(INDEX(Sancoes!$B:$B,MATCH(A940,Sancoes!$A:$A,0))&amp;"","não consta"))</f>
        <v/>
      </c>
      <c r="K940" s="19" t="str">
        <f aca="false">IF(OR(A940="",F940=""),"",IF(SUMPRODUCT((Sancoes!$A$2:$A$301=A940)*(Sancoes!$B$2:$B$301&lt;&gt;"Não consta")*(Sancoes!$D$2:$D$301&lt;&gt;"")*(Sancoes!$D$2:$D$301&lt;=F940)*(((Sancoes!$E$2:$E$301="")+(Sancoes!$E$2:$E$301&gt;=F940))&gt;0))&gt;0,"SANÇÃO VIGENTE NA DATA — leia o tipo e a abrangência",""))</f>
        <v/>
      </c>
      <c r="L940" s="19" t="str">
        <f aca="false">IF(A940="","",IFERROR(INDEX(Empresas!$B:$B,MATCH(A940,Empresas!$A:$A,0))&amp;"","cadastre o CNPJ em Empresas"))</f>
        <v/>
      </c>
      <c r="M940" s="27"/>
      <c r="N940" s="35"/>
      <c r="O940" s="37" t="str">
        <f aca="false">IF(OR(D940="",D940=0,N940=""),"",N940/D940)</f>
        <v/>
      </c>
      <c r="P940" s="19" t="str">
        <f aca="false">IF(O940="","",IF(O940&gt;0.25,"ACRÉSCIMO ACIMA DE 25% — conferir",""))</f>
        <v/>
      </c>
      <c r="Q940" s="27"/>
      <c r="R940" s="5"/>
    </row>
    <row r="941" customFormat="false" ht="15" hidden="false" customHeight="false" outlineLevel="0" collapsed="false">
      <c r="A941" s="27"/>
      <c r="B941" s="5"/>
      <c r="C941" s="5"/>
      <c r="D941" s="35"/>
      <c r="E941" s="14"/>
      <c r="F941" s="18"/>
      <c r="G941" s="31" t="str">
        <f aca="false">IF(A941="","",IFERROR(IF(INDEX(Empresas!$C:$C,MATCH(A941,Empresas!$A:$A,0))="","",INDEX(Empresas!$C:$C,MATCH(A941,Empresas!$A:$A,0))),""))</f>
        <v/>
      </c>
      <c r="H941" s="18"/>
      <c r="I941" s="19" t="str">
        <f aca="false">IF(OR(F941="",G941=""),"",IF(F941-G941&lt;0,"CONTRATO ANTERIOR À ABERTURA — conferir datas",IF(F941-G941&lt;180,"ABERTA MENOS DE 6 MESES ANTES","")))</f>
        <v/>
      </c>
      <c r="J941" s="19" t="str">
        <f aca="false">IF(A941="","",IFERROR(INDEX(Sancoes!$B:$B,MATCH(A941,Sancoes!$A:$A,0))&amp;"","não consta"))</f>
        <v/>
      </c>
      <c r="K941" s="19" t="str">
        <f aca="false">IF(OR(A941="",F941=""),"",IF(SUMPRODUCT((Sancoes!$A$2:$A$301=A941)*(Sancoes!$B$2:$B$301&lt;&gt;"Não consta")*(Sancoes!$D$2:$D$301&lt;&gt;"")*(Sancoes!$D$2:$D$301&lt;=F941)*(((Sancoes!$E$2:$E$301="")+(Sancoes!$E$2:$E$301&gt;=F941))&gt;0))&gt;0,"SANÇÃO VIGENTE NA DATA — leia o tipo e a abrangência",""))</f>
        <v/>
      </c>
      <c r="L941" s="19" t="str">
        <f aca="false">IF(A941="","",IFERROR(INDEX(Empresas!$B:$B,MATCH(A941,Empresas!$A:$A,0))&amp;"","cadastre o CNPJ em Empresas"))</f>
        <v/>
      </c>
      <c r="M941" s="27"/>
      <c r="N941" s="35"/>
      <c r="O941" s="37" t="str">
        <f aca="false">IF(OR(D941="",D941=0,N941=""),"",N941/D941)</f>
        <v/>
      </c>
      <c r="P941" s="19" t="str">
        <f aca="false">IF(O941="","",IF(O941&gt;0.25,"ACRÉSCIMO ACIMA DE 25% — conferir",""))</f>
        <v/>
      </c>
      <c r="Q941" s="27"/>
      <c r="R941" s="5"/>
    </row>
    <row r="942" customFormat="false" ht="15" hidden="false" customHeight="false" outlineLevel="0" collapsed="false">
      <c r="A942" s="27"/>
      <c r="B942" s="5"/>
      <c r="C942" s="5"/>
      <c r="D942" s="35"/>
      <c r="E942" s="14"/>
      <c r="F942" s="18"/>
      <c r="G942" s="31" t="str">
        <f aca="false">IF(A942="","",IFERROR(IF(INDEX(Empresas!$C:$C,MATCH(A942,Empresas!$A:$A,0))="","",INDEX(Empresas!$C:$C,MATCH(A942,Empresas!$A:$A,0))),""))</f>
        <v/>
      </c>
      <c r="H942" s="18"/>
      <c r="I942" s="19" t="str">
        <f aca="false">IF(OR(F942="",G942=""),"",IF(F942-G942&lt;0,"CONTRATO ANTERIOR À ABERTURA — conferir datas",IF(F942-G942&lt;180,"ABERTA MENOS DE 6 MESES ANTES","")))</f>
        <v/>
      </c>
      <c r="J942" s="19" t="str">
        <f aca="false">IF(A942="","",IFERROR(INDEX(Sancoes!$B:$B,MATCH(A942,Sancoes!$A:$A,0))&amp;"","não consta"))</f>
        <v/>
      </c>
      <c r="K942" s="19" t="str">
        <f aca="false">IF(OR(A942="",F942=""),"",IF(SUMPRODUCT((Sancoes!$A$2:$A$301=A942)*(Sancoes!$B$2:$B$301&lt;&gt;"Não consta")*(Sancoes!$D$2:$D$301&lt;&gt;"")*(Sancoes!$D$2:$D$301&lt;=F942)*(((Sancoes!$E$2:$E$301="")+(Sancoes!$E$2:$E$301&gt;=F942))&gt;0))&gt;0,"SANÇÃO VIGENTE NA DATA — leia o tipo e a abrangência",""))</f>
        <v/>
      </c>
      <c r="L942" s="19" t="str">
        <f aca="false">IF(A942="","",IFERROR(INDEX(Empresas!$B:$B,MATCH(A942,Empresas!$A:$A,0))&amp;"","cadastre o CNPJ em Empresas"))</f>
        <v/>
      </c>
      <c r="M942" s="27"/>
      <c r="N942" s="35"/>
      <c r="O942" s="37" t="str">
        <f aca="false">IF(OR(D942="",D942=0,N942=""),"",N942/D942)</f>
        <v/>
      </c>
      <c r="P942" s="19" t="str">
        <f aca="false">IF(O942="","",IF(O942&gt;0.25,"ACRÉSCIMO ACIMA DE 25% — conferir",""))</f>
        <v/>
      </c>
      <c r="Q942" s="27"/>
      <c r="R942" s="5"/>
    </row>
    <row r="943" customFormat="false" ht="15" hidden="false" customHeight="false" outlineLevel="0" collapsed="false">
      <c r="A943" s="27"/>
      <c r="B943" s="5"/>
      <c r="C943" s="5"/>
      <c r="D943" s="35"/>
      <c r="E943" s="14"/>
      <c r="F943" s="18"/>
      <c r="G943" s="31" t="str">
        <f aca="false">IF(A943="","",IFERROR(IF(INDEX(Empresas!$C:$C,MATCH(A943,Empresas!$A:$A,0))="","",INDEX(Empresas!$C:$C,MATCH(A943,Empresas!$A:$A,0))),""))</f>
        <v/>
      </c>
      <c r="H943" s="18"/>
      <c r="I943" s="19" t="str">
        <f aca="false">IF(OR(F943="",G943=""),"",IF(F943-G943&lt;0,"CONTRATO ANTERIOR À ABERTURA — conferir datas",IF(F943-G943&lt;180,"ABERTA MENOS DE 6 MESES ANTES","")))</f>
        <v/>
      </c>
      <c r="J943" s="19" t="str">
        <f aca="false">IF(A943="","",IFERROR(INDEX(Sancoes!$B:$B,MATCH(A943,Sancoes!$A:$A,0))&amp;"","não consta"))</f>
        <v/>
      </c>
      <c r="K943" s="19" t="str">
        <f aca="false">IF(OR(A943="",F943=""),"",IF(SUMPRODUCT((Sancoes!$A$2:$A$301=A943)*(Sancoes!$B$2:$B$301&lt;&gt;"Não consta")*(Sancoes!$D$2:$D$301&lt;&gt;"")*(Sancoes!$D$2:$D$301&lt;=F943)*(((Sancoes!$E$2:$E$301="")+(Sancoes!$E$2:$E$301&gt;=F943))&gt;0))&gt;0,"SANÇÃO VIGENTE NA DATA — leia o tipo e a abrangência",""))</f>
        <v/>
      </c>
      <c r="L943" s="19" t="str">
        <f aca="false">IF(A943="","",IFERROR(INDEX(Empresas!$B:$B,MATCH(A943,Empresas!$A:$A,0))&amp;"","cadastre o CNPJ em Empresas"))</f>
        <v/>
      </c>
      <c r="M943" s="27"/>
      <c r="N943" s="35"/>
      <c r="O943" s="37" t="str">
        <f aca="false">IF(OR(D943="",D943=0,N943=""),"",N943/D943)</f>
        <v/>
      </c>
      <c r="P943" s="19" t="str">
        <f aca="false">IF(O943="","",IF(O943&gt;0.25,"ACRÉSCIMO ACIMA DE 25% — conferir",""))</f>
        <v/>
      </c>
      <c r="Q943" s="27"/>
      <c r="R943" s="5"/>
    </row>
    <row r="944" customFormat="false" ht="15" hidden="false" customHeight="false" outlineLevel="0" collapsed="false">
      <c r="A944" s="27"/>
      <c r="B944" s="5"/>
      <c r="C944" s="5"/>
      <c r="D944" s="35"/>
      <c r="E944" s="14"/>
      <c r="F944" s="18"/>
      <c r="G944" s="31" t="str">
        <f aca="false">IF(A944="","",IFERROR(IF(INDEX(Empresas!$C:$C,MATCH(A944,Empresas!$A:$A,0))="","",INDEX(Empresas!$C:$C,MATCH(A944,Empresas!$A:$A,0))),""))</f>
        <v/>
      </c>
      <c r="H944" s="18"/>
      <c r="I944" s="19" t="str">
        <f aca="false">IF(OR(F944="",G944=""),"",IF(F944-G944&lt;0,"CONTRATO ANTERIOR À ABERTURA — conferir datas",IF(F944-G944&lt;180,"ABERTA MENOS DE 6 MESES ANTES","")))</f>
        <v/>
      </c>
      <c r="J944" s="19" t="str">
        <f aca="false">IF(A944="","",IFERROR(INDEX(Sancoes!$B:$B,MATCH(A944,Sancoes!$A:$A,0))&amp;"","não consta"))</f>
        <v/>
      </c>
      <c r="K944" s="19" t="str">
        <f aca="false">IF(OR(A944="",F944=""),"",IF(SUMPRODUCT((Sancoes!$A$2:$A$301=A944)*(Sancoes!$B$2:$B$301&lt;&gt;"Não consta")*(Sancoes!$D$2:$D$301&lt;&gt;"")*(Sancoes!$D$2:$D$301&lt;=F944)*(((Sancoes!$E$2:$E$301="")+(Sancoes!$E$2:$E$301&gt;=F944))&gt;0))&gt;0,"SANÇÃO VIGENTE NA DATA — leia o tipo e a abrangência",""))</f>
        <v/>
      </c>
      <c r="L944" s="19" t="str">
        <f aca="false">IF(A944="","",IFERROR(INDEX(Empresas!$B:$B,MATCH(A944,Empresas!$A:$A,0))&amp;"","cadastre o CNPJ em Empresas"))</f>
        <v/>
      </c>
      <c r="M944" s="27"/>
      <c r="N944" s="35"/>
      <c r="O944" s="37" t="str">
        <f aca="false">IF(OR(D944="",D944=0,N944=""),"",N944/D944)</f>
        <v/>
      </c>
      <c r="P944" s="19" t="str">
        <f aca="false">IF(O944="","",IF(O944&gt;0.25,"ACRÉSCIMO ACIMA DE 25% — conferir",""))</f>
        <v/>
      </c>
      <c r="Q944" s="27"/>
      <c r="R944" s="5"/>
    </row>
    <row r="945" customFormat="false" ht="15" hidden="false" customHeight="false" outlineLevel="0" collapsed="false">
      <c r="A945" s="27"/>
      <c r="B945" s="5"/>
      <c r="C945" s="5"/>
      <c r="D945" s="35"/>
      <c r="E945" s="14"/>
      <c r="F945" s="18"/>
      <c r="G945" s="31" t="str">
        <f aca="false">IF(A945="","",IFERROR(IF(INDEX(Empresas!$C:$C,MATCH(A945,Empresas!$A:$A,0))="","",INDEX(Empresas!$C:$C,MATCH(A945,Empresas!$A:$A,0))),""))</f>
        <v/>
      </c>
      <c r="H945" s="18"/>
      <c r="I945" s="19" t="str">
        <f aca="false">IF(OR(F945="",G945=""),"",IF(F945-G945&lt;0,"CONTRATO ANTERIOR À ABERTURA — conferir datas",IF(F945-G945&lt;180,"ABERTA MENOS DE 6 MESES ANTES","")))</f>
        <v/>
      </c>
      <c r="J945" s="19" t="str">
        <f aca="false">IF(A945="","",IFERROR(INDEX(Sancoes!$B:$B,MATCH(A945,Sancoes!$A:$A,0))&amp;"","não consta"))</f>
        <v/>
      </c>
      <c r="K945" s="19" t="str">
        <f aca="false">IF(OR(A945="",F945=""),"",IF(SUMPRODUCT((Sancoes!$A$2:$A$301=A945)*(Sancoes!$B$2:$B$301&lt;&gt;"Não consta")*(Sancoes!$D$2:$D$301&lt;&gt;"")*(Sancoes!$D$2:$D$301&lt;=F945)*(((Sancoes!$E$2:$E$301="")+(Sancoes!$E$2:$E$301&gt;=F945))&gt;0))&gt;0,"SANÇÃO VIGENTE NA DATA — leia o tipo e a abrangência",""))</f>
        <v/>
      </c>
      <c r="L945" s="19" t="str">
        <f aca="false">IF(A945="","",IFERROR(INDEX(Empresas!$B:$B,MATCH(A945,Empresas!$A:$A,0))&amp;"","cadastre o CNPJ em Empresas"))</f>
        <v/>
      </c>
      <c r="M945" s="27"/>
      <c r="N945" s="35"/>
      <c r="O945" s="37" t="str">
        <f aca="false">IF(OR(D945="",D945=0,N945=""),"",N945/D945)</f>
        <v/>
      </c>
      <c r="P945" s="19" t="str">
        <f aca="false">IF(O945="","",IF(O945&gt;0.25,"ACRÉSCIMO ACIMA DE 25% — conferir",""))</f>
        <v/>
      </c>
      <c r="Q945" s="27"/>
      <c r="R945" s="5"/>
    </row>
    <row r="946" customFormat="false" ht="15" hidden="false" customHeight="false" outlineLevel="0" collapsed="false">
      <c r="A946" s="27"/>
      <c r="B946" s="5"/>
      <c r="C946" s="5"/>
      <c r="D946" s="35"/>
      <c r="E946" s="14"/>
      <c r="F946" s="18"/>
      <c r="G946" s="31" t="str">
        <f aca="false">IF(A946="","",IFERROR(IF(INDEX(Empresas!$C:$C,MATCH(A946,Empresas!$A:$A,0))="","",INDEX(Empresas!$C:$C,MATCH(A946,Empresas!$A:$A,0))),""))</f>
        <v/>
      </c>
      <c r="H946" s="18"/>
      <c r="I946" s="19" t="str">
        <f aca="false">IF(OR(F946="",G946=""),"",IF(F946-G946&lt;0,"CONTRATO ANTERIOR À ABERTURA — conferir datas",IF(F946-G946&lt;180,"ABERTA MENOS DE 6 MESES ANTES","")))</f>
        <v/>
      </c>
      <c r="J946" s="19" t="str">
        <f aca="false">IF(A946="","",IFERROR(INDEX(Sancoes!$B:$B,MATCH(A946,Sancoes!$A:$A,0))&amp;"","não consta"))</f>
        <v/>
      </c>
      <c r="K946" s="19" t="str">
        <f aca="false">IF(OR(A946="",F946=""),"",IF(SUMPRODUCT((Sancoes!$A$2:$A$301=A946)*(Sancoes!$B$2:$B$301&lt;&gt;"Não consta")*(Sancoes!$D$2:$D$301&lt;&gt;"")*(Sancoes!$D$2:$D$301&lt;=F946)*(((Sancoes!$E$2:$E$301="")+(Sancoes!$E$2:$E$301&gt;=F946))&gt;0))&gt;0,"SANÇÃO VIGENTE NA DATA — leia o tipo e a abrangência",""))</f>
        <v/>
      </c>
      <c r="L946" s="19" t="str">
        <f aca="false">IF(A946="","",IFERROR(INDEX(Empresas!$B:$B,MATCH(A946,Empresas!$A:$A,0))&amp;"","cadastre o CNPJ em Empresas"))</f>
        <v/>
      </c>
      <c r="M946" s="27"/>
      <c r="N946" s="35"/>
      <c r="O946" s="37" t="str">
        <f aca="false">IF(OR(D946="",D946=0,N946=""),"",N946/D946)</f>
        <v/>
      </c>
      <c r="P946" s="19" t="str">
        <f aca="false">IF(O946="","",IF(O946&gt;0.25,"ACRÉSCIMO ACIMA DE 25% — conferir",""))</f>
        <v/>
      </c>
      <c r="Q946" s="27"/>
      <c r="R946" s="5"/>
    </row>
    <row r="947" customFormat="false" ht="15" hidden="false" customHeight="false" outlineLevel="0" collapsed="false">
      <c r="A947" s="27"/>
      <c r="B947" s="5"/>
      <c r="C947" s="5"/>
      <c r="D947" s="35"/>
      <c r="E947" s="14"/>
      <c r="F947" s="18"/>
      <c r="G947" s="31" t="str">
        <f aca="false">IF(A947="","",IFERROR(IF(INDEX(Empresas!$C:$C,MATCH(A947,Empresas!$A:$A,0))="","",INDEX(Empresas!$C:$C,MATCH(A947,Empresas!$A:$A,0))),""))</f>
        <v/>
      </c>
      <c r="H947" s="18"/>
      <c r="I947" s="19" t="str">
        <f aca="false">IF(OR(F947="",G947=""),"",IF(F947-G947&lt;0,"CONTRATO ANTERIOR À ABERTURA — conferir datas",IF(F947-G947&lt;180,"ABERTA MENOS DE 6 MESES ANTES","")))</f>
        <v/>
      </c>
      <c r="J947" s="19" t="str">
        <f aca="false">IF(A947="","",IFERROR(INDEX(Sancoes!$B:$B,MATCH(A947,Sancoes!$A:$A,0))&amp;"","não consta"))</f>
        <v/>
      </c>
      <c r="K947" s="19" t="str">
        <f aca="false">IF(OR(A947="",F947=""),"",IF(SUMPRODUCT((Sancoes!$A$2:$A$301=A947)*(Sancoes!$B$2:$B$301&lt;&gt;"Não consta")*(Sancoes!$D$2:$D$301&lt;&gt;"")*(Sancoes!$D$2:$D$301&lt;=F947)*(((Sancoes!$E$2:$E$301="")+(Sancoes!$E$2:$E$301&gt;=F947))&gt;0))&gt;0,"SANÇÃO VIGENTE NA DATA — leia o tipo e a abrangência",""))</f>
        <v/>
      </c>
      <c r="L947" s="19" t="str">
        <f aca="false">IF(A947="","",IFERROR(INDEX(Empresas!$B:$B,MATCH(A947,Empresas!$A:$A,0))&amp;"","cadastre o CNPJ em Empresas"))</f>
        <v/>
      </c>
      <c r="M947" s="27"/>
      <c r="N947" s="35"/>
      <c r="O947" s="37" t="str">
        <f aca="false">IF(OR(D947="",D947=0,N947=""),"",N947/D947)</f>
        <v/>
      </c>
      <c r="P947" s="19" t="str">
        <f aca="false">IF(O947="","",IF(O947&gt;0.25,"ACRÉSCIMO ACIMA DE 25% — conferir",""))</f>
        <v/>
      </c>
      <c r="Q947" s="27"/>
      <c r="R947" s="5"/>
    </row>
    <row r="948" customFormat="false" ht="15" hidden="false" customHeight="false" outlineLevel="0" collapsed="false">
      <c r="A948" s="27"/>
      <c r="B948" s="5"/>
      <c r="C948" s="5"/>
      <c r="D948" s="35"/>
      <c r="E948" s="14"/>
      <c r="F948" s="18"/>
      <c r="G948" s="31" t="str">
        <f aca="false">IF(A948="","",IFERROR(IF(INDEX(Empresas!$C:$C,MATCH(A948,Empresas!$A:$A,0))="","",INDEX(Empresas!$C:$C,MATCH(A948,Empresas!$A:$A,0))),""))</f>
        <v/>
      </c>
      <c r="H948" s="18"/>
      <c r="I948" s="19" t="str">
        <f aca="false">IF(OR(F948="",G948=""),"",IF(F948-G948&lt;0,"CONTRATO ANTERIOR À ABERTURA — conferir datas",IF(F948-G948&lt;180,"ABERTA MENOS DE 6 MESES ANTES","")))</f>
        <v/>
      </c>
      <c r="J948" s="19" t="str">
        <f aca="false">IF(A948="","",IFERROR(INDEX(Sancoes!$B:$B,MATCH(A948,Sancoes!$A:$A,0))&amp;"","não consta"))</f>
        <v/>
      </c>
      <c r="K948" s="19" t="str">
        <f aca="false">IF(OR(A948="",F948=""),"",IF(SUMPRODUCT((Sancoes!$A$2:$A$301=A948)*(Sancoes!$B$2:$B$301&lt;&gt;"Não consta")*(Sancoes!$D$2:$D$301&lt;&gt;"")*(Sancoes!$D$2:$D$301&lt;=F948)*(((Sancoes!$E$2:$E$301="")+(Sancoes!$E$2:$E$301&gt;=F948))&gt;0))&gt;0,"SANÇÃO VIGENTE NA DATA — leia o tipo e a abrangência",""))</f>
        <v/>
      </c>
      <c r="L948" s="19" t="str">
        <f aca="false">IF(A948="","",IFERROR(INDEX(Empresas!$B:$B,MATCH(A948,Empresas!$A:$A,0))&amp;"","cadastre o CNPJ em Empresas"))</f>
        <v/>
      </c>
      <c r="M948" s="27"/>
      <c r="N948" s="35"/>
      <c r="O948" s="37" t="str">
        <f aca="false">IF(OR(D948="",D948=0,N948=""),"",N948/D948)</f>
        <v/>
      </c>
      <c r="P948" s="19" t="str">
        <f aca="false">IF(O948="","",IF(O948&gt;0.25,"ACRÉSCIMO ACIMA DE 25% — conferir",""))</f>
        <v/>
      </c>
      <c r="Q948" s="27"/>
      <c r="R948" s="5"/>
    </row>
    <row r="949" customFormat="false" ht="15" hidden="false" customHeight="false" outlineLevel="0" collapsed="false">
      <c r="A949" s="27"/>
      <c r="B949" s="5"/>
      <c r="C949" s="5"/>
      <c r="D949" s="35"/>
      <c r="E949" s="14"/>
      <c r="F949" s="18"/>
      <c r="G949" s="31" t="str">
        <f aca="false">IF(A949="","",IFERROR(IF(INDEX(Empresas!$C:$C,MATCH(A949,Empresas!$A:$A,0))="","",INDEX(Empresas!$C:$C,MATCH(A949,Empresas!$A:$A,0))),""))</f>
        <v/>
      </c>
      <c r="H949" s="18"/>
      <c r="I949" s="19" t="str">
        <f aca="false">IF(OR(F949="",G949=""),"",IF(F949-G949&lt;0,"CONTRATO ANTERIOR À ABERTURA — conferir datas",IF(F949-G949&lt;180,"ABERTA MENOS DE 6 MESES ANTES","")))</f>
        <v/>
      </c>
      <c r="J949" s="19" t="str">
        <f aca="false">IF(A949="","",IFERROR(INDEX(Sancoes!$B:$B,MATCH(A949,Sancoes!$A:$A,0))&amp;"","não consta"))</f>
        <v/>
      </c>
      <c r="K949" s="19" t="str">
        <f aca="false">IF(OR(A949="",F949=""),"",IF(SUMPRODUCT((Sancoes!$A$2:$A$301=A949)*(Sancoes!$B$2:$B$301&lt;&gt;"Não consta")*(Sancoes!$D$2:$D$301&lt;&gt;"")*(Sancoes!$D$2:$D$301&lt;=F949)*(((Sancoes!$E$2:$E$301="")+(Sancoes!$E$2:$E$301&gt;=F949))&gt;0))&gt;0,"SANÇÃO VIGENTE NA DATA — leia o tipo e a abrangência",""))</f>
        <v/>
      </c>
      <c r="L949" s="19" t="str">
        <f aca="false">IF(A949="","",IFERROR(INDEX(Empresas!$B:$B,MATCH(A949,Empresas!$A:$A,0))&amp;"","cadastre o CNPJ em Empresas"))</f>
        <v/>
      </c>
      <c r="M949" s="27"/>
      <c r="N949" s="35"/>
      <c r="O949" s="37" t="str">
        <f aca="false">IF(OR(D949="",D949=0,N949=""),"",N949/D949)</f>
        <v/>
      </c>
      <c r="P949" s="19" t="str">
        <f aca="false">IF(O949="","",IF(O949&gt;0.25,"ACRÉSCIMO ACIMA DE 25% — conferir",""))</f>
        <v/>
      </c>
      <c r="Q949" s="27"/>
      <c r="R949" s="5"/>
    </row>
    <row r="950" customFormat="false" ht="15" hidden="false" customHeight="false" outlineLevel="0" collapsed="false">
      <c r="A950" s="27"/>
      <c r="B950" s="5"/>
      <c r="C950" s="5"/>
      <c r="D950" s="35"/>
      <c r="E950" s="14"/>
      <c r="F950" s="18"/>
      <c r="G950" s="31" t="str">
        <f aca="false">IF(A950="","",IFERROR(IF(INDEX(Empresas!$C:$C,MATCH(A950,Empresas!$A:$A,0))="","",INDEX(Empresas!$C:$C,MATCH(A950,Empresas!$A:$A,0))),""))</f>
        <v/>
      </c>
      <c r="H950" s="18"/>
      <c r="I950" s="19" t="str">
        <f aca="false">IF(OR(F950="",G950=""),"",IF(F950-G950&lt;0,"CONTRATO ANTERIOR À ABERTURA — conferir datas",IF(F950-G950&lt;180,"ABERTA MENOS DE 6 MESES ANTES","")))</f>
        <v/>
      </c>
      <c r="J950" s="19" t="str">
        <f aca="false">IF(A950="","",IFERROR(INDEX(Sancoes!$B:$B,MATCH(A950,Sancoes!$A:$A,0))&amp;"","não consta"))</f>
        <v/>
      </c>
      <c r="K950" s="19" t="str">
        <f aca="false">IF(OR(A950="",F950=""),"",IF(SUMPRODUCT((Sancoes!$A$2:$A$301=A950)*(Sancoes!$B$2:$B$301&lt;&gt;"Não consta")*(Sancoes!$D$2:$D$301&lt;&gt;"")*(Sancoes!$D$2:$D$301&lt;=F950)*(((Sancoes!$E$2:$E$301="")+(Sancoes!$E$2:$E$301&gt;=F950))&gt;0))&gt;0,"SANÇÃO VIGENTE NA DATA — leia o tipo e a abrangência",""))</f>
        <v/>
      </c>
      <c r="L950" s="19" t="str">
        <f aca="false">IF(A950="","",IFERROR(INDEX(Empresas!$B:$B,MATCH(A950,Empresas!$A:$A,0))&amp;"","cadastre o CNPJ em Empresas"))</f>
        <v/>
      </c>
      <c r="M950" s="27"/>
      <c r="N950" s="35"/>
      <c r="O950" s="37" t="str">
        <f aca="false">IF(OR(D950="",D950=0,N950=""),"",N950/D950)</f>
        <v/>
      </c>
      <c r="P950" s="19" t="str">
        <f aca="false">IF(O950="","",IF(O950&gt;0.25,"ACRÉSCIMO ACIMA DE 25% — conferir",""))</f>
        <v/>
      </c>
      <c r="Q950" s="27"/>
      <c r="R950" s="5"/>
    </row>
    <row r="951" customFormat="false" ht="15" hidden="false" customHeight="false" outlineLevel="0" collapsed="false">
      <c r="A951" s="27"/>
      <c r="B951" s="5"/>
      <c r="C951" s="5"/>
      <c r="D951" s="35"/>
      <c r="E951" s="14"/>
      <c r="F951" s="18"/>
      <c r="G951" s="31" t="str">
        <f aca="false">IF(A951="","",IFERROR(IF(INDEX(Empresas!$C:$C,MATCH(A951,Empresas!$A:$A,0))="","",INDEX(Empresas!$C:$C,MATCH(A951,Empresas!$A:$A,0))),""))</f>
        <v/>
      </c>
      <c r="H951" s="18"/>
      <c r="I951" s="19" t="str">
        <f aca="false">IF(OR(F951="",G951=""),"",IF(F951-G951&lt;0,"CONTRATO ANTERIOR À ABERTURA — conferir datas",IF(F951-G951&lt;180,"ABERTA MENOS DE 6 MESES ANTES","")))</f>
        <v/>
      </c>
      <c r="J951" s="19" t="str">
        <f aca="false">IF(A951="","",IFERROR(INDEX(Sancoes!$B:$B,MATCH(A951,Sancoes!$A:$A,0))&amp;"","não consta"))</f>
        <v/>
      </c>
      <c r="K951" s="19" t="str">
        <f aca="false">IF(OR(A951="",F951=""),"",IF(SUMPRODUCT((Sancoes!$A$2:$A$301=A951)*(Sancoes!$B$2:$B$301&lt;&gt;"Não consta")*(Sancoes!$D$2:$D$301&lt;&gt;"")*(Sancoes!$D$2:$D$301&lt;=F951)*(((Sancoes!$E$2:$E$301="")+(Sancoes!$E$2:$E$301&gt;=F951))&gt;0))&gt;0,"SANÇÃO VIGENTE NA DATA — leia o tipo e a abrangência",""))</f>
        <v/>
      </c>
      <c r="L951" s="19" t="str">
        <f aca="false">IF(A951="","",IFERROR(INDEX(Empresas!$B:$B,MATCH(A951,Empresas!$A:$A,0))&amp;"","cadastre o CNPJ em Empresas"))</f>
        <v/>
      </c>
      <c r="M951" s="27"/>
      <c r="N951" s="35"/>
      <c r="O951" s="37" t="str">
        <f aca="false">IF(OR(D951="",D951=0,N951=""),"",N951/D951)</f>
        <v/>
      </c>
      <c r="P951" s="19" t="str">
        <f aca="false">IF(O951="","",IF(O951&gt;0.25,"ACRÉSCIMO ACIMA DE 25% — conferir",""))</f>
        <v/>
      </c>
      <c r="Q951" s="27"/>
      <c r="R951" s="5"/>
    </row>
    <row r="952" customFormat="false" ht="15" hidden="false" customHeight="false" outlineLevel="0" collapsed="false">
      <c r="A952" s="27"/>
      <c r="B952" s="5"/>
      <c r="C952" s="5"/>
      <c r="D952" s="35"/>
      <c r="E952" s="14"/>
      <c r="F952" s="18"/>
      <c r="G952" s="31" t="str">
        <f aca="false">IF(A952="","",IFERROR(IF(INDEX(Empresas!$C:$C,MATCH(A952,Empresas!$A:$A,0))="","",INDEX(Empresas!$C:$C,MATCH(A952,Empresas!$A:$A,0))),""))</f>
        <v/>
      </c>
      <c r="H952" s="18"/>
      <c r="I952" s="19" t="str">
        <f aca="false">IF(OR(F952="",G952=""),"",IF(F952-G952&lt;0,"CONTRATO ANTERIOR À ABERTURA — conferir datas",IF(F952-G952&lt;180,"ABERTA MENOS DE 6 MESES ANTES","")))</f>
        <v/>
      </c>
      <c r="J952" s="19" t="str">
        <f aca="false">IF(A952="","",IFERROR(INDEX(Sancoes!$B:$B,MATCH(A952,Sancoes!$A:$A,0))&amp;"","não consta"))</f>
        <v/>
      </c>
      <c r="K952" s="19" t="str">
        <f aca="false">IF(OR(A952="",F952=""),"",IF(SUMPRODUCT((Sancoes!$A$2:$A$301=A952)*(Sancoes!$B$2:$B$301&lt;&gt;"Não consta")*(Sancoes!$D$2:$D$301&lt;&gt;"")*(Sancoes!$D$2:$D$301&lt;=F952)*(((Sancoes!$E$2:$E$301="")+(Sancoes!$E$2:$E$301&gt;=F952))&gt;0))&gt;0,"SANÇÃO VIGENTE NA DATA — leia o tipo e a abrangência",""))</f>
        <v/>
      </c>
      <c r="L952" s="19" t="str">
        <f aca="false">IF(A952="","",IFERROR(INDEX(Empresas!$B:$B,MATCH(A952,Empresas!$A:$A,0))&amp;"","cadastre o CNPJ em Empresas"))</f>
        <v/>
      </c>
      <c r="M952" s="27"/>
      <c r="N952" s="35"/>
      <c r="O952" s="37" t="str">
        <f aca="false">IF(OR(D952="",D952=0,N952=""),"",N952/D952)</f>
        <v/>
      </c>
      <c r="P952" s="19" t="str">
        <f aca="false">IF(O952="","",IF(O952&gt;0.25,"ACRÉSCIMO ACIMA DE 25% — conferir",""))</f>
        <v/>
      </c>
      <c r="Q952" s="27"/>
      <c r="R952" s="5"/>
    </row>
    <row r="953" customFormat="false" ht="15" hidden="false" customHeight="false" outlineLevel="0" collapsed="false">
      <c r="A953" s="27"/>
      <c r="B953" s="5"/>
      <c r="C953" s="5"/>
      <c r="D953" s="35"/>
      <c r="E953" s="14"/>
      <c r="F953" s="18"/>
      <c r="G953" s="31" t="str">
        <f aca="false">IF(A953="","",IFERROR(IF(INDEX(Empresas!$C:$C,MATCH(A953,Empresas!$A:$A,0))="","",INDEX(Empresas!$C:$C,MATCH(A953,Empresas!$A:$A,0))),""))</f>
        <v/>
      </c>
      <c r="H953" s="18"/>
      <c r="I953" s="19" t="str">
        <f aca="false">IF(OR(F953="",G953=""),"",IF(F953-G953&lt;0,"CONTRATO ANTERIOR À ABERTURA — conferir datas",IF(F953-G953&lt;180,"ABERTA MENOS DE 6 MESES ANTES","")))</f>
        <v/>
      </c>
      <c r="J953" s="19" t="str">
        <f aca="false">IF(A953="","",IFERROR(INDEX(Sancoes!$B:$B,MATCH(A953,Sancoes!$A:$A,0))&amp;"","não consta"))</f>
        <v/>
      </c>
      <c r="K953" s="19" t="str">
        <f aca="false">IF(OR(A953="",F953=""),"",IF(SUMPRODUCT((Sancoes!$A$2:$A$301=A953)*(Sancoes!$B$2:$B$301&lt;&gt;"Não consta")*(Sancoes!$D$2:$D$301&lt;&gt;"")*(Sancoes!$D$2:$D$301&lt;=F953)*(((Sancoes!$E$2:$E$301="")+(Sancoes!$E$2:$E$301&gt;=F953))&gt;0))&gt;0,"SANÇÃO VIGENTE NA DATA — leia o tipo e a abrangência",""))</f>
        <v/>
      </c>
      <c r="L953" s="19" t="str">
        <f aca="false">IF(A953="","",IFERROR(INDEX(Empresas!$B:$B,MATCH(A953,Empresas!$A:$A,0))&amp;"","cadastre o CNPJ em Empresas"))</f>
        <v/>
      </c>
      <c r="M953" s="27"/>
      <c r="N953" s="35"/>
      <c r="O953" s="37" t="str">
        <f aca="false">IF(OR(D953="",D953=0,N953=""),"",N953/D953)</f>
        <v/>
      </c>
      <c r="P953" s="19" t="str">
        <f aca="false">IF(O953="","",IF(O953&gt;0.25,"ACRÉSCIMO ACIMA DE 25% — conferir",""))</f>
        <v/>
      </c>
      <c r="Q953" s="27"/>
      <c r="R953" s="5"/>
    </row>
    <row r="954" customFormat="false" ht="15" hidden="false" customHeight="false" outlineLevel="0" collapsed="false">
      <c r="A954" s="27"/>
      <c r="B954" s="5"/>
      <c r="C954" s="5"/>
      <c r="D954" s="35"/>
      <c r="E954" s="14"/>
      <c r="F954" s="18"/>
      <c r="G954" s="31" t="str">
        <f aca="false">IF(A954="","",IFERROR(IF(INDEX(Empresas!$C:$C,MATCH(A954,Empresas!$A:$A,0))="","",INDEX(Empresas!$C:$C,MATCH(A954,Empresas!$A:$A,0))),""))</f>
        <v/>
      </c>
      <c r="H954" s="18"/>
      <c r="I954" s="19" t="str">
        <f aca="false">IF(OR(F954="",G954=""),"",IF(F954-G954&lt;0,"CONTRATO ANTERIOR À ABERTURA — conferir datas",IF(F954-G954&lt;180,"ABERTA MENOS DE 6 MESES ANTES","")))</f>
        <v/>
      </c>
      <c r="J954" s="19" t="str">
        <f aca="false">IF(A954="","",IFERROR(INDEX(Sancoes!$B:$B,MATCH(A954,Sancoes!$A:$A,0))&amp;"","não consta"))</f>
        <v/>
      </c>
      <c r="K954" s="19" t="str">
        <f aca="false">IF(OR(A954="",F954=""),"",IF(SUMPRODUCT((Sancoes!$A$2:$A$301=A954)*(Sancoes!$B$2:$B$301&lt;&gt;"Não consta")*(Sancoes!$D$2:$D$301&lt;&gt;"")*(Sancoes!$D$2:$D$301&lt;=F954)*(((Sancoes!$E$2:$E$301="")+(Sancoes!$E$2:$E$301&gt;=F954))&gt;0))&gt;0,"SANÇÃO VIGENTE NA DATA — leia o tipo e a abrangência",""))</f>
        <v/>
      </c>
      <c r="L954" s="19" t="str">
        <f aca="false">IF(A954="","",IFERROR(INDEX(Empresas!$B:$B,MATCH(A954,Empresas!$A:$A,0))&amp;"","cadastre o CNPJ em Empresas"))</f>
        <v/>
      </c>
      <c r="M954" s="27"/>
      <c r="N954" s="35"/>
      <c r="O954" s="37" t="str">
        <f aca="false">IF(OR(D954="",D954=0,N954=""),"",N954/D954)</f>
        <v/>
      </c>
      <c r="P954" s="19" t="str">
        <f aca="false">IF(O954="","",IF(O954&gt;0.25,"ACRÉSCIMO ACIMA DE 25% — conferir",""))</f>
        <v/>
      </c>
      <c r="Q954" s="27"/>
      <c r="R954" s="5"/>
    </row>
    <row r="955" customFormat="false" ht="15" hidden="false" customHeight="false" outlineLevel="0" collapsed="false">
      <c r="A955" s="27"/>
      <c r="B955" s="5"/>
      <c r="C955" s="5"/>
      <c r="D955" s="35"/>
      <c r="E955" s="14"/>
      <c r="F955" s="18"/>
      <c r="G955" s="31" t="str">
        <f aca="false">IF(A955="","",IFERROR(IF(INDEX(Empresas!$C:$C,MATCH(A955,Empresas!$A:$A,0))="","",INDEX(Empresas!$C:$C,MATCH(A955,Empresas!$A:$A,0))),""))</f>
        <v/>
      </c>
      <c r="H955" s="18"/>
      <c r="I955" s="19" t="str">
        <f aca="false">IF(OR(F955="",G955=""),"",IF(F955-G955&lt;0,"CONTRATO ANTERIOR À ABERTURA — conferir datas",IF(F955-G955&lt;180,"ABERTA MENOS DE 6 MESES ANTES","")))</f>
        <v/>
      </c>
      <c r="J955" s="19" t="str">
        <f aca="false">IF(A955="","",IFERROR(INDEX(Sancoes!$B:$B,MATCH(A955,Sancoes!$A:$A,0))&amp;"","não consta"))</f>
        <v/>
      </c>
      <c r="K955" s="19" t="str">
        <f aca="false">IF(OR(A955="",F955=""),"",IF(SUMPRODUCT((Sancoes!$A$2:$A$301=A955)*(Sancoes!$B$2:$B$301&lt;&gt;"Não consta")*(Sancoes!$D$2:$D$301&lt;&gt;"")*(Sancoes!$D$2:$D$301&lt;=F955)*(((Sancoes!$E$2:$E$301="")+(Sancoes!$E$2:$E$301&gt;=F955))&gt;0))&gt;0,"SANÇÃO VIGENTE NA DATA — leia o tipo e a abrangência",""))</f>
        <v/>
      </c>
      <c r="L955" s="19" t="str">
        <f aca="false">IF(A955="","",IFERROR(INDEX(Empresas!$B:$B,MATCH(A955,Empresas!$A:$A,0))&amp;"","cadastre o CNPJ em Empresas"))</f>
        <v/>
      </c>
      <c r="M955" s="27"/>
      <c r="N955" s="35"/>
      <c r="O955" s="37" t="str">
        <f aca="false">IF(OR(D955="",D955=0,N955=""),"",N955/D955)</f>
        <v/>
      </c>
      <c r="P955" s="19" t="str">
        <f aca="false">IF(O955="","",IF(O955&gt;0.25,"ACRÉSCIMO ACIMA DE 25% — conferir",""))</f>
        <v/>
      </c>
      <c r="Q955" s="27"/>
      <c r="R955" s="5"/>
    </row>
    <row r="956" customFormat="false" ht="15" hidden="false" customHeight="false" outlineLevel="0" collapsed="false">
      <c r="A956" s="27"/>
      <c r="B956" s="5"/>
      <c r="C956" s="5"/>
      <c r="D956" s="35"/>
      <c r="E956" s="14"/>
      <c r="F956" s="18"/>
      <c r="G956" s="31" t="str">
        <f aca="false">IF(A956="","",IFERROR(IF(INDEX(Empresas!$C:$C,MATCH(A956,Empresas!$A:$A,0))="","",INDEX(Empresas!$C:$C,MATCH(A956,Empresas!$A:$A,0))),""))</f>
        <v/>
      </c>
      <c r="H956" s="18"/>
      <c r="I956" s="19" t="str">
        <f aca="false">IF(OR(F956="",G956=""),"",IF(F956-G956&lt;0,"CONTRATO ANTERIOR À ABERTURA — conferir datas",IF(F956-G956&lt;180,"ABERTA MENOS DE 6 MESES ANTES","")))</f>
        <v/>
      </c>
      <c r="J956" s="19" t="str">
        <f aca="false">IF(A956="","",IFERROR(INDEX(Sancoes!$B:$B,MATCH(A956,Sancoes!$A:$A,0))&amp;"","não consta"))</f>
        <v/>
      </c>
      <c r="K956" s="19" t="str">
        <f aca="false">IF(OR(A956="",F956=""),"",IF(SUMPRODUCT((Sancoes!$A$2:$A$301=A956)*(Sancoes!$B$2:$B$301&lt;&gt;"Não consta")*(Sancoes!$D$2:$D$301&lt;&gt;"")*(Sancoes!$D$2:$D$301&lt;=F956)*(((Sancoes!$E$2:$E$301="")+(Sancoes!$E$2:$E$301&gt;=F956))&gt;0))&gt;0,"SANÇÃO VIGENTE NA DATA — leia o tipo e a abrangência",""))</f>
        <v/>
      </c>
      <c r="L956" s="19" t="str">
        <f aca="false">IF(A956="","",IFERROR(INDEX(Empresas!$B:$B,MATCH(A956,Empresas!$A:$A,0))&amp;"","cadastre o CNPJ em Empresas"))</f>
        <v/>
      </c>
      <c r="M956" s="27"/>
      <c r="N956" s="35"/>
      <c r="O956" s="37" t="str">
        <f aca="false">IF(OR(D956="",D956=0,N956=""),"",N956/D956)</f>
        <v/>
      </c>
      <c r="P956" s="19" t="str">
        <f aca="false">IF(O956="","",IF(O956&gt;0.25,"ACRÉSCIMO ACIMA DE 25% — conferir",""))</f>
        <v/>
      </c>
      <c r="Q956" s="27"/>
      <c r="R956" s="5"/>
    </row>
    <row r="957" customFormat="false" ht="15" hidden="false" customHeight="false" outlineLevel="0" collapsed="false">
      <c r="A957" s="27"/>
      <c r="B957" s="5"/>
      <c r="C957" s="5"/>
      <c r="D957" s="35"/>
      <c r="E957" s="14"/>
      <c r="F957" s="18"/>
      <c r="G957" s="31" t="str">
        <f aca="false">IF(A957="","",IFERROR(IF(INDEX(Empresas!$C:$C,MATCH(A957,Empresas!$A:$A,0))="","",INDEX(Empresas!$C:$C,MATCH(A957,Empresas!$A:$A,0))),""))</f>
        <v/>
      </c>
      <c r="H957" s="18"/>
      <c r="I957" s="19" t="str">
        <f aca="false">IF(OR(F957="",G957=""),"",IF(F957-G957&lt;0,"CONTRATO ANTERIOR À ABERTURA — conferir datas",IF(F957-G957&lt;180,"ABERTA MENOS DE 6 MESES ANTES","")))</f>
        <v/>
      </c>
      <c r="J957" s="19" t="str">
        <f aca="false">IF(A957="","",IFERROR(INDEX(Sancoes!$B:$B,MATCH(A957,Sancoes!$A:$A,0))&amp;"","não consta"))</f>
        <v/>
      </c>
      <c r="K957" s="19" t="str">
        <f aca="false">IF(OR(A957="",F957=""),"",IF(SUMPRODUCT((Sancoes!$A$2:$A$301=A957)*(Sancoes!$B$2:$B$301&lt;&gt;"Não consta")*(Sancoes!$D$2:$D$301&lt;&gt;"")*(Sancoes!$D$2:$D$301&lt;=F957)*(((Sancoes!$E$2:$E$301="")+(Sancoes!$E$2:$E$301&gt;=F957))&gt;0))&gt;0,"SANÇÃO VIGENTE NA DATA — leia o tipo e a abrangência",""))</f>
        <v/>
      </c>
      <c r="L957" s="19" t="str">
        <f aca="false">IF(A957="","",IFERROR(INDEX(Empresas!$B:$B,MATCH(A957,Empresas!$A:$A,0))&amp;"","cadastre o CNPJ em Empresas"))</f>
        <v/>
      </c>
      <c r="M957" s="27"/>
      <c r="N957" s="35"/>
      <c r="O957" s="37" t="str">
        <f aca="false">IF(OR(D957="",D957=0,N957=""),"",N957/D957)</f>
        <v/>
      </c>
      <c r="P957" s="19" t="str">
        <f aca="false">IF(O957="","",IF(O957&gt;0.25,"ACRÉSCIMO ACIMA DE 25% — conferir",""))</f>
        <v/>
      </c>
      <c r="Q957" s="27"/>
      <c r="R957" s="5"/>
    </row>
    <row r="958" customFormat="false" ht="15" hidden="false" customHeight="false" outlineLevel="0" collapsed="false">
      <c r="A958" s="27"/>
      <c r="B958" s="5"/>
      <c r="C958" s="5"/>
      <c r="D958" s="35"/>
      <c r="E958" s="14"/>
      <c r="F958" s="18"/>
      <c r="G958" s="31" t="str">
        <f aca="false">IF(A958="","",IFERROR(IF(INDEX(Empresas!$C:$C,MATCH(A958,Empresas!$A:$A,0))="","",INDEX(Empresas!$C:$C,MATCH(A958,Empresas!$A:$A,0))),""))</f>
        <v/>
      </c>
      <c r="H958" s="18"/>
      <c r="I958" s="19" t="str">
        <f aca="false">IF(OR(F958="",G958=""),"",IF(F958-G958&lt;0,"CONTRATO ANTERIOR À ABERTURA — conferir datas",IF(F958-G958&lt;180,"ABERTA MENOS DE 6 MESES ANTES","")))</f>
        <v/>
      </c>
      <c r="J958" s="19" t="str">
        <f aca="false">IF(A958="","",IFERROR(INDEX(Sancoes!$B:$B,MATCH(A958,Sancoes!$A:$A,0))&amp;"","não consta"))</f>
        <v/>
      </c>
      <c r="K958" s="19" t="str">
        <f aca="false">IF(OR(A958="",F958=""),"",IF(SUMPRODUCT((Sancoes!$A$2:$A$301=A958)*(Sancoes!$B$2:$B$301&lt;&gt;"Não consta")*(Sancoes!$D$2:$D$301&lt;&gt;"")*(Sancoes!$D$2:$D$301&lt;=F958)*(((Sancoes!$E$2:$E$301="")+(Sancoes!$E$2:$E$301&gt;=F958))&gt;0))&gt;0,"SANÇÃO VIGENTE NA DATA — leia o tipo e a abrangência",""))</f>
        <v/>
      </c>
      <c r="L958" s="19" t="str">
        <f aca="false">IF(A958="","",IFERROR(INDEX(Empresas!$B:$B,MATCH(A958,Empresas!$A:$A,0))&amp;"","cadastre o CNPJ em Empresas"))</f>
        <v/>
      </c>
      <c r="M958" s="27"/>
      <c r="N958" s="35"/>
      <c r="O958" s="37" t="str">
        <f aca="false">IF(OR(D958="",D958=0,N958=""),"",N958/D958)</f>
        <v/>
      </c>
      <c r="P958" s="19" t="str">
        <f aca="false">IF(O958="","",IF(O958&gt;0.25,"ACRÉSCIMO ACIMA DE 25% — conferir",""))</f>
        <v/>
      </c>
      <c r="Q958" s="27"/>
      <c r="R958" s="5"/>
    </row>
    <row r="959" customFormat="false" ht="15" hidden="false" customHeight="false" outlineLevel="0" collapsed="false">
      <c r="A959" s="27"/>
      <c r="B959" s="5"/>
      <c r="C959" s="5"/>
      <c r="D959" s="35"/>
      <c r="E959" s="14"/>
      <c r="F959" s="18"/>
      <c r="G959" s="31" t="str">
        <f aca="false">IF(A959="","",IFERROR(IF(INDEX(Empresas!$C:$C,MATCH(A959,Empresas!$A:$A,0))="","",INDEX(Empresas!$C:$C,MATCH(A959,Empresas!$A:$A,0))),""))</f>
        <v/>
      </c>
      <c r="H959" s="18"/>
      <c r="I959" s="19" t="str">
        <f aca="false">IF(OR(F959="",G959=""),"",IF(F959-G959&lt;0,"CONTRATO ANTERIOR À ABERTURA — conferir datas",IF(F959-G959&lt;180,"ABERTA MENOS DE 6 MESES ANTES","")))</f>
        <v/>
      </c>
      <c r="J959" s="19" t="str">
        <f aca="false">IF(A959="","",IFERROR(INDEX(Sancoes!$B:$B,MATCH(A959,Sancoes!$A:$A,0))&amp;"","não consta"))</f>
        <v/>
      </c>
      <c r="K959" s="19" t="str">
        <f aca="false">IF(OR(A959="",F959=""),"",IF(SUMPRODUCT((Sancoes!$A$2:$A$301=A959)*(Sancoes!$B$2:$B$301&lt;&gt;"Não consta")*(Sancoes!$D$2:$D$301&lt;&gt;"")*(Sancoes!$D$2:$D$301&lt;=F959)*(((Sancoes!$E$2:$E$301="")+(Sancoes!$E$2:$E$301&gt;=F959))&gt;0))&gt;0,"SANÇÃO VIGENTE NA DATA — leia o tipo e a abrangência",""))</f>
        <v/>
      </c>
      <c r="L959" s="19" t="str">
        <f aca="false">IF(A959="","",IFERROR(INDEX(Empresas!$B:$B,MATCH(A959,Empresas!$A:$A,0))&amp;"","cadastre o CNPJ em Empresas"))</f>
        <v/>
      </c>
      <c r="M959" s="27"/>
      <c r="N959" s="35"/>
      <c r="O959" s="37" t="str">
        <f aca="false">IF(OR(D959="",D959=0,N959=""),"",N959/D959)</f>
        <v/>
      </c>
      <c r="P959" s="19" t="str">
        <f aca="false">IF(O959="","",IF(O959&gt;0.25,"ACRÉSCIMO ACIMA DE 25% — conferir",""))</f>
        <v/>
      </c>
      <c r="Q959" s="27"/>
      <c r="R959" s="5"/>
    </row>
    <row r="960" customFormat="false" ht="15" hidden="false" customHeight="false" outlineLevel="0" collapsed="false">
      <c r="A960" s="27"/>
      <c r="B960" s="5"/>
      <c r="C960" s="5"/>
      <c r="D960" s="35"/>
      <c r="E960" s="14"/>
      <c r="F960" s="18"/>
      <c r="G960" s="31" t="str">
        <f aca="false">IF(A960="","",IFERROR(IF(INDEX(Empresas!$C:$C,MATCH(A960,Empresas!$A:$A,0))="","",INDEX(Empresas!$C:$C,MATCH(A960,Empresas!$A:$A,0))),""))</f>
        <v/>
      </c>
      <c r="H960" s="18"/>
      <c r="I960" s="19" t="str">
        <f aca="false">IF(OR(F960="",G960=""),"",IF(F960-G960&lt;0,"CONTRATO ANTERIOR À ABERTURA — conferir datas",IF(F960-G960&lt;180,"ABERTA MENOS DE 6 MESES ANTES","")))</f>
        <v/>
      </c>
      <c r="J960" s="19" t="str">
        <f aca="false">IF(A960="","",IFERROR(INDEX(Sancoes!$B:$B,MATCH(A960,Sancoes!$A:$A,0))&amp;"","não consta"))</f>
        <v/>
      </c>
      <c r="K960" s="19" t="str">
        <f aca="false">IF(OR(A960="",F960=""),"",IF(SUMPRODUCT((Sancoes!$A$2:$A$301=A960)*(Sancoes!$B$2:$B$301&lt;&gt;"Não consta")*(Sancoes!$D$2:$D$301&lt;&gt;"")*(Sancoes!$D$2:$D$301&lt;=F960)*(((Sancoes!$E$2:$E$301="")+(Sancoes!$E$2:$E$301&gt;=F960))&gt;0))&gt;0,"SANÇÃO VIGENTE NA DATA — leia o tipo e a abrangência",""))</f>
        <v/>
      </c>
      <c r="L960" s="19" t="str">
        <f aca="false">IF(A960="","",IFERROR(INDEX(Empresas!$B:$B,MATCH(A960,Empresas!$A:$A,0))&amp;"","cadastre o CNPJ em Empresas"))</f>
        <v/>
      </c>
      <c r="M960" s="27"/>
      <c r="N960" s="35"/>
      <c r="O960" s="37" t="str">
        <f aca="false">IF(OR(D960="",D960=0,N960=""),"",N960/D960)</f>
        <v/>
      </c>
      <c r="P960" s="19" t="str">
        <f aca="false">IF(O960="","",IF(O960&gt;0.25,"ACRÉSCIMO ACIMA DE 25% — conferir",""))</f>
        <v/>
      </c>
      <c r="Q960" s="27"/>
      <c r="R960" s="5"/>
    </row>
    <row r="961" customFormat="false" ht="15" hidden="false" customHeight="false" outlineLevel="0" collapsed="false">
      <c r="A961" s="27"/>
      <c r="B961" s="5"/>
      <c r="C961" s="5"/>
      <c r="D961" s="35"/>
      <c r="E961" s="14"/>
      <c r="F961" s="18"/>
      <c r="G961" s="31" t="str">
        <f aca="false">IF(A961="","",IFERROR(IF(INDEX(Empresas!$C:$C,MATCH(A961,Empresas!$A:$A,0))="","",INDEX(Empresas!$C:$C,MATCH(A961,Empresas!$A:$A,0))),""))</f>
        <v/>
      </c>
      <c r="H961" s="18"/>
      <c r="I961" s="19" t="str">
        <f aca="false">IF(OR(F961="",G961=""),"",IF(F961-G961&lt;0,"CONTRATO ANTERIOR À ABERTURA — conferir datas",IF(F961-G961&lt;180,"ABERTA MENOS DE 6 MESES ANTES","")))</f>
        <v/>
      </c>
      <c r="J961" s="19" t="str">
        <f aca="false">IF(A961="","",IFERROR(INDEX(Sancoes!$B:$B,MATCH(A961,Sancoes!$A:$A,0))&amp;"","não consta"))</f>
        <v/>
      </c>
      <c r="K961" s="19" t="str">
        <f aca="false">IF(OR(A961="",F961=""),"",IF(SUMPRODUCT((Sancoes!$A$2:$A$301=A961)*(Sancoes!$B$2:$B$301&lt;&gt;"Não consta")*(Sancoes!$D$2:$D$301&lt;&gt;"")*(Sancoes!$D$2:$D$301&lt;=F961)*(((Sancoes!$E$2:$E$301="")+(Sancoes!$E$2:$E$301&gt;=F961))&gt;0))&gt;0,"SANÇÃO VIGENTE NA DATA — leia o tipo e a abrangência",""))</f>
        <v/>
      </c>
      <c r="L961" s="19" t="str">
        <f aca="false">IF(A961="","",IFERROR(INDEX(Empresas!$B:$B,MATCH(A961,Empresas!$A:$A,0))&amp;"","cadastre o CNPJ em Empresas"))</f>
        <v/>
      </c>
      <c r="M961" s="27"/>
      <c r="N961" s="35"/>
      <c r="O961" s="37" t="str">
        <f aca="false">IF(OR(D961="",D961=0,N961=""),"",N961/D961)</f>
        <v/>
      </c>
      <c r="P961" s="19" t="str">
        <f aca="false">IF(O961="","",IF(O961&gt;0.25,"ACRÉSCIMO ACIMA DE 25% — conferir",""))</f>
        <v/>
      </c>
      <c r="Q961" s="27"/>
      <c r="R961" s="5"/>
    </row>
    <row r="962" customFormat="false" ht="15" hidden="false" customHeight="false" outlineLevel="0" collapsed="false">
      <c r="A962" s="27"/>
      <c r="B962" s="5"/>
      <c r="C962" s="5"/>
      <c r="D962" s="35"/>
      <c r="E962" s="14"/>
      <c r="F962" s="18"/>
      <c r="G962" s="31" t="str">
        <f aca="false">IF(A962="","",IFERROR(IF(INDEX(Empresas!$C:$C,MATCH(A962,Empresas!$A:$A,0))="","",INDEX(Empresas!$C:$C,MATCH(A962,Empresas!$A:$A,0))),""))</f>
        <v/>
      </c>
      <c r="H962" s="18"/>
      <c r="I962" s="19" t="str">
        <f aca="false">IF(OR(F962="",G962=""),"",IF(F962-G962&lt;0,"CONTRATO ANTERIOR À ABERTURA — conferir datas",IF(F962-G962&lt;180,"ABERTA MENOS DE 6 MESES ANTES","")))</f>
        <v/>
      </c>
      <c r="J962" s="19" t="str">
        <f aca="false">IF(A962="","",IFERROR(INDEX(Sancoes!$B:$B,MATCH(A962,Sancoes!$A:$A,0))&amp;"","não consta"))</f>
        <v/>
      </c>
      <c r="K962" s="19" t="str">
        <f aca="false">IF(OR(A962="",F962=""),"",IF(SUMPRODUCT((Sancoes!$A$2:$A$301=A962)*(Sancoes!$B$2:$B$301&lt;&gt;"Não consta")*(Sancoes!$D$2:$D$301&lt;&gt;"")*(Sancoes!$D$2:$D$301&lt;=F962)*(((Sancoes!$E$2:$E$301="")+(Sancoes!$E$2:$E$301&gt;=F962))&gt;0))&gt;0,"SANÇÃO VIGENTE NA DATA — leia o tipo e a abrangência",""))</f>
        <v/>
      </c>
      <c r="L962" s="19" t="str">
        <f aca="false">IF(A962="","",IFERROR(INDEX(Empresas!$B:$B,MATCH(A962,Empresas!$A:$A,0))&amp;"","cadastre o CNPJ em Empresas"))</f>
        <v/>
      </c>
      <c r="M962" s="27"/>
      <c r="N962" s="35"/>
      <c r="O962" s="37" t="str">
        <f aca="false">IF(OR(D962="",D962=0,N962=""),"",N962/D962)</f>
        <v/>
      </c>
      <c r="P962" s="19" t="str">
        <f aca="false">IF(O962="","",IF(O962&gt;0.25,"ACRÉSCIMO ACIMA DE 25% — conferir",""))</f>
        <v/>
      </c>
      <c r="Q962" s="27"/>
      <c r="R962" s="5"/>
    </row>
    <row r="963" customFormat="false" ht="15" hidden="false" customHeight="false" outlineLevel="0" collapsed="false">
      <c r="A963" s="27"/>
      <c r="B963" s="5"/>
      <c r="C963" s="5"/>
      <c r="D963" s="35"/>
      <c r="E963" s="14"/>
      <c r="F963" s="18"/>
      <c r="G963" s="31" t="str">
        <f aca="false">IF(A963="","",IFERROR(IF(INDEX(Empresas!$C:$C,MATCH(A963,Empresas!$A:$A,0))="","",INDEX(Empresas!$C:$C,MATCH(A963,Empresas!$A:$A,0))),""))</f>
        <v/>
      </c>
      <c r="H963" s="18"/>
      <c r="I963" s="19" t="str">
        <f aca="false">IF(OR(F963="",G963=""),"",IF(F963-G963&lt;0,"CONTRATO ANTERIOR À ABERTURA — conferir datas",IF(F963-G963&lt;180,"ABERTA MENOS DE 6 MESES ANTES","")))</f>
        <v/>
      </c>
      <c r="J963" s="19" t="str">
        <f aca="false">IF(A963="","",IFERROR(INDEX(Sancoes!$B:$B,MATCH(A963,Sancoes!$A:$A,0))&amp;"","não consta"))</f>
        <v/>
      </c>
      <c r="K963" s="19" t="str">
        <f aca="false">IF(OR(A963="",F963=""),"",IF(SUMPRODUCT((Sancoes!$A$2:$A$301=A963)*(Sancoes!$B$2:$B$301&lt;&gt;"Não consta")*(Sancoes!$D$2:$D$301&lt;&gt;"")*(Sancoes!$D$2:$D$301&lt;=F963)*(((Sancoes!$E$2:$E$301="")+(Sancoes!$E$2:$E$301&gt;=F963))&gt;0))&gt;0,"SANÇÃO VIGENTE NA DATA — leia o tipo e a abrangência",""))</f>
        <v/>
      </c>
      <c r="L963" s="19" t="str">
        <f aca="false">IF(A963="","",IFERROR(INDEX(Empresas!$B:$B,MATCH(A963,Empresas!$A:$A,0))&amp;"","cadastre o CNPJ em Empresas"))</f>
        <v/>
      </c>
      <c r="M963" s="27"/>
      <c r="N963" s="35"/>
      <c r="O963" s="37" t="str">
        <f aca="false">IF(OR(D963="",D963=0,N963=""),"",N963/D963)</f>
        <v/>
      </c>
      <c r="P963" s="19" t="str">
        <f aca="false">IF(O963="","",IF(O963&gt;0.25,"ACRÉSCIMO ACIMA DE 25% — conferir",""))</f>
        <v/>
      </c>
      <c r="Q963" s="27"/>
      <c r="R963" s="5"/>
    </row>
    <row r="964" customFormat="false" ht="15" hidden="false" customHeight="false" outlineLevel="0" collapsed="false">
      <c r="A964" s="27"/>
      <c r="B964" s="5"/>
      <c r="C964" s="5"/>
      <c r="D964" s="35"/>
      <c r="E964" s="14"/>
      <c r="F964" s="18"/>
      <c r="G964" s="31" t="str">
        <f aca="false">IF(A964="","",IFERROR(IF(INDEX(Empresas!$C:$C,MATCH(A964,Empresas!$A:$A,0))="","",INDEX(Empresas!$C:$C,MATCH(A964,Empresas!$A:$A,0))),""))</f>
        <v/>
      </c>
      <c r="H964" s="18"/>
      <c r="I964" s="19" t="str">
        <f aca="false">IF(OR(F964="",G964=""),"",IF(F964-G964&lt;0,"CONTRATO ANTERIOR À ABERTURA — conferir datas",IF(F964-G964&lt;180,"ABERTA MENOS DE 6 MESES ANTES","")))</f>
        <v/>
      </c>
      <c r="J964" s="19" t="str">
        <f aca="false">IF(A964="","",IFERROR(INDEX(Sancoes!$B:$B,MATCH(A964,Sancoes!$A:$A,0))&amp;"","não consta"))</f>
        <v/>
      </c>
      <c r="K964" s="19" t="str">
        <f aca="false">IF(OR(A964="",F964=""),"",IF(SUMPRODUCT((Sancoes!$A$2:$A$301=A964)*(Sancoes!$B$2:$B$301&lt;&gt;"Não consta")*(Sancoes!$D$2:$D$301&lt;&gt;"")*(Sancoes!$D$2:$D$301&lt;=F964)*(((Sancoes!$E$2:$E$301="")+(Sancoes!$E$2:$E$301&gt;=F964))&gt;0))&gt;0,"SANÇÃO VIGENTE NA DATA — leia o tipo e a abrangência",""))</f>
        <v/>
      </c>
      <c r="L964" s="19" t="str">
        <f aca="false">IF(A964="","",IFERROR(INDEX(Empresas!$B:$B,MATCH(A964,Empresas!$A:$A,0))&amp;"","cadastre o CNPJ em Empresas"))</f>
        <v/>
      </c>
      <c r="M964" s="27"/>
      <c r="N964" s="35"/>
      <c r="O964" s="37" t="str">
        <f aca="false">IF(OR(D964="",D964=0,N964=""),"",N964/D964)</f>
        <v/>
      </c>
      <c r="P964" s="19" t="str">
        <f aca="false">IF(O964="","",IF(O964&gt;0.25,"ACRÉSCIMO ACIMA DE 25% — conferir",""))</f>
        <v/>
      </c>
      <c r="Q964" s="27"/>
      <c r="R964" s="5"/>
    </row>
    <row r="965" customFormat="false" ht="15" hidden="false" customHeight="false" outlineLevel="0" collapsed="false">
      <c r="A965" s="27"/>
      <c r="B965" s="5"/>
      <c r="C965" s="5"/>
      <c r="D965" s="35"/>
      <c r="E965" s="14"/>
      <c r="F965" s="18"/>
      <c r="G965" s="31" t="str">
        <f aca="false">IF(A965="","",IFERROR(IF(INDEX(Empresas!$C:$C,MATCH(A965,Empresas!$A:$A,0))="","",INDEX(Empresas!$C:$C,MATCH(A965,Empresas!$A:$A,0))),""))</f>
        <v/>
      </c>
      <c r="H965" s="18"/>
      <c r="I965" s="19" t="str">
        <f aca="false">IF(OR(F965="",G965=""),"",IF(F965-G965&lt;0,"CONTRATO ANTERIOR À ABERTURA — conferir datas",IF(F965-G965&lt;180,"ABERTA MENOS DE 6 MESES ANTES","")))</f>
        <v/>
      </c>
      <c r="J965" s="19" t="str">
        <f aca="false">IF(A965="","",IFERROR(INDEX(Sancoes!$B:$B,MATCH(A965,Sancoes!$A:$A,0))&amp;"","não consta"))</f>
        <v/>
      </c>
      <c r="K965" s="19" t="str">
        <f aca="false">IF(OR(A965="",F965=""),"",IF(SUMPRODUCT((Sancoes!$A$2:$A$301=A965)*(Sancoes!$B$2:$B$301&lt;&gt;"Não consta")*(Sancoes!$D$2:$D$301&lt;&gt;"")*(Sancoes!$D$2:$D$301&lt;=F965)*(((Sancoes!$E$2:$E$301="")+(Sancoes!$E$2:$E$301&gt;=F965))&gt;0))&gt;0,"SANÇÃO VIGENTE NA DATA — leia o tipo e a abrangência",""))</f>
        <v/>
      </c>
      <c r="L965" s="19" t="str">
        <f aca="false">IF(A965="","",IFERROR(INDEX(Empresas!$B:$B,MATCH(A965,Empresas!$A:$A,0))&amp;"","cadastre o CNPJ em Empresas"))</f>
        <v/>
      </c>
      <c r="M965" s="27"/>
      <c r="N965" s="35"/>
      <c r="O965" s="37" t="str">
        <f aca="false">IF(OR(D965="",D965=0,N965=""),"",N965/D965)</f>
        <v/>
      </c>
      <c r="P965" s="19" t="str">
        <f aca="false">IF(O965="","",IF(O965&gt;0.25,"ACRÉSCIMO ACIMA DE 25% — conferir",""))</f>
        <v/>
      </c>
      <c r="Q965" s="27"/>
      <c r="R965" s="5"/>
    </row>
    <row r="966" customFormat="false" ht="15" hidden="false" customHeight="false" outlineLevel="0" collapsed="false">
      <c r="A966" s="27"/>
      <c r="B966" s="5"/>
      <c r="C966" s="5"/>
      <c r="D966" s="35"/>
      <c r="E966" s="14"/>
      <c r="F966" s="18"/>
      <c r="G966" s="31" t="str">
        <f aca="false">IF(A966="","",IFERROR(IF(INDEX(Empresas!$C:$C,MATCH(A966,Empresas!$A:$A,0))="","",INDEX(Empresas!$C:$C,MATCH(A966,Empresas!$A:$A,0))),""))</f>
        <v/>
      </c>
      <c r="H966" s="18"/>
      <c r="I966" s="19" t="str">
        <f aca="false">IF(OR(F966="",G966=""),"",IF(F966-G966&lt;0,"CONTRATO ANTERIOR À ABERTURA — conferir datas",IF(F966-G966&lt;180,"ABERTA MENOS DE 6 MESES ANTES","")))</f>
        <v/>
      </c>
      <c r="J966" s="19" t="str">
        <f aca="false">IF(A966="","",IFERROR(INDEX(Sancoes!$B:$B,MATCH(A966,Sancoes!$A:$A,0))&amp;"","não consta"))</f>
        <v/>
      </c>
      <c r="K966" s="19" t="str">
        <f aca="false">IF(OR(A966="",F966=""),"",IF(SUMPRODUCT((Sancoes!$A$2:$A$301=A966)*(Sancoes!$B$2:$B$301&lt;&gt;"Não consta")*(Sancoes!$D$2:$D$301&lt;&gt;"")*(Sancoes!$D$2:$D$301&lt;=F966)*(((Sancoes!$E$2:$E$301="")+(Sancoes!$E$2:$E$301&gt;=F966))&gt;0))&gt;0,"SANÇÃO VIGENTE NA DATA — leia o tipo e a abrangência",""))</f>
        <v/>
      </c>
      <c r="L966" s="19" t="str">
        <f aca="false">IF(A966="","",IFERROR(INDEX(Empresas!$B:$B,MATCH(A966,Empresas!$A:$A,0))&amp;"","cadastre o CNPJ em Empresas"))</f>
        <v/>
      </c>
      <c r="M966" s="27"/>
      <c r="N966" s="35"/>
      <c r="O966" s="37" t="str">
        <f aca="false">IF(OR(D966="",D966=0,N966=""),"",N966/D966)</f>
        <v/>
      </c>
      <c r="P966" s="19" t="str">
        <f aca="false">IF(O966="","",IF(O966&gt;0.25,"ACRÉSCIMO ACIMA DE 25% — conferir",""))</f>
        <v/>
      </c>
      <c r="Q966" s="27"/>
      <c r="R966" s="5"/>
    </row>
    <row r="967" customFormat="false" ht="15" hidden="false" customHeight="false" outlineLevel="0" collapsed="false">
      <c r="A967" s="27"/>
      <c r="B967" s="5"/>
      <c r="C967" s="5"/>
      <c r="D967" s="35"/>
      <c r="E967" s="14"/>
      <c r="F967" s="18"/>
      <c r="G967" s="31" t="str">
        <f aca="false">IF(A967="","",IFERROR(IF(INDEX(Empresas!$C:$C,MATCH(A967,Empresas!$A:$A,0))="","",INDEX(Empresas!$C:$C,MATCH(A967,Empresas!$A:$A,0))),""))</f>
        <v/>
      </c>
      <c r="H967" s="18"/>
      <c r="I967" s="19" t="str">
        <f aca="false">IF(OR(F967="",G967=""),"",IF(F967-G967&lt;0,"CONTRATO ANTERIOR À ABERTURA — conferir datas",IF(F967-G967&lt;180,"ABERTA MENOS DE 6 MESES ANTES","")))</f>
        <v/>
      </c>
      <c r="J967" s="19" t="str">
        <f aca="false">IF(A967="","",IFERROR(INDEX(Sancoes!$B:$B,MATCH(A967,Sancoes!$A:$A,0))&amp;"","não consta"))</f>
        <v/>
      </c>
      <c r="K967" s="19" t="str">
        <f aca="false">IF(OR(A967="",F967=""),"",IF(SUMPRODUCT((Sancoes!$A$2:$A$301=A967)*(Sancoes!$B$2:$B$301&lt;&gt;"Não consta")*(Sancoes!$D$2:$D$301&lt;&gt;"")*(Sancoes!$D$2:$D$301&lt;=F967)*(((Sancoes!$E$2:$E$301="")+(Sancoes!$E$2:$E$301&gt;=F967))&gt;0))&gt;0,"SANÇÃO VIGENTE NA DATA — leia o tipo e a abrangência",""))</f>
        <v/>
      </c>
      <c r="L967" s="19" t="str">
        <f aca="false">IF(A967="","",IFERROR(INDEX(Empresas!$B:$B,MATCH(A967,Empresas!$A:$A,0))&amp;"","cadastre o CNPJ em Empresas"))</f>
        <v/>
      </c>
      <c r="M967" s="27"/>
      <c r="N967" s="35"/>
      <c r="O967" s="37" t="str">
        <f aca="false">IF(OR(D967="",D967=0,N967=""),"",N967/D967)</f>
        <v/>
      </c>
      <c r="P967" s="19" t="str">
        <f aca="false">IF(O967="","",IF(O967&gt;0.25,"ACRÉSCIMO ACIMA DE 25% — conferir",""))</f>
        <v/>
      </c>
      <c r="Q967" s="27"/>
      <c r="R967" s="5"/>
    </row>
    <row r="968" customFormat="false" ht="15" hidden="false" customHeight="false" outlineLevel="0" collapsed="false">
      <c r="A968" s="27"/>
      <c r="B968" s="5"/>
      <c r="C968" s="5"/>
      <c r="D968" s="35"/>
      <c r="E968" s="14"/>
      <c r="F968" s="18"/>
      <c r="G968" s="31" t="str">
        <f aca="false">IF(A968="","",IFERROR(IF(INDEX(Empresas!$C:$C,MATCH(A968,Empresas!$A:$A,0))="","",INDEX(Empresas!$C:$C,MATCH(A968,Empresas!$A:$A,0))),""))</f>
        <v/>
      </c>
      <c r="H968" s="18"/>
      <c r="I968" s="19" t="str">
        <f aca="false">IF(OR(F968="",G968=""),"",IF(F968-G968&lt;0,"CONTRATO ANTERIOR À ABERTURA — conferir datas",IF(F968-G968&lt;180,"ABERTA MENOS DE 6 MESES ANTES","")))</f>
        <v/>
      </c>
      <c r="J968" s="19" t="str">
        <f aca="false">IF(A968="","",IFERROR(INDEX(Sancoes!$B:$B,MATCH(A968,Sancoes!$A:$A,0))&amp;"","não consta"))</f>
        <v/>
      </c>
      <c r="K968" s="19" t="str">
        <f aca="false">IF(OR(A968="",F968=""),"",IF(SUMPRODUCT((Sancoes!$A$2:$A$301=A968)*(Sancoes!$B$2:$B$301&lt;&gt;"Não consta")*(Sancoes!$D$2:$D$301&lt;&gt;"")*(Sancoes!$D$2:$D$301&lt;=F968)*(((Sancoes!$E$2:$E$301="")+(Sancoes!$E$2:$E$301&gt;=F968))&gt;0))&gt;0,"SANÇÃO VIGENTE NA DATA — leia o tipo e a abrangência",""))</f>
        <v/>
      </c>
      <c r="L968" s="19" t="str">
        <f aca="false">IF(A968="","",IFERROR(INDEX(Empresas!$B:$B,MATCH(A968,Empresas!$A:$A,0))&amp;"","cadastre o CNPJ em Empresas"))</f>
        <v/>
      </c>
      <c r="M968" s="27"/>
      <c r="N968" s="35"/>
      <c r="O968" s="37" t="str">
        <f aca="false">IF(OR(D968="",D968=0,N968=""),"",N968/D968)</f>
        <v/>
      </c>
      <c r="P968" s="19" t="str">
        <f aca="false">IF(O968="","",IF(O968&gt;0.25,"ACRÉSCIMO ACIMA DE 25% — conferir",""))</f>
        <v/>
      </c>
      <c r="Q968" s="27"/>
      <c r="R968" s="5"/>
    </row>
    <row r="969" customFormat="false" ht="15" hidden="false" customHeight="false" outlineLevel="0" collapsed="false">
      <c r="A969" s="27"/>
      <c r="B969" s="5"/>
      <c r="C969" s="5"/>
      <c r="D969" s="35"/>
      <c r="E969" s="14"/>
      <c r="F969" s="18"/>
      <c r="G969" s="31" t="str">
        <f aca="false">IF(A969="","",IFERROR(IF(INDEX(Empresas!$C:$C,MATCH(A969,Empresas!$A:$A,0))="","",INDEX(Empresas!$C:$C,MATCH(A969,Empresas!$A:$A,0))),""))</f>
        <v/>
      </c>
      <c r="H969" s="18"/>
      <c r="I969" s="19" t="str">
        <f aca="false">IF(OR(F969="",G969=""),"",IF(F969-G969&lt;0,"CONTRATO ANTERIOR À ABERTURA — conferir datas",IF(F969-G969&lt;180,"ABERTA MENOS DE 6 MESES ANTES","")))</f>
        <v/>
      </c>
      <c r="J969" s="19" t="str">
        <f aca="false">IF(A969="","",IFERROR(INDEX(Sancoes!$B:$B,MATCH(A969,Sancoes!$A:$A,0))&amp;"","não consta"))</f>
        <v/>
      </c>
      <c r="K969" s="19" t="str">
        <f aca="false">IF(OR(A969="",F969=""),"",IF(SUMPRODUCT((Sancoes!$A$2:$A$301=A969)*(Sancoes!$B$2:$B$301&lt;&gt;"Não consta")*(Sancoes!$D$2:$D$301&lt;&gt;"")*(Sancoes!$D$2:$D$301&lt;=F969)*(((Sancoes!$E$2:$E$301="")+(Sancoes!$E$2:$E$301&gt;=F969))&gt;0))&gt;0,"SANÇÃO VIGENTE NA DATA — leia o tipo e a abrangência",""))</f>
        <v/>
      </c>
      <c r="L969" s="19" t="str">
        <f aca="false">IF(A969="","",IFERROR(INDEX(Empresas!$B:$B,MATCH(A969,Empresas!$A:$A,0))&amp;"","cadastre o CNPJ em Empresas"))</f>
        <v/>
      </c>
      <c r="M969" s="27"/>
      <c r="N969" s="35"/>
      <c r="O969" s="37" t="str">
        <f aca="false">IF(OR(D969="",D969=0,N969=""),"",N969/D969)</f>
        <v/>
      </c>
      <c r="P969" s="19" t="str">
        <f aca="false">IF(O969="","",IF(O969&gt;0.25,"ACRÉSCIMO ACIMA DE 25% — conferir",""))</f>
        <v/>
      </c>
      <c r="Q969" s="27"/>
      <c r="R969" s="5"/>
    </row>
    <row r="970" customFormat="false" ht="15" hidden="false" customHeight="false" outlineLevel="0" collapsed="false">
      <c r="A970" s="27"/>
      <c r="B970" s="5"/>
      <c r="C970" s="5"/>
      <c r="D970" s="35"/>
      <c r="E970" s="14"/>
      <c r="F970" s="18"/>
      <c r="G970" s="31" t="str">
        <f aca="false">IF(A970="","",IFERROR(IF(INDEX(Empresas!$C:$C,MATCH(A970,Empresas!$A:$A,0))="","",INDEX(Empresas!$C:$C,MATCH(A970,Empresas!$A:$A,0))),""))</f>
        <v/>
      </c>
      <c r="H970" s="18"/>
      <c r="I970" s="19" t="str">
        <f aca="false">IF(OR(F970="",G970=""),"",IF(F970-G970&lt;0,"CONTRATO ANTERIOR À ABERTURA — conferir datas",IF(F970-G970&lt;180,"ABERTA MENOS DE 6 MESES ANTES","")))</f>
        <v/>
      </c>
      <c r="J970" s="19" t="str">
        <f aca="false">IF(A970="","",IFERROR(INDEX(Sancoes!$B:$B,MATCH(A970,Sancoes!$A:$A,0))&amp;"","não consta"))</f>
        <v/>
      </c>
      <c r="K970" s="19" t="str">
        <f aca="false">IF(OR(A970="",F970=""),"",IF(SUMPRODUCT((Sancoes!$A$2:$A$301=A970)*(Sancoes!$B$2:$B$301&lt;&gt;"Não consta")*(Sancoes!$D$2:$D$301&lt;&gt;"")*(Sancoes!$D$2:$D$301&lt;=F970)*(((Sancoes!$E$2:$E$301="")+(Sancoes!$E$2:$E$301&gt;=F970))&gt;0))&gt;0,"SANÇÃO VIGENTE NA DATA — leia o tipo e a abrangência",""))</f>
        <v/>
      </c>
      <c r="L970" s="19" t="str">
        <f aca="false">IF(A970="","",IFERROR(INDEX(Empresas!$B:$B,MATCH(A970,Empresas!$A:$A,0))&amp;"","cadastre o CNPJ em Empresas"))</f>
        <v/>
      </c>
      <c r="M970" s="27"/>
      <c r="N970" s="35"/>
      <c r="O970" s="37" t="str">
        <f aca="false">IF(OR(D970="",D970=0,N970=""),"",N970/D970)</f>
        <v/>
      </c>
      <c r="P970" s="19" t="str">
        <f aca="false">IF(O970="","",IF(O970&gt;0.25,"ACRÉSCIMO ACIMA DE 25% — conferir",""))</f>
        <v/>
      </c>
      <c r="Q970" s="27"/>
      <c r="R970" s="5"/>
    </row>
    <row r="971" customFormat="false" ht="15" hidden="false" customHeight="false" outlineLevel="0" collapsed="false">
      <c r="A971" s="27"/>
      <c r="B971" s="5"/>
      <c r="C971" s="5"/>
      <c r="D971" s="35"/>
      <c r="E971" s="14"/>
      <c r="F971" s="18"/>
      <c r="G971" s="31" t="str">
        <f aca="false">IF(A971="","",IFERROR(IF(INDEX(Empresas!$C:$C,MATCH(A971,Empresas!$A:$A,0))="","",INDEX(Empresas!$C:$C,MATCH(A971,Empresas!$A:$A,0))),""))</f>
        <v/>
      </c>
      <c r="H971" s="18"/>
      <c r="I971" s="19" t="str">
        <f aca="false">IF(OR(F971="",G971=""),"",IF(F971-G971&lt;0,"CONTRATO ANTERIOR À ABERTURA — conferir datas",IF(F971-G971&lt;180,"ABERTA MENOS DE 6 MESES ANTES","")))</f>
        <v/>
      </c>
      <c r="J971" s="19" t="str">
        <f aca="false">IF(A971="","",IFERROR(INDEX(Sancoes!$B:$B,MATCH(A971,Sancoes!$A:$A,0))&amp;"","não consta"))</f>
        <v/>
      </c>
      <c r="K971" s="19" t="str">
        <f aca="false">IF(OR(A971="",F971=""),"",IF(SUMPRODUCT((Sancoes!$A$2:$A$301=A971)*(Sancoes!$B$2:$B$301&lt;&gt;"Não consta")*(Sancoes!$D$2:$D$301&lt;&gt;"")*(Sancoes!$D$2:$D$301&lt;=F971)*(((Sancoes!$E$2:$E$301="")+(Sancoes!$E$2:$E$301&gt;=F971))&gt;0))&gt;0,"SANÇÃO VIGENTE NA DATA — leia o tipo e a abrangência",""))</f>
        <v/>
      </c>
      <c r="L971" s="19" t="str">
        <f aca="false">IF(A971="","",IFERROR(INDEX(Empresas!$B:$B,MATCH(A971,Empresas!$A:$A,0))&amp;"","cadastre o CNPJ em Empresas"))</f>
        <v/>
      </c>
      <c r="M971" s="27"/>
      <c r="N971" s="35"/>
      <c r="O971" s="37" t="str">
        <f aca="false">IF(OR(D971="",D971=0,N971=""),"",N971/D971)</f>
        <v/>
      </c>
      <c r="P971" s="19" t="str">
        <f aca="false">IF(O971="","",IF(O971&gt;0.25,"ACRÉSCIMO ACIMA DE 25% — conferir",""))</f>
        <v/>
      </c>
      <c r="Q971" s="27"/>
      <c r="R971" s="5"/>
    </row>
    <row r="972" customFormat="false" ht="15" hidden="false" customHeight="false" outlineLevel="0" collapsed="false">
      <c r="A972" s="27"/>
      <c r="B972" s="5"/>
      <c r="C972" s="5"/>
      <c r="D972" s="35"/>
      <c r="E972" s="14"/>
      <c r="F972" s="18"/>
      <c r="G972" s="31" t="str">
        <f aca="false">IF(A972="","",IFERROR(IF(INDEX(Empresas!$C:$C,MATCH(A972,Empresas!$A:$A,0))="","",INDEX(Empresas!$C:$C,MATCH(A972,Empresas!$A:$A,0))),""))</f>
        <v/>
      </c>
      <c r="H972" s="18"/>
      <c r="I972" s="19" t="str">
        <f aca="false">IF(OR(F972="",G972=""),"",IF(F972-G972&lt;0,"CONTRATO ANTERIOR À ABERTURA — conferir datas",IF(F972-G972&lt;180,"ABERTA MENOS DE 6 MESES ANTES","")))</f>
        <v/>
      </c>
      <c r="J972" s="19" t="str">
        <f aca="false">IF(A972="","",IFERROR(INDEX(Sancoes!$B:$B,MATCH(A972,Sancoes!$A:$A,0))&amp;"","não consta"))</f>
        <v/>
      </c>
      <c r="K972" s="19" t="str">
        <f aca="false">IF(OR(A972="",F972=""),"",IF(SUMPRODUCT((Sancoes!$A$2:$A$301=A972)*(Sancoes!$B$2:$B$301&lt;&gt;"Não consta")*(Sancoes!$D$2:$D$301&lt;&gt;"")*(Sancoes!$D$2:$D$301&lt;=F972)*(((Sancoes!$E$2:$E$301="")+(Sancoes!$E$2:$E$301&gt;=F972))&gt;0))&gt;0,"SANÇÃO VIGENTE NA DATA — leia o tipo e a abrangência",""))</f>
        <v/>
      </c>
      <c r="L972" s="19" t="str">
        <f aca="false">IF(A972="","",IFERROR(INDEX(Empresas!$B:$B,MATCH(A972,Empresas!$A:$A,0))&amp;"","cadastre o CNPJ em Empresas"))</f>
        <v/>
      </c>
      <c r="M972" s="27"/>
      <c r="N972" s="35"/>
      <c r="O972" s="37" t="str">
        <f aca="false">IF(OR(D972="",D972=0,N972=""),"",N972/D972)</f>
        <v/>
      </c>
      <c r="P972" s="19" t="str">
        <f aca="false">IF(O972="","",IF(O972&gt;0.25,"ACRÉSCIMO ACIMA DE 25% — conferir",""))</f>
        <v/>
      </c>
      <c r="Q972" s="27"/>
      <c r="R972" s="5"/>
    </row>
    <row r="973" customFormat="false" ht="15" hidden="false" customHeight="false" outlineLevel="0" collapsed="false">
      <c r="A973" s="27"/>
      <c r="B973" s="5"/>
      <c r="C973" s="5"/>
      <c r="D973" s="35"/>
      <c r="E973" s="14"/>
      <c r="F973" s="18"/>
      <c r="G973" s="31" t="str">
        <f aca="false">IF(A973="","",IFERROR(IF(INDEX(Empresas!$C:$C,MATCH(A973,Empresas!$A:$A,0))="","",INDEX(Empresas!$C:$C,MATCH(A973,Empresas!$A:$A,0))),""))</f>
        <v/>
      </c>
      <c r="H973" s="18"/>
      <c r="I973" s="19" t="str">
        <f aca="false">IF(OR(F973="",G973=""),"",IF(F973-G973&lt;0,"CONTRATO ANTERIOR À ABERTURA — conferir datas",IF(F973-G973&lt;180,"ABERTA MENOS DE 6 MESES ANTES","")))</f>
        <v/>
      </c>
      <c r="J973" s="19" t="str">
        <f aca="false">IF(A973="","",IFERROR(INDEX(Sancoes!$B:$B,MATCH(A973,Sancoes!$A:$A,0))&amp;"","não consta"))</f>
        <v/>
      </c>
      <c r="K973" s="19" t="str">
        <f aca="false">IF(OR(A973="",F973=""),"",IF(SUMPRODUCT((Sancoes!$A$2:$A$301=A973)*(Sancoes!$B$2:$B$301&lt;&gt;"Não consta")*(Sancoes!$D$2:$D$301&lt;&gt;"")*(Sancoes!$D$2:$D$301&lt;=F973)*(((Sancoes!$E$2:$E$301="")+(Sancoes!$E$2:$E$301&gt;=F973))&gt;0))&gt;0,"SANÇÃO VIGENTE NA DATA — leia o tipo e a abrangência",""))</f>
        <v/>
      </c>
      <c r="L973" s="19" t="str">
        <f aca="false">IF(A973="","",IFERROR(INDEX(Empresas!$B:$B,MATCH(A973,Empresas!$A:$A,0))&amp;"","cadastre o CNPJ em Empresas"))</f>
        <v/>
      </c>
      <c r="M973" s="27"/>
      <c r="N973" s="35"/>
      <c r="O973" s="37" t="str">
        <f aca="false">IF(OR(D973="",D973=0,N973=""),"",N973/D973)</f>
        <v/>
      </c>
      <c r="P973" s="19" t="str">
        <f aca="false">IF(O973="","",IF(O973&gt;0.25,"ACRÉSCIMO ACIMA DE 25% — conferir",""))</f>
        <v/>
      </c>
      <c r="Q973" s="27"/>
      <c r="R973" s="5"/>
    </row>
    <row r="974" customFormat="false" ht="15" hidden="false" customHeight="false" outlineLevel="0" collapsed="false">
      <c r="A974" s="27"/>
      <c r="B974" s="5"/>
      <c r="C974" s="5"/>
      <c r="D974" s="35"/>
      <c r="E974" s="14"/>
      <c r="F974" s="18"/>
      <c r="G974" s="31" t="str">
        <f aca="false">IF(A974="","",IFERROR(IF(INDEX(Empresas!$C:$C,MATCH(A974,Empresas!$A:$A,0))="","",INDEX(Empresas!$C:$C,MATCH(A974,Empresas!$A:$A,0))),""))</f>
        <v/>
      </c>
      <c r="H974" s="18"/>
      <c r="I974" s="19" t="str">
        <f aca="false">IF(OR(F974="",G974=""),"",IF(F974-G974&lt;0,"CONTRATO ANTERIOR À ABERTURA — conferir datas",IF(F974-G974&lt;180,"ABERTA MENOS DE 6 MESES ANTES","")))</f>
        <v/>
      </c>
      <c r="J974" s="19" t="str">
        <f aca="false">IF(A974="","",IFERROR(INDEX(Sancoes!$B:$B,MATCH(A974,Sancoes!$A:$A,0))&amp;"","não consta"))</f>
        <v/>
      </c>
      <c r="K974" s="19" t="str">
        <f aca="false">IF(OR(A974="",F974=""),"",IF(SUMPRODUCT((Sancoes!$A$2:$A$301=A974)*(Sancoes!$B$2:$B$301&lt;&gt;"Não consta")*(Sancoes!$D$2:$D$301&lt;&gt;"")*(Sancoes!$D$2:$D$301&lt;=F974)*(((Sancoes!$E$2:$E$301="")+(Sancoes!$E$2:$E$301&gt;=F974))&gt;0))&gt;0,"SANÇÃO VIGENTE NA DATA — leia o tipo e a abrangência",""))</f>
        <v/>
      </c>
      <c r="L974" s="19" t="str">
        <f aca="false">IF(A974="","",IFERROR(INDEX(Empresas!$B:$B,MATCH(A974,Empresas!$A:$A,0))&amp;"","cadastre o CNPJ em Empresas"))</f>
        <v/>
      </c>
      <c r="M974" s="27"/>
      <c r="N974" s="35"/>
      <c r="O974" s="37" t="str">
        <f aca="false">IF(OR(D974="",D974=0,N974=""),"",N974/D974)</f>
        <v/>
      </c>
      <c r="P974" s="19" t="str">
        <f aca="false">IF(O974="","",IF(O974&gt;0.25,"ACRÉSCIMO ACIMA DE 25% — conferir",""))</f>
        <v/>
      </c>
      <c r="Q974" s="27"/>
      <c r="R974" s="5"/>
    </row>
    <row r="975" customFormat="false" ht="15" hidden="false" customHeight="false" outlineLevel="0" collapsed="false">
      <c r="A975" s="27"/>
      <c r="B975" s="5"/>
      <c r="C975" s="5"/>
      <c r="D975" s="35"/>
      <c r="E975" s="14"/>
      <c r="F975" s="18"/>
      <c r="G975" s="31" t="str">
        <f aca="false">IF(A975="","",IFERROR(IF(INDEX(Empresas!$C:$C,MATCH(A975,Empresas!$A:$A,0))="","",INDEX(Empresas!$C:$C,MATCH(A975,Empresas!$A:$A,0))),""))</f>
        <v/>
      </c>
      <c r="H975" s="18"/>
      <c r="I975" s="19" t="str">
        <f aca="false">IF(OR(F975="",G975=""),"",IF(F975-G975&lt;0,"CONTRATO ANTERIOR À ABERTURA — conferir datas",IF(F975-G975&lt;180,"ABERTA MENOS DE 6 MESES ANTES","")))</f>
        <v/>
      </c>
      <c r="J975" s="19" t="str">
        <f aca="false">IF(A975="","",IFERROR(INDEX(Sancoes!$B:$B,MATCH(A975,Sancoes!$A:$A,0))&amp;"","não consta"))</f>
        <v/>
      </c>
      <c r="K975" s="19" t="str">
        <f aca="false">IF(OR(A975="",F975=""),"",IF(SUMPRODUCT((Sancoes!$A$2:$A$301=A975)*(Sancoes!$B$2:$B$301&lt;&gt;"Não consta")*(Sancoes!$D$2:$D$301&lt;&gt;"")*(Sancoes!$D$2:$D$301&lt;=F975)*(((Sancoes!$E$2:$E$301="")+(Sancoes!$E$2:$E$301&gt;=F975))&gt;0))&gt;0,"SANÇÃO VIGENTE NA DATA — leia o tipo e a abrangência",""))</f>
        <v/>
      </c>
      <c r="L975" s="19" t="str">
        <f aca="false">IF(A975="","",IFERROR(INDEX(Empresas!$B:$B,MATCH(A975,Empresas!$A:$A,0))&amp;"","cadastre o CNPJ em Empresas"))</f>
        <v/>
      </c>
      <c r="M975" s="27"/>
      <c r="N975" s="35"/>
      <c r="O975" s="37" t="str">
        <f aca="false">IF(OR(D975="",D975=0,N975=""),"",N975/D975)</f>
        <v/>
      </c>
      <c r="P975" s="19" t="str">
        <f aca="false">IF(O975="","",IF(O975&gt;0.25,"ACRÉSCIMO ACIMA DE 25% — conferir",""))</f>
        <v/>
      </c>
      <c r="Q975" s="27"/>
      <c r="R975" s="5"/>
    </row>
    <row r="976" customFormat="false" ht="15" hidden="false" customHeight="false" outlineLevel="0" collapsed="false">
      <c r="A976" s="27"/>
      <c r="B976" s="5"/>
      <c r="C976" s="5"/>
      <c r="D976" s="35"/>
      <c r="E976" s="14"/>
      <c r="F976" s="18"/>
      <c r="G976" s="31" t="str">
        <f aca="false">IF(A976="","",IFERROR(IF(INDEX(Empresas!$C:$C,MATCH(A976,Empresas!$A:$A,0))="","",INDEX(Empresas!$C:$C,MATCH(A976,Empresas!$A:$A,0))),""))</f>
        <v/>
      </c>
      <c r="H976" s="18"/>
      <c r="I976" s="19" t="str">
        <f aca="false">IF(OR(F976="",G976=""),"",IF(F976-G976&lt;0,"CONTRATO ANTERIOR À ABERTURA — conferir datas",IF(F976-G976&lt;180,"ABERTA MENOS DE 6 MESES ANTES","")))</f>
        <v/>
      </c>
      <c r="J976" s="19" t="str">
        <f aca="false">IF(A976="","",IFERROR(INDEX(Sancoes!$B:$B,MATCH(A976,Sancoes!$A:$A,0))&amp;"","não consta"))</f>
        <v/>
      </c>
      <c r="K976" s="19" t="str">
        <f aca="false">IF(OR(A976="",F976=""),"",IF(SUMPRODUCT((Sancoes!$A$2:$A$301=A976)*(Sancoes!$B$2:$B$301&lt;&gt;"Não consta")*(Sancoes!$D$2:$D$301&lt;&gt;"")*(Sancoes!$D$2:$D$301&lt;=F976)*(((Sancoes!$E$2:$E$301="")+(Sancoes!$E$2:$E$301&gt;=F976))&gt;0))&gt;0,"SANÇÃO VIGENTE NA DATA — leia o tipo e a abrangência",""))</f>
        <v/>
      </c>
      <c r="L976" s="19" t="str">
        <f aca="false">IF(A976="","",IFERROR(INDEX(Empresas!$B:$B,MATCH(A976,Empresas!$A:$A,0))&amp;"","cadastre o CNPJ em Empresas"))</f>
        <v/>
      </c>
      <c r="M976" s="27"/>
      <c r="N976" s="35"/>
      <c r="O976" s="37" t="str">
        <f aca="false">IF(OR(D976="",D976=0,N976=""),"",N976/D976)</f>
        <v/>
      </c>
      <c r="P976" s="19" t="str">
        <f aca="false">IF(O976="","",IF(O976&gt;0.25,"ACRÉSCIMO ACIMA DE 25% — conferir",""))</f>
        <v/>
      </c>
      <c r="Q976" s="27"/>
      <c r="R976" s="5"/>
    </row>
    <row r="977" customFormat="false" ht="15" hidden="false" customHeight="false" outlineLevel="0" collapsed="false">
      <c r="A977" s="27"/>
      <c r="B977" s="5"/>
      <c r="C977" s="5"/>
      <c r="D977" s="35"/>
      <c r="E977" s="14"/>
      <c r="F977" s="18"/>
      <c r="G977" s="31" t="str">
        <f aca="false">IF(A977="","",IFERROR(IF(INDEX(Empresas!$C:$C,MATCH(A977,Empresas!$A:$A,0))="","",INDEX(Empresas!$C:$C,MATCH(A977,Empresas!$A:$A,0))),""))</f>
        <v/>
      </c>
      <c r="H977" s="18"/>
      <c r="I977" s="19" t="str">
        <f aca="false">IF(OR(F977="",G977=""),"",IF(F977-G977&lt;0,"CONTRATO ANTERIOR À ABERTURA — conferir datas",IF(F977-G977&lt;180,"ABERTA MENOS DE 6 MESES ANTES","")))</f>
        <v/>
      </c>
      <c r="J977" s="19" t="str">
        <f aca="false">IF(A977="","",IFERROR(INDEX(Sancoes!$B:$B,MATCH(A977,Sancoes!$A:$A,0))&amp;"","não consta"))</f>
        <v/>
      </c>
      <c r="K977" s="19" t="str">
        <f aca="false">IF(OR(A977="",F977=""),"",IF(SUMPRODUCT((Sancoes!$A$2:$A$301=A977)*(Sancoes!$B$2:$B$301&lt;&gt;"Não consta")*(Sancoes!$D$2:$D$301&lt;&gt;"")*(Sancoes!$D$2:$D$301&lt;=F977)*(((Sancoes!$E$2:$E$301="")+(Sancoes!$E$2:$E$301&gt;=F977))&gt;0))&gt;0,"SANÇÃO VIGENTE NA DATA — leia o tipo e a abrangência",""))</f>
        <v/>
      </c>
      <c r="L977" s="19" t="str">
        <f aca="false">IF(A977="","",IFERROR(INDEX(Empresas!$B:$B,MATCH(A977,Empresas!$A:$A,0))&amp;"","cadastre o CNPJ em Empresas"))</f>
        <v/>
      </c>
      <c r="M977" s="27"/>
      <c r="N977" s="35"/>
      <c r="O977" s="37" t="str">
        <f aca="false">IF(OR(D977="",D977=0,N977=""),"",N977/D977)</f>
        <v/>
      </c>
      <c r="P977" s="19" t="str">
        <f aca="false">IF(O977="","",IF(O977&gt;0.25,"ACRÉSCIMO ACIMA DE 25% — conferir",""))</f>
        <v/>
      </c>
      <c r="Q977" s="27"/>
      <c r="R977" s="5"/>
    </row>
    <row r="978" customFormat="false" ht="15" hidden="false" customHeight="false" outlineLevel="0" collapsed="false">
      <c r="A978" s="27"/>
      <c r="B978" s="5"/>
      <c r="C978" s="5"/>
      <c r="D978" s="35"/>
      <c r="E978" s="14"/>
      <c r="F978" s="18"/>
      <c r="G978" s="31" t="str">
        <f aca="false">IF(A978="","",IFERROR(IF(INDEX(Empresas!$C:$C,MATCH(A978,Empresas!$A:$A,0))="","",INDEX(Empresas!$C:$C,MATCH(A978,Empresas!$A:$A,0))),""))</f>
        <v/>
      </c>
      <c r="H978" s="18"/>
      <c r="I978" s="19" t="str">
        <f aca="false">IF(OR(F978="",G978=""),"",IF(F978-G978&lt;0,"CONTRATO ANTERIOR À ABERTURA — conferir datas",IF(F978-G978&lt;180,"ABERTA MENOS DE 6 MESES ANTES","")))</f>
        <v/>
      </c>
      <c r="J978" s="19" t="str">
        <f aca="false">IF(A978="","",IFERROR(INDEX(Sancoes!$B:$B,MATCH(A978,Sancoes!$A:$A,0))&amp;"","não consta"))</f>
        <v/>
      </c>
      <c r="K978" s="19" t="str">
        <f aca="false">IF(OR(A978="",F978=""),"",IF(SUMPRODUCT((Sancoes!$A$2:$A$301=A978)*(Sancoes!$B$2:$B$301&lt;&gt;"Não consta")*(Sancoes!$D$2:$D$301&lt;&gt;"")*(Sancoes!$D$2:$D$301&lt;=F978)*(((Sancoes!$E$2:$E$301="")+(Sancoes!$E$2:$E$301&gt;=F978))&gt;0))&gt;0,"SANÇÃO VIGENTE NA DATA — leia o tipo e a abrangência",""))</f>
        <v/>
      </c>
      <c r="L978" s="19" t="str">
        <f aca="false">IF(A978="","",IFERROR(INDEX(Empresas!$B:$B,MATCH(A978,Empresas!$A:$A,0))&amp;"","cadastre o CNPJ em Empresas"))</f>
        <v/>
      </c>
      <c r="M978" s="27"/>
      <c r="N978" s="35"/>
      <c r="O978" s="37" t="str">
        <f aca="false">IF(OR(D978="",D978=0,N978=""),"",N978/D978)</f>
        <v/>
      </c>
      <c r="P978" s="19" t="str">
        <f aca="false">IF(O978="","",IF(O978&gt;0.25,"ACRÉSCIMO ACIMA DE 25% — conferir",""))</f>
        <v/>
      </c>
      <c r="Q978" s="27"/>
      <c r="R978" s="5"/>
    </row>
    <row r="979" customFormat="false" ht="15" hidden="false" customHeight="false" outlineLevel="0" collapsed="false">
      <c r="A979" s="27"/>
      <c r="B979" s="5"/>
      <c r="C979" s="5"/>
      <c r="D979" s="35"/>
      <c r="E979" s="14"/>
      <c r="F979" s="18"/>
      <c r="G979" s="31" t="str">
        <f aca="false">IF(A979="","",IFERROR(IF(INDEX(Empresas!$C:$C,MATCH(A979,Empresas!$A:$A,0))="","",INDEX(Empresas!$C:$C,MATCH(A979,Empresas!$A:$A,0))),""))</f>
        <v/>
      </c>
      <c r="H979" s="18"/>
      <c r="I979" s="19" t="str">
        <f aca="false">IF(OR(F979="",G979=""),"",IF(F979-G979&lt;0,"CONTRATO ANTERIOR À ABERTURA — conferir datas",IF(F979-G979&lt;180,"ABERTA MENOS DE 6 MESES ANTES","")))</f>
        <v/>
      </c>
      <c r="J979" s="19" t="str">
        <f aca="false">IF(A979="","",IFERROR(INDEX(Sancoes!$B:$B,MATCH(A979,Sancoes!$A:$A,0))&amp;"","não consta"))</f>
        <v/>
      </c>
      <c r="K979" s="19" t="str">
        <f aca="false">IF(OR(A979="",F979=""),"",IF(SUMPRODUCT((Sancoes!$A$2:$A$301=A979)*(Sancoes!$B$2:$B$301&lt;&gt;"Não consta")*(Sancoes!$D$2:$D$301&lt;&gt;"")*(Sancoes!$D$2:$D$301&lt;=F979)*(((Sancoes!$E$2:$E$301="")+(Sancoes!$E$2:$E$301&gt;=F979))&gt;0))&gt;0,"SANÇÃO VIGENTE NA DATA — leia o tipo e a abrangência",""))</f>
        <v/>
      </c>
      <c r="L979" s="19" t="str">
        <f aca="false">IF(A979="","",IFERROR(INDEX(Empresas!$B:$B,MATCH(A979,Empresas!$A:$A,0))&amp;"","cadastre o CNPJ em Empresas"))</f>
        <v/>
      </c>
      <c r="M979" s="27"/>
      <c r="N979" s="35"/>
      <c r="O979" s="37" t="str">
        <f aca="false">IF(OR(D979="",D979=0,N979=""),"",N979/D979)</f>
        <v/>
      </c>
      <c r="P979" s="19" t="str">
        <f aca="false">IF(O979="","",IF(O979&gt;0.25,"ACRÉSCIMO ACIMA DE 25% — conferir",""))</f>
        <v/>
      </c>
      <c r="Q979" s="27"/>
      <c r="R979" s="5"/>
    </row>
    <row r="980" customFormat="false" ht="15" hidden="false" customHeight="false" outlineLevel="0" collapsed="false">
      <c r="A980" s="27"/>
      <c r="B980" s="5"/>
      <c r="C980" s="5"/>
      <c r="D980" s="35"/>
      <c r="E980" s="14"/>
      <c r="F980" s="18"/>
      <c r="G980" s="31" t="str">
        <f aca="false">IF(A980="","",IFERROR(IF(INDEX(Empresas!$C:$C,MATCH(A980,Empresas!$A:$A,0))="","",INDEX(Empresas!$C:$C,MATCH(A980,Empresas!$A:$A,0))),""))</f>
        <v/>
      </c>
      <c r="H980" s="18"/>
      <c r="I980" s="19" t="str">
        <f aca="false">IF(OR(F980="",G980=""),"",IF(F980-G980&lt;0,"CONTRATO ANTERIOR À ABERTURA — conferir datas",IF(F980-G980&lt;180,"ABERTA MENOS DE 6 MESES ANTES","")))</f>
        <v/>
      </c>
      <c r="J980" s="19" t="str">
        <f aca="false">IF(A980="","",IFERROR(INDEX(Sancoes!$B:$B,MATCH(A980,Sancoes!$A:$A,0))&amp;"","não consta"))</f>
        <v/>
      </c>
      <c r="K980" s="19" t="str">
        <f aca="false">IF(OR(A980="",F980=""),"",IF(SUMPRODUCT((Sancoes!$A$2:$A$301=A980)*(Sancoes!$B$2:$B$301&lt;&gt;"Não consta")*(Sancoes!$D$2:$D$301&lt;&gt;"")*(Sancoes!$D$2:$D$301&lt;=F980)*(((Sancoes!$E$2:$E$301="")+(Sancoes!$E$2:$E$301&gt;=F980))&gt;0))&gt;0,"SANÇÃO VIGENTE NA DATA — leia o tipo e a abrangência",""))</f>
        <v/>
      </c>
      <c r="L980" s="19" t="str">
        <f aca="false">IF(A980="","",IFERROR(INDEX(Empresas!$B:$B,MATCH(A980,Empresas!$A:$A,0))&amp;"","cadastre o CNPJ em Empresas"))</f>
        <v/>
      </c>
      <c r="M980" s="27"/>
      <c r="N980" s="35"/>
      <c r="O980" s="37" t="str">
        <f aca="false">IF(OR(D980="",D980=0,N980=""),"",N980/D980)</f>
        <v/>
      </c>
      <c r="P980" s="19" t="str">
        <f aca="false">IF(O980="","",IF(O980&gt;0.25,"ACRÉSCIMO ACIMA DE 25% — conferir",""))</f>
        <v/>
      </c>
      <c r="Q980" s="27"/>
      <c r="R980" s="5"/>
    </row>
    <row r="981" customFormat="false" ht="15" hidden="false" customHeight="false" outlineLevel="0" collapsed="false">
      <c r="A981" s="27"/>
      <c r="B981" s="5"/>
      <c r="C981" s="5"/>
      <c r="D981" s="35"/>
      <c r="E981" s="14"/>
      <c r="F981" s="18"/>
      <c r="G981" s="31" t="str">
        <f aca="false">IF(A981="","",IFERROR(IF(INDEX(Empresas!$C:$C,MATCH(A981,Empresas!$A:$A,0))="","",INDEX(Empresas!$C:$C,MATCH(A981,Empresas!$A:$A,0))),""))</f>
        <v/>
      </c>
      <c r="H981" s="18"/>
      <c r="I981" s="19" t="str">
        <f aca="false">IF(OR(F981="",G981=""),"",IF(F981-G981&lt;0,"CONTRATO ANTERIOR À ABERTURA — conferir datas",IF(F981-G981&lt;180,"ABERTA MENOS DE 6 MESES ANTES","")))</f>
        <v/>
      </c>
      <c r="J981" s="19" t="str">
        <f aca="false">IF(A981="","",IFERROR(INDEX(Sancoes!$B:$B,MATCH(A981,Sancoes!$A:$A,0))&amp;"","não consta"))</f>
        <v/>
      </c>
      <c r="K981" s="19" t="str">
        <f aca="false">IF(OR(A981="",F981=""),"",IF(SUMPRODUCT((Sancoes!$A$2:$A$301=A981)*(Sancoes!$B$2:$B$301&lt;&gt;"Não consta")*(Sancoes!$D$2:$D$301&lt;&gt;"")*(Sancoes!$D$2:$D$301&lt;=F981)*(((Sancoes!$E$2:$E$301="")+(Sancoes!$E$2:$E$301&gt;=F981))&gt;0))&gt;0,"SANÇÃO VIGENTE NA DATA — leia o tipo e a abrangência",""))</f>
        <v/>
      </c>
      <c r="L981" s="19" t="str">
        <f aca="false">IF(A981="","",IFERROR(INDEX(Empresas!$B:$B,MATCH(A981,Empresas!$A:$A,0))&amp;"","cadastre o CNPJ em Empresas"))</f>
        <v/>
      </c>
      <c r="M981" s="27"/>
      <c r="N981" s="35"/>
      <c r="O981" s="37" t="str">
        <f aca="false">IF(OR(D981="",D981=0,N981=""),"",N981/D981)</f>
        <v/>
      </c>
      <c r="P981" s="19" t="str">
        <f aca="false">IF(O981="","",IF(O981&gt;0.25,"ACRÉSCIMO ACIMA DE 25% — conferir",""))</f>
        <v/>
      </c>
      <c r="Q981" s="27"/>
      <c r="R981" s="5"/>
    </row>
    <row r="982" customFormat="false" ht="15" hidden="false" customHeight="false" outlineLevel="0" collapsed="false">
      <c r="A982" s="27"/>
      <c r="B982" s="5"/>
      <c r="C982" s="5"/>
      <c r="D982" s="35"/>
      <c r="E982" s="14"/>
      <c r="F982" s="18"/>
      <c r="G982" s="31" t="str">
        <f aca="false">IF(A982="","",IFERROR(IF(INDEX(Empresas!$C:$C,MATCH(A982,Empresas!$A:$A,0))="","",INDEX(Empresas!$C:$C,MATCH(A982,Empresas!$A:$A,0))),""))</f>
        <v/>
      </c>
      <c r="H982" s="18"/>
      <c r="I982" s="19" t="str">
        <f aca="false">IF(OR(F982="",G982=""),"",IF(F982-G982&lt;0,"CONTRATO ANTERIOR À ABERTURA — conferir datas",IF(F982-G982&lt;180,"ABERTA MENOS DE 6 MESES ANTES","")))</f>
        <v/>
      </c>
      <c r="J982" s="19" t="str">
        <f aca="false">IF(A982="","",IFERROR(INDEX(Sancoes!$B:$B,MATCH(A982,Sancoes!$A:$A,0))&amp;"","não consta"))</f>
        <v/>
      </c>
      <c r="K982" s="19" t="str">
        <f aca="false">IF(OR(A982="",F982=""),"",IF(SUMPRODUCT((Sancoes!$A$2:$A$301=A982)*(Sancoes!$B$2:$B$301&lt;&gt;"Não consta")*(Sancoes!$D$2:$D$301&lt;&gt;"")*(Sancoes!$D$2:$D$301&lt;=F982)*(((Sancoes!$E$2:$E$301="")+(Sancoes!$E$2:$E$301&gt;=F982))&gt;0))&gt;0,"SANÇÃO VIGENTE NA DATA — leia o tipo e a abrangência",""))</f>
        <v/>
      </c>
      <c r="L982" s="19" t="str">
        <f aca="false">IF(A982="","",IFERROR(INDEX(Empresas!$B:$B,MATCH(A982,Empresas!$A:$A,0))&amp;"","cadastre o CNPJ em Empresas"))</f>
        <v/>
      </c>
      <c r="M982" s="27"/>
      <c r="N982" s="35"/>
      <c r="O982" s="37" t="str">
        <f aca="false">IF(OR(D982="",D982=0,N982=""),"",N982/D982)</f>
        <v/>
      </c>
      <c r="P982" s="19" t="str">
        <f aca="false">IF(O982="","",IF(O982&gt;0.25,"ACRÉSCIMO ACIMA DE 25% — conferir",""))</f>
        <v/>
      </c>
      <c r="Q982" s="27"/>
      <c r="R982" s="5"/>
    </row>
    <row r="983" customFormat="false" ht="15" hidden="false" customHeight="false" outlineLevel="0" collapsed="false">
      <c r="A983" s="27"/>
      <c r="B983" s="5"/>
      <c r="C983" s="5"/>
      <c r="D983" s="35"/>
      <c r="E983" s="14"/>
      <c r="F983" s="18"/>
      <c r="G983" s="31" t="str">
        <f aca="false">IF(A983="","",IFERROR(IF(INDEX(Empresas!$C:$C,MATCH(A983,Empresas!$A:$A,0))="","",INDEX(Empresas!$C:$C,MATCH(A983,Empresas!$A:$A,0))),""))</f>
        <v/>
      </c>
      <c r="H983" s="18"/>
      <c r="I983" s="19" t="str">
        <f aca="false">IF(OR(F983="",G983=""),"",IF(F983-G983&lt;0,"CONTRATO ANTERIOR À ABERTURA — conferir datas",IF(F983-G983&lt;180,"ABERTA MENOS DE 6 MESES ANTES","")))</f>
        <v/>
      </c>
      <c r="J983" s="19" t="str">
        <f aca="false">IF(A983="","",IFERROR(INDEX(Sancoes!$B:$B,MATCH(A983,Sancoes!$A:$A,0))&amp;"","não consta"))</f>
        <v/>
      </c>
      <c r="K983" s="19" t="str">
        <f aca="false">IF(OR(A983="",F983=""),"",IF(SUMPRODUCT((Sancoes!$A$2:$A$301=A983)*(Sancoes!$B$2:$B$301&lt;&gt;"Não consta")*(Sancoes!$D$2:$D$301&lt;&gt;"")*(Sancoes!$D$2:$D$301&lt;=F983)*(((Sancoes!$E$2:$E$301="")+(Sancoes!$E$2:$E$301&gt;=F983))&gt;0))&gt;0,"SANÇÃO VIGENTE NA DATA — leia o tipo e a abrangência",""))</f>
        <v/>
      </c>
      <c r="L983" s="19" t="str">
        <f aca="false">IF(A983="","",IFERROR(INDEX(Empresas!$B:$B,MATCH(A983,Empresas!$A:$A,0))&amp;"","cadastre o CNPJ em Empresas"))</f>
        <v/>
      </c>
      <c r="M983" s="27"/>
      <c r="N983" s="35"/>
      <c r="O983" s="37" t="str">
        <f aca="false">IF(OR(D983="",D983=0,N983=""),"",N983/D983)</f>
        <v/>
      </c>
      <c r="P983" s="19" t="str">
        <f aca="false">IF(O983="","",IF(O983&gt;0.25,"ACRÉSCIMO ACIMA DE 25% — conferir",""))</f>
        <v/>
      </c>
      <c r="Q983" s="27"/>
      <c r="R983" s="5"/>
    </row>
    <row r="984" customFormat="false" ht="15" hidden="false" customHeight="false" outlineLevel="0" collapsed="false">
      <c r="A984" s="27"/>
      <c r="B984" s="5"/>
      <c r="C984" s="5"/>
      <c r="D984" s="35"/>
      <c r="E984" s="14"/>
      <c r="F984" s="18"/>
      <c r="G984" s="31" t="str">
        <f aca="false">IF(A984="","",IFERROR(IF(INDEX(Empresas!$C:$C,MATCH(A984,Empresas!$A:$A,0))="","",INDEX(Empresas!$C:$C,MATCH(A984,Empresas!$A:$A,0))),""))</f>
        <v/>
      </c>
      <c r="H984" s="18"/>
      <c r="I984" s="19" t="str">
        <f aca="false">IF(OR(F984="",G984=""),"",IF(F984-G984&lt;0,"CONTRATO ANTERIOR À ABERTURA — conferir datas",IF(F984-G984&lt;180,"ABERTA MENOS DE 6 MESES ANTES","")))</f>
        <v/>
      </c>
      <c r="J984" s="19" t="str">
        <f aca="false">IF(A984="","",IFERROR(INDEX(Sancoes!$B:$B,MATCH(A984,Sancoes!$A:$A,0))&amp;"","não consta"))</f>
        <v/>
      </c>
      <c r="K984" s="19" t="str">
        <f aca="false">IF(OR(A984="",F984=""),"",IF(SUMPRODUCT((Sancoes!$A$2:$A$301=A984)*(Sancoes!$B$2:$B$301&lt;&gt;"Não consta")*(Sancoes!$D$2:$D$301&lt;&gt;"")*(Sancoes!$D$2:$D$301&lt;=F984)*(((Sancoes!$E$2:$E$301="")+(Sancoes!$E$2:$E$301&gt;=F984))&gt;0))&gt;0,"SANÇÃO VIGENTE NA DATA — leia o tipo e a abrangência",""))</f>
        <v/>
      </c>
      <c r="L984" s="19" t="str">
        <f aca="false">IF(A984="","",IFERROR(INDEX(Empresas!$B:$B,MATCH(A984,Empresas!$A:$A,0))&amp;"","cadastre o CNPJ em Empresas"))</f>
        <v/>
      </c>
      <c r="M984" s="27"/>
      <c r="N984" s="35"/>
      <c r="O984" s="37" t="str">
        <f aca="false">IF(OR(D984="",D984=0,N984=""),"",N984/D984)</f>
        <v/>
      </c>
      <c r="P984" s="19" t="str">
        <f aca="false">IF(O984="","",IF(O984&gt;0.25,"ACRÉSCIMO ACIMA DE 25% — conferir",""))</f>
        <v/>
      </c>
      <c r="Q984" s="27"/>
      <c r="R984" s="5"/>
    </row>
    <row r="985" customFormat="false" ht="15" hidden="false" customHeight="false" outlineLevel="0" collapsed="false">
      <c r="A985" s="27"/>
      <c r="B985" s="5"/>
      <c r="C985" s="5"/>
      <c r="D985" s="35"/>
      <c r="E985" s="14"/>
      <c r="F985" s="18"/>
      <c r="G985" s="31" t="str">
        <f aca="false">IF(A985="","",IFERROR(IF(INDEX(Empresas!$C:$C,MATCH(A985,Empresas!$A:$A,0))="","",INDEX(Empresas!$C:$C,MATCH(A985,Empresas!$A:$A,0))),""))</f>
        <v/>
      </c>
      <c r="H985" s="18"/>
      <c r="I985" s="19" t="str">
        <f aca="false">IF(OR(F985="",G985=""),"",IF(F985-G985&lt;0,"CONTRATO ANTERIOR À ABERTURA — conferir datas",IF(F985-G985&lt;180,"ABERTA MENOS DE 6 MESES ANTES","")))</f>
        <v/>
      </c>
      <c r="J985" s="19" t="str">
        <f aca="false">IF(A985="","",IFERROR(INDEX(Sancoes!$B:$B,MATCH(A985,Sancoes!$A:$A,0))&amp;"","não consta"))</f>
        <v/>
      </c>
      <c r="K985" s="19" t="str">
        <f aca="false">IF(OR(A985="",F985=""),"",IF(SUMPRODUCT((Sancoes!$A$2:$A$301=A985)*(Sancoes!$B$2:$B$301&lt;&gt;"Não consta")*(Sancoes!$D$2:$D$301&lt;&gt;"")*(Sancoes!$D$2:$D$301&lt;=F985)*(((Sancoes!$E$2:$E$301="")+(Sancoes!$E$2:$E$301&gt;=F985))&gt;0))&gt;0,"SANÇÃO VIGENTE NA DATA — leia o tipo e a abrangência",""))</f>
        <v/>
      </c>
      <c r="L985" s="19" t="str">
        <f aca="false">IF(A985="","",IFERROR(INDEX(Empresas!$B:$B,MATCH(A985,Empresas!$A:$A,0))&amp;"","cadastre o CNPJ em Empresas"))</f>
        <v/>
      </c>
      <c r="M985" s="27"/>
      <c r="N985" s="35"/>
      <c r="O985" s="37" t="str">
        <f aca="false">IF(OR(D985="",D985=0,N985=""),"",N985/D985)</f>
        <v/>
      </c>
      <c r="P985" s="19" t="str">
        <f aca="false">IF(O985="","",IF(O985&gt;0.25,"ACRÉSCIMO ACIMA DE 25% — conferir",""))</f>
        <v/>
      </c>
      <c r="Q985" s="27"/>
      <c r="R985" s="5"/>
    </row>
    <row r="986" customFormat="false" ht="15" hidden="false" customHeight="false" outlineLevel="0" collapsed="false">
      <c r="A986" s="27"/>
      <c r="B986" s="5"/>
      <c r="C986" s="5"/>
      <c r="D986" s="35"/>
      <c r="E986" s="14"/>
      <c r="F986" s="18"/>
      <c r="G986" s="31" t="str">
        <f aca="false">IF(A986="","",IFERROR(IF(INDEX(Empresas!$C:$C,MATCH(A986,Empresas!$A:$A,0))="","",INDEX(Empresas!$C:$C,MATCH(A986,Empresas!$A:$A,0))),""))</f>
        <v/>
      </c>
      <c r="H986" s="18"/>
      <c r="I986" s="19" t="str">
        <f aca="false">IF(OR(F986="",G986=""),"",IF(F986-G986&lt;0,"CONTRATO ANTERIOR À ABERTURA — conferir datas",IF(F986-G986&lt;180,"ABERTA MENOS DE 6 MESES ANTES","")))</f>
        <v/>
      </c>
      <c r="J986" s="19" t="str">
        <f aca="false">IF(A986="","",IFERROR(INDEX(Sancoes!$B:$B,MATCH(A986,Sancoes!$A:$A,0))&amp;"","não consta"))</f>
        <v/>
      </c>
      <c r="K986" s="19" t="str">
        <f aca="false">IF(OR(A986="",F986=""),"",IF(SUMPRODUCT((Sancoes!$A$2:$A$301=A986)*(Sancoes!$B$2:$B$301&lt;&gt;"Não consta")*(Sancoes!$D$2:$D$301&lt;&gt;"")*(Sancoes!$D$2:$D$301&lt;=F986)*(((Sancoes!$E$2:$E$301="")+(Sancoes!$E$2:$E$301&gt;=F986))&gt;0))&gt;0,"SANÇÃO VIGENTE NA DATA — leia o tipo e a abrangência",""))</f>
        <v/>
      </c>
      <c r="L986" s="19" t="str">
        <f aca="false">IF(A986="","",IFERROR(INDEX(Empresas!$B:$B,MATCH(A986,Empresas!$A:$A,0))&amp;"","cadastre o CNPJ em Empresas"))</f>
        <v/>
      </c>
      <c r="M986" s="27"/>
      <c r="N986" s="35"/>
      <c r="O986" s="37" t="str">
        <f aca="false">IF(OR(D986="",D986=0,N986=""),"",N986/D986)</f>
        <v/>
      </c>
      <c r="P986" s="19" t="str">
        <f aca="false">IF(O986="","",IF(O986&gt;0.25,"ACRÉSCIMO ACIMA DE 25% — conferir",""))</f>
        <v/>
      </c>
      <c r="Q986" s="27"/>
      <c r="R986" s="5"/>
    </row>
    <row r="987" customFormat="false" ht="15" hidden="false" customHeight="false" outlineLevel="0" collapsed="false">
      <c r="A987" s="27"/>
      <c r="B987" s="5"/>
      <c r="C987" s="5"/>
      <c r="D987" s="35"/>
      <c r="E987" s="14"/>
      <c r="F987" s="18"/>
      <c r="G987" s="31" t="str">
        <f aca="false">IF(A987="","",IFERROR(IF(INDEX(Empresas!$C:$C,MATCH(A987,Empresas!$A:$A,0))="","",INDEX(Empresas!$C:$C,MATCH(A987,Empresas!$A:$A,0))),""))</f>
        <v/>
      </c>
      <c r="H987" s="18"/>
      <c r="I987" s="19" t="str">
        <f aca="false">IF(OR(F987="",G987=""),"",IF(F987-G987&lt;0,"CONTRATO ANTERIOR À ABERTURA — conferir datas",IF(F987-G987&lt;180,"ABERTA MENOS DE 6 MESES ANTES","")))</f>
        <v/>
      </c>
      <c r="J987" s="19" t="str">
        <f aca="false">IF(A987="","",IFERROR(INDEX(Sancoes!$B:$B,MATCH(A987,Sancoes!$A:$A,0))&amp;"","não consta"))</f>
        <v/>
      </c>
      <c r="K987" s="19" t="str">
        <f aca="false">IF(OR(A987="",F987=""),"",IF(SUMPRODUCT((Sancoes!$A$2:$A$301=A987)*(Sancoes!$B$2:$B$301&lt;&gt;"Não consta")*(Sancoes!$D$2:$D$301&lt;&gt;"")*(Sancoes!$D$2:$D$301&lt;=F987)*(((Sancoes!$E$2:$E$301="")+(Sancoes!$E$2:$E$301&gt;=F987))&gt;0))&gt;0,"SANÇÃO VIGENTE NA DATA — leia o tipo e a abrangência",""))</f>
        <v/>
      </c>
      <c r="L987" s="19" t="str">
        <f aca="false">IF(A987="","",IFERROR(INDEX(Empresas!$B:$B,MATCH(A987,Empresas!$A:$A,0))&amp;"","cadastre o CNPJ em Empresas"))</f>
        <v/>
      </c>
      <c r="M987" s="27"/>
      <c r="N987" s="35"/>
      <c r="O987" s="37" t="str">
        <f aca="false">IF(OR(D987="",D987=0,N987=""),"",N987/D987)</f>
        <v/>
      </c>
      <c r="P987" s="19" t="str">
        <f aca="false">IF(O987="","",IF(O987&gt;0.25,"ACRÉSCIMO ACIMA DE 25% — conferir",""))</f>
        <v/>
      </c>
      <c r="Q987" s="27"/>
      <c r="R987" s="5"/>
    </row>
    <row r="988" customFormat="false" ht="15" hidden="false" customHeight="false" outlineLevel="0" collapsed="false">
      <c r="A988" s="27"/>
      <c r="B988" s="5"/>
      <c r="C988" s="5"/>
      <c r="D988" s="35"/>
      <c r="E988" s="14"/>
      <c r="F988" s="18"/>
      <c r="G988" s="31" t="str">
        <f aca="false">IF(A988="","",IFERROR(IF(INDEX(Empresas!$C:$C,MATCH(A988,Empresas!$A:$A,0))="","",INDEX(Empresas!$C:$C,MATCH(A988,Empresas!$A:$A,0))),""))</f>
        <v/>
      </c>
      <c r="H988" s="18"/>
      <c r="I988" s="19" t="str">
        <f aca="false">IF(OR(F988="",G988=""),"",IF(F988-G988&lt;0,"CONTRATO ANTERIOR À ABERTURA — conferir datas",IF(F988-G988&lt;180,"ABERTA MENOS DE 6 MESES ANTES","")))</f>
        <v/>
      </c>
      <c r="J988" s="19" t="str">
        <f aca="false">IF(A988="","",IFERROR(INDEX(Sancoes!$B:$B,MATCH(A988,Sancoes!$A:$A,0))&amp;"","não consta"))</f>
        <v/>
      </c>
      <c r="K988" s="19" t="str">
        <f aca="false">IF(OR(A988="",F988=""),"",IF(SUMPRODUCT((Sancoes!$A$2:$A$301=A988)*(Sancoes!$B$2:$B$301&lt;&gt;"Não consta")*(Sancoes!$D$2:$D$301&lt;&gt;"")*(Sancoes!$D$2:$D$301&lt;=F988)*(((Sancoes!$E$2:$E$301="")+(Sancoes!$E$2:$E$301&gt;=F988))&gt;0))&gt;0,"SANÇÃO VIGENTE NA DATA — leia o tipo e a abrangência",""))</f>
        <v/>
      </c>
      <c r="L988" s="19" t="str">
        <f aca="false">IF(A988="","",IFERROR(INDEX(Empresas!$B:$B,MATCH(A988,Empresas!$A:$A,0))&amp;"","cadastre o CNPJ em Empresas"))</f>
        <v/>
      </c>
      <c r="M988" s="27"/>
      <c r="N988" s="35"/>
      <c r="O988" s="37" t="str">
        <f aca="false">IF(OR(D988="",D988=0,N988=""),"",N988/D988)</f>
        <v/>
      </c>
      <c r="P988" s="19" t="str">
        <f aca="false">IF(O988="","",IF(O988&gt;0.25,"ACRÉSCIMO ACIMA DE 25% — conferir",""))</f>
        <v/>
      </c>
      <c r="Q988" s="27"/>
      <c r="R988" s="5"/>
    </row>
    <row r="989" customFormat="false" ht="15" hidden="false" customHeight="false" outlineLevel="0" collapsed="false">
      <c r="A989" s="27"/>
      <c r="B989" s="5"/>
      <c r="C989" s="5"/>
      <c r="D989" s="35"/>
      <c r="E989" s="14"/>
      <c r="F989" s="18"/>
      <c r="G989" s="31" t="str">
        <f aca="false">IF(A989="","",IFERROR(IF(INDEX(Empresas!$C:$C,MATCH(A989,Empresas!$A:$A,0))="","",INDEX(Empresas!$C:$C,MATCH(A989,Empresas!$A:$A,0))),""))</f>
        <v/>
      </c>
      <c r="H989" s="18"/>
      <c r="I989" s="19" t="str">
        <f aca="false">IF(OR(F989="",G989=""),"",IF(F989-G989&lt;0,"CONTRATO ANTERIOR À ABERTURA — conferir datas",IF(F989-G989&lt;180,"ABERTA MENOS DE 6 MESES ANTES","")))</f>
        <v/>
      </c>
      <c r="J989" s="19" t="str">
        <f aca="false">IF(A989="","",IFERROR(INDEX(Sancoes!$B:$B,MATCH(A989,Sancoes!$A:$A,0))&amp;"","não consta"))</f>
        <v/>
      </c>
      <c r="K989" s="19" t="str">
        <f aca="false">IF(OR(A989="",F989=""),"",IF(SUMPRODUCT((Sancoes!$A$2:$A$301=A989)*(Sancoes!$B$2:$B$301&lt;&gt;"Não consta")*(Sancoes!$D$2:$D$301&lt;&gt;"")*(Sancoes!$D$2:$D$301&lt;=F989)*(((Sancoes!$E$2:$E$301="")+(Sancoes!$E$2:$E$301&gt;=F989))&gt;0))&gt;0,"SANÇÃO VIGENTE NA DATA — leia o tipo e a abrangência",""))</f>
        <v/>
      </c>
      <c r="L989" s="19" t="str">
        <f aca="false">IF(A989="","",IFERROR(INDEX(Empresas!$B:$B,MATCH(A989,Empresas!$A:$A,0))&amp;"","cadastre o CNPJ em Empresas"))</f>
        <v/>
      </c>
      <c r="M989" s="27"/>
      <c r="N989" s="35"/>
      <c r="O989" s="37" t="str">
        <f aca="false">IF(OR(D989="",D989=0,N989=""),"",N989/D989)</f>
        <v/>
      </c>
      <c r="P989" s="19" t="str">
        <f aca="false">IF(O989="","",IF(O989&gt;0.25,"ACRÉSCIMO ACIMA DE 25% — conferir",""))</f>
        <v/>
      </c>
      <c r="Q989" s="27"/>
      <c r="R989" s="5"/>
    </row>
    <row r="990" customFormat="false" ht="15" hidden="false" customHeight="false" outlineLevel="0" collapsed="false">
      <c r="A990" s="27"/>
      <c r="B990" s="5"/>
      <c r="C990" s="5"/>
      <c r="D990" s="35"/>
      <c r="E990" s="14"/>
      <c r="F990" s="18"/>
      <c r="G990" s="31" t="str">
        <f aca="false">IF(A990="","",IFERROR(IF(INDEX(Empresas!$C:$C,MATCH(A990,Empresas!$A:$A,0))="","",INDEX(Empresas!$C:$C,MATCH(A990,Empresas!$A:$A,0))),""))</f>
        <v/>
      </c>
      <c r="H990" s="18"/>
      <c r="I990" s="19" t="str">
        <f aca="false">IF(OR(F990="",G990=""),"",IF(F990-G990&lt;0,"CONTRATO ANTERIOR À ABERTURA — conferir datas",IF(F990-G990&lt;180,"ABERTA MENOS DE 6 MESES ANTES","")))</f>
        <v/>
      </c>
      <c r="J990" s="19" t="str">
        <f aca="false">IF(A990="","",IFERROR(INDEX(Sancoes!$B:$B,MATCH(A990,Sancoes!$A:$A,0))&amp;"","não consta"))</f>
        <v/>
      </c>
      <c r="K990" s="19" t="str">
        <f aca="false">IF(OR(A990="",F990=""),"",IF(SUMPRODUCT((Sancoes!$A$2:$A$301=A990)*(Sancoes!$B$2:$B$301&lt;&gt;"Não consta")*(Sancoes!$D$2:$D$301&lt;&gt;"")*(Sancoes!$D$2:$D$301&lt;=F990)*(((Sancoes!$E$2:$E$301="")+(Sancoes!$E$2:$E$301&gt;=F990))&gt;0))&gt;0,"SANÇÃO VIGENTE NA DATA — leia o tipo e a abrangência",""))</f>
        <v/>
      </c>
      <c r="L990" s="19" t="str">
        <f aca="false">IF(A990="","",IFERROR(INDEX(Empresas!$B:$B,MATCH(A990,Empresas!$A:$A,0))&amp;"","cadastre o CNPJ em Empresas"))</f>
        <v/>
      </c>
      <c r="M990" s="27"/>
      <c r="N990" s="35"/>
      <c r="O990" s="37" t="str">
        <f aca="false">IF(OR(D990="",D990=0,N990=""),"",N990/D990)</f>
        <v/>
      </c>
      <c r="P990" s="19" t="str">
        <f aca="false">IF(O990="","",IF(O990&gt;0.25,"ACRÉSCIMO ACIMA DE 25% — conferir",""))</f>
        <v/>
      </c>
      <c r="Q990" s="27"/>
      <c r="R990" s="5"/>
    </row>
    <row r="991" customFormat="false" ht="15" hidden="false" customHeight="false" outlineLevel="0" collapsed="false">
      <c r="A991" s="27"/>
      <c r="B991" s="5"/>
      <c r="C991" s="5"/>
      <c r="D991" s="35"/>
      <c r="E991" s="14"/>
      <c r="F991" s="18"/>
      <c r="G991" s="31" t="str">
        <f aca="false">IF(A991="","",IFERROR(IF(INDEX(Empresas!$C:$C,MATCH(A991,Empresas!$A:$A,0))="","",INDEX(Empresas!$C:$C,MATCH(A991,Empresas!$A:$A,0))),""))</f>
        <v/>
      </c>
      <c r="H991" s="18"/>
      <c r="I991" s="19" t="str">
        <f aca="false">IF(OR(F991="",G991=""),"",IF(F991-G991&lt;0,"CONTRATO ANTERIOR À ABERTURA — conferir datas",IF(F991-G991&lt;180,"ABERTA MENOS DE 6 MESES ANTES","")))</f>
        <v/>
      </c>
      <c r="J991" s="19" t="str">
        <f aca="false">IF(A991="","",IFERROR(INDEX(Sancoes!$B:$B,MATCH(A991,Sancoes!$A:$A,0))&amp;"","não consta"))</f>
        <v/>
      </c>
      <c r="K991" s="19" t="str">
        <f aca="false">IF(OR(A991="",F991=""),"",IF(SUMPRODUCT((Sancoes!$A$2:$A$301=A991)*(Sancoes!$B$2:$B$301&lt;&gt;"Não consta")*(Sancoes!$D$2:$D$301&lt;&gt;"")*(Sancoes!$D$2:$D$301&lt;=F991)*(((Sancoes!$E$2:$E$301="")+(Sancoes!$E$2:$E$301&gt;=F991))&gt;0))&gt;0,"SANÇÃO VIGENTE NA DATA — leia o tipo e a abrangência",""))</f>
        <v/>
      </c>
      <c r="L991" s="19" t="str">
        <f aca="false">IF(A991="","",IFERROR(INDEX(Empresas!$B:$B,MATCH(A991,Empresas!$A:$A,0))&amp;"","cadastre o CNPJ em Empresas"))</f>
        <v/>
      </c>
      <c r="M991" s="27"/>
      <c r="N991" s="35"/>
      <c r="O991" s="37" t="str">
        <f aca="false">IF(OR(D991="",D991=0,N991=""),"",N991/D991)</f>
        <v/>
      </c>
      <c r="P991" s="19" t="str">
        <f aca="false">IF(O991="","",IF(O991&gt;0.25,"ACRÉSCIMO ACIMA DE 25% — conferir",""))</f>
        <v/>
      </c>
      <c r="Q991" s="27"/>
      <c r="R991" s="5"/>
    </row>
    <row r="992" customFormat="false" ht="15" hidden="false" customHeight="false" outlineLevel="0" collapsed="false">
      <c r="A992" s="27"/>
      <c r="B992" s="5"/>
      <c r="C992" s="5"/>
      <c r="D992" s="35"/>
      <c r="E992" s="14"/>
      <c r="F992" s="18"/>
      <c r="G992" s="31" t="str">
        <f aca="false">IF(A992="","",IFERROR(IF(INDEX(Empresas!$C:$C,MATCH(A992,Empresas!$A:$A,0))="","",INDEX(Empresas!$C:$C,MATCH(A992,Empresas!$A:$A,0))),""))</f>
        <v/>
      </c>
      <c r="H992" s="18"/>
      <c r="I992" s="19" t="str">
        <f aca="false">IF(OR(F992="",G992=""),"",IF(F992-G992&lt;0,"CONTRATO ANTERIOR À ABERTURA — conferir datas",IF(F992-G992&lt;180,"ABERTA MENOS DE 6 MESES ANTES","")))</f>
        <v/>
      </c>
      <c r="J992" s="19" t="str">
        <f aca="false">IF(A992="","",IFERROR(INDEX(Sancoes!$B:$B,MATCH(A992,Sancoes!$A:$A,0))&amp;"","não consta"))</f>
        <v/>
      </c>
      <c r="K992" s="19" t="str">
        <f aca="false">IF(OR(A992="",F992=""),"",IF(SUMPRODUCT((Sancoes!$A$2:$A$301=A992)*(Sancoes!$B$2:$B$301&lt;&gt;"Não consta")*(Sancoes!$D$2:$D$301&lt;&gt;"")*(Sancoes!$D$2:$D$301&lt;=F992)*(((Sancoes!$E$2:$E$301="")+(Sancoes!$E$2:$E$301&gt;=F992))&gt;0))&gt;0,"SANÇÃO VIGENTE NA DATA — leia o tipo e a abrangência",""))</f>
        <v/>
      </c>
      <c r="L992" s="19" t="str">
        <f aca="false">IF(A992="","",IFERROR(INDEX(Empresas!$B:$B,MATCH(A992,Empresas!$A:$A,0))&amp;"","cadastre o CNPJ em Empresas"))</f>
        <v/>
      </c>
      <c r="M992" s="27"/>
      <c r="N992" s="35"/>
      <c r="O992" s="37" t="str">
        <f aca="false">IF(OR(D992="",D992=0,N992=""),"",N992/D992)</f>
        <v/>
      </c>
      <c r="P992" s="19" t="str">
        <f aca="false">IF(O992="","",IF(O992&gt;0.25,"ACRÉSCIMO ACIMA DE 25% — conferir",""))</f>
        <v/>
      </c>
      <c r="Q992" s="27"/>
      <c r="R992" s="5"/>
    </row>
    <row r="993" customFormat="false" ht="15" hidden="false" customHeight="false" outlineLevel="0" collapsed="false">
      <c r="A993" s="27"/>
      <c r="B993" s="5"/>
      <c r="C993" s="5"/>
      <c r="D993" s="35"/>
      <c r="E993" s="14"/>
      <c r="F993" s="18"/>
      <c r="G993" s="31" t="str">
        <f aca="false">IF(A993="","",IFERROR(IF(INDEX(Empresas!$C:$C,MATCH(A993,Empresas!$A:$A,0))="","",INDEX(Empresas!$C:$C,MATCH(A993,Empresas!$A:$A,0))),""))</f>
        <v/>
      </c>
      <c r="H993" s="18"/>
      <c r="I993" s="19" t="str">
        <f aca="false">IF(OR(F993="",G993=""),"",IF(F993-G993&lt;0,"CONTRATO ANTERIOR À ABERTURA — conferir datas",IF(F993-G993&lt;180,"ABERTA MENOS DE 6 MESES ANTES","")))</f>
        <v/>
      </c>
      <c r="J993" s="19" t="str">
        <f aca="false">IF(A993="","",IFERROR(INDEX(Sancoes!$B:$B,MATCH(A993,Sancoes!$A:$A,0))&amp;"","não consta"))</f>
        <v/>
      </c>
      <c r="K993" s="19" t="str">
        <f aca="false">IF(OR(A993="",F993=""),"",IF(SUMPRODUCT((Sancoes!$A$2:$A$301=A993)*(Sancoes!$B$2:$B$301&lt;&gt;"Não consta")*(Sancoes!$D$2:$D$301&lt;&gt;"")*(Sancoes!$D$2:$D$301&lt;=F993)*(((Sancoes!$E$2:$E$301="")+(Sancoes!$E$2:$E$301&gt;=F993))&gt;0))&gt;0,"SANÇÃO VIGENTE NA DATA — leia o tipo e a abrangência",""))</f>
        <v/>
      </c>
      <c r="L993" s="19" t="str">
        <f aca="false">IF(A993="","",IFERROR(INDEX(Empresas!$B:$B,MATCH(A993,Empresas!$A:$A,0))&amp;"","cadastre o CNPJ em Empresas"))</f>
        <v/>
      </c>
      <c r="M993" s="27"/>
      <c r="N993" s="35"/>
      <c r="O993" s="37" t="str">
        <f aca="false">IF(OR(D993="",D993=0,N993=""),"",N993/D993)</f>
        <v/>
      </c>
      <c r="P993" s="19" t="str">
        <f aca="false">IF(O993="","",IF(O993&gt;0.25,"ACRÉSCIMO ACIMA DE 25% — conferir",""))</f>
        <v/>
      </c>
      <c r="Q993" s="27"/>
      <c r="R993" s="5"/>
    </row>
    <row r="994" customFormat="false" ht="15" hidden="false" customHeight="false" outlineLevel="0" collapsed="false">
      <c r="A994" s="27"/>
      <c r="B994" s="5"/>
      <c r="C994" s="5"/>
      <c r="D994" s="35"/>
      <c r="E994" s="14"/>
      <c r="F994" s="18"/>
      <c r="G994" s="31" t="str">
        <f aca="false">IF(A994="","",IFERROR(IF(INDEX(Empresas!$C:$C,MATCH(A994,Empresas!$A:$A,0))="","",INDEX(Empresas!$C:$C,MATCH(A994,Empresas!$A:$A,0))),""))</f>
        <v/>
      </c>
      <c r="H994" s="18"/>
      <c r="I994" s="19" t="str">
        <f aca="false">IF(OR(F994="",G994=""),"",IF(F994-G994&lt;0,"CONTRATO ANTERIOR À ABERTURA — conferir datas",IF(F994-G994&lt;180,"ABERTA MENOS DE 6 MESES ANTES","")))</f>
        <v/>
      </c>
      <c r="J994" s="19" t="str">
        <f aca="false">IF(A994="","",IFERROR(INDEX(Sancoes!$B:$B,MATCH(A994,Sancoes!$A:$A,0))&amp;"","não consta"))</f>
        <v/>
      </c>
      <c r="K994" s="19" t="str">
        <f aca="false">IF(OR(A994="",F994=""),"",IF(SUMPRODUCT((Sancoes!$A$2:$A$301=A994)*(Sancoes!$B$2:$B$301&lt;&gt;"Não consta")*(Sancoes!$D$2:$D$301&lt;&gt;"")*(Sancoes!$D$2:$D$301&lt;=F994)*(((Sancoes!$E$2:$E$301="")+(Sancoes!$E$2:$E$301&gt;=F994))&gt;0))&gt;0,"SANÇÃO VIGENTE NA DATA — leia o tipo e a abrangência",""))</f>
        <v/>
      </c>
      <c r="L994" s="19" t="str">
        <f aca="false">IF(A994="","",IFERROR(INDEX(Empresas!$B:$B,MATCH(A994,Empresas!$A:$A,0))&amp;"","cadastre o CNPJ em Empresas"))</f>
        <v/>
      </c>
      <c r="M994" s="27"/>
      <c r="N994" s="35"/>
      <c r="O994" s="37" t="str">
        <f aca="false">IF(OR(D994="",D994=0,N994=""),"",N994/D994)</f>
        <v/>
      </c>
      <c r="P994" s="19" t="str">
        <f aca="false">IF(O994="","",IF(O994&gt;0.25,"ACRÉSCIMO ACIMA DE 25% — conferir",""))</f>
        <v/>
      </c>
      <c r="Q994" s="27"/>
      <c r="R994" s="5"/>
    </row>
    <row r="995" customFormat="false" ht="15" hidden="false" customHeight="false" outlineLevel="0" collapsed="false">
      <c r="A995" s="27"/>
      <c r="B995" s="5"/>
      <c r="C995" s="5"/>
      <c r="D995" s="35"/>
      <c r="E995" s="14"/>
      <c r="F995" s="18"/>
      <c r="G995" s="31" t="str">
        <f aca="false">IF(A995="","",IFERROR(IF(INDEX(Empresas!$C:$C,MATCH(A995,Empresas!$A:$A,0))="","",INDEX(Empresas!$C:$C,MATCH(A995,Empresas!$A:$A,0))),""))</f>
        <v/>
      </c>
      <c r="H995" s="18"/>
      <c r="I995" s="19" t="str">
        <f aca="false">IF(OR(F995="",G995=""),"",IF(F995-G995&lt;0,"CONTRATO ANTERIOR À ABERTURA — conferir datas",IF(F995-G995&lt;180,"ABERTA MENOS DE 6 MESES ANTES","")))</f>
        <v/>
      </c>
      <c r="J995" s="19" t="str">
        <f aca="false">IF(A995="","",IFERROR(INDEX(Sancoes!$B:$B,MATCH(A995,Sancoes!$A:$A,0))&amp;"","não consta"))</f>
        <v/>
      </c>
      <c r="K995" s="19" t="str">
        <f aca="false">IF(OR(A995="",F995=""),"",IF(SUMPRODUCT((Sancoes!$A$2:$A$301=A995)*(Sancoes!$B$2:$B$301&lt;&gt;"Não consta")*(Sancoes!$D$2:$D$301&lt;&gt;"")*(Sancoes!$D$2:$D$301&lt;=F995)*(((Sancoes!$E$2:$E$301="")+(Sancoes!$E$2:$E$301&gt;=F995))&gt;0))&gt;0,"SANÇÃO VIGENTE NA DATA — leia o tipo e a abrangência",""))</f>
        <v/>
      </c>
      <c r="L995" s="19" t="str">
        <f aca="false">IF(A995="","",IFERROR(INDEX(Empresas!$B:$B,MATCH(A995,Empresas!$A:$A,0))&amp;"","cadastre o CNPJ em Empresas"))</f>
        <v/>
      </c>
      <c r="M995" s="27"/>
      <c r="N995" s="35"/>
      <c r="O995" s="37" t="str">
        <f aca="false">IF(OR(D995="",D995=0,N995=""),"",N995/D995)</f>
        <v/>
      </c>
      <c r="P995" s="19" t="str">
        <f aca="false">IF(O995="","",IF(O995&gt;0.25,"ACRÉSCIMO ACIMA DE 25% — conferir",""))</f>
        <v/>
      </c>
      <c r="Q995" s="27"/>
      <c r="R995" s="5"/>
    </row>
    <row r="996" customFormat="false" ht="15" hidden="false" customHeight="false" outlineLevel="0" collapsed="false">
      <c r="A996" s="27"/>
      <c r="B996" s="5"/>
      <c r="C996" s="5"/>
      <c r="D996" s="35"/>
      <c r="E996" s="14"/>
      <c r="F996" s="18"/>
      <c r="G996" s="31" t="str">
        <f aca="false">IF(A996="","",IFERROR(IF(INDEX(Empresas!$C:$C,MATCH(A996,Empresas!$A:$A,0))="","",INDEX(Empresas!$C:$C,MATCH(A996,Empresas!$A:$A,0))),""))</f>
        <v/>
      </c>
      <c r="H996" s="18"/>
      <c r="I996" s="19" t="str">
        <f aca="false">IF(OR(F996="",G996=""),"",IF(F996-G996&lt;0,"CONTRATO ANTERIOR À ABERTURA — conferir datas",IF(F996-G996&lt;180,"ABERTA MENOS DE 6 MESES ANTES","")))</f>
        <v/>
      </c>
      <c r="J996" s="19" t="str">
        <f aca="false">IF(A996="","",IFERROR(INDEX(Sancoes!$B:$B,MATCH(A996,Sancoes!$A:$A,0))&amp;"","não consta"))</f>
        <v/>
      </c>
      <c r="K996" s="19" t="str">
        <f aca="false">IF(OR(A996="",F996=""),"",IF(SUMPRODUCT((Sancoes!$A$2:$A$301=A996)*(Sancoes!$B$2:$B$301&lt;&gt;"Não consta")*(Sancoes!$D$2:$D$301&lt;&gt;"")*(Sancoes!$D$2:$D$301&lt;=F996)*(((Sancoes!$E$2:$E$301="")+(Sancoes!$E$2:$E$301&gt;=F996))&gt;0))&gt;0,"SANÇÃO VIGENTE NA DATA — leia o tipo e a abrangência",""))</f>
        <v/>
      </c>
      <c r="L996" s="19" t="str">
        <f aca="false">IF(A996="","",IFERROR(INDEX(Empresas!$B:$B,MATCH(A996,Empresas!$A:$A,0))&amp;"","cadastre o CNPJ em Empresas"))</f>
        <v/>
      </c>
      <c r="M996" s="27"/>
      <c r="N996" s="35"/>
      <c r="O996" s="37" t="str">
        <f aca="false">IF(OR(D996="",D996=0,N996=""),"",N996/D996)</f>
        <v/>
      </c>
      <c r="P996" s="19" t="str">
        <f aca="false">IF(O996="","",IF(O996&gt;0.25,"ACRÉSCIMO ACIMA DE 25% — conferir",""))</f>
        <v/>
      </c>
      <c r="Q996" s="27"/>
      <c r="R996" s="5"/>
    </row>
    <row r="997" customFormat="false" ht="15" hidden="false" customHeight="false" outlineLevel="0" collapsed="false">
      <c r="A997" s="27"/>
      <c r="B997" s="5"/>
      <c r="C997" s="5"/>
      <c r="D997" s="35"/>
      <c r="E997" s="14"/>
      <c r="F997" s="18"/>
      <c r="G997" s="31" t="str">
        <f aca="false">IF(A997="","",IFERROR(IF(INDEX(Empresas!$C:$C,MATCH(A997,Empresas!$A:$A,0))="","",INDEX(Empresas!$C:$C,MATCH(A997,Empresas!$A:$A,0))),""))</f>
        <v/>
      </c>
      <c r="H997" s="18"/>
      <c r="I997" s="19" t="str">
        <f aca="false">IF(OR(F997="",G997=""),"",IF(F997-G997&lt;0,"CONTRATO ANTERIOR À ABERTURA — conferir datas",IF(F997-G997&lt;180,"ABERTA MENOS DE 6 MESES ANTES","")))</f>
        <v/>
      </c>
      <c r="J997" s="19" t="str">
        <f aca="false">IF(A997="","",IFERROR(INDEX(Sancoes!$B:$B,MATCH(A997,Sancoes!$A:$A,0))&amp;"","não consta"))</f>
        <v/>
      </c>
      <c r="K997" s="19" t="str">
        <f aca="false">IF(OR(A997="",F997=""),"",IF(SUMPRODUCT((Sancoes!$A$2:$A$301=A997)*(Sancoes!$B$2:$B$301&lt;&gt;"Não consta")*(Sancoes!$D$2:$D$301&lt;&gt;"")*(Sancoes!$D$2:$D$301&lt;=F997)*(((Sancoes!$E$2:$E$301="")+(Sancoes!$E$2:$E$301&gt;=F997))&gt;0))&gt;0,"SANÇÃO VIGENTE NA DATA — leia o tipo e a abrangência",""))</f>
        <v/>
      </c>
      <c r="L997" s="19" t="str">
        <f aca="false">IF(A997="","",IFERROR(INDEX(Empresas!$B:$B,MATCH(A997,Empresas!$A:$A,0))&amp;"","cadastre o CNPJ em Empresas"))</f>
        <v/>
      </c>
      <c r="M997" s="27"/>
      <c r="N997" s="35"/>
      <c r="O997" s="37" t="str">
        <f aca="false">IF(OR(D997="",D997=0,N997=""),"",N997/D997)</f>
        <v/>
      </c>
      <c r="P997" s="19" t="str">
        <f aca="false">IF(O997="","",IF(O997&gt;0.25,"ACRÉSCIMO ACIMA DE 25% — conferir",""))</f>
        <v/>
      </c>
      <c r="Q997" s="27"/>
      <c r="R997" s="5"/>
    </row>
    <row r="998" customFormat="false" ht="15" hidden="false" customHeight="false" outlineLevel="0" collapsed="false">
      <c r="A998" s="27"/>
      <c r="B998" s="5"/>
      <c r="C998" s="5"/>
      <c r="D998" s="35"/>
      <c r="E998" s="14"/>
      <c r="F998" s="18"/>
      <c r="G998" s="31" t="str">
        <f aca="false">IF(A998="","",IFERROR(IF(INDEX(Empresas!$C:$C,MATCH(A998,Empresas!$A:$A,0))="","",INDEX(Empresas!$C:$C,MATCH(A998,Empresas!$A:$A,0))),""))</f>
        <v/>
      </c>
      <c r="H998" s="18"/>
      <c r="I998" s="19" t="str">
        <f aca="false">IF(OR(F998="",G998=""),"",IF(F998-G998&lt;0,"CONTRATO ANTERIOR À ABERTURA — conferir datas",IF(F998-G998&lt;180,"ABERTA MENOS DE 6 MESES ANTES","")))</f>
        <v/>
      </c>
      <c r="J998" s="19" t="str">
        <f aca="false">IF(A998="","",IFERROR(INDEX(Sancoes!$B:$B,MATCH(A998,Sancoes!$A:$A,0))&amp;"","não consta"))</f>
        <v/>
      </c>
      <c r="K998" s="19" t="str">
        <f aca="false">IF(OR(A998="",F998=""),"",IF(SUMPRODUCT((Sancoes!$A$2:$A$301=A998)*(Sancoes!$B$2:$B$301&lt;&gt;"Não consta")*(Sancoes!$D$2:$D$301&lt;&gt;"")*(Sancoes!$D$2:$D$301&lt;=F998)*(((Sancoes!$E$2:$E$301="")+(Sancoes!$E$2:$E$301&gt;=F998))&gt;0))&gt;0,"SANÇÃO VIGENTE NA DATA — leia o tipo e a abrangência",""))</f>
        <v/>
      </c>
      <c r="L998" s="19" t="str">
        <f aca="false">IF(A998="","",IFERROR(INDEX(Empresas!$B:$B,MATCH(A998,Empresas!$A:$A,0))&amp;"","cadastre o CNPJ em Empresas"))</f>
        <v/>
      </c>
      <c r="M998" s="27"/>
      <c r="N998" s="35"/>
      <c r="O998" s="37" t="str">
        <f aca="false">IF(OR(D998="",D998=0,N998=""),"",N998/D998)</f>
        <v/>
      </c>
      <c r="P998" s="19" t="str">
        <f aca="false">IF(O998="","",IF(O998&gt;0.25,"ACRÉSCIMO ACIMA DE 25% — conferir",""))</f>
        <v/>
      </c>
      <c r="Q998" s="27"/>
      <c r="R998" s="5"/>
    </row>
    <row r="999" customFormat="false" ht="15" hidden="false" customHeight="false" outlineLevel="0" collapsed="false">
      <c r="A999" s="27"/>
      <c r="B999" s="5"/>
      <c r="C999" s="5"/>
      <c r="D999" s="35"/>
      <c r="E999" s="14"/>
      <c r="F999" s="18"/>
      <c r="G999" s="31" t="str">
        <f aca="false">IF(A999="","",IFERROR(IF(INDEX(Empresas!$C:$C,MATCH(A999,Empresas!$A:$A,0))="","",INDEX(Empresas!$C:$C,MATCH(A999,Empresas!$A:$A,0))),""))</f>
        <v/>
      </c>
      <c r="H999" s="18"/>
      <c r="I999" s="19" t="str">
        <f aca="false">IF(OR(F999="",G999=""),"",IF(F999-G999&lt;0,"CONTRATO ANTERIOR À ABERTURA — conferir datas",IF(F999-G999&lt;180,"ABERTA MENOS DE 6 MESES ANTES","")))</f>
        <v/>
      </c>
      <c r="J999" s="19" t="str">
        <f aca="false">IF(A999="","",IFERROR(INDEX(Sancoes!$B:$B,MATCH(A999,Sancoes!$A:$A,0))&amp;"","não consta"))</f>
        <v/>
      </c>
      <c r="K999" s="19" t="str">
        <f aca="false">IF(OR(A999="",F999=""),"",IF(SUMPRODUCT((Sancoes!$A$2:$A$301=A999)*(Sancoes!$B$2:$B$301&lt;&gt;"Não consta")*(Sancoes!$D$2:$D$301&lt;&gt;"")*(Sancoes!$D$2:$D$301&lt;=F999)*(((Sancoes!$E$2:$E$301="")+(Sancoes!$E$2:$E$301&gt;=F999))&gt;0))&gt;0,"SANÇÃO VIGENTE NA DATA — leia o tipo e a abrangência",""))</f>
        <v/>
      </c>
      <c r="L999" s="19" t="str">
        <f aca="false">IF(A999="","",IFERROR(INDEX(Empresas!$B:$B,MATCH(A999,Empresas!$A:$A,0))&amp;"","cadastre o CNPJ em Empresas"))</f>
        <v/>
      </c>
      <c r="M999" s="27"/>
      <c r="N999" s="35"/>
      <c r="O999" s="37" t="str">
        <f aca="false">IF(OR(D999="",D999=0,N999=""),"",N999/D999)</f>
        <v/>
      </c>
      <c r="P999" s="19" t="str">
        <f aca="false">IF(O999="","",IF(O999&gt;0.25,"ACRÉSCIMO ACIMA DE 25% — conferir",""))</f>
        <v/>
      </c>
      <c r="Q999" s="27"/>
      <c r="R999" s="5"/>
    </row>
    <row r="1000" customFormat="false" ht="15" hidden="false" customHeight="false" outlineLevel="0" collapsed="false">
      <c r="A1000" s="27"/>
      <c r="B1000" s="5"/>
      <c r="C1000" s="5"/>
      <c r="D1000" s="35"/>
      <c r="E1000" s="14"/>
      <c r="F1000" s="18"/>
      <c r="G1000" s="31" t="str">
        <f aca="false">IF(A1000="","",IFERROR(IF(INDEX(Empresas!$C:$C,MATCH(A1000,Empresas!$A:$A,0))="","",INDEX(Empresas!$C:$C,MATCH(A1000,Empresas!$A:$A,0))),""))</f>
        <v/>
      </c>
      <c r="H1000" s="18"/>
      <c r="I1000" s="19" t="str">
        <f aca="false">IF(OR(F1000="",G1000=""),"",IF(F1000-G1000&lt;0,"CONTRATO ANTERIOR À ABERTURA — conferir datas",IF(F1000-G1000&lt;180,"ABERTA MENOS DE 6 MESES ANTES","")))</f>
        <v/>
      </c>
      <c r="J1000" s="19" t="str">
        <f aca="false">IF(A1000="","",IFERROR(INDEX(Sancoes!$B:$B,MATCH(A1000,Sancoes!$A:$A,0))&amp;"","não consta"))</f>
        <v/>
      </c>
      <c r="K1000" s="19" t="str">
        <f aca="false">IF(OR(A1000="",F1000=""),"",IF(SUMPRODUCT((Sancoes!$A$2:$A$301=A1000)*(Sancoes!$B$2:$B$301&lt;&gt;"Não consta")*(Sancoes!$D$2:$D$301&lt;&gt;"")*(Sancoes!$D$2:$D$301&lt;=F1000)*(((Sancoes!$E$2:$E$301="")+(Sancoes!$E$2:$E$301&gt;=F1000))&gt;0))&gt;0,"SANÇÃO VIGENTE NA DATA — leia o tipo e a abrangência",""))</f>
        <v/>
      </c>
      <c r="L1000" s="19" t="str">
        <f aca="false">IF(A1000="","",IFERROR(INDEX(Empresas!$B:$B,MATCH(A1000,Empresas!$A:$A,0))&amp;"","cadastre o CNPJ em Empresas"))</f>
        <v/>
      </c>
      <c r="M1000" s="27"/>
      <c r="N1000" s="35"/>
      <c r="O1000" s="37" t="str">
        <f aca="false">IF(OR(D1000="",D1000=0,N1000=""),"",N1000/D1000)</f>
        <v/>
      </c>
      <c r="P1000" s="19" t="str">
        <f aca="false">IF(O1000="","",IF(O1000&gt;0.25,"ACRÉSCIMO ACIMA DE 25% — conferir",""))</f>
        <v/>
      </c>
      <c r="Q1000" s="27"/>
      <c r="R1000" s="5"/>
    </row>
    <row r="1001" customFormat="false" ht="15" hidden="false" customHeight="false" outlineLevel="0" collapsed="false">
      <c r="A1001" s="27"/>
      <c r="B1001" s="5"/>
      <c r="C1001" s="5"/>
      <c r="D1001" s="35"/>
      <c r="E1001" s="14"/>
      <c r="F1001" s="18"/>
      <c r="G1001" s="31" t="str">
        <f aca="false">IF(A1001="","",IFERROR(IF(INDEX(Empresas!$C:$C,MATCH(A1001,Empresas!$A:$A,0))="","",INDEX(Empresas!$C:$C,MATCH(A1001,Empresas!$A:$A,0))),""))</f>
        <v/>
      </c>
      <c r="H1001" s="18"/>
      <c r="I1001" s="19" t="str">
        <f aca="false">IF(OR(F1001="",G1001=""),"",IF(F1001-G1001&lt;0,"CONTRATO ANTERIOR À ABERTURA — conferir datas",IF(F1001-G1001&lt;180,"ABERTA MENOS DE 6 MESES ANTES","")))</f>
        <v/>
      </c>
      <c r="J1001" s="19" t="str">
        <f aca="false">IF(A1001="","",IFERROR(INDEX(Sancoes!$B:$B,MATCH(A1001,Sancoes!$A:$A,0))&amp;"","não consta"))</f>
        <v/>
      </c>
      <c r="K1001" s="19" t="str">
        <f aca="false">IF(OR(A1001="",F1001=""),"",IF(SUMPRODUCT((Sancoes!$A$2:$A$301=A1001)*(Sancoes!$B$2:$B$301&lt;&gt;"Não consta")*(Sancoes!$D$2:$D$301&lt;&gt;"")*(Sancoes!$D$2:$D$301&lt;=F1001)*(((Sancoes!$E$2:$E$301="")+(Sancoes!$E$2:$E$301&gt;=F1001))&gt;0))&gt;0,"SANÇÃO VIGENTE NA DATA — leia o tipo e a abrangência",""))</f>
        <v/>
      </c>
      <c r="L1001" s="19" t="str">
        <f aca="false">IF(A1001="","",IFERROR(INDEX(Empresas!$B:$B,MATCH(A1001,Empresas!$A:$A,0))&amp;"","cadastre o CNPJ em Empresas"))</f>
        <v/>
      </c>
      <c r="M1001" s="27"/>
      <c r="N1001" s="35"/>
      <c r="O1001" s="37" t="str">
        <f aca="false">IF(OR(D1001="",D1001=0,N1001=""),"",N1001/D1001)</f>
        <v/>
      </c>
      <c r="P1001" s="19" t="str">
        <f aca="false">IF(O1001="","",IF(O1001&gt;0.25,"ACRÉSCIMO ACIMA DE 25% — conferir",""))</f>
        <v/>
      </c>
      <c r="Q1001" s="27"/>
      <c r="R1001" s="5"/>
    </row>
  </sheetData>
  <autoFilter ref="A1:R1001"/>
  <conditionalFormatting sqref="A2:A1001">
    <cfRule type="expression" priority="2" aboveAverage="0" equalAverage="0" bottom="0" percent="0" rank="0" text="" dxfId="17">
      <formula>AND(A2&lt;&gt;"",LEN(A2)&lt;&gt;14)</formula>
    </cfRule>
  </conditionalFormatting>
  <conditionalFormatting sqref="I2:I1001">
    <cfRule type="expression" priority="3" aboveAverage="0" equalAverage="0" bottom="0" percent="0" rank="0" text="" dxfId="8">
      <formula>LEN(I2)&gt;0</formula>
    </cfRule>
  </conditionalFormatting>
  <conditionalFormatting sqref="K2:K1001">
    <cfRule type="expression" priority="4" aboveAverage="0" equalAverage="0" bottom="0" percent="0" rank="0" text="" dxfId="8">
      <formula>LEN(K2)&gt;0</formula>
    </cfRule>
  </conditionalFormatting>
  <conditionalFormatting sqref="P2:P1001">
    <cfRule type="expression" priority="5" aboveAverage="0" equalAverage="0" bottom="0" percent="0" rank="0" text="" dxfId="8">
      <formula>LEN(P2)&gt;0</formula>
    </cfRule>
  </conditionalFormatting>
  <conditionalFormatting sqref="J2:J1001">
    <cfRule type="expression" priority="6" aboveAverage="0" equalAverage="0" bottom="0" percent="0" rank="0" text="" dxfId="8">
      <formula>AND(J2&lt;&gt;"",LOWER(J2)&lt;&gt;"não consta")</formula>
    </cfRule>
  </conditionalFormatting>
  <dataValidations count="2">
    <dataValidation allowBlank="true" error="Digite o CNPJ como texto, com 14 caracteres, sem pontos, barra ou traço. É a chave de todos os cruzamentos." errorStyle="warning" errorTitle="CNPJ com 14 caracteres" operator="equal" showDropDown="false" showErrorMessage="true" showInputMessage="false" sqref="A2:A1001" type="textLength">
      <formula1>14</formula1>
      <formula2>0</formula2>
    </dataValidation>
    <dataValidation allowBlank="true" error="Escolha uma opção da lista (as opções estão na aba Listas)." errorStyle="stop" operator="between" showDropDown="false" showErrorMessage="false" showInputMessage="false" sqref="E2:E1001" type="list">
      <formula1>Listas!$H$2:$H$12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28"/>
    <col collapsed="false" customWidth="true" hidden="false" outlineLevel="0" max="8" min="8" style="0" width="26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34"/>
  </cols>
  <sheetData>
    <row r="1" customFormat="false" ht="39.75" hidden="false" customHeight="true" outlineLevel="0" collapsed="false">
      <c r="A1" s="10" t="s">
        <v>460</v>
      </c>
      <c r="B1" s="10" t="s">
        <v>461</v>
      </c>
      <c r="C1" s="10" t="s">
        <v>462</v>
      </c>
      <c r="D1" s="10" t="s">
        <v>463</v>
      </c>
      <c r="E1" s="10" t="s">
        <v>464</v>
      </c>
      <c r="F1" s="10" t="s">
        <v>465</v>
      </c>
      <c r="G1" s="10" t="s">
        <v>466</v>
      </c>
      <c r="H1" s="10" t="s">
        <v>467</v>
      </c>
      <c r="I1" s="15" t="s">
        <v>468</v>
      </c>
      <c r="J1" s="10" t="s">
        <v>395</v>
      </c>
      <c r="K1" s="10" t="s">
        <v>138</v>
      </c>
    </row>
    <row r="2" customFormat="false" ht="15" hidden="false" customHeight="false" outlineLevel="0" collapsed="false">
      <c r="A2" s="23" t="s">
        <v>423</v>
      </c>
      <c r="B2" s="7" t="s">
        <v>469</v>
      </c>
      <c r="C2" s="13" t="s">
        <v>470</v>
      </c>
      <c r="D2" s="16" t="n">
        <v>44936</v>
      </c>
      <c r="E2" s="16" t="n">
        <v>45301</v>
      </c>
      <c r="F2" s="13" t="s">
        <v>471</v>
      </c>
      <c r="G2" s="7" t="s">
        <v>424</v>
      </c>
      <c r="H2" s="7" t="s">
        <v>472</v>
      </c>
      <c r="I2" s="34" t="str">
        <f aca="true">IF(OR(A2="",D2=""),"",IF(AND(D2&lt;=TODAY(),OR(E2="",E2&gt;=TODAY())),"VIGENTE","encerrada"))</f>
        <v>encerrada</v>
      </c>
      <c r="J2" s="23" t="s">
        <v>284</v>
      </c>
      <c r="K2" s="7" t="s">
        <v>167</v>
      </c>
    </row>
    <row r="3" customFormat="false" ht="23.85" hidden="false" customHeight="false" outlineLevel="0" collapsed="false">
      <c r="A3" s="23" t="s">
        <v>414</v>
      </c>
      <c r="B3" s="7" t="s">
        <v>473</v>
      </c>
      <c r="C3" s="13"/>
      <c r="D3" s="16"/>
      <c r="E3" s="16"/>
      <c r="F3" s="13"/>
      <c r="G3" s="7" t="s">
        <v>415</v>
      </c>
      <c r="H3" s="7"/>
      <c r="I3" s="34" t="str">
        <f aca="true">IF(OR(A3="",D3=""),"",IF(AND(D3&lt;=TODAY(),OR(E3="",E3&gt;=TODAY())),"VIGENTE","encerrada"))</f>
        <v/>
      </c>
      <c r="J3" s="23" t="s">
        <v>284</v>
      </c>
      <c r="K3" s="7" t="s">
        <v>474</v>
      </c>
    </row>
    <row r="4" customFormat="false" ht="23.85" hidden="false" customHeight="false" outlineLevel="0" collapsed="false">
      <c r="A4" s="23" t="s">
        <v>429</v>
      </c>
      <c r="B4" s="7" t="s">
        <v>473</v>
      </c>
      <c r="C4" s="13"/>
      <c r="D4" s="16"/>
      <c r="E4" s="16"/>
      <c r="F4" s="13"/>
      <c r="G4" s="7" t="s">
        <v>430</v>
      </c>
      <c r="H4" s="7"/>
      <c r="I4" s="34" t="str">
        <f aca="true">IF(OR(A4="",D4=""),"",IF(AND(D4&lt;=TODAY(),OR(E4="",E4&gt;=TODAY())),"VIGENTE","encerrada"))</f>
        <v/>
      </c>
      <c r="J4" s="23" t="s">
        <v>284</v>
      </c>
      <c r="K4" s="7" t="s">
        <v>474</v>
      </c>
    </row>
    <row r="5" customFormat="false" ht="15" hidden="false" customHeight="false" outlineLevel="0" collapsed="false">
      <c r="A5" s="27"/>
      <c r="B5" s="5"/>
      <c r="C5" s="14"/>
      <c r="D5" s="18"/>
      <c r="E5" s="18"/>
      <c r="F5" s="14"/>
      <c r="G5" s="5"/>
      <c r="H5" s="5"/>
      <c r="I5" s="28" t="str">
        <f aca="true">IF(OR(A5="",D5=""),"",IF(AND(D5&lt;=TODAY(),OR(E5="",E5&gt;=TODAY())),"VIGENTE","encerrada"))</f>
        <v/>
      </c>
      <c r="J5" s="27"/>
      <c r="K5" s="5"/>
    </row>
    <row r="6" customFormat="false" ht="15" hidden="false" customHeight="false" outlineLevel="0" collapsed="false">
      <c r="A6" s="27"/>
      <c r="B6" s="5"/>
      <c r="C6" s="14"/>
      <c r="D6" s="18"/>
      <c r="E6" s="18"/>
      <c r="F6" s="14"/>
      <c r="G6" s="5"/>
      <c r="H6" s="5"/>
      <c r="I6" s="28" t="str">
        <f aca="true">IF(OR(A6="",D6=""),"",IF(AND(D6&lt;=TODAY(),OR(E6="",E6&gt;=TODAY())),"VIGENTE","encerrada"))</f>
        <v/>
      </c>
      <c r="J6" s="27"/>
      <c r="K6" s="5"/>
    </row>
    <row r="7" customFormat="false" ht="15" hidden="false" customHeight="false" outlineLevel="0" collapsed="false">
      <c r="A7" s="27"/>
      <c r="B7" s="5"/>
      <c r="C7" s="14"/>
      <c r="D7" s="18"/>
      <c r="E7" s="18"/>
      <c r="F7" s="14"/>
      <c r="G7" s="5"/>
      <c r="H7" s="5"/>
      <c r="I7" s="28" t="str">
        <f aca="true">IF(OR(A7="",D7=""),"",IF(AND(D7&lt;=TODAY(),OR(E7="",E7&gt;=TODAY())),"VIGENTE","encerrada"))</f>
        <v/>
      </c>
      <c r="J7" s="27"/>
      <c r="K7" s="5"/>
    </row>
    <row r="8" customFormat="false" ht="15" hidden="false" customHeight="false" outlineLevel="0" collapsed="false">
      <c r="A8" s="27"/>
      <c r="B8" s="5"/>
      <c r="C8" s="14"/>
      <c r="D8" s="18"/>
      <c r="E8" s="18"/>
      <c r="F8" s="14"/>
      <c r="G8" s="5"/>
      <c r="H8" s="5"/>
      <c r="I8" s="28" t="str">
        <f aca="true">IF(OR(A8="",D8=""),"",IF(AND(D8&lt;=TODAY(),OR(E8="",E8&gt;=TODAY())),"VIGENTE","encerrada"))</f>
        <v/>
      </c>
      <c r="J8" s="27"/>
      <c r="K8" s="5"/>
    </row>
    <row r="9" customFormat="false" ht="15" hidden="false" customHeight="false" outlineLevel="0" collapsed="false">
      <c r="A9" s="27"/>
      <c r="B9" s="5"/>
      <c r="C9" s="14"/>
      <c r="D9" s="18"/>
      <c r="E9" s="18"/>
      <c r="F9" s="14"/>
      <c r="G9" s="5"/>
      <c r="H9" s="5"/>
      <c r="I9" s="28" t="str">
        <f aca="true">IF(OR(A9="",D9=""),"",IF(AND(D9&lt;=TODAY(),OR(E9="",E9&gt;=TODAY())),"VIGENTE","encerrada"))</f>
        <v/>
      </c>
      <c r="J9" s="27"/>
      <c r="K9" s="5"/>
    </row>
    <row r="10" customFormat="false" ht="15" hidden="false" customHeight="false" outlineLevel="0" collapsed="false">
      <c r="A10" s="27"/>
      <c r="B10" s="5"/>
      <c r="C10" s="14"/>
      <c r="D10" s="18"/>
      <c r="E10" s="18"/>
      <c r="F10" s="14"/>
      <c r="G10" s="5"/>
      <c r="H10" s="5"/>
      <c r="I10" s="28" t="str">
        <f aca="true">IF(OR(A10="",D10=""),"",IF(AND(D10&lt;=TODAY(),OR(E10="",E10&gt;=TODAY())),"VIGENTE","encerrada"))</f>
        <v/>
      </c>
      <c r="J10" s="27"/>
      <c r="K10" s="5"/>
    </row>
    <row r="11" customFormat="false" ht="15" hidden="false" customHeight="false" outlineLevel="0" collapsed="false">
      <c r="A11" s="27"/>
      <c r="B11" s="5"/>
      <c r="C11" s="14"/>
      <c r="D11" s="18"/>
      <c r="E11" s="18"/>
      <c r="F11" s="14"/>
      <c r="G11" s="5"/>
      <c r="H11" s="5"/>
      <c r="I11" s="28" t="str">
        <f aca="true">IF(OR(A11="",D11=""),"",IF(AND(D11&lt;=TODAY(),OR(E11="",E11&gt;=TODAY())),"VIGENTE","encerrada"))</f>
        <v/>
      </c>
      <c r="J11" s="27"/>
      <c r="K11" s="5"/>
    </row>
    <row r="12" customFormat="false" ht="15" hidden="false" customHeight="false" outlineLevel="0" collapsed="false">
      <c r="A12" s="27"/>
      <c r="B12" s="5"/>
      <c r="C12" s="14"/>
      <c r="D12" s="18"/>
      <c r="E12" s="18"/>
      <c r="F12" s="14"/>
      <c r="G12" s="5"/>
      <c r="H12" s="5"/>
      <c r="I12" s="28" t="str">
        <f aca="true">IF(OR(A12="",D12=""),"",IF(AND(D12&lt;=TODAY(),OR(E12="",E12&gt;=TODAY())),"VIGENTE","encerrada"))</f>
        <v/>
      </c>
      <c r="J12" s="27"/>
      <c r="K12" s="5"/>
    </row>
    <row r="13" customFormat="false" ht="15" hidden="false" customHeight="false" outlineLevel="0" collapsed="false">
      <c r="A13" s="27"/>
      <c r="B13" s="5"/>
      <c r="C13" s="14"/>
      <c r="D13" s="18"/>
      <c r="E13" s="18"/>
      <c r="F13" s="14"/>
      <c r="G13" s="5"/>
      <c r="H13" s="5"/>
      <c r="I13" s="28" t="str">
        <f aca="true">IF(OR(A13="",D13=""),"",IF(AND(D13&lt;=TODAY(),OR(E13="",E13&gt;=TODAY())),"VIGENTE","encerrada"))</f>
        <v/>
      </c>
      <c r="J13" s="27"/>
      <c r="K13" s="5"/>
    </row>
    <row r="14" customFormat="false" ht="15" hidden="false" customHeight="false" outlineLevel="0" collapsed="false">
      <c r="A14" s="27"/>
      <c r="B14" s="5"/>
      <c r="C14" s="14"/>
      <c r="D14" s="18"/>
      <c r="E14" s="18"/>
      <c r="F14" s="14"/>
      <c r="G14" s="5"/>
      <c r="H14" s="5"/>
      <c r="I14" s="28" t="str">
        <f aca="true">IF(OR(A14="",D14=""),"",IF(AND(D14&lt;=TODAY(),OR(E14="",E14&gt;=TODAY())),"VIGENTE","encerrada"))</f>
        <v/>
      </c>
      <c r="J14" s="27"/>
      <c r="K14" s="5"/>
    </row>
    <row r="15" customFormat="false" ht="15" hidden="false" customHeight="false" outlineLevel="0" collapsed="false">
      <c r="A15" s="27"/>
      <c r="B15" s="5"/>
      <c r="C15" s="14"/>
      <c r="D15" s="18"/>
      <c r="E15" s="18"/>
      <c r="F15" s="14"/>
      <c r="G15" s="5"/>
      <c r="H15" s="5"/>
      <c r="I15" s="28" t="str">
        <f aca="true">IF(OR(A15="",D15=""),"",IF(AND(D15&lt;=TODAY(),OR(E15="",E15&gt;=TODAY())),"VIGENTE","encerrada"))</f>
        <v/>
      </c>
      <c r="J15" s="27"/>
      <c r="K15" s="5"/>
    </row>
    <row r="16" customFormat="false" ht="15" hidden="false" customHeight="false" outlineLevel="0" collapsed="false">
      <c r="A16" s="27"/>
      <c r="B16" s="5"/>
      <c r="C16" s="14"/>
      <c r="D16" s="18"/>
      <c r="E16" s="18"/>
      <c r="F16" s="14"/>
      <c r="G16" s="5"/>
      <c r="H16" s="5"/>
      <c r="I16" s="28" t="str">
        <f aca="true">IF(OR(A16="",D16=""),"",IF(AND(D16&lt;=TODAY(),OR(E16="",E16&gt;=TODAY())),"VIGENTE","encerrada"))</f>
        <v/>
      </c>
      <c r="J16" s="27"/>
      <c r="K16" s="5"/>
    </row>
    <row r="17" customFormat="false" ht="15" hidden="false" customHeight="false" outlineLevel="0" collapsed="false">
      <c r="A17" s="27"/>
      <c r="B17" s="5"/>
      <c r="C17" s="14"/>
      <c r="D17" s="18"/>
      <c r="E17" s="18"/>
      <c r="F17" s="14"/>
      <c r="G17" s="5"/>
      <c r="H17" s="5"/>
      <c r="I17" s="28" t="str">
        <f aca="true">IF(OR(A17="",D17=""),"",IF(AND(D17&lt;=TODAY(),OR(E17="",E17&gt;=TODAY())),"VIGENTE","encerrada"))</f>
        <v/>
      </c>
      <c r="J17" s="27"/>
      <c r="K17" s="5"/>
    </row>
    <row r="18" customFormat="false" ht="15" hidden="false" customHeight="false" outlineLevel="0" collapsed="false">
      <c r="A18" s="27"/>
      <c r="B18" s="5"/>
      <c r="C18" s="14"/>
      <c r="D18" s="18"/>
      <c r="E18" s="18"/>
      <c r="F18" s="14"/>
      <c r="G18" s="5"/>
      <c r="H18" s="5"/>
      <c r="I18" s="28" t="str">
        <f aca="true">IF(OR(A18="",D18=""),"",IF(AND(D18&lt;=TODAY(),OR(E18="",E18&gt;=TODAY())),"VIGENTE","encerrada"))</f>
        <v/>
      </c>
      <c r="J18" s="27"/>
      <c r="K18" s="5"/>
    </row>
    <row r="19" customFormat="false" ht="15" hidden="false" customHeight="false" outlineLevel="0" collapsed="false">
      <c r="A19" s="27"/>
      <c r="B19" s="5"/>
      <c r="C19" s="14"/>
      <c r="D19" s="18"/>
      <c r="E19" s="18"/>
      <c r="F19" s="14"/>
      <c r="G19" s="5"/>
      <c r="H19" s="5"/>
      <c r="I19" s="28" t="str">
        <f aca="true">IF(OR(A19="",D19=""),"",IF(AND(D19&lt;=TODAY(),OR(E19="",E19&gt;=TODAY())),"VIGENTE","encerrada"))</f>
        <v/>
      </c>
      <c r="J19" s="27"/>
      <c r="K19" s="5"/>
    </row>
    <row r="20" customFormat="false" ht="15" hidden="false" customHeight="false" outlineLevel="0" collapsed="false">
      <c r="A20" s="27"/>
      <c r="B20" s="5"/>
      <c r="C20" s="14"/>
      <c r="D20" s="18"/>
      <c r="E20" s="18"/>
      <c r="F20" s="14"/>
      <c r="G20" s="5"/>
      <c r="H20" s="5"/>
      <c r="I20" s="28" t="str">
        <f aca="true">IF(OR(A20="",D20=""),"",IF(AND(D20&lt;=TODAY(),OR(E20="",E20&gt;=TODAY())),"VIGENTE","encerrada"))</f>
        <v/>
      </c>
      <c r="J20" s="27"/>
      <c r="K20" s="5"/>
    </row>
    <row r="21" customFormat="false" ht="15" hidden="false" customHeight="false" outlineLevel="0" collapsed="false">
      <c r="A21" s="27"/>
      <c r="B21" s="5"/>
      <c r="C21" s="14"/>
      <c r="D21" s="18"/>
      <c r="E21" s="18"/>
      <c r="F21" s="14"/>
      <c r="G21" s="5"/>
      <c r="H21" s="5"/>
      <c r="I21" s="28" t="str">
        <f aca="true">IF(OR(A21="",D21=""),"",IF(AND(D21&lt;=TODAY(),OR(E21="",E21&gt;=TODAY())),"VIGENTE","encerrada"))</f>
        <v/>
      </c>
      <c r="J21" s="27"/>
      <c r="K21" s="5"/>
    </row>
    <row r="22" customFormat="false" ht="15" hidden="false" customHeight="false" outlineLevel="0" collapsed="false">
      <c r="A22" s="27"/>
      <c r="B22" s="5"/>
      <c r="C22" s="14"/>
      <c r="D22" s="18"/>
      <c r="E22" s="18"/>
      <c r="F22" s="14"/>
      <c r="G22" s="5"/>
      <c r="H22" s="5"/>
      <c r="I22" s="28" t="str">
        <f aca="true">IF(OR(A22="",D22=""),"",IF(AND(D22&lt;=TODAY(),OR(E22="",E22&gt;=TODAY())),"VIGENTE","encerrada"))</f>
        <v/>
      </c>
      <c r="J22" s="27"/>
      <c r="K22" s="5"/>
    </row>
    <row r="23" customFormat="false" ht="15" hidden="false" customHeight="false" outlineLevel="0" collapsed="false">
      <c r="A23" s="27"/>
      <c r="B23" s="5"/>
      <c r="C23" s="14"/>
      <c r="D23" s="18"/>
      <c r="E23" s="18"/>
      <c r="F23" s="14"/>
      <c r="G23" s="5"/>
      <c r="H23" s="5"/>
      <c r="I23" s="28" t="str">
        <f aca="true">IF(OR(A23="",D23=""),"",IF(AND(D23&lt;=TODAY(),OR(E23="",E23&gt;=TODAY())),"VIGENTE","encerrada"))</f>
        <v/>
      </c>
      <c r="J23" s="27"/>
      <c r="K23" s="5"/>
    </row>
    <row r="24" customFormat="false" ht="15" hidden="false" customHeight="false" outlineLevel="0" collapsed="false">
      <c r="A24" s="27"/>
      <c r="B24" s="5"/>
      <c r="C24" s="14"/>
      <c r="D24" s="18"/>
      <c r="E24" s="18"/>
      <c r="F24" s="14"/>
      <c r="G24" s="5"/>
      <c r="H24" s="5"/>
      <c r="I24" s="28" t="str">
        <f aca="true">IF(OR(A24="",D24=""),"",IF(AND(D24&lt;=TODAY(),OR(E24="",E24&gt;=TODAY())),"VIGENTE","encerrada"))</f>
        <v/>
      </c>
      <c r="J24" s="27"/>
      <c r="K24" s="5"/>
    </row>
    <row r="25" customFormat="false" ht="15" hidden="false" customHeight="false" outlineLevel="0" collapsed="false">
      <c r="A25" s="27"/>
      <c r="B25" s="5"/>
      <c r="C25" s="14"/>
      <c r="D25" s="18"/>
      <c r="E25" s="18"/>
      <c r="F25" s="14"/>
      <c r="G25" s="5"/>
      <c r="H25" s="5"/>
      <c r="I25" s="28" t="str">
        <f aca="true">IF(OR(A25="",D25=""),"",IF(AND(D25&lt;=TODAY(),OR(E25="",E25&gt;=TODAY())),"VIGENTE","encerrada"))</f>
        <v/>
      </c>
      <c r="J25" s="27"/>
      <c r="K25" s="5"/>
    </row>
    <row r="26" customFormat="false" ht="15" hidden="false" customHeight="false" outlineLevel="0" collapsed="false">
      <c r="A26" s="27"/>
      <c r="B26" s="5"/>
      <c r="C26" s="14"/>
      <c r="D26" s="18"/>
      <c r="E26" s="18"/>
      <c r="F26" s="14"/>
      <c r="G26" s="5"/>
      <c r="H26" s="5"/>
      <c r="I26" s="28" t="str">
        <f aca="true">IF(OR(A26="",D26=""),"",IF(AND(D26&lt;=TODAY(),OR(E26="",E26&gt;=TODAY())),"VIGENTE","encerrada"))</f>
        <v/>
      </c>
      <c r="J26" s="27"/>
      <c r="K26" s="5"/>
    </row>
    <row r="27" customFormat="false" ht="15" hidden="false" customHeight="false" outlineLevel="0" collapsed="false">
      <c r="A27" s="27"/>
      <c r="B27" s="5"/>
      <c r="C27" s="14"/>
      <c r="D27" s="18"/>
      <c r="E27" s="18"/>
      <c r="F27" s="14"/>
      <c r="G27" s="5"/>
      <c r="H27" s="5"/>
      <c r="I27" s="28" t="str">
        <f aca="true">IF(OR(A27="",D27=""),"",IF(AND(D27&lt;=TODAY(),OR(E27="",E27&gt;=TODAY())),"VIGENTE","encerrada"))</f>
        <v/>
      </c>
      <c r="J27" s="27"/>
      <c r="K27" s="5"/>
    </row>
    <row r="28" customFormat="false" ht="15" hidden="false" customHeight="false" outlineLevel="0" collapsed="false">
      <c r="A28" s="27"/>
      <c r="B28" s="5"/>
      <c r="C28" s="14"/>
      <c r="D28" s="18"/>
      <c r="E28" s="18"/>
      <c r="F28" s="14"/>
      <c r="G28" s="5"/>
      <c r="H28" s="5"/>
      <c r="I28" s="28" t="str">
        <f aca="true">IF(OR(A28="",D28=""),"",IF(AND(D28&lt;=TODAY(),OR(E28="",E28&gt;=TODAY())),"VIGENTE","encerrada"))</f>
        <v/>
      </c>
      <c r="J28" s="27"/>
      <c r="K28" s="5"/>
    </row>
    <row r="29" customFormat="false" ht="15" hidden="false" customHeight="false" outlineLevel="0" collapsed="false">
      <c r="A29" s="27"/>
      <c r="B29" s="5"/>
      <c r="C29" s="14"/>
      <c r="D29" s="18"/>
      <c r="E29" s="18"/>
      <c r="F29" s="14"/>
      <c r="G29" s="5"/>
      <c r="H29" s="5"/>
      <c r="I29" s="28" t="str">
        <f aca="true">IF(OR(A29="",D29=""),"",IF(AND(D29&lt;=TODAY(),OR(E29="",E29&gt;=TODAY())),"VIGENTE","encerrada"))</f>
        <v/>
      </c>
      <c r="J29" s="27"/>
      <c r="K29" s="5"/>
    </row>
    <row r="30" customFormat="false" ht="15" hidden="false" customHeight="false" outlineLevel="0" collapsed="false">
      <c r="A30" s="27"/>
      <c r="B30" s="5"/>
      <c r="C30" s="14"/>
      <c r="D30" s="18"/>
      <c r="E30" s="18"/>
      <c r="F30" s="14"/>
      <c r="G30" s="5"/>
      <c r="H30" s="5"/>
      <c r="I30" s="28" t="str">
        <f aca="true">IF(OR(A30="",D30=""),"",IF(AND(D30&lt;=TODAY(),OR(E30="",E30&gt;=TODAY())),"VIGENTE","encerrada"))</f>
        <v/>
      </c>
      <c r="J30" s="27"/>
      <c r="K30" s="5"/>
    </row>
    <row r="31" customFormat="false" ht="15" hidden="false" customHeight="false" outlineLevel="0" collapsed="false">
      <c r="A31" s="27"/>
      <c r="B31" s="5"/>
      <c r="C31" s="14"/>
      <c r="D31" s="18"/>
      <c r="E31" s="18"/>
      <c r="F31" s="14"/>
      <c r="G31" s="5"/>
      <c r="H31" s="5"/>
      <c r="I31" s="28" t="str">
        <f aca="true">IF(OR(A31="",D31=""),"",IF(AND(D31&lt;=TODAY(),OR(E31="",E31&gt;=TODAY())),"VIGENTE","encerrada"))</f>
        <v/>
      </c>
      <c r="J31" s="27"/>
      <c r="K31" s="5"/>
    </row>
    <row r="32" customFormat="false" ht="15" hidden="false" customHeight="false" outlineLevel="0" collapsed="false">
      <c r="A32" s="27"/>
      <c r="B32" s="5"/>
      <c r="C32" s="14"/>
      <c r="D32" s="18"/>
      <c r="E32" s="18"/>
      <c r="F32" s="14"/>
      <c r="G32" s="5"/>
      <c r="H32" s="5"/>
      <c r="I32" s="28" t="str">
        <f aca="true">IF(OR(A32="",D32=""),"",IF(AND(D32&lt;=TODAY(),OR(E32="",E32&gt;=TODAY())),"VIGENTE","encerrada"))</f>
        <v/>
      </c>
      <c r="J32" s="27"/>
      <c r="K32" s="5"/>
    </row>
    <row r="33" customFormat="false" ht="15" hidden="false" customHeight="false" outlineLevel="0" collapsed="false">
      <c r="A33" s="27"/>
      <c r="B33" s="5"/>
      <c r="C33" s="14"/>
      <c r="D33" s="18"/>
      <c r="E33" s="18"/>
      <c r="F33" s="14"/>
      <c r="G33" s="5"/>
      <c r="H33" s="5"/>
      <c r="I33" s="28" t="str">
        <f aca="true">IF(OR(A33="",D33=""),"",IF(AND(D33&lt;=TODAY(),OR(E33="",E33&gt;=TODAY())),"VIGENTE","encerrada"))</f>
        <v/>
      </c>
      <c r="J33" s="27"/>
      <c r="K33" s="5"/>
    </row>
    <row r="34" customFormat="false" ht="15" hidden="false" customHeight="false" outlineLevel="0" collapsed="false">
      <c r="A34" s="27"/>
      <c r="B34" s="5"/>
      <c r="C34" s="14"/>
      <c r="D34" s="18"/>
      <c r="E34" s="18"/>
      <c r="F34" s="14"/>
      <c r="G34" s="5"/>
      <c r="H34" s="5"/>
      <c r="I34" s="28" t="str">
        <f aca="true">IF(OR(A34="",D34=""),"",IF(AND(D34&lt;=TODAY(),OR(E34="",E34&gt;=TODAY())),"VIGENTE","encerrada"))</f>
        <v/>
      </c>
      <c r="J34" s="27"/>
      <c r="K34" s="5"/>
    </row>
    <row r="35" customFormat="false" ht="15" hidden="false" customHeight="false" outlineLevel="0" collapsed="false">
      <c r="A35" s="27"/>
      <c r="B35" s="5"/>
      <c r="C35" s="14"/>
      <c r="D35" s="18"/>
      <c r="E35" s="18"/>
      <c r="F35" s="14"/>
      <c r="G35" s="5"/>
      <c r="H35" s="5"/>
      <c r="I35" s="28" t="str">
        <f aca="true">IF(OR(A35="",D35=""),"",IF(AND(D35&lt;=TODAY(),OR(E35="",E35&gt;=TODAY())),"VIGENTE","encerrada"))</f>
        <v/>
      </c>
      <c r="J35" s="27"/>
      <c r="K35" s="5"/>
    </row>
    <row r="36" customFormat="false" ht="15" hidden="false" customHeight="false" outlineLevel="0" collapsed="false">
      <c r="A36" s="27"/>
      <c r="B36" s="5"/>
      <c r="C36" s="14"/>
      <c r="D36" s="18"/>
      <c r="E36" s="18"/>
      <c r="F36" s="14"/>
      <c r="G36" s="5"/>
      <c r="H36" s="5"/>
      <c r="I36" s="28" t="str">
        <f aca="true">IF(OR(A36="",D36=""),"",IF(AND(D36&lt;=TODAY(),OR(E36="",E36&gt;=TODAY())),"VIGENTE","encerrada"))</f>
        <v/>
      </c>
      <c r="J36" s="27"/>
      <c r="K36" s="5"/>
    </row>
    <row r="37" customFormat="false" ht="15" hidden="false" customHeight="false" outlineLevel="0" collapsed="false">
      <c r="A37" s="27"/>
      <c r="B37" s="5"/>
      <c r="C37" s="14"/>
      <c r="D37" s="18"/>
      <c r="E37" s="18"/>
      <c r="F37" s="14"/>
      <c r="G37" s="5"/>
      <c r="H37" s="5"/>
      <c r="I37" s="28" t="str">
        <f aca="true">IF(OR(A37="",D37=""),"",IF(AND(D37&lt;=TODAY(),OR(E37="",E37&gt;=TODAY())),"VIGENTE","encerrada"))</f>
        <v/>
      </c>
      <c r="J37" s="27"/>
      <c r="K37" s="5"/>
    </row>
    <row r="38" customFormat="false" ht="15" hidden="false" customHeight="false" outlineLevel="0" collapsed="false">
      <c r="A38" s="27"/>
      <c r="B38" s="5"/>
      <c r="C38" s="14"/>
      <c r="D38" s="18"/>
      <c r="E38" s="18"/>
      <c r="F38" s="14"/>
      <c r="G38" s="5"/>
      <c r="H38" s="5"/>
      <c r="I38" s="28" t="str">
        <f aca="true">IF(OR(A38="",D38=""),"",IF(AND(D38&lt;=TODAY(),OR(E38="",E38&gt;=TODAY())),"VIGENTE","encerrada"))</f>
        <v/>
      </c>
      <c r="J38" s="27"/>
      <c r="K38" s="5"/>
    </row>
    <row r="39" customFormat="false" ht="15" hidden="false" customHeight="false" outlineLevel="0" collapsed="false">
      <c r="A39" s="27"/>
      <c r="B39" s="5"/>
      <c r="C39" s="14"/>
      <c r="D39" s="18"/>
      <c r="E39" s="18"/>
      <c r="F39" s="14"/>
      <c r="G39" s="5"/>
      <c r="H39" s="5"/>
      <c r="I39" s="28" t="str">
        <f aca="true">IF(OR(A39="",D39=""),"",IF(AND(D39&lt;=TODAY(),OR(E39="",E39&gt;=TODAY())),"VIGENTE","encerrada"))</f>
        <v/>
      </c>
      <c r="J39" s="27"/>
      <c r="K39" s="5"/>
    </row>
    <row r="40" customFormat="false" ht="15" hidden="false" customHeight="false" outlineLevel="0" collapsed="false">
      <c r="A40" s="27"/>
      <c r="B40" s="5"/>
      <c r="C40" s="14"/>
      <c r="D40" s="18"/>
      <c r="E40" s="18"/>
      <c r="F40" s="14"/>
      <c r="G40" s="5"/>
      <c r="H40" s="5"/>
      <c r="I40" s="28" t="str">
        <f aca="true">IF(OR(A40="",D40=""),"",IF(AND(D40&lt;=TODAY(),OR(E40="",E40&gt;=TODAY())),"VIGENTE","encerrada"))</f>
        <v/>
      </c>
      <c r="J40" s="27"/>
      <c r="K40" s="5"/>
    </row>
    <row r="41" customFormat="false" ht="15" hidden="false" customHeight="false" outlineLevel="0" collapsed="false">
      <c r="A41" s="27"/>
      <c r="B41" s="5"/>
      <c r="C41" s="14"/>
      <c r="D41" s="18"/>
      <c r="E41" s="18"/>
      <c r="F41" s="14"/>
      <c r="G41" s="5"/>
      <c r="H41" s="5"/>
      <c r="I41" s="28" t="str">
        <f aca="true">IF(OR(A41="",D41=""),"",IF(AND(D41&lt;=TODAY(),OR(E41="",E41&gt;=TODAY())),"VIGENTE","encerrada"))</f>
        <v/>
      </c>
      <c r="J41" s="27"/>
      <c r="K41" s="5"/>
    </row>
    <row r="42" customFormat="false" ht="15" hidden="false" customHeight="false" outlineLevel="0" collapsed="false">
      <c r="A42" s="27"/>
      <c r="B42" s="5"/>
      <c r="C42" s="14"/>
      <c r="D42" s="18"/>
      <c r="E42" s="18"/>
      <c r="F42" s="14"/>
      <c r="G42" s="5"/>
      <c r="H42" s="5"/>
      <c r="I42" s="28" t="str">
        <f aca="true">IF(OR(A42="",D42=""),"",IF(AND(D42&lt;=TODAY(),OR(E42="",E42&gt;=TODAY())),"VIGENTE","encerrada"))</f>
        <v/>
      </c>
      <c r="J42" s="27"/>
      <c r="K42" s="5"/>
    </row>
    <row r="43" customFormat="false" ht="15" hidden="false" customHeight="false" outlineLevel="0" collapsed="false">
      <c r="A43" s="27"/>
      <c r="B43" s="5"/>
      <c r="C43" s="14"/>
      <c r="D43" s="18"/>
      <c r="E43" s="18"/>
      <c r="F43" s="14"/>
      <c r="G43" s="5"/>
      <c r="H43" s="5"/>
      <c r="I43" s="28" t="str">
        <f aca="true">IF(OR(A43="",D43=""),"",IF(AND(D43&lt;=TODAY(),OR(E43="",E43&gt;=TODAY())),"VIGENTE","encerrada"))</f>
        <v/>
      </c>
      <c r="J43" s="27"/>
      <c r="K43" s="5"/>
    </row>
    <row r="44" customFormat="false" ht="15" hidden="false" customHeight="false" outlineLevel="0" collapsed="false">
      <c r="A44" s="27"/>
      <c r="B44" s="5"/>
      <c r="C44" s="14"/>
      <c r="D44" s="18"/>
      <c r="E44" s="18"/>
      <c r="F44" s="14"/>
      <c r="G44" s="5"/>
      <c r="H44" s="5"/>
      <c r="I44" s="28" t="str">
        <f aca="true">IF(OR(A44="",D44=""),"",IF(AND(D44&lt;=TODAY(),OR(E44="",E44&gt;=TODAY())),"VIGENTE","encerrada"))</f>
        <v/>
      </c>
      <c r="J44" s="27"/>
      <c r="K44" s="5"/>
    </row>
    <row r="45" customFormat="false" ht="15" hidden="false" customHeight="false" outlineLevel="0" collapsed="false">
      <c r="A45" s="27"/>
      <c r="B45" s="5"/>
      <c r="C45" s="14"/>
      <c r="D45" s="18"/>
      <c r="E45" s="18"/>
      <c r="F45" s="14"/>
      <c r="G45" s="5"/>
      <c r="H45" s="5"/>
      <c r="I45" s="28" t="str">
        <f aca="true">IF(OR(A45="",D45=""),"",IF(AND(D45&lt;=TODAY(),OR(E45="",E45&gt;=TODAY())),"VIGENTE","encerrada"))</f>
        <v/>
      </c>
      <c r="J45" s="27"/>
      <c r="K45" s="5"/>
    </row>
    <row r="46" customFormat="false" ht="15" hidden="false" customHeight="false" outlineLevel="0" collapsed="false">
      <c r="A46" s="27"/>
      <c r="B46" s="5"/>
      <c r="C46" s="14"/>
      <c r="D46" s="18"/>
      <c r="E46" s="18"/>
      <c r="F46" s="14"/>
      <c r="G46" s="5"/>
      <c r="H46" s="5"/>
      <c r="I46" s="28" t="str">
        <f aca="true">IF(OR(A46="",D46=""),"",IF(AND(D46&lt;=TODAY(),OR(E46="",E46&gt;=TODAY())),"VIGENTE","encerrada"))</f>
        <v/>
      </c>
      <c r="J46" s="27"/>
      <c r="K46" s="5"/>
    </row>
    <row r="47" customFormat="false" ht="15" hidden="false" customHeight="false" outlineLevel="0" collapsed="false">
      <c r="A47" s="27"/>
      <c r="B47" s="5"/>
      <c r="C47" s="14"/>
      <c r="D47" s="18"/>
      <c r="E47" s="18"/>
      <c r="F47" s="14"/>
      <c r="G47" s="5"/>
      <c r="H47" s="5"/>
      <c r="I47" s="28" t="str">
        <f aca="true">IF(OR(A47="",D47=""),"",IF(AND(D47&lt;=TODAY(),OR(E47="",E47&gt;=TODAY())),"VIGENTE","encerrada"))</f>
        <v/>
      </c>
      <c r="J47" s="27"/>
      <c r="K47" s="5"/>
    </row>
    <row r="48" customFormat="false" ht="15" hidden="false" customHeight="false" outlineLevel="0" collapsed="false">
      <c r="A48" s="27"/>
      <c r="B48" s="5"/>
      <c r="C48" s="14"/>
      <c r="D48" s="18"/>
      <c r="E48" s="18"/>
      <c r="F48" s="14"/>
      <c r="G48" s="5"/>
      <c r="H48" s="5"/>
      <c r="I48" s="28" t="str">
        <f aca="true">IF(OR(A48="",D48=""),"",IF(AND(D48&lt;=TODAY(),OR(E48="",E48&gt;=TODAY())),"VIGENTE","encerrada"))</f>
        <v/>
      </c>
      <c r="J48" s="27"/>
      <c r="K48" s="5"/>
    </row>
    <row r="49" customFormat="false" ht="15" hidden="false" customHeight="false" outlineLevel="0" collapsed="false">
      <c r="A49" s="27"/>
      <c r="B49" s="5"/>
      <c r="C49" s="14"/>
      <c r="D49" s="18"/>
      <c r="E49" s="18"/>
      <c r="F49" s="14"/>
      <c r="G49" s="5"/>
      <c r="H49" s="5"/>
      <c r="I49" s="28" t="str">
        <f aca="true">IF(OR(A49="",D49=""),"",IF(AND(D49&lt;=TODAY(),OR(E49="",E49&gt;=TODAY())),"VIGENTE","encerrada"))</f>
        <v/>
      </c>
      <c r="J49" s="27"/>
      <c r="K49" s="5"/>
    </row>
    <row r="50" customFormat="false" ht="15" hidden="false" customHeight="false" outlineLevel="0" collapsed="false">
      <c r="A50" s="27"/>
      <c r="B50" s="5"/>
      <c r="C50" s="14"/>
      <c r="D50" s="18"/>
      <c r="E50" s="18"/>
      <c r="F50" s="14"/>
      <c r="G50" s="5"/>
      <c r="H50" s="5"/>
      <c r="I50" s="28" t="str">
        <f aca="true">IF(OR(A50="",D50=""),"",IF(AND(D50&lt;=TODAY(),OR(E50="",E50&gt;=TODAY())),"VIGENTE","encerrada"))</f>
        <v/>
      </c>
      <c r="J50" s="27"/>
      <c r="K50" s="5"/>
    </row>
    <row r="51" customFormat="false" ht="15" hidden="false" customHeight="false" outlineLevel="0" collapsed="false">
      <c r="A51" s="27"/>
      <c r="B51" s="5"/>
      <c r="C51" s="14"/>
      <c r="D51" s="18"/>
      <c r="E51" s="18"/>
      <c r="F51" s="14"/>
      <c r="G51" s="5"/>
      <c r="H51" s="5"/>
      <c r="I51" s="28" t="str">
        <f aca="true">IF(OR(A51="",D51=""),"",IF(AND(D51&lt;=TODAY(),OR(E51="",E51&gt;=TODAY())),"VIGENTE","encerrada"))</f>
        <v/>
      </c>
      <c r="J51" s="27"/>
      <c r="K51" s="5"/>
    </row>
    <row r="52" customFormat="false" ht="15" hidden="false" customHeight="false" outlineLevel="0" collapsed="false">
      <c r="A52" s="27"/>
      <c r="B52" s="5"/>
      <c r="C52" s="14"/>
      <c r="D52" s="18"/>
      <c r="E52" s="18"/>
      <c r="F52" s="14"/>
      <c r="G52" s="5"/>
      <c r="H52" s="5"/>
      <c r="I52" s="28" t="str">
        <f aca="true">IF(OR(A52="",D52=""),"",IF(AND(D52&lt;=TODAY(),OR(E52="",E52&gt;=TODAY())),"VIGENTE","encerrada"))</f>
        <v/>
      </c>
      <c r="J52" s="27"/>
      <c r="K52" s="5"/>
    </row>
    <row r="53" customFormat="false" ht="15" hidden="false" customHeight="false" outlineLevel="0" collapsed="false">
      <c r="A53" s="27"/>
      <c r="B53" s="5"/>
      <c r="C53" s="14"/>
      <c r="D53" s="18"/>
      <c r="E53" s="18"/>
      <c r="F53" s="14"/>
      <c r="G53" s="5"/>
      <c r="H53" s="5"/>
      <c r="I53" s="28" t="str">
        <f aca="true">IF(OR(A53="",D53=""),"",IF(AND(D53&lt;=TODAY(),OR(E53="",E53&gt;=TODAY())),"VIGENTE","encerrada"))</f>
        <v/>
      </c>
      <c r="J53" s="27"/>
      <c r="K53" s="5"/>
    </row>
    <row r="54" customFormat="false" ht="15" hidden="false" customHeight="false" outlineLevel="0" collapsed="false">
      <c r="A54" s="27"/>
      <c r="B54" s="5"/>
      <c r="C54" s="14"/>
      <c r="D54" s="18"/>
      <c r="E54" s="18"/>
      <c r="F54" s="14"/>
      <c r="G54" s="5"/>
      <c r="H54" s="5"/>
      <c r="I54" s="28" t="str">
        <f aca="true">IF(OR(A54="",D54=""),"",IF(AND(D54&lt;=TODAY(),OR(E54="",E54&gt;=TODAY())),"VIGENTE","encerrada"))</f>
        <v/>
      </c>
      <c r="J54" s="27"/>
      <c r="K54" s="5"/>
    </row>
    <row r="55" customFormat="false" ht="15" hidden="false" customHeight="false" outlineLevel="0" collapsed="false">
      <c r="A55" s="27"/>
      <c r="B55" s="5"/>
      <c r="C55" s="14"/>
      <c r="D55" s="18"/>
      <c r="E55" s="18"/>
      <c r="F55" s="14"/>
      <c r="G55" s="5"/>
      <c r="H55" s="5"/>
      <c r="I55" s="28" t="str">
        <f aca="true">IF(OR(A55="",D55=""),"",IF(AND(D55&lt;=TODAY(),OR(E55="",E55&gt;=TODAY())),"VIGENTE","encerrada"))</f>
        <v/>
      </c>
      <c r="J55" s="27"/>
      <c r="K55" s="5"/>
    </row>
    <row r="56" customFormat="false" ht="15" hidden="false" customHeight="false" outlineLevel="0" collapsed="false">
      <c r="A56" s="27"/>
      <c r="B56" s="5"/>
      <c r="C56" s="14"/>
      <c r="D56" s="18"/>
      <c r="E56" s="18"/>
      <c r="F56" s="14"/>
      <c r="G56" s="5"/>
      <c r="H56" s="5"/>
      <c r="I56" s="28" t="str">
        <f aca="true">IF(OR(A56="",D56=""),"",IF(AND(D56&lt;=TODAY(),OR(E56="",E56&gt;=TODAY())),"VIGENTE","encerrada"))</f>
        <v/>
      </c>
      <c r="J56" s="27"/>
      <c r="K56" s="5"/>
    </row>
    <row r="57" customFormat="false" ht="15" hidden="false" customHeight="false" outlineLevel="0" collapsed="false">
      <c r="A57" s="27"/>
      <c r="B57" s="5"/>
      <c r="C57" s="14"/>
      <c r="D57" s="18"/>
      <c r="E57" s="18"/>
      <c r="F57" s="14"/>
      <c r="G57" s="5"/>
      <c r="H57" s="5"/>
      <c r="I57" s="28" t="str">
        <f aca="true">IF(OR(A57="",D57=""),"",IF(AND(D57&lt;=TODAY(),OR(E57="",E57&gt;=TODAY())),"VIGENTE","encerrada"))</f>
        <v/>
      </c>
      <c r="J57" s="27"/>
      <c r="K57" s="5"/>
    </row>
    <row r="58" customFormat="false" ht="15" hidden="false" customHeight="false" outlineLevel="0" collapsed="false">
      <c r="A58" s="27"/>
      <c r="B58" s="5"/>
      <c r="C58" s="14"/>
      <c r="D58" s="18"/>
      <c r="E58" s="18"/>
      <c r="F58" s="14"/>
      <c r="G58" s="5"/>
      <c r="H58" s="5"/>
      <c r="I58" s="28" t="str">
        <f aca="true">IF(OR(A58="",D58=""),"",IF(AND(D58&lt;=TODAY(),OR(E58="",E58&gt;=TODAY())),"VIGENTE","encerrada"))</f>
        <v/>
      </c>
      <c r="J58" s="27"/>
      <c r="K58" s="5"/>
    </row>
    <row r="59" customFormat="false" ht="15" hidden="false" customHeight="false" outlineLevel="0" collapsed="false">
      <c r="A59" s="27"/>
      <c r="B59" s="5"/>
      <c r="C59" s="14"/>
      <c r="D59" s="18"/>
      <c r="E59" s="18"/>
      <c r="F59" s="14"/>
      <c r="G59" s="5"/>
      <c r="H59" s="5"/>
      <c r="I59" s="28" t="str">
        <f aca="true">IF(OR(A59="",D59=""),"",IF(AND(D59&lt;=TODAY(),OR(E59="",E59&gt;=TODAY())),"VIGENTE","encerrada"))</f>
        <v/>
      </c>
      <c r="J59" s="27"/>
      <c r="K59" s="5"/>
    </row>
    <row r="60" customFormat="false" ht="15" hidden="false" customHeight="false" outlineLevel="0" collapsed="false">
      <c r="A60" s="27"/>
      <c r="B60" s="5"/>
      <c r="C60" s="14"/>
      <c r="D60" s="18"/>
      <c r="E60" s="18"/>
      <c r="F60" s="14"/>
      <c r="G60" s="5"/>
      <c r="H60" s="5"/>
      <c r="I60" s="28" t="str">
        <f aca="true">IF(OR(A60="",D60=""),"",IF(AND(D60&lt;=TODAY(),OR(E60="",E60&gt;=TODAY())),"VIGENTE","encerrada"))</f>
        <v/>
      </c>
      <c r="J60" s="27"/>
      <c r="K60" s="5"/>
    </row>
    <row r="61" customFormat="false" ht="15" hidden="false" customHeight="false" outlineLevel="0" collapsed="false">
      <c r="A61" s="27"/>
      <c r="B61" s="5"/>
      <c r="C61" s="14"/>
      <c r="D61" s="18"/>
      <c r="E61" s="18"/>
      <c r="F61" s="14"/>
      <c r="G61" s="5"/>
      <c r="H61" s="5"/>
      <c r="I61" s="28" t="str">
        <f aca="true">IF(OR(A61="",D61=""),"",IF(AND(D61&lt;=TODAY(),OR(E61="",E61&gt;=TODAY())),"VIGENTE","encerrada"))</f>
        <v/>
      </c>
      <c r="J61" s="27"/>
      <c r="K61" s="5"/>
    </row>
    <row r="62" customFormat="false" ht="15" hidden="false" customHeight="false" outlineLevel="0" collapsed="false">
      <c r="A62" s="27"/>
      <c r="B62" s="5"/>
      <c r="C62" s="14"/>
      <c r="D62" s="18"/>
      <c r="E62" s="18"/>
      <c r="F62" s="14"/>
      <c r="G62" s="5"/>
      <c r="H62" s="5"/>
      <c r="I62" s="28" t="str">
        <f aca="true">IF(OR(A62="",D62=""),"",IF(AND(D62&lt;=TODAY(),OR(E62="",E62&gt;=TODAY())),"VIGENTE","encerrada"))</f>
        <v/>
      </c>
      <c r="J62" s="27"/>
      <c r="K62" s="5"/>
    </row>
    <row r="63" customFormat="false" ht="15" hidden="false" customHeight="false" outlineLevel="0" collapsed="false">
      <c r="A63" s="27"/>
      <c r="B63" s="5"/>
      <c r="C63" s="14"/>
      <c r="D63" s="18"/>
      <c r="E63" s="18"/>
      <c r="F63" s="14"/>
      <c r="G63" s="5"/>
      <c r="H63" s="5"/>
      <c r="I63" s="28" t="str">
        <f aca="true">IF(OR(A63="",D63=""),"",IF(AND(D63&lt;=TODAY(),OR(E63="",E63&gt;=TODAY())),"VIGENTE","encerrada"))</f>
        <v/>
      </c>
      <c r="J63" s="27"/>
      <c r="K63" s="5"/>
    </row>
    <row r="64" customFormat="false" ht="15" hidden="false" customHeight="false" outlineLevel="0" collapsed="false">
      <c r="A64" s="27"/>
      <c r="B64" s="5"/>
      <c r="C64" s="14"/>
      <c r="D64" s="18"/>
      <c r="E64" s="18"/>
      <c r="F64" s="14"/>
      <c r="G64" s="5"/>
      <c r="H64" s="5"/>
      <c r="I64" s="28" t="str">
        <f aca="true">IF(OR(A64="",D64=""),"",IF(AND(D64&lt;=TODAY(),OR(E64="",E64&gt;=TODAY())),"VIGENTE","encerrada"))</f>
        <v/>
      </c>
      <c r="J64" s="27"/>
      <c r="K64" s="5"/>
    </row>
    <row r="65" customFormat="false" ht="15" hidden="false" customHeight="false" outlineLevel="0" collapsed="false">
      <c r="A65" s="27"/>
      <c r="B65" s="5"/>
      <c r="C65" s="14"/>
      <c r="D65" s="18"/>
      <c r="E65" s="18"/>
      <c r="F65" s="14"/>
      <c r="G65" s="5"/>
      <c r="H65" s="5"/>
      <c r="I65" s="28" t="str">
        <f aca="true">IF(OR(A65="",D65=""),"",IF(AND(D65&lt;=TODAY(),OR(E65="",E65&gt;=TODAY())),"VIGENTE","encerrada"))</f>
        <v/>
      </c>
      <c r="J65" s="27"/>
      <c r="K65" s="5"/>
    </row>
    <row r="66" customFormat="false" ht="15" hidden="false" customHeight="false" outlineLevel="0" collapsed="false">
      <c r="A66" s="27"/>
      <c r="B66" s="5"/>
      <c r="C66" s="14"/>
      <c r="D66" s="18"/>
      <c r="E66" s="18"/>
      <c r="F66" s="14"/>
      <c r="G66" s="5"/>
      <c r="H66" s="5"/>
      <c r="I66" s="28" t="str">
        <f aca="true">IF(OR(A66="",D66=""),"",IF(AND(D66&lt;=TODAY(),OR(E66="",E66&gt;=TODAY())),"VIGENTE","encerrada"))</f>
        <v/>
      </c>
      <c r="J66" s="27"/>
      <c r="K66" s="5"/>
    </row>
    <row r="67" customFormat="false" ht="15" hidden="false" customHeight="false" outlineLevel="0" collapsed="false">
      <c r="A67" s="27"/>
      <c r="B67" s="5"/>
      <c r="C67" s="14"/>
      <c r="D67" s="18"/>
      <c r="E67" s="18"/>
      <c r="F67" s="14"/>
      <c r="G67" s="5"/>
      <c r="H67" s="5"/>
      <c r="I67" s="28" t="str">
        <f aca="true">IF(OR(A67="",D67=""),"",IF(AND(D67&lt;=TODAY(),OR(E67="",E67&gt;=TODAY())),"VIGENTE","encerrada"))</f>
        <v/>
      </c>
      <c r="J67" s="27"/>
      <c r="K67" s="5"/>
    </row>
    <row r="68" customFormat="false" ht="15" hidden="false" customHeight="false" outlineLevel="0" collapsed="false">
      <c r="A68" s="27"/>
      <c r="B68" s="5"/>
      <c r="C68" s="14"/>
      <c r="D68" s="18"/>
      <c r="E68" s="18"/>
      <c r="F68" s="14"/>
      <c r="G68" s="5"/>
      <c r="H68" s="5"/>
      <c r="I68" s="28" t="str">
        <f aca="true">IF(OR(A68="",D68=""),"",IF(AND(D68&lt;=TODAY(),OR(E68="",E68&gt;=TODAY())),"VIGENTE","encerrada"))</f>
        <v/>
      </c>
      <c r="J68" s="27"/>
      <c r="K68" s="5"/>
    </row>
    <row r="69" customFormat="false" ht="15" hidden="false" customHeight="false" outlineLevel="0" collapsed="false">
      <c r="A69" s="27"/>
      <c r="B69" s="5"/>
      <c r="C69" s="14"/>
      <c r="D69" s="18"/>
      <c r="E69" s="18"/>
      <c r="F69" s="14"/>
      <c r="G69" s="5"/>
      <c r="H69" s="5"/>
      <c r="I69" s="28" t="str">
        <f aca="true">IF(OR(A69="",D69=""),"",IF(AND(D69&lt;=TODAY(),OR(E69="",E69&gt;=TODAY())),"VIGENTE","encerrada"))</f>
        <v/>
      </c>
      <c r="J69" s="27"/>
      <c r="K69" s="5"/>
    </row>
    <row r="70" customFormat="false" ht="15" hidden="false" customHeight="false" outlineLevel="0" collapsed="false">
      <c r="A70" s="27"/>
      <c r="B70" s="5"/>
      <c r="C70" s="14"/>
      <c r="D70" s="18"/>
      <c r="E70" s="18"/>
      <c r="F70" s="14"/>
      <c r="G70" s="5"/>
      <c r="H70" s="5"/>
      <c r="I70" s="28" t="str">
        <f aca="true">IF(OR(A70="",D70=""),"",IF(AND(D70&lt;=TODAY(),OR(E70="",E70&gt;=TODAY())),"VIGENTE","encerrada"))</f>
        <v/>
      </c>
      <c r="J70" s="27"/>
      <c r="K70" s="5"/>
    </row>
    <row r="71" customFormat="false" ht="15" hidden="false" customHeight="false" outlineLevel="0" collapsed="false">
      <c r="A71" s="27"/>
      <c r="B71" s="5"/>
      <c r="C71" s="14"/>
      <c r="D71" s="18"/>
      <c r="E71" s="18"/>
      <c r="F71" s="14"/>
      <c r="G71" s="5"/>
      <c r="H71" s="5"/>
      <c r="I71" s="28" t="str">
        <f aca="true">IF(OR(A71="",D71=""),"",IF(AND(D71&lt;=TODAY(),OR(E71="",E71&gt;=TODAY())),"VIGENTE","encerrada"))</f>
        <v/>
      </c>
      <c r="J71" s="27"/>
      <c r="K71" s="5"/>
    </row>
    <row r="72" customFormat="false" ht="15" hidden="false" customHeight="false" outlineLevel="0" collapsed="false">
      <c r="A72" s="27"/>
      <c r="B72" s="5"/>
      <c r="C72" s="14"/>
      <c r="D72" s="18"/>
      <c r="E72" s="18"/>
      <c r="F72" s="14"/>
      <c r="G72" s="5"/>
      <c r="H72" s="5"/>
      <c r="I72" s="28" t="str">
        <f aca="true">IF(OR(A72="",D72=""),"",IF(AND(D72&lt;=TODAY(),OR(E72="",E72&gt;=TODAY())),"VIGENTE","encerrada"))</f>
        <v/>
      </c>
      <c r="J72" s="27"/>
      <c r="K72" s="5"/>
    </row>
    <row r="73" customFormat="false" ht="15" hidden="false" customHeight="false" outlineLevel="0" collapsed="false">
      <c r="A73" s="27"/>
      <c r="B73" s="5"/>
      <c r="C73" s="14"/>
      <c r="D73" s="18"/>
      <c r="E73" s="18"/>
      <c r="F73" s="14"/>
      <c r="G73" s="5"/>
      <c r="H73" s="5"/>
      <c r="I73" s="28" t="str">
        <f aca="true">IF(OR(A73="",D73=""),"",IF(AND(D73&lt;=TODAY(),OR(E73="",E73&gt;=TODAY())),"VIGENTE","encerrada"))</f>
        <v/>
      </c>
      <c r="J73" s="27"/>
      <c r="K73" s="5"/>
    </row>
    <row r="74" customFormat="false" ht="15" hidden="false" customHeight="false" outlineLevel="0" collapsed="false">
      <c r="A74" s="27"/>
      <c r="B74" s="5"/>
      <c r="C74" s="14"/>
      <c r="D74" s="18"/>
      <c r="E74" s="18"/>
      <c r="F74" s="14"/>
      <c r="G74" s="5"/>
      <c r="H74" s="5"/>
      <c r="I74" s="28" t="str">
        <f aca="true">IF(OR(A74="",D74=""),"",IF(AND(D74&lt;=TODAY(),OR(E74="",E74&gt;=TODAY())),"VIGENTE","encerrada"))</f>
        <v/>
      </c>
      <c r="J74" s="27"/>
      <c r="K74" s="5"/>
    </row>
    <row r="75" customFormat="false" ht="15" hidden="false" customHeight="false" outlineLevel="0" collapsed="false">
      <c r="A75" s="27"/>
      <c r="B75" s="5"/>
      <c r="C75" s="14"/>
      <c r="D75" s="18"/>
      <c r="E75" s="18"/>
      <c r="F75" s="14"/>
      <c r="G75" s="5"/>
      <c r="H75" s="5"/>
      <c r="I75" s="28" t="str">
        <f aca="true">IF(OR(A75="",D75=""),"",IF(AND(D75&lt;=TODAY(),OR(E75="",E75&gt;=TODAY())),"VIGENTE","encerrada"))</f>
        <v/>
      </c>
      <c r="J75" s="27"/>
      <c r="K75" s="5"/>
    </row>
    <row r="76" customFormat="false" ht="15" hidden="false" customHeight="false" outlineLevel="0" collapsed="false">
      <c r="A76" s="27"/>
      <c r="B76" s="5"/>
      <c r="C76" s="14"/>
      <c r="D76" s="18"/>
      <c r="E76" s="18"/>
      <c r="F76" s="14"/>
      <c r="G76" s="5"/>
      <c r="H76" s="5"/>
      <c r="I76" s="28" t="str">
        <f aca="true">IF(OR(A76="",D76=""),"",IF(AND(D76&lt;=TODAY(),OR(E76="",E76&gt;=TODAY())),"VIGENTE","encerrada"))</f>
        <v/>
      </c>
      <c r="J76" s="27"/>
      <c r="K76" s="5"/>
    </row>
    <row r="77" customFormat="false" ht="15" hidden="false" customHeight="false" outlineLevel="0" collapsed="false">
      <c r="A77" s="27"/>
      <c r="B77" s="5"/>
      <c r="C77" s="14"/>
      <c r="D77" s="18"/>
      <c r="E77" s="18"/>
      <c r="F77" s="14"/>
      <c r="G77" s="5"/>
      <c r="H77" s="5"/>
      <c r="I77" s="28" t="str">
        <f aca="true">IF(OR(A77="",D77=""),"",IF(AND(D77&lt;=TODAY(),OR(E77="",E77&gt;=TODAY())),"VIGENTE","encerrada"))</f>
        <v/>
      </c>
      <c r="J77" s="27"/>
      <c r="K77" s="5"/>
    </row>
    <row r="78" customFormat="false" ht="15" hidden="false" customHeight="false" outlineLevel="0" collapsed="false">
      <c r="A78" s="27"/>
      <c r="B78" s="5"/>
      <c r="C78" s="14"/>
      <c r="D78" s="18"/>
      <c r="E78" s="18"/>
      <c r="F78" s="14"/>
      <c r="G78" s="5"/>
      <c r="H78" s="5"/>
      <c r="I78" s="28" t="str">
        <f aca="true">IF(OR(A78="",D78=""),"",IF(AND(D78&lt;=TODAY(),OR(E78="",E78&gt;=TODAY())),"VIGENTE","encerrada"))</f>
        <v/>
      </c>
      <c r="J78" s="27"/>
      <c r="K78" s="5"/>
    </row>
    <row r="79" customFormat="false" ht="15" hidden="false" customHeight="false" outlineLevel="0" collapsed="false">
      <c r="A79" s="27"/>
      <c r="B79" s="5"/>
      <c r="C79" s="14"/>
      <c r="D79" s="18"/>
      <c r="E79" s="18"/>
      <c r="F79" s="14"/>
      <c r="G79" s="5"/>
      <c r="H79" s="5"/>
      <c r="I79" s="28" t="str">
        <f aca="true">IF(OR(A79="",D79=""),"",IF(AND(D79&lt;=TODAY(),OR(E79="",E79&gt;=TODAY())),"VIGENTE","encerrada"))</f>
        <v/>
      </c>
      <c r="J79" s="27"/>
      <c r="K79" s="5"/>
    </row>
    <row r="80" customFormat="false" ht="15" hidden="false" customHeight="false" outlineLevel="0" collapsed="false">
      <c r="A80" s="27"/>
      <c r="B80" s="5"/>
      <c r="C80" s="14"/>
      <c r="D80" s="18"/>
      <c r="E80" s="18"/>
      <c r="F80" s="14"/>
      <c r="G80" s="5"/>
      <c r="H80" s="5"/>
      <c r="I80" s="28" t="str">
        <f aca="true">IF(OR(A80="",D80=""),"",IF(AND(D80&lt;=TODAY(),OR(E80="",E80&gt;=TODAY())),"VIGENTE","encerrada"))</f>
        <v/>
      </c>
      <c r="J80" s="27"/>
      <c r="K80" s="5"/>
    </row>
    <row r="81" customFormat="false" ht="15" hidden="false" customHeight="false" outlineLevel="0" collapsed="false">
      <c r="A81" s="27"/>
      <c r="B81" s="5"/>
      <c r="C81" s="14"/>
      <c r="D81" s="18"/>
      <c r="E81" s="18"/>
      <c r="F81" s="14"/>
      <c r="G81" s="5"/>
      <c r="H81" s="5"/>
      <c r="I81" s="28" t="str">
        <f aca="true">IF(OR(A81="",D81=""),"",IF(AND(D81&lt;=TODAY(),OR(E81="",E81&gt;=TODAY())),"VIGENTE","encerrada"))</f>
        <v/>
      </c>
      <c r="J81" s="27"/>
      <c r="K81" s="5"/>
    </row>
    <row r="82" customFormat="false" ht="15" hidden="false" customHeight="false" outlineLevel="0" collapsed="false">
      <c r="A82" s="27"/>
      <c r="B82" s="5"/>
      <c r="C82" s="14"/>
      <c r="D82" s="18"/>
      <c r="E82" s="18"/>
      <c r="F82" s="14"/>
      <c r="G82" s="5"/>
      <c r="H82" s="5"/>
      <c r="I82" s="28" t="str">
        <f aca="true">IF(OR(A82="",D82=""),"",IF(AND(D82&lt;=TODAY(),OR(E82="",E82&gt;=TODAY())),"VIGENTE","encerrada"))</f>
        <v/>
      </c>
      <c r="J82" s="27"/>
      <c r="K82" s="5"/>
    </row>
    <row r="83" customFormat="false" ht="15" hidden="false" customHeight="false" outlineLevel="0" collapsed="false">
      <c r="A83" s="27"/>
      <c r="B83" s="5"/>
      <c r="C83" s="14"/>
      <c r="D83" s="18"/>
      <c r="E83" s="18"/>
      <c r="F83" s="14"/>
      <c r="G83" s="5"/>
      <c r="H83" s="5"/>
      <c r="I83" s="28" t="str">
        <f aca="true">IF(OR(A83="",D83=""),"",IF(AND(D83&lt;=TODAY(),OR(E83="",E83&gt;=TODAY())),"VIGENTE","encerrada"))</f>
        <v/>
      </c>
      <c r="J83" s="27"/>
      <c r="K83" s="5"/>
    </row>
    <row r="84" customFormat="false" ht="15" hidden="false" customHeight="false" outlineLevel="0" collapsed="false">
      <c r="A84" s="27"/>
      <c r="B84" s="5"/>
      <c r="C84" s="14"/>
      <c r="D84" s="18"/>
      <c r="E84" s="18"/>
      <c r="F84" s="14"/>
      <c r="G84" s="5"/>
      <c r="H84" s="5"/>
      <c r="I84" s="28" t="str">
        <f aca="true">IF(OR(A84="",D84=""),"",IF(AND(D84&lt;=TODAY(),OR(E84="",E84&gt;=TODAY())),"VIGENTE","encerrada"))</f>
        <v/>
      </c>
      <c r="J84" s="27"/>
      <c r="K84" s="5"/>
    </row>
    <row r="85" customFormat="false" ht="15" hidden="false" customHeight="false" outlineLevel="0" collapsed="false">
      <c r="A85" s="27"/>
      <c r="B85" s="5"/>
      <c r="C85" s="14"/>
      <c r="D85" s="18"/>
      <c r="E85" s="18"/>
      <c r="F85" s="14"/>
      <c r="G85" s="5"/>
      <c r="H85" s="5"/>
      <c r="I85" s="28" t="str">
        <f aca="true">IF(OR(A85="",D85=""),"",IF(AND(D85&lt;=TODAY(),OR(E85="",E85&gt;=TODAY())),"VIGENTE","encerrada"))</f>
        <v/>
      </c>
      <c r="J85" s="27"/>
      <c r="K85" s="5"/>
    </row>
    <row r="86" customFormat="false" ht="15" hidden="false" customHeight="false" outlineLevel="0" collapsed="false">
      <c r="A86" s="27"/>
      <c r="B86" s="5"/>
      <c r="C86" s="14"/>
      <c r="D86" s="18"/>
      <c r="E86" s="18"/>
      <c r="F86" s="14"/>
      <c r="G86" s="5"/>
      <c r="H86" s="5"/>
      <c r="I86" s="28" t="str">
        <f aca="true">IF(OR(A86="",D86=""),"",IF(AND(D86&lt;=TODAY(),OR(E86="",E86&gt;=TODAY())),"VIGENTE","encerrada"))</f>
        <v/>
      </c>
      <c r="J86" s="27"/>
      <c r="K86" s="5"/>
    </row>
    <row r="87" customFormat="false" ht="15" hidden="false" customHeight="false" outlineLevel="0" collapsed="false">
      <c r="A87" s="27"/>
      <c r="B87" s="5"/>
      <c r="C87" s="14"/>
      <c r="D87" s="18"/>
      <c r="E87" s="18"/>
      <c r="F87" s="14"/>
      <c r="G87" s="5"/>
      <c r="H87" s="5"/>
      <c r="I87" s="28" t="str">
        <f aca="true">IF(OR(A87="",D87=""),"",IF(AND(D87&lt;=TODAY(),OR(E87="",E87&gt;=TODAY())),"VIGENTE","encerrada"))</f>
        <v/>
      </c>
      <c r="J87" s="27"/>
      <c r="K87" s="5"/>
    </row>
    <row r="88" customFormat="false" ht="15" hidden="false" customHeight="false" outlineLevel="0" collapsed="false">
      <c r="A88" s="27"/>
      <c r="B88" s="5"/>
      <c r="C88" s="14"/>
      <c r="D88" s="18"/>
      <c r="E88" s="18"/>
      <c r="F88" s="14"/>
      <c r="G88" s="5"/>
      <c r="H88" s="5"/>
      <c r="I88" s="28" t="str">
        <f aca="true">IF(OR(A88="",D88=""),"",IF(AND(D88&lt;=TODAY(),OR(E88="",E88&gt;=TODAY())),"VIGENTE","encerrada"))</f>
        <v/>
      </c>
      <c r="J88" s="27"/>
      <c r="K88" s="5"/>
    </row>
    <row r="89" customFormat="false" ht="15" hidden="false" customHeight="false" outlineLevel="0" collapsed="false">
      <c r="A89" s="27"/>
      <c r="B89" s="5"/>
      <c r="C89" s="14"/>
      <c r="D89" s="18"/>
      <c r="E89" s="18"/>
      <c r="F89" s="14"/>
      <c r="G89" s="5"/>
      <c r="H89" s="5"/>
      <c r="I89" s="28" t="str">
        <f aca="true">IF(OR(A89="",D89=""),"",IF(AND(D89&lt;=TODAY(),OR(E89="",E89&gt;=TODAY())),"VIGENTE","encerrada"))</f>
        <v/>
      </c>
      <c r="J89" s="27"/>
      <c r="K89" s="5"/>
    </row>
    <row r="90" customFormat="false" ht="15" hidden="false" customHeight="false" outlineLevel="0" collapsed="false">
      <c r="A90" s="27"/>
      <c r="B90" s="5"/>
      <c r="C90" s="14"/>
      <c r="D90" s="18"/>
      <c r="E90" s="18"/>
      <c r="F90" s="14"/>
      <c r="G90" s="5"/>
      <c r="H90" s="5"/>
      <c r="I90" s="28" t="str">
        <f aca="true">IF(OR(A90="",D90=""),"",IF(AND(D90&lt;=TODAY(),OR(E90="",E90&gt;=TODAY())),"VIGENTE","encerrada"))</f>
        <v/>
      </c>
      <c r="J90" s="27"/>
      <c r="K90" s="5"/>
    </row>
    <row r="91" customFormat="false" ht="15" hidden="false" customHeight="false" outlineLevel="0" collapsed="false">
      <c r="A91" s="27"/>
      <c r="B91" s="5"/>
      <c r="C91" s="14"/>
      <c r="D91" s="18"/>
      <c r="E91" s="18"/>
      <c r="F91" s="14"/>
      <c r="G91" s="5"/>
      <c r="H91" s="5"/>
      <c r="I91" s="28" t="str">
        <f aca="true">IF(OR(A91="",D91=""),"",IF(AND(D91&lt;=TODAY(),OR(E91="",E91&gt;=TODAY())),"VIGENTE","encerrada"))</f>
        <v/>
      </c>
      <c r="J91" s="27"/>
      <c r="K91" s="5"/>
    </row>
    <row r="92" customFormat="false" ht="15" hidden="false" customHeight="false" outlineLevel="0" collapsed="false">
      <c r="A92" s="27"/>
      <c r="B92" s="5"/>
      <c r="C92" s="14"/>
      <c r="D92" s="18"/>
      <c r="E92" s="18"/>
      <c r="F92" s="14"/>
      <c r="G92" s="5"/>
      <c r="H92" s="5"/>
      <c r="I92" s="28" t="str">
        <f aca="true">IF(OR(A92="",D92=""),"",IF(AND(D92&lt;=TODAY(),OR(E92="",E92&gt;=TODAY())),"VIGENTE","encerrada"))</f>
        <v/>
      </c>
      <c r="J92" s="27"/>
      <c r="K92" s="5"/>
    </row>
    <row r="93" customFormat="false" ht="15" hidden="false" customHeight="false" outlineLevel="0" collapsed="false">
      <c r="A93" s="27"/>
      <c r="B93" s="5"/>
      <c r="C93" s="14"/>
      <c r="D93" s="18"/>
      <c r="E93" s="18"/>
      <c r="F93" s="14"/>
      <c r="G93" s="5"/>
      <c r="H93" s="5"/>
      <c r="I93" s="28" t="str">
        <f aca="true">IF(OR(A93="",D93=""),"",IF(AND(D93&lt;=TODAY(),OR(E93="",E93&gt;=TODAY())),"VIGENTE","encerrada"))</f>
        <v/>
      </c>
      <c r="J93" s="27"/>
      <c r="K93" s="5"/>
    </row>
    <row r="94" customFormat="false" ht="15" hidden="false" customHeight="false" outlineLevel="0" collapsed="false">
      <c r="A94" s="27"/>
      <c r="B94" s="5"/>
      <c r="C94" s="14"/>
      <c r="D94" s="18"/>
      <c r="E94" s="18"/>
      <c r="F94" s="14"/>
      <c r="G94" s="5"/>
      <c r="H94" s="5"/>
      <c r="I94" s="28" t="str">
        <f aca="true">IF(OR(A94="",D94=""),"",IF(AND(D94&lt;=TODAY(),OR(E94="",E94&gt;=TODAY())),"VIGENTE","encerrada"))</f>
        <v/>
      </c>
      <c r="J94" s="27"/>
      <c r="K94" s="5"/>
    </row>
    <row r="95" customFormat="false" ht="15" hidden="false" customHeight="false" outlineLevel="0" collapsed="false">
      <c r="A95" s="27"/>
      <c r="B95" s="5"/>
      <c r="C95" s="14"/>
      <c r="D95" s="18"/>
      <c r="E95" s="18"/>
      <c r="F95" s="14"/>
      <c r="G95" s="5"/>
      <c r="H95" s="5"/>
      <c r="I95" s="28" t="str">
        <f aca="true">IF(OR(A95="",D95=""),"",IF(AND(D95&lt;=TODAY(),OR(E95="",E95&gt;=TODAY())),"VIGENTE","encerrada"))</f>
        <v/>
      </c>
      <c r="J95" s="27"/>
      <c r="K95" s="5"/>
    </row>
    <row r="96" customFormat="false" ht="15" hidden="false" customHeight="false" outlineLevel="0" collapsed="false">
      <c r="A96" s="27"/>
      <c r="B96" s="5"/>
      <c r="C96" s="14"/>
      <c r="D96" s="18"/>
      <c r="E96" s="18"/>
      <c r="F96" s="14"/>
      <c r="G96" s="5"/>
      <c r="H96" s="5"/>
      <c r="I96" s="28" t="str">
        <f aca="true">IF(OR(A96="",D96=""),"",IF(AND(D96&lt;=TODAY(),OR(E96="",E96&gt;=TODAY())),"VIGENTE","encerrada"))</f>
        <v/>
      </c>
      <c r="J96" s="27"/>
      <c r="K96" s="5"/>
    </row>
    <row r="97" customFormat="false" ht="15" hidden="false" customHeight="false" outlineLevel="0" collapsed="false">
      <c r="A97" s="27"/>
      <c r="B97" s="5"/>
      <c r="C97" s="14"/>
      <c r="D97" s="18"/>
      <c r="E97" s="18"/>
      <c r="F97" s="14"/>
      <c r="G97" s="5"/>
      <c r="H97" s="5"/>
      <c r="I97" s="28" t="str">
        <f aca="true">IF(OR(A97="",D97=""),"",IF(AND(D97&lt;=TODAY(),OR(E97="",E97&gt;=TODAY())),"VIGENTE","encerrada"))</f>
        <v/>
      </c>
      <c r="J97" s="27"/>
      <c r="K97" s="5"/>
    </row>
    <row r="98" customFormat="false" ht="15" hidden="false" customHeight="false" outlineLevel="0" collapsed="false">
      <c r="A98" s="27"/>
      <c r="B98" s="5"/>
      <c r="C98" s="14"/>
      <c r="D98" s="18"/>
      <c r="E98" s="18"/>
      <c r="F98" s="14"/>
      <c r="G98" s="5"/>
      <c r="H98" s="5"/>
      <c r="I98" s="28" t="str">
        <f aca="true">IF(OR(A98="",D98=""),"",IF(AND(D98&lt;=TODAY(),OR(E98="",E98&gt;=TODAY())),"VIGENTE","encerrada"))</f>
        <v/>
      </c>
      <c r="J98" s="27"/>
      <c r="K98" s="5"/>
    </row>
    <row r="99" customFormat="false" ht="15" hidden="false" customHeight="false" outlineLevel="0" collapsed="false">
      <c r="A99" s="27"/>
      <c r="B99" s="5"/>
      <c r="C99" s="14"/>
      <c r="D99" s="18"/>
      <c r="E99" s="18"/>
      <c r="F99" s="14"/>
      <c r="G99" s="5"/>
      <c r="H99" s="5"/>
      <c r="I99" s="28" t="str">
        <f aca="true">IF(OR(A99="",D99=""),"",IF(AND(D99&lt;=TODAY(),OR(E99="",E99&gt;=TODAY())),"VIGENTE","encerrada"))</f>
        <v/>
      </c>
      <c r="J99" s="27"/>
      <c r="K99" s="5"/>
    </row>
    <row r="100" customFormat="false" ht="15" hidden="false" customHeight="false" outlineLevel="0" collapsed="false">
      <c r="A100" s="27"/>
      <c r="B100" s="5"/>
      <c r="C100" s="14"/>
      <c r="D100" s="18"/>
      <c r="E100" s="18"/>
      <c r="F100" s="14"/>
      <c r="G100" s="5"/>
      <c r="H100" s="5"/>
      <c r="I100" s="28" t="str">
        <f aca="true">IF(OR(A100="",D100=""),"",IF(AND(D100&lt;=TODAY(),OR(E100="",E100&gt;=TODAY())),"VIGENTE","encerrada"))</f>
        <v/>
      </c>
      <c r="J100" s="27"/>
      <c r="K100" s="5"/>
    </row>
    <row r="101" customFormat="false" ht="15" hidden="false" customHeight="false" outlineLevel="0" collapsed="false">
      <c r="A101" s="27"/>
      <c r="B101" s="5"/>
      <c r="C101" s="14"/>
      <c r="D101" s="18"/>
      <c r="E101" s="18"/>
      <c r="F101" s="14"/>
      <c r="G101" s="5"/>
      <c r="H101" s="5"/>
      <c r="I101" s="28" t="str">
        <f aca="true">IF(OR(A101="",D101=""),"",IF(AND(D101&lt;=TODAY(),OR(E101="",E101&gt;=TODAY())),"VIGENTE","encerrada"))</f>
        <v/>
      </c>
      <c r="J101" s="27"/>
      <c r="K101" s="5"/>
    </row>
    <row r="102" customFormat="false" ht="15" hidden="false" customHeight="false" outlineLevel="0" collapsed="false">
      <c r="A102" s="27"/>
      <c r="B102" s="5"/>
      <c r="C102" s="14"/>
      <c r="D102" s="18"/>
      <c r="E102" s="18"/>
      <c r="F102" s="14"/>
      <c r="G102" s="5"/>
      <c r="H102" s="5"/>
      <c r="I102" s="28" t="str">
        <f aca="true">IF(OR(A102="",D102=""),"",IF(AND(D102&lt;=TODAY(),OR(E102="",E102&gt;=TODAY())),"VIGENTE","encerrada"))</f>
        <v/>
      </c>
      <c r="J102" s="27"/>
      <c r="K102" s="5"/>
    </row>
    <row r="103" customFormat="false" ht="15" hidden="false" customHeight="false" outlineLevel="0" collapsed="false">
      <c r="A103" s="27"/>
      <c r="B103" s="5"/>
      <c r="C103" s="14"/>
      <c r="D103" s="18"/>
      <c r="E103" s="18"/>
      <c r="F103" s="14"/>
      <c r="G103" s="5"/>
      <c r="H103" s="5"/>
      <c r="I103" s="28" t="str">
        <f aca="true">IF(OR(A103="",D103=""),"",IF(AND(D103&lt;=TODAY(),OR(E103="",E103&gt;=TODAY())),"VIGENTE","encerrada"))</f>
        <v/>
      </c>
      <c r="J103" s="27"/>
      <c r="K103" s="5"/>
    </row>
    <row r="104" customFormat="false" ht="15" hidden="false" customHeight="false" outlineLevel="0" collapsed="false">
      <c r="A104" s="27"/>
      <c r="B104" s="5"/>
      <c r="C104" s="14"/>
      <c r="D104" s="18"/>
      <c r="E104" s="18"/>
      <c r="F104" s="14"/>
      <c r="G104" s="5"/>
      <c r="H104" s="5"/>
      <c r="I104" s="28" t="str">
        <f aca="true">IF(OR(A104="",D104=""),"",IF(AND(D104&lt;=TODAY(),OR(E104="",E104&gt;=TODAY())),"VIGENTE","encerrada"))</f>
        <v/>
      </c>
      <c r="J104" s="27"/>
      <c r="K104" s="5"/>
    </row>
    <row r="105" customFormat="false" ht="15" hidden="false" customHeight="false" outlineLevel="0" collapsed="false">
      <c r="A105" s="27"/>
      <c r="B105" s="5"/>
      <c r="C105" s="14"/>
      <c r="D105" s="18"/>
      <c r="E105" s="18"/>
      <c r="F105" s="14"/>
      <c r="G105" s="5"/>
      <c r="H105" s="5"/>
      <c r="I105" s="28" t="str">
        <f aca="true">IF(OR(A105="",D105=""),"",IF(AND(D105&lt;=TODAY(),OR(E105="",E105&gt;=TODAY())),"VIGENTE","encerrada"))</f>
        <v/>
      </c>
      <c r="J105" s="27"/>
      <c r="K105" s="5"/>
    </row>
    <row r="106" customFormat="false" ht="15" hidden="false" customHeight="false" outlineLevel="0" collapsed="false">
      <c r="A106" s="27"/>
      <c r="B106" s="5"/>
      <c r="C106" s="14"/>
      <c r="D106" s="18"/>
      <c r="E106" s="18"/>
      <c r="F106" s="14"/>
      <c r="G106" s="5"/>
      <c r="H106" s="5"/>
      <c r="I106" s="28" t="str">
        <f aca="true">IF(OR(A106="",D106=""),"",IF(AND(D106&lt;=TODAY(),OR(E106="",E106&gt;=TODAY())),"VIGENTE","encerrada"))</f>
        <v/>
      </c>
      <c r="J106" s="27"/>
      <c r="K106" s="5"/>
    </row>
    <row r="107" customFormat="false" ht="15" hidden="false" customHeight="false" outlineLevel="0" collapsed="false">
      <c r="A107" s="27"/>
      <c r="B107" s="5"/>
      <c r="C107" s="14"/>
      <c r="D107" s="18"/>
      <c r="E107" s="18"/>
      <c r="F107" s="14"/>
      <c r="G107" s="5"/>
      <c r="H107" s="5"/>
      <c r="I107" s="28" t="str">
        <f aca="true">IF(OR(A107="",D107=""),"",IF(AND(D107&lt;=TODAY(),OR(E107="",E107&gt;=TODAY())),"VIGENTE","encerrada"))</f>
        <v/>
      </c>
      <c r="J107" s="27"/>
      <c r="K107" s="5"/>
    </row>
    <row r="108" customFormat="false" ht="15" hidden="false" customHeight="false" outlineLevel="0" collapsed="false">
      <c r="A108" s="27"/>
      <c r="B108" s="5"/>
      <c r="C108" s="14"/>
      <c r="D108" s="18"/>
      <c r="E108" s="18"/>
      <c r="F108" s="14"/>
      <c r="G108" s="5"/>
      <c r="H108" s="5"/>
      <c r="I108" s="28" t="str">
        <f aca="true">IF(OR(A108="",D108=""),"",IF(AND(D108&lt;=TODAY(),OR(E108="",E108&gt;=TODAY())),"VIGENTE","encerrada"))</f>
        <v/>
      </c>
      <c r="J108" s="27"/>
      <c r="K108" s="5"/>
    </row>
    <row r="109" customFormat="false" ht="15" hidden="false" customHeight="false" outlineLevel="0" collapsed="false">
      <c r="A109" s="27"/>
      <c r="B109" s="5"/>
      <c r="C109" s="14"/>
      <c r="D109" s="18"/>
      <c r="E109" s="18"/>
      <c r="F109" s="14"/>
      <c r="G109" s="5"/>
      <c r="H109" s="5"/>
      <c r="I109" s="28" t="str">
        <f aca="true">IF(OR(A109="",D109=""),"",IF(AND(D109&lt;=TODAY(),OR(E109="",E109&gt;=TODAY())),"VIGENTE","encerrada"))</f>
        <v/>
      </c>
      <c r="J109" s="27"/>
      <c r="K109" s="5"/>
    </row>
    <row r="110" customFormat="false" ht="15" hidden="false" customHeight="false" outlineLevel="0" collapsed="false">
      <c r="A110" s="27"/>
      <c r="B110" s="5"/>
      <c r="C110" s="14"/>
      <c r="D110" s="18"/>
      <c r="E110" s="18"/>
      <c r="F110" s="14"/>
      <c r="G110" s="5"/>
      <c r="H110" s="5"/>
      <c r="I110" s="28" t="str">
        <f aca="true">IF(OR(A110="",D110=""),"",IF(AND(D110&lt;=TODAY(),OR(E110="",E110&gt;=TODAY())),"VIGENTE","encerrada"))</f>
        <v/>
      </c>
      <c r="J110" s="27"/>
      <c r="K110" s="5"/>
    </row>
    <row r="111" customFormat="false" ht="15" hidden="false" customHeight="false" outlineLevel="0" collapsed="false">
      <c r="A111" s="27"/>
      <c r="B111" s="5"/>
      <c r="C111" s="14"/>
      <c r="D111" s="18"/>
      <c r="E111" s="18"/>
      <c r="F111" s="14"/>
      <c r="G111" s="5"/>
      <c r="H111" s="5"/>
      <c r="I111" s="28" t="str">
        <f aca="true">IF(OR(A111="",D111=""),"",IF(AND(D111&lt;=TODAY(),OR(E111="",E111&gt;=TODAY())),"VIGENTE","encerrada"))</f>
        <v/>
      </c>
      <c r="J111" s="27"/>
      <c r="K111" s="5"/>
    </row>
    <row r="112" customFormat="false" ht="15" hidden="false" customHeight="false" outlineLevel="0" collapsed="false">
      <c r="A112" s="27"/>
      <c r="B112" s="5"/>
      <c r="C112" s="14"/>
      <c r="D112" s="18"/>
      <c r="E112" s="18"/>
      <c r="F112" s="14"/>
      <c r="G112" s="5"/>
      <c r="H112" s="5"/>
      <c r="I112" s="28" t="str">
        <f aca="true">IF(OR(A112="",D112=""),"",IF(AND(D112&lt;=TODAY(),OR(E112="",E112&gt;=TODAY())),"VIGENTE","encerrada"))</f>
        <v/>
      </c>
      <c r="J112" s="27"/>
      <c r="K112" s="5"/>
    </row>
    <row r="113" customFormat="false" ht="15" hidden="false" customHeight="false" outlineLevel="0" collapsed="false">
      <c r="A113" s="27"/>
      <c r="B113" s="5"/>
      <c r="C113" s="14"/>
      <c r="D113" s="18"/>
      <c r="E113" s="18"/>
      <c r="F113" s="14"/>
      <c r="G113" s="5"/>
      <c r="H113" s="5"/>
      <c r="I113" s="28" t="str">
        <f aca="true">IF(OR(A113="",D113=""),"",IF(AND(D113&lt;=TODAY(),OR(E113="",E113&gt;=TODAY())),"VIGENTE","encerrada"))</f>
        <v/>
      </c>
      <c r="J113" s="27"/>
      <c r="K113" s="5"/>
    </row>
    <row r="114" customFormat="false" ht="15" hidden="false" customHeight="false" outlineLevel="0" collapsed="false">
      <c r="A114" s="27"/>
      <c r="B114" s="5"/>
      <c r="C114" s="14"/>
      <c r="D114" s="18"/>
      <c r="E114" s="18"/>
      <c r="F114" s="14"/>
      <c r="G114" s="5"/>
      <c r="H114" s="5"/>
      <c r="I114" s="28" t="str">
        <f aca="true">IF(OR(A114="",D114=""),"",IF(AND(D114&lt;=TODAY(),OR(E114="",E114&gt;=TODAY())),"VIGENTE","encerrada"))</f>
        <v/>
      </c>
      <c r="J114" s="27"/>
      <c r="K114" s="5"/>
    </row>
    <row r="115" customFormat="false" ht="15" hidden="false" customHeight="false" outlineLevel="0" collapsed="false">
      <c r="A115" s="27"/>
      <c r="B115" s="5"/>
      <c r="C115" s="14"/>
      <c r="D115" s="18"/>
      <c r="E115" s="18"/>
      <c r="F115" s="14"/>
      <c r="G115" s="5"/>
      <c r="H115" s="5"/>
      <c r="I115" s="28" t="str">
        <f aca="true">IF(OR(A115="",D115=""),"",IF(AND(D115&lt;=TODAY(),OR(E115="",E115&gt;=TODAY())),"VIGENTE","encerrada"))</f>
        <v/>
      </c>
      <c r="J115" s="27"/>
      <c r="K115" s="5"/>
    </row>
    <row r="116" customFormat="false" ht="15" hidden="false" customHeight="false" outlineLevel="0" collapsed="false">
      <c r="A116" s="27"/>
      <c r="B116" s="5"/>
      <c r="C116" s="14"/>
      <c r="D116" s="18"/>
      <c r="E116" s="18"/>
      <c r="F116" s="14"/>
      <c r="G116" s="5"/>
      <c r="H116" s="5"/>
      <c r="I116" s="28" t="str">
        <f aca="true">IF(OR(A116="",D116=""),"",IF(AND(D116&lt;=TODAY(),OR(E116="",E116&gt;=TODAY())),"VIGENTE","encerrada"))</f>
        <v/>
      </c>
      <c r="J116" s="27"/>
      <c r="K116" s="5"/>
    </row>
    <row r="117" customFormat="false" ht="15" hidden="false" customHeight="false" outlineLevel="0" collapsed="false">
      <c r="A117" s="27"/>
      <c r="B117" s="5"/>
      <c r="C117" s="14"/>
      <c r="D117" s="18"/>
      <c r="E117" s="18"/>
      <c r="F117" s="14"/>
      <c r="G117" s="5"/>
      <c r="H117" s="5"/>
      <c r="I117" s="28" t="str">
        <f aca="true">IF(OR(A117="",D117=""),"",IF(AND(D117&lt;=TODAY(),OR(E117="",E117&gt;=TODAY())),"VIGENTE","encerrada"))</f>
        <v/>
      </c>
      <c r="J117" s="27"/>
      <c r="K117" s="5"/>
    </row>
    <row r="118" customFormat="false" ht="15" hidden="false" customHeight="false" outlineLevel="0" collapsed="false">
      <c r="A118" s="27"/>
      <c r="B118" s="5"/>
      <c r="C118" s="14"/>
      <c r="D118" s="18"/>
      <c r="E118" s="18"/>
      <c r="F118" s="14"/>
      <c r="G118" s="5"/>
      <c r="H118" s="5"/>
      <c r="I118" s="28" t="str">
        <f aca="true">IF(OR(A118="",D118=""),"",IF(AND(D118&lt;=TODAY(),OR(E118="",E118&gt;=TODAY())),"VIGENTE","encerrada"))</f>
        <v/>
      </c>
      <c r="J118" s="27"/>
      <c r="K118" s="5"/>
    </row>
    <row r="119" customFormat="false" ht="15" hidden="false" customHeight="false" outlineLevel="0" collapsed="false">
      <c r="A119" s="27"/>
      <c r="B119" s="5"/>
      <c r="C119" s="14"/>
      <c r="D119" s="18"/>
      <c r="E119" s="18"/>
      <c r="F119" s="14"/>
      <c r="G119" s="5"/>
      <c r="H119" s="5"/>
      <c r="I119" s="28" t="str">
        <f aca="true">IF(OR(A119="",D119=""),"",IF(AND(D119&lt;=TODAY(),OR(E119="",E119&gt;=TODAY())),"VIGENTE","encerrada"))</f>
        <v/>
      </c>
      <c r="J119" s="27"/>
      <c r="K119" s="5"/>
    </row>
    <row r="120" customFormat="false" ht="15" hidden="false" customHeight="false" outlineLevel="0" collapsed="false">
      <c r="A120" s="27"/>
      <c r="B120" s="5"/>
      <c r="C120" s="14"/>
      <c r="D120" s="18"/>
      <c r="E120" s="18"/>
      <c r="F120" s="14"/>
      <c r="G120" s="5"/>
      <c r="H120" s="5"/>
      <c r="I120" s="28" t="str">
        <f aca="true">IF(OR(A120="",D120=""),"",IF(AND(D120&lt;=TODAY(),OR(E120="",E120&gt;=TODAY())),"VIGENTE","encerrada"))</f>
        <v/>
      </c>
      <c r="J120" s="27"/>
      <c r="K120" s="5"/>
    </row>
    <row r="121" customFormat="false" ht="15" hidden="false" customHeight="false" outlineLevel="0" collapsed="false">
      <c r="A121" s="27"/>
      <c r="B121" s="5"/>
      <c r="C121" s="14"/>
      <c r="D121" s="18"/>
      <c r="E121" s="18"/>
      <c r="F121" s="14"/>
      <c r="G121" s="5"/>
      <c r="H121" s="5"/>
      <c r="I121" s="28" t="str">
        <f aca="true">IF(OR(A121="",D121=""),"",IF(AND(D121&lt;=TODAY(),OR(E121="",E121&gt;=TODAY())),"VIGENTE","encerrada"))</f>
        <v/>
      </c>
      <c r="J121" s="27"/>
      <c r="K121" s="5"/>
    </row>
    <row r="122" customFormat="false" ht="15" hidden="false" customHeight="false" outlineLevel="0" collapsed="false">
      <c r="A122" s="27"/>
      <c r="B122" s="5"/>
      <c r="C122" s="14"/>
      <c r="D122" s="18"/>
      <c r="E122" s="18"/>
      <c r="F122" s="14"/>
      <c r="G122" s="5"/>
      <c r="H122" s="5"/>
      <c r="I122" s="28" t="str">
        <f aca="true">IF(OR(A122="",D122=""),"",IF(AND(D122&lt;=TODAY(),OR(E122="",E122&gt;=TODAY())),"VIGENTE","encerrada"))</f>
        <v/>
      </c>
      <c r="J122" s="27"/>
      <c r="K122" s="5"/>
    </row>
    <row r="123" customFormat="false" ht="15" hidden="false" customHeight="false" outlineLevel="0" collapsed="false">
      <c r="A123" s="27"/>
      <c r="B123" s="5"/>
      <c r="C123" s="14"/>
      <c r="D123" s="18"/>
      <c r="E123" s="18"/>
      <c r="F123" s="14"/>
      <c r="G123" s="5"/>
      <c r="H123" s="5"/>
      <c r="I123" s="28" t="str">
        <f aca="true">IF(OR(A123="",D123=""),"",IF(AND(D123&lt;=TODAY(),OR(E123="",E123&gt;=TODAY())),"VIGENTE","encerrada"))</f>
        <v/>
      </c>
      <c r="J123" s="27"/>
      <c r="K123" s="5"/>
    </row>
    <row r="124" customFormat="false" ht="15" hidden="false" customHeight="false" outlineLevel="0" collapsed="false">
      <c r="A124" s="27"/>
      <c r="B124" s="5"/>
      <c r="C124" s="14"/>
      <c r="D124" s="18"/>
      <c r="E124" s="18"/>
      <c r="F124" s="14"/>
      <c r="G124" s="5"/>
      <c r="H124" s="5"/>
      <c r="I124" s="28" t="str">
        <f aca="true">IF(OR(A124="",D124=""),"",IF(AND(D124&lt;=TODAY(),OR(E124="",E124&gt;=TODAY())),"VIGENTE","encerrada"))</f>
        <v/>
      </c>
      <c r="J124" s="27"/>
      <c r="K124" s="5"/>
    </row>
    <row r="125" customFormat="false" ht="15" hidden="false" customHeight="false" outlineLevel="0" collapsed="false">
      <c r="A125" s="27"/>
      <c r="B125" s="5"/>
      <c r="C125" s="14"/>
      <c r="D125" s="18"/>
      <c r="E125" s="18"/>
      <c r="F125" s="14"/>
      <c r="G125" s="5"/>
      <c r="H125" s="5"/>
      <c r="I125" s="28" t="str">
        <f aca="true">IF(OR(A125="",D125=""),"",IF(AND(D125&lt;=TODAY(),OR(E125="",E125&gt;=TODAY())),"VIGENTE","encerrada"))</f>
        <v/>
      </c>
      <c r="J125" s="27"/>
      <c r="K125" s="5"/>
    </row>
    <row r="126" customFormat="false" ht="15" hidden="false" customHeight="false" outlineLevel="0" collapsed="false">
      <c r="A126" s="27"/>
      <c r="B126" s="5"/>
      <c r="C126" s="14"/>
      <c r="D126" s="18"/>
      <c r="E126" s="18"/>
      <c r="F126" s="14"/>
      <c r="G126" s="5"/>
      <c r="H126" s="5"/>
      <c r="I126" s="28" t="str">
        <f aca="true">IF(OR(A126="",D126=""),"",IF(AND(D126&lt;=TODAY(),OR(E126="",E126&gt;=TODAY())),"VIGENTE","encerrada"))</f>
        <v/>
      </c>
      <c r="J126" s="27"/>
      <c r="K126" s="5"/>
    </row>
    <row r="127" customFormat="false" ht="15" hidden="false" customHeight="false" outlineLevel="0" collapsed="false">
      <c r="A127" s="27"/>
      <c r="B127" s="5"/>
      <c r="C127" s="14"/>
      <c r="D127" s="18"/>
      <c r="E127" s="18"/>
      <c r="F127" s="14"/>
      <c r="G127" s="5"/>
      <c r="H127" s="5"/>
      <c r="I127" s="28" t="str">
        <f aca="true">IF(OR(A127="",D127=""),"",IF(AND(D127&lt;=TODAY(),OR(E127="",E127&gt;=TODAY())),"VIGENTE","encerrada"))</f>
        <v/>
      </c>
      <c r="J127" s="27"/>
      <c r="K127" s="5"/>
    </row>
    <row r="128" customFormat="false" ht="15" hidden="false" customHeight="false" outlineLevel="0" collapsed="false">
      <c r="A128" s="27"/>
      <c r="B128" s="5"/>
      <c r="C128" s="14"/>
      <c r="D128" s="18"/>
      <c r="E128" s="18"/>
      <c r="F128" s="14"/>
      <c r="G128" s="5"/>
      <c r="H128" s="5"/>
      <c r="I128" s="28" t="str">
        <f aca="true">IF(OR(A128="",D128=""),"",IF(AND(D128&lt;=TODAY(),OR(E128="",E128&gt;=TODAY())),"VIGENTE","encerrada"))</f>
        <v/>
      </c>
      <c r="J128" s="27"/>
      <c r="K128" s="5"/>
    </row>
    <row r="129" customFormat="false" ht="15" hidden="false" customHeight="false" outlineLevel="0" collapsed="false">
      <c r="A129" s="27"/>
      <c r="B129" s="5"/>
      <c r="C129" s="14"/>
      <c r="D129" s="18"/>
      <c r="E129" s="18"/>
      <c r="F129" s="14"/>
      <c r="G129" s="5"/>
      <c r="H129" s="5"/>
      <c r="I129" s="28" t="str">
        <f aca="true">IF(OR(A129="",D129=""),"",IF(AND(D129&lt;=TODAY(),OR(E129="",E129&gt;=TODAY())),"VIGENTE","encerrada"))</f>
        <v/>
      </c>
      <c r="J129" s="27"/>
      <c r="K129" s="5"/>
    </row>
    <row r="130" customFormat="false" ht="15" hidden="false" customHeight="false" outlineLevel="0" collapsed="false">
      <c r="A130" s="27"/>
      <c r="B130" s="5"/>
      <c r="C130" s="14"/>
      <c r="D130" s="18"/>
      <c r="E130" s="18"/>
      <c r="F130" s="14"/>
      <c r="G130" s="5"/>
      <c r="H130" s="5"/>
      <c r="I130" s="28" t="str">
        <f aca="true">IF(OR(A130="",D130=""),"",IF(AND(D130&lt;=TODAY(),OR(E130="",E130&gt;=TODAY())),"VIGENTE","encerrada"))</f>
        <v/>
      </c>
      <c r="J130" s="27"/>
      <c r="K130" s="5"/>
    </row>
    <row r="131" customFormat="false" ht="15" hidden="false" customHeight="false" outlineLevel="0" collapsed="false">
      <c r="A131" s="27"/>
      <c r="B131" s="5"/>
      <c r="C131" s="14"/>
      <c r="D131" s="18"/>
      <c r="E131" s="18"/>
      <c r="F131" s="14"/>
      <c r="G131" s="5"/>
      <c r="H131" s="5"/>
      <c r="I131" s="28" t="str">
        <f aca="true">IF(OR(A131="",D131=""),"",IF(AND(D131&lt;=TODAY(),OR(E131="",E131&gt;=TODAY())),"VIGENTE","encerrada"))</f>
        <v/>
      </c>
      <c r="J131" s="27"/>
      <c r="K131" s="5"/>
    </row>
    <row r="132" customFormat="false" ht="15" hidden="false" customHeight="false" outlineLevel="0" collapsed="false">
      <c r="A132" s="27"/>
      <c r="B132" s="5"/>
      <c r="C132" s="14"/>
      <c r="D132" s="18"/>
      <c r="E132" s="18"/>
      <c r="F132" s="14"/>
      <c r="G132" s="5"/>
      <c r="H132" s="5"/>
      <c r="I132" s="28" t="str">
        <f aca="true">IF(OR(A132="",D132=""),"",IF(AND(D132&lt;=TODAY(),OR(E132="",E132&gt;=TODAY())),"VIGENTE","encerrada"))</f>
        <v/>
      </c>
      <c r="J132" s="27"/>
      <c r="K132" s="5"/>
    </row>
    <row r="133" customFormat="false" ht="15" hidden="false" customHeight="false" outlineLevel="0" collapsed="false">
      <c r="A133" s="27"/>
      <c r="B133" s="5"/>
      <c r="C133" s="14"/>
      <c r="D133" s="18"/>
      <c r="E133" s="18"/>
      <c r="F133" s="14"/>
      <c r="G133" s="5"/>
      <c r="H133" s="5"/>
      <c r="I133" s="28" t="str">
        <f aca="true">IF(OR(A133="",D133=""),"",IF(AND(D133&lt;=TODAY(),OR(E133="",E133&gt;=TODAY())),"VIGENTE","encerrada"))</f>
        <v/>
      </c>
      <c r="J133" s="27"/>
      <c r="K133" s="5"/>
    </row>
    <row r="134" customFormat="false" ht="15" hidden="false" customHeight="false" outlineLevel="0" collapsed="false">
      <c r="A134" s="27"/>
      <c r="B134" s="5"/>
      <c r="C134" s="14"/>
      <c r="D134" s="18"/>
      <c r="E134" s="18"/>
      <c r="F134" s="14"/>
      <c r="G134" s="5"/>
      <c r="H134" s="5"/>
      <c r="I134" s="28" t="str">
        <f aca="true">IF(OR(A134="",D134=""),"",IF(AND(D134&lt;=TODAY(),OR(E134="",E134&gt;=TODAY())),"VIGENTE","encerrada"))</f>
        <v/>
      </c>
      <c r="J134" s="27"/>
      <c r="K134" s="5"/>
    </row>
    <row r="135" customFormat="false" ht="15" hidden="false" customHeight="false" outlineLevel="0" collapsed="false">
      <c r="A135" s="27"/>
      <c r="B135" s="5"/>
      <c r="C135" s="14"/>
      <c r="D135" s="18"/>
      <c r="E135" s="18"/>
      <c r="F135" s="14"/>
      <c r="G135" s="5"/>
      <c r="H135" s="5"/>
      <c r="I135" s="28" t="str">
        <f aca="true">IF(OR(A135="",D135=""),"",IF(AND(D135&lt;=TODAY(),OR(E135="",E135&gt;=TODAY())),"VIGENTE","encerrada"))</f>
        <v/>
      </c>
      <c r="J135" s="27"/>
      <c r="K135" s="5"/>
    </row>
    <row r="136" customFormat="false" ht="15" hidden="false" customHeight="false" outlineLevel="0" collapsed="false">
      <c r="A136" s="27"/>
      <c r="B136" s="5"/>
      <c r="C136" s="14"/>
      <c r="D136" s="18"/>
      <c r="E136" s="18"/>
      <c r="F136" s="14"/>
      <c r="G136" s="5"/>
      <c r="H136" s="5"/>
      <c r="I136" s="28" t="str">
        <f aca="true">IF(OR(A136="",D136=""),"",IF(AND(D136&lt;=TODAY(),OR(E136="",E136&gt;=TODAY())),"VIGENTE","encerrada"))</f>
        <v/>
      </c>
      <c r="J136" s="27"/>
      <c r="K136" s="5"/>
    </row>
    <row r="137" customFormat="false" ht="15" hidden="false" customHeight="false" outlineLevel="0" collapsed="false">
      <c r="A137" s="27"/>
      <c r="B137" s="5"/>
      <c r="C137" s="14"/>
      <c r="D137" s="18"/>
      <c r="E137" s="18"/>
      <c r="F137" s="14"/>
      <c r="G137" s="5"/>
      <c r="H137" s="5"/>
      <c r="I137" s="28" t="str">
        <f aca="true">IF(OR(A137="",D137=""),"",IF(AND(D137&lt;=TODAY(),OR(E137="",E137&gt;=TODAY())),"VIGENTE","encerrada"))</f>
        <v/>
      </c>
      <c r="J137" s="27"/>
      <c r="K137" s="5"/>
    </row>
    <row r="138" customFormat="false" ht="15" hidden="false" customHeight="false" outlineLevel="0" collapsed="false">
      <c r="A138" s="27"/>
      <c r="B138" s="5"/>
      <c r="C138" s="14"/>
      <c r="D138" s="18"/>
      <c r="E138" s="18"/>
      <c r="F138" s="14"/>
      <c r="G138" s="5"/>
      <c r="H138" s="5"/>
      <c r="I138" s="28" t="str">
        <f aca="true">IF(OR(A138="",D138=""),"",IF(AND(D138&lt;=TODAY(),OR(E138="",E138&gt;=TODAY())),"VIGENTE","encerrada"))</f>
        <v/>
      </c>
      <c r="J138" s="27"/>
      <c r="K138" s="5"/>
    </row>
    <row r="139" customFormat="false" ht="15" hidden="false" customHeight="false" outlineLevel="0" collapsed="false">
      <c r="A139" s="27"/>
      <c r="B139" s="5"/>
      <c r="C139" s="14"/>
      <c r="D139" s="18"/>
      <c r="E139" s="18"/>
      <c r="F139" s="14"/>
      <c r="G139" s="5"/>
      <c r="H139" s="5"/>
      <c r="I139" s="28" t="str">
        <f aca="true">IF(OR(A139="",D139=""),"",IF(AND(D139&lt;=TODAY(),OR(E139="",E139&gt;=TODAY())),"VIGENTE","encerrada"))</f>
        <v/>
      </c>
      <c r="J139" s="27"/>
      <c r="K139" s="5"/>
    </row>
    <row r="140" customFormat="false" ht="15" hidden="false" customHeight="false" outlineLevel="0" collapsed="false">
      <c r="A140" s="27"/>
      <c r="B140" s="5"/>
      <c r="C140" s="14"/>
      <c r="D140" s="18"/>
      <c r="E140" s="18"/>
      <c r="F140" s="14"/>
      <c r="G140" s="5"/>
      <c r="H140" s="5"/>
      <c r="I140" s="28" t="str">
        <f aca="true">IF(OR(A140="",D140=""),"",IF(AND(D140&lt;=TODAY(),OR(E140="",E140&gt;=TODAY())),"VIGENTE","encerrada"))</f>
        <v/>
      </c>
      <c r="J140" s="27"/>
      <c r="K140" s="5"/>
    </row>
    <row r="141" customFormat="false" ht="15" hidden="false" customHeight="false" outlineLevel="0" collapsed="false">
      <c r="A141" s="27"/>
      <c r="B141" s="5"/>
      <c r="C141" s="14"/>
      <c r="D141" s="18"/>
      <c r="E141" s="18"/>
      <c r="F141" s="14"/>
      <c r="G141" s="5"/>
      <c r="H141" s="5"/>
      <c r="I141" s="28" t="str">
        <f aca="true">IF(OR(A141="",D141=""),"",IF(AND(D141&lt;=TODAY(),OR(E141="",E141&gt;=TODAY())),"VIGENTE","encerrada"))</f>
        <v/>
      </c>
      <c r="J141" s="27"/>
      <c r="K141" s="5"/>
    </row>
    <row r="142" customFormat="false" ht="15" hidden="false" customHeight="false" outlineLevel="0" collapsed="false">
      <c r="A142" s="27"/>
      <c r="B142" s="5"/>
      <c r="C142" s="14"/>
      <c r="D142" s="18"/>
      <c r="E142" s="18"/>
      <c r="F142" s="14"/>
      <c r="G142" s="5"/>
      <c r="H142" s="5"/>
      <c r="I142" s="28" t="str">
        <f aca="true">IF(OR(A142="",D142=""),"",IF(AND(D142&lt;=TODAY(),OR(E142="",E142&gt;=TODAY())),"VIGENTE","encerrada"))</f>
        <v/>
      </c>
      <c r="J142" s="27"/>
      <c r="K142" s="5"/>
    </row>
    <row r="143" customFormat="false" ht="15" hidden="false" customHeight="false" outlineLevel="0" collapsed="false">
      <c r="A143" s="27"/>
      <c r="B143" s="5"/>
      <c r="C143" s="14"/>
      <c r="D143" s="18"/>
      <c r="E143" s="18"/>
      <c r="F143" s="14"/>
      <c r="G143" s="5"/>
      <c r="H143" s="5"/>
      <c r="I143" s="28" t="str">
        <f aca="true">IF(OR(A143="",D143=""),"",IF(AND(D143&lt;=TODAY(),OR(E143="",E143&gt;=TODAY())),"VIGENTE","encerrada"))</f>
        <v/>
      </c>
      <c r="J143" s="27"/>
      <c r="K143" s="5"/>
    </row>
    <row r="144" customFormat="false" ht="15" hidden="false" customHeight="false" outlineLevel="0" collapsed="false">
      <c r="A144" s="27"/>
      <c r="B144" s="5"/>
      <c r="C144" s="14"/>
      <c r="D144" s="18"/>
      <c r="E144" s="18"/>
      <c r="F144" s="14"/>
      <c r="G144" s="5"/>
      <c r="H144" s="5"/>
      <c r="I144" s="28" t="str">
        <f aca="true">IF(OR(A144="",D144=""),"",IF(AND(D144&lt;=TODAY(),OR(E144="",E144&gt;=TODAY())),"VIGENTE","encerrada"))</f>
        <v/>
      </c>
      <c r="J144" s="27"/>
      <c r="K144" s="5"/>
    </row>
    <row r="145" customFormat="false" ht="15" hidden="false" customHeight="false" outlineLevel="0" collapsed="false">
      <c r="A145" s="27"/>
      <c r="B145" s="5"/>
      <c r="C145" s="14"/>
      <c r="D145" s="18"/>
      <c r="E145" s="18"/>
      <c r="F145" s="14"/>
      <c r="G145" s="5"/>
      <c r="H145" s="5"/>
      <c r="I145" s="28" t="str">
        <f aca="true">IF(OR(A145="",D145=""),"",IF(AND(D145&lt;=TODAY(),OR(E145="",E145&gt;=TODAY())),"VIGENTE","encerrada"))</f>
        <v/>
      </c>
      <c r="J145" s="27"/>
      <c r="K145" s="5"/>
    </row>
    <row r="146" customFormat="false" ht="15" hidden="false" customHeight="false" outlineLevel="0" collapsed="false">
      <c r="A146" s="27"/>
      <c r="B146" s="5"/>
      <c r="C146" s="14"/>
      <c r="D146" s="18"/>
      <c r="E146" s="18"/>
      <c r="F146" s="14"/>
      <c r="G146" s="5"/>
      <c r="H146" s="5"/>
      <c r="I146" s="28" t="str">
        <f aca="true">IF(OR(A146="",D146=""),"",IF(AND(D146&lt;=TODAY(),OR(E146="",E146&gt;=TODAY())),"VIGENTE","encerrada"))</f>
        <v/>
      </c>
      <c r="J146" s="27"/>
      <c r="K146" s="5"/>
    </row>
    <row r="147" customFormat="false" ht="15" hidden="false" customHeight="false" outlineLevel="0" collapsed="false">
      <c r="A147" s="27"/>
      <c r="B147" s="5"/>
      <c r="C147" s="14"/>
      <c r="D147" s="18"/>
      <c r="E147" s="18"/>
      <c r="F147" s="14"/>
      <c r="G147" s="5"/>
      <c r="H147" s="5"/>
      <c r="I147" s="28" t="str">
        <f aca="true">IF(OR(A147="",D147=""),"",IF(AND(D147&lt;=TODAY(),OR(E147="",E147&gt;=TODAY())),"VIGENTE","encerrada"))</f>
        <v/>
      </c>
      <c r="J147" s="27"/>
      <c r="K147" s="5"/>
    </row>
    <row r="148" customFormat="false" ht="15" hidden="false" customHeight="false" outlineLevel="0" collapsed="false">
      <c r="A148" s="27"/>
      <c r="B148" s="5"/>
      <c r="C148" s="14"/>
      <c r="D148" s="18"/>
      <c r="E148" s="18"/>
      <c r="F148" s="14"/>
      <c r="G148" s="5"/>
      <c r="H148" s="5"/>
      <c r="I148" s="28" t="str">
        <f aca="true">IF(OR(A148="",D148=""),"",IF(AND(D148&lt;=TODAY(),OR(E148="",E148&gt;=TODAY())),"VIGENTE","encerrada"))</f>
        <v/>
      </c>
      <c r="J148" s="27"/>
      <c r="K148" s="5"/>
    </row>
    <row r="149" customFormat="false" ht="15" hidden="false" customHeight="false" outlineLevel="0" collapsed="false">
      <c r="A149" s="27"/>
      <c r="B149" s="5"/>
      <c r="C149" s="14"/>
      <c r="D149" s="18"/>
      <c r="E149" s="18"/>
      <c r="F149" s="14"/>
      <c r="G149" s="5"/>
      <c r="H149" s="5"/>
      <c r="I149" s="28" t="str">
        <f aca="true">IF(OR(A149="",D149=""),"",IF(AND(D149&lt;=TODAY(),OR(E149="",E149&gt;=TODAY())),"VIGENTE","encerrada"))</f>
        <v/>
      </c>
      <c r="J149" s="27"/>
      <c r="K149" s="5"/>
    </row>
    <row r="150" customFormat="false" ht="15" hidden="false" customHeight="false" outlineLevel="0" collapsed="false">
      <c r="A150" s="27"/>
      <c r="B150" s="5"/>
      <c r="C150" s="14"/>
      <c r="D150" s="18"/>
      <c r="E150" s="18"/>
      <c r="F150" s="14"/>
      <c r="G150" s="5"/>
      <c r="H150" s="5"/>
      <c r="I150" s="28" t="str">
        <f aca="true">IF(OR(A150="",D150=""),"",IF(AND(D150&lt;=TODAY(),OR(E150="",E150&gt;=TODAY())),"VIGENTE","encerrada"))</f>
        <v/>
      </c>
      <c r="J150" s="27"/>
      <c r="K150" s="5"/>
    </row>
    <row r="151" customFormat="false" ht="15" hidden="false" customHeight="false" outlineLevel="0" collapsed="false">
      <c r="A151" s="27"/>
      <c r="B151" s="5"/>
      <c r="C151" s="14"/>
      <c r="D151" s="18"/>
      <c r="E151" s="18"/>
      <c r="F151" s="14"/>
      <c r="G151" s="5"/>
      <c r="H151" s="5"/>
      <c r="I151" s="28" t="str">
        <f aca="true">IF(OR(A151="",D151=""),"",IF(AND(D151&lt;=TODAY(),OR(E151="",E151&gt;=TODAY())),"VIGENTE","encerrada"))</f>
        <v/>
      </c>
      <c r="J151" s="27"/>
      <c r="K151" s="5"/>
    </row>
    <row r="152" customFormat="false" ht="15" hidden="false" customHeight="false" outlineLevel="0" collapsed="false">
      <c r="A152" s="27"/>
      <c r="B152" s="5"/>
      <c r="C152" s="14"/>
      <c r="D152" s="18"/>
      <c r="E152" s="18"/>
      <c r="F152" s="14"/>
      <c r="G152" s="5"/>
      <c r="H152" s="5"/>
      <c r="I152" s="28" t="str">
        <f aca="true">IF(OR(A152="",D152=""),"",IF(AND(D152&lt;=TODAY(),OR(E152="",E152&gt;=TODAY())),"VIGENTE","encerrada"))</f>
        <v/>
      </c>
      <c r="J152" s="27"/>
      <c r="K152" s="5"/>
    </row>
    <row r="153" customFormat="false" ht="15" hidden="false" customHeight="false" outlineLevel="0" collapsed="false">
      <c r="A153" s="27"/>
      <c r="B153" s="5"/>
      <c r="C153" s="14"/>
      <c r="D153" s="18"/>
      <c r="E153" s="18"/>
      <c r="F153" s="14"/>
      <c r="G153" s="5"/>
      <c r="H153" s="5"/>
      <c r="I153" s="28" t="str">
        <f aca="true">IF(OR(A153="",D153=""),"",IF(AND(D153&lt;=TODAY(),OR(E153="",E153&gt;=TODAY())),"VIGENTE","encerrada"))</f>
        <v/>
      </c>
      <c r="J153" s="27"/>
      <c r="K153" s="5"/>
    </row>
    <row r="154" customFormat="false" ht="15" hidden="false" customHeight="false" outlineLevel="0" collapsed="false">
      <c r="A154" s="27"/>
      <c r="B154" s="5"/>
      <c r="C154" s="14"/>
      <c r="D154" s="18"/>
      <c r="E154" s="18"/>
      <c r="F154" s="14"/>
      <c r="G154" s="5"/>
      <c r="H154" s="5"/>
      <c r="I154" s="28" t="str">
        <f aca="true">IF(OR(A154="",D154=""),"",IF(AND(D154&lt;=TODAY(),OR(E154="",E154&gt;=TODAY())),"VIGENTE","encerrada"))</f>
        <v/>
      </c>
      <c r="J154" s="27"/>
      <c r="K154" s="5"/>
    </row>
    <row r="155" customFormat="false" ht="15" hidden="false" customHeight="false" outlineLevel="0" collapsed="false">
      <c r="A155" s="27"/>
      <c r="B155" s="5"/>
      <c r="C155" s="14"/>
      <c r="D155" s="18"/>
      <c r="E155" s="18"/>
      <c r="F155" s="14"/>
      <c r="G155" s="5"/>
      <c r="H155" s="5"/>
      <c r="I155" s="28" t="str">
        <f aca="true">IF(OR(A155="",D155=""),"",IF(AND(D155&lt;=TODAY(),OR(E155="",E155&gt;=TODAY())),"VIGENTE","encerrada"))</f>
        <v/>
      </c>
      <c r="J155" s="27"/>
      <c r="K155" s="5"/>
    </row>
    <row r="156" customFormat="false" ht="15" hidden="false" customHeight="false" outlineLevel="0" collapsed="false">
      <c r="A156" s="27"/>
      <c r="B156" s="5"/>
      <c r="C156" s="14"/>
      <c r="D156" s="18"/>
      <c r="E156" s="18"/>
      <c r="F156" s="14"/>
      <c r="G156" s="5"/>
      <c r="H156" s="5"/>
      <c r="I156" s="28" t="str">
        <f aca="true">IF(OR(A156="",D156=""),"",IF(AND(D156&lt;=TODAY(),OR(E156="",E156&gt;=TODAY())),"VIGENTE","encerrada"))</f>
        <v/>
      </c>
      <c r="J156" s="27"/>
      <c r="K156" s="5"/>
    </row>
    <row r="157" customFormat="false" ht="15" hidden="false" customHeight="false" outlineLevel="0" collapsed="false">
      <c r="A157" s="27"/>
      <c r="B157" s="5"/>
      <c r="C157" s="14"/>
      <c r="D157" s="18"/>
      <c r="E157" s="18"/>
      <c r="F157" s="14"/>
      <c r="G157" s="5"/>
      <c r="H157" s="5"/>
      <c r="I157" s="28" t="str">
        <f aca="true">IF(OR(A157="",D157=""),"",IF(AND(D157&lt;=TODAY(),OR(E157="",E157&gt;=TODAY())),"VIGENTE","encerrada"))</f>
        <v/>
      </c>
      <c r="J157" s="27"/>
      <c r="K157" s="5"/>
    </row>
    <row r="158" customFormat="false" ht="15" hidden="false" customHeight="false" outlineLevel="0" collapsed="false">
      <c r="A158" s="27"/>
      <c r="B158" s="5"/>
      <c r="C158" s="14"/>
      <c r="D158" s="18"/>
      <c r="E158" s="18"/>
      <c r="F158" s="14"/>
      <c r="G158" s="5"/>
      <c r="H158" s="5"/>
      <c r="I158" s="28" t="str">
        <f aca="true">IF(OR(A158="",D158=""),"",IF(AND(D158&lt;=TODAY(),OR(E158="",E158&gt;=TODAY())),"VIGENTE","encerrada"))</f>
        <v/>
      </c>
      <c r="J158" s="27"/>
      <c r="K158" s="5"/>
    </row>
    <row r="159" customFormat="false" ht="15" hidden="false" customHeight="false" outlineLevel="0" collapsed="false">
      <c r="A159" s="27"/>
      <c r="B159" s="5"/>
      <c r="C159" s="14"/>
      <c r="D159" s="18"/>
      <c r="E159" s="18"/>
      <c r="F159" s="14"/>
      <c r="G159" s="5"/>
      <c r="H159" s="5"/>
      <c r="I159" s="28" t="str">
        <f aca="true">IF(OR(A159="",D159=""),"",IF(AND(D159&lt;=TODAY(),OR(E159="",E159&gt;=TODAY())),"VIGENTE","encerrada"))</f>
        <v/>
      </c>
      <c r="J159" s="27"/>
      <c r="K159" s="5"/>
    </row>
    <row r="160" customFormat="false" ht="15" hidden="false" customHeight="false" outlineLevel="0" collapsed="false">
      <c r="A160" s="27"/>
      <c r="B160" s="5"/>
      <c r="C160" s="14"/>
      <c r="D160" s="18"/>
      <c r="E160" s="18"/>
      <c r="F160" s="14"/>
      <c r="G160" s="5"/>
      <c r="H160" s="5"/>
      <c r="I160" s="28" t="str">
        <f aca="true">IF(OR(A160="",D160=""),"",IF(AND(D160&lt;=TODAY(),OR(E160="",E160&gt;=TODAY())),"VIGENTE","encerrada"))</f>
        <v/>
      </c>
      <c r="J160" s="27"/>
      <c r="K160" s="5"/>
    </row>
    <row r="161" customFormat="false" ht="15" hidden="false" customHeight="false" outlineLevel="0" collapsed="false">
      <c r="A161" s="27"/>
      <c r="B161" s="5"/>
      <c r="C161" s="14"/>
      <c r="D161" s="18"/>
      <c r="E161" s="18"/>
      <c r="F161" s="14"/>
      <c r="G161" s="5"/>
      <c r="H161" s="5"/>
      <c r="I161" s="28" t="str">
        <f aca="true">IF(OR(A161="",D161=""),"",IF(AND(D161&lt;=TODAY(),OR(E161="",E161&gt;=TODAY())),"VIGENTE","encerrada"))</f>
        <v/>
      </c>
      <c r="J161" s="27"/>
      <c r="K161" s="5"/>
    </row>
    <row r="162" customFormat="false" ht="15" hidden="false" customHeight="false" outlineLevel="0" collapsed="false">
      <c r="A162" s="27"/>
      <c r="B162" s="5"/>
      <c r="C162" s="14"/>
      <c r="D162" s="18"/>
      <c r="E162" s="18"/>
      <c r="F162" s="14"/>
      <c r="G162" s="5"/>
      <c r="H162" s="5"/>
      <c r="I162" s="28" t="str">
        <f aca="true">IF(OR(A162="",D162=""),"",IF(AND(D162&lt;=TODAY(),OR(E162="",E162&gt;=TODAY())),"VIGENTE","encerrada"))</f>
        <v/>
      </c>
      <c r="J162" s="27"/>
      <c r="K162" s="5"/>
    </row>
    <row r="163" customFormat="false" ht="15" hidden="false" customHeight="false" outlineLevel="0" collapsed="false">
      <c r="A163" s="27"/>
      <c r="B163" s="5"/>
      <c r="C163" s="14"/>
      <c r="D163" s="18"/>
      <c r="E163" s="18"/>
      <c r="F163" s="14"/>
      <c r="G163" s="5"/>
      <c r="H163" s="5"/>
      <c r="I163" s="28" t="str">
        <f aca="true">IF(OR(A163="",D163=""),"",IF(AND(D163&lt;=TODAY(),OR(E163="",E163&gt;=TODAY())),"VIGENTE","encerrada"))</f>
        <v/>
      </c>
      <c r="J163" s="27"/>
      <c r="K163" s="5"/>
    </row>
    <row r="164" customFormat="false" ht="15" hidden="false" customHeight="false" outlineLevel="0" collapsed="false">
      <c r="A164" s="27"/>
      <c r="B164" s="5"/>
      <c r="C164" s="14"/>
      <c r="D164" s="18"/>
      <c r="E164" s="18"/>
      <c r="F164" s="14"/>
      <c r="G164" s="5"/>
      <c r="H164" s="5"/>
      <c r="I164" s="28" t="str">
        <f aca="true">IF(OR(A164="",D164=""),"",IF(AND(D164&lt;=TODAY(),OR(E164="",E164&gt;=TODAY())),"VIGENTE","encerrada"))</f>
        <v/>
      </c>
      <c r="J164" s="27"/>
      <c r="K164" s="5"/>
    </row>
    <row r="165" customFormat="false" ht="15" hidden="false" customHeight="false" outlineLevel="0" collapsed="false">
      <c r="A165" s="27"/>
      <c r="B165" s="5"/>
      <c r="C165" s="14"/>
      <c r="D165" s="18"/>
      <c r="E165" s="18"/>
      <c r="F165" s="14"/>
      <c r="G165" s="5"/>
      <c r="H165" s="5"/>
      <c r="I165" s="28" t="str">
        <f aca="true">IF(OR(A165="",D165=""),"",IF(AND(D165&lt;=TODAY(),OR(E165="",E165&gt;=TODAY())),"VIGENTE","encerrada"))</f>
        <v/>
      </c>
      <c r="J165" s="27"/>
      <c r="K165" s="5"/>
    </row>
    <row r="166" customFormat="false" ht="15" hidden="false" customHeight="false" outlineLevel="0" collapsed="false">
      <c r="A166" s="27"/>
      <c r="B166" s="5"/>
      <c r="C166" s="14"/>
      <c r="D166" s="18"/>
      <c r="E166" s="18"/>
      <c r="F166" s="14"/>
      <c r="G166" s="5"/>
      <c r="H166" s="5"/>
      <c r="I166" s="28" t="str">
        <f aca="true">IF(OR(A166="",D166=""),"",IF(AND(D166&lt;=TODAY(),OR(E166="",E166&gt;=TODAY())),"VIGENTE","encerrada"))</f>
        <v/>
      </c>
      <c r="J166" s="27"/>
      <c r="K166" s="5"/>
    </row>
    <row r="167" customFormat="false" ht="15" hidden="false" customHeight="false" outlineLevel="0" collapsed="false">
      <c r="A167" s="27"/>
      <c r="B167" s="5"/>
      <c r="C167" s="14"/>
      <c r="D167" s="18"/>
      <c r="E167" s="18"/>
      <c r="F167" s="14"/>
      <c r="G167" s="5"/>
      <c r="H167" s="5"/>
      <c r="I167" s="28" t="str">
        <f aca="true">IF(OR(A167="",D167=""),"",IF(AND(D167&lt;=TODAY(),OR(E167="",E167&gt;=TODAY())),"VIGENTE","encerrada"))</f>
        <v/>
      </c>
      <c r="J167" s="27"/>
      <c r="K167" s="5"/>
    </row>
    <row r="168" customFormat="false" ht="15" hidden="false" customHeight="false" outlineLevel="0" collapsed="false">
      <c r="A168" s="27"/>
      <c r="B168" s="5"/>
      <c r="C168" s="14"/>
      <c r="D168" s="18"/>
      <c r="E168" s="18"/>
      <c r="F168" s="14"/>
      <c r="G168" s="5"/>
      <c r="H168" s="5"/>
      <c r="I168" s="28" t="str">
        <f aca="true">IF(OR(A168="",D168=""),"",IF(AND(D168&lt;=TODAY(),OR(E168="",E168&gt;=TODAY())),"VIGENTE","encerrada"))</f>
        <v/>
      </c>
      <c r="J168" s="27"/>
      <c r="K168" s="5"/>
    </row>
    <row r="169" customFormat="false" ht="15" hidden="false" customHeight="false" outlineLevel="0" collapsed="false">
      <c r="A169" s="27"/>
      <c r="B169" s="5"/>
      <c r="C169" s="14"/>
      <c r="D169" s="18"/>
      <c r="E169" s="18"/>
      <c r="F169" s="14"/>
      <c r="G169" s="5"/>
      <c r="H169" s="5"/>
      <c r="I169" s="28" t="str">
        <f aca="true">IF(OR(A169="",D169=""),"",IF(AND(D169&lt;=TODAY(),OR(E169="",E169&gt;=TODAY())),"VIGENTE","encerrada"))</f>
        <v/>
      </c>
      <c r="J169" s="27"/>
      <c r="K169" s="5"/>
    </row>
    <row r="170" customFormat="false" ht="15" hidden="false" customHeight="false" outlineLevel="0" collapsed="false">
      <c r="A170" s="27"/>
      <c r="B170" s="5"/>
      <c r="C170" s="14"/>
      <c r="D170" s="18"/>
      <c r="E170" s="18"/>
      <c r="F170" s="14"/>
      <c r="G170" s="5"/>
      <c r="H170" s="5"/>
      <c r="I170" s="28" t="str">
        <f aca="true">IF(OR(A170="",D170=""),"",IF(AND(D170&lt;=TODAY(),OR(E170="",E170&gt;=TODAY())),"VIGENTE","encerrada"))</f>
        <v/>
      </c>
      <c r="J170" s="27"/>
      <c r="K170" s="5"/>
    </row>
    <row r="171" customFormat="false" ht="15" hidden="false" customHeight="false" outlineLevel="0" collapsed="false">
      <c r="A171" s="27"/>
      <c r="B171" s="5"/>
      <c r="C171" s="14"/>
      <c r="D171" s="18"/>
      <c r="E171" s="18"/>
      <c r="F171" s="14"/>
      <c r="G171" s="5"/>
      <c r="H171" s="5"/>
      <c r="I171" s="28" t="str">
        <f aca="true">IF(OR(A171="",D171=""),"",IF(AND(D171&lt;=TODAY(),OR(E171="",E171&gt;=TODAY())),"VIGENTE","encerrada"))</f>
        <v/>
      </c>
      <c r="J171" s="27"/>
      <c r="K171" s="5"/>
    </row>
    <row r="172" customFormat="false" ht="15" hidden="false" customHeight="false" outlineLevel="0" collapsed="false">
      <c r="A172" s="27"/>
      <c r="B172" s="5"/>
      <c r="C172" s="14"/>
      <c r="D172" s="18"/>
      <c r="E172" s="18"/>
      <c r="F172" s="14"/>
      <c r="G172" s="5"/>
      <c r="H172" s="5"/>
      <c r="I172" s="28" t="str">
        <f aca="true">IF(OR(A172="",D172=""),"",IF(AND(D172&lt;=TODAY(),OR(E172="",E172&gt;=TODAY())),"VIGENTE","encerrada"))</f>
        <v/>
      </c>
      <c r="J172" s="27"/>
      <c r="K172" s="5"/>
    </row>
    <row r="173" customFormat="false" ht="15" hidden="false" customHeight="false" outlineLevel="0" collapsed="false">
      <c r="A173" s="27"/>
      <c r="B173" s="5"/>
      <c r="C173" s="14"/>
      <c r="D173" s="18"/>
      <c r="E173" s="18"/>
      <c r="F173" s="14"/>
      <c r="G173" s="5"/>
      <c r="H173" s="5"/>
      <c r="I173" s="28" t="str">
        <f aca="true">IF(OR(A173="",D173=""),"",IF(AND(D173&lt;=TODAY(),OR(E173="",E173&gt;=TODAY())),"VIGENTE","encerrada"))</f>
        <v/>
      </c>
      <c r="J173" s="27"/>
      <c r="K173" s="5"/>
    </row>
    <row r="174" customFormat="false" ht="15" hidden="false" customHeight="false" outlineLevel="0" collapsed="false">
      <c r="A174" s="27"/>
      <c r="B174" s="5"/>
      <c r="C174" s="14"/>
      <c r="D174" s="18"/>
      <c r="E174" s="18"/>
      <c r="F174" s="14"/>
      <c r="G174" s="5"/>
      <c r="H174" s="5"/>
      <c r="I174" s="28" t="str">
        <f aca="true">IF(OR(A174="",D174=""),"",IF(AND(D174&lt;=TODAY(),OR(E174="",E174&gt;=TODAY())),"VIGENTE","encerrada"))</f>
        <v/>
      </c>
      <c r="J174" s="27"/>
      <c r="K174" s="5"/>
    </row>
    <row r="175" customFormat="false" ht="15" hidden="false" customHeight="false" outlineLevel="0" collapsed="false">
      <c r="A175" s="27"/>
      <c r="B175" s="5"/>
      <c r="C175" s="14"/>
      <c r="D175" s="18"/>
      <c r="E175" s="18"/>
      <c r="F175" s="14"/>
      <c r="G175" s="5"/>
      <c r="H175" s="5"/>
      <c r="I175" s="28" t="str">
        <f aca="true">IF(OR(A175="",D175=""),"",IF(AND(D175&lt;=TODAY(),OR(E175="",E175&gt;=TODAY())),"VIGENTE","encerrada"))</f>
        <v/>
      </c>
      <c r="J175" s="27"/>
      <c r="K175" s="5"/>
    </row>
    <row r="176" customFormat="false" ht="15" hidden="false" customHeight="false" outlineLevel="0" collapsed="false">
      <c r="A176" s="27"/>
      <c r="B176" s="5"/>
      <c r="C176" s="14"/>
      <c r="D176" s="18"/>
      <c r="E176" s="18"/>
      <c r="F176" s="14"/>
      <c r="G176" s="5"/>
      <c r="H176" s="5"/>
      <c r="I176" s="28" t="str">
        <f aca="true">IF(OR(A176="",D176=""),"",IF(AND(D176&lt;=TODAY(),OR(E176="",E176&gt;=TODAY())),"VIGENTE","encerrada"))</f>
        <v/>
      </c>
      <c r="J176" s="27"/>
      <c r="K176" s="5"/>
    </row>
    <row r="177" customFormat="false" ht="15" hidden="false" customHeight="false" outlineLevel="0" collapsed="false">
      <c r="A177" s="27"/>
      <c r="B177" s="5"/>
      <c r="C177" s="14"/>
      <c r="D177" s="18"/>
      <c r="E177" s="18"/>
      <c r="F177" s="14"/>
      <c r="G177" s="5"/>
      <c r="H177" s="5"/>
      <c r="I177" s="28" t="str">
        <f aca="true">IF(OR(A177="",D177=""),"",IF(AND(D177&lt;=TODAY(),OR(E177="",E177&gt;=TODAY())),"VIGENTE","encerrada"))</f>
        <v/>
      </c>
      <c r="J177" s="27"/>
      <c r="K177" s="5"/>
    </row>
    <row r="178" customFormat="false" ht="15" hidden="false" customHeight="false" outlineLevel="0" collapsed="false">
      <c r="A178" s="27"/>
      <c r="B178" s="5"/>
      <c r="C178" s="14"/>
      <c r="D178" s="18"/>
      <c r="E178" s="18"/>
      <c r="F178" s="14"/>
      <c r="G178" s="5"/>
      <c r="H178" s="5"/>
      <c r="I178" s="28" t="str">
        <f aca="true">IF(OR(A178="",D178=""),"",IF(AND(D178&lt;=TODAY(),OR(E178="",E178&gt;=TODAY())),"VIGENTE","encerrada"))</f>
        <v/>
      </c>
      <c r="J178" s="27"/>
      <c r="K178" s="5"/>
    </row>
    <row r="179" customFormat="false" ht="15" hidden="false" customHeight="false" outlineLevel="0" collapsed="false">
      <c r="A179" s="27"/>
      <c r="B179" s="5"/>
      <c r="C179" s="14"/>
      <c r="D179" s="18"/>
      <c r="E179" s="18"/>
      <c r="F179" s="14"/>
      <c r="G179" s="5"/>
      <c r="H179" s="5"/>
      <c r="I179" s="28" t="str">
        <f aca="true">IF(OR(A179="",D179=""),"",IF(AND(D179&lt;=TODAY(),OR(E179="",E179&gt;=TODAY())),"VIGENTE","encerrada"))</f>
        <v/>
      </c>
      <c r="J179" s="27"/>
      <c r="K179" s="5"/>
    </row>
    <row r="180" customFormat="false" ht="15" hidden="false" customHeight="false" outlineLevel="0" collapsed="false">
      <c r="A180" s="27"/>
      <c r="B180" s="5"/>
      <c r="C180" s="14"/>
      <c r="D180" s="18"/>
      <c r="E180" s="18"/>
      <c r="F180" s="14"/>
      <c r="G180" s="5"/>
      <c r="H180" s="5"/>
      <c r="I180" s="28" t="str">
        <f aca="true">IF(OR(A180="",D180=""),"",IF(AND(D180&lt;=TODAY(),OR(E180="",E180&gt;=TODAY())),"VIGENTE","encerrada"))</f>
        <v/>
      </c>
      <c r="J180" s="27"/>
      <c r="K180" s="5"/>
    </row>
    <row r="181" customFormat="false" ht="15" hidden="false" customHeight="false" outlineLevel="0" collapsed="false">
      <c r="A181" s="27"/>
      <c r="B181" s="5"/>
      <c r="C181" s="14"/>
      <c r="D181" s="18"/>
      <c r="E181" s="18"/>
      <c r="F181" s="14"/>
      <c r="G181" s="5"/>
      <c r="H181" s="5"/>
      <c r="I181" s="28" t="str">
        <f aca="true">IF(OR(A181="",D181=""),"",IF(AND(D181&lt;=TODAY(),OR(E181="",E181&gt;=TODAY())),"VIGENTE","encerrada"))</f>
        <v/>
      </c>
      <c r="J181" s="27"/>
      <c r="K181" s="5"/>
    </row>
    <row r="182" customFormat="false" ht="15" hidden="false" customHeight="false" outlineLevel="0" collapsed="false">
      <c r="A182" s="27"/>
      <c r="B182" s="5"/>
      <c r="C182" s="14"/>
      <c r="D182" s="18"/>
      <c r="E182" s="18"/>
      <c r="F182" s="14"/>
      <c r="G182" s="5"/>
      <c r="H182" s="5"/>
      <c r="I182" s="28" t="str">
        <f aca="true">IF(OR(A182="",D182=""),"",IF(AND(D182&lt;=TODAY(),OR(E182="",E182&gt;=TODAY())),"VIGENTE","encerrada"))</f>
        <v/>
      </c>
      <c r="J182" s="27"/>
      <c r="K182" s="5"/>
    </row>
    <row r="183" customFormat="false" ht="15" hidden="false" customHeight="false" outlineLevel="0" collapsed="false">
      <c r="A183" s="27"/>
      <c r="B183" s="5"/>
      <c r="C183" s="14"/>
      <c r="D183" s="18"/>
      <c r="E183" s="18"/>
      <c r="F183" s="14"/>
      <c r="G183" s="5"/>
      <c r="H183" s="5"/>
      <c r="I183" s="28" t="str">
        <f aca="true">IF(OR(A183="",D183=""),"",IF(AND(D183&lt;=TODAY(),OR(E183="",E183&gt;=TODAY())),"VIGENTE","encerrada"))</f>
        <v/>
      </c>
      <c r="J183" s="27"/>
      <c r="K183" s="5"/>
    </row>
    <row r="184" customFormat="false" ht="15" hidden="false" customHeight="false" outlineLevel="0" collapsed="false">
      <c r="A184" s="27"/>
      <c r="B184" s="5"/>
      <c r="C184" s="14"/>
      <c r="D184" s="18"/>
      <c r="E184" s="18"/>
      <c r="F184" s="14"/>
      <c r="G184" s="5"/>
      <c r="H184" s="5"/>
      <c r="I184" s="28" t="str">
        <f aca="true">IF(OR(A184="",D184=""),"",IF(AND(D184&lt;=TODAY(),OR(E184="",E184&gt;=TODAY())),"VIGENTE","encerrada"))</f>
        <v/>
      </c>
      <c r="J184" s="27"/>
      <c r="K184" s="5"/>
    </row>
    <row r="185" customFormat="false" ht="15" hidden="false" customHeight="false" outlineLevel="0" collapsed="false">
      <c r="A185" s="27"/>
      <c r="B185" s="5"/>
      <c r="C185" s="14"/>
      <c r="D185" s="18"/>
      <c r="E185" s="18"/>
      <c r="F185" s="14"/>
      <c r="G185" s="5"/>
      <c r="H185" s="5"/>
      <c r="I185" s="28" t="str">
        <f aca="true">IF(OR(A185="",D185=""),"",IF(AND(D185&lt;=TODAY(),OR(E185="",E185&gt;=TODAY())),"VIGENTE","encerrada"))</f>
        <v/>
      </c>
      <c r="J185" s="27"/>
      <c r="K185" s="5"/>
    </row>
    <row r="186" customFormat="false" ht="15" hidden="false" customHeight="false" outlineLevel="0" collapsed="false">
      <c r="A186" s="27"/>
      <c r="B186" s="5"/>
      <c r="C186" s="14"/>
      <c r="D186" s="18"/>
      <c r="E186" s="18"/>
      <c r="F186" s="14"/>
      <c r="G186" s="5"/>
      <c r="H186" s="5"/>
      <c r="I186" s="28" t="str">
        <f aca="true">IF(OR(A186="",D186=""),"",IF(AND(D186&lt;=TODAY(),OR(E186="",E186&gt;=TODAY())),"VIGENTE","encerrada"))</f>
        <v/>
      </c>
      <c r="J186" s="27"/>
      <c r="K186" s="5"/>
    </row>
    <row r="187" customFormat="false" ht="15" hidden="false" customHeight="false" outlineLevel="0" collapsed="false">
      <c r="A187" s="27"/>
      <c r="B187" s="5"/>
      <c r="C187" s="14"/>
      <c r="D187" s="18"/>
      <c r="E187" s="18"/>
      <c r="F187" s="14"/>
      <c r="G187" s="5"/>
      <c r="H187" s="5"/>
      <c r="I187" s="28" t="str">
        <f aca="true">IF(OR(A187="",D187=""),"",IF(AND(D187&lt;=TODAY(),OR(E187="",E187&gt;=TODAY())),"VIGENTE","encerrada"))</f>
        <v/>
      </c>
      <c r="J187" s="27"/>
      <c r="K187" s="5"/>
    </row>
    <row r="188" customFormat="false" ht="15" hidden="false" customHeight="false" outlineLevel="0" collapsed="false">
      <c r="A188" s="27"/>
      <c r="B188" s="5"/>
      <c r="C188" s="14"/>
      <c r="D188" s="18"/>
      <c r="E188" s="18"/>
      <c r="F188" s="14"/>
      <c r="G188" s="5"/>
      <c r="H188" s="5"/>
      <c r="I188" s="28" t="str">
        <f aca="true">IF(OR(A188="",D188=""),"",IF(AND(D188&lt;=TODAY(),OR(E188="",E188&gt;=TODAY())),"VIGENTE","encerrada"))</f>
        <v/>
      </c>
      <c r="J188" s="27"/>
      <c r="K188" s="5"/>
    </row>
    <row r="189" customFormat="false" ht="15" hidden="false" customHeight="false" outlineLevel="0" collapsed="false">
      <c r="A189" s="27"/>
      <c r="B189" s="5"/>
      <c r="C189" s="14"/>
      <c r="D189" s="18"/>
      <c r="E189" s="18"/>
      <c r="F189" s="14"/>
      <c r="G189" s="5"/>
      <c r="H189" s="5"/>
      <c r="I189" s="28" t="str">
        <f aca="true">IF(OR(A189="",D189=""),"",IF(AND(D189&lt;=TODAY(),OR(E189="",E189&gt;=TODAY())),"VIGENTE","encerrada"))</f>
        <v/>
      </c>
      <c r="J189" s="27"/>
      <c r="K189" s="5"/>
    </row>
    <row r="190" customFormat="false" ht="15" hidden="false" customHeight="false" outlineLevel="0" collapsed="false">
      <c r="A190" s="27"/>
      <c r="B190" s="5"/>
      <c r="C190" s="14"/>
      <c r="D190" s="18"/>
      <c r="E190" s="18"/>
      <c r="F190" s="14"/>
      <c r="G190" s="5"/>
      <c r="H190" s="5"/>
      <c r="I190" s="28" t="str">
        <f aca="true">IF(OR(A190="",D190=""),"",IF(AND(D190&lt;=TODAY(),OR(E190="",E190&gt;=TODAY())),"VIGENTE","encerrada"))</f>
        <v/>
      </c>
      <c r="J190" s="27"/>
      <c r="K190" s="5"/>
    </row>
    <row r="191" customFormat="false" ht="15" hidden="false" customHeight="false" outlineLevel="0" collapsed="false">
      <c r="A191" s="27"/>
      <c r="B191" s="5"/>
      <c r="C191" s="14"/>
      <c r="D191" s="18"/>
      <c r="E191" s="18"/>
      <c r="F191" s="14"/>
      <c r="G191" s="5"/>
      <c r="H191" s="5"/>
      <c r="I191" s="28" t="str">
        <f aca="true">IF(OR(A191="",D191=""),"",IF(AND(D191&lt;=TODAY(),OR(E191="",E191&gt;=TODAY())),"VIGENTE","encerrada"))</f>
        <v/>
      </c>
      <c r="J191" s="27"/>
      <c r="K191" s="5"/>
    </row>
    <row r="192" customFormat="false" ht="15" hidden="false" customHeight="false" outlineLevel="0" collapsed="false">
      <c r="A192" s="27"/>
      <c r="B192" s="5"/>
      <c r="C192" s="14"/>
      <c r="D192" s="18"/>
      <c r="E192" s="18"/>
      <c r="F192" s="14"/>
      <c r="G192" s="5"/>
      <c r="H192" s="5"/>
      <c r="I192" s="28" t="str">
        <f aca="true">IF(OR(A192="",D192=""),"",IF(AND(D192&lt;=TODAY(),OR(E192="",E192&gt;=TODAY())),"VIGENTE","encerrada"))</f>
        <v/>
      </c>
      <c r="J192" s="27"/>
      <c r="K192" s="5"/>
    </row>
    <row r="193" customFormat="false" ht="15" hidden="false" customHeight="false" outlineLevel="0" collapsed="false">
      <c r="A193" s="27"/>
      <c r="B193" s="5"/>
      <c r="C193" s="14"/>
      <c r="D193" s="18"/>
      <c r="E193" s="18"/>
      <c r="F193" s="14"/>
      <c r="G193" s="5"/>
      <c r="H193" s="5"/>
      <c r="I193" s="28" t="str">
        <f aca="true">IF(OR(A193="",D193=""),"",IF(AND(D193&lt;=TODAY(),OR(E193="",E193&gt;=TODAY())),"VIGENTE","encerrada"))</f>
        <v/>
      </c>
      <c r="J193" s="27"/>
      <c r="K193" s="5"/>
    </row>
    <row r="194" customFormat="false" ht="15" hidden="false" customHeight="false" outlineLevel="0" collapsed="false">
      <c r="A194" s="27"/>
      <c r="B194" s="5"/>
      <c r="C194" s="14"/>
      <c r="D194" s="18"/>
      <c r="E194" s="18"/>
      <c r="F194" s="14"/>
      <c r="G194" s="5"/>
      <c r="H194" s="5"/>
      <c r="I194" s="28" t="str">
        <f aca="true">IF(OR(A194="",D194=""),"",IF(AND(D194&lt;=TODAY(),OR(E194="",E194&gt;=TODAY())),"VIGENTE","encerrada"))</f>
        <v/>
      </c>
      <c r="J194" s="27"/>
      <c r="K194" s="5"/>
    </row>
    <row r="195" customFormat="false" ht="15" hidden="false" customHeight="false" outlineLevel="0" collapsed="false">
      <c r="A195" s="27"/>
      <c r="B195" s="5"/>
      <c r="C195" s="14"/>
      <c r="D195" s="18"/>
      <c r="E195" s="18"/>
      <c r="F195" s="14"/>
      <c r="G195" s="5"/>
      <c r="H195" s="5"/>
      <c r="I195" s="28" t="str">
        <f aca="true">IF(OR(A195="",D195=""),"",IF(AND(D195&lt;=TODAY(),OR(E195="",E195&gt;=TODAY())),"VIGENTE","encerrada"))</f>
        <v/>
      </c>
      <c r="J195" s="27"/>
      <c r="K195" s="5"/>
    </row>
    <row r="196" customFormat="false" ht="15" hidden="false" customHeight="false" outlineLevel="0" collapsed="false">
      <c r="A196" s="27"/>
      <c r="B196" s="5"/>
      <c r="C196" s="14"/>
      <c r="D196" s="18"/>
      <c r="E196" s="18"/>
      <c r="F196" s="14"/>
      <c r="G196" s="5"/>
      <c r="H196" s="5"/>
      <c r="I196" s="28" t="str">
        <f aca="true">IF(OR(A196="",D196=""),"",IF(AND(D196&lt;=TODAY(),OR(E196="",E196&gt;=TODAY())),"VIGENTE","encerrada"))</f>
        <v/>
      </c>
      <c r="J196" s="27"/>
      <c r="K196" s="5"/>
    </row>
    <row r="197" customFormat="false" ht="15" hidden="false" customHeight="false" outlineLevel="0" collapsed="false">
      <c r="A197" s="27"/>
      <c r="B197" s="5"/>
      <c r="C197" s="14"/>
      <c r="D197" s="18"/>
      <c r="E197" s="18"/>
      <c r="F197" s="14"/>
      <c r="G197" s="5"/>
      <c r="H197" s="5"/>
      <c r="I197" s="28" t="str">
        <f aca="true">IF(OR(A197="",D197=""),"",IF(AND(D197&lt;=TODAY(),OR(E197="",E197&gt;=TODAY())),"VIGENTE","encerrada"))</f>
        <v/>
      </c>
      <c r="J197" s="27"/>
      <c r="K197" s="5"/>
    </row>
    <row r="198" customFormat="false" ht="15" hidden="false" customHeight="false" outlineLevel="0" collapsed="false">
      <c r="A198" s="27"/>
      <c r="B198" s="5"/>
      <c r="C198" s="14"/>
      <c r="D198" s="18"/>
      <c r="E198" s="18"/>
      <c r="F198" s="14"/>
      <c r="G198" s="5"/>
      <c r="H198" s="5"/>
      <c r="I198" s="28" t="str">
        <f aca="true">IF(OR(A198="",D198=""),"",IF(AND(D198&lt;=TODAY(),OR(E198="",E198&gt;=TODAY())),"VIGENTE","encerrada"))</f>
        <v/>
      </c>
      <c r="J198" s="27"/>
      <c r="K198" s="5"/>
    </row>
    <row r="199" customFormat="false" ht="15" hidden="false" customHeight="false" outlineLevel="0" collapsed="false">
      <c r="A199" s="27"/>
      <c r="B199" s="5"/>
      <c r="C199" s="14"/>
      <c r="D199" s="18"/>
      <c r="E199" s="18"/>
      <c r="F199" s="14"/>
      <c r="G199" s="5"/>
      <c r="H199" s="5"/>
      <c r="I199" s="28" t="str">
        <f aca="true">IF(OR(A199="",D199=""),"",IF(AND(D199&lt;=TODAY(),OR(E199="",E199&gt;=TODAY())),"VIGENTE","encerrada"))</f>
        <v/>
      </c>
      <c r="J199" s="27"/>
      <c r="K199" s="5"/>
    </row>
    <row r="200" customFormat="false" ht="15" hidden="false" customHeight="false" outlineLevel="0" collapsed="false">
      <c r="A200" s="27"/>
      <c r="B200" s="5"/>
      <c r="C200" s="14"/>
      <c r="D200" s="18"/>
      <c r="E200" s="18"/>
      <c r="F200" s="14"/>
      <c r="G200" s="5"/>
      <c r="H200" s="5"/>
      <c r="I200" s="28" t="str">
        <f aca="true">IF(OR(A200="",D200=""),"",IF(AND(D200&lt;=TODAY(),OR(E200="",E200&gt;=TODAY())),"VIGENTE","encerrada"))</f>
        <v/>
      </c>
      <c r="J200" s="27"/>
      <c r="K200" s="5"/>
    </row>
    <row r="201" customFormat="false" ht="15" hidden="false" customHeight="false" outlineLevel="0" collapsed="false">
      <c r="A201" s="27"/>
      <c r="B201" s="5"/>
      <c r="C201" s="14"/>
      <c r="D201" s="18"/>
      <c r="E201" s="18"/>
      <c r="F201" s="14"/>
      <c r="G201" s="5"/>
      <c r="H201" s="5"/>
      <c r="I201" s="28" t="str">
        <f aca="true">IF(OR(A201="",D201=""),"",IF(AND(D201&lt;=TODAY(),OR(E201="",E201&gt;=TODAY())),"VIGENTE","encerrada"))</f>
        <v/>
      </c>
      <c r="J201" s="27"/>
      <c r="K201" s="5"/>
    </row>
    <row r="202" customFormat="false" ht="15" hidden="false" customHeight="false" outlineLevel="0" collapsed="false">
      <c r="A202" s="27"/>
      <c r="B202" s="5"/>
      <c r="C202" s="14"/>
      <c r="D202" s="18"/>
      <c r="E202" s="18"/>
      <c r="F202" s="14"/>
      <c r="G202" s="5"/>
      <c r="H202" s="5"/>
      <c r="I202" s="28" t="str">
        <f aca="true">IF(OR(A202="",D202=""),"",IF(AND(D202&lt;=TODAY(),OR(E202="",E202&gt;=TODAY())),"VIGENTE","encerrada"))</f>
        <v/>
      </c>
      <c r="J202" s="27"/>
      <c r="K202" s="5"/>
    </row>
    <row r="203" customFormat="false" ht="15" hidden="false" customHeight="false" outlineLevel="0" collapsed="false">
      <c r="A203" s="27"/>
      <c r="B203" s="5"/>
      <c r="C203" s="14"/>
      <c r="D203" s="18"/>
      <c r="E203" s="18"/>
      <c r="F203" s="14"/>
      <c r="G203" s="5"/>
      <c r="H203" s="5"/>
      <c r="I203" s="28" t="str">
        <f aca="true">IF(OR(A203="",D203=""),"",IF(AND(D203&lt;=TODAY(),OR(E203="",E203&gt;=TODAY())),"VIGENTE","encerrada"))</f>
        <v/>
      </c>
      <c r="J203" s="27"/>
      <c r="K203" s="5"/>
    </row>
    <row r="204" customFormat="false" ht="15" hidden="false" customHeight="false" outlineLevel="0" collapsed="false">
      <c r="A204" s="27"/>
      <c r="B204" s="5"/>
      <c r="C204" s="14"/>
      <c r="D204" s="18"/>
      <c r="E204" s="18"/>
      <c r="F204" s="14"/>
      <c r="G204" s="5"/>
      <c r="H204" s="5"/>
      <c r="I204" s="28" t="str">
        <f aca="true">IF(OR(A204="",D204=""),"",IF(AND(D204&lt;=TODAY(),OR(E204="",E204&gt;=TODAY())),"VIGENTE","encerrada"))</f>
        <v/>
      </c>
      <c r="J204" s="27"/>
      <c r="K204" s="5"/>
    </row>
    <row r="205" customFormat="false" ht="15" hidden="false" customHeight="false" outlineLevel="0" collapsed="false">
      <c r="A205" s="27"/>
      <c r="B205" s="5"/>
      <c r="C205" s="14"/>
      <c r="D205" s="18"/>
      <c r="E205" s="18"/>
      <c r="F205" s="14"/>
      <c r="G205" s="5"/>
      <c r="H205" s="5"/>
      <c r="I205" s="28" t="str">
        <f aca="true">IF(OR(A205="",D205=""),"",IF(AND(D205&lt;=TODAY(),OR(E205="",E205&gt;=TODAY())),"VIGENTE","encerrada"))</f>
        <v/>
      </c>
      <c r="J205" s="27"/>
      <c r="K205" s="5"/>
    </row>
    <row r="206" customFormat="false" ht="15" hidden="false" customHeight="false" outlineLevel="0" collapsed="false">
      <c r="A206" s="27"/>
      <c r="B206" s="5"/>
      <c r="C206" s="14"/>
      <c r="D206" s="18"/>
      <c r="E206" s="18"/>
      <c r="F206" s="14"/>
      <c r="G206" s="5"/>
      <c r="H206" s="5"/>
      <c r="I206" s="28" t="str">
        <f aca="true">IF(OR(A206="",D206=""),"",IF(AND(D206&lt;=TODAY(),OR(E206="",E206&gt;=TODAY())),"VIGENTE","encerrada"))</f>
        <v/>
      </c>
      <c r="J206" s="27"/>
      <c r="K206" s="5"/>
    </row>
    <row r="207" customFormat="false" ht="15" hidden="false" customHeight="false" outlineLevel="0" collapsed="false">
      <c r="A207" s="27"/>
      <c r="B207" s="5"/>
      <c r="C207" s="14"/>
      <c r="D207" s="18"/>
      <c r="E207" s="18"/>
      <c r="F207" s="14"/>
      <c r="G207" s="5"/>
      <c r="H207" s="5"/>
      <c r="I207" s="28" t="str">
        <f aca="true">IF(OR(A207="",D207=""),"",IF(AND(D207&lt;=TODAY(),OR(E207="",E207&gt;=TODAY())),"VIGENTE","encerrada"))</f>
        <v/>
      </c>
      <c r="J207" s="27"/>
      <c r="K207" s="5"/>
    </row>
    <row r="208" customFormat="false" ht="15" hidden="false" customHeight="false" outlineLevel="0" collapsed="false">
      <c r="A208" s="27"/>
      <c r="B208" s="5"/>
      <c r="C208" s="14"/>
      <c r="D208" s="18"/>
      <c r="E208" s="18"/>
      <c r="F208" s="14"/>
      <c r="G208" s="5"/>
      <c r="H208" s="5"/>
      <c r="I208" s="28" t="str">
        <f aca="true">IF(OR(A208="",D208=""),"",IF(AND(D208&lt;=TODAY(),OR(E208="",E208&gt;=TODAY())),"VIGENTE","encerrada"))</f>
        <v/>
      </c>
      <c r="J208" s="27"/>
      <c r="K208" s="5"/>
    </row>
    <row r="209" customFormat="false" ht="15" hidden="false" customHeight="false" outlineLevel="0" collapsed="false">
      <c r="A209" s="27"/>
      <c r="B209" s="5"/>
      <c r="C209" s="14"/>
      <c r="D209" s="18"/>
      <c r="E209" s="18"/>
      <c r="F209" s="14"/>
      <c r="G209" s="5"/>
      <c r="H209" s="5"/>
      <c r="I209" s="28" t="str">
        <f aca="true">IF(OR(A209="",D209=""),"",IF(AND(D209&lt;=TODAY(),OR(E209="",E209&gt;=TODAY())),"VIGENTE","encerrada"))</f>
        <v/>
      </c>
      <c r="J209" s="27"/>
      <c r="K209" s="5"/>
    </row>
    <row r="210" customFormat="false" ht="15" hidden="false" customHeight="false" outlineLevel="0" collapsed="false">
      <c r="A210" s="27"/>
      <c r="B210" s="5"/>
      <c r="C210" s="14"/>
      <c r="D210" s="18"/>
      <c r="E210" s="18"/>
      <c r="F210" s="14"/>
      <c r="G210" s="5"/>
      <c r="H210" s="5"/>
      <c r="I210" s="28" t="str">
        <f aca="true">IF(OR(A210="",D210=""),"",IF(AND(D210&lt;=TODAY(),OR(E210="",E210&gt;=TODAY())),"VIGENTE","encerrada"))</f>
        <v/>
      </c>
      <c r="J210" s="27"/>
      <c r="K210" s="5"/>
    </row>
    <row r="211" customFormat="false" ht="15" hidden="false" customHeight="false" outlineLevel="0" collapsed="false">
      <c r="A211" s="27"/>
      <c r="B211" s="5"/>
      <c r="C211" s="14"/>
      <c r="D211" s="18"/>
      <c r="E211" s="18"/>
      <c r="F211" s="14"/>
      <c r="G211" s="5"/>
      <c r="H211" s="5"/>
      <c r="I211" s="28" t="str">
        <f aca="true">IF(OR(A211="",D211=""),"",IF(AND(D211&lt;=TODAY(),OR(E211="",E211&gt;=TODAY())),"VIGENTE","encerrada"))</f>
        <v/>
      </c>
      <c r="J211" s="27"/>
      <c r="K211" s="5"/>
    </row>
    <row r="212" customFormat="false" ht="15" hidden="false" customHeight="false" outlineLevel="0" collapsed="false">
      <c r="A212" s="27"/>
      <c r="B212" s="5"/>
      <c r="C212" s="14"/>
      <c r="D212" s="18"/>
      <c r="E212" s="18"/>
      <c r="F212" s="14"/>
      <c r="G212" s="5"/>
      <c r="H212" s="5"/>
      <c r="I212" s="28" t="str">
        <f aca="true">IF(OR(A212="",D212=""),"",IF(AND(D212&lt;=TODAY(),OR(E212="",E212&gt;=TODAY())),"VIGENTE","encerrada"))</f>
        <v/>
      </c>
      <c r="J212" s="27"/>
      <c r="K212" s="5"/>
    </row>
    <row r="213" customFormat="false" ht="15" hidden="false" customHeight="false" outlineLevel="0" collapsed="false">
      <c r="A213" s="27"/>
      <c r="B213" s="5"/>
      <c r="C213" s="14"/>
      <c r="D213" s="18"/>
      <c r="E213" s="18"/>
      <c r="F213" s="14"/>
      <c r="G213" s="5"/>
      <c r="H213" s="5"/>
      <c r="I213" s="28" t="str">
        <f aca="true">IF(OR(A213="",D213=""),"",IF(AND(D213&lt;=TODAY(),OR(E213="",E213&gt;=TODAY())),"VIGENTE","encerrada"))</f>
        <v/>
      </c>
      <c r="J213" s="27"/>
      <c r="K213" s="5"/>
    </row>
    <row r="214" customFormat="false" ht="15" hidden="false" customHeight="false" outlineLevel="0" collapsed="false">
      <c r="A214" s="27"/>
      <c r="B214" s="5"/>
      <c r="C214" s="14"/>
      <c r="D214" s="18"/>
      <c r="E214" s="18"/>
      <c r="F214" s="14"/>
      <c r="G214" s="5"/>
      <c r="H214" s="5"/>
      <c r="I214" s="28" t="str">
        <f aca="true">IF(OR(A214="",D214=""),"",IF(AND(D214&lt;=TODAY(),OR(E214="",E214&gt;=TODAY())),"VIGENTE","encerrada"))</f>
        <v/>
      </c>
      <c r="J214" s="27"/>
      <c r="K214" s="5"/>
    </row>
    <row r="215" customFormat="false" ht="15" hidden="false" customHeight="false" outlineLevel="0" collapsed="false">
      <c r="A215" s="27"/>
      <c r="B215" s="5"/>
      <c r="C215" s="14"/>
      <c r="D215" s="18"/>
      <c r="E215" s="18"/>
      <c r="F215" s="14"/>
      <c r="G215" s="5"/>
      <c r="H215" s="5"/>
      <c r="I215" s="28" t="str">
        <f aca="true">IF(OR(A215="",D215=""),"",IF(AND(D215&lt;=TODAY(),OR(E215="",E215&gt;=TODAY())),"VIGENTE","encerrada"))</f>
        <v/>
      </c>
      <c r="J215" s="27"/>
      <c r="K215" s="5"/>
    </row>
    <row r="216" customFormat="false" ht="15" hidden="false" customHeight="false" outlineLevel="0" collapsed="false">
      <c r="A216" s="27"/>
      <c r="B216" s="5"/>
      <c r="C216" s="14"/>
      <c r="D216" s="18"/>
      <c r="E216" s="18"/>
      <c r="F216" s="14"/>
      <c r="G216" s="5"/>
      <c r="H216" s="5"/>
      <c r="I216" s="28" t="str">
        <f aca="true">IF(OR(A216="",D216=""),"",IF(AND(D216&lt;=TODAY(),OR(E216="",E216&gt;=TODAY())),"VIGENTE","encerrada"))</f>
        <v/>
      </c>
      <c r="J216" s="27"/>
      <c r="K216" s="5"/>
    </row>
    <row r="217" customFormat="false" ht="15" hidden="false" customHeight="false" outlineLevel="0" collapsed="false">
      <c r="A217" s="27"/>
      <c r="B217" s="5"/>
      <c r="C217" s="14"/>
      <c r="D217" s="18"/>
      <c r="E217" s="18"/>
      <c r="F217" s="14"/>
      <c r="G217" s="5"/>
      <c r="H217" s="5"/>
      <c r="I217" s="28" t="str">
        <f aca="true">IF(OR(A217="",D217=""),"",IF(AND(D217&lt;=TODAY(),OR(E217="",E217&gt;=TODAY())),"VIGENTE","encerrada"))</f>
        <v/>
      </c>
      <c r="J217" s="27"/>
      <c r="K217" s="5"/>
    </row>
    <row r="218" customFormat="false" ht="15" hidden="false" customHeight="false" outlineLevel="0" collapsed="false">
      <c r="A218" s="27"/>
      <c r="B218" s="5"/>
      <c r="C218" s="14"/>
      <c r="D218" s="18"/>
      <c r="E218" s="18"/>
      <c r="F218" s="14"/>
      <c r="G218" s="5"/>
      <c r="H218" s="5"/>
      <c r="I218" s="28" t="str">
        <f aca="true">IF(OR(A218="",D218=""),"",IF(AND(D218&lt;=TODAY(),OR(E218="",E218&gt;=TODAY())),"VIGENTE","encerrada"))</f>
        <v/>
      </c>
      <c r="J218" s="27"/>
      <c r="K218" s="5"/>
    </row>
    <row r="219" customFormat="false" ht="15" hidden="false" customHeight="false" outlineLevel="0" collapsed="false">
      <c r="A219" s="27"/>
      <c r="B219" s="5"/>
      <c r="C219" s="14"/>
      <c r="D219" s="18"/>
      <c r="E219" s="18"/>
      <c r="F219" s="14"/>
      <c r="G219" s="5"/>
      <c r="H219" s="5"/>
      <c r="I219" s="28" t="str">
        <f aca="true">IF(OR(A219="",D219=""),"",IF(AND(D219&lt;=TODAY(),OR(E219="",E219&gt;=TODAY())),"VIGENTE","encerrada"))</f>
        <v/>
      </c>
      <c r="J219" s="27"/>
      <c r="K219" s="5"/>
    </row>
    <row r="220" customFormat="false" ht="15" hidden="false" customHeight="false" outlineLevel="0" collapsed="false">
      <c r="A220" s="27"/>
      <c r="B220" s="5"/>
      <c r="C220" s="14"/>
      <c r="D220" s="18"/>
      <c r="E220" s="18"/>
      <c r="F220" s="14"/>
      <c r="G220" s="5"/>
      <c r="H220" s="5"/>
      <c r="I220" s="28" t="str">
        <f aca="true">IF(OR(A220="",D220=""),"",IF(AND(D220&lt;=TODAY(),OR(E220="",E220&gt;=TODAY())),"VIGENTE","encerrada"))</f>
        <v/>
      </c>
      <c r="J220" s="27"/>
      <c r="K220" s="5"/>
    </row>
    <row r="221" customFormat="false" ht="15" hidden="false" customHeight="false" outlineLevel="0" collapsed="false">
      <c r="A221" s="27"/>
      <c r="B221" s="5"/>
      <c r="C221" s="14"/>
      <c r="D221" s="18"/>
      <c r="E221" s="18"/>
      <c r="F221" s="14"/>
      <c r="G221" s="5"/>
      <c r="H221" s="5"/>
      <c r="I221" s="28" t="str">
        <f aca="true">IF(OR(A221="",D221=""),"",IF(AND(D221&lt;=TODAY(),OR(E221="",E221&gt;=TODAY())),"VIGENTE","encerrada"))</f>
        <v/>
      </c>
      <c r="J221" s="27"/>
      <c r="K221" s="5"/>
    </row>
    <row r="222" customFormat="false" ht="15" hidden="false" customHeight="false" outlineLevel="0" collapsed="false">
      <c r="A222" s="27"/>
      <c r="B222" s="5"/>
      <c r="C222" s="14"/>
      <c r="D222" s="18"/>
      <c r="E222" s="18"/>
      <c r="F222" s="14"/>
      <c r="G222" s="5"/>
      <c r="H222" s="5"/>
      <c r="I222" s="28" t="str">
        <f aca="true">IF(OR(A222="",D222=""),"",IF(AND(D222&lt;=TODAY(),OR(E222="",E222&gt;=TODAY())),"VIGENTE","encerrada"))</f>
        <v/>
      </c>
      <c r="J222" s="27"/>
      <c r="K222" s="5"/>
    </row>
    <row r="223" customFormat="false" ht="15" hidden="false" customHeight="false" outlineLevel="0" collapsed="false">
      <c r="A223" s="27"/>
      <c r="B223" s="5"/>
      <c r="C223" s="14"/>
      <c r="D223" s="18"/>
      <c r="E223" s="18"/>
      <c r="F223" s="14"/>
      <c r="G223" s="5"/>
      <c r="H223" s="5"/>
      <c r="I223" s="28" t="str">
        <f aca="true">IF(OR(A223="",D223=""),"",IF(AND(D223&lt;=TODAY(),OR(E223="",E223&gt;=TODAY())),"VIGENTE","encerrada"))</f>
        <v/>
      </c>
      <c r="J223" s="27"/>
      <c r="K223" s="5"/>
    </row>
    <row r="224" customFormat="false" ht="15" hidden="false" customHeight="false" outlineLevel="0" collapsed="false">
      <c r="A224" s="27"/>
      <c r="B224" s="5"/>
      <c r="C224" s="14"/>
      <c r="D224" s="18"/>
      <c r="E224" s="18"/>
      <c r="F224" s="14"/>
      <c r="G224" s="5"/>
      <c r="H224" s="5"/>
      <c r="I224" s="28" t="str">
        <f aca="true">IF(OR(A224="",D224=""),"",IF(AND(D224&lt;=TODAY(),OR(E224="",E224&gt;=TODAY())),"VIGENTE","encerrada"))</f>
        <v/>
      </c>
      <c r="J224" s="27"/>
      <c r="K224" s="5"/>
    </row>
    <row r="225" customFormat="false" ht="15" hidden="false" customHeight="false" outlineLevel="0" collapsed="false">
      <c r="A225" s="27"/>
      <c r="B225" s="5"/>
      <c r="C225" s="14"/>
      <c r="D225" s="18"/>
      <c r="E225" s="18"/>
      <c r="F225" s="14"/>
      <c r="G225" s="5"/>
      <c r="H225" s="5"/>
      <c r="I225" s="28" t="str">
        <f aca="true">IF(OR(A225="",D225=""),"",IF(AND(D225&lt;=TODAY(),OR(E225="",E225&gt;=TODAY())),"VIGENTE","encerrada"))</f>
        <v/>
      </c>
      <c r="J225" s="27"/>
      <c r="K225" s="5"/>
    </row>
    <row r="226" customFormat="false" ht="15" hidden="false" customHeight="false" outlineLevel="0" collapsed="false">
      <c r="A226" s="27"/>
      <c r="B226" s="5"/>
      <c r="C226" s="14"/>
      <c r="D226" s="18"/>
      <c r="E226" s="18"/>
      <c r="F226" s="14"/>
      <c r="G226" s="5"/>
      <c r="H226" s="5"/>
      <c r="I226" s="28" t="str">
        <f aca="true">IF(OR(A226="",D226=""),"",IF(AND(D226&lt;=TODAY(),OR(E226="",E226&gt;=TODAY())),"VIGENTE","encerrada"))</f>
        <v/>
      </c>
      <c r="J226" s="27"/>
      <c r="K226" s="5"/>
    </row>
    <row r="227" customFormat="false" ht="15" hidden="false" customHeight="false" outlineLevel="0" collapsed="false">
      <c r="A227" s="27"/>
      <c r="B227" s="5"/>
      <c r="C227" s="14"/>
      <c r="D227" s="18"/>
      <c r="E227" s="18"/>
      <c r="F227" s="14"/>
      <c r="G227" s="5"/>
      <c r="H227" s="5"/>
      <c r="I227" s="28" t="str">
        <f aca="true">IF(OR(A227="",D227=""),"",IF(AND(D227&lt;=TODAY(),OR(E227="",E227&gt;=TODAY())),"VIGENTE","encerrada"))</f>
        <v/>
      </c>
      <c r="J227" s="27"/>
      <c r="K227" s="5"/>
    </row>
    <row r="228" customFormat="false" ht="15" hidden="false" customHeight="false" outlineLevel="0" collapsed="false">
      <c r="A228" s="27"/>
      <c r="B228" s="5"/>
      <c r="C228" s="14"/>
      <c r="D228" s="18"/>
      <c r="E228" s="18"/>
      <c r="F228" s="14"/>
      <c r="G228" s="5"/>
      <c r="H228" s="5"/>
      <c r="I228" s="28" t="str">
        <f aca="true">IF(OR(A228="",D228=""),"",IF(AND(D228&lt;=TODAY(),OR(E228="",E228&gt;=TODAY())),"VIGENTE","encerrada"))</f>
        <v/>
      </c>
      <c r="J228" s="27"/>
      <c r="K228" s="5"/>
    </row>
    <row r="229" customFormat="false" ht="15" hidden="false" customHeight="false" outlineLevel="0" collapsed="false">
      <c r="A229" s="27"/>
      <c r="B229" s="5"/>
      <c r="C229" s="14"/>
      <c r="D229" s="18"/>
      <c r="E229" s="18"/>
      <c r="F229" s="14"/>
      <c r="G229" s="5"/>
      <c r="H229" s="5"/>
      <c r="I229" s="28" t="str">
        <f aca="true">IF(OR(A229="",D229=""),"",IF(AND(D229&lt;=TODAY(),OR(E229="",E229&gt;=TODAY())),"VIGENTE","encerrada"))</f>
        <v/>
      </c>
      <c r="J229" s="27"/>
      <c r="K229" s="5"/>
    </row>
    <row r="230" customFormat="false" ht="15" hidden="false" customHeight="false" outlineLevel="0" collapsed="false">
      <c r="A230" s="27"/>
      <c r="B230" s="5"/>
      <c r="C230" s="14"/>
      <c r="D230" s="18"/>
      <c r="E230" s="18"/>
      <c r="F230" s="14"/>
      <c r="G230" s="5"/>
      <c r="H230" s="5"/>
      <c r="I230" s="28" t="str">
        <f aca="true">IF(OR(A230="",D230=""),"",IF(AND(D230&lt;=TODAY(),OR(E230="",E230&gt;=TODAY())),"VIGENTE","encerrada"))</f>
        <v/>
      </c>
      <c r="J230" s="27"/>
      <c r="K230" s="5"/>
    </row>
    <row r="231" customFormat="false" ht="15" hidden="false" customHeight="false" outlineLevel="0" collapsed="false">
      <c r="A231" s="27"/>
      <c r="B231" s="5"/>
      <c r="C231" s="14"/>
      <c r="D231" s="18"/>
      <c r="E231" s="18"/>
      <c r="F231" s="14"/>
      <c r="G231" s="5"/>
      <c r="H231" s="5"/>
      <c r="I231" s="28" t="str">
        <f aca="true">IF(OR(A231="",D231=""),"",IF(AND(D231&lt;=TODAY(),OR(E231="",E231&gt;=TODAY())),"VIGENTE","encerrada"))</f>
        <v/>
      </c>
      <c r="J231" s="27"/>
      <c r="K231" s="5"/>
    </row>
    <row r="232" customFormat="false" ht="15" hidden="false" customHeight="false" outlineLevel="0" collapsed="false">
      <c r="A232" s="27"/>
      <c r="B232" s="5"/>
      <c r="C232" s="14"/>
      <c r="D232" s="18"/>
      <c r="E232" s="18"/>
      <c r="F232" s="14"/>
      <c r="G232" s="5"/>
      <c r="H232" s="5"/>
      <c r="I232" s="28" t="str">
        <f aca="true">IF(OR(A232="",D232=""),"",IF(AND(D232&lt;=TODAY(),OR(E232="",E232&gt;=TODAY())),"VIGENTE","encerrada"))</f>
        <v/>
      </c>
      <c r="J232" s="27"/>
      <c r="K232" s="5"/>
    </row>
    <row r="233" customFormat="false" ht="15" hidden="false" customHeight="false" outlineLevel="0" collapsed="false">
      <c r="A233" s="27"/>
      <c r="B233" s="5"/>
      <c r="C233" s="14"/>
      <c r="D233" s="18"/>
      <c r="E233" s="18"/>
      <c r="F233" s="14"/>
      <c r="G233" s="5"/>
      <c r="H233" s="5"/>
      <c r="I233" s="28" t="str">
        <f aca="true">IF(OR(A233="",D233=""),"",IF(AND(D233&lt;=TODAY(),OR(E233="",E233&gt;=TODAY())),"VIGENTE","encerrada"))</f>
        <v/>
      </c>
      <c r="J233" s="27"/>
      <c r="K233" s="5"/>
    </row>
    <row r="234" customFormat="false" ht="15" hidden="false" customHeight="false" outlineLevel="0" collapsed="false">
      <c r="A234" s="27"/>
      <c r="B234" s="5"/>
      <c r="C234" s="14"/>
      <c r="D234" s="18"/>
      <c r="E234" s="18"/>
      <c r="F234" s="14"/>
      <c r="G234" s="5"/>
      <c r="H234" s="5"/>
      <c r="I234" s="28" t="str">
        <f aca="true">IF(OR(A234="",D234=""),"",IF(AND(D234&lt;=TODAY(),OR(E234="",E234&gt;=TODAY())),"VIGENTE","encerrada"))</f>
        <v/>
      </c>
      <c r="J234" s="27"/>
      <c r="K234" s="5"/>
    </row>
    <row r="235" customFormat="false" ht="15" hidden="false" customHeight="false" outlineLevel="0" collapsed="false">
      <c r="A235" s="27"/>
      <c r="B235" s="5"/>
      <c r="C235" s="14"/>
      <c r="D235" s="18"/>
      <c r="E235" s="18"/>
      <c r="F235" s="14"/>
      <c r="G235" s="5"/>
      <c r="H235" s="5"/>
      <c r="I235" s="28" t="str">
        <f aca="true">IF(OR(A235="",D235=""),"",IF(AND(D235&lt;=TODAY(),OR(E235="",E235&gt;=TODAY())),"VIGENTE","encerrada"))</f>
        <v/>
      </c>
      <c r="J235" s="27"/>
      <c r="K235" s="5"/>
    </row>
    <row r="236" customFormat="false" ht="15" hidden="false" customHeight="false" outlineLevel="0" collapsed="false">
      <c r="A236" s="27"/>
      <c r="B236" s="5"/>
      <c r="C236" s="14"/>
      <c r="D236" s="18"/>
      <c r="E236" s="18"/>
      <c r="F236" s="14"/>
      <c r="G236" s="5"/>
      <c r="H236" s="5"/>
      <c r="I236" s="28" t="str">
        <f aca="true">IF(OR(A236="",D236=""),"",IF(AND(D236&lt;=TODAY(),OR(E236="",E236&gt;=TODAY())),"VIGENTE","encerrada"))</f>
        <v/>
      </c>
      <c r="J236" s="27"/>
      <c r="K236" s="5"/>
    </row>
    <row r="237" customFormat="false" ht="15" hidden="false" customHeight="false" outlineLevel="0" collapsed="false">
      <c r="A237" s="27"/>
      <c r="B237" s="5"/>
      <c r="C237" s="14"/>
      <c r="D237" s="18"/>
      <c r="E237" s="18"/>
      <c r="F237" s="14"/>
      <c r="G237" s="5"/>
      <c r="H237" s="5"/>
      <c r="I237" s="28" t="str">
        <f aca="true">IF(OR(A237="",D237=""),"",IF(AND(D237&lt;=TODAY(),OR(E237="",E237&gt;=TODAY())),"VIGENTE","encerrada"))</f>
        <v/>
      </c>
      <c r="J237" s="27"/>
      <c r="K237" s="5"/>
    </row>
    <row r="238" customFormat="false" ht="15" hidden="false" customHeight="false" outlineLevel="0" collapsed="false">
      <c r="A238" s="27"/>
      <c r="B238" s="5"/>
      <c r="C238" s="14"/>
      <c r="D238" s="18"/>
      <c r="E238" s="18"/>
      <c r="F238" s="14"/>
      <c r="G238" s="5"/>
      <c r="H238" s="5"/>
      <c r="I238" s="28" t="str">
        <f aca="true">IF(OR(A238="",D238=""),"",IF(AND(D238&lt;=TODAY(),OR(E238="",E238&gt;=TODAY())),"VIGENTE","encerrada"))</f>
        <v/>
      </c>
      <c r="J238" s="27"/>
      <c r="K238" s="5"/>
    </row>
    <row r="239" customFormat="false" ht="15" hidden="false" customHeight="false" outlineLevel="0" collapsed="false">
      <c r="A239" s="27"/>
      <c r="B239" s="5"/>
      <c r="C239" s="14"/>
      <c r="D239" s="18"/>
      <c r="E239" s="18"/>
      <c r="F239" s="14"/>
      <c r="G239" s="5"/>
      <c r="H239" s="5"/>
      <c r="I239" s="28" t="str">
        <f aca="true">IF(OR(A239="",D239=""),"",IF(AND(D239&lt;=TODAY(),OR(E239="",E239&gt;=TODAY())),"VIGENTE","encerrada"))</f>
        <v/>
      </c>
      <c r="J239" s="27"/>
      <c r="K239" s="5"/>
    </row>
    <row r="240" customFormat="false" ht="15" hidden="false" customHeight="false" outlineLevel="0" collapsed="false">
      <c r="A240" s="27"/>
      <c r="B240" s="5"/>
      <c r="C240" s="14"/>
      <c r="D240" s="18"/>
      <c r="E240" s="18"/>
      <c r="F240" s="14"/>
      <c r="G240" s="5"/>
      <c r="H240" s="5"/>
      <c r="I240" s="28" t="str">
        <f aca="true">IF(OR(A240="",D240=""),"",IF(AND(D240&lt;=TODAY(),OR(E240="",E240&gt;=TODAY())),"VIGENTE","encerrada"))</f>
        <v/>
      </c>
      <c r="J240" s="27"/>
      <c r="K240" s="5"/>
    </row>
    <row r="241" customFormat="false" ht="15" hidden="false" customHeight="false" outlineLevel="0" collapsed="false">
      <c r="A241" s="27"/>
      <c r="B241" s="5"/>
      <c r="C241" s="14"/>
      <c r="D241" s="18"/>
      <c r="E241" s="18"/>
      <c r="F241" s="14"/>
      <c r="G241" s="5"/>
      <c r="H241" s="5"/>
      <c r="I241" s="28" t="str">
        <f aca="true">IF(OR(A241="",D241=""),"",IF(AND(D241&lt;=TODAY(),OR(E241="",E241&gt;=TODAY())),"VIGENTE","encerrada"))</f>
        <v/>
      </c>
      <c r="J241" s="27"/>
      <c r="K241" s="5"/>
    </row>
    <row r="242" customFormat="false" ht="15" hidden="false" customHeight="false" outlineLevel="0" collapsed="false">
      <c r="A242" s="27"/>
      <c r="B242" s="5"/>
      <c r="C242" s="14"/>
      <c r="D242" s="18"/>
      <c r="E242" s="18"/>
      <c r="F242" s="14"/>
      <c r="G242" s="5"/>
      <c r="H242" s="5"/>
      <c r="I242" s="28" t="str">
        <f aca="true">IF(OR(A242="",D242=""),"",IF(AND(D242&lt;=TODAY(),OR(E242="",E242&gt;=TODAY())),"VIGENTE","encerrada"))</f>
        <v/>
      </c>
      <c r="J242" s="27"/>
      <c r="K242" s="5"/>
    </row>
    <row r="243" customFormat="false" ht="15" hidden="false" customHeight="false" outlineLevel="0" collapsed="false">
      <c r="A243" s="27"/>
      <c r="B243" s="5"/>
      <c r="C243" s="14"/>
      <c r="D243" s="18"/>
      <c r="E243" s="18"/>
      <c r="F243" s="14"/>
      <c r="G243" s="5"/>
      <c r="H243" s="5"/>
      <c r="I243" s="28" t="str">
        <f aca="true">IF(OR(A243="",D243=""),"",IF(AND(D243&lt;=TODAY(),OR(E243="",E243&gt;=TODAY())),"VIGENTE","encerrada"))</f>
        <v/>
      </c>
      <c r="J243" s="27"/>
      <c r="K243" s="5"/>
    </row>
    <row r="244" customFormat="false" ht="15" hidden="false" customHeight="false" outlineLevel="0" collapsed="false">
      <c r="A244" s="27"/>
      <c r="B244" s="5"/>
      <c r="C244" s="14"/>
      <c r="D244" s="18"/>
      <c r="E244" s="18"/>
      <c r="F244" s="14"/>
      <c r="G244" s="5"/>
      <c r="H244" s="5"/>
      <c r="I244" s="28" t="str">
        <f aca="true">IF(OR(A244="",D244=""),"",IF(AND(D244&lt;=TODAY(),OR(E244="",E244&gt;=TODAY())),"VIGENTE","encerrada"))</f>
        <v/>
      </c>
      <c r="J244" s="27"/>
      <c r="K244" s="5"/>
    </row>
    <row r="245" customFormat="false" ht="15" hidden="false" customHeight="false" outlineLevel="0" collapsed="false">
      <c r="A245" s="27"/>
      <c r="B245" s="5"/>
      <c r="C245" s="14"/>
      <c r="D245" s="18"/>
      <c r="E245" s="18"/>
      <c r="F245" s="14"/>
      <c r="G245" s="5"/>
      <c r="H245" s="5"/>
      <c r="I245" s="28" t="str">
        <f aca="true">IF(OR(A245="",D245=""),"",IF(AND(D245&lt;=TODAY(),OR(E245="",E245&gt;=TODAY())),"VIGENTE","encerrada"))</f>
        <v/>
      </c>
      <c r="J245" s="27"/>
      <c r="K245" s="5"/>
    </row>
    <row r="246" customFormat="false" ht="15" hidden="false" customHeight="false" outlineLevel="0" collapsed="false">
      <c r="A246" s="27"/>
      <c r="B246" s="5"/>
      <c r="C246" s="14"/>
      <c r="D246" s="18"/>
      <c r="E246" s="18"/>
      <c r="F246" s="14"/>
      <c r="G246" s="5"/>
      <c r="H246" s="5"/>
      <c r="I246" s="28" t="str">
        <f aca="true">IF(OR(A246="",D246=""),"",IF(AND(D246&lt;=TODAY(),OR(E246="",E246&gt;=TODAY())),"VIGENTE","encerrada"))</f>
        <v/>
      </c>
      <c r="J246" s="27"/>
      <c r="K246" s="5"/>
    </row>
    <row r="247" customFormat="false" ht="15" hidden="false" customHeight="false" outlineLevel="0" collapsed="false">
      <c r="A247" s="27"/>
      <c r="B247" s="5"/>
      <c r="C247" s="14"/>
      <c r="D247" s="18"/>
      <c r="E247" s="18"/>
      <c r="F247" s="14"/>
      <c r="G247" s="5"/>
      <c r="H247" s="5"/>
      <c r="I247" s="28" t="str">
        <f aca="true">IF(OR(A247="",D247=""),"",IF(AND(D247&lt;=TODAY(),OR(E247="",E247&gt;=TODAY())),"VIGENTE","encerrada"))</f>
        <v/>
      </c>
      <c r="J247" s="27"/>
      <c r="K247" s="5"/>
    </row>
    <row r="248" customFormat="false" ht="15" hidden="false" customHeight="false" outlineLevel="0" collapsed="false">
      <c r="A248" s="27"/>
      <c r="B248" s="5"/>
      <c r="C248" s="14"/>
      <c r="D248" s="18"/>
      <c r="E248" s="18"/>
      <c r="F248" s="14"/>
      <c r="G248" s="5"/>
      <c r="H248" s="5"/>
      <c r="I248" s="28" t="str">
        <f aca="true">IF(OR(A248="",D248=""),"",IF(AND(D248&lt;=TODAY(),OR(E248="",E248&gt;=TODAY())),"VIGENTE","encerrada"))</f>
        <v/>
      </c>
      <c r="J248" s="27"/>
      <c r="K248" s="5"/>
    </row>
    <row r="249" customFormat="false" ht="15" hidden="false" customHeight="false" outlineLevel="0" collapsed="false">
      <c r="A249" s="27"/>
      <c r="B249" s="5"/>
      <c r="C249" s="14"/>
      <c r="D249" s="18"/>
      <c r="E249" s="18"/>
      <c r="F249" s="14"/>
      <c r="G249" s="5"/>
      <c r="H249" s="5"/>
      <c r="I249" s="28" t="str">
        <f aca="true">IF(OR(A249="",D249=""),"",IF(AND(D249&lt;=TODAY(),OR(E249="",E249&gt;=TODAY())),"VIGENTE","encerrada"))</f>
        <v/>
      </c>
      <c r="J249" s="27"/>
      <c r="K249" s="5"/>
    </row>
    <row r="250" customFormat="false" ht="15" hidden="false" customHeight="false" outlineLevel="0" collapsed="false">
      <c r="A250" s="27"/>
      <c r="B250" s="5"/>
      <c r="C250" s="14"/>
      <c r="D250" s="18"/>
      <c r="E250" s="18"/>
      <c r="F250" s="14"/>
      <c r="G250" s="5"/>
      <c r="H250" s="5"/>
      <c r="I250" s="28" t="str">
        <f aca="true">IF(OR(A250="",D250=""),"",IF(AND(D250&lt;=TODAY(),OR(E250="",E250&gt;=TODAY())),"VIGENTE","encerrada"))</f>
        <v/>
      </c>
      <c r="J250" s="27"/>
      <c r="K250" s="5"/>
    </row>
    <row r="251" customFormat="false" ht="15" hidden="false" customHeight="false" outlineLevel="0" collapsed="false">
      <c r="A251" s="27"/>
      <c r="B251" s="5"/>
      <c r="C251" s="14"/>
      <c r="D251" s="18"/>
      <c r="E251" s="18"/>
      <c r="F251" s="14"/>
      <c r="G251" s="5"/>
      <c r="H251" s="5"/>
      <c r="I251" s="28" t="str">
        <f aca="true">IF(OR(A251="",D251=""),"",IF(AND(D251&lt;=TODAY(),OR(E251="",E251&gt;=TODAY())),"VIGENTE","encerrada"))</f>
        <v/>
      </c>
      <c r="J251" s="27"/>
      <c r="K251" s="5"/>
    </row>
    <row r="252" customFormat="false" ht="15" hidden="false" customHeight="false" outlineLevel="0" collapsed="false">
      <c r="A252" s="27"/>
      <c r="B252" s="5"/>
      <c r="C252" s="14"/>
      <c r="D252" s="18"/>
      <c r="E252" s="18"/>
      <c r="F252" s="14"/>
      <c r="G252" s="5"/>
      <c r="H252" s="5"/>
      <c r="I252" s="28" t="str">
        <f aca="true">IF(OR(A252="",D252=""),"",IF(AND(D252&lt;=TODAY(),OR(E252="",E252&gt;=TODAY())),"VIGENTE","encerrada"))</f>
        <v/>
      </c>
      <c r="J252" s="27"/>
      <c r="K252" s="5"/>
    </row>
    <row r="253" customFormat="false" ht="15" hidden="false" customHeight="false" outlineLevel="0" collapsed="false">
      <c r="A253" s="27"/>
      <c r="B253" s="5"/>
      <c r="C253" s="14"/>
      <c r="D253" s="18"/>
      <c r="E253" s="18"/>
      <c r="F253" s="14"/>
      <c r="G253" s="5"/>
      <c r="H253" s="5"/>
      <c r="I253" s="28" t="str">
        <f aca="true">IF(OR(A253="",D253=""),"",IF(AND(D253&lt;=TODAY(),OR(E253="",E253&gt;=TODAY())),"VIGENTE","encerrada"))</f>
        <v/>
      </c>
      <c r="J253" s="27"/>
      <c r="K253" s="5"/>
    </row>
    <row r="254" customFormat="false" ht="15" hidden="false" customHeight="false" outlineLevel="0" collapsed="false">
      <c r="A254" s="27"/>
      <c r="B254" s="5"/>
      <c r="C254" s="14"/>
      <c r="D254" s="18"/>
      <c r="E254" s="18"/>
      <c r="F254" s="14"/>
      <c r="G254" s="5"/>
      <c r="H254" s="5"/>
      <c r="I254" s="28" t="str">
        <f aca="true">IF(OR(A254="",D254=""),"",IF(AND(D254&lt;=TODAY(),OR(E254="",E254&gt;=TODAY())),"VIGENTE","encerrada"))</f>
        <v/>
      </c>
      <c r="J254" s="27"/>
      <c r="K254" s="5"/>
    </row>
    <row r="255" customFormat="false" ht="15" hidden="false" customHeight="false" outlineLevel="0" collapsed="false">
      <c r="A255" s="27"/>
      <c r="B255" s="5"/>
      <c r="C255" s="14"/>
      <c r="D255" s="18"/>
      <c r="E255" s="18"/>
      <c r="F255" s="14"/>
      <c r="G255" s="5"/>
      <c r="H255" s="5"/>
      <c r="I255" s="28" t="str">
        <f aca="true">IF(OR(A255="",D255=""),"",IF(AND(D255&lt;=TODAY(),OR(E255="",E255&gt;=TODAY())),"VIGENTE","encerrada"))</f>
        <v/>
      </c>
      <c r="J255" s="27"/>
      <c r="K255" s="5"/>
    </row>
    <row r="256" customFormat="false" ht="15" hidden="false" customHeight="false" outlineLevel="0" collapsed="false">
      <c r="A256" s="27"/>
      <c r="B256" s="5"/>
      <c r="C256" s="14"/>
      <c r="D256" s="18"/>
      <c r="E256" s="18"/>
      <c r="F256" s="14"/>
      <c r="G256" s="5"/>
      <c r="H256" s="5"/>
      <c r="I256" s="28" t="str">
        <f aca="true">IF(OR(A256="",D256=""),"",IF(AND(D256&lt;=TODAY(),OR(E256="",E256&gt;=TODAY())),"VIGENTE","encerrada"))</f>
        <v/>
      </c>
      <c r="J256" s="27"/>
      <c r="K256" s="5"/>
    </row>
    <row r="257" customFormat="false" ht="15" hidden="false" customHeight="false" outlineLevel="0" collapsed="false">
      <c r="A257" s="27"/>
      <c r="B257" s="5"/>
      <c r="C257" s="14"/>
      <c r="D257" s="18"/>
      <c r="E257" s="18"/>
      <c r="F257" s="14"/>
      <c r="G257" s="5"/>
      <c r="H257" s="5"/>
      <c r="I257" s="28" t="str">
        <f aca="true">IF(OR(A257="",D257=""),"",IF(AND(D257&lt;=TODAY(),OR(E257="",E257&gt;=TODAY())),"VIGENTE","encerrada"))</f>
        <v/>
      </c>
      <c r="J257" s="27"/>
      <c r="K257" s="5"/>
    </row>
    <row r="258" customFormat="false" ht="15" hidden="false" customHeight="false" outlineLevel="0" collapsed="false">
      <c r="A258" s="27"/>
      <c r="B258" s="5"/>
      <c r="C258" s="14"/>
      <c r="D258" s="18"/>
      <c r="E258" s="18"/>
      <c r="F258" s="14"/>
      <c r="G258" s="5"/>
      <c r="H258" s="5"/>
      <c r="I258" s="28" t="str">
        <f aca="true">IF(OR(A258="",D258=""),"",IF(AND(D258&lt;=TODAY(),OR(E258="",E258&gt;=TODAY())),"VIGENTE","encerrada"))</f>
        <v/>
      </c>
      <c r="J258" s="27"/>
      <c r="K258" s="5"/>
    </row>
    <row r="259" customFormat="false" ht="15" hidden="false" customHeight="false" outlineLevel="0" collapsed="false">
      <c r="A259" s="27"/>
      <c r="B259" s="5"/>
      <c r="C259" s="14"/>
      <c r="D259" s="18"/>
      <c r="E259" s="18"/>
      <c r="F259" s="14"/>
      <c r="G259" s="5"/>
      <c r="H259" s="5"/>
      <c r="I259" s="28" t="str">
        <f aca="true">IF(OR(A259="",D259=""),"",IF(AND(D259&lt;=TODAY(),OR(E259="",E259&gt;=TODAY())),"VIGENTE","encerrada"))</f>
        <v/>
      </c>
      <c r="J259" s="27"/>
      <c r="K259" s="5"/>
    </row>
    <row r="260" customFormat="false" ht="15" hidden="false" customHeight="false" outlineLevel="0" collapsed="false">
      <c r="A260" s="27"/>
      <c r="B260" s="5"/>
      <c r="C260" s="14"/>
      <c r="D260" s="18"/>
      <c r="E260" s="18"/>
      <c r="F260" s="14"/>
      <c r="G260" s="5"/>
      <c r="H260" s="5"/>
      <c r="I260" s="28" t="str">
        <f aca="true">IF(OR(A260="",D260=""),"",IF(AND(D260&lt;=TODAY(),OR(E260="",E260&gt;=TODAY())),"VIGENTE","encerrada"))</f>
        <v/>
      </c>
      <c r="J260" s="27"/>
      <c r="K260" s="5"/>
    </row>
    <row r="261" customFormat="false" ht="15" hidden="false" customHeight="false" outlineLevel="0" collapsed="false">
      <c r="A261" s="27"/>
      <c r="B261" s="5"/>
      <c r="C261" s="14"/>
      <c r="D261" s="18"/>
      <c r="E261" s="18"/>
      <c r="F261" s="14"/>
      <c r="G261" s="5"/>
      <c r="H261" s="5"/>
      <c r="I261" s="28" t="str">
        <f aca="true">IF(OR(A261="",D261=""),"",IF(AND(D261&lt;=TODAY(),OR(E261="",E261&gt;=TODAY())),"VIGENTE","encerrada"))</f>
        <v/>
      </c>
      <c r="J261" s="27"/>
      <c r="K261" s="5"/>
    </row>
    <row r="262" customFormat="false" ht="15" hidden="false" customHeight="false" outlineLevel="0" collapsed="false">
      <c r="A262" s="27"/>
      <c r="B262" s="5"/>
      <c r="C262" s="14"/>
      <c r="D262" s="18"/>
      <c r="E262" s="18"/>
      <c r="F262" s="14"/>
      <c r="G262" s="5"/>
      <c r="H262" s="5"/>
      <c r="I262" s="28" t="str">
        <f aca="true">IF(OR(A262="",D262=""),"",IF(AND(D262&lt;=TODAY(),OR(E262="",E262&gt;=TODAY())),"VIGENTE","encerrada"))</f>
        <v/>
      </c>
      <c r="J262" s="27"/>
      <c r="K262" s="5"/>
    </row>
    <row r="263" customFormat="false" ht="15" hidden="false" customHeight="false" outlineLevel="0" collapsed="false">
      <c r="A263" s="27"/>
      <c r="B263" s="5"/>
      <c r="C263" s="14"/>
      <c r="D263" s="18"/>
      <c r="E263" s="18"/>
      <c r="F263" s="14"/>
      <c r="G263" s="5"/>
      <c r="H263" s="5"/>
      <c r="I263" s="28" t="str">
        <f aca="true">IF(OR(A263="",D263=""),"",IF(AND(D263&lt;=TODAY(),OR(E263="",E263&gt;=TODAY())),"VIGENTE","encerrada"))</f>
        <v/>
      </c>
      <c r="J263" s="27"/>
      <c r="K263" s="5"/>
    </row>
    <row r="264" customFormat="false" ht="15" hidden="false" customHeight="false" outlineLevel="0" collapsed="false">
      <c r="A264" s="27"/>
      <c r="B264" s="5"/>
      <c r="C264" s="14"/>
      <c r="D264" s="18"/>
      <c r="E264" s="18"/>
      <c r="F264" s="14"/>
      <c r="G264" s="5"/>
      <c r="H264" s="5"/>
      <c r="I264" s="28" t="str">
        <f aca="true">IF(OR(A264="",D264=""),"",IF(AND(D264&lt;=TODAY(),OR(E264="",E264&gt;=TODAY())),"VIGENTE","encerrada"))</f>
        <v/>
      </c>
      <c r="J264" s="27"/>
      <c r="K264" s="5"/>
    </row>
    <row r="265" customFormat="false" ht="15" hidden="false" customHeight="false" outlineLevel="0" collapsed="false">
      <c r="A265" s="27"/>
      <c r="B265" s="5"/>
      <c r="C265" s="14"/>
      <c r="D265" s="18"/>
      <c r="E265" s="18"/>
      <c r="F265" s="14"/>
      <c r="G265" s="5"/>
      <c r="H265" s="5"/>
      <c r="I265" s="28" t="str">
        <f aca="true">IF(OR(A265="",D265=""),"",IF(AND(D265&lt;=TODAY(),OR(E265="",E265&gt;=TODAY())),"VIGENTE","encerrada"))</f>
        <v/>
      </c>
      <c r="J265" s="27"/>
      <c r="K265" s="5"/>
    </row>
    <row r="266" customFormat="false" ht="15" hidden="false" customHeight="false" outlineLevel="0" collapsed="false">
      <c r="A266" s="27"/>
      <c r="B266" s="5"/>
      <c r="C266" s="14"/>
      <c r="D266" s="18"/>
      <c r="E266" s="18"/>
      <c r="F266" s="14"/>
      <c r="G266" s="5"/>
      <c r="H266" s="5"/>
      <c r="I266" s="28" t="str">
        <f aca="true">IF(OR(A266="",D266=""),"",IF(AND(D266&lt;=TODAY(),OR(E266="",E266&gt;=TODAY())),"VIGENTE","encerrada"))</f>
        <v/>
      </c>
      <c r="J266" s="27"/>
      <c r="K266" s="5"/>
    </row>
    <row r="267" customFormat="false" ht="15" hidden="false" customHeight="false" outlineLevel="0" collapsed="false">
      <c r="A267" s="27"/>
      <c r="B267" s="5"/>
      <c r="C267" s="14"/>
      <c r="D267" s="18"/>
      <c r="E267" s="18"/>
      <c r="F267" s="14"/>
      <c r="G267" s="5"/>
      <c r="H267" s="5"/>
      <c r="I267" s="28" t="str">
        <f aca="true">IF(OR(A267="",D267=""),"",IF(AND(D267&lt;=TODAY(),OR(E267="",E267&gt;=TODAY())),"VIGENTE","encerrada"))</f>
        <v/>
      </c>
      <c r="J267" s="27"/>
      <c r="K267" s="5"/>
    </row>
    <row r="268" customFormat="false" ht="15" hidden="false" customHeight="false" outlineLevel="0" collapsed="false">
      <c r="A268" s="27"/>
      <c r="B268" s="5"/>
      <c r="C268" s="14"/>
      <c r="D268" s="18"/>
      <c r="E268" s="18"/>
      <c r="F268" s="14"/>
      <c r="G268" s="5"/>
      <c r="H268" s="5"/>
      <c r="I268" s="28" t="str">
        <f aca="true">IF(OR(A268="",D268=""),"",IF(AND(D268&lt;=TODAY(),OR(E268="",E268&gt;=TODAY())),"VIGENTE","encerrada"))</f>
        <v/>
      </c>
      <c r="J268" s="27"/>
      <c r="K268" s="5"/>
    </row>
    <row r="269" customFormat="false" ht="15" hidden="false" customHeight="false" outlineLevel="0" collapsed="false">
      <c r="A269" s="27"/>
      <c r="B269" s="5"/>
      <c r="C269" s="14"/>
      <c r="D269" s="18"/>
      <c r="E269" s="18"/>
      <c r="F269" s="14"/>
      <c r="G269" s="5"/>
      <c r="H269" s="5"/>
      <c r="I269" s="28" t="str">
        <f aca="true">IF(OR(A269="",D269=""),"",IF(AND(D269&lt;=TODAY(),OR(E269="",E269&gt;=TODAY())),"VIGENTE","encerrada"))</f>
        <v/>
      </c>
      <c r="J269" s="27"/>
      <c r="K269" s="5"/>
    </row>
    <row r="270" customFormat="false" ht="15" hidden="false" customHeight="false" outlineLevel="0" collapsed="false">
      <c r="A270" s="27"/>
      <c r="B270" s="5"/>
      <c r="C270" s="14"/>
      <c r="D270" s="18"/>
      <c r="E270" s="18"/>
      <c r="F270" s="14"/>
      <c r="G270" s="5"/>
      <c r="H270" s="5"/>
      <c r="I270" s="28" t="str">
        <f aca="true">IF(OR(A270="",D270=""),"",IF(AND(D270&lt;=TODAY(),OR(E270="",E270&gt;=TODAY())),"VIGENTE","encerrada"))</f>
        <v/>
      </c>
      <c r="J270" s="27"/>
      <c r="K270" s="5"/>
    </row>
    <row r="271" customFormat="false" ht="15" hidden="false" customHeight="false" outlineLevel="0" collapsed="false">
      <c r="A271" s="27"/>
      <c r="B271" s="5"/>
      <c r="C271" s="14"/>
      <c r="D271" s="18"/>
      <c r="E271" s="18"/>
      <c r="F271" s="14"/>
      <c r="G271" s="5"/>
      <c r="H271" s="5"/>
      <c r="I271" s="28" t="str">
        <f aca="true">IF(OR(A271="",D271=""),"",IF(AND(D271&lt;=TODAY(),OR(E271="",E271&gt;=TODAY())),"VIGENTE","encerrada"))</f>
        <v/>
      </c>
      <c r="J271" s="27"/>
      <c r="K271" s="5"/>
    </row>
    <row r="272" customFormat="false" ht="15" hidden="false" customHeight="false" outlineLevel="0" collapsed="false">
      <c r="A272" s="27"/>
      <c r="B272" s="5"/>
      <c r="C272" s="14"/>
      <c r="D272" s="18"/>
      <c r="E272" s="18"/>
      <c r="F272" s="14"/>
      <c r="G272" s="5"/>
      <c r="H272" s="5"/>
      <c r="I272" s="28" t="str">
        <f aca="true">IF(OR(A272="",D272=""),"",IF(AND(D272&lt;=TODAY(),OR(E272="",E272&gt;=TODAY())),"VIGENTE","encerrada"))</f>
        <v/>
      </c>
      <c r="J272" s="27"/>
      <c r="K272" s="5"/>
    </row>
    <row r="273" customFormat="false" ht="15" hidden="false" customHeight="false" outlineLevel="0" collapsed="false">
      <c r="A273" s="27"/>
      <c r="B273" s="5"/>
      <c r="C273" s="14"/>
      <c r="D273" s="18"/>
      <c r="E273" s="18"/>
      <c r="F273" s="14"/>
      <c r="G273" s="5"/>
      <c r="H273" s="5"/>
      <c r="I273" s="28" t="str">
        <f aca="true">IF(OR(A273="",D273=""),"",IF(AND(D273&lt;=TODAY(),OR(E273="",E273&gt;=TODAY())),"VIGENTE","encerrada"))</f>
        <v/>
      </c>
      <c r="J273" s="27"/>
      <c r="K273" s="5"/>
    </row>
    <row r="274" customFormat="false" ht="15" hidden="false" customHeight="false" outlineLevel="0" collapsed="false">
      <c r="A274" s="27"/>
      <c r="B274" s="5"/>
      <c r="C274" s="14"/>
      <c r="D274" s="18"/>
      <c r="E274" s="18"/>
      <c r="F274" s="14"/>
      <c r="G274" s="5"/>
      <c r="H274" s="5"/>
      <c r="I274" s="28" t="str">
        <f aca="true">IF(OR(A274="",D274=""),"",IF(AND(D274&lt;=TODAY(),OR(E274="",E274&gt;=TODAY())),"VIGENTE","encerrada"))</f>
        <v/>
      </c>
      <c r="J274" s="27"/>
      <c r="K274" s="5"/>
    </row>
    <row r="275" customFormat="false" ht="15" hidden="false" customHeight="false" outlineLevel="0" collapsed="false">
      <c r="A275" s="27"/>
      <c r="B275" s="5"/>
      <c r="C275" s="14"/>
      <c r="D275" s="18"/>
      <c r="E275" s="18"/>
      <c r="F275" s="14"/>
      <c r="G275" s="5"/>
      <c r="H275" s="5"/>
      <c r="I275" s="28" t="str">
        <f aca="true">IF(OR(A275="",D275=""),"",IF(AND(D275&lt;=TODAY(),OR(E275="",E275&gt;=TODAY())),"VIGENTE","encerrada"))</f>
        <v/>
      </c>
      <c r="J275" s="27"/>
      <c r="K275" s="5"/>
    </row>
    <row r="276" customFormat="false" ht="15" hidden="false" customHeight="false" outlineLevel="0" collapsed="false">
      <c r="A276" s="27"/>
      <c r="B276" s="5"/>
      <c r="C276" s="14"/>
      <c r="D276" s="18"/>
      <c r="E276" s="18"/>
      <c r="F276" s="14"/>
      <c r="G276" s="5"/>
      <c r="H276" s="5"/>
      <c r="I276" s="28" t="str">
        <f aca="true">IF(OR(A276="",D276=""),"",IF(AND(D276&lt;=TODAY(),OR(E276="",E276&gt;=TODAY())),"VIGENTE","encerrada"))</f>
        <v/>
      </c>
      <c r="J276" s="27"/>
      <c r="K276" s="5"/>
    </row>
    <row r="277" customFormat="false" ht="15" hidden="false" customHeight="false" outlineLevel="0" collapsed="false">
      <c r="A277" s="27"/>
      <c r="B277" s="5"/>
      <c r="C277" s="14"/>
      <c r="D277" s="18"/>
      <c r="E277" s="18"/>
      <c r="F277" s="14"/>
      <c r="G277" s="5"/>
      <c r="H277" s="5"/>
      <c r="I277" s="28" t="str">
        <f aca="true">IF(OR(A277="",D277=""),"",IF(AND(D277&lt;=TODAY(),OR(E277="",E277&gt;=TODAY())),"VIGENTE","encerrada"))</f>
        <v/>
      </c>
      <c r="J277" s="27"/>
      <c r="K277" s="5"/>
    </row>
    <row r="278" customFormat="false" ht="15" hidden="false" customHeight="false" outlineLevel="0" collapsed="false">
      <c r="A278" s="27"/>
      <c r="B278" s="5"/>
      <c r="C278" s="14"/>
      <c r="D278" s="18"/>
      <c r="E278" s="18"/>
      <c r="F278" s="14"/>
      <c r="G278" s="5"/>
      <c r="H278" s="5"/>
      <c r="I278" s="28" t="str">
        <f aca="true">IF(OR(A278="",D278=""),"",IF(AND(D278&lt;=TODAY(),OR(E278="",E278&gt;=TODAY())),"VIGENTE","encerrada"))</f>
        <v/>
      </c>
      <c r="J278" s="27"/>
      <c r="K278" s="5"/>
    </row>
    <row r="279" customFormat="false" ht="15" hidden="false" customHeight="false" outlineLevel="0" collapsed="false">
      <c r="A279" s="27"/>
      <c r="B279" s="5"/>
      <c r="C279" s="14"/>
      <c r="D279" s="18"/>
      <c r="E279" s="18"/>
      <c r="F279" s="14"/>
      <c r="G279" s="5"/>
      <c r="H279" s="5"/>
      <c r="I279" s="28" t="str">
        <f aca="true">IF(OR(A279="",D279=""),"",IF(AND(D279&lt;=TODAY(),OR(E279="",E279&gt;=TODAY())),"VIGENTE","encerrada"))</f>
        <v/>
      </c>
      <c r="J279" s="27"/>
      <c r="K279" s="5"/>
    </row>
    <row r="280" customFormat="false" ht="15" hidden="false" customHeight="false" outlineLevel="0" collapsed="false">
      <c r="A280" s="27"/>
      <c r="B280" s="5"/>
      <c r="C280" s="14"/>
      <c r="D280" s="18"/>
      <c r="E280" s="18"/>
      <c r="F280" s="14"/>
      <c r="G280" s="5"/>
      <c r="H280" s="5"/>
      <c r="I280" s="28" t="str">
        <f aca="true">IF(OR(A280="",D280=""),"",IF(AND(D280&lt;=TODAY(),OR(E280="",E280&gt;=TODAY())),"VIGENTE","encerrada"))</f>
        <v/>
      </c>
      <c r="J280" s="27"/>
      <c r="K280" s="5"/>
    </row>
    <row r="281" customFormat="false" ht="15" hidden="false" customHeight="false" outlineLevel="0" collapsed="false">
      <c r="A281" s="27"/>
      <c r="B281" s="5"/>
      <c r="C281" s="14"/>
      <c r="D281" s="18"/>
      <c r="E281" s="18"/>
      <c r="F281" s="14"/>
      <c r="G281" s="5"/>
      <c r="H281" s="5"/>
      <c r="I281" s="28" t="str">
        <f aca="true">IF(OR(A281="",D281=""),"",IF(AND(D281&lt;=TODAY(),OR(E281="",E281&gt;=TODAY())),"VIGENTE","encerrada"))</f>
        <v/>
      </c>
      <c r="J281" s="27"/>
      <c r="K281" s="5"/>
    </row>
    <row r="282" customFormat="false" ht="15" hidden="false" customHeight="false" outlineLevel="0" collapsed="false">
      <c r="A282" s="27"/>
      <c r="B282" s="5"/>
      <c r="C282" s="14"/>
      <c r="D282" s="18"/>
      <c r="E282" s="18"/>
      <c r="F282" s="14"/>
      <c r="G282" s="5"/>
      <c r="H282" s="5"/>
      <c r="I282" s="28" t="str">
        <f aca="true">IF(OR(A282="",D282=""),"",IF(AND(D282&lt;=TODAY(),OR(E282="",E282&gt;=TODAY())),"VIGENTE","encerrada"))</f>
        <v/>
      </c>
      <c r="J282" s="27"/>
      <c r="K282" s="5"/>
    </row>
    <row r="283" customFormat="false" ht="15" hidden="false" customHeight="false" outlineLevel="0" collapsed="false">
      <c r="A283" s="27"/>
      <c r="B283" s="5"/>
      <c r="C283" s="14"/>
      <c r="D283" s="18"/>
      <c r="E283" s="18"/>
      <c r="F283" s="14"/>
      <c r="G283" s="5"/>
      <c r="H283" s="5"/>
      <c r="I283" s="28" t="str">
        <f aca="true">IF(OR(A283="",D283=""),"",IF(AND(D283&lt;=TODAY(),OR(E283="",E283&gt;=TODAY())),"VIGENTE","encerrada"))</f>
        <v/>
      </c>
      <c r="J283" s="27"/>
      <c r="K283" s="5"/>
    </row>
    <row r="284" customFormat="false" ht="15" hidden="false" customHeight="false" outlineLevel="0" collapsed="false">
      <c r="A284" s="27"/>
      <c r="B284" s="5"/>
      <c r="C284" s="14"/>
      <c r="D284" s="18"/>
      <c r="E284" s="18"/>
      <c r="F284" s="14"/>
      <c r="G284" s="5"/>
      <c r="H284" s="5"/>
      <c r="I284" s="28" t="str">
        <f aca="true">IF(OR(A284="",D284=""),"",IF(AND(D284&lt;=TODAY(),OR(E284="",E284&gt;=TODAY())),"VIGENTE","encerrada"))</f>
        <v/>
      </c>
      <c r="J284" s="27"/>
      <c r="K284" s="5"/>
    </row>
    <row r="285" customFormat="false" ht="15" hidden="false" customHeight="false" outlineLevel="0" collapsed="false">
      <c r="A285" s="27"/>
      <c r="B285" s="5"/>
      <c r="C285" s="14"/>
      <c r="D285" s="18"/>
      <c r="E285" s="18"/>
      <c r="F285" s="14"/>
      <c r="G285" s="5"/>
      <c r="H285" s="5"/>
      <c r="I285" s="28" t="str">
        <f aca="true">IF(OR(A285="",D285=""),"",IF(AND(D285&lt;=TODAY(),OR(E285="",E285&gt;=TODAY())),"VIGENTE","encerrada"))</f>
        <v/>
      </c>
      <c r="J285" s="27"/>
      <c r="K285" s="5"/>
    </row>
    <row r="286" customFormat="false" ht="15" hidden="false" customHeight="false" outlineLevel="0" collapsed="false">
      <c r="A286" s="27"/>
      <c r="B286" s="5"/>
      <c r="C286" s="14"/>
      <c r="D286" s="18"/>
      <c r="E286" s="18"/>
      <c r="F286" s="14"/>
      <c r="G286" s="5"/>
      <c r="H286" s="5"/>
      <c r="I286" s="28" t="str">
        <f aca="true">IF(OR(A286="",D286=""),"",IF(AND(D286&lt;=TODAY(),OR(E286="",E286&gt;=TODAY())),"VIGENTE","encerrada"))</f>
        <v/>
      </c>
      <c r="J286" s="27"/>
      <c r="K286" s="5"/>
    </row>
    <row r="287" customFormat="false" ht="15" hidden="false" customHeight="false" outlineLevel="0" collapsed="false">
      <c r="A287" s="27"/>
      <c r="B287" s="5"/>
      <c r="C287" s="14"/>
      <c r="D287" s="18"/>
      <c r="E287" s="18"/>
      <c r="F287" s="14"/>
      <c r="G287" s="5"/>
      <c r="H287" s="5"/>
      <c r="I287" s="28" t="str">
        <f aca="true">IF(OR(A287="",D287=""),"",IF(AND(D287&lt;=TODAY(),OR(E287="",E287&gt;=TODAY())),"VIGENTE","encerrada"))</f>
        <v/>
      </c>
      <c r="J287" s="27"/>
      <c r="K287" s="5"/>
    </row>
    <row r="288" customFormat="false" ht="15" hidden="false" customHeight="false" outlineLevel="0" collapsed="false">
      <c r="A288" s="27"/>
      <c r="B288" s="5"/>
      <c r="C288" s="14"/>
      <c r="D288" s="18"/>
      <c r="E288" s="18"/>
      <c r="F288" s="14"/>
      <c r="G288" s="5"/>
      <c r="H288" s="5"/>
      <c r="I288" s="28" t="str">
        <f aca="true">IF(OR(A288="",D288=""),"",IF(AND(D288&lt;=TODAY(),OR(E288="",E288&gt;=TODAY())),"VIGENTE","encerrada"))</f>
        <v/>
      </c>
      <c r="J288" s="27"/>
      <c r="K288" s="5"/>
    </row>
    <row r="289" customFormat="false" ht="15" hidden="false" customHeight="false" outlineLevel="0" collapsed="false">
      <c r="A289" s="27"/>
      <c r="B289" s="5"/>
      <c r="C289" s="14"/>
      <c r="D289" s="18"/>
      <c r="E289" s="18"/>
      <c r="F289" s="14"/>
      <c r="G289" s="5"/>
      <c r="H289" s="5"/>
      <c r="I289" s="28" t="str">
        <f aca="true">IF(OR(A289="",D289=""),"",IF(AND(D289&lt;=TODAY(),OR(E289="",E289&gt;=TODAY())),"VIGENTE","encerrada"))</f>
        <v/>
      </c>
      <c r="J289" s="27"/>
      <c r="K289" s="5"/>
    </row>
    <row r="290" customFormat="false" ht="15" hidden="false" customHeight="false" outlineLevel="0" collapsed="false">
      <c r="A290" s="27"/>
      <c r="B290" s="5"/>
      <c r="C290" s="14"/>
      <c r="D290" s="18"/>
      <c r="E290" s="18"/>
      <c r="F290" s="14"/>
      <c r="G290" s="5"/>
      <c r="H290" s="5"/>
      <c r="I290" s="28" t="str">
        <f aca="true">IF(OR(A290="",D290=""),"",IF(AND(D290&lt;=TODAY(),OR(E290="",E290&gt;=TODAY())),"VIGENTE","encerrada"))</f>
        <v/>
      </c>
      <c r="J290" s="27"/>
      <c r="K290" s="5"/>
    </row>
    <row r="291" customFormat="false" ht="15" hidden="false" customHeight="false" outlineLevel="0" collapsed="false">
      <c r="A291" s="27"/>
      <c r="B291" s="5"/>
      <c r="C291" s="14"/>
      <c r="D291" s="18"/>
      <c r="E291" s="18"/>
      <c r="F291" s="14"/>
      <c r="G291" s="5"/>
      <c r="H291" s="5"/>
      <c r="I291" s="28" t="str">
        <f aca="true">IF(OR(A291="",D291=""),"",IF(AND(D291&lt;=TODAY(),OR(E291="",E291&gt;=TODAY())),"VIGENTE","encerrada"))</f>
        <v/>
      </c>
      <c r="J291" s="27"/>
      <c r="K291" s="5"/>
    </row>
    <row r="292" customFormat="false" ht="15" hidden="false" customHeight="false" outlineLevel="0" collapsed="false">
      <c r="A292" s="27"/>
      <c r="B292" s="5"/>
      <c r="C292" s="14"/>
      <c r="D292" s="18"/>
      <c r="E292" s="18"/>
      <c r="F292" s="14"/>
      <c r="G292" s="5"/>
      <c r="H292" s="5"/>
      <c r="I292" s="28" t="str">
        <f aca="true">IF(OR(A292="",D292=""),"",IF(AND(D292&lt;=TODAY(),OR(E292="",E292&gt;=TODAY())),"VIGENTE","encerrada"))</f>
        <v/>
      </c>
      <c r="J292" s="27"/>
      <c r="K292" s="5"/>
    </row>
    <row r="293" customFormat="false" ht="15" hidden="false" customHeight="false" outlineLevel="0" collapsed="false">
      <c r="A293" s="27"/>
      <c r="B293" s="5"/>
      <c r="C293" s="14"/>
      <c r="D293" s="18"/>
      <c r="E293" s="18"/>
      <c r="F293" s="14"/>
      <c r="G293" s="5"/>
      <c r="H293" s="5"/>
      <c r="I293" s="28" t="str">
        <f aca="true">IF(OR(A293="",D293=""),"",IF(AND(D293&lt;=TODAY(),OR(E293="",E293&gt;=TODAY())),"VIGENTE","encerrada"))</f>
        <v/>
      </c>
      <c r="J293" s="27"/>
      <c r="K293" s="5"/>
    </row>
    <row r="294" customFormat="false" ht="15" hidden="false" customHeight="false" outlineLevel="0" collapsed="false">
      <c r="A294" s="27"/>
      <c r="B294" s="5"/>
      <c r="C294" s="14"/>
      <c r="D294" s="18"/>
      <c r="E294" s="18"/>
      <c r="F294" s="14"/>
      <c r="G294" s="5"/>
      <c r="H294" s="5"/>
      <c r="I294" s="28" t="str">
        <f aca="true">IF(OR(A294="",D294=""),"",IF(AND(D294&lt;=TODAY(),OR(E294="",E294&gt;=TODAY())),"VIGENTE","encerrada"))</f>
        <v/>
      </c>
      <c r="J294" s="27"/>
      <c r="K294" s="5"/>
    </row>
    <row r="295" customFormat="false" ht="15" hidden="false" customHeight="false" outlineLevel="0" collapsed="false">
      <c r="A295" s="27"/>
      <c r="B295" s="5"/>
      <c r="C295" s="14"/>
      <c r="D295" s="18"/>
      <c r="E295" s="18"/>
      <c r="F295" s="14"/>
      <c r="G295" s="5"/>
      <c r="H295" s="5"/>
      <c r="I295" s="28" t="str">
        <f aca="true">IF(OR(A295="",D295=""),"",IF(AND(D295&lt;=TODAY(),OR(E295="",E295&gt;=TODAY())),"VIGENTE","encerrada"))</f>
        <v/>
      </c>
      <c r="J295" s="27"/>
      <c r="K295" s="5"/>
    </row>
    <row r="296" customFormat="false" ht="15" hidden="false" customHeight="false" outlineLevel="0" collapsed="false">
      <c r="A296" s="27"/>
      <c r="B296" s="5"/>
      <c r="C296" s="14"/>
      <c r="D296" s="18"/>
      <c r="E296" s="18"/>
      <c r="F296" s="14"/>
      <c r="G296" s="5"/>
      <c r="H296" s="5"/>
      <c r="I296" s="28" t="str">
        <f aca="true">IF(OR(A296="",D296=""),"",IF(AND(D296&lt;=TODAY(),OR(E296="",E296&gt;=TODAY())),"VIGENTE","encerrada"))</f>
        <v/>
      </c>
      <c r="J296" s="27"/>
      <c r="K296" s="5"/>
    </row>
    <row r="297" customFormat="false" ht="15" hidden="false" customHeight="false" outlineLevel="0" collapsed="false">
      <c r="A297" s="27"/>
      <c r="B297" s="5"/>
      <c r="C297" s="14"/>
      <c r="D297" s="18"/>
      <c r="E297" s="18"/>
      <c r="F297" s="14"/>
      <c r="G297" s="5"/>
      <c r="H297" s="5"/>
      <c r="I297" s="28" t="str">
        <f aca="true">IF(OR(A297="",D297=""),"",IF(AND(D297&lt;=TODAY(),OR(E297="",E297&gt;=TODAY())),"VIGENTE","encerrada"))</f>
        <v/>
      </c>
      <c r="J297" s="27"/>
      <c r="K297" s="5"/>
    </row>
    <row r="298" customFormat="false" ht="15" hidden="false" customHeight="false" outlineLevel="0" collapsed="false">
      <c r="A298" s="27"/>
      <c r="B298" s="5"/>
      <c r="C298" s="14"/>
      <c r="D298" s="18"/>
      <c r="E298" s="18"/>
      <c r="F298" s="14"/>
      <c r="G298" s="5"/>
      <c r="H298" s="5"/>
      <c r="I298" s="28" t="str">
        <f aca="true">IF(OR(A298="",D298=""),"",IF(AND(D298&lt;=TODAY(),OR(E298="",E298&gt;=TODAY())),"VIGENTE","encerrada"))</f>
        <v/>
      </c>
      <c r="J298" s="27"/>
      <c r="K298" s="5"/>
    </row>
    <row r="299" customFormat="false" ht="15" hidden="false" customHeight="false" outlineLevel="0" collapsed="false">
      <c r="A299" s="27"/>
      <c r="B299" s="5"/>
      <c r="C299" s="14"/>
      <c r="D299" s="18"/>
      <c r="E299" s="18"/>
      <c r="F299" s="14"/>
      <c r="G299" s="5"/>
      <c r="H299" s="5"/>
      <c r="I299" s="28" t="str">
        <f aca="true">IF(OR(A299="",D299=""),"",IF(AND(D299&lt;=TODAY(),OR(E299="",E299&gt;=TODAY())),"VIGENTE","encerrada"))</f>
        <v/>
      </c>
      <c r="J299" s="27"/>
      <c r="K299" s="5"/>
    </row>
    <row r="300" customFormat="false" ht="15" hidden="false" customHeight="false" outlineLevel="0" collapsed="false">
      <c r="A300" s="27"/>
      <c r="B300" s="5"/>
      <c r="C300" s="14"/>
      <c r="D300" s="18"/>
      <c r="E300" s="18"/>
      <c r="F300" s="14"/>
      <c r="G300" s="5"/>
      <c r="H300" s="5"/>
      <c r="I300" s="28" t="str">
        <f aca="true">IF(OR(A300="",D300=""),"",IF(AND(D300&lt;=TODAY(),OR(E300="",E300&gt;=TODAY())),"VIGENTE","encerrada"))</f>
        <v/>
      </c>
      <c r="J300" s="27"/>
      <c r="K300" s="5"/>
    </row>
    <row r="301" customFormat="false" ht="15" hidden="false" customHeight="false" outlineLevel="0" collapsed="false">
      <c r="A301" s="27"/>
      <c r="B301" s="5"/>
      <c r="C301" s="14"/>
      <c r="D301" s="18"/>
      <c r="E301" s="18"/>
      <c r="F301" s="14"/>
      <c r="G301" s="5"/>
      <c r="H301" s="5"/>
      <c r="I301" s="28" t="str">
        <f aca="true">IF(OR(A301="",D301=""),"",IF(AND(D301&lt;=TODAY(),OR(E301="",E301&gt;=TODAY())),"VIGENTE","encerrada"))</f>
        <v/>
      </c>
      <c r="J301" s="27"/>
      <c r="K301" s="5"/>
    </row>
  </sheetData>
  <autoFilter ref="A1:K301"/>
  <conditionalFormatting sqref="A2:A301">
    <cfRule type="expression" priority="2" aboveAverage="0" equalAverage="0" bottom="0" percent="0" rank="0" text="" dxfId="17">
      <formula>AND(A2&lt;&gt;"",LEN(A2)&lt;&gt;14)</formula>
    </cfRule>
  </conditionalFormatting>
  <conditionalFormatting sqref="I2:I301">
    <cfRule type="expression" priority="3" aboveAverage="0" equalAverage="0" bottom="0" percent="0" rank="0" text="" dxfId="8">
      <formula>I2="VIGENTE"</formula>
    </cfRule>
  </conditionalFormatting>
  <dataValidations count="4">
    <dataValidation allowBlank="true" error="Escolha uma opção da lista (as opções estão na aba Listas)." errorStyle="stop" operator="between" showDropDown="false" showErrorMessage="false" showInputMessage="false" sqref="B2:B301" type="list">
      <formula1>Listas!$L$2:$L$7</formula1>
      <formula2>0</formula2>
    </dataValidation>
    <dataValidation allowBlank="true" error="Escolha uma opção da lista (as opções estão na aba Listas)." errorStyle="stop" operator="between" showDropDown="false" showErrorMessage="false" showInputMessage="false" sqref="C2:C301" type="list">
      <formula1>Listas!$K$2:$K$4</formula1>
      <formula2>0</formula2>
    </dataValidation>
    <dataValidation allowBlank="true" error="Escolha uma opção da lista (as opções estão na aba Listas)." errorStyle="stop" operator="between" showDropDown="false" showErrorMessage="false" showInputMessage="false" sqref="F2:F301" type="list">
      <formula1>Listas!$J$2:$J$5</formula1>
      <formula2>0</formula2>
    </dataValidation>
    <dataValidation allowBlank="true" error="Digite o CNPJ como texto, com 14 caracteres, sem pontos, barra ou traço. É a chave de todos os cruzamentos." errorStyle="warning" errorTitle="CNPJ com 14 caracteres" operator="equal" showDropDown="false" showErrorMessage="true" showInputMessage="false" sqref="A2:A301" type="textLength">
      <formula1>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32"/>
    <col collapsed="false" customWidth="true" hidden="false" outlineLevel="0" max="5" min="5" style="0" width="15"/>
    <col collapsed="false" customWidth="true" hidden="false" outlineLevel="0" max="6" min="6" style="0" width="28"/>
    <col collapsed="false" customWidth="true" hidden="false" outlineLevel="0" max="7" min="7" style="0" width="34"/>
    <col collapsed="false" customWidth="true" hidden="false" outlineLevel="0" max="8" min="8" style="0" width="20"/>
    <col collapsed="false" customWidth="true" hidden="false" outlineLevel="0" max="9" min="9" style="0" width="11"/>
    <col collapsed="false" customWidth="true" hidden="false" outlineLevel="0" max="10" min="10" style="0" width="18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false" outlineLevel="0" max="14" min="13" style="0" width="15"/>
    <col collapsed="false" customWidth="true" hidden="false" outlineLevel="0" max="15" min="15" style="0" width="11"/>
    <col collapsed="false" customWidth="true" hidden="false" outlineLevel="0" max="16" min="16" style="0" width="10"/>
    <col collapsed="false" customWidth="true" hidden="false" outlineLevel="0" max="17" min="17" style="0" width="9"/>
    <col collapsed="false" customWidth="true" hidden="false" outlineLevel="0" max="19" min="18" style="0" width="11"/>
    <col collapsed="false" customWidth="true" hidden="false" outlineLevel="0" max="20" min="20" style="0" width="30"/>
  </cols>
  <sheetData>
    <row r="1" customFormat="false" ht="39.75" hidden="false" customHeight="true" outlineLevel="0" collapsed="false">
      <c r="A1" s="10" t="s">
        <v>460</v>
      </c>
      <c r="B1" s="10" t="s">
        <v>475</v>
      </c>
      <c r="C1" s="10" t="s">
        <v>476</v>
      </c>
      <c r="D1" s="10" t="s">
        <v>477</v>
      </c>
      <c r="E1" s="10" t="s">
        <v>478</v>
      </c>
      <c r="F1" s="10" t="s">
        <v>479</v>
      </c>
      <c r="G1" s="10" t="s">
        <v>480</v>
      </c>
      <c r="H1" s="10" t="s">
        <v>481</v>
      </c>
      <c r="I1" s="10" t="s">
        <v>482</v>
      </c>
      <c r="J1" s="10" t="s">
        <v>483</v>
      </c>
      <c r="K1" s="15" t="s">
        <v>484</v>
      </c>
      <c r="L1" s="15" t="s">
        <v>485</v>
      </c>
      <c r="M1" s="15" t="s">
        <v>486</v>
      </c>
      <c r="N1" s="15" t="s">
        <v>487</v>
      </c>
      <c r="O1" s="15" t="s">
        <v>488</v>
      </c>
      <c r="P1" s="15" t="s">
        <v>489</v>
      </c>
      <c r="Q1" s="15" t="s">
        <v>490</v>
      </c>
      <c r="R1" s="15" t="s">
        <v>491</v>
      </c>
      <c r="S1" s="10" t="s">
        <v>395</v>
      </c>
      <c r="T1" s="10" t="s">
        <v>138</v>
      </c>
    </row>
    <row r="2" customFormat="false" ht="23.85" hidden="false" customHeight="false" outlineLevel="0" collapsed="false">
      <c r="A2" s="23" t="s">
        <v>414</v>
      </c>
      <c r="B2" s="7" t="s">
        <v>415</v>
      </c>
      <c r="C2" s="16" t="n">
        <v>45726</v>
      </c>
      <c r="D2" s="7" t="s">
        <v>492</v>
      </c>
      <c r="E2" s="33" t="n">
        <v>10000</v>
      </c>
      <c r="F2" s="7" t="s">
        <v>493</v>
      </c>
      <c r="G2" s="7" t="s">
        <v>494</v>
      </c>
      <c r="H2" s="7" t="s">
        <v>495</v>
      </c>
      <c r="I2" s="13" t="s">
        <v>496</v>
      </c>
      <c r="J2" s="13" t="s">
        <v>497</v>
      </c>
      <c r="K2" s="24" t="n">
        <f aca="false">IF(A2="","",COUNTIF(Contratos!$A:$A,A2))</f>
        <v>1</v>
      </c>
      <c r="L2" s="38" t="n">
        <f aca="false">IF(A2="","",SUMIFS(Contratos!$D:$D,Contratos!$A:$A,A2)+SUMIFS(Contratos!$N:$N,Contratos!$A:$A,A2))</f>
        <v>630000</v>
      </c>
      <c r="M2" s="38" t="n">
        <f aca="false">IF(A2="","",SUMIFS(Pagamentos!$C:$C,Pagamentos!$A:$A,A2,Pagamentos!$F:$F,"Empenho"))</f>
        <v>480000</v>
      </c>
      <c r="N2" s="38" t="n">
        <f aca="false">IF(A2="","",SUMIFS(Pagamentos!$C:$C,Pagamentos!$A:$A,A2,Pagamentos!$F:$F,"Pagamento"))</f>
        <v>240000</v>
      </c>
      <c r="O2" s="36" t="n">
        <f aca="false">IF(OR(A2="",E2="",L2="",L2=0),"",E2/L2)</f>
        <v>0.0158730158730159</v>
      </c>
      <c r="P2" s="34" t="n">
        <f aca="false">IF(A2="","",COUNTIFS(Sancoes!$A:$A,A2,Sancoes!$B:$B,"&lt;&gt;Não consta"))</f>
        <v>0</v>
      </c>
      <c r="Q2" s="24" t="n">
        <f aca="false">IF(A2="","",COUNTIF(Socios!$A:$A,A2))</f>
        <v>1</v>
      </c>
      <c r="R2" s="24" t="n">
        <f aca="false">IF(A2="","",COUNTIFS(Socios!$A:$A,A2,Socios!$K:$K,"SIM"))</f>
        <v>1</v>
      </c>
      <c r="S2" s="23" t="s">
        <v>182</v>
      </c>
      <c r="T2" s="7" t="s">
        <v>498</v>
      </c>
    </row>
    <row r="3" customFormat="false" ht="15" hidden="false" customHeight="false" outlineLevel="0" collapsed="false">
      <c r="A3" s="23" t="s">
        <v>423</v>
      </c>
      <c r="B3" s="7" t="s">
        <v>424</v>
      </c>
      <c r="C3" s="16" t="n">
        <v>42156</v>
      </c>
      <c r="D3" s="7" t="s">
        <v>499</v>
      </c>
      <c r="E3" s="33" t="n">
        <v>2000000</v>
      </c>
      <c r="F3" s="7" t="s">
        <v>500</v>
      </c>
      <c r="G3" s="7" t="s">
        <v>501</v>
      </c>
      <c r="H3" s="7" t="s">
        <v>502</v>
      </c>
      <c r="I3" s="13" t="s">
        <v>496</v>
      </c>
      <c r="J3" s="13" t="s">
        <v>497</v>
      </c>
      <c r="K3" s="24" t="n">
        <f aca="false">IF(A3="","",COUNTIF(Contratos!$A:$A,A3))</f>
        <v>1</v>
      </c>
      <c r="L3" s="38" t="n">
        <f aca="false">IF(A3="","",SUMIFS(Contratos!$D:$D,Contratos!$A:$A,A3)+SUMIFS(Contratos!$N:$N,Contratos!$A:$A,A3))</f>
        <v>2300000</v>
      </c>
      <c r="M3" s="38" t="n">
        <f aca="false">IF(A3="","",SUMIFS(Pagamentos!$C:$C,Pagamentos!$A:$A,A3,Pagamentos!$F:$F,"Empenho"))</f>
        <v>0</v>
      </c>
      <c r="N3" s="38" t="n">
        <f aca="false">IF(A3="","",SUMIFS(Pagamentos!$C:$C,Pagamentos!$A:$A,A3,Pagamentos!$F:$F,"Pagamento"))</f>
        <v>460000</v>
      </c>
      <c r="O3" s="36" t="n">
        <f aca="false">IF(OR(A3="",E3="",L3="",L3=0),"",E3/L3)</f>
        <v>0.869565217391304</v>
      </c>
      <c r="P3" s="34" t="n">
        <f aca="false">IF(A3="","",COUNTIFS(Sancoes!$A:$A,A3,Sancoes!$B:$B,"&lt;&gt;Não consta"))</f>
        <v>1</v>
      </c>
      <c r="Q3" s="24" t="n">
        <f aca="false">IF(A3="","",COUNTIF(Socios!$A:$A,A3))</f>
        <v>1</v>
      </c>
      <c r="R3" s="24" t="n">
        <f aca="false">IF(A3="","",COUNTIFS(Socios!$A:$A,A3,Socios!$K:$K,"SIM"))</f>
        <v>0</v>
      </c>
      <c r="S3" s="23" t="s">
        <v>182</v>
      </c>
      <c r="T3" s="7" t="s">
        <v>498</v>
      </c>
    </row>
    <row r="4" customFormat="false" ht="23.85" hidden="false" customHeight="false" outlineLevel="0" collapsed="false">
      <c r="A4" s="23" t="s">
        <v>429</v>
      </c>
      <c r="B4" s="7" t="s">
        <v>430</v>
      </c>
      <c r="C4" s="16" t="n">
        <v>41011</v>
      </c>
      <c r="D4" s="7" t="s">
        <v>503</v>
      </c>
      <c r="E4" s="33" t="n">
        <v>50000</v>
      </c>
      <c r="F4" s="7" t="s">
        <v>504</v>
      </c>
      <c r="G4" s="7" t="s">
        <v>505</v>
      </c>
      <c r="H4" s="7" t="s">
        <v>506</v>
      </c>
      <c r="I4" s="13" t="s">
        <v>496</v>
      </c>
      <c r="J4" s="13" t="s">
        <v>497</v>
      </c>
      <c r="K4" s="24" t="n">
        <f aca="false">IF(A4="","",COUNTIF(Contratos!$A:$A,A4))</f>
        <v>1</v>
      </c>
      <c r="L4" s="38" t="n">
        <f aca="false">IF(A4="","",SUMIFS(Contratos!$D:$D,Contratos!$A:$A,A4)+SUMIFS(Contratos!$N:$N,Contratos!$A:$A,A4))</f>
        <v>95000</v>
      </c>
      <c r="M4" s="38" t="n">
        <f aca="false">IF(A4="","",SUMIFS(Pagamentos!$C:$C,Pagamentos!$A:$A,A4,Pagamentos!$F:$F,"Empenho"))</f>
        <v>0</v>
      </c>
      <c r="N4" s="38" t="n">
        <f aca="false">IF(A4="","",SUMIFS(Pagamentos!$C:$C,Pagamentos!$A:$A,A4,Pagamentos!$F:$F,"Pagamento"))</f>
        <v>38000</v>
      </c>
      <c r="O4" s="36" t="n">
        <f aca="false">IF(OR(A4="",E4="",L4="",L4=0),"",E4/L4)</f>
        <v>0.526315789473684</v>
      </c>
      <c r="P4" s="34" t="n">
        <f aca="false">IF(A4="","",COUNTIFS(Sancoes!$A:$A,A4,Sancoes!$B:$B,"&lt;&gt;Não consta"))</f>
        <v>0</v>
      </c>
      <c r="Q4" s="24" t="n">
        <f aca="false">IF(A4="","",COUNTIF(Socios!$A:$A,A4))</f>
        <v>1</v>
      </c>
      <c r="R4" s="24" t="n">
        <f aca="false">IF(A4="","",COUNTIFS(Socios!$A:$A,A4,Socios!$K:$K,"SIM"))</f>
        <v>0</v>
      </c>
      <c r="S4" s="23" t="s">
        <v>182</v>
      </c>
      <c r="T4" s="7" t="s">
        <v>498</v>
      </c>
    </row>
    <row r="5" customFormat="false" ht="15" hidden="false" customHeight="false" outlineLevel="0" collapsed="false">
      <c r="A5" s="27"/>
      <c r="B5" s="5"/>
      <c r="C5" s="18"/>
      <c r="D5" s="5"/>
      <c r="E5" s="35"/>
      <c r="F5" s="5"/>
      <c r="G5" s="5"/>
      <c r="H5" s="5"/>
      <c r="I5" s="14"/>
      <c r="J5" s="14"/>
      <c r="K5" s="28" t="str">
        <f aca="false">IF(A5="","",COUNTIF(Contratos!$A:$A,A5))</f>
        <v/>
      </c>
      <c r="L5" s="39" t="str">
        <f aca="false">IF(A5="","",SUMIFS(Contratos!$D:$D,Contratos!$A:$A,A5)+SUMIFS(Contratos!$N:$N,Contratos!$A:$A,A5))</f>
        <v/>
      </c>
      <c r="M5" s="39" t="str">
        <f aca="false">IF(A5="","",SUMIFS(Pagamentos!$C:$C,Pagamentos!$A:$A,A5,Pagamentos!$F:$F,"Empenho"))</f>
        <v/>
      </c>
      <c r="N5" s="39" t="str">
        <f aca="false">IF(A5="","",SUMIFS(Pagamentos!$C:$C,Pagamentos!$A:$A,A5,Pagamentos!$F:$F,"Pagamento"))</f>
        <v/>
      </c>
      <c r="O5" s="37" t="str">
        <f aca="false">IF(OR(A5="",E5="",L5="",L5=0),"",E5/L5)</f>
        <v/>
      </c>
      <c r="P5" s="28" t="str">
        <f aca="false">IF(A5="","",COUNTIFS(Sancoes!$A:$A,A5,Sancoes!$B:$B,"&lt;&gt;Não consta"))</f>
        <v/>
      </c>
      <c r="Q5" s="28" t="str">
        <f aca="false">IF(A5="","",COUNTIF(Socios!$A:$A,A5))</f>
        <v/>
      </c>
      <c r="R5" s="28" t="str">
        <f aca="false">IF(A5="","",COUNTIFS(Socios!$A:$A,A5,Socios!$K:$K,"SIM"))</f>
        <v/>
      </c>
      <c r="S5" s="27"/>
      <c r="T5" s="5"/>
    </row>
    <row r="6" customFormat="false" ht="15" hidden="false" customHeight="false" outlineLevel="0" collapsed="false">
      <c r="A6" s="27"/>
      <c r="B6" s="5"/>
      <c r="C6" s="18"/>
      <c r="D6" s="5"/>
      <c r="E6" s="35"/>
      <c r="F6" s="5"/>
      <c r="G6" s="5"/>
      <c r="H6" s="5"/>
      <c r="I6" s="14"/>
      <c r="J6" s="14"/>
      <c r="K6" s="28" t="str">
        <f aca="false">IF(A6="","",COUNTIF(Contratos!$A:$A,A6))</f>
        <v/>
      </c>
      <c r="L6" s="39" t="str">
        <f aca="false">IF(A6="","",SUMIFS(Contratos!$D:$D,Contratos!$A:$A,A6)+SUMIFS(Contratos!$N:$N,Contratos!$A:$A,A6))</f>
        <v/>
      </c>
      <c r="M6" s="39" t="str">
        <f aca="false">IF(A6="","",SUMIFS(Pagamentos!$C:$C,Pagamentos!$A:$A,A6,Pagamentos!$F:$F,"Empenho"))</f>
        <v/>
      </c>
      <c r="N6" s="39" t="str">
        <f aca="false">IF(A6="","",SUMIFS(Pagamentos!$C:$C,Pagamentos!$A:$A,A6,Pagamentos!$F:$F,"Pagamento"))</f>
        <v/>
      </c>
      <c r="O6" s="37" t="str">
        <f aca="false">IF(OR(A6="",E6="",L6="",L6=0),"",E6/L6)</f>
        <v/>
      </c>
      <c r="P6" s="28" t="str">
        <f aca="false">IF(A6="","",COUNTIFS(Sancoes!$A:$A,A6,Sancoes!$B:$B,"&lt;&gt;Não consta"))</f>
        <v/>
      </c>
      <c r="Q6" s="28" t="str">
        <f aca="false">IF(A6="","",COUNTIF(Socios!$A:$A,A6))</f>
        <v/>
      </c>
      <c r="R6" s="28" t="str">
        <f aca="false">IF(A6="","",COUNTIFS(Socios!$A:$A,A6,Socios!$K:$K,"SIM"))</f>
        <v/>
      </c>
      <c r="S6" s="27"/>
      <c r="T6" s="5"/>
    </row>
    <row r="7" customFormat="false" ht="15" hidden="false" customHeight="false" outlineLevel="0" collapsed="false">
      <c r="A7" s="27"/>
      <c r="B7" s="5"/>
      <c r="C7" s="18"/>
      <c r="D7" s="5"/>
      <c r="E7" s="35"/>
      <c r="F7" s="5"/>
      <c r="G7" s="5"/>
      <c r="H7" s="5"/>
      <c r="I7" s="14"/>
      <c r="J7" s="14"/>
      <c r="K7" s="28" t="str">
        <f aca="false">IF(A7="","",COUNTIF(Contratos!$A:$A,A7))</f>
        <v/>
      </c>
      <c r="L7" s="39" t="str">
        <f aca="false">IF(A7="","",SUMIFS(Contratos!$D:$D,Contratos!$A:$A,A7)+SUMIFS(Contratos!$N:$N,Contratos!$A:$A,A7))</f>
        <v/>
      </c>
      <c r="M7" s="39" t="str">
        <f aca="false">IF(A7="","",SUMIFS(Pagamentos!$C:$C,Pagamentos!$A:$A,A7,Pagamentos!$F:$F,"Empenho"))</f>
        <v/>
      </c>
      <c r="N7" s="39" t="str">
        <f aca="false">IF(A7="","",SUMIFS(Pagamentos!$C:$C,Pagamentos!$A:$A,A7,Pagamentos!$F:$F,"Pagamento"))</f>
        <v/>
      </c>
      <c r="O7" s="37" t="str">
        <f aca="false">IF(OR(A7="",E7="",L7="",L7=0),"",E7/L7)</f>
        <v/>
      </c>
      <c r="P7" s="28" t="str">
        <f aca="false">IF(A7="","",COUNTIFS(Sancoes!$A:$A,A7,Sancoes!$B:$B,"&lt;&gt;Não consta"))</f>
        <v/>
      </c>
      <c r="Q7" s="28" t="str">
        <f aca="false">IF(A7="","",COUNTIF(Socios!$A:$A,A7))</f>
        <v/>
      </c>
      <c r="R7" s="28" t="str">
        <f aca="false">IF(A7="","",COUNTIFS(Socios!$A:$A,A7,Socios!$K:$K,"SIM"))</f>
        <v/>
      </c>
      <c r="S7" s="27"/>
      <c r="T7" s="5"/>
    </row>
    <row r="8" customFormat="false" ht="15" hidden="false" customHeight="false" outlineLevel="0" collapsed="false">
      <c r="A8" s="27"/>
      <c r="B8" s="5"/>
      <c r="C8" s="18"/>
      <c r="D8" s="5"/>
      <c r="E8" s="35"/>
      <c r="F8" s="5"/>
      <c r="G8" s="5"/>
      <c r="H8" s="5"/>
      <c r="I8" s="14"/>
      <c r="J8" s="14"/>
      <c r="K8" s="28" t="str">
        <f aca="false">IF(A8="","",COUNTIF(Contratos!$A:$A,A8))</f>
        <v/>
      </c>
      <c r="L8" s="39" t="str">
        <f aca="false">IF(A8="","",SUMIFS(Contratos!$D:$D,Contratos!$A:$A,A8)+SUMIFS(Contratos!$N:$N,Contratos!$A:$A,A8))</f>
        <v/>
      </c>
      <c r="M8" s="39" t="str">
        <f aca="false">IF(A8="","",SUMIFS(Pagamentos!$C:$C,Pagamentos!$A:$A,A8,Pagamentos!$F:$F,"Empenho"))</f>
        <v/>
      </c>
      <c r="N8" s="39" t="str">
        <f aca="false">IF(A8="","",SUMIFS(Pagamentos!$C:$C,Pagamentos!$A:$A,A8,Pagamentos!$F:$F,"Pagamento"))</f>
        <v/>
      </c>
      <c r="O8" s="37" t="str">
        <f aca="false">IF(OR(A8="",E8="",L8="",L8=0),"",E8/L8)</f>
        <v/>
      </c>
      <c r="P8" s="28" t="str">
        <f aca="false">IF(A8="","",COUNTIFS(Sancoes!$A:$A,A8,Sancoes!$B:$B,"&lt;&gt;Não consta"))</f>
        <v/>
      </c>
      <c r="Q8" s="28" t="str">
        <f aca="false">IF(A8="","",COUNTIF(Socios!$A:$A,A8))</f>
        <v/>
      </c>
      <c r="R8" s="28" t="str">
        <f aca="false">IF(A8="","",COUNTIFS(Socios!$A:$A,A8,Socios!$K:$K,"SIM"))</f>
        <v/>
      </c>
      <c r="S8" s="27"/>
      <c r="T8" s="5"/>
    </row>
    <row r="9" customFormat="false" ht="15" hidden="false" customHeight="false" outlineLevel="0" collapsed="false">
      <c r="A9" s="27"/>
      <c r="B9" s="5"/>
      <c r="C9" s="18"/>
      <c r="D9" s="5"/>
      <c r="E9" s="35"/>
      <c r="F9" s="5"/>
      <c r="G9" s="5"/>
      <c r="H9" s="5"/>
      <c r="I9" s="14"/>
      <c r="J9" s="14"/>
      <c r="K9" s="28" t="str">
        <f aca="false">IF(A9="","",COUNTIF(Contratos!$A:$A,A9))</f>
        <v/>
      </c>
      <c r="L9" s="39" t="str">
        <f aca="false">IF(A9="","",SUMIFS(Contratos!$D:$D,Contratos!$A:$A,A9)+SUMIFS(Contratos!$N:$N,Contratos!$A:$A,A9))</f>
        <v/>
      </c>
      <c r="M9" s="39" t="str">
        <f aca="false">IF(A9="","",SUMIFS(Pagamentos!$C:$C,Pagamentos!$A:$A,A9,Pagamentos!$F:$F,"Empenho"))</f>
        <v/>
      </c>
      <c r="N9" s="39" t="str">
        <f aca="false">IF(A9="","",SUMIFS(Pagamentos!$C:$C,Pagamentos!$A:$A,A9,Pagamentos!$F:$F,"Pagamento"))</f>
        <v/>
      </c>
      <c r="O9" s="37" t="str">
        <f aca="false">IF(OR(A9="",E9="",L9="",L9=0),"",E9/L9)</f>
        <v/>
      </c>
      <c r="P9" s="28" t="str">
        <f aca="false">IF(A9="","",COUNTIFS(Sancoes!$A:$A,A9,Sancoes!$B:$B,"&lt;&gt;Não consta"))</f>
        <v/>
      </c>
      <c r="Q9" s="28" t="str">
        <f aca="false">IF(A9="","",COUNTIF(Socios!$A:$A,A9))</f>
        <v/>
      </c>
      <c r="R9" s="28" t="str">
        <f aca="false">IF(A9="","",COUNTIFS(Socios!$A:$A,A9,Socios!$K:$K,"SIM"))</f>
        <v/>
      </c>
      <c r="S9" s="27"/>
      <c r="T9" s="5"/>
    </row>
    <row r="10" customFormat="false" ht="15" hidden="false" customHeight="false" outlineLevel="0" collapsed="false">
      <c r="A10" s="27"/>
      <c r="B10" s="5"/>
      <c r="C10" s="18"/>
      <c r="D10" s="5"/>
      <c r="E10" s="35"/>
      <c r="F10" s="5"/>
      <c r="G10" s="5"/>
      <c r="H10" s="5"/>
      <c r="I10" s="14"/>
      <c r="J10" s="14"/>
      <c r="K10" s="28" t="str">
        <f aca="false">IF(A10="","",COUNTIF(Contratos!$A:$A,A10))</f>
        <v/>
      </c>
      <c r="L10" s="39" t="str">
        <f aca="false">IF(A10="","",SUMIFS(Contratos!$D:$D,Contratos!$A:$A,A10)+SUMIFS(Contratos!$N:$N,Contratos!$A:$A,A10))</f>
        <v/>
      </c>
      <c r="M10" s="39" t="str">
        <f aca="false">IF(A10="","",SUMIFS(Pagamentos!$C:$C,Pagamentos!$A:$A,A10,Pagamentos!$F:$F,"Empenho"))</f>
        <v/>
      </c>
      <c r="N10" s="39" t="str">
        <f aca="false">IF(A10="","",SUMIFS(Pagamentos!$C:$C,Pagamentos!$A:$A,A10,Pagamentos!$F:$F,"Pagamento"))</f>
        <v/>
      </c>
      <c r="O10" s="37" t="str">
        <f aca="false">IF(OR(A10="",E10="",L10="",L10=0),"",E10/L10)</f>
        <v/>
      </c>
      <c r="P10" s="28" t="str">
        <f aca="false">IF(A10="","",COUNTIFS(Sancoes!$A:$A,A10,Sancoes!$B:$B,"&lt;&gt;Não consta"))</f>
        <v/>
      </c>
      <c r="Q10" s="28" t="str">
        <f aca="false">IF(A10="","",COUNTIF(Socios!$A:$A,A10))</f>
        <v/>
      </c>
      <c r="R10" s="28" t="str">
        <f aca="false">IF(A10="","",COUNTIFS(Socios!$A:$A,A10,Socios!$K:$K,"SIM"))</f>
        <v/>
      </c>
      <c r="S10" s="27"/>
      <c r="T10" s="5"/>
    </row>
    <row r="11" customFormat="false" ht="15" hidden="false" customHeight="false" outlineLevel="0" collapsed="false">
      <c r="A11" s="27"/>
      <c r="B11" s="5"/>
      <c r="C11" s="18"/>
      <c r="D11" s="5"/>
      <c r="E11" s="35"/>
      <c r="F11" s="5"/>
      <c r="G11" s="5"/>
      <c r="H11" s="5"/>
      <c r="I11" s="14"/>
      <c r="J11" s="14"/>
      <c r="K11" s="28" t="str">
        <f aca="false">IF(A11="","",COUNTIF(Contratos!$A:$A,A11))</f>
        <v/>
      </c>
      <c r="L11" s="39" t="str">
        <f aca="false">IF(A11="","",SUMIFS(Contratos!$D:$D,Contratos!$A:$A,A11)+SUMIFS(Contratos!$N:$N,Contratos!$A:$A,A11))</f>
        <v/>
      </c>
      <c r="M11" s="39" t="str">
        <f aca="false">IF(A11="","",SUMIFS(Pagamentos!$C:$C,Pagamentos!$A:$A,A11,Pagamentos!$F:$F,"Empenho"))</f>
        <v/>
      </c>
      <c r="N11" s="39" t="str">
        <f aca="false">IF(A11="","",SUMIFS(Pagamentos!$C:$C,Pagamentos!$A:$A,A11,Pagamentos!$F:$F,"Pagamento"))</f>
        <v/>
      </c>
      <c r="O11" s="37" t="str">
        <f aca="false">IF(OR(A11="",E11="",L11="",L11=0),"",E11/L11)</f>
        <v/>
      </c>
      <c r="P11" s="28" t="str">
        <f aca="false">IF(A11="","",COUNTIFS(Sancoes!$A:$A,A11,Sancoes!$B:$B,"&lt;&gt;Não consta"))</f>
        <v/>
      </c>
      <c r="Q11" s="28" t="str">
        <f aca="false">IF(A11="","",COUNTIF(Socios!$A:$A,A11))</f>
        <v/>
      </c>
      <c r="R11" s="28" t="str">
        <f aca="false">IF(A11="","",COUNTIFS(Socios!$A:$A,A11,Socios!$K:$K,"SIM"))</f>
        <v/>
      </c>
      <c r="S11" s="27"/>
      <c r="T11" s="5"/>
    </row>
    <row r="12" customFormat="false" ht="15" hidden="false" customHeight="false" outlineLevel="0" collapsed="false">
      <c r="A12" s="27"/>
      <c r="B12" s="5"/>
      <c r="C12" s="18"/>
      <c r="D12" s="5"/>
      <c r="E12" s="35"/>
      <c r="F12" s="5"/>
      <c r="G12" s="5"/>
      <c r="H12" s="5"/>
      <c r="I12" s="14"/>
      <c r="J12" s="14"/>
      <c r="K12" s="28" t="str">
        <f aca="false">IF(A12="","",COUNTIF(Contratos!$A:$A,A12))</f>
        <v/>
      </c>
      <c r="L12" s="39" t="str">
        <f aca="false">IF(A12="","",SUMIFS(Contratos!$D:$D,Contratos!$A:$A,A12)+SUMIFS(Contratos!$N:$N,Contratos!$A:$A,A12))</f>
        <v/>
      </c>
      <c r="M12" s="39" t="str">
        <f aca="false">IF(A12="","",SUMIFS(Pagamentos!$C:$C,Pagamentos!$A:$A,A12,Pagamentos!$F:$F,"Empenho"))</f>
        <v/>
      </c>
      <c r="N12" s="39" t="str">
        <f aca="false">IF(A12="","",SUMIFS(Pagamentos!$C:$C,Pagamentos!$A:$A,A12,Pagamentos!$F:$F,"Pagamento"))</f>
        <v/>
      </c>
      <c r="O12" s="37" t="str">
        <f aca="false">IF(OR(A12="",E12="",L12="",L12=0),"",E12/L12)</f>
        <v/>
      </c>
      <c r="P12" s="28" t="str">
        <f aca="false">IF(A12="","",COUNTIFS(Sancoes!$A:$A,A12,Sancoes!$B:$B,"&lt;&gt;Não consta"))</f>
        <v/>
      </c>
      <c r="Q12" s="28" t="str">
        <f aca="false">IF(A12="","",COUNTIF(Socios!$A:$A,A12))</f>
        <v/>
      </c>
      <c r="R12" s="28" t="str">
        <f aca="false">IF(A12="","",COUNTIFS(Socios!$A:$A,A12,Socios!$K:$K,"SIM"))</f>
        <v/>
      </c>
      <c r="S12" s="27"/>
      <c r="T12" s="5"/>
    </row>
    <row r="13" customFormat="false" ht="15" hidden="false" customHeight="false" outlineLevel="0" collapsed="false">
      <c r="A13" s="27"/>
      <c r="B13" s="5"/>
      <c r="C13" s="18"/>
      <c r="D13" s="5"/>
      <c r="E13" s="35"/>
      <c r="F13" s="5"/>
      <c r="G13" s="5"/>
      <c r="H13" s="5"/>
      <c r="I13" s="14"/>
      <c r="J13" s="14"/>
      <c r="K13" s="28" t="str">
        <f aca="false">IF(A13="","",COUNTIF(Contratos!$A:$A,A13))</f>
        <v/>
      </c>
      <c r="L13" s="39" t="str">
        <f aca="false">IF(A13="","",SUMIFS(Contratos!$D:$D,Contratos!$A:$A,A13)+SUMIFS(Contratos!$N:$N,Contratos!$A:$A,A13))</f>
        <v/>
      </c>
      <c r="M13" s="39" t="str">
        <f aca="false">IF(A13="","",SUMIFS(Pagamentos!$C:$C,Pagamentos!$A:$A,A13,Pagamentos!$F:$F,"Empenho"))</f>
        <v/>
      </c>
      <c r="N13" s="39" t="str">
        <f aca="false">IF(A13="","",SUMIFS(Pagamentos!$C:$C,Pagamentos!$A:$A,A13,Pagamentos!$F:$F,"Pagamento"))</f>
        <v/>
      </c>
      <c r="O13" s="37" t="str">
        <f aca="false">IF(OR(A13="",E13="",L13="",L13=0),"",E13/L13)</f>
        <v/>
      </c>
      <c r="P13" s="28" t="str">
        <f aca="false">IF(A13="","",COUNTIFS(Sancoes!$A:$A,A13,Sancoes!$B:$B,"&lt;&gt;Não consta"))</f>
        <v/>
      </c>
      <c r="Q13" s="28" t="str">
        <f aca="false">IF(A13="","",COUNTIF(Socios!$A:$A,A13))</f>
        <v/>
      </c>
      <c r="R13" s="28" t="str">
        <f aca="false">IF(A13="","",COUNTIFS(Socios!$A:$A,A13,Socios!$K:$K,"SIM"))</f>
        <v/>
      </c>
      <c r="S13" s="27"/>
      <c r="T13" s="5"/>
    </row>
    <row r="14" customFormat="false" ht="15" hidden="false" customHeight="false" outlineLevel="0" collapsed="false">
      <c r="A14" s="27"/>
      <c r="B14" s="5"/>
      <c r="C14" s="18"/>
      <c r="D14" s="5"/>
      <c r="E14" s="35"/>
      <c r="F14" s="5"/>
      <c r="G14" s="5"/>
      <c r="H14" s="5"/>
      <c r="I14" s="14"/>
      <c r="J14" s="14"/>
      <c r="K14" s="28" t="str">
        <f aca="false">IF(A14="","",COUNTIF(Contratos!$A:$A,A14))</f>
        <v/>
      </c>
      <c r="L14" s="39" t="str">
        <f aca="false">IF(A14="","",SUMIFS(Contratos!$D:$D,Contratos!$A:$A,A14)+SUMIFS(Contratos!$N:$N,Contratos!$A:$A,A14))</f>
        <v/>
      </c>
      <c r="M14" s="39" t="str">
        <f aca="false">IF(A14="","",SUMIFS(Pagamentos!$C:$C,Pagamentos!$A:$A,A14,Pagamentos!$F:$F,"Empenho"))</f>
        <v/>
      </c>
      <c r="N14" s="39" t="str">
        <f aca="false">IF(A14="","",SUMIFS(Pagamentos!$C:$C,Pagamentos!$A:$A,A14,Pagamentos!$F:$F,"Pagamento"))</f>
        <v/>
      </c>
      <c r="O14" s="37" t="str">
        <f aca="false">IF(OR(A14="",E14="",L14="",L14=0),"",E14/L14)</f>
        <v/>
      </c>
      <c r="P14" s="28" t="str">
        <f aca="false">IF(A14="","",COUNTIFS(Sancoes!$A:$A,A14,Sancoes!$B:$B,"&lt;&gt;Não consta"))</f>
        <v/>
      </c>
      <c r="Q14" s="28" t="str">
        <f aca="false">IF(A14="","",COUNTIF(Socios!$A:$A,A14))</f>
        <v/>
      </c>
      <c r="R14" s="28" t="str">
        <f aca="false">IF(A14="","",COUNTIFS(Socios!$A:$A,A14,Socios!$K:$K,"SIM"))</f>
        <v/>
      </c>
      <c r="S14" s="27"/>
      <c r="T14" s="5"/>
    </row>
    <row r="15" customFormat="false" ht="15" hidden="false" customHeight="false" outlineLevel="0" collapsed="false">
      <c r="A15" s="27"/>
      <c r="B15" s="5"/>
      <c r="C15" s="18"/>
      <c r="D15" s="5"/>
      <c r="E15" s="35"/>
      <c r="F15" s="5"/>
      <c r="G15" s="5"/>
      <c r="H15" s="5"/>
      <c r="I15" s="14"/>
      <c r="J15" s="14"/>
      <c r="K15" s="28" t="str">
        <f aca="false">IF(A15="","",COUNTIF(Contratos!$A:$A,A15))</f>
        <v/>
      </c>
      <c r="L15" s="39" t="str">
        <f aca="false">IF(A15="","",SUMIFS(Contratos!$D:$D,Contratos!$A:$A,A15)+SUMIFS(Contratos!$N:$N,Contratos!$A:$A,A15))</f>
        <v/>
      </c>
      <c r="M15" s="39" t="str">
        <f aca="false">IF(A15="","",SUMIFS(Pagamentos!$C:$C,Pagamentos!$A:$A,A15,Pagamentos!$F:$F,"Empenho"))</f>
        <v/>
      </c>
      <c r="N15" s="39" t="str">
        <f aca="false">IF(A15="","",SUMIFS(Pagamentos!$C:$C,Pagamentos!$A:$A,A15,Pagamentos!$F:$F,"Pagamento"))</f>
        <v/>
      </c>
      <c r="O15" s="37" t="str">
        <f aca="false">IF(OR(A15="",E15="",L15="",L15=0),"",E15/L15)</f>
        <v/>
      </c>
      <c r="P15" s="28" t="str">
        <f aca="false">IF(A15="","",COUNTIFS(Sancoes!$A:$A,A15,Sancoes!$B:$B,"&lt;&gt;Não consta"))</f>
        <v/>
      </c>
      <c r="Q15" s="28" t="str">
        <f aca="false">IF(A15="","",COUNTIF(Socios!$A:$A,A15))</f>
        <v/>
      </c>
      <c r="R15" s="28" t="str">
        <f aca="false">IF(A15="","",COUNTIFS(Socios!$A:$A,A15,Socios!$K:$K,"SIM"))</f>
        <v/>
      </c>
      <c r="S15" s="27"/>
      <c r="T15" s="5"/>
    </row>
    <row r="16" customFormat="false" ht="15" hidden="false" customHeight="false" outlineLevel="0" collapsed="false">
      <c r="A16" s="27"/>
      <c r="B16" s="5"/>
      <c r="C16" s="18"/>
      <c r="D16" s="5"/>
      <c r="E16" s="35"/>
      <c r="F16" s="5"/>
      <c r="G16" s="5"/>
      <c r="H16" s="5"/>
      <c r="I16" s="14"/>
      <c r="J16" s="14"/>
      <c r="K16" s="28" t="str">
        <f aca="false">IF(A16="","",COUNTIF(Contratos!$A:$A,A16))</f>
        <v/>
      </c>
      <c r="L16" s="39" t="str">
        <f aca="false">IF(A16="","",SUMIFS(Contratos!$D:$D,Contratos!$A:$A,A16)+SUMIFS(Contratos!$N:$N,Contratos!$A:$A,A16))</f>
        <v/>
      </c>
      <c r="M16" s="39" t="str">
        <f aca="false">IF(A16="","",SUMIFS(Pagamentos!$C:$C,Pagamentos!$A:$A,A16,Pagamentos!$F:$F,"Empenho"))</f>
        <v/>
      </c>
      <c r="N16" s="39" t="str">
        <f aca="false">IF(A16="","",SUMIFS(Pagamentos!$C:$C,Pagamentos!$A:$A,A16,Pagamentos!$F:$F,"Pagamento"))</f>
        <v/>
      </c>
      <c r="O16" s="37" t="str">
        <f aca="false">IF(OR(A16="",E16="",L16="",L16=0),"",E16/L16)</f>
        <v/>
      </c>
      <c r="P16" s="28" t="str">
        <f aca="false">IF(A16="","",COUNTIFS(Sancoes!$A:$A,A16,Sancoes!$B:$B,"&lt;&gt;Não consta"))</f>
        <v/>
      </c>
      <c r="Q16" s="28" t="str">
        <f aca="false">IF(A16="","",COUNTIF(Socios!$A:$A,A16))</f>
        <v/>
      </c>
      <c r="R16" s="28" t="str">
        <f aca="false">IF(A16="","",COUNTIFS(Socios!$A:$A,A16,Socios!$K:$K,"SIM"))</f>
        <v/>
      </c>
      <c r="S16" s="27"/>
      <c r="T16" s="5"/>
    </row>
    <row r="17" customFormat="false" ht="15" hidden="false" customHeight="false" outlineLevel="0" collapsed="false">
      <c r="A17" s="27"/>
      <c r="B17" s="5"/>
      <c r="C17" s="18"/>
      <c r="D17" s="5"/>
      <c r="E17" s="35"/>
      <c r="F17" s="5"/>
      <c r="G17" s="5"/>
      <c r="H17" s="5"/>
      <c r="I17" s="14"/>
      <c r="J17" s="14"/>
      <c r="K17" s="28" t="str">
        <f aca="false">IF(A17="","",COUNTIF(Contratos!$A:$A,A17))</f>
        <v/>
      </c>
      <c r="L17" s="39" t="str">
        <f aca="false">IF(A17="","",SUMIFS(Contratos!$D:$D,Contratos!$A:$A,A17)+SUMIFS(Contratos!$N:$N,Contratos!$A:$A,A17))</f>
        <v/>
      </c>
      <c r="M17" s="39" t="str">
        <f aca="false">IF(A17="","",SUMIFS(Pagamentos!$C:$C,Pagamentos!$A:$A,A17,Pagamentos!$F:$F,"Empenho"))</f>
        <v/>
      </c>
      <c r="N17" s="39" t="str">
        <f aca="false">IF(A17="","",SUMIFS(Pagamentos!$C:$C,Pagamentos!$A:$A,A17,Pagamentos!$F:$F,"Pagamento"))</f>
        <v/>
      </c>
      <c r="O17" s="37" t="str">
        <f aca="false">IF(OR(A17="",E17="",L17="",L17=0),"",E17/L17)</f>
        <v/>
      </c>
      <c r="P17" s="28" t="str">
        <f aca="false">IF(A17="","",COUNTIFS(Sancoes!$A:$A,A17,Sancoes!$B:$B,"&lt;&gt;Não consta"))</f>
        <v/>
      </c>
      <c r="Q17" s="28" t="str">
        <f aca="false">IF(A17="","",COUNTIF(Socios!$A:$A,A17))</f>
        <v/>
      </c>
      <c r="R17" s="28" t="str">
        <f aca="false">IF(A17="","",COUNTIFS(Socios!$A:$A,A17,Socios!$K:$K,"SIM"))</f>
        <v/>
      </c>
      <c r="S17" s="27"/>
      <c r="T17" s="5"/>
    </row>
    <row r="18" customFormat="false" ht="15" hidden="false" customHeight="false" outlineLevel="0" collapsed="false">
      <c r="A18" s="27"/>
      <c r="B18" s="5"/>
      <c r="C18" s="18"/>
      <c r="D18" s="5"/>
      <c r="E18" s="35"/>
      <c r="F18" s="5"/>
      <c r="G18" s="5"/>
      <c r="H18" s="5"/>
      <c r="I18" s="14"/>
      <c r="J18" s="14"/>
      <c r="K18" s="28" t="str">
        <f aca="false">IF(A18="","",COUNTIF(Contratos!$A:$A,A18))</f>
        <v/>
      </c>
      <c r="L18" s="39" t="str">
        <f aca="false">IF(A18="","",SUMIFS(Contratos!$D:$D,Contratos!$A:$A,A18)+SUMIFS(Contratos!$N:$N,Contratos!$A:$A,A18))</f>
        <v/>
      </c>
      <c r="M18" s="39" t="str">
        <f aca="false">IF(A18="","",SUMIFS(Pagamentos!$C:$C,Pagamentos!$A:$A,A18,Pagamentos!$F:$F,"Empenho"))</f>
        <v/>
      </c>
      <c r="N18" s="39" t="str">
        <f aca="false">IF(A18="","",SUMIFS(Pagamentos!$C:$C,Pagamentos!$A:$A,A18,Pagamentos!$F:$F,"Pagamento"))</f>
        <v/>
      </c>
      <c r="O18" s="37" t="str">
        <f aca="false">IF(OR(A18="",E18="",L18="",L18=0),"",E18/L18)</f>
        <v/>
      </c>
      <c r="P18" s="28" t="str">
        <f aca="false">IF(A18="","",COUNTIFS(Sancoes!$A:$A,A18,Sancoes!$B:$B,"&lt;&gt;Não consta"))</f>
        <v/>
      </c>
      <c r="Q18" s="28" t="str">
        <f aca="false">IF(A18="","",COUNTIF(Socios!$A:$A,A18))</f>
        <v/>
      </c>
      <c r="R18" s="28" t="str">
        <f aca="false">IF(A18="","",COUNTIFS(Socios!$A:$A,A18,Socios!$K:$K,"SIM"))</f>
        <v/>
      </c>
      <c r="S18" s="27"/>
      <c r="T18" s="5"/>
    </row>
    <row r="19" customFormat="false" ht="15" hidden="false" customHeight="false" outlineLevel="0" collapsed="false">
      <c r="A19" s="27"/>
      <c r="B19" s="5"/>
      <c r="C19" s="18"/>
      <c r="D19" s="5"/>
      <c r="E19" s="35"/>
      <c r="F19" s="5"/>
      <c r="G19" s="5"/>
      <c r="H19" s="5"/>
      <c r="I19" s="14"/>
      <c r="J19" s="14"/>
      <c r="K19" s="28" t="str">
        <f aca="false">IF(A19="","",COUNTIF(Contratos!$A:$A,A19))</f>
        <v/>
      </c>
      <c r="L19" s="39" t="str">
        <f aca="false">IF(A19="","",SUMIFS(Contratos!$D:$D,Contratos!$A:$A,A19)+SUMIFS(Contratos!$N:$N,Contratos!$A:$A,A19))</f>
        <v/>
      </c>
      <c r="M19" s="39" t="str">
        <f aca="false">IF(A19="","",SUMIFS(Pagamentos!$C:$C,Pagamentos!$A:$A,A19,Pagamentos!$F:$F,"Empenho"))</f>
        <v/>
      </c>
      <c r="N19" s="39" t="str">
        <f aca="false">IF(A19="","",SUMIFS(Pagamentos!$C:$C,Pagamentos!$A:$A,A19,Pagamentos!$F:$F,"Pagamento"))</f>
        <v/>
      </c>
      <c r="O19" s="37" t="str">
        <f aca="false">IF(OR(A19="",E19="",L19="",L19=0),"",E19/L19)</f>
        <v/>
      </c>
      <c r="P19" s="28" t="str">
        <f aca="false">IF(A19="","",COUNTIFS(Sancoes!$A:$A,A19,Sancoes!$B:$B,"&lt;&gt;Não consta"))</f>
        <v/>
      </c>
      <c r="Q19" s="28" t="str">
        <f aca="false">IF(A19="","",COUNTIF(Socios!$A:$A,A19))</f>
        <v/>
      </c>
      <c r="R19" s="28" t="str">
        <f aca="false">IF(A19="","",COUNTIFS(Socios!$A:$A,A19,Socios!$K:$K,"SIM"))</f>
        <v/>
      </c>
      <c r="S19" s="27"/>
      <c r="T19" s="5"/>
    </row>
    <row r="20" customFormat="false" ht="15" hidden="false" customHeight="false" outlineLevel="0" collapsed="false">
      <c r="A20" s="27"/>
      <c r="B20" s="5"/>
      <c r="C20" s="18"/>
      <c r="D20" s="5"/>
      <c r="E20" s="35"/>
      <c r="F20" s="5"/>
      <c r="G20" s="5"/>
      <c r="H20" s="5"/>
      <c r="I20" s="14"/>
      <c r="J20" s="14"/>
      <c r="K20" s="28" t="str">
        <f aca="false">IF(A20="","",COUNTIF(Contratos!$A:$A,A20))</f>
        <v/>
      </c>
      <c r="L20" s="39" t="str">
        <f aca="false">IF(A20="","",SUMIFS(Contratos!$D:$D,Contratos!$A:$A,A20)+SUMIFS(Contratos!$N:$N,Contratos!$A:$A,A20))</f>
        <v/>
      </c>
      <c r="M20" s="39" t="str">
        <f aca="false">IF(A20="","",SUMIFS(Pagamentos!$C:$C,Pagamentos!$A:$A,A20,Pagamentos!$F:$F,"Empenho"))</f>
        <v/>
      </c>
      <c r="N20" s="39" t="str">
        <f aca="false">IF(A20="","",SUMIFS(Pagamentos!$C:$C,Pagamentos!$A:$A,A20,Pagamentos!$F:$F,"Pagamento"))</f>
        <v/>
      </c>
      <c r="O20" s="37" t="str">
        <f aca="false">IF(OR(A20="",E20="",L20="",L20=0),"",E20/L20)</f>
        <v/>
      </c>
      <c r="P20" s="28" t="str">
        <f aca="false">IF(A20="","",COUNTIFS(Sancoes!$A:$A,A20,Sancoes!$B:$B,"&lt;&gt;Não consta"))</f>
        <v/>
      </c>
      <c r="Q20" s="28" t="str">
        <f aca="false">IF(A20="","",COUNTIF(Socios!$A:$A,A20))</f>
        <v/>
      </c>
      <c r="R20" s="28" t="str">
        <f aca="false">IF(A20="","",COUNTIFS(Socios!$A:$A,A20,Socios!$K:$K,"SIM"))</f>
        <v/>
      </c>
      <c r="S20" s="27"/>
      <c r="T20" s="5"/>
    </row>
    <row r="21" customFormat="false" ht="15" hidden="false" customHeight="false" outlineLevel="0" collapsed="false">
      <c r="A21" s="27"/>
      <c r="B21" s="5"/>
      <c r="C21" s="18"/>
      <c r="D21" s="5"/>
      <c r="E21" s="35"/>
      <c r="F21" s="5"/>
      <c r="G21" s="5"/>
      <c r="H21" s="5"/>
      <c r="I21" s="14"/>
      <c r="J21" s="14"/>
      <c r="K21" s="28" t="str">
        <f aca="false">IF(A21="","",COUNTIF(Contratos!$A:$A,A21))</f>
        <v/>
      </c>
      <c r="L21" s="39" t="str">
        <f aca="false">IF(A21="","",SUMIFS(Contratos!$D:$D,Contratos!$A:$A,A21)+SUMIFS(Contratos!$N:$N,Contratos!$A:$A,A21))</f>
        <v/>
      </c>
      <c r="M21" s="39" t="str">
        <f aca="false">IF(A21="","",SUMIFS(Pagamentos!$C:$C,Pagamentos!$A:$A,A21,Pagamentos!$F:$F,"Empenho"))</f>
        <v/>
      </c>
      <c r="N21" s="39" t="str">
        <f aca="false">IF(A21="","",SUMIFS(Pagamentos!$C:$C,Pagamentos!$A:$A,A21,Pagamentos!$F:$F,"Pagamento"))</f>
        <v/>
      </c>
      <c r="O21" s="37" t="str">
        <f aca="false">IF(OR(A21="",E21="",L21="",L21=0),"",E21/L21)</f>
        <v/>
      </c>
      <c r="P21" s="28" t="str">
        <f aca="false">IF(A21="","",COUNTIFS(Sancoes!$A:$A,A21,Sancoes!$B:$B,"&lt;&gt;Não consta"))</f>
        <v/>
      </c>
      <c r="Q21" s="28" t="str">
        <f aca="false">IF(A21="","",COUNTIF(Socios!$A:$A,A21))</f>
        <v/>
      </c>
      <c r="R21" s="28" t="str">
        <f aca="false">IF(A21="","",COUNTIFS(Socios!$A:$A,A21,Socios!$K:$K,"SIM"))</f>
        <v/>
      </c>
      <c r="S21" s="27"/>
      <c r="T21" s="5"/>
    </row>
    <row r="22" customFormat="false" ht="15" hidden="false" customHeight="false" outlineLevel="0" collapsed="false">
      <c r="A22" s="27"/>
      <c r="B22" s="5"/>
      <c r="C22" s="18"/>
      <c r="D22" s="5"/>
      <c r="E22" s="35"/>
      <c r="F22" s="5"/>
      <c r="G22" s="5"/>
      <c r="H22" s="5"/>
      <c r="I22" s="14"/>
      <c r="J22" s="14"/>
      <c r="K22" s="28" t="str">
        <f aca="false">IF(A22="","",COUNTIF(Contratos!$A:$A,A22))</f>
        <v/>
      </c>
      <c r="L22" s="39" t="str">
        <f aca="false">IF(A22="","",SUMIFS(Contratos!$D:$D,Contratos!$A:$A,A22)+SUMIFS(Contratos!$N:$N,Contratos!$A:$A,A22))</f>
        <v/>
      </c>
      <c r="M22" s="39" t="str">
        <f aca="false">IF(A22="","",SUMIFS(Pagamentos!$C:$C,Pagamentos!$A:$A,A22,Pagamentos!$F:$F,"Empenho"))</f>
        <v/>
      </c>
      <c r="N22" s="39" t="str">
        <f aca="false">IF(A22="","",SUMIFS(Pagamentos!$C:$C,Pagamentos!$A:$A,A22,Pagamentos!$F:$F,"Pagamento"))</f>
        <v/>
      </c>
      <c r="O22" s="37" t="str">
        <f aca="false">IF(OR(A22="",E22="",L22="",L22=0),"",E22/L22)</f>
        <v/>
      </c>
      <c r="P22" s="28" t="str">
        <f aca="false">IF(A22="","",COUNTIFS(Sancoes!$A:$A,A22,Sancoes!$B:$B,"&lt;&gt;Não consta"))</f>
        <v/>
      </c>
      <c r="Q22" s="28" t="str">
        <f aca="false">IF(A22="","",COUNTIF(Socios!$A:$A,A22))</f>
        <v/>
      </c>
      <c r="R22" s="28" t="str">
        <f aca="false">IF(A22="","",COUNTIFS(Socios!$A:$A,A22,Socios!$K:$K,"SIM"))</f>
        <v/>
      </c>
      <c r="S22" s="27"/>
      <c r="T22" s="5"/>
    </row>
    <row r="23" customFormat="false" ht="15" hidden="false" customHeight="false" outlineLevel="0" collapsed="false">
      <c r="A23" s="27"/>
      <c r="B23" s="5"/>
      <c r="C23" s="18"/>
      <c r="D23" s="5"/>
      <c r="E23" s="35"/>
      <c r="F23" s="5"/>
      <c r="G23" s="5"/>
      <c r="H23" s="5"/>
      <c r="I23" s="14"/>
      <c r="J23" s="14"/>
      <c r="K23" s="28" t="str">
        <f aca="false">IF(A23="","",COUNTIF(Contratos!$A:$A,A23))</f>
        <v/>
      </c>
      <c r="L23" s="39" t="str">
        <f aca="false">IF(A23="","",SUMIFS(Contratos!$D:$D,Contratos!$A:$A,A23)+SUMIFS(Contratos!$N:$N,Contratos!$A:$A,A23))</f>
        <v/>
      </c>
      <c r="M23" s="39" t="str">
        <f aca="false">IF(A23="","",SUMIFS(Pagamentos!$C:$C,Pagamentos!$A:$A,A23,Pagamentos!$F:$F,"Empenho"))</f>
        <v/>
      </c>
      <c r="N23" s="39" t="str">
        <f aca="false">IF(A23="","",SUMIFS(Pagamentos!$C:$C,Pagamentos!$A:$A,A23,Pagamentos!$F:$F,"Pagamento"))</f>
        <v/>
      </c>
      <c r="O23" s="37" t="str">
        <f aca="false">IF(OR(A23="",E23="",L23="",L23=0),"",E23/L23)</f>
        <v/>
      </c>
      <c r="P23" s="28" t="str">
        <f aca="false">IF(A23="","",COUNTIFS(Sancoes!$A:$A,A23,Sancoes!$B:$B,"&lt;&gt;Não consta"))</f>
        <v/>
      </c>
      <c r="Q23" s="28" t="str">
        <f aca="false">IF(A23="","",COUNTIF(Socios!$A:$A,A23))</f>
        <v/>
      </c>
      <c r="R23" s="28" t="str">
        <f aca="false">IF(A23="","",COUNTIFS(Socios!$A:$A,A23,Socios!$K:$K,"SIM"))</f>
        <v/>
      </c>
      <c r="S23" s="27"/>
      <c r="T23" s="5"/>
    </row>
    <row r="24" customFormat="false" ht="15" hidden="false" customHeight="false" outlineLevel="0" collapsed="false">
      <c r="A24" s="27"/>
      <c r="B24" s="5"/>
      <c r="C24" s="18"/>
      <c r="D24" s="5"/>
      <c r="E24" s="35"/>
      <c r="F24" s="5"/>
      <c r="G24" s="5"/>
      <c r="H24" s="5"/>
      <c r="I24" s="14"/>
      <c r="J24" s="14"/>
      <c r="K24" s="28" t="str">
        <f aca="false">IF(A24="","",COUNTIF(Contratos!$A:$A,A24))</f>
        <v/>
      </c>
      <c r="L24" s="39" t="str">
        <f aca="false">IF(A24="","",SUMIFS(Contratos!$D:$D,Contratos!$A:$A,A24)+SUMIFS(Contratos!$N:$N,Contratos!$A:$A,A24))</f>
        <v/>
      </c>
      <c r="M24" s="39" t="str">
        <f aca="false">IF(A24="","",SUMIFS(Pagamentos!$C:$C,Pagamentos!$A:$A,A24,Pagamentos!$F:$F,"Empenho"))</f>
        <v/>
      </c>
      <c r="N24" s="39" t="str">
        <f aca="false">IF(A24="","",SUMIFS(Pagamentos!$C:$C,Pagamentos!$A:$A,A24,Pagamentos!$F:$F,"Pagamento"))</f>
        <v/>
      </c>
      <c r="O24" s="37" t="str">
        <f aca="false">IF(OR(A24="",E24="",L24="",L24=0),"",E24/L24)</f>
        <v/>
      </c>
      <c r="P24" s="28" t="str">
        <f aca="false">IF(A24="","",COUNTIFS(Sancoes!$A:$A,A24,Sancoes!$B:$B,"&lt;&gt;Não consta"))</f>
        <v/>
      </c>
      <c r="Q24" s="28" t="str">
        <f aca="false">IF(A24="","",COUNTIF(Socios!$A:$A,A24))</f>
        <v/>
      </c>
      <c r="R24" s="28" t="str">
        <f aca="false">IF(A24="","",COUNTIFS(Socios!$A:$A,A24,Socios!$K:$K,"SIM"))</f>
        <v/>
      </c>
      <c r="S24" s="27"/>
      <c r="T24" s="5"/>
    </row>
    <row r="25" customFormat="false" ht="15" hidden="false" customHeight="false" outlineLevel="0" collapsed="false">
      <c r="A25" s="27"/>
      <c r="B25" s="5"/>
      <c r="C25" s="18"/>
      <c r="D25" s="5"/>
      <c r="E25" s="35"/>
      <c r="F25" s="5"/>
      <c r="G25" s="5"/>
      <c r="H25" s="5"/>
      <c r="I25" s="14"/>
      <c r="J25" s="14"/>
      <c r="K25" s="28" t="str">
        <f aca="false">IF(A25="","",COUNTIF(Contratos!$A:$A,A25))</f>
        <v/>
      </c>
      <c r="L25" s="39" t="str">
        <f aca="false">IF(A25="","",SUMIFS(Contratos!$D:$D,Contratos!$A:$A,A25)+SUMIFS(Contratos!$N:$N,Contratos!$A:$A,A25))</f>
        <v/>
      </c>
      <c r="M25" s="39" t="str">
        <f aca="false">IF(A25="","",SUMIFS(Pagamentos!$C:$C,Pagamentos!$A:$A,A25,Pagamentos!$F:$F,"Empenho"))</f>
        <v/>
      </c>
      <c r="N25" s="39" t="str">
        <f aca="false">IF(A25="","",SUMIFS(Pagamentos!$C:$C,Pagamentos!$A:$A,A25,Pagamentos!$F:$F,"Pagamento"))</f>
        <v/>
      </c>
      <c r="O25" s="37" t="str">
        <f aca="false">IF(OR(A25="",E25="",L25="",L25=0),"",E25/L25)</f>
        <v/>
      </c>
      <c r="P25" s="28" t="str">
        <f aca="false">IF(A25="","",COUNTIFS(Sancoes!$A:$A,A25,Sancoes!$B:$B,"&lt;&gt;Não consta"))</f>
        <v/>
      </c>
      <c r="Q25" s="28" t="str">
        <f aca="false">IF(A25="","",COUNTIF(Socios!$A:$A,A25))</f>
        <v/>
      </c>
      <c r="R25" s="28" t="str">
        <f aca="false">IF(A25="","",COUNTIFS(Socios!$A:$A,A25,Socios!$K:$K,"SIM"))</f>
        <v/>
      </c>
      <c r="S25" s="27"/>
      <c r="T25" s="5"/>
    </row>
    <row r="26" customFormat="false" ht="15" hidden="false" customHeight="false" outlineLevel="0" collapsed="false">
      <c r="A26" s="27"/>
      <c r="B26" s="5"/>
      <c r="C26" s="18"/>
      <c r="D26" s="5"/>
      <c r="E26" s="35"/>
      <c r="F26" s="5"/>
      <c r="G26" s="5"/>
      <c r="H26" s="5"/>
      <c r="I26" s="14"/>
      <c r="J26" s="14"/>
      <c r="K26" s="28" t="str">
        <f aca="false">IF(A26="","",COUNTIF(Contratos!$A:$A,A26))</f>
        <v/>
      </c>
      <c r="L26" s="39" t="str">
        <f aca="false">IF(A26="","",SUMIFS(Contratos!$D:$D,Contratos!$A:$A,A26)+SUMIFS(Contratos!$N:$N,Contratos!$A:$A,A26))</f>
        <v/>
      </c>
      <c r="M26" s="39" t="str">
        <f aca="false">IF(A26="","",SUMIFS(Pagamentos!$C:$C,Pagamentos!$A:$A,A26,Pagamentos!$F:$F,"Empenho"))</f>
        <v/>
      </c>
      <c r="N26" s="39" t="str">
        <f aca="false">IF(A26="","",SUMIFS(Pagamentos!$C:$C,Pagamentos!$A:$A,A26,Pagamentos!$F:$F,"Pagamento"))</f>
        <v/>
      </c>
      <c r="O26" s="37" t="str">
        <f aca="false">IF(OR(A26="",E26="",L26="",L26=0),"",E26/L26)</f>
        <v/>
      </c>
      <c r="P26" s="28" t="str">
        <f aca="false">IF(A26="","",COUNTIFS(Sancoes!$A:$A,A26,Sancoes!$B:$B,"&lt;&gt;Não consta"))</f>
        <v/>
      </c>
      <c r="Q26" s="28" t="str">
        <f aca="false">IF(A26="","",COUNTIF(Socios!$A:$A,A26))</f>
        <v/>
      </c>
      <c r="R26" s="28" t="str">
        <f aca="false">IF(A26="","",COUNTIFS(Socios!$A:$A,A26,Socios!$K:$K,"SIM"))</f>
        <v/>
      </c>
      <c r="S26" s="27"/>
      <c r="T26" s="5"/>
    </row>
    <row r="27" customFormat="false" ht="15" hidden="false" customHeight="false" outlineLevel="0" collapsed="false">
      <c r="A27" s="27"/>
      <c r="B27" s="5"/>
      <c r="C27" s="18"/>
      <c r="D27" s="5"/>
      <c r="E27" s="35"/>
      <c r="F27" s="5"/>
      <c r="G27" s="5"/>
      <c r="H27" s="5"/>
      <c r="I27" s="14"/>
      <c r="J27" s="14"/>
      <c r="K27" s="28" t="str">
        <f aca="false">IF(A27="","",COUNTIF(Contratos!$A:$A,A27))</f>
        <v/>
      </c>
      <c r="L27" s="39" t="str">
        <f aca="false">IF(A27="","",SUMIFS(Contratos!$D:$D,Contratos!$A:$A,A27)+SUMIFS(Contratos!$N:$N,Contratos!$A:$A,A27))</f>
        <v/>
      </c>
      <c r="M27" s="39" t="str">
        <f aca="false">IF(A27="","",SUMIFS(Pagamentos!$C:$C,Pagamentos!$A:$A,A27,Pagamentos!$F:$F,"Empenho"))</f>
        <v/>
      </c>
      <c r="N27" s="39" t="str">
        <f aca="false">IF(A27="","",SUMIFS(Pagamentos!$C:$C,Pagamentos!$A:$A,A27,Pagamentos!$F:$F,"Pagamento"))</f>
        <v/>
      </c>
      <c r="O27" s="37" t="str">
        <f aca="false">IF(OR(A27="",E27="",L27="",L27=0),"",E27/L27)</f>
        <v/>
      </c>
      <c r="P27" s="28" t="str">
        <f aca="false">IF(A27="","",COUNTIFS(Sancoes!$A:$A,A27,Sancoes!$B:$B,"&lt;&gt;Não consta"))</f>
        <v/>
      </c>
      <c r="Q27" s="28" t="str">
        <f aca="false">IF(A27="","",COUNTIF(Socios!$A:$A,A27))</f>
        <v/>
      </c>
      <c r="R27" s="28" t="str">
        <f aca="false">IF(A27="","",COUNTIFS(Socios!$A:$A,A27,Socios!$K:$K,"SIM"))</f>
        <v/>
      </c>
      <c r="S27" s="27"/>
      <c r="T27" s="5"/>
    </row>
    <row r="28" customFormat="false" ht="15" hidden="false" customHeight="false" outlineLevel="0" collapsed="false">
      <c r="A28" s="27"/>
      <c r="B28" s="5"/>
      <c r="C28" s="18"/>
      <c r="D28" s="5"/>
      <c r="E28" s="35"/>
      <c r="F28" s="5"/>
      <c r="G28" s="5"/>
      <c r="H28" s="5"/>
      <c r="I28" s="14"/>
      <c r="J28" s="14"/>
      <c r="K28" s="28" t="str">
        <f aca="false">IF(A28="","",COUNTIF(Contratos!$A:$A,A28))</f>
        <v/>
      </c>
      <c r="L28" s="39" t="str">
        <f aca="false">IF(A28="","",SUMIFS(Contratos!$D:$D,Contratos!$A:$A,A28)+SUMIFS(Contratos!$N:$N,Contratos!$A:$A,A28))</f>
        <v/>
      </c>
      <c r="M28" s="39" t="str">
        <f aca="false">IF(A28="","",SUMIFS(Pagamentos!$C:$C,Pagamentos!$A:$A,A28,Pagamentos!$F:$F,"Empenho"))</f>
        <v/>
      </c>
      <c r="N28" s="39" t="str">
        <f aca="false">IF(A28="","",SUMIFS(Pagamentos!$C:$C,Pagamentos!$A:$A,A28,Pagamentos!$F:$F,"Pagamento"))</f>
        <v/>
      </c>
      <c r="O28" s="37" t="str">
        <f aca="false">IF(OR(A28="",E28="",L28="",L28=0),"",E28/L28)</f>
        <v/>
      </c>
      <c r="P28" s="28" t="str">
        <f aca="false">IF(A28="","",COUNTIFS(Sancoes!$A:$A,A28,Sancoes!$B:$B,"&lt;&gt;Não consta"))</f>
        <v/>
      </c>
      <c r="Q28" s="28" t="str">
        <f aca="false">IF(A28="","",COUNTIF(Socios!$A:$A,A28))</f>
        <v/>
      </c>
      <c r="R28" s="28" t="str">
        <f aca="false">IF(A28="","",COUNTIFS(Socios!$A:$A,A28,Socios!$K:$K,"SIM"))</f>
        <v/>
      </c>
      <c r="S28" s="27"/>
      <c r="T28" s="5"/>
    </row>
    <row r="29" customFormat="false" ht="15" hidden="false" customHeight="false" outlineLevel="0" collapsed="false">
      <c r="A29" s="27"/>
      <c r="B29" s="5"/>
      <c r="C29" s="18"/>
      <c r="D29" s="5"/>
      <c r="E29" s="35"/>
      <c r="F29" s="5"/>
      <c r="G29" s="5"/>
      <c r="H29" s="5"/>
      <c r="I29" s="14"/>
      <c r="J29" s="14"/>
      <c r="K29" s="28" t="str">
        <f aca="false">IF(A29="","",COUNTIF(Contratos!$A:$A,A29))</f>
        <v/>
      </c>
      <c r="L29" s="39" t="str">
        <f aca="false">IF(A29="","",SUMIFS(Contratos!$D:$D,Contratos!$A:$A,A29)+SUMIFS(Contratos!$N:$N,Contratos!$A:$A,A29))</f>
        <v/>
      </c>
      <c r="M29" s="39" t="str">
        <f aca="false">IF(A29="","",SUMIFS(Pagamentos!$C:$C,Pagamentos!$A:$A,A29,Pagamentos!$F:$F,"Empenho"))</f>
        <v/>
      </c>
      <c r="N29" s="39" t="str">
        <f aca="false">IF(A29="","",SUMIFS(Pagamentos!$C:$C,Pagamentos!$A:$A,A29,Pagamentos!$F:$F,"Pagamento"))</f>
        <v/>
      </c>
      <c r="O29" s="37" t="str">
        <f aca="false">IF(OR(A29="",E29="",L29="",L29=0),"",E29/L29)</f>
        <v/>
      </c>
      <c r="P29" s="28" t="str">
        <f aca="false">IF(A29="","",COUNTIFS(Sancoes!$A:$A,A29,Sancoes!$B:$B,"&lt;&gt;Não consta"))</f>
        <v/>
      </c>
      <c r="Q29" s="28" t="str">
        <f aca="false">IF(A29="","",COUNTIF(Socios!$A:$A,A29))</f>
        <v/>
      </c>
      <c r="R29" s="28" t="str">
        <f aca="false">IF(A29="","",COUNTIFS(Socios!$A:$A,A29,Socios!$K:$K,"SIM"))</f>
        <v/>
      </c>
      <c r="S29" s="27"/>
      <c r="T29" s="5"/>
    </row>
    <row r="30" customFormat="false" ht="15" hidden="false" customHeight="false" outlineLevel="0" collapsed="false">
      <c r="A30" s="27"/>
      <c r="B30" s="5"/>
      <c r="C30" s="18"/>
      <c r="D30" s="5"/>
      <c r="E30" s="35"/>
      <c r="F30" s="5"/>
      <c r="G30" s="5"/>
      <c r="H30" s="5"/>
      <c r="I30" s="14"/>
      <c r="J30" s="14"/>
      <c r="K30" s="28" t="str">
        <f aca="false">IF(A30="","",COUNTIF(Contratos!$A:$A,A30))</f>
        <v/>
      </c>
      <c r="L30" s="39" t="str">
        <f aca="false">IF(A30="","",SUMIFS(Contratos!$D:$D,Contratos!$A:$A,A30)+SUMIFS(Contratos!$N:$N,Contratos!$A:$A,A30))</f>
        <v/>
      </c>
      <c r="M30" s="39" t="str">
        <f aca="false">IF(A30="","",SUMIFS(Pagamentos!$C:$C,Pagamentos!$A:$A,A30,Pagamentos!$F:$F,"Empenho"))</f>
        <v/>
      </c>
      <c r="N30" s="39" t="str">
        <f aca="false">IF(A30="","",SUMIFS(Pagamentos!$C:$C,Pagamentos!$A:$A,A30,Pagamentos!$F:$F,"Pagamento"))</f>
        <v/>
      </c>
      <c r="O30" s="37" t="str">
        <f aca="false">IF(OR(A30="",E30="",L30="",L30=0),"",E30/L30)</f>
        <v/>
      </c>
      <c r="P30" s="28" t="str">
        <f aca="false">IF(A30="","",COUNTIFS(Sancoes!$A:$A,A30,Sancoes!$B:$B,"&lt;&gt;Não consta"))</f>
        <v/>
      </c>
      <c r="Q30" s="28" t="str">
        <f aca="false">IF(A30="","",COUNTIF(Socios!$A:$A,A30))</f>
        <v/>
      </c>
      <c r="R30" s="28" t="str">
        <f aca="false">IF(A30="","",COUNTIFS(Socios!$A:$A,A30,Socios!$K:$K,"SIM"))</f>
        <v/>
      </c>
      <c r="S30" s="27"/>
      <c r="T30" s="5"/>
    </row>
    <row r="31" customFormat="false" ht="15" hidden="false" customHeight="false" outlineLevel="0" collapsed="false">
      <c r="A31" s="27"/>
      <c r="B31" s="5"/>
      <c r="C31" s="18"/>
      <c r="D31" s="5"/>
      <c r="E31" s="35"/>
      <c r="F31" s="5"/>
      <c r="G31" s="5"/>
      <c r="H31" s="5"/>
      <c r="I31" s="14"/>
      <c r="J31" s="14"/>
      <c r="K31" s="28" t="str">
        <f aca="false">IF(A31="","",COUNTIF(Contratos!$A:$A,A31))</f>
        <v/>
      </c>
      <c r="L31" s="39" t="str">
        <f aca="false">IF(A31="","",SUMIFS(Contratos!$D:$D,Contratos!$A:$A,A31)+SUMIFS(Contratos!$N:$N,Contratos!$A:$A,A31))</f>
        <v/>
      </c>
      <c r="M31" s="39" t="str">
        <f aca="false">IF(A31="","",SUMIFS(Pagamentos!$C:$C,Pagamentos!$A:$A,A31,Pagamentos!$F:$F,"Empenho"))</f>
        <v/>
      </c>
      <c r="N31" s="39" t="str">
        <f aca="false">IF(A31="","",SUMIFS(Pagamentos!$C:$C,Pagamentos!$A:$A,A31,Pagamentos!$F:$F,"Pagamento"))</f>
        <v/>
      </c>
      <c r="O31" s="37" t="str">
        <f aca="false">IF(OR(A31="",E31="",L31="",L31=0),"",E31/L31)</f>
        <v/>
      </c>
      <c r="P31" s="28" t="str">
        <f aca="false">IF(A31="","",COUNTIFS(Sancoes!$A:$A,A31,Sancoes!$B:$B,"&lt;&gt;Não consta"))</f>
        <v/>
      </c>
      <c r="Q31" s="28" t="str">
        <f aca="false">IF(A31="","",COUNTIF(Socios!$A:$A,A31))</f>
        <v/>
      </c>
      <c r="R31" s="28" t="str">
        <f aca="false">IF(A31="","",COUNTIFS(Socios!$A:$A,A31,Socios!$K:$K,"SIM"))</f>
        <v/>
      </c>
      <c r="S31" s="27"/>
      <c r="T31" s="5"/>
    </row>
    <row r="32" customFormat="false" ht="15" hidden="false" customHeight="false" outlineLevel="0" collapsed="false">
      <c r="A32" s="27"/>
      <c r="B32" s="5"/>
      <c r="C32" s="18"/>
      <c r="D32" s="5"/>
      <c r="E32" s="35"/>
      <c r="F32" s="5"/>
      <c r="G32" s="5"/>
      <c r="H32" s="5"/>
      <c r="I32" s="14"/>
      <c r="J32" s="14"/>
      <c r="K32" s="28" t="str">
        <f aca="false">IF(A32="","",COUNTIF(Contratos!$A:$A,A32))</f>
        <v/>
      </c>
      <c r="L32" s="39" t="str">
        <f aca="false">IF(A32="","",SUMIFS(Contratos!$D:$D,Contratos!$A:$A,A32)+SUMIFS(Contratos!$N:$N,Contratos!$A:$A,A32))</f>
        <v/>
      </c>
      <c r="M32" s="39" t="str">
        <f aca="false">IF(A32="","",SUMIFS(Pagamentos!$C:$C,Pagamentos!$A:$A,A32,Pagamentos!$F:$F,"Empenho"))</f>
        <v/>
      </c>
      <c r="N32" s="39" t="str">
        <f aca="false">IF(A32="","",SUMIFS(Pagamentos!$C:$C,Pagamentos!$A:$A,A32,Pagamentos!$F:$F,"Pagamento"))</f>
        <v/>
      </c>
      <c r="O32" s="37" t="str">
        <f aca="false">IF(OR(A32="",E32="",L32="",L32=0),"",E32/L32)</f>
        <v/>
      </c>
      <c r="P32" s="28" t="str">
        <f aca="false">IF(A32="","",COUNTIFS(Sancoes!$A:$A,A32,Sancoes!$B:$B,"&lt;&gt;Não consta"))</f>
        <v/>
      </c>
      <c r="Q32" s="28" t="str">
        <f aca="false">IF(A32="","",COUNTIF(Socios!$A:$A,A32))</f>
        <v/>
      </c>
      <c r="R32" s="28" t="str">
        <f aca="false">IF(A32="","",COUNTIFS(Socios!$A:$A,A32,Socios!$K:$K,"SIM"))</f>
        <v/>
      </c>
      <c r="S32" s="27"/>
      <c r="T32" s="5"/>
    </row>
    <row r="33" customFormat="false" ht="15" hidden="false" customHeight="false" outlineLevel="0" collapsed="false">
      <c r="A33" s="27"/>
      <c r="B33" s="5"/>
      <c r="C33" s="18"/>
      <c r="D33" s="5"/>
      <c r="E33" s="35"/>
      <c r="F33" s="5"/>
      <c r="G33" s="5"/>
      <c r="H33" s="5"/>
      <c r="I33" s="14"/>
      <c r="J33" s="14"/>
      <c r="K33" s="28" t="str">
        <f aca="false">IF(A33="","",COUNTIF(Contratos!$A:$A,A33))</f>
        <v/>
      </c>
      <c r="L33" s="39" t="str">
        <f aca="false">IF(A33="","",SUMIFS(Contratos!$D:$D,Contratos!$A:$A,A33)+SUMIFS(Contratos!$N:$N,Contratos!$A:$A,A33))</f>
        <v/>
      </c>
      <c r="M33" s="39" t="str">
        <f aca="false">IF(A33="","",SUMIFS(Pagamentos!$C:$C,Pagamentos!$A:$A,A33,Pagamentos!$F:$F,"Empenho"))</f>
        <v/>
      </c>
      <c r="N33" s="39" t="str">
        <f aca="false">IF(A33="","",SUMIFS(Pagamentos!$C:$C,Pagamentos!$A:$A,A33,Pagamentos!$F:$F,"Pagamento"))</f>
        <v/>
      </c>
      <c r="O33" s="37" t="str">
        <f aca="false">IF(OR(A33="",E33="",L33="",L33=0),"",E33/L33)</f>
        <v/>
      </c>
      <c r="P33" s="28" t="str">
        <f aca="false">IF(A33="","",COUNTIFS(Sancoes!$A:$A,A33,Sancoes!$B:$B,"&lt;&gt;Não consta"))</f>
        <v/>
      </c>
      <c r="Q33" s="28" t="str">
        <f aca="false">IF(A33="","",COUNTIF(Socios!$A:$A,A33))</f>
        <v/>
      </c>
      <c r="R33" s="28" t="str">
        <f aca="false">IF(A33="","",COUNTIFS(Socios!$A:$A,A33,Socios!$K:$K,"SIM"))</f>
        <v/>
      </c>
      <c r="S33" s="27"/>
      <c r="T33" s="5"/>
    </row>
    <row r="34" customFormat="false" ht="15" hidden="false" customHeight="false" outlineLevel="0" collapsed="false">
      <c r="A34" s="27"/>
      <c r="B34" s="5"/>
      <c r="C34" s="18"/>
      <c r="D34" s="5"/>
      <c r="E34" s="35"/>
      <c r="F34" s="5"/>
      <c r="G34" s="5"/>
      <c r="H34" s="5"/>
      <c r="I34" s="14"/>
      <c r="J34" s="14"/>
      <c r="K34" s="28" t="str">
        <f aca="false">IF(A34="","",COUNTIF(Contratos!$A:$A,A34))</f>
        <v/>
      </c>
      <c r="L34" s="39" t="str">
        <f aca="false">IF(A34="","",SUMIFS(Contratos!$D:$D,Contratos!$A:$A,A34)+SUMIFS(Contratos!$N:$N,Contratos!$A:$A,A34))</f>
        <v/>
      </c>
      <c r="M34" s="39" t="str">
        <f aca="false">IF(A34="","",SUMIFS(Pagamentos!$C:$C,Pagamentos!$A:$A,A34,Pagamentos!$F:$F,"Empenho"))</f>
        <v/>
      </c>
      <c r="N34" s="39" t="str">
        <f aca="false">IF(A34="","",SUMIFS(Pagamentos!$C:$C,Pagamentos!$A:$A,A34,Pagamentos!$F:$F,"Pagamento"))</f>
        <v/>
      </c>
      <c r="O34" s="37" t="str">
        <f aca="false">IF(OR(A34="",E34="",L34="",L34=0),"",E34/L34)</f>
        <v/>
      </c>
      <c r="P34" s="28" t="str">
        <f aca="false">IF(A34="","",COUNTIFS(Sancoes!$A:$A,A34,Sancoes!$B:$B,"&lt;&gt;Não consta"))</f>
        <v/>
      </c>
      <c r="Q34" s="28" t="str">
        <f aca="false">IF(A34="","",COUNTIF(Socios!$A:$A,A34))</f>
        <v/>
      </c>
      <c r="R34" s="28" t="str">
        <f aca="false">IF(A34="","",COUNTIFS(Socios!$A:$A,A34,Socios!$K:$K,"SIM"))</f>
        <v/>
      </c>
      <c r="S34" s="27"/>
      <c r="T34" s="5"/>
    </row>
    <row r="35" customFormat="false" ht="15" hidden="false" customHeight="false" outlineLevel="0" collapsed="false">
      <c r="A35" s="27"/>
      <c r="B35" s="5"/>
      <c r="C35" s="18"/>
      <c r="D35" s="5"/>
      <c r="E35" s="35"/>
      <c r="F35" s="5"/>
      <c r="G35" s="5"/>
      <c r="H35" s="5"/>
      <c r="I35" s="14"/>
      <c r="J35" s="14"/>
      <c r="K35" s="28" t="str">
        <f aca="false">IF(A35="","",COUNTIF(Contratos!$A:$A,A35))</f>
        <v/>
      </c>
      <c r="L35" s="39" t="str">
        <f aca="false">IF(A35="","",SUMIFS(Contratos!$D:$D,Contratos!$A:$A,A35)+SUMIFS(Contratos!$N:$N,Contratos!$A:$A,A35))</f>
        <v/>
      </c>
      <c r="M35" s="39" t="str">
        <f aca="false">IF(A35="","",SUMIFS(Pagamentos!$C:$C,Pagamentos!$A:$A,A35,Pagamentos!$F:$F,"Empenho"))</f>
        <v/>
      </c>
      <c r="N35" s="39" t="str">
        <f aca="false">IF(A35="","",SUMIFS(Pagamentos!$C:$C,Pagamentos!$A:$A,A35,Pagamentos!$F:$F,"Pagamento"))</f>
        <v/>
      </c>
      <c r="O35" s="37" t="str">
        <f aca="false">IF(OR(A35="",E35="",L35="",L35=0),"",E35/L35)</f>
        <v/>
      </c>
      <c r="P35" s="28" t="str">
        <f aca="false">IF(A35="","",COUNTIFS(Sancoes!$A:$A,A35,Sancoes!$B:$B,"&lt;&gt;Não consta"))</f>
        <v/>
      </c>
      <c r="Q35" s="28" t="str">
        <f aca="false">IF(A35="","",COUNTIF(Socios!$A:$A,A35))</f>
        <v/>
      </c>
      <c r="R35" s="28" t="str">
        <f aca="false">IF(A35="","",COUNTIFS(Socios!$A:$A,A35,Socios!$K:$K,"SIM"))</f>
        <v/>
      </c>
      <c r="S35" s="27"/>
      <c r="T35" s="5"/>
    </row>
    <row r="36" customFormat="false" ht="15" hidden="false" customHeight="false" outlineLevel="0" collapsed="false">
      <c r="A36" s="27"/>
      <c r="B36" s="5"/>
      <c r="C36" s="18"/>
      <c r="D36" s="5"/>
      <c r="E36" s="35"/>
      <c r="F36" s="5"/>
      <c r="G36" s="5"/>
      <c r="H36" s="5"/>
      <c r="I36" s="14"/>
      <c r="J36" s="14"/>
      <c r="K36" s="28" t="str">
        <f aca="false">IF(A36="","",COUNTIF(Contratos!$A:$A,A36))</f>
        <v/>
      </c>
      <c r="L36" s="39" t="str">
        <f aca="false">IF(A36="","",SUMIFS(Contratos!$D:$D,Contratos!$A:$A,A36)+SUMIFS(Contratos!$N:$N,Contratos!$A:$A,A36))</f>
        <v/>
      </c>
      <c r="M36" s="39" t="str">
        <f aca="false">IF(A36="","",SUMIFS(Pagamentos!$C:$C,Pagamentos!$A:$A,A36,Pagamentos!$F:$F,"Empenho"))</f>
        <v/>
      </c>
      <c r="N36" s="39" t="str">
        <f aca="false">IF(A36="","",SUMIFS(Pagamentos!$C:$C,Pagamentos!$A:$A,A36,Pagamentos!$F:$F,"Pagamento"))</f>
        <v/>
      </c>
      <c r="O36" s="37" t="str">
        <f aca="false">IF(OR(A36="",E36="",L36="",L36=0),"",E36/L36)</f>
        <v/>
      </c>
      <c r="P36" s="28" t="str">
        <f aca="false">IF(A36="","",COUNTIFS(Sancoes!$A:$A,A36,Sancoes!$B:$B,"&lt;&gt;Não consta"))</f>
        <v/>
      </c>
      <c r="Q36" s="28" t="str">
        <f aca="false">IF(A36="","",COUNTIF(Socios!$A:$A,A36))</f>
        <v/>
      </c>
      <c r="R36" s="28" t="str">
        <f aca="false">IF(A36="","",COUNTIFS(Socios!$A:$A,A36,Socios!$K:$K,"SIM"))</f>
        <v/>
      </c>
      <c r="S36" s="27"/>
      <c r="T36" s="5"/>
    </row>
    <row r="37" customFormat="false" ht="15" hidden="false" customHeight="false" outlineLevel="0" collapsed="false">
      <c r="A37" s="27"/>
      <c r="B37" s="5"/>
      <c r="C37" s="18"/>
      <c r="D37" s="5"/>
      <c r="E37" s="35"/>
      <c r="F37" s="5"/>
      <c r="G37" s="5"/>
      <c r="H37" s="5"/>
      <c r="I37" s="14"/>
      <c r="J37" s="14"/>
      <c r="K37" s="28" t="str">
        <f aca="false">IF(A37="","",COUNTIF(Contratos!$A:$A,A37))</f>
        <v/>
      </c>
      <c r="L37" s="39" t="str">
        <f aca="false">IF(A37="","",SUMIFS(Contratos!$D:$D,Contratos!$A:$A,A37)+SUMIFS(Contratos!$N:$N,Contratos!$A:$A,A37))</f>
        <v/>
      </c>
      <c r="M37" s="39" t="str">
        <f aca="false">IF(A37="","",SUMIFS(Pagamentos!$C:$C,Pagamentos!$A:$A,A37,Pagamentos!$F:$F,"Empenho"))</f>
        <v/>
      </c>
      <c r="N37" s="39" t="str">
        <f aca="false">IF(A37="","",SUMIFS(Pagamentos!$C:$C,Pagamentos!$A:$A,A37,Pagamentos!$F:$F,"Pagamento"))</f>
        <v/>
      </c>
      <c r="O37" s="37" t="str">
        <f aca="false">IF(OR(A37="",E37="",L37="",L37=0),"",E37/L37)</f>
        <v/>
      </c>
      <c r="P37" s="28" t="str">
        <f aca="false">IF(A37="","",COUNTIFS(Sancoes!$A:$A,A37,Sancoes!$B:$B,"&lt;&gt;Não consta"))</f>
        <v/>
      </c>
      <c r="Q37" s="28" t="str">
        <f aca="false">IF(A37="","",COUNTIF(Socios!$A:$A,A37))</f>
        <v/>
      </c>
      <c r="R37" s="28" t="str">
        <f aca="false">IF(A37="","",COUNTIFS(Socios!$A:$A,A37,Socios!$K:$K,"SIM"))</f>
        <v/>
      </c>
      <c r="S37" s="27"/>
      <c r="T37" s="5"/>
    </row>
    <row r="38" customFormat="false" ht="15" hidden="false" customHeight="false" outlineLevel="0" collapsed="false">
      <c r="A38" s="27"/>
      <c r="B38" s="5"/>
      <c r="C38" s="18"/>
      <c r="D38" s="5"/>
      <c r="E38" s="35"/>
      <c r="F38" s="5"/>
      <c r="G38" s="5"/>
      <c r="H38" s="5"/>
      <c r="I38" s="14"/>
      <c r="J38" s="14"/>
      <c r="K38" s="28" t="str">
        <f aca="false">IF(A38="","",COUNTIF(Contratos!$A:$A,A38))</f>
        <v/>
      </c>
      <c r="L38" s="39" t="str">
        <f aca="false">IF(A38="","",SUMIFS(Contratos!$D:$D,Contratos!$A:$A,A38)+SUMIFS(Contratos!$N:$N,Contratos!$A:$A,A38))</f>
        <v/>
      </c>
      <c r="M38" s="39" t="str">
        <f aca="false">IF(A38="","",SUMIFS(Pagamentos!$C:$C,Pagamentos!$A:$A,A38,Pagamentos!$F:$F,"Empenho"))</f>
        <v/>
      </c>
      <c r="N38" s="39" t="str">
        <f aca="false">IF(A38="","",SUMIFS(Pagamentos!$C:$C,Pagamentos!$A:$A,A38,Pagamentos!$F:$F,"Pagamento"))</f>
        <v/>
      </c>
      <c r="O38" s="37" t="str">
        <f aca="false">IF(OR(A38="",E38="",L38="",L38=0),"",E38/L38)</f>
        <v/>
      </c>
      <c r="P38" s="28" t="str">
        <f aca="false">IF(A38="","",COUNTIFS(Sancoes!$A:$A,A38,Sancoes!$B:$B,"&lt;&gt;Não consta"))</f>
        <v/>
      </c>
      <c r="Q38" s="28" t="str">
        <f aca="false">IF(A38="","",COUNTIF(Socios!$A:$A,A38))</f>
        <v/>
      </c>
      <c r="R38" s="28" t="str">
        <f aca="false">IF(A38="","",COUNTIFS(Socios!$A:$A,A38,Socios!$K:$K,"SIM"))</f>
        <v/>
      </c>
      <c r="S38" s="27"/>
      <c r="T38" s="5"/>
    </row>
    <row r="39" customFormat="false" ht="15" hidden="false" customHeight="false" outlineLevel="0" collapsed="false">
      <c r="A39" s="27"/>
      <c r="B39" s="5"/>
      <c r="C39" s="18"/>
      <c r="D39" s="5"/>
      <c r="E39" s="35"/>
      <c r="F39" s="5"/>
      <c r="G39" s="5"/>
      <c r="H39" s="5"/>
      <c r="I39" s="14"/>
      <c r="J39" s="14"/>
      <c r="K39" s="28" t="str">
        <f aca="false">IF(A39="","",COUNTIF(Contratos!$A:$A,A39))</f>
        <v/>
      </c>
      <c r="L39" s="39" t="str">
        <f aca="false">IF(A39="","",SUMIFS(Contratos!$D:$D,Contratos!$A:$A,A39)+SUMIFS(Contratos!$N:$N,Contratos!$A:$A,A39))</f>
        <v/>
      </c>
      <c r="M39" s="39" t="str">
        <f aca="false">IF(A39="","",SUMIFS(Pagamentos!$C:$C,Pagamentos!$A:$A,A39,Pagamentos!$F:$F,"Empenho"))</f>
        <v/>
      </c>
      <c r="N39" s="39" t="str">
        <f aca="false">IF(A39="","",SUMIFS(Pagamentos!$C:$C,Pagamentos!$A:$A,A39,Pagamentos!$F:$F,"Pagamento"))</f>
        <v/>
      </c>
      <c r="O39" s="37" t="str">
        <f aca="false">IF(OR(A39="",E39="",L39="",L39=0),"",E39/L39)</f>
        <v/>
      </c>
      <c r="P39" s="28" t="str">
        <f aca="false">IF(A39="","",COUNTIFS(Sancoes!$A:$A,A39,Sancoes!$B:$B,"&lt;&gt;Não consta"))</f>
        <v/>
      </c>
      <c r="Q39" s="28" t="str">
        <f aca="false">IF(A39="","",COUNTIF(Socios!$A:$A,A39))</f>
        <v/>
      </c>
      <c r="R39" s="28" t="str">
        <f aca="false">IF(A39="","",COUNTIFS(Socios!$A:$A,A39,Socios!$K:$K,"SIM"))</f>
        <v/>
      </c>
      <c r="S39" s="27"/>
      <c r="T39" s="5"/>
    </row>
    <row r="40" customFormat="false" ht="15" hidden="false" customHeight="false" outlineLevel="0" collapsed="false">
      <c r="A40" s="27"/>
      <c r="B40" s="5"/>
      <c r="C40" s="18"/>
      <c r="D40" s="5"/>
      <c r="E40" s="35"/>
      <c r="F40" s="5"/>
      <c r="G40" s="5"/>
      <c r="H40" s="5"/>
      <c r="I40" s="14"/>
      <c r="J40" s="14"/>
      <c r="K40" s="28" t="str">
        <f aca="false">IF(A40="","",COUNTIF(Contratos!$A:$A,A40))</f>
        <v/>
      </c>
      <c r="L40" s="39" t="str">
        <f aca="false">IF(A40="","",SUMIFS(Contratos!$D:$D,Contratos!$A:$A,A40)+SUMIFS(Contratos!$N:$N,Contratos!$A:$A,A40))</f>
        <v/>
      </c>
      <c r="M40" s="39" t="str">
        <f aca="false">IF(A40="","",SUMIFS(Pagamentos!$C:$C,Pagamentos!$A:$A,A40,Pagamentos!$F:$F,"Empenho"))</f>
        <v/>
      </c>
      <c r="N40" s="39" t="str">
        <f aca="false">IF(A40="","",SUMIFS(Pagamentos!$C:$C,Pagamentos!$A:$A,A40,Pagamentos!$F:$F,"Pagamento"))</f>
        <v/>
      </c>
      <c r="O40" s="37" t="str">
        <f aca="false">IF(OR(A40="",E40="",L40="",L40=0),"",E40/L40)</f>
        <v/>
      </c>
      <c r="P40" s="28" t="str">
        <f aca="false">IF(A40="","",COUNTIFS(Sancoes!$A:$A,A40,Sancoes!$B:$B,"&lt;&gt;Não consta"))</f>
        <v/>
      </c>
      <c r="Q40" s="28" t="str">
        <f aca="false">IF(A40="","",COUNTIF(Socios!$A:$A,A40))</f>
        <v/>
      </c>
      <c r="R40" s="28" t="str">
        <f aca="false">IF(A40="","",COUNTIFS(Socios!$A:$A,A40,Socios!$K:$K,"SIM"))</f>
        <v/>
      </c>
      <c r="S40" s="27"/>
      <c r="T40" s="5"/>
    </row>
    <row r="41" customFormat="false" ht="15" hidden="false" customHeight="false" outlineLevel="0" collapsed="false">
      <c r="A41" s="27"/>
      <c r="B41" s="5"/>
      <c r="C41" s="18"/>
      <c r="D41" s="5"/>
      <c r="E41" s="35"/>
      <c r="F41" s="5"/>
      <c r="G41" s="5"/>
      <c r="H41" s="5"/>
      <c r="I41" s="14"/>
      <c r="J41" s="14"/>
      <c r="K41" s="28" t="str">
        <f aca="false">IF(A41="","",COUNTIF(Contratos!$A:$A,A41))</f>
        <v/>
      </c>
      <c r="L41" s="39" t="str">
        <f aca="false">IF(A41="","",SUMIFS(Contratos!$D:$D,Contratos!$A:$A,A41)+SUMIFS(Contratos!$N:$N,Contratos!$A:$A,A41))</f>
        <v/>
      </c>
      <c r="M41" s="39" t="str">
        <f aca="false">IF(A41="","",SUMIFS(Pagamentos!$C:$C,Pagamentos!$A:$A,A41,Pagamentos!$F:$F,"Empenho"))</f>
        <v/>
      </c>
      <c r="N41" s="39" t="str">
        <f aca="false">IF(A41="","",SUMIFS(Pagamentos!$C:$C,Pagamentos!$A:$A,A41,Pagamentos!$F:$F,"Pagamento"))</f>
        <v/>
      </c>
      <c r="O41" s="37" t="str">
        <f aca="false">IF(OR(A41="",E41="",L41="",L41=0),"",E41/L41)</f>
        <v/>
      </c>
      <c r="P41" s="28" t="str">
        <f aca="false">IF(A41="","",COUNTIFS(Sancoes!$A:$A,A41,Sancoes!$B:$B,"&lt;&gt;Não consta"))</f>
        <v/>
      </c>
      <c r="Q41" s="28" t="str">
        <f aca="false">IF(A41="","",COUNTIF(Socios!$A:$A,A41))</f>
        <v/>
      </c>
      <c r="R41" s="28" t="str">
        <f aca="false">IF(A41="","",COUNTIFS(Socios!$A:$A,A41,Socios!$K:$K,"SIM"))</f>
        <v/>
      </c>
      <c r="S41" s="27"/>
      <c r="T41" s="5"/>
    </row>
    <row r="42" customFormat="false" ht="15" hidden="false" customHeight="false" outlineLevel="0" collapsed="false">
      <c r="A42" s="27"/>
      <c r="B42" s="5"/>
      <c r="C42" s="18"/>
      <c r="D42" s="5"/>
      <c r="E42" s="35"/>
      <c r="F42" s="5"/>
      <c r="G42" s="5"/>
      <c r="H42" s="5"/>
      <c r="I42" s="14"/>
      <c r="J42" s="14"/>
      <c r="K42" s="28" t="str">
        <f aca="false">IF(A42="","",COUNTIF(Contratos!$A:$A,A42))</f>
        <v/>
      </c>
      <c r="L42" s="39" t="str">
        <f aca="false">IF(A42="","",SUMIFS(Contratos!$D:$D,Contratos!$A:$A,A42)+SUMIFS(Contratos!$N:$N,Contratos!$A:$A,A42))</f>
        <v/>
      </c>
      <c r="M42" s="39" t="str">
        <f aca="false">IF(A42="","",SUMIFS(Pagamentos!$C:$C,Pagamentos!$A:$A,A42,Pagamentos!$F:$F,"Empenho"))</f>
        <v/>
      </c>
      <c r="N42" s="39" t="str">
        <f aca="false">IF(A42="","",SUMIFS(Pagamentos!$C:$C,Pagamentos!$A:$A,A42,Pagamentos!$F:$F,"Pagamento"))</f>
        <v/>
      </c>
      <c r="O42" s="37" t="str">
        <f aca="false">IF(OR(A42="",E42="",L42="",L42=0),"",E42/L42)</f>
        <v/>
      </c>
      <c r="P42" s="28" t="str">
        <f aca="false">IF(A42="","",COUNTIFS(Sancoes!$A:$A,A42,Sancoes!$B:$B,"&lt;&gt;Não consta"))</f>
        <v/>
      </c>
      <c r="Q42" s="28" t="str">
        <f aca="false">IF(A42="","",COUNTIF(Socios!$A:$A,A42))</f>
        <v/>
      </c>
      <c r="R42" s="28" t="str">
        <f aca="false">IF(A42="","",COUNTIFS(Socios!$A:$A,A42,Socios!$K:$K,"SIM"))</f>
        <v/>
      </c>
      <c r="S42" s="27"/>
      <c r="T42" s="5"/>
    </row>
    <row r="43" customFormat="false" ht="15" hidden="false" customHeight="false" outlineLevel="0" collapsed="false">
      <c r="A43" s="27"/>
      <c r="B43" s="5"/>
      <c r="C43" s="18"/>
      <c r="D43" s="5"/>
      <c r="E43" s="35"/>
      <c r="F43" s="5"/>
      <c r="G43" s="5"/>
      <c r="H43" s="5"/>
      <c r="I43" s="14"/>
      <c r="J43" s="14"/>
      <c r="K43" s="28" t="str">
        <f aca="false">IF(A43="","",COUNTIF(Contratos!$A:$A,A43))</f>
        <v/>
      </c>
      <c r="L43" s="39" t="str">
        <f aca="false">IF(A43="","",SUMIFS(Contratos!$D:$D,Contratos!$A:$A,A43)+SUMIFS(Contratos!$N:$N,Contratos!$A:$A,A43))</f>
        <v/>
      </c>
      <c r="M43" s="39" t="str">
        <f aca="false">IF(A43="","",SUMIFS(Pagamentos!$C:$C,Pagamentos!$A:$A,A43,Pagamentos!$F:$F,"Empenho"))</f>
        <v/>
      </c>
      <c r="N43" s="39" t="str">
        <f aca="false">IF(A43="","",SUMIFS(Pagamentos!$C:$C,Pagamentos!$A:$A,A43,Pagamentos!$F:$F,"Pagamento"))</f>
        <v/>
      </c>
      <c r="O43" s="37" t="str">
        <f aca="false">IF(OR(A43="",E43="",L43="",L43=0),"",E43/L43)</f>
        <v/>
      </c>
      <c r="P43" s="28" t="str">
        <f aca="false">IF(A43="","",COUNTIFS(Sancoes!$A:$A,A43,Sancoes!$B:$B,"&lt;&gt;Não consta"))</f>
        <v/>
      </c>
      <c r="Q43" s="28" t="str">
        <f aca="false">IF(A43="","",COUNTIF(Socios!$A:$A,A43))</f>
        <v/>
      </c>
      <c r="R43" s="28" t="str">
        <f aca="false">IF(A43="","",COUNTIFS(Socios!$A:$A,A43,Socios!$K:$K,"SIM"))</f>
        <v/>
      </c>
      <c r="S43" s="27"/>
      <c r="T43" s="5"/>
    </row>
    <row r="44" customFormat="false" ht="15" hidden="false" customHeight="false" outlineLevel="0" collapsed="false">
      <c r="A44" s="27"/>
      <c r="B44" s="5"/>
      <c r="C44" s="18"/>
      <c r="D44" s="5"/>
      <c r="E44" s="35"/>
      <c r="F44" s="5"/>
      <c r="G44" s="5"/>
      <c r="H44" s="5"/>
      <c r="I44" s="14"/>
      <c r="J44" s="14"/>
      <c r="K44" s="28" t="str">
        <f aca="false">IF(A44="","",COUNTIF(Contratos!$A:$A,A44))</f>
        <v/>
      </c>
      <c r="L44" s="39" t="str">
        <f aca="false">IF(A44="","",SUMIFS(Contratos!$D:$D,Contratos!$A:$A,A44)+SUMIFS(Contratos!$N:$N,Contratos!$A:$A,A44))</f>
        <v/>
      </c>
      <c r="M44" s="39" t="str">
        <f aca="false">IF(A44="","",SUMIFS(Pagamentos!$C:$C,Pagamentos!$A:$A,A44,Pagamentos!$F:$F,"Empenho"))</f>
        <v/>
      </c>
      <c r="N44" s="39" t="str">
        <f aca="false">IF(A44="","",SUMIFS(Pagamentos!$C:$C,Pagamentos!$A:$A,A44,Pagamentos!$F:$F,"Pagamento"))</f>
        <v/>
      </c>
      <c r="O44" s="37" t="str">
        <f aca="false">IF(OR(A44="",E44="",L44="",L44=0),"",E44/L44)</f>
        <v/>
      </c>
      <c r="P44" s="28" t="str">
        <f aca="false">IF(A44="","",COUNTIFS(Sancoes!$A:$A,A44,Sancoes!$B:$B,"&lt;&gt;Não consta"))</f>
        <v/>
      </c>
      <c r="Q44" s="28" t="str">
        <f aca="false">IF(A44="","",COUNTIF(Socios!$A:$A,A44))</f>
        <v/>
      </c>
      <c r="R44" s="28" t="str">
        <f aca="false">IF(A44="","",COUNTIFS(Socios!$A:$A,A44,Socios!$K:$K,"SIM"))</f>
        <v/>
      </c>
      <c r="S44" s="27"/>
      <c r="T44" s="5"/>
    </row>
    <row r="45" customFormat="false" ht="15" hidden="false" customHeight="false" outlineLevel="0" collapsed="false">
      <c r="A45" s="27"/>
      <c r="B45" s="5"/>
      <c r="C45" s="18"/>
      <c r="D45" s="5"/>
      <c r="E45" s="35"/>
      <c r="F45" s="5"/>
      <c r="G45" s="5"/>
      <c r="H45" s="5"/>
      <c r="I45" s="14"/>
      <c r="J45" s="14"/>
      <c r="K45" s="28" t="str">
        <f aca="false">IF(A45="","",COUNTIF(Contratos!$A:$A,A45))</f>
        <v/>
      </c>
      <c r="L45" s="39" t="str">
        <f aca="false">IF(A45="","",SUMIFS(Contratos!$D:$D,Contratos!$A:$A,A45)+SUMIFS(Contratos!$N:$N,Contratos!$A:$A,A45))</f>
        <v/>
      </c>
      <c r="M45" s="39" t="str">
        <f aca="false">IF(A45="","",SUMIFS(Pagamentos!$C:$C,Pagamentos!$A:$A,A45,Pagamentos!$F:$F,"Empenho"))</f>
        <v/>
      </c>
      <c r="N45" s="39" t="str">
        <f aca="false">IF(A45="","",SUMIFS(Pagamentos!$C:$C,Pagamentos!$A:$A,A45,Pagamentos!$F:$F,"Pagamento"))</f>
        <v/>
      </c>
      <c r="O45" s="37" t="str">
        <f aca="false">IF(OR(A45="",E45="",L45="",L45=0),"",E45/L45)</f>
        <v/>
      </c>
      <c r="P45" s="28" t="str">
        <f aca="false">IF(A45="","",COUNTIFS(Sancoes!$A:$A,A45,Sancoes!$B:$B,"&lt;&gt;Não consta"))</f>
        <v/>
      </c>
      <c r="Q45" s="28" t="str">
        <f aca="false">IF(A45="","",COUNTIF(Socios!$A:$A,A45))</f>
        <v/>
      </c>
      <c r="R45" s="28" t="str">
        <f aca="false">IF(A45="","",COUNTIFS(Socios!$A:$A,A45,Socios!$K:$K,"SIM"))</f>
        <v/>
      </c>
      <c r="S45" s="27"/>
      <c r="T45" s="5"/>
    </row>
    <row r="46" customFormat="false" ht="15" hidden="false" customHeight="false" outlineLevel="0" collapsed="false">
      <c r="A46" s="27"/>
      <c r="B46" s="5"/>
      <c r="C46" s="18"/>
      <c r="D46" s="5"/>
      <c r="E46" s="35"/>
      <c r="F46" s="5"/>
      <c r="G46" s="5"/>
      <c r="H46" s="5"/>
      <c r="I46" s="14"/>
      <c r="J46" s="14"/>
      <c r="K46" s="28" t="str">
        <f aca="false">IF(A46="","",COUNTIF(Contratos!$A:$A,A46))</f>
        <v/>
      </c>
      <c r="L46" s="39" t="str">
        <f aca="false">IF(A46="","",SUMIFS(Contratos!$D:$D,Contratos!$A:$A,A46)+SUMIFS(Contratos!$N:$N,Contratos!$A:$A,A46))</f>
        <v/>
      </c>
      <c r="M46" s="39" t="str">
        <f aca="false">IF(A46="","",SUMIFS(Pagamentos!$C:$C,Pagamentos!$A:$A,A46,Pagamentos!$F:$F,"Empenho"))</f>
        <v/>
      </c>
      <c r="N46" s="39" t="str">
        <f aca="false">IF(A46="","",SUMIFS(Pagamentos!$C:$C,Pagamentos!$A:$A,A46,Pagamentos!$F:$F,"Pagamento"))</f>
        <v/>
      </c>
      <c r="O46" s="37" t="str">
        <f aca="false">IF(OR(A46="",E46="",L46="",L46=0),"",E46/L46)</f>
        <v/>
      </c>
      <c r="P46" s="28" t="str">
        <f aca="false">IF(A46="","",COUNTIFS(Sancoes!$A:$A,A46,Sancoes!$B:$B,"&lt;&gt;Não consta"))</f>
        <v/>
      </c>
      <c r="Q46" s="28" t="str">
        <f aca="false">IF(A46="","",COUNTIF(Socios!$A:$A,A46))</f>
        <v/>
      </c>
      <c r="R46" s="28" t="str">
        <f aca="false">IF(A46="","",COUNTIFS(Socios!$A:$A,A46,Socios!$K:$K,"SIM"))</f>
        <v/>
      </c>
      <c r="S46" s="27"/>
      <c r="T46" s="5"/>
    </row>
    <row r="47" customFormat="false" ht="15" hidden="false" customHeight="false" outlineLevel="0" collapsed="false">
      <c r="A47" s="27"/>
      <c r="B47" s="5"/>
      <c r="C47" s="18"/>
      <c r="D47" s="5"/>
      <c r="E47" s="35"/>
      <c r="F47" s="5"/>
      <c r="G47" s="5"/>
      <c r="H47" s="5"/>
      <c r="I47" s="14"/>
      <c r="J47" s="14"/>
      <c r="K47" s="28" t="str">
        <f aca="false">IF(A47="","",COUNTIF(Contratos!$A:$A,A47))</f>
        <v/>
      </c>
      <c r="L47" s="39" t="str">
        <f aca="false">IF(A47="","",SUMIFS(Contratos!$D:$D,Contratos!$A:$A,A47)+SUMIFS(Contratos!$N:$N,Contratos!$A:$A,A47))</f>
        <v/>
      </c>
      <c r="M47" s="39" t="str">
        <f aca="false">IF(A47="","",SUMIFS(Pagamentos!$C:$C,Pagamentos!$A:$A,A47,Pagamentos!$F:$F,"Empenho"))</f>
        <v/>
      </c>
      <c r="N47" s="39" t="str">
        <f aca="false">IF(A47="","",SUMIFS(Pagamentos!$C:$C,Pagamentos!$A:$A,A47,Pagamentos!$F:$F,"Pagamento"))</f>
        <v/>
      </c>
      <c r="O47" s="37" t="str">
        <f aca="false">IF(OR(A47="",E47="",L47="",L47=0),"",E47/L47)</f>
        <v/>
      </c>
      <c r="P47" s="28" t="str">
        <f aca="false">IF(A47="","",COUNTIFS(Sancoes!$A:$A,A47,Sancoes!$B:$B,"&lt;&gt;Não consta"))</f>
        <v/>
      </c>
      <c r="Q47" s="28" t="str">
        <f aca="false">IF(A47="","",COUNTIF(Socios!$A:$A,A47))</f>
        <v/>
      </c>
      <c r="R47" s="28" t="str">
        <f aca="false">IF(A47="","",COUNTIFS(Socios!$A:$A,A47,Socios!$K:$K,"SIM"))</f>
        <v/>
      </c>
      <c r="S47" s="27"/>
      <c r="T47" s="5"/>
    </row>
    <row r="48" customFormat="false" ht="15" hidden="false" customHeight="false" outlineLevel="0" collapsed="false">
      <c r="A48" s="27"/>
      <c r="B48" s="5"/>
      <c r="C48" s="18"/>
      <c r="D48" s="5"/>
      <c r="E48" s="35"/>
      <c r="F48" s="5"/>
      <c r="G48" s="5"/>
      <c r="H48" s="5"/>
      <c r="I48" s="14"/>
      <c r="J48" s="14"/>
      <c r="K48" s="28" t="str">
        <f aca="false">IF(A48="","",COUNTIF(Contratos!$A:$A,A48))</f>
        <v/>
      </c>
      <c r="L48" s="39" t="str">
        <f aca="false">IF(A48="","",SUMIFS(Contratos!$D:$D,Contratos!$A:$A,A48)+SUMIFS(Contratos!$N:$N,Contratos!$A:$A,A48))</f>
        <v/>
      </c>
      <c r="M48" s="39" t="str">
        <f aca="false">IF(A48="","",SUMIFS(Pagamentos!$C:$C,Pagamentos!$A:$A,A48,Pagamentos!$F:$F,"Empenho"))</f>
        <v/>
      </c>
      <c r="N48" s="39" t="str">
        <f aca="false">IF(A48="","",SUMIFS(Pagamentos!$C:$C,Pagamentos!$A:$A,A48,Pagamentos!$F:$F,"Pagamento"))</f>
        <v/>
      </c>
      <c r="O48" s="37" t="str">
        <f aca="false">IF(OR(A48="",E48="",L48="",L48=0),"",E48/L48)</f>
        <v/>
      </c>
      <c r="P48" s="28" t="str">
        <f aca="false">IF(A48="","",COUNTIFS(Sancoes!$A:$A,A48,Sancoes!$B:$B,"&lt;&gt;Não consta"))</f>
        <v/>
      </c>
      <c r="Q48" s="28" t="str">
        <f aca="false">IF(A48="","",COUNTIF(Socios!$A:$A,A48))</f>
        <v/>
      </c>
      <c r="R48" s="28" t="str">
        <f aca="false">IF(A48="","",COUNTIFS(Socios!$A:$A,A48,Socios!$K:$K,"SIM"))</f>
        <v/>
      </c>
      <c r="S48" s="27"/>
      <c r="T48" s="5"/>
    </row>
    <row r="49" customFormat="false" ht="15" hidden="false" customHeight="false" outlineLevel="0" collapsed="false">
      <c r="A49" s="27"/>
      <c r="B49" s="5"/>
      <c r="C49" s="18"/>
      <c r="D49" s="5"/>
      <c r="E49" s="35"/>
      <c r="F49" s="5"/>
      <c r="G49" s="5"/>
      <c r="H49" s="5"/>
      <c r="I49" s="14"/>
      <c r="J49" s="14"/>
      <c r="K49" s="28" t="str">
        <f aca="false">IF(A49="","",COUNTIF(Contratos!$A:$A,A49))</f>
        <v/>
      </c>
      <c r="L49" s="39" t="str">
        <f aca="false">IF(A49="","",SUMIFS(Contratos!$D:$D,Contratos!$A:$A,A49)+SUMIFS(Contratos!$N:$N,Contratos!$A:$A,A49))</f>
        <v/>
      </c>
      <c r="M49" s="39" t="str">
        <f aca="false">IF(A49="","",SUMIFS(Pagamentos!$C:$C,Pagamentos!$A:$A,A49,Pagamentos!$F:$F,"Empenho"))</f>
        <v/>
      </c>
      <c r="N49" s="39" t="str">
        <f aca="false">IF(A49="","",SUMIFS(Pagamentos!$C:$C,Pagamentos!$A:$A,A49,Pagamentos!$F:$F,"Pagamento"))</f>
        <v/>
      </c>
      <c r="O49" s="37" t="str">
        <f aca="false">IF(OR(A49="",E49="",L49="",L49=0),"",E49/L49)</f>
        <v/>
      </c>
      <c r="P49" s="28" t="str">
        <f aca="false">IF(A49="","",COUNTIFS(Sancoes!$A:$A,A49,Sancoes!$B:$B,"&lt;&gt;Não consta"))</f>
        <v/>
      </c>
      <c r="Q49" s="28" t="str">
        <f aca="false">IF(A49="","",COUNTIF(Socios!$A:$A,A49))</f>
        <v/>
      </c>
      <c r="R49" s="28" t="str">
        <f aca="false">IF(A49="","",COUNTIFS(Socios!$A:$A,A49,Socios!$K:$K,"SIM"))</f>
        <v/>
      </c>
      <c r="S49" s="27"/>
      <c r="T49" s="5"/>
    </row>
    <row r="50" customFormat="false" ht="15" hidden="false" customHeight="false" outlineLevel="0" collapsed="false">
      <c r="A50" s="27"/>
      <c r="B50" s="5"/>
      <c r="C50" s="18"/>
      <c r="D50" s="5"/>
      <c r="E50" s="35"/>
      <c r="F50" s="5"/>
      <c r="G50" s="5"/>
      <c r="H50" s="5"/>
      <c r="I50" s="14"/>
      <c r="J50" s="14"/>
      <c r="K50" s="28" t="str">
        <f aca="false">IF(A50="","",COUNTIF(Contratos!$A:$A,A50))</f>
        <v/>
      </c>
      <c r="L50" s="39" t="str">
        <f aca="false">IF(A50="","",SUMIFS(Contratos!$D:$D,Contratos!$A:$A,A50)+SUMIFS(Contratos!$N:$N,Contratos!$A:$A,A50))</f>
        <v/>
      </c>
      <c r="M50" s="39" t="str">
        <f aca="false">IF(A50="","",SUMIFS(Pagamentos!$C:$C,Pagamentos!$A:$A,A50,Pagamentos!$F:$F,"Empenho"))</f>
        <v/>
      </c>
      <c r="N50" s="39" t="str">
        <f aca="false">IF(A50="","",SUMIFS(Pagamentos!$C:$C,Pagamentos!$A:$A,A50,Pagamentos!$F:$F,"Pagamento"))</f>
        <v/>
      </c>
      <c r="O50" s="37" t="str">
        <f aca="false">IF(OR(A50="",E50="",L50="",L50=0),"",E50/L50)</f>
        <v/>
      </c>
      <c r="P50" s="28" t="str">
        <f aca="false">IF(A50="","",COUNTIFS(Sancoes!$A:$A,A50,Sancoes!$B:$B,"&lt;&gt;Não consta"))</f>
        <v/>
      </c>
      <c r="Q50" s="28" t="str">
        <f aca="false">IF(A50="","",COUNTIF(Socios!$A:$A,A50))</f>
        <v/>
      </c>
      <c r="R50" s="28" t="str">
        <f aca="false">IF(A50="","",COUNTIFS(Socios!$A:$A,A50,Socios!$K:$K,"SIM"))</f>
        <v/>
      </c>
      <c r="S50" s="27"/>
      <c r="T50" s="5"/>
    </row>
    <row r="51" customFormat="false" ht="15" hidden="false" customHeight="false" outlineLevel="0" collapsed="false">
      <c r="A51" s="27"/>
      <c r="B51" s="5"/>
      <c r="C51" s="18"/>
      <c r="D51" s="5"/>
      <c r="E51" s="35"/>
      <c r="F51" s="5"/>
      <c r="G51" s="5"/>
      <c r="H51" s="5"/>
      <c r="I51" s="14"/>
      <c r="J51" s="14"/>
      <c r="K51" s="28" t="str">
        <f aca="false">IF(A51="","",COUNTIF(Contratos!$A:$A,A51))</f>
        <v/>
      </c>
      <c r="L51" s="39" t="str">
        <f aca="false">IF(A51="","",SUMIFS(Contratos!$D:$D,Contratos!$A:$A,A51)+SUMIFS(Contratos!$N:$N,Contratos!$A:$A,A51))</f>
        <v/>
      </c>
      <c r="M51" s="39" t="str">
        <f aca="false">IF(A51="","",SUMIFS(Pagamentos!$C:$C,Pagamentos!$A:$A,A51,Pagamentos!$F:$F,"Empenho"))</f>
        <v/>
      </c>
      <c r="N51" s="39" t="str">
        <f aca="false">IF(A51="","",SUMIFS(Pagamentos!$C:$C,Pagamentos!$A:$A,A51,Pagamentos!$F:$F,"Pagamento"))</f>
        <v/>
      </c>
      <c r="O51" s="37" t="str">
        <f aca="false">IF(OR(A51="",E51="",L51="",L51=0),"",E51/L51)</f>
        <v/>
      </c>
      <c r="P51" s="28" t="str">
        <f aca="false">IF(A51="","",COUNTIFS(Sancoes!$A:$A,A51,Sancoes!$B:$B,"&lt;&gt;Não consta"))</f>
        <v/>
      </c>
      <c r="Q51" s="28" t="str">
        <f aca="false">IF(A51="","",COUNTIF(Socios!$A:$A,A51))</f>
        <v/>
      </c>
      <c r="R51" s="28" t="str">
        <f aca="false">IF(A51="","",COUNTIFS(Socios!$A:$A,A51,Socios!$K:$K,"SIM"))</f>
        <v/>
      </c>
      <c r="S51" s="27"/>
      <c r="T51" s="5"/>
    </row>
    <row r="52" customFormat="false" ht="15" hidden="false" customHeight="false" outlineLevel="0" collapsed="false">
      <c r="A52" s="27"/>
      <c r="B52" s="5"/>
      <c r="C52" s="18"/>
      <c r="D52" s="5"/>
      <c r="E52" s="35"/>
      <c r="F52" s="5"/>
      <c r="G52" s="5"/>
      <c r="H52" s="5"/>
      <c r="I52" s="14"/>
      <c r="J52" s="14"/>
      <c r="K52" s="28" t="str">
        <f aca="false">IF(A52="","",COUNTIF(Contratos!$A:$A,A52))</f>
        <v/>
      </c>
      <c r="L52" s="39" t="str">
        <f aca="false">IF(A52="","",SUMIFS(Contratos!$D:$D,Contratos!$A:$A,A52)+SUMIFS(Contratos!$N:$N,Contratos!$A:$A,A52))</f>
        <v/>
      </c>
      <c r="M52" s="39" t="str">
        <f aca="false">IF(A52="","",SUMIFS(Pagamentos!$C:$C,Pagamentos!$A:$A,A52,Pagamentos!$F:$F,"Empenho"))</f>
        <v/>
      </c>
      <c r="N52" s="39" t="str">
        <f aca="false">IF(A52="","",SUMIFS(Pagamentos!$C:$C,Pagamentos!$A:$A,A52,Pagamentos!$F:$F,"Pagamento"))</f>
        <v/>
      </c>
      <c r="O52" s="37" t="str">
        <f aca="false">IF(OR(A52="",E52="",L52="",L52=0),"",E52/L52)</f>
        <v/>
      </c>
      <c r="P52" s="28" t="str">
        <f aca="false">IF(A52="","",COUNTIFS(Sancoes!$A:$A,A52,Sancoes!$B:$B,"&lt;&gt;Não consta"))</f>
        <v/>
      </c>
      <c r="Q52" s="28" t="str">
        <f aca="false">IF(A52="","",COUNTIF(Socios!$A:$A,A52))</f>
        <v/>
      </c>
      <c r="R52" s="28" t="str">
        <f aca="false">IF(A52="","",COUNTIFS(Socios!$A:$A,A52,Socios!$K:$K,"SIM"))</f>
        <v/>
      </c>
      <c r="S52" s="27"/>
      <c r="T52" s="5"/>
    </row>
    <row r="53" customFormat="false" ht="15" hidden="false" customHeight="false" outlineLevel="0" collapsed="false">
      <c r="A53" s="27"/>
      <c r="B53" s="5"/>
      <c r="C53" s="18"/>
      <c r="D53" s="5"/>
      <c r="E53" s="35"/>
      <c r="F53" s="5"/>
      <c r="G53" s="5"/>
      <c r="H53" s="5"/>
      <c r="I53" s="14"/>
      <c r="J53" s="14"/>
      <c r="K53" s="28" t="str">
        <f aca="false">IF(A53="","",COUNTIF(Contratos!$A:$A,A53))</f>
        <v/>
      </c>
      <c r="L53" s="39" t="str">
        <f aca="false">IF(A53="","",SUMIFS(Contratos!$D:$D,Contratos!$A:$A,A53)+SUMIFS(Contratos!$N:$N,Contratos!$A:$A,A53))</f>
        <v/>
      </c>
      <c r="M53" s="39" t="str">
        <f aca="false">IF(A53="","",SUMIFS(Pagamentos!$C:$C,Pagamentos!$A:$A,A53,Pagamentos!$F:$F,"Empenho"))</f>
        <v/>
      </c>
      <c r="N53" s="39" t="str">
        <f aca="false">IF(A53="","",SUMIFS(Pagamentos!$C:$C,Pagamentos!$A:$A,A53,Pagamentos!$F:$F,"Pagamento"))</f>
        <v/>
      </c>
      <c r="O53" s="37" t="str">
        <f aca="false">IF(OR(A53="",E53="",L53="",L53=0),"",E53/L53)</f>
        <v/>
      </c>
      <c r="P53" s="28" t="str">
        <f aca="false">IF(A53="","",COUNTIFS(Sancoes!$A:$A,A53,Sancoes!$B:$B,"&lt;&gt;Não consta"))</f>
        <v/>
      </c>
      <c r="Q53" s="28" t="str">
        <f aca="false">IF(A53="","",COUNTIF(Socios!$A:$A,A53))</f>
        <v/>
      </c>
      <c r="R53" s="28" t="str">
        <f aca="false">IF(A53="","",COUNTIFS(Socios!$A:$A,A53,Socios!$K:$K,"SIM"))</f>
        <v/>
      </c>
      <c r="S53" s="27"/>
      <c r="T53" s="5"/>
    </row>
    <row r="54" customFormat="false" ht="15" hidden="false" customHeight="false" outlineLevel="0" collapsed="false">
      <c r="A54" s="27"/>
      <c r="B54" s="5"/>
      <c r="C54" s="18"/>
      <c r="D54" s="5"/>
      <c r="E54" s="35"/>
      <c r="F54" s="5"/>
      <c r="G54" s="5"/>
      <c r="H54" s="5"/>
      <c r="I54" s="14"/>
      <c r="J54" s="14"/>
      <c r="K54" s="28" t="str">
        <f aca="false">IF(A54="","",COUNTIF(Contratos!$A:$A,A54))</f>
        <v/>
      </c>
      <c r="L54" s="39" t="str">
        <f aca="false">IF(A54="","",SUMIFS(Contratos!$D:$D,Contratos!$A:$A,A54)+SUMIFS(Contratos!$N:$N,Contratos!$A:$A,A54))</f>
        <v/>
      </c>
      <c r="M54" s="39" t="str">
        <f aca="false">IF(A54="","",SUMIFS(Pagamentos!$C:$C,Pagamentos!$A:$A,A54,Pagamentos!$F:$F,"Empenho"))</f>
        <v/>
      </c>
      <c r="N54" s="39" t="str">
        <f aca="false">IF(A54="","",SUMIFS(Pagamentos!$C:$C,Pagamentos!$A:$A,A54,Pagamentos!$F:$F,"Pagamento"))</f>
        <v/>
      </c>
      <c r="O54" s="37" t="str">
        <f aca="false">IF(OR(A54="",E54="",L54="",L54=0),"",E54/L54)</f>
        <v/>
      </c>
      <c r="P54" s="28" t="str">
        <f aca="false">IF(A54="","",COUNTIFS(Sancoes!$A:$A,A54,Sancoes!$B:$B,"&lt;&gt;Não consta"))</f>
        <v/>
      </c>
      <c r="Q54" s="28" t="str">
        <f aca="false">IF(A54="","",COUNTIF(Socios!$A:$A,A54))</f>
        <v/>
      </c>
      <c r="R54" s="28" t="str">
        <f aca="false">IF(A54="","",COUNTIFS(Socios!$A:$A,A54,Socios!$K:$K,"SIM"))</f>
        <v/>
      </c>
      <c r="S54" s="27"/>
      <c r="T54" s="5"/>
    </row>
    <row r="55" customFormat="false" ht="15" hidden="false" customHeight="false" outlineLevel="0" collapsed="false">
      <c r="A55" s="27"/>
      <c r="B55" s="5"/>
      <c r="C55" s="18"/>
      <c r="D55" s="5"/>
      <c r="E55" s="35"/>
      <c r="F55" s="5"/>
      <c r="G55" s="5"/>
      <c r="H55" s="5"/>
      <c r="I55" s="14"/>
      <c r="J55" s="14"/>
      <c r="K55" s="28" t="str">
        <f aca="false">IF(A55="","",COUNTIF(Contratos!$A:$A,A55))</f>
        <v/>
      </c>
      <c r="L55" s="39" t="str">
        <f aca="false">IF(A55="","",SUMIFS(Contratos!$D:$D,Contratos!$A:$A,A55)+SUMIFS(Contratos!$N:$N,Contratos!$A:$A,A55))</f>
        <v/>
      </c>
      <c r="M55" s="39" t="str">
        <f aca="false">IF(A55="","",SUMIFS(Pagamentos!$C:$C,Pagamentos!$A:$A,A55,Pagamentos!$F:$F,"Empenho"))</f>
        <v/>
      </c>
      <c r="N55" s="39" t="str">
        <f aca="false">IF(A55="","",SUMIFS(Pagamentos!$C:$C,Pagamentos!$A:$A,A55,Pagamentos!$F:$F,"Pagamento"))</f>
        <v/>
      </c>
      <c r="O55" s="37" t="str">
        <f aca="false">IF(OR(A55="",E55="",L55="",L55=0),"",E55/L55)</f>
        <v/>
      </c>
      <c r="P55" s="28" t="str">
        <f aca="false">IF(A55="","",COUNTIFS(Sancoes!$A:$A,A55,Sancoes!$B:$B,"&lt;&gt;Não consta"))</f>
        <v/>
      </c>
      <c r="Q55" s="28" t="str">
        <f aca="false">IF(A55="","",COUNTIF(Socios!$A:$A,A55))</f>
        <v/>
      </c>
      <c r="R55" s="28" t="str">
        <f aca="false">IF(A55="","",COUNTIFS(Socios!$A:$A,A55,Socios!$K:$K,"SIM"))</f>
        <v/>
      </c>
      <c r="S55" s="27"/>
      <c r="T55" s="5"/>
    </row>
    <row r="56" customFormat="false" ht="15" hidden="false" customHeight="false" outlineLevel="0" collapsed="false">
      <c r="A56" s="27"/>
      <c r="B56" s="5"/>
      <c r="C56" s="18"/>
      <c r="D56" s="5"/>
      <c r="E56" s="35"/>
      <c r="F56" s="5"/>
      <c r="G56" s="5"/>
      <c r="H56" s="5"/>
      <c r="I56" s="14"/>
      <c r="J56" s="14"/>
      <c r="K56" s="28" t="str">
        <f aca="false">IF(A56="","",COUNTIF(Contratos!$A:$A,A56))</f>
        <v/>
      </c>
      <c r="L56" s="39" t="str">
        <f aca="false">IF(A56="","",SUMIFS(Contratos!$D:$D,Contratos!$A:$A,A56)+SUMIFS(Contratos!$N:$N,Contratos!$A:$A,A56))</f>
        <v/>
      </c>
      <c r="M56" s="39" t="str">
        <f aca="false">IF(A56="","",SUMIFS(Pagamentos!$C:$C,Pagamentos!$A:$A,A56,Pagamentos!$F:$F,"Empenho"))</f>
        <v/>
      </c>
      <c r="N56" s="39" t="str">
        <f aca="false">IF(A56="","",SUMIFS(Pagamentos!$C:$C,Pagamentos!$A:$A,A56,Pagamentos!$F:$F,"Pagamento"))</f>
        <v/>
      </c>
      <c r="O56" s="37" t="str">
        <f aca="false">IF(OR(A56="",E56="",L56="",L56=0),"",E56/L56)</f>
        <v/>
      </c>
      <c r="P56" s="28" t="str">
        <f aca="false">IF(A56="","",COUNTIFS(Sancoes!$A:$A,A56,Sancoes!$B:$B,"&lt;&gt;Não consta"))</f>
        <v/>
      </c>
      <c r="Q56" s="28" t="str">
        <f aca="false">IF(A56="","",COUNTIF(Socios!$A:$A,A56))</f>
        <v/>
      </c>
      <c r="R56" s="28" t="str">
        <f aca="false">IF(A56="","",COUNTIFS(Socios!$A:$A,A56,Socios!$K:$K,"SIM"))</f>
        <v/>
      </c>
      <c r="S56" s="27"/>
      <c r="T56" s="5"/>
    </row>
    <row r="57" customFormat="false" ht="15" hidden="false" customHeight="false" outlineLevel="0" collapsed="false">
      <c r="A57" s="27"/>
      <c r="B57" s="5"/>
      <c r="C57" s="18"/>
      <c r="D57" s="5"/>
      <c r="E57" s="35"/>
      <c r="F57" s="5"/>
      <c r="G57" s="5"/>
      <c r="H57" s="5"/>
      <c r="I57" s="14"/>
      <c r="J57" s="14"/>
      <c r="K57" s="28" t="str">
        <f aca="false">IF(A57="","",COUNTIF(Contratos!$A:$A,A57))</f>
        <v/>
      </c>
      <c r="L57" s="39" t="str">
        <f aca="false">IF(A57="","",SUMIFS(Contratos!$D:$D,Contratos!$A:$A,A57)+SUMIFS(Contratos!$N:$N,Contratos!$A:$A,A57))</f>
        <v/>
      </c>
      <c r="M57" s="39" t="str">
        <f aca="false">IF(A57="","",SUMIFS(Pagamentos!$C:$C,Pagamentos!$A:$A,A57,Pagamentos!$F:$F,"Empenho"))</f>
        <v/>
      </c>
      <c r="N57" s="39" t="str">
        <f aca="false">IF(A57="","",SUMIFS(Pagamentos!$C:$C,Pagamentos!$A:$A,A57,Pagamentos!$F:$F,"Pagamento"))</f>
        <v/>
      </c>
      <c r="O57" s="37" t="str">
        <f aca="false">IF(OR(A57="",E57="",L57="",L57=0),"",E57/L57)</f>
        <v/>
      </c>
      <c r="P57" s="28" t="str">
        <f aca="false">IF(A57="","",COUNTIFS(Sancoes!$A:$A,A57,Sancoes!$B:$B,"&lt;&gt;Não consta"))</f>
        <v/>
      </c>
      <c r="Q57" s="28" t="str">
        <f aca="false">IF(A57="","",COUNTIF(Socios!$A:$A,A57))</f>
        <v/>
      </c>
      <c r="R57" s="28" t="str">
        <f aca="false">IF(A57="","",COUNTIFS(Socios!$A:$A,A57,Socios!$K:$K,"SIM"))</f>
        <v/>
      </c>
      <c r="S57" s="27"/>
      <c r="T57" s="5"/>
    </row>
    <row r="58" customFormat="false" ht="15" hidden="false" customHeight="false" outlineLevel="0" collapsed="false">
      <c r="A58" s="27"/>
      <c r="B58" s="5"/>
      <c r="C58" s="18"/>
      <c r="D58" s="5"/>
      <c r="E58" s="35"/>
      <c r="F58" s="5"/>
      <c r="G58" s="5"/>
      <c r="H58" s="5"/>
      <c r="I58" s="14"/>
      <c r="J58" s="14"/>
      <c r="K58" s="28" t="str">
        <f aca="false">IF(A58="","",COUNTIF(Contratos!$A:$A,A58))</f>
        <v/>
      </c>
      <c r="L58" s="39" t="str">
        <f aca="false">IF(A58="","",SUMIFS(Contratos!$D:$D,Contratos!$A:$A,A58)+SUMIFS(Contratos!$N:$N,Contratos!$A:$A,A58))</f>
        <v/>
      </c>
      <c r="M58" s="39" t="str">
        <f aca="false">IF(A58="","",SUMIFS(Pagamentos!$C:$C,Pagamentos!$A:$A,A58,Pagamentos!$F:$F,"Empenho"))</f>
        <v/>
      </c>
      <c r="N58" s="39" t="str">
        <f aca="false">IF(A58="","",SUMIFS(Pagamentos!$C:$C,Pagamentos!$A:$A,A58,Pagamentos!$F:$F,"Pagamento"))</f>
        <v/>
      </c>
      <c r="O58" s="37" t="str">
        <f aca="false">IF(OR(A58="",E58="",L58="",L58=0),"",E58/L58)</f>
        <v/>
      </c>
      <c r="P58" s="28" t="str">
        <f aca="false">IF(A58="","",COUNTIFS(Sancoes!$A:$A,A58,Sancoes!$B:$B,"&lt;&gt;Não consta"))</f>
        <v/>
      </c>
      <c r="Q58" s="28" t="str">
        <f aca="false">IF(A58="","",COUNTIF(Socios!$A:$A,A58))</f>
        <v/>
      </c>
      <c r="R58" s="28" t="str">
        <f aca="false">IF(A58="","",COUNTIFS(Socios!$A:$A,A58,Socios!$K:$K,"SIM"))</f>
        <v/>
      </c>
      <c r="S58" s="27"/>
      <c r="T58" s="5"/>
    </row>
    <row r="59" customFormat="false" ht="15" hidden="false" customHeight="false" outlineLevel="0" collapsed="false">
      <c r="A59" s="27"/>
      <c r="B59" s="5"/>
      <c r="C59" s="18"/>
      <c r="D59" s="5"/>
      <c r="E59" s="35"/>
      <c r="F59" s="5"/>
      <c r="G59" s="5"/>
      <c r="H59" s="5"/>
      <c r="I59" s="14"/>
      <c r="J59" s="14"/>
      <c r="K59" s="28" t="str">
        <f aca="false">IF(A59="","",COUNTIF(Contratos!$A:$A,A59))</f>
        <v/>
      </c>
      <c r="L59" s="39" t="str">
        <f aca="false">IF(A59="","",SUMIFS(Contratos!$D:$D,Contratos!$A:$A,A59)+SUMIFS(Contratos!$N:$N,Contratos!$A:$A,A59))</f>
        <v/>
      </c>
      <c r="M59" s="39" t="str">
        <f aca="false">IF(A59="","",SUMIFS(Pagamentos!$C:$C,Pagamentos!$A:$A,A59,Pagamentos!$F:$F,"Empenho"))</f>
        <v/>
      </c>
      <c r="N59" s="39" t="str">
        <f aca="false">IF(A59="","",SUMIFS(Pagamentos!$C:$C,Pagamentos!$A:$A,A59,Pagamentos!$F:$F,"Pagamento"))</f>
        <v/>
      </c>
      <c r="O59" s="37" t="str">
        <f aca="false">IF(OR(A59="",E59="",L59="",L59=0),"",E59/L59)</f>
        <v/>
      </c>
      <c r="P59" s="28" t="str">
        <f aca="false">IF(A59="","",COUNTIFS(Sancoes!$A:$A,A59,Sancoes!$B:$B,"&lt;&gt;Não consta"))</f>
        <v/>
      </c>
      <c r="Q59" s="28" t="str">
        <f aca="false">IF(A59="","",COUNTIF(Socios!$A:$A,A59))</f>
        <v/>
      </c>
      <c r="R59" s="28" t="str">
        <f aca="false">IF(A59="","",COUNTIFS(Socios!$A:$A,A59,Socios!$K:$K,"SIM"))</f>
        <v/>
      </c>
      <c r="S59" s="27"/>
      <c r="T59" s="5"/>
    </row>
    <row r="60" customFormat="false" ht="15" hidden="false" customHeight="false" outlineLevel="0" collapsed="false">
      <c r="A60" s="27"/>
      <c r="B60" s="5"/>
      <c r="C60" s="18"/>
      <c r="D60" s="5"/>
      <c r="E60" s="35"/>
      <c r="F60" s="5"/>
      <c r="G60" s="5"/>
      <c r="H60" s="5"/>
      <c r="I60" s="14"/>
      <c r="J60" s="14"/>
      <c r="K60" s="28" t="str">
        <f aca="false">IF(A60="","",COUNTIF(Contratos!$A:$A,A60))</f>
        <v/>
      </c>
      <c r="L60" s="39" t="str">
        <f aca="false">IF(A60="","",SUMIFS(Contratos!$D:$D,Contratos!$A:$A,A60)+SUMIFS(Contratos!$N:$N,Contratos!$A:$A,A60))</f>
        <v/>
      </c>
      <c r="M60" s="39" t="str">
        <f aca="false">IF(A60="","",SUMIFS(Pagamentos!$C:$C,Pagamentos!$A:$A,A60,Pagamentos!$F:$F,"Empenho"))</f>
        <v/>
      </c>
      <c r="N60" s="39" t="str">
        <f aca="false">IF(A60="","",SUMIFS(Pagamentos!$C:$C,Pagamentos!$A:$A,A60,Pagamentos!$F:$F,"Pagamento"))</f>
        <v/>
      </c>
      <c r="O60" s="37" t="str">
        <f aca="false">IF(OR(A60="",E60="",L60="",L60=0),"",E60/L60)</f>
        <v/>
      </c>
      <c r="P60" s="28" t="str">
        <f aca="false">IF(A60="","",COUNTIFS(Sancoes!$A:$A,A60,Sancoes!$B:$B,"&lt;&gt;Não consta"))</f>
        <v/>
      </c>
      <c r="Q60" s="28" t="str">
        <f aca="false">IF(A60="","",COUNTIF(Socios!$A:$A,A60))</f>
        <v/>
      </c>
      <c r="R60" s="28" t="str">
        <f aca="false">IF(A60="","",COUNTIFS(Socios!$A:$A,A60,Socios!$K:$K,"SIM"))</f>
        <v/>
      </c>
      <c r="S60" s="27"/>
      <c r="T60" s="5"/>
    </row>
    <row r="61" customFormat="false" ht="15" hidden="false" customHeight="false" outlineLevel="0" collapsed="false">
      <c r="A61" s="27"/>
      <c r="B61" s="5"/>
      <c r="C61" s="18"/>
      <c r="D61" s="5"/>
      <c r="E61" s="35"/>
      <c r="F61" s="5"/>
      <c r="G61" s="5"/>
      <c r="H61" s="5"/>
      <c r="I61" s="14"/>
      <c r="J61" s="14"/>
      <c r="K61" s="28" t="str">
        <f aca="false">IF(A61="","",COUNTIF(Contratos!$A:$A,A61))</f>
        <v/>
      </c>
      <c r="L61" s="39" t="str">
        <f aca="false">IF(A61="","",SUMIFS(Contratos!$D:$D,Contratos!$A:$A,A61)+SUMIFS(Contratos!$N:$N,Contratos!$A:$A,A61))</f>
        <v/>
      </c>
      <c r="M61" s="39" t="str">
        <f aca="false">IF(A61="","",SUMIFS(Pagamentos!$C:$C,Pagamentos!$A:$A,A61,Pagamentos!$F:$F,"Empenho"))</f>
        <v/>
      </c>
      <c r="N61" s="39" t="str">
        <f aca="false">IF(A61="","",SUMIFS(Pagamentos!$C:$C,Pagamentos!$A:$A,A61,Pagamentos!$F:$F,"Pagamento"))</f>
        <v/>
      </c>
      <c r="O61" s="37" t="str">
        <f aca="false">IF(OR(A61="",E61="",L61="",L61=0),"",E61/L61)</f>
        <v/>
      </c>
      <c r="P61" s="28" t="str">
        <f aca="false">IF(A61="","",COUNTIFS(Sancoes!$A:$A,A61,Sancoes!$B:$B,"&lt;&gt;Não consta"))</f>
        <v/>
      </c>
      <c r="Q61" s="28" t="str">
        <f aca="false">IF(A61="","",COUNTIF(Socios!$A:$A,A61))</f>
        <v/>
      </c>
      <c r="R61" s="28" t="str">
        <f aca="false">IF(A61="","",COUNTIFS(Socios!$A:$A,A61,Socios!$K:$K,"SIM"))</f>
        <v/>
      </c>
      <c r="S61" s="27"/>
      <c r="T61" s="5"/>
    </row>
    <row r="62" customFormat="false" ht="15" hidden="false" customHeight="false" outlineLevel="0" collapsed="false">
      <c r="A62" s="27"/>
      <c r="B62" s="5"/>
      <c r="C62" s="18"/>
      <c r="D62" s="5"/>
      <c r="E62" s="35"/>
      <c r="F62" s="5"/>
      <c r="G62" s="5"/>
      <c r="H62" s="5"/>
      <c r="I62" s="14"/>
      <c r="J62" s="14"/>
      <c r="K62" s="28" t="str">
        <f aca="false">IF(A62="","",COUNTIF(Contratos!$A:$A,A62))</f>
        <v/>
      </c>
      <c r="L62" s="39" t="str">
        <f aca="false">IF(A62="","",SUMIFS(Contratos!$D:$D,Contratos!$A:$A,A62)+SUMIFS(Contratos!$N:$N,Contratos!$A:$A,A62))</f>
        <v/>
      </c>
      <c r="M62" s="39" t="str">
        <f aca="false">IF(A62="","",SUMIFS(Pagamentos!$C:$C,Pagamentos!$A:$A,A62,Pagamentos!$F:$F,"Empenho"))</f>
        <v/>
      </c>
      <c r="N62" s="39" t="str">
        <f aca="false">IF(A62="","",SUMIFS(Pagamentos!$C:$C,Pagamentos!$A:$A,A62,Pagamentos!$F:$F,"Pagamento"))</f>
        <v/>
      </c>
      <c r="O62" s="37" t="str">
        <f aca="false">IF(OR(A62="",E62="",L62="",L62=0),"",E62/L62)</f>
        <v/>
      </c>
      <c r="P62" s="28" t="str">
        <f aca="false">IF(A62="","",COUNTIFS(Sancoes!$A:$A,A62,Sancoes!$B:$B,"&lt;&gt;Não consta"))</f>
        <v/>
      </c>
      <c r="Q62" s="28" t="str">
        <f aca="false">IF(A62="","",COUNTIF(Socios!$A:$A,A62))</f>
        <v/>
      </c>
      <c r="R62" s="28" t="str">
        <f aca="false">IF(A62="","",COUNTIFS(Socios!$A:$A,A62,Socios!$K:$K,"SIM"))</f>
        <v/>
      </c>
      <c r="S62" s="27"/>
      <c r="T62" s="5"/>
    </row>
    <row r="63" customFormat="false" ht="15" hidden="false" customHeight="false" outlineLevel="0" collapsed="false">
      <c r="A63" s="27"/>
      <c r="B63" s="5"/>
      <c r="C63" s="18"/>
      <c r="D63" s="5"/>
      <c r="E63" s="35"/>
      <c r="F63" s="5"/>
      <c r="G63" s="5"/>
      <c r="H63" s="5"/>
      <c r="I63" s="14"/>
      <c r="J63" s="14"/>
      <c r="K63" s="28" t="str">
        <f aca="false">IF(A63="","",COUNTIF(Contratos!$A:$A,A63))</f>
        <v/>
      </c>
      <c r="L63" s="39" t="str">
        <f aca="false">IF(A63="","",SUMIFS(Contratos!$D:$D,Contratos!$A:$A,A63)+SUMIFS(Contratos!$N:$N,Contratos!$A:$A,A63))</f>
        <v/>
      </c>
      <c r="M63" s="39" t="str">
        <f aca="false">IF(A63="","",SUMIFS(Pagamentos!$C:$C,Pagamentos!$A:$A,A63,Pagamentos!$F:$F,"Empenho"))</f>
        <v/>
      </c>
      <c r="N63" s="39" t="str">
        <f aca="false">IF(A63="","",SUMIFS(Pagamentos!$C:$C,Pagamentos!$A:$A,A63,Pagamentos!$F:$F,"Pagamento"))</f>
        <v/>
      </c>
      <c r="O63" s="37" t="str">
        <f aca="false">IF(OR(A63="",E63="",L63="",L63=0),"",E63/L63)</f>
        <v/>
      </c>
      <c r="P63" s="28" t="str">
        <f aca="false">IF(A63="","",COUNTIFS(Sancoes!$A:$A,A63,Sancoes!$B:$B,"&lt;&gt;Não consta"))</f>
        <v/>
      </c>
      <c r="Q63" s="28" t="str">
        <f aca="false">IF(A63="","",COUNTIF(Socios!$A:$A,A63))</f>
        <v/>
      </c>
      <c r="R63" s="28" t="str">
        <f aca="false">IF(A63="","",COUNTIFS(Socios!$A:$A,A63,Socios!$K:$K,"SIM"))</f>
        <v/>
      </c>
      <c r="S63" s="27"/>
      <c r="T63" s="5"/>
    </row>
    <row r="64" customFormat="false" ht="15" hidden="false" customHeight="false" outlineLevel="0" collapsed="false">
      <c r="A64" s="27"/>
      <c r="B64" s="5"/>
      <c r="C64" s="18"/>
      <c r="D64" s="5"/>
      <c r="E64" s="35"/>
      <c r="F64" s="5"/>
      <c r="G64" s="5"/>
      <c r="H64" s="5"/>
      <c r="I64" s="14"/>
      <c r="J64" s="14"/>
      <c r="K64" s="28" t="str">
        <f aca="false">IF(A64="","",COUNTIF(Contratos!$A:$A,A64))</f>
        <v/>
      </c>
      <c r="L64" s="39" t="str">
        <f aca="false">IF(A64="","",SUMIFS(Contratos!$D:$D,Contratos!$A:$A,A64)+SUMIFS(Contratos!$N:$N,Contratos!$A:$A,A64))</f>
        <v/>
      </c>
      <c r="M64" s="39" t="str">
        <f aca="false">IF(A64="","",SUMIFS(Pagamentos!$C:$C,Pagamentos!$A:$A,A64,Pagamentos!$F:$F,"Empenho"))</f>
        <v/>
      </c>
      <c r="N64" s="39" t="str">
        <f aca="false">IF(A64="","",SUMIFS(Pagamentos!$C:$C,Pagamentos!$A:$A,A64,Pagamentos!$F:$F,"Pagamento"))</f>
        <v/>
      </c>
      <c r="O64" s="37" t="str">
        <f aca="false">IF(OR(A64="",E64="",L64="",L64=0),"",E64/L64)</f>
        <v/>
      </c>
      <c r="P64" s="28" t="str">
        <f aca="false">IF(A64="","",COUNTIFS(Sancoes!$A:$A,A64,Sancoes!$B:$B,"&lt;&gt;Não consta"))</f>
        <v/>
      </c>
      <c r="Q64" s="28" t="str">
        <f aca="false">IF(A64="","",COUNTIF(Socios!$A:$A,A64))</f>
        <v/>
      </c>
      <c r="R64" s="28" t="str">
        <f aca="false">IF(A64="","",COUNTIFS(Socios!$A:$A,A64,Socios!$K:$K,"SIM"))</f>
        <v/>
      </c>
      <c r="S64" s="27"/>
      <c r="T64" s="5"/>
    </row>
    <row r="65" customFormat="false" ht="15" hidden="false" customHeight="false" outlineLevel="0" collapsed="false">
      <c r="A65" s="27"/>
      <c r="B65" s="5"/>
      <c r="C65" s="18"/>
      <c r="D65" s="5"/>
      <c r="E65" s="35"/>
      <c r="F65" s="5"/>
      <c r="G65" s="5"/>
      <c r="H65" s="5"/>
      <c r="I65" s="14"/>
      <c r="J65" s="14"/>
      <c r="K65" s="28" t="str">
        <f aca="false">IF(A65="","",COUNTIF(Contratos!$A:$A,A65))</f>
        <v/>
      </c>
      <c r="L65" s="39" t="str">
        <f aca="false">IF(A65="","",SUMIFS(Contratos!$D:$D,Contratos!$A:$A,A65)+SUMIFS(Contratos!$N:$N,Contratos!$A:$A,A65))</f>
        <v/>
      </c>
      <c r="M65" s="39" t="str">
        <f aca="false">IF(A65="","",SUMIFS(Pagamentos!$C:$C,Pagamentos!$A:$A,A65,Pagamentos!$F:$F,"Empenho"))</f>
        <v/>
      </c>
      <c r="N65" s="39" t="str">
        <f aca="false">IF(A65="","",SUMIFS(Pagamentos!$C:$C,Pagamentos!$A:$A,A65,Pagamentos!$F:$F,"Pagamento"))</f>
        <v/>
      </c>
      <c r="O65" s="37" t="str">
        <f aca="false">IF(OR(A65="",E65="",L65="",L65=0),"",E65/L65)</f>
        <v/>
      </c>
      <c r="P65" s="28" t="str">
        <f aca="false">IF(A65="","",COUNTIFS(Sancoes!$A:$A,A65,Sancoes!$B:$B,"&lt;&gt;Não consta"))</f>
        <v/>
      </c>
      <c r="Q65" s="28" t="str">
        <f aca="false">IF(A65="","",COUNTIF(Socios!$A:$A,A65))</f>
        <v/>
      </c>
      <c r="R65" s="28" t="str">
        <f aca="false">IF(A65="","",COUNTIFS(Socios!$A:$A,A65,Socios!$K:$K,"SIM"))</f>
        <v/>
      </c>
      <c r="S65" s="27"/>
      <c r="T65" s="5"/>
    </row>
    <row r="66" customFormat="false" ht="15" hidden="false" customHeight="false" outlineLevel="0" collapsed="false">
      <c r="A66" s="27"/>
      <c r="B66" s="5"/>
      <c r="C66" s="18"/>
      <c r="D66" s="5"/>
      <c r="E66" s="35"/>
      <c r="F66" s="5"/>
      <c r="G66" s="5"/>
      <c r="H66" s="5"/>
      <c r="I66" s="14"/>
      <c r="J66" s="14"/>
      <c r="K66" s="28" t="str">
        <f aca="false">IF(A66="","",COUNTIF(Contratos!$A:$A,A66))</f>
        <v/>
      </c>
      <c r="L66" s="39" t="str">
        <f aca="false">IF(A66="","",SUMIFS(Contratos!$D:$D,Contratos!$A:$A,A66)+SUMIFS(Contratos!$N:$N,Contratos!$A:$A,A66))</f>
        <v/>
      </c>
      <c r="M66" s="39" t="str">
        <f aca="false">IF(A66="","",SUMIFS(Pagamentos!$C:$C,Pagamentos!$A:$A,A66,Pagamentos!$F:$F,"Empenho"))</f>
        <v/>
      </c>
      <c r="N66" s="39" t="str">
        <f aca="false">IF(A66="","",SUMIFS(Pagamentos!$C:$C,Pagamentos!$A:$A,A66,Pagamentos!$F:$F,"Pagamento"))</f>
        <v/>
      </c>
      <c r="O66" s="37" t="str">
        <f aca="false">IF(OR(A66="",E66="",L66="",L66=0),"",E66/L66)</f>
        <v/>
      </c>
      <c r="P66" s="28" t="str">
        <f aca="false">IF(A66="","",COUNTIFS(Sancoes!$A:$A,A66,Sancoes!$B:$B,"&lt;&gt;Não consta"))</f>
        <v/>
      </c>
      <c r="Q66" s="28" t="str">
        <f aca="false">IF(A66="","",COUNTIF(Socios!$A:$A,A66))</f>
        <v/>
      </c>
      <c r="R66" s="28" t="str">
        <f aca="false">IF(A66="","",COUNTIFS(Socios!$A:$A,A66,Socios!$K:$K,"SIM"))</f>
        <v/>
      </c>
      <c r="S66" s="27"/>
      <c r="T66" s="5"/>
    </row>
    <row r="67" customFormat="false" ht="15" hidden="false" customHeight="false" outlineLevel="0" collapsed="false">
      <c r="A67" s="27"/>
      <c r="B67" s="5"/>
      <c r="C67" s="18"/>
      <c r="D67" s="5"/>
      <c r="E67" s="35"/>
      <c r="F67" s="5"/>
      <c r="G67" s="5"/>
      <c r="H67" s="5"/>
      <c r="I67" s="14"/>
      <c r="J67" s="14"/>
      <c r="K67" s="28" t="str">
        <f aca="false">IF(A67="","",COUNTIF(Contratos!$A:$A,A67))</f>
        <v/>
      </c>
      <c r="L67" s="39" t="str">
        <f aca="false">IF(A67="","",SUMIFS(Contratos!$D:$D,Contratos!$A:$A,A67)+SUMIFS(Contratos!$N:$N,Contratos!$A:$A,A67))</f>
        <v/>
      </c>
      <c r="M67" s="39" t="str">
        <f aca="false">IF(A67="","",SUMIFS(Pagamentos!$C:$C,Pagamentos!$A:$A,A67,Pagamentos!$F:$F,"Empenho"))</f>
        <v/>
      </c>
      <c r="N67" s="39" t="str">
        <f aca="false">IF(A67="","",SUMIFS(Pagamentos!$C:$C,Pagamentos!$A:$A,A67,Pagamentos!$F:$F,"Pagamento"))</f>
        <v/>
      </c>
      <c r="O67" s="37" t="str">
        <f aca="false">IF(OR(A67="",E67="",L67="",L67=0),"",E67/L67)</f>
        <v/>
      </c>
      <c r="P67" s="28" t="str">
        <f aca="false">IF(A67="","",COUNTIFS(Sancoes!$A:$A,A67,Sancoes!$B:$B,"&lt;&gt;Não consta"))</f>
        <v/>
      </c>
      <c r="Q67" s="28" t="str">
        <f aca="false">IF(A67="","",COUNTIF(Socios!$A:$A,A67))</f>
        <v/>
      </c>
      <c r="R67" s="28" t="str">
        <f aca="false">IF(A67="","",COUNTIFS(Socios!$A:$A,A67,Socios!$K:$K,"SIM"))</f>
        <v/>
      </c>
      <c r="S67" s="27"/>
      <c r="T67" s="5"/>
    </row>
    <row r="68" customFormat="false" ht="15" hidden="false" customHeight="false" outlineLevel="0" collapsed="false">
      <c r="A68" s="27"/>
      <c r="B68" s="5"/>
      <c r="C68" s="18"/>
      <c r="D68" s="5"/>
      <c r="E68" s="35"/>
      <c r="F68" s="5"/>
      <c r="G68" s="5"/>
      <c r="H68" s="5"/>
      <c r="I68" s="14"/>
      <c r="J68" s="14"/>
      <c r="K68" s="28" t="str">
        <f aca="false">IF(A68="","",COUNTIF(Contratos!$A:$A,A68))</f>
        <v/>
      </c>
      <c r="L68" s="39" t="str">
        <f aca="false">IF(A68="","",SUMIFS(Contratos!$D:$D,Contratos!$A:$A,A68)+SUMIFS(Contratos!$N:$N,Contratos!$A:$A,A68))</f>
        <v/>
      </c>
      <c r="M68" s="39" t="str">
        <f aca="false">IF(A68="","",SUMIFS(Pagamentos!$C:$C,Pagamentos!$A:$A,A68,Pagamentos!$F:$F,"Empenho"))</f>
        <v/>
      </c>
      <c r="N68" s="39" t="str">
        <f aca="false">IF(A68="","",SUMIFS(Pagamentos!$C:$C,Pagamentos!$A:$A,A68,Pagamentos!$F:$F,"Pagamento"))</f>
        <v/>
      </c>
      <c r="O68" s="37" t="str">
        <f aca="false">IF(OR(A68="",E68="",L68="",L68=0),"",E68/L68)</f>
        <v/>
      </c>
      <c r="P68" s="28" t="str">
        <f aca="false">IF(A68="","",COUNTIFS(Sancoes!$A:$A,A68,Sancoes!$B:$B,"&lt;&gt;Não consta"))</f>
        <v/>
      </c>
      <c r="Q68" s="28" t="str">
        <f aca="false">IF(A68="","",COUNTIF(Socios!$A:$A,A68))</f>
        <v/>
      </c>
      <c r="R68" s="28" t="str">
        <f aca="false">IF(A68="","",COUNTIFS(Socios!$A:$A,A68,Socios!$K:$K,"SIM"))</f>
        <v/>
      </c>
      <c r="S68" s="27"/>
      <c r="T68" s="5"/>
    </row>
    <row r="69" customFormat="false" ht="15" hidden="false" customHeight="false" outlineLevel="0" collapsed="false">
      <c r="A69" s="27"/>
      <c r="B69" s="5"/>
      <c r="C69" s="18"/>
      <c r="D69" s="5"/>
      <c r="E69" s="35"/>
      <c r="F69" s="5"/>
      <c r="G69" s="5"/>
      <c r="H69" s="5"/>
      <c r="I69" s="14"/>
      <c r="J69" s="14"/>
      <c r="K69" s="28" t="str">
        <f aca="false">IF(A69="","",COUNTIF(Contratos!$A:$A,A69))</f>
        <v/>
      </c>
      <c r="L69" s="39" t="str">
        <f aca="false">IF(A69="","",SUMIFS(Contratos!$D:$D,Contratos!$A:$A,A69)+SUMIFS(Contratos!$N:$N,Contratos!$A:$A,A69))</f>
        <v/>
      </c>
      <c r="M69" s="39" t="str">
        <f aca="false">IF(A69="","",SUMIFS(Pagamentos!$C:$C,Pagamentos!$A:$A,A69,Pagamentos!$F:$F,"Empenho"))</f>
        <v/>
      </c>
      <c r="N69" s="39" t="str">
        <f aca="false">IF(A69="","",SUMIFS(Pagamentos!$C:$C,Pagamentos!$A:$A,A69,Pagamentos!$F:$F,"Pagamento"))</f>
        <v/>
      </c>
      <c r="O69" s="37" t="str">
        <f aca="false">IF(OR(A69="",E69="",L69="",L69=0),"",E69/L69)</f>
        <v/>
      </c>
      <c r="P69" s="28" t="str">
        <f aca="false">IF(A69="","",COUNTIFS(Sancoes!$A:$A,A69,Sancoes!$B:$B,"&lt;&gt;Não consta"))</f>
        <v/>
      </c>
      <c r="Q69" s="28" t="str">
        <f aca="false">IF(A69="","",COUNTIF(Socios!$A:$A,A69))</f>
        <v/>
      </c>
      <c r="R69" s="28" t="str">
        <f aca="false">IF(A69="","",COUNTIFS(Socios!$A:$A,A69,Socios!$K:$K,"SIM"))</f>
        <v/>
      </c>
      <c r="S69" s="27"/>
      <c r="T69" s="5"/>
    </row>
    <row r="70" customFormat="false" ht="15" hidden="false" customHeight="false" outlineLevel="0" collapsed="false">
      <c r="A70" s="27"/>
      <c r="B70" s="5"/>
      <c r="C70" s="18"/>
      <c r="D70" s="5"/>
      <c r="E70" s="35"/>
      <c r="F70" s="5"/>
      <c r="G70" s="5"/>
      <c r="H70" s="5"/>
      <c r="I70" s="14"/>
      <c r="J70" s="14"/>
      <c r="K70" s="28" t="str">
        <f aca="false">IF(A70="","",COUNTIF(Contratos!$A:$A,A70))</f>
        <v/>
      </c>
      <c r="L70" s="39" t="str">
        <f aca="false">IF(A70="","",SUMIFS(Contratos!$D:$D,Contratos!$A:$A,A70)+SUMIFS(Contratos!$N:$N,Contratos!$A:$A,A70))</f>
        <v/>
      </c>
      <c r="M70" s="39" t="str">
        <f aca="false">IF(A70="","",SUMIFS(Pagamentos!$C:$C,Pagamentos!$A:$A,A70,Pagamentos!$F:$F,"Empenho"))</f>
        <v/>
      </c>
      <c r="N70" s="39" t="str">
        <f aca="false">IF(A70="","",SUMIFS(Pagamentos!$C:$C,Pagamentos!$A:$A,A70,Pagamentos!$F:$F,"Pagamento"))</f>
        <v/>
      </c>
      <c r="O70" s="37" t="str">
        <f aca="false">IF(OR(A70="",E70="",L70="",L70=0),"",E70/L70)</f>
        <v/>
      </c>
      <c r="P70" s="28" t="str">
        <f aca="false">IF(A70="","",COUNTIFS(Sancoes!$A:$A,A70,Sancoes!$B:$B,"&lt;&gt;Não consta"))</f>
        <v/>
      </c>
      <c r="Q70" s="28" t="str">
        <f aca="false">IF(A70="","",COUNTIF(Socios!$A:$A,A70))</f>
        <v/>
      </c>
      <c r="R70" s="28" t="str">
        <f aca="false">IF(A70="","",COUNTIFS(Socios!$A:$A,A70,Socios!$K:$K,"SIM"))</f>
        <v/>
      </c>
      <c r="S70" s="27"/>
      <c r="T70" s="5"/>
    </row>
    <row r="71" customFormat="false" ht="15" hidden="false" customHeight="false" outlineLevel="0" collapsed="false">
      <c r="A71" s="27"/>
      <c r="B71" s="5"/>
      <c r="C71" s="18"/>
      <c r="D71" s="5"/>
      <c r="E71" s="35"/>
      <c r="F71" s="5"/>
      <c r="G71" s="5"/>
      <c r="H71" s="5"/>
      <c r="I71" s="14"/>
      <c r="J71" s="14"/>
      <c r="K71" s="28" t="str">
        <f aca="false">IF(A71="","",COUNTIF(Contratos!$A:$A,A71))</f>
        <v/>
      </c>
      <c r="L71" s="39" t="str">
        <f aca="false">IF(A71="","",SUMIFS(Contratos!$D:$D,Contratos!$A:$A,A71)+SUMIFS(Contratos!$N:$N,Contratos!$A:$A,A71))</f>
        <v/>
      </c>
      <c r="M71" s="39" t="str">
        <f aca="false">IF(A71="","",SUMIFS(Pagamentos!$C:$C,Pagamentos!$A:$A,A71,Pagamentos!$F:$F,"Empenho"))</f>
        <v/>
      </c>
      <c r="N71" s="39" t="str">
        <f aca="false">IF(A71="","",SUMIFS(Pagamentos!$C:$C,Pagamentos!$A:$A,A71,Pagamentos!$F:$F,"Pagamento"))</f>
        <v/>
      </c>
      <c r="O71" s="37" t="str">
        <f aca="false">IF(OR(A71="",E71="",L71="",L71=0),"",E71/L71)</f>
        <v/>
      </c>
      <c r="P71" s="28" t="str">
        <f aca="false">IF(A71="","",COUNTIFS(Sancoes!$A:$A,A71,Sancoes!$B:$B,"&lt;&gt;Não consta"))</f>
        <v/>
      </c>
      <c r="Q71" s="28" t="str">
        <f aca="false">IF(A71="","",COUNTIF(Socios!$A:$A,A71))</f>
        <v/>
      </c>
      <c r="R71" s="28" t="str">
        <f aca="false">IF(A71="","",COUNTIFS(Socios!$A:$A,A71,Socios!$K:$K,"SIM"))</f>
        <v/>
      </c>
      <c r="S71" s="27"/>
      <c r="T71" s="5"/>
    </row>
    <row r="72" customFormat="false" ht="15" hidden="false" customHeight="false" outlineLevel="0" collapsed="false">
      <c r="A72" s="27"/>
      <c r="B72" s="5"/>
      <c r="C72" s="18"/>
      <c r="D72" s="5"/>
      <c r="E72" s="35"/>
      <c r="F72" s="5"/>
      <c r="G72" s="5"/>
      <c r="H72" s="5"/>
      <c r="I72" s="14"/>
      <c r="J72" s="14"/>
      <c r="K72" s="28" t="str">
        <f aca="false">IF(A72="","",COUNTIF(Contratos!$A:$A,A72))</f>
        <v/>
      </c>
      <c r="L72" s="39" t="str">
        <f aca="false">IF(A72="","",SUMIFS(Contratos!$D:$D,Contratos!$A:$A,A72)+SUMIFS(Contratos!$N:$N,Contratos!$A:$A,A72))</f>
        <v/>
      </c>
      <c r="M72" s="39" t="str">
        <f aca="false">IF(A72="","",SUMIFS(Pagamentos!$C:$C,Pagamentos!$A:$A,A72,Pagamentos!$F:$F,"Empenho"))</f>
        <v/>
      </c>
      <c r="N72" s="39" t="str">
        <f aca="false">IF(A72="","",SUMIFS(Pagamentos!$C:$C,Pagamentos!$A:$A,A72,Pagamentos!$F:$F,"Pagamento"))</f>
        <v/>
      </c>
      <c r="O72" s="37" t="str">
        <f aca="false">IF(OR(A72="",E72="",L72="",L72=0),"",E72/L72)</f>
        <v/>
      </c>
      <c r="P72" s="28" t="str">
        <f aca="false">IF(A72="","",COUNTIFS(Sancoes!$A:$A,A72,Sancoes!$B:$B,"&lt;&gt;Não consta"))</f>
        <v/>
      </c>
      <c r="Q72" s="28" t="str">
        <f aca="false">IF(A72="","",COUNTIF(Socios!$A:$A,A72))</f>
        <v/>
      </c>
      <c r="R72" s="28" t="str">
        <f aca="false">IF(A72="","",COUNTIFS(Socios!$A:$A,A72,Socios!$K:$K,"SIM"))</f>
        <v/>
      </c>
      <c r="S72" s="27"/>
      <c r="T72" s="5"/>
    </row>
    <row r="73" customFormat="false" ht="15" hidden="false" customHeight="false" outlineLevel="0" collapsed="false">
      <c r="A73" s="27"/>
      <c r="B73" s="5"/>
      <c r="C73" s="18"/>
      <c r="D73" s="5"/>
      <c r="E73" s="35"/>
      <c r="F73" s="5"/>
      <c r="G73" s="5"/>
      <c r="H73" s="5"/>
      <c r="I73" s="14"/>
      <c r="J73" s="14"/>
      <c r="K73" s="28" t="str">
        <f aca="false">IF(A73="","",COUNTIF(Contratos!$A:$A,A73))</f>
        <v/>
      </c>
      <c r="L73" s="39" t="str">
        <f aca="false">IF(A73="","",SUMIFS(Contratos!$D:$D,Contratos!$A:$A,A73)+SUMIFS(Contratos!$N:$N,Contratos!$A:$A,A73))</f>
        <v/>
      </c>
      <c r="M73" s="39" t="str">
        <f aca="false">IF(A73="","",SUMIFS(Pagamentos!$C:$C,Pagamentos!$A:$A,A73,Pagamentos!$F:$F,"Empenho"))</f>
        <v/>
      </c>
      <c r="N73" s="39" t="str">
        <f aca="false">IF(A73="","",SUMIFS(Pagamentos!$C:$C,Pagamentos!$A:$A,A73,Pagamentos!$F:$F,"Pagamento"))</f>
        <v/>
      </c>
      <c r="O73" s="37" t="str">
        <f aca="false">IF(OR(A73="",E73="",L73="",L73=0),"",E73/L73)</f>
        <v/>
      </c>
      <c r="P73" s="28" t="str">
        <f aca="false">IF(A73="","",COUNTIFS(Sancoes!$A:$A,A73,Sancoes!$B:$B,"&lt;&gt;Não consta"))</f>
        <v/>
      </c>
      <c r="Q73" s="28" t="str">
        <f aca="false">IF(A73="","",COUNTIF(Socios!$A:$A,A73))</f>
        <v/>
      </c>
      <c r="R73" s="28" t="str">
        <f aca="false">IF(A73="","",COUNTIFS(Socios!$A:$A,A73,Socios!$K:$K,"SIM"))</f>
        <v/>
      </c>
      <c r="S73" s="27"/>
      <c r="T73" s="5"/>
    </row>
    <row r="74" customFormat="false" ht="15" hidden="false" customHeight="false" outlineLevel="0" collapsed="false">
      <c r="A74" s="27"/>
      <c r="B74" s="5"/>
      <c r="C74" s="18"/>
      <c r="D74" s="5"/>
      <c r="E74" s="35"/>
      <c r="F74" s="5"/>
      <c r="G74" s="5"/>
      <c r="H74" s="5"/>
      <c r="I74" s="14"/>
      <c r="J74" s="14"/>
      <c r="K74" s="28" t="str">
        <f aca="false">IF(A74="","",COUNTIF(Contratos!$A:$A,A74))</f>
        <v/>
      </c>
      <c r="L74" s="39" t="str">
        <f aca="false">IF(A74="","",SUMIFS(Contratos!$D:$D,Contratos!$A:$A,A74)+SUMIFS(Contratos!$N:$N,Contratos!$A:$A,A74))</f>
        <v/>
      </c>
      <c r="M74" s="39" t="str">
        <f aca="false">IF(A74="","",SUMIFS(Pagamentos!$C:$C,Pagamentos!$A:$A,A74,Pagamentos!$F:$F,"Empenho"))</f>
        <v/>
      </c>
      <c r="N74" s="39" t="str">
        <f aca="false">IF(A74="","",SUMIFS(Pagamentos!$C:$C,Pagamentos!$A:$A,A74,Pagamentos!$F:$F,"Pagamento"))</f>
        <v/>
      </c>
      <c r="O74" s="37" t="str">
        <f aca="false">IF(OR(A74="",E74="",L74="",L74=0),"",E74/L74)</f>
        <v/>
      </c>
      <c r="P74" s="28" t="str">
        <f aca="false">IF(A74="","",COUNTIFS(Sancoes!$A:$A,A74,Sancoes!$B:$B,"&lt;&gt;Não consta"))</f>
        <v/>
      </c>
      <c r="Q74" s="28" t="str">
        <f aca="false">IF(A74="","",COUNTIF(Socios!$A:$A,A74))</f>
        <v/>
      </c>
      <c r="R74" s="28" t="str">
        <f aca="false">IF(A74="","",COUNTIFS(Socios!$A:$A,A74,Socios!$K:$K,"SIM"))</f>
        <v/>
      </c>
      <c r="S74" s="27"/>
      <c r="T74" s="5"/>
    </row>
    <row r="75" customFormat="false" ht="15" hidden="false" customHeight="false" outlineLevel="0" collapsed="false">
      <c r="A75" s="27"/>
      <c r="B75" s="5"/>
      <c r="C75" s="18"/>
      <c r="D75" s="5"/>
      <c r="E75" s="35"/>
      <c r="F75" s="5"/>
      <c r="G75" s="5"/>
      <c r="H75" s="5"/>
      <c r="I75" s="14"/>
      <c r="J75" s="14"/>
      <c r="K75" s="28" t="str">
        <f aca="false">IF(A75="","",COUNTIF(Contratos!$A:$A,A75))</f>
        <v/>
      </c>
      <c r="L75" s="39" t="str">
        <f aca="false">IF(A75="","",SUMIFS(Contratos!$D:$D,Contratos!$A:$A,A75)+SUMIFS(Contratos!$N:$N,Contratos!$A:$A,A75))</f>
        <v/>
      </c>
      <c r="M75" s="39" t="str">
        <f aca="false">IF(A75="","",SUMIFS(Pagamentos!$C:$C,Pagamentos!$A:$A,A75,Pagamentos!$F:$F,"Empenho"))</f>
        <v/>
      </c>
      <c r="N75" s="39" t="str">
        <f aca="false">IF(A75="","",SUMIFS(Pagamentos!$C:$C,Pagamentos!$A:$A,A75,Pagamentos!$F:$F,"Pagamento"))</f>
        <v/>
      </c>
      <c r="O75" s="37" t="str">
        <f aca="false">IF(OR(A75="",E75="",L75="",L75=0),"",E75/L75)</f>
        <v/>
      </c>
      <c r="P75" s="28" t="str">
        <f aca="false">IF(A75="","",COUNTIFS(Sancoes!$A:$A,A75,Sancoes!$B:$B,"&lt;&gt;Não consta"))</f>
        <v/>
      </c>
      <c r="Q75" s="28" t="str">
        <f aca="false">IF(A75="","",COUNTIF(Socios!$A:$A,A75))</f>
        <v/>
      </c>
      <c r="R75" s="28" t="str">
        <f aca="false">IF(A75="","",COUNTIFS(Socios!$A:$A,A75,Socios!$K:$K,"SIM"))</f>
        <v/>
      </c>
      <c r="S75" s="27"/>
      <c r="T75" s="5"/>
    </row>
    <row r="76" customFormat="false" ht="15" hidden="false" customHeight="false" outlineLevel="0" collapsed="false">
      <c r="A76" s="27"/>
      <c r="B76" s="5"/>
      <c r="C76" s="18"/>
      <c r="D76" s="5"/>
      <c r="E76" s="35"/>
      <c r="F76" s="5"/>
      <c r="G76" s="5"/>
      <c r="H76" s="5"/>
      <c r="I76" s="14"/>
      <c r="J76" s="14"/>
      <c r="K76" s="28" t="str">
        <f aca="false">IF(A76="","",COUNTIF(Contratos!$A:$A,A76))</f>
        <v/>
      </c>
      <c r="L76" s="39" t="str">
        <f aca="false">IF(A76="","",SUMIFS(Contratos!$D:$D,Contratos!$A:$A,A76)+SUMIFS(Contratos!$N:$N,Contratos!$A:$A,A76))</f>
        <v/>
      </c>
      <c r="M76" s="39" t="str">
        <f aca="false">IF(A76="","",SUMIFS(Pagamentos!$C:$C,Pagamentos!$A:$A,A76,Pagamentos!$F:$F,"Empenho"))</f>
        <v/>
      </c>
      <c r="N76" s="39" t="str">
        <f aca="false">IF(A76="","",SUMIFS(Pagamentos!$C:$C,Pagamentos!$A:$A,A76,Pagamentos!$F:$F,"Pagamento"))</f>
        <v/>
      </c>
      <c r="O76" s="37" t="str">
        <f aca="false">IF(OR(A76="",E76="",L76="",L76=0),"",E76/L76)</f>
        <v/>
      </c>
      <c r="P76" s="28" t="str">
        <f aca="false">IF(A76="","",COUNTIFS(Sancoes!$A:$A,A76,Sancoes!$B:$B,"&lt;&gt;Não consta"))</f>
        <v/>
      </c>
      <c r="Q76" s="28" t="str">
        <f aca="false">IF(A76="","",COUNTIF(Socios!$A:$A,A76))</f>
        <v/>
      </c>
      <c r="R76" s="28" t="str">
        <f aca="false">IF(A76="","",COUNTIFS(Socios!$A:$A,A76,Socios!$K:$K,"SIM"))</f>
        <v/>
      </c>
      <c r="S76" s="27"/>
      <c r="T76" s="5"/>
    </row>
    <row r="77" customFormat="false" ht="15" hidden="false" customHeight="false" outlineLevel="0" collapsed="false">
      <c r="A77" s="27"/>
      <c r="B77" s="5"/>
      <c r="C77" s="18"/>
      <c r="D77" s="5"/>
      <c r="E77" s="35"/>
      <c r="F77" s="5"/>
      <c r="G77" s="5"/>
      <c r="H77" s="5"/>
      <c r="I77" s="14"/>
      <c r="J77" s="14"/>
      <c r="K77" s="28" t="str">
        <f aca="false">IF(A77="","",COUNTIF(Contratos!$A:$A,A77))</f>
        <v/>
      </c>
      <c r="L77" s="39" t="str">
        <f aca="false">IF(A77="","",SUMIFS(Contratos!$D:$D,Contratos!$A:$A,A77)+SUMIFS(Contratos!$N:$N,Contratos!$A:$A,A77))</f>
        <v/>
      </c>
      <c r="M77" s="39" t="str">
        <f aca="false">IF(A77="","",SUMIFS(Pagamentos!$C:$C,Pagamentos!$A:$A,A77,Pagamentos!$F:$F,"Empenho"))</f>
        <v/>
      </c>
      <c r="N77" s="39" t="str">
        <f aca="false">IF(A77="","",SUMIFS(Pagamentos!$C:$C,Pagamentos!$A:$A,A77,Pagamentos!$F:$F,"Pagamento"))</f>
        <v/>
      </c>
      <c r="O77" s="37" t="str">
        <f aca="false">IF(OR(A77="",E77="",L77="",L77=0),"",E77/L77)</f>
        <v/>
      </c>
      <c r="P77" s="28" t="str">
        <f aca="false">IF(A77="","",COUNTIFS(Sancoes!$A:$A,A77,Sancoes!$B:$B,"&lt;&gt;Não consta"))</f>
        <v/>
      </c>
      <c r="Q77" s="28" t="str">
        <f aca="false">IF(A77="","",COUNTIF(Socios!$A:$A,A77))</f>
        <v/>
      </c>
      <c r="R77" s="28" t="str">
        <f aca="false">IF(A77="","",COUNTIFS(Socios!$A:$A,A77,Socios!$K:$K,"SIM"))</f>
        <v/>
      </c>
      <c r="S77" s="27"/>
      <c r="T77" s="5"/>
    </row>
    <row r="78" customFormat="false" ht="15" hidden="false" customHeight="false" outlineLevel="0" collapsed="false">
      <c r="A78" s="27"/>
      <c r="B78" s="5"/>
      <c r="C78" s="18"/>
      <c r="D78" s="5"/>
      <c r="E78" s="35"/>
      <c r="F78" s="5"/>
      <c r="G78" s="5"/>
      <c r="H78" s="5"/>
      <c r="I78" s="14"/>
      <c r="J78" s="14"/>
      <c r="K78" s="28" t="str">
        <f aca="false">IF(A78="","",COUNTIF(Contratos!$A:$A,A78))</f>
        <v/>
      </c>
      <c r="L78" s="39" t="str">
        <f aca="false">IF(A78="","",SUMIFS(Contratos!$D:$D,Contratos!$A:$A,A78)+SUMIFS(Contratos!$N:$N,Contratos!$A:$A,A78))</f>
        <v/>
      </c>
      <c r="M78" s="39" t="str">
        <f aca="false">IF(A78="","",SUMIFS(Pagamentos!$C:$C,Pagamentos!$A:$A,A78,Pagamentos!$F:$F,"Empenho"))</f>
        <v/>
      </c>
      <c r="N78" s="39" t="str">
        <f aca="false">IF(A78="","",SUMIFS(Pagamentos!$C:$C,Pagamentos!$A:$A,A78,Pagamentos!$F:$F,"Pagamento"))</f>
        <v/>
      </c>
      <c r="O78" s="37" t="str">
        <f aca="false">IF(OR(A78="",E78="",L78="",L78=0),"",E78/L78)</f>
        <v/>
      </c>
      <c r="P78" s="28" t="str">
        <f aca="false">IF(A78="","",COUNTIFS(Sancoes!$A:$A,A78,Sancoes!$B:$B,"&lt;&gt;Não consta"))</f>
        <v/>
      </c>
      <c r="Q78" s="28" t="str">
        <f aca="false">IF(A78="","",COUNTIF(Socios!$A:$A,A78))</f>
        <v/>
      </c>
      <c r="R78" s="28" t="str">
        <f aca="false">IF(A78="","",COUNTIFS(Socios!$A:$A,A78,Socios!$K:$K,"SIM"))</f>
        <v/>
      </c>
      <c r="S78" s="27"/>
      <c r="T78" s="5"/>
    </row>
    <row r="79" customFormat="false" ht="15" hidden="false" customHeight="false" outlineLevel="0" collapsed="false">
      <c r="A79" s="27"/>
      <c r="B79" s="5"/>
      <c r="C79" s="18"/>
      <c r="D79" s="5"/>
      <c r="E79" s="35"/>
      <c r="F79" s="5"/>
      <c r="G79" s="5"/>
      <c r="H79" s="5"/>
      <c r="I79" s="14"/>
      <c r="J79" s="14"/>
      <c r="K79" s="28" t="str">
        <f aca="false">IF(A79="","",COUNTIF(Contratos!$A:$A,A79))</f>
        <v/>
      </c>
      <c r="L79" s="39" t="str">
        <f aca="false">IF(A79="","",SUMIFS(Contratos!$D:$D,Contratos!$A:$A,A79)+SUMIFS(Contratos!$N:$N,Contratos!$A:$A,A79))</f>
        <v/>
      </c>
      <c r="M79" s="39" t="str">
        <f aca="false">IF(A79="","",SUMIFS(Pagamentos!$C:$C,Pagamentos!$A:$A,A79,Pagamentos!$F:$F,"Empenho"))</f>
        <v/>
      </c>
      <c r="N79" s="39" t="str">
        <f aca="false">IF(A79="","",SUMIFS(Pagamentos!$C:$C,Pagamentos!$A:$A,A79,Pagamentos!$F:$F,"Pagamento"))</f>
        <v/>
      </c>
      <c r="O79" s="37" t="str">
        <f aca="false">IF(OR(A79="",E79="",L79="",L79=0),"",E79/L79)</f>
        <v/>
      </c>
      <c r="P79" s="28" t="str">
        <f aca="false">IF(A79="","",COUNTIFS(Sancoes!$A:$A,A79,Sancoes!$B:$B,"&lt;&gt;Não consta"))</f>
        <v/>
      </c>
      <c r="Q79" s="28" t="str">
        <f aca="false">IF(A79="","",COUNTIF(Socios!$A:$A,A79))</f>
        <v/>
      </c>
      <c r="R79" s="28" t="str">
        <f aca="false">IF(A79="","",COUNTIFS(Socios!$A:$A,A79,Socios!$K:$K,"SIM"))</f>
        <v/>
      </c>
      <c r="S79" s="27"/>
      <c r="T79" s="5"/>
    </row>
    <row r="80" customFormat="false" ht="15" hidden="false" customHeight="false" outlineLevel="0" collapsed="false">
      <c r="A80" s="27"/>
      <c r="B80" s="5"/>
      <c r="C80" s="18"/>
      <c r="D80" s="5"/>
      <c r="E80" s="35"/>
      <c r="F80" s="5"/>
      <c r="G80" s="5"/>
      <c r="H80" s="5"/>
      <c r="I80" s="14"/>
      <c r="J80" s="14"/>
      <c r="K80" s="28" t="str">
        <f aca="false">IF(A80="","",COUNTIF(Contratos!$A:$A,A80))</f>
        <v/>
      </c>
      <c r="L80" s="39" t="str">
        <f aca="false">IF(A80="","",SUMIFS(Contratos!$D:$D,Contratos!$A:$A,A80)+SUMIFS(Contratos!$N:$N,Contratos!$A:$A,A80))</f>
        <v/>
      </c>
      <c r="M80" s="39" t="str">
        <f aca="false">IF(A80="","",SUMIFS(Pagamentos!$C:$C,Pagamentos!$A:$A,A80,Pagamentos!$F:$F,"Empenho"))</f>
        <v/>
      </c>
      <c r="N80" s="39" t="str">
        <f aca="false">IF(A80="","",SUMIFS(Pagamentos!$C:$C,Pagamentos!$A:$A,A80,Pagamentos!$F:$F,"Pagamento"))</f>
        <v/>
      </c>
      <c r="O80" s="37" t="str">
        <f aca="false">IF(OR(A80="",E80="",L80="",L80=0),"",E80/L80)</f>
        <v/>
      </c>
      <c r="P80" s="28" t="str">
        <f aca="false">IF(A80="","",COUNTIFS(Sancoes!$A:$A,A80,Sancoes!$B:$B,"&lt;&gt;Não consta"))</f>
        <v/>
      </c>
      <c r="Q80" s="28" t="str">
        <f aca="false">IF(A80="","",COUNTIF(Socios!$A:$A,A80))</f>
        <v/>
      </c>
      <c r="R80" s="28" t="str">
        <f aca="false">IF(A80="","",COUNTIFS(Socios!$A:$A,A80,Socios!$K:$K,"SIM"))</f>
        <v/>
      </c>
      <c r="S80" s="27"/>
      <c r="T80" s="5"/>
    </row>
    <row r="81" customFormat="false" ht="15" hidden="false" customHeight="false" outlineLevel="0" collapsed="false">
      <c r="A81" s="27"/>
      <c r="B81" s="5"/>
      <c r="C81" s="18"/>
      <c r="D81" s="5"/>
      <c r="E81" s="35"/>
      <c r="F81" s="5"/>
      <c r="G81" s="5"/>
      <c r="H81" s="5"/>
      <c r="I81" s="14"/>
      <c r="J81" s="14"/>
      <c r="K81" s="28" t="str">
        <f aca="false">IF(A81="","",COUNTIF(Contratos!$A:$A,A81))</f>
        <v/>
      </c>
      <c r="L81" s="39" t="str">
        <f aca="false">IF(A81="","",SUMIFS(Contratos!$D:$D,Contratos!$A:$A,A81)+SUMIFS(Contratos!$N:$N,Contratos!$A:$A,A81))</f>
        <v/>
      </c>
      <c r="M81" s="39" t="str">
        <f aca="false">IF(A81="","",SUMIFS(Pagamentos!$C:$C,Pagamentos!$A:$A,A81,Pagamentos!$F:$F,"Empenho"))</f>
        <v/>
      </c>
      <c r="N81" s="39" t="str">
        <f aca="false">IF(A81="","",SUMIFS(Pagamentos!$C:$C,Pagamentos!$A:$A,A81,Pagamentos!$F:$F,"Pagamento"))</f>
        <v/>
      </c>
      <c r="O81" s="37" t="str">
        <f aca="false">IF(OR(A81="",E81="",L81="",L81=0),"",E81/L81)</f>
        <v/>
      </c>
      <c r="P81" s="28" t="str">
        <f aca="false">IF(A81="","",COUNTIFS(Sancoes!$A:$A,A81,Sancoes!$B:$B,"&lt;&gt;Não consta"))</f>
        <v/>
      </c>
      <c r="Q81" s="28" t="str">
        <f aca="false">IF(A81="","",COUNTIF(Socios!$A:$A,A81))</f>
        <v/>
      </c>
      <c r="R81" s="28" t="str">
        <f aca="false">IF(A81="","",COUNTIFS(Socios!$A:$A,A81,Socios!$K:$K,"SIM"))</f>
        <v/>
      </c>
      <c r="S81" s="27"/>
      <c r="T81" s="5"/>
    </row>
    <row r="82" customFormat="false" ht="15" hidden="false" customHeight="false" outlineLevel="0" collapsed="false">
      <c r="A82" s="27"/>
      <c r="B82" s="5"/>
      <c r="C82" s="18"/>
      <c r="D82" s="5"/>
      <c r="E82" s="35"/>
      <c r="F82" s="5"/>
      <c r="G82" s="5"/>
      <c r="H82" s="5"/>
      <c r="I82" s="14"/>
      <c r="J82" s="14"/>
      <c r="K82" s="28" t="str">
        <f aca="false">IF(A82="","",COUNTIF(Contratos!$A:$A,A82))</f>
        <v/>
      </c>
      <c r="L82" s="39" t="str">
        <f aca="false">IF(A82="","",SUMIFS(Contratos!$D:$D,Contratos!$A:$A,A82)+SUMIFS(Contratos!$N:$N,Contratos!$A:$A,A82))</f>
        <v/>
      </c>
      <c r="M82" s="39" t="str">
        <f aca="false">IF(A82="","",SUMIFS(Pagamentos!$C:$C,Pagamentos!$A:$A,A82,Pagamentos!$F:$F,"Empenho"))</f>
        <v/>
      </c>
      <c r="N82" s="39" t="str">
        <f aca="false">IF(A82="","",SUMIFS(Pagamentos!$C:$C,Pagamentos!$A:$A,A82,Pagamentos!$F:$F,"Pagamento"))</f>
        <v/>
      </c>
      <c r="O82" s="37" t="str">
        <f aca="false">IF(OR(A82="",E82="",L82="",L82=0),"",E82/L82)</f>
        <v/>
      </c>
      <c r="P82" s="28" t="str">
        <f aca="false">IF(A82="","",COUNTIFS(Sancoes!$A:$A,A82,Sancoes!$B:$B,"&lt;&gt;Não consta"))</f>
        <v/>
      </c>
      <c r="Q82" s="28" t="str">
        <f aca="false">IF(A82="","",COUNTIF(Socios!$A:$A,A82))</f>
        <v/>
      </c>
      <c r="R82" s="28" t="str">
        <f aca="false">IF(A82="","",COUNTIFS(Socios!$A:$A,A82,Socios!$K:$K,"SIM"))</f>
        <v/>
      </c>
      <c r="S82" s="27"/>
      <c r="T82" s="5"/>
    </row>
    <row r="83" customFormat="false" ht="15" hidden="false" customHeight="false" outlineLevel="0" collapsed="false">
      <c r="A83" s="27"/>
      <c r="B83" s="5"/>
      <c r="C83" s="18"/>
      <c r="D83" s="5"/>
      <c r="E83" s="35"/>
      <c r="F83" s="5"/>
      <c r="G83" s="5"/>
      <c r="H83" s="5"/>
      <c r="I83" s="14"/>
      <c r="J83" s="14"/>
      <c r="K83" s="28" t="str">
        <f aca="false">IF(A83="","",COUNTIF(Contratos!$A:$A,A83))</f>
        <v/>
      </c>
      <c r="L83" s="39" t="str">
        <f aca="false">IF(A83="","",SUMIFS(Contratos!$D:$D,Contratos!$A:$A,A83)+SUMIFS(Contratos!$N:$N,Contratos!$A:$A,A83))</f>
        <v/>
      </c>
      <c r="M83" s="39" t="str">
        <f aca="false">IF(A83="","",SUMIFS(Pagamentos!$C:$C,Pagamentos!$A:$A,A83,Pagamentos!$F:$F,"Empenho"))</f>
        <v/>
      </c>
      <c r="N83" s="39" t="str">
        <f aca="false">IF(A83="","",SUMIFS(Pagamentos!$C:$C,Pagamentos!$A:$A,A83,Pagamentos!$F:$F,"Pagamento"))</f>
        <v/>
      </c>
      <c r="O83" s="37" t="str">
        <f aca="false">IF(OR(A83="",E83="",L83="",L83=0),"",E83/L83)</f>
        <v/>
      </c>
      <c r="P83" s="28" t="str">
        <f aca="false">IF(A83="","",COUNTIFS(Sancoes!$A:$A,A83,Sancoes!$B:$B,"&lt;&gt;Não consta"))</f>
        <v/>
      </c>
      <c r="Q83" s="28" t="str">
        <f aca="false">IF(A83="","",COUNTIF(Socios!$A:$A,A83))</f>
        <v/>
      </c>
      <c r="R83" s="28" t="str">
        <f aca="false">IF(A83="","",COUNTIFS(Socios!$A:$A,A83,Socios!$K:$K,"SIM"))</f>
        <v/>
      </c>
      <c r="S83" s="27"/>
      <c r="T83" s="5"/>
    </row>
    <row r="84" customFormat="false" ht="15" hidden="false" customHeight="false" outlineLevel="0" collapsed="false">
      <c r="A84" s="27"/>
      <c r="B84" s="5"/>
      <c r="C84" s="18"/>
      <c r="D84" s="5"/>
      <c r="E84" s="35"/>
      <c r="F84" s="5"/>
      <c r="G84" s="5"/>
      <c r="H84" s="5"/>
      <c r="I84" s="14"/>
      <c r="J84" s="14"/>
      <c r="K84" s="28" t="str">
        <f aca="false">IF(A84="","",COUNTIF(Contratos!$A:$A,A84))</f>
        <v/>
      </c>
      <c r="L84" s="39" t="str">
        <f aca="false">IF(A84="","",SUMIFS(Contratos!$D:$D,Contratos!$A:$A,A84)+SUMIFS(Contratos!$N:$N,Contratos!$A:$A,A84))</f>
        <v/>
      </c>
      <c r="M84" s="39" t="str">
        <f aca="false">IF(A84="","",SUMIFS(Pagamentos!$C:$C,Pagamentos!$A:$A,A84,Pagamentos!$F:$F,"Empenho"))</f>
        <v/>
      </c>
      <c r="N84" s="39" t="str">
        <f aca="false">IF(A84="","",SUMIFS(Pagamentos!$C:$C,Pagamentos!$A:$A,A84,Pagamentos!$F:$F,"Pagamento"))</f>
        <v/>
      </c>
      <c r="O84" s="37" t="str">
        <f aca="false">IF(OR(A84="",E84="",L84="",L84=0),"",E84/L84)</f>
        <v/>
      </c>
      <c r="P84" s="28" t="str">
        <f aca="false">IF(A84="","",COUNTIFS(Sancoes!$A:$A,A84,Sancoes!$B:$B,"&lt;&gt;Não consta"))</f>
        <v/>
      </c>
      <c r="Q84" s="28" t="str">
        <f aca="false">IF(A84="","",COUNTIF(Socios!$A:$A,A84))</f>
        <v/>
      </c>
      <c r="R84" s="28" t="str">
        <f aca="false">IF(A84="","",COUNTIFS(Socios!$A:$A,A84,Socios!$K:$K,"SIM"))</f>
        <v/>
      </c>
      <c r="S84" s="27"/>
      <c r="T84" s="5"/>
    </row>
    <row r="85" customFormat="false" ht="15" hidden="false" customHeight="false" outlineLevel="0" collapsed="false">
      <c r="A85" s="27"/>
      <c r="B85" s="5"/>
      <c r="C85" s="18"/>
      <c r="D85" s="5"/>
      <c r="E85" s="35"/>
      <c r="F85" s="5"/>
      <c r="G85" s="5"/>
      <c r="H85" s="5"/>
      <c r="I85" s="14"/>
      <c r="J85" s="14"/>
      <c r="K85" s="28" t="str">
        <f aca="false">IF(A85="","",COUNTIF(Contratos!$A:$A,A85))</f>
        <v/>
      </c>
      <c r="L85" s="39" t="str">
        <f aca="false">IF(A85="","",SUMIFS(Contratos!$D:$D,Contratos!$A:$A,A85)+SUMIFS(Contratos!$N:$N,Contratos!$A:$A,A85))</f>
        <v/>
      </c>
      <c r="M85" s="39" t="str">
        <f aca="false">IF(A85="","",SUMIFS(Pagamentos!$C:$C,Pagamentos!$A:$A,A85,Pagamentos!$F:$F,"Empenho"))</f>
        <v/>
      </c>
      <c r="N85" s="39" t="str">
        <f aca="false">IF(A85="","",SUMIFS(Pagamentos!$C:$C,Pagamentos!$A:$A,A85,Pagamentos!$F:$F,"Pagamento"))</f>
        <v/>
      </c>
      <c r="O85" s="37" t="str">
        <f aca="false">IF(OR(A85="",E85="",L85="",L85=0),"",E85/L85)</f>
        <v/>
      </c>
      <c r="P85" s="28" t="str">
        <f aca="false">IF(A85="","",COUNTIFS(Sancoes!$A:$A,A85,Sancoes!$B:$B,"&lt;&gt;Não consta"))</f>
        <v/>
      </c>
      <c r="Q85" s="28" t="str">
        <f aca="false">IF(A85="","",COUNTIF(Socios!$A:$A,A85))</f>
        <v/>
      </c>
      <c r="R85" s="28" t="str">
        <f aca="false">IF(A85="","",COUNTIFS(Socios!$A:$A,A85,Socios!$K:$K,"SIM"))</f>
        <v/>
      </c>
      <c r="S85" s="27"/>
      <c r="T85" s="5"/>
    </row>
    <row r="86" customFormat="false" ht="15" hidden="false" customHeight="false" outlineLevel="0" collapsed="false">
      <c r="A86" s="27"/>
      <c r="B86" s="5"/>
      <c r="C86" s="18"/>
      <c r="D86" s="5"/>
      <c r="E86" s="35"/>
      <c r="F86" s="5"/>
      <c r="G86" s="5"/>
      <c r="H86" s="5"/>
      <c r="I86" s="14"/>
      <c r="J86" s="14"/>
      <c r="K86" s="28" t="str">
        <f aca="false">IF(A86="","",COUNTIF(Contratos!$A:$A,A86))</f>
        <v/>
      </c>
      <c r="L86" s="39" t="str">
        <f aca="false">IF(A86="","",SUMIFS(Contratos!$D:$D,Contratos!$A:$A,A86)+SUMIFS(Contratos!$N:$N,Contratos!$A:$A,A86))</f>
        <v/>
      </c>
      <c r="M86" s="39" t="str">
        <f aca="false">IF(A86="","",SUMIFS(Pagamentos!$C:$C,Pagamentos!$A:$A,A86,Pagamentos!$F:$F,"Empenho"))</f>
        <v/>
      </c>
      <c r="N86" s="39" t="str">
        <f aca="false">IF(A86="","",SUMIFS(Pagamentos!$C:$C,Pagamentos!$A:$A,A86,Pagamentos!$F:$F,"Pagamento"))</f>
        <v/>
      </c>
      <c r="O86" s="37" t="str">
        <f aca="false">IF(OR(A86="",E86="",L86="",L86=0),"",E86/L86)</f>
        <v/>
      </c>
      <c r="P86" s="28" t="str">
        <f aca="false">IF(A86="","",COUNTIFS(Sancoes!$A:$A,A86,Sancoes!$B:$B,"&lt;&gt;Não consta"))</f>
        <v/>
      </c>
      <c r="Q86" s="28" t="str">
        <f aca="false">IF(A86="","",COUNTIF(Socios!$A:$A,A86))</f>
        <v/>
      </c>
      <c r="R86" s="28" t="str">
        <f aca="false">IF(A86="","",COUNTIFS(Socios!$A:$A,A86,Socios!$K:$K,"SIM"))</f>
        <v/>
      </c>
      <c r="S86" s="27"/>
      <c r="T86" s="5"/>
    </row>
    <row r="87" customFormat="false" ht="15" hidden="false" customHeight="false" outlineLevel="0" collapsed="false">
      <c r="A87" s="27"/>
      <c r="B87" s="5"/>
      <c r="C87" s="18"/>
      <c r="D87" s="5"/>
      <c r="E87" s="35"/>
      <c r="F87" s="5"/>
      <c r="G87" s="5"/>
      <c r="H87" s="5"/>
      <c r="I87" s="14"/>
      <c r="J87" s="14"/>
      <c r="K87" s="28" t="str">
        <f aca="false">IF(A87="","",COUNTIF(Contratos!$A:$A,A87))</f>
        <v/>
      </c>
      <c r="L87" s="39" t="str">
        <f aca="false">IF(A87="","",SUMIFS(Contratos!$D:$D,Contratos!$A:$A,A87)+SUMIFS(Contratos!$N:$N,Contratos!$A:$A,A87))</f>
        <v/>
      </c>
      <c r="M87" s="39" t="str">
        <f aca="false">IF(A87="","",SUMIFS(Pagamentos!$C:$C,Pagamentos!$A:$A,A87,Pagamentos!$F:$F,"Empenho"))</f>
        <v/>
      </c>
      <c r="N87" s="39" t="str">
        <f aca="false">IF(A87="","",SUMIFS(Pagamentos!$C:$C,Pagamentos!$A:$A,A87,Pagamentos!$F:$F,"Pagamento"))</f>
        <v/>
      </c>
      <c r="O87" s="37" t="str">
        <f aca="false">IF(OR(A87="",E87="",L87="",L87=0),"",E87/L87)</f>
        <v/>
      </c>
      <c r="P87" s="28" t="str">
        <f aca="false">IF(A87="","",COUNTIFS(Sancoes!$A:$A,A87,Sancoes!$B:$B,"&lt;&gt;Não consta"))</f>
        <v/>
      </c>
      <c r="Q87" s="28" t="str">
        <f aca="false">IF(A87="","",COUNTIF(Socios!$A:$A,A87))</f>
        <v/>
      </c>
      <c r="R87" s="28" t="str">
        <f aca="false">IF(A87="","",COUNTIFS(Socios!$A:$A,A87,Socios!$K:$K,"SIM"))</f>
        <v/>
      </c>
      <c r="S87" s="27"/>
      <c r="T87" s="5"/>
    </row>
    <row r="88" customFormat="false" ht="15" hidden="false" customHeight="false" outlineLevel="0" collapsed="false">
      <c r="A88" s="27"/>
      <c r="B88" s="5"/>
      <c r="C88" s="18"/>
      <c r="D88" s="5"/>
      <c r="E88" s="35"/>
      <c r="F88" s="5"/>
      <c r="G88" s="5"/>
      <c r="H88" s="5"/>
      <c r="I88" s="14"/>
      <c r="J88" s="14"/>
      <c r="K88" s="28" t="str">
        <f aca="false">IF(A88="","",COUNTIF(Contratos!$A:$A,A88))</f>
        <v/>
      </c>
      <c r="L88" s="39" t="str">
        <f aca="false">IF(A88="","",SUMIFS(Contratos!$D:$D,Contratos!$A:$A,A88)+SUMIFS(Contratos!$N:$N,Contratos!$A:$A,A88))</f>
        <v/>
      </c>
      <c r="M88" s="39" t="str">
        <f aca="false">IF(A88="","",SUMIFS(Pagamentos!$C:$C,Pagamentos!$A:$A,A88,Pagamentos!$F:$F,"Empenho"))</f>
        <v/>
      </c>
      <c r="N88" s="39" t="str">
        <f aca="false">IF(A88="","",SUMIFS(Pagamentos!$C:$C,Pagamentos!$A:$A,A88,Pagamentos!$F:$F,"Pagamento"))</f>
        <v/>
      </c>
      <c r="O88" s="37" t="str">
        <f aca="false">IF(OR(A88="",E88="",L88="",L88=0),"",E88/L88)</f>
        <v/>
      </c>
      <c r="P88" s="28" t="str">
        <f aca="false">IF(A88="","",COUNTIFS(Sancoes!$A:$A,A88,Sancoes!$B:$B,"&lt;&gt;Não consta"))</f>
        <v/>
      </c>
      <c r="Q88" s="28" t="str">
        <f aca="false">IF(A88="","",COUNTIF(Socios!$A:$A,A88))</f>
        <v/>
      </c>
      <c r="R88" s="28" t="str">
        <f aca="false">IF(A88="","",COUNTIFS(Socios!$A:$A,A88,Socios!$K:$K,"SIM"))</f>
        <v/>
      </c>
      <c r="S88" s="27"/>
      <c r="T88" s="5"/>
    </row>
    <row r="89" customFormat="false" ht="15" hidden="false" customHeight="false" outlineLevel="0" collapsed="false">
      <c r="A89" s="27"/>
      <c r="B89" s="5"/>
      <c r="C89" s="18"/>
      <c r="D89" s="5"/>
      <c r="E89" s="35"/>
      <c r="F89" s="5"/>
      <c r="G89" s="5"/>
      <c r="H89" s="5"/>
      <c r="I89" s="14"/>
      <c r="J89" s="14"/>
      <c r="K89" s="28" t="str">
        <f aca="false">IF(A89="","",COUNTIF(Contratos!$A:$A,A89))</f>
        <v/>
      </c>
      <c r="L89" s="39" t="str">
        <f aca="false">IF(A89="","",SUMIFS(Contratos!$D:$D,Contratos!$A:$A,A89)+SUMIFS(Contratos!$N:$N,Contratos!$A:$A,A89))</f>
        <v/>
      </c>
      <c r="M89" s="39" t="str">
        <f aca="false">IF(A89="","",SUMIFS(Pagamentos!$C:$C,Pagamentos!$A:$A,A89,Pagamentos!$F:$F,"Empenho"))</f>
        <v/>
      </c>
      <c r="N89" s="39" t="str">
        <f aca="false">IF(A89="","",SUMIFS(Pagamentos!$C:$C,Pagamentos!$A:$A,A89,Pagamentos!$F:$F,"Pagamento"))</f>
        <v/>
      </c>
      <c r="O89" s="37" t="str">
        <f aca="false">IF(OR(A89="",E89="",L89="",L89=0),"",E89/L89)</f>
        <v/>
      </c>
      <c r="P89" s="28" t="str">
        <f aca="false">IF(A89="","",COUNTIFS(Sancoes!$A:$A,A89,Sancoes!$B:$B,"&lt;&gt;Não consta"))</f>
        <v/>
      </c>
      <c r="Q89" s="28" t="str">
        <f aca="false">IF(A89="","",COUNTIF(Socios!$A:$A,A89))</f>
        <v/>
      </c>
      <c r="R89" s="28" t="str">
        <f aca="false">IF(A89="","",COUNTIFS(Socios!$A:$A,A89,Socios!$K:$K,"SIM"))</f>
        <v/>
      </c>
      <c r="S89" s="27"/>
      <c r="T89" s="5"/>
    </row>
    <row r="90" customFormat="false" ht="15" hidden="false" customHeight="false" outlineLevel="0" collapsed="false">
      <c r="A90" s="27"/>
      <c r="B90" s="5"/>
      <c r="C90" s="18"/>
      <c r="D90" s="5"/>
      <c r="E90" s="35"/>
      <c r="F90" s="5"/>
      <c r="G90" s="5"/>
      <c r="H90" s="5"/>
      <c r="I90" s="14"/>
      <c r="J90" s="14"/>
      <c r="K90" s="28" t="str">
        <f aca="false">IF(A90="","",COUNTIF(Contratos!$A:$A,A90))</f>
        <v/>
      </c>
      <c r="L90" s="39" t="str">
        <f aca="false">IF(A90="","",SUMIFS(Contratos!$D:$D,Contratos!$A:$A,A90)+SUMIFS(Contratos!$N:$N,Contratos!$A:$A,A90))</f>
        <v/>
      </c>
      <c r="M90" s="39" t="str">
        <f aca="false">IF(A90="","",SUMIFS(Pagamentos!$C:$C,Pagamentos!$A:$A,A90,Pagamentos!$F:$F,"Empenho"))</f>
        <v/>
      </c>
      <c r="N90" s="39" t="str">
        <f aca="false">IF(A90="","",SUMIFS(Pagamentos!$C:$C,Pagamentos!$A:$A,A90,Pagamentos!$F:$F,"Pagamento"))</f>
        <v/>
      </c>
      <c r="O90" s="37" t="str">
        <f aca="false">IF(OR(A90="",E90="",L90="",L90=0),"",E90/L90)</f>
        <v/>
      </c>
      <c r="P90" s="28" t="str">
        <f aca="false">IF(A90="","",COUNTIFS(Sancoes!$A:$A,A90,Sancoes!$B:$B,"&lt;&gt;Não consta"))</f>
        <v/>
      </c>
      <c r="Q90" s="28" t="str">
        <f aca="false">IF(A90="","",COUNTIF(Socios!$A:$A,A90))</f>
        <v/>
      </c>
      <c r="R90" s="28" t="str">
        <f aca="false">IF(A90="","",COUNTIFS(Socios!$A:$A,A90,Socios!$K:$K,"SIM"))</f>
        <v/>
      </c>
      <c r="S90" s="27"/>
      <c r="T90" s="5"/>
    </row>
    <row r="91" customFormat="false" ht="15" hidden="false" customHeight="false" outlineLevel="0" collapsed="false">
      <c r="A91" s="27"/>
      <c r="B91" s="5"/>
      <c r="C91" s="18"/>
      <c r="D91" s="5"/>
      <c r="E91" s="35"/>
      <c r="F91" s="5"/>
      <c r="G91" s="5"/>
      <c r="H91" s="5"/>
      <c r="I91" s="14"/>
      <c r="J91" s="14"/>
      <c r="K91" s="28" t="str">
        <f aca="false">IF(A91="","",COUNTIF(Contratos!$A:$A,A91))</f>
        <v/>
      </c>
      <c r="L91" s="39" t="str">
        <f aca="false">IF(A91="","",SUMIFS(Contratos!$D:$D,Contratos!$A:$A,A91)+SUMIFS(Contratos!$N:$N,Contratos!$A:$A,A91))</f>
        <v/>
      </c>
      <c r="M91" s="39" t="str">
        <f aca="false">IF(A91="","",SUMIFS(Pagamentos!$C:$C,Pagamentos!$A:$A,A91,Pagamentos!$F:$F,"Empenho"))</f>
        <v/>
      </c>
      <c r="N91" s="39" t="str">
        <f aca="false">IF(A91="","",SUMIFS(Pagamentos!$C:$C,Pagamentos!$A:$A,A91,Pagamentos!$F:$F,"Pagamento"))</f>
        <v/>
      </c>
      <c r="O91" s="37" t="str">
        <f aca="false">IF(OR(A91="",E91="",L91="",L91=0),"",E91/L91)</f>
        <v/>
      </c>
      <c r="P91" s="28" t="str">
        <f aca="false">IF(A91="","",COUNTIFS(Sancoes!$A:$A,A91,Sancoes!$B:$B,"&lt;&gt;Não consta"))</f>
        <v/>
      </c>
      <c r="Q91" s="28" t="str">
        <f aca="false">IF(A91="","",COUNTIF(Socios!$A:$A,A91))</f>
        <v/>
      </c>
      <c r="R91" s="28" t="str">
        <f aca="false">IF(A91="","",COUNTIFS(Socios!$A:$A,A91,Socios!$K:$K,"SIM"))</f>
        <v/>
      </c>
      <c r="S91" s="27"/>
      <c r="T91" s="5"/>
    </row>
    <row r="92" customFormat="false" ht="15" hidden="false" customHeight="false" outlineLevel="0" collapsed="false">
      <c r="A92" s="27"/>
      <c r="B92" s="5"/>
      <c r="C92" s="18"/>
      <c r="D92" s="5"/>
      <c r="E92" s="35"/>
      <c r="F92" s="5"/>
      <c r="G92" s="5"/>
      <c r="H92" s="5"/>
      <c r="I92" s="14"/>
      <c r="J92" s="14"/>
      <c r="K92" s="28" t="str">
        <f aca="false">IF(A92="","",COUNTIF(Contratos!$A:$A,A92))</f>
        <v/>
      </c>
      <c r="L92" s="39" t="str">
        <f aca="false">IF(A92="","",SUMIFS(Contratos!$D:$D,Contratos!$A:$A,A92)+SUMIFS(Contratos!$N:$N,Contratos!$A:$A,A92))</f>
        <v/>
      </c>
      <c r="M92" s="39" t="str">
        <f aca="false">IF(A92="","",SUMIFS(Pagamentos!$C:$C,Pagamentos!$A:$A,A92,Pagamentos!$F:$F,"Empenho"))</f>
        <v/>
      </c>
      <c r="N92" s="39" t="str">
        <f aca="false">IF(A92="","",SUMIFS(Pagamentos!$C:$C,Pagamentos!$A:$A,A92,Pagamentos!$F:$F,"Pagamento"))</f>
        <v/>
      </c>
      <c r="O92" s="37" t="str">
        <f aca="false">IF(OR(A92="",E92="",L92="",L92=0),"",E92/L92)</f>
        <v/>
      </c>
      <c r="P92" s="28" t="str">
        <f aca="false">IF(A92="","",COUNTIFS(Sancoes!$A:$A,A92,Sancoes!$B:$B,"&lt;&gt;Não consta"))</f>
        <v/>
      </c>
      <c r="Q92" s="28" t="str">
        <f aca="false">IF(A92="","",COUNTIF(Socios!$A:$A,A92))</f>
        <v/>
      </c>
      <c r="R92" s="28" t="str">
        <f aca="false">IF(A92="","",COUNTIFS(Socios!$A:$A,A92,Socios!$K:$K,"SIM"))</f>
        <v/>
      </c>
      <c r="S92" s="27"/>
      <c r="T92" s="5"/>
    </row>
    <row r="93" customFormat="false" ht="15" hidden="false" customHeight="false" outlineLevel="0" collapsed="false">
      <c r="A93" s="27"/>
      <c r="B93" s="5"/>
      <c r="C93" s="18"/>
      <c r="D93" s="5"/>
      <c r="E93" s="35"/>
      <c r="F93" s="5"/>
      <c r="G93" s="5"/>
      <c r="H93" s="5"/>
      <c r="I93" s="14"/>
      <c r="J93" s="14"/>
      <c r="K93" s="28" t="str">
        <f aca="false">IF(A93="","",COUNTIF(Contratos!$A:$A,A93))</f>
        <v/>
      </c>
      <c r="L93" s="39" t="str">
        <f aca="false">IF(A93="","",SUMIFS(Contratos!$D:$D,Contratos!$A:$A,A93)+SUMIFS(Contratos!$N:$N,Contratos!$A:$A,A93))</f>
        <v/>
      </c>
      <c r="M93" s="39" t="str">
        <f aca="false">IF(A93="","",SUMIFS(Pagamentos!$C:$C,Pagamentos!$A:$A,A93,Pagamentos!$F:$F,"Empenho"))</f>
        <v/>
      </c>
      <c r="N93" s="39" t="str">
        <f aca="false">IF(A93="","",SUMIFS(Pagamentos!$C:$C,Pagamentos!$A:$A,A93,Pagamentos!$F:$F,"Pagamento"))</f>
        <v/>
      </c>
      <c r="O93" s="37" t="str">
        <f aca="false">IF(OR(A93="",E93="",L93="",L93=0),"",E93/L93)</f>
        <v/>
      </c>
      <c r="P93" s="28" t="str">
        <f aca="false">IF(A93="","",COUNTIFS(Sancoes!$A:$A,A93,Sancoes!$B:$B,"&lt;&gt;Não consta"))</f>
        <v/>
      </c>
      <c r="Q93" s="28" t="str">
        <f aca="false">IF(A93="","",COUNTIF(Socios!$A:$A,A93))</f>
        <v/>
      </c>
      <c r="R93" s="28" t="str">
        <f aca="false">IF(A93="","",COUNTIFS(Socios!$A:$A,A93,Socios!$K:$K,"SIM"))</f>
        <v/>
      </c>
      <c r="S93" s="27"/>
      <c r="T93" s="5"/>
    </row>
    <row r="94" customFormat="false" ht="15" hidden="false" customHeight="false" outlineLevel="0" collapsed="false">
      <c r="A94" s="27"/>
      <c r="B94" s="5"/>
      <c r="C94" s="18"/>
      <c r="D94" s="5"/>
      <c r="E94" s="35"/>
      <c r="F94" s="5"/>
      <c r="G94" s="5"/>
      <c r="H94" s="5"/>
      <c r="I94" s="14"/>
      <c r="J94" s="14"/>
      <c r="K94" s="28" t="str">
        <f aca="false">IF(A94="","",COUNTIF(Contratos!$A:$A,A94))</f>
        <v/>
      </c>
      <c r="L94" s="39" t="str">
        <f aca="false">IF(A94="","",SUMIFS(Contratos!$D:$D,Contratos!$A:$A,A94)+SUMIFS(Contratos!$N:$N,Contratos!$A:$A,A94))</f>
        <v/>
      </c>
      <c r="M94" s="39" t="str">
        <f aca="false">IF(A94="","",SUMIFS(Pagamentos!$C:$C,Pagamentos!$A:$A,A94,Pagamentos!$F:$F,"Empenho"))</f>
        <v/>
      </c>
      <c r="N94" s="39" t="str">
        <f aca="false">IF(A94="","",SUMIFS(Pagamentos!$C:$C,Pagamentos!$A:$A,A94,Pagamentos!$F:$F,"Pagamento"))</f>
        <v/>
      </c>
      <c r="O94" s="37" t="str">
        <f aca="false">IF(OR(A94="",E94="",L94="",L94=0),"",E94/L94)</f>
        <v/>
      </c>
      <c r="P94" s="28" t="str">
        <f aca="false">IF(A94="","",COUNTIFS(Sancoes!$A:$A,A94,Sancoes!$B:$B,"&lt;&gt;Não consta"))</f>
        <v/>
      </c>
      <c r="Q94" s="28" t="str">
        <f aca="false">IF(A94="","",COUNTIF(Socios!$A:$A,A94))</f>
        <v/>
      </c>
      <c r="R94" s="28" t="str">
        <f aca="false">IF(A94="","",COUNTIFS(Socios!$A:$A,A94,Socios!$K:$K,"SIM"))</f>
        <v/>
      </c>
      <c r="S94" s="27"/>
      <c r="T94" s="5"/>
    </row>
    <row r="95" customFormat="false" ht="15" hidden="false" customHeight="false" outlineLevel="0" collapsed="false">
      <c r="A95" s="27"/>
      <c r="B95" s="5"/>
      <c r="C95" s="18"/>
      <c r="D95" s="5"/>
      <c r="E95" s="35"/>
      <c r="F95" s="5"/>
      <c r="G95" s="5"/>
      <c r="H95" s="5"/>
      <c r="I95" s="14"/>
      <c r="J95" s="14"/>
      <c r="K95" s="28" t="str">
        <f aca="false">IF(A95="","",COUNTIF(Contratos!$A:$A,A95))</f>
        <v/>
      </c>
      <c r="L95" s="39" t="str">
        <f aca="false">IF(A95="","",SUMIFS(Contratos!$D:$D,Contratos!$A:$A,A95)+SUMIFS(Contratos!$N:$N,Contratos!$A:$A,A95))</f>
        <v/>
      </c>
      <c r="M95" s="39" t="str">
        <f aca="false">IF(A95="","",SUMIFS(Pagamentos!$C:$C,Pagamentos!$A:$A,A95,Pagamentos!$F:$F,"Empenho"))</f>
        <v/>
      </c>
      <c r="N95" s="39" t="str">
        <f aca="false">IF(A95="","",SUMIFS(Pagamentos!$C:$C,Pagamentos!$A:$A,A95,Pagamentos!$F:$F,"Pagamento"))</f>
        <v/>
      </c>
      <c r="O95" s="37" t="str">
        <f aca="false">IF(OR(A95="",E95="",L95="",L95=0),"",E95/L95)</f>
        <v/>
      </c>
      <c r="P95" s="28" t="str">
        <f aca="false">IF(A95="","",COUNTIFS(Sancoes!$A:$A,A95,Sancoes!$B:$B,"&lt;&gt;Não consta"))</f>
        <v/>
      </c>
      <c r="Q95" s="28" t="str">
        <f aca="false">IF(A95="","",COUNTIF(Socios!$A:$A,A95))</f>
        <v/>
      </c>
      <c r="R95" s="28" t="str">
        <f aca="false">IF(A95="","",COUNTIFS(Socios!$A:$A,A95,Socios!$K:$K,"SIM"))</f>
        <v/>
      </c>
      <c r="S95" s="27"/>
      <c r="T95" s="5"/>
    </row>
    <row r="96" customFormat="false" ht="15" hidden="false" customHeight="false" outlineLevel="0" collapsed="false">
      <c r="A96" s="27"/>
      <c r="B96" s="5"/>
      <c r="C96" s="18"/>
      <c r="D96" s="5"/>
      <c r="E96" s="35"/>
      <c r="F96" s="5"/>
      <c r="G96" s="5"/>
      <c r="H96" s="5"/>
      <c r="I96" s="14"/>
      <c r="J96" s="14"/>
      <c r="K96" s="28" t="str">
        <f aca="false">IF(A96="","",COUNTIF(Contratos!$A:$A,A96))</f>
        <v/>
      </c>
      <c r="L96" s="39" t="str">
        <f aca="false">IF(A96="","",SUMIFS(Contratos!$D:$D,Contratos!$A:$A,A96)+SUMIFS(Contratos!$N:$N,Contratos!$A:$A,A96))</f>
        <v/>
      </c>
      <c r="M96" s="39" t="str">
        <f aca="false">IF(A96="","",SUMIFS(Pagamentos!$C:$C,Pagamentos!$A:$A,A96,Pagamentos!$F:$F,"Empenho"))</f>
        <v/>
      </c>
      <c r="N96" s="39" t="str">
        <f aca="false">IF(A96="","",SUMIFS(Pagamentos!$C:$C,Pagamentos!$A:$A,A96,Pagamentos!$F:$F,"Pagamento"))</f>
        <v/>
      </c>
      <c r="O96" s="37" t="str">
        <f aca="false">IF(OR(A96="",E96="",L96="",L96=0),"",E96/L96)</f>
        <v/>
      </c>
      <c r="P96" s="28" t="str">
        <f aca="false">IF(A96="","",COUNTIFS(Sancoes!$A:$A,A96,Sancoes!$B:$B,"&lt;&gt;Não consta"))</f>
        <v/>
      </c>
      <c r="Q96" s="28" t="str">
        <f aca="false">IF(A96="","",COUNTIF(Socios!$A:$A,A96))</f>
        <v/>
      </c>
      <c r="R96" s="28" t="str">
        <f aca="false">IF(A96="","",COUNTIFS(Socios!$A:$A,A96,Socios!$K:$K,"SIM"))</f>
        <v/>
      </c>
      <c r="S96" s="27"/>
      <c r="T96" s="5"/>
    </row>
    <row r="97" customFormat="false" ht="15" hidden="false" customHeight="false" outlineLevel="0" collapsed="false">
      <c r="A97" s="27"/>
      <c r="B97" s="5"/>
      <c r="C97" s="18"/>
      <c r="D97" s="5"/>
      <c r="E97" s="35"/>
      <c r="F97" s="5"/>
      <c r="G97" s="5"/>
      <c r="H97" s="5"/>
      <c r="I97" s="14"/>
      <c r="J97" s="14"/>
      <c r="K97" s="28" t="str">
        <f aca="false">IF(A97="","",COUNTIF(Contratos!$A:$A,A97))</f>
        <v/>
      </c>
      <c r="L97" s="39" t="str">
        <f aca="false">IF(A97="","",SUMIFS(Contratos!$D:$D,Contratos!$A:$A,A97)+SUMIFS(Contratos!$N:$N,Contratos!$A:$A,A97))</f>
        <v/>
      </c>
      <c r="M97" s="39" t="str">
        <f aca="false">IF(A97="","",SUMIFS(Pagamentos!$C:$C,Pagamentos!$A:$A,A97,Pagamentos!$F:$F,"Empenho"))</f>
        <v/>
      </c>
      <c r="N97" s="39" t="str">
        <f aca="false">IF(A97="","",SUMIFS(Pagamentos!$C:$C,Pagamentos!$A:$A,A97,Pagamentos!$F:$F,"Pagamento"))</f>
        <v/>
      </c>
      <c r="O97" s="37" t="str">
        <f aca="false">IF(OR(A97="",E97="",L97="",L97=0),"",E97/L97)</f>
        <v/>
      </c>
      <c r="P97" s="28" t="str">
        <f aca="false">IF(A97="","",COUNTIFS(Sancoes!$A:$A,A97,Sancoes!$B:$B,"&lt;&gt;Não consta"))</f>
        <v/>
      </c>
      <c r="Q97" s="28" t="str">
        <f aca="false">IF(A97="","",COUNTIF(Socios!$A:$A,A97))</f>
        <v/>
      </c>
      <c r="R97" s="28" t="str">
        <f aca="false">IF(A97="","",COUNTIFS(Socios!$A:$A,A97,Socios!$K:$K,"SIM"))</f>
        <v/>
      </c>
      <c r="S97" s="27"/>
      <c r="T97" s="5"/>
    </row>
    <row r="98" customFormat="false" ht="15" hidden="false" customHeight="false" outlineLevel="0" collapsed="false">
      <c r="A98" s="27"/>
      <c r="B98" s="5"/>
      <c r="C98" s="18"/>
      <c r="D98" s="5"/>
      <c r="E98" s="35"/>
      <c r="F98" s="5"/>
      <c r="G98" s="5"/>
      <c r="H98" s="5"/>
      <c r="I98" s="14"/>
      <c r="J98" s="14"/>
      <c r="K98" s="28" t="str">
        <f aca="false">IF(A98="","",COUNTIF(Contratos!$A:$A,A98))</f>
        <v/>
      </c>
      <c r="L98" s="39" t="str">
        <f aca="false">IF(A98="","",SUMIFS(Contratos!$D:$D,Contratos!$A:$A,A98)+SUMIFS(Contratos!$N:$N,Contratos!$A:$A,A98))</f>
        <v/>
      </c>
      <c r="M98" s="39" t="str">
        <f aca="false">IF(A98="","",SUMIFS(Pagamentos!$C:$C,Pagamentos!$A:$A,A98,Pagamentos!$F:$F,"Empenho"))</f>
        <v/>
      </c>
      <c r="N98" s="39" t="str">
        <f aca="false">IF(A98="","",SUMIFS(Pagamentos!$C:$C,Pagamentos!$A:$A,A98,Pagamentos!$F:$F,"Pagamento"))</f>
        <v/>
      </c>
      <c r="O98" s="37" t="str">
        <f aca="false">IF(OR(A98="",E98="",L98="",L98=0),"",E98/L98)</f>
        <v/>
      </c>
      <c r="P98" s="28" t="str">
        <f aca="false">IF(A98="","",COUNTIFS(Sancoes!$A:$A,A98,Sancoes!$B:$B,"&lt;&gt;Não consta"))</f>
        <v/>
      </c>
      <c r="Q98" s="28" t="str">
        <f aca="false">IF(A98="","",COUNTIF(Socios!$A:$A,A98))</f>
        <v/>
      </c>
      <c r="R98" s="28" t="str">
        <f aca="false">IF(A98="","",COUNTIFS(Socios!$A:$A,A98,Socios!$K:$K,"SIM"))</f>
        <v/>
      </c>
      <c r="S98" s="27"/>
      <c r="T98" s="5"/>
    </row>
    <row r="99" customFormat="false" ht="15" hidden="false" customHeight="false" outlineLevel="0" collapsed="false">
      <c r="A99" s="27"/>
      <c r="B99" s="5"/>
      <c r="C99" s="18"/>
      <c r="D99" s="5"/>
      <c r="E99" s="35"/>
      <c r="F99" s="5"/>
      <c r="G99" s="5"/>
      <c r="H99" s="5"/>
      <c r="I99" s="14"/>
      <c r="J99" s="14"/>
      <c r="K99" s="28" t="str">
        <f aca="false">IF(A99="","",COUNTIF(Contratos!$A:$A,A99))</f>
        <v/>
      </c>
      <c r="L99" s="39" t="str">
        <f aca="false">IF(A99="","",SUMIFS(Contratos!$D:$D,Contratos!$A:$A,A99)+SUMIFS(Contratos!$N:$N,Contratos!$A:$A,A99))</f>
        <v/>
      </c>
      <c r="M99" s="39" t="str">
        <f aca="false">IF(A99="","",SUMIFS(Pagamentos!$C:$C,Pagamentos!$A:$A,A99,Pagamentos!$F:$F,"Empenho"))</f>
        <v/>
      </c>
      <c r="N99" s="39" t="str">
        <f aca="false">IF(A99="","",SUMIFS(Pagamentos!$C:$C,Pagamentos!$A:$A,A99,Pagamentos!$F:$F,"Pagamento"))</f>
        <v/>
      </c>
      <c r="O99" s="37" t="str">
        <f aca="false">IF(OR(A99="",E99="",L99="",L99=0),"",E99/L99)</f>
        <v/>
      </c>
      <c r="P99" s="28" t="str">
        <f aca="false">IF(A99="","",COUNTIFS(Sancoes!$A:$A,A99,Sancoes!$B:$B,"&lt;&gt;Não consta"))</f>
        <v/>
      </c>
      <c r="Q99" s="28" t="str">
        <f aca="false">IF(A99="","",COUNTIF(Socios!$A:$A,A99))</f>
        <v/>
      </c>
      <c r="R99" s="28" t="str">
        <f aca="false">IF(A99="","",COUNTIFS(Socios!$A:$A,A99,Socios!$K:$K,"SIM"))</f>
        <v/>
      </c>
      <c r="S99" s="27"/>
      <c r="T99" s="5"/>
    </row>
    <row r="100" customFormat="false" ht="15" hidden="false" customHeight="false" outlineLevel="0" collapsed="false">
      <c r="A100" s="27"/>
      <c r="B100" s="5"/>
      <c r="C100" s="18"/>
      <c r="D100" s="5"/>
      <c r="E100" s="35"/>
      <c r="F100" s="5"/>
      <c r="G100" s="5"/>
      <c r="H100" s="5"/>
      <c r="I100" s="14"/>
      <c r="J100" s="14"/>
      <c r="K100" s="28" t="str">
        <f aca="false">IF(A100="","",COUNTIF(Contratos!$A:$A,A100))</f>
        <v/>
      </c>
      <c r="L100" s="39" t="str">
        <f aca="false">IF(A100="","",SUMIFS(Contratos!$D:$D,Contratos!$A:$A,A100)+SUMIFS(Contratos!$N:$N,Contratos!$A:$A,A100))</f>
        <v/>
      </c>
      <c r="M100" s="39" t="str">
        <f aca="false">IF(A100="","",SUMIFS(Pagamentos!$C:$C,Pagamentos!$A:$A,A100,Pagamentos!$F:$F,"Empenho"))</f>
        <v/>
      </c>
      <c r="N100" s="39" t="str">
        <f aca="false">IF(A100="","",SUMIFS(Pagamentos!$C:$C,Pagamentos!$A:$A,A100,Pagamentos!$F:$F,"Pagamento"))</f>
        <v/>
      </c>
      <c r="O100" s="37" t="str">
        <f aca="false">IF(OR(A100="",E100="",L100="",L100=0),"",E100/L100)</f>
        <v/>
      </c>
      <c r="P100" s="28" t="str">
        <f aca="false">IF(A100="","",COUNTIFS(Sancoes!$A:$A,A100,Sancoes!$B:$B,"&lt;&gt;Não consta"))</f>
        <v/>
      </c>
      <c r="Q100" s="28" t="str">
        <f aca="false">IF(A100="","",COUNTIF(Socios!$A:$A,A100))</f>
        <v/>
      </c>
      <c r="R100" s="28" t="str">
        <f aca="false">IF(A100="","",COUNTIFS(Socios!$A:$A,A100,Socios!$K:$K,"SIM"))</f>
        <v/>
      </c>
      <c r="S100" s="27"/>
      <c r="T100" s="5"/>
    </row>
    <row r="101" customFormat="false" ht="15" hidden="false" customHeight="false" outlineLevel="0" collapsed="false">
      <c r="A101" s="27"/>
      <c r="B101" s="5"/>
      <c r="C101" s="18"/>
      <c r="D101" s="5"/>
      <c r="E101" s="35"/>
      <c r="F101" s="5"/>
      <c r="G101" s="5"/>
      <c r="H101" s="5"/>
      <c r="I101" s="14"/>
      <c r="J101" s="14"/>
      <c r="K101" s="28" t="str">
        <f aca="false">IF(A101="","",COUNTIF(Contratos!$A:$A,A101))</f>
        <v/>
      </c>
      <c r="L101" s="39" t="str">
        <f aca="false">IF(A101="","",SUMIFS(Contratos!$D:$D,Contratos!$A:$A,A101)+SUMIFS(Contratos!$N:$N,Contratos!$A:$A,A101))</f>
        <v/>
      </c>
      <c r="M101" s="39" t="str">
        <f aca="false">IF(A101="","",SUMIFS(Pagamentos!$C:$C,Pagamentos!$A:$A,A101,Pagamentos!$F:$F,"Empenho"))</f>
        <v/>
      </c>
      <c r="N101" s="39" t="str">
        <f aca="false">IF(A101="","",SUMIFS(Pagamentos!$C:$C,Pagamentos!$A:$A,A101,Pagamentos!$F:$F,"Pagamento"))</f>
        <v/>
      </c>
      <c r="O101" s="37" t="str">
        <f aca="false">IF(OR(A101="",E101="",L101="",L101=0),"",E101/L101)</f>
        <v/>
      </c>
      <c r="P101" s="28" t="str">
        <f aca="false">IF(A101="","",COUNTIFS(Sancoes!$A:$A,A101,Sancoes!$B:$B,"&lt;&gt;Não consta"))</f>
        <v/>
      </c>
      <c r="Q101" s="28" t="str">
        <f aca="false">IF(A101="","",COUNTIF(Socios!$A:$A,A101))</f>
        <v/>
      </c>
      <c r="R101" s="28" t="str">
        <f aca="false">IF(A101="","",COUNTIFS(Socios!$A:$A,A101,Socios!$K:$K,"SIM"))</f>
        <v/>
      </c>
      <c r="S101" s="27"/>
      <c r="T101" s="5"/>
    </row>
    <row r="102" customFormat="false" ht="15" hidden="false" customHeight="false" outlineLevel="0" collapsed="false">
      <c r="A102" s="27"/>
      <c r="B102" s="5"/>
      <c r="C102" s="18"/>
      <c r="D102" s="5"/>
      <c r="E102" s="35"/>
      <c r="F102" s="5"/>
      <c r="G102" s="5"/>
      <c r="H102" s="5"/>
      <c r="I102" s="14"/>
      <c r="J102" s="14"/>
      <c r="K102" s="28" t="str">
        <f aca="false">IF(A102="","",COUNTIF(Contratos!$A:$A,A102))</f>
        <v/>
      </c>
      <c r="L102" s="39" t="str">
        <f aca="false">IF(A102="","",SUMIFS(Contratos!$D:$D,Contratos!$A:$A,A102)+SUMIFS(Contratos!$N:$N,Contratos!$A:$A,A102))</f>
        <v/>
      </c>
      <c r="M102" s="39" t="str">
        <f aca="false">IF(A102="","",SUMIFS(Pagamentos!$C:$C,Pagamentos!$A:$A,A102,Pagamentos!$F:$F,"Empenho"))</f>
        <v/>
      </c>
      <c r="N102" s="39" t="str">
        <f aca="false">IF(A102="","",SUMIFS(Pagamentos!$C:$C,Pagamentos!$A:$A,A102,Pagamentos!$F:$F,"Pagamento"))</f>
        <v/>
      </c>
      <c r="O102" s="37" t="str">
        <f aca="false">IF(OR(A102="",E102="",L102="",L102=0),"",E102/L102)</f>
        <v/>
      </c>
      <c r="P102" s="28" t="str">
        <f aca="false">IF(A102="","",COUNTIFS(Sancoes!$A:$A,A102,Sancoes!$B:$B,"&lt;&gt;Não consta"))</f>
        <v/>
      </c>
      <c r="Q102" s="28" t="str">
        <f aca="false">IF(A102="","",COUNTIF(Socios!$A:$A,A102))</f>
        <v/>
      </c>
      <c r="R102" s="28" t="str">
        <f aca="false">IF(A102="","",COUNTIFS(Socios!$A:$A,A102,Socios!$K:$K,"SIM"))</f>
        <v/>
      </c>
      <c r="S102" s="27"/>
      <c r="T102" s="5"/>
    </row>
    <row r="103" customFormat="false" ht="15" hidden="false" customHeight="false" outlineLevel="0" collapsed="false">
      <c r="A103" s="27"/>
      <c r="B103" s="5"/>
      <c r="C103" s="18"/>
      <c r="D103" s="5"/>
      <c r="E103" s="35"/>
      <c r="F103" s="5"/>
      <c r="G103" s="5"/>
      <c r="H103" s="5"/>
      <c r="I103" s="14"/>
      <c r="J103" s="14"/>
      <c r="K103" s="28" t="str">
        <f aca="false">IF(A103="","",COUNTIF(Contratos!$A:$A,A103))</f>
        <v/>
      </c>
      <c r="L103" s="39" t="str">
        <f aca="false">IF(A103="","",SUMIFS(Contratos!$D:$D,Contratos!$A:$A,A103)+SUMIFS(Contratos!$N:$N,Contratos!$A:$A,A103))</f>
        <v/>
      </c>
      <c r="M103" s="39" t="str">
        <f aca="false">IF(A103="","",SUMIFS(Pagamentos!$C:$C,Pagamentos!$A:$A,A103,Pagamentos!$F:$F,"Empenho"))</f>
        <v/>
      </c>
      <c r="N103" s="39" t="str">
        <f aca="false">IF(A103="","",SUMIFS(Pagamentos!$C:$C,Pagamentos!$A:$A,A103,Pagamentos!$F:$F,"Pagamento"))</f>
        <v/>
      </c>
      <c r="O103" s="37" t="str">
        <f aca="false">IF(OR(A103="",E103="",L103="",L103=0),"",E103/L103)</f>
        <v/>
      </c>
      <c r="P103" s="28" t="str">
        <f aca="false">IF(A103="","",COUNTIFS(Sancoes!$A:$A,A103,Sancoes!$B:$B,"&lt;&gt;Não consta"))</f>
        <v/>
      </c>
      <c r="Q103" s="28" t="str">
        <f aca="false">IF(A103="","",COUNTIF(Socios!$A:$A,A103))</f>
        <v/>
      </c>
      <c r="R103" s="28" t="str">
        <f aca="false">IF(A103="","",COUNTIFS(Socios!$A:$A,A103,Socios!$K:$K,"SIM"))</f>
        <v/>
      </c>
      <c r="S103" s="27"/>
      <c r="T103" s="5"/>
    </row>
    <row r="104" customFormat="false" ht="15" hidden="false" customHeight="false" outlineLevel="0" collapsed="false">
      <c r="A104" s="27"/>
      <c r="B104" s="5"/>
      <c r="C104" s="18"/>
      <c r="D104" s="5"/>
      <c r="E104" s="35"/>
      <c r="F104" s="5"/>
      <c r="G104" s="5"/>
      <c r="H104" s="5"/>
      <c r="I104" s="14"/>
      <c r="J104" s="14"/>
      <c r="K104" s="28" t="str">
        <f aca="false">IF(A104="","",COUNTIF(Contratos!$A:$A,A104))</f>
        <v/>
      </c>
      <c r="L104" s="39" t="str">
        <f aca="false">IF(A104="","",SUMIFS(Contratos!$D:$D,Contratos!$A:$A,A104)+SUMIFS(Contratos!$N:$N,Contratos!$A:$A,A104))</f>
        <v/>
      </c>
      <c r="M104" s="39" t="str">
        <f aca="false">IF(A104="","",SUMIFS(Pagamentos!$C:$C,Pagamentos!$A:$A,A104,Pagamentos!$F:$F,"Empenho"))</f>
        <v/>
      </c>
      <c r="N104" s="39" t="str">
        <f aca="false">IF(A104="","",SUMIFS(Pagamentos!$C:$C,Pagamentos!$A:$A,A104,Pagamentos!$F:$F,"Pagamento"))</f>
        <v/>
      </c>
      <c r="O104" s="37" t="str">
        <f aca="false">IF(OR(A104="",E104="",L104="",L104=0),"",E104/L104)</f>
        <v/>
      </c>
      <c r="P104" s="28" t="str">
        <f aca="false">IF(A104="","",COUNTIFS(Sancoes!$A:$A,A104,Sancoes!$B:$B,"&lt;&gt;Não consta"))</f>
        <v/>
      </c>
      <c r="Q104" s="28" t="str">
        <f aca="false">IF(A104="","",COUNTIF(Socios!$A:$A,A104))</f>
        <v/>
      </c>
      <c r="R104" s="28" t="str">
        <f aca="false">IF(A104="","",COUNTIFS(Socios!$A:$A,A104,Socios!$K:$K,"SIM"))</f>
        <v/>
      </c>
      <c r="S104" s="27"/>
      <c r="T104" s="5"/>
    </row>
    <row r="105" customFormat="false" ht="15" hidden="false" customHeight="false" outlineLevel="0" collapsed="false">
      <c r="A105" s="27"/>
      <c r="B105" s="5"/>
      <c r="C105" s="18"/>
      <c r="D105" s="5"/>
      <c r="E105" s="35"/>
      <c r="F105" s="5"/>
      <c r="G105" s="5"/>
      <c r="H105" s="5"/>
      <c r="I105" s="14"/>
      <c r="J105" s="14"/>
      <c r="K105" s="28" t="str">
        <f aca="false">IF(A105="","",COUNTIF(Contratos!$A:$A,A105))</f>
        <v/>
      </c>
      <c r="L105" s="39" t="str">
        <f aca="false">IF(A105="","",SUMIFS(Contratos!$D:$D,Contratos!$A:$A,A105)+SUMIFS(Contratos!$N:$N,Contratos!$A:$A,A105))</f>
        <v/>
      </c>
      <c r="M105" s="39" t="str">
        <f aca="false">IF(A105="","",SUMIFS(Pagamentos!$C:$C,Pagamentos!$A:$A,A105,Pagamentos!$F:$F,"Empenho"))</f>
        <v/>
      </c>
      <c r="N105" s="39" t="str">
        <f aca="false">IF(A105="","",SUMIFS(Pagamentos!$C:$C,Pagamentos!$A:$A,A105,Pagamentos!$F:$F,"Pagamento"))</f>
        <v/>
      </c>
      <c r="O105" s="37" t="str">
        <f aca="false">IF(OR(A105="",E105="",L105="",L105=0),"",E105/L105)</f>
        <v/>
      </c>
      <c r="P105" s="28" t="str">
        <f aca="false">IF(A105="","",COUNTIFS(Sancoes!$A:$A,A105,Sancoes!$B:$B,"&lt;&gt;Não consta"))</f>
        <v/>
      </c>
      <c r="Q105" s="28" t="str">
        <f aca="false">IF(A105="","",COUNTIF(Socios!$A:$A,A105))</f>
        <v/>
      </c>
      <c r="R105" s="28" t="str">
        <f aca="false">IF(A105="","",COUNTIFS(Socios!$A:$A,A105,Socios!$K:$K,"SIM"))</f>
        <v/>
      </c>
      <c r="S105" s="27"/>
      <c r="T105" s="5"/>
    </row>
    <row r="106" customFormat="false" ht="15" hidden="false" customHeight="false" outlineLevel="0" collapsed="false">
      <c r="A106" s="27"/>
      <c r="B106" s="5"/>
      <c r="C106" s="18"/>
      <c r="D106" s="5"/>
      <c r="E106" s="35"/>
      <c r="F106" s="5"/>
      <c r="G106" s="5"/>
      <c r="H106" s="5"/>
      <c r="I106" s="14"/>
      <c r="J106" s="14"/>
      <c r="K106" s="28" t="str">
        <f aca="false">IF(A106="","",COUNTIF(Contratos!$A:$A,A106))</f>
        <v/>
      </c>
      <c r="L106" s="39" t="str">
        <f aca="false">IF(A106="","",SUMIFS(Contratos!$D:$D,Contratos!$A:$A,A106)+SUMIFS(Contratos!$N:$N,Contratos!$A:$A,A106))</f>
        <v/>
      </c>
      <c r="M106" s="39" t="str">
        <f aca="false">IF(A106="","",SUMIFS(Pagamentos!$C:$C,Pagamentos!$A:$A,A106,Pagamentos!$F:$F,"Empenho"))</f>
        <v/>
      </c>
      <c r="N106" s="39" t="str">
        <f aca="false">IF(A106="","",SUMIFS(Pagamentos!$C:$C,Pagamentos!$A:$A,A106,Pagamentos!$F:$F,"Pagamento"))</f>
        <v/>
      </c>
      <c r="O106" s="37" t="str">
        <f aca="false">IF(OR(A106="",E106="",L106="",L106=0),"",E106/L106)</f>
        <v/>
      </c>
      <c r="P106" s="28" t="str">
        <f aca="false">IF(A106="","",COUNTIFS(Sancoes!$A:$A,A106,Sancoes!$B:$B,"&lt;&gt;Não consta"))</f>
        <v/>
      </c>
      <c r="Q106" s="28" t="str">
        <f aca="false">IF(A106="","",COUNTIF(Socios!$A:$A,A106))</f>
        <v/>
      </c>
      <c r="R106" s="28" t="str">
        <f aca="false">IF(A106="","",COUNTIFS(Socios!$A:$A,A106,Socios!$K:$K,"SIM"))</f>
        <v/>
      </c>
      <c r="S106" s="27"/>
      <c r="T106" s="5"/>
    </row>
    <row r="107" customFormat="false" ht="15" hidden="false" customHeight="false" outlineLevel="0" collapsed="false">
      <c r="A107" s="27"/>
      <c r="B107" s="5"/>
      <c r="C107" s="18"/>
      <c r="D107" s="5"/>
      <c r="E107" s="35"/>
      <c r="F107" s="5"/>
      <c r="G107" s="5"/>
      <c r="H107" s="5"/>
      <c r="I107" s="14"/>
      <c r="J107" s="14"/>
      <c r="K107" s="28" t="str">
        <f aca="false">IF(A107="","",COUNTIF(Contratos!$A:$A,A107))</f>
        <v/>
      </c>
      <c r="L107" s="39" t="str">
        <f aca="false">IF(A107="","",SUMIFS(Contratos!$D:$D,Contratos!$A:$A,A107)+SUMIFS(Contratos!$N:$N,Contratos!$A:$A,A107))</f>
        <v/>
      </c>
      <c r="M107" s="39" t="str">
        <f aca="false">IF(A107="","",SUMIFS(Pagamentos!$C:$C,Pagamentos!$A:$A,A107,Pagamentos!$F:$F,"Empenho"))</f>
        <v/>
      </c>
      <c r="N107" s="39" t="str">
        <f aca="false">IF(A107="","",SUMIFS(Pagamentos!$C:$C,Pagamentos!$A:$A,A107,Pagamentos!$F:$F,"Pagamento"))</f>
        <v/>
      </c>
      <c r="O107" s="37" t="str">
        <f aca="false">IF(OR(A107="",E107="",L107="",L107=0),"",E107/L107)</f>
        <v/>
      </c>
      <c r="P107" s="28" t="str">
        <f aca="false">IF(A107="","",COUNTIFS(Sancoes!$A:$A,A107,Sancoes!$B:$B,"&lt;&gt;Não consta"))</f>
        <v/>
      </c>
      <c r="Q107" s="28" t="str">
        <f aca="false">IF(A107="","",COUNTIF(Socios!$A:$A,A107))</f>
        <v/>
      </c>
      <c r="R107" s="28" t="str">
        <f aca="false">IF(A107="","",COUNTIFS(Socios!$A:$A,A107,Socios!$K:$K,"SIM"))</f>
        <v/>
      </c>
      <c r="S107" s="27"/>
      <c r="T107" s="5"/>
    </row>
    <row r="108" customFormat="false" ht="15" hidden="false" customHeight="false" outlineLevel="0" collapsed="false">
      <c r="A108" s="27"/>
      <c r="B108" s="5"/>
      <c r="C108" s="18"/>
      <c r="D108" s="5"/>
      <c r="E108" s="35"/>
      <c r="F108" s="5"/>
      <c r="G108" s="5"/>
      <c r="H108" s="5"/>
      <c r="I108" s="14"/>
      <c r="J108" s="14"/>
      <c r="K108" s="28" t="str">
        <f aca="false">IF(A108="","",COUNTIF(Contratos!$A:$A,A108))</f>
        <v/>
      </c>
      <c r="L108" s="39" t="str">
        <f aca="false">IF(A108="","",SUMIFS(Contratos!$D:$D,Contratos!$A:$A,A108)+SUMIFS(Contratos!$N:$N,Contratos!$A:$A,A108))</f>
        <v/>
      </c>
      <c r="M108" s="39" t="str">
        <f aca="false">IF(A108="","",SUMIFS(Pagamentos!$C:$C,Pagamentos!$A:$A,A108,Pagamentos!$F:$F,"Empenho"))</f>
        <v/>
      </c>
      <c r="N108" s="39" t="str">
        <f aca="false">IF(A108="","",SUMIFS(Pagamentos!$C:$C,Pagamentos!$A:$A,A108,Pagamentos!$F:$F,"Pagamento"))</f>
        <v/>
      </c>
      <c r="O108" s="37" t="str">
        <f aca="false">IF(OR(A108="",E108="",L108="",L108=0),"",E108/L108)</f>
        <v/>
      </c>
      <c r="P108" s="28" t="str">
        <f aca="false">IF(A108="","",COUNTIFS(Sancoes!$A:$A,A108,Sancoes!$B:$B,"&lt;&gt;Não consta"))</f>
        <v/>
      </c>
      <c r="Q108" s="28" t="str">
        <f aca="false">IF(A108="","",COUNTIF(Socios!$A:$A,A108))</f>
        <v/>
      </c>
      <c r="R108" s="28" t="str">
        <f aca="false">IF(A108="","",COUNTIFS(Socios!$A:$A,A108,Socios!$K:$K,"SIM"))</f>
        <v/>
      </c>
      <c r="S108" s="27"/>
      <c r="T108" s="5"/>
    </row>
    <row r="109" customFormat="false" ht="15" hidden="false" customHeight="false" outlineLevel="0" collapsed="false">
      <c r="A109" s="27"/>
      <c r="B109" s="5"/>
      <c r="C109" s="18"/>
      <c r="D109" s="5"/>
      <c r="E109" s="35"/>
      <c r="F109" s="5"/>
      <c r="G109" s="5"/>
      <c r="H109" s="5"/>
      <c r="I109" s="14"/>
      <c r="J109" s="14"/>
      <c r="K109" s="28" t="str">
        <f aca="false">IF(A109="","",COUNTIF(Contratos!$A:$A,A109))</f>
        <v/>
      </c>
      <c r="L109" s="39" t="str">
        <f aca="false">IF(A109="","",SUMIFS(Contratos!$D:$D,Contratos!$A:$A,A109)+SUMIFS(Contratos!$N:$N,Contratos!$A:$A,A109))</f>
        <v/>
      </c>
      <c r="M109" s="39" t="str">
        <f aca="false">IF(A109="","",SUMIFS(Pagamentos!$C:$C,Pagamentos!$A:$A,A109,Pagamentos!$F:$F,"Empenho"))</f>
        <v/>
      </c>
      <c r="N109" s="39" t="str">
        <f aca="false">IF(A109="","",SUMIFS(Pagamentos!$C:$C,Pagamentos!$A:$A,A109,Pagamentos!$F:$F,"Pagamento"))</f>
        <v/>
      </c>
      <c r="O109" s="37" t="str">
        <f aca="false">IF(OR(A109="",E109="",L109="",L109=0),"",E109/L109)</f>
        <v/>
      </c>
      <c r="P109" s="28" t="str">
        <f aca="false">IF(A109="","",COUNTIFS(Sancoes!$A:$A,A109,Sancoes!$B:$B,"&lt;&gt;Não consta"))</f>
        <v/>
      </c>
      <c r="Q109" s="28" t="str">
        <f aca="false">IF(A109="","",COUNTIF(Socios!$A:$A,A109))</f>
        <v/>
      </c>
      <c r="R109" s="28" t="str">
        <f aca="false">IF(A109="","",COUNTIFS(Socios!$A:$A,A109,Socios!$K:$K,"SIM"))</f>
        <v/>
      </c>
      <c r="S109" s="27"/>
      <c r="T109" s="5"/>
    </row>
    <row r="110" customFormat="false" ht="15" hidden="false" customHeight="false" outlineLevel="0" collapsed="false">
      <c r="A110" s="27"/>
      <c r="B110" s="5"/>
      <c r="C110" s="18"/>
      <c r="D110" s="5"/>
      <c r="E110" s="35"/>
      <c r="F110" s="5"/>
      <c r="G110" s="5"/>
      <c r="H110" s="5"/>
      <c r="I110" s="14"/>
      <c r="J110" s="14"/>
      <c r="K110" s="28" t="str">
        <f aca="false">IF(A110="","",COUNTIF(Contratos!$A:$A,A110))</f>
        <v/>
      </c>
      <c r="L110" s="39" t="str">
        <f aca="false">IF(A110="","",SUMIFS(Contratos!$D:$D,Contratos!$A:$A,A110)+SUMIFS(Contratos!$N:$N,Contratos!$A:$A,A110))</f>
        <v/>
      </c>
      <c r="M110" s="39" t="str">
        <f aca="false">IF(A110="","",SUMIFS(Pagamentos!$C:$C,Pagamentos!$A:$A,A110,Pagamentos!$F:$F,"Empenho"))</f>
        <v/>
      </c>
      <c r="N110" s="39" t="str">
        <f aca="false">IF(A110="","",SUMIFS(Pagamentos!$C:$C,Pagamentos!$A:$A,A110,Pagamentos!$F:$F,"Pagamento"))</f>
        <v/>
      </c>
      <c r="O110" s="37" t="str">
        <f aca="false">IF(OR(A110="",E110="",L110="",L110=0),"",E110/L110)</f>
        <v/>
      </c>
      <c r="P110" s="28" t="str">
        <f aca="false">IF(A110="","",COUNTIFS(Sancoes!$A:$A,A110,Sancoes!$B:$B,"&lt;&gt;Não consta"))</f>
        <v/>
      </c>
      <c r="Q110" s="28" t="str">
        <f aca="false">IF(A110="","",COUNTIF(Socios!$A:$A,A110))</f>
        <v/>
      </c>
      <c r="R110" s="28" t="str">
        <f aca="false">IF(A110="","",COUNTIFS(Socios!$A:$A,A110,Socios!$K:$K,"SIM"))</f>
        <v/>
      </c>
      <c r="S110" s="27"/>
      <c r="T110" s="5"/>
    </row>
    <row r="111" customFormat="false" ht="15" hidden="false" customHeight="false" outlineLevel="0" collapsed="false">
      <c r="A111" s="27"/>
      <c r="B111" s="5"/>
      <c r="C111" s="18"/>
      <c r="D111" s="5"/>
      <c r="E111" s="35"/>
      <c r="F111" s="5"/>
      <c r="G111" s="5"/>
      <c r="H111" s="5"/>
      <c r="I111" s="14"/>
      <c r="J111" s="14"/>
      <c r="K111" s="28" t="str">
        <f aca="false">IF(A111="","",COUNTIF(Contratos!$A:$A,A111))</f>
        <v/>
      </c>
      <c r="L111" s="39" t="str">
        <f aca="false">IF(A111="","",SUMIFS(Contratos!$D:$D,Contratos!$A:$A,A111)+SUMIFS(Contratos!$N:$N,Contratos!$A:$A,A111))</f>
        <v/>
      </c>
      <c r="M111" s="39" t="str">
        <f aca="false">IF(A111="","",SUMIFS(Pagamentos!$C:$C,Pagamentos!$A:$A,A111,Pagamentos!$F:$F,"Empenho"))</f>
        <v/>
      </c>
      <c r="N111" s="39" t="str">
        <f aca="false">IF(A111="","",SUMIFS(Pagamentos!$C:$C,Pagamentos!$A:$A,A111,Pagamentos!$F:$F,"Pagamento"))</f>
        <v/>
      </c>
      <c r="O111" s="37" t="str">
        <f aca="false">IF(OR(A111="",E111="",L111="",L111=0),"",E111/L111)</f>
        <v/>
      </c>
      <c r="P111" s="28" t="str">
        <f aca="false">IF(A111="","",COUNTIFS(Sancoes!$A:$A,A111,Sancoes!$B:$B,"&lt;&gt;Não consta"))</f>
        <v/>
      </c>
      <c r="Q111" s="28" t="str">
        <f aca="false">IF(A111="","",COUNTIF(Socios!$A:$A,A111))</f>
        <v/>
      </c>
      <c r="R111" s="28" t="str">
        <f aca="false">IF(A111="","",COUNTIFS(Socios!$A:$A,A111,Socios!$K:$K,"SIM"))</f>
        <v/>
      </c>
      <c r="S111" s="27"/>
      <c r="T111" s="5"/>
    </row>
    <row r="112" customFormat="false" ht="15" hidden="false" customHeight="false" outlineLevel="0" collapsed="false">
      <c r="A112" s="27"/>
      <c r="B112" s="5"/>
      <c r="C112" s="18"/>
      <c r="D112" s="5"/>
      <c r="E112" s="35"/>
      <c r="F112" s="5"/>
      <c r="G112" s="5"/>
      <c r="H112" s="5"/>
      <c r="I112" s="14"/>
      <c r="J112" s="14"/>
      <c r="K112" s="28" t="str">
        <f aca="false">IF(A112="","",COUNTIF(Contratos!$A:$A,A112))</f>
        <v/>
      </c>
      <c r="L112" s="39" t="str">
        <f aca="false">IF(A112="","",SUMIFS(Contratos!$D:$D,Contratos!$A:$A,A112)+SUMIFS(Contratos!$N:$N,Contratos!$A:$A,A112))</f>
        <v/>
      </c>
      <c r="M112" s="39" t="str">
        <f aca="false">IF(A112="","",SUMIFS(Pagamentos!$C:$C,Pagamentos!$A:$A,A112,Pagamentos!$F:$F,"Empenho"))</f>
        <v/>
      </c>
      <c r="N112" s="39" t="str">
        <f aca="false">IF(A112="","",SUMIFS(Pagamentos!$C:$C,Pagamentos!$A:$A,A112,Pagamentos!$F:$F,"Pagamento"))</f>
        <v/>
      </c>
      <c r="O112" s="37" t="str">
        <f aca="false">IF(OR(A112="",E112="",L112="",L112=0),"",E112/L112)</f>
        <v/>
      </c>
      <c r="P112" s="28" t="str">
        <f aca="false">IF(A112="","",COUNTIFS(Sancoes!$A:$A,A112,Sancoes!$B:$B,"&lt;&gt;Não consta"))</f>
        <v/>
      </c>
      <c r="Q112" s="28" t="str">
        <f aca="false">IF(A112="","",COUNTIF(Socios!$A:$A,A112))</f>
        <v/>
      </c>
      <c r="R112" s="28" t="str">
        <f aca="false">IF(A112="","",COUNTIFS(Socios!$A:$A,A112,Socios!$K:$K,"SIM"))</f>
        <v/>
      </c>
      <c r="S112" s="27"/>
      <c r="T112" s="5"/>
    </row>
    <row r="113" customFormat="false" ht="15" hidden="false" customHeight="false" outlineLevel="0" collapsed="false">
      <c r="A113" s="27"/>
      <c r="B113" s="5"/>
      <c r="C113" s="18"/>
      <c r="D113" s="5"/>
      <c r="E113" s="35"/>
      <c r="F113" s="5"/>
      <c r="G113" s="5"/>
      <c r="H113" s="5"/>
      <c r="I113" s="14"/>
      <c r="J113" s="14"/>
      <c r="K113" s="28" t="str">
        <f aca="false">IF(A113="","",COUNTIF(Contratos!$A:$A,A113))</f>
        <v/>
      </c>
      <c r="L113" s="39" t="str">
        <f aca="false">IF(A113="","",SUMIFS(Contratos!$D:$D,Contratos!$A:$A,A113)+SUMIFS(Contratos!$N:$N,Contratos!$A:$A,A113))</f>
        <v/>
      </c>
      <c r="M113" s="39" t="str">
        <f aca="false">IF(A113="","",SUMIFS(Pagamentos!$C:$C,Pagamentos!$A:$A,A113,Pagamentos!$F:$F,"Empenho"))</f>
        <v/>
      </c>
      <c r="N113" s="39" t="str">
        <f aca="false">IF(A113="","",SUMIFS(Pagamentos!$C:$C,Pagamentos!$A:$A,A113,Pagamentos!$F:$F,"Pagamento"))</f>
        <v/>
      </c>
      <c r="O113" s="37" t="str">
        <f aca="false">IF(OR(A113="",E113="",L113="",L113=0),"",E113/L113)</f>
        <v/>
      </c>
      <c r="P113" s="28" t="str">
        <f aca="false">IF(A113="","",COUNTIFS(Sancoes!$A:$A,A113,Sancoes!$B:$B,"&lt;&gt;Não consta"))</f>
        <v/>
      </c>
      <c r="Q113" s="28" t="str">
        <f aca="false">IF(A113="","",COUNTIF(Socios!$A:$A,A113))</f>
        <v/>
      </c>
      <c r="R113" s="28" t="str">
        <f aca="false">IF(A113="","",COUNTIFS(Socios!$A:$A,A113,Socios!$K:$K,"SIM"))</f>
        <v/>
      </c>
      <c r="S113" s="27"/>
      <c r="T113" s="5"/>
    </row>
    <row r="114" customFormat="false" ht="15" hidden="false" customHeight="false" outlineLevel="0" collapsed="false">
      <c r="A114" s="27"/>
      <c r="B114" s="5"/>
      <c r="C114" s="18"/>
      <c r="D114" s="5"/>
      <c r="E114" s="35"/>
      <c r="F114" s="5"/>
      <c r="G114" s="5"/>
      <c r="H114" s="5"/>
      <c r="I114" s="14"/>
      <c r="J114" s="14"/>
      <c r="K114" s="28" t="str">
        <f aca="false">IF(A114="","",COUNTIF(Contratos!$A:$A,A114))</f>
        <v/>
      </c>
      <c r="L114" s="39" t="str">
        <f aca="false">IF(A114="","",SUMIFS(Contratos!$D:$D,Contratos!$A:$A,A114)+SUMIFS(Contratos!$N:$N,Contratos!$A:$A,A114))</f>
        <v/>
      </c>
      <c r="M114" s="39" t="str">
        <f aca="false">IF(A114="","",SUMIFS(Pagamentos!$C:$C,Pagamentos!$A:$A,A114,Pagamentos!$F:$F,"Empenho"))</f>
        <v/>
      </c>
      <c r="N114" s="39" t="str">
        <f aca="false">IF(A114="","",SUMIFS(Pagamentos!$C:$C,Pagamentos!$A:$A,A114,Pagamentos!$F:$F,"Pagamento"))</f>
        <v/>
      </c>
      <c r="O114" s="37" t="str">
        <f aca="false">IF(OR(A114="",E114="",L114="",L114=0),"",E114/L114)</f>
        <v/>
      </c>
      <c r="P114" s="28" t="str">
        <f aca="false">IF(A114="","",COUNTIFS(Sancoes!$A:$A,A114,Sancoes!$B:$B,"&lt;&gt;Não consta"))</f>
        <v/>
      </c>
      <c r="Q114" s="28" t="str">
        <f aca="false">IF(A114="","",COUNTIF(Socios!$A:$A,A114))</f>
        <v/>
      </c>
      <c r="R114" s="28" t="str">
        <f aca="false">IF(A114="","",COUNTIFS(Socios!$A:$A,A114,Socios!$K:$K,"SIM"))</f>
        <v/>
      </c>
      <c r="S114" s="27"/>
      <c r="T114" s="5"/>
    </row>
    <row r="115" customFormat="false" ht="15" hidden="false" customHeight="false" outlineLevel="0" collapsed="false">
      <c r="A115" s="27"/>
      <c r="B115" s="5"/>
      <c r="C115" s="18"/>
      <c r="D115" s="5"/>
      <c r="E115" s="35"/>
      <c r="F115" s="5"/>
      <c r="G115" s="5"/>
      <c r="H115" s="5"/>
      <c r="I115" s="14"/>
      <c r="J115" s="14"/>
      <c r="K115" s="28" t="str">
        <f aca="false">IF(A115="","",COUNTIF(Contratos!$A:$A,A115))</f>
        <v/>
      </c>
      <c r="L115" s="39" t="str">
        <f aca="false">IF(A115="","",SUMIFS(Contratos!$D:$D,Contratos!$A:$A,A115)+SUMIFS(Contratos!$N:$N,Contratos!$A:$A,A115))</f>
        <v/>
      </c>
      <c r="M115" s="39" t="str">
        <f aca="false">IF(A115="","",SUMIFS(Pagamentos!$C:$C,Pagamentos!$A:$A,A115,Pagamentos!$F:$F,"Empenho"))</f>
        <v/>
      </c>
      <c r="N115" s="39" t="str">
        <f aca="false">IF(A115="","",SUMIFS(Pagamentos!$C:$C,Pagamentos!$A:$A,A115,Pagamentos!$F:$F,"Pagamento"))</f>
        <v/>
      </c>
      <c r="O115" s="37" t="str">
        <f aca="false">IF(OR(A115="",E115="",L115="",L115=0),"",E115/L115)</f>
        <v/>
      </c>
      <c r="P115" s="28" t="str">
        <f aca="false">IF(A115="","",COUNTIFS(Sancoes!$A:$A,A115,Sancoes!$B:$B,"&lt;&gt;Não consta"))</f>
        <v/>
      </c>
      <c r="Q115" s="28" t="str">
        <f aca="false">IF(A115="","",COUNTIF(Socios!$A:$A,A115))</f>
        <v/>
      </c>
      <c r="R115" s="28" t="str">
        <f aca="false">IF(A115="","",COUNTIFS(Socios!$A:$A,A115,Socios!$K:$K,"SIM"))</f>
        <v/>
      </c>
      <c r="S115" s="27"/>
      <c r="T115" s="5"/>
    </row>
    <row r="116" customFormat="false" ht="15" hidden="false" customHeight="false" outlineLevel="0" collapsed="false">
      <c r="A116" s="27"/>
      <c r="B116" s="5"/>
      <c r="C116" s="18"/>
      <c r="D116" s="5"/>
      <c r="E116" s="35"/>
      <c r="F116" s="5"/>
      <c r="G116" s="5"/>
      <c r="H116" s="5"/>
      <c r="I116" s="14"/>
      <c r="J116" s="14"/>
      <c r="K116" s="28" t="str">
        <f aca="false">IF(A116="","",COUNTIF(Contratos!$A:$A,A116))</f>
        <v/>
      </c>
      <c r="L116" s="39" t="str">
        <f aca="false">IF(A116="","",SUMIFS(Contratos!$D:$D,Contratos!$A:$A,A116)+SUMIFS(Contratos!$N:$N,Contratos!$A:$A,A116))</f>
        <v/>
      </c>
      <c r="M116" s="39" t="str">
        <f aca="false">IF(A116="","",SUMIFS(Pagamentos!$C:$C,Pagamentos!$A:$A,A116,Pagamentos!$F:$F,"Empenho"))</f>
        <v/>
      </c>
      <c r="N116" s="39" t="str">
        <f aca="false">IF(A116="","",SUMIFS(Pagamentos!$C:$C,Pagamentos!$A:$A,A116,Pagamentos!$F:$F,"Pagamento"))</f>
        <v/>
      </c>
      <c r="O116" s="37" t="str">
        <f aca="false">IF(OR(A116="",E116="",L116="",L116=0),"",E116/L116)</f>
        <v/>
      </c>
      <c r="P116" s="28" t="str">
        <f aca="false">IF(A116="","",COUNTIFS(Sancoes!$A:$A,A116,Sancoes!$B:$B,"&lt;&gt;Não consta"))</f>
        <v/>
      </c>
      <c r="Q116" s="28" t="str">
        <f aca="false">IF(A116="","",COUNTIF(Socios!$A:$A,A116))</f>
        <v/>
      </c>
      <c r="R116" s="28" t="str">
        <f aca="false">IF(A116="","",COUNTIFS(Socios!$A:$A,A116,Socios!$K:$K,"SIM"))</f>
        <v/>
      </c>
      <c r="S116" s="27"/>
      <c r="T116" s="5"/>
    </row>
    <row r="117" customFormat="false" ht="15" hidden="false" customHeight="false" outlineLevel="0" collapsed="false">
      <c r="A117" s="27"/>
      <c r="B117" s="5"/>
      <c r="C117" s="18"/>
      <c r="D117" s="5"/>
      <c r="E117" s="35"/>
      <c r="F117" s="5"/>
      <c r="G117" s="5"/>
      <c r="H117" s="5"/>
      <c r="I117" s="14"/>
      <c r="J117" s="14"/>
      <c r="K117" s="28" t="str">
        <f aca="false">IF(A117="","",COUNTIF(Contratos!$A:$A,A117))</f>
        <v/>
      </c>
      <c r="L117" s="39" t="str">
        <f aca="false">IF(A117="","",SUMIFS(Contratos!$D:$D,Contratos!$A:$A,A117)+SUMIFS(Contratos!$N:$N,Contratos!$A:$A,A117))</f>
        <v/>
      </c>
      <c r="M117" s="39" t="str">
        <f aca="false">IF(A117="","",SUMIFS(Pagamentos!$C:$C,Pagamentos!$A:$A,A117,Pagamentos!$F:$F,"Empenho"))</f>
        <v/>
      </c>
      <c r="N117" s="39" t="str">
        <f aca="false">IF(A117="","",SUMIFS(Pagamentos!$C:$C,Pagamentos!$A:$A,A117,Pagamentos!$F:$F,"Pagamento"))</f>
        <v/>
      </c>
      <c r="O117" s="37" t="str">
        <f aca="false">IF(OR(A117="",E117="",L117="",L117=0),"",E117/L117)</f>
        <v/>
      </c>
      <c r="P117" s="28" t="str">
        <f aca="false">IF(A117="","",COUNTIFS(Sancoes!$A:$A,A117,Sancoes!$B:$B,"&lt;&gt;Não consta"))</f>
        <v/>
      </c>
      <c r="Q117" s="28" t="str">
        <f aca="false">IF(A117="","",COUNTIF(Socios!$A:$A,A117))</f>
        <v/>
      </c>
      <c r="R117" s="28" t="str">
        <f aca="false">IF(A117="","",COUNTIFS(Socios!$A:$A,A117,Socios!$K:$K,"SIM"))</f>
        <v/>
      </c>
      <c r="S117" s="27"/>
      <c r="T117" s="5"/>
    </row>
    <row r="118" customFormat="false" ht="15" hidden="false" customHeight="false" outlineLevel="0" collapsed="false">
      <c r="A118" s="27"/>
      <c r="B118" s="5"/>
      <c r="C118" s="18"/>
      <c r="D118" s="5"/>
      <c r="E118" s="35"/>
      <c r="F118" s="5"/>
      <c r="G118" s="5"/>
      <c r="H118" s="5"/>
      <c r="I118" s="14"/>
      <c r="J118" s="14"/>
      <c r="K118" s="28" t="str">
        <f aca="false">IF(A118="","",COUNTIF(Contratos!$A:$A,A118))</f>
        <v/>
      </c>
      <c r="L118" s="39" t="str">
        <f aca="false">IF(A118="","",SUMIFS(Contratos!$D:$D,Contratos!$A:$A,A118)+SUMIFS(Contratos!$N:$N,Contratos!$A:$A,A118))</f>
        <v/>
      </c>
      <c r="M118" s="39" t="str">
        <f aca="false">IF(A118="","",SUMIFS(Pagamentos!$C:$C,Pagamentos!$A:$A,A118,Pagamentos!$F:$F,"Empenho"))</f>
        <v/>
      </c>
      <c r="N118" s="39" t="str">
        <f aca="false">IF(A118="","",SUMIFS(Pagamentos!$C:$C,Pagamentos!$A:$A,A118,Pagamentos!$F:$F,"Pagamento"))</f>
        <v/>
      </c>
      <c r="O118" s="37" t="str">
        <f aca="false">IF(OR(A118="",E118="",L118="",L118=0),"",E118/L118)</f>
        <v/>
      </c>
      <c r="P118" s="28" t="str">
        <f aca="false">IF(A118="","",COUNTIFS(Sancoes!$A:$A,A118,Sancoes!$B:$B,"&lt;&gt;Não consta"))</f>
        <v/>
      </c>
      <c r="Q118" s="28" t="str">
        <f aca="false">IF(A118="","",COUNTIF(Socios!$A:$A,A118))</f>
        <v/>
      </c>
      <c r="R118" s="28" t="str">
        <f aca="false">IF(A118="","",COUNTIFS(Socios!$A:$A,A118,Socios!$K:$K,"SIM"))</f>
        <v/>
      </c>
      <c r="S118" s="27"/>
      <c r="T118" s="5"/>
    </row>
    <row r="119" customFormat="false" ht="15" hidden="false" customHeight="false" outlineLevel="0" collapsed="false">
      <c r="A119" s="27"/>
      <c r="B119" s="5"/>
      <c r="C119" s="18"/>
      <c r="D119" s="5"/>
      <c r="E119" s="35"/>
      <c r="F119" s="5"/>
      <c r="G119" s="5"/>
      <c r="H119" s="5"/>
      <c r="I119" s="14"/>
      <c r="J119" s="14"/>
      <c r="K119" s="28" t="str">
        <f aca="false">IF(A119="","",COUNTIF(Contratos!$A:$A,A119))</f>
        <v/>
      </c>
      <c r="L119" s="39" t="str">
        <f aca="false">IF(A119="","",SUMIFS(Contratos!$D:$D,Contratos!$A:$A,A119)+SUMIFS(Contratos!$N:$N,Contratos!$A:$A,A119))</f>
        <v/>
      </c>
      <c r="M119" s="39" t="str">
        <f aca="false">IF(A119="","",SUMIFS(Pagamentos!$C:$C,Pagamentos!$A:$A,A119,Pagamentos!$F:$F,"Empenho"))</f>
        <v/>
      </c>
      <c r="N119" s="39" t="str">
        <f aca="false">IF(A119="","",SUMIFS(Pagamentos!$C:$C,Pagamentos!$A:$A,A119,Pagamentos!$F:$F,"Pagamento"))</f>
        <v/>
      </c>
      <c r="O119" s="37" t="str">
        <f aca="false">IF(OR(A119="",E119="",L119="",L119=0),"",E119/L119)</f>
        <v/>
      </c>
      <c r="P119" s="28" t="str">
        <f aca="false">IF(A119="","",COUNTIFS(Sancoes!$A:$A,A119,Sancoes!$B:$B,"&lt;&gt;Não consta"))</f>
        <v/>
      </c>
      <c r="Q119" s="28" t="str">
        <f aca="false">IF(A119="","",COUNTIF(Socios!$A:$A,A119))</f>
        <v/>
      </c>
      <c r="R119" s="28" t="str">
        <f aca="false">IF(A119="","",COUNTIFS(Socios!$A:$A,A119,Socios!$K:$K,"SIM"))</f>
        <v/>
      </c>
      <c r="S119" s="27"/>
      <c r="T119" s="5"/>
    </row>
    <row r="120" customFormat="false" ht="15" hidden="false" customHeight="false" outlineLevel="0" collapsed="false">
      <c r="A120" s="27"/>
      <c r="B120" s="5"/>
      <c r="C120" s="18"/>
      <c r="D120" s="5"/>
      <c r="E120" s="35"/>
      <c r="F120" s="5"/>
      <c r="G120" s="5"/>
      <c r="H120" s="5"/>
      <c r="I120" s="14"/>
      <c r="J120" s="14"/>
      <c r="K120" s="28" t="str">
        <f aca="false">IF(A120="","",COUNTIF(Contratos!$A:$A,A120))</f>
        <v/>
      </c>
      <c r="L120" s="39" t="str">
        <f aca="false">IF(A120="","",SUMIFS(Contratos!$D:$D,Contratos!$A:$A,A120)+SUMIFS(Contratos!$N:$N,Contratos!$A:$A,A120))</f>
        <v/>
      </c>
      <c r="M120" s="39" t="str">
        <f aca="false">IF(A120="","",SUMIFS(Pagamentos!$C:$C,Pagamentos!$A:$A,A120,Pagamentos!$F:$F,"Empenho"))</f>
        <v/>
      </c>
      <c r="N120" s="39" t="str">
        <f aca="false">IF(A120="","",SUMIFS(Pagamentos!$C:$C,Pagamentos!$A:$A,A120,Pagamentos!$F:$F,"Pagamento"))</f>
        <v/>
      </c>
      <c r="O120" s="37" t="str">
        <f aca="false">IF(OR(A120="",E120="",L120="",L120=0),"",E120/L120)</f>
        <v/>
      </c>
      <c r="P120" s="28" t="str">
        <f aca="false">IF(A120="","",COUNTIFS(Sancoes!$A:$A,A120,Sancoes!$B:$B,"&lt;&gt;Não consta"))</f>
        <v/>
      </c>
      <c r="Q120" s="28" t="str">
        <f aca="false">IF(A120="","",COUNTIF(Socios!$A:$A,A120))</f>
        <v/>
      </c>
      <c r="R120" s="28" t="str">
        <f aca="false">IF(A120="","",COUNTIFS(Socios!$A:$A,A120,Socios!$K:$K,"SIM"))</f>
        <v/>
      </c>
      <c r="S120" s="27"/>
      <c r="T120" s="5"/>
    </row>
    <row r="121" customFormat="false" ht="15" hidden="false" customHeight="false" outlineLevel="0" collapsed="false">
      <c r="A121" s="27"/>
      <c r="B121" s="5"/>
      <c r="C121" s="18"/>
      <c r="D121" s="5"/>
      <c r="E121" s="35"/>
      <c r="F121" s="5"/>
      <c r="G121" s="5"/>
      <c r="H121" s="5"/>
      <c r="I121" s="14"/>
      <c r="J121" s="14"/>
      <c r="K121" s="28" t="str">
        <f aca="false">IF(A121="","",COUNTIF(Contratos!$A:$A,A121))</f>
        <v/>
      </c>
      <c r="L121" s="39" t="str">
        <f aca="false">IF(A121="","",SUMIFS(Contratos!$D:$D,Contratos!$A:$A,A121)+SUMIFS(Contratos!$N:$N,Contratos!$A:$A,A121))</f>
        <v/>
      </c>
      <c r="M121" s="39" t="str">
        <f aca="false">IF(A121="","",SUMIFS(Pagamentos!$C:$C,Pagamentos!$A:$A,A121,Pagamentos!$F:$F,"Empenho"))</f>
        <v/>
      </c>
      <c r="N121" s="39" t="str">
        <f aca="false">IF(A121="","",SUMIFS(Pagamentos!$C:$C,Pagamentos!$A:$A,A121,Pagamentos!$F:$F,"Pagamento"))</f>
        <v/>
      </c>
      <c r="O121" s="37" t="str">
        <f aca="false">IF(OR(A121="",E121="",L121="",L121=0),"",E121/L121)</f>
        <v/>
      </c>
      <c r="P121" s="28" t="str">
        <f aca="false">IF(A121="","",COUNTIFS(Sancoes!$A:$A,A121,Sancoes!$B:$B,"&lt;&gt;Não consta"))</f>
        <v/>
      </c>
      <c r="Q121" s="28" t="str">
        <f aca="false">IF(A121="","",COUNTIF(Socios!$A:$A,A121))</f>
        <v/>
      </c>
      <c r="R121" s="28" t="str">
        <f aca="false">IF(A121="","",COUNTIFS(Socios!$A:$A,A121,Socios!$K:$K,"SIM"))</f>
        <v/>
      </c>
      <c r="S121" s="27"/>
      <c r="T121" s="5"/>
    </row>
    <row r="122" customFormat="false" ht="15" hidden="false" customHeight="false" outlineLevel="0" collapsed="false">
      <c r="A122" s="27"/>
      <c r="B122" s="5"/>
      <c r="C122" s="18"/>
      <c r="D122" s="5"/>
      <c r="E122" s="35"/>
      <c r="F122" s="5"/>
      <c r="G122" s="5"/>
      <c r="H122" s="5"/>
      <c r="I122" s="14"/>
      <c r="J122" s="14"/>
      <c r="K122" s="28" t="str">
        <f aca="false">IF(A122="","",COUNTIF(Contratos!$A:$A,A122))</f>
        <v/>
      </c>
      <c r="L122" s="39" t="str">
        <f aca="false">IF(A122="","",SUMIFS(Contratos!$D:$D,Contratos!$A:$A,A122)+SUMIFS(Contratos!$N:$N,Contratos!$A:$A,A122))</f>
        <v/>
      </c>
      <c r="M122" s="39" t="str">
        <f aca="false">IF(A122="","",SUMIFS(Pagamentos!$C:$C,Pagamentos!$A:$A,A122,Pagamentos!$F:$F,"Empenho"))</f>
        <v/>
      </c>
      <c r="N122" s="39" t="str">
        <f aca="false">IF(A122="","",SUMIFS(Pagamentos!$C:$C,Pagamentos!$A:$A,A122,Pagamentos!$F:$F,"Pagamento"))</f>
        <v/>
      </c>
      <c r="O122" s="37" t="str">
        <f aca="false">IF(OR(A122="",E122="",L122="",L122=0),"",E122/L122)</f>
        <v/>
      </c>
      <c r="P122" s="28" t="str">
        <f aca="false">IF(A122="","",COUNTIFS(Sancoes!$A:$A,A122,Sancoes!$B:$B,"&lt;&gt;Não consta"))</f>
        <v/>
      </c>
      <c r="Q122" s="28" t="str">
        <f aca="false">IF(A122="","",COUNTIF(Socios!$A:$A,A122))</f>
        <v/>
      </c>
      <c r="R122" s="28" t="str">
        <f aca="false">IF(A122="","",COUNTIFS(Socios!$A:$A,A122,Socios!$K:$K,"SIM"))</f>
        <v/>
      </c>
      <c r="S122" s="27"/>
      <c r="T122" s="5"/>
    </row>
    <row r="123" customFormat="false" ht="15" hidden="false" customHeight="false" outlineLevel="0" collapsed="false">
      <c r="A123" s="27"/>
      <c r="B123" s="5"/>
      <c r="C123" s="18"/>
      <c r="D123" s="5"/>
      <c r="E123" s="35"/>
      <c r="F123" s="5"/>
      <c r="G123" s="5"/>
      <c r="H123" s="5"/>
      <c r="I123" s="14"/>
      <c r="J123" s="14"/>
      <c r="K123" s="28" t="str">
        <f aca="false">IF(A123="","",COUNTIF(Contratos!$A:$A,A123))</f>
        <v/>
      </c>
      <c r="L123" s="39" t="str">
        <f aca="false">IF(A123="","",SUMIFS(Contratos!$D:$D,Contratos!$A:$A,A123)+SUMIFS(Contratos!$N:$N,Contratos!$A:$A,A123))</f>
        <v/>
      </c>
      <c r="M123" s="39" t="str">
        <f aca="false">IF(A123="","",SUMIFS(Pagamentos!$C:$C,Pagamentos!$A:$A,A123,Pagamentos!$F:$F,"Empenho"))</f>
        <v/>
      </c>
      <c r="N123" s="39" t="str">
        <f aca="false">IF(A123="","",SUMIFS(Pagamentos!$C:$C,Pagamentos!$A:$A,A123,Pagamentos!$F:$F,"Pagamento"))</f>
        <v/>
      </c>
      <c r="O123" s="37" t="str">
        <f aca="false">IF(OR(A123="",E123="",L123="",L123=0),"",E123/L123)</f>
        <v/>
      </c>
      <c r="P123" s="28" t="str">
        <f aca="false">IF(A123="","",COUNTIFS(Sancoes!$A:$A,A123,Sancoes!$B:$B,"&lt;&gt;Não consta"))</f>
        <v/>
      </c>
      <c r="Q123" s="28" t="str">
        <f aca="false">IF(A123="","",COUNTIF(Socios!$A:$A,A123))</f>
        <v/>
      </c>
      <c r="R123" s="28" t="str">
        <f aca="false">IF(A123="","",COUNTIFS(Socios!$A:$A,A123,Socios!$K:$K,"SIM"))</f>
        <v/>
      </c>
      <c r="S123" s="27"/>
      <c r="T123" s="5"/>
    </row>
    <row r="124" customFormat="false" ht="15" hidden="false" customHeight="false" outlineLevel="0" collapsed="false">
      <c r="A124" s="27"/>
      <c r="B124" s="5"/>
      <c r="C124" s="18"/>
      <c r="D124" s="5"/>
      <c r="E124" s="35"/>
      <c r="F124" s="5"/>
      <c r="G124" s="5"/>
      <c r="H124" s="5"/>
      <c r="I124" s="14"/>
      <c r="J124" s="14"/>
      <c r="K124" s="28" t="str">
        <f aca="false">IF(A124="","",COUNTIF(Contratos!$A:$A,A124))</f>
        <v/>
      </c>
      <c r="L124" s="39" t="str">
        <f aca="false">IF(A124="","",SUMIFS(Contratos!$D:$D,Contratos!$A:$A,A124)+SUMIFS(Contratos!$N:$N,Contratos!$A:$A,A124))</f>
        <v/>
      </c>
      <c r="M124" s="39" t="str">
        <f aca="false">IF(A124="","",SUMIFS(Pagamentos!$C:$C,Pagamentos!$A:$A,A124,Pagamentos!$F:$F,"Empenho"))</f>
        <v/>
      </c>
      <c r="N124" s="39" t="str">
        <f aca="false">IF(A124="","",SUMIFS(Pagamentos!$C:$C,Pagamentos!$A:$A,A124,Pagamentos!$F:$F,"Pagamento"))</f>
        <v/>
      </c>
      <c r="O124" s="37" t="str">
        <f aca="false">IF(OR(A124="",E124="",L124="",L124=0),"",E124/L124)</f>
        <v/>
      </c>
      <c r="P124" s="28" t="str">
        <f aca="false">IF(A124="","",COUNTIFS(Sancoes!$A:$A,A124,Sancoes!$B:$B,"&lt;&gt;Não consta"))</f>
        <v/>
      </c>
      <c r="Q124" s="28" t="str">
        <f aca="false">IF(A124="","",COUNTIF(Socios!$A:$A,A124))</f>
        <v/>
      </c>
      <c r="R124" s="28" t="str">
        <f aca="false">IF(A124="","",COUNTIFS(Socios!$A:$A,A124,Socios!$K:$K,"SIM"))</f>
        <v/>
      </c>
      <c r="S124" s="27"/>
      <c r="T124" s="5"/>
    </row>
    <row r="125" customFormat="false" ht="15" hidden="false" customHeight="false" outlineLevel="0" collapsed="false">
      <c r="A125" s="27"/>
      <c r="B125" s="5"/>
      <c r="C125" s="18"/>
      <c r="D125" s="5"/>
      <c r="E125" s="35"/>
      <c r="F125" s="5"/>
      <c r="G125" s="5"/>
      <c r="H125" s="5"/>
      <c r="I125" s="14"/>
      <c r="J125" s="14"/>
      <c r="K125" s="28" t="str">
        <f aca="false">IF(A125="","",COUNTIF(Contratos!$A:$A,A125))</f>
        <v/>
      </c>
      <c r="L125" s="39" t="str">
        <f aca="false">IF(A125="","",SUMIFS(Contratos!$D:$D,Contratos!$A:$A,A125)+SUMIFS(Contratos!$N:$N,Contratos!$A:$A,A125))</f>
        <v/>
      </c>
      <c r="M125" s="39" t="str">
        <f aca="false">IF(A125="","",SUMIFS(Pagamentos!$C:$C,Pagamentos!$A:$A,A125,Pagamentos!$F:$F,"Empenho"))</f>
        <v/>
      </c>
      <c r="N125" s="39" t="str">
        <f aca="false">IF(A125="","",SUMIFS(Pagamentos!$C:$C,Pagamentos!$A:$A,A125,Pagamentos!$F:$F,"Pagamento"))</f>
        <v/>
      </c>
      <c r="O125" s="37" t="str">
        <f aca="false">IF(OR(A125="",E125="",L125="",L125=0),"",E125/L125)</f>
        <v/>
      </c>
      <c r="P125" s="28" t="str">
        <f aca="false">IF(A125="","",COUNTIFS(Sancoes!$A:$A,A125,Sancoes!$B:$B,"&lt;&gt;Não consta"))</f>
        <v/>
      </c>
      <c r="Q125" s="28" t="str">
        <f aca="false">IF(A125="","",COUNTIF(Socios!$A:$A,A125))</f>
        <v/>
      </c>
      <c r="R125" s="28" t="str">
        <f aca="false">IF(A125="","",COUNTIFS(Socios!$A:$A,A125,Socios!$K:$K,"SIM"))</f>
        <v/>
      </c>
      <c r="S125" s="27"/>
      <c r="T125" s="5"/>
    </row>
    <row r="126" customFormat="false" ht="15" hidden="false" customHeight="false" outlineLevel="0" collapsed="false">
      <c r="A126" s="27"/>
      <c r="B126" s="5"/>
      <c r="C126" s="18"/>
      <c r="D126" s="5"/>
      <c r="E126" s="35"/>
      <c r="F126" s="5"/>
      <c r="G126" s="5"/>
      <c r="H126" s="5"/>
      <c r="I126" s="14"/>
      <c r="J126" s="14"/>
      <c r="K126" s="28" t="str">
        <f aca="false">IF(A126="","",COUNTIF(Contratos!$A:$A,A126))</f>
        <v/>
      </c>
      <c r="L126" s="39" t="str">
        <f aca="false">IF(A126="","",SUMIFS(Contratos!$D:$D,Contratos!$A:$A,A126)+SUMIFS(Contratos!$N:$N,Contratos!$A:$A,A126))</f>
        <v/>
      </c>
      <c r="M126" s="39" t="str">
        <f aca="false">IF(A126="","",SUMIFS(Pagamentos!$C:$C,Pagamentos!$A:$A,A126,Pagamentos!$F:$F,"Empenho"))</f>
        <v/>
      </c>
      <c r="N126" s="39" t="str">
        <f aca="false">IF(A126="","",SUMIFS(Pagamentos!$C:$C,Pagamentos!$A:$A,A126,Pagamentos!$F:$F,"Pagamento"))</f>
        <v/>
      </c>
      <c r="O126" s="37" t="str">
        <f aca="false">IF(OR(A126="",E126="",L126="",L126=0),"",E126/L126)</f>
        <v/>
      </c>
      <c r="P126" s="28" t="str">
        <f aca="false">IF(A126="","",COUNTIFS(Sancoes!$A:$A,A126,Sancoes!$B:$B,"&lt;&gt;Não consta"))</f>
        <v/>
      </c>
      <c r="Q126" s="28" t="str">
        <f aca="false">IF(A126="","",COUNTIF(Socios!$A:$A,A126))</f>
        <v/>
      </c>
      <c r="R126" s="28" t="str">
        <f aca="false">IF(A126="","",COUNTIFS(Socios!$A:$A,A126,Socios!$K:$K,"SIM"))</f>
        <v/>
      </c>
      <c r="S126" s="27"/>
      <c r="T126" s="5"/>
    </row>
    <row r="127" customFormat="false" ht="15" hidden="false" customHeight="false" outlineLevel="0" collapsed="false">
      <c r="A127" s="27"/>
      <c r="B127" s="5"/>
      <c r="C127" s="18"/>
      <c r="D127" s="5"/>
      <c r="E127" s="35"/>
      <c r="F127" s="5"/>
      <c r="G127" s="5"/>
      <c r="H127" s="5"/>
      <c r="I127" s="14"/>
      <c r="J127" s="14"/>
      <c r="K127" s="28" t="str">
        <f aca="false">IF(A127="","",COUNTIF(Contratos!$A:$A,A127))</f>
        <v/>
      </c>
      <c r="L127" s="39" t="str">
        <f aca="false">IF(A127="","",SUMIFS(Contratos!$D:$D,Contratos!$A:$A,A127)+SUMIFS(Contratos!$N:$N,Contratos!$A:$A,A127))</f>
        <v/>
      </c>
      <c r="M127" s="39" t="str">
        <f aca="false">IF(A127="","",SUMIFS(Pagamentos!$C:$C,Pagamentos!$A:$A,A127,Pagamentos!$F:$F,"Empenho"))</f>
        <v/>
      </c>
      <c r="N127" s="39" t="str">
        <f aca="false">IF(A127="","",SUMIFS(Pagamentos!$C:$C,Pagamentos!$A:$A,A127,Pagamentos!$F:$F,"Pagamento"))</f>
        <v/>
      </c>
      <c r="O127" s="37" t="str">
        <f aca="false">IF(OR(A127="",E127="",L127="",L127=0),"",E127/L127)</f>
        <v/>
      </c>
      <c r="P127" s="28" t="str">
        <f aca="false">IF(A127="","",COUNTIFS(Sancoes!$A:$A,A127,Sancoes!$B:$B,"&lt;&gt;Não consta"))</f>
        <v/>
      </c>
      <c r="Q127" s="28" t="str">
        <f aca="false">IF(A127="","",COUNTIF(Socios!$A:$A,A127))</f>
        <v/>
      </c>
      <c r="R127" s="28" t="str">
        <f aca="false">IF(A127="","",COUNTIFS(Socios!$A:$A,A127,Socios!$K:$K,"SIM"))</f>
        <v/>
      </c>
      <c r="S127" s="27"/>
      <c r="T127" s="5"/>
    </row>
    <row r="128" customFormat="false" ht="15" hidden="false" customHeight="false" outlineLevel="0" collapsed="false">
      <c r="A128" s="27"/>
      <c r="B128" s="5"/>
      <c r="C128" s="18"/>
      <c r="D128" s="5"/>
      <c r="E128" s="35"/>
      <c r="F128" s="5"/>
      <c r="G128" s="5"/>
      <c r="H128" s="5"/>
      <c r="I128" s="14"/>
      <c r="J128" s="14"/>
      <c r="K128" s="28" t="str">
        <f aca="false">IF(A128="","",COUNTIF(Contratos!$A:$A,A128))</f>
        <v/>
      </c>
      <c r="L128" s="39" t="str">
        <f aca="false">IF(A128="","",SUMIFS(Contratos!$D:$D,Contratos!$A:$A,A128)+SUMIFS(Contratos!$N:$N,Contratos!$A:$A,A128))</f>
        <v/>
      </c>
      <c r="M128" s="39" t="str">
        <f aca="false">IF(A128="","",SUMIFS(Pagamentos!$C:$C,Pagamentos!$A:$A,A128,Pagamentos!$F:$F,"Empenho"))</f>
        <v/>
      </c>
      <c r="N128" s="39" t="str">
        <f aca="false">IF(A128="","",SUMIFS(Pagamentos!$C:$C,Pagamentos!$A:$A,A128,Pagamentos!$F:$F,"Pagamento"))</f>
        <v/>
      </c>
      <c r="O128" s="37" t="str">
        <f aca="false">IF(OR(A128="",E128="",L128="",L128=0),"",E128/L128)</f>
        <v/>
      </c>
      <c r="P128" s="28" t="str">
        <f aca="false">IF(A128="","",COUNTIFS(Sancoes!$A:$A,A128,Sancoes!$B:$B,"&lt;&gt;Não consta"))</f>
        <v/>
      </c>
      <c r="Q128" s="28" t="str">
        <f aca="false">IF(A128="","",COUNTIF(Socios!$A:$A,A128))</f>
        <v/>
      </c>
      <c r="R128" s="28" t="str">
        <f aca="false">IF(A128="","",COUNTIFS(Socios!$A:$A,A128,Socios!$K:$K,"SIM"))</f>
        <v/>
      </c>
      <c r="S128" s="27"/>
      <c r="T128" s="5"/>
    </row>
    <row r="129" customFormat="false" ht="15" hidden="false" customHeight="false" outlineLevel="0" collapsed="false">
      <c r="A129" s="27"/>
      <c r="B129" s="5"/>
      <c r="C129" s="18"/>
      <c r="D129" s="5"/>
      <c r="E129" s="35"/>
      <c r="F129" s="5"/>
      <c r="G129" s="5"/>
      <c r="H129" s="5"/>
      <c r="I129" s="14"/>
      <c r="J129" s="14"/>
      <c r="K129" s="28" t="str">
        <f aca="false">IF(A129="","",COUNTIF(Contratos!$A:$A,A129))</f>
        <v/>
      </c>
      <c r="L129" s="39" t="str">
        <f aca="false">IF(A129="","",SUMIFS(Contratos!$D:$D,Contratos!$A:$A,A129)+SUMIFS(Contratos!$N:$N,Contratos!$A:$A,A129))</f>
        <v/>
      </c>
      <c r="M129" s="39" t="str">
        <f aca="false">IF(A129="","",SUMIFS(Pagamentos!$C:$C,Pagamentos!$A:$A,A129,Pagamentos!$F:$F,"Empenho"))</f>
        <v/>
      </c>
      <c r="N129" s="39" t="str">
        <f aca="false">IF(A129="","",SUMIFS(Pagamentos!$C:$C,Pagamentos!$A:$A,A129,Pagamentos!$F:$F,"Pagamento"))</f>
        <v/>
      </c>
      <c r="O129" s="37" t="str">
        <f aca="false">IF(OR(A129="",E129="",L129="",L129=0),"",E129/L129)</f>
        <v/>
      </c>
      <c r="P129" s="28" t="str">
        <f aca="false">IF(A129="","",COUNTIFS(Sancoes!$A:$A,A129,Sancoes!$B:$B,"&lt;&gt;Não consta"))</f>
        <v/>
      </c>
      <c r="Q129" s="28" t="str">
        <f aca="false">IF(A129="","",COUNTIF(Socios!$A:$A,A129))</f>
        <v/>
      </c>
      <c r="R129" s="28" t="str">
        <f aca="false">IF(A129="","",COUNTIFS(Socios!$A:$A,A129,Socios!$K:$K,"SIM"))</f>
        <v/>
      </c>
      <c r="S129" s="27"/>
      <c r="T129" s="5"/>
    </row>
    <row r="130" customFormat="false" ht="15" hidden="false" customHeight="false" outlineLevel="0" collapsed="false">
      <c r="A130" s="27"/>
      <c r="B130" s="5"/>
      <c r="C130" s="18"/>
      <c r="D130" s="5"/>
      <c r="E130" s="35"/>
      <c r="F130" s="5"/>
      <c r="G130" s="5"/>
      <c r="H130" s="5"/>
      <c r="I130" s="14"/>
      <c r="J130" s="14"/>
      <c r="K130" s="28" t="str">
        <f aca="false">IF(A130="","",COUNTIF(Contratos!$A:$A,A130))</f>
        <v/>
      </c>
      <c r="L130" s="39" t="str">
        <f aca="false">IF(A130="","",SUMIFS(Contratos!$D:$D,Contratos!$A:$A,A130)+SUMIFS(Contratos!$N:$N,Contratos!$A:$A,A130))</f>
        <v/>
      </c>
      <c r="M130" s="39" t="str">
        <f aca="false">IF(A130="","",SUMIFS(Pagamentos!$C:$C,Pagamentos!$A:$A,A130,Pagamentos!$F:$F,"Empenho"))</f>
        <v/>
      </c>
      <c r="N130" s="39" t="str">
        <f aca="false">IF(A130="","",SUMIFS(Pagamentos!$C:$C,Pagamentos!$A:$A,A130,Pagamentos!$F:$F,"Pagamento"))</f>
        <v/>
      </c>
      <c r="O130" s="37" t="str">
        <f aca="false">IF(OR(A130="",E130="",L130="",L130=0),"",E130/L130)</f>
        <v/>
      </c>
      <c r="P130" s="28" t="str">
        <f aca="false">IF(A130="","",COUNTIFS(Sancoes!$A:$A,A130,Sancoes!$B:$B,"&lt;&gt;Não consta"))</f>
        <v/>
      </c>
      <c r="Q130" s="28" t="str">
        <f aca="false">IF(A130="","",COUNTIF(Socios!$A:$A,A130))</f>
        <v/>
      </c>
      <c r="R130" s="28" t="str">
        <f aca="false">IF(A130="","",COUNTIFS(Socios!$A:$A,A130,Socios!$K:$K,"SIM"))</f>
        <v/>
      </c>
      <c r="S130" s="27"/>
      <c r="T130" s="5"/>
    </row>
    <row r="131" customFormat="false" ht="15" hidden="false" customHeight="false" outlineLevel="0" collapsed="false">
      <c r="A131" s="27"/>
      <c r="B131" s="5"/>
      <c r="C131" s="18"/>
      <c r="D131" s="5"/>
      <c r="E131" s="35"/>
      <c r="F131" s="5"/>
      <c r="G131" s="5"/>
      <c r="H131" s="5"/>
      <c r="I131" s="14"/>
      <c r="J131" s="14"/>
      <c r="K131" s="28" t="str">
        <f aca="false">IF(A131="","",COUNTIF(Contratos!$A:$A,A131))</f>
        <v/>
      </c>
      <c r="L131" s="39" t="str">
        <f aca="false">IF(A131="","",SUMIFS(Contratos!$D:$D,Contratos!$A:$A,A131)+SUMIFS(Contratos!$N:$N,Contratos!$A:$A,A131))</f>
        <v/>
      </c>
      <c r="M131" s="39" t="str">
        <f aca="false">IF(A131="","",SUMIFS(Pagamentos!$C:$C,Pagamentos!$A:$A,A131,Pagamentos!$F:$F,"Empenho"))</f>
        <v/>
      </c>
      <c r="N131" s="39" t="str">
        <f aca="false">IF(A131="","",SUMIFS(Pagamentos!$C:$C,Pagamentos!$A:$A,A131,Pagamentos!$F:$F,"Pagamento"))</f>
        <v/>
      </c>
      <c r="O131" s="37" t="str">
        <f aca="false">IF(OR(A131="",E131="",L131="",L131=0),"",E131/L131)</f>
        <v/>
      </c>
      <c r="P131" s="28" t="str">
        <f aca="false">IF(A131="","",COUNTIFS(Sancoes!$A:$A,A131,Sancoes!$B:$B,"&lt;&gt;Não consta"))</f>
        <v/>
      </c>
      <c r="Q131" s="28" t="str">
        <f aca="false">IF(A131="","",COUNTIF(Socios!$A:$A,A131))</f>
        <v/>
      </c>
      <c r="R131" s="28" t="str">
        <f aca="false">IF(A131="","",COUNTIFS(Socios!$A:$A,A131,Socios!$K:$K,"SIM"))</f>
        <v/>
      </c>
      <c r="S131" s="27"/>
      <c r="T131" s="5"/>
    </row>
    <row r="132" customFormat="false" ht="15" hidden="false" customHeight="false" outlineLevel="0" collapsed="false">
      <c r="A132" s="27"/>
      <c r="B132" s="5"/>
      <c r="C132" s="18"/>
      <c r="D132" s="5"/>
      <c r="E132" s="35"/>
      <c r="F132" s="5"/>
      <c r="G132" s="5"/>
      <c r="H132" s="5"/>
      <c r="I132" s="14"/>
      <c r="J132" s="14"/>
      <c r="K132" s="28" t="str">
        <f aca="false">IF(A132="","",COUNTIF(Contratos!$A:$A,A132))</f>
        <v/>
      </c>
      <c r="L132" s="39" t="str">
        <f aca="false">IF(A132="","",SUMIFS(Contratos!$D:$D,Contratos!$A:$A,A132)+SUMIFS(Contratos!$N:$N,Contratos!$A:$A,A132))</f>
        <v/>
      </c>
      <c r="M132" s="39" t="str">
        <f aca="false">IF(A132="","",SUMIFS(Pagamentos!$C:$C,Pagamentos!$A:$A,A132,Pagamentos!$F:$F,"Empenho"))</f>
        <v/>
      </c>
      <c r="N132" s="39" t="str">
        <f aca="false">IF(A132="","",SUMIFS(Pagamentos!$C:$C,Pagamentos!$A:$A,A132,Pagamentos!$F:$F,"Pagamento"))</f>
        <v/>
      </c>
      <c r="O132" s="37" t="str">
        <f aca="false">IF(OR(A132="",E132="",L132="",L132=0),"",E132/L132)</f>
        <v/>
      </c>
      <c r="P132" s="28" t="str">
        <f aca="false">IF(A132="","",COUNTIFS(Sancoes!$A:$A,A132,Sancoes!$B:$B,"&lt;&gt;Não consta"))</f>
        <v/>
      </c>
      <c r="Q132" s="28" t="str">
        <f aca="false">IF(A132="","",COUNTIF(Socios!$A:$A,A132))</f>
        <v/>
      </c>
      <c r="R132" s="28" t="str">
        <f aca="false">IF(A132="","",COUNTIFS(Socios!$A:$A,A132,Socios!$K:$K,"SIM"))</f>
        <v/>
      </c>
      <c r="S132" s="27"/>
      <c r="T132" s="5"/>
    </row>
    <row r="133" customFormat="false" ht="15" hidden="false" customHeight="false" outlineLevel="0" collapsed="false">
      <c r="A133" s="27"/>
      <c r="B133" s="5"/>
      <c r="C133" s="18"/>
      <c r="D133" s="5"/>
      <c r="E133" s="35"/>
      <c r="F133" s="5"/>
      <c r="G133" s="5"/>
      <c r="H133" s="5"/>
      <c r="I133" s="14"/>
      <c r="J133" s="14"/>
      <c r="K133" s="28" t="str">
        <f aca="false">IF(A133="","",COUNTIF(Contratos!$A:$A,A133))</f>
        <v/>
      </c>
      <c r="L133" s="39" t="str">
        <f aca="false">IF(A133="","",SUMIFS(Contratos!$D:$D,Contratos!$A:$A,A133)+SUMIFS(Contratos!$N:$N,Contratos!$A:$A,A133))</f>
        <v/>
      </c>
      <c r="M133" s="39" t="str">
        <f aca="false">IF(A133="","",SUMIFS(Pagamentos!$C:$C,Pagamentos!$A:$A,A133,Pagamentos!$F:$F,"Empenho"))</f>
        <v/>
      </c>
      <c r="N133" s="39" t="str">
        <f aca="false">IF(A133="","",SUMIFS(Pagamentos!$C:$C,Pagamentos!$A:$A,A133,Pagamentos!$F:$F,"Pagamento"))</f>
        <v/>
      </c>
      <c r="O133" s="37" t="str">
        <f aca="false">IF(OR(A133="",E133="",L133="",L133=0),"",E133/L133)</f>
        <v/>
      </c>
      <c r="P133" s="28" t="str">
        <f aca="false">IF(A133="","",COUNTIFS(Sancoes!$A:$A,A133,Sancoes!$B:$B,"&lt;&gt;Não consta"))</f>
        <v/>
      </c>
      <c r="Q133" s="28" t="str">
        <f aca="false">IF(A133="","",COUNTIF(Socios!$A:$A,A133))</f>
        <v/>
      </c>
      <c r="R133" s="28" t="str">
        <f aca="false">IF(A133="","",COUNTIFS(Socios!$A:$A,A133,Socios!$K:$K,"SIM"))</f>
        <v/>
      </c>
      <c r="S133" s="27"/>
      <c r="T133" s="5"/>
    </row>
    <row r="134" customFormat="false" ht="15" hidden="false" customHeight="false" outlineLevel="0" collapsed="false">
      <c r="A134" s="27"/>
      <c r="B134" s="5"/>
      <c r="C134" s="18"/>
      <c r="D134" s="5"/>
      <c r="E134" s="35"/>
      <c r="F134" s="5"/>
      <c r="G134" s="5"/>
      <c r="H134" s="5"/>
      <c r="I134" s="14"/>
      <c r="J134" s="14"/>
      <c r="K134" s="28" t="str">
        <f aca="false">IF(A134="","",COUNTIF(Contratos!$A:$A,A134))</f>
        <v/>
      </c>
      <c r="L134" s="39" t="str">
        <f aca="false">IF(A134="","",SUMIFS(Contratos!$D:$D,Contratos!$A:$A,A134)+SUMIFS(Contratos!$N:$N,Contratos!$A:$A,A134))</f>
        <v/>
      </c>
      <c r="M134" s="39" t="str">
        <f aca="false">IF(A134="","",SUMIFS(Pagamentos!$C:$C,Pagamentos!$A:$A,A134,Pagamentos!$F:$F,"Empenho"))</f>
        <v/>
      </c>
      <c r="N134" s="39" t="str">
        <f aca="false">IF(A134="","",SUMIFS(Pagamentos!$C:$C,Pagamentos!$A:$A,A134,Pagamentos!$F:$F,"Pagamento"))</f>
        <v/>
      </c>
      <c r="O134" s="37" t="str">
        <f aca="false">IF(OR(A134="",E134="",L134="",L134=0),"",E134/L134)</f>
        <v/>
      </c>
      <c r="P134" s="28" t="str">
        <f aca="false">IF(A134="","",COUNTIFS(Sancoes!$A:$A,A134,Sancoes!$B:$B,"&lt;&gt;Não consta"))</f>
        <v/>
      </c>
      <c r="Q134" s="28" t="str">
        <f aca="false">IF(A134="","",COUNTIF(Socios!$A:$A,A134))</f>
        <v/>
      </c>
      <c r="R134" s="28" t="str">
        <f aca="false">IF(A134="","",COUNTIFS(Socios!$A:$A,A134,Socios!$K:$K,"SIM"))</f>
        <v/>
      </c>
      <c r="S134" s="27"/>
      <c r="T134" s="5"/>
    </row>
    <row r="135" customFormat="false" ht="15" hidden="false" customHeight="false" outlineLevel="0" collapsed="false">
      <c r="A135" s="27"/>
      <c r="B135" s="5"/>
      <c r="C135" s="18"/>
      <c r="D135" s="5"/>
      <c r="E135" s="35"/>
      <c r="F135" s="5"/>
      <c r="G135" s="5"/>
      <c r="H135" s="5"/>
      <c r="I135" s="14"/>
      <c r="J135" s="14"/>
      <c r="K135" s="28" t="str">
        <f aca="false">IF(A135="","",COUNTIF(Contratos!$A:$A,A135))</f>
        <v/>
      </c>
      <c r="L135" s="39" t="str">
        <f aca="false">IF(A135="","",SUMIFS(Contratos!$D:$D,Contratos!$A:$A,A135)+SUMIFS(Contratos!$N:$N,Contratos!$A:$A,A135))</f>
        <v/>
      </c>
      <c r="M135" s="39" t="str">
        <f aca="false">IF(A135="","",SUMIFS(Pagamentos!$C:$C,Pagamentos!$A:$A,A135,Pagamentos!$F:$F,"Empenho"))</f>
        <v/>
      </c>
      <c r="N135" s="39" t="str">
        <f aca="false">IF(A135="","",SUMIFS(Pagamentos!$C:$C,Pagamentos!$A:$A,A135,Pagamentos!$F:$F,"Pagamento"))</f>
        <v/>
      </c>
      <c r="O135" s="37" t="str">
        <f aca="false">IF(OR(A135="",E135="",L135="",L135=0),"",E135/L135)</f>
        <v/>
      </c>
      <c r="P135" s="28" t="str">
        <f aca="false">IF(A135="","",COUNTIFS(Sancoes!$A:$A,A135,Sancoes!$B:$B,"&lt;&gt;Não consta"))</f>
        <v/>
      </c>
      <c r="Q135" s="28" t="str">
        <f aca="false">IF(A135="","",COUNTIF(Socios!$A:$A,A135))</f>
        <v/>
      </c>
      <c r="R135" s="28" t="str">
        <f aca="false">IF(A135="","",COUNTIFS(Socios!$A:$A,A135,Socios!$K:$K,"SIM"))</f>
        <v/>
      </c>
      <c r="S135" s="27"/>
      <c r="T135" s="5"/>
    </row>
    <row r="136" customFormat="false" ht="15" hidden="false" customHeight="false" outlineLevel="0" collapsed="false">
      <c r="A136" s="27"/>
      <c r="B136" s="5"/>
      <c r="C136" s="18"/>
      <c r="D136" s="5"/>
      <c r="E136" s="35"/>
      <c r="F136" s="5"/>
      <c r="G136" s="5"/>
      <c r="H136" s="5"/>
      <c r="I136" s="14"/>
      <c r="J136" s="14"/>
      <c r="K136" s="28" t="str">
        <f aca="false">IF(A136="","",COUNTIF(Contratos!$A:$A,A136))</f>
        <v/>
      </c>
      <c r="L136" s="39" t="str">
        <f aca="false">IF(A136="","",SUMIFS(Contratos!$D:$D,Contratos!$A:$A,A136)+SUMIFS(Contratos!$N:$N,Contratos!$A:$A,A136))</f>
        <v/>
      </c>
      <c r="M136" s="39" t="str">
        <f aca="false">IF(A136="","",SUMIFS(Pagamentos!$C:$C,Pagamentos!$A:$A,A136,Pagamentos!$F:$F,"Empenho"))</f>
        <v/>
      </c>
      <c r="N136" s="39" t="str">
        <f aca="false">IF(A136="","",SUMIFS(Pagamentos!$C:$C,Pagamentos!$A:$A,A136,Pagamentos!$F:$F,"Pagamento"))</f>
        <v/>
      </c>
      <c r="O136" s="37" t="str">
        <f aca="false">IF(OR(A136="",E136="",L136="",L136=0),"",E136/L136)</f>
        <v/>
      </c>
      <c r="P136" s="28" t="str">
        <f aca="false">IF(A136="","",COUNTIFS(Sancoes!$A:$A,A136,Sancoes!$B:$B,"&lt;&gt;Não consta"))</f>
        <v/>
      </c>
      <c r="Q136" s="28" t="str">
        <f aca="false">IF(A136="","",COUNTIF(Socios!$A:$A,A136))</f>
        <v/>
      </c>
      <c r="R136" s="28" t="str">
        <f aca="false">IF(A136="","",COUNTIFS(Socios!$A:$A,A136,Socios!$K:$K,"SIM"))</f>
        <v/>
      </c>
      <c r="S136" s="27"/>
      <c r="T136" s="5"/>
    </row>
    <row r="137" customFormat="false" ht="15" hidden="false" customHeight="false" outlineLevel="0" collapsed="false">
      <c r="A137" s="27"/>
      <c r="B137" s="5"/>
      <c r="C137" s="18"/>
      <c r="D137" s="5"/>
      <c r="E137" s="35"/>
      <c r="F137" s="5"/>
      <c r="G137" s="5"/>
      <c r="H137" s="5"/>
      <c r="I137" s="14"/>
      <c r="J137" s="14"/>
      <c r="K137" s="28" t="str">
        <f aca="false">IF(A137="","",COUNTIF(Contratos!$A:$A,A137))</f>
        <v/>
      </c>
      <c r="L137" s="39" t="str">
        <f aca="false">IF(A137="","",SUMIFS(Contratos!$D:$D,Contratos!$A:$A,A137)+SUMIFS(Contratos!$N:$N,Contratos!$A:$A,A137))</f>
        <v/>
      </c>
      <c r="M137" s="39" t="str">
        <f aca="false">IF(A137="","",SUMIFS(Pagamentos!$C:$C,Pagamentos!$A:$A,A137,Pagamentos!$F:$F,"Empenho"))</f>
        <v/>
      </c>
      <c r="N137" s="39" t="str">
        <f aca="false">IF(A137="","",SUMIFS(Pagamentos!$C:$C,Pagamentos!$A:$A,A137,Pagamentos!$F:$F,"Pagamento"))</f>
        <v/>
      </c>
      <c r="O137" s="37" t="str">
        <f aca="false">IF(OR(A137="",E137="",L137="",L137=0),"",E137/L137)</f>
        <v/>
      </c>
      <c r="P137" s="28" t="str">
        <f aca="false">IF(A137="","",COUNTIFS(Sancoes!$A:$A,A137,Sancoes!$B:$B,"&lt;&gt;Não consta"))</f>
        <v/>
      </c>
      <c r="Q137" s="28" t="str">
        <f aca="false">IF(A137="","",COUNTIF(Socios!$A:$A,A137))</f>
        <v/>
      </c>
      <c r="R137" s="28" t="str">
        <f aca="false">IF(A137="","",COUNTIFS(Socios!$A:$A,A137,Socios!$K:$K,"SIM"))</f>
        <v/>
      </c>
      <c r="S137" s="27"/>
      <c r="T137" s="5"/>
    </row>
    <row r="138" customFormat="false" ht="15" hidden="false" customHeight="false" outlineLevel="0" collapsed="false">
      <c r="A138" s="27"/>
      <c r="B138" s="5"/>
      <c r="C138" s="18"/>
      <c r="D138" s="5"/>
      <c r="E138" s="35"/>
      <c r="F138" s="5"/>
      <c r="G138" s="5"/>
      <c r="H138" s="5"/>
      <c r="I138" s="14"/>
      <c r="J138" s="14"/>
      <c r="K138" s="28" t="str">
        <f aca="false">IF(A138="","",COUNTIF(Contratos!$A:$A,A138))</f>
        <v/>
      </c>
      <c r="L138" s="39" t="str">
        <f aca="false">IF(A138="","",SUMIFS(Contratos!$D:$D,Contratos!$A:$A,A138)+SUMIFS(Contratos!$N:$N,Contratos!$A:$A,A138))</f>
        <v/>
      </c>
      <c r="M138" s="39" t="str">
        <f aca="false">IF(A138="","",SUMIFS(Pagamentos!$C:$C,Pagamentos!$A:$A,A138,Pagamentos!$F:$F,"Empenho"))</f>
        <v/>
      </c>
      <c r="N138" s="39" t="str">
        <f aca="false">IF(A138="","",SUMIFS(Pagamentos!$C:$C,Pagamentos!$A:$A,A138,Pagamentos!$F:$F,"Pagamento"))</f>
        <v/>
      </c>
      <c r="O138" s="37" t="str">
        <f aca="false">IF(OR(A138="",E138="",L138="",L138=0),"",E138/L138)</f>
        <v/>
      </c>
      <c r="P138" s="28" t="str">
        <f aca="false">IF(A138="","",COUNTIFS(Sancoes!$A:$A,A138,Sancoes!$B:$B,"&lt;&gt;Não consta"))</f>
        <v/>
      </c>
      <c r="Q138" s="28" t="str">
        <f aca="false">IF(A138="","",COUNTIF(Socios!$A:$A,A138))</f>
        <v/>
      </c>
      <c r="R138" s="28" t="str">
        <f aca="false">IF(A138="","",COUNTIFS(Socios!$A:$A,A138,Socios!$K:$K,"SIM"))</f>
        <v/>
      </c>
      <c r="S138" s="27"/>
      <c r="T138" s="5"/>
    </row>
    <row r="139" customFormat="false" ht="15" hidden="false" customHeight="false" outlineLevel="0" collapsed="false">
      <c r="A139" s="27"/>
      <c r="B139" s="5"/>
      <c r="C139" s="18"/>
      <c r="D139" s="5"/>
      <c r="E139" s="35"/>
      <c r="F139" s="5"/>
      <c r="G139" s="5"/>
      <c r="H139" s="5"/>
      <c r="I139" s="14"/>
      <c r="J139" s="14"/>
      <c r="K139" s="28" t="str">
        <f aca="false">IF(A139="","",COUNTIF(Contratos!$A:$A,A139))</f>
        <v/>
      </c>
      <c r="L139" s="39" t="str">
        <f aca="false">IF(A139="","",SUMIFS(Contratos!$D:$D,Contratos!$A:$A,A139)+SUMIFS(Contratos!$N:$N,Contratos!$A:$A,A139))</f>
        <v/>
      </c>
      <c r="M139" s="39" t="str">
        <f aca="false">IF(A139="","",SUMIFS(Pagamentos!$C:$C,Pagamentos!$A:$A,A139,Pagamentos!$F:$F,"Empenho"))</f>
        <v/>
      </c>
      <c r="N139" s="39" t="str">
        <f aca="false">IF(A139="","",SUMIFS(Pagamentos!$C:$C,Pagamentos!$A:$A,A139,Pagamentos!$F:$F,"Pagamento"))</f>
        <v/>
      </c>
      <c r="O139" s="37" t="str">
        <f aca="false">IF(OR(A139="",E139="",L139="",L139=0),"",E139/L139)</f>
        <v/>
      </c>
      <c r="P139" s="28" t="str">
        <f aca="false">IF(A139="","",COUNTIFS(Sancoes!$A:$A,A139,Sancoes!$B:$B,"&lt;&gt;Não consta"))</f>
        <v/>
      </c>
      <c r="Q139" s="28" t="str">
        <f aca="false">IF(A139="","",COUNTIF(Socios!$A:$A,A139))</f>
        <v/>
      </c>
      <c r="R139" s="28" t="str">
        <f aca="false">IF(A139="","",COUNTIFS(Socios!$A:$A,A139,Socios!$K:$K,"SIM"))</f>
        <v/>
      </c>
      <c r="S139" s="27"/>
      <c r="T139" s="5"/>
    </row>
    <row r="140" customFormat="false" ht="15" hidden="false" customHeight="false" outlineLevel="0" collapsed="false">
      <c r="A140" s="27"/>
      <c r="B140" s="5"/>
      <c r="C140" s="18"/>
      <c r="D140" s="5"/>
      <c r="E140" s="35"/>
      <c r="F140" s="5"/>
      <c r="G140" s="5"/>
      <c r="H140" s="5"/>
      <c r="I140" s="14"/>
      <c r="J140" s="14"/>
      <c r="K140" s="28" t="str">
        <f aca="false">IF(A140="","",COUNTIF(Contratos!$A:$A,A140))</f>
        <v/>
      </c>
      <c r="L140" s="39" t="str">
        <f aca="false">IF(A140="","",SUMIFS(Contratos!$D:$D,Contratos!$A:$A,A140)+SUMIFS(Contratos!$N:$N,Contratos!$A:$A,A140))</f>
        <v/>
      </c>
      <c r="M140" s="39" t="str">
        <f aca="false">IF(A140="","",SUMIFS(Pagamentos!$C:$C,Pagamentos!$A:$A,A140,Pagamentos!$F:$F,"Empenho"))</f>
        <v/>
      </c>
      <c r="N140" s="39" t="str">
        <f aca="false">IF(A140="","",SUMIFS(Pagamentos!$C:$C,Pagamentos!$A:$A,A140,Pagamentos!$F:$F,"Pagamento"))</f>
        <v/>
      </c>
      <c r="O140" s="37" t="str">
        <f aca="false">IF(OR(A140="",E140="",L140="",L140=0),"",E140/L140)</f>
        <v/>
      </c>
      <c r="P140" s="28" t="str">
        <f aca="false">IF(A140="","",COUNTIFS(Sancoes!$A:$A,A140,Sancoes!$B:$B,"&lt;&gt;Não consta"))</f>
        <v/>
      </c>
      <c r="Q140" s="28" t="str">
        <f aca="false">IF(A140="","",COUNTIF(Socios!$A:$A,A140))</f>
        <v/>
      </c>
      <c r="R140" s="28" t="str">
        <f aca="false">IF(A140="","",COUNTIFS(Socios!$A:$A,A140,Socios!$K:$K,"SIM"))</f>
        <v/>
      </c>
      <c r="S140" s="27"/>
      <c r="T140" s="5"/>
    </row>
    <row r="141" customFormat="false" ht="15" hidden="false" customHeight="false" outlineLevel="0" collapsed="false">
      <c r="A141" s="27"/>
      <c r="B141" s="5"/>
      <c r="C141" s="18"/>
      <c r="D141" s="5"/>
      <c r="E141" s="35"/>
      <c r="F141" s="5"/>
      <c r="G141" s="5"/>
      <c r="H141" s="5"/>
      <c r="I141" s="14"/>
      <c r="J141" s="14"/>
      <c r="K141" s="28" t="str">
        <f aca="false">IF(A141="","",COUNTIF(Contratos!$A:$A,A141))</f>
        <v/>
      </c>
      <c r="L141" s="39" t="str">
        <f aca="false">IF(A141="","",SUMIFS(Contratos!$D:$D,Contratos!$A:$A,A141)+SUMIFS(Contratos!$N:$N,Contratos!$A:$A,A141))</f>
        <v/>
      </c>
      <c r="M141" s="39" t="str">
        <f aca="false">IF(A141="","",SUMIFS(Pagamentos!$C:$C,Pagamentos!$A:$A,A141,Pagamentos!$F:$F,"Empenho"))</f>
        <v/>
      </c>
      <c r="N141" s="39" t="str">
        <f aca="false">IF(A141="","",SUMIFS(Pagamentos!$C:$C,Pagamentos!$A:$A,A141,Pagamentos!$F:$F,"Pagamento"))</f>
        <v/>
      </c>
      <c r="O141" s="37" t="str">
        <f aca="false">IF(OR(A141="",E141="",L141="",L141=0),"",E141/L141)</f>
        <v/>
      </c>
      <c r="P141" s="28" t="str">
        <f aca="false">IF(A141="","",COUNTIFS(Sancoes!$A:$A,A141,Sancoes!$B:$B,"&lt;&gt;Não consta"))</f>
        <v/>
      </c>
      <c r="Q141" s="28" t="str">
        <f aca="false">IF(A141="","",COUNTIF(Socios!$A:$A,A141))</f>
        <v/>
      </c>
      <c r="R141" s="28" t="str">
        <f aca="false">IF(A141="","",COUNTIFS(Socios!$A:$A,A141,Socios!$K:$K,"SIM"))</f>
        <v/>
      </c>
      <c r="S141" s="27"/>
      <c r="T141" s="5"/>
    </row>
    <row r="142" customFormat="false" ht="15" hidden="false" customHeight="false" outlineLevel="0" collapsed="false">
      <c r="A142" s="27"/>
      <c r="B142" s="5"/>
      <c r="C142" s="18"/>
      <c r="D142" s="5"/>
      <c r="E142" s="35"/>
      <c r="F142" s="5"/>
      <c r="G142" s="5"/>
      <c r="H142" s="5"/>
      <c r="I142" s="14"/>
      <c r="J142" s="14"/>
      <c r="K142" s="28" t="str">
        <f aca="false">IF(A142="","",COUNTIF(Contratos!$A:$A,A142))</f>
        <v/>
      </c>
      <c r="L142" s="39" t="str">
        <f aca="false">IF(A142="","",SUMIFS(Contratos!$D:$D,Contratos!$A:$A,A142)+SUMIFS(Contratos!$N:$N,Contratos!$A:$A,A142))</f>
        <v/>
      </c>
      <c r="M142" s="39" t="str">
        <f aca="false">IF(A142="","",SUMIFS(Pagamentos!$C:$C,Pagamentos!$A:$A,A142,Pagamentos!$F:$F,"Empenho"))</f>
        <v/>
      </c>
      <c r="N142" s="39" t="str">
        <f aca="false">IF(A142="","",SUMIFS(Pagamentos!$C:$C,Pagamentos!$A:$A,A142,Pagamentos!$F:$F,"Pagamento"))</f>
        <v/>
      </c>
      <c r="O142" s="37" t="str">
        <f aca="false">IF(OR(A142="",E142="",L142="",L142=0),"",E142/L142)</f>
        <v/>
      </c>
      <c r="P142" s="28" t="str">
        <f aca="false">IF(A142="","",COUNTIFS(Sancoes!$A:$A,A142,Sancoes!$B:$B,"&lt;&gt;Não consta"))</f>
        <v/>
      </c>
      <c r="Q142" s="28" t="str">
        <f aca="false">IF(A142="","",COUNTIF(Socios!$A:$A,A142))</f>
        <v/>
      </c>
      <c r="R142" s="28" t="str">
        <f aca="false">IF(A142="","",COUNTIFS(Socios!$A:$A,A142,Socios!$K:$K,"SIM"))</f>
        <v/>
      </c>
      <c r="S142" s="27"/>
      <c r="T142" s="5"/>
    </row>
    <row r="143" customFormat="false" ht="15" hidden="false" customHeight="false" outlineLevel="0" collapsed="false">
      <c r="A143" s="27"/>
      <c r="B143" s="5"/>
      <c r="C143" s="18"/>
      <c r="D143" s="5"/>
      <c r="E143" s="35"/>
      <c r="F143" s="5"/>
      <c r="G143" s="5"/>
      <c r="H143" s="5"/>
      <c r="I143" s="14"/>
      <c r="J143" s="14"/>
      <c r="K143" s="28" t="str">
        <f aca="false">IF(A143="","",COUNTIF(Contratos!$A:$A,A143))</f>
        <v/>
      </c>
      <c r="L143" s="39" t="str">
        <f aca="false">IF(A143="","",SUMIFS(Contratos!$D:$D,Contratos!$A:$A,A143)+SUMIFS(Contratos!$N:$N,Contratos!$A:$A,A143))</f>
        <v/>
      </c>
      <c r="M143" s="39" t="str">
        <f aca="false">IF(A143="","",SUMIFS(Pagamentos!$C:$C,Pagamentos!$A:$A,A143,Pagamentos!$F:$F,"Empenho"))</f>
        <v/>
      </c>
      <c r="N143" s="39" t="str">
        <f aca="false">IF(A143="","",SUMIFS(Pagamentos!$C:$C,Pagamentos!$A:$A,A143,Pagamentos!$F:$F,"Pagamento"))</f>
        <v/>
      </c>
      <c r="O143" s="37" t="str">
        <f aca="false">IF(OR(A143="",E143="",L143="",L143=0),"",E143/L143)</f>
        <v/>
      </c>
      <c r="P143" s="28" t="str">
        <f aca="false">IF(A143="","",COUNTIFS(Sancoes!$A:$A,A143,Sancoes!$B:$B,"&lt;&gt;Não consta"))</f>
        <v/>
      </c>
      <c r="Q143" s="28" t="str">
        <f aca="false">IF(A143="","",COUNTIF(Socios!$A:$A,A143))</f>
        <v/>
      </c>
      <c r="R143" s="28" t="str">
        <f aca="false">IF(A143="","",COUNTIFS(Socios!$A:$A,A143,Socios!$K:$K,"SIM"))</f>
        <v/>
      </c>
      <c r="S143" s="27"/>
      <c r="T143" s="5"/>
    </row>
    <row r="144" customFormat="false" ht="15" hidden="false" customHeight="false" outlineLevel="0" collapsed="false">
      <c r="A144" s="27"/>
      <c r="B144" s="5"/>
      <c r="C144" s="18"/>
      <c r="D144" s="5"/>
      <c r="E144" s="35"/>
      <c r="F144" s="5"/>
      <c r="G144" s="5"/>
      <c r="H144" s="5"/>
      <c r="I144" s="14"/>
      <c r="J144" s="14"/>
      <c r="K144" s="28" t="str">
        <f aca="false">IF(A144="","",COUNTIF(Contratos!$A:$A,A144))</f>
        <v/>
      </c>
      <c r="L144" s="39" t="str">
        <f aca="false">IF(A144="","",SUMIFS(Contratos!$D:$D,Contratos!$A:$A,A144)+SUMIFS(Contratos!$N:$N,Contratos!$A:$A,A144))</f>
        <v/>
      </c>
      <c r="M144" s="39" t="str">
        <f aca="false">IF(A144="","",SUMIFS(Pagamentos!$C:$C,Pagamentos!$A:$A,A144,Pagamentos!$F:$F,"Empenho"))</f>
        <v/>
      </c>
      <c r="N144" s="39" t="str">
        <f aca="false">IF(A144="","",SUMIFS(Pagamentos!$C:$C,Pagamentos!$A:$A,A144,Pagamentos!$F:$F,"Pagamento"))</f>
        <v/>
      </c>
      <c r="O144" s="37" t="str">
        <f aca="false">IF(OR(A144="",E144="",L144="",L144=0),"",E144/L144)</f>
        <v/>
      </c>
      <c r="P144" s="28" t="str">
        <f aca="false">IF(A144="","",COUNTIFS(Sancoes!$A:$A,A144,Sancoes!$B:$B,"&lt;&gt;Não consta"))</f>
        <v/>
      </c>
      <c r="Q144" s="28" t="str">
        <f aca="false">IF(A144="","",COUNTIF(Socios!$A:$A,A144))</f>
        <v/>
      </c>
      <c r="R144" s="28" t="str">
        <f aca="false">IF(A144="","",COUNTIFS(Socios!$A:$A,A144,Socios!$K:$K,"SIM"))</f>
        <v/>
      </c>
      <c r="S144" s="27"/>
      <c r="T144" s="5"/>
    </row>
    <row r="145" customFormat="false" ht="15" hidden="false" customHeight="false" outlineLevel="0" collapsed="false">
      <c r="A145" s="27"/>
      <c r="B145" s="5"/>
      <c r="C145" s="18"/>
      <c r="D145" s="5"/>
      <c r="E145" s="35"/>
      <c r="F145" s="5"/>
      <c r="G145" s="5"/>
      <c r="H145" s="5"/>
      <c r="I145" s="14"/>
      <c r="J145" s="14"/>
      <c r="K145" s="28" t="str">
        <f aca="false">IF(A145="","",COUNTIF(Contratos!$A:$A,A145))</f>
        <v/>
      </c>
      <c r="L145" s="39" t="str">
        <f aca="false">IF(A145="","",SUMIFS(Contratos!$D:$D,Contratos!$A:$A,A145)+SUMIFS(Contratos!$N:$N,Contratos!$A:$A,A145))</f>
        <v/>
      </c>
      <c r="M145" s="39" t="str">
        <f aca="false">IF(A145="","",SUMIFS(Pagamentos!$C:$C,Pagamentos!$A:$A,A145,Pagamentos!$F:$F,"Empenho"))</f>
        <v/>
      </c>
      <c r="N145" s="39" t="str">
        <f aca="false">IF(A145="","",SUMIFS(Pagamentos!$C:$C,Pagamentos!$A:$A,A145,Pagamentos!$F:$F,"Pagamento"))</f>
        <v/>
      </c>
      <c r="O145" s="37" t="str">
        <f aca="false">IF(OR(A145="",E145="",L145="",L145=0),"",E145/L145)</f>
        <v/>
      </c>
      <c r="P145" s="28" t="str">
        <f aca="false">IF(A145="","",COUNTIFS(Sancoes!$A:$A,A145,Sancoes!$B:$B,"&lt;&gt;Não consta"))</f>
        <v/>
      </c>
      <c r="Q145" s="28" t="str">
        <f aca="false">IF(A145="","",COUNTIF(Socios!$A:$A,A145))</f>
        <v/>
      </c>
      <c r="R145" s="28" t="str">
        <f aca="false">IF(A145="","",COUNTIFS(Socios!$A:$A,A145,Socios!$K:$K,"SIM"))</f>
        <v/>
      </c>
      <c r="S145" s="27"/>
      <c r="T145" s="5"/>
    </row>
    <row r="146" customFormat="false" ht="15" hidden="false" customHeight="false" outlineLevel="0" collapsed="false">
      <c r="A146" s="27"/>
      <c r="B146" s="5"/>
      <c r="C146" s="18"/>
      <c r="D146" s="5"/>
      <c r="E146" s="35"/>
      <c r="F146" s="5"/>
      <c r="G146" s="5"/>
      <c r="H146" s="5"/>
      <c r="I146" s="14"/>
      <c r="J146" s="14"/>
      <c r="K146" s="28" t="str">
        <f aca="false">IF(A146="","",COUNTIF(Contratos!$A:$A,A146))</f>
        <v/>
      </c>
      <c r="L146" s="39" t="str">
        <f aca="false">IF(A146="","",SUMIFS(Contratos!$D:$D,Contratos!$A:$A,A146)+SUMIFS(Contratos!$N:$N,Contratos!$A:$A,A146))</f>
        <v/>
      </c>
      <c r="M146" s="39" t="str">
        <f aca="false">IF(A146="","",SUMIFS(Pagamentos!$C:$C,Pagamentos!$A:$A,A146,Pagamentos!$F:$F,"Empenho"))</f>
        <v/>
      </c>
      <c r="N146" s="39" t="str">
        <f aca="false">IF(A146="","",SUMIFS(Pagamentos!$C:$C,Pagamentos!$A:$A,A146,Pagamentos!$F:$F,"Pagamento"))</f>
        <v/>
      </c>
      <c r="O146" s="37" t="str">
        <f aca="false">IF(OR(A146="",E146="",L146="",L146=0),"",E146/L146)</f>
        <v/>
      </c>
      <c r="P146" s="28" t="str">
        <f aca="false">IF(A146="","",COUNTIFS(Sancoes!$A:$A,A146,Sancoes!$B:$B,"&lt;&gt;Não consta"))</f>
        <v/>
      </c>
      <c r="Q146" s="28" t="str">
        <f aca="false">IF(A146="","",COUNTIF(Socios!$A:$A,A146))</f>
        <v/>
      </c>
      <c r="R146" s="28" t="str">
        <f aca="false">IF(A146="","",COUNTIFS(Socios!$A:$A,A146,Socios!$K:$K,"SIM"))</f>
        <v/>
      </c>
      <c r="S146" s="27"/>
      <c r="T146" s="5"/>
    </row>
    <row r="147" customFormat="false" ht="15" hidden="false" customHeight="false" outlineLevel="0" collapsed="false">
      <c r="A147" s="27"/>
      <c r="B147" s="5"/>
      <c r="C147" s="18"/>
      <c r="D147" s="5"/>
      <c r="E147" s="35"/>
      <c r="F147" s="5"/>
      <c r="G147" s="5"/>
      <c r="H147" s="5"/>
      <c r="I147" s="14"/>
      <c r="J147" s="14"/>
      <c r="K147" s="28" t="str">
        <f aca="false">IF(A147="","",COUNTIF(Contratos!$A:$A,A147))</f>
        <v/>
      </c>
      <c r="L147" s="39" t="str">
        <f aca="false">IF(A147="","",SUMIFS(Contratos!$D:$D,Contratos!$A:$A,A147)+SUMIFS(Contratos!$N:$N,Contratos!$A:$A,A147))</f>
        <v/>
      </c>
      <c r="M147" s="39" t="str">
        <f aca="false">IF(A147="","",SUMIFS(Pagamentos!$C:$C,Pagamentos!$A:$A,A147,Pagamentos!$F:$F,"Empenho"))</f>
        <v/>
      </c>
      <c r="N147" s="39" t="str">
        <f aca="false">IF(A147="","",SUMIFS(Pagamentos!$C:$C,Pagamentos!$A:$A,A147,Pagamentos!$F:$F,"Pagamento"))</f>
        <v/>
      </c>
      <c r="O147" s="37" t="str">
        <f aca="false">IF(OR(A147="",E147="",L147="",L147=0),"",E147/L147)</f>
        <v/>
      </c>
      <c r="P147" s="28" t="str">
        <f aca="false">IF(A147="","",COUNTIFS(Sancoes!$A:$A,A147,Sancoes!$B:$B,"&lt;&gt;Não consta"))</f>
        <v/>
      </c>
      <c r="Q147" s="28" t="str">
        <f aca="false">IF(A147="","",COUNTIF(Socios!$A:$A,A147))</f>
        <v/>
      </c>
      <c r="R147" s="28" t="str">
        <f aca="false">IF(A147="","",COUNTIFS(Socios!$A:$A,A147,Socios!$K:$K,"SIM"))</f>
        <v/>
      </c>
      <c r="S147" s="27"/>
      <c r="T147" s="5"/>
    </row>
    <row r="148" customFormat="false" ht="15" hidden="false" customHeight="false" outlineLevel="0" collapsed="false">
      <c r="A148" s="27"/>
      <c r="B148" s="5"/>
      <c r="C148" s="18"/>
      <c r="D148" s="5"/>
      <c r="E148" s="35"/>
      <c r="F148" s="5"/>
      <c r="G148" s="5"/>
      <c r="H148" s="5"/>
      <c r="I148" s="14"/>
      <c r="J148" s="14"/>
      <c r="K148" s="28" t="str">
        <f aca="false">IF(A148="","",COUNTIF(Contratos!$A:$A,A148))</f>
        <v/>
      </c>
      <c r="L148" s="39" t="str">
        <f aca="false">IF(A148="","",SUMIFS(Contratos!$D:$D,Contratos!$A:$A,A148)+SUMIFS(Contratos!$N:$N,Contratos!$A:$A,A148))</f>
        <v/>
      </c>
      <c r="M148" s="39" t="str">
        <f aca="false">IF(A148="","",SUMIFS(Pagamentos!$C:$C,Pagamentos!$A:$A,A148,Pagamentos!$F:$F,"Empenho"))</f>
        <v/>
      </c>
      <c r="N148" s="39" t="str">
        <f aca="false">IF(A148="","",SUMIFS(Pagamentos!$C:$C,Pagamentos!$A:$A,A148,Pagamentos!$F:$F,"Pagamento"))</f>
        <v/>
      </c>
      <c r="O148" s="37" t="str">
        <f aca="false">IF(OR(A148="",E148="",L148="",L148=0),"",E148/L148)</f>
        <v/>
      </c>
      <c r="P148" s="28" t="str">
        <f aca="false">IF(A148="","",COUNTIFS(Sancoes!$A:$A,A148,Sancoes!$B:$B,"&lt;&gt;Não consta"))</f>
        <v/>
      </c>
      <c r="Q148" s="28" t="str">
        <f aca="false">IF(A148="","",COUNTIF(Socios!$A:$A,A148))</f>
        <v/>
      </c>
      <c r="R148" s="28" t="str">
        <f aca="false">IF(A148="","",COUNTIFS(Socios!$A:$A,A148,Socios!$K:$K,"SIM"))</f>
        <v/>
      </c>
      <c r="S148" s="27"/>
      <c r="T148" s="5"/>
    </row>
    <row r="149" customFormat="false" ht="15" hidden="false" customHeight="false" outlineLevel="0" collapsed="false">
      <c r="A149" s="27"/>
      <c r="B149" s="5"/>
      <c r="C149" s="18"/>
      <c r="D149" s="5"/>
      <c r="E149" s="35"/>
      <c r="F149" s="5"/>
      <c r="G149" s="5"/>
      <c r="H149" s="5"/>
      <c r="I149" s="14"/>
      <c r="J149" s="14"/>
      <c r="K149" s="28" t="str">
        <f aca="false">IF(A149="","",COUNTIF(Contratos!$A:$A,A149))</f>
        <v/>
      </c>
      <c r="L149" s="39" t="str">
        <f aca="false">IF(A149="","",SUMIFS(Contratos!$D:$D,Contratos!$A:$A,A149)+SUMIFS(Contratos!$N:$N,Contratos!$A:$A,A149))</f>
        <v/>
      </c>
      <c r="M149" s="39" t="str">
        <f aca="false">IF(A149="","",SUMIFS(Pagamentos!$C:$C,Pagamentos!$A:$A,A149,Pagamentos!$F:$F,"Empenho"))</f>
        <v/>
      </c>
      <c r="N149" s="39" t="str">
        <f aca="false">IF(A149="","",SUMIFS(Pagamentos!$C:$C,Pagamentos!$A:$A,A149,Pagamentos!$F:$F,"Pagamento"))</f>
        <v/>
      </c>
      <c r="O149" s="37" t="str">
        <f aca="false">IF(OR(A149="",E149="",L149="",L149=0),"",E149/L149)</f>
        <v/>
      </c>
      <c r="P149" s="28" t="str">
        <f aca="false">IF(A149="","",COUNTIFS(Sancoes!$A:$A,A149,Sancoes!$B:$B,"&lt;&gt;Não consta"))</f>
        <v/>
      </c>
      <c r="Q149" s="28" t="str">
        <f aca="false">IF(A149="","",COUNTIF(Socios!$A:$A,A149))</f>
        <v/>
      </c>
      <c r="R149" s="28" t="str">
        <f aca="false">IF(A149="","",COUNTIFS(Socios!$A:$A,A149,Socios!$K:$K,"SIM"))</f>
        <v/>
      </c>
      <c r="S149" s="27"/>
      <c r="T149" s="5"/>
    </row>
    <row r="150" customFormat="false" ht="15" hidden="false" customHeight="false" outlineLevel="0" collapsed="false">
      <c r="A150" s="27"/>
      <c r="B150" s="5"/>
      <c r="C150" s="18"/>
      <c r="D150" s="5"/>
      <c r="E150" s="35"/>
      <c r="F150" s="5"/>
      <c r="G150" s="5"/>
      <c r="H150" s="5"/>
      <c r="I150" s="14"/>
      <c r="J150" s="14"/>
      <c r="K150" s="28" t="str">
        <f aca="false">IF(A150="","",COUNTIF(Contratos!$A:$A,A150))</f>
        <v/>
      </c>
      <c r="L150" s="39" t="str">
        <f aca="false">IF(A150="","",SUMIFS(Contratos!$D:$D,Contratos!$A:$A,A150)+SUMIFS(Contratos!$N:$N,Contratos!$A:$A,A150))</f>
        <v/>
      </c>
      <c r="M150" s="39" t="str">
        <f aca="false">IF(A150="","",SUMIFS(Pagamentos!$C:$C,Pagamentos!$A:$A,A150,Pagamentos!$F:$F,"Empenho"))</f>
        <v/>
      </c>
      <c r="N150" s="39" t="str">
        <f aca="false">IF(A150="","",SUMIFS(Pagamentos!$C:$C,Pagamentos!$A:$A,A150,Pagamentos!$F:$F,"Pagamento"))</f>
        <v/>
      </c>
      <c r="O150" s="37" t="str">
        <f aca="false">IF(OR(A150="",E150="",L150="",L150=0),"",E150/L150)</f>
        <v/>
      </c>
      <c r="P150" s="28" t="str">
        <f aca="false">IF(A150="","",COUNTIFS(Sancoes!$A:$A,A150,Sancoes!$B:$B,"&lt;&gt;Não consta"))</f>
        <v/>
      </c>
      <c r="Q150" s="28" t="str">
        <f aca="false">IF(A150="","",COUNTIF(Socios!$A:$A,A150))</f>
        <v/>
      </c>
      <c r="R150" s="28" t="str">
        <f aca="false">IF(A150="","",COUNTIFS(Socios!$A:$A,A150,Socios!$K:$K,"SIM"))</f>
        <v/>
      </c>
      <c r="S150" s="27"/>
      <c r="T150" s="5"/>
    </row>
    <row r="151" customFormat="false" ht="15" hidden="false" customHeight="false" outlineLevel="0" collapsed="false">
      <c r="A151" s="27"/>
      <c r="B151" s="5"/>
      <c r="C151" s="18"/>
      <c r="D151" s="5"/>
      <c r="E151" s="35"/>
      <c r="F151" s="5"/>
      <c r="G151" s="5"/>
      <c r="H151" s="5"/>
      <c r="I151" s="14"/>
      <c r="J151" s="14"/>
      <c r="K151" s="28" t="str">
        <f aca="false">IF(A151="","",COUNTIF(Contratos!$A:$A,A151))</f>
        <v/>
      </c>
      <c r="L151" s="39" t="str">
        <f aca="false">IF(A151="","",SUMIFS(Contratos!$D:$D,Contratos!$A:$A,A151)+SUMIFS(Contratos!$N:$N,Contratos!$A:$A,A151))</f>
        <v/>
      </c>
      <c r="M151" s="39" t="str">
        <f aca="false">IF(A151="","",SUMIFS(Pagamentos!$C:$C,Pagamentos!$A:$A,A151,Pagamentos!$F:$F,"Empenho"))</f>
        <v/>
      </c>
      <c r="N151" s="39" t="str">
        <f aca="false">IF(A151="","",SUMIFS(Pagamentos!$C:$C,Pagamentos!$A:$A,A151,Pagamentos!$F:$F,"Pagamento"))</f>
        <v/>
      </c>
      <c r="O151" s="37" t="str">
        <f aca="false">IF(OR(A151="",E151="",L151="",L151=0),"",E151/L151)</f>
        <v/>
      </c>
      <c r="P151" s="28" t="str">
        <f aca="false">IF(A151="","",COUNTIFS(Sancoes!$A:$A,A151,Sancoes!$B:$B,"&lt;&gt;Não consta"))</f>
        <v/>
      </c>
      <c r="Q151" s="28" t="str">
        <f aca="false">IF(A151="","",COUNTIF(Socios!$A:$A,A151))</f>
        <v/>
      </c>
      <c r="R151" s="28" t="str">
        <f aca="false">IF(A151="","",COUNTIFS(Socios!$A:$A,A151,Socios!$K:$K,"SIM"))</f>
        <v/>
      </c>
      <c r="S151" s="27"/>
      <c r="T151" s="5"/>
    </row>
    <row r="152" customFormat="false" ht="15" hidden="false" customHeight="false" outlineLevel="0" collapsed="false">
      <c r="A152" s="27"/>
      <c r="B152" s="5"/>
      <c r="C152" s="18"/>
      <c r="D152" s="5"/>
      <c r="E152" s="35"/>
      <c r="F152" s="5"/>
      <c r="G152" s="5"/>
      <c r="H152" s="5"/>
      <c r="I152" s="14"/>
      <c r="J152" s="14"/>
      <c r="K152" s="28" t="str">
        <f aca="false">IF(A152="","",COUNTIF(Contratos!$A:$A,A152))</f>
        <v/>
      </c>
      <c r="L152" s="39" t="str">
        <f aca="false">IF(A152="","",SUMIFS(Contratos!$D:$D,Contratos!$A:$A,A152)+SUMIFS(Contratos!$N:$N,Contratos!$A:$A,A152))</f>
        <v/>
      </c>
      <c r="M152" s="39" t="str">
        <f aca="false">IF(A152="","",SUMIFS(Pagamentos!$C:$C,Pagamentos!$A:$A,A152,Pagamentos!$F:$F,"Empenho"))</f>
        <v/>
      </c>
      <c r="N152" s="39" t="str">
        <f aca="false">IF(A152="","",SUMIFS(Pagamentos!$C:$C,Pagamentos!$A:$A,A152,Pagamentos!$F:$F,"Pagamento"))</f>
        <v/>
      </c>
      <c r="O152" s="37" t="str">
        <f aca="false">IF(OR(A152="",E152="",L152="",L152=0),"",E152/L152)</f>
        <v/>
      </c>
      <c r="P152" s="28" t="str">
        <f aca="false">IF(A152="","",COUNTIFS(Sancoes!$A:$A,A152,Sancoes!$B:$B,"&lt;&gt;Não consta"))</f>
        <v/>
      </c>
      <c r="Q152" s="28" t="str">
        <f aca="false">IF(A152="","",COUNTIF(Socios!$A:$A,A152))</f>
        <v/>
      </c>
      <c r="R152" s="28" t="str">
        <f aca="false">IF(A152="","",COUNTIFS(Socios!$A:$A,A152,Socios!$K:$K,"SIM"))</f>
        <v/>
      </c>
      <c r="S152" s="27"/>
      <c r="T152" s="5"/>
    </row>
    <row r="153" customFormat="false" ht="15" hidden="false" customHeight="false" outlineLevel="0" collapsed="false">
      <c r="A153" s="27"/>
      <c r="B153" s="5"/>
      <c r="C153" s="18"/>
      <c r="D153" s="5"/>
      <c r="E153" s="35"/>
      <c r="F153" s="5"/>
      <c r="G153" s="5"/>
      <c r="H153" s="5"/>
      <c r="I153" s="14"/>
      <c r="J153" s="14"/>
      <c r="K153" s="28" t="str">
        <f aca="false">IF(A153="","",COUNTIF(Contratos!$A:$A,A153))</f>
        <v/>
      </c>
      <c r="L153" s="39" t="str">
        <f aca="false">IF(A153="","",SUMIFS(Contratos!$D:$D,Contratos!$A:$A,A153)+SUMIFS(Contratos!$N:$N,Contratos!$A:$A,A153))</f>
        <v/>
      </c>
      <c r="M153" s="39" t="str">
        <f aca="false">IF(A153="","",SUMIFS(Pagamentos!$C:$C,Pagamentos!$A:$A,A153,Pagamentos!$F:$F,"Empenho"))</f>
        <v/>
      </c>
      <c r="N153" s="39" t="str">
        <f aca="false">IF(A153="","",SUMIFS(Pagamentos!$C:$C,Pagamentos!$A:$A,A153,Pagamentos!$F:$F,"Pagamento"))</f>
        <v/>
      </c>
      <c r="O153" s="37" t="str">
        <f aca="false">IF(OR(A153="",E153="",L153="",L153=0),"",E153/L153)</f>
        <v/>
      </c>
      <c r="P153" s="28" t="str">
        <f aca="false">IF(A153="","",COUNTIFS(Sancoes!$A:$A,A153,Sancoes!$B:$B,"&lt;&gt;Não consta"))</f>
        <v/>
      </c>
      <c r="Q153" s="28" t="str">
        <f aca="false">IF(A153="","",COUNTIF(Socios!$A:$A,A153))</f>
        <v/>
      </c>
      <c r="R153" s="28" t="str">
        <f aca="false">IF(A153="","",COUNTIFS(Socios!$A:$A,A153,Socios!$K:$K,"SIM"))</f>
        <v/>
      </c>
      <c r="S153" s="27"/>
      <c r="T153" s="5"/>
    </row>
    <row r="154" customFormat="false" ht="15" hidden="false" customHeight="false" outlineLevel="0" collapsed="false">
      <c r="A154" s="27"/>
      <c r="B154" s="5"/>
      <c r="C154" s="18"/>
      <c r="D154" s="5"/>
      <c r="E154" s="35"/>
      <c r="F154" s="5"/>
      <c r="G154" s="5"/>
      <c r="H154" s="5"/>
      <c r="I154" s="14"/>
      <c r="J154" s="14"/>
      <c r="K154" s="28" t="str">
        <f aca="false">IF(A154="","",COUNTIF(Contratos!$A:$A,A154))</f>
        <v/>
      </c>
      <c r="L154" s="39" t="str">
        <f aca="false">IF(A154="","",SUMIFS(Contratos!$D:$D,Contratos!$A:$A,A154)+SUMIFS(Contratos!$N:$N,Contratos!$A:$A,A154))</f>
        <v/>
      </c>
      <c r="M154" s="39" t="str">
        <f aca="false">IF(A154="","",SUMIFS(Pagamentos!$C:$C,Pagamentos!$A:$A,A154,Pagamentos!$F:$F,"Empenho"))</f>
        <v/>
      </c>
      <c r="N154" s="39" t="str">
        <f aca="false">IF(A154="","",SUMIFS(Pagamentos!$C:$C,Pagamentos!$A:$A,A154,Pagamentos!$F:$F,"Pagamento"))</f>
        <v/>
      </c>
      <c r="O154" s="37" t="str">
        <f aca="false">IF(OR(A154="",E154="",L154="",L154=0),"",E154/L154)</f>
        <v/>
      </c>
      <c r="P154" s="28" t="str">
        <f aca="false">IF(A154="","",COUNTIFS(Sancoes!$A:$A,A154,Sancoes!$B:$B,"&lt;&gt;Não consta"))</f>
        <v/>
      </c>
      <c r="Q154" s="28" t="str">
        <f aca="false">IF(A154="","",COUNTIF(Socios!$A:$A,A154))</f>
        <v/>
      </c>
      <c r="R154" s="28" t="str">
        <f aca="false">IF(A154="","",COUNTIFS(Socios!$A:$A,A154,Socios!$K:$K,"SIM"))</f>
        <v/>
      </c>
      <c r="S154" s="27"/>
      <c r="T154" s="5"/>
    </row>
    <row r="155" customFormat="false" ht="15" hidden="false" customHeight="false" outlineLevel="0" collapsed="false">
      <c r="A155" s="27"/>
      <c r="B155" s="5"/>
      <c r="C155" s="18"/>
      <c r="D155" s="5"/>
      <c r="E155" s="35"/>
      <c r="F155" s="5"/>
      <c r="G155" s="5"/>
      <c r="H155" s="5"/>
      <c r="I155" s="14"/>
      <c r="J155" s="14"/>
      <c r="K155" s="28" t="str">
        <f aca="false">IF(A155="","",COUNTIF(Contratos!$A:$A,A155))</f>
        <v/>
      </c>
      <c r="L155" s="39" t="str">
        <f aca="false">IF(A155="","",SUMIFS(Contratos!$D:$D,Contratos!$A:$A,A155)+SUMIFS(Contratos!$N:$N,Contratos!$A:$A,A155))</f>
        <v/>
      </c>
      <c r="M155" s="39" t="str">
        <f aca="false">IF(A155="","",SUMIFS(Pagamentos!$C:$C,Pagamentos!$A:$A,A155,Pagamentos!$F:$F,"Empenho"))</f>
        <v/>
      </c>
      <c r="N155" s="39" t="str">
        <f aca="false">IF(A155="","",SUMIFS(Pagamentos!$C:$C,Pagamentos!$A:$A,A155,Pagamentos!$F:$F,"Pagamento"))</f>
        <v/>
      </c>
      <c r="O155" s="37" t="str">
        <f aca="false">IF(OR(A155="",E155="",L155="",L155=0),"",E155/L155)</f>
        <v/>
      </c>
      <c r="P155" s="28" t="str">
        <f aca="false">IF(A155="","",COUNTIFS(Sancoes!$A:$A,A155,Sancoes!$B:$B,"&lt;&gt;Não consta"))</f>
        <v/>
      </c>
      <c r="Q155" s="28" t="str">
        <f aca="false">IF(A155="","",COUNTIF(Socios!$A:$A,A155))</f>
        <v/>
      </c>
      <c r="R155" s="28" t="str">
        <f aca="false">IF(A155="","",COUNTIFS(Socios!$A:$A,A155,Socios!$K:$K,"SIM"))</f>
        <v/>
      </c>
      <c r="S155" s="27"/>
      <c r="T155" s="5"/>
    </row>
    <row r="156" customFormat="false" ht="15" hidden="false" customHeight="false" outlineLevel="0" collapsed="false">
      <c r="A156" s="27"/>
      <c r="B156" s="5"/>
      <c r="C156" s="18"/>
      <c r="D156" s="5"/>
      <c r="E156" s="35"/>
      <c r="F156" s="5"/>
      <c r="G156" s="5"/>
      <c r="H156" s="5"/>
      <c r="I156" s="14"/>
      <c r="J156" s="14"/>
      <c r="K156" s="28" t="str">
        <f aca="false">IF(A156="","",COUNTIF(Contratos!$A:$A,A156))</f>
        <v/>
      </c>
      <c r="L156" s="39" t="str">
        <f aca="false">IF(A156="","",SUMIFS(Contratos!$D:$D,Contratos!$A:$A,A156)+SUMIFS(Contratos!$N:$N,Contratos!$A:$A,A156))</f>
        <v/>
      </c>
      <c r="M156" s="39" t="str">
        <f aca="false">IF(A156="","",SUMIFS(Pagamentos!$C:$C,Pagamentos!$A:$A,A156,Pagamentos!$F:$F,"Empenho"))</f>
        <v/>
      </c>
      <c r="N156" s="39" t="str">
        <f aca="false">IF(A156="","",SUMIFS(Pagamentos!$C:$C,Pagamentos!$A:$A,A156,Pagamentos!$F:$F,"Pagamento"))</f>
        <v/>
      </c>
      <c r="O156" s="37" t="str">
        <f aca="false">IF(OR(A156="",E156="",L156="",L156=0),"",E156/L156)</f>
        <v/>
      </c>
      <c r="P156" s="28" t="str">
        <f aca="false">IF(A156="","",COUNTIFS(Sancoes!$A:$A,A156,Sancoes!$B:$B,"&lt;&gt;Não consta"))</f>
        <v/>
      </c>
      <c r="Q156" s="28" t="str">
        <f aca="false">IF(A156="","",COUNTIF(Socios!$A:$A,A156))</f>
        <v/>
      </c>
      <c r="R156" s="28" t="str">
        <f aca="false">IF(A156="","",COUNTIFS(Socios!$A:$A,A156,Socios!$K:$K,"SIM"))</f>
        <v/>
      </c>
      <c r="S156" s="27"/>
      <c r="T156" s="5"/>
    </row>
    <row r="157" customFormat="false" ht="15" hidden="false" customHeight="false" outlineLevel="0" collapsed="false">
      <c r="A157" s="27"/>
      <c r="B157" s="5"/>
      <c r="C157" s="18"/>
      <c r="D157" s="5"/>
      <c r="E157" s="35"/>
      <c r="F157" s="5"/>
      <c r="G157" s="5"/>
      <c r="H157" s="5"/>
      <c r="I157" s="14"/>
      <c r="J157" s="14"/>
      <c r="K157" s="28" t="str">
        <f aca="false">IF(A157="","",COUNTIF(Contratos!$A:$A,A157))</f>
        <v/>
      </c>
      <c r="L157" s="39" t="str">
        <f aca="false">IF(A157="","",SUMIFS(Contratos!$D:$D,Contratos!$A:$A,A157)+SUMIFS(Contratos!$N:$N,Contratos!$A:$A,A157))</f>
        <v/>
      </c>
      <c r="M157" s="39" t="str">
        <f aca="false">IF(A157="","",SUMIFS(Pagamentos!$C:$C,Pagamentos!$A:$A,A157,Pagamentos!$F:$F,"Empenho"))</f>
        <v/>
      </c>
      <c r="N157" s="39" t="str">
        <f aca="false">IF(A157="","",SUMIFS(Pagamentos!$C:$C,Pagamentos!$A:$A,A157,Pagamentos!$F:$F,"Pagamento"))</f>
        <v/>
      </c>
      <c r="O157" s="37" t="str">
        <f aca="false">IF(OR(A157="",E157="",L157="",L157=0),"",E157/L157)</f>
        <v/>
      </c>
      <c r="P157" s="28" t="str">
        <f aca="false">IF(A157="","",COUNTIFS(Sancoes!$A:$A,A157,Sancoes!$B:$B,"&lt;&gt;Não consta"))</f>
        <v/>
      </c>
      <c r="Q157" s="28" t="str">
        <f aca="false">IF(A157="","",COUNTIF(Socios!$A:$A,A157))</f>
        <v/>
      </c>
      <c r="R157" s="28" t="str">
        <f aca="false">IF(A157="","",COUNTIFS(Socios!$A:$A,A157,Socios!$K:$K,"SIM"))</f>
        <v/>
      </c>
      <c r="S157" s="27"/>
      <c r="T157" s="5"/>
    </row>
    <row r="158" customFormat="false" ht="15" hidden="false" customHeight="false" outlineLevel="0" collapsed="false">
      <c r="A158" s="27"/>
      <c r="B158" s="5"/>
      <c r="C158" s="18"/>
      <c r="D158" s="5"/>
      <c r="E158" s="35"/>
      <c r="F158" s="5"/>
      <c r="G158" s="5"/>
      <c r="H158" s="5"/>
      <c r="I158" s="14"/>
      <c r="J158" s="14"/>
      <c r="K158" s="28" t="str">
        <f aca="false">IF(A158="","",COUNTIF(Contratos!$A:$A,A158))</f>
        <v/>
      </c>
      <c r="L158" s="39" t="str">
        <f aca="false">IF(A158="","",SUMIFS(Contratos!$D:$D,Contratos!$A:$A,A158)+SUMIFS(Contratos!$N:$N,Contratos!$A:$A,A158))</f>
        <v/>
      </c>
      <c r="M158" s="39" t="str">
        <f aca="false">IF(A158="","",SUMIFS(Pagamentos!$C:$C,Pagamentos!$A:$A,A158,Pagamentos!$F:$F,"Empenho"))</f>
        <v/>
      </c>
      <c r="N158" s="39" t="str">
        <f aca="false">IF(A158="","",SUMIFS(Pagamentos!$C:$C,Pagamentos!$A:$A,A158,Pagamentos!$F:$F,"Pagamento"))</f>
        <v/>
      </c>
      <c r="O158" s="37" t="str">
        <f aca="false">IF(OR(A158="",E158="",L158="",L158=0),"",E158/L158)</f>
        <v/>
      </c>
      <c r="P158" s="28" t="str">
        <f aca="false">IF(A158="","",COUNTIFS(Sancoes!$A:$A,A158,Sancoes!$B:$B,"&lt;&gt;Não consta"))</f>
        <v/>
      </c>
      <c r="Q158" s="28" t="str">
        <f aca="false">IF(A158="","",COUNTIF(Socios!$A:$A,A158))</f>
        <v/>
      </c>
      <c r="R158" s="28" t="str">
        <f aca="false">IF(A158="","",COUNTIFS(Socios!$A:$A,A158,Socios!$K:$K,"SIM"))</f>
        <v/>
      </c>
      <c r="S158" s="27"/>
      <c r="T158" s="5"/>
    </row>
    <row r="159" customFormat="false" ht="15" hidden="false" customHeight="false" outlineLevel="0" collapsed="false">
      <c r="A159" s="27"/>
      <c r="B159" s="5"/>
      <c r="C159" s="18"/>
      <c r="D159" s="5"/>
      <c r="E159" s="35"/>
      <c r="F159" s="5"/>
      <c r="G159" s="5"/>
      <c r="H159" s="5"/>
      <c r="I159" s="14"/>
      <c r="J159" s="14"/>
      <c r="K159" s="28" t="str">
        <f aca="false">IF(A159="","",COUNTIF(Contratos!$A:$A,A159))</f>
        <v/>
      </c>
      <c r="L159" s="39" t="str">
        <f aca="false">IF(A159="","",SUMIFS(Contratos!$D:$D,Contratos!$A:$A,A159)+SUMIFS(Contratos!$N:$N,Contratos!$A:$A,A159))</f>
        <v/>
      </c>
      <c r="M159" s="39" t="str">
        <f aca="false">IF(A159="","",SUMIFS(Pagamentos!$C:$C,Pagamentos!$A:$A,A159,Pagamentos!$F:$F,"Empenho"))</f>
        <v/>
      </c>
      <c r="N159" s="39" t="str">
        <f aca="false">IF(A159="","",SUMIFS(Pagamentos!$C:$C,Pagamentos!$A:$A,A159,Pagamentos!$F:$F,"Pagamento"))</f>
        <v/>
      </c>
      <c r="O159" s="37" t="str">
        <f aca="false">IF(OR(A159="",E159="",L159="",L159=0),"",E159/L159)</f>
        <v/>
      </c>
      <c r="P159" s="28" t="str">
        <f aca="false">IF(A159="","",COUNTIFS(Sancoes!$A:$A,A159,Sancoes!$B:$B,"&lt;&gt;Não consta"))</f>
        <v/>
      </c>
      <c r="Q159" s="28" t="str">
        <f aca="false">IF(A159="","",COUNTIF(Socios!$A:$A,A159))</f>
        <v/>
      </c>
      <c r="R159" s="28" t="str">
        <f aca="false">IF(A159="","",COUNTIFS(Socios!$A:$A,A159,Socios!$K:$K,"SIM"))</f>
        <v/>
      </c>
      <c r="S159" s="27"/>
      <c r="T159" s="5"/>
    </row>
    <row r="160" customFormat="false" ht="15" hidden="false" customHeight="false" outlineLevel="0" collapsed="false">
      <c r="A160" s="27"/>
      <c r="B160" s="5"/>
      <c r="C160" s="18"/>
      <c r="D160" s="5"/>
      <c r="E160" s="35"/>
      <c r="F160" s="5"/>
      <c r="G160" s="5"/>
      <c r="H160" s="5"/>
      <c r="I160" s="14"/>
      <c r="J160" s="14"/>
      <c r="K160" s="28" t="str">
        <f aca="false">IF(A160="","",COUNTIF(Contratos!$A:$A,A160))</f>
        <v/>
      </c>
      <c r="L160" s="39" t="str">
        <f aca="false">IF(A160="","",SUMIFS(Contratos!$D:$D,Contratos!$A:$A,A160)+SUMIFS(Contratos!$N:$N,Contratos!$A:$A,A160))</f>
        <v/>
      </c>
      <c r="M160" s="39" t="str">
        <f aca="false">IF(A160="","",SUMIFS(Pagamentos!$C:$C,Pagamentos!$A:$A,A160,Pagamentos!$F:$F,"Empenho"))</f>
        <v/>
      </c>
      <c r="N160" s="39" t="str">
        <f aca="false">IF(A160="","",SUMIFS(Pagamentos!$C:$C,Pagamentos!$A:$A,A160,Pagamentos!$F:$F,"Pagamento"))</f>
        <v/>
      </c>
      <c r="O160" s="37" t="str">
        <f aca="false">IF(OR(A160="",E160="",L160="",L160=0),"",E160/L160)</f>
        <v/>
      </c>
      <c r="P160" s="28" t="str">
        <f aca="false">IF(A160="","",COUNTIFS(Sancoes!$A:$A,A160,Sancoes!$B:$B,"&lt;&gt;Não consta"))</f>
        <v/>
      </c>
      <c r="Q160" s="28" t="str">
        <f aca="false">IF(A160="","",COUNTIF(Socios!$A:$A,A160))</f>
        <v/>
      </c>
      <c r="R160" s="28" t="str">
        <f aca="false">IF(A160="","",COUNTIFS(Socios!$A:$A,A160,Socios!$K:$K,"SIM"))</f>
        <v/>
      </c>
      <c r="S160" s="27"/>
      <c r="T160" s="5"/>
    </row>
    <row r="161" customFormat="false" ht="15" hidden="false" customHeight="false" outlineLevel="0" collapsed="false">
      <c r="A161" s="27"/>
      <c r="B161" s="5"/>
      <c r="C161" s="18"/>
      <c r="D161" s="5"/>
      <c r="E161" s="35"/>
      <c r="F161" s="5"/>
      <c r="G161" s="5"/>
      <c r="H161" s="5"/>
      <c r="I161" s="14"/>
      <c r="J161" s="14"/>
      <c r="K161" s="28" t="str">
        <f aca="false">IF(A161="","",COUNTIF(Contratos!$A:$A,A161))</f>
        <v/>
      </c>
      <c r="L161" s="39" t="str">
        <f aca="false">IF(A161="","",SUMIFS(Contratos!$D:$D,Contratos!$A:$A,A161)+SUMIFS(Contratos!$N:$N,Contratos!$A:$A,A161))</f>
        <v/>
      </c>
      <c r="M161" s="39" t="str">
        <f aca="false">IF(A161="","",SUMIFS(Pagamentos!$C:$C,Pagamentos!$A:$A,A161,Pagamentos!$F:$F,"Empenho"))</f>
        <v/>
      </c>
      <c r="N161" s="39" t="str">
        <f aca="false">IF(A161="","",SUMIFS(Pagamentos!$C:$C,Pagamentos!$A:$A,A161,Pagamentos!$F:$F,"Pagamento"))</f>
        <v/>
      </c>
      <c r="O161" s="37" t="str">
        <f aca="false">IF(OR(A161="",E161="",L161="",L161=0),"",E161/L161)</f>
        <v/>
      </c>
      <c r="P161" s="28" t="str">
        <f aca="false">IF(A161="","",COUNTIFS(Sancoes!$A:$A,A161,Sancoes!$B:$B,"&lt;&gt;Não consta"))</f>
        <v/>
      </c>
      <c r="Q161" s="28" t="str">
        <f aca="false">IF(A161="","",COUNTIF(Socios!$A:$A,A161))</f>
        <v/>
      </c>
      <c r="R161" s="28" t="str">
        <f aca="false">IF(A161="","",COUNTIFS(Socios!$A:$A,A161,Socios!$K:$K,"SIM"))</f>
        <v/>
      </c>
      <c r="S161" s="27"/>
      <c r="T161" s="5"/>
    </row>
    <row r="162" customFormat="false" ht="15" hidden="false" customHeight="false" outlineLevel="0" collapsed="false">
      <c r="A162" s="27"/>
      <c r="B162" s="5"/>
      <c r="C162" s="18"/>
      <c r="D162" s="5"/>
      <c r="E162" s="35"/>
      <c r="F162" s="5"/>
      <c r="G162" s="5"/>
      <c r="H162" s="5"/>
      <c r="I162" s="14"/>
      <c r="J162" s="14"/>
      <c r="K162" s="28" t="str">
        <f aca="false">IF(A162="","",COUNTIF(Contratos!$A:$A,A162))</f>
        <v/>
      </c>
      <c r="L162" s="39" t="str">
        <f aca="false">IF(A162="","",SUMIFS(Contratos!$D:$D,Contratos!$A:$A,A162)+SUMIFS(Contratos!$N:$N,Contratos!$A:$A,A162))</f>
        <v/>
      </c>
      <c r="M162" s="39" t="str">
        <f aca="false">IF(A162="","",SUMIFS(Pagamentos!$C:$C,Pagamentos!$A:$A,A162,Pagamentos!$F:$F,"Empenho"))</f>
        <v/>
      </c>
      <c r="N162" s="39" t="str">
        <f aca="false">IF(A162="","",SUMIFS(Pagamentos!$C:$C,Pagamentos!$A:$A,A162,Pagamentos!$F:$F,"Pagamento"))</f>
        <v/>
      </c>
      <c r="O162" s="37" t="str">
        <f aca="false">IF(OR(A162="",E162="",L162="",L162=0),"",E162/L162)</f>
        <v/>
      </c>
      <c r="P162" s="28" t="str">
        <f aca="false">IF(A162="","",COUNTIFS(Sancoes!$A:$A,A162,Sancoes!$B:$B,"&lt;&gt;Não consta"))</f>
        <v/>
      </c>
      <c r="Q162" s="28" t="str">
        <f aca="false">IF(A162="","",COUNTIF(Socios!$A:$A,A162))</f>
        <v/>
      </c>
      <c r="R162" s="28" t="str">
        <f aca="false">IF(A162="","",COUNTIFS(Socios!$A:$A,A162,Socios!$K:$K,"SIM"))</f>
        <v/>
      </c>
      <c r="S162" s="27"/>
      <c r="T162" s="5"/>
    </row>
    <row r="163" customFormat="false" ht="15" hidden="false" customHeight="false" outlineLevel="0" collapsed="false">
      <c r="A163" s="27"/>
      <c r="B163" s="5"/>
      <c r="C163" s="18"/>
      <c r="D163" s="5"/>
      <c r="E163" s="35"/>
      <c r="F163" s="5"/>
      <c r="G163" s="5"/>
      <c r="H163" s="5"/>
      <c r="I163" s="14"/>
      <c r="J163" s="14"/>
      <c r="K163" s="28" t="str">
        <f aca="false">IF(A163="","",COUNTIF(Contratos!$A:$A,A163))</f>
        <v/>
      </c>
      <c r="L163" s="39" t="str">
        <f aca="false">IF(A163="","",SUMIFS(Contratos!$D:$D,Contratos!$A:$A,A163)+SUMIFS(Contratos!$N:$N,Contratos!$A:$A,A163))</f>
        <v/>
      </c>
      <c r="M163" s="39" t="str">
        <f aca="false">IF(A163="","",SUMIFS(Pagamentos!$C:$C,Pagamentos!$A:$A,A163,Pagamentos!$F:$F,"Empenho"))</f>
        <v/>
      </c>
      <c r="N163" s="39" t="str">
        <f aca="false">IF(A163="","",SUMIFS(Pagamentos!$C:$C,Pagamentos!$A:$A,A163,Pagamentos!$F:$F,"Pagamento"))</f>
        <v/>
      </c>
      <c r="O163" s="37" t="str">
        <f aca="false">IF(OR(A163="",E163="",L163="",L163=0),"",E163/L163)</f>
        <v/>
      </c>
      <c r="P163" s="28" t="str">
        <f aca="false">IF(A163="","",COUNTIFS(Sancoes!$A:$A,A163,Sancoes!$B:$B,"&lt;&gt;Não consta"))</f>
        <v/>
      </c>
      <c r="Q163" s="28" t="str">
        <f aca="false">IF(A163="","",COUNTIF(Socios!$A:$A,A163))</f>
        <v/>
      </c>
      <c r="R163" s="28" t="str">
        <f aca="false">IF(A163="","",COUNTIFS(Socios!$A:$A,A163,Socios!$K:$K,"SIM"))</f>
        <v/>
      </c>
      <c r="S163" s="27"/>
      <c r="T163" s="5"/>
    </row>
    <row r="164" customFormat="false" ht="15" hidden="false" customHeight="false" outlineLevel="0" collapsed="false">
      <c r="A164" s="27"/>
      <c r="B164" s="5"/>
      <c r="C164" s="18"/>
      <c r="D164" s="5"/>
      <c r="E164" s="35"/>
      <c r="F164" s="5"/>
      <c r="G164" s="5"/>
      <c r="H164" s="5"/>
      <c r="I164" s="14"/>
      <c r="J164" s="14"/>
      <c r="K164" s="28" t="str">
        <f aca="false">IF(A164="","",COUNTIF(Contratos!$A:$A,A164))</f>
        <v/>
      </c>
      <c r="L164" s="39" t="str">
        <f aca="false">IF(A164="","",SUMIFS(Contratos!$D:$D,Contratos!$A:$A,A164)+SUMIFS(Contratos!$N:$N,Contratos!$A:$A,A164))</f>
        <v/>
      </c>
      <c r="M164" s="39" t="str">
        <f aca="false">IF(A164="","",SUMIFS(Pagamentos!$C:$C,Pagamentos!$A:$A,A164,Pagamentos!$F:$F,"Empenho"))</f>
        <v/>
      </c>
      <c r="N164" s="39" t="str">
        <f aca="false">IF(A164="","",SUMIFS(Pagamentos!$C:$C,Pagamentos!$A:$A,A164,Pagamentos!$F:$F,"Pagamento"))</f>
        <v/>
      </c>
      <c r="O164" s="37" t="str">
        <f aca="false">IF(OR(A164="",E164="",L164="",L164=0),"",E164/L164)</f>
        <v/>
      </c>
      <c r="P164" s="28" t="str">
        <f aca="false">IF(A164="","",COUNTIFS(Sancoes!$A:$A,A164,Sancoes!$B:$B,"&lt;&gt;Não consta"))</f>
        <v/>
      </c>
      <c r="Q164" s="28" t="str">
        <f aca="false">IF(A164="","",COUNTIF(Socios!$A:$A,A164))</f>
        <v/>
      </c>
      <c r="R164" s="28" t="str">
        <f aca="false">IF(A164="","",COUNTIFS(Socios!$A:$A,A164,Socios!$K:$K,"SIM"))</f>
        <v/>
      </c>
      <c r="S164" s="27"/>
      <c r="T164" s="5"/>
    </row>
    <row r="165" customFormat="false" ht="15" hidden="false" customHeight="false" outlineLevel="0" collapsed="false">
      <c r="A165" s="27"/>
      <c r="B165" s="5"/>
      <c r="C165" s="18"/>
      <c r="D165" s="5"/>
      <c r="E165" s="35"/>
      <c r="F165" s="5"/>
      <c r="G165" s="5"/>
      <c r="H165" s="5"/>
      <c r="I165" s="14"/>
      <c r="J165" s="14"/>
      <c r="K165" s="28" t="str">
        <f aca="false">IF(A165="","",COUNTIF(Contratos!$A:$A,A165))</f>
        <v/>
      </c>
      <c r="L165" s="39" t="str">
        <f aca="false">IF(A165="","",SUMIFS(Contratos!$D:$D,Contratos!$A:$A,A165)+SUMIFS(Contratos!$N:$N,Contratos!$A:$A,A165))</f>
        <v/>
      </c>
      <c r="M165" s="39" t="str">
        <f aca="false">IF(A165="","",SUMIFS(Pagamentos!$C:$C,Pagamentos!$A:$A,A165,Pagamentos!$F:$F,"Empenho"))</f>
        <v/>
      </c>
      <c r="N165" s="39" t="str">
        <f aca="false">IF(A165="","",SUMIFS(Pagamentos!$C:$C,Pagamentos!$A:$A,A165,Pagamentos!$F:$F,"Pagamento"))</f>
        <v/>
      </c>
      <c r="O165" s="37" t="str">
        <f aca="false">IF(OR(A165="",E165="",L165="",L165=0),"",E165/L165)</f>
        <v/>
      </c>
      <c r="P165" s="28" t="str">
        <f aca="false">IF(A165="","",COUNTIFS(Sancoes!$A:$A,A165,Sancoes!$B:$B,"&lt;&gt;Não consta"))</f>
        <v/>
      </c>
      <c r="Q165" s="28" t="str">
        <f aca="false">IF(A165="","",COUNTIF(Socios!$A:$A,A165))</f>
        <v/>
      </c>
      <c r="R165" s="28" t="str">
        <f aca="false">IF(A165="","",COUNTIFS(Socios!$A:$A,A165,Socios!$K:$K,"SIM"))</f>
        <v/>
      </c>
      <c r="S165" s="27"/>
      <c r="T165" s="5"/>
    </row>
    <row r="166" customFormat="false" ht="15" hidden="false" customHeight="false" outlineLevel="0" collapsed="false">
      <c r="A166" s="27"/>
      <c r="B166" s="5"/>
      <c r="C166" s="18"/>
      <c r="D166" s="5"/>
      <c r="E166" s="35"/>
      <c r="F166" s="5"/>
      <c r="G166" s="5"/>
      <c r="H166" s="5"/>
      <c r="I166" s="14"/>
      <c r="J166" s="14"/>
      <c r="K166" s="28" t="str">
        <f aca="false">IF(A166="","",COUNTIF(Contratos!$A:$A,A166))</f>
        <v/>
      </c>
      <c r="L166" s="39" t="str">
        <f aca="false">IF(A166="","",SUMIFS(Contratos!$D:$D,Contratos!$A:$A,A166)+SUMIFS(Contratos!$N:$N,Contratos!$A:$A,A166))</f>
        <v/>
      </c>
      <c r="M166" s="39" t="str">
        <f aca="false">IF(A166="","",SUMIFS(Pagamentos!$C:$C,Pagamentos!$A:$A,A166,Pagamentos!$F:$F,"Empenho"))</f>
        <v/>
      </c>
      <c r="N166" s="39" t="str">
        <f aca="false">IF(A166="","",SUMIFS(Pagamentos!$C:$C,Pagamentos!$A:$A,A166,Pagamentos!$F:$F,"Pagamento"))</f>
        <v/>
      </c>
      <c r="O166" s="37" t="str">
        <f aca="false">IF(OR(A166="",E166="",L166="",L166=0),"",E166/L166)</f>
        <v/>
      </c>
      <c r="P166" s="28" t="str">
        <f aca="false">IF(A166="","",COUNTIFS(Sancoes!$A:$A,A166,Sancoes!$B:$B,"&lt;&gt;Não consta"))</f>
        <v/>
      </c>
      <c r="Q166" s="28" t="str">
        <f aca="false">IF(A166="","",COUNTIF(Socios!$A:$A,A166))</f>
        <v/>
      </c>
      <c r="R166" s="28" t="str">
        <f aca="false">IF(A166="","",COUNTIFS(Socios!$A:$A,A166,Socios!$K:$K,"SIM"))</f>
        <v/>
      </c>
      <c r="S166" s="27"/>
      <c r="T166" s="5"/>
    </row>
    <row r="167" customFormat="false" ht="15" hidden="false" customHeight="false" outlineLevel="0" collapsed="false">
      <c r="A167" s="27"/>
      <c r="B167" s="5"/>
      <c r="C167" s="18"/>
      <c r="D167" s="5"/>
      <c r="E167" s="35"/>
      <c r="F167" s="5"/>
      <c r="G167" s="5"/>
      <c r="H167" s="5"/>
      <c r="I167" s="14"/>
      <c r="J167" s="14"/>
      <c r="K167" s="28" t="str">
        <f aca="false">IF(A167="","",COUNTIF(Contratos!$A:$A,A167))</f>
        <v/>
      </c>
      <c r="L167" s="39" t="str">
        <f aca="false">IF(A167="","",SUMIFS(Contratos!$D:$D,Contratos!$A:$A,A167)+SUMIFS(Contratos!$N:$N,Contratos!$A:$A,A167))</f>
        <v/>
      </c>
      <c r="M167" s="39" t="str">
        <f aca="false">IF(A167="","",SUMIFS(Pagamentos!$C:$C,Pagamentos!$A:$A,A167,Pagamentos!$F:$F,"Empenho"))</f>
        <v/>
      </c>
      <c r="N167" s="39" t="str">
        <f aca="false">IF(A167="","",SUMIFS(Pagamentos!$C:$C,Pagamentos!$A:$A,A167,Pagamentos!$F:$F,"Pagamento"))</f>
        <v/>
      </c>
      <c r="O167" s="37" t="str">
        <f aca="false">IF(OR(A167="",E167="",L167="",L167=0),"",E167/L167)</f>
        <v/>
      </c>
      <c r="P167" s="28" t="str">
        <f aca="false">IF(A167="","",COUNTIFS(Sancoes!$A:$A,A167,Sancoes!$B:$B,"&lt;&gt;Não consta"))</f>
        <v/>
      </c>
      <c r="Q167" s="28" t="str">
        <f aca="false">IF(A167="","",COUNTIF(Socios!$A:$A,A167))</f>
        <v/>
      </c>
      <c r="R167" s="28" t="str">
        <f aca="false">IF(A167="","",COUNTIFS(Socios!$A:$A,A167,Socios!$K:$K,"SIM"))</f>
        <v/>
      </c>
      <c r="S167" s="27"/>
      <c r="T167" s="5"/>
    </row>
    <row r="168" customFormat="false" ht="15" hidden="false" customHeight="false" outlineLevel="0" collapsed="false">
      <c r="A168" s="27"/>
      <c r="B168" s="5"/>
      <c r="C168" s="18"/>
      <c r="D168" s="5"/>
      <c r="E168" s="35"/>
      <c r="F168" s="5"/>
      <c r="G168" s="5"/>
      <c r="H168" s="5"/>
      <c r="I168" s="14"/>
      <c r="J168" s="14"/>
      <c r="K168" s="28" t="str">
        <f aca="false">IF(A168="","",COUNTIF(Contratos!$A:$A,A168))</f>
        <v/>
      </c>
      <c r="L168" s="39" t="str">
        <f aca="false">IF(A168="","",SUMIFS(Contratos!$D:$D,Contratos!$A:$A,A168)+SUMIFS(Contratos!$N:$N,Contratos!$A:$A,A168))</f>
        <v/>
      </c>
      <c r="M168" s="39" t="str">
        <f aca="false">IF(A168="","",SUMIFS(Pagamentos!$C:$C,Pagamentos!$A:$A,A168,Pagamentos!$F:$F,"Empenho"))</f>
        <v/>
      </c>
      <c r="N168" s="39" t="str">
        <f aca="false">IF(A168="","",SUMIFS(Pagamentos!$C:$C,Pagamentos!$A:$A,A168,Pagamentos!$F:$F,"Pagamento"))</f>
        <v/>
      </c>
      <c r="O168" s="37" t="str">
        <f aca="false">IF(OR(A168="",E168="",L168="",L168=0),"",E168/L168)</f>
        <v/>
      </c>
      <c r="P168" s="28" t="str">
        <f aca="false">IF(A168="","",COUNTIFS(Sancoes!$A:$A,A168,Sancoes!$B:$B,"&lt;&gt;Não consta"))</f>
        <v/>
      </c>
      <c r="Q168" s="28" t="str">
        <f aca="false">IF(A168="","",COUNTIF(Socios!$A:$A,A168))</f>
        <v/>
      </c>
      <c r="R168" s="28" t="str">
        <f aca="false">IF(A168="","",COUNTIFS(Socios!$A:$A,A168,Socios!$K:$K,"SIM"))</f>
        <v/>
      </c>
      <c r="S168" s="27"/>
      <c r="T168" s="5"/>
    </row>
    <row r="169" customFormat="false" ht="15" hidden="false" customHeight="false" outlineLevel="0" collapsed="false">
      <c r="A169" s="27"/>
      <c r="B169" s="5"/>
      <c r="C169" s="18"/>
      <c r="D169" s="5"/>
      <c r="E169" s="35"/>
      <c r="F169" s="5"/>
      <c r="G169" s="5"/>
      <c r="H169" s="5"/>
      <c r="I169" s="14"/>
      <c r="J169" s="14"/>
      <c r="K169" s="28" t="str">
        <f aca="false">IF(A169="","",COUNTIF(Contratos!$A:$A,A169))</f>
        <v/>
      </c>
      <c r="L169" s="39" t="str">
        <f aca="false">IF(A169="","",SUMIFS(Contratos!$D:$D,Contratos!$A:$A,A169)+SUMIFS(Contratos!$N:$N,Contratos!$A:$A,A169))</f>
        <v/>
      </c>
      <c r="M169" s="39" t="str">
        <f aca="false">IF(A169="","",SUMIFS(Pagamentos!$C:$C,Pagamentos!$A:$A,A169,Pagamentos!$F:$F,"Empenho"))</f>
        <v/>
      </c>
      <c r="N169" s="39" t="str">
        <f aca="false">IF(A169="","",SUMIFS(Pagamentos!$C:$C,Pagamentos!$A:$A,A169,Pagamentos!$F:$F,"Pagamento"))</f>
        <v/>
      </c>
      <c r="O169" s="37" t="str">
        <f aca="false">IF(OR(A169="",E169="",L169="",L169=0),"",E169/L169)</f>
        <v/>
      </c>
      <c r="P169" s="28" t="str">
        <f aca="false">IF(A169="","",COUNTIFS(Sancoes!$A:$A,A169,Sancoes!$B:$B,"&lt;&gt;Não consta"))</f>
        <v/>
      </c>
      <c r="Q169" s="28" t="str">
        <f aca="false">IF(A169="","",COUNTIF(Socios!$A:$A,A169))</f>
        <v/>
      </c>
      <c r="R169" s="28" t="str">
        <f aca="false">IF(A169="","",COUNTIFS(Socios!$A:$A,A169,Socios!$K:$K,"SIM"))</f>
        <v/>
      </c>
      <c r="S169" s="27"/>
      <c r="T169" s="5"/>
    </row>
    <row r="170" customFormat="false" ht="15" hidden="false" customHeight="false" outlineLevel="0" collapsed="false">
      <c r="A170" s="27"/>
      <c r="B170" s="5"/>
      <c r="C170" s="18"/>
      <c r="D170" s="5"/>
      <c r="E170" s="35"/>
      <c r="F170" s="5"/>
      <c r="G170" s="5"/>
      <c r="H170" s="5"/>
      <c r="I170" s="14"/>
      <c r="J170" s="14"/>
      <c r="K170" s="28" t="str">
        <f aca="false">IF(A170="","",COUNTIF(Contratos!$A:$A,A170))</f>
        <v/>
      </c>
      <c r="L170" s="39" t="str">
        <f aca="false">IF(A170="","",SUMIFS(Contratos!$D:$D,Contratos!$A:$A,A170)+SUMIFS(Contratos!$N:$N,Contratos!$A:$A,A170))</f>
        <v/>
      </c>
      <c r="M170" s="39" t="str">
        <f aca="false">IF(A170="","",SUMIFS(Pagamentos!$C:$C,Pagamentos!$A:$A,A170,Pagamentos!$F:$F,"Empenho"))</f>
        <v/>
      </c>
      <c r="N170" s="39" t="str">
        <f aca="false">IF(A170="","",SUMIFS(Pagamentos!$C:$C,Pagamentos!$A:$A,A170,Pagamentos!$F:$F,"Pagamento"))</f>
        <v/>
      </c>
      <c r="O170" s="37" t="str">
        <f aca="false">IF(OR(A170="",E170="",L170="",L170=0),"",E170/L170)</f>
        <v/>
      </c>
      <c r="P170" s="28" t="str">
        <f aca="false">IF(A170="","",COUNTIFS(Sancoes!$A:$A,A170,Sancoes!$B:$B,"&lt;&gt;Não consta"))</f>
        <v/>
      </c>
      <c r="Q170" s="28" t="str">
        <f aca="false">IF(A170="","",COUNTIF(Socios!$A:$A,A170))</f>
        <v/>
      </c>
      <c r="R170" s="28" t="str">
        <f aca="false">IF(A170="","",COUNTIFS(Socios!$A:$A,A170,Socios!$K:$K,"SIM"))</f>
        <v/>
      </c>
      <c r="S170" s="27"/>
      <c r="T170" s="5"/>
    </row>
    <row r="171" customFormat="false" ht="15" hidden="false" customHeight="false" outlineLevel="0" collapsed="false">
      <c r="A171" s="27"/>
      <c r="B171" s="5"/>
      <c r="C171" s="18"/>
      <c r="D171" s="5"/>
      <c r="E171" s="35"/>
      <c r="F171" s="5"/>
      <c r="G171" s="5"/>
      <c r="H171" s="5"/>
      <c r="I171" s="14"/>
      <c r="J171" s="14"/>
      <c r="K171" s="28" t="str">
        <f aca="false">IF(A171="","",COUNTIF(Contratos!$A:$A,A171))</f>
        <v/>
      </c>
      <c r="L171" s="39" t="str">
        <f aca="false">IF(A171="","",SUMIFS(Contratos!$D:$D,Contratos!$A:$A,A171)+SUMIFS(Contratos!$N:$N,Contratos!$A:$A,A171))</f>
        <v/>
      </c>
      <c r="M171" s="39" t="str">
        <f aca="false">IF(A171="","",SUMIFS(Pagamentos!$C:$C,Pagamentos!$A:$A,A171,Pagamentos!$F:$F,"Empenho"))</f>
        <v/>
      </c>
      <c r="N171" s="39" t="str">
        <f aca="false">IF(A171="","",SUMIFS(Pagamentos!$C:$C,Pagamentos!$A:$A,A171,Pagamentos!$F:$F,"Pagamento"))</f>
        <v/>
      </c>
      <c r="O171" s="37" t="str">
        <f aca="false">IF(OR(A171="",E171="",L171="",L171=0),"",E171/L171)</f>
        <v/>
      </c>
      <c r="P171" s="28" t="str">
        <f aca="false">IF(A171="","",COUNTIFS(Sancoes!$A:$A,A171,Sancoes!$B:$B,"&lt;&gt;Não consta"))</f>
        <v/>
      </c>
      <c r="Q171" s="28" t="str">
        <f aca="false">IF(A171="","",COUNTIF(Socios!$A:$A,A171))</f>
        <v/>
      </c>
      <c r="R171" s="28" t="str">
        <f aca="false">IF(A171="","",COUNTIFS(Socios!$A:$A,A171,Socios!$K:$K,"SIM"))</f>
        <v/>
      </c>
      <c r="S171" s="27"/>
      <c r="T171" s="5"/>
    </row>
    <row r="172" customFormat="false" ht="15" hidden="false" customHeight="false" outlineLevel="0" collapsed="false">
      <c r="A172" s="27"/>
      <c r="B172" s="5"/>
      <c r="C172" s="18"/>
      <c r="D172" s="5"/>
      <c r="E172" s="35"/>
      <c r="F172" s="5"/>
      <c r="G172" s="5"/>
      <c r="H172" s="5"/>
      <c r="I172" s="14"/>
      <c r="J172" s="14"/>
      <c r="K172" s="28" t="str">
        <f aca="false">IF(A172="","",COUNTIF(Contratos!$A:$A,A172))</f>
        <v/>
      </c>
      <c r="L172" s="39" t="str">
        <f aca="false">IF(A172="","",SUMIFS(Contratos!$D:$D,Contratos!$A:$A,A172)+SUMIFS(Contratos!$N:$N,Contratos!$A:$A,A172))</f>
        <v/>
      </c>
      <c r="M172" s="39" t="str">
        <f aca="false">IF(A172="","",SUMIFS(Pagamentos!$C:$C,Pagamentos!$A:$A,A172,Pagamentos!$F:$F,"Empenho"))</f>
        <v/>
      </c>
      <c r="N172" s="39" t="str">
        <f aca="false">IF(A172="","",SUMIFS(Pagamentos!$C:$C,Pagamentos!$A:$A,A172,Pagamentos!$F:$F,"Pagamento"))</f>
        <v/>
      </c>
      <c r="O172" s="37" t="str">
        <f aca="false">IF(OR(A172="",E172="",L172="",L172=0),"",E172/L172)</f>
        <v/>
      </c>
      <c r="P172" s="28" t="str">
        <f aca="false">IF(A172="","",COUNTIFS(Sancoes!$A:$A,A172,Sancoes!$B:$B,"&lt;&gt;Não consta"))</f>
        <v/>
      </c>
      <c r="Q172" s="28" t="str">
        <f aca="false">IF(A172="","",COUNTIF(Socios!$A:$A,A172))</f>
        <v/>
      </c>
      <c r="R172" s="28" t="str">
        <f aca="false">IF(A172="","",COUNTIFS(Socios!$A:$A,A172,Socios!$K:$K,"SIM"))</f>
        <v/>
      </c>
      <c r="S172" s="27"/>
      <c r="T172" s="5"/>
    </row>
    <row r="173" customFormat="false" ht="15" hidden="false" customHeight="false" outlineLevel="0" collapsed="false">
      <c r="A173" s="27"/>
      <c r="B173" s="5"/>
      <c r="C173" s="18"/>
      <c r="D173" s="5"/>
      <c r="E173" s="35"/>
      <c r="F173" s="5"/>
      <c r="G173" s="5"/>
      <c r="H173" s="5"/>
      <c r="I173" s="14"/>
      <c r="J173" s="14"/>
      <c r="K173" s="28" t="str">
        <f aca="false">IF(A173="","",COUNTIF(Contratos!$A:$A,A173))</f>
        <v/>
      </c>
      <c r="L173" s="39" t="str">
        <f aca="false">IF(A173="","",SUMIFS(Contratos!$D:$D,Contratos!$A:$A,A173)+SUMIFS(Contratos!$N:$N,Contratos!$A:$A,A173))</f>
        <v/>
      </c>
      <c r="M173" s="39" t="str">
        <f aca="false">IF(A173="","",SUMIFS(Pagamentos!$C:$C,Pagamentos!$A:$A,A173,Pagamentos!$F:$F,"Empenho"))</f>
        <v/>
      </c>
      <c r="N173" s="39" t="str">
        <f aca="false">IF(A173="","",SUMIFS(Pagamentos!$C:$C,Pagamentos!$A:$A,A173,Pagamentos!$F:$F,"Pagamento"))</f>
        <v/>
      </c>
      <c r="O173" s="37" t="str">
        <f aca="false">IF(OR(A173="",E173="",L173="",L173=0),"",E173/L173)</f>
        <v/>
      </c>
      <c r="P173" s="28" t="str">
        <f aca="false">IF(A173="","",COUNTIFS(Sancoes!$A:$A,A173,Sancoes!$B:$B,"&lt;&gt;Não consta"))</f>
        <v/>
      </c>
      <c r="Q173" s="28" t="str">
        <f aca="false">IF(A173="","",COUNTIF(Socios!$A:$A,A173))</f>
        <v/>
      </c>
      <c r="R173" s="28" t="str">
        <f aca="false">IF(A173="","",COUNTIFS(Socios!$A:$A,A173,Socios!$K:$K,"SIM"))</f>
        <v/>
      </c>
      <c r="S173" s="27"/>
      <c r="T173" s="5"/>
    </row>
    <row r="174" customFormat="false" ht="15" hidden="false" customHeight="false" outlineLevel="0" collapsed="false">
      <c r="A174" s="27"/>
      <c r="B174" s="5"/>
      <c r="C174" s="18"/>
      <c r="D174" s="5"/>
      <c r="E174" s="35"/>
      <c r="F174" s="5"/>
      <c r="G174" s="5"/>
      <c r="H174" s="5"/>
      <c r="I174" s="14"/>
      <c r="J174" s="14"/>
      <c r="K174" s="28" t="str">
        <f aca="false">IF(A174="","",COUNTIF(Contratos!$A:$A,A174))</f>
        <v/>
      </c>
      <c r="L174" s="39" t="str">
        <f aca="false">IF(A174="","",SUMIFS(Contratos!$D:$D,Contratos!$A:$A,A174)+SUMIFS(Contratos!$N:$N,Contratos!$A:$A,A174))</f>
        <v/>
      </c>
      <c r="M174" s="39" t="str">
        <f aca="false">IF(A174="","",SUMIFS(Pagamentos!$C:$C,Pagamentos!$A:$A,A174,Pagamentos!$F:$F,"Empenho"))</f>
        <v/>
      </c>
      <c r="N174" s="39" t="str">
        <f aca="false">IF(A174="","",SUMIFS(Pagamentos!$C:$C,Pagamentos!$A:$A,A174,Pagamentos!$F:$F,"Pagamento"))</f>
        <v/>
      </c>
      <c r="O174" s="37" t="str">
        <f aca="false">IF(OR(A174="",E174="",L174="",L174=0),"",E174/L174)</f>
        <v/>
      </c>
      <c r="P174" s="28" t="str">
        <f aca="false">IF(A174="","",COUNTIFS(Sancoes!$A:$A,A174,Sancoes!$B:$B,"&lt;&gt;Não consta"))</f>
        <v/>
      </c>
      <c r="Q174" s="28" t="str">
        <f aca="false">IF(A174="","",COUNTIF(Socios!$A:$A,A174))</f>
        <v/>
      </c>
      <c r="R174" s="28" t="str">
        <f aca="false">IF(A174="","",COUNTIFS(Socios!$A:$A,A174,Socios!$K:$K,"SIM"))</f>
        <v/>
      </c>
      <c r="S174" s="27"/>
      <c r="T174" s="5"/>
    </row>
    <row r="175" customFormat="false" ht="15" hidden="false" customHeight="false" outlineLevel="0" collapsed="false">
      <c r="A175" s="27"/>
      <c r="B175" s="5"/>
      <c r="C175" s="18"/>
      <c r="D175" s="5"/>
      <c r="E175" s="35"/>
      <c r="F175" s="5"/>
      <c r="G175" s="5"/>
      <c r="H175" s="5"/>
      <c r="I175" s="14"/>
      <c r="J175" s="14"/>
      <c r="K175" s="28" t="str">
        <f aca="false">IF(A175="","",COUNTIF(Contratos!$A:$A,A175))</f>
        <v/>
      </c>
      <c r="L175" s="39" t="str">
        <f aca="false">IF(A175="","",SUMIFS(Contratos!$D:$D,Contratos!$A:$A,A175)+SUMIFS(Contratos!$N:$N,Contratos!$A:$A,A175))</f>
        <v/>
      </c>
      <c r="M175" s="39" t="str">
        <f aca="false">IF(A175="","",SUMIFS(Pagamentos!$C:$C,Pagamentos!$A:$A,A175,Pagamentos!$F:$F,"Empenho"))</f>
        <v/>
      </c>
      <c r="N175" s="39" t="str">
        <f aca="false">IF(A175="","",SUMIFS(Pagamentos!$C:$C,Pagamentos!$A:$A,A175,Pagamentos!$F:$F,"Pagamento"))</f>
        <v/>
      </c>
      <c r="O175" s="37" t="str">
        <f aca="false">IF(OR(A175="",E175="",L175="",L175=0),"",E175/L175)</f>
        <v/>
      </c>
      <c r="P175" s="28" t="str">
        <f aca="false">IF(A175="","",COUNTIFS(Sancoes!$A:$A,A175,Sancoes!$B:$B,"&lt;&gt;Não consta"))</f>
        <v/>
      </c>
      <c r="Q175" s="28" t="str">
        <f aca="false">IF(A175="","",COUNTIF(Socios!$A:$A,A175))</f>
        <v/>
      </c>
      <c r="R175" s="28" t="str">
        <f aca="false">IF(A175="","",COUNTIFS(Socios!$A:$A,A175,Socios!$K:$K,"SIM"))</f>
        <v/>
      </c>
      <c r="S175" s="27"/>
      <c r="T175" s="5"/>
    </row>
    <row r="176" customFormat="false" ht="15" hidden="false" customHeight="false" outlineLevel="0" collapsed="false">
      <c r="A176" s="27"/>
      <c r="B176" s="5"/>
      <c r="C176" s="18"/>
      <c r="D176" s="5"/>
      <c r="E176" s="35"/>
      <c r="F176" s="5"/>
      <c r="G176" s="5"/>
      <c r="H176" s="5"/>
      <c r="I176" s="14"/>
      <c r="J176" s="14"/>
      <c r="K176" s="28" t="str">
        <f aca="false">IF(A176="","",COUNTIF(Contratos!$A:$A,A176))</f>
        <v/>
      </c>
      <c r="L176" s="39" t="str">
        <f aca="false">IF(A176="","",SUMIFS(Contratos!$D:$D,Contratos!$A:$A,A176)+SUMIFS(Contratos!$N:$N,Contratos!$A:$A,A176))</f>
        <v/>
      </c>
      <c r="M176" s="39" t="str">
        <f aca="false">IF(A176="","",SUMIFS(Pagamentos!$C:$C,Pagamentos!$A:$A,A176,Pagamentos!$F:$F,"Empenho"))</f>
        <v/>
      </c>
      <c r="N176" s="39" t="str">
        <f aca="false">IF(A176="","",SUMIFS(Pagamentos!$C:$C,Pagamentos!$A:$A,A176,Pagamentos!$F:$F,"Pagamento"))</f>
        <v/>
      </c>
      <c r="O176" s="37" t="str">
        <f aca="false">IF(OR(A176="",E176="",L176="",L176=0),"",E176/L176)</f>
        <v/>
      </c>
      <c r="P176" s="28" t="str">
        <f aca="false">IF(A176="","",COUNTIFS(Sancoes!$A:$A,A176,Sancoes!$B:$B,"&lt;&gt;Não consta"))</f>
        <v/>
      </c>
      <c r="Q176" s="28" t="str">
        <f aca="false">IF(A176="","",COUNTIF(Socios!$A:$A,A176))</f>
        <v/>
      </c>
      <c r="R176" s="28" t="str">
        <f aca="false">IF(A176="","",COUNTIFS(Socios!$A:$A,A176,Socios!$K:$K,"SIM"))</f>
        <v/>
      </c>
      <c r="S176" s="27"/>
      <c r="T176" s="5"/>
    </row>
    <row r="177" customFormat="false" ht="15" hidden="false" customHeight="false" outlineLevel="0" collapsed="false">
      <c r="A177" s="27"/>
      <c r="B177" s="5"/>
      <c r="C177" s="18"/>
      <c r="D177" s="5"/>
      <c r="E177" s="35"/>
      <c r="F177" s="5"/>
      <c r="G177" s="5"/>
      <c r="H177" s="5"/>
      <c r="I177" s="14"/>
      <c r="J177" s="14"/>
      <c r="K177" s="28" t="str">
        <f aca="false">IF(A177="","",COUNTIF(Contratos!$A:$A,A177))</f>
        <v/>
      </c>
      <c r="L177" s="39" t="str">
        <f aca="false">IF(A177="","",SUMIFS(Contratos!$D:$D,Contratos!$A:$A,A177)+SUMIFS(Contratos!$N:$N,Contratos!$A:$A,A177))</f>
        <v/>
      </c>
      <c r="M177" s="39" t="str">
        <f aca="false">IF(A177="","",SUMIFS(Pagamentos!$C:$C,Pagamentos!$A:$A,A177,Pagamentos!$F:$F,"Empenho"))</f>
        <v/>
      </c>
      <c r="N177" s="39" t="str">
        <f aca="false">IF(A177="","",SUMIFS(Pagamentos!$C:$C,Pagamentos!$A:$A,A177,Pagamentos!$F:$F,"Pagamento"))</f>
        <v/>
      </c>
      <c r="O177" s="37" t="str">
        <f aca="false">IF(OR(A177="",E177="",L177="",L177=0),"",E177/L177)</f>
        <v/>
      </c>
      <c r="P177" s="28" t="str">
        <f aca="false">IF(A177="","",COUNTIFS(Sancoes!$A:$A,A177,Sancoes!$B:$B,"&lt;&gt;Não consta"))</f>
        <v/>
      </c>
      <c r="Q177" s="28" t="str">
        <f aca="false">IF(A177="","",COUNTIF(Socios!$A:$A,A177))</f>
        <v/>
      </c>
      <c r="R177" s="28" t="str">
        <f aca="false">IF(A177="","",COUNTIFS(Socios!$A:$A,A177,Socios!$K:$K,"SIM"))</f>
        <v/>
      </c>
      <c r="S177" s="27"/>
      <c r="T177" s="5"/>
    </row>
    <row r="178" customFormat="false" ht="15" hidden="false" customHeight="false" outlineLevel="0" collapsed="false">
      <c r="A178" s="27"/>
      <c r="B178" s="5"/>
      <c r="C178" s="18"/>
      <c r="D178" s="5"/>
      <c r="E178" s="35"/>
      <c r="F178" s="5"/>
      <c r="G178" s="5"/>
      <c r="H178" s="5"/>
      <c r="I178" s="14"/>
      <c r="J178" s="14"/>
      <c r="K178" s="28" t="str">
        <f aca="false">IF(A178="","",COUNTIF(Contratos!$A:$A,A178))</f>
        <v/>
      </c>
      <c r="L178" s="39" t="str">
        <f aca="false">IF(A178="","",SUMIFS(Contratos!$D:$D,Contratos!$A:$A,A178)+SUMIFS(Contratos!$N:$N,Contratos!$A:$A,A178))</f>
        <v/>
      </c>
      <c r="M178" s="39" t="str">
        <f aca="false">IF(A178="","",SUMIFS(Pagamentos!$C:$C,Pagamentos!$A:$A,A178,Pagamentos!$F:$F,"Empenho"))</f>
        <v/>
      </c>
      <c r="N178" s="39" t="str">
        <f aca="false">IF(A178="","",SUMIFS(Pagamentos!$C:$C,Pagamentos!$A:$A,A178,Pagamentos!$F:$F,"Pagamento"))</f>
        <v/>
      </c>
      <c r="O178" s="37" t="str">
        <f aca="false">IF(OR(A178="",E178="",L178="",L178=0),"",E178/L178)</f>
        <v/>
      </c>
      <c r="P178" s="28" t="str">
        <f aca="false">IF(A178="","",COUNTIFS(Sancoes!$A:$A,A178,Sancoes!$B:$B,"&lt;&gt;Não consta"))</f>
        <v/>
      </c>
      <c r="Q178" s="28" t="str">
        <f aca="false">IF(A178="","",COUNTIF(Socios!$A:$A,A178))</f>
        <v/>
      </c>
      <c r="R178" s="28" t="str">
        <f aca="false">IF(A178="","",COUNTIFS(Socios!$A:$A,A178,Socios!$K:$K,"SIM"))</f>
        <v/>
      </c>
      <c r="S178" s="27"/>
      <c r="T178" s="5"/>
    </row>
    <row r="179" customFormat="false" ht="15" hidden="false" customHeight="false" outlineLevel="0" collapsed="false">
      <c r="A179" s="27"/>
      <c r="B179" s="5"/>
      <c r="C179" s="18"/>
      <c r="D179" s="5"/>
      <c r="E179" s="35"/>
      <c r="F179" s="5"/>
      <c r="G179" s="5"/>
      <c r="H179" s="5"/>
      <c r="I179" s="14"/>
      <c r="J179" s="14"/>
      <c r="K179" s="28" t="str">
        <f aca="false">IF(A179="","",COUNTIF(Contratos!$A:$A,A179))</f>
        <v/>
      </c>
      <c r="L179" s="39" t="str">
        <f aca="false">IF(A179="","",SUMIFS(Contratos!$D:$D,Contratos!$A:$A,A179)+SUMIFS(Contratos!$N:$N,Contratos!$A:$A,A179))</f>
        <v/>
      </c>
      <c r="M179" s="39" t="str">
        <f aca="false">IF(A179="","",SUMIFS(Pagamentos!$C:$C,Pagamentos!$A:$A,A179,Pagamentos!$F:$F,"Empenho"))</f>
        <v/>
      </c>
      <c r="N179" s="39" t="str">
        <f aca="false">IF(A179="","",SUMIFS(Pagamentos!$C:$C,Pagamentos!$A:$A,A179,Pagamentos!$F:$F,"Pagamento"))</f>
        <v/>
      </c>
      <c r="O179" s="37" t="str">
        <f aca="false">IF(OR(A179="",E179="",L179="",L179=0),"",E179/L179)</f>
        <v/>
      </c>
      <c r="P179" s="28" t="str">
        <f aca="false">IF(A179="","",COUNTIFS(Sancoes!$A:$A,A179,Sancoes!$B:$B,"&lt;&gt;Não consta"))</f>
        <v/>
      </c>
      <c r="Q179" s="28" t="str">
        <f aca="false">IF(A179="","",COUNTIF(Socios!$A:$A,A179))</f>
        <v/>
      </c>
      <c r="R179" s="28" t="str">
        <f aca="false">IF(A179="","",COUNTIFS(Socios!$A:$A,A179,Socios!$K:$K,"SIM"))</f>
        <v/>
      </c>
      <c r="S179" s="27"/>
      <c r="T179" s="5"/>
    </row>
    <row r="180" customFormat="false" ht="15" hidden="false" customHeight="false" outlineLevel="0" collapsed="false">
      <c r="A180" s="27"/>
      <c r="B180" s="5"/>
      <c r="C180" s="18"/>
      <c r="D180" s="5"/>
      <c r="E180" s="35"/>
      <c r="F180" s="5"/>
      <c r="G180" s="5"/>
      <c r="H180" s="5"/>
      <c r="I180" s="14"/>
      <c r="J180" s="14"/>
      <c r="K180" s="28" t="str">
        <f aca="false">IF(A180="","",COUNTIF(Contratos!$A:$A,A180))</f>
        <v/>
      </c>
      <c r="L180" s="39" t="str">
        <f aca="false">IF(A180="","",SUMIFS(Contratos!$D:$D,Contratos!$A:$A,A180)+SUMIFS(Contratos!$N:$N,Contratos!$A:$A,A180))</f>
        <v/>
      </c>
      <c r="M180" s="39" t="str">
        <f aca="false">IF(A180="","",SUMIFS(Pagamentos!$C:$C,Pagamentos!$A:$A,A180,Pagamentos!$F:$F,"Empenho"))</f>
        <v/>
      </c>
      <c r="N180" s="39" t="str">
        <f aca="false">IF(A180="","",SUMIFS(Pagamentos!$C:$C,Pagamentos!$A:$A,A180,Pagamentos!$F:$F,"Pagamento"))</f>
        <v/>
      </c>
      <c r="O180" s="37" t="str">
        <f aca="false">IF(OR(A180="",E180="",L180="",L180=0),"",E180/L180)</f>
        <v/>
      </c>
      <c r="P180" s="28" t="str">
        <f aca="false">IF(A180="","",COUNTIFS(Sancoes!$A:$A,A180,Sancoes!$B:$B,"&lt;&gt;Não consta"))</f>
        <v/>
      </c>
      <c r="Q180" s="28" t="str">
        <f aca="false">IF(A180="","",COUNTIF(Socios!$A:$A,A180))</f>
        <v/>
      </c>
      <c r="R180" s="28" t="str">
        <f aca="false">IF(A180="","",COUNTIFS(Socios!$A:$A,A180,Socios!$K:$K,"SIM"))</f>
        <v/>
      </c>
      <c r="S180" s="27"/>
      <c r="T180" s="5"/>
    </row>
    <row r="181" customFormat="false" ht="15" hidden="false" customHeight="false" outlineLevel="0" collapsed="false">
      <c r="A181" s="27"/>
      <c r="B181" s="5"/>
      <c r="C181" s="18"/>
      <c r="D181" s="5"/>
      <c r="E181" s="35"/>
      <c r="F181" s="5"/>
      <c r="G181" s="5"/>
      <c r="H181" s="5"/>
      <c r="I181" s="14"/>
      <c r="J181" s="14"/>
      <c r="K181" s="28" t="str">
        <f aca="false">IF(A181="","",COUNTIF(Contratos!$A:$A,A181))</f>
        <v/>
      </c>
      <c r="L181" s="39" t="str">
        <f aca="false">IF(A181="","",SUMIFS(Contratos!$D:$D,Contratos!$A:$A,A181)+SUMIFS(Contratos!$N:$N,Contratos!$A:$A,A181))</f>
        <v/>
      </c>
      <c r="M181" s="39" t="str">
        <f aca="false">IF(A181="","",SUMIFS(Pagamentos!$C:$C,Pagamentos!$A:$A,A181,Pagamentos!$F:$F,"Empenho"))</f>
        <v/>
      </c>
      <c r="N181" s="39" t="str">
        <f aca="false">IF(A181="","",SUMIFS(Pagamentos!$C:$C,Pagamentos!$A:$A,A181,Pagamentos!$F:$F,"Pagamento"))</f>
        <v/>
      </c>
      <c r="O181" s="37" t="str">
        <f aca="false">IF(OR(A181="",E181="",L181="",L181=0),"",E181/L181)</f>
        <v/>
      </c>
      <c r="P181" s="28" t="str">
        <f aca="false">IF(A181="","",COUNTIFS(Sancoes!$A:$A,A181,Sancoes!$B:$B,"&lt;&gt;Não consta"))</f>
        <v/>
      </c>
      <c r="Q181" s="28" t="str">
        <f aca="false">IF(A181="","",COUNTIF(Socios!$A:$A,A181))</f>
        <v/>
      </c>
      <c r="R181" s="28" t="str">
        <f aca="false">IF(A181="","",COUNTIFS(Socios!$A:$A,A181,Socios!$K:$K,"SIM"))</f>
        <v/>
      </c>
      <c r="S181" s="27"/>
      <c r="T181" s="5"/>
    </row>
    <row r="182" customFormat="false" ht="15" hidden="false" customHeight="false" outlineLevel="0" collapsed="false">
      <c r="A182" s="27"/>
      <c r="B182" s="5"/>
      <c r="C182" s="18"/>
      <c r="D182" s="5"/>
      <c r="E182" s="35"/>
      <c r="F182" s="5"/>
      <c r="G182" s="5"/>
      <c r="H182" s="5"/>
      <c r="I182" s="14"/>
      <c r="J182" s="14"/>
      <c r="K182" s="28" t="str">
        <f aca="false">IF(A182="","",COUNTIF(Contratos!$A:$A,A182))</f>
        <v/>
      </c>
      <c r="L182" s="39" t="str">
        <f aca="false">IF(A182="","",SUMIFS(Contratos!$D:$D,Contratos!$A:$A,A182)+SUMIFS(Contratos!$N:$N,Contratos!$A:$A,A182))</f>
        <v/>
      </c>
      <c r="M182" s="39" t="str">
        <f aca="false">IF(A182="","",SUMIFS(Pagamentos!$C:$C,Pagamentos!$A:$A,A182,Pagamentos!$F:$F,"Empenho"))</f>
        <v/>
      </c>
      <c r="N182" s="39" t="str">
        <f aca="false">IF(A182="","",SUMIFS(Pagamentos!$C:$C,Pagamentos!$A:$A,A182,Pagamentos!$F:$F,"Pagamento"))</f>
        <v/>
      </c>
      <c r="O182" s="37" t="str">
        <f aca="false">IF(OR(A182="",E182="",L182="",L182=0),"",E182/L182)</f>
        <v/>
      </c>
      <c r="P182" s="28" t="str">
        <f aca="false">IF(A182="","",COUNTIFS(Sancoes!$A:$A,A182,Sancoes!$B:$B,"&lt;&gt;Não consta"))</f>
        <v/>
      </c>
      <c r="Q182" s="28" t="str">
        <f aca="false">IF(A182="","",COUNTIF(Socios!$A:$A,A182))</f>
        <v/>
      </c>
      <c r="R182" s="28" t="str">
        <f aca="false">IF(A182="","",COUNTIFS(Socios!$A:$A,A182,Socios!$K:$K,"SIM"))</f>
        <v/>
      </c>
      <c r="S182" s="27"/>
      <c r="T182" s="5"/>
    </row>
    <row r="183" customFormat="false" ht="15" hidden="false" customHeight="false" outlineLevel="0" collapsed="false">
      <c r="A183" s="27"/>
      <c r="B183" s="5"/>
      <c r="C183" s="18"/>
      <c r="D183" s="5"/>
      <c r="E183" s="35"/>
      <c r="F183" s="5"/>
      <c r="G183" s="5"/>
      <c r="H183" s="5"/>
      <c r="I183" s="14"/>
      <c r="J183" s="14"/>
      <c r="K183" s="28" t="str">
        <f aca="false">IF(A183="","",COUNTIF(Contratos!$A:$A,A183))</f>
        <v/>
      </c>
      <c r="L183" s="39" t="str">
        <f aca="false">IF(A183="","",SUMIFS(Contratos!$D:$D,Contratos!$A:$A,A183)+SUMIFS(Contratos!$N:$N,Contratos!$A:$A,A183))</f>
        <v/>
      </c>
      <c r="M183" s="39" t="str">
        <f aca="false">IF(A183="","",SUMIFS(Pagamentos!$C:$C,Pagamentos!$A:$A,A183,Pagamentos!$F:$F,"Empenho"))</f>
        <v/>
      </c>
      <c r="N183" s="39" t="str">
        <f aca="false">IF(A183="","",SUMIFS(Pagamentos!$C:$C,Pagamentos!$A:$A,A183,Pagamentos!$F:$F,"Pagamento"))</f>
        <v/>
      </c>
      <c r="O183" s="37" t="str">
        <f aca="false">IF(OR(A183="",E183="",L183="",L183=0),"",E183/L183)</f>
        <v/>
      </c>
      <c r="P183" s="28" t="str">
        <f aca="false">IF(A183="","",COUNTIFS(Sancoes!$A:$A,A183,Sancoes!$B:$B,"&lt;&gt;Não consta"))</f>
        <v/>
      </c>
      <c r="Q183" s="28" t="str">
        <f aca="false">IF(A183="","",COUNTIF(Socios!$A:$A,A183))</f>
        <v/>
      </c>
      <c r="R183" s="28" t="str">
        <f aca="false">IF(A183="","",COUNTIFS(Socios!$A:$A,A183,Socios!$K:$K,"SIM"))</f>
        <v/>
      </c>
      <c r="S183" s="27"/>
      <c r="T183" s="5"/>
    </row>
    <row r="184" customFormat="false" ht="15" hidden="false" customHeight="false" outlineLevel="0" collapsed="false">
      <c r="A184" s="27"/>
      <c r="B184" s="5"/>
      <c r="C184" s="18"/>
      <c r="D184" s="5"/>
      <c r="E184" s="35"/>
      <c r="F184" s="5"/>
      <c r="G184" s="5"/>
      <c r="H184" s="5"/>
      <c r="I184" s="14"/>
      <c r="J184" s="14"/>
      <c r="K184" s="28" t="str">
        <f aca="false">IF(A184="","",COUNTIF(Contratos!$A:$A,A184))</f>
        <v/>
      </c>
      <c r="L184" s="39" t="str">
        <f aca="false">IF(A184="","",SUMIFS(Contratos!$D:$D,Contratos!$A:$A,A184)+SUMIFS(Contratos!$N:$N,Contratos!$A:$A,A184))</f>
        <v/>
      </c>
      <c r="M184" s="39" t="str">
        <f aca="false">IF(A184="","",SUMIFS(Pagamentos!$C:$C,Pagamentos!$A:$A,A184,Pagamentos!$F:$F,"Empenho"))</f>
        <v/>
      </c>
      <c r="N184" s="39" t="str">
        <f aca="false">IF(A184="","",SUMIFS(Pagamentos!$C:$C,Pagamentos!$A:$A,A184,Pagamentos!$F:$F,"Pagamento"))</f>
        <v/>
      </c>
      <c r="O184" s="37" t="str">
        <f aca="false">IF(OR(A184="",E184="",L184="",L184=0),"",E184/L184)</f>
        <v/>
      </c>
      <c r="P184" s="28" t="str">
        <f aca="false">IF(A184="","",COUNTIFS(Sancoes!$A:$A,A184,Sancoes!$B:$B,"&lt;&gt;Não consta"))</f>
        <v/>
      </c>
      <c r="Q184" s="28" t="str">
        <f aca="false">IF(A184="","",COUNTIF(Socios!$A:$A,A184))</f>
        <v/>
      </c>
      <c r="R184" s="28" t="str">
        <f aca="false">IF(A184="","",COUNTIFS(Socios!$A:$A,A184,Socios!$K:$K,"SIM"))</f>
        <v/>
      </c>
      <c r="S184" s="27"/>
      <c r="T184" s="5"/>
    </row>
    <row r="185" customFormat="false" ht="15" hidden="false" customHeight="false" outlineLevel="0" collapsed="false">
      <c r="A185" s="27"/>
      <c r="B185" s="5"/>
      <c r="C185" s="18"/>
      <c r="D185" s="5"/>
      <c r="E185" s="35"/>
      <c r="F185" s="5"/>
      <c r="G185" s="5"/>
      <c r="H185" s="5"/>
      <c r="I185" s="14"/>
      <c r="J185" s="14"/>
      <c r="K185" s="28" t="str">
        <f aca="false">IF(A185="","",COUNTIF(Contratos!$A:$A,A185))</f>
        <v/>
      </c>
      <c r="L185" s="39" t="str">
        <f aca="false">IF(A185="","",SUMIFS(Contratos!$D:$D,Contratos!$A:$A,A185)+SUMIFS(Contratos!$N:$N,Contratos!$A:$A,A185))</f>
        <v/>
      </c>
      <c r="M185" s="39" t="str">
        <f aca="false">IF(A185="","",SUMIFS(Pagamentos!$C:$C,Pagamentos!$A:$A,A185,Pagamentos!$F:$F,"Empenho"))</f>
        <v/>
      </c>
      <c r="N185" s="39" t="str">
        <f aca="false">IF(A185="","",SUMIFS(Pagamentos!$C:$C,Pagamentos!$A:$A,A185,Pagamentos!$F:$F,"Pagamento"))</f>
        <v/>
      </c>
      <c r="O185" s="37" t="str">
        <f aca="false">IF(OR(A185="",E185="",L185="",L185=0),"",E185/L185)</f>
        <v/>
      </c>
      <c r="P185" s="28" t="str">
        <f aca="false">IF(A185="","",COUNTIFS(Sancoes!$A:$A,A185,Sancoes!$B:$B,"&lt;&gt;Não consta"))</f>
        <v/>
      </c>
      <c r="Q185" s="28" t="str">
        <f aca="false">IF(A185="","",COUNTIF(Socios!$A:$A,A185))</f>
        <v/>
      </c>
      <c r="R185" s="28" t="str">
        <f aca="false">IF(A185="","",COUNTIFS(Socios!$A:$A,A185,Socios!$K:$K,"SIM"))</f>
        <v/>
      </c>
      <c r="S185" s="27"/>
      <c r="T185" s="5"/>
    </row>
    <row r="186" customFormat="false" ht="15" hidden="false" customHeight="false" outlineLevel="0" collapsed="false">
      <c r="A186" s="27"/>
      <c r="B186" s="5"/>
      <c r="C186" s="18"/>
      <c r="D186" s="5"/>
      <c r="E186" s="35"/>
      <c r="F186" s="5"/>
      <c r="G186" s="5"/>
      <c r="H186" s="5"/>
      <c r="I186" s="14"/>
      <c r="J186" s="14"/>
      <c r="K186" s="28" t="str">
        <f aca="false">IF(A186="","",COUNTIF(Contratos!$A:$A,A186))</f>
        <v/>
      </c>
      <c r="L186" s="39" t="str">
        <f aca="false">IF(A186="","",SUMIFS(Contratos!$D:$D,Contratos!$A:$A,A186)+SUMIFS(Contratos!$N:$N,Contratos!$A:$A,A186))</f>
        <v/>
      </c>
      <c r="M186" s="39" t="str">
        <f aca="false">IF(A186="","",SUMIFS(Pagamentos!$C:$C,Pagamentos!$A:$A,A186,Pagamentos!$F:$F,"Empenho"))</f>
        <v/>
      </c>
      <c r="N186" s="39" t="str">
        <f aca="false">IF(A186="","",SUMIFS(Pagamentos!$C:$C,Pagamentos!$A:$A,A186,Pagamentos!$F:$F,"Pagamento"))</f>
        <v/>
      </c>
      <c r="O186" s="37" t="str">
        <f aca="false">IF(OR(A186="",E186="",L186="",L186=0),"",E186/L186)</f>
        <v/>
      </c>
      <c r="P186" s="28" t="str">
        <f aca="false">IF(A186="","",COUNTIFS(Sancoes!$A:$A,A186,Sancoes!$B:$B,"&lt;&gt;Não consta"))</f>
        <v/>
      </c>
      <c r="Q186" s="28" t="str">
        <f aca="false">IF(A186="","",COUNTIF(Socios!$A:$A,A186))</f>
        <v/>
      </c>
      <c r="R186" s="28" t="str">
        <f aca="false">IF(A186="","",COUNTIFS(Socios!$A:$A,A186,Socios!$K:$K,"SIM"))</f>
        <v/>
      </c>
      <c r="S186" s="27"/>
      <c r="T186" s="5"/>
    </row>
    <row r="187" customFormat="false" ht="15" hidden="false" customHeight="false" outlineLevel="0" collapsed="false">
      <c r="A187" s="27"/>
      <c r="B187" s="5"/>
      <c r="C187" s="18"/>
      <c r="D187" s="5"/>
      <c r="E187" s="35"/>
      <c r="F187" s="5"/>
      <c r="G187" s="5"/>
      <c r="H187" s="5"/>
      <c r="I187" s="14"/>
      <c r="J187" s="14"/>
      <c r="K187" s="28" t="str">
        <f aca="false">IF(A187="","",COUNTIF(Contratos!$A:$A,A187))</f>
        <v/>
      </c>
      <c r="L187" s="39" t="str">
        <f aca="false">IF(A187="","",SUMIFS(Contratos!$D:$D,Contratos!$A:$A,A187)+SUMIFS(Contratos!$N:$N,Contratos!$A:$A,A187))</f>
        <v/>
      </c>
      <c r="M187" s="39" t="str">
        <f aca="false">IF(A187="","",SUMIFS(Pagamentos!$C:$C,Pagamentos!$A:$A,A187,Pagamentos!$F:$F,"Empenho"))</f>
        <v/>
      </c>
      <c r="N187" s="39" t="str">
        <f aca="false">IF(A187="","",SUMIFS(Pagamentos!$C:$C,Pagamentos!$A:$A,A187,Pagamentos!$F:$F,"Pagamento"))</f>
        <v/>
      </c>
      <c r="O187" s="37" t="str">
        <f aca="false">IF(OR(A187="",E187="",L187="",L187=0),"",E187/L187)</f>
        <v/>
      </c>
      <c r="P187" s="28" t="str">
        <f aca="false">IF(A187="","",COUNTIFS(Sancoes!$A:$A,A187,Sancoes!$B:$B,"&lt;&gt;Não consta"))</f>
        <v/>
      </c>
      <c r="Q187" s="28" t="str">
        <f aca="false">IF(A187="","",COUNTIF(Socios!$A:$A,A187))</f>
        <v/>
      </c>
      <c r="R187" s="28" t="str">
        <f aca="false">IF(A187="","",COUNTIFS(Socios!$A:$A,A187,Socios!$K:$K,"SIM"))</f>
        <v/>
      </c>
      <c r="S187" s="27"/>
      <c r="T187" s="5"/>
    </row>
    <row r="188" customFormat="false" ht="15" hidden="false" customHeight="false" outlineLevel="0" collapsed="false">
      <c r="A188" s="27"/>
      <c r="B188" s="5"/>
      <c r="C188" s="18"/>
      <c r="D188" s="5"/>
      <c r="E188" s="35"/>
      <c r="F188" s="5"/>
      <c r="G188" s="5"/>
      <c r="H188" s="5"/>
      <c r="I188" s="14"/>
      <c r="J188" s="14"/>
      <c r="K188" s="28" t="str">
        <f aca="false">IF(A188="","",COUNTIF(Contratos!$A:$A,A188))</f>
        <v/>
      </c>
      <c r="L188" s="39" t="str">
        <f aca="false">IF(A188="","",SUMIFS(Contratos!$D:$D,Contratos!$A:$A,A188)+SUMIFS(Contratos!$N:$N,Contratos!$A:$A,A188))</f>
        <v/>
      </c>
      <c r="M188" s="39" t="str">
        <f aca="false">IF(A188="","",SUMIFS(Pagamentos!$C:$C,Pagamentos!$A:$A,A188,Pagamentos!$F:$F,"Empenho"))</f>
        <v/>
      </c>
      <c r="N188" s="39" t="str">
        <f aca="false">IF(A188="","",SUMIFS(Pagamentos!$C:$C,Pagamentos!$A:$A,A188,Pagamentos!$F:$F,"Pagamento"))</f>
        <v/>
      </c>
      <c r="O188" s="37" t="str">
        <f aca="false">IF(OR(A188="",E188="",L188="",L188=0),"",E188/L188)</f>
        <v/>
      </c>
      <c r="P188" s="28" t="str">
        <f aca="false">IF(A188="","",COUNTIFS(Sancoes!$A:$A,A188,Sancoes!$B:$B,"&lt;&gt;Não consta"))</f>
        <v/>
      </c>
      <c r="Q188" s="28" t="str">
        <f aca="false">IF(A188="","",COUNTIF(Socios!$A:$A,A188))</f>
        <v/>
      </c>
      <c r="R188" s="28" t="str">
        <f aca="false">IF(A188="","",COUNTIFS(Socios!$A:$A,A188,Socios!$K:$K,"SIM"))</f>
        <v/>
      </c>
      <c r="S188" s="27"/>
      <c r="T188" s="5"/>
    </row>
    <row r="189" customFormat="false" ht="15" hidden="false" customHeight="false" outlineLevel="0" collapsed="false">
      <c r="A189" s="27"/>
      <c r="B189" s="5"/>
      <c r="C189" s="18"/>
      <c r="D189" s="5"/>
      <c r="E189" s="35"/>
      <c r="F189" s="5"/>
      <c r="G189" s="5"/>
      <c r="H189" s="5"/>
      <c r="I189" s="14"/>
      <c r="J189" s="14"/>
      <c r="K189" s="28" t="str">
        <f aca="false">IF(A189="","",COUNTIF(Contratos!$A:$A,A189))</f>
        <v/>
      </c>
      <c r="L189" s="39" t="str">
        <f aca="false">IF(A189="","",SUMIFS(Contratos!$D:$D,Contratos!$A:$A,A189)+SUMIFS(Contratos!$N:$N,Contratos!$A:$A,A189))</f>
        <v/>
      </c>
      <c r="M189" s="39" t="str">
        <f aca="false">IF(A189="","",SUMIFS(Pagamentos!$C:$C,Pagamentos!$A:$A,A189,Pagamentos!$F:$F,"Empenho"))</f>
        <v/>
      </c>
      <c r="N189" s="39" t="str">
        <f aca="false">IF(A189="","",SUMIFS(Pagamentos!$C:$C,Pagamentos!$A:$A,A189,Pagamentos!$F:$F,"Pagamento"))</f>
        <v/>
      </c>
      <c r="O189" s="37" t="str">
        <f aca="false">IF(OR(A189="",E189="",L189="",L189=0),"",E189/L189)</f>
        <v/>
      </c>
      <c r="P189" s="28" t="str">
        <f aca="false">IF(A189="","",COUNTIFS(Sancoes!$A:$A,A189,Sancoes!$B:$B,"&lt;&gt;Não consta"))</f>
        <v/>
      </c>
      <c r="Q189" s="28" t="str">
        <f aca="false">IF(A189="","",COUNTIF(Socios!$A:$A,A189))</f>
        <v/>
      </c>
      <c r="R189" s="28" t="str">
        <f aca="false">IF(A189="","",COUNTIFS(Socios!$A:$A,A189,Socios!$K:$K,"SIM"))</f>
        <v/>
      </c>
      <c r="S189" s="27"/>
      <c r="T189" s="5"/>
    </row>
    <row r="190" customFormat="false" ht="15" hidden="false" customHeight="false" outlineLevel="0" collapsed="false">
      <c r="A190" s="27"/>
      <c r="B190" s="5"/>
      <c r="C190" s="18"/>
      <c r="D190" s="5"/>
      <c r="E190" s="35"/>
      <c r="F190" s="5"/>
      <c r="G190" s="5"/>
      <c r="H190" s="5"/>
      <c r="I190" s="14"/>
      <c r="J190" s="14"/>
      <c r="K190" s="28" t="str">
        <f aca="false">IF(A190="","",COUNTIF(Contratos!$A:$A,A190))</f>
        <v/>
      </c>
      <c r="L190" s="39" t="str">
        <f aca="false">IF(A190="","",SUMIFS(Contratos!$D:$D,Contratos!$A:$A,A190)+SUMIFS(Contratos!$N:$N,Contratos!$A:$A,A190))</f>
        <v/>
      </c>
      <c r="M190" s="39" t="str">
        <f aca="false">IF(A190="","",SUMIFS(Pagamentos!$C:$C,Pagamentos!$A:$A,A190,Pagamentos!$F:$F,"Empenho"))</f>
        <v/>
      </c>
      <c r="N190" s="39" t="str">
        <f aca="false">IF(A190="","",SUMIFS(Pagamentos!$C:$C,Pagamentos!$A:$A,A190,Pagamentos!$F:$F,"Pagamento"))</f>
        <v/>
      </c>
      <c r="O190" s="37" t="str">
        <f aca="false">IF(OR(A190="",E190="",L190="",L190=0),"",E190/L190)</f>
        <v/>
      </c>
      <c r="P190" s="28" t="str">
        <f aca="false">IF(A190="","",COUNTIFS(Sancoes!$A:$A,A190,Sancoes!$B:$B,"&lt;&gt;Não consta"))</f>
        <v/>
      </c>
      <c r="Q190" s="28" t="str">
        <f aca="false">IF(A190="","",COUNTIF(Socios!$A:$A,A190))</f>
        <v/>
      </c>
      <c r="R190" s="28" t="str">
        <f aca="false">IF(A190="","",COUNTIFS(Socios!$A:$A,A190,Socios!$K:$K,"SIM"))</f>
        <v/>
      </c>
      <c r="S190" s="27"/>
      <c r="T190" s="5"/>
    </row>
    <row r="191" customFormat="false" ht="15" hidden="false" customHeight="false" outlineLevel="0" collapsed="false">
      <c r="A191" s="27"/>
      <c r="B191" s="5"/>
      <c r="C191" s="18"/>
      <c r="D191" s="5"/>
      <c r="E191" s="35"/>
      <c r="F191" s="5"/>
      <c r="G191" s="5"/>
      <c r="H191" s="5"/>
      <c r="I191" s="14"/>
      <c r="J191" s="14"/>
      <c r="K191" s="28" t="str">
        <f aca="false">IF(A191="","",COUNTIF(Contratos!$A:$A,A191))</f>
        <v/>
      </c>
      <c r="L191" s="39" t="str">
        <f aca="false">IF(A191="","",SUMIFS(Contratos!$D:$D,Contratos!$A:$A,A191)+SUMIFS(Contratos!$N:$N,Contratos!$A:$A,A191))</f>
        <v/>
      </c>
      <c r="M191" s="39" t="str">
        <f aca="false">IF(A191="","",SUMIFS(Pagamentos!$C:$C,Pagamentos!$A:$A,A191,Pagamentos!$F:$F,"Empenho"))</f>
        <v/>
      </c>
      <c r="N191" s="39" t="str">
        <f aca="false">IF(A191="","",SUMIFS(Pagamentos!$C:$C,Pagamentos!$A:$A,A191,Pagamentos!$F:$F,"Pagamento"))</f>
        <v/>
      </c>
      <c r="O191" s="37" t="str">
        <f aca="false">IF(OR(A191="",E191="",L191="",L191=0),"",E191/L191)</f>
        <v/>
      </c>
      <c r="P191" s="28" t="str">
        <f aca="false">IF(A191="","",COUNTIFS(Sancoes!$A:$A,A191,Sancoes!$B:$B,"&lt;&gt;Não consta"))</f>
        <v/>
      </c>
      <c r="Q191" s="28" t="str">
        <f aca="false">IF(A191="","",COUNTIF(Socios!$A:$A,A191))</f>
        <v/>
      </c>
      <c r="R191" s="28" t="str">
        <f aca="false">IF(A191="","",COUNTIFS(Socios!$A:$A,A191,Socios!$K:$K,"SIM"))</f>
        <v/>
      </c>
      <c r="S191" s="27"/>
      <c r="T191" s="5"/>
    </row>
    <row r="192" customFormat="false" ht="15" hidden="false" customHeight="false" outlineLevel="0" collapsed="false">
      <c r="A192" s="27"/>
      <c r="B192" s="5"/>
      <c r="C192" s="18"/>
      <c r="D192" s="5"/>
      <c r="E192" s="35"/>
      <c r="F192" s="5"/>
      <c r="G192" s="5"/>
      <c r="H192" s="5"/>
      <c r="I192" s="14"/>
      <c r="J192" s="14"/>
      <c r="K192" s="28" t="str">
        <f aca="false">IF(A192="","",COUNTIF(Contratos!$A:$A,A192))</f>
        <v/>
      </c>
      <c r="L192" s="39" t="str">
        <f aca="false">IF(A192="","",SUMIFS(Contratos!$D:$D,Contratos!$A:$A,A192)+SUMIFS(Contratos!$N:$N,Contratos!$A:$A,A192))</f>
        <v/>
      </c>
      <c r="M192" s="39" t="str">
        <f aca="false">IF(A192="","",SUMIFS(Pagamentos!$C:$C,Pagamentos!$A:$A,A192,Pagamentos!$F:$F,"Empenho"))</f>
        <v/>
      </c>
      <c r="N192" s="39" t="str">
        <f aca="false">IF(A192="","",SUMIFS(Pagamentos!$C:$C,Pagamentos!$A:$A,A192,Pagamentos!$F:$F,"Pagamento"))</f>
        <v/>
      </c>
      <c r="O192" s="37" t="str">
        <f aca="false">IF(OR(A192="",E192="",L192="",L192=0),"",E192/L192)</f>
        <v/>
      </c>
      <c r="P192" s="28" t="str">
        <f aca="false">IF(A192="","",COUNTIFS(Sancoes!$A:$A,A192,Sancoes!$B:$B,"&lt;&gt;Não consta"))</f>
        <v/>
      </c>
      <c r="Q192" s="28" t="str">
        <f aca="false">IF(A192="","",COUNTIF(Socios!$A:$A,A192))</f>
        <v/>
      </c>
      <c r="R192" s="28" t="str">
        <f aca="false">IF(A192="","",COUNTIFS(Socios!$A:$A,A192,Socios!$K:$K,"SIM"))</f>
        <v/>
      </c>
      <c r="S192" s="27"/>
      <c r="T192" s="5"/>
    </row>
    <row r="193" customFormat="false" ht="15" hidden="false" customHeight="false" outlineLevel="0" collapsed="false">
      <c r="A193" s="27"/>
      <c r="B193" s="5"/>
      <c r="C193" s="18"/>
      <c r="D193" s="5"/>
      <c r="E193" s="35"/>
      <c r="F193" s="5"/>
      <c r="G193" s="5"/>
      <c r="H193" s="5"/>
      <c r="I193" s="14"/>
      <c r="J193" s="14"/>
      <c r="K193" s="28" t="str">
        <f aca="false">IF(A193="","",COUNTIF(Contratos!$A:$A,A193))</f>
        <v/>
      </c>
      <c r="L193" s="39" t="str">
        <f aca="false">IF(A193="","",SUMIFS(Contratos!$D:$D,Contratos!$A:$A,A193)+SUMIFS(Contratos!$N:$N,Contratos!$A:$A,A193))</f>
        <v/>
      </c>
      <c r="M193" s="39" t="str">
        <f aca="false">IF(A193="","",SUMIFS(Pagamentos!$C:$C,Pagamentos!$A:$A,A193,Pagamentos!$F:$F,"Empenho"))</f>
        <v/>
      </c>
      <c r="N193" s="39" t="str">
        <f aca="false">IF(A193="","",SUMIFS(Pagamentos!$C:$C,Pagamentos!$A:$A,A193,Pagamentos!$F:$F,"Pagamento"))</f>
        <v/>
      </c>
      <c r="O193" s="37" t="str">
        <f aca="false">IF(OR(A193="",E193="",L193="",L193=0),"",E193/L193)</f>
        <v/>
      </c>
      <c r="P193" s="28" t="str">
        <f aca="false">IF(A193="","",COUNTIFS(Sancoes!$A:$A,A193,Sancoes!$B:$B,"&lt;&gt;Não consta"))</f>
        <v/>
      </c>
      <c r="Q193" s="28" t="str">
        <f aca="false">IF(A193="","",COUNTIF(Socios!$A:$A,A193))</f>
        <v/>
      </c>
      <c r="R193" s="28" t="str">
        <f aca="false">IF(A193="","",COUNTIFS(Socios!$A:$A,A193,Socios!$K:$K,"SIM"))</f>
        <v/>
      </c>
      <c r="S193" s="27"/>
      <c r="T193" s="5"/>
    </row>
    <row r="194" customFormat="false" ht="15" hidden="false" customHeight="false" outlineLevel="0" collapsed="false">
      <c r="A194" s="27"/>
      <c r="B194" s="5"/>
      <c r="C194" s="18"/>
      <c r="D194" s="5"/>
      <c r="E194" s="35"/>
      <c r="F194" s="5"/>
      <c r="G194" s="5"/>
      <c r="H194" s="5"/>
      <c r="I194" s="14"/>
      <c r="J194" s="14"/>
      <c r="K194" s="28" t="str">
        <f aca="false">IF(A194="","",COUNTIF(Contratos!$A:$A,A194))</f>
        <v/>
      </c>
      <c r="L194" s="39" t="str">
        <f aca="false">IF(A194="","",SUMIFS(Contratos!$D:$D,Contratos!$A:$A,A194)+SUMIFS(Contratos!$N:$N,Contratos!$A:$A,A194))</f>
        <v/>
      </c>
      <c r="M194" s="39" t="str">
        <f aca="false">IF(A194="","",SUMIFS(Pagamentos!$C:$C,Pagamentos!$A:$A,A194,Pagamentos!$F:$F,"Empenho"))</f>
        <v/>
      </c>
      <c r="N194" s="39" t="str">
        <f aca="false">IF(A194="","",SUMIFS(Pagamentos!$C:$C,Pagamentos!$A:$A,A194,Pagamentos!$F:$F,"Pagamento"))</f>
        <v/>
      </c>
      <c r="O194" s="37" t="str">
        <f aca="false">IF(OR(A194="",E194="",L194="",L194=0),"",E194/L194)</f>
        <v/>
      </c>
      <c r="P194" s="28" t="str">
        <f aca="false">IF(A194="","",COUNTIFS(Sancoes!$A:$A,A194,Sancoes!$B:$B,"&lt;&gt;Não consta"))</f>
        <v/>
      </c>
      <c r="Q194" s="28" t="str">
        <f aca="false">IF(A194="","",COUNTIF(Socios!$A:$A,A194))</f>
        <v/>
      </c>
      <c r="R194" s="28" t="str">
        <f aca="false">IF(A194="","",COUNTIFS(Socios!$A:$A,A194,Socios!$K:$K,"SIM"))</f>
        <v/>
      </c>
      <c r="S194" s="27"/>
      <c r="T194" s="5"/>
    </row>
    <row r="195" customFormat="false" ht="15" hidden="false" customHeight="false" outlineLevel="0" collapsed="false">
      <c r="A195" s="27"/>
      <c r="B195" s="5"/>
      <c r="C195" s="18"/>
      <c r="D195" s="5"/>
      <c r="E195" s="35"/>
      <c r="F195" s="5"/>
      <c r="G195" s="5"/>
      <c r="H195" s="5"/>
      <c r="I195" s="14"/>
      <c r="J195" s="14"/>
      <c r="K195" s="28" t="str">
        <f aca="false">IF(A195="","",COUNTIF(Contratos!$A:$A,A195))</f>
        <v/>
      </c>
      <c r="L195" s="39" t="str">
        <f aca="false">IF(A195="","",SUMIFS(Contratos!$D:$D,Contratos!$A:$A,A195)+SUMIFS(Contratos!$N:$N,Contratos!$A:$A,A195))</f>
        <v/>
      </c>
      <c r="M195" s="39" t="str">
        <f aca="false">IF(A195="","",SUMIFS(Pagamentos!$C:$C,Pagamentos!$A:$A,A195,Pagamentos!$F:$F,"Empenho"))</f>
        <v/>
      </c>
      <c r="N195" s="39" t="str">
        <f aca="false">IF(A195="","",SUMIFS(Pagamentos!$C:$C,Pagamentos!$A:$A,A195,Pagamentos!$F:$F,"Pagamento"))</f>
        <v/>
      </c>
      <c r="O195" s="37" t="str">
        <f aca="false">IF(OR(A195="",E195="",L195="",L195=0),"",E195/L195)</f>
        <v/>
      </c>
      <c r="P195" s="28" t="str">
        <f aca="false">IF(A195="","",COUNTIFS(Sancoes!$A:$A,A195,Sancoes!$B:$B,"&lt;&gt;Não consta"))</f>
        <v/>
      </c>
      <c r="Q195" s="28" t="str">
        <f aca="false">IF(A195="","",COUNTIF(Socios!$A:$A,A195))</f>
        <v/>
      </c>
      <c r="R195" s="28" t="str">
        <f aca="false">IF(A195="","",COUNTIFS(Socios!$A:$A,A195,Socios!$K:$K,"SIM"))</f>
        <v/>
      </c>
      <c r="S195" s="27"/>
      <c r="T195" s="5"/>
    </row>
    <row r="196" customFormat="false" ht="15" hidden="false" customHeight="false" outlineLevel="0" collapsed="false">
      <c r="A196" s="27"/>
      <c r="B196" s="5"/>
      <c r="C196" s="18"/>
      <c r="D196" s="5"/>
      <c r="E196" s="35"/>
      <c r="F196" s="5"/>
      <c r="G196" s="5"/>
      <c r="H196" s="5"/>
      <c r="I196" s="14"/>
      <c r="J196" s="14"/>
      <c r="K196" s="28" t="str">
        <f aca="false">IF(A196="","",COUNTIF(Contratos!$A:$A,A196))</f>
        <v/>
      </c>
      <c r="L196" s="39" t="str">
        <f aca="false">IF(A196="","",SUMIFS(Contratos!$D:$D,Contratos!$A:$A,A196)+SUMIFS(Contratos!$N:$N,Contratos!$A:$A,A196))</f>
        <v/>
      </c>
      <c r="M196" s="39" t="str">
        <f aca="false">IF(A196="","",SUMIFS(Pagamentos!$C:$C,Pagamentos!$A:$A,A196,Pagamentos!$F:$F,"Empenho"))</f>
        <v/>
      </c>
      <c r="N196" s="39" t="str">
        <f aca="false">IF(A196="","",SUMIFS(Pagamentos!$C:$C,Pagamentos!$A:$A,A196,Pagamentos!$F:$F,"Pagamento"))</f>
        <v/>
      </c>
      <c r="O196" s="37" t="str">
        <f aca="false">IF(OR(A196="",E196="",L196="",L196=0),"",E196/L196)</f>
        <v/>
      </c>
      <c r="P196" s="28" t="str">
        <f aca="false">IF(A196="","",COUNTIFS(Sancoes!$A:$A,A196,Sancoes!$B:$B,"&lt;&gt;Não consta"))</f>
        <v/>
      </c>
      <c r="Q196" s="28" t="str">
        <f aca="false">IF(A196="","",COUNTIF(Socios!$A:$A,A196))</f>
        <v/>
      </c>
      <c r="R196" s="28" t="str">
        <f aca="false">IF(A196="","",COUNTIFS(Socios!$A:$A,A196,Socios!$K:$K,"SIM"))</f>
        <v/>
      </c>
      <c r="S196" s="27"/>
      <c r="T196" s="5"/>
    </row>
    <row r="197" customFormat="false" ht="15" hidden="false" customHeight="false" outlineLevel="0" collapsed="false">
      <c r="A197" s="27"/>
      <c r="B197" s="5"/>
      <c r="C197" s="18"/>
      <c r="D197" s="5"/>
      <c r="E197" s="35"/>
      <c r="F197" s="5"/>
      <c r="G197" s="5"/>
      <c r="H197" s="5"/>
      <c r="I197" s="14"/>
      <c r="J197" s="14"/>
      <c r="K197" s="28" t="str">
        <f aca="false">IF(A197="","",COUNTIF(Contratos!$A:$A,A197))</f>
        <v/>
      </c>
      <c r="L197" s="39" t="str">
        <f aca="false">IF(A197="","",SUMIFS(Contratos!$D:$D,Contratos!$A:$A,A197)+SUMIFS(Contratos!$N:$N,Contratos!$A:$A,A197))</f>
        <v/>
      </c>
      <c r="M197" s="39" t="str">
        <f aca="false">IF(A197="","",SUMIFS(Pagamentos!$C:$C,Pagamentos!$A:$A,A197,Pagamentos!$F:$F,"Empenho"))</f>
        <v/>
      </c>
      <c r="N197" s="39" t="str">
        <f aca="false">IF(A197="","",SUMIFS(Pagamentos!$C:$C,Pagamentos!$A:$A,A197,Pagamentos!$F:$F,"Pagamento"))</f>
        <v/>
      </c>
      <c r="O197" s="37" t="str">
        <f aca="false">IF(OR(A197="",E197="",L197="",L197=0),"",E197/L197)</f>
        <v/>
      </c>
      <c r="P197" s="28" t="str">
        <f aca="false">IF(A197="","",COUNTIFS(Sancoes!$A:$A,A197,Sancoes!$B:$B,"&lt;&gt;Não consta"))</f>
        <v/>
      </c>
      <c r="Q197" s="28" t="str">
        <f aca="false">IF(A197="","",COUNTIF(Socios!$A:$A,A197))</f>
        <v/>
      </c>
      <c r="R197" s="28" t="str">
        <f aca="false">IF(A197="","",COUNTIFS(Socios!$A:$A,A197,Socios!$K:$K,"SIM"))</f>
        <v/>
      </c>
      <c r="S197" s="27"/>
      <c r="T197" s="5"/>
    </row>
    <row r="198" customFormat="false" ht="15" hidden="false" customHeight="false" outlineLevel="0" collapsed="false">
      <c r="A198" s="27"/>
      <c r="B198" s="5"/>
      <c r="C198" s="18"/>
      <c r="D198" s="5"/>
      <c r="E198" s="35"/>
      <c r="F198" s="5"/>
      <c r="G198" s="5"/>
      <c r="H198" s="5"/>
      <c r="I198" s="14"/>
      <c r="J198" s="14"/>
      <c r="K198" s="28" t="str">
        <f aca="false">IF(A198="","",COUNTIF(Contratos!$A:$A,A198))</f>
        <v/>
      </c>
      <c r="L198" s="39" t="str">
        <f aca="false">IF(A198="","",SUMIFS(Contratos!$D:$D,Contratos!$A:$A,A198)+SUMIFS(Contratos!$N:$N,Contratos!$A:$A,A198))</f>
        <v/>
      </c>
      <c r="M198" s="39" t="str">
        <f aca="false">IF(A198="","",SUMIFS(Pagamentos!$C:$C,Pagamentos!$A:$A,A198,Pagamentos!$F:$F,"Empenho"))</f>
        <v/>
      </c>
      <c r="N198" s="39" t="str">
        <f aca="false">IF(A198="","",SUMIFS(Pagamentos!$C:$C,Pagamentos!$A:$A,A198,Pagamentos!$F:$F,"Pagamento"))</f>
        <v/>
      </c>
      <c r="O198" s="37" t="str">
        <f aca="false">IF(OR(A198="",E198="",L198="",L198=0),"",E198/L198)</f>
        <v/>
      </c>
      <c r="P198" s="28" t="str">
        <f aca="false">IF(A198="","",COUNTIFS(Sancoes!$A:$A,A198,Sancoes!$B:$B,"&lt;&gt;Não consta"))</f>
        <v/>
      </c>
      <c r="Q198" s="28" t="str">
        <f aca="false">IF(A198="","",COUNTIF(Socios!$A:$A,A198))</f>
        <v/>
      </c>
      <c r="R198" s="28" t="str">
        <f aca="false">IF(A198="","",COUNTIFS(Socios!$A:$A,A198,Socios!$K:$K,"SIM"))</f>
        <v/>
      </c>
      <c r="S198" s="27"/>
      <c r="T198" s="5"/>
    </row>
    <row r="199" customFormat="false" ht="15" hidden="false" customHeight="false" outlineLevel="0" collapsed="false">
      <c r="A199" s="27"/>
      <c r="B199" s="5"/>
      <c r="C199" s="18"/>
      <c r="D199" s="5"/>
      <c r="E199" s="35"/>
      <c r="F199" s="5"/>
      <c r="G199" s="5"/>
      <c r="H199" s="5"/>
      <c r="I199" s="14"/>
      <c r="J199" s="14"/>
      <c r="K199" s="28" t="str">
        <f aca="false">IF(A199="","",COUNTIF(Contratos!$A:$A,A199))</f>
        <v/>
      </c>
      <c r="L199" s="39" t="str">
        <f aca="false">IF(A199="","",SUMIFS(Contratos!$D:$D,Contratos!$A:$A,A199)+SUMIFS(Contratos!$N:$N,Contratos!$A:$A,A199))</f>
        <v/>
      </c>
      <c r="M199" s="39" t="str">
        <f aca="false">IF(A199="","",SUMIFS(Pagamentos!$C:$C,Pagamentos!$A:$A,A199,Pagamentos!$F:$F,"Empenho"))</f>
        <v/>
      </c>
      <c r="N199" s="39" t="str">
        <f aca="false">IF(A199="","",SUMIFS(Pagamentos!$C:$C,Pagamentos!$A:$A,A199,Pagamentos!$F:$F,"Pagamento"))</f>
        <v/>
      </c>
      <c r="O199" s="37" t="str">
        <f aca="false">IF(OR(A199="",E199="",L199="",L199=0),"",E199/L199)</f>
        <v/>
      </c>
      <c r="P199" s="28" t="str">
        <f aca="false">IF(A199="","",COUNTIFS(Sancoes!$A:$A,A199,Sancoes!$B:$B,"&lt;&gt;Não consta"))</f>
        <v/>
      </c>
      <c r="Q199" s="28" t="str">
        <f aca="false">IF(A199="","",COUNTIF(Socios!$A:$A,A199))</f>
        <v/>
      </c>
      <c r="R199" s="28" t="str">
        <f aca="false">IF(A199="","",COUNTIFS(Socios!$A:$A,A199,Socios!$K:$K,"SIM"))</f>
        <v/>
      </c>
      <c r="S199" s="27"/>
      <c r="T199" s="5"/>
    </row>
    <row r="200" customFormat="false" ht="15" hidden="false" customHeight="false" outlineLevel="0" collapsed="false">
      <c r="A200" s="27"/>
      <c r="B200" s="5"/>
      <c r="C200" s="18"/>
      <c r="D200" s="5"/>
      <c r="E200" s="35"/>
      <c r="F200" s="5"/>
      <c r="G200" s="5"/>
      <c r="H200" s="5"/>
      <c r="I200" s="14"/>
      <c r="J200" s="14"/>
      <c r="K200" s="28" t="str">
        <f aca="false">IF(A200="","",COUNTIF(Contratos!$A:$A,A200))</f>
        <v/>
      </c>
      <c r="L200" s="39" t="str">
        <f aca="false">IF(A200="","",SUMIFS(Contratos!$D:$D,Contratos!$A:$A,A200)+SUMIFS(Contratos!$N:$N,Contratos!$A:$A,A200))</f>
        <v/>
      </c>
      <c r="M200" s="39" t="str">
        <f aca="false">IF(A200="","",SUMIFS(Pagamentos!$C:$C,Pagamentos!$A:$A,A200,Pagamentos!$F:$F,"Empenho"))</f>
        <v/>
      </c>
      <c r="N200" s="39" t="str">
        <f aca="false">IF(A200="","",SUMIFS(Pagamentos!$C:$C,Pagamentos!$A:$A,A200,Pagamentos!$F:$F,"Pagamento"))</f>
        <v/>
      </c>
      <c r="O200" s="37" t="str">
        <f aca="false">IF(OR(A200="",E200="",L200="",L200=0),"",E200/L200)</f>
        <v/>
      </c>
      <c r="P200" s="28" t="str">
        <f aca="false">IF(A200="","",COUNTIFS(Sancoes!$A:$A,A200,Sancoes!$B:$B,"&lt;&gt;Não consta"))</f>
        <v/>
      </c>
      <c r="Q200" s="28" t="str">
        <f aca="false">IF(A200="","",COUNTIF(Socios!$A:$A,A200))</f>
        <v/>
      </c>
      <c r="R200" s="28" t="str">
        <f aca="false">IF(A200="","",COUNTIFS(Socios!$A:$A,A200,Socios!$K:$K,"SIM"))</f>
        <v/>
      </c>
      <c r="S200" s="27"/>
      <c r="T200" s="5"/>
    </row>
    <row r="201" customFormat="false" ht="15" hidden="false" customHeight="false" outlineLevel="0" collapsed="false">
      <c r="A201" s="27"/>
      <c r="B201" s="5"/>
      <c r="C201" s="18"/>
      <c r="D201" s="5"/>
      <c r="E201" s="35"/>
      <c r="F201" s="5"/>
      <c r="G201" s="5"/>
      <c r="H201" s="5"/>
      <c r="I201" s="14"/>
      <c r="J201" s="14"/>
      <c r="K201" s="28" t="str">
        <f aca="false">IF(A201="","",COUNTIF(Contratos!$A:$A,A201))</f>
        <v/>
      </c>
      <c r="L201" s="39" t="str">
        <f aca="false">IF(A201="","",SUMIFS(Contratos!$D:$D,Contratos!$A:$A,A201)+SUMIFS(Contratos!$N:$N,Contratos!$A:$A,A201))</f>
        <v/>
      </c>
      <c r="M201" s="39" t="str">
        <f aca="false">IF(A201="","",SUMIFS(Pagamentos!$C:$C,Pagamentos!$A:$A,A201,Pagamentos!$F:$F,"Empenho"))</f>
        <v/>
      </c>
      <c r="N201" s="39" t="str">
        <f aca="false">IF(A201="","",SUMIFS(Pagamentos!$C:$C,Pagamentos!$A:$A,A201,Pagamentos!$F:$F,"Pagamento"))</f>
        <v/>
      </c>
      <c r="O201" s="37" t="str">
        <f aca="false">IF(OR(A201="",E201="",L201="",L201=0),"",E201/L201)</f>
        <v/>
      </c>
      <c r="P201" s="28" t="str">
        <f aca="false">IF(A201="","",COUNTIFS(Sancoes!$A:$A,A201,Sancoes!$B:$B,"&lt;&gt;Não consta"))</f>
        <v/>
      </c>
      <c r="Q201" s="28" t="str">
        <f aca="false">IF(A201="","",COUNTIF(Socios!$A:$A,A201))</f>
        <v/>
      </c>
      <c r="R201" s="28" t="str">
        <f aca="false">IF(A201="","",COUNTIFS(Socios!$A:$A,A201,Socios!$K:$K,"SIM"))</f>
        <v/>
      </c>
      <c r="S201" s="27"/>
      <c r="T201" s="5"/>
    </row>
    <row r="202" customFormat="false" ht="15" hidden="false" customHeight="false" outlineLevel="0" collapsed="false">
      <c r="A202" s="27"/>
      <c r="B202" s="5"/>
      <c r="C202" s="18"/>
      <c r="D202" s="5"/>
      <c r="E202" s="35"/>
      <c r="F202" s="5"/>
      <c r="G202" s="5"/>
      <c r="H202" s="5"/>
      <c r="I202" s="14"/>
      <c r="J202" s="14"/>
      <c r="K202" s="28" t="str">
        <f aca="false">IF(A202="","",COUNTIF(Contratos!$A:$A,A202))</f>
        <v/>
      </c>
      <c r="L202" s="39" t="str">
        <f aca="false">IF(A202="","",SUMIFS(Contratos!$D:$D,Contratos!$A:$A,A202)+SUMIFS(Contratos!$N:$N,Contratos!$A:$A,A202))</f>
        <v/>
      </c>
      <c r="M202" s="39" t="str">
        <f aca="false">IF(A202="","",SUMIFS(Pagamentos!$C:$C,Pagamentos!$A:$A,A202,Pagamentos!$F:$F,"Empenho"))</f>
        <v/>
      </c>
      <c r="N202" s="39" t="str">
        <f aca="false">IF(A202="","",SUMIFS(Pagamentos!$C:$C,Pagamentos!$A:$A,A202,Pagamentos!$F:$F,"Pagamento"))</f>
        <v/>
      </c>
      <c r="O202" s="37" t="str">
        <f aca="false">IF(OR(A202="",E202="",L202="",L202=0),"",E202/L202)</f>
        <v/>
      </c>
      <c r="P202" s="28" t="str">
        <f aca="false">IF(A202="","",COUNTIFS(Sancoes!$A:$A,A202,Sancoes!$B:$B,"&lt;&gt;Não consta"))</f>
        <v/>
      </c>
      <c r="Q202" s="28" t="str">
        <f aca="false">IF(A202="","",COUNTIF(Socios!$A:$A,A202))</f>
        <v/>
      </c>
      <c r="R202" s="28" t="str">
        <f aca="false">IF(A202="","",COUNTIFS(Socios!$A:$A,A202,Socios!$K:$K,"SIM"))</f>
        <v/>
      </c>
      <c r="S202" s="27"/>
      <c r="T202" s="5"/>
    </row>
    <row r="203" customFormat="false" ht="15" hidden="false" customHeight="false" outlineLevel="0" collapsed="false">
      <c r="A203" s="27"/>
      <c r="B203" s="5"/>
      <c r="C203" s="18"/>
      <c r="D203" s="5"/>
      <c r="E203" s="35"/>
      <c r="F203" s="5"/>
      <c r="G203" s="5"/>
      <c r="H203" s="5"/>
      <c r="I203" s="14"/>
      <c r="J203" s="14"/>
      <c r="K203" s="28" t="str">
        <f aca="false">IF(A203="","",COUNTIF(Contratos!$A:$A,A203))</f>
        <v/>
      </c>
      <c r="L203" s="39" t="str">
        <f aca="false">IF(A203="","",SUMIFS(Contratos!$D:$D,Contratos!$A:$A,A203)+SUMIFS(Contratos!$N:$N,Contratos!$A:$A,A203))</f>
        <v/>
      </c>
      <c r="M203" s="39" t="str">
        <f aca="false">IF(A203="","",SUMIFS(Pagamentos!$C:$C,Pagamentos!$A:$A,A203,Pagamentos!$F:$F,"Empenho"))</f>
        <v/>
      </c>
      <c r="N203" s="39" t="str">
        <f aca="false">IF(A203="","",SUMIFS(Pagamentos!$C:$C,Pagamentos!$A:$A,A203,Pagamentos!$F:$F,"Pagamento"))</f>
        <v/>
      </c>
      <c r="O203" s="37" t="str">
        <f aca="false">IF(OR(A203="",E203="",L203="",L203=0),"",E203/L203)</f>
        <v/>
      </c>
      <c r="P203" s="28" t="str">
        <f aca="false">IF(A203="","",COUNTIFS(Sancoes!$A:$A,A203,Sancoes!$B:$B,"&lt;&gt;Não consta"))</f>
        <v/>
      </c>
      <c r="Q203" s="28" t="str">
        <f aca="false">IF(A203="","",COUNTIF(Socios!$A:$A,A203))</f>
        <v/>
      </c>
      <c r="R203" s="28" t="str">
        <f aca="false">IF(A203="","",COUNTIFS(Socios!$A:$A,A203,Socios!$K:$K,"SIM"))</f>
        <v/>
      </c>
      <c r="S203" s="27"/>
      <c r="T203" s="5"/>
    </row>
    <row r="204" customFormat="false" ht="15" hidden="false" customHeight="false" outlineLevel="0" collapsed="false">
      <c r="A204" s="27"/>
      <c r="B204" s="5"/>
      <c r="C204" s="18"/>
      <c r="D204" s="5"/>
      <c r="E204" s="35"/>
      <c r="F204" s="5"/>
      <c r="G204" s="5"/>
      <c r="H204" s="5"/>
      <c r="I204" s="14"/>
      <c r="J204" s="14"/>
      <c r="K204" s="28" t="str">
        <f aca="false">IF(A204="","",COUNTIF(Contratos!$A:$A,A204))</f>
        <v/>
      </c>
      <c r="L204" s="39" t="str">
        <f aca="false">IF(A204="","",SUMIFS(Contratos!$D:$D,Contratos!$A:$A,A204)+SUMIFS(Contratos!$N:$N,Contratos!$A:$A,A204))</f>
        <v/>
      </c>
      <c r="M204" s="39" t="str">
        <f aca="false">IF(A204="","",SUMIFS(Pagamentos!$C:$C,Pagamentos!$A:$A,A204,Pagamentos!$F:$F,"Empenho"))</f>
        <v/>
      </c>
      <c r="N204" s="39" t="str">
        <f aca="false">IF(A204="","",SUMIFS(Pagamentos!$C:$C,Pagamentos!$A:$A,A204,Pagamentos!$F:$F,"Pagamento"))</f>
        <v/>
      </c>
      <c r="O204" s="37" t="str">
        <f aca="false">IF(OR(A204="",E204="",L204="",L204=0),"",E204/L204)</f>
        <v/>
      </c>
      <c r="P204" s="28" t="str">
        <f aca="false">IF(A204="","",COUNTIFS(Sancoes!$A:$A,A204,Sancoes!$B:$B,"&lt;&gt;Não consta"))</f>
        <v/>
      </c>
      <c r="Q204" s="28" t="str">
        <f aca="false">IF(A204="","",COUNTIF(Socios!$A:$A,A204))</f>
        <v/>
      </c>
      <c r="R204" s="28" t="str">
        <f aca="false">IF(A204="","",COUNTIFS(Socios!$A:$A,A204,Socios!$K:$K,"SIM"))</f>
        <v/>
      </c>
      <c r="S204" s="27"/>
      <c r="T204" s="5"/>
    </row>
    <row r="205" customFormat="false" ht="15" hidden="false" customHeight="false" outlineLevel="0" collapsed="false">
      <c r="A205" s="27"/>
      <c r="B205" s="5"/>
      <c r="C205" s="18"/>
      <c r="D205" s="5"/>
      <c r="E205" s="35"/>
      <c r="F205" s="5"/>
      <c r="G205" s="5"/>
      <c r="H205" s="5"/>
      <c r="I205" s="14"/>
      <c r="J205" s="14"/>
      <c r="K205" s="28" t="str">
        <f aca="false">IF(A205="","",COUNTIF(Contratos!$A:$A,A205))</f>
        <v/>
      </c>
      <c r="L205" s="39" t="str">
        <f aca="false">IF(A205="","",SUMIFS(Contratos!$D:$D,Contratos!$A:$A,A205)+SUMIFS(Contratos!$N:$N,Contratos!$A:$A,A205))</f>
        <v/>
      </c>
      <c r="M205" s="39" t="str">
        <f aca="false">IF(A205="","",SUMIFS(Pagamentos!$C:$C,Pagamentos!$A:$A,A205,Pagamentos!$F:$F,"Empenho"))</f>
        <v/>
      </c>
      <c r="N205" s="39" t="str">
        <f aca="false">IF(A205="","",SUMIFS(Pagamentos!$C:$C,Pagamentos!$A:$A,A205,Pagamentos!$F:$F,"Pagamento"))</f>
        <v/>
      </c>
      <c r="O205" s="37" t="str">
        <f aca="false">IF(OR(A205="",E205="",L205="",L205=0),"",E205/L205)</f>
        <v/>
      </c>
      <c r="P205" s="28" t="str">
        <f aca="false">IF(A205="","",COUNTIFS(Sancoes!$A:$A,A205,Sancoes!$B:$B,"&lt;&gt;Não consta"))</f>
        <v/>
      </c>
      <c r="Q205" s="28" t="str">
        <f aca="false">IF(A205="","",COUNTIF(Socios!$A:$A,A205))</f>
        <v/>
      </c>
      <c r="R205" s="28" t="str">
        <f aca="false">IF(A205="","",COUNTIFS(Socios!$A:$A,A205,Socios!$K:$K,"SIM"))</f>
        <v/>
      </c>
      <c r="S205" s="27"/>
      <c r="T205" s="5"/>
    </row>
    <row r="206" customFormat="false" ht="15" hidden="false" customHeight="false" outlineLevel="0" collapsed="false">
      <c r="A206" s="27"/>
      <c r="B206" s="5"/>
      <c r="C206" s="18"/>
      <c r="D206" s="5"/>
      <c r="E206" s="35"/>
      <c r="F206" s="5"/>
      <c r="G206" s="5"/>
      <c r="H206" s="5"/>
      <c r="I206" s="14"/>
      <c r="J206" s="14"/>
      <c r="K206" s="28" t="str">
        <f aca="false">IF(A206="","",COUNTIF(Contratos!$A:$A,A206))</f>
        <v/>
      </c>
      <c r="L206" s="39" t="str">
        <f aca="false">IF(A206="","",SUMIFS(Contratos!$D:$D,Contratos!$A:$A,A206)+SUMIFS(Contratos!$N:$N,Contratos!$A:$A,A206))</f>
        <v/>
      </c>
      <c r="M206" s="39" t="str">
        <f aca="false">IF(A206="","",SUMIFS(Pagamentos!$C:$C,Pagamentos!$A:$A,A206,Pagamentos!$F:$F,"Empenho"))</f>
        <v/>
      </c>
      <c r="N206" s="39" t="str">
        <f aca="false">IF(A206="","",SUMIFS(Pagamentos!$C:$C,Pagamentos!$A:$A,A206,Pagamentos!$F:$F,"Pagamento"))</f>
        <v/>
      </c>
      <c r="O206" s="37" t="str">
        <f aca="false">IF(OR(A206="",E206="",L206="",L206=0),"",E206/L206)</f>
        <v/>
      </c>
      <c r="P206" s="28" t="str">
        <f aca="false">IF(A206="","",COUNTIFS(Sancoes!$A:$A,A206,Sancoes!$B:$B,"&lt;&gt;Não consta"))</f>
        <v/>
      </c>
      <c r="Q206" s="28" t="str">
        <f aca="false">IF(A206="","",COUNTIF(Socios!$A:$A,A206))</f>
        <v/>
      </c>
      <c r="R206" s="28" t="str">
        <f aca="false">IF(A206="","",COUNTIFS(Socios!$A:$A,A206,Socios!$K:$K,"SIM"))</f>
        <v/>
      </c>
      <c r="S206" s="27"/>
      <c r="T206" s="5"/>
    </row>
    <row r="207" customFormat="false" ht="15" hidden="false" customHeight="false" outlineLevel="0" collapsed="false">
      <c r="A207" s="27"/>
      <c r="B207" s="5"/>
      <c r="C207" s="18"/>
      <c r="D207" s="5"/>
      <c r="E207" s="35"/>
      <c r="F207" s="5"/>
      <c r="G207" s="5"/>
      <c r="H207" s="5"/>
      <c r="I207" s="14"/>
      <c r="J207" s="14"/>
      <c r="K207" s="28" t="str">
        <f aca="false">IF(A207="","",COUNTIF(Contratos!$A:$A,A207))</f>
        <v/>
      </c>
      <c r="L207" s="39" t="str">
        <f aca="false">IF(A207="","",SUMIFS(Contratos!$D:$D,Contratos!$A:$A,A207)+SUMIFS(Contratos!$N:$N,Contratos!$A:$A,A207))</f>
        <v/>
      </c>
      <c r="M207" s="39" t="str">
        <f aca="false">IF(A207="","",SUMIFS(Pagamentos!$C:$C,Pagamentos!$A:$A,A207,Pagamentos!$F:$F,"Empenho"))</f>
        <v/>
      </c>
      <c r="N207" s="39" t="str">
        <f aca="false">IF(A207="","",SUMIFS(Pagamentos!$C:$C,Pagamentos!$A:$A,A207,Pagamentos!$F:$F,"Pagamento"))</f>
        <v/>
      </c>
      <c r="O207" s="37" t="str">
        <f aca="false">IF(OR(A207="",E207="",L207="",L207=0),"",E207/L207)</f>
        <v/>
      </c>
      <c r="P207" s="28" t="str">
        <f aca="false">IF(A207="","",COUNTIFS(Sancoes!$A:$A,A207,Sancoes!$B:$B,"&lt;&gt;Não consta"))</f>
        <v/>
      </c>
      <c r="Q207" s="28" t="str">
        <f aca="false">IF(A207="","",COUNTIF(Socios!$A:$A,A207))</f>
        <v/>
      </c>
      <c r="R207" s="28" t="str">
        <f aca="false">IF(A207="","",COUNTIFS(Socios!$A:$A,A207,Socios!$K:$K,"SIM"))</f>
        <v/>
      </c>
      <c r="S207" s="27"/>
      <c r="T207" s="5"/>
    </row>
    <row r="208" customFormat="false" ht="15" hidden="false" customHeight="false" outlineLevel="0" collapsed="false">
      <c r="A208" s="27"/>
      <c r="B208" s="5"/>
      <c r="C208" s="18"/>
      <c r="D208" s="5"/>
      <c r="E208" s="35"/>
      <c r="F208" s="5"/>
      <c r="G208" s="5"/>
      <c r="H208" s="5"/>
      <c r="I208" s="14"/>
      <c r="J208" s="14"/>
      <c r="K208" s="28" t="str">
        <f aca="false">IF(A208="","",COUNTIF(Contratos!$A:$A,A208))</f>
        <v/>
      </c>
      <c r="L208" s="39" t="str">
        <f aca="false">IF(A208="","",SUMIFS(Contratos!$D:$D,Contratos!$A:$A,A208)+SUMIFS(Contratos!$N:$N,Contratos!$A:$A,A208))</f>
        <v/>
      </c>
      <c r="M208" s="39" t="str">
        <f aca="false">IF(A208="","",SUMIFS(Pagamentos!$C:$C,Pagamentos!$A:$A,A208,Pagamentos!$F:$F,"Empenho"))</f>
        <v/>
      </c>
      <c r="N208" s="39" t="str">
        <f aca="false">IF(A208="","",SUMIFS(Pagamentos!$C:$C,Pagamentos!$A:$A,A208,Pagamentos!$F:$F,"Pagamento"))</f>
        <v/>
      </c>
      <c r="O208" s="37" t="str">
        <f aca="false">IF(OR(A208="",E208="",L208="",L208=0),"",E208/L208)</f>
        <v/>
      </c>
      <c r="P208" s="28" t="str">
        <f aca="false">IF(A208="","",COUNTIFS(Sancoes!$A:$A,A208,Sancoes!$B:$B,"&lt;&gt;Não consta"))</f>
        <v/>
      </c>
      <c r="Q208" s="28" t="str">
        <f aca="false">IF(A208="","",COUNTIF(Socios!$A:$A,A208))</f>
        <v/>
      </c>
      <c r="R208" s="28" t="str">
        <f aca="false">IF(A208="","",COUNTIFS(Socios!$A:$A,A208,Socios!$K:$K,"SIM"))</f>
        <v/>
      </c>
      <c r="S208" s="27"/>
      <c r="T208" s="5"/>
    </row>
    <row r="209" customFormat="false" ht="15" hidden="false" customHeight="false" outlineLevel="0" collapsed="false">
      <c r="A209" s="27"/>
      <c r="B209" s="5"/>
      <c r="C209" s="18"/>
      <c r="D209" s="5"/>
      <c r="E209" s="35"/>
      <c r="F209" s="5"/>
      <c r="G209" s="5"/>
      <c r="H209" s="5"/>
      <c r="I209" s="14"/>
      <c r="J209" s="14"/>
      <c r="K209" s="28" t="str">
        <f aca="false">IF(A209="","",COUNTIF(Contratos!$A:$A,A209))</f>
        <v/>
      </c>
      <c r="L209" s="39" t="str">
        <f aca="false">IF(A209="","",SUMIFS(Contratos!$D:$D,Contratos!$A:$A,A209)+SUMIFS(Contratos!$N:$N,Contratos!$A:$A,A209))</f>
        <v/>
      </c>
      <c r="M209" s="39" t="str">
        <f aca="false">IF(A209="","",SUMIFS(Pagamentos!$C:$C,Pagamentos!$A:$A,A209,Pagamentos!$F:$F,"Empenho"))</f>
        <v/>
      </c>
      <c r="N209" s="39" t="str">
        <f aca="false">IF(A209="","",SUMIFS(Pagamentos!$C:$C,Pagamentos!$A:$A,A209,Pagamentos!$F:$F,"Pagamento"))</f>
        <v/>
      </c>
      <c r="O209" s="37" t="str">
        <f aca="false">IF(OR(A209="",E209="",L209="",L209=0),"",E209/L209)</f>
        <v/>
      </c>
      <c r="P209" s="28" t="str">
        <f aca="false">IF(A209="","",COUNTIFS(Sancoes!$A:$A,A209,Sancoes!$B:$B,"&lt;&gt;Não consta"))</f>
        <v/>
      </c>
      <c r="Q209" s="28" t="str">
        <f aca="false">IF(A209="","",COUNTIF(Socios!$A:$A,A209))</f>
        <v/>
      </c>
      <c r="R209" s="28" t="str">
        <f aca="false">IF(A209="","",COUNTIFS(Socios!$A:$A,A209,Socios!$K:$K,"SIM"))</f>
        <v/>
      </c>
      <c r="S209" s="27"/>
      <c r="T209" s="5"/>
    </row>
    <row r="210" customFormat="false" ht="15" hidden="false" customHeight="false" outlineLevel="0" collapsed="false">
      <c r="A210" s="27"/>
      <c r="B210" s="5"/>
      <c r="C210" s="18"/>
      <c r="D210" s="5"/>
      <c r="E210" s="35"/>
      <c r="F210" s="5"/>
      <c r="G210" s="5"/>
      <c r="H210" s="5"/>
      <c r="I210" s="14"/>
      <c r="J210" s="14"/>
      <c r="K210" s="28" t="str">
        <f aca="false">IF(A210="","",COUNTIF(Contratos!$A:$A,A210))</f>
        <v/>
      </c>
      <c r="L210" s="39" t="str">
        <f aca="false">IF(A210="","",SUMIFS(Contratos!$D:$D,Contratos!$A:$A,A210)+SUMIFS(Contratos!$N:$N,Contratos!$A:$A,A210))</f>
        <v/>
      </c>
      <c r="M210" s="39" t="str">
        <f aca="false">IF(A210="","",SUMIFS(Pagamentos!$C:$C,Pagamentos!$A:$A,A210,Pagamentos!$F:$F,"Empenho"))</f>
        <v/>
      </c>
      <c r="N210" s="39" t="str">
        <f aca="false">IF(A210="","",SUMIFS(Pagamentos!$C:$C,Pagamentos!$A:$A,A210,Pagamentos!$F:$F,"Pagamento"))</f>
        <v/>
      </c>
      <c r="O210" s="37" t="str">
        <f aca="false">IF(OR(A210="",E210="",L210="",L210=0),"",E210/L210)</f>
        <v/>
      </c>
      <c r="P210" s="28" t="str">
        <f aca="false">IF(A210="","",COUNTIFS(Sancoes!$A:$A,A210,Sancoes!$B:$B,"&lt;&gt;Não consta"))</f>
        <v/>
      </c>
      <c r="Q210" s="28" t="str">
        <f aca="false">IF(A210="","",COUNTIF(Socios!$A:$A,A210))</f>
        <v/>
      </c>
      <c r="R210" s="28" t="str">
        <f aca="false">IF(A210="","",COUNTIFS(Socios!$A:$A,A210,Socios!$K:$K,"SIM"))</f>
        <v/>
      </c>
      <c r="S210" s="27"/>
      <c r="T210" s="5"/>
    </row>
    <row r="211" customFormat="false" ht="15" hidden="false" customHeight="false" outlineLevel="0" collapsed="false">
      <c r="A211" s="27"/>
      <c r="B211" s="5"/>
      <c r="C211" s="18"/>
      <c r="D211" s="5"/>
      <c r="E211" s="35"/>
      <c r="F211" s="5"/>
      <c r="G211" s="5"/>
      <c r="H211" s="5"/>
      <c r="I211" s="14"/>
      <c r="J211" s="14"/>
      <c r="K211" s="28" t="str">
        <f aca="false">IF(A211="","",COUNTIF(Contratos!$A:$A,A211))</f>
        <v/>
      </c>
      <c r="L211" s="39" t="str">
        <f aca="false">IF(A211="","",SUMIFS(Contratos!$D:$D,Contratos!$A:$A,A211)+SUMIFS(Contratos!$N:$N,Contratos!$A:$A,A211))</f>
        <v/>
      </c>
      <c r="M211" s="39" t="str">
        <f aca="false">IF(A211="","",SUMIFS(Pagamentos!$C:$C,Pagamentos!$A:$A,A211,Pagamentos!$F:$F,"Empenho"))</f>
        <v/>
      </c>
      <c r="N211" s="39" t="str">
        <f aca="false">IF(A211="","",SUMIFS(Pagamentos!$C:$C,Pagamentos!$A:$A,A211,Pagamentos!$F:$F,"Pagamento"))</f>
        <v/>
      </c>
      <c r="O211" s="37" t="str">
        <f aca="false">IF(OR(A211="",E211="",L211="",L211=0),"",E211/L211)</f>
        <v/>
      </c>
      <c r="P211" s="28" t="str">
        <f aca="false">IF(A211="","",COUNTIFS(Sancoes!$A:$A,A211,Sancoes!$B:$B,"&lt;&gt;Não consta"))</f>
        <v/>
      </c>
      <c r="Q211" s="28" t="str">
        <f aca="false">IF(A211="","",COUNTIF(Socios!$A:$A,A211))</f>
        <v/>
      </c>
      <c r="R211" s="28" t="str">
        <f aca="false">IF(A211="","",COUNTIFS(Socios!$A:$A,A211,Socios!$K:$K,"SIM"))</f>
        <v/>
      </c>
      <c r="S211" s="27"/>
      <c r="T211" s="5"/>
    </row>
    <row r="212" customFormat="false" ht="15" hidden="false" customHeight="false" outlineLevel="0" collapsed="false">
      <c r="A212" s="27"/>
      <c r="B212" s="5"/>
      <c r="C212" s="18"/>
      <c r="D212" s="5"/>
      <c r="E212" s="35"/>
      <c r="F212" s="5"/>
      <c r="G212" s="5"/>
      <c r="H212" s="5"/>
      <c r="I212" s="14"/>
      <c r="J212" s="14"/>
      <c r="K212" s="28" t="str">
        <f aca="false">IF(A212="","",COUNTIF(Contratos!$A:$A,A212))</f>
        <v/>
      </c>
      <c r="L212" s="39" t="str">
        <f aca="false">IF(A212="","",SUMIFS(Contratos!$D:$D,Contratos!$A:$A,A212)+SUMIFS(Contratos!$N:$N,Contratos!$A:$A,A212))</f>
        <v/>
      </c>
      <c r="M212" s="39" t="str">
        <f aca="false">IF(A212="","",SUMIFS(Pagamentos!$C:$C,Pagamentos!$A:$A,A212,Pagamentos!$F:$F,"Empenho"))</f>
        <v/>
      </c>
      <c r="N212" s="39" t="str">
        <f aca="false">IF(A212="","",SUMIFS(Pagamentos!$C:$C,Pagamentos!$A:$A,A212,Pagamentos!$F:$F,"Pagamento"))</f>
        <v/>
      </c>
      <c r="O212" s="37" t="str">
        <f aca="false">IF(OR(A212="",E212="",L212="",L212=0),"",E212/L212)</f>
        <v/>
      </c>
      <c r="P212" s="28" t="str">
        <f aca="false">IF(A212="","",COUNTIFS(Sancoes!$A:$A,A212,Sancoes!$B:$B,"&lt;&gt;Não consta"))</f>
        <v/>
      </c>
      <c r="Q212" s="28" t="str">
        <f aca="false">IF(A212="","",COUNTIF(Socios!$A:$A,A212))</f>
        <v/>
      </c>
      <c r="R212" s="28" t="str">
        <f aca="false">IF(A212="","",COUNTIFS(Socios!$A:$A,A212,Socios!$K:$K,"SIM"))</f>
        <v/>
      </c>
      <c r="S212" s="27"/>
      <c r="T212" s="5"/>
    </row>
    <row r="213" customFormat="false" ht="15" hidden="false" customHeight="false" outlineLevel="0" collapsed="false">
      <c r="A213" s="27"/>
      <c r="B213" s="5"/>
      <c r="C213" s="18"/>
      <c r="D213" s="5"/>
      <c r="E213" s="35"/>
      <c r="F213" s="5"/>
      <c r="G213" s="5"/>
      <c r="H213" s="5"/>
      <c r="I213" s="14"/>
      <c r="J213" s="14"/>
      <c r="K213" s="28" t="str">
        <f aca="false">IF(A213="","",COUNTIF(Contratos!$A:$A,A213))</f>
        <v/>
      </c>
      <c r="L213" s="39" t="str">
        <f aca="false">IF(A213="","",SUMIFS(Contratos!$D:$D,Contratos!$A:$A,A213)+SUMIFS(Contratos!$N:$N,Contratos!$A:$A,A213))</f>
        <v/>
      </c>
      <c r="M213" s="39" t="str">
        <f aca="false">IF(A213="","",SUMIFS(Pagamentos!$C:$C,Pagamentos!$A:$A,A213,Pagamentos!$F:$F,"Empenho"))</f>
        <v/>
      </c>
      <c r="N213" s="39" t="str">
        <f aca="false">IF(A213="","",SUMIFS(Pagamentos!$C:$C,Pagamentos!$A:$A,A213,Pagamentos!$F:$F,"Pagamento"))</f>
        <v/>
      </c>
      <c r="O213" s="37" t="str">
        <f aca="false">IF(OR(A213="",E213="",L213="",L213=0),"",E213/L213)</f>
        <v/>
      </c>
      <c r="P213" s="28" t="str">
        <f aca="false">IF(A213="","",COUNTIFS(Sancoes!$A:$A,A213,Sancoes!$B:$B,"&lt;&gt;Não consta"))</f>
        <v/>
      </c>
      <c r="Q213" s="28" t="str">
        <f aca="false">IF(A213="","",COUNTIF(Socios!$A:$A,A213))</f>
        <v/>
      </c>
      <c r="R213" s="28" t="str">
        <f aca="false">IF(A213="","",COUNTIFS(Socios!$A:$A,A213,Socios!$K:$K,"SIM"))</f>
        <v/>
      </c>
      <c r="S213" s="27"/>
      <c r="T213" s="5"/>
    </row>
    <row r="214" customFormat="false" ht="15" hidden="false" customHeight="false" outlineLevel="0" collapsed="false">
      <c r="A214" s="27"/>
      <c r="B214" s="5"/>
      <c r="C214" s="18"/>
      <c r="D214" s="5"/>
      <c r="E214" s="35"/>
      <c r="F214" s="5"/>
      <c r="G214" s="5"/>
      <c r="H214" s="5"/>
      <c r="I214" s="14"/>
      <c r="J214" s="14"/>
      <c r="K214" s="28" t="str">
        <f aca="false">IF(A214="","",COUNTIF(Contratos!$A:$A,A214))</f>
        <v/>
      </c>
      <c r="L214" s="39" t="str">
        <f aca="false">IF(A214="","",SUMIFS(Contratos!$D:$D,Contratos!$A:$A,A214)+SUMIFS(Contratos!$N:$N,Contratos!$A:$A,A214))</f>
        <v/>
      </c>
      <c r="M214" s="39" t="str">
        <f aca="false">IF(A214="","",SUMIFS(Pagamentos!$C:$C,Pagamentos!$A:$A,A214,Pagamentos!$F:$F,"Empenho"))</f>
        <v/>
      </c>
      <c r="N214" s="39" t="str">
        <f aca="false">IF(A214="","",SUMIFS(Pagamentos!$C:$C,Pagamentos!$A:$A,A214,Pagamentos!$F:$F,"Pagamento"))</f>
        <v/>
      </c>
      <c r="O214" s="37" t="str">
        <f aca="false">IF(OR(A214="",E214="",L214="",L214=0),"",E214/L214)</f>
        <v/>
      </c>
      <c r="P214" s="28" t="str">
        <f aca="false">IF(A214="","",COUNTIFS(Sancoes!$A:$A,A214,Sancoes!$B:$B,"&lt;&gt;Não consta"))</f>
        <v/>
      </c>
      <c r="Q214" s="28" t="str">
        <f aca="false">IF(A214="","",COUNTIF(Socios!$A:$A,A214))</f>
        <v/>
      </c>
      <c r="R214" s="28" t="str">
        <f aca="false">IF(A214="","",COUNTIFS(Socios!$A:$A,A214,Socios!$K:$K,"SIM"))</f>
        <v/>
      </c>
      <c r="S214" s="27"/>
      <c r="T214" s="5"/>
    </row>
    <row r="215" customFormat="false" ht="15" hidden="false" customHeight="false" outlineLevel="0" collapsed="false">
      <c r="A215" s="27"/>
      <c r="B215" s="5"/>
      <c r="C215" s="18"/>
      <c r="D215" s="5"/>
      <c r="E215" s="35"/>
      <c r="F215" s="5"/>
      <c r="G215" s="5"/>
      <c r="H215" s="5"/>
      <c r="I215" s="14"/>
      <c r="J215" s="14"/>
      <c r="K215" s="28" t="str">
        <f aca="false">IF(A215="","",COUNTIF(Contratos!$A:$A,A215))</f>
        <v/>
      </c>
      <c r="L215" s="39" t="str">
        <f aca="false">IF(A215="","",SUMIFS(Contratos!$D:$D,Contratos!$A:$A,A215)+SUMIFS(Contratos!$N:$N,Contratos!$A:$A,A215))</f>
        <v/>
      </c>
      <c r="M215" s="39" t="str">
        <f aca="false">IF(A215="","",SUMIFS(Pagamentos!$C:$C,Pagamentos!$A:$A,A215,Pagamentos!$F:$F,"Empenho"))</f>
        <v/>
      </c>
      <c r="N215" s="39" t="str">
        <f aca="false">IF(A215="","",SUMIFS(Pagamentos!$C:$C,Pagamentos!$A:$A,A215,Pagamentos!$F:$F,"Pagamento"))</f>
        <v/>
      </c>
      <c r="O215" s="37" t="str">
        <f aca="false">IF(OR(A215="",E215="",L215="",L215=0),"",E215/L215)</f>
        <v/>
      </c>
      <c r="P215" s="28" t="str">
        <f aca="false">IF(A215="","",COUNTIFS(Sancoes!$A:$A,A215,Sancoes!$B:$B,"&lt;&gt;Não consta"))</f>
        <v/>
      </c>
      <c r="Q215" s="28" t="str">
        <f aca="false">IF(A215="","",COUNTIF(Socios!$A:$A,A215))</f>
        <v/>
      </c>
      <c r="R215" s="28" t="str">
        <f aca="false">IF(A215="","",COUNTIFS(Socios!$A:$A,A215,Socios!$K:$K,"SIM"))</f>
        <v/>
      </c>
      <c r="S215" s="27"/>
      <c r="T215" s="5"/>
    </row>
    <row r="216" customFormat="false" ht="15" hidden="false" customHeight="false" outlineLevel="0" collapsed="false">
      <c r="A216" s="27"/>
      <c r="B216" s="5"/>
      <c r="C216" s="18"/>
      <c r="D216" s="5"/>
      <c r="E216" s="35"/>
      <c r="F216" s="5"/>
      <c r="G216" s="5"/>
      <c r="H216" s="5"/>
      <c r="I216" s="14"/>
      <c r="J216" s="14"/>
      <c r="K216" s="28" t="str">
        <f aca="false">IF(A216="","",COUNTIF(Contratos!$A:$A,A216))</f>
        <v/>
      </c>
      <c r="L216" s="39" t="str">
        <f aca="false">IF(A216="","",SUMIFS(Contratos!$D:$D,Contratos!$A:$A,A216)+SUMIFS(Contratos!$N:$N,Contratos!$A:$A,A216))</f>
        <v/>
      </c>
      <c r="M216" s="39" t="str">
        <f aca="false">IF(A216="","",SUMIFS(Pagamentos!$C:$C,Pagamentos!$A:$A,A216,Pagamentos!$F:$F,"Empenho"))</f>
        <v/>
      </c>
      <c r="N216" s="39" t="str">
        <f aca="false">IF(A216="","",SUMIFS(Pagamentos!$C:$C,Pagamentos!$A:$A,A216,Pagamentos!$F:$F,"Pagamento"))</f>
        <v/>
      </c>
      <c r="O216" s="37" t="str">
        <f aca="false">IF(OR(A216="",E216="",L216="",L216=0),"",E216/L216)</f>
        <v/>
      </c>
      <c r="P216" s="28" t="str">
        <f aca="false">IF(A216="","",COUNTIFS(Sancoes!$A:$A,A216,Sancoes!$B:$B,"&lt;&gt;Não consta"))</f>
        <v/>
      </c>
      <c r="Q216" s="28" t="str">
        <f aca="false">IF(A216="","",COUNTIF(Socios!$A:$A,A216))</f>
        <v/>
      </c>
      <c r="R216" s="28" t="str">
        <f aca="false">IF(A216="","",COUNTIFS(Socios!$A:$A,A216,Socios!$K:$K,"SIM"))</f>
        <v/>
      </c>
      <c r="S216" s="27"/>
      <c r="T216" s="5"/>
    </row>
    <row r="217" customFormat="false" ht="15" hidden="false" customHeight="false" outlineLevel="0" collapsed="false">
      <c r="A217" s="27"/>
      <c r="B217" s="5"/>
      <c r="C217" s="18"/>
      <c r="D217" s="5"/>
      <c r="E217" s="35"/>
      <c r="F217" s="5"/>
      <c r="G217" s="5"/>
      <c r="H217" s="5"/>
      <c r="I217" s="14"/>
      <c r="J217" s="14"/>
      <c r="K217" s="28" t="str">
        <f aca="false">IF(A217="","",COUNTIF(Contratos!$A:$A,A217))</f>
        <v/>
      </c>
      <c r="L217" s="39" t="str">
        <f aca="false">IF(A217="","",SUMIFS(Contratos!$D:$D,Contratos!$A:$A,A217)+SUMIFS(Contratos!$N:$N,Contratos!$A:$A,A217))</f>
        <v/>
      </c>
      <c r="M217" s="39" t="str">
        <f aca="false">IF(A217="","",SUMIFS(Pagamentos!$C:$C,Pagamentos!$A:$A,A217,Pagamentos!$F:$F,"Empenho"))</f>
        <v/>
      </c>
      <c r="N217" s="39" t="str">
        <f aca="false">IF(A217="","",SUMIFS(Pagamentos!$C:$C,Pagamentos!$A:$A,A217,Pagamentos!$F:$F,"Pagamento"))</f>
        <v/>
      </c>
      <c r="O217" s="37" t="str">
        <f aca="false">IF(OR(A217="",E217="",L217="",L217=0),"",E217/L217)</f>
        <v/>
      </c>
      <c r="P217" s="28" t="str">
        <f aca="false">IF(A217="","",COUNTIFS(Sancoes!$A:$A,A217,Sancoes!$B:$B,"&lt;&gt;Não consta"))</f>
        <v/>
      </c>
      <c r="Q217" s="28" t="str">
        <f aca="false">IF(A217="","",COUNTIF(Socios!$A:$A,A217))</f>
        <v/>
      </c>
      <c r="R217" s="28" t="str">
        <f aca="false">IF(A217="","",COUNTIFS(Socios!$A:$A,A217,Socios!$K:$K,"SIM"))</f>
        <v/>
      </c>
      <c r="S217" s="27"/>
      <c r="T217" s="5"/>
    </row>
    <row r="218" customFormat="false" ht="15" hidden="false" customHeight="false" outlineLevel="0" collapsed="false">
      <c r="A218" s="27"/>
      <c r="B218" s="5"/>
      <c r="C218" s="18"/>
      <c r="D218" s="5"/>
      <c r="E218" s="35"/>
      <c r="F218" s="5"/>
      <c r="G218" s="5"/>
      <c r="H218" s="5"/>
      <c r="I218" s="14"/>
      <c r="J218" s="14"/>
      <c r="K218" s="28" t="str">
        <f aca="false">IF(A218="","",COUNTIF(Contratos!$A:$A,A218))</f>
        <v/>
      </c>
      <c r="L218" s="39" t="str">
        <f aca="false">IF(A218="","",SUMIFS(Contratos!$D:$D,Contratos!$A:$A,A218)+SUMIFS(Contratos!$N:$N,Contratos!$A:$A,A218))</f>
        <v/>
      </c>
      <c r="M218" s="39" t="str">
        <f aca="false">IF(A218="","",SUMIFS(Pagamentos!$C:$C,Pagamentos!$A:$A,A218,Pagamentos!$F:$F,"Empenho"))</f>
        <v/>
      </c>
      <c r="N218" s="39" t="str">
        <f aca="false">IF(A218="","",SUMIFS(Pagamentos!$C:$C,Pagamentos!$A:$A,A218,Pagamentos!$F:$F,"Pagamento"))</f>
        <v/>
      </c>
      <c r="O218" s="37" t="str">
        <f aca="false">IF(OR(A218="",E218="",L218="",L218=0),"",E218/L218)</f>
        <v/>
      </c>
      <c r="P218" s="28" t="str">
        <f aca="false">IF(A218="","",COUNTIFS(Sancoes!$A:$A,A218,Sancoes!$B:$B,"&lt;&gt;Não consta"))</f>
        <v/>
      </c>
      <c r="Q218" s="28" t="str">
        <f aca="false">IF(A218="","",COUNTIF(Socios!$A:$A,A218))</f>
        <v/>
      </c>
      <c r="R218" s="28" t="str">
        <f aca="false">IF(A218="","",COUNTIFS(Socios!$A:$A,A218,Socios!$K:$K,"SIM"))</f>
        <v/>
      </c>
      <c r="S218" s="27"/>
      <c r="T218" s="5"/>
    </row>
    <row r="219" customFormat="false" ht="15" hidden="false" customHeight="false" outlineLevel="0" collapsed="false">
      <c r="A219" s="27"/>
      <c r="B219" s="5"/>
      <c r="C219" s="18"/>
      <c r="D219" s="5"/>
      <c r="E219" s="35"/>
      <c r="F219" s="5"/>
      <c r="G219" s="5"/>
      <c r="H219" s="5"/>
      <c r="I219" s="14"/>
      <c r="J219" s="14"/>
      <c r="K219" s="28" t="str">
        <f aca="false">IF(A219="","",COUNTIF(Contratos!$A:$A,A219))</f>
        <v/>
      </c>
      <c r="L219" s="39" t="str">
        <f aca="false">IF(A219="","",SUMIFS(Contratos!$D:$D,Contratos!$A:$A,A219)+SUMIFS(Contratos!$N:$N,Contratos!$A:$A,A219))</f>
        <v/>
      </c>
      <c r="M219" s="39" t="str">
        <f aca="false">IF(A219="","",SUMIFS(Pagamentos!$C:$C,Pagamentos!$A:$A,A219,Pagamentos!$F:$F,"Empenho"))</f>
        <v/>
      </c>
      <c r="N219" s="39" t="str">
        <f aca="false">IF(A219="","",SUMIFS(Pagamentos!$C:$C,Pagamentos!$A:$A,A219,Pagamentos!$F:$F,"Pagamento"))</f>
        <v/>
      </c>
      <c r="O219" s="37" t="str">
        <f aca="false">IF(OR(A219="",E219="",L219="",L219=0),"",E219/L219)</f>
        <v/>
      </c>
      <c r="P219" s="28" t="str">
        <f aca="false">IF(A219="","",COUNTIFS(Sancoes!$A:$A,A219,Sancoes!$B:$B,"&lt;&gt;Não consta"))</f>
        <v/>
      </c>
      <c r="Q219" s="28" t="str">
        <f aca="false">IF(A219="","",COUNTIF(Socios!$A:$A,A219))</f>
        <v/>
      </c>
      <c r="R219" s="28" t="str">
        <f aca="false">IF(A219="","",COUNTIFS(Socios!$A:$A,A219,Socios!$K:$K,"SIM"))</f>
        <v/>
      </c>
      <c r="S219" s="27"/>
      <c r="T219" s="5"/>
    </row>
    <row r="220" customFormat="false" ht="15" hidden="false" customHeight="false" outlineLevel="0" collapsed="false">
      <c r="A220" s="27"/>
      <c r="B220" s="5"/>
      <c r="C220" s="18"/>
      <c r="D220" s="5"/>
      <c r="E220" s="35"/>
      <c r="F220" s="5"/>
      <c r="G220" s="5"/>
      <c r="H220" s="5"/>
      <c r="I220" s="14"/>
      <c r="J220" s="14"/>
      <c r="K220" s="28" t="str">
        <f aca="false">IF(A220="","",COUNTIF(Contratos!$A:$A,A220))</f>
        <v/>
      </c>
      <c r="L220" s="39" t="str">
        <f aca="false">IF(A220="","",SUMIFS(Contratos!$D:$D,Contratos!$A:$A,A220)+SUMIFS(Contratos!$N:$N,Contratos!$A:$A,A220))</f>
        <v/>
      </c>
      <c r="M220" s="39" t="str">
        <f aca="false">IF(A220="","",SUMIFS(Pagamentos!$C:$C,Pagamentos!$A:$A,A220,Pagamentos!$F:$F,"Empenho"))</f>
        <v/>
      </c>
      <c r="N220" s="39" t="str">
        <f aca="false">IF(A220="","",SUMIFS(Pagamentos!$C:$C,Pagamentos!$A:$A,A220,Pagamentos!$F:$F,"Pagamento"))</f>
        <v/>
      </c>
      <c r="O220" s="37" t="str">
        <f aca="false">IF(OR(A220="",E220="",L220="",L220=0),"",E220/L220)</f>
        <v/>
      </c>
      <c r="P220" s="28" t="str">
        <f aca="false">IF(A220="","",COUNTIFS(Sancoes!$A:$A,A220,Sancoes!$B:$B,"&lt;&gt;Não consta"))</f>
        <v/>
      </c>
      <c r="Q220" s="28" t="str">
        <f aca="false">IF(A220="","",COUNTIF(Socios!$A:$A,A220))</f>
        <v/>
      </c>
      <c r="R220" s="28" t="str">
        <f aca="false">IF(A220="","",COUNTIFS(Socios!$A:$A,A220,Socios!$K:$K,"SIM"))</f>
        <v/>
      </c>
      <c r="S220" s="27"/>
      <c r="T220" s="5"/>
    </row>
    <row r="221" customFormat="false" ht="15" hidden="false" customHeight="false" outlineLevel="0" collapsed="false">
      <c r="A221" s="27"/>
      <c r="B221" s="5"/>
      <c r="C221" s="18"/>
      <c r="D221" s="5"/>
      <c r="E221" s="35"/>
      <c r="F221" s="5"/>
      <c r="G221" s="5"/>
      <c r="H221" s="5"/>
      <c r="I221" s="14"/>
      <c r="J221" s="14"/>
      <c r="K221" s="28" t="str">
        <f aca="false">IF(A221="","",COUNTIF(Contratos!$A:$A,A221))</f>
        <v/>
      </c>
      <c r="L221" s="39" t="str">
        <f aca="false">IF(A221="","",SUMIFS(Contratos!$D:$D,Contratos!$A:$A,A221)+SUMIFS(Contratos!$N:$N,Contratos!$A:$A,A221))</f>
        <v/>
      </c>
      <c r="M221" s="39" t="str">
        <f aca="false">IF(A221="","",SUMIFS(Pagamentos!$C:$C,Pagamentos!$A:$A,A221,Pagamentos!$F:$F,"Empenho"))</f>
        <v/>
      </c>
      <c r="N221" s="39" t="str">
        <f aca="false">IF(A221="","",SUMIFS(Pagamentos!$C:$C,Pagamentos!$A:$A,A221,Pagamentos!$F:$F,"Pagamento"))</f>
        <v/>
      </c>
      <c r="O221" s="37" t="str">
        <f aca="false">IF(OR(A221="",E221="",L221="",L221=0),"",E221/L221)</f>
        <v/>
      </c>
      <c r="P221" s="28" t="str">
        <f aca="false">IF(A221="","",COUNTIFS(Sancoes!$A:$A,A221,Sancoes!$B:$B,"&lt;&gt;Não consta"))</f>
        <v/>
      </c>
      <c r="Q221" s="28" t="str">
        <f aca="false">IF(A221="","",COUNTIF(Socios!$A:$A,A221))</f>
        <v/>
      </c>
      <c r="R221" s="28" t="str">
        <f aca="false">IF(A221="","",COUNTIFS(Socios!$A:$A,A221,Socios!$K:$K,"SIM"))</f>
        <v/>
      </c>
      <c r="S221" s="27"/>
      <c r="T221" s="5"/>
    </row>
    <row r="222" customFormat="false" ht="15" hidden="false" customHeight="false" outlineLevel="0" collapsed="false">
      <c r="A222" s="27"/>
      <c r="B222" s="5"/>
      <c r="C222" s="18"/>
      <c r="D222" s="5"/>
      <c r="E222" s="35"/>
      <c r="F222" s="5"/>
      <c r="G222" s="5"/>
      <c r="H222" s="5"/>
      <c r="I222" s="14"/>
      <c r="J222" s="14"/>
      <c r="K222" s="28" t="str">
        <f aca="false">IF(A222="","",COUNTIF(Contratos!$A:$A,A222))</f>
        <v/>
      </c>
      <c r="L222" s="39" t="str">
        <f aca="false">IF(A222="","",SUMIFS(Contratos!$D:$D,Contratos!$A:$A,A222)+SUMIFS(Contratos!$N:$N,Contratos!$A:$A,A222))</f>
        <v/>
      </c>
      <c r="M222" s="39" t="str">
        <f aca="false">IF(A222="","",SUMIFS(Pagamentos!$C:$C,Pagamentos!$A:$A,A222,Pagamentos!$F:$F,"Empenho"))</f>
        <v/>
      </c>
      <c r="N222" s="39" t="str">
        <f aca="false">IF(A222="","",SUMIFS(Pagamentos!$C:$C,Pagamentos!$A:$A,A222,Pagamentos!$F:$F,"Pagamento"))</f>
        <v/>
      </c>
      <c r="O222" s="37" t="str">
        <f aca="false">IF(OR(A222="",E222="",L222="",L222=0),"",E222/L222)</f>
        <v/>
      </c>
      <c r="P222" s="28" t="str">
        <f aca="false">IF(A222="","",COUNTIFS(Sancoes!$A:$A,A222,Sancoes!$B:$B,"&lt;&gt;Não consta"))</f>
        <v/>
      </c>
      <c r="Q222" s="28" t="str">
        <f aca="false">IF(A222="","",COUNTIF(Socios!$A:$A,A222))</f>
        <v/>
      </c>
      <c r="R222" s="28" t="str">
        <f aca="false">IF(A222="","",COUNTIFS(Socios!$A:$A,A222,Socios!$K:$K,"SIM"))</f>
        <v/>
      </c>
      <c r="S222" s="27"/>
      <c r="T222" s="5"/>
    </row>
    <row r="223" customFormat="false" ht="15" hidden="false" customHeight="false" outlineLevel="0" collapsed="false">
      <c r="A223" s="27"/>
      <c r="B223" s="5"/>
      <c r="C223" s="18"/>
      <c r="D223" s="5"/>
      <c r="E223" s="35"/>
      <c r="F223" s="5"/>
      <c r="G223" s="5"/>
      <c r="H223" s="5"/>
      <c r="I223" s="14"/>
      <c r="J223" s="14"/>
      <c r="K223" s="28" t="str">
        <f aca="false">IF(A223="","",COUNTIF(Contratos!$A:$A,A223))</f>
        <v/>
      </c>
      <c r="L223" s="39" t="str">
        <f aca="false">IF(A223="","",SUMIFS(Contratos!$D:$D,Contratos!$A:$A,A223)+SUMIFS(Contratos!$N:$N,Contratos!$A:$A,A223))</f>
        <v/>
      </c>
      <c r="M223" s="39" t="str">
        <f aca="false">IF(A223="","",SUMIFS(Pagamentos!$C:$C,Pagamentos!$A:$A,A223,Pagamentos!$F:$F,"Empenho"))</f>
        <v/>
      </c>
      <c r="N223" s="39" t="str">
        <f aca="false">IF(A223="","",SUMIFS(Pagamentos!$C:$C,Pagamentos!$A:$A,A223,Pagamentos!$F:$F,"Pagamento"))</f>
        <v/>
      </c>
      <c r="O223" s="37" t="str">
        <f aca="false">IF(OR(A223="",E223="",L223="",L223=0),"",E223/L223)</f>
        <v/>
      </c>
      <c r="P223" s="28" t="str">
        <f aca="false">IF(A223="","",COUNTIFS(Sancoes!$A:$A,A223,Sancoes!$B:$B,"&lt;&gt;Não consta"))</f>
        <v/>
      </c>
      <c r="Q223" s="28" t="str">
        <f aca="false">IF(A223="","",COUNTIF(Socios!$A:$A,A223))</f>
        <v/>
      </c>
      <c r="R223" s="28" t="str">
        <f aca="false">IF(A223="","",COUNTIFS(Socios!$A:$A,A223,Socios!$K:$K,"SIM"))</f>
        <v/>
      </c>
      <c r="S223" s="27"/>
      <c r="T223" s="5"/>
    </row>
    <row r="224" customFormat="false" ht="15" hidden="false" customHeight="false" outlineLevel="0" collapsed="false">
      <c r="A224" s="27"/>
      <c r="B224" s="5"/>
      <c r="C224" s="18"/>
      <c r="D224" s="5"/>
      <c r="E224" s="35"/>
      <c r="F224" s="5"/>
      <c r="G224" s="5"/>
      <c r="H224" s="5"/>
      <c r="I224" s="14"/>
      <c r="J224" s="14"/>
      <c r="K224" s="28" t="str">
        <f aca="false">IF(A224="","",COUNTIF(Contratos!$A:$A,A224))</f>
        <v/>
      </c>
      <c r="L224" s="39" t="str">
        <f aca="false">IF(A224="","",SUMIFS(Contratos!$D:$D,Contratos!$A:$A,A224)+SUMIFS(Contratos!$N:$N,Contratos!$A:$A,A224))</f>
        <v/>
      </c>
      <c r="M224" s="39" t="str">
        <f aca="false">IF(A224="","",SUMIFS(Pagamentos!$C:$C,Pagamentos!$A:$A,A224,Pagamentos!$F:$F,"Empenho"))</f>
        <v/>
      </c>
      <c r="N224" s="39" t="str">
        <f aca="false">IF(A224="","",SUMIFS(Pagamentos!$C:$C,Pagamentos!$A:$A,A224,Pagamentos!$F:$F,"Pagamento"))</f>
        <v/>
      </c>
      <c r="O224" s="37" t="str">
        <f aca="false">IF(OR(A224="",E224="",L224="",L224=0),"",E224/L224)</f>
        <v/>
      </c>
      <c r="P224" s="28" t="str">
        <f aca="false">IF(A224="","",COUNTIFS(Sancoes!$A:$A,A224,Sancoes!$B:$B,"&lt;&gt;Não consta"))</f>
        <v/>
      </c>
      <c r="Q224" s="28" t="str">
        <f aca="false">IF(A224="","",COUNTIF(Socios!$A:$A,A224))</f>
        <v/>
      </c>
      <c r="R224" s="28" t="str">
        <f aca="false">IF(A224="","",COUNTIFS(Socios!$A:$A,A224,Socios!$K:$K,"SIM"))</f>
        <v/>
      </c>
      <c r="S224" s="27"/>
      <c r="T224" s="5"/>
    </row>
    <row r="225" customFormat="false" ht="15" hidden="false" customHeight="false" outlineLevel="0" collapsed="false">
      <c r="A225" s="27"/>
      <c r="B225" s="5"/>
      <c r="C225" s="18"/>
      <c r="D225" s="5"/>
      <c r="E225" s="35"/>
      <c r="F225" s="5"/>
      <c r="G225" s="5"/>
      <c r="H225" s="5"/>
      <c r="I225" s="14"/>
      <c r="J225" s="14"/>
      <c r="K225" s="28" t="str">
        <f aca="false">IF(A225="","",COUNTIF(Contratos!$A:$A,A225))</f>
        <v/>
      </c>
      <c r="L225" s="39" t="str">
        <f aca="false">IF(A225="","",SUMIFS(Contratos!$D:$D,Contratos!$A:$A,A225)+SUMIFS(Contratos!$N:$N,Contratos!$A:$A,A225))</f>
        <v/>
      </c>
      <c r="M225" s="39" t="str">
        <f aca="false">IF(A225="","",SUMIFS(Pagamentos!$C:$C,Pagamentos!$A:$A,A225,Pagamentos!$F:$F,"Empenho"))</f>
        <v/>
      </c>
      <c r="N225" s="39" t="str">
        <f aca="false">IF(A225="","",SUMIFS(Pagamentos!$C:$C,Pagamentos!$A:$A,A225,Pagamentos!$F:$F,"Pagamento"))</f>
        <v/>
      </c>
      <c r="O225" s="37" t="str">
        <f aca="false">IF(OR(A225="",E225="",L225="",L225=0),"",E225/L225)</f>
        <v/>
      </c>
      <c r="P225" s="28" t="str">
        <f aca="false">IF(A225="","",COUNTIFS(Sancoes!$A:$A,A225,Sancoes!$B:$B,"&lt;&gt;Não consta"))</f>
        <v/>
      </c>
      <c r="Q225" s="28" t="str">
        <f aca="false">IF(A225="","",COUNTIF(Socios!$A:$A,A225))</f>
        <v/>
      </c>
      <c r="R225" s="28" t="str">
        <f aca="false">IF(A225="","",COUNTIFS(Socios!$A:$A,A225,Socios!$K:$K,"SIM"))</f>
        <v/>
      </c>
      <c r="S225" s="27"/>
      <c r="T225" s="5"/>
    </row>
    <row r="226" customFormat="false" ht="15" hidden="false" customHeight="false" outlineLevel="0" collapsed="false">
      <c r="A226" s="27"/>
      <c r="B226" s="5"/>
      <c r="C226" s="18"/>
      <c r="D226" s="5"/>
      <c r="E226" s="35"/>
      <c r="F226" s="5"/>
      <c r="G226" s="5"/>
      <c r="H226" s="5"/>
      <c r="I226" s="14"/>
      <c r="J226" s="14"/>
      <c r="K226" s="28" t="str">
        <f aca="false">IF(A226="","",COUNTIF(Contratos!$A:$A,A226))</f>
        <v/>
      </c>
      <c r="L226" s="39" t="str">
        <f aca="false">IF(A226="","",SUMIFS(Contratos!$D:$D,Contratos!$A:$A,A226)+SUMIFS(Contratos!$N:$N,Contratos!$A:$A,A226))</f>
        <v/>
      </c>
      <c r="M226" s="39" t="str">
        <f aca="false">IF(A226="","",SUMIFS(Pagamentos!$C:$C,Pagamentos!$A:$A,A226,Pagamentos!$F:$F,"Empenho"))</f>
        <v/>
      </c>
      <c r="N226" s="39" t="str">
        <f aca="false">IF(A226="","",SUMIFS(Pagamentos!$C:$C,Pagamentos!$A:$A,A226,Pagamentos!$F:$F,"Pagamento"))</f>
        <v/>
      </c>
      <c r="O226" s="37" t="str">
        <f aca="false">IF(OR(A226="",E226="",L226="",L226=0),"",E226/L226)</f>
        <v/>
      </c>
      <c r="P226" s="28" t="str">
        <f aca="false">IF(A226="","",COUNTIFS(Sancoes!$A:$A,A226,Sancoes!$B:$B,"&lt;&gt;Não consta"))</f>
        <v/>
      </c>
      <c r="Q226" s="28" t="str">
        <f aca="false">IF(A226="","",COUNTIF(Socios!$A:$A,A226))</f>
        <v/>
      </c>
      <c r="R226" s="28" t="str">
        <f aca="false">IF(A226="","",COUNTIFS(Socios!$A:$A,A226,Socios!$K:$K,"SIM"))</f>
        <v/>
      </c>
      <c r="S226" s="27"/>
      <c r="T226" s="5"/>
    </row>
    <row r="227" customFormat="false" ht="15" hidden="false" customHeight="false" outlineLevel="0" collapsed="false">
      <c r="A227" s="27"/>
      <c r="B227" s="5"/>
      <c r="C227" s="18"/>
      <c r="D227" s="5"/>
      <c r="E227" s="35"/>
      <c r="F227" s="5"/>
      <c r="G227" s="5"/>
      <c r="H227" s="5"/>
      <c r="I227" s="14"/>
      <c r="J227" s="14"/>
      <c r="K227" s="28" t="str">
        <f aca="false">IF(A227="","",COUNTIF(Contratos!$A:$A,A227))</f>
        <v/>
      </c>
      <c r="L227" s="39" t="str">
        <f aca="false">IF(A227="","",SUMIFS(Contratos!$D:$D,Contratos!$A:$A,A227)+SUMIFS(Contratos!$N:$N,Contratos!$A:$A,A227))</f>
        <v/>
      </c>
      <c r="M227" s="39" t="str">
        <f aca="false">IF(A227="","",SUMIFS(Pagamentos!$C:$C,Pagamentos!$A:$A,A227,Pagamentos!$F:$F,"Empenho"))</f>
        <v/>
      </c>
      <c r="N227" s="39" t="str">
        <f aca="false">IF(A227="","",SUMIFS(Pagamentos!$C:$C,Pagamentos!$A:$A,A227,Pagamentos!$F:$F,"Pagamento"))</f>
        <v/>
      </c>
      <c r="O227" s="37" t="str">
        <f aca="false">IF(OR(A227="",E227="",L227="",L227=0),"",E227/L227)</f>
        <v/>
      </c>
      <c r="P227" s="28" t="str">
        <f aca="false">IF(A227="","",COUNTIFS(Sancoes!$A:$A,A227,Sancoes!$B:$B,"&lt;&gt;Não consta"))</f>
        <v/>
      </c>
      <c r="Q227" s="28" t="str">
        <f aca="false">IF(A227="","",COUNTIF(Socios!$A:$A,A227))</f>
        <v/>
      </c>
      <c r="R227" s="28" t="str">
        <f aca="false">IF(A227="","",COUNTIFS(Socios!$A:$A,A227,Socios!$K:$K,"SIM"))</f>
        <v/>
      </c>
      <c r="S227" s="27"/>
      <c r="T227" s="5"/>
    </row>
    <row r="228" customFormat="false" ht="15" hidden="false" customHeight="false" outlineLevel="0" collapsed="false">
      <c r="A228" s="27"/>
      <c r="B228" s="5"/>
      <c r="C228" s="18"/>
      <c r="D228" s="5"/>
      <c r="E228" s="35"/>
      <c r="F228" s="5"/>
      <c r="G228" s="5"/>
      <c r="H228" s="5"/>
      <c r="I228" s="14"/>
      <c r="J228" s="14"/>
      <c r="K228" s="28" t="str">
        <f aca="false">IF(A228="","",COUNTIF(Contratos!$A:$A,A228))</f>
        <v/>
      </c>
      <c r="L228" s="39" t="str">
        <f aca="false">IF(A228="","",SUMIFS(Contratos!$D:$D,Contratos!$A:$A,A228)+SUMIFS(Contratos!$N:$N,Contratos!$A:$A,A228))</f>
        <v/>
      </c>
      <c r="M228" s="39" t="str">
        <f aca="false">IF(A228="","",SUMIFS(Pagamentos!$C:$C,Pagamentos!$A:$A,A228,Pagamentos!$F:$F,"Empenho"))</f>
        <v/>
      </c>
      <c r="N228" s="39" t="str">
        <f aca="false">IF(A228="","",SUMIFS(Pagamentos!$C:$C,Pagamentos!$A:$A,A228,Pagamentos!$F:$F,"Pagamento"))</f>
        <v/>
      </c>
      <c r="O228" s="37" t="str">
        <f aca="false">IF(OR(A228="",E228="",L228="",L228=0),"",E228/L228)</f>
        <v/>
      </c>
      <c r="P228" s="28" t="str">
        <f aca="false">IF(A228="","",COUNTIFS(Sancoes!$A:$A,A228,Sancoes!$B:$B,"&lt;&gt;Não consta"))</f>
        <v/>
      </c>
      <c r="Q228" s="28" t="str">
        <f aca="false">IF(A228="","",COUNTIF(Socios!$A:$A,A228))</f>
        <v/>
      </c>
      <c r="R228" s="28" t="str">
        <f aca="false">IF(A228="","",COUNTIFS(Socios!$A:$A,A228,Socios!$K:$K,"SIM"))</f>
        <v/>
      </c>
      <c r="S228" s="27"/>
      <c r="T228" s="5"/>
    </row>
    <row r="229" customFormat="false" ht="15" hidden="false" customHeight="false" outlineLevel="0" collapsed="false">
      <c r="A229" s="27"/>
      <c r="B229" s="5"/>
      <c r="C229" s="18"/>
      <c r="D229" s="5"/>
      <c r="E229" s="35"/>
      <c r="F229" s="5"/>
      <c r="G229" s="5"/>
      <c r="H229" s="5"/>
      <c r="I229" s="14"/>
      <c r="J229" s="14"/>
      <c r="K229" s="28" t="str">
        <f aca="false">IF(A229="","",COUNTIF(Contratos!$A:$A,A229))</f>
        <v/>
      </c>
      <c r="L229" s="39" t="str">
        <f aca="false">IF(A229="","",SUMIFS(Contratos!$D:$D,Contratos!$A:$A,A229)+SUMIFS(Contratos!$N:$N,Contratos!$A:$A,A229))</f>
        <v/>
      </c>
      <c r="M229" s="39" t="str">
        <f aca="false">IF(A229="","",SUMIFS(Pagamentos!$C:$C,Pagamentos!$A:$A,A229,Pagamentos!$F:$F,"Empenho"))</f>
        <v/>
      </c>
      <c r="N229" s="39" t="str">
        <f aca="false">IF(A229="","",SUMIFS(Pagamentos!$C:$C,Pagamentos!$A:$A,A229,Pagamentos!$F:$F,"Pagamento"))</f>
        <v/>
      </c>
      <c r="O229" s="37" t="str">
        <f aca="false">IF(OR(A229="",E229="",L229="",L229=0),"",E229/L229)</f>
        <v/>
      </c>
      <c r="P229" s="28" t="str">
        <f aca="false">IF(A229="","",COUNTIFS(Sancoes!$A:$A,A229,Sancoes!$B:$B,"&lt;&gt;Não consta"))</f>
        <v/>
      </c>
      <c r="Q229" s="28" t="str">
        <f aca="false">IF(A229="","",COUNTIF(Socios!$A:$A,A229))</f>
        <v/>
      </c>
      <c r="R229" s="28" t="str">
        <f aca="false">IF(A229="","",COUNTIFS(Socios!$A:$A,A229,Socios!$K:$K,"SIM"))</f>
        <v/>
      </c>
      <c r="S229" s="27"/>
      <c r="T229" s="5"/>
    </row>
    <row r="230" customFormat="false" ht="15" hidden="false" customHeight="false" outlineLevel="0" collapsed="false">
      <c r="A230" s="27"/>
      <c r="B230" s="5"/>
      <c r="C230" s="18"/>
      <c r="D230" s="5"/>
      <c r="E230" s="35"/>
      <c r="F230" s="5"/>
      <c r="G230" s="5"/>
      <c r="H230" s="5"/>
      <c r="I230" s="14"/>
      <c r="J230" s="14"/>
      <c r="K230" s="28" t="str">
        <f aca="false">IF(A230="","",COUNTIF(Contratos!$A:$A,A230))</f>
        <v/>
      </c>
      <c r="L230" s="39" t="str">
        <f aca="false">IF(A230="","",SUMIFS(Contratos!$D:$D,Contratos!$A:$A,A230)+SUMIFS(Contratos!$N:$N,Contratos!$A:$A,A230))</f>
        <v/>
      </c>
      <c r="M230" s="39" t="str">
        <f aca="false">IF(A230="","",SUMIFS(Pagamentos!$C:$C,Pagamentos!$A:$A,A230,Pagamentos!$F:$F,"Empenho"))</f>
        <v/>
      </c>
      <c r="N230" s="39" t="str">
        <f aca="false">IF(A230="","",SUMIFS(Pagamentos!$C:$C,Pagamentos!$A:$A,A230,Pagamentos!$F:$F,"Pagamento"))</f>
        <v/>
      </c>
      <c r="O230" s="37" t="str">
        <f aca="false">IF(OR(A230="",E230="",L230="",L230=0),"",E230/L230)</f>
        <v/>
      </c>
      <c r="P230" s="28" t="str">
        <f aca="false">IF(A230="","",COUNTIFS(Sancoes!$A:$A,A230,Sancoes!$B:$B,"&lt;&gt;Não consta"))</f>
        <v/>
      </c>
      <c r="Q230" s="28" t="str">
        <f aca="false">IF(A230="","",COUNTIF(Socios!$A:$A,A230))</f>
        <v/>
      </c>
      <c r="R230" s="28" t="str">
        <f aca="false">IF(A230="","",COUNTIFS(Socios!$A:$A,A230,Socios!$K:$K,"SIM"))</f>
        <v/>
      </c>
      <c r="S230" s="27"/>
      <c r="T230" s="5"/>
    </row>
    <row r="231" customFormat="false" ht="15" hidden="false" customHeight="false" outlineLevel="0" collapsed="false">
      <c r="A231" s="27"/>
      <c r="B231" s="5"/>
      <c r="C231" s="18"/>
      <c r="D231" s="5"/>
      <c r="E231" s="35"/>
      <c r="F231" s="5"/>
      <c r="G231" s="5"/>
      <c r="H231" s="5"/>
      <c r="I231" s="14"/>
      <c r="J231" s="14"/>
      <c r="K231" s="28" t="str">
        <f aca="false">IF(A231="","",COUNTIF(Contratos!$A:$A,A231))</f>
        <v/>
      </c>
      <c r="L231" s="39" t="str">
        <f aca="false">IF(A231="","",SUMIFS(Contratos!$D:$D,Contratos!$A:$A,A231)+SUMIFS(Contratos!$N:$N,Contratos!$A:$A,A231))</f>
        <v/>
      </c>
      <c r="M231" s="39" t="str">
        <f aca="false">IF(A231="","",SUMIFS(Pagamentos!$C:$C,Pagamentos!$A:$A,A231,Pagamentos!$F:$F,"Empenho"))</f>
        <v/>
      </c>
      <c r="N231" s="39" t="str">
        <f aca="false">IF(A231="","",SUMIFS(Pagamentos!$C:$C,Pagamentos!$A:$A,A231,Pagamentos!$F:$F,"Pagamento"))</f>
        <v/>
      </c>
      <c r="O231" s="37" t="str">
        <f aca="false">IF(OR(A231="",E231="",L231="",L231=0),"",E231/L231)</f>
        <v/>
      </c>
      <c r="P231" s="28" t="str">
        <f aca="false">IF(A231="","",COUNTIFS(Sancoes!$A:$A,A231,Sancoes!$B:$B,"&lt;&gt;Não consta"))</f>
        <v/>
      </c>
      <c r="Q231" s="28" t="str">
        <f aca="false">IF(A231="","",COUNTIF(Socios!$A:$A,A231))</f>
        <v/>
      </c>
      <c r="R231" s="28" t="str">
        <f aca="false">IF(A231="","",COUNTIFS(Socios!$A:$A,A231,Socios!$K:$K,"SIM"))</f>
        <v/>
      </c>
      <c r="S231" s="27"/>
      <c r="T231" s="5"/>
    </row>
    <row r="232" customFormat="false" ht="15" hidden="false" customHeight="false" outlineLevel="0" collapsed="false">
      <c r="A232" s="27"/>
      <c r="B232" s="5"/>
      <c r="C232" s="18"/>
      <c r="D232" s="5"/>
      <c r="E232" s="35"/>
      <c r="F232" s="5"/>
      <c r="G232" s="5"/>
      <c r="H232" s="5"/>
      <c r="I232" s="14"/>
      <c r="J232" s="14"/>
      <c r="K232" s="28" t="str">
        <f aca="false">IF(A232="","",COUNTIF(Contratos!$A:$A,A232))</f>
        <v/>
      </c>
      <c r="L232" s="39" t="str">
        <f aca="false">IF(A232="","",SUMIFS(Contratos!$D:$D,Contratos!$A:$A,A232)+SUMIFS(Contratos!$N:$N,Contratos!$A:$A,A232))</f>
        <v/>
      </c>
      <c r="M232" s="39" t="str">
        <f aca="false">IF(A232="","",SUMIFS(Pagamentos!$C:$C,Pagamentos!$A:$A,A232,Pagamentos!$F:$F,"Empenho"))</f>
        <v/>
      </c>
      <c r="N232" s="39" t="str">
        <f aca="false">IF(A232="","",SUMIFS(Pagamentos!$C:$C,Pagamentos!$A:$A,A232,Pagamentos!$F:$F,"Pagamento"))</f>
        <v/>
      </c>
      <c r="O232" s="37" t="str">
        <f aca="false">IF(OR(A232="",E232="",L232="",L232=0),"",E232/L232)</f>
        <v/>
      </c>
      <c r="P232" s="28" t="str">
        <f aca="false">IF(A232="","",COUNTIFS(Sancoes!$A:$A,A232,Sancoes!$B:$B,"&lt;&gt;Não consta"))</f>
        <v/>
      </c>
      <c r="Q232" s="28" t="str">
        <f aca="false">IF(A232="","",COUNTIF(Socios!$A:$A,A232))</f>
        <v/>
      </c>
      <c r="R232" s="28" t="str">
        <f aca="false">IF(A232="","",COUNTIFS(Socios!$A:$A,A232,Socios!$K:$K,"SIM"))</f>
        <v/>
      </c>
      <c r="S232" s="27"/>
      <c r="T232" s="5"/>
    </row>
    <row r="233" customFormat="false" ht="15" hidden="false" customHeight="false" outlineLevel="0" collapsed="false">
      <c r="A233" s="27"/>
      <c r="B233" s="5"/>
      <c r="C233" s="18"/>
      <c r="D233" s="5"/>
      <c r="E233" s="35"/>
      <c r="F233" s="5"/>
      <c r="G233" s="5"/>
      <c r="H233" s="5"/>
      <c r="I233" s="14"/>
      <c r="J233" s="14"/>
      <c r="K233" s="28" t="str">
        <f aca="false">IF(A233="","",COUNTIF(Contratos!$A:$A,A233))</f>
        <v/>
      </c>
      <c r="L233" s="39" t="str">
        <f aca="false">IF(A233="","",SUMIFS(Contratos!$D:$D,Contratos!$A:$A,A233)+SUMIFS(Contratos!$N:$N,Contratos!$A:$A,A233))</f>
        <v/>
      </c>
      <c r="M233" s="39" t="str">
        <f aca="false">IF(A233="","",SUMIFS(Pagamentos!$C:$C,Pagamentos!$A:$A,A233,Pagamentos!$F:$F,"Empenho"))</f>
        <v/>
      </c>
      <c r="N233" s="39" t="str">
        <f aca="false">IF(A233="","",SUMIFS(Pagamentos!$C:$C,Pagamentos!$A:$A,A233,Pagamentos!$F:$F,"Pagamento"))</f>
        <v/>
      </c>
      <c r="O233" s="37" t="str">
        <f aca="false">IF(OR(A233="",E233="",L233="",L233=0),"",E233/L233)</f>
        <v/>
      </c>
      <c r="P233" s="28" t="str">
        <f aca="false">IF(A233="","",COUNTIFS(Sancoes!$A:$A,A233,Sancoes!$B:$B,"&lt;&gt;Não consta"))</f>
        <v/>
      </c>
      <c r="Q233" s="28" t="str">
        <f aca="false">IF(A233="","",COUNTIF(Socios!$A:$A,A233))</f>
        <v/>
      </c>
      <c r="R233" s="28" t="str">
        <f aca="false">IF(A233="","",COUNTIFS(Socios!$A:$A,A233,Socios!$K:$K,"SIM"))</f>
        <v/>
      </c>
      <c r="S233" s="27"/>
      <c r="T233" s="5"/>
    </row>
    <row r="234" customFormat="false" ht="15" hidden="false" customHeight="false" outlineLevel="0" collapsed="false">
      <c r="A234" s="27"/>
      <c r="B234" s="5"/>
      <c r="C234" s="18"/>
      <c r="D234" s="5"/>
      <c r="E234" s="35"/>
      <c r="F234" s="5"/>
      <c r="G234" s="5"/>
      <c r="H234" s="5"/>
      <c r="I234" s="14"/>
      <c r="J234" s="14"/>
      <c r="K234" s="28" t="str">
        <f aca="false">IF(A234="","",COUNTIF(Contratos!$A:$A,A234))</f>
        <v/>
      </c>
      <c r="L234" s="39" t="str">
        <f aca="false">IF(A234="","",SUMIFS(Contratos!$D:$D,Contratos!$A:$A,A234)+SUMIFS(Contratos!$N:$N,Contratos!$A:$A,A234))</f>
        <v/>
      </c>
      <c r="M234" s="39" t="str">
        <f aca="false">IF(A234="","",SUMIFS(Pagamentos!$C:$C,Pagamentos!$A:$A,A234,Pagamentos!$F:$F,"Empenho"))</f>
        <v/>
      </c>
      <c r="N234" s="39" t="str">
        <f aca="false">IF(A234="","",SUMIFS(Pagamentos!$C:$C,Pagamentos!$A:$A,A234,Pagamentos!$F:$F,"Pagamento"))</f>
        <v/>
      </c>
      <c r="O234" s="37" t="str">
        <f aca="false">IF(OR(A234="",E234="",L234="",L234=0),"",E234/L234)</f>
        <v/>
      </c>
      <c r="P234" s="28" t="str">
        <f aca="false">IF(A234="","",COUNTIFS(Sancoes!$A:$A,A234,Sancoes!$B:$B,"&lt;&gt;Não consta"))</f>
        <v/>
      </c>
      <c r="Q234" s="28" t="str">
        <f aca="false">IF(A234="","",COUNTIF(Socios!$A:$A,A234))</f>
        <v/>
      </c>
      <c r="R234" s="28" t="str">
        <f aca="false">IF(A234="","",COUNTIFS(Socios!$A:$A,A234,Socios!$K:$K,"SIM"))</f>
        <v/>
      </c>
      <c r="S234" s="27"/>
      <c r="T234" s="5"/>
    </row>
    <row r="235" customFormat="false" ht="15" hidden="false" customHeight="false" outlineLevel="0" collapsed="false">
      <c r="A235" s="27"/>
      <c r="B235" s="5"/>
      <c r="C235" s="18"/>
      <c r="D235" s="5"/>
      <c r="E235" s="35"/>
      <c r="F235" s="5"/>
      <c r="G235" s="5"/>
      <c r="H235" s="5"/>
      <c r="I235" s="14"/>
      <c r="J235" s="14"/>
      <c r="K235" s="28" t="str">
        <f aca="false">IF(A235="","",COUNTIF(Contratos!$A:$A,A235))</f>
        <v/>
      </c>
      <c r="L235" s="39" t="str">
        <f aca="false">IF(A235="","",SUMIFS(Contratos!$D:$D,Contratos!$A:$A,A235)+SUMIFS(Contratos!$N:$N,Contratos!$A:$A,A235))</f>
        <v/>
      </c>
      <c r="M235" s="39" t="str">
        <f aca="false">IF(A235="","",SUMIFS(Pagamentos!$C:$C,Pagamentos!$A:$A,A235,Pagamentos!$F:$F,"Empenho"))</f>
        <v/>
      </c>
      <c r="N235" s="39" t="str">
        <f aca="false">IF(A235="","",SUMIFS(Pagamentos!$C:$C,Pagamentos!$A:$A,A235,Pagamentos!$F:$F,"Pagamento"))</f>
        <v/>
      </c>
      <c r="O235" s="37" t="str">
        <f aca="false">IF(OR(A235="",E235="",L235="",L235=0),"",E235/L235)</f>
        <v/>
      </c>
      <c r="P235" s="28" t="str">
        <f aca="false">IF(A235="","",COUNTIFS(Sancoes!$A:$A,A235,Sancoes!$B:$B,"&lt;&gt;Não consta"))</f>
        <v/>
      </c>
      <c r="Q235" s="28" t="str">
        <f aca="false">IF(A235="","",COUNTIF(Socios!$A:$A,A235))</f>
        <v/>
      </c>
      <c r="R235" s="28" t="str">
        <f aca="false">IF(A235="","",COUNTIFS(Socios!$A:$A,A235,Socios!$K:$K,"SIM"))</f>
        <v/>
      </c>
      <c r="S235" s="27"/>
      <c r="T235" s="5"/>
    </row>
    <row r="236" customFormat="false" ht="15" hidden="false" customHeight="false" outlineLevel="0" collapsed="false">
      <c r="A236" s="27"/>
      <c r="B236" s="5"/>
      <c r="C236" s="18"/>
      <c r="D236" s="5"/>
      <c r="E236" s="35"/>
      <c r="F236" s="5"/>
      <c r="G236" s="5"/>
      <c r="H236" s="5"/>
      <c r="I236" s="14"/>
      <c r="J236" s="14"/>
      <c r="K236" s="28" t="str">
        <f aca="false">IF(A236="","",COUNTIF(Contratos!$A:$A,A236))</f>
        <v/>
      </c>
      <c r="L236" s="39" t="str">
        <f aca="false">IF(A236="","",SUMIFS(Contratos!$D:$D,Contratos!$A:$A,A236)+SUMIFS(Contratos!$N:$N,Contratos!$A:$A,A236))</f>
        <v/>
      </c>
      <c r="M236" s="39" t="str">
        <f aca="false">IF(A236="","",SUMIFS(Pagamentos!$C:$C,Pagamentos!$A:$A,A236,Pagamentos!$F:$F,"Empenho"))</f>
        <v/>
      </c>
      <c r="N236" s="39" t="str">
        <f aca="false">IF(A236="","",SUMIFS(Pagamentos!$C:$C,Pagamentos!$A:$A,A236,Pagamentos!$F:$F,"Pagamento"))</f>
        <v/>
      </c>
      <c r="O236" s="37" t="str">
        <f aca="false">IF(OR(A236="",E236="",L236="",L236=0),"",E236/L236)</f>
        <v/>
      </c>
      <c r="P236" s="28" t="str">
        <f aca="false">IF(A236="","",COUNTIFS(Sancoes!$A:$A,A236,Sancoes!$B:$B,"&lt;&gt;Não consta"))</f>
        <v/>
      </c>
      <c r="Q236" s="28" t="str">
        <f aca="false">IF(A236="","",COUNTIF(Socios!$A:$A,A236))</f>
        <v/>
      </c>
      <c r="R236" s="28" t="str">
        <f aca="false">IF(A236="","",COUNTIFS(Socios!$A:$A,A236,Socios!$K:$K,"SIM"))</f>
        <v/>
      </c>
      <c r="S236" s="27"/>
      <c r="T236" s="5"/>
    </row>
    <row r="237" customFormat="false" ht="15" hidden="false" customHeight="false" outlineLevel="0" collapsed="false">
      <c r="A237" s="27"/>
      <c r="B237" s="5"/>
      <c r="C237" s="18"/>
      <c r="D237" s="5"/>
      <c r="E237" s="35"/>
      <c r="F237" s="5"/>
      <c r="G237" s="5"/>
      <c r="H237" s="5"/>
      <c r="I237" s="14"/>
      <c r="J237" s="14"/>
      <c r="K237" s="28" t="str">
        <f aca="false">IF(A237="","",COUNTIF(Contratos!$A:$A,A237))</f>
        <v/>
      </c>
      <c r="L237" s="39" t="str">
        <f aca="false">IF(A237="","",SUMIFS(Contratos!$D:$D,Contratos!$A:$A,A237)+SUMIFS(Contratos!$N:$N,Contratos!$A:$A,A237))</f>
        <v/>
      </c>
      <c r="M237" s="39" t="str">
        <f aca="false">IF(A237="","",SUMIFS(Pagamentos!$C:$C,Pagamentos!$A:$A,A237,Pagamentos!$F:$F,"Empenho"))</f>
        <v/>
      </c>
      <c r="N237" s="39" t="str">
        <f aca="false">IF(A237="","",SUMIFS(Pagamentos!$C:$C,Pagamentos!$A:$A,A237,Pagamentos!$F:$F,"Pagamento"))</f>
        <v/>
      </c>
      <c r="O237" s="37" t="str">
        <f aca="false">IF(OR(A237="",E237="",L237="",L237=0),"",E237/L237)</f>
        <v/>
      </c>
      <c r="P237" s="28" t="str">
        <f aca="false">IF(A237="","",COUNTIFS(Sancoes!$A:$A,A237,Sancoes!$B:$B,"&lt;&gt;Não consta"))</f>
        <v/>
      </c>
      <c r="Q237" s="28" t="str">
        <f aca="false">IF(A237="","",COUNTIF(Socios!$A:$A,A237))</f>
        <v/>
      </c>
      <c r="R237" s="28" t="str">
        <f aca="false">IF(A237="","",COUNTIFS(Socios!$A:$A,A237,Socios!$K:$K,"SIM"))</f>
        <v/>
      </c>
      <c r="S237" s="27"/>
      <c r="T237" s="5"/>
    </row>
    <row r="238" customFormat="false" ht="15" hidden="false" customHeight="false" outlineLevel="0" collapsed="false">
      <c r="A238" s="27"/>
      <c r="B238" s="5"/>
      <c r="C238" s="18"/>
      <c r="D238" s="5"/>
      <c r="E238" s="35"/>
      <c r="F238" s="5"/>
      <c r="G238" s="5"/>
      <c r="H238" s="5"/>
      <c r="I238" s="14"/>
      <c r="J238" s="14"/>
      <c r="K238" s="28" t="str">
        <f aca="false">IF(A238="","",COUNTIF(Contratos!$A:$A,A238))</f>
        <v/>
      </c>
      <c r="L238" s="39" t="str">
        <f aca="false">IF(A238="","",SUMIFS(Contratos!$D:$D,Contratos!$A:$A,A238)+SUMIFS(Contratos!$N:$N,Contratos!$A:$A,A238))</f>
        <v/>
      </c>
      <c r="M238" s="39" t="str">
        <f aca="false">IF(A238="","",SUMIFS(Pagamentos!$C:$C,Pagamentos!$A:$A,A238,Pagamentos!$F:$F,"Empenho"))</f>
        <v/>
      </c>
      <c r="N238" s="39" t="str">
        <f aca="false">IF(A238="","",SUMIFS(Pagamentos!$C:$C,Pagamentos!$A:$A,A238,Pagamentos!$F:$F,"Pagamento"))</f>
        <v/>
      </c>
      <c r="O238" s="37" t="str">
        <f aca="false">IF(OR(A238="",E238="",L238="",L238=0),"",E238/L238)</f>
        <v/>
      </c>
      <c r="P238" s="28" t="str">
        <f aca="false">IF(A238="","",COUNTIFS(Sancoes!$A:$A,A238,Sancoes!$B:$B,"&lt;&gt;Não consta"))</f>
        <v/>
      </c>
      <c r="Q238" s="28" t="str">
        <f aca="false">IF(A238="","",COUNTIF(Socios!$A:$A,A238))</f>
        <v/>
      </c>
      <c r="R238" s="28" t="str">
        <f aca="false">IF(A238="","",COUNTIFS(Socios!$A:$A,A238,Socios!$K:$K,"SIM"))</f>
        <v/>
      </c>
      <c r="S238" s="27"/>
      <c r="T238" s="5"/>
    </row>
    <row r="239" customFormat="false" ht="15" hidden="false" customHeight="false" outlineLevel="0" collapsed="false">
      <c r="A239" s="27"/>
      <c r="B239" s="5"/>
      <c r="C239" s="18"/>
      <c r="D239" s="5"/>
      <c r="E239" s="35"/>
      <c r="F239" s="5"/>
      <c r="G239" s="5"/>
      <c r="H239" s="5"/>
      <c r="I239" s="14"/>
      <c r="J239" s="14"/>
      <c r="K239" s="28" t="str">
        <f aca="false">IF(A239="","",COUNTIF(Contratos!$A:$A,A239))</f>
        <v/>
      </c>
      <c r="L239" s="39" t="str">
        <f aca="false">IF(A239="","",SUMIFS(Contratos!$D:$D,Contratos!$A:$A,A239)+SUMIFS(Contratos!$N:$N,Contratos!$A:$A,A239))</f>
        <v/>
      </c>
      <c r="M239" s="39" t="str">
        <f aca="false">IF(A239="","",SUMIFS(Pagamentos!$C:$C,Pagamentos!$A:$A,A239,Pagamentos!$F:$F,"Empenho"))</f>
        <v/>
      </c>
      <c r="N239" s="39" t="str">
        <f aca="false">IF(A239="","",SUMIFS(Pagamentos!$C:$C,Pagamentos!$A:$A,A239,Pagamentos!$F:$F,"Pagamento"))</f>
        <v/>
      </c>
      <c r="O239" s="37" t="str">
        <f aca="false">IF(OR(A239="",E239="",L239="",L239=0),"",E239/L239)</f>
        <v/>
      </c>
      <c r="P239" s="28" t="str">
        <f aca="false">IF(A239="","",COUNTIFS(Sancoes!$A:$A,A239,Sancoes!$B:$B,"&lt;&gt;Não consta"))</f>
        <v/>
      </c>
      <c r="Q239" s="28" t="str">
        <f aca="false">IF(A239="","",COUNTIF(Socios!$A:$A,A239))</f>
        <v/>
      </c>
      <c r="R239" s="28" t="str">
        <f aca="false">IF(A239="","",COUNTIFS(Socios!$A:$A,A239,Socios!$K:$K,"SIM"))</f>
        <v/>
      </c>
      <c r="S239" s="27"/>
      <c r="T239" s="5"/>
    </row>
    <row r="240" customFormat="false" ht="15" hidden="false" customHeight="false" outlineLevel="0" collapsed="false">
      <c r="A240" s="27"/>
      <c r="B240" s="5"/>
      <c r="C240" s="18"/>
      <c r="D240" s="5"/>
      <c r="E240" s="35"/>
      <c r="F240" s="5"/>
      <c r="G240" s="5"/>
      <c r="H240" s="5"/>
      <c r="I240" s="14"/>
      <c r="J240" s="14"/>
      <c r="K240" s="28" t="str">
        <f aca="false">IF(A240="","",COUNTIF(Contratos!$A:$A,A240))</f>
        <v/>
      </c>
      <c r="L240" s="39" t="str">
        <f aca="false">IF(A240="","",SUMIFS(Contratos!$D:$D,Contratos!$A:$A,A240)+SUMIFS(Contratos!$N:$N,Contratos!$A:$A,A240))</f>
        <v/>
      </c>
      <c r="M240" s="39" t="str">
        <f aca="false">IF(A240="","",SUMIFS(Pagamentos!$C:$C,Pagamentos!$A:$A,A240,Pagamentos!$F:$F,"Empenho"))</f>
        <v/>
      </c>
      <c r="N240" s="39" t="str">
        <f aca="false">IF(A240="","",SUMIFS(Pagamentos!$C:$C,Pagamentos!$A:$A,A240,Pagamentos!$F:$F,"Pagamento"))</f>
        <v/>
      </c>
      <c r="O240" s="37" t="str">
        <f aca="false">IF(OR(A240="",E240="",L240="",L240=0),"",E240/L240)</f>
        <v/>
      </c>
      <c r="P240" s="28" t="str">
        <f aca="false">IF(A240="","",COUNTIFS(Sancoes!$A:$A,A240,Sancoes!$B:$B,"&lt;&gt;Não consta"))</f>
        <v/>
      </c>
      <c r="Q240" s="28" t="str">
        <f aca="false">IF(A240="","",COUNTIF(Socios!$A:$A,A240))</f>
        <v/>
      </c>
      <c r="R240" s="28" t="str">
        <f aca="false">IF(A240="","",COUNTIFS(Socios!$A:$A,A240,Socios!$K:$K,"SIM"))</f>
        <v/>
      </c>
      <c r="S240" s="27"/>
      <c r="T240" s="5"/>
    </row>
    <row r="241" customFormat="false" ht="15" hidden="false" customHeight="false" outlineLevel="0" collapsed="false">
      <c r="A241" s="27"/>
      <c r="B241" s="5"/>
      <c r="C241" s="18"/>
      <c r="D241" s="5"/>
      <c r="E241" s="35"/>
      <c r="F241" s="5"/>
      <c r="G241" s="5"/>
      <c r="H241" s="5"/>
      <c r="I241" s="14"/>
      <c r="J241" s="14"/>
      <c r="K241" s="28" t="str">
        <f aca="false">IF(A241="","",COUNTIF(Contratos!$A:$A,A241))</f>
        <v/>
      </c>
      <c r="L241" s="39" t="str">
        <f aca="false">IF(A241="","",SUMIFS(Contratos!$D:$D,Contratos!$A:$A,A241)+SUMIFS(Contratos!$N:$N,Contratos!$A:$A,A241))</f>
        <v/>
      </c>
      <c r="M241" s="39" t="str">
        <f aca="false">IF(A241="","",SUMIFS(Pagamentos!$C:$C,Pagamentos!$A:$A,A241,Pagamentos!$F:$F,"Empenho"))</f>
        <v/>
      </c>
      <c r="N241" s="39" t="str">
        <f aca="false">IF(A241="","",SUMIFS(Pagamentos!$C:$C,Pagamentos!$A:$A,A241,Pagamentos!$F:$F,"Pagamento"))</f>
        <v/>
      </c>
      <c r="O241" s="37" t="str">
        <f aca="false">IF(OR(A241="",E241="",L241="",L241=0),"",E241/L241)</f>
        <v/>
      </c>
      <c r="P241" s="28" t="str">
        <f aca="false">IF(A241="","",COUNTIFS(Sancoes!$A:$A,A241,Sancoes!$B:$B,"&lt;&gt;Não consta"))</f>
        <v/>
      </c>
      <c r="Q241" s="28" t="str">
        <f aca="false">IF(A241="","",COUNTIF(Socios!$A:$A,A241))</f>
        <v/>
      </c>
      <c r="R241" s="28" t="str">
        <f aca="false">IF(A241="","",COUNTIFS(Socios!$A:$A,A241,Socios!$K:$K,"SIM"))</f>
        <v/>
      </c>
      <c r="S241" s="27"/>
      <c r="T241" s="5"/>
    </row>
    <row r="242" customFormat="false" ht="15" hidden="false" customHeight="false" outlineLevel="0" collapsed="false">
      <c r="A242" s="27"/>
      <c r="B242" s="5"/>
      <c r="C242" s="18"/>
      <c r="D242" s="5"/>
      <c r="E242" s="35"/>
      <c r="F242" s="5"/>
      <c r="G242" s="5"/>
      <c r="H242" s="5"/>
      <c r="I242" s="14"/>
      <c r="J242" s="14"/>
      <c r="K242" s="28" t="str">
        <f aca="false">IF(A242="","",COUNTIF(Contratos!$A:$A,A242))</f>
        <v/>
      </c>
      <c r="L242" s="39" t="str">
        <f aca="false">IF(A242="","",SUMIFS(Contratos!$D:$D,Contratos!$A:$A,A242)+SUMIFS(Contratos!$N:$N,Contratos!$A:$A,A242))</f>
        <v/>
      </c>
      <c r="M242" s="39" t="str">
        <f aca="false">IF(A242="","",SUMIFS(Pagamentos!$C:$C,Pagamentos!$A:$A,A242,Pagamentos!$F:$F,"Empenho"))</f>
        <v/>
      </c>
      <c r="N242" s="39" t="str">
        <f aca="false">IF(A242="","",SUMIFS(Pagamentos!$C:$C,Pagamentos!$A:$A,A242,Pagamentos!$F:$F,"Pagamento"))</f>
        <v/>
      </c>
      <c r="O242" s="37" t="str">
        <f aca="false">IF(OR(A242="",E242="",L242="",L242=0),"",E242/L242)</f>
        <v/>
      </c>
      <c r="P242" s="28" t="str">
        <f aca="false">IF(A242="","",COUNTIFS(Sancoes!$A:$A,A242,Sancoes!$B:$B,"&lt;&gt;Não consta"))</f>
        <v/>
      </c>
      <c r="Q242" s="28" t="str">
        <f aca="false">IF(A242="","",COUNTIF(Socios!$A:$A,A242))</f>
        <v/>
      </c>
      <c r="R242" s="28" t="str">
        <f aca="false">IF(A242="","",COUNTIFS(Socios!$A:$A,A242,Socios!$K:$K,"SIM"))</f>
        <v/>
      </c>
      <c r="S242" s="27"/>
      <c r="T242" s="5"/>
    </row>
    <row r="243" customFormat="false" ht="15" hidden="false" customHeight="false" outlineLevel="0" collapsed="false">
      <c r="A243" s="27"/>
      <c r="B243" s="5"/>
      <c r="C243" s="18"/>
      <c r="D243" s="5"/>
      <c r="E243" s="35"/>
      <c r="F243" s="5"/>
      <c r="G243" s="5"/>
      <c r="H243" s="5"/>
      <c r="I243" s="14"/>
      <c r="J243" s="14"/>
      <c r="K243" s="28" t="str">
        <f aca="false">IF(A243="","",COUNTIF(Contratos!$A:$A,A243))</f>
        <v/>
      </c>
      <c r="L243" s="39" t="str">
        <f aca="false">IF(A243="","",SUMIFS(Contratos!$D:$D,Contratos!$A:$A,A243)+SUMIFS(Contratos!$N:$N,Contratos!$A:$A,A243))</f>
        <v/>
      </c>
      <c r="M243" s="39" t="str">
        <f aca="false">IF(A243="","",SUMIFS(Pagamentos!$C:$C,Pagamentos!$A:$A,A243,Pagamentos!$F:$F,"Empenho"))</f>
        <v/>
      </c>
      <c r="N243" s="39" t="str">
        <f aca="false">IF(A243="","",SUMIFS(Pagamentos!$C:$C,Pagamentos!$A:$A,A243,Pagamentos!$F:$F,"Pagamento"))</f>
        <v/>
      </c>
      <c r="O243" s="37" t="str">
        <f aca="false">IF(OR(A243="",E243="",L243="",L243=0),"",E243/L243)</f>
        <v/>
      </c>
      <c r="P243" s="28" t="str">
        <f aca="false">IF(A243="","",COUNTIFS(Sancoes!$A:$A,A243,Sancoes!$B:$B,"&lt;&gt;Não consta"))</f>
        <v/>
      </c>
      <c r="Q243" s="28" t="str">
        <f aca="false">IF(A243="","",COUNTIF(Socios!$A:$A,A243))</f>
        <v/>
      </c>
      <c r="R243" s="28" t="str">
        <f aca="false">IF(A243="","",COUNTIFS(Socios!$A:$A,A243,Socios!$K:$K,"SIM"))</f>
        <v/>
      </c>
      <c r="S243" s="27"/>
      <c r="T243" s="5"/>
    </row>
    <row r="244" customFormat="false" ht="15" hidden="false" customHeight="false" outlineLevel="0" collapsed="false">
      <c r="A244" s="27"/>
      <c r="B244" s="5"/>
      <c r="C244" s="18"/>
      <c r="D244" s="5"/>
      <c r="E244" s="35"/>
      <c r="F244" s="5"/>
      <c r="G244" s="5"/>
      <c r="H244" s="5"/>
      <c r="I244" s="14"/>
      <c r="J244" s="14"/>
      <c r="K244" s="28" t="str">
        <f aca="false">IF(A244="","",COUNTIF(Contratos!$A:$A,A244))</f>
        <v/>
      </c>
      <c r="L244" s="39" t="str">
        <f aca="false">IF(A244="","",SUMIFS(Contratos!$D:$D,Contratos!$A:$A,A244)+SUMIFS(Contratos!$N:$N,Contratos!$A:$A,A244))</f>
        <v/>
      </c>
      <c r="M244" s="39" t="str">
        <f aca="false">IF(A244="","",SUMIFS(Pagamentos!$C:$C,Pagamentos!$A:$A,A244,Pagamentos!$F:$F,"Empenho"))</f>
        <v/>
      </c>
      <c r="N244" s="39" t="str">
        <f aca="false">IF(A244="","",SUMIFS(Pagamentos!$C:$C,Pagamentos!$A:$A,A244,Pagamentos!$F:$F,"Pagamento"))</f>
        <v/>
      </c>
      <c r="O244" s="37" t="str">
        <f aca="false">IF(OR(A244="",E244="",L244="",L244=0),"",E244/L244)</f>
        <v/>
      </c>
      <c r="P244" s="28" t="str">
        <f aca="false">IF(A244="","",COUNTIFS(Sancoes!$A:$A,A244,Sancoes!$B:$B,"&lt;&gt;Não consta"))</f>
        <v/>
      </c>
      <c r="Q244" s="28" t="str">
        <f aca="false">IF(A244="","",COUNTIF(Socios!$A:$A,A244))</f>
        <v/>
      </c>
      <c r="R244" s="28" t="str">
        <f aca="false">IF(A244="","",COUNTIFS(Socios!$A:$A,A244,Socios!$K:$K,"SIM"))</f>
        <v/>
      </c>
      <c r="S244" s="27"/>
      <c r="T244" s="5"/>
    </row>
    <row r="245" customFormat="false" ht="15" hidden="false" customHeight="false" outlineLevel="0" collapsed="false">
      <c r="A245" s="27"/>
      <c r="B245" s="5"/>
      <c r="C245" s="18"/>
      <c r="D245" s="5"/>
      <c r="E245" s="35"/>
      <c r="F245" s="5"/>
      <c r="G245" s="5"/>
      <c r="H245" s="5"/>
      <c r="I245" s="14"/>
      <c r="J245" s="14"/>
      <c r="K245" s="28" t="str">
        <f aca="false">IF(A245="","",COUNTIF(Contratos!$A:$A,A245))</f>
        <v/>
      </c>
      <c r="L245" s="39" t="str">
        <f aca="false">IF(A245="","",SUMIFS(Contratos!$D:$D,Contratos!$A:$A,A245)+SUMIFS(Contratos!$N:$N,Contratos!$A:$A,A245))</f>
        <v/>
      </c>
      <c r="M245" s="39" t="str">
        <f aca="false">IF(A245="","",SUMIFS(Pagamentos!$C:$C,Pagamentos!$A:$A,A245,Pagamentos!$F:$F,"Empenho"))</f>
        <v/>
      </c>
      <c r="N245" s="39" t="str">
        <f aca="false">IF(A245="","",SUMIFS(Pagamentos!$C:$C,Pagamentos!$A:$A,A245,Pagamentos!$F:$F,"Pagamento"))</f>
        <v/>
      </c>
      <c r="O245" s="37" t="str">
        <f aca="false">IF(OR(A245="",E245="",L245="",L245=0),"",E245/L245)</f>
        <v/>
      </c>
      <c r="P245" s="28" t="str">
        <f aca="false">IF(A245="","",COUNTIFS(Sancoes!$A:$A,A245,Sancoes!$B:$B,"&lt;&gt;Não consta"))</f>
        <v/>
      </c>
      <c r="Q245" s="28" t="str">
        <f aca="false">IF(A245="","",COUNTIF(Socios!$A:$A,A245))</f>
        <v/>
      </c>
      <c r="R245" s="28" t="str">
        <f aca="false">IF(A245="","",COUNTIFS(Socios!$A:$A,A245,Socios!$K:$K,"SIM"))</f>
        <v/>
      </c>
      <c r="S245" s="27"/>
      <c r="T245" s="5"/>
    </row>
    <row r="246" customFormat="false" ht="15" hidden="false" customHeight="false" outlineLevel="0" collapsed="false">
      <c r="A246" s="27"/>
      <c r="B246" s="5"/>
      <c r="C246" s="18"/>
      <c r="D246" s="5"/>
      <c r="E246" s="35"/>
      <c r="F246" s="5"/>
      <c r="G246" s="5"/>
      <c r="H246" s="5"/>
      <c r="I246" s="14"/>
      <c r="J246" s="14"/>
      <c r="K246" s="28" t="str">
        <f aca="false">IF(A246="","",COUNTIF(Contratos!$A:$A,A246))</f>
        <v/>
      </c>
      <c r="L246" s="39" t="str">
        <f aca="false">IF(A246="","",SUMIFS(Contratos!$D:$D,Contratos!$A:$A,A246)+SUMIFS(Contratos!$N:$N,Contratos!$A:$A,A246))</f>
        <v/>
      </c>
      <c r="M246" s="39" t="str">
        <f aca="false">IF(A246="","",SUMIFS(Pagamentos!$C:$C,Pagamentos!$A:$A,A246,Pagamentos!$F:$F,"Empenho"))</f>
        <v/>
      </c>
      <c r="N246" s="39" t="str">
        <f aca="false">IF(A246="","",SUMIFS(Pagamentos!$C:$C,Pagamentos!$A:$A,A246,Pagamentos!$F:$F,"Pagamento"))</f>
        <v/>
      </c>
      <c r="O246" s="37" t="str">
        <f aca="false">IF(OR(A246="",E246="",L246="",L246=0),"",E246/L246)</f>
        <v/>
      </c>
      <c r="P246" s="28" t="str">
        <f aca="false">IF(A246="","",COUNTIFS(Sancoes!$A:$A,A246,Sancoes!$B:$B,"&lt;&gt;Não consta"))</f>
        <v/>
      </c>
      <c r="Q246" s="28" t="str">
        <f aca="false">IF(A246="","",COUNTIF(Socios!$A:$A,A246))</f>
        <v/>
      </c>
      <c r="R246" s="28" t="str">
        <f aca="false">IF(A246="","",COUNTIFS(Socios!$A:$A,A246,Socios!$K:$K,"SIM"))</f>
        <v/>
      </c>
      <c r="S246" s="27"/>
      <c r="T246" s="5"/>
    </row>
    <row r="247" customFormat="false" ht="15" hidden="false" customHeight="false" outlineLevel="0" collapsed="false">
      <c r="A247" s="27"/>
      <c r="B247" s="5"/>
      <c r="C247" s="18"/>
      <c r="D247" s="5"/>
      <c r="E247" s="35"/>
      <c r="F247" s="5"/>
      <c r="G247" s="5"/>
      <c r="H247" s="5"/>
      <c r="I247" s="14"/>
      <c r="J247" s="14"/>
      <c r="K247" s="28" t="str">
        <f aca="false">IF(A247="","",COUNTIF(Contratos!$A:$A,A247))</f>
        <v/>
      </c>
      <c r="L247" s="39" t="str">
        <f aca="false">IF(A247="","",SUMIFS(Contratos!$D:$D,Contratos!$A:$A,A247)+SUMIFS(Contratos!$N:$N,Contratos!$A:$A,A247))</f>
        <v/>
      </c>
      <c r="M247" s="39" t="str">
        <f aca="false">IF(A247="","",SUMIFS(Pagamentos!$C:$C,Pagamentos!$A:$A,A247,Pagamentos!$F:$F,"Empenho"))</f>
        <v/>
      </c>
      <c r="N247" s="39" t="str">
        <f aca="false">IF(A247="","",SUMIFS(Pagamentos!$C:$C,Pagamentos!$A:$A,A247,Pagamentos!$F:$F,"Pagamento"))</f>
        <v/>
      </c>
      <c r="O247" s="37" t="str">
        <f aca="false">IF(OR(A247="",E247="",L247="",L247=0),"",E247/L247)</f>
        <v/>
      </c>
      <c r="P247" s="28" t="str">
        <f aca="false">IF(A247="","",COUNTIFS(Sancoes!$A:$A,A247,Sancoes!$B:$B,"&lt;&gt;Não consta"))</f>
        <v/>
      </c>
      <c r="Q247" s="28" t="str">
        <f aca="false">IF(A247="","",COUNTIF(Socios!$A:$A,A247))</f>
        <v/>
      </c>
      <c r="R247" s="28" t="str">
        <f aca="false">IF(A247="","",COUNTIFS(Socios!$A:$A,A247,Socios!$K:$K,"SIM"))</f>
        <v/>
      </c>
      <c r="S247" s="27"/>
      <c r="T247" s="5"/>
    </row>
    <row r="248" customFormat="false" ht="15" hidden="false" customHeight="false" outlineLevel="0" collapsed="false">
      <c r="A248" s="27"/>
      <c r="B248" s="5"/>
      <c r="C248" s="18"/>
      <c r="D248" s="5"/>
      <c r="E248" s="35"/>
      <c r="F248" s="5"/>
      <c r="G248" s="5"/>
      <c r="H248" s="5"/>
      <c r="I248" s="14"/>
      <c r="J248" s="14"/>
      <c r="K248" s="28" t="str">
        <f aca="false">IF(A248="","",COUNTIF(Contratos!$A:$A,A248))</f>
        <v/>
      </c>
      <c r="L248" s="39" t="str">
        <f aca="false">IF(A248="","",SUMIFS(Contratos!$D:$D,Contratos!$A:$A,A248)+SUMIFS(Contratos!$N:$N,Contratos!$A:$A,A248))</f>
        <v/>
      </c>
      <c r="M248" s="39" t="str">
        <f aca="false">IF(A248="","",SUMIFS(Pagamentos!$C:$C,Pagamentos!$A:$A,A248,Pagamentos!$F:$F,"Empenho"))</f>
        <v/>
      </c>
      <c r="N248" s="39" t="str">
        <f aca="false">IF(A248="","",SUMIFS(Pagamentos!$C:$C,Pagamentos!$A:$A,A248,Pagamentos!$F:$F,"Pagamento"))</f>
        <v/>
      </c>
      <c r="O248" s="37" t="str">
        <f aca="false">IF(OR(A248="",E248="",L248="",L248=0),"",E248/L248)</f>
        <v/>
      </c>
      <c r="P248" s="28" t="str">
        <f aca="false">IF(A248="","",COUNTIFS(Sancoes!$A:$A,A248,Sancoes!$B:$B,"&lt;&gt;Não consta"))</f>
        <v/>
      </c>
      <c r="Q248" s="28" t="str">
        <f aca="false">IF(A248="","",COUNTIF(Socios!$A:$A,A248))</f>
        <v/>
      </c>
      <c r="R248" s="28" t="str">
        <f aca="false">IF(A248="","",COUNTIFS(Socios!$A:$A,A248,Socios!$K:$K,"SIM"))</f>
        <v/>
      </c>
      <c r="S248" s="27"/>
      <c r="T248" s="5"/>
    </row>
    <row r="249" customFormat="false" ht="15" hidden="false" customHeight="false" outlineLevel="0" collapsed="false">
      <c r="A249" s="27"/>
      <c r="B249" s="5"/>
      <c r="C249" s="18"/>
      <c r="D249" s="5"/>
      <c r="E249" s="35"/>
      <c r="F249" s="5"/>
      <c r="G249" s="5"/>
      <c r="H249" s="5"/>
      <c r="I249" s="14"/>
      <c r="J249" s="14"/>
      <c r="K249" s="28" t="str">
        <f aca="false">IF(A249="","",COUNTIF(Contratos!$A:$A,A249))</f>
        <v/>
      </c>
      <c r="L249" s="39" t="str">
        <f aca="false">IF(A249="","",SUMIFS(Contratos!$D:$D,Contratos!$A:$A,A249)+SUMIFS(Contratos!$N:$N,Contratos!$A:$A,A249))</f>
        <v/>
      </c>
      <c r="M249" s="39" t="str">
        <f aca="false">IF(A249="","",SUMIFS(Pagamentos!$C:$C,Pagamentos!$A:$A,A249,Pagamentos!$F:$F,"Empenho"))</f>
        <v/>
      </c>
      <c r="N249" s="39" t="str">
        <f aca="false">IF(A249="","",SUMIFS(Pagamentos!$C:$C,Pagamentos!$A:$A,A249,Pagamentos!$F:$F,"Pagamento"))</f>
        <v/>
      </c>
      <c r="O249" s="37" t="str">
        <f aca="false">IF(OR(A249="",E249="",L249="",L249=0),"",E249/L249)</f>
        <v/>
      </c>
      <c r="P249" s="28" t="str">
        <f aca="false">IF(A249="","",COUNTIFS(Sancoes!$A:$A,A249,Sancoes!$B:$B,"&lt;&gt;Não consta"))</f>
        <v/>
      </c>
      <c r="Q249" s="28" t="str">
        <f aca="false">IF(A249="","",COUNTIF(Socios!$A:$A,A249))</f>
        <v/>
      </c>
      <c r="R249" s="28" t="str">
        <f aca="false">IF(A249="","",COUNTIFS(Socios!$A:$A,A249,Socios!$K:$K,"SIM"))</f>
        <v/>
      </c>
      <c r="S249" s="27"/>
      <c r="T249" s="5"/>
    </row>
    <row r="250" customFormat="false" ht="15" hidden="false" customHeight="false" outlineLevel="0" collapsed="false">
      <c r="A250" s="27"/>
      <c r="B250" s="5"/>
      <c r="C250" s="18"/>
      <c r="D250" s="5"/>
      <c r="E250" s="35"/>
      <c r="F250" s="5"/>
      <c r="G250" s="5"/>
      <c r="H250" s="5"/>
      <c r="I250" s="14"/>
      <c r="J250" s="14"/>
      <c r="K250" s="28" t="str">
        <f aca="false">IF(A250="","",COUNTIF(Contratos!$A:$A,A250))</f>
        <v/>
      </c>
      <c r="L250" s="39" t="str">
        <f aca="false">IF(A250="","",SUMIFS(Contratos!$D:$D,Contratos!$A:$A,A250)+SUMIFS(Contratos!$N:$N,Contratos!$A:$A,A250))</f>
        <v/>
      </c>
      <c r="M250" s="39" t="str">
        <f aca="false">IF(A250="","",SUMIFS(Pagamentos!$C:$C,Pagamentos!$A:$A,A250,Pagamentos!$F:$F,"Empenho"))</f>
        <v/>
      </c>
      <c r="N250" s="39" t="str">
        <f aca="false">IF(A250="","",SUMIFS(Pagamentos!$C:$C,Pagamentos!$A:$A,A250,Pagamentos!$F:$F,"Pagamento"))</f>
        <v/>
      </c>
      <c r="O250" s="37" t="str">
        <f aca="false">IF(OR(A250="",E250="",L250="",L250=0),"",E250/L250)</f>
        <v/>
      </c>
      <c r="P250" s="28" t="str">
        <f aca="false">IF(A250="","",COUNTIFS(Sancoes!$A:$A,A250,Sancoes!$B:$B,"&lt;&gt;Não consta"))</f>
        <v/>
      </c>
      <c r="Q250" s="28" t="str">
        <f aca="false">IF(A250="","",COUNTIF(Socios!$A:$A,A250))</f>
        <v/>
      </c>
      <c r="R250" s="28" t="str">
        <f aca="false">IF(A250="","",COUNTIFS(Socios!$A:$A,A250,Socios!$K:$K,"SIM"))</f>
        <v/>
      </c>
      <c r="S250" s="27"/>
      <c r="T250" s="5"/>
    </row>
    <row r="251" customFormat="false" ht="15" hidden="false" customHeight="false" outlineLevel="0" collapsed="false">
      <c r="A251" s="27"/>
      <c r="B251" s="5"/>
      <c r="C251" s="18"/>
      <c r="D251" s="5"/>
      <c r="E251" s="35"/>
      <c r="F251" s="5"/>
      <c r="G251" s="5"/>
      <c r="H251" s="5"/>
      <c r="I251" s="14"/>
      <c r="J251" s="14"/>
      <c r="K251" s="28" t="str">
        <f aca="false">IF(A251="","",COUNTIF(Contratos!$A:$A,A251))</f>
        <v/>
      </c>
      <c r="L251" s="39" t="str">
        <f aca="false">IF(A251="","",SUMIFS(Contratos!$D:$D,Contratos!$A:$A,A251)+SUMIFS(Contratos!$N:$N,Contratos!$A:$A,A251))</f>
        <v/>
      </c>
      <c r="M251" s="39" t="str">
        <f aca="false">IF(A251="","",SUMIFS(Pagamentos!$C:$C,Pagamentos!$A:$A,A251,Pagamentos!$F:$F,"Empenho"))</f>
        <v/>
      </c>
      <c r="N251" s="39" t="str">
        <f aca="false">IF(A251="","",SUMIFS(Pagamentos!$C:$C,Pagamentos!$A:$A,A251,Pagamentos!$F:$F,"Pagamento"))</f>
        <v/>
      </c>
      <c r="O251" s="37" t="str">
        <f aca="false">IF(OR(A251="",E251="",L251="",L251=0),"",E251/L251)</f>
        <v/>
      </c>
      <c r="P251" s="28" t="str">
        <f aca="false">IF(A251="","",COUNTIFS(Sancoes!$A:$A,A251,Sancoes!$B:$B,"&lt;&gt;Não consta"))</f>
        <v/>
      </c>
      <c r="Q251" s="28" t="str">
        <f aca="false">IF(A251="","",COUNTIF(Socios!$A:$A,A251))</f>
        <v/>
      </c>
      <c r="R251" s="28" t="str">
        <f aca="false">IF(A251="","",COUNTIFS(Socios!$A:$A,A251,Socios!$K:$K,"SIM"))</f>
        <v/>
      </c>
      <c r="S251" s="27"/>
      <c r="T251" s="5"/>
    </row>
    <row r="252" customFormat="false" ht="15" hidden="false" customHeight="false" outlineLevel="0" collapsed="false">
      <c r="A252" s="27"/>
      <c r="B252" s="5"/>
      <c r="C252" s="18"/>
      <c r="D252" s="5"/>
      <c r="E252" s="35"/>
      <c r="F252" s="5"/>
      <c r="G252" s="5"/>
      <c r="H252" s="5"/>
      <c r="I252" s="14"/>
      <c r="J252" s="14"/>
      <c r="K252" s="28" t="str">
        <f aca="false">IF(A252="","",COUNTIF(Contratos!$A:$A,A252))</f>
        <v/>
      </c>
      <c r="L252" s="39" t="str">
        <f aca="false">IF(A252="","",SUMIFS(Contratos!$D:$D,Contratos!$A:$A,A252)+SUMIFS(Contratos!$N:$N,Contratos!$A:$A,A252))</f>
        <v/>
      </c>
      <c r="M252" s="39" t="str">
        <f aca="false">IF(A252="","",SUMIFS(Pagamentos!$C:$C,Pagamentos!$A:$A,A252,Pagamentos!$F:$F,"Empenho"))</f>
        <v/>
      </c>
      <c r="N252" s="39" t="str">
        <f aca="false">IF(A252="","",SUMIFS(Pagamentos!$C:$C,Pagamentos!$A:$A,A252,Pagamentos!$F:$F,"Pagamento"))</f>
        <v/>
      </c>
      <c r="O252" s="37" t="str">
        <f aca="false">IF(OR(A252="",E252="",L252="",L252=0),"",E252/L252)</f>
        <v/>
      </c>
      <c r="P252" s="28" t="str">
        <f aca="false">IF(A252="","",COUNTIFS(Sancoes!$A:$A,A252,Sancoes!$B:$B,"&lt;&gt;Não consta"))</f>
        <v/>
      </c>
      <c r="Q252" s="28" t="str">
        <f aca="false">IF(A252="","",COUNTIF(Socios!$A:$A,A252))</f>
        <v/>
      </c>
      <c r="R252" s="28" t="str">
        <f aca="false">IF(A252="","",COUNTIFS(Socios!$A:$A,A252,Socios!$K:$K,"SIM"))</f>
        <v/>
      </c>
      <c r="S252" s="27"/>
      <c r="T252" s="5"/>
    </row>
    <row r="253" customFormat="false" ht="15" hidden="false" customHeight="false" outlineLevel="0" collapsed="false">
      <c r="A253" s="27"/>
      <c r="B253" s="5"/>
      <c r="C253" s="18"/>
      <c r="D253" s="5"/>
      <c r="E253" s="35"/>
      <c r="F253" s="5"/>
      <c r="G253" s="5"/>
      <c r="H253" s="5"/>
      <c r="I253" s="14"/>
      <c r="J253" s="14"/>
      <c r="K253" s="28" t="str">
        <f aca="false">IF(A253="","",COUNTIF(Contratos!$A:$A,A253))</f>
        <v/>
      </c>
      <c r="L253" s="39" t="str">
        <f aca="false">IF(A253="","",SUMIFS(Contratos!$D:$D,Contratos!$A:$A,A253)+SUMIFS(Contratos!$N:$N,Contratos!$A:$A,A253))</f>
        <v/>
      </c>
      <c r="M253" s="39" t="str">
        <f aca="false">IF(A253="","",SUMIFS(Pagamentos!$C:$C,Pagamentos!$A:$A,A253,Pagamentos!$F:$F,"Empenho"))</f>
        <v/>
      </c>
      <c r="N253" s="39" t="str">
        <f aca="false">IF(A253="","",SUMIFS(Pagamentos!$C:$C,Pagamentos!$A:$A,A253,Pagamentos!$F:$F,"Pagamento"))</f>
        <v/>
      </c>
      <c r="O253" s="37" t="str">
        <f aca="false">IF(OR(A253="",E253="",L253="",L253=0),"",E253/L253)</f>
        <v/>
      </c>
      <c r="P253" s="28" t="str">
        <f aca="false">IF(A253="","",COUNTIFS(Sancoes!$A:$A,A253,Sancoes!$B:$B,"&lt;&gt;Não consta"))</f>
        <v/>
      </c>
      <c r="Q253" s="28" t="str">
        <f aca="false">IF(A253="","",COUNTIF(Socios!$A:$A,A253))</f>
        <v/>
      </c>
      <c r="R253" s="28" t="str">
        <f aca="false">IF(A253="","",COUNTIFS(Socios!$A:$A,A253,Socios!$K:$K,"SIM"))</f>
        <v/>
      </c>
      <c r="S253" s="27"/>
      <c r="T253" s="5"/>
    </row>
    <row r="254" customFormat="false" ht="15" hidden="false" customHeight="false" outlineLevel="0" collapsed="false">
      <c r="A254" s="27"/>
      <c r="B254" s="5"/>
      <c r="C254" s="18"/>
      <c r="D254" s="5"/>
      <c r="E254" s="35"/>
      <c r="F254" s="5"/>
      <c r="G254" s="5"/>
      <c r="H254" s="5"/>
      <c r="I254" s="14"/>
      <c r="J254" s="14"/>
      <c r="K254" s="28" t="str">
        <f aca="false">IF(A254="","",COUNTIF(Contratos!$A:$A,A254))</f>
        <v/>
      </c>
      <c r="L254" s="39" t="str">
        <f aca="false">IF(A254="","",SUMIFS(Contratos!$D:$D,Contratos!$A:$A,A254)+SUMIFS(Contratos!$N:$N,Contratos!$A:$A,A254))</f>
        <v/>
      </c>
      <c r="M254" s="39" t="str">
        <f aca="false">IF(A254="","",SUMIFS(Pagamentos!$C:$C,Pagamentos!$A:$A,A254,Pagamentos!$F:$F,"Empenho"))</f>
        <v/>
      </c>
      <c r="N254" s="39" t="str">
        <f aca="false">IF(A254="","",SUMIFS(Pagamentos!$C:$C,Pagamentos!$A:$A,A254,Pagamentos!$F:$F,"Pagamento"))</f>
        <v/>
      </c>
      <c r="O254" s="37" t="str">
        <f aca="false">IF(OR(A254="",E254="",L254="",L254=0),"",E254/L254)</f>
        <v/>
      </c>
      <c r="P254" s="28" t="str">
        <f aca="false">IF(A254="","",COUNTIFS(Sancoes!$A:$A,A254,Sancoes!$B:$B,"&lt;&gt;Não consta"))</f>
        <v/>
      </c>
      <c r="Q254" s="28" t="str">
        <f aca="false">IF(A254="","",COUNTIF(Socios!$A:$A,A254))</f>
        <v/>
      </c>
      <c r="R254" s="28" t="str">
        <f aca="false">IF(A254="","",COUNTIFS(Socios!$A:$A,A254,Socios!$K:$K,"SIM"))</f>
        <v/>
      </c>
      <c r="S254" s="27"/>
      <c r="T254" s="5"/>
    </row>
    <row r="255" customFormat="false" ht="15" hidden="false" customHeight="false" outlineLevel="0" collapsed="false">
      <c r="A255" s="27"/>
      <c r="B255" s="5"/>
      <c r="C255" s="18"/>
      <c r="D255" s="5"/>
      <c r="E255" s="35"/>
      <c r="F255" s="5"/>
      <c r="G255" s="5"/>
      <c r="H255" s="5"/>
      <c r="I255" s="14"/>
      <c r="J255" s="14"/>
      <c r="K255" s="28" t="str">
        <f aca="false">IF(A255="","",COUNTIF(Contratos!$A:$A,A255))</f>
        <v/>
      </c>
      <c r="L255" s="39" t="str">
        <f aca="false">IF(A255="","",SUMIFS(Contratos!$D:$D,Contratos!$A:$A,A255)+SUMIFS(Contratos!$N:$N,Contratos!$A:$A,A255))</f>
        <v/>
      </c>
      <c r="M255" s="39" t="str">
        <f aca="false">IF(A255="","",SUMIFS(Pagamentos!$C:$C,Pagamentos!$A:$A,A255,Pagamentos!$F:$F,"Empenho"))</f>
        <v/>
      </c>
      <c r="N255" s="39" t="str">
        <f aca="false">IF(A255="","",SUMIFS(Pagamentos!$C:$C,Pagamentos!$A:$A,A255,Pagamentos!$F:$F,"Pagamento"))</f>
        <v/>
      </c>
      <c r="O255" s="37" t="str">
        <f aca="false">IF(OR(A255="",E255="",L255="",L255=0),"",E255/L255)</f>
        <v/>
      </c>
      <c r="P255" s="28" t="str">
        <f aca="false">IF(A255="","",COUNTIFS(Sancoes!$A:$A,A255,Sancoes!$B:$B,"&lt;&gt;Não consta"))</f>
        <v/>
      </c>
      <c r="Q255" s="28" t="str">
        <f aca="false">IF(A255="","",COUNTIF(Socios!$A:$A,A255))</f>
        <v/>
      </c>
      <c r="R255" s="28" t="str">
        <f aca="false">IF(A255="","",COUNTIFS(Socios!$A:$A,A255,Socios!$K:$K,"SIM"))</f>
        <v/>
      </c>
      <c r="S255" s="27"/>
      <c r="T255" s="5"/>
    </row>
    <row r="256" customFormat="false" ht="15" hidden="false" customHeight="false" outlineLevel="0" collapsed="false">
      <c r="A256" s="27"/>
      <c r="B256" s="5"/>
      <c r="C256" s="18"/>
      <c r="D256" s="5"/>
      <c r="E256" s="35"/>
      <c r="F256" s="5"/>
      <c r="G256" s="5"/>
      <c r="H256" s="5"/>
      <c r="I256" s="14"/>
      <c r="J256" s="14"/>
      <c r="K256" s="28" t="str">
        <f aca="false">IF(A256="","",COUNTIF(Contratos!$A:$A,A256))</f>
        <v/>
      </c>
      <c r="L256" s="39" t="str">
        <f aca="false">IF(A256="","",SUMIFS(Contratos!$D:$D,Contratos!$A:$A,A256)+SUMIFS(Contratos!$N:$N,Contratos!$A:$A,A256))</f>
        <v/>
      </c>
      <c r="M256" s="39" t="str">
        <f aca="false">IF(A256="","",SUMIFS(Pagamentos!$C:$C,Pagamentos!$A:$A,A256,Pagamentos!$F:$F,"Empenho"))</f>
        <v/>
      </c>
      <c r="N256" s="39" t="str">
        <f aca="false">IF(A256="","",SUMIFS(Pagamentos!$C:$C,Pagamentos!$A:$A,A256,Pagamentos!$F:$F,"Pagamento"))</f>
        <v/>
      </c>
      <c r="O256" s="37" t="str">
        <f aca="false">IF(OR(A256="",E256="",L256="",L256=0),"",E256/L256)</f>
        <v/>
      </c>
      <c r="P256" s="28" t="str">
        <f aca="false">IF(A256="","",COUNTIFS(Sancoes!$A:$A,A256,Sancoes!$B:$B,"&lt;&gt;Não consta"))</f>
        <v/>
      </c>
      <c r="Q256" s="28" t="str">
        <f aca="false">IF(A256="","",COUNTIF(Socios!$A:$A,A256))</f>
        <v/>
      </c>
      <c r="R256" s="28" t="str">
        <f aca="false">IF(A256="","",COUNTIFS(Socios!$A:$A,A256,Socios!$K:$K,"SIM"))</f>
        <v/>
      </c>
      <c r="S256" s="27"/>
      <c r="T256" s="5"/>
    </row>
    <row r="257" customFormat="false" ht="15" hidden="false" customHeight="false" outlineLevel="0" collapsed="false">
      <c r="A257" s="27"/>
      <c r="B257" s="5"/>
      <c r="C257" s="18"/>
      <c r="D257" s="5"/>
      <c r="E257" s="35"/>
      <c r="F257" s="5"/>
      <c r="G257" s="5"/>
      <c r="H257" s="5"/>
      <c r="I257" s="14"/>
      <c r="J257" s="14"/>
      <c r="K257" s="28" t="str">
        <f aca="false">IF(A257="","",COUNTIF(Contratos!$A:$A,A257))</f>
        <v/>
      </c>
      <c r="L257" s="39" t="str">
        <f aca="false">IF(A257="","",SUMIFS(Contratos!$D:$D,Contratos!$A:$A,A257)+SUMIFS(Contratos!$N:$N,Contratos!$A:$A,A257))</f>
        <v/>
      </c>
      <c r="M257" s="39" t="str">
        <f aca="false">IF(A257="","",SUMIFS(Pagamentos!$C:$C,Pagamentos!$A:$A,A257,Pagamentos!$F:$F,"Empenho"))</f>
        <v/>
      </c>
      <c r="N257" s="39" t="str">
        <f aca="false">IF(A257="","",SUMIFS(Pagamentos!$C:$C,Pagamentos!$A:$A,A257,Pagamentos!$F:$F,"Pagamento"))</f>
        <v/>
      </c>
      <c r="O257" s="37" t="str">
        <f aca="false">IF(OR(A257="",E257="",L257="",L257=0),"",E257/L257)</f>
        <v/>
      </c>
      <c r="P257" s="28" t="str">
        <f aca="false">IF(A257="","",COUNTIFS(Sancoes!$A:$A,A257,Sancoes!$B:$B,"&lt;&gt;Não consta"))</f>
        <v/>
      </c>
      <c r="Q257" s="28" t="str">
        <f aca="false">IF(A257="","",COUNTIF(Socios!$A:$A,A257))</f>
        <v/>
      </c>
      <c r="R257" s="28" t="str">
        <f aca="false">IF(A257="","",COUNTIFS(Socios!$A:$A,A257,Socios!$K:$K,"SIM"))</f>
        <v/>
      </c>
      <c r="S257" s="27"/>
      <c r="T257" s="5"/>
    </row>
    <row r="258" customFormat="false" ht="15" hidden="false" customHeight="false" outlineLevel="0" collapsed="false">
      <c r="A258" s="27"/>
      <c r="B258" s="5"/>
      <c r="C258" s="18"/>
      <c r="D258" s="5"/>
      <c r="E258" s="35"/>
      <c r="F258" s="5"/>
      <c r="G258" s="5"/>
      <c r="H258" s="5"/>
      <c r="I258" s="14"/>
      <c r="J258" s="14"/>
      <c r="K258" s="28" t="str">
        <f aca="false">IF(A258="","",COUNTIF(Contratos!$A:$A,A258))</f>
        <v/>
      </c>
      <c r="L258" s="39" t="str">
        <f aca="false">IF(A258="","",SUMIFS(Contratos!$D:$D,Contratos!$A:$A,A258)+SUMIFS(Contratos!$N:$N,Contratos!$A:$A,A258))</f>
        <v/>
      </c>
      <c r="M258" s="39" t="str">
        <f aca="false">IF(A258="","",SUMIFS(Pagamentos!$C:$C,Pagamentos!$A:$A,A258,Pagamentos!$F:$F,"Empenho"))</f>
        <v/>
      </c>
      <c r="N258" s="39" t="str">
        <f aca="false">IF(A258="","",SUMIFS(Pagamentos!$C:$C,Pagamentos!$A:$A,A258,Pagamentos!$F:$F,"Pagamento"))</f>
        <v/>
      </c>
      <c r="O258" s="37" t="str">
        <f aca="false">IF(OR(A258="",E258="",L258="",L258=0),"",E258/L258)</f>
        <v/>
      </c>
      <c r="P258" s="28" t="str">
        <f aca="false">IF(A258="","",COUNTIFS(Sancoes!$A:$A,A258,Sancoes!$B:$B,"&lt;&gt;Não consta"))</f>
        <v/>
      </c>
      <c r="Q258" s="28" t="str">
        <f aca="false">IF(A258="","",COUNTIF(Socios!$A:$A,A258))</f>
        <v/>
      </c>
      <c r="R258" s="28" t="str">
        <f aca="false">IF(A258="","",COUNTIFS(Socios!$A:$A,A258,Socios!$K:$K,"SIM"))</f>
        <v/>
      </c>
      <c r="S258" s="27"/>
      <c r="T258" s="5"/>
    </row>
    <row r="259" customFormat="false" ht="15" hidden="false" customHeight="false" outlineLevel="0" collapsed="false">
      <c r="A259" s="27"/>
      <c r="B259" s="5"/>
      <c r="C259" s="18"/>
      <c r="D259" s="5"/>
      <c r="E259" s="35"/>
      <c r="F259" s="5"/>
      <c r="G259" s="5"/>
      <c r="H259" s="5"/>
      <c r="I259" s="14"/>
      <c r="J259" s="14"/>
      <c r="K259" s="28" t="str">
        <f aca="false">IF(A259="","",COUNTIF(Contratos!$A:$A,A259))</f>
        <v/>
      </c>
      <c r="L259" s="39" t="str">
        <f aca="false">IF(A259="","",SUMIFS(Contratos!$D:$D,Contratos!$A:$A,A259)+SUMIFS(Contratos!$N:$N,Contratos!$A:$A,A259))</f>
        <v/>
      </c>
      <c r="M259" s="39" t="str">
        <f aca="false">IF(A259="","",SUMIFS(Pagamentos!$C:$C,Pagamentos!$A:$A,A259,Pagamentos!$F:$F,"Empenho"))</f>
        <v/>
      </c>
      <c r="N259" s="39" t="str">
        <f aca="false">IF(A259="","",SUMIFS(Pagamentos!$C:$C,Pagamentos!$A:$A,A259,Pagamentos!$F:$F,"Pagamento"))</f>
        <v/>
      </c>
      <c r="O259" s="37" t="str">
        <f aca="false">IF(OR(A259="",E259="",L259="",L259=0),"",E259/L259)</f>
        <v/>
      </c>
      <c r="P259" s="28" t="str">
        <f aca="false">IF(A259="","",COUNTIFS(Sancoes!$A:$A,A259,Sancoes!$B:$B,"&lt;&gt;Não consta"))</f>
        <v/>
      </c>
      <c r="Q259" s="28" t="str">
        <f aca="false">IF(A259="","",COUNTIF(Socios!$A:$A,A259))</f>
        <v/>
      </c>
      <c r="R259" s="28" t="str">
        <f aca="false">IF(A259="","",COUNTIFS(Socios!$A:$A,A259,Socios!$K:$K,"SIM"))</f>
        <v/>
      </c>
      <c r="S259" s="27"/>
      <c r="T259" s="5"/>
    </row>
    <row r="260" customFormat="false" ht="15" hidden="false" customHeight="false" outlineLevel="0" collapsed="false">
      <c r="A260" s="27"/>
      <c r="B260" s="5"/>
      <c r="C260" s="18"/>
      <c r="D260" s="5"/>
      <c r="E260" s="35"/>
      <c r="F260" s="5"/>
      <c r="G260" s="5"/>
      <c r="H260" s="5"/>
      <c r="I260" s="14"/>
      <c r="J260" s="14"/>
      <c r="K260" s="28" t="str">
        <f aca="false">IF(A260="","",COUNTIF(Contratos!$A:$A,A260))</f>
        <v/>
      </c>
      <c r="L260" s="39" t="str">
        <f aca="false">IF(A260="","",SUMIFS(Contratos!$D:$D,Contratos!$A:$A,A260)+SUMIFS(Contratos!$N:$N,Contratos!$A:$A,A260))</f>
        <v/>
      </c>
      <c r="M260" s="39" t="str">
        <f aca="false">IF(A260="","",SUMIFS(Pagamentos!$C:$C,Pagamentos!$A:$A,A260,Pagamentos!$F:$F,"Empenho"))</f>
        <v/>
      </c>
      <c r="N260" s="39" t="str">
        <f aca="false">IF(A260="","",SUMIFS(Pagamentos!$C:$C,Pagamentos!$A:$A,A260,Pagamentos!$F:$F,"Pagamento"))</f>
        <v/>
      </c>
      <c r="O260" s="37" t="str">
        <f aca="false">IF(OR(A260="",E260="",L260="",L260=0),"",E260/L260)</f>
        <v/>
      </c>
      <c r="P260" s="28" t="str">
        <f aca="false">IF(A260="","",COUNTIFS(Sancoes!$A:$A,A260,Sancoes!$B:$B,"&lt;&gt;Não consta"))</f>
        <v/>
      </c>
      <c r="Q260" s="28" t="str">
        <f aca="false">IF(A260="","",COUNTIF(Socios!$A:$A,A260))</f>
        <v/>
      </c>
      <c r="R260" s="28" t="str">
        <f aca="false">IF(A260="","",COUNTIFS(Socios!$A:$A,A260,Socios!$K:$K,"SIM"))</f>
        <v/>
      </c>
      <c r="S260" s="27"/>
      <c r="T260" s="5"/>
    </row>
    <row r="261" customFormat="false" ht="15" hidden="false" customHeight="false" outlineLevel="0" collapsed="false">
      <c r="A261" s="27"/>
      <c r="B261" s="5"/>
      <c r="C261" s="18"/>
      <c r="D261" s="5"/>
      <c r="E261" s="35"/>
      <c r="F261" s="5"/>
      <c r="G261" s="5"/>
      <c r="H261" s="5"/>
      <c r="I261" s="14"/>
      <c r="J261" s="14"/>
      <c r="K261" s="28" t="str">
        <f aca="false">IF(A261="","",COUNTIF(Contratos!$A:$A,A261))</f>
        <v/>
      </c>
      <c r="L261" s="39" t="str">
        <f aca="false">IF(A261="","",SUMIFS(Contratos!$D:$D,Contratos!$A:$A,A261)+SUMIFS(Contratos!$N:$N,Contratos!$A:$A,A261))</f>
        <v/>
      </c>
      <c r="M261" s="39" t="str">
        <f aca="false">IF(A261="","",SUMIFS(Pagamentos!$C:$C,Pagamentos!$A:$A,A261,Pagamentos!$F:$F,"Empenho"))</f>
        <v/>
      </c>
      <c r="N261" s="39" t="str">
        <f aca="false">IF(A261="","",SUMIFS(Pagamentos!$C:$C,Pagamentos!$A:$A,A261,Pagamentos!$F:$F,"Pagamento"))</f>
        <v/>
      </c>
      <c r="O261" s="37" t="str">
        <f aca="false">IF(OR(A261="",E261="",L261="",L261=0),"",E261/L261)</f>
        <v/>
      </c>
      <c r="P261" s="28" t="str">
        <f aca="false">IF(A261="","",COUNTIFS(Sancoes!$A:$A,A261,Sancoes!$B:$B,"&lt;&gt;Não consta"))</f>
        <v/>
      </c>
      <c r="Q261" s="28" t="str">
        <f aca="false">IF(A261="","",COUNTIF(Socios!$A:$A,A261))</f>
        <v/>
      </c>
      <c r="R261" s="28" t="str">
        <f aca="false">IF(A261="","",COUNTIFS(Socios!$A:$A,A261,Socios!$K:$K,"SIM"))</f>
        <v/>
      </c>
      <c r="S261" s="27"/>
      <c r="T261" s="5"/>
    </row>
    <row r="262" customFormat="false" ht="15" hidden="false" customHeight="false" outlineLevel="0" collapsed="false">
      <c r="A262" s="27"/>
      <c r="B262" s="5"/>
      <c r="C262" s="18"/>
      <c r="D262" s="5"/>
      <c r="E262" s="35"/>
      <c r="F262" s="5"/>
      <c r="G262" s="5"/>
      <c r="H262" s="5"/>
      <c r="I262" s="14"/>
      <c r="J262" s="14"/>
      <c r="K262" s="28" t="str">
        <f aca="false">IF(A262="","",COUNTIF(Contratos!$A:$A,A262))</f>
        <v/>
      </c>
      <c r="L262" s="39" t="str">
        <f aca="false">IF(A262="","",SUMIFS(Contratos!$D:$D,Contratos!$A:$A,A262)+SUMIFS(Contratos!$N:$N,Contratos!$A:$A,A262))</f>
        <v/>
      </c>
      <c r="M262" s="39" t="str">
        <f aca="false">IF(A262="","",SUMIFS(Pagamentos!$C:$C,Pagamentos!$A:$A,A262,Pagamentos!$F:$F,"Empenho"))</f>
        <v/>
      </c>
      <c r="N262" s="39" t="str">
        <f aca="false">IF(A262="","",SUMIFS(Pagamentos!$C:$C,Pagamentos!$A:$A,A262,Pagamentos!$F:$F,"Pagamento"))</f>
        <v/>
      </c>
      <c r="O262" s="37" t="str">
        <f aca="false">IF(OR(A262="",E262="",L262="",L262=0),"",E262/L262)</f>
        <v/>
      </c>
      <c r="P262" s="28" t="str">
        <f aca="false">IF(A262="","",COUNTIFS(Sancoes!$A:$A,A262,Sancoes!$B:$B,"&lt;&gt;Não consta"))</f>
        <v/>
      </c>
      <c r="Q262" s="28" t="str">
        <f aca="false">IF(A262="","",COUNTIF(Socios!$A:$A,A262))</f>
        <v/>
      </c>
      <c r="R262" s="28" t="str">
        <f aca="false">IF(A262="","",COUNTIFS(Socios!$A:$A,A262,Socios!$K:$K,"SIM"))</f>
        <v/>
      </c>
      <c r="S262" s="27"/>
      <c r="T262" s="5"/>
    </row>
    <row r="263" customFormat="false" ht="15" hidden="false" customHeight="false" outlineLevel="0" collapsed="false">
      <c r="A263" s="27"/>
      <c r="B263" s="5"/>
      <c r="C263" s="18"/>
      <c r="D263" s="5"/>
      <c r="E263" s="35"/>
      <c r="F263" s="5"/>
      <c r="G263" s="5"/>
      <c r="H263" s="5"/>
      <c r="I263" s="14"/>
      <c r="J263" s="14"/>
      <c r="K263" s="28" t="str">
        <f aca="false">IF(A263="","",COUNTIF(Contratos!$A:$A,A263))</f>
        <v/>
      </c>
      <c r="L263" s="39" t="str">
        <f aca="false">IF(A263="","",SUMIFS(Contratos!$D:$D,Contratos!$A:$A,A263)+SUMIFS(Contratos!$N:$N,Contratos!$A:$A,A263))</f>
        <v/>
      </c>
      <c r="M263" s="39" t="str">
        <f aca="false">IF(A263="","",SUMIFS(Pagamentos!$C:$C,Pagamentos!$A:$A,A263,Pagamentos!$F:$F,"Empenho"))</f>
        <v/>
      </c>
      <c r="N263" s="39" t="str">
        <f aca="false">IF(A263="","",SUMIFS(Pagamentos!$C:$C,Pagamentos!$A:$A,A263,Pagamentos!$F:$F,"Pagamento"))</f>
        <v/>
      </c>
      <c r="O263" s="37" t="str">
        <f aca="false">IF(OR(A263="",E263="",L263="",L263=0),"",E263/L263)</f>
        <v/>
      </c>
      <c r="P263" s="28" t="str">
        <f aca="false">IF(A263="","",COUNTIFS(Sancoes!$A:$A,A263,Sancoes!$B:$B,"&lt;&gt;Não consta"))</f>
        <v/>
      </c>
      <c r="Q263" s="28" t="str">
        <f aca="false">IF(A263="","",COUNTIF(Socios!$A:$A,A263))</f>
        <v/>
      </c>
      <c r="R263" s="28" t="str">
        <f aca="false">IF(A263="","",COUNTIFS(Socios!$A:$A,A263,Socios!$K:$K,"SIM"))</f>
        <v/>
      </c>
      <c r="S263" s="27"/>
      <c r="T263" s="5"/>
    </row>
    <row r="264" customFormat="false" ht="15" hidden="false" customHeight="false" outlineLevel="0" collapsed="false">
      <c r="A264" s="27"/>
      <c r="B264" s="5"/>
      <c r="C264" s="18"/>
      <c r="D264" s="5"/>
      <c r="E264" s="35"/>
      <c r="F264" s="5"/>
      <c r="G264" s="5"/>
      <c r="H264" s="5"/>
      <c r="I264" s="14"/>
      <c r="J264" s="14"/>
      <c r="K264" s="28" t="str">
        <f aca="false">IF(A264="","",COUNTIF(Contratos!$A:$A,A264))</f>
        <v/>
      </c>
      <c r="L264" s="39" t="str">
        <f aca="false">IF(A264="","",SUMIFS(Contratos!$D:$D,Contratos!$A:$A,A264)+SUMIFS(Contratos!$N:$N,Contratos!$A:$A,A264))</f>
        <v/>
      </c>
      <c r="M264" s="39" t="str">
        <f aca="false">IF(A264="","",SUMIFS(Pagamentos!$C:$C,Pagamentos!$A:$A,A264,Pagamentos!$F:$F,"Empenho"))</f>
        <v/>
      </c>
      <c r="N264" s="39" t="str">
        <f aca="false">IF(A264="","",SUMIFS(Pagamentos!$C:$C,Pagamentos!$A:$A,A264,Pagamentos!$F:$F,"Pagamento"))</f>
        <v/>
      </c>
      <c r="O264" s="37" t="str">
        <f aca="false">IF(OR(A264="",E264="",L264="",L264=0),"",E264/L264)</f>
        <v/>
      </c>
      <c r="P264" s="28" t="str">
        <f aca="false">IF(A264="","",COUNTIFS(Sancoes!$A:$A,A264,Sancoes!$B:$B,"&lt;&gt;Não consta"))</f>
        <v/>
      </c>
      <c r="Q264" s="28" t="str">
        <f aca="false">IF(A264="","",COUNTIF(Socios!$A:$A,A264))</f>
        <v/>
      </c>
      <c r="R264" s="28" t="str">
        <f aca="false">IF(A264="","",COUNTIFS(Socios!$A:$A,A264,Socios!$K:$K,"SIM"))</f>
        <v/>
      </c>
      <c r="S264" s="27"/>
      <c r="T264" s="5"/>
    </row>
    <row r="265" customFormat="false" ht="15" hidden="false" customHeight="false" outlineLevel="0" collapsed="false">
      <c r="A265" s="27"/>
      <c r="B265" s="5"/>
      <c r="C265" s="18"/>
      <c r="D265" s="5"/>
      <c r="E265" s="35"/>
      <c r="F265" s="5"/>
      <c r="G265" s="5"/>
      <c r="H265" s="5"/>
      <c r="I265" s="14"/>
      <c r="J265" s="14"/>
      <c r="K265" s="28" t="str">
        <f aca="false">IF(A265="","",COUNTIF(Contratos!$A:$A,A265))</f>
        <v/>
      </c>
      <c r="L265" s="39" t="str">
        <f aca="false">IF(A265="","",SUMIFS(Contratos!$D:$D,Contratos!$A:$A,A265)+SUMIFS(Contratos!$N:$N,Contratos!$A:$A,A265))</f>
        <v/>
      </c>
      <c r="M265" s="39" t="str">
        <f aca="false">IF(A265="","",SUMIFS(Pagamentos!$C:$C,Pagamentos!$A:$A,A265,Pagamentos!$F:$F,"Empenho"))</f>
        <v/>
      </c>
      <c r="N265" s="39" t="str">
        <f aca="false">IF(A265="","",SUMIFS(Pagamentos!$C:$C,Pagamentos!$A:$A,A265,Pagamentos!$F:$F,"Pagamento"))</f>
        <v/>
      </c>
      <c r="O265" s="37" t="str">
        <f aca="false">IF(OR(A265="",E265="",L265="",L265=0),"",E265/L265)</f>
        <v/>
      </c>
      <c r="P265" s="28" t="str">
        <f aca="false">IF(A265="","",COUNTIFS(Sancoes!$A:$A,A265,Sancoes!$B:$B,"&lt;&gt;Não consta"))</f>
        <v/>
      </c>
      <c r="Q265" s="28" t="str">
        <f aca="false">IF(A265="","",COUNTIF(Socios!$A:$A,A265))</f>
        <v/>
      </c>
      <c r="R265" s="28" t="str">
        <f aca="false">IF(A265="","",COUNTIFS(Socios!$A:$A,A265,Socios!$K:$K,"SIM"))</f>
        <v/>
      </c>
      <c r="S265" s="27"/>
      <c r="T265" s="5"/>
    </row>
    <row r="266" customFormat="false" ht="15" hidden="false" customHeight="false" outlineLevel="0" collapsed="false">
      <c r="A266" s="27"/>
      <c r="B266" s="5"/>
      <c r="C266" s="18"/>
      <c r="D266" s="5"/>
      <c r="E266" s="35"/>
      <c r="F266" s="5"/>
      <c r="G266" s="5"/>
      <c r="H266" s="5"/>
      <c r="I266" s="14"/>
      <c r="J266" s="14"/>
      <c r="K266" s="28" t="str">
        <f aca="false">IF(A266="","",COUNTIF(Contratos!$A:$A,A266))</f>
        <v/>
      </c>
      <c r="L266" s="39" t="str">
        <f aca="false">IF(A266="","",SUMIFS(Contratos!$D:$D,Contratos!$A:$A,A266)+SUMIFS(Contratos!$N:$N,Contratos!$A:$A,A266))</f>
        <v/>
      </c>
      <c r="M266" s="39" t="str">
        <f aca="false">IF(A266="","",SUMIFS(Pagamentos!$C:$C,Pagamentos!$A:$A,A266,Pagamentos!$F:$F,"Empenho"))</f>
        <v/>
      </c>
      <c r="N266" s="39" t="str">
        <f aca="false">IF(A266="","",SUMIFS(Pagamentos!$C:$C,Pagamentos!$A:$A,A266,Pagamentos!$F:$F,"Pagamento"))</f>
        <v/>
      </c>
      <c r="O266" s="37" t="str">
        <f aca="false">IF(OR(A266="",E266="",L266="",L266=0),"",E266/L266)</f>
        <v/>
      </c>
      <c r="P266" s="28" t="str">
        <f aca="false">IF(A266="","",COUNTIFS(Sancoes!$A:$A,A266,Sancoes!$B:$B,"&lt;&gt;Não consta"))</f>
        <v/>
      </c>
      <c r="Q266" s="28" t="str">
        <f aca="false">IF(A266="","",COUNTIF(Socios!$A:$A,A266))</f>
        <v/>
      </c>
      <c r="R266" s="28" t="str">
        <f aca="false">IF(A266="","",COUNTIFS(Socios!$A:$A,A266,Socios!$K:$K,"SIM"))</f>
        <v/>
      </c>
      <c r="S266" s="27"/>
      <c r="T266" s="5"/>
    </row>
    <row r="267" customFormat="false" ht="15" hidden="false" customHeight="false" outlineLevel="0" collapsed="false">
      <c r="A267" s="27"/>
      <c r="B267" s="5"/>
      <c r="C267" s="18"/>
      <c r="D267" s="5"/>
      <c r="E267" s="35"/>
      <c r="F267" s="5"/>
      <c r="G267" s="5"/>
      <c r="H267" s="5"/>
      <c r="I267" s="14"/>
      <c r="J267" s="14"/>
      <c r="K267" s="28" t="str">
        <f aca="false">IF(A267="","",COUNTIF(Contratos!$A:$A,A267))</f>
        <v/>
      </c>
      <c r="L267" s="39" t="str">
        <f aca="false">IF(A267="","",SUMIFS(Contratos!$D:$D,Contratos!$A:$A,A267)+SUMIFS(Contratos!$N:$N,Contratos!$A:$A,A267))</f>
        <v/>
      </c>
      <c r="M267" s="39" t="str">
        <f aca="false">IF(A267="","",SUMIFS(Pagamentos!$C:$C,Pagamentos!$A:$A,A267,Pagamentos!$F:$F,"Empenho"))</f>
        <v/>
      </c>
      <c r="N267" s="39" t="str">
        <f aca="false">IF(A267="","",SUMIFS(Pagamentos!$C:$C,Pagamentos!$A:$A,A267,Pagamentos!$F:$F,"Pagamento"))</f>
        <v/>
      </c>
      <c r="O267" s="37" t="str">
        <f aca="false">IF(OR(A267="",E267="",L267="",L267=0),"",E267/L267)</f>
        <v/>
      </c>
      <c r="P267" s="28" t="str">
        <f aca="false">IF(A267="","",COUNTIFS(Sancoes!$A:$A,A267,Sancoes!$B:$B,"&lt;&gt;Não consta"))</f>
        <v/>
      </c>
      <c r="Q267" s="28" t="str">
        <f aca="false">IF(A267="","",COUNTIF(Socios!$A:$A,A267))</f>
        <v/>
      </c>
      <c r="R267" s="28" t="str">
        <f aca="false">IF(A267="","",COUNTIFS(Socios!$A:$A,A267,Socios!$K:$K,"SIM"))</f>
        <v/>
      </c>
      <c r="S267" s="27"/>
      <c r="T267" s="5"/>
    </row>
    <row r="268" customFormat="false" ht="15" hidden="false" customHeight="false" outlineLevel="0" collapsed="false">
      <c r="A268" s="27"/>
      <c r="B268" s="5"/>
      <c r="C268" s="18"/>
      <c r="D268" s="5"/>
      <c r="E268" s="35"/>
      <c r="F268" s="5"/>
      <c r="G268" s="5"/>
      <c r="H268" s="5"/>
      <c r="I268" s="14"/>
      <c r="J268" s="14"/>
      <c r="K268" s="28" t="str">
        <f aca="false">IF(A268="","",COUNTIF(Contratos!$A:$A,A268))</f>
        <v/>
      </c>
      <c r="L268" s="39" t="str">
        <f aca="false">IF(A268="","",SUMIFS(Contratos!$D:$D,Contratos!$A:$A,A268)+SUMIFS(Contratos!$N:$N,Contratos!$A:$A,A268))</f>
        <v/>
      </c>
      <c r="M268" s="39" t="str">
        <f aca="false">IF(A268="","",SUMIFS(Pagamentos!$C:$C,Pagamentos!$A:$A,A268,Pagamentos!$F:$F,"Empenho"))</f>
        <v/>
      </c>
      <c r="N268" s="39" t="str">
        <f aca="false">IF(A268="","",SUMIFS(Pagamentos!$C:$C,Pagamentos!$A:$A,A268,Pagamentos!$F:$F,"Pagamento"))</f>
        <v/>
      </c>
      <c r="O268" s="37" t="str">
        <f aca="false">IF(OR(A268="",E268="",L268="",L268=0),"",E268/L268)</f>
        <v/>
      </c>
      <c r="P268" s="28" t="str">
        <f aca="false">IF(A268="","",COUNTIFS(Sancoes!$A:$A,A268,Sancoes!$B:$B,"&lt;&gt;Não consta"))</f>
        <v/>
      </c>
      <c r="Q268" s="28" t="str">
        <f aca="false">IF(A268="","",COUNTIF(Socios!$A:$A,A268))</f>
        <v/>
      </c>
      <c r="R268" s="28" t="str">
        <f aca="false">IF(A268="","",COUNTIFS(Socios!$A:$A,A268,Socios!$K:$K,"SIM"))</f>
        <v/>
      </c>
      <c r="S268" s="27"/>
      <c r="T268" s="5"/>
    </row>
    <row r="269" customFormat="false" ht="15" hidden="false" customHeight="false" outlineLevel="0" collapsed="false">
      <c r="A269" s="27"/>
      <c r="B269" s="5"/>
      <c r="C269" s="18"/>
      <c r="D269" s="5"/>
      <c r="E269" s="35"/>
      <c r="F269" s="5"/>
      <c r="G269" s="5"/>
      <c r="H269" s="5"/>
      <c r="I269" s="14"/>
      <c r="J269" s="14"/>
      <c r="K269" s="28" t="str">
        <f aca="false">IF(A269="","",COUNTIF(Contratos!$A:$A,A269))</f>
        <v/>
      </c>
      <c r="L269" s="39" t="str">
        <f aca="false">IF(A269="","",SUMIFS(Contratos!$D:$D,Contratos!$A:$A,A269)+SUMIFS(Contratos!$N:$N,Contratos!$A:$A,A269))</f>
        <v/>
      </c>
      <c r="M269" s="39" t="str">
        <f aca="false">IF(A269="","",SUMIFS(Pagamentos!$C:$C,Pagamentos!$A:$A,A269,Pagamentos!$F:$F,"Empenho"))</f>
        <v/>
      </c>
      <c r="N269" s="39" t="str">
        <f aca="false">IF(A269="","",SUMIFS(Pagamentos!$C:$C,Pagamentos!$A:$A,A269,Pagamentos!$F:$F,"Pagamento"))</f>
        <v/>
      </c>
      <c r="O269" s="37" t="str">
        <f aca="false">IF(OR(A269="",E269="",L269="",L269=0),"",E269/L269)</f>
        <v/>
      </c>
      <c r="P269" s="28" t="str">
        <f aca="false">IF(A269="","",COUNTIFS(Sancoes!$A:$A,A269,Sancoes!$B:$B,"&lt;&gt;Não consta"))</f>
        <v/>
      </c>
      <c r="Q269" s="28" t="str">
        <f aca="false">IF(A269="","",COUNTIF(Socios!$A:$A,A269))</f>
        <v/>
      </c>
      <c r="R269" s="28" t="str">
        <f aca="false">IF(A269="","",COUNTIFS(Socios!$A:$A,A269,Socios!$K:$K,"SIM"))</f>
        <v/>
      </c>
      <c r="S269" s="27"/>
      <c r="T269" s="5"/>
    </row>
    <row r="270" customFormat="false" ht="15" hidden="false" customHeight="false" outlineLevel="0" collapsed="false">
      <c r="A270" s="27"/>
      <c r="B270" s="5"/>
      <c r="C270" s="18"/>
      <c r="D270" s="5"/>
      <c r="E270" s="35"/>
      <c r="F270" s="5"/>
      <c r="G270" s="5"/>
      <c r="H270" s="5"/>
      <c r="I270" s="14"/>
      <c r="J270" s="14"/>
      <c r="K270" s="28" t="str">
        <f aca="false">IF(A270="","",COUNTIF(Contratos!$A:$A,A270))</f>
        <v/>
      </c>
      <c r="L270" s="39" t="str">
        <f aca="false">IF(A270="","",SUMIFS(Contratos!$D:$D,Contratos!$A:$A,A270)+SUMIFS(Contratos!$N:$N,Contratos!$A:$A,A270))</f>
        <v/>
      </c>
      <c r="M270" s="39" t="str">
        <f aca="false">IF(A270="","",SUMIFS(Pagamentos!$C:$C,Pagamentos!$A:$A,A270,Pagamentos!$F:$F,"Empenho"))</f>
        <v/>
      </c>
      <c r="N270" s="39" t="str">
        <f aca="false">IF(A270="","",SUMIFS(Pagamentos!$C:$C,Pagamentos!$A:$A,A270,Pagamentos!$F:$F,"Pagamento"))</f>
        <v/>
      </c>
      <c r="O270" s="37" t="str">
        <f aca="false">IF(OR(A270="",E270="",L270="",L270=0),"",E270/L270)</f>
        <v/>
      </c>
      <c r="P270" s="28" t="str">
        <f aca="false">IF(A270="","",COUNTIFS(Sancoes!$A:$A,A270,Sancoes!$B:$B,"&lt;&gt;Não consta"))</f>
        <v/>
      </c>
      <c r="Q270" s="28" t="str">
        <f aca="false">IF(A270="","",COUNTIF(Socios!$A:$A,A270))</f>
        <v/>
      </c>
      <c r="R270" s="28" t="str">
        <f aca="false">IF(A270="","",COUNTIFS(Socios!$A:$A,A270,Socios!$K:$K,"SIM"))</f>
        <v/>
      </c>
      <c r="S270" s="27"/>
      <c r="T270" s="5"/>
    </row>
    <row r="271" customFormat="false" ht="15" hidden="false" customHeight="false" outlineLevel="0" collapsed="false">
      <c r="A271" s="27"/>
      <c r="B271" s="5"/>
      <c r="C271" s="18"/>
      <c r="D271" s="5"/>
      <c r="E271" s="35"/>
      <c r="F271" s="5"/>
      <c r="G271" s="5"/>
      <c r="H271" s="5"/>
      <c r="I271" s="14"/>
      <c r="J271" s="14"/>
      <c r="K271" s="28" t="str">
        <f aca="false">IF(A271="","",COUNTIF(Contratos!$A:$A,A271))</f>
        <v/>
      </c>
      <c r="L271" s="39" t="str">
        <f aca="false">IF(A271="","",SUMIFS(Contratos!$D:$D,Contratos!$A:$A,A271)+SUMIFS(Contratos!$N:$N,Contratos!$A:$A,A271))</f>
        <v/>
      </c>
      <c r="M271" s="39" t="str">
        <f aca="false">IF(A271="","",SUMIFS(Pagamentos!$C:$C,Pagamentos!$A:$A,A271,Pagamentos!$F:$F,"Empenho"))</f>
        <v/>
      </c>
      <c r="N271" s="39" t="str">
        <f aca="false">IF(A271="","",SUMIFS(Pagamentos!$C:$C,Pagamentos!$A:$A,A271,Pagamentos!$F:$F,"Pagamento"))</f>
        <v/>
      </c>
      <c r="O271" s="37" t="str">
        <f aca="false">IF(OR(A271="",E271="",L271="",L271=0),"",E271/L271)</f>
        <v/>
      </c>
      <c r="P271" s="28" t="str">
        <f aca="false">IF(A271="","",COUNTIFS(Sancoes!$A:$A,A271,Sancoes!$B:$B,"&lt;&gt;Não consta"))</f>
        <v/>
      </c>
      <c r="Q271" s="28" t="str">
        <f aca="false">IF(A271="","",COUNTIF(Socios!$A:$A,A271))</f>
        <v/>
      </c>
      <c r="R271" s="28" t="str">
        <f aca="false">IF(A271="","",COUNTIFS(Socios!$A:$A,A271,Socios!$K:$K,"SIM"))</f>
        <v/>
      </c>
      <c r="S271" s="27"/>
      <c r="T271" s="5"/>
    </row>
    <row r="272" customFormat="false" ht="15" hidden="false" customHeight="false" outlineLevel="0" collapsed="false">
      <c r="A272" s="27"/>
      <c r="B272" s="5"/>
      <c r="C272" s="18"/>
      <c r="D272" s="5"/>
      <c r="E272" s="35"/>
      <c r="F272" s="5"/>
      <c r="G272" s="5"/>
      <c r="H272" s="5"/>
      <c r="I272" s="14"/>
      <c r="J272" s="14"/>
      <c r="K272" s="28" t="str">
        <f aca="false">IF(A272="","",COUNTIF(Contratos!$A:$A,A272))</f>
        <v/>
      </c>
      <c r="L272" s="39" t="str">
        <f aca="false">IF(A272="","",SUMIFS(Contratos!$D:$D,Contratos!$A:$A,A272)+SUMIFS(Contratos!$N:$N,Contratos!$A:$A,A272))</f>
        <v/>
      </c>
      <c r="M272" s="39" t="str">
        <f aca="false">IF(A272="","",SUMIFS(Pagamentos!$C:$C,Pagamentos!$A:$A,A272,Pagamentos!$F:$F,"Empenho"))</f>
        <v/>
      </c>
      <c r="N272" s="39" t="str">
        <f aca="false">IF(A272="","",SUMIFS(Pagamentos!$C:$C,Pagamentos!$A:$A,A272,Pagamentos!$F:$F,"Pagamento"))</f>
        <v/>
      </c>
      <c r="O272" s="37" t="str">
        <f aca="false">IF(OR(A272="",E272="",L272="",L272=0),"",E272/L272)</f>
        <v/>
      </c>
      <c r="P272" s="28" t="str">
        <f aca="false">IF(A272="","",COUNTIFS(Sancoes!$A:$A,A272,Sancoes!$B:$B,"&lt;&gt;Não consta"))</f>
        <v/>
      </c>
      <c r="Q272" s="28" t="str">
        <f aca="false">IF(A272="","",COUNTIF(Socios!$A:$A,A272))</f>
        <v/>
      </c>
      <c r="R272" s="28" t="str">
        <f aca="false">IF(A272="","",COUNTIFS(Socios!$A:$A,A272,Socios!$K:$K,"SIM"))</f>
        <v/>
      </c>
      <c r="S272" s="27"/>
      <c r="T272" s="5"/>
    </row>
    <row r="273" customFormat="false" ht="15" hidden="false" customHeight="false" outlineLevel="0" collapsed="false">
      <c r="A273" s="27"/>
      <c r="B273" s="5"/>
      <c r="C273" s="18"/>
      <c r="D273" s="5"/>
      <c r="E273" s="35"/>
      <c r="F273" s="5"/>
      <c r="G273" s="5"/>
      <c r="H273" s="5"/>
      <c r="I273" s="14"/>
      <c r="J273" s="14"/>
      <c r="K273" s="28" t="str">
        <f aca="false">IF(A273="","",COUNTIF(Contratos!$A:$A,A273))</f>
        <v/>
      </c>
      <c r="L273" s="39" t="str">
        <f aca="false">IF(A273="","",SUMIFS(Contratos!$D:$D,Contratos!$A:$A,A273)+SUMIFS(Contratos!$N:$N,Contratos!$A:$A,A273))</f>
        <v/>
      </c>
      <c r="M273" s="39" t="str">
        <f aca="false">IF(A273="","",SUMIFS(Pagamentos!$C:$C,Pagamentos!$A:$A,A273,Pagamentos!$F:$F,"Empenho"))</f>
        <v/>
      </c>
      <c r="N273" s="39" t="str">
        <f aca="false">IF(A273="","",SUMIFS(Pagamentos!$C:$C,Pagamentos!$A:$A,A273,Pagamentos!$F:$F,"Pagamento"))</f>
        <v/>
      </c>
      <c r="O273" s="37" t="str">
        <f aca="false">IF(OR(A273="",E273="",L273="",L273=0),"",E273/L273)</f>
        <v/>
      </c>
      <c r="P273" s="28" t="str">
        <f aca="false">IF(A273="","",COUNTIFS(Sancoes!$A:$A,A273,Sancoes!$B:$B,"&lt;&gt;Não consta"))</f>
        <v/>
      </c>
      <c r="Q273" s="28" t="str">
        <f aca="false">IF(A273="","",COUNTIF(Socios!$A:$A,A273))</f>
        <v/>
      </c>
      <c r="R273" s="28" t="str">
        <f aca="false">IF(A273="","",COUNTIFS(Socios!$A:$A,A273,Socios!$K:$K,"SIM"))</f>
        <v/>
      </c>
      <c r="S273" s="27"/>
      <c r="T273" s="5"/>
    </row>
    <row r="274" customFormat="false" ht="15" hidden="false" customHeight="false" outlineLevel="0" collapsed="false">
      <c r="A274" s="27"/>
      <c r="B274" s="5"/>
      <c r="C274" s="18"/>
      <c r="D274" s="5"/>
      <c r="E274" s="35"/>
      <c r="F274" s="5"/>
      <c r="G274" s="5"/>
      <c r="H274" s="5"/>
      <c r="I274" s="14"/>
      <c r="J274" s="14"/>
      <c r="K274" s="28" t="str">
        <f aca="false">IF(A274="","",COUNTIF(Contratos!$A:$A,A274))</f>
        <v/>
      </c>
      <c r="L274" s="39" t="str">
        <f aca="false">IF(A274="","",SUMIFS(Contratos!$D:$D,Contratos!$A:$A,A274)+SUMIFS(Contratos!$N:$N,Contratos!$A:$A,A274))</f>
        <v/>
      </c>
      <c r="M274" s="39" t="str">
        <f aca="false">IF(A274="","",SUMIFS(Pagamentos!$C:$C,Pagamentos!$A:$A,A274,Pagamentos!$F:$F,"Empenho"))</f>
        <v/>
      </c>
      <c r="N274" s="39" t="str">
        <f aca="false">IF(A274="","",SUMIFS(Pagamentos!$C:$C,Pagamentos!$A:$A,A274,Pagamentos!$F:$F,"Pagamento"))</f>
        <v/>
      </c>
      <c r="O274" s="37" t="str">
        <f aca="false">IF(OR(A274="",E274="",L274="",L274=0),"",E274/L274)</f>
        <v/>
      </c>
      <c r="P274" s="28" t="str">
        <f aca="false">IF(A274="","",COUNTIFS(Sancoes!$A:$A,A274,Sancoes!$B:$B,"&lt;&gt;Não consta"))</f>
        <v/>
      </c>
      <c r="Q274" s="28" t="str">
        <f aca="false">IF(A274="","",COUNTIF(Socios!$A:$A,A274))</f>
        <v/>
      </c>
      <c r="R274" s="28" t="str">
        <f aca="false">IF(A274="","",COUNTIFS(Socios!$A:$A,A274,Socios!$K:$K,"SIM"))</f>
        <v/>
      </c>
      <c r="S274" s="27"/>
      <c r="T274" s="5"/>
    </row>
    <row r="275" customFormat="false" ht="15" hidden="false" customHeight="false" outlineLevel="0" collapsed="false">
      <c r="A275" s="27"/>
      <c r="B275" s="5"/>
      <c r="C275" s="18"/>
      <c r="D275" s="5"/>
      <c r="E275" s="35"/>
      <c r="F275" s="5"/>
      <c r="G275" s="5"/>
      <c r="H275" s="5"/>
      <c r="I275" s="14"/>
      <c r="J275" s="14"/>
      <c r="K275" s="28" t="str">
        <f aca="false">IF(A275="","",COUNTIF(Contratos!$A:$A,A275))</f>
        <v/>
      </c>
      <c r="L275" s="39" t="str">
        <f aca="false">IF(A275="","",SUMIFS(Contratos!$D:$D,Contratos!$A:$A,A275)+SUMIFS(Contratos!$N:$N,Contratos!$A:$A,A275))</f>
        <v/>
      </c>
      <c r="M275" s="39" t="str">
        <f aca="false">IF(A275="","",SUMIFS(Pagamentos!$C:$C,Pagamentos!$A:$A,A275,Pagamentos!$F:$F,"Empenho"))</f>
        <v/>
      </c>
      <c r="N275" s="39" t="str">
        <f aca="false">IF(A275="","",SUMIFS(Pagamentos!$C:$C,Pagamentos!$A:$A,A275,Pagamentos!$F:$F,"Pagamento"))</f>
        <v/>
      </c>
      <c r="O275" s="37" t="str">
        <f aca="false">IF(OR(A275="",E275="",L275="",L275=0),"",E275/L275)</f>
        <v/>
      </c>
      <c r="P275" s="28" t="str">
        <f aca="false">IF(A275="","",COUNTIFS(Sancoes!$A:$A,A275,Sancoes!$B:$B,"&lt;&gt;Não consta"))</f>
        <v/>
      </c>
      <c r="Q275" s="28" t="str">
        <f aca="false">IF(A275="","",COUNTIF(Socios!$A:$A,A275))</f>
        <v/>
      </c>
      <c r="R275" s="28" t="str">
        <f aca="false">IF(A275="","",COUNTIFS(Socios!$A:$A,A275,Socios!$K:$K,"SIM"))</f>
        <v/>
      </c>
      <c r="S275" s="27"/>
      <c r="T275" s="5"/>
    </row>
    <row r="276" customFormat="false" ht="15" hidden="false" customHeight="false" outlineLevel="0" collapsed="false">
      <c r="A276" s="27"/>
      <c r="B276" s="5"/>
      <c r="C276" s="18"/>
      <c r="D276" s="5"/>
      <c r="E276" s="35"/>
      <c r="F276" s="5"/>
      <c r="G276" s="5"/>
      <c r="H276" s="5"/>
      <c r="I276" s="14"/>
      <c r="J276" s="14"/>
      <c r="K276" s="28" t="str">
        <f aca="false">IF(A276="","",COUNTIF(Contratos!$A:$A,A276))</f>
        <v/>
      </c>
      <c r="L276" s="39" t="str">
        <f aca="false">IF(A276="","",SUMIFS(Contratos!$D:$D,Contratos!$A:$A,A276)+SUMIFS(Contratos!$N:$N,Contratos!$A:$A,A276))</f>
        <v/>
      </c>
      <c r="M276" s="39" t="str">
        <f aca="false">IF(A276="","",SUMIFS(Pagamentos!$C:$C,Pagamentos!$A:$A,A276,Pagamentos!$F:$F,"Empenho"))</f>
        <v/>
      </c>
      <c r="N276" s="39" t="str">
        <f aca="false">IF(A276="","",SUMIFS(Pagamentos!$C:$C,Pagamentos!$A:$A,A276,Pagamentos!$F:$F,"Pagamento"))</f>
        <v/>
      </c>
      <c r="O276" s="37" t="str">
        <f aca="false">IF(OR(A276="",E276="",L276="",L276=0),"",E276/L276)</f>
        <v/>
      </c>
      <c r="P276" s="28" t="str">
        <f aca="false">IF(A276="","",COUNTIFS(Sancoes!$A:$A,A276,Sancoes!$B:$B,"&lt;&gt;Não consta"))</f>
        <v/>
      </c>
      <c r="Q276" s="28" t="str">
        <f aca="false">IF(A276="","",COUNTIF(Socios!$A:$A,A276))</f>
        <v/>
      </c>
      <c r="R276" s="28" t="str">
        <f aca="false">IF(A276="","",COUNTIFS(Socios!$A:$A,A276,Socios!$K:$K,"SIM"))</f>
        <v/>
      </c>
      <c r="S276" s="27"/>
      <c r="T276" s="5"/>
    </row>
    <row r="277" customFormat="false" ht="15" hidden="false" customHeight="false" outlineLevel="0" collapsed="false">
      <c r="A277" s="27"/>
      <c r="B277" s="5"/>
      <c r="C277" s="18"/>
      <c r="D277" s="5"/>
      <c r="E277" s="35"/>
      <c r="F277" s="5"/>
      <c r="G277" s="5"/>
      <c r="H277" s="5"/>
      <c r="I277" s="14"/>
      <c r="J277" s="14"/>
      <c r="K277" s="28" t="str">
        <f aca="false">IF(A277="","",COUNTIF(Contratos!$A:$A,A277))</f>
        <v/>
      </c>
      <c r="L277" s="39" t="str">
        <f aca="false">IF(A277="","",SUMIFS(Contratos!$D:$D,Contratos!$A:$A,A277)+SUMIFS(Contratos!$N:$N,Contratos!$A:$A,A277))</f>
        <v/>
      </c>
      <c r="M277" s="39" t="str">
        <f aca="false">IF(A277="","",SUMIFS(Pagamentos!$C:$C,Pagamentos!$A:$A,A277,Pagamentos!$F:$F,"Empenho"))</f>
        <v/>
      </c>
      <c r="N277" s="39" t="str">
        <f aca="false">IF(A277="","",SUMIFS(Pagamentos!$C:$C,Pagamentos!$A:$A,A277,Pagamentos!$F:$F,"Pagamento"))</f>
        <v/>
      </c>
      <c r="O277" s="37" t="str">
        <f aca="false">IF(OR(A277="",E277="",L277="",L277=0),"",E277/L277)</f>
        <v/>
      </c>
      <c r="P277" s="28" t="str">
        <f aca="false">IF(A277="","",COUNTIFS(Sancoes!$A:$A,A277,Sancoes!$B:$B,"&lt;&gt;Não consta"))</f>
        <v/>
      </c>
      <c r="Q277" s="28" t="str">
        <f aca="false">IF(A277="","",COUNTIF(Socios!$A:$A,A277))</f>
        <v/>
      </c>
      <c r="R277" s="28" t="str">
        <f aca="false">IF(A277="","",COUNTIFS(Socios!$A:$A,A277,Socios!$K:$K,"SIM"))</f>
        <v/>
      </c>
      <c r="S277" s="27"/>
      <c r="T277" s="5"/>
    </row>
    <row r="278" customFormat="false" ht="15" hidden="false" customHeight="false" outlineLevel="0" collapsed="false">
      <c r="A278" s="27"/>
      <c r="B278" s="5"/>
      <c r="C278" s="18"/>
      <c r="D278" s="5"/>
      <c r="E278" s="35"/>
      <c r="F278" s="5"/>
      <c r="G278" s="5"/>
      <c r="H278" s="5"/>
      <c r="I278" s="14"/>
      <c r="J278" s="14"/>
      <c r="K278" s="28" t="str">
        <f aca="false">IF(A278="","",COUNTIF(Contratos!$A:$A,A278))</f>
        <v/>
      </c>
      <c r="L278" s="39" t="str">
        <f aca="false">IF(A278="","",SUMIFS(Contratos!$D:$D,Contratos!$A:$A,A278)+SUMIFS(Contratos!$N:$N,Contratos!$A:$A,A278))</f>
        <v/>
      </c>
      <c r="M278" s="39" t="str">
        <f aca="false">IF(A278="","",SUMIFS(Pagamentos!$C:$C,Pagamentos!$A:$A,A278,Pagamentos!$F:$F,"Empenho"))</f>
        <v/>
      </c>
      <c r="N278" s="39" t="str">
        <f aca="false">IF(A278="","",SUMIFS(Pagamentos!$C:$C,Pagamentos!$A:$A,A278,Pagamentos!$F:$F,"Pagamento"))</f>
        <v/>
      </c>
      <c r="O278" s="37" t="str">
        <f aca="false">IF(OR(A278="",E278="",L278="",L278=0),"",E278/L278)</f>
        <v/>
      </c>
      <c r="P278" s="28" t="str">
        <f aca="false">IF(A278="","",COUNTIFS(Sancoes!$A:$A,A278,Sancoes!$B:$B,"&lt;&gt;Não consta"))</f>
        <v/>
      </c>
      <c r="Q278" s="28" t="str">
        <f aca="false">IF(A278="","",COUNTIF(Socios!$A:$A,A278))</f>
        <v/>
      </c>
      <c r="R278" s="28" t="str">
        <f aca="false">IF(A278="","",COUNTIFS(Socios!$A:$A,A278,Socios!$K:$K,"SIM"))</f>
        <v/>
      </c>
      <c r="S278" s="27"/>
      <c r="T278" s="5"/>
    </row>
    <row r="279" customFormat="false" ht="15" hidden="false" customHeight="false" outlineLevel="0" collapsed="false">
      <c r="A279" s="27"/>
      <c r="B279" s="5"/>
      <c r="C279" s="18"/>
      <c r="D279" s="5"/>
      <c r="E279" s="35"/>
      <c r="F279" s="5"/>
      <c r="G279" s="5"/>
      <c r="H279" s="5"/>
      <c r="I279" s="14"/>
      <c r="J279" s="14"/>
      <c r="K279" s="28" t="str">
        <f aca="false">IF(A279="","",COUNTIF(Contratos!$A:$A,A279))</f>
        <v/>
      </c>
      <c r="L279" s="39" t="str">
        <f aca="false">IF(A279="","",SUMIFS(Contratos!$D:$D,Contratos!$A:$A,A279)+SUMIFS(Contratos!$N:$N,Contratos!$A:$A,A279))</f>
        <v/>
      </c>
      <c r="M279" s="39" t="str">
        <f aca="false">IF(A279="","",SUMIFS(Pagamentos!$C:$C,Pagamentos!$A:$A,A279,Pagamentos!$F:$F,"Empenho"))</f>
        <v/>
      </c>
      <c r="N279" s="39" t="str">
        <f aca="false">IF(A279="","",SUMIFS(Pagamentos!$C:$C,Pagamentos!$A:$A,A279,Pagamentos!$F:$F,"Pagamento"))</f>
        <v/>
      </c>
      <c r="O279" s="37" t="str">
        <f aca="false">IF(OR(A279="",E279="",L279="",L279=0),"",E279/L279)</f>
        <v/>
      </c>
      <c r="P279" s="28" t="str">
        <f aca="false">IF(A279="","",COUNTIFS(Sancoes!$A:$A,A279,Sancoes!$B:$B,"&lt;&gt;Não consta"))</f>
        <v/>
      </c>
      <c r="Q279" s="28" t="str">
        <f aca="false">IF(A279="","",COUNTIF(Socios!$A:$A,A279))</f>
        <v/>
      </c>
      <c r="R279" s="28" t="str">
        <f aca="false">IF(A279="","",COUNTIFS(Socios!$A:$A,A279,Socios!$K:$K,"SIM"))</f>
        <v/>
      </c>
      <c r="S279" s="27"/>
      <c r="T279" s="5"/>
    </row>
    <row r="280" customFormat="false" ht="15" hidden="false" customHeight="false" outlineLevel="0" collapsed="false">
      <c r="A280" s="27"/>
      <c r="B280" s="5"/>
      <c r="C280" s="18"/>
      <c r="D280" s="5"/>
      <c r="E280" s="35"/>
      <c r="F280" s="5"/>
      <c r="G280" s="5"/>
      <c r="H280" s="5"/>
      <c r="I280" s="14"/>
      <c r="J280" s="14"/>
      <c r="K280" s="28" t="str">
        <f aca="false">IF(A280="","",COUNTIF(Contratos!$A:$A,A280))</f>
        <v/>
      </c>
      <c r="L280" s="39" t="str">
        <f aca="false">IF(A280="","",SUMIFS(Contratos!$D:$D,Contratos!$A:$A,A280)+SUMIFS(Contratos!$N:$N,Contratos!$A:$A,A280))</f>
        <v/>
      </c>
      <c r="M280" s="39" t="str">
        <f aca="false">IF(A280="","",SUMIFS(Pagamentos!$C:$C,Pagamentos!$A:$A,A280,Pagamentos!$F:$F,"Empenho"))</f>
        <v/>
      </c>
      <c r="N280" s="39" t="str">
        <f aca="false">IF(A280="","",SUMIFS(Pagamentos!$C:$C,Pagamentos!$A:$A,A280,Pagamentos!$F:$F,"Pagamento"))</f>
        <v/>
      </c>
      <c r="O280" s="37" t="str">
        <f aca="false">IF(OR(A280="",E280="",L280="",L280=0),"",E280/L280)</f>
        <v/>
      </c>
      <c r="P280" s="28" t="str">
        <f aca="false">IF(A280="","",COUNTIFS(Sancoes!$A:$A,A280,Sancoes!$B:$B,"&lt;&gt;Não consta"))</f>
        <v/>
      </c>
      <c r="Q280" s="28" t="str">
        <f aca="false">IF(A280="","",COUNTIF(Socios!$A:$A,A280))</f>
        <v/>
      </c>
      <c r="R280" s="28" t="str">
        <f aca="false">IF(A280="","",COUNTIFS(Socios!$A:$A,A280,Socios!$K:$K,"SIM"))</f>
        <v/>
      </c>
      <c r="S280" s="27"/>
      <c r="T280" s="5"/>
    </row>
    <row r="281" customFormat="false" ht="15" hidden="false" customHeight="false" outlineLevel="0" collapsed="false">
      <c r="A281" s="27"/>
      <c r="B281" s="5"/>
      <c r="C281" s="18"/>
      <c r="D281" s="5"/>
      <c r="E281" s="35"/>
      <c r="F281" s="5"/>
      <c r="G281" s="5"/>
      <c r="H281" s="5"/>
      <c r="I281" s="14"/>
      <c r="J281" s="14"/>
      <c r="K281" s="28" t="str">
        <f aca="false">IF(A281="","",COUNTIF(Contratos!$A:$A,A281))</f>
        <v/>
      </c>
      <c r="L281" s="39" t="str">
        <f aca="false">IF(A281="","",SUMIFS(Contratos!$D:$D,Contratos!$A:$A,A281)+SUMIFS(Contratos!$N:$N,Contratos!$A:$A,A281))</f>
        <v/>
      </c>
      <c r="M281" s="39" t="str">
        <f aca="false">IF(A281="","",SUMIFS(Pagamentos!$C:$C,Pagamentos!$A:$A,A281,Pagamentos!$F:$F,"Empenho"))</f>
        <v/>
      </c>
      <c r="N281" s="39" t="str">
        <f aca="false">IF(A281="","",SUMIFS(Pagamentos!$C:$C,Pagamentos!$A:$A,A281,Pagamentos!$F:$F,"Pagamento"))</f>
        <v/>
      </c>
      <c r="O281" s="37" t="str">
        <f aca="false">IF(OR(A281="",E281="",L281="",L281=0),"",E281/L281)</f>
        <v/>
      </c>
      <c r="P281" s="28" t="str">
        <f aca="false">IF(A281="","",COUNTIFS(Sancoes!$A:$A,A281,Sancoes!$B:$B,"&lt;&gt;Não consta"))</f>
        <v/>
      </c>
      <c r="Q281" s="28" t="str">
        <f aca="false">IF(A281="","",COUNTIF(Socios!$A:$A,A281))</f>
        <v/>
      </c>
      <c r="R281" s="28" t="str">
        <f aca="false">IF(A281="","",COUNTIFS(Socios!$A:$A,A281,Socios!$K:$K,"SIM"))</f>
        <v/>
      </c>
      <c r="S281" s="27"/>
      <c r="T281" s="5"/>
    </row>
    <row r="282" customFormat="false" ht="15" hidden="false" customHeight="false" outlineLevel="0" collapsed="false">
      <c r="A282" s="27"/>
      <c r="B282" s="5"/>
      <c r="C282" s="18"/>
      <c r="D282" s="5"/>
      <c r="E282" s="35"/>
      <c r="F282" s="5"/>
      <c r="G282" s="5"/>
      <c r="H282" s="5"/>
      <c r="I282" s="14"/>
      <c r="J282" s="14"/>
      <c r="K282" s="28" t="str">
        <f aca="false">IF(A282="","",COUNTIF(Contratos!$A:$A,A282))</f>
        <v/>
      </c>
      <c r="L282" s="39" t="str">
        <f aca="false">IF(A282="","",SUMIFS(Contratos!$D:$D,Contratos!$A:$A,A282)+SUMIFS(Contratos!$N:$N,Contratos!$A:$A,A282))</f>
        <v/>
      </c>
      <c r="M282" s="39" t="str">
        <f aca="false">IF(A282="","",SUMIFS(Pagamentos!$C:$C,Pagamentos!$A:$A,A282,Pagamentos!$F:$F,"Empenho"))</f>
        <v/>
      </c>
      <c r="N282" s="39" t="str">
        <f aca="false">IF(A282="","",SUMIFS(Pagamentos!$C:$C,Pagamentos!$A:$A,A282,Pagamentos!$F:$F,"Pagamento"))</f>
        <v/>
      </c>
      <c r="O282" s="37" t="str">
        <f aca="false">IF(OR(A282="",E282="",L282="",L282=0),"",E282/L282)</f>
        <v/>
      </c>
      <c r="P282" s="28" t="str">
        <f aca="false">IF(A282="","",COUNTIFS(Sancoes!$A:$A,A282,Sancoes!$B:$B,"&lt;&gt;Não consta"))</f>
        <v/>
      </c>
      <c r="Q282" s="28" t="str">
        <f aca="false">IF(A282="","",COUNTIF(Socios!$A:$A,A282))</f>
        <v/>
      </c>
      <c r="R282" s="28" t="str">
        <f aca="false">IF(A282="","",COUNTIFS(Socios!$A:$A,A282,Socios!$K:$K,"SIM"))</f>
        <v/>
      </c>
      <c r="S282" s="27"/>
      <c r="T282" s="5"/>
    </row>
    <row r="283" customFormat="false" ht="15" hidden="false" customHeight="false" outlineLevel="0" collapsed="false">
      <c r="A283" s="27"/>
      <c r="B283" s="5"/>
      <c r="C283" s="18"/>
      <c r="D283" s="5"/>
      <c r="E283" s="35"/>
      <c r="F283" s="5"/>
      <c r="G283" s="5"/>
      <c r="H283" s="5"/>
      <c r="I283" s="14"/>
      <c r="J283" s="14"/>
      <c r="K283" s="28" t="str">
        <f aca="false">IF(A283="","",COUNTIF(Contratos!$A:$A,A283))</f>
        <v/>
      </c>
      <c r="L283" s="39" t="str">
        <f aca="false">IF(A283="","",SUMIFS(Contratos!$D:$D,Contratos!$A:$A,A283)+SUMIFS(Contratos!$N:$N,Contratos!$A:$A,A283))</f>
        <v/>
      </c>
      <c r="M283" s="39" t="str">
        <f aca="false">IF(A283="","",SUMIFS(Pagamentos!$C:$C,Pagamentos!$A:$A,A283,Pagamentos!$F:$F,"Empenho"))</f>
        <v/>
      </c>
      <c r="N283" s="39" t="str">
        <f aca="false">IF(A283="","",SUMIFS(Pagamentos!$C:$C,Pagamentos!$A:$A,A283,Pagamentos!$F:$F,"Pagamento"))</f>
        <v/>
      </c>
      <c r="O283" s="37" t="str">
        <f aca="false">IF(OR(A283="",E283="",L283="",L283=0),"",E283/L283)</f>
        <v/>
      </c>
      <c r="P283" s="28" t="str">
        <f aca="false">IF(A283="","",COUNTIFS(Sancoes!$A:$A,A283,Sancoes!$B:$B,"&lt;&gt;Não consta"))</f>
        <v/>
      </c>
      <c r="Q283" s="28" t="str">
        <f aca="false">IF(A283="","",COUNTIF(Socios!$A:$A,A283))</f>
        <v/>
      </c>
      <c r="R283" s="28" t="str">
        <f aca="false">IF(A283="","",COUNTIFS(Socios!$A:$A,A283,Socios!$K:$K,"SIM"))</f>
        <v/>
      </c>
      <c r="S283" s="27"/>
      <c r="T283" s="5"/>
    </row>
    <row r="284" customFormat="false" ht="15" hidden="false" customHeight="false" outlineLevel="0" collapsed="false">
      <c r="A284" s="27"/>
      <c r="B284" s="5"/>
      <c r="C284" s="18"/>
      <c r="D284" s="5"/>
      <c r="E284" s="35"/>
      <c r="F284" s="5"/>
      <c r="G284" s="5"/>
      <c r="H284" s="5"/>
      <c r="I284" s="14"/>
      <c r="J284" s="14"/>
      <c r="K284" s="28" t="str">
        <f aca="false">IF(A284="","",COUNTIF(Contratos!$A:$A,A284))</f>
        <v/>
      </c>
      <c r="L284" s="39" t="str">
        <f aca="false">IF(A284="","",SUMIFS(Contratos!$D:$D,Contratos!$A:$A,A284)+SUMIFS(Contratos!$N:$N,Contratos!$A:$A,A284))</f>
        <v/>
      </c>
      <c r="M284" s="39" t="str">
        <f aca="false">IF(A284="","",SUMIFS(Pagamentos!$C:$C,Pagamentos!$A:$A,A284,Pagamentos!$F:$F,"Empenho"))</f>
        <v/>
      </c>
      <c r="N284" s="39" t="str">
        <f aca="false">IF(A284="","",SUMIFS(Pagamentos!$C:$C,Pagamentos!$A:$A,A284,Pagamentos!$F:$F,"Pagamento"))</f>
        <v/>
      </c>
      <c r="O284" s="37" t="str">
        <f aca="false">IF(OR(A284="",E284="",L284="",L284=0),"",E284/L284)</f>
        <v/>
      </c>
      <c r="P284" s="28" t="str">
        <f aca="false">IF(A284="","",COUNTIFS(Sancoes!$A:$A,A284,Sancoes!$B:$B,"&lt;&gt;Não consta"))</f>
        <v/>
      </c>
      <c r="Q284" s="28" t="str">
        <f aca="false">IF(A284="","",COUNTIF(Socios!$A:$A,A284))</f>
        <v/>
      </c>
      <c r="R284" s="28" t="str">
        <f aca="false">IF(A284="","",COUNTIFS(Socios!$A:$A,A284,Socios!$K:$K,"SIM"))</f>
        <v/>
      </c>
      <c r="S284" s="27"/>
      <c r="T284" s="5"/>
    </row>
    <row r="285" customFormat="false" ht="15" hidden="false" customHeight="false" outlineLevel="0" collapsed="false">
      <c r="A285" s="27"/>
      <c r="B285" s="5"/>
      <c r="C285" s="18"/>
      <c r="D285" s="5"/>
      <c r="E285" s="35"/>
      <c r="F285" s="5"/>
      <c r="G285" s="5"/>
      <c r="H285" s="5"/>
      <c r="I285" s="14"/>
      <c r="J285" s="14"/>
      <c r="K285" s="28" t="str">
        <f aca="false">IF(A285="","",COUNTIF(Contratos!$A:$A,A285))</f>
        <v/>
      </c>
      <c r="L285" s="39" t="str">
        <f aca="false">IF(A285="","",SUMIFS(Contratos!$D:$D,Contratos!$A:$A,A285)+SUMIFS(Contratos!$N:$N,Contratos!$A:$A,A285))</f>
        <v/>
      </c>
      <c r="M285" s="39" t="str">
        <f aca="false">IF(A285="","",SUMIFS(Pagamentos!$C:$C,Pagamentos!$A:$A,A285,Pagamentos!$F:$F,"Empenho"))</f>
        <v/>
      </c>
      <c r="N285" s="39" t="str">
        <f aca="false">IF(A285="","",SUMIFS(Pagamentos!$C:$C,Pagamentos!$A:$A,A285,Pagamentos!$F:$F,"Pagamento"))</f>
        <v/>
      </c>
      <c r="O285" s="37" t="str">
        <f aca="false">IF(OR(A285="",E285="",L285="",L285=0),"",E285/L285)</f>
        <v/>
      </c>
      <c r="P285" s="28" t="str">
        <f aca="false">IF(A285="","",COUNTIFS(Sancoes!$A:$A,A285,Sancoes!$B:$B,"&lt;&gt;Não consta"))</f>
        <v/>
      </c>
      <c r="Q285" s="28" t="str">
        <f aca="false">IF(A285="","",COUNTIF(Socios!$A:$A,A285))</f>
        <v/>
      </c>
      <c r="R285" s="28" t="str">
        <f aca="false">IF(A285="","",COUNTIFS(Socios!$A:$A,A285,Socios!$K:$K,"SIM"))</f>
        <v/>
      </c>
      <c r="S285" s="27"/>
      <c r="T285" s="5"/>
    </row>
    <row r="286" customFormat="false" ht="15" hidden="false" customHeight="false" outlineLevel="0" collapsed="false">
      <c r="A286" s="27"/>
      <c r="B286" s="5"/>
      <c r="C286" s="18"/>
      <c r="D286" s="5"/>
      <c r="E286" s="35"/>
      <c r="F286" s="5"/>
      <c r="G286" s="5"/>
      <c r="H286" s="5"/>
      <c r="I286" s="14"/>
      <c r="J286" s="14"/>
      <c r="K286" s="28" t="str">
        <f aca="false">IF(A286="","",COUNTIF(Contratos!$A:$A,A286))</f>
        <v/>
      </c>
      <c r="L286" s="39" t="str">
        <f aca="false">IF(A286="","",SUMIFS(Contratos!$D:$D,Contratos!$A:$A,A286)+SUMIFS(Contratos!$N:$N,Contratos!$A:$A,A286))</f>
        <v/>
      </c>
      <c r="M286" s="39" t="str">
        <f aca="false">IF(A286="","",SUMIFS(Pagamentos!$C:$C,Pagamentos!$A:$A,A286,Pagamentos!$F:$F,"Empenho"))</f>
        <v/>
      </c>
      <c r="N286" s="39" t="str">
        <f aca="false">IF(A286="","",SUMIFS(Pagamentos!$C:$C,Pagamentos!$A:$A,A286,Pagamentos!$F:$F,"Pagamento"))</f>
        <v/>
      </c>
      <c r="O286" s="37" t="str">
        <f aca="false">IF(OR(A286="",E286="",L286="",L286=0),"",E286/L286)</f>
        <v/>
      </c>
      <c r="P286" s="28" t="str">
        <f aca="false">IF(A286="","",COUNTIFS(Sancoes!$A:$A,A286,Sancoes!$B:$B,"&lt;&gt;Não consta"))</f>
        <v/>
      </c>
      <c r="Q286" s="28" t="str">
        <f aca="false">IF(A286="","",COUNTIF(Socios!$A:$A,A286))</f>
        <v/>
      </c>
      <c r="R286" s="28" t="str">
        <f aca="false">IF(A286="","",COUNTIFS(Socios!$A:$A,A286,Socios!$K:$K,"SIM"))</f>
        <v/>
      </c>
      <c r="S286" s="27"/>
      <c r="T286" s="5"/>
    </row>
    <row r="287" customFormat="false" ht="15" hidden="false" customHeight="false" outlineLevel="0" collapsed="false">
      <c r="A287" s="27"/>
      <c r="B287" s="5"/>
      <c r="C287" s="18"/>
      <c r="D287" s="5"/>
      <c r="E287" s="35"/>
      <c r="F287" s="5"/>
      <c r="G287" s="5"/>
      <c r="H287" s="5"/>
      <c r="I287" s="14"/>
      <c r="J287" s="14"/>
      <c r="K287" s="28" t="str">
        <f aca="false">IF(A287="","",COUNTIF(Contratos!$A:$A,A287))</f>
        <v/>
      </c>
      <c r="L287" s="39" t="str">
        <f aca="false">IF(A287="","",SUMIFS(Contratos!$D:$D,Contratos!$A:$A,A287)+SUMIFS(Contratos!$N:$N,Contratos!$A:$A,A287))</f>
        <v/>
      </c>
      <c r="M287" s="39" t="str">
        <f aca="false">IF(A287="","",SUMIFS(Pagamentos!$C:$C,Pagamentos!$A:$A,A287,Pagamentos!$F:$F,"Empenho"))</f>
        <v/>
      </c>
      <c r="N287" s="39" t="str">
        <f aca="false">IF(A287="","",SUMIFS(Pagamentos!$C:$C,Pagamentos!$A:$A,A287,Pagamentos!$F:$F,"Pagamento"))</f>
        <v/>
      </c>
      <c r="O287" s="37" t="str">
        <f aca="false">IF(OR(A287="",E287="",L287="",L287=0),"",E287/L287)</f>
        <v/>
      </c>
      <c r="P287" s="28" t="str">
        <f aca="false">IF(A287="","",COUNTIFS(Sancoes!$A:$A,A287,Sancoes!$B:$B,"&lt;&gt;Não consta"))</f>
        <v/>
      </c>
      <c r="Q287" s="28" t="str">
        <f aca="false">IF(A287="","",COUNTIF(Socios!$A:$A,A287))</f>
        <v/>
      </c>
      <c r="R287" s="28" t="str">
        <f aca="false">IF(A287="","",COUNTIFS(Socios!$A:$A,A287,Socios!$K:$K,"SIM"))</f>
        <v/>
      </c>
      <c r="S287" s="27"/>
      <c r="T287" s="5"/>
    </row>
    <row r="288" customFormat="false" ht="15" hidden="false" customHeight="false" outlineLevel="0" collapsed="false">
      <c r="A288" s="27"/>
      <c r="B288" s="5"/>
      <c r="C288" s="18"/>
      <c r="D288" s="5"/>
      <c r="E288" s="35"/>
      <c r="F288" s="5"/>
      <c r="G288" s="5"/>
      <c r="H288" s="5"/>
      <c r="I288" s="14"/>
      <c r="J288" s="14"/>
      <c r="K288" s="28" t="str">
        <f aca="false">IF(A288="","",COUNTIF(Contratos!$A:$A,A288))</f>
        <v/>
      </c>
      <c r="L288" s="39" t="str">
        <f aca="false">IF(A288="","",SUMIFS(Contratos!$D:$D,Contratos!$A:$A,A288)+SUMIFS(Contratos!$N:$N,Contratos!$A:$A,A288))</f>
        <v/>
      </c>
      <c r="M288" s="39" t="str">
        <f aca="false">IF(A288="","",SUMIFS(Pagamentos!$C:$C,Pagamentos!$A:$A,A288,Pagamentos!$F:$F,"Empenho"))</f>
        <v/>
      </c>
      <c r="N288" s="39" t="str">
        <f aca="false">IF(A288="","",SUMIFS(Pagamentos!$C:$C,Pagamentos!$A:$A,A288,Pagamentos!$F:$F,"Pagamento"))</f>
        <v/>
      </c>
      <c r="O288" s="37" t="str">
        <f aca="false">IF(OR(A288="",E288="",L288="",L288=0),"",E288/L288)</f>
        <v/>
      </c>
      <c r="P288" s="28" t="str">
        <f aca="false">IF(A288="","",COUNTIFS(Sancoes!$A:$A,A288,Sancoes!$B:$B,"&lt;&gt;Não consta"))</f>
        <v/>
      </c>
      <c r="Q288" s="28" t="str">
        <f aca="false">IF(A288="","",COUNTIF(Socios!$A:$A,A288))</f>
        <v/>
      </c>
      <c r="R288" s="28" t="str">
        <f aca="false">IF(A288="","",COUNTIFS(Socios!$A:$A,A288,Socios!$K:$K,"SIM"))</f>
        <v/>
      </c>
      <c r="S288" s="27"/>
      <c r="T288" s="5"/>
    </row>
    <row r="289" customFormat="false" ht="15" hidden="false" customHeight="false" outlineLevel="0" collapsed="false">
      <c r="A289" s="27"/>
      <c r="B289" s="5"/>
      <c r="C289" s="18"/>
      <c r="D289" s="5"/>
      <c r="E289" s="35"/>
      <c r="F289" s="5"/>
      <c r="G289" s="5"/>
      <c r="H289" s="5"/>
      <c r="I289" s="14"/>
      <c r="J289" s="14"/>
      <c r="K289" s="28" t="str">
        <f aca="false">IF(A289="","",COUNTIF(Contratos!$A:$A,A289))</f>
        <v/>
      </c>
      <c r="L289" s="39" t="str">
        <f aca="false">IF(A289="","",SUMIFS(Contratos!$D:$D,Contratos!$A:$A,A289)+SUMIFS(Contratos!$N:$N,Contratos!$A:$A,A289))</f>
        <v/>
      </c>
      <c r="M289" s="39" t="str">
        <f aca="false">IF(A289="","",SUMIFS(Pagamentos!$C:$C,Pagamentos!$A:$A,A289,Pagamentos!$F:$F,"Empenho"))</f>
        <v/>
      </c>
      <c r="N289" s="39" t="str">
        <f aca="false">IF(A289="","",SUMIFS(Pagamentos!$C:$C,Pagamentos!$A:$A,A289,Pagamentos!$F:$F,"Pagamento"))</f>
        <v/>
      </c>
      <c r="O289" s="37" t="str">
        <f aca="false">IF(OR(A289="",E289="",L289="",L289=0),"",E289/L289)</f>
        <v/>
      </c>
      <c r="P289" s="28" t="str">
        <f aca="false">IF(A289="","",COUNTIFS(Sancoes!$A:$A,A289,Sancoes!$B:$B,"&lt;&gt;Não consta"))</f>
        <v/>
      </c>
      <c r="Q289" s="28" t="str">
        <f aca="false">IF(A289="","",COUNTIF(Socios!$A:$A,A289))</f>
        <v/>
      </c>
      <c r="R289" s="28" t="str">
        <f aca="false">IF(A289="","",COUNTIFS(Socios!$A:$A,A289,Socios!$K:$K,"SIM"))</f>
        <v/>
      </c>
      <c r="S289" s="27"/>
      <c r="T289" s="5"/>
    </row>
    <row r="290" customFormat="false" ht="15" hidden="false" customHeight="false" outlineLevel="0" collapsed="false">
      <c r="A290" s="27"/>
      <c r="B290" s="5"/>
      <c r="C290" s="18"/>
      <c r="D290" s="5"/>
      <c r="E290" s="35"/>
      <c r="F290" s="5"/>
      <c r="G290" s="5"/>
      <c r="H290" s="5"/>
      <c r="I290" s="14"/>
      <c r="J290" s="14"/>
      <c r="K290" s="28" t="str">
        <f aca="false">IF(A290="","",COUNTIF(Contratos!$A:$A,A290))</f>
        <v/>
      </c>
      <c r="L290" s="39" t="str">
        <f aca="false">IF(A290="","",SUMIFS(Contratos!$D:$D,Contratos!$A:$A,A290)+SUMIFS(Contratos!$N:$N,Contratos!$A:$A,A290))</f>
        <v/>
      </c>
      <c r="M290" s="39" t="str">
        <f aca="false">IF(A290="","",SUMIFS(Pagamentos!$C:$C,Pagamentos!$A:$A,A290,Pagamentos!$F:$F,"Empenho"))</f>
        <v/>
      </c>
      <c r="N290" s="39" t="str">
        <f aca="false">IF(A290="","",SUMIFS(Pagamentos!$C:$C,Pagamentos!$A:$A,A290,Pagamentos!$F:$F,"Pagamento"))</f>
        <v/>
      </c>
      <c r="O290" s="37" t="str">
        <f aca="false">IF(OR(A290="",E290="",L290="",L290=0),"",E290/L290)</f>
        <v/>
      </c>
      <c r="P290" s="28" t="str">
        <f aca="false">IF(A290="","",COUNTIFS(Sancoes!$A:$A,A290,Sancoes!$B:$B,"&lt;&gt;Não consta"))</f>
        <v/>
      </c>
      <c r="Q290" s="28" t="str">
        <f aca="false">IF(A290="","",COUNTIF(Socios!$A:$A,A290))</f>
        <v/>
      </c>
      <c r="R290" s="28" t="str">
        <f aca="false">IF(A290="","",COUNTIFS(Socios!$A:$A,A290,Socios!$K:$K,"SIM"))</f>
        <v/>
      </c>
      <c r="S290" s="27"/>
      <c r="T290" s="5"/>
    </row>
    <row r="291" customFormat="false" ht="15" hidden="false" customHeight="false" outlineLevel="0" collapsed="false">
      <c r="A291" s="27"/>
      <c r="B291" s="5"/>
      <c r="C291" s="18"/>
      <c r="D291" s="5"/>
      <c r="E291" s="35"/>
      <c r="F291" s="5"/>
      <c r="G291" s="5"/>
      <c r="H291" s="5"/>
      <c r="I291" s="14"/>
      <c r="J291" s="14"/>
      <c r="K291" s="28" t="str">
        <f aca="false">IF(A291="","",COUNTIF(Contratos!$A:$A,A291))</f>
        <v/>
      </c>
      <c r="L291" s="39" t="str">
        <f aca="false">IF(A291="","",SUMIFS(Contratos!$D:$D,Contratos!$A:$A,A291)+SUMIFS(Contratos!$N:$N,Contratos!$A:$A,A291))</f>
        <v/>
      </c>
      <c r="M291" s="39" t="str">
        <f aca="false">IF(A291="","",SUMIFS(Pagamentos!$C:$C,Pagamentos!$A:$A,A291,Pagamentos!$F:$F,"Empenho"))</f>
        <v/>
      </c>
      <c r="N291" s="39" t="str">
        <f aca="false">IF(A291="","",SUMIFS(Pagamentos!$C:$C,Pagamentos!$A:$A,A291,Pagamentos!$F:$F,"Pagamento"))</f>
        <v/>
      </c>
      <c r="O291" s="37" t="str">
        <f aca="false">IF(OR(A291="",E291="",L291="",L291=0),"",E291/L291)</f>
        <v/>
      </c>
      <c r="P291" s="28" t="str">
        <f aca="false">IF(A291="","",COUNTIFS(Sancoes!$A:$A,A291,Sancoes!$B:$B,"&lt;&gt;Não consta"))</f>
        <v/>
      </c>
      <c r="Q291" s="28" t="str">
        <f aca="false">IF(A291="","",COUNTIF(Socios!$A:$A,A291))</f>
        <v/>
      </c>
      <c r="R291" s="28" t="str">
        <f aca="false">IF(A291="","",COUNTIFS(Socios!$A:$A,A291,Socios!$K:$K,"SIM"))</f>
        <v/>
      </c>
      <c r="S291" s="27"/>
      <c r="T291" s="5"/>
    </row>
    <row r="292" customFormat="false" ht="15" hidden="false" customHeight="false" outlineLevel="0" collapsed="false">
      <c r="A292" s="27"/>
      <c r="B292" s="5"/>
      <c r="C292" s="18"/>
      <c r="D292" s="5"/>
      <c r="E292" s="35"/>
      <c r="F292" s="5"/>
      <c r="G292" s="5"/>
      <c r="H292" s="5"/>
      <c r="I292" s="14"/>
      <c r="J292" s="14"/>
      <c r="K292" s="28" t="str">
        <f aca="false">IF(A292="","",COUNTIF(Contratos!$A:$A,A292))</f>
        <v/>
      </c>
      <c r="L292" s="39" t="str">
        <f aca="false">IF(A292="","",SUMIFS(Contratos!$D:$D,Contratos!$A:$A,A292)+SUMIFS(Contratos!$N:$N,Contratos!$A:$A,A292))</f>
        <v/>
      </c>
      <c r="M292" s="39" t="str">
        <f aca="false">IF(A292="","",SUMIFS(Pagamentos!$C:$C,Pagamentos!$A:$A,A292,Pagamentos!$F:$F,"Empenho"))</f>
        <v/>
      </c>
      <c r="N292" s="39" t="str">
        <f aca="false">IF(A292="","",SUMIFS(Pagamentos!$C:$C,Pagamentos!$A:$A,A292,Pagamentos!$F:$F,"Pagamento"))</f>
        <v/>
      </c>
      <c r="O292" s="37" t="str">
        <f aca="false">IF(OR(A292="",E292="",L292="",L292=0),"",E292/L292)</f>
        <v/>
      </c>
      <c r="P292" s="28" t="str">
        <f aca="false">IF(A292="","",COUNTIFS(Sancoes!$A:$A,A292,Sancoes!$B:$B,"&lt;&gt;Não consta"))</f>
        <v/>
      </c>
      <c r="Q292" s="28" t="str">
        <f aca="false">IF(A292="","",COUNTIF(Socios!$A:$A,A292))</f>
        <v/>
      </c>
      <c r="R292" s="28" t="str">
        <f aca="false">IF(A292="","",COUNTIFS(Socios!$A:$A,A292,Socios!$K:$K,"SIM"))</f>
        <v/>
      </c>
      <c r="S292" s="27"/>
      <c r="T292" s="5"/>
    </row>
    <row r="293" customFormat="false" ht="15" hidden="false" customHeight="false" outlineLevel="0" collapsed="false">
      <c r="A293" s="27"/>
      <c r="B293" s="5"/>
      <c r="C293" s="18"/>
      <c r="D293" s="5"/>
      <c r="E293" s="35"/>
      <c r="F293" s="5"/>
      <c r="G293" s="5"/>
      <c r="H293" s="5"/>
      <c r="I293" s="14"/>
      <c r="J293" s="14"/>
      <c r="K293" s="28" t="str">
        <f aca="false">IF(A293="","",COUNTIF(Contratos!$A:$A,A293))</f>
        <v/>
      </c>
      <c r="L293" s="39" t="str">
        <f aca="false">IF(A293="","",SUMIFS(Contratos!$D:$D,Contratos!$A:$A,A293)+SUMIFS(Contratos!$N:$N,Contratos!$A:$A,A293))</f>
        <v/>
      </c>
      <c r="M293" s="39" t="str">
        <f aca="false">IF(A293="","",SUMIFS(Pagamentos!$C:$C,Pagamentos!$A:$A,A293,Pagamentos!$F:$F,"Empenho"))</f>
        <v/>
      </c>
      <c r="N293" s="39" t="str">
        <f aca="false">IF(A293="","",SUMIFS(Pagamentos!$C:$C,Pagamentos!$A:$A,A293,Pagamentos!$F:$F,"Pagamento"))</f>
        <v/>
      </c>
      <c r="O293" s="37" t="str">
        <f aca="false">IF(OR(A293="",E293="",L293="",L293=0),"",E293/L293)</f>
        <v/>
      </c>
      <c r="P293" s="28" t="str">
        <f aca="false">IF(A293="","",COUNTIFS(Sancoes!$A:$A,A293,Sancoes!$B:$B,"&lt;&gt;Não consta"))</f>
        <v/>
      </c>
      <c r="Q293" s="28" t="str">
        <f aca="false">IF(A293="","",COUNTIF(Socios!$A:$A,A293))</f>
        <v/>
      </c>
      <c r="R293" s="28" t="str">
        <f aca="false">IF(A293="","",COUNTIFS(Socios!$A:$A,A293,Socios!$K:$K,"SIM"))</f>
        <v/>
      </c>
      <c r="S293" s="27"/>
      <c r="T293" s="5"/>
    </row>
    <row r="294" customFormat="false" ht="15" hidden="false" customHeight="false" outlineLevel="0" collapsed="false">
      <c r="A294" s="27"/>
      <c r="B294" s="5"/>
      <c r="C294" s="18"/>
      <c r="D294" s="5"/>
      <c r="E294" s="35"/>
      <c r="F294" s="5"/>
      <c r="G294" s="5"/>
      <c r="H294" s="5"/>
      <c r="I294" s="14"/>
      <c r="J294" s="14"/>
      <c r="K294" s="28" t="str">
        <f aca="false">IF(A294="","",COUNTIF(Contratos!$A:$A,A294))</f>
        <v/>
      </c>
      <c r="L294" s="39" t="str">
        <f aca="false">IF(A294="","",SUMIFS(Contratos!$D:$D,Contratos!$A:$A,A294)+SUMIFS(Contratos!$N:$N,Contratos!$A:$A,A294))</f>
        <v/>
      </c>
      <c r="M294" s="39" t="str">
        <f aca="false">IF(A294="","",SUMIFS(Pagamentos!$C:$C,Pagamentos!$A:$A,A294,Pagamentos!$F:$F,"Empenho"))</f>
        <v/>
      </c>
      <c r="N294" s="39" t="str">
        <f aca="false">IF(A294="","",SUMIFS(Pagamentos!$C:$C,Pagamentos!$A:$A,A294,Pagamentos!$F:$F,"Pagamento"))</f>
        <v/>
      </c>
      <c r="O294" s="37" t="str">
        <f aca="false">IF(OR(A294="",E294="",L294="",L294=0),"",E294/L294)</f>
        <v/>
      </c>
      <c r="P294" s="28" t="str">
        <f aca="false">IF(A294="","",COUNTIFS(Sancoes!$A:$A,A294,Sancoes!$B:$B,"&lt;&gt;Não consta"))</f>
        <v/>
      </c>
      <c r="Q294" s="28" t="str">
        <f aca="false">IF(A294="","",COUNTIF(Socios!$A:$A,A294))</f>
        <v/>
      </c>
      <c r="R294" s="28" t="str">
        <f aca="false">IF(A294="","",COUNTIFS(Socios!$A:$A,A294,Socios!$K:$K,"SIM"))</f>
        <v/>
      </c>
      <c r="S294" s="27"/>
      <c r="T294" s="5"/>
    </row>
    <row r="295" customFormat="false" ht="15" hidden="false" customHeight="false" outlineLevel="0" collapsed="false">
      <c r="A295" s="27"/>
      <c r="B295" s="5"/>
      <c r="C295" s="18"/>
      <c r="D295" s="5"/>
      <c r="E295" s="35"/>
      <c r="F295" s="5"/>
      <c r="G295" s="5"/>
      <c r="H295" s="5"/>
      <c r="I295" s="14"/>
      <c r="J295" s="14"/>
      <c r="K295" s="28" t="str">
        <f aca="false">IF(A295="","",COUNTIF(Contratos!$A:$A,A295))</f>
        <v/>
      </c>
      <c r="L295" s="39" t="str">
        <f aca="false">IF(A295="","",SUMIFS(Contratos!$D:$D,Contratos!$A:$A,A295)+SUMIFS(Contratos!$N:$N,Contratos!$A:$A,A295))</f>
        <v/>
      </c>
      <c r="M295" s="39" t="str">
        <f aca="false">IF(A295="","",SUMIFS(Pagamentos!$C:$C,Pagamentos!$A:$A,A295,Pagamentos!$F:$F,"Empenho"))</f>
        <v/>
      </c>
      <c r="N295" s="39" t="str">
        <f aca="false">IF(A295="","",SUMIFS(Pagamentos!$C:$C,Pagamentos!$A:$A,A295,Pagamentos!$F:$F,"Pagamento"))</f>
        <v/>
      </c>
      <c r="O295" s="37" t="str">
        <f aca="false">IF(OR(A295="",E295="",L295="",L295=0),"",E295/L295)</f>
        <v/>
      </c>
      <c r="P295" s="28" t="str">
        <f aca="false">IF(A295="","",COUNTIFS(Sancoes!$A:$A,A295,Sancoes!$B:$B,"&lt;&gt;Não consta"))</f>
        <v/>
      </c>
      <c r="Q295" s="28" t="str">
        <f aca="false">IF(A295="","",COUNTIF(Socios!$A:$A,A295))</f>
        <v/>
      </c>
      <c r="R295" s="28" t="str">
        <f aca="false">IF(A295="","",COUNTIFS(Socios!$A:$A,A295,Socios!$K:$K,"SIM"))</f>
        <v/>
      </c>
      <c r="S295" s="27"/>
      <c r="T295" s="5"/>
    </row>
    <row r="296" customFormat="false" ht="15" hidden="false" customHeight="false" outlineLevel="0" collapsed="false">
      <c r="A296" s="27"/>
      <c r="B296" s="5"/>
      <c r="C296" s="18"/>
      <c r="D296" s="5"/>
      <c r="E296" s="35"/>
      <c r="F296" s="5"/>
      <c r="G296" s="5"/>
      <c r="H296" s="5"/>
      <c r="I296" s="14"/>
      <c r="J296" s="14"/>
      <c r="K296" s="28" t="str">
        <f aca="false">IF(A296="","",COUNTIF(Contratos!$A:$A,A296))</f>
        <v/>
      </c>
      <c r="L296" s="39" t="str">
        <f aca="false">IF(A296="","",SUMIFS(Contratos!$D:$D,Contratos!$A:$A,A296)+SUMIFS(Contratos!$N:$N,Contratos!$A:$A,A296))</f>
        <v/>
      </c>
      <c r="M296" s="39" t="str">
        <f aca="false">IF(A296="","",SUMIFS(Pagamentos!$C:$C,Pagamentos!$A:$A,A296,Pagamentos!$F:$F,"Empenho"))</f>
        <v/>
      </c>
      <c r="N296" s="39" t="str">
        <f aca="false">IF(A296="","",SUMIFS(Pagamentos!$C:$C,Pagamentos!$A:$A,A296,Pagamentos!$F:$F,"Pagamento"))</f>
        <v/>
      </c>
      <c r="O296" s="37" t="str">
        <f aca="false">IF(OR(A296="",E296="",L296="",L296=0),"",E296/L296)</f>
        <v/>
      </c>
      <c r="P296" s="28" t="str">
        <f aca="false">IF(A296="","",COUNTIFS(Sancoes!$A:$A,A296,Sancoes!$B:$B,"&lt;&gt;Não consta"))</f>
        <v/>
      </c>
      <c r="Q296" s="28" t="str">
        <f aca="false">IF(A296="","",COUNTIF(Socios!$A:$A,A296))</f>
        <v/>
      </c>
      <c r="R296" s="28" t="str">
        <f aca="false">IF(A296="","",COUNTIFS(Socios!$A:$A,A296,Socios!$K:$K,"SIM"))</f>
        <v/>
      </c>
      <c r="S296" s="27"/>
      <c r="T296" s="5"/>
    </row>
    <row r="297" customFormat="false" ht="15" hidden="false" customHeight="false" outlineLevel="0" collapsed="false">
      <c r="A297" s="27"/>
      <c r="B297" s="5"/>
      <c r="C297" s="18"/>
      <c r="D297" s="5"/>
      <c r="E297" s="35"/>
      <c r="F297" s="5"/>
      <c r="G297" s="5"/>
      <c r="H297" s="5"/>
      <c r="I297" s="14"/>
      <c r="J297" s="14"/>
      <c r="K297" s="28" t="str">
        <f aca="false">IF(A297="","",COUNTIF(Contratos!$A:$A,A297))</f>
        <v/>
      </c>
      <c r="L297" s="39" t="str">
        <f aca="false">IF(A297="","",SUMIFS(Contratos!$D:$D,Contratos!$A:$A,A297)+SUMIFS(Contratos!$N:$N,Contratos!$A:$A,A297))</f>
        <v/>
      </c>
      <c r="M297" s="39" t="str">
        <f aca="false">IF(A297="","",SUMIFS(Pagamentos!$C:$C,Pagamentos!$A:$A,A297,Pagamentos!$F:$F,"Empenho"))</f>
        <v/>
      </c>
      <c r="N297" s="39" t="str">
        <f aca="false">IF(A297="","",SUMIFS(Pagamentos!$C:$C,Pagamentos!$A:$A,A297,Pagamentos!$F:$F,"Pagamento"))</f>
        <v/>
      </c>
      <c r="O297" s="37" t="str">
        <f aca="false">IF(OR(A297="",E297="",L297="",L297=0),"",E297/L297)</f>
        <v/>
      </c>
      <c r="P297" s="28" t="str">
        <f aca="false">IF(A297="","",COUNTIFS(Sancoes!$A:$A,A297,Sancoes!$B:$B,"&lt;&gt;Não consta"))</f>
        <v/>
      </c>
      <c r="Q297" s="28" t="str">
        <f aca="false">IF(A297="","",COUNTIF(Socios!$A:$A,A297))</f>
        <v/>
      </c>
      <c r="R297" s="28" t="str">
        <f aca="false">IF(A297="","",COUNTIFS(Socios!$A:$A,A297,Socios!$K:$K,"SIM"))</f>
        <v/>
      </c>
      <c r="S297" s="27"/>
      <c r="T297" s="5"/>
    </row>
    <row r="298" customFormat="false" ht="15" hidden="false" customHeight="false" outlineLevel="0" collapsed="false">
      <c r="A298" s="27"/>
      <c r="B298" s="5"/>
      <c r="C298" s="18"/>
      <c r="D298" s="5"/>
      <c r="E298" s="35"/>
      <c r="F298" s="5"/>
      <c r="G298" s="5"/>
      <c r="H298" s="5"/>
      <c r="I298" s="14"/>
      <c r="J298" s="14"/>
      <c r="K298" s="28" t="str">
        <f aca="false">IF(A298="","",COUNTIF(Contratos!$A:$A,A298))</f>
        <v/>
      </c>
      <c r="L298" s="39" t="str">
        <f aca="false">IF(A298="","",SUMIFS(Contratos!$D:$D,Contratos!$A:$A,A298)+SUMIFS(Contratos!$N:$N,Contratos!$A:$A,A298))</f>
        <v/>
      </c>
      <c r="M298" s="39" t="str">
        <f aca="false">IF(A298="","",SUMIFS(Pagamentos!$C:$C,Pagamentos!$A:$A,A298,Pagamentos!$F:$F,"Empenho"))</f>
        <v/>
      </c>
      <c r="N298" s="39" t="str">
        <f aca="false">IF(A298="","",SUMIFS(Pagamentos!$C:$C,Pagamentos!$A:$A,A298,Pagamentos!$F:$F,"Pagamento"))</f>
        <v/>
      </c>
      <c r="O298" s="37" t="str">
        <f aca="false">IF(OR(A298="",E298="",L298="",L298=0),"",E298/L298)</f>
        <v/>
      </c>
      <c r="P298" s="28" t="str">
        <f aca="false">IF(A298="","",COUNTIFS(Sancoes!$A:$A,A298,Sancoes!$B:$B,"&lt;&gt;Não consta"))</f>
        <v/>
      </c>
      <c r="Q298" s="28" t="str">
        <f aca="false">IF(A298="","",COUNTIF(Socios!$A:$A,A298))</f>
        <v/>
      </c>
      <c r="R298" s="28" t="str">
        <f aca="false">IF(A298="","",COUNTIFS(Socios!$A:$A,A298,Socios!$K:$K,"SIM"))</f>
        <v/>
      </c>
      <c r="S298" s="27"/>
      <c r="T298" s="5"/>
    </row>
    <row r="299" customFormat="false" ht="15" hidden="false" customHeight="false" outlineLevel="0" collapsed="false">
      <c r="A299" s="27"/>
      <c r="B299" s="5"/>
      <c r="C299" s="18"/>
      <c r="D299" s="5"/>
      <c r="E299" s="35"/>
      <c r="F299" s="5"/>
      <c r="G299" s="5"/>
      <c r="H299" s="5"/>
      <c r="I299" s="14"/>
      <c r="J299" s="14"/>
      <c r="K299" s="28" t="str">
        <f aca="false">IF(A299="","",COUNTIF(Contratos!$A:$A,A299))</f>
        <v/>
      </c>
      <c r="L299" s="39" t="str">
        <f aca="false">IF(A299="","",SUMIFS(Contratos!$D:$D,Contratos!$A:$A,A299)+SUMIFS(Contratos!$N:$N,Contratos!$A:$A,A299))</f>
        <v/>
      </c>
      <c r="M299" s="39" t="str">
        <f aca="false">IF(A299="","",SUMIFS(Pagamentos!$C:$C,Pagamentos!$A:$A,A299,Pagamentos!$F:$F,"Empenho"))</f>
        <v/>
      </c>
      <c r="N299" s="39" t="str">
        <f aca="false">IF(A299="","",SUMIFS(Pagamentos!$C:$C,Pagamentos!$A:$A,A299,Pagamentos!$F:$F,"Pagamento"))</f>
        <v/>
      </c>
      <c r="O299" s="37" t="str">
        <f aca="false">IF(OR(A299="",E299="",L299="",L299=0),"",E299/L299)</f>
        <v/>
      </c>
      <c r="P299" s="28" t="str">
        <f aca="false">IF(A299="","",COUNTIFS(Sancoes!$A:$A,A299,Sancoes!$B:$B,"&lt;&gt;Não consta"))</f>
        <v/>
      </c>
      <c r="Q299" s="28" t="str">
        <f aca="false">IF(A299="","",COUNTIF(Socios!$A:$A,A299))</f>
        <v/>
      </c>
      <c r="R299" s="28" t="str">
        <f aca="false">IF(A299="","",COUNTIFS(Socios!$A:$A,A299,Socios!$K:$K,"SIM"))</f>
        <v/>
      </c>
      <c r="S299" s="27"/>
      <c r="T299" s="5"/>
    </row>
    <row r="300" customFormat="false" ht="15" hidden="false" customHeight="false" outlineLevel="0" collapsed="false">
      <c r="A300" s="27"/>
      <c r="B300" s="5"/>
      <c r="C300" s="18"/>
      <c r="D300" s="5"/>
      <c r="E300" s="35"/>
      <c r="F300" s="5"/>
      <c r="G300" s="5"/>
      <c r="H300" s="5"/>
      <c r="I300" s="14"/>
      <c r="J300" s="14"/>
      <c r="K300" s="28" t="str">
        <f aca="false">IF(A300="","",COUNTIF(Contratos!$A:$A,A300))</f>
        <v/>
      </c>
      <c r="L300" s="39" t="str">
        <f aca="false">IF(A300="","",SUMIFS(Contratos!$D:$D,Contratos!$A:$A,A300)+SUMIFS(Contratos!$N:$N,Contratos!$A:$A,A300))</f>
        <v/>
      </c>
      <c r="M300" s="39" t="str">
        <f aca="false">IF(A300="","",SUMIFS(Pagamentos!$C:$C,Pagamentos!$A:$A,A300,Pagamentos!$F:$F,"Empenho"))</f>
        <v/>
      </c>
      <c r="N300" s="39" t="str">
        <f aca="false">IF(A300="","",SUMIFS(Pagamentos!$C:$C,Pagamentos!$A:$A,A300,Pagamentos!$F:$F,"Pagamento"))</f>
        <v/>
      </c>
      <c r="O300" s="37" t="str">
        <f aca="false">IF(OR(A300="",E300="",L300="",L300=0),"",E300/L300)</f>
        <v/>
      </c>
      <c r="P300" s="28" t="str">
        <f aca="false">IF(A300="","",COUNTIFS(Sancoes!$A:$A,A300,Sancoes!$B:$B,"&lt;&gt;Não consta"))</f>
        <v/>
      </c>
      <c r="Q300" s="28" t="str">
        <f aca="false">IF(A300="","",COUNTIF(Socios!$A:$A,A300))</f>
        <v/>
      </c>
      <c r="R300" s="28" t="str">
        <f aca="false">IF(A300="","",COUNTIFS(Socios!$A:$A,A300,Socios!$K:$K,"SIM"))</f>
        <v/>
      </c>
      <c r="S300" s="27"/>
      <c r="T300" s="5"/>
    </row>
    <row r="301" customFormat="false" ht="15" hidden="false" customHeight="false" outlineLevel="0" collapsed="false">
      <c r="A301" s="27"/>
      <c r="B301" s="5"/>
      <c r="C301" s="18"/>
      <c r="D301" s="5"/>
      <c r="E301" s="35"/>
      <c r="F301" s="5"/>
      <c r="G301" s="5"/>
      <c r="H301" s="5"/>
      <c r="I301" s="14"/>
      <c r="J301" s="14"/>
      <c r="K301" s="28" t="str">
        <f aca="false">IF(A301="","",COUNTIF(Contratos!$A:$A,A301))</f>
        <v/>
      </c>
      <c r="L301" s="39" t="str">
        <f aca="false">IF(A301="","",SUMIFS(Contratos!$D:$D,Contratos!$A:$A,A301)+SUMIFS(Contratos!$N:$N,Contratos!$A:$A,A301))</f>
        <v/>
      </c>
      <c r="M301" s="39" t="str">
        <f aca="false">IF(A301="","",SUMIFS(Pagamentos!$C:$C,Pagamentos!$A:$A,A301,Pagamentos!$F:$F,"Empenho"))</f>
        <v/>
      </c>
      <c r="N301" s="39" t="str">
        <f aca="false">IF(A301="","",SUMIFS(Pagamentos!$C:$C,Pagamentos!$A:$A,A301,Pagamentos!$F:$F,"Pagamento"))</f>
        <v/>
      </c>
      <c r="O301" s="37" t="str">
        <f aca="false">IF(OR(A301="",E301="",L301="",L301=0),"",E301/L301)</f>
        <v/>
      </c>
      <c r="P301" s="28" t="str">
        <f aca="false">IF(A301="","",COUNTIFS(Sancoes!$A:$A,A301,Sancoes!$B:$B,"&lt;&gt;Não consta"))</f>
        <v/>
      </c>
      <c r="Q301" s="28" t="str">
        <f aca="false">IF(A301="","",COUNTIF(Socios!$A:$A,A301))</f>
        <v/>
      </c>
      <c r="R301" s="28" t="str">
        <f aca="false">IF(A301="","",COUNTIFS(Socios!$A:$A,A301,Socios!$K:$K,"SIM"))</f>
        <v/>
      </c>
      <c r="S301" s="27"/>
      <c r="T301" s="5"/>
    </row>
    <row r="302" customFormat="false" ht="15" hidden="false" customHeight="false" outlineLevel="0" collapsed="false">
      <c r="A302" s="27"/>
      <c r="B302" s="5"/>
      <c r="C302" s="18"/>
      <c r="D302" s="5"/>
      <c r="E302" s="35"/>
      <c r="F302" s="5"/>
      <c r="G302" s="5"/>
      <c r="H302" s="5"/>
      <c r="I302" s="14"/>
      <c r="J302" s="14"/>
      <c r="K302" s="28" t="str">
        <f aca="false">IF(A302="","",COUNTIF(Contratos!$A:$A,A302))</f>
        <v/>
      </c>
      <c r="L302" s="39" t="str">
        <f aca="false">IF(A302="","",SUMIFS(Contratos!$D:$D,Contratos!$A:$A,A302)+SUMIFS(Contratos!$N:$N,Contratos!$A:$A,A302))</f>
        <v/>
      </c>
      <c r="M302" s="39" t="str">
        <f aca="false">IF(A302="","",SUMIFS(Pagamentos!$C:$C,Pagamentos!$A:$A,A302,Pagamentos!$F:$F,"Empenho"))</f>
        <v/>
      </c>
      <c r="N302" s="39" t="str">
        <f aca="false">IF(A302="","",SUMIFS(Pagamentos!$C:$C,Pagamentos!$A:$A,A302,Pagamentos!$F:$F,"Pagamento"))</f>
        <v/>
      </c>
      <c r="O302" s="37" t="str">
        <f aca="false">IF(OR(A302="",E302="",L302="",L302=0),"",E302/L302)</f>
        <v/>
      </c>
      <c r="P302" s="28" t="str">
        <f aca="false">IF(A302="","",COUNTIFS(Sancoes!$A:$A,A302,Sancoes!$B:$B,"&lt;&gt;Não consta"))</f>
        <v/>
      </c>
      <c r="Q302" s="28" t="str">
        <f aca="false">IF(A302="","",COUNTIF(Socios!$A:$A,A302))</f>
        <v/>
      </c>
      <c r="R302" s="28" t="str">
        <f aca="false">IF(A302="","",COUNTIFS(Socios!$A:$A,A302,Socios!$K:$K,"SIM"))</f>
        <v/>
      </c>
      <c r="S302" s="27"/>
      <c r="T302" s="5"/>
    </row>
    <row r="303" customFormat="false" ht="15" hidden="false" customHeight="false" outlineLevel="0" collapsed="false">
      <c r="A303" s="27"/>
      <c r="B303" s="5"/>
      <c r="C303" s="18"/>
      <c r="D303" s="5"/>
      <c r="E303" s="35"/>
      <c r="F303" s="5"/>
      <c r="G303" s="5"/>
      <c r="H303" s="5"/>
      <c r="I303" s="14"/>
      <c r="J303" s="14"/>
      <c r="K303" s="28" t="str">
        <f aca="false">IF(A303="","",COUNTIF(Contratos!$A:$A,A303))</f>
        <v/>
      </c>
      <c r="L303" s="39" t="str">
        <f aca="false">IF(A303="","",SUMIFS(Contratos!$D:$D,Contratos!$A:$A,A303)+SUMIFS(Contratos!$N:$N,Contratos!$A:$A,A303))</f>
        <v/>
      </c>
      <c r="M303" s="39" t="str">
        <f aca="false">IF(A303="","",SUMIFS(Pagamentos!$C:$C,Pagamentos!$A:$A,A303,Pagamentos!$F:$F,"Empenho"))</f>
        <v/>
      </c>
      <c r="N303" s="39" t="str">
        <f aca="false">IF(A303="","",SUMIFS(Pagamentos!$C:$C,Pagamentos!$A:$A,A303,Pagamentos!$F:$F,"Pagamento"))</f>
        <v/>
      </c>
      <c r="O303" s="37" t="str">
        <f aca="false">IF(OR(A303="",E303="",L303="",L303=0),"",E303/L303)</f>
        <v/>
      </c>
      <c r="P303" s="28" t="str">
        <f aca="false">IF(A303="","",COUNTIFS(Sancoes!$A:$A,A303,Sancoes!$B:$B,"&lt;&gt;Não consta"))</f>
        <v/>
      </c>
      <c r="Q303" s="28" t="str">
        <f aca="false">IF(A303="","",COUNTIF(Socios!$A:$A,A303))</f>
        <v/>
      </c>
      <c r="R303" s="28" t="str">
        <f aca="false">IF(A303="","",COUNTIFS(Socios!$A:$A,A303,Socios!$K:$K,"SIM"))</f>
        <v/>
      </c>
      <c r="S303" s="27"/>
      <c r="T303" s="5"/>
    </row>
    <row r="304" customFormat="false" ht="15" hidden="false" customHeight="false" outlineLevel="0" collapsed="false">
      <c r="A304" s="27"/>
      <c r="B304" s="5"/>
      <c r="C304" s="18"/>
      <c r="D304" s="5"/>
      <c r="E304" s="35"/>
      <c r="F304" s="5"/>
      <c r="G304" s="5"/>
      <c r="H304" s="5"/>
      <c r="I304" s="14"/>
      <c r="J304" s="14"/>
      <c r="K304" s="28" t="str">
        <f aca="false">IF(A304="","",COUNTIF(Contratos!$A:$A,A304))</f>
        <v/>
      </c>
      <c r="L304" s="39" t="str">
        <f aca="false">IF(A304="","",SUMIFS(Contratos!$D:$D,Contratos!$A:$A,A304)+SUMIFS(Contratos!$N:$N,Contratos!$A:$A,A304))</f>
        <v/>
      </c>
      <c r="M304" s="39" t="str">
        <f aca="false">IF(A304="","",SUMIFS(Pagamentos!$C:$C,Pagamentos!$A:$A,A304,Pagamentos!$F:$F,"Empenho"))</f>
        <v/>
      </c>
      <c r="N304" s="39" t="str">
        <f aca="false">IF(A304="","",SUMIFS(Pagamentos!$C:$C,Pagamentos!$A:$A,A304,Pagamentos!$F:$F,"Pagamento"))</f>
        <v/>
      </c>
      <c r="O304" s="37" t="str">
        <f aca="false">IF(OR(A304="",E304="",L304="",L304=0),"",E304/L304)</f>
        <v/>
      </c>
      <c r="P304" s="28" t="str">
        <f aca="false">IF(A304="","",COUNTIFS(Sancoes!$A:$A,A304,Sancoes!$B:$B,"&lt;&gt;Não consta"))</f>
        <v/>
      </c>
      <c r="Q304" s="28" t="str">
        <f aca="false">IF(A304="","",COUNTIF(Socios!$A:$A,A304))</f>
        <v/>
      </c>
      <c r="R304" s="28" t="str">
        <f aca="false">IF(A304="","",COUNTIFS(Socios!$A:$A,A304,Socios!$K:$K,"SIM"))</f>
        <v/>
      </c>
      <c r="S304" s="27"/>
      <c r="T304" s="5"/>
    </row>
    <row r="305" customFormat="false" ht="15" hidden="false" customHeight="false" outlineLevel="0" collapsed="false">
      <c r="A305" s="27"/>
      <c r="B305" s="5"/>
      <c r="C305" s="18"/>
      <c r="D305" s="5"/>
      <c r="E305" s="35"/>
      <c r="F305" s="5"/>
      <c r="G305" s="5"/>
      <c r="H305" s="5"/>
      <c r="I305" s="14"/>
      <c r="J305" s="14"/>
      <c r="K305" s="28" t="str">
        <f aca="false">IF(A305="","",COUNTIF(Contratos!$A:$A,A305))</f>
        <v/>
      </c>
      <c r="L305" s="39" t="str">
        <f aca="false">IF(A305="","",SUMIFS(Contratos!$D:$D,Contratos!$A:$A,A305)+SUMIFS(Contratos!$N:$N,Contratos!$A:$A,A305))</f>
        <v/>
      </c>
      <c r="M305" s="39" t="str">
        <f aca="false">IF(A305="","",SUMIFS(Pagamentos!$C:$C,Pagamentos!$A:$A,A305,Pagamentos!$F:$F,"Empenho"))</f>
        <v/>
      </c>
      <c r="N305" s="39" t="str">
        <f aca="false">IF(A305="","",SUMIFS(Pagamentos!$C:$C,Pagamentos!$A:$A,A305,Pagamentos!$F:$F,"Pagamento"))</f>
        <v/>
      </c>
      <c r="O305" s="37" t="str">
        <f aca="false">IF(OR(A305="",E305="",L305="",L305=0),"",E305/L305)</f>
        <v/>
      </c>
      <c r="P305" s="28" t="str">
        <f aca="false">IF(A305="","",COUNTIFS(Sancoes!$A:$A,A305,Sancoes!$B:$B,"&lt;&gt;Não consta"))</f>
        <v/>
      </c>
      <c r="Q305" s="28" t="str">
        <f aca="false">IF(A305="","",COUNTIF(Socios!$A:$A,A305))</f>
        <v/>
      </c>
      <c r="R305" s="28" t="str">
        <f aca="false">IF(A305="","",COUNTIFS(Socios!$A:$A,A305,Socios!$K:$K,"SIM"))</f>
        <v/>
      </c>
      <c r="S305" s="27"/>
      <c r="T305" s="5"/>
    </row>
    <row r="306" customFormat="false" ht="15" hidden="false" customHeight="false" outlineLevel="0" collapsed="false">
      <c r="A306" s="27"/>
      <c r="B306" s="5"/>
      <c r="C306" s="18"/>
      <c r="D306" s="5"/>
      <c r="E306" s="35"/>
      <c r="F306" s="5"/>
      <c r="G306" s="5"/>
      <c r="H306" s="5"/>
      <c r="I306" s="14"/>
      <c r="J306" s="14"/>
      <c r="K306" s="28" t="str">
        <f aca="false">IF(A306="","",COUNTIF(Contratos!$A:$A,A306))</f>
        <v/>
      </c>
      <c r="L306" s="39" t="str">
        <f aca="false">IF(A306="","",SUMIFS(Contratos!$D:$D,Contratos!$A:$A,A306)+SUMIFS(Contratos!$N:$N,Contratos!$A:$A,A306))</f>
        <v/>
      </c>
      <c r="M306" s="39" t="str">
        <f aca="false">IF(A306="","",SUMIFS(Pagamentos!$C:$C,Pagamentos!$A:$A,A306,Pagamentos!$F:$F,"Empenho"))</f>
        <v/>
      </c>
      <c r="N306" s="39" t="str">
        <f aca="false">IF(A306="","",SUMIFS(Pagamentos!$C:$C,Pagamentos!$A:$A,A306,Pagamentos!$F:$F,"Pagamento"))</f>
        <v/>
      </c>
      <c r="O306" s="37" t="str">
        <f aca="false">IF(OR(A306="",E306="",L306="",L306=0),"",E306/L306)</f>
        <v/>
      </c>
      <c r="P306" s="28" t="str">
        <f aca="false">IF(A306="","",COUNTIFS(Sancoes!$A:$A,A306,Sancoes!$B:$B,"&lt;&gt;Não consta"))</f>
        <v/>
      </c>
      <c r="Q306" s="28" t="str">
        <f aca="false">IF(A306="","",COUNTIF(Socios!$A:$A,A306))</f>
        <v/>
      </c>
      <c r="R306" s="28" t="str">
        <f aca="false">IF(A306="","",COUNTIFS(Socios!$A:$A,A306,Socios!$K:$K,"SIM"))</f>
        <v/>
      </c>
      <c r="S306" s="27"/>
      <c r="T306" s="5"/>
    </row>
    <row r="307" customFormat="false" ht="15" hidden="false" customHeight="false" outlineLevel="0" collapsed="false">
      <c r="A307" s="27"/>
      <c r="B307" s="5"/>
      <c r="C307" s="18"/>
      <c r="D307" s="5"/>
      <c r="E307" s="35"/>
      <c r="F307" s="5"/>
      <c r="G307" s="5"/>
      <c r="H307" s="5"/>
      <c r="I307" s="14"/>
      <c r="J307" s="14"/>
      <c r="K307" s="28" t="str">
        <f aca="false">IF(A307="","",COUNTIF(Contratos!$A:$A,A307))</f>
        <v/>
      </c>
      <c r="L307" s="39" t="str">
        <f aca="false">IF(A307="","",SUMIFS(Contratos!$D:$D,Contratos!$A:$A,A307)+SUMIFS(Contratos!$N:$N,Contratos!$A:$A,A307))</f>
        <v/>
      </c>
      <c r="M307" s="39" t="str">
        <f aca="false">IF(A307="","",SUMIFS(Pagamentos!$C:$C,Pagamentos!$A:$A,A307,Pagamentos!$F:$F,"Empenho"))</f>
        <v/>
      </c>
      <c r="N307" s="39" t="str">
        <f aca="false">IF(A307="","",SUMIFS(Pagamentos!$C:$C,Pagamentos!$A:$A,A307,Pagamentos!$F:$F,"Pagamento"))</f>
        <v/>
      </c>
      <c r="O307" s="37" t="str">
        <f aca="false">IF(OR(A307="",E307="",L307="",L307=0),"",E307/L307)</f>
        <v/>
      </c>
      <c r="P307" s="28" t="str">
        <f aca="false">IF(A307="","",COUNTIFS(Sancoes!$A:$A,A307,Sancoes!$B:$B,"&lt;&gt;Não consta"))</f>
        <v/>
      </c>
      <c r="Q307" s="28" t="str">
        <f aca="false">IF(A307="","",COUNTIF(Socios!$A:$A,A307))</f>
        <v/>
      </c>
      <c r="R307" s="28" t="str">
        <f aca="false">IF(A307="","",COUNTIFS(Socios!$A:$A,A307,Socios!$K:$K,"SIM"))</f>
        <v/>
      </c>
      <c r="S307" s="27"/>
      <c r="T307" s="5"/>
    </row>
    <row r="308" customFormat="false" ht="15" hidden="false" customHeight="false" outlineLevel="0" collapsed="false">
      <c r="A308" s="27"/>
      <c r="B308" s="5"/>
      <c r="C308" s="18"/>
      <c r="D308" s="5"/>
      <c r="E308" s="35"/>
      <c r="F308" s="5"/>
      <c r="G308" s="5"/>
      <c r="H308" s="5"/>
      <c r="I308" s="14"/>
      <c r="J308" s="14"/>
      <c r="K308" s="28" t="str">
        <f aca="false">IF(A308="","",COUNTIF(Contratos!$A:$A,A308))</f>
        <v/>
      </c>
      <c r="L308" s="39" t="str">
        <f aca="false">IF(A308="","",SUMIFS(Contratos!$D:$D,Contratos!$A:$A,A308)+SUMIFS(Contratos!$N:$N,Contratos!$A:$A,A308))</f>
        <v/>
      </c>
      <c r="M308" s="39" t="str">
        <f aca="false">IF(A308="","",SUMIFS(Pagamentos!$C:$C,Pagamentos!$A:$A,A308,Pagamentos!$F:$F,"Empenho"))</f>
        <v/>
      </c>
      <c r="N308" s="39" t="str">
        <f aca="false">IF(A308="","",SUMIFS(Pagamentos!$C:$C,Pagamentos!$A:$A,A308,Pagamentos!$F:$F,"Pagamento"))</f>
        <v/>
      </c>
      <c r="O308" s="37" t="str">
        <f aca="false">IF(OR(A308="",E308="",L308="",L308=0),"",E308/L308)</f>
        <v/>
      </c>
      <c r="P308" s="28" t="str">
        <f aca="false">IF(A308="","",COUNTIFS(Sancoes!$A:$A,A308,Sancoes!$B:$B,"&lt;&gt;Não consta"))</f>
        <v/>
      </c>
      <c r="Q308" s="28" t="str">
        <f aca="false">IF(A308="","",COUNTIF(Socios!$A:$A,A308))</f>
        <v/>
      </c>
      <c r="R308" s="28" t="str">
        <f aca="false">IF(A308="","",COUNTIFS(Socios!$A:$A,A308,Socios!$K:$K,"SIM"))</f>
        <v/>
      </c>
      <c r="S308" s="27"/>
      <c r="T308" s="5"/>
    </row>
    <row r="309" customFormat="false" ht="15" hidden="false" customHeight="false" outlineLevel="0" collapsed="false">
      <c r="A309" s="27"/>
      <c r="B309" s="5"/>
      <c r="C309" s="18"/>
      <c r="D309" s="5"/>
      <c r="E309" s="35"/>
      <c r="F309" s="5"/>
      <c r="G309" s="5"/>
      <c r="H309" s="5"/>
      <c r="I309" s="14"/>
      <c r="J309" s="14"/>
      <c r="K309" s="28" t="str">
        <f aca="false">IF(A309="","",COUNTIF(Contratos!$A:$A,A309))</f>
        <v/>
      </c>
      <c r="L309" s="39" t="str">
        <f aca="false">IF(A309="","",SUMIFS(Contratos!$D:$D,Contratos!$A:$A,A309)+SUMIFS(Contratos!$N:$N,Contratos!$A:$A,A309))</f>
        <v/>
      </c>
      <c r="M309" s="39" t="str">
        <f aca="false">IF(A309="","",SUMIFS(Pagamentos!$C:$C,Pagamentos!$A:$A,A309,Pagamentos!$F:$F,"Empenho"))</f>
        <v/>
      </c>
      <c r="N309" s="39" t="str">
        <f aca="false">IF(A309="","",SUMIFS(Pagamentos!$C:$C,Pagamentos!$A:$A,A309,Pagamentos!$F:$F,"Pagamento"))</f>
        <v/>
      </c>
      <c r="O309" s="37" t="str">
        <f aca="false">IF(OR(A309="",E309="",L309="",L309=0),"",E309/L309)</f>
        <v/>
      </c>
      <c r="P309" s="28" t="str">
        <f aca="false">IF(A309="","",COUNTIFS(Sancoes!$A:$A,A309,Sancoes!$B:$B,"&lt;&gt;Não consta"))</f>
        <v/>
      </c>
      <c r="Q309" s="28" t="str">
        <f aca="false">IF(A309="","",COUNTIF(Socios!$A:$A,A309))</f>
        <v/>
      </c>
      <c r="R309" s="28" t="str">
        <f aca="false">IF(A309="","",COUNTIFS(Socios!$A:$A,A309,Socios!$K:$K,"SIM"))</f>
        <v/>
      </c>
      <c r="S309" s="27"/>
      <c r="T309" s="5"/>
    </row>
    <row r="310" customFormat="false" ht="15" hidden="false" customHeight="false" outlineLevel="0" collapsed="false">
      <c r="A310" s="27"/>
      <c r="B310" s="5"/>
      <c r="C310" s="18"/>
      <c r="D310" s="5"/>
      <c r="E310" s="35"/>
      <c r="F310" s="5"/>
      <c r="G310" s="5"/>
      <c r="H310" s="5"/>
      <c r="I310" s="14"/>
      <c r="J310" s="14"/>
      <c r="K310" s="28" t="str">
        <f aca="false">IF(A310="","",COUNTIF(Contratos!$A:$A,A310))</f>
        <v/>
      </c>
      <c r="L310" s="39" t="str">
        <f aca="false">IF(A310="","",SUMIFS(Contratos!$D:$D,Contratos!$A:$A,A310)+SUMIFS(Contratos!$N:$N,Contratos!$A:$A,A310))</f>
        <v/>
      </c>
      <c r="M310" s="39" t="str">
        <f aca="false">IF(A310="","",SUMIFS(Pagamentos!$C:$C,Pagamentos!$A:$A,A310,Pagamentos!$F:$F,"Empenho"))</f>
        <v/>
      </c>
      <c r="N310" s="39" t="str">
        <f aca="false">IF(A310="","",SUMIFS(Pagamentos!$C:$C,Pagamentos!$A:$A,A310,Pagamentos!$F:$F,"Pagamento"))</f>
        <v/>
      </c>
      <c r="O310" s="37" t="str">
        <f aca="false">IF(OR(A310="",E310="",L310="",L310=0),"",E310/L310)</f>
        <v/>
      </c>
      <c r="P310" s="28" t="str">
        <f aca="false">IF(A310="","",COUNTIFS(Sancoes!$A:$A,A310,Sancoes!$B:$B,"&lt;&gt;Não consta"))</f>
        <v/>
      </c>
      <c r="Q310" s="28" t="str">
        <f aca="false">IF(A310="","",COUNTIF(Socios!$A:$A,A310))</f>
        <v/>
      </c>
      <c r="R310" s="28" t="str">
        <f aca="false">IF(A310="","",COUNTIFS(Socios!$A:$A,A310,Socios!$K:$K,"SIM"))</f>
        <v/>
      </c>
      <c r="S310" s="27"/>
      <c r="T310" s="5"/>
    </row>
    <row r="311" customFormat="false" ht="15" hidden="false" customHeight="false" outlineLevel="0" collapsed="false">
      <c r="A311" s="27"/>
      <c r="B311" s="5"/>
      <c r="C311" s="18"/>
      <c r="D311" s="5"/>
      <c r="E311" s="35"/>
      <c r="F311" s="5"/>
      <c r="G311" s="5"/>
      <c r="H311" s="5"/>
      <c r="I311" s="14"/>
      <c r="J311" s="14"/>
      <c r="K311" s="28" t="str">
        <f aca="false">IF(A311="","",COUNTIF(Contratos!$A:$A,A311))</f>
        <v/>
      </c>
      <c r="L311" s="39" t="str">
        <f aca="false">IF(A311="","",SUMIFS(Contratos!$D:$D,Contratos!$A:$A,A311)+SUMIFS(Contratos!$N:$N,Contratos!$A:$A,A311))</f>
        <v/>
      </c>
      <c r="M311" s="39" t="str">
        <f aca="false">IF(A311="","",SUMIFS(Pagamentos!$C:$C,Pagamentos!$A:$A,A311,Pagamentos!$F:$F,"Empenho"))</f>
        <v/>
      </c>
      <c r="N311" s="39" t="str">
        <f aca="false">IF(A311="","",SUMIFS(Pagamentos!$C:$C,Pagamentos!$A:$A,A311,Pagamentos!$F:$F,"Pagamento"))</f>
        <v/>
      </c>
      <c r="O311" s="37" t="str">
        <f aca="false">IF(OR(A311="",E311="",L311="",L311=0),"",E311/L311)</f>
        <v/>
      </c>
      <c r="P311" s="28" t="str">
        <f aca="false">IF(A311="","",COUNTIFS(Sancoes!$A:$A,A311,Sancoes!$B:$B,"&lt;&gt;Não consta"))</f>
        <v/>
      </c>
      <c r="Q311" s="28" t="str">
        <f aca="false">IF(A311="","",COUNTIF(Socios!$A:$A,A311))</f>
        <v/>
      </c>
      <c r="R311" s="28" t="str">
        <f aca="false">IF(A311="","",COUNTIFS(Socios!$A:$A,A311,Socios!$K:$K,"SIM"))</f>
        <v/>
      </c>
      <c r="S311" s="27"/>
      <c r="T311" s="5"/>
    </row>
    <row r="312" customFormat="false" ht="15" hidden="false" customHeight="false" outlineLevel="0" collapsed="false">
      <c r="A312" s="27"/>
      <c r="B312" s="5"/>
      <c r="C312" s="18"/>
      <c r="D312" s="5"/>
      <c r="E312" s="35"/>
      <c r="F312" s="5"/>
      <c r="G312" s="5"/>
      <c r="H312" s="5"/>
      <c r="I312" s="14"/>
      <c r="J312" s="14"/>
      <c r="K312" s="28" t="str">
        <f aca="false">IF(A312="","",COUNTIF(Contratos!$A:$A,A312))</f>
        <v/>
      </c>
      <c r="L312" s="39" t="str">
        <f aca="false">IF(A312="","",SUMIFS(Contratos!$D:$D,Contratos!$A:$A,A312)+SUMIFS(Contratos!$N:$N,Contratos!$A:$A,A312))</f>
        <v/>
      </c>
      <c r="M312" s="39" t="str">
        <f aca="false">IF(A312="","",SUMIFS(Pagamentos!$C:$C,Pagamentos!$A:$A,A312,Pagamentos!$F:$F,"Empenho"))</f>
        <v/>
      </c>
      <c r="N312" s="39" t="str">
        <f aca="false">IF(A312="","",SUMIFS(Pagamentos!$C:$C,Pagamentos!$A:$A,A312,Pagamentos!$F:$F,"Pagamento"))</f>
        <v/>
      </c>
      <c r="O312" s="37" t="str">
        <f aca="false">IF(OR(A312="",E312="",L312="",L312=0),"",E312/L312)</f>
        <v/>
      </c>
      <c r="P312" s="28" t="str">
        <f aca="false">IF(A312="","",COUNTIFS(Sancoes!$A:$A,A312,Sancoes!$B:$B,"&lt;&gt;Não consta"))</f>
        <v/>
      </c>
      <c r="Q312" s="28" t="str">
        <f aca="false">IF(A312="","",COUNTIF(Socios!$A:$A,A312))</f>
        <v/>
      </c>
      <c r="R312" s="28" t="str">
        <f aca="false">IF(A312="","",COUNTIFS(Socios!$A:$A,A312,Socios!$K:$K,"SIM"))</f>
        <v/>
      </c>
      <c r="S312" s="27"/>
      <c r="T312" s="5"/>
    </row>
    <row r="313" customFormat="false" ht="15" hidden="false" customHeight="false" outlineLevel="0" collapsed="false">
      <c r="A313" s="27"/>
      <c r="B313" s="5"/>
      <c r="C313" s="18"/>
      <c r="D313" s="5"/>
      <c r="E313" s="35"/>
      <c r="F313" s="5"/>
      <c r="G313" s="5"/>
      <c r="H313" s="5"/>
      <c r="I313" s="14"/>
      <c r="J313" s="14"/>
      <c r="K313" s="28" t="str">
        <f aca="false">IF(A313="","",COUNTIF(Contratos!$A:$A,A313))</f>
        <v/>
      </c>
      <c r="L313" s="39" t="str">
        <f aca="false">IF(A313="","",SUMIFS(Contratos!$D:$D,Contratos!$A:$A,A313)+SUMIFS(Contratos!$N:$N,Contratos!$A:$A,A313))</f>
        <v/>
      </c>
      <c r="M313" s="39" t="str">
        <f aca="false">IF(A313="","",SUMIFS(Pagamentos!$C:$C,Pagamentos!$A:$A,A313,Pagamentos!$F:$F,"Empenho"))</f>
        <v/>
      </c>
      <c r="N313" s="39" t="str">
        <f aca="false">IF(A313="","",SUMIFS(Pagamentos!$C:$C,Pagamentos!$A:$A,A313,Pagamentos!$F:$F,"Pagamento"))</f>
        <v/>
      </c>
      <c r="O313" s="37" t="str">
        <f aca="false">IF(OR(A313="",E313="",L313="",L313=0),"",E313/L313)</f>
        <v/>
      </c>
      <c r="P313" s="28" t="str">
        <f aca="false">IF(A313="","",COUNTIFS(Sancoes!$A:$A,A313,Sancoes!$B:$B,"&lt;&gt;Não consta"))</f>
        <v/>
      </c>
      <c r="Q313" s="28" t="str">
        <f aca="false">IF(A313="","",COUNTIF(Socios!$A:$A,A313))</f>
        <v/>
      </c>
      <c r="R313" s="28" t="str">
        <f aca="false">IF(A313="","",COUNTIFS(Socios!$A:$A,A313,Socios!$K:$K,"SIM"))</f>
        <v/>
      </c>
      <c r="S313" s="27"/>
      <c r="T313" s="5"/>
    </row>
    <row r="314" customFormat="false" ht="15" hidden="false" customHeight="false" outlineLevel="0" collapsed="false">
      <c r="A314" s="27"/>
      <c r="B314" s="5"/>
      <c r="C314" s="18"/>
      <c r="D314" s="5"/>
      <c r="E314" s="35"/>
      <c r="F314" s="5"/>
      <c r="G314" s="5"/>
      <c r="H314" s="5"/>
      <c r="I314" s="14"/>
      <c r="J314" s="14"/>
      <c r="K314" s="28" t="str">
        <f aca="false">IF(A314="","",COUNTIF(Contratos!$A:$A,A314))</f>
        <v/>
      </c>
      <c r="L314" s="39" t="str">
        <f aca="false">IF(A314="","",SUMIFS(Contratos!$D:$D,Contratos!$A:$A,A314)+SUMIFS(Contratos!$N:$N,Contratos!$A:$A,A314))</f>
        <v/>
      </c>
      <c r="M314" s="39" t="str">
        <f aca="false">IF(A314="","",SUMIFS(Pagamentos!$C:$C,Pagamentos!$A:$A,A314,Pagamentos!$F:$F,"Empenho"))</f>
        <v/>
      </c>
      <c r="N314" s="39" t="str">
        <f aca="false">IF(A314="","",SUMIFS(Pagamentos!$C:$C,Pagamentos!$A:$A,A314,Pagamentos!$F:$F,"Pagamento"))</f>
        <v/>
      </c>
      <c r="O314" s="37" t="str">
        <f aca="false">IF(OR(A314="",E314="",L314="",L314=0),"",E314/L314)</f>
        <v/>
      </c>
      <c r="P314" s="28" t="str">
        <f aca="false">IF(A314="","",COUNTIFS(Sancoes!$A:$A,A314,Sancoes!$B:$B,"&lt;&gt;Não consta"))</f>
        <v/>
      </c>
      <c r="Q314" s="28" t="str">
        <f aca="false">IF(A314="","",COUNTIF(Socios!$A:$A,A314))</f>
        <v/>
      </c>
      <c r="R314" s="28" t="str">
        <f aca="false">IF(A314="","",COUNTIFS(Socios!$A:$A,A314,Socios!$K:$K,"SIM"))</f>
        <v/>
      </c>
      <c r="S314" s="27"/>
      <c r="T314" s="5"/>
    </row>
    <row r="315" customFormat="false" ht="15" hidden="false" customHeight="false" outlineLevel="0" collapsed="false">
      <c r="A315" s="27"/>
      <c r="B315" s="5"/>
      <c r="C315" s="18"/>
      <c r="D315" s="5"/>
      <c r="E315" s="35"/>
      <c r="F315" s="5"/>
      <c r="G315" s="5"/>
      <c r="H315" s="5"/>
      <c r="I315" s="14"/>
      <c r="J315" s="14"/>
      <c r="K315" s="28" t="str">
        <f aca="false">IF(A315="","",COUNTIF(Contratos!$A:$A,A315))</f>
        <v/>
      </c>
      <c r="L315" s="39" t="str">
        <f aca="false">IF(A315="","",SUMIFS(Contratos!$D:$D,Contratos!$A:$A,A315)+SUMIFS(Contratos!$N:$N,Contratos!$A:$A,A315))</f>
        <v/>
      </c>
      <c r="M315" s="39" t="str">
        <f aca="false">IF(A315="","",SUMIFS(Pagamentos!$C:$C,Pagamentos!$A:$A,A315,Pagamentos!$F:$F,"Empenho"))</f>
        <v/>
      </c>
      <c r="N315" s="39" t="str">
        <f aca="false">IF(A315="","",SUMIFS(Pagamentos!$C:$C,Pagamentos!$A:$A,A315,Pagamentos!$F:$F,"Pagamento"))</f>
        <v/>
      </c>
      <c r="O315" s="37" t="str">
        <f aca="false">IF(OR(A315="",E315="",L315="",L315=0),"",E315/L315)</f>
        <v/>
      </c>
      <c r="P315" s="28" t="str">
        <f aca="false">IF(A315="","",COUNTIFS(Sancoes!$A:$A,A315,Sancoes!$B:$B,"&lt;&gt;Não consta"))</f>
        <v/>
      </c>
      <c r="Q315" s="28" t="str">
        <f aca="false">IF(A315="","",COUNTIF(Socios!$A:$A,A315))</f>
        <v/>
      </c>
      <c r="R315" s="28" t="str">
        <f aca="false">IF(A315="","",COUNTIFS(Socios!$A:$A,A315,Socios!$K:$K,"SIM"))</f>
        <v/>
      </c>
      <c r="S315" s="27"/>
      <c r="T315" s="5"/>
    </row>
    <row r="316" customFormat="false" ht="15" hidden="false" customHeight="false" outlineLevel="0" collapsed="false">
      <c r="A316" s="27"/>
      <c r="B316" s="5"/>
      <c r="C316" s="18"/>
      <c r="D316" s="5"/>
      <c r="E316" s="35"/>
      <c r="F316" s="5"/>
      <c r="G316" s="5"/>
      <c r="H316" s="5"/>
      <c r="I316" s="14"/>
      <c r="J316" s="14"/>
      <c r="K316" s="28" t="str">
        <f aca="false">IF(A316="","",COUNTIF(Contratos!$A:$A,A316))</f>
        <v/>
      </c>
      <c r="L316" s="39" t="str">
        <f aca="false">IF(A316="","",SUMIFS(Contratos!$D:$D,Contratos!$A:$A,A316)+SUMIFS(Contratos!$N:$N,Contratos!$A:$A,A316))</f>
        <v/>
      </c>
      <c r="M316" s="39" t="str">
        <f aca="false">IF(A316="","",SUMIFS(Pagamentos!$C:$C,Pagamentos!$A:$A,A316,Pagamentos!$F:$F,"Empenho"))</f>
        <v/>
      </c>
      <c r="N316" s="39" t="str">
        <f aca="false">IF(A316="","",SUMIFS(Pagamentos!$C:$C,Pagamentos!$A:$A,A316,Pagamentos!$F:$F,"Pagamento"))</f>
        <v/>
      </c>
      <c r="O316" s="37" t="str">
        <f aca="false">IF(OR(A316="",E316="",L316="",L316=0),"",E316/L316)</f>
        <v/>
      </c>
      <c r="P316" s="28" t="str">
        <f aca="false">IF(A316="","",COUNTIFS(Sancoes!$A:$A,A316,Sancoes!$B:$B,"&lt;&gt;Não consta"))</f>
        <v/>
      </c>
      <c r="Q316" s="28" t="str">
        <f aca="false">IF(A316="","",COUNTIF(Socios!$A:$A,A316))</f>
        <v/>
      </c>
      <c r="R316" s="28" t="str">
        <f aca="false">IF(A316="","",COUNTIFS(Socios!$A:$A,A316,Socios!$K:$K,"SIM"))</f>
        <v/>
      </c>
      <c r="S316" s="27"/>
      <c r="T316" s="5"/>
    </row>
    <row r="317" customFormat="false" ht="15" hidden="false" customHeight="false" outlineLevel="0" collapsed="false">
      <c r="A317" s="27"/>
      <c r="B317" s="5"/>
      <c r="C317" s="18"/>
      <c r="D317" s="5"/>
      <c r="E317" s="35"/>
      <c r="F317" s="5"/>
      <c r="G317" s="5"/>
      <c r="H317" s="5"/>
      <c r="I317" s="14"/>
      <c r="J317" s="14"/>
      <c r="K317" s="28" t="str">
        <f aca="false">IF(A317="","",COUNTIF(Contratos!$A:$A,A317))</f>
        <v/>
      </c>
      <c r="L317" s="39" t="str">
        <f aca="false">IF(A317="","",SUMIFS(Contratos!$D:$D,Contratos!$A:$A,A317)+SUMIFS(Contratos!$N:$N,Contratos!$A:$A,A317))</f>
        <v/>
      </c>
      <c r="M317" s="39" t="str">
        <f aca="false">IF(A317="","",SUMIFS(Pagamentos!$C:$C,Pagamentos!$A:$A,A317,Pagamentos!$F:$F,"Empenho"))</f>
        <v/>
      </c>
      <c r="N317" s="39" t="str">
        <f aca="false">IF(A317="","",SUMIFS(Pagamentos!$C:$C,Pagamentos!$A:$A,A317,Pagamentos!$F:$F,"Pagamento"))</f>
        <v/>
      </c>
      <c r="O317" s="37" t="str">
        <f aca="false">IF(OR(A317="",E317="",L317="",L317=0),"",E317/L317)</f>
        <v/>
      </c>
      <c r="P317" s="28" t="str">
        <f aca="false">IF(A317="","",COUNTIFS(Sancoes!$A:$A,A317,Sancoes!$B:$B,"&lt;&gt;Não consta"))</f>
        <v/>
      </c>
      <c r="Q317" s="28" t="str">
        <f aca="false">IF(A317="","",COUNTIF(Socios!$A:$A,A317))</f>
        <v/>
      </c>
      <c r="R317" s="28" t="str">
        <f aca="false">IF(A317="","",COUNTIFS(Socios!$A:$A,A317,Socios!$K:$K,"SIM"))</f>
        <v/>
      </c>
      <c r="S317" s="27"/>
      <c r="T317" s="5"/>
    </row>
    <row r="318" customFormat="false" ht="15" hidden="false" customHeight="false" outlineLevel="0" collapsed="false">
      <c r="A318" s="27"/>
      <c r="B318" s="5"/>
      <c r="C318" s="18"/>
      <c r="D318" s="5"/>
      <c r="E318" s="35"/>
      <c r="F318" s="5"/>
      <c r="G318" s="5"/>
      <c r="H318" s="5"/>
      <c r="I318" s="14"/>
      <c r="J318" s="14"/>
      <c r="K318" s="28" t="str">
        <f aca="false">IF(A318="","",COUNTIF(Contratos!$A:$A,A318))</f>
        <v/>
      </c>
      <c r="L318" s="39" t="str">
        <f aca="false">IF(A318="","",SUMIFS(Contratos!$D:$D,Contratos!$A:$A,A318)+SUMIFS(Contratos!$N:$N,Contratos!$A:$A,A318))</f>
        <v/>
      </c>
      <c r="M318" s="39" t="str">
        <f aca="false">IF(A318="","",SUMIFS(Pagamentos!$C:$C,Pagamentos!$A:$A,A318,Pagamentos!$F:$F,"Empenho"))</f>
        <v/>
      </c>
      <c r="N318" s="39" t="str">
        <f aca="false">IF(A318="","",SUMIFS(Pagamentos!$C:$C,Pagamentos!$A:$A,A318,Pagamentos!$F:$F,"Pagamento"))</f>
        <v/>
      </c>
      <c r="O318" s="37" t="str">
        <f aca="false">IF(OR(A318="",E318="",L318="",L318=0),"",E318/L318)</f>
        <v/>
      </c>
      <c r="P318" s="28" t="str">
        <f aca="false">IF(A318="","",COUNTIFS(Sancoes!$A:$A,A318,Sancoes!$B:$B,"&lt;&gt;Não consta"))</f>
        <v/>
      </c>
      <c r="Q318" s="28" t="str">
        <f aca="false">IF(A318="","",COUNTIF(Socios!$A:$A,A318))</f>
        <v/>
      </c>
      <c r="R318" s="28" t="str">
        <f aca="false">IF(A318="","",COUNTIFS(Socios!$A:$A,A318,Socios!$K:$K,"SIM"))</f>
        <v/>
      </c>
      <c r="S318" s="27"/>
      <c r="T318" s="5"/>
    </row>
    <row r="319" customFormat="false" ht="15" hidden="false" customHeight="false" outlineLevel="0" collapsed="false">
      <c r="A319" s="27"/>
      <c r="B319" s="5"/>
      <c r="C319" s="18"/>
      <c r="D319" s="5"/>
      <c r="E319" s="35"/>
      <c r="F319" s="5"/>
      <c r="G319" s="5"/>
      <c r="H319" s="5"/>
      <c r="I319" s="14"/>
      <c r="J319" s="14"/>
      <c r="K319" s="28" t="str">
        <f aca="false">IF(A319="","",COUNTIF(Contratos!$A:$A,A319))</f>
        <v/>
      </c>
      <c r="L319" s="39" t="str">
        <f aca="false">IF(A319="","",SUMIFS(Contratos!$D:$D,Contratos!$A:$A,A319)+SUMIFS(Contratos!$N:$N,Contratos!$A:$A,A319))</f>
        <v/>
      </c>
      <c r="M319" s="39" t="str">
        <f aca="false">IF(A319="","",SUMIFS(Pagamentos!$C:$C,Pagamentos!$A:$A,A319,Pagamentos!$F:$F,"Empenho"))</f>
        <v/>
      </c>
      <c r="N319" s="39" t="str">
        <f aca="false">IF(A319="","",SUMIFS(Pagamentos!$C:$C,Pagamentos!$A:$A,A319,Pagamentos!$F:$F,"Pagamento"))</f>
        <v/>
      </c>
      <c r="O319" s="37" t="str">
        <f aca="false">IF(OR(A319="",E319="",L319="",L319=0),"",E319/L319)</f>
        <v/>
      </c>
      <c r="P319" s="28" t="str">
        <f aca="false">IF(A319="","",COUNTIFS(Sancoes!$A:$A,A319,Sancoes!$B:$B,"&lt;&gt;Não consta"))</f>
        <v/>
      </c>
      <c r="Q319" s="28" t="str">
        <f aca="false">IF(A319="","",COUNTIF(Socios!$A:$A,A319))</f>
        <v/>
      </c>
      <c r="R319" s="28" t="str">
        <f aca="false">IF(A319="","",COUNTIFS(Socios!$A:$A,A319,Socios!$K:$K,"SIM"))</f>
        <v/>
      </c>
      <c r="S319" s="27"/>
      <c r="T319" s="5"/>
    </row>
    <row r="320" customFormat="false" ht="15" hidden="false" customHeight="false" outlineLevel="0" collapsed="false">
      <c r="A320" s="27"/>
      <c r="B320" s="5"/>
      <c r="C320" s="18"/>
      <c r="D320" s="5"/>
      <c r="E320" s="35"/>
      <c r="F320" s="5"/>
      <c r="G320" s="5"/>
      <c r="H320" s="5"/>
      <c r="I320" s="14"/>
      <c r="J320" s="14"/>
      <c r="K320" s="28" t="str">
        <f aca="false">IF(A320="","",COUNTIF(Contratos!$A:$A,A320))</f>
        <v/>
      </c>
      <c r="L320" s="39" t="str">
        <f aca="false">IF(A320="","",SUMIFS(Contratos!$D:$D,Contratos!$A:$A,A320)+SUMIFS(Contratos!$N:$N,Contratos!$A:$A,A320))</f>
        <v/>
      </c>
      <c r="M320" s="39" t="str">
        <f aca="false">IF(A320="","",SUMIFS(Pagamentos!$C:$C,Pagamentos!$A:$A,A320,Pagamentos!$F:$F,"Empenho"))</f>
        <v/>
      </c>
      <c r="N320" s="39" t="str">
        <f aca="false">IF(A320="","",SUMIFS(Pagamentos!$C:$C,Pagamentos!$A:$A,A320,Pagamentos!$F:$F,"Pagamento"))</f>
        <v/>
      </c>
      <c r="O320" s="37" t="str">
        <f aca="false">IF(OR(A320="",E320="",L320="",L320=0),"",E320/L320)</f>
        <v/>
      </c>
      <c r="P320" s="28" t="str">
        <f aca="false">IF(A320="","",COUNTIFS(Sancoes!$A:$A,A320,Sancoes!$B:$B,"&lt;&gt;Não consta"))</f>
        <v/>
      </c>
      <c r="Q320" s="28" t="str">
        <f aca="false">IF(A320="","",COUNTIF(Socios!$A:$A,A320))</f>
        <v/>
      </c>
      <c r="R320" s="28" t="str">
        <f aca="false">IF(A320="","",COUNTIFS(Socios!$A:$A,A320,Socios!$K:$K,"SIM"))</f>
        <v/>
      </c>
      <c r="S320" s="27"/>
      <c r="T320" s="5"/>
    </row>
    <row r="321" customFormat="false" ht="15" hidden="false" customHeight="false" outlineLevel="0" collapsed="false">
      <c r="A321" s="27"/>
      <c r="B321" s="5"/>
      <c r="C321" s="18"/>
      <c r="D321" s="5"/>
      <c r="E321" s="35"/>
      <c r="F321" s="5"/>
      <c r="G321" s="5"/>
      <c r="H321" s="5"/>
      <c r="I321" s="14"/>
      <c r="J321" s="14"/>
      <c r="K321" s="28" t="str">
        <f aca="false">IF(A321="","",COUNTIF(Contratos!$A:$A,A321))</f>
        <v/>
      </c>
      <c r="L321" s="39" t="str">
        <f aca="false">IF(A321="","",SUMIFS(Contratos!$D:$D,Contratos!$A:$A,A321)+SUMIFS(Contratos!$N:$N,Contratos!$A:$A,A321))</f>
        <v/>
      </c>
      <c r="M321" s="39" t="str">
        <f aca="false">IF(A321="","",SUMIFS(Pagamentos!$C:$C,Pagamentos!$A:$A,A321,Pagamentos!$F:$F,"Empenho"))</f>
        <v/>
      </c>
      <c r="N321" s="39" t="str">
        <f aca="false">IF(A321="","",SUMIFS(Pagamentos!$C:$C,Pagamentos!$A:$A,A321,Pagamentos!$F:$F,"Pagamento"))</f>
        <v/>
      </c>
      <c r="O321" s="37" t="str">
        <f aca="false">IF(OR(A321="",E321="",L321="",L321=0),"",E321/L321)</f>
        <v/>
      </c>
      <c r="P321" s="28" t="str">
        <f aca="false">IF(A321="","",COUNTIFS(Sancoes!$A:$A,A321,Sancoes!$B:$B,"&lt;&gt;Não consta"))</f>
        <v/>
      </c>
      <c r="Q321" s="28" t="str">
        <f aca="false">IF(A321="","",COUNTIF(Socios!$A:$A,A321))</f>
        <v/>
      </c>
      <c r="R321" s="28" t="str">
        <f aca="false">IF(A321="","",COUNTIFS(Socios!$A:$A,A321,Socios!$K:$K,"SIM"))</f>
        <v/>
      </c>
      <c r="S321" s="27"/>
      <c r="T321" s="5"/>
    </row>
    <row r="322" customFormat="false" ht="15" hidden="false" customHeight="false" outlineLevel="0" collapsed="false">
      <c r="A322" s="27"/>
      <c r="B322" s="5"/>
      <c r="C322" s="18"/>
      <c r="D322" s="5"/>
      <c r="E322" s="35"/>
      <c r="F322" s="5"/>
      <c r="G322" s="5"/>
      <c r="H322" s="5"/>
      <c r="I322" s="14"/>
      <c r="J322" s="14"/>
      <c r="K322" s="28" t="str">
        <f aca="false">IF(A322="","",COUNTIF(Contratos!$A:$A,A322))</f>
        <v/>
      </c>
      <c r="L322" s="39" t="str">
        <f aca="false">IF(A322="","",SUMIFS(Contratos!$D:$D,Contratos!$A:$A,A322)+SUMIFS(Contratos!$N:$N,Contratos!$A:$A,A322))</f>
        <v/>
      </c>
      <c r="M322" s="39" t="str">
        <f aca="false">IF(A322="","",SUMIFS(Pagamentos!$C:$C,Pagamentos!$A:$A,A322,Pagamentos!$F:$F,"Empenho"))</f>
        <v/>
      </c>
      <c r="N322" s="39" t="str">
        <f aca="false">IF(A322="","",SUMIFS(Pagamentos!$C:$C,Pagamentos!$A:$A,A322,Pagamentos!$F:$F,"Pagamento"))</f>
        <v/>
      </c>
      <c r="O322" s="37" t="str">
        <f aca="false">IF(OR(A322="",E322="",L322="",L322=0),"",E322/L322)</f>
        <v/>
      </c>
      <c r="P322" s="28" t="str">
        <f aca="false">IF(A322="","",COUNTIFS(Sancoes!$A:$A,A322,Sancoes!$B:$B,"&lt;&gt;Não consta"))</f>
        <v/>
      </c>
      <c r="Q322" s="28" t="str">
        <f aca="false">IF(A322="","",COUNTIF(Socios!$A:$A,A322))</f>
        <v/>
      </c>
      <c r="R322" s="28" t="str">
        <f aca="false">IF(A322="","",COUNTIFS(Socios!$A:$A,A322,Socios!$K:$K,"SIM"))</f>
        <v/>
      </c>
      <c r="S322" s="27"/>
      <c r="T322" s="5"/>
    </row>
    <row r="323" customFormat="false" ht="15" hidden="false" customHeight="false" outlineLevel="0" collapsed="false">
      <c r="A323" s="27"/>
      <c r="B323" s="5"/>
      <c r="C323" s="18"/>
      <c r="D323" s="5"/>
      <c r="E323" s="35"/>
      <c r="F323" s="5"/>
      <c r="G323" s="5"/>
      <c r="H323" s="5"/>
      <c r="I323" s="14"/>
      <c r="J323" s="14"/>
      <c r="K323" s="28" t="str">
        <f aca="false">IF(A323="","",COUNTIF(Contratos!$A:$A,A323))</f>
        <v/>
      </c>
      <c r="L323" s="39" t="str">
        <f aca="false">IF(A323="","",SUMIFS(Contratos!$D:$D,Contratos!$A:$A,A323)+SUMIFS(Contratos!$N:$N,Contratos!$A:$A,A323))</f>
        <v/>
      </c>
      <c r="M323" s="39" t="str">
        <f aca="false">IF(A323="","",SUMIFS(Pagamentos!$C:$C,Pagamentos!$A:$A,A323,Pagamentos!$F:$F,"Empenho"))</f>
        <v/>
      </c>
      <c r="N323" s="39" t="str">
        <f aca="false">IF(A323="","",SUMIFS(Pagamentos!$C:$C,Pagamentos!$A:$A,A323,Pagamentos!$F:$F,"Pagamento"))</f>
        <v/>
      </c>
      <c r="O323" s="37" t="str">
        <f aca="false">IF(OR(A323="",E323="",L323="",L323=0),"",E323/L323)</f>
        <v/>
      </c>
      <c r="P323" s="28" t="str">
        <f aca="false">IF(A323="","",COUNTIFS(Sancoes!$A:$A,A323,Sancoes!$B:$B,"&lt;&gt;Não consta"))</f>
        <v/>
      </c>
      <c r="Q323" s="28" t="str">
        <f aca="false">IF(A323="","",COUNTIF(Socios!$A:$A,A323))</f>
        <v/>
      </c>
      <c r="R323" s="28" t="str">
        <f aca="false">IF(A323="","",COUNTIFS(Socios!$A:$A,A323,Socios!$K:$K,"SIM"))</f>
        <v/>
      </c>
      <c r="S323" s="27"/>
      <c r="T323" s="5"/>
    </row>
    <row r="324" customFormat="false" ht="15" hidden="false" customHeight="false" outlineLevel="0" collapsed="false">
      <c r="A324" s="27"/>
      <c r="B324" s="5"/>
      <c r="C324" s="18"/>
      <c r="D324" s="5"/>
      <c r="E324" s="35"/>
      <c r="F324" s="5"/>
      <c r="G324" s="5"/>
      <c r="H324" s="5"/>
      <c r="I324" s="14"/>
      <c r="J324" s="14"/>
      <c r="K324" s="28" t="str">
        <f aca="false">IF(A324="","",COUNTIF(Contratos!$A:$A,A324))</f>
        <v/>
      </c>
      <c r="L324" s="39" t="str">
        <f aca="false">IF(A324="","",SUMIFS(Contratos!$D:$D,Contratos!$A:$A,A324)+SUMIFS(Contratos!$N:$N,Contratos!$A:$A,A324))</f>
        <v/>
      </c>
      <c r="M324" s="39" t="str">
        <f aca="false">IF(A324="","",SUMIFS(Pagamentos!$C:$C,Pagamentos!$A:$A,A324,Pagamentos!$F:$F,"Empenho"))</f>
        <v/>
      </c>
      <c r="N324" s="39" t="str">
        <f aca="false">IF(A324="","",SUMIFS(Pagamentos!$C:$C,Pagamentos!$A:$A,A324,Pagamentos!$F:$F,"Pagamento"))</f>
        <v/>
      </c>
      <c r="O324" s="37" t="str">
        <f aca="false">IF(OR(A324="",E324="",L324="",L324=0),"",E324/L324)</f>
        <v/>
      </c>
      <c r="P324" s="28" t="str">
        <f aca="false">IF(A324="","",COUNTIFS(Sancoes!$A:$A,A324,Sancoes!$B:$B,"&lt;&gt;Não consta"))</f>
        <v/>
      </c>
      <c r="Q324" s="28" t="str">
        <f aca="false">IF(A324="","",COUNTIF(Socios!$A:$A,A324))</f>
        <v/>
      </c>
      <c r="R324" s="28" t="str">
        <f aca="false">IF(A324="","",COUNTIFS(Socios!$A:$A,A324,Socios!$K:$K,"SIM"))</f>
        <v/>
      </c>
      <c r="S324" s="27"/>
      <c r="T324" s="5"/>
    </row>
    <row r="325" customFormat="false" ht="15" hidden="false" customHeight="false" outlineLevel="0" collapsed="false">
      <c r="A325" s="27"/>
      <c r="B325" s="5"/>
      <c r="C325" s="18"/>
      <c r="D325" s="5"/>
      <c r="E325" s="35"/>
      <c r="F325" s="5"/>
      <c r="G325" s="5"/>
      <c r="H325" s="5"/>
      <c r="I325" s="14"/>
      <c r="J325" s="14"/>
      <c r="K325" s="28" t="str">
        <f aca="false">IF(A325="","",COUNTIF(Contratos!$A:$A,A325))</f>
        <v/>
      </c>
      <c r="L325" s="39" t="str">
        <f aca="false">IF(A325="","",SUMIFS(Contratos!$D:$D,Contratos!$A:$A,A325)+SUMIFS(Contratos!$N:$N,Contratos!$A:$A,A325))</f>
        <v/>
      </c>
      <c r="M325" s="39" t="str">
        <f aca="false">IF(A325="","",SUMIFS(Pagamentos!$C:$C,Pagamentos!$A:$A,A325,Pagamentos!$F:$F,"Empenho"))</f>
        <v/>
      </c>
      <c r="N325" s="39" t="str">
        <f aca="false">IF(A325="","",SUMIFS(Pagamentos!$C:$C,Pagamentos!$A:$A,A325,Pagamentos!$F:$F,"Pagamento"))</f>
        <v/>
      </c>
      <c r="O325" s="37" t="str">
        <f aca="false">IF(OR(A325="",E325="",L325="",L325=0),"",E325/L325)</f>
        <v/>
      </c>
      <c r="P325" s="28" t="str">
        <f aca="false">IF(A325="","",COUNTIFS(Sancoes!$A:$A,A325,Sancoes!$B:$B,"&lt;&gt;Não consta"))</f>
        <v/>
      </c>
      <c r="Q325" s="28" t="str">
        <f aca="false">IF(A325="","",COUNTIF(Socios!$A:$A,A325))</f>
        <v/>
      </c>
      <c r="R325" s="28" t="str">
        <f aca="false">IF(A325="","",COUNTIFS(Socios!$A:$A,A325,Socios!$K:$K,"SIM"))</f>
        <v/>
      </c>
      <c r="S325" s="27"/>
      <c r="T325" s="5"/>
    </row>
    <row r="326" customFormat="false" ht="15" hidden="false" customHeight="false" outlineLevel="0" collapsed="false">
      <c r="A326" s="27"/>
      <c r="B326" s="5"/>
      <c r="C326" s="18"/>
      <c r="D326" s="5"/>
      <c r="E326" s="35"/>
      <c r="F326" s="5"/>
      <c r="G326" s="5"/>
      <c r="H326" s="5"/>
      <c r="I326" s="14"/>
      <c r="J326" s="14"/>
      <c r="K326" s="28" t="str">
        <f aca="false">IF(A326="","",COUNTIF(Contratos!$A:$A,A326))</f>
        <v/>
      </c>
      <c r="L326" s="39" t="str">
        <f aca="false">IF(A326="","",SUMIFS(Contratos!$D:$D,Contratos!$A:$A,A326)+SUMIFS(Contratos!$N:$N,Contratos!$A:$A,A326))</f>
        <v/>
      </c>
      <c r="M326" s="39" t="str">
        <f aca="false">IF(A326="","",SUMIFS(Pagamentos!$C:$C,Pagamentos!$A:$A,A326,Pagamentos!$F:$F,"Empenho"))</f>
        <v/>
      </c>
      <c r="N326" s="39" t="str">
        <f aca="false">IF(A326="","",SUMIFS(Pagamentos!$C:$C,Pagamentos!$A:$A,A326,Pagamentos!$F:$F,"Pagamento"))</f>
        <v/>
      </c>
      <c r="O326" s="37" t="str">
        <f aca="false">IF(OR(A326="",E326="",L326="",L326=0),"",E326/L326)</f>
        <v/>
      </c>
      <c r="P326" s="28" t="str">
        <f aca="false">IF(A326="","",COUNTIFS(Sancoes!$A:$A,A326,Sancoes!$B:$B,"&lt;&gt;Não consta"))</f>
        <v/>
      </c>
      <c r="Q326" s="28" t="str">
        <f aca="false">IF(A326="","",COUNTIF(Socios!$A:$A,A326))</f>
        <v/>
      </c>
      <c r="R326" s="28" t="str">
        <f aca="false">IF(A326="","",COUNTIFS(Socios!$A:$A,A326,Socios!$K:$K,"SIM"))</f>
        <v/>
      </c>
      <c r="S326" s="27"/>
      <c r="T326" s="5"/>
    </row>
    <row r="327" customFormat="false" ht="15" hidden="false" customHeight="false" outlineLevel="0" collapsed="false">
      <c r="A327" s="27"/>
      <c r="B327" s="5"/>
      <c r="C327" s="18"/>
      <c r="D327" s="5"/>
      <c r="E327" s="35"/>
      <c r="F327" s="5"/>
      <c r="G327" s="5"/>
      <c r="H327" s="5"/>
      <c r="I327" s="14"/>
      <c r="J327" s="14"/>
      <c r="K327" s="28" t="str">
        <f aca="false">IF(A327="","",COUNTIF(Contratos!$A:$A,A327))</f>
        <v/>
      </c>
      <c r="L327" s="39" t="str">
        <f aca="false">IF(A327="","",SUMIFS(Contratos!$D:$D,Contratos!$A:$A,A327)+SUMIFS(Contratos!$N:$N,Contratos!$A:$A,A327))</f>
        <v/>
      </c>
      <c r="M327" s="39" t="str">
        <f aca="false">IF(A327="","",SUMIFS(Pagamentos!$C:$C,Pagamentos!$A:$A,A327,Pagamentos!$F:$F,"Empenho"))</f>
        <v/>
      </c>
      <c r="N327" s="39" t="str">
        <f aca="false">IF(A327="","",SUMIFS(Pagamentos!$C:$C,Pagamentos!$A:$A,A327,Pagamentos!$F:$F,"Pagamento"))</f>
        <v/>
      </c>
      <c r="O327" s="37" t="str">
        <f aca="false">IF(OR(A327="",E327="",L327="",L327=0),"",E327/L327)</f>
        <v/>
      </c>
      <c r="P327" s="28" t="str">
        <f aca="false">IF(A327="","",COUNTIFS(Sancoes!$A:$A,A327,Sancoes!$B:$B,"&lt;&gt;Não consta"))</f>
        <v/>
      </c>
      <c r="Q327" s="28" t="str">
        <f aca="false">IF(A327="","",COUNTIF(Socios!$A:$A,A327))</f>
        <v/>
      </c>
      <c r="R327" s="28" t="str">
        <f aca="false">IF(A327="","",COUNTIFS(Socios!$A:$A,A327,Socios!$K:$K,"SIM"))</f>
        <v/>
      </c>
      <c r="S327" s="27"/>
      <c r="T327" s="5"/>
    </row>
    <row r="328" customFormat="false" ht="15" hidden="false" customHeight="false" outlineLevel="0" collapsed="false">
      <c r="A328" s="27"/>
      <c r="B328" s="5"/>
      <c r="C328" s="18"/>
      <c r="D328" s="5"/>
      <c r="E328" s="35"/>
      <c r="F328" s="5"/>
      <c r="G328" s="5"/>
      <c r="H328" s="5"/>
      <c r="I328" s="14"/>
      <c r="J328" s="14"/>
      <c r="K328" s="28" t="str">
        <f aca="false">IF(A328="","",COUNTIF(Contratos!$A:$A,A328))</f>
        <v/>
      </c>
      <c r="L328" s="39" t="str">
        <f aca="false">IF(A328="","",SUMIFS(Contratos!$D:$D,Contratos!$A:$A,A328)+SUMIFS(Contratos!$N:$N,Contratos!$A:$A,A328))</f>
        <v/>
      </c>
      <c r="M328" s="39" t="str">
        <f aca="false">IF(A328="","",SUMIFS(Pagamentos!$C:$C,Pagamentos!$A:$A,A328,Pagamentos!$F:$F,"Empenho"))</f>
        <v/>
      </c>
      <c r="N328" s="39" t="str">
        <f aca="false">IF(A328="","",SUMIFS(Pagamentos!$C:$C,Pagamentos!$A:$A,A328,Pagamentos!$F:$F,"Pagamento"))</f>
        <v/>
      </c>
      <c r="O328" s="37" t="str">
        <f aca="false">IF(OR(A328="",E328="",L328="",L328=0),"",E328/L328)</f>
        <v/>
      </c>
      <c r="P328" s="28" t="str">
        <f aca="false">IF(A328="","",COUNTIFS(Sancoes!$A:$A,A328,Sancoes!$B:$B,"&lt;&gt;Não consta"))</f>
        <v/>
      </c>
      <c r="Q328" s="28" t="str">
        <f aca="false">IF(A328="","",COUNTIF(Socios!$A:$A,A328))</f>
        <v/>
      </c>
      <c r="R328" s="28" t="str">
        <f aca="false">IF(A328="","",COUNTIFS(Socios!$A:$A,A328,Socios!$K:$K,"SIM"))</f>
        <v/>
      </c>
      <c r="S328" s="27"/>
      <c r="T328" s="5"/>
    </row>
    <row r="329" customFormat="false" ht="15" hidden="false" customHeight="false" outlineLevel="0" collapsed="false">
      <c r="A329" s="27"/>
      <c r="B329" s="5"/>
      <c r="C329" s="18"/>
      <c r="D329" s="5"/>
      <c r="E329" s="35"/>
      <c r="F329" s="5"/>
      <c r="G329" s="5"/>
      <c r="H329" s="5"/>
      <c r="I329" s="14"/>
      <c r="J329" s="14"/>
      <c r="K329" s="28" t="str">
        <f aca="false">IF(A329="","",COUNTIF(Contratos!$A:$A,A329))</f>
        <v/>
      </c>
      <c r="L329" s="39" t="str">
        <f aca="false">IF(A329="","",SUMIFS(Contratos!$D:$D,Contratos!$A:$A,A329)+SUMIFS(Contratos!$N:$N,Contratos!$A:$A,A329))</f>
        <v/>
      </c>
      <c r="M329" s="39" t="str">
        <f aca="false">IF(A329="","",SUMIFS(Pagamentos!$C:$C,Pagamentos!$A:$A,A329,Pagamentos!$F:$F,"Empenho"))</f>
        <v/>
      </c>
      <c r="N329" s="39" t="str">
        <f aca="false">IF(A329="","",SUMIFS(Pagamentos!$C:$C,Pagamentos!$A:$A,A329,Pagamentos!$F:$F,"Pagamento"))</f>
        <v/>
      </c>
      <c r="O329" s="37" t="str">
        <f aca="false">IF(OR(A329="",E329="",L329="",L329=0),"",E329/L329)</f>
        <v/>
      </c>
      <c r="P329" s="28" t="str">
        <f aca="false">IF(A329="","",COUNTIFS(Sancoes!$A:$A,A329,Sancoes!$B:$B,"&lt;&gt;Não consta"))</f>
        <v/>
      </c>
      <c r="Q329" s="28" t="str">
        <f aca="false">IF(A329="","",COUNTIF(Socios!$A:$A,A329))</f>
        <v/>
      </c>
      <c r="R329" s="28" t="str">
        <f aca="false">IF(A329="","",COUNTIFS(Socios!$A:$A,A329,Socios!$K:$K,"SIM"))</f>
        <v/>
      </c>
      <c r="S329" s="27"/>
      <c r="T329" s="5"/>
    </row>
    <row r="330" customFormat="false" ht="15" hidden="false" customHeight="false" outlineLevel="0" collapsed="false">
      <c r="A330" s="27"/>
      <c r="B330" s="5"/>
      <c r="C330" s="18"/>
      <c r="D330" s="5"/>
      <c r="E330" s="35"/>
      <c r="F330" s="5"/>
      <c r="G330" s="5"/>
      <c r="H330" s="5"/>
      <c r="I330" s="14"/>
      <c r="J330" s="14"/>
      <c r="K330" s="28" t="str">
        <f aca="false">IF(A330="","",COUNTIF(Contratos!$A:$A,A330))</f>
        <v/>
      </c>
      <c r="L330" s="39" t="str">
        <f aca="false">IF(A330="","",SUMIFS(Contratos!$D:$D,Contratos!$A:$A,A330)+SUMIFS(Contratos!$N:$N,Contratos!$A:$A,A330))</f>
        <v/>
      </c>
      <c r="M330" s="39" t="str">
        <f aca="false">IF(A330="","",SUMIFS(Pagamentos!$C:$C,Pagamentos!$A:$A,A330,Pagamentos!$F:$F,"Empenho"))</f>
        <v/>
      </c>
      <c r="N330" s="39" t="str">
        <f aca="false">IF(A330="","",SUMIFS(Pagamentos!$C:$C,Pagamentos!$A:$A,A330,Pagamentos!$F:$F,"Pagamento"))</f>
        <v/>
      </c>
      <c r="O330" s="37" t="str">
        <f aca="false">IF(OR(A330="",E330="",L330="",L330=0),"",E330/L330)</f>
        <v/>
      </c>
      <c r="P330" s="28" t="str">
        <f aca="false">IF(A330="","",COUNTIFS(Sancoes!$A:$A,A330,Sancoes!$B:$B,"&lt;&gt;Não consta"))</f>
        <v/>
      </c>
      <c r="Q330" s="28" t="str">
        <f aca="false">IF(A330="","",COUNTIF(Socios!$A:$A,A330))</f>
        <v/>
      </c>
      <c r="R330" s="28" t="str">
        <f aca="false">IF(A330="","",COUNTIFS(Socios!$A:$A,A330,Socios!$K:$K,"SIM"))</f>
        <v/>
      </c>
      <c r="S330" s="27"/>
      <c r="T330" s="5"/>
    </row>
    <row r="331" customFormat="false" ht="15" hidden="false" customHeight="false" outlineLevel="0" collapsed="false">
      <c r="A331" s="27"/>
      <c r="B331" s="5"/>
      <c r="C331" s="18"/>
      <c r="D331" s="5"/>
      <c r="E331" s="35"/>
      <c r="F331" s="5"/>
      <c r="G331" s="5"/>
      <c r="H331" s="5"/>
      <c r="I331" s="14"/>
      <c r="J331" s="14"/>
      <c r="K331" s="28" t="str">
        <f aca="false">IF(A331="","",COUNTIF(Contratos!$A:$A,A331))</f>
        <v/>
      </c>
      <c r="L331" s="39" t="str">
        <f aca="false">IF(A331="","",SUMIFS(Contratos!$D:$D,Contratos!$A:$A,A331)+SUMIFS(Contratos!$N:$N,Contratos!$A:$A,A331))</f>
        <v/>
      </c>
      <c r="M331" s="39" t="str">
        <f aca="false">IF(A331="","",SUMIFS(Pagamentos!$C:$C,Pagamentos!$A:$A,A331,Pagamentos!$F:$F,"Empenho"))</f>
        <v/>
      </c>
      <c r="N331" s="39" t="str">
        <f aca="false">IF(A331="","",SUMIFS(Pagamentos!$C:$C,Pagamentos!$A:$A,A331,Pagamentos!$F:$F,"Pagamento"))</f>
        <v/>
      </c>
      <c r="O331" s="37" t="str">
        <f aca="false">IF(OR(A331="",E331="",L331="",L331=0),"",E331/L331)</f>
        <v/>
      </c>
      <c r="P331" s="28" t="str">
        <f aca="false">IF(A331="","",COUNTIFS(Sancoes!$A:$A,A331,Sancoes!$B:$B,"&lt;&gt;Não consta"))</f>
        <v/>
      </c>
      <c r="Q331" s="28" t="str">
        <f aca="false">IF(A331="","",COUNTIF(Socios!$A:$A,A331))</f>
        <v/>
      </c>
      <c r="R331" s="28" t="str">
        <f aca="false">IF(A331="","",COUNTIFS(Socios!$A:$A,A331,Socios!$K:$K,"SIM"))</f>
        <v/>
      </c>
      <c r="S331" s="27"/>
      <c r="T331" s="5"/>
    </row>
    <row r="332" customFormat="false" ht="15" hidden="false" customHeight="false" outlineLevel="0" collapsed="false">
      <c r="A332" s="27"/>
      <c r="B332" s="5"/>
      <c r="C332" s="18"/>
      <c r="D332" s="5"/>
      <c r="E332" s="35"/>
      <c r="F332" s="5"/>
      <c r="G332" s="5"/>
      <c r="H332" s="5"/>
      <c r="I332" s="14"/>
      <c r="J332" s="14"/>
      <c r="K332" s="28" t="str">
        <f aca="false">IF(A332="","",COUNTIF(Contratos!$A:$A,A332))</f>
        <v/>
      </c>
      <c r="L332" s="39" t="str">
        <f aca="false">IF(A332="","",SUMIFS(Contratos!$D:$D,Contratos!$A:$A,A332)+SUMIFS(Contratos!$N:$N,Contratos!$A:$A,A332))</f>
        <v/>
      </c>
      <c r="M332" s="39" t="str">
        <f aca="false">IF(A332="","",SUMIFS(Pagamentos!$C:$C,Pagamentos!$A:$A,A332,Pagamentos!$F:$F,"Empenho"))</f>
        <v/>
      </c>
      <c r="N332" s="39" t="str">
        <f aca="false">IF(A332="","",SUMIFS(Pagamentos!$C:$C,Pagamentos!$A:$A,A332,Pagamentos!$F:$F,"Pagamento"))</f>
        <v/>
      </c>
      <c r="O332" s="37" t="str">
        <f aca="false">IF(OR(A332="",E332="",L332="",L332=0),"",E332/L332)</f>
        <v/>
      </c>
      <c r="P332" s="28" t="str">
        <f aca="false">IF(A332="","",COUNTIFS(Sancoes!$A:$A,A332,Sancoes!$B:$B,"&lt;&gt;Não consta"))</f>
        <v/>
      </c>
      <c r="Q332" s="28" t="str">
        <f aca="false">IF(A332="","",COUNTIF(Socios!$A:$A,A332))</f>
        <v/>
      </c>
      <c r="R332" s="28" t="str">
        <f aca="false">IF(A332="","",COUNTIFS(Socios!$A:$A,A332,Socios!$K:$K,"SIM"))</f>
        <v/>
      </c>
      <c r="S332" s="27"/>
      <c r="T332" s="5"/>
    </row>
    <row r="333" customFormat="false" ht="15" hidden="false" customHeight="false" outlineLevel="0" collapsed="false">
      <c r="A333" s="27"/>
      <c r="B333" s="5"/>
      <c r="C333" s="18"/>
      <c r="D333" s="5"/>
      <c r="E333" s="35"/>
      <c r="F333" s="5"/>
      <c r="G333" s="5"/>
      <c r="H333" s="5"/>
      <c r="I333" s="14"/>
      <c r="J333" s="14"/>
      <c r="K333" s="28" t="str">
        <f aca="false">IF(A333="","",COUNTIF(Contratos!$A:$A,A333))</f>
        <v/>
      </c>
      <c r="L333" s="39" t="str">
        <f aca="false">IF(A333="","",SUMIFS(Contratos!$D:$D,Contratos!$A:$A,A333)+SUMIFS(Contratos!$N:$N,Contratos!$A:$A,A333))</f>
        <v/>
      </c>
      <c r="M333" s="39" t="str">
        <f aca="false">IF(A333="","",SUMIFS(Pagamentos!$C:$C,Pagamentos!$A:$A,A333,Pagamentos!$F:$F,"Empenho"))</f>
        <v/>
      </c>
      <c r="N333" s="39" t="str">
        <f aca="false">IF(A333="","",SUMIFS(Pagamentos!$C:$C,Pagamentos!$A:$A,A333,Pagamentos!$F:$F,"Pagamento"))</f>
        <v/>
      </c>
      <c r="O333" s="37" t="str">
        <f aca="false">IF(OR(A333="",E333="",L333="",L333=0),"",E333/L333)</f>
        <v/>
      </c>
      <c r="P333" s="28" t="str">
        <f aca="false">IF(A333="","",COUNTIFS(Sancoes!$A:$A,A333,Sancoes!$B:$B,"&lt;&gt;Não consta"))</f>
        <v/>
      </c>
      <c r="Q333" s="28" t="str">
        <f aca="false">IF(A333="","",COUNTIF(Socios!$A:$A,A333))</f>
        <v/>
      </c>
      <c r="R333" s="28" t="str">
        <f aca="false">IF(A333="","",COUNTIFS(Socios!$A:$A,A333,Socios!$K:$K,"SIM"))</f>
        <v/>
      </c>
      <c r="S333" s="27"/>
      <c r="T333" s="5"/>
    </row>
    <row r="334" customFormat="false" ht="15" hidden="false" customHeight="false" outlineLevel="0" collapsed="false">
      <c r="A334" s="27"/>
      <c r="B334" s="5"/>
      <c r="C334" s="18"/>
      <c r="D334" s="5"/>
      <c r="E334" s="35"/>
      <c r="F334" s="5"/>
      <c r="G334" s="5"/>
      <c r="H334" s="5"/>
      <c r="I334" s="14"/>
      <c r="J334" s="14"/>
      <c r="K334" s="28" t="str">
        <f aca="false">IF(A334="","",COUNTIF(Contratos!$A:$A,A334))</f>
        <v/>
      </c>
      <c r="L334" s="39" t="str">
        <f aca="false">IF(A334="","",SUMIFS(Contratos!$D:$D,Contratos!$A:$A,A334)+SUMIFS(Contratos!$N:$N,Contratos!$A:$A,A334))</f>
        <v/>
      </c>
      <c r="M334" s="39" t="str">
        <f aca="false">IF(A334="","",SUMIFS(Pagamentos!$C:$C,Pagamentos!$A:$A,A334,Pagamentos!$F:$F,"Empenho"))</f>
        <v/>
      </c>
      <c r="N334" s="39" t="str">
        <f aca="false">IF(A334="","",SUMIFS(Pagamentos!$C:$C,Pagamentos!$A:$A,A334,Pagamentos!$F:$F,"Pagamento"))</f>
        <v/>
      </c>
      <c r="O334" s="37" t="str">
        <f aca="false">IF(OR(A334="",E334="",L334="",L334=0),"",E334/L334)</f>
        <v/>
      </c>
      <c r="P334" s="28" t="str">
        <f aca="false">IF(A334="","",COUNTIFS(Sancoes!$A:$A,A334,Sancoes!$B:$B,"&lt;&gt;Não consta"))</f>
        <v/>
      </c>
      <c r="Q334" s="28" t="str">
        <f aca="false">IF(A334="","",COUNTIF(Socios!$A:$A,A334))</f>
        <v/>
      </c>
      <c r="R334" s="28" t="str">
        <f aca="false">IF(A334="","",COUNTIFS(Socios!$A:$A,A334,Socios!$K:$K,"SIM"))</f>
        <v/>
      </c>
      <c r="S334" s="27"/>
      <c r="T334" s="5"/>
    </row>
    <row r="335" customFormat="false" ht="15" hidden="false" customHeight="false" outlineLevel="0" collapsed="false">
      <c r="A335" s="27"/>
      <c r="B335" s="5"/>
      <c r="C335" s="18"/>
      <c r="D335" s="5"/>
      <c r="E335" s="35"/>
      <c r="F335" s="5"/>
      <c r="G335" s="5"/>
      <c r="H335" s="5"/>
      <c r="I335" s="14"/>
      <c r="J335" s="14"/>
      <c r="K335" s="28" t="str">
        <f aca="false">IF(A335="","",COUNTIF(Contratos!$A:$A,A335))</f>
        <v/>
      </c>
      <c r="L335" s="39" t="str">
        <f aca="false">IF(A335="","",SUMIFS(Contratos!$D:$D,Contratos!$A:$A,A335)+SUMIFS(Contratos!$N:$N,Contratos!$A:$A,A335))</f>
        <v/>
      </c>
      <c r="M335" s="39" t="str">
        <f aca="false">IF(A335="","",SUMIFS(Pagamentos!$C:$C,Pagamentos!$A:$A,A335,Pagamentos!$F:$F,"Empenho"))</f>
        <v/>
      </c>
      <c r="N335" s="39" t="str">
        <f aca="false">IF(A335="","",SUMIFS(Pagamentos!$C:$C,Pagamentos!$A:$A,A335,Pagamentos!$F:$F,"Pagamento"))</f>
        <v/>
      </c>
      <c r="O335" s="37" t="str">
        <f aca="false">IF(OR(A335="",E335="",L335="",L335=0),"",E335/L335)</f>
        <v/>
      </c>
      <c r="P335" s="28" t="str">
        <f aca="false">IF(A335="","",COUNTIFS(Sancoes!$A:$A,A335,Sancoes!$B:$B,"&lt;&gt;Não consta"))</f>
        <v/>
      </c>
      <c r="Q335" s="28" t="str">
        <f aca="false">IF(A335="","",COUNTIF(Socios!$A:$A,A335))</f>
        <v/>
      </c>
      <c r="R335" s="28" t="str">
        <f aca="false">IF(A335="","",COUNTIFS(Socios!$A:$A,A335,Socios!$K:$K,"SIM"))</f>
        <v/>
      </c>
      <c r="S335" s="27"/>
      <c r="T335" s="5"/>
    </row>
    <row r="336" customFormat="false" ht="15" hidden="false" customHeight="false" outlineLevel="0" collapsed="false">
      <c r="A336" s="27"/>
      <c r="B336" s="5"/>
      <c r="C336" s="18"/>
      <c r="D336" s="5"/>
      <c r="E336" s="35"/>
      <c r="F336" s="5"/>
      <c r="G336" s="5"/>
      <c r="H336" s="5"/>
      <c r="I336" s="14"/>
      <c r="J336" s="14"/>
      <c r="K336" s="28" t="str">
        <f aca="false">IF(A336="","",COUNTIF(Contratos!$A:$A,A336))</f>
        <v/>
      </c>
      <c r="L336" s="39" t="str">
        <f aca="false">IF(A336="","",SUMIFS(Contratos!$D:$D,Contratos!$A:$A,A336)+SUMIFS(Contratos!$N:$N,Contratos!$A:$A,A336))</f>
        <v/>
      </c>
      <c r="M336" s="39" t="str">
        <f aca="false">IF(A336="","",SUMIFS(Pagamentos!$C:$C,Pagamentos!$A:$A,A336,Pagamentos!$F:$F,"Empenho"))</f>
        <v/>
      </c>
      <c r="N336" s="39" t="str">
        <f aca="false">IF(A336="","",SUMIFS(Pagamentos!$C:$C,Pagamentos!$A:$A,A336,Pagamentos!$F:$F,"Pagamento"))</f>
        <v/>
      </c>
      <c r="O336" s="37" t="str">
        <f aca="false">IF(OR(A336="",E336="",L336="",L336=0),"",E336/L336)</f>
        <v/>
      </c>
      <c r="P336" s="28" t="str">
        <f aca="false">IF(A336="","",COUNTIFS(Sancoes!$A:$A,A336,Sancoes!$B:$B,"&lt;&gt;Não consta"))</f>
        <v/>
      </c>
      <c r="Q336" s="28" t="str">
        <f aca="false">IF(A336="","",COUNTIF(Socios!$A:$A,A336))</f>
        <v/>
      </c>
      <c r="R336" s="28" t="str">
        <f aca="false">IF(A336="","",COUNTIFS(Socios!$A:$A,A336,Socios!$K:$K,"SIM"))</f>
        <v/>
      </c>
      <c r="S336" s="27"/>
      <c r="T336" s="5"/>
    </row>
    <row r="337" customFormat="false" ht="15" hidden="false" customHeight="false" outlineLevel="0" collapsed="false">
      <c r="A337" s="27"/>
      <c r="B337" s="5"/>
      <c r="C337" s="18"/>
      <c r="D337" s="5"/>
      <c r="E337" s="35"/>
      <c r="F337" s="5"/>
      <c r="G337" s="5"/>
      <c r="H337" s="5"/>
      <c r="I337" s="14"/>
      <c r="J337" s="14"/>
      <c r="K337" s="28" t="str">
        <f aca="false">IF(A337="","",COUNTIF(Contratos!$A:$A,A337))</f>
        <v/>
      </c>
      <c r="L337" s="39" t="str">
        <f aca="false">IF(A337="","",SUMIFS(Contratos!$D:$D,Contratos!$A:$A,A337)+SUMIFS(Contratos!$N:$N,Contratos!$A:$A,A337))</f>
        <v/>
      </c>
      <c r="M337" s="39" t="str">
        <f aca="false">IF(A337="","",SUMIFS(Pagamentos!$C:$C,Pagamentos!$A:$A,A337,Pagamentos!$F:$F,"Empenho"))</f>
        <v/>
      </c>
      <c r="N337" s="39" t="str">
        <f aca="false">IF(A337="","",SUMIFS(Pagamentos!$C:$C,Pagamentos!$A:$A,A337,Pagamentos!$F:$F,"Pagamento"))</f>
        <v/>
      </c>
      <c r="O337" s="37" t="str">
        <f aca="false">IF(OR(A337="",E337="",L337="",L337=0),"",E337/L337)</f>
        <v/>
      </c>
      <c r="P337" s="28" t="str">
        <f aca="false">IF(A337="","",COUNTIFS(Sancoes!$A:$A,A337,Sancoes!$B:$B,"&lt;&gt;Não consta"))</f>
        <v/>
      </c>
      <c r="Q337" s="28" t="str">
        <f aca="false">IF(A337="","",COUNTIF(Socios!$A:$A,A337))</f>
        <v/>
      </c>
      <c r="R337" s="28" t="str">
        <f aca="false">IF(A337="","",COUNTIFS(Socios!$A:$A,A337,Socios!$K:$K,"SIM"))</f>
        <v/>
      </c>
      <c r="S337" s="27"/>
      <c r="T337" s="5"/>
    </row>
    <row r="338" customFormat="false" ht="15" hidden="false" customHeight="false" outlineLevel="0" collapsed="false">
      <c r="A338" s="27"/>
      <c r="B338" s="5"/>
      <c r="C338" s="18"/>
      <c r="D338" s="5"/>
      <c r="E338" s="35"/>
      <c r="F338" s="5"/>
      <c r="G338" s="5"/>
      <c r="H338" s="5"/>
      <c r="I338" s="14"/>
      <c r="J338" s="14"/>
      <c r="K338" s="28" t="str">
        <f aca="false">IF(A338="","",COUNTIF(Contratos!$A:$A,A338))</f>
        <v/>
      </c>
      <c r="L338" s="39" t="str">
        <f aca="false">IF(A338="","",SUMIFS(Contratos!$D:$D,Contratos!$A:$A,A338)+SUMIFS(Contratos!$N:$N,Contratos!$A:$A,A338))</f>
        <v/>
      </c>
      <c r="M338" s="39" t="str">
        <f aca="false">IF(A338="","",SUMIFS(Pagamentos!$C:$C,Pagamentos!$A:$A,A338,Pagamentos!$F:$F,"Empenho"))</f>
        <v/>
      </c>
      <c r="N338" s="39" t="str">
        <f aca="false">IF(A338="","",SUMIFS(Pagamentos!$C:$C,Pagamentos!$A:$A,A338,Pagamentos!$F:$F,"Pagamento"))</f>
        <v/>
      </c>
      <c r="O338" s="37" t="str">
        <f aca="false">IF(OR(A338="",E338="",L338="",L338=0),"",E338/L338)</f>
        <v/>
      </c>
      <c r="P338" s="28" t="str">
        <f aca="false">IF(A338="","",COUNTIFS(Sancoes!$A:$A,A338,Sancoes!$B:$B,"&lt;&gt;Não consta"))</f>
        <v/>
      </c>
      <c r="Q338" s="28" t="str">
        <f aca="false">IF(A338="","",COUNTIF(Socios!$A:$A,A338))</f>
        <v/>
      </c>
      <c r="R338" s="28" t="str">
        <f aca="false">IF(A338="","",COUNTIFS(Socios!$A:$A,A338,Socios!$K:$K,"SIM"))</f>
        <v/>
      </c>
      <c r="S338" s="27"/>
      <c r="T338" s="5"/>
    </row>
    <row r="339" customFormat="false" ht="15" hidden="false" customHeight="false" outlineLevel="0" collapsed="false">
      <c r="A339" s="27"/>
      <c r="B339" s="5"/>
      <c r="C339" s="18"/>
      <c r="D339" s="5"/>
      <c r="E339" s="35"/>
      <c r="F339" s="5"/>
      <c r="G339" s="5"/>
      <c r="H339" s="5"/>
      <c r="I339" s="14"/>
      <c r="J339" s="14"/>
      <c r="K339" s="28" t="str">
        <f aca="false">IF(A339="","",COUNTIF(Contratos!$A:$A,A339))</f>
        <v/>
      </c>
      <c r="L339" s="39" t="str">
        <f aca="false">IF(A339="","",SUMIFS(Contratos!$D:$D,Contratos!$A:$A,A339)+SUMIFS(Contratos!$N:$N,Contratos!$A:$A,A339))</f>
        <v/>
      </c>
      <c r="M339" s="39" t="str">
        <f aca="false">IF(A339="","",SUMIFS(Pagamentos!$C:$C,Pagamentos!$A:$A,A339,Pagamentos!$F:$F,"Empenho"))</f>
        <v/>
      </c>
      <c r="N339" s="39" t="str">
        <f aca="false">IF(A339="","",SUMIFS(Pagamentos!$C:$C,Pagamentos!$A:$A,A339,Pagamentos!$F:$F,"Pagamento"))</f>
        <v/>
      </c>
      <c r="O339" s="37" t="str">
        <f aca="false">IF(OR(A339="",E339="",L339="",L339=0),"",E339/L339)</f>
        <v/>
      </c>
      <c r="P339" s="28" t="str">
        <f aca="false">IF(A339="","",COUNTIFS(Sancoes!$A:$A,A339,Sancoes!$B:$B,"&lt;&gt;Não consta"))</f>
        <v/>
      </c>
      <c r="Q339" s="28" t="str">
        <f aca="false">IF(A339="","",COUNTIF(Socios!$A:$A,A339))</f>
        <v/>
      </c>
      <c r="R339" s="28" t="str">
        <f aca="false">IF(A339="","",COUNTIFS(Socios!$A:$A,A339,Socios!$K:$K,"SIM"))</f>
        <v/>
      </c>
      <c r="S339" s="27"/>
      <c r="T339" s="5"/>
    </row>
    <row r="340" customFormat="false" ht="15" hidden="false" customHeight="false" outlineLevel="0" collapsed="false">
      <c r="A340" s="27"/>
      <c r="B340" s="5"/>
      <c r="C340" s="18"/>
      <c r="D340" s="5"/>
      <c r="E340" s="35"/>
      <c r="F340" s="5"/>
      <c r="G340" s="5"/>
      <c r="H340" s="5"/>
      <c r="I340" s="14"/>
      <c r="J340" s="14"/>
      <c r="K340" s="28" t="str">
        <f aca="false">IF(A340="","",COUNTIF(Contratos!$A:$A,A340))</f>
        <v/>
      </c>
      <c r="L340" s="39" t="str">
        <f aca="false">IF(A340="","",SUMIFS(Contratos!$D:$D,Contratos!$A:$A,A340)+SUMIFS(Contratos!$N:$N,Contratos!$A:$A,A340))</f>
        <v/>
      </c>
      <c r="M340" s="39" t="str">
        <f aca="false">IF(A340="","",SUMIFS(Pagamentos!$C:$C,Pagamentos!$A:$A,A340,Pagamentos!$F:$F,"Empenho"))</f>
        <v/>
      </c>
      <c r="N340" s="39" t="str">
        <f aca="false">IF(A340="","",SUMIFS(Pagamentos!$C:$C,Pagamentos!$A:$A,A340,Pagamentos!$F:$F,"Pagamento"))</f>
        <v/>
      </c>
      <c r="O340" s="37" t="str">
        <f aca="false">IF(OR(A340="",E340="",L340="",L340=0),"",E340/L340)</f>
        <v/>
      </c>
      <c r="P340" s="28" t="str">
        <f aca="false">IF(A340="","",COUNTIFS(Sancoes!$A:$A,A340,Sancoes!$B:$B,"&lt;&gt;Não consta"))</f>
        <v/>
      </c>
      <c r="Q340" s="28" t="str">
        <f aca="false">IF(A340="","",COUNTIF(Socios!$A:$A,A340))</f>
        <v/>
      </c>
      <c r="R340" s="28" t="str">
        <f aca="false">IF(A340="","",COUNTIFS(Socios!$A:$A,A340,Socios!$K:$K,"SIM"))</f>
        <v/>
      </c>
      <c r="S340" s="27"/>
      <c r="T340" s="5"/>
    </row>
    <row r="341" customFormat="false" ht="15" hidden="false" customHeight="false" outlineLevel="0" collapsed="false">
      <c r="A341" s="27"/>
      <c r="B341" s="5"/>
      <c r="C341" s="18"/>
      <c r="D341" s="5"/>
      <c r="E341" s="35"/>
      <c r="F341" s="5"/>
      <c r="G341" s="5"/>
      <c r="H341" s="5"/>
      <c r="I341" s="14"/>
      <c r="J341" s="14"/>
      <c r="K341" s="28" t="str">
        <f aca="false">IF(A341="","",COUNTIF(Contratos!$A:$A,A341))</f>
        <v/>
      </c>
      <c r="L341" s="39" t="str">
        <f aca="false">IF(A341="","",SUMIFS(Contratos!$D:$D,Contratos!$A:$A,A341)+SUMIFS(Contratos!$N:$N,Contratos!$A:$A,A341))</f>
        <v/>
      </c>
      <c r="M341" s="39" t="str">
        <f aca="false">IF(A341="","",SUMIFS(Pagamentos!$C:$C,Pagamentos!$A:$A,A341,Pagamentos!$F:$F,"Empenho"))</f>
        <v/>
      </c>
      <c r="N341" s="39" t="str">
        <f aca="false">IF(A341="","",SUMIFS(Pagamentos!$C:$C,Pagamentos!$A:$A,A341,Pagamentos!$F:$F,"Pagamento"))</f>
        <v/>
      </c>
      <c r="O341" s="37" t="str">
        <f aca="false">IF(OR(A341="",E341="",L341="",L341=0),"",E341/L341)</f>
        <v/>
      </c>
      <c r="P341" s="28" t="str">
        <f aca="false">IF(A341="","",COUNTIFS(Sancoes!$A:$A,A341,Sancoes!$B:$B,"&lt;&gt;Não consta"))</f>
        <v/>
      </c>
      <c r="Q341" s="28" t="str">
        <f aca="false">IF(A341="","",COUNTIF(Socios!$A:$A,A341))</f>
        <v/>
      </c>
      <c r="R341" s="28" t="str">
        <f aca="false">IF(A341="","",COUNTIFS(Socios!$A:$A,A341,Socios!$K:$K,"SIM"))</f>
        <v/>
      </c>
      <c r="S341" s="27"/>
      <c r="T341" s="5"/>
    </row>
    <row r="342" customFormat="false" ht="15" hidden="false" customHeight="false" outlineLevel="0" collapsed="false">
      <c r="A342" s="27"/>
      <c r="B342" s="5"/>
      <c r="C342" s="18"/>
      <c r="D342" s="5"/>
      <c r="E342" s="35"/>
      <c r="F342" s="5"/>
      <c r="G342" s="5"/>
      <c r="H342" s="5"/>
      <c r="I342" s="14"/>
      <c r="J342" s="14"/>
      <c r="K342" s="28" t="str">
        <f aca="false">IF(A342="","",COUNTIF(Contratos!$A:$A,A342))</f>
        <v/>
      </c>
      <c r="L342" s="39" t="str">
        <f aca="false">IF(A342="","",SUMIFS(Contratos!$D:$D,Contratos!$A:$A,A342)+SUMIFS(Contratos!$N:$N,Contratos!$A:$A,A342))</f>
        <v/>
      </c>
      <c r="M342" s="39" t="str">
        <f aca="false">IF(A342="","",SUMIFS(Pagamentos!$C:$C,Pagamentos!$A:$A,A342,Pagamentos!$F:$F,"Empenho"))</f>
        <v/>
      </c>
      <c r="N342" s="39" t="str">
        <f aca="false">IF(A342="","",SUMIFS(Pagamentos!$C:$C,Pagamentos!$A:$A,A342,Pagamentos!$F:$F,"Pagamento"))</f>
        <v/>
      </c>
      <c r="O342" s="37" t="str">
        <f aca="false">IF(OR(A342="",E342="",L342="",L342=0),"",E342/L342)</f>
        <v/>
      </c>
      <c r="P342" s="28" t="str">
        <f aca="false">IF(A342="","",COUNTIFS(Sancoes!$A:$A,A342,Sancoes!$B:$B,"&lt;&gt;Não consta"))</f>
        <v/>
      </c>
      <c r="Q342" s="28" t="str">
        <f aca="false">IF(A342="","",COUNTIF(Socios!$A:$A,A342))</f>
        <v/>
      </c>
      <c r="R342" s="28" t="str">
        <f aca="false">IF(A342="","",COUNTIFS(Socios!$A:$A,A342,Socios!$K:$K,"SIM"))</f>
        <v/>
      </c>
      <c r="S342" s="27"/>
      <c r="T342" s="5"/>
    </row>
    <row r="343" customFormat="false" ht="15" hidden="false" customHeight="false" outlineLevel="0" collapsed="false">
      <c r="A343" s="27"/>
      <c r="B343" s="5"/>
      <c r="C343" s="18"/>
      <c r="D343" s="5"/>
      <c r="E343" s="35"/>
      <c r="F343" s="5"/>
      <c r="G343" s="5"/>
      <c r="H343" s="5"/>
      <c r="I343" s="14"/>
      <c r="J343" s="14"/>
      <c r="K343" s="28" t="str">
        <f aca="false">IF(A343="","",COUNTIF(Contratos!$A:$A,A343))</f>
        <v/>
      </c>
      <c r="L343" s="39" t="str">
        <f aca="false">IF(A343="","",SUMIFS(Contratos!$D:$D,Contratos!$A:$A,A343)+SUMIFS(Contratos!$N:$N,Contratos!$A:$A,A343))</f>
        <v/>
      </c>
      <c r="M343" s="39" t="str">
        <f aca="false">IF(A343="","",SUMIFS(Pagamentos!$C:$C,Pagamentos!$A:$A,A343,Pagamentos!$F:$F,"Empenho"))</f>
        <v/>
      </c>
      <c r="N343" s="39" t="str">
        <f aca="false">IF(A343="","",SUMIFS(Pagamentos!$C:$C,Pagamentos!$A:$A,A343,Pagamentos!$F:$F,"Pagamento"))</f>
        <v/>
      </c>
      <c r="O343" s="37" t="str">
        <f aca="false">IF(OR(A343="",E343="",L343="",L343=0),"",E343/L343)</f>
        <v/>
      </c>
      <c r="P343" s="28" t="str">
        <f aca="false">IF(A343="","",COUNTIFS(Sancoes!$A:$A,A343,Sancoes!$B:$B,"&lt;&gt;Não consta"))</f>
        <v/>
      </c>
      <c r="Q343" s="28" t="str">
        <f aca="false">IF(A343="","",COUNTIF(Socios!$A:$A,A343))</f>
        <v/>
      </c>
      <c r="R343" s="28" t="str">
        <f aca="false">IF(A343="","",COUNTIFS(Socios!$A:$A,A343,Socios!$K:$K,"SIM"))</f>
        <v/>
      </c>
      <c r="S343" s="27"/>
      <c r="T343" s="5"/>
    </row>
    <row r="344" customFormat="false" ht="15" hidden="false" customHeight="false" outlineLevel="0" collapsed="false">
      <c r="A344" s="27"/>
      <c r="B344" s="5"/>
      <c r="C344" s="18"/>
      <c r="D344" s="5"/>
      <c r="E344" s="35"/>
      <c r="F344" s="5"/>
      <c r="G344" s="5"/>
      <c r="H344" s="5"/>
      <c r="I344" s="14"/>
      <c r="J344" s="14"/>
      <c r="K344" s="28" t="str">
        <f aca="false">IF(A344="","",COUNTIF(Contratos!$A:$A,A344))</f>
        <v/>
      </c>
      <c r="L344" s="39" t="str">
        <f aca="false">IF(A344="","",SUMIFS(Contratos!$D:$D,Contratos!$A:$A,A344)+SUMIFS(Contratos!$N:$N,Contratos!$A:$A,A344))</f>
        <v/>
      </c>
      <c r="M344" s="39" t="str">
        <f aca="false">IF(A344="","",SUMIFS(Pagamentos!$C:$C,Pagamentos!$A:$A,A344,Pagamentos!$F:$F,"Empenho"))</f>
        <v/>
      </c>
      <c r="N344" s="39" t="str">
        <f aca="false">IF(A344="","",SUMIFS(Pagamentos!$C:$C,Pagamentos!$A:$A,A344,Pagamentos!$F:$F,"Pagamento"))</f>
        <v/>
      </c>
      <c r="O344" s="37" t="str">
        <f aca="false">IF(OR(A344="",E344="",L344="",L344=0),"",E344/L344)</f>
        <v/>
      </c>
      <c r="P344" s="28" t="str">
        <f aca="false">IF(A344="","",COUNTIFS(Sancoes!$A:$A,A344,Sancoes!$B:$B,"&lt;&gt;Não consta"))</f>
        <v/>
      </c>
      <c r="Q344" s="28" t="str">
        <f aca="false">IF(A344="","",COUNTIF(Socios!$A:$A,A344))</f>
        <v/>
      </c>
      <c r="R344" s="28" t="str">
        <f aca="false">IF(A344="","",COUNTIFS(Socios!$A:$A,A344,Socios!$K:$K,"SIM"))</f>
        <v/>
      </c>
      <c r="S344" s="27"/>
      <c r="T344" s="5"/>
    </row>
    <row r="345" customFormat="false" ht="15" hidden="false" customHeight="false" outlineLevel="0" collapsed="false">
      <c r="A345" s="27"/>
      <c r="B345" s="5"/>
      <c r="C345" s="18"/>
      <c r="D345" s="5"/>
      <c r="E345" s="35"/>
      <c r="F345" s="5"/>
      <c r="G345" s="5"/>
      <c r="H345" s="5"/>
      <c r="I345" s="14"/>
      <c r="J345" s="14"/>
      <c r="K345" s="28" t="str">
        <f aca="false">IF(A345="","",COUNTIF(Contratos!$A:$A,A345))</f>
        <v/>
      </c>
      <c r="L345" s="39" t="str">
        <f aca="false">IF(A345="","",SUMIFS(Contratos!$D:$D,Contratos!$A:$A,A345)+SUMIFS(Contratos!$N:$N,Contratos!$A:$A,A345))</f>
        <v/>
      </c>
      <c r="M345" s="39" t="str">
        <f aca="false">IF(A345="","",SUMIFS(Pagamentos!$C:$C,Pagamentos!$A:$A,A345,Pagamentos!$F:$F,"Empenho"))</f>
        <v/>
      </c>
      <c r="N345" s="39" t="str">
        <f aca="false">IF(A345="","",SUMIFS(Pagamentos!$C:$C,Pagamentos!$A:$A,A345,Pagamentos!$F:$F,"Pagamento"))</f>
        <v/>
      </c>
      <c r="O345" s="37" t="str">
        <f aca="false">IF(OR(A345="",E345="",L345="",L345=0),"",E345/L345)</f>
        <v/>
      </c>
      <c r="P345" s="28" t="str">
        <f aca="false">IF(A345="","",COUNTIFS(Sancoes!$A:$A,A345,Sancoes!$B:$B,"&lt;&gt;Não consta"))</f>
        <v/>
      </c>
      <c r="Q345" s="28" t="str">
        <f aca="false">IF(A345="","",COUNTIF(Socios!$A:$A,A345))</f>
        <v/>
      </c>
      <c r="R345" s="28" t="str">
        <f aca="false">IF(A345="","",COUNTIFS(Socios!$A:$A,A345,Socios!$K:$K,"SIM"))</f>
        <v/>
      </c>
      <c r="S345" s="27"/>
      <c r="T345" s="5"/>
    </row>
    <row r="346" customFormat="false" ht="15" hidden="false" customHeight="false" outlineLevel="0" collapsed="false">
      <c r="A346" s="27"/>
      <c r="B346" s="5"/>
      <c r="C346" s="18"/>
      <c r="D346" s="5"/>
      <c r="E346" s="35"/>
      <c r="F346" s="5"/>
      <c r="G346" s="5"/>
      <c r="H346" s="5"/>
      <c r="I346" s="14"/>
      <c r="J346" s="14"/>
      <c r="K346" s="28" t="str">
        <f aca="false">IF(A346="","",COUNTIF(Contratos!$A:$A,A346))</f>
        <v/>
      </c>
      <c r="L346" s="39" t="str">
        <f aca="false">IF(A346="","",SUMIFS(Contratos!$D:$D,Contratos!$A:$A,A346)+SUMIFS(Contratos!$N:$N,Contratos!$A:$A,A346))</f>
        <v/>
      </c>
      <c r="M346" s="39" t="str">
        <f aca="false">IF(A346="","",SUMIFS(Pagamentos!$C:$C,Pagamentos!$A:$A,A346,Pagamentos!$F:$F,"Empenho"))</f>
        <v/>
      </c>
      <c r="N346" s="39" t="str">
        <f aca="false">IF(A346="","",SUMIFS(Pagamentos!$C:$C,Pagamentos!$A:$A,A346,Pagamentos!$F:$F,"Pagamento"))</f>
        <v/>
      </c>
      <c r="O346" s="37" t="str">
        <f aca="false">IF(OR(A346="",E346="",L346="",L346=0),"",E346/L346)</f>
        <v/>
      </c>
      <c r="P346" s="28" t="str">
        <f aca="false">IF(A346="","",COUNTIFS(Sancoes!$A:$A,A346,Sancoes!$B:$B,"&lt;&gt;Não consta"))</f>
        <v/>
      </c>
      <c r="Q346" s="28" t="str">
        <f aca="false">IF(A346="","",COUNTIF(Socios!$A:$A,A346))</f>
        <v/>
      </c>
      <c r="R346" s="28" t="str">
        <f aca="false">IF(A346="","",COUNTIFS(Socios!$A:$A,A346,Socios!$K:$K,"SIM"))</f>
        <v/>
      </c>
      <c r="S346" s="27"/>
      <c r="T346" s="5"/>
    </row>
    <row r="347" customFormat="false" ht="15" hidden="false" customHeight="false" outlineLevel="0" collapsed="false">
      <c r="A347" s="27"/>
      <c r="B347" s="5"/>
      <c r="C347" s="18"/>
      <c r="D347" s="5"/>
      <c r="E347" s="35"/>
      <c r="F347" s="5"/>
      <c r="G347" s="5"/>
      <c r="H347" s="5"/>
      <c r="I347" s="14"/>
      <c r="J347" s="14"/>
      <c r="K347" s="28" t="str">
        <f aca="false">IF(A347="","",COUNTIF(Contratos!$A:$A,A347))</f>
        <v/>
      </c>
      <c r="L347" s="39" t="str">
        <f aca="false">IF(A347="","",SUMIFS(Contratos!$D:$D,Contratos!$A:$A,A347)+SUMIFS(Contratos!$N:$N,Contratos!$A:$A,A347))</f>
        <v/>
      </c>
      <c r="M347" s="39" t="str">
        <f aca="false">IF(A347="","",SUMIFS(Pagamentos!$C:$C,Pagamentos!$A:$A,A347,Pagamentos!$F:$F,"Empenho"))</f>
        <v/>
      </c>
      <c r="N347" s="39" t="str">
        <f aca="false">IF(A347="","",SUMIFS(Pagamentos!$C:$C,Pagamentos!$A:$A,A347,Pagamentos!$F:$F,"Pagamento"))</f>
        <v/>
      </c>
      <c r="O347" s="37" t="str">
        <f aca="false">IF(OR(A347="",E347="",L347="",L347=0),"",E347/L347)</f>
        <v/>
      </c>
      <c r="P347" s="28" t="str">
        <f aca="false">IF(A347="","",COUNTIFS(Sancoes!$A:$A,A347,Sancoes!$B:$B,"&lt;&gt;Não consta"))</f>
        <v/>
      </c>
      <c r="Q347" s="28" t="str">
        <f aca="false">IF(A347="","",COUNTIF(Socios!$A:$A,A347))</f>
        <v/>
      </c>
      <c r="R347" s="28" t="str">
        <f aca="false">IF(A347="","",COUNTIFS(Socios!$A:$A,A347,Socios!$K:$K,"SIM"))</f>
        <v/>
      </c>
      <c r="S347" s="27"/>
      <c r="T347" s="5"/>
    </row>
    <row r="348" customFormat="false" ht="15" hidden="false" customHeight="false" outlineLevel="0" collapsed="false">
      <c r="A348" s="27"/>
      <c r="B348" s="5"/>
      <c r="C348" s="18"/>
      <c r="D348" s="5"/>
      <c r="E348" s="35"/>
      <c r="F348" s="5"/>
      <c r="G348" s="5"/>
      <c r="H348" s="5"/>
      <c r="I348" s="14"/>
      <c r="J348" s="14"/>
      <c r="K348" s="28" t="str">
        <f aca="false">IF(A348="","",COUNTIF(Contratos!$A:$A,A348))</f>
        <v/>
      </c>
      <c r="L348" s="39" t="str">
        <f aca="false">IF(A348="","",SUMIFS(Contratos!$D:$D,Contratos!$A:$A,A348)+SUMIFS(Contratos!$N:$N,Contratos!$A:$A,A348))</f>
        <v/>
      </c>
      <c r="M348" s="39" t="str">
        <f aca="false">IF(A348="","",SUMIFS(Pagamentos!$C:$C,Pagamentos!$A:$A,A348,Pagamentos!$F:$F,"Empenho"))</f>
        <v/>
      </c>
      <c r="N348" s="39" t="str">
        <f aca="false">IF(A348="","",SUMIFS(Pagamentos!$C:$C,Pagamentos!$A:$A,A348,Pagamentos!$F:$F,"Pagamento"))</f>
        <v/>
      </c>
      <c r="O348" s="37" t="str">
        <f aca="false">IF(OR(A348="",E348="",L348="",L348=0),"",E348/L348)</f>
        <v/>
      </c>
      <c r="P348" s="28" t="str">
        <f aca="false">IF(A348="","",COUNTIFS(Sancoes!$A:$A,A348,Sancoes!$B:$B,"&lt;&gt;Não consta"))</f>
        <v/>
      </c>
      <c r="Q348" s="28" t="str">
        <f aca="false">IF(A348="","",COUNTIF(Socios!$A:$A,A348))</f>
        <v/>
      </c>
      <c r="R348" s="28" t="str">
        <f aca="false">IF(A348="","",COUNTIFS(Socios!$A:$A,A348,Socios!$K:$K,"SIM"))</f>
        <v/>
      </c>
      <c r="S348" s="27"/>
      <c r="T348" s="5"/>
    </row>
    <row r="349" customFormat="false" ht="15" hidden="false" customHeight="false" outlineLevel="0" collapsed="false">
      <c r="A349" s="27"/>
      <c r="B349" s="5"/>
      <c r="C349" s="18"/>
      <c r="D349" s="5"/>
      <c r="E349" s="35"/>
      <c r="F349" s="5"/>
      <c r="G349" s="5"/>
      <c r="H349" s="5"/>
      <c r="I349" s="14"/>
      <c r="J349" s="14"/>
      <c r="K349" s="28" t="str">
        <f aca="false">IF(A349="","",COUNTIF(Contratos!$A:$A,A349))</f>
        <v/>
      </c>
      <c r="L349" s="39" t="str">
        <f aca="false">IF(A349="","",SUMIFS(Contratos!$D:$D,Contratos!$A:$A,A349)+SUMIFS(Contratos!$N:$N,Contratos!$A:$A,A349))</f>
        <v/>
      </c>
      <c r="M349" s="39" t="str">
        <f aca="false">IF(A349="","",SUMIFS(Pagamentos!$C:$C,Pagamentos!$A:$A,A349,Pagamentos!$F:$F,"Empenho"))</f>
        <v/>
      </c>
      <c r="N349" s="39" t="str">
        <f aca="false">IF(A349="","",SUMIFS(Pagamentos!$C:$C,Pagamentos!$A:$A,A349,Pagamentos!$F:$F,"Pagamento"))</f>
        <v/>
      </c>
      <c r="O349" s="37" t="str">
        <f aca="false">IF(OR(A349="",E349="",L349="",L349=0),"",E349/L349)</f>
        <v/>
      </c>
      <c r="P349" s="28" t="str">
        <f aca="false">IF(A349="","",COUNTIFS(Sancoes!$A:$A,A349,Sancoes!$B:$B,"&lt;&gt;Não consta"))</f>
        <v/>
      </c>
      <c r="Q349" s="28" t="str">
        <f aca="false">IF(A349="","",COUNTIF(Socios!$A:$A,A349))</f>
        <v/>
      </c>
      <c r="R349" s="28" t="str">
        <f aca="false">IF(A349="","",COUNTIFS(Socios!$A:$A,A349,Socios!$K:$K,"SIM"))</f>
        <v/>
      </c>
      <c r="S349" s="27"/>
      <c r="T349" s="5"/>
    </row>
    <row r="350" customFormat="false" ht="15" hidden="false" customHeight="false" outlineLevel="0" collapsed="false">
      <c r="A350" s="27"/>
      <c r="B350" s="5"/>
      <c r="C350" s="18"/>
      <c r="D350" s="5"/>
      <c r="E350" s="35"/>
      <c r="F350" s="5"/>
      <c r="G350" s="5"/>
      <c r="H350" s="5"/>
      <c r="I350" s="14"/>
      <c r="J350" s="14"/>
      <c r="K350" s="28" t="str">
        <f aca="false">IF(A350="","",COUNTIF(Contratos!$A:$A,A350))</f>
        <v/>
      </c>
      <c r="L350" s="39" t="str">
        <f aca="false">IF(A350="","",SUMIFS(Contratos!$D:$D,Contratos!$A:$A,A350)+SUMIFS(Contratos!$N:$N,Contratos!$A:$A,A350))</f>
        <v/>
      </c>
      <c r="M350" s="39" t="str">
        <f aca="false">IF(A350="","",SUMIFS(Pagamentos!$C:$C,Pagamentos!$A:$A,A350,Pagamentos!$F:$F,"Empenho"))</f>
        <v/>
      </c>
      <c r="N350" s="39" t="str">
        <f aca="false">IF(A350="","",SUMIFS(Pagamentos!$C:$C,Pagamentos!$A:$A,A350,Pagamentos!$F:$F,"Pagamento"))</f>
        <v/>
      </c>
      <c r="O350" s="37" t="str">
        <f aca="false">IF(OR(A350="",E350="",L350="",L350=0),"",E350/L350)</f>
        <v/>
      </c>
      <c r="P350" s="28" t="str">
        <f aca="false">IF(A350="","",COUNTIFS(Sancoes!$A:$A,A350,Sancoes!$B:$B,"&lt;&gt;Não consta"))</f>
        <v/>
      </c>
      <c r="Q350" s="28" t="str">
        <f aca="false">IF(A350="","",COUNTIF(Socios!$A:$A,A350))</f>
        <v/>
      </c>
      <c r="R350" s="28" t="str">
        <f aca="false">IF(A350="","",COUNTIFS(Socios!$A:$A,A350,Socios!$K:$K,"SIM"))</f>
        <v/>
      </c>
      <c r="S350" s="27"/>
      <c r="T350" s="5"/>
    </row>
    <row r="351" customFormat="false" ht="15" hidden="false" customHeight="false" outlineLevel="0" collapsed="false">
      <c r="A351" s="27"/>
      <c r="B351" s="5"/>
      <c r="C351" s="18"/>
      <c r="D351" s="5"/>
      <c r="E351" s="35"/>
      <c r="F351" s="5"/>
      <c r="G351" s="5"/>
      <c r="H351" s="5"/>
      <c r="I351" s="14"/>
      <c r="J351" s="14"/>
      <c r="K351" s="28" t="str">
        <f aca="false">IF(A351="","",COUNTIF(Contratos!$A:$A,A351))</f>
        <v/>
      </c>
      <c r="L351" s="39" t="str">
        <f aca="false">IF(A351="","",SUMIFS(Contratos!$D:$D,Contratos!$A:$A,A351)+SUMIFS(Contratos!$N:$N,Contratos!$A:$A,A351))</f>
        <v/>
      </c>
      <c r="M351" s="39" t="str">
        <f aca="false">IF(A351="","",SUMIFS(Pagamentos!$C:$C,Pagamentos!$A:$A,A351,Pagamentos!$F:$F,"Empenho"))</f>
        <v/>
      </c>
      <c r="N351" s="39" t="str">
        <f aca="false">IF(A351="","",SUMIFS(Pagamentos!$C:$C,Pagamentos!$A:$A,A351,Pagamentos!$F:$F,"Pagamento"))</f>
        <v/>
      </c>
      <c r="O351" s="37" t="str">
        <f aca="false">IF(OR(A351="",E351="",L351="",L351=0),"",E351/L351)</f>
        <v/>
      </c>
      <c r="P351" s="28" t="str">
        <f aca="false">IF(A351="","",COUNTIFS(Sancoes!$A:$A,A351,Sancoes!$B:$B,"&lt;&gt;Não consta"))</f>
        <v/>
      </c>
      <c r="Q351" s="28" t="str">
        <f aca="false">IF(A351="","",COUNTIF(Socios!$A:$A,A351))</f>
        <v/>
      </c>
      <c r="R351" s="28" t="str">
        <f aca="false">IF(A351="","",COUNTIFS(Socios!$A:$A,A351,Socios!$K:$K,"SIM"))</f>
        <v/>
      </c>
      <c r="S351" s="27"/>
      <c r="T351" s="5"/>
    </row>
    <row r="352" customFormat="false" ht="15" hidden="false" customHeight="false" outlineLevel="0" collapsed="false">
      <c r="A352" s="27"/>
      <c r="B352" s="5"/>
      <c r="C352" s="18"/>
      <c r="D352" s="5"/>
      <c r="E352" s="35"/>
      <c r="F352" s="5"/>
      <c r="G352" s="5"/>
      <c r="H352" s="5"/>
      <c r="I352" s="14"/>
      <c r="J352" s="14"/>
      <c r="K352" s="28" t="str">
        <f aca="false">IF(A352="","",COUNTIF(Contratos!$A:$A,A352))</f>
        <v/>
      </c>
      <c r="L352" s="39" t="str">
        <f aca="false">IF(A352="","",SUMIFS(Contratos!$D:$D,Contratos!$A:$A,A352)+SUMIFS(Contratos!$N:$N,Contratos!$A:$A,A352))</f>
        <v/>
      </c>
      <c r="M352" s="39" t="str">
        <f aca="false">IF(A352="","",SUMIFS(Pagamentos!$C:$C,Pagamentos!$A:$A,A352,Pagamentos!$F:$F,"Empenho"))</f>
        <v/>
      </c>
      <c r="N352" s="39" t="str">
        <f aca="false">IF(A352="","",SUMIFS(Pagamentos!$C:$C,Pagamentos!$A:$A,A352,Pagamentos!$F:$F,"Pagamento"))</f>
        <v/>
      </c>
      <c r="O352" s="37" t="str">
        <f aca="false">IF(OR(A352="",E352="",L352="",L352=0),"",E352/L352)</f>
        <v/>
      </c>
      <c r="P352" s="28" t="str">
        <f aca="false">IF(A352="","",COUNTIFS(Sancoes!$A:$A,A352,Sancoes!$B:$B,"&lt;&gt;Não consta"))</f>
        <v/>
      </c>
      <c r="Q352" s="28" t="str">
        <f aca="false">IF(A352="","",COUNTIF(Socios!$A:$A,A352))</f>
        <v/>
      </c>
      <c r="R352" s="28" t="str">
        <f aca="false">IF(A352="","",COUNTIFS(Socios!$A:$A,A352,Socios!$K:$K,"SIM"))</f>
        <v/>
      </c>
      <c r="S352" s="27"/>
      <c r="T352" s="5"/>
    </row>
    <row r="353" customFormat="false" ht="15" hidden="false" customHeight="false" outlineLevel="0" collapsed="false">
      <c r="A353" s="27"/>
      <c r="B353" s="5"/>
      <c r="C353" s="18"/>
      <c r="D353" s="5"/>
      <c r="E353" s="35"/>
      <c r="F353" s="5"/>
      <c r="G353" s="5"/>
      <c r="H353" s="5"/>
      <c r="I353" s="14"/>
      <c r="J353" s="14"/>
      <c r="K353" s="28" t="str">
        <f aca="false">IF(A353="","",COUNTIF(Contratos!$A:$A,A353))</f>
        <v/>
      </c>
      <c r="L353" s="39" t="str">
        <f aca="false">IF(A353="","",SUMIFS(Contratos!$D:$D,Contratos!$A:$A,A353)+SUMIFS(Contratos!$N:$N,Contratos!$A:$A,A353))</f>
        <v/>
      </c>
      <c r="M353" s="39" t="str">
        <f aca="false">IF(A353="","",SUMIFS(Pagamentos!$C:$C,Pagamentos!$A:$A,A353,Pagamentos!$F:$F,"Empenho"))</f>
        <v/>
      </c>
      <c r="N353" s="39" t="str">
        <f aca="false">IF(A353="","",SUMIFS(Pagamentos!$C:$C,Pagamentos!$A:$A,A353,Pagamentos!$F:$F,"Pagamento"))</f>
        <v/>
      </c>
      <c r="O353" s="37" t="str">
        <f aca="false">IF(OR(A353="",E353="",L353="",L353=0),"",E353/L353)</f>
        <v/>
      </c>
      <c r="P353" s="28" t="str">
        <f aca="false">IF(A353="","",COUNTIFS(Sancoes!$A:$A,A353,Sancoes!$B:$B,"&lt;&gt;Não consta"))</f>
        <v/>
      </c>
      <c r="Q353" s="28" t="str">
        <f aca="false">IF(A353="","",COUNTIF(Socios!$A:$A,A353))</f>
        <v/>
      </c>
      <c r="R353" s="28" t="str">
        <f aca="false">IF(A353="","",COUNTIFS(Socios!$A:$A,A353,Socios!$K:$K,"SIM"))</f>
        <v/>
      </c>
      <c r="S353" s="27"/>
      <c r="T353" s="5"/>
    </row>
    <row r="354" customFormat="false" ht="15" hidden="false" customHeight="false" outlineLevel="0" collapsed="false">
      <c r="A354" s="27"/>
      <c r="B354" s="5"/>
      <c r="C354" s="18"/>
      <c r="D354" s="5"/>
      <c r="E354" s="35"/>
      <c r="F354" s="5"/>
      <c r="G354" s="5"/>
      <c r="H354" s="5"/>
      <c r="I354" s="14"/>
      <c r="J354" s="14"/>
      <c r="K354" s="28" t="str">
        <f aca="false">IF(A354="","",COUNTIF(Contratos!$A:$A,A354))</f>
        <v/>
      </c>
      <c r="L354" s="39" t="str">
        <f aca="false">IF(A354="","",SUMIFS(Contratos!$D:$D,Contratos!$A:$A,A354)+SUMIFS(Contratos!$N:$N,Contratos!$A:$A,A354))</f>
        <v/>
      </c>
      <c r="M354" s="39" t="str">
        <f aca="false">IF(A354="","",SUMIFS(Pagamentos!$C:$C,Pagamentos!$A:$A,A354,Pagamentos!$F:$F,"Empenho"))</f>
        <v/>
      </c>
      <c r="N354" s="39" t="str">
        <f aca="false">IF(A354="","",SUMIFS(Pagamentos!$C:$C,Pagamentos!$A:$A,A354,Pagamentos!$F:$F,"Pagamento"))</f>
        <v/>
      </c>
      <c r="O354" s="37" t="str">
        <f aca="false">IF(OR(A354="",E354="",L354="",L354=0),"",E354/L354)</f>
        <v/>
      </c>
      <c r="P354" s="28" t="str">
        <f aca="false">IF(A354="","",COUNTIFS(Sancoes!$A:$A,A354,Sancoes!$B:$B,"&lt;&gt;Não consta"))</f>
        <v/>
      </c>
      <c r="Q354" s="28" t="str">
        <f aca="false">IF(A354="","",COUNTIF(Socios!$A:$A,A354))</f>
        <v/>
      </c>
      <c r="R354" s="28" t="str">
        <f aca="false">IF(A354="","",COUNTIFS(Socios!$A:$A,A354,Socios!$K:$K,"SIM"))</f>
        <v/>
      </c>
      <c r="S354" s="27"/>
      <c r="T354" s="5"/>
    </row>
    <row r="355" customFormat="false" ht="15" hidden="false" customHeight="false" outlineLevel="0" collapsed="false">
      <c r="A355" s="27"/>
      <c r="B355" s="5"/>
      <c r="C355" s="18"/>
      <c r="D355" s="5"/>
      <c r="E355" s="35"/>
      <c r="F355" s="5"/>
      <c r="G355" s="5"/>
      <c r="H355" s="5"/>
      <c r="I355" s="14"/>
      <c r="J355" s="14"/>
      <c r="K355" s="28" t="str">
        <f aca="false">IF(A355="","",COUNTIF(Contratos!$A:$A,A355))</f>
        <v/>
      </c>
      <c r="L355" s="39" t="str">
        <f aca="false">IF(A355="","",SUMIFS(Contratos!$D:$D,Contratos!$A:$A,A355)+SUMIFS(Contratos!$N:$N,Contratos!$A:$A,A355))</f>
        <v/>
      </c>
      <c r="M355" s="39" t="str">
        <f aca="false">IF(A355="","",SUMIFS(Pagamentos!$C:$C,Pagamentos!$A:$A,A355,Pagamentos!$F:$F,"Empenho"))</f>
        <v/>
      </c>
      <c r="N355" s="39" t="str">
        <f aca="false">IF(A355="","",SUMIFS(Pagamentos!$C:$C,Pagamentos!$A:$A,A355,Pagamentos!$F:$F,"Pagamento"))</f>
        <v/>
      </c>
      <c r="O355" s="37" t="str">
        <f aca="false">IF(OR(A355="",E355="",L355="",L355=0),"",E355/L355)</f>
        <v/>
      </c>
      <c r="P355" s="28" t="str">
        <f aca="false">IF(A355="","",COUNTIFS(Sancoes!$A:$A,A355,Sancoes!$B:$B,"&lt;&gt;Não consta"))</f>
        <v/>
      </c>
      <c r="Q355" s="28" t="str">
        <f aca="false">IF(A355="","",COUNTIF(Socios!$A:$A,A355))</f>
        <v/>
      </c>
      <c r="R355" s="28" t="str">
        <f aca="false">IF(A355="","",COUNTIFS(Socios!$A:$A,A355,Socios!$K:$K,"SIM"))</f>
        <v/>
      </c>
      <c r="S355" s="27"/>
      <c r="T355" s="5"/>
    </row>
    <row r="356" customFormat="false" ht="15" hidden="false" customHeight="false" outlineLevel="0" collapsed="false">
      <c r="A356" s="27"/>
      <c r="B356" s="5"/>
      <c r="C356" s="18"/>
      <c r="D356" s="5"/>
      <c r="E356" s="35"/>
      <c r="F356" s="5"/>
      <c r="G356" s="5"/>
      <c r="H356" s="5"/>
      <c r="I356" s="14"/>
      <c r="J356" s="14"/>
      <c r="K356" s="28" t="str">
        <f aca="false">IF(A356="","",COUNTIF(Contratos!$A:$A,A356))</f>
        <v/>
      </c>
      <c r="L356" s="39" t="str">
        <f aca="false">IF(A356="","",SUMIFS(Contratos!$D:$D,Contratos!$A:$A,A356)+SUMIFS(Contratos!$N:$N,Contratos!$A:$A,A356))</f>
        <v/>
      </c>
      <c r="M356" s="39" t="str">
        <f aca="false">IF(A356="","",SUMIFS(Pagamentos!$C:$C,Pagamentos!$A:$A,A356,Pagamentos!$F:$F,"Empenho"))</f>
        <v/>
      </c>
      <c r="N356" s="39" t="str">
        <f aca="false">IF(A356="","",SUMIFS(Pagamentos!$C:$C,Pagamentos!$A:$A,A356,Pagamentos!$F:$F,"Pagamento"))</f>
        <v/>
      </c>
      <c r="O356" s="37" t="str">
        <f aca="false">IF(OR(A356="",E356="",L356="",L356=0),"",E356/L356)</f>
        <v/>
      </c>
      <c r="P356" s="28" t="str">
        <f aca="false">IF(A356="","",COUNTIFS(Sancoes!$A:$A,A356,Sancoes!$B:$B,"&lt;&gt;Não consta"))</f>
        <v/>
      </c>
      <c r="Q356" s="28" t="str">
        <f aca="false">IF(A356="","",COUNTIF(Socios!$A:$A,A356))</f>
        <v/>
      </c>
      <c r="R356" s="28" t="str">
        <f aca="false">IF(A356="","",COUNTIFS(Socios!$A:$A,A356,Socios!$K:$K,"SIM"))</f>
        <v/>
      </c>
      <c r="S356" s="27"/>
      <c r="T356" s="5"/>
    </row>
    <row r="357" customFormat="false" ht="15" hidden="false" customHeight="false" outlineLevel="0" collapsed="false">
      <c r="A357" s="27"/>
      <c r="B357" s="5"/>
      <c r="C357" s="18"/>
      <c r="D357" s="5"/>
      <c r="E357" s="35"/>
      <c r="F357" s="5"/>
      <c r="G357" s="5"/>
      <c r="H357" s="5"/>
      <c r="I357" s="14"/>
      <c r="J357" s="14"/>
      <c r="K357" s="28" t="str">
        <f aca="false">IF(A357="","",COUNTIF(Contratos!$A:$A,A357))</f>
        <v/>
      </c>
      <c r="L357" s="39" t="str">
        <f aca="false">IF(A357="","",SUMIFS(Contratos!$D:$D,Contratos!$A:$A,A357)+SUMIFS(Contratos!$N:$N,Contratos!$A:$A,A357))</f>
        <v/>
      </c>
      <c r="M357" s="39" t="str">
        <f aca="false">IF(A357="","",SUMIFS(Pagamentos!$C:$C,Pagamentos!$A:$A,A357,Pagamentos!$F:$F,"Empenho"))</f>
        <v/>
      </c>
      <c r="N357" s="39" t="str">
        <f aca="false">IF(A357="","",SUMIFS(Pagamentos!$C:$C,Pagamentos!$A:$A,A357,Pagamentos!$F:$F,"Pagamento"))</f>
        <v/>
      </c>
      <c r="O357" s="37" t="str">
        <f aca="false">IF(OR(A357="",E357="",L357="",L357=0),"",E357/L357)</f>
        <v/>
      </c>
      <c r="P357" s="28" t="str">
        <f aca="false">IF(A357="","",COUNTIFS(Sancoes!$A:$A,A357,Sancoes!$B:$B,"&lt;&gt;Não consta"))</f>
        <v/>
      </c>
      <c r="Q357" s="28" t="str">
        <f aca="false">IF(A357="","",COUNTIF(Socios!$A:$A,A357))</f>
        <v/>
      </c>
      <c r="R357" s="28" t="str">
        <f aca="false">IF(A357="","",COUNTIFS(Socios!$A:$A,A357,Socios!$K:$K,"SIM"))</f>
        <v/>
      </c>
      <c r="S357" s="27"/>
      <c r="T357" s="5"/>
    </row>
    <row r="358" customFormat="false" ht="15" hidden="false" customHeight="false" outlineLevel="0" collapsed="false">
      <c r="A358" s="27"/>
      <c r="B358" s="5"/>
      <c r="C358" s="18"/>
      <c r="D358" s="5"/>
      <c r="E358" s="35"/>
      <c r="F358" s="5"/>
      <c r="G358" s="5"/>
      <c r="H358" s="5"/>
      <c r="I358" s="14"/>
      <c r="J358" s="14"/>
      <c r="K358" s="28" t="str">
        <f aca="false">IF(A358="","",COUNTIF(Contratos!$A:$A,A358))</f>
        <v/>
      </c>
      <c r="L358" s="39" t="str">
        <f aca="false">IF(A358="","",SUMIFS(Contratos!$D:$D,Contratos!$A:$A,A358)+SUMIFS(Contratos!$N:$N,Contratos!$A:$A,A358))</f>
        <v/>
      </c>
      <c r="M358" s="39" t="str">
        <f aca="false">IF(A358="","",SUMIFS(Pagamentos!$C:$C,Pagamentos!$A:$A,A358,Pagamentos!$F:$F,"Empenho"))</f>
        <v/>
      </c>
      <c r="N358" s="39" t="str">
        <f aca="false">IF(A358="","",SUMIFS(Pagamentos!$C:$C,Pagamentos!$A:$A,A358,Pagamentos!$F:$F,"Pagamento"))</f>
        <v/>
      </c>
      <c r="O358" s="37" t="str">
        <f aca="false">IF(OR(A358="",E358="",L358="",L358=0),"",E358/L358)</f>
        <v/>
      </c>
      <c r="P358" s="28" t="str">
        <f aca="false">IF(A358="","",COUNTIFS(Sancoes!$A:$A,A358,Sancoes!$B:$B,"&lt;&gt;Não consta"))</f>
        <v/>
      </c>
      <c r="Q358" s="28" t="str">
        <f aca="false">IF(A358="","",COUNTIF(Socios!$A:$A,A358))</f>
        <v/>
      </c>
      <c r="R358" s="28" t="str">
        <f aca="false">IF(A358="","",COUNTIFS(Socios!$A:$A,A358,Socios!$K:$K,"SIM"))</f>
        <v/>
      </c>
      <c r="S358" s="27"/>
      <c r="T358" s="5"/>
    </row>
    <row r="359" customFormat="false" ht="15" hidden="false" customHeight="false" outlineLevel="0" collapsed="false">
      <c r="A359" s="27"/>
      <c r="B359" s="5"/>
      <c r="C359" s="18"/>
      <c r="D359" s="5"/>
      <c r="E359" s="35"/>
      <c r="F359" s="5"/>
      <c r="G359" s="5"/>
      <c r="H359" s="5"/>
      <c r="I359" s="14"/>
      <c r="J359" s="14"/>
      <c r="K359" s="28" t="str">
        <f aca="false">IF(A359="","",COUNTIF(Contratos!$A:$A,A359))</f>
        <v/>
      </c>
      <c r="L359" s="39" t="str">
        <f aca="false">IF(A359="","",SUMIFS(Contratos!$D:$D,Contratos!$A:$A,A359)+SUMIFS(Contratos!$N:$N,Contratos!$A:$A,A359))</f>
        <v/>
      </c>
      <c r="M359" s="39" t="str">
        <f aca="false">IF(A359="","",SUMIFS(Pagamentos!$C:$C,Pagamentos!$A:$A,A359,Pagamentos!$F:$F,"Empenho"))</f>
        <v/>
      </c>
      <c r="N359" s="39" t="str">
        <f aca="false">IF(A359="","",SUMIFS(Pagamentos!$C:$C,Pagamentos!$A:$A,A359,Pagamentos!$F:$F,"Pagamento"))</f>
        <v/>
      </c>
      <c r="O359" s="37" t="str">
        <f aca="false">IF(OR(A359="",E359="",L359="",L359=0),"",E359/L359)</f>
        <v/>
      </c>
      <c r="P359" s="28" t="str">
        <f aca="false">IF(A359="","",COUNTIFS(Sancoes!$A:$A,A359,Sancoes!$B:$B,"&lt;&gt;Não consta"))</f>
        <v/>
      </c>
      <c r="Q359" s="28" t="str">
        <f aca="false">IF(A359="","",COUNTIF(Socios!$A:$A,A359))</f>
        <v/>
      </c>
      <c r="R359" s="28" t="str">
        <f aca="false">IF(A359="","",COUNTIFS(Socios!$A:$A,A359,Socios!$K:$K,"SIM"))</f>
        <v/>
      </c>
      <c r="S359" s="27"/>
      <c r="T359" s="5"/>
    </row>
    <row r="360" customFormat="false" ht="15" hidden="false" customHeight="false" outlineLevel="0" collapsed="false">
      <c r="A360" s="27"/>
      <c r="B360" s="5"/>
      <c r="C360" s="18"/>
      <c r="D360" s="5"/>
      <c r="E360" s="35"/>
      <c r="F360" s="5"/>
      <c r="G360" s="5"/>
      <c r="H360" s="5"/>
      <c r="I360" s="14"/>
      <c r="J360" s="14"/>
      <c r="K360" s="28" t="str">
        <f aca="false">IF(A360="","",COUNTIF(Contratos!$A:$A,A360))</f>
        <v/>
      </c>
      <c r="L360" s="39" t="str">
        <f aca="false">IF(A360="","",SUMIFS(Contratos!$D:$D,Contratos!$A:$A,A360)+SUMIFS(Contratos!$N:$N,Contratos!$A:$A,A360))</f>
        <v/>
      </c>
      <c r="M360" s="39" t="str">
        <f aca="false">IF(A360="","",SUMIFS(Pagamentos!$C:$C,Pagamentos!$A:$A,A360,Pagamentos!$F:$F,"Empenho"))</f>
        <v/>
      </c>
      <c r="N360" s="39" t="str">
        <f aca="false">IF(A360="","",SUMIFS(Pagamentos!$C:$C,Pagamentos!$A:$A,A360,Pagamentos!$F:$F,"Pagamento"))</f>
        <v/>
      </c>
      <c r="O360" s="37" t="str">
        <f aca="false">IF(OR(A360="",E360="",L360="",L360=0),"",E360/L360)</f>
        <v/>
      </c>
      <c r="P360" s="28" t="str">
        <f aca="false">IF(A360="","",COUNTIFS(Sancoes!$A:$A,A360,Sancoes!$B:$B,"&lt;&gt;Não consta"))</f>
        <v/>
      </c>
      <c r="Q360" s="28" t="str">
        <f aca="false">IF(A360="","",COUNTIF(Socios!$A:$A,A360))</f>
        <v/>
      </c>
      <c r="R360" s="28" t="str">
        <f aca="false">IF(A360="","",COUNTIFS(Socios!$A:$A,A360,Socios!$K:$K,"SIM"))</f>
        <v/>
      </c>
      <c r="S360" s="27"/>
      <c r="T360" s="5"/>
    </row>
    <row r="361" customFormat="false" ht="15" hidden="false" customHeight="false" outlineLevel="0" collapsed="false">
      <c r="A361" s="27"/>
      <c r="B361" s="5"/>
      <c r="C361" s="18"/>
      <c r="D361" s="5"/>
      <c r="E361" s="35"/>
      <c r="F361" s="5"/>
      <c r="G361" s="5"/>
      <c r="H361" s="5"/>
      <c r="I361" s="14"/>
      <c r="J361" s="14"/>
      <c r="K361" s="28" t="str">
        <f aca="false">IF(A361="","",COUNTIF(Contratos!$A:$A,A361))</f>
        <v/>
      </c>
      <c r="L361" s="39" t="str">
        <f aca="false">IF(A361="","",SUMIFS(Contratos!$D:$D,Contratos!$A:$A,A361)+SUMIFS(Contratos!$N:$N,Contratos!$A:$A,A361))</f>
        <v/>
      </c>
      <c r="M361" s="39" t="str">
        <f aca="false">IF(A361="","",SUMIFS(Pagamentos!$C:$C,Pagamentos!$A:$A,A361,Pagamentos!$F:$F,"Empenho"))</f>
        <v/>
      </c>
      <c r="N361" s="39" t="str">
        <f aca="false">IF(A361="","",SUMIFS(Pagamentos!$C:$C,Pagamentos!$A:$A,A361,Pagamentos!$F:$F,"Pagamento"))</f>
        <v/>
      </c>
      <c r="O361" s="37" t="str">
        <f aca="false">IF(OR(A361="",E361="",L361="",L361=0),"",E361/L361)</f>
        <v/>
      </c>
      <c r="P361" s="28" t="str">
        <f aca="false">IF(A361="","",COUNTIFS(Sancoes!$A:$A,A361,Sancoes!$B:$B,"&lt;&gt;Não consta"))</f>
        <v/>
      </c>
      <c r="Q361" s="28" t="str">
        <f aca="false">IF(A361="","",COUNTIF(Socios!$A:$A,A361))</f>
        <v/>
      </c>
      <c r="R361" s="28" t="str">
        <f aca="false">IF(A361="","",COUNTIFS(Socios!$A:$A,A361,Socios!$K:$K,"SIM"))</f>
        <v/>
      </c>
      <c r="S361" s="27"/>
      <c r="T361" s="5"/>
    </row>
    <row r="362" customFormat="false" ht="15" hidden="false" customHeight="false" outlineLevel="0" collapsed="false">
      <c r="A362" s="27"/>
      <c r="B362" s="5"/>
      <c r="C362" s="18"/>
      <c r="D362" s="5"/>
      <c r="E362" s="35"/>
      <c r="F362" s="5"/>
      <c r="G362" s="5"/>
      <c r="H362" s="5"/>
      <c r="I362" s="14"/>
      <c r="J362" s="14"/>
      <c r="K362" s="28" t="str">
        <f aca="false">IF(A362="","",COUNTIF(Contratos!$A:$A,A362))</f>
        <v/>
      </c>
      <c r="L362" s="39" t="str">
        <f aca="false">IF(A362="","",SUMIFS(Contratos!$D:$D,Contratos!$A:$A,A362)+SUMIFS(Contratos!$N:$N,Contratos!$A:$A,A362))</f>
        <v/>
      </c>
      <c r="M362" s="39" t="str">
        <f aca="false">IF(A362="","",SUMIFS(Pagamentos!$C:$C,Pagamentos!$A:$A,A362,Pagamentos!$F:$F,"Empenho"))</f>
        <v/>
      </c>
      <c r="N362" s="39" t="str">
        <f aca="false">IF(A362="","",SUMIFS(Pagamentos!$C:$C,Pagamentos!$A:$A,A362,Pagamentos!$F:$F,"Pagamento"))</f>
        <v/>
      </c>
      <c r="O362" s="37" t="str">
        <f aca="false">IF(OR(A362="",E362="",L362="",L362=0),"",E362/L362)</f>
        <v/>
      </c>
      <c r="P362" s="28" t="str">
        <f aca="false">IF(A362="","",COUNTIFS(Sancoes!$A:$A,A362,Sancoes!$B:$B,"&lt;&gt;Não consta"))</f>
        <v/>
      </c>
      <c r="Q362" s="28" t="str">
        <f aca="false">IF(A362="","",COUNTIF(Socios!$A:$A,A362))</f>
        <v/>
      </c>
      <c r="R362" s="28" t="str">
        <f aca="false">IF(A362="","",COUNTIFS(Socios!$A:$A,A362,Socios!$K:$K,"SIM"))</f>
        <v/>
      </c>
      <c r="S362" s="27"/>
      <c r="T362" s="5"/>
    </row>
    <row r="363" customFormat="false" ht="15" hidden="false" customHeight="false" outlineLevel="0" collapsed="false">
      <c r="A363" s="27"/>
      <c r="B363" s="5"/>
      <c r="C363" s="18"/>
      <c r="D363" s="5"/>
      <c r="E363" s="35"/>
      <c r="F363" s="5"/>
      <c r="G363" s="5"/>
      <c r="H363" s="5"/>
      <c r="I363" s="14"/>
      <c r="J363" s="14"/>
      <c r="K363" s="28" t="str">
        <f aca="false">IF(A363="","",COUNTIF(Contratos!$A:$A,A363))</f>
        <v/>
      </c>
      <c r="L363" s="39" t="str">
        <f aca="false">IF(A363="","",SUMIFS(Contratos!$D:$D,Contratos!$A:$A,A363)+SUMIFS(Contratos!$N:$N,Contratos!$A:$A,A363))</f>
        <v/>
      </c>
      <c r="M363" s="39" t="str">
        <f aca="false">IF(A363="","",SUMIFS(Pagamentos!$C:$C,Pagamentos!$A:$A,A363,Pagamentos!$F:$F,"Empenho"))</f>
        <v/>
      </c>
      <c r="N363" s="39" t="str">
        <f aca="false">IF(A363="","",SUMIFS(Pagamentos!$C:$C,Pagamentos!$A:$A,A363,Pagamentos!$F:$F,"Pagamento"))</f>
        <v/>
      </c>
      <c r="O363" s="37" t="str">
        <f aca="false">IF(OR(A363="",E363="",L363="",L363=0),"",E363/L363)</f>
        <v/>
      </c>
      <c r="P363" s="28" t="str">
        <f aca="false">IF(A363="","",COUNTIFS(Sancoes!$A:$A,A363,Sancoes!$B:$B,"&lt;&gt;Não consta"))</f>
        <v/>
      </c>
      <c r="Q363" s="28" t="str">
        <f aca="false">IF(A363="","",COUNTIF(Socios!$A:$A,A363))</f>
        <v/>
      </c>
      <c r="R363" s="28" t="str">
        <f aca="false">IF(A363="","",COUNTIFS(Socios!$A:$A,A363,Socios!$K:$K,"SIM"))</f>
        <v/>
      </c>
      <c r="S363" s="27"/>
      <c r="T363" s="5"/>
    </row>
    <row r="364" customFormat="false" ht="15" hidden="false" customHeight="false" outlineLevel="0" collapsed="false">
      <c r="A364" s="27"/>
      <c r="B364" s="5"/>
      <c r="C364" s="18"/>
      <c r="D364" s="5"/>
      <c r="E364" s="35"/>
      <c r="F364" s="5"/>
      <c r="G364" s="5"/>
      <c r="H364" s="5"/>
      <c r="I364" s="14"/>
      <c r="J364" s="14"/>
      <c r="K364" s="28" t="str">
        <f aca="false">IF(A364="","",COUNTIF(Contratos!$A:$A,A364))</f>
        <v/>
      </c>
      <c r="L364" s="39" t="str">
        <f aca="false">IF(A364="","",SUMIFS(Contratos!$D:$D,Contratos!$A:$A,A364)+SUMIFS(Contratos!$N:$N,Contratos!$A:$A,A364))</f>
        <v/>
      </c>
      <c r="M364" s="39" t="str">
        <f aca="false">IF(A364="","",SUMIFS(Pagamentos!$C:$C,Pagamentos!$A:$A,A364,Pagamentos!$F:$F,"Empenho"))</f>
        <v/>
      </c>
      <c r="N364" s="39" t="str">
        <f aca="false">IF(A364="","",SUMIFS(Pagamentos!$C:$C,Pagamentos!$A:$A,A364,Pagamentos!$F:$F,"Pagamento"))</f>
        <v/>
      </c>
      <c r="O364" s="37" t="str">
        <f aca="false">IF(OR(A364="",E364="",L364="",L364=0),"",E364/L364)</f>
        <v/>
      </c>
      <c r="P364" s="28" t="str">
        <f aca="false">IF(A364="","",COUNTIFS(Sancoes!$A:$A,A364,Sancoes!$B:$B,"&lt;&gt;Não consta"))</f>
        <v/>
      </c>
      <c r="Q364" s="28" t="str">
        <f aca="false">IF(A364="","",COUNTIF(Socios!$A:$A,A364))</f>
        <v/>
      </c>
      <c r="R364" s="28" t="str">
        <f aca="false">IF(A364="","",COUNTIFS(Socios!$A:$A,A364,Socios!$K:$K,"SIM"))</f>
        <v/>
      </c>
      <c r="S364" s="27"/>
      <c r="T364" s="5"/>
    </row>
    <row r="365" customFormat="false" ht="15" hidden="false" customHeight="false" outlineLevel="0" collapsed="false">
      <c r="A365" s="27"/>
      <c r="B365" s="5"/>
      <c r="C365" s="18"/>
      <c r="D365" s="5"/>
      <c r="E365" s="35"/>
      <c r="F365" s="5"/>
      <c r="G365" s="5"/>
      <c r="H365" s="5"/>
      <c r="I365" s="14"/>
      <c r="J365" s="14"/>
      <c r="K365" s="28" t="str">
        <f aca="false">IF(A365="","",COUNTIF(Contratos!$A:$A,A365))</f>
        <v/>
      </c>
      <c r="L365" s="39" t="str">
        <f aca="false">IF(A365="","",SUMIFS(Contratos!$D:$D,Contratos!$A:$A,A365)+SUMIFS(Contratos!$N:$N,Contratos!$A:$A,A365))</f>
        <v/>
      </c>
      <c r="M365" s="39" t="str">
        <f aca="false">IF(A365="","",SUMIFS(Pagamentos!$C:$C,Pagamentos!$A:$A,A365,Pagamentos!$F:$F,"Empenho"))</f>
        <v/>
      </c>
      <c r="N365" s="39" t="str">
        <f aca="false">IF(A365="","",SUMIFS(Pagamentos!$C:$C,Pagamentos!$A:$A,A365,Pagamentos!$F:$F,"Pagamento"))</f>
        <v/>
      </c>
      <c r="O365" s="37" t="str">
        <f aca="false">IF(OR(A365="",E365="",L365="",L365=0),"",E365/L365)</f>
        <v/>
      </c>
      <c r="P365" s="28" t="str">
        <f aca="false">IF(A365="","",COUNTIFS(Sancoes!$A:$A,A365,Sancoes!$B:$B,"&lt;&gt;Não consta"))</f>
        <v/>
      </c>
      <c r="Q365" s="28" t="str">
        <f aca="false">IF(A365="","",COUNTIF(Socios!$A:$A,A365))</f>
        <v/>
      </c>
      <c r="R365" s="28" t="str">
        <f aca="false">IF(A365="","",COUNTIFS(Socios!$A:$A,A365,Socios!$K:$K,"SIM"))</f>
        <v/>
      </c>
      <c r="S365" s="27"/>
      <c r="T365" s="5"/>
    </row>
    <row r="366" customFormat="false" ht="15" hidden="false" customHeight="false" outlineLevel="0" collapsed="false">
      <c r="A366" s="27"/>
      <c r="B366" s="5"/>
      <c r="C366" s="18"/>
      <c r="D366" s="5"/>
      <c r="E366" s="35"/>
      <c r="F366" s="5"/>
      <c r="G366" s="5"/>
      <c r="H366" s="5"/>
      <c r="I366" s="14"/>
      <c r="J366" s="14"/>
      <c r="K366" s="28" t="str">
        <f aca="false">IF(A366="","",COUNTIF(Contratos!$A:$A,A366))</f>
        <v/>
      </c>
      <c r="L366" s="39" t="str">
        <f aca="false">IF(A366="","",SUMIFS(Contratos!$D:$D,Contratos!$A:$A,A366)+SUMIFS(Contratos!$N:$N,Contratos!$A:$A,A366))</f>
        <v/>
      </c>
      <c r="M366" s="39" t="str">
        <f aca="false">IF(A366="","",SUMIFS(Pagamentos!$C:$C,Pagamentos!$A:$A,A366,Pagamentos!$F:$F,"Empenho"))</f>
        <v/>
      </c>
      <c r="N366" s="39" t="str">
        <f aca="false">IF(A366="","",SUMIFS(Pagamentos!$C:$C,Pagamentos!$A:$A,A366,Pagamentos!$F:$F,"Pagamento"))</f>
        <v/>
      </c>
      <c r="O366" s="37" t="str">
        <f aca="false">IF(OR(A366="",E366="",L366="",L366=0),"",E366/L366)</f>
        <v/>
      </c>
      <c r="P366" s="28" t="str">
        <f aca="false">IF(A366="","",COUNTIFS(Sancoes!$A:$A,A366,Sancoes!$B:$B,"&lt;&gt;Não consta"))</f>
        <v/>
      </c>
      <c r="Q366" s="28" t="str">
        <f aca="false">IF(A366="","",COUNTIF(Socios!$A:$A,A366))</f>
        <v/>
      </c>
      <c r="R366" s="28" t="str">
        <f aca="false">IF(A366="","",COUNTIFS(Socios!$A:$A,A366,Socios!$K:$K,"SIM"))</f>
        <v/>
      </c>
      <c r="S366" s="27"/>
      <c r="T366" s="5"/>
    </row>
    <row r="367" customFormat="false" ht="15" hidden="false" customHeight="false" outlineLevel="0" collapsed="false">
      <c r="A367" s="27"/>
      <c r="B367" s="5"/>
      <c r="C367" s="18"/>
      <c r="D367" s="5"/>
      <c r="E367" s="35"/>
      <c r="F367" s="5"/>
      <c r="G367" s="5"/>
      <c r="H367" s="5"/>
      <c r="I367" s="14"/>
      <c r="J367" s="14"/>
      <c r="K367" s="28" t="str">
        <f aca="false">IF(A367="","",COUNTIF(Contratos!$A:$A,A367))</f>
        <v/>
      </c>
      <c r="L367" s="39" t="str">
        <f aca="false">IF(A367="","",SUMIFS(Contratos!$D:$D,Contratos!$A:$A,A367)+SUMIFS(Contratos!$N:$N,Contratos!$A:$A,A367))</f>
        <v/>
      </c>
      <c r="M367" s="39" t="str">
        <f aca="false">IF(A367="","",SUMIFS(Pagamentos!$C:$C,Pagamentos!$A:$A,A367,Pagamentos!$F:$F,"Empenho"))</f>
        <v/>
      </c>
      <c r="N367" s="39" t="str">
        <f aca="false">IF(A367="","",SUMIFS(Pagamentos!$C:$C,Pagamentos!$A:$A,A367,Pagamentos!$F:$F,"Pagamento"))</f>
        <v/>
      </c>
      <c r="O367" s="37" t="str">
        <f aca="false">IF(OR(A367="",E367="",L367="",L367=0),"",E367/L367)</f>
        <v/>
      </c>
      <c r="P367" s="28" t="str">
        <f aca="false">IF(A367="","",COUNTIFS(Sancoes!$A:$A,A367,Sancoes!$B:$B,"&lt;&gt;Não consta"))</f>
        <v/>
      </c>
      <c r="Q367" s="28" t="str">
        <f aca="false">IF(A367="","",COUNTIF(Socios!$A:$A,A367))</f>
        <v/>
      </c>
      <c r="R367" s="28" t="str">
        <f aca="false">IF(A367="","",COUNTIFS(Socios!$A:$A,A367,Socios!$K:$K,"SIM"))</f>
        <v/>
      </c>
      <c r="S367" s="27"/>
      <c r="T367" s="5"/>
    </row>
    <row r="368" customFormat="false" ht="15" hidden="false" customHeight="false" outlineLevel="0" collapsed="false">
      <c r="A368" s="27"/>
      <c r="B368" s="5"/>
      <c r="C368" s="18"/>
      <c r="D368" s="5"/>
      <c r="E368" s="35"/>
      <c r="F368" s="5"/>
      <c r="G368" s="5"/>
      <c r="H368" s="5"/>
      <c r="I368" s="14"/>
      <c r="J368" s="14"/>
      <c r="K368" s="28" t="str">
        <f aca="false">IF(A368="","",COUNTIF(Contratos!$A:$A,A368))</f>
        <v/>
      </c>
      <c r="L368" s="39" t="str">
        <f aca="false">IF(A368="","",SUMIFS(Contratos!$D:$D,Contratos!$A:$A,A368)+SUMIFS(Contratos!$N:$N,Contratos!$A:$A,A368))</f>
        <v/>
      </c>
      <c r="M368" s="39" t="str">
        <f aca="false">IF(A368="","",SUMIFS(Pagamentos!$C:$C,Pagamentos!$A:$A,A368,Pagamentos!$F:$F,"Empenho"))</f>
        <v/>
      </c>
      <c r="N368" s="39" t="str">
        <f aca="false">IF(A368="","",SUMIFS(Pagamentos!$C:$C,Pagamentos!$A:$A,A368,Pagamentos!$F:$F,"Pagamento"))</f>
        <v/>
      </c>
      <c r="O368" s="37" t="str">
        <f aca="false">IF(OR(A368="",E368="",L368="",L368=0),"",E368/L368)</f>
        <v/>
      </c>
      <c r="P368" s="28" t="str">
        <f aca="false">IF(A368="","",COUNTIFS(Sancoes!$A:$A,A368,Sancoes!$B:$B,"&lt;&gt;Não consta"))</f>
        <v/>
      </c>
      <c r="Q368" s="28" t="str">
        <f aca="false">IF(A368="","",COUNTIF(Socios!$A:$A,A368))</f>
        <v/>
      </c>
      <c r="R368" s="28" t="str">
        <f aca="false">IF(A368="","",COUNTIFS(Socios!$A:$A,A368,Socios!$K:$K,"SIM"))</f>
        <v/>
      </c>
      <c r="S368" s="27"/>
      <c r="T368" s="5"/>
    </row>
    <row r="369" customFormat="false" ht="15" hidden="false" customHeight="false" outlineLevel="0" collapsed="false">
      <c r="A369" s="27"/>
      <c r="B369" s="5"/>
      <c r="C369" s="18"/>
      <c r="D369" s="5"/>
      <c r="E369" s="35"/>
      <c r="F369" s="5"/>
      <c r="G369" s="5"/>
      <c r="H369" s="5"/>
      <c r="I369" s="14"/>
      <c r="J369" s="14"/>
      <c r="K369" s="28" t="str">
        <f aca="false">IF(A369="","",COUNTIF(Contratos!$A:$A,A369))</f>
        <v/>
      </c>
      <c r="L369" s="39" t="str">
        <f aca="false">IF(A369="","",SUMIFS(Contratos!$D:$D,Contratos!$A:$A,A369)+SUMIFS(Contratos!$N:$N,Contratos!$A:$A,A369))</f>
        <v/>
      </c>
      <c r="M369" s="39" t="str">
        <f aca="false">IF(A369="","",SUMIFS(Pagamentos!$C:$C,Pagamentos!$A:$A,A369,Pagamentos!$F:$F,"Empenho"))</f>
        <v/>
      </c>
      <c r="N369" s="39" t="str">
        <f aca="false">IF(A369="","",SUMIFS(Pagamentos!$C:$C,Pagamentos!$A:$A,A369,Pagamentos!$F:$F,"Pagamento"))</f>
        <v/>
      </c>
      <c r="O369" s="37" t="str">
        <f aca="false">IF(OR(A369="",E369="",L369="",L369=0),"",E369/L369)</f>
        <v/>
      </c>
      <c r="P369" s="28" t="str">
        <f aca="false">IF(A369="","",COUNTIFS(Sancoes!$A:$A,A369,Sancoes!$B:$B,"&lt;&gt;Não consta"))</f>
        <v/>
      </c>
      <c r="Q369" s="28" t="str">
        <f aca="false">IF(A369="","",COUNTIF(Socios!$A:$A,A369))</f>
        <v/>
      </c>
      <c r="R369" s="28" t="str">
        <f aca="false">IF(A369="","",COUNTIFS(Socios!$A:$A,A369,Socios!$K:$K,"SIM"))</f>
        <v/>
      </c>
      <c r="S369" s="27"/>
      <c r="T369" s="5"/>
    </row>
    <row r="370" customFormat="false" ht="15" hidden="false" customHeight="false" outlineLevel="0" collapsed="false">
      <c r="A370" s="27"/>
      <c r="B370" s="5"/>
      <c r="C370" s="18"/>
      <c r="D370" s="5"/>
      <c r="E370" s="35"/>
      <c r="F370" s="5"/>
      <c r="G370" s="5"/>
      <c r="H370" s="5"/>
      <c r="I370" s="14"/>
      <c r="J370" s="14"/>
      <c r="K370" s="28" t="str">
        <f aca="false">IF(A370="","",COUNTIF(Contratos!$A:$A,A370))</f>
        <v/>
      </c>
      <c r="L370" s="39" t="str">
        <f aca="false">IF(A370="","",SUMIFS(Contratos!$D:$D,Contratos!$A:$A,A370)+SUMIFS(Contratos!$N:$N,Contratos!$A:$A,A370))</f>
        <v/>
      </c>
      <c r="M370" s="39" t="str">
        <f aca="false">IF(A370="","",SUMIFS(Pagamentos!$C:$C,Pagamentos!$A:$A,A370,Pagamentos!$F:$F,"Empenho"))</f>
        <v/>
      </c>
      <c r="N370" s="39" t="str">
        <f aca="false">IF(A370="","",SUMIFS(Pagamentos!$C:$C,Pagamentos!$A:$A,A370,Pagamentos!$F:$F,"Pagamento"))</f>
        <v/>
      </c>
      <c r="O370" s="37" t="str">
        <f aca="false">IF(OR(A370="",E370="",L370="",L370=0),"",E370/L370)</f>
        <v/>
      </c>
      <c r="P370" s="28" t="str">
        <f aca="false">IF(A370="","",COUNTIFS(Sancoes!$A:$A,A370,Sancoes!$B:$B,"&lt;&gt;Não consta"))</f>
        <v/>
      </c>
      <c r="Q370" s="28" t="str">
        <f aca="false">IF(A370="","",COUNTIF(Socios!$A:$A,A370))</f>
        <v/>
      </c>
      <c r="R370" s="28" t="str">
        <f aca="false">IF(A370="","",COUNTIFS(Socios!$A:$A,A370,Socios!$K:$K,"SIM"))</f>
        <v/>
      </c>
      <c r="S370" s="27"/>
      <c r="T370" s="5"/>
    </row>
    <row r="371" customFormat="false" ht="15" hidden="false" customHeight="false" outlineLevel="0" collapsed="false">
      <c r="A371" s="27"/>
      <c r="B371" s="5"/>
      <c r="C371" s="18"/>
      <c r="D371" s="5"/>
      <c r="E371" s="35"/>
      <c r="F371" s="5"/>
      <c r="G371" s="5"/>
      <c r="H371" s="5"/>
      <c r="I371" s="14"/>
      <c r="J371" s="14"/>
      <c r="K371" s="28" t="str">
        <f aca="false">IF(A371="","",COUNTIF(Contratos!$A:$A,A371))</f>
        <v/>
      </c>
      <c r="L371" s="39" t="str">
        <f aca="false">IF(A371="","",SUMIFS(Contratos!$D:$D,Contratos!$A:$A,A371)+SUMIFS(Contratos!$N:$N,Contratos!$A:$A,A371))</f>
        <v/>
      </c>
      <c r="M371" s="39" t="str">
        <f aca="false">IF(A371="","",SUMIFS(Pagamentos!$C:$C,Pagamentos!$A:$A,A371,Pagamentos!$F:$F,"Empenho"))</f>
        <v/>
      </c>
      <c r="N371" s="39" t="str">
        <f aca="false">IF(A371="","",SUMIFS(Pagamentos!$C:$C,Pagamentos!$A:$A,A371,Pagamentos!$F:$F,"Pagamento"))</f>
        <v/>
      </c>
      <c r="O371" s="37" t="str">
        <f aca="false">IF(OR(A371="",E371="",L371="",L371=0),"",E371/L371)</f>
        <v/>
      </c>
      <c r="P371" s="28" t="str">
        <f aca="false">IF(A371="","",COUNTIFS(Sancoes!$A:$A,A371,Sancoes!$B:$B,"&lt;&gt;Não consta"))</f>
        <v/>
      </c>
      <c r="Q371" s="28" t="str">
        <f aca="false">IF(A371="","",COUNTIF(Socios!$A:$A,A371))</f>
        <v/>
      </c>
      <c r="R371" s="28" t="str">
        <f aca="false">IF(A371="","",COUNTIFS(Socios!$A:$A,A371,Socios!$K:$K,"SIM"))</f>
        <v/>
      </c>
      <c r="S371" s="27"/>
      <c r="T371" s="5"/>
    </row>
    <row r="372" customFormat="false" ht="15" hidden="false" customHeight="false" outlineLevel="0" collapsed="false">
      <c r="A372" s="27"/>
      <c r="B372" s="5"/>
      <c r="C372" s="18"/>
      <c r="D372" s="5"/>
      <c r="E372" s="35"/>
      <c r="F372" s="5"/>
      <c r="G372" s="5"/>
      <c r="H372" s="5"/>
      <c r="I372" s="14"/>
      <c r="J372" s="14"/>
      <c r="K372" s="28" t="str">
        <f aca="false">IF(A372="","",COUNTIF(Contratos!$A:$A,A372))</f>
        <v/>
      </c>
      <c r="L372" s="39" t="str">
        <f aca="false">IF(A372="","",SUMIFS(Contratos!$D:$D,Contratos!$A:$A,A372)+SUMIFS(Contratos!$N:$N,Contratos!$A:$A,A372))</f>
        <v/>
      </c>
      <c r="M372" s="39" t="str">
        <f aca="false">IF(A372="","",SUMIFS(Pagamentos!$C:$C,Pagamentos!$A:$A,A372,Pagamentos!$F:$F,"Empenho"))</f>
        <v/>
      </c>
      <c r="N372" s="39" t="str">
        <f aca="false">IF(A372="","",SUMIFS(Pagamentos!$C:$C,Pagamentos!$A:$A,A372,Pagamentos!$F:$F,"Pagamento"))</f>
        <v/>
      </c>
      <c r="O372" s="37" t="str">
        <f aca="false">IF(OR(A372="",E372="",L372="",L372=0),"",E372/L372)</f>
        <v/>
      </c>
      <c r="P372" s="28" t="str">
        <f aca="false">IF(A372="","",COUNTIFS(Sancoes!$A:$A,A372,Sancoes!$B:$B,"&lt;&gt;Não consta"))</f>
        <v/>
      </c>
      <c r="Q372" s="28" t="str">
        <f aca="false">IF(A372="","",COUNTIF(Socios!$A:$A,A372))</f>
        <v/>
      </c>
      <c r="R372" s="28" t="str">
        <f aca="false">IF(A372="","",COUNTIFS(Socios!$A:$A,A372,Socios!$K:$K,"SIM"))</f>
        <v/>
      </c>
      <c r="S372" s="27"/>
      <c r="T372" s="5"/>
    </row>
    <row r="373" customFormat="false" ht="15" hidden="false" customHeight="false" outlineLevel="0" collapsed="false">
      <c r="A373" s="27"/>
      <c r="B373" s="5"/>
      <c r="C373" s="18"/>
      <c r="D373" s="5"/>
      <c r="E373" s="35"/>
      <c r="F373" s="5"/>
      <c r="G373" s="5"/>
      <c r="H373" s="5"/>
      <c r="I373" s="14"/>
      <c r="J373" s="14"/>
      <c r="K373" s="28" t="str">
        <f aca="false">IF(A373="","",COUNTIF(Contratos!$A:$A,A373))</f>
        <v/>
      </c>
      <c r="L373" s="39" t="str">
        <f aca="false">IF(A373="","",SUMIFS(Contratos!$D:$D,Contratos!$A:$A,A373)+SUMIFS(Contratos!$N:$N,Contratos!$A:$A,A373))</f>
        <v/>
      </c>
      <c r="M373" s="39" t="str">
        <f aca="false">IF(A373="","",SUMIFS(Pagamentos!$C:$C,Pagamentos!$A:$A,A373,Pagamentos!$F:$F,"Empenho"))</f>
        <v/>
      </c>
      <c r="N373" s="39" t="str">
        <f aca="false">IF(A373="","",SUMIFS(Pagamentos!$C:$C,Pagamentos!$A:$A,A373,Pagamentos!$F:$F,"Pagamento"))</f>
        <v/>
      </c>
      <c r="O373" s="37" t="str">
        <f aca="false">IF(OR(A373="",E373="",L373="",L373=0),"",E373/L373)</f>
        <v/>
      </c>
      <c r="P373" s="28" t="str">
        <f aca="false">IF(A373="","",COUNTIFS(Sancoes!$A:$A,A373,Sancoes!$B:$B,"&lt;&gt;Não consta"))</f>
        <v/>
      </c>
      <c r="Q373" s="28" t="str">
        <f aca="false">IF(A373="","",COUNTIF(Socios!$A:$A,A373))</f>
        <v/>
      </c>
      <c r="R373" s="28" t="str">
        <f aca="false">IF(A373="","",COUNTIFS(Socios!$A:$A,A373,Socios!$K:$K,"SIM"))</f>
        <v/>
      </c>
      <c r="S373" s="27"/>
      <c r="T373" s="5"/>
    </row>
    <row r="374" customFormat="false" ht="15" hidden="false" customHeight="false" outlineLevel="0" collapsed="false">
      <c r="A374" s="27"/>
      <c r="B374" s="5"/>
      <c r="C374" s="18"/>
      <c r="D374" s="5"/>
      <c r="E374" s="35"/>
      <c r="F374" s="5"/>
      <c r="G374" s="5"/>
      <c r="H374" s="5"/>
      <c r="I374" s="14"/>
      <c r="J374" s="14"/>
      <c r="K374" s="28" t="str">
        <f aca="false">IF(A374="","",COUNTIF(Contratos!$A:$A,A374))</f>
        <v/>
      </c>
      <c r="L374" s="39" t="str">
        <f aca="false">IF(A374="","",SUMIFS(Contratos!$D:$D,Contratos!$A:$A,A374)+SUMIFS(Contratos!$N:$N,Contratos!$A:$A,A374))</f>
        <v/>
      </c>
      <c r="M374" s="39" t="str">
        <f aca="false">IF(A374="","",SUMIFS(Pagamentos!$C:$C,Pagamentos!$A:$A,A374,Pagamentos!$F:$F,"Empenho"))</f>
        <v/>
      </c>
      <c r="N374" s="39" t="str">
        <f aca="false">IF(A374="","",SUMIFS(Pagamentos!$C:$C,Pagamentos!$A:$A,A374,Pagamentos!$F:$F,"Pagamento"))</f>
        <v/>
      </c>
      <c r="O374" s="37" t="str">
        <f aca="false">IF(OR(A374="",E374="",L374="",L374=0),"",E374/L374)</f>
        <v/>
      </c>
      <c r="P374" s="28" t="str">
        <f aca="false">IF(A374="","",COUNTIFS(Sancoes!$A:$A,A374,Sancoes!$B:$B,"&lt;&gt;Não consta"))</f>
        <v/>
      </c>
      <c r="Q374" s="28" t="str">
        <f aca="false">IF(A374="","",COUNTIF(Socios!$A:$A,A374))</f>
        <v/>
      </c>
      <c r="R374" s="28" t="str">
        <f aca="false">IF(A374="","",COUNTIFS(Socios!$A:$A,A374,Socios!$K:$K,"SIM"))</f>
        <v/>
      </c>
      <c r="S374" s="27"/>
      <c r="T374" s="5"/>
    </row>
    <row r="375" customFormat="false" ht="15" hidden="false" customHeight="false" outlineLevel="0" collapsed="false">
      <c r="A375" s="27"/>
      <c r="B375" s="5"/>
      <c r="C375" s="18"/>
      <c r="D375" s="5"/>
      <c r="E375" s="35"/>
      <c r="F375" s="5"/>
      <c r="G375" s="5"/>
      <c r="H375" s="5"/>
      <c r="I375" s="14"/>
      <c r="J375" s="14"/>
      <c r="K375" s="28" t="str">
        <f aca="false">IF(A375="","",COUNTIF(Contratos!$A:$A,A375))</f>
        <v/>
      </c>
      <c r="L375" s="39" t="str">
        <f aca="false">IF(A375="","",SUMIFS(Contratos!$D:$D,Contratos!$A:$A,A375)+SUMIFS(Contratos!$N:$N,Contratos!$A:$A,A375))</f>
        <v/>
      </c>
      <c r="M375" s="39" t="str">
        <f aca="false">IF(A375="","",SUMIFS(Pagamentos!$C:$C,Pagamentos!$A:$A,A375,Pagamentos!$F:$F,"Empenho"))</f>
        <v/>
      </c>
      <c r="N375" s="39" t="str">
        <f aca="false">IF(A375="","",SUMIFS(Pagamentos!$C:$C,Pagamentos!$A:$A,A375,Pagamentos!$F:$F,"Pagamento"))</f>
        <v/>
      </c>
      <c r="O375" s="37" t="str">
        <f aca="false">IF(OR(A375="",E375="",L375="",L375=0),"",E375/L375)</f>
        <v/>
      </c>
      <c r="P375" s="28" t="str">
        <f aca="false">IF(A375="","",COUNTIFS(Sancoes!$A:$A,A375,Sancoes!$B:$B,"&lt;&gt;Não consta"))</f>
        <v/>
      </c>
      <c r="Q375" s="28" t="str">
        <f aca="false">IF(A375="","",COUNTIF(Socios!$A:$A,A375))</f>
        <v/>
      </c>
      <c r="R375" s="28" t="str">
        <f aca="false">IF(A375="","",COUNTIFS(Socios!$A:$A,A375,Socios!$K:$K,"SIM"))</f>
        <v/>
      </c>
      <c r="S375" s="27"/>
      <c r="T375" s="5"/>
    </row>
    <row r="376" customFormat="false" ht="15" hidden="false" customHeight="false" outlineLevel="0" collapsed="false">
      <c r="A376" s="27"/>
      <c r="B376" s="5"/>
      <c r="C376" s="18"/>
      <c r="D376" s="5"/>
      <c r="E376" s="35"/>
      <c r="F376" s="5"/>
      <c r="G376" s="5"/>
      <c r="H376" s="5"/>
      <c r="I376" s="14"/>
      <c r="J376" s="14"/>
      <c r="K376" s="28" t="str">
        <f aca="false">IF(A376="","",COUNTIF(Contratos!$A:$A,A376))</f>
        <v/>
      </c>
      <c r="L376" s="39" t="str">
        <f aca="false">IF(A376="","",SUMIFS(Contratos!$D:$D,Contratos!$A:$A,A376)+SUMIFS(Contratos!$N:$N,Contratos!$A:$A,A376))</f>
        <v/>
      </c>
      <c r="M376" s="39" t="str">
        <f aca="false">IF(A376="","",SUMIFS(Pagamentos!$C:$C,Pagamentos!$A:$A,A376,Pagamentos!$F:$F,"Empenho"))</f>
        <v/>
      </c>
      <c r="N376" s="39" t="str">
        <f aca="false">IF(A376="","",SUMIFS(Pagamentos!$C:$C,Pagamentos!$A:$A,A376,Pagamentos!$F:$F,"Pagamento"))</f>
        <v/>
      </c>
      <c r="O376" s="37" t="str">
        <f aca="false">IF(OR(A376="",E376="",L376="",L376=0),"",E376/L376)</f>
        <v/>
      </c>
      <c r="P376" s="28" t="str">
        <f aca="false">IF(A376="","",COUNTIFS(Sancoes!$A:$A,A376,Sancoes!$B:$B,"&lt;&gt;Não consta"))</f>
        <v/>
      </c>
      <c r="Q376" s="28" t="str">
        <f aca="false">IF(A376="","",COUNTIF(Socios!$A:$A,A376))</f>
        <v/>
      </c>
      <c r="R376" s="28" t="str">
        <f aca="false">IF(A376="","",COUNTIFS(Socios!$A:$A,A376,Socios!$K:$K,"SIM"))</f>
        <v/>
      </c>
      <c r="S376" s="27"/>
      <c r="T376" s="5"/>
    </row>
    <row r="377" customFormat="false" ht="15" hidden="false" customHeight="false" outlineLevel="0" collapsed="false">
      <c r="A377" s="27"/>
      <c r="B377" s="5"/>
      <c r="C377" s="18"/>
      <c r="D377" s="5"/>
      <c r="E377" s="35"/>
      <c r="F377" s="5"/>
      <c r="G377" s="5"/>
      <c r="H377" s="5"/>
      <c r="I377" s="14"/>
      <c r="J377" s="14"/>
      <c r="K377" s="28" t="str">
        <f aca="false">IF(A377="","",COUNTIF(Contratos!$A:$A,A377))</f>
        <v/>
      </c>
      <c r="L377" s="39" t="str">
        <f aca="false">IF(A377="","",SUMIFS(Contratos!$D:$D,Contratos!$A:$A,A377)+SUMIFS(Contratos!$N:$N,Contratos!$A:$A,A377))</f>
        <v/>
      </c>
      <c r="M377" s="39" t="str">
        <f aca="false">IF(A377="","",SUMIFS(Pagamentos!$C:$C,Pagamentos!$A:$A,A377,Pagamentos!$F:$F,"Empenho"))</f>
        <v/>
      </c>
      <c r="N377" s="39" t="str">
        <f aca="false">IF(A377="","",SUMIFS(Pagamentos!$C:$C,Pagamentos!$A:$A,A377,Pagamentos!$F:$F,"Pagamento"))</f>
        <v/>
      </c>
      <c r="O377" s="37" t="str">
        <f aca="false">IF(OR(A377="",E377="",L377="",L377=0),"",E377/L377)</f>
        <v/>
      </c>
      <c r="P377" s="28" t="str">
        <f aca="false">IF(A377="","",COUNTIFS(Sancoes!$A:$A,A377,Sancoes!$B:$B,"&lt;&gt;Não consta"))</f>
        <v/>
      </c>
      <c r="Q377" s="28" t="str">
        <f aca="false">IF(A377="","",COUNTIF(Socios!$A:$A,A377))</f>
        <v/>
      </c>
      <c r="R377" s="28" t="str">
        <f aca="false">IF(A377="","",COUNTIFS(Socios!$A:$A,A377,Socios!$K:$K,"SIM"))</f>
        <v/>
      </c>
      <c r="S377" s="27"/>
      <c r="T377" s="5"/>
    </row>
    <row r="378" customFormat="false" ht="15" hidden="false" customHeight="false" outlineLevel="0" collapsed="false">
      <c r="A378" s="27"/>
      <c r="B378" s="5"/>
      <c r="C378" s="18"/>
      <c r="D378" s="5"/>
      <c r="E378" s="35"/>
      <c r="F378" s="5"/>
      <c r="G378" s="5"/>
      <c r="H378" s="5"/>
      <c r="I378" s="14"/>
      <c r="J378" s="14"/>
      <c r="K378" s="28" t="str">
        <f aca="false">IF(A378="","",COUNTIF(Contratos!$A:$A,A378))</f>
        <v/>
      </c>
      <c r="L378" s="39" t="str">
        <f aca="false">IF(A378="","",SUMIFS(Contratos!$D:$D,Contratos!$A:$A,A378)+SUMIFS(Contratos!$N:$N,Contratos!$A:$A,A378))</f>
        <v/>
      </c>
      <c r="M378" s="39" t="str">
        <f aca="false">IF(A378="","",SUMIFS(Pagamentos!$C:$C,Pagamentos!$A:$A,A378,Pagamentos!$F:$F,"Empenho"))</f>
        <v/>
      </c>
      <c r="N378" s="39" t="str">
        <f aca="false">IF(A378="","",SUMIFS(Pagamentos!$C:$C,Pagamentos!$A:$A,A378,Pagamentos!$F:$F,"Pagamento"))</f>
        <v/>
      </c>
      <c r="O378" s="37" t="str">
        <f aca="false">IF(OR(A378="",E378="",L378="",L378=0),"",E378/L378)</f>
        <v/>
      </c>
      <c r="P378" s="28" t="str">
        <f aca="false">IF(A378="","",COUNTIFS(Sancoes!$A:$A,A378,Sancoes!$B:$B,"&lt;&gt;Não consta"))</f>
        <v/>
      </c>
      <c r="Q378" s="28" t="str">
        <f aca="false">IF(A378="","",COUNTIF(Socios!$A:$A,A378))</f>
        <v/>
      </c>
      <c r="R378" s="28" t="str">
        <f aca="false">IF(A378="","",COUNTIFS(Socios!$A:$A,A378,Socios!$K:$K,"SIM"))</f>
        <v/>
      </c>
      <c r="S378" s="27"/>
      <c r="T378" s="5"/>
    </row>
    <row r="379" customFormat="false" ht="15" hidden="false" customHeight="false" outlineLevel="0" collapsed="false">
      <c r="A379" s="27"/>
      <c r="B379" s="5"/>
      <c r="C379" s="18"/>
      <c r="D379" s="5"/>
      <c r="E379" s="35"/>
      <c r="F379" s="5"/>
      <c r="G379" s="5"/>
      <c r="H379" s="5"/>
      <c r="I379" s="14"/>
      <c r="J379" s="14"/>
      <c r="K379" s="28" t="str">
        <f aca="false">IF(A379="","",COUNTIF(Contratos!$A:$A,A379))</f>
        <v/>
      </c>
      <c r="L379" s="39" t="str">
        <f aca="false">IF(A379="","",SUMIFS(Contratos!$D:$D,Contratos!$A:$A,A379)+SUMIFS(Contratos!$N:$N,Contratos!$A:$A,A379))</f>
        <v/>
      </c>
      <c r="M379" s="39" t="str">
        <f aca="false">IF(A379="","",SUMIFS(Pagamentos!$C:$C,Pagamentos!$A:$A,A379,Pagamentos!$F:$F,"Empenho"))</f>
        <v/>
      </c>
      <c r="N379" s="39" t="str">
        <f aca="false">IF(A379="","",SUMIFS(Pagamentos!$C:$C,Pagamentos!$A:$A,A379,Pagamentos!$F:$F,"Pagamento"))</f>
        <v/>
      </c>
      <c r="O379" s="37" t="str">
        <f aca="false">IF(OR(A379="",E379="",L379="",L379=0),"",E379/L379)</f>
        <v/>
      </c>
      <c r="P379" s="28" t="str">
        <f aca="false">IF(A379="","",COUNTIFS(Sancoes!$A:$A,A379,Sancoes!$B:$B,"&lt;&gt;Não consta"))</f>
        <v/>
      </c>
      <c r="Q379" s="28" t="str">
        <f aca="false">IF(A379="","",COUNTIF(Socios!$A:$A,A379))</f>
        <v/>
      </c>
      <c r="R379" s="28" t="str">
        <f aca="false">IF(A379="","",COUNTIFS(Socios!$A:$A,A379,Socios!$K:$K,"SIM"))</f>
        <v/>
      </c>
      <c r="S379" s="27"/>
      <c r="T379" s="5"/>
    </row>
    <row r="380" customFormat="false" ht="15" hidden="false" customHeight="false" outlineLevel="0" collapsed="false">
      <c r="A380" s="27"/>
      <c r="B380" s="5"/>
      <c r="C380" s="18"/>
      <c r="D380" s="5"/>
      <c r="E380" s="35"/>
      <c r="F380" s="5"/>
      <c r="G380" s="5"/>
      <c r="H380" s="5"/>
      <c r="I380" s="14"/>
      <c r="J380" s="14"/>
      <c r="K380" s="28" t="str">
        <f aca="false">IF(A380="","",COUNTIF(Contratos!$A:$A,A380))</f>
        <v/>
      </c>
      <c r="L380" s="39" t="str">
        <f aca="false">IF(A380="","",SUMIFS(Contratos!$D:$D,Contratos!$A:$A,A380)+SUMIFS(Contratos!$N:$N,Contratos!$A:$A,A380))</f>
        <v/>
      </c>
      <c r="M380" s="39" t="str">
        <f aca="false">IF(A380="","",SUMIFS(Pagamentos!$C:$C,Pagamentos!$A:$A,A380,Pagamentos!$F:$F,"Empenho"))</f>
        <v/>
      </c>
      <c r="N380" s="39" t="str">
        <f aca="false">IF(A380="","",SUMIFS(Pagamentos!$C:$C,Pagamentos!$A:$A,A380,Pagamentos!$F:$F,"Pagamento"))</f>
        <v/>
      </c>
      <c r="O380" s="37" t="str">
        <f aca="false">IF(OR(A380="",E380="",L380="",L380=0),"",E380/L380)</f>
        <v/>
      </c>
      <c r="P380" s="28" t="str">
        <f aca="false">IF(A380="","",COUNTIFS(Sancoes!$A:$A,A380,Sancoes!$B:$B,"&lt;&gt;Não consta"))</f>
        <v/>
      </c>
      <c r="Q380" s="28" t="str">
        <f aca="false">IF(A380="","",COUNTIF(Socios!$A:$A,A380))</f>
        <v/>
      </c>
      <c r="R380" s="28" t="str">
        <f aca="false">IF(A380="","",COUNTIFS(Socios!$A:$A,A380,Socios!$K:$K,"SIM"))</f>
        <v/>
      </c>
      <c r="S380" s="27"/>
      <c r="T380" s="5"/>
    </row>
    <row r="381" customFormat="false" ht="15" hidden="false" customHeight="false" outlineLevel="0" collapsed="false">
      <c r="A381" s="27"/>
      <c r="B381" s="5"/>
      <c r="C381" s="18"/>
      <c r="D381" s="5"/>
      <c r="E381" s="35"/>
      <c r="F381" s="5"/>
      <c r="G381" s="5"/>
      <c r="H381" s="5"/>
      <c r="I381" s="14"/>
      <c r="J381" s="14"/>
      <c r="K381" s="28" t="str">
        <f aca="false">IF(A381="","",COUNTIF(Contratos!$A:$A,A381))</f>
        <v/>
      </c>
      <c r="L381" s="39" t="str">
        <f aca="false">IF(A381="","",SUMIFS(Contratos!$D:$D,Contratos!$A:$A,A381)+SUMIFS(Contratos!$N:$N,Contratos!$A:$A,A381))</f>
        <v/>
      </c>
      <c r="M381" s="39" t="str">
        <f aca="false">IF(A381="","",SUMIFS(Pagamentos!$C:$C,Pagamentos!$A:$A,A381,Pagamentos!$F:$F,"Empenho"))</f>
        <v/>
      </c>
      <c r="N381" s="39" t="str">
        <f aca="false">IF(A381="","",SUMIFS(Pagamentos!$C:$C,Pagamentos!$A:$A,A381,Pagamentos!$F:$F,"Pagamento"))</f>
        <v/>
      </c>
      <c r="O381" s="37" t="str">
        <f aca="false">IF(OR(A381="",E381="",L381="",L381=0),"",E381/L381)</f>
        <v/>
      </c>
      <c r="P381" s="28" t="str">
        <f aca="false">IF(A381="","",COUNTIFS(Sancoes!$A:$A,A381,Sancoes!$B:$B,"&lt;&gt;Não consta"))</f>
        <v/>
      </c>
      <c r="Q381" s="28" t="str">
        <f aca="false">IF(A381="","",COUNTIF(Socios!$A:$A,A381))</f>
        <v/>
      </c>
      <c r="R381" s="28" t="str">
        <f aca="false">IF(A381="","",COUNTIFS(Socios!$A:$A,A381,Socios!$K:$K,"SIM"))</f>
        <v/>
      </c>
      <c r="S381" s="27"/>
      <c r="T381" s="5"/>
    </row>
    <row r="382" customFormat="false" ht="15" hidden="false" customHeight="false" outlineLevel="0" collapsed="false">
      <c r="A382" s="27"/>
      <c r="B382" s="5"/>
      <c r="C382" s="18"/>
      <c r="D382" s="5"/>
      <c r="E382" s="35"/>
      <c r="F382" s="5"/>
      <c r="G382" s="5"/>
      <c r="H382" s="5"/>
      <c r="I382" s="14"/>
      <c r="J382" s="14"/>
      <c r="K382" s="28" t="str">
        <f aca="false">IF(A382="","",COUNTIF(Contratos!$A:$A,A382))</f>
        <v/>
      </c>
      <c r="L382" s="39" t="str">
        <f aca="false">IF(A382="","",SUMIFS(Contratos!$D:$D,Contratos!$A:$A,A382)+SUMIFS(Contratos!$N:$N,Contratos!$A:$A,A382))</f>
        <v/>
      </c>
      <c r="M382" s="39" t="str">
        <f aca="false">IF(A382="","",SUMIFS(Pagamentos!$C:$C,Pagamentos!$A:$A,A382,Pagamentos!$F:$F,"Empenho"))</f>
        <v/>
      </c>
      <c r="N382" s="39" t="str">
        <f aca="false">IF(A382="","",SUMIFS(Pagamentos!$C:$C,Pagamentos!$A:$A,A382,Pagamentos!$F:$F,"Pagamento"))</f>
        <v/>
      </c>
      <c r="O382" s="37" t="str">
        <f aca="false">IF(OR(A382="",E382="",L382="",L382=0),"",E382/L382)</f>
        <v/>
      </c>
      <c r="P382" s="28" t="str">
        <f aca="false">IF(A382="","",COUNTIFS(Sancoes!$A:$A,A382,Sancoes!$B:$B,"&lt;&gt;Não consta"))</f>
        <v/>
      </c>
      <c r="Q382" s="28" t="str">
        <f aca="false">IF(A382="","",COUNTIF(Socios!$A:$A,A382))</f>
        <v/>
      </c>
      <c r="R382" s="28" t="str">
        <f aca="false">IF(A382="","",COUNTIFS(Socios!$A:$A,A382,Socios!$K:$K,"SIM"))</f>
        <v/>
      </c>
      <c r="S382" s="27"/>
      <c r="T382" s="5"/>
    </row>
    <row r="383" customFormat="false" ht="15" hidden="false" customHeight="false" outlineLevel="0" collapsed="false">
      <c r="A383" s="27"/>
      <c r="B383" s="5"/>
      <c r="C383" s="18"/>
      <c r="D383" s="5"/>
      <c r="E383" s="35"/>
      <c r="F383" s="5"/>
      <c r="G383" s="5"/>
      <c r="H383" s="5"/>
      <c r="I383" s="14"/>
      <c r="J383" s="14"/>
      <c r="K383" s="28" t="str">
        <f aca="false">IF(A383="","",COUNTIF(Contratos!$A:$A,A383))</f>
        <v/>
      </c>
      <c r="L383" s="39" t="str">
        <f aca="false">IF(A383="","",SUMIFS(Contratos!$D:$D,Contratos!$A:$A,A383)+SUMIFS(Contratos!$N:$N,Contratos!$A:$A,A383))</f>
        <v/>
      </c>
      <c r="M383" s="39" t="str">
        <f aca="false">IF(A383="","",SUMIFS(Pagamentos!$C:$C,Pagamentos!$A:$A,A383,Pagamentos!$F:$F,"Empenho"))</f>
        <v/>
      </c>
      <c r="N383" s="39" t="str">
        <f aca="false">IF(A383="","",SUMIFS(Pagamentos!$C:$C,Pagamentos!$A:$A,A383,Pagamentos!$F:$F,"Pagamento"))</f>
        <v/>
      </c>
      <c r="O383" s="37" t="str">
        <f aca="false">IF(OR(A383="",E383="",L383="",L383=0),"",E383/L383)</f>
        <v/>
      </c>
      <c r="P383" s="28" t="str">
        <f aca="false">IF(A383="","",COUNTIFS(Sancoes!$A:$A,A383,Sancoes!$B:$B,"&lt;&gt;Não consta"))</f>
        <v/>
      </c>
      <c r="Q383" s="28" t="str">
        <f aca="false">IF(A383="","",COUNTIF(Socios!$A:$A,A383))</f>
        <v/>
      </c>
      <c r="R383" s="28" t="str">
        <f aca="false">IF(A383="","",COUNTIFS(Socios!$A:$A,A383,Socios!$K:$K,"SIM"))</f>
        <v/>
      </c>
      <c r="S383" s="27"/>
      <c r="T383" s="5"/>
    </row>
    <row r="384" customFormat="false" ht="15" hidden="false" customHeight="false" outlineLevel="0" collapsed="false">
      <c r="A384" s="27"/>
      <c r="B384" s="5"/>
      <c r="C384" s="18"/>
      <c r="D384" s="5"/>
      <c r="E384" s="35"/>
      <c r="F384" s="5"/>
      <c r="G384" s="5"/>
      <c r="H384" s="5"/>
      <c r="I384" s="14"/>
      <c r="J384" s="14"/>
      <c r="K384" s="28" t="str">
        <f aca="false">IF(A384="","",COUNTIF(Contratos!$A:$A,A384))</f>
        <v/>
      </c>
      <c r="L384" s="39" t="str">
        <f aca="false">IF(A384="","",SUMIFS(Contratos!$D:$D,Contratos!$A:$A,A384)+SUMIFS(Contratos!$N:$N,Contratos!$A:$A,A384))</f>
        <v/>
      </c>
      <c r="M384" s="39" t="str">
        <f aca="false">IF(A384="","",SUMIFS(Pagamentos!$C:$C,Pagamentos!$A:$A,A384,Pagamentos!$F:$F,"Empenho"))</f>
        <v/>
      </c>
      <c r="N384" s="39" t="str">
        <f aca="false">IF(A384="","",SUMIFS(Pagamentos!$C:$C,Pagamentos!$A:$A,A384,Pagamentos!$F:$F,"Pagamento"))</f>
        <v/>
      </c>
      <c r="O384" s="37" t="str">
        <f aca="false">IF(OR(A384="",E384="",L384="",L384=0),"",E384/L384)</f>
        <v/>
      </c>
      <c r="P384" s="28" t="str">
        <f aca="false">IF(A384="","",COUNTIFS(Sancoes!$A:$A,A384,Sancoes!$B:$B,"&lt;&gt;Não consta"))</f>
        <v/>
      </c>
      <c r="Q384" s="28" t="str">
        <f aca="false">IF(A384="","",COUNTIF(Socios!$A:$A,A384))</f>
        <v/>
      </c>
      <c r="R384" s="28" t="str">
        <f aca="false">IF(A384="","",COUNTIFS(Socios!$A:$A,A384,Socios!$K:$K,"SIM"))</f>
        <v/>
      </c>
      <c r="S384" s="27"/>
      <c r="T384" s="5"/>
    </row>
    <row r="385" customFormat="false" ht="15" hidden="false" customHeight="false" outlineLevel="0" collapsed="false">
      <c r="A385" s="27"/>
      <c r="B385" s="5"/>
      <c r="C385" s="18"/>
      <c r="D385" s="5"/>
      <c r="E385" s="35"/>
      <c r="F385" s="5"/>
      <c r="G385" s="5"/>
      <c r="H385" s="5"/>
      <c r="I385" s="14"/>
      <c r="J385" s="14"/>
      <c r="K385" s="28" t="str">
        <f aca="false">IF(A385="","",COUNTIF(Contratos!$A:$A,A385))</f>
        <v/>
      </c>
      <c r="L385" s="39" t="str">
        <f aca="false">IF(A385="","",SUMIFS(Contratos!$D:$D,Contratos!$A:$A,A385)+SUMIFS(Contratos!$N:$N,Contratos!$A:$A,A385))</f>
        <v/>
      </c>
      <c r="M385" s="39" t="str">
        <f aca="false">IF(A385="","",SUMIFS(Pagamentos!$C:$C,Pagamentos!$A:$A,A385,Pagamentos!$F:$F,"Empenho"))</f>
        <v/>
      </c>
      <c r="N385" s="39" t="str">
        <f aca="false">IF(A385="","",SUMIFS(Pagamentos!$C:$C,Pagamentos!$A:$A,A385,Pagamentos!$F:$F,"Pagamento"))</f>
        <v/>
      </c>
      <c r="O385" s="37" t="str">
        <f aca="false">IF(OR(A385="",E385="",L385="",L385=0),"",E385/L385)</f>
        <v/>
      </c>
      <c r="P385" s="28" t="str">
        <f aca="false">IF(A385="","",COUNTIFS(Sancoes!$A:$A,A385,Sancoes!$B:$B,"&lt;&gt;Não consta"))</f>
        <v/>
      </c>
      <c r="Q385" s="28" t="str">
        <f aca="false">IF(A385="","",COUNTIF(Socios!$A:$A,A385))</f>
        <v/>
      </c>
      <c r="R385" s="28" t="str">
        <f aca="false">IF(A385="","",COUNTIFS(Socios!$A:$A,A385,Socios!$K:$K,"SIM"))</f>
        <v/>
      </c>
      <c r="S385" s="27"/>
      <c r="T385" s="5"/>
    </row>
    <row r="386" customFormat="false" ht="15" hidden="false" customHeight="false" outlineLevel="0" collapsed="false">
      <c r="A386" s="27"/>
      <c r="B386" s="5"/>
      <c r="C386" s="18"/>
      <c r="D386" s="5"/>
      <c r="E386" s="35"/>
      <c r="F386" s="5"/>
      <c r="G386" s="5"/>
      <c r="H386" s="5"/>
      <c r="I386" s="14"/>
      <c r="J386" s="14"/>
      <c r="K386" s="28" t="str">
        <f aca="false">IF(A386="","",COUNTIF(Contratos!$A:$A,A386))</f>
        <v/>
      </c>
      <c r="L386" s="39" t="str">
        <f aca="false">IF(A386="","",SUMIFS(Contratos!$D:$D,Contratos!$A:$A,A386)+SUMIFS(Contratos!$N:$N,Contratos!$A:$A,A386))</f>
        <v/>
      </c>
      <c r="M386" s="39" t="str">
        <f aca="false">IF(A386="","",SUMIFS(Pagamentos!$C:$C,Pagamentos!$A:$A,A386,Pagamentos!$F:$F,"Empenho"))</f>
        <v/>
      </c>
      <c r="N386" s="39" t="str">
        <f aca="false">IF(A386="","",SUMIFS(Pagamentos!$C:$C,Pagamentos!$A:$A,A386,Pagamentos!$F:$F,"Pagamento"))</f>
        <v/>
      </c>
      <c r="O386" s="37" t="str">
        <f aca="false">IF(OR(A386="",E386="",L386="",L386=0),"",E386/L386)</f>
        <v/>
      </c>
      <c r="P386" s="28" t="str">
        <f aca="false">IF(A386="","",COUNTIFS(Sancoes!$A:$A,A386,Sancoes!$B:$B,"&lt;&gt;Não consta"))</f>
        <v/>
      </c>
      <c r="Q386" s="28" t="str">
        <f aca="false">IF(A386="","",COUNTIF(Socios!$A:$A,A386))</f>
        <v/>
      </c>
      <c r="R386" s="28" t="str">
        <f aca="false">IF(A386="","",COUNTIFS(Socios!$A:$A,A386,Socios!$K:$K,"SIM"))</f>
        <v/>
      </c>
      <c r="S386" s="27"/>
      <c r="T386" s="5"/>
    </row>
    <row r="387" customFormat="false" ht="15" hidden="false" customHeight="false" outlineLevel="0" collapsed="false">
      <c r="A387" s="27"/>
      <c r="B387" s="5"/>
      <c r="C387" s="18"/>
      <c r="D387" s="5"/>
      <c r="E387" s="35"/>
      <c r="F387" s="5"/>
      <c r="G387" s="5"/>
      <c r="H387" s="5"/>
      <c r="I387" s="14"/>
      <c r="J387" s="14"/>
      <c r="K387" s="28" t="str">
        <f aca="false">IF(A387="","",COUNTIF(Contratos!$A:$A,A387))</f>
        <v/>
      </c>
      <c r="L387" s="39" t="str">
        <f aca="false">IF(A387="","",SUMIFS(Contratos!$D:$D,Contratos!$A:$A,A387)+SUMIFS(Contratos!$N:$N,Contratos!$A:$A,A387))</f>
        <v/>
      </c>
      <c r="M387" s="39" t="str">
        <f aca="false">IF(A387="","",SUMIFS(Pagamentos!$C:$C,Pagamentos!$A:$A,A387,Pagamentos!$F:$F,"Empenho"))</f>
        <v/>
      </c>
      <c r="N387" s="39" t="str">
        <f aca="false">IF(A387="","",SUMIFS(Pagamentos!$C:$C,Pagamentos!$A:$A,A387,Pagamentos!$F:$F,"Pagamento"))</f>
        <v/>
      </c>
      <c r="O387" s="37" t="str">
        <f aca="false">IF(OR(A387="",E387="",L387="",L387=0),"",E387/L387)</f>
        <v/>
      </c>
      <c r="P387" s="28" t="str">
        <f aca="false">IF(A387="","",COUNTIFS(Sancoes!$A:$A,A387,Sancoes!$B:$B,"&lt;&gt;Não consta"))</f>
        <v/>
      </c>
      <c r="Q387" s="28" t="str">
        <f aca="false">IF(A387="","",COUNTIF(Socios!$A:$A,A387))</f>
        <v/>
      </c>
      <c r="R387" s="28" t="str">
        <f aca="false">IF(A387="","",COUNTIFS(Socios!$A:$A,A387,Socios!$K:$K,"SIM"))</f>
        <v/>
      </c>
      <c r="S387" s="27"/>
      <c r="T387" s="5"/>
    </row>
    <row r="388" customFormat="false" ht="15" hidden="false" customHeight="false" outlineLevel="0" collapsed="false">
      <c r="A388" s="27"/>
      <c r="B388" s="5"/>
      <c r="C388" s="18"/>
      <c r="D388" s="5"/>
      <c r="E388" s="35"/>
      <c r="F388" s="5"/>
      <c r="G388" s="5"/>
      <c r="H388" s="5"/>
      <c r="I388" s="14"/>
      <c r="J388" s="14"/>
      <c r="K388" s="28" t="str">
        <f aca="false">IF(A388="","",COUNTIF(Contratos!$A:$A,A388))</f>
        <v/>
      </c>
      <c r="L388" s="39" t="str">
        <f aca="false">IF(A388="","",SUMIFS(Contratos!$D:$D,Contratos!$A:$A,A388)+SUMIFS(Contratos!$N:$N,Contratos!$A:$A,A388))</f>
        <v/>
      </c>
      <c r="M388" s="39" t="str">
        <f aca="false">IF(A388="","",SUMIFS(Pagamentos!$C:$C,Pagamentos!$A:$A,A388,Pagamentos!$F:$F,"Empenho"))</f>
        <v/>
      </c>
      <c r="N388" s="39" t="str">
        <f aca="false">IF(A388="","",SUMIFS(Pagamentos!$C:$C,Pagamentos!$A:$A,A388,Pagamentos!$F:$F,"Pagamento"))</f>
        <v/>
      </c>
      <c r="O388" s="37" t="str">
        <f aca="false">IF(OR(A388="",E388="",L388="",L388=0),"",E388/L388)</f>
        <v/>
      </c>
      <c r="P388" s="28" t="str">
        <f aca="false">IF(A388="","",COUNTIFS(Sancoes!$A:$A,A388,Sancoes!$B:$B,"&lt;&gt;Não consta"))</f>
        <v/>
      </c>
      <c r="Q388" s="28" t="str">
        <f aca="false">IF(A388="","",COUNTIF(Socios!$A:$A,A388))</f>
        <v/>
      </c>
      <c r="R388" s="28" t="str">
        <f aca="false">IF(A388="","",COUNTIFS(Socios!$A:$A,A388,Socios!$K:$K,"SIM"))</f>
        <v/>
      </c>
      <c r="S388" s="27"/>
      <c r="T388" s="5"/>
    </row>
    <row r="389" customFormat="false" ht="15" hidden="false" customHeight="false" outlineLevel="0" collapsed="false">
      <c r="A389" s="27"/>
      <c r="B389" s="5"/>
      <c r="C389" s="18"/>
      <c r="D389" s="5"/>
      <c r="E389" s="35"/>
      <c r="F389" s="5"/>
      <c r="G389" s="5"/>
      <c r="H389" s="5"/>
      <c r="I389" s="14"/>
      <c r="J389" s="14"/>
      <c r="K389" s="28" t="str">
        <f aca="false">IF(A389="","",COUNTIF(Contratos!$A:$A,A389))</f>
        <v/>
      </c>
      <c r="L389" s="39" t="str">
        <f aca="false">IF(A389="","",SUMIFS(Contratos!$D:$D,Contratos!$A:$A,A389)+SUMIFS(Contratos!$N:$N,Contratos!$A:$A,A389))</f>
        <v/>
      </c>
      <c r="M389" s="39" t="str">
        <f aca="false">IF(A389="","",SUMIFS(Pagamentos!$C:$C,Pagamentos!$A:$A,A389,Pagamentos!$F:$F,"Empenho"))</f>
        <v/>
      </c>
      <c r="N389" s="39" t="str">
        <f aca="false">IF(A389="","",SUMIFS(Pagamentos!$C:$C,Pagamentos!$A:$A,A389,Pagamentos!$F:$F,"Pagamento"))</f>
        <v/>
      </c>
      <c r="O389" s="37" t="str">
        <f aca="false">IF(OR(A389="",E389="",L389="",L389=0),"",E389/L389)</f>
        <v/>
      </c>
      <c r="P389" s="28" t="str">
        <f aca="false">IF(A389="","",COUNTIFS(Sancoes!$A:$A,A389,Sancoes!$B:$B,"&lt;&gt;Não consta"))</f>
        <v/>
      </c>
      <c r="Q389" s="28" t="str">
        <f aca="false">IF(A389="","",COUNTIF(Socios!$A:$A,A389))</f>
        <v/>
      </c>
      <c r="R389" s="28" t="str">
        <f aca="false">IF(A389="","",COUNTIFS(Socios!$A:$A,A389,Socios!$K:$K,"SIM"))</f>
        <v/>
      </c>
      <c r="S389" s="27"/>
      <c r="T389" s="5"/>
    </row>
    <row r="390" customFormat="false" ht="15" hidden="false" customHeight="false" outlineLevel="0" collapsed="false">
      <c r="A390" s="27"/>
      <c r="B390" s="5"/>
      <c r="C390" s="18"/>
      <c r="D390" s="5"/>
      <c r="E390" s="35"/>
      <c r="F390" s="5"/>
      <c r="G390" s="5"/>
      <c r="H390" s="5"/>
      <c r="I390" s="14"/>
      <c r="J390" s="14"/>
      <c r="K390" s="28" t="str">
        <f aca="false">IF(A390="","",COUNTIF(Contratos!$A:$A,A390))</f>
        <v/>
      </c>
      <c r="L390" s="39" t="str">
        <f aca="false">IF(A390="","",SUMIFS(Contratos!$D:$D,Contratos!$A:$A,A390)+SUMIFS(Contratos!$N:$N,Contratos!$A:$A,A390))</f>
        <v/>
      </c>
      <c r="M390" s="39" t="str">
        <f aca="false">IF(A390="","",SUMIFS(Pagamentos!$C:$C,Pagamentos!$A:$A,A390,Pagamentos!$F:$F,"Empenho"))</f>
        <v/>
      </c>
      <c r="N390" s="39" t="str">
        <f aca="false">IF(A390="","",SUMIFS(Pagamentos!$C:$C,Pagamentos!$A:$A,A390,Pagamentos!$F:$F,"Pagamento"))</f>
        <v/>
      </c>
      <c r="O390" s="37" t="str">
        <f aca="false">IF(OR(A390="",E390="",L390="",L390=0),"",E390/L390)</f>
        <v/>
      </c>
      <c r="P390" s="28" t="str">
        <f aca="false">IF(A390="","",COUNTIFS(Sancoes!$A:$A,A390,Sancoes!$B:$B,"&lt;&gt;Não consta"))</f>
        <v/>
      </c>
      <c r="Q390" s="28" t="str">
        <f aca="false">IF(A390="","",COUNTIF(Socios!$A:$A,A390))</f>
        <v/>
      </c>
      <c r="R390" s="28" t="str">
        <f aca="false">IF(A390="","",COUNTIFS(Socios!$A:$A,A390,Socios!$K:$K,"SIM"))</f>
        <v/>
      </c>
      <c r="S390" s="27"/>
      <c r="T390" s="5"/>
    </row>
    <row r="391" customFormat="false" ht="15" hidden="false" customHeight="false" outlineLevel="0" collapsed="false">
      <c r="A391" s="27"/>
      <c r="B391" s="5"/>
      <c r="C391" s="18"/>
      <c r="D391" s="5"/>
      <c r="E391" s="35"/>
      <c r="F391" s="5"/>
      <c r="G391" s="5"/>
      <c r="H391" s="5"/>
      <c r="I391" s="14"/>
      <c r="J391" s="14"/>
      <c r="K391" s="28" t="str">
        <f aca="false">IF(A391="","",COUNTIF(Contratos!$A:$A,A391))</f>
        <v/>
      </c>
      <c r="L391" s="39" t="str">
        <f aca="false">IF(A391="","",SUMIFS(Contratos!$D:$D,Contratos!$A:$A,A391)+SUMIFS(Contratos!$N:$N,Contratos!$A:$A,A391))</f>
        <v/>
      </c>
      <c r="M391" s="39" t="str">
        <f aca="false">IF(A391="","",SUMIFS(Pagamentos!$C:$C,Pagamentos!$A:$A,A391,Pagamentos!$F:$F,"Empenho"))</f>
        <v/>
      </c>
      <c r="N391" s="39" t="str">
        <f aca="false">IF(A391="","",SUMIFS(Pagamentos!$C:$C,Pagamentos!$A:$A,A391,Pagamentos!$F:$F,"Pagamento"))</f>
        <v/>
      </c>
      <c r="O391" s="37" t="str">
        <f aca="false">IF(OR(A391="",E391="",L391="",L391=0),"",E391/L391)</f>
        <v/>
      </c>
      <c r="P391" s="28" t="str">
        <f aca="false">IF(A391="","",COUNTIFS(Sancoes!$A:$A,A391,Sancoes!$B:$B,"&lt;&gt;Não consta"))</f>
        <v/>
      </c>
      <c r="Q391" s="28" t="str">
        <f aca="false">IF(A391="","",COUNTIF(Socios!$A:$A,A391))</f>
        <v/>
      </c>
      <c r="R391" s="28" t="str">
        <f aca="false">IF(A391="","",COUNTIFS(Socios!$A:$A,A391,Socios!$K:$K,"SIM"))</f>
        <v/>
      </c>
      <c r="S391" s="27"/>
      <c r="T391" s="5"/>
    </row>
    <row r="392" customFormat="false" ht="15" hidden="false" customHeight="false" outlineLevel="0" collapsed="false">
      <c r="A392" s="27"/>
      <c r="B392" s="5"/>
      <c r="C392" s="18"/>
      <c r="D392" s="5"/>
      <c r="E392" s="35"/>
      <c r="F392" s="5"/>
      <c r="G392" s="5"/>
      <c r="H392" s="5"/>
      <c r="I392" s="14"/>
      <c r="J392" s="14"/>
      <c r="K392" s="28" t="str">
        <f aca="false">IF(A392="","",COUNTIF(Contratos!$A:$A,A392))</f>
        <v/>
      </c>
      <c r="L392" s="39" t="str">
        <f aca="false">IF(A392="","",SUMIFS(Contratos!$D:$D,Contratos!$A:$A,A392)+SUMIFS(Contratos!$N:$N,Contratos!$A:$A,A392))</f>
        <v/>
      </c>
      <c r="M392" s="39" t="str">
        <f aca="false">IF(A392="","",SUMIFS(Pagamentos!$C:$C,Pagamentos!$A:$A,A392,Pagamentos!$F:$F,"Empenho"))</f>
        <v/>
      </c>
      <c r="N392" s="39" t="str">
        <f aca="false">IF(A392="","",SUMIFS(Pagamentos!$C:$C,Pagamentos!$A:$A,A392,Pagamentos!$F:$F,"Pagamento"))</f>
        <v/>
      </c>
      <c r="O392" s="37" t="str">
        <f aca="false">IF(OR(A392="",E392="",L392="",L392=0),"",E392/L392)</f>
        <v/>
      </c>
      <c r="P392" s="28" t="str">
        <f aca="false">IF(A392="","",COUNTIFS(Sancoes!$A:$A,A392,Sancoes!$B:$B,"&lt;&gt;Não consta"))</f>
        <v/>
      </c>
      <c r="Q392" s="28" t="str">
        <f aca="false">IF(A392="","",COUNTIF(Socios!$A:$A,A392))</f>
        <v/>
      </c>
      <c r="R392" s="28" t="str">
        <f aca="false">IF(A392="","",COUNTIFS(Socios!$A:$A,A392,Socios!$K:$K,"SIM"))</f>
        <v/>
      </c>
      <c r="S392" s="27"/>
      <c r="T392" s="5"/>
    </row>
    <row r="393" customFormat="false" ht="15" hidden="false" customHeight="false" outlineLevel="0" collapsed="false">
      <c r="A393" s="27"/>
      <c r="B393" s="5"/>
      <c r="C393" s="18"/>
      <c r="D393" s="5"/>
      <c r="E393" s="35"/>
      <c r="F393" s="5"/>
      <c r="G393" s="5"/>
      <c r="H393" s="5"/>
      <c r="I393" s="14"/>
      <c r="J393" s="14"/>
      <c r="K393" s="28" t="str">
        <f aca="false">IF(A393="","",COUNTIF(Contratos!$A:$A,A393))</f>
        <v/>
      </c>
      <c r="L393" s="39" t="str">
        <f aca="false">IF(A393="","",SUMIFS(Contratos!$D:$D,Contratos!$A:$A,A393)+SUMIFS(Contratos!$N:$N,Contratos!$A:$A,A393))</f>
        <v/>
      </c>
      <c r="M393" s="39" t="str">
        <f aca="false">IF(A393="","",SUMIFS(Pagamentos!$C:$C,Pagamentos!$A:$A,A393,Pagamentos!$F:$F,"Empenho"))</f>
        <v/>
      </c>
      <c r="N393" s="39" t="str">
        <f aca="false">IF(A393="","",SUMIFS(Pagamentos!$C:$C,Pagamentos!$A:$A,A393,Pagamentos!$F:$F,"Pagamento"))</f>
        <v/>
      </c>
      <c r="O393" s="37" t="str">
        <f aca="false">IF(OR(A393="",E393="",L393="",L393=0),"",E393/L393)</f>
        <v/>
      </c>
      <c r="P393" s="28" t="str">
        <f aca="false">IF(A393="","",COUNTIFS(Sancoes!$A:$A,A393,Sancoes!$B:$B,"&lt;&gt;Não consta"))</f>
        <v/>
      </c>
      <c r="Q393" s="28" t="str">
        <f aca="false">IF(A393="","",COUNTIF(Socios!$A:$A,A393))</f>
        <v/>
      </c>
      <c r="R393" s="28" t="str">
        <f aca="false">IF(A393="","",COUNTIFS(Socios!$A:$A,A393,Socios!$K:$K,"SIM"))</f>
        <v/>
      </c>
      <c r="S393" s="27"/>
      <c r="T393" s="5"/>
    </row>
    <row r="394" customFormat="false" ht="15" hidden="false" customHeight="false" outlineLevel="0" collapsed="false">
      <c r="A394" s="27"/>
      <c r="B394" s="5"/>
      <c r="C394" s="18"/>
      <c r="D394" s="5"/>
      <c r="E394" s="35"/>
      <c r="F394" s="5"/>
      <c r="G394" s="5"/>
      <c r="H394" s="5"/>
      <c r="I394" s="14"/>
      <c r="J394" s="14"/>
      <c r="K394" s="28" t="str">
        <f aca="false">IF(A394="","",COUNTIF(Contratos!$A:$A,A394))</f>
        <v/>
      </c>
      <c r="L394" s="39" t="str">
        <f aca="false">IF(A394="","",SUMIFS(Contratos!$D:$D,Contratos!$A:$A,A394)+SUMIFS(Contratos!$N:$N,Contratos!$A:$A,A394))</f>
        <v/>
      </c>
      <c r="M394" s="39" t="str">
        <f aca="false">IF(A394="","",SUMIFS(Pagamentos!$C:$C,Pagamentos!$A:$A,A394,Pagamentos!$F:$F,"Empenho"))</f>
        <v/>
      </c>
      <c r="N394" s="39" t="str">
        <f aca="false">IF(A394="","",SUMIFS(Pagamentos!$C:$C,Pagamentos!$A:$A,A394,Pagamentos!$F:$F,"Pagamento"))</f>
        <v/>
      </c>
      <c r="O394" s="37" t="str">
        <f aca="false">IF(OR(A394="",E394="",L394="",L394=0),"",E394/L394)</f>
        <v/>
      </c>
      <c r="P394" s="28" t="str">
        <f aca="false">IF(A394="","",COUNTIFS(Sancoes!$A:$A,A394,Sancoes!$B:$B,"&lt;&gt;Não consta"))</f>
        <v/>
      </c>
      <c r="Q394" s="28" t="str">
        <f aca="false">IF(A394="","",COUNTIF(Socios!$A:$A,A394))</f>
        <v/>
      </c>
      <c r="R394" s="28" t="str">
        <f aca="false">IF(A394="","",COUNTIFS(Socios!$A:$A,A394,Socios!$K:$K,"SIM"))</f>
        <v/>
      </c>
      <c r="S394" s="27"/>
      <c r="T394" s="5"/>
    </row>
    <row r="395" customFormat="false" ht="15" hidden="false" customHeight="false" outlineLevel="0" collapsed="false">
      <c r="A395" s="27"/>
      <c r="B395" s="5"/>
      <c r="C395" s="18"/>
      <c r="D395" s="5"/>
      <c r="E395" s="35"/>
      <c r="F395" s="5"/>
      <c r="G395" s="5"/>
      <c r="H395" s="5"/>
      <c r="I395" s="14"/>
      <c r="J395" s="14"/>
      <c r="K395" s="28" t="str">
        <f aca="false">IF(A395="","",COUNTIF(Contratos!$A:$A,A395))</f>
        <v/>
      </c>
      <c r="L395" s="39" t="str">
        <f aca="false">IF(A395="","",SUMIFS(Contratos!$D:$D,Contratos!$A:$A,A395)+SUMIFS(Contratos!$N:$N,Contratos!$A:$A,A395))</f>
        <v/>
      </c>
      <c r="M395" s="39" t="str">
        <f aca="false">IF(A395="","",SUMIFS(Pagamentos!$C:$C,Pagamentos!$A:$A,A395,Pagamentos!$F:$F,"Empenho"))</f>
        <v/>
      </c>
      <c r="N395" s="39" t="str">
        <f aca="false">IF(A395="","",SUMIFS(Pagamentos!$C:$C,Pagamentos!$A:$A,A395,Pagamentos!$F:$F,"Pagamento"))</f>
        <v/>
      </c>
      <c r="O395" s="37" t="str">
        <f aca="false">IF(OR(A395="",E395="",L395="",L395=0),"",E395/L395)</f>
        <v/>
      </c>
      <c r="P395" s="28" t="str">
        <f aca="false">IF(A395="","",COUNTIFS(Sancoes!$A:$A,A395,Sancoes!$B:$B,"&lt;&gt;Não consta"))</f>
        <v/>
      </c>
      <c r="Q395" s="28" t="str">
        <f aca="false">IF(A395="","",COUNTIF(Socios!$A:$A,A395))</f>
        <v/>
      </c>
      <c r="R395" s="28" t="str">
        <f aca="false">IF(A395="","",COUNTIFS(Socios!$A:$A,A395,Socios!$K:$K,"SIM"))</f>
        <v/>
      </c>
      <c r="S395" s="27"/>
      <c r="T395" s="5"/>
    </row>
    <row r="396" customFormat="false" ht="15" hidden="false" customHeight="false" outlineLevel="0" collapsed="false">
      <c r="A396" s="27"/>
      <c r="B396" s="5"/>
      <c r="C396" s="18"/>
      <c r="D396" s="5"/>
      <c r="E396" s="35"/>
      <c r="F396" s="5"/>
      <c r="G396" s="5"/>
      <c r="H396" s="5"/>
      <c r="I396" s="14"/>
      <c r="J396" s="14"/>
      <c r="K396" s="28" t="str">
        <f aca="false">IF(A396="","",COUNTIF(Contratos!$A:$A,A396))</f>
        <v/>
      </c>
      <c r="L396" s="39" t="str">
        <f aca="false">IF(A396="","",SUMIFS(Contratos!$D:$D,Contratos!$A:$A,A396)+SUMIFS(Contratos!$N:$N,Contratos!$A:$A,A396))</f>
        <v/>
      </c>
      <c r="M396" s="39" t="str">
        <f aca="false">IF(A396="","",SUMIFS(Pagamentos!$C:$C,Pagamentos!$A:$A,A396,Pagamentos!$F:$F,"Empenho"))</f>
        <v/>
      </c>
      <c r="N396" s="39" t="str">
        <f aca="false">IF(A396="","",SUMIFS(Pagamentos!$C:$C,Pagamentos!$A:$A,A396,Pagamentos!$F:$F,"Pagamento"))</f>
        <v/>
      </c>
      <c r="O396" s="37" t="str">
        <f aca="false">IF(OR(A396="",E396="",L396="",L396=0),"",E396/L396)</f>
        <v/>
      </c>
      <c r="P396" s="28" t="str">
        <f aca="false">IF(A396="","",COUNTIFS(Sancoes!$A:$A,A396,Sancoes!$B:$B,"&lt;&gt;Não consta"))</f>
        <v/>
      </c>
      <c r="Q396" s="28" t="str">
        <f aca="false">IF(A396="","",COUNTIF(Socios!$A:$A,A396))</f>
        <v/>
      </c>
      <c r="R396" s="28" t="str">
        <f aca="false">IF(A396="","",COUNTIFS(Socios!$A:$A,A396,Socios!$K:$K,"SIM"))</f>
        <v/>
      </c>
      <c r="S396" s="27"/>
      <c r="T396" s="5"/>
    </row>
    <row r="397" customFormat="false" ht="15" hidden="false" customHeight="false" outlineLevel="0" collapsed="false">
      <c r="A397" s="27"/>
      <c r="B397" s="5"/>
      <c r="C397" s="18"/>
      <c r="D397" s="5"/>
      <c r="E397" s="35"/>
      <c r="F397" s="5"/>
      <c r="G397" s="5"/>
      <c r="H397" s="5"/>
      <c r="I397" s="14"/>
      <c r="J397" s="14"/>
      <c r="K397" s="28" t="str">
        <f aca="false">IF(A397="","",COUNTIF(Contratos!$A:$A,A397))</f>
        <v/>
      </c>
      <c r="L397" s="39" t="str">
        <f aca="false">IF(A397="","",SUMIFS(Contratos!$D:$D,Contratos!$A:$A,A397)+SUMIFS(Contratos!$N:$N,Contratos!$A:$A,A397))</f>
        <v/>
      </c>
      <c r="M397" s="39" t="str">
        <f aca="false">IF(A397="","",SUMIFS(Pagamentos!$C:$C,Pagamentos!$A:$A,A397,Pagamentos!$F:$F,"Empenho"))</f>
        <v/>
      </c>
      <c r="N397" s="39" t="str">
        <f aca="false">IF(A397="","",SUMIFS(Pagamentos!$C:$C,Pagamentos!$A:$A,A397,Pagamentos!$F:$F,"Pagamento"))</f>
        <v/>
      </c>
      <c r="O397" s="37" t="str">
        <f aca="false">IF(OR(A397="",E397="",L397="",L397=0),"",E397/L397)</f>
        <v/>
      </c>
      <c r="P397" s="28" t="str">
        <f aca="false">IF(A397="","",COUNTIFS(Sancoes!$A:$A,A397,Sancoes!$B:$B,"&lt;&gt;Não consta"))</f>
        <v/>
      </c>
      <c r="Q397" s="28" t="str">
        <f aca="false">IF(A397="","",COUNTIF(Socios!$A:$A,A397))</f>
        <v/>
      </c>
      <c r="R397" s="28" t="str">
        <f aca="false">IF(A397="","",COUNTIFS(Socios!$A:$A,A397,Socios!$K:$K,"SIM"))</f>
        <v/>
      </c>
      <c r="S397" s="27"/>
      <c r="T397" s="5"/>
    </row>
    <row r="398" customFormat="false" ht="15" hidden="false" customHeight="false" outlineLevel="0" collapsed="false">
      <c r="A398" s="27"/>
      <c r="B398" s="5"/>
      <c r="C398" s="18"/>
      <c r="D398" s="5"/>
      <c r="E398" s="35"/>
      <c r="F398" s="5"/>
      <c r="G398" s="5"/>
      <c r="H398" s="5"/>
      <c r="I398" s="14"/>
      <c r="J398" s="14"/>
      <c r="K398" s="28" t="str">
        <f aca="false">IF(A398="","",COUNTIF(Contratos!$A:$A,A398))</f>
        <v/>
      </c>
      <c r="L398" s="39" t="str">
        <f aca="false">IF(A398="","",SUMIFS(Contratos!$D:$D,Contratos!$A:$A,A398)+SUMIFS(Contratos!$N:$N,Contratos!$A:$A,A398))</f>
        <v/>
      </c>
      <c r="M398" s="39" t="str">
        <f aca="false">IF(A398="","",SUMIFS(Pagamentos!$C:$C,Pagamentos!$A:$A,A398,Pagamentos!$F:$F,"Empenho"))</f>
        <v/>
      </c>
      <c r="N398" s="39" t="str">
        <f aca="false">IF(A398="","",SUMIFS(Pagamentos!$C:$C,Pagamentos!$A:$A,A398,Pagamentos!$F:$F,"Pagamento"))</f>
        <v/>
      </c>
      <c r="O398" s="37" t="str">
        <f aca="false">IF(OR(A398="",E398="",L398="",L398=0),"",E398/L398)</f>
        <v/>
      </c>
      <c r="P398" s="28" t="str">
        <f aca="false">IF(A398="","",COUNTIFS(Sancoes!$A:$A,A398,Sancoes!$B:$B,"&lt;&gt;Não consta"))</f>
        <v/>
      </c>
      <c r="Q398" s="28" t="str">
        <f aca="false">IF(A398="","",COUNTIF(Socios!$A:$A,A398))</f>
        <v/>
      </c>
      <c r="R398" s="28" t="str">
        <f aca="false">IF(A398="","",COUNTIFS(Socios!$A:$A,A398,Socios!$K:$K,"SIM"))</f>
        <v/>
      </c>
      <c r="S398" s="27"/>
      <c r="T398" s="5"/>
    </row>
    <row r="399" customFormat="false" ht="15" hidden="false" customHeight="false" outlineLevel="0" collapsed="false">
      <c r="A399" s="27"/>
      <c r="B399" s="5"/>
      <c r="C399" s="18"/>
      <c r="D399" s="5"/>
      <c r="E399" s="35"/>
      <c r="F399" s="5"/>
      <c r="G399" s="5"/>
      <c r="H399" s="5"/>
      <c r="I399" s="14"/>
      <c r="J399" s="14"/>
      <c r="K399" s="28" t="str">
        <f aca="false">IF(A399="","",COUNTIF(Contratos!$A:$A,A399))</f>
        <v/>
      </c>
      <c r="L399" s="39" t="str">
        <f aca="false">IF(A399="","",SUMIFS(Contratos!$D:$D,Contratos!$A:$A,A399)+SUMIFS(Contratos!$N:$N,Contratos!$A:$A,A399))</f>
        <v/>
      </c>
      <c r="M399" s="39" t="str">
        <f aca="false">IF(A399="","",SUMIFS(Pagamentos!$C:$C,Pagamentos!$A:$A,A399,Pagamentos!$F:$F,"Empenho"))</f>
        <v/>
      </c>
      <c r="N399" s="39" t="str">
        <f aca="false">IF(A399="","",SUMIFS(Pagamentos!$C:$C,Pagamentos!$A:$A,A399,Pagamentos!$F:$F,"Pagamento"))</f>
        <v/>
      </c>
      <c r="O399" s="37" t="str">
        <f aca="false">IF(OR(A399="",E399="",L399="",L399=0),"",E399/L399)</f>
        <v/>
      </c>
      <c r="P399" s="28" t="str">
        <f aca="false">IF(A399="","",COUNTIFS(Sancoes!$A:$A,A399,Sancoes!$B:$B,"&lt;&gt;Não consta"))</f>
        <v/>
      </c>
      <c r="Q399" s="28" t="str">
        <f aca="false">IF(A399="","",COUNTIF(Socios!$A:$A,A399))</f>
        <v/>
      </c>
      <c r="R399" s="28" t="str">
        <f aca="false">IF(A399="","",COUNTIFS(Socios!$A:$A,A399,Socios!$K:$K,"SIM"))</f>
        <v/>
      </c>
      <c r="S399" s="27"/>
      <c r="T399" s="5"/>
    </row>
    <row r="400" customFormat="false" ht="15" hidden="false" customHeight="false" outlineLevel="0" collapsed="false">
      <c r="A400" s="27"/>
      <c r="B400" s="5"/>
      <c r="C400" s="18"/>
      <c r="D400" s="5"/>
      <c r="E400" s="35"/>
      <c r="F400" s="5"/>
      <c r="G400" s="5"/>
      <c r="H400" s="5"/>
      <c r="I400" s="14"/>
      <c r="J400" s="14"/>
      <c r="K400" s="28" t="str">
        <f aca="false">IF(A400="","",COUNTIF(Contratos!$A:$A,A400))</f>
        <v/>
      </c>
      <c r="L400" s="39" t="str">
        <f aca="false">IF(A400="","",SUMIFS(Contratos!$D:$D,Contratos!$A:$A,A400)+SUMIFS(Contratos!$N:$N,Contratos!$A:$A,A400))</f>
        <v/>
      </c>
      <c r="M400" s="39" t="str">
        <f aca="false">IF(A400="","",SUMIFS(Pagamentos!$C:$C,Pagamentos!$A:$A,A400,Pagamentos!$F:$F,"Empenho"))</f>
        <v/>
      </c>
      <c r="N400" s="39" t="str">
        <f aca="false">IF(A400="","",SUMIFS(Pagamentos!$C:$C,Pagamentos!$A:$A,A400,Pagamentos!$F:$F,"Pagamento"))</f>
        <v/>
      </c>
      <c r="O400" s="37" t="str">
        <f aca="false">IF(OR(A400="",E400="",L400="",L400=0),"",E400/L400)</f>
        <v/>
      </c>
      <c r="P400" s="28" t="str">
        <f aca="false">IF(A400="","",COUNTIFS(Sancoes!$A:$A,A400,Sancoes!$B:$B,"&lt;&gt;Não consta"))</f>
        <v/>
      </c>
      <c r="Q400" s="28" t="str">
        <f aca="false">IF(A400="","",COUNTIF(Socios!$A:$A,A400))</f>
        <v/>
      </c>
      <c r="R400" s="28" t="str">
        <f aca="false">IF(A400="","",COUNTIFS(Socios!$A:$A,A400,Socios!$K:$K,"SIM"))</f>
        <v/>
      </c>
      <c r="S400" s="27"/>
      <c r="T400" s="5"/>
    </row>
    <row r="401" customFormat="false" ht="15" hidden="false" customHeight="false" outlineLevel="0" collapsed="false">
      <c r="A401" s="27"/>
      <c r="B401" s="5"/>
      <c r="C401" s="18"/>
      <c r="D401" s="5"/>
      <c r="E401" s="35"/>
      <c r="F401" s="5"/>
      <c r="G401" s="5"/>
      <c r="H401" s="5"/>
      <c r="I401" s="14"/>
      <c r="J401" s="14"/>
      <c r="K401" s="28" t="str">
        <f aca="false">IF(A401="","",COUNTIF(Contratos!$A:$A,A401))</f>
        <v/>
      </c>
      <c r="L401" s="39" t="str">
        <f aca="false">IF(A401="","",SUMIFS(Contratos!$D:$D,Contratos!$A:$A,A401)+SUMIFS(Contratos!$N:$N,Contratos!$A:$A,A401))</f>
        <v/>
      </c>
      <c r="M401" s="39" t="str">
        <f aca="false">IF(A401="","",SUMIFS(Pagamentos!$C:$C,Pagamentos!$A:$A,A401,Pagamentos!$F:$F,"Empenho"))</f>
        <v/>
      </c>
      <c r="N401" s="39" t="str">
        <f aca="false">IF(A401="","",SUMIFS(Pagamentos!$C:$C,Pagamentos!$A:$A,A401,Pagamentos!$F:$F,"Pagamento"))</f>
        <v/>
      </c>
      <c r="O401" s="37" t="str">
        <f aca="false">IF(OR(A401="",E401="",L401="",L401=0),"",E401/L401)</f>
        <v/>
      </c>
      <c r="P401" s="28" t="str">
        <f aca="false">IF(A401="","",COUNTIFS(Sancoes!$A:$A,A401,Sancoes!$B:$B,"&lt;&gt;Não consta"))</f>
        <v/>
      </c>
      <c r="Q401" s="28" t="str">
        <f aca="false">IF(A401="","",COUNTIF(Socios!$A:$A,A401))</f>
        <v/>
      </c>
      <c r="R401" s="28" t="str">
        <f aca="false">IF(A401="","",COUNTIFS(Socios!$A:$A,A401,Socios!$K:$K,"SIM"))</f>
        <v/>
      </c>
      <c r="S401" s="27"/>
      <c r="T401" s="5"/>
    </row>
    <row r="402" customFormat="false" ht="15" hidden="false" customHeight="false" outlineLevel="0" collapsed="false">
      <c r="A402" s="27"/>
      <c r="B402" s="5"/>
      <c r="C402" s="18"/>
      <c r="D402" s="5"/>
      <c r="E402" s="35"/>
      <c r="F402" s="5"/>
      <c r="G402" s="5"/>
      <c r="H402" s="5"/>
      <c r="I402" s="14"/>
      <c r="J402" s="14"/>
      <c r="K402" s="28" t="str">
        <f aca="false">IF(A402="","",COUNTIF(Contratos!$A:$A,A402))</f>
        <v/>
      </c>
      <c r="L402" s="39" t="str">
        <f aca="false">IF(A402="","",SUMIFS(Contratos!$D:$D,Contratos!$A:$A,A402)+SUMIFS(Contratos!$N:$N,Contratos!$A:$A,A402))</f>
        <v/>
      </c>
      <c r="M402" s="39" t="str">
        <f aca="false">IF(A402="","",SUMIFS(Pagamentos!$C:$C,Pagamentos!$A:$A,A402,Pagamentos!$F:$F,"Empenho"))</f>
        <v/>
      </c>
      <c r="N402" s="39" t="str">
        <f aca="false">IF(A402="","",SUMIFS(Pagamentos!$C:$C,Pagamentos!$A:$A,A402,Pagamentos!$F:$F,"Pagamento"))</f>
        <v/>
      </c>
      <c r="O402" s="37" t="str">
        <f aca="false">IF(OR(A402="",E402="",L402="",L402=0),"",E402/L402)</f>
        <v/>
      </c>
      <c r="P402" s="28" t="str">
        <f aca="false">IF(A402="","",COUNTIFS(Sancoes!$A:$A,A402,Sancoes!$B:$B,"&lt;&gt;Não consta"))</f>
        <v/>
      </c>
      <c r="Q402" s="28" t="str">
        <f aca="false">IF(A402="","",COUNTIF(Socios!$A:$A,A402))</f>
        <v/>
      </c>
      <c r="R402" s="28" t="str">
        <f aca="false">IF(A402="","",COUNTIFS(Socios!$A:$A,A402,Socios!$K:$K,"SIM"))</f>
        <v/>
      </c>
      <c r="S402" s="27"/>
      <c r="T402" s="5"/>
    </row>
    <row r="403" customFormat="false" ht="15" hidden="false" customHeight="false" outlineLevel="0" collapsed="false">
      <c r="A403" s="27"/>
      <c r="B403" s="5"/>
      <c r="C403" s="18"/>
      <c r="D403" s="5"/>
      <c r="E403" s="35"/>
      <c r="F403" s="5"/>
      <c r="G403" s="5"/>
      <c r="H403" s="5"/>
      <c r="I403" s="14"/>
      <c r="J403" s="14"/>
      <c r="K403" s="28" t="str">
        <f aca="false">IF(A403="","",COUNTIF(Contratos!$A:$A,A403))</f>
        <v/>
      </c>
      <c r="L403" s="39" t="str">
        <f aca="false">IF(A403="","",SUMIFS(Contratos!$D:$D,Contratos!$A:$A,A403)+SUMIFS(Contratos!$N:$N,Contratos!$A:$A,A403))</f>
        <v/>
      </c>
      <c r="M403" s="39" t="str">
        <f aca="false">IF(A403="","",SUMIFS(Pagamentos!$C:$C,Pagamentos!$A:$A,A403,Pagamentos!$F:$F,"Empenho"))</f>
        <v/>
      </c>
      <c r="N403" s="39" t="str">
        <f aca="false">IF(A403="","",SUMIFS(Pagamentos!$C:$C,Pagamentos!$A:$A,A403,Pagamentos!$F:$F,"Pagamento"))</f>
        <v/>
      </c>
      <c r="O403" s="37" t="str">
        <f aca="false">IF(OR(A403="",E403="",L403="",L403=0),"",E403/L403)</f>
        <v/>
      </c>
      <c r="P403" s="28" t="str">
        <f aca="false">IF(A403="","",COUNTIFS(Sancoes!$A:$A,A403,Sancoes!$B:$B,"&lt;&gt;Não consta"))</f>
        <v/>
      </c>
      <c r="Q403" s="28" t="str">
        <f aca="false">IF(A403="","",COUNTIF(Socios!$A:$A,A403))</f>
        <v/>
      </c>
      <c r="R403" s="28" t="str">
        <f aca="false">IF(A403="","",COUNTIFS(Socios!$A:$A,A403,Socios!$K:$K,"SIM"))</f>
        <v/>
      </c>
      <c r="S403" s="27"/>
      <c r="T403" s="5"/>
    </row>
    <row r="404" customFormat="false" ht="15" hidden="false" customHeight="false" outlineLevel="0" collapsed="false">
      <c r="A404" s="27"/>
      <c r="B404" s="5"/>
      <c r="C404" s="18"/>
      <c r="D404" s="5"/>
      <c r="E404" s="35"/>
      <c r="F404" s="5"/>
      <c r="G404" s="5"/>
      <c r="H404" s="5"/>
      <c r="I404" s="14"/>
      <c r="J404" s="14"/>
      <c r="K404" s="28" t="str">
        <f aca="false">IF(A404="","",COUNTIF(Contratos!$A:$A,A404))</f>
        <v/>
      </c>
      <c r="L404" s="39" t="str">
        <f aca="false">IF(A404="","",SUMIFS(Contratos!$D:$D,Contratos!$A:$A,A404)+SUMIFS(Contratos!$N:$N,Contratos!$A:$A,A404))</f>
        <v/>
      </c>
      <c r="M404" s="39" t="str">
        <f aca="false">IF(A404="","",SUMIFS(Pagamentos!$C:$C,Pagamentos!$A:$A,A404,Pagamentos!$F:$F,"Empenho"))</f>
        <v/>
      </c>
      <c r="N404" s="39" t="str">
        <f aca="false">IF(A404="","",SUMIFS(Pagamentos!$C:$C,Pagamentos!$A:$A,A404,Pagamentos!$F:$F,"Pagamento"))</f>
        <v/>
      </c>
      <c r="O404" s="37" t="str">
        <f aca="false">IF(OR(A404="",E404="",L404="",L404=0),"",E404/L404)</f>
        <v/>
      </c>
      <c r="P404" s="28" t="str">
        <f aca="false">IF(A404="","",COUNTIFS(Sancoes!$A:$A,A404,Sancoes!$B:$B,"&lt;&gt;Não consta"))</f>
        <v/>
      </c>
      <c r="Q404" s="28" t="str">
        <f aca="false">IF(A404="","",COUNTIF(Socios!$A:$A,A404))</f>
        <v/>
      </c>
      <c r="R404" s="28" t="str">
        <f aca="false">IF(A404="","",COUNTIFS(Socios!$A:$A,A404,Socios!$K:$K,"SIM"))</f>
        <v/>
      </c>
      <c r="S404" s="27"/>
      <c r="T404" s="5"/>
    </row>
    <row r="405" customFormat="false" ht="15" hidden="false" customHeight="false" outlineLevel="0" collapsed="false">
      <c r="A405" s="27"/>
      <c r="B405" s="5"/>
      <c r="C405" s="18"/>
      <c r="D405" s="5"/>
      <c r="E405" s="35"/>
      <c r="F405" s="5"/>
      <c r="G405" s="5"/>
      <c r="H405" s="5"/>
      <c r="I405" s="14"/>
      <c r="J405" s="14"/>
      <c r="K405" s="28" t="str">
        <f aca="false">IF(A405="","",COUNTIF(Contratos!$A:$A,A405))</f>
        <v/>
      </c>
      <c r="L405" s="39" t="str">
        <f aca="false">IF(A405="","",SUMIFS(Contratos!$D:$D,Contratos!$A:$A,A405)+SUMIFS(Contratos!$N:$N,Contratos!$A:$A,A405))</f>
        <v/>
      </c>
      <c r="M405" s="39" t="str">
        <f aca="false">IF(A405="","",SUMIFS(Pagamentos!$C:$C,Pagamentos!$A:$A,A405,Pagamentos!$F:$F,"Empenho"))</f>
        <v/>
      </c>
      <c r="N405" s="39" t="str">
        <f aca="false">IF(A405="","",SUMIFS(Pagamentos!$C:$C,Pagamentos!$A:$A,A405,Pagamentos!$F:$F,"Pagamento"))</f>
        <v/>
      </c>
      <c r="O405" s="37" t="str">
        <f aca="false">IF(OR(A405="",E405="",L405="",L405=0),"",E405/L405)</f>
        <v/>
      </c>
      <c r="P405" s="28" t="str">
        <f aca="false">IF(A405="","",COUNTIFS(Sancoes!$A:$A,A405,Sancoes!$B:$B,"&lt;&gt;Não consta"))</f>
        <v/>
      </c>
      <c r="Q405" s="28" t="str">
        <f aca="false">IF(A405="","",COUNTIF(Socios!$A:$A,A405))</f>
        <v/>
      </c>
      <c r="R405" s="28" t="str">
        <f aca="false">IF(A405="","",COUNTIFS(Socios!$A:$A,A405,Socios!$K:$K,"SIM"))</f>
        <v/>
      </c>
      <c r="S405" s="27"/>
      <c r="T405" s="5"/>
    </row>
    <row r="406" customFormat="false" ht="15" hidden="false" customHeight="false" outlineLevel="0" collapsed="false">
      <c r="A406" s="27"/>
      <c r="B406" s="5"/>
      <c r="C406" s="18"/>
      <c r="D406" s="5"/>
      <c r="E406" s="35"/>
      <c r="F406" s="5"/>
      <c r="G406" s="5"/>
      <c r="H406" s="5"/>
      <c r="I406" s="14"/>
      <c r="J406" s="14"/>
      <c r="K406" s="28" t="str">
        <f aca="false">IF(A406="","",COUNTIF(Contratos!$A:$A,A406))</f>
        <v/>
      </c>
      <c r="L406" s="39" t="str">
        <f aca="false">IF(A406="","",SUMIFS(Contratos!$D:$D,Contratos!$A:$A,A406)+SUMIFS(Contratos!$N:$N,Contratos!$A:$A,A406))</f>
        <v/>
      </c>
      <c r="M406" s="39" t="str">
        <f aca="false">IF(A406="","",SUMIFS(Pagamentos!$C:$C,Pagamentos!$A:$A,A406,Pagamentos!$F:$F,"Empenho"))</f>
        <v/>
      </c>
      <c r="N406" s="39" t="str">
        <f aca="false">IF(A406="","",SUMIFS(Pagamentos!$C:$C,Pagamentos!$A:$A,A406,Pagamentos!$F:$F,"Pagamento"))</f>
        <v/>
      </c>
      <c r="O406" s="37" t="str">
        <f aca="false">IF(OR(A406="",E406="",L406="",L406=0),"",E406/L406)</f>
        <v/>
      </c>
      <c r="P406" s="28" t="str">
        <f aca="false">IF(A406="","",COUNTIFS(Sancoes!$A:$A,A406,Sancoes!$B:$B,"&lt;&gt;Não consta"))</f>
        <v/>
      </c>
      <c r="Q406" s="28" t="str">
        <f aca="false">IF(A406="","",COUNTIF(Socios!$A:$A,A406))</f>
        <v/>
      </c>
      <c r="R406" s="28" t="str">
        <f aca="false">IF(A406="","",COUNTIFS(Socios!$A:$A,A406,Socios!$K:$K,"SIM"))</f>
        <v/>
      </c>
      <c r="S406" s="27"/>
      <c r="T406" s="5"/>
    </row>
    <row r="407" customFormat="false" ht="15" hidden="false" customHeight="false" outlineLevel="0" collapsed="false">
      <c r="A407" s="27"/>
      <c r="B407" s="5"/>
      <c r="C407" s="18"/>
      <c r="D407" s="5"/>
      <c r="E407" s="35"/>
      <c r="F407" s="5"/>
      <c r="G407" s="5"/>
      <c r="H407" s="5"/>
      <c r="I407" s="14"/>
      <c r="J407" s="14"/>
      <c r="K407" s="28" t="str">
        <f aca="false">IF(A407="","",COUNTIF(Contratos!$A:$A,A407))</f>
        <v/>
      </c>
      <c r="L407" s="39" t="str">
        <f aca="false">IF(A407="","",SUMIFS(Contratos!$D:$D,Contratos!$A:$A,A407)+SUMIFS(Contratos!$N:$N,Contratos!$A:$A,A407))</f>
        <v/>
      </c>
      <c r="M407" s="39" t="str">
        <f aca="false">IF(A407="","",SUMIFS(Pagamentos!$C:$C,Pagamentos!$A:$A,A407,Pagamentos!$F:$F,"Empenho"))</f>
        <v/>
      </c>
      <c r="N407" s="39" t="str">
        <f aca="false">IF(A407="","",SUMIFS(Pagamentos!$C:$C,Pagamentos!$A:$A,A407,Pagamentos!$F:$F,"Pagamento"))</f>
        <v/>
      </c>
      <c r="O407" s="37" t="str">
        <f aca="false">IF(OR(A407="",E407="",L407="",L407=0),"",E407/L407)</f>
        <v/>
      </c>
      <c r="P407" s="28" t="str">
        <f aca="false">IF(A407="","",COUNTIFS(Sancoes!$A:$A,A407,Sancoes!$B:$B,"&lt;&gt;Não consta"))</f>
        <v/>
      </c>
      <c r="Q407" s="28" t="str">
        <f aca="false">IF(A407="","",COUNTIF(Socios!$A:$A,A407))</f>
        <v/>
      </c>
      <c r="R407" s="28" t="str">
        <f aca="false">IF(A407="","",COUNTIFS(Socios!$A:$A,A407,Socios!$K:$K,"SIM"))</f>
        <v/>
      </c>
      <c r="S407" s="27"/>
      <c r="T407" s="5"/>
    </row>
    <row r="408" customFormat="false" ht="15" hidden="false" customHeight="false" outlineLevel="0" collapsed="false">
      <c r="A408" s="27"/>
      <c r="B408" s="5"/>
      <c r="C408" s="18"/>
      <c r="D408" s="5"/>
      <c r="E408" s="35"/>
      <c r="F408" s="5"/>
      <c r="G408" s="5"/>
      <c r="H408" s="5"/>
      <c r="I408" s="14"/>
      <c r="J408" s="14"/>
      <c r="K408" s="28" t="str">
        <f aca="false">IF(A408="","",COUNTIF(Contratos!$A:$A,A408))</f>
        <v/>
      </c>
      <c r="L408" s="39" t="str">
        <f aca="false">IF(A408="","",SUMIFS(Contratos!$D:$D,Contratos!$A:$A,A408)+SUMIFS(Contratos!$N:$N,Contratos!$A:$A,A408))</f>
        <v/>
      </c>
      <c r="M408" s="39" t="str">
        <f aca="false">IF(A408="","",SUMIFS(Pagamentos!$C:$C,Pagamentos!$A:$A,A408,Pagamentos!$F:$F,"Empenho"))</f>
        <v/>
      </c>
      <c r="N408" s="39" t="str">
        <f aca="false">IF(A408="","",SUMIFS(Pagamentos!$C:$C,Pagamentos!$A:$A,A408,Pagamentos!$F:$F,"Pagamento"))</f>
        <v/>
      </c>
      <c r="O408" s="37" t="str">
        <f aca="false">IF(OR(A408="",E408="",L408="",L408=0),"",E408/L408)</f>
        <v/>
      </c>
      <c r="P408" s="28" t="str">
        <f aca="false">IF(A408="","",COUNTIFS(Sancoes!$A:$A,A408,Sancoes!$B:$B,"&lt;&gt;Não consta"))</f>
        <v/>
      </c>
      <c r="Q408" s="28" t="str">
        <f aca="false">IF(A408="","",COUNTIF(Socios!$A:$A,A408))</f>
        <v/>
      </c>
      <c r="R408" s="28" t="str">
        <f aca="false">IF(A408="","",COUNTIFS(Socios!$A:$A,A408,Socios!$K:$K,"SIM"))</f>
        <v/>
      </c>
      <c r="S408" s="27"/>
      <c r="T408" s="5"/>
    </row>
    <row r="409" customFormat="false" ht="15" hidden="false" customHeight="false" outlineLevel="0" collapsed="false">
      <c r="A409" s="27"/>
      <c r="B409" s="5"/>
      <c r="C409" s="18"/>
      <c r="D409" s="5"/>
      <c r="E409" s="35"/>
      <c r="F409" s="5"/>
      <c r="G409" s="5"/>
      <c r="H409" s="5"/>
      <c r="I409" s="14"/>
      <c r="J409" s="14"/>
      <c r="K409" s="28" t="str">
        <f aca="false">IF(A409="","",COUNTIF(Contratos!$A:$A,A409))</f>
        <v/>
      </c>
      <c r="L409" s="39" t="str">
        <f aca="false">IF(A409="","",SUMIFS(Contratos!$D:$D,Contratos!$A:$A,A409)+SUMIFS(Contratos!$N:$N,Contratos!$A:$A,A409))</f>
        <v/>
      </c>
      <c r="M409" s="39" t="str">
        <f aca="false">IF(A409="","",SUMIFS(Pagamentos!$C:$C,Pagamentos!$A:$A,A409,Pagamentos!$F:$F,"Empenho"))</f>
        <v/>
      </c>
      <c r="N409" s="39" t="str">
        <f aca="false">IF(A409="","",SUMIFS(Pagamentos!$C:$C,Pagamentos!$A:$A,A409,Pagamentos!$F:$F,"Pagamento"))</f>
        <v/>
      </c>
      <c r="O409" s="37" t="str">
        <f aca="false">IF(OR(A409="",E409="",L409="",L409=0),"",E409/L409)</f>
        <v/>
      </c>
      <c r="P409" s="28" t="str">
        <f aca="false">IF(A409="","",COUNTIFS(Sancoes!$A:$A,A409,Sancoes!$B:$B,"&lt;&gt;Não consta"))</f>
        <v/>
      </c>
      <c r="Q409" s="28" t="str">
        <f aca="false">IF(A409="","",COUNTIF(Socios!$A:$A,A409))</f>
        <v/>
      </c>
      <c r="R409" s="28" t="str">
        <f aca="false">IF(A409="","",COUNTIFS(Socios!$A:$A,A409,Socios!$K:$K,"SIM"))</f>
        <v/>
      </c>
      <c r="S409" s="27"/>
      <c r="T409" s="5"/>
    </row>
    <row r="410" customFormat="false" ht="15" hidden="false" customHeight="false" outlineLevel="0" collapsed="false">
      <c r="A410" s="27"/>
      <c r="B410" s="5"/>
      <c r="C410" s="18"/>
      <c r="D410" s="5"/>
      <c r="E410" s="35"/>
      <c r="F410" s="5"/>
      <c r="G410" s="5"/>
      <c r="H410" s="5"/>
      <c r="I410" s="14"/>
      <c r="J410" s="14"/>
      <c r="K410" s="28" t="str">
        <f aca="false">IF(A410="","",COUNTIF(Contratos!$A:$A,A410))</f>
        <v/>
      </c>
      <c r="L410" s="39" t="str">
        <f aca="false">IF(A410="","",SUMIFS(Contratos!$D:$D,Contratos!$A:$A,A410)+SUMIFS(Contratos!$N:$N,Contratos!$A:$A,A410))</f>
        <v/>
      </c>
      <c r="M410" s="39" t="str">
        <f aca="false">IF(A410="","",SUMIFS(Pagamentos!$C:$C,Pagamentos!$A:$A,A410,Pagamentos!$F:$F,"Empenho"))</f>
        <v/>
      </c>
      <c r="N410" s="39" t="str">
        <f aca="false">IF(A410="","",SUMIFS(Pagamentos!$C:$C,Pagamentos!$A:$A,A410,Pagamentos!$F:$F,"Pagamento"))</f>
        <v/>
      </c>
      <c r="O410" s="37" t="str">
        <f aca="false">IF(OR(A410="",E410="",L410="",L410=0),"",E410/L410)</f>
        <v/>
      </c>
      <c r="P410" s="28" t="str">
        <f aca="false">IF(A410="","",COUNTIFS(Sancoes!$A:$A,A410,Sancoes!$B:$B,"&lt;&gt;Não consta"))</f>
        <v/>
      </c>
      <c r="Q410" s="28" t="str">
        <f aca="false">IF(A410="","",COUNTIF(Socios!$A:$A,A410))</f>
        <v/>
      </c>
      <c r="R410" s="28" t="str">
        <f aca="false">IF(A410="","",COUNTIFS(Socios!$A:$A,A410,Socios!$K:$K,"SIM"))</f>
        <v/>
      </c>
      <c r="S410" s="27"/>
      <c r="T410" s="5"/>
    </row>
    <row r="411" customFormat="false" ht="15" hidden="false" customHeight="false" outlineLevel="0" collapsed="false">
      <c r="A411" s="27"/>
      <c r="B411" s="5"/>
      <c r="C411" s="18"/>
      <c r="D411" s="5"/>
      <c r="E411" s="35"/>
      <c r="F411" s="5"/>
      <c r="G411" s="5"/>
      <c r="H411" s="5"/>
      <c r="I411" s="14"/>
      <c r="J411" s="14"/>
      <c r="K411" s="28" t="str">
        <f aca="false">IF(A411="","",COUNTIF(Contratos!$A:$A,A411))</f>
        <v/>
      </c>
      <c r="L411" s="39" t="str">
        <f aca="false">IF(A411="","",SUMIFS(Contratos!$D:$D,Contratos!$A:$A,A411)+SUMIFS(Contratos!$N:$N,Contratos!$A:$A,A411))</f>
        <v/>
      </c>
      <c r="M411" s="39" t="str">
        <f aca="false">IF(A411="","",SUMIFS(Pagamentos!$C:$C,Pagamentos!$A:$A,A411,Pagamentos!$F:$F,"Empenho"))</f>
        <v/>
      </c>
      <c r="N411" s="39" t="str">
        <f aca="false">IF(A411="","",SUMIFS(Pagamentos!$C:$C,Pagamentos!$A:$A,A411,Pagamentos!$F:$F,"Pagamento"))</f>
        <v/>
      </c>
      <c r="O411" s="37" t="str">
        <f aca="false">IF(OR(A411="",E411="",L411="",L411=0),"",E411/L411)</f>
        <v/>
      </c>
      <c r="P411" s="28" t="str">
        <f aca="false">IF(A411="","",COUNTIFS(Sancoes!$A:$A,A411,Sancoes!$B:$B,"&lt;&gt;Não consta"))</f>
        <v/>
      </c>
      <c r="Q411" s="28" t="str">
        <f aca="false">IF(A411="","",COUNTIF(Socios!$A:$A,A411))</f>
        <v/>
      </c>
      <c r="R411" s="28" t="str">
        <f aca="false">IF(A411="","",COUNTIFS(Socios!$A:$A,A411,Socios!$K:$K,"SIM"))</f>
        <v/>
      </c>
      <c r="S411" s="27"/>
      <c r="T411" s="5"/>
    </row>
    <row r="412" customFormat="false" ht="15" hidden="false" customHeight="false" outlineLevel="0" collapsed="false">
      <c r="A412" s="27"/>
      <c r="B412" s="5"/>
      <c r="C412" s="18"/>
      <c r="D412" s="5"/>
      <c r="E412" s="35"/>
      <c r="F412" s="5"/>
      <c r="G412" s="5"/>
      <c r="H412" s="5"/>
      <c r="I412" s="14"/>
      <c r="J412" s="14"/>
      <c r="K412" s="28" t="str">
        <f aca="false">IF(A412="","",COUNTIF(Contratos!$A:$A,A412))</f>
        <v/>
      </c>
      <c r="L412" s="39" t="str">
        <f aca="false">IF(A412="","",SUMIFS(Contratos!$D:$D,Contratos!$A:$A,A412)+SUMIFS(Contratos!$N:$N,Contratos!$A:$A,A412))</f>
        <v/>
      </c>
      <c r="M412" s="39" t="str">
        <f aca="false">IF(A412="","",SUMIFS(Pagamentos!$C:$C,Pagamentos!$A:$A,A412,Pagamentos!$F:$F,"Empenho"))</f>
        <v/>
      </c>
      <c r="N412" s="39" t="str">
        <f aca="false">IF(A412="","",SUMIFS(Pagamentos!$C:$C,Pagamentos!$A:$A,A412,Pagamentos!$F:$F,"Pagamento"))</f>
        <v/>
      </c>
      <c r="O412" s="37" t="str">
        <f aca="false">IF(OR(A412="",E412="",L412="",L412=0),"",E412/L412)</f>
        <v/>
      </c>
      <c r="P412" s="28" t="str">
        <f aca="false">IF(A412="","",COUNTIFS(Sancoes!$A:$A,A412,Sancoes!$B:$B,"&lt;&gt;Não consta"))</f>
        <v/>
      </c>
      <c r="Q412" s="28" t="str">
        <f aca="false">IF(A412="","",COUNTIF(Socios!$A:$A,A412))</f>
        <v/>
      </c>
      <c r="R412" s="28" t="str">
        <f aca="false">IF(A412="","",COUNTIFS(Socios!$A:$A,A412,Socios!$K:$K,"SIM"))</f>
        <v/>
      </c>
      <c r="S412" s="27"/>
      <c r="T412" s="5"/>
    </row>
    <row r="413" customFormat="false" ht="15" hidden="false" customHeight="false" outlineLevel="0" collapsed="false">
      <c r="A413" s="27"/>
      <c r="B413" s="5"/>
      <c r="C413" s="18"/>
      <c r="D413" s="5"/>
      <c r="E413" s="35"/>
      <c r="F413" s="5"/>
      <c r="G413" s="5"/>
      <c r="H413" s="5"/>
      <c r="I413" s="14"/>
      <c r="J413" s="14"/>
      <c r="K413" s="28" t="str">
        <f aca="false">IF(A413="","",COUNTIF(Contratos!$A:$A,A413))</f>
        <v/>
      </c>
      <c r="L413" s="39" t="str">
        <f aca="false">IF(A413="","",SUMIFS(Contratos!$D:$D,Contratos!$A:$A,A413)+SUMIFS(Contratos!$N:$N,Contratos!$A:$A,A413))</f>
        <v/>
      </c>
      <c r="M413" s="39" t="str">
        <f aca="false">IF(A413="","",SUMIFS(Pagamentos!$C:$C,Pagamentos!$A:$A,A413,Pagamentos!$F:$F,"Empenho"))</f>
        <v/>
      </c>
      <c r="N413" s="39" t="str">
        <f aca="false">IF(A413="","",SUMIFS(Pagamentos!$C:$C,Pagamentos!$A:$A,A413,Pagamentos!$F:$F,"Pagamento"))</f>
        <v/>
      </c>
      <c r="O413" s="37" t="str">
        <f aca="false">IF(OR(A413="",E413="",L413="",L413=0),"",E413/L413)</f>
        <v/>
      </c>
      <c r="P413" s="28" t="str">
        <f aca="false">IF(A413="","",COUNTIFS(Sancoes!$A:$A,A413,Sancoes!$B:$B,"&lt;&gt;Não consta"))</f>
        <v/>
      </c>
      <c r="Q413" s="28" t="str">
        <f aca="false">IF(A413="","",COUNTIF(Socios!$A:$A,A413))</f>
        <v/>
      </c>
      <c r="R413" s="28" t="str">
        <f aca="false">IF(A413="","",COUNTIFS(Socios!$A:$A,A413,Socios!$K:$K,"SIM"))</f>
        <v/>
      </c>
      <c r="S413" s="27"/>
      <c r="T413" s="5"/>
    </row>
    <row r="414" customFormat="false" ht="15" hidden="false" customHeight="false" outlineLevel="0" collapsed="false">
      <c r="A414" s="27"/>
      <c r="B414" s="5"/>
      <c r="C414" s="18"/>
      <c r="D414" s="5"/>
      <c r="E414" s="35"/>
      <c r="F414" s="5"/>
      <c r="G414" s="5"/>
      <c r="H414" s="5"/>
      <c r="I414" s="14"/>
      <c r="J414" s="14"/>
      <c r="K414" s="28" t="str">
        <f aca="false">IF(A414="","",COUNTIF(Contratos!$A:$A,A414))</f>
        <v/>
      </c>
      <c r="L414" s="39" t="str">
        <f aca="false">IF(A414="","",SUMIFS(Contratos!$D:$D,Contratos!$A:$A,A414)+SUMIFS(Contratos!$N:$N,Contratos!$A:$A,A414))</f>
        <v/>
      </c>
      <c r="M414" s="39" t="str">
        <f aca="false">IF(A414="","",SUMIFS(Pagamentos!$C:$C,Pagamentos!$A:$A,A414,Pagamentos!$F:$F,"Empenho"))</f>
        <v/>
      </c>
      <c r="N414" s="39" t="str">
        <f aca="false">IF(A414="","",SUMIFS(Pagamentos!$C:$C,Pagamentos!$A:$A,A414,Pagamentos!$F:$F,"Pagamento"))</f>
        <v/>
      </c>
      <c r="O414" s="37" t="str">
        <f aca="false">IF(OR(A414="",E414="",L414="",L414=0),"",E414/L414)</f>
        <v/>
      </c>
      <c r="P414" s="28" t="str">
        <f aca="false">IF(A414="","",COUNTIFS(Sancoes!$A:$A,A414,Sancoes!$B:$B,"&lt;&gt;Não consta"))</f>
        <v/>
      </c>
      <c r="Q414" s="28" t="str">
        <f aca="false">IF(A414="","",COUNTIF(Socios!$A:$A,A414))</f>
        <v/>
      </c>
      <c r="R414" s="28" t="str">
        <f aca="false">IF(A414="","",COUNTIFS(Socios!$A:$A,A414,Socios!$K:$K,"SIM"))</f>
        <v/>
      </c>
      <c r="S414" s="27"/>
      <c r="T414" s="5"/>
    </row>
    <row r="415" customFormat="false" ht="15" hidden="false" customHeight="false" outlineLevel="0" collapsed="false">
      <c r="A415" s="27"/>
      <c r="B415" s="5"/>
      <c r="C415" s="18"/>
      <c r="D415" s="5"/>
      <c r="E415" s="35"/>
      <c r="F415" s="5"/>
      <c r="G415" s="5"/>
      <c r="H415" s="5"/>
      <c r="I415" s="14"/>
      <c r="J415" s="14"/>
      <c r="K415" s="28" t="str">
        <f aca="false">IF(A415="","",COUNTIF(Contratos!$A:$A,A415))</f>
        <v/>
      </c>
      <c r="L415" s="39" t="str">
        <f aca="false">IF(A415="","",SUMIFS(Contratos!$D:$D,Contratos!$A:$A,A415)+SUMIFS(Contratos!$N:$N,Contratos!$A:$A,A415))</f>
        <v/>
      </c>
      <c r="M415" s="39" t="str">
        <f aca="false">IF(A415="","",SUMIFS(Pagamentos!$C:$C,Pagamentos!$A:$A,A415,Pagamentos!$F:$F,"Empenho"))</f>
        <v/>
      </c>
      <c r="N415" s="39" t="str">
        <f aca="false">IF(A415="","",SUMIFS(Pagamentos!$C:$C,Pagamentos!$A:$A,A415,Pagamentos!$F:$F,"Pagamento"))</f>
        <v/>
      </c>
      <c r="O415" s="37" t="str">
        <f aca="false">IF(OR(A415="",E415="",L415="",L415=0),"",E415/L415)</f>
        <v/>
      </c>
      <c r="P415" s="28" t="str">
        <f aca="false">IF(A415="","",COUNTIFS(Sancoes!$A:$A,A415,Sancoes!$B:$B,"&lt;&gt;Não consta"))</f>
        <v/>
      </c>
      <c r="Q415" s="28" t="str">
        <f aca="false">IF(A415="","",COUNTIF(Socios!$A:$A,A415))</f>
        <v/>
      </c>
      <c r="R415" s="28" t="str">
        <f aca="false">IF(A415="","",COUNTIFS(Socios!$A:$A,A415,Socios!$K:$K,"SIM"))</f>
        <v/>
      </c>
      <c r="S415" s="27"/>
      <c r="T415" s="5"/>
    </row>
    <row r="416" customFormat="false" ht="15" hidden="false" customHeight="false" outlineLevel="0" collapsed="false">
      <c r="A416" s="27"/>
      <c r="B416" s="5"/>
      <c r="C416" s="18"/>
      <c r="D416" s="5"/>
      <c r="E416" s="35"/>
      <c r="F416" s="5"/>
      <c r="G416" s="5"/>
      <c r="H416" s="5"/>
      <c r="I416" s="14"/>
      <c r="J416" s="14"/>
      <c r="K416" s="28" t="str">
        <f aca="false">IF(A416="","",COUNTIF(Contratos!$A:$A,A416))</f>
        <v/>
      </c>
      <c r="L416" s="39" t="str">
        <f aca="false">IF(A416="","",SUMIFS(Contratos!$D:$D,Contratos!$A:$A,A416)+SUMIFS(Contratos!$N:$N,Contratos!$A:$A,A416))</f>
        <v/>
      </c>
      <c r="M416" s="39" t="str">
        <f aca="false">IF(A416="","",SUMIFS(Pagamentos!$C:$C,Pagamentos!$A:$A,A416,Pagamentos!$F:$F,"Empenho"))</f>
        <v/>
      </c>
      <c r="N416" s="39" t="str">
        <f aca="false">IF(A416="","",SUMIFS(Pagamentos!$C:$C,Pagamentos!$A:$A,A416,Pagamentos!$F:$F,"Pagamento"))</f>
        <v/>
      </c>
      <c r="O416" s="37" t="str">
        <f aca="false">IF(OR(A416="",E416="",L416="",L416=0),"",E416/L416)</f>
        <v/>
      </c>
      <c r="P416" s="28" t="str">
        <f aca="false">IF(A416="","",COUNTIFS(Sancoes!$A:$A,A416,Sancoes!$B:$B,"&lt;&gt;Não consta"))</f>
        <v/>
      </c>
      <c r="Q416" s="28" t="str">
        <f aca="false">IF(A416="","",COUNTIF(Socios!$A:$A,A416))</f>
        <v/>
      </c>
      <c r="R416" s="28" t="str">
        <f aca="false">IF(A416="","",COUNTIFS(Socios!$A:$A,A416,Socios!$K:$K,"SIM"))</f>
        <v/>
      </c>
      <c r="S416" s="27"/>
      <c r="T416" s="5"/>
    </row>
    <row r="417" customFormat="false" ht="15" hidden="false" customHeight="false" outlineLevel="0" collapsed="false">
      <c r="A417" s="27"/>
      <c r="B417" s="5"/>
      <c r="C417" s="18"/>
      <c r="D417" s="5"/>
      <c r="E417" s="35"/>
      <c r="F417" s="5"/>
      <c r="G417" s="5"/>
      <c r="H417" s="5"/>
      <c r="I417" s="14"/>
      <c r="J417" s="14"/>
      <c r="K417" s="28" t="str">
        <f aca="false">IF(A417="","",COUNTIF(Contratos!$A:$A,A417))</f>
        <v/>
      </c>
      <c r="L417" s="39" t="str">
        <f aca="false">IF(A417="","",SUMIFS(Contratos!$D:$D,Contratos!$A:$A,A417)+SUMIFS(Contratos!$N:$N,Contratos!$A:$A,A417))</f>
        <v/>
      </c>
      <c r="M417" s="39" t="str">
        <f aca="false">IF(A417="","",SUMIFS(Pagamentos!$C:$C,Pagamentos!$A:$A,A417,Pagamentos!$F:$F,"Empenho"))</f>
        <v/>
      </c>
      <c r="N417" s="39" t="str">
        <f aca="false">IF(A417="","",SUMIFS(Pagamentos!$C:$C,Pagamentos!$A:$A,A417,Pagamentos!$F:$F,"Pagamento"))</f>
        <v/>
      </c>
      <c r="O417" s="37" t="str">
        <f aca="false">IF(OR(A417="",E417="",L417="",L417=0),"",E417/L417)</f>
        <v/>
      </c>
      <c r="P417" s="28" t="str">
        <f aca="false">IF(A417="","",COUNTIFS(Sancoes!$A:$A,A417,Sancoes!$B:$B,"&lt;&gt;Não consta"))</f>
        <v/>
      </c>
      <c r="Q417" s="28" t="str">
        <f aca="false">IF(A417="","",COUNTIF(Socios!$A:$A,A417))</f>
        <v/>
      </c>
      <c r="R417" s="28" t="str">
        <f aca="false">IF(A417="","",COUNTIFS(Socios!$A:$A,A417,Socios!$K:$K,"SIM"))</f>
        <v/>
      </c>
      <c r="S417" s="27"/>
      <c r="T417" s="5"/>
    </row>
    <row r="418" customFormat="false" ht="15" hidden="false" customHeight="false" outlineLevel="0" collapsed="false">
      <c r="A418" s="27"/>
      <c r="B418" s="5"/>
      <c r="C418" s="18"/>
      <c r="D418" s="5"/>
      <c r="E418" s="35"/>
      <c r="F418" s="5"/>
      <c r="G418" s="5"/>
      <c r="H418" s="5"/>
      <c r="I418" s="14"/>
      <c r="J418" s="14"/>
      <c r="K418" s="28" t="str">
        <f aca="false">IF(A418="","",COUNTIF(Contratos!$A:$A,A418))</f>
        <v/>
      </c>
      <c r="L418" s="39" t="str">
        <f aca="false">IF(A418="","",SUMIFS(Contratos!$D:$D,Contratos!$A:$A,A418)+SUMIFS(Contratos!$N:$N,Contratos!$A:$A,A418))</f>
        <v/>
      </c>
      <c r="M418" s="39" t="str">
        <f aca="false">IF(A418="","",SUMIFS(Pagamentos!$C:$C,Pagamentos!$A:$A,A418,Pagamentos!$F:$F,"Empenho"))</f>
        <v/>
      </c>
      <c r="N418" s="39" t="str">
        <f aca="false">IF(A418="","",SUMIFS(Pagamentos!$C:$C,Pagamentos!$A:$A,A418,Pagamentos!$F:$F,"Pagamento"))</f>
        <v/>
      </c>
      <c r="O418" s="37" t="str">
        <f aca="false">IF(OR(A418="",E418="",L418="",L418=0),"",E418/L418)</f>
        <v/>
      </c>
      <c r="P418" s="28" t="str">
        <f aca="false">IF(A418="","",COUNTIFS(Sancoes!$A:$A,A418,Sancoes!$B:$B,"&lt;&gt;Não consta"))</f>
        <v/>
      </c>
      <c r="Q418" s="28" t="str">
        <f aca="false">IF(A418="","",COUNTIF(Socios!$A:$A,A418))</f>
        <v/>
      </c>
      <c r="R418" s="28" t="str">
        <f aca="false">IF(A418="","",COUNTIFS(Socios!$A:$A,A418,Socios!$K:$K,"SIM"))</f>
        <v/>
      </c>
      <c r="S418" s="27"/>
      <c r="T418" s="5"/>
    </row>
    <row r="419" customFormat="false" ht="15" hidden="false" customHeight="false" outlineLevel="0" collapsed="false">
      <c r="A419" s="27"/>
      <c r="B419" s="5"/>
      <c r="C419" s="18"/>
      <c r="D419" s="5"/>
      <c r="E419" s="35"/>
      <c r="F419" s="5"/>
      <c r="G419" s="5"/>
      <c r="H419" s="5"/>
      <c r="I419" s="14"/>
      <c r="J419" s="14"/>
      <c r="K419" s="28" t="str">
        <f aca="false">IF(A419="","",COUNTIF(Contratos!$A:$A,A419))</f>
        <v/>
      </c>
      <c r="L419" s="39" t="str">
        <f aca="false">IF(A419="","",SUMIFS(Contratos!$D:$D,Contratos!$A:$A,A419)+SUMIFS(Contratos!$N:$N,Contratos!$A:$A,A419))</f>
        <v/>
      </c>
      <c r="M419" s="39" t="str">
        <f aca="false">IF(A419="","",SUMIFS(Pagamentos!$C:$C,Pagamentos!$A:$A,A419,Pagamentos!$F:$F,"Empenho"))</f>
        <v/>
      </c>
      <c r="N419" s="39" t="str">
        <f aca="false">IF(A419="","",SUMIFS(Pagamentos!$C:$C,Pagamentos!$A:$A,A419,Pagamentos!$F:$F,"Pagamento"))</f>
        <v/>
      </c>
      <c r="O419" s="37" t="str">
        <f aca="false">IF(OR(A419="",E419="",L419="",L419=0),"",E419/L419)</f>
        <v/>
      </c>
      <c r="P419" s="28" t="str">
        <f aca="false">IF(A419="","",COUNTIFS(Sancoes!$A:$A,A419,Sancoes!$B:$B,"&lt;&gt;Não consta"))</f>
        <v/>
      </c>
      <c r="Q419" s="28" t="str">
        <f aca="false">IF(A419="","",COUNTIF(Socios!$A:$A,A419))</f>
        <v/>
      </c>
      <c r="R419" s="28" t="str">
        <f aca="false">IF(A419="","",COUNTIFS(Socios!$A:$A,A419,Socios!$K:$K,"SIM"))</f>
        <v/>
      </c>
      <c r="S419" s="27"/>
      <c r="T419" s="5"/>
    </row>
    <row r="420" customFormat="false" ht="15" hidden="false" customHeight="false" outlineLevel="0" collapsed="false">
      <c r="A420" s="27"/>
      <c r="B420" s="5"/>
      <c r="C420" s="18"/>
      <c r="D420" s="5"/>
      <c r="E420" s="35"/>
      <c r="F420" s="5"/>
      <c r="G420" s="5"/>
      <c r="H420" s="5"/>
      <c r="I420" s="14"/>
      <c r="J420" s="14"/>
      <c r="K420" s="28" t="str">
        <f aca="false">IF(A420="","",COUNTIF(Contratos!$A:$A,A420))</f>
        <v/>
      </c>
      <c r="L420" s="39" t="str">
        <f aca="false">IF(A420="","",SUMIFS(Contratos!$D:$D,Contratos!$A:$A,A420)+SUMIFS(Contratos!$N:$N,Contratos!$A:$A,A420))</f>
        <v/>
      </c>
      <c r="M420" s="39" t="str">
        <f aca="false">IF(A420="","",SUMIFS(Pagamentos!$C:$C,Pagamentos!$A:$A,A420,Pagamentos!$F:$F,"Empenho"))</f>
        <v/>
      </c>
      <c r="N420" s="39" t="str">
        <f aca="false">IF(A420="","",SUMIFS(Pagamentos!$C:$C,Pagamentos!$A:$A,A420,Pagamentos!$F:$F,"Pagamento"))</f>
        <v/>
      </c>
      <c r="O420" s="37" t="str">
        <f aca="false">IF(OR(A420="",E420="",L420="",L420=0),"",E420/L420)</f>
        <v/>
      </c>
      <c r="P420" s="28" t="str">
        <f aca="false">IF(A420="","",COUNTIFS(Sancoes!$A:$A,A420,Sancoes!$B:$B,"&lt;&gt;Não consta"))</f>
        <v/>
      </c>
      <c r="Q420" s="28" t="str">
        <f aca="false">IF(A420="","",COUNTIF(Socios!$A:$A,A420))</f>
        <v/>
      </c>
      <c r="R420" s="28" t="str">
        <f aca="false">IF(A420="","",COUNTIFS(Socios!$A:$A,A420,Socios!$K:$K,"SIM"))</f>
        <v/>
      </c>
      <c r="S420" s="27"/>
      <c r="T420" s="5"/>
    </row>
    <row r="421" customFormat="false" ht="15" hidden="false" customHeight="false" outlineLevel="0" collapsed="false">
      <c r="A421" s="27"/>
      <c r="B421" s="5"/>
      <c r="C421" s="18"/>
      <c r="D421" s="5"/>
      <c r="E421" s="35"/>
      <c r="F421" s="5"/>
      <c r="G421" s="5"/>
      <c r="H421" s="5"/>
      <c r="I421" s="14"/>
      <c r="J421" s="14"/>
      <c r="K421" s="28" t="str">
        <f aca="false">IF(A421="","",COUNTIF(Contratos!$A:$A,A421))</f>
        <v/>
      </c>
      <c r="L421" s="39" t="str">
        <f aca="false">IF(A421="","",SUMIFS(Contratos!$D:$D,Contratos!$A:$A,A421)+SUMIFS(Contratos!$N:$N,Contratos!$A:$A,A421))</f>
        <v/>
      </c>
      <c r="M421" s="39" t="str">
        <f aca="false">IF(A421="","",SUMIFS(Pagamentos!$C:$C,Pagamentos!$A:$A,A421,Pagamentos!$F:$F,"Empenho"))</f>
        <v/>
      </c>
      <c r="N421" s="39" t="str">
        <f aca="false">IF(A421="","",SUMIFS(Pagamentos!$C:$C,Pagamentos!$A:$A,A421,Pagamentos!$F:$F,"Pagamento"))</f>
        <v/>
      </c>
      <c r="O421" s="37" t="str">
        <f aca="false">IF(OR(A421="",E421="",L421="",L421=0),"",E421/L421)</f>
        <v/>
      </c>
      <c r="P421" s="28" t="str">
        <f aca="false">IF(A421="","",COUNTIFS(Sancoes!$A:$A,A421,Sancoes!$B:$B,"&lt;&gt;Não consta"))</f>
        <v/>
      </c>
      <c r="Q421" s="28" t="str">
        <f aca="false">IF(A421="","",COUNTIF(Socios!$A:$A,A421))</f>
        <v/>
      </c>
      <c r="R421" s="28" t="str">
        <f aca="false">IF(A421="","",COUNTIFS(Socios!$A:$A,A421,Socios!$K:$K,"SIM"))</f>
        <v/>
      </c>
      <c r="S421" s="27"/>
      <c r="T421" s="5"/>
    </row>
    <row r="422" customFormat="false" ht="15" hidden="false" customHeight="false" outlineLevel="0" collapsed="false">
      <c r="A422" s="27"/>
      <c r="B422" s="5"/>
      <c r="C422" s="18"/>
      <c r="D422" s="5"/>
      <c r="E422" s="35"/>
      <c r="F422" s="5"/>
      <c r="G422" s="5"/>
      <c r="H422" s="5"/>
      <c r="I422" s="14"/>
      <c r="J422" s="14"/>
      <c r="K422" s="28" t="str">
        <f aca="false">IF(A422="","",COUNTIF(Contratos!$A:$A,A422))</f>
        <v/>
      </c>
      <c r="L422" s="39" t="str">
        <f aca="false">IF(A422="","",SUMIFS(Contratos!$D:$D,Contratos!$A:$A,A422)+SUMIFS(Contratos!$N:$N,Contratos!$A:$A,A422))</f>
        <v/>
      </c>
      <c r="M422" s="39" t="str">
        <f aca="false">IF(A422="","",SUMIFS(Pagamentos!$C:$C,Pagamentos!$A:$A,A422,Pagamentos!$F:$F,"Empenho"))</f>
        <v/>
      </c>
      <c r="N422" s="39" t="str">
        <f aca="false">IF(A422="","",SUMIFS(Pagamentos!$C:$C,Pagamentos!$A:$A,A422,Pagamentos!$F:$F,"Pagamento"))</f>
        <v/>
      </c>
      <c r="O422" s="37" t="str">
        <f aca="false">IF(OR(A422="",E422="",L422="",L422=0),"",E422/L422)</f>
        <v/>
      </c>
      <c r="P422" s="28" t="str">
        <f aca="false">IF(A422="","",COUNTIFS(Sancoes!$A:$A,A422,Sancoes!$B:$B,"&lt;&gt;Não consta"))</f>
        <v/>
      </c>
      <c r="Q422" s="28" t="str">
        <f aca="false">IF(A422="","",COUNTIF(Socios!$A:$A,A422))</f>
        <v/>
      </c>
      <c r="R422" s="28" t="str">
        <f aca="false">IF(A422="","",COUNTIFS(Socios!$A:$A,A422,Socios!$K:$K,"SIM"))</f>
        <v/>
      </c>
      <c r="S422" s="27"/>
      <c r="T422" s="5"/>
    </row>
    <row r="423" customFormat="false" ht="15" hidden="false" customHeight="false" outlineLevel="0" collapsed="false">
      <c r="A423" s="27"/>
      <c r="B423" s="5"/>
      <c r="C423" s="18"/>
      <c r="D423" s="5"/>
      <c r="E423" s="35"/>
      <c r="F423" s="5"/>
      <c r="G423" s="5"/>
      <c r="H423" s="5"/>
      <c r="I423" s="14"/>
      <c r="J423" s="14"/>
      <c r="K423" s="28" t="str">
        <f aca="false">IF(A423="","",COUNTIF(Contratos!$A:$A,A423))</f>
        <v/>
      </c>
      <c r="L423" s="39" t="str">
        <f aca="false">IF(A423="","",SUMIFS(Contratos!$D:$D,Contratos!$A:$A,A423)+SUMIFS(Contratos!$N:$N,Contratos!$A:$A,A423))</f>
        <v/>
      </c>
      <c r="M423" s="39" t="str">
        <f aca="false">IF(A423="","",SUMIFS(Pagamentos!$C:$C,Pagamentos!$A:$A,A423,Pagamentos!$F:$F,"Empenho"))</f>
        <v/>
      </c>
      <c r="N423" s="39" t="str">
        <f aca="false">IF(A423="","",SUMIFS(Pagamentos!$C:$C,Pagamentos!$A:$A,A423,Pagamentos!$F:$F,"Pagamento"))</f>
        <v/>
      </c>
      <c r="O423" s="37" t="str">
        <f aca="false">IF(OR(A423="",E423="",L423="",L423=0),"",E423/L423)</f>
        <v/>
      </c>
      <c r="P423" s="28" t="str">
        <f aca="false">IF(A423="","",COUNTIFS(Sancoes!$A:$A,A423,Sancoes!$B:$B,"&lt;&gt;Não consta"))</f>
        <v/>
      </c>
      <c r="Q423" s="28" t="str">
        <f aca="false">IF(A423="","",COUNTIF(Socios!$A:$A,A423))</f>
        <v/>
      </c>
      <c r="R423" s="28" t="str">
        <f aca="false">IF(A423="","",COUNTIFS(Socios!$A:$A,A423,Socios!$K:$K,"SIM"))</f>
        <v/>
      </c>
      <c r="S423" s="27"/>
      <c r="T423" s="5"/>
    </row>
    <row r="424" customFormat="false" ht="15" hidden="false" customHeight="false" outlineLevel="0" collapsed="false">
      <c r="A424" s="27"/>
      <c r="B424" s="5"/>
      <c r="C424" s="18"/>
      <c r="D424" s="5"/>
      <c r="E424" s="35"/>
      <c r="F424" s="5"/>
      <c r="G424" s="5"/>
      <c r="H424" s="5"/>
      <c r="I424" s="14"/>
      <c r="J424" s="14"/>
      <c r="K424" s="28" t="str">
        <f aca="false">IF(A424="","",COUNTIF(Contratos!$A:$A,A424))</f>
        <v/>
      </c>
      <c r="L424" s="39" t="str">
        <f aca="false">IF(A424="","",SUMIFS(Contratos!$D:$D,Contratos!$A:$A,A424)+SUMIFS(Contratos!$N:$N,Contratos!$A:$A,A424))</f>
        <v/>
      </c>
      <c r="M424" s="39" t="str">
        <f aca="false">IF(A424="","",SUMIFS(Pagamentos!$C:$C,Pagamentos!$A:$A,A424,Pagamentos!$F:$F,"Empenho"))</f>
        <v/>
      </c>
      <c r="N424" s="39" t="str">
        <f aca="false">IF(A424="","",SUMIFS(Pagamentos!$C:$C,Pagamentos!$A:$A,A424,Pagamentos!$F:$F,"Pagamento"))</f>
        <v/>
      </c>
      <c r="O424" s="37" t="str">
        <f aca="false">IF(OR(A424="",E424="",L424="",L424=0),"",E424/L424)</f>
        <v/>
      </c>
      <c r="P424" s="28" t="str">
        <f aca="false">IF(A424="","",COUNTIFS(Sancoes!$A:$A,A424,Sancoes!$B:$B,"&lt;&gt;Não consta"))</f>
        <v/>
      </c>
      <c r="Q424" s="28" t="str">
        <f aca="false">IF(A424="","",COUNTIF(Socios!$A:$A,A424))</f>
        <v/>
      </c>
      <c r="R424" s="28" t="str">
        <f aca="false">IF(A424="","",COUNTIFS(Socios!$A:$A,A424,Socios!$K:$K,"SIM"))</f>
        <v/>
      </c>
      <c r="S424" s="27"/>
      <c r="T424" s="5"/>
    </row>
    <row r="425" customFormat="false" ht="15" hidden="false" customHeight="false" outlineLevel="0" collapsed="false">
      <c r="A425" s="27"/>
      <c r="B425" s="5"/>
      <c r="C425" s="18"/>
      <c r="D425" s="5"/>
      <c r="E425" s="35"/>
      <c r="F425" s="5"/>
      <c r="G425" s="5"/>
      <c r="H425" s="5"/>
      <c r="I425" s="14"/>
      <c r="J425" s="14"/>
      <c r="K425" s="28" t="str">
        <f aca="false">IF(A425="","",COUNTIF(Contratos!$A:$A,A425))</f>
        <v/>
      </c>
      <c r="L425" s="39" t="str">
        <f aca="false">IF(A425="","",SUMIFS(Contratos!$D:$D,Contratos!$A:$A,A425)+SUMIFS(Contratos!$N:$N,Contratos!$A:$A,A425))</f>
        <v/>
      </c>
      <c r="M425" s="39" t="str">
        <f aca="false">IF(A425="","",SUMIFS(Pagamentos!$C:$C,Pagamentos!$A:$A,A425,Pagamentos!$F:$F,"Empenho"))</f>
        <v/>
      </c>
      <c r="N425" s="39" t="str">
        <f aca="false">IF(A425="","",SUMIFS(Pagamentos!$C:$C,Pagamentos!$A:$A,A425,Pagamentos!$F:$F,"Pagamento"))</f>
        <v/>
      </c>
      <c r="O425" s="37" t="str">
        <f aca="false">IF(OR(A425="",E425="",L425="",L425=0),"",E425/L425)</f>
        <v/>
      </c>
      <c r="P425" s="28" t="str">
        <f aca="false">IF(A425="","",COUNTIFS(Sancoes!$A:$A,A425,Sancoes!$B:$B,"&lt;&gt;Não consta"))</f>
        <v/>
      </c>
      <c r="Q425" s="28" t="str">
        <f aca="false">IF(A425="","",COUNTIF(Socios!$A:$A,A425))</f>
        <v/>
      </c>
      <c r="R425" s="28" t="str">
        <f aca="false">IF(A425="","",COUNTIFS(Socios!$A:$A,A425,Socios!$K:$K,"SIM"))</f>
        <v/>
      </c>
      <c r="S425" s="27"/>
      <c r="T425" s="5"/>
    </row>
    <row r="426" customFormat="false" ht="15" hidden="false" customHeight="false" outlineLevel="0" collapsed="false">
      <c r="A426" s="27"/>
      <c r="B426" s="5"/>
      <c r="C426" s="18"/>
      <c r="D426" s="5"/>
      <c r="E426" s="35"/>
      <c r="F426" s="5"/>
      <c r="G426" s="5"/>
      <c r="H426" s="5"/>
      <c r="I426" s="14"/>
      <c r="J426" s="14"/>
      <c r="K426" s="28" t="str">
        <f aca="false">IF(A426="","",COUNTIF(Contratos!$A:$A,A426))</f>
        <v/>
      </c>
      <c r="L426" s="39" t="str">
        <f aca="false">IF(A426="","",SUMIFS(Contratos!$D:$D,Contratos!$A:$A,A426)+SUMIFS(Contratos!$N:$N,Contratos!$A:$A,A426))</f>
        <v/>
      </c>
      <c r="M426" s="39" t="str">
        <f aca="false">IF(A426="","",SUMIFS(Pagamentos!$C:$C,Pagamentos!$A:$A,A426,Pagamentos!$F:$F,"Empenho"))</f>
        <v/>
      </c>
      <c r="N426" s="39" t="str">
        <f aca="false">IF(A426="","",SUMIFS(Pagamentos!$C:$C,Pagamentos!$A:$A,A426,Pagamentos!$F:$F,"Pagamento"))</f>
        <v/>
      </c>
      <c r="O426" s="37" t="str">
        <f aca="false">IF(OR(A426="",E426="",L426="",L426=0),"",E426/L426)</f>
        <v/>
      </c>
      <c r="P426" s="28" t="str">
        <f aca="false">IF(A426="","",COUNTIFS(Sancoes!$A:$A,A426,Sancoes!$B:$B,"&lt;&gt;Não consta"))</f>
        <v/>
      </c>
      <c r="Q426" s="28" t="str">
        <f aca="false">IF(A426="","",COUNTIF(Socios!$A:$A,A426))</f>
        <v/>
      </c>
      <c r="R426" s="28" t="str">
        <f aca="false">IF(A426="","",COUNTIFS(Socios!$A:$A,A426,Socios!$K:$K,"SIM"))</f>
        <v/>
      </c>
      <c r="S426" s="27"/>
      <c r="T426" s="5"/>
    </row>
    <row r="427" customFormat="false" ht="15" hidden="false" customHeight="false" outlineLevel="0" collapsed="false">
      <c r="A427" s="27"/>
      <c r="B427" s="5"/>
      <c r="C427" s="18"/>
      <c r="D427" s="5"/>
      <c r="E427" s="35"/>
      <c r="F427" s="5"/>
      <c r="G427" s="5"/>
      <c r="H427" s="5"/>
      <c r="I427" s="14"/>
      <c r="J427" s="14"/>
      <c r="K427" s="28" t="str">
        <f aca="false">IF(A427="","",COUNTIF(Contratos!$A:$A,A427))</f>
        <v/>
      </c>
      <c r="L427" s="39" t="str">
        <f aca="false">IF(A427="","",SUMIFS(Contratos!$D:$D,Contratos!$A:$A,A427)+SUMIFS(Contratos!$N:$N,Contratos!$A:$A,A427))</f>
        <v/>
      </c>
      <c r="M427" s="39" t="str">
        <f aca="false">IF(A427="","",SUMIFS(Pagamentos!$C:$C,Pagamentos!$A:$A,A427,Pagamentos!$F:$F,"Empenho"))</f>
        <v/>
      </c>
      <c r="N427" s="39" t="str">
        <f aca="false">IF(A427="","",SUMIFS(Pagamentos!$C:$C,Pagamentos!$A:$A,A427,Pagamentos!$F:$F,"Pagamento"))</f>
        <v/>
      </c>
      <c r="O427" s="37" t="str">
        <f aca="false">IF(OR(A427="",E427="",L427="",L427=0),"",E427/L427)</f>
        <v/>
      </c>
      <c r="P427" s="28" t="str">
        <f aca="false">IF(A427="","",COUNTIFS(Sancoes!$A:$A,A427,Sancoes!$B:$B,"&lt;&gt;Não consta"))</f>
        <v/>
      </c>
      <c r="Q427" s="28" t="str">
        <f aca="false">IF(A427="","",COUNTIF(Socios!$A:$A,A427))</f>
        <v/>
      </c>
      <c r="R427" s="28" t="str">
        <f aca="false">IF(A427="","",COUNTIFS(Socios!$A:$A,A427,Socios!$K:$K,"SIM"))</f>
        <v/>
      </c>
      <c r="S427" s="27"/>
      <c r="T427" s="5"/>
    </row>
    <row r="428" customFormat="false" ht="15" hidden="false" customHeight="false" outlineLevel="0" collapsed="false">
      <c r="A428" s="27"/>
      <c r="B428" s="5"/>
      <c r="C428" s="18"/>
      <c r="D428" s="5"/>
      <c r="E428" s="35"/>
      <c r="F428" s="5"/>
      <c r="G428" s="5"/>
      <c r="H428" s="5"/>
      <c r="I428" s="14"/>
      <c r="J428" s="14"/>
      <c r="K428" s="28" t="str">
        <f aca="false">IF(A428="","",COUNTIF(Contratos!$A:$A,A428))</f>
        <v/>
      </c>
      <c r="L428" s="39" t="str">
        <f aca="false">IF(A428="","",SUMIFS(Contratos!$D:$D,Contratos!$A:$A,A428)+SUMIFS(Contratos!$N:$N,Contratos!$A:$A,A428))</f>
        <v/>
      </c>
      <c r="M428" s="39" t="str">
        <f aca="false">IF(A428="","",SUMIFS(Pagamentos!$C:$C,Pagamentos!$A:$A,A428,Pagamentos!$F:$F,"Empenho"))</f>
        <v/>
      </c>
      <c r="N428" s="39" t="str">
        <f aca="false">IF(A428="","",SUMIFS(Pagamentos!$C:$C,Pagamentos!$A:$A,A428,Pagamentos!$F:$F,"Pagamento"))</f>
        <v/>
      </c>
      <c r="O428" s="37" t="str">
        <f aca="false">IF(OR(A428="",E428="",L428="",L428=0),"",E428/L428)</f>
        <v/>
      </c>
      <c r="P428" s="28" t="str">
        <f aca="false">IF(A428="","",COUNTIFS(Sancoes!$A:$A,A428,Sancoes!$B:$B,"&lt;&gt;Não consta"))</f>
        <v/>
      </c>
      <c r="Q428" s="28" t="str">
        <f aca="false">IF(A428="","",COUNTIF(Socios!$A:$A,A428))</f>
        <v/>
      </c>
      <c r="R428" s="28" t="str">
        <f aca="false">IF(A428="","",COUNTIFS(Socios!$A:$A,A428,Socios!$K:$K,"SIM"))</f>
        <v/>
      </c>
      <c r="S428" s="27"/>
      <c r="T428" s="5"/>
    </row>
    <row r="429" customFormat="false" ht="15" hidden="false" customHeight="false" outlineLevel="0" collapsed="false">
      <c r="A429" s="27"/>
      <c r="B429" s="5"/>
      <c r="C429" s="18"/>
      <c r="D429" s="5"/>
      <c r="E429" s="35"/>
      <c r="F429" s="5"/>
      <c r="G429" s="5"/>
      <c r="H429" s="5"/>
      <c r="I429" s="14"/>
      <c r="J429" s="14"/>
      <c r="K429" s="28" t="str">
        <f aca="false">IF(A429="","",COUNTIF(Contratos!$A:$A,A429))</f>
        <v/>
      </c>
      <c r="L429" s="39" t="str">
        <f aca="false">IF(A429="","",SUMIFS(Contratos!$D:$D,Contratos!$A:$A,A429)+SUMIFS(Contratos!$N:$N,Contratos!$A:$A,A429))</f>
        <v/>
      </c>
      <c r="M429" s="39" t="str">
        <f aca="false">IF(A429="","",SUMIFS(Pagamentos!$C:$C,Pagamentos!$A:$A,A429,Pagamentos!$F:$F,"Empenho"))</f>
        <v/>
      </c>
      <c r="N429" s="39" t="str">
        <f aca="false">IF(A429="","",SUMIFS(Pagamentos!$C:$C,Pagamentos!$A:$A,A429,Pagamentos!$F:$F,"Pagamento"))</f>
        <v/>
      </c>
      <c r="O429" s="37" t="str">
        <f aca="false">IF(OR(A429="",E429="",L429="",L429=0),"",E429/L429)</f>
        <v/>
      </c>
      <c r="P429" s="28" t="str">
        <f aca="false">IF(A429="","",COUNTIFS(Sancoes!$A:$A,A429,Sancoes!$B:$B,"&lt;&gt;Não consta"))</f>
        <v/>
      </c>
      <c r="Q429" s="28" t="str">
        <f aca="false">IF(A429="","",COUNTIF(Socios!$A:$A,A429))</f>
        <v/>
      </c>
      <c r="R429" s="28" t="str">
        <f aca="false">IF(A429="","",COUNTIFS(Socios!$A:$A,A429,Socios!$K:$K,"SIM"))</f>
        <v/>
      </c>
      <c r="S429" s="27"/>
      <c r="T429" s="5"/>
    </row>
    <row r="430" customFormat="false" ht="15" hidden="false" customHeight="false" outlineLevel="0" collapsed="false">
      <c r="A430" s="27"/>
      <c r="B430" s="5"/>
      <c r="C430" s="18"/>
      <c r="D430" s="5"/>
      <c r="E430" s="35"/>
      <c r="F430" s="5"/>
      <c r="G430" s="5"/>
      <c r="H430" s="5"/>
      <c r="I430" s="14"/>
      <c r="J430" s="14"/>
      <c r="K430" s="28" t="str">
        <f aca="false">IF(A430="","",COUNTIF(Contratos!$A:$A,A430))</f>
        <v/>
      </c>
      <c r="L430" s="39" t="str">
        <f aca="false">IF(A430="","",SUMIFS(Contratos!$D:$D,Contratos!$A:$A,A430)+SUMIFS(Contratos!$N:$N,Contratos!$A:$A,A430))</f>
        <v/>
      </c>
      <c r="M430" s="39" t="str">
        <f aca="false">IF(A430="","",SUMIFS(Pagamentos!$C:$C,Pagamentos!$A:$A,A430,Pagamentos!$F:$F,"Empenho"))</f>
        <v/>
      </c>
      <c r="N430" s="39" t="str">
        <f aca="false">IF(A430="","",SUMIFS(Pagamentos!$C:$C,Pagamentos!$A:$A,A430,Pagamentos!$F:$F,"Pagamento"))</f>
        <v/>
      </c>
      <c r="O430" s="37" t="str">
        <f aca="false">IF(OR(A430="",E430="",L430="",L430=0),"",E430/L430)</f>
        <v/>
      </c>
      <c r="P430" s="28" t="str">
        <f aca="false">IF(A430="","",COUNTIFS(Sancoes!$A:$A,A430,Sancoes!$B:$B,"&lt;&gt;Não consta"))</f>
        <v/>
      </c>
      <c r="Q430" s="28" t="str">
        <f aca="false">IF(A430="","",COUNTIF(Socios!$A:$A,A430))</f>
        <v/>
      </c>
      <c r="R430" s="28" t="str">
        <f aca="false">IF(A430="","",COUNTIFS(Socios!$A:$A,A430,Socios!$K:$K,"SIM"))</f>
        <v/>
      </c>
      <c r="S430" s="27"/>
      <c r="T430" s="5"/>
    </row>
    <row r="431" customFormat="false" ht="15" hidden="false" customHeight="false" outlineLevel="0" collapsed="false">
      <c r="A431" s="27"/>
      <c r="B431" s="5"/>
      <c r="C431" s="18"/>
      <c r="D431" s="5"/>
      <c r="E431" s="35"/>
      <c r="F431" s="5"/>
      <c r="G431" s="5"/>
      <c r="H431" s="5"/>
      <c r="I431" s="14"/>
      <c r="J431" s="14"/>
      <c r="K431" s="28" t="str">
        <f aca="false">IF(A431="","",COUNTIF(Contratos!$A:$A,A431))</f>
        <v/>
      </c>
      <c r="L431" s="39" t="str">
        <f aca="false">IF(A431="","",SUMIFS(Contratos!$D:$D,Contratos!$A:$A,A431)+SUMIFS(Contratos!$N:$N,Contratos!$A:$A,A431))</f>
        <v/>
      </c>
      <c r="M431" s="39" t="str">
        <f aca="false">IF(A431="","",SUMIFS(Pagamentos!$C:$C,Pagamentos!$A:$A,A431,Pagamentos!$F:$F,"Empenho"))</f>
        <v/>
      </c>
      <c r="N431" s="39" t="str">
        <f aca="false">IF(A431="","",SUMIFS(Pagamentos!$C:$C,Pagamentos!$A:$A,A431,Pagamentos!$F:$F,"Pagamento"))</f>
        <v/>
      </c>
      <c r="O431" s="37" t="str">
        <f aca="false">IF(OR(A431="",E431="",L431="",L431=0),"",E431/L431)</f>
        <v/>
      </c>
      <c r="P431" s="28" t="str">
        <f aca="false">IF(A431="","",COUNTIFS(Sancoes!$A:$A,A431,Sancoes!$B:$B,"&lt;&gt;Não consta"))</f>
        <v/>
      </c>
      <c r="Q431" s="28" t="str">
        <f aca="false">IF(A431="","",COUNTIF(Socios!$A:$A,A431))</f>
        <v/>
      </c>
      <c r="R431" s="28" t="str">
        <f aca="false">IF(A431="","",COUNTIFS(Socios!$A:$A,A431,Socios!$K:$K,"SIM"))</f>
        <v/>
      </c>
      <c r="S431" s="27"/>
      <c r="T431" s="5"/>
    </row>
    <row r="432" customFormat="false" ht="15" hidden="false" customHeight="false" outlineLevel="0" collapsed="false">
      <c r="A432" s="27"/>
      <c r="B432" s="5"/>
      <c r="C432" s="18"/>
      <c r="D432" s="5"/>
      <c r="E432" s="35"/>
      <c r="F432" s="5"/>
      <c r="G432" s="5"/>
      <c r="H432" s="5"/>
      <c r="I432" s="14"/>
      <c r="J432" s="14"/>
      <c r="K432" s="28" t="str">
        <f aca="false">IF(A432="","",COUNTIF(Contratos!$A:$A,A432))</f>
        <v/>
      </c>
      <c r="L432" s="39" t="str">
        <f aca="false">IF(A432="","",SUMIFS(Contratos!$D:$D,Contratos!$A:$A,A432)+SUMIFS(Contratos!$N:$N,Contratos!$A:$A,A432))</f>
        <v/>
      </c>
      <c r="M432" s="39" t="str">
        <f aca="false">IF(A432="","",SUMIFS(Pagamentos!$C:$C,Pagamentos!$A:$A,A432,Pagamentos!$F:$F,"Empenho"))</f>
        <v/>
      </c>
      <c r="N432" s="39" t="str">
        <f aca="false">IF(A432="","",SUMIFS(Pagamentos!$C:$C,Pagamentos!$A:$A,A432,Pagamentos!$F:$F,"Pagamento"))</f>
        <v/>
      </c>
      <c r="O432" s="37" t="str">
        <f aca="false">IF(OR(A432="",E432="",L432="",L432=0),"",E432/L432)</f>
        <v/>
      </c>
      <c r="P432" s="28" t="str">
        <f aca="false">IF(A432="","",COUNTIFS(Sancoes!$A:$A,A432,Sancoes!$B:$B,"&lt;&gt;Não consta"))</f>
        <v/>
      </c>
      <c r="Q432" s="28" t="str">
        <f aca="false">IF(A432="","",COUNTIF(Socios!$A:$A,A432))</f>
        <v/>
      </c>
      <c r="R432" s="28" t="str">
        <f aca="false">IF(A432="","",COUNTIFS(Socios!$A:$A,A432,Socios!$K:$K,"SIM"))</f>
        <v/>
      </c>
      <c r="S432" s="27"/>
      <c r="T432" s="5"/>
    </row>
    <row r="433" customFormat="false" ht="15" hidden="false" customHeight="false" outlineLevel="0" collapsed="false">
      <c r="A433" s="27"/>
      <c r="B433" s="5"/>
      <c r="C433" s="18"/>
      <c r="D433" s="5"/>
      <c r="E433" s="35"/>
      <c r="F433" s="5"/>
      <c r="G433" s="5"/>
      <c r="H433" s="5"/>
      <c r="I433" s="14"/>
      <c r="J433" s="14"/>
      <c r="K433" s="28" t="str">
        <f aca="false">IF(A433="","",COUNTIF(Contratos!$A:$A,A433))</f>
        <v/>
      </c>
      <c r="L433" s="39" t="str">
        <f aca="false">IF(A433="","",SUMIFS(Contratos!$D:$D,Contratos!$A:$A,A433)+SUMIFS(Contratos!$N:$N,Contratos!$A:$A,A433))</f>
        <v/>
      </c>
      <c r="M433" s="39" t="str">
        <f aca="false">IF(A433="","",SUMIFS(Pagamentos!$C:$C,Pagamentos!$A:$A,A433,Pagamentos!$F:$F,"Empenho"))</f>
        <v/>
      </c>
      <c r="N433" s="39" t="str">
        <f aca="false">IF(A433="","",SUMIFS(Pagamentos!$C:$C,Pagamentos!$A:$A,A433,Pagamentos!$F:$F,"Pagamento"))</f>
        <v/>
      </c>
      <c r="O433" s="37" t="str">
        <f aca="false">IF(OR(A433="",E433="",L433="",L433=0),"",E433/L433)</f>
        <v/>
      </c>
      <c r="P433" s="28" t="str">
        <f aca="false">IF(A433="","",COUNTIFS(Sancoes!$A:$A,A433,Sancoes!$B:$B,"&lt;&gt;Não consta"))</f>
        <v/>
      </c>
      <c r="Q433" s="28" t="str">
        <f aca="false">IF(A433="","",COUNTIF(Socios!$A:$A,A433))</f>
        <v/>
      </c>
      <c r="R433" s="28" t="str">
        <f aca="false">IF(A433="","",COUNTIFS(Socios!$A:$A,A433,Socios!$K:$K,"SIM"))</f>
        <v/>
      </c>
      <c r="S433" s="27"/>
      <c r="T433" s="5"/>
    </row>
    <row r="434" customFormat="false" ht="15" hidden="false" customHeight="false" outlineLevel="0" collapsed="false">
      <c r="A434" s="27"/>
      <c r="B434" s="5"/>
      <c r="C434" s="18"/>
      <c r="D434" s="5"/>
      <c r="E434" s="35"/>
      <c r="F434" s="5"/>
      <c r="G434" s="5"/>
      <c r="H434" s="5"/>
      <c r="I434" s="14"/>
      <c r="J434" s="14"/>
      <c r="K434" s="28" t="str">
        <f aca="false">IF(A434="","",COUNTIF(Contratos!$A:$A,A434))</f>
        <v/>
      </c>
      <c r="L434" s="39" t="str">
        <f aca="false">IF(A434="","",SUMIFS(Contratos!$D:$D,Contratos!$A:$A,A434)+SUMIFS(Contratos!$N:$N,Contratos!$A:$A,A434))</f>
        <v/>
      </c>
      <c r="M434" s="39" t="str">
        <f aca="false">IF(A434="","",SUMIFS(Pagamentos!$C:$C,Pagamentos!$A:$A,A434,Pagamentos!$F:$F,"Empenho"))</f>
        <v/>
      </c>
      <c r="N434" s="39" t="str">
        <f aca="false">IF(A434="","",SUMIFS(Pagamentos!$C:$C,Pagamentos!$A:$A,A434,Pagamentos!$F:$F,"Pagamento"))</f>
        <v/>
      </c>
      <c r="O434" s="37" t="str">
        <f aca="false">IF(OR(A434="",E434="",L434="",L434=0),"",E434/L434)</f>
        <v/>
      </c>
      <c r="P434" s="28" t="str">
        <f aca="false">IF(A434="","",COUNTIFS(Sancoes!$A:$A,A434,Sancoes!$B:$B,"&lt;&gt;Não consta"))</f>
        <v/>
      </c>
      <c r="Q434" s="28" t="str">
        <f aca="false">IF(A434="","",COUNTIF(Socios!$A:$A,A434))</f>
        <v/>
      </c>
      <c r="R434" s="28" t="str">
        <f aca="false">IF(A434="","",COUNTIFS(Socios!$A:$A,A434,Socios!$K:$K,"SIM"))</f>
        <v/>
      </c>
      <c r="S434" s="27"/>
      <c r="T434" s="5"/>
    </row>
    <row r="435" customFormat="false" ht="15" hidden="false" customHeight="false" outlineLevel="0" collapsed="false">
      <c r="A435" s="27"/>
      <c r="B435" s="5"/>
      <c r="C435" s="18"/>
      <c r="D435" s="5"/>
      <c r="E435" s="35"/>
      <c r="F435" s="5"/>
      <c r="G435" s="5"/>
      <c r="H435" s="5"/>
      <c r="I435" s="14"/>
      <c r="J435" s="14"/>
      <c r="K435" s="28" t="str">
        <f aca="false">IF(A435="","",COUNTIF(Contratos!$A:$A,A435))</f>
        <v/>
      </c>
      <c r="L435" s="39" t="str">
        <f aca="false">IF(A435="","",SUMIFS(Contratos!$D:$D,Contratos!$A:$A,A435)+SUMIFS(Contratos!$N:$N,Contratos!$A:$A,A435))</f>
        <v/>
      </c>
      <c r="M435" s="39" t="str">
        <f aca="false">IF(A435="","",SUMIFS(Pagamentos!$C:$C,Pagamentos!$A:$A,A435,Pagamentos!$F:$F,"Empenho"))</f>
        <v/>
      </c>
      <c r="N435" s="39" t="str">
        <f aca="false">IF(A435="","",SUMIFS(Pagamentos!$C:$C,Pagamentos!$A:$A,A435,Pagamentos!$F:$F,"Pagamento"))</f>
        <v/>
      </c>
      <c r="O435" s="37" t="str">
        <f aca="false">IF(OR(A435="",E435="",L435="",L435=0),"",E435/L435)</f>
        <v/>
      </c>
      <c r="P435" s="28" t="str">
        <f aca="false">IF(A435="","",COUNTIFS(Sancoes!$A:$A,A435,Sancoes!$B:$B,"&lt;&gt;Não consta"))</f>
        <v/>
      </c>
      <c r="Q435" s="28" t="str">
        <f aca="false">IF(A435="","",COUNTIF(Socios!$A:$A,A435))</f>
        <v/>
      </c>
      <c r="R435" s="28" t="str">
        <f aca="false">IF(A435="","",COUNTIFS(Socios!$A:$A,A435,Socios!$K:$K,"SIM"))</f>
        <v/>
      </c>
      <c r="S435" s="27"/>
      <c r="T435" s="5"/>
    </row>
    <row r="436" customFormat="false" ht="15" hidden="false" customHeight="false" outlineLevel="0" collapsed="false">
      <c r="A436" s="27"/>
      <c r="B436" s="5"/>
      <c r="C436" s="18"/>
      <c r="D436" s="5"/>
      <c r="E436" s="35"/>
      <c r="F436" s="5"/>
      <c r="G436" s="5"/>
      <c r="H436" s="5"/>
      <c r="I436" s="14"/>
      <c r="J436" s="14"/>
      <c r="K436" s="28" t="str">
        <f aca="false">IF(A436="","",COUNTIF(Contratos!$A:$A,A436))</f>
        <v/>
      </c>
      <c r="L436" s="39" t="str">
        <f aca="false">IF(A436="","",SUMIFS(Contratos!$D:$D,Contratos!$A:$A,A436)+SUMIFS(Contratos!$N:$N,Contratos!$A:$A,A436))</f>
        <v/>
      </c>
      <c r="M436" s="39" t="str">
        <f aca="false">IF(A436="","",SUMIFS(Pagamentos!$C:$C,Pagamentos!$A:$A,A436,Pagamentos!$F:$F,"Empenho"))</f>
        <v/>
      </c>
      <c r="N436" s="39" t="str">
        <f aca="false">IF(A436="","",SUMIFS(Pagamentos!$C:$C,Pagamentos!$A:$A,A436,Pagamentos!$F:$F,"Pagamento"))</f>
        <v/>
      </c>
      <c r="O436" s="37" t="str">
        <f aca="false">IF(OR(A436="",E436="",L436="",L436=0),"",E436/L436)</f>
        <v/>
      </c>
      <c r="P436" s="28" t="str">
        <f aca="false">IF(A436="","",COUNTIFS(Sancoes!$A:$A,A436,Sancoes!$B:$B,"&lt;&gt;Não consta"))</f>
        <v/>
      </c>
      <c r="Q436" s="28" t="str">
        <f aca="false">IF(A436="","",COUNTIF(Socios!$A:$A,A436))</f>
        <v/>
      </c>
      <c r="R436" s="28" t="str">
        <f aca="false">IF(A436="","",COUNTIFS(Socios!$A:$A,A436,Socios!$K:$K,"SIM"))</f>
        <v/>
      </c>
      <c r="S436" s="27"/>
      <c r="T436" s="5"/>
    </row>
    <row r="437" customFormat="false" ht="15" hidden="false" customHeight="false" outlineLevel="0" collapsed="false">
      <c r="A437" s="27"/>
      <c r="B437" s="5"/>
      <c r="C437" s="18"/>
      <c r="D437" s="5"/>
      <c r="E437" s="35"/>
      <c r="F437" s="5"/>
      <c r="G437" s="5"/>
      <c r="H437" s="5"/>
      <c r="I437" s="14"/>
      <c r="J437" s="14"/>
      <c r="K437" s="28" t="str">
        <f aca="false">IF(A437="","",COUNTIF(Contratos!$A:$A,A437))</f>
        <v/>
      </c>
      <c r="L437" s="39" t="str">
        <f aca="false">IF(A437="","",SUMIFS(Contratos!$D:$D,Contratos!$A:$A,A437)+SUMIFS(Contratos!$N:$N,Contratos!$A:$A,A437))</f>
        <v/>
      </c>
      <c r="M437" s="39" t="str">
        <f aca="false">IF(A437="","",SUMIFS(Pagamentos!$C:$C,Pagamentos!$A:$A,A437,Pagamentos!$F:$F,"Empenho"))</f>
        <v/>
      </c>
      <c r="N437" s="39" t="str">
        <f aca="false">IF(A437="","",SUMIFS(Pagamentos!$C:$C,Pagamentos!$A:$A,A437,Pagamentos!$F:$F,"Pagamento"))</f>
        <v/>
      </c>
      <c r="O437" s="37" t="str">
        <f aca="false">IF(OR(A437="",E437="",L437="",L437=0),"",E437/L437)</f>
        <v/>
      </c>
      <c r="P437" s="28" t="str">
        <f aca="false">IF(A437="","",COUNTIFS(Sancoes!$A:$A,A437,Sancoes!$B:$B,"&lt;&gt;Não consta"))</f>
        <v/>
      </c>
      <c r="Q437" s="28" t="str">
        <f aca="false">IF(A437="","",COUNTIF(Socios!$A:$A,A437))</f>
        <v/>
      </c>
      <c r="R437" s="28" t="str">
        <f aca="false">IF(A437="","",COUNTIFS(Socios!$A:$A,A437,Socios!$K:$K,"SIM"))</f>
        <v/>
      </c>
      <c r="S437" s="27"/>
      <c r="T437" s="5"/>
    </row>
    <row r="438" customFormat="false" ht="15" hidden="false" customHeight="false" outlineLevel="0" collapsed="false">
      <c r="A438" s="27"/>
      <c r="B438" s="5"/>
      <c r="C438" s="18"/>
      <c r="D438" s="5"/>
      <c r="E438" s="35"/>
      <c r="F438" s="5"/>
      <c r="G438" s="5"/>
      <c r="H438" s="5"/>
      <c r="I438" s="14"/>
      <c r="J438" s="14"/>
      <c r="K438" s="28" t="str">
        <f aca="false">IF(A438="","",COUNTIF(Contratos!$A:$A,A438))</f>
        <v/>
      </c>
      <c r="L438" s="39" t="str">
        <f aca="false">IF(A438="","",SUMIFS(Contratos!$D:$D,Contratos!$A:$A,A438)+SUMIFS(Contratos!$N:$N,Contratos!$A:$A,A438))</f>
        <v/>
      </c>
      <c r="M438" s="39" t="str">
        <f aca="false">IF(A438="","",SUMIFS(Pagamentos!$C:$C,Pagamentos!$A:$A,A438,Pagamentos!$F:$F,"Empenho"))</f>
        <v/>
      </c>
      <c r="N438" s="39" t="str">
        <f aca="false">IF(A438="","",SUMIFS(Pagamentos!$C:$C,Pagamentos!$A:$A,A438,Pagamentos!$F:$F,"Pagamento"))</f>
        <v/>
      </c>
      <c r="O438" s="37" t="str">
        <f aca="false">IF(OR(A438="",E438="",L438="",L438=0),"",E438/L438)</f>
        <v/>
      </c>
      <c r="P438" s="28" t="str">
        <f aca="false">IF(A438="","",COUNTIFS(Sancoes!$A:$A,A438,Sancoes!$B:$B,"&lt;&gt;Não consta"))</f>
        <v/>
      </c>
      <c r="Q438" s="28" t="str">
        <f aca="false">IF(A438="","",COUNTIF(Socios!$A:$A,A438))</f>
        <v/>
      </c>
      <c r="R438" s="28" t="str">
        <f aca="false">IF(A438="","",COUNTIFS(Socios!$A:$A,A438,Socios!$K:$K,"SIM"))</f>
        <v/>
      </c>
      <c r="S438" s="27"/>
      <c r="T438" s="5"/>
    </row>
    <row r="439" customFormat="false" ht="15" hidden="false" customHeight="false" outlineLevel="0" collapsed="false">
      <c r="A439" s="27"/>
      <c r="B439" s="5"/>
      <c r="C439" s="18"/>
      <c r="D439" s="5"/>
      <c r="E439" s="35"/>
      <c r="F439" s="5"/>
      <c r="G439" s="5"/>
      <c r="H439" s="5"/>
      <c r="I439" s="14"/>
      <c r="J439" s="14"/>
      <c r="K439" s="28" t="str">
        <f aca="false">IF(A439="","",COUNTIF(Contratos!$A:$A,A439))</f>
        <v/>
      </c>
      <c r="L439" s="39" t="str">
        <f aca="false">IF(A439="","",SUMIFS(Contratos!$D:$D,Contratos!$A:$A,A439)+SUMIFS(Contratos!$N:$N,Contratos!$A:$A,A439))</f>
        <v/>
      </c>
      <c r="M439" s="39" t="str">
        <f aca="false">IF(A439="","",SUMIFS(Pagamentos!$C:$C,Pagamentos!$A:$A,A439,Pagamentos!$F:$F,"Empenho"))</f>
        <v/>
      </c>
      <c r="N439" s="39" t="str">
        <f aca="false">IF(A439="","",SUMIFS(Pagamentos!$C:$C,Pagamentos!$A:$A,A439,Pagamentos!$F:$F,"Pagamento"))</f>
        <v/>
      </c>
      <c r="O439" s="37" t="str">
        <f aca="false">IF(OR(A439="",E439="",L439="",L439=0),"",E439/L439)</f>
        <v/>
      </c>
      <c r="P439" s="28" t="str">
        <f aca="false">IF(A439="","",COUNTIFS(Sancoes!$A:$A,A439,Sancoes!$B:$B,"&lt;&gt;Não consta"))</f>
        <v/>
      </c>
      <c r="Q439" s="28" t="str">
        <f aca="false">IF(A439="","",COUNTIF(Socios!$A:$A,A439))</f>
        <v/>
      </c>
      <c r="R439" s="28" t="str">
        <f aca="false">IF(A439="","",COUNTIFS(Socios!$A:$A,A439,Socios!$K:$K,"SIM"))</f>
        <v/>
      </c>
      <c r="S439" s="27"/>
      <c r="T439" s="5"/>
    </row>
    <row r="440" customFormat="false" ht="15" hidden="false" customHeight="false" outlineLevel="0" collapsed="false">
      <c r="A440" s="27"/>
      <c r="B440" s="5"/>
      <c r="C440" s="18"/>
      <c r="D440" s="5"/>
      <c r="E440" s="35"/>
      <c r="F440" s="5"/>
      <c r="G440" s="5"/>
      <c r="H440" s="5"/>
      <c r="I440" s="14"/>
      <c r="J440" s="14"/>
      <c r="K440" s="28" t="str">
        <f aca="false">IF(A440="","",COUNTIF(Contratos!$A:$A,A440))</f>
        <v/>
      </c>
      <c r="L440" s="39" t="str">
        <f aca="false">IF(A440="","",SUMIFS(Contratos!$D:$D,Contratos!$A:$A,A440)+SUMIFS(Contratos!$N:$N,Contratos!$A:$A,A440))</f>
        <v/>
      </c>
      <c r="M440" s="39" t="str">
        <f aca="false">IF(A440="","",SUMIFS(Pagamentos!$C:$C,Pagamentos!$A:$A,A440,Pagamentos!$F:$F,"Empenho"))</f>
        <v/>
      </c>
      <c r="N440" s="39" t="str">
        <f aca="false">IF(A440="","",SUMIFS(Pagamentos!$C:$C,Pagamentos!$A:$A,A440,Pagamentos!$F:$F,"Pagamento"))</f>
        <v/>
      </c>
      <c r="O440" s="37" t="str">
        <f aca="false">IF(OR(A440="",E440="",L440="",L440=0),"",E440/L440)</f>
        <v/>
      </c>
      <c r="P440" s="28" t="str">
        <f aca="false">IF(A440="","",COUNTIFS(Sancoes!$A:$A,A440,Sancoes!$B:$B,"&lt;&gt;Não consta"))</f>
        <v/>
      </c>
      <c r="Q440" s="28" t="str">
        <f aca="false">IF(A440="","",COUNTIF(Socios!$A:$A,A440))</f>
        <v/>
      </c>
      <c r="R440" s="28" t="str">
        <f aca="false">IF(A440="","",COUNTIFS(Socios!$A:$A,A440,Socios!$K:$K,"SIM"))</f>
        <v/>
      </c>
      <c r="S440" s="27"/>
      <c r="T440" s="5"/>
    </row>
    <row r="441" customFormat="false" ht="15" hidden="false" customHeight="false" outlineLevel="0" collapsed="false">
      <c r="A441" s="27"/>
      <c r="B441" s="5"/>
      <c r="C441" s="18"/>
      <c r="D441" s="5"/>
      <c r="E441" s="35"/>
      <c r="F441" s="5"/>
      <c r="G441" s="5"/>
      <c r="H441" s="5"/>
      <c r="I441" s="14"/>
      <c r="J441" s="14"/>
      <c r="K441" s="28" t="str">
        <f aca="false">IF(A441="","",COUNTIF(Contratos!$A:$A,A441))</f>
        <v/>
      </c>
      <c r="L441" s="39" t="str">
        <f aca="false">IF(A441="","",SUMIFS(Contratos!$D:$D,Contratos!$A:$A,A441)+SUMIFS(Contratos!$N:$N,Contratos!$A:$A,A441))</f>
        <v/>
      </c>
      <c r="M441" s="39" t="str">
        <f aca="false">IF(A441="","",SUMIFS(Pagamentos!$C:$C,Pagamentos!$A:$A,A441,Pagamentos!$F:$F,"Empenho"))</f>
        <v/>
      </c>
      <c r="N441" s="39" t="str">
        <f aca="false">IF(A441="","",SUMIFS(Pagamentos!$C:$C,Pagamentos!$A:$A,A441,Pagamentos!$F:$F,"Pagamento"))</f>
        <v/>
      </c>
      <c r="O441" s="37" t="str">
        <f aca="false">IF(OR(A441="",E441="",L441="",L441=0),"",E441/L441)</f>
        <v/>
      </c>
      <c r="P441" s="28" t="str">
        <f aca="false">IF(A441="","",COUNTIFS(Sancoes!$A:$A,A441,Sancoes!$B:$B,"&lt;&gt;Não consta"))</f>
        <v/>
      </c>
      <c r="Q441" s="28" t="str">
        <f aca="false">IF(A441="","",COUNTIF(Socios!$A:$A,A441))</f>
        <v/>
      </c>
      <c r="R441" s="28" t="str">
        <f aca="false">IF(A441="","",COUNTIFS(Socios!$A:$A,A441,Socios!$K:$K,"SIM"))</f>
        <v/>
      </c>
      <c r="S441" s="27"/>
      <c r="T441" s="5"/>
    </row>
    <row r="442" customFormat="false" ht="15" hidden="false" customHeight="false" outlineLevel="0" collapsed="false">
      <c r="A442" s="27"/>
      <c r="B442" s="5"/>
      <c r="C442" s="18"/>
      <c r="D442" s="5"/>
      <c r="E442" s="35"/>
      <c r="F442" s="5"/>
      <c r="G442" s="5"/>
      <c r="H442" s="5"/>
      <c r="I442" s="14"/>
      <c r="J442" s="14"/>
      <c r="K442" s="28" t="str">
        <f aca="false">IF(A442="","",COUNTIF(Contratos!$A:$A,A442))</f>
        <v/>
      </c>
      <c r="L442" s="39" t="str">
        <f aca="false">IF(A442="","",SUMIFS(Contratos!$D:$D,Contratos!$A:$A,A442)+SUMIFS(Contratos!$N:$N,Contratos!$A:$A,A442))</f>
        <v/>
      </c>
      <c r="M442" s="39" t="str">
        <f aca="false">IF(A442="","",SUMIFS(Pagamentos!$C:$C,Pagamentos!$A:$A,A442,Pagamentos!$F:$F,"Empenho"))</f>
        <v/>
      </c>
      <c r="N442" s="39" t="str">
        <f aca="false">IF(A442="","",SUMIFS(Pagamentos!$C:$C,Pagamentos!$A:$A,A442,Pagamentos!$F:$F,"Pagamento"))</f>
        <v/>
      </c>
      <c r="O442" s="37" t="str">
        <f aca="false">IF(OR(A442="",E442="",L442="",L442=0),"",E442/L442)</f>
        <v/>
      </c>
      <c r="P442" s="28" t="str">
        <f aca="false">IF(A442="","",COUNTIFS(Sancoes!$A:$A,A442,Sancoes!$B:$B,"&lt;&gt;Não consta"))</f>
        <v/>
      </c>
      <c r="Q442" s="28" t="str">
        <f aca="false">IF(A442="","",COUNTIF(Socios!$A:$A,A442))</f>
        <v/>
      </c>
      <c r="R442" s="28" t="str">
        <f aca="false">IF(A442="","",COUNTIFS(Socios!$A:$A,A442,Socios!$K:$K,"SIM"))</f>
        <v/>
      </c>
      <c r="S442" s="27"/>
      <c r="T442" s="5"/>
    </row>
    <row r="443" customFormat="false" ht="15" hidden="false" customHeight="false" outlineLevel="0" collapsed="false">
      <c r="A443" s="27"/>
      <c r="B443" s="5"/>
      <c r="C443" s="18"/>
      <c r="D443" s="5"/>
      <c r="E443" s="35"/>
      <c r="F443" s="5"/>
      <c r="G443" s="5"/>
      <c r="H443" s="5"/>
      <c r="I443" s="14"/>
      <c r="J443" s="14"/>
      <c r="K443" s="28" t="str">
        <f aca="false">IF(A443="","",COUNTIF(Contratos!$A:$A,A443))</f>
        <v/>
      </c>
      <c r="L443" s="39" t="str">
        <f aca="false">IF(A443="","",SUMIFS(Contratos!$D:$D,Contratos!$A:$A,A443)+SUMIFS(Contratos!$N:$N,Contratos!$A:$A,A443))</f>
        <v/>
      </c>
      <c r="M443" s="39" t="str">
        <f aca="false">IF(A443="","",SUMIFS(Pagamentos!$C:$C,Pagamentos!$A:$A,A443,Pagamentos!$F:$F,"Empenho"))</f>
        <v/>
      </c>
      <c r="N443" s="39" t="str">
        <f aca="false">IF(A443="","",SUMIFS(Pagamentos!$C:$C,Pagamentos!$A:$A,A443,Pagamentos!$F:$F,"Pagamento"))</f>
        <v/>
      </c>
      <c r="O443" s="37" t="str">
        <f aca="false">IF(OR(A443="",E443="",L443="",L443=0),"",E443/L443)</f>
        <v/>
      </c>
      <c r="P443" s="28" t="str">
        <f aca="false">IF(A443="","",COUNTIFS(Sancoes!$A:$A,A443,Sancoes!$B:$B,"&lt;&gt;Não consta"))</f>
        <v/>
      </c>
      <c r="Q443" s="28" t="str">
        <f aca="false">IF(A443="","",COUNTIF(Socios!$A:$A,A443))</f>
        <v/>
      </c>
      <c r="R443" s="28" t="str">
        <f aca="false">IF(A443="","",COUNTIFS(Socios!$A:$A,A443,Socios!$K:$K,"SIM"))</f>
        <v/>
      </c>
      <c r="S443" s="27"/>
      <c r="T443" s="5"/>
    </row>
    <row r="444" customFormat="false" ht="15" hidden="false" customHeight="false" outlineLevel="0" collapsed="false">
      <c r="A444" s="27"/>
      <c r="B444" s="5"/>
      <c r="C444" s="18"/>
      <c r="D444" s="5"/>
      <c r="E444" s="35"/>
      <c r="F444" s="5"/>
      <c r="G444" s="5"/>
      <c r="H444" s="5"/>
      <c r="I444" s="14"/>
      <c r="J444" s="14"/>
      <c r="K444" s="28" t="str">
        <f aca="false">IF(A444="","",COUNTIF(Contratos!$A:$A,A444))</f>
        <v/>
      </c>
      <c r="L444" s="39" t="str">
        <f aca="false">IF(A444="","",SUMIFS(Contratos!$D:$D,Contratos!$A:$A,A444)+SUMIFS(Contratos!$N:$N,Contratos!$A:$A,A444))</f>
        <v/>
      </c>
      <c r="M444" s="39" t="str">
        <f aca="false">IF(A444="","",SUMIFS(Pagamentos!$C:$C,Pagamentos!$A:$A,A444,Pagamentos!$F:$F,"Empenho"))</f>
        <v/>
      </c>
      <c r="N444" s="39" t="str">
        <f aca="false">IF(A444="","",SUMIFS(Pagamentos!$C:$C,Pagamentos!$A:$A,A444,Pagamentos!$F:$F,"Pagamento"))</f>
        <v/>
      </c>
      <c r="O444" s="37" t="str">
        <f aca="false">IF(OR(A444="",E444="",L444="",L444=0),"",E444/L444)</f>
        <v/>
      </c>
      <c r="P444" s="28" t="str">
        <f aca="false">IF(A444="","",COUNTIFS(Sancoes!$A:$A,A444,Sancoes!$B:$B,"&lt;&gt;Não consta"))</f>
        <v/>
      </c>
      <c r="Q444" s="28" t="str">
        <f aca="false">IF(A444="","",COUNTIF(Socios!$A:$A,A444))</f>
        <v/>
      </c>
      <c r="R444" s="28" t="str">
        <f aca="false">IF(A444="","",COUNTIFS(Socios!$A:$A,A444,Socios!$K:$K,"SIM"))</f>
        <v/>
      </c>
      <c r="S444" s="27"/>
      <c r="T444" s="5"/>
    </row>
    <row r="445" customFormat="false" ht="15" hidden="false" customHeight="false" outlineLevel="0" collapsed="false">
      <c r="A445" s="27"/>
      <c r="B445" s="5"/>
      <c r="C445" s="18"/>
      <c r="D445" s="5"/>
      <c r="E445" s="35"/>
      <c r="F445" s="5"/>
      <c r="G445" s="5"/>
      <c r="H445" s="5"/>
      <c r="I445" s="14"/>
      <c r="J445" s="14"/>
      <c r="K445" s="28" t="str">
        <f aca="false">IF(A445="","",COUNTIF(Contratos!$A:$A,A445))</f>
        <v/>
      </c>
      <c r="L445" s="39" t="str">
        <f aca="false">IF(A445="","",SUMIFS(Contratos!$D:$D,Contratos!$A:$A,A445)+SUMIFS(Contratos!$N:$N,Contratos!$A:$A,A445))</f>
        <v/>
      </c>
      <c r="M445" s="39" t="str">
        <f aca="false">IF(A445="","",SUMIFS(Pagamentos!$C:$C,Pagamentos!$A:$A,A445,Pagamentos!$F:$F,"Empenho"))</f>
        <v/>
      </c>
      <c r="N445" s="39" t="str">
        <f aca="false">IF(A445="","",SUMIFS(Pagamentos!$C:$C,Pagamentos!$A:$A,A445,Pagamentos!$F:$F,"Pagamento"))</f>
        <v/>
      </c>
      <c r="O445" s="37" t="str">
        <f aca="false">IF(OR(A445="",E445="",L445="",L445=0),"",E445/L445)</f>
        <v/>
      </c>
      <c r="P445" s="28" t="str">
        <f aca="false">IF(A445="","",COUNTIFS(Sancoes!$A:$A,A445,Sancoes!$B:$B,"&lt;&gt;Não consta"))</f>
        <v/>
      </c>
      <c r="Q445" s="28" t="str">
        <f aca="false">IF(A445="","",COUNTIF(Socios!$A:$A,A445))</f>
        <v/>
      </c>
      <c r="R445" s="28" t="str">
        <f aca="false">IF(A445="","",COUNTIFS(Socios!$A:$A,A445,Socios!$K:$K,"SIM"))</f>
        <v/>
      </c>
      <c r="S445" s="27"/>
      <c r="T445" s="5"/>
    </row>
    <row r="446" customFormat="false" ht="15" hidden="false" customHeight="false" outlineLevel="0" collapsed="false">
      <c r="A446" s="27"/>
      <c r="B446" s="5"/>
      <c r="C446" s="18"/>
      <c r="D446" s="5"/>
      <c r="E446" s="35"/>
      <c r="F446" s="5"/>
      <c r="G446" s="5"/>
      <c r="H446" s="5"/>
      <c r="I446" s="14"/>
      <c r="J446" s="14"/>
      <c r="K446" s="28" t="str">
        <f aca="false">IF(A446="","",COUNTIF(Contratos!$A:$A,A446))</f>
        <v/>
      </c>
      <c r="L446" s="39" t="str">
        <f aca="false">IF(A446="","",SUMIFS(Contratos!$D:$D,Contratos!$A:$A,A446)+SUMIFS(Contratos!$N:$N,Contratos!$A:$A,A446))</f>
        <v/>
      </c>
      <c r="M446" s="39" t="str">
        <f aca="false">IF(A446="","",SUMIFS(Pagamentos!$C:$C,Pagamentos!$A:$A,A446,Pagamentos!$F:$F,"Empenho"))</f>
        <v/>
      </c>
      <c r="N446" s="39" t="str">
        <f aca="false">IF(A446="","",SUMIFS(Pagamentos!$C:$C,Pagamentos!$A:$A,A446,Pagamentos!$F:$F,"Pagamento"))</f>
        <v/>
      </c>
      <c r="O446" s="37" t="str">
        <f aca="false">IF(OR(A446="",E446="",L446="",L446=0),"",E446/L446)</f>
        <v/>
      </c>
      <c r="P446" s="28" t="str">
        <f aca="false">IF(A446="","",COUNTIFS(Sancoes!$A:$A,A446,Sancoes!$B:$B,"&lt;&gt;Não consta"))</f>
        <v/>
      </c>
      <c r="Q446" s="28" t="str">
        <f aca="false">IF(A446="","",COUNTIF(Socios!$A:$A,A446))</f>
        <v/>
      </c>
      <c r="R446" s="28" t="str">
        <f aca="false">IF(A446="","",COUNTIFS(Socios!$A:$A,A446,Socios!$K:$K,"SIM"))</f>
        <v/>
      </c>
      <c r="S446" s="27"/>
      <c r="T446" s="5"/>
    </row>
    <row r="447" customFormat="false" ht="15" hidden="false" customHeight="false" outlineLevel="0" collapsed="false">
      <c r="A447" s="27"/>
      <c r="B447" s="5"/>
      <c r="C447" s="18"/>
      <c r="D447" s="5"/>
      <c r="E447" s="35"/>
      <c r="F447" s="5"/>
      <c r="G447" s="5"/>
      <c r="H447" s="5"/>
      <c r="I447" s="14"/>
      <c r="J447" s="14"/>
      <c r="K447" s="28" t="str">
        <f aca="false">IF(A447="","",COUNTIF(Contratos!$A:$A,A447))</f>
        <v/>
      </c>
      <c r="L447" s="39" t="str">
        <f aca="false">IF(A447="","",SUMIFS(Contratos!$D:$D,Contratos!$A:$A,A447)+SUMIFS(Contratos!$N:$N,Contratos!$A:$A,A447))</f>
        <v/>
      </c>
      <c r="M447" s="39" t="str">
        <f aca="false">IF(A447="","",SUMIFS(Pagamentos!$C:$C,Pagamentos!$A:$A,A447,Pagamentos!$F:$F,"Empenho"))</f>
        <v/>
      </c>
      <c r="N447" s="39" t="str">
        <f aca="false">IF(A447="","",SUMIFS(Pagamentos!$C:$C,Pagamentos!$A:$A,A447,Pagamentos!$F:$F,"Pagamento"))</f>
        <v/>
      </c>
      <c r="O447" s="37" t="str">
        <f aca="false">IF(OR(A447="",E447="",L447="",L447=0),"",E447/L447)</f>
        <v/>
      </c>
      <c r="P447" s="28" t="str">
        <f aca="false">IF(A447="","",COUNTIFS(Sancoes!$A:$A,A447,Sancoes!$B:$B,"&lt;&gt;Não consta"))</f>
        <v/>
      </c>
      <c r="Q447" s="28" t="str">
        <f aca="false">IF(A447="","",COUNTIF(Socios!$A:$A,A447))</f>
        <v/>
      </c>
      <c r="R447" s="28" t="str">
        <f aca="false">IF(A447="","",COUNTIFS(Socios!$A:$A,A447,Socios!$K:$K,"SIM"))</f>
        <v/>
      </c>
      <c r="S447" s="27"/>
      <c r="T447" s="5"/>
    </row>
    <row r="448" customFormat="false" ht="15" hidden="false" customHeight="false" outlineLevel="0" collapsed="false">
      <c r="A448" s="27"/>
      <c r="B448" s="5"/>
      <c r="C448" s="18"/>
      <c r="D448" s="5"/>
      <c r="E448" s="35"/>
      <c r="F448" s="5"/>
      <c r="G448" s="5"/>
      <c r="H448" s="5"/>
      <c r="I448" s="14"/>
      <c r="J448" s="14"/>
      <c r="K448" s="28" t="str">
        <f aca="false">IF(A448="","",COUNTIF(Contratos!$A:$A,A448))</f>
        <v/>
      </c>
      <c r="L448" s="39" t="str">
        <f aca="false">IF(A448="","",SUMIFS(Contratos!$D:$D,Contratos!$A:$A,A448)+SUMIFS(Contratos!$N:$N,Contratos!$A:$A,A448))</f>
        <v/>
      </c>
      <c r="M448" s="39" t="str">
        <f aca="false">IF(A448="","",SUMIFS(Pagamentos!$C:$C,Pagamentos!$A:$A,A448,Pagamentos!$F:$F,"Empenho"))</f>
        <v/>
      </c>
      <c r="N448" s="39" t="str">
        <f aca="false">IF(A448="","",SUMIFS(Pagamentos!$C:$C,Pagamentos!$A:$A,A448,Pagamentos!$F:$F,"Pagamento"))</f>
        <v/>
      </c>
      <c r="O448" s="37" t="str">
        <f aca="false">IF(OR(A448="",E448="",L448="",L448=0),"",E448/L448)</f>
        <v/>
      </c>
      <c r="P448" s="28" t="str">
        <f aca="false">IF(A448="","",COUNTIFS(Sancoes!$A:$A,A448,Sancoes!$B:$B,"&lt;&gt;Não consta"))</f>
        <v/>
      </c>
      <c r="Q448" s="28" t="str">
        <f aca="false">IF(A448="","",COUNTIF(Socios!$A:$A,A448))</f>
        <v/>
      </c>
      <c r="R448" s="28" t="str">
        <f aca="false">IF(A448="","",COUNTIFS(Socios!$A:$A,A448,Socios!$K:$K,"SIM"))</f>
        <v/>
      </c>
      <c r="S448" s="27"/>
      <c r="T448" s="5"/>
    </row>
    <row r="449" customFormat="false" ht="15" hidden="false" customHeight="false" outlineLevel="0" collapsed="false">
      <c r="A449" s="27"/>
      <c r="B449" s="5"/>
      <c r="C449" s="18"/>
      <c r="D449" s="5"/>
      <c r="E449" s="35"/>
      <c r="F449" s="5"/>
      <c r="G449" s="5"/>
      <c r="H449" s="5"/>
      <c r="I449" s="14"/>
      <c r="J449" s="14"/>
      <c r="K449" s="28" t="str">
        <f aca="false">IF(A449="","",COUNTIF(Contratos!$A:$A,A449))</f>
        <v/>
      </c>
      <c r="L449" s="39" t="str">
        <f aca="false">IF(A449="","",SUMIFS(Contratos!$D:$D,Contratos!$A:$A,A449)+SUMIFS(Contratos!$N:$N,Contratos!$A:$A,A449))</f>
        <v/>
      </c>
      <c r="M449" s="39" t="str">
        <f aca="false">IF(A449="","",SUMIFS(Pagamentos!$C:$C,Pagamentos!$A:$A,A449,Pagamentos!$F:$F,"Empenho"))</f>
        <v/>
      </c>
      <c r="N449" s="39" t="str">
        <f aca="false">IF(A449="","",SUMIFS(Pagamentos!$C:$C,Pagamentos!$A:$A,A449,Pagamentos!$F:$F,"Pagamento"))</f>
        <v/>
      </c>
      <c r="O449" s="37" t="str">
        <f aca="false">IF(OR(A449="",E449="",L449="",L449=0),"",E449/L449)</f>
        <v/>
      </c>
      <c r="P449" s="28" t="str">
        <f aca="false">IF(A449="","",COUNTIFS(Sancoes!$A:$A,A449,Sancoes!$B:$B,"&lt;&gt;Não consta"))</f>
        <v/>
      </c>
      <c r="Q449" s="28" t="str">
        <f aca="false">IF(A449="","",COUNTIF(Socios!$A:$A,A449))</f>
        <v/>
      </c>
      <c r="R449" s="28" t="str">
        <f aca="false">IF(A449="","",COUNTIFS(Socios!$A:$A,A449,Socios!$K:$K,"SIM"))</f>
        <v/>
      </c>
      <c r="S449" s="27"/>
      <c r="T449" s="5"/>
    </row>
    <row r="450" customFormat="false" ht="15" hidden="false" customHeight="false" outlineLevel="0" collapsed="false">
      <c r="A450" s="27"/>
      <c r="B450" s="5"/>
      <c r="C450" s="18"/>
      <c r="D450" s="5"/>
      <c r="E450" s="35"/>
      <c r="F450" s="5"/>
      <c r="G450" s="5"/>
      <c r="H450" s="5"/>
      <c r="I450" s="14"/>
      <c r="J450" s="14"/>
      <c r="K450" s="28" t="str">
        <f aca="false">IF(A450="","",COUNTIF(Contratos!$A:$A,A450))</f>
        <v/>
      </c>
      <c r="L450" s="39" t="str">
        <f aca="false">IF(A450="","",SUMIFS(Contratos!$D:$D,Contratos!$A:$A,A450)+SUMIFS(Contratos!$N:$N,Contratos!$A:$A,A450))</f>
        <v/>
      </c>
      <c r="M450" s="39" t="str">
        <f aca="false">IF(A450="","",SUMIFS(Pagamentos!$C:$C,Pagamentos!$A:$A,A450,Pagamentos!$F:$F,"Empenho"))</f>
        <v/>
      </c>
      <c r="N450" s="39" t="str">
        <f aca="false">IF(A450="","",SUMIFS(Pagamentos!$C:$C,Pagamentos!$A:$A,A450,Pagamentos!$F:$F,"Pagamento"))</f>
        <v/>
      </c>
      <c r="O450" s="37" t="str">
        <f aca="false">IF(OR(A450="",E450="",L450="",L450=0),"",E450/L450)</f>
        <v/>
      </c>
      <c r="P450" s="28" t="str">
        <f aca="false">IF(A450="","",COUNTIFS(Sancoes!$A:$A,A450,Sancoes!$B:$B,"&lt;&gt;Não consta"))</f>
        <v/>
      </c>
      <c r="Q450" s="28" t="str">
        <f aca="false">IF(A450="","",COUNTIF(Socios!$A:$A,A450))</f>
        <v/>
      </c>
      <c r="R450" s="28" t="str">
        <f aca="false">IF(A450="","",COUNTIFS(Socios!$A:$A,A450,Socios!$K:$K,"SIM"))</f>
        <v/>
      </c>
      <c r="S450" s="27"/>
      <c r="T450" s="5"/>
    </row>
    <row r="451" customFormat="false" ht="15" hidden="false" customHeight="false" outlineLevel="0" collapsed="false">
      <c r="A451" s="27"/>
      <c r="B451" s="5"/>
      <c r="C451" s="18"/>
      <c r="D451" s="5"/>
      <c r="E451" s="35"/>
      <c r="F451" s="5"/>
      <c r="G451" s="5"/>
      <c r="H451" s="5"/>
      <c r="I451" s="14"/>
      <c r="J451" s="14"/>
      <c r="K451" s="28" t="str">
        <f aca="false">IF(A451="","",COUNTIF(Contratos!$A:$A,A451))</f>
        <v/>
      </c>
      <c r="L451" s="39" t="str">
        <f aca="false">IF(A451="","",SUMIFS(Contratos!$D:$D,Contratos!$A:$A,A451)+SUMIFS(Contratos!$N:$N,Contratos!$A:$A,A451))</f>
        <v/>
      </c>
      <c r="M451" s="39" t="str">
        <f aca="false">IF(A451="","",SUMIFS(Pagamentos!$C:$C,Pagamentos!$A:$A,A451,Pagamentos!$F:$F,"Empenho"))</f>
        <v/>
      </c>
      <c r="N451" s="39" t="str">
        <f aca="false">IF(A451="","",SUMIFS(Pagamentos!$C:$C,Pagamentos!$A:$A,A451,Pagamentos!$F:$F,"Pagamento"))</f>
        <v/>
      </c>
      <c r="O451" s="37" t="str">
        <f aca="false">IF(OR(A451="",E451="",L451="",L451=0),"",E451/L451)</f>
        <v/>
      </c>
      <c r="P451" s="28" t="str">
        <f aca="false">IF(A451="","",COUNTIFS(Sancoes!$A:$A,A451,Sancoes!$B:$B,"&lt;&gt;Não consta"))</f>
        <v/>
      </c>
      <c r="Q451" s="28" t="str">
        <f aca="false">IF(A451="","",COUNTIF(Socios!$A:$A,A451))</f>
        <v/>
      </c>
      <c r="R451" s="28" t="str">
        <f aca="false">IF(A451="","",COUNTIFS(Socios!$A:$A,A451,Socios!$K:$K,"SIM"))</f>
        <v/>
      </c>
      <c r="S451" s="27"/>
      <c r="T451" s="5"/>
    </row>
    <row r="452" customFormat="false" ht="15" hidden="false" customHeight="false" outlineLevel="0" collapsed="false">
      <c r="A452" s="27"/>
      <c r="B452" s="5"/>
      <c r="C452" s="18"/>
      <c r="D452" s="5"/>
      <c r="E452" s="35"/>
      <c r="F452" s="5"/>
      <c r="G452" s="5"/>
      <c r="H452" s="5"/>
      <c r="I452" s="14"/>
      <c r="J452" s="14"/>
      <c r="K452" s="28" t="str">
        <f aca="false">IF(A452="","",COUNTIF(Contratos!$A:$A,A452))</f>
        <v/>
      </c>
      <c r="L452" s="39" t="str">
        <f aca="false">IF(A452="","",SUMIFS(Contratos!$D:$D,Contratos!$A:$A,A452)+SUMIFS(Contratos!$N:$N,Contratos!$A:$A,A452))</f>
        <v/>
      </c>
      <c r="M452" s="39" t="str">
        <f aca="false">IF(A452="","",SUMIFS(Pagamentos!$C:$C,Pagamentos!$A:$A,A452,Pagamentos!$F:$F,"Empenho"))</f>
        <v/>
      </c>
      <c r="N452" s="39" t="str">
        <f aca="false">IF(A452="","",SUMIFS(Pagamentos!$C:$C,Pagamentos!$A:$A,A452,Pagamentos!$F:$F,"Pagamento"))</f>
        <v/>
      </c>
      <c r="O452" s="37" t="str">
        <f aca="false">IF(OR(A452="",E452="",L452="",L452=0),"",E452/L452)</f>
        <v/>
      </c>
      <c r="P452" s="28" t="str">
        <f aca="false">IF(A452="","",COUNTIFS(Sancoes!$A:$A,A452,Sancoes!$B:$B,"&lt;&gt;Não consta"))</f>
        <v/>
      </c>
      <c r="Q452" s="28" t="str">
        <f aca="false">IF(A452="","",COUNTIF(Socios!$A:$A,A452))</f>
        <v/>
      </c>
      <c r="R452" s="28" t="str">
        <f aca="false">IF(A452="","",COUNTIFS(Socios!$A:$A,A452,Socios!$K:$K,"SIM"))</f>
        <v/>
      </c>
      <c r="S452" s="27"/>
      <c r="T452" s="5"/>
    </row>
    <row r="453" customFormat="false" ht="15" hidden="false" customHeight="false" outlineLevel="0" collapsed="false">
      <c r="A453" s="27"/>
      <c r="B453" s="5"/>
      <c r="C453" s="18"/>
      <c r="D453" s="5"/>
      <c r="E453" s="35"/>
      <c r="F453" s="5"/>
      <c r="G453" s="5"/>
      <c r="H453" s="5"/>
      <c r="I453" s="14"/>
      <c r="J453" s="14"/>
      <c r="K453" s="28" t="str">
        <f aca="false">IF(A453="","",COUNTIF(Contratos!$A:$A,A453))</f>
        <v/>
      </c>
      <c r="L453" s="39" t="str">
        <f aca="false">IF(A453="","",SUMIFS(Contratos!$D:$D,Contratos!$A:$A,A453)+SUMIFS(Contratos!$N:$N,Contratos!$A:$A,A453))</f>
        <v/>
      </c>
      <c r="M453" s="39" t="str">
        <f aca="false">IF(A453="","",SUMIFS(Pagamentos!$C:$C,Pagamentos!$A:$A,A453,Pagamentos!$F:$F,"Empenho"))</f>
        <v/>
      </c>
      <c r="N453" s="39" t="str">
        <f aca="false">IF(A453="","",SUMIFS(Pagamentos!$C:$C,Pagamentos!$A:$A,A453,Pagamentos!$F:$F,"Pagamento"))</f>
        <v/>
      </c>
      <c r="O453" s="37" t="str">
        <f aca="false">IF(OR(A453="",E453="",L453="",L453=0),"",E453/L453)</f>
        <v/>
      </c>
      <c r="P453" s="28" t="str">
        <f aca="false">IF(A453="","",COUNTIFS(Sancoes!$A:$A,A453,Sancoes!$B:$B,"&lt;&gt;Não consta"))</f>
        <v/>
      </c>
      <c r="Q453" s="28" t="str">
        <f aca="false">IF(A453="","",COUNTIF(Socios!$A:$A,A453))</f>
        <v/>
      </c>
      <c r="R453" s="28" t="str">
        <f aca="false">IF(A453="","",COUNTIFS(Socios!$A:$A,A453,Socios!$K:$K,"SIM"))</f>
        <v/>
      </c>
      <c r="S453" s="27"/>
      <c r="T453" s="5"/>
    </row>
    <row r="454" customFormat="false" ht="15" hidden="false" customHeight="false" outlineLevel="0" collapsed="false">
      <c r="A454" s="27"/>
      <c r="B454" s="5"/>
      <c r="C454" s="18"/>
      <c r="D454" s="5"/>
      <c r="E454" s="35"/>
      <c r="F454" s="5"/>
      <c r="G454" s="5"/>
      <c r="H454" s="5"/>
      <c r="I454" s="14"/>
      <c r="J454" s="14"/>
      <c r="K454" s="28" t="str">
        <f aca="false">IF(A454="","",COUNTIF(Contratos!$A:$A,A454))</f>
        <v/>
      </c>
      <c r="L454" s="39" t="str">
        <f aca="false">IF(A454="","",SUMIFS(Contratos!$D:$D,Contratos!$A:$A,A454)+SUMIFS(Contratos!$N:$N,Contratos!$A:$A,A454))</f>
        <v/>
      </c>
      <c r="M454" s="39" t="str">
        <f aca="false">IF(A454="","",SUMIFS(Pagamentos!$C:$C,Pagamentos!$A:$A,A454,Pagamentos!$F:$F,"Empenho"))</f>
        <v/>
      </c>
      <c r="N454" s="39" t="str">
        <f aca="false">IF(A454="","",SUMIFS(Pagamentos!$C:$C,Pagamentos!$A:$A,A454,Pagamentos!$F:$F,"Pagamento"))</f>
        <v/>
      </c>
      <c r="O454" s="37" t="str">
        <f aca="false">IF(OR(A454="",E454="",L454="",L454=0),"",E454/L454)</f>
        <v/>
      </c>
      <c r="P454" s="28" t="str">
        <f aca="false">IF(A454="","",COUNTIFS(Sancoes!$A:$A,A454,Sancoes!$B:$B,"&lt;&gt;Não consta"))</f>
        <v/>
      </c>
      <c r="Q454" s="28" t="str">
        <f aca="false">IF(A454="","",COUNTIF(Socios!$A:$A,A454))</f>
        <v/>
      </c>
      <c r="R454" s="28" t="str">
        <f aca="false">IF(A454="","",COUNTIFS(Socios!$A:$A,A454,Socios!$K:$K,"SIM"))</f>
        <v/>
      </c>
      <c r="S454" s="27"/>
      <c r="T454" s="5"/>
    </row>
    <row r="455" customFormat="false" ht="15" hidden="false" customHeight="false" outlineLevel="0" collapsed="false">
      <c r="A455" s="27"/>
      <c r="B455" s="5"/>
      <c r="C455" s="18"/>
      <c r="D455" s="5"/>
      <c r="E455" s="35"/>
      <c r="F455" s="5"/>
      <c r="G455" s="5"/>
      <c r="H455" s="5"/>
      <c r="I455" s="14"/>
      <c r="J455" s="14"/>
      <c r="K455" s="28" t="str">
        <f aca="false">IF(A455="","",COUNTIF(Contratos!$A:$A,A455))</f>
        <v/>
      </c>
      <c r="L455" s="39" t="str">
        <f aca="false">IF(A455="","",SUMIFS(Contratos!$D:$D,Contratos!$A:$A,A455)+SUMIFS(Contratos!$N:$N,Contratos!$A:$A,A455))</f>
        <v/>
      </c>
      <c r="M455" s="39" t="str">
        <f aca="false">IF(A455="","",SUMIFS(Pagamentos!$C:$C,Pagamentos!$A:$A,A455,Pagamentos!$F:$F,"Empenho"))</f>
        <v/>
      </c>
      <c r="N455" s="39" t="str">
        <f aca="false">IF(A455="","",SUMIFS(Pagamentos!$C:$C,Pagamentos!$A:$A,A455,Pagamentos!$F:$F,"Pagamento"))</f>
        <v/>
      </c>
      <c r="O455" s="37" t="str">
        <f aca="false">IF(OR(A455="",E455="",L455="",L455=0),"",E455/L455)</f>
        <v/>
      </c>
      <c r="P455" s="28" t="str">
        <f aca="false">IF(A455="","",COUNTIFS(Sancoes!$A:$A,A455,Sancoes!$B:$B,"&lt;&gt;Não consta"))</f>
        <v/>
      </c>
      <c r="Q455" s="28" t="str">
        <f aca="false">IF(A455="","",COUNTIF(Socios!$A:$A,A455))</f>
        <v/>
      </c>
      <c r="R455" s="28" t="str">
        <f aca="false">IF(A455="","",COUNTIFS(Socios!$A:$A,A455,Socios!$K:$K,"SIM"))</f>
        <v/>
      </c>
      <c r="S455" s="27"/>
      <c r="T455" s="5"/>
    </row>
    <row r="456" customFormat="false" ht="15" hidden="false" customHeight="false" outlineLevel="0" collapsed="false">
      <c r="A456" s="27"/>
      <c r="B456" s="5"/>
      <c r="C456" s="18"/>
      <c r="D456" s="5"/>
      <c r="E456" s="35"/>
      <c r="F456" s="5"/>
      <c r="G456" s="5"/>
      <c r="H456" s="5"/>
      <c r="I456" s="14"/>
      <c r="J456" s="14"/>
      <c r="K456" s="28" t="str">
        <f aca="false">IF(A456="","",COUNTIF(Contratos!$A:$A,A456))</f>
        <v/>
      </c>
      <c r="L456" s="39" t="str">
        <f aca="false">IF(A456="","",SUMIFS(Contratos!$D:$D,Contratos!$A:$A,A456)+SUMIFS(Contratos!$N:$N,Contratos!$A:$A,A456))</f>
        <v/>
      </c>
      <c r="M456" s="39" t="str">
        <f aca="false">IF(A456="","",SUMIFS(Pagamentos!$C:$C,Pagamentos!$A:$A,A456,Pagamentos!$F:$F,"Empenho"))</f>
        <v/>
      </c>
      <c r="N456" s="39" t="str">
        <f aca="false">IF(A456="","",SUMIFS(Pagamentos!$C:$C,Pagamentos!$A:$A,A456,Pagamentos!$F:$F,"Pagamento"))</f>
        <v/>
      </c>
      <c r="O456" s="37" t="str">
        <f aca="false">IF(OR(A456="",E456="",L456="",L456=0),"",E456/L456)</f>
        <v/>
      </c>
      <c r="P456" s="28" t="str">
        <f aca="false">IF(A456="","",COUNTIFS(Sancoes!$A:$A,A456,Sancoes!$B:$B,"&lt;&gt;Não consta"))</f>
        <v/>
      </c>
      <c r="Q456" s="28" t="str">
        <f aca="false">IF(A456="","",COUNTIF(Socios!$A:$A,A456))</f>
        <v/>
      </c>
      <c r="R456" s="28" t="str">
        <f aca="false">IF(A456="","",COUNTIFS(Socios!$A:$A,A456,Socios!$K:$K,"SIM"))</f>
        <v/>
      </c>
      <c r="S456" s="27"/>
      <c r="T456" s="5"/>
    </row>
    <row r="457" customFormat="false" ht="15" hidden="false" customHeight="false" outlineLevel="0" collapsed="false">
      <c r="A457" s="27"/>
      <c r="B457" s="5"/>
      <c r="C457" s="18"/>
      <c r="D457" s="5"/>
      <c r="E457" s="35"/>
      <c r="F457" s="5"/>
      <c r="G457" s="5"/>
      <c r="H457" s="5"/>
      <c r="I457" s="14"/>
      <c r="J457" s="14"/>
      <c r="K457" s="28" t="str">
        <f aca="false">IF(A457="","",COUNTIF(Contratos!$A:$A,A457))</f>
        <v/>
      </c>
      <c r="L457" s="39" t="str">
        <f aca="false">IF(A457="","",SUMIFS(Contratos!$D:$D,Contratos!$A:$A,A457)+SUMIFS(Contratos!$N:$N,Contratos!$A:$A,A457))</f>
        <v/>
      </c>
      <c r="M457" s="39" t="str">
        <f aca="false">IF(A457="","",SUMIFS(Pagamentos!$C:$C,Pagamentos!$A:$A,A457,Pagamentos!$F:$F,"Empenho"))</f>
        <v/>
      </c>
      <c r="N457" s="39" t="str">
        <f aca="false">IF(A457="","",SUMIFS(Pagamentos!$C:$C,Pagamentos!$A:$A,A457,Pagamentos!$F:$F,"Pagamento"))</f>
        <v/>
      </c>
      <c r="O457" s="37" t="str">
        <f aca="false">IF(OR(A457="",E457="",L457="",L457=0),"",E457/L457)</f>
        <v/>
      </c>
      <c r="P457" s="28" t="str">
        <f aca="false">IF(A457="","",COUNTIFS(Sancoes!$A:$A,A457,Sancoes!$B:$B,"&lt;&gt;Não consta"))</f>
        <v/>
      </c>
      <c r="Q457" s="28" t="str">
        <f aca="false">IF(A457="","",COUNTIF(Socios!$A:$A,A457))</f>
        <v/>
      </c>
      <c r="R457" s="28" t="str">
        <f aca="false">IF(A457="","",COUNTIFS(Socios!$A:$A,A457,Socios!$K:$K,"SIM"))</f>
        <v/>
      </c>
      <c r="S457" s="27"/>
      <c r="T457" s="5"/>
    </row>
    <row r="458" customFormat="false" ht="15" hidden="false" customHeight="false" outlineLevel="0" collapsed="false">
      <c r="A458" s="27"/>
      <c r="B458" s="5"/>
      <c r="C458" s="18"/>
      <c r="D458" s="5"/>
      <c r="E458" s="35"/>
      <c r="F458" s="5"/>
      <c r="G458" s="5"/>
      <c r="H458" s="5"/>
      <c r="I458" s="14"/>
      <c r="J458" s="14"/>
      <c r="K458" s="28" t="str">
        <f aca="false">IF(A458="","",COUNTIF(Contratos!$A:$A,A458))</f>
        <v/>
      </c>
      <c r="L458" s="39" t="str">
        <f aca="false">IF(A458="","",SUMIFS(Contratos!$D:$D,Contratos!$A:$A,A458)+SUMIFS(Contratos!$N:$N,Contratos!$A:$A,A458))</f>
        <v/>
      </c>
      <c r="M458" s="39" t="str">
        <f aca="false">IF(A458="","",SUMIFS(Pagamentos!$C:$C,Pagamentos!$A:$A,A458,Pagamentos!$F:$F,"Empenho"))</f>
        <v/>
      </c>
      <c r="N458" s="39" t="str">
        <f aca="false">IF(A458="","",SUMIFS(Pagamentos!$C:$C,Pagamentos!$A:$A,A458,Pagamentos!$F:$F,"Pagamento"))</f>
        <v/>
      </c>
      <c r="O458" s="37" t="str">
        <f aca="false">IF(OR(A458="",E458="",L458="",L458=0),"",E458/L458)</f>
        <v/>
      </c>
      <c r="P458" s="28" t="str">
        <f aca="false">IF(A458="","",COUNTIFS(Sancoes!$A:$A,A458,Sancoes!$B:$B,"&lt;&gt;Não consta"))</f>
        <v/>
      </c>
      <c r="Q458" s="28" t="str">
        <f aca="false">IF(A458="","",COUNTIF(Socios!$A:$A,A458))</f>
        <v/>
      </c>
      <c r="R458" s="28" t="str">
        <f aca="false">IF(A458="","",COUNTIFS(Socios!$A:$A,A458,Socios!$K:$K,"SIM"))</f>
        <v/>
      </c>
      <c r="S458" s="27"/>
      <c r="T458" s="5"/>
    </row>
    <row r="459" customFormat="false" ht="15" hidden="false" customHeight="false" outlineLevel="0" collapsed="false">
      <c r="A459" s="27"/>
      <c r="B459" s="5"/>
      <c r="C459" s="18"/>
      <c r="D459" s="5"/>
      <c r="E459" s="35"/>
      <c r="F459" s="5"/>
      <c r="G459" s="5"/>
      <c r="H459" s="5"/>
      <c r="I459" s="14"/>
      <c r="J459" s="14"/>
      <c r="K459" s="28" t="str">
        <f aca="false">IF(A459="","",COUNTIF(Contratos!$A:$A,A459))</f>
        <v/>
      </c>
      <c r="L459" s="39" t="str">
        <f aca="false">IF(A459="","",SUMIFS(Contratos!$D:$D,Contratos!$A:$A,A459)+SUMIFS(Contratos!$N:$N,Contratos!$A:$A,A459))</f>
        <v/>
      </c>
      <c r="M459" s="39" t="str">
        <f aca="false">IF(A459="","",SUMIFS(Pagamentos!$C:$C,Pagamentos!$A:$A,A459,Pagamentos!$F:$F,"Empenho"))</f>
        <v/>
      </c>
      <c r="N459" s="39" t="str">
        <f aca="false">IF(A459="","",SUMIFS(Pagamentos!$C:$C,Pagamentos!$A:$A,A459,Pagamentos!$F:$F,"Pagamento"))</f>
        <v/>
      </c>
      <c r="O459" s="37" t="str">
        <f aca="false">IF(OR(A459="",E459="",L459="",L459=0),"",E459/L459)</f>
        <v/>
      </c>
      <c r="P459" s="28" t="str">
        <f aca="false">IF(A459="","",COUNTIFS(Sancoes!$A:$A,A459,Sancoes!$B:$B,"&lt;&gt;Não consta"))</f>
        <v/>
      </c>
      <c r="Q459" s="28" t="str">
        <f aca="false">IF(A459="","",COUNTIF(Socios!$A:$A,A459))</f>
        <v/>
      </c>
      <c r="R459" s="28" t="str">
        <f aca="false">IF(A459="","",COUNTIFS(Socios!$A:$A,A459,Socios!$K:$K,"SIM"))</f>
        <v/>
      </c>
      <c r="S459" s="27"/>
      <c r="T459" s="5"/>
    </row>
    <row r="460" customFormat="false" ht="15" hidden="false" customHeight="false" outlineLevel="0" collapsed="false">
      <c r="A460" s="27"/>
      <c r="B460" s="5"/>
      <c r="C460" s="18"/>
      <c r="D460" s="5"/>
      <c r="E460" s="35"/>
      <c r="F460" s="5"/>
      <c r="G460" s="5"/>
      <c r="H460" s="5"/>
      <c r="I460" s="14"/>
      <c r="J460" s="14"/>
      <c r="K460" s="28" t="str">
        <f aca="false">IF(A460="","",COUNTIF(Contratos!$A:$A,A460))</f>
        <v/>
      </c>
      <c r="L460" s="39" t="str">
        <f aca="false">IF(A460="","",SUMIFS(Contratos!$D:$D,Contratos!$A:$A,A460)+SUMIFS(Contratos!$N:$N,Contratos!$A:$A,A460))</f>
        <v/>
      </c>
      <c r="M460" s="39" t="str">
        <f aca="false">IF(A460="","",SUMIFS(Pagamentos!$C:$C,Pagamentos!$A:$A,A460,Pagamentos!$F:$F,"Empenho"))</f>
        <v/>
      </c>
      <c r="N460" s="39" t="str">
        <f aca="false">IF(A460="","",SUMIFS(Pagamentos!$C:$C,Pagamentos!$A:$A,A460,Pagamentos!$F:$F,"Pagamento"))</f>
        <v/>
      </c>
      <c r="O460" s="37" t="str">
        <f aca="false">IF(OR(A460="",E460="",L460="",L460=0),"",E460/L460)</f>
        <v/>
      </c>
      <c r="P460" s="28" t="str">
        <f aca="false">IF(A460="","",COUNTIFS(Sancoes!$A:$A,A460,Sancoes!$B:$B,"&lt;&gt;Não consta"))</f>
        <v/>
      </c>
      <c r="Q460" s="28" t="str">
        <f aca="false">IF(A460="","",COUNTIF(Socios!$A:$A,A460))</f>
        <v/>
      </c>
      <c r="R460" s="28" t="str">
        <f aca="false">IF(A460="","",COUNTIFS(Socios!$A:$A,A460,Socios!$K:$K,"SIM"))</f>
        <v/>
      </c>
      <c r="S460" s="27"/>
      <c r="T460" s="5"/>
    </row>
    <row r="461" customFormat="false" ht="15" hidden="false" customHeight="false" outlineLevel="0" collapsed="false">
      <c r="A461" s="27"/>
      <c r="B461" s="5"/>
      <c r="C461" s="18"/>
      <c r="D461" s="5"/>
      <c r="E461" s="35"/>
      <c r="F461" s="5"/>
      <c r="G461" s="5"/>
      <c r="H461" s="5"/>
      <c r="I461" s="14"/>
      <c r="J461" s="14"/>
      <c r="K461" s="28" t="str">
        <f aca="false">IF(A461="","",COUNTIF(Contratos!$A:$A,A461))</f>
        <v/>
      </c>
      <c r="L461" s="39" t="str">
        <f aca="false">IF(A461="","",SUMIFS(Contratos!$D:$D,Contratos!$A:$A,A461)+SUMIFS(Contratos!$N:$N,Contratos!$A:$A,A461))</f>
        <v/>
      </c>
      <c r="M461" s="39" t="str">
        <f aca="false">IF(A461="","",SUMIFS(Pagamentos!$C:$C,Pagamentos!$A:$A,A461,Pagamentos!$F:$F,"Empenho"))</f>
        <v/>
      </c>
      <c r="N461" s="39" t="str">
        <f aca="false">IF(A461="","",SUMIFS(Pagamentos!$C:$C,Pagamentos!$A:$A,A461,Pagamentos!$F:$F,"Pagamento"))</f>
        <v/>
      </c>
      <c r="O461" s="37" t="str">
        <f aca="false">IF(OR(A461="",E461="",L461="",L461=0),"",E461/L461)</f>
        <v/>
      </c>
      <c r="P461" s="28" t="str">
        <f aca="false">IF(A461="","",COUNTIFS(Sancoes!$A:$A,A461,Sancoes!$B:$B,"&lt;&gt;Não consta"))</f>
        <v/>
      </c>
      <c r="Q461" s="28" t="str">
        <f aca="false">IF(A461="","",COUNTIF(Socios!$A:$A,A461))</f>
        <v/>
      </c>
      <c r="R461" s="28" t="str">
        <f aca="false">IF(A461="","",COUNTIFS(Socios!$A:$A,A461,Socios!$K:$K,"SIM"))</f>
        <v/>
      </c>
      <c r="S461" s="27"/>
      <c r="T461" s="5"/>
    </row>
    <row r="462" customFormat="false" ht="15" hidden="false" customHeight="false" outlineLevel="0" collapsed="false">
      <c r="A462" s="27"/>
      <c r="B462" s="5"/>
      <c r="C462" s="18"/>
      <c r="D462" s="5"/>
      <c r="E462" s="35"/>
      <c r="F462" s="5"/>
      <c r="G462" s="5"/>
      <c r="H462" s="5"/>
      <c r="I462" s="14"/>
      <c r="J462" s="14"/>
      <c r="K462" s="28" t="str">
        <f aca="false">IF(A462="","",COUNTIF(Contratos!$A:$A,A462))</f>
        <v/>
      </c>
      <c r="L462" s="39" t="str">
        <f aca="false">IF(A462="","",SUMIFS(Contratos!$D:$D,Contratos!$A:$A,A462)+SUMIFS(Contratos!$N:$N,Contratos!$A:$A,A462))</f>
        <v/>
      </c>
      <c r="M462" s="39" t="str">
        <f aca="false">IF(A462="","",SUMIFS(Pagamentos!$C:$C,Pagamentos!$A:$A,A462,Pagamentos!$F:$F,"Empenho"))</f>
        <v/>
      </c>
      <c r="N462" s="39" t="str">
        <f aca="false">IF(A462="","",SUMIFS(Pagamentos!$C:$C,Pagamentos!$A:$A,A462,Pagamentos!$F:$F,"Pagamento"))</f>
        <v/>
      </c>
      <c r="O462" s="37" t="str">
        <f aca="false">IF(OR(A462="",E462="",L462="",L462=0),"",E462/L462)</f>
        <v/>
      </c>
      <c r="P462" s="28" t="str">
        <f aca="false">IF(A462="","",COUNTIFS(Sancoes!$A:$A,A462,Sancoes!$B:$B,"&lt;&gt;Não consta"))</f>
        <v/>
      </c>
      <c r="Q462" s="28" t="str">
        <f aca="false">IF(A462="","",COUNTIF(Socios!$A:$A,A462))</f>
        <v/>
      </c>
      <c r="R462" s="28" t="str">
        <f aca="false">IF(A462="","",COUNTIFS(Socios!$A:$A,A462,Socios!$K:$K,"SIM"))</f>
        <v/>
      </c>
      <c r="S462" s="27"/>
      <c r="T462" s="5"/>
    </row>
    <row r="463" customFormat="false" ht="15" hidden="false" customHeight="false" outlineLevel="0" collapsed="false">
      <c r="A463" s="27"/>
      <c r="B463" s="5"/>
      <c r="C463" s="18"/>
      <c r="D463" s="5"/>
      <c r="E463" s="35"/>
      <c r="F463" s="5"/>
      <c r="G463" s="5"/>
      <c r="H463" s="5"/>
      <c r="I463" s="14"/>
      <c r="J463" s="14"/>
      <c r="K463" s="28" t="str">
        <f aca="false">IF(A463="","",COUNTIF(Contratos!$A:$A,A463))</f>
        <v/>
      </c>
      <c r="L463" s="39" t="str">
        <f aca="false">IF(A463="","",SUMIFS(Contratos!$D:$D,Contratos!$A:$A,A463)+SUMIFS(Contratos!$N:$N,Contratos!$A:$A,A463))</f>
        <v/>
      </c>
      <c r="M463" s="39" t="str">
        <f aca="false">IF(A463="","",SUMIFS(Pagamentos!$C:$C,Pagamentos!$A:$A,A463,Pagamentos!$F:$F,"Empenho"))</f>
        <v/>
      </c>
      <c r="N463" s="39" t="str">
        <f aca="false">IF(A463="","",SUMIFS(Pagamentos!$C:$C,Pagamentos!$A:$A,A463,Pagamentos!$F:$F,"Pagamento"))</f>
        <v/>
      </c>
      <c r="O463" s="37" t="str">
        <f aca="false">IF(OR(A463="",E463="",L463="",L463=0),"",E463/L463)</f>
        <v/>
      </c>
      <c r="P463" s="28" t="str">
        <f aca="false">IF(A463="","",COUNTIFS(Sancoes!$A:$A,A463,Sancoes!$B:$B,"&lt;&gt;Não consta"))</f>
        <v/>
      </c>
      <c r="Q463" s="28" t="str">
        <f aca="false">IF(A463="","",COUNTIF(Socios!$A:$A,A463))</f>
        <v/>
      </c>
      <c r="R463" s="28" t="str">
        <f aca="false">IF(A463="","",COUNTIFS(Socios!$A:$A,A463,Socios!$K:$K,"SIM"))</f>
        <v/>
      </c>
      <c r="S463" s="27"/>
      <c r="T463" s="5"/>
    </row>
    <row r="464" customFormat="false" ht="15" hidden="false" customHeight="false" outlineLevel="0" collapsed="false">
      <c r="A464" s="27"/>
      <c r="B464" s="5"/>
      <c r="C464" s="18"/>
      <c r="D464" s="5"/>
      <c r="E464" s="35"/>
      <c r="F464" s="5"/>
      <c r="G464" s="5"/>
      <c r="H464" s="5"/>
      <c r="I464" s="14"/>
      <c r="J464" s="14"/>
      <c r="K464" s="28" t="str">
        <f aca="false">IF(A464="","",COUNTIF(Contratos!$A:$A,A464))</f>
        <v/>
      </c>
      <c r="L464" s="39" t="str">
        <f aca="false">IF(A464="","",SUMIFS(Contratos!$D:$D,Contratos!$A:$A,A464)+SUMIFS(Contratos!$N:$N,Contratos!$A:$A,A464))</f>
        <v/>
      </c>
      <c r="M464" s="39" t="str">
        <f aca="false">IF(A464="","",SUMIFS(Pagamentos!$C:$C,Pagamentos!$A:$A,A464,Pagamentos!$F:$F,"Empenho"))</f>
        <v/>
      </c>
      <c r="N464" s="39" t="str">
        <f aca="false">IF(A464="","",SUMIFS(Pagamentos!$C:$C,Pagamentos!$A:$A,A464,Pagamentos!$F:$F,"Pagamento"))</f>
        <v/>
      </c>
      <c r="O464" s="37" t="str">
        <f aca="false">IF(OR(A464="",E464="",L464="",L464=0),"",E464/L464)</f>
        <v/>
      </c>
      <c r="P464" s="28" t="str">
        <f aca="false">IF(A464="","",COUNTIFS(Sancoes!$A:$A,A464,Sancoes!$B:$B,"&lt;&gt;Não consta"))</f>
        <v/>
      </c>
      <c r="Q464" s="28" t="str">
        <f aca="false">IF(A464="","",COUNTIF(Socios!$A:$A,A464))</f>
        <v/>
      </c>
      <c r="R464" s="28" t="str">
        <f aca="false">IF(A464="","",COUNTIFS(Socios!$A:$A,A464,Socios!$K:$K,"SIM"))</f>
        <v/>
      </c>
      <c r="S464" s="27"/>
      <c r="T464" s="5"/>
    </row>
    <row r="465" customFormat="false" ht="15" hidden="false" customHeight="false" outlineLevel="0" collapsed="false">
      <c r="A465" s="27"/>
      <c r="B465" s="5"/>
      <c r="C465" s="18"/>
      <c r="D465" s="5"/>
      <c r="E465" s="35"/>
      <c r="F465" s="5"/>
      <c r="G465" s="5"/>
      <c r="H465" s="5"/>
      <c r="I465" s="14"/>
      <c r="J465" s="14"/>
      <c r="K465" s="28" t="str">
        <f aca="false">IF(A465="","",COUNTIF(Contratos!$A:$A,A465))</f>
        <v/>
      </c>
      <c r="L465" s="39" t="str">
        <f aca="false">IF(A465="","",SUMIFS(Contratos!$D:$D,Contratos!$A:$A,A465)+SUMIFS(Contratos!$N:$N,Contratos!$A:$A,A465))</f>
        <v/>
      </c>
      <c r="M465" s="39" t="str">
        <f aca="false">IF(A465="","",SUMIFS(Pagamentos!$C:$C,Pagamentos!$A:$A,A465,Pagamentos!$F:$F,"Empenho"))</f>
        <v/>
      </c>
      <c r="N465" s="39" t="str">
        <f aca="false">IF(A465="","",SUMIFS(Pagamentos!$C:$C,Pagamentos!$A:$A,A465,Pagamentos!$F:$F,"Pagamento"))</f>
        <v/>
      </c>
      <c r="O465" s="37" t="str">
        <f aca="false">IF(OR(A465="",E465="",L465="",L465=0),"",E465/L465)</f>
        <v/>
      </c>
      <c r="P465" s="28" t="str">
        <f aca="false">IF(A465="","",COUNTIFS(Sancoes!$A:$A,A465,Sancoes!$B:$B,"&lt;&gt;Não consta"))</f>
        <v/>
      </c>
      <c r="Q465" s="28" t="str">
        <f aca="false">IF(A465="","",COUNTIF(Socios!$A:$A,A465))</f>
        <v/>
      </c>
      <c r="R465" s="28" t="str">
        <f aca="false">IF(A465="","",COUNTIFS(Socios!$A:$A,A465,Socios!$K:$K,"SIM"))</f>
        <v/>
      </c>
      <c r="S465" s="27"/>
      <c r="T465" s="5"/>
    </row>
    <row r="466" customFormat="false" ht="15" hidden="false" customHeight="false" outlineLevel="0" collapsed="false">
      <c r="A466" s="27"/>
      <c r="B466" s="5"/>
      <c r="C466" s="18"/>
      <c r="D466" s="5"/>
      <c r="E466" s="35"/>
      <c r="F466" s="5"/>
      <c r="G466" s="5"/>
      <c r="H466" s="5"/>
      <c r="I466" s="14"/>
      <c r="J466" s="14"/>
      <c r="K466" s="28" t="str">
        <f aca="false">IF(A466="","",COUNTIF(Contratos!$A:$A,A466))</f>
        <v/>
      </c>
      <c r="L466" s="39" t="str">
        <f aca="false">IF(A466="","",SUMIFS(Contratos!$D:$D,Contratos!$A:$A,A466)+SUMIFS(Contratos!$N:$N,Contratos!$A:$A,A466))</f>
        <v/>
      </c>
      <c r="M466" s="39" t="str">
        <f aca="false">IF(A466="","",SUMIFS(Pagamentos!$C:$C,Pagamentos!$A:$A,A466,Pagamentos!$F:$F,"Empenho"))</f>
        <v/>
      </c>
      <c r="N466" s="39" t="str">
        <f aca="false">IF(A466="","",SUMIFS(Pagamentos!$C:$C,Pagamentos!$A:$A,A466,Pagamentos!$F:$F,"Pagamento"))</f>
        <v/>
      </c>
      <c r="O466" s="37" t="str">
        <f aca="false">IF(OR(A466="",E466="",L466="",L466=0),"",E466/L466)</f>
        <v/>
      </c>
      <c r="P466" s="28" t="str">
        <f aca="false">IF(A466="","",COUNTIFS(Sancoes!$A:$A,A466,Sancoes!$B:$B,"&lt;&gt;Não consta"))</f>
        <v/>
      </c>
      <c r="Q466" s="28" t="str">
        <f aca="false">IF(A466="","",COUNTIF(Socios!$A:$A,A466))</f>
        <v/>
      </c>
      <c r="R466" s="28" t="str">
        <f aca="false">IF(A466="","",COUNTIFS(Socios!$A:$A,A466,Socios!$K:$K,"SIM"))</f>
        <v/>
      </c>
      <c r="S466" s="27"/>
      <c r="T466" s="5"/>
    </row>
    <row r="467" customFormat="false" ht="15" hidden="false" customHeight="false" outlineLevel="0" collapsed="false">
      <c r="A467" s="27"/>
      <c r="B467" s="5"/>
      <c r="C467" s="18"/>
      <c r="D467" s="5"/>
      <c r="E467" s="35"/>
      <c r="F467" s="5"/>
      <c r="G467" s="5"/>
      <c r="H467" s="5"/>
      <c r="I467" s="14"/>
      <c r="J467" s="14"/>
      <c r="K467" s="28" t="str">
        <f aca="false">IF(A467="","",COUNTIF(Contratos!$A:$A,A467))</f>
        <v/>
      </c>
      <c r="L467" s="39" t="str">
        <f aca="false">IF(A467="","",SUMIFS(Contratos!$D:$D,Contratos!$A:$A,A467)+SUMIFS(Contratos!$N:$N,Contratos!$A:$A,A467))</f>
        <v/>
      </c>
      <c r="M467" s="39" t="str">
        <f aca="false">IF(A467="","",SUMIFS(Pagamentos!$C:$C,Pagamentos!$A:$A,A467,Pagamentos!$F:$F,"Empenho"))</f>
        <v/>
      </c>
      <c r="N467" s="39" t="str">
        <f aca="false">IF(A467="","",SUMIFS(Pagamentos!$C:$C,Pagamentos!$A:$A,A467,Pagamentos!$F:$F,"Pagamento"))</f>
        <v/>
      </c>
      <c r="O467" s="37" t="str">
        <f aca="false">IF(OR(A467="",E467="",L467="",L467=0),"",E467/L467)</f>
        <v/>
      </c>
      <c r="P467" s="28" t="str">
        <f aca="false">IF(A467="","",COUNTIFS(Sancoes!$A:$A,A467,Sancoes!$B:$B,"&lt;&gt;Não consta"))</f>
        <v/>
      </c>
      <c r="Q467" s="28" t="str">
        <f aca="false">IF(A467="","",COUNTIF(Socios!$A:$A,A467))</f>
        <v/>
      </c>
      <c r="R467" s="28" t="str">
        <f aca="false">IF(A467="","",COUNTIFS(Socios!$A:$A,A467,Socios!$K:$K,"SIM"))</f>
        <v/>
      </c>
      <c r="S467" s="27"/>
      <c r="T467" s="5"/>
    </row>
    <row r="468" customFormat="false" ht="15" hidden="false" customHeight="false" outlineLevel="0" collapsed="false">
      <c r="A468" s="27"/>
      <c r="B468" s="5"/>
      <c r="C468" s="18"/>
      <c r="D468" s="5"/>
      <c r="E468" s="35"/>
      <c r="F468" s="5"/>
      <c r="G468" s="5"/>
      <c r="H468" s="5"/>
      <c r="I468" s="14"/>
      <c r="J468" s="14"/>
      <c r="K468" s="28" t="str">
        <f aca="false">IF(A468="","",COUNTIF(Contratos!$A:$A,A468))</f>
        <v/>
      </c>
      <c r="L468" s="39" t="str">
        <f aca="false">IF(A468="","",SUMIFS(Contratos!$D:$D,Contratos!$A:$A,A468)+SUMIFS(Contratos!$N:$N,Contratos!$A:$A,A468))</f>
        <v/>
      </c>
      <c r="M468" s="39" t="str">
        <f aca="false">IF(A468="","",SUMIFS(Pagamentos!$C:$C,Pagamentos!$A:$A,A468,Pagamentos!$F:$F,"Empenho"))</f>
        <v/>
      </c>
      <c r="N468" s="39" t="str">
        <f aca="false">IF(A468="","",SUMIFS(Pagamentos!$C:$C,Pagamentos!$A:$A,A468,Pagamentos!$F:$F,"Pagamento"))</f>
        <v/>
      </c>
      <c r="O468" s="37" t="str">
        <f aca="false">IF(OR(A468="",E468="",L468="",L468=0),"",E468/L468)</f>
        <v/>
      </c>
      <c r="P468" s="28" t="str">
        <f aca="false">IF(A468="","",COUNTIFS(Sancoes!$A:$A,A468,Sancoes!$B:$B,"&lt;&gt;Não consta"))</f>
        <v/>
      </c>
      <c r="Q468" s="28" t="str">
        <f aca="false">IF(A468="","",COUNTIF(Socios!$A:$A,A468))</f>
        <v/>
      </c>
      <c r="R468" s="28" t="str">
        <f aca="false">IF(A468="","",COUNTIFS(Socios!$A:$A,A468,Socios!$K:$K,"SIM"))</f>
        <v/>
      </c>
      <c r="S468" s="27"/>
      <c r="T468" s="5"/>
    </row>
    <row r="469" customFormat="false" ht="15" hidden="false" customHeight="false" outlineLevel="0" collapsed="false">
      <c r="A469" s="27"/>
      <c r="B469" s="5"/>
      <c r="C469" s="18"/>
      <c r="D469" s="5"/>
      <c r="E469" s="35"/>
      <c r="F469" s="5"/>
      <c r="G469" s="5"/>
      <c r="H469" s="5"/>
      <c r="I469" s="14"/>
      <c r="J469" s="14"/>
      <c r="K469" s="28" t="str">
        <f aca="false">IF(A469="","",COUNTIF(Contratos!$A:$A,A469))</f>
        <v/>
      </c>
      <c r="L469" s="39" t="str">
        <f aca="false">IF(A469="","",SUMIFS(Contratos!$D:$D,Contratos!$A:$A,A469)+SUMIFS(Contratos!$N:$N,Contratos!$A:$A,A469))</f>
        <v/>
      </c>
      <c r="M469" s="39" t="str">
        <f aca="false">IF(A469="","",SUMIFS(Pagamentos!$C:$C,Pagamentos!$A:$A,A469,Pagamentos!$F:$F,"Empenho"))</f>
        <v/>
      </c>
      <c r="N469" s="39" t="str">
        <f aca="false">IF(A469="","",SUMIFS(Pagamentos!$C:$C,Pagamentos!$A:$A,A469,Pagamentos!$F:$F,"Pagamento"))</f>
        <v/>
      </c>
      <c r="O469" s="37" t="str">
        <f aca="false">IF(OR(A469="",E469="",L469="",L469=0),"",E469/L469)</f>
        <v/>
      </c>
      <c r="P469" s="28" t="str">
        <f aca="false">IF(A469="","",COUNTIFS(Sancoes!$A:$A,A469,Sancoes!$B:$B,"&lt;&gt;Não consta"))</f>
        <v/>
      </c>
      <c r="Q469" s="28" t="str">
        <f aca="false">IF(A469="","",COUNTIF(Socios!$A:$A,A469))</f>
        <v/>
      </c>
      <c r="R469" s="28" t="str">
        <f aca="false">IF(A469="","",COUNTIFS(Socios!$A:$A,A469,Socios!$K:$K,"SIM"))</f>
        <v/>
      </c>
      <c r="S469" s="27"/>
      <c r="T469" s="5"/>
    </row>
    <row r="470" customFormat="false" ht="15" hidden="false" customHeight="false" outlineLevel="0" collapsed="false">
      <c r="A470" s="27"/>
      <c r="B470" s="5"/>
      <c r="C470" s="18"/>
      <c r="D470" s="5"/>
      <c r="E470" s="35"/>
      <c r="F470" s="5"/>
      <c r="G470" s="5"/>
      <c r="H470" s="5"/>
      <c r="I470" s="14"/>
      <c r="J470" s="14"/>
      <c r="K470" s="28" t="str">
        <f aca="false">IF(A470="","",COUNTIF(Contratos!$A:$A,A470))</f>
        <v/>
      </c>
      <c r="L470" s="39" t="str">
        <f aca="false">IF(A470="","",SUMIFS(Contratos!$D:$D,Contratos!$A:$A,A470)+SUMIFS(Contratos!$N:$N,Contratos!$A:$A,A470))</f>
        <v/>
      </c>
      <c r="M470" s="39" t="str">
        <f aca="false">IF(A470="","",SUMIFS(Pagamentos!$C:$C,Pagamentos!$A:$A,A470,Pagamentos!$F:$F,"Empenho"))</f>
        <v/>
      </c>
      <c r="N470" s="39" t="str">
        <f aca="false">IF(A470="","",SUMIFS(Pagamentos!$C:$C,Pagamentos!$A:$A,A470,Pagamentos!$F:$F,"Pagamento"))</f>
        <v/>
      </c>
      <c r="O470" s="37" t="str">
        <f aca="false">IF(OR(A470="",E470="",L470="",L470=0),"",E470/L470)</f>
        <v/>
      </c>
      <c r="P470" s="28" t="str">
        <f aca="false">IF(A470="","",COUNTIFS(Sancoes!$A:$A,A470,Sancoes!$B:$B,"&lt;&gt;Não consta"))</f>
        <v/>
      </c>
      <c r="Q470" s="28" t="str">
        <f aca="false">IF(A470="","",COUNTIF(Socios!$A:$A,A470))</f>
        <v/>
      </c>
      <c r="R470" s="28" t="str">
        <f aca="false">IF(A470="","",COUNTIFS(Socios!$A:$A,A470,Socios!$K:$K,"SIM"))</f>
        <v/>
      </c>
      <c r="S470" s="27"/>
      <c r="T470" s="5"/>
    </row>
    <row r="471" customFormat="false" ht="15" hidden="false" customHeight="false" outlineLevel="0" collapsed="false">
      <c r="A471" s="27"/>
      <c r="B471" s="5"/>
      <c r="C471" s="18"/>
      <c r="D471" s="5"/>
      <c r="E471" s="35"/>
      <c r="F471" s="5"/>
      <c r="G471" s="5"/>
      <c r="H471" s="5"/>
      <c r="I471" s="14"/>
      <c r="J471" s="14"/>
      <c r="K471" s="28" t="str">
        <f aca="false">IF(A471="","",COUNTIF(Contratos!$A:$A,A471))</f>
        <v/>
      </c>
      <c r="L471" s="39" t="str">
        <f aca="false">IF(A471="","",SUMIFS(Contratos!$D:$D,Contratos!$A:$A,A471)+SUMIFS(Contratos!$N:$N,Contratos!$A:$A,A471))</f>
        <v/>
      </c>
      <c r="M471" s="39" t="str">
        <f aca="false">IF(A471="","",SUMIFS(Pagamentos!$C:$C,Pagamentos!$A:$A,A471,Pagamentos!$F:$F,"Empenho"))</f>
        <v/>
      </c>
      <c r="N471" s="39" t="str">
        <f aca="false">IF(A471="","",SUMIFS(Pagamentos!$C:$C,Pagamentos!$A:$A,A471,Pagamentos!$F:$F,"Pagamento"))</f>
        <v/>
      </c>
      <c r="O471" s="37" t="str">
        <f aca="false">IF(OR(A471="",E471="",L471="",L471=0),"",E471/L471)</f>
        <v/>
      </c>
      <c r="P471" s="28" t="str">
        <f aca="false">IF(A471="","",COUNTIFS(Sancoes!$A:$A,A471,Sancoes!$B:$B,"&lt;&gt;Não consta"))</f>
        <v/>
      </c>
      <c r="Q471" s="28" t="str">
        <f aca="false">IF(A471="","",COUNTIF(Socios!$A:$A,A471))</f>
        <v/>
      </c>
      <c r="R471" s="28" t="str">
        <f aca="false">IF(A471="","",COUNTIFS(Socios!$A:$A,A471,Socios!$K:$K,"SIM"))</f>
        <v/>
      </c>
      <c r="S471" s="27"/>
      <c r="T471" s="5"/>
    </row>
    <row r="472" customFormat="false" ht="15" hidden="false" customHeight="false" outlineLevel="0" collapsed="false">
      <c r="A472" s="27"/>
      <c r="B472" s="5"/>
      <c r="C472" s="18"/>
      <c r="D472" s="5"/>
      <c r="E472" s="35"/>
      <c r="F472" s="5"/>
      <c r="G472" s="5"/>
      <c r="H472" s="5"/>
      <c r="I472" s="14"/>
      <c r="J472" s="14"/>
      <c r="K472" s="28" t="str">
        <f aca="false">IF(A472="","",COUNTIF(Contratos!$A:$A,A472))</f>
        <v/>
      </c>
      <c r="L472" s="39" t="str">
        <f aca="false">IF(A472="","",SUMIFS(Contratos!$D:$D,Contratos!$A:$A,A472)+SUMIFS(Contratos!$N:$N,Contratos!$A:$A,A472))</f>
        <v/>
      </c>
      <c r="M472" s="39" t="str">
        <f aca="false">IF(A472="","",SUMIFS(Pagamentos!$C:$C,Pagamentos!$A:$A,A472,Pagamentos!$F:$F,"Empenho"))</f>
        <v/>
      </c>
      <c r="N472" s="39" t="str">
        <f aca="false">IF(A472="","",SUMIFS(Pagamentos!$C:$C,Pagamentos!$A:$A,A472,Pagamentos!$F:$F,"Pagamento"))</f>
        <v/>
      </c>
      <c r="O472" s="37" t="str">
        <f aca="false">IF(OR(A472="",E472="",L472="",L472=0),"",E472/L472)</f>
        <v/>
      </c>
      <c r="P472" s="28" t="str">
        <f aca="false">IF(A472="","",COUNTIFS(Sancoes!$A:$A,A472,Sancoes!$B:$B,"&lt;&gt;Não consta"))</f>
        <v/>
      </c>
      <c r="Q472" s="28" t="str">
        <f aca="false">IF(A472="","",COUNTIF(Socios!$A:$A,A472))</f>
        <v/>
      </c>
      <c r="R472" s="28" t="str">
        <f aca="false">IF(A472="","",COUNTIFS(Socios!$A:$A,A472,Socios!$K:$K,"SIM"))</f>
        <v/>
      </c>
      <c r="S472" s="27"/>
      <c r="T472" s="5"/>
    </row>
    <row r="473" customFormat="false" ht="15" hidden="false" customHeight="false" outlineLevel="0" collapsed="false">
      <c r="A473" s="27"/>
      <c r="B473" s="5"/>
      <c r="C473" s="18"/>
      <c r="D473" s="5"/>
      <c r="E473" s="35"/>
      <c r="F473" s="5"/>
      <c r="G473" s="5"/>
      <c r="H473" s="5"/>
      <c r="I473" s="14"/>
      <c r="J473" s="14"/>
      <c r="K473" s="28" t="str">
        <f aca="false">IF(A473="","",COUNTIF(Contratos!$A:$A,A473))</f>
        <v/>
      </c>
      <c r="L473" s="39" t="str">
        <f aca="false">IF(A473="","",SUMIFS(Contratos!$D:$D,Contratos!$A:$A,A473)+SUMIFS(Contratos!$N:$N,Contratos!$A:$A,A473))</f>
        <v/>
      </c>
      <c r="M473" s="39" t="str">
        <f aca="false">IF(A473="","",SUMIFS(Pagamentos!$C:$C,Pagamentos!$A:$A,A473,Pagamentos!$F:$F,"Empenho"))</f>
        <v/>
      </c>
      <c r="N473" s="39" t="str">
        <f aca="false">IF(A473="","",SUMIFS(Pagamentos!$C:$C,Pagamentos!$A:$A,A473,Pagamentos!$F:$F,"Pagamento"))</f>
        <v/>
      </c>
      <c r="O473" s="37" t="str">
        <f aca="false">IF(OR(A473="",E473="",L473="",L473=0),"",E473/L473)</f>
        <v/>
      </c>
      <c r="P473" s="28" t="str">
        <f aca="false">IF(A473="","",COUNTIFS(Sancoes!$A:$A,A473,Sancoes!$B:$B,"&lt;&gt;Não consta"))</f>
        <v/>
      </c>
      <c r="Q473" s="28" t="str">
        <f aca="false">IF(A473="","",COUNTIF(Socios!$A:$A,A473))</f>
        <v/>
      </c>
      <c r="R473" s="28" t="str">
        <f aca="false">IF(A473="","",COUNTIFS(Socios!$A:$A,A473,Socios!$K:$K,"SIM"))</f>
        <v/>
      </c>
      <c r="S473" s="27"/>
      <c r="T473" s="5"/>
    </row>
    <row r="474" customFormat="false" ht="15" hidden="false" customHeight="false" outlineLevel="0" collapsed="false">
      <c r="A474" s="27"/>
      <c r="B474" s="5"/>
      <c r="C474" s="18"/>
      <c r="D474" s="5"/>
      <c r="E474" s="35"/>
      <c r="F474" s="5"/>
      <c r="G474" s="5"/>
      <c r="H474" s="5"/>
      <c r="I474" s="14"/>
      <c r="J474" s="14"/>
      <c r="K474" s="28" t="str">
        <f aca="false">IF(A474="","",COUNTIF(Contratos!$A:$A,A474))</f>
        <v/>
      </c>
      <c r="L474" s="39" t="str">
        <f aca="false">IF(A474="","",SUMIFS(Contratos!$D:$D,Contratos!$A:$A,A474)+SUMIFS(Contratos!$N:$N,Contratos!$A:$A,A474))</f>
        <v/>
      </c>
      <c r="M474" s="39" t="str">
        <f aca="false">IF(A474="","",SUMIFS(Pagamentos!$C:$C,Pagamentos!$A:$A,A474,Pagamentos!$F:$F,"Empenho"))</f>
        <v/>
      </c>
      <c r="N474" s="39" t="str">
        <f aca="false">IF(A474="","",SUMIFS(Pagamentos!$C:$C,Pagamentos!$A:$A,A474,Pagamentos!$F:$F,"Pagamento"))</f>
        <v/>
      </c>
      <c r="O474" s="37" t="str">
        <f aca="false">IF(OR(A474="",E474="",L474="",L474=0),"",E474/L474)</f>
        <v/>
      </c>
      <c r="P474" s="28" t="str">
        <f aca="false">IF(A474="","",COUNTIFS(Sancoes!$A:$A,A474,Sancoes!$B:$B,"&lt;&gt;Não consta"))</f>
        <v/>
      </c>
      <c r="Q474" s="28" t="str">
        <f aca="false">IF(A474="","",COUNTIF(Socios!$A:$A,A474))</f>
        <v/>
      </c>
      <c r="R474" s="28" t="str">
        <f aca="false">IF(A474="","",COUNTIFS(Socios!$A:$A,A474,Socios!$K:$K,"SIM"))</f>
        <v/>
      </c>
      <c r="S474" s="27"/>
      <c r="T474" s="5"/>
    </row>
    <row r="475" customFormat="false" ht="15" hidden="false" customHeight="false" outlineLevel="0" collapsed="false">
      <c r="A475" s="27"/>
      <c r="B475" s="5"/>
      <c r="C475" s="18"/>
      <c r="D475" s="5"/>
      <c r="E475" s="35"/>
      <c r="F475" s="5"/>
      <c r="G475" s="5"/>
      <c r="H475" s="5"/>
      <c r="I475" s="14"/>
      <c r="J475" s="14"/>
      <c r="K475" s="28" t="str">
        <f aca="false">IF(A475="","",COUNTIF(Contratos!$A:$A,A475))</f>
        <v/>
      </c>
      <c r="L475" s="39" t="str">
        <f aca="false">IF(A475="","",SUMIFS(Contratos!$D:$D,Contratos!$A:$A,A475)+SUMIFS(Contratos!$N:$N,Contratos!$A:$A,A475))</f>
        <v/>
      </c>
      <c r="M475" s="39" t="str">
        <f aca="false">IF(A475="","",SUMIFS(Pagamentos!$C:$C,Pagamentos!$A:$A,A475,Pagamentos!$F:$F,"Empenho"))</f>
        <v/>
      </c>
      <c r="N475" s="39" t="str">
        <f aca="false">IF(A475="","",SUMIFS(Pagamentos!$C:$C,Pagamentos!$A:$A,A475,Pagamentos!$F:$F,"Pagamento"))</f>
        <v/>
      </c>
      <c r="O475" s="37" t="str">
        <f aca="false">IF(OR(A475="",E475="",L475="",L475=0),"",E475/L475)</f>
        <v/>
      </c>
      <c r="P475" s="28" t="str">
        <f aca="false">IF(A475="","",COUNTIFS(Sancoes!$A:$A,A475,Sancoes!$B:$B,"&lt;&gt;Não consta"))</f>
        <v/>
      </c>
      <c r="Q475" s="28" t="str">
        <f aca="false">IF(A475="","",COUNTIF(Socios!$A:$A,A475))</f>
        <v/>
      </c>
      <c r="R475" s="28" t="str">
        <f aca="false">IF(A475="","",COUNTIFS(Socios!$A:$A,A475,Socios!$K:$K,"SIM"))</f>
        <v/>
      </c>
      <c r="S475" s="27"/>
      <c r="T475" s="5"/>
    </row>
    <row r="476" customFormat="false" ht="15" hidden="false" customHeight="false" outlineLevel="0" collapsed="false">
      <c r="A476" s="27"/>
      <c r="B476" s="5"/>
      <c r="C476" s="18"/>
      <c r="D476" s="5"/>
      <c r="E476" s="35"/>
      <c r="F476" s="5"/>
      <c r="G476" s="5"/>
      <c r="H476" s="5"/>
      <c r="I476" s="14"/>
      <c r="J476" s="14"/>
      <c r="K476" s="28" t="str">
        <f aca="false">IF(A476="","",COUNTIF(Contratos!$A:$A,A476))</f>
        <v/>
      </c>
      <c r="L476" s="39" t="str">
        <f aca="false">IF(A476="","",SUMIFS(Contratos!$D:$D,Contratos!$A:$A,A476)+SUMIFS(Contratos!$N:$N,Contratos!$A:$A,A476))</f>
        <v/>
      </c>
      <c r="M476" s="39" t="str">
        <f aca="false">IF(A476="","",SUMIFS(Pagamentos!$C:$C,Pagamentos!$A:$A,A476,Pagamentos!$F:$F,"Empenho"))</f>
        <v/>
      </c>
      <c r="N476" s="39" t="str">
        <f aca="false">IF(A476="","",SUMIFS(Pagamentos!$C:$C,Pagamentos!$A:$A,A476,Pagamentos!$F:$F,"Pagamento"))</f>
        <v/>
      </c>
      <c r="O476" s="37" t="str">
        <f aca="false">IF(OR(A476="",E476="",L476="",L476=0),"",E476/L476)</f>
        <v/>
      </c>
      <c r="P476" s="28" t="str">
        <f aca="false">IF(A476="","",COUNTIFS(Sancoes!$A:$A,A476,Sancoes!$B:$B,"&lt;&gt;Não consta"))</f>
        <v/>
      </c>
      <c r="Q476" s="28" t="str">
        <f aca="false">IF(A476="","",COUNTIF(Socios!$A:$A,A476))</f>
        <v/>
      </c>
      <c r="R476" s="28" t="str">
        <f aca="false">IF(A476="","",COUNTIFS(Socios!$A:$A,A476,Socios!$K:$K,"SIM"))</f>
        <v/>
      </c>
      <c r="S476" s="27"/>
      <c r="T476" s="5"/>
    </row>
    <row r="477" customFormat="false" ht="15" hidden="false" customHeight="false" outlineLevel="0" collapsed="false">
      <c r="A477" s="27"/>
      <c r="B477" s="5"/>
      <c r="C477" s="18"/>
      <c r="D477" s="5"/>
      <c r="E477" s="35"/>
      <c r="F477" s="5"/>
      <c r="G477" s="5"/>
      <c r="H477" s="5"/>
      <c r="I477" s="14"/>
      <c r="J477" s="14"/>
      <c r="K477" s="28" t="str">
        <f aca="false">IF(A477="","",COUNTIF(Contratos!$A:$A,A477))</f>
        <v/>
      </c>
      <c r="L477" s="39" t="str">
        <f aca="false">IF(A477="","",SUMIFS(Contratos!$D:$D,Contratos!$A:$A,A477)+SUMIFS(Contratos!$N:$N,Contratos!$A:$A,A477))</f>
        <v/>
      </c>
      <c r="M477" s="39" t="str">
        <f aca="false">IF(A477="","",SUMIFS(Pagamentos!$C:$C,Pagamentos!$A:$A,A477,Pagamentos!$F:$F,"Empenho"))</f>
        <v/>
      </c>
      <c r="N477" s="39" t="str">
        <f aca="false">IF(A477="","",SUMIFS(Pagamentos!$C:$C,Pagamentos!$A:$A,A477,Pagamentos!$F:$F,"Pagamento"))</f>
        <v/>
      </c>
      <c r="O477" s="37" t="str">
        <f aca="false">IF(OR(A477="",E477="",L477="",L477=0),"",E477/L477)</f>
        <v/>
      </c>
      <c r="P477" s="28" t="str">
        <f aca="false">IF(A477="","",COUNTIFS(Sancoes!$A:$A,A477,Sancoes!$B:$B,"&lt;&gt;Não consta"))</f>
        <v/>
      </c>
      <c r="Q477" s="28" t="str">
        <f aca="false">IF(A477="","",COUNTIF(Socios!$A:$A,A477))</f>
        <v/>
      </c>
      <c r="R477" s="28" t="str">
        <f aca="false">IF(A477="","",COUNTIFS(Socios!$A:$A,A477,Socios!$K:$K,"SIM"))</f>
        <v/>
      </c>
      <c r="S477" s="27"/>
      <c r="T477" s="5"/>
    </row>
    <row r="478" customFormat="false" ht="15" hidden="false" customHeight="false" outlineLevel="0" collapsed="false">
      <c r="A478" s="27"/>
      <c r="B478" s="5"/>
      <c r="C478" s="18"/>
      <c r="D478" s="5"/>
      <c r="E478" s="35"/>
      <c r="F478" s="5"/>
      <c r="G478" s="5"/>
      <c r="H478" s="5"/>
      <c r="I478" s="14"/>
      <c r="J478" s="14"/>
      <c r="K478" s="28" t="str">
        <f aca="false">IF(A478="","",COUNTIF(Contratos!$A:$A,A478))</f>
        <v/>
      </c>
      <c r="L478" s="39" t="str">
        <f aca="false">IF(A478="","",SUMIFS(Contratos!$D:$D,Contratos!$A:$A,A478)+SUMIFS(Contratos!$N:$N,Contratos!$A:$A,A478))</f>
        <v/>
      </c>
      <c r="M478" s="39" t="str">
        <f aca="false">IF(A478="","",SUMIFS(Pagamentos!$C:$C,Pagamentos!$A:$A,A478,Pagamentos!$F:$F,"Empenho"))</f>
        <v/>
      </c>
      <c r="N478" s="39" t="str">
        <f aca="false">IF(A478="","",SUMIFS(Pagamentos!$C:$C,Pagamentos!$A:$A,A478,Pagamentos!$F:$F,"Pagamento"))</f>
        <v/>
      </c>
      <c r="O478" s="37" t="str">
        <f aca="false">IF(OR(A478="",E478="",L478="",L478=0),"",E478/L478)</f>
        <v/>
      </c>
      <c r="P478" s="28" t="str">
        <f aca="false">IF(A478="","",COUNTIFS(Sancoes!$A:$A,A478,Sancoes!$B:$B,"&lt;&gt;Não consta"))</f>
        <v/>
      </c>
      <c r="Q478" s="28" t="str">
        <f aca="false">IF(A478="","",COUNTIF(Socios!$A:$A,A478))</f>
        <v/>
      </c>
      <c r="R478" s="28" t="str">
        <f aca="false">IF(A478="","",COUNTIFS(Socios!$A:$A,A478,Socios!$K:$K,"SIM"))</f>
        <v/>
      </c>
      <c r="S478" s="27"/>
      <c r="T478" s="5"/>
    </row>
    <row r="479" customFormat="false" ht="15" hidden="false" customHeight="false" outlineLevel="0" collapsed="false">
      <c r="A479" s="27"/>
      <c r="B479" s="5"/>
      <c r="C479" s="18"/>
      <c r="D479" s="5"/>
      <c r="E479" s="35"/>
      <c r="F479" s="5"/>
      <c r="G479" s="5"/>
      <c r="H479" s="5"/>
      <c r="I479" s="14"/>
      <c r="J479" s="14"/>
      <c r="K479" s="28" t="str">
        <f aca="false">IF(A479="","",COUNTIF(Contratos!$A:$A,A479))</f>
        <v/>
      </c>
      <c r="L479" s="39" t="str">
        <f aca="false">IF(A479="","",SUMIFS(Contratos!$D:$D,Contratos!$A:$A,A479)+SUMIFS(Contratos!$N:$N,Contratos!$A:$A,A479))</f>
        <v/>
      </c>
      <c r="M479" s="39" t="str">
        <f aca="false">IF(A479="","",SUMIFS(Pagamentos!$C:$C,Pagamentos!$A:$A,A479,Pagamentos!$F:$F,"Empenho"))</f>
        <v/>
      </c>
      <c r="N479" s="39" t="str">
        <f aca="false">IF(A479="","",SUMIFS(Pagamentos!$C:$C,Pagamentos!$A:$A,A479,Pagamentos!$F:$F,"Pagamento"))</f>
        <v/>
      </c>
      <c r="O479" s="37" t="str">
        <f aca="false">IF(OR(A479="",E479="",L479="",L479=0),"",E479/L479)</f>
        <v/>
      </c>
      <c r="P479" s="28" t="str">
        <f aca="false">IF(A479="","",COUNTIFS(Sancoes!$A:$A,A479,Sancoes!$B:$B,"&lt;&gt;Não consta"))</f>
        <v/>
      </c>
      <c r="Q479" s="28" t="str">
        <f aca="false">IF(A479="","",COUNTIF(Socios!$A:$A,A479))</f>
        <v/>
      </c>
      <c r="R479" s="28" t="str">
        <f aca="false">IF(A479="","",COUNTIFS(Socios!$A:$A,A479,Socios!$K:$K,"SIM"))</f>
        <v/>
      </c>
      <c r="S479" s="27"/>
      <c r="T479" s="5"/>
    </row>
    <row r="480" customFormat="false" ht="15" hidden="false" customHeight="false" outlineLevel="0" collapsed="false">
      <c r="A480" s="27"/>
      <c r="B480" s="5"/>
      <c r="C480" s="18"/>
      <c r="D480" s="5"/>
      <c r="E480" s="35"/>
      <c r="F480" s="5"/>
      <c r="G480" s="5"/>
      <c r="H480" s="5"/>
      <c r="I480" s="14"/>
      <c r="J480" s="14"/>
      <c r="K480" s="28" t="str">
        <f aca="false">IF(A480="","",COUNTIF(Contratos!$A:$A,A480))</f>
        <v/>
      </c>
      <c r="L480" s="39" t="str">
        <f aca="false">IF(A480="","",SUMIFS(Contratos!$D:$D,Contratos!$A:$A,A480)+SUMIFS(Contratos!$N:$N,Contratos!$A:$A,A480))</f>
        <v/>
      </c>
      <c r="M480" s="39" t="str">
        <f aca="false">IF(A480="","",SUMIFS(Pagamentos!$C:$C,Pagamentos!$A:$A,A480,Pagamentos!$F:$F,"Empenho"))</f>
        <v/>
      </c>
      <c r="N480" s="39" t="str">
        <f aca="false">IF(A480="","",SUMIFS(Pagamentos!$C:$C,Pagamentos!$A:$A,A480,Pagamentos!$F:$F,"Pagamento"))</f>
        <v/>
      </c>
      <c r="O480" s="37" t="str">
        <f aca="false">IF(OR(A480="",E480="",L480="",L480=0),"",E480/L480)</f>
        <v/>
      </c>
      <c r="P480" s="28" t="str">
        <f aca="false">IF(A480="","",COUNTIFS(Sancoes!$A:$A,A480,Sancoes!$B:$B,"&lt;&gt;Não consta"))</f>
        <v/>
      </c>
      <c r="Q480" s="28" t="str">
        <f aca="false">IF(A480="","",COUNTIF(Socios!$A:$A,A480))</f>
        <v/>
      </c>
      <c r="R480" s="28" t="str">
        <f aca="false">IF(A480="","",COUNTIFS(Socios!$A:$A,A480,Socios!$K:$K,"SIM"))</f>
        <v/>
      </c>
      <c r="S480" s="27"/>
      <c r="T480" s="5"/>
    </row>
    <row r="481" customFormat="false" ht="15" hidden="false" customHeight="false" outlineLevel="0" collapsed="false">
      <c r="A481" s="27"/>
      <c r="B481" s="5"/>
      <c r="C481" s="18"/>
      <c r="D481" s="5"/>
      <c r="E481" s="35"/>
      <c r="F481" s="5"/>
      <c r="G481" s="5"/>
      <c r="H481" s="5"/>
      <c r="I481" s="14"/>
      <c r="J481" s="14"/>
      <c r="K481" s="28" t="str">
        <f aca="false">IF(A481="","",COUNTIF(Contratos!$A:$A,A481))</f>
        <v/>
      </c>
      <c r="L481" s="39" t="str">
        <f aca="false">IF(A481="","",SUMIFS(Contratos!$D:$D,Contratos!$A:$A,A481)+SUMIFS(Contratos!$N:$N,Contratos!$A:$A,A481))</f>
        <v/>
      </c>
      <c r="M481" s="39" t="str">
        <f aca="false">IF(A481="","",SUMIFS(Pagamentos!$C:$C,Pagamentos!$A:$A,A481,Pagamentos!$F:$F,"Empenho"))</f>
        <v/>
      </c>
      <c r="N481" s="39" t="str">
        <f aca="false">IF(A481="","",SUMIFS(Pagamentos!$C:$C,Pagamentos!$A:$A,A481,Pagamentos!$F:$F,"Pagamento"))</f>
        <v/>
      </c>
      <c r="O481" s="37" t="str">
        <f aca="false">IF(OR(A481="",E481="",L481="",L481=0),"",E481/L481)</f>
        <v/>
      </c>
      <c r="P481" s="28" t="str">
        <f aca="false">IF(A481="","",COUNTIFS(Sancoes!$A:$A,A481,Sancoes!$B:$B,"&lt;&gt;Não consta"))</f>
        <v/>
      </c>
      <c r="Q481" s="28" t="str">
        <f aca="false">IF(A481="","",COUNTIF(Socios!$A:$A,A481))</f>
        <v/>
      </c>
      <c r="R481" s="28" t="str">
        <f aca="false">IF(A481="","",COUNTIFS(Socios!$A:$A,A481,Socios!$K:$K,"SIM"))</f>
        <v/>
      </c>
      <c r="S481" s="27"/>
      <c r="T481" s="5"/>
    </row>
    <row r="482" customFormat="false" ht="15" hidden="false" customHeight="false" outlineLevel="0" collapsed="false">
      <c r="A482" s="27"/>
      <c r="B482" s="5"/>
      <c r="C482" s="18"/>
      <c r="D482" s="5"/>
      <c r="E482" s="35"/>
      <c r="F482" s="5"/>
      <c r="G482" s="5"/>
      <c r="H482" s="5"/>
      <c r="I482" s="14"/>
      <c r="J482" s="14"/>
      <c r="K482" s="28" t="str">
        <f aca="false">IF(A482="","",COUNTIF(Contratos!$A:$A,A482))</f>
        <v/>
      </c>
      <c r="L482" s="39" t="str">
        <f aca="false">IF(A482="","",SUMIFS(Contratos!$D:$D,Contratos!$A:$A,A482)+SUMIFS(Contratos!$N:$N,Contratos!$A:$A,A482))</f>
        <v/>
      </c>
      <c r="M482" s="39" t="str">
        <f aca="false">IF(A482="","",SUMIFS(Pagamentos!$C:$C,Pagamentos!$A:$A,A482,Pagamentos!$F:$F,"Empenho"))</f>
        <v/>
      </c>
      <c r="N482" s="39" t="str">
        <f aca="false">IF(A482="","",SUMIFS(Pagamentos!$C:$C,Pagamentos!$A:$A,A482,Pagamentos!$F:$F,"Pagamento"))</f>
        <v/>
      </c>
      <c r="O482" s="37" t="str">
        <f aca="false">IF(OR(A482="",E482="",L482="",L482=0),"",E482/L482)</f>
        <v/>
      </c>
      <c r="P482" s="28" t="str">
        <f aca="false">IF(A482="","",COUNTIFS(Sancoes!$A:$A,A482,Sancoes!$B:$B,"&lt;&gt;Não consta"))</f>
        <v/>
      </c>
      <c r="Q482" s="28" t="str">
        <f aca="false">IF(A482="","",COUNTIF(Socios!$A:$A,A482))</f>
        <v/>
      </c>
      <c r="R482" s="28" t="str">
        <f aca="false">IF(A482="","",COUNTIFS(Socios!$A:$A,A482,Socios!$K:$K,"SIM"))</f>
        <v/>
      </c>
      <c r="S482" s="27"/>
      <c r="T482" s="5"/>
    </row>
    <row r="483" customFormat="false" ht="15" hidden="false" customHeight="false" outlineLevel="0" collapsed="false">
      <c r="A483" s="27"/>
      <c r="B483" s="5"/>
      <c r="C483" s="18"/>
      <c r="D483" s="5"/>
      <c r="E483" s="35"/>
      <c r="F483" s="5"/>
      <c r="G483" s="5"/>
      <c r="H483" s="5"/>
      <c r="I483" s="14"/>
      <c r="J483" s="14"/>
      <c r="K483" s="28" t="str">
        <f aca="false">IF(A483="","",COUNTIF(Contratos!$A:$A,A483))</f>
        <v/>
      </c>
      <c r="L483" s="39" t="str">
        <f aca="false">IF(A483="","",SUMIFS(Contratos!$D:$D,Contratos!$A:$A,A483)+SUMIFS(Contratos!$N:$N,Contratos!$A:$A,A483))</f>
        <v/>
      </c>
      <c r="M483" s="39" t="str">
        <f aca="false">IF(A483="","",SUMIFS(Pagamentos!$C:$C,Pagamentos!$A:$A,A483,Pagamentos!$F:$F,"Empenho"))</f>
        <v/>
      </c>
      <c r="N483" s="39" t="str">
        <f aca="false">IF(A483="","",SUMIFS(Pagamentos!$C:$C,Pagamentos!$A:$A,A483,Pagamentos!$F:$F,"Pagamento"))</f>
        <v/>
      </c>
      <c r="O483" s="37" t="str">
        <f aca="false">IF(OR(A483="",E483="",L483="",L483=0),"",E483/L483)</f>
        <v/>
      </c>
      <c r="P483" s="28" t="str">
        <f aca="false">IF(A483="","",COUNTIFS(Sancoes!$A:$A,A483,Sancoes!$B:$B,"&lt;&gt;Não consta"))</f>
        <v/>
      </c>
      <c r="Q483" s="28" t="str">
        <f aca="false">IF(A483="","",COUNTIF(Socios!$A:$A,A483))</f>
        <v/>
      </c>
      <c r="R483" s="28" t="str">
        <f aca="false">IF(A483="","",COUNTIFS(Socios!$A:$A,A483,Socios!$K:$K,"SIM"))</f>
        <v/>
      </c>
      <c r="S483" s="27"/>
      <c r="T483" s="5"/>
    </row>
    <row r="484" customFormat="false" ht="15" hidden="false" customHeight="false" outlineLevel="0" collapsed="false">
      <c r="A484" s="27"/>
      <c r="B484" s="5"/>
      <c r="C484" s="18"/>
      <c r="D484" s="5"/>
      <c r="E484" s="35"/>
      <c r="F484" s="5"/>
      <c r="G484" s="5"/>
      <c r="H484" s="5"/>
      <c r="I484" s="14"/>
      <c r="J484" s="14"/>
      <c r="K484" s="28" t="str">
        <f aca="false">IF(A484="","",COUNTIF(Contratos!$A:$A,A484))</f>
        <v/>
      </c>
      <c r="L484" s="39" t="str">
        <f aca="false">IF(A484="","",SUMIFS(Contratos!$D:$D,Contratos!$A:$A,A484)+SUMIFS(Contratos!$N:$N,Contratos!$A:$A,A484))</f>
        <v/>
      </c>
      <c r="M484" s="39" t="str">
        <f aca="false">IF(A484="","",SUMIFS(Pagamentos!$C:$C,Pagamentos!$A:$A,A484,Pagamentos!$F:$F,"Empenho"))</f>
        <v/>
      </c>
      <c r="N484" s="39" t="str">
        <f aca="false">IF(A484="","",SUMIFS(Pagamentos!$C:$C,Pagamentos!$A:$A,A484,Pagamentos!$F:$F,"Pagamento"))</f>
        <v/>
      </c>
      <c r="O484" s="37" t="str">
        <f aca="false">IF(OR(A484="",E484="",L484="",L484=0),"",E484/L484)</f>
        <v/>
      </c>
      <c r="P484" s="28" t="str">
        <f aca="false">IF(A484="","",COUNTIFS(Sancoes!$A:$A,A484,Sancoes!$B:$B,"&lt;&gt;Não consta"))</f>
        <v/>
      </c>
      <c r="Q484" s="28" t="str">
        <f aca="false">IF(A484="","",COUNTIF(Socios!$A:$A,A484))</f>
        <v/>
      </c>
      <c r="R484" s="28" t="str">
        <f aca="false">IF(A484="","",COUNTIFS(Socios!$A:$A,A484,Socios!$K:$K,"SIM"))</f>
        <v/>
      </c>
      <c r="S484" s="27"/>
      <c r="T484" s="5"/>
    </row>
    <row r="485" customFormat="false" ht="15" hidden="false" customHeight="false" outlineLevel="0" collapsed="false">
      <c r="A485" s="27"/>
      <c r="B485" s="5"/>
      <c r="C485" s="18"/>
      <c r="D485" s="5"/>
      <c r="E485" s="35"/>
      <c r="F485" s="5"/>
      <c r="G485" s="5"/>
      <c r="H485" s="5"/>
      <c r="I485" s="14"/>
      <c r="J485" s="14"/>
      <c r="K485" s="28" t="str">
        <f aca="false">IF(A485="","",COUNTIF(Contratos!$A:$A,A485))</f>
        <v/>
      </c>
      <c r="L485" s="39" t="str">
        <f aca="false">IF(A485="","",SUMIFS(Contratos!$D:$D,Contratos!$A:$A,A485)+SUMIFS(Contratos!$N:$N,Contratos!$A:$A,A485))</f>
        <v/>
      </c>
      <c r="M485" s="39" t="str">
        <f aca="false">IF(A485="","",SUMIFS(Pagamentos!$C:$C,Pagamentos!$A:$A,A485,Pagamentos!$F:$F,"Empenho"))</f>
        <v/>
      </c>
      <c r="N485" s="39" t="str">
        <f aca="false">IF(A485="","",SUMIFS(Pagamentos!$C:$C,Pagamentos!$A:$A,A485,Pagamentos!$F:$F,"Pagamento"))</f>
        <v/>
      </c>
      <c r="O485" s="37" t="str">
        <f aca="false">IF(OR(A485="",E485="",L485="",L485=0),"",E485/L485)</f>
        <v/>
      </c>
      <c r="P485" s="28" t="str">
        <f aca="false">IF(A485="","",COUNTIFS(Sancoes!$A:$A,A485,Sancoes!$B:$B,"&lt;&gt;Não consta"))</f>
        <v/>
      </c>
      <c r="Q485" s="28" t="str">
        <f aca="false">IF(A485="","",COUNTIF(Socios!$A:$A,A485))</f>
        <v/>
      </c>
      <c r="R485" s="28" t="str">
        <f aca="false">IF(A485="","",COUNTIFS(Socios!$A:$A,A485,Socios!$K:$K,"SIM"))</f>
        <v/>
      </c>
      <c r="S485" s="27"/>
      <c r="T485" s="5"/>
    </row>
    <row r="486" customFormat="false" ht="15" hidden="false" customHeight="false" outlineLevel="0" collapsed="false">
      <c r="A486" s="27"/>
      <c r="B486" s="5"/>
      <c r="C486" s="18"/>
      <c r="D486" s="5"/>
      <c r="E486" s="35"/>
      <c r="F486" s="5"/>
      <c r="G486" s="5"/>
      <c r="H486" s="5"/>
      <c r="I486" s="14"/>
      <c r="J486" s="14"/>
      <c r="K486" s="28" t="str">
        <f aca="false">IF(A486="","",COUNTIF(Contratos!$A:$A,A486))</f>
        <v/>
      </c>
      <c r="L486" s="39" t="str">
        <f aca="false">IF(A486="","",SUMIFS(Contratos!$D:$D,Contratos!$A:$A,A486)+SUMIFS(Contratos!$N:$N,Contratos!$A:$A,A486))</f>
        <v/>
      </c>
      <c r="M486" s="39" t="str">
        <f aca="false">IF(A486="","",SUMIFS(Pagamentos!$C:$C,Pagamentos!$A:$A,A486,Pagamentos!$F:$F,"Empenho"))</f>
        <v/>
      </c>
      <c r="N486" s="39" t="str">
        <f aca="false">IF(A486="","",SUMIFS(Pagamentos!$C:$C,Pagamentos!$A:$A,A486,Pagamentos!$F:$F,"Pagamento"))</f>
        <v/>
      </c>
      <c r="O486" s="37" t="str">
        <f aca="false">IF(OR(A486="",E486="",L486="",L486=0),"",E486/L486)</f>
        <v/>
      </c>
      <c r="P486" s="28" t="str">
        <f aca="false">IF(A486="","",COUNTIFS(Sancoes!$A:$A,A486,Sancoes!$B:$B,"&lt;&gt;Não consta"))</f>
        <v/>
      </c>
      <c r="Q486" s="28" t="str">
        <f aca="false">IF(A486="","",COUNTIF(Socios!$A:$A,A486))</f>
        <v/>
      </c>
      <c r="R486" s="28" t="str">
        <f aca="false">IF(A486="","",COUNTIFS(Socios!$A:$A,A486,Socios!$K:$K,"SIM"))</f>
        <v/>
      </c>
      <c r="S486" s="27"/>
      <c r="T486" s="5"/>
    </row>
    <row r="487" customFormat="false" ht="15" hidden="false" customHeight="false" outlineLevel="0" collapsed="false">
      <c r="A487" s="27"/>
      <c r="B487" s="5"/>
      <c r="C487" s="18"/>
      <c r="D487" s="5"/>
      <c r="E487" s="35"/>
      <c r="F487" s="5"/>
      <c r="G487" s="5"/>
      <c r="H487" s="5"/>
      <c r="I487" s="14"/>
      <c r="J487" s="14"/>
      <c r="K487" s="28" t="str">
        <f aca="false">IF(A487="","",COUNTIF(Contratos!$A:$A,A487))</f>
        <v/>
      </c>
      <c r="L487" s="39" t="str">
        <f aca="false">IF(A487="","",SUMIFS(Contratos!$D:$D,Contratos!$A:$A,A487)+SUMIFS(Contratos!$N:$N,Contratos!$A:$A,A487))</f>
        <v/>
      </c>
      <c r="M487" s="39" t="str">
        <f aca="false">IF(A487="","",SUMIFS(Pagamentos!$C:$C,Pagamentos!$A:$A,A487,Pagamentos!$F:$F,"Empenho"))</f>
        <v/>
      </c>
      <c r="N487" s="39" t="str">
        <f aca="false">IF(A487="","",SUMIFS(Pagamentos!$C:$C,Pagamentos!$A:$A,A487,Pagamentos!$F:$F,"Pagamento"))</f>
        <v/>
      </c>
      <c r="O487" s="37" t="str">
        <f aca="false">IF(OR(A487="",E487="",L487="",L487=0),"",E487/L487)</f>
        <v/>
      </c>
      <c r="P487" s="28" t="str">
        <f aca="false">IF(A487="","",COUNTIFS(Sancoes!$A:$A,A487,Sancoes!$B:$B,"&lt;&gt;Não consta"))</f>
        <v/>
      </c>
      <c r="Q487" s="28" t="str">
        <f aca="false">IF(A487="","",COUNTIF(Socios!$A:$A,A487))</f>
        <v/>
      </c>
      <c r="R487" s="28" t="str">
        <f aca="false">IF(A487="","",COUNTIFS(Socios!$A:$A,A487,Socios!$K:$K,"SIM"))</f>
        <v/>
      </c>
      <c r="S487" s="27"/>
      <c r="T487" s="5"/>
    </row>
    <row r="488" customFormat="false" ht="15" hidden="false" customHeight="false" outlineLevel="0" collapsed="false">
      <c r="A488" s="27"/>
      <c r="B488" s="5"/>
      <c r="C488" s="18"/>
      <c r="D488" s="5"/>
      <c r="E488" s="35"/>
      <c r="F488" s="5"/>
      <c r="G488" s="5"/>
      <c r="H488" s="5"/>
      <c r="I488" s="14"/>
      <c r="J488" s="14"/>
      <c r="K488" s="28" t="str">
        <f aca="false">IF(A488="","",COUNTIF(Contratos!$A:$A,A488))</f>
        <v/>
      </c>
      <c r="L488" s="39" t="str">
        <f aca="false">IF(A488="","",SUMIFS(Contratos!$D:$D,Contratos!$A:$A,A488)+SUMIFS(Contratos!$N:$N,Contratos!$A:$A,A488))</f>
        <v/>
      </c>
      <c r="M488" s="39" t="str">
        <f aca="false">IF(A488="","",SUMIFS(Pagamentos!$C:$C,Pagamentos!$A:$A,A488,Pagamentos!$F:$F,"Empenho"))</f>
        <v/>
      </c>
      <c r="N488" s="39" t="str">
        <f aca="false">IF(A488="","",SUMIFS(Pagamentos!$C:$C,Pagamentos!$A:$A,A488,Pagamentos!$F:$F,"Pagamento"))</f>
        <v/>
      </c>
      <c r="O488" s="37" t="str">
        <f aca="false">IF(OR(A488="",E488="",L488="",L488=0),"",E488/L488)</f>
        <v/>
      </c>
      <c r="P488" s="28" t="str">
        <f aca="false">IF(A488="","",COUNTIFS(Sancoes!$A:$A,A488,Sancoes!$B:$B,"&lt;&gt;Não consta"))</f>
        <v/>
      </c>
      <c r="Q488" s="28" t="str">
        <f aca="false">IF(A488="","",COUNTIF(Socios!$A:$A,A488))</f>
        <v/>
      </c>
      <c r="R488" s="28" t="str">
        <f aca="false">IF(A488="","",COUNTIFS(Socios!$A:$A,A488,Socios!$K:$K,"SIM"))</f>
        <v/>
      </c>
      <c r="S488" s="27"/>
      <c r="T488" s="5"/>
    </row>
    <row r="489" customFormat="false" ht="15" hidden="false" customHeight="false" outlineLevel="0" collapsed="false">
      <c r="A489" s="27"/>
      <c r="B489" s="5"/>
      <c r="C489" s="18"/>
      <c r="D489" s="5"/>
      <c r="E489" s="35"/>
      <c r="F489" s="5"/>
      <c r="G489" s="5"/>
      <c r="H489" s="5"/>
      <c r="I489" s="14"/>
      <c r="J489" s="14"/>
      <c r="K489" s="28" t="str">
        <f aca="false">IF(A489="","",COUNTIF(Contratos!$A:$A,A489))</f>
        <v/>
      </c>
      <c r="L489" s="39" t="str">
        <f aca="false">IF(A489="","",SUMIFS(Contratos!$D:$D,Contratos!$A:$A,A489)+SUMIFS(Contratos!$N:$N,Contratos!$A:$A,A489))</f>
        <v/>
      </c>
      <c r="M489" s="39" t="str">
        <f aca="false">IF(A489="","",SUMIFS(Pagamentos!$C:$C,Pagamentos!$A:$A,A489,Pagamentos!$F:$F,"Empenho"))</f>
        <v/>
      </c>
      <c r="N489" s="39" t="str">
        <f aca="false">IF(A489="","",SUMIFS(Pagamentos!$C:$C,Pagamentos!$A:$A,A489,Pagamentos!$F:$F,"Pagamento"))</f>
        <v/>
      </c>
      <c r="O489" s="37" t="str">
        <f aca="false">IF(OR(A489="",E489="",L489="",L489=0),"",E489/L489)</f>
        <v/>
      </c>
      <c r="P489" s="28" t="str">
        <f aca="false">IF(A489="","",COUNTIFS(Sancoes!$A:$A,A489,Sancoes!$B:$B,"&lt;&gt;Não consta"))</f>
        <v/>
      </c>
      <c r="Q489" s="28" t="str">
        <f aca="false">IF(A489="","",COUNTIF(Socios!$A:$A,A489))</f>
        <v/>
      </c>
      <c r="R489" s="28" t="str">
        <f aca="false">IF(A489="","",COUNTIFS(Socios!$A:$A,A489,Socios!$K:$K,"SIM"))</f>
        <v/>
      </c>
      <c r="S489" s="27"/>
      <c r="T489" s="5"/>
    </row>
    <row r="490" customFormat="false" ht="15" hidden="false" customHeight="false" outlineLevel="0" collapsed="false">
      <c r="A490" s="27"/>
      <c r="B490" s="5"/>
      <c r="C490" s="18"/>
      <c r="D490" s="5"/>
      <c r="E490" s="35"/>
      <c r="F490" s="5"/>
      <c r="G490" s="5"/>
      <c r="H490" s="5"/>
      <c r="I490" s="14"/>
      <c r="J490" s="14"/>
      <c r="K490" s="28" t="str">
        <f aca="false">IF(A490="","",COUNTIF(Contratos!$A:$A,A490))</f>
        <v/>
      </c>
      <c r="L490" s="39" t="str">
        <f aca="false">IF(A490="","",SUMIFS(Contratos!$D:$D,Contratos!$A:$A,A490)+SUMIFS(Contratos!$N:$N,Contratos!$A:$A,A490))</f>
        <v/>
      </c>
      <c r="M490" s="39" t="str">
        <f aca="false">IF(A490="","",SUMIFS(Pagamentos!$C:$C,Pagamentos!$A:$A,A490,Pagamentos!$F:$F,"Empenho"))</f>
        <v/>
      </c>
      <c r="N490" s="39" t="str">
        <f aca="false">IF(A490="","",SUMIFS(Pagamentos!$C:$C,Pagamentos!$A:$A,A490,Pagamentos!$F:$F,"Pagamento"))</f>
        <v/>
      </c>
      <c r="O490" s="37" t="str">
        <f aca="false">IF(OR(A490="",E490="",L490="",L490=0),"",E490/L490)</f>
        <v/>
      </c>
      <c r="P490" s="28" t="str">
        <f aca="false">IF(A490="","",COUNTIFS(Sancoes!$A:$A,A490,Sancoes!$B:$B,"&lt;&gt;Não consta"))</f>
        <v/>
      </c>
      <c r="Q490" s="28" t="str">
        <f aca="false">IF(A490="","",COUNTIF(Socios!$A:$A,A490))</f>
        <v/>
      </c>
      <c r="R490" s="28" t="str">
        <f aca="false">IF(A490="","",COUNTIFS(Socios!$A:$A,A490,Socios!$K:$K,"SIM"))</f>
        <v/>
      </c>
      <c r="S490" s="27"/>
      <c r="T490" s="5"/>
    </row>
    <row r="491" customFormat="false" ht="15" hidden="false" customHeight="false" outlineLevel="0" collapsed="false">
      <c r="A491" s="27"/>
      <c r="B491" s="5"/>
      <c r="C491" s="18"/>
      <c r="D491" s="5"/>
      <c r="E491" s="35"/>
      <c r="F491" s="5"/>
      <c r="G491" s="5"/>
      <c r="H491" s="5"/>
      <c r="I491" s="14"/>
      <c r="J491" s="14"/>
      <c r="K491" s="28" t="str">
        <f aca="false">IF(A491="","",COUNTIF(Contratos!$A:$A,A491))</f>
        <v/>
      </c>
      <c r="L491" s="39" t="str">
        <f aca="false">IF(A491="","",SUMIFS(Contratos!$D:$D,Contratos!$A:$A,A491)+SUMIFS(Contratos!$N:$N,Contratos!$A:$A,A491))</f>
        <v/>
      </c>
      <c r="M491" s="39" t="str">
        <f aca="false">IF(A491="","",SUMIFS(Pagamentos!$C:$C,Pagamentos!$A:$A,A491,Pagamentos!$F:$F,"Empenho"))</f>
        <v/>
      </c>
      <c r="N491" s="39" t="str">
        <f aca="false">IF(A491="","",SUMIFS(Pagamentos!$C:$C,Pagamentos!$A:$A,A491,Pagamentos!$F:$F,"Pagamento"))</f>
        <v/>
      </c>
      <c r="O491" s="37" t="str">
        <f aca="false">IF(OR(A491="",E491="",L491="",L491=0),"",E491/L491)</f>
        <v/>
      </c>
      <c r="P491" s="28" t="str">
        <f aca="false">IF(A491="","",COUNTIFS(Sancoes!$A:$A,A491,Sancoes!$B:$B,"&lt;&gt;Não consta"))</f>
        <v/>
      </c>
      <c r="Q491" s="28" t="str">
        <f aca="false">IF(A491="","",COUNTIF(Socios!$A:$A,A491))</f>
        <v/>
      </c>
      <c r="R491" s="28" t="str">
        <f aca="false">IF(A491="","",COUNTIFS(Socios!$A:$A,A491,Socios!$K:$K,"SIM"))</f>
        <v/>
      </c>
      <c r="S491" s="27"/>
      <c r="T491" s="5"/>
    </row>
    <row r="492" customFormat="false" ht="15" hidden="false" customHeight="false" outlineLevel="0" collapsed="false">
      <c r="A492" s="27"/>
      <c r="B492" s="5"/>
      <c r="C492" s="18"/>
      <c r="D492" s="5"/>
      <c r="E492" s="35"/>
      <c r="F492" s="5"/>
      <c r="G492" s="5"/>
      <c r="H492" s="5"/>
      <c r="I492" s="14"/>
      <c r="J492" s="14"/>
      <c r="K492" s="28" t="str">
        <f aca="false">IF(A492="","",COUNTIF(Contratos!$A:$A,A492))</f>
        <v/>
      </c>
      <c r="L492" s="39" t="str">
        <f aca="false">IF(A492="","",SUMIFS(Contratos!$D:$D,Contratos!$A:$A,A492)+SUMIFS(Contratos!$N:$N,Contratos!$A:$A,A492))</f>
        <v/>
      </c>
      <c r="M492" s="39" t="str">
        <f aca="false">IF(A492="","",SUMIFS(Pagamentos!$C:$C,Pagamentos!$A:$A,A492,Pagamentos!$F:$F,"Empenho"))</f>
        <v/>
      </c>
      <c r="N492" s="39" t="str">
        <f aca="false">IF(A492="","",SUMIFS(Pagamentos!$C:$C,Pagamentos!$A:$A,A492,Pagamentos!$F:$F,"Pagamento"))</f>
        <v/>
      </c>
      <c r="O492" s="37" t="str">
        <f aca="false">IF(OR(A492="",E492="",L492="",L492=0),"",E492/L492)</f>
        <v/>
      </c>
      <c r="P492" s="28" t="str">
        <f aca="false">IF(A492="","",COUNTIFS(Sancoes!$A:$A,A492,Sancoes!$B:$B,"&lt;&gt;Não consta"))</f>
        <v/>
      </c>
      <c r="Q492" s="28" t="str">
        <f aca="false">IF(A492="","",COUNTIF(Socios!$A:$A,A492))</f>
        <v/>
      </c>
      <c r="R492" s="28" t="str">
        <f aca="false">IF(A492="","",COUNTIFS(Socios!$A:$A,A492,Socios!$K:$K,"SIM"))</f>
        <v/>
      </c>
      <c r="S492" s="27"/>
      <c r="T492" s="5"/>
    </row>
    <row r="493" customFormat="false" ht="15" hidden="false" customHeight="false" outlineLevel="0" collapsed="false">
      <c r="A493" s="27"/>
      <c r="B493" s="5"/>
      <c r="C493" s="18"/>
      <c r="D493" s="5"/>
      <c r="E493" s="35"/>
      <c r="F493" s="5"/>
      <c r="G493" s="5"/>
      <c r="H493" s="5"/>
      <c r="I493" s="14"/>
      <c r="J493" s="14"/>
      <c r="K493" s="28" t="str">
        <f aca="false">IF(A493="","",COUNTIF(Contratos!$A:$A,A493))</f>
        <v/>
      </c>
      <c r="L493" s="39" t="str">
        <f aca="false">IF(A493="","",SUMIFS(Contratos!$D:$D,Contratos!$A:$A,A493)+SUMIFS(Contratos!$N:$N,Contratos!$A:$A,A493))</f>
        <v/>
      </c>
      <c r="M493" s="39" t="str">
        <f aca="false">IF(A493="","",SUMIFS(Pagamentos!$C:$C,Pagamentos!$A:$A,A493,Pagamentos!$F:$F,"Empenho"))</f>
        <v/>
      </c>
      <c r="N493" s="39" t="str">
        <f aca="false">IF(A493="","",SUMIFS(Pagamentos!$C:$C,Pagamentos!$A:$A,A493,Pagamentos!$F:$F,"Pagamento"))</f>
        <v/>
      </c>
      <c r="O493" s="37" t="str">
        <f aca="false">IF(OR(A493="",E493="",L493="",L493=0),"",E493/L493)</f>
        <v/>
      </c>
      <c r="P493" s="28" t="str">
        <f aca="false">IF(A493="","",COUNTIFS(Sancoes!$A:$A,A493,Sancoes!$B:$B,"&lt;&gt;Não consta"))</f>
        <v/>
      </c>
      <c r="Q493" s="28" t="str">
        <f aca="false">IF(A493="","",COUNTIF(Socios!$A:$A,A493))</f>
        <v/>
      </c>
      <c r="R493" s="28" t="str">
        <f aca="false">IF(A493="","",COUNTIFS(Socios!$A:$A,A493,Socios!$K:$K,"SIM"))</f>
        <v/>
      </c>
      <c r="S493" s="27"/>
      <c r="T493" s="5"/>
    </row>
    <row r="494" customFormat="false" ht="15" hidden="false" customHeight="false" outlineLevel="0" collapsed="false">
      <c r="A494" s="27"/>
      <c r="B494" s="5"/>
      <c r="C494" s="18"/>
      <c r="D494" s="5"/>
      <c r="E494" s="35"/>
      <c r="F494" s="5"/>
      <c r="G494" s="5"/>
      <c r="H494" s="5"/>
      <c r="I494" s="14"/>
      <c r="J494" s="14"/>
      <c r="K494" s="28" t="str">
        <f aca="false">IF(A494="","",COUNTIF(Contratos!$A:$A,A494))</f>
        <v/>
      </c>
      <c r="L494" s="39" t="str">
        <f aca="false">IF(A494="","",SUMIFS(Contratos!$D:$D,Contratos!$A:$A,A494)+SUMIFS(Contratos!$N:$N,Contratos!$A:$A,A494))</f>
        <v/>
      </c>
      <c r="M494" s="39" t="str">
        <f aca="false">IF(A494="","",SUMIFS(Pagamentos!$C:$C,Pagamentos!$A:$A,A494,Pagamentos!$F:$F,"Empenho"))</f>
        <v/>
      </c>
      <c r="N494" s="39" t="str">
        <f aca="false">IF(A494="","",SUMIFS(Pagamentos!$C:$C,Pagamentos!$A:$A,A494,Pagamentos!$F:$F,"Pagamento"))</f>
        <v/>
      </c>
      <c r="O494" s="37" t="str">
        <f aca="false">IF(OR(A494="",E494="",L494="",L494=0),"",E494/L494)</f>
        <v/>
      </c>
      <c r="P494" s="28" t="str">
        <f aca="false">IF(A494="","",COUNTIFS(Sancoes!$A:$A,A494,Sancoes!$B:$B,"&lt;&gt;Não consta"))</f>
        <v/>
      </c>
      <c r="Q494" s="28" t="str">
        <f aca="false">IF(A494="","",COUNTIF(Socios!$A:$A,A494))</f>
        <v/>
      </c>
      <c r="R494" s="28" t="str">
        <f aca="false">IF(A494="","",COUNTIFS(Socios!$A:$A,A494,Socios!$K:$K,"SIM"))</f>
        <v/>
      </c>
      <c r="S494" s="27"/>
      <c r="T494" s="5"/>
    </row>
    <row r="495" customFormat="false" ht="15" hidden="false" customHeight="false" outlineLevel="0" collapsed="false">
      <c r="A495" s="27"/>
      <c r="B495" s="5"/>
      <c r="C495" s="18"/>
      <c r="D495" s="5"/>
      <c r="E495" s="35"/>
      <c r="F495" s="5"/>
      <c r="G495" s="5"/>
      <c r="H495" s="5"/>
      <c r="I495" s="14"/>
      <c r="J495" s="14"/>
      <c r="K495" s="28" t="str">
        <f aca="false">IF(A495="","",COUNTIF(Contratos!$A:$A,A495))</f>
        <v/>
      </c>
      <c r="L495" s="39" t="str">
        <f aca="false">IF(A495="","",SUMIFS(Contratos!$D:$D,Contratos!$A:$A,A495)+SUMIFS(Contratos!$N:$N,Contratos!$A:$A,A495))</f>
        <v/>
      </c>
      <c r="M495" s="39" t="str">
        <f aca="false">IF(A495="","",SUMIFS(Pagamentos!$C:$C,Pagamentos!$A:$A,A495,Pagamentos!$F:$F,"Empenho"))</f>
        <v/>
      </c>
      <c r="N495" s="39" t="str">
        <f aca="false">IF(A495="","",SUMIFS(Pagamentos!$C:$C,Pagamentos!$A:$A,A495,Pagamentos!$F:$F,"Pagamento"))</f>
        <v/>
      </c>
      <c r="O495" s="37" t="str">
        <f aca="false">IF(OR(A495="",E495="",L495="",L495=0),"",E495/L495)</f>
        <v/>
      </c>
      <c r="P495" s="28" t="str">
        <f aca="false">IF(A495="","",COUNTIFS(Sancoes!$A:$A,A495,Sancoes!$B:$B,"&lt;&gt;Não consta"))</f>
        <v/>
      </c>
      <c r="Q495" s="28" t="str">
        <f aca="false">IF(A495="","",COUNTIF(Socios!$A:$A,A495))</f>
        <v/>
      </c>
      <c r="R495" s="28" t="str">
        <f aca="false">IF(A495="","",COUNTIFS(Socios!$A:$A,A495,Socios!$K:$K,"SIM"))</f>
        <v/>
      </c>
      <c r="S495" s="27"/>
      <c r="T495" s="5"/>
    </row>
    <row r="496" customFormat="false" ht="15" hidden="false" customHeight="false" outlineLevel="0" collapsed="false">
      <c r="A496" s="27"/>
      <c r="B496" s="5"/>
      <c r="C496" s="18"/>
      <c r="D496" s="5"/>
      <c r="E496" s="35"/>
      <c r="F496" s="5"/>
      <c r="G496" s="5"/>
      <c r="H496" s="5"/>
      <c r="I496" s="14"/>
      <c r="J496" s="14"/>
      <c r="K496" s="28" t="str">
        <f aca="false">IF(A496="","",COUNTIF(Contratos!$A:$A,A496))</f>
        <v/>
      </c>
      <c r="L496" s="39" t="str">
        <f aca="false">IF(A496="","",SUMIFS(Contratos!$D:$D,Contratos!$A:$A,A496)+SUMIFS(Contratos!$N:$N,Contratos!$A:$A,A496))</f>
        <v/>
      </c>
      <c r="M496" s="39" t="str">
        <f aca="false">IF(A496="","",SUMIFS(Pagamentos!$C:$C,Pagamentos!$A:$A,A496,Pagamentos!$F:$F,"Empenho"))</f>
        <v/>
      </c>
      <c r="N496" s="39" t="str">
        <f aca="false">IF(A496="","",SUMIFS(Pagamentos!$C:$C,Pagamentos!$A:$A,A496,Pagamentos!$F:$F,"Pagamento"))</f>
        <v/>
      </c>
      <c r="O496" s="37" t="str">
        <f aca="false">IF(OR(A496="",E496="",L496="",L496=0),"",E496/L496)</f>
        <v/>
      </c>
      <c r="P496" s="28" t="str">
        <f aca="false">IF(A496="","",COUNTIFS(Sancoes!$A:$A,A496,Sancoes!$B:$B,"&lt;&gt;Não consta"))</f>
        <v/>
      </c>
      <c r="Q496" s="28" t="str">
        <f aca="false">IF(A496="","",COUNTIF(Socios!$A:$A,A496))</f>
        <v/>
      </c>
      <c r="R496" s="28" t="str">
        <f aca="false">IF(A496="","",COUNTIFS(Socios!$A:$A,A496,Socios!$K:$K,"SIM"))</f>
        <v/>
      </c>
      <c r="S496" s="27"/>
      <c r="T496" s="5"/>
    </row>
    <row r="497" customFormat="false" ht="15" hidden="false" customHeight="false" outlineLevel="0" collapsed="false">
      <c r="A497" s="27"/>
      <c r="B497" s="5"/>
      <c r="C497" s="18"/>
      <c r="D497" s="5"/>
      <c r="E497" s="35"/>
      <c r="F497" s="5"/>
      <c r="G497" s="5"/>
      <c r="H497" s="5"/>
      <c r="I497" s="14"/>
      <c r="J497" s="14"/>
      <c r="K497" s="28" t="str">
        <f aca="false">IF(A497="","",COUNTIF(Contratos!$A:$A,A497))</f>
        <v/>
      </c>
      <c r="L497" s="39" t="str">
        <f aca="false">IF(A497="","",SUMIFS(Contratos!$D:$D,Contratos!$A:$A,A497)+SUMIFS(Contratos!$N:$N,Contratos!$A:$A,A497))</f>
        <v/>
      </c>
      <c r="M497" s="39" t="str">
        <f aca="false">IF(A497="","",SUMIFS(Pagamentos!$C:$C,Pagamentos!$A:$A,A497,Pagamentos!$F:$F,"Empenho"))</f>
        <v/>
      </c>
      <c r="N497" s="39" t="str">
        <f aca="false">IF(A497="","",SUMIFS(Pagamentos!$C:$C,Pagamentos!$A:$A,A497,Pagamentos!$F:$F,"Pagamento"))</f>
        <v/>
      </c>
      <c r="O497" s="37" t="str">
        <f aca="false">IF(OR(A497="",E497="",L497="",L497=0),"",E497/L497)</f>
        <v/>
      </c>
      <c r="P497" s="28" t="str">
        <f aca="false">IF(A497="","",COUNTIFS(Sancoes!$A:$A,A497,Sancoes!$B:$B,"&lt;&gt;Não consta"))</f>
        <v/>
      </c>
      <c r="Q497" s="28" t="str">
        <f aca="false">IF(A497="","",COUNTIF(Socios!$A:$A,A497))</f>
        <v/>
      </c>
      <c r="R497" s="28" t="str">
        <f aca="false">IF(A497="","",COUNTIFS(Socios!$A:$A,A497,Socios!$K:$K,"SIM"))</f>
        <v/>
      </c>
      <c r="S497" s="27"/>
      <c r="T497" s="5"/>
    </row>
    <row r="498" customFormat="false" ht="15" hidden="false" customHeight="false" outlineLevel="0" collapsed="false">
      <c r="A498" s="27"/>
      <c r="B498" s="5"/>
      <c r="C498" s="18"/>
      <c r="D498" s="5"/>
      <c r="E498" s="35"/>
      <c r="F498" s="5"/>
      <c r="G498" s="5"/>
      <c r="H498" s="5"/>
      <c r="I498" s="14"/>
      <c r="J498" s="14"/>
      <c r="K498" s="28" t="str">
        <f aca="false">IF(A498="","",COUNTIF(Contratos!$A:$A,A498))</f>
        <v/>
      </c>
      <c r="L498" s="39" t="str">
        <f aca="false">IF(A498="","",SUMIFS(Contratos!$D:$D,Contratos!$A:$A,A498)+SUMIFS(Contratos!$N:$N,Contratos!$A:$A,A498))</f>
        <v/>
      </c>
      <c r="M498" s="39" t="str">
        <f aca="false">IF(A498="","",SUMIFS(Pagamentos!$C:$C,Pagamentos!$A:$A,A498,Pagamentos!$F:$F,"Empenho"))</f>
        <v/>
      </c>
      <c r="N498" s="39" t="str">
        <f aca="false">IF(A498="","",SUMIFS(Pagamentos!$C:$C,Pagamentos!$A:$A,A498,Pagamentos!$F:$F,"Pagamento"))</f>
        <v/>
      </c>
      <c r="O498" s="37" t="str">
        <f aca="false">IF(OR(A498="",E498="",L498="",L498=0),"",E498/L498)</f>
        <v/>
      </c>
      <c r="P498" s="28" t="str">
        <f aca="false">IF(A498="","",COUNTIFS(Sancoes!$A:$A,A498,Sancoes!$B:$B,"&lt;&gt;Não consta"))</f>
        <v/>
      </c>
      <c r="Q498" s="28" t="str">
        <f aca="false">IF(A498="","",COUNTIF(Socios!$A:$A,A498))</f>
        <v/>
      </c>
      <c r="R498" s="28" t="str">
        <f aca="false">IF(A498="","",COUNTIFS(Socios!$A:$A,A498,Socios!$K:$K,"SIM"))</f>
        <v/>
      </c>
      <c r="S498" s="27"/>
      <c r="T498" s="5"/>
    </row>
    <row r="499" customFormat="false" ht="15" hidden="false" customHeight="false" outlineLevel="0" collapsed="false">
      <c r="A499" s="27"/>
      <c r="B499" s="5"/>
      <c r="C499" s="18"/>
      <c r="D499" s="5"/>
      <c r="E499" s="35"/>
      <c r="F499" s="5"/>
      <c r="G499" s="5"/>
      <c r="H499" s="5"/>
      <c r="I499" s="14"/>
      <c r="J499" s="14"/>
      <c r="K499" s="28" t="str">
        <f aca="false">IF(A499="","",COUNTIF(Contratos!$A:$A,A499))</f>
        <v/>
      </c>
      <c r="L499" s="39" t="str">
        <f aca="false">IF(A499="","",SUMIFS(Contratos!$D:$D,Contratos!$A:$A,A499)+SUMIFS(Contratos!$N:$N,Contratos!$A:$A,A499))</f>
        <v/>
      </c>
      <c r="M499" s="39" t="str">
        <f aca="false">IF(A499="","",SUMIFS(Pagamentos!$C:$C,Pagamentos!$A:$A,A499,Pagamentos!$F:$F,"Empenho"))</f>
        <v/>
      </c>
      <c r="N499" s="39" t="str">
        <f aca="false">IF(A499="","",SUMIFS(Pagamentos!$C:$C,Pagamentos!$A:$A,A499,Pagamentos!$F:$F,"Pagamento"))</f>
        <v/>
      </c>
      <c r="O499" s="37" t="str">
        <f aca="false">IF(OR(A499="",E499="",L499="",L499=0),"",E499/L499)</f>
        <v/>
      </c>
      <c r="P499" s="28" t="str">
        <f aca="false">IF(A499="","",COUNTIFS(Sancoes!$A:$A,A499,Sancoes!$B:$B,"&lt;&gt;Não consta"))</f>
        <v/>
      </c>
      <c r="Q499" s="28" t="str">
        <f aca="false">IF(A499="","",COUNTIF(Socios!$A:$A,A499))</f>
        <v/>
      </c>
      <c r="R499" s="28" t="str">
        <f aca="false">IF(A499="","",COUNTIFS(Socios!$A:$A,A499,Socios!$K:$K,"SIM"))</f>
        <v/>
      </c>
      <c r="S499" s="27"/>
      <c r="T499" s="5"/>
    </row>
    <row r="500" customFormat="false" ht="15" hidden="false" customHeight="false" outlineLevel="0" collapsed="false">
      <c r="A500" s="27"/>
      <c r="B500" s="5"/>
      <c r="C500" s="18"/>
      <c r="D500" s="5"/>
      <c r="E500" s="35"/>
      <c r="F500" s="5"/>
      <c r="G500" s="5"/>
      <c r="H500" s="5"/>
      <c r="I500" s="14"/>
      <c r="J500" s="14"/>
      <c r="K500" s="28" t="str">
        <f aca="false">IF(A500="","",COUNTIF(Contratos!$A:$A,A500))</f>
        <v/>
      </c>
      <c r="L500" s="39" t="str">
        <f aca="false">IF(A500="","",SUMIFS(Contratos!$D:$D,Contratos!$A:$A,A500)+SUMIFS(Contratos!$N:$N,Contratos!$A:$A,A500))</f>
        <v/>
      </c>
      <c r="M500" s="39" t="str">
        <f aca="false">IF(A500="","",SUMIFS(Pagamentos!$C:$C,Pagamentos!$A:$A,A500,Pagamentos!$F:$F,"Empenho"))</f>
        <v/>
      </c>
      <c r="N500" s="39" t="str">
        <f aca="false">IF(A500="","",SUMIFS(Pagamentos!$C:$C,Pagamentos!$A:$A,A500,Pagamentos!$F:$F,"Pagamento"))</f>
        <v/>
      </c>
      <c r="O500" s="37" t="str">
        <f aca="false">IF(OR(A500="",E500="",L500="",L500=0),"",E500/L500)</f>
        <v/>
      </c>
      <c r="P500" s="28" t="str">
        <f aca="false">IF(A500="","",COUNTIFS(Sancoes!$A:$A,A500,Sancoes!$B:$B,"&lt;&gt;Não consta"))</f>
        <v/>
      </c>
      <c r="Q500" s="28" t="str">
        <f aca="false">IF(A500="","",COUNTIF(Socios!$A:$A,A500))</f>
        <v/>
      </c>
      <c r="R500" s="28" t="str">
        <f aca="false">IF(A500="","",COUNTIFS(Socios!$A:$A,A500,Socios!$K:$K,"SIM"))</f>
        <v/>
      </c>
      <c r="S500" s="27"/>
      <c r="T500" s="5"/>
    </row>
    <row r="501" customFormat="false" ht="15" hidden="false" customHeight="false" outlineLevel="0" collapsed="false">
      <c r="A501" s="27"/>
      <c r="B501" s="5"/>
      <c r="C501" s="18"/>
      <c r="D501" s="5"/>
      <c r="E501" s="35"/>
      <c r="F501" s="5"/>
      <c r="G501" s="5"/>
      <c r="H501" s="5"/>
      <c r="I501" s="14"/>
      <c r="J501" s="14"/>
      <c r="K501" s="28" t="str">
        <f aca="false">IF(A501="","",COUNTIF(Contratos!$A:$A,A501))</f>
        <v/>
      </c>
      <c r="L501" s="39" t="str">
        <f aca="false">IF(A501="","",SUMIFS(Contratos!$D:$D,Contratos!$A:$A,A501)+SUMIFS(Contratos!$N:$N,Contratos!$A:$A,A501))</f>
        <v/>
      </c>
      <c r="M501" s="39" t="str">
        <f aca="false">IF(A501="","",SUMIFS(Pagamentos!$C:$C,Pagamentos!$A:$A,A501,Pagamentos!$F:$F,"Empenho"))</f>
        <v/>
      </c>
      <c r="N501" s="39" t="str">
        <f aca="false">IF(A501="","",SUMIFS(Pagamentos!$C:$C,Pagamentos!$A:$A,A501,Pagamentos!$F:$F,"Pagamento"))</f>
        <v/>
      </c>
      <c r="O501" s="37" t="str">
        <f aca="false">IF(OR(A501="",E501="",L501="",L501=0),"",E501/L501)</f>
        <v/>
      </c>
      <c r="P501" s="28" t="str">
        <f aca="false">IF(A501="","",COUNTIFS(Sancoes!$A:$A,A501,Sancoes!$B:$B,"&lt;&gt;Não consta"))</f>
        <v/>
      </c>
      <c r="Q501" s="28" t="str">
        <f aca="false">IF(A501="","",COUNTIF(Socios!$A:$A,A501))</f>
        <v/>
      </c>
      <c r="R501" s="28" t="str">
        <f aca="false">IF(A501="","",COUNTIFS(Socios!$A:$A,A501,Socios!$K:$K,"SIM"))</f>
        <v/>
      </c>
      <c r="S501" s="27"/>
      <c r="T501" s="5"/>
    </row>
  </sheetData>
  <autoFilter ref="A1:T501"/>
  <conditionalFormatting sqref="A2:A501">
    <cfRule type="expression" priority="2" aboveAverage="0" equalAverage="0" bottom="0" percent="0" rank="0" text="" dxfId="17">
      <formula>AND(A2&lt;&gt;"",LEN(A2)&lt;&gt;14)</formula>
    </cfRule>
  </conditionalFormatting>
  <conditionalFormatting sqref="P2:P501">
    <cfRule type="expression" priority="3" aboveAverage="0" equalAverage="0" bottom="0" percent="0" rank="0" text="" dxfId="8">
      <formula>AND(ISNUMBER(P2),P2&gt;0)</formula>
    </cfRule>
  </conditionalFormatting>
  <conditionalFormatting sqref="R2:R501">
    <cfRule type="expression" priority="4" aboveAverage="0" equalAverage="0" bottom="0" percent="0" rank="0" text="" dxfId="8">
      <formula>AND(ISNUMBER(R2),R2&gt;0)</formula>
    </cfRule>
  </conditionalFormatting>
  <dataValidations count="1">
    <dataValidation allowBlank="true" error="Digite o CNPJ como texto, com 14 caracteres, sem pontos, barra ou traço. É a chave de todos os cruzamentos." errorStyle="warning" errorTitle="CNPJ com 14 caracteres" operator="equal" showDropDown="false" showErrorMessage="true" showInputMessage="false" sqref="A2:A501" type="textLength">
      <formula1>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8" min="8" style="0" width="24"/>
    <col collapsed="false" customWidth="true" hidden="false" outlineLevel="0" max="9" min="9" style="0" width="10"/>
    <col collapsed="false" customWidth="true" hidden="false" outlineLevel="0" max="10" min="10" style="0" width="28"/>
    <col collapsed="false" customWidth="true" hidden="false" outlineLevel="0" max="11" min="11" style="0" width="16"/>
    <col collapsed="false" customWidth="true" hidden="false" outlineLevel="0" max="12" min="12" style="0" width="11"/>
    <col collapsed="false" customWidth="true" hidden="false" outlineLevel="0" max="13" min="13" style="0" width="30"/>
  </cols>
  <sheetData>
    <row r="1" customFormat="false" ht="39.75" hidden="false" customHeight="true" outlineLevel="0" collapsed="false">
      <c r="A1" s="10" t="s">
        <v>460</v>
      </c>
      <c r="B1" s="10" t="s">
        <v>507</v>
      </c>
      <c r="C1" s="10" t="s">
        <v>508</v>
      </c>
      <c r="D1" s="10" t="s">
        <v>509</v>
      </c>
      <c r="E1" s="10" t="s">
        <v>510</v>
      </c>
      <c r="F1" s="10" t="s">
        <v>511</v>
      </c>
      <c r="G1" s="15" t="s">
        <v>512</v>
      </c>
      <c r="H1" s="15" t="s">
        <v>513</v>
      </c>
      <c r="I1" s="15" t="s">
        <v>514</v>
      </c>
      <c r="J1" s="15" t="s">
        <v>515</v>
      </c>
      <c r="K1" s="15" t="s">
        <v>516</v>
      </c>
      <c r="L1" s="10" t="s">
        <v>395</v>
      </c>
      <c r="M1" s="10" t="s">
        <v>138</v>
      </c>
    </row>
    <row r="2" customFormat="false" ht="15" hidden="false" customHeight="false" outlineLevel="0" collapsed="false">
      <c r="A2" s="23" t="s">
        <v>414</v>
      </c>
      <c r="B2" s="7" t="s">
        <v>173</v>
      </c>
      <c r="C2" s="23" t="s">
        <v>517</v>
      </c>
      <c r="D2" s="16" t="n">
        <v>45726</v>
      </c>
      <c r="E2" s="13" t="s">
        <v>518</v>
      </c>
      <c r="F2" s="16"/>
      <c r="G2" s="17" t="str">
        <f aca="false">IF(A2="","",IFERROR(INDEX(Empresas!$B:$B,MATCH(A2,Empresas!$A:$A,0))&amp;"","cadastre o CNPJ em Empresas"))</f>
        <v>ALIMENTOS MODELO LTDA</v>
      </c>
      <c r="H2" s="24" t="str">
        <f aca="false">IF(B2="","",SUBSTITUTE(SUBSTITUTE(SUBSTITUTE(SUBSTITUTE(SUBSTITUTE(SUBSTITUTE(SUBSTITUTE(SUBSTITUTE(SUBSTITUTE(SUBSTITUTE(SUBSTITUTE(SUBSTITUTE(SUBSTITUTE(UPPER(TRIM(B2)),"Á","A"),"À","A"),"Â","A"),"Ã","A"),"É","E"),"Ê","E"),"Í","I"),"Ó","O"),"Ô","O"),"Õ","O"),"Ú","U"),"Ü","U"),"Ç","C"))</f>
        <v>FULANO DE TAL</v>
      </c>
      <c r="I2" s="24" t="str">
        <f aca="false">IF(C2="","",IF(LEN(SUBSTITUTE(SUBSTITUTE(SUBSTITUTE(SUBSTITUTE(TRIM(C2),"*",""),".",""),"-","")," ",""))=11,MID(SUBSTITUTE(SUBSTITUTE(SUBSTITUTE(SUBSTITUTE(TRIM(C2),"*",""),".",""),"-","")," ",""),4,6),SUBSTITUTE(SUBSTITUTE(SUBSTITUTE(SUBSTITUTE(TRIM(C2),"*",""),".",""),"-","")," ","")))</f>
        <v>123456</v>
      </c>
      <c r="J2" s="24" t="str">
        <f aca="false">IF(OR(H2="",I2=""),"",H2&amp;"|"&amp;I2)</f>
        <v>FULANO DE TAL|123456</v>
      </c>
      <c r="K2" s="17" t="str">
        <f aca="false">IF(H2="","",IF(AND(J2&lt;&gt;"",COUNTIF(Pessoas!$J:$J,J2)&gt;0),"SIM",IF(COUNTIF(Pessoas!$H:$H,H2)&gt;0,"nome igual em Pessoas: confira o CPF","")))</f>
        <v>SIM</v>
      </c>
      <c r="L2" s="23" t="s">
        <v>182</v>
      </c>
      <c r="M2" s="7" t="s">
        <v>167</v>
      </c>
    </row>
    <row r="3" customFormat="false" ht="15" hidden="false" customHeight="false" outlineLevel="0" collapsed="false">
      <c r="A3" s="23" t="s">
        <v>423</v>
      </c>
      <c r="B3" s="7" t="s">
        <v>519</v>
      </c>
      <c r="C3" s="23" t="s">
        <v>520</v>
      </c>
      <c r="D3" s="16" t="n">
        <v>42156</v>
      </c>
      <c r="E3" s="13" t="s">
        <v>521</v>
      </c>
      <c r="F3" s="16"/>
      <c r="G3" s="17" t="str">
        <f aca="false">IF(A3="","",IFERROR(INDEX(Empresas!$B:$B,MATCH(A3,Empresas!$A:$A,0))&amp;"","cadastre o CNPJ em Empresas"))</f>
        <v>CONSTRUTORA EXEMPLO LTDA</v>
      </c>
      <c r="H3" s="24" t="str">
        <f aca="false">IF(B3="","",SUBSTITUTE(SUBSTITUTE(SUBSTITUTE(SUBSTITUTE(SUBSTITUTE(SUBSTITUTE(SUBSTITUTE(SUBSTITUTE(SUBSTITUTE(SUBSTITUTE(SUBSTITUTE(SUBSTITUTE(SUBSTITUTE(UPPER(TRIM(B3)),"Á","A"),"À","A"),"Â","A"),"Ã","A"),"É","E"),"Ê","E"),"Í","I"),"Ó","O"),"Ô","O"),"Õ","O"),"Ú","U"),"Ü","U"),"Ç","C"))</f>
        <v>MARIA EXEMPLO</v>
      </c>
      <c r="I3" s="24" t="str">
        <f aca="false">IF(C3="","",IF(LEN(SUBSTITUTE(SUBSTITUTE(SUBSTITUTE(SUBSTITUTE(TRIM(C3),"*",""),".",""),"-","")," ",""))=11,MID(SUBSTITUTE(SUBSTITUTE(SUBSTITUTE(SUBSTITUTE(TRIM(C3),"*",""),".",""),"-","")," ",""),4,6),SUBSTITUTE(SUBSTITUTE(SUBSTITUTE(SUBSTITUTE(TRIM(C3),"*",""),".",""),"-","")," ","")))</f>
        <v>654321</v>
      </c>
      <c r="J3" s="24" t="str">
        <f aca="false">IF(OR(H3="",I3=""),"",H3&amp;"|"&amp;I3)</f>
        <v>MARIA EXEMPLO|654321</v>
      </c>
      <c r="K3" s="17" t="str">
        <f aca="false">IF(H3="","",IF(AND(J3&lt;&gt;"",COUNTIF(Pessoas!$J:$J,J3)&gt;0),"SIM",IF(COUNTIF(Pessoas!$H:$H,H3)&gt;0,"nome igual em Pessoas: confira o CPF","")))</f>
        <v/>
      </c>
      <c r="L3" s="23" t="s">
        <v>182</v>
      </c>
      <c r="M3" s="7" t="s">
        <v>167</v>
      </c>
    </row>
    <row r="4" customFormat="false" ht="15" hidden="false" customHeight="false" outlineLevel="0" collapsed="false">
      <c r="A4" s="23" t="s">
        <v>429</v>
      </c>
      <c r="B4" s="7" t="s">
        <v>522</v>
      </c>
      <c r="C4" s="23" t="s">
        <v>523</v>
      </c>
      <c r="D4" s="16" t="n">
        <v>41011</v>
      </c>
      <c r="E4" s="13" t="s">
        <v>518</v>
      </c>
      <c r="F4" s="16"/>
      <c r="G4" s="17" t="str">
        <f aca="false">IF(A4="","",IFERROR(INDEX(Empresas!$B:$B,MATCH(A4,Empresas!$A:$A,0))&amp;"","cadastre o CNPJ em Empresas"))</f>
        <v>GRÁFICA EXEMPLO LTDA</v>
      </c>
      <c r="H4" s="24" t="str">
        <f aca="false">IF(B4="","",SUBSTITUTE(SUBSTITUTE(SUBSTITUTE(SUBSTITUTE(SUBSTITUTE(SUBSTITUTE(SUBSTITUTE(SUBSTITUTE(SUBSTITUTE(SUBSTITUTE(SUBSTITUTE(SUBSTITUTE(SUBSTITUTE(UPPER(TRIM(B4)),"Á","A"),"À","A"),"Â","A"),"Ã","A"),"É","E"),"Ê","E"),"Í","I"),"Ó","O"),"Ô","O"),"Õ","O"),"Ú","U"),"Ü","U"),"Ç","C"))</f>
        <v>BELTRANO EXEMPLO</v>
      </c>
      <c r="I4" s="24" t="str">
        <f aca="false">IF(C4="","",IF(LEN(SUBSTITUTE(SUBSTITUTE(SUBSTITUTE(SUBSTITUTE(TRIM(C4),"*",""),".",""),"-","")," ",""))=11,MID(SUBSTITUTE(SUBSTITUTE(SUBSTITUTE(SUBSTITUTE(TRIM(C4),"*",""),".",""),"-","")," ",""),4,6),SUBSTITUTE(SUBSTITUTE(SUBSTITUTE(SUBSTITUTE(TRIM(C4),"*",""),".",""),"-","")," ","")))</f>
        <v>777888</v>
      </c>
      <c r="J4" s="24" t="str">
        <f aca="false">IF(OR(H4="",I4=""),"",H4&amp;"|"&amp;I4)</f>
        <v>BELTRANO EXEMPLO|777888</v>
      </c>
      <c r="K4" s="17" t="str">
        <f aca="false">IF(H4="","",IF(AND(J4&lt;&gt;"",COUNTIF(Pessoas!$J:$J,J4)&gt;0),"SIM",IF(COUNTIF(Pessoas!$H:$H,H4)&gt;0,"nome igual em Pessoas: confira o CPF","")))</f>
        <v/>
      </c>
      <c r="L4" s="23" t="s">
        <v>182</v>
      </c>
      <c r="M4" s="7" t="s">
        <v>167</v>
      </c>
    </row>
    <row r="5" customFormat="false" ht="15" hidden="false" customHeight="false" outlineLevel="0" collapsed="false">
      <c r="A5" s="27"/>
      <c r="B5" s="5"/>
      <c r="C5" s="27"/>
      <c r="D5" s="18"/>
      <c r="E5" s="14"/>
      <c r="F5" s="18"/>
      <c r="G5" s="19" t="str">
        <f aca="false">IF(A5="","",IFERROR(INDEX(Empresas!$B:$B,MATCH(A5,Empresas!$A:$A,0))&amp;"","cadastre o CNPJ em Empresas"))</f>
        <v/>
      </c>
      <c r="H5" s="28" t="str">
        <f aca="false">IF(B5="","",SUBSTITUTE(SUBSTITUTE(SUBSTITUTE(SUBSTITUTE(SUBSTITUTE(SUBSTITUTE(SUBSTITUTE(SUBSTITUTE(SUBSTITUTE(SUBSTITUTE(SUBSTITUTE(SUBSTITUTE(SUBSTITUTE(UPPER(TRIM(B5)),"Á","A"),"À","A"),"Â","A"),"Ã","A"),"É","E"),"Ê","E"),"Í","I"),"Ó","O"),"Ô","O"),"Õ","O"),"Ú","U"),"Ü","U"),"Ç","C"))</f>
        <v/>
      </c>
      <c r="I5" s="28" t="str">
        <f aca="false">IF(C5="","",IF(LEN(SUBSTITUTE(SUBSTITUTE(SUBSTITUTE(SUBSTITUTE(TRIM(C5),"*",""),".",""),"-","")," ",""))=11,MID(SUBSTITUTE(SUBSTITUTE(SUBSTITUTE(SUBSTITUTE(TRIM(C5),"*",""),".",""),"-","")," ",""),4,6),SUBSTITUTE(SUBSTITUTE(SUBSTITUTE(SUBSTITUTE(TRIM(C5),"*",""),".",""),"-","")," ","")))</f>
        <v/>
      </c>
      <c r="J5" s="28" t="str">
        <f aca="false">IF(OR(H5="",I5=""),"",H5&amp;"|"&amp;I5)</f>
        <v/>
      </c>
      <c r="K5" s="19" t="str">
        <f aca="false">IF(H5="","",IF(AND(J5&lt;&gt;"",COUNTIF(Pessoas!$J:$J,J5)&gt;0),"SIM",IF(COUNTIF(Pessoas!$H:$H,H5)&gt;0,"nome igual em Pessoas: confira o CPF","")))</f>
        <v/>
      </c>
      <c r="L5" s="27"/>
      <c r="M5" s="5"/>
    </row>
    <row r="6" customFormat="false" ht="15" hidden="false" customHeight="false" outlineLevel="0" collapsed="false">
      <c r="A6" s="27"/>
      <c r="B6" s="5"/>
      <c r="C6" s="27"/>
      <c r="D6" s="18"/>
      <c r="E6" s="14"/>
      <c r="F6" s="18"/>
      <c r="G6" s="19" t="str">
        <f aca="false">IF(A6="","",IFERROR(INDEX(Empresas!$B:$B,MATCH(A6,Empresas!$A:$A,0))&amp;"","cadastre o CNPJ em Empresas"))</f>
        <v/>
      </c>
      <c r="H6" s="28" t="str">
        <f aca="false">IF(B6="","",SUBSTITUTE(SUBSTITUTE(SUBSTITUTE(SUBSTITUTE(SUBSTITUTE(SUBSTITUTE(SUBSTITUTE(SUBSTITUTE(SUBSTITUTE(SUBSTITUTE(SUBSTITUTE(SUBSTITUTE(SUBSTITUTE(UPPER(TRIM(B6)),"Á","A"),"À","A"),"Â","A"),"Ã","A"),"É","E"),"Ê","E"),"Í","I"),"Ó","O"),"Ô","O"),"Õ","O"),"Ú","U"),"Ü","U"),"Ç","C"))</f>
        <v/>
      </c>
      <c r="I6" s="28" t="str">
        <f aca="false">IF(C6="","",IF(LEN(SUBSTITUTE(SUBSTITUTE(SUBSTITUTE(SUBSTITUTE(TRIM(C6),"*",""),".",""),"-","")," ",""))=11,MID(SUBSTITUTE(SUBSTITUTE(SUBSTITUTE(SUBSTITUTE(TRIM(C6),"*",""),".",""),"-","")," ",""),4,6),SUBSTITUTE(SUBSTITUTE(SUBSTITUTE(SUBSTITUTE(TRIM(C6),"*",""),".",""),"-","")," ","")))</f>
        <v/>
      </c>
      <c r="J6" s="28" t="str">
        <f aca="false">IF(OR(H6="",I6=""),"",H6&amp;"|"&amp;I6)</f>
        <v/>
      </c>
      <c r="K6" s="19" t="str">
        <f aca="false">IF(H6="","",IF(AND(J6&lt;&gt;"",COUNTIF(Pessoas!$J:$J,J6)&gt;0),"SIM",IF(COUNTIF(Pessoas!$H:$H,H6)&gt;0,"nome igual em Pessoas: confira o CPF","")))</f>
        <v/>
      </c>
      <c r="L6" s="27"/>
      <c r="M6" s="5"/>
    </row>
    <row r="7" customFormat="false" ht="15" hidden="false" customHeight="false" outlineLevel="0" collapsed="false">
      <c r="A7" s="27"/>
      <c r="B7" s="5"/>
      <c r="C7" s="27"/>
      <c r="D7" s="18"/>
      <c r="E7" s="14"/>
      <c r="F7" s="18"/>
      <c r="G7" s="19" t="str">
        <f aca="false">IF(A7="","",IFERROR(INDEX(Empresas!$B:$B,MATCH(A7,Empresas!$A:$A,0))&amp;"","cadastre o CNPJ em Empresas"))</f>
        <v/>
      </c>
      <c r="H7" s="28" t="str">
        <f aca="false">IF(B7="","",SUBSTITUTE(SUBSTITUTE(SUBSTITUTE(SUBSTITUTE(SUBSTITUTE(SUBSTITUTE(SUBSTITUTE(SUBSTITUTE(SUBSTITUTE(SUBSTITUTE(SUBSTITUTE(SUBSTITUTE(SUBSTITUTE(UPPER(TRIM(B7)),"Á","A"),"À","A"),"Â","A"),"Ã","A"),"É","E"),"Ê","E"),"Í","I"),"Ó","O"),"Ô","O"),"Õ","O"),"Ú","U"),"Ü","U"),"Ç","C"))</f>
        <v/>
      </c>
      <c r="I7" s="28" t="str">
        <f aca="false">IF(C7="","",IF(LEN(SUBSTITUTE(SUBSTITUTE(SUBSTITUTE(SUBSTITUTE(TRIM(C7),"*",""),".",""),"-","")," ",""))=11,MID(SUBSTITUTE(SUBSTITUTE(SUBSTITUTE(SUBSTITUTE(TRIM(C7),"*",""),".",""),"-","")," ",""),4,6),SUBSTITUTE(SUBSTITUTE(SUBSTITUTE(SUBSTITUTE(TRIM(C7),"*",""),".",""),"-","")," ","")))</f>
        <v/>
      </c>
      <c r="J7" s="28" t="str">
        <f aca="false">IF(OR(H7="",I7=""),"",H7&amp;"|"&amp;I7)</f>
        <v/>
      </c>
      <c r="K7" s="19" t="str">
        <f aca="false">IF(H7="","",IF(AND(J7&lt;&gt;"",COUNTIF(Pessoas!$J:$J,J7)&gt;0),"SIM",IF(COUNTIF(Pessoas!$H:$H,H7)&gt;0,"nome igual em Pessoas: confira o CPF","")))</f>
        <v/>
      </c>
      <c r="L7" s="27"/>
      <c r="M7" s="5"/>
    </row>
    <row r="8" customFormat="false" ht="15" hidden="false" customHeight="false" outlineLevel="0" collapsed="false">
      <c r="A8" s="27"/>
      <c r="B8" s="5"/>
      <c r="C8" s="27"/>
      <c r="D8" s="18"/>
      <c r="E8" s="14"/>
      <c r="F8" s="18"/>
      <c r="G8" s="19" t="str">
        <f aca="false">IF(A8="","",IFERROR(INDEX(Empresas!$B:$B,MATCH(A8,Empresas!$A:$A,0))&amp;"","cadastre o CNPJ em Empresas"))</f>
        <v/>
      </c>
      <c r="H8" s="28" t="str">
        <f aca="false">IF(B8="","",SUBSTITUTE(SUBSTITUTE(SUBSTITUTE(SUBSTITUTE(SUBSTITUTE(SUBSTITUTE(SUBSTITUTE(SUBSTITUTE(SUBSTITUTE(SUBSTITUTE(SUBSTITUTE(SUBSTITUTE(SUBSTITUTE(UPPER(TRIM(B8)),"Á","A"),"À","A"),"Â","A"),"Ã","A"),"É","E"),"Ê","E"),"Í","I"),"Ó","O"),"Ô","O"),"Õ","O"),"Ú","U"),"Ü","U"),"Ç","C"))</f>
        <v/>
      </c>
      <c r="I8" s="28" t="str">
        <f aca="false">IF(C8="","",IF(LEN(SUBSTITUTE(SUBSTITUTE(SUBSTITUTE(SUBSTITUTE(TRIM(C8),"*",""),".",""),"-","")," ",""))=11,MID(SUBSTITUTE(SUBSTITUTE(SUBSTITUTE(SUBSTITUTE(TRIM(C8),"*",""),".",""),"-","")," ",""),4,6),SUBSTITUTE(SUBSTITUTE(SUBSTITUTE(SUBSTITUTE(TRIM(C8),"*",""),".",""),"-","")," ","")))</f>
        <v/>
      </c>
      <c r="J8" s="28" t="str">
        <f aca="false">IF(OR(H8="",I8=""),"",H8&amp;"|"&amp;I8)</f>
        <v/>
      </c>
      <c r="K8" s="19" t="str">
        <f aca="false">IF(H8="","",IF(AND(J8&lt;&gt;"",COUNTIF(Pessoas!$J:$J,J8)&gt;0),"SIM",IF(COUNTIF(Pessoas!$H:$H,H8)&gt;0,"nome igual em Pessoas: confira o CPF","")))</f>
        <v/>
      </c>
      <c r="L8" s="27"/>
      <c r="M8" s="5"/>
    </row>
    <row r="9" customFormat="false" ht="15" hidden="false" customHeight="false" outlineLevel="0" collapsed="false">
      <c r="A9" s="27"/>
      <c r="B9" s="5"/>
      <c r="C9" s="27"/>
      <c r="D9" s="18"/>
      <c r="E9" s="14"/>
      <c r="F9" s="18"/>
      <c r="G9" s="19" t="str">
        <f aca="false">IF(A9="","",IFERROR(INDEX(Empresas!$B:$B,MATCH(A9,Empresas!$A:$A,0))&amp;"","cadastre o CNPJ em Empresas"))</f>
        <v/>
      </c>
      <c r="H9" s="28" t="str">
        <f aca="false">IF(B9="","",SUBSTITUTE(SUBSTITUTE(SUBSTITUTE(SUBSTITUTE(SUBSTITUTE(SUBSTITUTE(SUBSTITUTE(SUBSTITUTE(SUBSTITUTE(SUBSTITUTE(SUBSTITUTE(SUBSTITUTE(SUBSTITUTE(UPPER(TRIM(B9)),"Á","A"),"À","A"),"Â","A"),"Ã","A"),"É","E"),"Ê","E"),"Í","I"),"Ó","O"),"Ô","O"),"Õ","O"),"Ú","U"),"Ü","U"),"Ç","C"))</f>
        <v/>
      </c>
      <c r="I9" s="28" t="str">
        <f aca="false">IF(C9="","",IF(LEN(SUBSTITUTE(SUBSTITUTE(SUBSTITUTE(SUBSTITUTE(TRIM(C9),"*",""),".",""),"-","")," ",""))=11,MID(SUBSTITUTE(SUBSTITUTE(SUBSTITUTE(SUBSTITUTE(TRIM(C9),"*",""),".",""),"-","")," ",""),4,6),SUBSTITUTE(SUBSTITUTE(SUBSTITUTE(SUBSTITUTE(TRIM(C9),"*",""),".",""),"-","")," ","")))</f>
        <v/>
      </c>
      <c r="J9" s="28" t="str">
        <f aca="false">IF(OR(H9="",I9=""),"",H9&amp;"|"&amp;I9)</f>
        <v/>
      </c>
      <c r="K9" s="19" t="str">
        <f aca="false">IF(H9="","",IF(AND(J9&lt;&gt;"",COUNTIF(Pessoas!$J:$J,J9)&gt;0),"SIM",IF(COUNTIF(Pessoas!$H:$H,H9)&gt;0,"nome igual em Pessoas: confira o CPF","")))</f>
        <v/>
      </c>
      <c r="L9" s="27"/>
      <c r="M9" s="5"/>
    </row>
    <row r="10" customFormat="false" ht="15" hidden="false" customHeight="false" outlineLevel="0" collapsed="false">
      <c r="A10" s="27"/>
      <c r="B10" s="5"/>
      <c r="C10" s="27"/>
      <c r="D10" s="18"/>
      <c r="E10" s="14"/>
      <c r="F10" s="18"/>
      <c r="G10" s="19" t="str">
        <f aca="false">IF(A10="","",IFERROR(INDEX(Empresas!$B:$B,MATCH(A10,Empresas!$A:$A,0))&amp;"","cadastre o CNPJ em Empresas"))</f>
        <v/>
      </c>
      <c r="H10" s="28" t="str">
        <f aca="false">IF(B10="","",SUBSTITUTE(SUBSTITUTE(SUBSTITUTE(SUBSTITUTE(SUBSTITUTE(SUBSTITUTE(SUBSTITUTE(SUBSTITUTE(SUBSTITUTE(SUBSTITUTE(SUBSTITUTE(SUBSTITUTE(SUBSTITUTE(UPPER(TRIM(B10)),"Á","A"),"À","A"),"Â","A"),"Ã","A"),"É","E"),"Ê","E"),"Í","I"),"Ó","O"),"Ô","O"),"Õ","O"),"Ú","U"),"Ü","U"),"Ç","C"))</f>
        <v/>
      </c>
      <c r="I10" s="28" t="str">
        <f aca="false">IF(C10="","",IF(LEN(SUBSTITUTE(SUBSTITUTE(SUBSTITUTE(SUBSTITUTE(TRIM(C10),"*",""),".",""),"-","")," ",""))=11,MID(SUBSTITUTE(SUBSTITUTE(SUBSTITUTE(SUBSTITUTE(TRIM(C10),"*",""),".",""),"-","")," ",""),4,6),SUBSTITUTE(SUBSTITUTE(SUBSTITUTE(SUBSTITUTE(TRIM(C10),"*",""),".",""),"-","")," ","")))</f>
        <v/>
      </c>
      <c r="J10" s="28" t="str">
        <f aca="false">IF(OR(H10="",I10=""),"",H10&amp;"|"&amp;I10)</f>
        <v/>
      </c>
      <c r="K10" s="19" t="str">
        <f aca="false">IF(H10="","",IF(AND(J10&lt;&gt;"",COUNTIF(Pessoas!$J:$J,J10)&gt;0),"SIM",IF(COUNTIF(Pessoas!$H:$H,H10)&gt;0,"nome igual em Pessoas: confira o CPF","")))</f>
        <v/>
      </c>
      <c r="L10" s="27"/>
      <c r="M10" s="5"/>
    </row>
    <row r="11" customFormat="false" ht="15" hidden="false" customHeight="false" outlineLevel="0" collapsed="false">
      <c r="A11" s="27"/>
      <c r="B11" s="5"/>
      <c r="C11" s="27"/>
      <c r="D11" s="18"/>
      <c r="E11" s="14"/>
      <c r="F11" s="18"/>
      <c r="G11" s="19" t="str">
        <f aca="false">IF(A11="","",IFERROR(INDEX(Empresas!$B:$B,MATCH(A11,Empresas!$A:$A,0))&amp;"","cadastre o CNPJ em Empresas"))</f>
        <v/>
      </c>
      <c r="H11" s="28" t="str">
        <f aca="false">IF(B11="","",SUBSTITUTE(SUBSTITUTE(SUBSTITUTE(SUBSTITUTE(SUBSTITUTE(SUBSTITUTE(SUBSTITUTE(SUBSTITUTE(SUBSTITUTE(SUBSTITUTE(SUBSTITUTE(SUBSTITUTE(SUBSTITUTE(UPPER(TRIM(B11)),"Á","A"),"À","A"),"Â","A"),"Ã","A"),"É","E"),"Ê","E"),"Í","I"),"Ó","O"),"Ô","O"),"Õ","O"),"Ú","U"),"Ü","U"),"Ç","C"))</f>
        <v/>
      </c>
      <c r="I11" s="28" t="str">
        <f aca="false">IF(C11="","",IF(LEN(SUBSTITUTE(SUBSTITUTE(SUBSTITUTE(SUBSTITUTE(TRIM(C11),"*",""),".",""),"-","")," ",""))=11,MID(SUBSTITUTE(SUBSTITUTE(SUBSTITUTE(SUBSTITUTE(TRIM(C11),"*",""),".",""),"-","")," ",""),4,6),SUBSTITUTE(SUBSTITUTE(SUBSTITUTE(SUBSTITUTE(TRIM(C11),"*",""),".",""),"-","")," ","")))</f>
        <v/>
      </c>
      <c r="J11" s="28" t="str">
        <f aca="false">IF(OR(H11="",I11=""),"",H11&amp;"|"&amp;I11)</f>
        <v/>
      </c>
      <c r="K11" s="19" t="str">
        <f aca="false">IF(H11="","",IF(AND(J11&lt;&gt;"",COUNTIF(Pessoas!$J:$J,J11)&gt;0),"SIM",IF(COUNTIF(Pessoas!$H:$H,H11)&gt;0,"nome igual em Pessoas: confira o CPF","")))</f>
        <v/>
      </c>
      <c r="L11" s="27"/>
      <c r="M11" s="5"/>
    </row>
    <row r="12" customFormat="false" ht="15" hidden="false" customHeight="false" outlineLevel="0" collapsed="false">
      <c r="A12" s="27"/>
      <c r="B12" s="5"/>
      <c r="C12" s="27"/>
      <c r="D12" s="18"/>
      <c r="E12" s="14"/>
      <c r="F12" s="18"/>
      <c r="G12" s="19" t="str">
        <f aca="false">IF(A12="","",IFERROR(INDEX(Empresas!$B:$B,MATCH(A12,Empresas!$A:$A,0))&amp;"","cadastre o CNPJ em Empresas"))</f>
        <v/>
      </c>
      <c r="H12" s="28" t="str">
        <f aca="false">IF(B12="","",SUBSTITUTE(SUBSTITUTE(SUBSTITUTE(SUBSTITUTE(SUBSTITUTE(SUBSTITUTE(SUBSTITUTE(SUBSTITUTE(SUBSTITUTE(SUBSTITUTE(SUBSTITUTE(SUBSTITUTE(SUBSTITUTE(UPPER(TRIM(B12)),"Á","A"),"À","A"),"Â","A"),"Ã","A"),"É","E"),"Ê","E"),"Í","I"),"Ó","O"),"Ô","O"),"Õ","O"),"Ú","U"),"Ü","U"),"Ç","C"))</f>
        <v/>
      </c>
      <c r="I12" s="28" t="str">
        <f aca="false">IF(C12="","",IF(LEN(SUBSTITUTE(SUBSTITUTE(SUBSTITUTE(SUBSTITUTE(TRIM(C12),"*",""),".",""),"-","")," ",""))=11,MID(SUBSTITUTE(SUBSTITUTE(SUBSTITUTE(SUBSTITUTE(TRIM(C12),"*",""),".",""),"-","")," ",""),4,6),SUBSTITUTE(SUBSTITUTE(SUBSTITUTE(SUBSTITUTE(TRIM(C12),"*",""),".",""),"-","")," ","")))</f>
        <v/>
      </c>
      <c r="J12" s="28" t="str">
        <f aca="false">IF(OR(H12="",I12=""),"",H12&amp;"|"&amp;I12)</f>
        <v/>
      </c>
      <c r="K12" s="19" t="str">
        <f aca="false">IF(H12="","",IF(AND(J12&lt;&gt;"",COUNTIF(Pessoas!$J:$J,J12)&gt;0),"SIM",IF(COUNTIF(Pessoas!$H:$H,H12)&gt;0,"nome igual em Pessoas: confira o CPF","")))</f>
        <v/>
      </c>
      <c r="L12" s="27"/>
      <c r="M12" s="5"/>
    </row>
    <row r="13" customFormat="false" ht="15" hidden="false" customHeight="false" outlineLevel="0" collapsed="false">
      <c r="A13" s="27"/>
      <c r="B13" s="5"/>
      <c r="C13" s="27"/>
      <c r="D13" s="18"/>
      <c r="E13" s="14"/>
      <c r="F13" s="18"/>
      <c r="G13" s="19" t="str">
        <f aca="false">IF(A13="","",IFERROR(INDEX(Empresas!$B:$B,MATCH(A13,Empresas!$A:$A,0))&amp;"","cadastre o CNPJ em Empresas"))</f>
        <v/>
      </c>
      <c r="H13" s="28" t="str">
        <f aca="false">IF(B13="","",SUBSTITUTE(SUBSTITUTE(SUBSTITUTE(SUBSTITUTE(SUBSTITUTE(SUBSTITUTE(SUBSTITUTE(SUBSTITUTE(SUBSTITUTE(SUBSTITUTE(SUBSTITUTE(SUBSTITUTE(SUBSTITUTE(UPPER(TRIM(B13)),"Á","A"),"À","A"),"Â","A"),"Ã","A"),"É","E"),"Ê","E"),"Í","I"),"Ó","O"),"Ô","O"),"Õ","O"),"Ú","U"),"Ü","U"),"Ç","C"))</f>
        <v/>
      </c>
      <c r="I13" s="28" t="str">
        <f aca="false">IF(C13="","",IF(LEN(SUBSTITUTE(SUBSTITUTE(SUBSTITUTE(SUBSTITUTE(TRIM(C13),"*",""),".",""),"-","")," ",""))=11,MID(SUBSTITUTE(SUBSTITUTE(SUBSTITUTE(SUBSTITUTE(TRIM(C13),"*",""),".",""),"-","")," ",""),4,6),SUBSTITUTE(SUBSTITUTE(SUBSTITUTE(SUBSTITUTE(TRIM(C13),"*",""),".",""),"-","")," ","")))</f>
        <v/>
      </c>
      <c r="J13" s="28" t="str">
        <f aca="false">IF(OR(H13="",I13=""),"",H13&amp;"|"&amp;I13)</f>
        <v/>
      </c>
      <c r="K13" s="19" t="str">
        <f aca="false">IF(H13="","",IF(AND(J13&lt;&gt;"",COUNTIF(Pessoas!$J:$J,J13)&gt;0),"SIM",IF(COUNTIF(Pessoas!$H:$H,H13)&gt;0,"nome igual em Pessoas: confira o CPF","")))</f>
        <v/>
      </c>
      <c r="L13" s="27"/>
      <c r="M13" s="5"/>
    </row>
    <row r="14" customFormat="false" ht="15" hidden="false" customHeight="false" outlineLevel="0" collapsed="false">
      <c r="A14" s="27"/>
      <c r="B14" s="5"/>
      <c r="C14" s="27"/>
      <c r="D14" s="18"/>
      <c r="E14" s="14"/>
      <c r="F14" s="18"/>
      <c r="G14" s="19" t="str">
        <f aca="false">IF(A14="","",IFERROR(INDEX(Empresas!$B:$B,MATCH(A14,Empresas!$A:$A,0))&amp;"","cadastre o CNPJ em Empresas"))</f>
        <v/>
      </c>
      <c r="H14" s="28" t="str">
        <f aca="false">IF(B14="","",SUBSTITUTE(SUBSTITUTE(SUBSTITUTE(SUBSTITUTE(SUBSTITUTE(SUBSTITUTE(SUBSTITUTE(SUBSTITUTE(SUBSTITUTE(SUBSTITUTE(SUBSTITUTE(SUBSTITUTE(SUBSTITUTE(UPPER(TRIM(B14)),"Á","A"),"À","A"),"Â","A"),"Ã","A"),"É","E"),"Ê","E"),"Í","I"),"Ó","O"),"Ô","O"),"Õ","O"),"Ú","U"),"Ü","U"),"Ç","C"))</f>
        <v/>
      </c>
      <c r="I14" s="28" t="str">
        <f aca="false">IF(C14="","",IF(LEN(SUBSTITUTE(SUBSTITUTE(SUBSTITUTE(SUBSTITUTE(TRIM(C14),"*",""),".",""),"-","")," ",""))=11,MID(SUBSTITUTE(SUBSTITUTE(SUBSTITUTE(SUBSTITUTE(TRIM(C14),"*",""),".",""),"-","")," ",""),4,6),SUBSTITUTE(SUBSTITUTE(SUBSTITUTE(SUBSTITUTE(TRIM(C14),"*",""),".",""),"-","")," ","")))</f>
        <v/>
      </c>
      <c r="J14" s="28" t="str">
        <f aca="false">IF(OR(H14="",I14=""),"",H14&amp;"|"&amp;I14)</f>
        <v/>
      </c>
      <c r="K14" s="19" t="str">
        <f aca="false">IF(H14="","",IF(AND(J14&lt;&gt;"",COUNTIF(Pessoas!$J:$J,J14)&gt;0),"SIM",IF(COUNTIF(Pessoas!$H:$H,H14)&gt;0,"nome igual em Pessoas: confira o CPF","")))</f>
        <v/>
      </c>
      <c r="L14" s="27"/>
      <c r="M14" s="5"/>
    </row>
    <row r="15" customFormat="false" ht="15" hidden="false" customHeight="false" outlineLevel="0" collapsed="false">
      <c r="A15" s="27"/>
      <c r="B15" s="5"/>
      <c r="C15" s="27"/>
      <c r="D15" s="18"/>
      <c r="E15" s="14"/>
      <c r="F15" s="18"/>
      <c r="G15" s="19" t="str">
        <f aca="false">IF(A15="","",IFERROR(INDEX(Empresas!$B:$B,MATCH(A15,Empresas!$A:$A,0))&amp;"","cadastre o CNPJ em Empresas"))</f>
        <v/>
      </c>
      <c r="H15" s="28" t="str">
        <f aca="false">IF(B15="","",SUBSTITUTE(SUBSTITUTE(SUBSTITUTE(SUBSTITUTE(SUBSTITUTE(SUBSTITUTE(SUBSTITUTE(SUBSTITUTE(SUBSTITUTE(SUBSTITUTE(SUBSTITUTE(SUBSTITUTE(SUBSTITUTE(UPPER(TRIM(B15)),"Á","A"),"À","A"),"Â","A"),"Ã","A"),"É","E"),"Ê","E"),"Í","I"),"Ó","O"),"Ô","O"),"Õ","O"),"Ú","U"),"Ü","U"),"Ç","C"))</f>
        <v/>
      </c>
      <c r="I15" s="28" t="str">
        <f aca="false">IF(C15="","",IF(LEN(SUBSTITUTE(SUBSTITUTE(SUBSTITUTE(SUBSTITUTE(TRIM(C15),"*",""),".",""),"-","")," ",""))=11,MID(SUBSTITUTE(SUBSTITUTE(SUBSTITUTE(SUBSTITUTE(TRIM(C15),"*",""),".",""),"-","")," ",""),4,6),SUBSTITUTE(SUBSTITUTE(SUBSTITUTE(SUBSTITUTE(TRIM(C15),"*",""),".",""),"-","")," ","")))</f>
        <v/>
      </c>
      <c r="J15" s="28" t="str">
        <f aca="false">IF(OR(H15="",I15=""),"",H15&amp;"|"&amp;I15)</f>
        <v/>
      </c>
      <c r="K15" s="19" t="str">
        <f aca="false">IF(H15="","",IF(AND(J15&lt;&gt;"",COUNTIF(Pessoas!$J:$J,J15)&gt;0),"SIM",IF(COUNTIF(Pessoas!$H:$H,H15)&gt;0,"nome igual em Pessoas: confira o CPF","")))</f>
        <v/>
      </c>
      <c r="L15" s="27"/>
      <c r="M15" s="5"/>
    </row>
    <row r="16" customFormat="false" ht="15" hidden="false" customHeight="false" outlineLevel="0" collapsed="false">
      <c r="A16" s="27"/>
      <c r="B16" s="5"/>
      <c r="C16" s="27"/>
      <c r="D16" s="18"/>
      <c r="E16" s="14"/>
      <c r="F16" s="18"/>
      <c r="G16" s="19" t="str">
        <f aca="false">IF(A16="","",IFERROR(INDEX(Empresas!$B:$B,MATCH(A16,Empresas!$A:$A,0))&amp;"","cadastre o CNPJ em Empresas"))</f>
        <v/>
      </c>
      <c r="H16" s="28" t="str">
        <f aca="false">IF(B16="","",SUBSTITUTE(SUBSTITUTE(SUBSTITUTE(SUBSTITUTE(SUBSTITUTE(SUBSTITUTE(SUBSTITUTE(SUBSTITUTE(SUBSTITUTE(SUBSTITUTE(SUBSTITUTE(SUBSTITUTE(SUBSTITUTE(UPPER(TRIM(B16)),"Á","A"),"À","A"),"Â","A"),"Ã","A"),"É","E"),"Ê","E"),"Í","I"),"Ó","O"),"Ô","O"),"Õ","O"),"Ú","U"),"Ü","U"),"Ç","C"))</f>
        <v/>
      </c>
      <c r="I16" s="28" t="str">
        <f aca="false">IF(C16="","",IF(LEN(SUBSTITUTE(SUBSTITUTE(SUBSTITUTE(SUBSTITUTE(TRIM(C16),"*",""),".",""),"-","")," ",""))=11,MID(SUBSTITUTE(SUBSTITUTE(SUBSTITUTE(SUBSTITUTE(TRIM(C16),"*",""),".",""),"-","")," ",""),4,6),SUBSTITUTE(SUBSTITUTE(SUBSTITUTE(SUBSTITUTE(TRIM(C16),"*",""),".",""),"-","")," ","")))</f>
        <v/>
      </c>
      <c r="J16" s="28" t="str">
        <f aca="false">IF(OR(H16="",I16=""),"",H16&amp;"|"&amp;I16)</f>
        <v/>
      </c>
      <c r="K16" s="19" t="str">
        <f aca="false">IF(H16="","",IF(AND(J16&lt;&gt;"",COUNTIF(Pessoas!$J:$J,J16)&gt;0),"SIM",IF(COUNTIF(Pessoas!$H:$H,H16)&gt;0,"nome igual em Pessoas: confira o CPF","")))</f>
        <v/>
      </c>
      <c r="L16" s="27"/>
      <c r="M16" s="5"/>
    </row>
    <row r="17" customFormat="false" ht="15" hidden="false" customHeight="false" outlineLevel="0" collapsed="false">
      <c r="A17" s="27"/>
      <c r="B17" s="5"/>
      <c r="C17" s="27"/>
      <c r="D17" s="18"/>
      <c r="E17" s="14"/>
      <c r="F17" s="18"/>
      <c r="G17" s="19" t="str">
        <f aca="false">IF(A17="","",IFERROR(INDEX(Empresas!$B:$B,MATCH(A17,Empresas!$A:$A,0))&amp;"","cadastre o CNPJ em Empresas"))</f>
        <v/>
      </c>
      <c r="H17" s="28" t="str">
        <f aca="false">IF(B17="","",SUBSTITUTE(SUBSTITUTE(SUBSTITUTE(SUBSTITUTE(SUBSTITUTE(SUBSTITUTE(SUBSTITUTE(SUBSTITUTE(SUBSTITUTE(SUBSTITUTE(SUBSTITUTE(SUBSTITUTE(SUBSTITUTE(UPPER(TRIM(B17)),"Á","A"),"À","A"),"Â","A"),"Ã","A"),"É","E"),"Ê","E"),"Í","I"),"Ó","O"),"Ô","O"),"Õ","O"),"Ú","U"),"Ü","U"),"Ç","C"))</f>
        <v/>
      </c>
      <c r="I17" s="28" t="str">
        <f aca="false">IF(C17="","",IF(LEN(SUBSTITUTE(SUBSTITUTE(SUBSTITUTE(SUBSTITUTE(TRIM(C17),"*",""),".",""),"-","")," ",""))=11,MID(SUBSTITUTE(SUBSTITUTE(SUBSTITUTE(SUBSTITUTE(TRIM(C17),"*",""),".",""),"-","")," ",""),4,6),SUBSTITUTE(SUBSTITUTE(SUBSTITUTE(SUBSTITUTE(TRIM(C17),"*",""),".",""),"-","")," ","")))</f>
        <v/>
      </c>
      <c r="J17" s="28" t="str">
        <f aca="false">IF(OR(H17="",I17=""),"",H17&amp;"|"&amp;I17)</f>
        <v/>
      </c>
      <c r="K17" s="19" t="str">
        <f aca="false">IF(H17="","",IF(AND(J17&lt;&gt;"",COUNTIF(Pessoas!$J:$J,J17)&gt;0),"SIM",IF(COUNTIF(Pessoas!$H:$H,H17)&gt;0,"nome igual em Pessoas: confira o CPF","")))</f>
        <v/>
      </c>
      <c r="L17" s="27"/>
      <c r="M17" s="5"/>
    </row>
    <row r="18" customFormat="false" ht="15" hidden="false" customHeight="false" outlineLevel="0" collapsed="false">
      <c r="A18" s="27"/>
      <c r="B18" s="5"/>
      <c r="C18" s="27"/>
      <c r="D18" s="18"/>
      <c r="E18" s="14"/>
      <c r="F18" s="18"/>
      <c r="G18" s="19" t="str">
        <f aca="false">IF(A18="","",IFERROR(INDEX(Empresas!$B:$B,MATCH(A18,Empresas!$A:$A,0))&amp;"","cadastre o CNPJ em Empresas"))</f>
        <v/>
      </c>
      <c r="H18" s="28" t="str">
        <f aca="false">IF(B18="","",SUBSTITUTE(SUBSTITUTE(SUBSTITUTE(SUBSTITUTE(SUBSTITUTE(SUBSTITUTE(SUBSTITUTE(SUBSTITUTE(SUBSTITUTE(SUBSTITUTE(SUBSTITUTE(SUBSTITUTE(SUBSTITUTE(UPPER(TRIM(B18)),"Á","A"),"À","A"),"Â","A"),"Ã","A"),"É","E"),"Ê","E"),"Í","I"),"Ó","O"),"Ô","O"),"Õ","O"),"Ú","U"),"Ü","U"),"Ç","C"))</f>
        <v/>
      </c>
      <c r="I18" s="28" t="str">
        <f aca="false">IF(C18="","",IF(LEN(SUBSTITUTE(SUBSTITUTE(SUBSTITUTE(SUBSTITUTE(TRIM(C18),"*",""),".",""),"-","")," ",""))=11,MID(SUBSTITUTE(SUBSTITUTE(SUBSTITUTE(SUBSTITUTE(TRIM(C18),"*",""),".",""),"-","")," ",""),4,6),SUBSTITUTE(SUBSTITUTE(SUBSTITUTE(SUBSTITUTE(TRIM(C18),"*",""),".",""),"-","")," ","")))</f>
        <v/>
      </c>
      <c r="J18" s="28" t="str">
        <f aca="false">IF(OR(H18="",I18=""),"",H18&amp;"|"&amp;I18)</f>
        <v/>
      </c>
      <c r="K18" s="19" t="str">
        <f aca="false">IF(H18="","",IF(AND(J18&lt;&gt;"",COUNTIF(Pessoas!$J:$J,J18)&gt;0),"SIM",IF(COUNTIF(Pessoas!$H:$H,H18)&gt;0,"nome igual em Pessoas: confira o CPF","")))</f>
        <v/>
      </c>
      <c r="L18" s="27"/>
      <c r="M18" s="5"/>
    </row>
    <row r="19" customFormat="false" ht="15" hidden="false" customHeight="false" outlineLevel="0" collapsed="false">
      <c r="A19" s="27"/>
      <c r="B19" s="5"/>
      <c r="C19" s="27"/>
      <c r="D19" s="18"/>
      <c r="E19" s="14"/>
      <c r="F19" s="18"/>
      <c r="G19" s="19" t="str">
        <f aca="false">IF(A19="","",IFERROR(INDEX(Empresas!$B:$B,MATCH(A19,Empresas!$A:$A,0))&amp;"","cadastre o CNPJ em Empresas"))</f>
        <v/>
      </c>
      <c r="H19" s="28" t="str">
        <f aca="false">IF(B19="","",SUBSTITUTE(SUBSTITUTE(SUBSTITUTE(SUBSTITUTE(SUBSTITUTE(SUBSTITUTE(SUBSTITUTE(SUBSTITUTE(SUBSTITUTE(SUBSTITUTE(SUBSTITUTE(SUBSTITUTE(SUBSTITUTE(UPPER(TRIM(B19)),"Á","A"),"À","A"),"Â","A"),"Ã","A"),"É","E"),"Ê","E"),"Í","I"),"Ó","O"),"Ô","O"),"Õ","O"),"Ú","U"),"Ü","U"),"Ç","C"))</f>
        <v/>
      </c>
      <c r="I19" s="28" t="str">
        <f aca="false">IF(C19="","",IF(LEN(SUBSTITUTE(SUBSTITUTE(SUBSTITUTE(SUBSTITUTE(TRIM(C19),"*",""),".",""),"-","")," ",""))=11,MID(SUBSTITUTE(SUBSTITUTE(SUBSTITUTE(SUBSTITUTE(TRIM(C19),"*",""),".",""),"-","")," ",""),4,6),SUBSTITUTE(SUBSTITUTE(SUBSTITUTE(SUBSTITUTE(TRIM(C19),"*",""),".",""),"-","")," ","")))</f>
        <v/>
      </c>
      <c r="J19" s="28" t="str">
        <f aca="false">IF(OR(H19="",I19=""),"",H19&amp;"|"&amp;I19)</f>
        <v/>
      </c>
      <c r="K19" s="19" t="str">
        <f aca="false">IF(H19="","",IF(AND(J19&lt;&gt;"",COUNTIF(Pessoas!$J:$J,J19)&gt;0),"SIM",IF(COUNTIF(Pessoas!$H:$H,H19)&gt;0,"nome igual em Pessoas: confira o CPF","")))</f>
        <v/>
      </c>
      <c r="L19" s="27"/>
      <c r="M19" s="5"/>
    </row>
    <row r="20" customFormat="false" ht="15" hidden="false" customHeight="false" outlineLevel="0" collapsed="false">
      <c r="A20" s="27"/>
      <c r="B20" s="5"/>
      <c r="C20" s="27"/>
      <c r="D20" s="18"/>
      <c r="E20" s="14"/>
      <c r="F20" s="18"/>
      <c r="G20" s="19" t="str">
        <f aca="false">IF(A20="","",IFERROR(INDEX(Empresas!$B:$B,MATCH(A20,Empresas!$A:$A,0))&amp;"","cadastre o CNPJ em Empresas"))</f>
        <v/>
      </c>
      <c r="H20" s="28" t="str">
        <f aca="false">IF(B20="","",SUBSTITUTE(SUBSTITUTE(SUBSTITUTE(SUBSTITUTE(SUBSTITUTE(SUBSTITUTE(SUBSTITUTE(SUBSTITUTE(SUBSTITUTE(SUBSTITUTE(SUBSTITUTE(SUBSTITUTE(SUBSTITUTE(UPPER(TRIM(B20)),"Á","A"),"À","A"),"Â","A"),"Ã","A"),"É","E"),"Ê","E"),"Í","I"),"Ó","O"),"Ô","O"),"Õ","O"),"Ú","U"),"Ü","U"),"Ç","C"))</f>
        <v/>
      </c>
      <c r="I20" s="28" t="str">
        <f aca="false">IF(C20="","",IF(LEN(SUBSTITUTE(SUBSTITUTE(SUBSTITUTE(SUBSTITUTE(TRIM(C20),"*",""),".",""),"-","")," ",""))=11,MID(SUBSTITUTE(SUBSTITUTE(SUBSTITUTE(SUBSTITUTE(TRIM(C20),"*",""),".",""),"-","")," ",""),4,6),SUBSTITUTE(SUBSTITUTE(SUBSTITUTE(SUBSTITUTE(TRIM(C20),"*",""),".",""),"-","")," ","")))</f>
        <v/>
      </c>
      <c r="J20" s="28" t="str">
        <f aca="false">IF(OR(H20="",I20=""),"",H20&amp;"|"&amp;I20)</f>
        <v/>
      </c>
      <c r="K20" s="19" t="str">
        <f aca="false">IF(H20="","",IF(AND(J20&lt;&gt;"",COUNTIF(Pessoas!$J:$J,J20)&gt;0),"SIM",IF(COUNTIF(Pessoas!$H:$H,H20)&gt;0,"nome igual em Pessoas: confira o CPF","")))</f>
        <v/>
      </c>
      <c r="L20" s="27"/>
      <c r="M20" s="5"/>
    </row>
    <row r="21" customFormat="false" ht="15" hidden="false" customHeight="false" outlineLevel="0" collapsed="false">
      <c r="A21" s="27"/>
      <c r="B21" s="5"/>
      <c r="C21" s="27"/>
      <c r="D21" s="18"/>
      <c r="E21" s="14"/>
      <c r="F21" s="18"/>
      <c r="G21" s="19" t="str">
        <f aca="false">IF(A21="","",IFERROR(INDEX(Empresas!$B:$B,MATCH(A21,Empresas!$A:$A,0))&amp;"","cadastre o CNPJ em Empresas"))</f>
        <v/>
      </c>
      <c r="H21" s="28" t="str">
        <f aca="false">IF(B21="","",SUBSTITUTE(SUBSTITUTE(SUBSTITUTE(SUBSTITUTE(SUBSTITUTE(SUBSTITUTE(SUBSTITUTE(SUBSTITUTE(SUBSTITUTE(SUBSTITUTE(SUBSTITUTE(SUBSTITUTE(SUBSTITUTE(UPPER(TRIM(B21)),"Á","A"),"À","A"),"Â","A"),"Ã","A"),"É","E"),"Ê","E"),"Í","I"),"Ó","O"),"Ô","O"),"Õ","O"),"Ú","U"),"Ü","U"),"Ç","C"))</f>
        <v/>
      </c>
      <c r="I21" s="28" t="str">
        <f aca="false">IF(C21="","",IF(LEN(SUBSTITUTE(SUBSTITUTE(SUBSTITUTE(SUBSTITUTE(TRIM(C21),"*",""),".",""),"-","")," ",""))=11,MID(SUBSTITUTE(SUBSTITUTE(SUBSTITUTE(SUBSTITUTE(TRIM(C21),"*",""),".",""),"-","")," ",""),4,6),SUBSTITUTE(SUBSTITUTE(SUBSTITUTE(SUBSTITUTE(TRIM(C21),"*",""),".",""),"-","")," ","")))</f>
        <v/>
      </c>
      <c r="J21" s="28" t="str">
        <f aca="false">IF(OR(H21="",I21=""),"",H21&amp;"|"&amp;I21)</f>
        <v/>
      </c>
      <c r="K21" s="19" t="str">
        <f aca="false">IF(H21="","",IF(AND(J21&lt;&gt;"",COUNTIF(Pessoas!$J:$J,J21)&gt;0),"SIM",IF(COUNTIF(Pessoas!$H:$H,H21)&gt;0,"nome igual em Pessoas: confira o CPF","")))</f>
        <v/>
      </c>
      <c r="L21" s="27"/>
      <c r="M21" s="5"/>
    </row>
    <row r="22" customFormat="false" ht="15" hidden="false" customHeight="false" outlineLevel="0" collapsed="false">
      <c r="A22" s="27"/>
      <c r="B22" s="5"/>
      <c r="C22" s="27"/>
      <c r="D22" s="18"/>
      <c r="E22" s="14"/>
      <c r="F22" s="18"/>
      <c r="G22" s="19" t="str">
        <f aca="false">IF(A22="","",IFERROR(INDEX(Empresas!$B:$B,MATCH(A22,Empresas!$A:$A,0))&amp;"","cadastre o CNPJ em Empresas"))</f>
        <v/>
      </c>
      <c r="H22" s="28" t="str">
        <f aca="false">IF(B22="","",SUBSTITUTE(SUBSTITUTE(SUBSTITUTE(SUBSTITUTE(SUBSTITUTE(SUBSTITUTE(SUBSTITUTE(SUBSTITUTE(SUBSTITUTE(SUBSTITUTE(SUBSTITUTE(SUBSTITUTE(SUBSTITUTE(UPPER(TRIM(B22)),"Á","A"),"À","A"),"Â","A"),"Ã","A"),"É","E"),"Ê","E"),"Í","I"),"Ó","O"),"Ô","O"),"Õ","O"),"Ú","U"),"Ü","U"),"Ç","C"))</f>
        <v/>
      </c>
      <c r="I22" s="28" t="str">
        <f aca="false">IF(C22="","",IF(LEN(SUBSTITUTE(SUBSTITUTE(SUBSTITUTE(SUBSTITUTE(TRIM(C22),"*",""),".",""),"-","")," ",""))=11,MID(SUBSTITUTE(SUBSTITUTE(SUBSTITUTE(SUBSTITUTE(TRIM(C22),"*",""),".",""),"-","")," ",""),4,6),SUBSTITUTE(SUBSTITUTE(SUBSTITUTE(SUBSTITUTE(TRIM(C22),"*",""),".",""),"-","")," ","")))</f>
        <v/>
      </c>
      <c r="J22" s="28" t="str">
        <f aca="false">IF(OR(H22="",I22=""),"",H22&amp;"|"&amp;I22)</f>
        <v/>
      </c>
      <c r="K22" s="19" t="str">
        <f aca="false">IF(H22="","",IF(AND(J22&lt;&gt;"",COUNTIF(Pessoas!$J:$J,J22)&gt;0),"SIM",IF(COUNTIF(Pessoas!$H:$H,H22)&gt;0,"nome igual em Pessoas: confira o CPF","")))</f>
        <v/>
      </c>
      <c r="L22" s="27"/>
      <c r="M22" s="5"/>
    </row>
    <row r="23" customFormat="false" ht="15" hidden="false" customHeight="false" outlineLevel="0" collapsed="false">
      <c r="A23" s="27"/>
      <c r="B23" s="5"/>
      <c r="C23" s="27"/>
      <c r="D23" s="18"/>
      <c r="E23" s="14"/>
      <c r="F23" s="18"/>
      <c r="G23" s="19" t="str">
        <f aca="false">IF(A23="","",IFERROR(INDEX(Empresas!$B:$B,MATCH(A23,Empresas!$A:$A,0))&amp;"","cadastre o CNPJ em Empresas"))</f>
        <v/>
      </c>
      <c r="H23" s="28" t="str">
        <f aca="false">IF(B23="","",SUBSTITUTE(SUBSTITUTE(SUBSTITUTE(SUBSTITUTE(SUBSTITUTE(SUBSTITUTE(SUBSTITUTE(SUBSTITUTE(SUBSTITUTE(SUBSTITUTE(SUBSTITUTE(SUBSTITUTE(SUBSTITUTE(UPPER(TRIM(B23)),"Á","A"),"À","A"),"Â","A"),"Ã","A"),"É","E"),"Ê","E"),"Í","I"),"Ó","O"),"Ô","O"),"Õ","O"),"Ú","U"),"Ü","U"),"Ç","C"))</f>
        <v/>
      </c>
      <c r="I23" s="28" t="str">
        <f aca="false">IF(C23="","",IF(LEN(SUBSTITUTE(SUBSTITUTE(SUBSTITUTE(SUBSTITUTE(TRIM(C23),"*",""),".",""),"-","")," ",""))=11,MID(SUBSTITUTE(SUBSTITUTE(SUBSTITUTE(SUBSTITUTE(TRIM(C23),"*",""),".",""),"-","")," ",""),4,6),SUBSTITUTE(SUBSTITUTE(SUBSTITUTE(SUBSTITUTE(TRIM(C23),"*",""),".",""),"-","")," ","")))</f>
        <v/>
      </c>
      <c r="J23" s="28" t="str">
        <f aca="false">IF(OR(H23="",I23=""),"",H23&amp;"|"&amp;I23)</f>
        <v/>
      </c>
      <c r="K23" s="19" t="str">
        <f aca="false">IF(H23="","",IF(AND(J23&lt;&gt;"",COUNTIF(Pessoas!$J:$J,J23)&gt;0),"SIM",IF(COUNTIF(Pessoas!$H:$H,H23)&gt;0,"nome igual em Pessoas: confira o CPF","")))</f>
        <v/>
      </c>
      <c r="L23" s="27"/>
      <c r="M23" s="5"/>
    </row>
    <row r="24" customFormat="false" ht="15" hidden="false" customHeight="false" outlineLevel="0" collapsed="false">
      <c r="A24" s="27"/>
      <c r="B24" s="5"/>
      <c r="C24" s="27"/>
      <c r="D24" s="18"/>
      <c r="E24" s="14"/>
      <c r="F24" s="18"/>
      <c r="G24" s="19" t="str">
        <f aca="false">IF(A24="","",IFERROR(INDEX(Empresas!$B:$B,MATCH(A24,Empresas!$A:$A,0))&amp;"","cadastre o CNPJ em Empresas"))</f>
        <v/>
      </c>
      <c r="H24" s="28" t="str">
        <f aca="false">IF(B24="","",SUBSTITUTE(SUBSTITUTE(SUBSTITUTE(SUBSTITUTE(SUBSTITUTE(SUBSTITUTE(SUBSTITUTE(SUBSTITUTE(SUBSTITUTE(SUBSTITUTE(SUBSTITUTE(SUBSTITUTE(SUBSTITUTE(UPPER(TRIM(B24)),"Á","A"),"À","A"),"Â","A"),"Ã","A"),"É","E"),"Ê","E"),"Í","I"),"Ó","O"),"Ô","O"),"Õ","O"),"Ú","U"),"Ü","U"),"Ç","C"))</f>
        <v/>
      </c>
      <c r="I24" s="28" t="str">
        <f aca="false">IF(C24="","",IF(LEN(SUBSTITUTE(SUBSTITUTE(SUBSTITUTE(SUBSTITUTE(TRIM(C24),"*",""),".",""),"-","")," ",""))=11,MID(SUBSTITUTE(SUBSTITUTE(SUBSTITUTE(SUBSTITUTE(TRIM(C24),"*",""),".",""),"-","")," ",""),4,6),SUBSTITUTE(SUBSTITUTE(SUBSTITUTE(SUBSTITUTE(TRIM(C24),"*",""),".",""),"-","")," ","")))</f>
        <v/>
      </c>
      <c r="J24" s="28" t="str">
        <f aca="false">IF(OR(H24="",I24=""),"",H24&amp;"|"&amp;I24)</f>
        <v/>
      </c>
      <c r="K24" s="19" t="str">
        <f aca="false">IF(H24="","",IF(AND(J24&lt;&gt;"",COUNTIF(Pessoas!$J:$J,J24)&gt;0),"SIM",IF(COUNTIF(Pessoas!$H:$H,H24)&gt;0,"nome igual em Pessoas: confira o CPF","")))</f>
        <v/>
      </c>
      <c r="L24" s="27"/>
      <c r="M24" s="5"/>
    </row>
    <row r="25" customFormat="false" ht="15" hidden="false" customHeight="false" outlineLevel="0" collapsed="false">
      <c r="A25" s="27"/>
      <c r="B25" s="5"/>
      <c r="C25" s="27"/>
      <c r="D25" s="18"/>
      <c r="E25" s="14"/>
      <c r="F25" s="18"/>
      <c r="G25" s="19" t="str">
        <f aca="false">IF(A25="","",IFERROR(INDEX(Empresas!$B:$B,MATCH(A25,Empresas!$A:$A,0))&amp;"","cadastre o CNPJ em Empresas"))</f>
        <v/>
      </c>
      <c r="H25" s="28" t="str">
        <f aca="false">IF(B25="","",SUBSTITUTE(SUBSTITUTE(SUBSTITUTE(SUBSTITUTE(SUBSTITUTE(SUBSTITUTE(SUBSTITUTE(SUBSTITUTE(SUBSTITUTE(SUBSTITUTE(SUBSTITUTE(SUBSTITUTE(SUBSTITUTE(UPPER(TRIM(B25)),"Á","A"),"À","A"),"Â","A"),"Ã","A"),"É","E"),"Ê","E"),"Í","I"),"Ó","O"),"Ô","O"),"Õ","O"),"Ú","U"),"Ü","U"),"Ç","C"))</f>
        <v/>
      </c>
      <c r="I25" s="28" t="str">
        <f aca="false">IF(C25="","",IF(LEN(SUBSTITUTE(SUBSTITUTE(SUBSTITUTE(SUBSTITUTE(TRIM(C25),"*",""),".",""),"-","")," ",""))=11,MID(SUBSTITUTE(SUBSTITUTE(SUBSTITUTE(SUBSTITUTE(TRIM(C25),"*",""),".",""),"-","")," ",""),4,6),SUBSTITUTE(SUBSTITUTE(SUBSTITUTE(SUBSTITUTE(TRIM(C25),"*",""),".",""),"-","")," ","")))</f>
        <v/>
      </c>
      <c r="J25" s="28" t="str">
        <f aca="false">IF(OR(H25="",I25=""),"",H25&amp;"|"&amp;I25)</f>
        <v/>
      </c>
      <c r="K25" s="19" t="str">
        <f aca="false">IF(H25="","",IF(AND(J25&lt;&gt;"",COUNTIF(Pessoas!$J:$J,J25)&gt;0),"SIM",IF(COUNTIF(Pessoas!$H:$H,H25)&gt;0,"nome igual em Pessoas: confira o CPF","")))</f>
        <v/>
      </c>
      <c r="L25" s="27"/>
      <c r="M25" s="5"/>
    </row>
    <row r="26" customFormat="false" ht="15" hidden="false" customHeight="false" outlineLevel="0" collapsed="false">
      <c r="A26" s="27"/>
      <c r="B26" s="5"/>
      <c r="C26" s="27"/>
      <c r="D26" s="18"/>
      <c r="E26" s="14"/>
      <c r="F26" s="18"/>
      <c r="G26" s="19" t="str">
        <f aca="false">IF(A26="","",IFERROR(INDEX(Empresas!$B:$B,MATCH(A26,Empresas!$A:$A,0))&amp;"","cadastre o CNPJ em Empresas"))</f>
        <v/>
      </c>
      <c r="H26" s="28" t="str">
        <f aca="false">IF(B26="","",SUBSTITUTE(SUBSTITUTE(SUBSTITUTE(SUBSTITUTE(SUBSTITUTE(SUBSTITUTE(SUBSTITUTE(SUBSTITUTE(SUBSTITUTE(SUBSTITUTE(SUBSTITUTE(SUBSTITUTE(SUBSTITUTE(UPPER(TRIM(B26)),"Á","A"),"À","A"),"Â","A"),"Ã","A"),"É","E"),"Ê","E"),"Í","I"),"Ó","O"),"Ô","O"),"Õ","O"),"Ú","U"),"Ü","U"),"Ç","C"))</f>
        <v/>
      </c>
      <c r="I26" s="28" t="str">
        <f aca="false">IF(C26="","",IF(LEN(SUBSTITUTE(SUBSTITUTE(SUBSTITUTE(SUBSTITUTE(TRIM(C26),"*",""),".",""),"-","")," ",""))=11,MID(SUBSTITUTE(SUBSTITUTE(SUBSTITUTE(SUBSTITUTE(TRIM(C26),"*",""),".",""),"-","")," ",""),4,6),SUBSTITUTE(SUBSTITUTE(SUBSTITUTE(SUBSTITUTE(TRIM(C26),"*",""),".",""),"-","")," ","")))</f>
        <v/>
      </c>
      <c r="J26" s="28" t="str">
        <f aca="false">IF(OR(H26="",I26=""),"",H26&amp;"|"&amp;I26)</f>
        <v/>
      </c>
      <c r="K26" s="19" t="str">
        <f aca="false">IF(H26="","",IF(AND(J26&lt;&gt;"",COUNTIF(Pessoas!$J:$J,J26)&gt;0),"SIM",IF(COUNTIF(Pessoas!$H:$H,H26)&gt;0,"nome igual em Pessoas: confira o CPF","")))</f>
        <v/>
      </c>
      <c r="L26" s="27"/>
      <c r="M26" s="5"/>
    </row>
    <row r="27" customFormat="false" ht="15" hidden="false" customHeight="false" outlineLevel="0" collapsed="false">
      <c r="A27" s="27"/>
      <c r="B27" s="5"/>
      <c r="C27" s="27"/>
      <c r="D27" s="18"/>
      <c r="E27" s="14"/>
      <c r="F27" s="18"/>
      <c r="G27" s="19" t="str">
        <f aca="false">IF(A27="","",IFERROR(INDEX(Empresas!$B:$B,MATCH(A27,Empresas!$A:$A,0))&amp;"","cadastre o CNPJ em Empresas"))</f>
        <v/>
      </c>
      <c r="H27" s="28" t="str">
        <f aca="false">IF(B27="","",SUBSTITUTE(SUBSTITUTE(SUBSTITUTE(SUBSTITUTE(SUBSTITUTE(SUBSTITUTE(SUBSTITUTE(SUBSTITUTE(SUBSTITUTE(SUBSTITUTE(SUBSTITUTE(SUBSTITUTE(SUBSTITUTE(UPPER(TRIM(B27)),"Á","A"),"À","A"),"Â","A"),"Ã","A"),"É","E"),"Ê","E"),"Í","I"),"Ó","O"),"Ô","O"),"Õ","O"),"Ú","U"),"Ü","U"),"Ç","C"))</f>
        <v/>
      </c>
      <c r="I27" s="28" t="str">
        <f aca="false">IF(C27="","",IF(LEN(SUBSTITUTE(SUBSTITUTE(SUBSTITUTE(SUBSTITUTE(TRIM(C27),"*",""),".",""),"-","")," ",""))=11,MID(SUBSTITUTE(SUBSTITUTE(SUBSTITUTE(SUBSTITUTE(TRIM(C27),"*",""),".",""),"-","")," ",""),4,6),SUBSTITUTE(SUBSTITUTE(SUBSTITUTE(SUBSTITUTE(TRIM(C27),"*",""),".",""),"-","")," ","")))</f>
        <v/>
      </c>
      <c r="J27" s="28" t="str">
        <f aca="false">IF(OR(H27="",I27=""),"",H27&amp;"|"&amp;I27)</f>
        <v/>
      </c>
      <c r="K27" s="19" t="str">
        <f aca="false">IF(H27="","",IF(AND(J27&lt;&gt;"",COUNTIF(Pessoas!$J:$J,J27)&gt;0),"SIM",IF(COUNTIF(Pessoas!$H:$H,H27)&gt;0,"nome igual em Pessoas: confira o CPF","")))</f>
        <v/>
      </c>
      <c r="L27" s="27"/>
      <c r="M27" s="5"/>
    </row>
    <row r="28" customFormat="false" ht="15" hidden="false" customHeight="false" outlineLevel="0" collapsed="false">
      <c r="A28" s="27"/>
      <c r="B28" s="5"/>
      <c r="C28" s="27"/>
      <c r="D28" s="18"/>
      <c r="E28" s="14"/>
      <c r="F28" s="18"/>
      <c r="G28" s="19" t="str">
        <f aca="false">IF(A28="","",IFERROR(INDEX(Empresas!$B:$B,MATCH(A28,Empresas!$A:$A,0))&amp;"","cadastre o CNPJ em Empresas"))</f>
        <v/>
      </c>
      <c r="H28" s="28" t="str">
        <f aca="false">IF(B28="","",SUBSTITUTE(SUBSTITUTE(SUBSTITUTE(SUBSTITUTE(SUBSTITUTE(SUBSTITUTE(SUBSTITUTE(SUBSTITUTE(SUBSTITUTE(SUBSTITUTE(SUBSTITUTE(SUBSTITUTE(SUBSTITUTE(UPPER(TRIM(B28)),"Á","A"),"À","A"),"Â","A"),"Ã","A"),"É","E"),"Ê","E"),"Í","I"),"Ó","O"),"Ô","O"),"Õ","O"),"Ú","U"),"Ü","U"),"Ç","C"))</f>
        <v/>
      </c>
      <c r="I28" s="28" t="str">
        <f aca="false">IF(C28="","",IF(LEN(SUBSTITUTE(SUBSTITUTE(SUBSTITUTE(SUBSTITUTE(TRIM(C28),"*",""),".",""),"-","")," ",""))=11,MID(SUBSTITUTE(SUBSTITUTE(SUBSTITUTE(SUBSTITUTE(TRIM(C28),"*",""),".",""),"-","")," ",""),4,6),SUBSTITUTE(SUBSTITUTE(SUBSTITUTE(SUBSTITUTE(TRIM(C28),"*",""),".",""),"-","")," ","")))</f>
        <v/>
      </c>
      <c r="J28" s="28" t="str">
        <f aca="false">IF(OR(H28="",I28=""),"",H28&amp;"|"&amp;I28)</f>
        <v/>
      </c>
      <c r="K28" s="19" t="str">
        <f aca="false">IF(H28="","",IF(AND(J28&lt;&gt;"",COUNTIF(Pessoas!$J:$J,J28)&gt;0),"SIM",IF(COUNTIF(Pessoas!$H:$H,H28)&gt;0,"nome igual em Pessoas: confira o CPF","")))</f>
        <v/>
      </c>
      <c r="L28" s="27"/>
      <c r="M28" s="5"/>
    </row>
    <row r="29" customFormat="false" ht="15" hidden="false" customHeight="false" outlineLevel="0" collapsed="false">
      <c r="A29" s="27"/>
      <c r="B29" s="5"/>
      <c r="C29" s="27"/>
      <c r="D29" s="18"/>
      <c r="E29" s="14"/>
      <c r="F29" s="18"/>
      <c r="G29" s="19" t="str">
        <f aca="false">IF(A29="","",IFERROR(INDEX(Empresas!$B:$B,MATCH(A29,Empresas!$A:$A,0))&amp;"","cadastre o CNPJ em Empresas"))</f>
        <v/>
      </c>
      <c r="H29" s="28" t="str">
        <f aca="false">IF(B29="","",SUBSTITUTE(SUBSTITUTE(SUBSTITUTE(SUBSTITUTE(SUBSTITUTE(SUBSTITUTE(SUBSTITUTE(SUBSTITUTE(SUBSTITUTE(SUBSTITUTE(SUBSTITUTE(SUBSTITUTE(SUBSTITUTE(UPPER(TRIM(B29)),"Á","A"),"À","A"),"Â","A"),"Ã","A"),"É","E"),"Ê","E"),"Í","I"),"Ó","O"),"Ô","O"),"Õ","O"),"Ú","U"),"Ü","U"),"Ç","C"))</f>
        <v/>
      </c>
      <c r="I29" s="28" t="str">
        <f aca="false">IF(C29="","",IF(LEN(SUBSTITUTE(SUBSTITUTE(SUBSTITUTE(SUBSTITUTE(TRIM(C29),"*",""),".",""),"-","")," ",""))=11,MID(SUBSTITUTE(SUBSTITUTE(SUBSTITUTE(SUBSTITUTE(TRIM(C29),"*",""),".",""),"-","")," ",""),4,6),SUBSTITUTE(SUBSTITUTE(SUBSTITUTE(SUBSTITUTE(TRIM(C29),"*",""),".",""),"-","")," ","")))</f>
        <v/>
      </c>
      <c r="J29" s="28" t="str">
        <f aca="false">IF(OR(H29="",I29=""),"",H29&amp;"|"&amp;I29)</f>
        <v/>
      </c>
      <c r="K29" s="19" t="str">
        <f aca="false">IF(H29="","",IF(AND(J29&lt;&gt;"",COUNTIF(Pessoas!$J:$J,J29)&gt;0),"SIM",IF(COUNTIF(Pessoas!$H:$H,H29)&gt;0,"nome igual em Pessoas: confira o CPF","")))</f>
        <v/>
      </c>
      <c r="L29" s="27"/>
      <c r="M29" s="5"/>
    </row>
    <row r="30" customFormat="false" ht="15" hidden="false" customHeight="false" outlineLevel="0" collapsed="false">
      <c r="A30" s="27"/>
      <c r="B30" s="5"/>
      <c r="C30" s="27"/>
      <c r="D30" s="18"/>
      <c r="E30" s="14"/>
      <c r="F30" s="18"/>
      <c r="G30" s="19" t="str">
        <f aca="false">IF(A30="","",IFERROR(INDEX(Empresas!$B:$B,MATCH(A30,Empresas!$A:$A,0))&amp;"","cadastre o CNPJ em Empresas"))</f>
        <v/>
      </c>
      <c r="H30" s="28" t="str">
        <f aca="false">IF(B30="","",SUBSTITUTE(SUBSTITUTE(SUBSTITUTE(SUBSTITUTE(SUBSTITUTE(SUBSTITUTE(SUBSTITUTE(SUBSTITUTE(SUBSTITUTE(SUBSTITUTE(SUBSTITUTE(SUBSTITUTE(SUBSTITUTE(UPPER(TRIM(B30)),"Á","A"),"À","A"),"Â","A"),"Ã","A"),"É","E"),"Ê","E"),"Í","I"),"Ó","O"),"Ô","O"),"Õ","O"),"Ú","U"),"Ü","U"),"Ç","C"))</f>
        <v/>
      </c>
      <c r="I30" s="28" t="str">
        <f aca="false">IF(C30="","",IF(LEN(SUBSTITUTE(SUBSTITUTE(SUBSTITUTE(SUBSTITUTE(TRIM(C30),"*",""),".",""),"-","")," ",""))=11,MID(SUBSTITUTE(SUBSTITUTE(SUBSTITUTE(SUBSTITUTE(TRIM(C30),"*",""),".",""),"-","")," ",""),4,6),SUBSTITUTE(SUBSTITUTE(SUBSTITUTE(SUBSTITUTE(TRIM(C30),"*",""),".",""),"-","")," ","")))</f>
        <v/>
      </c>
      <c r="J30" s="28" t="str">
        <f aca="false">IF(OR(H30="",I30=""),"",H30&amp;"|"&amp;I30)</f>
        <v/>
      </c>
      <c r="K30" s="19" t="str">
        <f aca="false">IF(H30="","",IF(AND(J30&lt;&gt;"",COUNTIF(Pessoas!$J:$J,J30)&gt;0),"SIM",IF(COUNTIF(Pessoas!$H:$H,H30)&gt;0,"nome igual em Pessoas: confira o CPF","")))</f>
        <v/>
      </c>
      <c r="L30" s="27"/>
      <c r="M30" s="5"/>
    </row>
    <row r="31" customFormat="false" ht="15" hidden="false" customHeight="false" outlineLevel="0" collapsed="false">
      <c r="A31" s="27"/>
      <c r="B31" s="5"/>
      <c r="C31" s="27"/>
      <c r="D31" s="18"/>
      <c r="E31" s="14"/>
      <c r="F31" s="18"/>
      <c r="G31" s="19" t="str">
        <f aca="false">IF(A31="","",IFERROR(INDEX(Empresas!$B:$B,MATCH(A31,Empresas!$A:$A,0))&amp;"","cadastre o CNPJ em Empresas"))</f>
        <v/>
      </c>
      <c r="H31" s="28" t="str">
        <f aca="false">IF(B31="","",SUBSTITUTE(SUBSTITUTE(SUBSTITUTE(SUBSTITUTE(SUBSTITUTE(SUBSTITUTE(SUBSTITUTE(SUBSTITUTE(SUBSTITUTE(SUBSTITUTE(SUBSTITUTE(SUBSTITUTE(SUBSTITUTE(UPPER(TRIM(B31)),"Á","A"),"À","A"),"Â","A"),"Ã","A"),"É","E"),"Ê","E"),"Í","I"),"Ó","O"),"Ô","O"),"Õ","O"),"Ú","U"),"Ü","U"),"Ç","C"))</f>
        <v/>
      </c>
      <c r="I31" s="28" t="str">
        <f aca="false">IF(C31="","",IF(LEN(SUBSTITUTE(SUBSTITUTE(SUBSTITUTE(SUBSTITUTE(TRIM(C31),"*",""),".",""),"-","")," ",""))=11,MID(SUBSTITUTE(SUBSTITUTE(SUBSTITUTE(SUBSTITUTE(TRIM(C31),"*",""),".",""),"-","")," ",""),4,6),SUBSTITUTE(SUBSTITUTE(SUBSTITUTE(SUBSTITUTE(TRIM(C31),"*",""),".",""),"-","")," ","")))</f>
        <v/>
      </c>
      <c r="J31" s="28" t="str">
        <f aca="false">IF(OR(H31="",I31=""),"",H31&amp;"|"&amp;I31)</f>
        <v/>
      </c>
      <c r="K31" s="19" t="str">
        <f aca="false">IF(H31="","",IF(AND(J31&lt;&gt;"",COUNTIF(Pessoas!$J:$J,J31)&gt;0),"SIM",IF(COUNTIF(Pessoas!$H:$H,H31)&gt;0,"nome igual em Pessoas: confira o CPF","")))</f>
        <v/>
      </c>
      <c r="L31" s="27"/>
      <c r="M31" s="5"/>
    </row>
    <row r="32" customFormat="false" ht="15" hidden="false" customHeight="false" outlineLevel="0" collapsed="false">
      <c r="A32" s="27"/>
      <c r="B32" s="5"/>
      <c r="C32" s="27"/>
      <c r="D32" s="18"/>
      <c r="E32" s="14"/>
      <c r="F32" s="18"/>
      <c r="G32" s="19" t="str">
        <f aca="false">IF(A32="","",IFERROR(INDEX(Empresas!$B:$B,MATCH(A32,Empresas!$A:$A,0))&amp;"","cadastre o CNPJ em Empresas"))</f>
        <v/>
      </c>
      <c r="H32" s="28" t="str">
        <f aca="false">IF(B32="","",SUBSTITUTE(SUBSTITUTE(SUBSTITUTE(SUBSTITUTE(SUBSTITUTE(SUBSTITUTE(SUBSTITUTE(SUBSTITUTE(SUBSTITUTE(SUBSTITUTE(SUBSTITUTE(SUBSTITUTE(SUBSTITUTE(UPPER(TRIM(B32)),"Á","A"),"À","A"),"Â","A"),"Ã","A"),"É","E"),"Ê","E"),"Í","I"),"Ó","O"),"Ô","O"),"Õ","O"),"Ú","U"),"Ü","U"),"Ç","C"))</f>
        <v/>
      </c>
      <c r="I32" s="28" t="str">
        <f aca="false">IF(C32="","",IF(LEN(SUBSTITUTE(SUBSTITUTE(SUBSTITUTE(SUBSTITUTE(TRIM(C32),"*",""),".",""),"-","")," ",""))=11,MID(SUBSTITUTE(SUBSTITUTE(SUBSTITUTE(SUBSTITUTE(TRIM(C32),"*",""),".",""),"-","")," ",""),4,6),SUBSTITUTE(SUBSTITUTE(SUBSTITUTE(SUBSTITUTE(TRIM(C32),"*",""),".",""),"-","")," ","")))</f>
        <v/>
      </c>
      <c r="J32" s="28" t="str">
        <f aca="false">IF(OR(H32="",I32=""),"",H32&amp;"|"&amp;I32)</f>
        <v/>
      </c>
      <c r="K32" s="19" t="str">
        <f aca="false">IF(H32="","",IF(AND(J32&lt;&gt;"",COUNTIF(Pessoas!$J:$J,J32)&gt;0),"SIM",IF(COUNTIF(Pessoas!$H:$H,H32)&gt;0,"nome igual em Pessoas: confira o CPF","")))</f>
        <v/>
      </c>
      <c r="L32" s="27"/>
      <c r="M32" s="5"/>
    </row>
    <row r="33" customFormat="false" ht="15" hidden="false" customHeight="false" outlineLevel="0" collapsed="false">
      <c r="A33" s="27"/>
      <c r="B33" s="5"/>
      <c r="C33" s="27"/>
      <c r="D33" s="18"/>
      <c r="E33" s="14"/>
      <c r="F33" s="18"/>
      <c r="G33" s="19" t="str">
        <f aca="false">IF(A33="","",IFERROR(INDEX(Empresas!$B:$B,MATCH(A33,Empresas!$A:$A,0))&amp;"","cadastre o CNPJ em Empresas"))</f>
        <v/>
      </c>
      <c r="H33" s="28" t="str">
        <f aca="false">IF(B33="","",SUBSTITUTE(SUBSTITUTE(SUBSTITUTE(SUBSTITUTE(SUBSTITUTE(SUBSTITUTE(SUBSTITUTE(SUBSTITUTE(SUBSTITUTE(SUBSTITUTE(SUBSTITUTE(SUBSTITUTE(SUBSTITUTE(UPPER(TRIM(B33)),"Á","A"),"À","A"),"Â","A"),"Ã","A"),"É","E"),"Ê","E"),"Í","I"),"Ó","O"),"Ô","O"),"Õ","O"),"Ú","U"),"Ü","U"),"Ç","C"))</f>
        <v/>
      </c>
      <c r="I33" s="28" t="str">
        <f aca="false">IF(C33="","",IF(LEN(SUBSTITUTE(SUBSTITUTE(SUBSTITUTE(SUBSTITUTE(TRIM(C33),"*",""),".",""),"-","")," ",""))=11,MID(SUBSTITUTE(SUBSTITUTE(SUBSTITUTE(SUBSTITUTE(TRIM(C33),"*",""),".",""),"-","")," ",""),4,6),SUBSTITUTE(SUBSTITUTE(SUBSTITUTE(SUBSTITUTE(TRIM(C33),"*",""),".",""),"-","")," ","")))</f>
        <v/>
      </c>
      <c r="J33" s="28" t="str">
        <f aca="false">IF(OR(H33="",I33=""),"",H33&amp;"|"&amp;I33)</f>
        <v/>
      </c>
      <c r="K33" s="19" t="str">
        <f aca="false">IF(H33="","",IF(AND(J33&lt;&gt;"",COUNTIF(Pessoas!$J:$J,J33)&gt;0),"SIM",IF(COUNTIF(Pessoas!$H:$H,H33)&gt;0,"nome igual em Pessoas: confira o CPF","")))</f>
        <v/>
      </c>
      <c r="L33" s="27"/>
      <c r="M33" s="5"/>
    </row>
    <row r="34" customFormat="false" ht="15" hidden="false" customHeight="false" outlineLevel="0" collapsed="false">
      <c r="A34" s="27"/>
      <c r="B34" s="5"/>
      <c r="C34" s="27"/>
      <c r="D34" s="18"/>
      <c r="E34" s="14"/>
      <c r="F34" s="18"/>
      <c r="G34" s="19" t="str">
        <f aca="false">IF(A34="","",IFERROR(INDEX(Empresas!$B:$B,MATCH(A34,Empresas!$A:$A,0))&amp;"","cadastre o CNPJ em Empresas"))</f>
        <v/>
      </c>
      <c r="H34" s="28" t="str">
        <f aca="false">IF(B34="","",SUBSTITUTE(SUBSTITUTE(SUBSTITUTE(SUBSTITUTE(SUBSTITUTE(SUBSTITUTE(SUBSTITUTE(SUBSTITUTE(SUBSTITUTE(SUBSTITUTE(SUBSTITUTE(SUBSTITUTE(SUBSTITUTE(UPPER(TRIM(B34)),"Á","A"),"À","A"),"Â","A"),"Ã","A"),"É","E"),"Ê","E"),"Í","I"),"Ó","O"),"Ô","O"),"Õ","O"),"Ú","U"),"Ü","U"),"Ç","C"))</f>
        <v/>
      </c>
      <c r="I34" s="28" t="str">
        <f aca="false">IF(C34="","",IF(LEN(SUBSTITUTE(SUBSTITUTE(SUBSTITUTE(SUBSTITUTE(TRIM(C34),"*",""),".",""),"-","")," ",""))=11,MID(SUBSTITUTE(SUBSTITUTE(SUBSTITUTE(SUBSTITUTE(TRIM(C34),"*",""),".",""),"-","")," ",""),4,6),SUBSTITUTE(SUBSTITUTE(SUBSTITUTE(SUBSTITUTE(TRIM(C34),"*",""),".",""),"-","")," ","")))</f>
        <v/>
      </c>
      <c r="J34" s="28" t="str">
        <f aca="false">IF(OR(H34="",I34=""),"",H34&amp;"|"&amp;I34)</f>
        <v/>
      </c>
      <c r="K34" s="19" t="str">
        <f aca="false">IF(H34="","",IF(AND(J34&lt;&gt;"",COUNTIF(Pessoas!$J:$J,J34)&gt;0),"SIM",IF(COUNTIF(Pessoas!$H:$H,H34)&gt;0,"nome igual em Pessoas: confira o CPF","")))</f>
        <v/>
      </c>
      <c r="L34" s="27"/>
      <c r="M34" s="5"/>
    </row>
    <row r="35" customFormat="false" ht="15" hidden="false" customHeight="false" outlineLevel="0" collapsed="false">
      <c r="A35" s="27"/>
      <c r="B35" s="5"/>
      <c r="C35" s="27"/>
      <c r="D35" s="18"/>
      <c r="E35" s="14"/>
      <c r="F35" s="18"/>
      <c r="G35" s="19" t="str">
        <f aca="false">IF(A35="","",IFERROR(INDEX(Empresas!$B:$B,MATCH(A35,Empresas!$A:$A,0))&amp;"","cadastre o CNPJ em Empresas"))</f>
        <v/>
      </c>
      <c r="H35" s="28" t="str">
        <f aca="false">IF(B35="","",SUBSTITUTE(SUBSTITUTE(SUBSTITUTE(SUBSTITUTE(SUBSTITUTE(SUBSTITUTE(SUBSTITUTE(SUBSTITUTE(SUBSTITUTE(SUBSTITUTE(SUBSTITUTE(SUBSTITUTE(SUBSTITUTE(UPPER(TRIM(B35)),"Á","A"),"À","A"),"Â","A"),"Ã","A"),"É","E"),"Ê","E"),"Í","I"),"Ó","O"),"Ô","O"),"Õ","O"),"Ú","U"),"Ü","U"),"Ç","C"))</f>
        <v/>
      </c>
      <c r="I35" s="28" t="str">
        <f aca="false">IF(C35="","",IF(LEN(SUBSTITUTE(SUBSTITUTE(SUBSTITUTE(SUBSTITUTE(TRIM(C35),"*",""),".",""),"-","")," ",""))=11,MID(SUBSTITUTE(SUBSTITUTE(SUBSTITUTE(SUBSTITUTE(TRIM(C35),"*",""),".",""),"-","")," ",""),4,6),SUBSTITUTE(SUBSTITUTE(SUBSTITUTE(SUBSTITUTE(TRIM(C35),"*",""),".",""),"-","")," ","")))</f>
        <v/>
      </c>
      <c r="J35" s="28" t="str">
        <f aca="false">IF(OR(H35="",I35=""),"",H35&amp;"|"&amp;I35)</f>
        <v/>
      </c>
      <c r="K35" s="19" t="str">
        <f aca="false">IF(H35="","",IF(AND(J35&lt;&gt;"",COUNTIF(Pessoas!$J:$J,J35)&gt;0),"SIM",IF(COUNTIF(Pessoas!$H:$H,H35)&gt;0,"nome igual em Pessoas: confira o CPF","")))</f>
        <v/>
      </c>
      <c r="L35" s="27"/>
      <c r="M35" s="5"/>
    </row>
    <row r="36" customFormat="false" ht="15" hidden="false" customHeight="false" outlineLevel="0" collapsed="false">
      <c r="A36" s="27"/>
      <c r="B36" s="5"/>
      <c r="C36" s="27"/>
      <c r="D36" s="18"/>
      <c r="E36" s="14"/>
      <c r="F36" s="18"/>
      <c r="G36" s="19" t="str">
        <f aca="false">IF(A36="","",IFERROR(INDEX(Empresas!$B:$B,MATCH(A36,Empresas!$A:$A,0))&amp;"","cadastre o CNPJ em Empresas"))</f>
        <v/>
      </c>
      <c r="H36" s="28" t="str">
        <f aca="false">IF(B36="","",SUBSTITUTE(SUBSTITUTE(SUBSTITUTE(SUBSTITUTE(SUBSTITUTE(SUBSTITUTE(SUBSTITUTE(SUBSTITUTE(SUBSTITUTE(SUBSTITUTE(SUBSTITUTE(SUBSTITUTE(SUBSTITUTE(UPPER(TRIM(B36)),"Á","A"),"À","A"),"Â","A"),"Ã","A"),"É","E"),"Ê","E"),"Í","I"),"Ó","O"),"Ô","O"),"Õ","O"),"Ú","U"),"Ü","U"),"Ç","C"))</f>
        <v/>
      </c>
      <c r="I36" s="28" t="str">
        <f aca="false">IF(C36="","",IF(LEN(SUBSTITUTE(SUBSTITUTE(SUBSTITUTE(SUBSTITUTE(TRIM(C36),"*",""),".",""),"-","")," ",""))=11,MID(SUBSTITUTE(SUBSTITUTE(SUBSTITUTE(SUBSTITUTE(TRIM(C36),"*",""),".",""),"-","")," ",""),4,6),SUBSTITUTE(SUBSTITUTE(SUBSTITUTE(SUBSTITUTE(TRIM(C36),"*",""),".",""),"-","")," ","")))</f>
        <v/>
      </c>
      <c r="J36" s="28" t="str">
        <f aca="false">IF(OR(H36="",I36=""),"",H36&amp;"|"&amp;I36)</f>
        <v/>
      </c>
      <c r="K36" s="19" t="str">
        <f aca="false">IF(H36="","",IF(AND(J36&lt;&gt;"",COUNTIF(Pessoas!$J:$J,J36)&gt;0),"SIM",IF(COUNTIF(Pessoas!$H:$H,H36)&gt;0,"nome igual em Pessoas: confira o CPF","")))</f>
        <v/>
      </c>
      <c r="L36" s="27"/>
      <c r="M36" s="5"/>
    </row>
    <row r="37" customFormat="false" ht="15" hidden="false" customHeight="false" outlineLevel="0" collapsed="false">
      <c r="A37" s="27"/>
      <c r="B37" s="5"/>
      <c r="C37" s="27"/>
      <c r="D37" s="18"/>
      <c r="E37" s="14"/>
      <c r="F37" s="18"/>
      <c r="G37" s="19" t="str">
        <f aca="false">IF(A37="","",IFERROR(INDEX(Empresas!$B:$B,MATCH(A37,Empresas!$A:$A,0))&amp;"","cadastre o CNPJ em Empresas"))</f>
        <v/>
      </c>
      <c r="H37" s="28" t="str">
        <f aca="false">IF(B37="","",SUBSTITUTE(SUBSTITUTE(SUBSTITUTE(SUBSTITUTE(SUBSTITUTE(SUBSTITUTE(SUBSTITUTE(SUBSTITUTE(SUBSTITUTE(SUBSTITUTE(SUBSTITUTE(SUBSTITUTE(SUBSTITUTE(UPPER(TRIM(B37)),"Á","A"),"À","A"),"Â","A"),"Ã","A"),"É","E"),"Ê","E"),"Í","I"),"Ó","O"),"Ô","O"),"Õ","O"),"Ú","U"),"Ü","U"),"Ç","C"))</f>
        <v/>
      </c>
      <c r="I37" s="28" t="str">
        <f aca="false">IF(C37="","",IF(LEN(SUBSTITUTE(SUBSTITUTE(SUBSTITUTE(SUBSTITUTE(TRIM(C37),"*",""),".",""),"-","")," ",""))=11,MID(SUBSTITUTE(SUBSTITUTE(SUBSTITUTE(SUBSTITUTE(TRIM(C37),"*",""),".",""),"-","")," ",""),4,6),SUBSTITUTE(SUBSTITUTE(SUBSTITUTE(SUBSTITUTE(TRIM(C37),"*",""),".",""),"-","")," ","")))</f>
        <v/>
      </c>
      <c r="J37" s="28" t="str">
        <f aca="false">IF(OR(H37="",I37=""),"",H37&amp;"|"&amp;I37)</f>
        <v/>
      </c>
      <c r="K37" s="19" t="str">
        <f aca="false">IF(H37="","",IF(AND(J37&lt;&gt;"",COUNTIF(Pessoas!$J:$J,J37)&gt;0),"SIM",IF(COUNTIF(Pessoas!$H:$H,H37)&gt;0,"nome igual em Pessoas: confira o CPF","")))</f>
        <v/>
      </c>
      <c r="L37" s="27"/>
      <c r="M37" s="5"/>
    </row>
    <row r="38" customFormat="false" ht="15" hidden="false" customHeight="false" outlineLevel="0" collapsed="false">
      <c r="A38" s="27"/>
      <c r="B38" s="5"/>
      <c r="C38" s="27"/>
      <c r="D38" s="18"/>
      <c r="E38" s="14"/>
      <c r="F38" s="18"/>
      <c r="G38" s="19" t="str">
        <f aca="false">IF(A38="","",IFERROR(INDEX(Empresas!$B:$B,MATCH(A38,Empresas!$A:$A,0))&amp;"","cadastre o CNPJ em Empresas"))</f>
        <v/>
      </c>
      <c r="H38" s="28" t="str">
        <f aca="false">IF(B38="","",SUBSTITUTE(SUBSTITUTE(SUBSTITUTE(SUBSTITUTE(SUBSTITUTE(SUBSTITUTE(SUBSTITUTE(SUBSTITUTE(SUBSTITUTE(SUBSTITUTE(SUBSTITUTE(SUBSTITUTE(SUBSTITUTE(UPPER(TRIM(B38)),"Á","A"),"À","A"),"Â","A"),"Ã","A"),"É","E"),"Ê","E"),"Í","I"),"Ó","O"),"Ô","O"),"Õ","O"),"Ú","U"),"Ü","U"),"Ç","C"))</f>
        <v/>
      </c>
      <c r="I38" s="28" t="str">
        <f aca="false">IF(C38="","",IF(LEN(SUBSTITUTE(SUBSTITUTE(SUBSTITUTE(SUBSTITUTE(TRIM(C38),"*",""),".",""),"-","")," ",""))=11,MID(SUBSTITUTE(SUBSTITUTE(SUBSTITUTE(SUBSTITUTE(TRIM(C38),"*",""),".",""),"-","")," ",""),4,6),SUBSTITUTE(SUBSTITUTE(SUBSTITUTE(SUBSTITUTE(TRIM(C38),"*",""),".",""),"-","")," ","")))</f>
        <v/>
      </c>
      <c r="J38" s="28" t="str">
        <f aca="false">IF(OR(H38="",I38=""),"",H38&amp;"|"&amp;I38)</f>
        <v/>
      </c>
      <c r="K38" s="19" t="str">
        <f aca="false">IF(H38="","",IF(AND(J38&lt;&gt;"",COUNTIF(Pessoas!$J:$J,J38)&gt;0),"SIM",IF(COUNTIF(Pessoas!$H:$H,H38)&gt;0,"nome igual em Pessoas: confira o CPF","")))</f>
        <v/>
      </c>
      <c r="L38" s="27"/>
      <c r="M38" s="5"/>
    </row>
    <row r="39" customFormat="false" ht="15" hidden="false" customHeight="false" outlineLevel="0" collapsed="false">
      <c r="A39" s="27"/>
      <c r="B39" s="5"/>
      <c r="C39" s="27"/>
      <c r="D39" s="18"/>
      <c r="E39" s="14"/>
      <c r="F39" s="18"/>
      <c r="G39" s="19" t="str">
        <f aca="false">IF(A39="","",IFERROR(INDEX(Empresas!$B:$B,MATCH(A39,Empresas!$A:$A,0))&amp;"","cadastre o CNPJ em Empresas"))</f>
        <v/>
      </c>
      <c r="H39" s="28" t="str">
        <f aca="false">IF(B39="","",SUBSTITUTE(SUBSTITUTE(SUBSTITUTE(SUBSTITUTE(SUBSTITUTE(SUBSTITUTE(SUBSTITUTE(SUBSTITUTE(SUBSTITUTE(SUBSTITUTE(SUBSTITUTE(SUBSTITUTE(SUBSTITUTE(UPPER(TRIM(B39)),"Á","A"),"À","A"),"Â","A"),"Ã","A"),"É","E"),"Ê","E"),"Í","I"),"Ó","O"),"Ô","O"),"Õ","O"),"Ú","U"),"Ü","U"),"Ç","C"))</f>
        <v/>
      </c>
      <c r="I39" s="28" t="str">
        <f aca="false">IF(C39="","",IF(LEN(SUBSTITUTE(SUBSTITUTE(SUBSTITUTE(SUBSTITUTE(TRIM(C39),"*",""),".",""),"-","")," ",""))=11,MID(SUBSTITUTE(SUBSTITUTE(SUBSTITUTE(SUBSTITUTE(TRIM(C39),"*",""),".",""),"-","")," ",""),4,6),SUBSTITUTE(SUBSTITUTE(SUBSTITUTE(SUBSTITUTE(TRIM(C39),"*",""),".",""),"-","")," ","")))</f>
        <v/>
      </c>
      <c r="J39" s="28" t="str">
        <f aca="false">IF(OR(H39="",I39=""),"",H39&amp;"|"&amp;I39)</f>
        <v/>
      </c>
      <c r="K39" s="19" t="str">
        <f aca="false">IF(H39="","",IF(AND(J39&lt;&gt;"",COUNTIF(Pessoas!$J:$J,J39)&gt;0),"SIM",IF(COUNTIF(Pessoas!$H:$H,H39)&gt;0,"nome igual em Pessoas: confira o CPF","")))</f>
        <v/>
      </c>
      <c r="L39" s="27"/>
      <c r="M39" s="5"/>
    </row>
    <row r="40" customFormat="false" ht="15" hidden="false" customHeight="false" outlineLevel="0" collapsed="false">
      <c r="A40" s="27"/>
      <c r="B40" s="5"/>
      <c r="C40" s="27"/>
      <c r="D40" s="18"/>
      <c r="E40" s="14"/>
      <c r="F40" s="18"/>
      <c r="G40" s="19" t="str">
        <f aca="false">IF(A40="","",IFERROR(INDEX(Empresas!$B:$B,MATCH(A40,Empresas!$A:$A,0))&amp;"","cadastre o CNPJ em Empresas"))</f>
        <v/>
      </c>
      <c r="H40" s="28" t="str">
        <f aca="false">IF(B40="","",SUBSTITUTE(SUBSTITUTE(SUBSTITUTE(SUBSTITUTE(SUBSTITUTE(SUBSTITUTE(SUBSTITUTE(SUBSTITUTE(SUBSTITUTE(SUBSTITUTE(SUBSTITUTE(SUBSTITUTE(SUBSTITUTE(UPPER(TRIM(B40)),"Á","A"),"À","A"),"Â","A"),"Ã","A"),"É","E"),"Ê","E"),"Í","I"),"Ó","O"),"Ô","O"),"Õ","O"),"Ú","U"),"Ü","U"),"Ç","C"))</f>
        <v/>
      </c>
      <c r="I40" s="28" t="str">
        <f aca="false">IF(C40="","",IF(LEN(SUBSTITUTE(SUBSTITUTE(SUBSTITUTE(SUBSTITUTE(TRIM(C40),"*",""),".",""),"-","")," ",""))=11,MID(SUBSTITUTE(SUBSTITUTE(SUBSTITUTE(SUBSTITUTE(TRIM(C40),"*",""),".",""),"-","")," ",""),4,6),SUBSTITUTE(SUBSTITUTE(SUBSTITUTE(SUBSTITUTE(TRIM(C40),"*",""),".",""),"-","")," ","")))</f>
        <v/>
      </c>
      <c r="J40" s="28" t="str">
        <f aca="false">IF(OR(H40="",I40=""),"",H40&amp;"|"&amp;I40)</f>
        <v/>
      </c>
      <c r="K40" s="19" t="str">
        <f aca="false">IF(H40="","",IF(AND(J40&lt;&gt;"",COUNTIF(Pessoas!$J:$J,J40)&gt;0),"SIM",IF(COUNTIF(Pessoas!$H:$H,H40)&gt;0,"nome igual em Pessoas: confira o CPF","")))</f>
        <v/>
      </c>
      <c r="L40" s="27"/>
      <c r="M40" s="5"/>
    </row>
    <row r="41" customFormat="false" ht="15" hidden="false" customHeight="false" outlineLevel="0" collapsed="false">
      <c r="A41" s="27"/>
      <c r="B41" s="5"/>
      <c r="C41" s="27"/>
      <c r="D41" s="18"/>
      <c r="E41" s="14"/>
      <c r="F41" s="18"/>
      <c r="G41" s="19" t="str">
        <f aca="false">IF(A41="","",IFERROR(INDEX(Empresas!$B:$B,MATCH(A41,Empresas!$A:$A,0))&amp;"","cadastre o CNPJ em Empresas"))</f>
        <v/>
      </c>
      <c r="H41" s="28" t="str">
        <f aca="false">IF(B41="","",SUBSTITUTE(SUBSTITUTE(SUBSTITUTE(SUBSTITUTE(SUBSTITUTE(SUBSTITUTE(SUBSTITUTE(SUBSTITUTE(SUBSTITUTE(SUBSTITUTE(SUBSTITUTE(SUBSTITUTE(SUBSTITUTE(UPPER(TRIM(B41)),"Á","A"),"À","A"),"Â","A"),"Ã","A"),"É","E"),"Ê","E"),"Í","I"),"Ó","O"),"Ô","O"),"Õ","O"),"Ú","U"),"Ü","U"),"Ç","C"))</f>
        <v/>
      </c>
      <c r="I41" s="28" t="str">
        <f aca="false">IF(C41="","",IF(LEN(SUBSTITUTE(SUBSTITUTE(SUBSTITUTE(SUBSTITUTE(TRIM(C41),"*",""),".",""),"-","")," ",""))=11,MID(SUBSTITUTE(SUBSTITUTE(SUBSTITUTE(SUBSTITUTE(TRIM(C41),"*",""),".",""),"-","")," ",""),4,6),SUBSTITUTE(SUBSTITUTE(SUBSTITUTE(SUBSTITUTE(TRIM(C41),"*",""),".",""),"-","")," ","")))</f>
        <v/>
      </c>
      <c r="J41" s="28" t="str">
        <f aca="false">IF(OR(H41="",I41=""),"",H41&amp;"|"&amp;I41)</f>
        <v/>
      </c>
      <c r="K41" s="19" t="str">
        <f aca="false">IF(H41="","",IF(AND(J41&lt;&gt;"",COUNTIF(Pessoas!$J:$J,J41)&gt;0),"SIM",IF(COUNTIF(Pessoas!$H:$H,H41)&gt;0,"nome igual em Pessoas: confira o CPF","")))</f>
        <v/>
      </c>
      <c r="L41" s="27"/>
      <c r="M41" s="5"/>
    </row>
    <row r="42" customFormat="false" ht="15" hidden="false" customHeight="false" outlineLevel="0" collapsed="false">
      <c r="A42" s="27"/>
      <c r="B42" s="5"/>
      <c r="C42" s="27"/>
      <c r="D42" s="18"/>
      <c r="E42" s="14"/>
      <c r="F42" s="18"/>
      <c r="G42" s="19" t="str">
        <f aca="false">IF(A42="","",IFERROR(INDEX(Empresas!$B:$B,MATCH(A42,Empresas!$A:$A,0))&amp;"","cadastre o CNPJ em Empresas"))</f>
        <v/>
      </c>
      <c r="H42" s="28" t="str">
        <f aca="false">IF(B42="","",SUBSTITUTE(SUBSTITUTE(SUBSTITUTE(SUBSTITUTE(SUBSTITUTE(SUBSTITUTE(SUBSTITUTE(SUBSTITUTE(SUBSTITUTE(SUBSTITUTE(SUBSTITUTE(SUBSTITUTE(SUBSTITUTE(UPPER(TRIM(B42)),"Á","A"),"À","A"),"Â","A"),"Ã","A"),"É","E"),"Ê","E"),"Í","I"),"Ó","O"),"Ô","O"),"Õ","O"),"Ú","U"),"Ü","U"),"Ç","C"))</f>
        <v/>
      </c>
      <c r="I42" s="28" t="str">
        <f aca="false">IF(C42="","",IF(LEN(SUBSTITUTE(SUBSTITUTE(SUBSTITUTE(SUBSTITUTE(TRIM(C42),"*",""),".",""),"-","")," ",""))=11,MID(SUBSTITUTE(SUBSTITUTE(SUBSTITUTE(SUBSTITUTE(TRIM(C42),"*",""),".",""),"-","")," ",""),4,6),SUBSTITUTE(SUBSTITUTE(SUBSTITUTE(SUBSTITUTE(TRIM(C42),"*",""),".",""),"-","")," ","")))</f>
        <v/>
      </c>
      <c r="J42" s="28" t="str">
        <f aca="false">IF(OR(H42="",I42=""),"",H42&amp;"|"&amp;I42)</f>
        <v/>
      </c>
      <c r="K42" s="19" t="str">
        <f aca="false">IF(H42="","",IF(AND(J42&lt;&gt;"",COUNTIF(Pessoas!$J:$J,J42)&gt;0),"SIM",IF(COUNTIF(Pessoas!$H:$H,H42)&gt;0,"nome igual em Pessoas: confira o CPF","")))</f>
        <v/>
      </c>
      <c r="L42" s="27"/>
      <c r="M42" s="5"/>
    </row>
    <row r="43" customFormat="false" ht="15" hidden="false" customHeight="false" outlineLevel="0" collapsed="false">
      <c r="A43" s="27"/>
      <c r="B43" s="5"/>
      <c r="C43" s="27"/>
      <c r="D43" s="18"/>
      <c r="E43" s="14"/>
      <c r="F43" s="18"/>
      <c r="G43" s="19" t="str">
        <f aca="false">IF(A43="","",IFERROR(INDEX(Empresas!$B:$B,MATCH(A43,Empresas!$A:$A,0))&amp;"","cadastre o CNPJ em Empresas"))</f>
        <v/>
      </c>
      <c r="H43" s="28" t="str">
        <f aca="false">IF(B43="","",SUBSTITUTE(SUBSTITUTE(SUBSTITUTE(SUBSTITUTE(SUBSTITUTE(SUBSTITUTE(SUBSTITUTE(SUBSTITUTE(SUBSTITUTE(SUBSTITUTE(SUBSTITUTE(SUBSTITUTE(SUBSTITUTE(UPPER(TRIM(B43)),"Á","A"),"À","A"),"Â","A"),"Ã","A"),"É","E"),"Ê","E"),"Í","I"),"Ó","O"),"Ô","O"),"Õ","O"),"Ú","U"),"Ü","U"),"Ç","C"))</f>
        <v/>
      </c>
      <c r="I43" s="28" t="str">
        <f aca="false">IF(C43="","",IF(LEN(SUBSTITUTE(SUBSTITUTE(SUBSTITUTE(SUBSTITUTE(TRIM(C43),"*",""),".",""),"-","")," ",""))=11,MID(SUBSTITUTE(SUBSTITUTE(SUBSTITUTE(SUBSTITUTE(TRIM(C43),"*",""),".",""),"-","")," ",""),4,6),SUBSTITUTE(SUBSTITUTE(SUBSTITUTE(SUBSTITUTE(TRIM(C43),"*",""),".",""),"-","")," ","")))</f>
        <v/>
      </c>
      <c r="J43" s="28" t="str">
        <f aca="false">IF(OR(H43="",I43=""),"",H43&amp;"|"&amp;I43)</f>
        <v/>
      </c>
      <c r="K43" s="19" t="str">
        <f aca="false">IF(H43="","",IF(AND(J43&lt;&gt;"",COUNTIF(Pessoas!$J:$J,J43)&gt;0),"SIM",IF(COUNTIF(Pessoas!$H:$H,H43)&gt;0,"nome igual em Pessoas: confira o CPF","")))</f>
        <v/>
      </c>
      <c r="L43" s="27"/>
      <c r="M43" s="5"/>
    </row>
    <row r="44" customFormat="false" ht="15" hidden="false" customHeight="false" outlineLevel="0" collapsed="false">
      <c r="A44" s="27"/>
      <c r="B44" s="5"/>
      <c r="C44" s="27"/>
      <c r="D44" s="18"/>
      <c r="E44" s="14"/>
      <c r="F44" s="18"/>
      <c r="G44" s="19" t="str">
        <f aca="false">IF(A44="","",IFERROR(INDEX(Empresas!$B:$B,MATCH(A44,Empresas!$A:$A,0))&amp;"","cadastre o CNPJ em Empresas"))</f>
        <v/>
      </c>
      <c r="H44" s="28" t="str">
        <f aca="false">IF(B44="","",SUBSTITUTE(SUBSTITUTE(SUBSTITUTE(SUBSTITUTE(SUBSTITUTE(SUBSTITUTE(SUBSTITUTE(SUBSTITUTE(SUBSTITUTE(SUBSTITUTE(SUBSTITUTE(SUBSTITUTE(SUBSTITUTE(UPPER(TRIM(B44)),"Á","A"),"À","A"),"Â","A"),"Ã","A"),"É","E"),"Ê","E"),"Í","I"),"Ó","O"),"Ô","O"),"Õ","O"),"Ú","U"),"Ü","U"),"Ç","C"))</f>
        <v/>
      </c>
      <c r="I44" s="28" t="str">
        <f aca="false">IF(C44="","",IF(LEN(SUBSTITUTE(SUBSTITUTE(SUBSTITUTE(SUBSTITUTE(TRIM(C44),"*",""),".",""),"-","")," ",""))=11,MID(SUBSTITUTE(SUBSTITUTE(SUBSTITUTE(SUBSTITUTE(TRIM(C44),"*",""),".",""),"-","")," ",""),4,6),SUBSTITUTE(SUBSTITUTE(SUBSTITUTE(SUBSTITUTE(TRIM(C44),"*",""),".",""),"-","")," ","")))</f>
        <v/>
      </c>
      <c r="J44" s="28" t="str">
        <f aca="false">IF(OR(H44="",I44=""),"",H44&amp;"|"&amp;I44)</f>
        <v/>
      </c>
      <c r="K44" s="19" t="str">
        <f aca="false">IF(H44="","",IF(AND(J44&lt;&gt;"",COUNTIF(Pessoas!$J:$J,J44)&gt;0),"SIM",IF(COUNTIF(Pessoas!$H:$H,H44)&gt;0,"nome igual em Pessoas: confira o CPF","")))</f>
        <v/>
      </c>
      <c r="L44" s="27"/>
      <c r="M44" s="5"/>
    </row>
    <row r="45" customFormat="false" ht="15" hidden="false" customHeight="false" outlineLevel="0" collapsed="false">
      <c r="A45" s="27"/>
      <c r="B45" s="5"/>
      <c r="C45" s="27"/>
      <c r="D45" s="18"/>
      <c r="E45" s="14"/>
      <c r="F45" s="18"/>
      <c r="G45" s="19" t="str">
        <f aca="false">IF(A45="","",IFERROR(INDEX(Empresas!$B:$B,MATCH(A45,Empresas!$A:$A,0))&amp;"","cadastre o CNPJ em Empresas"))</f>
        <v/>
      </c>
      <c r="H45" s="28" t="str">
        <f aca="false">IF(B45="","",SUBSTITUTE(SUBSTITUTE(SUBSTITUTE(SUBSTITUTE(SUBSTITUTE(SUBSTITUTE(SUBSTITUTE(SUBSTITUTE(SUBSTITUTE(SUBSTITUTE(SUBSTITUTE(SUBSTITUTE(SUBSTITUTE(UPPER(TRIM(B45)),"Á","A"),"À","A"),"Â","A"),"Ã","A"),"É","E"),"Ê","E"),"Í","I"),"Ó","O"),"Ô","O"),"Õ","O"),"Ú","U"),"Ü","U"),"Ç","C"))</f>
        <v/>
      </c>
      <c r="I45" s="28" t="str">
        <f aca="false">IF(C45="","",IF(LEN(SUBSTITUTE(SUBSTITUTE(SUBSTITUTE(SUBSTITUTE(TRIM(C45),"*",""),".",""),"-","")," ",""))=11,MID(SUBSTITUTE(SUBSTITUTE(SUBSTITUTE(SUBSTITUTE(TRIM(C45),"*",""),".",""),"-","")," ",""),4,6),SUBSTITUTE(SUBSTITUTE(SUBSTITUTE(SUBSTITUTE(TRIM(C45),"*",""),".",""),"-","")," ","")))</f>
        <v/>
      </c>
      <c r="J45" s="28" t="str">
        <f aca="false">IF(OR(H45="",I45=""),"",H45&amp;"|"&amp;I45)</f>
        <v/>
      </c>
      <c r="K45" s="19" t="str">
        <f aca="false">IF(H45="","",IF(AND(J45&lt;&gt;"",COUNTIF(Pessoas!$J:$J,J45)&gt;0),"SIM",IF(COUNTIF(Pessoas!$H:$H,H45)&gt;0,"nome igual em Pessoas: confira o CPF","")))</f>
        <v/>
      </c>
      <c r="L45" s="27"/>
      <c r="M45" s="5"/>
    </row>
    <row r="46" customFormat="false" ht="15" hidden="false" customHeight="false" outlineLevel="0" collapsed="false">
      <c r="A46" s="27"/>
      <c r="B46" s="5"/>
      <c r="C46" s="27"/>
      <c r="D46" s="18"/>
      <c r="E46" s="14"/>
      <c r="F46" s="18"/>
      <c r="G46" s="19" t="str">
        <f aca="false">IF(A46="","",IFERROR(INDEX(Empresas!$B:$B,MATCH(A46,Empresas!$A:$A,0))&amp;"","cadastre o CNPJ em Empresas"))</f>
        <v/>
      </c>
      <c r="H46" s="28" t="str">
        <f aca="false">IF(B46="","",SUBSTITUTE(SUBSTITUTE(SUBSTITUTE(SUBSTITUTE(SUBSTITUTE(SUBSTITUTE(SUBSTITUTE(SUBSTITUTE(SUBSTITUTE(SUBSTITUTE(SUBSTITUTE(SUBSTITUTE(SUBSTITUTE(UPPER(TRIM(B46)),"Á","A"),"À","A"),"Â","A"),"Ã","A"),"É","E"),"Ê","E"),"Í","I"),"Ó","O"),"Ô","O"),"Õ","O"),"Ú","U"),"Ü","U"),"Ç","C"))</f>
        <v/>
      </c>
      <c r="I46" s="28" t="str">
        <f aca="false">IF(C46="","",IF(LEN(SUBSTITUTE(SUBSTITUTE(SUBSTITUTE(SUBSTITUTE(TRIM(C46),"*",""),".",""),"-","")," ",""))=11,MID(SUBSTITUTE(SUBSTITUTE(SUBSTITUTE(SUBSTITUTE(TRIM(C46),"*",""),".",""),"-","")," ",""),4,6),SUBSTITUTE(SUBSTITUTE(SUBSTITUTE(SUBSTITUTE(TRIM(C46),"*",""),".",""),"-","")," ","")))</f>
        <v/>
      </c>
      <c r="J46" s="28" t="str">
        <f aca="false">IF(OR(H46="",I46=""),"",H46&amp;"|"&amp;I46)</f>
        <v/>
      </c>
      <c r="K46" s="19" t="str">
        <f aca="false">IF(H46="","",IF(AND(J46&lt;&gt;"",COUNTIF(Pessoas!$J:$J,J46)&gt;0),"SIM",IF(COUNTIF(Pessoas!$H:$H,H46)&gt;0,"nome igual em Pessoas: confira o CPF","")))</f>
        <v/>
      </c>
      <c r="L46" s="27"/>
      <c r="M46" s="5"/>
    </row>
    <row r="47" customFormat="false" ht="15" hidden="false" customHeight="false" outlineLevel="0" collapsed="false">
      <c r="A47" s="27"/>
      <c r="B47" s="5"/>
      <c r="C47" s="27"/>
      <c r="D47" s="18"/>
      <c r="E47" s="14"/>
      <c r="F47" s="18"/>
      <c r="G47" s="19" t="str">
        <f aca="false">IF(A47="","",IFERROR(INDEX(Empresas!$B:$B,MATCH(A47,Empresas!$A:$A,0))&amp;"","cadastre o CNPJ em Empresas"))</f>
        <v/>
      </c>
      <c r="H47" s="28" t="str">
        <f aca="false">IF(B47="","",SUBSTITUTE(SUBSTITUTE(SUBSTITUTE(SUBSTITUTE(SUBSTITUTE(SUBSTITUTE(SUBSTITUTE(SUBSTITUTE(SUBSTITUTE(SUBSTITUTE(SUBSTITUTE(SUBSTITUTE(SUBSTITUTE(UPPER(TRIM(B47)),"Á","A"),"À","A"),"Â","A"),"Ã","A"),"É","E"),"Ê","E"),"Í","I"),"Ó","O"),"Ô","O"),"Õ","O"),"Ú","U"),"Ü","U"),"Ç","C"))</f>
        <v/>
      </c>
      <c r="I47" s="28" t="str">
        <f aca="false">IF(C47="","",IF(LEN(SUBSTITUTE(SUBSTITUTE(SUBSTITUTE(SUBSTITUTE(TRIM(C47),"*",""),".",""),"-","")," ",""))=11,MID(SUBSTITUTE(SUBSTITUTE(SUBSTITUTE(SUBSTITUTE(TRIM(C47),"*",""),".",""),"-","")," ",""),4,6),SUBSTITUTE(SUBSTITUTE(SUBSTITUTE(SUBSTITUTE(TRIM(C47),"*",""),".",""),"-","")," ","")))</f>
        <v/>
      </c>
      <c r="J47" s="28" t="str">
        <f aca="false">IF(OR(H47="",I47=""),"",H47&amp;"|"&amp;I47)</f>
        <v/>
      </c>
      <c r="K47" s="19" t="str">
        <f aca="false">IF(H47="","",IF(AND(J47&lt;&gt;"",COUNTIF(Pessoas!$J:$J,J47)&gt;0),"SIM",IF(COUNTIF(Pessoas!$H:$H,H47)&gt;0,"nome igual em Pessoas: confira o CPF","")))</f>
        <v/>
      </c>
      <c r="L47" s="27"/>
      <c r="M47" s="5"/>
    </row>
    <row r="48" customFormat="false" ht="15" hidden="false" customHeight="false" outlineLevel="0" collapsed="false">
      <c r="A48" s="27"/>
      <c r="B48" s="5"/>
      <c r="C48" s="27"/>
      <c r="D48" s="18"/>
      <c r="E48" s="14"/>
      <c r="F48" s="18"/>
      <c r="G48" s="19" t="str">
        <f aca="false">IF(A48="","",IFERROR(INDEX(Empresas!$B:$B,MATCH(A48,Empresas!$A:$A,0))&amp;"","cadastre o CNPJ em Empresas"))</f>
        <v/>
      </c>
      <c r="H48" s="28" t="str">
        <f aca="false">IF(B48="","",SUBSTITUTE(SUBSTITUTE(SUBSTITUTE(SUBSTITUTE(SUBSTITUTE(SUBSTITUTE(SUBSTITUTE(SUBSTITUTE(SUBSTITUTE(SUBSTITUTE(SUBSTITUTE(SUBSTITUTE(SUBSTITUTE(UPPER(TRIM(B48)),"Á","A"),"À","A"),"Â","A"),"Ã","A"),"É","E"),"Ê","E"),"Í","I"),"Ó","O"),"Ô","O"),"Õ","O"),"Ú","U"),"Ü","U"),"Ç","C"))</f>
        <v/>
      </c>
      <c r="I48" s="28" t="str">
        <f aca="false">IF(C48="","",IF(LEN(SUBSTITUTE(SUBSTITUTE(SUBSTITUTE(SUBSTITUTE(TRIM(C48),"*",""),".",""),"-","")," ",""))=11,MID(SUBSTITUTE(SUBSTITUTE(SUBSTITUTE(SUBSTITUTE(TRIM(C48),"*",""),".",""),"-","")," ",""),4,6),SUBSTITUTE(SUBSTITUTE(SUBSTITUTE(SUBSTITUTE(TRIM(C48),"*",""),".",""),"-","")," ","")))</f>
        <v/>
      </c>
      <c r="J48" s="28" t="str">
        <f aca="false">IF(OR(H48="",I48=""),"",H48&amp;"|"&amp;I48)</f>
        <v/>
      </c>
      <c r="K48" s="19" t="str">
        <f aca="false">IF(H48="","",IF(AND(J48&lt;&gt;"",COUNTIF(Pessoas!$J:$J,J48)&gt;0),"SIM",IF(COUNTIF(Pessoas!$H:$H,H48)&gt;0,"nome igual em Pessoas: confira o CPF","")))</f>
        <v/>
      </c>
      <c r="L48" s="27"/>
      <c r="M48" s="5"/>
    </row>
    <row r="49" customFormat="false" ht="15" hidden="false" customHeight="false" outlineLevel="0" collapsed="false">
      <c r="A49" s="27"/>
      <c r="B49" s="5"/>
      <c r="C49" s="27"/>
      <c r="D49" s="18"/>
      <c r="E49" s="14"/>
      <c r="F49" s="18"/>
      <c r="G49" s="19" t="str">
        <f aca="false">IF(A49="","",IFERROR(INDEX(Empresas!$B:$B,MATCH(A49,Empresas!$A:$A,0))&amp;"","cadastre o CNPJ em Empresas"))</f>
        <v/>
      </c>
      <c r="H49" s="28" t="str">
        <f aca="false">IF(B49="","",SUBSTITUTE(SUBSTITUTE(SUBSTITUTE(SUBSTITUTE(SUBSTITUTE(SUBSTITUTE(SUBSTITUTE(SUBSTITUTE(SUBSTITUTE(SUBSTITUTE(SUBSTITUTE(SUBSTITUTE(SUBSTITUTE(UPPER(TRIM(B49)),"Á","A"),"À","A"),"Â","A"),"Ã","A"),"É","E"),"Ê","E"),"Í","I"),"Ó","O"),"Ô","O"),"Õ","O"),"Ú","U"),"Ü","U"),"Ç","C"))</f>
        <v/>
      </c>
      <c r="I49" s="28" t="str">
        <f aca="false">IF(C49="","",IF(LEN(SUBSTITUTE(SUBSTITUTE(SUBSTITUTE(SUBSTITUTE(TRIM(C49),"*",""),".",""),"-","")," ",""))=11,MID(SUBSTITUTE(SUBSTITUTE(SUBSTITUTE(SUBSTITUTE(TRIM(C49),"*",""),".",""),"-","")," ",""),4,6),SUBSTITUTE(SUBSTITUTE(SUBSTITUTE(SUBSTITUTE(TRIM(C49),"*",""),".",""),"-","")," ","")))</f>
        <v/>
      </c>
      <c r="J49" s="28" t="str">
        <f aca="false">IF(OR(H49="",I49=""),"",H49&amp;"|"&amp;I49)</f>
        <v/>
      </c>
      <c r="K49" s="19" t="str">
        <f aca="false">IF(H49="","",IF(AND(J49&lt;&gt;"",COUNTIF(Pessoas!$J:$J,J49)&gt;0),"SIM",IF(COUNTIF(Pessoas!$H:$H,H49)&gt;0,"nome igual em Pessoas: confira o CPF","")))</f>
        <v/>
      </c>
      <c r="L49" s="27"/>
      <c r="M49" s="5"/>
    </row>
    <row r="50" customFormat="false" ht="15" hidden="false" customHeight="false" outlineLevel="0" collapsed="false">
      <c r="A50" s="27"/>
      <c r="B50" s="5"/>
      <c r="C50" s="27"/>
      <c r="D50" s="18"/>
      <c r="E50" s="14"/>
      <c r="F50" s="18"/>
      <c r="G50" s="19" t="str">
        <f aca="false">IF(A50="","",IFERROR(INDEX(Empresas!$B:$B,MATCH(A50,Empresas!$A:$A,0))&amp;"","cadastre o CNPJ em Empresas"))</f>
        <v/>
      </c>
      <c r="H50" s="28" t="str">
        <f aca="false">IF(B50="","",SUBSTITUTE(SUBSTITUTE(SUBSTITUTE(SUBSTITUTE(SUBSTITUTE(SUBSTITUTE(SUBSTITUTE(SUBSTITUTE(SUBSTITUTE(SUBSTITUTE(SUBSTITUTE(SUBSTITUTE(SUBSTITUTE(UPPER(TRIM(B50)),"Á","A"),"À","A"),"Â","A"),"Ã","A"),"É","E"),"Ê","E"),"Í","I"),"Ó","O"),"Ô","O"),"Õ","O"),"Ú","U"),"Ü","U"),"Ç","C"))</f>
        <v/>
      </c>
      <c r="I50" s="28" t="str">
        <f aca="false">IF(C50="","",IF(LEN(SUBSTITUTE(SUBSTITUTE(SUBSTITUTE(SUBSTITUTE(TRIM(C50),"*",""),".",""),"-","")," ",""))=11,MID(SUBSTITUTE(SUBSTITUTE(SUBSTITUTE(SUBSTITUTE(TRIM(C50),"*",""),".",""),"-","")," ",""),4,6),SUBSTITUTE(SUBSTITUTE(SUBSTITUTE(SUBSTITUTE(TRIM(C50),"*",""),".",""),"-","")," ","")))</f>
        <v/>
      </c>
      <c r="J50" s="28" t="str">
        <f aca="false">IF(OR(H50="",I50=""),"",H50&amp;"|"&amp;I50)</f>
        <v/>
      </c>
      <c r="K50" s="19" t="str">
        <f aca="false">IF(H50="","",IF(AND(J50&lt;&gt;"",COUNTIF(Pessoas!$J:$J,J50)&gt;0),"SIM",IF(COUNTIF(Pessoas!$H:$H,H50)&gt;0,"nome igual em Pessoas: confira o CPF","")))</f>
        <v/>
      </c>
      <c r="L50" s="27"/>
      <c r="M50" s="5"/>
    </row>
    <row r="51" customFormat="false" ht="15" hidden="false" customHeight="false" outlineLevel="0" collapsed="false">
      <c r="A51" s="27"/>
      <c r="B51" s="5"/>
      <c r="C51" s="27"/>
      <c r="D51" s="18"/>
      <c r="E51" s="14"/>
      <c r="F51" s="18"/>
      <c r="G51" s="19" t="str">
        <f aca="false">IF(A51="","",IFERROR(INDEX(Empresas!$B:$B,MATCH(A51,Empresas!$A:$A,0))&amp;"","cadastre o CNPJ em Empresas"))</f>
        <v/>
      </c>
      <c r="H51" s="28" t="str">
        <f aca="false">IF(B51="","",SUBSTITUTE(SUBSTITUTE(SUBSTITUTE(SUBSTITUTE(SUBSTITUTE(SUBSTITUTE(SUBSTITUTE(SUBSTITUTE(SUBSTITUTE(SUBSTITUTE(SUBSTITUTE(SUBSTITUTE(SUBSTITUTE(UPPER(TRIM(B51)),"Á","A"),"À","A"),"Â","A"),"Ã","A"),"É","E"),"Ê","E"),"Í","I"),"Ó","O"),"Ô","O"),"Õ","O"),"Ú","U"),"Ü","U"),"Ç","C"))</f>
        <v/>
      </c>
      <c r="I51" s="28" t="str">
        <f aca="false">IF(C51="","",IF(LEN(SUBSTITUTE(SUBSTITUTE(SUBSTITUTE(SUBSTITUTE(TRIM(C51),"*",""),".",""),"-","")," ",""))=11,MID(SUBSTITUTE(SUBSTITUTE(SUBSTITUTE(SUBSTITUTE(TRIM(C51),"*",""),".",""),"-","")," ",""),4,6),SUBSTITUTE(SUBSTITUTE(SUBSTITUTE(SUBSTITUTE(TRIM(C51),"*",""),".",""),"-","")," ","")))</f>
        <v/>
      </c>
      <c r="J51" s="28" t="str">
        <f aca="false">IF(OR(H51="",I51=""),"",H51&amp;"|"&amp;I51)</f>
        <v/>
      </c>
      <c r="K51" s="19" t="str">
        <f aca="false">IF(H51="","",IF(AND(J51&lt;&gt;"",COUNTIF(Pessoas!$J:$J,J51)&gt;0),"SIM",IF(COUNTIF(Pessoas!$H:$H,H51)&gt;0,"nome igual em Pessoas: confira o CPF","")))</f>
        <v/>
      </c>
      <c r="L51" s="27"/>
      <c r="M51" s="5"/>
    </row>
    <row r="52" customFormat="false" ht="15" hidden="false" customHeight="false" outlineLevel="0" collapsed="false">
      <c r="A52" s="27"/>
      <c r="B52" s="5"/>
      <c r="C52" s="27"/>
      <c r="D52" s="18"/>
      <c r="E52" s="14"/>
      <c r="F52" s="18"/>
      <c r="G52" s="19" t="str">
        <f aca="false">IF(A52="","",IFERROR(INDEX(Empresas!$B:$B,MATCH(A52,Empresas!$A:$A,0))&amp;"","cadastre o CNPJ em Empresas"))</f>
        <v/>
      </c>
      <c r="H52" s="28" t="str">
        <f aca="false">IF(B52="","",SUBSTITUTE(SUBSTITUTE(SUBSTITUTE(SUBSTITUTE(SUBSTITUTE(SUBSTITUTE(SUBSTITUTE(SUBSTITUTE(SUBSTITUTE(SUBSTITUTE(SUBSTITUTE(SUBSTITUTE(SUBSTITUTE(UPPER(TRIM(B52)),"Á","A"),"À","A"),"Â","A"),"Ã","A"),"É","E"),"Ê","E"),"Í","I"),"Ó","O"),"Ô","O"),"Õ","O"),"Ú","U"),"Ü","U"),"Ç","C"))</f>
        <v/>
      </c>
      <c r="I52" s="28" t="str">
        <f aca="false">IF(C52="","",IF(LEN(SUBSTITUTE(SUBSTITUTE(SUBSTITUTE(SUBSTITUTE(TRIM(C52),"*",""),".",""),"-","")," ",""))=11,MID(SUBSTITUTE(SUBSTITUTE(SUBSTITUTE(SUBSTITUTE(TRIM(C52),"*",""),".",""),"-","")," ",""),4,6),SUBSTITUTE(SUBSTITUTE(SUBSTITUTE(SUBSTITUTE(TRIM(C52),"*",""),".",""),"-","")," ","")))</f>
        <v/>
      </c>
      <c r="J52" s="28" t="str">
        <f aca="false">IF(OR(H52="",I52=""),"",H52&amp;"|"&amp;I52)</f>
        <v/>
      </c>
      <c r="K52" s="19" t="str">
        <f aca="false">IF(H52="","",IF(AND(J52&lt;&gt;"",COUNTIF(Pessoas!$J:$J,J52)&gt;0),"SIM",IF(COUNTIF(Pessoas!$H:$H,H52)&gt;0,"nome igual em Pessoas: confira o CPF","")))</f>
        <v/>
      </c>
      <c r="L52" s="27"/>
      <c r="M52" s="5"/>
    </row>
    <row r="53" customFormat="false" ht="15" hidden="false" customHeight="false" outlineLevel="0" collapsed="false">
      <c r="A53" s="27"/>
      <c r="B53" s="5"/>
      <c r="C53" s="27"/>
      <c r="D53" s="18"/>
      <c r="E53" s="14"/>
      <c r="F53" s="18"/>
      <c r="G53" s="19" t="str">
        <f aca="false">IF(A53="","",IFERROR(INDEX(Empresas!$B:$B,MATCH(A53,Empresas!$A:$A,0))&amp;"","cadastre o CNPJ em Empresas"))</f>
        <v/>
      </c>
      <c r="H53" s="28" t="str">
        <f aca="false">IF(B53="","",SUBSTITUTE(SUBSTITUTE(SUBSTITUTE(SUBSTITUTE(SUBSTITUTE(SUBSTITUTE(SUBSTITUTE(SUBSTITUTE(SUBSTITUTE(SUBSTITUTE(SUBSTITUTE(SUBSTITUTE(SUBSTITUTE(UPPER(TRIM(B53)),"Á","A"),"À","A"),"Â","A"),"Ã","A"),"É","E"),"Ê","E"),"Í","I"),"Ó","O"),"Ô","O"),"Õ","O"),"Ú","U"),"Ü","U"),"Ç","C"))</f>
        <v/>
      </c>
      <c r="I53" s="28" t="str">
        <f aca="false">IF(C53="","",IF(LEN(SUBSTITUTE(SUBSTITUTE(SUBSTITUTE(SUBSTITUTE(TRIM(C53),"*",""),".",""),"-","")," ",""))=11,MID(SUBSTITUTE(SUBSTITUTE(SUBSTITUTE(SUBSTITUTE(TRIM(C53),"*",""),".",""),"-","")," ",""),4,6),SUBSTITUTE(SUBSTITUTE(SUBSTITUTE(SUBSTITUTE(TRIM(C53),"*",""),".",""),"-","")," ","")))</f>
        <v/>
      </c>
      <c r="J53" s="28" t="str">
        <f aca="false">IF(OR(H53="",I53=""),"",H53&amp;"|"&amp;I53)</f>
        <v/>
      </c>
      <c r="K53" s="19" t="str">
        <f aca="false">IF(H53="","",IF(AND(J53&lt;&gt;"",COUNTIF(Pessoas!$J:$J,J53)&gt;0),"SIM",IF(COUNTIF(Pessoas!$H:$H,H53)&gt;0,"nome igual em Pessoas: confira o CPF","")))</f>
        <v/>
      </c>
      <c r="L53" s="27"/>
      <c r="M53" s="5"/>
    </row>
    <row r="54" customFormat="false" ht="15" hidden="false" customHeight="false" outlineLevel="0" collapsed="false">
      <c r="A54" s="27"/>
      <c r="B54" s="5"/>
      <c r="C54" s="27"/>
      <c r="D54" s="18"/>
      <c r="E54" s="14"/>
      <c r="F54" s="18"/>
      <c r="G54" s="19" t="str">
        <f aca="false">IF(A54="","",IFERROR(INDEX(Empresas!$B:$B,MATCH(A54,Empresas!$A:$A,0))&amp;"","cadastre o CNPJ em Empresas"))</f>
        <v/>
      </c>
      <c r="H54" s="28" t="str">
        <f aca="false">IF(B54="","",SUBSTITUTE(SUBSTITUTE(SUBSTITUTE(SUBSTITUTE(SUBSTITUTE(SUBSTITUTE(SUBSTITUTE(SUBSTITUTE(SUBSTITUTE(SUBSTITUTE(SUBSTITUTE(SUBSTITUTE(SUBSTITUTE(UPPER(TRIM(B54)),"Á","A"),"À","A"),"Â","A"),"Ã","A"),"É","E"),"Ê","E"),"Í","I"),"Ó","O"),"Ô","O"),"Õ","O"),"Ú","U"),"Ü","U"),"Ç","C"))</f>
        <v/>
      </c>
      <c r="I54" s="28" t="str">
        <f aca="false">IF(C54="","",IF(LEN(SUBSTITUTE(SUBSTITUTE(SUBSTITUTE(SUBSTITUTE(TRIM(C54),"*",""),".",""),"-","")," ",""))=11,MID(SUBSTITUTE(SUBSTITUTE(SUBSTITUTE(SUBSTITUTE(TRIM(C54),"*",""),".",""),"-","")," ",""),4,6),SUBSTITUTE(SUBSTITUTE(SUBSTITUTE(SUBSTITUTE(TRIM(C54),"*",""),".",""),"-","")," ","")))</f>
        <v/>
      </c>
      <c r="J54" s="28" t="str">
        <f aca="false">IF(OR(H54="",I54=""),"",H54&amp;"|"&amp;I54)</f>
        <v/>
      </c>
      <c r="K54" s="19" t="str">
        <f aca="false">IF(H54="","",IF(AND(J54&lt;&gt;"",COUNTIF(Pessoas!$J:$J,J54)&gt;0),"SIM",IF(COUNTIF(Pessoas!$H:$H,H54)&gt;0,"nome igual em Pessoas: confira o CPF","")))</f>
        <v/>
      </c>
      <c r="L54" s="27"/>
      <c r="M54" s="5"/>
    </row>
    <row r="55" customFormat="false" ht="15" hidden="false" customHeight="false" outlineLevel="0" collapsed="false">
      <c r="A55" s="27"/>
      <c r="B55" s="5"/>
      <c r="C55" s="27"/>
      <c r="D55" s="18"/>
      <c r="E55" s="14"/>
      <c r="F55" s="18"/>
      <c r="G55" s="19" t="str">
        <f aca="false">IF(A55="","",IFERROR(INDEX(Empresas!$B:$B,MATCH(A55,Empresas!$A:$A,0))&amp;"","cadastre o CNPJ em Empresas"))</f>
        <v/>
      </c>
      <c r="H55" s="28" t="str">
        <f aca="false">IF(B55="","",SUBSTITUTE(SUBSTITUTE(SUBSTITUTE(SUBSTITUTE(SUBSTITUTE(SUBSTITUTE(SUBSTITUTE(SUBSTITUTE(SUBSTITUTE(SUBSTITUTE(SUBSTITUTE(SUBSTITUTE(SUBSTITUTE(UPPER(TRIM(B55)),"Á","A"),"À","A"),"Â","A"),"Ã","A"),"É","E"),"Ê","E"),"Í","I"),"Ó","O"),"Ô","O"),"Õ","O"),"Ú","U"),"Ü","U"),"Ç","C"))</f>
        <v/>
      </c>
      <c r="I55" s="28" t="str">
        <f aca="false">IF(C55="","",IF(LEN(SUBSTITUTE(SUBSTITUTE(SUBSTITUTE(SUBSTITUTE(TRIM(C55),"*",""),".",""),"-","")," ",""))=11,MID(SUBSTITUTE(SUBSTITUTE(SUBSTITUTE(SUBSTITUTE(TRIM(C55),"*",""),".",""),"-","")," ",""),4,6),SUBSTITUTE(SUBSTITUTE(SUBSTITUTE(SUBSTITUTE(TRIM(C55),"*",""),".",""),"-","")," ","")))</f>
        <v/>
      </c>
      <c r="J55" s="28" t="str">
        <f aca="false">IF(OR(H55="",I55=""),"",H55&amp;"|"&amp;I55)</f>
        <v/>
      </c>
      <c r="K55" s="19" t="str">
        <f aca="false">IF(H55="","",IF(AND(J55&lt;&gt;"",COUNTIF(Pessoas!$J:$J,J55)&gt;0),"SIM",IF(COUNTIF(Pessoas!$H:$H,H55)&gt;0,"nome igual em Pessoas: confira o CPF","")))</f>
        <v/>
      </c>
      <c r="L55" s="27"/>
      <c r="M55" s="5"/>
    </row>
    <row r="56" customFormat="false" ht="15" hidden="false" customHeight="false" outlineLevel="0" collapsed="false">
      <c r="A56" s="27"/>
      <c r="B56" s="5"/>
      <c r="C56" s="27"/>
      <c r="D56" s="18"/>
      <c r="E56" s="14"/>
      <c r="F56" s="18"/>
      <c r="G56" s="19" t="str">
        <f aca="false">IF(A56="","",IFERROR(INDEX(Empresas!$B:$B,MATCH(A56,Empresas!$A:$A,0))&amp;"","cadastre o CNPJ em Empresas"))</f>
        <v/>
      </c>
      <c r="H56" s="28" t="str">
        <f aca="false">IF(B56="","",SUBSTITUTE(SUBSTITUTE(SUBSTITUTE(SUBSTITUTE(SUBSTITUTE(SUBSTITUTE(SUBSTITUTE(SUBSTITUTE(SUBSTITUTE(SUBSTITUTE(SUBSTITUTE(SUBSTITUTE(SUBSTITUTE(UPPER(TRIM(B56)),"Á","A"),"À","A"),"Â","A"),"Ã","A"),"É","E"),"Ê","E"),"Í","I"),"Ó","O"),"Ô","O"),"Õ","O"),"Ú","U"),"Ü","U"),"Ç","C"))</f>
        <v/>
      </c>
      <c r="I56" s="28" t="str">
        <f aca="false">IF(C56="","",IF(LEN(SUBSTITUTE(SUBSTITUTE(SUBSTITUTE(SUBSTITUTE(TRIM(C56),"*",""),".",""),"-","")," ",""))=11,MID(SUBSTITUTE(SUBSTITUTE(SUBSTITUTE(SUBSTITUTE(TRIM(C56),"*",""),".",""),"-","")," ",""),4,6),SUBSTITUTE(SUBSTITUTE(SUBSTITUTE(SUBSTITUTE(TRIM(C56),"*",""),".",""),"-","")," ","")))</f>
        <v/>
      </c>
      <c r="J56" s="28" t="str">
        <f aca="false">IF(OR(H56="",I56=""),"",H56&amp;"|"&amp;I56)</f>
        <v/>
      </c>
      <c r="K56" s="19" t="str">
        <f aca="false">IF(H56="","",IF(AND(J56&lt;&gt;"",COUNTIF(Pessoas!$J:$J,J56)&gt;0),"SIM",IF(COUNTIF(Pessoas!$H:$H,H56)&gt;0,"nome igual em Pessoas: confira o CPF","")))</f>
        <v/>
      </c>
      <c r="L56" s="27"/>
      <c r="M56" s="5"/>
    </row>
    <row r="57" customFormat="false" ht="15" hidden="false" customHeight="false" outlineLevel="0" collapsed="false">
      <c r="A57" s="27"/>
      <c r="B57" s="5"/>
      <c r="C57" s="27"/>
      <c r="D57" s="18"/>
      <c r="E57" s="14"/>
      <c r="F57" s="18"/>
      <c r="G57" s="19" t="str">
        <f aca="false">IF(A57="","",IFERROR(INDEX(Empresas!$B:$B,MATCH(A57,Empresas!$A:$A,0))&amp;"","cadastre o CNPJ em Empresas"))</f>
        <v/>
      </c>
      <c r="H57" s="28" t="str">
        <f aca="false">IF(B57="","",SUBSTITUTE(SUBSTITUTE(SUBSTITUTE(SUBSTITUTE(SUBSTITUTE(SUBSTITUTE(SUBSTITUTE(SUBSTITUTE(SUBSTITUTE(SUBSTITUTE(SUBSTITUTE(SUBSTITUTE(SUBSTITUTE(UPPER(TRIM(B57)),"Á","A"),"À","A"),"Â","A"),"Ã","A"),"É","E"),"Ê","E"),"Í","I"),"Ó","O"),"Ô","O"),"Õ","O"),"Ú","U"),"Ü","U"),"Ç","C"))</f>
        <v/>
      </c>
      <c r="I57" s="28" t="str">
        <f aca="false">IF(C57="","",IF(LEN(SUBSTITUTE(SUBSTITUTE(SUBSTITUTE(SUBSTITUTE(TRIM(C57),"*",""),".",""),"-","")," ",""))=11,MID(SUBSTITUTE(SUBSTITUTE(SUBSTITUTE(SUBSTITUTE(TRIM(C57),"*",""),".",""),"-","")," ",""),4,6),SUBSTITUTE(SUBSTITUTE(SUBSTITUTE(SUBSTITUTE(TRIM(C57),"*",""),".",""),"-","")," ","")))</f>
        <v/>
      </c>
      <c r="J57" s="28" t="str">
        <f aca="false">IF(OR(H57="",I57=""),"",H57&amp;"|"&amp;I57)</f>
        <v/>
      </c>
      <c r="K57" s="19" t="str">
        <f aca="false">IF(H57="","",IF(AND(J57&lt;&gt;"",COUNTIF(Pessoas!$J:$J,J57)&gt;0),"SIM",IF(COUNTIF(Pessoas!$H:$H,H57)&gt;0,"nome igual em Pessoas: confira o CPF","")))</f>
        <v/>
      </c>
      <c r="L57" s="27"/>
      <c r="M57" s="5"/>
    </row>
    <row r="58" customFormat="false" ht="15" hidden="false" customHeight="false" outlineLevel="0" collapsed="false">
      <c r="A58" s="27"/>
      <c r="B58" s="5"/>
      <c r="C58" s="27"/>
      <c r="D58" s="18"/>
      <c r="E58" s="14"/>
      <c r="F58" s="18"/>
      <c r="G58" s="19" t="str">
        <f aca="false">IF(A58="","",IFERROR(INDEX(Empresas!$B:$B,MATCH(A58,Empresas!$A:$A,0))&amp;"","cadastre o CNPJ em Empresas"))</f>
        <v/>
      </c>
      <c r="H58" s="28" t="str">
        <f aca="false">IF(B58="","",SUBSTITUTE(SUBSTITUTE(SUBSTITUTE(SUBSTITUTE(SUBSTITUTE(SUBSTITUTE(SUBSTITUTE(SUBSTITUTE(SUBSTITUTE(SUBSTITUTE(SUBSTITUTE(SUBSTITUTE(SUBSTITUTE(UPPER(TRIM(B58)),"Á","A"),"À","A"),"Â","A"),"Ã","A"),"É","E"),"Ê","E"),"Í","I"),"Ó","O"),"Ô","O"),"Õ","O"),"Ú","U"),"Ü","U"),"Ç","C"))</f>
        <v/>
      </c>
      <c r="I58" s="28" t="str">
        <f aca="false">IF(C58="","",IF(LEN(SUBSTITUTE(SUBSTITUTE(SUBSTITUTE(SUBSTITUTE(TRIM(C58),"*",""),".",""),"-","")," ",""))=11,MID(SUBSTITUTE(SUBSTITUTE(SUBSTITUTE(SUBSTITUTE(TRIM(C58),"*",""),".",""),"-","")," ",""),4,6),SUBSTITUTE(SUBSTITUTE(SUBSTITUTE(SUBSTITUTE(TRIM(C58),"*",""),".",""),"-","")," ","")))</f>
        <v/>
      </c>
      <c r="J58" s="28" t="str">
        <f aca="false">IF(OR(H58="",I58=""),"",H58&amp;"|"&amp;I58)</f>
        <v/>
      </c>
      <c r="K58" s="19" t="str">
        <f aca="false">IF(H58="","",IF(AND(J58&lt;&gt;"",COUNTIF(Pessoas!$J:$J,J58)&gt;0),"SIM",IF(COUNTIF(Pessoas!$H:$H,H58)&gt;0,"nome igual em Pessoas: confira o CPF","")))</f>
        <v/>
      </c>
      <c r="L58" s="27"/>
      <c r="M58" s="5"/>
    </row>
    <row r="59" customFormat="false" ht="15" hidden="false" customHeight="false" outlineLevel="0" collapsed="false">
      <c r="A59" s="27"/>
      <c r="B59" s="5"/>
      <c r="C59" s="27"/>
      <c r="D59" s="18"/>
      <c r="E59" s="14"/>
      <c r="F59" s="18"/>
      <c r="G59" s="19" t="str">
        <f aca="false">IF(A59="","",IFERROR(INDEX(Empresas!$B:$B,MATCH(A59,Empresas!$A:$A,0))&amp;"","cadastre o CNPJ em Empresas"))</f>
        <v/>
      </c>
      <c r="H59" s="28" t="str">
        <f aca="false">IF(B59="","",SUBSTITUTE(SUBSTITUTE(SUBSTITUTE(SUBSTITUTE(SUBSTITUTE(SUBSTITUTE(SUBSTITUTE(SUBSTITUTE(SUBSTITUTE(SUBSTITUTE(SUBSTITUTE(SUBSTITUTE(SUBSTITUTE(UPPER(TRIM(B59)),"Á","A"),"À","A"),"Â","A"),"Ã","A"),"É","E"),"Ê","E"),"Í","I"),"Ó","O"),"Ô","O"),"Õ","O"),"Ú","U"),"Ü","U"),"Ç","C"))</f>
        <v/>
      </c>
      <c r="I59" s="28" t="str">
        <f aca="false">IF(C59="","",IF(LEN(SUBSTITUTE(SUBSTITUTE(SUBSTITUTE(SUBSTITUTE(TRIM(C59),"*",""),".",""),"-","")," ",""))=11,MID(SUBSTITUTE(SUBSTITUTE(SUBSTITUTE(SUBSTITUTE(TRIM(C59),"*",""),".",""),"-","")," ",""),4,6),SUBSTITUTE(SUBSTITUTE(SUBSTITUTE(SUBSTITUTE(TRIM(C59),"*",""),".",""),"-","")," ","")))</f>
        <v/>
      </c>
      <c r="J59" s="28" t="str">
        <f aca="false">IF(OR(H59="",I59=""),"",H59&amp;"|"&amp;I59)</f>
        <v/>
      </c>
      <c r="K59" s="19" t="str">
        <f aca="false">IF(H59="","",IF(AND(J59&lt;&gt;"",COUNTIF(Pessoas!$J:$J,J59)&gt;0),"SIM",IF(COUNTIF(Pessoas!$H:$H,H59)&gt;0,"nome igual em Pessoas: confira o CPF","")))</f>
        <v/>
      </c>
      <c r="L59" s="27"/>
      <c r="M59" s="5"/>
    </row>
    <row r="60" customFormat="false" ht="15" hidden="false" customHeight="false" outlineLevel="0" collapsed="false">
      <c r="A60" s="27"/>
      <c r="B60" s="5"/>
      <c r="C60" s="27"/>
      <c r="D60" s="18"/>
      <c r="E60" s="14"/>
      <c r="F60" s="18"/>
      <c r="G60" s="19" t="str">
        <f aca="false">IF(A60="","",IFERROR(INDEX(Empresas!$B:$B,MATCH(A60,Empresas!$A:$A,0))&amp;"","cadastre o CNPJ em Empresas"))</f>
        <v/>
      </c>
      <c r="H60" s="28" t="str">
        <f aca="false">IF(B60="","",SUBSTITUTE(SUBSTITUTE(SUBSTITUTE(SUBSTITUTE(SUBSTITUTE(SUBSTITUTE(SUBSTITUTE(SUBSTITUTE(SUBSTITUTE(SUBSTITUTE(SUBSTITUTE(SUBSTITUTE(SUBSTITUTE(UPPER(TRIM(B60)),"Á","A"),"À","A"),"Â","A"),"Ã","A"),"É","E"),"Ê","E"),"Í","I"),"Ó","O"),"Ô","O"),"Õ","O"),"Ú","U"),"Ü","U"),"Ç","C"))</f>
        <v/>
      </c>
      <c r="I60" s="28" t="str">
        <f aca="false">IF(C60="","",IF(LEN(SUBSTITUTE(SUBSTITUTE(SUBSTITUTE(SUBSTITUTE(TRIM(C60),"*",""),".",""),"-","")," ",""))=11,MID(SUBSTITUTE(SUBSTITUTE(SUBSTITUTE(SUBSTITUTE(TRIM(C60),"*",""),".",""),"-","")," ",""),4,6),SUBSTITUTE(SUBSTITUTE(SUBSTITUTE(SUBSTITUTE(TRIM(C60),"*",""),".",""),"-","")," ","")))</f>
        <v/>
      </c>
      <c r="J60" s="28" t="str">
        <f aca="false">IF(OR(H60="",I60=""),"",H60&amp;"|"&amp;I60)</f>
        <v/>
      </c>
      <c r="K60" s="19" t="str">
        <f aca="false">IF(H60="","",IF(AND(J60&lt;&gt;"",COUNTIF(Pessoas!$J:$J,J60)&gt;0),"SIM",IF(COUNTIF(Pessoas!$H:$H,H60)&gt;0,"nome igual em Pessoas: confira o CPF","")))</f>
        <v/>
      </c>
      <c r="L60" s="27"/>
      <c r="M60" s="5"/>
    </row>
    <row r="61" customFormat="false" ht="15" hidden="false" customHeight="false" outlineLevel="0" collapsed="false">
      <c r="A61" s="27"/>
      <c r="B61" s="5"/>
      <c r="C61" s="27"/>
      <c r="D61" s="18"/>
      <c r="E61" s="14"/>
      <c r="F61" s="18"/>
      <c r="G61" s="19" t="str">
        <f aca="false">IF(A61="","",IFERROR(INDEX(Empresas!$B:$B,MATCH(A61,Empresas!$A:$A,0))&amp;"","cadastre o CNPJ em Empresas"))</f>
        <v/>
      </c>
      <c r="H61" s="28" t="str">
        <f aca="false">IF(B61="","",SUBSTITUTE(SUBSTITUTE(SUBSTITUTE(SUBSTITUTE(SUBSTITUTE(SUBSTITUTE(SUBSTITUTE(SUBSTITUTE(SUBSTITUTE(SUBSTITUTE(SUBSTITUTE(SUBSTITUTE(SUBSTITUTE(UPPER(TRIM(B61)),"Á","A"),"À","A"),"Â","A"),"Ã","A"),"É","E"),"Ê","E"),"Í","I"),"Ó","O"),"Ô","O"),"Õ","O"),"Ú","U"),"Ü","U"),"Ç","C"))</f>
        <v/>
      </c>
      <c r="I61" s="28" t="str">
        <f aca="false">IF(C61="","",IF(LEN(SUBSTITUTE(SUBSTITUTE(SUBSTITUTE(SUBSTITUTE(TRIM(C61),"*",""),".",""),"-","")," ",""))=11,MID(SUBSTITUTE(SUBSTITUTE(SUBSTITUTE(SUBSTITUTE(TRIM(C61),"*",""),".",""),"-","")," ",""),4,6),SUBSTITUTE(SUBSTITUTE(SUBSTITUTE(SUBSTITUTE(TRIM(C61),"*",""),".",""),"-","")," ","")))</f>
        <v/>
      </c>
      <c r="J61" s="28" t="str">
        <f aca="false">IF(OR(H61="",I61=""),"",H61&amp;"|"&amp;I61)</f>
        <v/>
      </c>
      <c r="K61" s="19" t="str">
        <f aca="false">IF(H61="","",IF(AND(J61&lt;&gt;"",COUNTIF(Pessoas!$J:$J,J61)&gt;0),"SIM",IF(COUNTIF(Pessoas!$H:$H,H61)&gt;0,"nome igual em Pessoas: confira o CPF","")))</f>
        <v/>
      </c>
      <c r="L61" s="27"/>
      <c r="M61" s="5"/>
    </row>
    <row r="62" customFormat="false" ht="15" hidden="false" customHeight="false" outlineLevel="0" collapsed="false">
      <c r="A62" s="27"/>
      <c r="B62" s="5"/>
      <c r="C62" s="27"/>
      <c r="D62" s="18"/>
      <c r="E62" s="14"/>
      <c r="F62" s="18"/>
      <c r="G62" s="19" t="str">
        <f aca="false">IF(A62="","",IFERROR(INDEX(Empresas!$B:$B,MATCH(A62,Empresas!$A:$A,0))&amp;"","cadastre o CNPJ em Empresas"))</f>
        <v/>
      </c>
      <c r="H62" s="28" t="str">
        <f aca="false">IF(B62="","",SUBSTITUTE(SUBSTITUTE(SUBSTITUTE(SUBSTITUTE(SUBSTITUTE(SUBSTITUTE(SUBSTITUTE(SUBSTITUTE(SUBSTITUTE(SUBSTITUTE(SUBSTITUTE(SUBSTITUTE(SUBSTITUTE(UPPER(TRIM(B62)),"Á","A"),"À","A"),"Â","A"),"Ã","A"),"É","E"),"Ê","E"),"Í","I"),"Ó","O"),"Ô","O"),"Õ","O"),"Ú","U"),"Ü","U"),"Ç","C"))</f>
        <v/>
      </c>
      <c r="I62" s="28" t="str">
        <f aca="false">IF(C62="","",IF(LEN(SUBSTITUTE(SUBSTITUTE(SUBSTITUTE(SUBSTITUTE(TRIM(C62),"*",""),".",""),"-","")," ",""))=11,MID(SUBSTITUTE(SUBSTITUTE(SUBSTITUTE(SUBSTITUTE(TRIM(C62),"*",""),".",""),"-","")," ",""),4,6),SUBSTITUTE(SUBSTITUTE(SUBSTITUTE(SUBSTITUTE(TRIM(C62),"*",""),".",""),"-","")," ","")))</f>
        <v/>
      </c>
      <c r="J62" s="28" t="str">
        <f aca="false">IF(OR(H62="",I62=""),"",H62&amp;"|"&amp;I62)</f>
        <v/>
      </c>
      <c r="K62" s="19" t="str">
        <f aca="false">IF(H62="","",IF(AND(J62&lt;&gt;"",COUNTIF(Pessoas!$J:$J,J62)&gt;0),"SIM",IF(COUNTIF(Pessoas!$H:$H,H62)&gt;0,"nome igual em Pessoas: confira o CPF","")))</f>
        <v/>
      </c>
      <c r="L62" s="27"/>
      <c r="M62" s="5"/>
    </row>
    <row r="63" customFormat="false" ht="15" hidden="false" customHeight="false" outlineLevel="0" collapsed="false">
      <c r="A63" s="27"/>
      <c r="B63" s="5"/>
      <c r="C63" s="27"/>
      <c r="D63" s="18"/>
      <c r="E63" s="14"/>
      <c r="F63" s="18"/>
      <c r="G63" s="19" t="str">
        <f aca="false">IF(A63="","",IFERROR(INDEX(Empresas!$B:$B,MATCH(A63,Empresas!$A:$A,0))&amp;"","cadastre o CNPJ em Empresas"))</f>
        <v/>
      </c>
      <c r="H63" s="28" t="str">
        <f aca="false">IF(B63="","",SUBSTITUTE(SUBSTITUTE(SUBSTITUTE(SUBSTITUTE(SUBSTITUTE(SUBSTITUTE(SUBSTITUTE(SUBSTITUTE(SUBSTITUTE(SUBSTITUTE(SUBSTITUTE(SUBSTITUTE(SUBSTITUTE(UPPER(TRIM(B63)),"Á","A"),"À","A"),"Â","A"),"Ã","A"),"É","E"),"Ê","E"),"Í","I"),"Ó","O"),"Ô","O"),"Õ","O"),"Ú","U"),"Ü","U"),"Ç","C"))</f>
        <v/>
      </c>
      <c r="I63" s="28" t="str">
        <f aca="false">IF(C63="","",IF(LEN(SUBSTITUTE(SUBSTITUTE(SUBSTITUTE(SUBSTITUTE(TRIM(C63),"*",""),".",""),"-","")," ",""))=11,MID(SUBSTITUTE(SUBSTITUTE(SUBSTITUTE(SUBSTITUTE(TRIM(C63),"*",""),".",""),"-","")," ",""),4,6),SUBSTITUTE(SUBSTITUTE(SUBSTITUTE(SUBSTITUTE(TRIM(C63),"*",""),".",""),"-","")," ","")))</f>
        <v/>
      </c>
      <c r="J63" s="28" t="str">
        <f aca="false">IF(OR(H63="",I63=""),"",H63&amp;"|"&amp;I63)</f>
        <v/>
      </c>
      <c r="K63" s="19" t="str">
        <f aca="false">IF(H63="","",IF(AND(J63&lt;&gt;"",COUNTIF(Pessoas!$J:$J,J63)&gt;0),"SIM",IF(COUNTIF(Pessoas!$H:$H,H63)&gt;0,"nome igual em Pessoas: confira o CPF","")))</f>
        <v/>
      </c>
      <c r="L63" s="27"/>
      <c r="M63" s="5"/>
    </row>
    <row r="64" customFormat="false" ht="15" hidden="false" customHeight="false" outlineLevel="0" collapsed="false">
      <c r="A64" s="27"/>
      <c r="B64" s="5"/>
      <c r="C64" s="27"/>
      <c r="D64" s="18"/>
      <c r="E64" s="14"/>
      <c r="F64" s="18"/>
      <c r="G64" s="19" t="str">
        <f aca="false">IF(A64="","",IFERROR(INDEX(Empresas!$B:$B,MATCH(A64,Empresas!$A:$A,0))&amp;"","cadastre o CNPJ em Empresas"))</f>
        <v/>
      </c>
      <c r="H64" s="28" t="str">
        <f aca="false">IF(B64="","",SUBSTITUTE(SUBSTITUTE(SUBSTITUTE(SUBSTITUTE(SUBSTITUTE(SUBSTITUTE(SUBSTITUTE(SUBSTITUTE(SUBSTITUTE(SUBSTITUTE(SUBSTITUTE(SUBSTITUTE(SUBSTITUTE(UPPER(TRIM(B64)),"Á","A"),"À","A"),"Â","A"),"Ã","A"),"É","E"),"Ê","E"),"Í","I"),"Ó","O"),"Ô","O"),"Õ","O"),"Ú","U"),"Ü","U"),"Ç","C"))</f>
        <v/>
      </c>
      <c r="I64" s="28" t="str">
        <f aca="false">IF(C64="","",IF(LEN(SUBSTITUTE(SUBSTITUTE(SUBSTITUTE(SUBSTITUTE(TRIM(C64),"*",""),".",""),"-","")," ",""))=11,MID(SUBSTITUTE(SUBSTITUTE(SUBSTITUTE(SUBSTITUTE(TRIM(C64),"*",""),".",""),"-","")," ",""),4,6),SUBSTITUTE(SUBSTITUTE(SUBSTITUTE(SUBSTITUTE(TRIM(C64),"*",""),".",""),"-","")," ","")))</f>
        <v/>
      </c>
      <c r="J64" s="28" t="str">
        <f aca="false">IF(OR(H64="",I64=""),"",H64&amp;"|"&amp;I64)</f>
        <v/>
      </c>
      <c r="K64" s="19" t="str">
        <f aca="false">IF(H64="","",IF(AND(J64&lt;&gt;"",COUNTIF(Pessoas!$J:$J,J64)&gt;0),"SIM",IF(COUNTIF(Pessoas!$H:$H,H64)&gt;0,"nome igual em Pessoas: confira o CPF","")))</f>
        <v/>
      </c>
      <c r="L64" s="27"/>
      <c r="M64" s="5"/>
    </row>
    <row r="65" customFormat="false" ht="15" hidden="false" customHeight="false" outlineLevel="0" collapsed="false">
      <c r="A65" s="27"/>
      <c r="B65" s="5"/>
      <c r="C65" s="27"/>
      <c r="D65" s="18"/>
      <c r="E65" s="14"/>
      <c r="F65" s="18"/>
      <c r="G65" s="19" t="str">
        <f aca="false">IF(A65="","",IFERROR(INDEX(Empresas!$B:$B,MATCH(A65,Empresas!$A:$A,0))&amp;"","cadastre o CNPJ em Empresas"))</f>
        <v/>
      </c>
      <c r="H65" s="28" t="str">
        <f aca="false">IF(B65="","",SUBSTITUTE(SUBSTITUTE(SUBSTITUTE(SUBSTITUTE(SUBSTITUTE(SUBSTITUTE(SUBSTITUTE(SUBSTITUTE(SUBSTITUTE(SUBSTITUTE(SUBSTITUTE(SUBSTITUTE(SUBSTITUTE(UPPER(TRIM(B65)),"Á","A"),"À","A"),"Â","A"),"Ã","A"),"É","E"),"Ê","E"),"Í","I"),"Ó","O"),"Ô","O"),"Õ","O"),"Ú","U"),"Ü","U"),"Ç","C"))</f>
        <v/>
      </c>
      <c r="I65" s="28" t="str">
        <f aca="false">IF(C65="","",IF(LEN(SUBSTITUTE(SUBSTITUTE(SUBSTITUTE(SUBSTITUTE(TRIM(C65),"*",""),".",""),"-","")," ",""))=11,MID(SUBSTITUTE(SUBSTITUTE(SUBSTITUTE(SUBSTITUTE(TRIM(C65),"*",""),".",""),"-","")," ",""),4,6),SUBSTITUTE(SUBSTITUTE(SUBSTITUTE(SUBSTITUTE(TRIM(C65),"*",""),".",""),"-","")," ","")))</f>
        <v/>
      </c>
      <c r="J65" s="28" t="str">
        <f aca="false">IF(OR(H65="",I65=""),"",H65&amp;"|"&amp;I65)</f>
        <v/>
      </c>
      <c r="K65" s="19" t="str">
        <f aca="false">IF(H65="","",IF(AND(J65&lt;&gt;"",COUNTIF(Pessoas!$J:$J,J65)&gt;0),"SIM",IF(COUNTIF(Pessoas!$H:$H,H65)&gt;0,"nome igual em Pessoas: confira o CPF","")))</f>
        <v/>
      </c>
      <c r="L65" s="27"/>
      <c r="M65" s="5"/>
    </row>
    <row r="66" customFormat="false" ht="15" hidden="false" customHeight="false" outlineLevel="0" collapsed="false">
      <c r="A66" s="27"/>
      <c r="B66" s="5"/>
      <c r="C66" s="27"/>
      <c r="D66" s="18"/>
      <c r="E66" s="14"/>
      <c r="F66" s="18"/>
      <c r="G66" s="19" t="str">
        <f aca="false">IF(A66="","",IFERROR(INDEX(Empresas!$B:$B,MATCH(A66,Empresas!$A:$A,0))&amp;"","cadastre o CNPJ em Empresas"))</f>
        <v/>
      </c>
      <c r="H66" s="28" t="str">
        <f aca="false">IF(B66="","",SUBSTITUTE(SUBSTITUTE(SUBSTITUTE(SUBSTITUTE(SUBSTITUTE(SUBSTITUTE(SUBSTITUTE(SUBSTITUTE(SUBSTITUTE(SUBSTITUTE(SUBSTITUTE(SUBSTITUTE(SUBSTITUTE(UPPER(TRIM(B66)),"Á","A"),"À","A"),"Â","A"),"Ã","A"),"É","E"),"Ê","E"),"Í","I"),"Ó","O"),"Ô","O"),"Õ","O"),"Ú","U"),"Ü","U"),"Ç","C"))</f>
        <v/>
      </c>
      <c r="I66" s="28" t="str">
        <f aca="false">IF(C66="","",IF(LEN(SUBSTITUTE(SUBSTITUTE(SUBSTITUTE(SUBSTITUTE(TRIM(C66),"*",""),".",""),"-","")," ",""))=11,MID(SUBSTITUTE(SUBSTITUTE(SUBSTITUTE(SUBSTITUTE(TRIM(C66),"*",""),".",""),"-","")," ",""),4,6),SUBSTITUTE(SUBSTITUTE(SUBSTITUTE(SUBSTITUTE(TRIM(C66),"*",""),".",""),"-","")," ","")))</f>
        <v/>
      </c>
      <c r="J66" s="28" t="str">
        <f aca="false">IF(OR(H66="",I66=""),"",H66&amp;"|"&amp;I66)</f>
        <v/>
      </c>
      <c r="K66" s="19" t="str">
        <f aca="false">IF(H66="","",IF(AND(J66&lt;&gt;"",COUNTIF(Pessoas!$J:$J,J66)&gt;0),"SIM",IF(COUNTIF(Pessoas!$H:$H,H66)&gt;0,"nome igual em Pessoas: confira o CPF","")))</f>
        <v/>
      </c>
      <c r="L66" s="27"/>
      <c r="M66" s="5"/>
    </row>
    <row r="67" customFormat="false" ht="15" hidden="false" customHeight="false" outlineLevel="0" collapsed="false">
      <c r="A67" s="27"/>
      <c r="B67" s="5"/>
      <c r="C67" s="27"/>
      <c r="D67" s="18"/>
      <c r="E67" s="14"/>
      <c r="F67" s="18"/>
      <c r="G67" s="19" t="str">
        <f aca="false">IF(A67="","",IFERROR(INDEX(Empresas!$B:$B,MATCH(A67,Empresas!$A:$A,0))&amp;"","cadastre o CNPJ em Empresas"))</f>
        <v/>
      </c>
      <c r="H67" s="28" t="str">
        <f aca="false">IF(B67="","",SUBSTITUTE(SUBSTITUTE(SUBSTITUTE(SUBSTITUTE(SUBSTITUTE(SUBSTITUTE(SUBSTITUTE(SUBSTITUTE(SUBSTITUTE(SUBSTITUTE(SUBSTITUTE(SUBSTITUTE(SUBSTITUTE(UPPER(TRIM(B67)),"Á","A"),"À","A"),"Â","A"),"Ã","A"),"É","E"),"Ê","E"),"Í","I"),"Ó","O"),"Ô","O"),"Õ","O"),"Ú","U"),"Ü","U"),"Ç","C"))</f>
        <v/>
      </c>
      <c r="I67" s="28" t="str">
        <f aca="false">IF(C67="","",IF(LEN(SUBSTITUTE(SUBSTITUTE(SUBSTITUTE(SUBSTITUTE(TRIM(C67),"*",""),".",""),"-","")," ",""))=11,MID(SUBSTITUTE(SUBSTITUTE(SUBSTITUTE(SUBSTITUTE(TRIM(C67),"*",""),".",""),"-","")," ",""),4,6),SUBSTITUTE(SUBSTITUTE(SUBSTITUTE(SUBSTITUTE(TRIM(C67),"*",""),".",""),"-","")," ","")))</f>
        <v/>
      </c>
      <c r="J67" s="28" t="str">
        <f aca="false">IF(OR(H67="",I67=""),"",H67&amp;"|"&amp;I67)</f>
        <v/>
      </c>
      <c r="K67" s="19" t="str">
        <f aca="false">IF(H67="","",IF(AND(J67&lt;&gt;"",COUNTIF(Pessoas!$J:$J,J67)&gt;0),"SIM",IF(COUNTIF(Pessoas!$H:$H,H67)&gt;0,"nome igual em Pessoas: confira o CPF","")))</f>
        <v/>
      </c>
      <c r="L67" s="27"/>
      <c r="M67" s="5"/>
    </row>
    <row r="68" customFormat="false" ht="15" hidden="false" customHeight="false" outlineLevel="0" collapsed="false">
      <c r="A68" s="27"/>
      <c r="B68" s="5"/>
      <c r="C68" s="27"/>
      <c r="D68" s="18"/>
      <c r="E68" s="14"/>
      <c r="F68" s="18"/>
      <c r="G68" s="19" t="str">
        <f aca="false">IF(A68="","",IFERROR(INDEX(Empresas!$B:$B,MATCH(A68,Empresas!$A:$A,0))&amp;"","cadastre o CNPJ em Empresas"))</f>
        <v/>
      </c>
      <c r="H68" s="28" t="str">
        <f aca="false">IF(B68="","",SUBSTITUTE(SUBSTITUTE(SUBSTITUTE(SUBSTITUTE(SUBSTITUTE(SUBSTITUTE(SUBSTITUTE(SUBSTITUTE(SUBSTITUTE(SUBSTITUTE(SUBSTITUTE(SUBSTITUTE(SUBSTITUTE(UPPER(TRIM(B68)),"Á","A"),"À","A"),"Â","A"),"Ã","A"),"É","E"),"Ê","E"),"Í","I"),"Ó","O"),"Ô","O"),"Õ","O"),"Ú","U"),"Ü","U"),"Ç","C"))</f>
        <v/>
      </c>
      <c r="I68" s="28" t="str">
        <f aca="false">IF(C68="","",IF(LEN(SUBSTITUTE(SUBSTITUTE(SUBSTITUTE(SUBSTITUTE(TRIM(C68),"*",""),".",""),"-","")," ",""))=11,MID(SUBSTITUTE(SUBSTITUTE(SUBSTITUTE(SUBSTITUTE(TRIM(C68),"*",""),".",""),"-","")," ",""),4,6),SUBSTITUTE(SUBSTITUTE(SUBSTITUTE(SUBSTITUTE(TRIM(C68),"*",""),".",""),"-","")," ","")))</f>
        <v/>
      </c>
      <c r="J68" s="28" t="str">
        <f aca="false">IF(OR(H68="",I68=""),"",H68&amp;"|"&amp;I68)</f>
        <v/>
      </c>
      <c r="K68" s="19" t="str">
        <f aca="false">IF(H68="","",IF(AND(J68&lt;&gt;"",COUNTIF(Pessoas!$J:$J,J68)&gt;0),"SIM",IF(COUNTIF(Pessoas!$H:$H,H68)&gt;0,"nome igual em Pessoas: confira o CPF","")))</f>
        <v/>
      </c>
      <c r="L68" s="27"/>
      <c r="M68" s="5"/>
    </row>
    <row r="69" customFormat="false" ht="15" hidden="false" customHeight="false" outlineLevel="0" collapsed="false">
      <c r="A69" s="27"/>
      <c r="B69" s="5"/>
      <c r="C69" s="27"/>
      <c r="D69" s="18"/>
      <c r="E69" s="14"/>
      <c r="F69" s="18"/>
      <c r="G69" s="19" t="str">
        <f aca="false">IF(A69="","",IFERROR(INDEX(Empresas!$B:$B,MATCH(A69,Empresas!$A:$A,0))&amp;"","cadastre o CNPJ em Empresas"))</f>
        <v/>
      </c>
      <c r="H69" s="28" t="str">
        <f aca="false">IF(B69="","",SUBSTITUTE(SUBSTITUTE(SUBSTITUTE(SUBSTITUTE(SUBSTITUTE(SUBSTITUTE(SUBSTITUTE(SUBSTITUTE(SUBSTITUTE(SUBSTITUTE(SUBSTITUTE(SUBSTITUTE(SUBSTITUTE(UPPER(TRIM(B69)),"Á","A"),"À","A"),"Â","A"),"Ã","A"),"É","E"),"Ê","E"),"Í","I"),"Ó","O"),"Ô","O"),"Õ","O"),"Ú","U"),"Ü","U"),"Ç","C"))</f>
        <v/>
      </c>
      <c r="I69" s="28" t="str">
        <f aca="false">IF(C69="","",IF(LEN(SUBSTITUTE(SUBSTITUTE(SUBSTITUTE(SUBSTITUTE(TRIM(C69),"*",""),".",""),"-","")," ",""))=11,MID(SUBSTITUTE(SUBSTITUTE(SUBSTITUTE(SUBSTITUTE(TRIM(C69),"*",""),".",""),"-","")," ",""),4,6),SUBSTITUTE(SUBSTITUTE(SUBSTITUTE(SUBSTITUTE(TRIM(C69),"*",""),".",""),"-","")," ","")))</f>
        <v/>
      </c>
      <c r="J69" s="28" t="str">
        <f aca="false">IF(OR(H69="",I69=""),"",H69&amp;"|"&amp;I69)</f>
        <v/>
      </c>
      <c r="K69" s="19" t="str">
        <f aca="false">IF(H69="","",IF(AND(J69&lt;&gt;"",COUNTIF(Pessoas!$J:$J,J69)&gt;0),"SIM",IF(COUNTIF(Pessoas!$H:$H,H69)&gt;0,"nome igual em Pessoas: confira o CPF","")))</f>
        <v/>
      </c>
      <c r="L69" s="27"/>
      <c r="M69" s="5"/>
    </row>
    <row r="70" customFormat="false" ht="15" hidden="false" customHeight="false" outlineLevel="0" collapsed="false">
      <c r="A70" s="27"/>
      <c r="B70" s="5"/>
      <c r="C70" s="27"/>
      <c r="D70" s="18"/>
      <c r="E70" s="14"/>
      <c r="F70" s="18"/>
      <c r="G70" s="19" t="str">
        <f aca="false">IF(A70="","",IFERROR(INDEX(Empresas!$B:$B,MATCH(A70,Empresas!$A:$A,0))&amp;"","cadastre o CNPJ em Empresas"))</f>
        <v/>
      </c>
      <c r="H70" s="28" t="str">
        <f aca="false">IF(B70="","",SUBSTITUTE(SUBSTITUTE(SUBSTITUTE(SUBSTITUTE(SUBSTITUTE(SUBSTITUTE(SUBSTITUTE(SUBSTITUTE(SUBSTITUTE(SUBSTITUTE(SUBSTITUTE(SUBSTITUTE(SUBSTITUTE(UPPER(TRIM(B70)),"Á","A"),"À","A"),"Â","A"),"Ã","A"),"É","E"),"Ê","E"),"Í","I"),"Ó","O"),"Ô","O"),"Õ","O"),"Ú","U"),"Ü","U"),"Ç","C"))</f>
        <v/>
      </c>
      <c r="I70" s="28" t="str">
        <f aca="false">IF(C70="","",IF(LEN(SUBSTITUTE(SUBSTITUTE(SUBSTITUTE(SUBSTITUTE(TRIM(C70),"*",""),".",""),"-","")," ",""))=11,MID(SUBSTITUTE(SUBSTITUTE(SUBSTITUTE(SUBSTITUTE(TRIM(C70),"*",""),".",""),"-","")," ",""),4,6),SUBSTITUTE(SUBSTITUTE(SUBSTITUTE(SUBSTITUTE(TRIM(C70),"*",""),".",""),"-","")," ","")))</f>
        <v/>
      </c>
      <c r="J70" s="28" t="str">
        <f aca="false">IF(OR(H70="",I70=""),"",H70&amp;"|"&amp;I70)</f>
        <v/>
      </c>
      <c r="K70" s="19" t="str">
        <f aca="false">IF(H70="","",IF(AND(J70&lt;&gt;"",COUNTIF(Pessoas!$J:$J,J70)&gt;0),"SIM",IF(COUNTIF(Pessoas!$H:$H,H70)&gt;0,"nome igual em Pessoas: confira o CPF","")))</f>
        <v/>
      </c>
      <c r="L70" s="27"/>
      <c r="M70" s="5"/>
    </row>
    <row r="71" customFormat="false" ht="15" hidden="false" customHeight="false" outlineLevel="0" collapsed="false">
      <c r="A71" s="27"/>
      <c r="B71" s="5"/>
      <c r="C71" s="27"/>
      <c r="D71" s="18"/>
      <c r="E71" s="14"/>
      <c r="F71" s="18"/>
      <c r="G71" s="19" t="str">
        <f aca="false">IF(A71="","",IFERROR(INDEX(Empresas!$B:$B,MATCH(A71,Empresas!$A:$A,0))&amp;"","cadastre o CNPJ em Empresas"))</f>
        <v/>
      </c>
      <c r="H71" s="28" t="str">
        <f aca="false">IF(B71="","",SUBSTITUTE(SUBSTITUTE(SUBSTITUTE(SUBSTITUTE(SUBSTITUTE(SUBSTITUTE(SUBSTITUTE(SUBSTITUTE(SUBSTITUTE(SUBSTITUTE(SUBSTITUTE(SUBSTITUTE(SUBSTITUTE(UPPER(TRIM(B71)),"Á","A"),"À","A"),"Â","A"),"Ã","A"),"É","E"),"Ê","E"),"Í","I"),"Ó","O"),"Ô","O"),"Õ","O"),"Ú","U"),"Ü","U"),"Ç","C"))</f>
        <v/>
      </c>
      <c r="I71" s="28" t="str">
        <f aca="false">IF(C71="","",IF(LEN(SUBSTITUTE(SUBSTITUTE(SUBSTITUTE(SUBSTITUTE(TRIM(C71),"*",""),".",""),"-","")," ",""))=11,MID(SUBSTITUTE(SUBSTITUTE(SUBSTITUTE(SUBSTITUTE(TRIM(C71),"*",""),".",""),"-","")," ",""),4,6),SUBSTITUTE(SUBSTITUTE(SUBSTITUTE(SUBSTITUTE(TRIM(C71),"*",""),".",""),"-","")," ","")))</f>
        <v/>
      </c>
      <c r="J71" s="28" t="str">
        <f aca="false">IF(OR(H71="",I71=""),"",H71&amp;"|"&amp;I71)</f>
        <v/>
      </c>
      <c r="K71" s="19" t="str">
        <f aca="false">IF(H71="","",IF(AND(J71&lt;&gt;"",COUNTIF(Pessoas!$J:$J,J71)&gt;0),"SIM",IF(COUNTIF(Pessoas!$H:$H,H71)&gt;0,"nome igual em Pessoas: confira o CPF","")))</f>
        <v/>
      </c>
      <c r="L71" s="27"/>
      <c r="M71" s="5"/>
    </row>
    <row r="72" customFormat="false" ht="15" hidden="false" customHeight="false" outlineLevel="0" collapsed="false">
      <c r="A72" s="27"/>
      <c r="B72" s="5"/>
      <c r="C72" s="27"/>
      <c r="D72" s="18"/>
      <c r="E72" s="14"/>
      <c r="F72" s="18"/>
      <c r="G72" s="19" t="str">
        <f aca="false">IF(A72="","",IFERROR(INDEX(Empresas!$B:$B,MATCH(A72,Empresas!$A:$A,0))&amp;"","cadastre o CNPJ em Empresas"))</f>
        <v/>
      </c>
      <c r="H72" s="28" t="str">
        <f aca="false">IF(B72="","",SUBSTITUTE(SUBSTITUTE(SUBSTITUTE(SUBSTITUTE(SUBSTITUTE(SUBSTITUTE(SUBSTITUTE(SUBSTITUTE(SUBSTITUTE(SUBSTITUTE(SUBSTITUTE(SUBSTITUTE(SUBSTITUTE(UPPER(TRIM(B72)),"Á","A"),"À","A"),"Â","A"),"Ã","A"),"É","E"),"Ê","E"),"Í","I"),"Ó","O"),"Ô","O"),"Õ","O"),"Ú","U"),"Ü","U"),"Ç","C"))</f>
        <v/>
      </c>
      <c r="I72" s="28" t="str">
        <f aca="false">IF(C72="","",IF(LEN(SUBSTITUTE(SUBSTITUTE(SUBSTITUTE(SUBSTITUTE(TRIM(C72),"*",""),".",""),"-","")," ",""))=11,MID(SUBSTITUTE(SUBSTITUTE(SUBSTITUTE(SUBSTITUTE(TRIM(C72),"*",""),".",""),"-","")," ",""),4,6),SUBSTITUTE(SUBSTITUTE(SUBSTITUTE(SUBSTITUTE(TRIM(C72),"*",""),".",""),"-","")," ","")))</f>
        <v/>
      </c>
      <c r="J72" s="28" t="str">
        <f aca="false">IF(OR(H72="",I72=""),"",H72&amp;"|"&amp;I72)</f>
        <v/>
      </c>
      <c r="K72" s="19" t="str">
        <f aca="false">IF(H72="","",IF(AND(J72&lt;&gt;"",COUNTIF(Pessoas!$J:$J,J72)&gt;0),"SIM",IF(COUNTIF(Pessoas!$H:$H,H72)&gt;0,"nome igual em Pessoas: confira o CPF","")))</f>
        <v/>
      </c>
      <c r="L72" s="27"/>
      <c r="M72" s="5"/>
    </row>
    <row r="73" customFormat="false" ht="15" hidden="false" customHeight="false" outlineLevel="0" collapsed="false">
      <c r="A73" s="27"/>
      <c r="B73" s="5"/>
      <c r="C73" s="27"/>
      <c r="D73" s="18"/>
      <c r="E73" s="14"/>
      <c r="F73" s="18"/>
      <c r="G73" s="19" t="str">
        <f aca="false">IF(A73="","",IFERROR(INDEX(Empresas!$B:$B,MATCH(A73,Empresas!$A:$A,0))&amp;"","cadastre o CNPJ em Empresas"))</f>
        <v/>
      </c>
      <c r="H73" s="28" t="str">
        <f aca="false">IF(B73="","",SUBSTITUTE(SUBSTITUTE(SUBSTITUTE(SUBSTITUTE(SUBSTITUTE(SUBSTITUTE(SUBSTITUTE(SUBSTITUTE(SUBSTITUTE(SUBSTITUTE(SUBSTITUTE(SUBSTITUTE(SUBSTITUTE(UPPER(TRIM(B73)),"Á","A"),"À","A"),"Â","A"),"Ã","A"),"É","E"),"Ê","E"),"Í","I"),"Ó","O"),"Ô","O"),"Õ","O"),"Ú","U"),"Ü","U"),"Ç","C"))</f>
        <v/>
      </c>
      <c r="I73" s="28" t="str">
        <f aca="false">IF(C73="","",IF(LEN(SUBSTITUTE(SUBSTITUTE(SUBSTITUTE(SUBSTITUTE(TRIM(C73),"*",""),".",""),"-","")," ",""))=11,MID(SUBSTITUTE(SUBSTITUTE(SUBSTITUTE(SUBSTITUTE(TRIM(C73),"*",""),".",""),"-","")," ",""),4,6),SUBSTITUTE(SUBSTITUTE(SUBSTITUTE(SUBSTITUTE(TRIM(C73),"*",""),".",""),"-","")," ","")))</f>
        <v/>
      </c>
      <c r="J73" s="28" t="str">
        <f aca="false">IF(OR(H73="",I73=""),"",H73&amp;"|"&amp;I73)</f>
        <v/>
      </c>
      <c r="K73" s="19" t="str">
        <f aca="false">IF(H73="","",IF(AND(J73&lt;&gt;"",COUNTIF(Pessoas!$J:$J,J73)&gt;0),"SIM",IF(COUNTIF(Pessoas!$H:$H,H73)&gt;0,"nome igual em Pessoas: confira o CPF","")))</f>
        <v/>
      </c>
      <c r="L73" s="27"/>
      <c r="M73" s="5"/>
    </row>
    <row r="74" customFormat="false" ht="15" hidden="false" customHeight="false" outlineLevel="0" collapsed="false">
      <c r="A74" s="27"/>
      <c r="B74" s="5"/>
      <c r="C74" s="27"/>
      <c r="D74" s="18"/>
      <c r="E74" s="14"/>
      <c r="F74" s="18"/>
      <c r="G74" s="19" t="str">
        <f aca="false">IF(A74="","",IFERROR(INDEX(Empresas!$B:$B,MATCH(A74,Empresas!$A:$A,0))&amp;"","cadastre o CNPJ em Empresas"))</f>
        <v/>
      </c>
      <c r="H74" s="28" t="str">
        <f aca="false">IF(B74="","",SUBSTITUTE(SUBSTITUTE(SUBSTITUTE(SUBSTITUTE(SUBSTITUTE(SUBSTITUTE(SUBSTITUTE(SUBSTITUTE(SUBSTITUTE(SUBSTITUTE(SUBSTITUTE(SUBSTITUTE(SUBSTITUTE(UPPER(TRIM(B74)),"Á","A"),"À","A"),"Â","A"),"Ã","A"),"É","E"),"Ê","E"),"Í","I"),"Ó","O"),"Ô","O"),"Õ","O"),"Ú","U"),"Ü","U"),"Ç","C"))</f>
        <v/>
      </c>
      <c r="I74" s="28" t="str">
        <f aca="false">IF(C74="","",IF(LEN(SUBSTITUTE(SUBSTITUTE(SUBSTITUTE(SUBSTITUTE(TRIM(C74),"*",""),".",""),"-","")," ",""))=11,MID(SUBSTITUTE(SUBSTITUTE(SUBSTITUTE(SUBSTITUTE(TRIM(C74),"*",""),".",""),"-","")," ",""),4,6),SUBSTITUTE(SUBSTITUTE(SUBSTITUTE(SUBSTITUTE(TRIM(C74),"*",""),".",""),"-","")," ","")))</f>
        <v/>
      </c>
      <c r="J74" s="28" t="str">
        <f aca="false">IF(OR(H74="",I74=""),"",H74&amp;"|"&amp;I74)</f>
        <v/>
      </c>
      <c r="K74" s="19" t="str">
        <f aca="false">IF(H74="","",IF(AND(J74&lt;&gt;"",COUNTIF(Pessoas!$J:$J,J74)&gt;0),"SIM",IF(COUNTIF(Pessoas!$H:$H,H74)&gt;0,"nome igual em Pessoas: confira o CPF","")))</f>
        <v/>
      </c>
      <c r="L74" s="27"/>
      <c r="M74" s="5"/>
    </row>
    <row r="75" customFormat="false" ht="15" hidden="false" customHeight="false" outlineLevel="0" collapsed="false">
      <c r="A75" s="27"/>
      <c r="B75" s="5"/>
      <c r="C75" s="27"/>
      <c r="D75" s="18"/>
      <c r="E75" s="14"/>
      <c r="F75" s="18"/>
      <c r="G75" s="19" t="str">
        <f aca="false">IF(A75="","",IFERROR(INDEX(Empresas!$B:$B,MATCH(A75,Empresas!$A:$A,0))&amp;"","cadastre o CNPJ em Empresas"))</f>
        <v/>
      </c>
      <c r="H75" s="28" t="str">
        <f aca="false">IF(B75="","",SUBSTITUTE(SUBSTITUTE(SUBSTITUTE(SUBSTITUTE(SUBSTITUTE(SUBSTITUTE(SUBSTITUTE(SUBSTITUTE(SUBSTITUTE(SUBSTITUTE(SUBSTITUTE(SUBSTITUTE(SUBSTITUTE(UPPER(TRIM(B75)),"Á","A"),"À","A"),"Â","A"),"Ã","A"),"É","E"),"Ê","E"),"Í","I"),"Ó","O"),"Ô","O"),"Õ","O"),"Ú","U"),"Ü","U"),"Ç","C"))</f>
        <v/>
      </c>
      <c r="I75" s="28" t="str">
        <f aca="false">IF(C75="","",IF(LEN(SUBSTITUTE(SUBSTITUTE(SUBSTITUTE(SUBSTITUTE(TRIM(C75),"*",""),".",""),"-","")," ",""))=11,MID(SUBSTITUTE(SUBSTITUTE(SUBSTITUTE(SUBSTITUTE(TRIM(C75),"*",""),".",""),"-","")," ",""),4,6),SUBSTITUTE(SUBSTITUTE(SUBSTITUTE(SUBSTITUTE(TRIM(C75),"*",""),".",""),"-","")," ","")))</f>
        <v/>
      </c>
      <c r="J75" s="28" t="str">
        <f aca="false">IF(OR(H75="",I75=""),"",H75&amp;"|"&amp;I75)</f>
        <v/>
      </c>
      <c r="K75" s="19" t="str">
        <f aca="false">IF(H75="","",IF(AND(J75&lt;&gt;"",COUNTIF(Pessoas!$J:$J,J75)&gt;0),"SIM",IF(COUNTIF(Pessoas!$H:$H,H75)&gt;0,"nome igual em Pessoas: confira o CPF","")))</f>
        <v/>
      </c>
      <c r="L75" s="27"/>
      <c r="M75" s="5"/>
    </row>
    <row r="76" customFormat="false" ht="15" hidden="false" customHeight="false" outlineLevel="0" collapsed="false">
      <c r="A76" s="27"/>
      <c r="B76" s="5"/>
      <c r="C76" s="27"/>
      <c r="D76" s="18"/>
      <c r="E76" s="14"/>
      <c r="F76" s="18"/>
      <c r="G76" s="19" t="str">
        <f aca="false">IF(A76="","",IFERROR(INDEX(Empresas!$B:$B,MATCH(A76,Empresas!$A:$A,0))&amp;"","cadastre o CNPJ em Empresas"))</f>
        <v/>
      </c>
      <c r="H76" s="28" t="str">
        <f aca="false">IF(B76="","",SUBSTITUTE(SUBSTITUTE(SUBSTITUTE(SUBSTITUTE(SUBSTITUTE(SUBSTITUTE(SUBSTITUTE(SUBSTITUTE(SUBSTITUTE(SUBSTITUTE(SUBSTITUTE(SUBSTITUTE(SUBSTITUTE(UPPER(TRIM(B76)),"Á","A"),"À","A"),"Â","A"),"Ã","A"),"É","E"),"Ê","E"),"Í","I"),"Ó","O"),"Ô","O"),"Õ","O"),"Ú","U"),"Ü","U"),"Ç","C"))</f>
        <v/>
      </c>
      <c r="I76" s="28" t="str">
        <f aca="false">IF(C76="","",IF(LEN(SUBSTITUTE(SUBSTITUTE(SUBSTITUTE(SUBSTITUTE(TRIM(C76),"*",""),".",""),"-","")," ",""))=11,MID(SUBSTITUTE(SUBSTITUTE(SUBSTITUTE(SUBSTITUTE(TRIM(C76),"*",""),".",""),"-","")," ",""),4,6),SUBSTITUTE(SUBSTITUTE(SUBSTITUTE(SUBSTITUTE(TRIM(C76),"*",""),".",""),"-","")," ","")))</f>
        <v/>
      </c>
      <c r="J76" s="28" t="str">
        <f aca="false">IF(OR(H76="",I76=""),"",H76&amp;"|"&amp;I76)</f>
        <v/>
      </c>
      <c r="K76" s="19" t="str">
        <f aca="false">IF(H76="","",IF(AND(J76&lt;&gt;"",COUNTIF(Pessoas!$J:$J,J76)&gt;0),"SIM",IF(COUNTIF(Pessoas!$H:$H,H76)&gt;0,"nome igual em Pessoas: confira o CPF","")))</f>
        <v/>
      </c>
      <c r="L76" s="27"/>
      <c r="M76" s="5"/>
    </row>
    <row r="77" customFormat="false" ht="15" hidden="false" customHeight="false" outlineLevel="0" collapsed="false">
      <c r="A77" s="27"/>
      <c r="B77" s="5"/>
      <c r="C77" s="27"/>
      <c r="D77" s="18"/>
      <c r="E77" s="14"/>
      <c r="F77" s="18"/>
      <c r="G77" s="19" t="str">
        <f aca="false">IF(A77="","",IFERROR(INDEX(Empresas!$B:$B,MATCH(A77,Empresas!$A:$A,0))&amp;"","cadastre o CNPJ em Empresas"))</f>
        <v/>
      </c>
      <c r="H77" s="28" t="str">
        <f aca="false">IF(B77="","",SUBSTITUTE(SUBSTITUTE(SUBSTITUTE(SUBSTITUTE(SUBSTITUTE(SUBSTITUTE(SUBSTITUTE(SUBSTITUTE(SUBSTITUTE(SUBSTITUTE(SUBSTITUTE(SUBSTITUTE(SUBSTITUTE(UPPER(TRIM(B77)),"Á","A"),"À","A"),"Â","A"),"Ã","A"),"É","E"),"Ê","E"),"Í","I"),"Ó","O"),"Ô","O"),"Õ","O"),"Ú","U"),"Ü","U"),"Ç","C"))</f>
        <v/>
      </c>
      <c r="I77" s="28" t="str">
        <f aca="false">IF(C77="","",IF(LEN(SUBSTITUTE(SUBSTITUTE(SUBSTITUTE(SUBSTITUTE(TRIM(C77),"*",""),".",""),"-","")," ",""))=11,MID(SUBSTITUTE(SUBSTITUTE(SUBSTITUTE(SUBSTITUTE(TRIM(C77),"*",""),".",""),"-","")," ",""),4,6),SUBSTITUTE(SUBSTITUTE(SUBSTITUTE(SUBSTITUTE(TRIM(C77),"*",""),".",""),"-","")," ","")))</f>
        <v/>
      </c>
      <c r="J77" s="28" t="str">
        <f aca="false">IF(OR(H77="",I77=""),"",H77&amp;"|"&amp;I77)</f>
        <v/>
      </c>
      <c r="K77" s="19" t="str">
        <f aca="false">IF(H77="","",IF(AND(J77&lt;&gt;"",COUNTIF(Pessoas!$J:$J,J77)&gt;0),"SIM",IF(COUNTIF(Pessoas!$H:$H,H77)&gt;0,"nome igual em Pessoas: confira o CPF","")))</f>
        <v/>
      </c>
      <c r="L77" s="27"/>
      <c r="M77" s="5"/>
    </row>
    <row r="78" customFormat="false" ht="15" hidden="false" customHeight="false" outlineLevel="0" collapsed="false">
      <c r="A78" s="27"/>
      <c r="B78" s="5"/>
      <c r="C78" s="27"/>
      <c r="D78" s="18"/>
      <c r="E78" s="14"/>
      <c r="F78" s="18"/>
      <c r="G78" s="19" t="str">
        <f aca="false">IF(A78="","",IFERROR(INDEX(Empresas!$B:$B,MATCH(A78,Empresas!$A:$A,0))&amp;"","cadastre o CNPJ em Empresas"))</f>
        <v/>
      </c>
      <c r="H78" s="28" t="str">
        <f aca="false">IF(B78="","",SUBSTITUTE(SUBSTITUTE(SUBSTITUTE(SUBSTITUTE(SUBSTITUTE(SUBSTITUTE(SUBSTITUTE(SUBSTITUTE(SUBSTITUTE(SUBSTITUTE(SUBSTITUTE(SUBSTITUTE(SUBSTITUTE(UPPER(TRIM(B78)),"Á","A"),"À","A"),"Â","A"),"Ã","A"),"É","E"),"Ê","E"),"Í","I"),"Ó","O"),"Ô","O"),"Õ","O"),"Ú","U"),"Ü","U"),"Ç","C"))</f>
        <v/>
      </c>
      <c r="I78" s="28" t="str">
        <f aca="false">IF(C78="","",IF(LEN(SUBSTITUTE(SUBSTITUTE(SUBSTITUTE(SUBSTITUTE(TRIM(C78),"*",""),".",""),"-","")," ",""))=11,MID(SUBSTITUTE(SUBSTITUTE(SUBSTITUTE(SUBSTITUTE(TRIM(C78),"*",""),".",""),"-","")," ",""),4,6),SUBSTITUTE(SUBSTITUTE(SUBSTITUTE(SUBSTITUTE(TRIM(C78),"*",""),".",""),"-","")," ","")))</f>
        <v/>
      </c>
      <c r="J78" s="28" t="str">
        <f aca="false">IF(OR(H78="",I78=""),"",H78&amp;"|"&amp;I78)</f>
        <v/>
      </c>
      <c r="K78" s="19" t="str">
        <f aca="false">IF(H78="","",IF(AND(J78&lt;&gt;"",COUNTIF(Pessoas!$J:$J,J78)&gt;0),"SIM",IF(COUNTIF(Pessoas!$H:$H,H78)&gt;0,"nome igual em Pessoas: confira o CPF","")))</f>
        <v/>
      </c>
      <c r="L78" s="27"/>
      <c r="M78" s="5"/>
    </row>
    <row r="79" customFormat="false" ht="15" hidden="false" customHeight="false" outlineLevel="0" collapsed="false">
      <c r="A79" s="27"/>
      <c r="B79" s="5"/>
      <c r="C79" s="27"/>
      <c r="D79" s="18"/>
      <c r="E79" s="14"/>
      <c r="F79" s="18"/>
      <c r="G79" s="19" t="str">
        <f aca="false">IF(A79="","",IFERROR(INDEX(Empresas!$B:$B,MATCH(A79,Empresas!$A:$A,0))&amp;"","cadastre o CNPJ em Empresas"))</f>
        <v/>
      </c>
      <c r="H79" s="28" t="str">
        <f aca="false">IF(B79="","",SUBSTITUTE(SUBSTITUTE(SUBSTITUTE(SUBSTITUTE(SUBSTITUTE(SUBSTITUTE(SUBSTITUTE(SUBSTITUTE(SUBSTITUTE(SUBSTITUTE(SUBSTITUTE(SUBSTITUTE(SUBSTITUTE(UPPER(TRIM(B79)),"Á","A"),"À","A"),"Â","A"),"Ã","A"),"É","E"),"Ê","E"),"Í","I"),"Ó","O"),"Ô","O"),"Õ","O"),"Ú","U"),"Ü","U"),"Ç","C"))</f>
        <v/>
      </c>
      <c r="I79" s="28" t="str">
        <f aca="false">IF(C79="","",IF(LEN(SUBSTITUTE(SUBSTITUTE(SUBSTITUTE(SUBSTITUTE(TRIM(C79),"*",""),".",""),"-","")," ",""))=11,MID(SUBSTITUTE(SUBSTITUTE(SUBSTITUTE(SUBSTITUTE(TRIM(C79),"*",""),".",""),"-","")," ",""),4,6),SUBSTITUTE(SUBSTITUTE(SUBSTITUTE(SUBSTITUTE(TRIM(C79),"*",""),".",""),"-","")," ","")))</f>
        <v/>
      </c>
      <c r="J79" s="28" t="str">
        <f aca="false">IF(OR(H79="",I79=""),"",H79&amp;"|"&amp;I79)</f>
        <v/>
      </c>
      <c r="K79" s="19" t="str">
        <f aca="false">IF(H79="","",IF(AND(J79&lt;&gt;"",COUNTIF(Pessoas!$J:$J,J79)&gt;0),"SIM",IF(COUNTIF(Pessoas!$H:$H,H79)&gt;0,"nome igual em Pessoas: confira o CPF","")))</f>
        <v/>
      </c>
      <c r="L79" s="27"/>
      <c r="M79" s="5"/>
    </row>
    <row r="80" customFormat="false" ht="15" hidden="false" customHeight="false" outlineLevel="0" collapsed="false">
      <c r="A80" s="27"/>
      <c r="B80" s="5"/>
      <c r="C80" s="27"/>
      <c r="D80" s="18"/>
      <c r="E80" s="14"/>
      <c r="F80" s="18"/>
      <c r="G80" s="19" t="str">
        <f aca="false">IF(A80="","",IFERROR(INDEX(Empresas!$B:$B,MATCH(A80,Empresas!$A:$A,0))&amp;"","cadastre o CNPJ em Empresas"))</f>
        <v/>
      </c>
      <c r="H80" s="28" t="str">
        <f aca="false">IF(B80="","",SUBSTITUTE(SUBSTITUTE(SUBSTITUTE(SUBSTITUTE(SUBSTITUTE(SUBSTITUTE(SUBSTITUTE(SUBSTITUTE(SUBSTITUTE(SUBSTITUTE(SUBSTITUTE(SUBSTITUTE(SUBSTITUTE(UPPER(TRIM(B80)),"Á","A"),"À","A"),"Â","A"),"Ã","A"),"É","E"),"Ê","E"),"Í","I"),"Ó","O"),"Ô","O"),"Õ","O"),"Ú","U"),"Ü","U"),"Ç","C"))</f>
        <v/>
      </c>
      <c r="I80" s="28" t="str">
        <f aca="false">IF(C80="","",IF(LEN(SUBSTITUTE(SUBSTITUTE(SUBSTITUTE(SUBSTITUTE(TRIM(C80),"*",""),".",""),"-","")," ",""))=11,MID(SUBSTITUTE(SUBSTITUTE(SUBSTITUTE(SUBSTITUTE(TRIM(C80),"*",""),".",""),"-","")," ",""),4,6),SUBSTITUTE(SUBSTITUTE(SUBSTITUTE(SUBSTITUTE(TRIM(C80),"*",""),".",""),"-","")," ","")))</f>
        <v/>
      </c>
      <c r="J80" s="28" t="str">
        <f aca="false">IF(OR(H80="",I80=""),"",H80&amp;"|"&amp;I80)</f>
        <v/>
      </c>
      <c r="K80" s="19" t="str">
        <f aca="false">IF(H80="","",IF(AND(J80&lt;&gt;"",COUNTIF(Pessoas!$J:$J,J80)&gt;0),"SIM",IF(COUNTIF(Pessoas!$H:$H,H80)&gt;0,"nome igual em Pessoas: confira o CPF","")))</f>
        <v/>
      </c>
      <c r="L80" s="27"/>
      <c r="M80" s="5"/>
    </row>
    <row r="81" customFormat="false" ht="15" hidden="false" customHeight="false" outlineLevel="0" collapsed="false">
      <c r="A81" s="27"/>
      <c r="B81" s="5"/>
      <c r="C81" s="27"/>
      <c r="D81" s="18"/>
      <c r="E81" s="14"/>
      <c r="F81" s="18"/>
      <c r="G81" s="19" t="str">
        <f aca="false">IF(A81="","",IFERROR(INDEX(Empresas!$B:$B,MATCH(A81,Empresas!$A:$A,0))&amp;"","cadastre o CNPJ em Empresas"))</f>
        <v/>
      </c>
      <c r="H81" s="28" t="str">
        <f aca="false">IF(B81="","",SUBSTITUTE(SUBSTITUTE(SUBSTITUTE(SUBSTITUTE(SUBSTITUTE(SUBSTITUTE(SUBSTITUTE(SUBSTITUTE(SUBSTITUTE(SUBSTITUTE(SUBSTITUTE(SUBSTITUTE(SUBSTITUTE(UPPER(TRIM(B81)),"Á","A"),"À","A"),"Â","A"),"Ã","A"),"É","E"),"Ê","E"),"Í","I"),"Ó","O"),"Ô","O"),"Õ","O"),"Ú","U"),"Ü","U"),"Ç","C"))</f>
        <v/>
      </c>
      <c r="I81" s="28" t="str">
        <f aca="false">IF(C81="","",IF(LEN(SUBSTITUTE(SUBSTITUTE(SUBSTITUTE(SUBSTITUTE(TRIM(C81),"*",""),".",""),"-","")," ",""))=11,MID(SUBSTITUTE(SUBSTITUTE(SUBSTITUTE(SUBSTITUTE(TRIM(C81),"*",""),".",""),"-","")," ",""),4,6),SUBSTITUTE(SUBSTITUTE(SUBSTITUTE(SUBSTITUTE(TRIM(C81),"*",""),".",""),"-","")," ","")))</f>
        <v/>
      </c>
      <c r="J81" s="28" t="str">
        <f aca="false">IF(OR(H81="",I81=""),"",H81&amp;"|"&amp;I81)</f>
        <v/>
      </c>
      <c r="K81" s="19" t="str">
        <f aca="false">IF(H81="","",IF(AND(J81&lt;&gt;"",COUNTIF(Pessoas!$J:$J,J81)&gt;0),"SIM",IF(COUNTIF(Pessoas!$H:$H,H81)&gt;0,"nome igual em Pessoas: confira o CPF","")))</f>
        <v/>
      </c>
      <c r="L81" s="27"/>
      <c r="M81" s="5"/>
    </row>
    <row r="82" customFormat="false" ht="15" hidden="false" customHeight="false" outlineLevel="0" collapsed="false">
      <c r="A82" s="27"/>
      <c r="B82" s="5"/>
      <c r="C82" s="27"/>
      <c r="D82" s="18"/>
      <c r="E82" s="14"/>
      <c r="F82" s="18"/>
      <c r="G82" s="19" t="str">
        <f aca="false">IF(A82="","",IFERROR(INDEX(Empresas!$B:$B,MATCH(A82,Empresas!$A:$A,0))&amp;"","cadastre o CNPJ em Empresas"))</f>
        <v/>
      </c>
      <c r="H82" s="28" t="str">
        <f aca="false">IF(B82="","",SUBSTITUTE(SUBSTITUTE(SUBSTITUTE(SUBSTITUTE(SUBSTITUTE(SUBSTITUTE(SUBSTITUTE(SUBSTITUTE(SUBSTITUTE(SUBSTITUTE(SUBSTITUTE(SUBSTITUTE(SUBSTITUTE(UPPER(TRIM(B82)),"Á","A"),"À","A"),"Â","A"),"Ã","A"),"É","E"),"Ê","E"),"Í","I"),"Ó","O"),"Ô","O"),"Õ","O"),"Ú","U"),"Ü","U"),"Ç","C"))</f>
        <v/>
      </c>
      <c r="I82" s="28" t="str">
        <f aca="false">IF(C82="","",IF(LEN(SUBSTITUTE(SUBSTITUTE(SUBSTITUTE(SUBSTITUTE(TRIM(C82),"*",""),".",""),"-","")," ",""))=11,MID(SUBSTITUTE(SUBSTITUTE(SUBSTITUTE(SUBSTITUTE(TRIM(C82),"*",""),".",""),"-","")," ",""),4,6),SUBSTITUTE(SUBSTITUTE(SUBSTITUTE(SUBSTITUTE(TRIM(C82),"*",""),".",""),"-","")," ","")))</f>
        <v/>
      </c>
      <c r="J82" s="28" t="str">
        <f aca="false">IF(OR(H82="",I82=""),"",H82&amp;"|"&amp;I82)</f>
        <v/>
      </c>
      <c r="K82" s="19" t="str">
        <f aca="false">IF(H82="","",IF(AND(J82&lt;&gt;"",COUNTIF(Pessoas!$J:$J,J82)&gt;0),"SIM",IF(COUNTIF(Pessoas!$H:$H,H82)&gt;0,"nome igual em Pessoas: confira o CPF","")))</f>
        <v/>
      </c>
      <c r="L82" s="27"/>
      <c r="M82" s="5"/>
    </row>
    <row r="83" customFormat="false" ht="15" hidden="false" customHeight="false" outlineLevel="0" collapsed="false">
      <c r="A83" s="27"/>
      <c r="B83" s="5"/>
      <c r="C83" s="27"/>
      <c r="D83" s="18"/>
      <c r="E83" s="14"/>
      <c r="F83" s="18"/>
      <c r="G83" s="19" t="str">
        <f aca="false">IF(A83="","",IFERROR(INDEX(Empresas!$B:$B,MATCH(A83,Empresas!$A:$A,0))&amp;"","cadastre o CNPJ em Empresas"))</f>
        <v/>
      </c>
      <c r="H83" s="28" t="str">
        <f aca="false">IF(B83="","",SUBSTITUTE(SUBSTITUTE(SUBSTITUTE(SUBSTITUTE(SUBSTITUTE(SUBSTITUTE(SUBSTITUTE(SUBSTITUTE(SUBSTITUTE(SUBSTITUTE(SUBSTITUTE(SUBSTITUTE(SUBSTITUTE(UPPER(TRIM(B83)),"Á","A"),"À","A"),"Â","A"),"Ã","A"),"É","E"),"Ê","E"),"Í","I"),"Ó","O"),"Ô","O"),"Õ","O"),"Ú","U"),"Ü","U"),"Ç","C"))</f>
        <v/>
      </c>
      <c r="I83" s="28" t="str">
        <f aca="false">IF(C83="","",IF(LEN(SUBSTITUTE(SUBSTITUTE(SUBSTITUTE(SUBSTITUTE(TRIM(C83),"*",""),".",""),"-","")," ",""))=11,MID(SUBSTITUTE(SUBSTITUTE(SUBSTITUTE(SUBSTITUTE(TRIM(C83),"*",""),".",""),"-","")," ",""),4,6),SUBSTITUTE(SUBSTITUTE(SUBSTITUTE(SUBSTITUTE(TRIM(C83),"*",""),".",""),"-","")," ","")))</f>
        <v/>
      </c>
      <c r="J83" s="28" t="str">
        <f aca="false">IF(OR(H83="",I83=""),"",H83&amp;"|"&amp;I83)</f>
        <v/>
      </c>
      <c r="K83" s="19" t="str">
        <f aca="false">IF(H83="","",IF(AND(J83&lt;&gt;"",COUNTIF(Pessoas!$J:$J,J83)&gt;0),"SIM",IF(COUNTIF(Pessoas!$H:$H,H83)&gt;0,"nome igual em Pessoas: confira o CPF","")))</f>
        <v/>
      </c>
      <c r="L83" s="27"/>
      <c r="M83" s="5"/>
    </row>
    <row r="84" customFormat="false" ht="15" hidden="false" customHeight="false" outlineLevel="0" collapsed="false">
      <c r="A84" s="27"/>
      <c r="B84" s="5"/>
      <c r="C84" s="27"/>
      <c r="D84" s="18"/>
      <c r="E84" s="14"/>
      <c r="F84" s="18"/>
      <c r="G84" s="19" t="str">
        <f aca="false">IF(A84="","",IFERROR(INDEX(Empresas!$B:$B,MATCH(A84,Empresas!$A:$A,0))&amp;"","cadastre o CNPJ em Empresas"))</f>
        <v/>
      </c>
      <c r="H84" s="28" t="str">
        <f aca="false">IF(B84="","",SUBSTITUTE(SUBSTITUTE(SUBSTITUTE(SUBSTITUTE(SUBSTITUTE(SUBSTITUTE(SUBSTITUTE(SUBSTITUTE(SUBSTITUTE(SUBSTITUTE(SUBSTITUTE(SUBSTITUTE(SUBSTITUTE(UPPER(TRIM(B84)),"Á","A"),"À","A"),"Â","A"),"Ã","A"),"É","E"),"Ê","E"),"Í","I"),"Ó","O"),"Ô","O"),"Õ","O"),"Ú","U"),"Ü","U"),"Ç","C"))</f>
        <v/>
      </c>
      <c r="I84" s="28" t="str">
        <f aca="false">IF(C84="","",IF(LEN(SUBSTITUTE(SUBSTITUTE(SUBSTITUTE(SUBSTITUTE(TRIM(C84),"*",""),".",""),"-","")," ",""))=11,MID(SUBSTITUTE(SUBSTITUTE(SUBSTITUTE(SUBSTITUTE(TRIM(C84),"*",""),".",""),"-","")," ",""),4,6),SUBSTITUTE(SUBSTITUTE(SUBSTITUTE(SUBSTITUTE(TRIM(C84),"*",""),".",""),"-","")," ","")))</f>
        <v/>
      </c>
      <c r="J84" s="28" t="str">
        <f aca="false">IF(OR(H84="",I84=""),"",H84&amp;"|"&amp;I84)</f>
        <v/>
      </c>
      <c r="K84" s="19" t="str">
        <f aca="false">IF(H84="","",IF(AND(J84&lt;&gt;"",COUNTIF(Pessoas!$J:$J,J84)&gt;0),"SIM",IF(COUNTIF(Pessoas!$H:$H,H84)&gt;0,"nome igual em Pessoas: confira o CPF","")))</f>
        <v/>
      </c>
      <c r="L84" s="27"/>
      <c r="M84" s="5"/>
    </row>
    <row r="85" customFormat="false" ht="15" hidden="false" customHeight="false" outlineLevel="0" collapsed="false">
      <c r="A85" s="27"/>
      <c r="B85" s="5"/>
      <c r="C85" s="27"/>
      <c r="D85" s="18"/>
      <c r="E85" s="14"/>
      <c r="F85" s="18"/>
      <c r="G85" s="19" t="str">
        <f aca="false">IF(A85="","",IFERROR(INDEX(Empresas!$B:$B,MATCH(A85,Empresas!$A:$A,0))&amp;"","cadastre o CNPJ em Empresas"))</f>
        <v/>
      </c>
      <c r="H85" s="28" t="str">
        <f aca="false">IF(B85="","",SUBSTITUTE(SUBSTITUTE(SUBSTITUTE(SUBSTITUTE(SUBSTITUTE(SUBSTITUTE(SUBSTITUTE(SUBSTITUTE(SUBSTITUTE(SUBSTITUTE(SUBSTITUTE(SUBSTITUTE(SUBSTITUTE(UPPER(TRIM(B85)),"Á","A"),"À","A"),"Â","A"),"Ã","A"),"É","E"),"Ê","E"),"Í","I"),"Ó","O"),"Ô","O"),"Õ","O"),"Ú","U"),"Ü","U"),"Ç","C"))</f>
        <v/>
      </c>
      <c r="I85" s="28" t="str">
        <f aca="false">IF(C85="","",IF(LEN(SUBSTITUTE(SUBSTITUTE(SUBSTITUTE(SUBSTITUTE(TRIM(C85),"*",""),".",""),"-","")," ",""))=11,MID(SUBSTITUTE(SUBSTITUTE(SUBSTITUTE(SUBSTITUTE(TRIM(C85),"*",""),".",""),"-","")," ",""),4,6),SUBSTITUTE(SUBSTITUTE(SUBSTITUTE(SUBSTITUTE(TRIM(C85),"*",""),".",""),"-","")," ","")))</f>
        <v/>
      </c>
      <c r="J85" s="28" t="str">
        <f aca="false">IF(OR(H85="",I85=""),"",H85&amp;"|"&amp;I85)</f>
        <v/>
      </c>
      <c r="K85" s="19" t="str">
        <f aca="false">IF(H85="","",IF(AND(J85&lt;&gt;"",COUNTIF(Pessoas!$J:$J,J85)&gt;0),"SIM",IF(COUNTIF(Pessoas!$H:$H,H85)&gt;0,"nome igual em Pessoas: confira o CPF","")))</f>
        <v/>
      </c>
      <c r="L85" s="27"/>
      <c r="M85" s="5"/>
    </row>
    <row r="86" customFormat="false" ht="15" hidden="false" customHeight="false" outlineLevel="0" collapsed="false">
      <c r="A86" s="27"/>
      <c r="B86" s="5"/>
      <c r="C86" s="27"/>
      <c r="D86" s="18"/>
      <c r="E86" s="14"/>
      <c r="F86" s="18"/>
      <c r="G86" s="19" t="str">
        <f aca="false">IF(A86="","",IFERROR(INDEX(Empresas!$B:$B,MATCH(A86,Empresas!$A:$A,0))&amp;"","cadastre o CNPJ em Empresas"))</f>
        <v/>
      </c>
      <c r="H86" s="28" t="str">
        <f aca="false">IF(B86="","",SUBSTITUTE(SUBSTITUTE(SUBSTITUTE(SUBSTITUTE(SUBSTITUTE(SUBSTITUTE(SUBSTITUTE(SUBSTITUTE(SUBSTITUTE(SUBSTITUTE(SUBSTITUTE(SUBSTITUTE(SUBSTITUTE(UPPER(TRIM(B86)),"Á","A"),"À","A"),"Â","A"),"Ã","A"),"É","E"),"Ê","E"),"Í","I"),"Ó","O"),"Ô","O"),"Õ","O"),"Ú","U"),"Ü","U"),"Ç","C"))</f>
        <v/>
      </c>
      <c r="I86" s="28" t="str">
        <f aca="false">IF(C86="","",IF(LEN(SUBSTITUTE(SUBSTITUTE(SUBSTITUTE(SUBSTITUTE(TRIM(C86),"*",""),".",""),"-","")," ",""))=11,MID(SUBSTITUTE(SUBSTITUTE(SUBSTITUTE(SUBSTITUTE(TRIM(C86),"*",""),".",""),"-","")," ",""),4,6),SUBSTITUTE(SUBSTITUTE(SUBSTITUTE(SUBSTITUTE(TRIM(C86),"*",""),".",""),"-","")," ","")))</f>
        <v/>
      </c>
      <c r="J86" s="28" t="str">
        <f aca="false">IF(OR(H86="",I86=""),"",H86&amp;"|"&amp;I86)</f>
        <v/>
      </c>
      <c r="K86" s="19" t="str">
        <f aca="false">IF(H86="","",IF(AND(J86&lt;&gt;"",COUNTIF(Pessoas!$J:$J,J86)&gt;0),"SIM",IF(COUNTIF(Pessoas!$H:$H,H86)&gt;0,"nome igual em Pessoas: confira o CPF","")))</f>
        <v/>
      </c>
      <c r="L86" s="27"/>
      <c r="M86" s="5"/>
    </row>
    <row r="87" customFormat="false" ht="15" hidden="false" customHeight="false" outlineLevel="0" collapsed="false">
      <c r="A87" s="27"/>
      <c r="B87" s="5"/>
      <c r="C87" s="27"/>
      <c r="D87" s="18"/>
      <c r="E87" s="14"/>
      <c r="F87" s="18"/>
      <c r="G87" s="19" t="str">
        <f aca="false">IF(A87="","",IFERROR(INDEX(Empresas!$B:$B,MATCH(A87,Empresas!$A:$A,0))&amp;"","cadastre o CNPJ em Empresas"))</f>
        <v/>
      </c>
      <c r="H87" s="28" t="str">
        <f aca="false">IF(B87="","",SUBSTITUTE(SUBSTITUTE(SUBSTITUTE(SUBSTITUTE(SUBSTITUTE(SUBSTITUTE(SUBSTITUTE(SUBSTITUTE(SUBSTITUTE(SUBSTITUTE(SUBSTITUTE(SUBSTITUTE(SUBSTITUTE(UPPER(TRIM(B87)),"Á","A"),"À","A"),"Â","A"),"Ã","A"),"É","E"),"Ê","E"),"Í","I"),"Ó","O"),"Ô","O"),"Õ","O"),"Ú","U"),"Ü","U"),"Ç","C"))</f>
        <v/>
      </c>
      <c r="I87" s="28" t="str">
        <f aca="false">IF(C87="","",IF(LEN(SUBSTITUTE(SUBSTITUTE(SUBSTITUTE(SUBSTITUTE(TRIM(C87),"*",""),".",""),"-","")," ",""))=11,MID(SUBSTITUTE(SUBSTITUTE(SUBSTITUTE(SUBSTITUTE(TRIM(C87),"*",""),".",""),"-","")," ",""),4,6),SUBSTITUTE(SUBSTITUTE(SUBSTITUTE(SUBSTITUTE(TRIM(C87),"*",""),".",""),"-","")," ","")))</f>
        <v/>
      </c>
      <c r="J87" s="28" t="str">
        <f aca="false">IF(OR(H87="",I87=""),"",H87&amp;"|"&amp;I87)</f>
        <v/>
      </c>
      <c r="K87" s="19" t="str">
        <f aca="false">IF(H87="","",IF(AND(J87&lt;&gt;"",COUNTIF(Pessoas!$J:$J,J87)&gt;0),"SIM",IF(COUNTIF(Pessoas!$H:$H,H87)&gt;0,"nome igual em Pessoas: confira o CPF","")))</f>
        <v/>
      </c>
      <c r="L87" s="27"/>
      <c r="M87" s="5"/>
    </row>
    <row r="88" customFormat="false" ht="15" hidden="false" customHeight="false" outlineLevel="0" collapsed="false">
      <c r="A88" s="27"/>
      <c r="B88" s="5"/>
      <c r="C88" s="27"/>
      <c r="D88" s="18"/>
      <c r="E88" s="14"/>
      <c r="F88" s="18"/>
      <c r="G88" s="19" t="str">
        <f aca="false">IF(A88="","",IFERROR(INDEX(Empresas!$B:$B,MATCH(A88,Empresas!$A:$A,0))&amp;"","cadastre o CNPJ em Empresas"))</f>
        <v/>
      </c>
      <c r="H88" s="28" t="str">
        <f aca="false">IF(B88="","",SUBSTITUTE(SUBSTITUTE(SUBSTITUTE(SUBSTITUTE(SUBSTITUTE(SUBSTITUTE(SUBSTITUTE(SUBSTITUTE(SUBSTITUTE(SUBSTITUTE(SUBSTITUTE(SUBSTITUTE(SUBSTITUTE(UPPER(TRIM(B88)),"Á","A"),"À","A"),"Â","A"),"Ã","A"),"É","E"),"Ê","E"),"Í","I"),"Ó","O"),"Ô","O"),"Õ","O"),"Ú","U"),"Ü","U"),"Ç","C"))</f>
        <v/>
      </c>
      <c r="I88" s="28" t="str">
        <f aca="false">IF(C88="","",IF(LEN(SUBSTITUTE(SUBSTITUTE(SUBSTITUTE(SUBSTITUTE(TRIM(C88),"*",""),".",""),"-","")," ",""))=11,MID(SUBSTITUTE(SUBSTITUTE(SUBSTITUTE(SUBSTITUTE(TRIM(C88),"*",""),".",""),"-","")," ",""),4,6),SUBSTITUTE(SUBSTITUTE(SUBSTITUTE(SUBSTITUTE(TRIM(C88),"*",""),".",""),"-","")," ","")))</f>
        <v/>
      </c>
      <c r="J88" s="28" t="str">
        <f aca="false">IF(OR(H88="",I88=""),"",H88&amp;"|"&amp;I88)</f>
        <v/>
      </c>
      <c r="K88" s="19" t="str">
        <f aca="false">IF(H88="","",IF(AND(J88&lt;&gt;"",COUNTIF(Pessoas!$J:$J,J88)&gt;0),"SIM",IF(COUNTIF(Pessoas!$H:$H,H88)&gt;0,"nome igual em Pessoas: confira o CPF","")))</f>
        <v/>
      </c>
      <c r="L88" s="27"/>
      <c r="M88" s="5"/>
    </row>
    <row r="89" customFormat="false" ht="15" hidden="false" customHeight="false" outlineLevel="0" collapsed="false">
      <c r="A89" s="27"/>
      <c r="B89" s="5"/>
      <c r="C89" s="27"/>
      <c r="D89" s="18"/>
      <c r="E89" s="14"/>
      <c r="F89" s="18"/>
      <c r="G89" s="19" t="str">
        <f aca="false">IF(A89="","",IFERROR(INDEX(Empresas!$B:$B,MATCH(A89,Empresas!$A:$A,0))&amp;"","cadastre o CNPJ em Empresas"))</f>
        <v/>
      </c>
      <c r="H89" s="28" t="str">
        <f aca="false">IF(B89="","",SUBSTITUTE(SUBSTITUTE(SUBSTITUTE(SUBSTITUTE(SUBSTITUTE(SUBSTITUTE(SUBSTITUTE(SUBSTITUTE(SUBSTITUTE(SUBSTITUTE(SUBSTITUTE(SUBSTITUTE(SUBSTITUTE(UPPER(TRIM(B89)),"Á","A"),"À","A"),"Â","A"),"Ã","A"),"É","E"),"Ê","E"),"Í","I"),"Ó","O"),"Ô","O"),"Õ","O"),"Ú","U"),"Ü","U"),"Ç","C"))</f>
        <v/>
      </c>
      <c r="I89" s="28" t="str">
        <f aca="false">IF(C89="","",IF(LEN(SUBSTITUTE(SUBSTITUTE(SUBSTITUTE(SUBSTITUTE(TRIM(C89),"*",""),".",""),"-","")," ",""))=11,MID(SUBSTITUTE(SUBSTITUTE(SUBSTITUTE(SUBSTITUTE(TRIM(C89),"*",""),".",""),"-","")," ",""),4,6),SUBSTITUTE(SUBSTITUTE(SUBSTITUTE(SUBSTITUTE(TRIM(C89),"*",""),".",""),"-","")," ","")))</f>
        <v/>
      </c>
      <c r="J89" s="28" t="str">
        <f aca="false">IF(OR(H89="",I89=""),"",H89&amp;"|"&amp;I89)</f>
        <v/>
      </c>
      <c r="K89" s="19" t="str">
        <f aca="false">IF(H89="","",IF(AND(J89&lt;&gt;"",COUNTIF(Pessoas!$J:$J,J89)&gt;0),"SIM",IF(COUNTIF(Pessoas!$H:$H,H89)&gt;0,"nome igual em Pessoas: confira o CPF","")))</f>
        <v/>
      </c>
      <c r="L89" s="27"/>
      <c r="M89" s="5"/>
    </row>
    <row r="90" customFormat="false" ht="15" hidden="false" customHeight="false" outlineLevel="0" collapsed="false">
      <c r="A90" s="27"/>
      <c r="B90" s="5"/>
      <c r="C90" s="27"/>
      <c r="D90" s="18"/>
      <c r="E90" s="14"/>
      <c r="F90" s="18"/>
      <c r="G90" s="19" t="str">
        <f aca="false">IF(A90="","",IFERROR(INDEX(Empresas!$B:$B,MATCH(A90,Empresas!$A:$A,0))&amp;"","cadastre o CNPJ em Empresas"))</f>
        <v/>
      </c>
      <c r="H90" s="28" t="str">
        <f aca="false">IF(B90="","",SUBSTITUTE(SUBSTITUTE(SUBSTITUTE(SUBSTITUTE(SUBSTITUTE(SUBSTITUTE(SUBSTITUTE(SUBSTITUTE(SUBSTITUTE(SUBSTITUTE(SUBSTITUTE(SUBSTITUTE(SUBSTITUTE(UPPER(TRIM(B90)),"Á","A"),"À","A"),"Â","A"),"Ã","A"),"É","E"),"Ê","E"),"Í","I"),"Ó","O"),"Ô","O"),"Õ","O"),"Ú","U"),"Ü","U"),"Ç","C"))</f>
        <v/>
      </c>
      <c r="I90" s="28" t="str">
        <f aca="false">IF(C90="","",IF(LEN(SUBSTITUTE(SUBSTITUTE(SUBSTITUTE(SUBSTITUTE(TRIM(C90),"*",""),".",""),"-","")," ",""))=11,MID(SUBSTITUTE(SUBSTITUTE(SUBSTITUTE(SUBSTITUTE(TRIM(C90),"*",""),".",""),"-","")," ",""),4,6),SUBSTITUTE(SUBSTITUTE(SUBSTITUTE(SUBSTITUTE(TRIM(C90),"*",""),".",""),"-","")," ","")))</f>
        <v/>
      </c>
      <c r="J90" s="28" t="str">
        <f aca="false">IF(OR(H90="",I90=""),"",H90&amp;"|"&amp;I90)</f>
        <v/>
      </c>
      <c r="K90" s="19" t="str">
        <f aca="false">IF(H90="","",IF(AND(J90&lt;&gt;"",COUNTIF(Pessoas!$J:$J,J90)&gt;0),"SIM",IF(COUNTIF(Pessoas!$H:$H,H90)&gt;0,"nome igual em Pessoas: confira o CPF","")))</f>
        <v/>
      </c>
      <c r="L90" s="27"/>
      <c r="M90" s="5"/>
    </row>
    <row r="91" customFormat="false" ht="15" hidden="false" customHeight="false" outlineLevel="0" collapsed="false">
      <c r="A91" s="27"/>
      <c r="B91" s="5"/>
      <c r="C91" s="27"/>
      <c r="D91" s="18"/>
      <c r="E91" s="14"/>
      <c r="F91" s="18"/>
      <c r="G91" s="19" t="str">
        <f aca="false">IF(A91="","",IFERROR(INDEX(Empresas!$B:$B,MATCH(A91,Empresas!$A:$A,0))&amp;"","cadastre o CNPJ em Empresas"))</f>
        <v/>
      </c>
      <c r="H91" s="28" t="str">
        <f aca="false">IF(B91="","",SUBSTITUTE(SUBSTITUTE(SUBSTITUTE(SUBSTITUTE(SUBSTITUTE(SUBSTITUTE(SUBSTITUTE(SUBSTITUTE(SUBSTITUTE(SUBSTITUTE(SUBSTITUTE(SUBSTITUTE(SUBSTITUTE(UPPER(TRIM(B91)),"Á","A"),"À","A"),"Â","A"),"Ã","A"),"É","E"),"Ê","E"),"Í","I"),"Ó","O"),"Ô","O"),"Õ","O"),"Ú","U"),"Ü","U"),"Ç","C"))</f>
        <v/>
      </c>
      <c r="I91" s="28" t="str">
        <f aca="false">IF(C91="","",IF(LEN(SUBSTITUTE(SUBSTITUTE(SUBSTITUTE(SUBSTITUTE(TRIM(C91),"*",""),".",""),"-","")," ",""))=11,MID(SUBSTITUTE(SUBSTITUTE(SUBSTITUTE(SUBSTITUTE(TRIM(C91),"*",""),".",""),"-","")," ",""),4,6),SUBSTITUTE(SUBSTITUTE(SUBSTITUTE(SUBSTITUTE(TRIM(C91),"*",""),".",""),"-","")," ","")))</f>
        <v/>
      </c>
      <c r="J91" s="28" t="str">
        <f aca="false">IF(OR(H91="",I91=""),"",H91&amp;"|"&amp;I91)</f>
        <v/>
      </c>
      <c r="K91" s="19" t="str">
        <f aca="false">IF(H91="","",IF(AND(J91&lt;&gt;"",COUNTIF(Pessoas!$J:$J,J91)&gt;0),"SIM",IF(COUNTIF(Pessoas!$H:$H,H91)&gt;0,"nome igual em Pessoas: confira o CPF","")))</f>
        <v/>
      </c>
      <c r="L91" s="27"/>
      <c r="M91" s="5"/>
    </row>
    <row r="92" customFormat="false" ht="15" hidden="false" customHeight="false" outlineLevel="0" collapsed="false">
      <c r="A92" s="27"/>
      <c r="B92" s="5"/>
      <c r="C92" s="27"/>
      <c r="D92" s="18"/>
      <c r="E92" s="14"/>
      <c r="F92" s="18"/>
      <c r="G92" s="19" t="str">
        <f aca="false">IF(A92="","",IFERROR(INDEX(Empresas!$B:$B,MATCH(A92,Empresas!$A:$A,0))&amp;"","cadastre o CNPJ em Empresas"))</f>
        <v/>
      </c>
      <c r="H92" s="28" t="str">
        <f aca="false">IF(B92="","",SUBSTITUTE(SUBSTITUTE(SUBSTITUTE(SUBSTITUTE(SUBSTITUTE(SUBSTITUTE(SUBSTITUTE(SUBSTITUTE(SUBSTITUTE(SUBSTITUTE(SUBSTITUTE(SUBSTITUTE(SUBSTITUTE(UPPER(TRIM(B92)),"Á","A"),"À","A"),"Â","A"),"Ã","A"),"É","E"),"Ê","E"),"Í","I"),"Ó","O"),"Ô","O"),"Õ","O"),"Ú","U"),"Ü","U"),"Ç","C"))</f>
        <v/>
      </c>
      <c r="I92" s="28" t="str">
        <f aca="false">IF(C92="","",IF(LEN(SUBSTITUTE(SUBSTITUTE(SUBSTITUTE(SUBSTITUTE(TRIM(C92),"*",""),".",""),"-","")," ",""))=11,MID(SUBSTITUTE(SUBSTITUTE(SUBSTITUTE(SUBSTITUTE(TRIM(C92),"*",""),".",""),"-","")," ",""),4,6),SUBSTITUTE(SUBSTITUTE(SUBSTITUTE(SUBSTITUTE(TRIM(C92),"*",""),".",""),"-","")," ","")))</f>
        <v/>
      </c>
      <c r="J92" s="28" t="str">
        <f aca="false">IF(OR(H92="",I92=""),"",H92&amp;"|"&amp;I92)</f>
        <v/>
      </c>
      <c r="K92" s="19" t="str">
        <f aca="false">IF(H92="","",IF(AND(J92&lt;&gt;"",COUNTIF(Pessoas!$J:$J,J92)&gt;0),"SIM",IF(COUNTIF(Pessoas!$H:$H,H92)&gt;0,"nome igual em Pessoas: confira o CPF","")))</f>
        <v/>
      </c>
      <c r="L92" s="27"/>
      <c r="M92" s="5"/>
    </row>
    <row r="93" customFormat="false" ht="15" hidden="false" customHeight="false" outlineLevel="0" collapsed="false">
      <c r="A93" s="27"/>
      <c r="B93" s="5"/>
      <c r="C93" s="27"/>
      <c r="D93" s="18"/>
      <c r="E93" s="14"/>
      <c r="F93" s="18"/>
      <c r="G93" s="19" t="str">
        <f aca="false">IF(A93="","",IFERROR(INDEX(Empresas!$B:$B,MATCH(A93,Empresas!$A:$A,0))&amp;"","cadastre o CNPJ em Empresas"))</f>
        <v/>
      </c>
      <c r="H93" s="28" t="str">
        <f aca="false">IF(B93="","",SUBSTITUTE(SUBSTITUTE(SUBSTITUTE(SUBSTITUTE(SUBSTITUTE(SUBSTITUTE(SUBSTITUTE(SUBSTITUTE(SUBSTITUTE(SUBSTITUTE(SUBSTITUTE(SUBSTITUTE(SUBSTITUTE(UPPER(TRIM(B93)),"Á","A"),"À","A"),"Â","A"),"Ã","A"),"É","E"),"Ê","E"),"Í","I"),"Ó","O"),"Ô","O"),"Õ","O"),"Ú","U"),"Ü","U"),"Ç","C"))</f>
        <v/>
      </c>
      <c r="I93" s="28" t="str">
        <f aca="false">IF(C93="","",IF(LEN(SUBSTITUTE(SUBSTITUTE(SUBSTITUTE(SUBSTITUTE(TRIM(C93),"*",""),".",""),"-","")," ",""))=11,MID(SUBSTITUTE(SUBSTITUTE(SUBSTITUTE(SUBSTITUTE(TRIM(C93),"*",""),".",""),"-","")," ",""),4,6),SUBSTITUTE(SUBSTITUTE(SUBSTITUTE(SUBSTITUTE(TRIM(C93),"*",""),".",""),"-","")," ","")))</f>
        <v/>
      </c>
      <c r="J93" s="28" t="str">
        <f aca="false">IF(OR(H93="",I93=""),"",H93&amp;"|"&amp;I93)</f>
        <v/>
      </c>
      <c r="K93" s="19" t="str">
        <f aca="false">IF(H93="","",IF(AND(J93&lt;&gt;"",COUNTIF(Pessoas!$J:$J,J93)&gt;0),"SIM",IF(COUNTIF(Pessoas!$H:$H,H93)&gt;0,"nome igual em Pessoas: confira o CPF","")))</f>
        <v/>
      </c>
      <c r="L93" s="27"/>
      <c r="M93" s="5"/>
    </row>
    <row r="94" customFormat="false" ht="15" hidden="false" customHeight="false" outlineLevel="0" collapsed="false">
      <c r="A94" s="27"/>
      <c r="B94" s="5"/>
      <c r="C94" s="27"/>
      <c r="D94" s="18"/>
      <c r="E94" s="14"/>
      <c r="F94" s="18"/>
      <c r="G94" s="19" t="str">
        <f aca="false">IF(A94="","",IFERROR(INDEX(Empresas!$B:$B,MATCH(A94,Empresas!$A:$A,0))&amp;"","cadastre o CNPJ em Empresas"))</f>
        <v/>
      </c>
      <c r="H94" s="28" t="str">
        <f aca="false">IF(B94="","",SUBSTITUTE(SUBSTITUTE(SUBSTITUTE(SUBSTITUTE(SUBSTITUTE(SUBSTITUTE(SUBSTITUTE(SUBSTITUTE(SUBSTITUTE(SUBSTITUTE(SUBSTITUTE(SUBSTITUTE(SUBSTITUTE(UPPER(TRIM(B94)),"Á","A"),"À","A"),"Â","A"),"Ã","A"),"É","E"),"Ê","E"),"Í","I"),"Ó","O"),"Ô","O"),"Õ","O"),"Ú","U"),"Ü","U"),"Ç","C"))</f>
        <v/>
      </c>
      <c r="I94" s="28" t="str">
        <f aca="false">IF(C94="","",IF(LEN(SUBSTITUTE(SUBSTITUTE(SUBSTITUTE(SUBSTITUTE(TRIM(C94),"*",""),".",""),"-","")," ",""))=11,MID(SUBSTITUTE(SUBSTITUTE(SUBSTITUTE(SUBSTITUTE(TRIM(C94),"*",""),".",""),"-","")," ",""),4,6),SUBSTITUTE(SUBSTITUTE(SUBSTITUTE(SUBSTITUTE(TRIM(C94),"*",""),".",""),"-","")," ","")))</f>
        <v/>
      </c>
      <c r="J94" s="28" t="str">
        <f aca="false">IF(OR(H94="",I94=""),"",H94&amp;"|"&amp;I94)</f>
        <v/>
      </c>
      <c r="K94" s="19" t="str">
        <f aca="false">IF(H94="","",IF(AND(J94&lt;&gt;"",COUNTIF(Pessoas!$J:$J,J94)&gt;0),"SIM",IF(COUNTIF(Pessoas!$H:$H,H94)&gt;0,"nome igual em Pessoas: confira o CPF","")))</f>
        <v/>
      </c>
      <c r="L94" s="27"/>
      <c r="M94" s="5"/>
    </row>
    <row r="95" customFormat="false" ht="15" hidden="false" customHeight="false" outlineLevel="0" collapsed="false">
      <c r="A95" s="27"/>
      <c r="B95" s="5"/>
      <c r="C95" s="27"/>
      <c r="D95" s="18"/>
      <c r="E95" s="14"/>
      <c r="F95" s="18"/>
      <c r="G95" s="19" t="str">
        <f aca="false">IF(A95="","",IFERROR(INDEX(Empresas!$B:$B,MATCH(A95,Empresas!$A:$A,0))&amp;"","cadastre o CNPJ em Empresas"))</f>
        <v/>
      </c>
      <c r="H95" s="28" t="str">
        <f aca="false">IF(B95="","",SUBSTITUTE(SUBSTITUTE(SUBSTITUTE(SUBSTITUTE(SUBSTITUTE(SUBSTITUTE(SUBSTITUTE(SUBSTITUTE(SUBSTITUTE(SUBSTITUTE(SUBSTITUTE(SUBSTITUTE(SUBSTITUTE(UPPER(TRIM(B95)),"Á","A"),"À","A"),"Â","A"),"Ã","A"),"É","E"),"Ê","E"),"Í","I"),"Ó","O"),"Ô","O"),"Õ","O"),"Ú","U"),"Ü","U"),"Ç","C"))</f>
        <v/>
      </c>
      <c r="I95" s="28" t="str">
        <f aca="false">IF(C95="","",IF(LEN(SUBSTITUTE(SUBSTITUTE(SUBSTITUTE(SUBSTITUTE(TRIM(C95),"*",""),".",""),"-","")," ",""))=11,MID(SUBSTITUTE(SUBSTITUTE(SUBSTITUTE(SUBSTITUTE(TRIM(C95),"*",""),".",""),"-","")," ",""),4,6),SUBSTITUTE(SUBSTITUTE(SUBSTITUTE(SUBSTITUTE(TRIM(C95),"*",""),".",""),"-","")," ","")))</f>
        <v/>
      </c>
      <c r="J95" s="28" t="str">
        <f aca="false">IF(OR(H95="",I95=""),"",H95&amp;"|"&amp;I95)</f>
        <v/>
      </c>
      <c r="K95" s="19" t="str">
        <f aca="false">IF(H95="","",IF(AND(J95&lt;&gt;"",COUNTIF(Pessoas!$J:$J,J95)&gt;0),"SIM",IF(COUNTIF(Pessoas!$H:$H,H95)&gt;0,"nome igual em Pessoas: confira o CPF","")))</f>
        <v/>
      </c>
      <c r="L95" s="27"/>
      <c r="M95" s="5"/>
    </row>
    <row r="96" customFormat="false" ht="15" hidden="false" customHeight="false" outlineLevel="0" collapsed="false">
      <c r="A96" s="27"/>
      <c r="B96" s="5"/>
      <c r="C96" s="27"/>
      <c r="D96" s="18"/>
      <c r="E96" s="14"/>
      <c r="F96" s="18"/>
      <c r="G96" s="19" t="str">
        <f aca="false">IF(A96="","",IFERROR(INDEX(Empresas!$B:$B,MATCH(A96,Empresas!$A:$A,0))&amp;"","cadastre o CNPJ em Empresas"))</f>
        <v/>
      </c>
      <c r="H96" s="28" t="str">
        <f aca="false">IF(B96="","",SUBSTITUTE(SUBSTITUTE(SUBSTITUTE(SUBSTITUTE(SUBSTITUTE(SUBSTITUTE(SUBSTITUTE(SUBSTITUTE(SUBSTITUTE(SUBSTITUTE(SUBSTITUTE(SUBSTITUTE(SUBSTITUTE(UPPER(TRIM(B96)),"Á","A"),"À","A"),"Â","A"),"Ã","A"),"É","E"),"Ê","E"),"Í","I"),"Ó","O"),"Ô","O"),"Õ","O"),"Ú","U"),"Ü","U"),"Ç","C"))</f>
        <v/>
      </c>
      <c r="I96" s="28" t="str">
        <f aca="false">IF(C96="","",IF(LEN(SUBSTITUTE(SUBSTITUTE(SUBSTITUTE(SUBSTITUTE(TRIM(C96),"*",""),".",""),"-","")," ",""))=11,MID(SUBSTITUTE(SUBSTITUTE(SUBSTITUTE(SUBSTITUTE(TRIM(C96),"*",""),".",""),"-","")," ",""),4,6),SUBSTITUTE(SUBSTITUTE(SUBSTITUTE(SUBSTITUTE(TRIM(C96),"*",""),".",""),"-","")," ","")))</f>
        <v/>
      </c>
      <c r="J96" s="28" t="str">
        <f aca="false">IF(OR(H96="",I96=""),"",H96&amp;"|"&amp;I96)</f>
        <v/>
      </c>
      <c r="K96" s="19" t="str">
        <f aca="false">IF(H96="","",IF(AND(J96&lt;&gt;"",COUNTIF(Pessoas!$J:$J,J96)&gt;0),"SIM",IF(COUNTIF(Pessoas!$H:$H,H96)&gt;0,"nome igual em Pessoas: confira o CPF","")))</f>
        <v/>
      </c>
      <c r="L96" s="27"/>
      <c r="M96" s="5"/>
    </row>
    <row r="97" customFormat="false" ht="15" hidden="false" customHeight="false" outlineLevel="0" collapsed="false">
      <c r="A97" s="27"/>
      <c r="B97" s="5"/>
      <c r="C97" s="27"/>
      <c r="D97" s="18"/>
      <c r="E97" s="14"/>
      <c r="F97" s="18"/>
      <c r="G97" s="19" t="str">
        <f aca="false">IF(A97="","",IFERROR(INDEX(Empresas!$B:$B,MATCH(A97,Empresas!$A:$A,0))&amp;"","cadastre o CNPJ em Empresas"))</f>
        <v/>
      </c>
      <c r="H97" s="28" t="str">
        <f aca="false">IF(B97="","",SUBSTITUTE(SUBSTITUTE(SUBSTITUTE(SUBSTITUTE(SUBSTITUTE(SUBSTITUTE(SUBSTITUTE(SUBSTITUTE(SUBSTITUTE(SUBSTITUTE(SUBSTITUTE(SUBSTITUTE(SUBSTITUTE(UPPER(TRIM(B97)),"Á","A"),"À","A"),"Â","A"),"Ã","A"),"É","E"),"Ê","E"),"Í","I"),"Ó","O"),"Ô","O"),"Õ","O"),"Ú","U"),"Ü","U"),"Ç","C"))</f>
        <v/>
      </c>
      <c r="I97" s="28" t="str">
        <f aca="false">IF(C97="","",IF(LEN(SUBSTITUTE(SUBSTITUTE(SUBSTITUTE(SUBSTITUTE(TRIM(C97),"*",""),".",""),"-","")," ",""))=11,MID(SUBSTITUTE(SUBSTITUTE(SUBSTITUTE(SUBSTITUTE(TRIM(C97),"*",""),".",""),"-","")," ",""),4,6),SUBSTITUTE(SUBSTITUTE(SUBSTITUTE(SUBSTITUTE(TRIM(C97),"*",""),".",""),"-","")," ","")))</f>
        <v/>
      </c>
      <c r="J97" s="28" t="str">
        <f aca="false">IF(OR(H97="",I97=""),"",H97&amp;"|"&amp;I97)</f>
        <v/>
      </c>
      <c r="K97" s="19" t="str">
        <f aca="false">IF(H97="","",IF(AND(J97&lt;&gt;"",COUNTIF(Pessoas!$J:$J,J97)&gt;0),"SIM",IF(COUNTIF(Pessoas!$H:$H,H97)&gt;0,"nome igual em Pessoas: confira o CPF","")))</f>
        <v/>
      </c>
      <c r="L97" s="27"/>
      <c r="M97" s="5"/>
    </row>
    <row r="98" customFormat="false" ht="15" hidden="false" customHeight="false" outlineLevel="0" collapsed="false">
      <c r="A98" s="27"/>
      <c r="B98" s="5"/>
      <c r="C98" s="27"/>
      <c r="D98" s="18"/>
      <c r="E98" s="14"/>
      <c r="F98" s="18"/>
      <c r="G98" s="19" t="str">
        <f aca="false">IF(A98="","",IFERROR(INDEX(Empresas!$B:$B,MATCH(A98,Empresas!$A:$A,0))&amp;"","cadastre o CNPJ em Empresas"))</f>
        <v/>
      </c>
      <c r="H98" s="28" t="str">
        <f aca="false">IF(B98="","",SUBSTITUTE(SUBSTITUTE(SUBSTITUTE(SUBSTITUTE(SUBSTITUTE(SUBSTITUTE(SUBSTITUTE(SUBSTITUTE(SUBSTITUTE(SUBSTITUTE(SUBSTITUTE(SUBSTITUTE(SUBSTITUTE(UPPER(TRIM(B98)),"Á","A"),"À","A"),"Â","A"),"Ã","A"),"É","E"),"Ê","E"),"Í","I"),"Ó","O"),"Ô","O"),"Õ","O"),"Ú","U"),"Ü","U"),"Ç","C"))</f>
        <v/>
      </c>
      <c r="I98" s="28" t="str">
        <f aca="false">IF(C98="","",IF(LEN(SUBSTITUTE(SUBSTITUTE(SUBSTITUTE(SUBSTITUTE(TRIM(C98),"*",""),".",""),"-","")," ",""))=11,MID(SUBSTITUTE(SUBSTITUTE(SUBSTITUTE(SUBSTITUTE(TRIM(C98),"*",""),".",""),"-","")," ",""),4,6),SUBSTITUTE(SUBSTITUTE(SUBSTITUTE(SUBSTITUTE(TRIM(C98),"*",""),".",""),"-","")," ","")))</f>
        <v/>
      </c>
      <c r="J98" s="28" t="str">
        <f aca="false">IF(OR(H98="",I98=""),"",H98&amp;"|"&amp;I98)</f>
        <v/>
      </c>
      <c r="K98" s="19" t="str">
        <f aca="false">IF(H98="","",IF(AND(J98&lt;&gt;"",COUNTIF(Pessoas!$J:$J,J98)&gt;0),"SIM",IF(COUNTIF(Pessoas!$H:$H,H98)&gt;0,"nome igual em Pessoas: confira o CPF","")))</f>
        <v/>
      </c>
      <c r="L98" s="27"/>
      <c r="M98" s="5"/>
    </row>
    <row r="99" customFormat="false" ht="15" hidden="false" customHeight="false" outlineLevel="0" collapsed="false">
      <c r="A99" s="27"/>
      <c r="B99" s="5"/>
      <c r="C99" s="27"/>
      <c r="D99" s="18"/>
      <c r="E99" s="14"/>
      <c r="F99" s="18"/>
      <c r="G99" s="19" t="str">
        <f aca="false">IF(A99="","",IFERROR(INDEX(Empresas!$B:$B,MATCH(A99,Empresas!$A:$A,0))&amp;"","cadastre o CNPJ em Empresas"))</f>
        <v/>
      </c>
      <c r="H99" s="28" t="str">
        <f aca="false">IF(B99="","",SUBSTITUTE(SUBSTITUTE(SUBSTITUTE(SUBSTITUTE(SUBSTITUTE(SUBSTITUTE(SUBSTITUTE(SUBSTITUTE(SUBSTITUTE(SUBSTITUTE(SUBSTITUTE(SUBSTITUTE(SUBSTITUTE(UPPER(TRIM(B99)),"Á","A"),"À","A"),"Â","A"),"Ã","A"),"É","E"),"Ê","E"),"Í","I"),"Ó","O"),"Ô","O"),"Õ","O"),"Ú","U"),"Ü","U"),"Ç","C"))</f>
        <v/>
      </c>
      <c r="I99" s="28" t="str">
        <f aca="false">IF(C99="","",IF(LEN(SUBSTITUTE(SUBSTITUTE(SUBSTITUTE(SUBSTITUTE(TRIM(C99),"*",""),".",""),"-","")," ",""))=11,MID(SUBSTITUTE(SUBSTITUTE(SUBSTITUTE(SUBSTITUTE(TRIM(C99),"*",""),".",""),"-","")," ",""),4,6),SUBSTITUTE(SUBSTITUTE(SUBSTITUTE(SUBSTITUTE(TRIM(C99),"*",""),".",""),"-","")," ","")))</f>
        <v/>
      </c>
      <c r="J99" s="28" t="str">
        <f aca="false">IF(OR(H99="",I99=""),"",H99&amp;"|"&amp;I99)</f>
        <v/>
      </c>
      <c r="K99" s="19" t="str">
        <f aca="false">IF(H99="","",IF(AND(J99&lt;&gt;"",COUNTIF(Pessoas!$J:$J,J99)&gt;0),"SIM",IF(COUNTIF(Pessoas!$H:$H,H99)&gt;0,"nome igual em Pessoas: confira o CPF","")))</f>
        <v/>
      </c>
      <c r="L99" s="27"/>
      <c r="M99" s="5"/>
    </row>
    <row r="100" customFormat="false" ht="15" hidden="false" customHeight="false" outlineLevel="0" collapsed="false">
      <c r="A100" s="27"/>
      <c r="B100" s="5"/>
      <c r="C100" s="27"/>
      <c r="D100" s="18"/>
      <c r="E100" s="14"/>
      <c r="F100" s="18"/>
      <c r="G100" s="19" t="str">
        <f aca="false">IF(A100="","",IFERROR(INDEX(Empresas!$B:$B,MATCH(A100,Empresas!$A:$A,0))&amp;"","cadastre o CNPJ em Empresas"))</f>
        <v/>
      </c>
      <c r="H100" s="28" t="str">
        <f aca="false">IF(B100="","",SUBSTITUTE(SUBSTITUTE(SUBSTITUTE(SUBSTITUTE(SUBSTITUTE(SUBSTITUTE(SUBSTITUTE(SUBSTITUTE(SUBSTITUTE(SUBSTITUTE(SUBSTITUTE(SUBSTITUTE(SUBSTITUTE(UPPER(TRIM(B100)),"Á","A"),"À","A"),"Â","A"),"Ã","A"),"É","E"),"Ê","E"),"Í","I"),"Ó","O"),"Ô","O"),"Õ","O"),"Ú","U"),"Ü","U"),"Ç","C"))</f>
        <v/>
      </c>
      <c r="I100" s="28" t="str">
        <f aca="false">IF(C100="","",IF(LEN(SUBSTITUTE(SUBSTITUTE(SUBSTITUTE(SUBSTITUTE(TRIM(C100),"*",""),".",""),"-","")," ",""))=11,MID(SUBSTITUTE(SUBSTITUTE(SUBSTITUTE(SUBSTITUTE(TRIM(C100),"*",""),".",""),"-","")," ",""),4,6),SUBSTITUTE(SUBSTITUTE(SUBSTITUTE(SUBSTITUTE(TRIM(C100),"*",""),".",""),"-","")," ","")))</f>
        <v/>
      </c>
      <c r="J100" s="28" t="str">
        <f aca="false">IF(OR(H100="",I100=""),"",H100&amp;"|"&amp;I100)</f>
        <v/>
      </c>
      <c r="K100" s="19" t="str">
        <f aca="false">IF(H100="","",IF(AND(J100&lt;&gt;"",COUNTIF(Pessoas!$J:$J,J100)&gt;0),"SIM",IF(COUNTIF(Pessoas!$H:$H,H100)&gt;0,"nome igual em Pessoas: confira o CPF","")))</f>
        <v/>
      </c>
      <c r="L100" s="27"/>
      <c r="M100" s="5"/>
    </row>
    <row r="101" customFormat="false" ht="15" hidden="false" customHeight="false" outlineLevel="0" collapsed="false">
      <c r="A101" s="27"/>
      <c r="B101" s="5"/>
      <c r="C101" s="27"/>
      <c r="D101" s="18"/>
      <c r="E101" s="14"/>
      <c r="F101" s="18"/>
      <c r="G101" s="19" t="str">
        <f aca="false">IF(A101="","",IFERROR(INDEX(Empresas!$B:$B,MATCH(A101,Empresas!$A:$A,0))&amp;"","cadastre o CNPJ em Empresas"))</f>
        <v/>
      </c>
      <c r="H101" s="28" t="str">
        <f aca="false">IF(B101="","",SUBSTITUTE(SUBSTITUTE(SUBSTITUTE(SUBSTITUTE(SUBSTITUTE(SUBSTITUTE(SUBSTITUTE(SUBSTITUTE(SUBSTITUTE(SUBSTITUTE(SUBSTITUTE(SUBSTITUTE(SUBSTITUTE(UPPER(TRIM(B101)),"Á","A"),"À","A"),"Â","A"),"Ã","A"),"É","E"),"Ê","E"),"Í","I"),"Ó","O"),"Ô","O"),"Õ","O"),"Ú","U"),"Ü","U"),"Ç","C"))</f>
        <v/>
      </c>
      <c r="I101" s="28" t="str">
        <f aca="false">IF(C101="","",IF(LEN(SUBSTITUTE(SUBSTITUTE(SUBSTITUTE(SUBSTITUTE(TRIM(C101),"*",""),".",""),"-","")," ",""))=11,MID(SUBSTITUTE(SUBSTITUTE(SUBSTITUTE(SUBSTITUTE(TRIM(C101),"*",""),".",""),"-","")," ",""),4,6),SUBSTITUTE(SUBSTITUTE(SUBSTITUTE(SUBSTITUTE(TRIM(C101),"*",""),".",""),"-","")," ","")))</f>
        <v/>
      </c>
      <c r="J101" s="28" t="str">
        <f aca="false">IF(OR(H101="",I101=""),"",H101&amp;"|"&amp;I101)</f>
        <v/>
      </c>
      <c r="K101" s="19" t="str">
        <f aca="false">IF(H101="","",IF(AND(J101&lt;&gt;"",COUNTIF(Pessoas!$J:$J,J101)&gt;0),"SIM",IF(COUNTIF(Pessoas!$H:$H,H101)&gt;0,"nome igual em Pessoas: confira o CPF","")))</f>
        <v/>
      </c>
      <c r="L101" s="27"/>
      <c r="M101" s="5"/>
    </row>
    <row r="102" customFormat="false" ht="15" hidden="false" customHeight="false" outlineLevel="0" collapsed="false">
      <c r="A102" s="27"/>
      <c r="B102" s="5"/>
      <c r="C102" s="27"/>
      <c r="D102" s="18"/>
      <c r="E102" s="14"/>
      <c r="F102" s="18"/>
      <c r="G102" s="19" t="str">
        <f aca="false">IF(A102="","",IFERROR(INDEX(Empresas!$B:$B,MATCH(A102,Empresas!$A:$A,0))&amp;"","cadastre o CNPJ em Empresas"))</f>
        <v/>
      </c>
      <c r="H102" s="28" t="str">
        <f aca="false">IF(B102="","",SUBSTITUTE(SUBSTITUTE(SUBSTITUTE(SUBSTITUTE(SUBSTITUTE(SUBSTITUTE(SUBSTITUTE(SUBSTITUTE(SUBSTITUTE(SUBSTITUTE(SUBSTITUTE(SUBSTITUTE(SUBSTITUTE(UPPER(TRIM(B102)),"Á","A"),"À","A"),"Â","A"),"Ã","A"),"É","E"),"Ê","E"),"Í","I"),"Ó","O"),"Ô","O"),"Õ","O"),"Ú","U"),"Ü","U"),"Ç","C"))</f>
        <v/>
      </c>
      <c r="I102" s="28" t="str">
        <f aca="false">IF(C102="","",IF(LEN(SUBSTITUTE(SUBSTITUTE(SUBSTITUTE(SUBSTITUTE(TRIM(C102),"*",""),".",""),"-","")," ",""))=11,MID(SUBSTITUTE(SUBSTITUTE(SUBSTITUTE(SUBSTITUTE(TRIM(C102),"*",""),".",""),"-","")," ",""),4,6),SUBSTITUTE(SUBSTITUTE(SUBSTITUTE(SUBSTITUTE(TRIM(C102),"*",""),".",""),"-","")," ","")))</f>
        <v/>
      </c>
      <c r="J102" s="28" t="str">
        <f aca="false">IF(OR(H102="",I102=""),"",H102&amp;"|"&amp;I102)</f>
        <v/>
      </c>
      <c r="K102" s="19" t="str">
        <f aca="false">IF(H102="","",IF(AND(J102&lt;&gt;"",COUNTIF(Pessoas!$J:$J,J102)&gt;0),"SIM",IF(COUNTIF(Pessoas!$H:$H,H102)&gt;0,"nome igual em Pessoas: confira o CPF","")))</f>
        <v/>
      </c>
      <c r="L102" s="27"/>
      <c r="M102" s="5"/>
    </row>
    <row r="103" customFormat="false" ht="15" hidden="false" customHeight="false" outlineLevel="0" collapsed="false">
      <c r="A103" s="27"/>
      <c r="B103" s="5"/>
      <c r="C103" s="27"/>
      <c r="D103" s="18"/>
      <c r="E103" s="14"/>
      <c r="F103" s="18"/>
      <c r="G103" s="19" t="str">
        <f aca="false">IF(A103="","",IFERROR(INDEX(Empresas!$B:$B,MATCH(A103,Empresas!$A:$A,0))&amp;"","cadastre o CNPJ em Empresas"))</f>
        <v/>
      </c>
      <c r="H103" s="28" t="str">
        <f aca="false">IF(B103="","",SUBSTITUTE(SUBSTITUTE(SUBSTITUTE(SUBSTITUTE(SUBSTITUTE(SUBSTITUTE(SUBSTITUTE(SUBSTITUTE(SUBSTITUTE(SUBSTITUTE(SUBSTITUTE(SUBSTITUTE(SUBSTITUTE(UPPER(TRIM(B103)),"Á","A"),"À","A"),"Â","A"),"Ã","A"),"É","E"),"Ê","E"),"Í","I"),"Ó","O"),"Ô","O"),"Õ","O"),"Ú","U"),"Ü","U"),"Ç","C"))</f>
        <v/>
      </c>
      <c r="I103" s="28" t="str">
        <f aca="false">IF(C103="","",IF(LEN(SUBSTITUTE(SUBSTITUTE(SUBSTITUTE(SUBSTITUTE(TRIM(C103),"*",""),".",""),"-","")," ",""))=11,MID(SUBSTITUTE(SUBSTITUTE(SUBSTITUTE(SUBSTITUTE(TRIM(C103),"*",""),".",""),"-","")," ",""),4,6),SUBSTITUTE(SUBSTITUTE(SUBSTITUTE(SUBSTITUTE(TRIM(C103),"*",""),".",""),"-","")," ","")))</f>
        <v/>
      </c>
      <c r="J103" s="28" t="str">
        <f aca="false">IF(OR(H103="",I103=""),"",H103&amp;"|"&amp;I103)</f>
        <v/>
      </c>
      <c r="K103" s="19" t="str">
        <f aca="false">IF(H103="","",IF(AND(J103&lt;&gt;"",COUNTIF(Pessoas!$J:$J,J103)&gt;0),"SIM",IF(COUNTIF(Pessoas!$H:$H,H103)&gt;0,"nome igual em Pessoas: confira o CPF","")))</f>
        <v/>
      </c>
      <c r="L103" s="27"/>
      <c r="M103" s="5"/>
    </row>
    <row r="104" customFormat="false" ht="15" hidden="false" customHeight="false" outlineLevel="0" collapsed="false">
      <c r="A104" s="27"/>
      <c r="B104" s="5"/>
      <c r="C104" s="27"/>
      <c r="D104" s="18"/>
      <c r="E104" s="14"/>
      <c r="F104" s="18"/>
      <c r="G104" s="19" t="str">
        <f aca="false">IF(A104="","",IFERROR(INDEX(Empresas!$B:$B,MATCH(A104,Empresas!$A:$A,0))&amp;"","cadastre o CNPJ em Empresas"))</f>
        <v/>
      </c>
      <c r="H104" s="28" t="str">
        <f aca="false">IF(B104="","",SUBSTITUTE(SUBSTITUTE(SUBSTITUTE(SUBSTITUTE(SUBSTITUTE(SUBSTITUTE(SUBSTITUTE(SUBSTITUTE(SUBSTITUTE(SUBSTITUTE(SUBSTITUTE(SUBSTITUTE(SUBSTITUTE(UPPER(TRIM(B104)),"Á","A"),"À","A"),"Â","A"),"Ã","A"),"É","E"),"Ê","E"),"Í","I"),"Ó","O"),"Ô","O"),"Õ","O"),"Ú","U"),"Ü","U"),"Ç","C"))</f>
        <v/>
      </c>
      <c r="I104" s="28" t="str">
        <f aca="false">IF(C104="","",IF(LEN(SUBSTITUTE(SUBSTITUTE(SUBSTITUTE(SUBSTITUTE(TRIM(C104),"*",""),".",""),"-","")," ",""))=11,MID(SUBSTITUTE(SUBSTITUTE(SUBSTITUTE(SUBSTITUTE(TRIM(C104),"*",""),".",""),"-","")," ",""),4,6),SUBSTITUTE(SUBSTITUTE(SUBSTITUTE(SUBSTITUTE(TRIM(C104),"*",""),".",""),"-","")," ","")))</f>
        <v/>
      </c>
      <c r="J104" s="28" t="str">
        <f aca="false">IF(OR(H104="",I104=""),"",H104&amp;"|"&amp;I104)</f>
        <v/>
      </c>
      <c r="K104" s="19" t="str">
        <f aca="false">IF(H104="","",IF(AND(J104&lt;&gt;"",COUNTIF(Pessoas!$J:$J,J104)&gt;0),"SIM",IF(COUNTIF(Pessoas!$H:$H,H104)&gt;0,"nome igual em Pessoas: confira o CPF","")))</f>
        <v/>
      </c>
      <c r="L104" s="27"/>
      <c r="M104" s="5"/>
    </row>
    <row r="105" customFormat="false" ht="15" hidden="false" customHeight="false" outlineLevel="0" collapsed="false">
      <c r="A105" s="27"/>
      <c r="B105" s="5"/>
      <c r="C105" s="27"/>
      <c r="D105" s="18"/>
      <c r="E105" s="14"/>
      <c r="F105" s="18"/>
      <c r="G105" s="19" t="str">
        <f aca="false">IF(A105="","",IFERROR(INDEX(Empresas!$B:$B,MATCH(A105,Empresas!$A:$A,0))&amp;"","cadastre o CNPJ em Empresas"))</f>
        <v/>
      </c>
      <c r="H105" s="28" t="str">
        <f aca="false">IF(B105="","",SUBSTITUTE(SUBSTITUTE(SUBSTITUTE(SUBSTITUTE(SUBSTITUTE(SUBSTITUTE(SUBSTITUTE(SUBSTITUTE(SUBSTITUTE(SUBSTITUTE(SUBSTITUTE(SUBSTITUTE(SUBSTITUTE(UPPER(TRIM(B105)),"Á","A"),"À","A"),"Â","A"),"Ã","A"),"É","E"),"Ê","E"),"Í","I"),"Ó","O"),"Ô","O"),"Õ","O"),"Ú","U"),"Ü","U"),"Ç","C"))</f>
        <v/>
      </c>
      <c r="I105" s="28" t="str">
        <f aca="false">IF(C105="","",IF(LEN(SUBSTITUTE(SUBSTITUTE(SUBSTITUTE(SUBSTITUTE(TRIM(C105),"*",""),".",""),"-","")," ",""))=11,MID(SUBSTITUTE(SUBSTITUTE(SUBSTITUTE(SUBSTITUTE(TRIM(C105),"*",""),".",""),"-","")," ",""),4,6),SUBSTITUTE(SUBSTITUTE(SUBSTITUTE(SUBSTITUTE(TRIM(C105),"*",""),".",""),"-","")," ","")))</f>
        <v/>
      </c>
      <c r="J105" s="28" t="str">
        <f aca="false">IF(OR(H105="",I105=""),"",H105&amp;"|"&amp;I105)</f>
        <v/>
      </c>
      <c r="K105" s="19" t="str">
        <f aca="false">IF(H105="","",IF(AND(J105&lt;&gt;"",COUNTIF(Pessoas!$J:$J,J105)&gt;0),"SIM",IF(COUNTIF(Pessoas!$H:$H,H105)&gt;0,"nome igual em Pessoas: confira o CPF","")))</f>
        <v/>
      </c>
      <c r="L105" s="27"/>
      <c r="M105" s="5"/>
    </row>
    <row r="106" customFormat="false" ht="15" hidden="false" customHeight="false" outlineLevel="0" collapsed="false">
      <c r="A106" s="27"/>
      <c r="B106" s="5"/>
      <c r="C106" s="27"/>
      <c r="D106" s="18"/>
      <c r="E106" s="14"/>
      <c r="F106" s="18"/>
      <c r="G106" s="19" t="str">
        <f aca="false">IF(A106="","",IFERROR(INDEX(Empresas!$B:$B,MATCH(A106,Empresas!$A:$A,0))&amp;"","cadastre o CNPJ em Empresas"))</f>
        <v/>
      </c>
      <c r="H106" s="28" t="str">
        <f aca="false">IF(B106="","",SUBSTITUTE(SUBSTITUTE(SUBSTITUTE(SUBSTITUTE(SUBSTITUTE(SUBSTITUTE(SUBSTITUTE(SUBSTITUTE(SUBSTITUTE(SUBSTITUTE(SUBSTITUTE(SUBSTITUTE(SUBSTITUTE(UPPER(TRIM(B106)),"Á","A"),"À","A"),"Â","A"),"Ã","A"),"É","E"),"Ê","E"),"Í","I"),"Ó","O"),"Ô","O"),"Õ","O"),"Ú","U"),"Ü","U"),"Ç","C"))</f>
        <v/>
      </c>
      <c r="I106" s="28" t="str">
        <f aca="false">IF(C106="","",IF(LEN(SUBSTITUTE(SUBSTITUTE(SUBSTITUTE(SUBSTITUTE(TRIM(C106),"*",""),".",""),"-","")," ",""))=11,MID(SUBSTITUTE(SUBSTITUTE(SUBSTITUTE(SUBSTITUTE(TRIM(C106),"*",""),".",""),"-","")," ",""),4,6),SUBSTITUTE(SUBSTITUTE(SUBSTITUTE(SUBSTITUTE(TRIM(C106),"*",""),".",""),"-","")," ","")))</f>
        <v/>
      </c>
      <c r="J106" s="28" t="str">
        <f aca="false">IF(OR(H106="",I106=""),"",H106&amp;"|"&amp;I106)</f>
        <v/>
      </c>
      <c r="K106" s="19" t="str">
        <f aca="false">IF(H106="","",IF(AND(J106&lt;&gt;"",COUNTIF(Pessoas!$J:$J,J106)&gt;0),"SIM",IF(COUNTIF(Pessoas!$H:$H,H106)&gt;0,"nome igual em Pessoas: confira o CPF","")))</f>
        <v/>
      </c>
      <c r="L106" s="27"/>
      <c r="M106" s="5"/>
    </row>
    <row r="107" customFormat="false" ht="15" hidden="false" customHeight="false" outlineLevel="0" collapsed="false">
      <c r="A107" s="27"/>
      <c r="B107" s="5"/>
      <c r="C107" s="27"/>
      <c r="D107" s="18"/>
      <c r="E107" s="14"/>
      <c r="F107" s="18"/>
      <c r="G107" s="19" t="str">
        <f aca="false">IF(A107="","",IFERROR(INDEX(Empresas!$B:$B,MATCH(A107,Empresas!$A:$A,0))&amp;"","cadastre o CNPJ em Empresas"))</f>
        <v/>
      </c>
      <c r="H107" s="28" t="str">
        <f aca="false">IF(B107="","",SUBSTITUTE(SUBSTITUTE(SUBSTITUTE(SUBSTITUTE(SUBSTITUTE(SUBSTITUTE(SUBSTITUTE(SUBSTITUTE(SUBSTITUTE(SUBSTITUTE(SUBSTITUTE(SUBSTITUTE(SUBSTITUTE(UPPER(TRIM(B107)),"Á","A"),"À","A"),"Â","A"),"Ã","A"),"É","E"),"Ê","E"),"Í","I"),"Ó","O"),"Ô","O"),"Õ","O"),"Ú","U"),"Ü","U"),"Ç","C"))</f>
        <v/>
      </c>
      <c r="I107" s="28" t="str">
        <f aca="false">IF(C107="","",IF(LEN(SUBSTITUTE(SUBSTITUTE(SUBSTITUTE(SUBSTITUTE(TRIM(C107),"*",""),".",""),"-","")," ",""))=11,MID(SUBSTITUTE(SUBSTITUTE(SUBSTITUTE(SUBSTITUTE(TRIM(C107),"*",""),".",""),"-","")," ",""),4,6),SUBSTITUTE(SUBSTITUTE(SUBSTITUTE(SUBSTITUTE(TRIM(C107),"*",""),".",""),"-","")," ","")))</f>
        <v/>
      </c>
      <c r="J107" s="28" t="str">
        <f aca="false">IF(OR(H107="",I107=""),"",H107&amp;"|"&amp;I107)</f>
        <v/>
      </c>
      <c r="K107" s="19" t="str">
        <f aca="false">IF(H107="","",IF(AND(J107&lt;&gt;"",COUNTIF(Pessoas!$J:$J,J107)&gt;0),"SIM",IF(COUNTIF(Pessoas!$H:$H,H107)&gt;0,"nome igual em Pessoas: confira o CPF","")))</f>
        <v/>
      </c>
      <c r="L107" s="27"/>
      <c r="M107" s="5"/>
    </row>
    <row r="108" customFormat="false" ht="15" hidden="false" customHeight="false" outlineLevel="0" collapsed="false">
      <c r="A108" s="27"/>
      <c r="B108" s="5"/>
      <c r="C108" s="27"/>
      <c r="D108" s="18"/>
      <c r="E108" s="14"/>
      <c r="F108" s="18"/>
      <c r="G108" s="19" t="str">
        <f aca="false">IF(A108="","",IFERROR(INDEX(Empresas!$B:$B,MATCH(A108,Empresas!$A:$A,0))&amp;"","cadastre o CNPJ em Empresas"))</f>
        <v/>
      </c>
      <c r="H108" s="28" t="str">
        <f aca="false">IF(B108="","",SUBSTITUTE(SUBSTITUTE(SUBSTITUTE(SUBSTITUTE(SUBSTITUTE(SUBSTITUTE(SUBSTITUTE(SUBSTITUTE(SUBSTITUTE(SUBSTITUTE(SUBSTITUTE(SUBSTITUTE(SUBSTITUTE(UPPER(TRIM(B108)),"Á","A"),"À","A"),"Â","A"),"Ã","A"),"É","E"),"Ê","E"),"Í","I"),"Ó","O"),"Ô","O"),"Õ","O"),"Ú","U"),"Ü","U"),"Ç","C"))</f>
        <v/>
      </c>
      <c r="I108" s="28" t="str">
        <f aca="false">IF(C108="","",IF(LEN(SUBSTITUTE(SUBSTITUTE(SUBSTITUTE(SUBSTITUTE(TRIM(C108),"*",""),".",""),"-","")," ",""))=11,MID(SUBSTITUTE(SUBSTITUTE(SUBSTITUTE(SUBSTITUTE(TRIM(C108),"*",""),".",""),"-","")," ",""),4,6),SUBSTITUTE(SUBSTITUTE(SUBSTITUTE(SUBSTITUTE(TRIM(C108),"*",""),".",""),"-","")," ","")))</f>
        <v/>
      </c>
      <c r="J108" s="28" t="str">
        <f aca="false">IF(OR(H108="",I108=""),"",H108&amp;"|"&amp;I108)</f>
        <v/>
      </c>
      <c r="K108" s="19" t="str">
        <f aca="false">IF(H108="","",IF(AND(J108&lt;&gt;"",COUNTIF(Pessoas!$J:$J,J108)&gt;0),"SIM",IF(COUNTIF(Pessoas!$H:$H,H108)&gt;0,"nome igual em Pessoas: confira o CPF","")))</f>
        <v/>
      </c>
      <c r="L108" s="27"/>
      <c r="M108" s="5"/>
    </row>
    <row r="109" customFormat="false" ht="15" hidden="false" customHeight="false" outlineLevel="0" collapsed="false">
      <c r="A109" s="27"/>
      <c r="B109" s="5"/>
      <c r="C109" s="27"/>
      <c r="D109" s="18"/>
      <c r="E109" s="14"/>
      <c r="F109" s="18"/>
      <c r="G109" s="19" t="str">
        <f aca="false">IF(A109="","",IFERROR(INDEX(Empresas!$B:$B,MATCH(A109,Empresas!$A:$A,0))&amp;"","cadastre o CNPJ em Empresas"))</f>
        <v/>
      </c>
      <c r="H109" s="28" t="str">
        <f aca="false">IF(B109="","",SUBSTITUTE(SUBSTITUTE(SUBSTITUTE(SUBSTITUTE(SUBSTITUTE(SUBSTITUTE(SUBSTITUTE(SUBSTITUTE(SUBSTITUTE(SUBSTITUTE(SUBSTITUTE(SUBSTITUTE(SUBSTITUTE(UPPER(TRIM(B109)),"Á","A"),"À","A"),"Â","A"),"Ã","A"),"É","E"),"Ê","E"),"Í","I"),"Ó","O"),"Ô","O"),"Õ","O"),"Ú","U"),"Ü","U"),"Ç","C"))</f>
        <v/>
      </c>
      <c r="I109" s="28" t="str">
        <f aca="false">IF(C109="","",IF(LEN(SUBSTITUTE(SUBSTITUTE(SUBSTITUTE(SUBSTITUTE(TRIM(C109),"*",""),".",""),"-","")," ",""))=11,MID(SUBSTITUTE(SUBSTITUTE(SUBSTITUTE(SUBSTITUTE(TRIM(C109),"*",""),".",""),"-","")," ",""),4,6),SUBSTITUTE(SUBSTITUTE(SUBSTITUTE(SUBSTITUTE(TRIM(C109),"*",""),".",""),"-","")," ","")))</f>
        <v/>
      </c>
      <c r="J109" s="28" t="str">
        <f aca="false">IF(OR(H109="",I109=""),"",H109&amp;"|"&amp;I109)</f>
        <v/>
      </c>
      <c r="K109" s="19" t="str">
        <f aca="false">IF(H109="","",IF(AND(J109&lt;&gt;"",COUNTIF(Pessoas!$J:$J,J109)&gt;0),"SIM",IF(COUNTIF(Pessoas!$H:$H,H109)&gt;0,"nome igual em Pessoas: confira o CPF","")))</f>
        <v/>
      </c>
      <c r="L109" s="27"/>
      <c r="M109" s="5"/>
    </row>
    <row r="110" customFormat="false" ht="15" hidden="false" customHeight="false" outlineLevel="0" collapsed="false">
      <c r="A110" s="27"/>
      <c r="B110" s="5"/>
      <c r="C110" s="27"/>
      <c r="D110" s="18"/>
      <c r="E110" s="14"/>
      <c r="F110" s="18"/>
      <c r="G110" s="19" t="str">
        <f aca="false">IF(A110="","",IFERROR(INDEX(Empresas!$B:$B,MATCH(A110,Empresas!$A:$A,0))&amp;"","cadastre o CNPJ em Empresas"))</f>
        <v/>
      </c>
      <c r="H110" s="28" t="str">
        <f aca="false">IF(B110="","",SUBSTITUTE(SUBSTITUTE(SUBSTITUTE(SUBSTITUTE(SUBSTITUTE(SUBSTITUTE(SUBSTITUTE(SUBSTITUTE(SUBSTITUTE(SUBSTITUTE(SUBSTITUTE(SUBSTITUTE(SUBSTITUTE(UPPER(TRIM(B110)),"Á","A"),"À","A"),"Â","A"),"Ã","A"),"É","E"),"Ê","E"),"Í","I"),"Ó","O"),"Ô","O"),"Õ","O"),"Ú","U"),"Ü","U"),"Ç","C"))</f>
        <v/>
      </c>
      <c r="I110" s="28" t="str">
        <f aca="false">IF(C110="","",IF(LEN(SUBSTITUTE(SUBSTITUTE(SUBSTITUTE(SUBSTITUTE(TRIM(C110),"*",""),".",""),"-","")," ",""))=11,MID(SUBSTITUTE(SUBSTITUTE(SUBSTITUTE(SUBSTITUTE(TRIM(C110),"*",""),".",""),"-","")," ",""),4,6),SUBSTITUTE(SUBSTITUTE(SUBSTITUTE(SUBSTITUTE(TRIM(C110),"*",""),".",""),"-","")," ","")))</f>
        <v/>
      </c>
      <c r="J110" s="28" t="str">
        <f aca="false">IF(OR(H110="",I110=""),"",H110&amp;"|"&amp;I110)</f>
        <v/>
      </c>
      <c r="K110" s="19" t="str">
        <f aca="false">IF(H110="","",IF(AND(J110&lt;&gt;"",COUNTIF(Pessoas!$J:$J,J110)&gt;0),"SIM",IF(COUNTIF(Pessoas!$H:$H,H110)&gt;0,"nome igual em Pessoas: confira o CPF","")))</f>
        <v/>
      </c>
      <c r="L110" s="27"/>
      <c r="M110" s="5"/>
    </row>
    <row r="111" customFormat="false" ht="15" hidden="false" customHeight="false" outlineLevel="0" collapsed="false">
      <c r="A111" s="27"/>
      <c r="B111" s="5"/>
      <c r="C111" s="27"/>
      <c r="D111" s="18"/>
      <c r="E111" s="14"/>
      <c r="F111" s="18"/>
      <c r="G111" s="19" t="str">
        <f aca="false">IF(A111="","",IFERROR(INDEX(Empresas!$B:$B,MATCH(A111,Empresas!$A:$A,0))&amp;"","cadastre o CNPJ em Empresas"))</f>
        <v/>
      </c>
      <c r="H111" s="28" t="str">
        <f aca="false">IF(B111="","",SUBSTITUTE(SUBSTITUTE(SUBSTITUTE(SUBSTITUTE(SUBSTITUTE(SUBSTITUTE(SUBSTITUTE(SUBSTITUTE(SUBSTITUTE(SUBSTITUTE(SUBSTITUTE(SUBSTITUTE(SUBSTITUTE(UPPER(TRIM(B111)),"Á","A"),"À","A"),"Â","A"),"Ã","A"),"É","E"),"Ê","E"),"Í","I"),"Ó","O"),"Ô","O"),"Õ","O"),"Ú","U"),"Ü","U"),"Ç","C"))</f>
        <v/>
      </c>
      <c r="I111" s="28" t="str">
        <f aca="false">IF(C111="","",IF(LEN(SUBSTITUTE(SUBSTITUTE(SUBSTITUTE(SUBSTITUTE(TRIM(C111),"*",""),".",""),"-","")," ",""))=11,MID(SUBSTITUTE(SUBSTITUTE(SUBSTITUTE(SUBSTITUTE(TRIM(C111),"*",""),".",""),"-","")," ",""),4,6),SUBSTITUTE(SUBSTITUTE(SUBSTITUTE(SUBSTITUTE(TRIM(C111),"*",""),".",""),"-","")," ","")))</f>
        <v/>
      </c>
      <c r="J111" s="28" t="str">
        <f aca="false">IF(OR(H111="",I111=""),"",H111&amp;"|"&amp;I111)</f>
        <v/>
      </c>
      <c r="K111" s="19" t="str">
        <f aca="false">IF(H111="","",IF(AND(J111&lt;&gt;"",COUNTIF(Pessoas!$J:$J,J111)&gt;0),"SIM",IF(COUNTIF(Pessoas!$H:$H,H111)&gt;0,"nome igual em Pessoas: confira o CPF","")))</f>
        <v/>
      </c>
      <c r="L111" s="27"/>
      <c r="M111" s="5"/>
    </row>
    <row r="112" customFormat="false" ht="15" hidden="false" customHeight="false" outlineLevel="0" collapsed="false">
      <c r="A112" s="27"/>
      <c r="B112" s="5"/>
      <c r="C112" s="27"/>
      <c r="D112" s="18"/>
      <c r="E112" s="14"/>
      <c r="F112" s="18"/>
      <c r="G112" s="19" t="str">
        <f aca="false">IF(A112="","",IFERROR(INDEX(Empresas!$B:$B,MATCH(A112,Empresas!$A:$A,0))&amp;"","cadastre o CNPJ em Empresas"))</f>
        <v/>
      </c>
      <c r="H112" s="28" t="str">
        <f aca="false">IF(B112="","",SUBSTITUTE(SUBSTITUTE(SUBSTITUTE(SUBSTITUTE(SUBSTITUTE(SUBSTITUTE(SUBSTITUTE(SUBSTITUTE(SUBSTITUTE(SUBSTITUTE(SUBSTITUTE(SUBSTITUTE(SUBSTITUTE(UPPER(TRIM(B112)),"Á","A"),"À","A"),"Â","A"),"Ã","A"),"É","E"),"Ê","E"),"Í","I"),"Ó","O"),"Ô","O"),"Õ","O"),"Ú","U"),"Ü","U"),"Ç","C"))</f>
        <v/>
      </c>
      <c r="I112" s="28" t="str">
        <f aca="false">IF(C112="","",IF(LEN(SUBSTITUTE(SUBSTITUTE(SUBSTITUTE(SUBSTITUTE(TRIM(C112),"*",""),".",""),"-","")," ",""))=11,MID(SUBSTITUTE(SUBSTITUTE(SUBSTITUTE(SUBSTITUTE(TRIM(C112),"*",""),".",""),"-","")," ",""),4,6),SUBSTITUTE(SUBSTITUTE(SUBSTITUTE(SUBSTITUTE(TRIM(C112),"*",""),".",""),"-","")," ","")))</f>
        <v/>
      </c>
      <c r="J112" s="28" t="str">
        <f aca="false">IF(OR(H112="",I112=""),"",H112&amp;"|"&amp;I112)</f>
        <v/>
      </c>
      <c r="K112" s="19" t="str">
        <f aca="false">IF(H112="","",IF(AND(J112&lt;&gt;"",COUNTIF(Pessoas!$J:$J,J112)&gt;0),"SIM",IF(COUNTIF(Pessoas!$H:$H,H112)&gt;0,"nome igual em Pessoas: confira o CPF","")))</f>
        <v/>
      </c>
      <c r="L112" s="27"/>
      <c r="M112" s="5"/>
    </row>
    <row r="113" customFormat="false" ht="15" hidden="false" customHeight="false" outlineLevel="0" collapsed="false">
      <c r="A113" s="27"/>
      <c r="B113" s="5"/>
      <c r="C113" s="27"/>
      <c r="D113" s="18"/>
      <c r="E113" s="14"/>
      <c r="F113" s="18"/>
      <c r="G113" s="19" t="str">
        <f aca="false">IF(A113="","",IFERROR(INDEX(Empresas!$B:$B,MATCH(A113,Empresas!$A:$A,0))&amp;"","cadastre o CNPJ em Empresas"))</f>
        <v/>
      </c>
      <c r="H113" s="28" t="str">
        <f aca="false">IF(B113="","",SUBSTITUTE(SUBSTITUTE(SUBSTITUTE(SUBSTITUTE(SUBSTITUTE(SUBSTITUTE(SUBSTITUTE(SUBSTITUTE(SUBSTITUTE(SUBSTITUTE(SUBSTITUTE(SUBSTITUTE(SUBSTITUTE(UPPER(TRIM(B113)),"Á","A"),"À","A"),"Â","A"),"Ã","A"),"É","E"),"Ê","E"),"Í","I"),"Ó","O"),"Ô","O"),"Õ","O"),"Ú","U"),"Ü","U"),"Ç","C"))</f>
        <v/>
      </c>
      <c r="I113" s="28" t="str">
        <f aca="false">IF(C113="","",IF(LEN(SUBSTITUTE(SUBSTITUTE(SUBSTITUTE(SUBSTITUTE(TRIM(C113),"*",""),".",""),"-","")," ",""))=11,MID(SUBSTITUTE(SUBSTITUTE(SUBSTITUTE(SUBSTITUTE(TRIM(C113),"*",""),".",""),"-","")," ",""),4,6),SUBSTITUTE(SUBSTITUTE(SUBSTITUTE(SUBSTITUTE(TRIM(C113),"*",""),".",""),"-","")," ","")))</f>
        <v/>
      </c>
      <c r="J113" s="28" t="str">
        <f aca="false">IF(OR(H113="",I113=""),"",H113&amp;"|"&amp;I113)</f>
        <v/>
      </c>
      <c r="K113" s="19" t="str">
        <f aca="false">IF(H113="","",IF(AND(J113&lt;&gt;"",COUNTIF(Pessoas!$J:$J,J113)&gt;0),"SIM",IF(COUNTIF(Pessoas!$H:$H,H113)&gt;0,"nome igual em Pessoas: confira o CPF","")))</f>
        <v/>
      </c>
      <c r="L113" s="27"/>
      <c r="M113" s="5"/>
    </row>
    <row r="114" customFormat="false" ht="15" hidden="false" customHeight="false" outlineLevel="0" collapsed="false">
      <c r="A114" s="27"/>
      <c r="B114" s="5"/>
      <c r="C114" s="27"/>
      <c r="D114" s="18"/>
      <c r="E114" s="14"/>
      <c r="F114" s="18"/>
      <c r="G114" s="19" t="str">
        <f aca="false">IF(A114="","",IFERROR(INDEX(Empresas!$B:$B,MATCH(A114,Empresas!$A:$A,0))&amp;"","cadastre o CNPJ em Empresas"))</f>
        <v/>
      </c>
      <c r="H114" s="28" t="str">
        <f aca="false">IF(B114="","",SUBSTITUTE(SUBSTITUTE(SUBSTITUTE(SUBSTITUTE(SUBSTITUTE(SUBSTITUTE(SUBSTITUTE(SUBSTITUTE(SUBSTITUTE(SUBSTITUTE(SUBSTITUTE(SUBSTITUTE(SUBSTITUTE(UPPER(TRIM(B114)),"Á","A"),"À","A"),"Â","A"),"Ã","A"),"É","E"),"Ê","E"),"Í","I"),"Ó","O"),"Ô","O"),"Õ","O"),"Ú","U"),"Ü","U"),"Ç","C"))</f>
        <v/>
      </c>
      <c r="I114" s="28" t="str">
        <f aca="false">IF(C114="","",IF(LEN(SUBSTITUTE(SUBSTITUTE(SUBSTITUTE(SUBSTITUTE(TRIM(C114),"*",""),".",""),"-","")," ",""))=11,MID(SUBSTITUTE(SUBSTITUTE(SUBSTITUTE(SUBSTITUTE(TRIM(C114),"*",""),".",""),"-","")," ",""),4,6),SUBSTITUTE(SUBSTITUTE(SUBSTITUTE(SUBSTITUTE(TRIM(C114),"*",""),".",""),"-","")," ","")))</f>
        <v/>
      </c>
      <c r="J114" s="28" t="str">
        <f aca="false">IF(OR(H114="",I114=""),"",H114&amp;"|"&amp;I114)</f>
        <v/>
      </c>
      <c r="K114" s="19" t="str">
        <f aca="false">IF(H114="","",IF(AND(J114&lt;&gt;"",COUNTIF(Pessoas!$J:$J,J114)&gt;0),"SIM",IF(COUNTIF(Pessoas!$H:$H,H114)&gt;0,"nome igual em Pessoas: confira o CPF","")))</f>
        <v/>
      </c>
      <c r="L114" s="27"/>
      <c r="M114" s="5"/>
    </row>
    <row r="115" customFormat="false" ht="15" hidden="false" customHeight="false" outlineLevel="0" collapsed="false">
      <c r="A115" s="27"/>
      <c r="B115" s="5"/>
      <c r="C115" s="27"/>
      <c r="D115" s="18"/>
      <c r="E115" s="14"/>
      <c r="F115" s="18"/>
      <c r="G115" s="19" t="str">
        <f aca="false">IF(A115="","",IFERROR(INDEX(Empresas!$B:$B,MATCH(A115,Empresas!$A:$A,0))&amp;"","cadastre o CNPJ em Empresas"))</f>
        <v/>
      </c>
      <c r="H115" s="28" t="str">
        <f aca="false">IF(B115="","",SUBSTITUTE(SUBSTITUTE(SUBSTITUTE(SUBSTITUTE(SUBSTITUTE(SUBSTITUTE(SUBSTITUTE(SUBSTITUTE(SUBSTITUTE(SUBSTITUTE(SUBSTITUTE(SUBSTITUTE(SUBSTITUTE(UPPER(TRIM(B115)),"Á","A"),"À","A"),"Â","A"),"Ã","A"),"É","E"),"Ê","E"),"Í","I"),"Ó","O"),"Ô","O"),"Õ","O"),"Ú","U"),"Ü","U"),"Ç","C"))</f>
        <v/>
      </c>
      <c r="I115" s="28" t="str">
        <f aca="false">IF(C115="","",IF(LEN(SUBSTITUTE(SUBSTITUTE(SUBSTITUTE(SUBSTITUTE(TRIM(C115),"*",""),".",""),"-","")," ",""))=11,MID(SUBSTITUTE(SUBSTITUTE(SUBSTITUTE(SUBSTITUTE(TRIM(C115),"*",""),".",""),"-","")," ",""),4,6),SUBSTITUTE(SUBSTITUTE(SUBSTITUTE(SUBSTITUTE(TRIM(C115),"*",""),".",""),"-","")," ","")))</f>
        <v/>
      </c>
      <c r="J115" s="28" t="str">
        <f aca="false">IF(OR(H115="",I115=""),"",H115&amp;"|"&amp;I115)</f>
        <v/>
      </c>
      <c r="K115" s="19" t="str">
        <f aca="false">IF(H115="","",IF(AND(J115&lt;&gt;"",COUNTIF(Pessoas!$J:$J,J115)&gt;0),"SIM",IF(COUNTIF(Pessoas!$H:$H,H115)&gt;0,"nome igual em Pessoas: confira o CPF","")))</f>
        <v/>
      </c>
      <c r="L115" s="27"/>
      <c r="M115" s="5"/>
    </row>
    <row r="116" customFormat="false" ht="15" hidden="false" customHeight="false" outlineLevel="0" collapsed="false">
      <c r="A116" s="27"/>
      <c r="B116" s="5"/>
      <c r="C116" s="27"/>
      <c r="D116" s="18"/>
      <c r="E116" s="14"/>
      <c r="F116" s="18"/>
      <c r="G116" s="19" t="str">
        <f aca="false">IF(A116="","",IFERROR(INDEX(Empresas!$B:$B,MATCH(A116,Empresas!$A:$A,0))&amp;"","cadastre o CNPJ em Empresas"))</f>
        <v/>
      </c>
      <c r="H116" s="28" t="str">
        <f aca="false">IF(B116="","",SUBSTITUTE(SUBSTITUTE(SUBSTITUTE(SUBSTITUTE(SUBSTITUTE(SUBSTITUTE(SUBSTITUTE(SUBSTITUTE(SUBSTITUTE(SUBSTITUTE(SUBSTITUTE(SUBSTITUTE(SUBSTITUTE(UPPER(TRIM(B116)),"Á","A"),"À","A"),"Â","A"),"Ã","A"),"É","E"),"Ê","E"),"Í","I"),"Ó","O"),"Ô","O"),"Õ","O"),"Ú","U"),"Ü","U"),"Ç","C"))</f>
        <v/>
      </c>
      <c r="I116" s="28" t="str">
        <f aca="false">IF(C116="","",IF(LEN(SUBSTITUTE(SUBSTITUTE(SUBSTITUTE(SUBSTITUTE(TRIM(C116),"*",""),".",""),"-","")," ",""))=11,MID(SUBSTITUTE(SUBSTITUTE(SUBSTITUTE(SUBSTITUTE(TRIM(C116),"*",""),".",""),"-","")," ",""),4,6),SUBSTITUTE(SUBSTITUTE(SUBSTITUTE(SUBSTITUTE(TRIM(C116),"*",""),".",""),"-","")," ","")))</f>
        <v/>
      </c>
      <c r="J116" s="28" t="str">
        <f aca="false">IF(OR(H116="",I116=""),"",H116&amp;"|"&amp;I116)</f>
        <v/>
      </c>
      <c r="K116" s="19" t="str">
        <f aca="false">IF(H116="","",IF(AND(J116&lt;&gt;"",COUNTIF(Pessoas!$J:$J,J116)&gt;0),"SIM",IF(COUNTIF(Pessoas!$H:$H,H116)&gt;0,"nome igual em Pessoas: confira o CPF","")))</f>
        <v/>
      </c>
      <c r="L116" s="27"/>
      <c r="M116" s="5"/>
    </row>
    <row r="117" customFormat="false" ht="15" hidden="false" customHeight="false" outlineLevel="0" collapsed="false">
      <c r="A117" s="27"/>
      <c r="B117" s="5"/>
      <c r="C117" s="27"/>
      <c r="D117" s="18"/>
      <c r="E117" s="14"/>
      <c r="F117" s="18"/>
      <c r="G117" s="19" t="str">
        <f aca="false">IF(A117="","",IFERROR(INDEX(Empresas!$B:$B,MATCH(A117,Empresas!$A:$A,0))&amp;"","cadastre o CNPJ em Empresas"))</f>
        <v/>
      </c>
      <c r="H117" s="28" t="str">
        <f aca="false">IF(B117="","",SUBSTITUTE(SUBSTITUTE(SUBSTITUTE(SUBSTITUTE(SUBSTITUTE(SUBSTITUTE(SUBSTITUTE(SUBSTITUTE(SUBSTITUTE(SUBSTITUTE(SUBSTITUTE(SUBSTITUTE(SUBSTITUTE(UPPER(TRIM(B117)),"Á","A"),"À","A"),"Â","A"),"Ã","A"),"É","E"),"Ê","E"),"Í","I"),"Ó","O"),"Ô","O"),"Õ","O"),"Ú","U"),"Ü","U"),"Ç","C"))</f>
        <v/>
      </c>
      <c r="I117" s="28" t="str">
        <f aca="false">IF(C117="","",IF(LEN(SUBSTITUTE(SUBSTITUTE(SUBSTITUTE(SUBSTITUTE(TRIM(C117),"*",""),".",""),"-","")," ",""))=11,MID(SUBSTITUTE(SUBSTITUTE(SUBSTITUTE(SUBSTITUTE(TRIM(C117),"*",""),".",""),"-","")," ",""),4,6),SUBSTITUTE(SUBSTITUTE(SUBSTITUTE(SUBSTITUTE(TRIM(C117),"*",""),".",""),"-","")," ","")))</f>
        <v/>
      </c>
      <c r="J117" s="28" t="str">
        <f aca="false">IF(OR(H117="",I117=""),"",H117&amp;"|"&amp;I117)</f>
        <v/>
      </c>
      <c r="K117" s="19" t="str">
        <f aca="false">IF(H117="","",IF(AND(J117&lt;&gt;"",COUNTIF(Pessoas!$J:$J,J117)&gt;0),"SIM",IF(COUNTIF(Pessoas!$H:$H,H117)&gt;0,"nome igual em Pessoas: confira o CPF","")))</f>
        <v/>
      </c>
      <c r="L117" s="27"/>
      <c r="M117" s="5"/>
    </row>
    <row r="118" customFormat="false" ht="15" hidden="false" customHeight="false" outlineLevel="0" collapsed="false">
      <c r="A118" s="27"/>
      <c r="B118" s="5"/>
      <c r="C118" s="27"/>
      <c r="D118" s="18"/>
      <c r="E118" s="14"/>
      <c r="F118" s="18"/>
      <c r="G118" s="19" t="str">
        <f aca="false">IF(A118="","",IFERROR(INDEX(Empresas!$B:$B,MATCH(A118,Empresas!$A:$A,0))&amp;"","cadastre o CNPJ em Empresas"))</f>
        <v/>
      </c>
      <c r="H118" s="28" t="str">
        <f aca="false">IF(B118="","",SUBSTITUTE(SUBSTITUTE(SUBSTITUTE(SUBSTITUTE(SUBSTITUTE(SUBSTITUTE(SUBSTITUTE(SUBSTITUTE(SUBSTITUTE(SUBSTITUTE(SUBSTITUTE(SUBSTITUTE(SUBSTITUTE(UPPER(TRIM(B118)),"Á","A"),"À","A"),"Â","A"),"Ã","A"),"É","E"),"Ê","E"),"Í","I"),"Ó","O"),"Ô","O"),"Õ","O"),"Ú","U"),"Ü","U"),"Ç","C"))</f>
        <v/>
      </c>
      <c r="I118" s="28" t="str">
        <f aca="false">IF(C118="","",IF(LEN(SUBSTITUTE(SUBSTITUTE(SUBSTITUTE(SUBSTITUTE(TRIM(C118),"*",""),".",""),"-","")," ",""))=11,MID(SUBSTITUTE(SUBSTITUTE(SUBSTITUTE(SUBSTITUTE(TRIM(C118),"*",""),".",""),"-","")," ",""),4,6),SUBSTITUTE(SUBSTITUTE(SUBSTITUTE(SUBSTITUTE(TRIM(C118),"*",""),".",""),"-","")," ","")))</f>
        <v/>
      </c>
      <c r="J118" s="28" t="str">
        <f aca="false">IF(OR(H118="",I118=""),"",H118&amp;"|"&amp;I118)</f>
        <v/>
      </c>
      <c r="K118" s="19" t="str">
        <f aca="false">IF(H118="","",IF(AND(J118&lt;&gt;"",COUNTIF(Pessoas!$J:$J,J118)&gt;0),"SIM",IF(COUNTIF(Pessoas!$H:$H,H118)&gt;0,"nome igual em Pessoas: confira o CPF","")))</f>
        <v/>
      </c>
      <c r="L118" s="27"/>
      <c r="M118" s="5"/>
    </row>
    <row r="119" customFormat="false" ht="15" hidden="false" customHeight="false" outlineLevel="0" collapsed="false">
      <c r="A119" s="27"/>
      <c r="B119" s="5"/>
      <c r="C119" s="27"/>
      <c r="D119" s="18"/>
      <c r="E119" s="14"/>
      <c r="F119" s="18"/>
      <c r="G119" s="19" t="str">
        <f aca="false">IF(A119="","",IFERROR(INDEX(Empresas!$B:$B,MATCH(A119,Empresas!$A:$A,0))&amp;"","cadastre o CNPJ em Empresas"))</f>
        <v/>
      </c>
      <c r="H119" s="28" t="str">
        <f aca="false">IF(B119="","",SUBSTITUTE(SUBSTITUTE(SUBSTITUTE(SUBSTITUTE(SUBSTITUTE(SUBSTITUTE(SUBSTITUTE(SUBSTITUTE(SUBSTITUTE(SUBSTITUTE(SUBSTITUTE(SUBSTITUTE(SUBSTITUTE(UPPER(TRIM(B119)),"Á","A"),"À","A"),"Â","A"),"Ã","A"),"É","E"),"Ê","E"),"Í","I"),"Ó","O"),"Ô","O"),"Õ","O"),"Ú","U"),"Ü","U"),"Ç","C"))</f>
        <v/>
      </c>
      <c r="I119" s="28" t="str">
        <f aca="false">IF(C119="","",IF(LEN(SUBSTITUTE(SUBSTITUTE(SUBSTITUTE(SUBSTITUTE(TRIM(C119),"*",""),".",""),"-","")," ",""))=11,MID(SUBSTITUTE(SUBSTITUTE(SUBSTITUTE(SUBSTITUTE(TRIM(C119),"*",""),".",""),"-","")," ",""),4,6),SUBSTITUTE(SUBSTITUTE(SUBSTITUTE(SUBSTITUTE(TRIM(C119),"*",""),".",""),"-","")," ","")))</f>
        <v/>
      </c>
      <c r="J119" s="28" t="str">
        <f aca="false">IF(OR(H119="",I119=""),"",H119&amp;"|"&amp;I119)</f>
        <v/>
      </c>
      <c r="K119" s="19" t="str">
        <f aca="false">IF(H119="","",IF(AND(J119&lt;&gt;"",COUNTIF(Pessoas!$J:$J,J119)&gt;0),"SIM",IF(COUNTIF(Pessoas!$H:$H,H119)&gt;0,"nome igual em Pessoas: confira o CPF","")))</f>
        <v/>
      </c>
      <c r="L119" s="27"/>
      <c r="M119" s="5"/>
    </row>
    <row r="120" customFormat="false" ht="15" hidden="false" customHeight="false" outlineLevel="0" collapsed="false">
      <c r="A120" s="27"/>
      <c r="B120" s="5"/>
      <c r="C120" s="27"/>
      <c r="D120" s="18"/>
      <c r="E120" s="14"/>
      <c r="F120" s="18"/>
      <c r="G120" s="19" t="str">
        <f aca="false">IF(A120="","",IFERROR(INDEX(Empresas!$B:$B,MATCH(A120,Empresas!$A:$A,0))&amp;"","cadastre o CNPJ em Empresas"))</f>
        <v/>
      </c>
      <c r="H120" s="28" t="str">
        <f aca="false">IF(B120="","",SUBSTITUTE(SUBSTITUTE(SUBSTITUTE(SUBSTITUTE(SUBSTITUTE(SUBSTITUTE(SUBSTITUTE(SUBSTITUTE(SUBSTITUTE(SUBSTITUTE(SUBSTITUTE(SUBSTITUTE(SUBSTITUTE(UPPER(TRIM(B120)),"Á","A"),"À","A"),"Â","A"),"Ã","A"),"É","E"),"Ê","E"),"Í","I"),"Ó","O"),"Ô","O"),"Õ","O"),"Ú","U"),"Ü","U"),"Ç","C"))</f>
        <v/>
      </c>
      <c r="I120" s="28" t="str">
        <f aca="false">IF(C120="","",IF(LEN(SUBSTITUTE(SUBSTITUTE(SUBSTITUTE(SUBSTITUTE(TRIM(C120),"*",""),".",""),"-","")," ",""))=11,MID(SUBSTITUTE(SUBSTITUTE(SUBSTITUTE(SUBSTITUTE(TRIM(C120),"*",""),".",""),"-","")," ",""),4,6),SUBSTITUTE(SUBSTITUTE(SUBSTITUTE(SUBSTITUTE(TRIM(C120),"*",""),".",""),"-","")," ","")))</f>
        <v/>
      </c>
      <c r="J120" s="28" t="str">
        <f aca="false">IF(OR(H120="",I120=""),"",H120&amp;"|"&amp;I120)</f>
        <v/>
      </c>
      <c r="K120" s="19" t="str">
        <f aca="false">IF(H120="","",IF(AND(J120&lt;&gt;"",COUNTIF(Pessoas!$J:$J,J120)&gt;0),"SIM",IF(COUNTIF(Pessoas!$H:$H,H120)&gt;0,"nome igual em Pessoas: confira o CPF","")))</f>
        <v/>
      </c>
      <c r="L120" s="27"/>
      <c r="M120" s="5"/>
    </row>
    <row r="121" customFormat="false" ht="15" hidden="false" customHeight="false" outlineLevel="0" collapsed="false">
      <c r="A121" s="27"/>
      <c r="B121" s="5"/>
      <c r="C121" s="27"/>
      <c r="D121" s="18"/>
      <c r="E121" s="14"/>
      <c r="F121" s="18"/>
      <c r="G121" s="19" t="str">
        <f aca="false">IF(A121="","",IFERROR(INDEX(Empresas!$B:$B,MATCH(A121,Empresas!$A:$A,0))&amp;"","cadastre o CNPJ em Empresas"))</f>
        <v/>
      </c>
      <c r="H121" s="28" t="str">
        <f aca="false">IF(B121="","",SUBSTITUTE(SUBSTITUTE(SUBSTITUTE(SUBSTITUTE(SUBSTITUTE(SUBSTITUTE(SUBSTITUTE(SUBSTITUTE(SUBSTITUTE(SUBSTITUTE(SUBSTITUTE(SUBSTITUTE(SUBSTITUTE(UPPER(TRIM(B121)),"Á","A"),"À","A"),"Â","A"),"Ã","A"),"É","E"),"Ê","E"),"Í","I"),"Ó","O"),"Ô","O"),"Õ","O"),"Ú","U"),"Ü","U"),"Ç","C"))</f>
        <v/>
      </c>
      <c r="I121" s="28" t="str">
        <f aca="false">IF(C121="","",IF(LEN(SUBSTITUTE(SUBSTITUTE(SUBSTITUTE(SUBSTITUTE(TRIM(C121),"*",""),".",""),"-","")," ",""))=11,MID(SUBSTITUTE(SUBSTITUTE(SUBSTITUTE(SUBSTITUTE(TRIM(C121),"*",""),".",""),"-","")," ",""),4,6),SUBSTITUTE(SUBSTITUTE(SUBSTITUTE(SUBSTITUTE(TRIM(C121),"*",""),".",""),"-","")," ","")))</f>
        <v/>
      </c>
      <c r="J121" s="28" t="str">
        <f aca="false">IF(OR(H121="",I121=""),"",H121&amp;"|"&amp;I121)</f>
        <v/>
      </c>
      <c r="K121" s="19" t="str">
        <f aca="false">IF(H121="","",IF(AND(J121&lt;&gt;"",COUNTIF(Pessoas!$J:$J,J121)&gt;0),"SIM",IF(COUNTIF(Pessoas!$H:$H,H121)&gt;0,"nome igual em Pessoas: confira o CPF","")))</f>
        <v/>
      </c>
      <c r="L121" s="27"/>
      <c r="M121" s="5"/>
    </row>
    <row r="122" customFormat="false" ht="15" hidden="false" customHeight="false" outlineLevel="0" collapsed="false">
      <c r="A122" s="27"/>
      <c r="B122" s="5"/>
      <c r="C122" s="27"/>
      <c r="D122" s="18"/>
      <c r="E122" s="14"/>
      <c r="F122" s="18"/>
      <c r="G122" s="19" t="str">
        <f aca="false">IF(A122="","",IFERROR(INDEX(Empresas!$B:$B,MATCH(A122,Empresas!$A:$A,0))&amp;"","cadastre o CNPJ em Empresas"))</f>
        <v/>
      </c>
      <c r="H122" s="28" t="str">
        <f aca="false">IF(B122="","",SUBSTITUTE(SUBSTITUTE(SUBSTITUTE(SUBSTITUTE(SUBSTITUTE(SUBSTITUTE(SUBSTITUTE(SUBSTITUTE(SUBSTITUTE(SUBSTITUTE(SUBSTITUTE(SUBSTITUTE(SUBSTITUTE(UPPER(TRIM(B122)),"Á","A"),"À","A"),"Â","A"),"Ã","A"),"É","E"),"Ê","E"),"Í","I"),"Ó","O"),"Ô","O"),"Õ","O"),"Ú","U"),"Ü","U"),"Ç","C"))</f>
        <v/>
      </c>
      <c r="I122" s="28" t="str">
        <f aca="false">IF(C122="","",IF(LEN(SUBSTITUTE(SUBSTITUTE(SUBSTITUTE(SUBSTITUTE(TRIM(C122),"*",""),".",""),"-","")," ",""))=11,MID(SUBSTITUTE(SUBSTITUTE(SUBSTITUTE(SUBSTITUTE(TRIM(C122),"*",""),".",""),"-","")," ",""),4,6),SUBSTITUTE(SUBSTITUTE(SUBSTITUTE(SUBSTITUTE(TRIM(C122),"*",""),".",""),"-","")," ","")))</f>
        <v/>
      </c>
      <c r="J122" s="28" t="str">
        <f aca="false">IF(OR(H122="",I122=""),"",H122&amp;"|"&amp;I122)</f>
        <v/>
      </c>
      <c r="K122" s="19" t="str">
        <f aca="false">IF(H122="","",IF(AND(J122&lt;&gt;"",COUNTIF(Pessoas!$J:$J,J122)&gt;0),"SIM",IF(COUNTIF(Pessoas!$H:$H,H122)&gt;0,"nome igual em Pessoas: confira o CPF","")))</f>
        <v/>
      </c>
      <c r="L122" s="27"/>
      <c r="M122" s="5"/>
    </row>
    <row r="123" customFormat="false" ht="15" hidden="false" customHeight="false" outlineLevel="0" collapsed="false">
      <c r="A123" s="27"/>
      <c r="B123" s="5"/>
      <c r="C123" s="27"/>
      <c r="D123" s="18"/>
      <c r="E123" s="14"/>
      <c r="F123" s="18"/>
      <c r="G123" s="19" t="str">
        <f aca="false">IF(A123="","",IFERROR(INDEX(Empresas!$B:$B,MATCH(A123,Empresas!$A:$A,0))&amp;"","cadastre o CNPJ em Empresas"))</f>
        <v/>
      </c>
      <c r="H123" s="28" t="str">
        <f aca="false">IF(B123="","",SUBSTITUTE(SUBSTITUTE(SUBSTITUTE(SUBSTITUTE(SUBSTITUTE(SUBSTITUTE(SUBSTITUTE(SUBSTITUTE(SUBSTITUTE(SUBSTITUTE(SUBSTITUTE(SUBSTITUTE(SUBSTITUTE(UPPER(TRIM(B123)),"Á","A"),"À","A"),"Â","A"),"Ã","A"),"É","E"),"Ê","E"),"Í","I"),"Ó","O"),"Ô","O"),"Õ","O"),"Ú","U"),"Ü","U"),"Ç","C"))</f>
        <v/>
      </c>
      <c r="I123" s="28" t="str">
        <f aca="false">IF(C123="","",IF(LEN(SUBSTITUTE(SUBSTITUTE(SUBSTITUTE(SUBSTITUTE(TRIM(C123),"*",""),".",""),"-","")," ",""))=11,MID(SUBSTITUTE(SUBSTITUTE(SUBSTITUTE(SUBSTITUTE(TRIM(C123),"*",""),".",""),"-","")," ",""),4,6),SUBSTITUTE(SUBSTITUTE(SUBSTITUTE(SUBSTITUTE(TRIM(C123),"*",""),".",""),"-","")," ","")))</f>
        <v/>
      </c>
      <c r="J123" s="28" t="str">
        <f aca="false">IF(OR(H123="",I123=""),"",H123&amp;"|"&amp;I123)</f>
        <v/>
      </c>
      <c r="K123" s="19" t="str">
        <f aca="false">IF(H123="","",IF(AND(J123&lt;&gt;"",COUNTIF(Pessoas!$J:$J,J123)&gt;0),"SIM",IF(COUNTIF(Pessoas!$H:$H,H123)&gt;0,"nome igual em Pessoas: confira o CPF","")))</f>
        <v/>
      </c>
      <c r="L123" s="27"/>
      <c r="M123" s="5"/>
    </row>
    <row r="124" customFormat="false" ht="15" hidden="false" customHeight="false" outlineLevel="0" collapsed="false">
      <c r="A124" s="27"/>
      <c r="B124" s="5"/>
      <c r="C124" s="27"/>
      <c r="D124" s="18"/>
      <c r="E124" s="14"/>
      <c r="F124" s="18"/>
      <c r="G124" s="19" t="str">
        <f aca="false">IF(A124="","",IFERROR(INDEX(Empresas!$B:$B,MATCH(A124,Empresas!$A:$A,0))&amp;"","cadastre o CNPJ em Empresas"))</f>
        <v/>
      </c>
      <c r="H124" s="28" t="str">
        <f aca="false">IF(B124="","",SUBSTITUTE(SUBSTITUTE(SUBSTITUTE(SUBSTITUTE(SUBSTITUTE(SUBSTITUTE(SUBSTITUTE(SUBSTITUTE(SUBSTITUTE(SUBSTITUTE(SUBSTITUTE(SUBSTITUTE(SUBSTITUTE(UPPER(TRIM(B124)),"Á","A"),"À","A"),"Â","A"),"Ã","A"),"É","E"),"Ê","E"),"Í","I"),"Ó","O"),"Ô","O"),"Õ","O"),"Ú","U"),"Ü","U"),"Ç","C"))</f>
        <v/>
      </c>
      <c r="I124" s="28" t="str">
        <f aca="false">IF(C124="","",IF(LEN(SUBSTITUTE(SUBSTITUTE(SUBSTITUTE(SUBSTITUTE(TRIM(C124),"*",""),".",""),"-","")," ",""))=11,MID(SUBSTITUTE(SUBSTITUTE(SUBSTITUTE(SUBSTITUTE(TRIM(C124),"*",""),".",""),"-","")," ",""),4,6),SUBSTITUTE(SUBSTITUTE(SUBSTITUTE(SUBSTITUTE(TRIM(C124),"*",""),".",""),"-","")," ","")))</f>
        <v/>
      </c>
      <c r="J124" s="28" t="str">
        <f aca="false">IF(OR(H124="",I124=""),"",H124&amp;"|"&amp;I124)</f>
        <v/>
      </c>
      <c r="K124" s="19" t="str">
        <f aca="false">IF(H124="","",IF(AND(J124&lt;&gt;"",COUNTIF(Pessoas!$J:$J,J124)&gt;0),"SIM",IF(COUNTIF(Pessoas!$H:$H,H124)&gt;0,"nome igual em Pessoas: confira o CPF","")))</f>
        <v/>
      </c>
      <c r="L124" s="27"/>
      <c r="M124" s="5"/>
    </row>
    <row r="125" customFormat="false" ht="15" hidden="false" customHeight="false" outlineLevel="0" collapsed="false">
      <c r="A125" s="27"/>
      <c r="B125" s="5"/>
      <c r="C125" s="27"/>
      <c r="D125" s="18"/>
      <c r="E125" s="14"/>
      <c r="F125" s="18"/>
      <c r="G125" s="19" t="str">
        <f aca="false">IF(A125="","",IFERROR(INDEX(Empresas!$B:$B,MATCH(A125,Empresas!$A:$A,0))&amp;"","cadastre o CNPJ em Empresas"))</f>
        <v/>
      </c>
      <c r="H125" s="28" t="str">
        <f aca="false">IF(B125="","",SUBSTITUTE(SUBSTITUTE(SUBSTITUTE(SUBSTITUTE(SUBSTITUTE(SUBSTITUTE(SUBSTITUTE(SUBSTITUTE(SUBSTITUTE(SUBSTITUTE(SUBSTITUTE(SUBSTITUTE(SUBSTITUTE(UPPER(TRIM(B125)),"Á","A"),"À","A"),"Â","A"),"Ã","A"),"É","E"),"Ê","E"),"Í","I"),"Ó","O"),"Ô","O"),"Õ","O"),"Ú","U"),"Ü","U"),"Ç","C"))</f>
        <v/>
      </c>
      <c r="I125" s="28" t="str">
        <f aca="false">IF(C125="","",IF(LEN(SUBSTITUTE(SUBSTITUTE(SUBSTITUTE(SUBSTITUTE(TRIM(C125),"*",""),".",""),"-","")," ",""))=11,MID(SUBSTITUTE(SUBSTITUTE(SUBSTITUTE(SUBSTITUTE(TRIM(C125),"*",""),".",""),"-","")," ",""),4,6),SUBSTITUTE(SUBSTITUTE(SUBSTITUTE(SUBSTITUTE(TRIM(C125),"*",""),".",""),"-","")," ","")))</f>
        <v/>
      </c>
      <c r="J125" s="28" t="str">
        <f aca="false">IF(OR(H125="",I125=""),"",H125&amp;"|"&amp;I125)</f>
        <v/>
      </c>
      <c r="K125" s="19" t="str">
        <f aca="false">IF(H125="","",IF(AND(J125&lt;&gt;"",COUNTIF(Pessoas!$J:$J,J125)&gt;0),"SIM",IF(COUNTIF(Pessoas!$H:$H,H125)&gt;0,"nome igual em Pessoas: confira o CPF","")))</f>
        <v/>
      </c>
      <c r="L125" s="27"/>
      <c r="M125" s="5"/>
    </row>
    <row r="126" customFormat="false" ht="15" hidden="false" customHeight="false" outlineLevel="0" collapsed="false">
      <c r="A126" s="27"/>
      <c r="B126" s="5"/>
      <c r="C126" s="27"/>
      <c r="D126" s="18"/>
      <c r="E126" s="14"/>
      <c r="F126" s="18"/>
      <c r="G126" s="19" t="str">
        <f aca="false">IF(A126="","",IFERROR(INDEX(Empresas!$B:$B,MATCH(A126,Empresas!$A:$A,0))&amp;"","cadastre o CNPJ em Empresas"))</f>
        <v/>
      </c>
      <c r="H126" s="28" t="str">
        <f aca="false">IF(B126="","",SUBSTITUTE(SUBSTITUTE(SUBSTITUTE(SUBSTITUTE(SUBSTITUTE(SUBSTITUTE(SUBSTITUTE(SUBSTITUTE(SUBSTITUTE(SUBSTITUTE(SUBSTITUTE(SUBSTITUTE(SUBSTITUTE(UPPER(TRIM(B126)),"Á","A"),"À","A"),"Â","A"),"Ã","A"),"É","E"),"Ê","E"),"Í","I"),"Ó","O"),"Ô","O"),"Õ","O"),"Ú","U"),"Ü","U"),"Ç","C"))</f>
        <v/>
      </c>
      <c r="I126" s="28" t="str">
        <f aca="false">IF(C126="","",IF(LEN(SUBSTITUTE(SUBSTITUTE(SUBSTITUTE(SUBSTITUTE(TRIM(C126),"*",""),".",""),"-","")," ",""))=11,MID(SUBSTITUTE(SUBSTITUTE(SUBSTITUTE(SUBSTITUTE(TRIM(C126),"*",""),".",""),"-","")," ",""),4,6),SUBSTITUTE(SUBSTITUTE(SUBSTITUTE(SUBSTITUTE(TRIM(C126),"*",""),".",""),"-","")," ","")))</f>
        <v/>
      </c>
      <c r="J126" s="28" t="str">
        <f aca="false">IF(OR(H126="",I126=""),"",H126&amp;"|"&amp;I126)</f>
        <v/>
      </c>
      <c r="K126" s="19" t="str">
        <f aca="false">IF(H126="","",IF(AND(J126&lt;&gt;"",COUNTIF(Pessoas!$J:$J,J126)&gt;0),"SIM",IF(COUNTIF(Pessoas!$H:$H,H126)&gt;0,"nome igual em Pessoas: confira o CPF","")))</f>
        <v/>
      </c>
      <c r="L126" s="27"/>
      <c r="M126" s="5"/>
    </row>
    <row r="127" customFormat="false" ht="15" hidden="false" customHeight="false" outlineLevel="0" collapsed="false">
      <c r="A127" s="27"/>
      <c r="B127" s="5"/>
      <c r="C127" s="27"/>
      <c r="D127" s="18"/>
      <c r="E127" s="14"/>
      <c r="F127" s="18"/>
      <c r="G127" s="19" t="str">
        <f aca="false">IF(A127="","",IFERROR(INDEX(Empresas!$B:$B,MATCH(A127,Empresas!$A:$A,0))&amp;"","cadastre o CNPJ em Empresas"))</f>
        <v/>
      </c>
      <c r="H127" s="28" t="str">
        <f aca="false">IF(B127="","",SUBSTITUTE(SUBSTITUTE(SUBSTITUTE(SUBSTITUTE(SUBSTITUTE(SUBSTITUTE(SUBSTITUTE(SUBSTITUTE(SUBSTITUTE(SUBSTITUTE(SUBSTITUTE(SUBSTITUTE(SUBSTITUTE(UPPER(TRIM(B127)),"Á","A"),"À","A"),"Â","A"),"Ã","A"),"É","E"),"Ê","E"),"Í","I"),"Ó","O"),"Ô","O"),"Õ","O"),"Ú","U"),"Ü","U"),"Ç","C"))</f>
        <v/>
      </c>
      <c r="I127" s="28" t="str">
        <f aca="false">IF(C127="","",IF(LEN(SUBSTITUTE(SUBSTITUTE(SUBSTITUTE(SUBSTITUTE(TRIM(C127),"*",""),".",""),"-","")," ",""))=11,MID(SUBSTITUTE(SUBSTITUTE(SUBSTITUTE(SUBSTITUTE(TRIM(C127),"*",""),".",""),"-","")," ",""),4,6),SUBSTITUTE(SUBSTITUTE(SUBSTITUTE(SUBSTITUTE(TRIM(C127),"*",""),".",""),"-","")," ","")))</f>
        <v/>
      </c>
      <c r="J127" s="28" t="str">
        <f aca="false">IF(OR(H127="",I127=""),"",H127&amp;"|"&amp;I127)</f>
        <v/>
      </c>
      <c r="K127" s="19" t="str">
        <f aca="false">IF(H127="","",IF(AND(J127&lt;&gt;"",COUNTIF(Pessoas!$J:$J,J127)&gt;0),"SIM",IF(COUNTIF(Pessoas!$H:$H,H127)&gt;0,"nome igual em Pessoas: confira o CPF","")))</f>
        <v/>
      </c>
      <c r="L127" s="27"/>
      <c r="M127" s="5"/>
    </row>
    <row r="128" customFormat="false" ht="15" hidden="false" customHeight="false" outlineLevel="0" collapsed="false">
      <c r="A128" s="27"/>
      <c r="B128" s="5"/>
      <c r="C128" s="27"/>
      <c r="D128" s="18"/>
      <c r="E128" s="14"/>
      <c r="F128" s="18"/>
      <c r="G128" s="19" t="str">
        <f aca="false">IF(A128="","",IFERROR(INDEX(Empresas!$B:$B,MATCH(A128,Empresas!$A:$A,0))&amp;"","cadastre o CNPJ em Empresas"))</f>
        <v/>
      </c>
      <c r="H128" s="28" t="str">
        <f aca="false">IF(B128="","",SUBSTITUTE(SUBSTITUTE(SUBSTITUTE(SUBSTITUTE(SUBSTITUTE(SUBSTITUTE(SUBSTITUTE(SUBSTITUTE(SUBSTITUTE(SUBSTITUTE(SUBSTITUTE(SUBSTITUTE(SUBSTITUTE(UPPER(TRIM(B128)),"Á","A"),"À","A"),"Â","A"),"Ã","A"),"É","E"),"Ê","E"),"Í","I"),"Ó","O"),"Ô","O"),"Õ","O"),"Ú","U"),"Ü","U"),"Ç","C"))</f>
        <v/>
      </c>
      <c r="I128" s="28" t="str">
        <f aca="false">IF(C128="","",IF(LEN(SUBSTITUTE(SUBSTITUTE(SUBSTITUTE(SUBSTITUTE(TRIM(C128),"*",""),".",""),"-","")," ",""))=11,MID(SUBSTITUTE(SUBSTITUTE(SUBSTITUTE(SUBSTITUTE(TRIM(C128),"*",""),".",""),"-","")," ",""),4,6),SUBSTITUTE(SUBSTITUTE(SUBSTITUTE(SUBSTITUTE(TRIM(C128),"*",""),".",""),"-","")," ","")))</f>
        <v/>
      </c>
      <c r="J128" s="28" t="str">
        <f aca="false">IF(OR(H128="",I128=""),"",H128&amp;"|"&amp;I128)</f>
        <v/>
      </c>
      <c r="K128" s="19" t="str">
        <f aca="false">IF(H128="","",IF(AND(J128&lt;&gt;"",COUNTIF(Pessoas!$J:$J,J128)&gt;0),"SIM",IF(COUNTIF(Pessoas!$H:$H,H128)&gt;0,"nome igual em Pessoas: confira o CPF","")))</f>
        <v/>
      </c>
      <c r="L128" s="27"/>
      <c r="M128" s="5"/>
    </row>
    <row r="129" customFormat="false" ht="15" hidden="false" customHeight="false" outlineLevel="0" collapsed="false">
      <c r="A129" s="27"/>
      <c r="B129" s="5"/>
      <c r="C129" s="27"/>
      <c r="D129" s="18"/>
      <c r="E129" s="14"/>
      <c r="F129" s="18"/>
      <c r="G129" s="19" t="str">
        <f aca="false">IF(A129="","",IFERROR(INDEX(Empresas!$B:$B,MATCH(A129,Empresas!$A:$A,0))&amp;"","cadastre o CNPJ em Empresas"))</f>
        <v/>
      </c>
      <c r="H129" s="28" t="str">
        <f aca="false">IF(B129="","",SUBSTITUTE(SUBSTITUTE(SUBSTITUTE(SUBSTITUTE(SUBSTITUTE(SUBSTITUTE(SUBSTITUTE(SUBSTITUTE(SUBSTITUTE(SUBSTITUTE(SUBSTITUTE(SUBSTITUTE(SUBSTITUTE(UPPER(TRIM(B129)),"Á","A"),"À","A"),"Â","A"),"Ã","A"),"É","E"),"Ê","E"),"Í","I"),"Ó","O"),"Ô","O"),"Õ","O"),"Ú","U"),"Ü","U"),"Ç","C"))</f>
        <v/>
      </c>
      <c r="I129" s="28" t="str">
        <f aca="false">IF(C129="","",IF(LEN(SUBSTITUTE(SUBSTITUTE(SUBSTITUTE(SUBSTITUTE(TRIM(C129),"*",""),".",""),"-","")," ",""))=11,MID(SUBSTITUTE(SUBSTITUTE(SUBSTITUTE(SUBSTITUTE(TRIM(C129),"*",""),".",""),"-","")," ",""),4,6),SUBSTITUTE(SUBSTITUTE(SUBSTITUTE(SUBSTITUTE(TRIM(C129),"*",""),".",""),"-","")," ","")))</f>
        <v/>
      </c>
      <c r="J129" s="28" t="str">
        <f aca="false">IF(OR(H129="",I129=""),"",H129&amp;"|"&amp;I129)</f>
        <v/>
      </c>
      <c r="K129" s="19" t="str">
        <f aca="false">IF(H129="","",IF(AND(J129&lt;&gt;"",COUNTIF(Pessoas!$J:$J,J129)&gt;0),"SIM",IF(COUNTIF(Pessoas!$H:$H,H129)&gt;0,"nome igual em Pessoas: confira o CPF","")))</f>
        <v/>
      </c>
      <c r="L129" s="27"/>
      <c r="M129" s="5"/>
    </row>
    <row r="130" customFormat="false" ht="15" hidden="false" customHeight="false" outlineLevel="0" collapsed="false">
      <c r="A130" s="27"/>
      <c r="B130" s="5"/>
      <c r="C130" s="27"/>
      <c r="D130" s="18"/>
      <c r="E130" s="14"/>
      <c r="F130" s="18"/>
      <c r="G130" s="19" t="str">
        <f aca="false">IF(A130="","",IFERROR(INDEX(Empresas!$B:$B,MATCH(A130,Empresas!$A:$A,0))&amp;"","cadastre o CNPJ em Empresas"))</f>
        <v/>
      </c>
      <c r="H130" s="28" t="str">
        <f aca="false">IF(B130="","",SUBSTITUTE(SUBSTITUTE(SUBSTITUTE(SUBSTITUTE(SUBSTITUTE(SUBSTITUTE(SUBSTITUTE(SUBSTITUTE(SUBSTITUTE(SUBSTITUTE(SUBSTITUTE(SUBSTITUTE(SUBSTITUTE(UPPER(TRIM(B130)),"Á","A"),"À","A"),"Â","A"),"Ã","A"),"É","E"),"Ê","E"),"Í","I"),"Ó","O"),"Ô","O"),"Õ","O"),"Ú","U"),"Ü","U"),"Ç","C"))</f>
        <v/>
      </c>
      <c r="I130" s="28" t="str">
        <f aca="false">IF(C130="","",IF(LEN(SUBSTITUTE(SUBSTITUTE(SUBSTITUTE(SUBSTITUTE(TRIM(C130),"*",""),".",""),"-","")," ",""))=11,MID(SUBSTITUTE(SUBSTITUTE(SUBSTITUTE(SUBSTITUTE(TRIM(C130),"*",""),".",""),"-","")," ",""),4,6),SUBSTITUTE(SUBSTITUTE(SUBSTITUTE(SUBSTITUTE(TRIM(C130),"*",""),".",""),"-","")," ","")))</f>
        <v/>
      </c>
      <c r="J130" s="28" t="str">
        <f aca="false">IF(OR(H130="",I130=""),"",H130&amp;"|"&amp;I130)</f>
        <v/>
      </c>
      <c r="K130" s="19" t="str">
        <f aca="false">IF(H130="","",IF(AND(J130&lt;&gt;"",COUNTIF(Pessoas!$J:$J,J130)&gt;0),"SIM",IF(COUNTIF(Pessoas!$H:$H,H130)&gt;0,"nome igual em Pessoas: confira o CPF","")))</f>
        <v/>
      </c>
      <c r="L130" s="27"/>
      <c r="M130" s="5"/>
    </row>
    <row r="131" customFormat="false" ht="15" hidden="false" customHeight="false" outlineLevel="0" collapsed="false">
      <c r="A131" s="27"/>
      <c r="B131" s="5"/>
      <c r="C131" s="27"/>
      <c r="D131" s="18"/>
      <c r="E131" s="14"/>
      <c r="F131" s="18"/>
      <c r="G131" s="19" t="str">
        <f aca="false">IF(A131="","",IFERROR(INDEX(Empresas!$B:$B,MATCH(A131,Empresas!$A:$A,0))&amp;"","cadastre o CNPJ em Empresas"))</f>
        <v/>
      </c>
      <c r="H131" s="28" t="str">
        <f aca="false">IF(B131="","",SUBSTITUTE(SUBSTITUTE(SUBSTITUTE(SUBSTITUTE(SUBSTITUTE(SUBSTITUTE(SUBSTITUTE(SUBSTITUTE(SUBSTITUTE(SUBSTITUTE(SUBSTITUTE(SUBSTITUTE(SUBSTITUTE(UPPER(TRIM(B131)),"Á","A"),"À","A"),"Â","A"),"Ã","A"),"É","E"),"Ê","E"),"Í","I"),"Ó","O"),"Ô","O"),"Õ","O"),"Ú","U"),"Ü","U"),"Ç","C"))</f>
        <v/>
      </c>
      <c r="I131" s="28" t="str">
        <f aca="false">IF(C131="","",IF(LEN(SUBSTITUTE(SUBSTITUTE(SUBSTITUTE(SUBSTITUTE(TRIM(C131),"*",""),".",""),"-","")," ",""))=11,MID(SUBSTITUTE(SUBSTITUTE(SUBSTITUTE(SUBSTITUTE(TRIM(C131),"*",""),".",""),"-","")," ",""),4,6),SUBSTITUTE(SUBSTITUTE(SUBSTITUTE(SUBSTITUTE(TRIM(C131),"*",""),".",""),"-","")," ","")))</f>
        <v/>
      </c>
      <c r="J131" s="28" t="str">
        <f aca="false">IF(OR(H131="",I131=""),"",H131&amp;"|"&amp;I131)</f>
        <v/>
      </c>
      <c r="K131" s="19" t="str">
        <f aca="false">IF(H131="","",IF(AND(J131&lt;&gt;"",COUNTIF(Pessoas!$J:$J,J131)&gt;0),"SIM",IF(COUNTIF(Pessoas!$H:$H,H131)&gt;0,"nome igual em Pessoas: confira o CPF","")))</f>
        <v/>
      </c>
      <c r="L131" s="27"/>
      <c r="M131" s="5"/>
    </row>
    <row r="132" customFormat="false" ht="15" hidden="false" customHeight="false" outlineLevel="0" collapsed="false">
      <c r="A132" s="27"/>
      <c r="B132" s="5"/>
      <c r="C132" s="27"/>
      <c r="D132" s="18"/>
      <c r="E132" s="14"/>
      <c r="F132" s="18"/>
      <c r="G132" s="19" t="str">
        <f aca="false">IF(A132="","",IFERROR(INDEX(Empresas!$B:$B,MATCH(A132,Empresas!$A:$A,0))&amp;"","cadastre o CNPJ em Empresas"))</f>
        <v/>
      </c>
      <c r="H132" s="28" t="str">
        <f aca="false">IF(B132="","",SUBSTITUTE(SUBSTITUTE(SUBSTITUTE(SUBSTITUTE(SUBSTITUTE(SUBSTITUTE(SUBSTITUTE(SUBSTITUTE(SUBSTITUTE(SUBSTITUTE(SUBSTITUTE(SUBSTITUTE(SUBSTITUTE(UPPER(TRIM(B132)),"Á","A"),"À","A"),"Â","A"),"Ã","A"),"É","E"),"Ê","E"),"Í","I"),"Ó","O"),"Ô","O"),"Õ","O"),"Ú","U"),"Ü","U"),"Ç","C"))</f>
        <v/>
      </c>
      <c r="I132" s="28" t="str">
        <f aca="false">IF(C132="","",IF(LEN(SUBSTITUTE(SUBSTITUTE(SUBSTITUTE(SUBSTITUTE(TRIM(C132),"*",""),".",""),"-","")," ",""))=11,MID(SUBSTITUTE(SUBSTITUTE(SUBSTITUTE(SUBSTITUTE(TRIM(C132),"*",""),".",""),"-","")," ",""),4,6),SUBSTITUTE(SUBSTITUTE(SUBSTITUTE(SUBSTITUTE(TRIM(C132),"*",""),".",""),"-","")," ","")))</f>
        <v/>
      </c>
      <c r="J132" s="28" t="str">
        <f aca="false">IF(OR(H132="",I132=""),"",H132&amp;"|"&amp;I132)</f>
        <v/>
      </c>
      <c r="K132" s="19" t="str">
        <f aca="false">IF(H132="","",IF(AND(J132&lt;&gt;"",COUNTIF(Pessoas!$J:$J,J132)&gt;0),"SIM",IF(COUNTIF(Pessoas!$H:$H,H132)&gt;0,"nome igual em Pessoas: confira o CPF","")))</f>
        <v/>
      </c>
      <c r="L132" s="27"/>
      <c r="M132" s="5"/>
    </row>
    <row r="133" customFormat="false" ht="15" hidden="false" customHeight="false" outlineLevel="0" collapsed="false">
      <c r="A133" s="27"/>
      <c r="B133" s="5"/>
      <c r="C133" s="27"/>
      <c r="D133" s="18"/>
      <c r="E133" s="14"/>
      <c r="F133" s="18"/>
      <c r="G133" s="19" t="str">
        <f aca="false">IF(A133="","",IFERROR(INDEX(Empresas!$B:$B,MATCH(A133,Empresas!$A:$A,0))&amp;"","cadastre o CNPJ em Empresas"))</f>
        <v/>
      </c>
      <c r="H133" s="28" t="str">
        <f aca="false">IF(B133="","",SUBSTITUTE(SUBSTITUTE(SUBSTITUTE(SUBSTITUTE(SUBSTITUTE(SUBSTITUTE(SUBSTITUTE(SUBSTITUTE(SUBSTITUTE(SUBSTITUTE(SUBSTITUTE(SUBSTITUTE(SUBSTITUTE(UPPER(TRIM(B133)),"Á","A"),"À","A"),"Â","A"),"Ã","A"),"É","E"),"Ê","E"),"Í","I"),"Ó","O"),"Ô","O"),"Õ","O"),"Ú","U"),"Ü","U"),"Ç","C"))</f>
        <v/>
      </c>
      <c r="I133" s="28" t="str">
        <f aca="false">IF(C133="","",IF(LEN(SUBSTITUTE(SUBSTITUTE(SUBSTITUTE(SUBSTITUTE(TRIM(C133),"*",""),".",""),"-","")," ",""))=11,MID(SUBSTITUTE(SUBSTITUTE(SUBSTITUTE(SUBSTITUTE(TRIM(C133),"*",""),".",""),"-","")," ",""),4,6),SUBSTITUTE(SUBSTITUTE(SUBSTITUTE(SUBSTITUTE(TRIM(C133),"*",""),".",""),"-","")," ","")))</f>
        <v/>
      </c>
      <c r="J133" s="28" t="str">
        <f aca="false">IF(OR(H133="",I133=""),"",H133&amp;"|"&amp;I133)</f>
        <v/>
      </c>
      <c r="K133" s="19" t="str">
        <f aca="false">IF(H133="","",IF(AND(J133&lt;&gt;"",COUNTIF(Pessoas!$J:$J,J133)&gt;0),"SIM",IF(COUNTIF(Pessoas!$H:$H,H133)&gt;0,"nome igual em Pessoas: confira o CPF","")))</f>
        <v/>
      </c>
      <c r="L133" s="27"/>
      <c r="M133" s="5"/>
    </row>
    <row r="134" customFormat="false" ht="15" hidden="false" customHeight="false" outlineLevel="0" collapsed="false">
      <c r="A134" s="27"/>
      <c r="B134" s="5"/>
      <c r="C134" s="27"/>
      <c r="D134" s="18"/>
      <c r="E134" s="14"/>
      <c r="F134" s="18"/>
      <c r="G134" s="19" t="str">
        <f aca="false">IF(A134="","",IFERROR(INDEX(Empresas!$B:$B,MATCH(A134,Empresas!$A:$A,0))&amp;"","cadastre o CNPJ em Empresas"))</f>
        <v/>
      </c>
      <c r="H134" s="28" t="str">
        <f aca="false">IF(B134="","",SUBSTITUTE(SUBSTITUTE(SUBSTITUTE(SUBSTITUTE(SUBSTITUTE(SUBSTITUTE(SUBSTITUTE(SUBSTITUTE(SUBSTITUTE(SUBSTITUTE(SUBSTITUTE(SUBSTITUTE(SUBSTITUTE(UPPER(TRIM(B134)),"Á","A"),"À","A"),"Â","A"),"Ã","A"),"É","E"),"Ê","E"),"Í","I"),"Ó","O"),"Ô","O"),"Õ","O"),"Ú","U"),"Ü","U"),"Ç","C"))</f>
        <v/>
      </c>
      <c r="I134" s="28" t="str">
        <f aca="false">IF(C134="","",IF(LEN(SUBSTITUTE(SUBSTITUTE(SUBSTITUTE(SUBSTITUTE(TRIM(C134),"*",""),".",""),"-","")," ",""))=11,MID(SUBSTITUTE(SUBSTITUTE(SUBSTITUTE(SUBSTITUTE(TRIM(C134),"*",""),".",""),"-","")," ",""),4,6),SUBSTITUTE(SUBSTITUTE(SUBSTITUTE(SUBSTITUTE(TRIM(C134),"*",""),".",""),"-","")," ","")))</f>
        <v/>
      </c>
      <c r="J134" s="28" t="str">
        <f aca="false">IF(OR(H134="",I134=""),"",H134&amp;"|"&amp;I134)</f>
        <v/>
      </c>
      <c r="K134" s="19" t="str">
        <f aca="false">IF(H134="","",IF(AND(J134&lt;&gt;"",COUNTIF(Pessoas!$J:$J,J134)&gt;0),"SIM",IF(COUNTIF(Pessoas!$H:$H,H134)&gt;0,"nome igual em Pessoas: confira o CPF","")))</f>
        <v/>
      </c>
      <c r="L134" s="27"/>
      <c r="M134" s="5"/>
    </row>
    <row r="135" customFormat="false" ht="15" hidden="false" customHeight="false" outlineLevel="0" collapsed="false">
      <c r="A135" s="27"/>
      <c r="B135" s="5"/>
      <c r="C135" s="27"/>
      <c r="D135" s="18"/>
      <c r="E135" s="14"/>
      <c r="F135" s="18"/>
      <c r="G135" s="19" t="str">
        <f aca="false">IF(A135="","",IFERROR(INDEX(Empresas!$B:$B,MATCH(A135,Empresas!$A:$A,0))&amp;"","cadastre o CNPJ em Empresas"))</f>
        <v/>
      </c>
      <c r="H135" s="28" t="str">
        <f aca="false">IF(B135="","",SUBSTITUTE(SUBSTITUTE(SUBSTITUTE(SUBSTITUTE(SUBSTITUTE(SUBSTITUTE(SUBSTITUTE(SUBSTITUTE(SUBSTITUTE(SUBSTITUTE(SUBSTITUTE(SUBSTITUTE(SUBSTITUTE(UPPER(TRIM(B135)),"Á","A"),"À","A"),"Â","A"),"Ã","A"),"É","E"),"Ê","E"),"Í","I"),"Ó","O"),"Ô","O"),"Õ","O"),"Ú","U"),"Ü","U"),"Ç","C"))</f>
        <v/>
      </c>
      <c r="I135" s="28" t="str">
        <f aca="false">IF(C135="","",IF(LEN(SUBSTITUTE(SUBSTITUTE(SUBSTITUTE(SUBSTITUTE(TRIM(C135),"*",""),".",""),"-","")," ",""))=11,MID(SUBSTITUTE(SUBSTITUTE(SUBSTITUTE(SUBSTITUTE(TRIM(C135),"*",""),".",""),"-","")," ",""),4,6),SUBSTITUTE(SUBSTITUTE(SUBSTITUTE(SUBSTITUTE(TRIM(C135),"*",""),".",""),"-","")," ","")))</f>
        <v/>
      </c>
      <c r="J135" s="28" t="str">
        <f aca="false">IF(OR(H135="",I135=""),"",H135&amp;"|"&amp;I135)</f>
        <v/>
      </c>
      <c r="K135" s="19" t="str">
        <f aca="false">IF(H135="","",IF(AND(J135&lt;&gt;"",COUNTIF(Pessoas!$J:$J,J135)&gt;0),"SIM",IF(COUNTIF(Pessoas!$H:$H,H135)&gt;0,"nome igual em Pessoas: confira o CPF","")))</f>
        <v/>
      </c>
      <c r="L135" s="27"/>
      <c r="M135" s="5"/>
    </row>
    <row r="136" customFormat="false" ht="15" hidden="false" customHeight="false" outlineLevel="0" collapsed="false">
      <c r="A136" s="27"/>
      <c r="B136" s="5"/>
      <c r="C136" s="27"/>
      <c r="D136" s="18"/>
      <c r="E136" s="14"/>
      <c r="F136" s="18"/>
      <c r="G136" s="19" t="str">
        <f aca="false">IF(A136="","",IFERROR(INDEX(Empresas!$B:$B,MATCH(A136,Empresas!$A:$A,0))&amp;"","cadastre o CNPJ em Empresas"))</f>
        <v/>
      </c>
      <c r="H136" s="28" t="str">
        <f aca="false">IF(B136="","",SUBSTITUTE(SUBSTITUTE(SUBSTITUTE(SUBSTITUTE(SUBSTITUTE(SUBSTITUTE(SUBSTITUTE(SUBSTITUTE(SUBSTITUTE(SUBSTITUTE(SUBSTITUTE(SUBSTITUTE(SUBSTITUTE(UPPER(TRIM(B136)),"Á","A"),"À","A"),"Â","A"),"Ã","A"),"É","E"),"Ê","E"),"Í","I"),"Ó","O"),"Ô","O"),"Õ","O"),"Ú","U"),"Ü","U"),"Ç","C"))</f>
        <v/>
      </c>
      <c r="I136" s="28" t="str">
        <f aca="false">IF(C136="","",IF(LEN(SUBSTITUTE(SUBSTITUTE(SUBSTITUTE(SUBSTITUTE(TRIM(C136),"*",""),".",""),"-","")," ",""))=11,MID(SUBSTITUTE(SUBSTITUTE(SUBSTITUTE(SUBSTITUTE(TRIM(C136),"*",""),".",""),"-","")," ",""),4,6),SUBSTITUTE(SUBSTITUTE(SUBSTITUTE(SUBSTITUTE(TRIM(C136),"*",""),".",""),"-","")," ","")))</f>
        <v/>
      </c>
      <c r="J136" s="28" t="str">
        <f aca="false">IF(OR(H136="",I136=""),"",H136&amp;"|"&amp;I136)</f>
        <v/>
      </c>
      <c r="K136" s="19" t="str">
        <f aca="false">IF(H136="","",IF(AND(J136&lt;&gt;"",COUNTIF(Pessoas!$J:$J,J136)&gt;0),"SIM",IF(COUNTIF(Pessoas!$H:$H,H136)&gt;0,"nome igual em Pessoas: confira o CPF","")))</f>
        <v/>
      </c>
      <c r="L136" s="27"/>
      <c r="M136" s="5"/>
    </row>
    <row r="137" customFormat="false" ht="15" hidden="false" customHeight="false" outlineLevel="0" collapsed="false">
      <c r="A137" s="27"/>
      <c r="B137" s="5"/>
      <c r="C137" s="27"/>
      <c r="D137" s="18"/>
      <c r="E137" s="14"/>
      <c r="F137" s="18"/>
      <c r="G137" s="19" t="str">
        <f aca="false">IF(A137="","",IFERROR(INDEX(Empresas!$B:$B,MATCH(A137,Empresas!$A:$A,0))&amp;"","cadastre o CNPJ em Empresas"))</f>
        <v/>
      </c>
      <c r="H137" s="28" t="str">
        <f aca="false">IF(B137="","",SUBSTITUTE(SUBSTITUTE(SUBSTITUTE(SUBSTITUTE(SUBSTITUTE(SUBSTITUTE(SUBSTITUTE(SUBSTITUTE(SUBSTITUTE(SUBSTITUTE(SUBSTITUTE(SUBSTITUTE(SUBSTITUTE(UPPER(TRIM(B137)),"Á","A"),"À","A"),"Â","A"),"Ã","A"),"É","E"),"Ê","E"),"Í","I"),"Ó","O"),"Ô","O"),"Õ","O"),"Ú","U"),"Ü","U"),"Ç","C"))</f>
        <v/>
      </c>
      <c r="I137" s="28" t="str">
        <f aca="false">IF(C137="","",IF(LEN(SUBSTITUTE(SUBSTITUTE(SUBSTITUTE(SUBSTITUTE(TRIM(C137),"*",""),".",""),"-","")," ",""))=11,MID(SUBSTITUTE(SUBSTITUTE(SUBSTITUTE(SUBSTITUTE(TRIM(C137),"*",""),".",""),"-","")," ",""),4,6),SUBSTITUTE(SUBSTITUTE(SUBSTITUTE(SUBSTITUTE(TRIM(C137),"*",""),".",""),"-","")," ","")))</f>
        <v/>
      </c>
      <c r="J137" s="28" t="str">
        <f aca="false">IF(OR(H137="",I137=""),"",H137&amp;"|"&amp;I137)</f>
        <v/>
      </c>
      <c r="K137" s="19" t="str">
        <f aca="false">IF(H137="","",IF(AND(J137&lt;&gt;"",COUNTIF(Pessoas!$J:$J,J137)&gt;0),"SIM",IF(COUNTIF(Pessoas!$H:$H,H137)&gt;0,"nome igual em Pessoas: confira o CPF","")))</f>
        <v/>
      </c>
      <c r="L137" s="27"/>
      <c r="M137" s="5"/>
    </row>
    <row r="138" customFormat="false" ht="15" hidden="false" customHeight="false" outlineLevel="0" collapsed="false">
      <c r="A138" s="27"/>
      <c r="B138" s="5"/>
      <c r="C138" s="27"/>
      <c r="D138" s="18"/>
      <c r="E138" s="14"/>
      <c r="F138" s="18"/>
      <c r="G138" s="19" t="str">
        <f aca="false">IF(A138="","",IFERROR(INDEX(Empresas!$B:$B,MATCH(A138,Empresas!$A:$A,0))&amp;"","cadastre o CNPJ em Empresas"))</f>
        <v/>
      </c>
      <c r="H138" s="28" t="str">
        <f aca="false">IF(B138="","",SUBSTITUTE(SUBSTITUTE(SUBSTITUTE(SUBSTITUTE(SUBSTITUTE(SUBSTITUTE(SUBSTITUTE(SUBSTITUTE(SUBSTITUTE(SUBSTITUTE(SUBSTITUTE(SUBSTITUTE(SUBSTITUTE(UPPER(TRIM(B138)),"Á","A"),"À","A"),"Â","A"),"Ã","A"),"É","E"),"Ê","E"),"Í","I"),"Ó","O"),"Ô","O"),"Õ","O"),"Ú","U"),"Ü","U"),"Ç","C"))</f>
        <v/>
      </c>
      <c r="I138" s="28" t="str">
        <f aca="false">IF(C138="","",IF(LEN(SUBSTITUTE(SUBSTITUTE(SUBSTITUTE(SUBSTITUTE(TRIM(C138),"*",""),".",""),"-","")," ",""))=11,MID(SUBSTITUTE(SUBSTITUTE(SUBSTITUTE(SUBSTITUTE(TRIM(C138),"*",""),".",""),"-","")," ",""),4,6),SUBSTITUTE(SUBSTITUTE(SUBSTITUTE(SUBSTITUTE(TRIM(C138),"*",""),".",""),"-","")," ","")))</f>
        <v/>
      </c>
      <c r="J138" s="28" t="str">
        <f aca="false">IF(OR(H138="",I138=""),"",H138&amp;"|"&amp;I138)</f>
        <v/>
      </c>
      <c r="K138" s="19" t="str">
        <f aca="false">IF(H138="","",IF(AND(J138&lt;&gt;"",COUNTIF(Pessoas!$J:$J,J138)&gt;0),"SIM",IF(COUNTIF(Pessoas!$H:$H,H138)&gt;0,"nome igual em Pessoas: confira o CPF","")))</f>
        <v/>
      </c>
      <c r="L138" s="27"/>
      <c r="M138" s="5"/>
    </row>
    <row r="139" customFormat="false" ht="15" hidden="false" customHeight="false" outlineLevel="0" collapsed="false">
      <c r="A139" s="27"/>
      <c r="B139" s="5"/>
      <c r="C139" s="27"/>
      <c r="D139" s="18"/>
      <c r="E139" s="14"/>
      <c r="F139" s="18"/>
      <c r="G139" s="19" t="str">
        <f aca="false">IF(A139="","",IFERROR(INDEX(Empresas!$B:$B,MATCH(A139,Empresas!$A:$A,0))&amp;"","cadastre o CNPJ em Empresas"))</f>
        <v/>
      </c>
      <c r="H139" s="28" t="str">
        <f aca="false">IF(B139="","",SUBSTITUTE(SUBSTITUTE(SUBSTITUTE(SUBSTITUTE(SUBSTITUTE(SUBSTITUTE(SUBSTITUTE(SUBSTITUTE(SUBSTITUTE(SUBSTITUTE(SUBSTITUTE(SUBSTITUTE(SUBSTITUTE(UPPER(TRIM(B139)),"Á","A"),"À","A"),"Â","A"),"Ã","A"),"É","E"),"Ê","E"),"Í","I"),"Ó","O"),"Ô","O"),"Õ","O"),"Ú","U"),"Ü","U"),"Ç","C"))</f>
        <v/>
      </c>
      <c r="I139" s="28" t="str">
        <f aca="false">IF(C139="","",IF(LEN(SUBSTITUTE(SUBSTITUTE(SUBSTITUTE(SUBSTITUTE(TRIM(C139),"*",""),".",""),"-","")," ",""))=11,MID(SUBSTITUTE(SUBSTITUTE(SUBSTITUTE(SUBSTITUTE(TRIM(C139),"*",""),".",""),"-","")," ",""),4,6),SUBSTITUTE(SUBSTITUTE(SUBSTITUTE(SUBSTITUTE(TRIM(C139),"*",""),".",""),"-","")," ","")))</f>
        <v/>
      </c>
      <c r="J139" s="28" t="str">
        <f aca="false">IF(OR(H139="",I139=""),"",H139&amp;"|"&amp;I139)</f>
        <v/>
      </c>
      <c r="K139" s="19" t="str">
        <f aca="false">IF(H139="","",IF(AND(J139&lt;&gt;"",COUNTIF(Pessoas!$J:$J,J139)&gt;0),"SIM",IF(COUNTIF(Pessoas!$H:$H,H139)&gt;0,"nome igual em Pessoas: confira o CPF","")))</f>
        <v/>
      </c>
      <c r="L139" s="27"/>
      <c r="M139" s="5"/>
    </row>
    <row r="140" customFormat="false" ht="15" hidden="false" customHeight="false" outlineLevel="0" collapsed="false">
      <c r="A140" s="27"/>
      <c r="B140" s="5"/>
      <c r="C140" s="27"/>
      <c r="D140" s="18"/>
      <c r="E140" s="14"/>
      <c r="F140" s="18"/>
      <c r="G140" s="19" t="str">
        <f aca="false">IF(A140="","",IFERROR(INDEX(Empresas!$B:$B,MATCH(A140,Empresas!$A:$A,0))&amp;"","cadastre o CNPJ em Empresas"))</f>
        <v/>
      </c>
      <c r="H140" s="28" t="str">
        <f aca="false">IF(B140="","",SUBSTITUTE(SUBSTITUTE(SUBSTITUTE(SUBSTITUTE(SUBSTITUTE(SUBSTITUTE(SUBSTITUTE(SUBSTITUTE(SUBSTITUTE(SUBSTITUTE(SUBSTITUTE(SUBSTITUTE(SUBSTITUTE(UPPER(TRIM(B140)),"Á","A"),"À","A"),"Â","A"),"Ã","A"),"É","E"),"Ê","E"),"Í","I"),"Ó","O"),"Ô","O"),"Õ","O"),"Ú","U"),"Ü","U"),"Ç","C"))</f>
        <v/>
      </c>
      <c r="I140" s="28" t="str">
        <f aca="false">IF(C140="","",IF(LEN(SUBSTITUTE(SUBSTITUTE(SUBSTITUTE(SUBSTITUTE(TRIM(C140),"*",""),".",""),"-","")," ",""))=11,MID(SUBSTITUTE(SUBSTITUTE(SUBSTITUTE(SUBSTITUTE(TRIM(C140),"*",""),".",""),"-","")," ",""),4,6),SUBSTITUTE(SUBSTITUTE(SUBSTITUTE(SUBSTITUTE(TRIM(C140),"*",""),".",""),"-","")," ","")))</f>
        <v/>
      </c>
      <c r="J140" s="28" t="str">
        <f aca="false">IF(OR(H140="",I140=""),"",H140&amp;"|"&amp;I140)</f>
        <v/>
      </c>
      <c r="K140" s="19" t="str">
        <f aca="false">IF(H140="","",IF(AND(J140&lt;&gt;"",COUNTIF(Pessoas!$J:$J,J140)&gt;0),"SIM",IF(COUNTIF(Pessoas!$H:$H,H140)&gt;0,"nome igual em Pessoas: confira o CPF","")))</f>
        <v/>
      </c>
      <c r="L140" s="27"/>
      <c r="M140" s="5"/>
    </row>
    <row r="141" customFormat="false" ht="15" hidden="false" customHeight="false" outlineLevel="0" collapsed="false">
      <c r="A141" s="27"/>
      <c r="B141" s="5"/>
      <c r="C141" s="27"/>
      <c r="D141" s="18"/>
      <c r="E141" s="14"/>
      <c r="F141" s="18"/>
      <c r="G141" s="19" t="str">
        <f aca="false">IF(A141="","",IFERROR(INDEX(Empresas!$B:$B,MATCH(A141,Empresas!$A:$A,0))&amp;"","cadastre o CNPJ em Empresas"))</f>
        <v/>
      </c>
      <c r="H141" s="28" t="str">
        <f aca="false">IF(B141="","",SUBSTITUTE(SUBSTITUTE(SUBSTITUTE(SUBSTITUTE(SUBSTITUTE(SUBSTITUTE(SUBSTITUTE(SUBSTITUTE(SUBSTITUTE(SUBSTITUTE(SUBSTITUTE(SUBSTITUTE(SUBSTITUTE(UPPER(TRIM(B141)),"Á","A"),"À","A"),"Â","A"),"Ã","A"),"É","E"),"Ê","E"),"Í","I"),"Ó","O"),"Ô","O"),"Õ","O"),"Ú","U"),"Ü","U"),"Ç","C"))</f>
        <v/>
      </c>
      <c r="I141" s="28" t="str">
        <f aca="false">IF(C141="","",IF(LEN(SUBSTITUTE(SUBSTITUTE(SUBSTITUTE(SUBSTITUTE(TRIM(C141),"*",""),".",""),"-","")," ",""))=11,MID(SUBSTITUTE(SUBSTITUTE(SUBSTITUTE(SUBSTITUTE(TRIM(C141),"*",""),".",""),"-","")," ",""),4,6),SUBSTITUTE(SUBSTITUTE(SUBSTITUTE(SUBSTITUTE(TRIM(C141),"*",""),".",""),"-","")," ","")))</f>
        <v/>
      </c>
      <c r="J141" s="28" t="str">
        <f aca="false">IF(OR(H141="",I141=""),"",H141&amp;"|"&amp;I141)</f>
        <v/>
      </c>
      <c r="K141" s="19" t="str">
        <f aca="false">IF(H141="","",IF(AND(J141&lt;&gt;"",COUNTIF(Pessoas!$J:$J,J141)&gt;0),"SIM",IF(COUNTIF(Pessoas!$H:$H,H141)&gt;0,"nome igual em Pessoas: confira o CPF","")))</f>
        <v/>
      </c>
      <c r="L141" s="27"/>
      <c r="M141" s="5"/>
    </row>
    <row r="142" customFormat="false" ht="15" hidden="false" customHeight="false" outlineLevel="0" collapsed="false">
      <c r="A142" s="27"/>
      <c r="B142" s="5"/>
      <c r="C142" s="27"/>
      <c r="D142" s="18"/>
      <c r="E142" s="14"/>
      <c r="F142" s="18"/>
      <c r="G142" s="19" t="str">
        <f aca="false">IF(A142="","",IFERROR(INDEX(Empresas!$B:$B,MATCH(A142,Empresas!$A:$A,0))&amp;"","cadastre o CNPJ em Empresas"))</f>
        <v/>
      </c>
      <c r="H142" s="28" t="str">
        <f aca="false">IF(B142="","",SUBSTITUTE(SUBSTITUTE(SUBSTITUTE(SUBSTITUTE(SUBSTITUTE(SUBSTITUTE(SUBSTITUTE(SUBSTITUTE(SUBSTITUTE(SUBSTITUTE(SUBSTITUTE(SUBSTITUTE(SUBSTITUTE(UPPER(TRIM(B142)),"Á","A"),"À","A"),"Â","A"),"Ã","A"),"É","E"),"Ê","E"),"Í","I"),"Ó","O"),"Ô","O"),"Õ","O"),"Ú","U"),"Ü","U"),"Ç","C"))</f>
        <v/>
      </c>
      <c r="I142" s="28" t="str">
        <f aca="false">IF(C142="","",IF(LEN(SUBSTITUTE(SUBSTITUTE(SUBSTITUTE(SUBSTITUTE(TRIM(C142),"*",""),".",""),"-","")," ",""))=11,MID(SUBSTITUTE(SUBSTITUTE(SUBSTITUTE(SUBSTITUTE(TRIM(C142),"*",""),".",""),"-","")," ",""),4,6),SUBSTITUTE(SUBSTITUTE(SUBSTITUTE(SUBSTITUTE(TRIM(C142),"*",""),".",""),"-","")," ","")))</f>
        <v/>
      </c>
      <c r="J142" s="28" t="str">
        <f aca="false">IF(OR(H142="",I142=""),"",H142&amp;"|"&amp;I142)</f>
        <v/>
      </c>
      <c r="K142" s="19" t="str">
        <f aca="false">IF(H142="","",IF(AND(J142&lt;&gt;"",COUNTIF(Pessoas!$J:$J,J142)&gt;0),"SIM",IF(COUNTIF(Pessoas!$H:$H,H142)&gt;0,"nome igual em Pessoas: confira o CPF","")))</f>
        <v/>
      </c>
      <c r="L142" s="27"/>
      <c r="M142" s="5"/>
    </row>
    <row r="143" customFormat="false" ht="15" hidden="false" customHeight="false" outlineLevel="0" collapsed="false">
      <c r="A143" s="27"/>
      <c r="B143" s="5"/>
      <c r="C143" s="27"/>
      <c r="D143" s="18"/>
      <c r="E143" s="14"/>
      <c r="F143" s="18"/>
      <c r="G143" s="19" t="str">
        <f aca="false">IF(A143="","",IFERROR(INDEX(Empresas!$B:$B,MATCH(A143,Empresas!$A:$A,0))&amp;"","cadastre o CNPJ em Empresas"))</f>
        <v/>
      </c>
      <c r="H143" s="28" t="str">
        <f aca="false">IF(B143="","",SUBSTITUTE(SUBSTITUTE(SUBSTITUTE(SUBSTITUTE(SUBSTITUTE(SUBSTITUTE(SUBSTITUTE(SUBSTITUTE(SUBSTITUTE(SUBSTITUTE(SUBSTITUTE(SUBSTITUTE(SUBSTITUTE(UPPER(TRIM(B143)),"Á","A"),"À","A"),"Â","A"),"Ã","A"),"É","E"),"Ê","E"),"Í","I"),"Ó","O"),"Ô","O"),"Õ","O"),"Ú","U"),"Ü","U"),"Ç","C"))</f>
        <v/>
      </c>
      <c r="I143" s="28" t="str">
        <f aca="false">IF(C143="","",IF(LEN(SUBSTITUTE(SUBSTITUTE(SUBSTITUTE(SUBSTITUTE(TRIM(C143),"*",""),".",""),"-","")," ",""))=11,MID(SUBSTITUTE(SUBSTITUTE(SUBSTITUTE(SUBSTITUTE(TRIM(C143),"*",""),".",""),"-","")," ",""),4,6),SUBSTITUTE(SUBSTITUTE(SUBSTITUTE(SUBSTITUTE(TRIM(C143),"*",""),".",""),"-","")," ","")))</f>
        <v/>
      </c>
      <c r="J143" s="28" t="str">
        <f aca="false">IF(OR(H143="",I143=""),"",H143&amp;"|"&amp;I143)</f>
        <v/>
      </c>
      <c r="K143" s="19" t="str">
        <f aca="false">IF(H143="","",IF(AND(J143&lt;&gt;"",COUNTIF(Pessoas!$J:$J,J143)&gt;0),"SIM",IF(COUNTIF(Pessoas!$H:$H,H143)&gt;0,"nome igual em Pessoas: confira o CPF","")))</f>
        <v/>
      </c>
      <c r="L143" s="27"/>
      <c r="M143" s="5"/>
    </row>
    <row r="144" customFormat="false" ht="15" hidden="false" customHeight="false" outlineLevel="0" collapsed="false">
      <c r="A144" s="27"/>
      <c r="B144" s="5"/>
      <c r="C144" s="27"/>
      <c r="D144" s="18"/>
      <c r="E144" s="14"/>
      <c r="F144" s="18"/>
      <c r="G144" s="19" t="str">
        <f aca="false">IF(A144="","",IFERROR(INDEX(Empresas!$B:$B,MATCH(A144,Empresas!$A:$A,0))&amp;"","cadastre o CNPJ em Empresas"))</f>
        <v/>
      </c>
      <c r="H144" s="28" t="str">
        <f aca="false">IF(B144="","",SUBSTITUTE(SUBSTITUTE(SUBSTITUTE(SUBSTITUTE(SUBSTITUTE(SUBSTITUTE(SUBSTITUTE(SUBSTITUTE(SUBSTITUTE(SUBSTITUTE(SUBSTITUTE(SUBSTITUTE(SUBSTITUTE(UPPER(TRIM(B144)),"Á","A"),"À","A"),"Â","A"),"Ã","A"),"É","E"),"Ê","E"),"Í","I"),"Ó","O"),"Ô","O"),"Õ","O"),"Ú","U"),"Ü","U"),"Ç","C"))</f>
        <v/>
      </c>
      <c r="I144" s="28" t="str">
        <f aca="false">IF(C144="","",IF(LEN(SUBSTITUTE(SUBSTITUTE(SUBSTITUTE(SUBSTITUTE(TRIM(C144),"*",""),".",""),"-","")," ",""))=11,MID(SUBSTITUTE(SUBSTITUTE(SUBSTITUTE(SUBSTITUTE(TRIM(C144),"*",""),".",""),"-","")," ",""),4,6),SUBSTITUTE(SUBSTITUTE(SUBSTITUTE(SUBSTITUTE(TRIM(C144),"*",""),".",""),"-","")," ","")))</f>
        <v/>
      </c>
      <c r="J144" s="28" t="str">
        <f aca="false">IF(OR(H144="",I144=""),"",H144&amp;"|"&amp;I144)</f>
        <v/>
      </c>
      <c r="K144" s="19" t="str">
        <f aca="false">IF(H144="","",IF(AND(J144&lt;&gt;"",COUNTIF(Pessoas!$J:$J,J144)&gt;0),"SIM",IF(COUNTIF(Pessoas!$H:$H,H144)&gt;0,"nome igual em Pessoas: confira o CPF","")))</f>
        <v/>
      </c>
      <c r="L144" s="27"/>
      <c r="M144" s="5"/>
    </row>
    <row r="145" customFormat="false" ht="15" hidden="false" customHeight="false" outlineLevel="0" collapsed="false">
      <c r="A145" s="27"/>
      <c r="B145" s="5"/>
      <c r="C145" s="27"/>
      <c r="D145" s="18"/>
      <c r="E145" s="14"/>
      <c r="F145" s="18"/>
      <c r="G145" s="19" t="str">
        <f aca="false">IF(A145="","",IFERROR(INDEX(Empresas!$B:$B,MATCH(A145,Empresas!$A:$A,0))&amp;"","cadastre o CNPJ em Empresas"))</f>
        <v/>
      </c>
      <c r="H145" s="28" t="str">
        <f aca="false">IF(B145="","",SUBSTITUTE(SUBSTITUTE(SUBSTITUTE(SUBSTITUTE(SUBSTITUTE(SUBSTITUTE(SUBSTITUTE(SUBSTITUTE(SUBSTITUTE(SUBSTITUTE(SUBSTITUTE(SUBSTITUTE(SUBSTITUTE(UPPER(TRIM(B145)),"Á","A"),"À","A"),"Â","A"),"Ã","A"),"É","E"),"Ê","E"),"Í","I"),"Ó","O"),"Ô","O"),"Õ","O"),"Ú","U"),"Ü","U"),"Ç","C"))</f>
        <v/>
      </c>
      <c r="I145" s="28" t="str">
        <f aca="false">IF(C145="","",IF(LEN(SUBSTITUTE(SUBSTITUTE(SUBSTITUTE(SUBSTITUTE(TRIM(C145),"*",""),".",""),"-","")," ",""))=11,MID(SUBSTITUTE(SUBSTITUTE(SUBSTITUTE(SUBSTITUTE(TRIM(C145),"*",""),".",""),"-","")," ",""),4,6),SUBSTITUTE(SUBSTITUTE(SUBSTITUTE(SUBSTITUTE(TRIM(C145),"*",""),".",""),"-","")," ","")))</f>
        <v/>
      </c>
      <c r="J145" s="28" t="str">
        <f aca="false">IF(OR(H145="",I145=""),"",H145&amp;"|"&amp;I145)</f>
        <v/>
      </c>
      <c r="K145" s="19" t="str">
        <f aca="false">IF(H145="","",IF(AND(J145&lt;&gt;"",COUNTIF(Pessoas!$J:$J,J145)&gt;0),"SIM",IF(COUNTIF(Pessoas!$H:$H,H145)&gt;0,"nome igual em Pessoas: confira o CPF","")))</f>
        <v/>
      </c>
      <c r="L145" s="27"/>
      <c r="M145" s="5"/>
    </row>
    <row r="146" customFormat="false" ht="15" hidden="false" customHeight="false" outlineLevel="0" collapsed="false">
      <c r="A146" s="27"/>
      <c r="B146" s="5"/>
      <c r="C146" s="27"/>
      <c r="D146" s="18"/>
      <c r="E146" s="14"/>
      <c r="F146" s="18"/>
      <c r="G146" s="19" t="str">
        <f aca="false">IF(A146="","",IFERROR(INDEX(Empresas!$B:$B,MATCH(A146,Empresas!$A:$A,0))&amp;"","cadastre o CNPJ em Empresas"))</f>
        <v/>
      </c>
      <c r="H146" s="28" t="str">
        <f aca="false">IF(B146="","",SUBSTITUTE(SUBSTITUTE(SUBSTITUTE(SUBSTITUTE(SUBSTITUTE(SUBSTITUTE(SUBSTITUTE(SUBSTITUTE(SUBSTITUTE(SUBSTITUTE(SUBSTITUTE(SUBSTITUTE(SUBSTITUTE(UPPER(TRIM(B146)),"Á","A"),"À","A"),"Â","A"),"Ã","A"),"É","E"),"Ê","E"),"Í","I"),"Ó","O"),"Ô","O"),"Õ","O"),"Ú","U"),"Ü","U"),"Ç","C"))</f>
        <v/>
      </c>
      <c r="I146" s="28" t="str">
        <f aca="false">IF(C146="","",IF(LEN(SUBSTITUTE(SUBSTITUTE(SUBSTITUTE(SUBSTITUTE(TRIM(C146),"*",""),".",""),"-","")," ",""))=11,MID(SUBSTITUTE(SUBSTITUTE(SUBSTITUTE(SUBSTITUTE(TRIM(C146),"*",""),".",""),"-","")," ",""),4,6),SUBSTITUTE(SUBSTITUTE(SUBSTITUTE(SUBSTITUTE(TRIM(C146),"*",""),".",""),"-","")," ","")))</f>
        <v/>
      </c>
      <c r="J146" s="28" t="str">
        <f aca="false">IF(OR(H146="",I146=""),"",H146&amp;"|"&amp;I146)</f>
        <v/>
      </c>
      <c r="K146" s="19" t="str">
        <f aca="false">IF(H146="","",IF(AND(J146&lt;&gt;"",COUNTIF(Pessoas!$J:$J,J146)&gt;0),"SIM",IF(COUNTIF(Pessoas!$H:$H,H146)&gt;0,"nome igual em Pessoas: confira o CPF","")))</f>
        <v/>
      </c>
      <c r="L146" s="27"/>
      <c r="M146" s="5"/>
    </row>
    <row r="147" customFormat="false" ht="15" hidden="false" customHeight="false" outlineLevel="0" collapsed="false">
      <c r="A147" s="27"/>
      <c r="B147" s="5"/>
      <c r="C147" s="27"/>
      <c r="D147" s="18"/>
      <c r="E147" s="14"/>
      <c r="F147" s="18"/>
      <c r="G147" s="19" t="str">
        <f aca="false">IF(A147="","",IFERROR(INDEX(Empresas!$B:$B,MATCH(A147,Empresas!$A:$A,0))&amp;"","cadastre o CNPJ em Empresas"))</f>
        <v/>
      </c>
      <c r="H147" s="28" t="str">
        <f aca="false">IF(B147="","",SUBSTITUTE(SUBSTITUTE(SUBSTITUTE(SUBSTITUTE(SUBSTITUTE(SUBSTITUTE(SUBSTITUTE(SUBSTITUTE(SUBSTITUTE(SUBSTITUTE(SUBSTITUTE(SUBSTITUTE(SUBSTITUTE(UPPER(TRIM(B147)),"Á","A"),"À","A"),"Â","A"),"Ã","A"),"É","E"),"Ê","E"),"Í","I"),"Ó","O"),"Ô","O"),"Õ","O"),"Ú","U"),"Ü","U"),"Ç","C"))</f>
        <v/>
      </c>
      <c r="I147" s="28" t="str">
        <f aca="false">IF(C147="","",IF(LEN(SUBSTITUTE(SUBSTITUTE(SUBSTITUTE(SUBSTITUTE(TRIM(C147),"*",""),".",""),"-","")," ",""))=11,MID(SUBSTITUTE(SUBSTITUTE(SUBSTITUTE(SUBSTITUTE(TRIM(C147),"*",""),".",""),"-","")," ",""),4,6),SUBSTITUTE(SUBSTITUTE(SUBSTITUTE(SUBSTITUTE(TRIM(C147),"*",""),".",""),"-","")," ","")))</f>
        <v/>
      </c>
      <c r="J147" s="28" t="str">
        <f aca="false">IF(OR(H147="",I147=""),"",H147&amp;"|"&amp;I147)</f>
        <v/>
      </c>
      <c r="K147" s="19" t="str">
        <f aca="false">IF(H147="","",IF(AND(J147&lt;&gt;"",COUNTIF(Pessoas!$J:$J,J147)&gt;0),"SIM",IF(COUNTIF(Pessoas!$H:$H,H147)&gt;0,"nome igual em Pessoas: confira o CPF","")))</f>
        <v/>
      </c>
      <c r="L147" s="27"/>
      <c r="M147" s="5"/>
    </row>
    <row r="148" customFormat="false" ht="15" hidden="false" customHeight="false" outlineLevel="0" collapsed="false">
      <c r="A148" s="27"/>
      <c r="B148" s="5"/>
      <c r="C148" s="27"/>
      <c r="D148" s="18"/>
      <c r="E148" s="14"/>
      <c r="F148" s="18"/>
      <c r="G148" s="19" t="str">
        <f aca="false">IF(A148="","",IFERROR(INDEX(Empresas!$B:$B,MATCH(A148,Empresas!$A:$A,0))&amp;"","cadastre o CNPJ em Empresas"))</f>
        <v/>
      </c>
      <c r="H148" s="28" t="str">
        <f aca="false">IF(B148="","",SUBSTITUTE(SUBSTITUTE(SUBSTITUTE(SUBSTITUTE(SUBSTITUTE(SUBSTITUTE(SUBSTITUTE(SUBSTITUTE(SUBSTITUTE(SUBSTITUTE(SUBSTITUTE(SUBSTITUTE(SUBSTITUTE(UPPER(TRIM(B148)),"Á","A"),"À","A"),"Â","A"),"Ã","A"),"É","E"),"Ê","E"),"Í","I"),"Ó","O"),"Ô","O"),"Õ","O"),"Ú","U"),"Ü","U"),"Ç","C"))</f>
        <v/>
      </c>
      <c r="I148" s="28" t="str">
        <f aca="false">IF(C148="","",IF(LEN(SUBSTITUTE(SUBSTITUTE(SUBSTITUTE(SUBSTITUTE(TRIM(C148),"*",""),".",""),"-","")," ",""))=11,MID(SUBSTITUTE(SUBSTITUTE(SUBSTITUTE(SUBSTITUTE(TRIM(C148),"*",""),".",""),"-","")," ",""),4,6),SUBSTITUTE(SUBSTITUTE(SUBSTITUTE(SUBSTITUTE(TRIM(C148),"*",""),".",""),"-","")," ","")))</f>
        <v/>
      </c>
      <c r="J148" s="28" t="str">
        <f aca="false">IF(OR(H148="",I148=""),"",H148&amp;"|"&amp;I148)</f>
        <v/>
      </c>
      <c r="K148" s="19" t="str">
        <f aca="false">IF(H148="","",IF(AND(J148&lt;&gt;"",COUNTIF(Pessoas!$J:$J,J148)&gt;0),"SIM",IF(COUNTIF(Pessoas!$H:$H,H148)&gt;0,"nome igual em Pessoas: confira o CPF","")))</f>
        <v/>
      </c>
      <c r="L148" s="27"/>
      <c r="M148" s="5"/>
    </row>
    <row r="149" customFormat="false" ht="15" hidden="false" customHeight="false" outlineLevel="0" collapsed="false">
      <c r="A149" s="27"/>
      <c r="B149" s="5"/>
      <c r="C149" s="27"/>
      <c r="D149" s="18"/>
      <c r="E149" s="14"/>
      <c r="F149" s="18"/>
      <c r="G149" s="19" t="str">
        <f aca="false">IF(A149="","",IFERROR(INDEX(Empresas!$B:$B,MATCH(A149,Empresas!$A:$A,0))&amp;"","cadastre o CNPJ em Empresas"))</f>
        <v/>
      </c>
      <c r="H149" s="28" t="str">
        <f aca="false">IF(B149="","",SUBSTITUTE(SUBSTITUTE(SUBSTITUTE(SUBSTITUTE(SUBSTITUTE(SUBSTITUTE(SUBSTITUTE(SUBSTITUTE(SUBSTITUTE(SUBSTITUTE(SUBSTITUTE(SUBSTITUTE(SUBSTITUTE(UPPER(TRIM(B149)),"Á","A"),"À","A"),"Â","A"),"Ã","A"),"É","E"),"Ê","E"),"Í","I"),"Ó","O"),"Ô","O"),"Õ","O"),"Ú","U"),"Ü","U"),"Ç","C"))</f>
        <v/>
      </c>
      <c r="I149" s="28" t="str">
        <f aca="false">IF(C149="","",IF(LEN(SUBSTITUTE(SUBSTITUTE(SUBSTITUTE(SUBSTITUTE(TRIM(C149),"*",""),".",""),"-","")," ",""))=11,MID(SUBSTITUTE(SUBSTITUTE(SUBSTITUTE(SUBSTITUTE(TRIM(C149),"*",""),".",""),"-","")," ",""),4,6),SUBSTITUTE(SUBSTITUTE(SUBSTITUTE(SUBSTITUTE(TRIM(C149),"*",""),".",""),"-","")," ","")))</f>
        <v/>
      </c>
      <c r="J149" s="28" t="str">
        <f aca="false">IF(OR(H149="",I149=""),"",H149&amp;"|"&amp;I149)</f>
        <v/>
      </c>
      <c r="K149" s="19" t="str">
        <f aca="false">IF(H149="","",IF(AND(J149&lt;&gt;"",COUNTIF(Pessoas!$J:$J,J149)&gt;0),"SIM",IF(COUNTIF(Pessoas!$H:$H,H149)&gt;0,"nome igual em Pessoas: confira o CPF","")))</f>
        <v/>
      </c>
      <c r="L149" s="27"/>
      <c r="M149" s="5"/>
    </row>
    <row r="150" customFormat="false" ht="15" hidden="false" customHeight="false" outlineLevel="0" collapsed="false">
      <c r="A150" s="27"/>
      <c r="B150" s="5"/>
      <c r="C150" s="27"/>
      <c r="D150" s="18"/>
      <c r="E150" s="14"/>
      <c r="F150" s="18"/>
      <c r="G150" s="19" t="str">
        <f aca="false">IF(A150="","",IFERROR(INDEX(Empresas!$B:$B,MATCH(A150,Empresas!$A:$A,0))&amp;"","cadastre o CNPJ em Empresas"))</f>
        <v/>
      </c>
      <c r="H150" s="28" t="str">
        <f aca="false">IF(B150="","",SUBSTITUTE(SUBSTITUTE(SUBSTITUTE(SUBSTITUTE(SUBSTITUTE(SUBSTITUTE(SUBSTITUTE(SUBSTITUTE(SUBSTITUTE(SUBSTITUTE(SUBSTITUTE(SUBSTITUTE(SUBSTITUTE(UPPER(TRIM(B150)),"Á","A"),"À","A"),"Â","A"),"Ã","A"),"É","E"),"Ê","E"),"Í","I"),"Ó","O"),"Ô","O"),"Õ","O"),"Ú","U"),"Ü","U"),"Ç","C"))</f>
        <v/>
      </c>
      <c r="I150" s="28" t="str">
        <f aca="false">IF(C150="","",IF(LEN(SUBSTITUTE(SUBSTITUTE(SUBSTITUTE(SUBSTITUTE(TRIM(C150),"*",""),".",""),"-","")," ",""))=11,MID(SUBSTITUTE(SUBSTITUTE(SUBSTITUTE(SUBSTITUTE(TRIM(C150),"*",""),".",""),"-","")," ",""),4,6),SUBSTITUTE(SUBSTITUTE(SUBSTITUTE(SUBSTITUTE(TRIM(C150),"*",""),".",""),"-","")," ","")))</f>
        <v/>
      </c>
      <c r="J150" s="28" t="str">
        <f aca="false">IF(OR(H150="",I150=""),"",H150&amp;"|"&amp;I150)</f>
        <v/>
      </c>
      <c r="K150" s="19" t="str">
        <f aca="false">IF(H150="","",IF(AND(J150&lt;&gt;"",COUNTIF(Pessoas!$J:$J,J150)&gt;0),"SIM",IF(COUNTIF(Pessoas!$H:$H,H150)&gt;0,"nome igual em Pessoas: confira o CPF","")))</f>
        <v/>
      </c>
      <c r="L150" s="27"/>
      <c r="M150" s="5"/>
    </row>
    <row r="151" customFormat="false" ht="15" hidden="false" customHeight="false" outlineLevel="0" collapsed="false">
      <c r="A151" s="27"/>
      <c r="B151" s="5"/>
      <c r="C151" s="27"/>
      <c r="D151" s="18"/>
      <c r="E151" s="14"/>
      <c r="F151" s="18"/>
      <c r="G151" s="19" t="str">
        <f aca="false">IF(A151="","",IFERROR(INDEX(Empresas!$B:$B,MATCH(A151,Empresas!$A:$A,0))&amp;"","cadastre o CNPJ em Empresas"))</f>
        <v/>
      </c>
      <c r="H151" s="28" t="str">
        <f aca="false">IF(B151="","",SUBSTITUTE(SUBSTITUTE(SUBSTITUTE(SUBSTITUTE(SUBSTITUTE(SUBSTITUTE(SUBSTITUTE(SUBSTITUTE(SUBSTITUTE(SUBSTITUTE(SUBSTITUTE(SUBSTITUTE(SUBSTITUTE(UPPER(TRIM(B151)),"Á","A"),"À","A"),"Â","A"),"Ã","A"),"É","E"),"Ê","E"),"Í","I"),"Ó","O"),"Ô","O"),"Õ","O"),"Ú","U"),"Ü","U"),"Ç","C"))</f>
        <v/>
      </c>
      <c r="I151" s="28" t="str">
        <f aca="false">IF(C151="","",IF(LEN(SUBSTITUTE(SUBSTITUTE(SUBSTITUTE(SUBSTITUTE(TRIM(C151),"*",""),".",""),"-","")," ",""))=11,MID(SUBSTITUTE(SUBSTITUTE(SUBSTITUTE(SUBSTITUTE(TRIM(C151),"*",""),".",""),"-","")," ",""),4,6),SUBSTITUTE(SUBSTITUTE(SUBSTITUTE(SUBSTITUTE(TRIM(C151),"*",""),".",""),"-","")," ","")))</f>
        <v/>
      </c>
      <c r="J151" s="28" t="str">
        <f aca="false">IF(OR(H151="",I151=""),"",H151&amp;"|"&amp;I151)</f>
        <v/>
      </c>
      <c r="K151" s="19" t="str">
        <f aca="false">IF(H151="","",IF(AND(J151&lt;&gt;"",COUNTIF(Pessoas!$J:$J,J151)&gt;0),"SIM",IF(COUNTIF(Pessoas!$H:$H,H151)&gt;0,"nome igual em Pessoas: confira o CPF","")))</f>
        <v/>
      </c>
      <c r="L151" s="27"/>
      <c r="M151" s="5"/>
    </row>
    <row r="152" customFormat="false" ht="15" hidden="false" customHeight="false" outlineLevel="0" collapsed="false">
      <c r="A152" s="27"/>
      <c r="B152" s="5"/>
      <c r="C152" s="27"/>
      <c r="D152" s="18"/>
      <c r="E152" s="14"/>
      <c r="F152" s="18"/>
      <c r="G152" s="19" t="str">
        <f aca="false">IF(A152="","",IFERROR(INDEX(Empresas!$B:$B,MATCH(A152,Empresas!$A:$A,0))&amp;"","cadastre o CNPJ em Empresas"))</f>
        <v/>
      </c>
      <c r="H152" s="28" t="str">
        <f aca="false">IF(B152="","",SUBSTITUTE(SUBSTITUTE(SUBSTITUTE(SUBSTITUTE(SUBSTITUTE(SUBSTITUTE(SUBSTITUTE(SUBSTITUTE(SUBSTITUTE(SUBSTITUTE(SUBSTITUTE(SUBSTITUTE(SUBSTITUTE(UPPER(TRIM(B152)),"Á","A"),"À","A"),"Â","A"),"Ã","A"),"É","E"),"Ê","E"),"Í","I"),"Ó","O"),"Ô","O"),"Õ","O"),"Ú","U"),"Ü","U"),"Ç","C"))</f>
        <v/>
      </c>
      <c r="I152" s="28" t="str">
        <f aca="false">IF(C152="","",IF(LEN(SUBSTITUTE(SUBSTITUTE(SUBSTITUTE(SUBSTITUTE(TRIM(C152),"*",""),".",""),"-","")," ",""))=11,MID(SUBSTITUTE(SUBSTITUTE(SUBSTITUTE(SUBSTITUTE(TRIM(C152),"*",""),".",""),"-","")," ",""),4,6),SUBSTITUTE(SUBSTITUTE(SUBSTITUTE(SUBSTITUTE(TRIM(C152),"*",""),".",""),"-","")," ","")))</f>
        <v/>
      </c>
      <c r="J152" s="28" t="str">
        <f aca="false">IF(OR(H152="",I152=""),"",H152&amp;"|"&amp;I152)</f>
        <v/>
      </c>
      <c r="K152" s="19" t="str">
        <f aca="false">IF(H152="","",IF(AND(J152&lt;&gt;"",COUNTIF(Pessoas!$J:$J,J152)&gt;0),"SIM",IF(COUNTIF(Pessoas!$H:$H,H152)&gt;0,"nome igual em Pessoas: confira o CPF","")))</f>
        <v/>
      </c>
      <c r="L152" s="27"/>
      <c r="M152" s="5"/>
    </row>
    <row r="153" customFormat="false" ht="15" hidden="false" customHeight="false" outlineLevel="0" collapsed="false">
      <c r="A153" s="27"/>
      <c r="B153" s="5"/>
      <c r="C153" s="27"/>
      <c r="D153" s="18"/>
      <c r="E153" s="14"/>
      <c r="F153" s="18"/>
      <c r="G153" s="19" t="str">
        <f aca="false">IF(A153="","",IFERROR(INDEX(Empresas!$B:$B,MATCH(A153,Empresas!$A:$A,0))&amp;"","cadastre o CNPJ em Empresas"))</f>
        <v/>
      </c>
      <c r="H153" s="28" t="str">
        <f aca="false">IF(B153="","",SUBSTITUTE(SUBSTITUTE(SUBSTITUTE(SUBSTITUTE(SUBSTITUTE(SUBSTITUTE(SUBSTITUTE(SUBSTITUTE(SUBSTITUTE(SUBSTITUTE(SUBSTITUTE(SUBSTITUTE(SUBSTITUTE(UPPER(TRIM(B153)),"Á","A"),"À","A"),"Â","A"),"Ã","A"),"É","E"),"Ê","E"),"Í","I"),"Ó","O"),"Ô","O"),"Õ","O"),"Ú","U"),"Ü","U"),"Ç","C"))</f>
        <v/>
      </c>
      <c r="I153" s="28" t="str">
        <f aca="false">IF(C153="","",IF(LEN(SUBSTITUTE(SUBSTITUTE(SUBSTITUTE(SUBSTITUTE(TRIM(C153),"*",""),".",""),"-","")," ",""))=11,MID(SUBSTITUTE(SUBSTITUTE(SUBSTITUTE(SUBSTITUTE(TRIM(C153),"*",""),".",""),"-","")," ",""),4,6),SUBSTITUTE(SUBSTITUTE(SUBSTITUTE(SUBSTITUTE(TRIM(C153),"*",""),".",""),"-","")," ","")))</f>
        <v/>
      </c>
      <c r="J153" s="28" t="str">
        <f aca="false">IF(OR(H153="",I153=""),"",H153&amp;"|"&amp;I153)</f>
        <v/>
      </c>
      <c r="K153" s="19" t="str">
        <f aca="false">IF(H153="","",IF(AND(J153&lt;&gt;"",COUNTIF(Pessoas!$J:$J,J153)&gt;0),"SIM",IF(COUNTIF(Pessoas!$H:$H,H153)&gt;0,"nome igual em Pessoas: confira o CPF","")))</f>
        <v/>
      </c>
      <c r="L153" s="27"/>
      <c r="M153" s="5"/>
    </row>
    <row r="154" customFormat="false" ht="15" hidden="false" customHeight="false" outlineLevel="0" collapsed="false">
      <c r="A154" s="27"/>
      <c r="B154" s="5"/>
      <c r="C154" s="27"/>
      <c r="D154" s="18"/>
      <c r="E154" s="14"/>
      <c r="F154" s="18"/>
      <c r="G154" s="19" t="str">
        <f aca="false">IF(A154="","",IFERROR(INDEX(Empresas!$B:$B,MATCH(A154,Empresas!$A:$A,0))&amp;"","cadastre o CNPJ em Empresas"))</f>
        <v/>
      </c>
      <c r="H154" s="28" t="str">
        <f aca="false">IF(B154="","",SUBSTITUTE(SUBSTITUTE(SUBSTITUTE(SUBSTITUTE(SUBSTITUTE(SUBSTITUTE(SUBSTITUTE(SUBSTITUTE(SUBSTITUTE(SUBSTITUTE(SUBSTITUTE(SUBSTITUTE(SUBSTITUTE(UPPER(TRIM(B154)),"Á","A"),"À","A"),"Â","A"),"Ã","A"),"É","E"),"Ê","E"),"Í","I"),"Ó","O"),"Ô","O"),"Õ","O"),"Ú","U"),"Ü","U"),"Ç","C"))</f>
        <v/>
      </c>
      <c r="I154" s="28" t="str">
        <f aca="false">IF(C154="","",IF(LEN(SUBSTITUTE(SUBSTITUTE(SUBSTITUTE(SUBSTITUTE(TRIM(C154),"*",""),".",""),"-","")," ",""))=11,MID(SUBSTITUTE(SUBSTITUTE(SUBSTITUTE(SUBSTITUTE(TRIM(C154),"*",""),".",""),"-","")," ",""),4,6),SUBSTITUTE(SUBSTITUTE(SUBSTITUTE(SUBSTITUTE(TRIM(C154),"*",""),".",""),"-","")," ","")))</f>
        <v/>
      </c>
      <c r="J154" s="28" t="str">
        <f aca="false">IF(OR(H154="",I154=""),"",H154&amp;"|"&amp;I154)</f>
        <v/>
      </c>
      <c r="K154" s="19" t="str">
        <f aca="false">IF(H154="","",IF(AND(J154&lt;&gt;"",COUNTIF(Pessoas!$J:$J,J154)&gt;0),"SIM",IF(COUNTIF(Pessoas!$H:$H,H154)&gt;0,"nome igual em Pessoas: confira o CPF","")))</f>
        <v/>
      </c>
      <c r="L154" s="27"/>
      <c r="M154" s="5"/>
    </row>
    <row r="155" customFormat="false" ht="15" hidden="false" customHeight="false" outlineLevel="0" collapsed="false">
      <c r="A155" s="27"/>
      <c r="B155" s="5"/>
      <c r="C155" s="27"/>
      <c r="D155" s="18"/>
      <c r="E155" s="14"/>
      <c r="F155" s="18"/>
      <c r="G155" s="19" t="str">
        <f aca="false">IF(A155="","",IFERROR(INDEX(Empresas!$B:$B,MATCH(A155,Empresas!$A:$A,0))&amp;"","cadastre o CNPJ em Empresas"))</f>
        <v/>
      </c>
      <c r="H155" s="28" t="str">
        <f aca="false">IF(B155="","",SUBSTITUTE(SUBSTITUTE(SUBSTITUTE(SUBSTITUTE(SUBSTITUTE(SUBSTITUTE(SUBSTITUTE(SUBSTITUTE(SUBSTITUTE(SUBSTITUTE(SUBSTITUTE(SUBSTITUTE(SUBSTITUTE(UPPER(TRIM(B155)),"Á","A"),"À","A"),"Â","A"),"Ã","A"),"É","E"),"Ê","E"),"Í","I"),"Ó","O"),"Ô","O"),"Õ","O"),"Ú","U"),"Ü","U"),"Ç","C"))</f>
        <v/>
      </c>
      <c r="I155" s="28" t="str">
        <f aca="false">IF(C155="","",IF(LEN(SUBSTITUTE(SUBSTITUTE(SUBSTITUTE(SUBSTITUTE(TRIM(C155),"*",""),".",""),"-","")," ",""))=11,MID(SUBSTITUTE(SUBSTITUTE(SUBSTITUTE(SUBSTITUTE(TRIM(C155),"*",""),".",""),"-","")," ",""),4,6),SUBSTITUTE(SUBSTITUTE(SUBSTITUTE(SUBSTITUTE(TRIM(C155),"*",""),".",""),"-","")," ","")))</f>
        <v/>
      </c>
      <c r="J155" s="28" t="str">
        <f aca="false">IF(OR(H155="",I155=""),"",H155&amp;"|"&amp;I155)</f>
        <v/>
      </c>
      <c r="K155" s="19" t="str">
        <f aca="false">IF(H155="","",IF(AND(J155&lt;&gt;"",COUNTIF(Pessoas!$J:$J,J155)&gt;0),"SIM",IF(COUNTIF(Pessoas!$H:$H,H155)&gt;0,"nome igual em Pessoas: confira o CPF","")))</f>
        <v/>
      </c>
      <c r="L155" s="27"/>
      <c r="M155" s="5"/>
    </row>
    <row r="156" customFormat="false" ht="15" hidden="false" customHeight="false" outlineLevel="0" collapsed="false">
      <c r="A156" s="27"/>
      <c r="B156" s="5"/>
      <c r="C156" s="27"/>
      <c r="D156" s="18"/>
      <c r="E156" s="14"/>
      <c r="F156" s="18"/>
      <c r="G156" s="19" t="str">
        <f aca="false">IF(A156="","",IFERROR(INDEX(Empresas!$B:$B,MATCH(A156,Empresas!$A:$A,0))&amp;"","cadastre o CNPJ em Empresas"))</f>
        <v/>
      </c>
      <c r="H156" s="28" t="str">
        <f aca="false">IF(B156="","",SUBSTITUTE(SUBSTITUTE(SUBSTITUTE(SUBSTITUTE(SUBSTITUTE(SUBSTITUTE(SUBSTITUTE(SUBSTITUTE(SUBSTITUTE(SUBSTITUTE(SUBSTITUTE(SUBSTITUTE(SUBSTITUTE(UPPER(TRIM(B156)),"Á","A"),"À","A"),"Â","A"),"Ã","A"),"É","E"),"Ê","E"),"Í","I"),"Ó","O"),"Ô","O"),"Õ","O"),"Ú","U"),"Ü","U"),"Ç","C"))</f>
        <v/>
      </c>
      <c r="I156" s="28" t="str">
        <f aca="false">IF(C156="","",IF(LEN(SUBSTITUTE(SUBSTITUTE(SUBSTITUTE(SUBSTITUTE(TRIM(C156),"*",""),".",""),"-","")," ",""))=11,MID(SUBSTITUTE(SUBSTITUTE(SUBSTITUTE(SUBSTITUTE(TRIM(C156),"*",""),".",""),"-","")," ",""),4,6),SUBSTITUTE(SUBSTITUTE(SUBSTITUTE(SUBSTITUTE(TRIM(C156),"*",""),".",""),"-","")," ","")))</f>
        <v/>
      </c>
      <c r="J156" s="28" t="str">
        <f aca="false">IF(OR(H156="",I156=""),"",H156&amp;"|"&amp;I156)</f>
        <v/>
      </c>
      <c r="K156" s="19" t="str">
        <f aca="false">IF(H156="","",IF(AND(J156&lt;&gt;"",COUNTIF(Pessoas!$J:$J,J156)&gt;0),"SIM",IF(COUNTIF(Pessoas!$H:$H,H156)&gt;0,"nome igual em Pessoas: confira o CPF","")))</f>
        <v/>
      </c>
      <c r="L156" s="27"/>
      <c r="M156" s="5"/>
    </row>
    <row r="157" customFormat="false" ht="15" hidden="false" customHeight="false" outlineLevel="0" collapsed="false">
      <c r="A157" s="27"/>
      <c r="B157" s="5"/>
      <c r="C157" s="27"/>
      <c r="D157" s="18"/>
      <c r="E157" s="14"/>
      <c r="F157" s="18"/>
      <c r="G157" s="19" t="str">
        <f aca="false">IF(A157="","",IFERROR(INDEX(Empresas!$B:$B,MATCH(A157,Empresas!$A:$A,0))&amp;"","cadastre o CNPJ em Empresas"))</f>
        <v/>
      </c>
      <c r="H157" s="28" t="str">
        <f aca="false">IF(B157="","",SUBSTITUTE(SUBSTITUTE(SUBSTITUTE(SUBSTITUTE(SUBSTITUTE(SUBSTITUTE(SUBSTITUTE(SUBSTITUTE(SUBSTITUTE(SUBSTITUTE(SUBSTITUTE(SUBSTITUTE(SUBSTITUTE(UPPER(TRIM(B157)),"Á","A"),"À","A"),"Â","A"),"Ã","A"),"É","E"),"Ê","E"),"Í","I"),"Ó","O"),"Ô","O"),"Õ","O"),"Ú","U"),"Ü","U"),"Ç","C"))</f>
        <v/>
      </c>
      <c r="I157" s="28" t="str">
        <f aca="false">IF(C157="","",IF(LEN(SUBSTITUTE(SUBSTITUTE(SUBSTITUTE(SUBSTITUTE(TRIM(C157),"*",""),".",""),"-","")," ",""))=11,MID(SUBSTITUTE(SUBSTITUTE(SUBSTITUTE(SUBSTITUTE(TRIM(C157),"*",""),".",""),"-","")," ",""),4,6),SUBSTITUTE(SUBSTITUTE(SUBSTITUTE(SUBSTITUTE(TRIM(C157),"*",""),".",""),"-","")," ","")))</f>
        <v/>
      </c>
      <c r="J157" s="28" t="str">
        <f aca="false">IF(OR(H157="",I157=""),"",H157&amp;"|"&amp;I157)</f>
        <v/>
      </c>
      <c r="K157" s="19" t="str">
        <f aca="false">IF(H157="","",IF(AND(J157&lt;&gt;"",COUNTIF(Pessoas!$J:$J,J157)&gt;0),"SIM",IF(COUNTIF(Pessoas!$H:$H,H157)&gt;0,"nome igual em Pessoas: confira o CPF","")))</f>
        <v/>
      </c>
      <c r="L157" s="27"/>
      <c r="M157" s="5"/>
    </row>
    <row r="158" customFormat="false" ht="15" hidden="false" customHeight="false" outlineLevel="0" collapsed="false">
      <c r="A158" s="27"/>
      <c r="B158" s="5"/>
      <c r="C158" s="27"/>
      <c r="D158" s="18"/>
      <c r="E158" s="14"/>
      <c r="F158" s="18"/>
      <c r="G158" s="19" t="str">
        <f aca="false">IF(A158="","",IFERROR(INDEX(Empresas!$B:$B,MATCH(A158,Empresas!$A:$A,0))&amp;"","cadastre o CNPJ em Empresas"))</f>
        <v/>
      </c>
      <c r="H158" s="28" t="str">
        <f aca="false">IF(B158="","",SUBSTITUTE(SUBSTITUTE(SUBSTITUTE(SUBSTITUTE(SUBSTITUTE(SUBSTITUTE(SUBSTITUTE(SUBSTITUTE(SUBSTITUTE(SUBSTITUTE(SUBSTITUTE(SUBSTITUTE(SUBSTITUTE(UPPER(TRIM(B158)),"Á","A"),"À","A"),"Â","A"),"Ã","A"),"É","E"),"Ê","E"),"Í","I"),"Ó","O"),"Ô","O"),"Õ","O"),"Ú","U"),"Ü","U"),"Ç","C"))</f>
        <v/>
      </c>
      <c r="I158" s="28" t="str">
        <f aca="false">IF(C158="","",IF(LEN(SUBSTITUTE(SUBSTITUTE(SUBSTITUTE(SUBSTITUTE(TRIM(C158),"*",""),".",""),"-","")," ",""))=11,MID(SUBSTITUTE(SUBSTITUTE(SUBSTITUTE(SUBSTITUTE(TRIM(C158),"*",""),".",""),"-","")," ",""),4,6),SUBSTITUTE(SUBSTITUTE(SUBSTITUTE(SUBSTITUTE(TRIM(C158),"*",""),".",""),"-","")," ","")))</f>
        <v/>
      </c>
      <c r="J158" s="28" t="str">
        <f aca="false">IF(OR(H158="",I158=""),"",H158&amp;"|"&amp;I158)</f>
        <v/>
      </c>
      <c r="K158" s="19" t="str">
        <f aca="false">IF(H158="","",IF(AND(J158&lt;&gt;"",COUNTIF(Pessoas!$J:$J,J158)&gt;0),"SIM",IF(COUNTIF(Pessoas!$H:$H,H158)&gt;0,"nome igual em Pessoas: confira o CPF","")))</f>
        <v/>
      </c>
      <c r="L158" s="27"/>
      <c r="M158" s="5"/>
    </row>
    <row r="159" customFormat="false" ht="15" hidden="false" customHeight="false" outlineLevel="0" collapsed="false">
      <c r="A159" s="27"/>
      <c r="B159" s="5"/>
      <c r="C159" s="27"/>
      <c r="D159" s="18"/>
      <c r="E159" s="14"/>
      <c r="F159" s="18"/>
      <c r="G159" s="19" t="str">
        <f aca="false">IF(A159="","",IFERROR(INDEX(Empresas!$B:$B,MATCH(A159,Empresas!$A:$A,0))&amp;"","cadastre o CNPJ em Empresas"))</f>
        <v/>
      </c>
      <c r="H159" s="28" t="str">
        <f aca="false">IF(B159="","",SUBSTITUTE(SUBSTITUTE(SUBSTITUTE(SUBSTITUTE(SUBSTITUTE(SUBSTITUTE(SUBSTITUTE(SUBSTITUTE(SUBSTITUTE(SUBSTITUTE(SUBSTITUTE(SUBSTITUTE(SUBSTITUTE(UPPER(TRIM(B159)),"Á","A"),"À","A"),"Â","A"),"Ã","A"),"É","E"),"Ê","E"),"Í","I"),"Ó","O"),"Ô","O"),"Õ","O"),"Ú","U"),"Ü","U"),"Ç","C"))</f>
        <v/>
      </c>
      <c r="I159" s="28" t="str">
        <f aca="false">IF(C159="","",IF(LEN(SUBSTITUTE(SUBSTITUTE(SUBSTITUTE(SUBSTITUTE(TRIM(C159),"*",""),".",""),"-","")," ",""))=11,MID(SUBSTITUTE(SUBSTITUTE(SUBSTITUTE(SUBSTITUTE(TRIM(C159),"*",""),".",""),"-","")," ",""),4,6),SUBSTITUTE(SUBSTITUTE(SUBSTITUTE(SUBSTITUTE(TRIM(C159),"*",""),".",""),"-","")," ","")))</f>
        <v/>
      </c>
      <c r="J159" s="28" t="str">
        <f aca="false">IF(OR(H159="",I159=""),"",H159&amp;"|"&amp;I159)</f>
        <v/>
      </c>
      <c r="K159" s="19" t="str">
        <f aca="false">IF(H159="","",IF(AND(J159&lt;&gt;"",COUNTIF(Pessoas!$J:$J,J159)&gt;0),"SIM",IF(COUNTIF(Pessoas!$H:$H,H159)&gt;0,"nome igual em Pessoas: confira o CPF","")))</f>
        <v/>
      </c>
      <c r="L159" s="27"/>
      <c r="M159" s="5"/>
    </row>
    <row r="160" customFormat="false" ht="15" hidden="false" customHeight="false" outlineLevel="0" collapsed="false">
      <c r="A160" s="27"/>
      <c r="B160" s="5"/>
      <c r="C160" s="27"/>
      <c r="D160" s="18"/>
      <c r="E160" s="14"/>
      <c r="F160" s="18"/>
      <c r="G160" s="19" t="str">
        <f aca="false">IF(A160="","",IFERROR(INDEX(Empresas!$B:$B,MATCH(A160,Empresas!$A:$A,0))&amp;"","cadastre o CNPJ em Empresas"))</f>
        <v/>
      </c>
      <c r="H160" s="28" t="str">
        <f aca="false">IF(B160="","",SUBSTITUTE(SUBSTITUTE(SUBSTITUTE(SUBSTITUTE(SUBSTITUTE(SUBSTITUTE(SUBSTITUTE(SUBSTITUTE(SUBSTITUTE(SUBSTITUTE(SUBSTITUTE(SUBSTITUTE(SUBSTITUTE(UPPER(TRIM(B160)),"Á","A"),"À","A"),"Â","A"),"Ã","A"),"É","E"),"Ê","E"),"Í","I"),"Ó","O"),"Ô","O"),"Õ","O"),"Ú","U"),"Ü","U"),"Ç","C"))</f>
        <v/>
      </c>
      <c r="I160" s="28" t="str">
        <f aca="false">IF(C160="","",IF(LEN(SUBSTITUTE(SUBSTITUTE(SUBSTITUTE(SUBSTITUTE(TRIM(C160),"*",""),".",""),"-","")," ",""))=11,MID(SUBSTITUTE(SUBSTITUTE(SUBSTITUTE(SUBSTITUTE(TRIM(C160),"*",""),".",""),"-","")," ",""),4,6),SUBSTITUTE(SUBSTITUTE(SUBSTITUTE(SUBSTITUTE(TRIM(C160),"*",""),".",""),"-","")," ","")))</f>
        <v/>
      </c>
      <c r="J160" s="28" t="str">
        <f aca="false">IF(OR(H160="",I160=""),"",H160&amp;"|"&amp;I160)</f>
        <v/>
      </c>
      <c r="K160" s="19" t="str">
        <f aca="false">IF(H160="","",IF(AND(J160&lt;&gt;"",COUNTIF(Pessoas!$J:$J,J160)&gt;0),"SIM",IF(COUNTIF(Pessoas!$H:$H,H160)&gt;0,"nome igual em Pessoas: confira o CPF","")))</f>
        <v/>
      </c>
      <c r="L160" s="27"/>
      <c r="M160" s="5"/>
    </row>
    <row r="161" customFormat="false" ht="15" hidden="false" customHeight="false" outlineLevel="0" collapsed="false">
      <c r="A161" s="27"/>
      <c r="B161" s="5"/>
      <c r="C161" s="27"/>
      <c r="D161" s="18"/>
      <c r="E161" s="14"/>
      <c r="F161" s="18"/>
      <c r="G161" s="19" t="str">
        <f aca="false">IF(A161="","",IFERROR(INDEX(Empresas!$B:$B,MATCH(A161,Empresas!$A:$A,0))&amp;"","cadastre o CNPJ em Empresas"))</f>
        <v/>
      </c>
      <c r="H161" s="28" t="str">
        <f aca="false">IF(B161="","",SUBSTITUTE(SUBSTITUTE(SUBSTITUTE(SUBSTITUTE(SUBSTITUTE(SUBSTITUTE(SUBSTITUTE(SUBSTITUTE(SUBSTITUTE(SUBSTITUTE(SUBSTITUTE(SUBSTITUTE(SUBSTITUTE(UPPER(TRIM(B161)),"Á","A"),"À","A"),"Â","A"),"Ã","A"),"É","E"),"Ê","E"),"Í","I"),"Ó","O"),"Ô","O"),"Õ","O"),"Ú","U"),"Ü","U"),"Ç","C"))</f>
        <v/>
      </c>
      <c r="I161" s="28" t="str">
        <f aca="false">IF(C161="","",IF(LEN(SUBSTITUTE(SUBSTITUTE(SUBSTITUTE(SUBSTITUTE(TRIM(C161),"*",""),".",""),"-","")," ",""))=11,MID(SUBSTITUTE(SUBSTITUTE(SUBSTITUTE(SUBSTITUTE(TRIM(C161),"*",""),".",""),"-","")," ",""),4,6),SUBSTITUTE(SUBSTITUTE(SUBSTITUTE(SUBSTITUTE(TRIM(C161),"*",""),".",""),"-","")," ","")))</f>
        <v/>
      </c>
      <c r="J161" s="28" t="str">
        <f aca="false">IF(OR(H161="",I161=""),"",H161&amp;"|"&amp;I161)</f>
        <v/>
      </c>
      <c r="K161" s="19" t="str">
        <f aca="false">IF(H161="","",IF(AND(J161&lt;&gt;"",COUNTIF(Pessoas!$J:$J,J161)&gt;0),"SIM",IF(COUNTIF(Pessoas!$H:$H,H161)&gt;0,"nome igual em Pessoas: confira o CPF","")))</f>
        <v/>
      </c>
      <c r="L161" s="27"/>
      <c r="M161" s="5"/>
    </row>
    <row r="162" customFormat="false" ht="15" hidden="false" customHeight="false" outlineLevel="0" collapsed="false">
      <c r="A162" s="27"/>
      <c r="B162" s="5"/>
      <c r="C162" s="27"/>
      <c r="D162" s="18"/>
      <c r="E162" s="14"/>
      <c r="F162" s="18"/>
      <c r="G162" s="19" t="str">
        <f aca="false">IF(A162="","",IFERROR(INDEX(Empresas!$B:$B,MATCH(A162,Empresas!$A:$A,0))&amp;"","cadastre o CNPJ em Empresas"))</f>
        <v/>
      </c>
      <c r="H162" s="28" t="str">
        <f aca="false">IF(B162="","",SUBSTITUTE(SUBSTITUTE(SUBSTITUTE(SUBSTITUTE(SUBSTITUTE(SUBSTITUTE(SUBSTITUTE(SUBSTITUTE(SUBSTITUTE(SUBSTITUTE(SUBSTITUTE(SUBSTITUTE(SUBSTITUTE(UPPER(TRIM(B162)),"Á","A"),"À","A"),"Â","A"),"Ã","A"),"É","E"),"Ê","E"),"Í","I"),"Ó","O"),"Ô","O"),"Õ","O"),"Ú","U"),"Ü","U"),"Ç","C"))</f>
        <v/>
      </c>
      <c r="I162" s="28" t="str">
        <f aca="false">IF(C162="","",IF(LEN(SUBSTITUTE(SUBSTITUTE(SUBSTITUTE(SUBSTITUTE(TRIM(C162),"*",""),".",""),"-","")," ",""))=11,MID(SUBSTITUTE(SUBSTITUTE(SUBSTITUTE(SUBSTITUTE(TRIM(C162),"*",""),".",""),"-","")," ",""),4,6),SUBSTITUTE(SUBSTITUTE(SUBSTITUTE(SUBSTITUTE(TRIM(C162),"*",""),".",""),"-","")," ","")))</f>
        <v/>
      </c>
      <c r="J162" s="28" t="str">
        <f aca="false">IF(OR(H162="",I162=""),"",H162&amp;"|"&amp;I162)</f>
        <v/>
      </c>
      <c r="K162" s="19" t="str">
        <f aca="false">IF(H162="","",IF(AND(J162&lt;&gt;"",COUNTIF(Pessoas!$J:$J,J162)&gt;0),"SIM",IF(COUNTIF(Pessoas!$H:$H,H162)&gt;0,"nome igual em Pessoas: confira o CPF","")))</f>
        <v/>
      </c>
      <c r="L162" s="27"/>
      <c r="M162" s="5"/>
    </row>
    <row r="163" customFormat="false" ht="15" hidden="false" customHeight="false" outlineLevel="0" collapsed="false">
      <c r="A163" s="27"/>
      <c r="B163" s="5"/>
      <c r="C163" s="27"/>
      <c r="D163" s="18"/>
      <c r="E163" s="14"/>
      <c r="F163" s="18"/>
      <c r="G163" s="19" t="str">
        <f aca="false">IF(A163="","",IFERROR(INDEX(Empresas!$B:$B,MATCH(A163,Empresas!$A:$A,0))&amp;"","cadastre o CNPJ em Empresas"))</f>
        <v/>
      </c>
      <c r="H163" s="28" t="str">
        <f aca="false">IF(B163="","",SUBSTITUTE(SUBSTITUTE(SUBSTITUTE(SUBSTITUTE(SUBSTITUTE(SUBSTITUTE(SUBSTITUTE(SUBSTITUTE(SUBSTITUTE(SUBSTITUTE(SUBSTITUTE(SUBSTITUTE(SUBSTITUTE(UPPER(TRIM(B163)),"Á","A"),"À","A"),"Â","A"),"Ã","A"),"É","E"),"Ê","E"),"Í","I"),"Ó","O"),"Ô","O"),"Õ","O"),"Ú","U"),"Ü","U"),"Ç","C"))</f>
        <v/>
      </c>
      <c r="I163" s="28" t="str">
        <f aca="false">IF(C163="","",IF(LEN(SUBSTITUTE(SUBSTITUTE(SUBSTITUTE(SUBSTITUTE(TRIM(C163),"*",""),".",""),"-","")," ",""))=11,MID(SUBSTITUTE(SUBSTITUTE(SUBSTITUTE(SUBSTITUTE(TRIM(C163),"*",""),".",""),"-","")," ",""),4,6),SUBSTITUTE(SUBSTITUTE(SUBSTITUTE(SUBSTITUTE(TRIM(C163),"*",""),".",""),"-","")," ","")))</f>
        <v/>
      </c>
      <c r="J163" s="28" t="str">
        <f aca="false">IF(OR(H163="",I163=""),"",H163&amp;"|"&amp;I163)</f>
        <v/>
      </c>
      <c r="K163" s="19" t="str">
        <f aca="false">IF(H163="","",IF(AND(J163&lt;&gt;"",COUNTIF(Pessoas!$J:$J,J163)&gt;0),"SIM",IF(COUNTIF(Pessoas!$H:$H,H163)&gt;0,"nome igual em Pessoas: confira o CPF","")))</f>
        <v/>
      </c>
      <c r="L163" s="27"/>
      <c r="M163" s="5"/>
    </row>
    <row r="164" customFormat="false" ht="15" hidden="false" customHeight="false" outlineLevel="0" collapsed="false">
      <c r="A164" s="27"/>
      <c r="B164" s="5"/>
      <c r="C164" s="27"/>
      <c r="D164" s="18"/>
      <c r="E164" s="14"/>
      <c r="F164" s="18"/>
      <c r="G164" s="19" t="str">
        <f aca="false">IF(A164="","",IFERROR(INDEX(Empresas!$B:$B,MATCH(A164,Empresas!$A:$A,0))&amp;"","cadastre o CNPJ em Empresas"))</f>
        <v/>
      </c>
      <c r="H164" s="28" t="str">
        <f aca="false">IF(B164="","",SUBSTITUTE(SUBSTITUTE(SUBSTITUTE(SUBSTITUTE(SUBSTITUTE(SUBSTITUTE(SUBSTITUTE(SUBSTITUTE(SUBSTITUTE(SUBSTITUTE(SUBSTITUTE(SUBSTITUTE(SUBSTITUTE(UPPER(TRIM(B164)),"Á","A"),"À","A"),"Â","A"),"Ã","A"),"É","E"),"Ê","E"),"Í","I"),"Ó","O"),"Ô","O"),"Õ","O"),"Ú","U"),"Ü","U"),"Ç","C"))</f>
        <v/>
      </c>
      <c r="I164" s="28" t="str">
        <f aca="false">IF(C164="","",IF(LEN(SUBSTITUTE(SUBSTITUTE(SUBSTITUTE(SUBSTITUTE(TRIM(C164),"*",""),".",""),"-","")," ",""))=11,MID(SUBSTITUTE(SUBSTITUTE(SUBSTITUTE(SUBSTITUTE(TRIM(C164),"*",""),".",""),"-","")," ",""),4,6),SUBSTITUTE(SUBSTITUTE(SUBSTITUTE(SUBSTITUTE(TRIM(C164),"*",""),".",""),"-","")," ","")))</f>
        <v/>
      </c>
      <c r="J164" s="28" t="str">
        <f aca="false">IF(OR(H164="",I164=""),"",H164&amp;"|"&amp;I164)</f>
        <v/>
      </c>
      <c r="K164" s="19" t="str">
        <f aca="false">IF(H164="","",IF(AND(J164&lt;&gt;"",COUNTIF(Pessoas!$J:$J,J164)&gt;0),"SIM",IF(COUNTIF(Pessoas!$H:$H,H164)&gt;0,"nome igual em Pessoas: confira o CPF","")))</f>
        <v/>
      </c>
      <c r="L164" s="27"/>
      <c r="M164" s="5"/>
    </row>
    <row r="165" customFormat="false" ht="15" hidden="false" customHeight="false" outlineLevel="0" collapsed="false">
      <c r="A165" s="27"/>
      <c r="B165" s="5"/>
      <c r="C165" s="27"/>
      <c r="D165" s="18"/>
      <c r="E165" s="14"/>
      <c r="F165" s="18"/>
      <c r="G165" s="19" t="str">
        <f aca="false">IF(A165="","",IFERROR(INDEX(Empresas!$B:$B,MATCH(A165,Empresas!$A:$A,0))&amp;"","cadastre o CNPJ em Empresas"))</f>
        <v/>
      </c>
      <c r="H165" s="28" t="str">
        <f aca="false">IF(B165="","",SUBSTITUTE(SUBSTITUTE(SUBSTITUTE(SUBSTITUTE(SUBSTITUTE(SUBSTITUTE(SUBSTITUTE(SUBSTITUTE(SUBSTITUTE(SUBSTITUTE(SUBSTITUTE(SUBSTITUTE(SUBSTITUTE(UPPER(TRIM(B165)),"Á","A"),"À","A"),"Â","A"),"Ã","A"),"É","E"),"Ê","E"),"Í","I"),"Ó","O"),"Ô","O"),"Õ","O"),"Ú","U"),"Ü","U"),"Ç","C"))</f>
        <v/>
      </c>
      <c r="I165" s="28" t="str">
        <f aca="false">IF(C165="","",IF(LEN(SUBSTITUTE(SUBSTITUTE(SUBSTITUTE(SUBSTITUTE(TRIM(C165),"*",""),".",""),"-","")," ",""))=11,MID(SUBSTITUTE(SUBSTITUTE(SUBSTITUTE(SUBSTITUTE(TRIM(C165),"*",""),".",""),"-","")," ",""),4,6),SUBSTITUTE(SUBSTITUTE(SUBSTITUTE(SUBSTITUTE(TRIM(C165),"*",""),".",""),"-","")," ","")))</f>
        <v/>
      </c>
      <c r="J165" s="28" t="str">
        <f aca="false">IF(OR(H165="",I165=""),"",H165&amp;"|"&amp;I165)</f>
        <v/>
      </c>
      <c r="K165" s="19" t="str">
        <f aca="false">IF(H165="","",IF(AND(J165&lt;&gt;"",COUNTIF(Pessoas!$J:$J,J165)&gt;0),"SIM",IF(COUNTIF(Pessoas!$H:$H,H165)&gt;0,"nome igual em Pessoas: confira o CPF","")))</f>
        <v/>
      </c>
      <c r="L165" s="27"/>
      <c r="M165" s="5"/>
    </row>
    <row r="166" customFormat="false" ht="15" hidden="false" customHeight="false" outlineLevel="0" collapsed="false">
      <c r="A166" s="27"/>
      <c r="B166" s="5"/>
      <c r="C166" s="27"/>
      <c r="D166" s="18"/>
      <c r="E166" s="14"/>
      <c r="F166" s="18"/>
      <c r="G166" s="19" t="str">
        <f aca="false">IF(A166="","",IFERROR(INDEX(Empresas!$B:$B,MATCH(A166,Empresas!$A:$A,0))&amp;"","cadastre o CNPJ em Empresas"))</f>
        <v/>
      </c>
      <c r="H166" s="28" t="str">
        <f aca="false">IF(B166="","",SUBSTITUTE(SUBSTITUTE(SUBSTITUTE(SUBSTITUTE(SUBSTITUTE(SUBSTITUTE(SUBSTITUTE(SUBSTITUTE(SUBSTITUTE(SUBSTITUTE(SUBSTITUTE(SUBSTITUTE(SUBSTITUTE(UPPER(TRIM(B166)),"Á","A"),"À","A"),"Â","A"),"Ã","A"),"É","E"),"Ê","E"),"Í","I"),"Ó","O"),"Ô","O"),"Õ","O"),"Ú","U"),"Ü","U"),"Ç","C"))</f>
        <v/>
      </c>
      <c r="I166" s="28" t="str">
        <f aca="false">IF(C166="","",IF(LEN(SUBSTITUTE(SUBSTITUTE(SUBSTITUTE(SUBSTITUTE(TRIM(C166),"*",""),".",""),"-","")," ",""))=11,MID(SUBSTITUTE(SUBSTITUTE(SUBSTITUTE(SUBSTITUTE(TRIM(C166),"*",""),".",""),"-","")," ",""),4,6),SUBSTITUTE(SUBSTITUTE(SUBSTITUTE(SUBSTITUTE(TRIM(C166),"*",""),".",""),"-","")," ","")))</f>
        <v/>
      </c>
      <c r="J166" s="28" t="str">
        <f aca="false">IF(OR(H166="",I166=""),"",H166&amp;"|"&amp;I166)</f>
        <v/>
      </c>
      <c r="K166" s="19" t="str">
        <f aca="false">IF(H166="","",IF(AND(J166&lt;&gt;"",COUNTIF(Pessoas!$J:$J,J166)&gt;0),"SIM",IF(COUNTIF(Pessoas!$H:$H,H166)&gt;0,"nome igual em Pessoas: confira o CPF","")))</f>
        <v/>
      </c>
      <c r="L166" s="27"/>
      <c r="M166" s="5"/>
    </row>
    <row r="167" customFormat="false" ht="15" hidden="false" customHeight="false" outlineLevel="0" collapsed="false">
      <c r="A167" s="27"/>
      <c r="B167" s="5"/>
      <c r="C167" s="27"/>
      <c r="D167" s="18"/>
      <c r="E167" s="14"/>
      <c r="F167" s="18"/>
      <c r="G167" s="19" t="str">
        <f aca="false">IF(A167="","",IFERROR(INDEX(Empresas!$B:$B,MATCH(A167,Empresas!$A:$A,0))&amp;"","cadastre o CNPJ em Empresas"))</f>
        <v/>
      </c>
      <c r="H167" s="28" t="str">
        <f aca="false">IF(B167="","",SUBSTITUTE(SUBSTITUTE(SUBSTITUTE(SUBSTITUTE(SUBSTITUTE(SUBSTITUTE(SUBSTITUTE(SUBSTITUTE(SUBSTITUTE(SUBSTITUTE(SUBSTITUTE(SUBSTITUTE(SUBSTITUTE(UPPER(TRIM(B167)),"Á","A"),"À","A"),"Â","A"),"Ã","A"),"É","E"),"Ê","E"),"Í","I"),"Ó","O"),"Ô","O"),"Õ","O"),"Ú","U"),"Ü","U"),"Ç","C"))</f>
        <v/>
      </c>
      <c r="I167" s="28" t="str">
        <f aca="false">IF(C167="","",IF(LEN(SUBSTITUTE(SUBSTITUTE(SUBSTITUTE(SUBSTITUTE(TRIM(C167),"*",""),".",""),"-","")," ",""))=11,MID(SUBSTITUTE(SUBSTITUTE(SUBSTITUTE(SUBSTITUTE(TRIM(C167),"*",""),".",""),"-","")," ",""),4,6),SUBSTITUTE(SUBSTITUTE(SUBSTITUTE(SUBSTITUTE(TRIM(C167),"*",""),".",""),"-","")," ","")))</f>
        <v/>
      </c>
      <c r="J167" s="28" t="str">
        <f aca="false">IF(OR(H167="",I167=""),"",H167&amp;"|"&amp;I167)</f>
        <v/>
      </c>
      <c r="K167" s="19" t="str">
        <f aca="false">IF(H167="","",IF(AND(J167&lt;&gt;"",COUNTIF(Pessoas!$J:$J,J167)&gt;0),"SIM",IF(COUNTIF(Pessoas!$H:$H,H167)&gt;0,"nome igual em Pessoas: confira o CPF","")))</f>
        <v/>
      </c>
      <c r="L167" s="27"/>
      <c r="M167" s="5"/>
    </row>
    <row r="168" customFormat="false" ht="15" hidden="false" customHeight="false" outlineLevel="0" collapsed="false">
      <c r="A168" s="27"/>
      <c r="B168" s="5"/>
      <c r="C168" s="27"/>
      <c r="D168" s="18"/>
      <c r="E168" s="14"/>
      <c r="F168" s="18"/>
      <c r="G168" s="19" t="str">
        <f aca="false">IF(A168="","",IFERROR(INDEX(Empresas!$B:$B,MATCH(A168,Empresas!$A:$A,0))&amp;"","cadastre o CNPJ em Empresas"))</f>
        <v/>
      </c>
      <c r="H168" s="28" t="str">
        <f aca="false">IF(B168="","",SUBSTITUTE(SUBSTITUTE(SUBSTITUTE(SUBSTITUTE(SUBSTITUTE(SUBSTITUTE(SUBSTITUTE(SUBSTITUTE(SUBSTITUTE(SUBSTITUTE(SUBSTITUTE(SUBSTITUTE(SUBSTITUTE(UPPER(TRIM(B168)),"Á","A"),"À","A"),"Â","A"),"Ã","A"),"É","E"),"Ê","E"),"Í","I"),"Ó","O"),"Ô","O"),"Õ","O"),"Ú","U"),"Ü","U"),"Ç","C"))</f>
        <v/>
      </c>
      <c r="I168" s="28" t="str">
        <f aca="false">IF(C168="","",IF(LEN(SUBSTITUTE(SUBSTITUTE(SUBSTITUTE(SUBSTITUTE(TRIM(C168),"*",""),".",""),"-","")," ",""))=11,MID(SUBSTITUTE(SUBSTITUTE(SUBSTITUTE(SUBSTITUTE(TRIM(C168),"*",""),".",""),"-","")," ",""),4,6),SUBSTITUTE(SUBSTITUTE(SUBSTITUTE(SUBSTITUTE(TRIM(C168),"*",""),".",""),"-","")," ","")))</f>
        <v/>
      </c>
      <c r="J168" s="28" t="str">
        <f aca="false">IF(OR(H168="",I168=""),"",H168&amp;"|"&amp;I168)</f>
        <v/>
      </c>
      <c r="K168" s="19" t="str">
        <f aca="false">IF(H168="","",IF(AND(J168&lt;&gt;"",COUNTIF(Pessoas!$J:$J,J168)&gt;0),"SIM",IF(COUNTIF(Pessoas!$H:$H,H168)&gt;0,"nome igual em Pessoas: confira o CPF","")))</f>
        <v/>
      </c>
      <c r="L168" s="27"/>
      <c r="M168" s="5"/>
    </row>
    <row r="169" customFormat="false" ht="15" hidden="false" customHeight="false" outlineLevel="0" collapsed="false">
      <c r="A169" s="27"/>
      <c r="B169" s="5"/>
      <c r="C169" s="27"/>
      <c r="D169" s="18"/>
      <c r="E169" s="14"/>
      <c r="F169" s="18"/>
      <c r="G169" s="19" t="str">
        <f aca="false">IF(A169="","",IFERROR(INDEX(Empresas!$B:$B,MATCH(A169,Empresas!$A:$A,0))&amp;"","cadastre o CNPJ em Empresas"))</f>
        <v/>
      </c>
      <c r="H169" s="28" t="str">
        <f aca="false">IF(B169="","",SUBSTITUTE(SUBSTITUTE(SUBSTITUTE(SUBSTITUTE(SUBSTITUTE(SUBSTITUTE(SUBSTITUTE(SUBSTITUTE(SUBSTITUTE(SUBSTITUTE(SUBSTITUTE(SUBSTITUTE(SUBSTITUTE(UPPER(TRIM(B169)),"Á","A"),"À","A"),"Â","A"),"Ã","A"),"É","E"),"Ê","E"),"Í","I"),"Ó","O"),"Ô","O"),"Õ","O"),"Ú","U"),"Ü","U"),"Ç","C"))</f>
        <v/>
      </c>
      <c r="I169" s="28" t="str">
        <f aca="false">IF(C169="","",IF(LEN(SUBSTITUTE(SUBSTITUTE(SUBSTITUTE(SUBSTITUTE(TRIM(C169),"*",""),".",""),"-","")," ",""))=11,MID(SUBSTITUTE(SUBSTITUTE(SUBSTITUTE(SUBSTITUTE(TRIM(C169),"*",""),".",""),"-","")," ",""),4,6),SUBSTITUTE(SUBSTITUTE(SUBSTITUTE(SUBSTITUTE(TRIM(C169),"*",""),".",""),"-","")," ","")))</f>
        <v/>
      </c>
      <c r="J169" s="28" t="str">
        <f aca="false">IF(OR(H169="",I169=""),"",H169&amp;"|"&amp;I169)</f>
        <v/>
      </c>
      <c r="K169" s="19" t="str">
        <f aca="false">IF(H169="","",IF(AND(J169&lt;&gt;"",COUNTIF(Pessoas!$J:$J,J169)&gt;0),"SIM",IF(COUNTIF(Pessoas!$H:$H,H169)&gt;0,"nome igual em Pessoas: confira o CPF","")))</f>
        <v/>
      </c>
      <c r="L169" s="27"/>
      <c r="M169" s="5"/>
    </row>
    <row r="170" customFormat="false" ht="15" hidden="false" customHeight="false" outlineLevel="0" collapsed="false">
      <c r="A170" s="27"/>
      <c r="B170" s="5"/>
      <c r="C170" s="27"/>
      <c r="D170" s="18"/>
      <c r="E170" s="14"/>
      <c r="F170" s="18"/>
      <c r="G170" s="19" t="str">
        <f aca="false">IF(A170="","",IFERROR(INDEX(Empresas!$B:$B,MATCH(A170,Empresas!$A:$A,0))&amp;"","cadastre o CNPJ em Empresas"))</f>
        <v/>
      </c>
      <c r="H170" s="28" t="str">
        <f aca="false">IF(B170="","",SUBSTITUTE(SUBSTITUTE(SUBSTITUTE(SUBSTITUTE(SUBSTITUTE(SUBSTITUTE(SUBSTITUTE(SUBSTITUTE(SUBSTITUTE(SUBSTITUTE(SUBSTITUTE(SUBSTITUTE(SUBSTITUTE(UPPER(TRIM(B170)),"Á","A"),"À","A"),"Â","A"),"Ã","A"),"É","E"),"Ê","E"),"Í","I"),"Ó","O"),"Ô","O"),"Õ","O"),"Ú","U"),"Ü","U"),"Ç","C"))</f>
        <v/>
      </c>
      <c r="I170" s="28" t="str">
        <f aca="false">IF(C170="","",IF(LEN(SUBSTITUTE(SUBSTITUTE(SUBSTITUTE(SUBSTITUTE(TRIM(C170),"*",""),".",""),"-","")," ",""))=11,MID(SUBSTITUTE(SUBSTITUTE(SUBSTITUTE(SUBSTITUTE(TRIM(C170),"*",""),".",""),"-","")," ",""),4,6),SUBSTITUTE(SUBSTITUTE(SUBSTITUTE(SUBSTITUTE(TRIM(C170),"*",""),".",""),"-","")," ","")))</f>
        <v/>
      </c>
      <c r="J170" s="28" t="str">
        <f aca="false">IF(OR(H170="",I170=""),"",H170&amp;"|"&amp;I170)</f>
        <v/>
      </c>
      <c r="K170" s="19" t="str">
        <f aca="false">IF(H170="","",IF(AND(J170&lt;&gt;"",COUNTIF(Pessoas!$J:$J,J170)&gt;0),"SIM",IF(COUNTIF(Pessoas!$H:$H,H170)&gt;0,"nome igual em Pessoas: confira o CPF","")))</f>
        <v/>
      </c>
      <c r="L170" s="27"/>
      <c r="M170" s="5"/>
    </row>
    <row r="171" customFormat="false" ht="15" hidden="false" customHeight="false" outlineLevel="0" collapsed="false">
      <c r="A171" s="27"/>
      <c r="B171" s="5"/>
      <c r="C171" s="27"/>
      <c r="D171" s="18"/>
      <c r="E171" s="14"/>
      <c r="F171" s="18"/>
      <c r="G171" s="19" t="str">
        <f aca="false">IF(A171="","",IFERROR(INDEX(Empresas!$B:$B,MATCH(A171,Empresas!$A:$A,0))&amp;"","cadastre o CNPJ em Empresas"))</f>
        <v/>
      </c>
      <c r="H171" s="28" t="str">
        <f aca="false">IF(B171="","",SUBSTITUTE(SUBSTITUTE(SUBSTITUTE(SUBSTITUTE(SUBSTITUTE(SUBSTITUTE(SUBSTITUTE(SUBSTITUTE(SUBSTITUTE(SUBSTITUTE(SUBSTITUTE(SUBSTITUTE(SUBSTITUTE(UPPER(TRIM(B171)),"Á","A"),"À","A"),"Â","A"),"Ã","A"),"É","E"),"Ê","E"),"Í","I"),"Ó","O"),"Ô","O"),"Õ","O"),"Ú","U"),"Ü","U"),"Ç","C"))</f>
        <v/>
      </c>
      <c r="I171" s="28" t="str">
        <f aca="false">IF(C171="","",IF(LEN(SUBSTITUTE(SUBSTITUTE(SUBSTITUTE(SUBSTITUTE(TRIM(C171),"*",""),".",""),"-","")," ",""))=11,MID(SUBSTITUTE(SUBSTITUTE(SUBSTITUTE(SUBSTITUTE(TRIM(C171),"*",""),".",""),"-","")," ",""),4,6),SUBSTITUTE(SUBSTITUTE(SUBSTITUTE(SUBSTITUTE(TRIM(C171),"*",""),".",""),"-","")," ","")))</f>
        <v/>
      </c>
      <c r="J171" s="28" t="str">
        <f aca="false">IF(OR(H171="",I171=""),"",H171&amp;"|"&amp;I171)</f>
        <v/>
      </c>
      <c r="K171" s="19" t="str">
        <f aca="false">IF(H171="","",IF(AND(J171&lt;&gt;"",COUNTIF(Pessoas!$J:$J,J171)&gt;0),"SIM",IF(COUNTIF(Pessoas!$H:$H,H171)&gt;0,"nome igual em Pessoas: confira o CPF","")))</f>
        <v/>
      </c>
      <c r="L171" s="27"/>
      <c r="M171" s="5"/>
    </row>
    <row r="172" customFormat="false" ht="15" hidden="false" customHeight="false" outlineLevel="0" collapsed="false">
      <c r="A172" s="27"/>
      <c r="B172" s="5"/>
      <c r="C172" s="27"/>
      <c r="D172" s="18"/>
      <c r="E172" s="14"/>
      <c r="F172" s="18"/>
      <c r="G172" s="19" t="str">
        <f aca="false">IF(A172="","",IFERROR(INDEX(Empresas!$B:$B,MATCH(A172,Empresas!$A:$A,0))&amp;"","cadastre o CNPJ em Empresas"))</f>
        <v/>
      </c>
      <c r="H172" s="28" t="str">
        <f aca="false">IF(B172="","",SUBSTITUTE(SUBSTITUTE(SUBSTITUTE(SUBSTITUTE(SUBSTITUTE(SUBSTITUTE(SUBSTITUTE(SUBSTITUTE(SUBSTITUTE(SUBSTITUTE(SUBSTITUTE(SUBSTITUTE(SUBSTITUTE(UPPER(TRIM(B172)),"Á","A"),"À","A"),"Â","A"),"Ã","A"),"É","E"),"Ê","E"),"Í","I"),"Ó","O"),"Ô","O"),"Õ","O"),"Ú","U"),"Ü","U"),"Ç","C"))</f>
        <v/>
      </c>
      <c r="I172" s="28" t="str">
        <f aca="false">IF(C172="","",IF(LEN(SUBSTITUTE(SUBSTITUTE(SUBSTITUTE(SUBSTITUTE(TRIM(C172),"*",""),".",""),"-","")," ",""))=11,MID(SUBSTITUTE(SUBSTITUTE(SUBSTITUTE(SUBSTITUTE(TRIM(C172),"*",""),".",""),"-","")," ",""),4,6),SUBSTITUTE(SUBSTITUTE(SUBSTITUTE(SUBSTITUTE(TRIM(C172),"*",""),".",""),"-","")," ","")))</f>
        <v/>
      </c>
      <c r="J172" s="28" t="str">
        <f aca="false">IF(OR(H172="",I172=""),"",H172&amp;"|"&amp;I172)</f>
        <v/>
      </c>
      <c r="K172" s="19" t="str">
        <f aca="false">IF(H172="","",IF(AND(J172&lt;&gt;"",COUNTIF(Pessoas!$J:$J,J172)&gt;0),"SIM",IF(COUNTIF(Pessoas!$H:$H,H172)&gt;0,"nome igual em Pessoas: confira o CPF","")))</f>
        <v/>
      </c>
      <c r="L172" s="27"/>
      <c r="M172" s="5"/>
    </row>
    <row r="173" customFormat="false" ht="15" hidden="false" customHeight="false" outlineLevel="0" collapsed="false">
      <c r="A173" s="27"/>
      <c r="B173" s="5"/>
      <c r="C173" s="27"/>
      <c r="D173" s="18"/>
      <c r="E173" s="14"/>
      <c r="F173" s="18"/>
      <c r="G173" s="19" t="str">
        <f aca="false">IF(A173="","",IFERROR(INDEX(Empresas!$B:$B,MATCH(A173,Empresas!$A:$A,0))&amp;"","cadastre o CNPJ em Empresas"))</f>
        <v/>
      </c>
      <c r="H173" s="28" t="str">
        <f aca="false">IF(B173="","",SUBSTITUTE(SUBSTITUTE(SUBSTITUTE(SUBSTITUTE(SUBSTITUTE(SUBSTITUTE(SUBSTITUTE(SUBSTITUTE(SUBSTITUTE(SUBSTITUTE(SUBSTITUTE(SUBSTITUTE(SUBSTITUTE(UPPER(TRIM(B173)),"Á","A"),"À","A"),"Â","A"),"Ã","A"),"É","E"),"Ê","E"),"Í","I"),"Ó","O"),"Ô","O"),"Õ","O"),"Ú","U"),"Ü","U"),"Ç","C"))</f>
        <v/>
      </c>
      <c r="I173" s="28" t="str">
        <f aca="false">IF(C173="","",IF(LEN(SUBSTITUTE(SUBSTITUTE(SUBSTITUTE(SUBSTITUTE(TRIM(C173),"*",""),".",""),"-","")," ",""))=11,MID(SUBSTITUTE(SUBSTITUTE(SUBSTITUTE(SUBSTITUTE(TRIM(C173),"*",""),".",""),"-","")," ",""),4,6),SUBSTITUTE(SUBSTITUTE(SUBSTITUTE(SUBSTITUTE(TRIM(C173),"*",""),".",""),"-","")," ","")))</f>
        <v/>
      </c>
      <c r="J173" s="28" t="str">
        <f aca="false">IF(OR(H173="",I173=""),"",H173&amp;"|"&amp;I173)</f>
        <v/>
      </c>
      <c r="K173" s="19" t="str">
        <f aca="false">IF(H173="","",IF(AND(J173&lt;&gt;"",COUNTIF(Pessoas!$J:$J,J173)&gt;0),"SIM",IF(COUNTIF(Pessoas!$H:$H,H173)&gt;0,"nome igual em Pessoas: confira o CPF","")))</f>
        <v/>
      </c>
      <c r="L173" s="27"/>
      <c r="M173" s="5"/>
    </row>
    <row r="174" customFormat="false" ht="15" hidden="false" customHeight="false" outlineLevel="0" collapsed="false">
      <c r="A174" s="27"/>
      <c r="B174" s="5"/>
      <c r="C174" s="27"/>
      <c r="D174" s="18"/>
      <c r="E174" s="14"/>
      <c r="F174" s="18"/>
      <c r="G174" s="19" t="str">
        <f aca="false">IF(A174="","",IFERROR(INDEX(Empresas!$B:$B,MATCH(A174,Empresas!$A:$A,0))&amp;"","cadastre o CNPJ em Empresas"))</f>
        <v/>
      </c>
      <c r="H174" s="28" t="str">
        <f aca="false">IF(B174="","",SUBSTITUTE(SUBSTITUTE(SUBSTITUTE(SUBSTITUTE(SUBSTITUTE(SUBSTITUTE(SUBSTITUTE(SUBSTITUTE(SUBSTITUTE(SUBSTITUTE(SUBSTITUTE(SUBSTITUTE(SUBSTITUTE(UPPER(TRIM(B174)),"Á","A"),"À","A"),"Â","A"),"Ã","A"),"É","E"),"Ê","E"),"Í","I"),"Ó","O"),"Ô","O"),"Õ","O"),"Ú","U"),"Ü","U"),"Ç","C"))</f>
        <v/>
      </c>
      <c r="I174" s="28" t="str">
        <f aca="false">IF(C174="","",IF(LEN(SUBSTITUTE(SUBSTITUTE(SUBSTITUTE(SUBSTITUTE(TRIM(C174),"*",""),".",""),"-","")," ",""))=11,MID(SUBSTITUTE(SUBSTITUTE(SUBSTITUTE(SUBSTITUTE(TRIM(C174),"*",""),".",""),"-","")," ",""),4,6),SUBSTITUTE(SUBSTITUTE(SUBSTITUTE(SUBSTITUTE(TRIM(C174),"*",""),".",""),"-","")," ","")))</f>
        <v/>
      </c>
      <c r="J174" s="28" t="str">
        <f aca="false">IF(OR(H174="",I174=""),"",H174&amp;"|"&amp;I174)</f>
        <v/>
      </c>
      <c r="K174" s="19" t="str">
        <f aca="false">IF(H174="","",IF(AND(J174&lt;&gt;"",COUNTIF(Pessoas!$J:$J,J174)&gt;0),"SIM",IF(COUNTIF(Pessoas!$H:$H,H174)&gt;0,"nome igual em Pessoas: confira o CPF","")))</f>
        <v/>
      </c>
      <c r="L174" s="27"/>
      <c r="M174" s="5"/>
    </row>
    <row r="175" customFormat="false" ht="15" hidden="false" customHeight="false" outlineLevel="0" collapsed="false">
      <c r="A175" s="27"/>
      <c r="B175" s="5"/>
      <c r="C175" s="27"/>
      <c r="D175" s="18"/>
      <c r="E175" s="14"/>
      <c r="F175" s="18"/>
      <c r="G175" s="19" t="str">
        <f aca="false">IF(A175="","",IFERROR(INDEX(Empresas!$B:$B,MATCH(A175,Empresas!$A:$A,0))&amp;"","cadastre o CNPJ em Empresas"))</f>
        <v/>
      </c>
      <c r="H175" s="28" t="str">
        <f aca="false">IF(B175="","",SUBSTITUTE(SUBSTITUTE(SUBSTITUTE(SUBSTITUTE(SUBSTITUTE(SUBSTITUTE(SUBSTITUTE(SUBSTITUTE(SUBSTITUTE(SUBSTITUTE(SUBSTITUTE(SUBSTITUTE(SUBSTITUTE(UPPER(TRIM(B175)),"Á","A"),"À","A"),"Â","A"),"Ã","A"),"É","E"),"Ê","E"),"Í","I"),"Ó","O"),"Ô","O"),"Õ","O"),"Ú","U"),"Ü","U"),"Ç","C"))</f>
        <v/>
      </c>
      <c r="I175" s="28" t="str">
        <f aca="false">IF(C175="","",IF(LEN(SUBSTITUTE(SUBSTITUTE(SUBSTITUTE(SUBSTITUTE(TRIM(C175),"*",""),".",""),"-","")," ",""))=11,MID(SUBSTITUTE(SUBSTITUTE(SUBSTITUTE(SUBSTITUTE(TRIM(C175),"*",""),".",""),"-","")," ",""),4,6),SUBSTITUTE(SUBSTITUTE(SUBSTITUTE(SUBSTITUTE(TRIM(C175),"*",""),".",""),"-","")," ","")))</f>
        <v/>
      </c>
      <c r="J175" s="28" t="str">
        <f aca="false">IF(OR(H175="",I175=""),"",H175&amp;"|"&amp;I175)</f>
        <v/>
      </c>
      <c r="K175" s="19" t="str">
        <f aca="false">IF(H175="","",IF(AND(J175&lt;&gt;"",COUNTIF(Pessoas!$J:$J,J175)&gt;0),"SIM",IF(COUNTIF(Pessoas!$H:$H,H175)&gt;0,"nome igual em Pessoas: confira o CPF","")))</f>
        <v/>
      </c>
      <c r="L175" s="27"/>
      <c r="M175" s="5"/>
    </row>
    <row r="176" customFormat="false" ht="15" hidden="false" customHeight="false" outlineLevel="0" collapsed="false">
      <c r="A176" s="27"/>
      <c r="B176" s="5"/>
      <c r="C176" s="27"/>
      <c r="D176" s="18"/>
      <c r="E176" s="14"/>
      <c r="F176" s="18"/>
      <c r="G176" s="19" t="str">
        <f aca="false">IF(A176="","",IFERROR(INDEX(Empresas!$B:$B,MATCH(A176,Empresas!$A:$A,0))&amp;"","cadastre o CNPJ em Empresas"))</f>
        <v/>
      </c>
      <c r="H176" s="28" t="str">
        <f aca="false">IF(B176="","",SUBSTITUTE(SUBSTITUTE(SUBSTITUTE(SUBSTITUTE(SUBSTITUTE(SUBSTITUTE(SUBSTITUTE(SUBSTITUTE(SUBSTITUTE(SUBSTITUTE(SUBSTITUTE(SUBSTITUTE(SUBSTITUTE(UPPER(TRIM(B176)),"Á","A"),"À","A"),"Â","A"),"Ã","A"),"É","E"),"Ê","E"),"Í","I"),"Ó","O"),"Ô","O"),"Õ","O"),"Ú","U"),"Ü","U"),"Ç","C"))</f>
        <v/>
      </c>
      <c r="I176" s="28" t="str">
        <f aca="false">IF(C176="","",IF(LEN(SUBSTITUTE(SUBSTITUTE(SUBSTITUTE(SUBSTITUTE(TRIM(C176),"*",""),".",""),"-","")," ",""))=11,MID(SUBSTITUTE(SUBSTITUTE(SUBSTITUTE(SUBSTITUTE(TRIM(C176),"*",""),".",""),"-","")," ",""),4,6),SUBSTITUTE(SUBSTITUTE(SUBSTITUTE(SUBSTITUTE(TRIM(C176),"*",""),".",""),"-","")," ","")))</f>
        <v/>
      </c>
      <c r="J176" s="28" t="str">
        <f aca="false">IF(OR(H176="",I176=""),"",H176&amp;"|"&amp;I176)</f>
        <v/>
      </c>
      <c r="K176" s="19" t="str">
        <f aca="false">IF(H176="","",IF(AND(J176&lt;&gt;"",COUNTIF(Pessoas!$J:$J,J176)&gt;0),"SIM",IF(COUNTIF(Pessoas!$H:$H,H176)&gt;0,"nome igual em Pessoas: confira o CPF","")))</f>
        <v/>
      </c>
      <c r="L176" s="27"/>
      <c r="M176" s="5"/>
    </row>
    <row r="177" customFormat="false" ht="15" hidden="false" customHeight="false" outlineLevel="0" collapsed="false">
      <c r="A177" s="27"/>
      <c r="B177" s="5"/>
      <c r="C177" s="27"/>
      <c r="D177" s="18"/>
      <c r="E177" s="14"/>
      <c r="F177" s="18"/>
      <c r="G177" s="19" t="str">
        <f aca="false">IF(A177="","",IFERROR(INDEX(Empresas!$B:$B,MATCH(A177,Empresas!$A:$A,0))&amp;"","cadastre o CNPJ em Empresas"))</f>
        <v/>
      </c>
      <c r="H177" s="28" t="str">
        <f aca="false">IF(B177="","",SUBSTITUTE(SUBSTITUTE(SUBSTITUTE(SUBSTITUTE(SUBSTITUTE(SUBSTITUTE(SUBSTITUTE(SUBSTITUTE(SUBSTITUTE(SUBSTITUTE(SUBSTITUTE(SUBSTITUTE(SUBSTITUTE(UPPER(TRIM(B177)),"Á","A"),"À","A"),"Â","A"),"Ã","A"),"É","E"),"Ê","E"),"Í","I"),"Ó","O"),"Ô","O"),"Õ","O"),"Ú","U"),"Ü","U"),"Ç","C"))</f>
        <v/>
      </c>
      <c r="I177" s="28" t="str">
        <f aca="false">IF(C177="","",IF(LEN(SUBSTITUTE(SUBSTITUTE(SUBSTITUTE(SUBSTITUTE(TRIM(C177),"*",""),".",""),"-","")," ",""))=11,MID(SUBSTITUTE(SUBSTITUTE(SUBSTITUTE(SUBSTITUTE(TRIM(C177),"*",""),".",""),"-","")," ",""),4,6),SUBSTITUTE(SUBSTITUTE(SUBSTITUTE(SUBSTITUTE(TRIM(C177),"*",""),".",""),"-","")," ","")))</f>
        <v/>
      </c>
      <c r="J177" s="28" t="str">
        <f aca="false">IF(OR(H177="",I177=""),"",H177&amp;"|"&amp;I177)</f>
        <v/>
      </c>
      <c r="K177" s="19" t="str">
        <f aca="false">IF(H177="","",IF(AND(J177&lt;&gt;"",COUNTIF(Pessoas!$J:$J,J177)&gt;0),"SIM",IF(COUNTIF(Pessoas!$H:$H,H177)&gt;0,"nome igual em Pessoas: confira o CPF","")))</f>
        <v/>
      </c>
      <c r="L177" s="27"/>
      <c r="M177" s="5"/>
    </row>
    <row r="178" customFormat="false" ht="15" hidden="false" customHeight="false" outlineLevel="0" collapsed="false">
      <c r="A178" s="27"/>
      <c r="B178" s="5"/>
      <c r="C178" s="27"/>
      <c r="D178" s="18"/>
      <c r="E178" s="14"/>
      <c r="F178" s="18"/>
      <c r="G178" s="19" t="str">
        <f aca="false">IF(A178="","",IFERROR(INDEX(Empresas!$B:$B,MATCH(A178,Empresas!$A:$A,0))&amp;"","cadastre o CNPJ em Empresas"))</f>
        <v/>
      </c>
      <c r="H178" s="28" t="str">
        <f aca="false">IF(B178="","",SUBSTITUTE(SUBSTITUTE(SUBSTITUTE(SUBSTITUTE(SUBSTITUTE(SUBSTITUTE(SUBSTITUTE(SUBSTITUTE(SUBSTITUTE(SUBSTITUTE(SUBSTITUTE(SUBSTITUTE(SUBSTITUTE(UPPER(TRIM(B178)),"Á","A"),"À","A"),"Â","A"),"Ã","A"),"É","E"),"Ê","E"),"Í","I"),"Ó","O"),"Ô","O"),"Õ","O"),"Ú","U"),"Ü","U"),"Ç","C"))</f>
        <v/>
      </c>
      <c r="I178" s="28" t="str">
        <f aca="false">IF(C178="","",IF(LEN(SUBSTITUTE(SUBSTITUTE(SUBSTITUTE(SUBSTITUTE(TRIM(C178),"*",""),".",""),"-","")," ",""))=11,MID(SUBSTITUTE(SUBSTITUTE(SUBSTITUTE(SUBSTITUTE(TRIM(C178),"*",""),".",""),"-","")," ",""),4,6),SUBSTITUTE(SUBSTITUTE(SUBSTITUTE(SUBSTITUTE(TRIM(C178),"*",""),".",""),"-","")," ","")))</f>
        <v/>
      </c>
      <c r="J178" s="28" t="str">
        <f aca="false">IF(OR(H178="",I178=""),"",H178&amp;"|"&amp;I178)</f>
        <v/>
      </c>
      <c r="K178" s="19" t="str">
        <f aca="false">IF(H178="","",IF(AND(J178&lt;&gt;"",COUNTIF(Pessoas!$J:$J,J178)&gt;0),"SIM",IF(COUNTIF(Pessoas!$H:$H,H178)&gt;0,"nome igual em Pessoas: confira o CPF","")))</f>
        <v/>
      </c>
      <c r="L178" s="27"/>
      <c r="M178" s="5"/>
    </row>
    <row r="179" customFormat="false" ht="15" hidden="false" customHeight="false" outlineLevel="0" collapsed="false">
      <c r="A179" s="27"/>
      <c r="B179" s="5"/>
      <c r="C179" s="27"/>
      <c r="D179" s="18"/>
      <c r="E179" s="14"/>
      <c r="F179" s="18"/>
      <c r="G179" s="19" t="str">
        <f aca="false">IF(A179="","",IFERROR(INDEX(Empresas!$B:$B,MATCH(A179,Empresas!$A:$A,0))&amp;"","cadastre o CNPJ em Empresas"))</f>
        <v/>
      </c>
      <c r="H179" s="28" t="str">
        <f aca="false">IF(B179="","",SUBSTITUTE(SUBSTITUTE(SUBSTITUTE(SUBSTITUTE(SUBSTITUTE(SUBSTITUTE(SUBSTITUTE(SUBSTITUTE(SUBSTITUTE(SUBSTITUTE(SUBSTITUTE(SUBSTITUTE(SUBSTITUTE(UPPER(TRIM(B179)),"Á","A"),"À","A"),"Â","A"),"Ã","A"),"É","E"),"Ê","E"),"Í","I"),"Ó","O"),"Ô","O"),"Õ","O"),"Ú","U"),"Ü","U"),"Ç","C"))</f>
        <v/>
      </c>
      <c r="I179" s="28" t="str">
        <f aca="false">IF(C179="","",IF(LEN(SUBSTITUTE(SUBSTITUTE(SUBSTITUTE(SUBSTITUTE(TRIM(C179),"*",""),".",""),"-","")," ",""))=11,MID(SUBSTITUTE(SUBSTITUTE(SUBSTITUTE(SUBSTITUTE(TRIM(C179),"*",""),".",""),"-","")," ",""),4,6),SUBSTITUTE(SUBSTITUTE(SUBSTITUTE(SUBSTITUTE(TRIM(C179),"*",""),".",""),"-","")," ","")))</f>
        <v/>
      </c>
      <c r="J179" s="28" t="str">
        <f aca="false">IF(OR(H179="",I179=""),"",H179&amp;"|"&amp;I179)</f>
        <v/>
      </c>
      <c r="K179" s="19" t="str">
        <f aca="false">IF(H179="","",IF(AND(J179&lt;&gt;"",COUNTIF(Pessoas!$J:$J,J179)&gt;0),"SIM",IF(COUNTIF(Pessoas!$H:$H,H179)&gt;0,"nome igual em Pessoas: confira o CPF","")))</f>
        <v/>
      </c>
      <c r="L179" s="27"/>
      <c r="M179" s="5"/>
    </row>
    <row r="180" customFormat="false" ht="15" hidden="false" customHeight="false" outlineLevel="0" collapsed="false">
      <c r="A180" s="27"/>
      <c r="B180" s="5"/>
      <c r="C180" s="27"/>
      <c r="D180" s="18"/>
      <c r="E180" s="14"/>
      <c r="F180" s="18"/>
      <c r="G180" s="19" t="str">
        <f aca="false">IF(A180="","",IFERROR(INDEX(Empresas!$B:$B,MATCH(A180,Empresas!$A:$A,0))&amp;"","cadastre o CNPJ em Empresas"))</f>
        <v/>
      </c>
      <c r="H180" s="28" t="str">
        <f aca="false">IF(B180="","",SUBSTITUTE(SUBSTITUTE(SUBSTITUTE(SUBSTITUTE(SUBSTITUTE(SUBSTITUTE(SUBSTITUTE(SUBSTITUTE(SUBSTITUTE(SUBSTITUTE(SUBSTITUTE(SUBSTITUTE(SUBSTITUTE(UPPER(TRIM(B180)),"Á","A"),"À","A"),"Â","A"),"Ã","A"),"É","E"),"Ê","E"),"Í","I"),"Ó","O"),"Ô","O"),"Õ","O"),"Ú","U"),"Ü","U"),"Ç","C"))</f>
        <v/>
      </c>
      <c r="I180" s="28" t="str">
        <f aca="false">IF(C180="","",IF(LEN(SUBSTITUTE(SUBSTITUTE(SUBSTITUTE(SUBSTITUTE(TRIM(C180),"*",""),".",""),"-","")," ",""))=11,MID(SUBSTITUTE(SUBSTITUTE(SUBSTITUTE(SUBSTITUTE(TRIM(C180),"*",""),".",""),"-","")," ",""),4,6),SUBSTITUTE(SUBSTITUTE(SUBSTITUTE(SUBSTITUTE(TRIM(C180),"*",""),".",""),"-","")," ","")))</f>
        <v/>
      </c>
      <c r="J180" s="28" t="str">
        <f aca="false">IF(OR(H180="",I180=""),"",H180&amp;"|"&amp;I180)</f>
        <v/>
      </c>
      <c r="K180" s="19" t="str">
        <f aca="false">IF(H180="","",IF(AND(J180&lt;&gt;"",COUNTIF(Pessoas!$J:$J,J180)&gt;0),"SIM",IF(COUNTIF(Pessoas!$H:$H,H180)&gt;0,"nome igual em Pessoas: confira o CPF","")))</f>
        <v/>
      </c>
      <c r="L180" s="27"/>
      <c r="M180" s="5"/>
    </row>
    <row r="181" customFormat="false" ht="15" hidden="false" customHeight="false" outlineLevel="0" collapsed="false">
      <c r="A181" s="27"/>
      <c r="B181" s="5"/>
      <c r="C181" s="27"/>
      <c r="D181" s="18"/>
      <c r="E181" s="14"/>
      <c r="F181" s="18"/>
      <c r="G181" s="19" t="str">
        <f aca="false">IF(A181="","",IFERROR(INDEX(Empresas!$B:$B,MATCH(A181,Empresas!$A:$A,0))&amp;"","cadastre o CNPJ em Empresas"))</f>
        <v/>
      </c>
      <c r="H181" s="28" t="str">
        <f aca="false">IF(B181="","",SUBSTITUTE(SUBSTITUTE(SUBSTITUTE(SUBSTITUTE(SUBSTITUTE(SUBSTITUTE(SUBSTITUTE(SUBSTITUTE(SUBSTITUTE(SUBSTITUTE(SUBSTITUTE(SUBSTITUTE(SUBSTITUTE(UPPER(TRIM(B181)),"Á","A"),"À","A"),"Â","A"),"Ã","A"),"É","E"),"Ê","E"),"Í","I"),"Ó","O"),"Ô","O"),"Õ","O"),"Ú","U"),"Ü","U"),"Ç","C"))</f>
        <v/>
      </c>
      <c r="I181" s="28" t="str">
        <f aca="false">IF(C181="","",IF(LEN(SUBSTITUTE(SUBSTITUTE(SUBSTITUTE(SUBSTITUTE(TRIM(C181),"*",""),".",""),"-","")," ",""))=11,MID(SUBSTITUTE(SUBSTITUTE(SUBSTITUTE(SUBSTITUTE(TRIM(C181),"*",""),".",""),"-","")," ",""),4,6),SUBSTITUTE(SUBSTITUTE(SUBSTITUTE(SUBSTITUTE(TRIM(C181),"*",""),".",""),"-","")," ","")))</f>
        <v/>
      </c>
      <c r="J181" s="28" t="str">
        <f aca="false">IF(OR(H181="",I181=""),"",H181&amp;"|"&amp;I181)</f>
        <v/>
      </c>
      <c r="K181" s="19" t="str">
        <f aca="false">IF(H181="","",IF(AND(J181&lt;&gt;"",COUNTIF(Pessoas!$J:$J,J181)&gt;0),"SIM",IF(COUNTIF(Pessoas!$H:$H,H181)&gt;0,"nome igual em Pessoas: confira o CPF","")))</f>
        <v/>
      </c>
      <c r="L181" s="27"/>
      <c r="M181" s="5"/>
    </row>
    <row r="182" customFormat="false" ht="15" hidden="false" customHeight="false" outlineLevel="0" collapsed="false">
      <c r="A182" s="27"/>
      <c r="B182" s="5"/>
      <c r="C182" s="27"/>
      <c r="D182" s="18"/>
      <c r="E182" s="14"/>
      <c r="F182" s="18"/>
      <c r="G182" s="19" t="str">
        <f aca="false">IF(A182="","",IFERROR(INDEX(Empresas!$B:$B,MATCH(A182,Empresas!$A:$A,0))&amp;"","cadastre o CNPJ em Empresas"))</f>
        <v/>
      </c>
      <c r="H182" s="28" t="str">
        <f aca="false">IF(B182="","",SUBSTITUTE(SUBSTITUTE(SUBSTITUTE(SUBSTITUTE(SUBSTITUTE(SUBSTITUTE(SUBSTITUTE(SUBSTITUTE(SUBSTITUTE(SUBSTITUTE(SUBSTITUTE(SUBSTITUTE(SUBSTITUTE(UPPER(TRIM(B182)),"Á","A"),"À","A"),"Â","A"),"Ã","A"),"É","E"),"Ê","E"),"Í","I"),"Ó","O"),"Ô","O"),"Õ","O"),"Ú","U"),"Ü","U"),"Ç","C"))</f>
        <v/>
      </c>
      <c r="I182" s="28" t="str">
        <f aca="false">IF(C182="","",IF(LEN(SUBSTITUTE(SUBSTITUTE(SUBSTITUTE(SUBSTITUTE(TRIM(C182),"*",""),".",""),"-","")," ",""))=11,MID(SUBSTITUTE(SUBSTITUTE(SUBSTITUTE(SUBSTITUTE(TRIM(C182),"*",""),".",""),"-","")," ",""),4,6),SUBSTITUTE(SUBSTITUTE(SUBSTITUTE(SUBSTITUTE(TRIM(C182),"*",""),".",""),"-","")," ","")))</f>
        <v/>
      </c>
      <c r="J182" s="28" t="str">
        <f aca="false">IF(OR(H182="",I182=""),"",H182&amp;"|"&amp;I182)</f>
        <v/>
      </c>
      <c r="K182" s="19" t="str">
        <f aca="false">IF(H182="","",IF(AND(J182&lt;&gt;"",COUNTIF(Pessoas!$J:$J,J182)&gt;0),"SIM",IF(COUNTIF(Pessoas!$H:$H,H182)&gt;0,"nome igual em Pessoas: confira o CPF","")))</f>
        <v/>
      </c>
      <c r="L182" s="27"/>
      <c r="M182" s="5"/>
    </row>
    <row r="183" customFormat="false" ht="15" hidden="false" customHeight="false" outlineLevel="0" collapsed="false">
      <c r="A183" s="27"/>
      <c r="B183" s="5"/>
      <c r="C183" s="27"/>
      <c r="D183" s="18"/>
      <c r="E183" s="14"/>
      <c r="F183" s="18"/>
      <c r="G183" s="19" t="str">
        <f aca="false">IF(A183="","",IFERROR(INDEX(Empresas!$B:$B,MATCH(A183,Empresas!$A:$A,0))&amp;"","cadastre o CNPJ em Empresas"))</f>
        <v/>
      </c>
      <c r="H183" s="28" t="str">
        <f aca="false">IF(B183="","",SUBSTITUTE(SUBSTITUTE(SUBSTITUTE(SUBSTITUTE(SUBSTITUTE(SUBSTITUTE(SUBSTITUTE(SUBSTITUTE(SUBSTITUTE(SUBSTITUTE(SUBSTITUTE(SUBSTITUTE(SUBSTITUTE(UPPER(TRIM(B183)),"Á","A"),"À","A"),"Â","A"),"Ã","A"),"É","E"),"Ê","E"),"Í","I"),"Ó","O"),"Ô","O"),"Õ","O"),"Ú","U"),"Ü","U"),"Ç","C"))</f>
        <v/>
      </c>
      <c r="I183" s="28" t="str">
        <f aca="false">IF(C183="","",IF(LEN(SUBSTITUTE(SUBSTITUTE(SUBSTITUTE(SUBSTITUTE(TRIM(C183),"*",""),".",""),"-","")," ",""))=11,MID(SUBSTITUTE(SUBSTITUTE(SUBSTITUTE(SUBSTITUTE(TRIM(C183),"*",""),".",""),"-","")," ",""),4,6),SUBSTITUTE(SUBSTITUTE(SUBSTITUTE(SUBSTITUTE(TRIM(C183),"*",""),".",""),"-","")," ","")))</f>
        <v/>
      </c>
      <c r="J183" s="28" t="str">
        <f aca="false">IF(OR(H183="",I183=""),"",H183&amp;"|"&amp;I183)</f>
        <v/>
      </c>
      <c r="K183" s="19" t="str">
        <f aca="false">IF(H183="","",IF(AND(J183&lt;&gt;"",COUNTIF(Pessoas!$J:$J,J183)&gt;0),"SIM",IF(COUNTIF(Pessoas!$H:$H,H183)&gt;0,"nome igual em Pessoas: confira o CPF","")))</f>
        <v/>
      </c>
      <c r="L183" s="27"/>
      <c r="M183" s="5"/>
    </row>
    <row r="184" customFormat="false" ht="15" hidden="false" customHeight="false" outlineLevel="0" collapsed="false">
      <c r="A184" s="27"/>
      <c r="B184" s="5"/>
      <c r="C184" s="27"/>
      <c r="D184" s="18"/>
      <c r="E184" s="14"/>
      <c r="F184" s="18"/>
      <c r="G184" s="19" t="str">
        <f aca="false">IF(A184="","",IFERROR(INDEX(Empresas!$B:$B,MATCH(A184,Empresas!$A:$A,0))&amp;"","cadastre o CNPJ em Empresas"))</f>
        <v/>
      </c>
      <c r="H184" s="28" t="str">
        <f aca="false">IF(B184="","",SUBSTITUTE(SUBSTITUTE(SUBSTITUTE(SUBSTITUTE(SUBSTITUTE(SUBSTITUTE(SUBSTITUTE(SUBSTITUTE(SUBSTITUTE(SUBSTITUTE(SUBSTITUTE(SUBSTITUTE(SUBSTITUTE(UPPER(TRIM(B184)),"Á","A"),"À","A"),"Â","A"),"Ã","A"),"É","E"),"Ê","E"),"Í","I"),"Ó","O"),"Ô","O"),"Õ","O"),"Ú","U"),"Ü","U"),"Ç","C"))</f>
        <v/>
      </c>
      <c r="I184" s="28" t="str">
        <f aca="false">IF(C184="","",IF(LEN(SUBSTITUTE(SUBSTITUTE(SUBSTITUTE(SUBSTITUTE(TRIM(C184),"*",""),".",""),"-","")," ",""))=11,MID(SUBSTITUTE(SUBSTITUTE(SUBSTITUTE(SUBSTITUTE(TRIM(C184),"*",""),".",""),"-","")," ",""),4,6),SUBSTITUTE(SUBSTITUTE(SUBSTITUTE(SUBSTITUTE(TRIM(C184),"*",""),".",""),"-","")," ","")))</f>
        <v/>
      </c>
      <c r="J184" s="28" t="str">
        <f aca="false">IF(OR(H184="",I184=""),"",H184&amp;"|"&amp;I184)</f>
        <v/>
      </c>
      <c r="K184" s="19" t="str">
        <f aca="false">IF(H184="","",IF(AND(J184&lt;&gt;"",COUNTIF(Pessoas!$J:$J,J184)&gt;0),"SIM",IF(COUNTIF(Pessoas!$H:$H,H184)&gt;0,"nome igual em Pessoas: confira o CPF","")))</f>
        <v/>
      </c>
      <c r="L184" s="27"/>
      <c r="M184" s="5"/>
    </row>
    <row r="185" customFormat="false" ht="15" hidden="false" customHeight="false" outlineLevel="0" collapsed="false">
      <c r="A185" s="27"/>
      <c r="B185" s="5"/>
      <c r="C185" s="27"/>
      <c r="D185" s="18"/>
      <c r="E185" s="14"/>
      <c r="F185" s="18"/>
      <c r="G185" s="19" t="str">
        <f aca="false">IF(A185="","",IFERROR(INDEX(Empresas!$B:$B,MATCH(A185,Empresas!$A:$A,0))&amp;"","cadastre o CNPJ em Empresas"))</f>
        <v/>
      </c>
      <c r="H185" s="28" t="str">
        <f aca="false">IF(B185="","",SUBSTITUTE(SUBSTITUTE(SUBSTITUTE(SUBSTITUTE(SUBSTITUTE(SUBSTITUTE(SUBSTITUTE(SUBSTITUTE(SUBSTITUTE(SUBSTITUTE(SUBSTITUTE(SUBSTITUTE(SUBSTITUTE(UPPER(TRIM(B185)),"Á","A"),"À","A"),"Â","A"),"Ã","A"),"É","E"),"Ê","E"),"Í","I"),"Ó","O"),"Ô","O"),"Õ","O"),"Ú","U"),"Ü","U"),"Ç","C"))</f>
        <v/>
      </c>
      <c r="I185" s="28" t="str">
        <f aca="false">IF(C185="","",IF(LEN(SUBSTITUTE(SUBSTITUTE(SUBSTITUTE(SUBSTITUTE(TRIM(C185),"*",""),".",""),"-","")," ",""))=11,MID(SUBSTITUTE(SUBSTITUTE(SUBSTITUTE(SUBSTITUTE(TRIM(C185),"*",""),".",""),"-","")," ",""),4,6),SUBSTITUTE(SUBSTITUTE(SUBSTITUTE(SUBSTITUTE(TRIM(C185),"*",""),".",""),"-","")," ","")))</f>
        <v/>
      </c>
      <c r="J185" s="28" t="str">
        <f aca="false">IF(OR(H185="",I185=""),"",H185&amp;"|"&amp;I185)</f>
        <v/>
      </c>
      <c r="K185" s="19" t="str">
        <f aca="false">IF(H185="","",IF(AND(J185&lt;&gt;"",COUNTIF(Pessoas!$J:$J,J185)&gt;0),"SIM",IF(COUNTIF(Pessoas!$H:$H,H185)&gt;0,"nome igual em Pessoas: confira o CPF","")))</f>
        <v/>
      </c>
      <c r="L185" s="27"/>
      <c r="M185" s="5"/>
    </row>
    <row r="186" customFormat="false" ht="15" hidden="false" customHeight="false" outlineLevel="0" collapsed="false">
      <c r="A186" s="27"/>
      <c r="B186" s="5"/>
      <c r="C186" s="27"/>
      <c r="D186" s="18"/>
      <c r="E186" s="14"/>
      <c r="F186" s="18"/>
      <c r="G186" s="19" t="str">
        <f aca="false">IF(A186="","",IFERROR(INDEX(Empresas!$B:$B,MATCH(A186,Empresas!$A:$A,0))&amp;"","cadastre o CNPJ em Empresas"))</f>
        <v/>
      </c>
      <c r="H186" s="28" t="str">
        <f aca="false">IF(B186="","",SUBSTITUTE(SUBSTITUTE(SUBSTITUTE(SUBSTITUTE(SUBSTITUTE(SUBSTITUTE(SUBSTITUTE(SUBSTITUTE(SUBSTITUTE(SUBSTITUTE(SUBSTITUTE(SUBSTITUTE(SUBSTITUTE(UPPER(TRIM(B186)),"Á","A"),"À","A"),"Â","A"),"Ã","A"),"É","E"),"Ê","E"),"Í","I"),"Ó","O"),"Ô","O"),"Õ","O"),"Ú","U"),"Ü","U"),"Ç","C"))</f>
        <v/>
      </c>
      <c r="I186" s="28" t="str">
        <f aca="false">IF(C186="","",IF(LEN(SUBSTITUTE(SUBSTITUTE(SUBSTITUTE(SUBSTITUTE(TRIM(C186),"*",""),".",""),"-","")," ",""))=11,MID(SUBSTITUTE(SUBSTITUTE(SUBSTITUTE(SUBSTITUTE(TRIM(C186),"*",""),".",""),"-","")," ",""),4,6),SUBSTITUTE(SUBSTITUTE(SUBSTITUTE(SUBSTITUTE(TRIM(C186),"*",""),".",""),"-","")," ","")))</f>
        <v/>
      </c>
      <c r="J186" s="28" t="str">
        <f aca="false">IF(OR(H186="",I186=""),"",H186&amp;"|"&amp;I186)</f>
        <v/>
      </c>
      <c r="K186" s="19" t="str">
        <f aca="false">IF(H186="","",IF(AND(J186&lt;&gt;"",COUNTIF(Pessoas!$J:$J,J186)&gt;0),"SIM",IF(COUNTIF(Pessoas!$H:$H,H186)&gt;0,"nome igual em Pessoas: confira o CPF","")))</f>
        <v/>
      </c>
      <c r="L186" s="27"/>
      <c r="M186" s="5"/>
    </row>
    <row r="187" customFormat="false" ht="15" hidden="false" customHeight="false" outlineLevel="0" collapsed="false">
      <c r="A187" s="27"/>
      <c r="B187" s="5"/>
      <c r="C187" s="27"/>
      <c r="D187" s="18"/>
      <c r="E187" s="14"/>
      <c r="F187" s="18"/>
      <c r="G187" s="19" t="str">
        <f aca="false">IF(A187="","",IFERROR(INDEX(Empresas!$B:$B,MATCH(A187,Empresas!$A:$A,0))&amp;"","cadastre o CNPJ em Empresas"))</f>
        <v/>
      </c>
      <c r="H187" s="28" t="str">
        <f aca="false">IF(B187="","",SUBSTITUTE(SUBSTITUTE(SUBSTITUTE(SUBSTITUTE(SUBSTITUTE(SUBSTITUTE(SUBSTITUTE(SUBSTITUTE(SUBSTITUTE(SUBSTITUTE(SUBSTITUTE(SUBSTITUTE(SUBSTITUTE(UPPER(TRIM(B187)),"Á","A"),"À","A"),"Â","A"),"Ã","A"),"É","E"),"Ê","E"),"Í","I"),"Ó","O"),"Ô","O"),"Õ","O"),"Ú","U"),"Ü","U"),"Ç","C"))</f>
        <v/>
      </c>
      <c r="I187" s="28" t="str">
        <f aca="false">IF(C187="","",IF(LEN(SUBSTITUTE(SUBSTITUTE(SUBSTITUTE(SUBSTITUTE(TRIM(C187),"*",""),".",""),"-","")," ",""))=11,MID(SUBSTITUTE(SUBSTITUTE(SUBSTITUTE(SUBSTITUTE(TRIM(C187),"*",""),".",""),"-","")," ",""),4,6),SUBSTITUTE(SUBSTITUTE(SUBSTITUTE(SUBSTITUTE(TRIM(C187),"*",""),".",""),"-","")," ","")))</f>
        <v/>
      </c>
      <c r="J187" s="28" t="str">
        <f aca="false">IF(OR(H187="",I187=""),"",H187&amp;"|"&amp;I187)</f>
        <v/>
      </c>
      <c r="K187" s="19" t="str">
        <f aca="false">IF(H187="","",IF(AND(J187&lt;&gt;"",COUNTIF(Pessoas!$J:$J,J187)&gt;0),"SIM",IF(COUNTIF(Pessoas!$H:$H,H187)&gt;0,"nome igual em Pessoas: confira o CPF","")))</f>
        <v/>
      </c>
      <c r="L187" s="27"/>
      <c r="M187" s="5"/>
    </row>
    <row r="188" customFormat="false" ht="15" hidden="false" customHeight="false" outlineLevel="0" collapsed="false">
      <c r="A188" s="27"/>
      <c r="B188" s="5"/>
      <c r="C188" s="27"/>
      <c r="D188" s="18"/>
      <c r="E188" s="14"/>
      <c r="F188" s="18"/>
      <c r="G188" s="19" t="str">
        <f aca="false">IF(A188="","",IFERROR(INDEX(Empresas!$B:$B,MATCH(A188,Empresas!$A:$A,0))&amp;"","cadastre o CNPJ em Empresas"))</f>
        <v/>
      </c>
      <c r="H188" s="28" t="str">
        <f aca="false">IF(B188="","",SUBSTITUTE(SUBSTITUTE(SUBSTITUTE(SUBSTITUTE(SUBSTITUTE(SUBSTITUTE(SUBSTITUTE(SUBSTITUTE(SUBSTITUTE(SUBSTITUTE(SUBSTITUTE(SUBSTITUTE(SUBSTITUTE(UPPER(TRIM(B188)),"Á","A"),"À","A"),"Â","A"),"Ã","A"),"É","E"),"Ê","E"),"Í","I"),"Ó","O"),"Ô","O"),"Õ","O"),"Ú","U"),"Ü","U"),"Ç","C"))</f>
        <v/>
      </c>
      <c r="I188" s="28" t="str">
        <f aca="false">IF(C188="","",IF(LEN(SUBSTITUTE(SUBSTITUTE(SUBSTITUTE(SUBSTITUTE(TRIM(C188),"*",""),".",""),"-","")," ",""))=11,MID(SUBSTITUTE(SUBSTITUTE(SUBSTITUTE(SUBSTITUTE(TRIM(C188),"*",""),".",""),"-","")," ",""),4,6),SUBSTITUTE(SUBSTITUTE(SUBSTITUTE(SUBSTITUTE(TRIM(C188),"*",""),".",""),"-","")," ","")))</f>
        <v/>
      </c>
      <c r="J188" s="28" t="str">
        <f aca="false">IF(OR(H188="",I188=""),"",H188&amp;"|"&amp;I188)</f>
        <v/>
      </c>
      <c r="K188" s="19" t="str">
        <f aca="false">IF(H188="","",IF(AND(J188&lt;&gt;"",COUNTIF(Pessoas!$J:$J,J188)&gt;0),"SIM",IF(COUNTIF(Pessoas!$H:$H,H188)&gt;0,"nome igual em Pessoas: confira o CPF","")))</f>
        <v/>
      </c>
      <c r="L188" s="27"/>
      <c r="M188" s="5"/>
    </row>
    <row r="189" customFormat="false" ht="15" hidden="false" customHeight="false" outlineLevel="0" collapsed="false">
      <c r="A189" s="27"/>
      <c r="B189" s="5"/>
      <c r="C189" s="27"/>
      <c r="D189" s="18"/>
      <c r="E189" s="14"/>
      <c r="F189" s="18"/>
      <c r="G189" s="19" t="str">
        <f aca="false">IF(A189="","",IFERROR(INDEX(Empresas!$B:$B,MATCH(A189,Empresas!$A:$A,0))&amp;"","cadastre o CNPJ em Empresas"))</f>
        <v/>
      </c>
      <c r="H189" s="28" t="str">
        <f aca="false">IF(B189="","",SUBSTITUTE(SUBSTITUTE(SUBSTITUTE(SUBSTITUTE(SUBSTITUTE(SUBSTITUTE(SUBSTITUTE(SUBSTITUTE(SUBSTITUTE(SUBSTITUTE(SUBSTITUTE(SUBSTITUTE(SUBSTITUTE(UPPER(TRIM(B189)),"Á","A"),"À","A"),"Â","A"),"Ã","A"),"É","E"),"Ê","E"),"Í","I"),"Ó","O"),"Ô","O"),"Õ","O"),"Ú","U"),"Ü","U"),"Ç","C"))</f>
        <v/>
      </c>
      <c r="I189" s="28" t="str">
        <f aca="false">IF(C189="","",IF(LEN(SUBSTITUTE(SUBSTITUTE(SUBSTITUTE(SUBSTITUTE(TRIM(C189),"*",""),".",""),"-","")," ",""))=11,MID(SUBSTITUTE(SUBSTITUTE(SUBSTITUTE(SUBSTITUTE(TRIM(C189),"*",""),".",""),"-","")," ",""),4,6),SUBSTITUTE(SUBSTITUTE(SUBSTITUTE(SUBSTITUTE(TRIM(C189),"*",""),".",""),"-","")," ","")))</f>
        <v/>
      </c>
      <c r="J189" s="28" t="str">
        <f aca="false">IF(OR(H189="",I189=""),"",H189&amp;"|"&amp;I189)</f>
        <v/>
      </c>
      <c r="K189" s="19" t="str">
        <f aca="false">IF(H189="","",IF(AND(J189&lt;&gt;"",COUNTIF(Pessoas!$J:$J,J189)&gt;0),"SIM",IF(COUNTIF(Pessoas!$H:$H,H189)&gt;0,"nome igual em Pessoas: confira o CPF","")))</f>
        <v/>
      </c>
      <c r="L189" s="27"/>
      <c r="M189" s="5"/>
    </row>
    <row r="190" customFormat="false" ht="15" hidden="false" customHeight="false" outlineLevel="0" collapsed="false">
      <c r="A190" s="27"/>
      <c r="B190" s="5"/>
      <c r="C190" s="27"/>
      <c r="D190" s="18"/>
      <c r="E190" s="14"/>
      <c r="F190" s="18"/>
      <c r="G190" s="19" t="str">
        <f aca="false">IF(A190="","",IFERROR(INDEX(Empresas!$B:$B,MATCH(A190,Empresas!$A:$A,0))&amp;"","cadastre o CNPJ em Empresas"))</f>
        <v/>
      </c>
      <c r="H190" s="28" t="str">
        <f aca="false">IF(B190="","",SUBSTITUTE(SUBSTITUTE(SUBSTITUTE(SUBSTITUTE(SUBSTITUTE(SUBSTITUTE(SUBSTITUTE(SUBSTITUTE(SUBSTITUTE(SUBSTITUTE(SUBSTITUTE(SUBSTITUTE(SUBSTITUTE(UPPER(TRIM(B190)),"Á","A"),"À","A"),"Â","A"),"Ã","A"),"É","E"),"Ê","E"),"Í","I"),"Ó","O"),"Ô","O"),"Õ","O"),"Ú","U"),"Ü","U"),"Ç","C"))</f>
        <v/>
      </c>
      <c r="I190" s="28" t="str">
        <f aca="false">IF(C190="","",IF(LEN(SUBSTITUTE(SUBSTITUTE(SUBSTITUTE(SUBSTITUTE(TRIM(C190),"*",""),".",""),"-","")," ",""))=11,MID(SUBSTITUTE(SUBSTITUTE(SUBSTITUTE(SUBSTITUTE(TRIM(C190),"*",""),".",""),"-","")," ",""),4,6),SUBSTITUTE(SUBSTITUTE(SUBSTITUTE(SUBSTITUTE(TRIM(C190),"*",""),".",""),"-","")," ","")))</f>
        <v/>
      </c>
      <c r="J190" s="28" t="str">
        <f aca="false">IF(OR(H190="",I190=""),"",H190&amp;"|"&amp;I190)</f>
        <v/>
      </c>
      <c r="K190" s="19" t="str">
        <f aca="false">IF(H190="","",IF(AND(J190&lt;&gt;"",COUNTIF(Pessoas!$J:$J,J190)&gt;0),"SIM",IF(COUNTIF(Pessoas!$H:$H,H190)&gt;0,"nome igual em Pessoas: confira o CPF","")))</f>
        <v/>
      </c>
      <c r="L190" s="27"/>
      <c r="M190" s="5"/>
    </row>
    <row r="191" customFormat="false" ht="15" hidden="false" customHeight="false" outlineLevel="0" collapsed="false">
      <c r="A191" s="27"/>
      <c r="B191" s="5"/>
      <c r="C191" s="27"/>
      <c r="D191" s="18"/>
      <c r="E191" s="14"/>
      <c r="F191" s="18"/>
      <c r="G191" s="19" t="str">
        <f aca="false">IF(A191="","",IFERROR(INDEX(Empresas!$B:$B,MATCH(A191,Empresas!$A:$A,0))&amp;"","cadastre o CNPJ em Empresas"))</f>
        <v/>
      </c>
      <c r="H191" s="28" t="str">
        <f aca="false">IF(B191="","",SUBSTITUTE(SUBSTITUTE(SUBSTITUTE(SUBSTITUTE(SUBSTITUTE(SUBSTITUTE(SUBSTITUTE(SUBSTITUTE(SUBSTITUTE(SUBSTITUTE(SUBSTITUTE(SUBSTITUTE(SUBSTITUTE(UPPER(TRIM(B191)),"Á","A"),"À","A"),"Â","A"),"Ã","A"),"É","E"),"Ê","E"),"Í","I"),"Ó","O"),"Ô","O"),"Õ","O"),"Ú","U"),"Ü","U"),"Ç","C"))</f>
        <v/>
      </c>
      <c r="I191" s="28" t="str">
        <f aca="false">IF(C191="","",IF(LEN(SUBSTITUTE(SUBSTITUTE(SUBSTITUTE(SUBSTITUTE(TRIM(C191),"*",""),".",""),"-","")," ",""))=11,MID(SUBSTITUTE(SUBSTITUTE(SUBSTITUTE(SUBSTITUTE(TRIM(C191),"*",""),".",""),"-","")," ",""),4,6),SUBSTITUTE(SUBSTITUTE(SUBSTITUTE(SUBSTITUTE(TRIM(C191),"*",""),".",""),"-","")," ","")))</f>
        <v/>
      </c>
      <c r="J191" s="28" t="str">
        <f aca="false">IF(OR(H191="",I191=""),"",H191&amp;"|"&amp;I191)</f>
        <v/>
      </c>
      <c r="K191" s="19" t="str">
        <f aca="false">IF(H191="","",IF(AND(J191&lt;&gt;"",COUNTIF(Pessoas!$J:$J,J191)&gt;0),"SIM",IF(COUNTIF(Pessoas!$H:$H,H191)&gt;0,"nome igual em Pessoas: confira o CPF","")))</f>
        <v/>
      </c>
      <c r="L191" s="27"/>
      <c r="M191" s="5"/>
    </row>
    <row r="192" customFormat="false" ht="15" hidden="false" customHeight="false" outlineLevel="0" collapsed="false">
      <c r="A192" s="27"/>
      <c r="B192" s="5"/>
      <c r="C192" s="27"/>
      <c r="D192" s="18"/>
      <c r="E192" s="14"/>
      <c r="F192" s="18"/>
      <c r="G192" s="19" t="str">
        <f aca="false">IF(A192="","",IFERROR(INDEX(Empresas!$B:$B,MATCH(A192,Empresas!$A:$A,0))&amp;"","cadastre o CNPJ em Empresas"))</f>
        <v/>
      </c>
      <c r="H192" s="28" t="str">
        <f aca="false">IF(B192="","",SUBSTITUTE(SUBSTITUTE(SUBSTITUTE(SUBSTITUTE(SUBSTITUTE(SUBSTITUTE(SUBSTITUTE(SUBSTITUTE(SUBSTITUTE(SUBSTITUTE(SUBSTITUTE(SUBSTITUTE(SUBSTITUTE(UPPER(TRIM(B192)),"Á","A"),"À","A"),"Â","A"),"Ã","A"),"É","E"),"Ê","E"),"Í","I"),"Ó","O"),"Ô","O"),"Õ","O"),"Ú","U"),"Ü","U"),"Ç","C"))</f>
        <v/>
      </c>
      <c r="I192" s="28" t="str">
        <f aca="false">IF(C192="","",IF(LEN(SUBSTITUTE(SUBSTITUTE(SUBSTITUTE(SUBSTITUTE(TRIM(C192),"*",""),".",""),"-","")," ",""))=11,MID(SUBSTITUTE(SUBSTITUTE(SUBSTITUTE(SUBSTITUTE(TRIM(C192),"*",""),".",""),"-","")," ",""),4,6),SUBSTITUTE(SUBSTITUTE(SUBSTITUTE(SUBSTITUTE(TRIM(C192),"*",""),".",""),"-","")," ","")))</f>
        <v/>
      </c>
      <c r="J192" s="28" t="str">
        <f aca="false">IF(OR(H192="",I192=""),"",H192&amp;"|"&amp;I192)</f>
        <v/>
      </c>
      <c r="K192" s="19" t="str">
        <f aca="false">IF(H192="","",IF(AND(J192&lt;&gt;"",COUNTIF(Pessoas!$J:$J,J192)&gt;0),"SIM",IF(COUNTIF(Pessoas!$H:$H,H192)&gt;0,"nome igual em Pessoas: confira o CPF","")))</f>
        <v/>
      </c>
      <c r="L192" s="27"/>
      <c r="M192" s="5"/>
    </row>
    <row r="193" customFormat="false" ht="15" hidden="false" customHeight="false" outlineLevel="0" collapsed="false">
      <c r="A193" s="27"/>
      <c r="B193" s="5"/>
      <c r="C193" s="27"/>
      <c r="D193" s="18"/>
      <c r="E193" s="14"/>
      <c r="F193" s="18"/>
      <c r="G193" s="19" t="str">
        <f aca="false">IF(A193="","",IFERROR(INDEX(Empresas!$B:$B,MATCH(A193,Empresas!$A:$A,0))&amp;"","cadastre o CNPJ em Empresas"))</f>
        <v/>
      </c>
      <c r="H193" s="28" t="str">
        <f aca="false">IF(B193="","",SUBSTITUTE(SUBSTITUTE(SUBSTITUTE(SUBSTITUTE(SUBSTITUTE(SUBSTITUTE(SUBSTITUTE(SUBSTITUTE(SUBSTITUTE(SUBSTITUTE(SUBSTITUTE(SUBSTITUTE(SUBSTITUTE(UPPER(TRIM(B193)),"Á","A"),"À","A"),"Â","A"),"Ã","A"),"É","E"),"Ê","E"),"Í","I"),"Ó","O"),"Ô","O"),"Õ","O"),"Ú","U"),"Ü","U"),"Ç","C"))</f>
        <v/>
      </c>
      <c r="I193" s="28" t="str">
        <f aca="false">IF(C193="","",IF(LEN(SUBSTITUTE(SUBSTITUTE(SUBSTITUTE(SUBSTITUTE(TRIM(C193),"*",""),".",""),"-","")," ",""))=11,MID(SUBSTITUTE(SUBSTITUTE(SUBSTITUTE(SUBSTITUTE(TRIM(C193),"*",""),".",""),"-","")," ",""),4,6),SUBSTITUTE(SUBSTITUTE(SUBSTITUTE(SUBSTITUTE(TRIM(C193),"*",""),".",""),"-","")," ","")))</f>
        <v/>
      </c>
      <c r="J193" s="28" t="str">
        <f aca="false">IF(OR(H193="",I193=""),"",H193&amp;"|"&amp;I193)</f>
        <v/>
      </c>
      <c r="K193" s="19" t="str">
        <f aca="false">IF(H193="","",IF(AND(J193&lt;&gt;"",COUNTIF(Pessoas!$J:$J,J193)&gt;0),"SIM",IF(COUNTIF(Pessoas!$H:$H,H193)&gt;0,"nome igual em Pessoas: confira o CPF","")))</f>
        <v/>
      </c>
      <c r="L193" s="27"/>
      <c r="M193" s="5"/>
    </row>
    <row r="194" customFormat="false" ht="15" hidden="false" customHeight="false" outlineLevel="0" collapsed="false">
      <c r="A194" s="27"/>
      <c r="B194" s="5"/>
      <c r="C194" s="27"/>
      <c r="D194" s="18"/>
      <c r="E194" s="14"/>
      <c r="F194" s="18"/>
      <c r="G194" s="19" t="str">
        <f aca="false">IF(A194="","",IFERROR(INDEX(Empresas!$B:$B,MATCH(A194,Empresas!$A:$A,0))&amp;"","cadastre o CNPJ em Empresas"))</f>
        <v/>
      </c>
      <c r="H194" s="28" t="str">
        <f aca="false">IF(B194="","",SUBSTITUTE(SUBSTITUTE(SUBSTITUTE(SUBSTITUTE(SUBSTITUTE(SUBSTITUTE(SUBSTITUTE(SUBSTITUTE(SUBSTITUTE(SUBSTITUTE(SUBSTITUTE(SUBSTITUTE(SUBSTITUTE(UPPER(TRIM(B194)),"Á","A"),"À","A"),"Â","A"),"Ã","A"),"É","E"),"Ê","E"),"Í","I"),"Ó","O"),"Ô","O"),"Õ","O"),"Ú","U"),"Ü","U"),"Ç","C"))</f>
        <v/>
      </c>
      <c r="I194" s="28" t="str">
        <f aca="false">IF(C194="","",IF(LEN(SUBSTITUTE(SUBSTITUTE(SUBSTITUTE(SUBSTITUTE(TRIM(C194),"*",""),".",""),"-","")," ",""))=11,MID(SUBSTITUTE(SUBSTITUTE(SUBSTITUTE(SUBSTITUTE(TRIM(C194),"*",""),".",""),"-","")," ",""),4,6),SUBSTITUTE(SUBSTITUTE(SUBSTITUTE(SUBSTITUTE(TRIM(C194),"*",""),".",""),"-","")," ","")))</f>
        <v/>
      </c>
      <c r="J194" s="28" t="str">
        <f aca="false">IF(OR(H194="",I194=""),"",H194&amp;"|"&amp;I194)</f>
        <v/>
      </c>
      <c r="K194" s="19" t="str">
        <f aca="false">IF(H194="","",IF(AND(J194&lt;&gt;"",COUNTIF(Pessoas!$J:$J,J194)&gt;0),"SIM",IF(COUNTIF(Pessoas!$H:$H,H194)&gt;0,"nome igual em Pessoas: confira o CPF","")))</f>
        <v/>
      </c>
      <c r="L194" s="27"/>
      <c r="M194" s="5"/>
    </row>
    <row r="195" customFormat="false" ht="15" hidden="false" customHeight="false" outlineLevel="0" collapsed="false">
      <c r="A195" s="27"/>
      <c r="B195" s="5"/>
      <c r="C195" s="27"/>
      <c r="D195" s="18"/>
      <c r="E195" s="14"/>
      <c r="F195" s="18"/>
      <c r="G195" s="19" t="str">
        <f aca="false">IF(A195="","",IFERROR(INDEX(Empresas!$B:$B,MATCH(A195,Empresas!$A:$A,0))&amp;"","cadastre o CNPJ em Empresas"))</f>
        <v/>
      </c>
      <c r="H195" s="28" t="str">
        <f aca="false">IF(B195="","",SUBSTITUTE(SUBSTITUTE(SUBSTITUTE(SUBSTITUTE(SUBSTITUTE(SUBSTITUTE(SUBSTITUTE(SUBSTITUTE(SUBSTITUTE(SUBSTITUTE(SUBSTITUTE(SUBSTITUTE(SUBSTITUTE(UPPER(TRIM(B195)),"Á","A"),"À","A"),"Â","A"),"Ã","A"),"É","E"),"Ê","E"),"Í","I"),"Ó","O"),"Ô","O"),"Õ","O"),"Ú","U"),"Ü","U"),"Ç","C"))</f>
        <v/>
      </c>
      <c r="I195" s="28" t="str">
        <f aca="false">IF(C195="","",IF(LEN(SUBSTITUTE(SUBSTITUTE(SUBSTITUTE(SUBSTITUTE(TRIM(C195),"*",""),".",""),"-","")," ",""))=11,MID(SUBSTITUTE(SUBSTITUTE(SUBSTITUTE(SUBSTITUTE(TRIM(C195),"*",""),".",""),"-","")," ",""),4,6),SUBSTITUTE(SUBSTITUTE(SUBSTITUTE(SUBSTITUTE(TRIM(C195),"*",""),".",""),"-","")," ","")))</f>
        <v/>
      </c>
      <c r="J195" s="28" t="str">
        <f aca="false">IF(OR(H195="",I195=""),"",H195&amp;"|"&amp;I195)</f>
        <v/>
      </c>
      <c r="K195" s="19" t="str">
        <f aca="false">IF(H195="","",IF(AND(J195&lt;&gt;"",COUNTIF(Pessoas!$J:$J,J195)&gt;0),"SIM",IF(COUNTIF(Pessoas!$H:$H,H195)&gt;0,"nome igual em Pessoas: confira o CPF","")))</f>
        <v/>
      </c>
      <c r="L195" s="27"/>
      <c r="M195" s="5"/>
    </row>
    <row r="196" customFormat="false" ht="15" hidden="false" customHeight="false" outlineLevel="0" collapsed="false">
      <c r="A196" s="27"/>
      <c r="B196" s="5"/>
      <c r="C196" s="27"/>
      <c r="D196" s="18"/>
      <c r="E196" s="14"/>
      <c r="F196" s="18"/>
      <c r="G196" s="19" t="str">
        <f aca="false">IF(A196="","",IFERROR(INDEX(Empresas!$B:$B,MATCH(A196,Empresas!$A:$A,0))&amp;"","cadastre o CNPJ em Empresas"))</f>
        <v/>
      </c>
      <c r="H196" s="28" t="str">
        <f aca="false">IF(B196="","",SUBSTITUTE(SUBSTITUTE(SUBSTITUTE(SUBSTITUTE(SUBSTITUTE(SUBSTITUTE(SUBSTITUTE(SUBSTITUTE(SUBSTITUTE(SUBSTITUTE(SUBSTITUTE(SUBSTITUTE(SUBSTITUTE(UPPER(TRIM(B196)),"Á","A"),"À","A"),"Â","A"),"Ã","A"),"É","E"),"Ê","E"),"Í","I"),"Ó","O"),"Ô","O"),"Õ","O"),"Ú","U"),"Ü","U"),"Ç","C"))</f>
        <v/>
      </c>
      <c r="I196" s="28" t="str">
        <f aca="false">IF(C196="","",IF(LEN(SUBSTITUTE(SUBSTITUTE(SUBSTITUTE(SUBSTITUTE(TRIM(C196),"*",""),".",""),"-","")," ",""))=11,MID(SUBSTITUTE(SUBSTITUTE(SUBSTITUTE(SUBSTITUTE(TRIM(C196),"*",""),".",""),"-","")," ",""),4,6),SUBSTITUTE(SUBSTITUTE(SUBSTITUTE(SUBSTITUTE(TRIM(C196),"*",""),".",""),"-","")," ","")))</f>
        <v/>
      </c>
      <c r="J196" s="28" t="str">
        <f aca="false">IF(OR(H196="",I196=""),"",H196&amp;"|"&amp;I196)</f>
        <v/>
      </c>
      <c r="K196" s="19" t="str">
        <f aca="false">IF(H196="","",IF(AND(J196&lt;&gt;"",COUNTIF(Pessoas!$J:$J,J196)&gt;0),"SIM",IF(COUNTIF(Pessoas!$H:$H,H196)&gt;0,"nome igual em Pessoas: confira o CPF","")))</f>
        <v/>
      </c>
      <c r="L196" s="27"/>
      <c r="M196" s="5"/>
    </row>
    <row r="197" customFormat="false" ht="15" hidden="false" customHeight="false" outlineLevel="0" collapsed="false">
      <c r="A197" s="27"/>
      <c r="B197" s="5"/>
      <c r="C197" s="27"/>
      <c r="D197" s="18"/>
      <c r="E197" s="14"/>
      <c r="F197" s="18"/>
      <c r="G197" s="19" t="str">
        <f aca="false">IF(A197="","",IFERROR(INDEX(Empresas!$B:$B,MATCH(A197,Empresas!$A:$A,0))&amp;"","cadastre o CNPJ em Empresas"))</f>
        <v/>
      </c>
      <c r="H197" s="28" t="str">
        <f aca="false">IF(B197="","",SUBSTITUTE(SUBSTITUTE(SUBSTITUTE(SUBSTITUTE(SUBSTITUTE(SUBSTITUTE(SUBSTITUTE(SUBSTITUTE(SUBSTITUTE(SUBSTITUTE(SUBSTITUTE(SUBSTITUTE(SUBSTITUTE(UPPER(TRIM(B197)),"Á","A"),"À","A"),"Â","A"),"Ã","A"),"É","E"),"Ê","E"),"Í","I"),"Ó","O"),"Ô","O"),"Õ","O"),"Ú","U"),"Ü","U"),"Ç","C"))</f>
        <v/>
      </c>
      <c r="I197" s="28" t="str">
        <f aca="false">IF(C197="","",IF(LEN(SUBSTITUTE(SUBSTITUTE(SUBSTITUTE(SUBSTITUTE(TRIM(C197),"*",""),".",""),"-","")," ",""))=11,MID(SUBSTITUTE(SUBSTITUTE(SUBSTITUTE(SUBSTITUTE(TRIM(C197),"*",""),".",""),"-","")," ",""),4,6),SUBSTITUTE(SUBSTITUTE(SUBSTITUTE(SUBSTITUTE(TRIM(C197),"*",""),".",""),"-","")," ","")))</f>
        <v/>
      </c>
      <c r="J197" s="28" t="str">
        <f aca="false">IF(OR(H197="",I197=""),"",H197&amp;"|"&amp;I197)</f>
        <v/>
      </c>
      <c r="K197" s="19" t="str">
        <f aca="false">IF(H197="","",IF(AND(J197&lt;&gt;"",COUNTIF(Pessoas!$J:$J,J197)&gt;0),"SIM",IF(COUNTIF(Pessoas!$H:$H,H197)&gt;0,"nome igual em Pessoas: confira o CPF","")))</f>
        <v/>
      </c>
      <c r="L197" s="27"/>
      <c r="M197" s="5"/>
    </row>
    <row r="198" customFormat="false" ht="15" hidden="false" customHeight="false" outlineLevel="0" collapsed="false">
      <c r="A198" s="27"/>
      <c r="B198" s="5"/>
      <c r="C198" s="27"/>
      <c r="D198" s="18"/>
      <c r="E198" s="14"/>
      <c r="F198" s="18"/>
      <c r="G198" s="19" t="str">
        <f aca="false">IF(A198="","",IFERROR(INDEX(Empresas!$B:$B,MATCH(A198,Empresas!$A:$A,0))&amp;"","cadastre o CNPJ em Empresas"))</f>
        <v/>
      </c>
      <c r="H198" s="28" t="str">
        <f aca="false">IF(B198="","",SUBSTITUTE(SUBSTITUTE(SUBSTITUTE(SUBSTITUTE(SUBSTITUTE(SUBSTITUTE(SUBSTITUTE(SUBSTITUTE(SUBSTITUTE(SUBSTITUTE(SUBSTITUTE(SUBSTITUTE(SUBSTITUTE(UPPER(TRIM(B198)),"Á","A"),"À","A"),"Â","A"),"Ã","A"),"É","E"),"Ê","E"),"Í","I"),"Ó","O"),"Ô","O"),"Õ","O"),"Ú","U"),"Ü","U"),"Ç","C"))</f>
        <v/>
      </c>
      <c r="I198" s="28" t="str">
        <f aca="false">IF(C198="","",IF(LEN(SUBSTITUTE(SUBSTITUTE(SUBSTITUTE(SUBSTITUTE(TRIM(C198),"*",""),".",""),"-","")," ",""))=11,MID(SUBSTITUTE(SUBSTITUTE(SUBSTITUTE(SUBSTITUTE(TRIM(C198),"*",""),".",""),"-","")," ",""),4,6),SUBSTITUTE(SUBSTITUTE(SUBSTITUTE(SUBSTITUTE(TRIM(C198),"*",""),".",""),"-","")," ","")))</f>
        <v/>
      </c>
      <c r="J198" s="28" t="str">
        <f aca="false">IF(OR(H198="",I198=""),"",H198&amp;"|"&amp;I198)</f>
        <v/>
      </c>
      <c r="K198" s="19" t="str">
        <f aca="false">IF(H198="","",IF(AND(J198&lt;&gt;"",COUNTIF(Pessoas!$J:$J,J198)&gt;0),"SIM",IF(COUNTIF(Pessoas!$H:$H,H198)&gt;0,"nome igual em Pessoas: confira o CPF","")))</f>
        <v/>
      </c>
      <c r="L198" s="27"/>
      <c r="M198" s="5"/>
    </row>
    <row r="199" customFormat="false" ht="15" hidden="false" customHeight="false" outlineLevel="0" collapsed="false">
      <c r="A199" s="27"/>
      <c r="B199" s="5"/>
      <c r="C199" s="27"/>
      <c r="D199" s="18"/>
      <c r="E199" s="14"/>
      <c r="F199" s="18"/>
      <c r="G199" s="19" t="str">
        <f aca="false">IF(A199="","",IFERROR(INDEX(Empresas!$B:$B,MATCH(A199,Empresas!$A:$A,0))&amp;"","cadastre o CNPJ em Empresas"))</f>
        <v/>
      </c>
      <c r="H199" s="28" t="str">
        <f aca="false">IF(B199="","",SUBSTITUTE(SUBSTITUTE(SUBSTITUTE(SUBSTITUTE(SUBSTITUTE(SUBSTITUTE(SUBSTITUTE(SUBSTITUTE(SUBSTITUTE(SUBSTITUTE(SUBSTITUTE(SUBSTITUTE(SUBSTITUTE(UPPER(TRIM(B199)),"Á","A"),"À","A"),"Â","A"),"Ã","A"),"É","E"),"Ê","E"),"Í","I"),"Ó","O"),"Ô","O"),"Õ","O"),"Ú","U"),"Ü","U"),"Ç","C"))</f>
        <v/>
      </c>
      <c r="I199" s="28" t="str">
        <f aca="false">IF(C199="","",IF(LEN(SUBSTITUTE(SUBSTITUTE(SUBSTITUTE(SUBSTITUTE(TRIM(C199),"*",""),".",""),"-","")," ",""))=11,MID(SUBSTITUTE(SUBSTITUTE(SUBSTITUTE(SUBSTITUTE(TRIM(C199),"*",""),".",""),"-","")," ",""),4,6),SUBSTITUTE(SUBSTITUTE(SUBSTITUTE(SUBSTITUTE(TRIM(C199),"*",""),".",""),"-","")," ","")))</f>
        <v/>
      </c>
      <c r="J199" s="28" t="str">
        <f aca="false">IF(OR(H199="",I199=""),"",H199&amp;"|"&amp;I199)</f>
        <v/>
      </c>
      <c r="K199" s="19" t="str">
        <f aca="false">IF(H199="","",IF(AND(J199&lt;&gt;"",COUNTIF(Pessoas!$J:$J,J199)&gt;0),"SIM",IF(COUNTIF(Pessoas!$H:$H,H199)&gt;0,"nome igual em Pessoas: confira o CPF","")))</f>
        <v/>
      </c>
      <c r="L199" s="27"/>
      <c r="M199" s="5"/>
    </row>
    <row r="200" customFormat="false" ht="15" hidden="false" customHeight="false" outlineLevel="0" collapsed="false">
      <c r="A200" s="27"/>
      <c r="B200" s="5"/>
      <c r="C200" s="27"/>
      <c r="D200" s="18"/>
      <c r="E200" s="14"/>
      <c r="F200" s="18"/>
      <c r="G200" s="19" t="str">
        <f aca="false">IF(A200="","",IFERROR(INDEX(Empresas!$B:$B,MATCH(A200,Empresas!$A:$A,0))&amp;"","cadastre o CNPJ em Empresas"))</f>
        <v/>
      </c>
      <c r="H200" s="28" t="str">
        <f aca="false">IF(B200="","",SUBSTITUTE(SUBSTITUTE(SUBSTITUTE(SUBSTITUTE(SUBSTITUTE(SUBSTITUTE(SUBSTITUTE(SUBSTITUTE(SUBSTITUTE(SUBSTITUTE(SUBSTITUTE(SUBSTITUTE(SUBSTITUTE(UPPER(TRIM(B200)),"Á","A"),"À","A"),"Â","A"),"Ã","A"),"É","E"),"Ê","E"),"Í","I"),"Ó","O"),"Ô","O"),"Õ","O"),"Ú","U"),"Ü","U"),"Ç","C"))</f>
        <v/>
      </c>
      <c r="I200" s="28" t="str">
        <f aca="false">IF(C200="","",IF(LEN(SUBSTITUTE(SUBSTITUTE(SUBSTITUTE(SUBSTITUTE(TRIM(C200),"*",""),".",""),"-","")," ",""))=11,MID(SUBSTITUTE(SUBSTITUTE(SUBSTITUTE(SUBSTITUTE(TRIM(C200),"*",""),".",""),"-","")," ",""),4,6),SUBSTITUTE(SUBSTITUTE(SUBSTITUTE(SUBSTITUTE(TRIM(C200),"*",""),".",""),"-","")," ","")))</f>
        <v/>
      </c>
      <c r="J200" s="28" t="str">
        <f aca="false">IF(OR(H200="",I200=""),"",H200&amp;"|"&amp;I200)</f>
        <v/>
      </c>
      <c r="K200" s="19" t="str">
        <f aca="false">IF(H200="","",IF(AND(J200&lt;&gt;"",COUNTIF(Pessoas!$J:$J,J200)&gt;0),"SIM",IF(COUNTIF(Pessoas!$H:$H,H200)&gt;0,"nome igual em Pessoas: confira o CPF","")))</f>
        <v/>
      </c>
      <c r="L200" s="27"/>
      <c r="M200" s="5"/>
    </row>
    <row r="201" customFormat="false" ht="15" hidden="false" customHeight="false" outlineLevel="0" collapsed="false">
      <c r="A201" s="27"/>
      <c r="B201" s="5"/>
      <c r="C201" s="27"/>
      <c r="D201" s="18"/>
      <c r="E201" s="14"/>
      <c r="F201" s="18"/>
      <c r="G201" s="19" t="str">
        <f aca="false">IF(A201="","",IFERROR(INDEX(Empresas!$B:$B,MATCH(A201,Empresas!$A:$A,0))&amp;"","cadastre o CNPJ em Empresas"))</f>
        <v/>
      </c>
      <c r="H201" s="28" t="str">
        <f aca="false">IF(B201="","",SUBSTITUTE(SUBSTITUTE(SUBSTITUTE(SUBSTITUTE(SUBSTITUTE(SUBSTITUTE(SUBSTITUTE(SUBSTITUTE(SUBSTITUTE(SUBSTITUTE(SUBSTITUTE(SUBSTITUTE(SUBSTITUTE(UPPER(TRIM(B201)),"Á","A"),"À","A"),"Â","A"),"Ã","A"),"É","E"),"Ê","E"),"Í","I"),"Ó","O"),"Ô","O"),"Õ","O"),"Ú","U"),"Ü","U"),"Ç","C"))</f>
        <v/>
      </c>
      <c r="I201" s="28" t="str">
        <f aca="false">IF(C201="","",IF(LEN(SUBSTITUTE(SUBSTITUTE(SUBSTITUTE(SUBSTITUTE(TRIM(C201),"*",""),".",""),"-","")," ",""))=11,MID(SUBSTITUTE(SUBSTITUTE(SUBSTITUTE(SUBSTITUTE(TRIM(C201),"*",""),".",""),"-","")," ",""),4,6),SUBSTITUTE(SUBSTITUTE(SUBSTITUTE(SUBSTITUTE(TRIM(C201),"*",""),".",""),"-","")," ","")))</f>
        <v/>
      </c>
      <c r="J201" s="28" t="str">
        <f aca="false">IF(OR(H201="",I201=""),"",H201&amp;"|"&amp;I201)</f>
        <v/>
      </c>
      <c r="K201" s="19" t="str">
        <f aca="false">IF(H201="","",IF(AND(J201&lt;&gt;"",COUNTIF(Pessoas!$J:$J,J201)&gt;0),"SIM",IF(COUNTIF(Pessoas!$H:$H,H201)&gt;0,"nome igual em Pessoas: confira o CPF","")))</f>
        <v/>
      </c>
      <c r="L201" s="27"/>
      <c r="M201" s="5"/>
    </row>
    <row r="202" customFormat="false" ht="15" hidden="false" customHeight="false" outlineLevel="0" collapsed="false">
      <c r="A202" s="27"/>
      <c r="B202" s="5"/>
      <c r="C202" s="27"/>
      <c r="D202" s="18"/>
      <c r="E202" s="14"/>
      <c r="F202" s="18"/>
      <c r="G202" s="19" t="str">
        <f aca="false">IF(A202="","",IFERROR(INDEX(Empresas!$B:$B,MATCH(A202,Empresas!$A:$A,0))&amp;"","cadastre o CNPJ em Empresas"))</f>
        <v/>
      </c>
      <c r="H202" s="28" t="str">
        <f aca="false">IF(B202="","",SUBSTITUTE(SUBSTITUTE(SUBSTITUTE(SUBSTITUTE(SUBSTITUTE(SUBSTITUTE(SUBSTITUTE(SUBSTITUTE(SUBSTITUTE(SUBSTITUTE(SUBSTITUTE(SUBSTITUTE(SUBSTITUTE(UPPER(TRIM(B202)),"Á","A"),"À","A"),"Â","A"),"Ã","A"),"É","E"),"Ê","E"),"Í","I"),"Ó","O"),"Ô","O"),"Õ","O"),"Ú","U"),"Ü","U"),"Ç","C"))</f>
        <v/>
      </c>
      <c r="I202" s="28" t="str">
        <f aca="false">IF(C202="","",IF(LEN(SUBSTITUTE(SUBSTITUTE(SUBSTITUTE(SUBSTITUTE(TRIM(C202),"*",""),".",""),"-","")," ",""))=11,MID(SUBSTITUTE(SUBSTITUTE(SUBSTITUTE(SUBSTITUTE(TRIM(C202),"*",""),".",""),"-","")," ",""),4,6),SUBSTITUTE(SUBSTITUTE(SUBSTITUTE(SUBSTITUTE(TRIM(C202),"*",""),".",""),"-","")," ","")))</f>
        <v/>
      </c>
      <c r="J202" s="28" t="str">
        <f aca="false">IF(OR(H202="",I202=""),"",H202&amp;"|"&amp;I202)</f>
        <v/>
      </c>
      <c r="K202" s="19" t="str">
        <f aca="false">IF(H202="","",IF(AND(J202&lt;&gt;"",COUNTIF(Pessoas!$J:$J,J202)&gt;0),"SIM",IF(COUNTIF(Pessoas!$H:$H,H202)&gt;0,"nome igual em Pessoas: confira o CPF","")))</f>
        <v/>
      </c>
      <c r="L202" s="27"/>
      <c r="M202" s="5"/>
    </row>
    <row r="203" customFormat="false" ht="15" hidden="false" customHeight="false" outlineLevel="0" collapsed="false">
      <c r="A203" s="27"/>
      <c r="B203" s="5"/>
      <c r="C203" s="27"/>
      <c r="D203" s="18"/>
      <c r="E203" s="14"/>
      <c r="F203" s="18"/>
      <c r="G203" s="19" t="str">
        <f aca="false">IF(A203="","",IFERROR(INDEX(Empresas!$B:$B,MATCH(A203,Empresas!$A:$A,0))&amp;"","cadastre o CNPJ em Empresas"))</f>
        <v/>
      </c>
      <c r="H203" s="28" t="str">
        <f aca="false">IF(B203="","",SUBSTITUTE(SUBSTITUTE(SUBSTITUTE(SUBSTITUTE(SUBSTITUTE(SUBSTITUTE(SUBSTITUTE(SUBSTITUTE(SUBSTITUTE(SUBSTITUTE(SUBSTITUTE(SUBSTITUTE(SUBSTITUTE(UPPER(TRIM(B203)),"Á","A"),"À","A"),"Â","A"),"Ã","A"),"É","E"),"Ê","E"),"Í","I"),"Ó","O"),"Ô","O"),"Õ","O"),"Ú","U"),"Ü","U"),"Ç","C"))</f>
        <v/>
      </c>
      <c r="I203" s="28" t="str">
        <f aca="false">IF(C203="","",IF(LEN(SUBSTITUTE(SUBSTITUTE(SUBSTITUTE(SUBSTITUTE(TRIM(C203),"*",""),".",""),"-","")," ",""))=11,MID(SUBSTITUTE(SUBSTITUTE(SUBSTITUTE(SUBSTITUTE(TRIM(C203),"*",""),".",""),"-","")," ",""),4,6),SUBSTITUTE(SUBSTITUTE(SUBSTITUTE(SUBSTITUTE(TRIM(C203),"*",""),".",""),"-","")," ","")))</f>
        <v/>
      </c>
      <c r="J203" s="28" t="str">
        <f aca="false">IF(OR(H203="",I203=""),"",H203&amp;"|"&amp;I203)</f>
        <v/>
      </c>
      <c r="K203" s="19" t="str">
        <f aca="false">IF(H203="","",IF(AND(J203&lt;&gt;"",COUNTIF(Pessoas!$J:$J,J203)&gt;0),"SIM",IF(COUNTIF(Pessoas!$H:$H,H203)&gt;0,"nome igual em Pessoas: confira o CPF","")))</f>
        <v/>
      </c>
      <c r="L203" s="27"/>
      <c r="M203" s="5"/>
    </row>
    <row r="204" customFormat="false" ht="15" hidden="false" customHeight="false" outlineLevel="0" collapsed="false">
      <c r="A204" s="27"/>
      <c r="B204" s="5"/>
      <c r="C204" s="27"/>
      <c r="D204" s="18"/>
      <c r="E204" s="14"/>
      <c r="F204" s="18"/>
      <c r="G204" s="19" t="str">
        <f aca="false">IF(A204="","",IFERROR(INDEX(Empresas!$B:$B,MATCH(A204,Empresas!$A:$A,0))&amp;"","cadastre o CNPJ em Empresas"))</f>
        <v/>
      </c>
      <c r="H204" s="28" t="str">
        <f aca="false">IF(B204="","",SUBSTITUTE(SUBSTITUTE(SUBSTITUTE(SUBSTITUTE(SUBSTITUTE(SUBSTITUTE(SUBSTITUTE(SUBSTITUTE(SUBSTITUTE(SUBSTITUTE(SUBSTITUTE(SUBSTITUTE(SUBSTITUTE(UPPER(TRIM(B204)),"Á","A"),"À","A"),"Â","A"),"Ã","A"),"É","E"),"Ê","E"),"Í","I"),"Ó","O"),"Ô","O"),"Õ","O"),"Ú","U"),"Ü","U"),"Ç","C"))</f>
        <v/>
      </c>
      <c r="I204" s="28" t="str">
        <f aca="false">IF(C204="","",IF(LEN(SUBSTITUTE(SUBSTITUTE(SUBSTITUTE(SUBSTITUTE(TRIM(C204),"*",""),".",""),"-","")," ",""))=11,MID(SUBSTITUTE(SUBSTITUTE(SUBSTITUTE(SUBSTITUTE(TRIM(C204),"*",""),".",""),"-","")," ",""),4,6),SUBSTITUTE(SUBSTITUTE(SUBSTITUTE(SUBSTITUTE(TRIM(C204),"*",""),".",""),"-","")," ","")))</f>
        <v/>
      </c>
      <c r="J204" s="28" t="str">
        <f aca="false">IF(OR(H204="",I204=""),"",H204&amp;"|"&amp;I204)</f>
        <v/>
      </c>
      <c r="K204" s="19" t="str">
        <f aca="false">IF(H204="","",IF(AND(J204&lt;&gt;"",COUNTIF(Pessoas!$J:$J,J204)&gt;0),"SIM",IF(COUNTIF(Pessoas!$H:$H,H204)&gt;0,"nome igual em Pessoas: confira o CPF","")))</f>
        <v/>
      </c>
      <c r="L204" s="27"/>
      <c r="M204" s="5"/>
    </row>
    <row r="205" customFormat="false" ht="15" hidden="false" customHeight="false" outlineLevel="0" collapsed="false">
      <c r="A205" s="27"/>
      <c r="B205" s="5"/>
      <c r="C205" s="27"/>
      <c r="D205" s="18"/>
      <c r="E205" s="14"/>
      <c r="F205" s="18"/>
      <c r="G205" s="19" t="str">
        <f aca="false">IF(A205="","",IFERROR(INDEX(Empresas!$B:$B,MATCH(A205,Empresas!$A:$A,0))&amp;"","cadastre o CNPJ em Empresas"))</f>
        <v/>
      </c>
      <c r="H205" s="28" t="str">
        <f aca="false">IF(B205="","",SUBSTITUTE(SUBSTITUTE(SUBSTITUTE(SUBSTITUTE(SUBSTITUTE(SUBSTITUTE(SUBSTITUTE(SUBSTITUTE(SUBSTITUTE(SUBSTITUTE(SUBSTITUTE(SUBSTITUTE(SUBSTITUTE(UPPER(TRIM(B205)),"Á","A"),"À","A"),"Â","A"),"Ã","A"),"É","E"),"Ê","E"),"Í","I"),"Ó","O"),"Ô","O"),"Õ","O"),"Ú","U"),"Ü","U"),"Ç","C"))</f>
        <v/>
      </c>
      <c r="I205" s="28" t="str">
        <f aca="false">IF(C205="","",IF(LEN(SUBSTITUTE(SUBSTITUTE(SUBSTITUTE(SUBSTITUTE(TRIM(C205),"*",""),".",""),"-","")," ",""))=11,MID(SUBSTITUTE(SUBSTITUTE(SUBSTITUTE(SUBSTITUTE(TRIM(C205),"*",""),".",""),"-","")," ",""),4,6),SUBSTITUTE(SUBSTITUTE(SUBSTITUTE(SUBSTITUTE(TRIM(C205),"*",""),".",""),"-","")," ","")))</f>
        <v/>
      </c>
      <c r="J205" s="28" t="str">
        <f aca="false">IF(OR(H205="",I205=""),"",H205&amp;"|"&amp;I205)</f>
        <v/>
      </c>
      <c r="K205" s="19" t="str">
        <f aca="false">IF(H205="","",IF(AND(J205&lt;&gt;"",COUNTIF(Pessoas!$J:$J,J205)&gt;0),"SIM",IF(COUNTIF(Pessoas!$H:$H,H205)&gt;0,"nome igual em Pessoas: confira o CPF","")))</f>
        <v/>
      </c>
      <c r="L205" s="27"/>
      <c r="M205" s="5"/>
    </row>
    <row r="206" customFormat="false" ht="15" hidden="false" customHeight="false" outlineLevel="0" collapsed="false">
      <c r="A206" s="27"/>
      <c r="B206" s="5"/>
      <c r="C206" s="27"/>
      <c r="D206" s="18"/>
      <c r="E206" s="14"/>
      <c r="F206" s="18"/>
      <c r="G206" s="19" t="str">
        <f aca="false">IF(A206="","",IFERROR(INDEX(Empresas!$B:$B,MATCH(A206,Empresas!$A:$A,0))&amp;"","cadastre o CNPJ em Empresas"))</f>
        <v/>
      </c>
      <c r="H206" s="28" t="str">
        <f aca="false">IF(B206="","",SUBSTITUTE(SUBSTITUTE(SUBSTITUTE(SUBSTITUTE(SUBSTITUTE(SUBSTITUTE(SUBSTITUTE(SUBSTITUTE(SUBSTITUTE(SUBSTITUTE(SUBSTITUTE(SUBSTITUTE(SUBSTITUTE(UPPER(TRIM(B206)),"Á","A"),"À","A"),"Â","A"),"Ã","A"),"É","E"),"Ê","E"),"Í","I"),"Ó","O"),"Ô","O"),"Õ","O"),"Ú","U"),"Ü","U"),"Ç","C"))</f>
        <v/>
      </c>
      <c r="I206" s="28" t="str">
        <f aca="false">IF(C206="","",IF(LEN(SUBSTITUTE(SUBSTITUTE(SUBSTITUTE(SUBSTITUTE(TRIM(C206),"*",""),".",""),"-","")," ",""))=11,MID(SUBSTITUTE(SUBSTITUTE(SUBSTITUTE(SUBSTITUTE(TRIM(C206),"*",""),".",""),"-","")," ",""),4,6),SUBSTITUTE(SUBSTITUTE(SUBSTITUTE(SUBSTITUTE(TRIM(C206),"*",""),".",""),"-","")," ","")))</f>
        <v/>
      </c>
      <c r="J206" s="28" t="str">
        <f aca="false">IF(OR(H206="",I206=""),"",H206&amp;"|"&amp;I206)</f>
        <v/>
      </c>
      <c r="K206" s="19" t="str">
        <f aca="false">IF(H206="","",IF(AND(J206&lt;&gt;"",COUNTIF(Pessoas!$J:$J,J206)&gt;0),"SIM",IF(COUNTIF(Pessoas!$H:$H,H206)&gt;0,"nome igual em Pessoas: confira o CPF","")))</f>
        <v/>
      </c>
      <c r="L206" s="27"/>
      <c r="M206" s="5"/>
    </row>
    <row r="207" customFormat="false" ht="15" hidden="false" customHeight="false" outlineLevel="0" collapsed="false">
      <c r="A207" s="27"/>
      <c r="B207" s="5"/>
      <c r="C207" s="27"/>
      <c r="D207" s="18"/>
      <c r="E207" s="14"/>
      <c r="F207" s="18"/>
      <c r="G207" s="19" t="str">
        <f aca="false">IF(A207="","",IFERROR(INDEX(Empresas!$B:$B,MATCH(A207,Empresas!$A:$A,0))&amp;"","cadastre o CNPJ em Empresas"))</f>
        <v/>
      </c>
      <c r="H207" s="28" t="str">
        <f aca="false">IF(B207="","",SUBSTITUTE(SUBSTITUTE(SUBSTITUTE(SUBSTITUTE(SUBSTITUTE(SUBSTITUTE(SUBSTITUTE(SUBSTITUTE(SUBSTITUTE(SUBSTITUTE(SUBSTITUTE(SUBSTITUTE(SUBSTITUTE(UPPER(TRIM(B207)),"Á","A"),"À","A"),"Â","A"),"Ã","A"),"É","E"),"Ê","E"),"Í","I"),"Ó","O"),"Ô","O"),"Õ","O"),"Ú","U"),"Ü","U"),"Ç","C"))</f>
        <v/>
      </c>
      <c r="I207" s="28" t="str">
        <f aca="false">IF(C207="","",IF(LEN(SUBSTITUTE(SUBSTITUTE(SUBSTITUTE(SUBSTITUTE(TRIM(C207),"*",""),".",""),"-","")," ",""))=11,MID(SUBSTITUTE(SUBSTITUTE(SUBSTITUTE(SUBSTITUTE(TRIM(C207),"*",""),".",""),"-","")," ",""),4,6),SUBSTITUTE(SUBSTITUTE(SUBSTITUTE(SUBSTITUTE(TRIM(C207),"*",""),".",""),"-","")," ","")))</f>
        <v/>
      </c>
      <c r="J207" s="28" t="str">
        <f aca="false">IF(OR(H207="",I207=""),"",H207&amp;"|"&amp;I207)</f>
        <v/>
      </c>
      <c r="K207" s="19" t="str">
        <f aca="false">IF(H207="","",IF(AND(J207&lt;&gt;"",COUNTIF(Pessoas!$J:$J,J207)&gt;0),"SIM",IF(COUNTIF(Pessoas!$H:$H,H207)&gt;0,"nome igual em Pessoas: confira o CPF","")))</f>
        <v/>
      </c>
      <c r="L207" s="27"/>
      <c r="M207" s="5"/>
    </row>
    <row r="208" customFormat="false" ht="15" hidden="false" customHeight="false" outlineLevel="0" collapsed="false">
      <c r="A208" s="27"/>
      <c r="B208" s="5"/>
      <c r="C208" s="27"/>
      <c r="D208" s="18"/>
      <c r="E208" s="14"/>
      <c r="F208" s="18"/>
      <c r="G208" s="19" t="str">
        <f aca="false">IF(A208="","",IFERROR(INDEX(Empresas!$B:$B,MATCH(A208,Empresas!$A:$A,0))&amp;"","cadastre o CNPJ em Empresas"))</f>
        <v/>
      </c>
      <c r="H208" s="28" t="str">
        <f aca="false">IF(B208="","",SUBSTITUTE(SUBSTITUTE(SUBSTITUTE(SUBSTITUTE(SUBSTITUTE(SUBSTITUTE(SUBSTITUTE(SUBSTITUTE(SUBSTITUTE(SUBSTITUTE(SUBSTITUTE(SUBSTITUTE(SUBSTITUTE(UPPER(TRIM(B208)),"Á","A"),"À","A"),"Â","A"),"Ã","A"),"É","E"),"Ê","E"),"Í","I"),"Ó","O"),"Ô","O"),"Õ","O"),"Ú","U"),"Ü","U"),"Ç","C"))</f>
        <v/>
      </c>
      <c r="I208" s="28" t="str">
        <f aca="false">IF(C208="","",IF(LEN(SUBSTITUTE(SUBSTITUTE(SUBSTITUTE(SUBSTITUTE(TRIM(C208),"*",""),".",""),"-","")," ",""))=11,MID(SUBSTITUTE(SUBSTITUTE(SUBSTITUTE(SUBSTITUTE(TRIM(C208),"*",""),".",""),"-","")," ",""),4,6),SUBSTITUTE(SUBSTITUTE(SUBSTITUTE(SUBSTITUTE(TRIM(C208),"*",""),".",""),"-","")," ","")))</f>
        <v/>
      </c>
      <c r="J208" s="28" t="str">
        <f aca="false">IF(OR(H208="",I208=""),"",H208&amp;"|"&amp;I208)</f>
        <v/>
      </c>
      <c r="K208" s="19" t="str">
        <f aca="false">IF(H208="","",IF(AND(J208&lt;&gt;"",COUNTIF(Pessoas!$J:$J,J208)&gt;0),"SIM",IF(COUNTIF(Pessoas!$H:$H,H208)&gt;0,"nome igual em Pessoas: confira o CPF","")))</f>
        <v/>
      </c>
      <c r="L208" s="27"/>
      <c r="M208" s="5"/>
    </row>
    <row r="209" customFormat="false" ht="15" hidden="false" customHeight="false" outlineLevel="0" collapsed="false">
      <c r="A209" s="27"/>
      <c r="B209" s="5"/>
      <c r="C209" s="27"/>
      <c r="D209" s="18"/>
      <c r="E209" s="14"/>
      <c r="F209" s="18"/>
      <c r="G209" s="19" t="str">
        <f aca="false">IF(A209="","",IFERROR(INDEX(Empresas!$B:$B,MATCH(A209,Empresas!$A:$A,0))&amp;"","cadastre o CNPJ em Empresas"))</f>
        <v/>
      </c>
      <c r="H209" s="28" t="str">
        <f aca="false">IF(B209="","",SUBSTITUTE(SUBSTITUTE(SUBSTITUTE(SUBSTITUTE(SUBSTITUTE(SUBSTITUTE(SUBSTITUTE(SUBSTITUTE(SUBSTITUTE(SUBSTITUTE(SUBSTITUTE(SUBSTITUTE(SUBSTITUTE(UPPER(TRIM(B209)),"Á","A"),"À","A"),"Â","A"),"Ã","A"),"É","E"),"Ê","E"),"Í","I"),"Ó","O"),"Ô","O"),"Õ","O"),"Ú","U"),"Ü","U"),"Ç","C"))</f>
        <v/>
      </c>
      <c r="I209" s="28" t="str">
        <f aca="false">IF(C209="","",IF(LEN(SUBSTITUTE(SUBSTITUTE(SUBSTITUTE(SUBSTITUTE(TRIM(C209),"*",""),".",""),"-","")," ",""))=11,MID(SUBSTITUTE(SUBSTITUTE(SUBSTITUTE(SUBSTITUTE(TRIM(C209),"*",""),".",""),"-","")," ",""),4,6),SUBSTITUTE(SUBSTITUTE(SUBSTITUTE(SUBSTITUTE(TRIM(C209),"*",""),".",""),"-","")," ","")))</f>
        <v/>
      </c>
      <c r="J209" s="28" t="str">
        <f aca="false">IF(OR(H209="",I209=""),"",H209&amp;"|"&amp;I209)</f>
        <v/>
      </c>
      <c r="K209" s="19" t="str">
        <f aca="false">IF(H209="","",IF(AND(J209&lt;&gt;"",COUNTIF(Pessoas!$J:$J,J209)&gt;0),"SIM",IF(COUNTIF(Pessoas!$H:$H,H209)&gt;0,"nome igual em Pessoas: confira o CPF","")))</f>
        <v/>
      </c>
      <c r="L209" s="27"/>
      <c r="M209" s="5"/>
    </row>
    <row r="210" customFormat="false" ht="15" hidden="false" customHeight="false" outlineLevel="0" collapsed="false">
      <c r="A210" s="27"/>
      <c r="B210" s="5"/>
      <c r="C210" s="27"/>
      <c r="D210" s="18"/>
      <c r="E210" s="14"/>
      <c r="F210" s="18"/>
      <c r="G210" s="19" t="str">
        <f aca="false">IF(A210="","",IFERROR(INDEX(Empresas!$B:$B,MATCH(A210,Empresas!$A:$A,0))&amp;"","cadastre o CNPJ em Empresas"))</f>
        <v/>
      </c>
      <c r="H210" s="28" t="str">
        <f aca="false">IF(B210="","",SUBSTITUTE(SUBSTITUTE(SUBSTITUTE(SUBSTITUTE(SUBSTITUTE(SUBSTITUTE(SUBSTITUTE(SUBSTITUTE(SUBSTITUTE(SUBSTITUTE(SUBSTITUTE(SUBSTITUTE(SUBSTITUTE(UPPER(TRIM(B210)),"Á","A"),"À","A"),"Â","A"),"Ã","A"),"É","E"),"Ê","E"),"Í","I"),"Ó","O"),"Ô","O"),"Õ","O"),"Ú","U"),"Ü","U"),"Ç","C"))</f>
        <v/>
      </c>
      <c r="I210" s="28" t="str">
        <f aca="false">IF(C210="","",IF(LEN(SUBSTITUTE(SUBSTITUTE(SUBSTITUTE(SUBSTITUTE(TRIM(C210),"*",""),".",""),"-","")," ",""))=11,MID(SUBSTITUTE(SUBSTITUTE(SUBSTITUTE(SUBSTITUTE(TRIM(C210),"*",""),".",""),"-","")," ",""),4,6),SUBSTITUTE(SUBSTITUTE(SUBSTITUTE(SUBSTITUTE(TRIM(C210),"*",""),".",""),"-","")," ","")))</f>
        <v/>
      </c>
      <c r="J210" s="28" t="str">
        <f aca="false">IF(OR(H210="",I210=""),"",H210&amp;"|"&amp;I210)</f>
        <v/>
      </c>
      <c r="K210" s="19" t="str">
        <f aca="false">IF(H210="","",IF(AND(J210&lt;&gt;"",COUNTIF(Pessoas!$J:$J,J210)&gt;0),"SIM",IF(COUNTIF(Pessoas!$H:$H,H210)&gt;0,"nome igual em Pessoas: confira o CPF","")))</f>
        <v/>
      </c>
      <c r="L210" s="27"/>
      <c r="M210" s="5"/>
    </row>
    <row r="211" customFormat="false" ht="15" hidden="false" customHeight="false" outlineLevel="0" collapsed="false">
      <c r="A211" s="27"/>
      <c r="B211" s="5"/>
      <c r="C211" s="27"/>
      <c r="D211" s="18"/>
      <c r="E211" s="14"/>
      <c r="F211" s="18"/>
      <c r="G211" s="19" t="str">
        <f aca="false">IF(A211="","",IFERROR(INDEX(Empresas!$B:$B,MATCH(A211,Empresas!$A:$A,0))&amp;"","cadastre o CNPJ em Empresas"))</f>
        <v/>
      </c>
      <c r="H211" s="28" t="str">
        <f aca="false">IF(B211="","",SUBSTITUTE(SUBSTITUTE(SUBSTITUTE(SUBSTITUTE(SUBSTITUTE(SUBSTITUTE(SUBSTITUTE(SUBSTITUTE(SUBSTITUTE(SUBSTITUTE(SUBSTITUTE(SUBSTITUTE(SUBSTITUTE(UPPER(TRIM(B211)),"Á","A"),"À","A"),"Â","A"),"Ã","A"),"É","E"),"Ê","E"),"Í","I"),"Ó","O"),"Ô","O"),"Õ","O"),"Ú","U"),"Ü","U"),"Ç","C"))</f>
        <v/>
      </c>
      <c r="I211" s="28" t="str">
        <f aca="false">IF(C211="","",IF(LEN(SUBSTITUTE(SUBSTITUTE(SUBSTITUTE(SUBSTITUTE(TRIM(C211),"*",""),".",""),"-","")," ",""))=11,MID(SUBSTITUTE(SUBSTITUTE(SUBSTITUTE(SUBSTITUTE(TRIM(C211),"*",""),".",""),"-","")," ",""),4,6),SUBSTITUTE(SUBSTITUTE(SUBSTITUTE(SUBSTITUTE(TRIM(C211),"*",""),".",""),"-","")," ","")))</f>
        <v/>
      </c>
      <c r="J211" s="28" t="str">
        <f aca="false">IF(OR(H211="",I211=""),"",H211&amp;"|"&amp;I211)</f>
        <v/>
      </c>
      <c r="K211" s="19" t="str">
        <f aca="false">IF(H211="","",IF(AND(J211&lt;&gt;"",COUNTIF(Pessoas!$J:$J,J211)&gt;0),"SIM",IF(COUNTIF(Pessoas!$H:$H,H211)&gt;0,"nome igual em Pessoas: confira o CPF","")))</f>
        <v/>
      </c>
      <c r="L211" s="27"/>
      <c r="M211" s="5"/>
    </row>
    <row r="212" customFormat="false" ht="15" hidden="false" customHeight="false" outlineLevel="0" collapsed="false">
      <c r="A212" s="27"/>
      <c r="B212" s="5"/>
      <c r="C212" s="27"/>
      <c r="D212" s="18"/>
      <c r="E212" s="14"/>
      <c r="F212" s="18"/>
      <c r="G212" s="19" t="str">
        <f aca="false">IF(A212="","",IFERROR(INDEX(Empresas!$B:$B,MATCH(A212,Empresas!$A:$A,0))&amp;"","cadastre o CNPJ em Empresas"))</f>
        <v/>
      </c>
      <c r="H212" s="28" t="str">
        <f aca="false">IF(B212="","",SUBSTITUTE(SUBSTITUTE(SUBSTITUTE(SUBSTITUTE(SUBSTITUTE(SUBSTITUTE(SUBSTITUTE(SUBSTITUTE(SUBSTITUTE(SUBSTITUTE(SUBSTITUTE(SUBSTITUTE(SUBSTITUTE(UPPER(TRIM(B212)),"Á","A"),"À","A"),"Â","A"),"Ã","A"),"É","E"),"Ê","E"),"Í","I"),"Ó","O"),"Ô","O"),"Õ","O"),"Ú","U"),"Ü","U"),"Ç","C"))</f>
        <v/>
      </c>
      <c r="I212" s="28" t="str">
        <f aca="false">IF(C212="","",IF(LEN(SUBSTITUTE(SUBSTITUTE(SUBSTITUTE(SUBSTITUTE(TRIM(C212),"*",""),".",""),"-","")," ",""))=11,MID(SUBSTITUTE(SUBSTITUTE(SUBSTITUTE(SUBSTITUTE(TRIM(C212),"*",""),".",""),"-","")," ",""),4,6),SUBSTITUTE(SUBSTITUTE(SUBSTITUTE(SUBSTITUTE(TRIM(C212),"*",""),".",""),"-","")," ","")))</f>
        <v/>
      </c>
      <c r="J212" s="28" t="str">
        <f aca="false">IF(OR(H212="",I212=""),"",H212&amp;"|"&amp;I212)</f>
        <v/>
      </c>
      <c r="K212" s="19" t="str">
        <f aca="false">IF(H212="","",IF(AND(J212&lt;&gt;"",COUNTIF(Pessoas!$J:$J,J212)&gt;0),"SIM",IF(COUNTIF(Pessoas!$H:$H,H212)&gt;0,"nome igual em Pessoas: confira o CPF","")))</f>
        <v/>
      </c>
      <c r="L212" s="27"/>
      <c r="M212" s="5"/>
    </row>
    <row r="213" customFormat="false" ht="15" hidden="false" customHeight="false" outlineLevel="0" collapsed="false">
      <c r="A213" s="27"/>
      <c r="B213" s="5"/>
      <c r="C213" s="27"/>
      <c r="D213" s="18"/>
      <c r="E213" s="14"/>
      <c r="F213" s="18"/>
      <c r="G213" s="19" t="str">
        <f aca="false">IF(A213="","",IFERROR(INDEX(Empresas!$B:$B,MATCH(A213,Empresas!$A:$A,0))&amp;"","cadastre o CNPJ em Empresas"))</f>
        <v/>
      </c>
      <c r="H213" s="28" t="str">
        <f aca="false">IF(B213="","",SUBSTITUTE(SUBSTITUTE(SUBSTITUTE(SUBSTITUTE(SUBSTITUTE(SUBSTITUTE(SUBSTITUTE(SUBSTITUTE(SUBSTITUTE(SUBSTITUTE(SUBSTITUTE(SUBSTITUTE(SUBSTITUTE(UPPER(TRIM(B213)),"Á","A"),"À","A"),"Â","A"),"Ã","A"),"É","E"),"Ê","E"),"Í","I"),"Ó","O"),"Ô","O"),"Õ","O"),"Ú","U"),"Ü","U"),"Ç","C"))</f>
        <v/>
      </c>
      <c r="I213" s="28" t="str">
        <f aca="false">IF(C213="","",IF(LEN(SUBSTITUTE(SUBSTITUTE(SUBSTITUTE(SUBSTITUTE(TRIM(C213),"*",""),".",""),"-","")," ",""))=11,MID(SUBSTITUTE(SUBSTITUTE(SUBSTITUTE(SUBSTITUTE(TRIM(C213),"*",""),".",""),"-","")," ",""),4,6),SUBSTITUTE(SUBSTITUTE(SUBSTITUTE(SUBSTITUTE(TRIM(C213),"*",""),".",""),"-","")," ","")))</f>
        <v/>
      </c>
      <c r="J213" s="28" t="str">
        <f aca="false">IF(OR(H213="",I213=""),"",H213&amp;"|"&amp;I213)</f>
        <v/>
      </c>
      <c r="K213" s="19" t="str">
        <f aca="false">IF(H213="","",IF(AND(J213&lt;&gt;"",COUNTIF(Pessoas!$J:$J,J213)&gt;0),"SIM",IF(COUNTIF(Pessoas!$H:$H,H213)&gt;0,"nome igual em Pessoas: confira o CPF","")))</f>
        <v/>
      </c>
      <c r="L213" s="27"/>
      <c r="M213" s="5"/>
    </row>
    <row r="214" customFormat="false" ht="15" hidden="false" customHeight="false" outlineLevel="0" collapsed="false">
      <c r="A214" s="27"/>
      <c r="B214" s="5"/>
      <c r="C214" s="27"/>
      <c r="D214" s="18"/>
      <c r="E214" s="14"/>
      <c r="F214" s="18"/>
      <c r="G214" s="19" t="str">
        <f aca="false">IF(A214="","",IFERROR(INDEX(Empresas!$B:$B,MATCH(A214,Empresas!$A:$A,0))&amp;"","cadastre o CNPJ em Empresas"))</f>
        <v/>
      </c>
      <c r="H214" s="28" t="str">
        <f aca="false">IF(B214="","",SUBSTITUTE(SUBSTITUTE(SUBSTITUTE(SUBSTITUTE(SUBSTITUTE(SUBSTITUTE(SUBSTITUTE(SUBSTITUTE(SUBSTITUTE(SUBSTITUTE(SUBSTITUTE(SUBSTITUTE(SUBSTITUTE(UPPER(TRIM(B214)),"Á","A"),"À","A"),"Â","A"),"Ã","A"),"É","E"),"Ê","E"),"Í","I"),"Ó","O"),"Ô","O"),"Õ","O"),"Ú","U"),"Ü","U"),"Ç","C"))</f>
        <v/>
      </c>
      <c r="I214" s="28" t="str">
        <f aca="false">IF(C214="","",IF(LEN(SUBSTITUTE(SUBSTITUTE(SUBSTITUTE(SUBSTITUTE(TRIM(C214),"*",""),".",""),"-","")," ",""))=11,MID(SUBSTITUTE(SUBSTITUTE(SUBSTITUTE(SUBSTITUTE(TRIM(C214),"*",""),".",""),"-","")," ",""),4,6),SUBSTITUTE(SUBSTITUTE(SUBSTITUTE(SUBSTITUTE(TRIM(C214),"*",""),".",""),"-","")," ","")))</f>
        <v/>
      </c>
      <c r="J214" s="28" t="str">
        <f aca="false">IF(OR(H214="",I214=""),"",H214&amp;"|"&amp;I214)</f>
        <v/>
      </c>
      <c r="K214" s="19" t="str">
        <f aca="false">IF(H214="","",IF(AND(J214&lt;&gt;"",COUNTIF(Pessoas!$J:$J,J214)&gt;0),"SIM",IF(COUNTIF(Pessoas!$H:$H,H214)&gt;0,"nome igual em Pessoas: confira o CPF","")))</f>
        <v/>
      </c>
      <c r="L214" s="27"/>
      <c r="M214" s="5"/>
    </row>
    <row r="215" customFormat="false" ht="15" hidden="false" customHeight="false" outlineLevel="0" collapsed="false">
      <c r="A215" s="27"/>
      <c r="B215" s="5"/>
      <c r="C215" s="27"/>
      <c r="D215" s="18"/>
      <c r="E215" s="14"/>
      <c r="F215" s="18"/>
      <c r="G215" s="19" t="str">
        <f aca="false">IF(A215="","",IFERROR(INDEX(Empresas!$B:$B,MATCH(A215,Empresas!$A:$A,0))&amp;"","cadastre o CNPJ em Empresas"))</f>
        <v/>
      </c>
      <c r="H215" s="28" t="str">
        <f aca="false">IF(B215="","",SUBSTITUTE(SUBSTITUTE(SUBSTITUTE(SUBSTITUTE(SUBSTITUTE(SUBSTITUTE(SUBSTITUTE(SUBSTITUTE(SUBSTITUTE(SUBSTITUTE(SUBSTITUTE(SUBSTITUTE(SUBSTITUTE(UPPER(TRIM(B215)),"Á","A"),"À","A"),"Â","A"),"Ã","A"),"É","E"),"Ê","E"),"Í","I"),"Ó","O"),"Ô","O"),"Õ","O"),"Ú","U"),"Ü","U"),"Ç","C"))</f>
        <v/>
      </c>
      <c r="I215" s="28" t="str">
        <f aca="false">IF(C215="","",IF(LEN(SUBSTITUTE(SUBSTITUTE(SUBSTITUTE(SUBSTITUTE(TRIM(C215),"*",""),".",""),"-","")," ",""))=11,MID(SUBSTITUTE(SUBSTITUTE(SUBSTITUTE(SUBSTITUTE(TRIM(C215),"*",""),".",""),"-","")," ",""),4,6),SUBSTITUTE(SUBSTITUTE(SUBSTITUTE(SUBSTITUTE(TRIM(C215),"*",""),".",""),"-","")," ","")))</f>
        <v/>
      </c>
      <c r="J215" s="28" t="str">
        <f aca="false">IF(OR(H215="",I215=""),"",H215&amp;"|"&amp;I215)</f>
        <v/>
      </c>
      <c r="K215" s="19" t="str">
        <f aca="false">IF(H215="","",IF(AND(J215&lt;&gt;"",COUNTIF(Pessoas!$J:$J,J215)&gt;0),"SIM",IF(COUNTIF(Pessoas!$H:$H,H215)&gt;0,"nome igual em Pessoas: confira o CPF","")))</f>
        <v/>
      </c>
      <c r="L215" s="27"/>
      <c r="M215" s="5"/>
    </row>
    <row r="216" customFormat="false" ht="15" hidden="false" customHeight="false" outlineLevel="0" collapsed="false">
      <c r="A216" s="27"/>
      <c r="B216" s="5"/>
      <c r="C216" s="27"/>
      <c r="D216" s="18"/>
      <c r="E216" s="14"/>
      <c r="F216" s="18"/>
      <c r="G216" s="19" t="str">
        <f aca="false">IF(A216="","",IFERROR(INDEX(Empresas!$B:$B,MATCH(A216,Empresas!$A:$A,0))&amp;"","cadastre o CNPJ em Empresas"))</f>
        <v/>
      </c>
      <c r="H216" s="28" t="str">
        <f aca="false">IF(B216="","",SUBSTITUTE(SUBSTITUTE(SUBSTITUTE(SUBSTITUTE(SUBSTITUTE(SUBSTITUTE(SUBSTITUTE(SUBSTITUTE(SUBSTITUTE(SUBSTITUTE(SUBSTITUTE(SUBSTITUTE(SUBSTITUTE(UPPER(TRIM(B216)),"Á","A"),"À","A"),"Â","A"),"Ã","A"),"É","E"),"Ê","E"),"Í","I"),"Ó","O"),"Ô","O"),"Õ","O"),"Ú","U"),"Ü","U"),"Ç","C"))</f>
        <v/>
      </c>
      <c r="I216" s="28" t="str">
        <f aca="false">IF(C216="","",IF(LEN(SUBSTITUTE(SUBSTITUTE(SUBSTITUTE(SUBSTITUTE(TRIM(C216),"*",""),".",""),"-","")," ",""))=11,MID(SUBSTITUTE(SUBSTITUTE(SUBSTITUTE(SUBSTITUTE(TRIM(C216),"*",""),".",""),"-","")," ",""),4,6),SUBSTITUTE(SUBSTITUTE(SUBSTITUTE(SUBSTITUTE(TRIM(C216),"*",""),".",""),"-","")," ","")))</f>
        <v/>
      </c>
      <c r="J216" s="28" t="str">
        <f aca="false">IF(OR(H216="",I216=""),"",H216&amp;"|"&amp;I216)</f>
        <v/>
      </c>
      <c r="K216" s="19" t="str">
        <f aca="false">IF(H216="","",IF(AND(J216&lt;&gt;"",COUNTIF(Pessoas!$J:$J,J216)&gt;0),"SIM",IF(COUNTIF(Pessoas!$H:$H,H216)&gt;0,"nome igual em Pessoas: confira o CPF","")))</f>
        <v/>
      </c>
      <c r="L216" s="27"/>
      <c r="M216" s="5"/>
    </row>
    <row r="217" customFormat="false" ht="15" hidden="false" customHeight="false" outlineLevel="0" collapsed="false">
      <c r="A217" s="27"/>
      <c r="B217" s="5"/>
      <c r="C217" s="27"/>
      <c r="D217" s="18"/>
      <c r="E217" s="14"/>
      <c r="F217" s="18"/>
      <c r="G217" s="19" t="str">
        <f aca="false">IF(A217="","",IFERROR(INDEX(Empresas!$B:$B,MATCH(A217,Empresas!$A:$A,0))&amp;"","cadastre o CNPJ em Empresas"))</f>
        <v/>
      </c>
      <c r="H217" s="28" t="str">
        <f aca="false">IF(B217="","",SUBSTITUTE(SUBSTITUTE(SUBSTITUTE(SUBSTITUTE(SUBSTITUTE(SUBSTITUTE(SUBSTITUTE(SUBSTITUTE(SUBSTITUTE(SUBSTITUTE(SUBSTITUTE(SUBSTITUTE(SUBSTITUTE(UPPER(TRIM(B217)),"Á","A"),"À","A"),"Â","A"),"Ã","A"),"É","E"),"Ê","E"),"Í","I"),"Ó","O"),"Ô","O"),"Õ","O"),"Ú","U"),"Ü","U"),"Ç","C"))</f>
        <v/>
      </c>
      <c r="I217" s="28" t="str">
        <f aca="false">IF(C217="","",IF(LEN(SUBSTITUTE(SUBSTITUTE(SUBSTITUTE(SUBSTITUTE(TRIM(C217),"*",""),".",""),"-","")," ",""))=11,MID(SUBSTITUTE(SUBSTITUTE(SUBSTITUTE(SUBSTITUTE(TRIM(C217),"*",""),".",""),"-","")," ",""),4,6),SUBSTITUTE(SUBSTITUTE(SUBSTITUTE(SUBSTITUTE(TRIM(C217),"*",""),".",""),"-","")," ","")))</f>
        <v/>
      </c>
      <c r="J217" s="28" t="str">
        <f aca="false">IF(OR(H217="",I217=""),"",H217&amp;"|"&amp;I217)</f>
        <v/>
      </c>
      <c r="K217" s="19" t="str">
        <f aca="false">IF(H217="","",IF(AND(J217&lt;&gt;"",COUNTIF(Pessoas!$J:$J,J217)&gt;0),"SIM",IF(COUNTIF(Pessoas!$H:$H,H217)&gt;0,"nome igual em Pessoas: confira o CPF","")))</f>
        <v/>
      </c>
      <c r="L217" s="27"/>
      <c r="M217" s="5"/>
    </row>
    <row r="218" customFormat="false" ht="15" hidden="false" customHeight="false" outlineLevel="0" collapsed="false">
      <c r="A218" s="27"/>
      <c r="B218" s="5"/>
      <c r="C218" s="27"/>
      <c r="D218" s="18"/>
      <c r="E218" s="14"/>
      <c r="F218" s="18"/>
      <c r="G218" s="19" t="str">
        <f aca="false">IF(A218="","",IFERROR(INDEX(Empresas!$B:$B,MATCH(A218,Empresas!$A:$A,0))&amp;"","cadastre o CNPJ em Empresas"))</f>
        <v/>
      </c>
      <c r="H218" s="28" t="str">
        <f aca="false">IF(B218="","",SUBSTITUTE(SUBSTITUTE(SUBSTITUTE(SUBSTITUTE(SUBSTITUTE(SUBSTITUTE(SUBSTITUTE(SUBSTITUTE(SUBSTITUTE(SUBSTITUTE(SUBSTITUTE(SUBSTITUTE(SUBSTITUTE(UPPER(TRIM(B218)),"Á","A"),"À","A"),"Â","A"),"Ã","A"),"É","E"),"Ê","E"),"Í","I"),"Ó","O"),"Ô","O"),"Õ","O"),"Ú","U"),"Ü","U"),"Ç","C"))</f>
        <v/>
      </c>
      <c r="I218" s="28" t="str">
        <f aca="false">IF(C218="","",IF(LEN(SUBSTITUTE(SUBSTITUTE(SUBSTITUTE(SUBSTITUTE(TRIM(C218),"*",""),".",""),"-","")," ",""))=11,MID(SUBSTITUTE(SUBSTITUTE(SUBSTITUTE(SUBSTITUTE(TRIM(C218),"*",""),".",""),"-","")," ",""),4,6),SUBSTITUTE(SUBSTITUTE(SUBSTITUTE(SUBSTITUTE(TRIM(C218),"*",""),".",""),"-","")," ","")))</f>
        <v/>
      </c>
      <c r="J218" s="28" t="str">
        <f aca="false">IF(OR(H218="",I218=""),"",H218&amp;"|"&amp;I218)</f>
        <v/>
      </c>
      <c r="K218" s="19" t="str">
        <f aca="false">IF(H218="","",IF(AND(J218&lt;&gt;"",COUNTIF(Pessoas!$J:$J,J218)&gt;0),"SIM",IF(COUNTIF(Pessoas!$H:$H,H218)&gt;0,"nome igual em Pessoas: confira o CPF","")))</f>
        <v/>
      </c>
      <c r="L218" s="27"/>
      <c r="M218" s="5"/>
    </row>
    <row r="219" customFormat="false" ht="15" hidden="false" customHeight="false" outlineLevel="0" collapsed="false">
      <c r="A219" s="27"/>
      <c r="B219" s="5"/>
      <c r="C219" s="27"/>
      <c r="D219" s="18"/>
      <c r="E219" s="14"/>
      <c r="F219" s="18"/>
      <c r="G219" s="19" t="str">
        <f aca="false">IF(A219="","",IFERROR(INDEX(Empresas!$B:$B,MATCH(A219,Empresas!$A:$A,0))&amp;"","cadastre o CNPJ em Empresas"))</f>
        <v/>
      </c>
      <c r="H219" s="28" t="str">
        <f aca="false">IF(B219="","",SUBSTITUTE(SUBSTITUTE(SUBSTITUTE(SUBSTITUTE(SUBSTITUTE(SUBSTITUTE(SUBSTITUTE(SUBSTITUTE(SUBSTITUTE(SUBSTITUTE(SUBSTITUTE(SUBSTITUTE(SUBSTITUTE(UPPER(TRIM(B219)),"Á","A"),"À","A"),"Â","A"),"Ã","A"),"É","E"),"Ê","E"),"Í","I"),"Ó","O"),"Ô","O"),"Õ","O"),"Ú","U"),"Ü","U"),"Ç","C"))</f>
        <v/>
      </c>
      <c r="I219" s="28" t="str">
        <f aca="false">IF(C219="","",IF(LEN(SUBSTITUTE(SUBSTITUTE(SUBSTITUTE(SUBSTITUTE(TRIM(C219),"*",""),".",""),"-","")," ",""))=11,MID(SUBSTITUTE(SUBSTITUTE(SUBSTITUTE(SUBSTITUTE(TRIM(C219),"*",""),".",""),"-","")," ",""),4,6),SUBSTITUTE(SUBSTITUTE(SUBSTITUTE(SUBSTITUTE(TRIM(C219),"*",""),".",""),"-","")," ","")))</f>
        <v/>
      </c>
      <c r="J219" s="28" t="str">
        <f aca="false">IF(OR(H219="",I219=""),"",H219&amp;"|"&amp;I219)</f>
        <v/>
      </c>
      <c r="K219" s="19" t="str">
        <f aca="false">IF(H219="","",IF(AND(J219&lt;&gt;"",COUNTIF(Pessoas!$J:$J,J219)&gt;0),"SIM",IF(COUNTIF(Pessoas!$H:$H,H219)&gt;0,"nome igual em Pessoas: confira o CPF","")))</f>
        <v/>
      </c>
      <c r="L219" s="27"/>
      <c r="M219" s="5"/>
    </row>
    <row r="220" customFormat="false" ht="15" hidden="false" customHeight="false" outlineLevel="0" collapsed="false">
      <c r="A220" s="27"/>
      <c r="B220" s="5"/>
      <c r="C220" s="27"/>
      <c r="D220" s="18"/>
      <c r="E220" s="14"/>
      <c r="F220" s="18"/>
      <c r="G220" s="19" t="str">
        <f aca="false">IF(A220="","",IFERROR(INDEX(Empresas!$B:$B,MATCH(A220,Empresas!$A:$A,0))&amp;"","cadastre o CNPJ em Empresas"))</f>
        <v/>
      </c>
      <c r="H220" s="28" t="str">
        <f aca="false">IF(B220="","",SUBSTITUTE(SUBSTITUTE(SUBSTITUTE(SUBSTITUTE(SUBSTITUTE(SUBSTITUTE(SUBSTITUTE(SUBSTITUTE(SUBSTITUTE(SUBSTITUTE(SUBSTITUTE(SUBSTITUTE(SUBSTITUTE(UPPER(TRIM(B220)),"Á","A"),"À","A"),"Â","A"),"Ã","A"),"É","E"),"Ê","E"),"Í","I"),"Ó","O"),"Ô","O"),"Õ","O"),"Ú","U"),"Ü","U"),"Ç","C"))</f>
        <v/>
      </c>
      <c r="I220" s="28" t="str">
        <f aca="false">IF(C220="","",IF(LEN(SUBSTITUTE(SUBSTITUTE(SUBSTITUTE(SUBSTITUTE(TRIM(C220),"*",""),".",""),"-","")," ",""))=11,MID(SUBSTITUTE(SUBSTITUTE(SUBSTITUTE(SUBSTITUTE(TRIM(C220),"*",""),".",""),"-","")," ",""),4,6),SUBSTITUTE(SUBSTITUTE(SUBSTITUTE(SUBSTITUTE(TRIM(C220),"*",""),".",""),"-","")," ","")))</f>
        <v/>
      </c>
      <c r="J220" s="28" t="str">
        <f aca="false">IF(OR(H220="",I220=""),"",H220&amp;"|"&amp;I220)</f>
        <v/>
      </c>
      <c r="K220" s="19" t="str">
        <f aca="false">IF(H220="","",IF(AND(J220&lt;&gt;"",COUNTIF(Pessoas!$J:$J,J220)&gt;0),"SIM",IF(COUNTIF(Pessoas!$H:$H,H220)&gt;0,"nome igual em Pessoas: confira o CPF","")))</f>
        <v/>
      </c>
      <c r="L220" s="27"/>
      <c r="M220" s="5"/>
    </row>
    <row r="221" customFormat="false" ht="15" hidden="false" customHeight="false" outlineLevel="0" collapsed="false">
      <c r="A221" s="27"/>
      <c r="B221" s="5"/>
      <c r="C221" s="27"/>
      <c r="D221" s="18"/>
      <c r="E221" s="14"/>
      <c r="F221" s="18"/>
      <c r="G221" s="19" t="str">
        <f aca="false">IF(A221="","",IFERROR(INDEX(Empresas!$B:$B,MATCH(A221,Empresas!$A:$A,0))&amp;"","cadastre o CNPJ em Empresas"))</f>
        <v/>
      </c>
      <c r="H221" s="28" t="str">
        <f aca="false">IF(B221="","",SUBSTITUTE(SUBSTITUTE(SUBSTITUTE(SUBSTITUTE(SUBSTITUTE(SUBSTITUTE(SUBSTITUTE(SUBSTITUTE(SUBSTITUTE(SUBSTITUTE(SUBSTITUTE(SUBSTITUTE(SUBSTITUTE(UPPER(TRIM(B221)),"Á","A"),"À","A"),"Â","A"),"Ã","A"),"É","E"),"Ê","E"),"Í","I"),"Ó","O"),"Ô","O"),"Õ","O"),"Ú","U"),"Ü","U"),"Ç","C"))</f>
        <v/>
      </c>
      <c r="I221" s="28" t="str">
        <f aca="false">IF(C221="","",IF(LEN(SUBSTITUTE(SUBSTITUTE(SUBSTITUTE(SUBSTITUTE(TRIM(C221),"*",""),".",""),"-","")," ",""))=11,MID(SUBSTITUTE(SUBSTITUTE(SUBSTITUTE(SUBSTITUTE(TRIM(C221),"*",""),".",""),"-","")," ",""),4,6),SUBSTITUTE(SUBSTITUTE(SUBSTITUTE(SUBSTITUTE(TRIM(C221),"*",""),".",""),"-","")," ","")))</f>
        <v/>
      </c>
      <c r="J221" s="28" t="str">
        <f aca="false">IF(OR(H221="",I221=""),"",H221&amp;"|"&amp;I221)</f>
        <v/>
      </c>
      <c r="K221" s="19" t="str">
        <f aca="false">IF(H221="","",IF(AND(J221&lt;&gt;"",COUNTIF(Pessoas!$J:$J,J221)&gt;0),"SIM",IF(COUNTIF(Pessoas!$H:$H,H221)&gt;0,"nome igual em Pessoas: confira o CPF","")))</f>
        <v/>
      </c>
      <c r="L221" s="27"/>
      <c r="M221" s="5"/>
    </row>
    <row r="222" customFormat="false" ht="15" hidden="false" customHeight="false" outlineLevel="0" collapsed="false">
      <c r="A222" s="27"/>
      <c r="B222" s="5"/>
      <c r="C222" s="27"/>
      <c r="D222" s="18"/>
      <c r="E222" s="14"/>
      <c r="F222" s="18"/>
      <c r="G222" s="19" t="str">
        <f aca="false">IF(A222="","",IFERROR(INDEX(Empresas!$B:$B,MATCH(A222,Empresas!$A:$A,0))&amp;"","cadastre o CNPJ em Empresas"))</f>
        <v/>
      </c>
      <c r="H222" s="28" t="str">
        <f aca="false">IF(B222="","",SUBSTITUTE(SUBSTITUTE(SUBSTITUTE(SUBSTITUTE(SUBSTITUTE(SUBSTITUTE(SUBSTITUTE(SUBSTITUTE(SUBSTITUTE(SUBSTITUTE(SUBSTITUTE(SUBSTITUTE(SUBSTITUTE(UPPER(TRIM(B222)),"Á","A"),"À","A"),"Â","A"),"Ã","A"),"É","E"),"Ê","E"),"Í","I"),"Ó","O"),"Ô","O"),"Õ","O"),"Ú","U"),"Ü","U"),"Ç","C"))</f>
        <v/>
      </c>
      <c r="I222" s="28" t="str">
        <f aca="false">IF(C222="","",IF(LEN(SUBSTITUTE(SUBSTITUTE(SUBSTITUTE(SUBSTITUTE(TRIM(C222),"*",""),".",""),"-","")," ",""))=11,MID(SUBSTITUTE(SUBSTITUTE(SUBSTITUTE(SUBSTITUTE(TRIM(C222),"*",""),".",""),"-","")," ",""),4,6),SUBSTITUTE(SUBSTITUTE(SUBSTITUTE(SUBSTITUTE(TRIM(C222),"*",""),".",""),"-","")," ","")))</f>
        <v/>
      </c>
      <c r="J222" s="28" t="str">
        <f aca="false">IF(OR(H222="",I222=""),"",H222&amp;"|"&amp;I222)</f>
        <v/>
      </c>
      <c r="K222" s="19" t="str">
        <f aca="false">IF(H222="","",IF(AND(J222&lt;&gt;"",COUNTIF(Pessoas!$J:$J,J222)&gt;0),"SIM",IF(COUNTIF(Pessoas!$H:$H,H222)&gt;0,"nome igual em Pessoas: confira o CPF","")))</f>
        <v/>
      </c>
      <c r="L222" s="27"/>
      <c r="M222" s="5"/>
    </row>
    <row r="223" customFormat="false" ht="15" hidden="false" customHeight="false" outlineLevel="0" collapsed="false">
      <c r="A223" s="27"/>
      <c r="B223" s="5"/>
      <c r="C223" s="27"/>
      <c r="D223" s="18"/>
      <c r="E223" s="14"/>
      <c r="F223" s="18"/>
      <c r="G223" s="19" t="str">
        <f aca="false">IF(A223="","",IFERROR(INDEX(Empresas!$B:$B,MATCH(A223,Empresas!$A:$A,0))&amp;"","cadastre o CNPJ em Empresas"))</f>
        <v/>
      </c>
      <c r="H223" s="28" t="str">
        <f aca="false">IF(B223="","",SUBSTITUTE(SUBSTITUTE(SUBSTITUTE(SUBSTITUTE(SUBSTITUTE(SUBSTITUTE(SUBSTITUTE(SUBSTITUTE(SUBSTITUTE(SUBSTITUTE(SUBSTITUTE(SUBSTITUTE(SUBSTITUTE(UPPER(TRIM(B223)),"Á","A"),"À","A"),"Â","A"),"Ã","A"),"É","E"),"Ê","E"),"Í","I"),"Ó","O"),"Ô","O"),"Õ","O"),"Ú","U"),"Ü","U"),"Ç","C"))</f>
        <v/>
      </c>
      <c r="I223" s="28" t="str">
        <f aca="false">IF(C223="","",IF(LEN(SUBSTITUTE(SUBSTITUTE(SUBSTITUTE(SUBSTITUTE(TRIM(C223),"*",""),".",""),"-","")," ",""))=11,MID(SUBSTITUTE(SUBSTITUTE(SUBSTITUTE(SUBSTITUTE(TRIM(C223),"*",""),".",""),"-","")," ",""),4,6),SUBSTITUTE(SUBSTITUTE(SUBSTITUTE(SUBSTITUTE(TRIM(C223),"*",""),".",""),"-","")," ","")))</f>
        <v/>
      </c>
      <c r="J223" s="28" t="str">
        <f aca="false">IF(OR(H223="",I223=""),"",H223&amp;"|"&amp;I223)</f>
        <v/>
      </c>
      <c r="K223" s="19" t="str">
        <f aca="false">IF(H223="","",IF(AND(J223&lt;&gt;"",COUNTIF(Pessoas!$J:$J,J223)&gt;0),"SIM",IF(COUNTIF(Pessoas!$H:$H,H223)&gt;0,"nome igual em Pessoas: confira o CPF","")))</f>
        <v/>
      </c>
      <c r="L223" s="27"/>
      <c r="M223" s="5"/>
    </row>
    <row r="224" customFormat="false" ht="15" hidden="false" customHeight="false" outlineLevel="0" collapsed="false">
      <c r="A224" s="27"/>
      <c r="B224" s="5"/>
      <c r="C224" s="27"/>
      <c r="D224" s="18"/>
      <c r="E224" s="14"/>
      <c r="F224" s="18"/>
      <c r="G224" s="19" t="str">
        <f aca="false">IF(A224="","",IFERROR(INDEX(Empresas!$B:$B,MATCH(A224,Empresas!$A:$A,0))&amp;"","cadastre o CNPJ em Empresas"))</f>
        <v/>
      </c>
      <c r="H224" s="28" t="str">
        <f aca="false">IF(B224="","",SUBSTITUTE(SUBSTITUTE(SUBSTITUTE(SUBSTITUTE(SUBSTITUTE(SUBSTITUTE(SUBSTITUTE(SUBSTITUTE(SUBSTITUTE(SUBSTITUTE(SUBSTITUTE(SUBSTITUTE(SUBSTITUTE(UPPER(TRIM(B224)),"Á","A"),"À","A"),"Â","A"),"Ã","A"),"É","E"),"Ê","E"),"Í","I"),"Ó","O"),"Ô","O"),"Õ","O"),"Ú","U"),"Ü","U"),"Ç","C"))</f>
        <v/>
      </c>
      <c r="I224" s="28" t="str">
        <f aca="false">IF(C224="","",IF(LEN(SUBSTITUTE(SUBSTITUTE(SUBSTITUTE(SUBSTITUTE(TRIM(C224),"*",""),".",""),"-","")," ",""))=11,MID(SUBSTITUTE(SUBSTITUTE(SUBSTITUTE(SUBSTITUTE(TRIM(C224),"*",""),".",""),"-","")," ",""),4,6),SUBSTITUTE(SUBSTITUTE(SUBSTITUTE(SUBSTITUTE(TRIM(C224),"*",""),".",""),"-","")," ","")))</f>
        <v/>
      </c>
      <c r="J224" s="28" t="str">
        <f aca="false">IF(OR(H224="",I224=""),"",H224&amp;"|"&amp;I224)</f>
        <v/>
      </c>
      <c r="K224" s="19" t="str">
        <f aca="false">IF(H224="","",IF(AND(J224&lt;&gt;"",COUNTIF(Pessoas!$J:$J,J224)&gt;0),"SIM",IF(COUNTIF(Pessoas!$H:$H,H224)&gt;0,"nome igual em Pessoas: confira o CPF","")))</f>
        <v/>
      </c>
      <c r="L224" s="27"/>
      <c r="M224" s="5"/>
    </row>
    <row r="225" customFormat="false" ht="15" hidden="false" customHeight="false" outlineLevel="0" collapsed="false">
      <c r="A225" s="27"/>
      <c r="B225" s="5"/>
      <c r="C225" s="27"/>
      <c r="D225" s="18"/>
      <c r="E225" s="14"/>
      <c r="F225" s="18"/>
      <c r="G225" s="19" t="str">
        <f aca="false">IF(A225="","",IFERROR(INDEX(Empresas!$B:$B,MATCH(A225,Empresas!$A:$A,0))&amp;"","cadastre o CNPJ em Empresas"))</f>
        <v/>
      </c>
      <c r="H225" s="28" t="str">
        <f aca="false">IF(B225="","",SUBSTITUTE(SUBSTITUTE(SUBSTITUTE(SUBSTITUTE(SUBSTITUTE(SUBSTITUTE(SUBSTITUTE(SUBSTITUTE(SUBSTITUTE(SUBSTITUTE(SUBSTITUTE(SUBSTITUTE(SUBSTITUTE(UPPER(TRIM(B225)),"Á","A"),"À","A"),"Â","A"),"Ã","A"),"É","E"),"Ê","E"),"Í","I"),"Ó","O"),"Ô","O"),"Õ","O"),"Ú","U"),"Ü","U"),"Ç","C"))</f>
        <v/>
      </c>
      <c r="I225" s="28" t="str">
        <f aca="false">IF(C225="","",IF(LEN(SUBSTITUTE(SUBSTITUTE(SUBSTITUTE(SUBSTITUTE(TRIM(C225),"*",""),".",""),"-","")," ",""))=11,MID(SUBSTITUTE(SUBSTITUTE(SUBSTITUTE(SUBSTITUTE(TRIM(C225),"*",""),".",""),"-","")," ",""),4,6),SUBSTITUTE(SUBSTITUTE(SUBSTITUTE(SUBSTITUTE(TRIM(C225),"*",""),".",""),"-","")," ","")))</f>
        <v/>
      </c>
      <c r="J225" s="28" t="str">
        <f aca="false">IF(OR(H225="",I225=""),"",H225&amp;"|"&amp;I225)</f>
        <v/>
      </c>
      <c r="K225" s="19" t="str">
        <f aca="false">IF(H225="","",IF(AND(J225&lt;&gt;"",COUNTIF(Pessoas!$J:$J,J225)&gt;0),"SIM",IF(COUNTIF(Pessoas!$H:$H,H225)&gt;0,"nome igual em Pessoas: confira o CPF","")))</f>
        <v/>
      </c>
      <c r="L225" s="27"/>
      <c r="M225" s="5"/>
    </row>
    <row r="226" customFormat="false" ht="15" hidden="false" customHeight="false" outlineLevel="0" collapsed="false">
      <c r="A226" s="27"/>
      <c r="B226" s="5"/>
      <c r="C226" s="27"/>
      <c r="D226" s="18"/>
      <c r="E226" s="14"/>
      <c r="F226" s="18"/>
      <c r="G226" s="19" t="str">
        <f aca="false">IF(A226="","",IFERROR(INDEX(Empresas!$B:$B,MATCH(A226,Empresas!$A:$A,0))&amp;"","cadastre o CNPJ em Empresas"))</f>
        <v/>
      </c>
      <c r="H226" s="28" t="str">
        <f aca="false">IF(B226="","",SUBSTITUTE(SUBSTITUTE(SUBSTITUTE(SUBSTITUTE(SUBSTITUTE(SUBSTITUTE(SUBSTITUTE(SUBSTITUTE(SUBSTITUTE(SUBSTITUTE(SUBSTITUTE(SUBSTITUTE(SUBSTITUTE(UPPER(TRIM(B226)),"Á","A"),"À","A"),"Â","A"),"Ã","A"),"É","E"),"Ê","E"),"Í","I"),"Ó","O"),"Ô","O"),"Õ","O"),"Ú","U"),"Ü","U"),"Ç","C"))</f>
        <v/>
      </c>
      <c r="I226" s="28" t="str">
        <f aca="false">IF(C226="","",IF(LEN(SUBSTITUTE(SUBSTITUTE(SUBSTITUTE(SUBSTITUTE(TRIM(C226),"*",""),".",""),"-","")," ",""))=11,MID(SUBSTITUTE(SUBSTITUTE(SUBSTITUTE(SUBSTITUTE(TRIM(C226),"*",""),".",""),"-","")," ",""),4,6),SUBSTITUTE(SUBSTITUTE(SUBSTITUTE(SUBSTITUTE(TRIM(C226),"*",""),".",""),"-","")," ","")))</f>
        <v/>
      </c>
      <c r="J226" s="28" t="str">
        <f aca="false">IF(OR(H226="",I226=""),"",H226&amp;"|"&amp;I226)</f>
        <v/>
      </c>
      <c r="K226" s="19" t="str">
        <f aca="false">IF(H226="","",IF(AND(J226&lt;&gt;"",COUNTIF(Pessoas!$J:$J,J226)&gt;0),"SIM",IF(COUNTIF(Pessoas!$H:$H,H226)&gt;0,"nome igual em Pessoas: confira o CPF","")))</f>
        <v/>
      </c>
      <c r="L226" s="27"/>
      <c r="M226" s="5"/>
    </row>
    <row r="227" customFormat="false" ht="15" hidden="false" customHeight="false" outlineLevel="0" collapsed="false">
      <c r="A227" s="27"/>
      <c r="B227" s="5"/>
      <c r="C227" s="27"/>
      <c r="D227" s="18"/>
      <c r="E227" s="14"/>
      <c r="F227" s="18"/>
      <c r="G227" s="19" t="str">
        <f aca="false">IF(A227="","",IFERROR(INDEX(Empresas!$B:$B,MATCH(A227,Empresas!$A:$A,0))&amp;"","cadastre o CNPJ em Empresas"))</f>
        <v/>
      </c>
      <c r="H227" s="28" t="str">
        <f aca="false">IF(B227="","",SUBSTITUTE(SUBSTITUTE(SUBSTITUTE(SUBSTITUTE(SUBSTITUTE(SUBSTITUTE(SUBSTITUTE(SUBSTITUTE(SUBSTITUTE(SUBSTITUTE(SUBSTITUTE(SUBSTITUTE(SUBSTITUTE(UPPER(TRIM(B227)),"Á","A"),"À","A"),"Â","A"),"Ã","A"),"É","E"),"Ê","E"),"Í","I"),"Ó","O"),"Ô","O"),"Õ","O"),"Ú","U"),"Ü","U"),"Ç","C"))</f>
        <v/>
      </c>
      <c r="I227" s="28" t="str">
        <f aca="false">IF(C227="","",IF(LEN(SUBSTITUTE(SUBSTITUTE(SUBSTITUTE(SUBSTITUTE(TRIM(C227),"*",""),".",""),"-","")," ",""))=11,MID(SUBSTITUTE(SUBSTITUTE(SUBSTITUTE(SUBSTITUTE(TRIM(C227),"*",""),".",""),"-","")," ",""),4,6),SUBSTITUTE(SUBSTITUTE(SUBSTITUTE(SUBSTITUTE(TRIM(C227),"*",""),".",""),"-","")," ","")))</f>
        <v/>
      </c>
      <c r="J227" s="28" t="str">
        <f aca="false">IF(OR(H227="",I227=""),"",H227&amp;"|"&amp;I227)</f>
        <v/>
      </c>
      <c r="K227" s="19" t="str">
        <f aca="false">IF(H227="","",IF(AND(J227&lt;&gt;"",COUNTIF(Pessoas!$J:$J,J227)&gt;0),"SIM",IF(COUNTIF(Pessoas!$H:$H,H227)&gt;0,"nome igual em Pessoas: confira o CPF","")))</f>
        <v/>
      </c>
      <c r="L227" s="27"/>
      <c r="M227" s="5"/>
    </row>
    <row r="228" customFormat="false" ht="15" hidden="false" customHeight="false" outlineLevel="0" collapsed="false">
      <c r="A228" s="27"/>
      <c r="B228" s="5"/>
      <c r="C228" s="27"/>
      <c r="D228" s="18"/>
      <c r="E228" s="14"/>
      <c r="F228" s="18"/>
      <c r="G228" s="19" t="str">
        <f aca="false">IF(A228="","",IFERROR(INDEX(Empresas!$B:$B,MATCH(A228,Empresas!$A:$A,0))&amp;"","cadastre o CNPJ em Empresas"))</f>
        <v/>
      </c>
      <c r="H228" s="28" t="str">
        <f aca="false">IF(B228="","",SUBSTITUTE(SUBSTITUTE(SUBSTITUTE(SUBSTITUTE(SUBSTITUTE(SUBSTITUTE(SUBSTITUTE(SUBSTITUTE(SUBSTITUTE(SUBSTITUTE(SUBSTITUTE(SUBSTITUTE(SUBSTITUTE(UPPER(TRIM(B228)),"Á","A"),"À","A"),"Â","A"),"Ã","A"),"É","E"),"Ê","E"),"Í","I"),"Ó","O"),"Ô","O"),"Õ","O"),"Ú","U"),"Ü","U"),"Ç","C"))</f>
        <v/>
      </c>
      <c r="I228" s="28" t="str">
        <f aca="false">IF(C228="","",IF(LEN(SUBSTITUTE(SUBSTITUTE(SUBSTITUTE(SUBSTITUTE(TRIM(C228),"*",""),".",""),"-","")," ",""))=11,MID(SUBSTITUTE(SUBSTITUTE(SUBSTITUTE(SUBSTITUTE(TRIM(C228),"*",""),".",""),"-","")," ",""),4,6),SUBSTITUTE(SUBSTITUTE(SUBSTITUTE(SUBSTITUTE(TRIM(C228),"*",""),".",""),"-","")," ","")))</f>
        <v/>
      </c>
      <c r="J228" s="28" t="str">
        <f aca="false">IF(OR(H228="",I228=""),"",H228&amp;"|"&amp;I228)</f>
        <v/>
      </c>
      <c r="K228" s="19" t="str">
        <f aca="false">IF(H228="","",IF(AND(J228&lt;&gt;"",COUNTIF(Pessoas!$J:$J,J228)&gt;0),"SIM",IF(COUNTIF(Pessoas!$H:$H,H228)&gt;0,"nome igual em Pessoas: confira o CPF","")))</f>
        <v/>
      </c>
      <c r="L228" s="27"/>
      <c r="M228" s="5"/>
    </row>
    <row r="229" customFormat="false" ht="15" hidden="false" customHeight="false" outlineLevel="0" collapsed="false">
      <c r="A229" s="27"/>
      <c r="B229" s="5"/>
      <c r="C229" s="27"/>
      <c r="D229" s="18"/>
      <c r="E229" s="14"/>
      <c r="F229" s="18"/>
      <c r="G229" s="19" t="str">
        <f aca="false">IF(A229="","",IFERROR(INDEX(Empresas!$B:$B,MATCH(A229,Empresas!$A:$A,0))&amp;"","cadastre o CNPJ em Empresas"))</f>
        <v/>
      </c>
      <c r="H229" s="28" t="str">
        <f aca="false">IF(B229="","",SUBSTITUTE(SUBSTITUTE(SUBSTITUTE(SUBSTITUTE(SUBSTITUTE(SUBSTITUTE(SUBSTITUTE(SUBSTITUTE(SUBSTITUTE(SUBSTITUTE(SUBSTITUTE(SUBSTITUTE(SUBSTITUTE(UPPER(TRIM(B229)),"Á","A"),"À","A"),"Â","A"),"Ã","A"),"É","E"),"Ê","E"),"Í","I"),"Ó","O"),"Ô","O"),"Õ","O"),"Ú","U"),"Ü","U"),"Ç","C"))</f>
        <v/>
      </c>
      <c r="I229" s="28" t="str">
        <f aca="false">IF(C229="","",IF(LEN(SUBSTITUTE(SUBSTITUTE(SUBSTITUTE(SUBSTITUTE(TRIM(C229),"*",""),".",""),"-","")," ",""))=11,MID(SUBSTITUTE(SUBSTITUTE(SUBSTITUTE(SUBSTITUTE(TRIM(C229),"*",""),".",""),"-","")," ",""),4,6),SUBSTITUTE(SUBSTITUTE(SUBSTITUTE(SUBSTITUTE(TRIM(C229),"*",""),".",""),"-","")," ","")))</f>
        <v/>
      </c>
      <c r="J229" s="28" t="str">
        <f aca="false">IF(OR(H229="",I229=""),"",H229&amp;"|"&amp;I229)</f>
        <v/>
      </c>
      <c r="K229" s="19" t="str">
        <f aca="false">IF(H229="","",IF(AND(J229&lt;&gt;"",COUNTIF(Pessoas!$J:$J,J229)&gt;0),"SIM",IF(COUNTIF(Pessoas!$H:$H,H229)&gt;0,"nome igual em Pessoas: confira o CPF","")))</f>
        <v/>
      </c>
      <c r="L229" s="27"/>
      <c r="M229" s="5"/>
    </row>
    <row r="230" customFormat="false" ht="15" hidden="false" customHeight="false" outlineLevel="0" collapsed="false">
      <c r="A230" s="27"/>
      <c r="B230" s="5"/>
      <c r="C230" s="27"/>
      <c r="D230" s="18"/>
      <c r="E230" s="14"/>
      <c r="F230" s="18"/>
      <c r="G230" s="19" t="str">
        <f aca="false">IF(A230="","",IFERROR(INDEX(Empresas!$B:$B,MATCH(A230,Empresas!$A:$A,0))&amp;"","cadastre o CNPJ em Empresas"))</f>
        <v/>
      </c>
      <c r="H230" s="28" t="str">
        <f aca="false">IF(B230="","",SUBSTITUTE(SUBSTITUTE(SUBSTITUTE(SUBSTITUTE(SUBSTITUTE(SUBSTITUTE(SUBSTITUTE(SUBSTITUTE(SUBSTITUTE(SUBSTITUTE(SUBSTITUTE(SUBSTITUTE(SUBSTITUTE(UPPER(TRIM(B230)),"Á","A"),"À","A"),"Â","A"),"Ã","A"),"É","E"),"Ê","E"),"Í","I"),"Ó","O"),"Ô","O"),"Õ","O"),"Ú","U"),"Ü","U"),"Ç","C"))</f>
        <v/>
      </c>
      <c r="I230" s="28" t="str">
        <f aca="false">IF(C230="","",IF(LEN(SUBSTITUTE(SUBSTITUTE(SUBSTITUTE(SUBSTITUTE(TRIM(C230),"*",""),".",""),"-","")," ",""))=11,MID(SUBSTITUTE(SUBSTITUTE(SUBSTITUTE(SUBSTITUTE(TRIM(C230),"*",""),".",""),"-","")," ",""),4,6),SUBSTITUTE(SUBSTITUTE(SUBSTITUTE(SUBSTITUTE(TRIM(C230),"*",""),".",""),"-","")," ","")))</f>
        <v/>
      </c>
      <c r="J230" s="28" t="str">
        <f aca="false">IF(OR(H230="",I230=""),"",H230&amp;"|"&amp;I230)</f>
        <v/>
      </c>
      <c r="K230" s="19" t="str">
        <f aca="false">IF(H230="","",IF(AND(J230&lt;&gt;"",COUNTIF(Pessoas!$J:$J,J230)&gt;0),"SIM",IF(COUNTIF(Pessoas!$H:$H,H230)&gt;0,"nome igual em Pessoas: confira o CPF","")))</f>
        <v/>
      </c>
      <c r="L230" s="27"/>
      <c r="M230" s="5"/>
    </row>
    <row r="231" customFormat="false" ht="15" hidden="false" customHeight="false" outlineLevel="0" collapsed="false">
      <c r="A231" s="27"/>
      <c r="B231" s="5"/>
      <c r="C231" s="27"/>
      <c r="D231" s="18"/>
      <c r="E231" s="14"/>
      <c r="F231" s="18"/>
      <c r="G231" s="19" t="str">
        <f aca="false">IF(A231="","",IFERROR(INDEX(Empresas!$B:$B,MATCH(A231,Empresas!$A:$A,0))&amp;"","cadastre o CNPJ em Empresas"))</f>
        <v/>
      </c>
      <c r="H231" s="28" t="str">
        <f aca="false">IF(B231="","",SUBSTITUTE(SUBSTITUTE(SUBSTITUTE(SUBSTITUTE(SUBSTITUTE(SUBSTITUTE(SUBSTITUTE(SUBSTITUTE(SUBSTITUTE(SUBSTITUTE(SUBSTITUTE(SUBSTITUTE(SUBSTITUTE(UPPER(TRIM(B231)),"Á","A"),"À","A"),"Â","A"),"Ã","A"),"É","E"),"Ê","E"),"Í","I"),"Ó","O"),"Ô","O"),"Õ","O"),"Ú","U"),"Ü","U"),"Ç","C"))</f>
        <v/>
      </c>
      <c r="I231" s="28" t="str">
        <f aca="false">IF(C231="","",IF(LEN(SUBSTITUTE(SUBSTITUTE(SUBSTITUTE(SUBSTITUTE(TRIM(C231),"*",""),".",""),"-","")," ",""))=11,MID(SUBSTITUTE(SUBSTITUTE(SUBSTITUTE(SUBSTITUTE(TRIM(C231),"*",""),".",""),"-","")," ",""),4,6),SUBSTITUTE(SUBSTITUTE(SUBSTITUTE(SUBSTITUTE(TRIM(C231),"*",""),".",""),"-","")," ","")))</f>
        <v/>
      </c>
      <c r="J231" s="28" t="str">
        <f aca="false">IF(OR(H231="",I231=""),"",H231&amp;"|"&amp;I231)</f>
        <v/>
      </c>
      <c r="K231" s="19" t="str">
        <f aca="false">IF(H231="","",IF(AND(J231&lt;&gt;"",COUNTIF(Pessoas!$J:$J,J231)&gt;0),"SIM",IF(COUNTIF(Pessoas!$H:$H,H231)&gt;0,"nome igual em Pessoas: confira o CPF","")))</f>
        <v/>
      </c>
      <c r="L231" s="27"/>
      <c r="M231" s="5"/>
    </row>
    <row r="232" customFormat="false" ht="15" hidden="false" customHeight="false" outlineLevel="0" collapsed="false">
      <c r="A232" s="27"/>
      <c r="B232" s="5"/>
      <c r="C232" s="27"/>
      <c r="D232" s="18"/>
      <c r="E232" s="14"/>
      <c r="F232" s="18"/>
      <c r="G232" s="19" t="str">
        <f aca="false">IF(A232="","",IFERROR(INDEX(Empresas!$B:$B,MATCH(A232,Empresas!$A:$A,0))&amp;"","cadastre o CNPJ em Empresas"))</f>
        <v/>
      </c>
      <c r="H232" s="28" t="str">
        <f aca="false">IF(B232="","",SUBSTITUTE(SUBSTITUTE(SUBSTITUTE(SUBSTITUTE(SUBSTITUTE(SUBSTITUTE(SUBSTITUTE(SUBSTITUTE(SUBSTITUTE(SUBSTITUTE(SUBSTITUTE(SUBSTITUTE(SUBSTITUTE(UPPER(TRIM(B232)),"Á","A"),"À","A"),"Â","A"),"Ã","A"),"É","E"),"Ê","E"),"Í","I"),"Ó","O"),"Ô","O"),"Õ","O"),"Ú","U"),"Ü","U"),"Ç","C"))</f>
        <v/>
      </c>
      <c r="I232" s="28" t="str">
        <f aca="false">IF(C232="","",IF(LEN(SUBSTITUTE(SUBSTITUTE(SUBSTITUTE(SUBSTITUTE(TRIM(C232),"*",""),".",""),"-","")," ",""))=11,MID(SUBSTITUTE(SUBSTITUTE(SUBSTITUTE(SUBSTITUTE(TRIM(C232),"*",""),".",""),"-","")," ",""),4,6),SUBSTITUTE(SUBSTITUTE(SUBSTITUTE(SUBSTITUTE(TRIM(C232),"*",""),".",""),"-","")," ","")))</f>
        <v/>
      </c>
      <c r="J232" s="28" t="str">
        <f aca="false">IF(OR(H232="",I232=""),"",H232&amp;"|"&amp;I232)</f>
        <v/>
      </c>
      <c r="K232" s="19" t="str">
        <f aca="false">IF(H232="","",IF(AND(J232&lt;&gt;"",COUNTIF(Pessoas!$J:$J,J232)&gt;0),"SIM",IF(COUNTIF(Pessoas!$H:$H,H232)&gt;0,"nome igual em Pessoas: confira o CPF","")))</f>
        <v/>
      </c>
      <c r="L232" s="27"/>
      <c r="M232" s="5"/>
    </row>
    <row r="233" customFormat="false" ht="15" hidden="false" customHeight="false" outlineLevel="0" collapsed="false">
      <c r="A233" s="27"/>
      <c r="B233" s="5"/>
      <c r="C233" s="27"/>
      <c r="D233" s="18"/>
      <c r="E233" s="14"/>
      <c r="F233" s="18"/>
      <c r="G233" s="19" t="str">
        <f aca="false">IF(A233="","",IFERROR(INDEX(Empresas!$B:$B,MATCH(A233,Empresas!$A:$A,0))&amp;"","cadastre o CNPJ em Empresas"))</f>
        <v/>
      </c>
      <c r="H233" s="28" t="str">
        <f aca="false">IF(B233="","",SUBSTITUTE(SUBSTITUTE(SUBSTITUTE(SUBSTITUTE(SUBSTITUTE(SUBSTITUTE(SUBSTITUTE(SUBSTITUTE(SUBSTITUTE(SUBSTITUTE(SUBSTITUTE(SUBSTITUTE(SUBSTITUTE(UPPER(TRIM(B233)),"Á","A"),"À","A"),"Â","A"),"Ã","A"),"É","E"),"Ê","E"),"Í","I"),"Ó","O"),"Ô","O"),"Õ","O"),"Ú","U"),"Ü","U"),"Ç","C"))</f>
        <v/>
      </c>
      <c r="I233" s="28" t="str">
        <f aca="false">IF(C233="","",IF(LEN(SUBSTITUTE(SUBSTITUTE(SUBSTITUTE(SUBSTITUTE(TRIM(C233),"*",""),".",""),"-","")," ",""))=11,MID(SUBSTITUTE(SUBSTITUTE(SUBSTITUTE(SUBSTITUTE(TRIM(C233),"*",""),".",""),"-","")," ",""),4,6),SUBSTITUTE(SUBSTITUTE(SUBSTITUTE(SUBSTITUTE(TRIM(C233),"*",""),".",""),"-","")," ","")))</f>
        <v/>
      </c>
      <c r="J233" s="28" t="str">
        <f aca="false">IF(OR(H233="",I233=""),"",H233&amp;"|"&amp;I233)</f>
        <v/>
      </c>
      <c r="K233" s="19" t="str">
        <f aca="false">IF(H233="","",IF(AND(J233&lt;&gt;"",COUNTIF(Pessoas!$J:$J,J233)&gt;0),"SIM",IF(COUNTIF(Pessoas!$H:$H,H233)&gt;0,"nome igual em Pessoas: confira o CPF","")))</f>
        <v/>
      </c>
      <c r="L233" s="27"/>
      <c r="M233" s="5"/>
    </row>
    <row r="234" customFormat="false" ht="15" hidden="false" customHeight="false" outlineLevel="0" collapsed="false">
      <c r="A234" s="27"/>
      <c r="B234" s="5"/>
      <c r="C234" s="27"/>
      <c r="D234" s="18"/>
      <c r="E234" s="14"/>
      <c r="F234" s="18"/>
      <c r="G234" s="19" t="str">
        <f aca="false">IF(A234="","",IFERROR(INDEX(Empresas!$B:$B,MATCH(A234,Empresas!$A:$A,0))&amp;"","cadastre o CNPJ em Empresas"))</f>
        <v/>
      </c>
      <c r="H234" s="28" t="str">
        <f aca="false">IF(B234="","",SUBSTITUTE(SUBSTITUTE(SUBSTITUTE(SUBSTITUTE(SUBSTITUTE(SUBSTITUTE(SUBSTITUTE(SUBSTITUTE(SUBSTITUTE(SUBSTITUTE(SUBSTITUTE(SUBSTITUTE(SUBSTITUTE(UPPER(TRIM(B234)),"Á","A"),"À","A"),"Â","A"),"Ã","A"),"É","E"),"Ê","E"),"Í","I"),"Ó","O"),"Ô","O"),"Õ","O"),"Ú","U"),"Ü","U"),"Ç","C"))</f>
        <v/>
      </c>
      <c r="I234" s="28" t="str">
        <f aca="false">IF(C234="","",IF(LEN(SUBSTITUTE(SUBSTITUTE(SUBSTITUTE(SUBSTITUTE(TRIM(C234),"*",""),".",""),"-","")," ",""))=11,MID(SUBSTITUTE(SUBSTITUTE(SUBSTITUTE(SUBSTITUTE(TRIM(C234),"*",""),".",""),"-","")," ",""),4,6),SUBSTITUTE(SUBSTITUTE(SUBSTITUTE(SUBSTITUTE(TRIM(C234),"*",""),".",""),"-","")," ","")))</f>
        <v/>
      </c>
      <c r="J234" s="28" t="str">
        <f aca="false">IF(OR(H234="",I234=""),"",H234&amp;"|"&amp;I234)</f>
        <v/>
      </c>
      <c r="K234" s="19" t="str">
        <f aca="false">IF(H234="","",IF(AND(J234&lt;&gt;"",COUNTIF(Pessoas!$J:$J,J234)&gt;0),"SIM",IF(COUNTIF(Pessoas!$H:$H,H234)&gt;0,"nome igual em Pessoas: confira o CPF","")))</f>
        <v/>
      </c>
      <c r="L234" s="27"/>
      <c r="M234" s="5"/>
    </row>
    <row r="235" customFormat="false" ht="15" hidden="false" customHeight="false" outlineLevel="0" collapsed="false">
      <c r="A235" s="27"/>
      <c r="B235" s="5"/>
      <c r="C235" s="27"/>
      <c r="D235" s="18"/>
      <c r="E235" s="14"/>
      <c r="F235" s="18"/>
      <c r="G235" s="19" t="str">
        <f aca="false">IF(A235="","",IFERROR(INDEX(Empresas!$B:$B,MATCH(A235,Empresas!$A:$A,0))&amp;"","cadastre o CNPJ em Empresas"))</f>
        <v/>
      </c>
      <c r="H235" s="28" t="str">
        <f aca="false">IF(B235="","",SUBSTITUTE(SUBSTITUTE(SUBSTITUTE(SUBSTITUTE(SUBSTITUTE(SUBSTITUTE(SUBSTITUTE(SUBSTITUTE(SUBSTITUTE(SUBSTITUTE(SUBSTITUTE(SUBSTITUTE(SUBSTITUTE(UPPER(TRIM(B235)),"Á","A"),"À","A"),"Â","A"),"Ã","A"),"É","E"),"Ê","E"),"Í","I"),"Ó","O"),"Ô","O"),"Õ","O"),"Ú","U"),"Ü","U"),"Ç","C"))</f>
        <v/>
      </c>
      <c r="I235" s="28" t="str">
        <f aca="false">IF(C235="","",IF(LEN(SUBSTITUTE(SUBSTITUTE(SUBSTITUTE(SUBSTITUTE(TRIM(C235),"*",""),".",""),"-","")," ",""))=11,MID(SUBSTITUTE(SUBSTITUTE(SUBSTITUTE(SUBSTITUTE(TRIM(C235),"*",""),".",""),"-","")," ",""),4,6),SUBSTITUTE(SUBSTITUTE(SUBSTITUTE(SUBSTITUTE(TRIM(C235),"*",""),".",""),"-","")," ","")))</f>
        <v/>
      </c>
      <c r="J235" s="28" t="str">
        <f aca="false">IF(OR(H235="",I235=""),"",H235&amp;"|"&amp;I235)</f>
        <v/>
      </c>
      <c r="K235" s="19" t="str">
        <f aca="false">IF(H235="","",IF(AND(J235&lt;&gt;"",COUNTIF(Pessoas!$J:$J,J235)&gt;0),"SIM",IF(COUNTIF(Pessoas!$H:$H,H235)&gt;0,"nome igual em Pessoas: confira o CPF","")))</f>
        <v/>
      </c>
      <c r="L235" s="27"/>
      <c r="M235" s="5"/>
    </row>
    <row r="236" customFormat="false" ht="15" hidden="false" customHeight="false" outlineLevel="0" collapsed="false">
      <c r="A236" s="27"/>
      <c r="B236" s="5"/>
      <c r="C236" s="27"/>
      <c r="D236" s="18"/>
      <c r="E236" s="14"/>
      <c r="F236" s="18"/>
      <c r="G236" s="19" t="str">
        <f aca="false">IF(A236="","",IFERROR(INDEX(Empresas!$B:$B,MATCH(A236,Empresas!$A:$A,0))&amp;"","cadastre o CNPJ em Empresas"))</f>
        <v/>
      </c>
      <c r="H236" s="28" t="str">
        <f aca="false">IF(B236="","",SUBSTITUTE(SUBSTITUTE(SUBSTITUTE(SUBSTITUTE(SUBSTITUTE(SUBSTITUTE(SUBSTITUTE(SUBSTITUTE(SUBSTITUTE(SUBSTITUTE(SUBSTITUTE(SUBSTITUTE(SUBSTITUTE(UPPER(TRIM(B236)),"Á","A"),"À","A"),"Â","A"),"Ã","A"),"É","E"),"Ê","E"),"Í","I"),"Ó","O"),"Ô","O"),"Õ","O"),"Ú","U"),"Ü","U"),"Ç","C"))</f>
        <v/>
      </c>
      <c r="I236" s="28" t="str">
        <f aca="false">IF(C236="","",IF(LEN(SUBSTITUTE(SUBSTITUTE(SUBSTITUTE(SUBSTITUTE(TRIM(C236),"*",""),".",""),"-","")," ",""))=11,MID(SUBSTITUTE(SUBSTITUTE(SUBSTITUTE(SUBSTITUTE(TRIM(C236),"*",""),".",""),"-","")," ",""),4,6),SUBSTITUTE(SUBSTITUTE(SUBSTITUTE(SUBSTITUTE(TRIM(C236),"*",""),".",""),"-","")," ","")))</f>
        <v/>
      </c>
      <c r="J236" s="28" t="str">
        <f aca="false">IF(OR(H236="",I236=""),"",H236&amp;"|"&amp;I236)</f>
        <v/>
      </c>
      <c r="K236" s="19" t="str">
        <f aca="false">IF(H236="","",IF(AND(J236&lt;&gt;"",COUNTIF(Pessoas!$J:$J,J236)&gt;0),"SIM",IF(COUNTIF(Pessoas!$H:$H,H236)&gt;0,"nome igual em Pessoas: confira o CPF","")))</f>
        <v/>
      </c>
      <c r="L236" s="27"/>
      <c r="M236" s="5"/>
    </row>
    <row r="237" customFormat="false" ht="15" hidden="false" customHeight="false" outlineLevel="0" collapsed="false">
      <c r="A237" s="27"/>
      <c r="B237" s="5"/>
      <c r="C237" s="27"/>
      <c r="D237" s="18"/>
      <c r="E237" s="14"/>
      <c r="F237" s="18"/>
      <c r="G237" s="19" t="str">
        <f aca="false">IF(A237="","",IFERROR(INDEX(Empresas!$B:$B,MATCH(A237,Empresas!$A:$A,0))&amp;"","cadastre o CNPJ em Empresas"))</f>
        <v/>
      </c>
      <c r="H237" s="28" t="str">
        <f aca="false">IF(B237="","",SUBSTITUTE(SUBSTITUTE(SUBSTITUTE(SUBSTITUTE(SUBSTITUTE(SUBSTITUTE(SUBSTITUTE(SUBSTITUTE(SUBSTITUTE(SUBSTITUTE(SUBSTITUTE(SUBSTITUTE(SUBSTITUTE(UPPER(TRIM(B237)),"Á","A"),"À","A"),"Â","A"),"Ã","A"),"É","E"),"Ê","E"),"Í","I"),"Ó","O"),"Ô","O"),"Õ","O"),"Ú","U"),"Ü","U"),"Ç","C"))</f>
        <v/>
      </c>
      <c r="I237" s="28" t="str">
        <f aca="false">IF(C237="","",IF(LEN(SUBSTITUTE(SUBSTITUTE(SUBSTITUTE(SUBSTITUTE(TRIM(C237),"*",""),".",""),"-","")," ",""))=11,MID(SUBSTITUTE(SUBSTITUTE(SUBSTITUTE(SUBSTITUTE(TRIM(C237),"*",""),".",""),"-","")," ",""),4,6),SUBSTITUTE(SUBSTITUTE(SUBSTITUTE(SUBSTITUTE(TRIM(C237),"*",""),".",""),"-","")," ","")))</f>
        <v/>
      </c>
      <c r="J237" s="28" t="str">
        <f aca="false">IF(OR(H237="",I237=""),"",H237&amp;"|"&amp;I237)</f>
        <v/>
      </c>
      <c r="K237" s="19" t="str">
        <f aca="false">IF(H237="","",IF(AND(J237&lt;&gt;"",COUNTIF(Pessoas!$J:$J,J237)&gt;0),"SIM",IF(COUNTIF(Pessoas!$H:$H,H237)&gt;0,"nome igual em Pessoas: confira o CPF","")))</f>
        <v/>
      </c>
      <c r="L237" s="27"/>
      <c r="M237" s="5"/>
    </row>
    <row r="238" customFormat="false" ht="15" hidden="false" customHeight="false" outlineLevel="0" collapsed="false">
      <c r="A238" s="27"/>
      <c r="B238" s="5"/>
      <c r="C238" s="27"/>
      <c r="D238" s="18"/>
      <c r="E238" s="14"/>
      <c r="F238" s="18"/>
      <c r="G238" s="19" t="str">
        <f aca="false">IF(A238="","",IFERROR(INDEX(Empresas!$B:$B,MATCH(A238,Empresas!$A:$A,0))&amp;"","cadastre o CNPJ em Empresas"))</f>
        <v/>
      </c>
      <c r="H238" s="28" t="str">
        <f aca="false">IF(B238="","",SUBSTITUTE(SUBSTITUTE(SUBSTITUTE(SUBSTITUTE(SUBSTITUTE(SUBSTITUTE(SUBSTITUTE(SUBSTITUTE(SUBSTITUTE(SUBSTITUTE(SUBSTITUTE(SUBSTITUTE(SUBSTITUTE(UPPER(TRIM(B238)),"Á","A"),"À","A"),"Â","A"),"Ã","A"),"É","E"),"Ê","E"),"Í","I"),"Ó","O"),"Ô","O"),"Õ","O"),"Ú","U"),"Ü","U"),"Ç","C"))</f>
        <v/>
      </c>
      <c r="I238" s="28" t="str">
        <f aca="false">IF(C238="","",IF(LEN(SUBSTITUTE(SUBSTITUTE(SUBSTITUTE(SUBSTITUTE(TRIM(C238),"*",""),".",""),"-","")," ",""))=11,MID(SUBSTITUTE(SUBSTITUTE(SUBSTITUTE(SUBSTITUTE(TRIM(C238),"*",""),".",""),"-","")," ",""),4,6),SUBSTITUTE(SUBSTITUTE(SUBSTITUTE(SUBSTITUTE(TRIM(C238),"*",""),".",""),"-","")," ","")))</f>
        <v/>
      </c>
      <c r="J238" s="28" t="str">
        <f aca="false">IF(OR(H238="",I238=""),"",H238&amp;"|"&amp;I238)</f>
        <v/>
      </c>
      <c r="K238" s="19" t="str">
        <f aca="false">IF(H238="","",IF(AND(J238&lt;&gt;"",COUNTIF(Pessoas!$J:$J,J238)&gt;0),"SIM",IF(COUNTIF(Pessoas!$H:$H,H238)&gt;0,"nome igual em Pessoas: confira o CPF","")))</f>
        <v/>
      </c>
      <c r="L238" s="27"/>
      <c r="M238" s="5"/>
    </row>
    <row r="239" customFormat="false" ht="15" hidden="false" customHeight="false" outlineLevel="0" collapsed="false">
      <c r="A239" s="27"/>
      <c r="B239" s="5"/>
      <c r="C239" s="27"/>
      <c r="D239" s="18"/>
      <c r="E239" s="14"/>
      <c r="F239" s="18"/>
      <c r="G239" s="19" t="str">
        <f aca="false">IF(A239="","",IFERROR(INDEX(Empresas!$B:$B,MATCH(A239,Empresas!$A:$A,0))&amp;"","cadastre o CNPJ em Empresas"))</f>
        <v/>
      </c>
      <c r="H239" s="28" t="str">
        <f aca="false">IF(B239="","",SUBSTITUTE(SUBSTITUTE(SUBSTITUTE(SUBSTITUTE(SUBSTITUTE(SUBSTITUTE(SUBSTITUTE(SUBSTITUTE(SUBSTITUTE(SUBSTITUTE(SUBSTITUTE(SUBSTITUTE(SUBSTITUTE(UPPER(TRIM(B239)),"Á","A"),"À","A"),"Â","A"),"Ã","A"),"É","E"),"Ê","E"),"Í","I"),"Ó","O"),"Ô","O"),"Õ","O"),"Ú","U"),"Ü","U"),"Ç","C"))</f>
        <v/>
      </c>
      <c r="I239" s="28" t="str">
        <f aca="false">IF(C239="","",IF(LEN(SUBSTITUTE(SUBSTITUTE(SUBSTITUTE(SUBSTITUTE(TRIM(C239),"*",""),".",""),"-","")," ",""))=11,MID(SUBSTITUTE(SUBSTITUTE(SUBSTITUTE(SUBSTITUTE(TRIM(C239),"*",""),".",""),"-","")," ",""),4,6),SUBSTITUTE(SUBSTITUTE(SUBSTITUTE(SUBSTITUTE(TRIM(C239),"*",""),".",""),"-","")," ","")))</f>
        <v/>
      </c>
      <c r="J239" s="28" t="str">
        <f aca="false">IF(OR(H239="",I239=""),"",H239&amp;"|"&amp;I239)</f>
        <v/>
      </c>
      <c r="K239" s="19" t="str">
        <f aca="false">IF(H239="","",IF(AND(J239&lt;&gt;"",COUNTIF(Pessoas!$J:$J,J239)&gt;0),"SIM",IF(COUNTIF(Pessoas!$H:$H,H239)&gt;0,"nome igual em Pessoas: confira o CPF","")))</f>
        <v/>
      </c>
      <c r="L239" s="27"/>
      <c r="M239" s="5"/>
    </row>
    <row r="240" customFormat="false" ht="15" hidden="false" customHeight="false" outlineLevel="0" collapsed="false">
      <c r="A240" s="27"/>
      <c r="B240" s="5"/>
      <c r="C240" s="27"/>
      <c r="D240" s="18"/>
      <c r="E240" s="14"/>
      <c r="F240" s="18"/>
      <c r="G240" s="19" t="str">
        <f aca="false">IF(A240="","",IFERROR(INDEX(Empresas!$B:$B,MATCH(A240,Empresas!$A:$A,0))&amp;"","cadastre o CNPJ em Empresas"))</f>
        <v/>
      </c>
      <c r="H240" s="28" t="str">
        <f aca="false">IF(B240="","",SUBSTITUTE(SUBSTITUTE(SUBSTITUTE(SUBSTITUTE(SUBSTITUTE(SUBSTITUTE(SUBSTITUTE(SUBSTITUTE(SUBSTITUTE(SUBSTITUTE(SUBSTITUTE(SUBSTITUTE(SUBSTITUTE(UPPER(TRIM(B240)),"Á","A"),"À","A"),"Â","A"),"Ã","A"),"É","E"),"Ê","E"),"Í","I"),"Ó","O"),"Ô","O"),"Õ","O"),"Ú","U"),"Ü","U"),"Ç","C"))</f>
        <v/>
      </c>
      <c r="I240" s="28" t="str">
        <f aca="false">IF(C240="","",IF(LEN(SUBSTITUTE(SUBSTITUTE(SUBSTITUTE(SUBSTITUTE(TRIM(C240),"*",""),".",""),"-","")," ",""))=11,MID(SUBSTITUTE(SUBSTITUTE(SUBSTITUTE(SUBSTITUTE(TRIM(C240),"*",""),".",""),"-","")," ",""),4,6),SUBSTITUTE(SUBSTITUTE(SUBSTITUTE(SUBSTITUTE(TRIM(C240),"*",""),".",""),"-","")," ","")))</f>
        <v/>
      </c>
      <c r="J240" s="28" t="str">
        <f aca="false">IF(OR(H240="",I240=""),"",H240&amp;"|"&amp;I240)</f>
        <v/>
      </c>
      <c r="K240" s="19" t="str">
        <f aca="false">IF(H240="","",IF(AND(J240&lt;&gt;"",COUNTIF(Pessoas!$J:$J,J240)&gt;0),"SIM",IF(COUNTIF(Pessoas!$H:$H,H240)&gt;0,"nome igual em Pessoas: confira o CPF","")))</f>
        <v/>
      </c>
      <c r="L240" s="27"/>
      <c r="M240" s="5"/>
    </row>
    <row r="241" customFormat="false" ht="15" hidden="false" customHeight="false" outlineLevel="0" collapsed="false">
      <c r="A241" s="27"/>
      <c r="B241" s="5"/>
      <c r="C241" s="27"/>
      <c r="D241" s="18"/>
      <c r="E241" s="14"/>
      <c r="F241" s="18"/>
      <c r="G241" s="19" t="str">
        <f aca="false">IF(A241="","",IFERROR(INDEX(Empresas!$B:$B,MATCH(A241,Empresas!$A:$A,0))&amp;"","cadastre o CNPJ em Empresas"))</f>
        <v/>
      </c>
      <c r="H241" s="28" t="str">
        <f aca="false">IF(B241="","",SUBSTITUTE(SUBSTITUTE(SUBSTITUTE(SUBSTITUTE(SUBSTITUTE(SUBSTITUTE(SUBSTITUTE(SUBSTITUTE(SUBSTITUTE(SUBSTITUTE(SUBSTITUTE(SUBSTITUTE(SUBSTITUTE(UPPER(TRIM(B241)),"Á","A"),"À","A"),"Â","A"),"Ã","A"),"É","E"),"Ê","E"),"Í","I"),"Ó","O"),"Ô","O"),"Õ","O"),"Ú","U"),"Ü","U"),"Ç","C"))</f>
        <v/>
      </c>
      <c r="I241" s="28" t="str">
        <f aca="false">IF(C241="","",IF(LEN(SUBSTITUTE(SUBSTITUTE(SUBSTITUTE(SUBSTITUTE(TRIM(C241),"*",""),".",""),"-","")," ",""))=11,MID(SUBSTITUTE(SUBSTITUTE(SUBSTITUTE(SUBSTITUTE(TRIM(C241),"*",""),".",""),"-","")," ",""),4,6),SUBSTITUTE(SUBSTITUTE(SUBSTITUTE(SUBSTITUTE(TRIM(C241),"*",""),".",""),"-","")," ","")))</f>
        <v/>
      </c>
      <c r="J241" s="28" t="str">
        <f aca="false">IF(OR(H241="",I241=""),"",H241&amp;"|"&amp;I241)</f>
        <v/>
      </c>
      <c r="K241" s="19" t="str">
        <f aca="false">IF(H241="","",IF(AND(J241&lt;&gt;"",COUNTIF(Pessoas!$J:$J,J241)&gt;0),"SIM",IF(COUNTIF(Pessoas!$H:$H,H241)&gt;0,"nome igual em Pessoas: confira o CPF","")))</f>
        <v/>
      </c>
      <c r="L241" s="27"/>
      <c r="M241" s="5"/>
    </row>
    <row r="242" customFormat="false" ht="15" hidden="false" customHeight="false" outlineLevel="0" collapsed="false">
      <c r="A242" s="27"/>
      <c r="B242" s="5"/>
      <c r="C242" s="27"/>
      <c r="D242" s="18"/>
      <c r="E242" s="14"/>
      <c r="F242" s="18"/>
      <c r="G242" s="19" t="str">
        <f aca="false">IF(A242="","",IFERROR(INDEX(Empresas!$B:$B,MATCH(A242,Empresas!$A:$A,0))&amp;"","cadastre o CNPJ em Empresas"))</f>
        <v/>
      </c>
      <c r="H242" s="28" t="str">
        <f aca="false">IF(B242="","",SUBSTITUTE(SUBSTITUTE(SUBSTITUTE(SUBSTITUTE(SUBSTITUTE(SUBSTITUTE(SUBSTITUTE(SUBSTITUTE(SUBSTITUTE(SUBSTITUTE(SUBSTITUTE(SUBSTITUTE(SUBSTITUTE(UPPER(TRIM(B242)),"Á","A"),"À","A"),"Â","A"),"Ã","A"),"É","E"),"Ê","E"),"Í","I"),"Ó","O"),"Ô","O"),"Õ","O"),"Ú","U"),"Ü","U"),"Ç","C"))</f>
        <v/>
      </c>
      <c r="I242" s="28" t="str">
        <f aca="false">IF(C242="","",IF(LEN(SUBSTITUTE(SUBSTITUTE(SUBSTITUTE(SUBSTITUTE(TRIM(C242),"*",""),".",""),"-","")," ",""))=11,MID(SUBSTITUTE(SUBSTITUTE(SUBSTITUTE(SUBSTITUTE(TRIM(C242),"*",""),".",""),"-","")," ",""),4,6),SUBSTITUTE(SUBSTITUTE(SUBSTITUTE(SUBSTITUTE(TRIM(C242),"*",""),".",""),"-","")," ","")))</f>
        <v/>
      </c>
      <c r="J242" s="28" t="str">
        <f aca="false">IF(OR(H242="",I242=""),"",H242&amp;"|"&amp;I242)</f>
        <v/>
      </c>
      <c r="K242" s="19" t="str">
        <f aca="false">IF(H242="","",IF(AND(J242&lt;&gt;"",COUNTIF(Pessoas!$J:$J,J242)&gt;0),"SIM",IF(COUNTIF(Pessoas!$H:$H,H242)&gt;0,"nome igual em Pessoas: confira o CPF","")))</f>
        <v/>
      </c>
      <c r="L242" s="27"/>
      <c r="M242" s="5"/>
    </row>
    <row r="243" customFormat="false" ht="15" hidden="false" customHeight="false" outlineLevel="0" collapsed="false">
      <c r="A243" s="27"/>
      <c r="B243" s="5"/>
      <c r="C243" s="27"/>
      <c r="D243" s="18"/>
      <c r="E243" s="14"/>
      <c r="F243" s="18"/>
      <c r="G243" s="19" t="str">
        <f aca="false">IF(A243="","",IFERROR(INDEX(Empresas!$B:$B,MATCH(A243,Empresas!$A:$A,0))&amp;"","cadastre o CNPJ em Empresas"))</f>
        <v/>
      </c>
      <c r="H243" s="28" t="str">
        <f aca="false">IF(B243="","",SUBSTITUTE(SUBSTITUTE(SUBSTITUTE(SUBSTITUTE(SUBSTITUTE(SUBSTITUTE(SUBSTITUTE(SUBSTITUTE(SUBSTITUTE(SUBSTITUTE(SUBSTITUTE(SUBSTITUTE(SUBSTITUTE(UPPER(TRIM(B243)),"Á","A"),"À","A"),"Â","A"),"Ã","A"),"É","E"),"Ê","E"),"Í","I"),"Ó","O"),"Ô","O"),"Õ","O"),"Ú","U"),"Ü","U"),"Ç","C"))</f>
        <v/>
      </c>
      <c r="I243" s="28" t="str">
        <f aca="false">IF(C243="","",IF(LEN(SUBSTITUTE(SUBSTITUTE(SUBSTITUTE(SUBSTITUTE(TRIM(C243),"*",""),".",""),"-","")," ",""))=11,MID(SUBSTITUTE(SUBSTITUTE(SUBSTITUTE(SUBSTITUTE(TRIM(C243),"*",""),".",""),"-","")," ",""),4,6),SUBSTITUTE(SUBSTITUTE(SUBSTITUTE(SUBSTITUTE(TRIM(C243),"*",""),".",""),"-","")," ","")))</f>
        <v/>
      </c>
      <c r="J243" s="28" t="str">
        <f aca="false">IF(OR(H243="",I243=""),"",H243&amp;"|"&amp;I243)</f>
        <v/>
      </c>
      <c r="K243" s="19" t="str">
        <f aca="false">IF(H243="","",IF(AND(J243&lt;&gt;"",COUNTIF(Pessoas!$J:$J,J243)&gt;0),"SIM",IF(COUNTIF(Pessoas!$H:$H,H243)&gt;0,"nome igual em Pessoas: confira o CPF","")))</f>
        <v/>
      </c>
      <c r="L243" s="27"/>
      <c r="M243" s="5"/>
    </row>
    <row r="244" customFormat="false" ht="15" hidden="false" customHeight="false" outlineLevel="0" collapsed="false">
      <c r="A244" s="27"/>
      <c r="B244" s="5"/>
      <c r="C244" s="27"/>
      <c r="D244" s="18"/>
      <c r="E244" s="14"/>
      <c r="F244" s="18"/>
      <c r="G244" s="19" t="str">
        <f aca="false">IF(A244="","",IFERROR(INDEX(Empresas!$B:$B,MATCH(A244,Empresas!$A:$A,0))&amp;"","cadastre o CNPJ em Empresas"))</f>
        <v/>
      </c>
      <c r="H244" s="28" t="str">
        <f aca="false">IF(B244="","",SUBSTITUTE(SUBSTITUTE(SUBSTITUTE(SUBSTITUTE(SUBSTITUTE(SUBSTITUTE(SUBSTITUTE(SUBSTITUTE(SUBSTITUTE(SUBSTITUTE(SUBSTITUTE(SUBSTITUTE(SUBSTITUTE(UPPER(TRIM(B244)),"Á","A"),"À","A"),"Â","A"),"Ã","A"),"É","E"),"Ê","E"),"Í","I"),"Ó","O"),"Ô","O"),"Õ","O"),"Ú","U"),"Ü","U"),"Ç","C"))</f>
        <v/>
      </c>
      <c r="I244" s="28" t="str">
        <f aca="false">IF(C244="","",IF(LEN(SUBSTITUTE(SUBSTITUTE(SUBSTITUTE(SUBSTITUTE(TRIM(C244),"*",""),".",""),"-","")," ",""))=11,MID(SUBSTITUTE(SUBSTITUTE(SUBSTITUTE(SUBSTITUTE(TRIM(C244),"*",""),".",""),"-","")," ",""),4,6),SUBSTITUTE(SUBSTITUTE(SUBSTITUTE(SUBSTITUTE(TRIM(C244),"*",""),".",""),"-","")," ","")))</f>
        <v/>
      </c>
      <c r="J244" s="28" t="str">
        <f aca="false">IF(OR(H244="",I244=""),"",H244&amp;"|"&amp;I244)</f>
        <v/>
      </c>
      <c r="K244" s="19" t="str">
        <f aca="false">IF(H244="","",IF(AND(J244&lt;&gt;"",COUNTIF(Pessoas!$J:$J,J244)&gt;0),"SIM",IF(COUNTIF(Pessoas!$H:$H,H244)&gt;0,"nome igual em Pessoas: confira o CPF","")))</f>
        <v/>
      </c>
      <c r="L244" s="27"/>
      <c r="M244" s="5"/>
    </row>
    <row r="245" customFormat="false" ht="15" hidden="false" customHeight="false" outlineLevel="0" collapsed="false">
      <c r="A245" s="27"/>
      <c r="B245" s="5"/>
      <c r="C245" s="27"/>
      <c r="D245" s="18"/>
      <c r="E245" s="14"/>
      <c r="F245" s="18"/>
      <c r="G245" s="19" t="str">
        <f aca="false">IF(A245="","",IFERROR(INDEX(Empresas!$B:$B,MATCH(A245,Empresas!$A:$A,0))&amp;"","cadastre o CNPJ em Empresas"))</f>
        <v/>
      </c>
      <c r="H245" s="28" t="str">
        <f aca="false">IF(B245="","",SUBSTITUTE(SUBSTITUTE(SUBSTITUTE(SUBSTITUTE(SUBSTITUTE(SUBSTITUTE(SUBSTITUTE(SUBSTITUTE(SUBSTITUTE(SUBSTITUTE(SUBSTITUTE(SUBSTITUTE(SUBSTITUTE(UPPER(TRIM(B245)),"Á","A"),"À","A"),"Â","A"),"Ã","A"),"É","E"),"Ê","E"),"Í","I"),"Ó","O"),"Ô","O"),"Õ","O"),"Ú","U"),"Ü","U"),"Ç","C"))</f>
        <v/>
      </c>
      <c r="I245" s="28" t="str">
        <f aca="false">IF(C245="","",IF(LEN(SUBSTITUTE(SUBSTITUTE(SUBSTITUTE(SUBSTITUTE(TRIM(C245),"*",""),".",""),"-","")," ",""))=11,MID(SUBSTITUTE(SUBSTITUTE(SUBSTITUTE(SUBSTITUTE(TRIM(C245),"*",""),".",""),"-","")," ",""),4,6),SUBSTITUTE(SUBSTITUTE(SUBSTITUTE(SUBSTITUTE(TRIM(C245),"*",""),".",""),"-","")," ","")))</f>
        <v/>
      </c>
      <c r="J245" s="28" t="str">
        <f aca="false">IF(OR(H245="",I245=""),"",H245&amp;"|"&amp;I245)</f>
        <v/>
      </c>
      <c r="K245" s="19" t="str">
        <f aca="false">IF(H245="","",IF(AND(J245&lt;&gt;"",COUNTIF(Pessoas!$J:$J,J245)&gt;0),"SIM",IF(COUNTIF(Pessoas!$H:$H,H245)&gt;0,"nome igual em Pessoas: confira o CPF","")))</f>
        <v/>
      </c>
      <c r="L245" s="27"/>
      <c r="M245" s="5"/>
    </row>
    <row r="246" customFormat="false" ht="15" hidden="false" customHeight="false" outlineLevel="0" collapsed="false">
      <c r="A246" s="27"/>
      <c r="B246" s="5"/>
      <c r="C246" s="27"/>
      <c r="D246" s="18"/>
      <c r="E246" s="14"/>
      <c r="F246" s="18"/>
      <c r="G246" s="19" t="str">
        <f aca="false">IF(A246="","",IFERROR(INDEX(Empresas!$B:$B,MATCH(A246,Empresas!$A:$A,0))&amp;"","cadastre o CNPJ em Empresas"))</f>
        <v/>
      </c>
      <c r="H246" s="28" t="str">
        <f aca="false">IF(B246="","",SUBSTITUTE(SUBSTITUTE(SUBSTITUTE(SUBSTITUTE(SUBSTITUTE(SUBSTITUTE(SUBSTITUTE(SUBSTITUTE(SUBSTITUTE(SUBSTITUTE(SUBSTITUTE(SUBSTITUTE(SUBSTITUTE(UPPER(TRIM(B246)),"Á","A"),"À","A"),"Â","A"),"Ã","A"),"É","E"),"Ê","E"),"Í","I"),"Ó","O"),"Ô","O"),"Õ","O"),"Ú","U"),"Ü","U"),"Ç","C"))</f>
        <v/>
      </c>
      <c r="I246" s="28" t="str">
        <f aca="false">IF(C246="","",IF(LEN(SUBSTITUTE(SUBSTITUTE(SUBSTITUTE(SUBSTITUTE(TRIM(C246),"*",""),".",""),"-","")," ",""))=11,MID(SUBSTITUTE(SUBSTITUTE(SUBSTITUTE(SUBSTITUTE(TRIM(C246),"*",""),".",""),"-","")," ",""),4,6),SUBSTITUTE(SUBSTITUTE(SUBSTITUTE(SUBSTITUTE(TRIM(C246),"*",""),".",""),"-","")," ","")))</f>
        <v/>
      </c>
      <c r="J246" s="28" t="str">
        <f aca="false">IF(OR(H246="",I246=""),"",H246&amp;"|"&amp;I246)</f>
        <v/>
      </c>
      <c r="K246" s="19" t="str">
        <f aca="false">IF(H246="","",IF(AND(J246&lt;&gt;"",COUNTIF(Pessoas!$J:$J,J246)&gt;0),"SIM",IF(COUNTIF(Pessoas!$H:$H,H246)&gt;0,"nome igual em Pessoas: confira o CPF","")))</f>
        <v/>
      </c>
      <c r="L246" s="27"/>
      <c r="M246" s="5"/>
    </row>
    <row r="247" customFormat="false" ht="15" hidden="false" customHeight="false" outlineLevel="0" collapsed="false">
      <c r="A247" s="27"/>
      <c r="B247" s="5"/>
      <c r="C247" s="27"/>
      <c r="D247" s="18"/>
      <c r="E247" s="14"/>
      <c r="F247" s="18"/>
      <c r="G247" s="19" t="str">
        <f aca="false">IF(A247="","",IFERROR(INDEX(Empresas!$B:$B,MATCH(A247,Empresas!$A:$A,0))&amp;"","cadastre o CNPJ em Empresas"))</f>
        <v/>
      </c>
      <c r="H247" s="28" t="str">
        <f aca="false">IF(B247="","",SUBSTITUTE(SUBSTITUTE(SUBSTITUTE(SUBSTITUTE(SUBSTITUTE(SUBSTITUTE(SUBSTITUTE(SUBSTITUTE(SUBSTITUTE(SUBSTITUTE(SUBSTITUTE(SUBSTITUTE(SUBSTITUTE(UPPER(TRIM(B247)),"Á","A"),"À","A"),"Â","A"),"Ã","A"),"É","E"),"Ê","E"),"Í","I"),"Ó","O"),"Ô","O"),"Õ","O"),"Ú","U"),"Ü","U"),"Ç","C"))</f>
        <v/>
      </c>
      <c r="I247" s="28" t="str">
        <f aca="false">IF(C247="","",IF(LEN(SUBSTITUTE(SUBSTITUTE(SUBSTITUTE(SUBSTITUTE(TRIM(C247),"*",""),".",""),"-","")," ",""))=11,MID(SUBSTITUTE(SUBSTITUTE(SUBSTITUTE(SUBSTITUTE(TRIM(C247),"*",""),".",""),"-","")," ",""),4,6),SUBSTITUTE(SUBSTITUTE(SUBSTITUTE(SUBSTITUTE(TRIM(C247),"*",""),".",""),"-","")," ","")))</f>
        <v/>
      </c>
      <c r="J247" s="28" t="str">
        <f aca="false">IF(OR(H247="",I247=""),"",H247&amp;"|"&amp;I247)</f>
        <v/>
      </c>
      <c r="K247" s="19" t="str">
        <f aca="false">IF(H247="","",IF(AND(J247&lt;&gt;"",COUNTIF(Pessoas!$J:$J,J247)&gt;0),"SIM",IF(COUNTIF(Pessoas!$H:$H,H247)&gt;0,"nome igual em Pessoas: confira o CPF","")))</f>
        <v/>
      </c>
      <c r="L247" s="27"/>
      <c r="M247" s="5"/>
    </row>
    <row r="248" customFormat="false" ht="15" hidden="false" customHeight="false" outlineLevel="0" collapsed="false">
      <c r="A248" s="27"/>
      <c r="B248" s="5"/>
      <c r="C248" s="27"/>
      <c r="D248" s="18"/>
      <c r="E248" s="14"/>
      <c r="F248" s="18"/>
      <c r="G248" s="19" t="str">
        <f aca="false">IF(A248="","",IFERROR(INDEX(Empresas!$B:$B,MATCH(A248,Empresas!$A:$A,0))&amp;"","cadastre o CNPJ em Empresas"))</f>
        <v/>
      </c>
      <c r="H248" s="28" t="str">
        <f aca="false">IF(B248="","",SUBSTITUTE(SUBSTITUTE(SUBSTITUTE(SUBSTITUTE(SUBSTITUTE(SUBSTITUTE(SUBSTITUTE(SUBSTITUTE(SUBSTITUTE(SUBSTITUTE(SUBSTITUTE(SUBSTITUTE(SUBSTITUTE(UPPER(TRIM(B248)),"Á","A"),"À","A"),"Â","A"),"Ã","A"),"É","E"),"Ê","E"),"Í","I"),"Ó","O"),"Ô","O"),"Õ","O"),"Ú","U"),"Ü","U"),"Ç","C"))</f>
        <v/>
      </c>
      <c r="I248" s="28" t="str">
        <f aca="false">IF(C248="","",IF(LEN(SUBSTITUTE(SUBSTITUTE(SUBSTITUTE(SUBSTITUTE(TRIM(C248),"*",""),".",""),"-","")," ",""))=11,MID(SUBSTITUTE(SUBSTITUTE(SUBSTITUTE(SUBSTITUTE(TRIM(C248),"*",""),".",""),"-","")," ",""),4,6),SUBSTITUTE(SUBSTITUTE(SUBSTITUTE(SUBSTITUTE(TRIM(C248),"*",""),".",""),"-","")," ","")))</f>
        <v/>
      </c>
      <c r="J248" s="28" t="str">
        <f aca="false">IF(OR(H248="",I248=""),"",H248&amp;"|"&amp;I248)</f>
        <v/>
      </c>
      <c r="K248" s="19" t="str">
        <f aca="false">IF(H248="","",IF(AND(J248&lt;&gt;"",COUNTIF(Pessoas!$J:$J,J248)&gt;0),"SIM",IF(COUNTIF(Pessoas!$H:$H,H248)&gt;0,"nome igual em Pessoas: confira o CPF","")))</f>
        <v/>
      </c>
      <c r="L248" s="27"/>
      <c r="M248" s="5"/>
    </row>
    <row r="249" customFormat="false" ht="15" hidden="false" customHeight="false" outlineLevel="0" collapsed="false">
      <c r="A249" s="27"/>
      <c r="B249" s="5"/>
      <c r="C249" s="27"/>
      <c r="D249" s="18"/>
      <c r="E249" s="14"/>
      <c r="F249" s="18"/>
      <c r="G249" s="19" t="str">
        <f aca="false">IF(A249="","",IFERROR(INDEX(Empresas!$B:$B,MATCH(A249,Empresas!$A:$A,0))&amp;"","cadastre o CNPJ em Empresas"))</f>
        <v/>
      </c>
      <c r="H249" s="28" t="str">
        <f aca="false">IF(B249="","",SUBSTITUTE(SUBSTITUTE(SUBSTITUTE(SUBSTITUTE(SUBSTITUTE(SUBSTITUTE(SUBSTITUTE(SUBSTITUTE(SUBSTITUTE(SUBSTITUTE(SUBSTITUTE(SUBSTITUTE(SUBSTITUTE(UPPER(TRIM(B249)),"Á","A"),"À","A"),"Â","A"),"Ã","A"),"É","E"),"Ê","E"),"Í","I"),"Ó","O"),"Ô","O"),"Õ","O"),"Ú","U"),"Ü","U"),"Ç","C"))</f>
        <v/>
      </c>
      <c r="I249" s="28" t="str">
        <f aca="false">IF(C249="","",IF(LEN(SUBSTITUTE(SUBSTITUTE(SUBSTITUTE(SUBSTITUTE(TRIM(C249),"*",""),".",""),"-","")," ",""))=11,MID(SUBSTITUTE(SUBSTITUTE(SUBSTITUTE(SUBSTITUTE(TRIM(C249),"*",""),".",""),"-","")," ",""),4,6),SUBSTITUTE(SUBSTITUTE(SUBSTITUTE(SUBSTITUTE(TRIM(C249),"*",""),".",""),"-","")," ","")))</f>
        <v/>
      </c>
      <c r="J249" s="28" t="str">
        <f aca="false">IF(OR(H249="",I249=""),"",H249&amp;"|"&amp;I249)</f>
        <v/>
      </c>
      <c r="K249" s="19" t="str">
        <f aca="false">IF(H249="","",IF(AND(J249&lt;&gt;"",COUNTIF(Pessoas!$J:$J,J249)&gt;0),"SIM",IF(COUNTIF(Pessoas!$H:$H,H249)&gt;0,"nome igual em Pessoas: confira o CPF","")))</f>
        <v/>
      </c>
      <c r="L249" s="27"/>
      <c r="M249" s="5"/>
    </row>
    <row r="250" customFormat="false" ht="15" hidden="false" customHeight="false" outlineLevel="0" collapsed="false">
      <c r="A250" s="27"/>
      <c r="B250" s="5"/>
      <c r="C250" s="27"/>
      <c r="D250" s="18"/>
      <c r="E250" s="14"/>
      <c r="F250" s="18"/>
      <c r="G250" s="19" t="str">
        <f aca="false">IF(A250="","",IFERROR(INDEX(Empresas!$B:$B,MATCH(A250,Empresas!$A:$A,0))&amp;"","cadastre o CNPJ em Empresas"))</f>
        <v/>
      </c>
      <c r="H250" s="28" t="str">
        <f aca="false">IF(B250="","",SUBSTITUTE(SUBSTITUTE(SUBSTITUTE(SUBSTITUTE(SUBSTITUTE(SUBSTITUTE(SUBSTITUTE(SUBSTITUTE(SUBSTITUTE(SUBSTITUTE(SUBSTITUTE(SUBSTITUTE(SUBSTITUTE(UPPER(TRIM(B250)),"Á","A"),"À","A"),"Â","A"),"Ã","A"),"É","E"),"Ê","E"),"Í","I"),"Ó","O"),"Ô","O"),"Õ","O"),"Ú","U"),"Ü","U"),"Ç","C"))</f>
        <v/>
      </c>
      <c r="I250" s="28" t="str">
        <f aca="false">IF(C250="","",IF(LEN(SUBSTITUTE(SUBSTITUTE(SUBSTITUTE(SUBSTITUTE(TRIM(C250),"*",""),".",""),"-","")," ",""))=11,MID(SUBSTITUTE(SUBSTITUTE(SUBSTITUTE(SUBSTITUTE(TRIM(C250),"*",""),".",""),"-","")," ",""),4,6),SUBSTITUTE(SUBSTITUTE(SUBSTITUTE(SUBSTITUTE(TRIM(C250),"*",""),".",""),"-","")," ","")))</f>
        <v/>
      </c>
      <c r="J250" s="28" t="str">
        <f aca="false">IF(OR(H250="",I250=""),"",H250&amp;"|"&amp;I250)</f>
        <v/>
      </c>
      <c r="K250" s="19" t="str">
        <f aca="false">IF(H250="","",IF(AND(J250&lt;&gt;"",COUNTIF(Pessoas!$J:$J,J250)&gt;0),"SIM",IF(COUNTIF(Pessoas!$H:$H,H250)&gt;0,"nome igual em Pessoas: confira o CPF","")))</f>
        <v/>
      </c>
      <c r="L250" s="27"/>
      <c r="M250" s="5"/>
    </row>
    <row r="251" customFormat="false" ht="15" hidden="false" customHeight="false" outlineLevel="0" collapsed="false">
      <c r="A251" s="27"/>
      <c r="B251" s="5"/>
      <c r="C251" s="27"/>
      <c r="D251" s="18"/>
      <c r="E251" s="14"/>
      <c r="F251" s="18"/>
      <c r="G251" s="19" t="str">
        <f aca="false">IF(A251="","",IFERROR(INDEX(Empresas!$B:$B,MATCH(A251,Empresas!$A:$A,0))&amp;"","cadastre o CNPJ em Empresas"))</f>
        <v/>
      </c>
      <c r="H251" s="28" t="str">
        <f aca="false">IF(B251="","",SUBSTITUTE(SUBSTITUTE(SUBSTITUTE(SUBSTITUTE(SUBSTITUTE(SUBSTITUTE(SUBSTITUTE(SUBSTITUTE(SUBSTITUTE(SUBSTITUTE(SUBSTITUTE(SUBSTITUTE(SUBSTITUTE(UPPER(TRIM(B251)),"Á","A"),"À","A"),"Â","A"),"Ã","A"),"É","E"),"Ê","E"),"Í","I"),"Ó","O"),"Ô","O"),"Õ","O"),"Ú","U"),"Ü","U"),"Ç","C"))</f>
        <v/>
      </c>
      <c r="I251" s="28" t="str">
        <f aca="false">IF(C251="","",IF(LEN(SUBSTITUTE(SUBSTITUTE(SUBSTITUTE(SUBSTITUTE(TRIM(C251),"*",""),".",""),"-","")," ",""))=11,MID(SUBSTITUTE(SUBSTITUTE(SUBSTITUTE(SUBSTITUTE(TRIM(C251),"*",""),".",""),"-","")," ",""),4,6),SUBSTITUTE(SUBSTITUTE(SUBSTITUTE(SUBSTITUTE(TRIM(C251),"*",""),".",""),"-","")," ","")))</f>
        <v/>
      </c>
      <c r="J251" s="28" t="str">
        <f aca="false">IF(OR(H251="",I251=""),"",H251&amp;"|"&amp;I251)</f>
        <v/>
      </c>
      <c r="K251" s="19" t="str">
        <f aca="false">IF(H251="","",IF(AND(J251&lt;&gt;"",COUNTIF(Pessoas!$J:$J,J251)&gt;0),"SIM",IF(COUNTIF(Pessoas!$H:$H,H251)&gt;0,"nome igual em Pessoas: confira o CPF","")))</f>
        <v/>
      </c>
      <c r="L251" s="27"/>
      <c r="M251" s="5"/>
    </row>
    <row r="252" customFormat="false" ht="15" hidden="false" customHeight="false" outlineLevel="0" collapsed="false">
      <c r="A252" s="27"/>
      <c r="B252" s="5"/>
      <c r="C252" s="27"/>
      <c r="D252" s="18"/>
      <c r="E252" s="14"/>
      <c r="F252" s="18"/>
      <c r="G252" s="19" t="str">
        <f aca="false">IF(A252="","",IFERROR(INDEX(Empresas!$B:$B,MATCH(A252,Empresas!$A:$A,0))&amp;"","cadastre o CNPJ em Empresas"))</f>
        <v/>
      </c>
      <c r="H252" s="28" t="str">
        <f aca="false">IF(B252="","",SUBSTITUTE(SUBSTITUTE(SUBSTITUTE(SUBSTITUTE(SUBSTITUTE(SUBSTITUTE(SUBSTITUTE(SUBSTITUTE(SUBSTITUTE(SUBSTITUTE(SUBSTITUTE(SUBSTITUTE(SUBSTITUTE(UPPER(TRIM(B252)),"Á","A"),"À","A"),"Â","A"),"Ã","A"),"É","E"),"Ê","E"),"Í","I"),"Ó","O"),"Ô","O"),"Õ","O"),"Ú","U"),"Ü","U"),"Ç","C"))</f>
        <v/>
      </c>
      <c r="I252" s="28" t="str">
        <f aca="false">IF(C252="","",IF(LEN(SUBSTITUTE(SUBSTITUTE(SUBSTITUTE(SUBSTITUTE(TRIM(C252),"*",""),".",""),"-","")," ",""))=11,MID(SUBSTITUTE(SUBSTITUTE(SUBSTITUTE(SUBSTITUTE(TRIM(C252),"*",""),".",""),"-","")," ",""),4,6),SUBSTITUTE(SUBSTITUTE(SUBSTITUTE(SUBSTITUTE(TRIM(C252),"*",""),".",""),"-","")," ","")))</f>
        <v/>
      </c>
      <c r="J252" s="28" t="str">
        <f aca="false">IF(OR(H252="",I252=""),"",H252&amp;"|"&amp;I252)</f>
        <v/>
      </c>
      <c r="K252" s="19" t="str">
        <f aca="false">IF(H252="","",IF(AND(J252&lt;&gt;"",COUNTIF(Pessoas!$J:$J,J252)&gt;0),"SIM",IF(COUNTIF(Pessoas!$H:$H,H252)&gt;0,"nome igual em Pessoas: confira o CPF","")))</f>
        <v/>
      </c>
      <c r="L252" s="27"/>
      <c r="M252" s="5"/>
    </row>
    <row r="253" customFormat="false" ht="15" hidden="false" customHeight="false" outlineLevel="0" collapsed="false">
      <c r="A253" s="27"/>
      <c r="B253" s="5"/>
      <c r="C253" s="27"/>
      <c r="D253" s="18"/>
      <c r="E253" s="14"/>
      <c r="F253" s="18"/>
      <c r="G253" s="19" t="str">
        <f aca="false">IF(A253="","",IFERROR(INDEX(Empresas!$B:$B,MATCH(A253,Empresas!$A:$A,0))&amp;"","cadastre o CNPJ em Empresas"))</f>
        <v/>
      </c>
      <c r="H253" s="28" t="str">
        <f aca="false">IF(B253="","",SUBSTITUTE(SUBSTITUTE(SUBSTITUTE(SUBSTITUTE(SUBSTITUTE(SUBSTITUTE(SUBSTITUTE(SUBSTITUTE(SUBSTITUTE(SUBSTITUTE(SUBSTITUTE(SUBSTITUTE(SUBSTITUTE(UPPER(TRIM(B253)),"Á","A"),"À","A"),"Â","A"),"Ã","A"),"É","E"),"Ê","E"),"Í","I"),"Ó","O"),"Ô","O"),"Õ","O"),"Ú","U"),"Ü","U"),"Ç","C"))</f>
        <v/>
      </c>
      <c r="I253" s="28" t="str">
        <f aca="false">IF(C253="","",IF(LEN(SUBSTITUTE(SUBSTITUTE(SUBSTITUTE(SUBSTITUTE(TRIM(C253),"*",""),".",""),"-","")," ",""))=11,MID(SUBSTITUTE(SUBSTITUTE(SUBSTITUTE(SUBSTITUTE(TRIM(C253),"*",""),".",""),"-","")," ",""),4,6),SUBSTITUTE(SUBSTITUTE(SUBSTITUTE(SUBSTITUTE(TRIM(C253),"*",""),".",""),"-","")," ","")))</f>
        <v/>
      </c>
      <c r="J253" s="28" t="str">
        <f aca="false">IF(OR(H253="",I253=""),"",H253&amp;"|"&amp;I253)</f>
        <v/>
      </c>
      <c r="K253" s="19" t="str">
        <f aca="false">IF(H253="","",IF(AND(J253&lt;&gt;"",COUNTIF(Pessoas!$J:$J,J253)&gt;0),"SIM",IF(COUNTIF(Pessoas!$H:$H,H253)&gt;0,"nome igual em Pessoas: confira o CPF","")))</f>
        <v/>
      </c>
      <c r="L253" s="27"/>
      <c r="M253" s="5"/>
    </row>
    <row r="254" customFormat="false" ht="15" hidden="false" customHeight="false" outlineLevel="0" collapsed="false">
      <c r="A254" s="27"/>
      <c r="B254" s="5"/>
      <c r="C254" s="27"/>
      <c r="D254" s="18"/>
      <c r="E254" s="14"/>
      <c r="F254" s="18"/>
      <c r="G254" s="19" t="str">
        <f aca="false">IF(A254="","",IFERROR(INDEX(Empresas!$B:$B,MATCH(A254,Empresas!$A:$A,0))&amp;"","cadastre o CNPJ em Empresas"))</f>
        <v/>
      </c>
      <c r="H254" s="28" t="str">
        <f aca="false">IF(B254="","",SUBSTITUTE(SUBSTITUTE(SUBSTITUTE(SUBSTITUTE(SUBSTITUTE(SUBSTITUTE(SUBSTITUTE(SUBSTITUTE(SUBSTITUTE(SUBSTITUTE(SUBSTITUTE(SUBSTITUTE(SUBSTITUTE(UPPER(TRIM(B254)),"Á","A"),"À","A"),"Â","A"),"Ã","A"),"É","E"),"Ê","E"),"Í","I"),"Ó","O"),"Ô","O"),"Õ","O"),"Ú","U"),"Ü","U"),"Ç","C"))</f>
        <v/>
      </c>
      <c r="I254" s="28" t="str">
        <f aca="false">IF(C254="","",IF(LEN(SUBSTITUTE(SUBSTITUTE(SUBSTITUTE(SUBSTITUTE(TRIM(C254),"*",""),".",""),"-","")," ",""))=11,MID(SUBSTITUTE(SUBSTITUTE(SUBSTITUTE(SUBSTITUTE(TRIM(C254),"*",""),".",""),"-","")," ",""),4,6),SUBSTITUTE(SUBSTITUTE(SUBSTITUTE(SUBSTITUTE(TRIM(C254),"*",""),".",""),"-","")," ","")))</f>
        <v/>
      </c>
      <c r="J254" s="28" t="str">
        <f aca="false">IF(OR(H254="",I254=""),"",H254&amp;"|"&amp;I254)</f>
        <v/>
      </c>
      <c r="K254" s="19" t="str">
        <f aca="false">IF(H254="","",IF(AND(J254&lt;&gt;"",COUNTIF(Pessoas!$J:$J,J254)&gt;0),"SIM",IF(COUNTIF(Pessoas!$H:$H,H254)&gt;0,"nome igual em Pessoas: confira o CPF","")))</f>
        <v/>
      </c>
      <c r="L254" s="27"/>
      <c r="M254" s="5"/>
    </row>
    <row r="255" customFormat="false" ht="15" hidden="false" customHeight="false" outlineLevel="0" collapsed="false">
      <c r="A255" s="27"/>
      <c r="B255" s="5"/>
      <c r="C255" s="27"/>
      <c r="D255" s="18"/>
      <c r="E255" s="14"/>
      <c r="F255" s="18"/>
      <c r="G255" s="19" t="str">
        <f aca="false">IF(A255="","",IFERROR(INDEX(Empresas!$B:$B,MATCH(A255,Empresas!$A:$A,0))&amp;"","cadastre o CNPJ em Empresas"))</f>
        <v/>
      </c>
      <c r="H255" s="28" t="str">
        <f aca="false">IF(B255="","",SUBSTITUTE(SUBSTITUTE(SUBSTITUTE(SUBSTITUTE(SUBSTITUTE(SUBSTITUTE(SUBSTITUTE(SUBSTITUTE(SUBSTITUTE(SUBSTITUTE(SUBSTITUTE(SUBSTITUTE(SUBSTITUTE(UPPER(TRIM(B255)),"Á","A"),"À","A"),"Â","A"),"Ã","A"),"É","E"),"Ê","E"),"Í","I"),"Ó","O"),"Ô","O"),"Õ","O"),"Ú","U"),"Ü","U"),"Ç","C"))</f>
        <v/>
      </c>
      <c r="I255" s="28" t="str">
        <f aca="false">IF(C255="","",IF(LEN(SUBSTITUTE(SUBSTITUTE(SUBSTITUTE(SUBSTITUTE(TRIM(C255),"*",""),".",""),"-","")," ",""))=11,MID(SUBSTITUTE(SUBSTITUTE(SUBSTITUTE(SUBSTITUTE(TRIM(C255),"*",""),".",""),"-","")," ",""),4,6),SUBSTITUTE(SUBSTITUTE(SUBSTITUTE(SUBSTITUTE(TRIM(C255),"*",""),".",""),"-","")," ","")))</f>
        <v/>
      </c>
      <c r="J255" s="28" t="str">
        <f aca="false">IF(OR(H255="",I255=""),"",H255&amp;"|"&amp;I255)</f>
        <v/>
      </c>
      <c r="K255" s="19" t="str">
        <f aca="false">IF(H255="","",IF(AND(J255&lt;&gt;"",COUNTIF(Pessoas!$J:$J,J255)&gt;0),"SIM",IF(COUNTIF(Pessoas!$H:$H,H255)&gt;0,"nome igual em Pessoas: confira o CPF","")))</f>
        <v/>
      </c>
      <c r="L255" s="27"/>
      <c r="M255" s="5"/>
    </row>
    <row r="256" customFormat="false" ht="15" hidden="false" customHeight="false" outlineLevel="0" collapsed="false">
      <c r="A256" s="27"/>
      <c r="B256" s="5"/>
      <c r="C256" s="27"/>
      <c r="D256" s="18"/>
      <c r="E256" s="14"/>
      <c r="F256" s="18"/>
      <c r="G256" s="19" t="str">
        <f aca="false">IF(A256="","",IFERROR(INDEX(Empresas!$B:$B,MATCH(A256,Empresas!$A:$A,0))&amp;"","cadastre o CNPJ em Empresas"))</f>
        <v/>
      </c>
      <c r="H256" s="28" t="str">
        <f aca="false">IF(B256="","",SUBSTITUTE(SUBSTITUTE(SUBSTITUTE(SUBSTITUTE(SUBSTITUTE(SUBSTITUTE(SUBSTITUTE(SUBSTITUTE(SUBSTITUTE(SUBSTITUTE(SUBSTITUTE(SUBSTITUTE(SUBSTITUTE(UPPER(TRIM(B256)),"Á","A"),"À","A"),"Â","A"),"Ã","A"),"É","E"),"Ê","E"),"Í","I"),"Ó","O"),"Ô","O"),"Õ","O"),"Ú","U"),"Ü","U"),"Ç","C"))</f>
        <v/>
      </c>
      <c r="I256" s="28" t="str">
        <f aca="false">IF(C256="","",IF(LEN(SUBSTITUTE(SUBSTITUTE(SUBSTITUTE(SUBSTITUTE(TRIM(C256),"*",""),".",""),"-","")," ",""))=11,MID(SUBSTITUTE(SUBSTITUTE(SUBSTITUTE(SUBSTITUTE(TRIM(C256),"*",""),".",""),"-","")," ",""),4,6),SUBSTITUTE(SUBSTITUTE(SUBSTITUTE(SUBSTITUTE(TRIM(C256),"*",""),".",""),"-","")," ","")))</f>
        <v/>
      </c>
      <c r="J256" s="28" t="str">
        <f aca="false">IF(OR(H256="",I256=""),"",H256&amp;"|"&amp;I256)</f>
        <v/>
      </c>
      <c r="K256" s="19" t="str">
        <f aca="false">IF(H256="","",IF(AND(J256&lt;&gt;"",COUNTIF(Pessoas!$J:$J,J256)&gt;0),"SIM",IF(COUNTIF(Pessoas!$H:$H,H256)&gt;0,"nome igual em Pessoas: confira o CPF","")))</f>
        <v/>
      </c>
      <c r="L256" s="27"/>
      <c r="M256" s="5"/>
    </row>
    <row r="257" customFormat="false" ht="15" hidden="false" customHeight="false" outlineLevel="0" collapsed="false">
      <c r="A257" s="27"/>
      <c r="B257" s="5"/>
      <c r="C257" s="27"/>
      <c r="D257" s="18"/>
      <c r="E257" s="14"/>
      <c r="F257" s="18"/>
      <c r="G257" s="19" t="str">
        <f aca="false">IF(A257="","",IFERROR(INDEX(Empresas!$B:$B,MATCH(A257,Empresas!$A:$A,0))&amp;"","cadastre o CNPJ em Empresas"))</f>
        <v/>
      </c>
      <c r="H257" s="28" t="str">
        <f aca="false">IF(B257="","",SUBSTITUTE(SUBSTITUTE(SUBSTITUTE(SUBSTITUTE(SUBSTITUTE(SUBSTITUTE(SUBSTITUTE(SUBSTITUTE(SUBSTITUTE(SUBSTITUTE(SUBSTITUTE(SUBSTITUTE(SUBSTITUTE(UPPER(TRIM(B257)),"Á","A"),"À","A"),"Â","A"),"Ã","A"),"É","E"),"Ê","E"),"Í","I"),"Ó","O"),"Ô","O"),"Õ","O"),"Ú","U"),"Ü","U"),"Ç","C"))</f>
        <v/>
      </c>
      <c r="I257" s="28" t="str">
        <f aca="false">IF(C257="","",IF(LEN(SUBSTITUTE(SUBSTITUTE(SUBSTITUTE(SUBSTITUTE(TRIM(C257),"*",""),".",""),"-","")," ",""))=11,MID(SUBSTITUTE(SUBSTITUTE(SUBSTITUTE(SUBSTITUTE(TRIM(C257),"*",""),".",""),"-","")," ",""),4,6),SUBSTITUTE(SUBSTITUTE(SUBSTITUTE(SUBSTITUTE(TRIM(C257),"*",""),".",""),"-","")," ","")))</f>
        <v/>
      </c>
      <c r="J257" s="28" t="str">
        <f aca="false">IF(OR(H257="",I257=""),"",H257&amp;"|"&amp;I257)</f>
        <v/>
      </c>
      <c r="K257" s="19" t="str">
        <f aca="false">IF(H257="","",IF(AND(J257&lt;&gt;"",COUNTIF(Pessoas!$J:$J,J257)&gt;0),"SIM",IF(COUNTIF(Pessoas!$H:$H,H257)&gt;0,"nome igual em Pessoas: confira o CPF","")))</f>
        <v/>
      </c>
      <c r="L257" s="27"/>
      <c r="M257" s="5"/>
    </row>
    <row r="258" customFormat="false" ht="15" hidden="false" customHeight="false" outlineLevel="0" collapsed="false">
      <c r="A258" s="27"/>
      <c r="B258" s="5"/>
      <c r="C258" s="27"/>
      <c r="D258" s="18"/>
      <c r="E258" s="14"/>
      <c r="F258" s="18"/>
      <c r="G258" s="19" t="str">
        <f aca="false">IF(A258="","",IFERROR(INDEX(Empresas!$B:$B,MATCH(A258,Empresas!$A:$A,0))&amp;"","cadastre o CNPJ em Empresas"))</f>
        <v/>
      </c>
      <c r="H258" s="28" t="str">
        <f aca="false">IF(B258="","",SUBSTITUTE(SUBSTITUTE(SUBSTITUTE(SUBSTITUTE(SUBSTITUTE(SUBSTITUTE(SUBSTITUTE(SUBSTITUTE(SUBSTITUTE(SUBSTITUTE(SUBSTITUTE(SUBSTITUTE(SUBSTITUTE(UPPER(TRIM(B258)),"Á","A"),"À","A"),"Â","A"),"Ã","A"),"É","E"),"Ê","E"),"Í","I"),"Ó","O"),"Ô","O"),"Õ","O"),"Ú","U"),"Ü","U"),"Ç","C"))</f>
        <v/>
      </c>
      <c r="I258" s="28" t="str">
        <f aca="false">IF(C258="","",IF(LEN(SUBSTITUTE(SUBSTITUTE(SUBSTITUTE(SUBSTITUTE(TRIM(C258),"*",""),".",""),"-","")," ",""))=11,MID(SUBSTITUTE(SUBSTITUTE(SUBSTITUTE(SUBSTITUTE(TRIM(C258),"*",""),".",""),"-","")," ",""),4,6),SUBSTITUTE(SUBSTITUTE(SUBSTITUTE(SUBSTITUTE(TRIM(C258),"*",""),".",""),"-","")," ","")))</f>
        <v/>
      </c>
      <c r="J258" s="28" t="str">
        <f aca="false">IF(OR(H258="",I258=""),"",H258&amp;"|"&amp;I258)</f>
        <v/>
      </c>
      <c r="K258" s="19" t="str">
        <f aca="false">IF(H258="","",IF(AND(J258&lt;&gt;"",COUNTIF(Pessoas!$J:$J,J258)&gt;0),"SIM",IF(COUNTIF(Pessoas!$H:$H,H258)&gt;0,"nome igual em Pessoas: confira o CPF","")))</f>
        <v/>
      </c>
      <c r="L258" s="27"/>
      <c r="M258" s="5"/>
    </row>
    <row r="259" customFormat="false" ht="15" hidden="false" customHeight="false" outlineLevel="0" collapsed="false">
      <c r="A259" s="27"/>
      <c r="B259" s="5"/>
      <c r="C259" s="27"/>
      <c r="D259" s="18"/>
      <c r="E259" s="14"/>
      <c r="F259" s="18"/>
      <c r="G259" s="19" t="str">
        <f aca="false">IF(A259="","",IFERROR(INDEX(Empresas!$B:$B,MATCH(A259,Empresas!$A:$A,0))&amp;"","cadastre o CNPJ em Empresas"))</f>
        <v/>
      </c>
      <c r="H259" s="28" t="str">
        <f aca="false">IF(B259="","",SUBSTITUTE(SUBSTITUTE(SUBSTITUTE(SUBSTITUTE(SUBSTITUTE(SUBSTITUTE(SUBSTITUTE(SUBSTITUTE(SUBSTITUTE(SUBSTITUTE(SUBSTITUTE(SUBSTITUTE(SUBSTITUTE(UPPER(TRIM(B259)),"Á","A"),"À","A"),"Â","A"),"Ã","A"),"É","E"),"Ê","E"),"Í","I"),"Ó","O"),"Ô","O"),"Õ","O"),"Ú","U"),"Ü","U"),"Ç","C"))</f>
        <v/>
      </c>
      <c r="I259" s="28" t="str">
        <f aca="false">IF(C259="","",IF(LEN(SUBSTITUTE(SUBSTITUTE(SUBSTITUTE(SUBSTITUTE(TRIM(C259),"*",""),".",""),"-","")," ",""))=11,MID(SUBSTITUTE(SUBSTITUTE(SUBSTITUTE(SUBSTITUTE(TRIM(C259),"*",""),".",""),"-","")," ",""),4,6),SUBSTITUTE(SUBSTITUTE(SUBSTITUTE(SUBSTITUTE(TRIM(C259),"*",""),".",""),"-","")," ","")))</f>
        <v/>
      </c>
      <c r="J259" s="28" t="str">
        <f aca="false">IF(OR(H259="",I259=""),"",H259&amp;"|"&amp;I259)</f>
        <v/>
      </c>
      <c r="K259" s="19" t="str">
        <f aca="false">IF(H259="","",IF(AND(J259&lt;&gt;"",COUNTIF(Pessoas!$J:$J,J259)&gt;0),"SIM",IF(COUNTIF(Pessoas!$H:$H,H259)&gt;0,"nome igual em Pessoas: confira o CPF","")))</f>
        <v/>
      </c>
      <c r="L259" s="27"/>
      <c r="M259" s="5"/>
    </row>
    <row r="260" customFormat="false" ht="15" hidden="false" customHeight="false" outlineLevel="0" collapsed="false">
      <c r="A260" s="27"/>
      <c r="B260" s="5"/>
      <c r="C260" s="27"/>
      <c r="D260" s="18"/>
      <c r="E260" s="14"/>
      <c r="F260" s="18"/>
      <c r="G260" s="19" t="str">
        <f aca="false">IF(A260="","",IFERROR(INDEX(Empresas!$B:$B,MATCH(A260,Empresas!$A:$A,0))&amp;"","cadastre o CNPJ em Empresas"))</f>
        <v/>
      </c>
      <c r="H260" s="28" t="str">
        <f aca="false">IF(B260="","",SUBSTITUTE(SUBSTITUTE(SUBSTITUTE(SUBSTITUTE(SUBSTITUTE(SUBSTITUTE(SUBSTITUTE(SUBSTITUTE(SUBSTITUTE(SUBSTITUTE(SUBSTITUTE(SUBSTITUTE(SUBSTITUTE(UPPER(TRIM(B260)),"Á","A"),"À","A"),"Â","A"),"Ã","A"),"É","E"),"Ê","E"),"Í","I"),"Ó","O"),"Ô","O"),"Õ","O"),"Ú","U"),"Ü","U"),"Ç","C"))</f>
        <v/>
      </c>
      <c r="I260" s="28" t="str">
        <f aca="false">IF(C260="","",IF(LEN(SUBSTITUTE(SUBSTITUTE(SUBSTITUTE(SUBSTITUTE(TRIM(C260),"*",""),".",""),"-","")," ",""))=11,MID(SUBSTITUTE(SUBSTITUTE(SUBSTITUTE(SUBSTITUTE(TRIM(C260),"*",""),".",""),"-","")," ",""),4,6),SUBSTITUTE(SUBSTITUTE(SUBSTITUTE(SUBSTITUTE(TRIM(C260),"*",""),".",""),"-","")," ","")))</f>
        <v/>
      </c>
      <c r="J260" s="28" t="str">
        <f aca="false">IF(OR(H260="",I260=""),"",H260&amp;"|"&amp;I260)</f>
        <v/>
      </c>
      <c r="K260" s="19" t="str">
        <f aca="false">IF(H260="","",IF(AND(J260&lt;&gt;"",COUNTIF(Pessoas!$J:$J,J260)&gt;0),"SIM",IF(COUNTIF(Pessoas!$H:$H,H260)&gt;0,"nome igual em Pessoas: confira o CPF","")))</f>
        <v/>
      </c>
      <c r="L260" s="27"/>
      <c r="M260" s="5"/>
    </row>
    <row r="261" customFormat="false" ht="15" hidden="false" customHeight="false" outlineLevel="0" collapsed="false">
      <c r="A261" s="27"/>
      <c r="B261" s="5"/>
      <c r="C261" s="27"/>
      <c r="D261" s="18"/>
      <c r="E261" s="14"/>
      <c r="F261" s="18"/>
      <c r="G261" s="19" t="str">
        <f aca="false">IF(A261="","",IFERROR(INDEX(Empresas!$B:$B,MATCH(A261,Empresas!$A:$A,0))&amp;"","cadastre o CNPJ em Empresas"))</f>
        <v/>
      </c>
      <c r="H261" s="28" t="str">
        <f aca="false">IF(B261="","",SUBSTITUTE(SUBSTITUTE(SUBSTITUTE(SUBSTITUTE(SUBSTITUTE(SUBSTITUTE(SUBSTITUTE(SUBSTITUTE(SUBSTITUTE(SUBSTITUTE(SUBSTITUTE(SUBSTITUTE(SUBSTITUTE(UPPER(TRIM(B261)),"Á","A"),"À","A"),"Â","A"),"Ã","A"),"É","E"),"Ê","E"),"Í","I"),"Ó","O"),"Ô","O"),"Õ","O"),"Ú","U"),"Ü","U"),"Ç","C"))</f>
        <v/>
      </c>
      <c r="I261" s="28" t="str">
        <f aca="false">IF(C261="","",IF(LEN(SUBSTITUTE(SUBSTITUTE(SUBSTITUTE(SUBSTITUTE(TRIM(C261),"*",""),".",""),"-","")," ",""))=11,MID(SUBSTITUTE(SUBSTITUTE(SUBSTITUTE(SUBSTITUTE(TRIM(C261),"*",""),".",""),"-","")," ",""),4,6),SUBSTITUTE(SUBSTITUTE(SUBSTITUTE(SUBSTITUTE(TRIM(C261),"*",""),".",""),"-","")," ","")))</f>
        <v/>
      </c>
      <c r="J261" s="28" t="str">
        <f aca="false">IF(OR(H261="",I261=""),"",H261&amp;"|"&amp;I261)</f>
        <v/>
      </c>
      <c r="K261" s="19" t="str">
        <f aca="false">IF(H261="","",IF(AND(J261&lt;&gt;"",COUNTIF(Pessoas!$J:$J,J261)&gt;0),"SIM",IF(COUNTIF(Pessoas!$H:$H,H261)&gt;0,"nome igual em Pessoas: confira o CPF","")))</f>
        <v/>
      </c>
      <c r="L261" s="27"/>
      <c r="M261" s="5"/>
    </row>
    <row r="262" customFormat="false" ht="15" hidden="false" customHeight="false" outlineLevel="0" collapsed="false">
      <c r="A262" s="27"/>
      <c r="B262" s="5"/>
      <c r="C262" s="27"/>
      <c r="D262" s="18"/>
      <c r="E262" s="14"/>
      <c r="F262" s="18"/>
      <c r="G262" s="19" t="str">
        <f aca="false">IF(A262="","",IFERROR(INDEX(Empresas!$B:$B,MATCH(A262,Empresas!$A:$A,0))&amp;"","cadastre o CNPJ em Empresas"))</f>
        <v/>
      </c>
      <c r="H262" s="28" t="str">
        <f aca="false">IF(B262="","",SUBSTITUTE(SUBSTITUTE(SUBSTITUTE(SUBSTITUTE(SUBSTITUTE(SUBSTITUTE(SUBSTITUTE(SUBSTITUTE(SUBSTITUTE(SUBSTITUTE(SUBSTITUTE(SUBSTITUTE(SUBSTITUTE(UPPER(TRIM(B262)),"Á","A"),"À","A"),"Â","A"),"Ã","A"),"É","E"),"Ê","E"),"Í","I"),"Ó","O"),"Ô","O"),"Õ","O"),"Ú","U"),"Ü","U"),"Ç","C"))</f>
        <v/>
      </c>
      <c r="I262" s="28" t="str">
        <f aca="false">IF(C262="","",IF(LEN(SUBSTITUTE(SUBSTITUTE(SUBSTITUTE(SUBSTITUTE(TRIM(C262),"*",""),".",""),"-","")," ",""))=11,MID(SUBSTITUTE(SUBSTITUTE(SUBSTITUTE(SUBSTITUTE(TRIM(C262),"*",""),".",""),"-","")," ",""),4,6),SUBSTITUTE(SUBSTITUTE(SUBSTITUTE(SUBSTITUTE(TRIM(C262),"*",""),".",""),"-","")," ","")))</f>
        <v/>
      </c>
      <c r="J262" s="28" t="str">
        <f aca="false">IF(OR(H262="",I262=""),"",H262&amp;"|"&amp;I262)</f>
        <v/>
      </c>
      <c r="K262" s="19" t="str">
        <f aca="false">IF(H262="","",IF(AND(J262&lt;&gt;"",COUNTIF(Pessoas!$J:$J,J262)&gt;0),"SIM",IF(COUNTIF(Pessoas!$H:$H,H262)&gt;0,"nome igual em Pessoas: confira o CPF","")))</f>
        <v/>
      </c>
      <c r="L262" s="27"/>
      <c r="M262" s="5"/>
    </row>
    <row r="263" customFormat="false" ht="15" hidden="false" customHeight="false" outlineLevel="0" collapsed="false">
      <c r="A263" s="27"/>
      <c r="B263" s="5"/>
      <c r="C263" s="27"/>
      <c r="D263" s="18"/>
      <c r="E263" s="14"/>
      <c r="F263" s="18"/>
      <c r="G263" s="19" t="str">
        <f aca="false">IF(A263="","",IFERROR(INDEX(Empresas!$B:$B,MATCH(A263,Empresas!$A:$A,0))&amp;"","cadastre o CNPJ em Empresas"))</f>
        <v/>
      </c>
      <c r="H263" s="28" t="str">
        <f aca="false">IF(B263="","",SUBSTITUTE(SUBSTITUTE(SUBSTITUTE(SUBSTITUTE(SUBSTITUTE(SUBSTITUTE(SUBSTITUTE(SUBSTITUTE(SUBSTITUTE(SUBSTITUTE(SUBSTITUTE(SUBSTITUTE(SUBSTITUTE(UPPER(TRIM(B263)),"Á","A"),"À","A"),"Â","A"),"Ã","A"),"É","E"),"Ê","E"),"Í","I"),"Ó","O"),"Ô","O"),"Õ","O"),"Ú","U"),"Ü","U"),"Ç","C"))</f>
        <v/>
      </c>
      <c r="I263" s="28" t="str">
        <f aca="false">IF(C263="","",IF(LEN(SUBSTITUTE(SUBSTITUTE(SUBSTITUTE(SUBSTITUTE(TRIM(C263),"*",""),".",""),"-","")," ",""))=11,MID(SUBSTITUTE(SUBSTITUTE(SUBSTITUTE(SUBSTITUTE(TRIM(C263),"*",""),".",""),"-","")," ",""),4,6),SUBSTITUTE(SUBSTITUTE(SUBSTITUTE(SUBSTITUTE(TRIM(C263),"*",""),".",""),"-","")," ","")))</f>
        <v/>
      </c>
      <c r="J263" s="28" t="str">
        <f aca="false">IF(OR(H263="",I263=""),"",H263&amp;"|"&amp;I263)</f>
        <v/>
      </c>
      <c r="K263" s="19" t="str">
        <f aca="false">IF(H263="","",IF(AND(J263&lt;&gt;"",COUNTIF(Pessoas!$J:$J,J263)&gt;0),"SIM",IF(COUNTIF(Pessoas!$H:$H,H263)&gt;0,"nome igual em Pessoas: confira o CPF","")))</f>
        <v/>
      </c>
      <c r="L263" s="27"/>
      <c r="M263" s="5"/>
    </row>
    <row r="264" customFormat="false" ht="15" hidden="false" customHeight="false" outlineLevel="0" collapsed="false">
      <c r="A264" s="27"/>
      <c r="B264" s="5"/>
      <c r="C264" s="27"/>
      <c r="D264" s="18"/>
      <c r="E264" s="14"/>
      <c r="F264" s="18"/>
      <c r="G264" s="19" t="str">
        <f aca="false">IF(A264="","",IFERROR(INDEX(Empresas!$B:$B,MATCH(A264,Empresas!$A:$A,0))&amp;"","cadastre o CNPJ em Empresas"))</f>
        <v/>
      </c>
      <c r="H264" s="28" t="str">
        <f aca="false">IF(B264="","",SUBSTITUTE(SUBSTITUTE(SUBSTITUTE(SUBSTITUTE(SUBSTITUTE(SUBSTITUTE(SUBSTITUTE(SUBSTITUTE(SUBSTITUTE(SUBSTITUTE(SUBSTITUTE(SUBSTITUTE(SUBSTITUTE(UPPER(TRIM(B264)),"Á","A"),"À","A"),"Â","A"),"Ã","A"),"É","E"),"Ê","E"),"Í","I"),"Ó","O"),"Ô","O"),"Õ","O"),"Ú","U"),"Ü","U"),"Ç","C"))</f>
        <v/>
      </c>
      <c r="I264" s="28" t="str">
        <f aca="false">IF(C264="","",IF(LEN(SUBSTITUTE(SUBSTITUTE(SUBSTITUTE(SUBSTITUTE(TRIM(C264),"*",""),".",""),"-","")," ",""))=11,MID(SUBSTITUTE(SUBSTITUTE(SUBSTITUTE(SUBSTITUTE(TRIM(C264),"*",""),".",""),"-","")," ",""),4,6),SUBSTITUTE(SUBSTITUTE(SUBSTITUTE(SUBSTITUTE(TRIM(C264),"*",""),".",""),"-","")," ","")))</f>
        <v/>
      </c>
      <c r="J264" s="28" t="str">
        <f aca="false">IF(OR(H264="",I264=""),"",H264&amp;"|"&amp;I264)</f>
        <v/>
      </c>
      <c r="K264" s="19" t="str">
        <f aca="false">IF(H264="","",IF(AND(J264&lt;&gt;"",COUNTIF(Pessoas!$J:$J,J264)&gt;0),"SIM",IF(COUNTIF(Pessoas!$H:$H,H264)&gt;0,"nome igual em Pessoas: confira o CPF","")))</f>
        <v/>
      </c>
      <c r="L264" s="27"/>
      <c r="M264" s="5"/>
    </row>
    <row r="265" customFormat="false" ht="15" hidden="false" customHeight="false" outlineLevel="0" collapsed="false">
      <c r="A265" s="27"/>
      <c r="B265" s="5"/>
      <c r="C265" s="27"/>
      <c r="D265" s="18"/>
      <c r="E265" s="14"/>
      <c r="F265" s="18"/>
      <c r="G265" s="19" t="str">
        <f aca="false">IF(A265="","",IFERROR(INDEX(Empresas!$B:$B,MATCH(A265,Empresas!$A:$A,0))&amp;"","cadastre o CNPJ em Empresas"))</f>
        <v/>
      </c>
      <c r="H265" s="28" t="str">
        <f aca="false">IF(B265="","",SUBSTITUTE(SUBSTITUTE(SUBSTITUTE(SUBSTITUTE(SUBSTITUTE(SUBSTITUTE(SUBSTITUTE(SUBSTITUTE(SUBSTITUTE(SUBSTITUTE(SUBSTITUTE(SUBSTITUTE(SUBSTITUTE(UPPER(TRIM(B265)),"Á","A"),"À","A"),"Â","A"),"Ã","A"),"É","E"),"Ê","E"),"Í","I"),"Ó","O"),"Ô","O"),"Õ","O"),"Ú","U"),"Ü","U"),"Ç","C"))</f>
        <v/>
      </c>
      <c r="I265" s="28" t="str">
        <f aca="false">IF(C265="","",IF(LEN(SUBSTITUTE(SUBSTITUTE(SUBSTITUTE(SUBSTITUTE(TRIM(C265),"*",""),".",""),"-","")," ",""))=11,MID(SUBSTITUTE(SUBSTITUTE(SUBSTITUTE(SUBSTITUTE(TRIM(C265),"*",""),".",""),"-","")," ",""),4,6),SUBSTITUTE(SUBSTITUTE(SUBSTITUTE(SUBSTITUTE(TRIM(C265),"*",""),".",""),"-","")," ","")))</f>
        <v/>
      </c>
      <c r="J265" s="28" t="str">
        <f aca="false">IF(OR(H265="",I265=""),"",H265&amp;"|"&amp;I265)</f>
        <v/>
      </c>
      <c r="K265" s="19" t="str">
        <f aca="false">IF(H265="","",IF(AND(J265&lt;&gt;"",COUNTIF(Pessoas!$J:$J,J265)&gt;0),"SIM",IF(COUNTIF(Pessoas!$H:$H,H265)&gt;0,"nome igual em Pessoas: confira o CPF","")))</f>
        <v/>
      </c>
      <c r="L265" s="27"/>
      <c r="M265" s="5"/>
    </row>
    <row r="266" customFormat="false" ht="15" hidden="false" customHeight="false" outlineLevel="0" collapsed="false">
      <c r="A266" s="27"/>
      <c r="B266" s="5"/>
      <c r="C266" s="27"/>
      <c r="D266" s="18"/>
      <c r="E266" s="14"/>
      <c r="F266" s="18"/>
      <c r="G266" s="19" t="str">
        <f aca="false">IF(A266="","",IFERROR(INDEX(Empresas!$B:$B,MATCH(A266,Empresas!$A:$A,0))&amp;"","cadastre o CNPJ em Empresas"))</f>
        <v/>
      </c>
      <c r="H266" s="28" t="str">
        <f aca="false">IF(B266="","",SUBSTITUTE(SUBSTITUTE(SUBSTITUTE(SUBSTITUTE(SUBSTITUTE(SUBSTITUTE(SUBSTITUTE(SUBSTITUTE(SUBSTITUTE(SUBSTITUTE(SUBSTITUTE(SUBSTITUTE(SUBSTITUTE(UPPER(TRIM(B266)),"Á","A"),"À","A"),"Â","A"),"Ã","A"),"É","E"),"Ê","E"),"Í","I"),"Ó","O"),"Ô","O"),"Õ","O"),"Ú","U"),"Ü","U"),"Ç","C"))</f>
        <v/>
      </c>
      <c r="I266" s="28" t="str">
        <f aca="false">IF(C266="","",IF(LEN(SUBSTITUTE(SUBSTITUTE(SUBSTITUTE(SUBSTITUTE(TRIM(C266),"*",""),".",""),"-","")," ",""))=11,MID(SUBSTITUTE(SUBSTITUTE(SUBSTITUTE(SUBSTITUTE(TRIM(C266),"*",""),".",""),"-","")," ",""),4,6),SUBSTITUTE(SUBSTITUTE(SUBSTITUTE(SUBSTITUTE(TRIM(C266),"*",""),".",""),"-","")," ","")))</f>
        <v/>
      </c>
      <c r="J266" s="28" t="str">
        <f aca="false">IF(OR(H266="",I266=""),"",H266&amp;"|"&amp;I266)</f>
        <v/>
      </c>
      <c r="K266" s="19" t="str">
        <f aca="false">IF(H266="","",IF(AND(J266&lt;&gt;"",COUNTIF(Pessoas!$J:$J,J266)&gt;0),"SIM",IF(COUNTIF(Pessoas!$H:$H,H266)&gt;0,"nome igual em Pessoas: confira o CPF","")))</f>
        <v/>
      </c>
      <c r="L266" s="27"/>
      <c r="M266" s="5"/>
    </row>
    <row r="267" customFormat="false" ht="15" hidden="false" customHeight="false" outlineLevel="0" collapsed="false">
      <c r="A267" s="27"/>
      <c r="B267" s="5"/>
      <c r="C267" s="27"/>
      <c r="D267" s="18"/>
      <c r="E267" s="14"/>
      <c r="F267" s="18"/>
      <c r="G267" s="19" t="str">
        <f aca="false">IF(A267="","",IFERROR(INDEX(Empresas!$B:$B,MATCH(A267,Empresas!$A:$A,0))&amp;"","cadastre o CNPJ em Empresas"))</f>
        <v/>
      </c>
      <c r="H267" s="28" t="str">
        <f aca="false">IF(B267="","",SUBSTITUTE(SUBSTITUTE(SUBSTITUTE(SUBSTITUTE(SUBSTITUTE(SUBSTITUTE(SUBSTITUTE(SUBSTITUTE(SUBSTITUTE(SUBSTITUTE(SUBSTITUTE(SUBSTITUTE(SUBSTITUTE(UPPER(TRIM(B267)),"Á","A"),"À","A"),"Â","A"),"Ã","A"),"É","E"),"Ê","E"),"Í","I"),"Ó","O"),"Ô","O"),"Õ","O"),"Ú","U"),"Ü","U"),"Ç","C"))</f>
        <v/>
      </c>
      <c r="I267" s="28" t="str">
        <f aca="false">IF(C267="","",IF(LEN(SUBSTITUTE(SUBSTITUTE(SUBSTITUTE(SUBSTITUTE(TRIM(C267),"*",""),".",""),"-","")," ",""))=11,MID(SUBSTITUTE(SUBSTITUTE(SUBSTITUTE(SUBSTITUTE(TRIM(C267),"*",""),".",""),"-","")," ",""),4,6),SUBSTITUTE(SUBSTITUTE(SUBSTITUTE(SUBSTITUTE(TRIM(C267),"*",""),".",""),"-","")," ","")))</f>
        <v/>
      </c>
      <c r="J267" s="28" t="str">
        <f aca="false">IF(OR(H267="",I267=""),"",H267&amp;"|"&amp;I267)</f>
        <v/>
      </c>
      <c r="K267" s="19" t="str">
        <f aca="false">IF(H267="","",IF(AND(J267&lt;&gt;"",COUNTIF(Pessoas!$J:$J,J267)&gt;0),"SIM",IF(COUNTIF(Pessoas!$H:$H,H267)&gt;0,"nome igual em Pessoas: confira o CPF","")))</f>
        <v/>
      </c>
      <c r="L267" s="27"/>
      <c r="M267" s="5"/>
    </row>
    <row r="268" customFormat="false" ht="15" hidden="false" customHeight="false" outlineLevel="0" collapsed="false">
      <c r="A268" s="27"/>
      <c r="B268" s="5"/>
      <c r="C268" s="27"/>
      <c r="D268" s="18"/>
      <c r="E268" s="14"/>
      <c r="F268" s="18"/>
      <c r="G268" s="19" t="str">
        <f aca="false">IF(A268="","",IFERROR(INDEX(Empresas!$B:$B,MATCH(A268,Empresas!$A:$A,0))&amp;"","cadastre o CNPJ em Empresas"))</f>
        <v/>
      </c>
      <c r="H268" s="28" t="str">
        <f aca="false">IF(B268="","",SUBSTITUTE(SUBSTITUTE(SUBSTITUTE(SUBSTITUTE(SUBSTITUTE(SUBSTITUTE(SUBSTITUTE(SUBSTITUTE(SUBSTITUTE(SUBSTITUTE(SUBSTITUTE(SUBSTITUTE(SUBSTITUTE(UPPER(TRIM(B268)),"Á","A"),"À","A"),"Â","A"),"Ã","A"),"É","E"),"Ê","E"),"Í","I"),"Ó","O"),"Ô","O"),"Õ","O"),"Ú","U"),"Ü","U"),"Ç","C"))</f>
        <v/>
      </c>
      <c r="I268" s="28" t="str">
        <f aca="false">IF(C268="","",IF(LEN(SUBSTITUTE(SUBSTITUTE(SUBSTITUTE(SUBSTITUTE(TRIM(C268),"*",""),".",""),"-","")," ",""))=11,MID(SUBSTITUTE(SUBSTITUTE(SUBSTITUTE(SUBSTITUTE(TRIM(C268),"*",""),".",""),"-","")," ",""),4,6),SUBSTITUTE(SUBSTITUTE(SUBSTITUTE(SUBSTITUTE(TRIM(C268),"*",""),".",""),"-","")," ","")))</f>
        <v/>
      </c>
      <c r="J268" s="28" t="str">
        <f aca="false">IF(OR(H268="",I268=""),"",H268&amp;"|"&amp;I268)</f>
        <v/>
      </c>
      <c r="K268" s="19" t="str">
        <f aca="false">IF(H268="","",IF(AND(J268&lt;&gt;"",COUNTIF(Pessoas!$J:$J,J268)&gt;0),"SIM",IF(COUNTIF(Pessoas!$H:$H,H268)&gt;0,"nome igual em Pessoas: confira o CPF","")))</f>
        <v/>
      </c>
      <c r="L268" s="27"/>
      <c r="M268" s="5"/>
    </row>
    <row r="269" customFormat="false" ht="15" hidden="false" customHeight="false" outlineLevel="0" collapsed="false">
      <c r="A269" s="27"/>
      <c r="B269" s="5"/>
      <c r="C269" s="27"/>
      <c r="D269" s="18"/>
      <c r="E269" s="14"/>
      <c r="F269" s="18"/>
      <c r="G269" s="19" t="str">
        <f aca="false">IF(A269="","",IFERROR(INDEX(Empresas!$B:$B,MATCH(A269,Empresas!$A:$A,0))&amp;"","cadastre o CNPJ em Empresas"))</f>
        <v/>
      </c>
      <c r="H269" s="28" t="str">
        <f aca="false">IF(B269="","",SUBSTITUTE(SUBSTITUTE(SUBSTITUTE(SUBSTITUTE(SUBSTITUTE(SUBSTITUTE(SUBSTITUTE(SUBSTITUTE(SUBSTITUTE(SUBSTITUTE(SUBSTITUTE(SUBSTITUTE(SUBSTITUTE(UPPER(TRIM(B269)),"Á","A"),"À","A"),"Â","A"),"Ã","A"),"É","E"),"Ê","E"),"Í","I"),"Ó","O"),"Ô","O"),"Õ","O"),"Ú","U"),"Ü","U"),"Ç","C"))</f>
        <v/>
      </c>
      <c r="I269" s="28" t="str">
        <f aca="false">IF(C269="","",IF(LEN(SUBSTITUTE(SUBSTITUTE(SUBSTITUTE(SUBSTITUTE(TRIM(C269),"*",""),".",""),"-","")," ",""))=11,MID(SUBSTITUTE(SUBSTITUTE(SUBSTITUTE(SUBSTITUTE(TRIM(C269),"*",""),".",""),"-","")," ",""),4,6),SUBSTITUTE(SUBSTITUTE(SUBSTITUTE(SUBSTITUTE(TRIM(C269),"*",""),".",""),"-","")," ","")))</f>
        <v/>
      </c>
      <c r="J269" s="28" t="str">
        <f aca="false">IF(OR(H269="",I269=""),"",H269&amp;"|"&amp;I269)</f>
        <v/>
      </c>
      <c r="K269" s="19" t="str">
        <f aca="false">IF(H269="","",IF(AND(J269&lt;&gt;"",COUNTIF(Pessoas!$J:$J,J269)&gt;0),"SIM",IF(COUNTIF(Pessoas!$H:$H,H269)&gt;0,"nome igual em Pessoas: confira o CPF","")))</f>
        <v/>
      </c>
      <c r="L269" s="27"/>
      <c r="M269" s="5"/>
    </row>
    <row r="270" customFormat="false" ht="15" hidden="false" customHeight="false" outlineLevel="0" collapsed="false">
      <c r="A270" s="27"/>
      <c r="B270" s="5"/>
      <c r="C270" s="27"/>
      <c r="D270" s="18"/>
      <c r="E270" s="14"/>
      <c r="F270" s="18"/>
      <c r="G270" s="19" t="str">
        <f aca="false">IF(A270="","",IFERROR(INDEX(Empresas!$B:$B,MATCH(A270,Empresas!$A:$A,0))&amp;"","cadastre o CNPJ em Empresas"))</f>
        <v/>
      </c>
      <c r="H270" s="28" t="str">
        <f aca="false">IF(B270="","",SUBSTITUTE(SUBSTITUTE(SUBSTITUTE(SUBSTITUTE(SUBSTITUTE(SUBSTITUTE(SUBSTITUTE(SUBSTITUTE(SUBSTITUTE(SUBSTITUTE(SUBSTITUTE(SUBSTITUTE(SUBSTITUTE(UPPER(TRIM(B270)),"Á","A"),"À","A"),"Â","A"),"Ã","A"),"É","E"),"Ê","E"),"Í","I"),"Ó","O"),"Ô","O"),"Õ","O"),"Ú","U"),"Ü","U"),"Ç","C"))</f>
        <v/>
      </c>
      <c r="I270" s="28" t="str">
        <f aca="false">IF(C270="","",IF(LEN(SUBSTITUTE(SUBSTITUTE(SUBSTITUTE(SUBSTITUTE(TRIM(C270),"*",""),".",""),"-","")," ",""))=11,MID(SUBSTITUTE(SUBSTITUTE(SUBSTITUTE(SUBSTITUTE(TRIM(C270),"*",""),".",""),"-","")," ",""),4,6),SUBSTITUTE(SUBSTITUTE(SUBSTITUTE(SUBSTITUTE(TRIM(C270),"*",""),".",""),"-","")," ","")))</f>
        <v/>
      </c>
      <c r="J270" s="28" t="str">
        <f aca="false">IF(OR(H270="",I270=""),"",H270&amp;"|"&amp;I270)</f>
        <v/>
      </c>
      <c r="K270" s="19" t="str">
        <f aca="false">IF(H270="","",IF(AND(J270&lt;&gt;"",COUNTIF(Pessoas!$J:$J,J270)&gt;0),"SIM",IF(COUNTIF(Pessoas!$H:$H,H270)&gt;0,"nome igual em Pessoas: confira o CPF","")))</f>
        <v/>
      </c>
      <c r="L270" s="27"/>
      <c r="M270" s="5"/>
    </row>
    <row r="271" customFormat="false" ht="15" hidden="false" customHeight="false" outlineLevel="0" collapsed="false">
      <c r="A271" s="27"/>
      <c r="B271" s="5"/>
      <c r="C271" s="27"/>
      <c r="D271" s="18"/>
      <c r="E271" s="14"/>
      <c r="F271" s="18"/>
      <c r="G271" s="19" t="str">
        <f aca="false">IF(A271="","",IFERROR(INDEX(Empresas!$B:$B,MATCH(A271,Empresas!$A:$A,0))&amp;"","cadastre o CNPJ em Empresas"))</f>
        <v/>
      </c>
      <c r="H271" s="28" t="str">
        <f aca="false">IF(B271="","",SUBSTITUTE(SUBSTITUTE(SUBSTITUTE(SUBSTITUTE(SUBSTITUTE(SUBSTITUTE(SUBSTITUTE(SUBSTITUTE(SUBSTITUTE(SUBSTITUTE(SUBSTITUTE(SUBSTITUTE(SUBSTITUTE(UPPER(TRIM(B271)),"Á","A"),"À","A"),"Â","A"),"Ã","A"),"É","E"),"Ê","E"),"Í","I"),"Ó","O"),"Ô","O"),"Õ","O"),"Ú","U"),"Ü","U"),"Ç","C"))</f>
        <v/>
      </c>
      <c r="I271" s="28" t="str">
        <f aca="false">IF(C271="","",IF(LEN(SUBSTITUTE(SUBSTITUTE(SUBSTITUTE(SUBSTITUTE(TRIM(C271),"*",""),".",""),"-","")," ",""))=11,MID(SUBSTITUTE(SUBSTITUTE(SUBSTITUTE(SUBSTITUTE(TRIM(C271),"*",""),".",""),"-","")," ",""),4,6),SUBSTITUTE(SUBSTITUTE(SUBSTITUTE(SUBSTITUTE(TRIM(C271),"*",""),".",""),"-","")," ","")))</f>
        <v/>
      </c>
      <c r="J271" s="28" t="str">
        <f aca="false">IF(OR(H271="",I271=""),"",H271&amp;"|"&amp;I271)</f>
        <v/>
      </c>
      <c r="K271" s="19" t="str">
        <f aca="false">IF(H271="","",IF(AND(J271&lt;&gt;"",COUNTIF(Pessoas!$J:$J,J271)&gt;0),"SIM",IF(COUNTIF(Pessoas!$H:$H,H271)&gt;0,"nome igual em Pessoas: confira o CPF","")))</f>
        <v/>
      </c>
      <c r="L271" s="27"/>
      <c r="M271" s="5"/>
    </row>
    <row r="272" customFormat="false" ht="15" hidden="false" customHeight="false" outlineLevel="0" collapsed="false">
      <c r="A272" s="27"/>
      <c r="B272" s="5"/>
      <c r="C272" s="27"/>
      <c r="D272" s="18"/>
      <c r="E272" s="14"/>
      <c r="F272" s="18"/>
      <c r="G272" s="19" t="str">
        <f aca="false">IF(A272="","",IFERROR(INDEX(Empresas!$B:$B,MATCH(A272,Empresas!$A:$A,0))&amp;"","cadastre o CNPJ em Empresas"))</f>
        <v/>
      </c>
      <c r="H272" s="28" t="str">
        <f aca="false">IF(B272="","",SUBSTITUTE(SUBSTITUTE(SUBSTITUTE(SUBSTITUTE(SUBSTITUTE(SUBSTITUTE(SUBSTITUTE(SUBSTITUTE(SUBSTITUTE(SUBSTITUTE(SUBSTITUTE(SUBSTITUTE(SUBSTITUTE(UPPER(TRIM(B272)),"Á","A"),"À","A"),"Â","A"),"Ã","A"),"É","E"),"Ê","E"),"Í","I"),"Ó","O"),"Ô","O"),"Õ","O"),"Ú","U"),"Ü","U"),"Ç","C"))</f>
        <v/>
      </c>
      <c r="I272" s="28" t="str">
        <f aca="false">IF(C272="","",IF(LEN(SUBSTITUTE(SUBSTITUTE(SUBSTITUTE(SUBSTITUTE(TRIM(C272),"*",""),".",""),"-","")," ",""))=11,MID(SUBSTITUTE(SUBSTITUTE(SUBSTITUTE(SUBSTITUTE(TRIM(C272),"*",""),".",""),"-","")," ",""),4,6),SUBSTITUTE(SUBSTITUTE(SUBSTITUTE(SUBSTITUTE(TRIM(C272),"*",""),".",""),"-","")," ","")))</f>
        <v/>
      </c>
      <c r="J272" s="28" t="str">
        <f aca="false">IF(OR(H272="",I272=""),"",H272&amp;"|"&amp;I272)</f>
        <v/>
      </c>
      <c r="K272" s="19" t="str">
        <f aca="false">IF(H272="","",IF(AND(J272&lt;&gt;"",COUNTIF(Pessoas!$J:$J,J272)&gt;0),"SIM",IF(COUNTIF(Pessoas!$H:$H,H272)&gt;0,"nome igual em Pessoas: confira o CPF","")))</f>
        <v/>
      </c>
      <c r="L272" s="27"/>
      <c r="M272" s="5"/>
    </row>
    <row r="273" customFormat="false" ht="15" hidden="false" customHeight="false" outlineLevel="0" collapsed="false">
      <c r="A273" s="27"/>
      <c r="B273" s="5"/>
      <c r="C273" s="27"/>
      <c r="D273" s="18"/>
      <c r="E273" s="14"/>
      <c r="F273" s="18"/>
      <c r="G273" s="19" t="str">
        <f aca="false">IF(A273="","",IFERROR(INDEX(Empresas!$B:$B,MATCH(A273,Empresas!$A:$A,0))&amp;"","cadastre o CNPJ em Empresas"))</f>
        <v/>
      </c>
      <c r="H273" s="28" t="str">
        <f aca="false">IF(B273="","",SUBSTITUTE(SUBSTITUTE(SUBSTITUTE(SUBSTITUTE(SUBSTITUTE(SUBSTITUTE(SUBSTITUTE(SUBSTITUTE(SUBSTITUTE(SUBSTITUTE(SUBSTITUTE(SUBSTITUTE(SUBSTITUTE(UPPER(TRIM(B273)),"Á","A"),"À","A"),"Â","A"),"Ã","A"),"É","E"),"Ê","E"),"Í","I"),"Ó","O"),"Ô","O"),"Õ","O"),"Ú","U"),"Ü","U"),"Ç","C"))</f>
        <v/>
      </c>
      <c r="I273" s="28" t="str">
        <f aca="false">IF(C273="","",IF(LEN(SUBSTITUTE(SUBSTITUTE(SUBSTITUTE(SUBSTITUTE(TRIM(C273),"*",""),".",""),"-","")," ",""))=11,MID(SUBSTITUTE(SUBSTITUTE(SUBSTITUTE(SUBSTITUTE(TRIM(C273),"*",""),".",""),"-","")," ",""),4,6),SUBSTITUTE(SUBSTITUTE(SUBSTITUTE(SUBSTITUTE(TRIM(C273),"*",""),".",""),"-","")," ","")))</f>
        <v/>
      </c>
      <c r="J273" s="28" t="str">
        <f aca="false">IF(OR(H273="",I273=""),"",H273&amp;"|"&amp;I273)</f>
        <v/>
      </c>
      <c r="K273" s="19" t="str">
        <f aca="false">IF(H273="","",IF(AND(J273&lt;&gt;"",COUNTIF(Pessoas!$J:$J,J273)&gt;0),"SIM",IF(COUNTIF(Pessoas!$H:$H,H273)&gt;0,"nome igual em Pessoas: confira o CPF","")))</f>
        <v/>
      </c>
      <c r="L273" s="27"/>
      <c r="M273" s="5"/>
    </row>
    <row r="274" customFormat="false" ht="15" hidden="false" customHeight="false" outlineLevel="0" collapsed="false">
      <c r="A274" s="27"/>
      <c r="B274" s="5"/>
      <c r="C274" s="27"/>
      <c r="D274" s="18"/>
      <c r="E274" s="14"/>
      <c r="F274" s="18"/>
      <c r="G274" s="19" t="str">
        <f aca="false">IF(A274="","",IFERROR(INDEX(Empresas!$B:$B,MATCH(A274,Empresas!$A:$A,0))&amp;"","cadastre o CNPJ em Empresas"))</f>
        <v/>
      </c>
      <c r="H274" s="28" t="str">
        <f aca="false">IF(B274="","",SUBSTITUTE(SUBSTITUTE(SUBSTITUTE(SUBSTITUTE(SUBSTITUTE(SUBSTITUTE(SUBSTITUTE(SUBSTITUTE(SUBSTITUTE(SUBSTITUTE(SUBSTITUTE(SUBSTITUTE(SUBSTITUTE(UPPER(TRIM(B274)),"Á","A"),"À","A"),"Â","A"),"Ã","A"),"É","E"),"Ê","E"),"Í","I"),"Ó","O"),"Ô","O"),"Õ","O"),"Ú","U"),"Ü","U"),"Ç","C"))</f>
        <v/>
      </c>
      <c r="I274" s="28" t="str">
        <f aca="false">IF(C274="","",IF(LEN(SUBSTITUTE(SUBSTITUTE(SUBSTITUTE(SUBSTITUTE(TRIM(C274),"*",""),".",""),"-","")," ",""))=11,MID(SUBSTITUTE(SUBSTITUTE(SUBSTITUTE(SUBSTITUTE(TRIM(C274),"*",""),".",""),"-","")," ",""),4,6),SUBSTITUTE(SUBSTITUTE(SUBSTITUTE(SUBSTITUTE(TRIM(C274),"*",""),".",""),"-","")," ","")))</f>
        <v/>
      </c>
      <c r="J274" s="28" t="str">
        <f aca="false">IF(OR(H274="",I274=""),"",H274&amp;"|"&amp;I274)</f>
        <v/>
      </c>
      <c r="K274" s="19" t="str">
        <f aca="false">IF(H274="","",IF(AND(J274&lt;&gt;"",COUNTIF(Pessoas!$J:$J,J274)&gt;0),"SIM",IF(COUNTIF(Pessoas!$H:$H,H274)&gt;0,"nome igual em Pessoas: confira o CPF","")))</f>
        <v/>
      </c>
      <c r="L274" s="27"/>
      <c r="M274" s="5"/>
    </row>
    <row r="275" customFormat="false" ht="15" hidden="false" customHeight="false" outlineLevel="0" collapsed="false">
      <c r="A275" s="27"/>
      <c r="B275" s="5"/>
      <c r="C275" s="27"/>
      <c r="D275" s="18"/>
      <c r="E275" s="14"/>
      <c r="F275" s="18"/>
      <c r="G275" s="19" t="str">
        <f aca="false">IF(A275="","",IFERROR(INDEX(Empresas!$B:$B,MATCH(A275,Empresas!$A:$A,0))&amp;"","cadastre o CNPJ em Empresas"))</f>
        <v/>
      </c>
      <c r="H275" s="28" t="str">
        <f aca="false">IF(B275="","",SUBSTITUTE(SUBSTITUTE(SUBSTITUTE(SUBSTITUTE(SUBSTITUTE(SUBSTITUTE(SUBSTITUTE(SUBSTITUTE(SUBSTITUTE(SUBSTITUTE(SUBSTITUTE(SUBSTITUTE(SUBSTITUTE(UPPER(TRIM(B275)),"Á","A"),"À","A"),"Â","A"),"Ã","A"),"É","E"),"Ê","E"),"Í","I"),"Ó","O"),"Ô","O"),"Õ","O"),"Ú","U"),"Ü","U"),"Ç","C"))</f>
        <v/>
      </c>
      <c r="I275" s="28" t="str">
        <f aca="false">IF(C275="","",IF(LEN(SUBSTITUTE(SUBSTITUTE(SUBSTITUTE(SUBSTITUTE(TRIM(C275),"*",""),".",""),"-","")," ",""))=11,MID(SUBSTITUTE(SUBSTITUTE(SUBSTITUTE(SUBSTITUTE(TRIM(C275),"*",""),".",""),"-","")," ",""),4,6),SUBSTITUTE(SUBSTITUTE(SUBSTITUTE(SUBSTITUTE(TRIM(C275),"*",""),".",""),"-","")," ","")))</f>
        <v/>
      </c>
      <c r="J275" s="28" t="str">
        <f aca="false">IF(OR(H275="",I275=""),"",H275&amp;"|"&amp;I275)</f>
        <v/>
      </c>
      <c r="K275" s="19" t="str">
        <f aca="false">IF(H275="","",IF(AND(J275&lt;&gt;"",COUNTIF(Pessoas!$J:$J,J275)&gt;0),"SIM",IF(COUNTIF(Pessoas!$H:$H,H275)&gt;0,"nome igual em Pessoas: confira o CPF","")))</f>
        <v/>
      </c>
      <c r="L275" s="27"/>
      <c r="M275" s="5"/>
    </row>
    <row r="276" customFormat="false" ht="15" hidden="false" customHeight="false" outlineLevel="0" collapsed="false">
      <c r="A276" s="27"/>
      <c r="B276" s="5"/>
      <c r="C276" s="27"/>
      <c r="D276" s="18"/>
      <c r="E276" s="14"/>
      <c r="F276" s="18"/>
      <c r="G276" s="19" t="str">
        <f aca="false">IF(A276="","",IFERROR(INDEX(Empresas!$B:$B,MATCH(A276,Empresas!$A:$A,0))&amp;"","cadastre o CNPJ em Empresas"))</f>
        <v/>
      </c>
      <c r="H276" s="28" t="str">
        <f aca="false">IF(B276="","",SUBSTITUTE(SUBSTITUTE(SUBSTITUTE(SUBSTITUTE(SUBSTITUTE(SUBSTITUTE(SUBSTITUTE(SUBSTITUTE(SUBSTITUTE(SUBSTITUTE(SUBSTITUTE(SUBSTITUTE(SUBSTITUTE(UPPER(TRIM(B276)),"Á","A"),"À","A"),"Â","A"),"Ã","A"),"É","E"),"Ê","E"),"Í","I"),"Ó","O"),"Ô","O"),"Õ","O"),"Ú","U"),"Ü","U"),"Ç","C"))</f>
        <v/>
      </c>
      <c r="I276" s="28" t="str">
        <f aca="false">IF(C276="","",IF(LEN(SUBSTITUTE(SUBSTITUTE(SUBSTITUTE(SUBSTITUTE(TRIM(C276),"*",""),".",""),"-","")," ",""))=11,MID(SUBSTITUTE(SUBSTITUTE(SUBSTITUTE(SUBSTITUTE(TRIM(C276),"*",""),".",""),"-","")," ",""),4,6),SUBSTITUTE(SUBSTITUTE(SUBSTITUTE(SUBSTITUTE(TRIM(C276),"*",""),".",""),"-","")," ","")))</f>
        <v/>
      </c>
      <c r="J276" s="28" t="str">
        <f aca="false">IF(OR(H276="",I276=""),"",H276&amp;"|"&amp;I276)</f>
        <v/>
      </c>
      <c r="K276" s="19" t="str">
        <f aca="false">IF(H276="","",IF(AND(J276&lt;&gt;"",COUNTIF(Pessoas!$J:$J,J276)&gt;0),"SIM",IF(COUNTIF(Pessoas!$H:$H,H276)&gt;0,"nome igual em Pessoas: confira o CPF","")))</f>
        <v/>
      </c>
      <c r="L276" s="27"/>
      <c r="M276" s="5"/>
    </row>
    <row r="277" customFormat="false" ht="15" hidden="false" customHeight="false" outlineLevel="0" collapsed="false">
      <c r="A277" s="27"/>
      <c r="B277" s="5"/>
      <c r="C277" s="27"/>
      <c r="D277" s="18"/>
      <c r="E277" s="14"/>
      <c r="F277" s="18"/>
      <c r="G277" s="19" t="str">
        <f aca="false">IF(A277="","",IFERROR(INDEX(Empresas!$B:$B,MATCH(A277,Empresas!$A:$A,0))&amp;"","cadastre o CNPJ em Empresas"))</f>
        <v/>
      </c>
      <c r="H277" s="28" t="str">
        <f aca="false">IF(B277="","",SUBSTITUTE(SUBSTITUTE(SUBSTITUTE(SUBSTITUTE(SUBSTITUTE(SUBSTITUTE(SUBSTITUTE(SUBSTITUTE(SUBSTITUTE(SUBSTITUTE(SUBSTITUTE(SUBSTITUTE(SUBSTITUTE(UPPER(TRIM(B277)),"Á","A"),"À","A"),"Â","A"),"Ã","A"),"É","E"),"Ê","E"),"Í","I"),"Ó","O"),"Ô","O"),"Õ","O"),"Ú","U"),"Ü","U"),"Ç","C"))</f>
        <v/>
      </c>
      <c r="I277" s="28" t="str">
        <f aca="false">IF(C277="","",IF(LEN(SUBSTITUTE(SUBSTITUTE(SUBSTITUTE(SUBSTITUTE(TRIM(C277),"*",""),".",""),"-","")," ",""))=11,MID(SUBSTITUTE(SUBSTITUTE(SUBSTITUTE(SUBSTITUTE(TRIM(C277),"*",""),".",""),"-","")," ",""),4,6),SUBSTITUTE(SUBSTITUTE(SUBSTITUTE(SUBSTITUTE(TRIM(C277),"*",""),".",""),"-","")," ","")))</f>
        <v/>
      </c>
      <c r="J277" s="28" t="str">
        <f aca="false">IF(OR(H277="",I277=""),"",H277&amp;"|"&amp;I277)</f>
        <v/>
      </c>
      <c r="K277" s="19" t="str">
        <f aca="false">IF(H277="","",IF(AND(J277&lt;&gt;"",COUNTIF(Pessoas!$J:$J,J277)&gt;0),"SIM",IF(COUNTIF(Pessoas!$H:$H,H277)&gt;0,"nome igual em Pessoas: confira o CPF","")))</f>
        <v/>
      </c>
      <c r="L277" s="27"/>
      <c r="M277" s="5"/>
    </row>
    <row r="278" customFormat="false" ht="15" hidden="false" customHeight="false" outlineLevel="0" collapsed="false">
      <c r="A278" s="27"/>
      <c r="B278" s="5"/>
      <c r="C278" s="27"/>
      <c r="D278" s="18"/>
      <c r="E278" s="14"/>
      <c r="F278" s="18"/>
      <c r="G278" s="19" t="str">
        <f aca="false">IF(A278="","",IFERROR(INDEX(Empresas!$B:$B,MATCH(A278,Empresas!$A:$A,0))&amp;"","cadastre o CNPJ em Empresas"))</f>
        <v/>
      </c>
      <c r="H278" s="28" t="str">
        <f aca="false">IF(B278="","",SUBSTITUTE(SUBSTITUTE(SUBSTITUTE(SUBSTITUTE(SUBSTITUTE(SUBSTITUTE(SUBSTITUTE(SUBSTITUTE(SUBSTITUTE(SUBSTITUTE(SUBSTITUTE(SUBSTITUTE(SUBSTITUTE(UPPER(TRIM(B278)),"Á","A"),"À","A"),"Â","A"),"Ã","A"),"É","E"),"Ê","E"),"Í","I"),"Ó","O"),"Ô","O"),"Õ","O"),"Ú","U"),"Ü","U"),"Ç","C"))</f>
        <v/>
      </c>
      <c r="I278" s="28" t="str">
        <f aca="false">IF(C278="","",IF(LEN(SUBSTITUTE(SUBSTITUTE(SUBSTITUTE(SUBSTITUTE(TRIM(C278),"*",""),".",""),"-","")," ",""))=11,MID(SUBSTITUTE(SUBSTITUTE(SUBSTITUTE(SUBSTITUTE(TRIM(C278),"*",""),".",""),"-","")," ",""),4,6),SUBSTITUTE(SUBSTITUTE(SUBSTITUTE(SUBSTITUTE(TRIM(C278),"*",""),".",""),"-","")," ","")))</f>
        <v/>
      </c>
      <c r="J278" s="28" t="str">
        <f aca="false">IF(OR(H278="",I278=""),"",H278&amp;"|"&amp;I278)</f>
        <v/>
      </c>
      <c r="K278" s="19" t="str">
        <f aca="false">IF(H278="","",IF(AND(J278&lt;&gt;"",COUNTIF(Pessoas!$J:$J,J278)&gt;0),"SIM",IF(COUNTIF(Pessoas!$H:$H,H278)&gt;0,"nome igual em Pessoas: confira o CPF","")))</f>
        <v/>
      </c>
      <c r="L278" s="27"/>
      <c r="M278" s="5"/>
    </row>
    <row r="279" customFormat="false" ht="15" hidden="false" customHeight="false" outlineLevel="0" collapsed="false">
      <c r="A279" s="27"/>
      <c r="B279" s="5"/>
      <c r="C279" s="27"/>
      <c r="D279" s="18"/>
      <c r="E279" s="14"/>
      <c r="F279" s="18"/>
      <c r="G279" s="19" t="str">
        <f aca="false">IF(A279="","",IFERROR(INDEX(Empresas!$B:$B,MATCH(A279,Empresas!$A:$A,0))&amp;"","cadastre o CNPJ em Empresas"))</f>
        <v/>
      </c>
      <c r="H279" s="28" t="str">
        <f aca="false">IF(B279="","",SUBSTITUTE(SUBSTITUTE(SUBSTITUTE(SUBSTITUTE(SUBSTITUTE(SUBSTITUTE(SUBSTITUTE(SUBSTITUTE(SUBSTITUTE(SUBSTITUTE(SUBSTITUTE(SUBSTITUTE(SUBSTITUTE(UPPER(TRIM(B279)),"Á","A"),"À","A"),"Â","A"),"Ã","A"),"É","E"),"Ê","E"),"Í","I"),"Ó","O"),"Ô","O"),"Õ","O"),"Ú","U"),"Ü","U"),"Ç","C"))</f>
        <v/>
      </c>
      <c r="I279" s="28" t="str">
        <f aca="false">IF(C279="","",IF(LEN(SUBSTITUTE(SUBSTITUTE(SUBSTITUTE(SUBSTITUTE(TRIM(C279),"*",""),".",""),"-","")," ",""))=11,MID(SUBSTITUTE(SUBSTITUTE(SUBSTITUTE(SUBSTITUTE(TRIM(C279),"*",""),".",""),"-","")," ",""),4,6),SUBSTITUTE(SUBSTITUTE(SUBSTITUTE(SUBSTITUTE(TRIM(C279),"*",""),".",""),"-","")," ","")))</f>
        <v/>
      </c>
      <c r="J279" s="28" t="str">
        <f aca="false">IF(OR(H279="",I279=""),"",H279&amp;"|"&amp;I279)</f>
        <v/>
      </c>
      <c r="K279" s="19" t="str">
        <f aca="false">IF(H279="","",IF(AND(J279&lt;&gt;"",COUNTIF(Pessoas!$J:$J,J279)&gt;0),"SIM",IF(COUNTIF(Pessoas!$H:$H,H279)&gt;0,"nome igual em Pessoas: confira o CPF","")))</f>
        <v/>
      </c>
      <c r="L279" s="27"/>
      <c r="M279" s="5"/>
    </row>
    <row r="280" customFormat="false" ht="15" hidden="false" customHeight="false" outlineLevel="0" collapsed="false">
      <c r="A280" s="27"/>
      <c r="B280" s="5"/>
      <c r="C280" s="27"/>
      <c r="D280" s="18"/>
      <c r="E280" s="14"/>
      <c r="F280" s="18"/>
      <c r="G280" s="19" t="str">
        <f aca="false">IF(A280="","",IFERROR(INDEX(Empresas!$B:$B,MATCH(A280,Empresas!$A:$A,0))&amp;"","cadastre o CNPJ em Empresas"))</f>
        <v/>
      </c>
      <c r="H280" s="28" t="str">
        <f aca="false">IF(B280="","",SUBSTITUTE(SUBSTITUTE(SUBSTITUTE(SUBSTITUTE(SUBSTITUTE(SUBSTITUTE(SUBSTITUTE(SUBSTITUTE(SUBSTITUTE(SUBSTITUTE(SUBSTITUTE(SUBSTITUTE(SUBSTITUTE(UPPER(TRIM(B280)),"Á","A"),"À","A"),"Â","A"),"Ã","A"),"É","E"),"Ê","E"),"Í","I"),"Ó","O"),"Ô","O"),"Õ","O"),"Ú","U"),"Ü","U"),"Ç","C"))</f>
        <v/>
      </c>
      <c r="I280" s="28" t="str">
        <f aca="false">IF(C280="","",IF(LEN(SUBSTITUTE(SUBSTITUTE(SUBSTITUTE(SUBSTITUTE(TRIM(C280),"*",""),".",""),"-","")," ",""))=11,MID(SUBSTITUTE(SUBSTITUTE(SUBSTITUTE(SUBSTITUTE(TRIM(C280),"*",""),".",""),"-","")," ",""),4,6),SUBSTITUTE(SUBSTITUTE(SUBSTITUTE(SUBSTITUTE(TRIM(C280),"*",""),".",""),"-","")," ","")))</f>
        <v/>
      </c>
      <c r="J280" s="28" t="str">
        <f aca="false">IF(OR(H280="",I280=""),"",H280&amp;"|"&amp;I280)</f>
        <v/>
      </c>
      <c r="K280" s="19" t="str">
        <f aca="false">IF(H280="","",IF(AND(J280&lt;&gt;"",COUNTIF(Pessoas!$J:$J,J280)&gt;0),"SIM",IF(COUNTIF(Pessoas!$H:$H,H280)&gt;0,"nome igual em Pessoas: confira o CPF","")))</f>
        <v/>
      </c>
      <c r="L280" s="27"/>
      <c r="M280" s="5"/>
    </row>
    <row r="281" customFormat="false" ht="15" hidden="false" customHeight="false" outlineLevel="0" collapsed="false">
      <c r="A281" s="27"/>
      <c r="B281" s="5"/>
      <c r="C281" s="27"/>
      <c r="D281" s="18"/>
      <c r="E281" s="14"/>
      <c r="F281" s="18"/>
      <c r="G281" s="19" t="str">
        <f aca="false">IF(A281="","",IFERROR(INDEX(Empresas!$B:$B,MATCH(A281,Empresas!$A:$A,0))&amp;"","cadastre o CNPJ em Empresas"))</f>
        <v/>
      </c>
      <c r="H281" s="28" t="str">
        <f aca="false">IF(B281="","",SUBSTITUTE(SUBSTITUTE(SUBSTITUTE(SUBSTITUTE(SUBSTITUTE(SUBSTITUTE(SUBSTITUTE(SUBSTITUTE(SUBSTITUTE(SUBSTITUTE(SUBSTITUTE(SUBSTITUTE(SUBSTITUTE(UPPER(TRIM(B281)),"Á","A"),"À","A"),"Â","A"),"Ã","A"),"É","E"),"Ê","E"),"Í","I"),"Ó","O"),"Ô","O"),"Õ","O"),"Ú","U"),"Ü","U"),"Ç","C"))</f>
        <v/>
      </c>
      <c r="I281" s="28" t="str">
        <f aca="false">IF(C281="","",IF(LEN(SUBSTITUTE(SUBSTITUTE(SUBSTITUTE(SUBSTITUTE(TRIM(C281),"*",""),".",""),"-","")," ",""))=11,MID(SUBSTITUTE(SUBSTITUTE(SUBSTITUTE(SUBSTITUTE(TRIM(C281),"*",""),".",""),"-","")," ",""),4,6),SUBSTITUTE(SUBSTITUTE(SUBSTITUTE(SUBSTITUTE(TRIM(C281),"*",""),".",""),"-","")," ","")))</f>
        <v/>
      </c>
      <c r="J281" s="28" t="str">
        <f aca="false">IF(OR(H281="",I281=""),"",H281&amp;"|"&amp;I281)</f>
        <v/>
      </c>
      <c r="K281" s="19" t="str">
        <f aca="false">IF(H281="","",IF(AND(J281&lt;&gt;"",COUNTIF(Pessoas!$J:$J,J281)&gt;0),"SIM",IF(COUNTIF(Pessoas!$H:$H,H281)&gt;0,"nome igual em Pessoas: confira o CPF","")))</f>
        <v/>
      </c>
      <c r="L281" s="27"/>
      <c r="M281" s="5"/>
    </row>
    <row r="282" customFormat="false" ht="15" hidden="false" customHeight="false" outlineLevel="0" collapsed="false">
      <c r="A282" s="27"/>
      <c r="B282" s="5"/>
      <c r="C282" s="27"/>
      <c r="D282" s="18"/>
      <c r="E282" s="14"/>
      <c r="F282" s="18"/>
      <c r="G282" s="19" t="str">
        <f aca="false">IF(A282="","",IFERROR(INDEX(Empresas!$B:$B,MATCH(A282,Empresas!$A:$A,0))&amp;"","cadastre o CNPJ em Empresas"))</f>
        <v/>
      </c>
      <c r="H282" s="28" t="str">
        <f aca="false">IF(B282="","",SUBSTITUTE(SUBSTITUTE(SUBSTITUTE(SUBSTITUTE(SUBSTITUTE(SUBSTITUTE(SUBSTITUTE(SUBSTITUTE(SUBSTITUTE(SUBSTITUTE(SUBSTITUTE(SUBSTITUTE(SUBSTITUTE(UPPER(TRIM(B282)),"Á","A"),"À","A"),"Â","A"),"Ã","A"),"É","E"),"Ê","E"),"Í","I"),"Ó","O"),"Ô","O"),"Õ","O"),"Ú","U"),"Ü","U"),"Ç","C"))</f>
        <v/>
      </c>
      <c r="I282" s="28" t="str">
        <f aca="false">IF(C282="","",IF(LEN(SUBSTITUTE(SUBSTITUTE(SUBSTITUTE(SUBSTITUTE(TRIM(C282),"*",""),".",""),"-","")," ",""))=11,MID(SUBSTITUTE(SUBSTITUTE(SUBSTITUTE(SUBSTITUTE(TRIM(C282),"*",""),".",""),"-","")," ",""),4,6),SUBSTITUTE(SUBSTITUTE(SUBSTITUTE(SUBSTITUTE(TRIM(C282),"*",""),".",""),"-","")," ","")))</f>
        <v/>
      </c>
      <c r="J282" s="28" t="str">
        <f aca="false">IF(OR(H282="",I282=""),"",H282&amp;"|"&amp;I282)</f>
        <v/>
      </c>
      <c r="K282" s="19" t="str">
        <f aca="false">IF(H282="","",IF(AND(J282&lt;&gt;"",COUNTIF(Pessoas!$J:$J,J282)&gt;0),"SIM",IF(COUNTIF(Pessoas!$H:$H,H282)&gt;0,"nome igual em Pessoas: confira o CPF","")))</f>
        <v/>
      </c>
      <c r="L282" s="27"/>
      <c r="M282" s="5"/>
    </row>
    <row r="283" customFormat="false" ht="15" hidden="false" customHeight="false" outlineLevel="0" collapsed="false">
      <c r="A283" s="27"/>
      <c r="B283" s="5"/>
      <c r="C283" s="27"/>
      <c r="D283" s="18"/>
      <c r="E283" s="14"/>
      <c r="F283" s="18"/>
      <c r="G283" s="19" t="str">
        <f aca="false">IF(A283="","",IFERROR(INDEX(Empresas!$B:$B,MATCH(A283,Empresas!$A:$A,0))&amp;"","cadastre o CNPJ em Empresas"))</f>
        <v/>
      </c>
      <c r="H283" s="28" t="str">
        <f aca="false">IF(B283="","",SUBSTITUTE(SUBSTITUTE(SUBSTITUTE(SUBSTITUTE(SUBSTITUTE(SUBSTITUTE(SUBSTITUTE(SUBSTITUTE(SUBSTITUTE(SUBSTITUTE(SUBSTITUTE(SUBSTITUTE(SUBSTITUTE(UPPER(TRIM(B283)),"Á","A"),"À","A"),"Â","A"),"Ã","A"),"É","E"),"Ê","E"),"Í","I"),"Ó","O"),"Ô","O"),"Õ","O"),"Ú","U"),"Ü","U"),"Ç","C"))</f>
        <v/>
      </c>
      <c r="I283" s="28" t="str">
        <f aca="false">IF(C283="","",IF(LEN(SUBSTITUTE(SUBSTITUTE(SUBSTITUTE(SUBSTITUTE(TRIM(C283),"*",""),".",""),"-","")," ",""))=11,MID(SUBSTITUTE(SUBSTITUTE(SUBSTITUTE(SUBSTITUTE(TRIM(C283),"*",""),".",""),"-","")," ",""),4,6),SUBSTITUTE(SUBSTITUTE(SUBSTITUTE(SUBSTITUTE(TRIM(C283),"*",""),".",""),"-","")," ","")))</f>
        <v/>
      </c>
      <c r="J283" s="28" t="str">
        <f aca="false">IF(OR(H283="",I283=""),"",H283&amp;"|"&amp;I283)</f>
        <v/>
      </c>
      <c r="K283" s="19" t="str">
        <f aca="false">IF(H283="","",IF(AND(J283&lt;&gt;"",COUNTIF(Pessoas!$J:$J,J283)&gt;0),"SIM",IF(COUNTIF(Pessoas!$H:$H,H283)&gt;0,"nome igual em Pessoas: confira o CPF","")))</f>
        <v/>
      </c>
      <c r="L283" s="27"/>
      <c r="M283" s="5"/>
    </row>
    <row r="284" customFormat="false" ht="15" hidden="false" customHeight="false" outlineLevel="0" collapsed="false">
      <c r="A284" s="27"/>
      <c r="B284" s="5"/>
      <c r="C284" s="27"/>
      <c r="D284" s="18"/>
      <c r="E284" s="14"/>
      <c r="F284" s="18"/>
      <c r="G284" s="19" t="str">
        <f aca="false">IF(A284="","",IFERROR(INDEX(Empresas!$B:$B,MATCH(A284,Empresas!$A:$A,0))&amp;"","cadastre o CNPJ em Empresas"))</f>
        <v/>
      </c>
      <c r="H284" s="28" t="str">
        <f aca="false">IF(B284="","",SUBSTITUTE(SUBSTITUTE(SUBSTITUTE(SUBSTITUTE(SUBSTITUTE(SUBSTITUTE(SUBSTITUTE(SUBSTITUTE(SUBSTITUTE(SUBSTITUTE(SUBSTITUTE(SUBSTITUTE(SUBSTITUTE(UPPER(TRIM(B284)),"Á","A"),"À","A"),"Â","A"),"Ã","A"),"É","E"),"Ê","E"),"Í","I"),"Ó","O"),"Ô","O"),"Õ","O"),"Ú","U"),"Ü","U"),"Ç","C"))</f>
        <v/>
      </c>
      <c r="I284" s="28" t="str">
        <f aca="false">IF(C284="","",IF(LEN(SUBSTITUTE(SUBSTITUTE(SUBSTITUTE(SUBSTITUTE(TRIM(C284),"*",""),".",""),"-","")," ",""))=11,MID(SUBSTITUTE(SUBSTITUTE(SUBSTITUTE(SUBSTITUTE(TRIM(C284),"*",""),".",""),"-","")," ",""),4,6),SUBSTITUTE(SUBSTITUTE(SUBSTITUTE(SUBSTITUTE(TRIM(C284),"*",""),".",""),"-","")," ","")))</f>
        <v/>
      </c>
      <c r="J284" s="28" t="str">
        <f aca="false">IF(OR(H284="",I284=""),"",H284&amp;"|"&amp;I284)</f>
        <v/>
      </c>
      <c r="K284" s="19" t="str">
        <f aca="false">IF(H284="","",IF(AND(J284&lt;&gt;"",COUNTIF(Pessoas!$J:$J,J284)&gt;0),"SIM",IF(COUNTIF(Pessoas!$H:$H,H284)&gt;0,"nome igual em Pessoas: confira o CPF","")))</f>
        <v/>
      </c>
      <c r="L284" s="27"/>
      <c r="M284" s="5"/>
    </row>
    <row r="285" customFormat="false" ht="15" hidden="false" customHeight="false" outlineLevel="0" collapsed="false">
      <c r="A285" s="27"/>
      <c r="B285" s="5"/>
      <c r="C285" s="27"/>
      <c r="D285" s="18"/>
      <c r="E285" s="14"/>
      <c r="F285" s="18"/>
      <c r="G285" s="19" t="str">
        <f aca="false">IF(A285="","",IFERROR(INDEX(Empresas!$B:$B,MATCH(A285,Empresas!$A:$A,0))&amp;"","cadastre o CNPJ em Empresas"))</f>
        <v/>
      </c>
      <c r="H285" s="28" t="str">
        <f aca="false">IF(B285="","",SUBSTITUTE(SUBSTITUTE(SUBSTITUTE(SUBSTITUTE(SUBSTITUTE(SUBSTITUTE(SUBSTITUTE(SUBSTITUTE(SUBSTITUTE(SUBSTITUTE(SUBSTITUTE(SUBSTITUTE(SUBSTITUTE(UPPER(TRIM(B285)),"Á","A"),"À","A"),"Â","A"),"Ã","A"),"É","E"),"Ê","E"),"Í","I"),"Ó","O"),"Ô","O"),"Õ","O"),"Ú","U"),"Ü","U"),"Ç","C"))</f>
        <v/>
      </c>
      <c r="I285" s="28" t="str">
        <f aca="false">IF(C285="","",IF(LEN(SUBSTITUTE(SUBSTITUTE(SUBSTITUTE(SUBSTITUTE(TRIM(C285),"*",""),".",""),"-","")," ",""))=11,MID(SUBSTITUTE(SUBSTITUTE(SUBSTITUTE(SUBSTITUTE(TRIM(C285),"*",""),".",""),"-","")," ",""),4,6),SUBSTITUTE(SUBSTITUTE(SUBSTITUTE(SUBSTITUTE(TRIM(C285),"*",""),".",""),"-","")," ","")))</f>
        <v/>
      </c>
      <c r="J285" s="28" t="str">
        <f aca="false">IF(OR(H285="",I285=""),"",H285&amp;"|"&amp;I285)</f>
        <v/>
      </c>
      <c r="K285" s="19" t="str">
        <f aca="false">IF(H285="","",IF(AND(J285&lt;&gt;"",COUNTIF(Pessoas!$J:$J,J285)&gt;0),"SIM",IF(COUNTIF(Pessoas!$H:$H,H285)&gt;0,"nome igual em Pessoas: confira o CPF","")))</f>
        <v/>
      </c>
      <c r="L285" s="27"/>
      <c r="M285" s="5"/>
    </row>
    <row r="286" customFormat="false" ht="15" hidden="false" customHeight="false" outlineLevel="0" collapsed="false">
      <c r="A286" s="27"/>
      <c r="B286" s="5"/>
      <c r="C286" s="27"/>
      <c r="D286" s="18"/>
      <c r="E286" s="14"/>
      <c r="F286" s="18"/>
      <c r="G286" s="19" t="str">
        <f aca="false">IF(A286="","",IFERROR(INDEX(Empresas!$B:$B,MATCH(A286,Empresas!$A:$A,0))&amp;"","cadastre o CNPJ em Empresas"))</f>
        <v/>
      </c>
      <c r="H286" s="28" t="str">
        <f aca="false">IF(B286="","",SUBSTITUTE(SUBSTITUTE(SUBSTITUTE(SUBSTITUTE(SUBSTITUTE(SUBSTITUTE(SUBSTITUTE(SUBSTITUTE(SUBSTITUTE(SUBSTITUTE(SUBSTITUTE(SUBSTITUTE(SUBSTITUTE(UPPER(TRIM(B286)),"Á","A"),"À","A"),"Â","A"),"Ã","A"),"É","E"),"Ê","E"),"Í","I"),"Ó","O"),"Ô","O"),"Õ","O"),"Ú","U"),"Ü","U"),"Ç","C"))</f>
        <v/>
      </c>
      <c r="I286" s="28" t="str">
        <f aca="false">IF(C286="","",IF(LEN(SUBSTITUTE(SUBSTITUTE(SUBSTITUTE(SUBSTITUTE(TRIM(C286),"*",""),".",""),"-","")," ",""))=11,MID(SUBSTITUTE(SUBSTITUTE(SUBSTITUTE(SUBSTITUTE(TRIM(C286),"*",""),".",""),"-","")," ",""),4,6),SUBSTITUTE(SUBSTITUTE(SUBSTITUTE(SUBSTITUTE(TRIM(C286),"*",""),".",""),"-","")," ","")))</f>
        <v/>
      </c>
      <c r="J286" s="28" t="str">
        <f aca="false">IF(OR(H286="",I286=""),"",H286&amp;"|"&amp;I286)</f>
        <v/>
      </c>
      <c r="K286" s="19" t="str">
        <f aca="false">IF(H286="","",IF(AND(J286&lt;&gt;"",COUNTIF(Pessoas!$J:$J,J286)&gt;0),"SIM",IF(COUNTIF(Pessoas!$H:$H,H286)&gt;0,"nome igual em Pessoas: confira o CPF","")))</f>
        <v/>
      </c>
      <c r="L286" s="27"/>
      <c r="M286" s="5"/>
    </row>
    <row r="287" customFormat="false" ht="15" hidden="false" customHeight="false" outlineLevel="0" collapsed="false">
      <c r="A287" s="27"/>
      <c r="B287" s="5"/>
      <c r="C287" s="27"/>
      <c r="D287" s="18"/>
      <c r="E287" s="14"/>
      <c r="F287" s="18"/>
      <c r="G287" s="19" t="str">
        <f aca="false">IF(A287="","",IFERROR(INDEX(Empresas!$B:$B,MATCH(A287,Empresas!$A:$A,0))&amp;"","cadastre o CNPJ em Empresas"))</f>
        <v/>
      </c>
      <c r="H287" s="28" t="str">
        <f aca="false">IF(B287="","",SUBSTITUTE(SUBSTITUTE(SUBSTITUTE(SUBSTITUTE(SUBSTITUTE(SUBSTITUTE(SUBSTITUTE(SUBSTITUTE(SUBSTITUTE(SUBSTITUTE(SUBSTITUTE(SUBSTITUTE(SUBSTITUTE(UPPER(TRIM(B287)),"Á","A"),"À","A"),"Â","A"),"Ã","A"),"É","E"),"Ê","E"),"Í","I"),"Ó","O"),"Ô","O"),"Õ","O"),"Ú","U"),"Ü","U"),"Ç","C"))</f>
        <v/>
      </c>
      <c r="I287" s="28" t="str">
        <f aca="false">IF(C287="","",IF(LEN(SUBSTITUTE(SUBSTITUTE(SUBSTITUTE(SUBSTITUTE(TRIM(C287),"*",""),".",""),"-","")," ",""))=11,MID(SUBSTITUTE(SUBSTITUTE(SUBSTITUTE(SUBSTITUTE(TRIM(C287),"*",""),".",""),"-","")," ",""),4,6),SUBSTITUTE(SUBSTITUTE(SUBSTITUTE(SUBSTITUTE(TRIM(C287),"*",""),".",""),"-","")," ","")))</f>
        <v/>
      </c>
      <c r="J287" s="28" t="str">
        <f aca="false">IF(OR(H287="",I287=""),"",H287&amp;"|"&amp;I287)</f>
        <v/>
      </c>
      <c r="K287" s="19" t="str">
        <f aca="false">IF(H287="","",IF(AND(J287&lt;&gt;"",COUNTIF(Pessoas!$J:$J,J287)&gt;0),"SIM",IF(COUNTIF(Pessoas!$H:$H,H287)&gt;0,"nome igual em Pessoas: confira o CPF","")))</f>
        <v/>
      </c>
      <c r="L287" s="27"/>
      <c r="M287" s="5"/>
    </row>
    <row r="288" customFormat="false" ht="15" hidden="false" customHeight="false" outlineLevel="0" collapsed="false">
      <c r="A288" s="27"/>
      <c r="B288" s="5"/>
      <c r="C288" s="27"/>
      <c r="D288" s="18"/>
      <c r="E288" s="14"/>
      <c r="F288" s="18"/>
      <c r="G288" s="19" t="str">
        <f aca="false">IF(A288="","",IFERROR(INDEX(Empresas!$B:$B,MATCH(A288,Empresas!$A:$A,0))&amp;"","cadastre o CNPJ em Empresas"))</f>
        <v/>
      </c>
      <c r="H288" s="28" t="str">
        <f aca="false">IF(B288="","",SUBSTITUTE(SUBSTITUTE(SUBSTITUTE(SUBSTITUTE(SUBSTITUTE(SUBSTITUTE(SUBSTITUTE(SUBSTITUTE(SUBSTITUTE(SUBSTITUTE(SUBSTITUTE(SUBSTITUTE(SUBSTITUTE(UPPER(TRIM(B288)),"Á","A"),"À","A"),"Â","A"),"Ã","A"),"É","E"),"Ê","E"),"Í","I"),"Ó","O"),"Ô","O"),"Õ","O"),"Ú","U"),"Ü","U"),"Ç","C"))</f>
        <v/>
      </c>
      <c r="I288" s="28" t="str">
        <f aca="false">IF(C288="","",IF(LEN(SUBSTITUTE(SUBSTITUTE(SUBSTITUTE(SUBSTITUTE(TRIM(C288),"*",""),".",""),"-","")," ",""))=11,MID(SUBSTITUTE(SUBSTITUTE(SUBSTITUTE(SUBSTITUTE(TRIM(C288),"*",""),".",""),"-","")," ",""),4,6),SUBSTITUTE(SUBSTITUTE(SUBSTITUTE(SUBSTITUTE(TRIM(C288),"*",""),".",""),"-","")," ","")))</f>
        <v/>
      </c>
      <c r="J288" s="28" t="str">
        <f aca="false">IF(OR(H288="",I288=""),"",H288&amp;"|"&amp;I288)</f>
        <v/>
      </c>
      <c r="K288" s="19" t="str">
        <f aca="false">IF(H288="","",IF(AND(J288&lt;&gt;"",COUNTIF(Pessoas!$J:$J,J288)&gt;0),"SIM",IF(COUNTIF(Pessoas!$H:$H,H288)&gt;0,"nome igual em Pessoas: confira o CPF","")))</f>
        <v/>
      </c>
      <c r="L288" s="27"/>
      <c r="M288" s="5"/>
    </row>
    <row r="289" customFormat="false" ht="15" hidden="false" customHeight="false" outlineLevel="0" collapsed="false">
      <c r="A289" s="27"/>
      <c r="B289" s="5"/>
      <c r="C289" s="27"/>
      <c r="D289" s="18"/>
      <c r="E289" s="14"/>
      <c r="F289" s="18"/>
      <c r="G289" s="19" t="str">
        <f aca="false">IF(A289="","",IFERROR(INDEX(Empresas!$B:$B,MATCH(A289,Empresas!$A:$A,0))&amp;"","cadastre o CNPJ em Empresas"))</f>
        <v/>
      </c>
      <c r="H289" s="28" t="str">
        <f aca="false">IF(B289="","",SUBSTITUTE(SUBSTITUTE(SUBSTITUTE(SUBSTITUTE(SUBSTITUTE(SUBSTITUTE(SUBSTITUTE(SUBSTITUTE(SUBSTITUTE(SUBSTITUTE(SUBSTITUTE(SUBSTITUTE(SUBSTITUTE(UPPER(TRIM(B289)),"Á","A"),"À","A"),"Â","A"),"Ã","A"),"É","E"),"Ê","E"),"Í","I"),"Ó","O"),"Ô","O"),"Õ","O"),"Ú","U"),"Ü","U"),"Ç","C"))</f>
        <v/>
      </c>
      <c r="I289" s="28" t="str">
        <f aca="false">IF(C289="","",IF(LEN(SUBSTITUTE(SUBSTITUTE(SUBSTITUTE(SUBSTITUTE(TRIM(C289),"*",""),".",""),"-","")," ",""))=11,MID(SUBSTITUTE(SUBSTITUTE(SUBSTITUTE(SUBSTITUTE(TRIM(C289),"*",""),".",""),"-","")," ",""),4,6),SUBSTITUTE(SUBSTITUTE(SUBSTITUTE(SUBSTITUTE(TRIM(C289),"*",""),".",""),"-","")," ","")))</f>
        <v/>
      </c>
      <c r="J289" s="28" t="str">
        <f aca="false">IF(OR(H289="",I289=""),"",H289&amp;"|"&amp;I289)</f>
        <v/>
      </c>
      <c r="K289" s="19" t="str">
        <f aca="false">IF(H289="","",IF(AND(J289&lt;&gt;"",COUNTIF(Pessoas!$J:$J,J289)&gt;0),"SIM",IF(COUNTIF(Pessoas!$H:$H,H289)&gt;0,"nome igual em Pessoas: confira o CPF","")))</f>
        <v/>
      </c>
      <c r="L289" s="27"/>
      <c r="M289" s="5"/>
    </row>
    <row r="290" customFormat="false" ht="15" hidden="false" customHeight="false" outlineLevel="0" collapsed="false">
      <c r="A290" s="27"/>
      <c r="B290" s="5"/>
      <c r="C290" s="27"/>
      <c r="D290" s="18"/>
      <c r="E290" s="14"/>
      <c r="F290" s="18"/>
      <c r="G290" s="19" t="str">
        <f aca="false">IF(A290="","",IFERROR(INDEX(Empresas!$B:$B,MATCH(A290,Empresas!$A:$A,0))&amp;"","cadastre o CNPJ em Empresas"))</f>
        <v/>
      </c>
      <c r="H290" s="28" t="str">
        <f aca="false">IF(B290="","",SUBSTITUTE(SUBSTITUTE(SUBSTITUTE(SUBSTITUTE(SUBSTITUTE(SUBSTITUTE(SUBSTITUTE(SUBSTITUTE(SUBSTITUTE(SUBSTITUTE(SUBSTITUTE(SUBSTITUTE(SUBSTITUTE(UPPER(TRIM(B290)),"Á","A"),"À","A"),"Â","A"),"Ã","A"),"É","E"),"Ê","E"),"Í","I"),"Ó","O"),"Ô","O"),"Õ","O"),"Ú","U"),"Ü","U"),"Ç","C"))</f>
        <v/>
      </c>
      <c r="I290" s="28" t="str">
        <f aca="false">IF(C290="","",IF(LEN(SUBSTITUTE(SUBSTITUTE(SUBSTITUTE(SUBSTITUTE(TRIM(C290),"*",""),".",""),"-","")," ",""))=11,MID(SUBSTITUTE(SUBSTITUTE(SUBSTITUTE(SUBSTITUTE(TRIM(C290),"*",""),".",""),"-","")," ",""),4,6),SUBSTITUTE(SUBSTITUTE(SUBSTITUTE(SUBSTITUTE(TRIM(C290),"*",""),".",""),"-","")," ","")))</f>
        <v/>
      </c>
      <c r="J290" s="28" t="str">
        <f aca="false">IF(OR(H290="",I290=""),"",H290&amp;"|"&amp;I290)</f>
        <v/>
      </c>
      <c r="K290" s="19" t="str">
        <f aca="false">IF(H290="","",IF(AND(J290&lt;&gt;"",COUNTIF(Pessoas!$J:$J,J290)&gt;0),"SIM",IF(COUNTIF(Pessoas!$H:$H,H290)&gt;0,"nome igual em Pessoas: confira o CPF","")))</f>
        <v/>
      </c>
      <c r="L290" s="27"/>
      <c r="M290" s="5"/>
    </row>
    <row r="291" customFormat="false" ht="15" hidden="false" customHeight="false" outlineLevel="0" collapsed="false">
      <c r="A291" s="27"/>
      <c r="B291" s="5"/>
      <c r="C291" s="27"/>
      <c r="D291" s="18"/>
      <c r="E291" s="14"/>
      <c r="F291" s="18"/>
      <c r="G291" s="19" t="str">
        <f aca="false">IF(A291="","",IFERROR(INDEX(Empresas!$B:$B,MATCH(A291,Empresas!$A:$A,0))&amp;"","cadastre o CNPJ em Empresas"))</f>
        <v/>
      </c>
      <c r="H291" s="28" t="str">
        <f aca="false">IF(B291="","",SUBSTITUTE(SUBSTITUTE(SUBSTITUTE(SUBSTITUTE(SUBSTITUTE(SUBSTITUTE(SUBSTITUTE(SUBSTITUTE(SUBSTITUTE(SUBSTITUTE(SUBSTITUTE(SUBSTITUTE(SUBSTITUTE(UPPER(TRIM(B291)),"Á","A"),"À","A"),"Â","A"),"Ã","A"),"É","E"),"Ê","E"),"Í","I"),"Ó","O"),"Ô","O"),"Õ","O"),"Ú","U"),"Ü","U"),"Ç","C"))</f>
        <v/>
      </c>
      <c r="I291" s="28" t="str">
        <f aca="false">IF(C291="","",IF(LEN(SUBSTITUTE(SUBSTITUTE(SUBSTITUTE(SUBSTITUTE(TRIM(C291),"*",""),".",""),"-","")," ",""))=11,MID(SUBSTITUTE(SUBSTITUTE(SUBSTITUTE(SUBSTITUTE(TRIM(C291),"*",""),".",""),"-","")," ",""),4,6),SUBSTITUTE(SUBSTITUTE(SUBSTITUTE(SUBSTITUTE(TRIM(C291),"*",""),".",""),"-","")," ","")))</f>
        <v/>
      </c>
      <c r="J291" s="28" t="str">
        <f aca="false">IF(OR(H291="",I291=""),"",H291&amp;"|"&amp;I291)</f>
        <v/>
      </c>
      <c r="K291" s="19" t="str">
        <f aca="false">IF(H291="","",IF(AND(J291&lt;&gt;"",COUNTIF(Pessoas!$J:$J,J291)&gt;0),"SIM",IF(COUNTIF(Pessoas!$H:$H,H291)&gt;0,"nome igual em Pessoas: confira o CPF","")))</f>
        <v/>
      </c>
      <c r="L291" s="27"/>
      <c r="M291" s="5"/>
    </row>
    <row r="292" customFormat="false" ht="15" hidden="false" customHeight="false" outlineLevel="0" collapsed="false">
      <c r="A292" s="27"/>
      <c r="B292" s="5"/>
      <c r="C292" s="27"/>
      <c r="D292" s="18"/>
      <c r="E292" s="14"/>
      <c r="F292" s="18"/>
      <c r="G292" s="19" t="str">
        <f aca="false">IF(A292="","",IFERROR(INDEX(Empresas!$B:$B,MATCH(A292,Empresas!$A:$A,0))&amp;"","cadastre o CNPJ em Empresas"))</f>
        <v/>
      </c>
      <c r="H292" s="28" t="str">
        <f aca="false">IF(B292="","",SUBSTITUTE(SUBSTITUTE(SUBSTITUTE(SUBSTITUTE(SUBSTITUTE(SUBSTITUTE(SUBSTITUTE(SUBSTITUTE(SUBSTITUTE(SUBSTITUTE(SUBSTITUTE(SUBSTITUTE(SUBSTITUTE(UPPER(TRIM(B292)),"Á","A"),"À","A"),"Â","A"),"Ã","A"),"É","E"),"Ê","E"),"Í","I"),"Ó","O"),"Ô","O"),"Õ","O"),"Ú","U"),"Ü","U"),"Ç","C"))</f>
        <v/>
      </c>
      <c r="I292" s="28" t="str">
        <f aca="false">IF(C292="","",IF(LEN(SUBSTITUTE(SUBSTITUTE(SUBSTITUTE(SUBSTITUTE(TRIM(C292),"*",""),".",""),"-","")," ",""))=11,MID(SUBSTITUTE(SUBSTITUTE(SUBSTITUTE(SUBSTITUTE(TRIM(C292),"*",""),".",""),"-","")," ",""),4,6),SUBSTITUTE(SUBSTITUTE(SUBSTITUTE(SUBSTITUTE(TRIM(C292),"*",""),".",""),"-","")," ","")))</f>
        <v/>
      </c>
      <c r="J292" s="28" t="str">
        <f aca="false">IF(OR(H292="",I292=""),"",H292&amp;"|"&amp;I292)</f>
        <v/>
      </c>
      <c r="K292" s="19" t="str">
        <f aca="false">IF(H292="","",IF(AND(J292&lt;&gt;"",COUNTIF(Pessoas!$J:$J,J292)&gt;0),"SIM",IF(COUNTIF(Pessoas!$H:$H,H292)&gt;0,"nome igual em Pessoas: confira o CPF","")))</f>
        <v/>
      </c>
      <c r="L292" s="27"/>
      <c r="M292" s="5"/>
    </row>
    <row r="293" customFormat="false" ht="15" hidden="false" customHeight="false" outlineLevel="0" collapsed="false">
      <c r="A293" s="27"/>
      <c r="B293" s="5"/>
      <c r="C293" s="27"/>
      <c r="D293" s="18"/>
      <c r="E293" s="14"/>
      <c r="F293" s="18"/>
      <c r="G293" s="19" t="str">
        <f aca="false">IF(A293="","",IFERROR(INDEX(Empresas!$B:$B,MATCH(A293,Empresas!$A:$A,0))&amp;"","cadastre o CNPJ em Empresas"))</f>
        <v/>
      </c>
      <c r="H293" s="28" t="str">
        <f aca="false">IF(B293="","",SUBSTITUTE(SUBSTITUTE(SUBSTITUTE(SUBSTITUTE(SUBSTITUTE(SUBSTITUTE(SUBSTITUTE(SUBSTITUTE(SUBSTITUTE(SUBSTITUTE(SUBSTITUTE(SUBSTITUTE(SUBSTITUTE(UPPER(TRIM(B293)),"Á","A"),"À","A"),"Â","A"),"Ã","A"),"É","E"),"Ê","E"),"Í","I"),"Ó","O"),"Ô","O"),"Õ","O"),"Ú","U"),"Ü","U"),"Ç","C"))</f>
        <v/>
      </c>
      <c r="I293" s="28" t="str">
        <f aca="false">IF(C293="","",IF(LEN(SUBSTITUTE(SUBSTITUTE(SUBSTITUTE(SUBSTITUTE(TRIM(C293),"*",""),".",""),"-","")," ",""))=11,MID(SUBSTITUTE(SUBSTITUTE(SUBSTITUTE(SUBSTITUTE(TRIM(C293),"*",""),".",""),"-","")," ",""),4,6),SUBSTITUTE(SUBSTITUTE(SUBSTITUTE(SUBSTITUTE(TRIM(C293),"*",""),".",""),"-","")," ","")))</f>
        <v/>
      </c>
      <c r="J293" s="28" t="str">
        <f aca="false">IF(OR(H293="",I293=""),"",H293&amp;"|"&amp;I293)</f>
        <v/>
      </c>
      <c r="K293" s="19" t="str">
        <f aca="false">IF(H293="","",IF(AND(J293&lt;&gt;"",COUNTIF(Pessoas!$J:$J,J293)&gt;0),"SIM",IF(COUNTIF(Pessoas!$H:$H,H293)&gt;0,"nome igual em Pessoas: confira o CPF","")))</f>
        <v/>
      </c>
      <c r="L293" s="27"/>
      <c r="M293" s="5"/>
    </row>
    <row r="294" customFormat="false" ht="15" hidden="false" customHeight="false" outlineLevel="0" collapsed="false">
      <c r="A294" s="27"/>
      <c r="B294" s="5"/>
      <c r="C294" s="27"/>
      <c r="D294" s="18"/>
      <c r="E294" s="14"/>
      <c r="F294" s="18"/>
      <c r="G294" s="19" t="str">
        <f aca="false">IF(A294="","",IFERROR(INDEX(Empresas!$B:$B,MATCH(A294,Empresas!$A:$A,0))&amp;"","cadastre o CNPJ em Empresas"))</f>
        <v/>
      </c>
      <c r="H294" s="28" t="str">
        <f aca="false">IF(B294="","",SUBSTITUTE(SUBSTITUTE(SUBSTITUTE(SUBSTITUTE(SUBSTITUTE(SUBSTITUTE(SUBSTITUTE(SUBSTITUTE(SUBSTITUTE(SUBSTITUTE(SUBSTITUTE(SUBSTITUTE(SUBSTITUTE(UPPER(TRIM(B294)),"Á","A"),"À","A"),"Â","A"),"Ã","A"),"É","E"),"Ê","E"),"Í","I"),"Ó","O"),"Ô","O"),"Õ","O"),"Ú","U"),"Ü","U"),"Ç","C"))</f>
        <v/>
      </c>
      <c r="I294" s="28" t="str">
        <f aca="false">IF(C294="","",IF(LEN(SUBSTITUTE(SUBSTITUTE(SUBSTITUTE(SUBSTITUTE(TRIM(C294),"*",""),".",""),"-","")," ",""))=11,MID(SUBSTITUTE(SUBSTITUTE(SUBSTITUTE(SUBSTITUTE(TRIM(C294),"*",""),".",""),"-","")," ",""),4,6),SUBSTITUTE(SUBSTITUTE(SUBSTITUTE(SUBSTITUTE(TRIM(C294),"*",""),".",""),"-","")," ","")))</f>
        <v/>
      </c>
      <c r="J294" s="28" t="str">
        <f aca="false">IF(OR(H294="",I294=""),"",H294&amp;"|"&amp;I294)</f>
        <v/>
      </c>
      <c r="K294" s="19" t="str">
        <f aca="false">IF(H294="","",IF(AND(J294&lt;&gt;"",COUNTIF(Pessoas!$J:$J,J294)&gt;0),"SIM",IF(COUNTIF(Pessoas!$H:$H,H294)&gt;0,"nome igual em Pessoas: confira o CPF","")))</f>
        <v/>
      </c>
      <c r="L294" s="27"/>
      <c r="M294" s="5"/>
    </row>
    <row r="295" customFormat="false" ht="15" hidden="false" customHeight="false" outlineLevel="0" collapsed="false">
      <c r="A295" s="27"/>
      <c r="B295" s="5"/>
      <c r="C295" s="27"/>
      <c r="D295" s="18"/>
      <c r="E295" s="14"/>
      <c r="F295" s="18"/>
      <c r="G295" s="19" t="str">
        <f aca="false">IF(A295="","",IFERROR(INDEX(Empresas!$B:$B,MATCH(A295,Empresas!$A:$A,0))&amp;"","cadastre o CNPJ em Empresas"))</f>
        <v/>
      </c>
      <c r="H295" s="28" t="str">
        <f aca="false">IF(B295="","",SUBSTITUTE(SUBSTITUTE(SUBSTITUTE(SUBSTITUTE(SUBSTITUTE(SUBSTITUTE(SUBSTITUTE(SUBSTITUTE(SUBSTITUTE(SUBSTITUTE(SUBSTITUTE(SUBSTITUTE(SUBSTITUTE(UPPER(TRIM(B295)),"Á","A"),"À","A"),"Â","A"),"Ã","A"),"É","E"),"Ê","E"),"Í","I"),"Ó","O"),"Ô","O"),"Õ","O"),"Ú","U"),"Ü","U"),"Ç","C"))</f>
        <v/>
      </c>
      <c r="I295" s="28" t="str">
        <f aca="false">IF(C295="","",IF(LEN(SUBSTITUTE(SUBSTITUTE(SUBSTITUTE(SUBSTITUTE(TRIM(C295),"*",""),".",""),"-","")," ",""))=11,MID(SUBSTITUTE(SUBSTITUTE(SUBSTITUTE(SUBSTITUTE(TRIM(C295),"*",""),".",""),"-","")," ",""),4,6),SUBSTITUTE(SUBSTITUTE(SUBSTITUTE(SUBSTITUTE(TRIM(C295),"*",""),".",""),"-","")," ","")))</f>
        <v/>
      </c>
      <c r="J295" s="28" t="str">
        <f aca="false">IF(OR(H295="",I295=""),"",H295&amp;"|"&amp;I295)</f>
        <v/>
      </c>
      <c r="K295" s="19" t="str">
        <f aca="false">IF(H295="","",IF(AND(J295&lt;&gt;"",COUNTIF(Pessoas!$J:$J,J295)&gt;0),"SIM",IF(COUNTIF(Pessoas!$H:$H,H295)&gt;0,"nome igual em Pessoas: confira o CPF","")))</f>
        <v/>
      </c>
      <c r="L295" s="27"/>
      <c r="M295" s="5"/>
    </row>
    <row r="296" customFormat="false" ht="15" hidden="false" customHeight="false" outlineLevel="0" collapsed="false">
      <c r="A296" s="27"/>
      <c r="B296" s="5"/>
      <c r="C296" s="27"/>
      <c r="D296" s="18"/>
      <c r="E296" s="14"/>
      <c r="F296" s="18"/>
      <c r="G296" s="19" t="str">
        <f aca="false">IF(A296="","",IFERROR(INDEX(Empresas!$B:$B,MATCH(A296,Empresas!$A:$A,0))&amp;"","cadastre o CNPJ em Empresas"))</f>
        <v/>
      </c>
      <c r="H296" s="28" t="str">
        <f aca="false">IF(B296="","",SUBSTITUTE(SUBSTITUTE(SUBSTITUTE(SUBSTITUTE(SUBSTITUTE(SUBSTITUTE(SUBSTITUTE(SUBSTITUTE(SUBSTITUTE(SUBSTITUTE(SUBSTITUTE(SUBSTITUTE(SUBSTITUTE(UPPER(TRIM(B296)),"Á","A"),"À","A"),"Â","A"),"Ã","A"),"É","E"),"Ê","E"),"Í","I"),"Ó","O"),"Ô","O"),"Õ","O"),"Ú","U"),"Ü","U"),"Ç","C"))</f>
        <v/>
      </c>
      <c r="I296" s="28" t="str">
        <f aca="false">IF(C296="","",IF(LEN(SUBSTITUTE(SUBSTITUTE(SUBSTITUTE(SUBSTITUTE(TRIM(C296),"*",""),".",""),"-","")," ",""))=11,MID(SUBSTITUTE(SUBSTITUTE(SUBSTITUTE(SUBSTITUTE(TRIM(C296),"*",""),".",""),"-","")," ",""),4,6),SUBSTITUTE(SUBSTITUTE(SUBSTITUTE(SUBSTITUTE(TRIM(C296),"*",""),".",""),"-","")," ","")))</f>
        <v/>
      </c>
      <c r="J296" s="28" t="str">
        <f aca="false">IF(OR(H296="",I296=""),"",H296&amp;"|"&amp;I296)</f>
        <v/>
      </c>
      <c r="K296" s="19" t="str">
        <f aca="false">IF(H296="","",IF(AND(J296&lt;&gt;"",COUNTIF(Pessoas!$J:$J,J296)&gt;0),"SIM",IF(COUNTIF(Pessoas!$H:$H,H296)&gt;0,"nome igual em Pessoas: confira o CPF","")))</f>
        <v/>
      </c>
      <c r="L296" s="27"/>
      <c r="M296" s="5"/>
    </row>
    <row r="297" customFormat="false" ht="15" hidden="false" customHeight="false" outlineLevel="0" collapsed="false">
      <c r="A297" s="27"/>
      <c r="B297" s="5"/>
      <c r="C297" s="27"/>
      <c r="D297" s="18"/>
      <c r="E297" s="14"/>
      <c r="F297" s="18"/>
      <c r="G297" s="19" t="str">
        <f aca="false">IF(A297="","",IFERROR(INDEX(Empresas!$B:$B,MATCH(A297,Empresas!$A:$A,0))&amp;"","cadastre o CNPJ em Empresas"))</f>
        <v/>
      </c>
      <c r="H297" s="28" t="str">
        <f aca="false">IF(B297="","",SUBSTITUTE(SUBSTITUTE(SUBSTITUTE(SUBSTITUTE(SUBSTITUTE(SUBSTITUTE(SUBSTITUTE(SUBSTITUTE(SUBSTITUTE(SUBSTITUTE(SUBSTITUTE(SUBSTITUTE(SUBSTITUTE(UPPER(TRIM(B297)),"Á","A"),"À","A"),"Â","A"),"Ã","A"),"É","E"),"Ê","E"),"Í","I"),"Ó","O"),"Ô","O"),"Õ","O"),"Ú","U"),"Ü","U"),"Ç","C"))</f>
        <v/>
      </c>
      <c r="I297" s="28" t="str">
        <f aca="false">IF(C297="","",IF(LEN(SUBSTITUTE(SUBSTITUTE(SUBSTITUTE(SUBSTITUTE(TRIM(C297),"*",""),".",""),"-","")," ",""))=11,MID(SUBSTITUTE(SUBSTITUTE(SUBSTITUTE(SUBSTITUTE(TRIM(C297),"*",""),".",""),"-","")," ",""),4,6),SUBSTITUTE(SUBSTITUTE(SUBSTITUTE(SUBSTITUTE(TRIM(C297),"*",""),".",""),"-","")," ","")))</f>
        <v/>
      </c>
      <c r="J297" s="28" t="str">
        <f aca="false">IF(OR(H297="",I297=""),"",H297&amp;"|"&amp;I297)</f>
        <v/>
      </c>
      <c r="K297" s="19" t="str">
        <f aca="false">IF(H297="","",IF(AND(J297&lt;&gt;"",COUNTIF(Pessoas!$J:$J,J297)&gt;0),"SIM",IF(COUNTIF(Pessoas!$H:$H,H297)&gt;0,"nome igual em Pessoas: confira o CPF","")))</f>
        <v/>
      </c>
      <c r="L297" s="27"/>
      <c r="M297" s="5"/>
    </row>
    <row r="298" customFormat="false" ht="15" hidden="false" customHeight="false" outlineLevel="0" collapsed="false">
      <c r="A298" s="27"/>
      <c r="B298" s="5"/>
      <c r="C298" s="27"/>
      <c r="D298" s="18"/>
      <c r="E298" s="14"/>
      <c r="F298" s="18"/>
      <c r="G298" s="19" t="str">
        <f aca="false">IF(A298="","",IFERROR(INDEX(Empresas!$B:$B,MATCH(A298,Empresas!$A:$A,0))&amp;"","cadastre o CNPJ em Empresas"))</f>
        <v/>
      </c>
      <c r="H298" s="28" t="str">
        <f aca="false">IF(B298="","",SUBSTITUTE(SUBSTITUTE(SUBSTITUTE(SUBSTITUTE(SUBSTITUTE(SUBSTITUTE(SUBSTITUTE(SUBSTITUTE(SUBSTITUTE(SUBSTITUTE(SUBSTITUTE(SUBSTITUTE(SUBSTITUTE(UPPER(TRIM(B298)),"Á","A"),"À","A"),"Â","A"),"Ã","A"),"É","E"),"Ê","E"),"Í","I"),"Ó","O"),"Ô","O"),"Õ","O"),"Ú","U"),"Ü","U"),"Ç","C"))</f>
        <v/>
      </c>
      <c r="I298" s="28" t="str">
        <f aca="false">IF(C298="","",IF(LEN(SUBSTITUTE(SUBSTITUTE(SUBSTITUTE(SUBSTITUTE(TRIM(C298),"*",""),".",""),"-","")," ",""))=11,MID(SUBSTITUTE(SUBSTITUTE(SUBSTITUTE(SUBSTITUTE(TRIM(C298),"*",""),".",""),"-","")," ",""),4,6),SUBSTITUTE(SUBSTITUTE(SUBSTITUTE(SUBSTITUTE(TRIM(C298),"*",""),".",""),"-","")," ","")))</f>
        <v/>
      </c>
      <c r="J298" s="28" t="str">
        <f aca="false">IF(OR(H298="",I298=""),"",H298&amp;"|"&amp;I298)</f>
        <v/>
      </c>
      <c r="K298" s="19" t="str">
        <f aca="false">IF(H298="","",IF(AND(J298&lt;&gt;"",COUNTIF(Pessoas!$J:$J,J298)&gt;0),"SIM",IF(COUNTIF(Pessoas!$H:$H,H298)&gt;0,"nome igual em Pessoas: confira o CPF","")))</f>
        <v/>
      </c>
      <c r="L298" s="27"/>
      <c r="M298" s="5"/>
    </row>
    <row r="299" customFormat="false" ht="15" hidden="false" customHeight="false" outlineLevel="0" collapsed="false">
      <c r="A299" s="27"/>
      <c r="B299" s="5"/>
      <c r="C299" s="27"/>
      <c r="D299" s="18"/>
      <c r="E299" s="14"/>
      <c r="F299" s="18"/>
      <c r="G299" s="19" t="str">
        <f aca="false">IF(A299="","",IFERROR(INDEX(Empresas!$B:$B,MATCH(A299,Empresas!$A:$A,0))&amp;"","cadastre o CNPJ em Empresas"))</f>
        <v/>
      </c>
      <c r="H299" s="28" t="str">
        <f aca="false">IF(B299="","",SUBSTITUTE(SUBSTITUTE(SUBSTITUTE(SUBSTITUTE(SUBSTITUTE(SUBSTITUTE(SUBSTITUTE(SUBSTITUTE(SUBSTITUTE(SUBSTITUTE(SUBSTITUTE(SUBSTITUTE(SUBSTITUTE(UPPER(TRIM(B299)),"Á","A"),"À","A"),"Â","A"),"Ã","A"),"É","E"),"Ê","E"),"Í","I"),"Ó","O"),"Ô","O"),"Õ","O"),"Ú","U"),"Ü","U"),"Ç","C"))</f>
        <v/>
      </c>
      <c r="I299" s="28" t="str">
        <f aca="false">IF(C299="","",IF(LEN(SUBSTITUTE(SUBSTITUTE(SUBSTITUTE(SUBSTITUTE(TRIM(C299),"*",""),".",""),"-","")," ",""))=11,MID(SUBSTITUTE(SUBSTITUTE(SUBSTITUTE(SUBSTITUTE(TRIM(C299),"*",""),".",""),"-","")," ",""),4,6),SUBSTITUTE(SUBSTITUTE(SUBSTITUTE(SUBSTITUTE(TRIM(C299),"*",""),".",""),"-","")," ","")))</f>
        <v/>
      </c>
      <c r="J299" s="28" t="str">
        <f aca="false">IF(OR(H299="",I299=""),"",H299&amp;"|"&amp;I299)</f>
        <v/>
      </c>
      <c r="K299" s="19" t="str">
        <f aca="false">IF(H299="","",IF(AND(J299&lt;&gt;"",COUNTIF(Pessoas!$J:$J,J299)&gt;0),"SIM",IF(COUNTIF(Pessoas!$H:$H,H299)&gt;0,"nome igual em Pessoas: confira o CPF","")))</f>
        <v/>
      </c>
      <c r="L299" s="27"/>
      <c r="M299" s="5"/>
    </row>
    <row r="300" customFormat="false" ht="15" hidden="false" customHeight="false" outlineLevel="0" collapsed="false">
      <c r="A300" s="27"/>
      <c r="B300" s="5"/>
      <c r="C300" s="27"/>
      <c r="D300" s="18"/>
      <c r="E300" s="14"/>
      <c r="F300" s="18"/>
      <c r="G300" s="19" t="str">
        <f aca="false">IF(A300="","",IFERROR(INDEX(Empresas!$B:$B,MATCH(A300,Empresas!$A:$A,0))&amp;"","cadastre o CNPJ em Empresas"))</f>
        <v/>
      </c>
      <c r="H300" s="28" t="str">
        <f aca="false">IF(B300="","",SUBSTITUTE(SUBSTITUTE(SUBSTITUTE(SUBSTITUTE(SUBSTITUTE(SUBSTITUTE(SUBSTITUTE(SUBSTITUTE(SUBSTITUTE(SUBSTITUTE(SUBSTITUTE(SUBSTITUTE(SUBSTITUTE(UPPER(TRIM(B300)),"Á","A"),"À","A"),"Â","A"),"Ã","A"),"É","E"),"Ê","E"),"Í","I"),"Ó","O"),"Ô","O"),"Õ","O"),"Ú","U"),"Ü","U"),"Ç","C"))</f>
        <v/>
      </c>
      <c r="I300" s="28" t="str">
        <f aca="false">IF(C300="","",IF(LEN(SUBSTITUTE(SUBSTITUTE(SUBSTITUTE(SUBSTITUTE(TRIM(C300),"*",""),".",""),"-","")," ",""))=11,MID(SUBSTITUTE(SUBSTITUTE(SUBSTITUTE(SUBSTITUTE(TRIM(C300),"*",""),".",""),"-","")," ",""),4,6),SUBSTITUTE(SUBSTITUTE(SUBSTITUTE(SUBSTITUTE(TRIM(C300),"*",""),".",""),"-","")," ","")))</f>
        <v/>
      </c>
      <c r="J300" s="28" t="str">
        <f aca="false">IF(OR(H300="",I300=""),"",H300&amp;"|"&amp;I300)</f>
        <v/>
      </c>
      <c r="K300" s="19" t="str">
        <f aca="false">IF(H300="","",IF(AND(J300&lt;&gt;"",COUNTIF(Pessoas!$J:$J,J300)&gt;0),"SIM",IF(COUNTIF(Pessoas!$H:$H,H300)&gt;0,"nome igual em Pessoas: confira o CPF","")))</f>
        <v/>
      </c>
      <c r="L300" s="27"/>
      <c r="M300" s="5"/>
    </row>
    <row r="301" customFormat="false" ht="15" hidden="false" customHeight="false" outlineLevel="0" collapsed="false">
      <c r="A301" s="27"/>
      <c r="B301" s="5"/>
      <c r="C301" s="27"/>
      <c r="D301" s="18"/>
      <c r="E301" s="14"/>
      <c r="F301" s="18"/>
      <c r="G301" s="19" t="str">
        <f aca="false">IF(A301="","",IFERROR(INDEX(Empresas!$B:$B,MATCH(A301,Empresas!$A:$A,0))&amp;"","cadastre o CNPJ em Empresas"))</f>
        <v/>
      </c>
      <c r="H301" s="28" t="str">
        <f aca="false">IF(B301="","",SUBSTITUTE(SUBSTITUTE(SUBSTITUTE(SUBSTITUTE(SUBSTITUTE(SUBSTITUTE(SUBSTITUTE(SUBSTITUTE(SUBSTITUTE(SUBSTITUTE(SUBSTITUTE(SUBSTITUTE(SUBSTITUTE(UPPER(TRIM(B301)),"Á","A"),"À","A"),"Â","A"),"Ã","A"),"É","E"),"Ê","E"),"Í","I"),"Ó","O"),"Ô","O"),"Õ","O"),"Ú","U"),"Ü","U"),"Ç","C"))</f>
        <v/>
      </c>
      <c r="I301" s="28" t="str">
        <f aca="false">IF(C301="","",IF(LEN(SUBSTITUTE(SUBSTITUTE(SUBSTITUTE(SUBSTITUTE(TRIM(C301),"*",""),".",""),"-","")," ",""))=11,MID(SUBSTITUTE(SUBSTITUTE(SUBSTITUTE(SUBSTITUTE(TRIM(C301),"*",""),".",""),"-","")," ",""),4,6),SUBSTITUTE(SUBSTITUTE(SUBSTITUTE(SUBSTITUTE(TRIM(C301),"*",""),".",""),"-","")," ","")))</f>
        <v/>
      </c>
      <c r="J301" s="28" t="str">
        <f aca="false">IF(OR(H301="",I301=""),"",H301&amp;"|"&amp;I301)</f>
        <v/>
      </c>
      <c r="K301" s="19" t="str">
        <f aca="false">IF(H301="","",IF(AND(J301&lt;&gt;"",COUNTIF(Pessoas!$J:$J,J301)&gt;0),"SIM",IF(COUNTIF(Pessoas!$H:$H,H301)&gt;0,"nome igual em Pessoas: confira o CPF","")))</f>
        <v/>
      </c>
      <c r="L301" s="27"/>
      <c r="M301" s="5"/>
    </row>
    <row r="302" customFormat="false" ht="15" hidden="false" customHeight="false" outlineLevel="0" collapsed="false">
      <c r="A302" s="27"/>
      <c r="B302" s="5"/>
      <c r="C302" s="27"/>
      <c r="D302" s="18"/>
      <c r="E302" s="14"/>
      <c r="F302" s="18"/>
      <c r="G302" s="19" t="str">
        <f aca="false">IF(A302="","",IFERROR(INDEX(Empresas!$B:$B,MATCH(A302,Empresas!$A:$A,0))&amp;"","cadastre o CNPJ em Empresas"))</f>
        <v/>
      </c>
      <c r="H302" s="28" t="str">
        <f aca="false">IF(B302="","",SUBSTITUTE(SUBSTITUTE(SUBSTITUTE(SUBSTITUTE(SUBSTITUTE(SUBSTITUTE(SUBSTITUTE(SUBSTITUTE(SUBSTITUTE(SUBSTITUTE(SUBSTITUTE(SUBSTITUTE(SUBSTITUTE(UPPER(TRIM(B302)),"Á","A"),"À","A"),"Â","A"),"Ã","A"),"É","E"),"Ê","E"),"Í","I"),"Ó","O"),"Ô","O"),"Õ","O"),"Ú","U"),"Ü","U"),"Ç","C"))</f>
        <v/>
      </c>
      <c r="I302" s="28" t="str">
        <f aca="false">IF(C302="","",IF(LEN(SUBSTITUTE(SUBSTITUTE(SUBSTITUTE(SUBSTITUTE(TRIM(C302),"*",""),".",""),"-","")," ",""))=11,MID(SUBSTITUTE(SUBSTITUTE(SUBSTITUTE(SUBSTITUTE(TRIM(C302),"*",""),".",""),"-","")," ",""),4,6),SUBSTITUTE(SUBSTITUTE(SUBSTITUTE(SUBSTITUTE(TRIM(C302),"*",""),".",""),"-","")," ","")))</f>
        <v/>
      </c>
      <c r="J302" s="28" t="str">
        <f aca="false">IF(OR(H302="",I302=""),"",H302&amp;"|"&amp;I302)</f>
        <v/>
      </c>
      <c r="K302" s="19" t="str">
        <f aca="false">IF(H302="","",IF(AND(J302&lt;&gt;"",COUNTIF(Pessoas!$J:$J,J302)&gt;0),"SIM",IF(COUNTIF(Pessoas!$H:$H,H302)&gt;0,"nome igual em Pessoas: confira o CPF","")))</f>
        <v/>
      </c>
      <c r="L302" s="27"/>
      <c r="M302" s="5"/>
    </row>
    <row r="303" customFormat="false" ht="15" hidden="false" customHeight="false" outlineLevel="0" collapsed="false">
      <c r="A303" s="27"/>
      <c r="B303" s="5"/>
      <c r="C303" s="27"/>
      <c r="D303" s="18"/>
      <c r="E303" s="14"/>
      <c r="F303" s="18"/>
      <c r="G303" s="19" t="str">
        <f aca="false">IF(A303="","",IFERROR(INDEX(Empresas!$B:$B,MATCH(A303,Empresas!$A:$A,0))&amp;"","cadastre o CNPJ em Empresas"))</f>
        <v/>
      </c>
      <c r="H303" s="28" t="str">
        <f aca="false">IF(B303="","",SUBSTITUTE(SUBSTITUTE(SUBSTITUTE(SUBSTITUTE(SUBSTITUTE(SUBSTITUTE(SUBSTITUTE(SUBSTITUTE(SUBSTITUTE(SUBSTITUTE(SUBSTITUTE(SUBSTITUTE(SUBSTITUTE(UPPER(TRIM(B303)),"Á","A"),"À","A"),"Â","A"),"Ã","A"),"É","E"),"Ê","E"),"Í","I"),"Ó","O"),"Ô","O"),"Õ","O"),"Ú","U"),"Ü","U"),"Ç","C"))</f>
        <v/>
      </c>
      <c r="I303" s="28" t="str">
        <f aca="false">IF(C303="","",IF(LEN(SUBSTITUTE(SUBSTITUTE(SUBSTITUTE(SUBSTITUTE(TRIM(C303),"*",""),".",""),"-","")," ",""))=11,MID(SUBSTITUTE(SUBSTITUTE(SUBSTITUTE(SUBSTITUTE(TRIM(C303),"*",""),".",""),"-","")," ",""),4,6),SUBSTITUTE(SUBSTITUTE(SUBSTITUTE(SUBSTITUTE(TRIM(C303),"*",""),".",""),"-","")," ","")))</f>
        <v/>
      </c>
      <c r="J303" s="28" t="str">
        <f aca="false">IF(OR(H303="",I303=""),"",H303&amp;"|"&amp;I303)</f>
        <v/>
      </c>
      <c r="K303" s="19" t="str">
        <f aca="false">IF(H303="","",IF(AND(J303&lt;&gt;"",COUNTIF(Pessoas!$J:$J,J303)&gt;0),"SIM",IF(COUNTIF(Pessoas!$H:$H,H303)&gt;0,"nome igual em Pessoas: confira o CPF","")))</f>
        <v/>
      </c>
      <c r="L303" s="27"/>
      <c r="M303" s="5"/>
    </row>
    <row r="304" customFormat="false" ht="15" hidden="false" customHeight="false" outlineLevel="0" collapsed="false">
      <c r="A304" s="27"/>
      <c r="B304" s="5"/>
      <c r="C304" s="27"/>
      <c r="D304" s="18"/>
      <c r="E304" s="14"/>
      <c r="F304" s="18"/>
      <c r="G304" s="19" t="str">
        <f aca="false">IF(A304="","",IFERROR(INDEX(Empresas!$B:$B,MATCH(A304,Empresas!$A:$A,0))&amp;"","cadastre o CNPJ em Empresas"))</f>
        <v/>
      </c>
      <c r="H304" s="28" t="str">
        <f aca="false">IF(B304="","",SUBSTITUTE(SUBSTITUTE(SUBSTITUTE(SUBSTITUTE(SUBSTITUTE(SUBSTITUTE(SUBSTITUTE(SUBSTITUTE(SUBSTITUTE(SUBSTITUTE(SUBSTITUTE(SUBSTITUTE(SUBSTITUTE(UPPER(TRIM(B304)),"Á","A"),"À","A"),"Â","A"),"Ã","A"),"É","E"),"Ê","E"),"Í","I"),"Ó","O"),"Ô","O"),"Õ","O"),"Ú","U"),"Ü","U"),"Ç","C"))</f>
        <v/>
      </c>
      <c r="I304" s="28" t="str">
        <f aca="false">IF(C304="","",IF(LEN(SUBSTITUTE(SUBSTITUTE(SUBSTITUTE(SUBSTITUTE(TRIM(C304),"*",""),".",""),"-","")," ",""))=11,MID(SUBSTITUTE(SUBSTITUTE(SUBSTITUTE(SUBSTITUTE(TRIM(C304),"*",""),".",""),"-","")," ",""),4,6),SUBSTITUTE(SUBSTITUTE(SUBSTITUTE(SUBSTITUTE(TRIM(C304),"*",""),".",""),"-","")," ","")))</f>
        <v/>
      </c>
      <c r="J304" s="28" t="str">
        <f aca="false">IF(OR(H304="",I304=""),"",H304&amp;"|"&amp;I304)</f>
        <v/>
      </c>
      <c r="K304" s="19" t="str">
        <f aca="false">IF(H304="","",IF(AND(J304&lt;&gt;"",COUNTIF(Pessoas!$J:$J,J304)&gt;0),"SIM",IF(COUNTIF(Pessoas!$H:$H,H304)&gt;0,"nome igual em Pessoas: confira o CPF","")))</f>
        <v/>
      </c>
      <c r="L304" s="27"/>
      <c r="M304" s="5"/>
    </row>
    <row r="305" customFormat="false" ht="15" hidden="false" customHeight="false" outlineLevel="0" collapsed="false">
      <c r="A305" s="27"/>
      <c r="B305" s="5"/>
      <c r="C305" s="27"/>
      <c r="D305" s="18"/>
      <c r="E305" s="14"/>
      <c r="F305" s="18"/>
      <c r="G305" s="19" t="str">
        <f aca="false">IF(A305="","",IFERROR(INDEX(Empresas!$B:$B,MATCH(A305,Empresas!$A:$A,0))&amp;"","cadastre o CNPJ em Empresas"))</f>
        <v/>
      </c>
      <c r="H305" s="28" t="str">
        <f aca="false">IF(B305="","",SUBSTITUTE(SUBSTITUTE(SUBSTITUTE(SUBSTITUTE(SUBSTITUTE(SUBSTITUTE(SUBSTITUTE(SUBSTITUTE(SUBSTITUTE(SUBSTITUTE(SUBSTITUTE(SUBSTITUTE(SUBSTITUTE(UPPER(TRIM(B305)),"Á","A"),"À","A"),"Â","A"),"Ã","A"),"É","E"),"Ê","E"),"Í","I"),"Ó","O"),"Ô","O"),"Õ","O"),"Ú","U"),"Ü","U"),"Ç","C"))</f>
        <v/>
      </c>
      <c r="I305" s="28" t="str">
        <f aca="false">IF(C305="","",IF(LEN(SUBSTITUTE(SUBSTITUTE(SUBSTITUTE(SUBSTITUTE(TRIM(C305),"*",""),".",""),"-","")," ",""))=11,MID(SUBSTITUTE(SUBSTITUTE(SUBSTITUTE(SUBSTITUTE(TRIM(C305),"*",""),".",""),"-","")," ",""),4,6),SUBSTITUTE(SUBSTITUTE(SUBSTITUTE(SUBSTITUTE(TRIM(C305),"*",""),".",""),"-","")," ","")))</f>
        <v/>
      </c>
      <c r="J305" s="28" t="str">
        <f aca="false">IF(OR(H305="",I305=""),"",H305&amp;"|"&amp;I305)</f>
        <v/>
      </c>
      <c r="K305" s="19" t="str">
        <f aca="false">IF(H305="","",IF(AND(J305&lt;&gt;"",COUNTIF(Pessoas!$J:$J,J305)&gt;0),"SIM",IF(COUNTIF(Pessoas!$H:$H,H305)&gt;0,"nome igual em Pessoas: confira o CPF","")))</f>
        <v/>
      </c>
      <c r="L305" s="27"/>
      <c r="M305" s="5"/>
    </row>
    <row r="306" customFormat="false" ht="15" hidden="false" customHeight="false" outlineLevel="0" collapsed="false">
      <c r="A306" s="27"/>
      <c r="B306" s="5"/>
      <c r="C306" s="27"/>
      <c r="D306" s="18"/>
      <c r="E306" s="14"/>
      <c r="F306" s="18"/>
      <c r="G306" s="19" t="str">
        <f aca="false">IF(A306="","",IFERROR(INDEX(Empresas!$B:$B,MATCH(A306,Empresas!$A:$A,0))&amp;"","cadastre o CNPJ em Empresas"))</f>
        <v/>
      </c>
      <c r="H306" s="28" t="str">
        <f aca="false">IF(B306="","",SUBSTITUTE(SUBSTITUTE(SUBSTITUTE(SUBSTITUTE(SUBSTITUTE(SUBSTITUTE(SUBSTITUTE(SUBSTITUTE(SUBSTITUTE(SUBSTITUTE(SUBSTITUTE(SUBSTITUTE(SUBSTITUTE(UPPER(TRIM(B306)),"Á","A"),"À","A"),"Â","A"),"Ã","A"),"É","E"),"Ê","E"),"Í","I"),"Ó","O"),"Ô","O"),"Õ","O"),"Ú","U"),"Ü","U"),"Ç","C"))</f>
        <v/>
      </c>
      <c r="I306" s="28" t="str">
        <f aca="false">IF(C306="","",IF(LEN(SUBSTITUTE(SUBSTITUTE(SUBSTITUTE(SUBSTITUTE(TRIM(C306),"*",""),".",""),"-","")," ",""))=11,MID(SUBSTITUTE(SUBSTITUTE(SUBSTITUTE(SUBSTITUTE(TRIM(C306),"*",""),".",""),"-","")," ",""),4,6),SUBSTITUTE(SUBSTITUTE(SUBSTITUTE(SUBSTITUTE(TRIM(C306),"*",""),".",""),"-","")," ","")))</f>
        <v/>
      </c>
      <c r="J306" s="28" t="str">
        <f aca="false">IF(OR(H306="",I306=""),"",H306&amp;"|"&amp;I306)</f>
        <v/>
      </c>
      <c r="K306" s="19" t="str">
        <f aca="false">IF(H306="","",IF(AND(J306&lt;&gt;"",COUNTIF(Pessoas!$J:$J,J306)&gt;0),"SIM",IF(COUNTIF(Pessoas!$H:$H,H306)&gt;0,"nome igual em Pessoas: confira o CPF","")))</f>
        <v/>
      </c>
      <c r="L306" s="27"/>
      <c r="M306" s="5"/>
    </row>
    <row r="307" customFormat="false" ht="15" hidden="false" customHeight="false" outlineLevel="0" collapsed="false">
      <c r="A307" s="27"/>
      <c r="B307" s="5"/>
      <c r="C307" s="27"/>
      <c r="D307" s="18"/>
      <c r="E307" s="14"/>
      <c r="F307" s="18"/>
      <c r="G307" s="19" t="str">
        <f aca="false">IF(A307="","",IFERROR(INDEX(Empresas!$B:$B,MATCH(A307,Empresas!$A:$A,0))&amp;"","cadastre o CNPJ em Empresas"))</f>
        <v/>
      </c>
      <c r="H307" s="28" t="str">
        <f aca="false">IF(B307="","",SUBSTITUTE(SUBSTITUTE(SUBSTITUTE(SUBSTITUTE(SUBSTITUTE(SUBSTITUTE(SUBSTITUTE(SUBSTITUTE(SUBSTITUTE(SUBSTITUTE(SUBSTITUTE(SUBSTITUTE(SUBSTITUTE(UPPER(TRIM(B307)),"Á","A"),"À","A"),"Â","A"),"Ã","A"),"É","E"),"Ê","E"),"Í","I"),"Ó","O"),"Ô","O"),"Õ","O"),"Ú","U"),"Ü","U"),"Ç","C"))</f>
        <v/>
      </c>
      <c r="I307" s="28" t="str">
        <f aca="false">IF(C307="","",IF(LEN(SUBSTITUTE(SUBSTITUTE(SUBSTITUTE(SUBSTITUTE(TRIM(C307),"*",""),".",""),"-","")," ",""))=11,MID(SUBSTITUTE(SUBSTITUTE(SUBSTITUTE(SUBSTITUTE(TRIM(C307),"*",""),".",""),"-","")," ",""),4,6),SUBSTITUTE(SUBSTITUTE(SUBSTITUTE(SUBSTITUTE(TRIM(C307),"*",""),".",""),"-","")," ","")))</f>
        <v/>
      </c>
      <c r="J307" s="28" t="str">
        <f aca="false">IF(OR(H307="",I307=""),"",H307&amp;"|"&amp;I307)</f>
        <v/>
      </c>
      <c r="K307" s="19" t="str">
        <f aca="false">IF(H307="","",IF(AND(J307&lt;&gt;"",COUNTIF(Pessoas!$J:$J,J307)&gt;0),"SIM",IF(COUNTIF(Pessoas!$H:$H,H307)&gt;0,"nome igual em Pessoas: confira o CPF","")))</f>
        <v/>
      </c>
      <c r="L307" s="27"/>
      <c r="M307" s="5"/>
    </row>
    <row r="308" customFormat="false" ht="15" hidden="false" customHeight="false" outlineLevel="0" collapsed="false">
      <c r="A308" s="27"/>
      <c r="B308" s="5"/>
      <c r="C308" s="27"/>
      <c r="D308" s="18"/>
      <c r="E308" s="14"/>
      <c r="F308" s="18"/>
      <c r="G308" s="19" t="str">
        <f aca="false">IF(A308="","",IFERROR(INDEX(Empresas!$B:$B,MATCH(A308,Empresas!$A:$A,0))&amp;"","cadastre o CNPJ em Empresas"))</f>
        <v/>
      </c>
      <c r="H308" s="28" t="str">
        <f aca="false">IF(B308="","",SUBSTITUTE(SUBSTITUTE(SUBSTITUTE(SUBSTITUTE(SUBSTITUTE(SUBSTITUTE(SUBSTITUTE(SUBSTITUTE(SUBSTITUTE(SUBSTITUTE(SUBSTITUTE(SUBSTITUTE(SUBSTITUTE(UPPER(TRIM(B308)),"Á","A"),"À","A"),"Â","A"),"Ã","A"),"É","E"),"Ê","E"),"Í","I"),"Ó","O"),"Ô","O"),"Õ","O"),"Ú","U"),"Ü","U"),"Ç","C"))</f>
        <v/>
      </c>
      <c r="I308" s="28" t="str">
        <f aca="false">IF(C308="","",IF(LEN(SUBSTITUTE(SUBSTITUTE(SUBSTITUTE(SUBSTITUTE(TRIM(C308),"*",""),".",""),"-","")," ",""))=11,MID(SUBSTITUTE(SUBSTITUTE(SUBSTITUTE(SUBSTITUTE(TRIM(C308),"*",""),".",""),"-","")," ",""),4,6),SUBSTITUTE(SUBSTITUTE(SUBSTITUTE(SUBSTITUTE(TRIM(C308),"*",""),".",""),"-","")," ","")))</f>
        <v/>
      </c>
      <c r="J308" s="28" t="str">
        <f aca="false">IF(OR(H308="",I308=""),"",H308&amp;"|"&amp;I308)</f>
        <v/>
      </c>
      <c r="K308" s="19" t="str">
        <f aca="false">IF(H308="","",IF(AND(J308&lt;&gt;"",COUNTIF(Pessoas!$J:$J,J308)&gt;0),"SIM",IF(COUNTIF(Pessoas!$H:$H,H308)&gt;0,"nome igual em Pessoas: confira o CPF","")))</f>
        <v/>
      </c>
      <c r="L308" s="27"/>
      <c r="M308" s="5"/>
    </row>
    <row r="309" customFormat="false" ht="15" hidden="false" customHeight="false" outlineLevel="0" collapsed="false">
      <c r="A309" s="27"/>
      <c r="B309" s="5"/>
      <c r="C309" s="27"/>
      <c r="D309" s="18"/>
      <c r="E309" s="14"/>
      <c r="F309" s="18"/>
      <c r="G309" s="19" t="str">
        <f aca="false">IF(A309="","",IFERROR(INDEX(Empresas!$B:$B,MATCH(A309,Empresas!$A:$A,0))&amp;"","cadastre o CNPJ em Empresas"))</f>
        <v/>
      </c>
      <c r="H309" s="28" t="str">
        <f aca="false">IF(B309="","",SUBSTITUTE(SUBSTITUTE(SUBSTITUTE(SUBSTITUTE(SUBSTITUTE(SUBSTITUTE(SUBSTITUTE(SUBSTITUTE(SUBSTITUTE(SUBSTITUTE(SUBSTITUTE(SUBSTITUTE(SUBSTITUTE(UPPER(TRIM(B309)),"Á","A"),"À","A"),"Â","A"),"Ã","A"),"É","E"),"Ê","E"),"Í","I"),"Ó","O"),"Ô","O"),"Õ","O"),"Ú","U"),"Ü","U"),"Ç","C"))</f>
        <v/>
      </c>
      <c r="I309" s="28" t="str">
        <f aca="false">IF(C309="","",IF(LEN(SUBSTITUTE(SUBSTITUTE(SUBSTITUTE(SUBSTITUTE(TRIM(C309),"*",""),".",""),"-","")," ",""))=11,MID(SUBSTITUTE(SUBSTITUTE(SUBSTITUTE(SUBSTITUTE(TRIM(C309),"*",""),".",""),"-","")," ",""),4,6),SUBSTITUTE(SUBSTITUTE(SUBSTITUTE(SUBSTITUTE(TRIM(C309),"*",""),".",""),"-","")," ","")))</f>
        <v/>
      </c>
      <c r="J309" s="28" t="str">
        <f aca="false">IF(OR(H309="",I309=""),"",H309&amp;"|"&amp;I309)</f>
        <v/>
      </c>
      <c r="K309" s="19" t="str">
        <f aca="false">IF(H309="","",IF(AND(J309&lt;&gt;"",COUNTIF(Pessoas!$J:$J,J309)&gt;0),"SIM",IF(COUNTIF(Pessoas!$H:$H,H309)&gt;0,"nome igual em Pessoas: confira o CPF","")))</f>
        <v/>
      </c>
      <c r="L309" s="27"/>
      <c r="M309" s="5"/>
    </row>
    <row r="310" customFormat="false" ht="15" hidden="false" customHeight="false" outlineLevel="0" collapsed="false">
      <c r="A310" s="27"/>
      <c r="B310" s="5"/>
      <c r="C310" s="27"/>
      <c r="D310" s="18"/>
      <c r="E310" s="14"/>
      <c r="F310" s="18"/>
      <c r="G310" s="19" t="str">
        <f aca="false">IF(A310="","",IFERROR(INDEX(Empresas!$B:$B,MATCH(A310,Empresas!$A:$A,0))&amp;"","cadastre o CNPJ em Empresas"))</f>
        <v/>
      </c>
      <c r="H310" s="28" t="str">
        <f aca="false">IF(B310="","",SUBSTITUTE(SUBSTITUTE(SUBSTITUTE(SUBSTITUTE(SUBSTITUTE(SUBSTITUTE(SUBSTITUTE(SUBSTITUTE(SUBSTITUTE(SUBSTITUTE(SUBSTITUTE(SUBSTITUTE(SUBSTITUTE(UPPER(TRIM(B310)),"Á","A"),"À","A"),"Â","A"),"Ã","A"),"É","E"),"Ê","E"),"Í","I"),"Ó","O"),"Ô","O"),"Õ","O"),"Ú","U"),"Ü","U"),"Ç","C"))</f>
        <v/>
      </c>
      <c r="I310" s="28" t="str">
        <f aca="false">IF(C310="","",IF(LEN(SUBSTITUTE(SUBSTITUTE(SUBSTITUTE(SUBSTITUTE(TRIM(C310),"*",""),".",""),"-","")," ",""))=11,MID(SUBSTITUTE(SUBSTITUTE(SUBSTITUTE(SUBSTITUTE(TRIM(C310),"*",""),".",""),"-","")," ",""),4,6),SUBSTITUTE(SUBSTITUTE(SUBSTITUTE(SUBSTITUTE(TRIM(C310),"*",""),".",""),"-","")," ","")))</f>
        <v/>
      </c>
      <c r="J310" s="28" t="str">
        <f aca="false">IF(OR(H310="",I310=""),"",H310&amp;"|"&amp;I310)</f>
        <v/>
      </c>
      <c r="K310" s="19" t="str">
        <f aca="false">IF(H310="","",IF(AND(J310&lt;&gt;"",COUNTIF(Pessoas!$J:$J,J310)&gt;0),"SIM",IF(COUNTIF(Pessoas!$H:$H,H310)&gt;0,"nome igual em Pessoas: confira o CPF","")))</f>
        <v/>
      </c>
      <c r="L310" s="27"/>
      <c r="M310" s="5"/>
    </row>
    <row r="311" customFormat="false" ht="15" hidden="false" customHeight="false" outlineLevel="0" collapsed="false">
      <c r="A311" s="27"/>
      <c r="B311" s="5"/>
      <c r="C311" s="27"/>
      <c r="D311" s="18"/>
      <c r="E311" s="14"/>
      <c r="F311" s="18"/>
      <c r="G311" s="19" t="str">
        <f aca="false">IF(A311="","",IFERROR(INDEX(Empresas!$B:$B,MATCH(A311,Empresas!$A:$A,0))&amp;"","cadastre o CNPJ em Empresas"))</f>
        <v/>
      </c>
      <c r="H311" s="28" t="str">
        <f aca="false">IF(B311="","",SUBSTITUTE(SUBSTITUTE(SUBSTITUTE(SUBSTITUTE(SUBSTITUTE(SUBSTITUTE(SUBSTITUTE(SUBSTITUTE(SUBSTITUTE(SUBSTITUTE(SUBSTITUTE(SUBSTITUTE(SUBSTITUTE(UPPER(TRIM(B311)),"Á","A"),"À","A"),"Â","A"),"Ã","A"),"É","E"),"Ê","E"),"Í","I"),"Ó","O"),"Ô","O"),"Õ","O"),"Ú","U"),"Ü","U"),"Ç","C"))</f>
        <v/>
      </c>
      <c r="I311" s="28" t="str">
        <f aca="false">IF(C311="","",IF(LEN(SUBSTITUTE(SUBSTITUTE(SUBSTITUTE(SUBSTITUTE(TRIM(C311),"*",""),".",""),"-","")," ",""))=11,MID(SUBSTITUTE(SUBSTITUTE(SUBSTITUTE(SUBSTITUTE(TRIM(C311),"*",""),".",""),"-","")," ",""),4,6),SUBSTITUTE(SUBSTITUTE(SUBSTITUTE(SUBSTITUTE(TRIM(C311),"*",""),".",""),"-","")," ","")))</f>
        <v/>
      </c>
      <c r="J311" s="28" t="str">
        <f aca="false">IF(OR(H311="",I311=""),"",H311&amp;"|"&amp;I311)</f>
        <v/>
      </c>
      <c r="K311" s="19" t="str">
        <f aca="false">IF(H311="","",IF(AND(J311&lt;&gt;"",COUNTIF(Pessoas!$J:$J,J311)&gt;0),"SIM",IF(COUNTIF(Pessoas!$H:$H,H311)&gt;0,"nome igual em Pessoas: confira o CPF","")))</f>
        <v/>
      </c>
      <c r="L311" s="27"/>
      <c r="M311" s="5"/>
    </row>
    <row r="312" customFormat="false" ht="15" hidden="false" customHeight="false" outlineLevel="0" collapsed="false">
      <c r="A312" s="27"/>
      <c r="B312" s="5"/>
      <c r="C312" s="27"/>
      <c r="D312" s="18"/>
      <c r="E312" s="14"/>
      <c r="F312" s="18"/>
      <c r="G312" s="19" t="str">
        <f aca="false">IF(A312="","",IFERROR(INDEX(Empresas!$B:$B,MATCH(A312,Empresas!$A:$A,0))&amp;"","cadastre o CNPJ em Empresas"))</f>
        <v/>
      </c>
      <c r="H312" s="28" t="str">
        <f aca="false">IF(B312="","",SUBSTITUTE(SUBSTITUTE(SUBSTITUTE(SUBSTITUTE(SUBSTITUTE(SUBSTITUTE(SUBSTITUTE(SUBSTITUTE(SUBSTITUTE(SUBSTITUTE(SUBSTITUTE(SUBSTITUTE(SUBSTITUTE(UPPER(TRIM(B312)),"Á","A"),"À","A"),"Â","A"),"Ã","A"),"É","E"),"Ê","E"),"Í","I"),"Ó","O"),"Ô","O"),"Õ","O"),"Ú","U"),"Ü","U"),"Ç","C"))</f>
        <v/>
      </c>
      <c r="I312" s="28" t="str">
        <f aca="false">IF(C312="","",IF(LEN(SUBSTITUTE(SUBSTITUTE(SUBSTITUTE(SUBSTITUTE(TRIM(C312),"*",""),".",""),"-","")," ",""))=11,MID(SUBSTITUTE(SUBSTITUTE(SUBSTITUTE(SUBSTITUTE(TRIM(C312),"*",""),".",""),"-","")," ",""),4,6),SUBSTITUTE(SUBSTITUTE(SUBSTITUTE(SUBSTITUTE(TRIM(C312),"*",""),".",""),"-","")," ","")))</f>
        <v/>
      </c>
      <c r="J312" s="28" t="str">
        <f aca="false">IF(OR(H312="",I312=""),"",H312&amp;"|"&amp;I312)</f>
        <v/>
      </c>
      <c r="K312" s="19" t="str">
        <f aca="false">IF(H312="","",IF(AND(J312&lt;&gt;"",COUNTIF(Pessoas!$J:$J,J312)&gt;0),"SIM",IF(COUNTIF(Pessoas!$H:$H,H312)&gt;0,"nome igual em Pessoas: confira o CPF","")))</f>
        <v/>
      </c>
      <c r="L312" s="27"/>
      <c r="M312" s="5"/>
    </row>
    <row r="313" customFormat="false" ht="15" hidden="false" customHeight="false" outlineLevel="0" collapsed="false">
      <c r="A313" s="27"/>
      <c r="B313" s="5"/>
      <c r="C313" s="27"/>
      <c r="D313" s="18"/>
      <c r="E313" s="14"/>
      <c r="F313" s="18"/>
      <c r="G313" s="19" t="str">
        <f aca="false">IF(A313="","",IFERROR(INDEX(Empresas!$B:$B,MATCH(A313,Empresas!$A:$A,0))&amp;"","cadastre o CNPJ em Empresas"))</f>
        <v/>
      </c>
      <c r="H313" s="28" t="str">
        <f aca="false">IF(B313="","",SUBSTITUTE(SUBSTITUTE(SUBSTITUTE(SUBSTITUTE(SUBSTITUTE(SUBSTITUTE(SUBSTITUTE(SUBSTITUTE(SUBSTITUTE(SUBSTITUTE(SUBSTITUTE(SUBSTITUTE(SUBSTITUTE(UPPER(TRIM(B313)),"Á","A"),"À","A"),"Â","A"),"Ã","A"),"É","E"),"Ê","E"),"Í","I"),"Ó","O"),"Ô","O"),"Õ","O"),"Ú","U"),"Ü","U"),"Ç","C"))</f>
        <v/>
      </c>
      <c r="I313" s="28" t="str">
        <f aca="false">IF(C313="","",IF(LEN(SUBSTITUTE(SUBSTITUTE(SUBSTITUTE(SUBSTITUTE(TRIM(C313),"*",""),".",""),"-","")," ",""))=11,MID(SUBSTITUTE(SUBSTITUTE(SUBSTITUTE(SUBSTITUTE(TRIM(C313),"*",""),".",""),"-","")," ",""),4,6),SUBSTITUTE(SUBSTITUTE(SUBSTITUTE(SUBSTITUTE(TRIM(C313),"*",""),".",""),"-","")," ","")))</f>
        <v/>
      </c>
      <c r="J313" s="28" t="str">
        <f aca="false">IF(OR(H313="",I313=""),"",H313&amp;"|"&amp;I313)</f>
        <v/>
      </c>
      <c r="K313" s="19" t="str">
        <f aca="false">IF(H313="","",IF(AND(J313&lt;&gt;"",COUNTIF(Pessoas!$J:$J,J313)&gt;0),"SIM",IF(COUNTIF(Pessoas!$H:$H,H313)&gt;0,"nome igual em Pessoas: confira o CPF","")))</f>
        <v/>
      </c>
      <c r="L313" s="27"/>
      <c r="M313" s="5"/>
    </row>
    <row r="314" customFormat="false" ht="15" hidden="false" customHeight="false" outlineLevel="0" collapsed="false">
      <c r="A314" s="27"/>
      <c r="B314" s="5"/>
      <c r="C314" s="27"/>
      <c r="D314" s="18"/>
      <c r="E314" s="14"/>
      <c r="F314" s="18"/>
      <c r="G314" s="19" t="str">
        <f aca="false">IF(A314="","",IFERROR(INDEX(Empresas!$B:$B,MATCH(A314,Empresas!$A:$A,0))&amp;"","cadastre o CNPJ em Empresas"))</f>
        <v/>
      </c>
      <c r="H314" s="28" t="str">
        <f aca="false">IF(B314="","",SUBSTITUTE(SUBSTITUTE(SUBSTITUTE(SUBSTITUTE(SUBSTITUTE(SUBSTITUTE(SUBSTITUTE(SUBSTITUTE(SUBSTITUTE(SUBSTITUTE(SUBSTITUTE(SUBSTITUTE(SUBSTITUTE(UPPER(TRIM(B314)),"Á","A"),"À","A"),"Â","A"),"Ã","A"),"É","E"),"Ê","E"),"Í","I"),"Ó","O"),"Ô","O"),"Õ","O"),"Ú","U"),"Ü","U"),"Ç","C"))</f>
        <v/>
      </c>
      <c r="I314" s="28" t="str">
        <f aca="false">IF(C314="","",IF(LEN(SUBSTITUTE(SUBSTITUTE(SUBSTITUTE(SUBSTITUTE(TRIM(C314),"*",""),".",""),"-","")," ",""))=11,MID(SUBSTITUTE(SUBSTITUTE(SUBSTITUTE(SUBSTITUTE(TRIM(C314),"*",""),".",""),"-","")," ",""),4,6),SUBSTITUTE(SUBSTITUTE(SUBSTITUTE(SUBSTITUTE(TRIM(C314),"*",""),".",""),"-","")," ","")))</f>
        <v/>
      </c>
      <c r="J314" s="28" t="str">
        <f aca="false">IF(OR(H314="",I314=""),"",H314&amp;"|"&amp;I314)</f>
        <v/>
      </c>
      <c r="K314" s="19" t="str">
        <f aca="false">IF(H314="","",IF(AND(J314&lt;&gt;"",COUNTIF(Pessoas!$J:$J,J314)&gt;0),"SIM",IF(COUNTIF(Pessoas!$H:$H,H314)&gt;0,"nome igual em Pessoas: confira o CPF","")))</f>
        <v/>
      </c>
      <c r="L314" s="27"/>
      <c r="M314" s="5"/>
    </row>
    <row r="315" customFormat="false" ht="15" hidden="false" customHeight="false" outlineLevel="0" collapsed="false">
      <c r="A315" s="27"/>
      <c r="B315" s="5"/>
      <c r="C315" s="27"/>
      <c r="D315" s="18"/>
      <c r="E315" s="14"/>
      <c r="F315" s="18"/>
      <c r="G315" s="19" t="str">
        <f aca="false">IF(A315="","",IFERROR(INDEX(Empresas!$B:$B,MATCH(A315,Empresas!$A:$A,0))&amp;"","cadastre o CNPJ em Empresas"))</f>
        <v/>
      </c>
      <c r="H315" s="28" t="str">
        <f aca="false">IF(B315="","",SUBSTITUTE(SUBSTITUTE(SUBSTITUTE(SUBSTITUTE(SUBSTITUTE(SUBSTITUTE(SUBSTITUTE(SUBSTITUTE(SUBSTITUTE(SUBSTITUTE(SUBSTITUTE(SUBSTITUTE(SUBSTITUTE(UPPER(TRIM(B315)),"Á","A"),"À","A"),"Â","A"),"Ã","A"),"É","E"),"Ê","E"),"Í","I"),"Ó","O"),"Ô","O"),"Õ","O"),"Ú","U"),"Ü","U"),"Ç","C"))</f>
        <v/>
      </c>
      <c r="I315" s="28" t="str">
        <f aca="false">IF(C315="","",IF(LEN(SUBSTITUTE(SUBSTITUTE(SUBSTITUTE(SUBSTITUTE(TRIM(C315),"*",""),".",""),"-","")," ",""))=11,MID(SUBSTITUTE(SUBSTITUTE(SUBSTITUTE(SUBSTITUTE(TRIM(C315),"*",""),".",""),"-","")," ",""),4,6),SUBSTITUTE(SUBSTITUTE(SUBSTITUTE(SUBSTITUTE(TRIM(C315),"*",""),".",""),"-","")," ","")))</f>
        <v/>
      </c>
      <c r="J315" s="28" t="str">
        <f aca="false">IF(OR(H315="",I315=""),"",H315&amp;"|"&amp;I315)</f>
        <v/>
      </c>
      <c r="K315" s="19" t="str">
        <f aca="false">IF(H315="","",IF(AND(J315&lt;&gt;"",COUNTIF(Pessoas!$J:$J,J315)&gt;0),"SIM",IF(COUNTIF(Pessoas!$H:$H,H315)&gt;0,"nome igual em Pessoas: confira o CPF","")))</f>
        <v/>
      </c>
      <c r="L315" s="27"/>
      <c r="M315" s="5"/>
    </row>
    <row r="316" customFormat="false" ht="15" hidden="false" customHeight="false" outlineLevel="0" collapsed="false">
      <c r="A316" s="27"/>
      <c r="B316" s="5"/>
      <c r="C316" s="27"/>
      <c r="D316" s="18"/>
      <c r="E316" s="14"/>
      <c r="F316" s="18"/>
      <c r="G316" s="19" t="str">
        <f aca="false">IF(A316="","",IFERROR(INDEX(Empresas!$B:$B,MATCH(A316,Empresas!$A:$A,0))&amp;"","cadastre o CNPJ em Empresas"))</f>
        <v/>
      </c>
      <c r="H316" s="28" t="str">
        <f aca="false">IF(B316="","",SUBSTITUTE(SUBSTITUTE(SUBSTITUTE(SUBSTITUTE(SUBSTITUTE(SUBSTITUTE(SUBSTITUTE(SUBSTITUTE(SUBSTITUTE(SUBSTITUTE(SUBSTITUTE(SUBSTITUTE(SUBSTITUTE(UPPER(TRIM(B316)),"Á","A"),"À","A"),"Â","A"),"Ã","A"),"É","E"),"Ê","E"),"Í","I"),"Ó","O"),"Ô","O"),"Õ","O"),"Ú","U"),"Ü","U"),"Ç","C"))</f>
        <v/>
      </c>
      <c r="I316" s="28" t="str">
        <f aca="false">IF(C316="","",IF(LEN(SUBSTITUTE(SUBSTITUTE(SUBSTITUTE(SUBSTITUTE(TRIM(C316),"*",""),".",""),"-","")," ",""))=11,MID(SUBSTITUTE(SUBSTITUTE(SUBSTITUTE(SUBSTITUTE(TRIM(C316),"*",""),".",""),"-","")," ",""),4,6),SUBSTITUTE(SUBSTITUTE(SUBSTITUTE(SUBSTITUTE(TRIM(C316),"*",""),".",""),"-","")," ","")))</f>
        <v/>
      </c>
      <c r="J316" s="28" t="str">
        <f aca="false">IF(OR(H316="",I316=""),"",H316&amp;"|"&amp;I316)</f>
        <v/>
      </c>
      <c r="K316" s="19" t="str">
        <f aca="false">IF(H316="","",IF(AND(J316&lt;&gt;"",COUNTIF(Pessoas!$J:$J,J316)&gt;0),"SIM",IF(COUNTIF(Pessoas!$H:$H,H316)&gt;0,"nome igual em Pessoas: confira o CPF","")))</f>
        <v/>
      </c>
      <c r="L316" s="27"/>
      <c r="M316" s="5"/>
    </row>
    <row r="317" customFormat="false" ht="15" hidden="false" customHeight="false" outlineLevel="0" collapsed="false">
      <c r="A317" s="27"/>
      <c r="B317" s="5"/>
      <c r="C317" s="27"/>
      <c r="D317" s="18"/>
      <c r="E317" s="14"/>
      <c r="F317" s="18"/>
      <c r="G317" s="19" t="str">
        <f aca="false">IF(A317="","",IFERROR(INDEX(Empresas!$B:$B,MATCH(A317,Empresas!$A:$A,0))&amp;"","cadastre o CNPJ em Empresas"))</f>
        <v/>
      </c>
      <c r="H317" s="28" t="str">
        <f aca="false">IF(B317="","",SUBSTITUTE(SUBSTITUTE(SUBSTITUTE(SUBSTITUTE(SUBSTITUTE(SUBSTITUTE(SUBSTITUTE(SUBSTITUTE(SUBSTITUTE(SUBSTITUTE(SUBSTITUTE(SUBSTITUTE(SUBSTITUTE(UPPER(TRIM(B317)),"Á","A"),"À","A"),"Â","A"),"Ã","A"),"É","E"),"Ê","E"),"Í","I"),"Ó","O"),"Ô","O"),"Õ","O"),"Ú","U"),"Ü","U"),"Ç","C"))</f>
        <v/>
      </c>
      <c r="I317" s="28" t="str">
        <f aca="false">IF(C317="","",IF(LEN(SUBSTITUTE(SUBSTITUTE(SUBSTITUTE(SUBSTITUTE(TRIM(C317),"*",""),".",""),"-","")," ",""))=11,MID(SUBSTITUTE(SUBSTITUTE(SUBSTITUTE(SUBSTITUTE(TRIM(C317),"*",""),".",""),"-","")," ",""),4,6),SUBSTITUTE(SUBSTITUTE(SUBSTITUTE(SUBSTITUTE(TRIM(C317),"*",""),".",""),"-","")," ","")))</f>
        <v/>
      </c>
      <c r="J317" s="28" t="str">
        <f aca="false">IF(OR(H317="",I317=""),"",H317&amp;"|"&amp;I317)</f>
        <v/>
      </c>
      <c r="K317" s="19" t="str">
        <f aca="false">IF(H317="","",IF(AND(J317&lt;&gt;"",COUNTIF(Pessoas!$J:$J,J317)&gt;0),"SIM",IF(COUNTIF(Pessoas!$H:$H,H317)&gt;0,"nome igual em Pessoas: confira o CPF","")))</f>
        <v/>
      </c>
      <c r="L317" s="27"/>
      <c r="M317" s="5"/>
    </row>
    <row r="318" customFormat="false" ht="15" hidden="false" customHeight="false" outlineLevel="0" collapsed="false">
      <c r="A318" s="27"/>
      <c r="B318" s="5"/>
      <c r="C318" s="27"/>
      <c r="D318" s="18"/>
      <c r="E318" s="14"/>
      <c r="F318" s="18"/>
      <c r="G318" s="19" t="str">
        <f aca="false">IF(A318="","",IFERROR(INDEX(Empresas!$B:$B,MATCH(A318,Empresas!$A:$A,0))&amp;"","cadastre o CNPJ em Empresas"))</f>
        <v/>
      </c>
      <c r="H318" s="28" t="str">
        <f aca="false">IF(B318="","",SUBSTITUTE(SUBSTITUTE(SUBSTITUTE(SUBSTITUTE(SUBSTITUTE(SUBSTITUTE(SUBSTITUTE(SUBSTITUTE(SUBSTITUTE(SUBSTITUTE(SUBSTITUTE(SUBSTITUTE(SUBSTITUTE(UPPER(TRIM(B318)),"Á","A"),"À","A"),"Â","A"),"Ã","A"),"É","E"),"Ê","E"),"Í","I"),"Ó","O"),"Ô","O"),"Õ","O"),"Ú","U"),"Ü","U"),"Ç","C"))</f>
        <v/>
      </c>
      <c r="I318" s="28" t="str">
        <f aca="false">IF(C318="","",IF(LEN(SUBSTITUTE(SUBSTITUTE(SUBSTITUTE(SUBSTITUTE(TRIM(C318),"*",""),".",""),"-","")," ",""))=11,MID(SUBSTITUTE(SUBSTITUTE(SUBSTITUTE(SUBSTITUTE(TRIM(C318),"*",""),".",""),"-","")," ",""),4,6),SUBSTITUTE(SUBSTITUTE(SUBSTITUTE(SUBSTITUTE(TRIM(C318),"*",""),".",""),"-","")," ","")))</f>
        <v/>
      </c>
      <c r="J318" s="28" t="str">
        <f aca="false">IF(OR(H318="",I318=""),"",H318&amp;"|"&amp;I318)</f>
        <v/>
      </c>
      <c r="K318" s="19" t="str">
        <f aca="false">IF(H318="","",IF(AND(J318&lt;&gt;"",COUNTIF(Pessoas!$J:$J,J318)&gt;0),"SIM",IF(COUNTIF(Pessoas!$H:$H,H318)&gt;0,"nome igual em Pessoas: confira o CPF","")))</f>
        <v/>
      </c>
      <c r="L318" s="27"/>
      <c r="M318" s="5"/>
    </row>
    <row r="319" customFormat="false" ht="15" hidden="false" customHeight="false" outlineLevel="0" collapsed="false">
      <c r="A319" s="27"/>
      <c r="B319" s="5"/>
      <c r="C319" s="27"/>
      <c r="D319" s="18"/>
      <c r="E319" s="14"/>
      <c r="F319" s="18"/>
      <c r="G319" s="19" t="str">
        <f aca="false">IF(A319="","",IFERROR(INDEX(Empresas!$B:$B,MATCH(A319,Empresas!$A:$A,0))&amp;"","cadastre o CNPJ em Empresas"))</f>
        <v/>
      </c>
      <c r="H319" s="28" t="str">
        <f aca="false">IF(B319="","",SUBSTITUTE(SUBSTITUTE(SUBSTITUTE(SUBSTITUTE(SUBSTITUTE(SUBSTITUTE(SUBSTITUTE(SUBSTITUTE(SUBSTITUTE(SUBSTITUTE(SUBSTITUTE(SUBSTITUTE(SUBSTITUTE(UPPER(TRIM(B319)),"Á","A"),"À","A"),"Â","A"),"Ã","A"),"É","E"),"Ê","E"),"Í","I"),"Ó","O"),"Ô","O"),"Õ","O"),"Ú","U"),"Ü","U"),"Ç","C"))</f>
        <v/>
      </c>
      <c r="I319" s="28" t="str">
        <f aca="false">IF(C319="","",IF(LEN(SUBSTITUTE(SUBSTITUTE(SUBSTITUTE(SUBSTITUTE(TRIM(C319),"*",""),".",""),"-","")," ",""))=11,MID(SUBSTITUTE(SUBSTITUTE(SUBSTITUTE(SUBSTITUTE(TRIM(C319),"*",""),".",""),"-","")," ",""),4,6),SUBSTITUTE(SUBSTITUTE(SUBSTITUTE(SUBSTITUTE(TRIM(C319),"*",""),".",""),"-","")," ","")))</f>
        <v/>
      </c>
      <c r="J319" s="28" t="str">
        <f aca="false">IF(OR(H319="",I319=""),"",H319&amp;"|"&amp;I319)</f>
        <v/>
      </c>
      <c r="K319" s="19" t="str">
        <f aca="false">IF(H319="","",IF(AND(J319&lt;&gt;"",COUNTIF(Pessoas!$J:$J,J319)&gt;0),"SIM",IF(COUNTIF(Pessoas!$H:$H,H319)&gt;0,"nome igual em Pessoas: confira o CPF","")))</f>
        <v/>
      </c>
      <c r="L319" s="27"/>
      <c r="M319" s="5"/>
    </row>
    <row r="320" customFormat="false" ht="15" hidden="false" customHeight="false" outlineLevel="0" collapsed="false">
      <c r="A320" s="27"/>
      <c r="B320" s="5"/>
      <c r="C320" s="27"/>
      <c r="D320" s="18"/>
      <c r="E320" s="14"/>
      <c r="F320" s="18"/>
      <c r="G320" s="19" t="str">
        <f aca="false">IF(A320="","",IFERROR(INDEX(Empresas!$B:$B,MATCH(A320,Empresas!$A:$A,0))&amp;"","cadastre o CNPJ em Empresas"))</f>
        <v/>
      </c>
      <c r="H320" s="28" t="str">
        <f aca="false">IF(B320="","",SUBSTITUTE(SUBSTITUTE(SUBSTITUTE(SUBSTITUTE(SUBSTITUTE(SUBSTITUTE(SUBSTITUTE(SUBSTITUTE(SUBSTITUTE(SUBSTITUTE(SUBSTITUTE(SUBSTITUTE(SUBSTITUTE(UPPER(TRIM(B320)),"Á","A"),"À","A"),"Â","A"),"Ã","A"),"É","E"),"Ê","E"),"Í","I"),"Ó","O"),"Ô","O"),"Õ","O"),"Ú","U"),"Ü","U"),"Ç","C"))</f>
        <v/>
      </c>
      <c r="I320" s="28" t="str">
        <f aca="false">IF(C320="","",IF(LEN(SUBSTITUTE(SUBSTITUTE(SUBSTITUTE(SUBSTITUTE(TRIM(C320),"*",""),".",""),"-","")," ",""))=11,MID(SUBSTITUTE(SUBSTITUTE(SUBSTITUTE(SUBSTITUTE(TRIM(C320),"*",""),".",""),"-","")," ",""),4,6),SUBSTITUTE(SUBSTITUTE(SUBSTITUTE(SUBSTITUTE(TRIM(C320),"*",""),".",""),"-","")," ","")))</f>
        <v/>
      </c>
      <c r="J320" s="28" t="str">
        <f aca="false">IF(OR(H320="",I320=""),"",H320&amp;"|"&amp;I320)</f>
        <v/>
      </c>
      <c r="K320" s="19" t="str">
        <f aca="false">IF(H320="","",IF(AND(J320&lt;&gt;"",COUNTIF(Pessoas!$J:$J,J320)&gt;0),"SIM",IF(COUNTIF(Pessoas!$H:$H,H320)&gt;0,"nome igual em Pessoas: confira o CPF","")))</f>
        <v/>
      </c>
      <c r="L320" s="27"/>
      <c r="M320" s="5"/>
    </row>
    <row r="321" customFormat="false" ht="15" hidden="false" customHeight="false" outlineLevel="0" collapsed="false">
      <c r="A321" s="27"/>
      <c r="B321" s="5"/>
      <c r="C321" s="27"/>
      <c r="D321" s="18"/>
      <c r="E321" s="14"/>
      <c r="F321" s="18"/>
      <c r="G321" s="19" t="str">
        <f aca="false">IF(A321="","",IFERROR(INDEX(Empresas!$B:$B,MATCH(A321,Empresas!$A:$A,0))&amp;"","cadastre o CNPJ em Empresas"))</f>
        <v/>
      </c>
      <c r="H321" s="28" t="str">
        <f aca="false">IF(B321="","",SUBSTITUTE(SUBSTITUTE(SUBSTITUTE(SUBSTITUTE(SUBSTITUTE(SUBSTITUTE(SUBSTITUTE(SUBSTITUTE(SUBSTITUTE(SUBSTITUTE(SUBSTITUTE(SUBSTITUTE(SUBSTITUTE(UPPER(TRIM(B321)),"Á","A"),"À","A"),"Â","A"),"Ã","A"),"É","E"),"Ê","E"),"Í","I"),"Ó","O"),"Ô","O"),"Õ","O"),"Ú","U"),"Ü","U"),"Ç","C"))</f>
        <v/>
      </c>
      <c r="I321" s="28" t="str">
        <f aca="false">IF(C321="","",IF(LEN(SUBSTITUTE(SUBSTITUTE(SUBSTITUTE(SUBSTITUTE(TRIM(C321),"*",""),".",""),"-","")," ",""))=11,MID(SUBSTITUTE(SUBSTITUTE(SUBSTITUTE(SUBSTITUTE(TRIM(C321),"*",""),".",""),"-","")," ",""),4,6),SUBSTITUTE(SUBSTITUTE(SUBSTITUTE(SUBSTITUTE(TRIM(C321),"*",""),".",""),"-","")," ","")))</f>
        <v/>
      </c>
      <c r="J321" s="28" t="str">
        <f aca="false">IF(OR(H321="",I321=""),"",H321&amp;"|"&amp;I321)</f>
        <v/>
      </c>
      <c r="K321" s="19" t="str">
        <f aca="false">IF(H321="","",IF(AND(J321&lt;&gt;"",COUNTIF(Pessoas!$J:$J,J321)&gt;0),"SIM",IF(COUNTIF(Pessoas!$H:$H,H321)&gt;0,"nome igual em Pessoas: confira o CPF","")))</f>
        <v/>
      </c>
      <c r="L321" s="27"/>
      <c r="M321" s="5"/>
    </row>
    <row r="322" customFormat="false" ht="15" hidden="false" customHeight="false" outlineLevel="0" collapsed="false">
      <c r="A322" s="27"/>
      <c r="B322" s="5"/>
      <c r="C322" s="27"/>
      <c r="D322" s="18"/>
      <c r="E322" s="14"/>
      <c r="F322" s="18"/>
      <c r="G322" s="19" t="str">
        <f aca="false">IF(A322="","",IFERROR(INDEX(Empresas!$B:$B,MATCH(A322,Empresas!$A:$A,0))&amp;"","cadastre o CNPJ em Empresas"))</f>
        <v/>
      </c>
      <c r="H322" s="28" t="str">
        <f aca="false">IF(B322="","",SUBSTITUTE(SUBSTITUTE(SUBSTITUTE(SUBSTITUTE(SUBSTITUTE(SUBSTITUTE(SUBSTITUTE(SUBSTITUTE(SUBSTITUTE(SUBSTITUTE(SUBSTITUTE(SUBSTITUTE(SUBSTITUTE(UPPER(TRIM(B322)),"Á","A"),"À","A"),"Â","A"),"Ã","A"),"É","E"),"Ê","E"),"Í","I"),"Ó","O"),"Ô","O"),"Õ","O"),"Ú","U"),"Ü","U"),"Ç","C"))</f>
        <v/>
      </c>
      <c r="I322" s="28" t="str">
        <f aca="false">IF(C322="","",IF(LEN(SUBSTITUTE(SUBSTITUTE(SUBSTITUTE(SUBSTITUTE(TRIM(C322),"*",""),".",""),"-","")," ",""))=11,MID(SUBSTITUTE(SUBSTITUTE(SUBSTITUTE(SUBSTITUTE(TRIM(C322),"*",""),".",""),"-","")," ",""),4,6),SUBSTITUTE(SUBSTITUTE(SUBSTITUTE(SUBSTITUTE(TRIM(C322),"*",""),".",""),"-","")," ","")))</f>
        <v/>
      </c>
      <c r="J322" s="28" t="str">
        <f aca="false">IF(OR(H322="",I322=""),"",H322&amp;"|"&amp;I322)</f>
        <v/>
      </c>
      <c r="K322" s="19" t="str">
        <f aca="false">IF(H322="","",IF(AND(J322&lt;&gt;"",COUNTIF(Pessoas!$J:$J,J322)&gt;0),"SIM",IF(COUNTIF(Pessoas!$H:$H,H322)&gt;0,"nome igual em Pessoas: confira o CPF","")))</f>
        <v/>
      </c>
      <c r="L322" s="27"/>
      <c r="M322" s="5"/>
    </row>
    <row r="323" customFormat="false" ht="15" hidden="false" customHeight="false" outlineLevel="0" collapsed="false">
      <c r="A323" s="27"/>
      <c r="B323" s="5"/>
      <c r="C323" s="27"/>
      <c r="D323" s="18"/>
      <c r="E323" s="14"/>
      <c r="F323" s="18"/>
      <c r="G323" s="19" t="str">
        <f aca="false">IF(A323="","",IFERROR(INDEX(Empresas!$B:$B,MATCH(A323,Empresas!$A:$A,0))&amp;"","cadastre o CNPJ em Empresas"))</f>
        <v/>
      </c>
      <c r="H323" s="28" t="str">
        <f aca="false">IF(B323="","",SUBSTITUTE(SUBSTITUTE(SUBSTITUTE(SUBSTITUTE(SUBSTITUTE(SUBSTITUTE(SUBSTITUTE(SUBSTITUTE(SUBSTITUTE(SUBSTITUTE(SUBSTITUTE(SUBSTITUTE(SUBSTITUTE(UPPER(TRIM(B323)),"Á","A"),"À","A"),"Â","A"),"Ã","A"),"É","E"),"Ê","E"),"Í","I"),"Ó","O"),"Ô","O"),"Õ","O"),"Ú","U"),"Ü","U"),"Ç","C"))</f>
        <v/>
      </c>
      <c r="I323" s="28" t="str">
        <f aca="false">IF(C323="","",IF(LEN(SUBSTITUTE(SUBSTITUTE(SUBSTITUTE(SUBSTITUTE(TRIM(C323),"*",""),".",""),"-","")," ",""))=11,MID(SUBSTITUTE(SUBSTITUTE(SUBSTITUTE(SUBSTITUTE(TRIM(C323),"*",""),".",""),"-","")," ",""),4,6),SUBSTITUTE(SUBSTITUTE(SUBSTITUTE(SUBSTITUTE(TRIM(C323),"*",""),".",""),"-","")," ","")))</f>
        <v/>
      </c>
      <c r="J323" s="28" t="str">
        <f aca="false">IF(OR(H323="",I323=""),"",H323&amp;"|"&amp;I323)</f>
        <v/>
      </c>
      <c r="K323" s="19" t="str">
        <f aca="false">IF(H323="","",IF(AND(J323&lt;&gt;"",COUNTIF(Pessoas!$J:$J,J323)&gt;0),"SIM",IF(COUNTIF(Pessoas!$H:$H,H323)&gt;0,"nome igual em Pessoas: confira o CPF","")))</f>
        <v/>
      </c>
      <c r="L323" s="27"/>
      <c r="M323" s="5"/>
    </row>
    <row r="324" customFormat="false" ht="15" hidden="false" customHeight="false" outlineLevel="0" collapsed="false">
      <c r="A324" s="27"/>
      <c r="B324" s="5"/>
      <c r="C324" s="27"/>
      <c r="D324" s="18"/>
      <c r="E324" s="14"/>
      <c r="F324" s="18"/>
      <c r="G324" s="19" t="str">
        <f aca="false">IF(A324="","",IFERROR(INDEX(Empresas!$B:$B,MATCH(A324,Empresas!$A:$A,0))&amp;"","cadastre o CNPJ em Empresas"))</f>
        <v/>
      </c>
      <c r="H324" s="28" t="str">
        <f aca="false">IF(B324="","",SUBSTITUTE(SUBSTITUTE(SUBSTITUTE(SUBSTITUTE(SUBSTITUTE(SUBSTITUTE(SUBSTITUTE(SUBSTITUTE(SUBSTITUTE(SUBSTITUTE(SUBSTITUTE(SUBSTITUTE(SUBSTITUTE(UPPER(TRIM(B324)),"Á","A"),"À","A"),"Â","A"),"Ã","A"),"É","E"),"Ê","E"),"Í","I"),"Ó","O"),"Ô","O"),"Õ","O"),"Ú","U"),"Ü","U"),"Ç","C"))</f>
        <v/>
      </c>
      <c r="I324" s="28" t="str">
        <f aca="false">IF(C324="","",IF(LEN(SUBSTITUTE(SUBSTITUTE(SUBSTITUTE(SUBSTITUTE(TRIM(C324),"*",""),".",""),"-","")," ",""))=11,MID(SUBSTITUTE(SUBSTITUTE(SUBSTITUTE(SUBSTITUTE(TRIM(C324),"*",""),".",""),"-","")," ",""),4,6),SUBSTITUTE(SUBSTITUTE(SUBSTITUTE(SUBSTITUTE(TRIM(C324),"*",""),".",""),"-","")," ","")))</f>
        <v/>
      </c>
      <c r="J324" s="28" t="str">
        <f aca="false">IF(OR(H324="",I324=""),"",H324&amp;"|"&amp;I324)</f>
        <v/>
      </c>
      <c r="K324" s="19" t="str">
        <f aca="false">IF(H324="","",IF(AND(J324&lt;&gt;"",COUNTIF(Pessoas!$J:$J,J324)&gt;0),"SIM",IF(COUNTIF(Pessoas!$H:$H,H324)&gt;0,"nome igual em Pessoas: confira o CPF","")))</f>
        <v/>
      </c>
      <c r="L324" s="27"/>
      <c r="M324" s="5"/>
    </row>
    <row r="325" customFormat="false" ht="15" hidden="false" customHeight="false" outlineLevel="0" collapsed="false">
      <c r="A325" s="27"/>
      <c r="B325" s="5"/>
      <c r="C325" s="27"/>
      <c r="D325" s="18"/>
      <c r="E325" s="14"/>
      <c r="F325" s="18"/>
      <c r="G325" s="19" t="str">
        <f aca="false">IF(A325="","",IFERROR(INDEX(Empresas!$B:$B,MATCH(A325,Empresas!$A:$A,0))&amp;"","cadastre o CNPJ em Empresas"))</f>
        <v/>
      </c>
      <c r="H325" s="28" t="str">
        <f aca="false">IF(B325="","",SUBSTITUTE(SUBSTITUTE(SUBSTITUTE(SUBSTITUTE(SUBSTITUTE(SUBSTITUTE(SUBSTITUTE(SUBSTITUTE(SUBSTITUTE(SUBSTITUTE(SUBSTITUTE(SUBSTITUTE(SUBSTITUTE(UPPER(TRIM(B325)),"Á","A"),"À","A"),"Â","A"),"Ã","A"),"É","E"),"Ê","E"),"Í","I"),"Ó","O"),"Ô","O"),"Õ","O"),"Ú","U"),"Ü","U"),"Ç","C"))</f>
        <v/>
      </c>
      <c r="I325" s="28" t="str">
        <f aca="false">IF(C325="","",IF(LEN(SUBSTITUTE(SUBSTITUTE(SUBSTITUTE(SUBSTITUTE(TRIM(C325),"*",""),".",""),"-","")," ",""))=11,MID(SUBSTITUTE(SUBSTITUTE(SUBSTITUTE(SUBSTITUTE(TRIM(C325),"*",""),".",""),"-","")," ",""),4,6),SUBSTITUTE(SUBSTITUTE(SUBSTITUTE(SUBSTITUTE(TRIM(C325),"*",""),".",""),"-","")," ","")))</f>
        <v/>
      </c>
      <c r="J325" s="28" t="str">
        <f aca="false">IF(OR(H325="",I325=""),"",H325&amp;"|"&amp;I325)</f>
        <v/>
      </c>
      <c r="K325" s="19" t="str">
        <f aca="false">IF(H325="","",IF(AND(J325&lt;&gt;"",COUNTIF(Pessoas!$J:$J,J325)&gt;0),"SIM",IF(COUNTIF(Pessoas!$H:$H,H325)&gt;0,"nome igual em Pessoas: confira o CPF","")))</f>
        <v/>
      </c>
      <c r="L325" s="27"/>
      <c r="M325" s="5"/>
    </row>
    <row r="326" customFormat="false" ht="15" hidden="false" customHeight="false" outlineLevel="0" collapsed="false">
      <c r="A326" s="27"/>
      <c r="B326" s="5"/>
      <c r="C326" s="27"/>
      <c r="D326" s="18"/>
      <c r="E326" s="14"/>
      <c r="F326" s="18"/>
      <c r="G326" s="19" t="str">
        <f aca="false">IF(A326="","",IFERROR(INDEX(Empresas!$B:$B,MATCH(A326,Empresas!$A:$A,0))&amp;"","cadastre o CNPJ em Empresas"))</f>
        <v/>
      </c>
      <c r="H326" s="28" t="str">
        <f aca="false">IF(B326="","",SUBSTITUTE(SUBSTITUTE(SUBSTITUTE(SUBSTITUTE(SUBSTITUTE(SUBSTITUTE(SUBSTITUTE(SUBSTITUTE(SUBSTITUTE(SUBSTITUTE(SUBSTITUTE(SUBSTITUTE(SUBSTITUTE(UPPER(TRIM(B326)),"Á","A"),"À","A"),"Â","A"),"Ã","A"),"É","E"),"Ê","E"),"Í","I"),"Ó","O"),"Ô","O"),"Õ","O"),"Ú","U"),"Ü","U"),"Ç","C"))</f>
        <v/>
      </c>
      <c r="I326" s="28" t="str">
        <f aca="false">IF(C326="","",IF(LEN(SUBSTITUTE(SUBSTITUTE(SUBSTITUTE(SUBSTITUTE(TRIM(C326),"*",""),".",""),"-","")," ",""))=11,MID(SUBSTITUTE(SUBSTITUTE(SUBSTITUTE(SUBSTITUTE(TRIM(C326),"*",""),".",""),"-","")," ",""),4,6),SUBSTITUTE(SUBSTITUTE(SUBSTITUTE(SUBSTITUTE(TRIM(C326),"*",""),".",""),"-","")," ","")))</f>
        <v/>
      </c>
      <c r="J326" s="28" t="str">
        <f aca="false">IF(OR(H326="",I326=""),"",H326&amp;"|"&amp;I326)</f>
        <v/>
      </c>
      <c r="K326" s="19" t="str">
        <f aca="false">IF(H326="","",IF(AND(J326&lt;&gt;"",COUNTIF(Pessoas!$J:$J,J326)&gt;0),"SIM",IF(COUNTIF(Pessoas!$H:$H,H326)&gt;0,"nome igual em Pessoas: confira o CPF","")))</f>
        <v/>
      </c>
      <c r="L326" s="27"/>
      <c r="M326" s="5"/>
    </row>
    <row r="327" customFormat="false" ht="15" hidden="false" customHeight="false" outlineLevel="0" collapsed="false">
      <c r="A327" s="27"/>
      <c r="B327" s="5"/>
      <c r="C327" s="27"/>
      <c r="D327" s="18"/>
      <c r="E327" s="14"/>
      <c r="F327" s="18"/>
      <c r="G327" s="19" t="str">
        <f aca="false">IF(A327="","",IFERROR(INDEX(Empresas!$B:$B,MATCH(A327,Empresas!$A:$A,0))&amp;"","cadastre o CNPJ em Empresas"))</f>
        <v/>
      </c>
      <c r="H327" s="28" t="str">
        <f aca="false">IF(B327="","",SUBSTITUTE(SUBSTITUTE(SUBSTITUTE(SUBSTITUTE(SUBSTITUTE(SUBSTITUTE(SUBSTITUTE(SUBSTITUTE(SUBSTITUTE(SUBSTITUTE(SUBSTITUTE(SUBSTITUTE(SUBSTITUTE(UPPER(TRIM(B327)),"Á","A"),"À","A"),"Â","A"),"Ã","A"),"É","E"),"Ê","E"),"Í","I"),"Ó","O"),"Ô","O"),"Õ","O"),"Ú","U"),"Ü","U"),"Ç","C"))</f>
        <v/>
      </c>
      <c r="I327" s="28" t="str">
        <f aca="false">IF(C327="","",IF(LEN(SUBSTITUTE(SUBSTITUTE(SUBSTITUTE(SUBSTITUTE(TRIM(C327),"*",""),".",""),"-","")," ",""))=11,MID(SUBSTITUTE(SUBSTITUTE(SUBSTITUTE(SUBSTITUTE(TRIM(C327),"*",""),".",""),"-","")," ",""),4,6),SUBSTITUTE(SUBSTITUTE(SUBSTITUTE(SUBSTITUTE(TRIM(C327),"*",""),".",""),"-","")," ","")))</f>
        <v/>
      </c>
      <c r="J327" s="28" t="str">
        <f aca="false">IF(OR(H327="",I327=""),"",H327&amp;"|"&amp;I327)</f>
        <v/>
      </c>
      <c r="K327" s="19" t="str">
        <f aca="false">IF(H327="","",IF(AND(J327&lt;&gt;"",COUNTIF(Pessoas!$J:$J,J327)&gt;0),"SIM",IF(COUNTIF(Pessoas!$H:$H,H327)&gt;0,"nome igual em Pessoas: confira o CPF","")))</f>
        <v/>
      </c>
      <c r="L327" s="27"/>
      <c r="M327" s="5"/>
    </row>
    <row r="328" customFormat="false" ht="15" hidden="false" customHeight="false" outlineLevel="0" collapsed="false">
      <c r="A328" s="27"/>
      <c r="B328" s="5"/>
      <c r="C328" s="27"/>
      <c r="D328" s="18"/>
      <c r="E328" s="14"/>
      <c r="F328" s="18"/>
      <c r="G328" s="19" t="str">
        <f aca="false">IF(A328="","",IFERROR(INDEX(Empresas!$B:$B,MATCH(A328,Empresas!$A:$A,0))&amp;"","cadastre o CNPJ em Empresas"))</f>
        <v/>
      </c>
      <c r="H328" s="28" t="str">
        <f aca="false">IF(B328="","",SUBSTITUTE(SUBSTITUTE(SUBSTITUTE(SUBSTITUTE(SUBSTITUTE(SUBSTITUTE(SUBSTITUTE(SUBSTITUTE(SUBSTITUTE(SUBSTITUTE(SUBSTITUTE(SUBSTITUTE(SUBSTITUTE(UPPER(TRIM(B328)),"Á","A"),"À","A"),"Â","A"),"Ã","A"),"É","E"),"Ê","E"),"Í","I"),"Ó","O"),"Ô","O"),"Õ","O"),"Ú","U"),"Ü","U"),"Ç","C"))</f>
        <v/>
      </c>
      <c r="I328" s="28" t="str">
        <f aca="false">IF(C328="","",IF(LEN(SUBSTITUTE(SUBSTITUTE(SUBSTITUTE(SUBSTITUTE(TRIM(C328),"*",""),".",""),"-","")," ",""))=11,MID(SUBSTITUTE(SUBSTITUTE(SUBSTITUTE(SUBSTITUTE(TRIM(C328),"*",""),".",""),"-","")," ",""),4,6),SUBSTITUTE(SUBSTITUTE(SUBSTITUTE(SUBSTITUTE(TRIM(C328),"*",""),".",""),"-","")," ","")))</f>
        <v/>
      </c>
      <c r="J328" s="28" t="str">
        <f aca="false">IF(OR(H328="",I328=""),"",H328&amp;"|"&amp;I328)</f>
        <v/>
      </c>
      <c r="K328" s="19" t="str">
        <f aca="false">IF(H328="","",IF(AND(J328&lt;&gt;"",COUNTIF(Pessoas!$J:$J,J328)&gt;0),"SIM",IF(COUNTIF(Pessoas!$H:$H,H328)&gt;0,"nome igual em Pessoas: confira o CPF","")))</f>
        <v/>
      </c>
      <c r="L328" s="27"/>
      <c r="M328" s="5"/>
    </row>
    <row r="329" customFormat="false" ht="15" hidden="false" customHeight="false" outlineLevel="0" collapsed="false">
      <c r="A329" s="27"/>
      <c r="B329" s="5"/>
      <c r="C329" s="27"/>
      <c r="D329" s="18"/>
      <c r="E329" s="14"/>
      <c r="F329" s="18"/>
      <c r="G329" s="19" t="str">
        <f aca="false">IF(A329="","",IFERROR(INDEX(Empresas!$B:$B,MATCH(A329,Empresas!$A:$A,0))&amp;"","cadastre o CNPJ em Empresas"))</f>
        <v/>
      </c>
      <c r="H329" s="28" t="str">
        <f aca="false">IF(B329="","",SUBSTITUTE(SUBSTITUTE(SUBSTITUTE(SUBSTITUTE(SUBSTITUTE(SUBSTITUTE(SUBSTITUTE(SUBSTITUTE(SUBSTITUTE(SUBSTITUTE(SUBSTITUTE(SUBSTITUTE(SUBSTITUTE(UPPER(TRIM(B329)),"Á","A"),"À","A"),"Â","A"),"Ã","A"),"É","E"),"Ê","E"),"Í","I"),"Ó","O"),"Ô","O"),"Õ","O"),"Ú","U"),"Ü","U"),"Ç","C"))</f>
        <v/>
      </c>
      <c r="I329" s="28" t="str">
        <f aca="false">IF(C329="","",IF(LEN(SUBSTITUTE(SUBSTITUTE(SUBSTITUTE(SUBSTITUTE(TRIM(C329),"*",""),".",""),"-","")," ",""))=11,MID(SUBSTITUTE(SUBSTITUTE(SUBSTITUTE(SUBSTITUTE(TRIM(C329),"*",""),".",""),"-","")," ",""),4,6),SUBSTITUTE(SUBSTITUTE(SUBSTITUTE(SUBSTITUTE(TRIM(C329),"*",""),".",""),"-","")," ","")))</f>
        <v/>
      </c>
      <c r="J329" s="28" t="str">
        <f aca="false">IF(OR(H329="",I329=""),"",H329&amp;"|"&amp;I329)</f>
        <v/>
      </c>
      <c r="K329" s="19" t="str">
        <f aca="false">IF(H329="","",IF(AND(J329&lt;&gt;"",COUNTIF(Pessoas!$J:$J,J329)&gt;0),"SIM",IF(COUNTIF(Pessoas!$H:$H,H329)&gt;0,"nome igual em Pessoas: confira o CPF","")))</f>
        <v/>
      </c>
      <c r="L329" s="27"/>
      <c r="M329" s="5"/>
    </row>
    <row r="330" customFormat="false" ht="15" hidden="false" customHeight="false" outlineLevel="0" collapsed="false">
      <c r="A330" s="27"/>
      <c r="B330" s="5"/>
      <c r="C330" s="27"/>
      <c r="D330" s="18"/>
      <c r="E330" s="14"/>
      <c r="F330" s="18"/>
      <c r="G330" s="19" t="str">
        <f aca="false">IF(A330="","",IFERROR(INDEX(Empresas!$B:$B,MATCH(A330,Empresas!$A:$A,0))&amp;"","cadastre o CNPJ em Empresas"))</f>
        <v/>
      </c>
      <c r="H330" s="28" t="str">
        <f aca="false">IF(B330="","",SUBSTITUTE(SUBSTITUTE(SUBSTITUTE(SUBSTITUTE(SUBSTITUTE(SUBSTITUTE(SUBSTITUTE(SUBSTITUTE(SUBSTITUTE(SUBSTITUTE(SUBSTITUTE(SUBSTITUTE(SUBSTITUTE(UPPER(TRIM(B330)),"Á","A"),"À","A"),"Â","A"),"Ã","A"),"É","E"),"Ê","E"),"Í","I"),"Ó","O"),"Ô","O"),"Õ","O"),"Ú","U"),"Ü","U"),"Ç","C"))</f>
        <v/>
      </c>
      <c r="I330" s="28" t="str">
        <f aca="false">IF(C330="","",IF(LEN(SUBSTITUTE(SUBSTITUTE(SUBSTITUTE(SUBSTITUTE(TRIM(C330),"*",""),".",""),"-","")," ",""))=11,MID(SUBSTITUTE(SUBSTITUTE(SUBSTITUTE(SUBSTITUTE(TRIM(C330),"*",""),".",""),"-","")," ",""),4,6),SUBSTITUTE(SUBSTITUTE(SUBSTITUTE(SUBSTITUTE(TRIM(C330),"*",""),".",""),"-","")," ","")))</f>
        <v/>
      </c>
      <c r="J330" s="28" t="str">
        <f aca="false">IF(OR(H330="",I330=""),"",H330&amp;"|"&amp;I330)</f>
        <v/>
      </c>
      <c r="K330" s="19" t="str">
        <f aca="false">IF(H330="","",IF(AND(J330&lt;&gt;"",COUNTIF(Pessoas!$J:$J,J330)&gt;0),"SIM",IF(COUNTIF(Pessoas!$H:$H,H330)&gt;0,"nome igual em Pessoas: confira o CPF","")))</f>
        <v/>
      </c>
      <c r="L330" s="27"/>
      <c r="M330" s="5"/>
    </row>
    <row r="331" customFormat="false" ht="15" hidden="false" customHeight="false" outlineLevel="0" collapsed="false">
      <c r="A331" s="27"/>
      <c r="B331" s="5"/>
      <c r="C331" s="27"/>
      <c r="D331" s="18"/>
      <c r="E331" s="14"/>
      <c r="F331" s="18"/>
      <c r="G331" s="19" t="str">
        <f aca="false">IF(A331="","",IFERROR(INDEX(Empresas!$B:$B,MATCH(A331,Empresas!$A:$A,0))&amp;"","cadastre o CNPJ em Empresas"))</f>
        <v/>
      </c>
      <c r="H331" s="28" t="str">
        <f aca="false">IF(B331="","",SUBSTITUTE(SUBSTITUTE(SUBSTITUTE(SUBSTITUTE(SUBSTITUTE(SUBSTITUTE(SUBSTITUTE(SUBSTITUTE(SUBSTITUTE(SUBSTITUTE(SUBSTITUTE(SUBSTITUTE(SUBSTITUTE(UPPER(TRIM(B331)),"Á","A"),"À","A"),"Â","A"),"Ã","A"),"É","E"),"Ê","E"),"Í","I"),"Ó","O"),"Ô","O"),"Õ","O"),"Ú","U"),"Ü","U"),"Ç","C"))</f>
        <v/>
      </c>
      <c r="I331" s="28" t="str">
        <f aca="false">IF(C331="","",IF(LEN(SUBSTITUTE(SUBSTITUTE(SUBSTITUTE(SUBSTITUTE(TRIM(C331),"*",""),".",""),"-","")," ",""))=11,MID(SUBSTITUTE(SUBSTITUTE(SUBSTITUTE(SUBSTITUTE(TRIM(C331),"*",""),".",""),"-","")," ",""),4,6),SUBSTITUTE(SUBSTITUTE(SUBSTITUTE(SUBSTITUTE(TRIM(C331),"*",""),".",""),"-","")," ","")))</f>
        <v/>
      </c>
      <c r="J331" s="28" t="str">
        <f aca="false">IF(OR(H331="",I331=""),"",H331&amp;"|"&amp;I331)</f>
        <v/>
      </c>
      <c r="K331" s="19" t="str">
        <f aca="false">IF(H331="","",IF(AND(J331&lt;&gt;"",COUNTIF(Pessoas!$J:$J,J331)&gt;0),"SIM",IF(COUNTIF(Pessoas!$H:$H,H331)&gt;0,"nome igual em Pessoas: confira o CPF","")))</f>
        <v/>
      </c>
      <c r="L331" s="27"/>
      <c r="M331" s="5"/>
    </row>
    <row r="332" customFormat="false" ht="15" hidden="false" customHeight="false" outlineLevel="0" collapsed="false">
      <c r="A332" s="27"/>
      <c r="B332" s="5"/>
      <c r="C332" s="27"/>
      <c r="D332" s="18"/>
      <c r="E332" s="14"/>
      <c r="F332" s="18"/>
      <c r="G332" s="19" t="str">
        <f aca="false">IF(A332="","",IFERROR(INDEX(Empresas!$B:$B,MATCH(A332,Empresas!$A:$A,0))&amp;"","cadastre o CNPJ em Empresas"))</f>
        <v/>
      </c>
      <c r="H332" s="28" t="str">
        <f aca="false">IF(B332="","",SUBSTITUTE(SUBSTITUTE(SUBSTITUTE(SUBSTITUTE(SUBSTITUTE(SUBSTITUTE(SUBSTITUTE(SUBSTITUTE(SUBSTITUTE(SUBSTITUTE(SUBSTITUTE(SUBSTITUTE(SUBSTITUTE(UPPER(TRIM(B332)),"Á","A"),"À","A"),"Â","A"),"Ã","A"),"É","E"),"Ê","E"),"Í","I"),"Ó","O"),"Ô","O"),"Õ","O"),"Ú","U"),"Ü","U"),"Ç","C"))</f>
        <v/>
      </c>
      <c r="I332" s="28" t="str">
        <f aca="false">IF(C332="","",IF(LEN(SUBSTITUTE(SUBSTITUTE(SUBSTITUTE(SUBSTITUTE(TRIM(C332),"*",""),".",""),"-","")," ",""))=11,MID(SUBSTITUTE(SUBSTITUTE(SUBSTITUTE(SUBSTITUTE(TRIM(C332),"*",""),".",""),"-","")," ",""),4,6),SUBSTITUTE(SUBSTITUTE(SUBSTITUTE(SUBSTITUTE(TRIM(C332),"*",""),".",""),"-","")," ","")))</f>
        <v/>
      </c>
      <c r="J332" s="28" t="str">
        <f aca="false">IF(OR(H332="",I332=""),"",H332&amp;"|"&amp;I332)</f>
        <v/>
      </c>
      <c r="K332" s="19" t="str">
        <f aca="false">IF(H332="","",IF(AND(J332&lt;&gt;"",COUNTIF(Pessoas!$J:$J,J332)&gt;0),"SIM",IF(COUNTIF(Pessoas!$H:$H,H332)&gt;0,"nome igual em Pessoas: confira o CPF","")))</f>
        <v/>
      </c>
      <c r="L332" s="27"/>
      <c r="M332" s="5"/>
    </row>
    <row r="333" customFormat="false" ht="15" hidden="false" customHeight="false" outlineLevel="0" collapsed="false">
      <c r="A333" s="27"/>
      <c r="B333" s="5"/>
      <c r="C333" s="27"/>
      <c r="D333" s="18"/>
      <c r="E333" s="14"/>
      <c r="F333" s="18"/>
      <c r="G333" s="19" t="str">
        <f aca="false">IF(A333="","",IFERROR(INDEX(Empresas!$B:$B,MATCH(A333,Empresas!$A:$A,0))&amp;"","cadastre o CNPJ em Empresas"))</f>
        <v/>
      </c>
      <c r="H333" s="28" t="str">
        <f aca="false">IF(B333="","",SUBSTITUTE(SUBSTITUTE(SUBSTITUTE(SUBSTITUTE(SUBSTITUTE(SUBSTITUTE(SUBSTITUTE(SUBSTITUTE(SUBSTITUTE(SUBSTITUTE(SUBSTITUTE(SUBSTITUTE(SUBSTITUTE(UPPER(TRIM(B333)),"Á","A"),"À","A"),"Â","A"),"Ã","A"),"É","E"),"Ê","E"),"Í","I"),"Ó","O"),"Ô","O"),"Õ","O"),"Ú","U"),"Ü","U"),"Ç","C"))</f>
        <v/>
      </c>
      <c r="I333" s="28" t="str">
        <f aca="false">IF(C333="","",IF(LEN(SUBSTITUTE(SUBSTITUTE(SUBSTITUTE(SUBSTITUTE(TRIM(C333),"*",""),".",""),"-","")," ",""))=11,MID(SUBSTITUTE(SUBSTITUTE(SUBSTITUTE(SUBSTITUTE(TRIM(C333),"*",""),".",""),"-","")," ",""),4,6),SUBSTITUTE(SUBSTITUTE(SUBSTITUTE(SUBSTITUTE(TRIM(C333),"*",""),".",""),"-","")," ","")))</f>
        <v/>
      </c>
      <c r="J333" s="28" t="str">
        <f aca="false">IF(OR(H333="",I333=""),"",H333&amp;"|"&amp;I333)</f>
        <v/>
      </c>
      <c r="K333" s="19" t="str">
        <f aca="false">IF(H333="","",IF(AND(J333&lt;&gt;"",COUNTIF(Pessoas!$J:$J,J333)&gt;0),"SIM",IF(COUNTIF(Pessoas!$H:$H,H333)&gt;0,"nome igual em Pessoas: confira o CPF","")))</f>
        <v/>
      </c>
      <c r="L333" s="27"/>
      <c r="M333" s="5"/>
    </row>
    <row r="334" customFormat="false" ht="15" hidden="false" customHeight="false" outlineLevel="0" collapsed="false">
      <c r="A334" s="27"/>
      <c r="B334" s="5"/>
      <c r="C334" s="27"/>
      <c r="D334" s="18"/>
      <c r="E334" s="14"/>
      <c r="F334" s="18"/>
      <c r="G334" s="19" t="str">
        <f aca="false">IF(A334="","",IFERROR(INDEX(Empresas!$B:$B,MATCH(A334,Empresas!$A:$A,0))&amp;"","cadastre o CNPJ em Empresas"))</f>
        <v/>
      </c>
      <c r="H334" s="28" t="str">
        <f aca="false">IF(B334="","",SUBSTITUTE(SUBSTITUTE(SUBSTITUTE(SUBSTITUTE(SUBSTITUTE(SUBSTITUTE(SUBSTITUTE(SUBSTITUTE(SUBSTITUTE(SUBSTITUTE(SUBSTITUTE(SUBSTITUTE(SUBSTITUTE(UPPER(TRIM(B334)),"Á","A"),"À","A"),"Â","A"),"Ã","A"),"É","E"),"Ê","E"),"Í","I"),"Ó","O"),"Ô","O"),"Õ","O"),"Ú","U"),"Ü","U"),"Ç","C"))</f>
        <v/>
      </c>
      <c r="I334" s="28" t="str">
        <f aca="false">IF(C334="","",IF(LEN(SUBSTITUTE(SUBSTITUTE(SUBSTITUTE(SUBSTITUTE(TRIM(C334),"*",""),".",""),"-","")," ",""))=11,MID(SUBSTITUTE(SUBSTITUTE(SUBSTITUTE(SUBSTITUTE(TRIM(C334),"*",""),".",""),"-","")," ",""),4,6),SUBSTITUTE(SUBSTITUTE(SUBSTITUTE(SUBSTITUTE(TRIM(C334),"*",""),".",""),"-","")," ","")))</f>
        <v/>
      </c>
      <c r="J334" s="28" t="str">
        <f aca="false">IF(OR(H334="",I334=""),"",H334&amp;"|"&amp;I334)</f>
        <v/>
      </c>
      <c r="K334" s="19" t="str">
        <f aca="false">IF(H334="","",IF(AND(J334&lt;&gt;"",COUNTIF(Pessoas!$J:$J,J334)&gt;0),"SIM",IF(COUNTIF(Pessoas!$H:$H,H334)&gt;0,"nome igual em Pessoas: confira o CPF","")))</f>
        <v/>
      </c>
      <c r="L334" s="27"/>
      <c r="M334" s="5"/>
    </row>
    <row r="335" customFormat="false" ht="15" hidden="false" customHeight="false" outlineLevel="0" collapsed="false">
      <c r="A335" s="27"/>
      <c r="B335" s="5"/>
      <c r="C335" s="27"/>
      <c r="D335" s="18"/>
      <c r="E335" s="14"/>
      <c r="F335" s="18"/>
      <c r="G335" s="19" t="str">
        <f aca="false">IF(A335="","",IFERROR(INDEX(Empresas!$B:$B,MATCH(A335,Empresas!$A:$A,0))&amp;"","cadastre o CNPJ em Empresas"))</f>
        <v/>
      </c>
      <c r="H335" s="28" t="str">
        <f aca="false">IF(B335="","",SUBSTITUTE(SUBSTITUTE(SUBSTITUTE(SUBSTITUTE(SUBSTITUTE(SUBSTITUTE(SUBSTITUTE(SUBSTITUTE(SUBSTITUTE(SUBSTITUTE(SUBSTITUTE(SUBSTITUTE(SUBSTITUTE(UPPER(TRIM(B335)),"Á","A"),"À","A"),"Â","A"),"Ã","A"),"É","E"),"Ê","E"),"Í","I"),"Ó","O"),"Ô","O"),"Õ","O"),"Ú","U"),"Ü","U"),"Ç","C"))</f>
        <v/>
      </c>
      <c r="I335" s="28" t="str">
        <f aca="false">IF(C335="","",IF(LEN(SUBSTITUTE(SUBSTITUTE(SUBSTITUTE(SUBSTITUTE(TRIM(C335),"*",""),".",""),"-","")," ",""))=11,MID(SUBSTITUTE(SUBSTITUTE(SUBSTITUTE(SUBSTITUTE(TRIM(C335),"*",""),".",""),"-","")," ",""),4,6),SUBSTITUTE(SUBSTITUTE(SUBSTITUTE(SUBSTITUTE(TRIM(C335),"*",""),".",""),"-","")," ","")))</f>
        <v/>
      </c>
      <c r="J335" s="28" t="str">
        <f aca="false">IF(OR(H335="",I335=""),"",H335&amp;"|"&amp;I335)</f>
        <v/>
      </c>
      <c r="K335" s="19" t="str">
        <f aca="false">IF(H335="","",IF(AND(J335&lt;&gt;"",COUNTIF(Pessoas!$J:$J,J335)&gt;0),"SIM",IF(COUNTIF(Pessoas!$H:$H,H335)&gt;0,"nome igual em Pessoas: confira o CPF","")))</f>
        <v/>
      </c>
      <c r="L335" s="27"/>
      <c r="M335" s="5"/>
    </row>
    <row r="336" customFormat="false" ht="15" hidden="false" customHeight="false" outlineLevel="0" collapsed="false">
      <c r="A336" s="27"/>
      <c r="B336" s="5"/>
      <c r="C336" s="27"/>
      <c r="D336" s="18"/>
      <c r="E336" s="14"/>
      <c r="F336" s="18"/>
      <c r="G336" s="19" t="str">
        <f aca="false">IF(A336="","",IFERROR(INDEX(Empresas!$B:$B,MATCH(A336,Empresas!$A:$A,0))&amp;"","cadastre o CNPJ em Empresas"))</f>
        <v/>
      </c>
      <c r="H336" s="28" t="str">
        <f aca="false">IF(B336="","",SUBSTITUTE(SUBSTITUTE(SUBSTITUTE(SUBSTITUTE(SUBSTITUTE(SUBSTITUTE(SUBSTITUTE(SUBSTITUTE(SUBSTITUTE(SUBSTITUTE(SUBSTITUTE(SUBSTITUTE(SUBSTITUTE(UPPER(TRIM(B336)),"Á","A"),"À","A"),"Â","A"),"Ã","A"),"É","E"),"Ê","E"),"Í","I"),"Ó","O"),"Ô","O"),"Õ","O"),"Ú","U"),"Ü","U"),"Ç","C"))</f>
        <v/>
      </c>
      <c r="I336" s="28" t="str">
        <f aca="false">IF(C336="","",IF(LEN(SUBSTITUTE(SUBSTITUTE(SUBSTITUTE(SUBSTITUTE(TRIM(C336),"*",""),".",""),"-","")," ",""))=11,MID(SUBSTITUTE(SUBSTITUTE(SUBSTITUTE(SUBSTITUTE(TRIM(C336),"*",""),".",""),"-","")," ",""),4,6),SUBSTITUTE(SUBSTITUTE(SUBSTITUTE(SUBSTITUTE(TRIM(C336),"*",""),".",""),"-","")," ","")))</f>
        <v/>
      </c>
      <c r="J336" s="28" t="str">
        <f aca="false">IF(OR(H336="",I336=""),"",H336&amp;"|"&amp;I336)</f>
        <v/>
      </c>
      <c r="K336" s="19" t="str">
        <f aca="false">IF(H336="","",IF(AND(J336&lt;&gt;"",COUNTIF(Pessoas!$J:$J,J336)&gt;0),"SIM",IF(COUNTIF(Pessoas!$H:$H,H336)&gt;0,"nome igual em Pessoas: confira o CPF","")))</f>
        <v/>
      </c>
      <c r="L336" s="27"/>
      <c r="M336" s="5"/>
    </row>
    <row r="337" customFormat="false" ht="15" hidden="false" customHeight="false" outlineLevel="0" collapsed="false">
      <c r="A337" s="27"/>
      <c r="B337" s="5"/>
      <c r="C337" s="27"/>
      <c r="D337" s="18"/>
      <c r="E337" s="14"/>
      <c r="F337" s="18"/>
      <c r="G337" s="19" t="str">
        <f aca="false">IF(A337="","",IFERROR(INDEX(Empresas!$B:$B,MATCH(A337,Empresas!$A:$A,0))&amp;"","cadastre o CNPJ em Empresas"))</f>
        <v/>
      </c>
      <c r="H337" s="28" t="str">
        <f aca="false">IF(B337="","",SUBSTITUTE(SUBSTITUTE(SUBSTITUTE(SUBSTITUTE(SUBSTITUTE(SUBSTITUTE(SUBSTITUTE(SUBSTITUTE(SUBSTITUTE(SUBSTITUTE(SUBSTITUTE(SUBSTITUTE(SUBSTITUTE(UPPER(TRIM(B337)),"Á","A"),"À","A"),"Â","A"),"Ã","A"),"É","E"),"Ê","E"),"Í","I"),"Ó","O"),"Ô","O"),"Õ","O"),"Ú","U"),"Ü","U"),"Ç","C"))</f>
        <v/>
      </c>
      <c r="I337" s="28" t="str">
        <f aca="false">IF(C337="","",IF(LEN(SUBSTITUTE(SUBSTITUTE(SUBSTITUTE(SUBSTITUTE(TRIM(C337),"*",""),".",""),"-","")," ",""))=11,MID(SUBSTITUTE(SUBSTITUTE(SUBSTITUTE(SUBSTITUTE(TRIM(C337),"*",""),".",""),"-","")," ",""),4,6),SUBSTITUTE(SUBSTITUTE(SUBSTITUTE(SUBSTITUTE(TRIM(C337),"*",""),".",""),"-","")," ","")))</f>
        <v/>
      </c>
      <c r="J337" s="28" t="str">
        <f aca="false">IF(OR(H337="",I337=""),"",H337&amp;"|"&amp;I337)</f>
        <v/>
      </c>
      <c r="K337" s="19" t="str">
        <f aca="false">IF(H337="","",IF(AND(J337&lt;&gt;"",COUNTIF(Pessoas!$J:$J,J337)&gt;0),"SIM",IF(COUNTIF(Pessoas!$H:$H,H337)&gt;0,"nome igual em Pessoas: confira o CPF","")))</f>
        <v/>
      </c>
      <c r="L337" s="27"/>
      <c r="M337" s="5"/>
    </row>
    <row r="338" customFormat="false" ht="15" hidden="false" customHeight="false" outlineLevel="0" collapsed="false">
      <c r="A338" s="27"/>
      <c r="B338" s="5"/>
      <c r="C338" s="27"/>
      <c r="D338" s="18"/>
      <c r="E338" s="14"/>
      <c r="F338" s="18"/>
      <c r="G338" s="19" t="str">
        <f aca="false">IF(A338="","",IFERROR(INDEX(Empresas!$B:$B,MATCH(A338,Empresas!$A:$A,0))&amp;"","cadastre o CNPJ em Empresas"))</f>
        <v/>
      </c>
      <c r="H338" s="28" t="str">
        <f aca="false">IF(B338="","",SUBSTITUTE(SUBSTITUTE(SUBSTITUTE(SUBSTITUTE(SUBSTITUTE(SUBSTITUTE(SUBSTITUTE(SUBSTITUTE(SUBSTITUTE(SUBSTITUTE(SUBSTITUTE(SUBSTITUTE(SUBSTITUTE(UPPER(TRIM(B338)),"Á","A"),"À","A"),"Â","A"),"Ã","A"),"É","E"),"Ê","E"),"Í","I"),"Ó","O"),"Ô","O"),"Õ","O"),"Ú","U"),"Ü","U"),"Ç","C"))</f>
        <v/>
      </c>
      <c r="I338" s="28" t="str">
        <f aca="false">IF(C338="","",IF(LEN(SUBSTITUTE(SUBSTITUTE(SUBSTITUTE(SUBSTITUTE(TRIM(C338),"*",""),".",""),"-","")," ",""))=11,MID(SUBSTITUTE(SUBSTITUTE(SUBSTITUTE(SUBSTITUTE(TRIM(C338),"*",""),".",""),"-","")," ",""),4,6),SUBSTITUTE(SUBSTITUTE(SUBSTITUTE(SUBSTITUTE(TRIM(C338),"*",""),".",""),"-","")," ","")))</f>
        <v/>
      </c>
      <c r="J338" s="28" t="str">
        <f aca="false">IF(OR(H338="",I338=""),"",H338&amp;"|"&amp;I338)</f>
        <v/>
      </c>
      <c r="K338" s="19" t="str">
        <f aca="false">IF(H338="","",IF(AND(J338&lt;&gt;"",COUNTIF(Pessoas!$J:$J,J338)&gt;0),"SIM",IF(COUNTIF(Pessoas!$H:$H,H338)&gt;0,"nome igual em Pessoas: confira o CPF","")))</f>
        <v/>
      </c>
      <c r="L338" s="27"/>
      <c r="M338" s="5"/>
    </row>
    <row r="339" customFormat="false" ht="15" hidden="false" customHeight="false" outlineLevel="0" collapsed="false">
      <c r="A339" s="27"/>
      <c r="B339" s="5"/>
      <c r="C339" s="27"/>
      <c r="D339" s="18"/>
      <c r="E339" s="14"/>
      <c r="F339" s="18"/>
      <c r="G339" s="19" t="str">
        <f aca="false">IF(A339="","",IFERROR(INDEX(Empresas!$B:$B,MATCH(A339,Empresas!$A:$A,0))&amp;"","cadastre o CNPJ em Empresas"))</f>
        <v/>
      </c>
      <c r="H339" s="28" t="str">
        <f aca="false">IF(B339="","",SUBSTITUTE(SUBSTITUTE(SUBSTITUTE(SUBSTITUTE(SUBSTITUTE(SUBSTITUTE(SUBSTITUTE(SUBSTITUTE(SUBSTITUTE(SUBSTITUTE(SUBSTITUTE(SUBSTITUTE(SUBSTITUTE(UPPER(TRIM(B339)),"Á","A"),"À","A"),"Â","A"),"Ã","A"),"É","E"),"Ê","E"),"Í","I"),"Ó","O"),"Ô","O"),"Õ","O"),"Ú","U"),"Ü","U"),"Ç","C"))</f>
        <v/>
      </c>
      <c r="I339" s="28" t="str">
        <f aca="false">IF(C339="","",IF(LEN(SUBSTITUTE(SUBSTITUTE(SUBSTITUTE(SUBSTITUTE(TRIM(C339),"*",""),".",""),"-","")," ",""))=11,MID(SUBSTITUTE(SUBSTITUTE(SUBSTITUTE(SUBSTITUTE(TRIM(C339),"*",""),".",""),"-","")," ",""),4,6),SUBSTITUTE(SUBSTITUTE(SUBSTITUTE(SUBSTITUTE(TRIM(C339),"*",""),".",""),"-","")," ","")))</f>
        <v/>
      </c>
      <c r="J339" s="28" t="str">
        <f aca="false">IF(OR(H339="",I339=""),"",H339&amp;"|"&amp;I339)</f>
        <v/>
      </c>
      <c r="K339" s="19" t="str">
        <f aca="false">IF(H339="","",IF(AND(J339&lt;&gt;"",COUNTIF(Pessoas!$J:$J,J339)&gt;0),"SIM",IF(COUNTIF(Pessoas!$H:$H,H339)&gt;0,"nome igual em Pessoas: confira o CPF","")))</f>
        <v/>
      </c>
      <c r="L339" s="27"/>
      <c r="M339" s="5"/>
    </row>
    <row r="340" customFormat="false" ht="15" hidden="false" customHeight="false" outlineLevel="0" collapsed="false">
      <c r="A340" s="27"/>
      <c r="B340" s="5"/>
      <c r="C340" s="27"/>
      <c r="D340" s="18"/>
      <c r="E340" s="14"/>
      <c r="F340" s="18"/>
      <c r="G340" s="19" t="str">
        <f aca="false">IF(A340="","",IFERROR(INDEX(Empresas!$B:$B,MATCH(A340,Empresas!$A:$A,0))&amp;"","cadastre o CNPJ em Empresas"))</f>
        <v/>
      </c>
      <c r="H340" s="28" t="str">
        <f aca="false">IF(B340="","",SUBSTITUTE(SUBSTITUTE(SUBSTITUTE(SUBSTITUTE(SUBSTITUTE(SUBSTITUTE(SUBSTITUTE(SUBSTITUTE(SUBSTITUTE(SUBSTITUTE(SUBSTITUTE(SUBSTITUTE(SUBSTITUTE(UPPER(TRIM(B340)),"Á","A"),"À","A"),"Â","A"),"Ã","A"),"É","E"),"Ê","E"),"Í","I"),"Ó","O"),"Ô","O"),"Õ","O"),"Ú","U"),"Ü","U"),"Ç","C"))</f>
        <v/>
      </c>
      <c r="I340" s="28" t="str">
        <f aca="false">IF(C340="","",IF(LEN(SUBSTITUTE(SUBSTITUTE(SUBSTITUTE(SUBSTITUTE(TRIM(C340),"*",""),".",""),"-","")," ",""))=11,MID(SUBSTITUTE(SUBSTITUTE(SUBSTITUTE(SUBSTITUTE(TRIM(C340),"*",""),".",""),"-","")," ",""),4,6),SUBSTITUTE(SUBSTITUTE(SUBSTITUTE(SUBSTITUTE(TRIM(C340),"*",""),".",""),"-","")," ","")))</f>
        <v/>
      </c>
      <c r="J340" s="28" t="str">
        <f aca="false">IF(OR(H340="",I340=""),"",H340&amp;"|"&amp;I340)</f>
        <v/>
      </c>
      <c r="K340" s="19" t="str">
        <f aca="false">IF(H340="","",IF(AND(J340&lt;&gt;"",COUNTIF(Pessoas!$J:$J,J340)&gt;0),"SIM",IF(COUNTIF(Pessoas!$H:$H,H340)&gt;0,"nome igual em Pessoas: confira o CPF","")))</f>
        <v/>
      </c>
      <c r="L340" s="27"/>
      <c r="M340" s="5"/>
    </row>
    <row r="341" customFormat="false" ht="15" hidden="false" customHeight="false" outlineLevel="0" collapsed="false">
      <c r="A341" s="27"/>
      <c r="B341" s="5"/>
      <c r="C341" s="27"/>
      <c r="D341" s="18"/>
      <c r="E341" s="14"/>
      <c r="F341" s="18"/>
      <c r="G341" s="19" t="str">
        <f aca="false">IF(A341="","",IFERROR(INDEX(Empresas!$B:$B,MATCH(A341,Empresas!$A:$A,0))&amp;"","cadastre o CNPJ em Empresas"))</f>
        <v/>
      </c>
      <c r="H341" s="28" t="str">
        <f aca="false">IF(B341="","",SUBSTITUTE(SUBSTITUTE(SUBSTITUTE(SUBSTITUTE(SUBSTITUTE(SUBSTITUTE(SUBSTITUTE(SUBSTITUTE(SUBSTITUTE(SUBSTITUTE(SUBSTITUTE(SUBSTITUTE(SUBSTITUTE(UPPER(TRIM(B341)),"Á","A"),"À","A"),"Â","A"),"Ã","A"),"É","E"),"Ê","E"),"Í","I"),"Ó","O"),"Ô","O"),"Õ","O"),"Ú","U"),"Ü","U"),"Ç","C"))</f>
        <v/>
      </c>
      <c r="I341" s="28" t="str">
        <f aca="false">IF(C341="","",IF(LEN(SUBSTITUTE(SUBSTITUTE(SUBSTITUTE(SUBSTITUTE(TRIM(C341),"*",""),".",""),"-","")," ",""))=11,MID(SUBSTITUTE(SUBSTITUTE(SUBSTITUTE(SUBSTITUTE(TRIM(C341),"*",""),".",""),"-","")," ",""),4,6),SUBSTITUTE(SUBSTITUTE(SUBSTITUTE(SUBSTITUTE(TRIM(C341),"*",""),".",""),"-","")," ","")))</f>
        <v/>
      </c>
      <c r="J341" s="28" t="str">
        <f aca="false">IF(OR(H341="",I341=""),"",H341&amp;"|"&amp;I341)</f>
        <v/>
      </c>
      <c r="K341" s="19" t="str">
        <f aca="false">IF(H341="","",IF(AND(J341&lt;&gt;"",COUNTIF(Pessoas!$J:$J,J341)&gt;0),"SIM",IF(COUNTIF(Pessoas!$H:$H,H341)&gt;0,"nome igual em Pessoas: confira o CPF","")))</f>
        <v/>
      </c>
      <c r="L341" s="27"/>
      <c r="M341" s="5"/>
    </row>
    <row r="342" customFormat="false" ht="15" hidden="false" customHeight="false" outlineLevel="0" collapsed="false">
      <c r="A342" s="27"/>
      <c r="B342" s="5"/>
      <c r="C342" s="27"/>
      <c r="D342" s="18"/>
      <c r="E342" s="14"/>
      <c r="F342" s="18"/>
      <c r="G342" s="19" t="str">
        <f aca="false">IF(A342="","",IFERROR(INDEX(Empresas!$B:$B,MATCH(A342,Empresas!$A:$A,0))&amp;"","cadastre o CNPJ em Empresas"))</f>
        <v/>
      </c>
      <c r="H342" s="28" t="str">
        <f aca="false">IF(B342="","",SUBSTITUTE(SUBSTITUTE(SUBSTITUTE(SUBSTITUTE(SUBSTITUTE(SUBSTITUTE(SUBSTITUTE(SUBSTITUTE(SUBSTITUTE(SUBSTITUTE(SUBSTITUTE(SUBSTITUTE(SUBSTITUTE(UPPER(TRIM(B342)),"Á","A"),"À","A"),"Â","A"),"Ã","A"),"É","E"),"Ê","E"),"Í","I"),"Ó","O"),"Ô","O"),"Õ","O"),"Ú","U"),"Ü","U"),"Ç","C"))</f>
        <v/>
      </c>
      <c r="I342" s="28" t="str">
        <f aca="false">IF(C342="","",IF(LEN(SUBSTITUTE(SUBSTITUTE(SUBSTITUTE(SUBSTITUTE(TRIM(C342),"*",""),".",""),"-","")," ",""))=11,MID(SUBSTITUTE(SUBSTITUTE(SUBSTITUTE(SUBSTITUTE(TRIM(C342),"*",""),".",""),"-","")," ",""),4,6),SUBSTITUTE(SUBSTITUTE(SUBSTITUTE(SUBSTITUTE(TRIM(C342),"*",""),".",""),"-","")," ","")))</f>
        <v/>
      </c>
      <c r="J342" s="28" t="str">
        <f aca="false">IF(OR(H342="",I342=""),"",H342&amp;"|"&amp;I342)</f>
        <v/>
      </c>
      <c r="K342" s="19" t="str">
        <f aca="false">IF(H342="","",IF(AND(J342&lt;&gt;"",COUNTIF(Pessoas!$J:$J,J342)&gt;0),"SIM",IF(COUNTIF(Pessoas!$H:$H,H342)&gt;0,"nome igual em Pessoas: confira o CPF","")))</f>
        <v/>
      </c>
      <c r="L342" s="27"/>
      <c r="M342" s="5"/>
    </row>
    <row r="343" customFormat="false" ht="15" hidden="false" customHeight="false" outlineLevel="0" collapsed="false">
      <c r="A343" s="27"/>
      <c r="B343" s="5"/>
      <c r="C343" s="27"/>
      <c r="D343" s="18"/>
      <c r="E343" s="14"/>
      <c r="F343" s="18"/>
      <c r="G343" s="19" t="str">
        <f aca="false">IF(A343="","",IFERROR(INDEX(Empresas!$B:$B,MATCH(A343,Empresas!$A:$A,0))&amp;"","cadastre o CNPJ em Empresas"))</f>
        <v/>
      </c>
      <c r="H343" s="28" t="str">
        <f aca="false">IF(B343="","",SUBSTITUTE(SUBSTITUTE(SUBSTITUTE(SUBSTITUTE(SUBSTITUTE(SUBSTITUTE(SUBSTITUTE(SUBSTITUTE(SUBSTITUTE(SUBSTITUTE(SUBSTITUTE(SUBSTITUTE(SUBSTITUTE(UPPER(TRIM(B343)),"Á","A"),"À","A"),"Â","A"),"Ã","A"),"É","E"),"Ê","E"),"Í","I"),"Ó","O"),"Ô","O"),"Õ","O"),"Ú","U"),"Ü","U"),"Ç","C"))</f>
        <v/>
      </c>
      <c r="I343" s="28" t="str">
        <f aca="false">IF(C343="","",IF(LEN(SUBSTITUTE(SUBSTITUTE(SUBSTITUTE(SUBSTITUTE(TRIM(C343),"*",""),".",""),"-","")," ",""))=11,MID(SUBSTITUTE(SUBSTITUTE(SUBSTITUTE(SUBSTITUTE(TRIM(C343),"*",""),".",""),"-","")," ",""),4,6),SUBSTITUTE(SUBSTITUTE(SUBSTITUTE(SUBSTITUTE(TRIM(C343),"*",""),".",""),"-","")," ","")))</f>
        <v/>
      </c>
      <c r="J343" s="28" t="str">
        <f aca="false">IF(OR(H343="",I343=""),"",H343&amp;"|"&amp;I343)</f>
        <v/>
      </c>
      <c r="K343" s="19" t="str">
        <f aca="false">IF(H343="","",IF(AND(J343&lt;&gt;"",COUNTIF(Pessoas!$J:$J,J343)&gt;0),"SIM",IF(COUNTIF(Pessoas!$H:$H,H343)&gt;0,"nome igual em Pessoas: confira o CPF","")))</f>
        <v/>
      </c>
      <c r="L343" s="27"/>
      <c r="M343" s="5"/>
    </row>
    <row r="344" customFormat="false" ht="15" hidden="false" customHeight="false" outlineLevel="0" collapsed="false">
      <c r="A344" s="27"/>
      <c r="B344" s="5"/>
      <c r="C344" s="27"/>
      <c r="D344" s="18"/>
      <c r="E344" s="14"/>
      <c r="F344" s="18"/>
      <c r="G344" s="19" t="str">
        <f aca="false">IF(A344="","",IFERROR(INDEX(Empresas!$B:$B,MATCH(A344,Empresas!$A:$A,0))&amp;"","cadastre o CNPJ em Empresas"))</f>
        <v/>
      </c>
      <c r="H344" s="28" t="str">
        <f aca="false">IF(B344="","",SUBSTITUTE(SUBSTITUTE(SUBSTITUTE(SUBSTITUTE(SUBSTITUTE(SUBSTITUTE(SUBSTITUTE(SUBSTITUTE(SUBSTITUTE(SUBSTITUTE(SUBSTITUTE(SUBSTITUTE(SUBSTITUTE(UPPER(TRIM(B344)),"Á","A"),"À","A"),"Â","A"),"Ã","A"),"É","E"),"Ê","E"),"Í","I"),"Ó","O"),"Ô","O"),"Õ","O"),"Ú","U"),"Ü","U"),"Ç","C"))</f>
        <v/>
      </c>
      <c r="I344" s="28" t="str">
        <f aca="false">IF(C344="","",IF(LEN(SUBSTITUTE(SUBSTITUTE(SUBSTITUTE(SUBSTITUTE(TRIM(C344),"*",""),".",""),"-","")," ",""))=11,MID(SUBSTITUTE(SUBSTITUTE(SUBSTITUTE(SUBSTITUTE(TRIM(C344),"*",""),".",""),"-","")," ",""),4,6),SUBSTITUTE(SUBSTITUTE(SUBSTITUTE(SUBSTITUTE(TRIM(C344),"*",""),".",""),"-","")," ","")))</f>
        <v/>
      </c>
      <c r="J344" s="28" t="str">
        <f aca="false">IF(OR(H344="",I344=""),"",H344&amp;"|"&amp;I344)</f>
        <v/>
      </c>
      <c r="K344" s="19" t="str">
        <f aca="false">IF(H344="","",IF(AND(J344&lt;&gt;"",COUNTIF(Pessoas!$J:$J,J344)&gt;0),"SIM",IF(COUNTIF(Pessoas!$H:$H,H344)&gt;0,"nome igual em Pessoas: confira o CPF","")))</f>
        <v/>
      </c>
      <c r="L344" s="27"/>
      <c r="M344" s="5"/>
    </row>
    <row r="345" customFormat="false" ht="15" hidden="false" customHeight="false" outlineLevel="0" collapsed="false">
      <c r="A345" s="27"/>
      <c r="B345" s="5"/>
      <c r="C345" s="27"/>
      <c r="D345" s="18"/>
      <c r="E345" s="14"/>
      <c r="F345" s="18"/>
      <c r="G345" s="19" t="str">
        <f aca="false">IF(A345="","",IFERROR(INDEX(Empresas!$B:$B,MATCH(A345,Empresas!$A:$A,0))&amp;"","cadastre o CNPJ em Empresas"))</f>
        <v/>
      </c>
      <c r="H345" s="28" t="str">
        <f aca="false">IF(B345="","",SUBSTITUTE(SUBSTITUTE(SUBSTITUTE(SUBSTITUTE(SUBSTITUTE(SUBSTITUTE(SUBSTITUTE(SUBSTITUTE(SUBSTITUTE(SUBSTITUTE(SUBSTITUTE(SUBSTITUTE(SUBSTITUTE(UPPER(TRIM(B345)),"Á","A"),"À","A"),"Â","A"),"Ã","A"),"É","E"),"Ê","E"),"Í","I"),"Ó","O"),"Ô","O"),"Õ","O"),"Ú","U"),"Ü","U"),"Ç","C"))</f>
        <v/>
      </c>
      <c r="I345" s="28" t="str">
        <f aca="false">IF(C345="","",IF(LEN(SUBSTITUTE(SUBSTITUTE(SUBSTITUTE(SUBSTITUTE(TRIM(C345),"*",""),".",""),"-","")," ",""))=11,MID(SUBSTITUTE(SUBSTITUTE(SUBSTITUTE(SUBSTITUTE(TRIM(C345),"*",""),".",""),"-","")," ",""),4,6),SUBSTITUTE(SUBSTITUTE(SUBSTITUTE(SUBSTITUTE(TRIM(C345),"*",""),".",""),"-","")," ","")))</f>
        <v/>
      </c>
      <c r="J345" s="28" t="str">
        <f aca="false">IF(OR(H345="",I345=""),"",H345&amp;"|"&amp;I345)</f>
        <v/>
      </c>
      <c r="K345" s="19" t="str">
        <f aca="false">IF(H345="","",IF(AND(J345&lt;&gt;"",COUNTIF(Pessoas!$J:$J,J345)&gt;0),"SIM",IF(COUNTIF(Pessoas!$H:$H,H345)&gt;0,"nome igual em Pessoas: confira o CPF","")))</f>
        <v/>
      </c>
      <c r="L345" s="27"/>
      <c r="M345" s="5"/>
    </row>
    <row r="346" customFormat="false" ht="15" hidden="false" customHeight="false" outlineLevel="0" collapsed="false">
      <c r="A346" s="27"/>
      <c r="B346" s="5"/>
      <c r="C346" s="27"/>
      <c r="D346" s="18"/>
      <c r="E346" s="14"/>
      <c r="F346" s="18"/>
      <c r="G346" s="19" t="str">
        <f aca="false">IF(A346="","",IFERROR(INDEX(Empresas!$B:$B,MATCH(A346,Empresas!$A:$A,0))&amp;"","cadastre o CNPJ em Empresas"))</f>
        <v/>
      </c>
      <c r="H346" s="28" t="str">
        <f aca="false">IF(B346="","",SUBSTITUTE(SUBSTITUTE(SUBSTITUTE(SUBSTITUTE(SUBSTITUTE(SUBSTITUTE(SUBSTITUTE(SUBSTITUTE(SUBSTITUTE(SUBSTITUTE(SUBSTITUTE(SUBSTITUTE(SUBSTITUTE(UPPER(TRIM(B346)),"Á","A"),"À","A"),"Â","A"),"Ã","A"),"É","E"),"Ê","E"),"Í","I"),"Ó","O"),"Ô","O"),"Õ","O"),"Ú","U"),"Ü","U"),"Ç","C"))</f>
        <v/>
      </c>
      <c r="I346" s="28" t="str">
        <f aca="false">IF(C346="","",IF(LEN(SUBSTITUTE(SUBSTITUTE(SUBSTITUTE(SUBSTITUTE(TRIM(C346),"*",""),".",""),"-","")," ",""))=11,MID(SUBSTITUTE(SUBSTITUTE(SUBSTITUTE(SUBSTITUTE(TRIM(C346),"*",""),".",""),"-","")," ",""),4,6),SUBSTITUTE(SUBSTITUTE(SUBSTITUTE(SUBSTITUTE(TRIM(C346),"*",""),".",""),"-","")," ","")))</f>
        <v/>
      </c>
      <c r="J346" s="28" t="str">
        <f aca="false">IF(OR(H346="",I346=""),"",H346&amp;"|"&amp;I346)</f>
        <v/>
      </c>
      <c r="K346" s="19" t="str">
        <f aca="false">IF(H346="","",IF(AND(J346&lt;&gt;"",COUNTIF(Pessoas!$J:$J,J346)&gt;0),"SIM",IF(COUNTIF(Pessoas!$H:$H,H346)&gt;0,"nome igual em Pessoas: confira o CPF","")))</f>
        <v/>
      </c>
      <c r="L346" s="27"/>
      <c r="M346" s="5"/>
    </row>
    <row r="347" customFormat="false" ht="15" hidden="false" customHeight="false" outlineLevel="0" collapsed="false">
      <c r="A347" s="27"/>
      <c r="B347" s="5"/>
      <c r="C347" s="27"/>
      <c r="D347" s="18"/>
      <c r="E347" s="14"/>
      <c r="F347" s="18"/>
      <c r="G347" s="19" t="str">
        <f aca="false">IF(A347="","",IFERROR(INDEX(Empresas!$B:$B,MATCH(A347,Empresas!$A:$A,0))&amp;"","cadastre o CNPJ em Empresas"))</f>
        <v/>
      </c>
      <c r="H347" s="28" t="str">
        <f aca="false">IF(B347="","",SUBSTITUTE(SUBSTITUTE(SUBSTITUTE(SUBSTITUTE(SUBSTITUTE(SUBSTITUTE(SUBSTITUTE(SUBSTITUTE(SUBSTITUTE(SUBSTITUTE(SUBSTITUTE(SUBSTITUTE(SUBSTITUTE(UPPER(TRIM(B347)),"Á","A"),"À","A"),"Â","A"),"Ã","A"),"É","E"),"Ê","E"),"Í","I"),"Ó","O"),"Ô","O"),"Õ","O"),"Ú","U"),"Ü","U"),"Ç","C"))</f>
        <v/>
      </c>
      <c r="I347" s="28" t="str">
        <f aca="false">IF(C347="","",IF(LEN(SUBSTITUTE(SUBSTITUTE(SUBSTITUTE(SUBSTITUTE(TRIM(C347),"*",""),".",""),"-","")," ",""))=11,MID(SUBSTITUTE(SUBSTITUTE(SUBSTITUTE(SUBSTITUTE(TRIM(C347),"*",""),".",""),"-","")," ",""),4,6),SUBSTITUTE(SUBSTITUTE(SUBSTITUTE(SUBSTITUTE(TRIM(C347),"*",""),".",""),"-","")," ","")))</f>
        <v/>
      </c>
      <c r="J347" s="28" t="str">
        <f aca="false">IF(OR(H347="",I347=""),"",H347&amp;"|"&amp;I347)</f>
        <v/>
      </c>
      <c r="K347" s="19" t="str">
        <f aca="false">IF(H347="","",IF(AND(J347&lt;&gt;"",COUNTIF(Pessoas!$J:$J,J347)&gt;0),"SIM",IF(COUNTIF(Pessoas!$H:$H,H347)&gt;0,"nome igual em Pessoas: confira o CPF","")))</f>
        <v/>
      </c>
      <c r="L347" s="27"/>
      <c r="M347" s="5"/>
    </row>
    <row r="348" customFormat="false" ht="15" hidden="false" customHeight="false" outlineLevel="0" collapsed="false">
      <c r="A348" s="27"/>
      <c r="B348" s="5"/>
      <c r="C348" s="27"/>
      <c r="D348" s="18"/>
      <c r="E348" s="14"/>
      <c r="F348" s="18"/>
      <c r="G348" s="19" t="str">
        <f aca="false">IF(A348="","",IFERROR(INDEX(Empresas!$B:$B,MATCH(A348,Empresas!$A:$A,0))&amp;"","cadastre o CNPJ em Empresas"))</f>
        <v/>
      </c>
      <c r="H348" s="28" t="str">
        <f aca="false">IF(B348="","",SUBSTITUTE(SUBSTITUTE(SUBSTITUTE(SUBSTITUTE(SUBSTITUTE(SUBSTITUTE(SUBSTITUTE(SUBSTITUTE(SUBSTITUTE(SUBSTITUTE(SUBSTITUTE(SUBSTITUTE(SUBSTITUTE(UPPER(TRIM(B348)),"Á","A"),"À","A"),"Â","A"),"Ã","A"),"É","E"),"Ê","E"),"Í","I"),"Ó","O"),"Ô","O"),"Õ","O"),"Ú","U"),"Ü","U"),"Ç","C"))</f>
        <v/>
      </c>
      <c r="I348" s="28" t="str">
        <f aca="false">IF(C348="","",IF(LEN(SUBSTITUTE(SUBSTITUTE(SUBSTITUTE(SUBSTITUTE(TRIM(C348),"*",""),".",""),"-","")," ",""))=11,MID(SUBSTITUTE(SUBSTITUTE(SUBSTITUTE(SUBSTITUTE(TRIM(C348),"*",""),".",""),"-","")," ",""),4,6),SUBSTITUTE(SUBSTITUTE(SUBSTITUTE(SUBSTITUTE(TRIM(C348),"*",""),".",""),"-","")," ","")))</f>
        <v/>
      </c>
      <c r="J348" s="28" t="str">
        <f aca="false">IF(OR(H348="",I348=""),"",H348&amp;"|"&amp;I348)</f>
        <v/>
      </c>
      <c r="K348" s="19" t="str">
        <f aca="false">IF(H348="","",IF(AND(J348&lt;&gt;"",COUNTIF(Pessoas!$J:$J,J348)&gt;0),"SIM",IF(COUNTIF(Pessoas!$H:$H,H348)&gt;0,"nome igual em Pessoas: confira o CPF","")))</f>
        <v/>
      </c>
      <c r="L348" s="27"/>
      <c r="M348" s="5"/>
    </row>
    <row r="349" customFormat="false" ht="15" hidden="false" customHeight="false" outlineLevel="0" collapsed="false">
      <c r="A349" s="27"/>
      <c r="B349" s="5"/>
      <c r="C349" s="27"/>
      <c r="D349" s="18"/>
      <c r="E349" s="14"/>
      <c r="F349" s="18"/>
      <c r="G349" s="19" t="str">
        <f aca="false">IF(A349="","",IFERROR(INDEX(Empresas!$B:$B,MATCH(A349,Empresas!$A:$A,0))&amp;"","cadastre o CNPJ em Empresas"))</f>
        <v/>
      </c>
      <c r="H349" s="28" t="str">
        <f aca="false">IF(B349="","",SUBSTITUTE(SUBSTITUTE(SUBSTITUTE(SUBSTITUTE(SUBSTITUTE(SUBSTITUTE(SUBSTITUTE(SUBSTITUTE(SUBSTITUTE(SUBSTITUTE(SUBSTITUTE(SUBSTITUTE(SUBSTITUTE(UPPER(TRIM(B349)),"Á","A"),"À","A"),"Â","A"),"Ã","A"),"É","E"),"Ê","E"),"Í","I"),"Ó","O"),"Ô","O"),"Õ","O"),"Ú","U"),"Ü","U"),"Ç","C"))</f>
        <v/>
      </c>
      <c r="I349" s="28" t="str">
        <f aca="false">IF(C349="","",IF(LEN(SUBSTITUTE(SUBSTITUTE(SUBSTITUTE(SUBSTITUTE(TRIM(C349),"*",""),".",""),"-","")," ",""))=11,MID(SUBSTITUTE(SUBSTITUTE(SUBSTITUTE(SUBSTITUTE(TRIM(C349),"*",""),".",""),"-","")," ",""),4,6),SUBSTITUTE(SUBSTITUTE(SUBSTITUTE(SUBSTITUTE(TRIM(C349),"*",""),".",""),"-","")," ","")))</f>
        <v/>
      </c>
      <c r="J349" s="28" t="str">
        <f aca="false">IF(OR(H349="",I349=""),"",H349&amp;"|"&amp;I349)</f>
        <v/>
      </c>
      <c r="K349" s="19" t="str">
        <f aca="false">IF(H349="","",IF(AND(J349&lt;&gt;"",COUNTIF(Pessoas!$J:$J,J349)&gt;0),"SIM",IF(COUNTIF(Pessoas!$H:$H,H349)&gt;0,"nome igual em Pessoas: confira o CPF","")))</f>
        <v/>
      </c>
      <c r="L349" s="27"/>
      <c r="M349" s="5"/>
    </row>
    <row r="350" customFormat="false" ht="15" hidden="false" customHeight="false" outlineLevel="0" collapsed="false">
      <c r="A350" s="27"/>
      <c r="B350" s="5"/>
      <c r="C350" s="27"/>
      <c r="D350" s="18"/>
      <c r="E350" s="14"/>
      <c r="F350" s="18"/>
      <c r="G350" s="19" t="str">
        <f aca="false">IF(A350="","",IFERROR(INDEX(Empresas!$B:$B,MATCH(A350,Empresas!$A:$A,0))&amp;"","cadastre o CNPJ em Empresas"))</f>
        <v/>
      </c>
      <c r="H350" s="28" t="str">
        <f aca="false">IF(B350="","",SUBSTITUTE(SUBSTITUTE(SUBSTITUTE(SUBSTITUTE(SUBSTITUTE(SUBSTITUTE(SUBSTITUTE(SUBSTITUTE(SUBSTITUTE(SUBSTITUTE(SUBSTITUTE(SUBSTITUTE(SUBSTITUTE(UPPER(TRIM(B350)),"Á","A"),"À","A"),"Â","A"),"Ã","A"),"É","E"),"Ê","E"),"Í","I"),"Ó","O"),"Ô","O"),"Õ","O"),"Ú","U"),"Ü","U"),"Ç","C"))</f>
        <v/>
      </c>
      <c r="I350" s="28" t="str">
        <f aca="false">IF(C350="","",IF(LEN(SUBSTITUTE(SUBSTITUTE(SUBSTITUTE(SUBSTITUTE(TRIM(C350),"*",""),".",""),"-","")," ",""))=11,MID(SUBSTITUTE(SUBSTITUTE(SUBSTITUTE(SUBSTITUTE(TRIM(C350),"*",""),".",""),"-","")," ",""),4,6),SUBSTITUTE(SUBSTITUTE(SUBSTITUTE(SUBSTITUTE(TRIM(C350),"*",""),".",""),"-","")," ","")))</f>
        <v/>
      </c>
      <c r="J350" s="28" t="str">
        <f aca="false">IF(OR(H350="",I350=""),"",H350&amp;"|"&amp;I350)</f>
        <v/>
      </c>
      <c r="K350" s="19" t="str">
        <f aca="false">IF(H350="","",IF(AND(J350&lt;&gt;"",COUNTIF(Pessoas!$J:$J,J350)&gt;0),"SIM",IF(COUNTIF(Pessoas!$H:$H,H350)&gt;0,"nome igual em Pessoas: confira o CPF","")))</f>
        <v/>
      </c>
      <c r="L350" s="27"/>
      <c r="M350" s="5"/>
    </row>
    <row r="351" customFormat="false" ht="15" hidden="false" customHeight="false" outlineLevel="0" collapsed="false">
      <c r="A351" s="27"/>
      <c r="B351" s="5"/>
      <c r="C351" s="27"/>
      <c r="D351" s="18"/>
      <c r="E351" s="14"/>
      <c r="F351" s="18"/>
      <c r="G351" s="19" t="str">
        <f aca="false">IF(A351="","",IFERROR(INDEX(Empresas!$B:$B,MATCH(A351,Empresas!$A:$A,0))&amp;"","cadastre o CNPJ em Empresas"))</f>
        <v/>
      </c>
      <c r="H351" s="28" t="str">
        <f aca="false">IF(B351="","",SUBSTITUTE(SUBSTITUTE(SUBSTITUTE(SUBSTITUTE(SUBSTITUTE(SUBSTITUTE(SUBSTITUTE(SUBSTITUTE(SUBSTITUTE(SUBSTITUTE(SUBSTITUTE(SUBSTITUTE(SUBSTITUTE(UPPER(TRIM(B351)),"Á","A"),"À","A"),"Â","A"),"Ã","A"),"É","E"),"Ê","E"),"Í","I"),"Ó","O"),"Ô","O"),"Õ","O"),"Ú","U"),"Ü","U"),"Ç","C"))</f>
        <v/>
      </c>
      <c r="I351" s="28" t="str">
        <f aca="false">IF(C351="","",IF(LEN(SUBSTITUTE(SUBSTITUTE(SUBSTITUTE(SUBSTITUTE(TRIM(C351),"*",""),".",""),"-","")," ",""))=11,MID(SUBSTITUTE(SUBSTITUTE(SUBSTITUTE(SUBSTITUTE(TRIM(C351),"*",""),".",""),"-","")," ",""),4,6),SUBSTITUTE(SUBSTITUTE(SUBSTITUTE(SUBSTITUTE(TRIM(C351),"*",""),".",""),"-","")," ","")))</f>
        <v/>
      </c>
      <c r="J351" s="28" t="str">
        <f aca="false">IF(OR(H351="",I351=""),"",H351&amp;"|"&amp;I351)</f>
        <v/>
      </c>
      <c r="K351" s="19" t="str">
        <f aca="false">IF(H351="","",IF(AND(J351&lt;&gt;"",COUNTIF(Pessoas!$J:$J,J351)&gt;0),"SIM",IF(COUNTIF(Pessoas!$H:$H,H351)&gt;0,"nome igual em Pessoas: confira o CPF","")))</f>
        <v/>
      </c>
      <c r="L351" s="27"/>
      <c r="M351" s="5"/>
    </row>
    <row r="352" customFormat="false" ht="15" hidden="false" customHeight="false" outlineLevel="0" collapsed="false">
      <c r="A352" s="27"/>
      <c r="B352" s="5"/>
      <c r="C352" s="27"/>
      <c r="D352" s="18"/>
      <c r="E352" s="14"/>
      <c r="F352" s="18"/>
      <c r="G352" s="19" t="str">
        <f aca="false">IF(A352="","",IFERROR(INDEX(Empresas!$B:$B,MATCH(A352,Empresas!$A:$A,0))&amp;"","cadastre o CNPJ em Empresas"))</f>
        <v/>
      </c>
      <c r="H352" s="28" t="str">
        <f aca="false">IF(B352="","",SUBSTITUTE(SUBSTITUTE(SUBSTITUTE(SUBSTITUTE(SUBSTITUTE(SUBSTITUTE(SUBSTITUTE(SUBSTITUTE(SUBSTITUTE(SUBSTITUTE(SUBSTITUTE(SUBSTITUTE(SUBSTITUTE(UPPER(TRIM(B352)),"Á","A"),"À","A"),"Â","A"),"Ã","A"),"É","E"),"Ê","E"),"Í","I"),"Ó","O"),"Ô","O"),"Õ","O"),"Ú","U"),"Ü","U"),"Ç","C"))</f>
        <v/>
      </c>
      <c r="I352" s="28" t="str">
        <f aca="false">IF(C352="","",IF(LEN(SUBSTITUTE(SUBSTITUTE(SUBSTITUTE(SUBSTITUTE(TRIM(C352),"*",""),".",""),"-","")," ",""))=11,MID(SUBSTITUTE(SUBSTITUTE(SUBSTITUTE(SUBSTITUTE(TRIM(C352),"*",""),".",""),"-","")," ",""),4,6),SUBSTITUTE(SUBSTITUTE(SUBSTITUTE(SUBSTITUTE(TRIM(C352),"*",""),".",""),"-","")," ","")))</f>
        <v/>
      </c>
      <c r="J352" s="28" t="str">
        <f aca="false">IF(OR(H352="",I352=""),"",H352&amp;"|"&amp;I352)</f>
        <v/>
      </c>
      <c r="K352" s="19" t="str">
        <f aca="false">IF(H352="","",IF(AND(J352&lt;&gt;"",COUNTIF(Pessoas!$J:$J,J352)&gt;0),"SIM",IF(COUNTIF(Pessoas!$H:$H,H352)&gt;0,"nome igual em Pessoas: confira o CPF","")))</f>
        <v/>
      </c>
      <c r="L352" s="27"/>
      <c r="M352" s="5"/>
    </row>
    <row r="353" customFormat="false" ht="15" hidden="false" customHeight="false" outlineLevel="0" collapsed="false">
      <c r="A353" s="27"/>
      <c r="B353" s="5"/>
      <c r="C353" s="27"/>
      <c r="D353" s="18"/>
      <c r="E353" s="14"/>
      <c r="F353" s="18"/>
      <c r="G353" s="19" t="str">
        <f aca="false">IF(A353="","",IFERROR(INDEX(Empresas!$B:$B,MATCH(A353,Empresas!$A:$A,0))&amp;"","cadastre o CNPJ em Empresas"))</f>
        <v/>
      </c>
      <c r="H353" s="28" t="str">
        <f aca="false">IF(B353="","",SUBSTITUTE(SUBSTITUTE(SUBSTITUTE(SUBSTITUTE(SUBSTITUTE(SUBSTITUTE(SUBSTITUTE(SUBSTITUTE(SUBSTITUTE(SUBSTITUTE(SUBSTITUTE(SUBSTITUTE(SUBSTITUTE(UPPER(TRIM(B353)),"Á","A"),"À","A"),"Â","A"),"Ã","A"),"É","E"),"Ê","E"),"Í","I"),"Ó","O"),"Ô","O"),"Õ","O"),"Ú","U"),"Ü","U"),"Ç","C"))</f>
        <v/>
      </c>
      <c r="I353" s="28" t="str">
        <f aca="false">IF(C353="","",IF(LEN(SUBSTITUTE(SUBSTITUTE(SUBSTITUTE(SUBSTITUTE(TRIM(C353),"*",""),".",""),"-","")," ",""))=11,MID(SUBSTITUTE(SUBSTITUTE(SUBSTITUTE(SUBSTITUTE(TRIM(C353),"*",""),".",""),"-","")," ",""),4,6),SUBSTITUTE(SUBSTITUTE(SUBSTITUTE(SUBSTITUTE(TRIM(C353),"*",""),".",""),"-","")," ","")))</f>
        <v/>
      </c>
      <c r="J353" s="28" t="str">
        <f aca="false">IF(OR(H353="",I353=""),"",H353&amp;"|"&amp;I353)</f>
        <v/>
      </c>
      <c r="K353" s="19" t="str">
        <f aca="false">IF(H353="","",IF(AND(J353&lt;&gt;"",COUNTIF(Pessoas!$J:$J,J353)&gt;0),"SIM",IF(COUNTIF(Pessoas!$H:$H,H353)&gt;0,"nome igual em Pessoas: confira o CPF","")))</f>
        <v/>
      </c>
      <c r="L353" s="27"/>
      <c r="M353" s="5"/>
    </row>
    <row r="354" customFormat="false" ht="15" hidden="false" customHeight="false" outlineLevel="0" collapsed="false">
      <c r="A354" s="27"/>
      <c r="B354" s="5"/>
      <c r="C354" s="27"/>
      <c r="D354" s="18"/>
      <c r="E354" s="14"/>
      <c r="F354" s="18"/>
      <c r="G354" s="19" t="str">
        <f aca="false">IF(A354="","",IFERROR(INDEX(Empresas!$B:$B,MATCH(A354,Empresas!$A:$A,0))&amp;"","cadastre o CNPJ em Empresas"))</f>
        <v/>
      </c>
      <c r="H354" s="28" t="str">
        <f aca="false">IF(B354="","",SUBSTITUTE(SUBSTITUTE(SUBSTITUTE(SUBSTITUTE(SUBSTITUTE(SUBSTITUTE(SUBSTITUTE(SUBSTITUTE(SUBSTITUTE(SUBSTITUTE(SUBSTITUTE(SUBSTITUTE(SUBSTITUTE(UPPER(TRIM(B354)),"Á","A"),"À","A"),"Â","A"),"Ã","A"),"É","E"),"Ê","E"),"Í","I"),"Ó","O"),"Ô","O"),"Õ","O"),"Ú","U"),"Ü","U"),"Ç","C"))</f>
        <v/>
      </c>
      <c r="I354" s="28" t="str">
        <f aca="false">IF(C354="","",IF(LEN(SUBSTITUTE(SUBSTITUTE(SUBSTITUTE(SUBSTITUTE(TRIM(C354),"*",""),".",""),"-","")," ",""))=11,MID(SUBSTITUTE(SUBSTITUTE(SUBSTITUTE(SUBSTITUTE(TRIM(C354),"*",""),".",""),"-","")," ",""),4,6),SUBSTITUTE(SUBSTITUTE(SUBSTITUTE(SUBSTITUTE(TRIM(C354),"*",""),".",""),"-","")," ","")))</f>
        <v/>
      </c>
      <c r="J354" s="28" t="str">
        <f aca="false">IF(OR(H354="",I354=""),"",H354&amp;"|"&amp;I354)</f>
        <v/>
      </c>
      <c r="K354" s="19" t="str">
        <f aca="false">IF(H354="","",IF(AND(J354&lt;&gt;"",COUNTIF(Pessoas!$J:$J,J354)&gt;0),"SIM",IF(COUNTIF(Pessoas!$H:$H,H354)&gt;0,"nome igual em Pessoas: confira o CPF","")))</f>
        <v/>
      </c>
      <c r="L354" s="27"/>
      <c r="M354" s="5"/>
    </row>
    <row r="355" customFormat="false" ht="15" hidden="false" customHeight="false" outlineLevel="0" collapsed="false">
      <c r="A355" s="27"/>
      <c r="B355" s="5"/>
      <c r="C355" s="27"/>
      <c r="D355" s="18"/>
      <c r="E355" s="14"/>
      <c r="F355" s="18"/>
      <c r="G355" s="19" t="str">
        <f aca="false">IF(A355="","",IFERROR(INDEX(Empresas!$B:$B,MATCH(A355,Empresas!$A:$A,0))&amp;"","cadastre o CNPJ em Empresas"))</f>
        <v/>
      </c>
      <c r="H355" s="28" t="str">
        <f aca="false">IF(B355="","",SUBSTITUTE(SUBSTITUTE(SUBSTITUTE(SUBSTITUTE(SUBSTITUTE(SUBSTITUTE(SUBSTITUTE(SUBSTITUTE(SUBSTITUTE(SUBSTITUTE(SUBSTITUTE(SUBSTITUTE(SUBSTITUTE(UPPER(TRIM(B355)),"Á","A"),"À","A"),"Â","A"),"Ã","A"),"É","E"),"Ê","E"),"Í","I"),"Ó","O"),"Ô","O"),"Õ","O"),"Ú","U"),"Ü","U"),"Ç","C"))</f>
        <v/>
      </c>
      <c r="I355" s="28" t="str">
        <f aca="false">IF(C355="","",IF(LEN(SUBSTITUTE(SUBSTITUTE(SUBSTITUTE(SUBSTITUTE(TRIM(C355),"*",""),".",""),"-","")," ",""))=11,MID(SUBSTITUTE(SUBSTITUTE(SUBSTITUTE(SUBSTITUTE(TRIM(C355),"*",""),".",""),"-","")," ",""),4,6),SUBSTITUTE(SUBSTITUTE(SUBSTITUTE(SUBSTITUTE(TRIM(C355),"*",""),".",""),"-","")," ","")))</f>
        <v/>
      </c>
      <c r="J355" s="28" t="str">
        <f aca="false">IF(OR(H355="",I355=""),"",H355&amp;"|"&amp;I355)</f>
        <v/>
      </c>
      <c r="K355" s="19" t="str">
        <f aca="false">IF(H355="","",IF(AND(J355&lt;&gt;"",COUNTIF(Pessoas!$J:$J,J355)&gt;0),"SIM",IF(COUNTIF(Pessoas!$H:$H,H355)&gt;0,"nome igual em Pessoas: confira o CPF","")))</f>
        <v/>
      </c>
      <c r="L355" s="27"/>
      <c r="M355" s="5"/>
    </row>
    <row r="356" customFormat="false" ht="15" hidden="false" customHeight="false" outlineLevel="0" collapsed="false">
      <c r="A356" s="27"/>
      <c r="B356" s="5"/>
      <c r="C356" s="27"/>
      <c r="D356" s="18"/>
      <c r="E356" s="14"/>
      <c r="F356" s="18"/>
      <c r="G356" s="19" t="str">
        <f aca="false">IF(A356="","",IFERROR(INDEX(Empresas!$B:$B,MATCH(A356,Empresas!$A:$A,0))&amp;"","cadastre o CNPJ em Empresas"))</f>
        <v/>
      </c>
      <c r="H356" s="28" t="str">
        <f aca="false">IF(B356="","",SUBSTITUTE(SUBSTITUTE(SUBSTITUTE(SUBSTITUTE(SUBSTITUTE(SUBSTITUTE(SUBSTITUTE(SUBSTITUTE(SUBSTITUTE(SUBSTITUTE(SUBSTITUTE(SUBSTITUTE(SUBSTITUTE(UPPER(TRIM(B356)),"Á","A"),"À","A"),"Â","A"),"Ã","A"),"É","E"),"Ê","E"),"Í","I"),"Ó","O"),"Ô","O"),"Õ","O"),"Ú","U"),"Ü","U"),"Ç","C"))</f>
        <v/>
      </c>
      <c r="I356" s="28" t="str">
        <f aca="false">IF(C356="","",IF(LEN(SUBSTITUTE(SUBSTITUTE(SUBSTITUTE(SUBSTITUTE(TRIM(C356),"*",""),".",""),"-","")," ",""))=11,MID(SUBSTITUTE(SUBSTITUTE(SUBSTITUTE(SUBSTITUTE(TRIM(C356),"*",""),".",""),"-","")," ",""),4,6),SUBSTITUTE(SUBSTITUTE(SUBSTITUTE(SUBSTITUTE(TRIM(C356),"*",""),".",""),"-","")," ","")))</f>
        <v/>
      </c>
      <c r="J356" s="28" t="str">
        <f aca="false">IF(OR(H356="",I356=""),"",H356&amp;"|"&amp;I356)</f>
        <v/>
      </c>
      <c r="K356" s="19" t="str">
        <f aca="false">IF(H356="","",IF(AND(J356&lt;&gt;"",COUNTIF(Pessoas!$J:$J,J356)&gt;0),"SIM",IF(COUNTIF(Pessoas!$H:$H,H356)&gt;0,"nome igual em Pessoas: confira o CPF","")))</f>
        <v/>
      </c>
      <c r="L356" s="27"/>
      <c r="M356" s="5"/>
    </row>
    <row r="357" customFormat="false" ht="15" hidden="false" customHeight="false" outlineLevel="0" collapsed="false">
      <c r="A357" s="27"/>
      <c r="B357" s="5"/>
      <c r="C357" s="27"/>
      <c r="D357" s="18"/>
      <c r="E357" s="14"/>
      <c r="F357" s="18"/>
      <c r="G357" s="19" t="str">
        <f aca="false">IF(A357="","",IFERROR(INDEX(Empresas!$B:$B,MATCH(A357,Empresas!$A:$A,0))&amp;"","cadastre o CNPJ em Empresas"))</f>
        <v/>
      </c>
      <c r="H357" s="28" t="str">
        <f aca="false">IF(B357="","",SUBSTITUTE(SUBSTITUTE(SUBSTITUTE(SUBSTITUTE(SUBSTITUTE(SUBSTITUTE(SUBSTITUTE(SUBSTITUTE(SUBSTITUTE(SUBSTITUTE(SUBSTITUTE(SUBSTITUTE(SUBSTITUTE(UPPER(TRIM(B357)),"Á","A"),"À","A"),"Â","A"),"Ã","A"),"É","E"),"Ê","E"),"Í","I"),"Ó","O"),"Ô","O"),"Õ","O"),"Ú","U"),"Ü","U"),"Ç","C"))</f>
        <v/>
      </c>
      <c r="I357" s="28" t="str">
        <f aca="false">IF(C357="","",IF(LEN(SUBSTITUTE(SUBSTITUTE(SUBSTITUTE(SUBSTITUTE(TRIM(C357),"*",""),".",""),"-","")," ",""))=11,MID(SUBSTITUTE(SUBSTITUTE(SUBSTITUTE(SUBSTITUTE(TRIM(C357),"*",""),".",""),"-","")," ",""),4,6),SUBSTITUTE(SUBSTITUTE(SUBSTITUTE(SUBSTITUTE(TRIM(C357),"*",""),".",""),"-","")," ","")))</f>
        <v/>
      </c>
      <c r="J357" s="28" t="str">
        <f aca="false">IF(OR(H357="",I357=""),"",H357&amp;"|"&amp;I357)</f>
        <v/>
      </c>
      <c r="K357" s="19" t="str">
        <f aca="false">IF(H357="","",IF(AND(J357&lt;&gt;"",COUNTIF(Pessoas!$J:$J,J357)&gt;0),"SIM",IF(COUNTIF(Pessoas!$H:$H,H357)&gt;0,"nome igual em Pessoas: confira o CPF","")))</f>
        <v/>
      </c>
      <c r="L357" s="27"/>
      <c r="M357" s="5"/>
    </row>
    <row r="358" customFormat="false" ht="15" hidden="false" customHeight="false" outlineLevel="0" collapsed="false">
      <c r="A358" s="27"/>
      <c r="B358" s="5"/>
      <c r="C358" s="27"/>
      <c r="D358" s="18"/>
      <c r="E358" s="14"/>
      <c r="F358" s="18"/>
      <c r="G358" s="19" t="str">
        <f aca="false">IF(A358="","",IFERROR(INDEX(Empresas!$B:$B,MATCH(A358,Empresas!$A:$A,0))&amp;"","cadastre o CNPJ em Empresas"))</f>
        <v/>
      </c>
      <c r="H358" s="28" t="str">
        <f aca="false">IF(B358="","",SUBSTITUTE(SUBSTITUTE(SUBSTITUTE(SUBSTITUTE(SUBSTITUTE(SUBSTITUTE(SUBSTITUTE(SUBSTITUTE(SUBSTITUTE(SUBSTITUTE(SUBSTITUTE(SUBSTITUTE(SUBSTITUTE(UPPER(TRIM(B358)),"Á","A"),"À","A"),"Â","A"),"Ã","A"),"É","E"),"Ê","E"),"Í","I"),"Ó","O"),"Ô","O"),"Õ","O"),"Ú","U"),"Ü","U"),"Ç","C"))</f>
        <v/>
      </c>
      <c r="I358" s="28" t="str">
        <f aca="false">IF(C358="","",IF(LEN(SUBSTITUTE(SUBSTITUTE(SUBSTITUTE(SUBSTITUTE(TRIM(C358),"*",""),".",""),"-","")," ",""))=11,MID(SUBSTITUTE(SUBSTITUTE(SUBSTITUTE(SUBSTITUTE(TRIM(C358),"*",""),".",""),"-","")," ",""),4,6),SUBSTITUTE(SUBSTITUTE(SUBSTITUTE(SUBSTITUTE(TRIM(C358),"*",""),".",""),"-","")," ","")))</f>
        <v/>
      </c>
      <c r="J358" s="28" t="str">
        <f aca="false">IF(OR(H358="",I358=""),"",H358&amp;"|"&amp;I358)</f>
        <v/>
      </c>
      <c r="K358" s="19" t="str">
        <f aca="false">IF(H358="","",IF(AND(J358&lt;&gt;"",COUNTIF(Pessoas!$J:$J,J358)&gt;0),"SIM",IF(COUNTIF(Pessoas!$H:$H,H358)&gt;0,"nome igual em Pessoas: confira o CPF","")))</f>
        <v/>
      </c>
      <c r="L358" s="27"/>
      <c r="M358" s="5"/>
    </row>
    <row r="359" customFormat="false" ht="15" hidden="false" customHeight="false" outlineLevel="0" collapsed="false">
      <c r="A359" s="27"/>
      <c r="B359" s="5"/>
      <c r="C359" s="27"/>
      <c r="D359" s="18"/>
      <c r="E359" s="14"/>
      <c r="F359" s="18"/>
      <c r="G359" s="19" t="str">
        <f aca="false">IF(A359="","",IFERROR(INDEX(Empresas!$B:$B,MATCH(A359,Empresas!$A:$A,0))&amp;"","cadastre o CNPJ em Empresas"))</f>
        <v/>
      </c>
      <c r="H359" s="28" t="str">
        <f aca="false">IF(B359="","",SUBSTITUTE(SUBSTITUTE(SUBSTITUTE(SUBSTITUTE(SUBSTITUTE(SUBSTITUTE(SUBSTITUTE(SUBSTITUTE(SUBSTITUTE(SUBSTITUTE(SUBSTITUTE(SUBSTITUTE(SUBSTITUTE(UPPER(TRIM(B359)),"Á","A"),"À","A"),"Â","A"),"Ã","A"),"É","E"),"Ê","E"),"Í","I"),"Ó","O"),"Ô","O"),"Õ","O"),"Ú","U"),"Ü","U"),"Ç","C"))</f>
        <v/>
      </c>
      <c r="I359" s="28" t="str">
        <f aca="false">IF(C359="","",IF(LEN(SUBSTITUTE(SUBSTITUTE(SUBSTITUTE(SUBSTITUTE(TRIM(C359),"*",""),".",""),"-","")," ",""))=11,MID(SUBSTITUTE(SUBSTITUTE(SUBSTITUTE(SUBSTITUTE(TRIM(C359),"*",""),".",""),"-","")," ",""),4,6),SUBSTITUTE(SUBSTITUTE(SUBSTITUTE(SUBSTITUTE(TRIM(C359),"*",""),".",""),"-","")," ","")))</f>
        <v/>
      </c>
      <c r="J359" s="28" t="str">
        <f aca="false">IF(OR(H359="",I359=""),"",H359&amp;"|"&amp;I359)</f>
        <v/>
      </c>
      <c r="K359" s="19" t="str">
        <f aca="false">IF(H359="","",IF(AND(J359&lt;&gt;"",COUNTIF(Pessoas!$J:$J,J359)&gt;0),"SIM",IF(COUNTIF(Pessoas!$H:$H,H359)&gt;0,"nome igual em Pessoas: confira o CPF","")))</f>
        <v/>
      </c>
      <c r="L359" s="27"/>
      <c r="M359" s="5"/>
    </row>
    <row r="360" customFormat="false" ht="15" hidden="false" customHeight="false" outlineLevel="0" collapsed="false">
      <c r="A360" s="27"/>
      <c r="B360" s="5"/>
      <c r="C360" s="27"/>
      <c r="D360" s="18"/>
      <c r="E360" s="14"/>
      <c r="F360" s="18"/>
      <c r="G360" s="19" t="str">
        <f aca="false">IF(A360="","",IFERROR(INDEX(Empresas!$B:$B,MATCH(A360,Empresas!$A:$A,0))&amp;"","cadastre o CNPJ em Empresas"))</f>
        <v/>
      </c>
      <c r="H360" s="28" t="str">
        <f aca="false">IF(B360="","",SUBSTITUTE(SUBSTITUTE(SUBSTITUTE(SUBSTITUTE(SUBSTITUTE(SUBSTITUTE(SUBSTITUTE(SUBSTITUTE(SUBSTITUTE(SUBSTITUTE(SUBSTITUTE(SUBSTITUTE(SUBSTITUTE(UPPER(TRIM(B360)),"Á","A"),"À","A"),"Â","A"),"Ã","A"),"É","E"),"Ê","E"),"Í","I"),"Ó","O"),"Ô","O"),"Õ","O"),"Ú","U"),"Ü","U"),"Ç","C"))</f>
        <v/>
      </c>
      <c r="I360" s="28" t="str">
        <f aca="false">IF(C360="","",IF(LEN(SUBSTITUTE(SUBSTITUTE(SUBSTITUTE(SUBSTITUTE(TRIM(C360),"*",""),".",""),"-","")," ",""))=11,MID(SUBSTITUTE(SUBSTITUTE(SUBSTITUTE(SUBSTITUTE(TRIM(C360),"*",""),".",""),"-","")," ",""),4,6),SUBSTITUTE(SUBSTITUTE(SUBSTITUTE(SUBSTITUTE(TRIM(C360),"*",""),".",""),"-","")," ","")))</f>
        <v/>
      </c>
      <c r="J360" s="28" t="str">
        <f aca="false">IF(OR(H360="",I360=""),"",H360&amp;"|"&amp;I360)</f>
        <v/>
      </c>
      <c r="K360" s="19" t="str">
        <f aca="false">IF(H360="","",IF(AND(J360&lt;&gt;"",COUNTIF(Pessoas!$J:$J,J360)&gt;0),"SIM",IF(COUNTIF(Pessoas!$H:$H,H360)&gt;0,"nome igual em Pessoas: confira o CPF","")))</f>
        <v/>
      </c>
      <c r="L360" s="27"/>
      <c r="M360" s="5"/>
    </row>
    <row r="361" customFormat="false" ht="15" hidden="false" customHeight="false" outlineLevel="0" collapsed="false">
      <c r="A361" s="27"/>
      <c r="B361" s="5"/>
      <c r="C361" s="27"/>
      <c r="D361" s="18"/>
      <c r="E361" s="14"/>
      <c r="F361" s="18"/>
      <c r="G361" s="19" t="str">
        <f aca="false">IF(A361="","",IFERROR(INDEX(Empresas!$B:$B,MATCH(A361,Empresas!$A:$A,0))&amp;"","cadastre o CNPJ em Empresas"))</f>
        <v/>
      </c>
      <c r="H361" s="28" t="str">
        <f aca="false">IF(B361="","",SUBSTITUTE(SUBSTITUTE(SUBSTITUTE(SUBSTITUTE(SUBSTITUTE(SUBSTITUTE(SUBSTITUTE(SUBSTITUTE(SUBSTITUTE(SUBSTITUTE(SUBSTITUTE(SUBSTITUTE(SUBSTITUTE(UPPER(TRIM(B361)),"Á","A"),"À","A"),"Â","A"),"Ã","A"),"É","E"),"Ê","E"),"Í","I"),"Ó","O"),"Ô","O"),"Õ","O"),"Ú","U"),"Ü","U"),"Ç","C"))</f>
        <v/>
      </c>
      <c r="I361" s="28" t="str">
        <f aca="false">IF(C361="","",IF(LEN(SUBSTITUTE(SUBSTITUTE(SUBSTITUTE(SUBSTITUTE(TRIM(C361),"*",""),".",""),"-","")," ",""))=11,MID(SUBSTITUTE(SUBSTITUTE(SUBSTITUTE(SUBSTITUTE(TRIM(C361),"*",""),".",""),"-","")," ",""),4,6),SUBSTITUTE(SUBSTITUTE(SUBSTITUTE(SUBSTITUTE(TRIM(C361),"*",""),".",""),"-","")," ","")))</f>
        <v/>
      </c>
      <c r="J361" s="28" t="str">
        <f aca="false">IF(OR(H361="",I361=""),"",H361&amp;"|"&amp;I361)</f>
        <v/>
      </c>
      <c r="K361" s="19" t="str">
        <f aca="false">IF(H361="","",IF(AND(J361&lt;&gt;"",COUNTIF(Pessoas!$J:$J,J361)&gt;0),"SIM",IF(COUNTIF(Pessoas!$H:$H,H361)&gt;0,"nome igual em Pessoas: confira o CPF","")))</f>
        <v/>
      </c>
      <c r="L361" s="27"/>
      <c r="M361" s="5"/>
    </row>
    <row r="362" customFormat="false" ht="15" hidden="false" customHeight="false" outlineLevel="0" collapsed="false">
      <c r="A362" s="27"/>
      <c r="B362" s="5"/>
      <c r="C362" s="27"/>
      <c r="D362" s="18"/>
      <c r="E362" s="14"/>
      <c r="F362" s="18"/>
      <c r="G362" s="19" t="str">
        <f aca="false">IF(A362="","",IFERROR(INDEX(Empresas!$B:$B,MATCH(A362,Empresas!$A:$A,0))&amp;"","cadastre o CNPJ em Empresas"))</f>
        <v/>
      </c>
      <c r="H362" s="28" t="str">
        <f aca="false">IF(B362="","",SUBSTITUTE(SUBSTITUTE(SUBSTITUTE(SUBSTITUTE(SUBSTITUTE(SUBSTITUTE(SUBSTITUTE(SUBSTITUTE(SUBSTITUTE(SUBSTITUTE(SUBSTITUTE(SUBSTITUTE(SUBSTITUTE(UPPER(TRIM(B362)),"Á","A"),"À","A"),"Â","A"),"Ã","A"),"É","E"),"Ê","E"),"Í","I"),"Ó","O"),"Ô","O"),"Õ","O"),"Ú","U"),"Ü","U"),"Ç","C"))</f>
        <v/>
      </c>
      <c r="I362" s="28" t="str">
        <f aca="false">IF(C362="","",IF(LEN(SUBSTITUTE(SUBSTITUTE(SUBSTITUTE(SUBSTITUTE(TRIM(C362),"*",""),".",""),"-","")," ",""))=11,MID(SUBSTITUTE(SUBSTITUTE(SUBSTITUTE(SUBSTITUTE(TRIM(C362),"*",""),".",""),"-","")," ",""),4,6),SUBSTITUTE(SUBSTITUTE(SUBSTITUTE(SUBSTITUTE(TRIM(C362),"*",""),".",""),"-","")," ","")))</f>
        <v/>
      </c>
      <c r="J362" s="28" t="str">
        <f aca="false">IF(OR(H362="",I362=""),"",H362&amp;"|"&amp;I362)</f>
        <v/>
      </c>
      <c r="K362" s="19" t="str">
        <f aca="false">IF(H362="","",IF(AND(J362&lt;&gt;"",COUNTIF(Pessoas!$J:$J,J362)&gt;0),"SIM",IF(COUNTIF(Pessoas!$H:$H,H362)&gt;0,"nome igual em Pessoas: confira o CPF","")))</f>
        <v/>
      </c>
      <c r="L362" s="27"/>
      <c r="M362" s="5"/>
    </row>
    <row r="363" customFormat="false" ht="15" hidden="false" customHeight="false" outlineLevel="0" collapsed="false">
      <c r="A363" s="27"/>
      <c r="B363" s="5"/>
      <c r="C363" s="27"/>
      <c r="D363" s="18"/>
      <c r="E363" s="14"/>
      <c r="F363" s="18"/>
      <c r="G363" s="19" t="str">
        <f aca="false">IF(A363="","",IFERROR(INDEX(Empresas!$B:$B,MATCH(A363,Empresas!$A:$A,0))&amp;"","cadastre o CNPJ em Empresas"))</f>
        <v/>
      </c>
      <c r="H363" s="28" t="str">
        <f aca="false">IF(B363="","",SUBSTITUTE(SUBSTITUTE(SUBSTITUTE(SUBSTITUTE(SUBSTITUTE(SUBSTITUTE(SUBSTITUTE(SUBSTITUTE(SUBSTITUTE(SUBSTITUTE(SUBSTITUTE(SUBSTITUTE(SUBSTITUTE(UPPER(TRIM(B363)),"Á","A"),"À","A"),"Â","A"),"Ã","A"),"É","E"),"Ê","E"),"Í","I"),"Ó","O"),"Ô","O"),"Õ","O"),"Ú","U"),"Ü","U"),"Ç","C"))</f>
        <v/>
      </c>
      <c r="I363" s="28" t="str">
        <f aca="false">IF(C363="","",IF(LEN(SUBSTITUTE(SUBSTITUTE(SUBSTITUTE(SUBSTITUTE(TRIM(C363),"*",""),".",""),"-","")," ",""))=11,MID(SUBSTITUTE(SUBSTITUTE(SUBSTITUTE(SUBSTITUTE(TRIM(C363),"*",""),".",""),"-","")," ",""),4,6),SUBSTITUTE(SUBSTITUTE(SUBSTITUTE(SUBSTITUTE(TRIM(C363),"*",""),".",""),"-","")," ","")))</f>
        <v/>
      </c>
      <c r="J363" s="28" t="str">
        <f aca="false">IF(OR(H363="",I363=""),"",H363&amp;"|"&amp;I363)</f>
        <v/>
      </c>
      <c r="K363" s="19" t="str">
        <f aca="false">IF(H363="","",IF(AND(J363&lt;&gt;"",COUNTIF(Pessoas!$J:$J,J363)&gt;0),"SIM",IF(COUNTIF(Pessoas!$H:$H,H363)&gt;0,"nome igual em Pessoas: confira o CPF","")))</f>
        <v/>
      </c>
      <c r="L363" s="27"/>
      <c r="M363" s="5"/>
    </row>
    <row r="364" customFormat="false" ht="15" hidden="false" customHeight="false" outlineLevel="0" collapsed="false">
      <c r="A364" s="27"/>
      <c r="B364" s="5"/>
      <c r="C364" s="27"/>
      <c r="D364" s="18"/>
      <c r="E364" s="14"/>
      <c r="F364" s="18"/>
      <c r="G364" s="19" t="str">
        <f aca="false">IF(A364="","",IFERROR(INDEX(Empresas!$B:$B,MATCH(A364,Empresas!$A:$A,0))&amp;"","cadastre o CNPJ em Empresas"))</f>
        <v/>
      </c>
      <c r="H364" s="28" t="str">
        <f aca="false">IF(B364="","",SUBSTITUTE(SUBSTITUTE(SUBSTITUTE(SUBSTITUTE(SUBSTITUTE(SUBSTITUTE(SUBSTITUTE(SUBSTITUTE(SUBSTITUTE(SUBSTITUTE(SUBSTITUTE(SUBSTITUTE(SUBSTITUTE(UPPER(TRIM(B364)),"Á","A"),"À","A"),"Â","A"),"Ã","A"),"É","E"),"Ê","E"),"Í","I"),"Ó","O"),"Ô","O"),"Õ","O"),"Ú","U"),"Ü","U"),"Ç","C"))</f>
        <v/>
      </c>
      <c r="I364" s="28" t="str">
        <f aca="false">IF(C364="","",IF(LEN(SUBSTITUTE(SUBSTITUTE(SUBSTITUTE(SUBSTITUTE(TRIM(C364),"*",""),".",""),"-","")," ",""))=11,MID(SUBSTITUTE(SUBSTITUTE(SUBSTITUTE(SUBSTITUTE(TRIM(C364),"*",""),".",""),"-","")," ",""),4,6),SUBSTITUTE(SUBSTITUTE(SUBSTITUTE(SUBSTITUTE(TRIM(C364),"*",""),".",""),"-","")," ","")))</f>
        <v/>
      </c>
      <c r="J364" s="28" t="str">
        <f aca="false">IF(OR(H364="",I364=""),"",H364&amp;"|"&amp;I364)</f>
        <v/>
      </c>
      <c r="K364" s="19" t="str">
        <f aca="false">IF(H364="","",IF(AND(J364&lt;&gt;"",COUNTIF(Pessoas!$J:$J,J364)&gt;0),"SIM",IF(COUNTIF(Pessoas!$H:$H,H364)&gt;0,"nome igual em Pessoas: confira o CPF","")))</f>
        <v/>
      </c>
      <c r="L364" s="27"/>
      <c r="M364" s="5"/>
    </row>
    <row r="365" customFormat="false" ht="15" hidden="false" customHeight="false" outlineLevel="0" collapsed="false">
      <c r="A365" s="27"/>
      <c r="B365" s="5"/>
      <c r="C365" s="27"/>
      <c r="D365" s="18"/>
      <c r="E365" s="14"/>
      <c r="F365" s="18"/>
      <c r="G365" s="19" t="str">
        <f aca="false">IF(A365="","",IFERROR(INDEX(Empresas!$B:$B,MATCH(A365,Empresas!$A:$A,0))&amp;"","cadastre o CNPJ em Empresas"))</f>
        <v/>
      </c>
      <c r="H365" s="28" t="str">
        <f aca="false">IF(B365="","",SUBSTITUTE(SUBSTITUTE(SUBSTITUTE(SUBSTITUTE(SUBSTITUTE(SUBSTITUTE(SUBSTITUTE(SUBSTITUTE(SUBSTITUTE(SUBSTITUTE(SUBSTITUTE(SUBSTITUTE(SUBSTITUTE(UPPER(TRIM(B365)),"Á","A"),"À","A"),"Â","A"),"Ã","A"),"É","E"),"Ê","E"),"Í","I"),"Ó","O"),"Ô","O"),"Õ","O"),"Ú","U"),"Ü","U"),"Ç","C"))</f>
        <v/>
      </c>
      <c r="I365" s="28" t="str">
        <f aca="false">IF(C365="","",IF(LEN(SUBSTITUTE(SUBSTITUTE(SUBSTITUTE(SUBSTITUTE(TRIM(C365),"*",""),".",""),"-","")," ",""))=11,MID(SUBSTITUTE(SUBSTITUTE(SUBSTITUTE(SUBSTITUTE(TRIM(C365),"*",""),".",""),"-","")," ",""),4,6),SUBSTITUTE(SUBSTITUTE(SUBSTITUTE(SUBSTITUTE(TRIM(C365),"*",""),".",""),"-","")," ","")))</f>
        <v/>
      </c>
      <c r="J365" s="28" t="str">
        <f aca="false">IF(OR(H365="",I365=""),"",H365&amp;"|"&amp;I365)</f>
        <v/>
      </c>
      <c r="K365" s="19" t="str">
        <f aca="false">IF(H365="","",IF(AND(J365&lt;&gt;"",COUNTIF(Pessoas!$J:$J,J365)&gt;0),"SIM",IF(COUNTIF(Pessoas!$H:$H,H365)&gt;0,"nome igual em Pessoas: confira o CPF","")))</f>
        <v/>
      </c>
      <c r="L365" s="27"/>
      <c r="M365" s="5"/>
    </row>
    <row r="366" customFormat="false" ht="15" hidden="false" customHeight="false" outlineLevel="0" collapsed="false">
      <c r="A366" s="27"/>
      <c r="B366" s="5"/>
      <c r="C366" s="27"/>
      <c r="D366" s="18"/>
      <c r="E366" s="14"/>
      <c r="F366" s="18"/>
      <c r="G366" s="19" t="str">
        <f aca="false">IF(A366="","",IFERROR(INDEX(Empresas!$B:$B,MATCH(A366,Empresas!$A:$A,0))&amp;"","cadastre o CNPJ em Empresas"))</f>
        <v/>
      </c>
      <c r="H366" s="28" t="str">
        <f aca="false">IF(B366="","",SUBSTITUTE(SUBSTITUTE(SUBSTITUTE(SUBSTITUTE(SUBSTITUTE(SUBSTITUTE(SUBSTITUTE(SUBSTITUTE(SUBSTITUTE(SUBSTITUTE(SUBSTITUTE(SUBSTITUTE(SUBSTITUTE(UPPER(TRIM(B366)),"Á","A"),"À","A"),"Â","A"),"Ã","A"),"É","E"),"Ê","E"),"Í","I"),"Ó","O"),"Ô","O"),"Õ","O"),"Ú","U"),"Ü","U"),"Ç","C"))</f>
        <v/>
      </c>
      <c r="I366" s="28" t="str">
        <f aca="false">IF(C366="","",IF(LEN(SUBSTITUTE(SUBSTITUTE(SUBSTITUTE(SUBSTITUTE(TRIM(C366),"*",""),".",""),"-","")," ",""))=11,MID(SUBSTITUTE(SUBSTITUTE(SUBSTITUTE(SUBSTITUTE(TRIM(C366),"*",""),".",""),"-","")," ",""),4,6),SUBSTITUTE(SUBSTITUTE(SUBSTITUTE(SUBSTITUTE(TRIM(C366),"*",""),".",""),"-","")," ","")))</f>
        <v/>
      </c>
      <c r="J366" s="28" t="str">
        <f aca="false">IF(OR(H366="",I366=""),"",H366&amp;"|"&amp;I366)</f>
        <v/>
      </c>
      <c r="K366" s="19" t="str">
        <f aca="false">IF(H366="","",IF(AND(J366&lt;&gt;"",COUNTIF(Pessoas!$J:$J,J366)&gt;0),"SIM",IF(COUNTIF(Pessoas!$H:$H,H366)&gt;0,"nome igual em Pessoas: confira o CPF","")))</f>
        <v/>
      </c>
      <c r="L366" s="27"/>
      <c r="M366" s="5"/>
    </row>
    <row r="367" customFormat="false" ht="15" hidden="false" customHeight="false" outlineLevel="0" collapsed="false">
      <c r="A367" s="27"/>
      <c r="B367" s="5"/>
      <c r="C367" s="27"/>
      <c r="D367" s="18"/>
      <c r="E367" s="14"/>
      <c r="F367" s="18"/>
      <c r="G367" s="19" t="str">
        <f aca="false">IF(A367="","",IFERROR(INDEX(Empresas!$B:$B,MATCH(A367,Empresas!$A:$A,0))&amp;"","cadastre o CNPJ em Empresas"))</f>
        <v/>
      </c>
      <c r="H367" s="28" t="str">
        <f aca="false">IF(B367="","",SUBSTITUTE(SUBSTITUTE(SUBSTITUTE(SUBSTITUTE(SUBSTITUTE(SUBSTITUTE(SUBSTITUTE(SUBSTITUTE(SUBSTITUTE(SUBSTITUTE(SUBSTITUTE(SUBSTITUTE(SUBSTITUTE(UPPER(TRIM(B367)),"Á","A"),"À","A"),"Â","A"),"Ã","A"),"É","E"),"Ê","E"),"Í","I"),"Ó","O"),"Ô","O"),"Õ","O"),"Ú","U"),"Ü","U"),"Ç","C"))</f>
        <v/>
      </c>
      <c r="I367" s="28" t="str">
        <f aca="false">IF(C367="","",IF(LEN(SUBSTITUTE(SUBSTITUTE(SUBSTITUTE(SUBSTITUTE(TRIM(C367),"*",""),".",""),"-","")," ",""))=11,MID(SUBSTITUTE(SUBSTITUTE(SUBSTITUTE(SUBSTITUTE(TRIM(C367),"*",""),".",""),"-","")," ",""),4,6),SUBSTITUTE(SUBSTITUTE(SUBSTITUTE(SUBSTITUTE(TRIM(C367),"*",""),".",""),"-","")," ","")))</f>
        <v/>
      </c>
      <c r="J367" s="28" t="str">
        <f aca="false">IF(OR(H367="",I367=""),"",H367&amp;"|"&amp;I367)</f>
        <v/>
      </c>
      <c r="K367" s="19" t="str">
        <f aca="false">IF(H367="","",IF(AND(J367&lt;&gt;"",COUNTIF(Pessoas!$J:$J,J367)&gt;0),"SIM",IF(COUNTIF(Pessoas!$H:$H,H367)&gt;0,"nome igual em Pessoas: confira o CPF","")))</f>
        <v/>
      </c>
      <c r="L367" s="27"/>
      <c r="M367" s="5"/>
    </row>
    <row r="368" customFormat="false" ht="15" hidden="false" customHeight="false" outlineLevel="0" collapsed="false">
      <c r="A368" s="27"/>
      <c r="B368" s="5"/>
      <c r="C368" s="27"/>
      <c r="D368" s="18"/>
      <c r="E368" s="14"/>
      <c r="F368" s="18"/>
      <c r="G368" s="19" t="str">
        <f aca="false">IF(A368="","",IFERROR(INDEX(Empresas!$B:$B,MATCH(A368,Empresas!$A:$A,0))&amp;"","cadastre o CNPJ em Empresas"))</f>
        <v/>
      </c>
      <c r="H368" s="28" t="str">
        <f aca="false">IF(B368="","",SUBSTITUTE(SUBSTITUTE(SUBSTITUTE(SUBSTITUTE(SUBSTITUTE(SUBSTITUTE(SUBSTITUTE(SUBSTITUTE(SUBSTITUTE(SUBSTITUTE(SUBSTITUTE(SUBSTITUTE(SUBSTITUTE(UPPER(TRIM(B368)),"Á","A"),"À","A"),"Â","A"),"Ã","A"),"É","E"),"Ê","E"),"Í","I"),"Ó","O"),"Ô","O"),"Õ","O"),"Ú","U"),"Ü","U"),"Ç","C"))</f>
        <v/>
      </c>
      <c r="I368" s="28" t="str">
        <f aca="false">IF(C368="","",IF(LEN(SUBSTITUTE(SUBSTITUTE(SUBSTITUTE(SUBSTITUTE(TRIM(C368),"*",""),".",""),"-","")," ",""))=11,MID(SUBSTITUTE(SUBSTITUTE(SUBSTITUTE(SUBSTITUTE(TRIM(C368),"*",""),".",""),"-","")," ",""),4,6),SUBSTITUTE(SUBSTITUTE(SUBSTITUTE(SUBSTITUTE(TRIM(C368),"*",""),".",""),"-","")," ","")))</f>
        <v/>
      </c>
      <c r="J368" s="28" t="str">
        <f aca="false">IF(OR(H368="",I368=""),"",H368&amp;"|"&amp;I368)</f>
        <v/>
      </c>
      <c r="K368" s="19" t="str">
        <f aca="false">IF(H368="","",IF(AND(J368&lt;&gt;"",COUNTIF(Pessoas!$J:$J,J368)&gt;0),"SIM",IF(COUNTIF(Pessoas!$H:$H,H368)&gt;0,"nome igual em Pessoas: confira o CPF","")))</f>
        <v/>
      </c>
      <c r="L368" s="27"/>
      <c r="M368" s="5"/>
    </row>
    <row r="369" customFormat="false" ht="15" hidden="false" customHeight="false" outlineLevel="0" collapsed="false">
      <c r="A369" s="27"/>
      <c r="B369" s="5"/>
      <c r="C369" s="27"/>
      <c r="D369" s="18"/>
      <c r="E369" s="14"/>
      <c r="F369" s="18"/>
      <c r="G369" s="19" t="str">
        <f aca="false">IF(A369="","",IFERROR(INDEX(Empresas!$B:$B,MATCH(A369,Empresas!$A:$A,0))&amp;"","cadastre o CNPJ em Empresas"))</f>
        <v/>
      </c>
      <c r="H369" s="28" t="str">
        <f aca="false">IF(B369="","",SUBSTITUTE(SUBSTITUTE(SUBSTITUTE(SUBSTITUTE(SUBSTITUTE(SUBSTITUTE(SUBSTITUTE(SUBSTITUTE(SUBSTITUTE(SUBSTITUTE(SUBSTITUTE(SUBSTITUTE(SUBSTITUTE(UPPER(TRIM(B369)),"Á","A"),"À","A"),"Â","A"),"Ã","A"),"É","E"),"Ê","E"),"Í","I"),"Ó","O"),"Ô","O"),"Õ","O"),"Ú","U"),"Ü","U"),"Ç","C"))</f>
        <v/>
      </c>
      <c r="I369" s="28" t="str">
        <f aca="false">IF(C369="","",IF(LEN(SUBSTITUTE(SUBSTITUTE(SUBSTITUTE(SUBSTITUTE(TRIM(C369),"*",""),".",""),"-","")," ",""))=11,MID(SUBSTITUTE(SUBSTITUTE(SUBSTITUTE(SUBSTITUTE(TRIM(C369),"*",""),".",""),"-","")," ",""),4,6),SUBSTITUTE(SUBSTITUTE(SUBSTITUTE(SUBSTITUTE(TRIM(C369),"*",""),".",""),"-","")," ","")))</f>
        <v/>
      </c>
      <c r="J369" s="28" t="str">
        <f aca="false">IF(OR(H369="",I369=""),"",H369&amp;"|"&amp;I369)</f>
        <v/>
      </c>
      <c r="K369" s="19" t="str">
        <f aca="false">IF(H369="","",IF(AND(J369&lt;&gt;"",COUNTIF(Pessoas!$J:$J,J369)&gt;0),"SIM",IF(COUNTIF(Pessoas!$H:$H,H369)&gt;0,"nome igual em Pessoas: confira o CPF","")))</f>
        <v/>
      </c>
      <c r="L369" s="27"/>
      <c r="M369" s="5"/>
    </row>
    <row r="370" customFormat="false" ht="15" hidden="false" customHeight="false" outlineLevel="0" collapsed="false">
      <c r="A370" s="27"/>
      <c r="B370" s="5"/>
      <c r="C370" s="27"/>
      <c r="D370" s="18"/>
      <c r="E370" s="14"/>
      <c r="F370" s="18"/>
      <c r="G370" s="19" t="str">
        <f aca="false">IF(A370="","",IFERROR(INDEX(Empresas!$B:$B,MATCH(A370,Empresas!$A:$A,0))&amp;"","cadastre o CNPJ em Empresas"))</f>
        <v/>
      </c>
      <c r="H370" s="28" t="str">
        <f aca="false">IF(B370="","",SUBSTITUTE(SUBSTITUTE(SUBSTITUTE(SUBSTITUTE(SUBSTITUTE(SUBSTITUTE(SUBSTITUTE(SUBSTITUTE(SUBSTITUTE(SUBSTITUTE(SUBSTITUTE(SUBSTITUTE(SUBSTITUTE(UPPER(TRIM(B370)),"Á","A"),"À","A"),"Â","A"),"Ã","A"),"É","E"),"Ê","E"),"Í","I"),"Ó","O"),"Ô","O"),"Õ","O"),"Ú","U"),"Ü","U"),"Ç","C"))</f>
        <v/>
      </c>
      <c r="I370" s="28" t="str">
        <f aca="false">IF(C370="","",IF(LEN(SUBSTITUTE(SUBSTITUTE(SUBSTITUTE(SUBSTITUTE(TRIM(C370),"*",""),".",""),"-","")," ",""))=11,MID(SUBSTITUTE(SUBSTITUTE(SUBSTITUTE(SUBSTITUTE(TRIM(C370),"*",""),".",""),"-","")," ",""),4,6),SUBSTITUTE(SUBSTITUTE(SUBSTITUTE(SUBSTITUTE(TRIM(C370),"*",""),".",""),"-","")," ","")))</f>
        <v/>
      </c>
      <c r="J370" s="28" t="str">
        <f aca="false">IF(OR(H370="",I370=""),"",H370&amp;"|"&amp;I370)</f>
        <v/>
      </c>
      <c r="K370" s="19" t="str">
        <f aca="false">IF(H370="","",IF(AND(J370&lt;&gt;"",COUNTIF(Pessoas!$J:$J,J370)&gt;0),"SIM",IF(COUNTIF(Pessoas!$H:$H,H370)&gt;0,"nome igual em Pessoas: confira o CPF","")))</f>
        <v/>
      </c>
      <c r="L370" s="27"/>
      <c r="M370" s="5"/>
    </row>
    <row r="371" customFormat="false" ht="15" hidden="false" customHeight="false" outlineLevel="0" collapsed="false">
      <c r="A371" s="27"/>
      <c r="B371" s="5"/>
      <c r="C371" s="27"/>
      <c r="D371" s="18"/>
      <c r="E371" s="14"/>
      <c r="F371" s="18"/>
      <c r="G371" s="19" t="str">
        <f aca="false">IF(A371="","",IFERROR(INDEX(Empresas!$B:$B,MATCH(A371,Empresas!$A:$A,0))&amp;"","cadastre o CNPJ em Empresas"))</f>
        <v/>
      </c>
      <c r="H371" s="28" t="str">
        <f aca="false">IF(B371="","",SUBSTITUTE(SUBSTITUTE(SUBSTITUTE(SUBSTITUTE(SUBSTITUTE(SUBSTITUTE(SUBSTITUTE(SUBSTITUTE(SUBSTITUTE(SUBSTITUTE(SUBSTITUTE(SUBSTITUTE(SUBSTITUTE(UPPER(TRIM(B371)),"Á","A"),"À","A"),"Â","A"),"Ã","A"),"É","E"),"Ê","E"),"Í","I"),"Ó","O"),"Ô","O"),"Õ","O"),"Ú","U"),"Ü","U"),"Ç","C"))</f>
        <v/>
      </c>
      <c r="I371" s="28" t="str">
        <f aca="false">IF(C371="","",IF(LEN(SUBSTITUTE(SUBSTITUTE(SUBSTITUTE(SUBSTITUTE(TRIM(C371),"*",""),".",""),"-","")," ",""))=11,MID(SUBSTITUTE(SUBSTITUTE(SUBSTITUTE(SUBSTITUTE(TRIM(C371),"*",""),".",""),"-","")," ",""),4,6),SUBSTITUTE(SUBSTITUTE(SUBSTITUTE(SUBSTITUTE(TRIM(C371),"*",""),".",""),"-","")," ","")))</f>
        <v/>
      </c>
      <c r="J371" s="28" t="str">
        <f aca="false">IF(OR(H371="",I371=""),"",H371&amp;"|"&amp;I371)</f>
        <v/>
      </c>
      <c r="K371" s="19" t="str">
        <f aca="false">IF(H371="","",IF(AND(J371&lt;&gt;"",COUNTIF(Pessoas!$J:$J,J371)&gt;0),"SIM",IF(COUNTIF(Pessoas!$H:$H,H371)&gt;0,"nome igual em Pessoas: confira o CPF","")))</f>
        <v/>
      </c>
      <c r="L371" s="27"/>
      <c r="M371" s="5"/>
    </row>
    <row r="372" customFormat="false" ht="15" hidden="false" customHeight="false" outlineLevel="0" collapsed="false">
      <c r="A372" s="27"/>
      <c r="B372" s="5"/>
      <c r="C372" s="27"/>
      <c r="D372" s="18"/>
      <c r="E372" s="14"/>
      <c r="F372" s="18"/>
      <c r="G372" s="19" t="str">
        <f aca="false">IF(A372="","",IFERROR(INDEX(Empresas!$B:$B,MATCH(A372,Empresas!$A:$A,0))&amp;"","cadastre o CNPJ em Empresas"))</f>
        <v/>
      </c>
      <c r="H372" s="28" t="str">
        <f aca="false">IF(B372="","",SUBSTITUTE(SUBSTITUTE(SUBSTITUTE(SUBSTITUTE(SUBSTITUTE(SUBSTITUTE(SUBSTITUTE(SUBSTITUTE(SUBSTITUTE(SUBSTITUTE(SUBSTITUTE(SUBSTITUTE(SUBSTITUTE(UPPER(TRIM(B372)),"Á","A"),"À","A"),"Â","A"),"Ã","A"),"É","E"),"Ê","E"),"Í","I"),"Ó","O"),"Ô","O"),"Õ","O"),"Ú","U"),"Ü","U"),"Ç","C"))</f>
        <v/>
      </c>
      <c r="I372" s="28" t="str">
        <f aca="false">IF(C372="","",IF(LEN(SUBSTITUTE(SUBSTITUTE(SUBSTITUTE(SUBSTITUTE(TRIM(C372),"*",""),".",""),"-","")," ",""))=11,MID(SUBSTITUTE(SUBSTITUTE(SUBSTITUTE(SUBSTITUTE(TRIM(C372),"*",""),".",""),"-","")," ",""),4,6),SUBSTITUTE(SUBSTITUTE(SUBSTITUTE(SUBSTITUTE(TRIM(C372),"*",""),".",""),"-","")," ","")))</f>
        <v/>
      </c>
      <c r="J372" s="28" t="str">
        <f aca="false">IF(OR(H372="",I372=""),"",H372&amp;"|"&amp;I372)</f>
        <v/>
      </c>
      <c r="K372" s="19" t="str">
        <f aca="false">IF(H372="","",IF(AND(J372&lt;&gt;"",COUNTIF(Pessoas!$J:$J,J372)&gt;0),"SIM",IF(COUNTIF(Pessoas!$H:$H,H372)&gt;0,"nome igual em Pessoas: confira o CPF","")))</f>
        <v/>
      </c>
      <c r="L372" s="27"/>
      <c r="M372" s="5"/>
    </row>
    <row r="373" customFormat="false" ht="15" hidden="false" customHeight="false" outlineLevel="0" collapsed="false">
      <c r="A373" s="27"/>
      <c r="B373" s="5"/>
      <c r="C373" s="27"/>
      <c r="D373" s="18"/>
      <c r="E373" s="14"/>
      <c r="F373" s="18"/>
      <c r="G373" s="19" t="str">
        <f aca="false">IF(A373="","",IFERROR(INDEX(Empresas!$B:$B,MATCH(A373,Empresas!$A:$A,0))&amp;"","cadastre o CNPJ em Empresas"))</f>
        <v/>
      </c>
      <c r="H373" s="28" t="str">
        <f aca="false">IF(B373="","",SUBSTITUTE(SUBSTITUTE(SUBSTITUTE(SUBSTITUTE(SUBSTITUTE(SUBSTITUTE(SUBSTITUTE(SUBSTITUTE(SUBSTITUTE(SUBSTITUTE(SUBSTITUTE(SUBSTITUTE(SUBSTITUTE(UPPER(TRIM(B373)),"Á","A"),"À","A"),"Â","A"),"Ã","A"),"É","E"),"Ê","E"),"Í","I"),"Ó","O"),"Ô","O"),"Õ","O"),"Ú","U"),"Ü","U"),"Ç","C"))</f>
        <v/>
      </c>
      <c r="I373" s="28" t="str">
        <f aca="false">IF(C373="","",IF(LEN(SUBSTITUTE(SUBSTITUTE(SUBSTITUTE(SUBSTITUTE(TRIM(C373),"*",""),".",""),"-","")," ",""))=11,MID(SUBSTITUTE(SUBSTITUTE(SUBSTITUTE(SUBSTITUTE(TRIM(C373),"*",""),".",""),"-","")," ",""),4,6),SUBSTITUTE(SUBSTITUTE(SUBSTITUTE(SUBSTITUTE(TRIM(C373),"*",""),".",""),"-","")," ","")))</f>
        <v/>
      </c>
      <c r="J373" s="28" t="str">
        <f aca="false">IF(OR(H373="",I373=""),"",H373&amp;"|"&amp;I373)</f>
        <v/>
      </c>
      <c r="K373" s="19" t="str">
        <f aca="false">IF(H373="","",IF(AND(J373&lt;&gt;"",COUNTIF(Pessoas!$J:$J,J373)&gt;0),"SIM",IF(COUNTIF(Pessoas!$H:$H,H373)&gt;0,"nome igual em Pessoas: confira o CPF","")))</f>
        <v/>
      </c>
      <c r="L373" s="27"/>
      <c r="M373" s="5"/>
    </row>
    <row r="374" customFormat="false" ht="15" hidden="false" customHeight="false" outlineLevel="0" collapsed="false">
      <c r="A374" s="27"/>
      <c r="B374" s="5"/>
      <c r="C374" s="27"/>
      <c r="D374" s="18"/>
      <c r="E374" s="14"/>
      <c r="F374" s="18"/>
      <c r="G374" s="19" t="str">
        <f aca="false">IF(A374="","",IFERROR(INDEX(Empresas!$B:$B,MATCH(A374,Empresas!$A:$A,0))&amp;"","cadastre o CNPJ em Empresas"))</f>
        <v/>
      </c>
      <c r="H374" s="28" t="str">
        <f aca="false">IF(B374="","",SUBSTITUTE(SUBSTITUTE(SUBSTITUTE(SUBSTITUTE(SUBSTITUTE(SUBSTITUTE(SUBSTITUTE(SUBSTITUTE(SUBSTITUTE(SUBSTITUTE(SUBSTITUTE(SUBSTITUTE(SUBSTITUTE(UPPER(TRIM(B374)),"Á","A"),"À","A"),"Â","A"),"Ã","A"),"É","E"),"Ê","E"),"Í","I"),"Ó","O"),"Ô","O"),"Õ","O"),"Ú","U"),"Ü","U"),"Ç","C"))</f>
        <v/>
      </c>
      <c r="I374" s="28" t="str">
        <f aca="false">IF(C374="","",IF(LEN(SUBSTITUTE(SUBSTITUTE(SUBSTITUTE(SUBSTITUTE(TRIM(C374),"*",""),".",""),"-","")," ",""))=11,MID(SUBSTITUTE(SUBSTITUTE(SUBSTITUTE(SUBSTITUTE(TRIM(C374),"*",""),".",""),"-","")," ",""),4,6),SUBSTITUTE(SUBSTITUTE(SUBSTITUTE(SUBSTITUTE(TRIM(C374),"*",""),".",""),"-","")," ","")))</f>
        <v/>
      </c>
      <c r="J374" s="28" t="str">
        <f aca="false">IF(OR(H374="",I374=""),"",H374&amp;"|"&amp;I374)</f>
        <v/>
      </c>
      <c r="K374" s="19" t="str">
        <f aca="false">IF(H374="","",IF(AND(J374&lt;&gt;"",COUNTIF(Pessoas!$J:$J,J374)&gt;0),"SIM",IF(COUNTIF(Pessoas!$H:$H,H374)&gt;0,"nome igual em Pessoas: confira o CPF","")))</f>
        <v/>
      </c>
      <c r="L374" s="27"/>
      <c r="M374" s="5"/>
    </row>
    <row r="375" customFormat="false" ht="15" hidden="false" customHeight="false" outlineLevel="0" collapsed="false">
      <c r="A375" s="27"/>
      <c r="B375" s="5"/>
      <c r="C375" s="27"/>
      <c r="D375" s="18"/>
      <c r="E375" s="14"/>
      <c r="F375" s="18"/>
      <c r="G375" s="19" t="str">
        <f aca="false">IF(A375="","",IFERROR(INDEX(Empresas!$B:$B,MATCH(A375,Empresas!$A:$A,0))&amp;"","cadastre o CNPJ em Empresas"))</f>
        <v/>
      </c>
      <c r="H375" s="28" t="str">
        <f aca="false">IF(B375="","",SUBSTITUTE(SUBSTITUTE(SUBSTITUTE(SUBSTITUTE(SUBSTITUTE(SUBSTITUTE(SUBSTITUTE(SUBSTITUTE(SUBSTITUTE(SUBSTITUTE(SUBSTITUTE(SUBSTITUTE(SUBSTITUTE(UPPER(TRIM(B375)),"Á","A"),"À","A"),"Â","A"),"Ã","A"),"É","E"),"Ê","E"),"Í","I"),"Ó","O"),"Ô","O"),"Õ","O"),"Ú","U"),"Ü","U"),"Ç","C"))</f>
        <v/>
      </c>
      <c r="I375" s="28" t="str">
        <f aca="false">IF(C375="","",IF(LEN(SUBSTITUTE(SUBSTITUTE(SUBSTITUTE(SUBSTITUTE(TRIM(C375),"*",""),".",""),"-","")," ",""))=11,MID(SUBSTITUTE(SUBSTITUTE(SUBSTITUTE(SUBSTITUTE(TRIM(C375),"*",""),".",""),"-","")," ",""),4,6),SUBSTITUTE(SUBSTITUTE(SUBSTITUTE(SUBSTITUTE(TRIM(C375),"*",""),".",""),"-","")," ","")))</f>
        <v/>
      </c>
      <c r="J375" s="28" t="str">
        <f aca="false">IF(OR(H375="",I375=""),"",H375&amp;"|"&amp;I375)</f>
        <v/>
      </c>
      <c r="K375" s="19" t="str">
        <f aca="false">IF(H375="","",IF(AND(J375&lt;&gt;"",COUNTIF(Pessoas!$J:$J,J375)&gt;0),"SIM",IF(COUNTIF(Pessoas!$H:$H,H375)&gt;0,"nome igual em Pessoas: confira o CPF","")))</f>
        <v/>
      </c>
      <c r="L375" s="27"/>
      <c r="M375" s="5"/>
    </row>
    <row r="376" customFormat="false" ht="15" hidden="false" customHeight="false" outlineLevel="0" collapsed="false">
      <c r="A376" s="27"/>
      <c r="B376" s="5"/>
      <c r="C376" s="27"/>
      <c r="D376" s="18"/>
      <c r="E376" s="14"/>
      <c r="F376" s="18"/>
      <c r="G376" s="19" t="str">
        <f aca="false">IF(A376="","",IFERROR(INDEX(Empresas!$B:$B,MATCH(A376,Empresas!$A:$A,0))&amp;"","cadastre o CNPJ em Empresas"))</f>
        <v/>
      </c>
      <c r="H376" s="28" t="str">
        <f aca="false">IF(B376="","",SUBSTITUTE(SUBSTITUTE(SUBSTITUTE(SUBSTITUTE(SUBSTITUTE(SUBSTITUTE(SUBSTITUTE(SUBSTITUTE(SUBSTITUTE(SUBSTITUTE(SUBSTITUTE(SUBSTITUTE(SUBSTITUTE(UPPER(TRIM(B376)),"Á","A"),"À","A"),"Â","A"),"Ã","A"),"É","E"),"Ê","E"),"Í","I"),"Ó","O"),"Ô","O"),"Õ","O"),"Ú","U"),"Ü","U"),"Ç","C"))</f>
        <v/>
      </c>
      <c r="I376" s="28" t="str">
        <f aca="false">IF(C376="","",IF(LEN(SUBSTITUTE(SUBSTITUTE(SUBSTITUTE(SUBSTITUTE(TRIM(C376),"*",""),".",""),"-","")," ",""))=11,MID(SUBSTITUTE(SUBSTITUTE(SUBSTITUTE(SUBSTITUTE(TRIM(C376),"*",""),".",""),"-","")," ",""),4,6),SUBSTITUTE(SUBSTITUTE(SUBSTITUTE(SUBSTITUTE(TRIM(C376),"*",""),".",""),"-","")," ","")))</f>
        <v/>
      </c>
      <c r="J376" s="28" t="str">
        <f aca="false">IF(OR(H376="",I376=""),"",H376&amp;"|"&amp;I376)</f>
        <v/>
      </c>
      <c r="K376" s="19" t="str">
        <f aca="false">IF(H376="","",IF(AND(J376&lt;&gt;"",COUNTIF(Pessoas!$J:$J,J376)&gt;0),"SIM",IF(COUNTIF(Pessoas!$H:$H,H376)&gt;0,"nome igual em Pessoas: confira o CPF","")))</f>
        <v/>
      </c>
      <c r="L376" s="27"/>
      <c r="M376" s="5"/>
    </row>
    <row r="377" customFormat="false" ht="15" hidden="false" customHeight="false" outlineLevel="0" collapsed="false">
      <c r="A377" s="27"/>
      <c r="B377" s="5"/>
      <c r="C377" s="27"/>
      <c r="D377" s="18"/>
      <c r="E377" s="14"/>
      <c r="F377" s="18"/>
      <c r="G377" s="19" t="str">
        <f aca="false">IF(A377="","",IFERROR(INDEX(Empresas!$B:$B,MATCH(A377,Empresas!$A:$A,0))&amp;"","cadastre o CNPJ em Empresas"))</f>
        <v/>
      </c>
      <c r="H377" s="28" t="str">
        <f aca="false">IF(B377="","",SUBSTITUTE(SUBSTITUTE(SUBSTITUTE(SUBSTITUTE(SUBSTITUTE(SUBSTITUTE(SUBSTITUTE(SUBSTITUTE(SUBSTITUTE(SUBSTITUTE(SUBSTITUTE(SUBSTITUTE(SUBSTITUTE(UPPER(TRIM(B377)),"Á","A"),"À","A"),"Â","A"),"Ã","A"),"É","E"),"Ê","E"),"Í","I"),"Ó","O"),"Ô","O"),"Õ","O"),"Ú","U"),"Ü","U"),"Ç","C"))</f>
        <v/>
      </c>
      <c r="I377" s="28" t="str">
        <f aca="false">IF(C377="","",IF(LEN(SUBSTITUTE(SUBSTITUTE(SUBSTITUTE(SUBSTITUTE(TRIM(C377),"*",""),".",""),"-","")," ",""))=11,MID(SUBSTITUTE(SUBSTITUTE(SUBSTITUTE(SUBSTITUTE(TRIM(C377),"*",""),".",""),"-","")," ",""),4,6),SUBSTITUTE(SUBSTITUTE(SUBSTITUTE(SUBSTITUTE(TRIM(C377),"*",""),".",""),"-","")," ","")))</f>
        <v/>
      </c>
      <c r="J377" s="28" t="str">
        <f aca="false">IF(OR(H377="",I377=""),"",H377&amp;"|"&amp;I377)</f>
        <v/>
      </c>
      <c r="K377" s="19" t="str">
        <f aca="false">IF(H377="","",IF(AND(J377&lt;&gt;"",COUNTIF(Pessoas!$J:$J,J377)&gt;0),"SIM",IF(COUNTIF(Pessoas!$H:$H,H377)&gt;0,"nome igual em Pessoas: confira o CPF","")))</f>
        <v/>
      </c>
      <c r="L377" s="27"/>
      <c r="M377" s="5"/>
    </row>
    <row r="378" customFormat="false" ht="15" hidden="false" customHeight="false" outlineLevel="0" collapsed="false">
      <c r="A378" s="27"/>
      <c r="B378" s="5"/>
      <c r="C378" s="27"/>
      <c r="D378" s="18"/>
      <c r="E378" s="14"/>
      <c r="F378" s="18"/>
      <c r="G378" s="19" t="str">
        <f aca="false">IF(A378="","",IFERROR(INDEX(Empresas!$B:$B,MATCH(A378,Empresas!$A:$A,0))&amp;"","cadastre o CNPJ em Empresas"))</f>
        <v/>
      </c>
      <c r="H378" s="28" t="str">
        <f aca="false">IF(B378="","",SUBSTITUTE(SUBSTITUTE(SUBSTITUTE(SUBSTITUTE(SUBSTITUTE(SUBSTITUTE(SUBSTITUTE(SUBSTITUTE(SUBSTITUTE(SUBSTITUTE(SUBSTITUTE(SUBSTITUTE(SUBSTITUTE(UPPER(TRIM(B378)),"Á","A"),"À","A"),"Â","A"),"Ã","A"),"É","E"),"Ê","E"),"Í","I"),"Ó","O"),"Ô","O"),"Õ","O"),"Ú","U"),"Ü","U"),"Ç","C"))</f>
        <v/>
      </c>
      <c r="I378" s="28" t="str">
        <f aca="false">IF(C378="","",IF(LEN(SUBSTITUTE(SUBSTITUTE(SUBSTITUTE(SUBSTITUTE(TRIM(C378),"*",""),".",""),"-","")," ",""))=11,MID(SUBSTITUTE(SUBSTITUTE(SUBSTITUTE(SUBSTITUTE(TRIM(C378),"*",""),".",""),"-","")," ",""),4,6),SUBSTITUTE(SUBSTITUTE(SUBSTITUTE(SUBSTITUTE(TRIM(C378),"*",""),".",""),"-","")," ","")))</f>
        <v/>
      </c>
      <c r="J378" s="28" t="str">
        <f aca="false">IF(OR(H378="",I378=""),"",H378&amp;"|"&amp;I378)</f>
        <v/>
      </c>
      <c r="K378" s="19" t="str">
        <f aca="false">IF(H378="","",IF(AND(J378&lt;&gt;"",COUNTIF(Pessoas!$J:$J,J378)&gt;0),"SIM",IF(COUNTIF(Pessoas!$H:$H,H378)&gt;0,"nome igual em Pessoas: confira o CPF","")))</f>
        <v/>
      </c>
      <c r="L378" s="27"/>
      <c r="M378" s="5"/>
    </row>
    <row r="379" customFormat="false" ht="15" hidden="false" customHeight="false" outlineLevel="0" collapsed="false">
      <c r="A379" s="27"/>
      <c r="B379" s="5"/>
      <c r="C379" s="27"/>
      <c r="D379" s="18"/>
      <c r="E379" s="14"/>
      <c r="F379" s="18"/>
      <c r="G379" s="19" t="str">
        <f aca="false">IF(A379="","",IFERROR(INDEX(Empresas!$B:$B,MATCH(A379,Empresas!$A:$A,0))&amp;"","cadastre o CNPJ em Empresas"))</f>
        <v/>
      </c>
      <c r="H379" s="28" t="str">
        <f aca="false">IF(B379="","",SUBSTITUTE(SUBSTITUTE(SUBSTITUTE(SUBSTITUTE(SUBSTITUTE(SUBSTITUTE(SUBSTITUTE(SUBSTITUTE(SUBSTITUTE(SUBSTITUTE(SUBSTITUTE(SUBSTITUTE(SUBSTITUTE(UPPER(TRIM(B379)),"Á","A"),"À","A"),"Â","A"),"Ã","A"),"É","E"),"Ê","E"),"Í","I"),"Ó","O"),"Ô","O"),"Õ","O"),"Ú","U"),"Ü","U"),"Ç","C"))</f>
        <v/>
      </c>
      <c r="I379" s="28" t="str">
        <f aca="false">IF(C379="","",IF(LEN(SUBSTITUTE(SUBSTITUTE(SUBSTITUTE(SUBSTITUTE(TRIM(C379),"*",""),".",""),"-","")," ",""))=11,MID(SUBSTITUTE(SUBSTITUTE(SUBSTITUTE(SUBSTITUTE(TRIM(C379),"*",""),".",""),"-","")," ",""),4,6),SUBSTITUTE(SUBSTITUTE(SUBSTITUTE(SUBSTITUTE(TRIM(C379),"*",""),".",""),"-","")," ","")))</f>
        <v/>
      </c>
      <c r="J379" s="28" t="str">
        <f aca="false">IF(OR(H379="",I379=""),"",H379&amp;"|"&amp;I379)</f>
        <v/>
      </c>
      <c r="K379" s="19" t="str">
        <f aca="false">IF(H379="","",IF(AND(J379&lt;&gt;"",COUNTIF(Pessoas!$J:$J,J379)&gt;0),"SIM",IF(COUNTIF(Pessoas!$H:$H,H379)&gt;0,"nome igual em Pessoas: confira o CPF","")))</f>
        <v/>
      </c>
      <c r="L379" s="27"/>
      <c r="M379" s="5"/>
    </row>
    <row r="380" customFormat="false" ht="15" hidden="false" customHeight="false" outlineLevel="0" collapsed="false">
      <c r="A380" s="27"/>
      <c r="B380" s="5"/>
      <c r="C380" s="27"/>
      <c r="D380" s="18"/>
      <c r="E380" s="14"/>
      <c r="F380" s="18"/>
      <c r="G380" s="19" t="str">
        <f aca="false">IF(A380="","",IFERROR(INDEX(Empresas!$B:$B,MATCH(A380,Empresas!$A:$A,0))&amp;"","cadastre o CNPJ em Empresas"))</f>
        <v/>
      </c>
      <c r="H380" s="28" t="str">
        <f aca="false">IF(B380="","",SUBSTITUTE(SUBSTITUTE(SUBSTITUTE(SUBSTITUTE(SUBSTITUTE(SUBSTITUTE(SUBSTITUTE(SUBSTITUTE(SUBSTITUTE(SUBSTITUTE(SUBSTITUTE(SUBSTITUTE(SUBSTITUTE(UPPER(TRIM(B380)),"Á","A"),"À","A"),"Â","A"),"Ã","A"),"É","E"),"Ê","E"),"Í","I"),"Ó","O"),"Ô","O"),"Õ","O"),"Ú","U"),"Ü","U"),"Ç","C"))</f>
        <v/>
      </c>
      <c r="I380" s="28" t="str">
        <f aca="false">IF(C380="","",IF(LEN(SUBSTITUTE(SUBSTITUTE(SUBSTITUTE(SUBSTITUTE(TRIM(C380),"*",""),".",""),"-","")," ",""))=11,MID(SUBSTITUTE(SUBSTITUTE(SUBSTITUTE(SUBSTITUTE(TRIM(C380),"*",""),".",""),"-","")," ",""),4,6),SUBSTITUTE(SUBSTITUTE(SUBSTITUTE(SUBSTITUTE(TRIM(C380),"*",""),".",""),"-","")," ","")))</f>
        <v/>
      </c>
      <c r="J380" s="28" t="str">
        <f aca="false">IF(OR(H380="",I380=""),"",H380&amp;"|"&amp;I380)</f>
        <v/>
      </c>
      <c r="K380" s="19" t="str">
        <f aca="false">IF(H380="","",IF(AND(J380&lt;&gt;"",COUNTIF(Pessoas!$J:$J,J380)&gt;0),"SIM",IF(COUNTIF(Pessoas!$H:$H,H380)&gt;0,"nome igual em Pessoas: confira o CPF","")))</f>
        <v/>
      </c>
      <c r="L380" s="27"/>
      <c r="M380" s="5"/>
    </row>
    <row r="381" customFormat="false" ht="15" hidden="false" customHeight="false" outlineLevel="0" collapsed="false">
      <c r="A381" s="27"/>
      <c r="B381" s="5"/>
      <c r="C381" s="27"/>
      <c r="D381" s="18"/>
      <c r="E381" s="14"/>
      <c r="F381" s="18"/>
      <c r="G381" s="19" t="str">
        <f aca="false">IF(A381="","",IFERROR(INDEX(Empresas!$B:$B,MATCH(A381,Empresas!$A:$A,0))&amp;"","cadastre o CNPJ em Empresas"))</f>
        <v/>
      </c>
      <c r="H381" s="28" t="str">
        <f aca="false">IF(B381="","",SUBSTITUTE(SUBSTITUTE(SUBSTITUTE(SUBSTITUTE(SUBSTITUTE(SUBSTITUTE(SUBSTITUTE(SUBSTITUTE(SUBSTITUTE(SUBSTITUTE(SUBSTITUTE(SUBSTITUTE(SUBSTITUTE(UPPER(TRIM(B381)),"Á","A"),"À","A"),"Â","A"),"Ã","A"),"É","E"),"Ê","E"),"Í","I"),"Ó","O"),"Ô","O"),"Õ","O"),"Ú","U"),"Ü","U"),"Ç","C"))</f>
        <v/>
      </c>
      <c r="I381" s="28" t="str">
        <f aca="false">IF(C381="","",IF(LEN(SUBSTITUTE(SUBSTITUTE(SUBSTITUTE(SUBSTITUTE(TRIM(C381),"*",""),".",""),"-","")," ",""))=11,MID(SUBSTITUTE(SUBSTITUTE(SUBSTITUTE(SUBSTITUTE(TRIM(C381),"*",""),".",""),"-","")," ",""),4,6),SUBSTITUTE(SUBSTITUTE(SUBSTITUTE(SUBSTITUTE(TRIM(C381),"*",""),".",""),"-","")," ","")))</f>
        <v/>
      </c>
      <c r="J381" s="28" t="str">
        <f aca="false">IF(OR(H381="",I381=""),"",H381&amp;"|"&amp;I381)</f>
        <v/>
      </c>
      <c r="K381" s="19" t="str">
        <f aca="false">IF(H381="","",IF(AND(J381&lt;&gt;"",COUNTIF(Pessoas!$J:$J,J381)&gt;0),"SIM",IF(COUNTIF(Pessoas!$H:$H,H381)&gt;0,"nome igual em Pessoas: confira o CPF","")))</f>
        <v/>
      </c>
      <c r="L381" s="27"/>
      <c r="M381" s="5"/>
    </row>
    <row r="382" customFormat="false" ht="15" hidden="false" customHeight="false" outlineLevel="0" collapsed="false">
      <c r="A382" s="27"/>
      <c r="B382" s="5"/>
      <c r="C382" s="27"/>
      <c r="D382" s="18"/>
      <c r="E382" s="14"/>
      <c r="F382" s="18"/>
      <c r="G382" s="19" t="str">
        <f aca="false">IF(A382="","",IFERROR(INDEX(Empresas!$B:$B,MATCH(A382,Empresas!$A:$A,0))&amp;"","cadastre o CNPJ em Empresas"))</f>
        <v/>
      </c>
      <c r="H382" s="28" t="str">
        <f aca="false">IF(B382="","",SUBSTITUTE(SUBSTITUTE(SUBSTITUTE(SUBSTITUTE(SUBSTITUTE(SUBSTITUTE(SUBSTITUTE(SUBSTITUTE(SUBSTITUTE(SUBSTITUTE(SUBSTITUTE(SUBSTITUTE(SUBSTITUTE(UPPER(TRIM(B382)),"Á","A"),"À","A"),"Â","A"),"Ã","A"),"É","E"),"Ê","E"),"Í","I"),"Ó","O"),"Ô","O"),"Õ","O"),"Ú","U"),"Ü","U"),"Ç","C"))</f>
        <v/>
      </c>
      <c r="I382" s="28" t="str">
        <f aca="false">IF(C382="","",IF(LEN(SUBSTITUTE(SUBSTITUTE(SUBSTITUTE(SUBSTITUTE(TRIM(C382),"*",""),".",""),"-","")," ",""))=11,MID(SUBSTITUTE(SUBSTITUTE(SUBSTITUTE(SUBSTITUTE(TRIM(C382),"*",""),".",""),"-","")," ",""),4,6),SUBSTITUTE(SUBSTITUTE(SUBSTITUTE(SUBSTITUTE(TRIM(C382),"*",""),".",""),"-","")," ","")))</f>
        <v/>
      </c>
      <c r="J382" s="28" t="str">
        <f aca="false">IF(OR(H382="",I382=""),"",H382&amp;"|"&amp;I382)</f>
        <v/>
      </c>
      <c r="K382" s="19" t="str">
        <f aca="false">IF(H382="","",IF(AND(J382&lt;&gt;"",COUNTIF(Pessoas!$J:$J,J382)&gt;0),"SIM",IF(COUNTIF(Pessoas!$H:$H,H382)&gt;0,"nome igual em Pessoas: confira o CPF","")))</f>
        <v/>
      </c>
      <c r="L382" s="27"/>
      <c r="M382" s="5"/>
    </row>
    <row r="383" customFormat="false" ht="15" hidden="false" customHeight="false" outlineLevel="0" collapsed="false">
      <c r="A383" s="27"/>
      <c r="B383" s="5"/>
      <c r="C383" s="27"/>
      <c r="D383" s="18"/>
      <c r="E383" s="14"/>
      <c r="F383" s="18"/>
      <c r="G383" s="19" t="str">
        <f aca="false">IF(A383="","",IFERROR(INDEX(Empresas!$B:$B,MATCH(A383,Empresas!$A:$A,0))&amp;"","cadastre o CNPJ em Empresas"))</f>
        <v/>
      </c>
      <c r="H383" s="28" t="str">
        <f aca="false">IF(B383="","",SUBSTITUTE(SUBSTITUTE(SUBSTITUTE(SUBSTITUTE(SUBSTITUTE(SUBSTITUTE(SUBSTITUTE(SUBSTITUTE(SUBSTITUTE(SUBSTITUTE(SUBSTITUTE(SUBSTITUTE(SUBSTITUTE(UPPER(TRIM(B383)),"Á","A"),"À","A"),"Â","A"),"Ã","A"),"É","E"),"Ê","E"),"Í","I"),"Ó","O"),"Ô","O"),"Õ","O"),"Ú","U"),"Ü","U"),"Ç","C"))</f>
        <v/>
      </c>
      <c r="I383" s="28" t="str">
        <f aca="false">IF(C383="","",IF(LEN(SUBSTITUTE(SUBSTITUTE(SUBSTITUTE(SUBSTITUTE(TRIM(C383),"*",""),".",""),"-","")," ",""))=11,MID(SUBSTITUTE(SUBSTITUTE(SUBSTITUTE(SUBSTITUTE(TRIM(C383),"*",""),".",""),"-","")," ",""),4,6),SUBSTITUTE(SUBSTITUTE(SUBSTITUTE(SUBSTITUTE(TRIM(C383),"*",""),".",""),"-","")," ","")))</f>
        <v/>
      </c>
      <c r="J383" s="28" t="str">
        <f aca="false">IF(OR(H383="",I383=""),"",H383&amp;"|"&amp;I383)</f>
        <v/>
      </c>
      <c r="K383" s="19" t="str">
        <f aca="false">IF(H383="","",IF(AND(J383&lt;&gt;"",COUNTIF(Pessoas!$J:$J,J383)&gt;0),"SIM",IF(COUNTIF(Pessoas!$H:$H,H383)&gt;0,"nome igual em Pessoas: confira o CPF","")))</f>
        <v/>
      </c>
      <c r="L383" s="27"/>
      <c r="M383" s="5"/>
    </row>
    <row r="384" customFormat="false" ht="15" hidden="false" customHeight="false" outlineLevel="0" collapsed="false">
      <c r="A384" s="27"/>
      <c r="B384" s="5"/>
      <c r="C384" s="27"/>
      <c r="D384" s="18"/>
      <c r="E384" s="14"/>
      <c r="F384" s="18"/>
      <c r="G384" s="19" t="str">
        <f aca="false">IF(A384="","",IFERROR(INDEX(Empresas!$B:$B,MATCH(A384,Empresas!$A:$A,0))&amp;"","cadastre o CNPJ em Empresas"))</f>
        <v/>
      </c>
      <c r="H384" s="28" t="str">
        <f aca="false">IF(B384="","",SUBSTITUTE(SUBSTITUTE(SUBSTITUTE(SUBSTITUTE(SUBSTITUTE(SUBSTITUTE(SUBSTITUTE(SUBSTITUTE(SUBSTITUTE(SUBSTITUTE(SUBSTITUTE(SUBSTITUTE(SUBSTITUTE(UPPER(TRIM(B384)),"Á","A"),"À","A"),"Â","A"),"Ã","A"),"É","E"),"Ê","E"),"Í","I"),"Ó","O"),"Ô","O"),"Õ","O"),"Ú","U"),"Ü","U"),"Ç","C"))</f>
        <v/>
      </c>
      <c r="I384" s="28" t="str">
        <f aca="false">IF(C384="","",IF(LEN(SUBSTITUTE(SUBSTITUTE(SUBSTITUTE(SUBSTITUTE(TRIM(C384),"*",""),".",""),"-","")," ",""))=11,MID(SUBSTITUTE(SUBSTITUTE(SUBSTITUTE(SUBSTITUTE(TRIM(C384),"*",""),".",""),"-","")," ",""),4,6),SUBSTITUTE(SUBSTITUTE(SUBSTITUTE(SUBSTITUTE(TRIM(C384),"*",""),".",""),"-","")," ","")))</f>
        <v/>
      </c>
      <c r="J384" s="28" t="str">
        <f aca="false">IF(OR(H384="",I384=""),"",H384&amp;"|"&amp;I384)</f>
        <v/>
      </c>
      <c r="K384" s="19" t="str">
        <f aca="false">IF(H384="","",IF(AND(J384&lt;&gt;"",COUNTIF(Pessoas!$J:$J,J384)&gt;0),"SIM",IF(COUNTIF(Pessoas!$H:$H,H384)&gt;0,"nome igual em Pessoas: confira o CPF","")))</f>
        <v/>
      </c>
      <c r="L384" s="27"/>
      <c r="M384" s="5"/>
    </row>
    <row r="385" customFormat="false" ht="15" hidden="false" customHeight="false" outlineLevel="0" collapsed="false">
      <c r="A385" s="27"/>
      <c r="B385" s="5"/>
      <c r="C385" s="27"/>
      <c r="D385" s="18"/>
      <c r="E385" s="14"/>
      <c r="F385" s="18"/>
      <c r="G385" s="19" t="str">
        <f aca="false">IF(A385="","",IFERROR(INDEX(Empresas!$B:$B,MATCH(A385,Empresas!$A:$A,0))&amp;"","cadastre o CNPJ em Empresas"))</f>
        <v/>
      </c>
      <c r="H385" s="28" t="str">
        <f aca="false">IF(B385="","",SUBSTITUTE(SUBSTITUTE(SUBSTITUTE(SUBSTITUTE(SUBSTITUTE(SUBSTITUTE(SUBSTITUTE(SUBSTITUTE(SUBSTITUTE(SUBSTITUTE(SUBSTITUTE(SUBSTITUTE(SUBSTITUTE(UPPER(TRIM(B385)),"Á","A"),"À","A"),"Â","A"),"Ã","A"),"É","E"),"Ê","E"),"Í","I"),"Ó","O"),"Ô","O"),"Õ","O"),"Ú","U"),"Ü","U"),"Ç","C"))</f>
        <v/>
      </c>
      <c r="I385" s="28" t="str">
        <f aca="false">IF(C385="","",IF(LEN(SUBSTITUTE(SUBSTITUTE(SUBSTITUTE(SUBSTITUTE(TRIM(C385),"*",""),".",""),"-","")," ",""))=11,MID(SUBSTITUTE(SUBSTITUTE(SUBSTITUTE(SUBSTITUTE(TRIM(C385),"*",""),".",""),"-","")," ",""),4,6),SUBSTITUTE(SUBSTITUTE(SUBSTITUTE(SUBSTITUTE(TRIM(C385),"*",""),".",""),"-","")," ","")))</f>
        <v/>
      </c>
      <c r="J385" s="28" t="str">
        <f aca="false">IF(OR(H385="",I385=""),"",H385&amp;"|"&amp;I385)</f>
        <v/>
      </c>
      <c r="K385" s="19" t="str">
        <f aca="false">IF(H385="","",IF(AND(J385&lt;&gt;"",COUNTIF(Pessoas!$J:$J,J385)&gt;0),"SIM",IF(COUNTIF(Pessoas!$H:$H,H385)&gt;0,"nome igual em Pessoas: confira o CPF","")))</f>
        <v/>
      </c>
      <c r="L385" s="27"/>
      <c r="M385" s="5"/>
    </row>
    <row r="386" customFormat="false" ht="15" hidden="false" customHeight="false" outlineLevel="0" collapsed="false">
      <c r="A386" s="27"/>
      <c r="B386" s="5"/>
      <c r="C386" s="27"/>
      <c r="D386" s="18"/>
      <c r="E386" s="14"/>
      <c r="F386" s="18"/>
      <c r="G386" s="19" t="str">
        <f aca="false">IF(A386="","",IFERROR(INDEX(Empresas!$B:$B,MATCH(A386,Empresas!$A:$A,0))&amp;"","cadastre o CNPJ em Empresas"))</f>
        <v/>
      </c>
      <c r="H386" s="28" t="str">
        <f aca="false">IF(B386="","",SUBSTITUTE(SUBSTITUTE(SUBSTITUTE(SUBSTITUTE(SUBSTITUTE(SUBSTITUTE(SUBSTITUTE(SUBSTITUTE(SUBSTITUTE(SUBSTITUTE(SUBSTITUTE(SUBSTITUTE(SUBSTITUTE(UPPER(TRIM(B386)),"Á","A"),"À","A"),"Â","A"),"Ã","A"),"É","E"),"Ê","E"),"Í","I"),"Ó","O"),"Ô","O"),"Õ","O"),"Ú","U"),"Ü","U"),"Ç","C"))</f>
        <v/>
      </c>
      <c r="I386" s="28" t="str">
        <f aca="false">IF(C386="","",IF(LEN(SUBSTITUTE(SUBSTITUTE(SUBSTITUTE(SUBSTITUTE(TRIM(C386),"*",""),".",""),"-","")," ",""))=11,MID(SUBSTITUTE(SUBSTITUTE(SUBSTITUTE(SUBSTITUTE(TRIM(C386),"*",""),".",""),"-","")," ",""),4,6),SUBSTITUTE(SUBSTITUTE(SUBSTITUTE(SUBSTITUTE(TRIM(C386),"*",""),".",""),"-","")," ","")))</f>
        <v/>
      </c>
      <c r="J386" s="28" t="str">
        <f aca="false">IF(OR(H386="",I386=""),"",H386&amp;"|"&amp;I386)</f>
        <v/>
      </c>
      <c r="K386" s="19" t="str">
        <f aca="false">IF(H386="","",IF(AND(J386&lt;&gt;"",COUNTIF(Pessoas!$J:$J,J386)&gt;0),"SIM",IF(COUNTIF(Pessoas!$H:$H,H386)&gt;0,"nome igual em Pessoas: confira o CPF","")))</f>
        <v/>
      </c>
      <c r="L386" s="27"/>
      <c r="M386" s="5"/>
    </row>
    <row r="387" customFormat="false" ht="15" hidden="false" customHeight="false" outlineLevel="0" collapsed="false">
      <c r="A387" s="27"/>
      <c r="B387" s="5"/>
      <c r="C387" s="27"/>
      <c r="D387" s="18"/>
      <c r="E387" s="14"/>
      <c r="F387" s="18"/>
      <c r="G387" s="19" t="str">
        <f aca="false">IF(A387="","",IFERROR(INDEX(Empresas!$B:$B,MATCH(A387,Empresas!$A:$A,0))&amp;"","cadastre o CNPJ em Empresas"))</f>
        <v/>
      </c>
      <c r="H387" s="28" t="str">
        <f aca="false">IF(B387="","",SUBSTITUTE(SUBSTITUTE(SUBSTITUTE(SUBSTITUTE(SUBSTITUTE(SUBSTITUTE(SUBSTITUTE(SUBSTITUTE(SUBSTITUTE(SUBSTITUTE(SUBSTITUTE(SUBSTITUTE(SUBSTITUTE(UPPER(TRIM(B387)),"Á","A"),"À","A"),"Â","A"),"Ã","A"),"É","E"),"Ê","E"),"Í","I"),"Ó","O"),"Ô","O"),"Õ","O"),"Ú","U"),"Ü","U"),"Ç","C"))</f>
        <v/>
      </c>
      <c r="I387" s="28" t="str">
        <f aca="false">IF(C387="","",IF(LEN(SUBSTITUTE(SUBSTITUTE(SUBSTITUTE(SUBSTITUTE(TRIM(C387),"*",""),".",""),"-","")," ",""))=11,MID(SUBSTITUTE(SUBSTITUTE(SUBSTITUTE(SUBSTITUTE(TRIM(C387),"*",""),".",""),"-","")," ",""),4,6),SUBSTITUTE(SUBSTITUTE(SUBSTITUTE(SUBSTITUTE(TRIM(C387),"*",""),".",""),"-","")," ","")))</f>
        <v/>
      </c>
      <c r="J387" s="28" t="str">
        <f aca="false">IF(OR(H387="",I387=""),"",H387&amp;"|"&amp;I387)</f>
        <v/>
      </c>
      <c r="K387" s="19" t="str">
        <f aca="false">IF(H387="","",IF(AND(J387&lt;&gt;"",COUNTIF(Pessoas!$J:$J,J387)&gt;0),"SIM",IF(COUNTIF(Pessoas!$H:$H,H387)&gt;0,"nome igual em Pessoas: confira o CPF","")))</f>
        <v/>
      </c>
      <c r="L387" s="27"/>
      <c r="M387" s="5"/>
    </row>
    <row r="388" customFormat="false" ht="15" hidden="false" customHeight="false" outlineLevel="0" collapsed="false">
      <c r="A388" s="27"/>
      <c r="B388" s="5"/>
      <c r="C388" s="27"/>
      <c r="D388" s="18"/>
      <c r="E388" s="14"/>
      <c r="F388" s="18"/>
      <c r="G388" s="19" t="str">
        <f aca="false">IF(A388="","",IFERROR(INDEX(Empresas!$B:$B,MATCH(A388,Empresas!$A:$A,0))&amp;"","cadastre o CNPJ em Empresas"))</f>
        <v/>
      </c>
      <c r="H388" s="28" t="str">
        <f aca="false">IF(B388="","",SUBSTITUTE(SUBSTITUTE(SUBSTITUTE(SUBSTITUTE(SUBSTITUTE(SUBSTITUTE(SUBSTITUTE(SUBSTITUTE(SUBSTITUTE(SUBSTITUTE(SUBSTITUTE(SUBSTITUTE(SUBSTITUTE(UPPER(TRIM(B388)),"Á","A"),"À","A"),"Â","A"),"Ã","A"),"É","E"),"Ê","E"),"Í","I"),"Ó","O"),"Ô","O"),"Õ","O"),"Ú","U"),"Ü","U"),"Ç","C"))</f>
        <v/>
      </c>
      <c r="I388" s="28" t="str">
        <f aca="false">IF(C388="","",IF(LEN(SUBSTITUTE(SUBSTITUTE(SUBSTITUTE(SUBSTITUTE(TRIM(C388),"*",""),".",""),"-","")," ",""))=11,MID(SUBSTITUTE(SUBSTITUTE(SUBSTITUTE(SUBSTITUTE(TRIM(C388),"*",""),".",""),"-","")," ",""),4,6),SUBSTITUTE(SUBSTITUTE(SUBSTITUTE(SUBSTITUTE(TRIM(C388),"*",""),".",""),"-","")," ","")))</f>
        <v/>
      </c>
      <c r="J388" s="28" t="str">
        <f aca="false">IF(OR(H388="",I388=""),"",H388&amp;"|"&amp;I388)</f>
        <v/>
      </c>
      <c r="K388" s="19" t="str">
        <f aca="false">IF(H388="","",IF(AND(J388&lt;&gt;"",COUNTIF(Pessoas!$J:$J,J388)&gt;0),"SIM",IF(COUNTIF(Pessoas!$H:$H,H388)&gt;0,"nome igual em Pessoas: confira o CPF","")))</f>
        <v/>
      </c>
      <c r="L388" s="27"/>
      <c r="M388" s="5"/>
    </row>
    <row r="389" customFormat="false" ht="15" hidden="false" customHeight="false" outlineLevel="0" collapsed="false">
      <c r="A389" s="27"/>
      <c r="B389" s="5"/>
      <c r="C389" s="27"/>
      <c r="D389" s="18"/>
      <c r="E389" s="14"/>
      <c r="F389" s="18"/>
      <c r="G389" s="19" t="str">
        <f aca="false">IF(A389="","",IFERROR(INDEX(Empresas!$B:$B,MATCH(A389,Empresas!$A:$A,0))&amp;"","cadastre o CNPJ em Empresas"))</f>
        <v/>
      </c>
      <c r="H389" s="28" t="str">
        <f aca="false">IF(B389="","",SUBSTITUTE(SUBSTITUTE(SUBSTITUTE(SUBSTITUTE(SUBSTITUTE(SUBSTITUTE(SUBSTITUTE(SUBSTITUTE(SUBSTITUTE(SUBSTITUTE(SUBSTITUTE(SUBSTITUTE(SUBSTITUTE(UPPER(TRIM(B389)),"Á","A"),"À","A"),"Â","A"),"Ã","A"),"É","E"),"Ê","E"),"Í","I"),"Ó","O"),"Ô","O"),"Õ","O"),"Ú","U"),"Ü","U"),"Ç","C"))</f>
        <v/>
      </c>
      <c r="I389" s="28" t="str">
        <f aca="false">IF(C389="","",IF(LEN(SUBSTITUTE(SUBSTITUTE(SUBSTITUTE(SUBSTITUTE(TRIM(C389),"*",""),".",""),"-","")," ",""))=11,MID(SUBSTITUTE(SUBSTITUTE(SUBSTITUTE(SUBSTITUTE(TRIM(C389),"*",""),".",""),"-","")," ",""),4,6),SUBSTITUTE(SUBSTITUTE(SUBSTITUTE(SUBSTITUTE(TRIM(C389),"*",""),".",""),"-","")," ","")))</f>
        <v/>
      </c>
      <c r="J389" s="28" t="str">
        <f aca="false">IF(OR(H389="",I389=""),"",H389&amp;"|"&amp;I389)</f>
        <v/>
      </c>
      <c r="K389" s="19" t="str">
        <f aca="false">IF(H389="","",IF(AND(J389&lt;&gt;"",COUNTIF(Pessoas!$J:$J,J389)&gt;0),"SIM",IF(COUNTIF(Pessoas!$H:$H,H389)&gt;0,"nome igual em Pessoas: confira o CPF","")))</f>
        <v/>
      </c>
      <c r="L389" s="27"/>
      <c r="M389" s="5"/>
    </row>
    <row r="390" customFormat="false" ht="15" hidden="false" customHeight="false" outlineLevel="0" collapsed="false">
      <c r="A390" s="27"/>
      <c r="B390" s="5"/>
      <c r="C390" s="27"/>
      <c r="D390" s="18"/>
      <c r="E390" s="14"/>
      <c r="F390" s="18"/>
      <c r="G390" s="19" t="str">
        <f aca="false">IF(A390="","",IFERROR(INDEX(Empresas!$B:$B,MATCH(A390,Empresas!$A:$A,0))&amp;"","cadastre o CNPJ em Empresas"))</f>
        <v/>
      </c>
      <c r="H390" s="28" t="str">
        <f aca="false">IF(B390="","",SUBSTITUTE(SUBSTITUTE(SUBSTITUTE(SUBSTITUTE(SUBSTITUTE(SUBSTITUTE(SUBSTITUTE(SUBSTITUTE(SUBSTITUTE(SUBSTITUTE(SUBSTITUTE(SUBSTITUTE(SUBSTITUTE(UPPER(TRIM(B390)),"Á","A"),"À","A"),"Â","A"),"Ã","A"),"É","E"),"Ê","E"),"Í","I"),"Ó","O"),"Ô","O"),"Õ","O"),"Ú","U"),"Ü","U"),"Ç","C"))</f>
        <v/>
      </c>
      <c r="I390" s="28" t="str">
        <f aca="false">IF(C390="","",IF(LEN(SUBSTITUTE(SUBSTITUTE(SUBSTITUTE(SUBSTITUTE(TRIM(C390),"*",""),".",""),"-","")," ",""))=11,MID(SUBSTITUTE(SUBSTITUTE(SUBSTITUTE(SUBSTITUTE(TRIM(C390),"*",""),".",""),"-","")," ",""),4,6),SUBSTITUTE(SUBSTITUTE(SUBSTITUTE(SUBSTITUTE(TRIM(C390),"*",""),".",""),"-","")," ","")))</f>
        <v/>
      </c>
      <c r="J390" s="28" t="str">
        <f aca="false">IF(OR(H390="",I390=""),"",H390&amp;"|"&amp;I390)</f>
        <v/>
      </c>
      <c r="K390" s="19" t="str">
        <f aca="false">IF(H390="","",IF(AND(J390&lt;&gt;"",COUNTIF(Pessoas!$J:$J,J390)&gt;0),"SIM",IF(COUNTIF(Pessoas!$H:$H,H390)&gt;0,"nome igual em Pessoas: confira o CPF","")))</f>
        <v/>
      </c>
      <c r="L390" s="27"/>
      <c r="M390" s="5"/>
    </row>
    <row r="391" customFormat="false" ht="15" hidden="false" customHeight="false" outlineLevel="0" collapsed="false">
      <c r="A391" s="27"/>
      <c r="B391" s="5"/>
      <c r="C391" s="27"/>
      <c r="D391" s="18"/>
      <c r="E391" s="14"/>
      <c r="F391" s="18"/>
      <c r="G391" s="19" t="str">
        <f aca="false">IF(A391="","",IFERROR(INDEX(Empresas!$B:$B,MATCH(A391,Empresas!$A:$A,0))&amp;"","cadastre o CNPJ em Empresas"))</f>
        <v/>
      </c>
      <c r="H391" s="28" t="str">
        <f aca="false">IF(B391="","",SUBSTITUTE(SUBSTITUTE(SUBSTITUTE(SUBSTITUTE(SUBSTITUTE(SUBSTITUTE(SUBSTITUTE(SUBSTITUTE(SUBSTITUTE(SUBSTITUTE(SUBSTITUTE(SUBSTITUTE(SUBSTITUTE(UPPER(TRIM(B391)),"Á","A"),"À","A"),"Â","A"),"Ã","A"),"É","E"),"Ê","E"),"Í","I"),"Ó","O"),"Ô","O"),"Õ","O"),"Ú","U"),"Ü","U"),"Ç","C"))</f>
        <v/>
      </c>
      <c r="I391" s="28" t="str">
        <f aca="false">IF(C391="","",IF(LEN(SUBSTITUTE(SUBSTITUTE(SUBSTITUTE(SUBSTITUTE(TRIM(C391),"*",""),".",""),"-","")," ",""))=11,MID(SUBSTITUTE(SUBSTITUTE(SUBSTITUTE(SUBSTITUTE(TRIM(C391),"*",""),".",""),"-","")," ",""),4,6),SUBSTITUTE(SUBSTITUTE(SUBSTITUTE(SUBSTITUTE(TRIM(C391),"*",""),".",""),"-","")," ","")))</f>
        <v/>
      </c>
      <c r="J391" s="28" t="str">
        <f aca="false">IF(OR(H391="",I391=""),"",H391&amp;"|"&amp;I391)</f>
        <v/>
      </c>
      <c r="K391" s="19" t="str">
        <f aca="false">IF(H391="","",IF(AND(J391&lt;&gt;"",COUNTIF(Pessoas!$J:$J,J391)&gt;0),"SIM",IF(COUNTIF(Pessoas!$H:$H,H391)&gt;0,"nome igual em Pessoas: confira o CPF","")))</f>
        <v/>
      </c>
      <c r="L391" s="27"/>
      <c r="M391" s="5"/>
    </row>
    <row r="392" customFormat="false" ht="15" hidden="false" customHeight="false" outlineLevel="0" collapsed="false">
      <c r="A392" s="27"/>
      <c r="B392" s="5"/>
      <c r="C392" s="27"/>
      <c r="D392" s="18"/>
      <c r="E392" s="14"/>
      <c r="F392" s="18"/>
      <c r="G392" s="19" t="str">
        <f aca="false">IF(A392="","",IFERROR(INDEX(Empresas!$B:$B,MATCH(A392,Empresas!$A:$A,0))&amp;"","cadastre o CNPJ em Empresas"))</f>
        <v/>
      </c>
      <c r="H392" s="28" t="str">
        <f aca="false">IF(B392="","",SUBSTITUTE(SUBSTITUTE(SUBSTITUTE(SUBSTITUTE(SUBSTITUTE(SUBSTITUTE(SUBSTITUTE(SUBSTITUTE(SUBSTITUTE(SUBSTITUTE(SUBSTITUTE(SUBSTITUTE(SUBSTITUTE(UPPER(TRIM(B392)),"Á","A"),"À","A"),"Â","A"),"Ã","A"),"É","E"),"Ê","E"),"Í","I"),"Ó","O"),"Ô","O"),"Õ","O"),"Ú","U"),"Ü","U"),"Ç","C"))</f>
        <v/>
      </c>
      <c r="I392" s="28" t="str">
        <f aca="false">IF(C392="","",IF(LEN(SUBSTITUTE(SUBSTITUTE(SUBSTITUTE(SUBSTITUTE(TRIM(C392),"*",""),".",""),"-","")," ",""))=11,MID(SUBSTITUTE(SUBSTITUTE(SUBSTITUTE(SUBSTITUTE(TRIM(C392),"*",""),".",""),"-","")," ",""),4,6),SUBSTITUTE(SUBSTITUTE(SUBSTITUTE(SUBSTITUTE(TRIM(C392),"*",""),".",""),"-","")," ","")))</f>
        <v/>
      </c>
      <c r="J392" s="28" t="str">
        <f aca="false">IF(OR(H392="",I392=""),"",H392&amp;"|"&amp;I392)</f>
        <v/>
      </c>
      <c r="K392" s="19" t="str">
        <f aca="false">IF(H392="","",IF(AND(J392&lt;&gt;"",COUNTIF(Pessoas!$J:$J,J392)&gt;0),"SIM",IF(COUNTIF(Pessoas!$H:$H,H392)&gt;0,"nome igual em Pessoas: confira o CPF","")))</f>
        <v/>
      </c>
      <c r="L392" s="27"/>
      <c r="M392" s="5"/>
    </row>
    <row r="393" customFormat="false" ht="15" hidden="false" customHeight="false" outlineLevel="0" collapsed="false">
      <c r="A393" s="27"/>
      <c r="B393" s="5"/>
      <c r="C393" s="27"/>
      <c r="D393" s="18"/>
      <c r="E393" s="14"/>
      <c r="F393" s="18"/>
      <c r="G393" s="19" t="str">
        <f aca="false">IF(A393="","",IFERROR(INDEX(Empresas!$B:$B,MATCH(A393,Empresas!$A:$A,0))&amp;"","cadastre o CNPJ em Empresas"))</f>
        <v/>
      </c>
      <c r="H393" s="28" t="str">
        <f aca="false">IF(B393="","",SUBSTITUTE(SUBSTITUTE(SUBSTITUTE(SUBSTITUTE(SUBSTITUTE(SUBSTITUTE(SUBSTITUTE(SUBSTITUTE(SUBSTITUTE(SUBSTITUTE(SUBSTITUTE(SUBSTITUTE(SUBSTITUTE(UPPER(TRIM(B393)),"Á","A"),"À","A"),"Â","A"),"Ã","A"),"É","E"),"Ê","E"),"Í","I"),"Ó","O"),"Ô","O"),"Õ","O"),"Ú","U"),"Ü","U"),"Ç","C"))</f>
        <v/>
      </c>
      <c r="I393" s="28" t="str">
        <f aca="false">IF(C393="","",IF(LEN(SUBSTITUTE(SUBSTITUTE(SUBSTITUTE(SUBSTITUTE(TRIM(C393),"*",""),".",""),"-","")," ",""))=11,MID(SUBSTITUTE(SUBSTITUTE(SUBSTITUTE(SUBSTITUTE(TRIM(C393),"*",""),".",""),"-","")," ",""),4,6),SUBSTITUTE(SUBSTITUTE(SUBSTITUTE(SUBSTITUTE(TRIM(C393),"*",""),".",""),"-","")," ","")))</f>
        <v/>
      </c>
      <c r="J393" s="28" t="str">
        <f aca="false">IF(OR(H393="",I393=""),"",H393&amp;"|"&amp;I393)</f>
        <v/>
      </c>
      <c r="K393" s="19" t="str">
        <f aca="false">IF(H393="","",IF(AND(J393&lt;&gt;"",COUNTIF(Pessoas!$J:$J,J393)&gt;0),"SIM",IF(COUNTIF(Pessoas!$H:$H,H393)&gt;0,"nome igual em Pessoas: confira o CPF","")))</f>
        <v/>
      </c>
      <c r="L393" s="27"/>
      <c r="M393" s="5"/>
    </row>
    <row r="394" customFormat="false" ht="15" hidden="false" customHeight="false" outlineLevel="0" collapsed="false">
      <c r="A394" s="27"/>
      <c r="B394" s="5"/>
      <c r="C394" s="27"/>
      <c r="D394" s="18"/>
      <c r="E394" s="14"/>
      <c r="F394" s="18"/>
      <c r="G394" s="19" t="str">
        <f aca="false">IF(A394="","",IFERROR(INDEX(Empresas!$B:$B,MATCH(A394,Empresas!$A:$A,0))&amp;"","cadastre o CNPJ em Empresas"))</f>
        <v/>
      </c>
      <c r="H394" s="28" t="str">
        <f aca="false">IF(B394="","",SUBSTITUTE(SUBSTITUTE(SUBSTITUTE(SUBSTITUTE(SUBSTITUTE(SUBSTITUTE(SUBSTITUTE(SUBSTITUTE(SUBSTITUTE(SUBSTITUTE(SUBSTITUTE(SUBSTITUTE(SUBSTITUTE(UPPER(TRIM(B394)),"Á","A"),"À","A"),"Â","A"),"Ã","A"),"É","E"),"Ê","E"),"Í","I"),"Ó","O"),"Ô","O"),"Õ","O"),"Ú","U"),"Ü","U"),"Ç","C"))</f>
        <v/>
      </c>
      <c r="I394" s="28" t="str">
        <f aca="false">IF(C394="","",IF(LEN(SUBSTITUTE(SUBSTITUTE(SUBSTITUTE(SUBSTITUTE(TRIM(C394),"*",""),".",""),"-","")," ",""))=11,MID(SUBSTITUTE(SUBSTITUTE(SUBSTITUTE(SUBSTITUTE(TRIM(C394),"*",""),".",""),"-","")," ",""),4,6),SUBSTITUTE(SUBSTITUTE(SUBSTITUTE(SUBSTITUTE(TRIM(C394),"*",""),".",""),"-","")," ","")))</f>
        <v/>
      </c>
      <c r="J394" s="28" t="str">
        <f aca="false">IF(OR(H394="",I394=""),"",H394&amp;"|"&amp;I394)</f>
        <v/>
      </c>
      <c r="K394" s="19" t="str">
        <f aca="false">IF(H394="","",IF(AND(J394&lt;&gt;"",COUNTIF(Pessoas!$J:$J,J394)&gt;0),"SIM",IF(COUNTIF(Pessoas!$H:$H,H394)&gt;0,"nome igual em Pessoas: confira o CPF","")))</f>
        <v/>
      </c>
      <c r="L394" s="27"/>
      <c r="M394" s="5"/>
    </row>
    <row r="395" customFormat="false" ht="15" hidden="false" customHeight="false" outlineLevel="0" collapsed="false">
      <c r="A395" s="27"/>
      <c r="B395" s="5"/>
      <c r="C395" s="27"/>
      <c r="D395" s="18"/>
      <c r="E395" s="14"/>
      <c r="F395" s="18"/>
      <c r="G395" s="19" t="str">
        <f aca="false">IF(A395="","",IFERROR(INDEX(Empresas!$B:$B,MATCH(A395,Empresas!$A:$A,0))&amp;"","cadastre o CNPJ em Empresas"))</f>
        <v/>
      </c>
      <c r="H395" s="28" t="str">
        <f aca="false">IF(B395="","",SUBSTITUTE(SUBSTITUTE(SUBSTITUTE(SUBSTITUTE(SUBSTITUTE(SUBSTITUTE(SUBSTITUTE(SUBSTITUTE(SUBSTITUTE(SUBSTITUTE(SUBSTITUTE(SUBSTITUTE(SUBSTITUTE(UPPER(TRIM(B395)),"Á","A"),"À","A"),"Â","A"),"Ã","A"),"É","E"),"Ê","E"),"Í","I"),"Ó","O"),"Ô","O"),"Õ","O"),"Ú","U"),"Ü","U"),"Ç","C"))</f>
        <v/>
      </c>
      <c r="I395" s="28" t="str">
        <f aca="false">IF(C395="","",IF(LEN(SUBSTITUTE(SUBSTITUTE(SUBSTITUTE(SUBSTITUTE(TRIM(C395),"*",""),".",""),"-","")," ",""))=11,MID(SUBSTITUTE(SUBSTITUTE(SUBSTITUTE(SUBSTITUTE(TRIM(C395),"*",""),".",""),"-","")," ",""),4,6),SUBSTITUTE(SUBSTITUTE(SUBSTITUTE(SUBSTITUTE(TRIM(C395),"*",""),".",""),"-","")," ","")))</f>
        <v/>
      </c>
      <c r="J395" s="28" t="str">
        <f aca="false">IF(OR(H395="",I395=""),"",H395&amp;"|"&amp;I395)</f>
        <v/>
      </c>
      <c r="K395" s="19" t="str">
        <f aca="false">IF(H395="","",IF(AND(J395&lt;&gt;"",COUNTIF(Pessoas!$J:$J,J395)&gt;0),"SIM",IF(COUNTIF(Pessoas!$H:$H,H395)&gt;0,"nome igual em Pessoas: confira o CPF","")))</f>
        <v/>
      </c>
      <c r="L395" s="27"/>
      <c r="M395" s="5"/>
    </row>
    <row r="396" customFormat="false" ht="15" hidden="false" customHeight="false" outlineLevel="0" collapsed="false">
      <c r="A396" s="27"/>
      <c r="B396" s="5"/>
      <c r="C396" s="27"/>
      <c r="D396" s="18"/>
      <c r="E396" s="14"/>
      <c r="F396" s="18"/>
      <c r="G396" s="19" t="str">
        <f aca="false">IF(A396="","",IFERROR(INDEX(Empresas!$B:$B,MATCH(A396,Empresas!$A:$A,0))&amp;"","cadastre o CNPJ em Empresas"))</f>
        <v/>
      </c>
      <c r="H396" s="28" t="str">
        <f aca="false">IF(B396="","",SUBSTITUTE(SUBSTITUTE(SUBSTITUTE(SUBSTITUTE(SUBSTITUTE(SUBSTITUTE(SUBSTITUTE(SUBSTITUTE(SUBSTITUTE(SUBSTITUTE(SUBSTITUTE(SUBSTITUTE(SUBSTITUTE(UPPER(TRIM(B396)),"Á","A"),"À","A"),"Â","A"),"Ã","A"),"É","E"),"Ê","E"),"Í","I"),"Ó","O"),"Ô","O"),"Õ","O"),"Ú","U"),"Ü","U"),"Ç","C"))</f>
        <v/>
      </c>
      <c r="I396" s="28" t="str">
        <f aca="false">IF(C396="","",IF(LEN(SUBSTITUTE(SUBSTITUTE(SUBSTITUTE(SUBSTITUTE(TRIM(C396),"*",""),".",""),"-","")," ",""))=11,MID(SUBSTITUTE(SUBSTITUTE(SUBSTITUTE(SUBSTITUTE(TRIM(C396),"*",""),".",""),"-","")," ",""),4,6),SUBSTITUTE(SUBSTITUTE(SUBSTITUTE(SUBSTITUTE(TRIM(C396),"*",""),".",""),"-","")," ","")))</f>
        <v/>
      </c>
      <c r="J396" s="28" t="str">
        <f aca="false">IF(OR(H396="",I396=""),"",H396&amp;"|"&amp;I396)</f>
        <v/>
      </c>
      <c r="K396" s="19" t="str">
        <f aca="false">IF(H396="","",IF(AND(J396&lt;&gt;"",COUNTIF(Pessoas!$J:$J,J396)&gt;0),"SIM",IF(COUNTIF(Pessoas!$H:$H,H396)&gt;0,"nome igual em Pessoas: confira o CPF","")))</f>
        <v/>
      </c>
      <c r="L396" s="27"/>
      <c r="M396" s="5"/>
    </row>
    <row r="397" customFormat="false" ht="15" hidden="false" customHeight="false" outlineLevel="0" collapsed="false">
      <c r="A397" s="27"/>
      <c r="B397" s="5"/>
      <c r="C397" s="27"/>
      <c r="D397" s="18"/>
      <c r="E397" s="14"/>
      <c r="F397" s="18"/>
      <c r="G397" s="19" t="str">
        <f aca="false">IF(A397="","",IFERROR(INDEX(Empresas!$B:$B,MATCH(A397,Empresas!$A:$A,0))&amp;"","cadastre o CNPJ em Empresas"))</f>
        <v/>
      </c>
      <c r="H397" s="28" t="str">
        <f aca="false">IF(B397="","",SUBSTITUTE(SUBSTITUTE(SUBSTITUTE(SUBSTITUTE(SUBSTITUTE(SUBSTITUTE(SUBSTITUTE(SUBSTITUTE(SUBSTITUTE(SUBSTITUTE(SUBSTITUTE(SUBSTITUTE(SUBSTITUTE(UPPER(TRIM(B397)),"Á","A"),"À","A"),"Â","A"),"Ã","A"),"É","E"),"Ê","E"),"Í","I"),"Ó","O"),"Ô","O"),"Õ","O"),"Ú","U"),"Ü","U"),"Ç","C"))</f>
        <v/>
      </c>
      <c r="I397" s="28" t="str">
        <f aca="false">IF(C397="","",IF(LEN(SUBSTITUTE(SUBSTITUTE(SUBSTITUTE(SUBSTITUTE(TRIM(C397),"*",""),".",""),"-","")," ",""))=11,MID(SUBSTITUTE(SUBSTITUTE(SUBSTITUTE(SUBSTITUTE(TRIM(C397),"*",""),".",""),"-","")," ",""),4,6),SUBSTITUTE(SUBSTITUTE(SUBSTITUTE(SUBSTITUTE(TRIM(C397),"*",""),".",""),"-","")," ","")))</f>
        <v/>
      </c>
      <c r="J397" s="28" t="str">
        <f aca="false">IF(OR(H397="",I397=""),"",H397&amp;"|"&amp;I397)</f>
        <v/>
      </c>
      <c r="K397" s="19" t="str">
        <f aca="false">IF(H397="","",IF(AND(J397&lt;&gt;"",COUNTIF(Pessoas!$J:$J,J397)&gt;0),"SIM",IF(COUNTIF(Pessoas!$H:$H,H397)&gt;0,"nome igual em Pessoas: confira o CPF","")))</f>
        <v/>
      </c>
      <c r="L397" s="27"/>
      <c r="M397" s="5"/>
    </row>
    <row r="398" customFormat="false" ht="15" hidden="false" customHeight="false" outlineLevel="0" collapsed="false">
      <c r="A398" s="27"/>
      <c r="B398" s="5"/>
      <c r="C398" s="27"/>
      <c r="D398" s="18"/>
      <c r="E398" s="14"/>
      <c r="F398" s="18"/>
      <c r="G398" s="19" t="str">
        <f aca="false">IF(A398="","",IFERROR(INDEX(Empresas!$B:$B,MATCH(A398,Empresas!$A:$A,0))&amp;"","cadastre o CNPJ em Empresas"))</f>
        <v/>
      </c>
      <c r="H398" s="28" t="str">
        <f aca="false">IF(B398="","",SUBSTITUTE(SUBSTITUTE(SUBSTITUTE(SUBSTITUTE(SUBSTITUTE(SUBSTITUTE(SUBSTITUTE(SUBSTITUTE(SUBSTITUTE(SUBSTITUTE(SUBSTITUTE(SUBSTITUTE(SUBSTITUTE(UPPER(TRIM(B398)),"Á","A"),"À","A"),"Â","A"),"Ã","A"),"É","E"),"Ê","E"),"Í","I"),"Ó","O"),"Ô","O"),"Õ","O"),"Ú","U"),"Ü","U"),"Ç","C"))</f>
        <v/>
      </c>
      <c r="I398" s="28" t="str">
        <f aca="false">IF(C398="","",IF(LEN(SUBSTITUTE(SUBSTITUTE(SUBSTITUTE(SUBSTITUTE(TRIM(C398),"*",""),".",""),"-","")," ",""))=11,MID(SUBSTITUTE(SUBSTITUTE(SUBSTITUTE(SUBSTITUTE(TRIM(C398),"*",""),".",""),"-","")," ",""),4,6),SUBSTITUTE(SUBSTITUTE(SUBSTITUTE(SUBSTITUTE(TRIM(C398),"*",""),".",""),"-","")," ","")))</f>
        <v/>
      </c>
      <c r="J398" s="28" t="str">
        <f aca="false">IF(OR(H398="",I398=""),"",H398&amp;"|"&amp;I398)</f>
        <v/>
      </c>
      <c r="K398" s="19" t="str">
        <f aca="false">IF(H398="","",IF(AND(J398&lt;&gt;"",COUNTIF(Pessoas!$J:$J,J398)&gt;0),"SIM",IF(COUNTIF(Pessoas!$H:$H,H398)&gt;0,"nome igual em Pessoas: confira o CPF","")))</f>
        <v/>
      </c>
      <c r="L398" s="27"/>
      <c r="M398" s="5"/>
    </row>
    <row r="399" customFormat="false" ht="15" hidden="false" customHeight="false" outlineLevel="0" collapsed="false">
      <c r="A399" s="27"/>
      <c r="B399" s="5"/>
      <c r="C399" s="27"/>
      <c r="D399" s="18"/>
      <c r="E399" s="14"/>
      <c r="F399" s="18"/>
      <c r="G399" s="19" t="str">
        <f aca="false">IF(A399="","",IFERROR(INDEX(Empresas!$B:$B,MATCH(A399,Empresas!$A:$A,0))&amp;"","cadastre o CNPJ em Empresas"))</f>
        <v/>
      </c>
      <c r="H399" s="28" t="str">
        <f aca="false">IF(B399="","",SUBSTITUTE(SUBSTITUTE(SUBSTITUTE(SUBSTITUTE(SUBSTITUTE(SUBSTITUTE(SUBSTITUTE(SUBSTITUTE(SUBSTITUTE(SUBSTITUTE(SUBSTITUTE(SUBSTITUTE(SUBSTITUTE(UPPER(TRIM(B399)),"Á","A"),"À","A"),"Â","A"),"Ã","A"),"É","E"),"Ê","E"),"Í","I"),"Ó","O"),"Ô","O"),"Õ","O"),"Ú","U"),"Ü","U"),"Ç","C"))</f>
        <v/>
      </c>
      <c r="I399" s="28" t="str">
        <f aca="false">IF(C399="","",IF(LEN(SUBSTITUTE(SUBSTITUTE(SUBSTITUTE(SUBSTITUTE(TRIM(C399),"*",""),".",""),"-","")," ",""))=11,MID(SUBSTITUTE(SUBSTITUTE(SUBSTITUTE(SUBSTITUTE(TRIM(C399),"*",""),".",""),"-","")," ",""),4,6),SUBSTITUTE(SUBSTITUTE(SUBSTITUTE(SUBSTITUTE(TRIM(C399),"*",""),".",""),"-","")," ","")))</f>
        <v/>
      </c>
      <c r="J399" s="28" t="str">
        <f aca="false">IF(OR(H399="",I399=""),"",H399&amp;"|"&amp;I399)</f>
        <v/>
      </c>
      <c r="K399" s="19" t="str">
        <f aca="false">IF(H399="","",IF(AND(J399&lt;&gt;"",COUNTIF(Pessoas!$J:$J,J399)&gt;0),"SIM",IF(COUNTIF(Pessoas!$H:$H,H399)&gt;0,"nome igual em Pessoas: confira o CPF","")))</f>
        <v/>
      </c>
      <c r="L399" s="27"/>
      <c r="M399" s="5"/>
    </row>
    <row r="400" customFormat="false" ht="15" hidden="false" customHeight="false" outlineLevel="0" collapsed="false">
      <c r="A400" s="27"/>
      <c r="B400" s="5"/>
      <c r="C400" s="27"/>
      <c r="D400" s="18"/>
      <c r="E400" s="14"/>
      <c r="F400" s="18"/>
      <c r="G400" s="19" t="str">
        <f aca="false">IF(A400="","",IFERROR(INDEX(Empresas!$B:$B,MATCH(A400,Empresas!$A:$A,0))&amp;"","cadastre o CNPJ em Empresas"))</f>
        <v/>
      </c>
      <c r="H400" s="28" t="str">
        <f aca="false">IF(B400="","",SUBSTITUTE(SUBSTITUTE(SUBSTITUTE(SUBSTITUTE(SUBSTITUTE(SUBSTITUTE(SUBSTITUTE(SUBSTITUTE(SUBSTITUTE(SUBSTITUTE(SUBSTITUTE(SUBSTITUTE(SUBSTITUTE(UPPER(TRIM(B400)),"Á","A"),"À","A"),"Â","A"),"Ã","A"),"É","E"),"Ê","E"),"Í","I"),"Ó","O"),"Ô","O"),"Õ","O"),"Ú","U"),"Ü","U"),"Ç","C"))</f>
        <v/>
      </c>
      <c r="I400" s="28" t="str">
        <f aca="false">IF(C400="","",IF(LEN(SUBSTITUTE(SUBSTITUTE(SUBSTITUTE(SUBSTITUTE(TRIM(C400),"*",""),".",""),"-","")," ",""))=11,MID(SUBSTITUTE(SUBSTITUTE(SUBSTITUTE(SUBSTITUTE(TRIM(C400),"*",""),".",""),"-","")," ",""),4,6),SUBSTITUTE(SUBSTITUTE(SUBSTITUTE(SUBSTITUTE(TRIM(C400),"*",""),".",""),"-","")," ","")))</f>
        <v/>
      </c>
      <c r="J400" s="28" t="str">
        <f aca="false">IF(OR(H400="",I400=""),"",H400&amp;"|"&amp;I400)</f>
        <v/>
      </c>
      <c r="K400" s="19" t="str">
        <f aca="false">IF(H400="","",IF(AND(J400&lt;&gt;"",COUNTIF(Pessoas!$J:$J,J400)&gt;0),"SIM",IF(COUNTIF(Pessoas!$H:$H,H400)&gt;0,"nome igual em Pessoas: confira o CPF","")))</f>
        <v/>
      </c>
      <c r="L400" s="27"/>
      <c r="M400" s="5"/>
    </row>
    <row r="401" customFormat="false" ht="15" hidden="false" customHeight="false" outlineLevel="0" collapsed="false">
      <c r="A401" s="27"/>
      <c r="B401" s="5"/>
      <c r="C401" s="27"/>
      <c r="D401" s="18"/>
      <c r="E401" s="14"/>
      <c r="F401" s="18"/>
      <c r="G401" s="19" t="str">
        <f aca="false">IF(A401="","",IFERROR(INDEX(Empresas!$B:$B,MATCH(A401,Empresas!$A:$A,0))&amp;"","cadastre o CNPJ em Empresas"))</f>
        <v/>
      </c>
      <c r="H401" s="28" t="str">
        <f aca="false">IF(B401="","",SUBSTITUTE(SUBSTITUTE(SUBSTITUTE(SUBSTITUTE(SUBSTITUTE(SUBSTITUTE(SUBSTITUTE(SUBSTITUTE(SUBSTITUTE(SUBSTITUTE(SUBSTITUTE(SUBSTITUTE(SUBSTITUTE(UPPER(TRIM(B401)),"Á","A"),"À","A"),"Â","A"),"Ã","A"),"É","E"),"Ê","E"),"Í","I"),"Ó","O"),"Ô","O"),"Õ","O"),"Ú","U"),"Ü","U"),"Ç","C"))</f>
        <v/>
      </c>
      <c r="I401" s="28" t="str">
        <f aca="false">IF(C401="","",IF(LEN(SUBSTITUTE(SUBSTITUTE(SUBSTITUTE(SUBSTITUTE(TRIM(C401),"*",""),".",""),"-","")," ",""))=11,MID(SUBSTITUTE(SUBSTITUTE(SUBSTITUTE(SUBSTITUTE(TRIM(C401),"*",""),".",""),"-","")," ",""),4,6),SUBSTITUTE(SUBSTITUTE(SUBSTITUTE(SUBSTITUTE(TRIM(C401),"*",""),".",""),"-","")," ","")))</f>
        <v/>
      </c>
      <c r="J401" s="28" t="str">
        <f aca="false">IF(OR(H401="",I401=""),"",H401&amp;"|"&amp;I401)</f>
        <v/>
      </c>
      <c r="K401" s="19" t="str">
        <f aca="false">IF(H401="","",IF(AND(J401&lt;&gt;"",COUNTIF(Pessoas!$J:$J,J401)&gt;0),"SIM",IF(COUNTIF(Pessoas!$H:$H,H401)&gt;0,"nome igual em Pessoas: confira o CPF","")))</f>
        <v/>
      </c>
      <c r="L401" s="27"/>
      <c r="M401" s="5"/>
    </row>
    <row r="402" customFormat="false" ht="15" hidden="false" customHeight="false" outlineLevel="0" collapsed="false">
      <c r="A402" s="27"/>
      <c r="B402" s="5"/>
      <c r="C402" s="27"/>
      <c r="D402" s="18"/>
      <c r="E402" s="14"/>
      <c r="F402" s="18"/>
      <c r="G402" s="19" t="str">
        <f aca="false">IF(A402="","",IFERROR(INDEX(Empresas!$B:$B,MATCH(A402,Empresas!$A:$A,0))&amp;"","cadastre o CNPJ em Empresas"))</f>
        <v/>
      </c>
      <c r="H402" s="28" t="str">
        <f aca="false">IF(B402="","",SUBSTITUTE(SUBSTITUTE(SUBSTITUTE(SUBSTITUTE(SUBSTITUTE(SUBSTITUTE(SUBSTITUTE(SUBSTITUTE(SUBSTITUTE(SUBSTITUTE(SUBSTITUTE(SUBSTITUTE(SUBSTITUTE(UPPER(TRIM(B402)),"Á","A"),"À","A"),"Â","A"),"Ã","A"),"É","E"),"Ê","E"),"Í","I"),"Ó","O"),"Ô","O"),"Õ","O"),"Ú","U"),"Ü","U"),"Ç","C"))</f>
        <v/>
      </c>
      <c r="I402" s="28" t="str">
        <f aca="false">IF(C402="","",IF(LEN(SUBSTITUTE(SUBSTITUTE(SUBSTITUTE(SUBSTITUTE(TRIM(C402),"*",""),".",""),"-","")," ",""))=11,MID(SUBSTITUTE(SUBSTITUTE(SUBSTITUTE(SUBSTITUTE(TRIM(C402),"*",""),".",""),"-","")," ",""),4,6),SUBSTITUTE(SUBSTITUTE(SUBSTITUTE(SUBSTITUTE(TRIM(C402),"*",""),".",""),"-","")," ","")))</f>
        <v/>
      </c>
      <c r="J402" s="28" t="str">
        <f aca="false">IF(OR(H402="",I402=""),"",H402&amp;"|"&amp;I402)</f>
        <v/>
      </c>
      <c r="K402" s="19" t="str">
        <f aca="false">IF(H402="","",IF(AND(J402&lt;&gt;"",COUNTIF(Pessoas!$J:$J,J402)&gt;0),"SIM",IF(COUNTIF(Pessoas!$H:$H,H402)&gt;0,"nome igual em Pessoas: confira o CPF","")))</f>
        <v/>
      </c>
      <c r="L402" s="27"/>
      <c r="M402" s="5"/>
    </row>
    <row r="403" customFormat="false" ht="15" hidden="false" customHeight="false" outlineLevel="0" collapsed="false">
      <c r="A403" s="27"/>
      <c r="B403" s="5"/>
      <c r="C403" s="27"/>
      <c r="D403" s="18"/>
      <c r="E403" s="14"/>
      <c r="F403" s="18"/>
      <c r="G403" s="19" t="str">
        <f aca="false">IF(A403="","",IFERROR(INDEX(Empresas!$B:$B,MATCH(A403,Empresas!$A:$A,0))&amp;"","cadastre o CNPJ em Empresas"))</f>
        <v/>
      </c>
      <c r="H403" s="28" t="str">
        <f aca="false">IF(B403="","",SUBSTITUTE(SUBSTITUTE(SUBSTITUTE(SUBSTITUTE(SUBSTITUTE(SUBSTITUTE(SUBSTITUTE(SUBSTITUTE(SUBSTITUTE(SUBSTITUTE(SUBSTITUTE(SUBSTITUTE(SUBSTITUTE(UPPER(TRIM(B403)),"Á","A"),"À","A"),"Â","A"),"Ã","A"),"É","E"),"Ê","E"),"Í","I"),"Ó","O"),"Ô","O"),"Õ","O"),"Ú","U"),"Ü","U"),"Ç","C"))</f>
        <v/>
      </c>
      <c r="I403" s="28" t="str">
        <f aca="false">IF(C403="","",IF(LEN(SUBSTITUTE(SUBSTITUTE(SUBSTITUTE(SUBSTITUTE(TRIM(C403),"*",""),".",""),"-","")," ",""))=11,MID(SUBSTITUTE(SUBSTITUTE(SUBSTITUTE(SUBSTITUTE(TRIM(C403),"*",""),".",""),"-","")," ",""),4,6),SUBSTITUTE(SUBSTITUTE(SUBSTITUTE(SUBSTITUTE(TRIM(C403),"*",""),".",""),"-","")," ","")))</f>
        <v/>
      </c>
      <c r="J403" s="28" t="str">
        <f aca="false">IF(OR(H403="",I403=""),"",H403&amp;"|"&amp;I403)</f>
        <v/>
      </c>
      <c r="K403" s="19" t="str">
        <f aca="false">IF(H403="","",IF(AND(J403&lt;&gt;"",COUNTIF(Pessoas!$J:$J,J403)&gt;0),"SIM",IF(COUNTIF(Pessoas!$H:$H,H403)&gt;0,"nome igual em Pessoas: confira o CPF","")))</f>
        <v/>
      </c>
      <c r="L403" s="27"/>
      <c r="M403" s="5"/>
    </row>
    <row r="404" customFormat="false" ht="15" hidden="false" customHeight="false" outlineLevel="0" collapsed="false">
      <c r="A404" s="27"/>
      <c r="B404" s="5"/>
      <c r="C404" s="27"/>
      <c r="D404" s="18"/>
      <c r="E404" s="14"/>
      <c r="F404" s="18"/>
      <c r="G404" s="19" t="str">
        <f aca="false">IF(A404="","",IFERROR(INDEX(Empresas!$B:$B,MATCH(A404,Empresas!$A:$A,0))&amp;"","cadastre o CNPJ em Empresas"))</f>
        <v/>
      </c>
      <c r="H404" s="28" t="str">
        <f aca="false">IF(B404="","",SUBSTITUTE(SUBSTITUTE(SUBSTITUTE(SUBSTITUTE(SUBSTITUTE(SUBSTITUTE(SUBSTITUTE(SUBSTITUTE(SUBSTITUTE(SUBSTITUTE(SUBSTITUTE(SUBSTITUTE(SUBSTITUTE(UPPER(TRIM(B404)),"Á","A"),"À","A"),"Â","A"),"Ã","A"),"É","E"),"Ê","E"),"Í","I"),"Ó","O"),"Ô","O"),"Õ","O"),"Ú","U"),"Ü","U"),"Ç","C"))</f>
        <v/>
      </c>
      <c r="I404" s="28" t="str">
        <f aca="false">IF(C404="","",IF(LEN(SUBSTITUTE(SUBSTITUTE(SUBSTITUTE(SUBSTITUTE(TRIM(C404),"*",""),".",""),"-","")," ",""))=11,MID(SUBSTITUTE(SUBSTITUTE(SUBSTITUTE(SUBSTITUTE(TRIM(C404),"*",""),".",""),"-","")," ",""),4,6),SUBSTITUTE(SUBSTITUTE(SUBSTITUTE(SUBSTITUTE(TRIM(C404),"*",""),".",""),"-","")," ","")))</f>
        <v/>
      </c>
      <c r="J404" s="28" t="str">
        <f aca="false">IF(OR(H404="",I404=""),"",H404&amp;"|"&amp;I404)</f>
        <v/>
      </c>
      <c r="K404" s="19" t="str">
        <f aca="false">IF(H404="","",IF(AND(J404&lt;&gt;"",COUNTIF(Pessoas!$J:$J,J404)&gt;0),"SIM",IF(COUNTIF(Pessoas!$H:$H,H404)&gt;0,"nome igual em Pessoas: confira o CPF","")))</f>
        <v/>
      </c>
      <c r="L404" s="27"/>
      <c r="M404" s="5"/>
    </row>
    <row r="405" customFormat="false" ht="15" hidden="false" customHeight="false" outlineLevel="0" collapsed="false">
      <c r="A405" s="27"/>
      <c r="B405" s="5"/>
      <c r="C405" s="27"/>
      <c r="D405" s="18"/>
      <c r="E405" s="14"/>
      <c r="F405" s="18"/>
      <c r="G405" s="19" t="str">
        <f aca="false">IF(A405="","",IFERROR(INDEX(Empresas!$B:$B,MATCH(A405,Empresas!$A:$A,0))&amp;"","cadastre o CNPJ em Empresas"))</f>
        <v/>
      </c>
      <c r="H405" s="28" t="str">
        <f aca="false">IF(B405="","",SUBSTITUTE(SUBSTITUTE(SUBSTITUTE(SUBSTITUTE(SUBSTITUTE(SUBSTITUTE(SUBSTITUTE(SUBSTITUTE(SUBSTITUTE(SUBSTITUTE(SUBSTITUTE(SUBSTITUTE(SUBSTITUTE(UPPER(TRIM(B405)),"Á","A"),"À","A"),"Â","A"),"Ã","A"),"É","E"),"Ê","E"),"Í","I"),"Ó","O"),"Ô","O"),"Õ","O"),"Ú","U"),"Ü","U"),"Ç","C"))</f>
        <v/>
      </c>
      <c r="I405" s="28" t="str">
        <f aca="false">IF(C405="","",IF(LEN(SUBSTITUTE(SUBSTITUTE(SUBSTITUTE(SUBSTITUTE(TRIM(C405),"*",""),".",""),"-","")," ",""))=11,MID(SUBSTITUTE(SUBSTITUTE(SUBSTITUTE(SUBSTITUTE(TRIM(C405),"*",""),".",""),"-","")," ",""),4,6),SUBSTITUTE(SUBSTITUTE(SUBSTITUTE(SUBSTITUTE(TRIM(C405),"*",""),".",""),"-","")," ","")))</f>
        <v/>
      </c>
      <c r="J405" s="28" t="str">
        <f aca="false">IF(OR(H405="",I405=""),"",H405&amp;"|"&amp;I405)</f>
        <v/>
      </c>
      <c r="K405" s="19" t="str">
        <f aca="false">IF(H405="","",IF(AND(J405&lt;&gt;"",COUNTIF(Pessoas!$J:$J,J405)&gt;0),"SIM",IF(COUNTIF(Pessoas!$H:$H,H405)&gt;0,"nome igual em Pessoas: confira o CPF","")))</f>
        <v/>
      </c>
      <c r="L405" s="27"/>
      <c r="M405" s="5"/>
    </row>
    <row r="406" customFormat="false" ht="15" hidden="false" customHeight="false" outlineLevel="0" collapsed="false">
      <c r="A406" s="27"/>
      <c r="B406" s="5"/>
      <c r="C406" s="27"/>
      <c r="D406" s="18"/>
      <c r="E406" s="14"/>
      <c r="F406" s="18"/>
      <c r="G406" s="19" t="str">
        <f aca="false">IF(A406="","",IFERROR(INDEX(Empresas!$B:$B,MATCH(A406,Empresas!$A:$A,0))&amp;"","cadastre o CNPJ em Empresas"))</f>
        <v/>
      </c>
      <c r="H406" s="28" t="str">
        <f aca="false">IF(B406="","",SUBSTITUTE(SUBSTITUTE(SUBSTITUTE(SUBSTITUTE(SUBSTITUTE(SUBSTITUTE(SUBSTITUTE(SUBSTITUTE(SUBSTITUTE(SUBSTITUTE(SUBSTITUTE(SUBSTITUTE(SUBSTITUTE(UPPER(TRIM(B406)),"Á","A"),"À","A"),"Â","A"),"Ã","A"),"É","E"),"Ê","E"),"Í","I"),"Ó","O"),"Ô","O"),"Õ","O"),"Ú","U"),"Ü","U"),"Ç","C"))</f>
        <v/>
      </c>
      <c r="I406" s="28" t="str">
        <f aca="false">IF(C406="","",IF(LEN(SUBSTITUTE(SUBSTITUTE(SUBSTITUTE(SUBSTITUTE(TRIM(C406),"*",""),".",""),"-","")," ",""))=11,MID(SUBSTITUTE(SUBSTITUTE(SUBSTITUTE(SUBSTITUTE(TRIM(C406),"*",""),".",""),"-","")," ",""),4,6),SUBSTITUTE(SUBSTITUTE(SUBSTITUTE(SUBSTITUTE(TRIM(C406),"*",""),".",""),"-","")," ","")))</f>
        <v/>
      </c>
      <c r="J406" s="28" t="str">
        <f aca="false">IF(OR(H406="",I406=""),"",H406&amp;"|"&amp;I406)</f>
        <v/>
      </c>
      <c r="K406" s="19" t="str">
        <f aca="false">IF(H406="","",IF(AND(J406&lt;&gt;"",COUNTIF(Pessoas!$J:$J,J406)&gt;0),"SIM",IF(COUNTIF(Pessoas!$H:$H,H406)&gt;0,"nome igual em Pessoas: confira o CPF","")))</f>
        <v/>
      </c>
      <c r="L406" s="27"/>
      <c r="M406" s="5"/>
    </row>
    <row r="407" customFormat="false" ht="15" hidden="false" customHeight="false" outlineLevel="0" collapsed="false">
      <c r="A407" s="27"/>
      <c r="B407" s="5"/>
      <c r="C407" s="27"/>
      <c r="D407" s="18"/>
      <c r="E407" s="14"/>
      <c r="F407" s="18"/>
      <c r="G407" s="19" t="str">
        <f aca="false">IF(A407="","",IFERROR(INDEX(Empresas!$B:$B,MATCH(A407,Empresas!$A:$A,0))&amp;"","cadastre o CNPJ em Empresas"))</f>
        <v/>
      </c>
      <c r="H407" s="28" t="str">
        <f aca="false">IF(B407="","",SUBSTITUTE(SUBSTITUTE(SUBSTITUTE(SUBSTITUTE(SUBSTITUTE(SUBSTITUTE(SUBSTITUTE(SUBSTITUTE(SUBSTITUTE(SUBSTITUTE(SUBSTITUTE(SUBSTITUTE(SUBSTITUTE(UPPER(TRIM(B407)),"Á","A"),"À","A"),"Â","A"),"Ã","A"),"É","E"),"Ê","E"),"Í","I"),"Ó","O"),"Ô","O"),"Õ","O"),"Ú","U"),"Ü","U"),"Ç","C"))</f>
        <v/>
      </c>
      <c r="I407" s="28" t="str">
        <f aca="false">IF(C407="","",IF(LEN(SUBSTITUTE(SUBSTITUTE(SUBSTITUTE(SUBSTITUTE(TRIM(C407),"*",""),".",""),"-","")," ",""))=11,MID(SUBSTITUTE(SUBSTITUTE(SUBSTITUTE(SUBSTITUTE(TRIM(C407),"*",""),".",""),"-","")," ",""),4,6),SUBSTITUTE(SUBSTITUTE(SUBSTITUTE(SUBSTITUTE(TRIM(C407),"*",""),".",""),"-","")," ","")))</f>
        <v/>
      </c>
      <c r="J407" s="28" t="str">
        <f aca="false">IF(OR(H407="",I407=""),"",H407&amp;"|"&amp;I407)</f>
        <v/>
      </c>
      <c r="K407" s="19" t="str">
        <f aca="false">IF(H407="","",IF(AND(J407&lt;&gt;"",COUNTIF(Pessoas!$J:$J,J407)&gt;0),"SIM",IF(COUNTIF(Pessoas!$H:$H,H407)&gt;0,"nome igual em Pessoas: confira o CPF","")))</f>
        <v/>
      </c>
      <c r="L407" s="27"/>
      <c r="M407" s="5"/>
    </row>
    <row r="408" customFormat="false" ht="15" hidden="false" customHeight="false" outlineLevel="0" collapsed="false">
      <c r="A408" s="27"/>
      <c r="B408" s="5"/>
      <c r="C408" s="27"/>
      <c r="D408" s="18"/>
      <c r="E408" s="14"/>
      <c r="F408" s="18"/>
      <c r="G408" s="19" t="str">
        <f aca="false">IF(A408="","",IFERROR(INDEX(Empresas!$B:$B,MATCH(A408,Empresas!$A:$A,0))&amp;"","cadastre o CNPJ em Empresas"))</f>
        <v/>
      </c>
      <c r="H408" s="28" t="str">
        <f aca="false">IF(B408="","",SUBSTITUTE(SUBSTITUTE(SUBSTITUTE(SUBSTITUTE(SUBSTITUTE(SUBSTITUTE(SUBSTITUTE(SUBSTITUTE(SUBSTITUTE(SUBSTITUTE(SUBSTITUTE(SUBSTITUTE(SUBSTITUTE(UPPER(TRIM(B408)),"Á","A"),"À","A"),"Â","A"),"Ã","A"),"É","E"),"Ê","E"),"Í","I"),"Ó","O"),"Ô","O"),"Õ","O"),"Ú","U"),"Ü","U"),"Ç","C"))</f>
        <v/>
      </c>
      <c r="I408" s="28" t="str">
        <f aca="false">IF(C408="","",IF(LEN(SUBSTITUTE(SUBSTITUTE(SUBSTITUTE(SUBSTITUTE(TRIM(C408),"*",""),".",""),"-","")," ",""))=11,MID(SUBSTITUTE(SUBSTITUTE(SUBSTITUTE(SUBSTITUTE(TRIM(C408),"*",""),".",""),"-","")," ",""),4,6),SUBSTITUTE(SUBSTITUTE(SUBSTITUTE(SUBSTITUTE(TRIM(C408),"*",""),".",""),"-","")," ","")))</f>
        <v/>
      </c>
      <c r="J408" s="28" t="str">
        <f aca="false">IF(OR(H408="",I408=""),"",H408&amp;"|"&amp;I408)</f>
        <v/>
      </c>
      <c r="K408" s="19" t="str">
        <f aca="false">IF(H408="","",IF(AND(J408&lt;&gt;"",COUNTIF(Pessoas!$J:$J,J408)&gt;0),"SIM",IF(COUNTIF(Pessoas!$H:$H,H408)&gt;0,"nome igual em Pessoas: confira o CPF","")))</f>
        <v/>
      </c>
      <c r="L408" s="27"/>
      <c r="M408" s="5"/>
    </row>
    <row r="409" customFormat="false" ht="15" hidden="false" customHeight="false" outlineLevel="0" collapsed="false">
      <c r="A409" s="27"/>
      <c r="B409" s="5"/>
      <c r="C409" s="27"/>
      <c r="D409" s="18"/>
      <c r="E409" s="14"/>
      <c r="F409" s="18"/>
      <c r="G409" s="19" t="str">
        <f aca="false">IF(A409="","",IFERROR(INDEX(Empresas!$B:$B,MATCH(A409,Empresas!$A:$A,0))&amp;"","cadastre o CNPJ em Empresas"))</f>
        <v/>
      </c>
      <c r="H409" s="28" t="str">
        <f aca="false">IF(B409="","",SUBSTITUTE(SUBSTITUTE(SUBSTITUTE(SUBSTITUTE(SUBSTITUTE(SUBSTITUTE(SUBSTITUTE(SUBSTITUTE(SUBSTITUTE(SUBSTITUTE(SUBSTITUTE(SUBSTITUTE(SUBSTITUTE(UPPER(TRIM(B409)),"Á","A"),"À","A"),"Â","A"),"Ã","A"),"É","E"),"Ê","E"),"Í","I"),"Ó","O"),"Ô","O"),"Õ","O"),"Ú","U"),"Ü","U"),"Ç","C"))</f>
        <v/>
      </c>
      <c r="I409" s="28" t="str">
        <f aca="false">IF(C409="","",IF(LEN(SUBSTITUTE(SUBSTITUTE(SUBSTITUTE(SUBSTITUTE(TRIM(C409),"*",""),".",""),"-","")," ",""))=11,MID(SUBSTITUTE(SUBSTITUTE(SUBSTITUTE(SUBSTITUTE(TRIM(C409),"*",""),".",""),"-","")," ",""),4,6),SUBSTITUTE(SUBSTITUTE(SUBSTITUTE(SUBSTITUTE(TRIM(C409),"*",""),".",""),"-","")," ","")))</f>
        <v/>
      </c>
      <c r="J409" s="28" t="str">
        <f aca="false">IF(OR(H409="",I409=""),"",H409&amp;"|"&amp;I409)</f>
        <v/>
      </c>
      <c r="K409" s="19" t="str">
        <f aca="false">IF(H409="","",IF(AND(J409&lt;&gt;"",COUNTIF(Pessoas!$J:$J,J409)&gt;0),"SIM",IF(COUNTIF(Pessoas!$H:$H,H409)&gt;0,"nome igual em Pessoas: confira o CPF","")))</f>
        <v/>
      </c>
      <c r="L409" s="27"/>
      <c r="M409" s="5"/>
    </row>
    <row r="410" customFormat="false" ht="15" hidden="false" customHeight="false" outlineLevel="0" collapsed="false">
      <c r="A410" s="27"/>
      <c r="B410" s="5"/>
      <c r="C410" s="27"/>
      <c r="D410" s="18"/>
      <c r="E410" s="14"/>
      <c r="F410" s="18"/>
      <c r="G410" s="19" t="str">
        <f aca="false">IF(A410="","",IFERROR(INDEX(Empresas!$B:$B,MATCH(A410,Empresas!$A:$A,0))&amp;"","cadastre o CNPJ em Empresas"))</f>
        <v/>
      </c>
      <c r="H410" s="28" t="str">
        <f aca="false">IF(B410="","",SUBSTITUTE(SUBSTITUTE(SUBSTITUTE(SUBSTITUTE(SUBSTITUTE(SUBSTITUTE(SUBSTITUTE(SUBSTITUTE(SUBSTITUTE(SUBSTITUTE(SUBSTITUTE(SUBSTITUTE(SUBSTITUTE(UPPER(TRIM(B410)),"Á","A"),"À","A"),"Â","A"),"Ã","A"),"É","E"),"Ê","E"),"Í","I"),"Ó","O"),"Ô","O"),"Õ","O"),"Ú","U"),"Ü","U"),"Ç","C"))</f>
        <v/>
      </c>
      <c r="I410" s="28" t="str">
        <f aca="false">IF(C410="","",IF(LEN(SUBSTITUTE(SUBSTITUTE(SUBSTITUTE(SUBSTITUTE(TRIM(C410),"*",""),".",""),"-","")," ",""))=11,MID(SUBSTITUTE(SUBSTITUTE(SUBSTITUTE(SUBSTITUTE(TRIM(C410),"*",""),".",""),"-","")," ",""),4,6),SUBSTITUTE(SUBSTITUTE(SUBSTITUTE(SUBSTITUTE(TRIM(C410),"*",""),".",""),"-","")," ","")))</f>
        <v/>
      </c>
      <c r="J410" s="28" t="str">
        <f aca="false">IF(OR(H410="",I410=""),"",H410&amp;"|"&amp;I410)</f>
        <v/>
      </c>
      <c r="K410" s="19" t="str">
        <f aca="false">IF(H410="","",IF(AND(J410&lt;&gt;"",COUNTIF(Pessoas!$J:$J,J410)&gt;0),"SIM",IF(COUNTIF(Pessoas!$H:$H,H410)&gt;0,"nome igual em Pessoas: confira o CPF","")))</f>
        <v/>
      </c>
      <c r="L410" s="27"/>
      <c r="M410" s="5"/>
    </row>
    <row r="411" customFormat="false" ht="15" hidden="false" customHeight="false" outlineLevel="0" collapsed="false">
      <c r="A411" s="27"/>
      <c r="B411" s="5"/>
      <c r="C411" s="27"/>
      <c r="D411" s="18"/>
      <c r="E411" s="14"/>
      <c r="F411" s="18"/>
      <c r="G411" s="19" t="str">
        <f aca="false">IF(A411="","",IFERROR(INDEX(Empresas!$B:$B,MATCH(A411,Empresas!$A:$A,0))&amp;"","cadastre o CNPJ em Empresas"))</f>
        <v/>
      </c>
      <c r="H411" s="28" t="str">
        <f aca="false">IF(B411="","",SUBSTITUTE(SUBSTITUTE(SUBSTITUTE(SUBSTITUTE(SUBSTITUTE(SUBSTITUTE(SUBSTITUTE(SUBSTITUTE(SUBSTITUTE(SUBSTITUTE(SUBSTITUTE(SUBSTITUTE(SUBSTITUTE(UPPER(TRIM(B411)),"Á","A"),"À","A"),"Â","A"),"Ã","A"),"É","E"),"Ê","E"),"Í","I"),"Ó","O"),"Ô","O"),"Õ","O"),"Ú","U"),"Ü","U"),"Ç","C"))</f>
        <v/>
      </c>
      <c r="I411" s="28" t="str">
        <f aca="false">IF(C411="","",IF(LEN(SUBSTITUTE(SUBSTITUTE(SUBSTITUTE(SUBSTITUTE(TRIM(C411),"*",""),".",""),"-","")," ",""))=11,MID(SUBSTITUTE(SUBSTITUTE(SUBSTITUTE(SUBSTITUTE(TRIM(C411),"*",""),".",""),"-","")," ",""),4,6),SUBSTITUTE(SUBSTITUTE(SUBSTITUTE(SUBSTITUTE(TRIM(C411),"*",""),".",""),"-","")," ","")))</f>
        <v/>
      </c>
      <c r="J411" s="28" t="str">
        <f aca="false">IF(OR(H411="",I411=""),"",H411&amp;"|"&amp;I411)</f>
        <v/>
      </c>
      <c r="K411" s="19" t="str">
        <f aca="false">IF(H411="","",IF(AND(J411&lt;&gt;"",COUNTIF(Pessoas!$J:$J,J411)&gt;0),"SIM",IF(COUNTIF(Pessoas!$H:$H,H411)&gt;0,"nome igual em Pessoas: confira o CPF","")))</f>
        <v/>
      </c>
      <c r="L411" s="27"/>
      <c r="M411" s="5"/>
    </row>
    <row r="412" customFormat="false" ht="15" hidden="false" customHeight="false" outlineLevel="0" collapsed="false">
      <c r="A412" s="27"/>
      <c r="B412" s="5"/>
      <c r="C412" s="27"/>
      <c r="D412" s="18"/>
      <c r="E412" s="14"/>
      <c r="F412" s="18"/>
      <c r="G412" s="19" t="str">
        <f aca="false">IF(A412="","",IFERROR(INDEX(Empresas!$B:$B,MATCH(A412,Empresas!$A:$A,0))&amp;"","cadastre o CNPJ em Empresas"))</f>
        <v/>
      </c>
      <c r="H412" s="28" t="str">
        <f aca="false">IF(B412="","",SUBSTITUTE(SUBSTITUTE(SUBSTITUTE(SUBSTITUTE(SUBSTITUTE(SUBSTITUTE(SUBSTITUTE(SUBSTITUTE(SUBSTITUTE(SUBSTITUTE(SUBSTITUTE(SUBSTITUTE(SUBSTITUTE(UPPER(TRIM(B412)),"Á","A"),"À","A"),"Â","A"),"Ã","A"),"É","E"),"Ê","E"),"Í","I"),"Ó","O"),"Ô","O"),"Õ","O"),"Ú","U"),"Ü","U"),"Ç","C"))</f>
        <v/>
      </c>
      <c r="I412" s="28" t="str">
        <f aca="false">IF(C412="","",IF(LEN(SUBSTITUTE(SUBSTITUTE(SUBSTITUTE(SUBSTITUTE(TRIM(C412),"*",""),".",""),"-","")," ",""))=11,MID(SUBSTITUTE(SUBSTITUTE(SUBSTITUTE(SUBSTITUTE(TRIM(C412),"*",""),".",""),"-","")," ",""),4,6),SUBSTITUTE(SUBSTITUTE(SUBSTITUTE(SUBSTITUTE(TRIM(C412),"*",""),".",""),"-","")," ","")))</f>
        <v/>
      </c>
      <c r="J412" s="28" t="str">
        <f aca="false">IF(OR(H412="",I412=""),"",H412&amp;"|"&amp;I412)</f>
        <v/>
      </c>
      <c r="K412" s="19" t="str">
        <f aca="false">IF(H412="","",IF(AND(J412&lt;&gt;"",COUNTIF(Pessoas!$J:$J,J412)&gt;0),"SIM",IF(COUNTIF(Pessoas!$H:$H,H412)&gt;0,"nome igual em Pessoas: confira o CPF","")))</f>
        <v/>
      </c>
      <c r="L412" s="27"/>
      <c r="M412" s="5"/>
    </row>
    <row r="413" customFormat="false" ht="15" hidden="false" customHeight="false" outlineLevel="0" collapsed="false">
      <c r="A413" s="27"/>
      <c r="B413" s="5"/>
      <c r="C413" s="27"/>
      <c r="D413" s="18"/>
      <c r="E413" s="14"/>
      <c r="F413" s="18"/>
      <c r="G413" s="19" t="str">
        <f aca="false">IF(A413="","",IFERROR(INDEX(Empresas!$B:$B,MATCH(A413,Empresas!$A:$A,0))&amp;"","cadastre o CNPJ em Empresas"))</f>
        <v/>
      </c>
      <c r="H413" s="28" t="str">
        <f aca="false">IF(B413="","",SUBSTITUTE(SUBSTITUTE(SUBSTITUTE(SUBSTITUTE(SUBSTITUTE(SUBSTITUTE(SUBSTITUTE(SUBSTITUTE(SUBSTITUTE(SUBSTITUTE(SUBSTITUTE(SUBSTITUTE(SUBSTITUTE(UPPER(TRIM(B413)),"Á","A"),"À","A"),"Â","A"),"Ã","A"),"É","E"),"Ê","E"),"Í","I"),"Ó","O"),"Ô","O"),"Õ","O"),"Ú","U"),"Ü","U"),"Ç","C"))</f>
        <v/>
      </c>
      <c r="I413" s="28" t="str">
        <f aca="false">IF(C413="","",IF(LEN(SUBSTITUTE(SUBSTITUTE(SUBSTITUTE(SUBSTITUTE(TRIM(C413),"*",""),".",""),"-","")," ",""))=11,MID(SUBSTITUTE(SUBSTITUTE(SUBSTITUTE(SUBSTITUTE(TRIM(C413),"*",""),".",""),"-","")," ",""),4,6),SUBSTITUTE(SUBSTITUTE(SUBSTITUTE(SUBSTITUTE(TRIM(C413),"*",""),".",""),"-","")," ","")))</f>
        <v/>
      </c>
      <c r="J413" s="28" t="str">
        <f aca="false">IF(OR(H413="",I413=""),"",H413&amp;"|"&amp;I413)</f>
        <v/>
      </c>
      <c r="K413" s="19" t="str">
        <f aca="false">IF(H413="","",IF(AND(J413&lt;&gt;"",COUNTIF(Pessoas!$J:$J,J413)&gt;0),"SIM",IF(COUNTIF(Pessoas!$H:$H,H413)&gt;0,"nome igual em Pessoas: confira o CPF","")))</f>
        <v/>
      </c>
      <c r="L413" s="27"/>
      <c r="M413" s="5"/>
    </row>
    <row r="414" customFormat="false" ht="15" hidden="false" customHeight="false" outlineLevel="0" collapsed="false">
      <c r="A414" s="27"/>
      <c r="B414" s="5"/>
      <c r="C414" s="27"/>
      <c r="D414" s="18"/>
      <c r="E414" s="14"/>
      <c r="F414" s="18"/>
      <c r="G414" s="19" t="str">
        <f aca="false">IF(A414="","",IFERROR(INDEX(Empresas!$B:$B,MATCH(A414,Empresas!$A:$A,0))&amp;"","cadastre o CNPJ em Empresas"))</f>
        <v/>
      </c>
      <c r="H414" s="28" t="str">
        <f aca="false">IF(B414="","",SUBSTITUTE(SUBSTITUTE(SUBSTITUTE(SUBSTITUTE(SUBSTITUTE(SUBSTITUTE(SUBSTITUTE(SUBSTITUTE(SUBSTITUTE(SUBSTITUTE(SUBSTITUTE(SUBSTITUTE(SUBSTITUTE(UPPER(TRIM(B414)),"Á","A"),"À","A"),"Â","A"),"Ã","A"),"É","E"),"Ê","E"),"Í","I"),"Ó","O"),"Ô","O"),"Õ","O"),"Ú","U"),"Ü","U"),"Ç","C"))</f>
        <v/>
      </c>
      <c r="I414" s="28" t="str">
        <f aca="false">IF(C414="","",IF(LEN(SUBSTITUTE(SUBSTITUTE(SUBSTITUTE(SUBSTITUTE(TRIM(C414),"*",""),".",""),"-","")," ",""))=11,MID(SUBSTITUTE(SUBSTITUTE(SUBSTITUTE(SUBSTITUTE(TRIM(C414),"*",""),".",""),"-","")," ",""),4,6),SUBSTITUTE(SUBSTITUTE(SUBSTITUTE(SUBSTITUTE(TRIM(C414),"*",""),".",""),"-","")," ","")))</f>
        <v/>
      </c>
      <c r="J414" s="28" t="str">
        <f aca="false">IF(OR(H414="",I414=""),"",H414&amp;"|"&amp;I414)</f>
        <v/>
      </c>
      <c r="K414" s="19" t="str">
        <f aca="false">IF(H414="","",IF(AND(J414&lt;&gt;"",COUNTIF(Pessoas!$J:$J,J414)&gt;0),"SIM",IF(COUNTIF(Pessoas!$H:$H,H414)&gt;0,"nome igual em Pessoas: confira o CPF","")))</f>
        <v/>
      </c>
      <c r="L414" s="27"/>
      <c r="M414" s="5"/>
    </row>
    <row r="415" customFormat="false" ht="15" hidden="false" customHeight="false" outlineLevel="0" collapsed="false">
      <c r="A415" s="27"/>
      <c r="B415" s="5"/>
      <c r="C415" s="27"/>
      <c r="D415" s="18"/>
      <c r="E415" s="14"/>
      <c r="F415" s="18"/>
      <c r="G415" s="19" t="str">
        <f aca="false">IF(A415="","",IFERROR(INDEX(Empresas!$B:$B,MATCH(A415,Empresas!$A:$A,0))&amp;"","cadastre o CNPJ em Empresas"))</f>
        <v/>
      </c>
      <c r="H415" s="28" t="str">
        <f aca="false">IF(B415="","",SUBSTITUTE(SUBSTITUTE(SUBSTITUTE(SUBSTITUTE(SUBSTITUTE(SUBSTITUTE(SUBSTITUTE(SUBSTITUTE(SUBSTITUTE(SUBSTITUTE(SUBSTITUTE(SUBSTITUTE(SUBSTITUTE(UPPER(TRIM(B415)),"Á","A"),"À","A"),"Â","A"),"Ã","A"),"É","E"),"Ê","E"),"Í","I"),"Ó","O"),"Ô","O"),"Õ","O"),"Ú","U"),"Ü","U"),"Ç","C"))</f>
        <v/>
      </c>
      <c r="I415" s="28" t="str">
        <f aca="false">IF(C415="","",IF(LEN(SUBSTITUTE(SUBSTITUTE(SUBSTITUTE(SUBSTITUTE(TRIM(C415),"*",""),".",""),"-","")," ",""))=11,MID(SUBSTITUTE(SUBSTITUTE(SUBSTITUTE(SUBSTITUTE(TRIM(C415),"*",""),".",""),"-","")," ",""),4,6),SUBSTITUTE(SUBSTITUTE(SUBSTITUTE(SUBSTITUTE(TRIM(C415),"*",""),".",""),"-","")," ","")))</f>
        <v/>
      </c>
      <c r="J415" s="28" t="str">
        <f aca="false">IF(OR(H415="",I415=""),"",H415&amp;"|"&amp;I415)</f>
        <v/>
      </c>
      <c r="K415" s="19" t="str">
        <f aca="false">IF(H415="","",IF(AND(J415&lt;&gt;"",COUNTIF(Pessoas!$J:$J,J415)&gt;0),"SIM",IF(COUNTIF(Pessoas!$H:$H,H415)&gt;0,"nome igual em Pessoas: confira o CPF","")))</f>
        <v/>
      </c>
      <c r="L415" s="27"/>
      <c r="M415" s="5"/>
    </row>
    <row r="416" customFormat="false" ht="15" hidden="false" customHeight="false" outlineLevel="0" collapsed="false">
      <c r="A416" s="27"/>
      <c r="B416" s="5"/>
      <c r="C416" s="27"/>
      <c r="D416" s="18"/>
      <c r="E416" s="14"/>
      <c r="F416" s="18"/>
      <c r="G416" s="19" t="str">
        <f aca="false">IF(A416="","",IFERROR(INDEX(Empresas!$B:$B,MATCH(A416,Empresas!$A:$A,0))&amp;"","cadastre o CNPJ em Empresas"))</f>
        <v/>
      </c>
      <c r="H416" s="28" t="str">
        <f aca="false">IF(B416="","",SUBSTITUTE(SUBSTITUTE(SUBSTITUTE(SUBSTITUTE(SUBSTITUTE(SUBSTITUTE(SUBSTITUTE(SUBSTITUTE(SUBSTITUTE(SUBSTITUTE(SUBSTITUTE(SUBSTITUTE(SUBSTITUTE(UPPER(TRIM(B416)),"Á","A"),"À","A"),"Â","A"),"Ã","A"),"É","E"),"Ê","E"),"Í","I"),"Ó","O"),"Ô","O"),"Õ","O"),"Ú","U"),"Ü","U"),"Ç","C"))</f>
        <v/>
      </c>
      <c r="I416" s="28" t="str">
        <f aca="false">IF(C416="","",IF(LEN(SUBSTITUTE(SUBSTITUTE(SUBSTITUTE(SUBSTITUTE(TRIM(C416),"*",""),".",""),"-","")," ",""))=11,MID(SUBSTITUTE(SUBSTITUTE(SUBSTITUTE(SUBSTITUTE(TRIM(C416),"*",""),".",""),"-","")," ",""),4,6),SUBSTITUTE(SUBSTITUTE(SUBSTITUTE(SUBSTITUTE(TRIM(C416),"*",""),".",""),"-","")," ","")))</f>
        <v/>
      </c>
      <c r="J416" s="28" t="str">
        <f aca="false">IF(OR(H416="",I416=""),"",H416&amp;"|"&amp;I416)</f>
        <v/>
      </c>
      <c r="K416" s="19" t="str">
        <f aca="false">IF(H416="","",IF(AND(J416&lt;&gt;"",COUNTIF(Pessoas!$J:$J,J416)&gt;0),"SIM",IF(COUNTIF(Pessoas!$H:$H,H416)&gt;0,"nome igual em Pessoas: confira o CPF","")))</f>
        <v/>
      </c>
      <c r="L416" s="27"/>
      <c r="M416" s="5"/>
    </row>
    <row r="417" customFormat="false" ht="15" hidden="false" customHeight="false" outlineLevel="0" collapsed="false">
      <c r="A417" s="27"/>
      <c r="B417" s="5"/>
      <c r="C417" s="27"/>
      <c r="D417" s="18"/>
      <c r="E417" s="14"/>
      <c r="F417" s="18"/>
      <c r="G417" s="19" t="str">
        <f aca="false">IF(A417="","",IFERROR(INDEX(Empresas!$B:$B,MATCH(A417,Empresas!$A:$A,0))&amp;"","cadastre o CNPJ em Empresas"))</f>
        <v/>
      </c>
      <c r="H417" s="28" t="str">
        <f aca="false">IF(B417="","",SUBSTITUTE(SUBSTITUTE(SUBSTITUTE(SUBSTITUTE(SUBSTITUTE(SUBSTITUTE(SUBSTITUTE(SUBSTITUTE(SUBSTITUTE(SUBSTITUTE(SUBSTITUTE(SUBSTITUTE(SUBSTITUTE(UPPER(TRIM(B417)),"Á","A"),"À","A"),"Â","A"),"Ã","A"),"É","E"),"Ê","E"),"Í","I"),"Ó","O"),"Ô","O"),"Õ","O"),"Ú","U"),"Ü","U"),"Ç","C"))</f>
        <v/>
      </c>
      <c r="I417" s="28" t="str">
        <f aca="false">IF(C417="","",IF(LEN(SUBSTITUTE(SUBSTITUTE(SUBSTITUTE(SUBSTITUTE(TRIM(C417),"*",""),".",""),"-","")," ",""))=11,MID(SUBSTITUTE(SUBSTITUTE(SUBSTITUTE(SUBSTITUTE(TRIM(C417),"*",""),".",""),"-","")," ",""),4,6),SUBSTITUTE(SUBSTITUTE(SUBSTITUTE(SUBSTITUTE(TRIM(C417),"*",""),".",""),"-","")," ","")))</f>
        <v/>
      </c>
      <c r="J417" s="28" t="str">
        <f aca="false">IF(OR(H417="",I417=""),"",H417&amp;"|"&amp;I417)</f>
        <v/>
      </c>
      <c r="K417" s="19" t="str">
        <f aca="false">IF(H417="","",IF(AND(J417&lt;&gt;"",COUNTIF(Pessoas!$J:$J,J417)&gt;0),"SIM",IF(COUNTIF(Pessoas!$H:$H,H417)&gt;0,"nome igual em Pessoas: confira o CPF","")))</f>
        <v/>
      </c>
      <c r="L417" s="27"/>
      <c r="M417" s="5"/>
    </row>
    <row r="418" customFormat="false" ht="15" hidden="false" customHeight="false" outlineLevel="0" collapsed="false">
      <c r="A418" s="27"/>
      <c r="B418" s="5"/>
      <c r="C418" s="27"/>
      <c r="D418" s="18"/>
      <c r="E418" s="14"/>
      <c r="F418" s="18"/>
      <c r="G418" s="19" t="str">
        <f aca="false">IF(A418="","",IFERROR(INDEX(Empresas!$B:$B,MATCH(A418,Empresas!$A:$A,0))&amp;"","cadastre o CNPJ em Empresas"))</f>
        <v/>
      </c>
      <c r="H418" s="28" t="str">
        <f aca="false">IF(B418="","",SUBSTITUTE(SUBSTITUTE(SUBSTITUTE(SUBSTITUTE(SUBSTITUTE(SUBSTITUTE(SUBSTITUTE(SUBSTITUTE(SUBSTITUTE(SUBSTITUTE(SUBSTITUTE(SUBSTITUTE(SUBSTITUTE(UPPER(TRIM(B418)),"Á","A"),"À","A"),"Â","A"),"Ã","A"),"É","E"),"Ê","E"),"Í","I"),"Ó","O"),"Ô","O"),"Õ","O"),"Ú","U"),"Ü","U"),"Ç","C"))</f>
        <v/>
      </c>
      <c r="I418" s="28" t="str">
        <f aca="false">IF(C418="","",IF(LEN(SUBSTITUTE(SUBSTITUTE(SUBSTITUTE(SUBSTITUTE(TRIM(C418),"*",""),".",""),"-","")," ",""))=11,MID(SUBSTITUTE(SUBSTITUTE(SUBSTITUTE(SUBSTITUTE(TRIM(C418),"*",""),".",""),"-","")," ",""),4,6),SUBSTITUTE(SUBSTITUTE(SUBSTITUTE(SUBSTITUTE(TRIM(C418),"*",""),".",""),"-","")," ","")))</f>
        <v/>
      </c>
      <c r="J418" s="28" t="str">
        <f aca="false">IF(OR(H418="",I418=""),"",H418&amp;"|"&amp;I418)</f>
        <v/>
      </c>
      <c r="K418" s="19" t="str">
        <f aca="false">IF(H418="","",IF(AND(J418&lt;&gt;"",COUNTIF(Pessoas!$J:$J,J418)&gt;0),"SIM",IF(COUNTIF(Pessoas!$H:$H,H418)&gt;0,"nome igual em Pessoas: confira o CPF","")))</f>
        <v/>
      </c>
      <c r="L418" s="27"/>
      <c r="M418" s="5"/>
    </row>
    <row r="419" customFormat="false" ht="15" hidden="false" customHeight="false" outlineLevel="0" collapsed="false">
      <c r="A419" s="27"/>
      <c r="B419" s="5"/>
      <c r="C419" s="27"/>
      <c r="D419" s="18"/>
      <c r="E419" s="14"/>
      <c r="F419" s="18"/>
      <c r="G419" s="19" t="str">
        <f aca="false">IF(A419="","",IFERROR(INDEX(Empresas!$B:$B,MATCH(A419,Empresas!$A:$A,0))&amp;"","cadastre o CNPJ em Empresas"))</f>
        <v/>
      </c>
      <c r="H419" s="28" t="str">
        <f aca="false">IF(B419="","",SUBSTITUTE(SUBSTITUTE(SUBSTITUTE(SUBSTITUTE(SUBSTITUTE(SUBSTITUTE(SUBSTITUTE(SUBSTITUTE(SUBSTITUTE(SUBSTITUTE(SUBSTITUTE(SUBSTITUTE(SUBSTITUTE(UPPER(TRIM(B419)),"Á","A"),"À","A"),"Â","A"),"Ã","A"),"É","E"),"Ê","E"),"Í","I"),"Ó","O"),"Ô","O"),"Õ","O"),"Ú","U"),"Ü","U"),"Ç","C"))</f>
        <v/>
      </c>
      <c r="I419" s="28" t="str">
        <f aca="false">IF(C419="","",IF(LEN(SUBSTITUTE(SUBSTITUTE(SUBSTITUTE(SUBSTITUTE(TRIM(C419),"*",""),".",""),"-","")," ",""))=11,MID(SUBSTITUTE(SUBSTITUTE(SUBSTITUTE(SUBSTITUTE(TRIM(C419),"*",""),".",""),"-","")," ",""),4,6),SUBSTITUTE(SUBSTITUTE(SUBSTITUTE(SUBSTITUTE(TRIM(C419),"*",""),".",""),"-","")," ","")))</f>
        <v/>
      </c>
      <c r="J419" s="28" t="str">
        <f aca="false">IF(OR(H419="",I419=""),"",H419&amp;"|"&amp;I419)</f>
        <v/>
      </c>
      <c r="K419" s="19" t="str">
        <f aca="false">IF(H419="","",IF(AND(J419&lt;&gt;"",COUNTIF(Pessoas!$J:$J,J419)&gt;0),"SIM",IF(COUNTIF(Pessoas!$H:$H,H419)&gt;0,"nome igual em Pessoas: confira o CPF","")))</f>
        <v/>
      </c>
      <c r="L419" s="27"/>
      <c r="M419" s="5"/>
    </row>
    <row r="420" customFormat="false" ht="15" hidden="false" customHeight="false" outlineLevel="0" collapsed="false">
      <c r="A420" s="27"/>
      <c r="B420" s="5"/>
      <c r="C420" s="27"/>
      <c r="D420" s="18"/>
      <c r="E420" s="14"/>
      <c r="F420" s="18"/>
      <c r="G420" s="19" t="str">
        <f aca="false">IF(A420="","",IFERROR(INDEX(Empresas!$B:$B,MATCH(A420,Empresas!$A:$A,0))&amp;"","cadastre o CNPJ em Empresas"))</f>
        <v/>
      </c>
      <c r="H420" s="28" t="str">
        <f aca="false">IF(B420="","",SUBSTITUTE(SUBSTITUTE(SUBSTITUTE(SUBSTITUTE(SUBSTITUTE(SUBSTITUTE(SUBSTITUTE(SUBSTITUTE(SUBSTITUTE(SUBSTITUTE(SUBSTITUTE(SUBSTITUTE(SUBSTITUTE(UPPER(TRIM(B420)),"Á","A"),"À","A"),"Â","A"),"Ã","A"),"É","E"),"Ê","E"),"Í","I"),"Ó","O"),"Ô","O"),"Õ","O"),"Ú","U"),"Ü","U"),"Ç","C"))</f>
        <v/>
      </c>
      <c r="I420" s="28" t="str">
        <f aca="false">IF(C420="","",IF(LEN(SUBSTITUTE(SUBSTITUTE(SUBSTITUTE(SUBSTITUTE(TRIM(C420),"*",""),".",""),"-","")," ",""))=11,MID(SUBSTITUTE(SUBSTITUTE(SUBSTITUTE(SUBSTITUTE(TRIM(C420),"*",""),".",""),"-","")," ",""),4,6),SUBSTITUTE(SUBSTITUTE(SUBSTITUTE(SUBSTITUTE(TRIM(C420),"*",""),".",""),"-","")," ","")))</f>
        <v/>
      </c>
      <c r="J420" s="28" t="str">
        <f aca="false">IF(OR(H420="",I420=""),"",H420&amp;"|"&amp;I420)</f>
        <v/>
      </c>
      <c r="K420" s="19" t="str">
        <f aca="false">IF(H420="","",IF(AND(J420&lt;&gt;"",COUNTIF(Pessoas!$J:$J,J420)&gt;0),"SIM",IF(COUNTIF(Pessoas!$H:$H,H420)&gt;0,"nome igual em Pessoas: confira o CPF","")))</f>
        <v/>
      </c>
      <c r="L420" s="27"/>
      <c r="M420" s="5"/>
    </row>
    <row r="421" customFormat="false" ht="15" hidden="false" customHeight="false" outlineLevel="0" collapsed="false">
      <c r="A421" s="27"/>
      <c r="B421" s="5"/>
      <c r="C421" s="27"/>
      <c r="D421" s="18"/>
      <c r="E421" s="14"/>
      <c r="F421" s="18"/>
      <c r="G421" s="19" t="str">
        <f aca="false">IF(A421="","",IFERROR(INDEX(Empresas!$B:$B,MATCH(A421,Empresas!$A:$A,0))&amp;"","cadastre o CNPJ em Empresas"))</f>
        <v/>
      </c>
      <c r="H421" s="28" t="str">
        <f aca="false">IF(B421="","",SUBSTITUTE(SUBSTITUTE(SUBSTITUTE(SUBSTITUTE(SUBSTITUTE(SUBSTITUTE(SUBSTITUTE(SUBSTITUTE(SUBSTITUTE(SUBSTITUTE(SUBSTITUTE(SUBSTITUTE(SUBSTITUTE(UPPER(TRIM(B421)),"Á","A"),"À","A"),"Â","A"),"Ã","A"),"É","E"),"Ê","E"),"Í","I"),"Ó","O"),"Ô","O"),"Õ","O"),"Ú","U"),"Ü","U"),"Ç","C"))</f>
        <v/>
      </c>
      <c r="I421" s="28" t="str">
        <f aca="false">IF(C421="","",IF(LEN(SUBSTITUTE(SUBSTITUTE(SUBSTITUTE(SUBSTITUTE(TRIM(C421),"*",""),".",""),"-","")," ",""))=11,MID(SUBSTITUTE(SUBSTITUTE(SUBSTITUTE(SUBSTITUTE(TRIM(C421),"*",""),".",""),"-","")," ",""),4,6),SUBSTITUTE(SUBSTITUTE(SUBSTITUTE(SUBSTITUTE(TRIM(C421),"*",""),".",""),"-","")," ","")))</f>
        <v/>
      </c>
      <c r="J421" s="28" t="str">
        <f aca="false">IF(OR(H421="",I421=""),"",H421&amp;"|"&amp;I421)</f>
        <v/>
      </c>
      <c r="K421" s="19" t="str">
        <f aca="false">IF(H421="","",IF(AND(J421&lt;&gt;"",COUNTIF(Pessoas!$J:$J,J421)&gt;0),"SIM",IF(COUNTIF(Pessoas!$H:$H,H421)&gt;0,"nome igual em Pessoas: confira o CPF","")))</f>
        <v/>
      </c>
      <c r="L421" s="27"/>
      <c r="M421" s="5"/>
    </row>
    <row r="422" customFormat="false" ht="15" hidden="false" customHeight="false" outlineLevel="0" collapsed="false">
      <c r="A422" s="27"/>
      <c r="B422" s="5"/>
      <c r="C422" s="27"/>
      <c r="D422" s="18"/>
      <c r="E422" s="14"/>
      <c r="F422" s="18"/>
      <c r="G422" s="19" t="str">
        <f aca="false">IF(A422="","",IFERROR(INDEX(Empresas!$B:$B,MATCH(A422,Empresas!$A:$A,0))&amp;"","cadastre o CNPJ em Empresas"))</f>
        <v/>
      </c>
      <c r="H422" s="28" t="str">
        <f aca="false">IF(B422="","",SUBSTITUTE(SUBSTITUTE(SUBSTITUTE(SUBSTITUTE(SUBSTITUTE(SUBSTITUTE(SUBSTITUTE(SUBSTITUTE(SUBSTITUTE(SUBSTITUTE(SUBSTITUTE(SUBSTITUTE(SUBSTITUTE(UPPER(TRIM(B422)),"Á","A"),"À","A"),"Â","A"),"Ã","A"),"É","E"),"Ê","E"),"Í","I"),"Ó","O"),"Ô","O"),"Õ","O"),"Ú","U"),"Ü","U"),"Ç","C"))</f>
        <v/>
      </c>
      <c r="I422" s="28" t="str">
        <f aca="false">IF(C422="","",IF(LEN(SUBSTITUTE(SUBSTITUTE(SUBSTITUTE(SUBSTITUTE(TRIM(C422),"*",""),".",""),"-","")," ",""))=11,MID(SUBSTITUTE(SUBSTITUTE(SUBSTITUTE(SUBSTITUTE(TRIM(C422),"*",""),".",""),"-","")," ",""),4,6),SUBSTITUTE(SUBSTITUTE(SUBSTITUTE(SUBSTITUTE(TRIM(C422),"*",""),".",""),"-","")," ","")))</f>
        <v/>
      </c>
      <c r="J422" s="28" t="str">
        <f aca="false">IF(OR(H422="",I422=""),"",H422&amp;"|"&amp;I422)</f>
        <v/>
      </c>
      <c r="K422" s="19" t="str">
        <f aca="false">IF(H422="","",IF(AND(J422&lt;&gt;"",COUNTIF(Pessoas!$J:$J,J422)&gt;0),"SIM",IF(COUNTIF(Pessoas!$H:$H,H422)&gt;0,"nome igual em Pessoas: confira o CPF","")))</f>
        <v/>
      </c>
      <c r="L422" s="27"/>
      <c r="M422" s="5"/>
    </row>
    <row r="423" customFormat="false" ht="15" hidden="false" customHeight="false" outlineLevel="0" collapsed="false">
      <c r="A423" s="27"/>
      <c r="B423" s="5"/>
      <c r="C423" s="27"/>
      <c r="D423" s="18"/>
      <c r="E423" s="14"/>
      <c r="F423" s="18"/>
      <c r="G423" s="19" t="str">
        <f aca="false">IF(A423="","",IFERROR(INDEX(Empresas!$B:$B,MATCH(A423,Empresas!$A:$A,0))&amp;"","cadastre o CNPJ em Empresas"))</f>
        <v/>
      </c>
      <c r="H423" s="28" t="str">
        <f aca="false">IF(B423="","",SUBSTITUTE(SUBSTITUTE(SUBSTITUTE(SUBSTITUTE(SUBSTITUTE(SUBSTITUTE(SUBSTITUTE(SUBSTITUTE(SUBSTITUTE(SUBSTITUTE(SUBSTITUTE(SUBSTITUTE(SUBSTITUTE(UPPER(TRIM(B423)),"Á","A"),"À","A"),"Â","A"),"Ã","A"),"É","E"),"Ê","E"),"Í","I"),"Ó","O"),"Ô","O"),"Õ","O"),"Ú","U"),"Ü","U"),"Ç","C"))</f>
        <v/>
      </c>
      <c r="I423" s="28" t="str">
        <f aca="false">IF(C423="","",IF(LEN(SUBSTITUTE(SUBSTITUTE(SUBSTITUTE(SUBSTITUTE(TRIM(C423),"*",""),".",""),"-","")," ",""))=11,MID(SUBSTITUTE(SUBSTITUTE(SUBSTITUTE(SUBSTITUTE(TRIM(C423),"*",""),".",""),"-","")," ",""),4,6),SUBSTITUTE(SUBSTITUTE(SUBSTITUTE(SUBSTITUTE(TRIM(C423),"*",""),".",""),"-","")," ","")))</f>
        <v/>
      </c>
      <c r="J423" s="28" t="str">
        <f aca="false">IF(OR(H423="",I423=""),"",H423&amp;"|"&amp;I423)</f>
        <v/>
      </c>
      <c r="K423" s="19" t="str">
        <f aca="false">IF(H423="","",IF(AND(J423&lt;&gt;"",COUNTIF(Pessoas!$J:$J,J423)&gt;0),"SIM",IF(COUNTIF(Pessoas!$H:$H,H423)&gt;0,"nome igual em Pessoas: confira o CPF","")))</f>
        <v/>
      </c>
      <c r="L423" s="27"/>
      <c r="M423" s="5"/>
    </row>
    <row r="424" customFormat="false" ht="15" hidden="false" customHeight="false" outlineLevel="0" collapsed="false">
      <c r="A424" s="27"/>
      <c r="B424" s="5"/>
      <c r="C424" s="27"/>
      <c r="D424" s="18"/>
      <c r="E424" s="14"/>
      <c r="F424" s="18"/>
      <c r="G424" s="19" t="str">
        <f aca="false">IF(A424="","",IFERROR(INDEX(Empresas!$B:$B,MATCH(A424,Empresas!$A:$A,0))&amp;"","cadastre o CNPJ em Empresas"))</f>
        <v/>
      </c>
      <c r="H424" s="28" t="str">
        <f aca="false">IF(B424="","",SUBSTITUTE(SUBSTITUTE(SUBSTITUTE(SUBSTITUTE(SUBSTITUTE(SUBSTITUTE(SUBSTITUTE(SUBSTITUTE(SUBSTITUTE(SUBSTITUTE(SUBSTITUTE(SUBSTITUTE(SUBSTITUTE(UPPER(TRIM(B424)),"Á","A"),"À","A"),"Â","A"),"Ã","A"),"É","E"),"Ê","E"),"Í","I"),"Ó","O"),"Ô","O"),"Õ","O"),"Ú","U"),"Ü","U"),"Ç","C"))</f>
        <v/>
      </c>
      <c r="I424" s="28" t="str">
        <f aca="false">IF(C424="","",IF(LEN(SUBSTITUTE(SUBSTITUTE(SUBSTITUTE(SUBSTITUTE(TRIM(C424),"*",""),".",""),"-","")," ",""))=11,MID(SUBSTITUTE(SUBSTITUTE(SUBSTITUTE(SUBSTITUTE(TRIM(C424),"*",""),".",""),"-","")," ",""),4,6),SUBSTITUTE(SUBSTITUTE(SUBSTITUTE(SUBSTITUTE(TRIM(C424),"*",""),".",""),"-","")," ","")))</f>
        <v/>
      </c>
      <c r="J424" s="28" t="str">
        <f aca="false">IF(OR(H424="",I424=""),"",H424&amp;"|"&amp;I424)</f>
        <v/>
      </c>
      <c r="K424" s="19" t="str">
        <f aca="false">IF(H424="","",IF(AND(J424&lt;&gt;"",COUNTIF(Pessoas!$J:$J,J424)&gt;0),"SIM",IF(COUNTIF(Pessoas!$H:$H,H424)&gt;0,"nome igual em Pessoas: confira o CPF","")))</f>
        <v/>
      </c>
      <c r="L424" s="27"/>
      <c r="M424" s="5"/>
    </row>
    <row r="425" customFormat="false" ht="15" hidden="false" customHeight="false" outlineLevel="0" collapsed="false">
      <c r="A425" s="27"/>
      <c r="B425" s="5"/>
      <c r="C425" s="27"/>
      <c r="D425" s="18"/>
      <c r="E425" s="14"/>
      <c r="F425" s="18"/>
      <c r="G425" s="19" t="str">
        <f aca="false">IF(A425="","",IFERROR(INDEX(Empresas!$B:$B,MATCH(A425,Empresas!$A:$A,0))&amp;"","cadastre o CNPJ em Empresas"))</f>
        <v/>
      </c>
      <c r="H425" s="28" t="str">
        <f aca="false">IF(B425="","",SUBSTITUTE(SUBSTITUTE(SUBSTITUTE(SUBSTITUTE(SUBSTITUTE(SUBSTITUTE(SUBSTITUTE(SUBSTITUTE(SUBSTITUTE(SUBSTITUTE(SUBSTITUTE(SUBSTITUTE(SUBSTITUTE(UPPER(TRIM(B425)),"Á","A"),"À","A"),"Â","A"),"Ã","A"),"É","E"),"Ê","E"),"Í","I"),"Ó","O"),"Ô","O"),"Õ","O"),"Ú","U"),"Ü","U"),"Ç","C"))</f>
        <v/>
      </c>
      <c r="I425" s="28" t="str">
        <f aca="false">IF(C425="","",IF(LEN(SUBSTITUTE(SUBSTITUTE(SUBSTITUTE(SUBSTITUTE(TRIM(C425),"*",""),".",""),"-","")," ",""))=11,MID(SUBSTITUTE(SUBSTITUTE(SUBSTITUTE(SUBSTITUTE(TRIM(C425),"*",""),".",""),"-","")," ",""),4,6),SUBSTITUTE(SUBSTITUTE(SUBSTITUTE(SUBSTITUTE(TRIM(C425),"*",""),".",""),"-","")," ","")))</f>
        <v/>
      </c>
      <c r="J425" s="28" t="str">
        <f aca="false">IF(OR(H425="",I425=""),"",H425&amp;"|"&amp;I425)</f>
        <v/>
      </c>
      <c r="K425" s="19" t="str">
        <f aca="false">IF(H425="","",IF(AND(J425&lt;&gt;"",COUNTIF(Pessoas!$J:$J,J425)&gt;0),"SIM",IF(COUNTIF(Pessoas!$H:$H,H425)&gt;0,"nome igual em Pessoas: confira o CPF","")))</f>
        <v/>
      </c>
      <c r="L425" s="27"/>
      <c r="M425" s="5"/>
    </row>
    <row r="426" customFormat="false" ht="15" hidden="false" customHeight="false" outlineLevel="0" collapsed="false">
      <c r="A426" s="27"/>
      <c r="B426" s="5"/>
      <c r="C426" s="27"/>
      <c r="D426" s="18"/>
      <c r="E426" s="14"/>
      <c r="F426" s="18"/>
      <c r="G426" s="19" t="str">
        <f aca="false">IF(A426="","",IFERROR(INDEX(Empresas!$B:$B,MATCH(A426,Empresas!$A:$A,0))&amp;"","cadastre o CNPJ em Empresas"))</f>
        <v/>
      </c>
      <c r="H426" s="28" t="str">
        <f aca="false">IF(B426="","",SUBSTITUTE(SUBSTITUTE(SUBSTITUTE(SUBSTITUTE(SUBSTITUTE(SUBSTITUTE(SUBSTITUTE(SUBSTITUTE(SUBSTITUTE(SUBSTITUTE(SUBSTITUTE(SUBSTITUTE(SUBSTITUTE(UPPER(TRIM(B426)),"Á","A"),"À","A"),"Â","A"),"Ã","A"),"É","E"),"Ê","E"),"Í","I"),"Ó","O"),"Ô","O"),"Õ","O"),"Ú","U"),"Ü","U"),"Ç","C"))</f>
        <v/>
      </c>
      <c r="I426" s="28" t="str">
        <f aca="false">IF(C426="","",IF(LEN(SUBSTITUTE(SUBSTITUTE(SUBSTITUTE(SUBSTITUTE(TRIM(C426),"*",""),".",""),"-","")," ",""))=11,MID(SUBSTITUTE(SUBSTITUTE(SUBSTITUTE(SUBSTITUTE(TRIM(C426),"*",""),".",""),"-","")," ",""),4,6),SUBSTITUTE(SUBSTITUTE(SUBSTITUTE(SUBSTITUTE(TRIM(C426),"*",""),".",""),"-","")," ","")))</f>
        <v/>
      </c>
      <c r="J426" s="28" t="str">
        <f aca="false">IF(OR(H426="",I426=""),"",H426&amp;"|"&amp;I426)</f>
        <v/>
      </c>
      <c r="K426" s="19" t="str">
        <f aca="false">IF(H426="","",IF(AND(J426&lt;&gt;"",COUNTIF(Pessoas!$J:$J,J426)&gt;0),"SIM",IF(COUNTIF(Pessoas!$H:$H,H426)&gt;0,"nome igual em Pessoas: confira o CPF","")))</f>
        <v/>
      </c>
      <c r="L426" s="27"/>
      <c r="M426" s="5"/>
    </row>
    <row r="427" customFormat="false" ht="15" hidden="false" customHeight="false" outlineLevel="0" collapsed="false">
      <c r="A427" s="27"/>
      <c r="B427" s="5"/>
      <c r="C427" s="27"/>
      <c r="D427" s="18"/>
      <c r="E427" s="14"/>
      <c r="F427" s="18"/>
      <c r="G427" s="19" t="str">
        <f aca="false">IF(A427="","",IFERROR(INDEX(Empresas!$B:$B,MATCH(A427,Empresas!$A:$A,0))&amp;"","cadastre o CNPJ em Empresas"))</f>
        <v/>
      </c>
      <c r="H427" s="28" t="str">
        <f aca="false">IF(B427="","",SUBSTITUTE(SUBSTITUTE(SUBSTITUTE(SUBSTITUTE(SUBSTITUTE(SUBSTITUTE(SUBSTITUTE(SUBSTITUTE(SUBSTITUTE(SUBSTITUTE(SUBSTITUTE(SUBSTITUTE(SUBSTITUTE(UPPER(TRIM(B427)),"Á","A"),"À","A"),"Â","A"),"Ã","A"),"É","E"),"Ê","E"),"Í","I"),"Ó","O"),"Ô","O"),"Õ","O"),"Ú","U"),"Ü","U"),"Ç","C"))</f>
        <v/>
      </c>
      <c r="I427" s="28" t="str">
        <f aca="false">IF(C427="","",IF(LEN(SUBSTITUTE(SUBSTITUTE(SUBSTITUTE(SUBSTITUTE(TRIM(C427),"*",""),".",""),"-","")," ",""))=11,MID(SUBSTITUTE(SUBSTITUTE(SUBSTITUTE(SUBSTITUTE(TRIM(C427),"*",""),".",""),"-","")," ",""),4,6),SUBSTITUTE(SUBSTITUTE(SUBSTITUTE(SUBSTITUTE(TRIM(C427),"*",""),".",""),"-","")," ","")))</f>
        <v/>
      </c>
      <c r="J427" s="28" t="str">
        <f aca="false">IF(OR(H427="",I427=""),"",H427&amp;"|"&amp;I427)</f>
        <v/>
      </c>
      <c r="K427" s="19" t="str">
        <f aca="false">IF(H427="","",IF(AND(J427&lt;&gt;"",COUNTIF(Pessoas!$J:$J,J427)&gt;0),"SIM",IF(COUNTIF(Pessoas!$H:$H,H427)&gt;0,"nome igual em Pessoas: confira o CPF","")))</f>
        <v/>
      </c>
      <c r="L427" s="27"/>
      <c r="M427" s="5"/>
    </row>
    <row r="428" customFormat="false" ht="15" hidden="false" customHeight="false" outlineLevel="0" collapsed="false">
      <c r="A428" s="27"/>
      <c r="B428" s="5"/>
      <c r="C428" s="27"/>
      <c r="D428" s="18"/>
      <c r="E428" s="14"/>
      <c r="F428" s="18"/>
      <c r="G428" s="19" t="str">
        <f aca="false">IF(A428="","",IFERROR(INDEX(Empresas!$B:$B,MATCH(A428,Empresas!$A:$A,0))&amp;"","cadastre o CNPJ em Empresas"))</f>
        <v/>
      </c>
      <c r="H428" s="28" t="str">
        <f aca="false">IF(B428="","",SUBSTITUTE(SUBSTITUTE(SUBSTITUTE(SUBSTITUTE(SUBSTITUTE(SUBSTITUTE(SUBSTITUTE(SUBSTITUTE(SUBSTITUTE(SUBSTITUTE(SUBSTITUTE(SUBSTITUTE(SUBSTITUTE(UPPER(TRIM(B428)),"Á","A"),"À","A"),"Â","A"),"Ã","A"),"É","E"),"Ê","E"),"Í","I"),"Ó","O"),"Ô","O"),"Õ","O"),"Ú","U"),"Ü","U"),"Ç","C"))</f>
        <v/>
      </c>
      <c r="I428" s="28" t="str">
        <f aca="false">IF(C428="","",IF(LEN(SUBSTITUTE(SUBSTITUTE(SUBSTITUTE(SUBSTITUTE(TRIM(C428),"*",""),".",""),"-","")," ",""))=11,MID(SUBSTITUTE(SUBSTITUTE(SUBSTITUTE(SUBSTITUTE(TRIM(C428),"*",""),".",""),"-","")," ",""),4,6),SUBSTITUTE(SUBSTITUTE(SUBSTITUTE(SUBSTITUTE(TRIM(C428),"*",""),".",""),"-","")," ","")))</f>
        <v/>
      </c>
      <c r="J428" s="28" t="str">
        <f aca="false">IF(OR(H428="",I428=""),"",H428&amp;"|"&amp;I428)</f>
        <v/>
      </c>
      <c r="K428" s="19" t="str">
        <f aca="false">IF(H428="","",IF(AND(J428&lt;&gt;"",COUNTIF(Pessoas!$J:$J,J428)&gt;0),"SIM",IF(COUNTIF(Pessoas!$H:$H,H428)&gt;0,"nome igual em Pessoas: confira o CPF","")))</f>
        <v/>
      </c>
      <c r="L428" s="27"/>
      <c r="M428" s="5"/>
    </row>
    <row r="429" customFormat="false" ht="15" hidden="false" customHeight="false" outlineLevel="0" collapsed="false">
      <c r="A429" s="27"/>
      <c r="B429" s="5"/>
      <c r="C429" s="27"/>
      <c r="D429" s="18"/>
      <c r="E429" s="14"/>
      <c r="F429" s="18"/>
      <c r="G429" s="19" t="str">
        <f aca="false">IF(A429="","",IFERROR(INDEX(Empresas!$B:$B,MATCH(A429,Empresas!$A:$A,0))&amp;"","cadastre o CNPJ em Empresas"))</f>
        <v/>
      </c>
      <c r="H429" s="28" t="str">
        <f aca="false">IF(B429="","",SUBSTITUTE(SUBSTITUTE(SUBSTITUTE(SUBSTITUTE(SUBSTITUTE(SUBSTITUTE(SUBSTITUTE(SUBSTITUTE(SUBSTITUTE(SUBSTITUTE(SUBSTITUTE(SUBSTITUTE(SUBSTITUTE(UPPER(TRIM(B429)),"Á","A"),"À","A"),"Â","A"),"Ã","A"),"É","E"),"Ê","E"),"Í","I"),"Ó","O"),"Ô","O"),"Õ","O"),"Ú","U"),"Ü","U"),"Ç","C"))</f>
        <v/>
      </c>
      <c r="I429" s="28" t="str">
        <f aca="false">IF(C429="","",IF(LEN(SUBSTITUTE(SUBSTITUTE(SUBSTITUTE(SUBSTITUTE(TRIM(C429),"*",""),".",""),"-","")," ",""))=11,MID(SUBSTITUTE(SUBSTITUTE(SUBSTITUTE(SUBSTITUTE(TRIM(C429),"*",""),".",""),"-","")," ",""),4,6),SUBSTITUTE(SUBSTITUTE(SUBSTITUTE(SUBSTITUTE(TRIM(C429),"*",""),".",""),"-","")," ","")))</f>
        <v/>
      </c>
      <c r="J429" s="28" t="str">
        <f aca="false">IF(OR(H429="",I429=""),"",H429&amp;"|"&amp;I429)</f>
        <v/>
      </c>
      <c r="K429" s="19" t="str">
        <f aca="false">IF(H429="","",IF(AND(J429&lt;&gt;"",COUNTIF(Pessoas!$J:$J,J429)&gt;0),"SIM",IF(COUNTIF(Pessoas!$H:$H,H429)&gt;0,"nome igual em Pessoas: confira o CPF","")))</f>
        <v/>
      </c>
      <c r="L429" s="27"/>
      <c r="M429" s="5"/>
    </row>
    <row r="430" customFormat="false" ht="15" hidden="false" customHeight="false" outlineLevel="0" collapsed="false">
      <c r="A430" s="27"/>
      <c r="B430" s="5"/>
      <c r="C430" s="27"/>
      <c r="D430" s="18"/>
      <c r="E430" s="14"/>
      <c r="F430" s="18"/>
      <c r="G430" s="19" t="str">
        <f aca="false">IF(A430="","",IFERROR(INDEX(Empresas!$B:$B,MATCH(A430,Empresas!$A:$A,0))&amp;"","cadastre o CNPJ em Empresas"))</f>
        <v/>
      </c>
      <c r="H430" s="28" t="str">
        <f aca="false">IF(B430="","",SUBSTITUTE(SUBSTITUTE(SUBSTITUTE(SUBSTITUTE(SUBSTITUTE(SUBSTITUTE(SUBSTITUTE(SUBSTITUTE(SUBSTITUTE(SUBSTITUTE(SUBSTITUTE(SUBSTITUTE(SUBSTITUTE(UPPER(TRIM(B430)),"Á","A"),"À","A"),"Â","A"),"Ã","A"),"É","E"),"Ê","E"),"Í","I"),"Ó","O"),"Ô","O"),"Õ","O"),"Ú","U"),"Ü","U"),"Ç","C"))</f>
        <v/>
      </c>
      <c r="I430" s="28" t="str">
        <f aca="false">IF(C430="","",IF(LEN(SUBSTITUTE(SUBSTITUTE(SUBSTITUTE(SUBSTITUTE(TRIM(C430),"*",""),".",""),"-","")," ",""))=11,MID(SUBSTITUTE(SUBSTITUTE(SUBSTITUTE(SUBSTITUTE(TRIM(C430),"*",""),".",""),"-","")," ",""),4,6),SUBSTITUTE(SUBSTITUTE(SUBSTITUTE(SUBSTITUTE(TRIM(C430),"*",""),".",""),"-","")," ","")))</f>
        <v/>
      </c>
      <c r="J430" s="28" t="str">
        <f aca="false">IF(OR(H430="",I430=""),"",H430&amp;"|"&amp;I430)</f>
        <v/>
      </c>
      <c r="K430" s="19" t="str">
        <f aca="false">IF(H430="","",IF(AND(J430&lt;&gt;"",COUNTIF(Pessoas!$J:$J,J430)&gt;0),"SIM",IF(COUNTIF(Pessoas!$H:$H,H430)&gt;0,"nome igual em Pessoas: confira o CPF","")))</f>
        <v/>
      </c>
      <c r="L430" s="27"/>
      <c r="M430" s="5"/>
    </row>
    <row r="431" customFormat="false" ht="15" hidden="false" customHeight="false" outlineLevel="0" collapsed="false">
      <c r="A431" s="27"/>
      <c r="B431" s="5"/>
      <c r="C431" s="27"/>
      <c r="D431" s="18"/>
      <c r="E431" s="14"/>
      <c r="F431" s="18"/>
      <c r="G431" s="19" t="str">
        <f aca="false">IF(A431="","",IFERROR(INDEX(Empresas!$B:$B,MATCH(A431,Empresas!$A:$A,0))&amp;"","cadastre o CNPJ em Empresas"))</f>
        <v/>
      </c>
      <c r="H431" s="28" t="str">
        <f aca="false">IF(B431="","",SUBSTITUTE(SUBSTITUTE(SUBSTITUTE(SUBSTITUTE(SUBSTITUTE(SUBSTITUTE(SUBSTITUTE(SUBSTITUTE(SUBSTITUTE(SUBSTITUTE(SUBSTITUTE(SUBSTITUTE(SUBSTITUTE(UPPER(TRIM(B431)),"Á","A"),"À","A"),"Â","A"),"Ã","A"),"É","E"),"Ê","E"),"Í","I"),"Ó","O"),"Ô","O"),"Õ","O"),"Ú","U"),"Ü","U"),"Ç","C"))</f>
        <v/>
      </c>
      <c r="I431" s="28" t="str">
        <f aca="false">IF(C431="","",IF(LEN(SUBSTITUTE(SUBSTITUTE(SUBSTITUTE(SUBSTITUTE(TRIM(C431),"*",""),".",""),"-","")," ",""))=11,MID(SUBSTITUTE(SUBSTITUTE(SUBSTITUTE(SUBSTITUTE(TRIM(C431),"*",""),".",""),"-","")," ",""),4,6),SUBSTITUTE(SUBSTITUTE(SUBSTITUTE(SUBSTITUTE(TRIM(C431),"*",""),".",""),"-","")," ","")))</f>
        <v/>
      </c>
      <c r="J431" s="28" t="str">
        <f aca="false">IF(OR(H431="",I431=""),"",H431&amp;"|"&amp;I431)</f>
        <v/>
      </c>
      <c r="K431" s="19" t="str">
        <f aca="false">IF(H431="","",IF(AND(J431&lt;&gt;"",COUNTIF(Pessoas!$J:$J,J431)&gt;0),"SIM",IF(COUNTIF(Pessoas!$H:$H,H431)&gt;0,"nome igual em Pessoas: confira o CPF","")))</f>
        <v/>
      </c>
      <c r="L431" s="27"/>
      <c r="M431" s="5"/>
    </row>
    <row r="432" customFormat="false" ht="15" hidden="false" customHeight="false" outlineLevel="0" collapsed="false">
      <c r="A432" s="27"/>
      <c r="B432" s="5"/>
      <c r="C432" s="27"/>
      <c r="D432" s="18"/>
      <c r="E432" s="14"/>
      <c r="F432" s="18"/>
      <c r="G432" s="19" t="str">
        <f aca="false">IF(A432="","",IFERROR(INDEX(Empresas!$B:$B,MATCH(A432,Empresas!$A:$A,0))&amp;"","cadastre o CNPJ em Empresas"))</f>
        <v/>
      </c>
      <c r="H432" s="28" t="str">
        <f aca="false">IF(B432="","",SUBSTITUTE(SUBSTITUTE(SUBSTITUTE(SUBSTITUTE(SUBSTITUTE(SUBSTITUTE(SUBSTITUTE(SUBSTITUTE(SUBSTITUTE(SUBSTITUTE(SUBSTITUTE(SUBSTITUTE(SUBSTITUTE(UPPER(TRIM(B432)),"Á","A"),"À","A"),"Â","A"),"Ã","A"),"É","E"),"Ê","E"),"Í","I"),"Ó","O"),"Ô","O"),"Õ","O"),"Ú","U"),"Ü","U"),"Ç","C"))</f>
        <v/>
      </c>
      <c r="I432" s="28" t="str">
        <f aca="false">IF(C432="","",IF(LEN(SUBSTITUTE(SUBSTITUTE(SUBSTITUTE(SUBSTITUTE(TRIM(C432),"*",""),".",""),"-","")," ",""))=11,MID(SUBSTITUTE(SUBSTITUTE(SUBSTITUTE(SUBSTITUTE(TRIM(C432),"*",""),".",""),"-","")," ",""),4,6),SUBSTITUTE(SUBSTITUTE(SUBSTITUTE(SUBSTITUTE(TRIM(C432),"*",""),".",""),"-","")," ","")))</f>
        <v/>
      </c>
      <c r="J432" s="28" t="str">
        <f aca="false">IF(OR(H432="",I432=""),"",H432&amp;"|"&amp;I432)</f>
        <v/>
      </c>
      <c r="K432" s="19" t="str">
        <f aca="false">IF(H432="","",IF(AND(J432&lt;&gt;"",COUNTIF(Pessoas!$J:$J,J432)&gt;0),"SIM",IF(COUNTIF(Pessoas!$H:$H,H432)&gt;0,"nome igual em Pessoas: confira o CPF","")))</f>
        <v/>
      </c>
      <c r="L432" s="27"/>
      <c r="M432" s="5"/>
    </row>
    <row r="433" customFormat="false" ht="15" hidden="false" customHeight="false" outlineLevel="0" collapsed="false">
      <c r="A433" s="27"/>
      <c r="B433" s="5"/>
      <c r="C433" s="27"/>
      <c r="D433" s="18"/>
      <c r="E433" s="14"/>
      <c r="F433" s="18"/>
      <c r="G433" s="19" t="str">
        <f aca="false">IF(A433="","",IFERROR(INDEX(Empresas!$B:$B,MATCH(A433,Empresas!$A:$A,0))&amp;"","cadastre o CNPJ em Empresas"))</f>
        <v/>
      </c>
      <c r="H433" s="28" t="str">
        <f aca="false">IF(B433="","",SUBSTITUTE(SUBSTITUTE(SUBSTITUTE(SUBSTITUTE(SUBSTITUTE(SUBSTITUTE(SUBSTITUTE(SUBSTITUTE(SUBSTITUTE(SUBSTITUTE(SUBSTITUTE(SUBSTITUTE(SUBSTITUTE(UPPER(TRIM(B433)),"Á","A"),"À","A"),"Â","A"),"Ã","A"),"É","E"),"Ê","E"),"Í","I"),"Ó","O"),"Ô","O"),"Õ","O"),"Ú","U"),"Ü","U"),"Ç","C"))</f>
        <v/>
      </c>
      <c r="I433" s="28" t="str">
        <f aca="false">IF(C433="","",IF(LEN(SUBSTITUTE(SUBSTITUTE(SUBSTITUTE(SUBSTITUTE(TRIM(C433),"*",""),".",""),"-","")," ",""))=11,MID(SUBSTITUTE(SUBSTITUTE(SUBSTITUTE(SUBSTITUTE(TRIM(C433),"*",""),".",""),"-","")," ",""),4,6),SUBSTITUTE(SUBSTITUTE(SUBSTITUTE(SUBSTITUTE(TRIM(C433),"*",""),".",""),"-","")," ","")))</f>
        <v/>
      </c>
      <c r="J433" s="28" t="str">
        <f aca="false">IF(OR(H433="",I433=""),"",H433&amp;"|"&amp;I433)</f>
        <v/>
      </c>
      <c r="K433" s="19" t="str">
        <f aca="false">IF(H433="","",IF(AND(J433&lt;&gt;"",COUNTIF(Pessoas!$J:$J,J433)&gt;0),"SIM",IF(COUNTIF(Pessoas!$H:$H,H433)&gt;0,"nome igual em Pessoas: confira o CPF","")))</f>
        <v/>
      </c>
      <c r="L433" s="27"/>
      <c r="M433" s="5"/>
    </row>
    <row r="434" customFormat="false" ht="15" hidden="false" customHeight="false" outlineLevel="0" collapsed="false">
      <c r="A434" s="27"/>
      <c r="B434" s="5"/>
      <c r="C434" s="27"/>
      <c r="D434" s="18"/>
      <c r="E434" s="14"/>
      <c r="F434" s="18"/>
      <c r="G434" s="19" t="str">
        <f aca="false">IF(A434="","",IFERROR(INDEX(Empresas!$B:$B,MATCH(A434,Empresas!$A:$A,0))&amp;"","cadastre o CNPJ em Empresas"))</f>
        <v/>
      </c>
      <c r="H434" s="28" t="str">
        <f aca="false">IF(B434="","",SUBSTITUTE(SUBSTITUTE(SUBSTITUTE(SUBSTITUTE(SUBSTITUTE(SUBSTITUTE(SUBSTITUTE(SUBSTITUTE(SUBSTITUTE(SUBSTITUTE(SUBSTITUTE(SUBSTITUTE(SUBSTITUTE(UPPER(TRIM(B434)),"Á","A"),"À","A"),"Â","A"),"Ã","A"),"É","E"),"Ê","E"),"Í","I"),"Ó","O"),"Ô","O"),"Õ","O"),"Ú","U"),"Ü","U"),"Ç","C"))</f>
        <v/>
      </c>
      <c r="I434" s="28" t="str">
        <f aca="false">IF(C434="","",IF(LEN(SUBSTITUTE(SUBSTITUTE(SUBSTITUTE(SUBSTITUTE(TRIM(C434),"*",""),".",""),"-","")," ",""))=11,MID(SUBSTITUTE(SUBSTITUTE(SUBSTITUTE(SUBSTITUTE(TRIM(C434),"*",""),".",""),"-","")," ",""),4,6),SUBSTITUTE(SUBSTITUTE(SUBSTITUTE(SUBSTITUTE(TRIM(C434),"*",""),".",""),"-","")," ","")))</f>
        <v/>
      </c>
      <c r="J434" s="28" t="str">
        <f aca="false">IF(OR(H434="",I434=""),"",H434&amp;"|"&amp;I434)</f>
        <v/>
      </c>
      <c r="K434" s="19" t="str">
        <f aca="false">IF(H434="","",IF(AND(J434&lt;&gt;"",COUNTIF(Pessoas!$J:$J,J434)&gt;0),"SIM",IF(COUNTIF(Pessoas!$H:$H,H434)&gt;0,"nome igual em Pessoas: confira o CPF","")))</f>
        <v/>
      </c>
      <c r="L434" s="27"/>
      <c r="M434" s="5"/>
    </row>
    <row r="435" customFormat="false" ht="15" hidden="false" customHeight="false" outlineLevel="0" collapsed="false">
      <c r="A435" s="27"/>
      <c r="B435" s="5"/>
      <c r="C435" s="27"/>
      <c r="D435" s="18"/>
      <c r="E435" s="14"/>
      <c r="F435" s="18"/>
      <c r="G435" s="19" t="str">
        <f aca="false">IF(A435="","",IFERROR(INDEX(Empresas!$B:$B,MATCH(A435,Empresas!$A:$A,0))&amp;"","cadastre o CNPJ em Empresas"))</f>
        <v/>
      </c>
      <c r="H435" s="28" t="str">
        <f aca="false">IF(B435="","",SUBSTITUTE(SUBSTITUTE(SUBSTITUTE(SUBSTITUTE(SUBSTITUTE(SUBSTITUTE(SUBSTITUTE(SUBSTITUTE(SUBSTITUTE(SUBSTITUTE(SUBSTITUTE(SUBSTITUTE(SUBSTITUTE(UPPER(TRIM(B435)),"Á","A"),"À","A"),"Â","A"),"Ã","A"),"É","E"),"Ê","E"),"Í","I"),"Ó","O"),"Ô","O"),"Õ","O"),"Ú","U"),"Ü","U"),"Ç","C"))</f>
        <v/>
      </c>
      <c r="I435" s="28" t="str">
        <f aca="false">IF(C435="","",IF(LEN(SUBSTITUTE(SUBSTITUTE(SUBSTITUTE(SUBSTITUTE(TRIM(C435),"*",""),".",""),"-","")," ",""))=11,MID(SUBSTITUTE(SUBSTITUTE(SUBSTITUTE(SUBSTITUTE(TRIM(C435),"*",""),".",""),"-","")," ",""),4,6),SUBSTITUTE(SUBSTITUTE(SUBSTITUTE(SUBSTITUTE(TRIM(C435),"*",""),".",""),"-","")," ","")))</f>
        <v/>
      </c>
      <c r="J435" s="28" t="str">
        <f aca="false">IF(OR(H435="",I435=""),"",H435&amp;"|"&amp;I435)</f>
        <v/>
      </c>
      <c r="K435" s="19" t="str">
        <f aca="false">IF(H435="","",IF(AND(J435&lt;&gt;"",COUNTIF(Pessoas!$J:$J,J435)&gt;0),"SIM",IF(COUNTIF(Pessoas!$H:$H,H435)&gt;0,"nome igual em Pessoas: confira o CPF","")))</f>
        <v/>
      </c>
      <c r="L435" s="27"/>
      <c r="M435" s="5"/>
    </row>
    <row r="436" customFormat="false" ht="15" hidden="false" customHeight="false" outlineLevel="0" collapsed="false">
      <c r="A436" s="27"/>
      <c r="B436" s="5"/>
      <c r="C436" s="27"/>
      <c r="D436" s="18"/>
      <c r="E436" s="14"/>
      <c r="F436" s="18"/>
      <c r="G436" s="19" t="str">
        <f aca="false">IF(A436="","",IFERROR(INDEX(Empresas!$B:$B,MATCH(A436,Empresas!$A:$A,0))&amp;"","cadastre o CNPJ em Empresas"))</f>
        <v/>
      </c>
      <c r="H436" s="28" t="str">
        <f aca="false">IF(B436="","",SUBSTITUTE(SUBSTITUTE(SUBSTITUTE(SUBSTITUTE(SUBSTITUTE(SUBSTITUTE(SUBSTITUTE(SUBSTITUTE(SUBSTITUTE(SUBSTITUTE(SUBSTITUTE(SUBSTITUTE(SUBSTITUTE(UPPER(TRIM(B436)),"Á","A"),"À","A"),"Â","A"),"Ã","A"),"É","E"),"Ê","E"),"Í","I"),"Ó","O"),"Ô","O"),"Õ","O"),"Ú","U"),"Ü","U"),"Ç","C"))</f>
        <v/>
      </c>
      <c r="I436" s="28" t="str">
        <f aca="false">IF(C436="","",IF(LEN(SUBSTITUTE(SUBSTITUTE(SUBSTITUTE(SUBSTITUTE(TRIM(C436),"*",""),".",""),"-","")," ",""))=11,MID(SUBSTITUTE(SUBSTITUTE(SUBSTITUTE(SUBSTITUTE(TRIM(C436),"*",""),".",""),"-","")," ",""),4,6),SUBSTITUTE(SUBSTITUTE(SUBSTITUTE(SUBSTITUTE(TRIM(C436),"*",""),".",""),"-","")," ","")))</f>
        <v/>
      </c>
      <c r="J436" s="28" t="str">
        <f aca="false">IF(OR(H436="",I436=""),"",H436&amp;"|"&amp;I436)</f>
        <v/>
      </c>
      <c r="K436" s="19" t="str">
        <f aca="false">IF(H436="","",IF(AND(J436&lt;&gt;"",COUNTIF(Pessoas!$J:$J,J436)&gt;0),"SIM",IF(COUNTIF(Pessoas!$H:$H,H436)&gt;0,"nome igual em Pessoas: confira o CPF","")))</f>
        <v/>
      </c>
      <c r="L436" s="27"/>
      <c r="M436" s="5"/>
    </row>
    <row r="437" customFormat="false" ht="15" hidden="false" customHeight="false" outlineLevel="0" collapsed="false">
      <c r="A437" s="27"/>
      <c r="B437" s="5"/>
      <c r="C437" s="27"/>
      <c r="D437" s="18"/>
      <c r="E437" s="14"/>
      <c r="F437" s="18"/>
      <c r="G437" s="19" t="str">
        <f aca="false">IF(A437="","",IFERROR(INDEX(Empresas!$B:$B,MATCH(A437,Empresas!$A:$A,0))&amp;"","cadastre o CNPJ em Empresas"))</f>
        <v/>
      </c>
      <c r="H437" s="28" t="str">
        <f aca="false">IF(B437="","",SUBSTITUTE(SUBSTITUTE(SUBSTITUTE(SUBSTITUTE(SUBSTITUTE(SUBSTITUTE(SUBSTITUTE(SUBSTITUTE(SUBSTITUTE(SUBSTITUTE(SUBSTITUTE(SUBSTITUTE(SUBSTITUTE(UPPER(TRIM(B437)),"Á","A"),"À","A"),"Â","A"),"Ã","A"),"É","E"),"Ê","E"),"Í","I"),"Ó","O"),"Ô","O"),"Õ","O"),"Ú","U"),"Ü","U"),"Ç","C"))</f>
        <v/>
      </c>
      <c r="I437" s="28" t="str">
        <f aca="false">IF(C437="","",IF(LEN(SUBSTITUTE(SUBSTITUTE(SUBSTITUTE(SUBSTITUTE(TRIM(C437),"*",""),".",""),"-","")," ",""))=11,MID(SUBSTITUTE(SUBSTITUTE(SUBSTITUTE(SUBSTITUTE(TRIM(C437),"*",""),".",""),"-","")," ",""),4,6),SUBSTITUTE(SUBSTITUTE(SUBSTITUTE(SUBSTITUTE(TRIM(C437),"*",""),".",""),"-","")," ","")))</f>
        <v/>
      </c>
      <c r="J437" s="28" t="str">
        <f aca="false">IF(OR(H437="",I437=""),"",H437&amp;"|"&amp;I437)</f>
        <v/>
      </c>
      <c r="K437" s="19" t="str">
        <f aca="false">IF(H437="","",IF(AND(J437&lt;&gt;"",COUNTIF(Pessoas!$J:$J,J437)&gt;0),"SIM",IF(COUNTIF(Pessoas!$H:$H,H437)&gt;0,"nome igual em Pessoas: confira o CPF","")))</f>
        <v/>
      </c>
      <c r="L437" s="27"/>
      <c r="M437" s="5"/>
    </row>
    <row r="438" customFormat="false" ht="15" hidden="false" customHeight="false" outlineLevel="0" collapsed="false">
      <c r="A438" s="27"/>
      <c r="B438" s="5"/>
      <c r="C438" s="27"/>
      <c r="D438" s="18"/>
      <c r="E438" s="14"/>
      <c r="F438" s="18"/>
      <c r="G438" s="19" t="str">
        <f aca="false">IF(A438="","",IFERROR(INDEX(Empresas!$B:$B,MATCH(A438,Empresas!$A:$A,0))&amp;"","cadastre o CNPJ em Empresas"))</f>
        <v/>
      </c>
      <c r="H438" s="28" t="str">
        <f aca="false">IF(B438="","",SUBSTITUTE(SUBSTITUTE(SUBSTITUTE(SUBSTITUTE(SUBSTITUTE(SUBSTITUTE(SUBSTITUTE(SUBSTITUTE(SUBSTITUTE(SUBSTITUTE(SUBSTITUTE(SUBSTITUTE(SUBSTITUTE(UPPER(TRIM(B438)),"Á","A"),"À","A"),"Â","A"),"Ã","A"),"É","E"),"Ê","E"),"Í","I"),"Ó","O"),"Ô","O"),"Õ","O"),"Ú","U"),"Ü","U"),"Ç","C"))</f>
        <v/>
      </c>
      <c r="I438" s="28" t="str">
        <f aca="false">IF(C438="","",IF(LEN(SUBSTITUTE(SUBSTITUTE(SUBSTITUTE(SUBSTITUTE(TRIM(C438),"*",""),".",""),"-","")," ",""))=11,MID(SUBSTITUTE(SUBSTITUTE(SUBSTITUTE(SUBSTITUTE(TRIM(C438),"*",""),".",""),"-","")," ",""),4,6),SUBSTITUTE(SUBSTITUTE(SUBSTITUTE(SUBSTITUTE(TRIM(C438),"*",""),".",""),"-","")," ","")))</f>
        <v/>
      </c>
      <c r="J438" s="28" t="str">
        <f aca="false">IF(OR(H438="",I438=""),"",H438&amp;"|"&amp;I438)</f>
        <v/>
      </c>
      <c r="K438" s="19" t="str">
        <f aca="false">IF(H438="","",IF(AND(J438&lt;&gt;"",COUNTIF(Pessoas!$J:$J,J438)&gt;0),"SIM",IF(COUNTIF(Pessoas!$H:$H,H438)&gt;0,"nome igual em Pessoas: confira o CPF","")))</f>
        <v/>
      </c>
      <c r="L438" s="27"/>
      <c r="M438" s="5"/>
    </row>
    <row r="439" customFormat="false" ht="15" hidden="false" customHeight="false" outlineLevel="0" collapsed="false">
      <c r="A439" s="27"/>
      <c r="B439" s="5"/>
      <c r="C439" s="27"/>
      <c r="D439" s="18"/>
      <c r="E439" s="14"/>
      <c r="F439" s="18"/>
      <c r="G439" s="19" t="str">
        <f aca="false">IF(A439="","",IFERROR(INDEX(Empresas!$B:$B,MATCH(A439,Empresas!$A:$A,0))&amp;"","cadastre o CNPJ em Empresas"))</f>
        <v/>
      </c>
      <c r="H439" s="28" t="str">
        <f aca="false">IF(B439="","",SUBSTITUTE(SUBSTITUTE(SUBSTITUTE(SUBSTITUTE(SUBSTITUTE(SUBSTITUTE(SUBSTITUTE(SUBSTITUTE(SUBSTITUTE(SUBSTITUTE(SUBSTITUTE(SUBSTITUTE(SUBSTITUTE(UPPER(TRIM(B439)),"Á","A"),"À","A"),"Â","A"),"Ã","A"),"É","E"),"Ê","E"),"Í","I"),"Ó","O"),"Ô","O"),"Õ","O"),"Ú","U"),"Ü","U"),"Ç","C"))</f>
        <v/>
      </c>
      <c r="I439" s="28" t="str">
        <f aca="false">IF(C439="","",IF(LEN(SUBSTITUTE(SUBSTITUTE(SUBSTITUTE(SUBSTITUTE(TRIM(C439),"*",""),".",""),"-","")," ",""))=11,MID(SUBSTITUTE(SUBSTITUTE(SUBSTITUTE(SUBSTITUTE(TRIM(C439),"*",""),".",""),"-","")," ",""),4,6),SUBSTITUTE(SUBSTITUTE(SUBSTITUTE(SUBSTITUTE(TRIM(C439),"*",""),".",""),"-","")," ","")))</f>
        <v/>
      </c>
      <c r="J439" s="28" t="str">
        <f aca="false">IF(OR(H439="",I439=""),"",H439&amp;"|"&amp;I439)</f>
        <v/>
      </c>
      <c r="K439" s="19" t="str">
        <f aca="false">IF(H439="","",IF(AND(J439&lt;&gt;"",COUNTIF(Pessoas!$J:$J,J439)&gt;0),"SIM",IF(COUNTIF(Pessoas!$H:$H,H439)&gt;0,"nome igual em Pessoas: confira o CPF","")))</f>
        <v/>
      </c>
      <c r="L439" s="27"/>
      <c r="M439" s="5"/>
    </row>
    <row r="440" customFormat="false" ht="15" hidden="false" customHeight="false" outlineLevel="0" collapsed="false">
      <c r="A440" s="27"/>
      <c r="B440" s="5"/>
      <c r="C440" s="27"/>
      <c r="D440" s="18"/>
      <c r="E440" s="14"/>
      <c r="F440" s="18"/>
      <c r="G440" s="19" t="str">
        <f aca="false">IF(A440="","",IFERROR(INDEX(Empresas!$B:$B,MATCH(A440,Empresas!$A:$A,0))&amp;"","cadastre o CNPJ em Empresas"))</f>
        <v/>
      </c>
      <c r="H440" s="28" t="str">
        <f aca="false">IF(B440="","",SUBSTITUTE(SUBSTITUTE(SUBSTITUTE(SUBSTITUTE(SUBSTITUTE(SUBSTITUTE(SUBSTITUTE(SUBSTITUTE(SUBSTITUTE(SUBSTITUTE(SUBSTITUTE(SUBSTITUTE(SUBSTITUTE(UPPER(TRIM(B440)),"Á","A"),"À","A"),"Â","A"),"Ã","A"),"É","E"),"Ê","E"),"Í","I"),"Ó","O"),"Ô","O"),"Õ","O"),"Ú","U"),"Ü","U"),"Ç","C"))</f>
        <v/>
      </c>
      <c r="I440" s="28" t="str">
        <f aca="false">IF(C440="","",IF(LEN(SUBSTITUTE(SUBSTITUTE(SUBSTITUTE(SUBSTITUTE(TRIM(C440),"*",""),".",""),"-","")," ",""))=11,MID(SUBSTITUTE(SUBSTITUTE(SUBSTITUTE(SUBSTITUTE(TRIM(C440),"*",""),".",""),"-","")," ",""),4,6),SUBSTITUTE(SUBSTITUTE(SUBSTITUTE(SUBSTITUTE(TRIM(C440),"*",""),".",""),"-","")," ","")))</f>
        <v/>
      </c>
      <c r="J440" s="28" t="str">
        <f aca="false">IF(OR(H440="",I440=""),"",H440&amp;"|"&amp;I440)</f>
        <v/>
      </c>
      <c r="K440" s="19" t="str">
        <f aca="false">IF(H440="","",IF(AND(J440&lt;&gt;"",COUNTIF(Pessoas!$J:$J,J440)&gt;0),"SIM",IF(COUNTIF(Pessoas!$H:$H,H440)&gt;0,"nome igual em Pessoas: confira o CPF","")))</f>
        <v/>
      </c>
      <c r="L440" s="27"/>
      <c r="M440" s="5"/>
    </row>
    <row r="441" customFormat="false" ht="15" hidden="false" customHeight="false" outlineLevel="0" collapsed="false">
      <c r="A441" s="27"/>
      <c r="B441" s="5"/>
      <c r="C441" s="27"/>
      <c r="D441" s="18"/>
      <c r="E441" s="14"/>
      <c r="F441" s="18"/>
      <c r="G441" s="19" t="str">
        <f aca="false">IF(A441="","",IFERROR(INDEX(Empresas!$B:$B,MATCH(A441,Empresas!$A:$A,0))&amp;"","cadastre o CNPJ em Empresas"))</f>
        <v/>
      </c>
      <c r="H441" s="28" t="str">
        <f aca="false">IF(B441="","",SUBSTITUTE(SUBSTITUTE(SUBSTITUTE(SUBSTITUTE(SUBSTITUTE(SUBSTITUTE(SUBSTITUTE(SUBSTITUTE(SUBSTITUTE(SUBSTITUTE(SUBSTITUTE(SUBSTITUTE(SUBSTITUTE(UPPER(TRIM(B441)),"Á","A"),"À","A"),"Â","A"),"Ã","A"),"É","E"),"Ê","E"),"Í","I"),"Ó","O"),"Ô","O"),"Õ","O"),"Ú","U"),"Ü","U"),"Ç","C"))</f>
        <v/>
      </c>
      <c r="I441" s="28" t="str">
        <f aca="false">IF(C441="","",IF(LEN(SUBSTITUTE(SUBSTITUTE(SUBSTITUTE(SUBSTITUTE(TRIM(C441),"*",""),".",""),"-","")," ",""))=11,MID(SUBSTITUTE(SUBSTITUTE(SUBSTITUTE(SUBSTITUTE(TRIM(C441),"*",""),".",""),"-","")," ",""),4,6),SUBSTITUTE(SUBSTITUTE(SUBSTITUTE(SUBSTITUTE(TRIM(C441),"*",""),".",""),"-","")," ","")))</f>
        <v/>
      </c>
      <c r="J441" s="28" t="str">
        <f aca="false">IF(OR(H441="",I441=""),"",H441&amp;"|"&amp;I441)</f>
        <v/>
      </c>
      <c r="K441" s="19" t="str">
        <f aca="false">IF(H441="","",IF(AND(J441&lt;&gt;"",COUNTIF(Pessoas!$J:$J,J441)&gt;0),"SIM",IF(COUNTIF(Pessoas!$H:$H,H441)&gt;0,"nome igual em Pessoas: confira o CPF","")))</f>
        <v/>
      </c>
      <c r="L441" s="27"/>
      <c r="M441" s="5"/>
    </row>
    <row r="442" customFormat="false" ht="15" hidden="false" customHeight="false" outlineLevel="0" collapsed="false">
      <c r="A442" s="27"/>
      <c r="B442" s="5"/>
      <c r="C442" s="27"/>
      <c r="D442" s="18"/>
      <c r="E442" s="14"/>
      <c r="F442" s="18"/>
      <c r="G442" s="19" t="str">
        <f aca="false">IF(A442="","",IFERROR(INDEX(Empresas!$B:$B,MATCH(A442,Empresas!$A:$A,0))&amp;"","cadastre o CNPJ em Empresas"))</f>
        <v/>
      </c>
      <c r="H442" s="28" t="str">
        <f aca="false">IF(B442="","",SUBSTITUTE(SUBSTITUTE(SUBSTITUTE(SUBSTITUTE(SUBSTITUTE(SUBSTITUTE(SUBSTITUTE(SUBSTITUTE(SUBSTITUTE(SUBSTITUTE(SUBSTITUTE(SUBSTITUTE(SUBSTITUTE(UPPER(TRIM(B442)),"Á","A"),"À","A"),"Â","A"),"Ã","A"),"É","E"),"Ê","E"),"Í","I"),"Ó","O"),"Ô","O"),"Õ","O"),"Ú","U"),"Ü","U"),"Ç","C"))</f>
        <v/>
      </c>
      <c r="I442" s="28" t="str">
        <f aca="false">IF(C442="","",IF(LEN(SUBSTITUTE(SUBSTITUTE(SUBSTITUTE(SUBSTITUTE(TRIM(C442),"*",""),".",""),"-","")," ",""))=11,MID(SUBSTITUTE(SUBSTITUTE(SUBSTITUTE(SUBSTITUTE(TRIM(C442),"*",""),".",""),"-","")," ",""),4,6),SUBSTITUTE(SUBSTITUTE(SUBSTITUTE(SUBSTITUTE(TRIM(C442),"*",""),".",""),"-","")," ","")))</f>
        <v/>
      </c>
      <c r="J442" s="28" t="str">
        <f aca="false">IF(OR(H442="",I442=""),"",H442&amp;"|"&amp;I442)</f>
        <v/>
      </c>
      <c r="K442" s="19" t="str">
        <f aca="false">IF(H442="","",IF(AND(J442&lt;&gt;"",COUNTIF(Pessoas!$J:$J,J442)&gt;0),"SIM",IF(COUNTIF(Pessoas!$H:$H,H442)&gt;0,"nome igual em Pessoas: confira o CPF","")))</f>
        <v/>
      </c>
      <c r="L442" s="27"/>
      <c r="M442" s="5"/>
    </row>
    <row r="443" customFormat="false" ht="15" hidden="false" customHeight="false" outlineLevel="0" collapsed="false">
      <c r="A443" s="27"/>
      <c r="B443" s="5"/>
      <c r="C443" s="27"/>
      <c r="D443" s="18"/>
      <c r="E443" s="14"/>
      <c r="F443" s="18"/>
      <c r="G443" s="19" t="str">
        <f aca="false">IF(A443="","",IFERROR(INDEX(Empresas!$B:$B,MATCH(A443,Empresas!$A:$A,0))&amp;"","cadastre o CNPJ em Empresas"))</f>
        <v/>
      </c>
      <c r="H443" s="28" t="str">
        <f aca="false">IF(B443="","",SUBSTITUTE(SUBSTITUTE(SUBSTITUTE(SUBSTITUTE(SUBSTITUTE(SUBSTITUTE(SUBSTITUTE(SUBSTITUTE(SUBSTITUTE(SUBSTITUTE(SUBSTITUTE(SUBSTITUTE(SUBSTITUTE(UPPER(TRIM(B443)),"Á","A"),"À","A"),"Â","A"),"Ã","A"),"É","E"),"Ê","E"),"Í","I"),"Ó","O"),"Ô","O"),"Õ","O"),"Ú","U"),"Ü","U"),"Ç","C"))</f>
        <v/>
      </c>
      <c r="I443" s="28" t="str">
        <f aca="false">IF(C443="","",IF(LEN(SUBSTITUTE(SUBSTITUTE(SUBSTITUTE(SUBSTITUTE(TRIM(C443),"*",""),".",""),"-","")," ",""))=11,MID(SUBSTITUTE(SUBSTITUTE(SUBSTITUTE(SUBSTITUTE(TRIM(C443),"*",""),".",""),"-","")," ",""),4,6),SUBSTITUTE(SUBSTITUTE(SUBSTITUTE(SUBSTITUTE(TRIM(C443),"*",""),".",""),"-","")," ","")))</f>
        <v/>
      </c>
      <c r="J443" s="28" t="str">
        <f aca="false">IF(OR(H443="",I443=""),"",H443&amp;"|"&amp;I443)</f>
        <v/>
      </c>
      <c r="K443" s="19" t="str">
        <f aca="false">IF(H443="","",IF(AND(J443&lt;&gt;"",COUNTIF(Pessoas!$J:$J,J443)&gt;0),"SIM",IF(COUNTIF(Pessoas!$H:$H,H443)&gt;0,"nome igual em Pessoas: confira o CPF","")))</f>
        <v/>
      </c>
      <c r="L443" s="27"/>
      <c r="M443" s="5"/>
    </row>
    <row r="444" customFormat="false" ht="15" hidden="false" customHeight="false" outlineLevel="0" collapsed="false">
      <c r="A444" s="27"/>
      <c r="B444" s="5"/>
      <c r="C444" s="27"/>
      <c r="D444" s="18"/>
      <c r="E444" s="14"/>
      <c r="F444" s="18"/>
      <c r="G444" s="19" t="str">
        <f aca="false">IF(A444="","",IFERROR(INDEX(Empresas!$B:$B,MATCH(A444,Empresas!$A:$A,0))&amp;"","cadastre o CNPJ em Empresas"))</f>
        <v/>
      </c>
      <c r="H444" s="28" t="str">
        <f aca="false">IF(B444="","",SUBSTITUTE(SUBSTITUTE(SUBSTITUTE(SUBSTITUTE(SUBSTITUTE(SUBSTITUTE(SUBSTITUTE(SUBSTITUTE(SUBSTITUTE(SUBSTITUTE(SUBSTITUTE(SUBSTITUTE(SUBSTITUTE(UPPER(TRIM(B444)),"Á","A"),"À","A"),"Â","A"),"Ã","A"),"É","E"),"Ê","E"),"Í","I"),"Ó","O"),"Ô","O"),"Õ","O"),"Ú","U"),"Ü","U"),"Ç","C"))</f>
        <v/>
      </c>
      <c r="I444" s="28" t="str">
        <f aca="false">IF(C444="","",IF(LEN(SUBSTITUTE(SUBSTITUTE(SUBSTITUTE(SUBSTITUTE(TRIM(C444),"*",""),".",""),"-","")," ",""))=11,MID(SUBSTITUTE(SUBSTITUTE(SUBSTITUTE(SUBSTITUTE(TRIM(C444),"*",""),".",""),"-","")," ",""),4,6),SUBSTITUTE(SUBSTITUTE(SUBSTITUTE(SUBSTITUTE(TRIM(C444),"*",""),".",""),"-","")," ","")))</f>
        <v/>
      </c>
      <c r="J444" s="28" t="str">
        <f aca="false">IF(OR(H444="",I444=""),"",H444&amp;"|"&amp;I444)</f>
        <v/>
      </c>
      <c r="K444" s="19" t="str">
        <f aca="false">IF(H444="","",IF(AND(J444&lt;&gt;"",COUNTIF(Pessoas!$J:$J,J444)&gt;0),"SIM",IF(COUNTIF(Pessoas!$H:$H,H444)&gt;0,"nome igual em Pessoas: confira o CPF","")))</f>
        <v/>
      </c>
      <c r="L444" s="27"/>
      <c r="M444" s="5"/>
    </row>
    <row r="445" customFormat="false" ht="15" hidden="false" customHeight="false" outlineLevel="0" collapsed="false">
      <c r="A445" s="27"/>
      <c r="B445" s="5"/>
      <c r="C445" s="27"/>
      <c r="D445" s="18"/>
      <c r="E445" s="14"/>
      <c r="F445" s="18"/>
      <c r="G445" s="19" t="str">
        <f aca="false">IF(A445="","",IFERROR(INDEX(Empresas!$B:$B,MATCH(A445,Empresas!$A:$A,0))&amp;"","cadastre o CNPJ em Empresas"))</f>
        <v/>
      </c>
      <c r="H445" s="28" t="str">
        <f aca="false">IF(B445="","",SUBSTITUTE(SUBSTITUTE(SUBSTITUTE(SUBSTITUTE(SUBSTITUTE(SUBSTITUTE(SUBSTITUTE(SUBSTITUTE(SUBSTITUTE(SUBSTITUTE(SUBSTITUTE(SUBSTITUTE(SUBSTITUTE(UPPER(TRIM(B445)),"Á","A"),"À","A"),"Â","A"),"Ã","A"),"É","E"),"Ê","E"),"Í","I"),"Ó","O"),"Ô","O"),"Õ","O"),"Ú","U"),"Ü","U"),"Ç","C"))</f>
        <v/>
      </c>
      <c r="I445" s="28" t="str">
        <f aca="false">IF(C445="","",IF(LEN(SUBSTITUTE(SUBSTITUTE(SUBSTITUTE(SUBSTITUTE(TRIM(C445),"*",""),".",""),"-","")," ",""))=11,MID(SUBSTITUTE(SUBSTITUTE(SUBSTITUTE(SUBSTITUTE(TRIM(C445),"*",""),".",""),"-","")," ",""),4,6),SUBSTITUTE(SUBSTITUTE(SUBSTITUTE(SUBSTITUTE(TRIM(C445),"*",""),".",""),"-","")," ","")))</f>
        <v/>
      </c>
      <c r="J445" s="28" t="str">
        <f aca="false">IF(OR(H445="",I445=""),"",H445&amp;"|"&amp;I445)</f>
        <v/>
      </c>
      <c r="K445" s="19" t="str">
        <f aca="false">IF(H445="","",IF(AND(J445&lt;&gt;"",COUNTIF(Pessoas!$J:$J,J445)&gt;0),"SIM",IF(COUNTIF(Pessoas!$H:$H,H445)&gt;0,"nome igual em Pessoas: confira o CPF","")))</f>
        <v/>
      </c>
      <c r="L445" s="27"/>
      <c r="M445" s="5"/>
    </row>
    <row r="446" customFormat="false" ht="15" hidden="false" customHeight="false" outlineLevel="0" collapsed="false">
      <c r="A446" s="27"/>
      <c r="B446" s="5"/>
      <c r="C446" s="27"/>
      <c r="D446" s="18"/>
      <c r="E446" s="14"/>
      <c r="F446" s="18"/>
      <c r="G446" s="19" t="str">
        <f aca="false">IF(A446="","",IFERROR(INDEX(Empresas!$B:$B,MATCH(A446,Empresas!$A:$A,0))&amp;"","cadastre o CNPJ em Empresas"))</f>
        <v/>
      </c>
      <c r="H446" s="28" t="str">
        <f aca="false">IF(B446="","",SUBSTITUTE(SUBSTITUTE(SUBSTITUTE(SUBSTITUTE(SUBSTITUTE(SUBSTITUTE(SUBSTITUTE(SUBSTITUTE(SUBSTITUTE(SUBSTITUTE(SUBSTITUTE(SUBSTITUTE(SUBSTITUTE(UPPER(TRIM(B446)),"Á","A"),"À","A"),"Â","A"),"Ã","A"),"É","E"),"Ê","E"),"Í","I"),"Ó","O"),"Ô","O"),"Õ","O"),"Ú","U"),"Ü","U"),"Ç","C"))</f>
        <v/>
      </c>
      <c r="I446" s="28" t="str">
        <f aca="false">IF(C446="","",IF(LEN(SUBSTITUTE(SUBSTITUTE(SUBSTITUTE(SUBSTITUTE(TRIM(C446),"*",""),".",""),"-","")," ",""))=11,MID(SUBSTITUTE(SUBSTITUTE(SUBSTITUTE(SUBSTITUTE(TRIM(C446),"*",""),".",""),"-","")," ",""),4,6),SUBSTITUTE(SUBSTITUTE(SUBSTITUTE(SUBSTITUTE(TRIM(C446),"*",""),".",""),"-","")," ","")))</f>
        <v/>
      </c>
      <c r="J446" s="28" t="str">
        <f aca="false">IF(OR(H446="",I446=""),"",H446&amp;"|"&amp;I446)</f>
        <v/>
      </c>
      <c r="K446" s="19" t="str">
        <f aca="false">IF(H446="","",IF(AND(J446&lt;&gt;"",COUNTIF(Pessoas!$J:$J,J446)&gt;0),"SIM",IF(COUNTIF(Pessoas!$H:$H,H446)&gt;0,"nome igual em Pessoas: confira o CPF","")))</f>
        <v/>
      </c>
      <c r="L446" s="27"/>
      <c r="M446" s="5"/>
    </row>
    <row r="447" customFormat="false" ht="15" hidden="false" customHeight="false" outlineLevel="0" collapsed="false">
      <c r="A447" s="27"/>
      <c r="B447" s="5"/>
      <c r="C447" s="27"/>
      <c r="D447" s="18"/>
      <c r="E447" s="14"/>
      <c r="F447" s="18"/>
      <c r="G447" s="19" t="str">
        <f aca="false">IF(A447="","",IFERROR(INDEX(Empresas!$B:$B,MATCH(A447,Empresas!$A:$A,0))&amp;"","cadastre o CNPJ em Empresas"))</f>
        <v/>
      </c>
      <c r="H447" s="28" t="str">
        <f aca="false">IF(B447="","",SUBSTITUTE(SUBSTITUTE(SUBSTITUTE(SUBSTITUTE(SUBSTITUTE(SUBSTITUTE(SUBSTITUTE(SUBSTITUTE(SUBSTITUTE(SUBSTITUTE(SUBSTITUTE(SUBSTITUTE(SUBSTITUTE(UPPER(TRIM(B447)),"Á","A"),"À","A"),"Â","A"),"Ã","A"),"É","E"),"Ê","E"),"Í","I"),"Ó","O"),"Ô","O"),"Õ","O"),"Ú","U"),"Ü","U"),"Ç","C"))</f>
        <v/>
      </c>
      <c r="I447" s="28" t="str">
        <f aca="false">IF(C447="","",IF(LEN(SUBSTITUTE(SUBSTITUTE(SUBSTITUTE(SUBSTITUTE(TRIM(C447),"*",""),".",""),"-","")," ",""))=11,MID(SUBSTITUTE(SUBSTITUTE(SUBSTITUTE(SUBSTITUTE(TRIM(C447),"*",""),".",""),"-","")," ",""),4,6),SUBSTITUTE(SUBSTITUTE(SUBSTITUTE(SUBSTITUTE(TRIM(C447),"*",""),".",""),"-","")," ","")))</f>
        <v/>
      </c>
      <c r="J447" s="28" t="str">
        <f aca="false">IF(OR(H447="",I447=""),"",H447&amp;"|"&amp;I447)</f>
        <v/>
      </c>
      <c r="K447" s="19" t="str">
        <f aca="false">IF(H447="","",IF(AND(J447&lt;&gt;"",COUNTIF(Pessoas!$J:$J,J447)&gt;0),"SIM",IF(COUNTIF(Pessoas!$H:$H,H447)&gt;0,"nome igual em Pessoas: confira o CPF","")))</f>
        <v/>
      </c>
      <c r="L447" s="27"/>
      <c r="M447" s="5"/>
    </row>
    <row r="448" customFormat="false" ht="15" hidden="false" customHeight="false" outlineLevel="0" collapsed="false">
      <c r="A448" s="27"/>
      <c r="B448" s="5"/>
      <c r="C448" s="27"/>
      <c r="D448" s="18"/>
      <c r="E448" s="14"/>
      <c r="F448" s="18"/>
      <c r="G448" s="19" t="str">
        <f aca="false">IF(A448="","",IFERROR(INDEX(Empresas!$B:$B,MATCH(A448,Empresas!$A:$A,0))&amp;"","cadastre o CNPJ em Empresas"))</f>
        <v/>
      </c>
      <c r="H448" s="28" t="str">
        <f aca="false">IF(B448="","",SUBSTITUTE(SUBSTITUTE(SUBSTITUTE(SUBSTITUTE(SUBSTITUTE(SUBSTITUTE(SUBSTITUTE(SUBSTITUTE(SUBSTITUTE(SUBSTITUTE(SUBSTITUTE(SUBSTITUTE(SUBSTITUTE(UPPER(TRIM(B448)),"Á","A"),"À","A"),"Â","A"),"Ã","A"),"É","E"),"Ê","E"),"Í","I"),"Ó","O"),"Ô","O"),"Õ","O"),"Ú","U"),"Ü","U"),"Ç","C"))</f>
        <v/>
      </c>
      <c r="I448" s="28" t="str">
        <f aca="false">IF(C448="","",IF(LEN(SUBSTITUTE(SUBSTITUTE(SUBSTITUTE(SUBSTITUTE(TRIM(C448),"*",""),".",""),"-","")," ",""))=11,MID(SUBSTITUTE(SUBSTITUTE(SUBSTITUTE(SUBSTITUTE(TRIM(C448),"*",""),".",""),"-","")," ",""),4,6),SUBSTITUTE(SUBSTITUTE(SUBSTITUTE(SUBSTITUTE(TRIM(C448),"*",""),".",""),"-","")," ","")))</f>
        <v/>
      </c>
      <c r="J448" s="28" t="str">
        <f aca="false">IF(OR(H448="",I448=""),"",H448&amp;"|"&amp;I448)</f>
        <v/>
      </c>
      <c r="K448" s="19" t="str">
        <f aca="false">IF(H448="","",IF(AND(J448&lt;&gt;"",COUNTIF(Pessoas!$J:$J,J448)&gt;0),"SIM",IF(COUNTIF(Pessoas!$H:$H,H448)&gt;0,"nome igual em Pessoas: confira o CPF","")))</f>
        <v/>
      </c>
      <c r="L448" s="27"/>
      <c r="M448" s="5"/>
    </row>
    <row r="449" customFormat="false" ht="15" hidden="false" customHeight="false" outlineLevel="0" collapsed="false">
      <c r="A449" s="27"/>
      <c r="B449" s="5"/>
      <c r="C449" s="27"/>
      <c r="D449" s="18"/>
      <c r="E449" s="14"/>
      <c r="F449" s="18"/>
      <c r="G449" s="19" t="str">
        <f aca="false">IF(A449="","",IFERROR(INDEX(Empresas!$B:$B,MATCH(A449,Empresas!$A:$A,0))&amp;"","cadastre o CNPJ em Empresas"))</f>
        <v/>
      </c>
      <c r="H449" s="28" t="str">
        <f aca="false">IF(B449="","",SUBSTITUTE(SUBSTITUTE(SUBSTITUTE(SUBSTITUTE(SUBSTITUTE(SUBSTITUTE(SUBSTITUTE(SUBSTITUTE(SUBSTITUTE(SUBSTITUTE(SUBSTITUTE(SUBSTITUTE(SUBSTITUTE(UPPER(TRIM(B449)),"Á","A"),"À","A"),"Â","A"),"Ã","A"),"É","E"),"Ê","E"),"Í","I"),"Ó","O"),"Ô","O"),"Õ","O"),"Ú","U"),"Ü","U"),"Ç","C"))</f>
        <v/>
      </c>
      <c r="I449" s="28" t="str">
        <f aca="false">IF(C449="","",IF(LEN(SUBSTITUTE(SUBSTITUTE(SUBSTITUTE(SUBSTITUTE(TRIM(C449),"*",""),".",""),"-","")," ",""))=11,MID(SUBSTITUTE(SUBSTITUTE(SUBSTITUTE(SUBSTITUTE(TRIM(C449),"*",""),".",""),"-","")," ",""),4,6),SUBSTITUTE(SUBSTITUTE(SUBSTITUTE(SUBSTITUTE(TRIM(C449),"*",""),".",""),"-","")," ","")))</f>
        <v/>
      </c>
      <c r="J449" s="28" t="str">
        <f aca="false">IF(OR(H449="",I449=""),"",H449&amp;"|"&amp;I449)</f>
        <v/>
      </c>
      <c r="K449" s="19" t="str">
        <f aca="false">IF(H449="","",IF(AND(J449&lt;&gt;"",COUNTIF(Pessoas!$J:$J,J449)&gt;0),"SIM",IF(COUNTIF(Pessoas!$H:$H,H449)&gt;0,"nome igual em Pessoas: confira o CPF","")))</f>
        <v/>
      </c>
      <c r="L449" s="27"/>
      <c r="M449" s="5"/>
    </row>
    <row r="450" customFormat="false" ht="15" hidden="false" customHeight="false" outlineLevel="0" collapsed="false">
      <c r="A450" s="27"/>
      <c r="B450" s="5"/>
      <c r="C450" s="27"/>
      <c r="D450" s="18"/>
      <c r="E450" s="14"/>
      <c r="F450" s="18"/>
      <c r="G450" s="19" t="str">
        <f aca="false">IF(A450="","",IFERROR(INDEX(Empresas!$B:$B,MATCH(A450,Empresas!$A:$A,0))&amp;"","cadastre o CNPJ em Empresas"))</f>
        <v/>
      </c>
      <c r="H450" s="28" t="str">
        <f aca="false">IF(B450="","",SUBSTITUTE(SUBSTITUTE(SUBSTITUTE(SUBSTITUTE(SUBSTITUTE(SUBSTITUTE(SUBSTITUTE(SUBSTITUTE(SUBSTITUTE(SUBSTITUTE(SUBSTITUTE(SUBSTITUTE(SUBSTITUTE(UPPER(TRIM(B450)),"Á","A"),"À","A"),"Â","A"),"Ã","A"),"É","E"),"Ê","E"),"Í","I"),"Ó","O"),"Ô","O"),"Õ","O"),"Ú","U"),"Ü","U"),"Ç","C"))</f>
        <v/>
      </c>
      <c r="I450" s="28" t="str">
        <f aca="false">IF(C450="","",IF(LEN(SUBSTITUTE(SUBSTITUTE(SUBSTITUTE(SUBSTITUTE(TRIM(C450),"*",""),".",""),"-","")," ",""))=11,MID(SUBSTITUTE(SUBSTITUTE(SUBSTITUTE(SUBSTITUTE(TRIM(C450),"*",""),".",""),"-","")," ",""),4,6),SUBSTITUTE(SUBSTITUTE(SUBSTITUTE(SUBSTITUTE(TRIM(C450),"*",""),".",""),"-","")," ","")))</f>
        <v/>
      </c>
      <c r="J450" s="28" t="str">
        <f aca="false">IF(OR(H450="",I450=""),"",H450&amp;"|"&amp;I450)</f>
        <v/>
      </c>
      <c r="K450" s="19" t="str">
        <f aca="false">IF(H450="","",IF(AND(J450&lt;&gt;"",COUNTIF(Pessoas!$J:$J,J450)&gt;0),"SIM",IF(COUNTIF(Pessoas!$H:$H,H450)&gt;0,"nome igual em Pessoas: confira o CPF","")))</f>
        <v/>
      </c>
      <c r="L450" s="27"/>
      <c r="M450" s="5"/>
    </row>
    <row r="451" customFormat="false" ht="15" hidden="false" customHeight="false" outlineLevel="0" collapsed="false">
      <c r="A451" s="27"/>
      <c r="B451" s="5"/>
      <c r="C451" s="27"/>
      <c r="D451" s="18"/>
      <c r="E451" s="14"/>
      <c r="F451" s="18"/>
      <c r="G451" s="19" t="str">
        <f aca="false">IF(A451="","",IFERROR(INDEX(Empresas!$B:$B,MATCH(A451,Empresas!$A:$A,0))&amp;"","cadastre o CNPJ em Empresas"))</f>
        <v/>
      </c>
      <c r="H451" s="28" t="str">
        <f aca="false">IF(B451="","",SUBSTITUTE(SUBSTITUTE(SUBSTITUTE(SUBSTITUTE(SUBSTITUTE(SUBSTITUTE(SUBSTITUTE(SUBSTITUTE(SUBSTITUTE(SUBSTITUTE(SUBSTITUTE(SUBSTITUTE(SUBSTITUTE(UPPER(TRIM(B451)),"Á","A"),"À","A"),"Â","A"),"Ã","A"),"É","E"),"Ê","E"),"Í","I"),"Ó","O"),"Ô","O"),"Õ","O"),"Ú","U"),"Ü","U"),"Ç","C"))</f>
        <v/>
      </c>
      <c r="I451" s="28" t="str">
        <f aca="false">IF(C451="","",IF(LEN(SUBSTITUTE(SUBSTITUTE(SUBSTITUTE(SUBSTITUTE(TRIM(C451),"*",""),".",""),"-","")," ",""))=11,MID(SUBSTITUTE(SUBSTITUTE(SUBSTITUTE(SUBSTITUTE(TRIM(C451),"*",""),".",""),"-","")," ",""),4,6),SUBSTITUTE(SUBSTITUTE(SUBSTITUTE(SUBSTITUTE(TRIM(C451),"*",""),".",""),"-","")," ","")))</f>
        <v/>
      </c>
      <c r="J451" s="28" t="str">
        <f aca="false">IF(OR(H451="",I451=""),"",H451&amp;"|"&amp;I451)</f>
        <v/>
      </c>
      <c r="K451" s="19" t="str">
        <f aca="false">IF(H451="","",IF(AND(J451&lt;&gt;"",COUNTIF(Pessoas!$J:$J,J451)&gt;0),"SIM",IF(COUNTIF(Pessoas!$H:$H,H451)&gt;0,"nome igual em Pessoas: confira o CPF","")))</f>
        <v/>
      </c>
      <c r="L451" s="27"/>
      <c r="M451" s="5"/>
    </row>
    <row r="452" customFormat="false" ht="15" hidden="false" customHeight="false" outlineLevel="0" collapsed="false">
      <c r="A452" s="27"/>
      <c r="B452" s="5"/>
      <c r="C452" s="27"/>
      <c r="D452" s="18"/>
      <c r="E452" s="14"/>
      <c r="F452" s="18"/>
      <c r="G452" s="19" t="str">
        <f aca="false">IF(A452="","",IFERROR(INDEX(Empresas!$B:$B,MATCH(A452,Empresas!$A:$A,0))&amp;"","cadastre o CNPJ em Empresas"))</f>
        <v/>
      </c>
      <c r="H452" s="28" t="str">
        <f aca="false">IF(B452="","",SUBSTITUTE(SUBSTITUTE(SUBSTITUTE(SUBSTITUTE(SUBSTITUTE(SUBSTITUTE(SUBSTITUTE(SUBSTITUTE(SUBSTITUTE(SUBSTITUTE(SUBSTITUTE(SUBSTITUTE(SUBSTITUTE(UPPER(TRIM(B452)),"Á","A"),"À","A"),"Â","A"),"Ã","A"),"É","E"),"Ê","E"),"Í","I"),"Ó","O"),"Ô","O"),"Õ","O"),"Ú","U"),"Ü","U"),"Ç","C"))</f>
        <v/>
      </c>
      <c r="I452" s="28" t="str">
        <f aca="false">IF(C452="","",IF(LEN(SUBSTITUTE(SUBSTITUTE(SUBSTITUTE(SUBSTITUTE(TRIM(C452),"*",""),".",""),"-","")," ",""))=11,MID(SUBSTITUTE(SUBSTITUTE(SUBSTITUTE(SUBSTITUTE(TRIM(C452),"*",""),".",""),"-","")," ",""),4,6),SUBSTITUTE(SUBSTITUTE(SUBSTITUTE(SUBSTITUTE(TRIM(C452),"*",""),".",""),"-","")," ","")))</f>
        <v/>
      </c>
      <c r="J452" s="28" t="str">
        <f aca="false">IF(OR(H452="",I452=""),"",H452&amp;"|"&amp;I452)</f>
        <v/>
      </c>
      <c r="K452" s="19" t="str">
        <f aca="false">IF(H452="","",IF(AND(J452&lt;&gt;"",COUNTIF(Pessoas!$J:$J,J452)&gt;0),"SIM",IF(COUNTIF(Pessoas!$H:$H,H452)&gt;0,"nome igual em Pessoas: confira o CPF","")))</f>
        <v/>
      </c>
      <c r="L452" s="27"/>
      <c r="M452" s="5"/>
    </row>
    <row r="453" customFormat="false" ht="15" hidden="false" customHeight="false" outlineLevel="0" collapsed="false">
      <c r="A453" s="27"/>
      <c r="B453" s="5"/>
      <c r="C453" s="27"/>
      <c r="D453" s="18"/>
      <c r="E453" s="14"/>
      <c r="F453" s="18"/>
      <c r="G453" s="19" t="str">
        <f aca="false">IF(A453="","",IFERROR(INDEX(Empresas!$B:$B,MATCH(A453,Empresas!$A:$A,0))&amp;"","cadastre o CNPJ em Empresas"))</f>
        <v/>
      </c>
      <c r="H453" s="28" t="str">
        <f aca="false">IF(B453="","",SUBSTITUTE(SUBSTITUTE(SUBSTITUTE(SUBSTITUTE(SUBSTITUTE(SUBSTITUTE(SUBSTITUTE(SUBSTITUTE(SUBSTITUTE(SUBSTITUTE(SUBSTITUTE(SUBSTITUTE(SUBSTITUTE(UPPER(TRIM(B453)),"Á","A"),"À","A"),"Â","A"),"Ã","A"),"É","E"),"Ê","E"),"Í","I"),"Ó","O"),"Ô","O"),"Õ","O"),"Ú","U"),"Ü","U"),"Ç","C"))</f>
        <v/>
      </c>
      <c r="I453" s="28" t="str">
        <f aca="false">IF(C453="","",IF(LEN(SUBSTITUTE(SUBSTITUTE(SUBSTITUTE(SUBSTITUTE(TRIM(C453),"*",""),".",""),"-","")," ",""))=11,MID(SUBSTITUTE(SUBSTITUTE(SUBSTITUTE(SUBSTITUTE(TRIM(C453),"*",""),".",""),"-","")," ",""),4,6),SUBSTITUTE(SUBSTITUTE(SUBSTITUTE(SUBSTITUTE(TRIM(C453),"*",""),".",""),"-","")," ","")))</f>
        <v/>
      </c>
      <c r="J453" s="28" t="str">
        <f aca="false">IF(OR(H453="",I453=""),"",H453&amp;"|"&amp;I453)</f>
        <v/>
      </c>
      <c r="K453" s="19" t="str">
        <f aca="false">IF(H453="","",IF(AND(J453&lt;&gt;"",COUNTIF(Pessoas!$J:$J,J453)&gt;0),"SIM",IF(COUNTIF(Pessoas!$H:$H,H453)&gt;0,"nome igual em Pessoas: confira o CPF","")))</f>
        <v/>
      </c>
      <c r="L453" s="27"/>
      <c r="M453" s="5"/>
    </row>
    <row r="454" customFormat="false" ht="15" hidden="false" customHeight="false" outlineLevel="0" collapsed="false">
      <c r="A454" s="27"/>
      <c r="B454" s="5"/>
      <c r="C454" s="27"/>
      <c r="D454" s="18"/>
      <c r="E454" s="14"/>
      <c r="F454" s="18"/>
      <c r="G454" s="19" t="str">
        <f aca="false">IF(A454="","",IFERROR(INDEX(Empresas!$B:$B,MATCH(A454,Empresas!$A:$A,0))&amp;"","cadastre o CNPJ em Empresas"))</f>
        <v/>
      </c>
      <c r="H454" s="28" t="str">
        <f aca="false">IF(B454="","",SUBSTITUTE(SUBSTITUTE(SUBSTITUTE(SUBSTITUTE(SUBSTITUTE(SUBSTITUTE(SUBSTITUTE(SUBSTITUTE(SUBSTITUTE(SUBSTITUTE(SUBSTITUTE(SUBSTITUTE(SUBSTITUTE(UPPER(TRIM(B454)),"Á","A"),"À","A"),"Â","A"),"Ã","A"),"É","E"),"Ê","E"),"Í","I"),"Ó","O"),"Ô","O"),"Õ","O"),"Ú","U"),"Ü","U"),"Ç","C"))</f>
        <v/>
      </c>
      <c r="I454" s="28" t="str">
        <f aca="false">IF(C454="","",IF(LEN(SUBSTITUTE(SUBSTITUTE(SUBSTITUTE(SUBSTITUTE(TRIM(C454),"*",""),".",""),"-","")," ",""))=11,MID(SUBSTITUTE(SUBSTITUTE(SUBSTITUTE(SUBSTITUTE(TRIM(C454),"*",""),".",""),"-","")," ",""),4,6),SUBSTITUTE(SUBSTITUTE(SUBSTITUTE(SUBSTITUTE(TRIM(C454),"*",""),".",""),"-","")," ","")))</f>
        <v/>
      </c>
      <c r="J454" s="28" t="str">
        <f aca="false">IF(OR(H454="",I454=""),"",H454&amp;"|"&amp;I454)</f>
        <v/>
      </c>
      <c r="K454" s="19" t="str">
        <f aca="false">IF(H454="","",IF(AND(J454&lt;&gt;"",COUNTIF(Pessoas!$J:$J,J454)&gt;0),"SIM",IF(COUNTIF(Pessoas!$H:$H,H454)&gt;0,"nome igual em Pessoas: confira o CPF","")))</f>
        <v/>
      </c>
      <c r="L454" s="27"/>
      <c r="M454" s="5"/>
    </row>
    <row r="455" customFormat="false" ht="15" hidden="false" customHeight="false" outlineLevel="0" collapsed="false">
      <c r="A455" s="27"/>
      <c r="B455" s="5"/>
      <c r="C455" s="27"/>
      <c r="D455" s="18"/>
      <c r="E455" s="14"/>
      <c r="F455" s="18"/>
      <c r="G455" s="19" t="str">
        <f aca="false">IF(A455="","",IFERROR(INDEX(Empresas!$B:$B,MATCH(A455,Empresas!$A:$A,0))&amp;"","cadastre o CNPJ em Empresas"))</f>
        <v/>
      </c>
      <c r="H455" s="28" t="str">
        <f aca="false">IF(B455="","",SUBSTITUTE(SUBSTITUTE(SUBSTITUTE(SUBSTITUTE(SUBSTITUTE(SUBSTITUTE(SUBSTITUTE(SUBSTITUTE(SUBSTITUTE(SUBSTITUTE(SUBSTITUTE(SUBSTITUTE(SUBSTITUTE(UPPER(TRIM(B455)),"Á","A"),"À","A"),"Â","A"),"Ã","A"),"É","E"),"Ê","E"),"Í","I"),"Ó","O"),"Ô","O"),"Õ","O"),"Ú","U"),"Ü","U"),"Ç","C"))</f>
        <v/>
      </c>
      <c r="I455" s="28" t="str">
        <f aca="false">IF(C455="","",IF(LEN(SUBSTITUTE(SUBSTITUTE(SUBSTITUTE(SUBSTITUTE(TRIM(C455),"*",""),".",""),"-","")," ",""))=11,MID(SUBSTITUTE(SUBSTITUTE(SUBSTITUTE(SUBSTITUTE(TRIM(C455),"*",""),".",""),"-","")," ",""),4,6),SUBSTITUTE(SUBSTITUTE(SUBSTITUTE(SUBSTITUTE(TRIM(C455),"*",""),".",""),"-","")," ","")))</f>
        <v/>
      </c>
      <c r="J455" s="28" t="str">
        <f aca="false">IF(OR(H455="",I455=""),"",H455&amp;"|"&amp;I455)</f>
        <v/>
      </c>
      <c r="K455" s="19" t="str">
        <f aca="false">IF(H455="","",IF(AND(J455&lt;&gt;"",COUNTIF(Pessoas!$J:$J,J455)&gt;0),"SIM",IF(COUNTIF(Pessoas!$H:$H,H455)&gt;0,"nome igual em Pessoas: confira o CPF","")))</f>
        <v/>
      </c>
      <c r="L455" s="27"/>
      <c r="M455" s="5"/>
    </row>
    <row r="456" customFormat="false" ht="15" hidden="false" customHeight="false" outlineLevel="0" collapsed="false">
      <c r="A456" s="27"/>
      <c r="B456" s="5"/>
      <c r="C456" s="27"/>
      <c r="D456" s="18"/>
      <c r="E456" s="14"/>
      <c r="F456" s="18"/>
      <c r="G456" s="19" t="str">
        <f aca="false">IF(A456="","",IFERROR(INDEX(Empresas!$B:$B,MATCH(A456,Empresas!$A:$A,0))&amp;"","cadastre o CNPJ em Empresas"))</f>
        <v/>
      </c>
      <c r="H456" s="28" t="str">
        <f aca="false">IF(B456="","",SUBSTITUTE(SUBSTITUTE(SUBSTITUTE(SUBSTITUTE(SUBSTITUTE(SUBSTITUTE(SUBSTITUTE(SUBSTITUTE(SUBSTITUTE(SUBSTITUTE(SUBSTITUTE(SUBSTITUTE(SUBSTITUTE(UPPER(TRIM(B456)),"Á","A"),"À","A"),"Â","A"),"Ã","A"),"É","E"),"Ê","E"),"Í","I"),"Ó","O"),"Ô","O"),"Õ","O"),"Ú","U"),"Ü","U"),"Ç","C"))</f>
        <v/>
      </c>
      <c r="I456" s="28" t="str">
        <f aca="false">IF(C456="","",IF(LEN(SUBSTITUTE(SUBSTITUTE(SUBSTITUTE(SUBSTITUTE(TRIM(C456),"*",""),".",""),"-","")," ",""))=11,MID(SUBSTITUTE(SUBSTITUTE(SUBSTITUTE(SUBSTITUTE(TRIM(C456),"*",""),".",""),"-","")," ",""),4,6),SUBSTITUTE(SUBSTITUTE(SUBSTITUTE(SUBSTITUTE(TRIM(C456),"*",""),".",""),"-","")," ","")))</f>
        <v/>
      </c>
      <c r="J456" s="28" t="str">
        <f aca="false">IF(OR(H456="",I456=""),"",H456&amp;"|"&amp;I456)</f>
        <v/>
      </c>
      <c r="K456" s="19" t="str">
        <f aca="false">IF(H456="","",IF(AND(J456&lt;&gt;"",COUNTIF(Pessoas!$J:$J,J456)&gt;0),"SIM",IF(COUNTIF(Pessoas!$H:$H,H456)&gt;0,"nome igual em Pessoas: confira o CPF","")))</f>
        <v/>
      </c>
      <c r="L456" s="27"/>
      <c r="M456" s="5"/>
    </row>
    <row r="457" customFormat="false" ht="15" hidden="false" customHeight="false" outlineLevel="0" collapsed="false">
      <c r="A457" s="27"/>
      <c r="B457" s="5"/>
      <c r="C457" s="27"/>
      <c r="D457" s="18"/>
      <c r="E457" s="14"/>
      <c r="F457" s="18"/>
      <c r="G457" s="19" t="str">
        <f aca="false">IF(A457="","",IFERROR(INDEX(Empresas!$B:$B,MATCH(A457,Empresas!$A:$A,0))&amp;"","cadastre o CNPJ em Empresas"))</f>
        <v/>
      </c>
      <c r="H457" s="28" t="str">
        <f aca="false">IF(B457="","",SUBSTITUTE(SUBSTITUTE(SUBSTITUTE(SUBSTITUTE(SUBSTITUTE(SUBSTITUTE(SUBSTITUTE(SUBSTITUTE(SUBSTITUTE(SUBSTITUTE(SUBSTITUTE(SUBSTITUTE(SUBSTITUTE(UPPER(TRIM(B457)),"Á","A"),"À","A"),"Â","A"),"Ã","A"),"É","E"),"Ê","E"),"Í","I"),"Ó","O"),"Ô","O"),"Õ","O"),"Ú","U"),"Ü","U"),"Ç","C"))</f>
        <v/>
      </c>
      <c r="I457" s="28" t="str">
        <f aca="false">IF(C457="","",IF(LEN(SUBSTITUTE(SUBSTITUTE(SUBSTITUTE(SUBSTITUTE(TRIM(C457),"*",""),".",""),"-","")," ",""))=11,MID(SUBSTITUTE(SUBSTITUTE(SUBSTITUTE(SUBSTITUTE(TRIM(C457),"*",""),".",""),"-","")," ",""),4,6),SUBSTITUTE(SUBSTITUTE(SUBSTITUTE(SUBSTITUTE(TRIM(C457),"*",""),".",""),"-","")," ","")))</f>
        <v/>
      </c>
      <c r="J457" s="28" t="str">
        <f aca="false">IF(OR(H457="",I457=""),"",H457&amp;"|"&amp;I457)</f>
        <v/>
      </c>
      <c r="K457" s="19" t="str">
        <f aca="false">IF(H457="","",IF(AND(J457&lt;&gt;"",COUNTIF(Pessoas!$J:$J,J457)&gt;0),"SIM",IF(COUNTIF(Pessoas!$H:$H,H457)&gt;0,"nome igual em Pessoas: confira o CPF","")))</f>
        <v/>
      </c>
      <c r="L457" s="27"/>
      <c r="M457" s="5"/>
    </row>
    <row r="458" customFormat="false" ht="15" hidden="false" customHeight="false" outlineLevel="0" collapsed="false">
      <c r="A458" s="27"/>
      <c r="B458" s="5"/>
      <c r="C458" s="27"/>
      <c r="D458" s="18"/>
      <c r="E458" s="14"/>
      <c r="F458" s="18"/>
      <c r="G458" s="19" t="str">
        <f aca="false">IF(A458="","",IFERROR(INDEX(Empresas!$B:$B,MATCH(A458,Empresas!$A:$A,0))&amp;"","cadastre o CNPJ em Empresas"))</f>
        <v/>
      </c>
      <c r="H458" s="28" t="str">
        <f aca="false">IF(B458="","",SUBSTITUTE(SUBSTITUTE(SUBSTITUTE(SUBSTITUTE(SUBSTITUTE(SUBSTITUTE(SUBSTITUTE(SUBSTITUTE(SUBSTITUTE(SUBSTITUTE(SUBSTITUTE(SUBSTITUTE(SUBSTITUTE(UPPER(TRIM(B458)),"Á","A"),"À","A"),"Â","A"),"Ã","A"),"É","E"),"Ê","E"),"Í","I"),"Ó","O"),"Ô","O"),"Õ","O"),"Ú","U"),"Ü","U"),"Ç","C"))</f>
        <v/>
      </c>
      <c r="I458" s="28" t="str">
        <f aca="false">IF(C458="","",IF(LEN(SUBSTITUTE(SUBSTITUTE(SUBSTITUTE(SUBSTITUTE(TRIM(C458),"*",""),".",""),"-","")," ",""))=11,MID(SUBSTITUTE(SUBSTITUTE(SUBSTITUTE(SUBSTITUTE(TRIM(C458),"*",""),".",""),"-","")," ",""),4,6),SUBSTITUTE(SUBSTITUTE(SUBSTITUTE(SUBSTITUTE(TRIM(C458),"*",""),".",""),"-","")," ","")))</f>
        <v/>
      </c>
      <c r="J458" s="28" t="str">
        <f aca="false">IF(OR(H458="",I458=""),"",H458&amp;"|"&amp;I458)</f>
        <v/>
      </c>
      <c r="K458" s="19" t="str">
        <f aca="false">IF(H458="","",IF(AND(J458&lt;&gt;"",COUNTIF(Pessoas!$J:$J,J458)&gt;0),"SIM",IF(COUNTIF(Pessoas!$H:$H,H458)&gt;0,"nome igual em Pessoas: confira o CPF","")))</f>
        <v/>
      </c>
      <c r="L458" s="27"/>
      <c r="M458" s="5"/>
    </row>
    <row r="459" customFormat="false" ht="15" hidden="false" customHeight="false" outlineLevel="0" collapsed="false">
      <c r="A459" s="27"/>
      <c r="B459" s="5"/>
      <c r="C459" s="27"/>
      <c r="D459" s="18"/>
      <c r="E459" s="14"/>
      <c r="F459" s="18"/>
      <c r="G459" s="19" t="str">
        <f aca="false">IF(A459="","",IFERROR(INDEX(Empresas!$B:$B,MATCH(A459,Empresas!$A:$A,0))&amp;"","cadastre o CNPJ em Empresas"))</f>
        <v/>
      </c>
      <c r="H459" s="28" t="str">
        <f aca="false">IF(B459="","",SUBSTITUTE(SUBSTITUTE(SUBSTITUTE(SUBSTITUTE(SUBSTITUTE(SUBSTITUTE(SUBSTITUTE(SUBSTITUTE(SUBSTITUTE(SUBSTITUTE(SUBSTITUTE(SUBSTITUTE(SUBSTITUTE(UPPER(TRIM(B459)),"Á","A"),"À","A"),"Â","A"),"Ã","A"),"É","E"),"Ê","E"),"Í","I"),"Ó","O"),"Ô","O"),"Õ","O"),"Ú","U"),"Ü","U"),"Ç","C"))</f>
        <v/>
      </c>
      <c r="I459" s="28" t="str">
        <f aca="false">IF(C459="","",IF(LEN(SUBSTITUTE(SUBSTITUTE(SUBSTITUTE(SUBSTITUTE(TRIM(C459),"*",""),".",""),"-","")," ",""))=11,MID(SUBSTITUTE(SUBSTITUTE(SUBSTITUTE(SUBSTITUTE(TRIM(C459),"*",""),".",""),"-","")," ",""),4,6),SUBSTITUTE(SUBSTITUTE(SUBSTITUTE(SUBSTITUTE(TRIM(C459),"*",""),".",""),"-","")," ","")))</f>
        <v/>
      </c>
      <c r="J459" s="28" t="str">
        <f aca="false">IF(OR(H459="",I459=""),"",H459&amp;"|"&amp;I459)</f>
        <v/>
      </c>
      <c r="K459" s="19" t="str">
        <f aca="false">IF(H459="","",IF(AND(J459&lt;&gt;"",COUNTIF(Pessoas!$J:$J,J459)&gt;0),"SIM",IF(COUNTIF(Pessoas!$H:$H,H459)&gt;0,"nome igual em Pessoas: confira o CPF","")))</f>
        <v/>
      </c>
      <c r="L459" s="27"/>
      <c r="M459" s="5"/>
    </row>
    <row r="460" customFormat="false" ht="15" hidden="false" customHeight="false" outlineLevel="0" collapsed="false">
      <c r="A460" s="27"/>
      <c r="B460" s="5"/>
      <c r="C460" s="27"/>
      <c r="D460" s="18"/>
      <c r="E460" s="14"/>
      <c r="F460" s="18"/>
      <c r="G460" s="19" t="str">
        <f aca="false">IF(A460="","",IFERROR(INDEX(Empresas!$B:$B,MATCH(A460,Empresas!$A:$A,0))&amp;"","cadastre o CNPJ em Empresas"))</f>
        <v/>
      </c>
      <c r="H460" s="28" t="str">
        <f aca="false">IF(B460="","",SUBSTITUTE(SUBSTITUTE(SUBSTITUTE(SUBSTITUTE(SUBSTITUTE(SUBSTITUTE(SUBSTITUTE(SUBSTITUTE(SUBSTITUTE(SUBSTITUTE(SUBSTITUTE(SUBSTITUTE(SUBSTITUTE(UPPER(TRIM(B460)),"Á","A"),"À","A"),"Â","A"),"Ã","A"),"É","E"),"Ê","E"),"Í","I"),"Ó","O"),"Ô","O"),"Õ","O"),"Ú","U"),"Ü","U"),"Ç","C"))</f>
        <v/>
      </c>
      <c r="I460" s="28" t="str">
        <f aca="false">IF(C460="","",IF(LEN(SUBSTITUTE(SUBSTITUTE(SUBSTITUTE(SUBSTITUTE(TRIM(C460),"*",""),".",""),"-","")," ",""))=11,MID(SUBSTITUTE(SUBSTITUTE(SUBSTITUTE(SUBSTITUTE(TRIM(C460),"*",""),".",""),"-","")," ",""),4,6),SUBSTITUTE(SUBSTITUTE(SUBSTITUTE(SUBSTITUTE(TRIM(C460),"*",""),".",""),"-","")," ","")))</f>
        <v/>
      </c>
      <c r="J460" s="28" t="str">
        <f aca="false">IF(OR(H460="",I460=""),"",H460&amp;"|"&amp;I460)</f>
        <v/>
      </c>
      <c r="K460" s="19" t="str">
        <f aca="false">IF(H460="","",IF(AND(J460&lt;&gt;"",COUNTIF(Pessoas!$J:$J,J460)&gt;0),"SIM",IF(COUNTIF(Pessoas!$H:$H,H460)&gt;0,"nome igual em Pessoas: confira o CPF","")))</f>
        <v/>
      </c>
      <c r="L460" s="27"/>
      <c r="M460" s="5"/>
    </row>
    <row r="461" customFormat="false" ht="15" hidden="false" customHeight="false" outlineLevel="0" collapsed="false">
      <c r="A461" s="27"/>
      <c r="B461" s="5"/>
      <c r="C461" s="27"/>
      <c r="D461" s="18"/>
      <c r="E461" s="14"/>
      <c r="F461" s="18"/>
      <c r="G461" s="19" t="str">
        <f aca="false">IF(A461="","",IFERROR(INDEX(Empresas!$B:$B,MATCH(A461,Empresas!$A:$A,0))&amp;"","cadastre o CNPJ em Empresas"))</f>
        <v/>
      </c>
      <c r="H461" s="28" t="str">
        <f aca="false">IF(B461="","",SUBSTITUTE(SUBSTITUTE(SUBSTITUTE(SUBSTITUTE(SUBSTITUTE(SUBSTITUTE(SUBSTITUTE(SUBSTITUTE(SUBSTITUTE(SUBSTITUTE(SUBSTITUTE(SUBSTITUTE(SUBSTITUTE(UPPER(TRIM(B461)),"Á","A"),"À","A"),"Â","A"),"Ã","A"),"É","E"),"Ê","E"),"Í","I"),"Ó","O"),"Ô","O"),"Õ","O"),"Ú","U"),"Ü","U"),"Ç","C"))</f>
        <v/>
      </c>
      <c r="I461" s="28" t="str">
        <f aca="false">IF(C461="","",IF(LEN(SUBSTITUTE(SUBSTITUTE(SUBSTITUTE(SUBSTITUTE(TRIM(C461),"*",""),".",""),"-","")," ",""))=11,MID(SUBSTITUTE(SUBSTITUTE(SUBSTITUTE(SUBSTITUTE(TRIM(C461),"*",""),".",""),"-","")," ",""),4,6),SUBSTITUTE(SUBSTITUTE(SUBSTITUTE(SUBSTITUTE(TRIM(C461),"*",""),".",""),"-","")," ","")))</f>
        <v/>
      </c>
      <c r="J461" s="28" t="str">
        <f aca="false">IF(OR(H461="",I461=""),"",H461&amp;"|"&amp;I461)</f>
        <v/>
      </c>
      <c r="K461" s="19" t="str">
        <f aca="false">IF(H461="","",IF(AND(J461&lt;&gt;"",COUNTIF(Pessoas!$J:$J,J461)&gt;0),"SIM",IF(COUNTIF(Pessoas!$H:$H,H461)&gt;0,"nome igual em Pessoas: confira o CPF","")))</f>
        <v/>
      </c>
      <c r="L461" s="27"/>
      <c r="M461" s="5"/>
    </row>
    <row r="462" customFormat="false" ht="15" hidden="false" customHeight="false" outlineLevel="0" collapsed="false">
      <c r="A462" s="27"/>
      <c r="B462" s="5"/>
      <c r="C462" s="27"/>
      <c r="D462" s="18"/>
      <c r="E462" s="14"/>
      <c r="F462" s="18"/>
      <c r="G462" s="19" t="str">
        <f aca="false">IF(A462="","",IFERROR(INDEX(Empresas!$B:$B,MATCH(A462,Empresas!$A:$A,0))&amp;"","cadastre o CNPJ em Empresas"))</f>
        <v/>
      </c>
      <c r="H462" s="28" t="str">
        <f aca="false">IF(B462="","",SUBSTITUTE(SUBSTITUTE(SUBSTITUTE(SUBSTITUTE(SUBSTITUTE(SUBSTITUTE(SUBSTITUTE(SUBSTITUTE(SUBSTITUTE(SUBSTITUTE(SUBSTITUTE(SUBSTITUTE(SUBSTITUTE(UPPER(TRIM(B462)),"Á","A"),"À","A"),"Â","A"),"Ã","A"),"É","E"),"Ê","E"),"Í","I"),"Ó","O"),"Ô","O"),"Õ","O"),"Ú","U"),"Ü","U"),"Ç","C"))</f>
        <v/>
      </c>
      <c r="I462" s="28" t="str">
        <f aca="false">IF(C462="","",IF(LEN(SUBSTITUTE(SUBSTITUTE(SUBSTITUTE(SUBSTITUTE(TRIM(C462),"*",""),".",""),"-","")," ",""))=11,MID(SUBSTITUTE(SUBSTITUTE(SUBSTITUTE(SUBSTITUTE(TRIM(C462),"*",""),".",""),"-","")," ",""),4,6),SUBSTITUTE(SUBSTITUTE(SUBSTITUTE(SUBSTITUTE(TRIM(C462),"*",""),".",""),"-","")," ","")))</f>
        <v/>
      </c>
      <c r="J462" s="28" t="str">
        <f aca="false">IF(OR(H462="",I462=""),"",H462&amp;"|"&amp;I462)</f>
        <v/>
      </c>
      <c r="K462" s="19" t="str">
        <f aca="false">IF(H462="","",IF(AND(J462&lt;&gt;"",COUNTIF(Pessoas!$J:$J,J462)&gt;0),"SIM",IF(COUNTIF(Pessoas!$H:$H,H462)&gt;0,"nome igual em Pessoas: confira o CPF","")))</f>
        <v/>
      </c>
      <c r="L462" s="27"/>
      <c r="M462" s="5"/>
    </row>
    <row r="463" customFormat="false" ht="15" hidden="false" customHeight="false" outlineLevel="0" collapsed="false">
      <c r="A463" s="27"/>
      <c r="B463" s="5"/>
      <c r="C463" s="27"/>
      <c r="D463" s="18"/>
      <c r="E463" s="14"/>
      <c r="F463" s="18"/>
      <c r="G463" s="19" t="str">
        <f aca="false">IF(A463="","",IFERROR(INDEX(Empresas!$B:$B,MATCH(A463,Empresas!$A:$A,0))&amp;"","cadastre o CNPJ em Empresas"))</f>
        <v/>
      </c>
      <c r="H463" s="28" t="str">
        <f aca="false">IF(B463="","",SUBSTITUTE(SUBSTITUTE(SUBSTITUTE(SUBSTITUTE(SUBSTITUTE(SUBSTITUTE(SUBSTITUTE(SUBSTITUTE(SUBSTITUTE(SUBSTITUTE(SUBSTITUTE(SUBSTITUTE(SUBSTITUTE(UPPER(TRIM(B463)),"Á","A"),"À","A"),"Â","A"),"Ã","A"),"É","E"),"Ê","E"),"Í","I"),"Ó","O"),"Ô","O"),"Õ","O"),"Ú","U"),"Ü","U"),"Ç","C"))</f>
        <v/>
      </c>
      <c r="I463" s="28" t="str">
        <f aca="false">IF(C463="","",IF(LEN(SUBSTITUTE(SUBSTITUTE(SUBSTITUTE(SUBSTITUTE(TRIM(C463),"*",""),".",""),"-","")," ",""))=11,MID(SUBSTITUTE(SUBSTITUTE(SUBSTITUTE(SUBSTITUTE(TRIM(C463),"*",""),".",""),"-","")," ",""),4,6),SUBSTITUTE(SUBSTITUTE(SUBSTITUTE(SUBSTITUTE(TRIM(C463),"*",""),".",""),"-","")," ","")))</f>
        <v/>
      </c>
      <c r="J463" s="28" t="str">
        <f aca="false">IF(OR(H463="",I463=""),"",H463&amp;"|"&amp;I463)</f>
        <v/>
      </c>
      <c r="K463" s="19" t="str">
        <f aca="false">IF(H463="","",IF(AND(J463&lt;&gt;"",COUNTIF(Pessoas!$J:$J,J463)&gt;0),"SIM",IF(COUNTIF(Pessoas!$H:$H,H463)&gt;0,"nome igual em Pessoas: confira o CPF","")))</f>
        <v/>
      </c>
      <c r="L463" s="27"/>
      <c r="M463" s="5"/>
    </row>
    <row r="464" customFormat="false" ht="15" hidden="false" customHeight="false" outlineLevel="0" collapsed="false">
      <c r="A464" s="27"/>
      <c r="B464" s="5"/>
      <c r="C464" s="27"/>
      <c r="D464" s="18"/>
      <c r="E464" s="14"/>
      <c r="F464" s="18"/>
      <c r="G464" s="19" t="str">
        <f aca="false">IF(A464="","",IFERROR(INDEX(Empresas!$B:$B,MATCH(A464,Empresas!$A:$A,0))&amp;"","cadastre o CNPJ em Empresas"))</f>
        <v/>
      </c>
      <c r="H464" s="28" t="str">
        <f aca="false">IF(B464="","",SUBSTITUTE(SUBSTITUTE(SUBSTITUTE(SUBSTITUTE(SUBSTITUTE(SUBSTITUTE(SUBSTITUTE(SUBSTITUTE(SUBSTITUTE(SUBSTITUTE(SUBSTITUTE(SUBSTITUTE(SUBSTITUTE(UPPER(TRIM(B464)),"Á","A"),"À","A"),"Â","A"),"Ã","A"),"É","E"),"Ê","E"),"Í","I"),"Ó","O"),"Ô","O"),"Õ","O"),"Ú","U"),"Ü","U"),"Ç","C"))</f>
        <v/>
      </c>
      <c r="I464" s="28" t="str">
        <f aca="false">IF(C464="","",IF(LEN(SUBSTITUTE(SUBSTITUTE(SUBSTITUTE(SUBSTITUTE(TRIM(C464),"*",""),".",""),"-","")," ",""))=11,MID(SUBSTITUTE(SUBSTITUTE(SUBSTITUTE(SUBSTITUTE(TRIM(C464),"*",""),".",""),"-","")," ",""),4,6),SUBSTITUTE(SUBSTITUTE(SUBSTITUTE(SUBSTITUTE(TRIM(C464),"*",""),".",""),"-","")," ","")))</f>
        <v/>
      </c>
      <c r="J464" s="28" t="str">
        <f aca="false">IF(OR(H464="",I464=""),"",H464&amp;"|"&amp;I464)</f>
        <v/>
      </c>
      <c r="K464" s="19" t="str">
        <f aca="false">IF(H464="","",IF(AND(J464&lt;&gt;"",COUNTIF(Pessoas!$J:$J,J464)&gt;0),"SIM",IF(COUNTIF(Pessoas!$H:$H,H464)&gt;0,"nome igual em Pessoas: confira o CPF","")))</f>
        <v/>
      </c>
      <c r="L464" s="27"/>
      <c r="M464" s="5"/>
    </row>
    <row r="465" customFormat="false" ht="15" hidden="false" customHeight="false" outlineLevel="0" collapsed="false">
      <c r="A465" s="27"/>
      <c r="B465" s="5"/>
      <c r="C465" s="27"/>
      <c r="D465" s="18"/>
      <c r="E465" s="14"/>
      <c r="F465" s="18"/>
      <c r="G465" s="19" t="str">
        <f aca="false">IF(A465="","",IFERROR(INDEX(Empresas!$B:$B,MATCH(A465,Empresas!$A:$A,0))&amp;"","cadastre o CNPJ em Empresas"))</f>
        <v/>
      </c>
      <c r="H465" s="28" t="str">
        <f aca="false">IF(B465="","",SUBSTITUTE(SUBSTITUTE(SUBSTITUTE(SUBSTITUTE(SUBSTITUTE(SUBSTITUTE(SUBSTITUTE(SUBSTITUTE(SUBSTITUTE(SUBSTITUTE(SUBSTITUTE(SUBSTITUTE(SUBSTITUTE(UPPER(TRIM(B465)),"Á","A"),"À","A"),"Â","A"),"Ã","A"),"É","E"),"Ê","E"),"Í","I"),"Ó","O"),"Ô","O"),"Õ","O"),"Ú","U"),"Ü","U"),"Ç","C"))</f>
        <v/>
      </c>
      <c r="I465" s="28" t="str">
        <f aca="false">IF(C465="","",IF(LEN(SUBSTITUTE(SUBSTITUTE(SUBSTITUTE(SUBSTITUTE(TRIM(C465),"*",""),".",""),"-","")," ",""))=11,MID(SUBSTITUTE(SUBSTITUTE(SUBSTITUTE(SUBSTITUTE(TRIM(C465),"*",""),".",""),"-","")," ",""),4,6),SUBSTITUTE(SUBSTITUTE(SUBSTITUTE(SUBSTITUTE(TRIM(C465),"*",""),".",""),"-","")," ","")))</f>
        <v/>
      </c>
      <c r="J465" s="28" t="str">
        <f aca="false">IF(OR(H465="",I465=""),"",H465&amp;"|"&amp;I465)</f>
        <v/>
      </c>
      <c r="K465" s="19" t="str">
        <f aca="false">IF(H465="","",IF(AND(J465&lt;&gt;"",COUNTIF(Pessoas!$J:$J,J465)&gt;0),"SIM",IF(COUNTIF(Pessoas!$H:$H,H465)&gt;0,"nome igual em Pessoas: confira o CPF","")))</f>
        <v/>
      </c>
      <c r="L465" s="27"/>
      <c r="M465" s="5"/>
    </row>
    <row r="466" customFormat="false" ht="15" hidden="false" customHeight="false" outlineLevel="0" collapsed="false">
      <c r="A466" s="27"/>
      <c r="B466" s="5"/>
      <c r="C466" s="27"/>
      <c r="D466" s="18"/>
      <c r="E466" s="14"/>
      <c r="F466" s="18"/>
      <c r="G466" s="19" t="str">
        <f aca="false">IF(A466="","",IFERROR(INDEX(Empresas!$B:$B,MATCH(A466,Empresas!$A:$A,0))&amp;"","cadastre o CNPJ em Empresas"))</f>
        <v/>
      </c>
      <c r="H466" s="28" t="str">
        <f aca="false">IF(B466="","",SUBSTITUTE(SUBSTITUTE(SUBSTITUTE(SUBSTITUTE(SUBSTITUTE(SUBSTITUTE(SUBSTITUTE(SUBSTITUTE(SUBSTITUTE(SUBSTITUTE(SUBSTITUTE(SUBSTITUTE(SUBSTITUTE(UPPER(TRIM(B466)),"Á","A"),"À","A"),"Â","A"),"Ã","A"),"É","E"),"Ê","E"),"Í","I"),"Ó","O"),"Ô","O"),"Õ","O"),"Ú","U"),"Ü","U"),"Ç","C"))</f>
        <v/>
      </c>
      <c r="I466" s="28" t="str">
        <f aca="false">IF(C466="","",IF(LEN(SUBSTITUTE(SUBSTITUTE(SUBSTITUTE(SUBSTITUTE(TRIM(C466),"*",""),".",""),"-","")," ",""))=11,MID(SUBSTITUTE(SUBSTITUTE(SUBSTITUTE(SUBSTITUTE(TRIM(C466),"*",""),".",""),"-","")," ",""),4,6),SUBSTITUTE(SUBSTITUTE(SUBSTITUTE(SUBSTITUTE(TRIM(C466),"*",""),".",""),"-","")," ","")))</f>
        <v/>
      </c>
      <c r="J466" s="28" t="str">
        <f aca="false">IF(OR(H466="",I466=""),"",H466&amp;"|"&amp;I466)</f>
        <v/>
      </c>
      <c r="K466" s="19" t="str">
        <f aca="false">IF(H466="","",IF(AND(J466&lt;&gt;"",COUNTIF(Pessoas!$J:$J,J466)&gt;0),"SIM",IF(COUNTIF(Pessoas!$H:$H,H466)&gt;0,"nome igual em Pessoas: confira o CPF","")))</f>
        <v/>
      </c>
      <c r="L466" s="27"/>
      <c r="M466" s="5"/>
    </row>
    <row r="467" customFormat="false" ht="15" hidden="false" customHeight="false" outlineLevel="0" collapsed="false">
      <c r="A467" s="27"/>
      <c r="B467" s="5"/>
      <c r="C467" s="27"/>
      <c r="D467" s="18"/>
      <c r="E467" s="14"/>
      <c r="F467" s="18"/>
      <c r="G467" s="19" t="str">
        <f aca="false">IF(A467="","",IFERROR(INDEX(Empresas!$B:$B,MATCH(A467,Empresas!$A:$A,0))&amp;"","cadastre o CNPJ em Empresas"))</f>
        <v/>
      </c>
      <c r="H467" s="28" t="str">
        <f aca="false">IF(B467="","",SUBSTITUTE(SUBSTITUTE(SUBSTITUTE(SUBSTITUTE(SUBSTITUTE(SUBSTITUTE(SUBSTITUTE(SUBSTITUTE(SUBSTITUTE(SUBSTITUTE(SUBSTITUTE(SUBSTITUTE(SUBSTITUTE(UPPER(TRIM(B467)),"Á","A"),"À","A"),"Â","A"),"Ã","A"),"É","E"),"Ê","E"),"Í","I"),"Ó","O"),"Ô","O"),"Õ","O"),"Ú","U"),"Ü","U"),"Ç","C"))</f>
        <v/>
      </c>
      <c r="I467" s="28" t="str">
        <f aca="false">IF(C467="","",IF(LEN(SUBSTITUTE(SUBSTITUTE(SUBSTITUTE(SUBSTITUTE(TRIM(C467),"*",""),".",""),"-","")," ",""))=11,MID(SUBSTITUTE(SUBSTITUTE(SUBSTITUTE(SUBSTITUTE(TRIM(C467),"*",""),".",""),"-","")," ",""),4,6),SUBSTITUTE(SUBSTITUTE(SUBSTITUTE(SUBSTITUTE(TRIM(C467),"*",""),".",""),"-","")," ","")))</f>
        <v/>
      </c>
      <c r="J467" s="28" t="str">
        <f aca="false">IF(OR(H467="",I467=""),"",H467&amp;"|"&amp;I467)</f>
        <v/>
      </c>
      <c r="K467" s="19" t="str">
        <f aca="false">IF(H467="","",IF(AND(J467&lt;&gt;"",COUNTIF(Pessoas!$J:$J,J467)&gt;0),"SIM",IF(COUNTIF(Pessoas!$H:$H,H467)&gt;0,"nome igual em Pessoas: confira o CPF","")))</f>
        <v/>
      </c>
      <c r="L467" s="27"/>
      <c r="M467" s="5"/>
    </row>
    <row r="468" customFormat="false" ht="15" hidden="false" customHeight="false" outlineLevel="0" collapsed="false">
      <c r="A468" s="27"/>
      <c r="B468" s="5"/>
      <c r="C468" s="27"/>
      <c r="D468" s="18"/>
      <c r="E468" s="14"/>
      <c r="F468" s="18"/>
      <c r="G468" s="19" t="str">
        <f aca="false">IF(A468="","",IFERROR(INDEX(Empresas!$B:$B,MATCH(A468,Empresas!$A:$A,0))&amp;"","cadastre o CNPJ em Empresas"))</f>
        <v/>
      </c>
      <c r="H468" s="28" t="str">
        <f aca="false">IF(B468="","",SUBSTITUTE(SUBSTITUTE(SUBSTITUTE(SUBSTITUTE(SUBSTITUTE(SUBSTITUTE(SUBSTITUTE(SUBSTITUTE(SUBSTITUTE(SUBSTITUTE(SUBSTITUTE(SUBSTITUTE(SUBSTITUTE(UPPER(TRIM(B468)),"Á","A"),"À","A"),"Â","A"),"Ã","A"),"É","E"),"Ê","E"),"Í","I"),"Ó","O"),"Ô","O"),"Õ","O"),"Ú","U"),"Ü","U"),"Ç","C"))</f>
        <v/>
      </c>
      <c r="I468" s="28" t="str">
        <f aca="false">IF(C468="","",IF(LEN(SUBSTITUTE(SUBSTITUTE(SUBSTITUTE(SUBSTITUTE(TRIM(C468),"*",""),".",""),"-","")," ",""))=11,MID(SUBSTITUTE(SUBSTITUTE(SUBSTITUTE(SUBSTITUTE(TRIM(C468),"*",""),".",""),"-","")," ",""),4,6),SUBSTITUTE(SUBSTITUTE(SUBSTITUTE(SUBSTITUTE(TRIM(C468),"*",""),".",""),"-","")," ","")))</f>
        <v/>
      </c>
      <c r="J468" s="28" t="str">
        <f aca="false">IF(OR(H468="",I468=""),"",H468&amp;"|"&amp;I468)</f>
        <v/>
      </c>
      <c r="K468" s="19" t="str">
        <f aca="false">IF(H468="","",IF(AND(J468&lt;&gt;"",COUNTIF(Pessoas!$J:$J,J468)&gt;0),"SIM",IF(COUNTIF(Pessoas!$H:$H,H468)&gt;0,"nome igual em Pessoas: confira o CPF","")))</f>
        <v/>
      </c>
      <c r="L468" s="27"/>
      <c r="M468" s="5"/>
    </row>
    <row r="469" customFormat="false" ht="15" hidden="false" customHeight="false" outlineLevel="0" collapsed="false">
      <c r="A469" s="27"/>
      <c r="B469" s="5"/>
      <c r="C469" s="27"/>
      <c r="D469" s="18"/>
      <c r="E469" s="14"/>
      <c r="F469" s="18"/>
      <c r="G469" s="19" t="str">
        <f aca="false">IF(A469="","",IFERROR(INDEX(Empresas!$B:$B,MATCH(A469,Empresas!$A:$A,0))&amp;"","cadastre o CNPJ em Empresas"))</f>
        <v/>
      </c>
      <c r="H469" s="28" t="str">
        <f aca="false">IF(B469="","",SUBSTITUTE(SUBSTITUTE(SUBSTITUTE(SUBSTITUTE(SUBSTITUTE(SUBSTITUTE(SUBSTITUTE(SUBSTITUTE(SUBSTITUTE(SUBSTITUTE(SUBSTITUTE(SUBSTITUTE(SUBSTITUTE(UPPER(TRIM(B469)),"Á","A"),"À","A"),"Â","A"),"Ã","A"),"É","E"),"Ê","E"),"Í","I"),"Ó","O"),"Ô","O"),"Õ","O"),"Ú","U"),"Ü","U"),"Ç","C"))</f>
        <v/>
      </c>
      <c r="I469" s="28" t="str">
        <f aca="false">IF(C469="","",IF(LEN(SUBSTITUTE(SUBSTITUTE(SUBSTITUTE(SUBSTITUTE(TRIM(C469),"*",""),".",""),"-","")," ",""))=11,MID(SUBSTITUTE(SUBSTITUTE(SUBSTITUTE(SUBSTITUTE(TRIM(C469),"*",""),".",""),"-","")," ",""),4,6),SUBSTITUTE(SUBSTITUTE(SUBSTITUTE(SUBSTITUTE(TRIM(C469),"*",""),".",""),"-","")," ","")))</f>
        <v/>
      </c>
      <c r="J469" s="28" t="str">
        <f aca="false">IF(OR(H469="",I469=""),"",H469&amp;"|"&amp;I469)</f>
        <v/>
      </c>
      <c r="K469" s="19" t="str">
        <f aca="false">IF(H469="","",IF(AND(J469&lt;&gt;"",COUNTIF(Pessoas!$J:$J,J469)&gt;0),"SIM",IF(COUNTIF(Pessoas!$H:$H,H469)&gt;0,"nome igual em Pessoas: confira o CPF","")))</f>
        <v/>
      </c>
      <c r="L469" s="27"/>
      <c r="M469" s="5"/>
    </row>
    <row r="470" customFormat="false" ht="15" hidden="false" customHeight="false" outlineLevel="0" collapsed="false">
      <c r="A470" s="27"/>
      <c r="B470" s="5"/>
      <c r="C470" s="27"/>
      <c r="D470" s="18"/>
      <c r="E470" s="14"/>
      <c r="F470" s="18"/>
      <c r="G470" s="19" t="str">
        <f aca="false">IF(A470="","",IFERROR(INDEX(Empresas!$B:$B,MATCH(A470,Empresas!$A:$A,0))&amp;"","cadastre o CNPJ em Empresas"))</f>
        <v/>
      </c>
      <c r="H470" s="28" t="str">
        <f aca="false">IF(B470="","",SUBSTITUTE(SUBSTITUTE(SUBSTITUTE(SUBSTITUTE(SUBSTITUTE(SUBSTITUTE(SUBSTITUTE(SUBSTITUTE(SUBSTITUTE(SUBSTITUTE(SUBSTITUTE(SUBSTITUTE(SUBSTITUTE(UPPER(TRIM(B470)),"Á","A"),"À","A"),"Â","A"),"Ã","A"),"É","E"),"Ê","E"),"Í","I"),"Ó","O"),"Ô","O"),"Õ","O"),"Ú","U"),"Ü","U"),"Ç","C"))</f>
        <v/>
      </c>
      <c r="I470" s="28" t="str">
        <f aca="false">IF(C470="","",IF(LEN(SUBSTITUTE(SUBSTITUTE(SUBSTITUTE(SUBSTITUTE(TRIM(C470),"*",""),".",""),"-","")," ",""))=11,MID(SUBSTITUTE(SUBSTITUTE(SUBSTITUTE(SUBSTITUTE(TRIM(C470),"*",""),".",""),"-","")," ",""),4,6),SUBSTITUTE(SUBSTITUTE(SUBSTITUTE(SUBSTITUTE(TRIM(C470),"*",""),".",""),"-","")," ","")))</f>
        <v/>
      </c>
      <c r="J470" s="28" t="str">
        <f aca="false">IF(OR(H470="",I470=""),"",H470&amp;"|"&amp;I470)</f>
        <v/>
      </c>
      <c r="K470" s="19" t="str">
        <f aca="false">IF(H470="","",IF(AND(J470&lt;&gt;"",COUNTIF(Pessoas!$J:$J,J470)&gt;0),"SIM",IF(COUNTIF(Pessoas!$H:$H,H470)&gt;0,"nome igual em Pessoas: confira o CPF","")))</f>
        <v/>
      </c>
      <c r="L470" s="27"/>
      <c r="M470" s="5"/>
    </row>
    <row r="471" customFormat="false" ht="15" hidden="false" customHeight="false" outlineLevel="0" collapsed="false">
      <c r="A471" s="27"/>
      <c r="B471" s="5"/>
      <c r="C471" s="27"/>
      <c r="D471" s="18"/>
      <c r="E471" s="14"/>
      <c r="F471" s="18"/>
      <c r="G471" s="19" t="str">
        <f aca="false">IF(A471="","",IFERROR(INDEX(Empresas!$B:$B,MATCH(A471,Empresas!$A:$A,0))&amp;"","cadastre o CNPJ em Empresas"))</f>
        <v/>
      </c>
      <c r="H471" s="28" t="str">
        <f aca="false">IF(B471="","",SUBSTITUTE(SUBSTITUTE(SUBSTITUTE(SUBSTITUTE(SUBSTITUTE(SUBSTITUTE(SUBSTITUTE(SUBSTITUTE(SUBSTITUTE(SUBSTITUTE(SUBSTITUTE(SUBSTITUTE(SUBSTITUTE(UPPER(TRIM(B471)),"Á","A"),"À","A"),"Â","A"),"Ã","A"),"É","E"),"Ê","E"),"Í","I"),"Ó","O"),"Ô","O"),"Õ","O"),"Ú","U"),"Ü","U"),"Ç","C"))</f>
        <v/>
      </c>
      <c r="I471" s="28" t="str">
        <f aca="false">IF(C471="","",IF(LEN(SUBSTITUTE(SUBSTITUTE(SUBSTITUTE(SUBSTITUTE(TRIM(C471),"*",""),".",""),"-","")," ",""))=11,MID(SUBSTITUTE(SUBSTITUTE(SUBSTITUTE(SUBSTITUTE(TRIM(C471),"*",""),".",""),"-","")," ",""),4,6),SUBSTITUTE(SUBSTITUTE(SUBSTITUTE(SUBSTITUTE(TRIM(C471),"*",""),".",""),"-","")," ","")))</f>
        <v/>
      </c>
      <c r="J471" s="28" t="str">
        <f aca="false">IF(OR(H471="",I471=""),"",H471&amp;"|"&amp;I471)</f>
        <v/>
      </c>
      <c r="K471" s="19" t="str">
        <f aca="false">IF(H471="","",IF(AND(J471&lt;&gt;"",COUNTIF(Pessoas!$J:$J,J471)&gt;0),"SIM",IF(COUNTIF(Pessoas!$H:$H,H471)&gt;0,"nome igual em Pessoas: confira o CPF","")))</f>
        <v/>
      </c>
      <c r="L471" s="27"/>
      <c r="M471" s="5"/>
    </row>
    <row r="472" customFormat="false" ht="15" hidden="false" customHeight="false" outlineLevel="0" collapsed="false">
      <c r="A472" s="27"/>
      <c r="B472" s="5"/>
      <c r="C472" s="27"/>
      <c r="D472" s="18"/>
      <c r="E472" s="14"/>
      <c r="F472" s="18"/>
      <c r="G472" s="19" t="str">
        <f aca="false">IF(A472="","",IFERROR(INDEX(Empresas!$B:$B,MATCH(A472,Empresas!$A:$A,0))&amp;"","cadastre o CNPJ em Empresas"))</f>
        <v/>
      </c>
      <c r="H472" s="28" t="str">
        <f aca="false">IF(B472="","",SUBSTITUTE(SUBSTITUTE(SUBSTITUTE(SUBSTITUTE(SUBSTITUTE(SUBSTITUTE(SUBSTITUTE(SUBSTITUTE(SUBSTITUTE(SUBSTITUTE(SUBSTITUTE(SUBSTITUTE(SUBSTITUTE(UPPER(TRIM(B472)),"Á","A"),"À","A"),"Â","A"),"Ã","A"),"É","E"),"Ê","E"),"Í","I"),"Ó","O"),"Ô","O"),"Õ","O"),"Ú","U"),"Ü","U"),"Ç","C"))</f>
        <v/>
      </c>
      <c r="I472" s="28" t="str">
        <f aca="false">IF(C472="","",IF(LEN(SUBSTITUTE(SUBSTITUTE(SUBSTITUTE(SUBSTITUTE(TRIM(C472),"*",""),".",""),"-","")," ",""))=11,MID(SUBSTITUTE(SUBSTITUTE(SUBSTITUTE(SUBSTITUTE(TRIM(C472),"*",""),".",""),"-","")," ",""),4,6),SUBSTITUTE(SUBSTITUTE(SUBSTITUTE(SUBSTITUTE(TRIM(C472),"*",""),".",""),"-","")," ","")))</f>
        <v/>
      </c>
      <c r="J472" s="28" t="str">
        <f aca="false">IF(OR(H472="",I472=""),"",H472&amp;"|"&amp;I472)</f>
        <v/>
      </c>
      <c r="K472" s="19" t="str">
        <f aca="false">IF(H472="","",IF(AND(J472&lt;&gt;"",COUNTIF(Pessoas!$J:$J,J472)&gt;0),"SIM",IF(COUNTIF(Pessoas!$H:$H,H472)&gt;0,"nome igual em Pessoas: confira o CPF","")))</f>
        <v/>
      </c>
      <c r="L472" s="27"/>
      <c r="M472" s="5"/>
    </row>
    <row r="473" customFormat="false" ht="15" hidden="false" customHeight="false" outlineLevel="0" collapsed="false">
      <c r="A473" s="27"/>
      <c r="B473" s="5"/>
      <c r="C473" s="27"/>
      <c r="D473" s="18"/>
      <c r="E473" s="14"/>
      <c r="F473" s="18"/>
      <c r="G473" s="19" t="str">
        <f aca="false">IF(A473="","",IFERROR(INDEX(Empresas!$B:$B,MATCH(A473,Empresas!$A:$A,0))&amp;"","cadastre o CNPJ em Empresas"))</f>
        <v/>
      </c>
      <c r="H473" s="28" t="str">
        <f aca="false">IF(B473="","",SUBSTITUTE(SUBSTITUTE(SUBSTITUTE(SUBSTITUTE(SUBSTITUTE(SUBSTITUTE(SUBSTITUTE(SUBSTITUTE(SUBSTITUTE(SUBSTITUTE(SUBSTITUTE(SUBSTITUTE(SUBSTITUTE(UPPER(TRIM(B473)),"Á","A"),"À","A"),"Â","A"),"Ã","A"),"É","E"),"Ê","E"),"Í","I"),"Ó","O"),"Ô","O"),"Õ","O"),"Ú","U"),"Ü","U"),"Ç","C"))</f>
        <v/>
      </c>
      <c r="I473" s="28" t="str">
        <f aca="false">IF(C473="","",IF(LEN(SUBSTITUTE(SUBSTITUTE(SUBSTITUTE(SUBSTITUTE(TRIM(C473),"*",""),".",""),"-","")," ",""))=11,MID(SUBSTITUTE(SUBSTITUTE(SUBSTITUTE(SUBSTITUTE(TRIM(C473),"*",""),".",""),"-","")," ",""),4,6),SUBSTITUTE(SUBSTITUTE(SUBSTITUTE(SUBSTITUTE(TRIM(C473),"*",""),".",""),"-","")," ","")))</f>
        <v/>
      </c>
      <c r="J473" s="28" t="str">
        <f aca="false">IF(OR(H473="",I473=""),"",H473&amp;"|"&amp;I473)</f>
        <v/>
      </c>
      <c r="K473" s="19" t="str">
        <f aca="false">IF(H473="","",IF(AND(J473&lt;&gt;"",COUNTIF(Pessoas!$J:$J,J473)&gt;0),"SIM",IF(COUNTIF(Pessoas!$H:$H,H473)&gt;0,"nome igual em Pessoas: confira o CPF","")))</f>
        <v/>
      </c>
      <c r="L473" s="27"/>
      <c r="M473" s="5"/>
    </row>
    <row r="474" customFormat="false" ht="15" hidden="false" customHeight="false" outlineLevel="0" collapsed="false">
      <c r="A474" s="27"/>
      <c r="B474" s="5"/>
      <c r="C474" s="27"/>
      <c r="D474" s="18"/>
      <c r="E474" s="14"/>
      <c r="F474" s="18"/>
      <c r="G474" s="19" t="str">
        <f aca="false">IF(A474="","",IFERROR(INDEX(Empresas!$B:$B,MATCH(A474,Empresas!$A:$A,0))&amp;"","cadastre o CNPJ em Empresas"))</f>
        <v/>
      </c>
      <c r="H474" s="28" t="str">
        <f aca="false">IF(B474="","",SUBSTITUTE(SUBSTITUTE(SUBSTITUTE(SUBSTITUTE(SUBSTITUTE(SUBSTITUTE(SUBSTITUTE(SUBSTITUTE(SUBSTITUTE(SUBSTITUTE(SUBSTITUTE(SUBSTITUTE(SUBSTITUTE(UPPER(TRIM(B474)),"Á","A"),"À","A"),"Â","A"),"Ã","A"),"É","E"),"Ê","E"),"Í","I"),"Ó","O"),"Ô","O"),"Õ","O"),"Ú","U"),"Ü","U"),"Ç","C"))</f>
        <v/>
      </c>
      <c r="I474" s="28" t="str">
        <f aca="false">IF(C474="","",IF(LEN(SUBSTITUTE(SUBSTITUTE(SUBSTITUTE(SUBSTITUTE(TRIM(C474),"*",""),".",""),"-","")," ",""))=11,MID(SUBSTITUTE(SUBSTITUTE(SUBSTITUTE(SUBSTITUTE(TRIM(C474),"*",""),".",""),"-","")," ",""),4,6),SUBSTITUTE(SUBSTITUTE(SUBSTITUTE(SUBSTITUTE(TRIM(C474),"*",""),".",""),"-","")," ","")))</f>
        <v/>
      </c>
      <c r="J474" s="28" t="str">
        <f aca="false">IF(OR(H474="",I474=""),"",H474&amp;"|"&amp;I474)</f>
        <v/>
      </c>
      <c r="K474" s="19" t="str">
        <f aca="false">IF(H474="","",IF(AND(J474&lt;&gt;"",COUNTIF(Pessoas!$J:$J,J474)&gt;0),"SIM",IF(COUNTIF(Pessoas!$H:$H,H474)&gt;0,"nome igual em Pessoas: confira o CPF","")))</f>
        <v/>
      </c>
      <c r="L474" s="27"/>
      <c r="M474" s="5"/>
    </row>
    <row r="475" customFormat="false" ht="15" hidden="false" customHeight="false" outlineLevel="0" collapsed="false">
      <c r="A475" s="27"/>
      <c r="B475" s="5"/>
      <c r="C475" s="27"/>
      <c r="D475" s="18"/>
      <c r="E475" s="14"/>
      <c r="F475" s="18"/>
      <c r="G475" s="19" t="str">
        <f aca="false">IF(A475="","",IFERROR(INDEX(Empresas!$B:$B,MATCH(A475,Empresas!$A:$A,0))&amp;"","cadastre o CNPJ em Empresas"))</f>
        <v/>
      </c>
      <c r="H475" s="28" t="str">
        <f aca="false">IF(B475="","",SUBSTITUTE(SUBSTITUTE(SUBSTITUTE(SUBSTITUTE(SUBSTITUTE(SUBSTITUTE(SUBSTITUTE(SUBSTITUTE(SUBSTITUTE(SUBSTITUTE(SUBSTITUTE(SUBSTITUTE(SUBSTITUTE(UPPER(TRIM(B475)),"Á","A"),"À","A"),"Â","A"),"Ã","A"),"É","E"),"Ê","E"),"Í","I"),"Ó","O"),"Ô","O"),"Õ","O"),"Ú","U"),"Ü","U"),"Ç","C"))</f>
        <v/>
      </c>
      <c r="I475" s="28" t="str">
        <f aca="false">IF(C475="","",IF(LEN(SUBSTITUTE(SUBSTITUTE(SUBSTITUTE(SUBSTITUTE(TRIM(C475),"*",""),".",""),"-","")," ",""))=11,MID(SUBSTITUTE(SUBSTITUTE(SUBSTITUTE(SUBSTITUTE(TRIM(C475),"*",""),".",""),"-","")," ",""),4,6),SUBSTITUTE(SUBSTITUTE(SUBSTITUTE(SUBSTITUTE(TRIM(C475),"*",""),".",""),"-","")," ","")))</f>
        <v/>
      </c>
      <c r="J475" s="28" t="str">
        <f aca="false">IF(OR(H475="",I475=""),"",H475&amp;"|"&amp;I475)</f>
        <v/>
      </c>
      <c r="K475" s="19" t="str">
        <f aca="false">IF(H475="","",IF(AND(J475&lt;&gt;"",COUNTIF(Pessoas!$J:$J,J475)&gt;0),"SIM",IF(COUNTIF(Pessoas!$H:$H,H475)&gt;0,"nome igual em Pessoas: confira o CPF","")))</f>
        <v/>
      </c>
      <c r="L475" s="27"/>
      <c r="M475" s="5"/>
    </row>
    <row r="476" customFormat="false" ht="15" hidden="false" customHeight="false" outlineLevel="0" collapsed="false">
      <c r="A476" s="27"/>
      <c r="B476" s="5"/>
      <c r="C476" s="27"/>
      <c r="D476" s="18"/>
      <c r="E476" s="14"/>
      <c r="F476" s="18"/>
      <c r="G476" s="19" t="str">
        <f aca="false">IF(A476="","",IFERROR(INDEX(Empresas!$B:$B,MATCH(A476,Empresas!$A:$A,0))&amp;"","cadastre o CNPJ em Empresas"))</f>
        <v/>
      </c>
      <c r="H476" s="28" t="str">
        <f aca="false">IF(B476="","",SUBSTITUTE(SUBSTITUTE(SUBSTITUTE(SUBSTITUTE(SUBSTITUTE(SUBSTITUTE(SUBSTITUTE(SUBSTITUTE(SUBSTITUTE(SUBSTITUTE(SUBSTITUTE(SUBSTITUTE(SUBSTITUTE(UPPER(TRIM(B476)),"Á","A"),"À","A"),"Â","A"),"Ã","A"),"É","E"),"Ê","E"),"Í","I"),"Ó","O"),"Ô","O"),"Õ","O"),"Ú","U"),"Ü","U"),"Ç","C"))</f>
        <v/>
      </c>
      <c r="I476" s="28" t="str">
        <f aca="false">IF(C476="","",IF(LEN(SUBSTITUTE(SUBSTITUTE(SUBSTITUTE(SUBSTITUTE(TRIM(C476),"*",""),".",""),"-","")," ",""))=11,MID(SUBSTITUTE(SUBSTITUTE(SUBSTITUTE(SUBSTITUTE(TRIM(C476),"*",""),".",""),"-","")," ",""),4,6),SUBSTITUTE(SUBSTITUTE(SUBSTITUTE(SUBSTITUTE(TRIM(C476),"*",""),".",""),"-","")," ","")))</f>
        <v/>
      </c>
      <c r="J476" s="28" t="str">
        <f aca="false">IF(OR(H476="",I476=""),"",H476&amp;"|"&amp;I476)</f>
        <v/>
      </c>
      <c r="K476" s="19" t="str">
        <f aca="false">IF(H476="","",IF(AND(J476&lt;&gt;"",COUNTIF(Pessoas!$J:$J,J476)&gt;0),"SIM",IF(COUNTIF(Pessoas!$H:$H,H476)&gt;0,"nome igual em Pessoas: confira o CPF","")))</f>
        <v/>
      </c>
      <c r="L476" s="27"/>
      <c r="M476" s="5"/>
    </row>
    <row r="477" customFormat="false" ht="15" hidden="false" customHeight="false" outlineLevel="0" collapsed="false">
      <c r="A477" s="27"/>
      <c r="B477" s="5"/>
      <c r="C477" s="27"/>
      <c r="D477" s="18"/>
      <c r="E477" s="14"/>
      <c r="F477" s="18"/>
      <c r="G477" s="19" t="str">
        <f aca="false">IF(A477="","",IFERROR(INDEX(Empresas!$B:$B,MATCH(A477,Empresas!$A:$A,0))&amp;"","cadastre o CNPJ em Empresas"))</f>
        <v/>
      </c>
      <c r="H477" s="28" t="str">
        <f aca="false">IF(B477="","",SUBSTITUTE(SUBSTITUTE(SUBSTITUTE(SUBSTITUTE(SUBSTITUTE(SUBSTITUTE(SUBSTITUTE(SUBSTITUTE(SUBSTITUTE(SUBSTITUTE(SUBSTITUTE(SUBSTITUTE(SUBSTITUTE(UPPER(TRIM(B477)),"Á","A"),"À","A"),"Â","A"),"Ã","A"),"É","E"),"Ê","E"),"Í","I"),"Ó","O"),"Ô","O"),"Õ","O"),"Ú","U"),"Ü","U"),"Ç","C"))</f>
        <v/>
      </c>
      <c r="I477" s="28" t="str">
        <f aca="false">IF(C477="","",IF(LEN(SUBSTITUTE(SUBSTITUTE(SUBSTITUTE(SUBSTITUTE(TRIM(C477),"*",""),".",""),"-","")," ",""))=11,MID(SUBSTITUTE(SUBSTITUTE(SUBSTITUTE(SUBSTITUTE(TRIM(C477),"*",""),".",""),"-","")," ",""),4,6),SUBSTITUTE(SUBSTITUTE(SUBSTITUTE(SUBSTITUTE(TRIM(C477),"*",""),".",""),"-","")," ","")))</f>
        <v/>
      </c>
      <c r="J477" s="28" t="str">
        <f aca="false">IF(OR(H477="",I477=""),"",H477&amp;"|"&amp;I477)</f>
        <v/>
      </c>
      <c r="K477" s="19" t="str">
        <f aca="false">IF(H477="","",IF(AND(J477&lt;&gt;"",COUNTIF(Pessoas!$J:$J,J477)&gt;0),"SIM",IF(COUNTIF(Pessoas!$H:$H,H477)&gt;0,"nome igual em Pessoas: confira o CPF","")))</f>
        <v/>
      </c>
      <c r="L477" s="27"/>
      <c r="M477" s="5"/>
    </row>
    <row r="478" customFormat="false" ht="15" hidden="false" customHeight="false" outlineLevel="0" collapsed="false">
      <c r="A478" s="27"/>
      <c r="B478" s="5"/>
      <c r="C478" s="27"/>
      <c r="D478" s="18"/>
      <c r="E478" s="14"/>
      <c r="F478" s="18"/>
      <c r="G478" s="19" t="str">
        <f aca="false">IF(A478="","",IFERROR(INDEX(Empresas!$B:$B,MATCH(A478,Empresas!$A:$A,0))&amp;"","cadastre o CNPJ em Empresas"))</f>
        <v/>
      </c>
      <c r="H478" s="28" t="str">
        <f aca="false">IF(B478="","",SUBSTITUTE(SUBSTITUTE(SUBSTITUTE(SUBSTITUTE(SUBSTITUTE(SUBSTITUTE(SUBSTITUTE(SUBSTITUTE(SUBSTITUTE(SUBSTITUTE(SUBSTITUTE(SUBSTITUTE(SUBSTITUTE(UPPER(TRIM(B478)),"Á","A"),"À","A"),"Â","A"),"Ã","A"),"É","E"),"Ê","E"),"Í","I"),"Ó","O"),"Ô","O"),"Õ","O"),"Ú","U"),"Ü","U"),"Ç","C"))</f>
        <v/>
      </c>
      <c r="I478" s="28" t="str">
        <f aca="false">IF(C478="","",IF(LEN(SUBSTITUTE(SUBSTITUTE(SUBSTITUTE(SUBSTITUTE(TRIM(C478),"*",""),".",""),"-","")," ",""))=11,MID(SUBSTITUTE(SUBSTITUTE(SUBSTITUTE(SUBSTITUTE(TRIM(C478),"*",""),".",""),"-","")," ",""),4,6),SUBSTITUTE(SUBSTITUTE(SUBSTITUTE(SUBSTITUTE(TRIM(C478),"*",""),".",""),"-","")," ","")))</f>
        <v/>
      </c>
      <c r="J478" s="28" t="str">
        <f aca="false">IF(OR(H478="",I478=""),"",H478&amp;"|"&amp;I478)</f>
        <v/>
      </c>
      <c r="K478" s="19" t="str">
        <f aca="false">IF(H478="","",IF(AND(J478&lt;&gt;"",COUNTIF(Pessoas!$J:$J,J478)&gt;0),"SIM",IF(COUNTIF(Pessoas!$H:$H,H478)&gt;0,"nome igual em Pessoas: confira o CPF","")))</f>
        <v/>
      </c>
      <c r="L478" s="27"/>
      <c r="M478" s="5"/>
    </row>
    <row r="479" customFormat="false" ht="15" hidden="false" customHeight="false" outlineLevel="0" collapsed="false">
      <c r="A479" s="27"/>
      <c r="B479" s="5"/>
      <c r="C479" s="27"/>
      <c r="D479" s="18"/>
      <c r="E479" s="14"/>
      <c r="F479" s="18"/>
      <c r="G479" s="19" t="str">
        <f aca="false">IF(A479="","",IFERROR(INDEX(Empresas!$B:$B,MATCH(A479,Empresas!$A:$A,0))&amp;"","cadastre o CNPJ em Empresas"))</f>
        <v/>
      </c>
      <c r="H479" s="28" t="str">
        <f aca="false">IF(B479="","",SUBSTITUTE(SUBSTITUTE(SUBSTITUTE(SUBSTITUTE(SUBSTITUTE(SUBSTITUTE(SUBSTITUTE(SUBSTITUTE(SUBSTITUTE(SUBSTITUTE(SUBSTITUTE(SUBSTITUTE(SUBSTITUTE(UPPER(TRIM(B479)),"Á","A"),"À","A"),"Â","A"),"Ã","A"),"É","E"),"Ê","E"),"Í","I"),"Ó","O"),"Ô","O"),"Õ","O"),"Ú","U"),"Ü","U"),"Ç","C"))</f>
        <v/>
      </c>
      <c r="I479" s="28" t="str">
        <f aca="false">IF(C479="","",IF(LEN(SUBSTITUTE(SUBSTITUTE(SUBSTITUTE(SUBSTITUTE(TRIM(C479),"*",""),".",""),"-","")," ",""))=11,MID(SUBSTITUTE(SUBSTITUTE(SUBSTITUTE(SUBSTITUTE(TRIM(C479),"*",""),".",""),"-","")," ",""),4,6),SUBSTITUTE(SUBSTITUTE(SUBSTITUTE(SUBSTITUTE(TRIM(C479),"*",""),".",""),"-","")," ","")))</f>
        <v/>
      </c>
      <c r="J479" s="28" t="str">
        <f aca="false">IF(OR(H479="",I479=""),"",H479&amp;"|"&amp;I479)</f>
        <v/>
      </c>
      <c r="K479" s="19" t="str">
        <f aca="false">IF(H479="","",IF(AND(J479&lt;&gt;"",COUNTIF(Pessoas!$J:$J,J479)&gt;0),"SIM",IF(COUNTIF(Pessoas!$H:$H,H479)&gt;0,"nome igual em Pessoas: confira o CPF","")))</f>
        <v/>
      </c>
      <c r="L479" s="27"/>
      <c r="M479" s="5"/>
    </row>
    <row r="480" customFormat="false" ht="15" hidden="false" customHeight="false" outlineLevel="0" collapsed="false">
      <c r="A480" s="27"/>
      <c r="B480" s="5"/>
      <c r="C480" s="27"/>
      <c r="D480" s="18"/>
      <c r="E480" s="14"/>
      <c r="F480" s="18"/>
      <c r="G480" s="19" t="str">
        <f aca="false">IF(A480="","",IFERROR(INDEX(Empresas!$B:$B,MATCH(A480,Empresas!$A:$A,0))&amp;"","cadastre o CNPJ em Empresas"))</f>
        <v/>
      </c>
      <c r="H480" s="28" t="str">
        <f aca="false">IF(B480="","",SUBSTITUTE(SUBSTITUTE(SUBSTITUTE(SUBSTITUTE(SUBSTITUTE(SUBSTITUTE(SUBSTITUTE(SUBSTITUTE(SUBSTITUTE(SUBSTITUTE(SUBSTITUTE(SUBSTITUTE(SUBSTITUTE(UPPER(TRIM(B480)),"Á","A"),"À","A"),"Â","A"),"Ã","A"),"É","E"),"Ê","E"),"Í","I"),"Ó","O"),"Ô","O"),"Õ","O"),"Ú","U"),"Ü","U"),"Ç","C"))</f>
        <v/>
      </c>
      <c r="I480" s="28" t="str">
        <f aca="false">IF(C480="","",IF(LEN(SUBSTITUTE(SUBSTITUTE(SUBSTITUTE(SUBSTITUTE(TRIM(C480),"*",""),".",""),"-","")," ",""))=11,MID(SUBSTITUTE(SUBSTITUTE(SUBSTITUTE(SUBSTITUTE(TRIM(C480),"*",""),".",""),"-","")," ",""),4,6),SUBSTITUTE(SUBSTITUTE(SUBSTITUTE(SUBSTITUTE(TRIM(C480),"*",""),".",""),"-","")," ","")))</f>
        <v/>
      </c>
      <c r="J480" s="28" t="str">
        <f aca="false">IF(OR(H480="",I480=""),"",H480&amp;"|"&amp;I480)</f>
        <v/>
      </c>
      <c r="K480" s="19" t="str">
        <f aca="false">IF(H480="","",IF(AND(J480&lt;&gt;"",COUNTIF(Pessoas!$J:$J,J480)&gt;0),"SIM",IF(COUNTIF(Pessoas!$H:$H,H480)&gt;0,"nome igual em Pessoas: confira o CPF","")))</f>
        <v/>
      </c>
      <c r="L480" s="27"/>
      <c r="M480" s="5"/>
    </row>
    <row r="481" customFormat="false" ht="15" hidden="false" customHeight="false" outlineLevel="0" collapsed="false">
      <c r="A481" s="27"/>
      <c r="B481" s="5"/>
      <c r="C481" s="27"/>
      <c r="D481" s="18"/>
      <c r="E481" s="14"/>
      <c r="F481" s="18"/>
      <c r="G481" s="19" t="str">
        <f aca="false">IF(A481="","",IFERROR(INDEX(Empresas!$B:$B,MATCH(A481,Empresas!$A:$A,0))&amp;"","cadastre o CNPJ em Empresas"))</f>
        <v/>
      </c>
      <c r="H481" s="28" t="str">
        <f aca="false">IF(B481="","",SUBSTITUTE(SUBSTITUTE(SUBSTITUTE(SUBSTITUTE(SUBSTITUTE(SUBSTITUTE(SUBSTITUTE(SUBSTITUTE(SUBSTITUTE(SUBSTITUTE(SUBSTITUTE(SUBSTITUTE(SUBSTITUTE(UPPER(TRIM(B481)),"Á","A"),"À","A"),"Â","A"),"Ã","A"),"É","E"),"Ê","E"),"Í","I"),"Ó","O"),"Ô","O"),"Õ","O"),"Ú","U"),"Ü","U"),"Ç","C"))</f>
        <v/>
      </c>
      <c r="I481" s="28" t="str">
        <f aca="false">IF(C481="","",IF(LEN(SUBSTITUTE(SUBSTITUTE(SUBSTITUTE(SUBSTITUTE(TRIM(C481),"*",""),".",""),"-","")," ",""))=11,MID(SUBSTITUTE(SUBSTITUTE(SUBSTITUTE(SUBSTITUTE(TRIM(C481),"*",""),".",""),"-","")," ",""),4,6),SUBSTITUTE(SUBSTITUTE(SUBSTITUTE(SUBSTITUTE(TRIM(C481),"*",""),".",""),"-","")," ","")))</f>
        <v/>
      </c>
      <c r="J481" s="28" t="str">
        <f aca="false">IF(OR(H481="",I481=""),"",H481&amp;"|"&amp;I481)</f>
        <v/>
      </c>
      <c r="K481" s="19" t="str">
        <f aca="false">IF(H481="","",IF(AND(J481&lt;&gt;"",COUNTIF(Pessoas!$J:$J,J481)&gt;0),"SIM",IF(COUNTIF(Pessoas!$H:$H,H481)&gt;0,"nome igual em Pessoas: confira o CPF","")))</f>
        <v/>
      </c>
      <c r="L481" s="27"/>
      <c r="M481" s="5"/>
    </row>
    <row r="482" customFormat="false" ht="15" hidden="false" customHeight="false" outlineLevel="0" collapsed="false">
      <c r="A482" s="27"/>
      <c r="B482" s="5"/>
      <c r="C482" s="27"/>
      <c r="D482" s="18"/>
      <c r="E482" s="14"/>
      <c r="F482" s="18"/>
      <c r="G482" s="19" t="str">
        <f aca="false">IF(A482="","",IFERROR(INDEX(Empresas!$B:$B,MATCH(A482,Empresas!$A:$A,0))&amp;"","cadastre o CNPJ em Empresas"))</f>
        <v/>
      </c>
      <c r="H482" s="28" t="str">
        <f aca="false">IF(B482="","",SUBSTITUTE(SUBSTITUTE(SUBSTITUTE(SUBSTITUTE(SUBSTITUTE(SUBSTITUTE(SUBSTITUTE(SUBSTITUTE(SUBSTITUTE(SUBSTITUTE(SUBSTITUTE(SUBSTITUTE(SUBSTITUTE(UPPER(TRIM(B482)),"Á","A"),"À","A"),"Â","A"),"Ã","A"),"É","E"),"Ê","E"),"Í","I"),"Ó","O"),"Ô","O"),"Õ","O"),"Ú","U"),"Ü","U"),"Ç","C"))</f>
        <v/>
      </c>
      <c r="I482" s="28" t="str">
        <f aca="false">IF(C482="","",IF(LEN(SUBSTITUTE(SUBSTITUTE(SUBSTITUTE(SUBSTITUTE(TRIM(C482),"*",""),".",""),"-","")," ",""))=11,MID(SUBSTITUTE(SUBSTITUTE(SUBSTITUTE(SUBSTITUTE(TRIM(C482),"*",""),".",""),"-","")," ",""),4,6),SUBSTITUTE(SUBSTITUTE(SUBSTITUTE(SUBSTITUTE(TRIM(C482),"*",""),".",""),"-","")," ","")))</f>
        <v/>
      </c>
      <c r="J482" s="28" t="str">
        <f aca="false">IF(OR(H482="",I482=""),"",H482&amp;"|"&amp;I482)</f>
        <v/>
      </c>
      <c r="K482" s="19" t="str">
        <f aca="false">IF(H482="","",IF(AND(J482&lt;&gt;"",COUNTIF(Pessoas!$J:$J,J482)&gt;0),"SIM",IF(COUNTIF(Pessoas!$H:$H,H482)&gt;0,"nome igual em Pessoas: confira o CPF","")))</f>
        <v/>
      </c>
      <c r="L482" s="27"/>
      <c r="M482" s="5"/>
    </row>
    <row r="483" customFormat="false" ht="15" hidden="false" customHeight="false" outlineLevel="0" collapsed="false">
      <c r="A483" s="27"/>
      <c r="B483" s="5"/>
      <c r="C483" s="27"/>
      <c r="D483" s="18"/>
      <c r="E483" s="14"/>
      <c r="F483" s="18"/>
      <c r="G483" s="19" t="str">
        <f aca="false">IF(A483="","",IFERROR(INDEX(Empresas!$B:$B,MATCH(A483,Empresas!$A:$A,0))&amp;"","cadastre o CNPJ em Empresas"))</f>
        <v/>
      </c>
      <c r="H483" s="28" t="str">
        <f aca="false">IF(B483="","",SUBSTITUTE(SUBSTITUTE(SUBSTITUTE(SUBSTITUTE(SUBSTITUTE(SUBSTITUTE(SUBSTITUTE(SUBSTITUTE(SUBSTITUTE(SUBSTITUTE(SUBSTITUTE(SUBSTITUTE(SUBSTITUTE(UPPER(TRIM(B483)),"Á","A"),"À","A"),"Â","A"),"Ã","A"),"É","E"),"Ê","E"),"Í","I"),"Ó","O"),"Ô","O"),"Õ","O"),"Ú","U"),"Ü","U"),"Ç","C"))</f>
        <v/>
      </c>
      <c r="I483" s="28" t="str">
        <f aca="false">IF(C483="","",IF(LEN(SUBSTITUTE(SUBSTITUTE(SUBSTITUTE(SUBSTITUTE(TRIM(C483),"*",""),".",""),"-","")," ",""))=11,MID(SUBSTITUTE(SUBSTITUTE(SUBSTITUTE(SUBSTITUTE(TRIM(C483),"*",""),".",""),"-","")," ",""),4,6),SUBSTITUTE(SUBSTITUTE(SUBSTITUTE(SUBSTITUTE(TRIM(C483),"*",""),".",""),"-","")," ","")))</f>
        <v/>
      </c>
      <c r="J483" s="28" t="str">
        <f aca="false">IF(OR(H483="",I483=""),"",H483&amp;"|"&amp;I483)</f>
        <v/>
      </c>
      <c r="K483" s="19" t="str">
        <f aca="false">IF(H483="","",IF(AND(J483&lt;&gt;"",COUNTIF(Pessoas!$J:$J,J483)&gt;0),"SIM",IF(COUNTIF(Pessoas!$H:$H,H483)&gt;0,"nome igual em Pessoas: confira o CPF","")))</f>
        <v/>
      </c>
      <c r="L483" s="27"/>
      <c r="M483" s="5"/>
    </row>
    <row r="484" customFormat="false" ht="15" hidden="false" customHeight="false" outlineLevel="0" collapsed="false">
      <c r="A484" s="27"/>
      <c r="B484" s="5"/>
      <c r="C484" s="27"/>
      <c r="D484" s="18"/>
      <c r="E484" s="14"/>
      <c r="F484" s="18"/>
      <c r="G484" s="19" t="str">
        <f aca="false">IF(A484="","",IFERROR(INDEX(Empresas!$B:$B,MATCH(A484,Empresas!$A:$A,0))&amp;"","cadastre o CNPJ em Empresas"))</f>
        <v/>
      </c>
      <c r="H484" s="28" t="str">
        <f aca="false">IF(B484="","",SUBSTITUTE(SUBSTITUTE(SUBSTITUTE(SUBSTITUTE(SUBSTITUTE(SUBSTITUTE(SUBSTITUTE(SUBSTITUTE(SUBSTITUTE(SUBSTITUTE(SUBSTITUTE(SUBSTITUTE(SUBSTITUTE(UPPER(TRIM(B484)),"Á","A"),"À","A"),"Â","A"),"Ã","A"),"É","E"),"Ê","E"),"Í","I"),"Ó","O"),"Ô","O"),"Õ","O"),"Ú","U"),"Ü","U"),"Ç","C"))</f>
        <v/>
      </c>
      <c r="I484" s="28" t="str">
        <f aca="false">IF(C484="","",IF(LEN(SUBSTITUTE(SUBSTITUTE(SUBSTITUTE(SUBSTITUTE(TRIM(C484),"*",""),".",""),"-","")," ",""))=11,MID(SUBSTITUTE(SUBSTITUTE(SUBSTITUTE(SUBSTITUTE(TRIM(C484),"*",""),".",""),"-","")," ",""),4,6),SUBSTITUTE(SUBSTITUTE(SUBSTITUTE(SUBSTITUTE(TRIM(C484),"*",""),".",""),"-","")," ","")))</f>
        <v/>
      </c>
      <c r="J484" s="28" t="str">
        <f aca="false">IF(OR(H484="",I484=""),"",H484&amp;"|"&amp;I484)</f>
        <v/>
      </c>
      <c r="K484" s="19" t="str">
        <f aca="false">IF(H484="","",IF(AND(J484&lt;&gt;"",COUNTIF(Pessoas!$J:$J,J484)&gt;0),"SIM",IF(COUNTIF(Pessoas!$H:$H,H484)&gt;0,"nome igual em Pessoas: confira o CPF","")))</f>
        <v/>
      </c>
      <c r="L484" s="27"/>
      <c r="M484" s="5"/>
    </row>
    <row r="485" customFormat="false" ht="15" hidden="false" customHeight="false" outlineLevel="0" collapsed="false">
      <c r="A485" s="27"/>
      <c r="B485" s="5"/>
      <c r="C485" s="27"/>
      <c r="D485" s="18"/>
      <c r="E485" s="14"/>
      <c r="F485" s="18"/>
      <c r="G485" s="19" t="str">
        <f aca="false">IF(A485="","",IFERROR(INDEX(Empresas!$B:$B,MATCH(A485,Empresas!$A:$A,0))&amp;"","cadastre o CNPJ em Empresas"))</f>
        <v/>
      </c>
      <c r="H485" s="28" t="str">
        <f aca="false">IF(B485="","",SUBSTITUTE(SUBSTITUTE(SUBSTITUTE(SUBSTITUTE(SUBSTITUTE(SUBSTITUTE(SUBSTITUTE(SUBSTITUTE(SUBSTITUTE(SUBSTITUTE(SUBSTITUTE(SUBSTITUTE(SUBSTITUTE(UPPER(TRIM(B485)),"Á","A"),"À","A"),"Â","A"),"Ã","A"),"É","E"),"Ê","E"),"Í","I"),"Ó","O"),"Ô","O"),"Õ","O"),"Ú","U"),"Ü","U"),"Ç","C"))</f>
        <v/>
      </c>
      <c r="I485" s="28" t="str">
        <f aca="false">IF(C485="","",IF(LEN(SUBSTITUTE(SUBSTITUTE(SUBSTITUTE(SUBSTITUTE(TRIM(C485),"*",""),".",""),"-","")," ",""))=11,MID(SUBSTITUTE(SUBSTITUTE(SUBSTITUTE(SUBSTITUTE(TRIM(C485),"*",""),".",""),"-","")," ",""),4,6),SUBSTITUTE(SUBSTITUTE(SUBSTITUTE(SUBSTITUTE(TRIM(C485),"*",""),".",""),"-","")," ","")))</f>
        <v/>
      </c>
      <c r="J485" s="28" t="str">
        <f aca="false">IF(OR(H485="",I485=""),"",H485&amp;"|"&amp;I485)</f>
        <v/>
      </c>
      <c r="K485" s="19" t="str">
        <f aca="false">IF(H485="","",IF(AND(J485&lt;&gt;"",COUNTIF(Pessoas!$J:$J,J485)&gt;0),"SIM",IF(COUNTIF(Pessoas!$H:$H,H485)&gt;0,"nome igual em Pessoas: confira o CPF","")))</f>
        <v/>
      </c>
      <c r="L485" s="27"/>
      <c r="M485" s="5"/>
    </row>
    <row r="486" customFormat="false" ht="15" hidden="false" customHeight="false" outlineLevel="0" collapsed="false">
      <c r="A486" s="27"/>
      <c r="B486" s="5"/>
      <c r="C486" s="27"/>
      <c r="D486" s="18"/>
      <c r="E486" s="14"/>
      <c r="F486" s="18"/>
      <c r="G486" s="19" t="str">
        <f aca="false">IF(A486="","",IFERROR(INDEX(Empresas!$B:$B,MATCH(A486,Empresas!$A:$A,0))&amp;"","cadastre o CNPJ em Empresas"))</f>
        <v/>
      </c>
      <c r="H486" s="28" t="str">
        <f aca="false">IF(B486="","",SUBSTITUTE(SUBSTITUTE(SUBSTITUTE(SUBSTITUTE(SUBSTITUTE(SUBSTITUTE(SUBSTITUTE(SUBSTITUTE(SUBSTITUTE(SUBSTITUTE(SUBSTITUTE(SUBSTITUTE(SUBSTITUTE(UPPER(TRIM(B486)),"Á","A"),"À","A"),"Â","A"),"Ã","A"),"É","E"),"Ê","E"),"Í","I"),"Ó","O"),"Ô","O"),"Õ","O"),"Ú","U"),"Ü","U"),"Ç","C"))</f>
        <v/>
      </c>
      <c r="I486" s="28" t="str">
        <f aca="false">IF(C486="","",IF(LEN(SUBSTITUTE(SUBSTITUTE(SUBSTITUTE(SUBSTITUTE(TRIM(C486),"*",""),".",""),"-","")," ",""))=11,MID(SUBSTITUTE(SUBSTITUTE(SUBSTITUTE(SUBSTITUTE(TRIM(C486),"*",""),".",""),"-","")," ",""),4,6),SUBSTITUTE(SUBSTITUTE(SUBSTITUTE(SUBSTITUTE(TRIM(C486),"*",""),".",""),"-","")," ","")))</f>
        <v/>
      </c>
      <c r="J486" s="28" t="str">
        <f aca="false">IF(OR(H486="",I486=""),"",H486&amp;"|"&amp;I486)</f>
        <v/>
      </c>
      <c r="K486" s="19" t="str">
        <f aca="false">IF(H486="","",IF(AND(J486&lt;&gt;"",COUNTIF(Pessoas!$J:$J,J486)&gt;0),"SIM",IF(COUNTIF(Pessoas!$H:$H,H486)&gt;0,"nome igual em Pessoas: confira o CPF","")))</f>
        <v/>
      </c>
      <c r="L486" s="27"/>
      <c r="M486" s="5"/>
    </row>
    <row r="487" customFormat="false" ht="15" hidden="false" customHeight="false" outlineLevel="0" collapsed="false">
      <c r="A487" s="27"/>
      <c r="B487" s="5"/>
      <c r="C487" s="27"/>
      <c r="D487" s="18"/>
      <c r="E487" s="14"/>
      <c r="F487" s="18"/>
      <c r="G487" s="19" t="str">
        <f aca="false">IF(A487="","",IFERROR(INDEX(Empresas!$B:$B,MATCH(A487,Empresas!$A:$A,0))&amp;"","cadastre o CNPJ em Empresas"))</f>
        <v/>
      </c>
      <c r="H487" s="28" t="str">
        <f aca="false">IF(B487="","",SUBSTITUTE(SUBSTITUTE(SUBSTITUTE(SUBSTITUTE(SUBSTITUTE(SUBSTITUTE(SUBSTITUTE(SUBSTITUTE(SUBSTITUTE(SUBSTITUTE(SUBSTITUTE(SUBSTITUTE(SUBSTITUTE(UPPER(TRIM(B487)),"Á","A"),"À","A"),"Â","A"),"Ã","A"),"É","E"),"Ê","E"),"Í","I"),"Ó","O"),"Ô","O"),"Õ","O"),"Ú","U"),"Ü","U"),"Ç","C"))</f>
        <v/>
      </c>
      <c r="I487" s="28" t="str">
        <f aca="false">IF(C487="","",IF(LEN(SUBSTITUTE(SUBSTITUTE(SUBSTITUTE(SUBSTITUTE(TRIM(C487),"*",""),".",""),"-","")," ",""))=11,MID(SUBSTITUTE(SUBSTITUTE(SUBSTITUTE(SUBSTITUTE(TRIM(C487),"*",""),".",""),"-","")," ",""),4,6),SUBSTITUTE(SUBSTITUTE(SUBSTITUTE(SUBSTITUTE(TRIM(C487),"*",""),".",""),"-","")," ","")))</f>
        <v/>
      </c>
      <c r="J487" s="28" t="str">
        <f aca="false">IF(OR(H487="",I487=""),"",H487&amp;"|"&amp;I487)</f>
        <v/>
      </c>
      <c r="K487" s="19" t="str">
        <f aca="false">IF(H487="","",IF(AND(J487&lt;&gt;"",COUNTIF(Pessoas!$J:$J,J487)&gt;0),"SIM",IF(COUNTIF(Pessoas!$H:$H,H487)&gt;0,"nome igual em Pessoas: confira o CPF","")))</f>
        <v/>
      </c>
      <c r="L487" s="27"/>
      <c r="M487" s="5"/>
    </row>
    <row r="488" customFormat="false" ht="15" hidden="false" customHeight="false" outlineLevel="0" collapsed="false">
      <c r="A488" s="27"/>
      <c r="B488" s="5"/>
      <c r="C488" s="27"/>
      <c r="D488" s="18"/>
      <c r="E488" s="14"/>
      <c r="F488" s="18"/>
      <c r="G488" s="19" t="str">
        <f aca="false">IF(A488="","",IFERROR(INDEX(Empresas!$B:$B,MATCH(A488,Empresas!$A:$A,0))&amp;"","cadastre o CNPJ em Empresas"))</f>
        <v/>
      </c>
      <c r="H488" s="28" t="str">
        <f aca="false">IF(B488="","",SUBSTITUTE(SUBSTITUTE(SUBSTITUTE(SUBSTITUTE(SUBSTITUTE(SUBSTITUTE(SUBSTITUTE(SUBSTITUTE(SUBSTITUTE(SUBSTITUTE(SUBSTITUTE(SUBSTITUTE(SUBSTITUTE(UPPER(TRIM(B488)),"Á","A"),"À","A"),"Â","A"),"Ã","A"),"É","E"),"Ê","E"),"Í","I"),"Ó","O"),"Ô","O"),"Õ","O"),"Ú","U"),"Ü","U"),"Ç","C"))</f>
        <v/>
      </c>
      <c r="I488" s="28" t="str">
        <f aca="false">IF(C488="","",IF(LEN(SUBSTITUTE(SUBSTITUTE(SUBSTITUTE(SUBSTITUTE(TRIM(C488),"*",""),".",""),"-","")," ",""))=11,MID(SUBSTITUTE(SUBSTITUTE(SUBSTITUTE(SUBSTITUTE(TRIM(C488),"*",""),".",""),"-","")," ",""),4,6),SUBSTITUTE(SUBSTITUTE(SUBSTITUTE(SUBSTITUTE(TRIM(C488),"*",""),".",""),"-","")," ","")))</f>
        <v/>
      </c>
      <c r="J488" s="28" t="str">
        <f aca="false">IF(OR(H488="",I488=""),"",H488&amp;"|"&amp;I488)</f>
        <v/>
      </c>
      <c r="K488" s="19" t="str">
        <f aca="false">IF(H488="","",IF(AND(J488&lt;&gt;"",COUNTIF(Pessoas!$J:$J,J488)&gt;0),"SIM",IF(COUNTIF(Pessoas!$H:$H,H488)&gt;0,"nome igual em Pessoas: confira o CPF","")))</f>
        <v/>
      </c>
      <c r="L488" s="27"/>
      <c r="M488" s="5"/>
    </row>
    <row r="489" customFormat="false" ht="15" hidden="false" customHeight="false" outlineLevel="0" collapsed="false">
      <c r="A489" s="27"/>
      <c r="B489" s="5"/>
      <c r="C489" s="27"/>
      <c r="D489" s="18"/>
      <c r="E489" s="14"/>
      <c r="F489" s="18"/>
      <c r="G489" s="19" t="str">
        <f aca="false">IF(A489="","",IFERROR(INDEX(Empresas!$B:$B,MATCH(A489,Empresas!$A:$A,0))&amp;"","cadastre o CNPJ em Empresas"))</f>
        <v/>
      </c>
      <c r="H489" s="28" t="str">
        <f aca="false">IF(B489="","",SUBSTITUTE(SUBSTITUTE(SUBSTITUTE(SUBSTITUTE(SUBSTITUTE(SUBSTITUTE(SUBSTITUTE(SUBSTITUTE(SUBSTITUTE(SUBSTITUTE(SUBSTITUTE(SUBSTITUTE(SUBSTITUTE(UPPER(TRIM(B489)),"Á","A"),"À","A"),"Â","A"),"Ã","A"),"É","E"),"Ê","E"),"Í","I"),"Ó","O"),"Ô","O"),"Õ","O"),"Ú","U"),"Ü","U"),"Ç","C"))</f>
        <v/>
      </c>
      <c r="I489" s="28" t="str">
        <f aca="false">IF(C489="","",IF(LEN(SUBSTITUTE(SUBSTITUTE(SUBSTITUTE(SUBSTITUTE(TRIM(C489),"*",""),".",""),"-","")," ",""))=11,MID(SUBSTITUTE(SUBSTITUTE(SUBSTITUTE(SUBSTITUTE(TRIM(C489),"*",""),".",""),"-","")," ",""),4,6),SUBSTITUTE(SUBSTITUTE(SUBSTITUTE(SUBSTITUTE(TRIM(C489),"*",""),".",""),"-","")," ","")))</f>
        <v/>
      </c>
      <c r="J489" s="28" t="str">
        <f aca="false">IF(OR(H489="",I489=""),"",H489&amp;"|"&amp;I489)</f>
        <v/>
      </c>
      <c r="K489" s="19" t="str">
        <f aca="false">IF(H489="","",IF(AND(J489&lt;&gt;"",COUNTIF(Pessoas!$J:$J,J489)&gt;0),"SIM",IF(COUNTIF(Pessoas!$H:$H,H489)&gt;0,"nome igual em Pessoas: confira o CPF","")))</f>
        <v/>
      </c>
      <c r="L489" s="27"/>
      <c r="M489" s="5"/>
    </row>
    <row r="490" customFormat="false" ht="15" hidden="false" customHeight="false" outlineLevel="0" collapsed="false">
      <c r="A490" s="27"/>
      <c r="B490" s="5"/>
      <c r="C490" s="27"/>
      <c r="D490" s="18"/>
      <c r="E490" s="14"/>
      <c r="F490" s="18"/>
      <c r="G490" s="19" t="str">
        <f aca="false">IF(A490="","",IFERROR(INDEX(Empresas!$B:$B,MATCH(A490,Empresas!$A:$A,0))&amp;"","cadastre o CNPJ em Empresas"))</f>
        <v/>
      </c>
      <c r="H490" s="28" t="str">
        <f aca="false">IF(B490="","",SUBSTITUTE(SUBSTITUTE(SUBSTITUTE(SUBSTITUTE(SUBSTITUTE(SUBSTITUTE(SUBSTITUTE(SUBSTITUTE(SUBSTITUTE(SUBSTITUTE(SUBSTITUTE(SUBSTITUTE(SUBSTITUTE(UPPER(TRIM(B490)),"Á","A"),"À","A"),"Â","A"),"Ã","A"),"É","E"),"Ê","E"),"Í","I"),"Ó","O"),"Ô","O"),"Õ","O"),"Ú","U"),"Ü","U"),"Ç","C"))</f>
        <v/>
      </c>
      <c r="I490" s="28" t="str">
        <f aca="false">IF(C490="","",IF(LEN(SUBSTITUTE(SUBSTITUTE(SUBSTITUTE(SUBSTITUTE(TRIM(C490),"*",""),".",""),"-","")," ",""))=11,MID(SUBSTITUTE(SUBSTITUTE(SUBSTITUTE(SUBSTITUTE(TRIM(C490),"*",""),".",""),"-","")," ",""),4,6),SUBSTITUTE(SUBSTITUTE(SUBSTITUTE(SUBSTITUTE(TRIM(C490),"*",""),".",""),"-","")," ","")))</f>
        <v/>
      </c>
      <c r="J490" s="28" t="str">
        <f aca="false">IF(OR(H490="",I490=""),"",H490&amp;"|"&amp;I490)</f>
        <v/>
      </c>
      <c r="K490" s="19" t="str">
        <f aca="false">IF(H490="","",IF(AND(J490&lt;&gt;"",COUNTIF(Pessoas!$J:$J,J490)&gt;0),"SIM",IF(COUNTIF(Pessoas!$H:$H,H490)&gt;0,"nome igual em Pessoas: confira o CPF","")))</f>
        <v/>
      </c>
      <c r="L490" s="27"/>
      <c r="M490" s="5"/>
    </row>
    <row r="491" customFormat="false" ht="15" hidden="false" customHeight="false" outlineLevel="0" collapsed="false">
      <c r="A491" s="27"/>
      <c r="B491" s="5"/>
      <c r="C491" s="27"/>
      <c r="D491" s="18"/>
      <c r="E491" s="14"/>
      <c r="F491" s="18"/>
      <c r="G491" s="19" t="str">
        <f aca="false">IF(A491="","",IFERROR(INDEX(Empresas!$B:$B,MATCH(A491,Empresas!$A:$A,0))&amp;"","cadastre o CNPJ em Empresas"))</f>
        <v/>
      </c>
      <c r="H491" s="28" t="str">
        <f aca="false">IF(B491="","",SUBSTITUTE(SUBSTITUTE(SUBSTITUTE(SUBSTITUTE(SUBSTITUTE(SUBSTITUTE(SUBSTITUTE(SUBSTITUTE(SUBSTITUTE(SUBSTITUTE(SUBSTITUTE(SUBSTITUTE(SUBSTITUTE(UPPER(TRIM(B491)),"Á","A"),"À","A"),"Â","A"),"Ã","A"),"É","E"),"Ê","E"),"Í","I"),"Ó","O"),"Ô","O"),"Õ","O"),"Ú","U"),"Ü","U"),"Ç","C"))</f>
        <v/>
      </c>
      <c r="I491" s="28" t="str">
        <f aca="false">IF(C491="","",IF(LEN(SUBSTITUTE(SUBSTITUTE(SUBSTITUTE(SUBSTITUTE(TRIM(C491),"*",""),".",""),"-","")," ",""))=11,MID(SUBSTITUTE(SUBSTITUTE(SUBSTITUTE(SUBSTITUTE(TRIM(C491),"*",""),".",""),"-","")," ",""),4,6),SUBSTITUTE(SUBSTITUTE(SUBSTITUTE(SUBSTITUTE(TRIM(C491),"*",""),".",""),"-","")," ","")))</f>
        <v/>
      </c>
      <c r="J491" s="28" t="str">
        <f aca="false">IF(OR(H491="",I491=""),"",H491&amp;"|"&amp;I491)</f>
        <v/>
      </c>
      <c r="K491" s="19" t="str">
        <f aca="false">IF(H491="","",IF(AND(J491&lt;&gt;"",COUNTIF(Pessoas!$J:$J,J491)&gt;0),"SIM",IF(COUNTIF(Pessoas!$H:$H,H491)&gt;0,"nome igual em Pessoas: confira o CPF","")))</f>
        <v/>
      </c>
      <c r="L491" s="27"/>
      <c r="M491" s="5"/>
    </row>
    <row r="492" customFormat="false" ht="15" hidden="false" customHeight="false" outlineLevel="0" collapsed="false">
      <c r="A492" s="27"/>
      <c r="B492" s="5"/>
      <c r="C492" s="27"/>
      <c r="D492" s="18"/>
      <c r="E492" s="14"/>
      <c r="F492" s="18"/>
      <c r="G492" s="19" t="str">
        <f aca="false">IF(A492="","",IFERROR(INDEX(Empresas!$B:$B,MATCH(A492,Empresas!$A:$A,0))&amp;"","cadastre o CNPJ em Empresas"))</f>
        <v/>
      </c>
      <c r="H492" s="28" t="str">
        <f aca="false">IF(B492="","",SUBSTITUTE(SUBSTITUTE(SUBSTITUTE(SUBSTITUTE(SUBSTITUTE(SUBSTITUTE(SUBSTITUTE(SUBSTITUTE(SUBSTITUTE(SUBSTITUTE(SUBSTITUTE(SUBSTITUTE(SUBSTITUTE(UPPER(TRIM(B492)),"Á","A"),"À","A"),"Â","A"),"Ã","A"),"É","E"),"Ê","E"),"Í","I"),"Ó","O"),"Ô","O"),"Õ","O"),"Ú","U"),"Ü","U"),"Ç","C"))</f>
        <v/>
      </c>
      <c r="I492" s="28" t="str">
        <f aca="false">IF(C492="","",IF(LEN(SUBSTITUTE(SUBSTITUTE(SUBSTITUTE(SUBSTITUTE(TRIM(C492),"*",""),".",""),"-","")," ",""))=11,MID(SUBSTITUTE(SUBSTITUTE(SUBSTITUTE(SUBSTITUTE(TRIM(C492),"*",""),".",""),"-","")," ",""),4,6),SUBSTITUTE(SUBSTITUTE(SUBSTITUTE(SUBSTITUTE(TRIM(C492),"*",""),".",""),"-","")," ","")))</f>
        <v/>
      </c>
      <c r="J492" s="28" t="str">
        <f aca="false">IF(OR(H492="",I492=""),"",H492&amp;"|"&amp;I492)</f>
        <v/>
      </c>
      <c r="K492" s="19" t="str">
        <f aca="false">IF(H492="","",IF(AND(J492&lt;&gt;"",COUNTIF(Pessoas!$J:$J,J492)&gt;0),"SIM",IF(COUNTIF(Pessoas!$H:$H,H492)&gt;0,"nome igual em Pessoas: confira o CPF","")))</f>
        <v/>
      </c>
      <c r="L492" s="27"/>
      <c r="M492" s="5"/>
    </row>
    <row r="493" customFormat="false" ht="15" hidden="false" customHeight="false" outlineLevel="0" collapsed="false">
      <c r="A493" s="27"/>
      <c r="B493" s="5"/>
      <c r="C493" s="27"/>
      <c r="D493" s="18"/>
      <c r="E493" s="14"/>
      <c r="F493" s="18"/>
      <c r="G493" s="19" t="str">
        <f aca="false">IF(A493="","",IFERROR(INDEX(Empresas!$B:$B,MATCH(A493,Empresas!$A:$A,0))&amp;"","cadastre o CNPJ em Empresas"))</f>
        <v/>
      </c>
      <c r="H493" s="28" t="str">
        <f aca="false">IF(B493="","",SUBSTITUTE(SUBSTITUTE(SUBSTITUTE(SUBSTITUTE(SUBSTITUTE(SUBSTITUTE(SUBSTITUTE(SUBSTITUTE(SUBSTITUTE(SUBSTITUTE(SUBSTITUTE(SUBSTITUTE(SUBSTITUTE(UPPER(TRIM(B493)),"Á","A"),"À","A"),"Â","A"),"Ã","A"),"É","E"),"Ê","E"),"Í","I"),"Ó","O"),"Ô","O"),"Õ","O"),"Ú","U"),"Ü","U"),"Ç","C"))</f>
        <v/>
      </c>
      <c r="I493" s="28" t="str">
        <f aca="false">IF(C493="","",IF(LEN(SUBSTITUTE(SUBSTITUTE(SUBSTITUTE(SUBSTITUTE(TRIM(C493),"*",""),".",""),"-","")," ",""))=11,MID(SUBSTITUTE(SUBSTITUTE(SUBSTITUTE(SUBSTITUTE(TRIM(C493),"*",""),".",""),"-","")," ",""),4,6),SUBSTITUTE(SUBSTITUTE(SUBSTITUTE(SUBSTITUTE(TRIM(C493),"*",""),".",""),"-","")," ","")))</f>
        <v/>
      </c>
      <c r="J493" s="28" t="str">
        <f aca="false">IF(OR(H493="",I493=""),"",H493&amp;"|"&amp;I493)</f>
        <v/>
      </c>
      <c r="K493" s="19" t="str">
        <f aca="false">IF(H493="","",IF(AND(J493&lt;&gt;"",COUNTIF(Pessoas!$J:$J,J493)&gt;0),"SIM",IF(COUNTIF(Pessoas!$H:$H,H493)&gt;0,"nome igual em Pessoas: confira o CPF","")))</f>
        <v/>
      </c>
      <c r="L493" s="27"/>
      <c r="M493" s="5"/>
    </row>
    <row r="494" customFormat="false" ht="15" hidden="false" customHeight="false" outlineLevel="0" collapsed="false">
      <c r="A494" s="27"/>
      <c r="B494" s="5"/>
      <c r="C494" s="27"/>
      <c r="D494" s="18"/>
      <c r="E494" s="14"/>
      <c r="F494" s="18"/>
      <c r="G494" s="19" t="str">
        <f aca="false">IF(A494="","",IFERROR(INDEX(Empresas!$B:$B,MATCH(A494,Empresas!$A:$A,0))&amp;"","cadastre o CNPJ em Empresas"))</f>
        <v/>
      </c>
      <c r="H494" s="28" t="str">
        <f aca="false">IF(B494="","",SUBSTITUTE(SUBSTITUTE(SUBSTITUTE(SUBSTITUTE(SUBSTITUTE(SUBSTITUTE(SUBSTITUTE(SUBSTITUTE(SUBSTITUTE(SUBSTITUTE(SUBSTITUTE(SUBSTITUTE(SUBSTITUTE(UPPER(TRIM(B494)),"Á","A"),"À","A"),"Â","A"),"Ã","A"),"É","E"),"Ê","E"),"Í","I"),"Ó","O"),"Ô","O"),"Õ","O"),"Ú","U"),"Ü","U"),"Ç","C"))</f>
        <v/>
      </c>
      <c r="I494" s="28" t="str">
        <f aca="false">IF(C494="","",IF(LEN(SUBSTITUTE(SUBSTITUTE(SUBSTITUTE(SUBSTITUTE(TRIM(C494),"*",""),".",""),"-","")," ",""))=11,MID(SUBSTITUTE(SUBSTITUTE(SUBSTITUTE(SUBSTITUTE(TRIM(C494),"*",""),".",""),"-","")," ",""),4,6),SUBSTITUTE(SUBSTITUTE(SUBSTITUTE(SUBSTITUTE(TRIM(C494),"*",""),".",""),"-","")," ","")))</f>
        <v/>
      </c>
      <c r="J494" s="28" t="str">
        <f aca="false">IF(OR(H494="",I494=""),"",H494&amp;"|"&amp;I494)</f>
        <v/>
      </c>
      <c r="K494" s="19" t="str">
        <f aca="false">IF(H494="","",IF(AND(J494&lt;&gt;"",COUNTIF(Pessoas!$J:$J,J494)&gt;0),"SIM",IF(COUNTIF(Pessoas!$H:$H,H494)&gt;0,"nome igual em Pessoas: confira o CPF","")))</f>
        <v/>
      </c>
      <c r="L494" s="27"/>
      <c r="M494" s="5"/>
    </row>
    <row r="495" customFormat="false" ht="15" hidden="false" customHeight="false" outlineLevel="0" collapsed="false">
      <c r="A495" s="27"/>
      <c r="B495" s="5"/>
      <c r="C495" s="27"/>
      <c r="D495" s="18"/>
      <c r="E495" s="14"/>
      <c r="F495" s="18"/>
      <c r="G495" s="19" t="str">
        <f aca="false">IF(A495="","",IFERROR(INDEX(Empresas!$B:$B,MATCH(A495,Empresas!$A:$A,0))&amp;"","cadastre o CNPJ em Empresas"))</f>
        <v/>
      </c>
      <c r="H495" s="28" t="str">
        <f aca="false">IF(B495="","",SUBSTITUTE(SUBSTITUTE(SUBSTITUTE(SUBSTITUTE(SUBSTITUTE(SUBSTITUTE(SUBSTITUTE(SUBSTITUTE(SUBSTITUTE(SUBSTITUTE(SUBSTITUTE(SUBSTITUTE(SUBSTITUTE(UPPER(TRIM(B495)),"Á","A"),"À","A"),"Â","A"),"Ã","A"),"É","E"),"Ê","E"),"Í","I"),"Ó","O"),"Ô","O"),"Õ","O"),"Ú","U"),"Ü","U"),"Ç","C"))</f>
        <v/>
      </c>
      <c r="I495" s="28" t="str">
        <f aca="false">IF(C495="","",IF(LEN(SUBSTITUTE(SUBSTITUTE(SUBSTITUTE(SUBSTITUTE(TRIM(C495),"*",""),".",""),"-","")," ",""))=11,MID(SUBSTITUTE(SUBSTITUTE(SUBSTITUTE(SUBSTITUTE(TRIM(C495),"*",""),".",""),"-","")," ",""),4,6),SUBSTITUTE(SUBSTITUTE(SUBSTITUTE(SUBSTITUTE(TRIM(C495),"*",""),".",""),"-","")," ","")))</f>
        <v/>
      </c>
      <c r="J495" s="28" t="str">
        <f aca="false">IF(OR(H495="",I495=""),"",H495&amp;"|"&amp;I495)</f>
        <v/>
      </c>
      <c r="K495" s="19" t="str">
        <f aca="false">IF(H495="","",IF(AND(J495&lt;&gt;"",COUNTIF(Pessoas!$J:$J,J495)&gt;0),"SIM",IF(COUNTIF(Pessoas!$H:$H,H495)&gt;0,"nome igual em Pessoas: confira o CPF","")))</f>
        <v/>
      </c>
      <c r="L495" s="27"/>
      <c r="M495" s="5"/>
    </row>
    <row r="496" customFormat="false" ht="15" hidden="false" customHeight="false" outlineLevel="0" collapsed="false">
      <c r="A496" s="27"/>
      <c r="B496" s="5"/>
      <c r="C496" s="27"/>
      <c r="D496" s="18"/>
      <c r="E496" s="14"/>
      <c r="F496" s="18"/>
      <c r="G496" s="19" t="str">
        <f aca="false">IF(A496="","",IFERROR(INDEX(Empresas!$B:$B,MATCH(A496,Empresas!$A:$A,0))&amp;"","cadastre o CNPJ em Empresas"))</f>
        <v/>
      </c>
      <c r="H496" s="28" t="str">
        <f aca="false">IF(B496="","",SUBSTITUTE(SUBSTITUTE(SUBSTITUTE(SUBSTITUTE(SUBSTITUTE(SUBSTITUTE(SUBSTITUTE(SUBSTITUTE(SUBSTITUTE(SUBSTITUTE(SUBSTITUTE(SUBSTITUTE(SUBSTITUTE(UPPER(TRIM(B496)),"Á","A"),"À","A"),"Â","A"),"Ã","A"),"É","E"),"Ê","E"),"Í","I"),"Ó","O"),"Ô","O"),"Õ","O"),"Ú","U"),"Ü","U"),"Ç","C"))</f>
        <v/>
      </c>
      <c r="I496" s="28" t="str">
        <f aca="false">IF(C496="","",IF(LEN(SUBSTITUTE(SUBSTITUTE(SUBSTITUTE(SUBSTITUTE(TRIM(C496),"*",""),".",""),"-","")," ",""))=11,MID(SUBSTITUTE(SUBSTITUTE(SUBSTITUTE(SUBSTITUTE(TRIM(C496),"*",""),".",""),"-","")," ",""),4,6),SUBSTITUTE(SUBSTITUTE(SUBSTITUTE(SUBSTITUTE(TRIM(C496),"*",""),".",""),"-","")," ","")))</f>
        <v/>
      </c>
      <c r="J496" s="28" t="str">
        <f aca="false">IF(OR(H496="",I496=""),"",H496&amp;"|"&amp;I496)</f>
        <v/>
      </c>
      <c r="K496" s="19" t="str">
        <f aca="false">IF(H496="","",IF(AND(J496&lt;&gt;"",COUNTIF(Pessoas!$J:$J,J496)&gt;0),"SIM",IF(COUNTIF(Pessoas!$H:$H,H496)&gt;0,"nome igual em Pessoas: confira o CPF","")))</f>
        <v/>
      </c>
      <c r="L496" s="27"/>
      <c r="M496" s="5"/>
    </row>
    <row r="497" customFormat="false" ht="15" hidden="false" customHeight="false" outlineLevel="0" collapsed="false">
      <c r="A497" s="27"/>
      <c r="B497" s="5"/>
      <c r="C497" s="27"/>
      <c r="D497" s="18"/>
      <c r="E497" s="14"/>
      <c r="F497" s="18"/>
      <c r="G497" s="19" t="str">
        <f aca="false">IF(A497="","",IFERROR(INDEX(Empresas!$B:$B,MATCH(A497,Empresas!$A:$A,0))&amp;"","cadastre o CNPJ em Empresas"))</f>
        <v/>
      </c>
      <c r="H497" s="28" t="str">
        <f aca="false">IF(B497="","",SUBSTITUTE(SUBSTITUTE(SUBSTITUTE(SUBSTITUTE(SUBSTITUTE(SUBSTITUTE(SUBSTITUTE(SUBSTITUTE(SUBSTITUTE(SUBSTITUTE(SUBSTITUTE(SUBSTITUTE(SUBSTITUTE(UPPER(TRIM(B497)),"Á","A"),"À","A"),"Â","A"),"Ã","A"),"É","E"),"Ê","E"),"Í","I"),"Ó","O"),"Ô","O"),"Õ","O"),"Ú","U"),"Ü","U"),"Ç","C"))</f>
        <v/>
      </c>
      <c r="I497" s="28" t="str">
        <f aca="false">IF(C497="","",IF(LEN(SUBSTITUTE(SUBSTITUTE(SUBSTITUTE(SUBSTITUTE(TRIM(C497),"*",""),".",""),"-","")," ",""))=11,MID(SUBSTITUTE(SUBSTITUTE(SUBSTITUTE(SUBSTITUTE(TRIM(C497),"*",""),".",""),"-","")," ",""),4,6),SUBSTITUTE(SUBSTITUTE(SUBSTITUTE(SUBSTITUTE(TRIM(C497),"*",""),".",""),"-","")," ","")))</f>
        <v/>
      </c>
      <c r="J497" s="28" t="str">
        <f aca="false">IF(OR(H497="",I497=""),"",H497&amp;"|"&amp;I497)</f>
        <v/>
      </c>
      <c r="K497" s="19" t="str">
        <f aca="false">IF(H497="","",IF(AND(J497&lt;&gt;"",COUNTIF(Pessoas!$J:$J,J497)&gt;0),"SIM",IF(COUNTIF(Pessoas!$H:$H,H497)&gt;0,"nome igual em Pessoas: confira o CPF","")))</f>
        <v/>
      </c>
      <c r="L497" s="27"/>
      <c r="M497" s="5"/>
    </row>
    <row r="498" customFormat="false" ht="15" hidden="false" customHeight="false" outlineLevel="0" collapsed="false">
      <c r="A498" s="27"/>
      <c r="B498" s="5"/>
      <c r="C498" s="27"/>
      <c r="D498" s="18"/>
      <c r="E498" s="14"/>
      <c r="F498" s="18"/>
      <c r="G498" s="19" t="str">
        <f aca="false">IF(A498="","",IFERROR(INDEX(Empresas!$B:$B,MATCH(A498,Empresas!$A:$A,0))&amp;"","cadastre o CNPJ em Empresas"))</f>
        <v/>
      </c>
      <c r="H498" s="28" t="str">
        <f aca="false">IF(B498="","",SUBSTITUTE(SUBSTITUTE(SUBSTITUTE(SUBSTITUTE(SUBSTITUTE(SUBSTITUTE(SUBSTITUTE(SUBSTITUTE(SUBSTITUTE(SUBSTITUTE(SUBSTITUTE(SUBSTITUTE(SUBSTITUTE(UPPER(TRIM(B498)),"Á","A"),"À","A"),"Â","A"),"Ã","A"),"É","E"),"Ê","E"),"Í","I"),"Ó","O"),"Ô","O"),"Õ","O"),"Ú","U"),"Ü","U"),"Ç","C"))</f>
        <v/>
      </c>
      <c r="I498" s="28" t="str">
        <f aca="false">IF(C498="","",IF(LEN(SUBSTITUTE(SUBSTITUTE(SUBSTITUTE(SUBSTITUTE(TRIM(C498),"*",""),".",""),"-","")," ",""))=11,MID(SUBSTITUTE(SUBSTITUTE(SUBSTITUTE(SUBSTITUTE(TRIM(C498),"*",""),".",""),"-","")," ",""),4,6),SUBSTITUTE(SUBSTITUTE(SUBSTITUTE(SUBSTITUTE(TRIM(C498),"*",""),".",""),"-","")," ","")))</f>
        <v/>
      </c>
      <c r="J498" s="28" t="str">
        <f aca="false">IF(OR(H498="",I498=""),"",H498&amp;"|"&amp;I498)</f>
        <v/>
      </c>
      <c r="K498" s="19" t="str">
        <f aca="false">IF(H498="","",IF(AND(J498&lt;&gt;"",COUNTIF(Pessoas!$J:$J,J498)&gt;0),"SIM",IF(COUNTIF(Pessoas!$H:$H,H498)&gt;0,"nome igual em Pessoas: confira o CPF","")))</f>
        <v/>
      </c>
      <c r="L498" s="27"/>
      <c r="M498" s="5"/>
    </row>
    <row r="499" customFormat="false" ht="15" hidden="false" customHeight="false" outlineLevel="0" collapsed="false">
      <c r="A499" s="27"/>
      <c r="B499" s="5"/>
      <c r="C499" s="27"/>
      <c r="D499" s="18"/>
      <c r="E499" s="14"/>
      <c r="F499" s="18"/>
      <c r="G499" s="19" t="str">
        <f aca="false">IF(A499="","",IFERROR(INDEX(Empresas!$B:$B,MATCH(A499,Empresas!$A:$A,0))&amp;"","cadastre o CNPJ em Empresas"))</f>
        <v/>
      </c>
      <c r="H499" s="28" t="str">
        <f aca="false">IF(B499="","",SUBSTITUTE(SUBSTITUTE(SUBSTITUTE(SUBSTITUTE(SUBSTITUTE(SUBSTITUTE(SUBSTITUTE(SUBSTITUTE(SUBSTITUTE(SUBSTITUTE(SUBSTITUTE(SUBSTITUTE(SUBSTITUTE(UPPER(TRIM(B499)),"Á","A"),"À","A"),"Â","A"),"Ã","A"),"É","E"),"Ê","E"),"Í","I"),"Ó","O"),"Ô","O"),"Õ","O"),"Ú","U"),"Ü","U"),"Ç","C"))</f>
        <v/>
      </c>
      <c r="I499" s="28" t="str">
        <f aca="false">IF(C499="","",IF(LEN(SUBSTITUTE(SUBSTITUTE(SUBSTITUTE(SUBSTITUTE(TRIM(C499),"*",""),".",""),"-","")," ",""))=11,MID(SUBSTITUTE(SUBSTITUTE(SUBSTITUTE(SUBSTITUTE(TRIM(C499),"*",""),".",""),"-","")," ",""),4,6),SUBSTITUTE(SUBSTITUTE(SUBSTITUTE(SUBSTITUTE(TRIM(C499),"*",""),".",""),"-","")," ","")))</f>
        <v/>
      </c>
      <c r="J499" s="28" t="str">
        <f aca="false">IF(OR(H499="",I499=""),"",H499&amp;"|"&amp;I499)</f>
        <v/>
      </c>
      <c r="K499" s="19" t="str">
        <f aca="false">IF(H499="","",IF(AND(J499&lt;&gt;"",COUNTIF(Pessoas!$J:$J,J499)&gt;0),"SIM",IF(COUNTIF(Pessoas!$H:$H,H499)&gt;0,"nome igual em Pessoas: confira o CPF","")))</f>
        <v/>
      </c>
      <c r="L499" s="27"/>
      <c r="M499" s="5"/>
    </row>
    <row r="500" customFormat="false" ht="15" hidden="false" customHeight="false" outlineLevel="0" collapsed="false">
      <c r="A500" s="27"/>
      <c r="B500" s="5"/>
      <c r="C500" s="27"/>
      <c r="D500" s="18"/>
      <c r="E500" s="14"/>
      <c r="F500" s="18"/>
      <c r="G500" s="19" t="str">
        <f aca="false">IF(A500="","",IFERROR(INDEX(Empresas!$B:$B,MATCH(A500,Empresas!$A:$A,0))&amp;"","cadastre o CNPJ em Empresas"))</f>
        <v/>
      </c>
      <c r="H500" s="28" t="str">
        <f aca="false">IF(B500="","",SUBSTITUTE(SUBSTITUTE(SUBSTITUTE(SUBSTITUTE(SUBSTITUTE(SUBSTITUTE(SUBSTITUTE(SUBSTITUTE(SUBSTITUTE(SUBSTITUTE(SUBSTITUTE(SUBSTITUTE(SUBSTITUTE(UPPER(TRIM(B500)),"Á","A"),"À","A"),"Â","A"),"Ã","A"),"É","E"),"Ê","E"),"Í","I"),"Ó","O"),"Ô","O"),"Õ","O"),"Ú","U"),"Ü","U"),"Ç","C"))</f>
        <v/>
      </c>
      <c r="I500" s="28" t="str">
        <f aca="false">IF(C500="","",IF(LEN(SUBSTITUTE(SUBSTITUTE(SUBSTITUTE(SUBSTITUTE(TRIM(C500),"*",""),".",""),"-","")," ",""))=11,MID(SUBSTITUTE(SUBSTITUTE(SUBSTITUTE(SUBSTITUTE(TRIM(C500),"*",""),".",""),"-","")," ",""),4,6),SUBSTITUTE(SUBSTITUTE(SUBSTITUTE(SUBSTITUTE(TRIM(C500),"*",""),".",""),"-","")," ","")))</f>
        <v/>
      </c>
      <c r="J500" s="28" t="str">
        <f aca="false">IF(OR(H500="",I500=""),"",H500&amp;"|"&amp;I500)</f>
        <v/>
      </c>
      <c r="K500" s="19" t="str">
        <f aca="false">IF(H500="","",IF(AND(J500&lt;&gt;"",COUNTIF(Pessoas!$J:$J,J500)&gt;0),"SIM",IF(COUNTIF(Pessoas!$H:$H,H500)&gt;0,"nome igual em Pessoas: confira o CPF","")))</f>
        <v/>
      </c>
      <c r="L500" s="27"/>
      <c r="M500" s="5"/>
    </row>
    <row r="501" customFormat="false" ht="15" hidden="false" customHeight="false" outlineLevel="0" collapsed="false">
      <c r="A501" s="27"/>
      <c r="B501" s="5"/>
      <c r="C501" s="27"/>
      <c r="D501" s="18"/>
      <c r="E501" s="14"/>
      <c r="F501" s="18"/>
      <c r="G501" s="19" t="str">
        <f aca="false">IF(A501="","",IFERROR(INDEX(Empresas!$B:$B,MATCH(A501,Empresas!$A:$A,0))&amp;"","cadastre o CNPJ em Empresas"))</f>
        <v/>
      </c>
      <c r="H501" s="28" t="str">
        <f aca="false">IF(B501="","",SUBSTITUTE(SUBSTITUTE(SUBSTITUTE(SUBSTITUTE(SUBSTITUTE(SUBSTITUTE(SUBSTITUTE(SUBSTITUTE(SUBSTITUTE(SUBSTITUTE(SUBSTITUTE(SUBSTITUTE(SUBSTITUTE(UPPER(TRIM(B501)),"Á","A"),"À","A"),"Â","A"),"Ã","A"),"É","E"),"Ê","E"),"Í","I"),"Ó","O"),"Ô","O"),"Õ","O"),"Ú","U"),"Ü","U"),"Ç","C"))</f>
        <v/>
      </c>
      <c r="I501" s="28" t="str">
        <f aca="false">IF(C501="","",IF(LEN(SUBSTITUTE(SUBSTITUTE(SUBSTITUTE(SUBSTITUTE(TRIM(C501),"*",""),".",""),"-","")," ",""))=11,MID(SUBSTITUTE(SUBSTITUTE(SUBSTITUTE(SUBSTITUTE(TRIM(C501),"*",""),".",""),"-","")," ",""),4,6),SUBSTITUTE(SUBSTITUTE(SUBSTITUTE(SUBSTITUTE(TRIM(C501),"*",""),".",""),"-","")," ","")))</f>
        <v/>
      </c>
      <c r="J501" s="28" t="str">
        <f aca="false">IF(OR(H501="",I501=""),"",H501&amp;"|"&amp;I501)</f>
        <v/>
      </c>
      <c r="K501" s="19" t="str">
        <f aca="false">IF(H501="","",IF(AND(J501&lt;&gt;"",COUNTIF(Pessoas!$J:$J,J501)&gt;0),"SIM",IF(COUNTIF(Pessoas!$H:$H,H501)&gt;0,"nome igual em Pessoas: confira o CPF","")))</f>
        <v/>
      </c>
      <c r="L501" s="27"/>
      <c r="M501" s="5"/>
    </row>
    <row r="502" customFormat="false" ht="15" hidden="false" customHeight="false" outlineLevel="0" collapsed="false">
      <c r="A502" s="27"/>
      <c r="B502" s="5"/>
      <c r="C502" s="27"/>
      <c r="D502" s="18"/>
      <c r="E502" s="14"/>
      <c r="F502" s="18"/>
      <c r="G502" s="19" t="str">
        <f aca="false">IF(A502="","",IFERROR(INDEX(Empresas!$B:$B,MATCH(A502,Empresas!$A:$A,0))&amp;"","cadastre o CNPJ em Empresas"))</f>
        <v/>
      </c>
      <c r="H502" s="28" t="str">
        <f aca="false">IF(B502="","",SUBSTITUTE(SUBSTITUTE(SUBSTITUTE(SUBSTITUTE(SUBSTITUTE(SUBSTITUTE(SUBSTITUTE(SUBSTITUTE(SUBSTITUTE(SUBSTITUTE(SUBSTITUTE(SUBSTITUTE(SUBSTITUTE(UPPER(TRIM(B502)),"Á","A"),"À","A"),"Â","A"),"Ã","A"),"É","E"),"Ê","E"),"Í","I"),"Ó","O"),"Ô","O"),"Õ","O"),"Ú","U"),"Ü","U"),"Ç","C"))</f>
        <v/>
      </c>
      <c r="I502" s="28" t="str">
        <f aca="false">IF(C502="","",IF(LEN(SUBSTITUTE(SUBSTITUTE(SUBSTITUTE(SUBSTITUTE(TRIM(C502),"*",""),".",""),"-","")," ",""))=11,MID(SUBSTITUTE(SUBSTITUTE(SUBSTITUTE(SUBSTITUTE(TRIM(C502),"*",""),".",""),"-","")," ",""),4,6),SUBSTITUTE(SUBSTITUTE(SUBSTITUTE(SUBSTITUTE(TRIM(C502),"*",""),".",""),"-","")," ","")))</f>
        <v/>
      </c>
      <c r="J502" s="28" t="str">
        <f aca="false">IF(OR(H502="",I502=""),"",H502&amp;"|"&amp;I502)</f>
        <v/>
      </c>
      <c r="K502" s="19" t="str">
        <f aca="false">IF(H502="","",IF(AND(J502&lt;&gt;"",COUNTIF(Pessoas!$J:$J,J502)&gt;0),"SIM",IF(COUNTIF(Pessoas!$H:$H,H502)&gt;0,"nome igual em Pessoas: confira o CPF","")))</f>
        <v/>
      </c>
      <c r="L502" s="27"/>
      <c r="M502" s="5"/>
    </row>
    <row r="503" customFormat="false" ht="15" hidden="false" customHeight="false" outlineLevel="0" collapsed="false">
      <c r="A503" s="27"/>
      <c r="B503" s="5"/>
      <c r="C503" s="27"/>
      <c r="D503" s="18"/>
      <c r="E503" s="14"/>
      <c r="F503" s="18"/>
      <c r="G503" s="19" t="str">
        <f aca="false">IF(A503="","",IFERROR(INDEX(Empresas!$B:$B,MATCH(A503,Empresas!$A:$A,0))&amp;"","cadastre o CNPJ em Empresas"))</f>
        <v/>
      </c>
      <c r="H503" s="28" t="str">
        <f aca="false">IF(B503="","",SUBSTITUTE(SUBSTITUTE(SUBSTITUTE(SUBSTITUTE(SUBSTITUTE(SUBSTITUTE(SUBSTITUTE(SUBSTITUTE(SUBSTITUTE(SUBSTITUTE(SUBSTITUTE(SUBSTITUTE(SUBSTITUTE(UPPER(TRIM(B503)),"Á","A"),"À","A"),"Â","A"),"Ã","A"),"É","E"),"Ê","E"),"Í","I"),"Ó","O"),"Ô","O"),"Õ","O"),"Ú","U"),"Ü","U"),"Ç","C"))</f>
        <v/>
      </c>
      <c r="I503" s="28" t="str">
        <f aca="false">IF(C503="","",IF(LEN(SUBSTITUTE(SUBSTITUTE(SUBSTITUTE(SUBSTITUTE(TRIM(C503),"*",""),".",""),"-","")," ",""))=11,MID(SUBSTITUTE(SUBSTITUTE(SUBSTITUTE(SUBSTITUTE(TRIM(C503),"*",""),".",""),"-","")," ",""),4,6),SUBSTITUTE(SUBSTITUTE(SUBSTITUTE(SUBSTITUTE(TRIM(C503),"*",""),".",""),"-","")," ","")))</f>
        <v/>
      </c>
      <c r="J503" s="28" t="str">
        <f aca="false">IF(OR(H503="",I503=""),"",H503&amp;"|"&amp;I503)</f>
        <v/>
      </c>
      <c r="K503" s="19" t="str">
        <f aca="false">IF(H503="","",IF(AND(J503&lt;&gt;"",COUNTIF(Pessoas!$J:$J,J503)&gt;0),"SIM",IF(COUNTIF(Pessoas!$H:$H,H503)&gt;0,"nome igual em Pessoas: confira o CPF","")))</f>
        <v/>
      </c>
      <c r="L503" s="27"/>
      <c r="M503" s="5"/>
    </row>
    <row r="504" customFormat="false" ht="15" hidden="false" customHeight="false" outlineLevel="0" collapsed="false">
      <c r="A504" s="27"/>
      <c r="B504" s="5"/>
      <c r="C504" s="27"/>
      <c r="D504" s="18"/>
      <c r="E504" s="14"/>
      <c r="F504" s="18"/>
      <c r="G504" s="19" t="str">
        <f aca="false">IF(A504="","",IFERROR(INDEX(Empresas!$B:$B,MATCH(A504,Empresas!$A:$A,0))&amp;"","cadastre o CNPJ em Empresas"))</f>
        <v/>
      </c>
      <c r="H504" s="28" t="str">
        <f aca="false">IF(B504="","",SUBSTITUTE(SUBSTITUTE(SUBSTITUTE(SUBSTITUTE(SUBSTITUTE(SUBSTITUTE(SUBSTITUTE(SUBSTITUTE(SUBSTITUTE(SUBSTITUTE(SUBSTITUTE(SUBSTITUTE(SUBSTITUTE(UPPER(TRIM(B504)),"Á","A"),"À","A"),"Â","A"),"Ã","A"),"É","E"),"Ê","E"),"Í","I"),"Ó","O"),"Ô","O"),"Õ","O"),"Ú","U"),"Ü","U"),"Ç","C"))</f>
        <v/>
      </c>
      <c r="I504" s="28" t="str">
        <f aca="false">IF(C504="","",IF(LEN(SUBSTITUTE(SUBSTITUTE(SUBSTITUTE(SUBSTITUTE(TRIM(C504),"*",""),".",""),"-","")," ",""))=11,MID(SUBSTITUTE(SUBSTITUTE(SUBSTITUTE(SUBSTITUTE(TRIM(C504),"*",""),".",""),"-","")," ",""),4,6),SUBSTITUTE(SUBSTITUTE(SUBSTITUTE(SUBSTITUTE(TRIM(C504),"*",""),".",""),"-","")," ","")))</f>
        <v/>
      </c>
      <c r="J504" s="28" t="str">
        <f aca="false">IF(OR(H504="",I504=""),"",H504&amp;"|"&amp;I504)</f>
        <v/>
      </c>
      <c r="K504" s="19" t="str">
        <f aca="false">IF(H504="","",IF(AND(J504&lt;&gt;"",COUNTIF(Pessoas!$J:$J,J504)&gt;0),"SIM",IF(COUNTIF(Pessoas!$H:$H,H504)&gt;0,"nome igual em Pessoas: confira o CPF","")))</f>
        <v/>
      </c>
      <c r="L504" s="27"/>
      <c r="M504" s="5"/>
    </row>
    <row r="505" customFormat="false" ht="15" hidden="false" customHeight="false" outlineLevel="0" collapsed="false">
      <c r="A505" s="27"/>
      <c r="B505" s="5"/>
      <c r="C505" s="27"/>
      <c r="D505" s="18"/>
      <c r="E505" s="14"/>
      <c r="F505" s="18"/>
      <c r="G505" s="19" t="str">
        <f aca="false">IF(A505="","",IFERROR(INDEX(Empresas!$B:$B,MATCH(A505,Empresas!$A:$A,0))&amp;"","cadastre o CNPJ em Empresas"))</f>
        <v/>
      </c>
      <c r="H505" s="28" t="str">
        <f aca="false">IF(B505="","",SUBSTITUTE(SUBSTITUTE(SUBSTITUTE(SUBSTITUTE(SUBSTITUTE(SUBSTITUTE(SUBSTITUTE(SUBSTITUTE(SUBSTITUTE(SUBSTITUTE(SUBSTITUTE(SUBSTITUTE(SUBSTITUTE(UPPER(TRIM(B505)),"Á","A"),"À","A"),"Â","A"),"Ã","A"),"É","E"),"Ê","E"),"Í","I"),"Ó","O"),"Ô","O"),"Õ","O"),"Ú","U"),"Ü","U"),"Ç","C"))</f>
        <v/>
      </c>
      <c r="I505" s="28" t="str">
        <f aca="false">IF(C505="","",IF(LEN(SUBSTITUTE(SUBSTITUTE(SUBSTITUTE(SUBSTITUTE(TRIM(C505),"*",""),".",""),"-","")," ",""))=11,MID(SUBSTITUTE(SUBSTITUTE(SUBSTITUTE(SUBSTITUTE(TRIM(C505),"*",""),".",""),"-","")," ",""),4,6),SUBSTITUTE(SUBSTITUTE(SUBSTITUTE(SUBSTITUTE(TRIM(C505),"*",""),".",""),"-","")," ","")))</f>
        <v/>
      </c>
      <c r="J505" s="28" t="str">
        <f aca="false">IF(OR(H505="",I505=""),"",H505&amp;"|"&amp;I505)</f>
        <v/>
      </c>
      <c r="K505" s="19" t="str">
        <f aca="false">IF(H505="","",IF(AND(J505&lt;&gt;"",COUNTIF(Pessoas!$J:$J,J505)&gt;0),"SIM",IF(COUNTIF(Pessoas!$H:$H,H505)&gt;0,"nome igual em Pessoas: confira o CPF","")))</f>
        <v/>
      </c>
      <c r="L505" s="27"/>
      <c r="M505" s="5"/>
    </row>
    <row r="506" customFormat="false" ht="15" hidden="false" customHeight="false" outlineLevel="0" collapsed="false">
      <c r="A506" s="27"/>
      <c r="B506" s="5"/>
      <c r="C506" s="27"/>
      <c r="D506" s="18"/>
      <c r="E506" s="14"/>
      <c r="F506" s="18"/>
      <c r="G506" s="19" t="str">
        <f aca="false">IF(A506="","",IFERROR(INDEX(Empresas!$B:$B,MATCH(A506,Empresas!$A:$A,0))&amp;"","cadastre o CNPJ em Empresas"))</f>
        <v/>
      </c>
      <c r="H506" s="28" t="str">
        <f aca="false">IF(B506="","",SUBSTITUTE(SUBSTITUTE(SUBSTITUTE(SUBSTITUTE(SUBSTITUTE(SUBSTITUTE(SUBSTITUTE(SUBSTITUTE(SUBSTITUTE(SUBSTITUTE(SUBSTITUTE(SUBSTITUTE(SUBSTITUTE(UPPER(TRIM(B506)),"Á","A"),"À","A"),"Â","A"),"Ã","A"),"É","E"),"Ê","E"),"Í","I"),"Ó","O"),"Ô","O"),"Õ","O"),"Ú","U"),"Ü","U"),"Ç","C"))</f>
        <v/>
      </c>
      <c r="I506" s="28" t="str">
        <f aca="false">IF(C506="","",IF(LEN(SUBSTITUTE(SUBSTITUTE(SUBSTITUTE(SUBSTITUTE(TRIM(C506),"*",""),".",""),"-","")," ",""))=11,MID(SUBSTITUTE(SUBSTITUTE(SUBSTITUTE(SUBSTITUTE(TRIM(C506),"*",""),".",""),"-","")," ",""),4,6),SUBSTITUTE(SUBSTITUTE(SUBSTITUTE(SUBSTITUTE(TRIM(C506),"*",""),".",""),"-","")," ","")))</f>
        <v/>
      </c>
      <c r="J506" s="28" t="str">
        <f aca="false">IF(OR(H506="",I506=""),"",H506&amp;"|"&amp;I506)</f>
        <v/>
      </c>
      <c r="K506" s="19" t="str">
        <f aca="false">IF(H506="","",IF(AND(J506&lt;&gt;"",COUNTIF(Pessoas!$J:$J,J506)&gt;0),"SIM",IF(COUNTIF(Pessoas!$H:$H,H506)&gt;0,"nome igual em Pessoas: confira o CPF","")))</f>
        <v/>
      </c>
      <c r="L506" s="27"/>
      <c r="M506" s="5"/>
    </row>
    <row r="507" customFormat="false" ht="15" hidden="false" customHeight="false" outlineLevel="0" collapsed="false">
      <c r="A507" s="27"/>
      <c r="B507" s="5"/>
      <c r="C507" s="27"/>
      <c r="D507" s="18"/>
      <c r="E507" s="14"/>
      <c r="F507" s="18"/>
      <c r="G507" s="19" t="str">
        <f aca="false">IF(A507="","",IFERROR(INDEX(Empresas!$B:$B,MATCH(A507,Empresas!$A:$A,0))&amp;"","cadastre o CNPJ em Empresas"))</f>
        <v/>
      </c>
      <c r="H507" s="28" t="str">
        <f aca="false">IF(B507="","",SUBSTITUTE(SUBSTITUTE(SUBSTITUTE(SUBSTITUTE(SUBSTITUTE(SUBSTITUTE(SUBSTITUTE(SUBSTITUTE(SUBSTITUTE(SUBSTITUTE(SUBSTITUTE(SUBSTITUTE(SUBSTITUTE(UPPER(TRIM(B507)),"Á","A"),"À","A"),"Â","A"),"Ã","A"),"É","E"),"Ê","E"),"Í","I"),"Ó","O"),"Ô","O"),"Õ","O"),"Ú","U"),"Ü","U"),"Ç","C"))</f>
        <v/>
      </c>
      <c r="I507" s="28" t="str">
        <f aca="false">IF(C507="","",IF(LEN(SUBSTITUTE(SUBSTITUTE(SUBSTITUTE(SUBSTITUTE(TRIM(C507),"*",""),".",""),"-","")," ",""))=11,MID(SUBSTITUTE(SUBSTITUTE(SUBSTITUTE(SUBSTITUTE(TRIM(C507),"*",""),".",""),"-","")," ",""),4,6),SUBSTITUTE(SUBSTITUTE(SUBSTITUTE(SUBSTITUTE(TRIM(C507),"*",""),".",""),"-","")," ","")))</f>
        <v/>
      </c>
      <c r="J507" s="28" t="str">
        <f aca="false">IF(OR(H507="",I507=""),"",H507&amp;"|"&amp;I507)</f>
        <v/>
      </c>
      <c r="K507" s="19" t="str">
        <f aca="false">IF(H507="","",IF(AND(J507&lt;&gt;"",COUNTIF(Pessoas!$J:$J,J507)&gt;0),"SIM",IF(COUNTIF(Pessoas!$H:$H,H507)&gt;0,"nome igual em Pessoas: confira o CPF","")))</f>
        <v/>
      </c>
      <c r="L507" s="27"/>
      <c r="M507" s="5"/>
    </row>
    <row r="508" customFormat="false" ht="15" hidden="false" customHeight="false" outlineLevel="0" collapsed="false">
      <c r="A508" s="27"/>
      <c r="B508" s="5"/>
      <c r="C508" s="27"/>
      <c r="D508" s="18"/>
      <c r="E508" s="14"/>
      <c r="F508" s="18"/>
      <c r="G508" s="19" t="str">
        <f aca="false">IF(A508="","",IFERROR(INDEX(Empresas!$B:$B,MATCH(A508,Empresas!$A:$A,0))&amp;"","cadastre o CNPJ em Empresas"))</f>
        <v/>
      </c>
      <c r="H508" s="28" t="str">
        <f aca="false">IF(B508="","",SUBSTITUTE(SUBSTITUTE(SUBSTITUTE(SUBSTITUTE(SUBSTITUTE(SUBSTITUTE(SUBSTITUTE(SUBSTITUTE(SUBSTITUTE(SUBSTITUTE(SUBSTITUTE(SUBSTITUTE(SUBSTITUTE(UPPER(TRIM(B508)),"Á","A"),"À","A"),"Â","A"),"Ã","A"),"É","E"),"Ê","E"),"Í","I"),"Ó","O"),"Ô","O"),"Õ","O"),"Ú","U"),"Ü","U"),"Ç","C"))</f>
        <v/>
      </c>
      <c r="I508" s="28" t="str">
        <f aca="false">IF(C508="","",IF(LEN(SUBSTITUTE(SUBSTITUTE(SUBSTITUTE(SUBSTITUTE(TRIM(C508),"*",""),".",""),"-","")," ",""))=11,MID(SUBSTITUTE(SUBSTITUTE(SUBSTITUTE(SUBSTITUTE(TRIM(C508),"*",""),".",""),"-","")," ",""),4,6),SUBSTITUTE(SUBSTITUTE(SUBSTITUTE(SUBSTITUTE(TRIM(C508),"*",""),".",""),"-","")," ","")))</f>
        <v/>
      </c>
      <c r="J508" s="28" t="str">
        <f aca="false">IF(OR(H508="",I508=""),"",H508&amp;"|"&amp;I508)</f>
        <v/>
      </c>
      <c r="K508" s="19" t="str">
        <f aca="false">IF(H508="","",IF(AND(J508&lt;&gt;"",COUNTIF(Pessoas!$J:$J,J508)&gt;0),"SIM",IF(COUNTIF(Pessoas!$H:$H,H508)&gt;0,"nome igual em Pessoas: confira o CPF","")))</f>
        <v/>
      </c>
      <c r="L508" s="27"/>
      <c r="M508" s="5"/>
    </row>
    <row r="509" customFormat="false" ht="15" hidden="false" customHeight="false" outlineLevel="0" collapsed="false">
      <c r="A509" s="27"/>
      <c r="B509" s="5"/>
      <c r="C509" s="27"/>
      <c r="D509" s="18"/>
      <c r="E509" s="14"/>
      <c r="F509" s="18"/>
      <c r="G509" s="19" t="str">
        <f aca="false">IF(A509="","",IFERROR(INDEX(Empresas!$B:$B,MATCH(A509,Empresas!$A:$A,0))&amp;"","cadastre o CNPJ em Empresas"))</f>
        <v/>
      </c>
      <c r="H509" s="28" t="str">
        <f aca="false">IF(B509="","",SUBSTITUTE(SUBSTITUTE(SUBSTITUTE(SUBSTITUTE(SUBSTITUTE(SUBSTITUTE(SUBSTITUTE(SUBSTITUTE(SUBSTITUTE(SUBSTITUTE(SUBSTITUTE(SUBSTITUTE(SUBSTITUTE(UPPER(TRIM(B509)),"Á","A"),"À","A"),"Â","A"),"Ã","A"),"É","E"),"Ê","E"),"Í","I"),"Ó","O"),"Ô","O"),"Õ","O"),"Ú","U"),"Ü","U"),"Ç","C"))</f>
        <v/>
      </c>
      <c r="I509" s="28" t="str">
        <f aca="false">IF(C509="","",IF(LEN(SUBSTITUTE(SUBSTITUTE(SUBSTITUTE(SUBSTITUTE(TRIM(C509),"*",""),".",""),"-","")," ",""))=11,MID(SUBSTITUTE(SUBSTITUTE(SUBSTITUTE(SUBSTITUTE(TRIM(C509),"*",""),".",""),"-","")," ",""),4,6),SUBSTITUTE(SUBSTITUTE(SUBSTITUTE(SUBSTITUTE(TRIM(C509),"*",""),".",""),"-","")," ","")))</f>
        <v/>
      </c>
      <c r="J509" s="28" t="str">
        <f aca="false">IF(OR(H509="",I509=""),"",H509&amp;"|"&amp;I509)</f>
        <v/>
      </c>
      <c r="K509" s="19" t="str">
        <f aca="false">IF(H509="","",IF(AND(J509&lt;&gt;"",COUNTIF(Pessoas!$J:$J,J509)&gt;0),"SIM",IF(COUNTIF(Pessoas!$H:$H,H509)&gt;0,"nome igual em Pessoas: confira o CPF","")))</f>
        <v/>
      </c>
      <c r="L509" s="27"/>
      <c r="M509" s="5"/>
    </row>
    <row r="510" customFormat="false" ht="15" hidden="false" customHeight="false" outlineLevel="0" collapsed="false">
      <c r="A510" s="27"/>
      <c r="B510" s="5"/>
      <c r="C510" s="27"/>
      <c r="D510" s="18"/>
      <c r="E510" s="14"/>
      <c r="F510" s="18"/>
      <c r="G510" s="19" t="str">
        <f aca="false">IF(A510="","",IFERROR(INDEX(Empresas!$B:$B,MATCH(A510,Empresas!$A:$A,0))&amp;"","cadastre o CNPJ em Empresas"))</f>
        <v/>
      </c>
      <c r="H510" s="28" t="str">
        <f aca="false">IF(B510="","",SUBSTITUTE(SUBSTITUTE(SUBSTITUTE(SUBSTITUTE(SUBSTITUTE(SUBSTITUTE(SUBSTITUTE(SUBSTITUTE(SUBSTITUTE(SUBSTITUTE(SUBSTITUTE(SUBSTITUTE(SUBSTITUTE(UPPER(TRIM(B510)),"Á","A"),"À","A"),"Â","A"),"Ã","A"),"É","E"),"Ê","E"),"Í","I"),"Ó","O"),"Ô","O"),"Õ","O"),"Ú","U"),"Ü","U"),"Ç","C"))</f>
        <v/>
      </c>
      <c r="I510" s="28" t="str">
        <f aca="false">IF(C510="","",IF(LEN(SUBSTITUTE(SUBSTITUTE(SUBSTITUTE(SUBSTITUTE(TRIM(C510),"*",""),".",""),"-","")," ",""))=11,MID(SUBSTITUTE(SUBSTITUTE(SUBSTITUTE(SUBSTITUTE(TRIM(C510),"*",""),".",""),"-","")," ",""),4,6),SUBSTITUTE(SUBSTITUTE(SUBSTITUTE(SUBSTITUTE(TRIM(C510),"*",""),".",""),"-","")," ","")))</f>
        <v/>
      </c>
      <c r="J510" s="28" t="str">
        <f aca="false">IF(OR(H510="",I510=""),"",H510&amp;"|"&amp;I510)</f>
        <v/>
      </c>
      <c r="K510" s="19" t="str">
        <f aca="false">IF(H510="","",IF(AND(J510&lt;&gt;"",COUNTIF(Pessoas!$J:$J,J510)&gt;0),"SIM",IF(COUNTIF(Pessoas!$H:$H,H510)&gt;0,"nome igual em Pessoas: confira o CPF","")))</f>
        <v/>
      </c>
      <c r="L510" s="27"/>
      <c r="M510" s="5"/>
    </row>
    <row r="511" customFormat="false" ht="15" hidden="false" customHeight="false" outlineLevel="0" collapsed="false">
      <c r="A511" s="27"/>
      <c r="B511" s="5"/>
      <c r="C511" s="27"/>
      <c r="D511" s="18"/>
      <c r="E511" s="14"/>
      <c r="F511" s="18"/>
      <c r="G511" s="19" t="str">
        <f aca="false">IF(A511="","",IFERROR(INDEX(Empresas!$B:$B,MATCH(A511,Empresas!$A:$A,0))&amp;"","cadastre o CNPJ em Empresas"))</f>
        <v/>
      </c>
      <c r="H511" s="28" t="str">
        <f aca="false">IF(B511="","",SUBSTITUTE(SUBSTITUTE(SUBSTITUTE(SUBSTITUTE(SUBSTITUTE(SUBSTITUTE(SUBSTITUTE(SUBSTITUTE(SUBSTITUTE(SUBSTITUTE(SUBSTITUTE(SUBSTITUTE(SUBSTITUTE(UPPER(TRIM(B511)),"Á","A"),"À","A"),"Â","A"),"Ã","A"),"É","E"),"Ê","E"),"Í","I"),"Ó","O"),"Ô","O"),"Õ","O"),"Ú","U"),"Ü","U"),"Ç","C"))</f>
        <v/>
      </c>
      <c r="I511" s="28" t="str">
        <f aca="false">IF(C511="","",IF(LEN(SUBSTITUTE(SUBSTITUTE(SUBSTITUTE(SUBSTITUTE(TRIM(C511),"*",""),".",""),"-","")," ",""))=11,MID(SUBSTITUTE(SUBSTITUTE(SUBSTITUTE(SUBSTITUTE(TRIM(C511),"*",""),".",""),"-","")," ",""),4,6),SUBSTITUTE(SUBSTITUTE(SUBSTITUTE(SUBSTITUTE(TRIM(C511),"*",""),".",""),"-","")," ","")))</f>
        <v/>
      </c>
      <c r="J511" s="28" t="str">
        <f aca="false">IF(OR(H511="",I511=""),"",H511&amp;"|"&amp;I511)</f>
        <v/>
      </c>
      <c r="K511" s="19" t="str">
        <f aca="false">IF(H511="","",IF(AND(J511&lt;&gt;"",COUNTIF(Pessoas!$J:$J,J511)&gt;0),"SIM",IF(COUNTIF(Pessoas!$H:$H,H511)&gt;0,"nome igual em Pessoas: confira o CPF","")))</f>
        <v/>
      </c>
      <c r="L511" s="27"/>
      <c r="M511" s="5"/>
    </row>
    <row r="512" customFormat="false" ht="15" hidden="false" customHeight="false" outlineLevel="0" collapsed="false">
      <c r="A512" s="27"/>
      <c r="B512" s="5"/>
      <c r="C512" s="27"/>
      <c r="D512" s="18"/>
      <c r="E512" s="14"/>
      <c r="F512" s="18"/>
      <c r="G512" s="19" t="str">
        <f aca="false">IF(A512="","",IFERROR(INDEX(Empresas!$B:$B,MATCH(A512,Empresas!$A:$A,0))&amp;"","cadastre o CNPJ em Empresas"))</f>
        <v/>
      </c>
      <c r="H512" s="28" t="str">
        <f aca="false">IF(B512="","",SUBSTITUTE(SUBSTITUTE(SUBSTITUTE(SUBSTITUTE(SUBSTITUTE(SUBSTITUTE(SUBSTITUTE(SUBSTITUTE(SUBSTITUTE(SUBSTITUTE(SUBSTITUTE(SUBSTITUTE(SUBSTITUTE(UPPER(TRIM(B512)),"Á","A"),"À","A"),"Â","A"),"Ã","A"),"É","E"),"Ê","E"),"Í","I"),"Ó","O"),"Ô","O"),"Õ","O"),"Ú","U"),"Ü","U"),"Ç","C"))</f>
        <v/>
      </c>
      <c r="I512" s="28" t="str">
        <f aca="false">IF(C512="","",IF(LEN(SUBSTITUTE(SUBSTITUTE(SUBSTITUTE(SUBSTITUTE(TRIM(C512),"*",""),".",""),"-","")," ",""))=11,MID(SUBSTITUTE(SUBSTITUTE(SUBSTITUTE(SUBSTITUTE(TRIM(C512),"*",""),".",""),"-","")," ",""),4,6),SUBSTITUTE(SUBSTITUTE(SUBSTITUTE(SUBSTITUTE(TRIM(C512),"*",""),".",""),"-","")," ","")))</f>
        <v/>
      </c>
      <c r="J512" s="28" t="str">
        <f aca="false">IF(OR(H512="",I512=""),"",H512&amp;"|"&amp;I512)</f>
        <v/>
      </c>
      <c r="K512" s="19" t="str">
        <f aca="false">IF(H512="","",IF(AND(J512&lt;&gt;"",COUNTIF(Pessoas!$J:$J,J512)&gt;0),"SIM",IF(COUNTIF(Pessoas!$H:$H,H512)&gt;0,"nome igual em Pessoas: confira o CPF","")))</f>
        <v/>
      </c>
      <c r="L512" s="27"/>
      <c r="M512" s="5"/>
    </row>
    <row r="513" customFormat="false" ht="15" hidden="false" customHeight="false" outlineLevel="0" collapsed="false">
      <c r="A513" s="27"/>
      <c r="B513" s="5"/>
      <c r="C513" s="27"/>
      <c r="D513" s="18"/>
      <c r="E513" s="14"/>
      <c r="F513" s="18"/>
      <c r="G513" s="19" t="str">
        <f aca="false">IF(A513="","",IFERROR(INDEX(Empresas!$B:$B,MATCH(A513,Empresas!$A:$A,0))&amp;"","cadastre o CNPJ em Empresas"))</f>
        <v/>
      </c>
      <c r="H513" s="28" t="str">
        <f aca="false">IF(B513="","",SUBSTITUTE(SUBSTITUTE(SUBSTITUTE(SUBSTITUTE(SUBSTITUTE(SUBSTITUTE(SUBSTITUTE(SUBSTITUTE(SUBSTITUTE(SUBSTITUTE(SUBSTITUTE(SUBSTITUTE(SUBSTITUTE(UPPER(TRIM(B513)),"Á","A"),"À","A"),"Â","A"),"Ã","A"),"É","E"),"Ê","E"),"Í","I"),"Ó","O"),"Ô","O"),"Õ","O"),"Ú","U"),"Ü","U"),"Ç","C"))</f>
        <v/>
      </c>
      <c r="I513" s="28" t="str">
        <f aca="false">IF(C513="","",IF(LEN(SUBSTITUTE(SUBSTITUTE(SUBSTITUTE(SUBSTITUTE(TRIM(C513),"*",""),".",""),"-","")," ",""))=11,MID(SUBSTITUTE(SUBSTITUTE(SUBSTITUTE(SUBSTITUTE(TRIM(C513),"*",""),".",""),"-","")," ",""),4,6),SUBSTITUTE(SUBSTITUTE(SUBSTITUTE(SUBSTITUTE(TRIM(C513),"*",""),".",""),"-","")," ","")))</f>
        <v/>
      </c>
      <c r="J513" s="28" t="str">
        <f aca="false">IF(OR(H513="",I513=""),"",H513&amp;"|"&amp;I513)</f>
        <v/>
      </c>
      <c r="K513" s="19" t="str">
        <f aca="false">IF(H513="","",IF(AND(J513&lt;&gt;"",COUNTIF(Pessoas!$J:$J,J513)&gt;0),"SIM",IF(COUNTIF(Pessoas!$H:$H,H513)&gt;0,"nome igual em Pessoas: confira o CPF","")))</f>
        <v/>
      </c>
      <c r="L513" s="27"/>
      <c r="M513" s="5"/>
    </row>
    <row r="514" customFormat="false" ht="15" hidden="false" customHeight="false" outlineLevel="0" collapsed="false">
      <c r="A514" s="27"/>
      <c r="B514" s="5"/>
      <c r="C514" s="27"/>
      <c r="D514" s="18"/>
      <c r="E514" s="14"/>
      <c r="F514" s="18"/>
      <c r="G514" s="19" t="str">
        <f aca="false">IF(A514="","",IFERROR(INDEX(Empresas!$B:$B,MATCH(A514,Empresas!$A:$A,0))&amp;"","cadastre o CNPJ em Empresas"))</f>
        <v/>
      </c>
      <c r="H514" s="28" t="str">
        <f aca="false">IF(B514="","",SUBSTITUTE(SUBSTITUTE(SUBSTITUTE(SUBSTITUTE(SUBSTITUTE(SUBSTITUTE(SUBSTITUTE(SUBSTITUTE(SUBSTITUTE(SUBSTITUTE(SUBSTITUTE(SUBSTITUTE(SUBSTITUTE(UPPER(TRIM(B514)),"Á","A"),"À","A"),"Â","A"),"Ã","A"),"É","E"),"Ê","E"),"Í","I"),"Ó","O"),"Ô","O"),"Õ","O"),"Ú","U"),"Ü","U"),"Ç","C"))</f>
        <v/>
      </c>
      <c r="I514" s="28" t="str">
        <f aca="false">IF(C514="","",IF(LEN(SUBSTITUTE(SUBSTITUTE(SUBSTITUTE(SUBSTITUTE(TRIM(C514),"*",""),".",""),"-","")," ",""))=11,MID(SUBSTITUTE(SUBSTITUTE(SUBSTITUTE(SUBSTITUTE(TRIM(C514),"*",""),".",""),"-","")," ",""),4,6),SUBSTITUTE(SUBSTITUTE(SUBSTITUTE(SUBSTITUTE(TRIM(C514),"*",""),".",""),"-","")," ","")))</f>
        <v/>
      </c>
      <c r="J514" s="28" t="str">
        <f aca="false">IF(OR(H514="",I514=""),"",H514&amp;"|"&amp;I514)</f>
        <v/>
      </c>
      <c r="K514" s="19" t="str">
        <f aca="false">IF(H514="","",IF(AND(J514&lt;&gt;"",COUNTIF(Pessoas!$J:$J,J514)&gt;0),"SIM",IF(COUNTIF(Pessoas!$H:$H,H514)&gt;0,"nome igual em Pessoas: confira o CPF","")))</f>
        <v/>
      </c>
      <c r="L514" s="27"/>
      <c r="M514" s="5"/>
    </row>
    <row r="515" customFormat="false" ht="15" hidden="false" customHeight="false" outlineLevel="0" collapsed="false">
      <c r="A515" s="27"/>
      <c r="B515" s="5"/>
      <c r="C515" s="27"/>
      <c r="D515" s="18"/>
      <c r="E515" s="14"/>
      <c r="F515" s="18"/>
      <c r="G515" s="19" t="str">
        <f aca="false">IF(A515="","",IFERROR(INDEX(Empresas!$B:$B,MATCH(A515,Empresas!$A:$A,0))&amp;"","cadastre o CNPJ em Empresas"))</f>
        <v/>
      </c>
      <c r="H515" s="28" t="str">
        <f aca="false">IF(B515="","",SUBSTITUTE(SUBSTITUTE(SUBSTITUTE(SUBSTITUTE(SUBSTITUTE(SUBSTITUTE(SUBSTITUTE(SUBSTITUTE(SUBSTITUTE(SUBSTITUTE(SUBSTITUTE(SUBSTITUTE(SUBSTITUTE(UPPER(TRIM(B515)),"Á","A"),"À","A"),"Â","A"),"Ã","A"),"É","E"),"Ê","E"),"Í","I"),"Ó","O"),"Ô","O"),"Õ","O"),"Ú","U"),"Ü","U"),"Ç","C"))</f>
        <v/>
      </c>
      <c r="I515" s="28" t="str">
        <f aca="false">IF(C515="","",IF(LEN(SUBSTITUTE(SUBSTITUTE(SUBSTITUTE(SUBSTITUTE(TRIM(C515),"*",""),".",""),"-","")," ",""))=11,MID(SUBSTITUTE(SUBSTITUTE(SUBSTITUTE(SUBSTITUTE(TRIM(C515),"*",""),".",""),"-","")," ",""),4,6),SUBSTITUTE(SUBSTITUTE(SUBSTITUTE(SUBSTITUTE(TRIM(C515),"*",""),".",""),"-","")," ","")))</f>
        <v/>
      </c>
      <c r="J515" s="28" t="str">
        <f aca="false">IF(OR(H515="",I515=""),"",H515&amp;"|"&amp;I515)</f>
        <v/>
      </c>
      <c r="K515" s="19" t="str">
        <f aca="false">IF(H515="","",IF(AND(J515&lt;&gt;"",COUNTIF(Pessoas!$J:$J,J515)&gt;0),"SIM",IF(COUNTIF(Pessoas!$H:$H,H515)&gt;0,"nome igual em Pessoas: confira o CPF","")))</f>
        <v/>
      </c>
      <c r="L515" s="27"/>
      <c r="M515" s="5"/>
    </row>
    <row r="516" customFormat="false" ht="15" hidden="false" customHeight="false" outlineLevel="0" collapsed="false">
      <c r="A516" s="27"/>
      <c r="B516" s="5"/>
      <c r="C516" s="27"/>
      <c r="D516" s="18"/>
      <c r="E516" s="14"/>
      <c r="F516" s="18"/>
      <c r="G516" s="19" t="str">
        <f aca="false">IF(A516="","",IFERROR(INDEX(Empresas!$B:$B,MATCH(A516,Empresas!$A:$A,0))&amp;"","cadastre o CNPJ em Empresas"))</f>
        <v/>
      </c>
      <c r="H516" s="28" t="str">
        <f aca="false">IF(B516="","",SUBSTITUTE(SUBSTITUTE(SUBSTITUTE(SUBSTITUTE(SUBSTITUTE(SUBSTITUTE(SUBSTITUTE(SUBSTITUTE(SUBSTITUTE(SUBSTITUTE(SUBSTITUTE(SUBSTITUTE(SUBSTITUTE(UPPER(TRIM(B516)),"Á","A"),"À","A"),"Â","A"),"Ã","A"),"É","E"),"Ê","E"),"Í","I"),"Ó","O"),"Ô","O"),"Õ","O"),"Ú","U"),"Ü","U"),"Ç","C"))</f>
        <v/>
      </c>
      <c r="I516" s="28" t="str">
        <f aca="false">IF(C516="","",IF(LEN(SUBSTITUTE(SUBSTITUTE(SUBSTITUTE(SUBSTITUTE(TRIM(C516),"*",""),".",""),"-","")," ",""))=11,MID(SUBSTITUTE(SUBSTITUTE(SUBSTITUTE(SUBSTITUTE(TRIM(C516),"*",""),".",""),"-","")," ",""),4,6),SUBSTITUTE(SUBSTITUTE(SUBSTITUTE(SUBSTITUTE(TRIM(C516),"*",""),".",""),"-","")," ","")))</f>
        <v/>
      </c>
      <c r="J516" s="28" t="str">
        <f aca="false">IF(OR(H516="",I516=""),"",H516&amp;"|"&amp;I516)</f>
        <v/>
      </c>
      <c r="K516" s="19" t="str">
        <f aca="false">IF(H516="","",IF(AND(J516&lt;&gt;"",COUNTIF(Pessoas!$J:$J,J516)&gt;0),"SIM",IF(COUNTIF(Pessoas!$H:$H,H516)&gt;0,"nome igual em Pessoas: confira o CPF","")))</f>
        <v/>
      </c>
      <c r="L516" s="27"/>
      <c r="M516" s="5"/>
    </row>
    <row r="517" customFormat="false" ht="15" hidden="false" customHeight="false" outlineLevel="0" collapsed="false">
      <c r="A517" s="27"/>
      <c r="B517" s="5"/>
      <c r="C517" s="27"/>
      <c r="D517" s="18"/>
      <c r="E517" s="14"/>
      <c r="F517" s="18"/>
      <c r="G517" s="19" t="str">
        <f aca="false">IF(A517="","",IFERROR(INDEX(Empresas!$B:$B,MATCH(A517,Empresas!$A:$A,0))&amp;"","cadastre o CNPJ em Empresas"))</f>
        <v/>
      </c>
      <c r="H517" s="28" t="str">
        <f aca="false">IF(B517="","",SUBSTITUTE(SUBSTITUTE(SUBSTITUTE(SUBSTITUTE(SUBSTITUTE(SUBSTITUTE(SUBSTITUTE(SUBSTITUTE(SUBSTITUTE(SUBSTITUTE(SUBSTITUTE(SUBSTITUTE(SUBSTITUTE(UPPER(TRIM(B517)),"Á","A"),"À","A"),"Â","A"),"Ã","A"),"É","E"),"Ê","E"),"Í","I"),"Ó","O"),"Ô","O"),"Õ","O"),"Ú","U"),"Ü","U"),"Ç","C"))</f>
        <v/>
      </c>
      <c r="I517" s="28" t="str">
        <f aca="false">IF(C517="","",IF(LEN(SUBSTITUTE(SUBSTITUTE(SUBSTITUTE(SUBSTITUTE(TRIM(C517),"*",""),".",""),"-","")," ",""))=11,MID(SUBSTITUTE(SUBSTITUTE(SUBSTITUTE(SUBSTITUTE(TRIM(C517),"*",""),".",""),"-","")," ",""),4,6),SUBSTITUTE(SUBSTITUTE(SUBSTITUTE(SUBSTITUTE(TRIM(C517),"*",""),".",""),"-","")," ","")))</f>
        <v/>
      </c>
      <c r="J517" s="28" t="str">
        <f aca="false">IF(OR(H517="",I517=""),"",H517&amp;"|"&amp;I517)</f>
        <v/>
      </c>
      <c r="K517" s="19" t="str">
        <f aca="false">IF(H517="","",IF(AND(J517&lt;&gt;"",COUNTIF(Pessoas!$J:$J,J517)&gt;0),"SIM",IF(COUNTIF(Pessoas!$H:$H,H517)&gt;0,"nome igual em Pessoas: confira o CPF","")))</f>
        <v/>
      </c>
      <c r="L517" s="27"/>
      <c r="M517" s="5"/>
    </row>
    <row r="518" customFormat="false" ht="15" hidden="false" customHeight="false" outlineLevel="0" collapsed="false">
      <c r="A518" s="27"/>
      <c r="B518" s="5"/>
      <c r="C518" s="27"/>
      <c r="D518" s="18"/>
      <c r="E518" s="14"/>
      <c r="F518" s="18"/>
      <c r="G518" s="19" t="str">
        <f aca="false">IF(A518="","",IFERROR(INDEX(Empresas!$B:$B,MATCH(A518,Empresas!$A:$A,0))&amp;"","cadastre o CNPJ em Empresas"))</f>
        <v/>
      </c>
      <c r="H518" s="28" t="str">
        <f aca="false">IF(B518="","",SUBSTITUTE(SUBSTITUTE(SUBSTITUTE(SUBSTITUTE(SUBSTITUTE(SUBSTITUTE(SUBSTITUTE(SUBSTITUTE(SUBSTITUTE(SUBSTITUTE(SUBSTITUTE(SUBSTITUTE(SUBSTITUTE(UPPER(TRIM(B518)),"Á","A"),"À","A"),"Â","A"),"Ã","A"),"É","E"),"Ê","E"),"Í","I"),"Ó","O"),"Ô","O"),"Õ","O"),"Ú","U"),"Ü","U"),"Ç","C"))</f>
        <v/>
      </c>
      <c r="I518" s="28" t="str">
        <f aca="false">IF(C518="","",IF(LEN(SUBSTITUTE(SUBSTITUTE(SUBSTITUTE(SUBSTITUTE(TRIM(C518),"*",""),".",""),"-","")," ",""))=11,MID(SUBSTITUTE(SUBSTITUTE(SUBSTITUTE(SUBSTITUTE(TRIM(C518),"*",""),".",""),"-","")," ",""),4,6),SUBSTITUTE(SUBSTITUTE(SUBSTITUTE(SUBSTITUTE(TRIM(C518),"*",""),".",""),"-","")," ","")))</f>
        <v/>
      </c>
      <c r="J518" s="28" t="str">
        <f aca="false">IF(OR(H518="",I518=""),"",H518&amp;"|"&amp;I518)</f>
        <v/>
      </c>
      <c r="K518" s="19" t="str">
        <f aca="false">IF(H518="","",IF(AND(J518&lt;&gt;"",COUNTIF(Pessoas!$J:$J,J518)&gt;0),"SIM",IF(COUNTIF(Pessoas!$H:$H,H518)&gt;0,"nome igual em Pessoas: confira o CPF","")))</f>
        <v/>
      </c>
      <c r="L518" s="27"/>
      <c r="M518" s="5"/>
    </row>
    <row r="519" customFormat="false" ht="15" hidden="false" customHeight="false" outlineLevel="0" collapsed="false">
      <c r="A519" s="27"/>
      <c r="B519" s="5"/>
      <c r="C519" s="27"/>
      <c r="D519" s="18"/>
      <c r="E519" s="14"/>
      <c r="F519" s="18"/>
      <c r="G519" s="19" t="str">
        <f aca="false">IF(A519="","",IFERROR(INDEX(Empresas!$B:$B,MATCH(A519,Empresas!$A:$A,0))&amp;"","cadastre o CNPJ em Empresas"))</f>
        <v/>
      </c>
      <c r="H519" s="28" t="str">
        <f aca="false">IF(B519="","",SUBSTITUTE(SUBSTITUTE(SUBSTITUTE(SUBSTITUTE(SUBSTITUTE(SUBSTITUTE(SUBSTITUTE(SUBSTITUTE(SUBSTITUTE(SUBSTITUTE(SUBSTITUTE(SUBSTITUTE(SUBSTITUTE(UPPER(TRIM(B519)),"Á","A"),"À","A"),"Â","A"),"Ã","A"),"É","E"),"Ê","E"),"Í","I"),"Ó","O"),"Ô","O"),"Õ","O"),"Ú","U"),"Ü","U"),"Ç","C"))</f>
        <v/>
      </c>
      <c r="I519" s="28" t="str">
        <f aca="false">IF(C519="","",IF(LEN(SUBSTITUTE(SUBSTITUTE(SUBSTITUTE(SUBSTITUTE(TRIM(C519),"*",""),".",""),"-","")," ",""))=11,MID(SUBSTITUTE(SUBSTITUTE(SUBSTITUTE(SUBSTITUTE(TRIM(C519),"*",""),".",""),"-","")," ",""),4,6),SUBSTITUTE(SUBSTITUTE(SUBSTITUTE(SUBSTITUTE(TRIM(C519),"*",""),".",""),"-","")," ","")))</f>
        <v/>
      </c>
      <c r="J519" s="28" t="str">
        <f aca="false">IF(OR(H519="",I519=""),"",H519&amp;"|"&amp;I519)</f>
        <v/>
      </c>
      <c r="K519" s="19" t="str">
        <f aca="false">IF(H519="","",IF(AND(J519&lt;&gt;"",COUNTIF(Pessoas!$J:$J,J519)&gt;0),"SIM",IF(COUNTIF(Pessoas!$H:$H,H519)&gt;0,"nome igual em Pessoas: confira o CPF","")))</f>
        <v/>
      </c>
      <c r="L519" s="27"/>
      <c r="M519" s="5"/>
    </row>
    <row r="520" customFormat="false" ht="15" hidden="false" customHeight="false" outlineLevel="0" collapsed="false">
      <c r="A520" s="27"/>
      <c r="B520" s="5"/>
      <c r="C520" s="27"/>
      <c r="D520" s="18"/>
      <c r="E520" s="14"/>
      <c r="F520" s="18"/>
      <c r="G520" s="19" t="str">
        <f aca="false">IF(A520="","",IFERROR(INDEX(Empresas!$B:$B,MATCH(A520,Empresas!$A:$A,0))&amp;"","cadastre o CNPJ em Empresas"))</f>
        <v/>
      </c>
      <c r="H520" s="28" t="str">
        <f aca="false">IF(B520="","",SUBSTITUTE(SUBSTITUTE(SUBSTITUTE(SUBSTITUTE(SUBSTITUTE(SUBSTITUTE(SUBSTITUTE(SUBSTITUTE(SUBSTITUTE(SUBSTITUTE(SUBSTITUTE(SUBSTITUTE(SUBSTITUTE(UPPER(TRIM(B520)),"Á","A"),"À","A"),"Â","A"),"Ã","A"),"É","E"),"Ê","E"),"Í","I"),"Ó","O"),"Ô","O"),"Õ","O"),"Ú","U"),"Ü","U"),"Ç","C"))</f>
        <v/>
      </c>
      <c r="I520" s="28" t="str">
        <f aca="false">IF(C520="","",IF(LEN(SUBSTITUTE(SUBSTITUTE(SUBSTITUTE(SUBSTITUTE(TRIM(C520),"*",""),".",""),"-","")," ",""))=11,MID(SUBSTITUTE(SUBSTITUTE(SUBSTITUTE(SUBSTITUTE(TRIM(C520),"*",""),".",""),"-","")," ",""),4,6),SUBSTITUTE(SUBSTITUTE(SUBSTITUTE(SUBSTITUTE(TRIM(C520),"*",""),".",""),"-","")," ","")))</f>
        <v/>
      </c>
      <c r="J520" s="28" t="str">
        <f aca="false">IF(OR(H520="",I520=""),"",H520&amp;"|"&amp;I520)</f>
        <v/>
      </c>
      <c r="K520" s="19" t="str">
        <f aca="false">IF(H520="","",IF(AND(J520&lt;&gt;"",COUNTIF(Pessoas!$J:$J,J520)&gt;0),"SIM",IF(COUNTIF(Pessoas!$H:$H,H520)&gt;0,"nome igual em Pessoas: confira o CPF","")))</f>
        <v/>
      </c>
      <c r="L520" s="27"/>
      <c r="M520" s="5"/>
    </row>
    <row r="521" customFormat="false" ht="15" hidden="false" customHeight="false" outlineLevel="0" collapsed="false">
      <c r="A521" s="27"/>
      <c r="B521" s="5"/>
      <c r="C521" s="27"/>
      <c r="D521" s="18"/>
      <c r="E521" s="14"/>
      <c r="F521" s="18"/>
      <c r="G521" s="19" t="str">
        <f aca="false">IF(A521="","",IFERROR(INDEX(Empresas!$B:$B,MATCH(A521,Empresas!$A:$A,0))&amp;"","cadastre o CNPJ em Empresas"))</f>
        <v/>
      </c>
      <c r="H521" s="28" t="str">
        <f aca="false">IF(B521="","",SUBSTITUTE(SUBSTITUTE(SUBSTITUTE(SUBSTITUTE(SUBSTITUTE(SUBSTITUTE(SUBSTITUTE(SUBSTITUTE(SUBSTITUTE(SUBSTITUTE(SUBSTITUTE(SUBSTITUTE(SUBSTITUTE(UPPER(TRIM(B521)),"Á","A"),"À","A"),"Â","A"),"Ã","A"),"É","E"),"Ê","E"),"Í","I"),"Ó","O"),"Ô","O"),"Õ","O"),"Ú","U"),"Ü","U"),"Ç","C"))</f>
        <v/>
      </c>
      <c r="I521" s="28" t="str">
        <f aca="false">IF(C521="","",IF(LEN(SUBSTITUTE(SUBSTITUTE(SUBSTITUTE(SUBSTITUTE(TRIM(C521),"*",""),".",""),"-","")," ",""))=11,MID(SUBSTITUTE(SUBSTITUTE(SUBSTITUTE(SUBSTITUTE(TRIM(C521),"*",""),".",""),"-","")," ",""),4,6),SUBSTITUTE(SUBSTITUTE(SUBSTITUTE(SUBSTITUTE(TRIM(C521),"*",""),".",""),"-","")," ","")))</f>
        <v/>
      </c>
      <c r="J521" s="28" t="str">
        <f aca="false">IF(OR(H521="",I521=""),"",H521&amp;"|"&amp;I521)</f>
        <v/>
      </c>
      <c r="K521" s="19" t="str">
        <f aca="false">IF(H521="","",IF(AND(J521&lt;&gt;"",COUNTIF(Pessoas!$J:$J,J521)&gt;0),"SIM",IF(COUNTIF(Pessoas!$H:$H,H521)&gt;0,"nome igual em Pessoas: confira o CPF","")))</f>
        <v/>
      </c>
      <c r="L521" s="27"/>
      <c r="M521" s="5"/>
    </row>
    <row r="522" customFormat="false" ht="15" hidden="false" customHeight="false" outlineLevel="0" collapsed="false">
      <c r="A522" s="27"/>
      <c r="B522" s="5"/>
      <c r="C522" s="27"/>
      <c r="D522" s="18"/>
      <c r="E522" s="14"/>
      <c r="F522" s="18"/>
      <c r="G522" s="19" t="str">
        <f aca="false">IF(A522="","",IFERROR(INDEX(Empresas!$B:$B,MATCH(A522,Empresas!$A:$A,0))&amp;"","cadastre o CNPJ em Empresas"))</f>
        <v/>
      </c>
      <c r="H522" s="28" t="str">
        <f aca="false">IF(B522="","",SUBSTITUTE(SUBSTITUTE(SUBSTITUTE(SUBSTITUTE(SUBSTITUTE(SUBSTITUTE(SUBSTITUTE(SUBSTITUTE(SUBSTITUTE(SUBSTITUTE(SUBSTITUTE(SUBSTITUTE(SUBSTITUTE(UPPER(TRIM(B522)),"Á","A"),"À","A"),"Â","A"),"Ã","A"),"É","E"),"Ê","E"),"Í","I"),"Ó","O"),"Ô","O"),"Õ","O"),"Ú","U"),"Ü","U"),"Ç","C"))</f>
        <v/>
      </c>
      <c r="I522" s="28" t="str">
        <f aca="false">IF(C522="","",IF(LEN(SUBSTITUTE(SUBSTITUTE(SUBSTITUTE(SUBSTITUTE(TRIM(C522),"*",""),".",""),"-","")," ",""))=11,MID(SUBSTITUTE(SUBSTITUTE(SUBSTITUTE(SUBSTITUTE(TRIM(C522),"*",""),".",""),"-","")," ",""),4,6),SUBSTITUTE(SUBSTITUTE(SUBSTITUTE(SUBSTITUTE(TRIM(C522),"*",""),".",""),"-","")," ","")))</f>
        <v/>
      </c>
      <c r="J522" s="28" t="str">
        <f aca="false">IF(OR(H522="",I522=""),"",H522&amp;"|"&amp;I522)</f>
        <v/>
      </c>
      <c r="K522" s="19" t="str">
        <f aca="false">IF(H522="","",IF(AND(J522&lt;&gt;"",COUNTIF(Pessoas!$J:$J,J522)&gt;0),"SIM",IF(COUNTIF(Pessoas!$H:$H,H522)&gt;0,"nome igual em Pessoas: confira o CPF","")))</f>
        <v/>
      </c>
      <c r="L522" s="27"/>
      <c r="M522" s="5"/>
    </row>
    <row r="523" customFormat="false" ht="15" hidden="false" customHeight="false" outlineLevel="0" collapsed="false">
      <c r="A523" s="27"/>
      <c r="B523" s="5"/>
      <c r="C523" s="27"/>
      <c r="D523" s="18"/>
      <c r="E523" s="14"/>
      <c r="F523" s="18"/>
      <c r="G523" s="19" t="str">
        <f aca="false">IF(A523="","",IFERROR(INDEX(Empresas!$B:$B,MATCH(A523,Empresas!$A:$A,0))&amp;"","cadastre o CNPJ em Empresas"))</f>
        <v/>
      </c>
      <c r="H523" s="28" t="str">
        <f aca="false">IF(B523="","",SUBSTITUTE(SUBSTITUTE(SUBSTITUTE(SUBSTITUTE(SUBSTITUTE(SUBSTITUTE(SUBSTITUTE(SUBSTITUTE(SUBSTITUTE(SUBSTITUTE(SUBSTITUTE(SUBSTITUTE(SUBSTITUTE(UPPER(TRIM(B523)),"Á","A"),"À","A"),"Â","A"),"Ã","A"),"É","E"),"Ê","E"),"Í","I"),"Ó","O"),"Ô","O"),"Õ","O"),"Ú","U"),"Ü","U"),"Ç","C"))</f>
        <v/>
      </c>
      <c r="I523" s="28" t="str">
        <f aca="false">IF(C523="","",IF(LEN(SUBSTITUTE(SUBSTITUTE(SUBSTITUTE(SUBSTITUTE(TRIM(C523),"*",""),".",""),"-","")," ",""))=11,MID(SUBSTITUTE(SUBSTITUTE(SUBSTITUTE(SUBSTITUTE(TRIM(C523),"*",""),".",""),"-","")," ",""),4,6),SUBSTITUTE(SUBSTITUTE(SUBSTITUTE(SUBSTITUTE(TRIM(C523),"*",""),".",""),"-","")," ","")))</f>
        <v/>
      </c>
      <c r="J523" s="28" t="str">
        <f aca="false">IF(OR(H523="",I523=""),"",H523&amp;"|"&amp;I523)</f>
        <v/>
      </c>
      <c r="K523" s="19" t="str">
        <f aca="false">IF(H523="","",IF(AND(J523&lt;&gt;"",COUNTIF(Pessoas!$J:$J,J523)&gt;0),"SIM",IF(COUNTIF(Pessoas!$H:$H,H523)&gt;0,"nome igual em Pessoas: confira o CPF","")))</f>
        <v/>
      </c>
      <c r="L523" s="27"/>
      <c r="M523" s="5"/>
    </row>
    <row r="524" customFormat="false" ht="15" hidden="false" customHeight="false" outlineLevel="0" collapsed="false">
      <c r="A524" s="27"/>
      <c r="B524" s="5"/>
      <c r="C524" s="27"/>
      <c r="D524" s="18"/>
      <c r="E524" s="14"/>
      <c r="F524" s="18"/>
      <c r="G524" s="19" t="str">
        <f aca="false">IF(A524="","",IFERROR(INDEX(Empresas!$B:$B,MATCH(A524,Empresas!$A:$A,0))&amp;"","cadastre o CNPJ em Empresas"))</f>
        <v/>
      </c>
      <c r="H524" s="28" t="str">
        <f aca="false">IF(B524="","",SUBSTITUTE(SUBSTITUTE(SUBSTITUTE(SUBSTITUTE(SUBSTITUTE(SUBSTITUTE(SUBSTITUTE(SUBSTITUTE(SUBSTITUTE(SUBSTITUTE(SUBSTITUTE(SUBSTITUTE(SUBSTITUTE(UPPER(TRIM(B524)),"Á","A"),"À","A"),"Â","A"),"Ã","A"),"É","E"),"Ê","E"),"Í","I"),"Ó","O"),"Ô","O"),"Õ","O"),"Ú","U"),"Ü","U"),"Ç","C"))</f>
        <v/>
      </c>
      <c r="I524" s="28" t="str">
        <f aca="false">IF(C524="","",IF(LEN(SUBSTITUTE(SUBSTITUTE(SUBSTITUTE(SUBSTITUTE(TRIM(C524),"*",""),".",""),"-","")," ",""))=11,MID(SUBSTITUTE(SUBSTITUTE(SUBSTITUTE(SUBSTITUTE(TRIM(C524),"*",""),".",""),"-","")," ",""),4,6),SUBSTITUTE(SUBSTITUTE(SUBSTITUTE(SUBSTITUTE(TRIM(C524),"*",""),".",""),"-","")," ","")))</f>
        <v/>
      </c>
      <c r="J524" s="28" t="str">
        <f aca="false">IF(OR(H524="",I524=""),"",H524&amp;"|"&amp;I524)</f>
        <v/>
      </c>
      <c r="K524" s="19" t="str">
        <f aca="false">IF(H524="","",IF(AND(J524&lt;&gt;"",COUNTIF(Pessoas!$J:$J,J524)&gt;0),"SIM",IF(COUNTIF(Pessoas!$H:$H,H524)&gt;0,"nome igual em Pessoas: confira o CPF","")))</f>
        <v/>
      </c>
      <c r="L524" s="27"/>
      <c r="M524" s="5"/>
    </row>
    <row r="525" customFormat="false" ht="15" hidden="false" customHeight="false" outlineLevel="0" collapsed="false">
      <c r="A525" s="27"/>
      <c r="B525" s="5"/>
      <c r="C525" s="27"/>
      <c r="D525" s="18"/>
      <c r="E525" s="14"/>
      <c r="F525" s="18"/>
      <c r="G525" s="19" t="str">
        <f aca="false">IF(A525="","",IFERROR(INDEX(Empresas!$B:$B,MATCH(A525,Empresas!$A:$A,0))&amp;"","cadastre o CNPJ em Empresas"))</f>
        <v/>
      </c>
      <c r="H525" s="28" t="str">
        <f aca="false">IF(B525="","",SUBSTITUTE(SUBSTITUTE(SUBSTITUTE(SUBSTITUTE(SUBSTITUTE(SUBSTITUTE(SUBSTITUTE(SUBSTITUTE(SUBSTITUTE(SUBSTITUTE(SUBSTITUTE(SUBSTITUTE(SUBSTITUTE(UPPER(TRIM(B525)),"Á","A"),"À","A"),"Â","A"),"Ã","A"),"É","E"),"Ê","E"),"Í","I"),"Ó","O"),"Ô","O"),"Õ","O"),"Ú","U"),"Ü","U"),"Ç","C"))</f>
        <v/>
      </c>
      <c r="I525" s="28" t="str">
        <f aca="false">IF(C525="","",IF(LEN(SUBSTITUTE(SUBSTITUTE(SUBSTITUTE(SUBSTITUTE(TRIM(C525),"*",""),".",""),"-","")," ",""))=11,MID(SUBSTITUTE(SUBSTITUTE(SUBSTITUTE(SUBSTITUTE(TRIM(C525),"*",""),".",""),"-","")," ",""),4,6),SUBSTITUTE(SUBSTITUTE(SUBSTITUTE(SUBSTITUTE(TRIM(C525),"*",""),".",""),"-","")," ","")))</f>
        <v/>
      </c>
      <c r="J525" s="28" t="str">
        <f aca="false">IF(OR(H525="",I525=""),"",H525&amp;"|"&amp;I525)</f>
        <v/>
      </c>
      <c r="K525" s="19" t="str">
        <f aca="false">IF(H525="","",IF(AND(J525&lt;&gt;"",COUNTIF(Pessoas!$J:$J,J525)&gt;0),"SIM",IF(COUNTIF(Pessoas!$H:$H,H525)&gt;0,"nome igual em Pessoas: confira o CPF","")))</f>
        <v/>
      </c>
      <c r="L525" s="27"/>
      <c r="M525" s="5"/>
    </row>
    <row r="526" customFormat="false" ht="15" hidden="false" customHeight="false" outlineLevel="0" collapsed="false">
      <c r="A526" s="27"/>
      <c r="B526" s="5"/>
      <c r="C526" s="27"/>
      <c r="D526" s="18"/>
      <c r="E526" s="14"/>
      <c r="F526" s="18"/>
      <c r="G526" s="19" t="str">
        <f aca="false">IF(A526="","",IFERROR(INDEX(Empresas!$B:$B,MATCH(A526,Empresas!$A:$A,0))&amp;"","cadastre o CNPJ em Empresas"))</f>
        <v/>
      </c>
      <c r="H526" s="28" t="str">
        <f aca="false">IF(B526="","",SUBSTITUTE(SUBSTITUTE(SUBSTITUTE(SUBSTITUTE(SUBSTITUTE(SUBSTITUTE(SUBSTITUTE(SUBSTITUTE(SUBSTITUTE(SUBSTITUTE(SUBSTITUTE(SUBSTITUTE(SUBSTITUTE(UPPER(TRIM(B526)),"Á","A"),"À","A"),"Â","A"),"Ã","A"),"É","E"),"Ê","E"),"Í","I"),"Ó","O"),"Ô","O"),"Õ","O"),"Ú","U"),"Ü","U"),"Ç","C"))</f>
        <v/>
      </c>
      <c r="I526" s="28" t="str">
        <f aca="false">IF(C526="","",IF(LEN(SUBSTITUTE(SUBSTITUTE(SUBSTITUTE(SUBSTITUTE(TRIM(C526),"*",""),".",""),"-","")," ",""))=11,MID(SUBSTITUTE(SUBSTITUTE(SUBSTITUTE(SUBSTITUTE(TRIM(C526),"*",""),".",""),"-","")," ",""),4,6),SUBSTITUTE(SUBSTITUTE(SUBSTITUTE(SUBSTITUTE(TRIM(C526),"*",""),".",""),"-","")," ","")))</f>
        <v/>
      </c>
      <c r="J526" s="28" t="str">
        <f aca="false">IF(OR(H526="",I526=""),"",H526&amp;"|"&amp;I526)</f>
        <v/>
      </c>
      <c r="K526" s="19" t="str">
        <f aca="false">IF(H526="","",IF(AND(J526&lt;&gt;"",COUNTIF(Pessoas!$J:$J,J526)&gt;0),"SIM",IF(COUNTIF(Pessoas!$H:$H,H526)&gt;0,"nome igual em Pessoas: confira o CPF","")))</f>
        <v/>
      </c>
      <c r="L526" s="27"/>
      <c r="M526" s="5"/>
    </row>
    <row r="527" customFormat="false" ht="15" hidden="false" customHeight="false" outlineLevel="0" collapsed="false">
      <c r="A527" s="27"/>
      <c r="B527" s="5"/>
      <c r="C527" s="27"/>
      <c r="D527" s="18"/>
      <c r="E527" s="14"/>
      <c r="F527" s="18"/>
      <c r="G527" s="19" t="str">
        <f aca="false">IF(A527="","",IFERROR(INDEX(Empresas!$B:$B,MATCH(A527,Empresas!$A:$A,0))&amp;"","cadastre o CNPJ em Empresas"))</f>
        <v/>
      </c>
      <c r="H527" s="28" t="str">
        <f aca="false">IF(B527="","",SUBSTITUTE(SUBSTITUTE(SUBSTITUTE(SUBSTITUTE(SUBSTITUTE(SUBSTITUTE(SUBSTITUTE(SUBSTITUTE(SUBSTITUTE(SUBSTITUTE(SUBSTITUTE(SUBSTITUTE(SUBSTITUTE(UPPER(TRIM(B527)),"Á","A"),"À","A"),"Â","A"),"Ã","A"),"É","E"),"Ê","E"),"Í","I"),"Ó","O"),"Ô","O"),"Õ","O"),"Ú","U"),"Ü","U"),"Ç","C"))</f>
        <v/>
      </c>
      <c r="I527" s="28" t="str">
        <f aca="false">IF(C527="","",IF(LEN(SUBSTITUTE(SUBSTITUTE(SUBSTITUTE(SUBSTITUTE(TRIM(C527),"*",""),".",""),"-","")," ",""))=11,MID(SUBSTITUTE(SUBSTITUTE(SUBSTITUTE(SUBSTITUTE(TRIM(C527),"*",""),".",""),"-","")," ",""),4,6),SUBSTITUTE(SUBSTITUTE(SUBSTITUTE(SUBSTITUTE(TRIM(C527),"*",""),".",""),"-","")," ","")))</f>
        <v/>
      </c>
      <c r="J527" s="28" t="str">
        <f aca="false">IF(OR(H527="",I527=""),"",H527&amp;"|"&amp;I527)</f>
        <v/>
      </c>
      <c r="K527" s="19" t="str">
        <f aca="false">IF(H527="","",IF(AND(J527&lt;&gt;"",COUNTIF(Pessoas!$J:$J,J527)&gt;0),"SIM",IF(COUNTIF(Pessoas!$H:$H,H527)&gt;0,"nome igual em Pessoas: confira o CPF","")))</f>
        <v/>
      </c>
      <c r="L527" s="27"/>
      <c r="M527" s="5"/>
    </row>
    <row r="528" customFormat="false" ht="15" hidden="false" customHeight="false" outlineLevel="0" collapsed="false">
      <c r="A528" s="27"/>
      <c r="B528" s="5"/>
      <c r="C528" s="27"/>
      <c r="D528" s="18"/>
      <c r="E528" s="14"/>
      <c r="F528" s="18"/>
      <c r="G528" s="19" t="str">
        <f aca="false">IF(A528="","",IFERROR(INDEX(Empresas!$B:$B,MATCH(A528,Empresas!$A:$A,0))&amp;"","cadastre o CNPJ em Empresas"))</f>
        <v/>
      </c>
      <c r="H528" s="28" t="str">
        <f aca="false">IF(B528="","",SUBSTITUTE(SUBSTITUTE(SUBSTITUTE(SUBSTITUTE(SUBSTITUTE(SUBSTITUTE(SUBSTITUTE(SUBSTITUTE(SUBSTITUTE(SUBSTITUTE(SUBSTITUTE(SUBSTITUTE(SUBSTITUTE(UPPER(TRIM(B528)),"Á","A"),"À","A"),"Â","A"),"Ã","A"),"É","E"),"Ê","E"),"Í","I"),"Ó","O"),"Ô","O"),"Õ","O"),"Ú","U"),"Ü","U"),"Ç","C"))</f>
        <v/>
      </c>
      <c r="I528" s="28" t="str">
        <f aca="false">IF(C528="","",IF(LEN(SUBSTITUTE(SUBSTITUTE(SUBSTITUTE(SUBSTITUTE(TRIM(C528),"*",""),".",""),"-","")," ",""))=11,MID(SUBSTITUTE(SUBSTITUTE(SUBSTITUTE(SUBSTITUTE(TRIM(C528),"*",""),".",""),"-","")," ",""),4,6),SUBSTITUTE(SUBSTITUTE(SUBSTITUTE(SUBSTITUTE(TRIM(C528),"*",""),".",""),"-","")," ","")))</f>
        <v/>
      </c>
      <c r="J528" s="28" t="str">
        <f aca="false">IF(OR(H528="",I528=""),"",H528&amp;"|"&amp;I528)</f>
        <v/>
      </c>
      <c r="K528" s="19" t="str">
        <f aca="false">IF(H528="","",IF(AND(J528&lt;&gt;"",COUNTIF(Pessoas!$J:$J,J528)&gt;0),"SIM",IF(COUNTIF(Pessoas!$H:$H,H528)&gt;0,"nome igual em Pessoas: confira o CPF","")))</f>
        <v/>
      </c>
      <c r="L528" s="27"/>
      <c r="M528" s="5"/>
    </row>
    <row r="529" customFormat="false" ht="15" hidden="false" customHeight="false" outlineLevel="0" collapsed="false">
      <c r="A529" s="27"/>
      <c r="B529" s="5"/>
      <c r="C529" s="27"/>
      <c r="D529" s="18"/>
      <c r="E529" s="14"/>
      <c r="F529" s="18"/>
      <c r="G529" s="19" t="str">
        <f aca="false">IF(A529="","",IFERROR(INDEX(Empresas!$B:$B,MATCH(A529,Empresas!$A:$A,0))&amp;"","cadastre o CNPJ em Empresas"))</f>
        <v/>
      </c>
      <c r="H529" s="28" t="str">
        <f aca="false">IF(B529="","",SUBSTITUTE(SUBSTITUTE(SUBSTITUTE(SUBSTITUTE(SUBSTITUTE(SUBSTITUTE(SUBSTITUTE(SUBSTITUTE(SUBSTITUTE(SUBSTITUTE(SUBSTITUTE(SUBSTITUTE(SUBSTITUTE(UPPER(TRIM(B529)),"Á","A"),"À","A"),"Â","A"),"Ã","A"),"É","E"),"Ê","E"),"Í","I"),"Ó","O"),"Ô","O"),"Õ","O"),"Ú","U"),"Ü","U"),"Ç","C"))</f>
        <v/>
      </c>
      <c r="I529" s="28" t="str">
        <f aca="false">IF(C529="","",IF(LEN(SUBSTITUTE(SUBSTITUTE(SUBSTITUTE(SUBSTITUTE(TRIM(C529),"*",""),".",""),"-","")," ",""))=11,MID(SUBSTITUTE(SUBSTITUTE(SUBSTITUTE(SUBSTITUTE(TRIM(C529),"*",""),".",""),"-","")," ",""),4,6),SUBSTITUTE(SUBSTITUTE(SUBSTITUTE(SUBSTITUTE(TRIM(C529),"*",""),".",""),"-","")," ","")))</f>
        <v/>
      </c>
      <c r="J529" s="28" t="str">
        <f aca="false">IF(OR(H529="",I529=""),"",H529&amp;"|"&amp;I529)</f>
        <v/>
      </c>
      <c r="K529" s="19" t="str">
        <f aca="false">IF(H529="","",IF(AND(J529&lt;&gt;"",COUNTIF(Pessoas!$J:$J,J529)&gt;0),"SIM",IF(COUNTIF(Pessoas!$H:$H,H529)&gt;0,"nome igual em Pessoas: confira o CPF","")))</f>
        <v/>
      </c>
      <c r="L529" s="27"/>
      <c r="M529" s="5"/>
    </row>
    <row r="530" customFormat="false" ht="15" hidden="false" customHeight="false" outlineLevel="0" collapsed="false">
      <c r="A530" s="27"/>
      <c r="B530" s="5"/>
      <c r="C530" s="27"/>
      <c r="D530" s="18"/>
      <c r="E530" s="14"/>
      <c r="F530" s="18"/>
      <c r="G530" s="19" t="str">
        <f aca="false">IF(A530="","",IFERROR(INDEX(Empresas!$B:$B,MATCH(A530,Empresas!$A:$A,0))&amp;"","cadastre o CNPJ em Empresas"))</f>
        <v/>
      </c>
      <c r="H530" s="28" t="str">
        <f aca="false">IF(B530="","",SUBSTITUTE(SUBSTITUTE(SUBSTITUTE(SUBSTITUTE(SUBSTITUTE(SUBSTITUTE(SUBSTITUTE(SUBSTITUTE(SUBSTITUTE(SUBSTITUTE(SUBSTITUTE(SUBSTITUTE(SUBSTITUTE(UPPER(TRIM(B530)),"Á","A"),"À","A"),"Â","A"),"Ã","A"),"É","E"),"Ê","E"),"Í","I"),"Ó","O"),"Ô","O"),"Õ","O"),"Ú","U"),"Ü","U"),"Ç","C"))</f>
        <v/>
      </c>
      <c r="I530" s="28" t="str">
        <f aca="false">IF(C530="","",IF(LEN(SUBSTITUTE(SUBSTITUTE(SUBSTITUTE(SUBSTITUTE(TRIM(C530),"*",""),".",""),"-","")," ",""))=11,MID(SUBSTITUTE(SUBSTITUTE(SUBSTITUTE(SUBSTITUTE(TRIM(C530),"*",""),".",""),"-","")," ",""),4,6),SUBSTITUTE(SUBSTITUTE(SUBSTITUTE(SUBSTITUTE(TRIM(C530),"*",""),".",""),"-","")," ","")))</f>
        <v/>
      </c>
      <c r="J530" s="28" t="str">
        <f aca="false">IF(OR(H530="",I530=""),"",H530&amp;"|"&amp;I530)</f>
        <v/>
      </c>
      <c r="K530" s="19" t="str">
        <f aca="false">IF(H530="","",IF(AND(J530&lt;&gt;"",COUNTIF(Pessoas!$J:$J,J530)&gt;0),"SIM",IF(COUNTIF(Pessoas!$H:$H,H530)&gt;0,"nome igual em Pessoas: confira o CPF","")))</f>
        <v/>
      </c>
      <c r="L530" s="27"/>
      <c r="M530" s="5"/>
    </row>
    <row r="531" customFormat="false" ht="15" hidden="false" customHeight="false" outlineLevel="0" collapsed="false">
      <c r="A531" s="27"/>
      <c r="B531" s="5"/>
      <c r="C531" s="27"/>
      <c r="D531" s="18"/>
      <c r="E531" s="14"/>
      <c r="F531" s="18"/>
      <c r="G531" s="19" t="str">
        <f aca="false">IF(A531="","",IFERROR(INDEX(Empresas!$B:$B,MATCH(A531,Empresas!$A:$A,0))&amp;"","cadastre o CNPJ em Empresas"))</f>
        <v/>
      </c>
      <c r="H531" s="28" t="str">
        <f aca="false">IF(B531="","",SUBSTITUTE(SUBSTITUTE(SUBSTITUTE(SUBSTITUTE(SUBSTITUTE(SUBSTITUTE(SUBSTITUTE(SUBSTITUTE(SUBSTITUTE(SUBSTITUTE(SUBSTITUTE(SUBSTITUTE(SUBSTITUTE(UPPER(TRIM(B531)),"Á","A"),"À","A"),"Â","A"),"Ã","A"),"É","E"),"Ê","E"),"Í","I"),"Ó","O"),"Ô","O"),"Õ","O"),"Ú","U"),"Ü","U"),"Ç","C"))</f>
        <v/>
      </c>
      <c r="I531" s="28" t="str">
        <f aca="false">IF(C531="","",IF(LEN(SUBSTITUTE(SUBSTITUTE(SUBSTITUTE(SUBSTITUTE(TRIM(C531),"*",""),".",""),"-","")," ",""))=11,MID(SUBSTITUTE(SUBSTITUTE(SUBSTITUTE(SUBSTITUTE(TRIM(C531),"*",""),".",""),"-","")," ",""),4,6),SUBSTITUTE(SUBSTITUTE(SUBSTITUTE(SUBSTITUTE(TRIM(C531),"*",""),".",""),"-","")," ","")))</f>
        <v/>
      </c>
      <c r="J531" s="28" t="str">
        <f aca="false">IF(OR(H531="",I531=""),"",H531&amp;"|"&amp;I531)</f>
        <v/>
      </c>
      <c r="K531" s="19" t="str">
        <f aca="false">IF(H531="","",IF(AND(J531&lt;&gt;"",COUNTIF(Pessoas!$J:$J,J531)&gt;0),"SIM",IF(COUNTIF(Pessoas!$H:$H,H531)&gt;0,"nome igual em Pessoas: confira o CPF","")))</f>
        <v/>
      </c>
      <c r="L531" s="27"/>
      <c r="M531" s="5"/>
    </row>
    <row r="532" customFormat="false" ht="15" hidden="false" customHeight="false" outlineLevel="0" collapsed="false">
      <c r="A532" s="27"/>
      <c r="B532" s="5"/>
      <c r="C532" s="27"/>
      <c r="D532" s="18"/>
      <c r="E532" s="14"/>
      <c r="F532" s="18"/>
      <c r="G532" s="19" t="str">
        <f aca="false">IF(A532="","",IFERROR(INDEX(Empresas!$B:$B,MATCH(A532,Empresas!$A:$A,0))&amp;"","cadastre o CNPJ em Empresas"))</f>
        <v/>
      </c>
      <c r="H532" s="28" t="str">
        <f aca="false">IF(B532="","",SUBSTITUTE(SUBSTITUTE(SUBSTITUTE(SUBSTITUTE(SUBSTITUTE(SUBSTITUTE(SUBSTITUTE(SUBSTITUTE(SUBSTITUTE(SUBSTITUTE(SUBSTITUTE(SUBSTITUTE(SUBSTITUTE(UPPER(TRIM(B532)),"Á","A"),"À","A"),"Â","A"),"Ã","A"),"É","E"),"Ê","E"),"Í","I"),"Ó","O"),"Ô","O"),"Õ","O"),"Ú","U"),"Ü","U"),"Ç","C"))</f>
        <v/>
      </c>
      <c r="I532" s="28" t="str">
        <f aca="false">IF(C532="","",IF(LEN(SUBSTITUTE(SUBSTITUTE(SUBSTITUTE(SUBSTITUTE(TRIM(C532),"*",""),".",""),"-","")," ",""))=11,MID(SUBSTITUTE(SUBSTITUTE(SUBSTITUTE(SUBSTITUTE(TRIM(C532),"*",""),".",""),"-","")," ",""),4,6),SUBSTITUTE(SUBSTITUTE(SUBSTITUTE(SUBSTITUTE(TRIM(C532),"*",""),".",""),"-","")," ","")))</f>
        <v/>
      </c>
      <c r="J532" s="28" t="str">
        <f aca="false">IF(OR(H532="",I532=""),"",H532&amp;"|"&amp;I532)</f>
        <v/>
      </c>
      <c r="K532" s="19" t="str">
        <f aca="false">IF(H532="","",IF(AND(J532&lt;&gt;"",COUNTIF(Pessoas!$J:$J,J532)&gt;0),"SIM",IF(COUNTIF(Pessoas!$H:$H,H532)&gt;0,"nome igual em Pessoas: confira o CPF","")))</f>
        <v/>
      </c>
      <c r="L532" s="27"/>
      <c r="M532" s="5"/>
    </row>
    <row r="533" customFormat="false" ht="15" hidden="false" customHeight="false" outlineLevel="0" collapsed="false">
      <c r="A533" s="27"/>
      <c r="B533" s="5"/>
      <c r="C533" s="27"/>
      <c r="D533" s="18"/>
      <c r="E533" s="14"/>
      <c r="F533" s="18"/>
      <c r="G533" s="19" t="str">
        <f aca="false">IF(A533="","",IFERROR(INDEX(Empresas!$B:$B,MATCH(A533,Empresas!$A:$A,0))&amp;"","cadastre o CNPJ em Empresas"))</f>
        <v/>
      </c>
      <c r="H533" s="28" t="str">
        <f aca="false">IF(B533="","",SUBSTITUTE(SUBSTITUTE(SUBSTITUTE(SUBSTITUTE(SUBSTITUTE(SUBSTITUTE(SUBSTITUTE(SUBSTITUTE(SUBSTITUTE(SUBSTITUTE(SUBSTITUTE(SUBSTITUTE(SUBSTITUTE(UPPER(TRIM(B533)),"Á","A"),"À","A"),"Â","A"),"Ã","A"),"É","E"),"Ê","E"),"Í","I"),"Ó","O"),"Ô","O"),"Õ","O"),"Ú","U"),"Ü","U"),"Ç","C"))</f>
        <v/>
      </c>
      <c r="I533" s="28" t="str">
        <f aca="false">IF(C533="","",IF(LEN(SUBSTITUTE(SUBSTITUTE(SUBSTITUTE(SUBSTITUTE(TRIM(C533),"*",""),".",""),"-","")," ",""))=11,MID(SUBSTITUTE(SUBSTITUTE(SUBSTITUTE(SUBSTITUTE(TRIM(C533),"*",""),".",""),"-","")," ",""),4,6),SUBSTITUTE(SUBSTITUTE(SUBSTITUTE(SUBSTITUTE(TRIM(C533),"*",""),".",""),"-","")," ","")))</f>
        <v/>
      </c>
      <c r="J533" s="28" t="str">
        <f aca="false">IF(OR(H533="",I533=""),"",H533&amp;"|"&amp;I533)</f>
        <v/>
      </c>
      <c r="K533" s="19" t="str">
        <f aca="false">IF(H533="","",IF(AND(J533&lt;&gt;"",COUNTIF(Pessoas!$J:$J,J533)&gt;0),"SIM",IF(COUNTIF(Pessoas!$H:$H,H533)&gt;0,"nome igual em Pessoas: confira o CPF","")))</f>
        <v/>
      </c>
      <c r="L533" s="27"/>
      <c r="M533" s="5"/>
    </row>
    <row r="534" customFormat="false" ht="15" hidden="false" customHeight="false" outlineLevel="0" collapsed="false">
      <c r="A534" s="27"/>
      <c r="B534" s="5"/>
      <c r="C534" s="27"/>
      <c r="D534" s="18"/>
      <c r="E534" s="14"/>
      <c r="F534" s="18"/>
      <c r="G534" s="19" t="str">
        <f aca="false">IF(A534="","",IFERROR(INDEX(Empresas!$B:$B,MATCH(A534,Empresas!$A:$A,0))&amp;"","cadastre o CNPJ em Empresas"))</f>
        <v/>
      </c>
      <c r="H534" s="28" t="str">
        <f aca="false">IF(B534="","",SUBSTITUTE(SUBSTITUTE(SUBSTITUTE(SUBSTITUTE(SUBSTITUTE(SUBSTITUTE(SUBSTITUTE(SUBSTITUTE(SUBSTITUTE(SUBSTITUTE(SUBSTITUTE(SUBSTITUTE(SUBSTITUTE(UPPER(TRIM(B534)),"Á","A"),"À","A"),"Â","A"),"Ã","A"),"É","E"),"Ê","E"),"Í","I"),"Ó","O"),"Ô","O"),"Õ","O"),"Ú","U"),"Ü","U"),"Ç","C"))</f>
        <v/>
      </c>
      <c r="I534" s="28" t="str">
        <f aca="false">IF(C534="","",IF(LEN(SUBSTITUTE(SUBSTITUTE(SUBSTITUTE(SUBSTITUTE(TRIM(C534),"*",""),".",""),"-","")," ",""))=11,MID(SUBSTITUTE(SUBSTITUTE(SUBSTITUTE(SUBSTITUTE(TRIM(C534),"*",""),".",""),"-","")," ",""),4,6),SUBSTITUTE(SUBSTITUTE(SUBSTITUTE(SUBSTITUTE(TRIM(C534),"*",""),".",""),"-","")," ","")))</f>
        <v/>
      </c>
      <c r="J534" s="28" t="str">
        <f aca="false">IF(OR(H534="",I534=""),"",H534&amp;"|"&amp;I534)</f>
        <v/>
      </c>
      <c r="K534" s="19" t="str">
        <f aca="false">IF(H534="","",IF(AND(J534&lt;&gt;"",COUNTIF(Pessoas!$J:$J,J534)&gt;0),"SIM",IF(COUNTIF(Pessoas!$H:$H,H534)&gt;0,"nome igual em Pessoas: confira o CPF","")))</f>
        <v/>
      </c>
      <c r="L534" s="27"/>
      <c r="M534" s="5"/>
    </row>
    <row r="535" customFormat="false" ht="15" hidden="false" customHeight="false" outlineLevel="0" collapsed="false">
      <c r="A535" s="27"/>
      <c r="B535" s="5"/>
      <c r="C535" s="27"/>
      <c r="D535" s="18"/>
      <c r="E535" s="14"/>
      <c r="F535" s="18"/>
      <c r="G535" s="19" t="str">
        <f aca="false">IF(A535="","",IFERROR(INDEX(Empresas!$B:$B,MATCH(A535,Empresas!$A:$A,0))&amp;"","cadastre o CNPJ em Empresas"))</f>
        <v/>
      </c>
      <c r="H535" s="28" t="str">
        <f aca="false">IF(B535="","",SUBSTITUTE(SUBSTITUTE(SUBSTITUTE(SUBSTITUTE(SUBSTITUTE(SUBSTITUTE(SUBSTITUTE(SUBSTITUTE(SUBSTITUTE(SUBSTITUTE(SUBSTITUTE(SUBSTITUTE(SUBSTITUTE(UPPER(TRIM(B535)),"Á","A"),"À","A"),"Â","A"),"Ã","A"),"É","E"),"Ê","E"),"Í","I"),"Ó","O"),"Ô","O"),"Õ","O"),"Ú","U"),"Ü","U"),"Ç","C"))</f>
        <v/>
      </c>
      <c r="I535" s="28" t="str">
        <f aca="false">IF(C535="","",IF(LEN(SUBSTITUTE(SUBSTITUTE(SUBSTITUTE(SUBSTITUTE(TRIM(C535),"*",""),".",""),"-","")," ",""))=11,MID(SUBSTITUTE(SUBSTITUTE(SUBSTITUTE(SUBSTITUTE(TRIM(C535),"*",""),".",""),"-","")," ",""),4,6),SUBSTITUTE(SUBSTITUTE(SUBSTITUTE(SUBSTITUTE(TRIM(C535),"*",""),".",""),"-","")," ","")))</f>
        <v/>
      </c>
      <c r="J535" s="28" t="str">
        <f aca="false">IF(OR(H535="",I535=""),"",H535&amp;"|"&amp;I535)</f>
        <v/>
      </c>
      <c r="K535" s="19" t="str">
        <f aca="false">IF(H535="","",IF(AND(J535&lt;&gt;"",COUNTIF(Pessoas!$J:$J,J535)&gt;0),"SIM",IF(COUNTIF(Pessoas!$H:$H,H535)&gt;0,"nome igual em Pessoas: confira o CPF","")))</f>
        <v/>
      </c>
      <c r="L535" s="27"/>
      <c r="M535" s="5"/>
    </row>
    <row r="536" customFormat="false" ht="15" hidden="false" customHeight="false" outlineLevel="0" collapsed="false">
      <c r="A536" s="27"/>
      <c r="B536" s="5"/>
      <c r="C536" s="27"/>
      <c r="D536" s="18"/>
      <c r="E536" s="14"/>
      <c r="F536" s="18"/>
      <c r="G536" s="19" t="str">
        <f aca="false">IF(A536="","",IFERROR(INDEX(Empresas!$B:$B,MATCH(A536,Empresas!$A:$A,0))&amp;"","cadastre o CNPJ em Empresas"))</f>
        <v/>
      </c>
      <c r="H536" s="28" t="str">
        <f aca="false">IF(B536="","",SUBSTITUTE(SUBSTITUTE(SUBSTITUTE(SUBSTITUTE(SUBSTITUTE(SUBSTITUTE(SUBSTITUTE(SUBSTITUTE(SUBSTITUTE(SUBSTITUTE(SUBSTITUTE(SUBSTITUTE(SUBSTITUTE(UPPER(TRIM(B536)),"Á","A"),"À","A"),"Â","A"),"Ã","A"),"É","E"),"Ê","E"),"Í","I"),"Ó","O"),"Ô","O"),"Õ","O"),"Ú","U"),"Ü","U"),"Ç","C"))</f>
        <v/>
      </c>
      <c r="I536" s="28" t="str">
        <f aca="false">IF(C536="","",IF(LEN(SUBSTITUTE(SUBSTITUTE(SUBSTITUTE(SUBSTITUTE(TRIM(C536),"*",""),".",""),"-","")," ",""))=11,MID(SUBSTITUTE(SUBSTITUTE(SUBSTITUTE(SUBSTITUTE(TRIM(C536),"*",""),".",""),"-","")," ",""),4,6),SUBSTITUTE(SUBSTITUTE(SUBSTITUTE(SUBSTITUTE(TRIM(C536),"*",""),".",""),"-","")," ","")))</f>
        <v/>
      </c>
      <c r="J536" s="28" t="str">
        <f aca="false">IF(OR(H536="",I536=""),"",H536&amp;"|"&amp;I536)</f>
        <v/>
      </c>
      <c r="K536" s="19" t="str">
        <f aca="false">IF(H536="","",IF(AND(J536&lt;&gt;"",COUNTIF(Pessoas!$J:$J,J536)&gt;0),"SIM",IF(COUNTIF(Pessoas!$H:$H,H536)&gt;0,"nome igual em Pessoas: confira o CPF","")))</f>
        <v/>
      </c>
      <c r="L536" s="27"/>
      <c r="M536" s="5"/>
    </row>
    <row r="537" customFormat="false" ht="15" hidden="false" customHeight="false" outlineLevel="0" collapsed="false">
      <c r="A537" s="27"/>
      <c r="B537" s="5"/>
      <c r="C537" s="27"/>
      <c r="D537" s="18"/>
      <c r="E537" s="14"/>
      <c r="F537" s="18"/>
      <c r="G537" s="19" t="str">
        <f aca="false">IF(A537="","",IFERROR(INDEX(Empresas!$B:$B,MATCH(A537,Empresas!$A:$A,0))&amp;"","cadastre o CNPJ em Empresas"))</f>
        <v/>
      </c>
      <c r="H537" s="28" t="str">
        <f aca="false">IF(B537="","",SUBSTITUTE(SUBSTITUTE(SUBSTITUTE(SUBSTITUTE(SUBSTITUTE(SUBSTITUTE(SUBSTITUTE(SUBSTITUTE(SUBSTITUTE(SUBSTITUTE(SUBSTITUTE(SUBSTITUTE(SUBSTITUTE(UPPER(TRIM(B537)),"Á","A"),"À","A"),"Â","A"),"Ã","A"),"É","E"),"Ê","E"),"Í","I"),"Ó","O"),"Ô","O"),"Õ","O"),"Ú","U"),"Ü","U"),"Ç","C"))</f>
        <v/>
      </c>
      <c r="I537" s="28" t="str">
        <f aca="false">IF(C537="","",IF(LEN(SUBSTITUTE(SUBSTITUTE(SUBSTITUTE(SUBSTITUTE(TRIM(C537),"*",""),".",""),"-","")," ",""))=11,MID(SUBSTITUTE(SUBSTITUTE(SUBSTITUTE(SUBSTITUTE(TRIM(C537),"*",""),".",""),"-","")," ",""),4,6),SUBSTITUTE(SUBSTITUTE(SUBSTITUTE(SUBSTITUTE(TRIM(C537),"*",""),".",""),"-","")," ","")))</f>
        <v/>
      </c>
      <c r="J537" s="28" t="str">
        <f aca="false">IF(OR(H537="",I537=""),"",H537&amp;"|"&amp;I537)</f>
        <v/>
      </c>
      <c r="K537" s="19" t="str">
        <f aca="false">IF(H537="","",IF(AND(J537&lt;&gt;"",COUNTIF(Pessoas!$J:$J,J537)&gt;0),"SIM",IF(COUNTIF(Pessoas!$H:$H,H537)&gt;0,"nome igual em Pessoas: confira o CPF","")))</f>
        <v/>
      </c>
      <c r="L537" s="27"/>
      <c r="M537" s="5"/>
    </row>
    <row r="538" customFormat="false" ht="15" hidden="false" customHeight="false" outlineLevel="0" collapsed="false">
      <c r="A538" s="27"/>
      <c r="B538" s="5"/>
      <c r="C538" s="27"/>
      <c r="D538" s="18"/>
      <c r="E538" s="14"/>
      <c r="F538" s="18"/>
      <c r="G538" s="19" t="str">
        <f aca="false">IF(A538="","",IFERROR(INDEX(Empresas!$B:$B,MATCH(A538,Empresas!$A:$A,0))&amp;"","cadastre o CNPJ em Empresas"))</f>
        <v/>
      </c>
      <c r="H538" s="28" t="str">
        <f aca="false">IF(B538="","",SUBSTITUTE(SUBSTITUTE(SUBSTITUTE(SUBSTITUTE(SUBSTITUTE(SUBSTITUTE(SUBSTITUTE(SUBSTITUTE(SUBSTITUTE(SUBSTITUTE(SUBSTITUTE(SUBSTITUTE(SUBSTITUTE(UPPER(TRIM(B538)),"Á","A"),"À","A"),"Â","A"),"Ã","A"),"É","E"),"Ê","E"),"Í","I"),"Ó","O"),"Ô","O"),"Õ","O"),"Ú","U"),"Ü","U"),"Ç","C"))</f>
        <v/>
      </c>
      <c r="I538" s="28" t="str">
        <f aca="false">IF(C538="","",IF(LEN(SUBSTITUTE(SUBSTITUTE(SUBSTITUTE(SUBSTITUTE(TRIM(C538),"*",""),".",""),"-","")," ",""))=11,MID(SUBSTITUTE(SUBSTITUTE(SUBSTITUTE(SUBSTITUTE(TRIM(C538),"*",""),".",""),"-","")," ",""),4,6),SUBSTITUTE(SUBSTITUTE(SUBSTITUTE(SUBSTITUTE(TRIM(C538),"*",""),".",""),"-","")," ","")))</f>
        <v/>
      </c>
      <c r="J538" s="28" t="str">
        <f aca="false">IF(OR(H538="",I538=""),"",H538&amp;"|"&amp;I538)</f>
        <v/>
      </c>
      <c r="K538" s="19" t="str">
        <f aca="false">IF(H538="","",IF(AND(J538&lt;&gt;"",COUNTIF(Pessoas!$J:$J,J538)&gt;0),"SIM",IF(COUNTIF(Pessoas!$H:$H,H538)&gt;0,"nome igual em Pessoas: confira o CPF","")))</f>
        <v/>
      </c>
      <c r="L538" s="27"/>
      <c r="M538" s="5"/>
    </row>
    <row r="539" customFormat="false" ht="15" hidden="false" customHeight="false" outlineLevel="0" collapsed="false">
      <c r="A539" s="27"/>
      <c r="B539" s="5"/>
      <c r="C539" s="27"/>
      <c r="D539" s="18"/>
      <c r="E539" s="14"/>
      <c r="F539" s="18"/>
      <c r="G539" s="19" t="str">
        <f aca="false">IF(A539="","",IFERROR(INDEX(Empresas!$B:$B,MATCH(A539,Empresas!$A:$A,0))&amp;"","cadastre o CNPJ em Empresas"))</f>
        <v/>
      </c>
      <c r="H539" s="28" t="str">
        <f aca="false">IF(B539="","",SUBSTITUTE(SUBSTITUTE(SUBSTITUTE(SUBSTITUTE(SUBSTITUTE(SUBSTITUTE(SUBSTITUTE(SUBSTITUTE(SUBSTITUTE(SUBSTITUTE(SUBSTITUTE(SUBSTITUTE(SUBSTITUTE(UPPER(TRIM(B539)),"Á","A"),"À","A"),"Â","A"),"Ã","A"),"É","E"),"Ê","E"),"Í","I"),"Ó","O"),"Ô","O"),"Õ","O"),"Ú","U"),"Ü","U"),"Ç","C"))</f>
        <v/>
      </c>
      <c r="I539" s="28" t="str">
        <f aca="false">IF(C539="","",IF(LEN(SUBSTITUTE(SUBSTITUTE(SUBSTITUTE(SUBSTITUTE(TRIM(C539),"*",""),".",""),"-","")," ",""))=11,MID(SUBSTITUTE(SUBSTITUTE(SUBSTITUTE(SUBSTITUTE(TRIM(C539),"*",""),".",""),"-","")," ",""),4,6),SUBSTITUTE(SUBSTITUTE(SUBSTITUTE(SUBSTITUTE(TRIM(C539),"*",""),".",""),"-","")," ","")))</f>
        <v/>
      </c>
      <c r="J539" s="28" t="str">
        <f aca="false">IF(OR(H539="",I539=""),"",H539&amp;"|"&amp;I539)</f>
        <v/>
      </c>
      <c r="K539" s="19" t="str">
        <f aca="false">IF(H539="","",IF(AND(J539&lt;&gt;"",COUNTIF(Pessoas!$J:$J,J539)&gt;0),"SIM",IF(COUNTIF(Pessoas!$H:$H,H539)&gt;0,"nome igual em Pessoas: confira o CPF","")))</f>
        <v/>
      </c>
      <c r="L539" s="27"/>
      <c r="M539" s="5"/>
    </row>
    <row r="540" customFormat="false" ht="15" hidden="false" customHeight="false" outlineLevel="0" collapsed="false">
      <c r="A540" s="27"/>
      <c r="B540" s="5"/>
      <c r="C540" s="27"/>
      <c r="D540" s="18"/>
      <c r="E540" s="14"/>
      <c r="F540" s="18"/>
      <c r="G540" s="19" t="str">
        <f aca="false">IF(A540="","",IFERROR(INDEX(Empresas!$B:$B,MATCH(A540,Empresas!$A:$A,0))&amp;"","cadastre o CNPJ em Empresas"))</f>
        <v/>
      </c>
      <c r="H540" s="28" t="str">
        <f aca="false">IF(B540="","",SUBSTITUTE(SUBSTITUTE(SUBSTITUTE(SUBSTITUTE(SUBSTITUTE(SUBSTITUTE(SUBSTITUTE(SUBSTITUTE(SUBSTITUTE(SUBSTITUTE(SUBSTITUTE(SUBSTITUTE(SUBSTITUTE(UPPER(TRIM(B540)),"Á","A"),"À","A"),"Â","A"),"Ã","A"),"É","E"),"Ê","E"),"Í","I"),"Ó","O"),"Ô","O"),"Õ","O"),"Ú","U"),"Ü","U"),"Ç","C"))</f>
        <v/>
      </c>
      <c r="I540" s="28" t="str">
        <f aca="false">IF(C540="","",IF(LEN(SUBSTITUTE(SUBSTITUTE(SUBSTITUTE(SUBSTITUTE(TRIM(C540),"*",""),".",""),"-","")," ",""))=11,MID(SUBSTITUTE(SUBSTITUTE(SUBSTITUTE(SUBSTITUTE(TRIM(C540),"*",""),".",""),"-","")," ",""),4,6),SUBSTITUTE(SUBSTITUTE(SUBSTITUTE(SUBSTITUTE(TRIM(C540),"*",""),".",""),"-","")," ","")))</f>
        <v/>
      </c>
      <c r="J540" s="28" t="str">
        <f aca="false">IF(OR(H540="",I540=""),"",H540&amp;"|"&amp;I540)</f>
        <v/>
      </c>
      <c r="K540" s="19" t="str">
        <f aca="false">IF(H540="","",IF(AND(J540&lt;&gt;"",COUNTIF(Pessoas!$J:$J,J540)&gt;0),"SIM",IF(COUNTIF(Pessoas!$H:$H,H540)&gt;0,"nome igual em Pessoas: confira o CPF","")))</f>
        <v/>
      </c>
      <c r="L540" s="27"/>
      <c r="M540" s="5"/>
    </row>
    <row r="541" customFormat="false" ht="15" hidden="false" customHeight="false" outlineLevel="0" collapsed="false">
      <c r="A541" s="27"/>
      <c r="B541" s="5"/>
      <c r="C541" s="27"/>
      <c r="D541" s="18"/>
      <c r="E541" s="14"/>
      <c r="F541" s="18"/>
      <c r="G541" s="19" t="str">
        <f aca="false">IF(A541="","",IFERROR(INDEX(Empresas!$B:$B,MATCH(A541,Empresas!$A:$A,0))&amp;"","cadastre o CNPJ em Empresas"))</f>
        <v/>
      </c>
      <c r="H541" s="28" t="str">
        <f aca="false">IF(B541="","",SUBSTITUTE(SUBSTITUTE(SUBSTITUTE(SUBSTITUTE(SUBSTITUTE(SUBSTITUTE(SUBSTITUTE(SUBSTITUTE(SUBSTITUTE(SUBSTITUTE(SUBSTITUTE(SUBSTITUTE(SUBSTITUTE(UPPER(TRIM(B541)),"Á","A"),"À","A"),"Â","A"),"Ã","A"),"É","E"),"Ê","E"),"Í","I"),"Ó","O"),"Ô","O"),"Õ","O"),"Ú","U"),"Ü","U"),"Ç","C"))</f>
        <v/>
      </c>
      <c r="I541" s="28" t="str">
        <f aca="false">IF(C541="","",IF(LEN(SUBSTITUTE(SUBSTITUTE(SUBSTITUTE(SUBSTITUTE(TRIM(C541),"*",""),".",""),"-","")," ",""))=11,MID(SUBSTITUTE(SUBSTITUTE(SUBSTITUTE(SUBSTITUTE(TRIM(C541),"*",""),".",""),"-","")," ",""),4,6),SUBSTITUTE(SUBSTITUTE(SUBSTITUTE(SUBSTITUTE(TRIM(C541),"*",""),".",""),"-","")," ","")))</f>
        <v/>
      </c>
      <c r="J541" s="28" t="str">
        <f aca="false">IF(OR(H541="",I541=""),"",H541&amp;"|"&amp;I541)</f>
        <v/>
      </c>
      <c r="K541" s="19" t="str">
        <f aca="false">IF(H541="","",IF(AND(J541&lt;&gt;"",COUNTIF(Pessoas!$J:$J,J541)&gt;0),"SIM",IF(COUNTIF(Pessoas!$H:$H,H541)&gt;0,"nome igual em Pessoas: confira o CPF","")))</f>
        <v/>
      </c>
      <c r="L541" s="27"/>
      <c r="M541" s="5"/>
    </row>
    <row r="542" customFormat="false" ht="15" hidden="false" customHeight="false" outlineLevel="0" collapsed="false">
      <c r="A542" s="27"/>
      <c r="B542" s="5"/>
      <c r="C542" s="27"/>
      <c r="D542" s="18"/>
      <c r="E542" s="14"/>
      <c r="F542" s="18"/>
      <c r="G542" s="19" t="str">
        <f aca="false">IF(A542="","",IFERROR(INDEX(Empresas!$B:$B,MATCH(A542,Empresas!$A:$A,0))&amp;"","cadastre o CNPJ em Empresas"))</f>
        <v/>
      </c>
      <c r="H542" s="28" t="str">
        <f aca="false">IF(B542="","",SUBSTITUTE(SUBSTITUTE(SUBSTITUTE(SUBSTITUTE(SUBSTITUTE(SUBSTITUTE(SUBSTITUTE(SUBSTITUTE(SUBSTITUTE(SUBSTITUTE(SUBSTITUTE(SUBSTITUTE(SUBSTITUTE(UPPER(TRIM(B542)),"Á","A"),"À","A"),"Â","A"),"Ã","A"),"É","E"),"Ê","E"),"Í","I"),"Ó","O"),"Ô","O"),"Õ","O"),"Ú","U"),"Ü","U"),"Ç","C"))</f>
        <v/>
      </c>
      <c r="I542" s="28" t="str">
        <f aca="false">IF(C542="","",IF(LEN(SUBSTITUTE(SUBSTITUTE(SUBSTITUTE(SUBSTITUTE(TRIM(C542),"*",""),".",""),"-","")," ",""))=11,MID(SUBSTITUTE(SUBSTITUTE(SUBSTITUTE(SUBSTITUTE(TRIM(C542),"*",""),".",""),"-","")," ",""),4,6),SUBSTITUTE(SUBSTITUTE(SUBSTITUTE(SUBSTITUTE(TRIM(C542),"*",""),".",""),"-","")," ","")))</f>
        <v/>
      </c>
      <c r="J542" s="28" t="str">
        <f aca="false">IF(OR(H542="",I542=""),"",H542&amp;"|"&amp;I542)</f>
        <v/>
      </c>
      <c r="K542" s="19" t="str">
        <f aca="false">IF(H542="","",IF(AND(J542&lt;&gt;"",COUNTIF(Pessoas!$J:$J,J542)&gt;0),"SIM",IF(COUNTIF(Pessoas!$H:$H,H542)&gt;0,"nome igual em Pessoas: confira o CPF","")))</f>
        <v/>
      </c>
      <c r="L542" s="27"/>
      <c r="M542" s="5"/>
    </row>
    <row r="543" customFormat="false" ht="15" hidden="false" customHeight="false" outlineLevel="0" collapsed="false">
      <c r="A543" s="27"/>
      <c r="B543" s="5"/>
      <c r="C543" s="27"/>
      <c r="D543" s="18"/>
      <c r="E543" s="14"/>
      <c r="F543" s="18"/>
      <c r="G543" s="19" t="str">
        <f aca="false">IF(A543="","",IFERROR(INDEX(Empresas!$B:$B,MATCH(A543,Empresas!$A:$A,0))&amp;"","cadastre o CNPJ em Empresas"))</f>
        <v/>
      </c>
      <c r="H543" s="28" t="str">
        <f aca="false">IF(B543="","",SUBSTITUTE(SUBSTITUTE(SUBSTITUTE(SUBSTITUTE(SUBSTITUTE(SUBSTITUTE(SUBSTITUTE(SUBSTITUTE(SUBSTITUTE(SUBSTITUTE(SUBSTITUTE(SUBSTITUTE(SUBSTITUTE(UPPER(TRIM(B543)),"Á","A"),"À","A"),"Â","A"),"Ã","A"),"É","E"),"Ê","E"),"Í","I"),"Ó","O"),"Ô","O"),"Õ","O"),"Ú","U"),"Ü","U"),"Ç","C"))</f>
        <v/>
      </c>
      <c r="I543" s="28" t="str">
        <f aca="false">IF(C543="","",IF(LEN(SUBSTITUTE(SUBSTITUTE(SUBSTITUTE(SUBSTITUTE(TRIM(C543),"*",""),".",""),"-","")," ",""))=11,MID(SUBSTITUTE(SUBSTITUTE(SUBSTITUTE(SUBSTITUTE(TRIM(C543),"*",""),".",""),"-","")," ",""),4,6),SUBSTITUTE(SUBSTITUTE(SUBSTITUTE(SUBSTITUTE(TRIM(C543),"*",""),".",""),"-","")," ","")))</f>
        <v/>
      </c>
      <c r="J543" s="28" t="str">
        <f aca="false">IF(OR(H543="",I543=""),"",H543&amp;"|"&amp;I543)</f>
        <v/>
      </c>
      <c r="K543" s="19" t="str">
        <f aca="false">IF(H543="","",IF(AND(J543&lt;&gt;"",COUNTIF(Pessoas!$J:$J,J543)&gt;0),"SIM",IF(COUNTIF(Pessoas!$H:$H,H543)&gt;0,"nome igual em Pessoas: confira o CPF","")))</f>
        <v/>
      </c>
      <c r="L543" s="27"/>
      <c r="M543" s="5"/>
    </row>
    <row r="544" customFormat="false" ht="15" hidden="false" customHeight="false" outlineLevel="0" collapsed="false">
      <c r="A544" s="27"/>
      <c r="B544" s="5"/>
      <c r="C544" s="27"/>
      <c r="D544" s="18"/>
      <c r="E544" s="14"/>
      <c r="F544" s="18"/>
      <c r="G544" s="19" t="str">
        <f aca="false">IF(A544="","",IFERROR(INDEX(Empresas!$B:$B,MATCH(A544,Empresas!$A:$A,0))&amp;"","cadastre o CNPJ em Empresas"))</f>
        <v/>
      </c>
      <c r="H544" s="28" t="str">
        <f aca="false">IF(B544="","",SUBSTITUTE(SUBSTITUTE(SUBSTITUTE(SUBSTITUTE(SUBSTITUTE(SUBSTITUTE(SUBSTITUTE(SUBSTITUTE(SUBSTITUTE(SUBSTITUTE(SUBSTITUTE(SUBSTITUTE(SUBSTITUTE(UPPER(TRIM(B544)),"Á","A"),"À","A"),"Â","A"),"Ã","A"),"É","E"),"Ê","E"),"Í","I"),"Ó","O"),"Ô","O"),"Õ","O"),"Ú","U"),"Ü","U"),"Ç","C"))</f>
        <v/>
      </c>
      <c r="I544" s="28" t="str">
        <f aca="false">IF(C544="","",IF(LEN(SUBSTITUTE(SUBSTITUTE(SUBSTITUTE(SUBSTITUTE(TRIM(C544),"*",""),".",""),"-","")," ",""))=11,MID(SUBSTITUTE(SUBSTITUTE(SUBSTITUTE(SUBSTITUTE(TRIM(C544),"*",""),".",""),"-","")," ",""),4,6),SUBSTITUTE(SUBSTITUTE(SUBSTITUTE(SUBSTITUTE(TRIM(C544),"*",""),".",""),"-","")," ","")))</f>
        <v/>
      </c>
      <c r="J544" s="28" t="str">
        <f aca="false">IF(OR(H544="",I544=""),"",H544&amp;"|"&amp;I544)</f>
        <v/>
      </c>
      <c r="K544" s="19" t="str">
        <f aca="false">IF(H544="","",IF(AND(J544&lt;&gt;"",COUNTIF(Pessoas!$J:$J,J544)&gt;0),"SIM",IF(COUNTIF(Pessoas!$H:$H,H544)&gt;0,"nome igual em Pessoas: confira o CPF","")))</f>
        <v/>
      </c>
      <c r="L544" s="27"/>
      <c r="M544" s="5"/>
    </row>
    <row r="545" customFormat="false" ht="15" hidden="false" customHeight="false" outlineLevel="0" collapsed="false">
      <c r="A545" s="27"/>
      <c r="B545" s="5"/>
      <c r="C545" s="27"/>
      <c r="D545" s="18"/>
      <c r="E545" s="14"/>
      <c r="F545" s="18"/>
      <c r="G545" s="19" t="str">
        <f aca="false">IF(A545="","",IFERROR(INDEX(Empresas!$B:$B,MATCH(A545,Empresas!$A:$A,0))&amp;"","cadastre o CNPJ em Empresas"))</f>
        <v/>
      </c>
      <c r="H545" s="28" t="str">
        <f aca="false">IF(B545="","",SUBSTITUTE(SUBSTITUTE(SUBSTITUTE(SUBSTITUTE(SUBSTITUTE(SUBSTITUTE(SUBSTITUTE(SUBSTITUTE(SUBSTITUTE(SUBSTITUTE(SUBSTITUTE(SUBSTITUTE(SUBSTITUTE(UPPER(TRIM(B545)),"Á","A"),"À","A"),"Â","A"),"Ã","A"),"É","E"),"Ê","E"),"Í","I"),"Ó","O"),"Ô","O"),"Õ","O"),"Ú","U"),"Ü","U"),"Ç","C"))</f>
        <v/>
      </c>
      <c r="I545" s="28" t="str">
        <f aca="false">IF(C545="","",IF(LEN(SUBSTITUTE(SUBSTITUTE(SUBSTITUTE(SUBSTITUTE(TRIM(C545),"*",""),".",""),"-","")," ",""))=11,MID(SUBSTITUTE(SUBSTITUTE(SUBSTITUTE(SUBSTITUTE(TRIM(C545),"*",""),".",""),"-","")," ",""),4,6),SUBSTITUTE(SUBSTITUTE(SUBSTITUTE(SUBSTITUTE(TRIM(C545),"*",""),".",""),"-","")," ","")))</f>
        <v/>
      </c>
      <c r="J545" s="28" t="str">
        <f aca="false">IF(OR(H545="",I545=""),"",H545&amp;"|"&amp;I545)</f>
        <v/>
      </c>
      <c r="K545" s="19" t="str">
        <f aca="false">IF(H545="","",IF(AND(J545&lt;&gt;"",COUNTIF(Pessoas!$J:$J,J545)&gt;0),"SIM",IF(COUNTIF(Pessoas!$H:$H,H545)&gt;0,"nome igual em Pessoas: confira o CPF","")))</f>
        <v/>
      </c>
      <c r="L545" s="27"/>
      <c r="M545" s="5"/>
    </row>
    <row r="546" customFormat="false" ht="15" hidden="false" customHeight="false" outlineLevel="0" collapsed="false">
      <c r="A546" s="27"/>
      <c r="B546" s="5"/>
      <c r="C546" s="27"/>
      <c r="D546" s="18"/>
      <c r="E546" s="14"/>
      <c r="F546" s="18"/>
      <c r="G546" s="19" t="str">
        <f aca="false">IF(A546="","",IFERROR(INDEX(Empresas!$B:$B,MATCH(A546,Empresas!$A:$A,0))&amp;"","cadastre o CNPJ em Empresas"))</f>
        <v/>
      </c>
      <c r="H546" s="28" t="str">
        <f aca="false">IF(B546="","",SUBSTITUTE(SUBSTITUTE(SUBSTITUTE(SUBSTITUTE(SUBSTITUTE(SUBSTITUTE(SUBSTITUTE(SUBSTITUTE(SUBSTITUTE(SUBSTITUTE(SUBSTITUTE(SUBSTITUTE(SUBSTITUTE(UPPER(TRIM(B546)),"Á","A"),"À","A"),"Â","A"),"Ã","A"),"É","E"),"Ê","E"),"Í","I"),"Ó","O"),"Ô","O"),"Õ","O"),"Ú","U"),"Ü","U"),"Ç","C"))</f>
        <v/>
      </c>
      <c r="I546" s="28" t="str">
        <f aca="false">IF(C546="","",IF(LEN(SUBSTITUTE(SUBSTITUTE(SUBSTITUTE(SUBSTITUTE(TRIM(C546),"*",""),".",""),"-","")," ",""))=11,MID(SUBSTITUTE(SUBSTITUTE(SUBSTITUTE(SUBSTITUTE(TRIM(C546),"*",""),".",""),"-","")," ",""),4,6),SUBSTITUTE(SUBSTITUTE(SUBSTITUTE(SUBSTITUTE(TRIM(C546),"*",""),".",""),"-","")," ","")))</f>
        <v/>
      </c>
      <c r="J546" s="28" t="str">
        <f aca="false">IF(OR(H546="",I546=""),"",H546&amp;"|"&amp;I546)</f>
        <v/>
      </c>
      <c r="K546" s="19" t="str">
        <f aca="false">IF(H546="","",IF(AND(J546&lt;&gt;"",COUNTIF(Pessoas!$J:$J,J546)&gt;0),"SIM",IF(COUNTIF(Pessoas!$H:$H,H546)&gt;0,"nome igual em Pessoas: confira o CPF","")))</f>
        <v/>
      </c>
      <c r="L546" s="27"/>
      <c r="M546" s="5"/>
    </row>
    <row r="547" customFormat="false" ht="15" hidden="false" customHeight="false" outlineLevel="0" collapsed="false">
      <c r="A547" s="27"/>
      <c r="B547" s="5"/>
      <c r="C547" s="27"/>
      <c r="D547" s="18"/>
      <c r="E547" s="14"/>
      <c r="F547" s="18"/>
      <c r="G547" s="19" t="str">
        <f aca="false">IF(A547="","",IFERROR(INDEX(Empresas!$B:$B,MATCH(A547,Empresas!$A:$A,0))&amp;"","cadastre o CNPJ em Empresas"))</f>
        <v/>
      </c>
      <c r="H547" s="28" t="str">
        <f aca="false">IF(B547="","",SUBSTITUTE(SUBSTITUTE(SUBSTITUTE(SUBSTITUTE(SUBSTITUTE(SUBSTITUTE(SUBSTITUTE(SUBSTITUTE(SUBSTITUTE(SUBSTITUTE(SUBSTITUTE(SUBSTITUTE(SUBSTITUTE(UPPER(TRIM(B547)),"Á","A"),"À","A"),"Â","A"),"Ã","A"),"É","E"),"Ê","E"),"Í","I"),"Ó","O"),"Ô","O"),"Õ","O"),"Ú","U"),"Ü","U"),"Ç","C"))</f>
        <v/>
      </c>
      <c r="I547" s="28" t="str">
        <f aca="false">IF(C547="","",IF(LEN(SUBSTITUTE(SUBSTITUTE(SUBSTITUTE(SUBSTITUTE(TRIM(C547),"*",""),".",""),"-","")," ",""))=11,MID(SUBSTITUTE(SUBSTITUTE(SUBSTITUTE(SUBSTITUTE(TRIM(C547),"*",""),".",""),"-","")," ",""),4,6),SUBSTITUTE(SUBSTITUTE(SUBSTITUTE(SUBSTITUTE(TRIM(C547),"*",""),".",""),"-","")," ","")))</f>
        <v/>
      </c>
      <c r="J547" s="28" t="str">
        <f aca="false">IF(OR(H547="",I547=""),"",H547&amp;"|"&amp;I547)</f>
        <v/>
      </c>
      <c r="K547" s="19" t="str">
        <f aca="false">IF(H547="","",IF(AND(J547&lt;&gt;"",COUNTIF(Pessoas!$J:$J,J547)&gt;0),"SIM",IF(COUNTIF(Pessoas!$H:$H,H547)&gt;0,"nome igual em Pessoas: confira o CPF","")))</f>
        <v/>
      </c>
      <c r="L547" s="27"/>
      <c r="M547" s="5"/>
    </row>
    <row r="548" customFormat="false" ht="15" hidden="false" customHeight="false" outlineLevel="0" collapsed="false">
      <c r="A548" s="27"/>
      <c r="B548" s="5"/>
      <c r="C548" s="27"/>
      <c r="D548" s="18"/>
      <c r="E548" s="14"/>
      <c r="F548" s="18"/>
      <c r="G548" s="19" t="str">
        <f aca="false">IF(A548="","",IFERROR(INDEX(Empresas!$B:$B,MATCH(A548,Empresas!$A:$A,0))&amp;"","cadastre o CNPJ em Empresas"))</f>
        <v/>
      </c>
      <c r="H548" s="28" t="str">
        <f aca="false">IF(B548="","",SUBSTITUTE(SUBSTITUTE(SUBSTITUTE(SUBSTITUTE(SUBSTITUTE(SUBSTITUTE(SUBSTITUTE(SUBSTITUTE(SUBSTITUTE(SUBSTITUTE(SUBSTITUTE(SUBSTITUTE(SUBSTITUTE(UPPER(TRIM(B548)),"Á","A"),"À","A"),"Â","A"),"Ã","A"),"É","E"),"Ê","E"),"Í","I"),"Ó","O"),"Ô","O"),"Õ","O"),"Ú","U"),"Ü","U"),"Ç","C"))</f>
        <v/>
      </c>
      <c r="I548" s="28" t="str">
        <f aca="false">IF(C548="","",IF(LEN(SUBSTITUTE(SUBSTITUTE(SUBSTITUTE(SUBSTITUTE(TRIM(C548),"*",""),".",""),"-","")," ",""))=11,MID(SUBSTITUTE(SUBSTITUTE(SUBSTITUTE(SUBSTITUTE(TRIM(C548),"*",""),".",""),"-","")," ",""),4,6),SUBSTITUTE(SUBSTITUTE(SUBSTITUTE(SUBSTITUTE(TRIM(C548),"*",""),".",""),"-","")," ","")))</f>
        <v/>
      </c>
      <c r="J548" s="28" t="str">
        <f aca="false">IF(OR(H548="",I548=""),"",H548&amp;"|"&amp;I548)</f>
        <v/>
      </c>
      <c r="K548" s="19" t="str">
        <f aca="false">IF(H548="","",IF(AND(J548&lt;&gt;"",COUNTIF(Pessoas!$J:$J,J548)&gt;0),"SIM",IF(COUNTIF(Pessoas!$H:$H,H548)&gt;0,"nome igual em Pessoas: confira o CPF","")))</f>
        <v/>
      </c>
      <c r="L548" s="27"/>
      <c r="M548" s="5"/>
    </row>
    <row r="549" customFormat="false" ht="15" hidden="false" customHeight="false" outlineLevel="0" collapsed="false">
      <c r="A549" s="27"/>
      <c r="B549" s="5"/>
      <c r="C549" s="27"/>
      <c r="D549" s="18"/>
      <c r="E549" s="14"/>
      <c r="F549" s="18"/>
      <c r="G549" s="19" t="str">
        <f aca="false">IF(A549="","",IFERROR(INDEX(Empresas!$B:$B,MATCH(A549,Empresas!$A:$A,0))&amp;"","cadastre o CNPJ em Empresas"))</f>
        <v/>
      </c>
      <c r="H549" s="28" t="str">
        <f aca="false">IF(B549="","",SUBSTITUTE(SUBSTITUTE(SUBSTITUTE(SUBSTITUTE(SUBSTITUTE(SUBSTITUTE(SUBSTITUTE(SUBSTITUTE(SUBSTITUTE(SUBSTITUTE(SUBSTITUTE(SUBSTITUTE(SUBSTITUTE(UPPER(TRIM(B549)),"Á","A"),"À","A"),"Â","A"),"Ã","A"),"É","E"),"Ê","E"),"Í","I"),"Ó","O"),"Ô","O"),"Õ","O"),"Ú","U"),"Ü","U"),"Ç","C"))</f>
        <v/>
      </c>
      <c r="I549" s="28" t="str">
        <f aca="false">IF(C549="","",IF(LEN(SUBSTITUTE(SUBSTITUTE(SUBSTITUTE(SUBSTITUTE(TRIM(C549),"*",""),".",""),"-","")," ",""))=11,MID(SUBSTITUTE(SUBSTITUTE(SUBSTITUTE(SUBSTITUTE(TRIM(C549),"*",""),".",""),"-","")," ",""),4,6),SUBSTITUTE(SUBSTITUTE(SUBSTITUTE(SUBSTITUTE(TRIM(C549),"*",""),".",""),"-","")," ","")))</f>
        <v/>
      </c>
      <c r="J549" s="28" t="str">
        <f aca="false">IF(OR(H549="",I549=""),"",H549&amp;"|"&amp;I549)</f>
        <v/>
      </c>
      <c r="K549" s="19" t="str">
        <f aca="false">IF(H549="","",IF(AND(J549&lt;&gt;"",COUNTIF(Pessoas!$J:$J,J549)&gt;0),"SIM",IF(COUNTIF(Pessoas!$H:$H,H549)&gt;0,"nome igual em Pessoas: confira o CPF","")))</f>
        <v/>
      </c>
      <c r="L549" s="27"/>
      <c r="M549" s="5"/>
    </row>
    <row r="550" customFormat="false" ht="15" hidden="false" customHeight="false" outlineLevel="0" collapsed="false">
      <c r="A550" s="27"/>
      <c r="B550" s="5"/>
      <c r="C550" s="27"/>
      <c r="D550" s="18"/>
      <c r="E550" s="14"/>
      <c r="F550" s="18"/>
      <c r="G550" s="19" t="str">
        <f aca="false">IF(A550="","",IFERROR(INDEX(Empresas!$B:$B,MATCH(A550,Empresas!$A:$A,0))&amp;"","cadastre o CNPJ em Empresas"))</f>
        <v/>
      </c>
      <c r="H550" s="28" t="str">
        <f aca="false">IF(B550="","",SUBSTITUTE(SUBSTITUTE(SUBSTITUTE(SUBSTITUTE(SUBSTITUTE(SUBSTITUTE(SUBSTITUTE(SUBSTITUTE(SUBSTITUTE(SUBSTITUTE(SUBSTITUTE(SUBSTITUTE(SUBSTITUTE(UPPER(TRIM(B550)),"Á","A"),"À","A"),"Â","A"),"Ã","A"),"É","E"),"Ê","E"),"Í","I"),"Ó","O"),"Ô","O"),"Õ","O"),"Ú","U"),"Ü","U"),"Ç","C"))</f>
        <v/>
      </c>
      <c r="I550" s="28" t="str">
        <f aca="false">IF(C550="","",IF(LEN(SUBSTITUTE(SUBSTITUTE(SUBSTITUTE(SUBSTITUTE(TRIM(C550),"*",""),".",""),"-","")," ",""))=11,MID(SUBSTITUTE(SUBSTITUTE(SUBSTITUTE(SUBSTITUTE(TRIM(C550),"*",""),".",""),"-","")," ",""),4,6),SUBSTITUTE(SUBSTITUTE(SUBSTITUTE(SUBSTITUTE(TRIM(C550),"*",""),".",""),"-","")," ","")))</f>
        <v/>
      </c>
      <c r="J550" s="28" t="str">
        <f aca="false">IF(OR(H550="",I550=""),"",H550&amp;"|"&amp;I550)</f>
        <v/>
      </c>
      <c r="K550" s="19" t="str">
        <f aca="false">IF(H550="","",IF(AND(J550&lt;&gt;"",COUNTIF(Pessoas!$J:$J,J550)&gt;0),"SIM",IF(COUNTIF(Pessoas!$H:$H,H550)&gt;0,"nome igual em Pessoas: confira o CPF","")))</f>
        <v/>
      </c>
      <c r="L550" s="27"/>
      <c r="M550" s="5"/>
    </row>
    <row r="551" customFormat="false" ht="15" hidden="false" customHeight="false" outlineLevel="0" collapsed="false">
      <c r="A551" s="27"/>
      <c r="B551" s="5"/>
      <c r="C551" s="27"/>
      <c r="D551" s="18"/>
      <c r="E551" s="14"/>
      <c r="F551" s="18"/>
      <c r="G551" s="19" t="str">
        <f aca="false">IF(A551="","",IFERROR(INDEX(Empresas!$B:$B,MATCH(A551,Empresas!$A:$A,0))&amp;"","cadastre o CNPJ em Empresas"))</f>
        <v/>
      </c>
      <c r="H551" s="28" t="str">
        <f aca="false">IF(B551="","",SUBSTITUTE(SUBSTITUTE(SUBSTITUTE(SUBSTITUTE(SUBSTITUTE(SUBSTITUTE(SUBSTITUTE(SUBSTITUTE(SUBSTITUTE(SUBSTITUTE(SUBSTITUTE(SUBSTITUTE(SUBSTITUTE(UPPER(TRIM(B551)),"Á","A"),"À","A"),"Â","A"),"Ã","A"),"É","E"),"Ê","E"),"Í","I"),"Ó","O"),"Ô","O"),"Õ","O"),"Ú","U"),"Ü","U"),"Ç","C"))</f>
        <v/>
      </c>
      <c r="I551" s="28" t="str">
        <f aca="false">IF(C551="","",IF(LEN(SUBSTITUTE(SUBSTITUTE(SUBSTITUTE(SUBSTITUTE(TRIM(C551),"*",""),".",""),"-","")," ",""))=11,MID(SUBSTITUTE(SUBSTITUTE(SUBSTITUTE(SUBSTITUTE(TRIM(C551),"*",""),".",""),"-","")," ",""),4,6),SUBSTITUTE(SUBSTITUTE(SUBSTITUTE(SUBSTITUTE(TRIM(C551),"*",""),".",""),"-","")," ","")))</f>
        <v/>
      </c>
      <c r="J551" s="28" t="str">
        <f aca="false">IF(OR(H551="",I551=""),"",H551&amp;"|"&amp;I551)</f>
        <v/>
      </c>
      <c r="K551" s="19" t="str">
        <f aca="false">IF(H551="","",IF(AND(J551&lt;&gt;"",COUNTIF(Pessoas!$J:$J,J551)&gt;0),"SIM",IF(COUNTIF(Pessoas!$H:$H,H551)&gt;0,"nome igual em Pessoas: confira o CPF","")))</f>
        <v/>
      </c>
      <c r="L551" s="27"/>
      <c r="M551" s="5"/>
    </row>
    <row r="552" customFormat="false" ht="15" hidden="false" customHeight="false" outlineLevel="0" collapsed="false">
      <c r="A552" s="27"/>
      <c r="B552" s="5"/>
      <c r="C552" s="27"/>
      <c r="D552" s="18"/>
      <c r="E552" s="14"/>
      <c r="F552" s="18"/>
      <c r="G552" s="19" t="str">
        <f aca="false">IF(A552="","",IFERROR(INDEX(Empresas!$B:$B,MATCH(A552,Empresas!$A:$A,0))&amp;"","cadastre o CNPJ em Empresas"))</f>
        <v/>
      </c>
      <c r="H552" s="28" t="str">
        <f aca="false">IF(B552="","",SUBSTITUTE(SUBSTITUTE(SUBSTITUTE(SUBSTITUTE(SUBSTITUTE(SUBSTITUTE(SUBSTITUTE(SUBSTITUTE(SUBSTITUTE(SUBSTITUTE(SUBSTITUTE(SUBSTITUTE(SUBSTITUTE(UPPER(TRIM(B552)),"Á","A"),"À","A"),"Â","A"),"Ã","A"),"É","E"),"Ê","E"),"Í","I"),"Ó","O"),"Ô","O"),"Õ","O"),"Ú","U"),"Ü","U"),"Ç","C"))</f>
        <v/>
      </c>
      <c r="I552" s="28" t="str">
        <f aca="false">IF(C552="","",IF(LEN(SUBSTITUTE(SUBSTITUTE(SUBSTITUTE(SUBSTITUTE(TRIM(C552),"*",""),".",""),"-","")," ",""))=11,MID(SUBSTITUTE(SUBSTITUTE(SUBSTITUTE(SUBSTITUTE(TRIM(C552),"*",""),".",""),"-","")," ",""),4,6),SUBSTITUTE(SUBSTITUTE(SUBSTITUTE(SUBSTITUTE(TRIM(C552),"*",""),".",""),"-","")," ","")))</f>
        <v/>
      </c>
      <c r="J552" s="28" t="str">
        <f aca="false">IF(OR(H552="",I552=""),"",H552&amp;"|"&amp;I552)</f>
        <v/>
      </c>
      <c r="K552" s="19" t="str">
        <f aca="false">IF(H552="","",IF(AND(J552&lt;&gt;"",COUNTIF(Pessoas!$J:$J,J552)&gt;0),"SIM",IF(COUNTIF(Pessoas!$H:$H,H552)&gt;0,"nome igual em Pessoas: confira o CPF","")))</f>
        <v/>
      </c>
      <c r="L552" s="27"/>
      <c r="M552" s="5"/>
    </row>
    <row r="553" customFormat="false" ht="15" hidden="false" customHeight="false" outlineLevel="0" collapsed="false">
      <c r="A553" s="27"/>
      <c r="B553" s="5"/>
      <c r="C553" s="27"/>
      <c r="D553" s="18"/>
      <c r="E553" s="14"/>
      <c r="F553" s="18"/>
      <c r="G553" s="19" t="str">
        <f aca="false">IF(A553="","",IFERROR(INDEX(Empresas!$B:$B,MATCH(A553,Empresas!$A:$A,0))&amp;"","cadastre o CNPJ em Empresas"))</f>
        <v/>
      </c>
      <c r="H553" s="28" t="str">
        <f aca="false">IF(B553="","",SUBSTITUTE(SUBSTITUTE(SUBSTITUTE(SUBSTITUTE(SUBSTITUTE(SUBSTITUTE(SUBSTITUTE(SUBSTITUTE(SUBSTITUTE(SUBSTITUTE(SUBSTITUTE(SUBSTITUTE(SUBSTITUTE(UPPER(TRIM(B553)),"Á","A"),"À","A"),"Â","A"),"Ã","A"),"É","E"),"Ê","E"),"Í","I"),"Ó","O"),"Ô","O"),"Õ","O"),"Ú","U"),"Ü","U"),"Ç","C"))</f>
        <v/>
      </c>
      <c r="I553" s="28" t="str">
        <f aca="false">IF(C553="","",IF(LEN(SUBSTITUTE(SUBSTITUTE(SUBSTITUTE(SUBSTITUTE(TRIM(C553),"*",""),".",""),"-","")," ",""))=11,MID(SUBSTITUTE(SUBSTITUTE(SUBSTITUTE(SUBSTITUTE(TRIM(C553),"*",""),".",""),"-","")," ",""),4,6),SUBSTITUTE(SUBSTITUTE(SUBSTITUTE(SUBSTITUTE(TRIM(C553),"*",""),".",""),"-","")," ","")))</f>
        <v/>
      </c>
      <c r="J553" s="28" t="str">
        <f aca="false">IF(OR(H553="",I553=""),"",H553&amp;"|"&amp;I553)</f>
        <v/>
      </c>
      <c r="K553" s="19" t="str">
        <f aca="false">IF(H553="","",IF(AND(J553&lt;&gt;"",COUNTIF(Pessoas!$J:$J,J553)&gt;0),"SIM",IF(COUNTIF(Pessoas!$H:$H,H553)&gt;0,"nome igual em Pessoas: confira o CPF","")))</f>
        <v/>
      </c>
      <c r="L553" s="27"/>
      <c r="M553" s="5"/>
    </row>
    <row r="554" customFormat="false" ht="15" hidden="false" customHeight="false" outlineLevel="0" collapsed="false">
      <c r="A554" s="27"/>
      <c r="B554" s="5"/>
      <c r="C554" s="27"/>
      <c r="D554" s="18"/>
      <c r="E554" s="14"/>
      <c r="F554" s="18"/>
      <c r="G554" s="19" t="str">
        <f aca="false">IF(A554="","",IFERROR(INDEX(Empresas!$B:$B,MATCH(A554,Empresas!$A:$A,0))&amp;"","cadastre o CNPJ em Empresas"))</f>
        <v/>
      </c>
      <c r="H554" s="28" t="str">
        <f aca="false">IF(B554="","",SUBSTITUTE(SUBSTITUTE(SUBSTITUTE(SUBSTITUTE(SUBSTITUTE(SUBSTITUTE(SUBSTITUTE(SUBSTITUTE(SUBSTITUTE(SUBSTITUTE(SUBSTITUTE(SUBSTITUTE(SUBSTITUTE(UPPER(TRIM(B554)),"Á","A"),"À","A"),"Â","A"),"Ã","A"),"É","E"),"Ê","E"),"Í","I"),"Ó","O"),"Ô","O"),"Õ","O"),"Ú","U"),"Ü","U"),"Ç","C"))</f>
        <v/>
      </c>
      <c r="I554" s="28" t="str">
        <f aca="false">IF(C554="","",IF(LEN(SUBSTITUTE(SUBSTITUTE(SUBSTITUTE(SUBSTITUTE(TRIM(C554),"*",""),".",""),"-","")," ",""))=11,MID(SUBSTITUTE(SUBSTITUTE(SUBSTITUTE(SUBSTITUTE(TRIM(C554),"*",""),".",""),"-","")," ",""),4,6),SUBSTITUTE(SUBSTITUTE(SUBSTITUTE(SUBSTITUTE(TRIM(C554),"*",""),".",""),"-","")," ","")))</f>
        <v/>
      </c>
      <c r="J554" s="28" t="str">
        <f aca="false">IF(OR(H554="",I554=""),"",H554&amp;"|"&amp;I554)</f>
        <v/>
      </c>
      <c r="K554" s="19" t="str">
        <f aca="false">IF(H554="","",IF(AND(J554&lt;&gt;"",COUNTIF(Pessoas!$J:$J,J554)&gt;0),"SIM",IF(COUNTIF(Pessoas!$H:$H,H554)&gt;0,"nome igual em Pessoas: confira o CPF","")))</f>
        <v/>
      </c>
      <c r="L554" s="27"/>
      <c r="M554" s="5"/>
    </row>
    <row r="555" customFormat="false" ht="15" hidden="false" customHeight="false" outlineLevel="0" collapsed="false">
      <c r="A555" s="27"/>
      <c r="B555" s="5"/>
      <c r="C555" s="27"/>
      <c r="D555" s="18"/>
      <c r="E555" s="14"/>
      <c r="F555" s="18"/>
      <c r="G555" s="19" t="str">
        <f aca="false">IF(A555="","",IFERROR(INDEX(Empresas!$B:$B,MATCH(A555,Empresas!$A:$A,0))&amp;"","cadastre o CNPJ em Empresas"))</f>
        <v/>
      </c>
      <c r="H555" s="28" t="str">
        <f aca="false">IF(B555="","",SUBSTITUTE(SUBSTITUTE(SUBSTITUTE(SUBSTITUTE(SUBSTITUTE(SUBSTITUTE(SUBSTITUTE(SUBSTITUTE(SUBSTITUTE(SUBSTITUTE(SUBSTITUTE(SUBSTITUTE(SUBSTITUTE(UPPER(TRIM(B555)),"Á","A"),"À","A"),"Â","A"),"Ã","A"),"É","E"),"Ê","E"),"Í","I"),"Ó","O"),"Ô","O"),"Õ","O"),"Ú","U"),"Ü","U"),"Ç","C"))</f>
        <v/>
      </c>
      <c r="I555" s="28" t="str">
        <f aca="false">IF(C555="","",IF(LEN(SUBSTITUTE(SUBSTITUTE(SUBSTITUTE(SUBSTITUTE(TRIM(C555),"*",""),".",""),"-","")," ",""))=11,MID(SUBSTITUTE(SUBSTITUTE(SUBSTITUTE(SUBSTITUTE(TRIM(C555),"*",""),".",""),"-","")," ",""),4,6),SUBSTITUTE(SUBSTITUTE(SUBSTITUTE(SUBSTITUTE(TRIM(C555),"*",""),".",""),"-","")," ","")))</f>
        <v/>
      </c>
      <c r="J555" s="28" t="str">
        <f aca="false">IF(OR(H555="",I555=""),"",H555&amp;"|"&amp;I555)</f>
        <v/>
      </c>
      <c r="K555" s="19" t="str">
        <f aca="false">IF(H555="","",IF(AND(J555&lt;&gt;"",COUNTIF(Pessoas!$J:$J,J555)&gt;0),"SIM",IF(COUNTIF(Pessoas!$H:$H,H555)&gt;0,"nome igual em Pessoas: confira o CPF","")))</f>
        <v/>
      </c>
      <c r="L555" s="27"/>
      <c r="M555" s="5"/>
    </row>
    <row r="556" customFormat="false" ht="15" hidden="false" customHeight="false" outlineLevel="0" collapsed="false">
      <c r="A556" s="27"/>
      <c r="B556" s="5"/>
      <c r="C556" s="27"/>
      <c r="D556" s="18"/>
      <c r="E556" s="14"/>
      <c r="F556" s="18"/>
      <c r="G556" s="19" t="str">
        <f aca="false">IF(A556="","",IFERROR(INDEX(Empresas!$B:$B,MATCH(A556,Empresas!$A:$A,0))&amp;"","cadastre o CNPJ em Empresas"))</f>
        <v/>
      </c>
      <c r="H556" s="28" t="str">
        <f aca="false">IF(B556="","",SUBSTITUTE(SUBSTITUTE(SUBSTITUTE(SUBSTITUTE(SUBSTITUTE(SUBSTITUTE(SUBSTITUTE(SUBSTITUTE(SUBSTITUTE(SUBSTITUTE(SUBSTITUTE(SUBSTITUTE(SUBSTITUTE(UPPER(TRIM(B556)),"Á","A"),"À","A"),"Â","A"),"Ã","A"),"É","E"),"Ê","E"),"Í","I"),"Ó","O"),"Ô","O"),"Õ","O"),"Ú","U"),"Ü","U"),"Ç","C"))</f>
        <v/>
      </c>
      <c r="I556" s="28" t="str">
        <f aca="false">IF(C556="","",IF(LEN(SUBSTITUTE(SUBSTITUTE(SUBSTITUTE(SUBSTITUTE(TRIM(C556),"*",""),".",""),"-","")," ",""))=11,MID(SUBSTITUTE(SUBSTITUTE(SUBSTITUTE(SUBSTITUTE(TRIM(C556),"*",""),".",""),"-","")," ",""),4,6),SUBSTITUTE(SUBSTITUTE(SUBSTITUTE(SUBSTITUTE(TRIM(C556),"*",""),".",""),"-","")," ","")))</f>
        <v/>
      </c>
      <c r="J556" s="28" t="str">
        <f aca="false">IF(OR(H556="",I556=""),"",H556&amp;"|"&amp;I556)</f>
        <v/>
      </c>
      <c r="K556" s="19" t="str">
        <f aca="false">IF(H556="","",IF(AND(J556&lt;&gt;"",COUNTIF(Pessoas!$J:$J,J556)&gt;0),"SIM",IF(COUNTIF(Pessoas!$H:$H,H556)&gt;0,"nome igual em Pessoas: confira o CPF","")))</f>
        <v/>
      </c>
      <c r="L556" s="27"/>
      <c r="M556" s="5"/>
    </row>
    <row r="557" customFormat="false" ht="15" hidden="false" customHeight="false" outlineLevel="0" collapsed="false">
      <c r="A557" s="27"/>
      <c r="B557" s="5"/>
      <c r="C557" s="27"/>
      <c r="D557" s="18"/>
      <c r="E557" s="14"/>
      <c r="F557" s="18"/>
      <c r="G557" s="19" t="str">
        <f aca="false">IF(A557="","",IFERROR(INDEX(Empresas!$B:$B,MATCH(A557,Empresas!$A:$A,0))&amp;"","cadastre o CNPJ em Empresas"))</f>
        <v/>
      </c>
      <c r="H557" s="28" t="str">
        <f aca="false">IF(B557="","",SUBSTITUTE(SUBSTITUTE(SUBSTITUTE(SUBSTITUTE(SUBSTITUTE(SUBSTITUTE(SUBSTITUTE(SUBSTITUTE(SUBSTITUTE(SUBSTITUTE(SUBSTITUTE(SUBSTITUTE(SUBSTITUTE(UPPER(TRIM(B557)),"Á","A"),"À","A"),"Â","A"),"Ã","A"),"É","E"),"Ê","E"),"Í","I"),"Ó","O"),"Ô","O"),"Õ","O"),"Ú","U"),"Ü","U"),"Ç","C"))</f>
        <v/>
      </c>
      <c r="I557" s="28" t="str">
        <f aca="false">IF(C557="","",IF(LEN(SUBSTITUTE(SUBSTITUTE(SUBSTITUTE(SUBSTITUTE(TRIM(C557),"*",""),".",""),"-","")," ",""))=11,MID(SUBSTITUTE(SUBSTITUTE(SUBSTITUTE(SUBSTITUTE(TRIM(C557),"*",""),".",""),"-","")," ",""),4,6),SUBSTITUTE(SUBSTITUTE(SUBSTITUTE(SUBSTITUTE(TRIM(C557),"*",""),".",""),"-","")," ","")))</f>
        <v/>
      </c>
      <c r="J557" s="28" t="str">
        <f aca="false">IF(OR(H557="",I557=""),"",H557&amp;"|"&amp;I557)</f>
        <v/>
      </c>
      <c r="K557" s="19" t="str">
        <f aca="false">IF(H557="","",IF(AND(J557&lt;&gt;"",COUNTIF(Pessoas!$J:$J,J557)&gt;0),"SIM",IF(COUNTIF(Pessoas!$H:$H,H557)&gt;0,"nome igual em Pessoas: confira o CPF","")))</f>
        <v/>
      </c>
      <c r="L557" s="27"/>
      <c r="M557" s="5"/>
    </row>
    <row r="558" customFormat="false" ht="15" hidden="false" customHeight="false" outlineLevel="0" collapsed="false">
      <c r="A558" s="27"/>
      <c r="B558" s="5"/>
      <c r="C558" s="27"/>
      <c r="D558" s="18"/>
      <c r="E558" s="14"/>
      <c r="F558" s="18"/>
      <c r="G558" s="19" t="str">
        <f aca="false">IF(A558="","",IFERROR(INDEX(Empresas!$B:$B,MATCH(A558,Empresas!$A:$A,0))&amp;"","cadastre o CNPJ em Empresas"))</f>
        <v/>
      </c>
      <c r="H558" s="28" t="str">
        <f aca="false">IF(B558="","",SUBSTITUTE(SUBSTITUTE(SUBSTITUTE(SUBSTITUTE(SUBSTITUTE(SUBSTITUTE(SUBSTITUTE(SUBSTITUTE(SUBSTITUTE(SUBSTITUTE(SUBSTITUTE(SUBSTITUTE(SUBSTITUTE(UPPER(TRIM(B558)),"Á","A"),"À","A"),"Â","A"),"Ã","A"),"É","E"),"Ê","E"),"Í","I"),"Ó","O"),"Ô","O"),"Õ","O"),"Ú","U"),"Ü","U"),"Ç","C"))</f>
        <v/>
      </c>
      <c r="I558" s="28" t="str">
        <f aca="false">IF(C558="","",IF(LEN(SUBSTITUTE(SUBSTITUTE(SUBSTITUTE(SUBSTITUTE(TRIM(C558),"*",""),".",""),"-","")," ",""))=11,MID(SUBSTITUTE(SUBSTITUTE(SUBSTITUTE(SUBSTITUTE(TRIM(C558),"*",""),".",""),"-","")," ",""),4,6),SUBSTITUTE(SUBSTITUTE(SUBSTITUTE(SUBSTITUTE(TRIM(C558),"*",""),".",""),"-","")," ","")))</f>
        <v/>
      </c>
      <c r="J558" s="28" t="str">
        <f aca="false">IF(OR(H558="",I558=""),"",H558&amp;"|"&amp;I558)</f>
        <v/>
      </c>
      <c r="K558" s="19" t="str">
        <f aca="false">IF(H558="","",IF(AND(J558&lt;&gt;"",COUNTIF(Pessoas!$J:$J,J558)&gt;0),"SIM",IF(COUNTIF(Pessoas!$H:$H,H558)&gt;0,"nome igual em Pessoas: confira o CPF","")))</f>
        <v/>
      </c>
      <c r="L558" s="27"/>
      <c r="M558" s="5"/>
    </row>
    <row r="559" customFormat="false" ht="15" hidden="false" customHeight="false" outlineLevel="0" collapsed="false">
      <c r="A559" s="27"/>
      <c r="B559" s="5"/>
      <c r="C559" s="27"/>
      <c r="D559" s="18"/>
      <c r="E559" s="14"/>
      <c r="F559" s="18"/>
      <c r="G559" s="19" t="str">
        <f aca="false">IF(A559="","",IFERROR(INDEX(Empresas!$B:$B,MATCH(A559,Empresas!$A:$A,0))&amp;"","cadastre o CNPJ em Empresas"))</f>
        <v/>
      </c>
      <c r="H559" s="28" t="str">
        <f aca="false">IF(B559="","",SUBSTITUTE(SUBSTITUTE(SUBSTITUTE(SUBSTITUTE(SUBSTITUTE(SUBSTITUTE(SUBSTITUTE(SUBSTITUTE(SUBSTITUTE(SUBSTITUTE(SUBSTITUTE(SUBSTITUTE(SUBSTITUTE(UPPER(TRIM(B559)),"Á","A"),"À","A"),"Â","A"),"Ã","A"),"É","E"),"Ê","E"),"Í","I"),"Ó","O"),"Ô","O"),"Õ","O"),"Ú","U"),"Ü","U"),"Ç","C"))</f>
        <v/>
      </c>
      <c r="I559" s="28" t="str">
        <f aca="false">IF(C559="","",IF(LEN(SUBSTITUTE(SUBSTITUTE(SUBSTITUTE(SUBSTITUTE(TRIM(C559),"*",""),".",""),"-","")," ",""))=11,MID(SUBSTITUTE(SUBSTITUTE(SUBSTITUTE(SUBSTITUTE(TRIM(C559),"*",""),".",""),"-","")," ",""),4,6),SUBSTITUTE(SUBSTITUTE(SUBSTITUTE(SUBSTITUTE(TRIM(C559),"*",""),".",""),"-","")," ","")))</f>
        <v/>
      </c>
      <c r="J559" s="28" t="str">
        <f aca="false">IF(OR(H559="",I559=""),"",H559&amp;"|"&amp;I559)</f>
        <v/>
      </c>
      <c r="K559" s="19" t="str">
        <f aca="false">IF(H559="","",IF(AND(J559&lt;&gt;"",COUNTIF(Pessoas!$J:$J,J559)&gt;0),"SIM",IF(COUNTIF(Pessoas!$H:$H,H559)&gt;0,"nome igual em Pessoas: confira o CPF","")))</f>
        <v/>
      </c>
      <c r="L559" s="27"/>
      <c r="M559" s="5"/>
    </row>
    <row r="560" customFormat="false" ht="15" hidden="false" customHeight="false" outlineLevel="0" collapsed="false">
      <c r="A560" s="27"/>
      <c r="B560" s="5"/>
      <c r="C560" s="27"/>
      <c r="D560" s="18"/>
      <c r="E560" s="14"/>
      <c r="F560" s="18"/>
      <c r="G560" s="19" t="str">
        <f aca="false">IF(A560="","",IFERROR(INDEX(Empresas!$B:$B,MATCH(A560,Empresas!$A:$A,0))&amp;"","cadastre o CNPJ em Empresas"))</f>
        <v/>
      </c>
      <c r="H560" s="28" t="str">
        <f aca="false">IF(B560="","",SUBSTITUTE(SUBSTITUTE(SUBSTITUTE(SUBSTITUTE(SUBSTITUTE(SUBSTITUTE(SUBSTITUTE(SUBSTITUTE(SUBSTITUTE(SUBSTITUTE(SUBSTITUTE(SUBSTITUTE(SUBSTITUTE(UPPER(TRIM(B560)),"Á","A"),"À","A"),"Â","A"),"Ã","A"),"É","E"),"Ê","E"),"Í","I"),"Ó","O"),"Ô","O"),"Õ","O"),"Ú","U"),"Ü","U"),"Ç","C"))</f>
        <v/>
      </c>
      <c r="I560" s="28" t="str">
        <f aca="false">IF(C560="","",IF(LEN(SUBSTITUTE(SUBSTITUTE(SUBSTITUTE(SUBSTITUTE(TRIM(C560),"*",""),".",""),"-","")," ",""))=11,MID(SUBSTITUTE(SUBSTITUTE(SUBSTITUTE(SUBSTITUTE(TRIM(C560),"*",""),".",""),"-","")," ",""),4,6),SUBSTITUTE(SUBSTITUTE(SUBSTITUTE(SUBSTITUTE(TRIM(C560),"*",""),".",""),"-","")," ","")))</f>
        <v/>
      </c>
      <c r="J560" s="28" t="str">
        <f aca="false">IF(OR(H560="",I560=""),"",H560&amp;"|"&amp;I560)</f>
        <v/>
      </c>
      <c r="K560" s="19" t="str">
        <f aca="false">IF(H560="","",IF(AND(J560&lt;&gt;"",COUNTIF(Pessoas!$J:$J,J560)&gt;0),"SIM",IF(COUNTIF(Pessoas!$H:$H,H560)&gt;0,"nome igual em Pessoas: confira o CPF","")))</f>
        <v/>
      </c>
      <c r="L560" s="27"/>
      <c r="M560" s="5"/>
    </row>
    <row r="561" customFormat="false" ht="15" hidden="false" customHeight="false" outlineLevel="0" collapsed="false">
      <c r="A561" s="27"/>
      <c r="B561" s="5"/>
      <c r="C561" s="27"/>
      <c r="D561" s="18"/>
      <c r="E561" s="14"/>
      <c r="F561" s="18"/>
      <c r="G561" s="19" t="str">
        <f aca="false">IF(A561="","",IFERROR(INDEX(Empresas!$B:$B,MATCH(A561,Empresas!$A:$A,0))&amp;"","cadastre o CNPJ em Empresas"))</f>
        <v/>
      </c>
      <c r="H561" s="28" t="str">
        <f aca="false">IF(B561="","",SUBSTITUTE(SUBSTITUTE(SUBSTITUTE(SUBSTITUTE(SUBSTITUTE(SUBSTITUTE(SUBSTITUTE(SUBSTITUTE(SUBSTITUTE(SUBSTITUTE(SUBSTITUTE(SUBSTITUTE(SUBSTITUTE(UPPER(TRIM(B561)),"Á","A"),"À","A"),"Â","A"),"Ã","A"),"É","E"),"Ê","E"),"Í","I"),"Ó","O"),"Ô","O"),"Õ","O"),"Ú","U"),"Ü","U"),"Ç","C"))</f>
        <v/>
      </c>
      <c r="I561" s="28" t="str">
        <f aca="false">IF(C561="","",IF(LEN(SUBSTITUTE(SUBSTITUTE(SUBSTITUTE(SUBSTITUTE(TRIM(C561),"*",""),".",""),"-","")," ",""))=11,MID(SUBSTITUTE(SUBSTITUTE(SUBSTITUTE(SUBSTITUTE(TRIM(C561),"*",""),".",""),"-","")," ",""),4,6),SUBSTITUTE(SUBSTITUTE(SUBSTITUTE(SUBSTITUTE(TRIM(C561),"*",""),".",""),"-","")," ","")))</f>
        <v/>
      </c>
      <c r="J561" s="28" t="str">
        <f aca="false">IF(OR(H561="",I561=""),"",H561&amp;"|"&amp;I561)</f>
        <v/>
      </c>
      <c r="K561" s="19" t="str">
        <f aca="false">IF(H561="","",IF(AND(J561&lt;&gt;"",COUNTIF(Pessoas!$J:$J,J561)&gt;0),"SIM",IF(COUNTIF(Pessoas!$H:$H,H561)&gt;0,"nome igual em Pessoas: confira o CPF","")))</f>
        <v/>
      </c>
      <c r="L561" s="27"/>
      <c r="M561" s="5"/>
    </row>
    <row r="562" customFormat="false" ht="15" hidden="false" customHeight="false" outlineLevel="0" collapsed="false">
      <c r="A562" s="27"/>
      <c r="B562" s="5"/>
      <c r="C562" s="27"/>
      <c r="D562" s="18"/>
      <c r="E562" s="14"/>
      <c r="F562" s="18"/>
      <c r="G562" s="19" t="str">
        <f aca="false">IF(A562="","",IFERROR(INDEX(Empresas!$B:$B,MATCH(A562,Empresas!$A:$A,0))&amp;"","cadastre o CNPJ em Empresas"))</f>
        <v/>
      </c>
      <c r="H562" s="28" t="str">
        <f aca="false">IF(B562="","",SUBSTITUTE(SUBSTITUTE(SUBSTITUTE(SUBSTITUTE(SUBSTITUTE(SUBSTITUTE(SUBSTITUTE(SUBSTITUTE(SUBSTITUTE(SUBSTITUTE(SUBSTITUTE(SUBSTITUTE(SUBSTITUTE(UPPER(TRIM(B562)),"Á","A"),"À","A"),"Â","A"),"Ã","A"),"É","E"),"Ê","E"),"Í","I"),"Ó","O"),"Ô","O"),"Õ","O"),"Ú","U"),"Ü","U"),"Ç","C"))</f>
        <v/>
      </c>
      <c r="I562" s="28" t="str">
        <f aca="false">IF(C562="","",IF(LEN(SUBSTITUTE(SUBSTITUTE(SUBSTITUTE(SUBSTITUTE(TRIM(C562),"*",""),".",""),"-","")," ",""))=11,MID(SUBSTITUTE(SUBSTITUTE(SUBSTITUTE(SUBSTITUTE(TRIM(C562),"*",""),".",""),"-","")," ",""),4,6),SUBSTITUTE(SUBSTITUTE(SUBSTITUTE(SUBSTITUTE(TRIM(C562),"*",""),".",""),"-","")," ","")))</f>
        <v/>
      </c>
      <c r="J562" s="28" t="str">
        <f aca="false">IF(OR(H562="",I562=""),"",H562&amp;"|"&amp;I562)</f>
        <v/>
      </c>
      <c r="K562" s="19" t="str">
        <f aca="false">IF(H562="","",IF(AND(J562&lt;&gt;"",COUNTIF(Pessoas!$J:$J,J562)&gt;0),"SIM",IF(COUNTIF(Pessoas!$H:$H,H562)&gt;0,"nome igual em Pessoas: confira o CPF","")))</f>
        <v/>
      </c>
      <c r="L562" s="27"/>
      <c r="M562" s="5"/>
    </row>
    <row r="563" customFormat="false" ht="15" hidden="false" customHeight="false" outlineLevel="0" collapsed="false">
      <c r="A563" s="27"/>
      <c r="B563" s="5"/>
      <c r="C563" s="27"/>
      <c r="D563" s="18"/>
      <c r="E563" s="14"/>
      <c r="F563" s="18"/>
      <c r="G563" s="19" t="str">
        <f aca="false">IF(A563="","",IFERROR(INDEX(Empresas!$B:$B,MATCH(A563,Empresas!$A:$A,0))&amp;"","cadastre o CNPJ em Empresas"))</f>
        <v/>
      </c>
      <c r="H563" s="28" t="str">
        <f aca="false">IF(B563="","",SUBSTITUTE(SUBSTITUTE(SUBSTITUTE(SUBSTITUTE(SUBSTITUTE(SUBSTITUTE(SUBSTITUTE(SUBSTITUTE(SUBSTITUTE(SUBSTITUTE(SUBSTITUTE(SUBSTITUTE(SUBSTITUTE(UPPER(TRIM(B563)),"Á","A"),"À","A"),"Â","A"),"Ã","A"),"É","E"),"Ê","E"),"Í","I"),"Ó","O"),"Ô","O"),"Õ","O"),"Ú","U"),"Ü","U"),"Ç","C"))</f>
        <v/>
      </c>
      <c r="I563" s="28" t="str">
        <f aca="false">IF(C563="","",IF(LEN(SUBSTITUTE(SUBSTITUTE(SUBSTITUTE(SUBSTITUTE(TRIM(C563),"*",""),".",""),"-","")," ",""))=11,MID(SUBSTITUTE(SUBSTITUTE(SUBSTITUTE(SUBSTITUTE(TRIM(C563),"*",""),".",""),"-","")," ",""),4,6),SUBSTITUTE(SUBSTITUTE(SUBSTITUTE(SUBSTITUTE(TRIM(C563),"*",""),".",""),"-","")," ","")))</f>
        <v/>
      </c>
      <c r="J563" s="28" t="str">
        <f aca="false">IF(OR(H563="",I563=""),"",H563&amp;"|"&amp;I563)</f>
        <v/>
      </c>
      <c r="K563" s="19" t="str">
        <f aca="false">IF(H563="","",IF(AND(J563&lt;&gt;"",COUNTIF(Pessoas!$J:$J,J563)&gt;0),"SIM",IF(COUNTIF(Pessoas!$H:$H,H563)&gt;0,"nome igual em Pessoas: confira o CPF","")))</f>
        <v/>
      </c>
      <c r="L563" s="27"/>
      <c r="M563" s="5"/>
    </row>
    <row r="564" customFormat="false" ht="15" hidden="false" customHeight="false" outlineLevel="0" collapsed="false">
      <c r="A564" s="27"/>
      <c r="B564" s="5"/>
      <c r="C564" s="27"/>
      <c r="D564" s="18"/>
      <c r="E564" s="14"/>
      <c r="F564" s="18"/>
      <c r="G564" s="19" t="str">
        <f aca="false">IF(A564="","",IFERROR(INDEX(Empresas!$B:$B,MATCH(A564,Empresas!$A:$A,0))&amp;"","cadastre o CNPJ em Empresas"))</f>
        <v/>
      </c>
      <c r="H564" s="28" t="str">
        <f aca="false">IF(B564="","",SUBSTITUTE(SUBSTITUTE(SUBSTITUTE(SUBSTITUTE(SUBSTITUTE(SUBSTITUTE(SUBSTITUTE(SUBSTITUTE(SUBSTITUTE(SUBSTITUTE(SUBSTITUTE(SUBSTITUTE(SUBSTITUTE(UPPER(TRIM(B564)),"Á","A"),"À","A"),"Â","A"),"Ã","A"),"É","E"),"Ê","E"),"Í","I"),"Ó","O"),"Ô","O"),"Õ","O"),"Ú","U"),"Ü","U"),"Ç","C"))</f>
        <v/>
      </c>
      <c r="I564" s="28" t="str">
        <f aca="false">IF(C564="","",IF(LEN(SUBSTITUTE(SUBSTITUTE(SUBSTITUTE(SUBSTITUTE(TRIM(C564),"*",""),".",""),"-","")," ",""))=11,MID(SUBSTITUTE(SUBSTITUTE(SUBSTITUTE(SUBSTITUTE(TRIM(C564),"*",""),".",""),"-","")," ",""),4,6),SUBSTITUTE(SUBSTITUTE(SUBSTITUTE(SUBSTITUTE(TRIM(C564),"*",""),".",""),"-","")," ","")))</f>
        <v/>
      </c>
      <c r="J564" s="28" t="str">
        <f aca="false">IF(OR(H564="",I564=""),"",H564&amp;"|"&amp;I564)</f>
        <v/>
      </c>
      <c r="K564" s="19" t="str">
        <f aca="false">IF(H564="","",IF(AND(J564&lt;&gt;"",COUNTIF(Pessoas!$J:$J,J564)&gt;0),"SIM",IF(COUNTIF(Pessoas!$H:$H,H564)&gt;0,"nome igual em Pessoas: confira o CPF","")))</f>
        <v/>
      </c>
      <c r="L564" s="27"/>
      <c r="M564" s="5"/>
    </row>
    <row r="565" customFormat="false" ht="15" hidden="false" customHeight="false" outlineLevel="0" collapsed="false">
      <c r="A565" s="27"/>
      <c r="B565" s="5"/>
      <c r="C565" s="27"/>
      <c r="D565" s="18"/>
      <c r="E565" s="14"/>
      <c r="F565" s="18"/>
      <c r="G565" s="19" t="str">
        <f aca="false">IF(A565="","",IFERROR(INDEX(Empresas!$B:$B,MATCH(A565,Empresas!$A:$A,0))&amp;"","cadastre o CNPJ em Empresas"))</f>
        <v/>
      </c>
      <c r="H565" s="28" t="str">
        <f aca="false">IF(B565="","",SUBSTITUTE(SUBSTITUTE(SUBSTITUTE(SUBSTITUTE(SUBSTITUTE(SUBSTITUTE(SUBSTITUTE(SUBSTITUTE(SUBSTITUTE(SUBSTITUTE(SUBSTITUTE(SUBSTITUTE(SUBSTITUTE(UPPER(TRIM(B565)),"Á","A"),"À","A"),"Â","A"),"Ã","A"),"É","E"),"Ê","E"),"Í","I"),"Ó","O"),"Ô","O"),"Õ","O"),"Ú","U"),"Ü","U"),"Ç","C"))</f>
        <v/>
      </c>
      <c r="I565" s="28" t="str">
        <f aca="false">IF(C565="","",IF(LEN(SUBSTITUTE(SUBSTITUTE(SUBSTITUTE(SUBSTITUTE(TRIM(C565),"*",""),".",""),"-","")," ",""))=11,MID(SUBSTITUTE(SUBSTITUTE(SUBSTITUTE(SUBSTITUTE(TRIM(C565),"*",""),".",""),"-","")," ",""),4,6),SUBSTITUTE(SUBSTITUTE(SUBSTITUTE(SUBSTITUTE(TRIM(C565),"*",""),".",""),"-","")," ","")))</f>
        <v/>
      </c>
      <c r="J565" s="28" t="str">
        <f aca="false">IF(OR(H565="",I565=""),"",H565&amp;"|"&amp;I565)</f>
        <v/>
      </c>
      <c r="K565" s="19" t="str">
        <f aca="false">IF(H565="","",IF(AND(J565&lt;&gt;"",COUNTIF(Pessoas!$J:$J,J565)&gt;0),"SIM",IF(COUNTIF(Pessoas!$H:$H,H565)&gt;0,"nome igual em Pessoas: confira o CPF","")))</f>
        <v/>
      </c>
      <c r="L565" s="27"/>
      <c r="M565" s="5"/>
    </row>
    <row r="566" customFormat="false" ht="15" hidden="false" customHeight="false" outlineLevel="0" collapsed="false">
      <c r="A566" s="27"/>
      <c r="B566" s="5"/>
      <c r="C566" s="27"/>
      <c r="D566" s="18"/>
      <c r="E566" s="14"/>
      <c r="F566" s="18"/>
      <c r="G566" s="19" t="str">
        <f aca="false">IF(A566="","",IFERROR(INDEX(Empresas!$B:$B,MATCH(A566,Empresas!$A:$A,0))&amp;"","cadastre o CNPJ em Empresas"))</f>
        <v/>
      </c>
      <c r="H566" s="28" t="str">
        <f aca="false">IF(B566="","",SUBSTITUTE(SUBSTITUTE(SUBSTITUTE(SUBSTITUTE(SUBSTITUTE(SUBSTITUTE(SUBSTITUTE(SUBSTITUTE(SUBSTITUTE(SUBSTITUTE(SUBSTITUTE(SUBSTITUTE(SUBSTITUTE(UPPER(TRIM(B566)),"Á","A"),"À","A"),"Â","A"),"Ã","A"),"É","E"),"Ê","E"),"Í","I"),"Ó","O"),"Ô","O"),"Õ","O"),"Ú","U"),"Ü","U"),"Ç","C"))</f>
        <v/>
      </c>
      <c r="I566" s="28" t="str">
        <f aca="false">IF(C566="","",IF(LEN(SUBSTITUTE(SUBSTITUTE(SUBSTITUTE(SUBSTITUTE(TRIM(C566),"*",""),".",""),"-","")," ",""))=11,MID(SUBSTITUTE(SUBSTITUTE(SUBSTITUTE(SUBSTITUTE(TRIM(C566),"*",""),".",""),"-","")," ",""),4,6),SUBSTITUTE(SUBSTITUTE(SUBSTITUTE(SUBSTITUTE(TRIM(C566),"*",""),".",""),"-","")," ","")))</f>
        <v/>
      </c>
      <c r="J566" s="28" t="str">
        <f aca="false">IF(OR(H566="",I566=""),"",H566&amp;"|"&amp;I566)</f>
        <v/>
      </c>
      <c r="K566" s="19" t="str">
        <f aca="false">IF(H566="","",IF(AND(J566&lt;&gt;"",COUNTIF(Pessoas!$J:$J,J566)&gt;0),"SIM",IF(COUNTIF(Pessoas!$H:$H,H566)&gt;0,"nome igual em Pessoas: confira o CPF","")))</f>
        <v/>
      </c>
      <c r="L566" s="27"/>
      <c r="M566" s="5"/>
    </row>
    <row r="567" customFormat="false" ht="15" hidden="false" customHeight="false" outlineLevel="0" collapsed="false">
      <c r="A567" s="27"/>
      <c r="B567" s="5"/>
      <c r="C567" s="27"/>
      <c r="D567" s="18"/>
      <c r="E567" s="14"/>
      <c r="F567" s="18"/>
      <c r="G567" s="19" t="str">
        <f aca="false">IF(A567="","",IFERROR(INDEX(Empresas!$B:$B,MATCH(A567,Empresas!$A:$A,0))&amp;"","cadastre o CNPJ em Empresas"))</f>
        <v/>
      </c>
      <c r="H567" s="28" t="str">
        <f aca="false">IF(B567="","",SUBSTITUTE(SUBSTITUTE(SUBSTITUTE(SUBSTITUTE(SUBSTITUTE(SUBSTITUTE(SUBSTITUTE(SUBSTITUTE(SUBSTITUTE(SUBSTITUTE(SUBSTITUTE(SUBSTITUTE(SUBSTITUTE(UPPER(TRIM(B567)),"Á","A"),"À","A"),"Â","A"),"Ã","A"),"É","E"),"Ê","E"),"Í","I"),"Ó","O"),"Ô","O"),"Õ","O"),"Ú","U"),"Ü","U"),"Ç","C"))</f>
        <v/>
      </c>
      <c r="I567" s="28" t="str">
        <f aca="false">IF(C567="","",IF(LEN(SUBSTITUTE(SUBSTITUTE(SUBSTITUTE(SUBSTITUTE(TRIM(C567),"*",""),".",""),"-","")," ",""))=11,MID(SUBSTITUTE(SUBSTITUTE(SUBSTITUTE(SUBSTITUTE(TRIM(C567),"*",""),".",""),"-","")," ",""),4,6),SUBSTITUTE(SUBSTITUTE(SUBSTITUTE(SUBSTITUTE(TRIM(C567),"*",""),".",""),"-","")," ","")))</f>
        <v/>
      </c>
      <c r="J567" s="28" t="str">
        <f aca="false">IF(OR(H567="",I567=""),"",H567&amp;"|"&amp;I567)</f>
        <v/>
      </c>
      <c r="K567" s="19" t="str">
        <f aca="false">IF(H567="","",IF(AND(J567&lt;&gt;"",COUNTIF(Pessoas!$J:$J,J567)&gt;0),"SIM",IF(COUNTIF(Pessoas!$H:$H,H567)&gt;0,"nome igual em Pessoas: confira o CPF","")))</f>
        <v/>
      </c>
      <c r="L567" s="27"/>
      <c r="M567" s="5"/>
    </row>
    <row r="568" customFormat="false" ht="15" hidden="false" customHeight="false" outlineLevel="0" collapsed="false">
      <c r="A568" s="27"/>
      <c r="B568" s="5"/>
      <c r="C568" s="27"/>
      <c r="D568" s="18"/>
      <c r="E568" s="14"/>
      <c r="F568" s="18"/>
      <c r="G568" s="19" t="str">
        <f aca="false">IF(A568="","",IFERROR(INDEX(Empresas!$B:$B,MATCH(A568,Empresas!$A:$A,0))&amp;"","cadastre o CNPJ em Empresas"))</f>
        <v/>
      </c>
      <c r="H568" s="28" t="str">
        <f aca="false">IF(B568="","",SUBSTITUTE(SUBSTITUTE(SUBSTITUTE(SUBSTITUTE(SUBSTITUTE(SUBSTITUTE(SUBSTITUTE(SUBSTITUTE(SUBSTITUTE(SUBSTITUTE(SUBSTITUTE(SUBSTITUTE(SUBSTITUTE(UPPER(TRIM(B568)),"Á","A"),"À","A"),"Â","A"),"Ã","A"),"É","E"),"Ê","E"),"Í","I"),"Ó","O"),"Ô","O"),"Õ","O"),"Ú","U"),"Ü","U"),"Ç","C"))</f>
        <v/>
      </c>
      <c r="I568" s="28" t="str">
        <f aca="false">IF(C568="","",IF(LEN(SUBSTITUTE(SUBSTITUTE(SUBSTITUTE(SUBSTITUTE(TRIM(C568),"*",""),".",""),"-","")," ",""))=11,MID(SUBSTITUTE(SUBSTITUTE(SUBSTITUTE(SUBSTITUTE(TRIM(C568),"*",""),".",""),"-","")," ",""),4,6),SUBSTITUTE(SUBSTITUTE(SUBSTITUTE(SUBSTITUTE(TRIM(C568),"*",""),".",""),"-","")," ","")))</f>
        <v/>
      </c>
      <c r="J568" s="28" t="str">
        <f aca="false">IF(OR(H568="",I568=""),"",H568&amp;"|"&amp;I568)</f>
        <v/>
      </c>
      <c r="K568" s="19" t="str">
        <f aca="false">IF(H568="","",IF(AND(J568&lt;&gt;"",COUNTIF(Pessoas!$J:$J,J568)&gt;0),"SIM",IF(COUNTIF(Pessoas!$H:$H,H568)&gt;0,"nome igual em Pessoas: confira o CPF","")))</f>
        <v/>
      </c>
      <c r="L568" s="27"/>
      <c r="M568" s="5"/>
    </row>
    <row r="569" customFormat="false" ht="15" hidden="false" customHeight="false" outlineLevel="0" collapsed="false">
      <c r="A569" s="27"/>
      <c r="B569" s="5"/>
      <c r="C569" s="27"/>
      <c r="D569" s="18"/>
      <c r="E569" s="14"/>
      <c r="F569" s="18"/>
      <c r="G569" s="19" t="str">
        <f aca="false">IF(A569="","",IFERROR(INDEX(Empresas!$B:$B,MATCH(A569,Empresas!$A:$A,0))&amp;"","cadastre o CNPJ em Empresas"))</f>
        <v/>
      </c>
      <c r="H569" s="28" t="str">
        <f aca="false">IF(B569="","",SUBSTITUTE(SUBSTITUTE(SUBSTITUTE(SUBSTITUTE(SUBSTITUTE(SUBSTITUTE(SUBSTITUTE(SUBSTITUTE(SUBSTITUTE(SUBSTITUTE(SUBSTITUTE(SUBSTITUTE(SUBSTITUTE(UPPER(TRIM(B569)),"Á","A"),"À","A"),"Â","A"),"Ã","A"),"É","E"),"Ê","E"),"Í","I"),"Ó","O"),"Ô","O"),"Õ","O"),"Ú","U"),"Ü","U"),"Ç","C"))</f>
        <v/>
      </c>
      <c r="I569" s="28" t="str">
        <f aca="false">IF(C569="","",IF(LEN(SUBSTITUTE(SUBSTITUTE(SUBSTITUTE(SUBSTITUTE(TRIM(C569),"*",""),".",""),"-","")," ",""))=11,MID(SUBSTITUTE(SUBSTITUTE(SUBSTITUTE(SUBSTITUTE(TRIM(C569),"*",""),".",""),"-","")," ",""),4,6),SUBSTITUTE(SUBSTITUTE(SUBSTITUTE(SUBSTITUTE(TRIM(C569),"*",""),".",""),"-","")," ","")))</f>
        <v/>
      </c>
      <c r="J569" s="28" t="str">
        <f aca="false">IF(OR(H569="",I569=""),"",H569&amp;"|"&amp;I569)</f>
        <v/>
      </c>
      <c r="K569" s="19" t="str">
        <f aca="false">IF(H569="","",IF(AND(J569&lt;&gt;"",COUNTIF(Pessoas!$J:$J,J569)&gt;0),"SIM",IF(COUNTIF(Pessoas!$H:$H,H569)&gt;0,"nome igual em Pessoas: confira o CPF","")))</f>
        <v/>
      </c>
      <c r="L569" s="27"/>
      <c r="M569" s="5"/>
    </row>
    <row r="570" customFormat="false" ht="15" hidden="false" customHeight="false" outlineLevel="0" collapsed="false">
      <c r="A570" s="27"/>
      <c r="B570" s="5"/>
      <c r="C570" s="27"/>
      <c r="D570" s="18"/>
      <c r="E570" s="14"/>
      <c r="F570" s="18"/>
      <c r="G570" s="19" t="str">
        <f aca="false">IF(A570="","",IFERROR(INDEX(Empresas!$B:$B,MATCH(A570,Empresas!$A:$A,0))&amp;"","cadastre o CNPJ em Empresas"))</f>
        <v/>
      </c>
      <c r="H570" s="28" t="str">
        <f aca="false">IF(B570="","",SUBSTITUTE(SUBSTITUTE(SUBSTITUTE(SUBSTITUTE(SUBSTITUTE(SUBSTITUTE(SUBSTITUTE(SUBSTITUTE(SUBSTITUTE(SUBSTITUTE(SUBSTITUTE(SUBSTITUTE(SUBSTITUTE(UPPER(TRIM(B570)),"Á","A"),"À","A"),"Â","A"),"Ã","A"),"É","E"),"Ê","E"),"Í","I"),"Ó","O"),"Ô","O"),"Õ","O"),"Ú","U"),"Ü","U"),"Ç","C"))</f>
        <v/>
      </c>
      <c r="I570" s="28" t="str">
        <f aca="false">IF(C570="","",IF(LEN(SUBSTITUTE(SUBSTITUTE(SUBSTITUTE(SUBSTITUTE(TRIM(C570),"*",""),".",""),"-","")," ",""))=11,MID(SUBSTITUTE(SUBSTITUTE(SUBSTITUTE(SUBSTITUTE(TRIM(C570),"*",""),".",""),"-","")," ",""),4,6),SUBSTITUTE(SUBSTITUTE(SUBSTITUTE(SUBSTITUTE(TRIM(C570),"*",""),".",""),"-","")," ","")))</f>
        <v/>
      </c>
      <c r="J570" s="28" t="str">
        <f aca="false">IF(OR(H570="",I570=""),"",H570&amp;"|"&amp;I570)</f>
        <v/>
      </c>
      <c r="K570" s="19" t="str">
        <f aca="false">IF(H570="","",IF(AND(J570&lt;&gt;"",COUNTIF(Pessoas!$J:$J,J570)&gt;0),"SIM",IF(COUNTIF(Pessoas!$H:$H,H570)&gt;0,"nome igual em Pessoas: confira o CPF","")))</f>
        <v/>
      </c>
      <c r="L570" s="27"/>
      <c r="M570" s="5"/>
    </row>
    <row r="571" customFormat="false" ht="15" hidden="false" customHeight="false" outlineLevel="0" collapsed="false">
      <c r="A571" s="27"/>
      <c r="B571" s="5"/>
      <c r="C571" s="27"/>
      <c r="D571" s="18"/>
      <c r="E571" s="14"/>
      <c r="F571" s="18"/>
      <c r="G571" s="19" t="str">
        <f aca="false">IF(A571="","",IFERROR(INDEX(Empresas!$B:$B,MATCH(A571,Empresas!$A:$A,0))&amp;"","cadastre o CNPJ em Empresas"))</f>
        <v/>
      </c>
      <c r="H571" s="28" t="str">
        <f aca="false">IF(B571="","",SUBSTITUTE(SUBSTITUTE(SUBSTITUTE(SUBSTITUTE(SUBSTITUTE(SUBSTITUTE(SUBSTITUTE(SUBSTITUTE(SUBSTITUTE(SUBSTITUTE(SUBSTITUTE(SUBSTITUTE(SUBSTITUTE(UPPER(TRIM(B571)),"Á","A"),"À","A"),"Â","A"),"Ã","A"),"É","E"),"Ê","E"),"Í","I"),"Ó","O"),"Ô","O"),"Õ","O"),"Ú","U"),"Ü","U"),"Ç","C"))</f>
        <v/>
      </c>
      <c r="I571" s="28" t="str">
        <f aca="false">IF(C571="","",IF(LEN(SUBSTITUTE(SUBSTITUTE(SUBSTITUTE(SUBSTITUTE(TRIM(C571),"*",""),".",""),"-","")," ",""))=11,MID(SUBSTITUTE(SUBSTITUTE(SUBSTITUTE(SUBSTITUTE(TRIM(C571),"*",""),".",""),"-","")," ",""),4,6),SUBSTITUTE(SUBSTITUTE(SUBSTITUTE(SUBSTITUTE(TRIM(C571),"*",""),".",""),"-","")," ","")))</f>
        <v/>
      </c>
      <c r="J571" s="28" t="str">
        <f aca="false">IF(OR(H571="",I571=""),"",H571&amp;"|"&amp;I571)</f>
        <v/>
      </c>
      <c r="K571" s="19" t="str">
        <f aca="false">IF(H571="","",IF(AND(J571&lt;&gt;"",COUNTIF(Pessoas!$J:$J,J571)&gt;0),"SIM",IF(COUNTIF(Pessoas!$H:$H,H571)&gt;0,"nome igual em Pessoas: confira o CPF","")))</f>
        <v/>
      </c>
      <c r="L571" s="27"/>
      <c r="M571" s="5"/>
    </row>
    <row r="572" customFormat="false" ht="15" hidden="false" customHeight="false" outlineLevel="0" collapsed="false">
      <c r="A572" s="27"/>
      <c r="B572" s="5"/>
      <c r="C572" s="27"/>
      <c r="D572" s="18"/>
      <c r="E572" s="14"/>
      <c r="F572" s="18"/>
      <c r="G572" s="19" t="str">
        <f aca="false">IF(A572="","",IFERROR(INDEX(Empresas!$B:$B,MATCH(A572,Empresas!$A:$A,0))&amp;"","cadastre o CNPJ em Empresas"))</f>
        <v/>
      </c>
      <c r="H572" s="28" t="str">
        <f aca="false">IF(B572="","",SUBSTITUTE(SUBSTITUTE(SUBSTITUTE(SUBSTITUTE(SUBSTITUTE(SUBSTITUTE(SUBSTITUTE(SUBSTITUTE(SUBSTITUTE(SUBSTITUTE(SUBSTITUTE(SUBSTITUTE(SUBSTITUTE(UPPER(TRIM(B572)),"Á","A"),"À","A"),"Â","A"),"Ã","A"),"É","E"),"Ê","E"),"Í","I"),"Ó","O"),"Ô","O"),"Õ","O"),"Ú","U"),"Ü","U"),"Ç","C"))</f>
        <v/>
      </c>
      <c r="I572" s="28" t="str">
        <f aca="false">IF(C572="","",IF(LEN(SUBSTITUTE(SUBSTITUTE(SUBSTITUTE(SUBSTITUTE(TRIM(C572),"*",""),".",""),"-","")," ",""))=11,MID(SUBSTITUTE(SUBSTITUTE(SUBSTITUTE(SUBSTITUTE(TRIM(C572),"*",""),".",""),"-","")," ",""),4,6),SUBSTITUTE(SUBSTITUTE(SUBSTITUTE(SUBSTITUTE(TRIM(C572),"*",""),".",""),"-","")," ","")))</f>
        <v/>
      </c>
      <c r="J572" s="28" t="str">
        <f aca="false">IF(OR(H572="",I572=""),"",H572&amp;"|"&amp;I572)</f>
        <v/>
      </c>
      <c r="K572" s="19" t="str">
        <f aca="false">IF(H572="","",IF(AND(J572&lt;&gt;"",COUNTIF(Pessoas!$J:$J,J572)&gt;0),"SIM",IF(COUNTIF(Pessoas!$H:$H,H572)&gt;0,"nome igual em Pessoas: confira o CPF","")))</f>
        <v/>
      </c>
      <c r="L572" s="27"/>
      <c r="M572" s="5"/>
    </row>
    <row r="573" customFormat="false" ht="15" hidden="false" customHeight="false" outlineLevel="0" collapsed="false">
      <c r="A573" s="27"/>
      <c r="B573" s="5"/>
      <c r="C573" s="27"/>
      <c r="D573" s="18"/>
      <c r="E573" s="14"/>
      <c r="F573" s="18"/>
      <c r="G573" s="19" t="str">
        <f aca="false">IF(A573="","",IFERROR(INDEX(Empresas!$B:$B,MATCH(A573,Empresas!$A:$A,0))&amp;"","cadastre o CNPJ em Empresas"))</f>
        <v/>
      </c>
      <c r="H573" s="28" t="str">
        <f aca="false">IF(B573="","",SUBSTITUTE(SUBSTITUTE(SUBSTITUTE(SUBSTITUTE(SUBSTITUTE(SUBSTITUTE(SUBSTITUTE(SUBSTITUTE(SUBSTITUTE(SUBSTITUTE(SUBSTITUTE(SUBSTITUTE(SUBSTITUTE(UPPER(TRIM(B573)),"Á","A"),"À","A"),"Â","A"),"Ã","A"),"É","E"),"Ê","E"),"Í","I"),"Ó","O"),"Ô","O"),"Õ","O"),"Ú","U"),"Ü","U"),"Ç","C"))</f>
        <v/>
      </c>
      <c r="I573" s="28" t="str">
        <f aca="false">IF(C573="","",IF(LEN(SUBSTITUTE(SUBSTITUTE(SUBSTITUTE(SUBSTITUTE(TRIM(C573),"*",""),".",""),"-","")," ",""))=11,MID(SUBSTITUTE(SUBSTITUTE(SUBSTITUTE(SUBSTITUTE(TRIM(C573),"*",""),".",""),"-","")," ",""),4,6),SUBSTITUTE(SUBSTITUTE(SUBSTITUTE(SUBSTITUTE(TRIM(C573),"*",""),".",""),"-","")," ","")))</f>
        <v/>
      </c>
      <c r="J573" s="28" t="str">
        <f aca="false">IF(OR(H573="",I573=""),"",H573&amp;"|"&amp;I573)</f>
        <v/>
      </c>
      <c r="K573" s="19" t="str">
        <f aca="false">IF(H573="","",IF(AND(J573&lt;&gt;"",COUNTIF(Pessoas!$J:$J,J573)&gt;0),"SIM",IF(COUNTIF(Pessoas!$H:$H,H573)&gt;0,"nome igual em Pessoas: confira o CPF","")))</f>
        <v/>
      </c>
      <c r="L573" s="27"/>
      <c r="M573" s="5"/>
    </row>
    <row r="574" customFormat="false" ht="15" hidden="false" customHeight="false" outlineLevel="0" collapsed="false">
      <c r="A574" s="27"/>
      <c r="B574" s="5"/>
      <c r="C574" s="27"/>
      <c r="D574" s="18"/>
      <c r="E574" s="14"/>
      <c r="F574" s="18"/>
      <c r="G574" s="19" t="str">
        <f aca="false">IF(A574="","",IFERROR(INDEX(Empresas!$B:$B,MATCH(A574,Empresas!$A:$A,0))&amp;"","cadastre o CNPJ em Empresas"))</f>
        <v/>
      </c>
      <c r="H574" s="28" t="str">
        <f aca="false">IF(B574="","",SUBSTITUTE(SUBSTITUTE(SUBSTITUTE(SUBSTITUTE(SUBSTITUTE(SUBSTITUTE(SUBSTITUTE(SUBSTITUTE(SUBSTITUTE(SUBSTITUTE(SUBSTITUTE(SUBSTITUTE(SUBSTITUTE(UPPER(TRIM(B574)),"Á","A"),"À","A"),"Â","A"),"Ã","A"),"É","E"),"Ê","E"),"Í","I"),"Ó","O"),"Ô","O"),"Õ","O"),"Ú","U"),"Ü","U"),"Ç","C"))</f>
        <v/>
      </c>
      <c r="I574" s="28" t="str">
        <f aca="false">IF(C574="","",IF(LEN(SUBSTITUTE(SUBSTITUTE(SUBSTITUTE(SUBSTITUTE(TRIM(C574),"*",""),".",""),"-","")," ",""))=11,MID(SUBSTITUTE(SUBSTITUTE(SUBSTITUTE(SUBSTITUTE(TRIM(C574),"*",""),".",""),"-","")," ",""),4,6),SUBSTITUTE(SUBSTITUTE(SUBSTITUTE(SUBSTITUTE(TRIM(C574),"*",""),".",""),"-","")," ","")))</f>
        <v/>
      </c>
      <c r="J574" s="28" t="str">
        <f aca="false">IF(OR(H574="",I574=""),"",H574&amp;"|"&amp;I574)</f>
        <v/>
      </c>
      <c r="K574" s="19" t="str">
        <f aca="false">IF(H574="","",IF(AND(J574&lt;&gt;"",COUNTIF(Pessoas!$J:$J,J574)&gt;0),"SIM",IF(COUNTIF(Pessoas!$H:$H,H574)&gt;0,"nome igual em Pessoas: confira o CPF","")))</f>
        <v/>
      </c>
      <c r="L574" s="27"/>
      <c r="M574" s="5"/>
    </row>
    <row r="575" customFormat="false" ht="15" hidden="false" customHeight="false" outlineLevel="0" collapsed="false">
      <c r="A575" s="27"/>
      <c r="B575" s="5"/>
      <c r="C575" s="27"/>
      <c r="D575" s="18"/>
      <c r="E575" s="14"/>
      <c r="F575" s="18"/>
      <c r="G575" s="19" t="str">
        <f aca="false">IF(A575="","",IFERROR(INDEX(Empresas!$B:$B,MATCH(A575,Empresas!$A:$A,0))&amp;"","cadastre o CNPJ em Empresas"))</f>
        <v/>
      </c>
      <c r="H575" s="28" t="str">
        <f aca="false">IF(B575="","",SUBSTITUTE(SUBSTITUTE(SUBSTITUTE(SUBSTITUTE(SUBSTITUTE(SUBSTITUTE(SUBSTITUTE(SUBSTITUTE(SUBSTITUTE(SUBSTITUTE(SUBSTITUTE(SUBSTITUTE(SUBSTITUTE(UPPER(TRIM(B575)),"Á","A"),"À","A"),"Â","A"),"Ã","A"),"É","E"),"Ê","E"),"Í","I"),"Ó","O"),"Ô","O"),"Õ","O"),"Ú","U"),"Ü","U"),"Ç","C"))</f>
        <v/>
      </c>
      <c r="I575" s="28" t="str">
        <f aca="false">IF(C575="","",IF(LEN(SUBSTITUTE(SUBSTITUTE(SUBSTITUTE(SUBSTITUTE(TRIM(C575),"*",""),".",""),"-","")," ",""))=11,MID(SUBSTITUTE(SUBSTITUTE(SUBSTITUTE(SUBSTITUTE(TRIM(C575),"*",""),".",""),"-","")," ",""),4,6),SUBSTITUTE(SUBSTITUTE(SUBSTITUTE(SUBSTITUTE(TRIM(C575),"*",""),".",""),"-","")," ","")))</f>
        <v/>
      </c>
      <c r="J575" s="28" t="str">
        <f aca="false">IF(OR(H575="",I575=""),"",H575&amp;"|"&amp;I575)</f>
        <v/>
      </c>
      <c r="K575" s="19" t="str">
        <f aca="false">IF(H575="","",IF(AND(J575&lt;&gt;"",COUNTIF(Pessoas!$J:$J,J575)&gt;0),"SIM",IF(COUNTIF(Pessoas!$H:$H,H575)&gt;0,"nome igual em Pessoas: confira o CPF","")))</f>
        <v/>
      </c>
      <c r="L575" s="27"/>
      <c r="M575" s="5"/>
    </row>
    <row r="576" customFormat="false" ht="15" hidden="false" customHeight="false" outlineLevel="0" collapsed="false">
      <c r="A576" s="27"/>
      <c r="B576" s="5"/>
      <c r="C576" s="27"/>
      <c r="D576" s="18"/>
      <c r="E576" s="14"/>
      <c r="F576" s="18"/>
      <c r="G576" s="19" t="str">
        <f aca="false">IF(A576="","",IFERROR(INDEX(Empresas!$B:$B,MATCH(A576,Empresas!$A:$A,0))&amp;"","cadastre o CNPJ em Empresas"))</f>
        <v/>
      </c>
      <c r="H576" s="28" t="str">
        <f aca="false">IF(B576="","",SUBSTITUTE(SUBSTITUTE(SUBSTITUTE(SUBSTITUTE(SUBSTITUTE(SUBSTITUTE(SUBSTITUTE(SUBSTITUTE(SUBSTITUTE(SUBSTITUTE(SUBSTITUTE(SUBSTITUTE(SUBSTITUTE(UPPER(TRIM(B576)),"Á","A"),"À","A"),"Â","A"),"Ã","A"),"É","E"),"Ê","E"),"Í","I"),"Ó","O"),"Ô","O"),"Õ","O"),"Ú","U"),"Ü","U"),"Ç","C"))</f>
        <v/>
      </c>
      <c r="I576" s="28" t="str">
        <f aca="false">IF(C576="","",IF(LEN(SUBSTITUTE(SUBSTITUTE(SUBSTITUTE(SUBSTITUTE(TRIM(C576),"*",""),".",""),"-","")," ",""))=11,MID(SUBSTITUTE(SUBSTITUTE(SUBSTITUTE(SUBSTITUTE(TRIM(C576),"*",""),".",""),"-","")," ",""),4,6),SUBSTITUTE(SUBSTITUTE(SUBSTITUTE(SUBSTITUTE(TRIM(C576),"*",""),".",""),"-","")," ","")))</f>
        <v/>
      </c>
      <c r="J576" s="28" t="str">
        <f aca="false">IF(OR(H576="",I576=""),"",H576&amp;"|"&amp;I576)</f>
        <v/>
      </c>
      <c r="K576" s="19" t="str">
        <f aca="false">IF(H576="","",IF(AND(J576&lt;&gt;"",COUNTIF(Pessoas!$J:$J,J576)&gt;0),"SIM",IF(COUNTIF(Pessoas!$H:$H,H576)&gt;0,"nome igual em Pessoas: confira o CPF","")))</f>
        <v/>
      </c>
      <c r="L576" s="27"/>
      <c r="M576" s="5"/>
    </row>
    <row r="577" customFormat="false" ht="15" hidden="false" customHeight="false" outlineLevel="0" collapsed="false">
      <c r="A577" s="27"/>
      <c r="B577" s="5"/>
      <c r="C577" s="27"/>
      <c r="D577" s="18"/>
      <c r="E577" s="14"/>
      <c r="F577" s="18"/>
      <c r="G577" s="19" t="str">
        <f aca="false">IF(A577="","",IFERROR(INDEX(Empresas!$B:$B,MATCH(A577,Empresas!$A:$A,0))&amp;"","cadastre o CNPJ em Empresas"))</f>
        <v/>
      </c>
      <c r="H577" s="28" t="str">
        <f aca="false">IF(B577="","",SUBSTITUTE(SUBSTITUTE(SUBSTITUTE(SUBSTITUTE(SUBSTITUTE(SUBSTITUTE(SUBSTITUTE(SUBSTITUTE(SUBSTITUTE(SUBSTITUTE(SUBSTITUTE(SUBSTITUTE(SUBSTITUTE(UPPER(TRIM(B577)),"Á","A"),"À","A"),"Â","A"),"Ã","A"),"É","E"),"Ê","E"),"Í","I"),"Ó","O"),"Ô","O"),"Õ","O"),"Ú","U"),"Ü","U"),"Ç","C"))</f>
        <v/>
      </c>
      <c r="I577" s="28" t="str">
        <f aca="false">IF(C577="","",IF(LEN(SUBSTITUTE(SUBSTITUTE(SUBSTITUTE(SUBSTITUTE(TRIM(C577),"*",""),".",""),"-","")," ",""))=11,MID(SUBSTITUTE(SUBSTITUTE(SUBSTITUTE(SUBSTITUTE(TRIM(C577),"*",""),".",""),"-","")," ",""),4,6),SUBSTITUTE(SUBSTITUTE(SUBSTITUTE(SUBSTITUTE(TRIM(C577),"*",""),".",""),"-","")," ","")))</f>
        <v/>
      </c>
      <c r="J577" s="28" t="str">
        <f aca="false">IF(OR(H577="",I577=""),"",H577&amp;"|"&amp;I577)</f>
        <v/>
      </c>
      <c r="K577" s="19" t="str">
        <f aca="false">IF(H577="","",IF(AND(J577&lt;&gt;"",COUNTIF(Pessoas!$J:$J,J577)&gt;0),"SIM",IF(COUNTIF(Pessoas!$H:$H,H577)&gt;0,"nome igual em Pessoas: confira o CPF","")))</f>
        <v/>
      </c>
      <c r="L577" s="27"/>
      <c r="M577" s="5"/>
    </row>
    <row r="578" customFormat="false" ht="15" hidden="false" customHeight="false" outlineLevel="0" collapsed="false">
      <c r="A578" s="27"/>
      <c r="B578" s="5"/>
      <c r="C578" s="27"/>
      <c r="D578" s="18"/>
      <c r="E578" s="14"/>
      <c r="F578" s="18"/>
      <c r="G578" s="19" t="str">
        <f aca="false">IF(A578="","",IFERROR(INDEX(Empresas!$B:$B,MATCH(A578,Empresas!$A:$A,0))&amp;"","cadastre o CNPJ em Empresas"))</f>
        <v/>
      </c>
      <c r="H578" s="28" t="str">
        <f aca="false">IF(B578="","",SUBSTITUTE(SUBSTITUTE(SUBSTITUTE(SUBSTITUTE(SUBSTITUTE(SUBSTITUTE(SUBSTITUTE(SUBSTITUTE(SUBSTITUTE(SUBSTITUTE(SUBSTITUTE(SUBSTITUTE(SUBSTITUTE(UPPER(TRIM(B578)),"Á","A"),"À","A"),"Â","A"),"Ã","A"),"É","E"),"Ê","E"),"Í","I"),"Ó","O"),"Ô","O"),"Õ","O"),"Ú","U"),"Ü","U"),"Ç","C"))</f>
        <v/>
      </c>
      <c r="I578" s="28" t="str">
        <f aca="false">IF(C578="","",IF(LEN(SUBSTITUTE(SUBSTITUTE(SUBSTITUTE(SUBSTITUTE(TRIM(C578),"*",""),".",""),"-","")," ",""))=11,MID(SUBSTITUTE(SUBSTITUTE(SUBSTITUTE(SUBSTITUTE(TRIM(C578),"*",""),".",""),"-","")," ",""),4,6),SUBSTITUTE(SUBSTITUTE(SUBSTITUTE(SUBSTITUTE(TRIM(C578),"*",""),".",""),"-","")," ","")))</f>
        <v/>
      </c>
      <c r="J578" s="28" t="str">
        <f aca="false">IF(OR(H578="",I578=""),"",H578&amp;"|"&amp;I578)</f>
        <v/>
      </c>
      <c r="K578" s="19" t="str">
        <f aca="false">IF(H578="","",IF(AND(J578&lt;&gt;"",COUNTIF(Pessoas!$J:$J,J578)&gt;0),"SIM",IF(COUNTIF(Pessoas!$H:$H,H578)&gt;0,"nome igual em Pessoas: confira o CPF","")))</f>
        <v/>
      </c>
      <c r="L578" s="27"/>
      <c r="M578" s="5"/>
    </row>
    <row r="579" customFormat="false" ht="15" hidden="false" customHeight="false" outlineLevel="0" collapsed="false">
      <c r="A579" s="27"/>
      <c r="B579" s="5"/>
      <c r="C579" s="27"/>
      <c r="D579" s="18"/>
      <c r="E579" s="14"/>
      <c r="F579" s="18"/>
      <c r="G579" s="19" t="str">
        <f aca="false">IF(A579="","",IFERROR(INDEX(Empresas!$B:$B,MATCH(A579,Empresas!$A:$A,0))&amp;"","cadastre o CNPJ em Empresas"))</f>
        <v/>
      </c>
      <c r="H579" s="28" t="str">
        <f aca="false">IF(B579="","",SUBSTITUTE(SUBSTITUTE(SUBSTITUTE(SUBSTITUTE(SUBSTITUTE(SUBSTITUTE(SUBSTITUTE(SUBSTITUTE(SUBSTITUTE(SUBSTITUTE(SUBSTITUTE(SUBSTITUTE(SUBSTITUTE(UPPER(TRIM(B579)),"Á","A"),"À","A"),"Â","A"),"Ã","A"),"É","E"),"Ê","E"),"Í","I"),"Ó","O"),"Ô","O"),"Õ","O"),"Ú","U"),"Ü","U"),"Ç","C"))</f>
        <v/>
      </c>
      <c r="I579" s="28" t="str">
        <f aca="false">IF(C579="","",IF(LEN(SUBSTITUTE(SUBSTITUTE(SUBSTITUTE(SUBSTITUTE(TRIM(C579),"*",""),".",""),"-","")," ",""))=11,MID(SUBSTITUTE(SUBSTITUTE(SUBSTITUTE(SUBSTITUTE(TRIM(C579),"*",""),".",""),"-","")," ",""),4,6),SUBSTITUTE(SUBSTITUTE(SUBSTITUTE(SUBSTITUTE(TRIM(C579),"*",""),".",""),"-","")," ","")))</f>
        <v/>
      </c>
      <c r="J579" s="28" t="str">
        <f aca="false">IF(OR(H579="",I579=""),"",H579&amp;"|"&amp;I579)</f>
        <v/>
      </c>
      <c r="K579" s="19" t="str">
        <f aca="false">IF(H579="","",IF(AND(J579&lt;&gt;"",COUNTIF(Pessoas!$J:$J,J579)&gt;0),"SIM",IF(COUNTIF(Pessoas!$H:$H,H579)&gt;0,"nome igual em Pessoas: confira o CPF","")))</f>
        <v/>
      </c>
      <c r="L579" s="27"/>
      <c r="M579" s="5"/>
    </row>
    <row r="580" customFormat="false" ht="15" hidden="false" customHeight="false" outlineLevel="0" collapsed="false">
      <c r="A580" s="27"/>
      <c r="B580" s="5"/>
      <c r="C580" s="27"/>
      <c r="D580" s="18"/>
      <c r="E580" s="14"/>
      <c r="F580" s="18"/>
      <c r="G580" s="19" t="str">
        <f aca="false">IF(A580="","",IFERROR(INDEX(Empresas!$B:$B,MATCH(A580,Empresas!$A:$A,0))&amp;"","cadastre o CNPJ em Empresas"))</f>
        <v/>
      </c>
      <c r="H580" s="28" t="str">
        <f aca="false">IF(B580="","",SUBSTITUTE(SUBSTITUTE(SUBSTITUTE(SUBSTITUTE(SUBSTITUTE(SUBSTITUTE(SUBSTITUTE(SUBSTITUTE(SUBSTITUTE(SUBSTITUTE(SUBSTITUTE(SUBSTITUTE(SUBSTITUTE(UPPER(TRIM(B580)),"Á","A"),"À","A"),"Â","A"),"Ã","A"),"É","E"),"Ê","E"),"Í","I"),"Ó","O"),"Ô","O"),"Õ","O"),"Ú","U"),"Ü","U"),"Ç","C"))</f>
        <v/>
      </c>
      <c r="I580" s="28" t="str">
        <f aca="false">IF(C580="","",IF(LEN(SUBSTITUTE(SUBSTITUTE(SUBSTITUTE(SUBSTITUTE(TRIM(C580),"*",""),".",""),"-","")," ",""))=11,MID(SUBSTITUTE(SUBSTITUTE(SUBSTITUTE(SUBSTITUTE(TRIM(C580),"*",""),".",""),"-","")," ",""),4,6),SUBSTITUTE(SUBSTITUTE(SUBSTITUTE(SUBSTITUTE(TRIM(C580),"*",""),".",""),"-","")," ","")))</f>
        <v/>
      </c>
      <c r="J580" s="28" t="str">
        <f aca="false">IF(OR(H580="",I580=""),"",H580&amp;"|"&amp;I580)</f>
        <v/>
      </c>
      <c r="K580" s="19" t="str">
        <f aca="false">IF(H580="","",IF(AND(J580&lt;&gt;"",COUNTIF(Pessoas!$J:$J,J580)&gt;0),"SIM",IF(COUNTIF(Pessoas!$H:$H,H580)&gt;0,"nome igual em Pessoas: confira o CPF","")))</f>
        <v/>
      </c>
      <c r="L580" s="27"/>
      <c r="M580" s="5"/>
    </row>
    <row r="581" customFormat="false" ht="15" hidden="false" customHeight="false" outlineLevel="0" collapsed="false">
      <c r="A581" s="27"/>
      <c r="B581" s="5"/>
      <c r="C581" s="27"/>
      <c r="D581" s="18"/>
      <c r="E581" s="14"/>
      <c r="F581" s="18"/>
      <c r="G581" s="19" t="str">
        <f aca="false">IF(A581="","",IFERROR(INDEX(Empresas!$B:$B,MATCH(A581,Empresas!$A:$A,0))&amp;"","cadastre o CNPJ em Empresas"))</f>
        <v/>
      </c>
      <c r="H581" s="28" t="str">
        <f aca="false">IF(B581="","",SUBSTITUTE(SUBSTITUTE(SUBSTITUTE(SUBSTITUTE(SUBSTITUTE(SUBSTITUTE(SUBSTITUTE(SUBSTITUTE(SUBSTITUTE(SUBSTITUTE(SUBSTITUTE(SUBSTITUTE(SUBSTITUTE(UPPER(TRIM(B581)),"Á","A"),"À","A"),"Â","A"),"Ã","A"),"É","E"),"Ê","E"),"Í","I"),"Ó","O"),"Ô","O"),"Õ","O"),"Ú","U"),"Ü","U"),"Ç","C"))</f>
        <v/>
      </c>
      <c r="I581" s="28" t="str">
        <f aca="false">IF(C581="","",IF(LEN(SUBSTITUTE(SUBSTITUTE(SUBSTITUTE(SUBSTITUTE(TRIM(C581),"*",""),".",""),"-","")," ",""))=11,MID(SUBSTITUTE(SUBSTITUTE(SUBSTITUTE(SUBSTITUTE(TRIM(C581),"*",""),".",""),"-","")," ",""),4,6),SUBSTITUTE(SUBSTITUTE(SUBSTITUTE(SUBSTITUTE(TRIM(C581),"*",""),".",""),"-","")," ","")))</f>
        <v/>
      </c>
      <c r="J581" s="28" t="str">
        <f aca="false">IF(OR(H581="",I581=""),"",H581&amp;"|"&amp;I581)</f>
        <v/>
      </c>
      <c r="K581" s="19" t="str">
        <f aca="false">IF(H581="","",IF(AND(J581&lt;&gt;"",COUNTIF(Pessoas!$J:$J,J581)&gt;0),"SIM",IF(COUNTIF(Pessoas!$H:$H,H581)&gt;0,"nome igual em Pessoas: confira o CPF","")))</f>
        <v/>
      </c>
      <c r="L581" s="27"/>
      <c r="M581" s="5"/>
    </row>
    <row r="582" customFormat="false" ht="15" hidden="false" customHeight="false" outlineLevel="0" collapsed="false">
      <c r="A582" s="27"/>
      <c r="B582" s="5"/>
      <c r="C582" s="27"/>
      <c r="D582" s="18"/>
      <c r="E582" s="14"/>
      <c r="F582" s="18"/>
      <c r="G582" s="19" t="str">
        <f aca="false">IF(A582="","",IFERROR(INDEX(Empresas!$B:$B,MATCH(A582,Empresas!$A:$A,0))&amp;"","cadastre o CNPJ em Empresas"))</f>
        <v/>
      </c>
      <c r="H582" s="28" t="str">
        <f aca="false">IF(B582="","",SUBSTITUTE(SUBSTITUTE(SUBSTITUTE(SUBSTITUTE(SUBSTITUTE(SUBSTITUTE(SUBSTITUTE(SUBSTITUTE(SUBSTITUTE(SUBSTITUTE(SUBSTITUTE(SUBSTITUTE(SUBSTITUTE(UPPER(TRIM(B582)),"Á","A"),"À","A"),"Â","A"),"Ã","A"),"É","E"),"Ê","E"),"Í","I"),"Ó","O"),"Ô","O"),"Õ","O"),"Ú","U"),"Ü","U"),"Ç","C"))</f>
        <v/>
      </c>
      <c r="I582" s="28" t="str">
        <f aca="false">IF(C582="","",IF(LEN(SUBSTITUTE(SUBSTITUTE(SUBSTITUTE(SUBSTITUTE(TRIM(C582),"*",""),".",""),"-","")," ",""))=11,MID(SUBSTITUTE(SUBSTITUTE(SUBSTITUTE(SUBSTITUTE(TRIM(C582),"*",""),".",""),"-","")," ",""),4,6),SUBSTITUTE(SUBSTITUTE(SUBSTITUTE(SUBSTITUTE(TRIM(C582),"*",""),".",""),"-","")," ","")))</f>
        <v/>
      </c>
      <c r="J582" s="28" t="str">
        <f aca="false">IF(OR(H582="",I582=""),"",H582&amp;"|"&amp;I582)</f>
        <v/>
      </c>
      <c r="K582" s="19" t="str">
        <f aca="false">IF(H582="","",IF(AND(J582&lt;&gt;"",COUNTIF(Pessoas!$J:$J,J582)&gt;0),"SIM",IF(COUNTIF(Pessoas!$H:$H,H582)&gt;0,"nome igual em Pessoas: confira o CPF","")))</f>
        <v/>
      </c>
      <c r="L582" s="27"/>
      <c r="M582" s="5"/>
    </row>
    <row r="583" customFormat="false" ht="15" hidden="false" customHeight="false" outlineLevel="0" collapsed="false">
      <c r="A583" s="27"/>
      <c r="B583" s="5"/>
      <c r="C583" s="27"/>
      <c r="D583" s="18"/>
      <c r="E583" s="14"/>
      <c r="F583" s="18"/>
      <c r="G583" s="19" t="str">
        <f aca="false">IF(A583="","",IFERROR(INDEX(Empresas!$B:$B,MATCH(A583,Empresas!$A:$A,0))&amp;"","cadastre o CNPJ em Empresas"))</f>
        <v/>
      </c>
      <c r="H583" s="28" t="str">
        <f aca="false">IF(B583="","",SUBSTITUTE(SUBSTITUTE(SUBSTITUTE(SUBSTITUTE(SUBSTITUTE(SUBSTITUTE(SUBSTITUTE(SUBSTITUTE(SUBSTITUTE(SUBSTITUTE(SUBSTITUTE(SUBSTITUTE(SUBSTITUTE(UPPER(TRIM(B583)),"Á","A"),"À","A"),"Â","A"),"Ã","A"),"É","E"),"Ê","E"),"Í","I"),"Ó","O"),"Ô","O"),"Õ","O"),"Ú","U"),"Ü","U"),"Ç","C"))</f>
        <v/>
      </c>
      <c r="I583" s="28" t="str">
        <f aca="false">IF(C583="","",IF(LEN(SUBSTITUTE(SUBSTITUTE(SUBSTITUTE(SUBSTITUTE(TRIM(C583),"*",""),".",""),"-","")," ",""))=11,MID(SUBSTITUTE(SUBSTITUTE(SUBSTITUTE(SUBSTITUTE(TRIM(C583),"*",""),".",""),"-","")," ",""),4,6),SUBSTITUTE(SUBSTITUTE(SUBSTITUTE(SUBSTITUTE(TRIM(C583),"*",""),".",""),"-","")," ","")))</f>
        <v/>
      </c>
      <c r="J583" s="28" t="str">
        <f aca="false">IF(OR(H583="",I583=""),"",H583&amp;"|"&amp;I583)</f>
        <v/>
      </c>
      <c r="K583" s="19" t="str">
        <f aca="false">IF(H583="","",IF(AND(J583&lt;&gt;"",COUNTIF(Pessoas!$J:$J,J583)&gt;0),"SIM",IF(COUNTIF(Pessoas!$H:$H,H583)&gt;0,"nome igual em Pessoas: confira o CPF","")))</f>
        <v/>
      </c>
      <c r="L583" s="27"/>
      <c r="M583" s="5"/>
    </row>
    <row r="584" customFormat="false" ht="15" hidden="false" customHeight="false" outlineLevel="0" collapsed="false">
      <c r="A584" s="27"/>
      <c r="B584" s="5"/>
      <c r="C584" s="27"/>
      <c r="D584" s="18"/>
      <c r="E584" s="14"/>
      <c r="F584" s="18"/>
      <c r="G584" s="19" t="str">
        <f aca="false">IF(A584="","",IFERROR(INDEX(Empresas!$B:$B,MATCH(A584,Empresas!$A:$A,0))&amp;"","cadastre o CNPJ em Empresas"))</f>
        <v/>
      </c>
      <c r="H584" s="28" t="str">
        <f aca="false">IF(B584="","",SUBSTITUTE(SUBSTITUTE(SUBSTITUTE(SUBSTITUTE(SUBSTITUTE(SUBSTITUTE(SUBSTITUTE(SUBSTITUTE(SUBSTITUTE(SUBSTITUTE(SUBSTITUTE(SUBSTITUTE(SUBSTITUTE(UPPER(TRIM(B584)),"Á","A"),"À","A"),"Â","A"),"Ã","A"),"É","E"),"Ê","E"),"Í","I"),"Ó","O"),"Ô","O"),"Õ","O"),"Ú","U"),"Ü","U"),"Ç","C"))</f>
        <v/>
      </c>
      <c r="I584" s="28" t="str">
        <f aca="false">IF(C584="","",IF(LEN(SUBSTITUTE(SUBSTITUTE(SUBSTITUTE(SUBSTITUTE(TRIM(C584),"*",""),".",""),"-","")," ",""))=11,MID(SUBSTITUTE(SUBSTITUTE(SUBSTITUTE(SUBSTITUTE(TRIM(C584),"*",""),".",""),"-","")," ",""),4,6),SUBSTITUTE(SUBSTITUTE(SUBSTITUTE(SUBSTITUTE(TRIM(C584),"*",""),".",""),"-","")," ","")))</f>
        <v/>
      </c>
      <c r="J584" s="28" t="str">
        <f aca="false">IF(OR(H584="",I584=""),"",H584&amp;"|"&amp;I584)</f>
        <v/>
      </c>
      <c r="K584" s="19" t="str">
        <f aca="false">IF(H584="","",IF(AND(J584&lt;&gt;"",COUNTIF(Pessoas!$J:$J,J584)&gt;0),"SIM",IF(COUNTIF(Pessoas!$H:$H,H584)&gt;0,"nome igual em Pessoas: confira o CPF","")))</f>
        <v/>
      </c>
      <c r="L584" s="27"/>
      <c r="M584" s="5"/>
    </row>
    <row r="585" customFormat="false" ht="15" hidden="false" customHeight="false" outlineLevel="0" collapsed="false">
      <c r="A585" s="27"/>
      <c r="B585" s="5"/>
      <c r="C585" s="27"/>
      <c r="D585" s="18"/>
      <c r="E585" s="14"/>
      <c r="F585" s="18"/>
      <c r="G585" s="19" t="str">
        <f aca="false">IF(A585="","",IFERROR(INDEX(Empresas!$B:$B,MATCH(A585,Empresas!$A:$A,0))&amp;"","cadastre o CNPJ em Empresas"))</f>
        <v/>
      </c>
      <c r="H585" s="28" t="str">
        <f aca="false">IF(B585="","",SUBSTITUTE(SUBSTITUTE(SUBSTITUTE(SUBSTITUTE(SUBSTITUTE(SUBSTITUTE(SUBSTITUTE(SUBSTITUTE(SUBSTITUTE(SUBSTITUTE(SUBSTITUTE(SUBSTITUTE(SUBSTITUTE(UPPER(TRIM(B585)),"Á","A"),"À","A"),"Â","A"),"Ã","A"),"É","E"),"Ê","E"),"Í","I"),"Ó","O"),"Ô","O"),"Õ","O"),"Ú","U"),"Ü","U"),"Ç","C"))</f>
        <v/>
      </c>
      <c r="I585" s="28" t="str">
        <f aca="false">IF(C585="","",IF(LEN(SUBSTITUTE(SUBSTITUTE(SUBSTITUTE(SUBSTITUTE(TRIM(C585),"*",""),".",""),"-","")," ",""))=11,MID(SUBSTITUTE(SUBSTITUTE(SUBSTITUTE(SUBSTITUTE(TRIM(C585),"*",""),".",""),"-","")," ",""),4,6),SUBSTITUTE(SUBSTITUTE(SUBSTITUTE(SUBSTITUTE(TRIM(C585),"*",""),".",""),"-","")," ","")))</f>
        <v/>
      </c>
      <c r="J585" s="28" t="str">
        <f aca="false">IF(OR(H585="",I585=""),"",H585&amp;"|"&amp;I585)</f>
        <v/>
      </c>
      <c r="K585" s="19" t="str">
        <f aca="false">IF(H585="","",IF(AND(J585&lt;&gt;"",COUNTIF(Pessoas!$J:$J,J585)&gt;0),"SIM",IF(COUNTIF(Pessoas!$H:$H,H585)&gt;0,"nome igual em Pessoas: confira o CPF","")))</f>
        <v/>
      </c>
      <c r="L585" s="27"/>
      <c r="M585" s="5"/>
    </row>
    <row r="586" customFormat="false" ht="15" hidden="false" customHeight="false" outlineLevel="0" collapsed="false">
      <c r="A586" s="27"/>
      <c r="B586" s="5"/>
      <c r="C586" s="27"/>
      <c r="D586" s="18"/>
      <c r="E586" s="14"/>
      <c r="F586" s="18"/>
      <c r="G586" s="19" t="str">
        <f aca="false">IF(A586="","",IFERROR(INDEX(Empresas!$B:$B,MATCH(A586,Empresas!$A:$A,0))&amp;"","cadastre o CNPJ em Empresas"))</f>
        <v/>
      </c>
      <c r="H586" s="28" t="str">
        <f aca="false">IF(B586="","",SUBSTITUTE(SUBSTITUTE(SUBSTITUTE(SUBSTITUTE(SUBSTITUTE(SUBSTITUTE(SUBSTITUTE(SUBSTITUTE(SUBSTITUTE(SUBSTITUTE(SUBSTITUTE(SUBSTITUTE(SUBSTITUTE(UPPER(TRIM(B586)),"Á","A"),"À","A"),"Â","A"),"Ã","A"),"É","E"),"Ê","E"),"Í","I"),"Ó","O"),"Ô","O"),"Õ","O"),"Ú","U"),"Ü","U"),"Ç","C"))</f>
        <v/>
      </c>
      <c r="I586" s="28" t="str">
        <f aca="false">IF(C586="","",IF(LEN(SUBSTITUTE(SUBSTITUTE(SUBSTITUTE(SUBSTITUTE(TRIM(C586),"*",""),".",""),"-","")," ",""))=11,MID(SUBSTITUTE(SUBSTITUTE(SUBSTITUTE(SUBSTITUTE(TRIM(C586),"*",""),".",""),"-","")," ",""),4,6),SUBSTITUTE(SUBSTITUTE(SUBSTITUTE(SUBSTITUTE(TRIM(C586),"*",""),".",""),"-","")," ","")))</f>
        <v/>
      </c>
      <c r="J586" s="28" t="str">
        <f aca="false">IF(OR(H586="",I586=""),"",H586&amp;"|"&amp;I586)</f>
        <v/>
      </c>
      <c r="K586" s="19" t="str">
        <f aca="false">IF(H586="","",IF(AND(J586&lt;&gt;"",COUNTIF(Pessoas!$J:$J,J586)&gt;0),"SIM",IF(COUNTIF(Pessoas!$H:$H,H586)&gt;0,"nome igual em Pessoas: confira o CPF","")))</f>
        <v/>
      </c>
      <c r="L586" s="27"/>
      <c r="M586" s="5"/>
    </row>
    <row r="587" customFormat="false" ht="15" hidden="false" customHeight="false" outlineLevel="0" collapsed="false">
      <c r="A587" s="27"/>
      <c r="B587" s="5"/>
      <c r="C587" s="27"/>
      <c r="D587" s="18"/>
      <c r="E587" s="14"/>
      <c r="F587" s="18"/>
      <c r="G587" s="19" t="str">
        <f aca="false">IF(A587="","",IFERROR(INDEX(Empresas!$B:$B,MATCH(A587,Empresas!$A:$A,0))&amp;"","cadastre o CNPJ em Empresas"))</f>
        <v/>
      </c>
      <c r="H587" s="28" t="str">
        <f aca="false">IF(B587="","",SUBSTITUTE(SUBSTITUTE(SUBSTITUTE(SUBSTITUTE(SUBSTITUTE(SUBSTITUTE(SUBSTITUTE(SUBSTITUTE(SUBSTITUTE(SUBSTITUTE(SUBSTITUTE(SUBSTITUTE(SUBSTITUTE(UPPER(TRIM(B587)),"Á","A"),"À","A"),"Â","A"),"Ã","A"),"É","E"),"Ê","E"),"Í","I"),"Ó","O"),"Ô","O"),"Õ","O"),"Ú","U"),"Ü","U"),"Ç","C"))</f>
        <v/>
      </c>
      <c r="I587" s="28" t="str">
        <f aca="false">IF(C587="","",IF(LEN(SUBSTITUTE(SUBSTITUTE(SUBSTITUTE(SUBSTITUTE(TRIM(C587),"*",""),".",""),"-","")," ",""))=11,MID(SUBSTITUTE(SUBSTITUTE(SUBSTITUTE(SUBSTITUTE(TRIM(C587),"*",""),".",""),"-","")," ",""),4,6),SUBSTITUTE(SUBSTITUTE(SUBSTITUTE(SUBSTITUTE(TRIM(C587),"*",""),".",""),"-","")," ","")))</f>
        <v/>
      </c>
      <c r="J587" s="28" t="str">
        <f aca="false">IF(OR(H587="",I587=""),"",H587&amp;"|"&amp;I587)</f>
        <v/>
      </c>
      <c r="K587" s="19" t="str">
        <f aca="false">IF(H587="","",IF(AND(J587&lt;&gt;"",COUNTIF(Pessoas!$J:$J,J587)&gt;0),"SIM",IF(COUNTIF(Pessoas!$H:$H,H587)&gt;0,"nome igual em Pessoas: confira o CPF","")))</f>
        <v/>
      </c>
      <c r="L587" s="27"/>
      <c r="M587" s="5"/>
    </row>
    <row r="588" customFormat="false" ht="15" hidden="false" customHeight="false" outlineLevel="0" collapsed="false">
      <c r="A588" s="27"/>
      <c r="B588" s="5"/>
      <c r="C588" s="27"/>
      <c r="D588" s="18"/>
      <c r="E588" s="14"/>
      <c r="F588" s="18"/>
      <c r="G588" s="19" t="str">
        <f aca="false">IF(A588="","",IFERROR(INDEX(Empresas!$B:$B,MATCH(A588,Empresas!$A:$A,0))&amp;"","cadastre o CNPJ em Empresas"))</f>
        <v/>
      </c>
      <c r="H588" s="28" t="str">
        <f aca="false">IF(B588="","",SUBSTITUTE(SUBSTITUTE(SUBSTITUTE(SUBSTITUTE(SUBSTITUTE(SUBSTITUTE(SUBSTITUTE(SUBSTITUTE(SUBSTITUTE(SUBSTITUTE(SUBSTITUTE(SUBSTITUTE(SUBSTITUTE(UPPER(TRIM(B588)),"Á","A"),"À","A"),"Â","A"),"Ã","A"),"É","E"),"Ê","E"),"Í","I"),"Ó","O"),"Ô","O"),"Õ","O"),"Ú","U"),"Ü","U"),"Ç","C"))</f>
        <v/>
      </c>
      <c r="I588" s="28" t="str">
        <f aca="false">IF(C588="","",IF(LEN(SUBSTITUTE(SUBSTITUTE(SUBSTITUTE(SUBSTITUTE(TRIM(C588),"*",""),".",""),"-","")," ",""))=11,MID(SUBSTITUTE(SUBSTITUTE(SUBSTITUTE(SUBSTITUTE(TRIM(C588),"*",""),".",""),"-","")," ",""),4,6),SUBSTITUTE(SUBSTITUTE(SUBSTITUTE(SUBSTITUTE(TRIM(C588),"*",""),".",""),"-","")," ","")))</f>
        <v/>
      </c>
      <c r="J588" s="28" t="str">
        <f aca="false">IF(OR(H588="",I588=""),"",H588&amp;"|"&amp;I588)</f>
        <v/>
      </c>
      <c r="K588" s="19" t="str">
        <f aca="false">IF(H588="","",IF(AND(J588&lt;&gt;"",COUNTIF(Pessoas!$J:$J,J588)&gt;0),"SIM",IF(COUNTIF(Pessoas!$H:$H,H588)&gt;0,"nome igual em Pessoas: confira o CPF","")))</f>
        <v/>
      </c>
      <c r="L588" s="27"/>
      <c r="M588" s="5"/>
    </row>
    <row r="589" customFormat="false" ht="15" hidden="false" customHeight="false" outlineLevel="0" collapsed="false">
      <c r="A589" s="27"/>
      <c r="B589" s="5"/>
      <c r="C589" s="27"/>
      <c r="D589" s="18"/>
      <c r="E589" s="14"/>
      <c r="F589" s="18"/>
      <c r="G589" s="19" t="str">
        <f aca="false">IF(A589="","",IFERROR(INDEX(Empresas!$B:$B,MATCH(A589,Empresas!$A:$A,0))&amp;"","cadastre o CNPJ em Empresas"))</f>
        <v/>
      </c>
      <c r="H589" s="28" t="str">
        <f aca="false">IF(B589="","",SUBSTITUTE(SUBSTITUTE(SUBSTITUTE(SUBSTITUTE(SUBSTITUTE(SUBSTITUTE(SUBSTITUTE(SUBSTITUTE(SUBSTITUTE(SUBSTITUTE(SUBSTITUTE(SUBSTITUTE(SUBSTITUTE(UPPER(TRIM(B589)),"Á","A"),"À","A"),"Â","A"),"Ã","A"),"É","E"),"Ê","E"),"Í","I"),"Ó","O"),"Ô","O"),"Õ","O"),"Ú","U"),"Ü","U"),"Ç","C"))</f>
        <v/>
      </c>
      <c r="I589" s="28" t="str">
        <f aca="false">IF(C589="","",IF(LEN(SUBSTITUTE(SUBSTITUTE(SUBSTITUTE(SUBSTITUTE(TRIM(C589),"*",""),".",""),"-","")," ",""))=11,MID(SUBSTITUTE(SUBSTITUTE(SUBSTITUTE(SUBSTITUTE(TRIM(C589),"*",""),".",""),"-","")," ",""),4,6),SUBSTITUTE(SUBSTITUTE(SUBSTITUTE(SUBSTITUTE(TRIM(C589),"*",""),".",""),"-","")," ","")))</f>
        <v/>
      </c>
      <c r="J589" s="28" t="str">
        <f aca="false">IF(OR(H589="",I589=""),"",H589&amp;"|"&amp;I589)</f>
        <v/>
      </c>
      <c r="K589" s="19" t="str">
        <f aca="false">IF(H589="","",IF(AND(J589&lt;&gt;"",COUNTIF(Pessoas!$J:$J,J589)&gt;0),"SIM",IF(COUNTIF(Pessoas!$H:$H,H589)&gt;0,"nome igual em Pessoas: confira o CPF","")))</f>
        <v/>
      </c>
      <c r="L589" s="27"/>
      <c r="M589" s="5"/>
    </row>
    <row r="590" customFormat="false" ht="15" hidden="false" customHeight="false" outlineLevel="0" collapsed="false">
      <c r="A590" s="27"/>
      <c r="B590" s="5"/>
      <c r="C590" s="27"/>
      <c r="D590" s="18"/>
      <c r="E590" s="14"/>
      <c r="F590" s="18"/>
      <c r="G590" s="19" t="str">
        <f aca="false">IF(A590="","",IFERROR(INDEX(Empresas!$B:$B,MATCH(A590,Empresas!$A:$A,0))&amp;"","cadastre o CNPJ em Empresas"))</f>
        <v/>
      </c>
      <c r="H590" s="28" t="str">
        <f aca="false">IF(B590="","",SUBSTITUTE(SUBSTITUTE(SUBSTITUTE(SUBSTITUTE(SUBSTITUTE(SUBSTITUTE(SUBSTITUTE(SUBSTITUTE(SUBSTITUTE(SUBSTITUTE(SUBSTITUTE(SUBSTITUTE(SUBSTITUTE(UPPER(TRIM(B590)),"Á","A"),"À","A"),"Â","A"),"Ã","A"),"É","E"),"Ê","E"),"Í","I"),"Ó","O"),"Ô","O"),"Õ","O"),"Ú","U"),"Ü","U"),"Ç","C"))</f>
        <v/>
      </c>
      <c r="I590" s="28" t="str">
        <f aca="false">IF(C590="","",IF(LEN(SUBSTITUTE(SUBSTITUTE(SUBSTITUTE(SUBSTITUTE(TRIM(C590),"*",""),".",""),"-","")," ",""))=11,MID(SUBSTITUTE(SUBSTITUTE(SUBSTITUTE(SUBSTITUTE(TRIM(C590),"*",""),".",""),"-","")," ",""),4,6),SUBSTITUTE(SUBSTITUTE(SUBSTITUTE(SUBSTITUTE(TRIM(C590),"*",""),".",""),"-","")," ","")))</f>
        <v/>
      </c>
      <c r="J590" s="28" t="str">
        <f aca="false">IF(OR(H590="",I590=""),"",H590&amp;"|"&amp;I590)</f>
        <v/>
      </c>
      <c r="K590" s="19" t="str">
        <f aca="false">IF(H590="","",IF(AND(J590&lt;&gt;"",COUNTIF(Pessoas!$J:$J,J590)&gt;0),"SIM",IF(COUNTIF(Pessoas!$H:$H,H590)&gt;0,"nome igual em Pessoas: confira o CPF","")))</f>
        <v/>
      </c>
      <c r="L590" s="27"/>
      <c r="M590" s="5"/>
    </row>
    <row r="591" customFormat="false" ht="15" hidden="false" customHeight="false" outlineLevel="0" collapsed="false">
      <c r="A591" s="27"/>
      <c r="B591" s="5"/>
      <c r="C591" s="27"/>
      <c r="D591" s="18"/>
      <c r="E591" s="14"/>
      <c r="F591" s="18"/>
      <c r="G591" s="19" t="str">
        <f aca="false">IF(A591="","",IFERROR(INDEX(Empresas!$B:$B,MATCH(A591,Empresas!$A:$A,0))&amp;"","cadastre o CNPJ em Empresas"))</f>
        <v/>
      </c>
      <c r="H591" s="28" t="str">
        <f aca="false">IF(B591="","",SUBSTITUTE(SUBSTITUTE(SUBSTITUTE(SUBSTITUTE(SUBSTITUTE(SUBSTITUTE(SUBSTITUTE(SUBSTITUTE(SUBSTITUTE(SUBSTITUTE(SUBSTITUTE(SUBSTITUTE(SUBSTITUTE(UPPER(TRIM(B591)),"Á","A"),"À","A"),"Â","A"),"Ã","A"),"É","E"),"Ê","E"),"Í","I"),"Ó","O"),"Ô","O"),"Õ","O"),"Ú","U"),"Ü","U"),"Ç","C"))</f>
        <v/>
      </c>
      <c r="I591" s="28" t="str">
        <f aca="false">IF(C591="","",IF(LEN(SUBSTITUTE(SUBSTITUTE(SUBSTITUTE(SUBSTITUTE(TRIM(C591),"*",""),".",""),"-","")," ",""))=11,MID(SUBSTITUTE(SUBSTITUTE(SUBSTITUTE(SUBSTITUTE(TRIM(C591),"*",""),".",""),"-","")," ",""),4,6),SUBSTITUTE(SUBSTITUTE(SUBSTITUTE(SUBSTITUTE(TRIM(C591),"*",""),".",""),"-","")," ","")))</f>
        <v/>
      </c>
      <c r="J591" s="28" t="str">
        <f aca="false">IF(OR(H591="",I591=""),"",H591&amp;"|"&amp;I591)</f>
        <v/>
      </c>
      <c r="K591" s="19" t="str">
        <f aca="false">IF(H591="","",IF(AND(J591&lt;&gt;"",COUNTIF(Pessoas!$J:$J,J591)&gt;0),"SIM",IF(COUNTIF(Pessoas!$H:$H,H591)&gt;0,"nome igual em Pessoas: confira o CPF","")))</f>
        <v/>
      </c>
      <c r="L591" s="27"/>
      <c r="M591" s="5"/>
    </row>
    <row r="592" customFormat="false" ht="15" hidden="false" customHeight="false" outlineLevel="0" collapsed="false">
      <c r="A592" s="27"/>
      <c r="B592" s="5"/>
      <c r="C592" s="27"/>
      <c r="D592" s="18"/>
      <c r="E592" s="14"/>
      <c r="F592" s="18"/>
      <c r="G592" s="19" t="str">
        <f aca="false">IF(A592="","",IFERROR(INDEX(Empresas!$B:$B,MATCH(A592,Empresas!$A:$A,0))&amp;"","cadastre o CNPJ em Empresas"))</f>
        <v/>
      </c>
      <c r="H592" s="28" t="str">
        <f aca="false">IF(B592="","",SUBSTITUTE(SUBSTITUTE(SUBSTITUTE(SUBSTITUTE(SUBSTITUTE(SUBSTITUTE(SUBSTITUTE(SUBSTITUTE(SUBSTITUTE(SUBSTITUTE(SUBSTITUTE(SUBSTITUTE(SUBSTITUTE(UPPER(TRIM(B592)),"Á","A"),"À","A"),"Â","A"),"Ã","A"),"É","E"),"Ê","E"),"Í","I"),"Ó","O"),"Ô","O"),"Õ","O"),"Ú","U"),"Ü","U"),"Ç","C"))</f>
        <v/>
      </c>
      <c r="I592" s="28" t="str">
        <f aca="false">IF(C592="","",IF(LEN(SUBSTITUTE(SUBSTITUTE(SUBSTITUTE(SUBSTITUTE(TRIM(C592),"*",""),".",""),"-","")," ",""))=11,MID(SUBSTITUTE(SUBSTITUTE(SUBSTITUTE(SUBSTITUTE(TRIM(C592),"*",""),".",""),"-","")," ",""),4,6),SUBSTITUTE(SUBSTITUTE(SUBSTITUTE(SUBSTITUTE(TRIM(C592),"*",""),".",""),"-","")," ","")))</f>
        <v/>
      </c>
      <c r="J592" s="28" t="str">
        <f aca="false">IF(OR(H592="",I592=""),"",H592&amp;"|"&amp;I592)</f>
        <v/>
      </c>
      <c r="K592" s="19" t="str">
        <f aca="false">IF(H592="","",IF(AND(J592&lt;&gt;"",COUNTIF(Pessoas!$J:$J,J592)&gt;0),"SIM",IF(COUNTIF(Pessoas!$H:$H,H592)&gt;0,"nome igual em Pessoas: confira o CPF","")))</f>
        <v/>
      </c>
      <c r="L592" s="27"/>
      <c r="M592" s="5"/>
    </row>
    <row r="593" customFormat="false" ht="15" hidden="false" customHeight="false" outlineLevel="0" collapsed="false">
      <c r="A593" s="27"/>
      <c r="B593" s="5"/>
      <c r="C593" s="27"/>
      <c r="D593" s="18"/>
      <c r="E593" s="14"/>
      <c r="F593" s="18"/>
      <c r="G593" s="19" t="str">
        <f aca="false">IF(A593="","",IFERROR(INDEX(Empresas!$B:$B,MATCH(A593,Empresas!$A:$A,0))&amp;"","cadastre o CNPJ em Empresas"))</f>
        <v/>
      </c>
      <c r="H593" s="28" t="str">
        <f aca="false">IF(B593="","",SUBSTITUTE(SUBSTITUTE(SUBSTITUTE(SUBSTITUTE(SUBSTITUTE(SUBSTITUTE(SUBSTITUTE(SUBSTITUTE(SUBSTITUTE(SUBSTITUTE(SUBSTITUTE(SUBSTITUTE(SUBSTITUTE(UPPER(TRIM(B593)),"Á","A"),"À","A"),"Â","A"),"Ã","A"),"É","E"),"Ê","E"),"Í","I"),"Ó","O"),"Ô","O"),"Õ","O"),"Ú","U"),"Ü","U"),"Ç","C"))</f>
        <v/>
      </c>
      <c r="I593" s="28" t="str">
        <f aca="false">IF(C593="","",IF(LEN(SUBSTITUTE(SUBSTITUTE(SUBSTITUTE(SUBSTITUTE(TRIM(C593),"*",""),".",""),"-","")," ",""))=11,MID(SUBSTITUTE(SUBSTITUTE(SUBSTITUTE(SUBSTITUTE(TRIM(C593),"*",""),".",""),"-","")," ",""),4,6),SUBSTITUTE(SUBSTITUTE(SUBSTITUTE(SUBSTITUTE(TRIM(C593),"*",""),".",""),"-","")," ","")))</f>
        <v/>
      </c>
      <c r="J593" s="28" t="str">
        <f aca="false">IF(OR(H593="",I593=""),"",H593&amp;"|"&amp;I593)</f>
        <v/>
      </c>
      <c r="K593" s="19" t="str">
        <f aca="false">IF(H593="","",IF(AND(J593&lt;&gt;"",COUNTIF(Pessoas!$J:$J,J593)&gt;0),"SIM",IF(COUNTIF(Pessoas!$H:$H,H593)&gt;0,"nome igual em Pessoas: confira o CPF","")))</f>
        <v/>
      </c>
      <c r="L593" s="27"/>
      <c r="M593" s="5"/>
    </row>
    <row r="594" customFormat="false" ht="15" hidden="false" customHeight="false" outlineLevel="0" collapsed="false">
      <c r="A594" s="27"/>
      <c r="B594" s="5"/>
      <c r="C594" s="27"/>
      <c r="D594" s="18"/>
      <c r="E594" s="14"/>
      <c r="F594" s="18"/>
      <c r="G594" s="19" t="str">
        <f aca="false">IF(A594="","",IFERROR(INDEX(Empresas!$B:$B,MATCH(A594,Empresas!$A:$A,0))&amp;"","cadastre o CNPJ em Empresas"))</f>
        <v/>
      </c>
      <c r="H594" s="28" t="str">
        <f aca="false">IF(B594="","",SUBSTITUTE(SUBSTITUTE(SUBSTITUTE(SUBSTITUTE(SUBSTITUTE(SUBSTITUTE(SUBSTITUTE(SUBSTITUTE(SUBSTITUTE(SUBSTITUTE(SUBSTITUTE(SUBSTITUTE(SUBSTITUTE(UPPER(TRIM(B594)),"Á","A"),"À","A"),"Â","A"),"Ã","A"),"É","E"),"Ê","E"),"Í","I"),"Ó","O"),"Ô","O"),"Õ","O"),"Ú","U"),"Ü","U"),"Ç","C"))</f>
        <v/>
      </c>
      <c r="I594" s="28" t="str">
        <f aca="false">IF(C594="","",IF(LEN(SUBSTITUTE(SUBSTITUTE(SUBSTITUTE(SUBSTITUTE(TRIM(C594),"*",""),".",""),"-","")," ",""))=11,MID(SUBSTITUTE(SUBSTITUTE(SUBSTITUTE(SUBSTITUTE(TRIM(C594),"*",""),".",""),"-","")," ",""),4,6),SUBSTITUTE(SUBSTITUTE(SUBSTITUTE(SUBSTITUTE(TRIM(C594),"*",""),".",""),"-","")," ","")))</f>
        <v/>
      </c>
      <c r="J594" s="28" t="str">
        <f aca="false">IF(OR(H594="",I594=""),"",H594&amp;"|"&amp;I594)</f>
        <v/>
      </c>
      <c r="K594" s="19" t="str">
        <f aca="false">IF(H594="","",IF(AND(J594&lt;&gt;"",COUNTIF(Pessoas!$J:$J,J594)&gt;0),"SIM",IF(COUNTIF(Pessoas!$H:$H,H594)&gt;0,"nome igual em Pessoas: confira o CPF","")))</f>
        <v/>
      </c>
      <c r="L594" s="27"/>
      <c r="M594" s="5"/>
    </row>
    <row r="595" customFormat="false" ht="15" hidden="false" customHeight="false" outlineLevel="0" collapsed="false">
      <c r="A595" s="27"/>
      <c r="B595" s="5"/>
      <c r="C595" s="27"/>
      <c r="D595" s="18"/>
      <c r="E595" s="14"/>
      <c r="F595" s="18"/>
      <c r="G595" s="19" t="str">
        <f aca="false">IF(A595="","",IFERROR(INDEX(Empresas!$B:$B,MATCH(A595,Empresas!$A:$A,0))&amp;"","cadastre o CNPJ em Empresas"))</f>
        <v/>
      </c>
      <c r="H595" s="28" t="str">
        <f aca="false">IF(B595="","",SUBSTITUTE(SUBSTITUTE(SUBSTITUTE(SUBSTITUTE(SUBSTITUTE(SUBSTITUTE(SUBSTITUTE(SUBSTITUTE(SUBSTITUTE(SUBSTITUTE(SUBSTITUTE(SUBSTITUTE(SUBSTITUTE(UPPER(TRIM(B595)),"Á","A"),"À","A"),"Â","A"),"Ã","A"),"É","E"),"Ê","E"),"Í","I"),"Ó","O"),"Ô","O"),"Õ","O"),"Ú","U"),"Ü","U"),"Ç","C"))</f>
        <v/>
      </c>
      <c r="I595" s="28" t="str">
        <f aca="false">IF(C595="","",IF(LEN(SUBSTITUTE(SUBSTITUTE(SUBSTITUTE(SUBSTITUTE(TRIM(C595),"*",""),".",""),"-","")," ",""))=11,MID(SUBSTITUTE(SUBSTITUTE(SUBSTITUTE(SUBSTITUTE(TRIM(C595),"*",""),".",""),"-","")," ",""),4,6),SUBSTITUTE(SUBSTITUTE(SUBSTITUTE(SUBSTITUTE(TRIM(C595),"*",""),".",""),"-","")," ","")))</f>
        <v/>
      </c>
      <c r="J595" s="28" t="str">
        <f aca="false">IF(OR(H595="",I595=""),"",H595&amp;"|"&amp;I595)</f>
        <v/>
      </c>
      <c r="K595" s="19" t="str">
        <f aca="false">IF(H595="","",IF(AND(J595&lt;&gt;"",COUNTIF(Pessoas!$J:$J,J595)&gt;0),"SIM",IF(COUNTIF(Pessoas!$H:$H,H595)&gt;0,"nome igual em Pessoas: confira o CPF","")))</f>
        <v/>
      </c>
      <c r="L595" s="27"/>
      <c r="M595" s="5"/>
    </row>
    <row r="596" customFormat="false" ht="15" hidden="false" customHeight="false" outlineLevel="0" collapsed="false">
      <c r="A596" s="27"/>
      <c r="B596" s="5"/>
      <c r="C596" s="27"/>
      <c r="D596" s="18"/>
      <c r="E596" s="14"/>
      <c r="F596" s="18"/>
      <c r="G596" s="19" t="str">
        <f aca="false">IF(A596="","",IFERROR(INDEX(Empresas!$B:$B,MATCH(A596,Empresas!$A:$A,0))&amp;"","cadastre o CNPJ em Empresas"))</f>
        <v/>
      </c>
      <c r="H596" s="28" t="str">
        <f aca="false">IF(B596="","",SUBSTITUTE(SUBSTITUTE(SUBSTITUTE(SUBSTITUTE(SUBSTITUTE(SUBSTITUTE(SUBSTITUTE(SUBSTITUTE(SUBSTITUTE(SUBSTITUTE(SUBSTITUTE(SUBSTITUTE(SUBSTITUTE(UPPER(TRIM(B596)),"Á","A"),"À","A"),"Â","A"),"Ã","A"),"É","E"),"Ê","E"),"Í","I"),"Ó","O"),"Ô","O"),"Õ","O"),"Ú","U"),"Ü","U"),"Ç","C"))</f>
        <v/>
      </c>
      <c r="I596" s="28" t="str">
        <f aca="false">IF(C596="","",IF(LEN(SUBSTITUTE(SUBSTITUTE(SUBSTITUTE(SUBSTITUTE(TRIM(C596),"*",""),".",""),"-","")," ",""))=11,MID(SUBSTITUTE(SUBSTITUTE(SUBSTITUTE(SUBSTITUTE(TRIM(C596),"*",""),".",""),"-","")," ",""),4,6),SUBSTITUTE(SUBSTITUTE(SUBSTITUTE(SUBSTITUTE(TRIM(C596),"*",""),".",""),"-","")," ","")))</f>
        <v/>
      </c>
      <c r="J596" s="28" t="str">
        <f aca="false">IF(OR(H596="",I596=""),"",H596&amp;"|"&amp;I596)</f>
        <v/>
      </c>
      <c r="K596" s="19" t="str">
        <f aca="false">IF(H596="","",IF(AND(J596&lt;&gt;"",COUNTIF(Pessoas!$J:$J,J596)&gt;0),"SIM",IF(COUNTIF(Pessoas!$H:$H,H596)&gt;0,"nome igual em Pessoas: confira o CPF","")))</f>
        <v/>
      </c>
      <c r="L596" s="27"/>
      <c r="M596" s="5"/>
    </row>
    <row r="597" customFormat="false" ht="15" hidden="false" customHeight="false" outlineLevel="0" collapsed="false">
      <c r="A597" s="27"/>
      <c r="B597" s="5"/>
      <c r="C597" s="27"/>
      <c r="D597" s="18"/>
      <c r="E597" s="14"/>
      <c r="F597" s="18"/>
      <c r="G597" s="19" t="str">
        <f aca="false">IF(A597="","",IFERROR(INDEX(Empresas!$B:$B,MATCH(A597,Empresas!$A:$A,0))&amp;"","cadastre o CNPJ em Empresas"))</f>
        <v/>
      </c>
      <c r="H597" s="28" t="str">
        <f aca="false">IF(B597="","",SUBSTITUTE(SUBSTITUTE(SUBSTITUTE(SUBSTITUTE(SUBSTITUTE(SUBSTITUTE(SUBSTITUTE(SUBSTITUTE(SUBSTITUTE(SUBSTITUTE(SUBSTITUTE(SUBSTITUTE(SUBSTITUTE(UPPER(TRIM(B597)),"Á","A"),"À","A"),"Â","A"),"Ã","A"),"É","E"),"Ê","E"),"Í","I"),"Ó","O"),"Ô","O"),"Õ","O"),"Ú","U"),"Ü","U"),"Ç","C"))</f>
        <v/>
      </c>
      <c r="I597" s="28" t="str">
        <f aca="false">IF(C597="","",IF(LEN(SUBSTITUTE(SUBSTITUTE(SUBSTITUTE(SUBSTITUTE(TRIM(C597),"*",""),".",""),"-","")," ",""))=11,MID(SUBSTITUTE(SUBSTITUTE(SUBSTITUTE(SUBSTITUTE(TRIM(C597),"*",""),".",""),"-","")," ",""),4,6),SUBSTITUTE(SUBSTITUTE(SUBSTITUTE(SUBSTITUTE(TRIM(C597),"*",""),".",""),"-","")," ","")))</f>
        <v/>
      </c>
      <c r="J597" s="28" t="str">
        <f aca="false">IF(OR(H597="",I597=""),"",H597&amp;"|"&amp;I597)</f>
        <v/>
      </c>
      <c r="K597" s="19" t="str">
        <f aca="false">IF(H597="","",IF(AND(J597&lt;&gt;"",COUNTIF(Pessoas!$J:$J,J597)&gt;0),"SIM",IF(COUNTIF(Pessoas!$H:$H,H597)&gt;0,"nome igual em Pessoas: confira o CPF","")))</f>
        <v/>
      </c>
      <c r="L597" s="27"/>
      <c r="M597" s="5"/>
    </row>
    <row r="598" customFormat="false" ht="15" hidden="false" customHeight="false" outlineLevel="0" collapsed="false">
      <c r="A598" s="27"/>
      <c r="B598" s="5"/>
      <c r="C598" s="27"/>
      <c r="D598" s="18"/>
      <c r="E598" s="14"/>
      <c r="F598" s="18"/>
      <c r="G598" s="19" t="str">
        <f aca="false">IF(A598="","",IFERROR(INDEX(Empresas!$B:$B,MATCH(A598,Empresas!$A:$A,0))&amp;"","cadastre o CNPJ em Empresas"))</f>
        <v/>
      </c>
      <c r="H598" s="28" t="str">
        <f aca="false">IF(B598="","",SUBSTITUTE(SUBSTITUTE(SUBSTITUTE(SUBSTITUTE(SUBSTITUTE(SUBSTITUTE(SUBSTITUTE(SUBSTITUTE(SUBSTITUTE(SUBSTITUTE(SUBSTITUTE(SUBSTITUTE(SUBSTITUTE(UPPER(TRIM(B598)),"Á","A"),"À","A"),"Â","A"),"Ã","A"),"É","E"),"Ê","E"),"Í","I"),"Ó","O"),"Ô","O"),"Õ","O"),"Ú","U"),"Ü","U"),"Ç","C"))</f>
        <v/>
      </c>
      <c r="I598" s="28" t="str">
        <f aca="false">IF(C598="","",IF(LEN(SUBSTITUTE(SUBSTITUTE(SUBSTITUTE(SUBSTITUTE(TRIM(C598),"*",""),".",""),"-","")," ",""))=11,MID(SUBSTITUTE(SUBSTITUTE(SUBSTITUTE(SUBSTITUTE(TRIM(C598),"*",""),".",""),"-","")," ",""),4,6),SUBSTITUTE(SUBSTITUTE(SUBSTITUTE(SUBSTITUTE(TRIM(C598),"*",""),".",""),"-","")," ","")))</f>
        <v/>
      </c>
      <c r="J598" s="28" t="str">
        <f aca="false">IF(OR(H598="",I598=""),"",H598&amp;"|"&amp;I598)</f>
        <v/>
      </c>
      <c r="K598" s="19" t="str">
        <f aca="false">IF(H598="","",IF(AND(J598&lt;&gt;"",COUNTIF(Pessoas!$J:$J,J598)&gt;0),"SIM",IF(COUNTIF(Pessoas!$H:$H,H598)&gt;0,"nome igual em Pessoas: confira o CPF","")))</f>
        <v/>
      </c>
      <c r="L598" s="27"/>
      <c r="M598" s="5"/>
    </row>
    <row r="599" customFormat="false" ht="15" hidden="false" customHeight="false" outlineLevel="0" collapsed="false">
      <c r="A599" s="27"/>
      <c r="B599" s="5"/>
      <c r="C599" s="27"/>
      <c r="D599" s="18"/>
      <c r="E599" s="14"/>
      <c r="F599" s="18"/>
      <c r="G599" s="19" t="str">
        <f aca="false">IF(A599="","",IFERROR(INDEX(Empresas!$B:$B,MATCH(A599,Empresas!$A:$A,0))&amp;"","cadastre o CNPJ em Empresas"))</f>
        <v/>
      </c>
      <c r="H599" s="28" t="str">
        <f aca="false">IF(B599="","",SUBSTITUTE(SUBSTITUTE(SUBSTITUTE(SUBSTITUTE(SUBSTITUTE(SUBSTITUTE(SUBSTITUTE(SUBSTITUTE(SUBSTITUTE(SUBSTITUTE(SUBSTITUTE(SUBSTITUTE(SUBSTITUTE(UPPER(TRIM(B599)),"Á","A"),"À","A"),"Â","A"),"Ã","A"),"É","E"),"Ê","E"),"Í","I"),"Ó","O"),"Ô","O"),"Õ","O"),"Ú","U"),"Ü","U"),"Ç","C"))</f>
        <v/>
      </c>
      <c r="I599" s="28" t="str">
        <f aca="false">IF(C599="","",IF(LEN(SUBSTITUTE(SUBSTITUTE(SUBSTITUTE(SUBSTITUTE(TRIM(C599),"*",""),".",""),"-","")," ",""))=11,MID(SUBSTITUTE(SUBSTITUTE(SUBSTITUTE(SUBSTITUTE(TRIM(C599),"*",""),".",""),"-","")," ",""),4,6),SUBSTITUTE(SUBSTITUTE(SUBSTITUTE(SUBSTITUTE(TRIM(C599),"*",""),".",""),"-","")," ","")))</f>
        <v/>
      </c>
      <c r="J599" s="28" t="str">
        <f aca="false">IF(OR(H599="",I599=""),"",H599&amp;"|"&amp;I599)</f>
        <v/>
      </c>
      <c r="K599" s="19" t="str">
        <f aca="false">IF(H599="","",IF(AND(J599&lt;&gt;"",COUNTIF(Pessoas!$J:$J,J599)&gt;0),"SIM",IF(COUNTIF(Pessoas!$H:$H,H599)&gt;0,"nome igual em Pessoas: confira o CPF","")))</f>
        <v/>
      </c>
      <c r="L599" s="27"/>
      <c r="M599" s="5"/>
    </row>
    <row r="600" customFormat="false" ht="15" hidden="false" customHeight="false" outlineLevel="0" collapsed="false">
      <c r="A600" s="27"/>
      <c r="B600" s="5"/>
      <c r="C600" s="27"/>
      <c r="D600" s="18"/>
      <c r="E600" s="14"/>
      <c r="F600" s="18"/>
      <c r="G600" s="19" t="str">
        <f aca="false">IF(A600="","",IFERROR(INDEX(Empresas!$B:$B,MATCH(A600,Empresas!$A:$A,0))&amp;"","cadastre o CNPJ em Empresas"))</f>
        <v/>
      </c>
      <c r="H600" s="28" t="str">
        <f aca="false">IF(B600="","",SUBSTITUTE(SUBSTITUTE(SUBSTITUTE(SUBSTITUTE(SUBSTITUTE(SUBSTITUTE(SUBSTITUTE(SUBSTITUTE(SUBSTITUTE(SUBSTITUTE(SUBSTITUTE(SUBSTITUTE(SUBSTITUTE(UPPER(TRIM(B600)),"Á","A"),"À","A"),"Â","A"),"Ã","A"),"É","E"),"Ê","E"),"Í","I"),"Ó","O"),"Ô","O"),"Õ","O"),"Ú","U"),"Ü","U"),"Ç","C"))</f>
        <v/>
      </c>
      <c r="I600" s="28" t="str">
        <f aca="false">IF(C600="","",IF(LEN(SUBSTITUTE(SUBSTITUTE(SUBSTITUTE(SUBSTITUTE(TRIM(C600),"*",""),".",""),"-","")," ",""))=11,MID(SUBSTITUTE(SUBSTITUTE(SUBSTITUTE(SUBSTITUTE(TRIM(C600),"*",""),".",""),"-","")," ",""),4,6),SUBSTITUTE(SUBSTITUTE(SUBSTITUTE(SUBSTITUTE(TRIM(C600),"*",""),".",""),"-","")," ","")))</f>
        <v/>
      </c>
      <c r="J600" s="28" t="str">
        <f aca="false">IF(OR(H600="",I600=""),"",H600&amp;"|"&amp;I600)</f>
        <v/>
      </c>
      <c r="K600" s="19" t="str">
        <f aca="false">IF(H600="","",IF(AND(J600&lt;&gt;"",COUNTIF(Pessoas!$J:$J,J600)&gt;0),"SIM",IF(COUNTIF(Pessoas!$H:$H,H600)&gt;0,"nome igual em Pessoas: confira o CPF","")))</f>
        <v/>
      </c>
      <c r="L600" s="27"/>
      <c r="M600" s="5"/>
    </row>
    <row r="601" customFormat="false" ht="15" hidden="false" customHeight="false" outlineLevel="0" collapsed="false">
      <c r="A601" s="27"/>
      <c r="B601" s="5"/>
      <c r="C601" s="27"/>
      <c r="D601" s="18"/>
      <c r="E601" s="14"/>
      <c r="F601" s="18"/>
      <c r="G601" s="19" t="str">
        <f aca="false">IF(A601="","",IFERROR(INDEX(Empresas!$B:$B,MATCH(A601,Empresas!$A:$A,0))&amp;"","cadastre o CNPJ em Empresas"))</f>
        <v/>
      </c>
      <c r="H601" s="28" t="str">
        <f aca="false">IF(B601="","",SUBSTITUTE(SUBSTITUTE(SUBSTITUTE(SUBSTITUTE(SUBSTITUTE(SUBSTITUTE(SUBSTITUTE(SUBSTITUTE(SUBSTITUTE(SUBSTITUTE(SUBSTITUTE(SUBSTITUTE(SUBSTITUTE(UPPER(TRIM(B601)),"Á","A"),"À","A"),"Â","A"),"Ã","A"),"É","E"),"Ê","E"),"Í","I"),"Ó","O"),"Ô","O"),"Õ","O"),"Ú","U"),"Ü","U"),"Ç","C"))</f>
        <v/>
      </c>
      <c r="I601" s="28" t="str">
        <f aca="false">IF(C601="","",IF(LEN(SUBSTITUTE(SUBSTITUTE(SUBSTITUTE(SUBSTITUTE(TRIM(C601),"*",""),".",""),"-","")," ",""))=11,MID(SUBSTITUTE(SUBSTITUTE(SUBSTITUTE(SUBSTITUTE(TRIM(C601),"*",""),".",""),"-","")," ",""),4,6),SUBSTITUTE(SUBSTITUTE(SUBSTITUTE(SUBSTITUTE(TRIM(C601),"*",""),".",""),"-","")," ","")))</f>
        <v/>
      </c>
      <c r="J601" s="28" t="str">
        <f aca="false">IF(OR(H601="",I601=""),"",H601&amp;"|"&amp;I601)</f>
        <v/>
      </c>
      <c r="K601" s="19" t="str">
        <f aca="false">IF(H601="","",IF(AND(J601&lt;&gt;"",COUNTIF(Pessoas!$J:$J,J601)&gt;0),"SIM",IF(COUNTIF(Pessoas!$H:$H,H601)&gt;0,"nome igual em Pessoas: confira o CPF","")))</f>
        <v/>
      </c>
      <c r="L601" s="27"/>
      <c r="M601" s="5"/>
    </row>
    <row r="602" customFormat="false" ht="15" hidden="false" customHeight="false" outlineLevel="0" collapsed="false">
      <c r="A602" s="27"/>
      <c r="B602" s="5"/>
      <c r="C602" s="27"/>
      <c r="D602" s="18"/>
      <c r="E602" s="14"/>
      <c r="F602" s="18"/>
      <c r="G602" s="19" t="str">
        <f aca="false">IF(A602="","",IFERROR(INDEX(Empresas!$B:$B,MATCH(A602,Empresas!$A:$A,0))&amp;"","cadastre o CNPJ em Empresas"))</f>
        <v/>
      </c>
      <c r="H602" s="28" t="str">
        <f aca="false">IF(B602="","",SUBSTITUTE(SUBSTITUTE(SUBSTITUTE(SUBSTITUTE(SUBSTITUTE(SUBSTITUTE(SUBSTITUTE(SUBSTITUTE(SUBSTITUTE(SUBSTITUTE(SUBSTITUTE(SUBSTITUTE(SUBSTITUTE(UPPER(TRIM(B602)),"Á","A"),"À","A"),"Â","A"),"Ã","A"),"É","E"),"Ê","E"),"Í","I"),"Ó","O"),"Ô","O"),"Õ","O"),"Ú","U"),"Ü","U"),"Ç","C"))</f>
        <v/>
      </c>
      <c r="I602" s="28" t="str">
        <f aca="false">IF(C602="","",IF(LEN(SUBSTITUTE(SUBSTITUTE(SUBSTITUTE(SUBSTITUTE(TRIM(C602),"*",""),".",""),"-","")," ",""))=11,MID(SUBSTITUTE(SUBSTITUTE(SUBSTITUTE(SUBSTITUTE(TRIM(C602),"*",""),".",""),"-","")," ",""),4,6),SUBSTITUTE(SUBSTITUTE(SUBSTITUTE(SUBSTITUTE(TRIM(C602),"*",""),".",""),"-","")," ","")))</f>
        <v/>
      </c>
      <c r="J602" s="28" t="str">
        <f aca="false">IF(OR(H602="",I602=""),"",H602&amp;"|"&amp;I602)</f>
        <v/>
      </c>
      <c r="K602" s="19" t="str">
        <f aca="false">IF(H602="","",IF(AND(J602&lt;&gt;"",COUNTIF(Pessoas!$J:$J,J602)&gt;0),"SIM",IF(COUNTIF(Pessoas!$H:$H,H602)&gt;0,"nome igual em Pessoas: confira o CPF","")))</f>
        <v/>
      </c>
      <c r="L602" s="27"/>
      <c r="M602" s="5"/>
    </row>
    <row r="603" customFormat="false" ht="15" hidden="false" customHeight="false" outlineLevel="0" collapsed="false">
      <c r="A603" s="27"/>
      <c r="B603" s="5"/>
      <c r="C603" s="27"/>
      <c r="D603" s="18"/>
      <c r="E603" s="14"/>
      <c r="F603" s="18"/>
      <c r="G603" s="19" t="str">
        <f aca="false">IF(A603="","",IFERROR(INDEX(Empresas!$B:$B,MATCH(A603,Empresas!$A:$A,0))&amp;"","cadastre o CNPJ em Empresas"))</f>
        <v/>
      </c>
      <c r="H603" s="28" t="str">
        <f aca="false">IF(B603="","",SUBSTITUTE(SUBSTITUTE(SUBSTITUTE(SUBSTITUTE(SUBSTITUTE(SUBSTITUTE(SUBSTITUTE(SUBSTITUTE(SUBSTITUTE(SUBSTITUTE(SUBSTITUTE(SUBSTITUTE(SUBSTITUTE(UPPER(TRIM(B603)),"Á","A"),"À","A"),"Â","A"),"Ã","A"),"É","E"),"Ê","E"),"Í","I"),"Ó","O"),"Ô","O"),"Õ","O"),"Ú","U"),"Ü","U"),"Ç","C"))</f>
        <v/>
      </c>
      <c r="I603" s="28" t="str">
        <f aca="false">IF(C603="","",IF(LEN(SUBSTITUTE(SUBSTITUTE(SUBSTITUTE(SUBSTITUTE(TRIM(C603),"*",""),".",""),"-","")," ",""))=11,MID(SUBSTITUTE(SUBSTITUTE(SUBSTITUTE(SUBSTITUTE(TRIM(C603),"*",""),".",""),"-","")," ",""),4,6),SUBSTITUTE(SUBSTITUTE(SUBSTITUTE(SUBSTITUTE(TRIM(C603),"*",""),".",""),"-","")," ","")))</f>
        <v/>
      </c>
      <c r="J603" s="28" t="str">
        <f aca="false">IF(OR(H603="",I603=""),"",H603&amp;"|"&amp;I603)</f>
        <v/>
      </c>
      <c r="K603" s="19" t="str">
        <f aca="false">IF(H603="","",IF(AND(J603&lt;&gt;"",COUNTIF(Pessoas!$J:$J,J603)&gt;0),"SIM",IF(COUNTIF(Pessoas!$H:$H,H603)&gt;0,"nome igual em Pessoas: confira o CPF","")))</f>
        <v/>
      </c>
      <c r="L603" s="27"/>
      <c r="M603" s="5"/>
    </row>
    <row r="604" customFormat="false" ht="15" hidden="false" customHeight="false" outlineLevel="0" collapsed="false">
      <c r="A604" s="27"/>
      <c r="B604" s="5"/>
      <c r="C604" s="27"/>
      <c r="D604" s="18"/>
      <c r="E604" s="14"/>
      <c r="F604" s="18"/>
      <c r="G604" s="19" t="str">
        <f aca="false">IF(A604="","",IFERROR(INDEX(Empresas!$B:$B,MATCH(A604,Empresas!$A:$A,0))&amp;"","cadastre o CNPJ em Empresas"))</f>
        <v/>
      </c>
      <c r="H604" s="28" t="str">
        <f aca="false">IF(B604="","",SUBSTITUTE(SUBSTITUTE(SUBSTITUTE(SUBSTITUTE(SUBSTITUTE(SUBSTITUTE(SUBSTITUTE(SUBSTITUTE(SUBSTITUTE(SUBSTITUTE(SUBSTITUTE(SUBSTITUTE(SUBSTITUTE(UPPER(TRIM(B604)),"Á","A"),"À","A"),"Â","A"),"Ã","A"),"É","E"),"Ê","E"),"Í","I"),"Ó","O"),"Ô","O"),"Õ","O"),"Ú","U"),"Ü","U"),"Ç","C"))</f>
        <v/>
      </c>
      <c r="I604" s="28" t="str">
        <f aca="false">IF(C604="","",IF(LEN(SUBSTITUTE(SUBSTITUTE(SUBSTITUTE(SUBSTITUTE(TRIM(C604),"*",""),".",""),"-","")," ",""))=11,MID(SUBSTITUTE(SUBSTITUTE(SUBSTITUTE(SUBSTITUTE(TRIM(C604),"*",""),".",""),"-","")," ",""),4,6),SUBSTITUTE(SUBSTITUTE(SUBSTITUTE(SUBSTITUTE(TRIM(C604),"*",""),".",""),"-","")," ","")))</f>
        <v/>
      </c>
      <c r="J604" s="28" t="str">
        <f aca="false">IF(OR(H604="",I604=""),"",H604&amp;"|"&amp;I604)</f>
        <v/>
      </c>
      <c r="K604" s="19" t="str">
        <f aca="false">IF(H604="","",IF(AND(J604&lt;&gt;"",COUNTIF(Pessoas!$J:$J,J604)&gt;0),"SIM",IF(COUNTIF(Pessoas!$H:$H,H604)&gt;0,"nome igual em Pessoas: confira o CPF","")))</f>
        <v/>
      </c>
      <c r="L604" s="27"/>
      <c r="M604" s="5"/>
    </row>
    <row r="605" customFormat="false" ht="15" hidden="false" customHeight="false" outlineLevel="0" collapsed="false">
      <c r="A605" s="27"/>
      <c r="B605" s="5"/>
      <c r="C605" s="27"/>
      <c r="D605" s="18"/>
      <c r="E605" s="14"/>
      <c r="F605" s="18"/>
      <c r="G605" s="19" t="str">
        <f aca="false">IF(A605="","",IFERROR(INDEX(Empresas!$B:$B,MATCH(A605,Empresas!$A:$A,0))&amp;"","cadastre o CNPJ em Empresas"))</f>
        <v/>
      </c>
      <c r="H605" s="28" t="str">
        <f aca="false">IF(B605="","",SUBSTITUTE(SUBSTITUTE(SUBSTITUTE(SUBSTITUTE(SUBSTITUTE(SUBSTITUTE(SUBSTITUTE(SUBSTITUTE(SUBSTITUTE(SUBSTITUTE(SUBSTITUTE(SUBSTITUTE(SUBSTITUTE(UPPER(TRIM(B605)),"Á","A"),"À","A"),"Â","A"),"Ã","A"),"É","E"),"Ê","E"),"Í","I"),"Ó","O"),"Ô","O"),"Õ","O"),"Ú","U"),"Ü","U"),"Ç","C"))</f>
        <v/>
      </c>
      <c r="I605" s="28" t="str">
        <f aca="false">IF(C605="","",IF(LEN(SUBSTITUTE(SUBSTITUTE(SUBSTITUTE(SUBSTITUTE(TRIM(C605),"*",""),".",""),"-","")," ",""))=11,MID(SUBSTITUTE(SUBSTITUTE(SUBSTITUTE(SUBSTITUTE(TRIM(C605),"*",""),".",""),"-","")," ",""),4,6),SUBSTITUTE(SUBSTITUTE(SUBSTITUTE(SUBSTITUTE(TRIM(C605),"*",""),".",""),"-","")," ","")))</f>
        <v/>
      </c>
      <c r="J605" s="28" t="str">
        <f aca="false">IF(OR(H605="",I605=""),"",H605&amp;"|"&amp;I605)</f>
        <v/>
      </c>
      <c r="K605" s="19" t="str">
        <f aca="false">IF(H605="","",IF(AND(J605&lt;&gt;"",COUNTIF(Pessoas!$J:$J,J605)&gt;0),"SIM",IF(COUNTIF(Pessoas!$H:$H,H605)&gt;0,"nome igual em Pessoas: confira o CPF","")))</f>
        <v/>
      </c>
      <c r="L605" s="27"/>
      <c r="M605" s="5"/>
    </row>
    <row r="606" customFormat="false" ht="15" hidden="false" customHeight="false" outlineLevel="0" collapsed="false">
      <c r="A606" s="27"/>
      <c r="B606" s="5"/>
      <c r="C606" s="27"/>
      <c r="D606" s="18"/>
      <c r="E606" s="14"/>
      <c r="F606" s="18"/>
      <c r="G606" s="19" t="str">
        <f aca="false">IF(A606="","",IFERROR(INDEX(Empresas!$B:$B,MATCH(A606,Empresas!$A:$A,0))&amp;"","cadastre o CNPJ em Empresas"))</f>
        <v/>
      </c>
      <c r="H606" s="28" t="str">
        <f aca="false">IF(B606="","",SUBSTITUTE(SUBSTITUTE(SUBSTITUTE(SUBSTITUTE(SUBSTITUTE(SUBSTITUTE(SUBSTITUTE(SUBSTITUTE(SUBSTITUTE(SUBSTITUTE(SUBSTITUTE(SUBSTITUTE(SUBSTITUTE(UPPER(TRIM(B606)),"Á","A"),"À","A"),"Â","A"),"Ã","A"),"É","E"),"Ê","E"),"Í","I"),"Ó","O"),"Ô","O"),"Õ","O"),"Ú","U"),"Ü","U"),"Ç","C"))</f>
        <v/>
      </c>
      <c r="I606" s="28" t="str">
        <f aca="false">IF(C606="","",IF(LEN(SUBSTITUTE(SUBSTITUTE(SUBSTITUTE(SUBSTITUTE(TRIM(C606),"*",""),".",""),"-","")," ",""))=11,MID(SUBSTITUTE(SUBSTITUTE(SUBSTITUTE(SUBSTITUTE(TRIM(C606),"*",""),".",""),"-","")," ",""),4,6),SUBSTITUTE(SUBSTITUTE(SUBSTITUTE(SUBSTITUTE(TRIM(C606),"*",""),".",""),"-","")," ","")))</f>
        <v/>
      </c>
      <c r="J606" s="28" t="str">
        <f aca="false">IF(OR(H606="",I606=""),"",H606&amp;"|"&amp;I606)</f>
        <v/>
      </c>
      <c r="K606" s="19" t="str">
        <f aca="false">IF(H606="","",IF(AND(J606&lt;&gt;"",COUNTIF(Pessoas!$J:$J,J606)&gt;0),"SIM",IF(COUNTIF(Pessoas!$H:$H,H606)&gt;0,"nome igual em Pessoas: confira o CPF","")))</f>
        <v/>
      </c>
      <c r="L606" s="27"/>
      <c r="M606" s="5"/>
    </row>
    <row r="607" customFormat="false" ht="15" hidden="false" customHeight="false" outlineLevel="0" collapsed="false">
      <c r="A607" s="27"/>
      <c r="B607" s="5"/>
      <c r="C607" s="27"/>
      <c r="D607" s="18"/>
      <c r="E607" s="14"/>
      <c r="F607" s="18"/>
      <c r="G607" s="19" t="str">
        <f aca="false">IF(A607="","",IFERROR(INDEX(Empresas!$B:$B,MATCH(A607,Empresas!$A:$A,0))&amp;"","cadastre o CNPJ em Empresas"))</f>
        <v/>
      </c>
      <c r="H607" s="28" t="str">
        <f aca="false">IF(B607="","",SUBSTITUTE(SUBSTITUTE(SUBSTITUTE(SUBSTITUTE(SUBSTITUTE(SUBSTITUTE(SUBSTITUTE(SUBSTITUTE(SUBSTITUTE(SUBSTITUTE(SUBSTITUTE(SUBSTITUTE(SUBSTITUTE(UPPER(TRIM(B607)),"Á","A"),"À","A"),"Â","A"),"Ã","A"),"É","E"),"Ê","E"),"Í","I"),"Ó","O"),"Ô","O"),"Õ","O"),"Ú","U"),"Ü","U"),"Ç","C"))</f>
        <v/>
      </c>
      <c r="I607" s="28" t="str">
        <f aca="false">IF(C607="","",IF(LEN(SUBSTITUTE(SUBSTITUTE(SUBSTITUTE(SUBSTITUTE(TRIM(C607),"*",""),".",""),"-","")," ",""))=11,MID(SUBSTITUTE(SUBSTITUTE(SUBSTITUTE(SUBSTITUTE(TRIM(C607),"*",""),".",""),"-","")," ",""),4,6),SUBSTITUTE(SUBSTITUTE(SUBSTITUTE(SUBSTITUTE(TRIM(C607),"*",""),".",""),"-","")," ","")))</f>
        <v/>
      </c>
      <c r="J607" s="28" t="str">
        <f aca="false">IF(OR(H607="",I607=""),"",H607&amp;"|"&amp;I607)</f>
        <v/>
      </c>
      <c r="K607" s="19" t="str">
        <f aca="false">IF(H607="","",IF(AND(J607&lt;&gt;"",COUNTIF(Pessoas!$J:$J,J607)&gt;0),"SIM",IF(COUNTIF(Pessoas!$H:$H,H607)&gt;0,"nome igual em Pessoas: confira o CPF","")))</f>
        <v/>
      </c>
      <c r="L607" s="27"/>
      <c r="M607" s="5"/>
    </row>
    <row r="608" customFormat="false" ht="15" hidden="false" customHeight="false" outlineLevel="0" collapsed="false">
      <c r="A608" s="27"/>
      <c r="B608" s="5"/>
      <c r="C608" s="27"/>
      <c r="D608" s="18"/>
      <c r="E608" s="14"/>
      <c r="F608" s="18"/>
      <c r="G608" s="19" t="str">
        <f aca="false">IF(A608="","",IFERROR(INDEX(Empresas!$B:$B,MATCH(A608,Empresas!$A:$A,0))&amp;"","cadastre o CNPJ em Empresas"))</f>
        <v/>
      </c>
      <c r="H608" s="28" t="str">
        <f aca="false">IF(B608="","",SUBSTITUTE(SUBSTITUTE(SUBSTITUTE(SUBSTITUTE(SUBSTITUTE(SUBSTITUTE(SUBSTITUTE(SUBSTITUTE(SUBSTITUTE(SUBSTITUTE(SUBSTITUTE(SUBSTITUTE(SUBSTITUTE(UPPER(TRIM(B608)),"Á","A"),"À","A"),"Â","A"),"Ã","A"),"É","E"),"Ê","E"),"Í","I"),"Ó","O"),"Ô","O"),"Õ","O"),"Ú","U"),"Ü","U"),"Ç","C"))</f>
        <v/>
      </c>
      <c r="I608" s="28" t="str">
        <f aca="false">IF(C608="","",IF(LEN(SUBSTITUTE(SUBSTITUTE(SUBSTITUTE(SUBSTITUTE(TRIM(C608),"*",""),".",""),"-","")," ",""))=11,MID(SUBSTITUTE(SUBSTITUTE(SUBSTITUTE(SUBSTITUTE(TRIM(C608),"*",""),".",""),"-","")," ",""),4,6),SUBSTITUTE(SUBSTITUTE(SUBSTITUTE(SUBSTITUTE(TRIM(C608),"*",""),".",""),"-","")," ","")))</f>
        <v/>
      </c>
      <c r="J608" s="28" t="str">
        <f aca="false">IF(OR(H608="",I608=""),"",H608&amp;"|"&amp;I608)</f>
        <v/>
      </c>
      <c r="K608" s="19" t="str">
        <f aca="false">IF(H608="","",IF(AND(J608&lt;&gt;"",COUNTIF(Pessoas!$J:$J,J608)&gt;0),"SIM",IF(COUNTIF(Pessoas!$H:$H,H608)&gt;0,"nome igual em Pessoas: confira o CPF","")))</f>
        <v/>
      </c>
      <c r="L608" s="27"/>
      <c r="M608" s="5"/>
    </row>
    <row r="609" customFormat="false" ht="15" hidden="false" customHeight="false" outlineLevel="0" collapsed="false">
      <c r="A609" s="27"/>
      <c r="B609" s="5"/>
      <c r="C609" s="27"/>
      <c r="D609" s="18"/>
      <c r="E609" s="14"/>
      <c r="F609" s="18"/>
      <c r="G609" s="19" t="str">
        <f aca="false">IF(A609="","",IFERROR(INDEX(Empresas!$B:$B,MATCH(A609,Empresas!$A:$A,0))&amp;"","cadastre o CNPJ em Empresas"))</f>
        <v/>
      </c>
      <c r="H609" s="28" t="str">
        <f aca="false">IF(B609="","",SUBSTITUTE(SUBSTITUTE(SUBSTITUTE(SUBSTITUTE(SUBSTITUTE(SUBSTITUTE(SUBSTITUTE(SUBSTITUTE(SUBSTITUTE(SUBSTITUTE(SUBSTITUTE(SUBSTITUTE(SUBSTITUTE(UPPER(TRIM(B609)),"Á","A"),"À","A"),"Â","A"),"Ã","A"),"É","E"),"Ê","E"),"Í","I"),"Ó","O"),"Ô","O"),"Õ","O"),"Ú","U"),"Ü","U"),"Ç","C"))</f>
        <v/>
      </c>
      <c r="I609" s="28" t="str">
        <f aca="false">IF(C609="","",IF(LEN(SUBSTITUTE(SUBSTITUTE(SUBSTITUTE(SUBSTITUTE(TRIM(C609),"*",""),".",""),"-","")," ",""))=11,MID(SUBSTITUTE(SUBSTITUTE(SUBSTITUTE(SUBSTITUTE(TRIM(C609),"*",""),".",""),"-","")," ",""),4,6),SUBSTITUTE(SUBSTITUTE(SUBSTITUTE(SUBSTITUTE(TRIM(C609),"*",""),".",""),"-","")," ","")))</f>
        <v/>
      </c>
      <c r="J609" s="28" t="str">
        <f aca="false">IF(OR(H609="",I609=""),"",H609&amp;"|"&amp;I609)</f>
        <v/>
      </c>
      <c r="K609" s="19" t="str">
        <f aca="false">IF(H609="","",IF(AND(J609&lt;&gt;"",COUNTIF(Pessoas!$J:$J,J609)&gt;0),"SIM",IF(COUNTIF(Pessoas!$H:$H,H609)&gt;0,"nome igual em Pessoas: confira o CPF","")))</f>
        <v/>
      </c>
      <c r="L609" s="27"/>
      <c r="M609" s="5"/>
    </row>
    <row r="610" customFormat="false" ht="15" hidden="false" customHeight="false" outlineLevel="0" collapsed="false">
      <c r="A610" s="27"/>
      <c r="B610" s="5"/>
      <c r="C610" s="27"/>
      <c r="D610" s="18"/>
      <c r="E610" s="14"/>
      <c r="F610" s="18"/>
      <c r="G610" s="19" t="str">
        <f aca="false">IF(A610="","",IFERROR(INDEX(Empresas!$B:$B,MATCH(A610,Empresas!$A:$A,0))&amp;"","cadastre o CNPJ em Empresas"))</f>
        <v/>
      </c>
      <c r="H610" s="28" t="str">
        <f aca="false">IF(B610="","",SUBSTITUTE(SUBSTITUTE(SUBSTITUTE(SUBSTITUTE(SUBSTITUTE(SUBSTITUTE(SUBSTITUTE(SUBSTITUTE(SUBSTITUTE(SUBSTITUTE(SUBSTITUTE(SUBSTITUTE(SUBSTITUTE(UPPER(TRIM(B610)),"Á","A"),"À","A"),"Â","A"),"Ã","A"),"É","E"),"Ê","E"),"Í","I"),"Ó","O"),"Ô","O"),"Õ","O"),"Ú","U"),"Ü","U"),"Ç","C"))</f>
        <v/>
      </c>
      <c r="I610" s="28" t="str">
        <f aca="false">IF(C610="","",IF(LEN(SUBSTITUTE(SUBSTITUTE(SUBSTITUTE(SUBSTITUTE(TRIM(C610),"*",""),".",""),"-","")," ",""))=11,MID(SUBSTITUTE(SUBSTITUTE(SUBSTITUTE(SUBSTITUTE(TRIM(C610),"*",""),".",""),"-","")," ",""),4,6),SUBSTITUTE(SUBSTITUTE(SUBSTITUTE(SUBSTITUTE(TRIM(C610),"*",""),".",""),"-","")," ","")))</f>
        <v/>
      </c>
      <c r="J610" s="28" t="str">
        <f aca="false">IF(OR(H610="",I610=""),"",H610&amp;"|"&amp;I610)</f>
        <v/>
      </c>
      <c r="K610" s="19" t="str">
        <f aca="false">IF(H610="","",IF(AND(J610&lt;&gt;"",COUNTIF(Pessoas!$J:$J,J610)&gt;0),"SIM",IF(COUNTIF(Pessoas!$H:$H,H610)&gt;0,"nome igual em Pessoas: confira o CPF","")))</f>
        <v/>
      </c>
      <c r="L610" s="27"/>
      <c r="M610" s="5"/>
    </row>
    <row r="611" customFormat="false" ht="15" hidden="false" customHeight="false" outlineLevel="0" collapsed="false">
      <c r="A611" s="27"/>
      <c r="B611" s="5"/>
      <c r="C611" s="27"/>
      <c r="D611" s="18"/>
      <c r="E611" s="14"/>
      <c r="F611" s="18"/>
      <c r="G611" s="19" t="str">
        <f aca="false">IF(A611="","",IFERROR(INDEX(Empresas!$B:$B,MATCH(A611,Empresas!$A:$A,0))&amp;"","cadastre o CNPJ em Empresas"))</f>
        <v/>
      </c>
      <c r="H611" s="28" t="str">
        <f aca="false">IF(B611="","",SUBSTITUTE(SUBSTITUTE(SUBSTITUTE(SUBSTITUTE(SUBSTITUTE(SUBSTITUTE(SUBSTITUTE(SUBSTITUTE(SUBSTITUTE(SUBSTITUTE(SUBSTITUTE(SUBSTITUTE(SUBSTITUTE(UPPER(TRIM(B611)),"Á","A"),"À","A"),"Â","A"),"Ã","A"),"É","E"),"Ê","E"),"Í","I"),"Ó","O"),"Ô","O"),"Õ","O"),"Ú","U"),"Ü","U"),"Ç","C"))</f>
        <v/>
      </c>
      <c r="I611" s="28" t="str">
        <f aca="false">IF(C611="","",IF(LEN(SUBSTITUTE(SUBSTITUTE(SUBSTITUTE(SUBSTITUTE(TRIM(C611),"*",""),".",""),"-","")," ",""))=11,MID(SUBSTITUTE(SUBSTITUTE(SUBSTITUTE(SUBSTITUTE(TRIM(C611),"*",""),".",""),"-","")," ",""),4,6),SUBSTITUTE(SUBSTITUTE(SUBSTITUTE(SUBSTITUTE(TRIM(C611),"*",""),".",""),"-","")," ","")))</f>
        <v/>
      </c>
      <c r="J611" s="28" t="str">
        <f aca="false">IF(OR(H611="",I611=""),"",H611&amp;"|"&amp;I611)</f>
        <v/>
      </c>
      <c r="K611" s="19" t="str">
        <f aca="false">IF(H611="","",IF(AND(J611&lt;&gt;"",COUNTIF(Pessoas!$J:$J,J611)&gt;0),"SIM",IF(COUNTIF(Pessoas!$H:$H,H611)&gt;0,"nome igual em Pessoas: confira o CPF","")))</f>
        <v/>
      </c>
      <c r="L611" s="27"/>
      <c r="M611" s="5"/>
    </row>
    <row r="612" customFormat="false" ht="15" hidden="false" customHeight="false" outlineLevel="0" collapsed="false">
      <c r="A612" s="27"/>
      <c r="B612" s="5"/>
      <c r="C612" s="27"/>
      <c r="D612" s="18"/>
      <c r="E612" s="14"/>
      <c r="F612" s="18"/>
      <c r="G612" s="19" t="str">
        <f aca="false">IF(A612="","",IFERROR(INDEX(Empresas!$B:$B,MATCH(A612,Empresas!$A:$A,0))&amp;"","cadastre o CNPJ em Empresas"))</f>
        <v/>
      </c>
      <c r="H612" s="28" t="str">
        <f aca="false">IF(B612="","",SUBSTITUTE(SUBSTITUTE(SUBSTITUTE(SUBSTITUTE(SUBSTITUTE(SUBSTITUTE(SUBSTITUTE(SUBSTITUTE(SUBSTITUTE(SUBSTITUTE(SUBSTITUTE(SUBSTITUTE(SUBSTITUTE(UPPER(TRIM(B612)),"Á","A"),"À","A"),"Â","A"),"Ã","A"),"É","E"),"Ê","E"),"Í","I"),"Ó","O"),"Ô","O"),"Õ","O"),"Ú","U"),"Ü","U"),"Ç","C"))</f>
        <v/>
      </c>
      <c r="I612" s="28" t="str">
        <f aca="false">IF(C612="","",IF(LEN(SUBSTITUTE(SUBSTITUTE(SUBSTITUTE(SUBSTITUTE(TRIM(C612),"*",""),".",""),"-","")," ",""))=11,MID(SUBSTITUTE(SUBSTITUTE(SUBSTITUTE(SUBSTITUTE(TRIM(C612),"*",""),".",""),"-","")," ",""),4,6),SUBSTITUTE(SUBSTITUTE(SUBSTITUTE(SUBSTITUTE(TRIM(C612),"*",""),".",""),"-","")," ","")))</f>
        <v/>
      </c>
      <c r="J612" s="28" t="str">
        <f aca="false">IF(OR(H612="",I612=""),"",H612&amp;"|"&amp;I612)</f>
        <v/>
      </c>
      <c r="K612" s="19" t="str">
        <f aca="false">IF(H612="","",IF(AND(J612&lt;&gt;"",COUNTIF(Pessoas!$J:$J,J612)&gt;0),"SIM",IF(COUNTIF(Pessoas!$H:$H,H612)&gt;0,"nome igual em Pessoas: confira o CPF","")))</f>
        <v/>
      </c>
      <c r="L612" s="27"/>
      <c r="M612" s="5"/>
    </row>
    <row r="613" customFormat="false" ht="15" hidden="false" customHeight="false" outlineLevel="0" collapsed="false">
      <c r="A613" s="27"/>
      <c r="B613" s="5"/>
      <c r="C613" s="27"/>
      <c r="D613" s="18"/>
      <c r="E613" s="14"/>
      <c r="F613" s="18"/>
      <c r="G613" s="19" t="str">
        <f aca="false">IF(A613="","",IFERROR(INDEX(Empresas!$B:$B,MATCH(A613,Empresas!$A:$A,0))&amp;"","cadastre o CNPJ em Empresas"))</f>
        <v/>
      </c>
      <c r="H613" s="28" t="str">
        <f aca="false">IF(B613="","",SUBSTITUTE(SUBSTITUTE(SUBSTITUTE(SUBSTITUTE(SUBSTITUTE(SUBSTITUTE(SUBSTITUTE(SUBSTITUTE(SUBSTITUTE(SUBSTITUTE(SUBSTITUTE(SUBSTITUTE(SUBSTITUTE(UPPER(TRIM(B613)),"Á","A"),"À","A"),"Â","A"),"Ã","A"),"É","E"),"Ê","E"),"Í","I"),"Ó","O"),"Ô","O"),"Õ","O"),"Ú","U"),"Ü","U"),"Ç","C"))</f>
        <v/>
      </c>
      <c r="I613" s="28" t="str">
        <f aca="false">IF(C613="","",IF(LEN(SUBSTITUTE(SUBSTITUTE(SUBSTITUTE(SUBSTITUTE(TRIM(C613),"*",""),".",""),"-","")," ",""))=11,MID(SUBSTITUTE(SUBSTITUTE(SUBSTITUTE(SUBSTITUTE(TRIM(C613),"*",""),".",""),"-","")," ",""),4,6),SUBSTITUTE(SUBSTITUTE(SUBSTITUTE(SUBSTITUTE(TRIM(C613),"*",""),".",""),"-","")," ","")))</f>
        <v/>
      </c>
      <c r="J613" s="28" t="str">
        <f aca="false">IF(OR(H613="",I613=""),"",H613&amp;"|"&amp;I613)</f>
        <v/>
      </c>
      <c r="K613" s="19" t="str">
        <f aca="false">IF(H613="","",IF(AND(J613&lt;&gt;"",COUNTIF(Pessoas!$J:$J,J613)&gt;0),"SIM",IF(COUNTIF(Pessoas!$H:$H,H613)&gt;0,"nome igual em Pessoas: confira o CPF","")))</f>
        <v/>
      </c>
      <c r="L613" s="27"/>
      <c r="M613" s="5"/>
    </row>
    <row r="614" customFormat="false" ht="15" hidden="false" customHeight="false" outlineLevel="0" collapsed="false">
      <c r="A614" s="27"/>
      <c r="B614" s="5"/>
      <c r="C614" s="27"/>
      <c r="D614" s="18"/>
      <c r="E614" s="14"/>
      <c r="F614" s="18"/>
      <c r="G614" s="19" t="str">
        <f aca="false">IF(A614="","",IFERROR(INDEX(Empresas!$B:$B,MATCH(A614,Empresas!$A:$A,0))&amp;"","cadastre o CNPJ em Empresas"))</f>
        <v/>
      </c>
      <c r="H614" s="28" t="str">
        <f aca="false">IF(B614="","",SUBSTITUTE(SUBSTITUTE(SUBSTITUTE(SUBSTITUTE(SUBSTITUTE(SUBSTITUTE(SUBSTITUTE(SUBSTITUTE(SUBSTITUTE(SUBSTITUTE(SUBSTITUTE(SUBSTITUTE(SUBSTITUTE(UPPER(TRIM(B614)),"Á","A"),"À","A"),"Â","A"),"Ã","A"),"É","E"),"Ê","E"),"Í","I"),"Ó","O"),"Ô","O"),"Õ","O"),"Ú","U"),"Ü","U"),"Ç","C"))</f>
        <v/>
      </c>
      <c r="I614" s="28" t="str">
        <f aca="false">IF(C614="","",IF(LEN(SUBSTITUTE(SUBSTITUTE(SUBSTITUTE(SUBSTITUTE(TRIM(C614),"*",""),".",""),"-","")," ",""))=11,MID(SUBSTITUTE(SUBSTITUTE(SUBSTITUTE(SUBSTITUTE(TRIM(C614),"*",""),".",""),"-","")," ",""),4,6),SUBSTITUTE(SUBSTITUTE(SUBSTITUTE(SUBSTITUTE(TRIM(C614),"*",""),".",""),"-","")," ","")))</f>
        <v/>
      </c>
      <c r="J614" s="28" t="str">
        <f aca="false">IF(OR(H614="",I614=""),"",H614&amp;"|"&amp;I614)</f>
        <v/>
      </c>
      <c r="K614" s="19" t="str">
        <f aca="false">IF(H614="","",IF(AND(J614&lt;&gt;"",COUNTIF(Pessoas!$J:$J,J614)&gt;0),"SIM",IF(COUNTIF(Pessoas!$H:$H,H614)&gt;0,"nome igual em Pessoas: confira o CPF","")))</f>
        <v/>
      </c>
      <c r="L614" s="27"/>
      <c r="M614" s="5"/>
    </row>
    <row r="615" customFormat="false" ht="15" hidden="false" customHeight="false" outlineLevel="0" collapsed="false">
      <c r="A615" s="27"/>
      <c r="B615" s="5"/>
      <c r="C615" s="27"/>
      <c r="D615" s="18"/>
      <c r="E615" s="14"/>
      <c r="F615" s="18"/>
      <c r="G615" s="19" t="str">
        <f aca="false">IF(A615="","",IFERROR(INDEX(Empresas!$B:$B,MATCH(A615,Empresas!$A:$A,0))&amp;"","cadastre o CNPJ em Empresas"))</f>
        <v/>
      </c>
      <c r="H615" s="28" t="str">
        <f aca="false">IF(B615="","",SUBSTITUTE(SUBSTITUTE(SUBSTITUTE(SUBSTITUTE(SUBSTITUTE(SUBSTITUTE(SUBSTITUTE(SUBSTITUTE(SUBSTITUTE(SUBSTITUTE(SUBSTITUTE(SUBSTITUTE(SUBSTITUTE(UPPER(TRIM(B615)),"Á","A"),"À","A"),"Â","A"),"Ã","A"),"É","E"),"Ê","E"),"Í","I"),"Ó","O"),"Ô","O"),"Õ","O"),"Ú","U"),"Ü","U"),"Ç","C"))</f>
        <v/>
      </c>
      <c r="I615" s="28" t="str">
        <f aca="false">IF(C615="","",IF(LEN(SUBSTITUTE(SUBSTITUTE(SUBSTITUTE(SUBSTITUTE(TRIM(C615),"*",""),".",""),"-","")," ",""))=11,MID(SUBSTITUTE(SUBSTITUTE(SUBSTITUTE(SUBSTITUTE(TRIM(C615),"*",""),".",""),"-","")," ",""),4,6),SUBSTITUTE(SUBSTITUTE(SUBSTITUTE(SUBSTITUTE(TRIM(C615),"*",""),".",""),"-","")," ","")))</f>
        <v/>
      </c>
      <c r="J615" s="28" t="str">
        <f aca="false">IF(OR(H615="",I615=""),"",H615&amp;"|"&amp;I615)</f>
        <v/>
      </c>
      <c r="K615" s="19" t="str">
        <f aca="false">IF(H615="","",IF(AND(J615&lt;&gt;"",COUNTIF(Pessoas!$J:$J,J615)&gt;0),"SIM",IF(COUNTIF(Pessoas!$H:$H,H615)&gt;0,"nome igual em Pessoas: confira o CPF","")))</f>
        <v/>
      </c>
      <c r="L615" s="27"/>
      <c r="M615" s="5"/>
    </row>
    <row r="616" customFormat="false" ht="15" hidden="false" customHeight="false" outlineLevel="0" collapsed="false">
      <c r="A616" s="27"/>
      <c r="B616" s="5"/>
      <c r="C616" s="27"/>
      <c r="D616" s="18"/>
      <c r="E616" s="14"/>
      <c r="F616" s="18"/>
      <c r="G616" s="19" t="str">
        <f aca="false">IF(A616="","",IFERROR(INDEX(Empresas!$B:$B,MATCH(A616,Empresas!$A:$A,0))&amp;"","cadastre o CNPJ em Empresas"))</f>
        <v/>
      </c>
      <c r="H616" s="28" t="str">
        <f aca="false">IF(B616="","",SUBSTITUTE(SUBSTITUTE(SUBSTITUTE(SUBSTITUTE(SUBSTITUTE(SUBSTITUTE(SUBSTITUTE(SUBSTITUTE(SUBSTITUTE(SUBSTITUTE(SUBSTITUTE(SUBSTITUTE(SUBSTITUTE(UPPER(TRIM(B616)),"Á","A"),"À","A"),"Â","A"),"Ã","A"),"É","E"),"Ê","E"),"Í","I"),"Ó","O"),"Ô","O"),"Õ","O"),"Ú","U"),"Ü","U"),"Ç","C"))</f>
        <v/>
      </c>
      <c r="I616" s="28" t="str">
        <f aca="false">IF(C616="","",IF(LEN(SUBSTITUTE(SUBSTITUTE(SUBSTITUTE(SUBSTITUTE(TRIM(C616),"*",""),".",""),"-","")," ",""))=11,MID(SUBSTITUTE(SUBSTITUTE(SUBSTITUTE(SUBSTITUTE(TRIM(C616),"*",""),".",""),"-","")," ",""),4,6),SUBSTITUTE(SUBSTITUTE(SUBSTITUTE(SUBSTITUTE(TRIM(C616),"*",""),".",""),"-","")," ","")))</f>
        <v/>
      </c>
      <c r="J616" s="28" t="str">
        <f aca="false">IF(OR(H616="",I616=""),"",H616&amp;"|"&amp;I616)</f>
        <v/>
      </c>
      <c r="K616" s="19" t="str">
        <f aca="false">IF(H616="","",IF(AND(J616&lt;&gt;"",COUNTIF(Pessoas!$J:$J,J616)&gt;0),"SIM",IF(COUNTIF(Pessoas!$H:$H,H616)&gt;0,"nome igual em Pessoas: confira o CPF","")))</f>
        <v/>
      </c>
      <c r="L616" s="27"/>
      <c r="M616" s="5"/>
    </row>
    <row r="617" customFormat="false" ht="15" hidden="false" customHeight="false" outlineLevel="0" collapsed="false">
      <c r="A617" s="27"/>
      <c r="B617" s="5"/>
      <c r="C617" s="27"/>
      <c r="D617" s="18"/>
      <c r="E617" s="14"/>
      <c r="F617" s="18"/>
      <c r="G617" s="19" t="str">
        <f aca="false">IF(A617="","",IFERROR(INDEX(Empresas!$B:$B,MATCH(A617,Empresas!$A:$A,0))&amp;"","cadastre o CNPJ em Empresas"))</f>
        <v/>
      </c>
      <c r="H617" s="28" t="str">
        <f aca="false">IF(B617="","",SUBSTITUTE(SUBSTITUTE(SUBSTITUTE(SUBSTITUTE(SUBSTITUTE(SUBSTITUTE(SUBSTITUTE(SUBSTITUTE(SUBSTITUTE(SUBSTITUTE(SUBSTITUTE(SUBSTITUTE(SUBSTITUTE(UPPER(TRIM(B617)),"Á","A"),"À","A"),"Â","A"),"Ã","A"),"É","E"),"Ê","E"),"Í","I"),"Ó","O"),"Ô","O"),"Õ","O"),"Ú","U"),"Ü","U"),"Ç","C"))</f>
        <v/>
      </c>
      <c r="I617" s="28" t="str">
        <f aca="false">IF(C617="","",IF(LEN(SUBSTITUTE(SUBSTITUTE(SUBSTITUTE(SUBSTITUTE(TRIM(C617),"*",""),".",""),"-","")," ",""))=11,MID(SUBSTITUTE(SUBSTITUTE(SUBSTITUTE(SUBSTITUTE(TRIM(C617),"*",""),".",""),"-","")," ",""),4,6),SUBSTITUTE(SUBSTITUTE(SUBSTITUTE(SUBSTITUTE(TRIM(C617),"*",""),".",""),"-","")," ","")))</f>
        <v/>
      </c>
      <c r="J617" s="28" t="str">
        <f aca="false">IF(OR(H617="",I617=""),"",H617&amp;"|"&amp;I617)</f>
        <v/>
      </c>
      <c r="K617" s="19" t="str">
        <f aca="false">IF(H617="","",IF(AND(J617&lt;&gt;"",COUNTIF(Pessoas!$J:$J,J617)&gt;0),"SIM",IF(COUNTIF(Pessoas!$H:$H,H617)&gt;0,"nome igual em Pessoas: confira o CPF","")))</f>
        <v/>
      </c>
      <c r="L617" s="27"/>
      <c r="M617" s="5"/>
    </row>
    <row r="618" customFormat="false" ht="15" hidden="false" customHeight="false" outlineLevel="0" collapsed="false">
      <c r="A618" s="27"/>
      <c r="B618" s="5"/>
      <c r="C618" s="27"/>
      <c r="D618" s="18"/>
      <c r="E618" s="14"/>
      <c r="F618" s="18"/>
      <c r="G618" s="19" t="str">
        <f aca="false">IF(A618="","",IFERROR(INDEX(Empresas!$B:$B,MATCH(A618,Empresas!$A:$A,0))&amp;"","cadastre o CNPJ em Empresas"))</f>
        <v/>
      </c>
      <c r="H618" s="28" t="str">
        <f aca="false">IF(B618="","",SUBSTITUTE(SUBSTITUTE(SUBSTITUTE(SUBSTITUTE(SUBSTITUTE(SUBSTITUTE(SUBSTITUTE(SUBSTITUTE(SUBSTITUTE(SUBSTITUTE(SUBSTITUTE(SUBSTITUTE(SUBSTITUTE(UPPER(TRIM(B618)),"Á","A"),"À","A"),"Â","A"),"Ã","A"),"É","E"),"Ê","E"),"Í","I"),"Ó","O"),"Ô","O"),"Õ","O"),"Ú","U"),"Ü","U"),"Ç","C"))</f>
        <v/>
      </c>
      <c r="I618" s="28" t="str">
        <f aca="false">IF(C618="","",IF(LEN(SUBSTITUTE(SUBSTITUTE(SUBSTITUTE(SUBSTITUTE(TRIM(C618),"*",""),".",""),"-","")," ",""))=11,MID(SUBSTITUTE(SUBSTITUTE(SUBSTITUTE(SUBSTITUTE(TRIM(C618),"*",""),".",""),"-","")," ",""),4,6),SUBSTITUTE(SUBSTITUTE(SUBSTITUTE(SUBSTITUTE(TRIM(C618),"*",""),".",""),"-","")," ","")))</f>
        <v/>
      </c>
      <c r="J618" s="28" t="str">
        <f aca="false">IF(OR(H618="",I618=""),"",H618&amp;"|"&amp;I618)</f>
        <v/>
      </c>
      <c r="K618" s="19" t="str">
        <f aca="false">IF(H618="","",IF(AND(J618&lt;&gt;"",COUNTIF(Pessoas!$J:$J,J618)&gt;0),"SIM",IF(COUNTIF(Pessoas!$H:$H,H618)&gt;0,"nome igual em Pessoas: confira o CPF","")))</f>
        <v/>
      </c>
      <c r="L618" s="27"/>
      <c r="M618" s="5"/>
    </row>
    <row r="619" customFormat="false" ht="15" hidden="false" customHeight="false" outlineLevel="0" collapsed="false">
      <c r="A619" s="27"/>
      <c r="B619" s="5"/>
      <c r="C619" s="27"/>
      <c r="D619" s="18"/>
      <c r="E619" s="14"/>
      <c r="F619" s="18"/>
      <c r="G619" s="19" t="str">
        <f aca="false">IF(A619="","",IFERROR(INDEX(Empresas!$B:$B,MATCH(A619,Empresas!$A:$A,0))&amp;"","cadastre o CNPJ em Empresas"))</f>
        <v/>
      </c>
      <c r="H619" s="28" t="str">
        <f aca="false">IF(B619="","",SUBSTITUTE(SUBSTITUTE(SUBSTITUTE(SUBSTITUTE(SUBSTITUTE(SUBSTITUTE(SUBSTITUTE(SUBSTITUTE(SUBSTITUTE(SUBSTITUTE(SUBSTITUTE(SUBSTITUTE(SUBSTITUTE(UPPER(TRIM(B619)),"Á","A"),"À","A"),"Â","A"),"Ã","A"),"É","E"),"Ê","E"),"Í","I"),"Ó","O"),"Ô","O"),"Õ","O"),"Ú","U"),"Ü","U"),"Ç","C"))</f>
        <v/>
      </c>
      <c r="I619" s="28" t="str">
        <f aca="false">IF(C619="","",IF(LEN(SUBSTITUTE(SUBSTITUTE(SUBSTITUTE(SUBSTITUTE(TRIM(C619),"*",""),".",""),"-","")," ",""))=11,MID(SUBSTITUTE(SUBSTITUTE(SUBSTITUTE(SUBSTITUTE(TRIM(C619),"*",""),".",""),"-","")," ",""),4,6),SUBSTITUTE(SUBSTITUTE(SUBSTITUTE(SUBSTITUTE(TRIM(C619),"*",""),".",""),"-","")," ","")))</f>
        <v/>
      </c>
      <c r="J619" s="28" t="str">
        <f aca="false">IF(OR(H619="",I619=""),"",H619&amp;"|"&amp;I619)</f>
        <v/>
      </c>
      <c r="K619" s="19" t="str">
        <f aca="false">IF(H619="","",IF(AND(J619&lt;&gt;"",COUNTIF(Pessoas!$J:$J,J619)&gt;0),"SIM",IF(COUNTIF(Pessoas!$H:$H,H619)&gt;0,"nome igual em Pessoas: confira o CPF","")))</f>
        <v/>
      </c>
      <c r="L619" s="27"/>
      <c r="M619" s="5"/>
    </row>
    <row r="620" customFormat="false" ht="15" hidden="false" customHeight="false" outlineLevel="0" collapsed="false">
      <c r="A620" s="27"/>
      <c r="B620" s="5"/>
      <c r="C620" s="27"/>
      <c r="D620" s="18"/>
      <c r="E620" s="14"/>
      <c r="F620" s="18"/>
      <c r="G620" s="19" t="str">
        <f aca="false">IF(A620="","",IFERROR(INDEX(Empresas!$B:$B,MATCH(A620,Empresas!$A:$A,0))&amp;"","cadastre o CNPJ em Empresas"))</f>
        <v/>
      </c>
      <c r="H620" s="28" t="str">
        <f aca="false">IF(B620="","",SUBSTITUTE(SUBSTITUTE(SUBSTITUTE(SUBSTITUTE(SUBSTITUTE(SUBSTITUTE(SUBSTITUTE(SUBSTITUTE(SUBSTITUTE(SUBSTITUTE(SUBSTITUTE(SUBSTITUTE(SUBSTITUTE(UPPER(TRIM(B620)),"Á","A"),"À","A"),"Â","A"),"Ã","A"),"É","E"),"Ê","E"),"Í","I"),"Ó","O"),"Ô","O"),"Õ","O"),"Ú","U"),"Ü","U"),"Ç","C"))</f>
        <v/>
      </c>
      <c r="I620" s="28" t="str">
        <f aca="false">IF(C620="","",IF(LEN(SUBSTITUTE(SUBSTITUTE(SUBSTITUTE(SUBSTITUTE(TRIM(C620),"*",""),".",""),"-","")," ",""))=11,MID(SUBSTITUTE(SUBSTITUTE(SUBSTITUTE(SUBSTITUTE(TRIM(C620),"*",""),".",""),"-","")," ",""),4,6),SUBSTITUTE(SUBSTITUTE(SUBSTITUTE(SUBSTITUTE(TRIM(C620),"*",""),".",""),"-","")," ","")))</f>
        <v/>
      </c>
      <c r="J620" s="28" t="str">
        <f aca="false">IF(OR(H620="",I620=""),"",H620&amp;"|"&amp;I620)</f>
        <v/>
      </c>
      <c r="K620" s="19" t="str">
        <f aca="false">IF(H620="","",IF(AND(J620&lt;&gt;"",COUNTIF(Pessoas!$J:$J,J620)&gt;0),"SIM",IF(COUNTIF(Pessoas!$H:$H,H620)&gt;0,"nome igual em Pessoas: confira o CPF","")))</f>
        <v/>
      </c>
      <c r="L620" s="27"/>
      <c r="M620" s="5"/>
    </row>
    <row r="621" customFormat="false" ht="15" hidden="false" customHeight="false" outlineLevel="0" collapsed="false">
      <c r="A621" s="27"/>
      <c r="B621" s="5"/>
      <c r="C621" s="27"/>
      <c r="D621" s="18"/>
      <c r="E621" s="14"/>
      <c r="F621" s="18"/>
      <c r="G621" s="19" t="str">
        <f aca="false">IF(A621="","",IFERROR(INDEX(Empresas!$B:$B,MATCH(A621,Empresas!$A:$A,0))&amp;"","cadastre o CNPJ em Empresas"))</f>
        <v/>
      </c>
      <c r="H621" s="28" t="str">
        <f aca="false">IF(B621="","",SUBSTITUTE(SUBSTITUTE(SUBSTITUTE(SUBSTITUTE(SUBSTITUTE(SUBSTITUTE(SUBSTITUTE(SUBSTITUTE(SUBSTITUTE(SUBSTITUTE(SUBSTITUTE(SUBSTITUTE(SUBSTITUTE(UPPER(TRIM(B621)),"Á","A"),"À","A"),"Â","A"),"Ã","A"),"É","E"),"Ê","E"),"Í","I"),"Ó","O"),"Ô","O"),"Õ","O"),"Ú","U"),"Ü","U"),"Ç","C"))</f>
        <v/>
      </c>
      <c r="I621" s="28" t="str">
        <f aca="false">IF(C621="","",IF(LEN(SUBSTITUTE(SUBSTITUTE(SUBSTITUTE(SUBSTITUTE(TRIM(C621),"*",""),".",""),"-","")," ",""))=11,MID(SUBSTITUTE(SUBSTITUTE(SUBSTITUTE(SUBSTITUTE(TRIM(C621),"*",""),".",""),"-","")," ",""),4,6),SUBSTITUTE(SUBSTITUTE(SUBSTITUTE(SUBSTITUTE(TRIM(C621),"*",""),".",""),"-","")," ","")))</f>
        <v/>
      </c>
      <c r="J621" s="28" t="str">
        <f aca="false">IF(OR(H621="",I621=""),"",H621&amp;"|"&amp;I621)</f>
        <v/>
      </c>
      <c r="K621" s="19" t="str">
        <f aca="false">IF(H621="","",IF(AND(J621&lt;&gt;"",COUNTIF(Pessoas!$J:$J,J621)&gt;0),"SIM",IF(COUNTIF(Pessoas!$H:$H,H621)&gt;0,"nome igual em Pessoas: confira o CPF","")))</f>
        <v/>
      </c>
      <c r="L621" s="27"/>
      <c r="M621" s="5"/>
    </row>
    <row r="622" customFormat="false" ht="15" hidden="false" customHeight="false" outlineLevel="0" collapsed="false">
      <c r="A622" s="27"/>
      <c r="B622" s="5"/>
      <c r="C622" s="27"/>
      <c r="D622" s="18"/>
      <c r="E622" s="14"/>
      <c r="F622" s="18"/>
      <c r="G622" s="19" t="str">
        <f aca="false">IF(A622="","",IFERROR(INDEX(Empresas!$B:$B,MATCH(A622,Empresas!$A:$A,0))&amp;"","cadastre o CNPJ em Empresas"))</f>
        <v/>
      </c>
      <c r="H622" s="28" t="str">
        <f aca="false">IF(B622="","",SUBSTITUTE(SUBSTITUTE(SUBSTITUTE(SUBSTITUTE(SUBSTITUTE(SUBSTITUTE(SUBSTITUTE(SUBSTITUTE(SUBSTITUTE(SUBSTITUTE(SUBSTITUTE(SUBSTITUTE(SUBSTITUTE(UPPER(TRIM(B622)),"Á","A"),"À","A"),"Â","A"),"Ã","A"),"É","E"),"Ê","E"),"Í","I"),"Ó","O"),"Ô","O"),"Õ","O"),"Ú","U"),"Ü","U"),"Ç","C"))</f>
        <v/>
      </c>
      <c r="I622" s="28" t="str">
        <f aca="false">IF(C622="","",IF(LEN(SUBSTITUTE(SUBSTITUTE(SUBSTITUTE(SUBSTITUTE(TRIM(C622),"*",""),".",""),"-","")," ",""))=11,MID(SUBSTITUTE(SUBSTITUTE(SUBSTITUTE(SUBSTITUTE(TRIM(C622),"*",""),".",""),"-","")," ",""),4,6),SUBSTITUTE(SUBSTITUTE(SUBSTITUTE(SUBSTITUTE(TRIM(C622),"*",""),".",""),"-","")," ","")))</f>
        <v/>
      </c>
      <c r="J622" s="28" t="str">
        <f aca="false">IF(OR(H622="",I622=""),"",H622&amp;"|"&amp;I622)</f>
        <v/>
      </c>
      <c r="K622" s="19" t="str">
        <f aca="false">IF(H622="","",IF(AND(J622&lt;&gt;"",COUNTIF(Pessoas!$J:$J,J622)&gt;0),"SIM",IF(COUNTIF(Pessoas!$H:$H,H622)&gt;0,"nome igual em Pessoas: confira o CPF","")))</f>
        <v/>
      </c>
      <c r="L622" s="27"/>
      <c r="M622" s="5"/>
    </row>
    <row r="623" customFormat="false" ht="15" hidden="false" customHeight="false" outlineLevel="0" collapsed="false">
      <c r="A623" s="27"/>
      <c r="B623" s="5"/>
      <c r="C623" s="27"/>
      <c r="D623" s="18"/>
      <c r="E623" s="14"/>
      <c r="F623" s="18"/>
      <c r="G623" s="19" t="str">
        <f aca="false">IF(A623="","",IFERROR(INDEX(Empresas!$B:$B,MATCH(A623,Empresas!$A:$A,0))&amp;"","cadastre o CNPJ em Empresas"))</f>
        <v/>
      </c>
      <c r="H623" s="28" t="str">
        <f aca="false">IF(B623="","",SUBSTITUTE(SUBSTITUTE(SUBSTITUTE(SUBSTITUTE(SUBSTITUTE(SUBSTITUTE(SUBSTITUTE(SUBSTITUTE(SUBSTITUTE(SUBSTITUTE(SUBSTITUTE(SUBSTITUTE(SUBSTITUTE(UPPER(TRIM(B623)),"Á","A"),"À","A"),"Â","A"),"Ã","A"),"É","E"),"Ê","E"),"Í","I"),"Ó","O"),"Ô","O"),"Õ","O"),"Ú","U"),"Ü","U"),"Ç","C"))</f>
        <v/>
      </c>
      <c r="I623" s="28" t="str">
        <f aca="false">IF(C623="","",IF(LEN(SUBSTITUTE(SUBSTITUTE(SUBSTITUTE(SUBSTITUTE(TRIM(C623),"*",""),".",""),"-","")," ",""))=11,MID(SUBSTITUTE(SUBSTITUTE(SUBSTITUTE(SUBSTITUTE(TRIM(C623),"*",""),".",""),"-","")," ",""),4,6),SUBSTITUTE(SUBSTITUTE(SUBSTITUTE(SUBSTITUTE(TRIM(C623),"*",""),".",""),"-","")," ","")))</f>
        <v/>
      </c>
      <c r="J623" s="28" t="str">
        <f aca="false">IF(OR(H623="",I623=""),"",H623&amp;"|"&amp;I623)</f>
        <v/>
      </c>
      <c r="K623" s="19" t="str">
        <f aca="false">IF(H623="","",IF(AND(J623&lt;&gt;"",COUNTIF(Pessoas!$J:$J,J623)&gt;0),"SIM",IF(COUNTIF(Pessoas!$H:$H,H623)&gt;0,"nome igual em Pessoas: confira o CPF","")))</f>
        <v/>
      </c>
      <c r="L623" s="27"/>
      <c r="M623" s="5"/>
    </row>
    <row r="624" customFormat="false" ht="15" hidden="false" customHeight="false" outlineLevel="0" collapsed="false">
      <c r="A624" s="27"/>
      <c r="B624" s="5"/>
      <c r="C624" s="27"/>
      <c r="D624" s="18"/>
      <c r="E624" s="14"/>
      <c r="F624" s="18"/>
      <c r="G624" s="19" t="str">
        <f aca="false">IF(A624="","",IFERROR(INDEX(Empresas!$B:$B,MATCH(A624,Empresas!$A:$A,0))&amp;"","cadastre o CNPJ em Empresas"))</f>
        <v/>
      </c>
      <c r="H624" s="28" t="str">
        <f aca="false">IF(B624="","",SUBSTITUTE(SUBSTITUTE(SUBSTITUTE(SUBSTITUTE(SUBSTITUTE(SUBSTITUTE(SUBSTITUTE(SUBSTITUTE(SUBSTITUTE(SUBSTITUTE(SUBSTITUTE(SUBSTITUTE(SUBSTITUTE(UPPER(TRIM(B624)),"Á","A"),"À","A"),"Â","A"),"Ã","A"),"É","E"),"Ê","E"),"Í","I"),"Ó","O"),"Ô","O"),"Õ","O"),"Ú","U"),"Ü","U"),"Ç","C"))</f>
        <v/>
      </c>
      <c r="I624" s="28" t="str">
        <f aca="false">IF(C624="","",IF(LEN(SUBSTITUTE(SUBSTITUTE(SUBSTITUTE(SUBSTITUTE(TRIM(C624),"*",""),".",""),"-","")," ",""))=11,MID(SUBSTITUTE(SUBSTITUTE(SUBSTITUTE(SUBSTITUTE(TRIM(C624),"*",""),".",""),"-","")," ",""),4,6),SUBSTITUTE(SUBSTITUTE(SUBSTITUTE(SUBSTITUTE(TRIM(C624),"*",""),".",""),"-","")," ","")))</f>
        <v/>
      </c>
      <c r="J624" s="28" t="str">
        <f aca="false">IF(OR(H624="",I624=""),"",H624&amp;"|"&amp;I624)</f>
        <v/>
      </c>
      <c r="K624" s="19" t="str">
        <f aca="false">IF(H624="","",IF(AND(J624&lt;&gt;"",COUNTIF(Pessoas!$J:$J,J624)&gt;0),"SIM",IF(COUNTIF(Pessoas!$H:$H,H624)&gt;0,"nome igual em Pessoas: confira o CPF","")))</f>
        <v/>
      </c>
      <c r="L624" s="27"/>
      <c r="M624" s="5"/>
    </row>
    <row r="625" customFormat="false" ht="15" hidden="false" customHeight="false" outlineLevel="0" collapsed="false">
      <c r="A625" s="27"/>
      <c r="B625" s="5"/>
      <c r="C625" s="27"/>
      <c r="D625" s="18"/>
      <c r="E625" s="14"/>
      <c r="F625" s="18"/>
      <c r="G625" s="19" t="str">
        <f aca="false">IF(A625="","",IFERROR(INDEX(Empresas!$B:$B,MATCH(A625,Empresas!$A:$A,0))&amp;"","cadastre o CNPJ em Empresas"))</f>
        <v/>
      </c>
      <c r="H625" s="28" t="str">
        <f aca="false">IF(B625="","",SUBSTITUTE(SUBSTITUTE(SUBSTITUTE(SUBSTITUTE(SUBSTITUTE(SUBSTITUTE(SUBSTITUTE(SUBSTITUTE(SUBSTITUTE(SUBSTITUTE(SUBSTITUTE(SUBSTITUTE(SUBSTITUTE(UPPER(TRIM(B625)),"Á","A"),"À","A"),"Â","A"),"Ã","A"),"É","E"),"Ê","E"),"Í","I"),"Ó","O"),"Ô","O"),"Õ","O"),"Ú","U"),"Ü","U"),"Ç","C"))</f>
        <v/>
      </c>
      <c r="I625" s="28" t="str">
        <f aca="false">IF(C625="","",IF(LEN(SUBSTITUTE(SUBSTITUTE(SUBSTITUTE(SUBSTITUTE(TRIM(C625),"*",""),".",""),"-","")," ",""))=11,MID(SUBSTITUTE(SUBSTITUTE(SUBSTITUTE(SUBSTITUTE(TRIM(C625),"*",""),".",""),"-","")," ",""),4,6),SUBSTITUTE(SUBSTITUTE(SUBSTITUTE(SUBSTITUTE(TRIM(C625),"*",""),".",""),"-","")," ","")))</f>
        <v/>
      </c>
      <c r="J625" s="28" t="str">
        <f aca="false">IF(OR(H625="",I625=""),"",H625&amp;"|"&amp;I625)</f>
        <v/>
      </c>
      <c r="K625" s="19" t="str">
        <f aca="false">IF(H625="","",IF(AND(J625&lt;&gt;"",COUNTIF(Pessoas!$J:$J,J625)&gt;0),"SIM",IF(COUNTIF(Pessoas!$H:$H,H625)&gt;0,"nome igual em Pessoas: confira o CPF","")))</f>
        <v/>
      </c>
      <c r="L625" s="27"/>
      <c r="M625" s="5"/>
    </row>
    <row r="626" customFormat="false" ht="15" hidden="false" customHeight="false" outlineLevel="0" collapsed="false">
      <c r="A626" s="27"/>
      <c r="B626" s="5"/>
      <c r="C626" s="27"/>
      <c r="D626" s="18"/>
      <c r="E626" s="14"/>
      <c r="F626" s="18"/>
      <c r="G626" s="19" t="str">
        <f aca="false">IF(A626="","",IFERROR(INDEX(Empresas!$B:$B,MATCH(A626,Empresas!$A:$A,0))&amp;"","cadastre o CNPJ em Empresas"))</f>
        <v/>
      </c>
      <c r="H626" s="28" t="str">
        <f aca="false">IF(B626="","",SUBSTITUTE(SUBSTITUTE(SUBSTITUTE(SUBSTITUTE(SUBSTITUTE(SUBSTITUTE(SUBSTITUTE(SUBSTITUTE(SUBSTITUTE(SUBSTITUTE(SUBSTITUTE(SUBSTITUTE(SUBSTITUTE(UPPER(TRIM(B626)),"Á","A"),"À","A"),"Â","A"),"Ã","A"),"É","E"),"Ê","E"),"Í","I"),"Ó","O"),"Ô","O"),"Õ","O"),"Ú","U"),"Ü","U"),"Ç","C"))</f>
        <v/>
      </c>
      <c r="I626" s="28" t="str">
        <f aca="false">IF(C626="","",IF(LEN(SUBSTITUTE(SUBSTITUTE(SUBSTITUTE(SUBSTITUTE(TRIM(C626),"*",""),".",""),"-","")," ",""))=11,MID(SUBSTITUTE(SUBSTITUTE(SUBSTITUTE(SUBSTITUTE(TRIM(C626),"*",""),".",""),"-","")," ",""),4,6),SUBSTITUTE(SUBSTITUTE(SUBSTITUTE(SUBSTITUTE(TRIM(C626),"*",""),".",""),"-","")," ","")))</f>
        <v/>
      </c>
      <c r="J626" s="28" t="str">
        <f aca="false">IF(OR(H626="",I626=""),"",H626&amp;"|"&amp;I626)</f>
        <v/>
      </c>
      <c r="K626" s="19" t="str">
        <f aca="false">IF(H626="","",IF(AND(J626&lt;&gt;"",COUNTIF(Pessoas!$J:$J,J626)&gt;0),"SIM",IF(COUNTIF(Pessoas!$H:$H,H626)&gt;0,"nome igual em Pessoas: confira o CPF","")))</f>
        <v/>
      </c>
      <c r="L626" s="27"/>
      <c r="M626" s="5"/>
    </row>
    <row r="627" customFormat="false" ht="15" hidden="false" customHeight="false" outlineLevel="0" collapsed="false">
      <c r="A627" s="27"/>
      <c r="B627" s="5"/>
      <c r="C627" s="27"/>
      <c r="D627" s="18"/>
      <c r="E627" s="14"/>
      <c r="F627" s="18"/>
      <c r="G627" s="19" t="str">
        <f aca="false">IF(A627="","",IFERROR(INDEX(Empresas!$B:$B,MATCH(A627,Empresas!$A:$A,0))&amp;"","cadastre o CNPJ em Empresas"))</f>
        <v/>
      </c>
      <c r="H627" s="28" t="str">
        <f aca="false">IF(B627="","",SUBSTITUTE(SUBSTITUTE(SUBSTITUTE(SUBSTITUTE(SUBSTITUTE(SUBSTITUTE(SUBSTITUTE(SUBSTITUTE(SUBSTITUTE(SUBSTITUTE(SUBSTITUTE(SUBSTITUTE(SUBSTITUTE(UPPER(TRIM(B627)),"Á","A"),"À","A"),"Â","A"),"Ã","A"),"É","E"),"Ê","E"),"Í","I"),"Ó","O"),"Ô","O"),"Õ","O"),"Ú","U"),"Ü","U"),"Ç","C"))</f>
        <v/>
      </c>
      <c r="I627" s="28" t="str">
        <f aca="false">IF(C627="","",IF(LEN(SUBSTITUTE(SUBSTITUTE(SUBSTITUTE(SUBSTITUTE(TRIM(C627),"*",""),".",""),"-","")," ",""))=11,MID(SUBSTITUTE(SUBSTITUTE(SUBSTITUTE(SUBSTITUTE(TRIM(C627),"*",""),".",""),"-","")," ",""),4,6),SUBSTITUTE(SUBSTITUTE(SUBSTITUTE(SUBSTITUTE(TRIM(C627),"*",""),".",""),"-","")," ","")))</f>
        <v/>
      </c>
      <c r="J627" s="28" t="str">
        <f aca="false">IF(OR(H627="",I627=""),"",H627&amp;"|"&amp;I627)</f>
        <v/>
      </c>
      <c r="K627" s="19" t="str">
        <f aca="false">IF(H627="","",IF(AND(J627&lt;&gt;"",COUNTIF(Pessoas!$J:$J,J627)&gt;0),"SIM",IF(COUNTIF(Pessoas!$H:$H,H627)&gt;0,"nome igual em Pessoas: confira o CPF","")))</f>
        <v/>
      </c>
      <c r="L627" s="27"/>
      <c r="M627" s="5"/>
    </row>
    <row r="628" customFormat="false" ht="15" hidden="false" customHeight="false" outlineLevel="0" collapsed="false">
      <c r="A628" s="27"/>
      <c r="B628" s="5"/>
      <c r="C628" s="27"/>
      <c r="D628" s="18"/>
      <c r="E628" s="14"/>
      <c r="F628" s="18"/>
      <c r="G628" s="19" t="str">
        <f aca="false">IF(A628="","",IFERROR(INDEX(Empresas!$B:$B,MATCH(A628,Empresas!$A:$A,0))&amp;"","cadastre o CNPJ em Empresas"))</f>
        <v/>
      </c>
      <c r="H628" s="28" t="str">
        <f aca="false">IF(B628="","",SUBSTITUTE(SUBSTITUTE(SUBSTITUTE(SUBSTITUTE(SUBSTITUTE(SUBSTITUTE(SUBSTITUTE(SUBSTITUTE(SUBSTITUTE(SUBSTITUTE(SUBSTITUTE(SUBSTITUTE(SUBSTITUTE(UPPER(TRIM(B628)),"Á","A"),"À","A"),"Â","A"),"Ã","A"),"É","E"),"Ê","E"),"Í","I"),"Ó","O"),"Ô","O"),"Õ","O"),"Ú","U"),"Ü","U"),"Ç","C"))</f>
        <v/>
      </c>
      <c r="I628" s="28" t="str">
        <f aca="false">IF(C628="","",IF(LEN(SUBSTITUTE(SUBSTITUTE(SUBSTITUTE(SUBSTITUTE(TRIM(C628),"*",""),".",""),"-","")," ",""))=11,MID(SUBSTITUTE(SUBSTITUTE(SUBSTITUTE(SUBSTITUTE(TRIM(C628),"*",""),".",""),"-","")," ",""),4,6),SUBSTITUTE(SUBSTITUTE(SUBSTITUTE(SUBSTITUTE(TRIM(C628),"*",""),".",""),"-","")," ","")))</f>
        <v/>
      </c>
      <c r="J628" s="28" t="str">
        <f aca="false">IF(OR(H628="",I628=""),"",H628&amp;"|"&amp;I628)</f>
        <v/>
      </c>
      <c r="K628" s="19" t="str">
        <f aca="false">IF(H628="","",IF(AND(J628&lt;&gt;"",COUNTIF(Pessoas!$J:$J,J628)&gt;0),"SIM",IF(COUNTIF(Pessoas!$H:$H,H628)&gt;0,"nome igual em Pessoas: confira o CPF","")))</f>
        <v/>
      </c>
      <c r="L628" s="27"/>
      <c r="M628" s="5"/>
    </row>
    <row r="629" customFormat="false" ht="15" hidden="false" customHeight="false" outlineLevel="0" collapsed="false">
      <c r="A629" s="27"/>
      <c r="B629" s="5"/>
      <c r="C629" s="27"/>
      <c r="D629" s="18"/>
      <c r="E629" s="14"/>
      <c r="F629" s="18"/>
      <c r="G629" s="19" t="str">
        <f aca="false">IF(A629="","",IFERROR(INDEX(Empresas!$B:$B,MATCH(A629,Empresas!$A:$A,0))&amp;"","cadastre o CNPJ em Empresas"))</f>
        <v/>
      </c>
      <c r="H629" s="28" t="str">
        <f aca="false">IF(B629="","",SUBSTITUTE(SUBSTITUTE(SUBSTITUTE(SUBSTITUTE(SUBSTITUTE(SUBSTITUTE(SUBSTITUTE(SUBSTITUTE(SUBSTITUTE(SUBSTITUTE(SUBSTITUTE(SUBSTITUTE(SUBSTITUTE(UPPER(TRIM(B629)),"Á","A"),"À","A"),"Â","A"),"Ã","A"),"É","E"),"Ê","E"),"Í","I"),"Ó","O"),"Ô","O"),"Õ","O"),"Ú","U"),"Ü","U"),"Ç","C"))</f>
        <v/>
      </c>
      <c r="I629" s="28" t="str">
        <f aca="false">IF(C629="","",IF(LEN(SUBSTITUTE(SUBSTITUTE(SUBSTITUTE(SUBSTITUTE(TRIM(C629),"*",""),".",""),"-","")," ",""))=11,MID(SUBSTITUTE(SUBSTITUTE(SUBSTITUTE(SUBSTITUTE(TRIM(C629),"*",""),".",""),"-","")," ",""),4,6),SUBSTITUTE(SUBSTITUTE(SUBSTITUTE(SUBSTITUTE(TRIM(C629),"*",""),".",""),"-","")," ","")))</f>
        <v/>
      </c>
      <c r="J629" s="28" t="str">
        <f aca="false">IF(OR(H629="",I629=""),"",H629&amp;"|"&amp;I629)</f>
        <v/>
      </c>
      <c r="K629" s="19" t="str">
        <f aca="false">IF(H629="","",IF(AND(J629&lt;&gt;"",COUNTIF(Pessoas!$J:$J,J629)&gt;0),"SIM",IF(COUNTIF(Pessoas!$H:$H,H629)&gt;0,"nome igual em Pessoas: confira o CPF","")))</f>
        <v/>
      </c>
      <c r="L629" s="27"/>
      <c r="M629" s="5"/>
    </row>
    <row r="630" customFormat="false" ht="15" hidden="false" customHeight="false" outlineLevel="0" collapsed="false">
      <c r="A630" s="27"/>
      <c r="B630" s="5"/>
      <c r="C630" s="27"/>
      <c r="D630" s="18"/>
      <c r="E630" s="14"/>
      <c r="F630" s="18"/>
      <c r="G630" s="19" t="str">
        <f aca="false">IF(A630="","",IFERROR(INDEX(Empresas!$B:$B,MATCH(A630,Empresas!$A:$A,0))&amp;"","cadastre o CNPJ em Empresas"))</f>
        <v/>
      </c>
      <c r="H630" s="28" t="str">
        <f aca="false">IF(B630="","",SUBSTITUTE(SUBSTITUTE(SUBSTITUTE(SUBSTITUTE(SUBSTITUTE(SUBSTITUTE(SUBSTITUTE(SUBSTITUTE(SUBSTITUTE(SUBSTITUTE(SUBSTITUTE(SUBSTITUTE(SUBSTITUTE(UPPER(TRIM(B630)),"Á","A"),"À","A"),"Â","A"),"Ã","A"),"É","E"),"Ê","E"),"Í","I"),"Ó","O"),"Ô","O"),"Õ","O"),"Ú","U"),"Ü","U"),"Ç","C"))</f>
        <v/>
      </c>
      <c r="I630" s="28" t="str">
        <f aca="false">IF(C630="","",IF(LEN(SUBSTITUTE(SUBSTITUTE(SUBSTITUTE(SUBSTITUTE(TRIM(C630),"*",""),".",""),"-","")," ",""))=11,MID(SUBSTITUTE(SUBSTITUTE(SUBSTITUTE(SUBSTITUTE(TRIM(C630),"*",""),".",""),"-","")," ",""),4,6),SUBSTITUTE(SUBSTITUTE(SUBSTITUTE(SUBSTITUTE(TRIM(C630),"*",""),".",""),"-","")," ","")))</f>
        <v/>
      </c>
      <c r="J630" s="28" t="str">
        <f aca="false">IF(OR(H630="",I630=""),"",H630&amp;"|"&amp;I630)</f>
        <v/>
      </c>
      <c r="K630" s="19" t="str">
        <f aca="false">IF(H630="","",IF(AND(J630&lt;&gt;"",COUNTIF(Pessoas!$J:$J,J630)&gt;0),"SIM",IF(COUNTIF(Pessoas!$H:$H,H630)&gt;0,"nome igual em Pessoas: confira o CPF","")))</f>
        <v/>
      </c>
      <c r="L630" s="27"/>
      <c r="M630" s="5"/>
    </row>
    <row r="631" customFormat="false" ht="15" hidden="false" customHeight="false" outlineLevel="0" collapsed="false">
      <c r="A631" s="27"/>
      <c r="B631" s="5"/>
      <c r="C631" s="27"/>
      <c r="D631" s="18"/>
      <c r="E631" s="14"/>
      <c r="F631" s="18"/>
      <c r="G631" s="19" t="str">
        <f aca="false">IF(A631="","",IFERROR(INDEX(Empresas!$B:$B,MATCH(A631,Empresas!$A:$A,0))&amp;"","cadastre o CNPJ em Empresas"))</f>
        <v/>
      </c>
      <c r="H631" s="28" t="str">
        <f aca="false">IF(B631="","",SUBSTITUTE(SUBSTITUTE(SUBSTITUTE(SUBSTITUTE(SUBSTITUTE(SUBSTITUTE(SUBSTITUTE(SUBSTITUTE(SUBSTITUTE(SUBSTITUTE(SUBSTITUTE(SUBSTITUTE(SUBSTITUTE(UPPER(TRIM(B631)),"Á","A"),"À","A"),"Â","A"),"Ã","A"),"É","E"),"Ê","E"),"Í","I"),"Ó","O"),"Ô","O"),"Õ","O"),"Ú","U"),"Ü","U"),"Ç","C"))</f>
        <v/>
      </c>
      <c r="I631" s="28" t="str">
        <f aca="false">IF(C631="","",IF(LEN(SUBSTITUTE(SUBSTITUTE(SUBSTITUTE(SUBSTITUTE(TRIM(C631),"*",""),".",""),"-","")," ",""))=11,MID(SUBSTITUTE(SUBSTITUTE(SUBSTITUTE(SUBSTITUTE(TRIM(C631),"*",""),".",""),"-","")," ",""),4,6),SUBSTITUTE(SUBSTITUTE(SUBSTITUTE(SUBSTITUTE(TRIM(C631),"*",""),".",""),"-","")," ","")))</f>
        <v/>
      </c>
      <c r="J631" s="28" t="str">
        <f aca="false">IF(OR(H631="",I631=""),"",H631&amp;"|"&amp;I631)</f>
        <v/>
      </c>
      <c r="K631" s="19" t="str">
        <f aca="false">IF(H631="","",IF(AND(J631&lt;&gt;"",COUNTIF(Pessoas!$J:$J,J631)&gt;0),"SIM",IF(COUNTIF(Pessoas!$H:$H,H631)&gt;0,"nome igual em Pessoas: confira o CPF","")))</f>
        <v/>
      </c>
      <c r="L631" s="27"/>
      <c r="M631" s="5"/>
    </row>
    <row r="632" customFormat="false" ht="15" hidden="false" customHeight="false" outlineLevel="0" collapsed="false">
      <c r="A632" s="27"/>
      <c r="B632" s="5"/>
      <c r="C632" s="27"/>
      <c r="D632" s="18"/>
      <c r="E632" s="14"/>
      <c r="F632" s="18"/>
      <c r="G632" s="19" t="str">
        <f aca="false">IF(A632="","",IFERROR(INDEX(Empresas!$B:$B,MATCH(A632,Empresas!$A:$A,0))&amp;"","cadastre o CNPJ em Empresas"))</f>
        <v/>
      </c>
      <c r="H632" s="28" t="str">
        <f aca="false">IF(B632="","",SUBSTITUTE(SUBSTITUTE(SUBSTITUTE(SUBSTITUTE(SUBSTITUTE(SUBSTITUTE(SUBSTITUTE(SUBSTITUTE(SUBSTITUTE(SUBSTITUTE(SUBSTITUTE(SUBSTITUTE(SUBSTITUTE(UPPER(TRIM(B632)),"Á","A"),"À","A"),"Â","A"),"Ã","A"),"É","E"),"Ê","E"),"Í","I"),"Ó","O"),"Ô","O"),"Õ","O"),"Ú","U"),"Ü","U"),"Ç","C"))</f>
        <v/>
      </c>
      <c r="I632" s="28" t="str">
        <f aca="false">IF(C632="","",IF(LEN(SUBSTITUTE(SUBSTITUTE(SUBSTITUTE(SUBSTITUTE(TRIM(C632),"*",""),".",""),"-","")," ",""))=11,MID(SUBSTITUTE(SUBSTITUTE(SUBSTITUTE(SUBSTITUTE(TRIM(C632),"*",""),".",""),"-","")," ",""),4,6),SUBSTITUTE(SUBSTITUTE(SUBSTITUTE(SUBSTITUTE(TRIM(C632),"*",""),".",""),"-","")," ","")))</f>
        <v/>
      </c>
      <c r="J632" s="28" t="str">
        <f aca="false">IF(OR(H632="",I632=""),"",H632&amp;"|"&amp;I632)</f>
        <v/>
      </c>
      <c r="K632" s="19" t="str">
        <f aca="false">IF(H632="","",IF(AND(J632&lt;&gt;"",COUNTIF(Pessoas!$J:$J,J632)&gt;0),"SIM",IF(COUNTIF(Pessoas!$H:$H,H632)&gt;0,"nome igual em Pessoas: confira o CPF","")))</f>
        <v/>
      </c>
      <c r="L632" s="27"/>
      <c r="M632" s="5"/>
    </row>
    <row r="633" customFormat="false" ht="15" hidden="false" customHeight="false" outlineLevel="0" collapsed="false">
      <c r="A633" s="27"/>
      <c r="B633" s="5"/>
      <c r="C633" s="27"/>
      <c r="D633" s="18"/>
      <c r="E633" s="14"/>
      <c r="F633" s="18"/>
      <c r="G633" s="19" t="str">
        <f aca="false">IF(A633="","",IFERROR(INDEX(Empresas!$B:$B,MATCH(A633,Empresas!$A:$A,0))&amp;"","cadastre o CNPJ em Empresas"))</f>
        <v/>
      </c>
      <c r="H633" s="28" t="str">
        <f aca="false">IF(B633="","",SUBSTITUTE(SUBSTITUTE(SUBSTITUTE(SUBSTITUTE(SUBSTITUTE(SUBSTITUTE(SUBSTITUTE(SUBSTITUTE(SUBSTITUTE(SUBSTITUTE(SUBSTITUTE(SUBSTITUTE(SUBSTITUTE(UPPER(TRIM(B633)),"Á","A"),"À","A"),"Â","A"),"Ã","A"),"É","E"),"Ê","E"),"Í","I"),"Ó","O"),"Ô","O"),"Õ","O"),"Ú","U"),"Ü","U"),"Ç","C"))</f>
        <v/>
      </c>
      <c r="I633" s="28" t="str">
        <f aca="false">IF(C633="","",IF(LEN(SUBSTITUTE(SUBSTITUTE(SUBSTITUTE(SUBSTITUTE(TRIM(C633),"*",""),".",""),"-","")," ",""))=11,MID(SUBSTITUTE(SUBSTITUTE(SUBSTITUTE(SUBSTITUTE(TRIM(C633),"*",""),".",""),"-","")," ",""),4,6),SUBSTITUTE(SUBSTITUTE(SUBSTITUTE(SUBSTITUTE(TRIM(C633),"*",""),".",""),"-","")," ","")))</f>
        <v/>
      </c>
      <c r="J633" s="28" t="str">
        <f aca="false">IF(OR(H633="",I633=""),"",H633&amp;"|"&amp;I633)</f>
        <v/>
      </c>
      <c r="K633" s="19" t="str">
        <f aca="false">IF(H633="","",IF(AND(J633&lt;&gt;"",COUNTIF(Pessoas!$J:$J,J633)&gt;0),"SIM",IF(COUNTIF(Pessoas!$H:$H,H633)&gt;0,"nome igual em Pessoas: confira o CPF","")))</f>
        <v/>
      </c>
      <c r="L633" s="27"/>
      <c r="M633" s="5"/>
    </row>
    <row r="634" customFormat="false" ht="15" hidden="false" customHeight="false" outlineLevel="0" collapsed="false">
      <c r="A634" s="27"/>
      <c r="B634" s="5"/>
      <c r="C634" s="27"/>
      <c r="D634" s="18"/>
      <c r="E634" s="14"/>
      <c r="F634" s="18"/>
      <c r="G634" s="19" t="str">
        <f aca="false">IF(A634="","",IFERROR(INDEX(Empresas!$B:$B,MATCH(A634,Empresas!$A:$A,0))&amp;"","cadastre o CNPJ em Empresas"))</f>
        <v/>
      </c>
      <c r="H634" s="28" t="str">
        <f aca="false">IF(B634="","",SUBSTITUTE(SUBSTITUTE(SUBSTITUTE(SUBSTITUTE(SUBSTITUTE(SUBSTITUTE(SUBSTITUTE(SUBSTITUTE(SUBSTITUTE(SUBSTITUTE(SUBSTITUTE(SUBSTITUTE(SUBSTITUTE(UPPER(TRIM(B634)),"Á","A"),"À","A"),"Â","A"),"Ã","A"),"É","E"),"Ê","E"),"Í","I"),"Ó","O"),"Ô","O"),"Õ","O"),"Ú","U"),"Ü","U"),"Ç","C"))</f>
        <v/>
      </c>
      <c r="I634" s="28" t="str">
        <f aca="false">IF(C634="","",IF(LEN(SUBSTITUTE(SUBSTITUTE(SUBSTITUTE(SUBSTITUTE(TRIM(C634),"*",""),".",""),"-","")," ",""))=11,MID(SUBSTITUTE(SUBSTITUTE(SUBSTITUTE(SUBSTITUTE(TRIM(C634),"*",""),".",""),"-","")," ",""),4,6),SUBSTITUTE(SUBSTITUTE(SUBSTITUTE(SUBSTITUTE(TRIM(C634),"*",""),".",""),"-","")," ","")))</f>
        <v/>
      </c>
      <c r="J634" s="28" t="str">
        <f aca="false">IF(OR(H634="",I634=""),"",H634&amp;"|"&amp;I634)</f>
        <v/>
      </c>
      <c r="K634" s="19" t="str">
        <f aca="false">IF(H634="","",IF(AND(J634&lt;&gt;"",COUNTIF(Pessoas!$J:$J,J634)&gt;0),"SIM",IF(COUNTIF(Pessoas!$H:$H,H634)&gt;0,"nome igual em Pessoas: confira o CPF","")))</f>
        <v/>
      </c>
      <c r="L634" s="27"/>
      <c r="M634" s="5"/>
    </row>
    <row r="635" customFormat="false" ht="15" hidden="false" customHeight="false" outlineLevel="0" collapsed="false">
      <c r="A635" s="27"/>
      <c r="B635" s="5"/>
      <c r="C635" s="27"/>
      <c r="D635" s="18"/>
      <c r="E635" s="14"/>
      <c r="F635" s="18"/>
      <c r="G635" s="19" t="str">
        <f aca="false">IF(A635="","",IFERROR(INDEX(Empresas!$B:$B,MATCH(A635,Empresas!$A:$A,0))&amp;"","cadastre o CNPJ em Empresas"))</f>
        <v/>
      </c>
      <c r="H635" s="28" t="str">
        <f aca="false">IF(B635="","",SUBSTITUTE(SUBSTITUTE(SUBSTITUTE(SUBSTITUTE(SUBSTITUTE(SUBSTITUTE(SUBSTITUTE(SUBSTITUTE(SUBSTITUTE(SUBSTITUTE(SUBSTITUTE(SUBSTITUTE(SUBSTITUTE(UPPER(TRIM(B635)),"Á","A"),"À","A"),"Â","A"),"Ã","A"),"É","E"),"Ê","E"),"Í","I"),"Ó","O"),"Ô","O"),"Õ","O"),"Ú","U"),"Ü","U"),"Ç","C"))</f>
        <v/>
      </c>
      <c r="I635" s="28" t="str">
        <f aca="false">IF(C635="","",IF(LEN(SUBSTITUTE(SUBSTITUTE(SUBSTITUTE(SUBSTITUTE(TRIM(C635),"*",""),".",""),"-","")," ",""))=11,MID(SUBSTITUTE(SUBSTITUTE(SUBSTITUTE(SUBSTITUTE(TRIM(C635),"*",""),".",""),"-","")," ",""),4,6),SUBSTITUTE(SUBSTITUTE(SUBSTITUTE(SUBSTITUTE(TRIM(C635),"*",""),".",""),"-","")," ","")))</f>
        <v/>
      </c>
      <c r="J635" s="28" t="str">
        <f aca="false">IF(OR(H635="",I635=""),"",H635&amp;"|"&amp;I635)</f>
        <v/>
      </c>
      <c r="K635" s="19" t="str">
        <f aca="false">IF(H635="","",IF(AND(J635&lt;&gt;"",COUNTIF(Pessoas!$J:$J,J635)&gt;0),"SIM",IF(COUNTIF(Pessoas!$H:$H,H635)&gt;0,"nome igual em Pessoas: confira o CPF","")))</f>
        <v/>
      </c>
      <c r="L635" s="27"/>
      <c r="M635" s="5"/>
    </row>
    <row r="636" customFormat="false" ht="15" hidden="false" customHeight="false" outlineLevel="0" collapsed="false">
      <c r="A636" s="27"/>
      <c r="B636" s="5"/>
      <c r="C636" s="27"/>
      <c r="D636" s="18"/>
      <c r="E636" s="14"/>
      <c r="F636" s="18"/>
      <c r="G636" s="19" t="str">
        <f aca="false">IF(A636="","",IFERROR(INDEX(Empresas!$B:$B,MATCH(A636,Empresas!$A:$A,0))&amp;"","cadastre o CNPJ em Empresas"))</f>
        <v/>
      </c>
      <c r="H636" s="28" t="str">
        <f aca="false">IF(B636="","",SUBSTITUTE(SUBSTITUTE(SUBSTITUTE(SUBSTITUTE(SUBSTITUTE(SUBSTITUTE(SUBSTITUTE(SUBSTITUTE(SUBSTITUTE(SUBSTITUTE(SUBSTITUTE(SUBSTITUTE(SUBSTITUTE(UPPER(TRIM(B636)),"Á","A"),"À","A"),"Â","A"),"Ã","A"),"É","E"),"Ê","E"),"Í","I"),"Ó","O"),"Ô","O"),"Õ","O"),"Ú","U"),"Ü","U"),"Ç","C"))</f>
        <v/>
      </c>
      <c r="I636" s="28" t="str">
        <f aca="false">IF(C636="","",IF(LEN(SUBSTITUTE(SUBSTITUTE(SUBSTITUTE(SUBSTITUTE(TRIM(C636),"*",""),".",""),"-","")," ",""))=11,MID(SUBSTITUTE(SUBSTITUTE(SUBSTITUTE(SUBSTITUTE(TRIM(C636),"*",""),".",""),"-","")," ",""),4,6),SUBSTITUTE(SUBSTITUTE(SUBSTITUTE(SUBSTITUTE(TRIM(C636),"*",""),".",""),"-","")," ","")))</f>
        <v/>
      </c>
      <c r="J636" s="28" t="str">
        <f aca="false">IF(OR(H636="",I636=""),"",H636&amp;"|"&amp;I636)</f>
        <v/>
      </c>
      <c r="K636" s="19" t="str">
        <f aca="false">IF(H636="","",IF(AND(J636&lt;&gt;"",COUNTIF(Pessoas!$J:$J,J636)&gt;0),"SIM",IF(COUNTIF(Pessoas!$H:$H,H636)&gt;0,"nome igual em Pessoas: confira o CPF","")))</f>
        <v/>
      </c>
      <c r="L636" s="27"/>
      <c r="M636" s="5"/>
    </row>
    <row r="637" customFormat="false" ht="15" hidden="false" customHeight="false" outlineLevel="0" collapsed="false">
      <c r="A637" s="27"/>
      <c r="B637" s="5"/>
      <c r="C637" s="27"/>
      <c r="D637" s="18"/>
      <c r="E637" s="14"/>
      <c r="F637" s="18"/>
      <c r="G637" s="19" t="str">
        <f aca="false">IF(A637="","",IFERROR(INDEX(Empresas!$B:$B,MATCH(A637,Empresas!$A:$A,0))&amp;"","cadastre o CNPJ em Empresas"))</f>
        <v/>
      </c>
      <c r="H637" s="28" t="str">
        <f aca="false">IF(B637="","",SUBSTITUTE(SUBSTITUTE(SUBSTITUTE(SUBSTITUTE(SUBSTITUTE(SUBSTITUTE(SUBSTITUTE(SUBSTITUTE(SUBSTITUTE(SUBSTITUTE(SUBSTITUTE(SUBSTITUTE(SUBSTITUTE(UPPER(TRIM(B637)),"Á","A"),"À","A"),"Â","A"),"Ã","A"),"É","E"),"Ê","E"),"Í","I"),"Ó","O"),"Ô","O"),"Õ","O"),"Ú","U"),"Ü","U"),"Ç","C"))</f>
        <v/>
      </c>
      <c r="I637" s="28" t="str">
        <f aca="false">IF(C637="","",IF(LEN(SUBSTITUTE(SUBSTITUTE(SUBSTITUTE(SUBSTITUTE(TRIM(C637),"*",""),".",""),"-","")," ",""))=11,MID(SUBSTITUTE(SUBSTITUTE(SUBSTITUTE(SUBSTITUTE(TRIM(C637),"*",""),".",""),"-","")," ",""),4,6),SUBSTITUTE(SUBSTITUTE(SUBSTITUTE(SUBSTITUTE(TRIM(C637),"*",""),".",""),"-","")," ","")))</f>
        <v/>
      </c>
      <c r="J637" s="28" t="str">
        <f aca="false">IF(OR(H637="",I637=""),"",H637&amp;"|"&amp;I637)</f>
        <v/>
      </c>
      <c r="K637" s="19" t="str">
        <f aca="false">IF(H637="","",IF(AND(J637&lt;&gt;"",COUNTIF(Pessoas!$J:$J,J637)&gt;0),"SIM",IF(COUNTIF(Pessoas!$H:$H,H637)&gt;0,"nome igual em Pessoas: confira o CPF","")))</f>
        <v/>
      </c>
      <c r="L637" s="27"/>
      <c r="M637" s="5"/>
    </row>
    <row r="638" customFormat="false" ht="15" hidden="false" customHeight="false" outlineLevel="0" collapsed="false">
      <c r="A638" s="27"/>
      <c r="B638" s="5"/>
      <c r="C638" s="27"/>
      <c r="D638" s="18"/>
      <c r="E638" s="14"/>
      <c r="F638" s="18"/>
      <c r="G638" s="19" t="str">
        <f aca="false">IF(A638="","",IFERROR(INDEX(Empresas!$B:$B,MATCH(A638,Empresas!$A:$A,0))&amp;"","cadastre o CNPJ em Empresas"))</f>
        <v/>
      </c>
      <c r="H638" s="28" t="str">
        <f aca="false">IF(B638="","",SUBSTITUTE(SUBSTITUTE(SUBSTITUTE(SUBSTITUTE(SUBSTITUTE(SUBSTITUTE(SUBSTITUTE(SUBSTITUTE(SUBSTITUTE(SUBSTITUTE(SUBSTITUTE(SUBSTITUTE(SUBSTITUTE(UPPER(TRIM(B638)),"Á","A"),"À","A"),"Â","A"),"Ã","A"),"É","E"),"Ê","E"),"Í","I"),"Ó","O"),"Ô","O"),"Õ","O"),"Ú","U"),"Ü","U"),"Ç","C"))</f>
        <v/>
      </c>
      <c r="I638" s="28" t="str">
        <f aca="false">IF(C638="","",IF(LEN(SUBSTITUTE(SUBSTITUTE(SUBSTITUTE(SUBSTITUTE(TRIM(C638),"*",""),".",""),"-","")," ",""))=11,MID(SUBSTITUTE(SUBSTITUTE(SUBSTITUTE(SUBSTITUTE(TRIM(C638),"*",""),".",""),"-","")," ",""),4,6),SUBSTITUTE(SUBSTITUTE(SUBSTITUTE(SUBSTITUTE(TRIM(C638),"*",""),".",""),"-","")," ","")))</f>
        <v/>
      </c>
      <c r="J638" s="28" t="str">
        <f aca="false">IF(OR(H638="",I638=""),"",H638&amp;"|"&amp;I638)</f>
        <v/>
      </c>
      <c r="K638" s="19" t="str">
        <f aca="false">IF(H638="","",IF(AND(J638&lt;&gt;"",COUNTIF(Pessoas!$J:$J,J638)&gt;0),"SIM",IF(COUNTIF(Pessoas!$H:$H,H638)&gt;0,"nome igual em Pessoas: confira o CPF","")))</f>
        <v/>
      </c>
      <c r="L638" s="27"/>
      <c r="M638" s="5"/>
    </row>
    <row r="639" customFormat="false" ht="15" hidden="false" customHeight="false" outlineLevel="0" collapsed="false">
      <c r="A639" s="27"/>
      <c r="B639" s="5"/>
      <c r="C639" s="27"/>
      <c r="D639" s="18"/>
      <c r="E639" s="14"/>
      <c r="F639" s="18"/>
      <c r="G639" s="19" t="str">
        <f aca="false">IF(A639="","",IFERROR(INDEX(Empresas!$B:$B,MATCH(A639,Empresas!$A:$A,0))&amp;"","cadastre o CNPJ em Empresas"))</f>
        <v/>
      </c>
      <c r="H639" s="28" t="str">
        <f aca="false">IF(B639="","",SUBSTITUTE(SUBSTITUTE(SUBSTITUTE(SUBSTITUTE(SUBSTITUTE(SUBSTITUTE(SUBSTITUTE(SUBSTITUTE(SUBSTITUTE(SUBSTITUTE(SUBSTITUTE(SUBSTITUTE(SUBSTITUTE(UPPER(TRIM(B639)),"Á","A"),"À","A"),"Â","A"),"Ã","A"),"É","E"),"Ê","E"),"Í","I"),"Ó","O"),"Ô","O"),"Õ","O"),"Ú","U"),"Ü","U"),"Ç","C"))</f>
        <v/>
      </c>
      <c r="I639" s="28" t="str">
        <f aca="false">IF(C639="","",IF(LEN(SUBSTITUTE(SUBSTITUTE(SUBSTITUTE(SUBSTITUTE(TRIM(C639),"*",""),".",""),"-","")," ",""))=11,MID(SUBSTITUTE(SUBSTITUTE(SUBSTITUTE(SUBSTITUTE(TRIM(C639),"*",""),".",""),"-","")," ",""),4,6),SUBSTITUTE(SUBSTITUTE(SUBSTITUTE(SUBSTITUTE(TRIM(C639),"*",""),".",""),"-","")," ","")))</f>
        <v/>
      </c>
      <c r="J639" s="28" t="str">
        <f aca="false">IF(OR(H639="",I639=""),"",H639&amp;"|"&amp;I639)</f>
        <v/>
      </c>
      <c r="K639" s="19" t="str">
        <f aca="false">IF(H639="","",IF(AND(J639&lt;&gt;"",COUNTIF(Pessoas!$J:$J,J639)&gt;0),"SIM",IF(COUNTIF(Pessoas!$H:$H,H639)&gt;0,"nome igual em Pessoas: confira o CPF","")))</f>
        <v/>
      </c>
      <c r="L639" s="27"/>
      <c r="M639" s="5"/>
    </row>
    <row r="640" customFormat="false" ht="15" hidden="false" customHeight="false" outlineLevel="0" collapsed="false">
      <c r="A640" s="27"/>
      <c r="B640" s="5"/>
      <c r="C640" s="27"/>
      <c r="D640" s="18"/>
      <c r="E640" s="14"/>
      <c r="F640" s="18"/>
      <c r="G640" s="19" t="str">
        <f aca="false">IF(A640="","",IFERROR(INDEX(Empresas!$B:$B,MATCH(A640,Empresas!$A:$A,0))&amp;"","cadastre o CNPJ em Empresas"))</f>
        <v/>
      </c>
      <c r="H640" s="28" t="str">
        <f aca="false">IF(B640="","",SUBSTITUTE(SUBSTITUTE(SUBSTITUTE(SUBSTITUTE(SUBSTITUTE(SUBSTITUTE(SUBSTITUTE(SUBSTITUTE(SUBSTITUTE(SUBSTITUTE(SUBSTITUTE(SUBSTITUTE(SUBSTITUTE(UPPER(TRIM(B640)),"Á","A"),"À","A"),"Â","A"),"Ã","A"),"É","E"),"Ê","E"),"Í","I"),"Ó","O"),"Ô","O"),"Õ","O"),"Ú","U"),"Ü","U"),"Ç","C"))</f>
        <v/>
      </c>
      <c r="I640" s="28" t="str">
        <f aca="false">IF(C640="","",IF(LEN(SUBSTITUTE(SUBSTITUTE(SUBSTITUTE(SUBSTITUTE(TRIM(C640),"*",""),".",""),"-","")," ",""))=11,MID(SUBSTITUTE(SUBSTITUTE(SUBSTITUTE(SUBSTITUTE(TRIM(C640),"*",""),".",""),"-","")," ",""),4,6),SUBSTITUTE(SUBSTITUTE(SUBSTITUTE(SUBSTITUTE(TRIM(C640),"*",""),".",""),"-","")," ","")))</f>
        <v/>
      </c>
      <c r="J640" s="28" t="str">
        <f aca="false">IF(OR(H640="",I640=""),"",H640&amp;"|"&amp;I640)</f>
        <v/>
      </c>
      <c r="K640" s="19" t="str">
        <f aca="false">IF(H640="","",IF(AND(J640&lt;&gt;"",COUNTIF(Pessoas!$J:$J,J640)&gt;0),"SIM",IF(COUNTIF(Pessoas!$H:$H,H640)&gt;0,"nome igual em Pessoas: confira o CPF","")))</f>
        <v/>
      </c>
      <c r="L640" s="27"/>
      <c r="M640" s="5"/>
    </row>
    <row r="641" customFormat="false" ht="15" hidden="false" customHeight="false" outlineLevel="0" collapsed="false">
      <c r="A641" s="27"/>
      <c r="B641" s="5"/>
      <c r="C641" s="27"/>
      <c r="D641" s="18"/>
      <c r="E641" s="14"/>
      <c r="F641" s="18"/>
      <c r="G641" s="19" t="str">
        <f aca="false">IF(A641="","",IFERROR(INDEX(Empresas!$B:$B,MATCH(A641,Empresas!$A:$A,0))&amp;"","cadastre o CNPJ em Empresas"))</f>
        <v/>
      </c>
      <c r="H641" s="28" t="str">
        <f aca="false">IF(B641="","",SUBSTITUTE(SUBSTITUTE(SUBSTITUTE(SUBSTITUTE(SUBSTITUTE(SUBSTITUTE(SUBSTITUTE(SUBSTITUTE(SUBSTITUTE(SUBSTITUTE(SUBSTITUTE(SUBSTITUTE(SUBSTITUTE(UPPER(TRIM(B641)),"Á","A"),"À","A"),"Â","A"),"Ã","A"),"É","E"),"Ê","E"),"Í","I"),"Ó","O"),"Ô","O"),"Õ","O"),"Ú","U"),"Ü","U"),"Ç","C"))</f>
        <v/>
      </c>
      <c r="I641" s="28" t="str">
        <f aca="false">IF(C641="","",IF(LEN(SUBSTITUTE(SUBSTITUTE(SUBSTITUTE(SUBSTITUTE(TRIM(C641),"*",""),".",""),"-","")," ",""))=11,MID(SUBSTITUTE(SUBSTITUTE(SUBSTITUTE(SUBSTITUTE(TRIM(C641),"*",""),".",""),"-","")," ",""),4,6),SUBSTITUTE(SUBSTITUTE(SUBSTITUTE(SUBSTITUTE(TRIM(C641),"*",""),".",""),"-","")," ","")))</f>
        <v/>
      </c>
      <c r="J641" s="28" t="str">
        <f aca="false">IF(OR(H641="",I641=""),"",H641&amp;"|"&amp;I641)</f>
        <v/>
      </c>
      <c r="K641" s="19" t="str">
        <f aca="false">IF(H641="","",IF(AND(J641&lt;&gt;"",COUNTIF(Pessoas!$J:$J,J641)&gt;0),"SIM",IF(COUNTIF(Pessoas!$H:$H,H641)&gt;0,"nome igual em Pessoas: confira o CPF","")))</f>
        <v/>
      </c>
      <c r="L641" s="27"/>
      <c r="M641" s="5"/>
    </row>
    <row r="642" customFormat="false" ht="15" hidden="false" customHeight="false" outlineLevel="0" collapsed="false">
      <c r="A642" s="27"/>
      <c r="B642" s="5"/>
      <c r="C642" s="27"/>
      <c r="D642" s="18"/>
      <c r="E642" s="14"/>
      <c r="F642" s="18"/>
      <c r="G642" s="19" t="str">
        <f aca="false">IF(A642="","",IFERROR(INDEX(Empresas!$B:$B,MATCH(A642,Empresas!$A:$A,0))&amp;"","cadastre o CNPJ em Empresas"))</f>
        <v/>
      </c>
      <c r="H642" s="28" t="str">
        <f aca="false">IF(B642="","",SUBSTITUTE(SUBSTITUTE(SUBSTITUTE(SUBSTITUTE(SUBSTITUTE(SUBSTITUTE(SUBSTITUTE(SUBSTITUTE(SUBSTITUTE(SUBSTITUTE(SUBSTITUTE(SUBSTITUTE(SUBSTITUTE(UPPER(TRIM(B642)),"Á","A"),"À","A"),"Â","A"),"Ã","A"),"É","E"),"Ê","E"),"Í","I"),"Ó","O"),"Ô","O"),"Õ","O"),"Ú","U"),"Ü","U"),"Ç","C"))</f>
        <v/>
      </c>
      <c r="I642" s="28" t="str">
        <f aca="false">IF(C642="","",IF(LEN(SUBSTITUTE(SUBSTITUTE(SUBSTITUTE(SUBSTITUTE(TRIM(C642),"*",""),".",""),"-","")," ",""))=11,MID(SUBSTITUTE(SUBSTITUTE(SUBSTITUTE(SUBSTITUTE(TRIM(C642),"*",""),".",""),"-","")," ",""),4,6),SUBSTITUTE(SUBSTITUTE(SUBSTITUTE(SUBSTITUTE(TRIM(C642),"*",""),".",""),"-","")," ","")))</f>
        <v/>
      </c>
      <c r="J642" s="28" t="str">
        <f aca="false">IF(OR(H642="",I642=""),"",H642&amp;"|"&amp;I642)</f>
        <v/>
      </c>
      <c r="K642" s="19" t="str">
        <f aca="false">IF(H642="","",IF(AND(J642&lt;&gt;"",COUNTIF(Pessoas!$J:$J,J642)&gt;0),"SIM",IF(COUNTIF(Pessoas!$H:$H,H642)&gt;0,"nome igual em Pessoas: confira o CPF","")))</f>
        <v/>
      </c>
      <c r="L642" s="27"/>
      <c r="M642" s="5"/>
    </row>
    <row r="643" customFormat="false" ht="15" hidden="false" customHeight="false" outlineLevel="0" collapsed="false">
      <c r="A643" s="27"/>
      <c r="B643" s="5"/>
      <c r="C643" s="27"/>
      <c r="D643" s="18"/>
      <c r="E643" s="14"/>
      <c r="F643" s="18"/>
      <c r="G643" s="19" t="str">
        <f aca="false">IF(A643="","",IFERROR(INDEX(Empresas!$B:$B,MATCH(A643,Empresas!$A:$A,0))&amp;"","cadastre o CNPJ em Empresas"))</f>
        <v/>
      </c>
      <c r="H643" s="28" t="str">
        <f aca="false">IF(B643="","",SUBSTITUTE(SUBSTITUTE(SUBSTITUTE(SUBSTITUTE(SUBSTITUTE(SUBSTITUTE(SUBSTITUTE(SUBSTITUTE(SUBSTITUTE(SUBSTITUTE(SUBSTITUTE(SUBSTITUTE(SUBSTITUTE(UPPER(TRIM(B643)),"Á","A"),"À","A"),"Â","A"),"Ã","A"),"É","E"),"Ê","E"),"Í","I"),"Ó","O"),"Ô","O"),"Õ","O"),"Ú","U"),"Ü","U"),"Ç","C"))</f>
        <v/>
      </c>
      <c r="I643" s="28" t="str">
        <f aca="false">IF(C643="","",IF(LEN(SUBSTITUTE(SUBSTITUTE(SUBSTITUTE(SUBSTITUTE(TRIM(C643),"*",""),".",""),"-","")," ",""))=11,MID(SUBSTITUTE(SUBSTITUTE(SUBSTITUTE(SUBSTITUTE(TRIM(C643),"*",""),".",""),"-","")," ",""),4,6),SUBSTITUTE(SUBSTITUTE(SUBSTITUTE(SUBSTITUTE(TRIM(C643),"*",""),".",""),"-","")," ","")))</f>
        <v/>
      </c>
      <c r="J643" s="28" t="str">
        <f aca="false">IF(OR(H643="",I643=""),"",H643&amp;"|"&amp;I643)</f>
        <v/>
      </c>
      <c r="K643" s="19" t="str">
        <f aca="false">IF(H643="","",IF(AND(J643&lt;&gt;"",COUNTIF(Pessoas!$J:$J,J643)&gt;0),"SIM",IF(COUNTIF(Pessoas!$H:$H,H643)&gt;0,"nome igual em Pessoas: confira o CPF","")))</f>
        <v/>
      </c>
      <c r="L643" s="27"/>
      <c r="M643" s="5"/>
    </row>
    <row r="644" customFormat="false" ht="15" hidden="false" customHeight="false" outlineLevel="0" collapsed="false">
      <c r="A644" s="27"/>
      <c r="B644" s="5"/>
      <c r="C644" s="27"/>
      <c r="D644" s="18"/>
      <c r="E644" s="14"/>
      <c r="F644" s="18"/>
      <c r="G644" s="19" t="str">
        <f aca="false">IF(A644="","",IFERROR(INDEX(Empresas!$B:$B,MATCH(A644,Empresas!$A:$A,0))&amp;"","cadastre o CNPJ em Empresas"))</f>
        <v/>
      </c>
      <c r="H644" s="28" t="str">
        <f aca="false">IF(B644="","",SUBSTITUTE(SUBSTITUTE(SUBSTITUTE(SUBSTITUTE(SUBSTITUTE(SUBSTITUTE(SUBSTITUTE(SUBSTITUTE(SUBSTITUTE(SUBSTITUTE(SUBSTITUTE(SUBSTITUTE(SUBSTITUTE(UPPER(TRIM(B644)),"Á","A"),"À","A"),"Â","A"),"Ã","A"),"É","E"),"Ê","E"),"Í","I"),"Ó","O"),"Ô","O"),"Õ","O"),"Ú","U"),"Ü","U"),"Ç","C"))</f>
        <v/>
      </c>
      <c r="I644" s="28" t="str">
        <f aca="false">IF(C644="","",IF(LEN(SUBSTITUTE(SUBSTITUTE(SUBSTITUTE(SUBSTITUTE(TRIM(C644),"*",""),".",""),"-","")," ",""))=11,MID(SUBSTITUTE(SUBSTITUTE(SUBSTITUTE(SUBSTITUTE(TRIM(C644),"*",""),".",""),"-","")," ",""),4,6),SUBSTITUTE(SUBSTITUTE(SUBSTITUTE(SUBSTITUTE(TRIM(C644),"*",""),".",""),"-","")," ","")))</f>
        <v/>
      </c>
      <c r="J644" s="28" t="str">
        <f aca="false">IF(OR(H644="",I644=""),"",H644&amp;"|"&amp;I644)</f>
        <v/>
      </c>
      <c r="K644" s="19" t="str">
        <f aca="false">IF(H644="","",IF(AND(J644&lt;&gt;"",COUNTIF(Pessoas!$J:$J,J644)&gt;0),"SIM",IF(COUNTIF(Pessoas!$H:$H,H644)&gt;0,"nome igual em Pessoas: confira o CPF","")))</f>
        <v/>
      </c>
      <c r="L644" s="27"/>
      <c r="M644" s="5"/>
    </row>
    <row r="645" customFormat="false" ht="15" hidden="false" customHeight="false" outlineLevel="0" collapsed="false">
      <c r="A645" s="27"/>
      <c r="B645" s="5"/>
      <c r="C645" s="27"/>
      <c r="D645" s="18"/>
      <c r="E645" s="14"/>
      <c r="F645" s="18"/>
      <c r="G645" s="19" t="str">
        <f aca="false">IF(A645="","",IFERROR(INDEX(Empresas!$B:$B,MATCH(A645,Empresas!$A:$A,0))&amp;"","cadastre o CNPJ em Empresas"))</f>
        <v/>
      </c>
      <c r="H645" s="28" t="str">
        <f aca="false">IF(B645="","",SUBSTITUTE(SUBSTITUTE(SUBSTITUTE(SUBSTITUTE(SUBSTITUTE(SUBSTITUTE(SUBSTITUTE(SUBSTITUTE(SUBSTITUTE(SUBSTITUTE(SUBSTITUTE(SUBSTITUTE(SUBSTITUTE(UPPER(TRIM(B645)),"Á","A"),"À","A"),"Â","A"),"Ã","A"),"É","E"),"Ê","E"),"Í","I"),"Ó","O"),"Ô","O"),"Õ","O"),"Ú","U"),"Ü","U"),"Ç","C"))</f>
        <v/>
      </c>
      <c r="I645" s="28" t="str">
        <f aca="false">IF(C645="","",IF(LEN(SUBSTITUTE(SUBSTITUTE(SUBSTITUTE(SUBSTITUTE(TRIM(C645),"*",""),".",""),"-","")," ",""))=11,MID(SUBSTITUTE(SUBSTITUTE(SUBSTITUTE(SUBSTITUTE(TRIM(C645),"*",""),".",""),"-","")," ",""),4,6),SUBSTITUTE(SUBSTITUTE(SUBSTITUTE(SUBSTITUTE(TRIM(C645),"*",""),".",""),"-","")," ","")))</f>
        <v/>
      </c>
      <c r="J645" s="28" t="str">
        <f aca="false">IF(OR(H645="",I645=""),"",H645&amp;"|"&amp;I645)</f>
        <v/>
      </c>
      <c r="K645" s="19" t="str">
        <f aca="false">IF(H645="","",IF(AND(J645&lt;&gt;"",COUNTIF(Pessoas!$J:$J,J645)&gt;0),"SIM",IF(COUNTIF(Pessoas!$H:$H,H645)&gt;0,"nome igual em Pessoas: confira o CPF","")))</f>
        <v/>
      </c>
      <c r="L645" s="27"/>
      <c r="M645" s="5"/>
    </row>
    <row r="646" customFormat="false" ht="15" hidden="false" customHeight="false" outlineLevel="0" collapsed="false">
      <c r="A646" s="27"/>
      <c r="B646" s="5"/>
      <c r="C646" s="27"/>
      <c r="D646" s="18"/>
      <c r="E646" s="14"/>
      <c r="F646" s="18"/>
      <c r="G646" s="19" t="str">
        <f aca="false">IF(A646="","",IFERROR(INDEX(Empresas!$B:$B,MATCH(A646,Empresas!$A:$A,0))&amp;"","cadastre o CNPJ em Empresas"))</f>
        <v/>
      </c>
      <c r="H646" s="28" t="str">
        <f aca="false">IF(B646="","",SUBSTITUTE(SUBSTITUTE(SUBSTITUTE(SUBSTITUTE(SUBSTITUTE(SUBSTITUTE(SUBSTITUTE(SUBSTITUTE(SUBSTITUTE(SUBSTITUTE(SUBSTITUTE(SUBSTITUTE(SUBSTITUTE(UPPER(TRIM(B646)),"Á","A"),"À","A"),"Â","A"),"Ã","A"),"É","E"),"Ê","E"),"Í","I"),"Ó","O"),"Ô","O"),"Õ","O"),"Ú","U"),"Ü","U"),"Ç","C"))</f>
        <v/>
      </c>
      <c r="I646" s="28" t="str">
        <f aca="false">IF(C646="","",IF(LEN(SUBSTITUTE(SUBSTITUTE(SUBSTITUTE(SUBSTITUTE(TRIM(C646),"*",""),".",""),"-","")," ",""))=11,MID(SUBSTITUTE(SUBSTITUTE(SUBSTITUTE(SUBSTITUTE(TRIM(C646),"*",""),".",""),"-","")," ",""),4,6),SUBSTITUTE(SUBSTITUTE(SUBSTITUTE(SUBSTITUTE(TRIM(C646),"*",""),".",""),"-","")," ","")))</f>
        <v/>
      </c>
      <c r="J646" s="28" t="str">
        <f aca="false">IF(OR(H646="",I646=""),"",H646&amp;"|"&amp;I646)</f>
        <v/>
      </c>
      <c r="K646" s="19" t="str">
        <f aca="false">IF(H646="","",IF(AND(J646&lt;&gt;"",COUNTIF(Pessoas!$J:$J,J646)&gt;0),"SIM",IF(COUNTIF(Pessoas!$H:$H,H646)&gt;0,"nome igual em Pessoas: confira o CPF","")))</f>
        <v/>
      </c>
      <c r="L646" s="27"/>
      <c r="M646" s="5"/>
    </row>
    <row r="647" customFormat="false" ht="15" hidden="false" customHeight="false" outlineLevel="0" collapsed="false">
      <c r="A647" s="27"/>
      <c r="B647" s="5"/>
      <c r="C647" s="27"/>
      <c r="D647" s="18"/>
      <c r="E647" s="14"/>
      <c r="F647" s="18"/>
      <c r="G647" s="19" t="str">
        <f aca="false">IF(A647="","",IFERROR(INDEX(Empresas!$B:$B,MATCH(A647,Empresas!$A:$A,0))&amp;"","cadastre o CNPJ em Empresas"))</f>
        <v/>
      </c>
      <c r="H647" s="28" t="str">
        <f aca="false">IF(B647="","",SUBSTITUTE(SUBSTITUTE(SUBSTITUTE(SUBSTITUTE(SUBSTITUTE(SUBSTITUTE(SUBSTITUTE(SUBSTITUTE(SUBSTITUTE(SUBSTITUTE(SUBSTITUTE(SUBSTITUTE(SUBSTITUTE(UPPER(TRIM(B647)),"Á","A"),"À","A"),"Â","A"),"Ã","A"),"É","E"),"Ê","E"),"Í","I"),"Ó","O"),"Ô","O"),"Õ","O"),"Ú","U"),"Ü","U"),"Ç","C"))</f>
        <v/>
      </c>
      <c r="I647" s="28" t="str">
        <f aca="false">IF(C647="","",IF(LEN(SUBSTITUTE(SUBSTITUTE(SUBSTITUTE(SUBSTITUTE(TRIM(C647),"*",""),".",""),"-","")," ",""))=11,MID(SUBSTITUTE(SUBSTITUTE(SUBSTITUTE(SUBSTITUTE(TRIM(C647),"*",""),".",""),"-","")," ",""),4,6),SUBSTITUTE(SUBSTITUTE(SUBSTITUTE(SUBSTITUTE(TRIM(C647),"*",""),".",""),"-","")," ","")))</f>
        <v/>
      </c>
      <c r="J647" s="28" t="str">
        <f aca="false">IF(OR(H647="",I647=""),"",H647&amp;"|"&amp;I647)</f>
        <v/>
      </c>
      <c r="K647" s="19" t="str">
        <f aca="false">IF(H647="","",IF(AND(J647&lt;&gt;"",COUNTIF(Pessoas!$J:$J,J647)&gt;0),"SIM",IF(COUNTIF(Pessoas!$H:$H,H647)&gt;0,"nome igual em Pessoas: confira o CPF","")))</f>
        <v/>
      </c>
      <c r="L647" s="27"/>
      <c r="M647" s="5"/>
    </row>
    <row r="648" customFormat="false" ht="15" hidden="false" customHeight="false" outlineLevel="0" collapsed="false">
      <c r="A648" s="27"/>
      <c r="B648" s="5"/>
      <c r="C648" s="27"/>
      <c r="D648" s="18"/>
      <c r="E648" s="14"/>
      <c r="F648" s="18"/>
      <c r="G648" s="19" t="str">
        <f aca="false">IF(A648="","",IFERROR(INDEX(Empresas!$B:$B,MATCH(A648,Empresas!$A:$A,0))&amp;"","cadastre o CNPJ em Empresas"))</f>
        <v/>
      </c>
      <c r="H648" s="28" t="str">
        <f aca="false">IF(B648="","",SUBSTITUTE(SUBSTITUTE(SUBSTITUTE(SUBSTITUTE(SUBSTITUTE(SUBSTITUTE(SUBSTITUTE(SUBSTITUTE(SUBSTITUTE(SUBSTITUTE(SUBSTITUTE(SUBSTITUTE(SUBSTITUTE(UPPER(TRIM(B648)),"Á","A"),"À","A"),"Â","A"),"Ã","A"),"É","E"),"Ê","E"),"Í","I"),"Ó","O"),"Ô","O"),"Õ","O"),"Ú","U"),"Ü","U"),"Ç","C"))</f>
        <v/>
      </c>
      <c r="I648" s="28" t="str">
        <f aca="false">IF(C648="","",IF(LEN(SUBSTITUTE(SUBSTITUTE(SUBSTITUTE(SUBSTITUTE(TRIM(C648),"*",""),".",""),"-","")," ",""))=11,MID(SUBSTITUTE(SUBSTITUTE(SUBSTITUTE(SUBSTITUTE(TRIM(C648),"*",""),".",""),"-","")," ",""),4,6),SUBSTITUTE(SUBSTITUTE(SUBSTITUTE(SUBSTITUTE(TRIM(C648),"*",""),".",""),"-","")," ","")))</f>
        <v/>
      </c>
      <c r="J648" s="28" t="str">
        <f aca="false">IF(OR(H648="",I648=""),"",H648&amp;"|"&amp;I648)</f>
        <v/>
      </c>
      <c r="K648" s="19" t="str">
        <f aca="false">IF(H648="","",IF(AND(J648&lt;&gt;"",COUNTIF(Pessoas!$J:$J,J648)&gt;0),"SIM",IF(COUNTIF(Pessoas!$H:$H,H648)&gt;0,"nome igual em Pessoas: confira o CPF","")))</f>
        <v/>
      </c>
      <c r="L648" s="27"/>
      <c r="M648" s="5"/>
    </row>
    <row r="649" customFormat="false" ht="15" hidden="false" customHeight="false" outlineLevel="0" collapsed="false">
      <c r="A649" s="27"/>
      <c r="B649" s="5"/>
      <c r="C649" s="27"/>
      <c r="D649" s="18"/>
      <c r="E649" s="14"/>
      <c r="F649" s="18"/>
      <c r="G649" s="19" t="str">
        <f aca="false">IF(A649="","",IFERROR(INDEX(Empresas!$B:$B,MATCH(A649,Empresas!$A:$A,0))&amp;"","cadastre o CNPJ em Empresas"))</f>
        <v/>
      </c>
      <c r="H649" s="28" t="str">
        <f aca="false">IF(B649="","",SUBSTITUTE(SUBSTITUTE(SUBSTITUTE(SUBSTITUTE(SUBSTITUTE(SUBSTITUTE(SUBSTITUTE(SUBSTITUTE(SUBSTITUTE(SUBSTITUTE(SUBSTITUTE(SUBSTITUTE(SUBSTITUTE(UPPER(TRIM(B649)),"Á","A"),"À","A"),"Â","A"),"Ã","A"),"É","E"),"Ê","E"),"Í","I"),"Ó","O"),"Ô","O"),"Õ","O"),"Ú","U"),"Ü","U"),"Ç","C"))</f>
        <v/>
      </c>
      <c r="I649" s="28" t="str">
        <f aca="false">IF(C649="","",IF(LEN(SUBSTITUTE(SUBSTITUTE(SUBSTITUTE(SUBSTITUTE(TRIM(C649),"*",""),".",""),"-","")," ",""))=11,MID(SUBSTITUTE(SUBSTITUTE(SUBSTITUTE(SUBSTITUTE(TRIM(C649),"*",""),".",""),"-","")," ",""),4,6),SUBSTITUTE(SUBSTITUTE(SUBSTITUTE(SUBSTITUTE(TRIM(C649),"*",""),".",""),"-","")," ","")))</f>
        <v/>
      </c>
      <c r="J649" s="28" t="str">
        <f aca="false">IF(OR(H649="",I649=""),"",H649&amp;"|"&amp;I649)</f>
        <v/>
      </c>
      <c r="K649" s="19" t="str">
        <f aca="false">IF(H649="","",IF(AND(J649&lt;&gt;"",COUNTIF(Pessoas!$J:$J,J649)&gt;0),"SIM",IF(COUNTIF(Pessoas!$H:$H,H649)&gt;0,"nome igual em Pessoas: confira o CPF","")))</f>
        <v/>
      </c>
      <c r="L649" s="27"/>
      <c r="M649" s="5"/>
    </row>
    <row r="650" customFormat="false" ht="15" hidden="false" customHeight="false" outlineLevel="0" collapsed="false">
      <c r="A650" s="27"/>
      <c r="B650" s="5"/>
      <c r="C650" s="27"/>
      <c r="D650" s="18"/>
      <c r="E650" s="14"/>
      <c r="F650" s="18"/>
      <c r="G650" s="19" t="str">
        <f aca="false">IF(A650="","",IFERROR(INDEX(Empresas!$B:$B,MATCH(A650,Empresas!$A:$A,0))&amp;"","cadastre o CNPJ em Empresas"))</f>
        <v/>
      </c>
      <c r="H650" s="28" t="str">
        <f aca="false">IF(B650="","",SUBSTITUTE(SUBSTITUTE(SUBSTITUTE(SUBSTITUTE(SUBSTITUTE(SUBSTITUTE(SUBSTITUTE(SUBSTITUTE(SUBSTITUTE(SUBSTITUTE(SUBSTITUTE(SUBSTITUTE(SUBSTITUTE(UPPER(TRIM(B650)),"Á","A"),"À","A"),"Â","A"),"Ã","A"),"É","E"),"Ê","E"),"Í","I"),"Ó","O"),"Ô","O"),"Õ","O"),"Ú","U"),"Ü","U"),"Ç","C"))</f>
        <v/>
      </c>
      <c r="I650" s="28" t="str">
        <f aca="false">IF(C650="","",IF(LEN(SUBSTITUTE(SUBSTITUTE(SUBSTITUTE(SUBSTITUTE(TRIM(C650),"*",""),".",""),"-","")," ",""))=11,MID(SUBSTITUTE(SUBSTITUTE(SUBSTITUTE(SUBSTITUTE(TRIM(C650),"*",""),".",""),"-","")," ",""),4,6),SUBSTITUTE(SUBSTITUTE(SUBSTITUTE(SUBSTITUTE(TRIM(C650),"*",""),".",""),"-","")," ","")))</f>
        <v/>
      </c>
      <c r="J650" s="28" t="str">
        <f aca="false">IF(OR(H650="",I650=""),"",H650&amp;"|"&amp;I650)</f>
        <v/>
      </c>
      <c r="K650" s="19" t="str">
        <f aca="false">IF(H650="","",IF(AND(J650&lt;&gt;"",COUNTIF(Pessoas!$J:$J,J650)&gt;0),"SIM",IF(COUNTIF(Pessoas!$H:$H,H650)&gt;0,"nome igual em Pessoas: confira o CPF","")))</f>
        <v/>
      </c>
      <c r="L650" s="27"/>
      <c r="M650" s="5"/>
    </row>
    <row r="651" customFormat="false" ht="15" hidden="false" customHeight="false" outlineLevel="0" collapsed="false">
      <c r="A651" s="27"/>
      <c r="B651" s="5"/>
      <c r="C651" s="27"/>
      <c r="D651" s="18"/>
      <c r="E651" s="14"/>
      <c r="F651" s="18"/>
      <c r="G651" s="19" t="str">
        <f aca="false">IF(A651="","",IFERROR(INDEX(Empresas!$B:$B,MATCH(A651,Empresas!$A:$A,0))&amp;"","cadastre o CNPJ em Empresas"))</f>
        <v/>
      </c>
      <c r="H651" s="28" t="str">
        <f aca="false">IF(B651="","",SUBSTITUTE(SUBSTITUTE(SUBSTITUTE(SUBSTITUTE(SUBSTITUTE(SUBSTITUTE(SUBSTITUTE(SUBSTITUTE(SUBSTITUTE(SUBSTITUTE(SUBSTITUTE(SUBSTITUTE(SUBSTITUTE(UPPER(TRIM(B651)),"Á","A"),"À","A"),"Â","A"),"Ã","A"),"É","E"),"Ê","E"),"Í","I"),"Ó","O"),"Ô","O"),"Õ","O"),"Ú","U"),"Ü","U"),"Ç","C"))</f>
        <v/>
      </c>
      <c r="I651" s="28" t="str">
        <f aca="false">IF(C651="","",IF(LEN(SUBSTITUTE(SUBSTITUTE(SUBSTITUTE(SUBSTITUTE(TRIM(C651),"*",""),".",""),"-","")," ",""))=11,MID(SUBSTITUTE(SUBSTITUTE(SUBSTITUTE(SUBSTITUTE(TRIM(C651),"*",""),".",""),"-","")," ",""),4,6),SUBSTITUTE(SUBSTITUTE(SUBSTITUTE(SUBSTITUTE(TRIM(C651),"*",""),".",""),"-","")," ","")))</f>
        <v/>
      </c>
      <c r="J651" s="28" t="str">
        <f aca="false">IF(OR(H651="",I651=""),"",H651&amp;"|"&amp;I651)</f>
        <v/>
      </c>
      <c r="K651" s="19" t="str">
        <f aca="false">IF(H651="","",IF(AND(J651&lt;&gt;"",COUNTIF(Pessoas!$J:$J,J651)&gt;0),"SIM",IF(COUNTIF(Pessoas!$H:$H,H651)&gt;0,"nome igual em Pessoas: confira o CPF","")))</f>
        <v/>
      </c>
      <c r="L651" s="27"/>
      <c r="M651" s="5"/>
    </row>
    <row r="652" customFormat="false" ht="15" hidden="false" customHeight="false" outlineLevel="0" collapsed="false">
      <c r="A652" s="27"/>
      <c r="B652" s="5"/>
      <c r="C652" s="27"/>
      <c r="D652" s="18"/>
      <c r="E652" s="14"/>
      <c r="F652" s="18"/>
      <c r="G652" s="19" t="str">
        <f aca="false">IF(A652="","",IFERROR(INDEX(Empresas!$B:$B,MATCH(A652,Empresas!$A:$A,0))&amp;"","cadastre o CNPJ em Empresas"))</f>
        <v/>
      </c>
      <c r="H652" s="28" t="str">
        <f aca="false">IF(B652="","",SUBSTITUTE(SUBSTITUTE(SUBSTITUTE(SUBSTITUTE(SUBSTITUTE(SUBSTITUTE(SUBSTITUTE(SUBSTITUTE(SUBSTITUTE(SUBSTITUTE(SUBSTITUTE(SUBSTITUTE(SUBSTITUTE(UPPER(TRIM(B652)),"Á","A"),"À","A"),"Â","A"),"Ã","A"),"É","E"),"Ê","E"),"Í","I"),"Ó","O"),"Ô","O"),"Õ","O"),"Ú","U"),"Ü","U"),"Ç","C"))</f>
        <v/>
      </c>
      <c r="I652" s="28" t="str">
        <f aca="false">IF(C652="","",IF(LEN(SUBSTITUTE(SUBSTITUTE(SUBSTITUTE(SUBSTITUTE(TRIM(C652),"*",""),".",""),"-","")," ",""))=11,MID(SUBSTITUTE(SUBSTITUTE(SUBSTITUTE(SUBSTITUTE(TRIM(C652),"*",""),".",""),"-","")," ",""),4,6),SUBSTITUTE(SUBSTITUTE(SUBSTITUTE(SUBSTITUTE(TRIM(C652),"*",""),".",""),"-","")," ","")))</f>
        <v/>
      </c>
      <c r="J652" s="28" t="str">
        <f aca="false">IF(OR(H652="",I652=""),"",H652&amp;"|"&amp;I652)</f>
        <v/>
      </c>
      <c r="K652" s="19" t="str">
        <f aca="false">IF(H652="","",IF(AND(J652&lt;&gt;"",COUNTIF(Pessoas!$J:$J,J652)&gt;0),"SIM",IF(COUNTIF(Pessoas!$H:$H,H652)&gt;0,"nome igual em Pessoas: confira o CPF","")))</f>
        <v/>
      </c>
      <c r="L652" s="27"/>
      <c r="M652" s="5"/>
    </row>
    <row r="653" customFormat="false" ht="15" hidden="false" customHeight="false" outlineLevel="0" collapsed="false">
      <c r="A653" s="27"/>
      <c r="B653" s="5"/>
      <c r="C653" s="27"/>
      <c r="D653" s="18"/>
      <c r="E653" s="14"/>
      <c r="F653" s="18"/>
      <c r="G653" s="19" t="str">
        <f aca="false">IF(A653="","",IFERROR(INDEX(Empresas!$B:$B,MATCH(A653,Empresas!$A:$A,0))&amp;"","cadastre o CNPJ em Empresas"))</f>
        <v/>
      </c>
      <c r="H653" s="28" t="str">
        <f aca="false">IF(B653="","",SUBSTITUTE(SUBSTITUTE(SUBSTITUTE(SUBSTITUTE(SUBSTITUTE(SUBSTITUTE(SUBSTITUTE(SUBSTITUTE(SUBSTITUTE(SUBSTITUTE(SUBSTITUTE(SUBSTITUTE(SUBSTITUTE(UPPER(TRIM(B653)),"Á","A"),"À","A"),"Â","A"),"Ã","A"),"É","E"),"Ê","E"),"Í","I"),"Ó","O"),"Ô","O"),"Õ","O"),"Ú","U"),"Ü","U"),"Ç","C"))</f>
        <v/>
      </c>
      <c r="I653" s="28" t="str">
        <f aca="false">IF(C653="","",IF(LEN(SUBSTITUTE(SUBSTITUTE(SUBSTITUTE(SUBSTITUTE(TRIM(C653),"*",""),".",""),"-","")," ",""))=11,MID(SUBSTITUTE(SUBSTITUTE(SUBSTITUTE(SUBSTITUTE(TRIM(C653),"*",""),".",""),"-","")," ",""),4,6),SUBSTITUTE(SUBSTITUTE(SUBSTITUTE(SUBSTITUTE(TRIM(C653),"*",""),".",""),"-","")," ","")))</f>
        <v/>
      </c>
      <c r="J653" s="28" t="str">
        <f aca="false">IF(OR(H653="",I653=""),"",H653&amp;"|"&amp;I653)</f>
        <v/>
      </c>
      <c r="K653" s="19" t="str">
        <f aca="false">IF(H653="","",IF(AND(J653&lt;&gt;"",COUNTIF(Pessoas!$J:$J,J653)&gt;0),"SIM",IF(COUNTIF(Pessoas!$H:$H,H653)&gt;0,"nome igual em Pessoas: confira o CPF","")))</f>
        <v/>
      </c>
      <c r="L653" s="27"/>
      <c r="M653" s="5"/>
    </row>
    <row r="654" customFormat="false" ht="15" hidden="false" customHeight="false" outlineLevel="0" collapsed="false">
      <c r="A654" s="27"/>
      <c r="B654" s="5"/>
      <c r="C654" s="27"/>
      <c r="D654" s="18"/>
      <c r="E654" s="14"/>
      <c r="F654" s="18"/>
      <c r="G654" s="19" t="str">
        <f aca="false">IF(A654="","",IFERROR(INDEX(Empresas!$B:$B,MATCH(A654,Empresas!$A:$A,0))&amp;"","cadastre o CNPJ em Empresas"))</f>
        <v/>
      </c>
      <c r="H654" s="28" t="str">
        <f aca="false">IF(B654="","",SUBSTITUTE(SUBSTITUTE(SUBSTITUTE(SUBSTITUTE(SUBSTITUTE(SUBSTITUTE(SUBSTITUTE(SUBSTITUTE(SUBSTITUTE(SUBSTITUTE(SUBSTITUTE(SUBSTITUTE(SUBSTITUTE(UPPER(TRIM(B654)),"Á","A"),"À","A"),"Â","A"),"Ã","A"),"É","E"),"Ê","E"),"Í","I"),"Ó","O"),"Ô","O"),"Õ","O"),"Ú","U"),"Ü","U"),"Ç","C"))</f>
        <v/>
      </c>
      <c r="I654" s="28" t="str">
        <f aca="false">IF(C654="","",IF(LEN(SUBSTITUTE(SUBSTITUTE(SUBSTITUTE(SUBSTITUTE(TRIM(C654),"*",""),".",""),"-","")," ",""))=11,MID(SUBSTITUTE(SUBSTITUTE(SUBSTITUTE(SUBSTITUTE(TRIM(C654),"*",""),".",""),"-","")," ",""),4,6),SUBSTITUTE(SUBSTITUTE(SUBSTITUTE(SUBSTITUTE(TRIM(C654),"*",""),".",""),"-","")," ","")))</f>
        <v/>
      </c>
      <c r="J654" s="28" t="str">
        <f aca="false">IF(OR(H654="",I654=""),"",H654&amp;"|"&amp;I654)</f>
        <v/>
      </c>
      <c r="K654" s="19" t="str">
        <f aca="false">IF(H654="","",IF(AND(J654&lt;&gt;"",COUNTIF(Pessoas!$J:$J,J654)&gt;0),"SIM",IF(COUNTIF(Pessoas!$H:$H,H654)&gt;0,"nome igual em Pessoas: confira o CPF","")))</f>
        <v/>
      </c>
      <c r="L654" s="27"/>
      <c r="M654" s="5"/>
    </row>
    <row r="655" customFormat="false" ht="15" hidden="false" customHeight="false" outlineLevel="0" collapsed="false">
      <c r="A655" s="27"/>
      <c r="B655" s="5"/>
      <c r="C655" s="27"/>
      <c r="D655" s="18"/>
      <c r="E655" s="14"/>
      <c r="F655" s="18"/>
      <c r="G655" s="19" t="str">
        <f aca="false">IF(A655="","",IFERROR(INDEX(Empresas!$B:$B,MATCH(A655,Empresas!$A:$A,0))&amp;"","cadastre o CNPJ em Empresas"))</f>
        <v/>
      </c>
      <c r="H655" s="28" t="str">
        <f aca="false">IF(B655="","",SUBSTITUTE(SUBSTITUTE(SUBSTITUTE(SUBSTITUTE(SUBSTITUTE(SUBSTITUTE(SUBSTITUTE(SUBSTITUTE(SUBSTITUTE(SUBSTITUTE(SUBSTITUTE(SUBSTITUTE(SUBSTITUTE(UPPER(TRIM(B655)),"Á","A"),"À","A"),"Â","A"),"Ã","A"),"É","E"),"Ê","E"),"Í","I"),"Ó","O"),"Ô","O"),"Õ","O"),"Ú","U"),"Ü","U"),"Ç","C"))</f>
        <v/>
      </c>
      <c r="I655" s="28" t="str">
        <f aca="false">IF(C655="","",IF(LEN(SUBSTITUTE(SUBSTITUTE(SUBSTITUTE(SUBSTITUTE(TRIM(C655),"*",""),".",""),"-","")," ",""))=11,MID(SUBSTITUTE(SUBSTITUTE(SUBSTITUTE(SUBSTITUTE(TRIM(C655),"*",""),".",""),"-","")," ",""),4,6),SUBSTITUTE(SUBSTITUTE(SUBSTITUTE(SUBSTITUTE(TRIM(C655),"*",""),".",""),"-","")," ","")))</f>
        <v/>
      </c>
      <c r="J655" s="28" t="str">
        <f aca="false">IF(OR(H655="",I655=""),"",H655&amp;"|"&amp;I655)</f>
        <v/>
      </c>
      <c r="K655" s="19" t="str">
        <f aca="false">IF(H655="","",IF(AND(J655&lt;&gt;"",COUNTIF(Pessoas!$J:$J,J655)&gt;0),"SIM",IF(COUNTIF(Pessoas!$H:$H,H655)&gt;0,"nome igual em Pessoas: confira o CPF","")))</f>
        <v/>
      </c>
      <c r="L655" s="27"/>
      <c r="M655" s="5"/>
    </row>
    <row r="656" customFormat="false" ht="15" hidden="false" customHeight="false" outlineLevel="0" collapsed="false">
      <c r="A656" s="27"/>
      <c r="B656" s="5"/>
      <c r="C656" s="27"/>
      <c r="D656" s="18"/>
      <c r="E656" s="14"/>
      <c r="F656" s="18"/>
      <c r="G656" s="19" t="str">
        <f aca="false">IF(A656="","",IFERROR(INDEX(Empresas!$B:$B,MATCH(A656,Empresas!$A:$A,0))&amp;"","cadastre o CNPJ em Empresas"))</f>
        <v/>
      </c>
      <c r="H656" s="28" t="str">
        <f aca="false">IF(B656="","",SUBSTITUTE(SUBSTITUTE(SUBSTITUTE(SUBSTITUTE(SUBSTITUTE(SUBSTITUTE(SUBSTITUTE(SUBSTITUTE(SUBSTITUTE(SUBSTITUTE(SUBSTITUTE(SUBSTITUTE(SUBSTITUTE(UPPER(TRIM(B656)),"Á","A"),"À","A"),"Â","A"),"Ã","A"),"É","E"),"Ê","E"),"Í","I"),"Ó","O"),"Ô","O"),"Õ","O"),"Ú","U"),"Ü","U"),"Ç","C"))</f>
        <v/>
      </c>
      <c r="I656" s="28" t="str">
        <f aca="false">IF(C656="","",IF(LEN(SUBSTITUTE(SUBSTITUTE(SUBSTITUTE(SUBSTITUTE(TRIM(C656),"*",""),".",""),"-","")," ",""))=11,MID(SUBSTITUTE(SUBSTITUTE(SUBSTITUTE(SUBSTITUTE(TRIM(C656),"*",""),".",""),"-","")," ",""),4,6),SUBSTITUTE(SUBSTITUTE(SUBSTITUTE(SUBSTITUTE(TRIM(C656),"*",""),".",""),"-","")," ","")))</f>
        <v/>
      </c>
      <c r="J656" s="28" t="str">
        <f aca="false">IF(OR(H656="",I656=""),"",H656&amp;"|"&amp;I656)</f>
        <v/>
      </c>
      <c r="K656" s="19" t="str">
        <f aca="false">IF(H656="","",IF(AND(J656&lt;&gt;"",COUNTIF(Pessoas!$J:$J,J656)&gt;0),"SIM",IF(COUNTIF(Pessoas!$H:$H,H656)&gt;0,"nome igual em Pessoas: confira o CPF","")))</f>
        <v/>
      </c>
      <c r="L656" s="27"/>
      <c r="M656" s="5"/>
    </row>
    <row r="657" customFormat="false" ht="15" hidden="false" customHeight="false" outlineLevel="0" collapsed="false">
      <c r="A657" s="27"/>
      <c r="B657" s="5"/>
      <c r="C657" s="27"/>
      <c r="D657" s="18"/>
      <c r="E657" s="14"/>
      <c r="F657" s="18"/>
      <c r="G657" s="19" t="str">
        <f aca="false">IF(A657="","",IFERROR(INDEX(Empresas!$B:$B,MATCH(A657,Empresas!$A:$A,0))&amp;"","cadastre o CNPJ em Empresas"))</f>
        <v/>
      </c>
      <c r="H657" s="28" t="str">
        <f aca="false">IF(B657="","",SUBSTITUTE(SUBSTITUTE(SUBSTITUTE(SUBSTITUTE(SUBSTITUTE(SUBSTITUTE(SUBSTITUTE(SUBSTITUTE(SUBSTITUTE(SUBSTITUTE(SUBSTITUTE(SUBSTITUTE(SUBSTITUTE(UPPER(TRIM(B657)),"Á","A"),"À","A"),"Â","A"),"Ã","A"),"É","E"),"Ê","E"),"Í","I"),"Ó","O"),"Ô","O"),"Õ","O"),"Ú","U"),"Ü","U"),"Ç","C"))</f>
        <v/>
      </c>
      <c r="I657" s="28" t="str">
        <f aca="false">IF(C657="","",IF(LEN(SUBSTITUTE(SUBSTITUTE(SUBSTITUTE(SUBSTITUTE(TRIM(C657),"*",""),".",""),"-","")," ",""))=11,MID(SUBSTITUTE(SUBSTITUTE(SUBSTITUTE(SUBSTITUTE(TRIM(C657),"*",""),".",""),"-","")," ",""),4,6),SUBSTITUTE(SUBSTITUTE(SUBSTITUTE(SUBSTITUTE(TRIM(C657),"*",""),".",""),"-","")," ","")))</f>
        <v/>
      </c>
      <c r="J657" s="28" t="str">
        <f aca="false">IF(OR(H657="",I657=""),"",H657&amp;"|"&amp;I657)</f>
        <v/>
      </c>
      <c r="K657" s="19" t="str">
        <f aca="false">IF(H657="","",IF(AND(J657&lt;&gt;"",COUNTIF(Pessoas!$J:$J,J657)&gt;0),"SIM",IF(COUNTIF(Pessoas!$H:$H,H657)&gt;0,"nome igual em Pessoas: confira o CPF","")))</f>
        <v/>
      </c>
      <c r="L657" s="27"/>
      <c r="M657" s="5"/>
    </row>
    <row r="658" customFormat="false" ht="15" hidden="false" customHeight="false" outlineLevel="0" collapsed="false">
      <c r="A658" s="27"/>
      <c r="B658" s="5"/>
      <c r="C658" s="27"/>
      <c r="D658" s="18"/>
      <c r="E658" s="14"/>
      <c r="F658" s="18"/>
      <c r="G658" s="19" t="str">
        <f aca="false">IF(A658="","",IFERROR(INDEX(Empresas!$B:$B,MATCH(A658,Empresas!$A:$A,0))&amp;"","cadastre o CNPJ em Empresas"))</f>
        <v/>
      </c>
      <c r="H658" s="28" t="str">
        <f aca="false">IF(B658="","",SUBSTITUTE(SUBSTITUTE(SUBSTITUTE(SUBSTITUTE(SUBSTITUTE(SUBSTITUTE(SUBSTITUTE(SUBSTITUTE(SUBSTITUTE(SUBSTITUTE(SUBSTITUTE(SUBSTITUTE(SUBSTITUTE(UPPER(TRIM(B658)),"Á","A"),"À","A"),"Â","A"),"Ã","A"),"É","E"),"Ê","E"),"Í","I"),"Ó","O"),"Ô","O"),"Õ","O"),"Ú","U"),"Ü","U"),"Ç","C"))</f>
        <v/>
      </c>
      <c r="I658" s="28" t="str">
        <f aca="false">IF(C658="","",IF(LEN(SUBSTITUTE(SUBSTITUTE(SUBSTITUTE(SUBSTITUTE(TRIM(C658),"*",""),".",""),"-","")," ",""))=11,MID(SUBSTITUTE(SUBSTITUTE(SUBSTITUTE(SUBSTITUTE(TRIM(C658),"*",""),".",""),"-","")," ",""),4,6),SUBSTITUTE(SUBSTITUTE(SUBSTITUTE(SUBSTITUTE(TRIM(C658),"*",""),".",""),"-","")," ","")))</f>
        <v/>
      </c>
      <c r="J658" s="28" t="str">
        <f aca="false">IF(OR(H658="",I658=""),"",H658&amp;"|"&amp;I658)</f>
        <v/>
      </c>
      <c r="K658" s="19" t="str">
        <f aca="false">IF(H658="","",IF(AND(J658&lt;&gt;"",COUNTIF(Pessoas!$J:$J,J658)&gt;0),"SIM",IF(COUNTIF(Pessoas!$H:$H,H658)&gt;0,"nome igual em Pessoas: confira o CPF","")))</f>
        <v/>
      </c>
      <c r="L658" s="27"/>
      <c r="M658" s="5"/>
    </row>
    <row r="659" customFormat="false" ht="15" hidden="false" customHeight="false" outlineLevel="0" collapsed="false">
      <c r="A659" s="27"/>
      <c r="B659" s="5"/>
      <c r="C659" s="27"/>
      <c r="D659" s="18"/>
      <c r="E659" s="14"/>
      <c r="F659" s="18"/>
      <c r="G659" s="19" t="str">
        <f aca="false">IF(A659="","",IFERROR(INDEX(Empresas!$B:$B,MATCH(A659,Empresas!$A:$A,0))&amp;"","cadastre o CNPJ em Empresas"))</f>
        <v/>
      </c>
      <c r="H659" s="28" t="str">
        <f aca="false">IF(B659="","",SUBSTITUTE(SUBSTITUTE(SUBSTITUTE(SUBSTITUTE(SUBSTITUTE(SUBSTITUTE(SUBSTITUTE(SUBSTITUTE(SUBSTITUTE(SUBSTITUTE(SUBSTITUTE(SUBSTITUTE(SUBSTITUTE(UPPER(TRIM(B659)),"Á","A"),"À","A"),"Â","A"),"Ã","A"),"É","E"),"Ê","E"),"Í","I"),"Ó","O"),"Ô","O"),"Õ","O"),"Ú","U"),"Ü","U"),"Ç","C"))</f>
        <v/>
      </c>
      <c r="I659" s="28" t="str">
        <f aca="false">IF(C659="","",IF(LEN(SUBSTITUTE(SUBSTITUTE(SUBSTITUTE(SUBSTITUTE(TRIM(C659),"*",""),".",""),"-","")," ",""))=11,MID(SUBSTITUTE(SUBSTITUTE(SUBSTITUTE(SUBSTITUTE(TRIM(C659),"*",""),".",""),"-","")," ",""),4,6),SUBSTITUTE(SUBSTITUTE(SUBSTITUTE(SUBSTITUTE(TRIM(C659),"*",""),".",""),"-","")," ","")))</f>
        <v/>
      </c>
      <c r="J659" s="28" t="str">
        <f aca="false">IF(OR(H659="",I659=""),"",H659&amp;"|"&amp;I659)</f>
        <v/>
      </c>
      <c r="K659" s="19" t="str">
        <f aca="false">IF(H659="","",IF(AND(J659&lt;&gt;"",COUNTIF(Pessoas!$J:$J,J659)&gt;0),"SIM",IF(COUNTIF(Pessoas!$H:$H,H659)&gt;0,"nome igual em Pessoas: confira o CPF","")))</f>
        <v/>
      </c>
      <c r="L659" s="27"/>
      <c r="M659" s="5"/>
    </row>
    <row r="660" customFormat="false" ht="15" hidden="false" customHeight="false" outlineLevel="0" collapsed="false">
      <c r="A660" s="27"/>
      <c r="B660" s="5"/>
      <c r="C660" s="27"/>
      <c r="D660" s="18"/>
      <c r="E660" s="14"/>
      <c r="F660" s="18"/>
      <c r="G660" s="19" t="str">
        <f aca="false">IF(A660="","",IFERROR(INDEX(Empresas!$B:$B,MATCH(A660,Empresas!$A:$A,0))&amp;"","cadastre o CNPJ em Empresas"))</f>
        <v/>
      </c>
      <c r="H660" s="28" t="str">
        <f aca="false">IF(B660="","",SUBSTITUTE(SUBSTITUTE(SUBSTITUTE(SUBSTITUTE(SUBSTITUTE(SUBSTITUTE(SUBSTITUTE(SUBSTITUTE(SUBSTITUTE(SUBSTITUTE(SUBSTITUTE(SUBSTITUTE(SUBSTITUTE(UPPER(TRIM(B660)),"Á","A"),"À","A"),"Â","A"),"Ã","A"),"É","E"),"Ê","E"),"Í","I"),"Ó","O"),"Ô","O"),"Õ","O"),"Ú","U"),"Ü","U"),"Ç","C"))</f>
        <v/>
      </c>
      <c r="I660" s="28" t="str">
        <f aca="false">IF(C660="","",IF(LEN(SUBSTITUTE(SUBSTITUTE(SUBSTITUTE(SUBSTITUTE(TRIM(C660),"*",""),".",""),"-","")," ",""))=11,MID(SUBSTITUTE(SUBSTITUTE(SUBSTITUTE(SUBSTITUTE(TRIM(C660),"*",""),".",""),"-","")," ",""),4,6),SUBSTITUTE(SUBSTITUTE(SUBSTITUTE(SUBSTITUTE(TRIM(C660),"*",""),".",""),"-","")," ","")))</f>
        <v/>
      </c>
      <c r="J660" s="28" t="str">
        <f aca="false">IF(OR(H660="",I660=""),"",H660&amp;"|"&amp;I660)</f>
        <v/>
      </c>
      <c r="K660" s="19" t="str">
        <f aca="false">IF(H660="","",IF(AND(J660&lt;&gt;"",COUNTIF(Pessoas!$J:$J,J660)&gt;0),"SIM",IF(COUNTIF(Pessoas!$H:$H,H660)&gt;0,"nome igual em Pessoas: confira o CPF","")))</f>
        <v/>
      </c>
      <c r="L660" s="27"/>
      <c r="M660" s="5"/>
    </row>
    <row r="661" customFormat="false" ht="15" hidden="false" customHeight="false" outlineLevel="0" collapsed="false">
      <c r="A661" s="27"/>
      <c r="B661" s="5"/>
      <c r="C661" s="27"/>
      <c r="D661" s="18"/>
      <c r="E661" s="14"/>
      <c r="F661" s="18"/>
      <c r="G661" s="19" t="str">
        <f aca="false">IF(A661="","",IFERROR(INDEX(Empresas!$B:$B,MATCH(A661,Empresas!$A:$A,0))&amp;"","cadastre o CNPJ em Empresas"))</f>
        <v/>
      </c>
      <c r="H661" s="28" t="str">
        <f aca="false">IF(B661="","",SUBSTITUTE(SUBSTITUTE(SUBSTITUTE(SUBSTITUTE(SUBSTITUTE(SUBSTITUTE(SUBSTITUTE(SUBSTITUTE(SUBSTITUTE(SUBSTITUTE(SUBSTITUTE(SUBSTITUTE(SUBSTITUTE(UPPER(TRIM(B661)),"Á","A"),"À","A"),"Â","A"),"Ã","A"),"É","E"),"Ê","E"),"Í","I"),"Ó","O"),"Ô","O"),"Õ","O"),"Ú","U"),"Ü","U"),"Ç","C"))</f>
        <v/>
      </c>
      <c r="I661" s="28" t="str">
        <f aca="false">IF(C661="","",IF(LEN(SUBSTITUTE(SUBSTITUTE(SUBSTITUTE(SUBSTITUTE(TRIM(C661),"*",""),".",""),"-","")," ",""))=11,MID(SUBSTITUTE(SUBSTITUTE(SUBSTITUTE(SUBSTITUTE(TRIM(C661),"*",""),".",""),"-","")," ",""),4,6),SUBSTITUTE(SUBSTITUTE(SUBSTITUTE(SUBSTITUTE(TRIM(C661),"*",""),".",""),"-","")," ","")))</f>
        <v/>
      </c>
      <c r="J661" s="28" t="str">
        <f aca="false">IF(OR(H661="",I661=""),"",H661&amp;"|"&amp;I661)</f>
        <v/>
      </c>
      <c r="K661" s="19" t="str">
        <f aca="false">IF(H661="","",IF(AND(J661&lt;&gt;"",COUNTIF(Pessoas!$J:$J,J661)&gt;0),"SIM",IF(COUNTIF(Pessoas!$H:$H,H661)&gt;0,"nome igual em Pessoas: confira o CPF","")))</f>
        <v/>
      </c>
      <c r="L661" s="27"/>
      <c r="M661" s="5"/>
    </row>
    <row r="662" customFormat="false" ht="15" hidden="false" customHeight="false" outlineLevel="0" collapsed="false">
      <c r="A662" s="27"/>
      <c r="B662" s="5"/>
      <c r="C662" s="27"/>
      <c r="D662" s="18"/>
      <c r="E662" s="14"/>
      <c r="F662" s="18"/>
      <c r="G662" s="19" t="str">
        <f aca="false">IF(A662="","",IFERROR(INDEX(Empresas!$B:$B,MATCH(A662,Empresas!$A:$A,0))&amp;"","cadastre o CNPJ em Empresas"))</f>
        <v/>
      </c>
      <c r="H662" s="28" t="str">
        <f aca="false">IF(B662="","",SUBSTITUTE(SUBSTITUTE(SUBSTITUTE(SUBSTITUTE(SUBSTITUTE(SUBSTITUTE(SUBSTITUTE(SUBSTITUTE(SUBSTITUTE(SUBSTITUTE(SUBSTITUTE(SUBSTITUTE(SUBSTITUTE(UPPER(TRIM(B662)),"Á","A"),"À","A"),"Â","A"),"Ã","A"),"É","E"),"Ê","E"),"Í","I"),"Ó","O"),"Ô","O"),"Õ","O"),"Ú","U"),"Ü","U"),"Ç","C"))</f>
        <v/>
      </c>
      <c r="I662" s="28" t="str">
        <f aca="false">IF(C662="","",IF(LEN(SUBSTITUTE(SUBSTITUTE(SUBSTITUTE(SUBSTITUTE(TRIM(C662),"*",""),".",""),"-","")," ",""))=11,MID(SUBSTITUTE(SUBSTITUTE(SUBSTITUTE(SUBSTITUTE(TRIM(C662),"*",""),".",""),"-","")," ",""),4,6),SUBSTITUTE(SUBSTITUTE(SUBSTITUTE(SUBSTITUTE(TRIM(C662),"*",""),".",""),"-","")," ","")))</f>
        <v/>
      </c>
      <c r="J662" s="28" t="str">
        <f aca="false">IF(OR(H662="",I662=""),"",H662&amp;"|"&amp;I662)</f>
        <v/>
      </c>
      <c r="K662" s="19" t="str">
        <f aca="false">IF(H662="","",IF(AND(J662&lt;&gt;"",COUNTIF(Pessoas!$J:$J,J662)&gt;0),"SIM",IF(COUNTIF(Pessoas!$H:$H,H662)&gt;0,"nome igual em Pessoas: confira o CPF","")))</f>
        <v/>
      </c>
      <c r="L662" s="27"/>
      <c r="M662" s="5"/>
    </row>
    <row r="663" customFormat="false" ht="15" hidden="false" customHeight="false" outlineLevel="0" collapsed="false">
      <c r="A663" s="27"/>
      <c r="B663" s="5"/>
      <c r="C663" s="27"/>
      <c r="D663" s="18"/>
      <c r="E663" s="14"/>
      <c r="F663" s="18"/>
      <c r="G663" s="19" t="str">
        <f aca="false">IF(A663="","",IFERROR(INDEX(Empresas!$B:$B,MATCH(A663,Empresas!$A:$A,0))&amp;"","cadastre o CNPJ em Empresas"))</f>
        <v/>
      </c>
      <c r="H663" s="28" t="str">
        <f aca="false">IF(B663="","",SUBSTITUTE(SUBSTITUTE(SUBSTITUTE(SUBSTITUTE(SUBSTITUTE(SUBSTITUTE(SUBSTITUTE(SUBSTITUTE(SUBSTITUTE(SUBSTITUTE(SUBSTITUTE(SUBSTITUTE(SUBSTITUTE(UPPER(TRIM(B663)),"Á","A"),"À","A"),"Â","A"),"Ã","A"),"É","E"),"Ê","E"),"Í","I"),"Ó","O"),"Ô","O"),"Õ","O"),"Ú","U"),"Ü","U"),"Ç","C"))</f>
        <v/>
      </c>
      <c r="I663" s="28" t="str">
        <f aca="false">IF(C663="","",IF(LEN(SUBSTITUTE(SUBSTITUTE(SUBSTITUTE(SUBSTITUTE(TRIM(C663),"*",""),".",""),"-","")," ",""))=11,MID(SUBSTITUTE(SUBSTITUTE(SUBSTITUTE(SUBSTITUTE(TRIM(C663),"*",""),".",""),"-","")," ",""),4,6),SUBSTITUTE(SUBSTITUTE(SUBSTITUTE(SUBSTITUTE(TRIM(C663),"*",""),".",""),"-","")," ","")))</f>
        <v/>
      </c>
      <c r="J663" s="28" t="str">
        <f aca="false">IF(OR(H663="",I663=""),"",H663&amp;"|"&amp;I663)</f>
        <v/>
      </c>
      <c r="K663" s="19" t="str">
        <f aca="false">IF(H663="","",IF(AND(J663&lt;&gt;"",COUNTIF(Pessoas!$J:$J,J663)&gt;0),"SIM",IF(COUNTIF(Pessoas!$H:$H,H663)&gt;0,"nome igual em Pessoas: confira o CPF","")))</f>
        <v/>
      </c>
      <c r="L663" s="27"/>
      <c r="M663" s="5"/>
    </row>
    <row r="664" customFormat="false" ht="15" hidden="false" customHeight="false" outlineLevel="0" collapsed="false">
      <c r="A664" s="27"/>
      <c r="B664" s="5"/>
      <c r="C664" s="27"/>
      <c r="D664" s="18"/>
      <c r="E664" s="14"/>
      <c r="F664" s="18"/>
      <c r="G664" s="19" t="str">
        <f aca="false">IF(A664="","",IFERROR(INDEX(Empresas!$B:$B,MATCH(A664,Empresas!$A:$A,0))&amp;"","cadastre o CNPJ em Empresas"))</f>
        <v/>
      </c>
      <c r="H664" s="28" t="str">
        <f aca="false">IF(B664="","",SUBSTITUTE(SUBSTITUTE(SUBSTITUTE(SUBSTITUTE(SUBSTITUTE(SUBSTITUTE(SUBSTITUTE(SUBSTITUTE(SUBSTITUTE(SUBSTITUTE(SUBSTITUTE(SUBSTITUTE(SUBSTITUTE(UPPER(TRIM(B664)),"Á","A"),"À","A"),"Â","A"),"Ã","A"),"É","E"),"Ê","E"),"Í","I"),"Ó","O"),"Ô","O"),"Õ","O"),"Ú","U"),"Ü","U"),"Ç","C"))</f>
        <v/>
      </c>
      <c r="I664" s="28" t="str">
        <f aca="false">IF(C664="","",IF(LEN(SUBSTITUTE(SUBSTITUTE(SUBSTITUTE(SUBSTITUTE(TRIM(C664),"*",""),".",""),"-","")," ",""))=11,MID(SUBSTITUTE(SUBSTITUTE(SUBSTITUTE(SUBSTITUTE(TRIM(C664),"*",""),".",""),"-","")," ",""),4,6),SUBSTITUTE(SUBSTITUTE(SUBSTITUTE(SUBSTITUTE(TRIM(C664),"*",""),".",""),"-","")," ","")))</f>
        <v/>
      </c>
      <c r="J664" s="28" t="str">
        <f aca="false">IF(OR(H664="",I664=""),"",H664&amp;"|"&amp;I664)</f>
        <v/>
      </c>
      <c r="K664" s="19" t="str">
        <f aca="false">IF(H664="","",IF(AND(J664&lt;&gt;"",COUNTIF(Pessoas!$J:$J,J664)&gt;0),"SIM",IF(COUNTIF(Pessoas!$H:$H,H664)&gt;0,"nome igual em Pessoas: confira o CPF","")))</f>
        <v/>
      </c>
      <c r="L664" s="27"/>
      <c r="M664" s="5"/>
    </row>
    <row r="665" customFormat="false" ht="15" hidden="false" customHeight="false" outlineLevel="0" collapsed="false">
      <c r="A665" s="27"/>
      <c r="B665" s="5"/>
      <c r="C665" s="27"/>
      <c r="D665" s="18"/>
      <c r="E665" s="14"/>
      <c r="F665" s="18"/>
      <c r="G665" s="19" t="str">
        <f aca="false">IF(A665="","",IFERROR(INDEX(Empresas!$B:$B,MATCH(A665,Empresas!$A:$A,0))&amp;"","cadastre o CNPJ em Empresas"))</f>
        <v/>
      </c>
      <c r="H665" s="28" t="str">
        <f aca="false">IF(B665="","",SUBSTITUTE(SUBSTITUTE(SUBSTITUTE(SUBSTITUTE(SUBSTITUTE(SUBSTITUTE(SUBSTITUTE(SUBSTITUTE(SUBSTITUTE(SUBSTITUTE(SUBSTITUTE(SUBSTITUTE(SUBSTITUTE(UPPER(TRIM(B665)),"Á","A"),"À","A"),"Â","A"),"Ã","A"),"É","E"),"Ê","E"),"Í","I"),"Ó","O"),"Ô","O"),"Õ","O"),"Ú","U"),"Ü","U"),"Ç","C"))</f>
        <v/>
      </c>
      <c r="I665" s="28" t="str">
        <f aca="false">IF(C665="","",IF(LEN(SUBSTITUTE(SUBSTITUTE(SUBSTITUTE(SUBSTITUTE(TRIM(C665),"*",""),".",""),"-","")," ",""))=11,MID(SUBSTITUTE(SUBSTITUTE(SUBSTITUTE(SUBSTITUTE(TRIM(C665),"*",""),".",""),"-","")," ",""),4,6),SUBSTITUTE(SUBSTITUTE(SUBSTITUTE(SUBSTITUTE(TRIM(C665),"*",""),".",""),"-","")," ","")))</f>
        <v/>
      </c>
      <c r="J665" s="28" t="str">
        <f aca="false">IF(OR(H665="",I665=""),"",H665&amp;"|"&amp;I665)</f>
        <v/>
      </c>
      <c r="K665" s="19" t="str">
        <f aca="false">IF(H665="","",IF(AND(J665&lt;&gt;"",COUNTIF(Pessoas!$J:$J,J665)&gt;0),"SIM",IF(COUNTIF(Pessoas!$H:$H,H665)&gt;0,"nome igual em Pessoas: confira o CPF","")))</f>
        <v/>
      </c>
      <c r="L665" s="27"/>
      <c r="M665" s="5"/>
    </row>
    <row r="666" customFormat="false" ht="15" hidden="false" customHeight="false" outlineLevel="0" collapsed="false">
      <c r="A666" s="27"/>
      <c r="B666" s="5"/>
      <c r="C666" s="27"/>
      <c r="D666" s="18"/>
      <c r="E666" s="14"/>
      <c r="F666" s="18"/>
      <c r="G666" s="19" t="str">
        <f aca="false">IF(A666="","",IFERROR(INDEX(Empresas!$B:$B,MATCH(A666,Empresas!$A:$A,0))&amp;"","cadastre o CNPJ em Empresas"))</f>
        <v/>
      </c>
      <c r="H666" s="28" t="str">
        <f aca="false">IF(B666="","",SUBSTITUTE(SUBSTITUTE(SUBSTITUTE(SUBSTITUTE(SUBSTITUTE(SUBSTITUTE(SUBSTITUTE(SUBSTITUTE(SUBSTITUTE(SUBSTITUTE(SUBSTITUTE(SUBSTITUTE(SUBSTITUTE(UPPER(TRIM(B666)),"Á","A"),"À","A"),"Â","A"),"Ã","A"),"É","E"),"Ê","E"),"Í","I"),"Ó","O"),"Ô","O"),"Õ","O"),"Ú","U"),"Ü","U"),"Ç","C"))</f>
        <v/>
      </c>
      <c r="I666" s="28" t="str">
        <f aca="false">IF(C666="","",IF(LEN(SUBSTITUTE(SUBSTITUTE(SUBSTITUTE(SUBSTITUTE(TRIM(C666),"*",""),".",""),"-","")," ",""))=11,MID(SUBSTITUTE(SUBSTITUTE(SUBSTITUTE(SUBSTITUTE(TRIM(C666),"*",""),".",""),"-","")," ",""),4,6),SUBSTITUTE(SUBSTITUTE(SUBSTITUTE(SUBSTITUTE(TRIM(C666),"*",""),".",""),"-","")," ","")))</f>
        <v/>
      </c>
      <c r="J666" s="28" t="str">
        <f aca="false">IF(OR(H666="",I666=""),"",H666&amp;"|"&amp;I666)</f>
        <v/>
      </c>
      <c r="K666" s="19" t="str">
        <f aca="false">IF(H666="","",IF(AND(J666&lt;&gt;"",COUNTIF(Pessoas!$J:$J,J666)&gt;0),"SIM",IF(COUNTIF(Pessoas!$H:$H,H666)&gt;0,"nome igual em Pessoas: confira o CPF","")))</f>
        <v/>
      </c>
      <c r="L666" s="27"/>
      <c r="M666" s="5"/>
    </row>
    <row r="667" customFormat="false" ht="15" hidden="false" customHeight="false" outlineLevel="0" collapsed="false">
      <c r="A667" s="27"/>
      <c r="B667" s="5"/>
      <c r="C667" s="27"/>
      <c r="D667" s="18"/>
      <c r="E667" s="14"/>
      <c r="F667" s="18"/>
      <c r="G667" s="19" t="str">
        <f aca="false">IF(A667="","",IFERROR(INDEX(Empresas!$B:$B,MATCH(A667,Empresas!$A:$A,0))&amp;"","cadastre o CNPJ em Empresas"))</f>
        <v/>
      </c>
      <c r="H667" s="28" t="str">
        <f aca="false">IF(B667="","",SUBSTITUTE(SUBSTITUTE(SUBSTITUTE(SUBSTITUTE(SUBSTITUTE(SUBSTITUTE(SUBSTITUTE(SUBSTITUTE(SUBSTITUTE(SUBSTITUTE(SUBSTITUTE(SUBSTITUTE(SUBSTITUTE(UPPER(TRIM(B667)),"Á","A"),"À","A"),"Â","A"),"Ã","A"),"É","E"),"Ê","E"),"Í","I"),"Ó","O"),"Ô","O"),"Õ","O"),"Ú","U"),"Ü","U"),"Ç","C"))</f>
        <v/>
      </c>
      <c r="I667" s="28" t="str">
        <f aca="false">IF(C667="","",IF(LEN(SUBSTITUTE(SUBSTITUTE(SUBSTITUTE(SUBSTITUTE(TRIM(C667),"*",""),".",""),"-","")," ",""))=11,MID(SUBSTITUTE(SUBSTITUTE(SUBSTITUTE(SUBSTITUTE(TRIM(C667),"*",""),".",""),"-","")," ",""),4,6),SUBSTITUTE(SUBSTITUTE(SUBSTITUTE(SUBSTITUTE(TRIM(C667),"*",""),".",""),"-","")," ","")))</f>
        <v/>
      </c>
      <c r="J667" s="28" t="str">
        <f aca="false">IF(OR(H667="",I667=""),"",H667&amp;"|"&amp;I667)</f>
        <v/>
      </c>
      <c r="K667" s="19" t="str">
        <f aca="false">IF(H667="","",IF(AND(J667&lt;&gt;"",COUNTIF(Pessoas!$J:$J,J667)&gt;0),"SIM",IF(COUNTIF(Pessoas!$H:$H,H667)&gt;0,"nome igual em Pessoas: confira o CPF","")))</f>
        <v/>
      </c>
      <c r="L667" s="27"/>
      <c r="M667" s="5"/>
    </row>
    <row r="668" customFormat="false" ht="15" hidden="false" customHeight="false" outlineLevel="0" collapsed="false">
      <c r="A668" s="27"/>
      <c r="B668" s="5"/>
      <c r="C668" s="27"/>
      <c r="D668" s="18"/>
      <c r="E668" s="14"/>
      <c r="F668" s="18"/>
      <c r="G668" s="19" t="str">
        <f aca="false">IF(A668="","",IFERROR(INDEX(Empresas!$B:$B,MATCH(A668,Empresas!$A:$A,0))&amp;"","cadastre o CNPJ em Empresas"))</f>
        <v/>
      </c>
      <c r="H668" s="28" t="str">
        <f aca="false">IF(B668="","",SUBSTITUTE(SUBSTITUTE(SUBSTITUTE(SUBSTITUTE(SUBSTITUTE(SUBSTITUTE(SUBSTITUTE(SUBSTITUTE(SUBSTITUTE(SUBSTITUTE(SUBSTITUTE(SUBSTITUTE(SUBSTITUTE(UPPER(TRIM(B668)),"Á","A"),"À","A"),"Â","A"),"Ã","A"),"É","E"),"Ê","E"),"Í","I"),"Ó","O"),"Ô","O"),"Õ","O"),"Ú","U"),"Ü","U"),"Ç","C"))</f>
        <v/>
      </c>
      <c r="I668" s="28" t="str">
        <f aca="false">IF(C668="","",IF(LEN(SUBSTITUTE(SUBSTITUTE(SUBSTITUTE(SUBSTITUTE(TRIM(C668),"*",""),".",""),"-","")," ",""))=11,MID(SUBSTITUTE(SUBSTITUTE(SUBSTITUTE(SUBSTITUTE(TRIM(C668),"*",""),".",""),"-","")," ",""),4,6),SUBSTITUTE(SUBSTITUTE(SUBSTITUTE(SUBSTITUTE(TRIM(C668),"*",""),".",""),"-","")," ","")))</f>
        <v/>
      </c>
      <c r="J668" s="28" t="str">
        <f aca="false">IF(OR(H668="",I668=""),"",H668&amp;"|"&amp;I668)</f>
        <v/>
      </c>
      <c r="K668" s="19" t="str">
        <f aca="false">IF(H668="","",IF(AND(J668&lt;&gt;"",COUNTIF(Pessoas!$J:$J,J668)&gt;0),"SIM",IF(COUNTIF(Pessoas!$H:$H,H668)&gt;0,"nome igual em Pessoas: confira o CPF","")))</f>
        <v/>
      </c>
      <c r="L668" s="27"/>
      <c r="M668" s="5"/>
    </row>
    <row r="669" customFormat="false" ht="15" hidden="false" customHeight="false" outlineLevel="0" collapsed="false">
      <c r="A669" s="27"/>
      <c r="B669" s="5"/>
      <c r="C669" s="27"/>
      <c r="D669" s="18"/>
      <c r="E669" s="14"/>
      <c r="F669" s="18"/>
      <c r="G669" s="19" t="str">
        <f aca="false">IF(A669="","",IFERROR(INDEX(Empresas!$B:$B,MATCH(A669,Empresas!$A:$A,0))&amp;"","cadastre o CNPJ em Empresas"))</f>
        <v/>
      </c>
      <c r="H669" s="28" t="str">
        <f aca="false">IF(B669="","",SUBSTITUTE(SUBSTITUTE(SUBSTITUTE(SUBSTITUTE(SUBSTITUTE(SUBSTITUTE(SUBSTITUTE(SUBSTITUTE(SUBSTITUTE(SUBSTITUTE(SUBSTITUTE(SUBSTITUTE(SUBSTITUTE(UPPER(TRIM(B669)),"Á","A"),"À","A"),"Â","A"),"Ã","A"),"É","E"),"Ê","E"),"Í","I"),"Ó","O"),"Ô","O"),"Õ","O"),"Ú","U"),"Ü","U"),"Ç","C"))</f>
        <v/>
      </c>
      <c r="I669" s="28" t="str">
        <f aca="false">IF(C669="","",IF(LEN(SUBSTITUTE(SUBSTITUTE(SUBSTITUTE(SUBSTITUTE(TRIM(C669),"*",""),".",""),"-","")," ",""))=11,MID(SUBSTITUTE(SUBSTITUTE(SUBSTITUTE(SUBSTITUTE(TRIM(C669),"*",""),".",""),"-","")," ",""),4,6),SUBSTITUTE(SUBSTITUTE(SUBSTITUTE(SUBSTITUTE(TRIM(C669),"*",""),".",""),"-","")," ","")))</f>
        <v/>
      </c>
      <c r="J669" s="28" t="str">
        <f aca="false">IF(OR(H669="",I669=""),"",H669&amp;"|"&amp;I669)</f>
        <v/>
      </c>
      <c r="K669" s="19" t="str">
        <f aca="false">IF(H669="","",IF(AND(J669&lt;&gt;"",COUNTIF(Pessoas!$J:$J,J669)&gt;0),"SIM",IF(COUNTIF(Pessoas!$H:$H,H669)&gt;0,"nome igual em Pessoas: confira o CPF","")))</f>
        <v/>
      </c>
      <c r="L669" s="27"/>
      <c r="M669" s="5"/>
    </row>
    <row r="670" customFormat="false" ht="15" hidden="false" customHeight="false" outlineLevel="0" collapsed="false">
      <c r="A670" s="27"/>
      <c r="B670" s="5"/>
      <c r="C670" s="27"/>
      <c r="D670" s="18"/>
      <c r="E670" s="14"/>
      <c r="F670" s="18"/>
      <c r="G670" s="19" t="str">
        <f aca="false">IF(A670="","",IFERROR(INDEX(Empresas!$B:$B,MATCH(A670,Empresas!$A:$A,0))&amp;"","cadastre o CNPJ em Empresas"))</f>
        <v/>
      </c>
      <c r="H670" s="28" t="str">
        <f aca="false">IF(B670="","",SUBSTITUTE(SUBSTITUTE(SUBSTITUTE(SUBSTITUTE(SUBSTITUTE(SUBSTITUTE(SUBSTITUTE(SUBSTITUTE(SUBSTITUTE(SUBSTITUTE(SUBSTITUTE(SUBSTITUTE(SUBSTITUTE(UPPER(TRIM(B670)),"Á","A"),"À","A"),"Â","A"),"Ã","A"),"É","E"),"Ê","E"),"Í","I"),"Ó","O"),"Ô","O"),"Õ","O"),"Ú","U"),"Ü","U"),"Ç","C"))</f>
        <v/>
      </c>
      <c r="I670" s="28" t="str">
        <f aca="false">IF(C670="","",IF(LEN(SUBSTITUTE(SUBSTITUTE(SUBSTITUTE(SUBSTITUTE(TRIM(C670),"*",""),".",""),"-","")," ",""))=11,MID(SUBSTITUTE(SUBSTITUTE(SUBSTITUTE(SUBSTITUTE(TRIM(C670),"*",""),".",""),"-","")," ",""),4,6),SUBSTITUTE(SUBSTITUTE(SUBSTITUTE(SUBSTITUTE(TRIM(C670),"*",""),".",""),"-","")," ","")))</f>
        <v/>
      </c>
      <c r="J670" s="28" t="str">
        <f aca="false">IF(OR(H670="",I670=""),"",H670&amp;"|"&amp;I670)</f>
        <v/>
      </c>
      <c r="K670" s="19" t="str">
        <f aca="false">IF(H670="","",IF(AND(J670&lt;&gt;"",COUNTIF(Pessoas!$J:$J,J670)&gt;0),"SIM",IF(COUNTIF(Pessoas!$H:$H,H670)&gt;0,"nome igual em Pessoas: confira o CPF","")))</f>
        <v/>
      </c>
      <c r="L670" s="27"/>
      <c r="M670" s="5"/>
    </row>
    <row r="671" customFormat="false" ht="15" hidden="false" customHeight="false" outlineLevel="0" collapsed="false">
      <c r="A671" s="27"/>
      <c r="B671" s="5"/>
      <c r="C671" s="27"/>
      <c r="D671" s="18"/>
      <c r="E671" s="14"/>
      <c r="F671" s="18"/>
      <c r="G671" s="19" t="str">
        <f aca="false">IF(A671="","",IFERROR(INDEX(Empresas!$B:$B,MATCH(A671,Empresas!$A:$A,0))&amp;"","cadastre o CNPJ em Empresas"))</f>
        <v/>
      </c>
      <c r="H671" s="28" t="str">
        <f aca="false">IF(B671="","",SUBSTITUTE(SUBSTITUTE(SUBSTITUTE(SUBSTITUTE(SUBSTITUTE(SUBSTITUTE(SUBSTITUTE(SUBSTITUTE(SUBSTITUTE(SUBSTITUTE(SUBSTITUTE(SUBSTITUTE(SUBSTITUTE(UPPER(TRIM(B671)),"Á","A"),"À","A"),"Â","A"),"Ã","A"),"É","E"),"Ê","E"),"Í","I"),"Ó","O"),"Ô","O"),"Õ","O"),"Ú","U"),"Ü","U"),"Ç","C"))</f>
        <v/>
      </c>
      <c r="I671" s="28" t="str">
        <f aca="false">IF(C671="","",IF(LEN(SUBSTITUTE(SUBSTITUTE(SUBSTITUTE(SUBSTITUTE(TRIM(C671),"*",""),".",""),"-","")," ",""))=11,MID(SUBSTITUTE(SUBSTITUTE(SUBSTITUTE(SUBSTITUTE(TRIM(C671),"*",""),".",""),"-","")," ",""),4,6),SUBSTITUTE(SUBSTITUTE(SUBSTITUTE(SUBSTITUTE(TRIM(C671),"*",""),".",""),"-","")," ","")))</f>
        <v/>
      </c>
      <c r="J671" s="28" t="str">
        <f aca="false">IF(OR(H671="",I671=""),"",H671&amp;"|"&amp;I671)</f>
        <v/>
      </c>
      <c r="K671" s="19" t="str">
        <f aca="false">IF(H671="","",IF(AND(J671&lt;&gt;"",COUNTIF(Pessoas!$J:$J,J671)&gt;0),"SIM",IF(COUNTIF(Pessoas!$H:$H,H671)&gt;0,"nome igual em Pessoas: confira o CPF","")))</f>
        <v/>
      </c>
      <c r="L671" s="27"/>
      <c r="M671" s="5"/>
    </row>
    <row r="672" customFormat="false" ht="15" hidden="false" customHeight="false" outlineLevel="0" collapsed="false">
      <c r="A672" s="27"/>
      <c r="B672" s="5"/>
      <c r="C672" s="27"/>
      <c r="D672" s="18"/>
      <c r="E672" s="14"/>
      <c r="F672" s="18"/>
      <c r="G672" s="19" t="str">
        <f aca="false">IF(A672="","",IFERROR(INDEX(Empresas!$B:$B,MATCH(A672,Empresas!$A:$A,0))&amp;"","cadastre o CNPJ em Empresas"))</f>
        <v/>
      </c>
      <c r="H672" s="28" t="str">
        <f aca="false">IF(B672="","",SUBSTITUTE(SUBSTITUTE(SUBSTITUTE(SUBSTITUTE(SUBSTITUTE(SUBSTITUTE(SUBSTITUTE(SUBSTITUTE(SUBSTITUTE(SUBSTITUTE(SUBSTITUTE(SUBSTITUTE(SUBSTITUTE(UPPER(TRIM(B672)),"Á","A"),"À","A"),"Â","A"),"Ã","A"),"É","E"),"Ê","E"),"Í","I"),"Ó","O"),"Ô","O"),"Õ","O"),"Ú","U"),"Ü","U"),"Ç","C"))</f>
        <v/>
      </c>
      <c r="I672" s="28" t="str">
        <f aca="false">IF(C672="","",IF(LEN(SUBSTITUTE(SUBSTITUTE(SUBSTITUTE(SUBSTITUTE(TRIM(C672),"*",""),".",""),"-","")," ",""))=11,MID(SUBSTITUTE(SUBSTITUTE(SUBSTITUTE(SUBSTITUTE(TRIM(C672),"*",""),".",""),"-","")," ",""),4,6),SUBSTITUTE(SUBSTITUTE(SUBSTITUTE(SUBSTITUTE(TRIM(C672),"*",""),".",""),"-","")," ","")))</f>
        <v/>
      </c>
      <c r="J672" s="28" t="str">
        <f aca="false">IF(OR(H672="",I672=""),"",H672&amp;"|"&amp;I672)</f>
        <v/>
      </c>
      <c r="K672" s="19" t="str">
        <f aca="false">IF(H672="","",IF(AND(J672&lt;&gt;"",COUNTIF(Pessoas!$J:$J,J672)&gt;0),"SIM",IF(COUNTIF(Pessoas!$H:$H,H672)&gt;0,"nome igual em Pessoas: confira o CPF","")))</f>
        <v/>
      </c>
      <c r="L672" s="27"/>
      <c r="M672" s="5"/>
    </row>
    <row r="673" customFormat="false" ht="15" hidden="false" customHeight="false" outlineLevel="0" collapsed="false">
      <c r="A673" s="27"/>
      <c r="B673" s="5"/>
      <c r="C673" s="27"/>
      <c r="D673" s="18"/>
      <c r="E673" s="14"/>
      <c r="F673" s="18"/>
      <c r="G673" s="19" t="str">
        <f aca="false">IF(A673="","",IFERROR(INDEX(Empresas!$B:$B,MATCH(A673,Empresas!$A:$A,0))&amp;"","cadastre o CNPJ em Empresas"))</f>
        <v/>
      </c>
      <c r="H673" s="28" t="str">
        <f aca="false">IF(B673="","",SUBSTITUTE(SUBSTITUTE(SUBSTITUTE(SUBSTITUTE(SUBSTITUTE(SUBSTITUTE(SUBSTITUTE(SUBSTITUTE(SUBSTITUTE(SUBSTITUTE(SUBSTITUTE(SUBSTITUTE(SUBSTITUTE(UPPER(TRIM(B673)),"Á","A"),"À","A"),"Â","A"),"Ã","A"),"É","E"),"Ê","E"),"Í","I"),"Ó","O"),"Ô","O"),"Õ","O"),"Ú","U"),"Ü","U"),"Ç","C"))</f>
        <v/>
      </c>
      <c r="I673" s="28" t="str">
        <f aca="false">IF(C673="","",IF(LEN(SUBSTITUTE(SUBSTITUTE(SUBSTITUTE(SUBSTITUTE(TRIM(C673),"*",""),".",""),"-","")," ",""))=11,MID(SUBSTITUTE(SUBSTITUTE(SUBSTITUTE(SUBSTITUTE(TRIM(C673),"*",""),".",""),"-","")," ",""),4,6),SUBSTITUTE(SUBSTITUTE(SUBSTITUTE(SUBSTITUTE(TRIM(C673),"*",""),".",""),"-","")," ","")))</f>
        <v/>
      </c>
      <c r="J673" s="28" t="str">
        <f aca="false">IF(OR(H673="",I673=""),"",H673&amp;"|"&amp;I673)</f>
        <v/>
      </c>
      <c r="K673" s="19" t="str">
        <f aca="false">IF(H673="","",IF(AND(J673&lt;&gt;"",COUNTIF(Pessoas!$J:$J,J673)&gt;0),"SIM",IF(COUNTIF(Pessoas!$H:$H,H673)&gt;0,"nome igual em Pessoas: confira o CPF","")))</f>
        <v/>
      </c>
      <c r="L673" s="27"/>
      <c r="M673" s="5"/>
    </row>
    <row r="674" customFormat="false" ht="15" hidden="false" customHeight="false" outlineLevel="0" collapsed="false">
      <c r="A674" s="27"/>
      <c r="B674" s="5"/>
      <c r="C674" s="27"/>
      <c r="D674" s="18"/>
      <c r="E674" s="14"/>
      <c r="F674" s="18"/>
      <c r="G674" s="19" t="str">
        <f aca="false">IF(A674="","",IFERROR(INDEX(Empresas!$B:$B,MATCH(A674,Empresas!$A:$A,0))&amp;"","cadastre o CNPJ em Empresas"))</f>
        <v/>
      </c>
      <c r="H674" s="28" t="str">
        <f aca="false">IF(B674="","",SUBSTITUTE(SUBSTITUTE(SUBSTITUTE(SUBSTITUTE(SUBSTITUTE(SUBSTITUTE(SUBSTITUTE(SUBSTITUTE(SUBSTITUTE(SUBSTITUTE(SUBSTITUTE(SUBSTITUTE(SUBSTITUTE(UPPER(TRIM(B674)),"Á","A"),"À","A"),"Â","A"),"Ã","A"),"É","E"),"Ê","E"),"Í","I"),"Ó","O"),"Ô","O"),"Õ","O"),"Ú","U"),"Ü","U"),"Ç","C"))</f>
        <v/>
      </c>
      <c r="I674" s="28" t="str">
        <f aca="false">IF(C674="","",IF(LEN(SUBSTITUTE(SUBSTITUTE(SUBSTITUTE(SUBSTITUTE(TRIM(C674),"*",""),".",""),"-","")," ",""))=11,MID(SUBSTITUTE(SUBSTITUTE(SUBSTITUTE(SUBSTITUTE(TRIM(C674),"*",""),".",""),"-","")," ",""),4,6),SUBSTITUTE(SUBSTITUTE(SUBSTITUTE(SUBSTITUTE(TRIM(C674),"*",""),".",""),"-","")," ","")))</f>
        <v/>
      </c>
      <c r="J674" s="28" t="str">
        <f aca="false">IF(OR(H674="",I674=""),"",H674&amp;"|"&amp;I674)</f>
        <v/>
      </c>
      <c r="K674" s="19" t="str">
        <f aca="false">IF(H674="","",IF(AND(J674&lt;&gt;"",COUNTIF(Pessoas!$J:$J,J674)&gt;0),"SIM",IF(COUNTIF(Pessoas!$H:$H,H674)&gt;0,"nome igual em Pessoas: confira o CPF","")))</f>
        <v/>
      </c>
      <c r="L674" s="27"/>
      <c r="M674" s="5"/>
    </row>
    <row r="675" customFormat="false" ht="15" hidden="false" customHeight="false" outlineLevel="0" collapsed="false">
      <c r="A675" s="27"/>
      <c r="B675" s="5"/>
      <c r="C675" s="27"/>
      <c r="D675" s="18"/>
      <c r="E675" s="14"/>
      <c r="F675" s="18"/>
      <c r="G675" s="19" t="str">
        <f aca="false">IF(A675="","",IFERROR(INDEX(Empresas!$B:$B,MATCH(A675,Empresas!$A:$A,0))&amp;"","cadastre o CNPJ em Empresas"))</f>
        <v/>
      </c>
      <c r="H675" s="28" t="str">
        <f aca="false">IF(B675="","",SUBSTITUTE(SUBSTITUTE(SUBSTITUTE(SUBSTITUTE(SUBSTITUTE(SUBSTITUTE(SUBSTITUTE(SUBSTITUTE(SUBSTITUTE(SUBSTITUTE(SUBSTITUTE(SUBSTITUTE(SUBSTITUTE(UPPER(TRIM(B675)),"Á","A"),"À","A"),"Â","A"),"Ã","A"),"É","E"),"Ê","E"),"Í","I"),"Ó","O"),"Ô","O"),"Õ","O"),"Ú","U"),"Ü","U"),"Ç","C"))</f>
        <v/>
      </c>
      <c r="I675" s="28" t="str">
        <f aca="false">IF(C675="","",IF(LEN(SUBSTITUTE(SUBSTITUTE(SUBSTITUTE(SUBSTITUTE(TRIM(C675),"*",""),".",""),"-","")," ",""))=11,MID(SUBSTITUTE(SUBSTITUTE(SUBSTITUTE(SUBSTITUTE(TRIM(C675),"*",""),".",""),"-","")," ",""),4,6),SUBSTITUTE(SUBSTITUTE(SUBSTITUTE(SUBSTITUTE(TRIM(C675),"*",""),".",""),"-","")," ","")))</f>
        <v/>
      </c>
      <c r="J675" s="28" t="str">
        <f aca="false">IF(OR(H675="",I675=""),"",H675&amp;"|"&amp;I675)</f>
        <v/>
      </c>
      <c r="K675" s="19" t="str">
        <f aca="false">IF(H675="","",IF(AND(J675&lt;&gt;"",COUNTIF(Pessoas!$J:$J,J675)&gt;0),"SIM",IF(COUNTIF(Pessoas!$H:$H,H675)&gt;0,"nome igual em Pessoas: confira o CPF","")))</f>
        <v/>
      </c>
      <c r="L675" s="27"/>
      <c r="M675" s="5"/>
    </row>
    <row r="676" customFormat="false" ht="15" hidden="false" customHeight="false" outlineLevel="0" collapsed="false">
      <c r="A676" s="27"/>
      <c r="B676" s="5"/>
      <c r="C676" s="27"/>
      <c r="D676" s="18"/>
      <c r="E676" s="14"/>
      <c r="F676" s="18"/>
      <c r="G676" s="19" t="str">
        <f aca="false">IF(A676="","",IFERROR(INDEX(Empresas!$B:$B,MATCH(A676,Empresas!$A:$A,0))&amp;"","cadastre o CNPJ em Empresas"))</f>
        <v/>
      </c>
      <c r="H676" s="28" t="str">
        <f aca="false">IF(B676="","",SUBSTITUTE(SUBSTITUTE(SUBSTITUTE(SUBSTITUTE(SUBSTITUTE(SUBSTITUTE(SUBSTITUTE(SUBSTITUTE(SUBSTITUTE(SUBSTITUTE(SUBSTITUTE(SUBSTITUTE(SUBSTITUTE(UPPER(TRIM(B676)),"Á","A"),"À","A"),"Â","A"),"Ã","A"),"É","E"),"Ê","E"),"Í","I"),"Ó","O"),"Ô","O"),"Õ","O"),"Ú","U"),"Ü","U"),"Ç","C"))</f>
        <v/>
      </c>
      <c r="I676" s="28" t="str">
        <f aca="false">IF(C676="","",IF(LEN(SUBSTITUTE(SUBSTITUTE(SUBSTITUTE(SUBSTITUTE(TRIM(C676),"*",""),".",""),"-","")," ",""))=11,MID(SUBSTITUTE(SUBSTITUTE(SUBSTITUTE(SUBSTITUTE(TRIM(C676),"*",""),".",""),"-","")," ",""),4,6),SUBSTITUTE(SUBSTITUTE(SUBSTITUTE(SUBSTITUTE(TRIM(C676),"*",""),".",""),"-","")," ","")))</f>
        <v/>
      </c>
      <c r="J676" s="28" t="str">
        <f aca="false">IF(OR(H676="",I676=""),"",H676&amp;"|"&amp;I676)</f>
        <v/>
      </c>
      <c r="K676" s="19" t="str">
        <f aca="false">IF(H676="","",IF(AND(J676&lt;&gt;"",COUNTIF(Pessoas!$J:$J,J676)&gt;0),"SIM",IF(COUNTIF(Pessoas!$H:$H,H676)&gt;0,"nome igual em Pessoas: confira o CPF","")))</f>
        <v/>
      </c>
      <c r="L676" s="27"/>
      <c r="M676" s="5"/>
    </row>
    <row r="677" customFormat="false" ht="15" hidden="false" customHeight="false" outlineLevel="0" collapsed="false">
      <c r="A677" s="27"/>
      <c r="B677" s="5"/>
      <c r="C677" s="27"/>
      <c r="D677" s="18"/>
      <c r="E677" s="14"/>
      <c r="F677" s="18"/>
      <c r="G677" s="19" t="str">
        <f aca="false">IF(A677="","",IFERROR(INDEX(Empresas!$B:$B,MATCH(A677,Empresas!$A:$A,0))&amp;"","cadastre o CNPJ em Empresas"))</f>
        <v/>
      </c>
      <c r="H677" s="28" t="str">
        <f aca="false">IF(B677="","",SUBSTITUTE(SUBSTITUTE(SUBSTITUTE(SUBSTITUTE(SUBSTITUTE(SUBSTITUTE(SUBSTITUTE(SUBSTITUTE(SUBSTITUTE(SUBSTITUTE(SUBSTITUTE(SUBSTITUTE(SUBSTITUTE(UPPER(TRIM(B677)),"Á","A"),"À","A"),"Â","A"),"Ã","A"),"É","E"),"Ê","E"),"Í","I"),"Ó","O"),"Ô","O"),"Õ","O"),"Ú","U"),"Ü","U"),"Ç","C"))</f>
        <v/>
      </c>
      <c r="I677" s="28" t="str">
        <f aca="false">IF(C677="","",IF(LEN(SUBSTITUTE(SUBSTITUTE(SUBSTITUTE(SUBSTITUTE(TRIM(C677),"*",""),".",""),"-","")," ",""))=11,MID(SUBSTITUTE(SUBSTITUTE(SUBSTITUTE(SUBSTITUTE(TRIM(C677),"*",""),".",""),"-","")," ",""),4,6),SUBSTITUTE(SUBSTITUTE(SUBSTITUTE(SUBSTITUTE(TRIM(C677),"*",""),".",""),"-","")," ","")))</f>
        <v/>
      </c>
      <c r="J677" s="28" t="str">
        <f aca="false">IF(OR(H677="",I677=""),"",H677&amp;"|"&amp;I677)</f>
        <v/>
      </c>
      <c r="K677" s="19" t="str">
        <f aca="false">IF(H677="","",IF(AND(J677&lt;&gt;"",COUNTIF(Pessoas!$J:$J,J677)&gt;0),"SIM",IF(COUNTIF(Pessoas!$H:$H,H677)&gt;0,"nome igual em Pessoas: confira o CPF","")))</f>
        <v/>
      </c>
      <c r="L677" s="27"/>
      <c r="M677" s="5"/>
    </row>
    <row r="678" customFormat="false" ht="15" hidden="false" customHeight="false" outlineLevel="0" collapsed="false">
      <c r="A678" s="27"/>
      <c r="B678" s="5"/>
      <c r="C678" s="27"/>
      <c r="D678" s="18"/>
      <c r="E678" s="14"/>
      <c r="F678" s="18"/>
      <c r="G678" s="19" t="str">
        <f aca="false">IF(A678="","",IFERROR(INDEX(Empresas!$B:$B,MATCH(A678,Empresas!$A:$A,0))&amp;"","cadastre o CNPJ em Empresas"))</f>
        <v/>
      </c>
      <c r="H678" s="28" t="str">
        <f aca="false">IF(B678="","",SUBSTITUTE(SUBSTITUTE(SUBSTITUTE(SUBSTITUTE(SUBSTITUTE(SUBSTITUTE(SUBSTITUTE(SUBSTITUTE(SUBSTITUTE(SUBSTITUTE(SUBSTITUTE(SUBSTITUTE(SUBSTITUTE(UPPER(TRIM(B678)),"Á","A"),"À","A"),"Â","A"),"Ã","A"),"É","E"),"Ê","E"),"Í","I"),"Ó","O"),"Ô","O"),"Õ","O"),"Ú","U"),"Ü","U"),"Ç","C"))</f>
        <v/>
      </c>
      <c r="I678" s="28" t="str">
        <f aca="false">IF(C678="","",IF(LEN(SUBSTITUTE(SUBSTITUTE(SUBSTITUTE(SUBSTITUTE(TRIM(C678),"*",""),".",""),"-","")," ",""))=11,MID(SUBSTITUTE(SUBSTITUTE(SUBSTITUTE(SUBSTITUTE(TRIM(C678),"*",""),".",""),"-","")," ",""),4,6),SUBSTITUTE(SUBSTITUTE(SUBSTITUTE(SUBSTITUTE(TRIM(C678),"*",""),".",""),"-","")," ","")))</f>
        <v/>
      </c>
      <c r="J678" s="28" t="str">
        <f aca="false">IF(OR(H678="",I678=""),"",H678&amp;"|"&amp;I678)</f>
        <v/>
      </c>
      <c r="K678" s="19" t="str">
        <f aca="false">IF(H678="","",IF(AND(J678&lt;&gt;"",COUNTIF(Pessoas!$J:$J,J678)&gt;0),"SIM",IF(COUNTIF(Pessoas!$H:$H,H678)&gt;0,"nome igual em Pessoas: confira o CPF","")))</f>
        <v/>
      </c>
      <c r="L678" s="27"/>
      <c r="M678" s="5"/>
    </row>
    <row r="679" customFormat="false" ht="15" hidden="false" customHeight="false" outlineLevel="0" collapsed="false">
      <c r="A679" s="27"/>
      <c r="B679" s="5"/>
      <c r="C679" s="27"/>
      <c r="D679" s="18"/>
      <c r="E679" s="14"/>
      <c r="F679" s="18"/>
      <c r="G679" s="19" t="str">
        <f aca="false">IF(A679="","",IFERROR(INDEX(Empresas!$B:$B,MATCH(A679,Empresas!$A:$A,0))&amp;"","cadastre o CNPJ em Empresas"))</f>
        <v/>
      </c>
      <c r="H679" s="28" t="str">
        <f aca="false">IF(B679="","",SUBSTITUTE(SUBSTITUTE(SUBSTITUTE(SUBSTITUTE(SUBSTITUTE(SUBSTITUTE(SUBSTITUTE(SUBSTITUTE(SUBSTITUTE(SUBSTITUTE(SUBSTITUTE(SUBSTITUTE(SUBSTITUTE(UPPER(TRIM(B679)),"Á","A"),"À","A"),"Â","A"),"Ã","A"),"É","E"),"Ê","E"),"Í","I"),"Ó","O"),"Ô","O"),"Õ","O"),"Ú","U"),"Ü","U"),"Ç","C"))</f>
        <v/>
      </c>
      <c r="I679" s="28" t="str">
        <f aca="false">IF(C679="","",IF(LEN(SUBSTITUTE(SUBSTITUTE(SUBSTITUTE(SUBSTITUTE(TRIM(C679),"*",""),".",""),"-","")," ",""))=11,MID(SUBSTITUTE(SUBSTITUTE(SUBSTITUTE(SUBSTITUTE(TRIM(C679),"*",""),".",""),"-","")," ",""),4,6),SUBSTITUTE(SUBSTITUTE(SUBSTITUTE(SUBSTITUTE(TRIM(C679),"*",""),".",""),"-","")," ","")))</f>
        <v/>
      </c>
      <c r="J679" s="28" t="str">
        <f aca="false">IF(OR(H679="",I679=""),"",H679&amp;"|"&amp;I679)</f>
        <v/>
      </c>
      <c r="K679" s="19" t="str">
        <f aca="false">IF(H679="","",IF(AND(J679&lt;&gt;"",COUNTIF(Pessoas!$J:$J,J679)&gt;0),"SIM",IF(COUNTIF(Pessoas!$H:$H,H679)&gt;0,"nome igual em Pessoas: confira o CPF","")))</f>
        <v/>
      </c>
      <c r="L679" s="27"/>
      <c r="M679" s="5"/>
    </row>
    <row r="680" customFormat="false" ht="15" hidden="false" customHeight="false" outlineLevel="0" collapsed="false">
      <c r="A680" s="27"/>
      <c r="B680" s="5"/>
      <c r="C680" s="27"/>
      <c r="D680" s="18"/>
      <c r="E680" s="14"/>
      <c r="F680" s="18"/>
      <c r="G680" s="19" t="str">
        <f aca="false">IF(A680="","",IFERROR(INDEX(Empresas!$B:$B,MATCH(A680,Empresas!$A:$A,0))&amp;"","cadastre o CNPJ em Empresas"))</f>
        <v/>
      </c>
      <c r="H680" s="28" t="str">
        <f aca="false">IF(B680="","",SUBSTITUTE(SUBSTITUTE(SUBSTITUTE(SUBSTITUTE(SUBSTITUTE(SUBSTITUTE(SUBSTITUTE(SUBSTITUTE(SUBSTITUTE(SUBSTITUTE(SUBSTITUTE(SUBSTITUTE(SUBSTITUTE(UPPER(TRIM(B680)),"Á","A"),"À","A"),"Â","A"),"Ã","A"),"É","E"),"Ê","E"),"Í","I"),"Ó","O"),"Ô","O"),"Õ","O"),"Ú","U"),"Ü","U"),"Ç","C"))</f>
        <v/>
      </c>
      <c r="I680" s="28" t="str">
        <f aca="false">IF(C680="","",IF(LEN(SUBSTITUTE(SUBSTITUTE(SUBSTITUTE(SUBSTITUTE(TRIM(C680),"*",""),".",""),"-","")," ",""))=11,MID(SUBSTITUTE(SUBSTITUTE(SUBSTITUTE(SUBSTITUTE(TRIM(C680),"*",""),".",""),"-","")," ",""),4,6),SUBSTITUTE(SUBSTITUTE(SUBSTITUTE(SUBSTITUTE(TRIM(C680),"*",""),".",""),"-","")," ","")))</f>
        <v/>
      </c>
      <c r="J680" s="28" t="str">
        <f aca="false">IF(OR(H680="",I680=""),"",H680&amp;"|"&amp;I680)</f>
        <v/>
      </c>
      <c r="K680" s="19" t="str">
        <f aca="false">IF(H680="","",IF(AND(J680&lt;&gt;"",COUNTIF(Pessoas!$J:$J,J680)&gt;0),"SIM",IF(COUNTIF(Pessoas!$H:$H,H680)&gt;0,"nome igual em Pessoas: confira o CPF","")))</f>
        <v/>
      </c>
      <c r="L680" s="27"/>
      <c r="M680" s="5"/>
    </row>
    <row r="681" customFormat="false" ht="15" hidden="false" customHeight="false" outlineLevel="0" collapsed="false">
      <c r="A681" s="27"/>
      <c r="B681" s="5"/>
      <c r="C681" s="27"/>
      <c r="D681" s="18"/>
      <c r="E681" s="14"/>
      <c r="F681" s="18"/>
      <c r="G681" s="19" t="str">
        <f aca="false">IF(A681="","",IFERROR(INDEX(Empresas!$B:$B,MATCH(A681,Empresas!$A:$A,0))&amp;"","cadastre o CNPJ em Empresas"))</f>
        <v/>
      </c>
      <c r="H681" s="28" t="str">
        <f aca="false">IF(B681="","",SUBSTITUTE(SUBSTITUTE(SUBSTITUTE(SUBSTITUTE(SUBSTITUTE(SUBSTITUTE(SUBSTITUTE(SUBSTITUTE(SUBSTITUTE(SUBSTITUTE(SUBSTITUTE(SUBSTITUTE(SUBSTITUTE(UPPER(TRIM(B681)),"Á","A"),"À","A"),"Â","A"),"Ã","A"),"É","E"),"Ê","E"),"Í","I"),"Ó","O"),"Ô","O"),"Õ","O"),"Ú","U"),"Ü","U"),"Ç","C"))</f>
        <v/>
      </c>
      <c r="I681" s="28" t="str">
        <f aca="false">IF(C681="","",IF(LEN(SUBSTITUTE(SUBSTITUTE(SUBSTITUTE(SUBSTITUTE(TRIM(C681),"*",""),".",""),"-","")," ",""))=11,MID(SUBSTITUTE(SUBSTITUTE(SUBSTITUTE(SUBSTITUTE(TRIM(C681),"*",""),".",""),"-","")," ",""),4,6),SUBSTITUTE(SUBSTITUTE(SUBSTITUTE(SUBSTITUTE(TRIM(C681),"*",""),".",""),"-","")," ","")))</f>
        <v/>
      </c>
      <c r="J681" s="28" t="str">
        <f aca="false">IF(OR(H681="",I681=""),"",H681&amp;"|"&amp;I681)</f>
        <v/>
      </c>
      <c r="K681" s="19" t="str">
        <f aca="false">IF(H681="","",IF(AND(J681&lt;&gt;"",COUNTIF(Pessoas!$J:$J,J681)&gt;0),"SIM",IF(COUNTIF(Pessoas!$H:$H,H681)&gt;0,"nome igual em Pessoas: confira o CPF","")))</f>
        <v/>
      </c>
      <c r="L681" s="27"/>
      <c r="M681" s="5"/>
    </row>
    <row r="682" customFormat="false" ht="15" hidden="false" customHeight="false" outlineLevel="0" collapsed="false">
      <c r="A682" s="27"/>
      <c r="B682" s="5"/>
      <c r="C682" s="27"/>
      <c r="D682" s="18"/>
      <c r="E682" s="14"/>
      <c r="F682" s="18"/>
      <c r="G682" s="19" t="str">
        <f aca="false">IF(A682="","",IFERROR(INDEX(Empresas!$B:$B,MATCH(A682,Empresas!$A:$A,0))&amp;"","cadastre o CNPJ em Empresas"))</f>
        <v/>
      </c>
      <c r="H682" s="28" t="str">
        <f aca="false">IF(B682="","",SUBSTITUTE(SUBSTITUTE(SUBSTITUTE(SUBSTITUTE(SUBSTITUTE(SUBSTITUTE(SUBSTITUTE(SUBSTITUTE(SUBSTITUTE(SUBSTITUTE(SUBSTITUTE(SUBSTITUTE(SUBSTITUTE(UPPER(TRIM(B682)),"Á","A"),"À","A"),"Â","A"),"Ã","A"),"É","E"),"Ê","E"),"Í","I"),"Ó","O"),"Ô","O"),"Õ","O"),"Ú","U"),"Ü","U"),"Ç","C"))</f>
        <v/>
      </c>
      <c r="I682" s="28" t="str">
        <f aca="false">IF(C682="","",IF(LEN(SUBSTITUTE(SUBSTITUTE(SUBSTITUTE(SUBSTITUTE(TRIM(C682),"*",""),".",""),"-","")," ",""))=11,MID(SUBSTITUTE(SUBSTITUTE(SUBSTITUTE(SUBSTITUTE(TRIM(C682),"*",""),".",""),"-","")," ",""),4,6),SUBSTITUTE(SUBSTITUTE(SUBSTITUTE(SUBSTITUTE(TRIM(C682),"*",""),".",""),"-","")," ","")))</f>
        <v/>
      </c>
      <c r="J682" s="28" t="str">
        <f aca="false">IF(OR(H682="",I682=""),"",H682&amp;"|"&amp;I682)</f>
        <v/>
      </c>
      <c r="K682" s="19" t="str">
        <f aca="false">IF(H682="","",IF(AND(J682&lt;&gt;"",COUNTIF(Pessoas!$J:$J,J682)&gt;0),"SIM",IF(COUNTIF(Pessoas!$H:$H,H682)&gt;0,"nome igual em Pessoas: confira o CPF","")))</f>
        <v/>
      </c>
      <c r="L682" s="27"/>
      <c r="M682" s="5"/>
    </row>
    <row r="683" customFormat="false" ht="15" hidden="false" customHeight="false" outlineLevel="0" collapsed="false">
      <c r="A683" s="27"/>
      <c r="B683" s="5"/>
      <c r="C683" s="27"/>
      <c r="D683" s="18"/>
      <c r="E683" s="14"/>
      <c r="F683" s="18"/>
      <c r="G683" s="19" t="str">
        <f aca="false">IF(A683="","",IFERROR(INDEX(Empresas!$B:$B,MATCH(A683,Empresas!$A:$A,0))&amp;"","cadastre o CNPJ em Empresas"))</f>
        <v/>
      </c>
      <c r="H683" s="28" t="str">
        <f aca="false">IF(B683="","",SUBSTITUTE(SUBSTITUTE(SUBSTITUTE(SUBSTITUTE(SUBSTITUTE(SUBSTITUTE(SUBSTITUTE(SUBSTITUTE(SUBSTITUTE(SUBSTITUTE(SUBSTITUTE(SUBSTITUTE(SUBSTITUTE(UPPER(TRIM(B683)),"Á","A"),"À","A"),"Â","A"),"Ã","A"),"É","E"),"Ê","E"),"Í","I"),"Ó","O"),"Ô","O"),"Õ","O"),"Ú","U"),"Ü","U"),"Ç","C"))</f>
        <v/>
      </c>
      <c r="I683" s="28" t="str">
        <f aca="false">IF(C683="","",IF(LEN(SUBSTITUTE(SUBSTITUTE(SUBSTITUTE(SUBSTITUTE(TRIM(C683),"*",""),".",""),"-","")," ",""))=11,MID(SUBSTITUTE(SUBSTITUTE(SUBSTITUTE(SUBSTITUTE(TRIM(C683),"*",""),".",""),"-","")," ",""),4,6),SUBSTITUTE(SUBSTITUTE(SUBSTITUTE(SUBSTITUTE(TRIM(C683),"*",""),".",""),"-","")," ","")))</f>
        <v/>
      </c>
      <c r="J683" s="28" t="str">
        <f aca="false">IF(OR(H683="",I683=""),"",H683&amp;"|"&amp;I683)</f>
        <v/>
      </c>
      <c r="K683" s="19" t="str">
        <f aca="false">IF(H683="","",IF(AND(J683&lt;&gt;"",COUNTIF(Pessoas!$J:$J,J683)&gt;0),"SIM",IF(COUNTIF(Pessoas!$H:$H,H683)&gt;0,"nome igual em Pessoas: confira o CPF","")))</f>
        <v/>
      </c>
      <c r="L683" s="27"/>
      <c r="M683" s="5"/>
    </row>
    <row r="684" customFormat="false" ht="15" hidden="false" customHeight="false" outlineLevel="0" collapsed="false">
      <c r="A684" s="27"/>
      <c r="B684" s="5"/>
      <c r="C684" s="27"/>
      <c r="D684" s="18"/>
      <c r="E684" s="14"/>
      <c r="F684" s="18"/>
      <c r="G684" s="19" t="str">
        <f aca="false">IF(A684="","",IFERROR(INDEX(Empresas!$B:$B,MATCH(A684,Empresas!$A:$A,0))&amp;"","cadastre o CNPJ em Empresas"))</f>
        <v/>
      </c>
      <c r="H684" s="28" t="str">
        <f aca="false">IF(B684="","",SUBSTITUTE(SUBSTITUTE(SUBSTITUTE(SUBSTITUTE(SUBSTITUTE(SUBSTITUTE(SUBSTITUTE(SUBSTITUTE(SUBSTITUTE(SUBSTITUTE(SUBSTITUTE(SUBSTITUTE(SUBSTITUTE(UPPER(TRIM(B684)),"Á","A"),"À","A"),"Â","A"),"Ã","A"),"É","E"),"Ê","E"),"Í","I"),"Ó","O"),"Ô","O"),"Õ","O"),"Ú","U"),"Ü","U"),"Ç","C"))</f>
        <v/>
      </c>
      <c r="I684" s="28" t="str">
        <f aca="false">IF(C684="","",IF(LEN(SUBSTITUTE(SUBSTITUTE(SUBSTITUTE(SUBSTITUTE(TRIM(C684),"*",""),".",""),"-","")," ",""))=11,MID(SUBSTITUTE(SUBSTITUTE(SUBSTITUTE(SUBSTITUTE(TRIM(C684),"*",""),".",""),"-","")," ",""),4,6),SUBSTITUTE(SUBSTITUTE(SUBSTITUTE(SUBSTITUTE(TRIM(C684),"*",""),".",""),"-","")," ","")))</f>
        <v/>
      </c>
      <c r="J684" s="28" t="str">
        <f aca="false">IF(OR(H684="",I684=""),"",H684&amp;"|"&amp;I684)</f>
        <v/>
      </c>
      <c r="K684" s="19" t="str">
        <f aca="false">IF(H684="","",IF(AND(J684&lt;&gt;"",COUNTIF(Pessoas!$J:$J,J684)&gt;0),"SIM",IF(COUNTIF(Pessoas!$H:$H,H684)&gt;0,"nome igual em Pessoas: confira o CPF","")))</f>
        <v/>
      </c>
      <c r="L684" s="27"/>
      <c r="M684" s="5"/>
    </row>
    <row r="685" customFormat="false" ht="15" hidden="false" customHeight="false" outlineLevel="0" collapsed="false">
      <c r="A685" s="27"/>
      <c r="B685" s="5"/>
      <c r="C685" s="27"/>
      <c r="D685" s="18"/>
      <c r="E685" s="14"/>
      <c r="F685" s="18"/>
      <c r="G685" s="19" t="str">
        <f aca="false">IF(A685="","",IFERROR(INDEX(Empresas!$B:$B,MATCH(A685,Empresas!$A:$A,0))&amp;"","cadastre o CNPJ em Empresas"))</f>
        <v/>
      </c>
      <c r="H685" s="28" t="str">
        <f aca="false">IF(B685="","",SUBSTITUTE(SUBSTITUTE(SUBSTITUTE(SUBSTITUTE(SUBSTITUTE(SUBSTITUTE(SUBSTITUTE(SUBSTITUTE(SUBSTITUTE(SUBSTITUTE(SUBSTITUTE(SUBSTITUTE(SUBSTITUTE(UPPER(TRIM(B685)),"Á","A"),"À","A"),"Â","A"),"Ã","A"),"É","E"),"Ê","E"),"Í","I"),"Ó","O"),"Ô","O"),"Õ","O"),"Ú","U"),"Ü","U"),"Ç","C"))</f>
        <v/>
      </c>
      <c r="I685" s="28" t="str">
        <f aca="false">IF(C685="","",IF(LEN(SUBSTITUTE(SUBSTITUTE(SUBSTITUTE(SUBSTITUTE(TRIM(C685),"*",""),".",""),"-","")," ",""))=11,MID(SUBSTITUTE(SUBSTITUTE(SUBSTITUTE(SUBSTITUTE(TRIM(C685),"*",""),".",""),"-","")," ",""),4,6),SUBSTITUTE(SUBSTITUTE(SUBSTITUTE(SUBSTITUTE(TRIM(C685),"*",""),".",""),"-","")," ","")))</f>
        <v/>
      </c>
      <c r="J685" s="28" t="str">
        <f aca="false">IF(OR(H685="",I685=""),"",H685&amp;"|"&amp;I685)</f>
        <v/>
      </c>
      <c r="K685" s="19" t="str">
        <f aca="false">IF(H685="","",IF(AND(J685&lt;&gt;"",COUNTIF(Pessoas!$J:$J,J685)&gt;0),"SIM",IF(COUNTIF(Pessoas!$H:$H,H685)&gt;0,"nome igual em Pessoas: confira o CPF","")))</f>
        <v/>
      </c>
      <c r="L685" s="27"/>
      <c r="M685" s="5"/>
    </row>
    <row r="686" customFormat="false" ht="15" hidden="false" customHeight="false" outlineLevel="0" collapsed="false">
      <c r="A686" s="27"/>
      <c r="B686" s="5"/>
      <c r="C686" s="27"/>
      <c r="D686" s="18"/>
      <c r="E686" s="14"/>
      <c r="F686" s="18"/>
      <c r="G686" s="19" t="str">
        <f aca="false">IF(A686="","",IFERROR(INDEX(Empresas!$B:$B,MATCH(A686,Empresas!$A:$A,0))&amp;"","cadastre o CNPJ em Empresas"))</f>
        <v/>
      </c>
      <c r="H686" s="28" t="str">
        <f aca="false">IF(B686="","",SUBSTITUTE(SUBSTITUTE(SUBSTITUTE(SUBSTITUTE(SUBSTITUTE(SUBSTITUTE(SUBSTITUTE(SUBSTITUTE(SUBSTITUTE(SUBSTITUTE(SUBSTITUTE(SUBSTITUTE(SUBSTITUTE(UPPER(TRIM(B686)),"Á","A"),"À","A"),"Â","A"),"Ã","A"),"É","E"),"Ê","E"),"Í","I"),"Ó","O"),"Ô","O"),"Õ","O"),"Ú","U"),"Ü","U"),"Ç","C"))</f>
        <v/>
      </c>
      <c r="I686" s="28" t="str">
        <f aca="false">IF(C686="","",IF(LEN(SUBSTITUTE(SUBSTITUTE(SUBSTITUTE(SUBSTITUTE(TRIM(C686),"*",""),".",""),"-","")," ",""))=11,MID(SUBSTITUTE(SUBSTITUTE(SUBSTITUTE(SUBSTITUTE(TRIM(C686),"*",""),".",""),"-","")," ",""),4,6),SUBSTITUTE(SUBSTITUTE(SUBSTITUTE(SUBSTITUTE(TRIM(C686),"*",""),".",""),"-","")," ","")))</f>
        <v/>
      </c>
      <c r="J686" s="28" t="str">
        <f aca="false">IF(OR(H686="",I686=""),"",H686&amp;"|"&amp;I686)</f>
        <v/>
      </c>
      <c r="K686" s="19" t="str">
        <f aca="false">IF(H686="","",IF(AND(J686&lt;&gt;"",COUNTIF(Pessoas!$J:$J,J686)&gt;0),"SIM",IF(COUNTIF(Pessoas!$H:$H,H686)&gt;0,"nome igual em Pessoas: confira o CPF","")))</f>
        <v/>
      </c>
      <c r="L686" s="27"/>
      <c r="M686" s="5"/>
    </row>
    <row r="687" customFormat="false" ht="15" hidden="false" customHeight="false" outlineLevel="0" collapsed="false">
      <c r="A687" s="27"/>
      <c r="B687" s="5"/>
      <c r="C687" s="27"/>
      <c r="D687" s="18"/>
      <c r="E687" s="14"/>
      <c r="F687" s="18"/>
      <c r="G687" s="19" t="str">
        <f aca="false">IF(A687="","",IFERROR(INDEX(Empresas!$B:$B,MATCH(A687,Empresas!$A:$A,0))&amp;"","cadastre o CNPJ em Empresas"))</f>
        <v/>
      </c>
      <c r="H687" s="28" t="str">
        <f aca="false">IF(B687="","",SUBSTITUTE(SUBSTITUTE(SUBSTITUTE(SUBSTITUTE(SUBSTITUTE(SUBSTITUTE(SUBSTITUTE(SUBSTITUTE(SUBSTITUTE(SUBSTITUTE(SUBSTITUTE(SUBSTITUTE(SUBSTITUTE(UPPER(TRIM(B687)),"Á","A"),"À","A"),"Â","A"),"Ã","A"),"É","E"),"Ê","E"),"Í","I"),"Ó","O"),"Ô","O"),"Õ","O"),"Ú","U"),"Ü","U"),"Ç","C"))</f>
        <v/>
      </c>
      <c r="I687" s="28" t="str">
        <f aca="false">IF(C687="","",IF(LEN(SUBSTITUTE(SUBSTITUTE(SUBSTITUTE(SUBSTITUTE(TRIM(C687),"*",""),".",""),"-","")," ",""))=11,MID(SUBSTITUTE(SUBSTITUTE(SUBSTITUTE(SUBSTITUTE(TRIM(C687),"*",""),".",""),"-","")," ",""),4,6),SUBSTITUTE(SUBSTITUTE(SUBSTITUTE(SUBSTITUTE(TRIM(C687),"*",""),".",""),"-","")," ","")))</f>
        <v/>
      </c>
      <c r="J687" s="28" t="str">
        <f aca="false">IF(OR(H687="",I687=""),"",H687&amp;"|"&amp;I687)</f>
        <v/>
      </c>
      <c r="K687" s="19" t="str">
        <f aca="false">IF(H687="","",IF(AND(J687&lt;&gt;"",COUNTIF(Pessoas!$J:$J,J687)&gt;0),"SIM",IF(COUNTIF(Pessoas!$H:$H,H687)&gt;0,"nome igual em Pessoas: confira o CPF","")))</f>
        <v/>
      </c>
      <c r="L687" s="27"/>
      <c r="M687" s="5"/>
    </row>
    <row r="688" customFormat="false" ht="15" hidden="false" customHeight="false" outlineLevel="0" collapsed="false">
      <c r="A688" s="27"/>
      <c r="B688" s="5"/>
      <c r="C688" s="27"/>
      <c r="D688" s="18"/>
      <c r="E688" s="14"/>
      <c r="F688" s="18"/>
      <c r="G688" s="19" t="str">
        <f aca="false">IF(A688="","",IFERROR(INDEX(Empresas!$B:$B,MATCH(A688,Empresas!$A:$A,0))&amp;"","cadastre o CNPJ em Empresas"))</f>
        <v/>
      </c>
      <c r="H688" s="28" t="str">
        <f aca="false">IF(B688="","",SUBSTITUTE(SUBSTITUTE(SUBSTITUTE(SUBSTITUTE(SUBSTITUTE(SUBSTITUTE(SUBSTITUTE(SUBSTITUTE(SUBSTITUTE(SUBSTITUTE(SUBSTITUTE(SUBSTITUTE(SUBSTITUTE(UPPER(TRIM(B688)),"Á","A"),"À","A"),"Â","A"),"Ã","A"),"É","E"),"Ê","E"),"Í","I"),"Ó","O"),"Ô","O"),"Õ","O"),"Ú","U"),"Ü","U"),"Ç","C"))</f>
        <v/>
      </c>
      <c r="I688" s="28" t="str">
        <f aca="false">IF(C688="","",IF(LEN(SUBSTITUTE(SUBSTITUTE(SUBSTITUTE(SUBSTITUTE(TRIM(C688),"*",""),".",""),"-","")," ",""))=11,MID(SUBSTITUTE(SUBSTITUTE(SUBSTITUTE(SUBSTITUTE(TRIM(C688),"*",""),".",""),"-","")," ",""),4,6),SUBSTITUTE(SUBSTITUTE(SUBSTITUTE(SUBSTITUTE(TRIM(C688),"*",""),".",""),"-","")," ","")))</f>
        <v/>
      </c>
      <c r="J688" s="28" t="str">
        <f aca="false">IF(OR(H688="",I688=""),"",H688&amp;"|"&amp;I688)</f>
        <v/>
      </c>
      <c r="K688" s="19" t="str">
        <f aca="false">IF(H688="","",IF(AND(J688&lt;&gt;"",COUNTIF(Pessoas!$J:$J,J688)&gt;0),"SIM",IF(COUNTIF(Pessoas!$H:$H,H688)&gt;0,"nome igual em Pessoas: confira o CPF","")))</f>
        <v/>
      </c>
      <c r="L688" s="27"/>
      <c r="M688" s="5"/>
    </row>
    <row r="689" customFormat="false" ht="15" hidden="false" customHeight="false" outlineLevel="0" collapsed="false">
      <c r="A689" s="27"/>
      <c r="B689" s="5"/>
      <c r="C689" s="27"/>
      <c r="D689" s="18"/>
      <c r="E689" s="14"/>
      <c r="F689" s="18"/>
      <c r="G689" s="19" t="str">
        <f aca="false">IF(A689="","",IFERROR(INDEX(Empresas!$B:$B,MATCH(A689,Empresas!$A:$A,0))&amp;"","cadastre o CNPJ em Empresas"))</f>
        <v/>
      </c>
      <c r="H689" s="28" t="str">
        <f aca="false">IF(B689="","",SUBSTITUTE(SUBSTITUTE(SUBSTITUTE(SUBSTITUTE(SUBSTITUTE(SUBSTITUTE(SUBSTITUTE(SUBSTITUTE(SUBSTITUTE(SUBSTITUTE(SUBSTITUTE(SUBSTITUTE(SUBSTITUTE(UPPER(TRIM(B689)),"Á","A"),"À","A"),"Â","A"),"Ã","A"),"É","E"),"Ê","E"),"Í","I"),"Ó","O"),"Ô","O"),"Õ","O"),"Ú","U"),"Ü","U"),"Ç","C"))</f>
        <v/>
      </c>
      <c r="I689" s="28" t="str">
        <f aca="false">IF(C689="","",IF(LEN(SUBSTITUTE(SUBSTITUTE(SUBSTITUTE(SUBSTITUTE(TRIM(C689),"*",""),".",""),"-","")," ",""))=11,MID(SUBSTITUTE(SUBSTITUTE(SUBSTITUTE(SUBSTITUTE(TRIM(C689),"*",""),".",""),"-","")," ",""),4,6),SUBSTITUTE(SUBSTITUTE(SUBSTITUTE(SUBSTITUTE(TRIM(C689),"*",""),".",""),"-","")," ","")))</f>
        <v/>
      </c>
      <c r="J689" s="28" t="str">
        <f aca="false">IF(OR(H689="",I689=""),"",H689&amp;"|"&amp;I689)</f>
        <v/>
      </c>
      <c r="K689" s="19" t="str">
        <f aca="false">IF(H689="","",IF(AND(J689&lt;&gt;"",COUNTIF(Pessoas!$J:$J,J689)&gt;0),"SIM",IF(COUNTIF(Pessoas!$H:$H,H689)&gt;0,"nome igual em Pessoas: confira o CPF","")))</f>
        <v/>
      </c>
      <c r="L689" s="27"/>
      <c r="M689" s="5"/>
    </row>
    <row r="690" customFormat="false" ht="15" hidden="false" customHeight="false" outlineLevel="0" collapsed="false">
      <c r="A690" s="27"/>
      <c r="B690" s="5"/>
      <c r="C690" s="27"/>
      <c r="D690" s="18"/>
      <c r="E690" s="14"/>
      <c r="F690" s="18"/>
      <c r="G690" s="19" t="str">
        <f aca="false">IF(A690="","",IFERROR(INDEX(Empresas!$B:$B,MATCH(A690,Empresas!$A:$A,0))&amp;"","cadastre o CNPJ em Empresas"))</f>
        <v/>
      </c>
      <c r="H690" s="28" t="str">
        <f aca="false">IF(B690="","",SUBSTITUTE(SUBSTITUTE(SUBSTITUTE(SUBSTITUTE(SUBSTITUTE(SUBSTITUTE(SUBSTITUTE(SUBSTITUTE(SUBSTITUTE(SUBSTITUTE(SUBSTITUTE(SUBSTITUTE(SUBSTITUTE(UPPER(TRIM(B690)),"Á","A"),"À","A"),"Â","A"),"Ã","A"),"É","E"),"Ê","E"),"Í","I"),"Ó","O"),"Ô","O"),"Õ","O"),"Ú","U"),"Ü","U"),"Ç","C"))</f>
        <v/>
      </c>
      <c r="I690" s="28" t="str">
        <f aca="false">IF(C690="","",IF(LEN(SUBSTITUTE(SUBSTITUTE(SUBSTITUTE(SUBSTITUTE(TRIM(C690),"*",""),".",""),"-","")," ",""))=11,MID(SUBSTITUTE(SUBSTITUTE(SUBSTITUTE(SUBSTITUTE(TRIM(C690),"*",""),".",""),"-","")," ",""),4,6),SUBSTITUTE(SUBSTITUTE(SUBSTITUTE(SUBSTITUTE(TRIM(C690),"*",""),".",""),"-","")," ","")))</f>
        <v/>
      </c>
      <c r="J690" s="28" t="str">
        <f aca="false">IF(OR(H690="",I690=""),"",H690&amp;"|"&amp;I690)</f>
        <v/>
      </c>
      <c r="K690" s="19" t="str">
        <f aca="false">IF(H690="","",IF(AND(J690&lt;&gt;"",COUNTIF(Pessoas!$J:$J,J690)&gt;0),"SIM",IF(COUNTIF(Pessoas!$H:$H,H690)&gt;0,"nome igual em Pessoas: confira o CPF","")))</f>
        <v/>
      </c>
      <c r="L690" s="27"/>
      <c r="M690" s="5"/>
    </row>
    <row r="691" customFormat="false" ht="15" hidden="false" customHeight="false" outlineLevel="0" collapsed="false">
      <c r="A691" s="27"/>
      <c r="B691" s="5"/>
      <c r="C691" s="27"/>
      <c r="D691" s="18"/>
      <c r="E691" s="14"/>
      <c r="F691" s="18"/>
      <c r="G691" s="19" t="str">
        <f aca="false">IF(A691="","",IFERROR(INDEX(Empresas!$B:$B,MATCH(A691,Empresas!$A:$A,0))&amp;"","cadastre o CNPJ em Empresas"))</f>
        <v/>
      </c>
      <c r="H691" s="28" t="str">
        <f aca="false">IF(B691="","",SUBSTITUTE(SUBSTITUTE(SUBSTITUTE(SUBSTITUTE(SUBSTITUTE(SUBSTITUTE(SUBSTITUTE(SUBSTITUTE(SUBSTITUTE(SUBSTITUTE(SUBSTITUTE(SUBSTITUTE(SUBSTITUTE(UPPER(TRIM(B691)),"Á","A"),"À","A"),"Â","A"),"Ã","A"),"É","E"),"Ê","E"),"Í","I"),"Ó","O"),"Ô","O"),"Õ","O"),"Ú","U"),"Ü","U"),"Ç","C"))</f>
        <v/>
      </c>
      <c r="I691" s="28" t="str">
        <f aca="false">IF(C691="","",IF(LEN(SUBSTITUTE(SUBSTITUTE(SUBSTITUTE(SUBSTITUTE(TRIM(C691),"*",""),".",""),"-","")," ",""))=11,MID(SUBSTITUTE(SUBSTITUTE(SUBSTITUTE(SUBSTITUTE(TRIM(C691),"*",""),".",""),"-","")," ",""),4,6),SUBSTITUTE(SUBSTITUTE(SUBSTITUTE(SUBSTITUTE(TRIM(C691),"*",""),".",""),"-","")," ","")))</f>
        <v/>
      </c>
      <c r="J691" s="28" t="str">
        <f aca="false">IF(OR(H691="",I691=""),"",H691&amp;"|"&amp;I691)</f>
        <v/>
      </c>
      <c r="K691" s="19" t="str">
        <f aca="false">IF(H691="","",IF(AND(J691&lt;&gt;"",COUNTIF(Pessoas!$J:$J,J691)&gt;0),"SIM",IF(COUNTIF(Pessoas!$H:$H,H691)&gt;0,"nome igual em Pessoas: confira o CPF","")))</f>
        <v/>
      </c>
      <c r="L691" s="27"/>
      <c r="M691" s="5"/>
    </row>
    <row r="692" customFormat="false" ht="15" hidden="false" customHeight="false" outlineLevel="0" collapsed="false">
      <c r="A692" s="27"/>
      <c r="B692" s="5"/>
      <c r="C692" s="27"/>
      <c r="D692" s="18"/>
      <c r="E692" s="14"/>
      <c r="F692" s="18"/>
      <c r="G692" s="19" t="str">
        <f aca="false">IF(A692="","",IFERROR(INDEX(Empresas!$B:$B,MATCH(A692,Empresas!$A:$A,0))&amp;"","cadastre o CNPJ em Empresas"))</f>
        <v/>
      </c>
      <c r="H692" s="28" t="str">
        <f aca="false">IF(B692="","",SUBSTITUTE(SUBSTITUTE(SUBSTITUTE(SUBSTITUTE(SUBSTITUTE(SUBSTITUTE(SUBSTITUTE(SUBSTITUTE(SUBSTITUTE(SUBSTITUTE(SUBSTITUTE(SUBSTITUTE(SUBSTITUTE(UPPER(TRIM(B692)),"Á","A"),"À","A"),"Â","A"),"Ã","A"),"É","E"),"Ê","E"),"Í","I"),"Ó","O"),"Ô","O"),"Õ","O"),"Ú","U"),"Ü","U"),"Ç","C"))</f>
        <v/>
      </c>
      <c r="I692" s="28" t="str">
        <f aca="false">IF(C692="","",IF(LEN(SUBSTITUTE(SUBSTITUTE(SUBSTITUTE(SUBSTITUTE(TRIM(C692),"*",""),".",""),"-","")," ",""))=11,MID(SUBSTITUTE(SUBSTITUTE(SUBSTITUTE(SUBSTITUTE(TRIM(C692),"*",""),".",""),"-","")," ",""),4,6),SUBSTITUTE(SUBSTITUTE(SUBSTITUTE(SUBSTITUTE(TRIM(C692),"*",""),".",""),"-","")," ","")))</f>
        <v/>
      </c>
      <c r="J692" s="28" t="str">
        <f aca="false">IF(OR(H692="",I692=""),"",H692&amp;"|"&amp;I692)</f>
        <v/>
      </c>
      <c r="K692" s="19" t="str">
        <f aca="false">IF(H692="","",IF(AND(J692&lt;&gt;"",COUNTIF(Pessoas!$J:$J,J692)&gt;0),"SIM",IF(COUNTIF(Pessoas!$H:$H,H692)&gt;0,"nome igual em Pessoas: confira o CPF","")))</f>
        <v/>
      </c>
      <c r="L692" s="27"/>
      <c r="M692" s="5"/>
    </row>
    <row r="693" customFormat="false" ht="15" hidden="false" customHeight="false" outlineLevel="0" collapsed="false">
      <c r="A693" s="27"/>
      <c r="B693" s="5"/>
      <c r="C693" s="27"/>
      <c r="D693" s="18"/>
      <c r="E693" s="14"/>
      <c r="F693" s="18"/>
      <c r="G693" s="19" t="str">
        <f aca="false">IF(A693="","",IFERROR(INDEX(Empresas!$B:$B,MATCH(A693,Empresas!$A:$A,0))&amp;"","cadastre o CNPJ em Empresas"))</f>
        <v/>
      </c>
      <c r="H693" s="28" t="str">
        <f aca="false">IF(B693="","",SUBSTITUTE(SUBSTITUTE(SUBSTITUTE(SUBSTITUTE(SUBSTITUTE(SUBSTITUTE(SUBSTITUTE(SUBSTITUTE(SUBSTITUTE(SUBSTITUTE(SUBSTITUTE(SUBSTITUTE(SUBSTITUTE(UPPER(TRIM(B693)),"Á","A"),"À","A"),"Â","A"),"Ã","A"),"É","E"),"Ê","E"),"Í","I"),"Ó","O"),"Ô","O"),"Õ","O"),"Ú","U"),"Ü","U"),"Ç","C"))</f>
        <v/>
      </c>
      <c r="I693" s="28" t="str">
        <f aca="false">IF(C693="","",IF(LEN(SUBSTITUTE(SUBSTITUTE(SUBSTITUTE(SUBSTITUTE(TRIM(C693),"*",""),".",""),"-","")," ",""))=11,MID(SUBSTITUTE(SUBSTITUTE(SUBSTITUTE(SUBSTITUTE(TRIM(C693),"*",""),".",""),"-","")," ",""),4,6),SUBSTITUTE(SUBSTITUTE(SUBSTITUTE(SUBSTITUTE(TRIM(C693),"*",""),".",""),"-","")," ","")))</f>
        <v/>
      </c>
      <c r="J693" s="28" t="str">
        <f aca="false">IF(OR(H693="",I693=""),"",H693&amp;"|"&amp;I693)</f>
        <v/>
      </c>
      <c r="K693" s="19" t="str">
        <f aca="false">IF(H693="","",IF(AND(J693&lt;&gt;"",COUNTIF(Pessoas!$J:$J,J693)&gt;0),"SIM",IF(COUNTIF(Pessoas!$H:$H,H693)&gt;0,"nome igual em Pessoas: confira o CPF","")))</f>
        <v/>
      </c>
      <c r="L693" s="27"/>
      <c r="M693" s="5"/>
    </row>
    <row r="694" customFormat="false" ht="15" hidden="false" customHeight="false" outlineLevel="0" collapsed="false">
      <c r="A694" s="27"/>
      <c r="B694" s="5"/>
      <c r="C694" s="27"/>
      <c r="D694" s="18"/>
      <c r="E694" s="14"/>
      <c r="F694" s="18"/>
      <c r="G694" s="19" t="str">
        <f aca="false">IF(A694="","",IFERROR(INDEX(Empresas!$B:$B,MATCH(A694,Empresas!$A:$A,0))&amp;"","cadastre o CNPJ em Empresas"))</f>
        <v/>
      </c>
      <c r="H694" s="28" t="str">
        <f aca="false">IF(B694="","",SUBSTITUTE(SUBSTITUTE(SUBSTITUTE(SUBSTITUTE(SUBSTITUTE(SUBSTITUTE(SUBSTITUTE(SUBSTITUTE(SUBSTITUTE(SUBSTITUTE(SUBSTITUTE(SUBSTITUTE(SUBSTITUTE(UPPER(TRIM(B694)),"Á","A"),"À","A"),"Â","A"),"Ã","A"),"É","E"),"Ê","E"),"Í","I"),"Ó","O"),"Ô","O"),"Õ","O"),"Ú","U"),"Ü","U"),"Ç","C"))</f>
        <v/>
      </c>
      <c r="I694" s="28" t="str">
        <f aca="false">IF(C694="","",IF(LEN(SUBSTITUTE(SUBSTITUTE(SUBSTITUTE(SUBSTITUTE(TRIM(C694),"*",""),".",""),"-","")," ",""))=11,MID(SUBSTITUTE(SUBSTITUTE(SUBSTITUTE(SUBSTITUTE(TRIM(C694),"*",""),".",""),"-","")," ",""),4,6),SUBSTITUTE(SUBSTITUTE(SUBSTITUTE(SUBSTITUTE(TRIM(C694),"*",""),".",""),"-","")," ","")))</f>
        <v/>
      </c>
      <c r="J694" s="28" t="str">
        <f aca="false">IF(OR(H694="",I694=""),"",H694&amp;"|"&amp;I694)</f>
        <v/>
      </c>
      <c r="K694" s="19" t="str">
        <f aca="false">IF(H694="","",IF(AND(J694&lt;&gt;"",COUNTIF(Pessoas!$J:$J,J694)&gt;0),"SIM",IF(COUNTIF(Pessoas!$H:$H,H694)&gt;0,"nome igual em Pessoas: confira o CPF","")))</f>
        <v/>
      </c>
      <c r="L694" s="27"/>
      <c r="M694" s="5"/>
    </row>
    <row r="695" customFormat="false" ht="15" hidden="false" customHeight="false" outlineLevel="0" collapsed="false">
      <c r="A695" s="27"/>
      <c r="B695" s="5"/>
      <c r="C695" s="27"/>
      <c r="D695" s="18"/>
      <c r="E695" s="14"/>
      <c r="F695" s="18"/>
      <c r="G695" s="19" t="str">
        <f aca="false">IF(A695="","",IFERROR(INDEX(Empresas!$B:$B,MATCH(A695,Empresas!$A:$A,0))&amp;"","cadastre o CNPJ em Empresas"))</f>
        <v/>
      </c>
      <c r="H695" s="28" t="str">
        <f aca="false">IF(B695="","",SUBSTITUTE(SUBSTITUTE(SUBSTITUTE(SUBSTITUTE(SUBSTITUTE(SUBSTITUTE(SUBSTITUTE(SUBSTITUTE(SUBSTITUTE(SUBSTITUTE(SUBSTITUTE(SUBSTITUTE(SUBSTITUTE(UPPER(TRIM(B695)),"Á","A"),"À","A"),"Â","A"),"Ã","A"),"É","E"),"Ê","E"),"Í","I"),"Ó","O"),"Ô","O"),"Õ","O"),"Ú","U"),"Ü","U"),"Ç","C"))</f>
        <v/>
      </c>
      <c r="I695" s="28" t="str">
        <f aca="false">IF(C695="","",IF(LEN(SUBSTITUTE(SUBSTITUTE(SUBSTITUTE(SUBSTITUTE(TRIM(C695),"*",""),".",""),"-","")," ",""))=11,MID(SUBSTITUTE(SUBSTITUTE(SUBSTITUTE(SUBSTITUTE(TRIM(C695),"*",""),".",""),"-","")," ",""),4,6),SUBSTITUTE(SUBSTITUTE(SUBSTITUTE(SUBSTITUTE(TRIM(C695),"*",""),".",""),"-","")," ","")))</f>
        <v/>
      </c>
      <c r="J695" s="28" t="str">
        <f aca="false">IF(OR(H695="",I695=""),"",H695&amp;"|"&amp;I695)</f>
        <v/>
      </c>
      <c r="K695" s="19" t="str">
        <f aca="false">IF(H695="","",IF(AND(J695&lt;&gt;"",COUNTIF(Pessoas!$J:$J,J695)&gt;0),"SIM",IF(COUNTIF(Pessoas!$H:$H,H695)&gt;0,"nome igual em Pessoas: confira o CPF","")))</f>
        <v/>
      </c>
      <c r="L695" s="27"/>
      <c r="M695" s="5"/>
    </row>
    <row r="696" customFormat="false" ht="15" hidden="false" customHeight="false" outlineLevel="0" collapsed="false">
      <c r="A696" s="27"/>
      <c r="B696" s="5"/>
      <c r="C696" s="27"/>
      <c r="D696" s="18"/>
      <c r="E696" s="14"/>
      <c r="F696" s="18"/>
      <c r="G696" s="19" t="str">
        <f aca="false">IF(A696="","",IFERROR(INDEX(Empresas!$B:$B,MATCH(A696,Empresas!$A:$A,0))&amp;"","cadastre o CNPJ em Empresas"))</f>
        <v/>
      </c>
      <c r="H696" s="28" t="str">
        <f aca="false">IF(B696="","",SUBSTITUTE(SUBSTITUTE(SUBSTITUTE(SUBSTITUTE(SUBSTITUTE(SUBSTITUTE(SUBSTITUTE(SUBSTITUTE(SUBSTITUTE(SUBSTITUTE(SUBSTITUTE(SUBSTITUTE(SUBSTITUTE(UPPER(TRIM(B696)),"Á","A"),"À","A"),"Â","A"),"Ã","A"),"É","E"),"Ê","E"),"Í","I"),"Ó","O"),"Ô","O"),"Õ","O"),"Ú","U"),"Ü","U"),"Ç","C"))</f>
        <v/>
      </c>
      <c r="I696" s="28" t="str">
        <f aca="false">IF(C696="","",IF(LEN(SUBSTITUTE(SUBSTITUTE(SUBSTITUTE(SUBSTITUTE(TRIM(C696),"*",""),".",""),"-","")," ",""))=11,MID(SUBSTITUTE(SUBSTITUTE(SUBSTITUTE(SUBSTITUTE(TRIM(C696),"*",""),".",""),"-","")," ",""),4,6),SUBSTITUTE(SUBSTITUTE(SUBSTITUTE(SUBSTITUTE(TRIM(C696),"*",""),".",""),"-","")," ","")))</f>
        <v/>
      </c>
      <c r="J696" s="28" t="str">
        <f aca="false">IF(OR(H696="",I696=""),"",H696&amp;"|"&amp;I696)</f>
        <v/>
      </c>
      <c r="K696" s="19" t="str">
        <f aca="false">IF(H696="","",IF(AND(J696&lt;&gt;"",COUNTIF(Pessoas!$J:$J,J696)&gt;0),"SIM",IF(COUNTIF(Pessoas!$H:$H,H696)&gt;0,"nome igual em Pessoas: confira o CPF","")))</f>
        <v/>
      </c>
      <c r="L696" s="27"/>
      <c r="M696" s="5"/>
    </row>
    <row r="697" customFormat="false" ht="15" hidden="false" customHeight="false" outlineLevel="0" collapsed="false">
      <c r="A697" s="27"/>
      <c r="B697" s="5"/>
      <c r="C697" s="27"/>
      <c r="D697" s="18"/>
      <c r="E697" s="14"/>
      <c r="F697" s="18"/>
      <c r="G697" s="19" t="str">
        <f aca="false">IF(A697="","",IFERROR(INDEX(Empresas!$B:$B,MATCH(A697,Empresas!$A:$A,0))&amp;"","cadastre o CNPJ em Empresas"))</f>
        <v/>
      </c>
      <c r="H697" s="28" t="str">
        <f aca="false">IF(B697="","",SUBSTITUTE(SUBSTITUTE(SUBSTITUTE(SUBSTITUTE(SUBSTITUTE(SUBSTITUTE(SUBSTITUTE(SUBSTITUTE(SUBSTITUTE(SUBSTITUTE(SUBSTITUTE(SUBSTITUTE(SUBSTITUTE(UPPER(TRIM(B697)),"Á","A"),"À","A"),"Â","A"),"Ã","A"),"É","E"),"Ê","E"),"Í","I"),"Ó","O"),"Ô","O"),"Õ","O"),"Ú","U"),"Ü","U"),"Ç","C"))</f>
        <v/>
      </c>
      <c r="I697" s="28" t="str">
        <f aca="false">IF(C697="","",IF(LEN(SUBSTITUTE(SUBSTITUTE(SUBSTITUTE(SUBSTITUTE(TRIM(C697),"*",""),".",""),"-","")," ",""))=11,MID(SUBSTITUTE(SUBSTITUTE(SUBSTITUTE(SUBSTITUTE(TRIM(C697),"*",""),".",""),"-","")," ",""),4,6),SUBSTITUTE(SUBSTITUTE(SUBSTITUTE(SUBSTITUTE(TRIM(C697),"*",""),".",""),"-","")," ","")))</f>
        <v/>
      </c>
      <c r="J697" s="28" t="str">
        <f aca="false">IF(OR(H697="",I697=""),"",H697&amp;"|"&amp;I697)</f>
        <v/>
      </c>
      <c r="K697" s="19" t="str">
        <f aca="false">IF(H697="","",IF(AND(J697&lt;&gt;"",COUNTIF(Pessoas!$J:$J,J697)&gt;0),"SIM",IF(COUNTIF(Pessoas!$H:$H,H697)&gt;0,"nome igual em Pessoas: confira o CPF","")))</f>
        <v/>
      </c>
      <c r="L697" s="27"/>
      <c r="M697" s="5"/>
    </row>
    <row r="698" customFormat="false" ht="15" hidden="false" customHeight="false" outlineLevel="0" collapsed="false">
      <c r="A698" s="27"/>
      <c r="B698" s="5"/>
      <c r="C698" s="27"/>
      <c r="D698" s="18"/>
      <c r="E698" s="14"/>
      <c r="F698" s="18"/>
      <c r="G698" s="19" t="str">
        <f aca="false">IF(A698="","",IFERROR(INDEX(Empresas!$B:$B,MATCH(A698,Empresas!$A:$A,0))&amp;"","cadastre o CNPJ em Empresas"))</f>
        <v/>
      </c>
      <c r="H698" s="28" t="str">
        <f aca="false">IF(B698="","",SUBSTITUTE(SUBSTITUTE(SUBSTITUTE(SUBSTITUTE(SUBSTITUTE(SUBSTITUTE(SUBSTITUTE(SUBSTITUTE(SUBSTITUTE(SUBSTITUTE(SUBSTITUTE(SUBSTITUTE(SUBSTITUTE(UPPER(TRIM(B698)),"Á","A"),"À","A"),"Â","A"),"Ã","A"),"É","E"),"Ê","E"),"Í","I"),"Ó","O"),"Ô","O"),"Õ","O"),"Ú","U"),"Ü","U"),"Ç","C"))</f>
        <v/>
      </c>
      <c r="I698" s="28" t="str">
        <f aca="false">IF(C698="","",IF(LEN(SUBSTITUTE(SUBSTITUTE(SUBSTITUTE(SUBSTITUTE(TRIM(C698),"*",""),".",""),"-","")," ",""))=11,MID(SUBSTITUTE(SUBSTITUTE(SUBSTITUTE(SUBSTITUTE(TRIM(C698),"*",""),".",""),"-","")," ",""),4,6),SUBSTITUTE(SUBSTITUTE(SUBSTITUTE(SUBSTITUTE(TRIM(C698),"*",""),".",""),"-","")," ","")))</f>
        <v/>
      </c>
      <c r="J698" s="28" t="str">
        <f aca="false">IF(OR(H698="",I698=""),"",H698&amp;"|"&amp;I698)</f>
        <v/>
      </c>
      <c r="K698" s="19" t="str">
        <f aca="false">IF(H698="","",IF(AND(J698&lt;&gt;"",COUNTIF(Pessoas!$J:$J,J698)&gt;0),"SIM",IF(COUNTIF(Pessoas!$H:$H,H698)&gt;0,"nome igual em Pessoas: confira o CPF","")))</f>
        <v/>
      </c>
      <c r="L698" s="27"/>
      <c r="M698" s="5"/>
    </row>
    <row r="699" customFormat="false" ht="15" hidden="false" customHeight="false" outlineLevel="0" collapsed="false">
      <c r="A699" s="27"/>
      <c r="B699" s="5"/>
      <c r="C699" s="27"/>
      <c r="D699" s="18"/>
      <c r="E699" s="14"/>
      <c r="F699" s="18"/>
      <c r="G699" s="19" t="str">
        <f aca="false">IF(A699="","",IFERROR(INDEX(Empresas!$B:$B,MATCH(A699,Empresas!$A:$A,0))&amp;"","cadastre o CNPJ em Empresas"))</f>
        <v/>
      </c>
      <c r="H699" s="28" t="str">
        <f aca="false">IF(B699="","",SUBSTITUTE(SUBSTITUTE(SUBSTITUTE(SUBSTITUTE(SUBSTITUTE(SUBSTITUTE(SUBSTITUTE(SUBSTITUTE(SUBSTITUTE(SUBSTITUTE(SUBSTITUTE(SUBSTITUTE(SUBSTITUTE(UPPER(TRIM(B699)),"Á","A"),"À","A"),"Â","A"),"Ã","A"),"É","E"),"Ê","E"),"Í","I"),"Ó","O"),"Ô","O"),"Õ","O"),"Ú","U"),"Ü","U"),"Ç","C"))</f>
        <v/>
      </c>
      <c r="I699" s="28" t="str">
        <f aca="false">IF(C699="","",IF(LEN(SUBSTITUTE(SUBSTITUTE(SUBSTITUTE(SUBSTITUTE(TRIM(C699),"*",""),".",""),"-","")," ",""))=11,MID(SUBSTITUTE(SUBSTITUTE(SUBSTITUTE(SUBSTITUTE(TRIM(C699),"*",""),".",""),"-","")," ",""),4,6),SUBSTITUTE(SUBSTITUTE(SUBSTITUTE(SUBSTITUTE(TRIM(C699),"*",""),".",""),"-","")," ","")))</f>
        <v/>
      </c>
      <c r="J699" s="28" t="str">
        <f aca="false">IF(OR(H699="",I699=""),"",H699&amp;"|"&amp;I699)</f>
        <v/>
      </c>
      <c r="K699" s="19" t="str">
        <f aca="false">IF(H699="","",IF(AND(J699&lt;&gt;"",COUNTIF(Pessoas!$J:$J,J699)&gt;0),"SIM",IF(COUNTIF(Pessoas!$H:$H,H699)&gt;0,"nome igual em Pessoas: confira o CPF","")))</f>
        <v/>
      </c>
      <c r="L699" s="27"/>
      <c r="M699" s="5"/>
    </row>
    <row r="700" customFormat="false" ht="15" hidden="false" customHeight="false" outlineLevel="0" collapsed="false">
      <c r="A700" s="27"/>
      <c r="B700" s="5"/>
      <c r="C700" s="27"/>
      <c r="D700" s="18"/>
      <c r="E700" s="14"/>
      <c r="F700" s="18"/>
      <c r="G700" s="19" t="str">
        <f aca="false">IF(A700="","",IFERROR(INDEX(Empresas!$B:$B,MATCH(A700,Empresas!$A:$A,0))&amp;"","cadastre o CNPJ em Empresas"))</f>
        <v/>
      </c>
      <c r="H700" s="28" t="str">
        <f aca="false">IF(B700="","",SUBSTITUTE(SUBSTITUTE(SUBSTITUTE(SUBSTITUTE(SUBSTITUTE(SUBSTITUTE(SUBSTITUTE(SUBSTITUTE(SUBSTITUTE(SUBSTITUTE(SUBSTITUTE(SUBSTITUTE(SUBSTITUTE(UPPER(TRIM(B700)),"Á","A"),"À","A"),"Â","A"),"Ã","A"),"É","E"),"Ê","E"),"Í","I"),"Ó","O"),"Ô","O"),"Õ","O"),"Ú","U"),"Ü","U"),"Ç","C"))</f>
        <v/>
      </c>
      <c r="I700" s="28" t="str">
        <f aca="false">IF(C700="","",IF(LEN(SUBSTITUTE(SUBSTITUTE(SUBSTITUTE(SUBSTITUTE(TRIM(C700),"*",""),".",""),"-","")," ",""))=11,MID(SUBSTITUTE(SUBSTITUTE(SUBSTITUTE(SUBSTITUTE(TRIM(C700),"*",""),".",""),"-","")," ",""),4,6),SUBSTITUTE(SUBSTITUTE(SUBSTITUTE(SUBSTITUTE(TRIM(C700),"*",""),".",""),"-","")," ","")))</f>
        <v/>
      </c>
      <c r="J700" s="28" t="str">
        <f aca="false">IF(OR(H700="",I700=""),"",H700&amp;"|"&amp;I700)</f>
        <v/>
      </c>
      <c r="K700" s="19" t="str">
        <f aca="false">IF(H700="","",IF(AND(J700&lt;&gt;"",COUNTIF(Pessoas!$J:$J,J700)&gt;0),"SIM",IF(COUNTIF(Pessoas!$H:$H,H700)&gt;0,"nome igual em Pessoas: confira o CPF","")))</f>
        <v/>
      </c>
      <c r="L700" s="27"/>
      <c r="M700" s="5"/>
    </row>
    <row r="701" customFormat="false" ht="15" hidden="false" customHeight="false" outlineLevel="0" collapsed="false">
      <c r="A701" s="27"/>
      <c r="B701" s="5"/>
      <c r="C701" s="27"/>
      <c r="D701" s="18"/>
      <c r="E701" s="14"/>
      <c r="F701" s="18"/>
      <c r="G701" s="19" t="str">
        <f aca="false">IF(A701="","",IFERROR(INDEX(Empresas!$B:$B,MATCH(A701,Empresas!$A:$A,0))&amp;"","cadastre o CNPJ em Empresas"))</f>
        <v/>
      </c>
      <c r="H701" s="28" t="str">
        <f aca="false">IF(B701="","",SUBSTITUTE(SUBSTITUTE(SUBSTITUTE(SUBSTITUTE(SUBSTITUTE(SUBSTITUTE(SUBSTITUTE(SUBSTITUTE(SUBSTITUTE(SUBSTITUTE(SUBSTITUTE(SUBSTITUTE(SUBSTITUTE(UPPER(TRIM(B701)),"Á","A"),"À","A"),"Â","A"),"Ã","A"),"É","E"),"Ê","E"),"Í","I"),"Ó","O"),"Ô","O"),"Õ","O"),"Ú","U"),"Ü","U"),"Ç","C"))</f>
        <v/>
      </c>
      <c r="I701" s="28" t="str">
        <f aca="false">IF(C701="","",IF(LEN(SUBSTITUTE(SUBSTITUTE(SUBSTITUTE(SUBSTITUTE(TRIM(C701),"*",""),".",""),"-","")," ",""))=11,MID(SUBSTITUTE(SUBSTITUTE(SUBSTITUTE(SUBSTITUTE(TRIM(C701),"*",""),".",""),"-","")," ",""),4,6),SUBSTITUTE(SUBSTITUTE(SUBSTITUTE(SUBSTITUTE(TRIM(C701),"*",""),".",""),"-","")," ","")))</f>
        <v/>
      </c>
      <c r="J701" s="28" t="str">
        <f aca="false">IF(OR(H701="",I701=""),"",H701&amp;"|"&amp;I701)</f>
        <v/>
      </c>
      <c r="K701" s="19" t="str">
        <f aca="false">IF(H701="","",IF(AND(J701&lt;&gt;"",COUNTIF(Pessoas!$J:$J,J701)&gt;0),"SIM",IF(COUNTIF(Pessoas!$H:$H,H701)&gt;0,"nome igual em Pessoas: confira o CPF","")))</f>
        <v/>
      </c>
      <c r="L701" s="27"/>
      <c r="M701" s="5"/>
    </row>
    <row r="702" customFormat="false" ht="15" hidden="false" customHeight="false" outlineLevel="0" collapsed="false">
      <c r="A702" s="27"/>
      <c r="B702" s="5"/>
      <c r="C702" s="27"/>
      <c r="D702" s="18"/>
      <c r="E702" s="14"/>
      <c r="F702" s="18"/>
      <c r="G702" s="19" t="str">
        <f aca="false">IF(A702="","",IFERROR(INDEX(Empresas!$B:$B,MATCH(A702,Empresas!$A:$A,0))&amp;"","cadastre o CNPJ em Empresas"))</f>
        <v/>
      </c>
      <c r="H702" s="28" t="str">
        <f aca="false">IF(B702="","",SUBSTITUTE(SUBSTITUTE(SUBSTITUTE(SUBSTITUTE(SUBSTITUTE(SUBSTITUTE(SUBSTITUTE(SUBSTITUTE(SUBSTITUTE(SUBSTITUTE(SUBSTITUTE(SUBSTITUTE(SUBSTITUTE(UPPER(TRIM(B702)),"Á","A"),"À","A"),"Â","A"),"Ã","A"),"É","E"),"Ê","E"),"Í","I"),"Ó","O"),"Ô","O"),"Õ","O"),"Ú","U"),"Ü","U"),"Ç","C"))</f>
        <v/>
      </c>
      <c r="I702" s="28" t="str">
        <f aca="false">IF(C702="","",IF(LEN(SUBSTITUTE(SUBSTITUTE(SUBSTITUTE(SUBSTITUTE(TRIM(C702),"*",""),".",""),"-","")," ",""))=11,MID(SUBSTITUTE(SUBSTITUTE(SUBSTITUTE(SUBSTITUTE(TRIM(C702),"*",""),".",""),"-","")," ",""),4,6),SUBSTITUTE(SUBSTITUTE(SUBSTITUTE(SUBSTITUTE(TRIM(C702),"*",""),".",""),"-","")," ","")))</f>
        <v/>
      </c>
      <c r="J702" s="28" t="str">
        <f aca="false">IF(OR(H702="",I702=""),"",H702&amp;"|"&amp;I702)</f>
        <v/>
      </c>
      <c r="K702" s="19" t="str">
        <f aca="false">IF(H702="","",IF(AND(J702&lt;&gt;"",COUNTIF(Pessoas!$J:$J,J702)&gt;0),"SIM",IF(COUNTIF(Pessoas!$H:$H,H702)&gt;0,"nome igual em Pessoas: confira o CPF","")))</f>
        <v/>
      </c>
      <c r="L702" s="27"/>
      <c r="M702" s="5"/>
    </row>
    <row r="703" customFormat="false" ht="15" hidden="false" customHeight="false" outlineLevel="0" collapsed="false">
      <c r="A703" s="27"/>
      <c r="B703" s="5"/>
      <c r="C703" s="27"/>
      <c r="D703" s="18"/>
      <c r="E703" s="14"/>
      <c r="F703" s="18"/>
      <c r="G703" s="19" t="str">
        <f aca="false">IF(A703="","",IFERROR(INDEX(Empresas!$B:$B,MATCH(A703,Empresas!$A:$A,0))&amp;"","cadastre o CNPJ em Empresas"))</f>
        <v/>
      </c>
      <c r="H703" s="28" t="str">
        <f aca="false">IF(B703="","",SUBSTITUTE(SUBSTITUTE(SUBSTITUTE(SUBSTITUTE(SUBSTITUTE(SUBSTITUTE(SUBSTITUTE(SUBSTITUTE(SUBSTITUTE(SUBSTITUTE(SUBSTITUTE(SUBSTITUTE(SUBSTITUTE(UPPER(TRIM(B703)),"Á","A"),"À","A"),"Â","A"),"Ã","A"),"É","E"),"Ê","E"),"Í","I"),"Ó","O"),"Ô","O"),"Õ","O"),"Ú","U"),"Ü","U"),"Ç","C"))</f>
        <v/>
      </c>
      <c r="I703" s="28" t="str">
        <f aca="false">IF(C703="","",IF(LEN(SUBSTITUTE(SUBSTITUTE(SUBSTITUTE(SUBSTITUTE(TRIM(C703),"*",""),".",""),"-","")," ",""))=11,MID(SUBSTITUTE(SUBSTITUTE(SUBSTITUTE(SUBSTITUTE(TRIM(C703),"*",""),".",""),"-","")," ",""),4,6),SUBSTITUTE(SUBSTITUTE(SUBSTITUTE(SUBSTITUTE(TRIM(C703),"*",""),".",""),"-","")," ","")))</f>
        <v/>
      </c>
      <c r="J703" s="28" t="str">
        <f aca="false">IF(OR(H703="",I703=""),"",H703&amp;"|"&amp;I703)</f>
        <v/>
      </c>
      <c r="K703" s="19" t="str">
        <f aca="false">IF(H703="","",IF(AND(J703&lt;&gt;"",COUNTIF(Pessoas!$J:$J,J703)&gt;0),"SIM",IF(COUNTIF(Pessoas!$H:$H,H703)&gt;0,"nome igual em Pessoas: confira o CPF","")))</f>
        <v/>
      </c>
      <c r="L703" s="27"/>
      <c r="M703" s="5"/>
    </row>
    <row r="704" customFormat="false" ht="15" hidden="false" customHeight="false" outlineLevel="0" collapsed="false">
      <c r="A704" s="27"/>
      <c r="B704" s="5"/>
      <c r="C704" s="27"/>
      <c r="D704" s="18"/>
      <c r="E704" s="14"/>
      <c r="F704" s="18"/>
      <c r="G704" s="19" t="str">
        <f aca="false">IF(A704="","",IFERROR(INDEX(Empresas!$B:$B,MATCH(A704,Empresas!$A:$A,0))&amp;"","cadastre o CNPJ em Empresas"))</f>
        <v/>
      </c>
      <c r="H704" s="28" t="str">
        <f aca="false">IF(B704="","",SUBSTITUTE(SUBSTITUTE(SUBSTITUTE(SUBSTITUTE(SUBSTITUTE(SUBSTITUTE(SUBSTITUTE(SUBSTITUTE(SUBSTITUTE(SUBSTITUTE(SUBSTITUTE(SUBSTITUTE(SUBSTITUTE(UPPER(TRIM(B704)),"Á","A"),"À","A"),"Â","A"),"Ã","A"),"É","E"),"Ê","E"),"Í","I"),"Ó","O"),"Ô","O"),"Õ","O"),"Ú","U"),"Ü","U"),"Ç","C"))</f>
        <v/>
      </c>
      <c r="I704" s="28" t="str">
        <f aca="false">IF(C704="","",IF(LEN(SUBSTITUTE(SUBSTITUTE(SUBSTITUTE(SUBSTITUTE(TRIM(C704),"*",""),".",""),"-","")," ",""))=11,MID(SUBSTITUTE(SUBSTITUTE(SUBSTITUTE(SUBSTITUTE(TRIM(C704),"*",""),".",""),"-","")," ",""),4,6),SUBSTITUTE(SUBSTITUTE(SUBSTITUTE(SUBSTITUTE(TRIM(C704),"*",""),".",""),"-","")," ","")))</f>
        <v/>
      </c>
      <c r="J704" s="28" t="str">
        <f aca="false">IF(OR(H704="",I704=""),"",H704&amp;"|"&amp;I704)</f>
        <v/>
      </c>
      <c r="K704" s="19" t="str">
        <f aca="false">IF(H704="","",IF(AND(J704&lt;&gt;"",COUNTIF(Pessoas!$J:$J,J704)&gt;0),"SIM",IF(COUNTIF(Pessoas!$H:$H,H704)&gt;0,"nome igual em Pessoas: confira o CPF","")))</f>
        <v/>
      </c>
      <c r="L704" s="27"/>
      <c r="M704" s="5"/>
    </row>
    <row r="705" customFormat="false" ht="15" hidden="false" customHeight="false" outlineLevel="0" collapsed="false">
      <c r="A705" s="27"/>
      <c r="B705" s="5"/>
      <c r="C705" s="27"/>
      <c r="D705" s="18"/>
      <c r="E705" s="14"/>
      <c r="F705" s="18"/>
      <c r="G705" s="19" t="str">
        <f aca="false">IF(A705="","",IFERROR(INDEX(Empresas!$B:$B,MATCH(A705,Empresas!$A:$A,0))&amp;"","cadastre o CNPJ em Empresas"))</f>
        <v/>
      </c>
      <c r="H705" s="28" t="str">
        <f aca="false">IF(B705="","",SUBSTITUTE(SUBSTITUTE(SUBSTITUTE(SUBSTITUTE(SUBSTITUTE(SUBSTITUTE(SUBSTITUTE(SUBSTITUTE(SUBSTITUTE(SUBSTITUTE(SUBSTITUTE(SUBSTITUTE(SUBSTITUTE(UPPER(TRIM(B705)),"Á","A"),"À","A"),"Â","A"),"Ã","A"),"É","E"),"Ê","E"),"Í","I"),"Ó","O"),"Ô","O"),"Õ","O"),"Ú","U"),"Ü","U"),"Ç","C"))</f>
        <v/>
      </c>
      <c r="I705" s="28" t="str">
        <f aca="false">IF(C705="","",IF(LEN(SUBSTITUTE(SUBSTITUTE(SUBSTITUTE(SUBSTITUTE(TRIM(C705),"*",""),".",""),"-","")," ",""))=11,MID(SUBSTITUTE(SUBSTITUTE(SUBSTITUTE(SUBSTITUTE(TRIM(C705),"*",""),".",""),"-","")," ",""),4,6),SUBSTITUTE(SUBSTITUTE(SUBSTITUTE(SUBSTITUTE(TRIM(C705),"*",""),".",""),"-","")," ","")))</f>
        <v/>
      </c>
      <c r="J705" s="28" t="str">
        <f aca="false">IF(OR(H705="",I705=""),"",H705&amp;"|"&amp;I705)</f>
        <v/>
      </c>
      <c r="K705" s="19" t="str">
        <f aca="false">IF(H705="","",IF(AND(J705&lt;&gt;"",COUNTIF(Pessoas!$J:$J,J705)&gt;0),"SIM",IF(COUNTIF(Pessoas!$H:$H,H705)&gt;0,"nome igual em Pessoas: confira o CPF","")))</f>
        <v/>
      </c>
      <c r="L705" s="27"/>
      <c r="M705" s="5"/>
    </row>
    <row r="706" customFormat="false" ht="15" hidden="false" customHeight="false" outlineLevel="0" collapsed="false">
      <c r="A706" s="27"/>
      <c r="B706" s="5"/>
      <c r="C706" s="27"/>
      <c r="D706" s="18"/>
      <c r="E706" s="14"/>
      <c r="F706" s="18"/>
      <c r="G706" s="19" t="str">
        <f aca="false">IF(A706="","",IFERROR(INDEX(Empresas!$B:$B,MATCH(A706,Empresas!$A:$A,0))&amp;"","cadastre o CNPJ em Empresas"))</f>
        <v/>
      </c>
      <c r="H706" s="28" t="str">
        <f aca="false">IF(B706="","",SUBSTITUTE(SUBSTITUTE(SUBSTITUTE(SUBSTITUTE(SUBSTITUTE(SUBSTITUTE(SUBSTITUTE(SUBSTITUTE(SUBSTITUTE(SUBSTITUTE(SUBSTITUTE(SUBSTITUTE(SUBSTITUTE(UPPER(TRIM(B706)),"Á","A"),"À","A"),"Â","A"),"Ã","A"),"É","E"),"Ê","E"),"Í","I"),"Ó","O"),"Ô","O"),"Õ","O"),"Ú","U"),"Ü","U"),"Ç","C"))</f>
        <v/>
      </c>
      <c r="I706" s="28" t="str">
        <f aca="false">IF(C706="","",IF(LEN(SUBSTITUTE(SUBSTITUTE(SUBSTITUTE(SUBSTITUTE(TRIM(C706),"*",""),".",""),"-","")," ",""))=11,MID(SUBSTITUTE(SUBSTITUTE(SUBSTITUTE(SUBSTITUTE(TRIM(C706),"*",""),".",""),"-","")," ",""),4,6),SUBSTITUTE(SUBSTITUTE(SUBSTITUTE(SUBSTITUTE(TRIM(C706),"*",""),".",""),"-","")," ","")))</f>
        <v/>
      </c>
      <c r="J706" s="28" t="str">
        <f aca="false">IF(OR(H706="",I706=""),"",H706&amp;"|"&amp;I706)</f>
        <v/>
      </c>
      <c r="K706" s="19" t="str">
        <f aca="false">IF(H706="","",IF(AND(J706&lt;&gt;"",COUNTIF(Pessoas!$J:$J,J706)&gt;0),"SIM",IF(COUNTIF(Pessoas!$H:$H,H706)&gt;0,"nome igual em Pessoas: confira o CPF","")))</f>
        <v/>
      </c>
      <c r="L706" s="27"/>
      <c r="M706" s="5"/>
    </row>
    <row r="707" customFormat="false" ht="15" hidden="false" customHeight="false" outlineLevel="0" collapsed="false">
      <c r="A707" s="27"/>
      <c r="B707" s="5"/>
      <c r="C707" s="27"/>
      <c r="D707" s="18"/>
      <c r="E707" s="14"/>
      <c r="F707" s="18"/>
      <c r="G707" s="19" t="str">
        <f aca="false">IF(A707="","",IFERROR(INDEX(Empresas!$B:$B,MATCH(A707,Empresas!$A:$A,0))&amp;"","cadastre o CNPJ em Empresas"))</f>
        <v/>
      </c>
      <c r="H707" s="28" t="str">
        <f aca="false">IF(B707="","",SUBSTITUTE(SUBSTITUTE(SUBSTITUTE(SUBSTITUTE(SUBSTITUTE(SUBSTITUTE(SUBSTITUTE(SUBSTITUTE(SUBSTITUTE(SUBSTITUTE(SUBSTITUTE(SUBSTITUTE(SUBSTITUTE(UPPER(TRIM(B707)),"Á","A"),"À","A"),"Â","A"),"Ã","A"),"É","E"),"Ê","E"),"Í","I"),"Ó","O"),"Ô","O"),"Õ","O"),"Ú","U"),"Ü","U"),"Ç","C"))</f>
        <v/>
      </c>
      <c r="I707" s="28" t="str">
        <f aca="false">IF(C707="","",IF(LEN(SUBSTITUTE(SUBSTITUTE(SUBSTITUTE(SUBSTITUTE(TRIM(C707),"*",""),".",""),"-","")," ",""))=11,MID(SUBSTITUTE(SUBSTITUTE(SUBSTITUTE(SUBSTITUTE(TRIM(C707),"*",""),".",""),"-","")," ",""),4,6),SUBSTITUTE(SUBSTITUTE(SUBSTITUTE(SUBSTITUTE(TRIM(C707),"*",""),".",""),"-","")," ","")))</f>
        <v/>
      </c>
      <c r="J707" s="28" t="str">
        <f aca="false">IF(OR(H707="",I707=""),"",H707&amp;"|"&amp;I707)</f>
        <v/>
      </c>
      <c r="K707" s="19" t="str">
        <f aca="false">IF(H707="","",IF(AND(J707&lt;&gt;"",COUNTIF(Pessoas!$J:$J,J707)&gt;0),"SIM",IF(COUNTIF(Pessoas!$H:$H,H707)&gt;0,"nome igual em Pessoas: confira o CPF","")))</f>
        <v/>
      </c>
      <c r="L707" s="27"/>
      <c r="M707" s="5"/>
    </row>
    <row r="708" customFormat="false" ht="15" hidden="false" customHeight="false" outlineLevel="0" collapsed="false">
      <c r="A708" s="27"/>
      <c r="B708" s="5"/>
      <c r="C708" s="27"/>
      <c r="D708" s="18"/>
      <c r="E708" s="14"/>
      <c r="F708" s="18"/>
      <c r="G708" s="19" t="str">
        <f aca="false">IF(A708="","",IFERROR(INDEX(Empresas!$B:$B,MATCH(A708,Empresas!$A:$A,0))&amp;"","cadastre o CNPJ em Empresas"))</f>
        <v/>
      </c>
      <c r="H708" s="28" t="str">
        <f aca="false">IF(B708="","",SUBSTITUTE(SUBSTITUTE(SUBSTITUTE(SUBSTITUTE(SUBSTITUTE(SUBSTITUTE(SUBSTITUTE(SUBSTITUTE(SUBSTITUTE(SUBSTITUTE(SUBSTITUTE(SUBSTITUTE(SUBSTITUTE(UPPER(TRIM(B708)),"Á","A"),"À","A"),"Â","A"),"Ã","A"),"É","E"),"Ê","E"),"Í","I"),"Ó","O"),"Ô","O"),"Õ","O"),"Ú","U"),"Ü","U"),"Ç","C"))</f>
        <v/>
      </c>
      <c r="I708" s="28" t="str">
        <f aca="false">IF(C708="","",IF(LEN(SUBSTITUTE(SUBSTITUTE(SUBSTITUTE(SUBSTITUTE(TRIM(C708),"*",""),".",""),"-","")," ",""))=11,MID(SUBSTITUTE(SUBSTITUTE(SUBSTITUTE(SUBSTITUTE(TRIM(C708),"*",""),".",""),"-","")," ",""),4,6),SUBSTITUTE(SUBSTITUTE(SUBSTITUTE(SUBSTITUTE(TRIM(C708),"*",""),".",""),"-","")," ","")))</f>
        <v/>
      </c>
      <c r="J708" s="28" t="str">
        <f aca="false">IF(OR(H708="",I708=""),"",H708&amp;"|"&amp;I708)</f>
        <v/>
      </c>
      <c r="K708" s="19" t="str">
        <f aca="false">IF(H708="","",IF(AND(J708&lt;&gt;"",COUNTIF(Pessoas!$J:$J,J708)&gt;0),"SIM",IF(COUNTIF(Pessoas!$H:$H,H708)&gt;0,"nome igual em Pessoas: confira o CPF","")))</f>
        <v/>
      </c>
      <c r="L708" s="27"/>
      <c r="M708" s="5"/>
    </row>
    <row r="709" customFormat="false" ht="15" hidden="false" customHeight="false" outlineLevel="0" collapsed="false">
      <c r="A709" s="27"/>
      <c r="B709" s="5"/>
      <c r="C709" s="27"/>
      <c r="D709" s="18"/>
      <c r="E709" s="14"/>
      <c r="F709" s="18"/>
      <c r="G709" s="19" t="str">
        <f aca="false">IF(A709="","",IFERROR(INDEX(Empresas!$B:$B,MATCH(A709,Empresas!$A:$A,0))&amp;"","cadastre o CNPJ em Empresas"))</f>
        <v/>
      </c>
      <c r="H709" s="28" t="str">
        <f aca="false">IF(B709="","",SUBSTITUTE(SUBSTITUTE(SUBSTITUTE(SUBSTITUTE(SUBSTITUTE(SUBSTITUTE(SUBSTITUTE(SUBSTITUTE(SUBSTITUTE(SUBSTITUTE(SUBSTITUTE(SUBSTITUTE(SUBSTITUTE(UPPER(TRIM(B709)),"Á","A"),"À","A"),"Â","A"),"Ã","A"),"É","E"),"Ê","E"),"Í","I"),"Ó","O"),"Ô","O"),"Õ","O"),"Ú","U"),"Ü","U"),"Ç","C"))</f>
        <v/>
      </c>
      <c r="I709" s="28" t="str">
        <f aca="false">IF(C709="","",IF(LEN(SUBSTITUTE(SUBSTITUTE(SUBSTITUTE(SUBSTITUTE(TRIM(C709),"*",""),".",""),"-","")," ",""))=11,MID(SUBSTITUTE(SUBSTITUTE(SUBSTITUTE(SUBSTITUTE(TRIM(C709),"*",""),".",""),"-","")," ",""),4,6),SUBSTITUTE(SUBSTITUTE(SUBSTITUTE(SUBSTITUTE(TRIM(C709),"*",""),".",""),"-","")," ","")))</f>
        <v/>
      </c>
      <c r="J709" s="28" t="str">
        <f aca="false">IF(OR(H709="",I709=""),"",H709&amp;"|"&amp;I709)</f>
        <v/>
      </c>
      <c r="K709" s="19" t="str">
        <f aca="false">IF(H709="","",IF(AND(J709&lt;&gt;"",COUNTIF(Pessoas!$J:$J,J709)&gt;0),"SIM",IF(COUNTIF(Pessoas!$H:$H,H709)&gt;0,"nome igual em Pessoas: confira o CPF","")))</f>
        <v/>
      </c>
      <c r="L709" s="27"/>
      <c r="M709" s="5"/>
    </row>
    <row r="710" customFormat="false" ht="15" hidden="false" customHeight="false" outlineLevel="0" collapsed="false">
      <c r="A710" s="27"/>
      <c r="B710" s="5"/>
      <c r="C710" s="27"/>
      <c r="D710" s="18"/>
      <c r="E710" s="14"/>
      <c r="F710" s="18"/>
      <c r="G710" s="19" t="str">
        <f aca="false">IF(A710="","",IFERROR(INDEX(Empresas!$B:$B,MATCH(A710,Empresas!$A:$A,0))&amp;"","cadastre o CNPJ em Empresas"))</f>
        <v/>
      </c>
      <c r="H710" s="28" t="str">
        <f aca="false">IF(B710="","",SUBSTITUTE(SUBSTITUTE(SUBSTITUTE(SUBSTITUTE(SUBSTITUTE(SUBSTITUTE(SUBSTITUTE(SUBSTITUTE(SUBSTITUTE(SUBSTITUTE(SUBSTITUTE(SUBSTITUTE(SUBSTITUTE(UPPER(TRIM(B710)),"Á","A"),"À","A"),"Â","A"),"Ã","A"),"É","E"),"Ê","E"),"Í","I"),"Ó","O"),"Ô","O"),"Õ","O"),"Ú","U"),"Ü","U"),"Ç","C"))</f>
        <v/>
      </c>
      <c r="I710" s="28" t="str">
        <f aca="false">IF(C710="","",IF(LEN(SUBSTITUTE(SUBSTITUTE(SUBSTITUTE(SUBSTITUTE(TRIM(C710),"*",""),".",""),"-","")," ",""))=11,MID(SUBSTITUTE(SUBSTITUTE(SUBSTITUTE(SUBSTITUTE(TRIM(C710),"*",""),".",""),"-","")," ",""),4,6),SUBSTITUTE(SUBSTITUTE(SUBSTITUTE(SUBSTITUTE(TRIM(C710),"*",""),".",""),"-","")," ","")))</f>
        <v/>
      </c>
      <c r="J710" s="28" t="str">
        <f aca="false">IF(OR(H710="",I710=""),"",H710&amp;"|"&amp;I710)</f>
        <v/>
      </c>
      <c r="K710" s="19" t="str">
        <f aca="false">IF(H710="","",IF(AND(J710&lt;&gt;"",COUNTIF(Pessoas!$J:$J,J710)&gt;0),"SIM",IF(COUNTIF(Pessoas!$H:$H,H710)&gt;0,"nome igual em Pessoas: confira o CPF","")))</f>
        <v/>
      </c>
      <c r="L710" s="27"/>
      <c r="M710" s="5"/>
    </row>
    <row r="711" customFormat="false" ht="15" hidden="false" customHeight="false" outlineLevel="0" collapsed="false">
      <c r="A711" s="27"/>
      <c r="B711" s="5"/>
      <c r="C711" s="27"/>
      <c r="D711" s="18"/>
      <c r="E711" s="14"/>
      <c r="F711" s="18"/>
      <c r="G711" s="19" t="str">
        <f aca="false">IF(A711="","",IFERROR(INDEX(Empresas!$B:$B,MATCH(A711,Empresas!$A:$A,0))&amp;"","cadastre o CNPJ em Empresas"))</f>
        <v/>
      </c>
      <c r="H711" s="28" t="str">
        <f aca="false">IF(B711="","",SUBSTITUTE(SUBSTITUTE(SUBSTITUTE(SUBSTITUTE(SUBSTITUTE(SUBSTITUTE(SUBSTITUTE(SUBSTITUTE(SUBSTITUTE(SUBSTITUTE(SUBSTITUTE(SUBSTITUTE(SUBSTITUTE(UPPER(TRIM(B711)),"Á","A"),"À","A"),"Â","A"),"Ã","A"),"É","E"),"Ê","E"),"Í","I"),"Ó","O"),"Ô","O"),"Õ","O"),"Ú","U"),"Ü","U"),"Ç","C"))</f>
        <v/>
      </c>
      <c r="I711" s="28" t="str">
        <f aca="false">IF(C711="","",IF(LEN(SUBSTITUTE(SUBSTITUTE(SUBSTITUTE(SUBSTITUTE(TRIM(C711),"*",""),".",""),"-","")," ",""))=11,MID(SUBSTITUTE(SUBSTITUTE(SUBSTITUTE(SUBSTITUTE(TRIM(C711),"*",""),".",""),"-","")," ",""),4,6),SUBSTITUTE(SUBSTITUTE(SUBSTITUTE(SUBSTITUTE(TRIM(C711),"*",""),".",""),"-","")," ","")))</f>
        <v/>
      </c>
      <c r="J711" s="28" t="str">
        <f aca="false">IF(OR(H711="",I711=""),"",H711&amp;"|"&amp;I711)</f>
        <v/>
      </c>
      <c r="K711" s="19" t="str">
        <f aca="false">IF(H711="","",IF(AND(J711&lt;&gt;"",COUNTIF(Pessoas!$J:$J,J711)&gt;0),"SIM",IF(COUNTIF(Pessoas!$H:$H,H711)&gt;0,"nome igual em Pessoas: confira o CPF","")))</f>
        <v/>
      </c>
      <c r="L711" s="27"/>
      <c r="M711" s="5"/>
    </row>
    <row r="712" customFormat="false" ht="15" hidden="false" customHeight="false" outlineLevel="0" collapsed="false">
      <c r="A712" s="27"/>
      <c r="B712" s="5"/>
      <c r="C712" s="27"/>
      <c r="D712" s="18"/>
      <c r="E712" s="14"/>
      <c r="F712" s="18"/>
      <c r="G712" s="19" t="str">
        <f aca="false">IF(A712="","",IFERROR(INDEX(Empresas!$B:$B,MATCH(A712,Empresas!$A:$A,0))&amp;"","cadastre o CNPJ em Empresas"))</f>
        <v/>
      </c>
      <c r="H712" s="28" t="str">
        <f aca="false">IF(B712="","",SUBSTITUTE(SUBSTITUTE(SUBSTITUTE(SUBSTITUTE(SUBSTITUTE(SUBSTITUTE(SUBSTITUTE(SUBSTITUTE(SUBSTITUTE(SUBSTITUTE(SUBSTITUTE(SUBSTITUTE(SUBSTITUTE(UPPER(TRIM(B712)),"Á","A"),"À","A"),"Â","A"),"Ã","A"),"É","E"),"Ê","E"),"Í","I"),"Ó","O"),"Ô","O"),"Õ","O"),"Ú","U"),"Ü","U"),"Ç","C"))</f>
        <v/>
      </c>
      <c r="I712" s="28" t="str">
        <f aca="false">IF(C712="","",IF(LEN(SUBSTITUTE(SUBSTITUTE(SUBSTITUTE(SUBSTITUTE(TRIM(C712),"*",""),".",""),"-","")," ",""))=11,MID(SUBSTITUTE(SUBSTITUTE(SUBSTITUTE(SUBSTITUTE(TRIM(C712),"*",""),".",""),"-","")," ",""),4,6),SUBSTITUTE(SUBSTITUTE(SUBSTITUTE(SUBSTITUTE(TRIM(C712),"*",""),".",""),"-","")," ","")))</f>
        <v/>
      </c>
      <c r="J712" s="28" t="str">
        <f aca="false">IF(OR(H712="",I712=""),"",H712&amp;"|"&amp;I712)</f>
        <v/>
      </c>
      <c r="K712" s="19" t="str">
        <f aca="false">IF(H712="","",IF(AND(J712&lt;&gt;"",COUNTIF(Pessoas!$J:$J,J712)&gt;0),"SIM",IF(COUNTIF(Pessoas!$H:$H,H712)&gt;0,"nome igual em Pessoas: confira o CPF","")))</f>
        <v/>
      </c>
      <c r="L712" s="27"/>
      <c r="M712" s="5"/>
    </row>
    <row r="713" customFormat="false" ht="15" hidden="false" customHeight="false" outlineLevel="0" collapsed="false">
      <c r="A713" s="27"/>
      <c r="B713" s="5"/>
      <c r="C713" s="27"/>
      <c r="D713" s="18"/>
      <c r="E713" s="14"/>
      <c r="F713" s="18"/>
      <c r="G713" s="19" t="str">
        <f aca="false">IF(A713="","",IFERROR(INDEX(Empresas!$B:$B,MATCH(A713,Empresas!$A:$A,0))&amp;"","cadastre o CNPJ em Empresas"))</f>
        <v/>
      </c>
      <c r="H713" s="28" t="str">
        <f aca="false">IF(B713="","",SUBSTITUTE(SUBSTITUTE(SUBSTITUTE(SUBSTITUTE(SUBSTITUTE(SUBSTITUTE(SUBSTITUTE(SUBSTITUTE(SUBSTITUTE(SUBSTITUTE(SUBSTITUTE(SUBSTITUTE(SUBSTITUTE(UPPER(TRIM(B713)),"Á","A"),"À","A"),"Â","A"),"Ã","A"),"É","E"),"Ê","E"),"Í","I"),"Ó","O"),"Ô","O"),"Õ","O"),"Ú","U"),"Ü","U"),"Ç","C"))</f>
        <v/>
      </c>
      <c r="I713" s="28" t="str">
        <f aca="false">IF(C713="","",IF(LEN(SUBSTITUTE(SUBSTITUTE(SUBSTITUTE(SUBSTITUTE(TRIM(C713),"*",""),".",""),"-","")," ",""))=11,MID(SUBSTITUTE(SUBSTITUTE(SUBSTITUTE(SUBSTITUTE(TRIM(C713),"*",""),".",""),"-","")," ",""),4,6),SUBSTITUTE(SUBSTITUTE(SUBSTITUTE(SUBSTITUTE(TRIM(C713),"*",""),".",""),"-","")," ","")))</f>
        <v/>
      </c>
      <c r="J713" s="28" t="str">
        <f aca="false">IF(OR(H713="",I713=""),"",H713&amp;"|"&amp;I713)</f>
        <v/>
      </c>
      <c r="K713" s="19" t="str">
        <f aca="false">IF(H713="","",IF(AND(J713&lt;&gt;"",COUNTIF(Pessoas!$J:$J,J713)&gt;0),"SIM",IF(COUNTIF(Pessoas!$H:$H,H713)&gt;0,"nome igual em Pessoas: confira o CPF","")))</f>
        <v/>
      </c>
      <c r="L713" s="27"/>
      <c r="M713" s="5"/>
    </row>
    <row r="714" customFormat="false" ht="15" hidden="false" customHeight="false" outlineLevel="0" collapsed="false">
      <c r="A714" s="27"/>
      <c r="B714" s="5"/>
      <c r="C714" s="27"/>
      <c r="D714" s="18"/>
      <c r="E714" s="14"/>
      <c r="F714" s="18"/>
      <c r="G714" s="19" t="str">
        <f aca="false">IF(A714="","",IFERROR(INDEX(Empresas!$B:$B,MATCH(A714,Empresas!$A:$A,0))&amp;"","cadastre o CNPJ em Empresas"))</f>
        <v/>
      </c>
      <c r="H714" s="28" t="str">
        <f aca="false">IF(B714="","",SUBSTITUTE(SUBSTITUTE(SUBSTITUTE(SUBSTITUTE(SUBSTITUTE(SUBSTITUTE(SUBSTITUTE(SUBSTITUTE(SUBSTITUTE(SUBSTITUTE(SUBSTITUTE(SUBSTITUTE(SUBSTITUTE(UPPER(TRIM(B714)),"Á","A"),"À","A"),"Â","A"),"Ã","A"),"É","E"),"Ê","E"),"Í","I"),"Ó","O"),"Ô","O"),"Õ","O"),"Ú","U"),"Ü","U"),"Ç","C"))</f>
        <v/>
      </c>
      <c r="I714" s="28" t="str">
        <f aca="false">IF(C714="","",IF(LEN(SUBSTITUTE(SUBSTITUTE(SUBSTITUTE(SUBSTITUTE(TRIM(C714),"*",""),".",""),"-","")," ",""))=11,MID(SUBSTITUTE(SUBSTITUTE(SUBSTITUTE(SUBSTITUTE(TRIM(C714),"*",""),".",""),"-","")," ",""),4,6),SUBSTITUTE(SUBSTITUTE(SUBSTITUTE(SUBSTITUTE(TRIM(C714),"*",""),".",""),"-","")," ","")))</f>
        <v/>
      </c>
      <c r="J714" s="28" t="str">
        <f aca="false">IF(OR(H714="",I714=""),"",H714&amp;"|"&amp;I714)</f>
        <v/>
      </c>
      <c r="K714" s="19" t="str">
        <f aca="false">IF(H714="","",IF(AND(J714&lt;&gt;"",COUNTIF(Pessoas!$J:$J,J714)&gt;0),"SIM",IF(COUNTIF(Pessoas!$H:$H,H714)&gt;0,"nome igual em Pessoas: confira o CPF","")))</f>
        <v/>
      </c>
      <c r="L714" s="27"/>
      <c r="M714" s="5"/>
    </row>
    <row r="715" customFormat="false" ht="15" hidden="false" customHeight="false" outlineLevel="0" collapsed="false">
      <c r="A715" s="27"/>
      <c r="B715" s="5"/>
      <c r="C715" s="27"/>
      <c r="D715" s="18"/>
      <c r="E715" s="14"/>
      <c r="F715" s="18"/>
      <c r="G715" s="19" t="str">
        <f aca="false">IF(A715="","",IFERROR(INDEX(Empresas!$B:$B,MATCH(A715,Empresas!$A:$A,0))&amp;"","cadastre o CNPJ em Empresas"))</f>
        <v/>
      </c>
      <c r="H715" s="28" t="str">
        <f aca="false">IF(B715="","",SUBSTITUTE(SUBSTITUTE(SUBSTITUTE(SUBSTITUTE(SUBSTITUTE(SUBSTITUTE(SUBSTITUTE(SUBSTITUTE(SUBSTITUTE(SUBSTITUTE(SUBSTITUTE(SUBSTITUTE(SUBSTITUTE(UPPER(TRIM(B715)),"Á","A"),"À","A"),"Â","A"),"Ã","A"),"É","E"),"Ê","E"),"Í","I"),"Ó","O"),"Ô","O"),"Õ","O"),"Ú","U"),"Ü","U"),"Ç","C"))</f>
        <v/>
      </c>
      <c r="I715" s="28" t="str">
        <f aca="false">IF(C715="","",IF(LEN(SUBSTITUTE(SUBSTITUTE(SUBSTITUTE(SUBSTITUTE(TRIM(C715),"*",""),".",""),"-","")," ",""))=11,MID(SUBSTITUTE(SUBSTITUTE(SUBSTITUTE(SUBSTITUTE(TRIM(C715),"*",""),".",""),"-","")," ",""),4,6),SUBSTITUTE(SUBSTITUTE(SUBSTITUTE(SUBSTITUTE(TRIM(C715),"*",""),".",""),"-","")," ","")))</f>
        <v/>
      </c>
      <c r="J715" s="28" t="str">
        <f aca="false">IF(OR(H715="",I715=""),"",H715&amp;"|"&amp;I715)</f>
        <v/>
      </c>
      <c r="K715" s="19" t="str">
        <f aca="false">IF(H715="","",IF(AND(J715&lt;&gt;"",COUNTIF(Pessoas!$J:$J,J715)&gt;0),"SIM",IF(COUNTIF(Pessoas!$H:$H,H715)&gt;0,"nome igual em Pessoas: confira o CPF","")))</f>
        <v/>
      </c>
      <c r="L715" s="27"/>
      <c r="M715" s="5"/>
    </row>
    <row r="716" customFormat="false" ht="15" hidden="false" customHeight="false" outlineLevel="0" collapsed="false">
      <c r="A716" s="27"/>
      <c r="B716" s="5"/>
      <c r="C716" s="27"/>
      <c r="D716" s="18"/>
      <c r="E716" s="14"/>
      <c r="F716" s="18"/>
      <c r="G716" s="19" t="str">
        <f aca="false">IF(A716="","",IFERROR(INDEX(Empresas!$B:$B,MATCH(A716,Empresas!$A:$A,0))&amp;"","cadastre o CNPJ em Empresas"))</f>
        <v/>
      </c>
      <c r="H716" s="28" t="str">
        <f aca="false">IF(B716="","",SUBSTITUTE(SUBSTITUTE(SUBSTITUTE(SUBSTITUTE(SUBSTITUTE(SUBSTITUTE(SUBSTITUTE(SUBSTITUTE(SUBSTITUTE(SUBSTITUTE(SUBSTITUTE(SUBSTITUTE(SUBSTITUTE(UPPER(TRIM(B716)),"Á","A"),"À","A"),"Â","A"),"Ã","A"),"É","E"),"Ê","E"),"Í","I"),"Ó","O"),"Ô","O"),"Õ","O"),"Ú","U"),"Ü","U"),"Ç","C"))</f>
        <v/>
      </c>
      <c r="I716" s="28" t="str">
        <f aca="false">IF(C716="","",IF(LEN(SUBSTITUTE(SUBSTITUTE(SUBSTITUTE(SUBSTITUTE(TRIM(C716),"*",""),".",""),"-","")," ",""))=11,MID(SUBSTITUTE(SUBSTITUTE(SUBSTITUTE(SUBSTITUTE(TRIM(C716),"*",""),".",""),"-","")," ",""),4,6),SUBSTITUTE(SUBSTITUTE(SUBSTITUTE(SUBSTITUTE(TRIM(C716),"*",""),".",""),"-","")," ","")))</f>
        <v/>
      </c>
      <c r="J716" s="28" t="str">
        <f aca="false">IF(OR(H716="",I716=""),"",H716&amp;"|"&amp;I716)</f>
        <v/>
      </c>
      <c r="K716" s="19" t="str">
        <f aca="false">IF(H716="","",IF(AND(J716&lt;&gt;"",COUNTIF(Pessoas!$J:$J,J716)&gt;0),"SIM",IF(COUNTIF(Pessoas!$H:$H,H716)&gt;0,"nome igual em Pessoas: confira o CPF","")))</f>
        <v/>
      </c>
      <c r="L716" s="27"/>
      <c r="M716" s="5"/>
    </row>
    <row r="717" customFormat="false" ht="15" hidden="false" customHeight="false" outlineLevel="0" collapsed="false">
      <c r="A717" s="27"/>
      <c r="B717" s="5"/>
      <c r="C717" s="27"/>
      <c r="D717" s="18"/>
      <c r="E717" s="14"/>
      <c r="F717" s="18"/>
      <c r="G717" s="19" t="str">
        <f aca="false">IF(A717="","",IFERROR(INDEX(Empresas!$B:$B,MATCH(A717,Empresas!$A:$A,0))&amp;"","cadastre o CNPJ em Empresas"))</f>
        <v/>
      </c>
      <c r="H717" s="28" t="str">
        <f aca="false">IF(B717="","",SUBSTITUTE(SUBSTITUTE(SUBSTITUTE(SUBSTITUTE(SUBSTITUTE(SUBSTITUTE(SUBSTITUTE(SUBSTITUTE(SUBSTITUTE(SUBSTITUTE(SUBSTITUTE(SUBSTITUTE(SUBSTITUTE(UPPER(TRIM(B717)),"Á","A"),"À","A"),"Â","A"),"Ã","A"),"É","E"),"Ê","E"),"Í","I"),"Ó","O"),"Ô","O"),"Õ","O"),"Ú","U"),"Ü","U"),"Ç","C"))</f>
        <v/>
      </c>
      <c r="I717" s="28" t="str">
        <f aca="false">IF(C717="","",IF(LEN(SUBSTITUTE(SUBSTITUTE(SUBSTITUTE(SUBSTITUTE(TRIM(C717),"*",""),".",""),"-","")," ",""))=11,MID(SUBSTITUTE(SUBSTITUTE(SUBSTITUTE(SUBSTITUTE(TRIM(C717),"*",""),".",""),"-","")," ",""),4,6),SUBSTITUTE(SUBSTITUTE(SUBSTITUTE(SUBSTITUTE(TRIM(C717),"*",""),".",""),"-","")," ","")))</f>
        <v/>
      </c>
      <c r="J717" s="28" t="str">
        <f aca="false">IF(OR(H717="",I717=""),"",H717&amp;"|"&amp;I717)</f>
        <v/>
      </c>
      <c r="K717" s="19" t="str">
        <f aca="false">IF(H717="","",IF(AND(J717&lt;&gt;"",COUNTIF(Pessoas!$J:$J,J717)&gt;0),"SIM",IF(COUNTIF(Pessoas!$H:$H,H717)&gt;0,"nome igual em Pessoas: confira o CPF","")))</f>
        <v/>
      </c>
      <c r="L717" s="27"/>
      <c r="M717" s="5"/>
    </row>
    <row r="718" customFormat="false" ht="15" hidden="false" customHeight="false" outlineLevel="0" collapsed="false">
      <c r="A718" s="27"/>
      <c r="B718" s="5"/>
      <c r="C718" s="27"/>
      <c r="D718" s="18"/>
      <c r="E718" s="14"/>
      <c r="F718" s="18"/>
      <c r="G718" s="19" t="str">
        <f aca="false">IF(A718="","",IFERROR(INDEX(Empresas!$B:$B,MATCH(A718,Empresas!$A:$A,0))&amp;"","cadastre o CNPJ em Empresas"))</f>
        <v/>
      </c>
      <c r="H718" s="28" t="str">
        <f aca="false">IF(B718="","",SUBSTITUTE(SUBSTITUTE(SUBSTITUTE(SUBSTITUTE(SUBSTITUTE(SUBSTITUTE(SUBSTITUTE(SUBSTITUTE(SUBSTITUTE(SUBSTITUTE(SUBSTITUTE(SUBSTITUTE(SUBSTITUTE(UPPER(TRIM(B718)),"Á","A"),"À","A"),"Â","A"),"Ã","A"),"É","E"),"Ê","E"),"Í","I"),"Ó","O"),"Ô","O"),"Õ","O"),"Ú","U"),"Ü","U"),"Ç","C"))</f>
        <v/>
      </c>
      <c r="I718" s="28" t="str">
        <f aca="false">IF(C718="","",IF(LEN(SUBSTITUTE(SUBSTITUTE(SUBSTITUTE(SUBSTITUTE(TRIM(C718),"*",""),".",""),"-","")," ",""))=11,MID(SUBSTITUTE(SUBSTITUTE(SUBSTITUTE(SUBSTITUTE(TRIM(C718),"*",""),".",""),"-","")," ",""),4,6),SUBSTITUTE(SUBSTITUTE(SUBSTITUTE(SUBSTITUTE(TRIM(C718),"*",""),".",""),"-","")," ","")))</f>
        <v/>
      </c>
      <c r="J718" s="28" t="str">
        <f aca="false">IF(OR(H718="",I718=""),"",H718&amp;"|"&amp;I718)</f>
        <v/>
      </c>
      <c r="K718" s="19" t="str">
        <f aca="false">IF(H718="","",IF(AND(J718&lt;&gt;"",COUNTIF(Pessoas!$J:$J,J718)&gt;0),"SIM",IF(COUNTIF(Pessoas!$H:$H,H718)&gt;0,"nome igual em Pessoas: confira o CPF","")))</f>
        <v/>
      </c>
      <c r="L718" s="27"/>
      <c r="M718" s="5"/>
    </row>
    <row r="719" customFormat="false" ht="15" hidden="false" customHeight="false" outlineLevel="0" collapsed="false">
      <c r="A719" s="27"/>
      <c r="B719" s="5"/>
      <c r="C719" s="27"/>
      <c r="D719" s="18"/>
      <c r="E719" s="14"/>
      <c r="F719" s="18"/>
      <c r="G719" s="19" t="str">
        <f aca="false">IF(A719="","",IFERROR(INDEX(Empresas!$B:$B,MATCH(A719,Empresas!$A:$A,0))&amp;"","cadastre o CNPJ em Empresas"))</f>
        <v/>
      </c>
      <c r="H719" s="28" t="str">
        <f aca="false">IF(B719="","",SUBSTITUTE(SUBSTITUTE(SUBSTITUTE(SUBSTITUTE(SUBSTITUTE(SUBSTITUTE(SUBSTITUTE(SUBSTITUTE(SUBSTITUTE(SUBSTITUTE(SUBSTITUTE(SUBSTITUTE(SUBSTITUTE(UPPER(TRIM(B719)),"Á","A"),"À","A"),"Â","A"),"Ã","A"),"É","E"),"Ê","E"),"Í","I"),"Ó","O"),"Ô","O"),"Õ","O"),"Ú","U"),"Ü","U"),"Ç","C"))</f>
        <v/>
      </c>
      <c r="I719" s="28" t="str">
        <f aca="false">IF(C719="","",IF(LEN(SUBSTITUTE(SUBSTITUTE(SUBSTITUTE(SUBSTITUTE(TRIM(C719),"*",""),".",""),"-","")," ",""))=11,MID(SUBSTITUTE(SUBSTITUTE(SUBSTITUTE(SUBSTITUTE(TRIM(C719),"*",""),".",""),"-","")," ",""),4,6),SUBSTITUTE(SUBSTITUTE(SUBSTITUTE(SUBSTITUTE(TRIM(C719),"*",""),".",""),"-","")," ","")))</f>
        <v/>
      </c>
      <c r="J719" s="28" t="str">
        <f aca="false">IF(OR(H719="",I719=""),"",H719&amp;"|"&amp;I719)</f>
        <v/>
      </c>
      <c r="K719" s="19" t="str">
        <f aca="false">IF(H719="","",IF(AND(J719&lt;&gt;"",COUNTIF(Pessoas!$J:$J,J719)&gt;0),"SIM",IF(COUNTIF(Pessoas!$H:$H,H719)&gt;0,"nome igual em Pessoas: confira o CPF","")))</f>
        <v/>
      </c>
      <c r="L719" s="27"/>
      <c r="M719" s="5"/>
    </row>
    <row r="720" customFormat="false" ht="15" hidden="false" customHeight="false" outlineLevel="0" collapsed="false">
      <c r="A720" s="27"/>
      <c r="B720" s="5"/>
      <c r="C720" s="27"/>
      <c r="D720" s="18"/>
      <c r="E720" s="14"/>
      <c r="F720" s="18"/>
      <c r="G720" s="19" t="str">
        <f aca="false">IF(A720="","",IFERROR(INDEX(Empresas!$B:$B,MATCH(A720,Empresas!$A:$A,0))&amp;"","cadastre o CNPJ em Empresas"))</f>
        <v/>
      </c>
      <c r="H720" s="28" t="str">
        <f aca="false">IF(B720="","",SUBSTITUTE(SUBSTITUTE(SUBSTITUTE(SUBSTITUTE(SUBSTITUTE(SUBSTITUTE(SUBSTITUTE(SUBSTITUTE(SUBSTITUTE(SUBSTITUTE(SUBSTITUTE(SUBSTITUTE(SUBSTITUTE(UPPER(TRIM(B720)),"Á","A"),"À","A"),"Â","A"),"Ã","A"),"É","E"),"Ê","E"),"Í","I"),"Ó","O"),"Ô","O"),"Õ","O"),"Ú","U"),"Ü","U"),"Ç","C"))</f>
        <v/>
      </c>
      <c r="I720" s="28" t="str">
        <f aca="false">IF(C720="","",IF(LEN(SUBSTITUTE(SUBSTITUTE(SUBSTITUTE(SUBSTITUTE(TRIM(C720),"*",""),".",""),"-","")," ",""))=11,MID(SUBSTITUTE(SUBSTITUTE(SUBSTITUTE(SUBSTITUTE(TRIM(C720),"*",""),".",""),"-","")," ",""),4,6),SUBSTITUTE(SUBSTITUTE(SUBSTITUTE(SUBSTITUTE(TRIM(C720),"*",""),".",""),"-","")," ","")))</f>
        <v/>
      </c>
      <c r="J720" s="28" t="str">
        <f aca="false">IF(OR(H720="",I720=""),"",H720&amp;"|"&amp;I720)</f>
        <v/>
      </c>
      <c r="K720" s="19" t="str">
        <f aca="false">IF(H720="","",IF(AND(J720&lt;&gt;"",COUNTIF(Pessoas!$J:$J,J720)&gt;0),"SIM",IF(COUNTIF(Pessoas!$H:$H,H720)&gt;0,"nome igual em Pessoas: confira o CPF","")))</f>
        <v/>
      </c>
      <c r="L720" s="27"/>
      <c r="M720" s="5"/>
    </row>
    <row r="721" customFormat="false" ht="15" hidden="false" customHeight="false" outlineLevel="0" collapsed="false">
      <c r="A721" s="27"/>
      <c r="B721" s="5"/>
      <c r="C721" s="27"/>
      <c r="D721" s="18"/>
      <c r="E721" s="14"/>
      <c r="F721" s="18"/>
      <c r="G721" s="19" t="str">
        <f aca="false">IF(A721="","",IFERROR(INDEX(Empresas!$B:$B,MATCH(A721,Empresas!$A:$A,0))&amp;"","cadastre o CNPJ em Empresas"))</f>
        <v/>
      </c>
      <c r="H721" s="28" t="str">
        <f aca="false">IF(B721="","",SUBSTITUTE(SUBSTITUTE(SUBSTITUTE(SUBSTITUTE(SUBSTITUTE(SUBSTITUTE(SUBSTITUTE(SUBSTITUTE(SUBSTITUTE(SUBSTITUTE(SUBSTITUTE(SUBSTITUTE(SUBSTITUTE(UPPER(TRIM(B721)),"Á","A"),"À","A"),"Â","A"),"Ã","A"),"É","E"),"Ê","E"),"Í","I"),"Ó","O"),"Ô","O"),"Õ","O"),"Ú","U"),"Ü","U"),"Ç","C"))</f>
        <v/>
      </c>
      <c r="I721" s="28" t="str">
        <f aca="false">IF(C721="","",IF(LEN(SUBSTITUTE(SUBSTITUTE(SUBSTITUTE(SUBSTITUTE(TRIM(C721),"*",""),".",""),"-","")," ",""))=11,MID(SUBSTITUTE(SUBSTITUTE(SUBSTITUTE(SUBSTITUTE(TRIM(C721),"*",""),".",""),"-","")," ",""),4,6),SUBSTITUTE(SUBSTITUTE(SUBSTITUTE(SUBSTITUTE(TRIM(C721),"*",""),".",""),"-","")," ","")))</f>
        <v/>
      </c>
      <c r="J721" s="28" t="str">
        <f aca="false">IF(OR(H721="",I721=""),"",H721&amp;"|"&amp;I721)</f>
        <v/>
      </c>
      <c r="K721" s="19" t="str">
        <f aca="false">IF(H721="","",IF(AND(J721&lt;&gt;"",COUNTIF(Pessoas!$J:$J,J721)&gt;0),"SIM",IF(COUNTIF(Pessoas!$H:$H,H721)&gt;0,"nome igual em Pessoas: confira o CPF","")))</f>
        <v/>
      </c>
      <c r="L721" s="27"/>
      <c r="M721" s="5"/>
    </row>
    <row r="722" customFormat="false" ht="15" hidden="false" customHeight="false" outlineLevel="0" collapsed="false">
      <c r="A722" s="27"/>
      <c r="B722" s="5"/>
      <c r="C722" s="27"/>
      <c r="D722" s="18"/>
      <c r="E722" s="14"/>
      <c r="F722" s="18"/>
      <c r="G722" s="19" t="str">
        <f aca="false">IF(A722="","",IFERROR(INDEX(Empresas!$B:$B,MATCH(A722,Empresas!$A:$A,0))&amp;"","cadastre o CNPJ em Empresas"))</f>
        <v/>
      </c>
      <c r="H722" s="28" t="str">
        <f aca="false">IF(B722="","",SUBSTITUTE(SUBSTITUTE(SUBSTITUTE(SUBSTITUTE(SUBSTITUTE(SUBSTITUTE(SUBSTITUTE(SUBSTITUTE(SUBSTITUTE(SUBSTITUTE(SUBSTITUTE(SUBSTITUTE(SUBSTITUTE(UPPER(TRIM(B722)),"Á","A"),"À","A"),"Â","A"),"Ã","A"),"É","E"),"Ê","E"),"Í","I"),"Ó","O"),"Ô","O"),"Õ","O"),"Ú","U"),"Ü","U"),"Ç","C"))</f>
        <v/>
      </c>
      <c r="I722" s="28" t="str">
        <f aca="false">IF(C722="","",IF(LEN(SUBSTITUTE(SUBSTITUTE(SUBSTITUTE(SUBSTITUTE(TRIM(C722),"*",""),".",""),"-","")," ",""))=11,MID(SUBSTITUTE(SUBSTITUTE(SUBSTITUTE(SUBSTITUTE(TRIM(C722),"*",""),".",""),"-","")," ",""),4,6),SUBSTITUTE(SUBSTITUTE(SUBSTITUTE(SUBSTITUTE(TRIM(C722),"*",""),".",""),"-","")," ","")))</f>
        <v/>
      </c>
      <c r="J722" s="28" t="str">
        <f aca="false">IF(OR(H722="",I722=""),"",H722&amp;"|"&amp;I722)</f>
        <v/>
      </c>
      <c r="K722" s="19" t="str">
        <f aca="false">IF(H722="","",IF(AND(J722&lt;&gt;"",COUNTIF(Pessoas!$J:$J,J722)&gt;0),"SIM",IF(COUNTIF(Pessoas!$H:$H,H722)&gt;0,"nome igual em Pessoas: confira o CPF","")))</f>
        <v/>
      </c>
      <c r="L722" s="27"/>
      <c r="M722" s="5"/>
    </row>
    <row r="723" customFormat="false" ht="15" hidden="false" customHeight="false" outlineLevel="0" collapsed="false">
      <c r="A723" s="27"/>
      <c r="B723" s="5"/>
      <c r="C723" s="27"/>
      <c r="D723" s="18"/>
      <c r="E723" s="14"/>
      <c r="F723" s="18"/>
      <c r="G723" s="19" t="str">
        <f aca="false">IF(A723="","",IFERROR(INDEX(Empresas!$B:$B,MATCH(A723,Empresas!$A:$A,0))&amp;"","cadastre o CNPJ em Empresas"))</f>
        <v/>
      </c>
      <c r="H723" s="28" t="str">
        <f aca="false">IF(B723="","",SUBSTITUTE(SUBSTITUTE(SUBSTITUTE(SUBSTITUTE(SUBSTITUTE(SUBSTITUTE(SUBSTITUTE(SUBSTITUTE(SUBSTITUTE(SUBSTITUTE(SUBSTITUTE(SUBSTITUTE(SUBSTITUTE(UPPER(TRIM(B723)),"Á","A"),"À","A"),"Â","A"),"Ã","A"),"É","E"),"Ê","E"),"Í","I"),"Ó","O"),"Ô","O"),"Õ","O"),"Ú","U"),"Ü","U"),"Ç","C"))</f>
        <v/>
      </c>
      <c r="I723" s="28" t="str">
        <f aca="false">IF(C723="","",IF(LEN(SUBSTITUTE(SUBSTITUTE(SUBSTITUTE(SUBSTITUTE(TRIM(C723),"*",""),".",""),"-","")," ",""))=11,MID(SUBSTITUTE(SUBSTITUTE(SUBSTITUTE(SUBSTITUTE(TRIM(C723),"*",""),".",""),"-","")," ",""),4,6),SUBSTITUTE(SUBSTITUTE(SUBSTITUTE(SUBSTITUTE(TRIM(C723),"*",""),".",""),"-","")," ","")))</f>
        <v/>
      </c>
      <c r="J723" s="28" t="str">
        <f aca="false">IF(OR(H723="",I723=""),"",H723&amp;"|"&amp;I723)</f>
        <v/>
      </c>
      <c r="K723" s="19" t="str">
        <f aca="false">IF(H723="","",IF(AND(J723&lt;&gt;"",COUNTIF(Pessoas!$J:$J,J723)&gt;0),"SIM",IF(COUNTIF(Pessoas!$H:$H,H723)&gt;0,"nome igual em Pessoas: confira o CPF","")))</f>
        <v/>
      </c>
      <c r="L723" s="27"/>
      <c r="M723" s="5"/>
    </row>
    <row r="724" customFormat="false" ht="15" hidden="false" customHeight="false" outlineLevel="0" collapsed="false">
      <c r="A724" s="27"/>
      <c r="B724" s="5"/>
      <c r="C724" s="27"/>
      <c r="D724" s="18"/>
      <c r="E724" s="14"/>
      <c r="F724" s="18"/>
      <c r="G724" s="19" t="str">
        <f aca="false">IF(A724="","",IFERROR(INDEX(Empresas!$B:$B,MATCH(A724,Empresas!$A:$A,0))&amp;"","cadastre o CNPJ em Empresas"))</f>
        <v/>
      </c>
      <c r="H724" s="28" t="str">
        <f aca="false">IF(B724="","",SUBSTITUTE(SUBSTITUTE(SUBSTITUTE(SUBSTITUTE(SUBSTITUTE(SUBSTITUTE(SUBSTITUTE(SUBSTITUTE(SUBSTITUTE(SUBSTITUTE(SUBSTITUTE(SUBSTITUTE(SUBSTITUTE(UPPER(TRIM(B724)),"Á","A"),"À","A"),"Â","A"),"Ã","A"),"É","E"),"Ê","E"),"Í","I"),"Ó","O"),"Ô","O"),"Õ","O"),"Ú","U"),"Ü","U"),"Ç","C"))</f>
        <v/>
      </c>
      <c r="I724" s="28" t="str">
        <f aca="false">IF(C724="","",IF(LEN(SUBSTITUTE(SUBSTITUTE(SUBSTITUTE(SUBSTITUTE(TRIM(C724),"*",""),".",""),"-","")," ",""))=11,MID(SUBSTITUTE(SUBSTITUTE(SUBSTITUTE(SUBSTITUTE(TRIM(C724),"*",""),".",""),"-","")," ",""),4,6),SUBSTITUTE(SUBSTITUTE(SUBSTITUTE(SUBSTITUTE(TRIM(C724),"*",""),".",""),"-","")," ","")))</f>
        <v/>
      </c>
      <c r="J724" s="28" t="str">
        <f aca="false">IF(OR(H724="",I724=""),"",H724&amp;"|"&amp;I724)</f>
        <v/>
      </c>
      <c r="K724" s="19" t="str">
        <f aca="false">IF(H724="","",IF(AND(J724&lt;&gt;"",COUNTIF(Pessoas!$J:$J,J724)&gt;0),"SIM",IF(COUNTIF(Pessoas!$H:$H,H724)&gt;0,"nome igual em Pessoas: confira o CPF","")))</f>
        <v/>
      </c>
      <c r="L724" s="27"/>
      <c r="M724" s="5"/>
    </row>
    <row r="725" customFormat="false" ht="15" hidden="false" customHeight="false" outlineLevel="0" collapsed="false">
      <c r="A725" s="27"/>
      <c r="B725" s="5"/>
      <c r="C725" s="27"/>
      <c r="D725" s="18"/>
      <c r="E725" s="14"/>
      <c r="F725" s="18"/>
      <c r="G725" s="19" t="str">
        <f aca="false">IF(A725="","",IFERROR(INDEX(Empresas!$B:$B,MATCH(A725,Empresas!$A:$A,0))&amp;"","cadastre o CNPJ em Empresas"))</f>
        <v/>
      </c>
      <c r="H725" s="28" t="str">
        <f aca="false">IF(B725="","",SUBSTITUTE(SUBSTITUTE(SUBSTITUTE(SUBSTITUTE(SUBSTITUTE(SUBSTITUTE(SUBSTITUTE(SUBSTITUTE(SUBSTITUTE(SUBSTITUTE(SUBSTITUTE(SUBSTITUTE(SUBSTITUTE(UPPER(TRIM(B725)),"Á","A"),"À","A"),"Â","A"),"Ã","A"),"É","E"),"Ê","E"),"Í","I"),"Ó","O"),"Ô","O"),"Õ","O"),"Ú","U"),"Ü","U"),"Ç","C"))</f>
        <v/>
      </c>
      <c r="I725" s="28" t="str">
        <f aca="false">IF(C725="","",IF(LEN(SUBSTITUTE(SUBSTITUTE(SUBSTITUTE(SUBSTITUTE(TRIM(C725),"*",""),".",""),"-","")," ",""))=11,MID(SUBSTITUTE(SUBSTITUTE(SUBSTITUTE(SUBSTITUTE(TRIM(C725),"*",""),".",""),"-","")," ",""),4,6),SUBSTITUTE(SUBSTITUTE(SUBSTITUTE(SUBSTITUTE(TRIM(C725),"*",""),".",""),"-","")," ","")))</f>
        <v/>
      </c>
      <c r="J725" s="28" t="str">
        <f aca="false">IF(OR(H725="",I725=""),"",H725&amp;"|"&amp;I725)</f>
        <v/>
      </c>
      <c r="K725" s="19" t="str">
        <f aca="false">IF(H725="","",IF(AND(J725&lt;&gt;"",COUNTIF(Pessoas!$J:$J,J725)&gt;0),"SIM",IF(COUNTIF(Pessoas!$H:$H,H725)&gt;0,"nome igual em Pessoas: confira o CPF","")))</f>
        <v/>
      </c>
      <c r="L725" s="27"/>
      <c r="M725" s="5"/>
    </row>
    <row r="726" customFormat="false" ht="15" hidden="false" customHeight="false" outlineLevel="0" collapsed="false">
      <c r="A726" s="27"/>
      <c r="B726" s="5"/>
      <c r="C726" s="27"/>
      <c r="D726" s="18"/>
      <c r="E726" s="14"/>
      <c r="F726" s="18"/>
      <c r="G726" s="19" t="str">
        <f aca="false">IF(A726="","",IFERROR(INDEX(Empresas!$B:$B,MATCH(A726,Empresas!$A:$A,0))&amp;"","cadastre o CNPJ em Empresas"))</f>
        <v/>
      </c>
      <c r="H726" s="28" t="str">
        <f aca="false">IF(B726="","",SUBSTITUTE(SUBSTITUTE(SUBSTITUTE(SUBSTITUTE(SUBSTITUTE(SUBSTITUTE(SUBSTITUTE(SUBSTITUTE(SUBSTITUTE(SUBSTITUTE(SUBSTITUTE(SUBSTITUTE(SUBSTITUTE(UPPER(TRIM(B726)),"Á","A"),"À","A"),"Â","A"),"Ã","A"),"É","E"),"Ê","E"),"Í","I"),"Ó","O"),"Ô","O"),"Õ","O"),"Ú","U"),"Ü","U"),"Ç","C"))</f>
        <v/>
      </c>
      <c r="I726" s="28" t="str">
        <f aca="false">IF(C726="","",IF(LEN(SUBSTITUTE(SUBSTITUTE(SUBSTITUTE(SUBSTITUTE(TRIM(C726),"*",""),".",""),"-","")," ",""))=11,MID(SUBSTITUTE(SUBSTITUTE(SUBSTITUTE(SUBSTITUTE(TRIM(C726),"*",""),".",""),"-","")," ",""),4,6),SUBSTITUTE(SUBSTITUTE(SUBSTITUTE(SUBSTITUTE(TRIM(C726),"*",""),".",""),"-","")," ","")))</f>
        <v/>
      </c>
      <c r="J726" s="28" t="str">
        <f aca="false">IF(OR(H726="",I726=""),"",H726&amp;"|"&amp;I726)</f>
        <v/>
      </c>
      <c r="K726" s="19" t="str">
        <f aca="false">IF(H726="","",IF(AND(J726&lt;&gt;"",COUNTIF(Pessoas!$J:$J,J726)&gt;0),"SIM",IF(COUNTIF(Pessoas!$H:$H,H726)&gt;0,"nome igual em Pessoas: confira o CPF","")))</f>
        <v/>
      </c>
      <c r="L726" s="27"/>
      <c r="M726" s="5"/>
    </row>
    <row r="727" customFormat="false" ht="15" hidden="false" customHeight="false" outlineLevel="0" collapsed="false">
      <c r="A727" s="27"/>
      <c r="B727" s="5"/>
      <c r="C727" s="27"/>
      <c r="D727" s="18"/>
      <c r="E727" s="14"/>
      <c r="F727" s="18"/>
      <c r="G727" s="19" t="str">
        <f aca="false">IF(A727="","",IFERROR(INDEX(Empresas!$B:$B,MATCH(A727,Empresas!$A:$A,0))&amp;"","cadastre o CNPJ em Empresas"))</f>
        <v/>
      </c>
      <c r="H727" s="28" t="str">
        <f aca="false">IF(B727="","",SUBSTITUTE(SUBSTITUTE(SUBSTITUTE(SUBSTITUTE(SUBSTITUTE(SUBSTITUTE(SUBSTITUTE(SUBSTITUTE(SUBSTITUTE(SUBSTITUTE(SUBSTITUTE(SUBSTITUTE(SUBSTITUTE(UPPER(TRIM(B727)),"Á","A"),"À","A"),"Â","A"),"Ã","A"),"É","E"),"Ê","E"),"Í","I"),"Ó","O"),"Ô","O"),"Õ","O"),"Ú","U"),"Ü","U"),"Ç","C"))</f>
        <v/>
      </c>
      <c r="I727" s="28" t="str">
        <f aca="false">IF(C727="","",IF(LEN(SUBSTITUTE(SUBSTITUTE(SUBSTITUTE(SUBSTITUTE(TRIM(C727),"*",""),".",""),"-","")," ",""))=11,MID(SUBSTITUTE(SUBSTITUTE(SUBSTITUTE(SUBSTITUTE(TRIM(C727),"*",""),".",""),"-","")," ",""),4,6),SUBSTITUTE(SUBSTITUTE(SUBSTITUTE(SUBSTITUTE(TRIM(C727),"*",""),".",""),"-","")," ","")))</f>
        <v/>
      </c>
      <c r="J727" s="28" t="str">
        <f aca="false">IF(OR(H727="",I727=""),"",H727&amp;"|"&amp;I727)</f>
        <v/>
      </c>
      <c r="K727" s="19" t="str">
        <f aca="false">IF(H727="","",IF(AND(J727&lt;&gt;"",COUNTIF(Pessoas!$J:$J,J727)&gt;0),"SIM",IF(COUNTIF(Pessoas!$H:$H,H727)&gt;0,"nome igual em Pessoas: confira o CPF","")))</f>
        <v/>
      </c>
      <c r="L727" s="27"/>
      <c r="M727" s="5"/>
    </row>
    <row r="728" customFormat="false" ht="15" hidden="false" customHeight="false" outlineLevel="0" collapsed="false">
      <c r="A728" s="27"/>
      <c r="B728" s="5"/>
      <c r="C728" s="27"/>
      <c r="D728" s="18"/>
      <c r="E728" s="14"/>
      <c r="F728" s="18"/>
      <c r="G728" s="19" t="str">
        <f aca="false">IF(A728="","",IFERROR(INDEX(Empresas!$B:$B,MATCH(A728,Empresas!$A:$A,0))&amp;"","cadastre o CNPJ em Empresas"))</f>
        <v/>
      </c>
      <c r="H728" s="28" t="str">
        <f aca="false">IF(B728="","",SUBSTITUTE(SUBSTITUTE(SUBSTITUTE(SUBSTITUTE(SUBSTITUTE(SUBSTITUTE(SUBSTITUTE(SUBSTITUTE(SUBSTITUTE(SUBSTITUTE(SUBSTITUTE(SUBSTITUTE(SUBSTITUTE(UPPER(TRIM(B728)),"Á","A"),"À","A"),"Â","A"),"Ã","A"),"É","E"),"Ê","E"),"Í","I"),"Ó","O"),"Ô","O"),"Õ","O"),"Ú","U"),"Ü","U"),"Ç","C"))</f>
        <v/>
      </c>
      <c r="I728" s="28" t="str">
        <f aca="false">IF(C728="","",IF(LEN(SUBSTITUTE(SUBSTITUTE(SUBSTITUTE(SUBSTITUTE(TRIM(C728),"*",""),".",""),"-","")," ",""))=11,MID(SUBSTITUTE(SUBSTITUTE(SUBSTITUTE(SUBSTITUTE(TRIM(C728),"*",""),".",""),"-","")," ",""),4,6),SUBSTITUTE(SUBSTITUTE(SUBSTITUTE(SUBSTITUTE(TRIM(C728),"*",""),".",""),"-","")," ","")))</f>
        <v/>
      </c>
      <c r="J728" s="28" t="str">
        <f aca="false">IF(OR(H728="",I728=""),"",H728&amp;"|"&amp;I728)</f>
        <v/>
      </c>
      <c r="K728" s="19" t="str">
        <f aca="false">IF(H728="","",IF(AND(J728&lt;&gt;"",COUNTIF(Pessoas!$J:$J,J728)&gt;0),"SIM",IF(COUNTIF(Pessoas!$H:$H,H728)&gt;0,"nome igual em Pessoas: confira o CPF","")))</f>
        <v/>
      </c>
      <c r="L728" s="27"/>
      <c r="M728" s="5"/>
    </row>
    <row r="729" customFormat="false" ht="15" hidden="false" customHeight="false" outlineLevel="0" collapsed="false">
      <c r="A729" s="27"/>
      <c r="B729" s="5"/>
      <c r="C729" s="27"/>
      <c r="D729" s="18"/>
      <c r="E729" s="14"/>
      <c r="F729" s="18"/>
      <c r="G729" s="19" t="str">
        <f aca="false">IF(A729="","",IFERROR(INDEX(Empresas!$B:$B,MATCH(A729,Empresas!$A:$A,0))&amp;"","cadastre o CNPJ em Empresas"))</f>
        <v/>
      </c>
      <c r="H729" s="28" t="str">
        <f aca="false">IF(B729="","",SUBSTITUTE(SUBSTITUTE(SUBSTITUTE(SUBSTITUTE(SUBSTITUTE(SUBSTITUTE(SUBSTITUTE(SUBSTITUTE(SUBSTITUTE(SUBSTITUTE(SUBSTITUTE(SUBSTITUTE(SUBSTITUTE(UPPER(TRIM(B729)),"Á","A"),"À","A"),"Â","A"),"Ã","A"),"É","E"),"Ê","E"),"Í","I"),"Ó","O"),"Ô","O"),"Õ","O"),"Ú","U"),"Ü","U"),"Ç","C"))</f>
        <v/>
      </c>
      <c r="I729" s="28" t="str">
        <f aca="false">IF(C729="","",IF(LEN(SUBSTITUTE(SUBSTITUTE(SUBSTITUTE(SUBSTITUTE(TRIM(C729),"*",""),".",""),"-","")," ",""))=11,MID(SUBSTITUTE(SUBSTITUTE(SUBSTITUTE(SUBSTITUTE(TRIM(C729),"*",""),".",""),"-","")," ",""),4,6),SUBSTITUTE(SUBSTITUTE(SUBSTITUTE(SUBSTITUTE(TRIM(C729),"*",""),".",""),"-","")," ","")))</f>
        <v/>
      </c>
      <c r="J729" s="28" t="str">
        <f aca="false">IF(OR(H729="",I729=""),"",H729&amp;"|"&amp;I729)</f>
        <v/>
      </c>
      <c r="K729" s="19" t="str">
        <f aca="false">IF(H729="","",IF(AND(J729&lt;&gt;"",COUNTIF(Pessoas!$J:$J,J729)&gt;0),"SIM",IF(COUNTIF(Pessoas!$H:$H,H729)&gt;0,"nome igual em Pessoas: confira o CPF","")))</f>
        <v/>
      </c>
      <c r="L729" s="27"/>
      <c r="M729" s="5"/>
    </row>
    <row r="730" customFormat="false" ht="15" hidden="false" customHeight="false" outlineLevel="0" collapsed="false">
      <c r="A730" s="27"/>
      <c r="B730" s="5"/>
      <c r="C730" s="27"/>
      <c r="D730" s="18"/>
      <c r="E730" s="14"/>
      <c r="F730" s="18"/>
      <c r="G730" s="19" t="str">
        <f aca="false">IF(A730="","",IFERROR(INDEX(Empresas!$B:$B,MATCH(A730,Empresas!$A:$A,0))&amp;"","cadastre o CNPJ em Empresas"))</f>
        <v/>
      </c>
      <c r="H730" s="28" t="str">
        <f aca="false">IF(B730="","",SUBSTITUTE(SUBSTITUTE(SUBSTITUTE(SUBSTITUTE(SUBSTITUTE(SUBSTITUTE(SUBSTITUTE(SUBSTITUTE(SUBSTITUTE(SUBSTITUTE(SUBSTITUTE(SUBSTITUTE(SUBSTITUTE(UPPER(TRIM(B730)),"Á","A"),"À","A"),"Â","A"),"Ã","A"),"É","E"),"Ê","E"),"Í","I"),"Ó","O"),"Ô","O"),"Õ","O"),"Ú","U"),"Ü","U"),"Ç","C"))</f>
        <v/>
      </c>
      <c r="I730" s="28" t="str">
        <f aca="false">IF(C730="","",IF(LEN(SUBSTITUTE(SUBSTITUTE(SUBSTITUTE(SUBSTITUTE(TRIM(C730),"*",""),".",""),"-","")," ",""))=11,MID(SUBSTITUTE(SUBSTITUTE(SUBSTITUTE(SUBSTITUTE(TRIM(C730),"*",""),".",""),"-","")," ",""),4,6),SUBSTITUTE(SUBSTITUTE(SUBSTITUTE(SUBSTITUTE(TRIM(C730),"*",""),".",""),"-","")," ","")))</f>
        <v/>
      </c>
      <c r="J730" s="28" t="str">
        <f aca="false">IF(OR(H730="",I730=""),"",H730&amp;"|"&amp;I730)</f>
        <v/>
      </c>
      <c r="K730" s="19" t="str">
        <f aca="false">IF(H730="","",IF(AND(J730&lt;&gt;"",COUNTIF(Pessoas!$J:$J,J730)&gt;0),"SIM",IF(COUNTIF(Pessoas!$H:$H,H730)&gt;0,"nome igual em Pessoas: confira o CPF","")))</f>
        <v/>
      </c>
      <c r="L730" s="27"/>
      <c r="M730" s="5"/>
    </row>
    <row r="731" customFormat="false" ht="15" hidden="false" customHeight="false" outlineLevel="0" collapsed="false">
      <c r="A731" s="27"/>
      <c r="B731" s="5"/>
      <c r="C731" s="27"/>
      <c r="D731" s="18"/>
      <c r="E731" s="14"/>
      <c r="F731" s="18"/>
      <c r="G731" s="19" t="str">
        <f aca="false">IF(A731="","",IFERROR(INDEX(Empresas!$B:$B,MATCH(A731,Empresas!$A:$A,0))&amp;"","cadastre o CNPJ em Empresas"))</f>
        <v/>
      </c>
      <c r="H731" s="28" t="str">
        <f aca="false">IF(B731="","",SUBSTITUTE(SUBSTITUTE(SUBSTITUTE(SUBSTITUTE(SUBSTITUTE(SUBSTITUTE(SUBSTITUTE(SUBSTITUTE(SUBSTITUTE(SUBSTITUTE(SUBSTITUTE(SUBSTITUTE(SUBSTITUTE(UPPER(TRIM(B731)),"Á","A"),"À","A"),"Â","A"),"Ã","A"),"É","E"),"Ê","E"),"Í","I"),"Ó","O"),"Ô","O"),"Õ","O"),"Ú","U"),"Ü","U"),"Ç","C"))</f>
        <v/>
      </c>
      <c r="I731" s="28" t="str">
        <f aca="false">IF(C731="","",IF(LEN(SUBSTITUTE(SUBSTITUTE(SUBSTITUTE(SUBSTITUTE(TRIM(C731),"*",""),".",""),"-","")," ",""))=11,MID(SUBSTITUTE(SUBSTITUTE(SUBSTITUTE(SUBSTITUTE(TRIM(C731),"*",""),".",""),"-","")," ",""),4,6),SUBSTITUTE(SUBSTITUTE(SUBSTITUTE(SUBSTITUTE(TRIM(C731),"*",""),".",""),"-","")," ","")))</f>
        <v/>
      </c>
      <c r="J731" s="28" t="str">
        <f aca="false">IF(OR(H731="",I731=""),"",H731&amp;"|"&amp;I731)</f>
        <v/>
      </c>
      <c r="K731" s="19" t="str">
        <f aca="false">IF(H731="","",IF(AND(J731&lt;&gt;"",COUNTIF(Pessoas!$J:$J,J731)&gt;0),"SIM",IF(COUNTIF(Pessoas!$H:$H,H731)&gt;0,"nome igual em Pessoas: confira o CPF","")))</f>
        <v/>
      </c>
      <c r="L731" s="27"/>
      <c r="M731" s="5"/>
    </row>
    <row r="732" customFormat="false" ht="15" hidden="false" customHeight="false" outlineLevel="0" collapsed="false">
      <c r="A732" s="27"/>
      <c r="B732" s="5"/>
      <c r="C732" s="27"/>
      <c r="D732" s="18"/>
      <c r="E732" s="14"/>
      <c r="F732" s="18"/>
      <c r="G732" s="19" t="str">
        <f aca="false">IF(A732="","",IFERROR(INDEX(Empresas!$B:$B,MATCH(A732,Empresas!$A:$A,0))&amp;"","cadastre o CNPJ em Empresas"))</f>
        <v/>
      </c>
      <c r="H732" s="28" t="str">
        <f aca="false">IF(B732="","",SUBSTITUTE(SUBSTITUTE(SUBSTITUTE(SUBSTITUTE(SUBSTITUTE(SUBSTITUTE(SUBSTITUTE(SUBSTITUTE(SUBSTITUTE(SUBSTITUTE(SUBSTITUTE(SUBSTITUTE(SUBSTITUTE(UPPER(TRIM(B732)),"Á","A"),"À","A"),"Â","A"),"Ã","A"),"É","E"),"Ê","E"),"Í","I"),"Ó","O"),"Ô","O"),"Õ","O"),"Ú","U"),"Ü","U"),"Ç","C"))</f>
        <v/>
      </c>
      <c r="I732" s="28" t="str">
        <f aca="false">IF(C732="","",IF(LEN(SUBSTITUTE(SUBSTITUTE(SUBSTITUTE(SUBSTITUTE(TRIM(C732),"*",""),".",""),"-","")," ",""))=11,MID(SUBSTITUTE(SUBSTITUTE(SUBSTITUTE(SUBSTITUTE(TRIM(C732),"*",""),".",""),"-","")," ",""),4,6),SUBSTITUTE(SUBSTITUTE(SUBSTITUTE(SUBSTITUTE(TRIM(C732),"*",""),".",""),"-","")," ","")))</f>
        <v/>
      </c>
      <c r="J732" s="28" t="str">
        <f aca="false">IF(OR(H732="",I732=""),"",H732&amp;"|"&amp;I732)</f>
        <v/>
      </c>
      <c r="K732" s="19" t="str">
        <f aca="false">IF(H732="","",IF(AND(J732&lt;&gt;"",COUNTIF(Pessoas!$J:$J,J732)&gt;0),"SIM",IF(COUNTIF(Pessoas!$H:$H,H732)&gt;0,"nome igual em Pessoas: confira o CPF","")))</f>
        <v/>
      </c>
      <c r="L732" s="27"/>
      <c r="M732" s="5"/>
    </row>
    <row r="733" customFormat="false" ht="15" hidden="false" customHeight="false" outlineLevel="0" collapsed="false">
      <c r="A733" s="27"/>
      <c r="B733" s="5"/>
      <c r="C733" s="27"/>
      <c r="D733" s="18"/>
      <c r="E733" s="14"/>
      <c r="F733" s="18"/>
      <c r="G733" s="19" t="str">
        <f aca="false">IF(A733="","",IFERROR(INDEX(Empresas!$B:$B,MATCH(A733,Empresas!$A:$A,0))&amp;"","cadastre o CNPJ em Empresas"))</f>
        <v/>
      </c>
      <c r="H733" s="28" t="str">
        <f aca="false">IF(B733="","",SUBSTITUTE(SUBSTITUTE(SUBSTITUTE(SUBSTITUTE(SUBSTITUTE(SUBSTITUTE(SUBSTITUTE(SUBSTITUTE(SUBSTITUTE(SUBSTITUTE(SUBSTITUTE(SUBSTITUTE(SUBSTITUTE(UPPER(TRIM(B733)),"Á","A"),"À","A"),"Â","A"),"Ã","A"),"É","E"),"Ê","E"),"Í","I"),"Ó","O"),"Ô","O"),"Õ","O"),"Ú","U"),"Ü","U"),"Ç","C"))</f>
        <v/>
      </c>
      <c r="I733" s="28" t="str">
        <f aca="false">IF(C733="","",IF(LEN(SUBSTITUTE(SUBSTITUTE(SUBSTITUTE(SUBSTITUTE(TRIM(C733),"*",""),".",""),"-","")," ",""))=11,MID(SUBSTITUTE(SUBSTITUTE(SUBSTITUTE(SUBSTITUTE(TRIM(C733),"*",""),".",""),"-","")," ",""),4,6),SUBSTITUTE(SUBSTITUTE(SUBSTITUTE(SUBSTITUTE(TRIM(C733),"*",""),".",""),"-","")," ","")))</f>
        <v/>
      </c>
      <c r="J733" s="28" t="str">
        <f aca="false">IF(OR(H733="",I733=""),"",H733&amp;"|"&amp;I733)</f>
        <v/>
      </c>
      <c r="K733" s="19" t="str">
        <f aca="false">IF(H733="","",IF(AND(J733&lt;&gt;"",COUNTIF(Pessoas!$J:$J,J733)&gt;0),"SIM",IF(COUNTIF(Pessoas!$H:$H,H733)&gt;0,"nome igual em Pessoas: confira o CPF","")))</f>
        <v/>
      </c>
      <c r="L733" s="27"/>
      <c r="M733" s="5"/>
    </row>
    <row r="734" customFormat="false" ht="15" hidden="false" customHeight="false" outlineLevel="0" collapsed="false">
      <c r="A734" s="27"/>
      <c r="B734" s="5"/>
      <c r="C734" s="27"/>
      <c r="D734" s="18"/>
      <c r="E734" s="14"/>
      <c r="F734" s="18"/>
      <c r="G734" s="19" t="str">
        <f aca="false">IF(A734="","",IFERROR(INDEX(Empresas!$B:$B,MATCH(A734,Empresas!$A:$A,0))&amp;"","cadastre o CNPJ em Empresas"))</f>
        <v/>
      </c>
      <c r="H734" s="28" t="str">
        <f aca="false">IF(B734="","",SUBSTITUTE(SUBSTITUTE(SUBSTITUTE(SUBSTITUTE(SUBSTITUTE(SUBSTITUTE(SUBSTITUTE(SUBSTITUTE(SUBSTITUTE(SUBSTITUTE(SUBSTITUTE(SUBSTITUTE(SUBSTITUTE(UPPER(TRIM(B734)),"Á","A"),"À","A"),"Â","A"),"Ã","A"),"É","E"),"Ê","E"),"Í","I"),"Ó","O"),"Ô","O"),"Õ","O"),"Ú","U"),"Ü","U"),"Ç","C"))</f>
        <v/>
      </c>
      <c r="I734" s="28" t="str">
        <f aca="false">IF(C734="","",IF(LEN(SUBSTITUTE(SUBSTITUTE(SUBSTITUTE(SUBSTITUTE(TRIM(C734),"*",""),".",""),"-","")," ",""))=11,MID(SUBSTITUTE(SUBSTITUTE(SUBSTITUTE(SUBSTITUTE(TRIM(C734),"*",""),".",""),"-","")," ",""),4,6),SUBSTITUTE(SUBSTITUTE(SUBSTITUTE(SUBSTITUTE(TRIM(C734),"*",""),".",""),"-","")," ","")))</f>
        <v/>
      </c>
      <c r="J734" s="28" t="str">
        <f aca="false">IF(OR(H734="",I734=""),"",H734&amp;"|"&amp;I734)</f>
        <v/>
      </c>
      <c r="K734" s="19" t="str">
        <f aca="false">IF(H734="","",IF(AND(J734&lt;&gt;"",COUNTIF(Pessoas!$J:$J,J734)&gt;0),"SIM",IF(COUNTIF(Pessoas!$H:$H,H734)&gt;0,"nome igual em Pessoas: confira o CPF","")))</f>
        <v/>
      </c>
      <c r="L734" s="27"/>
      <c r="M734" s="5"/>
    </row>
    <row r="735" customFormat="false" ht="15" hidden="false" customHeight="false" outlineLevel="0" collapsed="false">
      <c r="A735" s="27"/>
      <c r="B735" s="5"/>
      <c r="C735" s="27"/>
      <c r="D735" s="18"/>
      <c r="E735" s="14"/>
      <c r="F735" s="18"/>
      <c r="G735" s="19" t="str">
        <f aca="false">IF(A735="","",IFERROR(INDEX(Empresas!$B:$B,MATCH(A735,Empresas!$A:$A,0))&amp;"","cadastre o CNPJ em Empresas"))</f>
        <v/>
      </c>
      <c r="H735" s="28" t="str">
        <f aca="false">IF(B735="","",SUBSTITUTE(SUBSTITUTE(SUBSTITUTE(SUBSTITUTE(SUBSTITUTE(SUBSTITUTE(SUBSTITUTE(SUBSTITUTE(SUBSTITUTE(SUBSTITUTE(SUBSTITUTE(SUBSTITUTE(SUBSTITUTE(UPPER(TRIM(B735)),"Á","A"),"À","A"),"Â","A"),"Ã","A"),"É","E"),"Ê","E"),"Í","I"),"Ó","O"),"Ô","O"),"Õ","O"),"Ú","U"),"Ü","U"),"Ç","C"))</f>
        <v/>
      </c>
      <c r="I735" s="28" t="str">
        <f aca="false">IF(C735="","",IF(LEN(SUBSTITUTE(SUBSTITUTE(SUBSTITUTE(SUBSTITUTE(TRIM(C735),"*",""),".",""),"-","")," ",""))=11,MID(SUBSTITUTE(SUBSTITUTE(SUBSTITUTE(SUBSTITUTE(TRIM(C735),"*",""),".",""),"-","")," ",""),4,6),SUBSTITUTE(SUBSTITUTE(SUBSTITUTE(SUBSTITUTE(TRIM(C735),"*",""),".",""),"-","")," ","")))</f>
        <v/>
      </c>
      <c r="J735" s="28" t="str">
        <f aca="false">IF(OR(H735="",I735=""),"",H735&amp;"|"&amp;I735)</f>
        <v/>
      </c>
      <c r="K735" s="19" t="str">
        <f aca="false">IF(H735="","",IF(AND(J735&lt;&gt;"",COUNTIF(Pessoas!$J:$J,J735)&gt;0),"SIM",IF(COUNTIF(Pessoas!$H:$H,H735)&gt;0,"nome igual em Pessoas: confira o CPF","")))</f>
        <v/>
      </c>
      <c r="L735" s="27"/>
      <c r="M735" s="5"/>
    </row>
    <row r="736" customFormat="false" ht="15" hidden="false" customHeight="false" outlineLevel="0" collapsed="false">
      <c r="A736" s="27"/>
      <c r="B736" s="5"/>
      <c r="C736" s="27"/>
      <c r="D736" s="18"/>
      <c r="E736" s="14"/>
      <c r="F736" s="18"/>
      <c r="G736" s="19" t="str">
        <f aca="false">IF(A736="","",IFERROR(INDEX(Empresas!$B:$B,MATCH(A736,Empresas!$A:$A,0))&amp;"","cadastre o CNPJ em Empresas"))</f>
        <v/>
      </c>
      <c r="H736" s="28" t="str">
        <f aca="false">IF(B736="","",SUBSTITUTE(SUBSTITUTE(SUBSTITUTE(SUBSTITUTE(SUBSTITUTE(SUBSTITUTE(SUBSTITUTE(SUBSTITUTE(SUBSTITUTE(SUBSTITUTE(SUBSTITUTE(SUBSTITUTE(SUBSTITUTE(UPPER(TRIM(B736)),"Á","A"),"À","A"),"Â","A"),"Ã","A"),"É","E"),"Ê","E"),"Í","I"),"Ó","O"),"Ô","O"),"Õ","O"),"Ú","U"),"Ü","U"),"Ç","C"))</f>
        <v/>
      </c>
      <c r="I736" s="28" t="str">
        <f aca="false">IF(C736="","",IF(LEN(SUBSTITUTE(SUBSTITUTE(SUBSTITUTE(SUBSTITUTE(TRIM(C736),"*",""),".",""),"-","")," ",""))=11,MID(SUBSTITUTE(SUBSTITUTE(SUBSTITUTE(SUBSTITUTE(TRIM(C736),"*",""),".",""),"-","")," ",""),4,6),SUBSTITUTE(SUBSTITUTE(SUBSTITUTE(SUBSTITUTE(TRIM(C736),"*",""),".",""),"-","")," ","")))</f>
        <v/>
      </c>
      <c r="J736" s="28" t="str">
        <f aca="false">IF(OR(H736="",I736=""),"",H736&amp;"|"&amp;I736)</f>
        <v/>
      </c>
      <c r="K736" s="19" t="str">
        <f aca="false">IF(H736="","",IF(AND(J736&lt;&gt;"",COUNTIF(Pessoas!$J:$J,J736)&gt;0),"SIM",IF(COUNTIF(Pessoas!$H:$H,H736)&gt;0,"nome igual em Pessoas: confira o CPF","")))</f>
        <v/>
      </c>
      <c r="L736" s="27"/>
      <c r="M736" s="5"/>
    </row>
    <row r="737" customFormat="false" ht="15" hidden="false" customHeight="false" outlineLevel="0" collapsed="false">
      <c r="A737" s="27"/>
      <c r="B737" s="5"/>
      <c r="C737" s="27"/>
      <c r="D737" s="18"/>
      <c r="E737" s="14"/>
      <c r="F737" s="18"/>
      <c r="G737" s="19" t="str">
        <f aca="false">IF(A737="","",IFERROR(INDEX(Empresas!$B:$B,MATCH(A737,Empresas!$A:$A,0))&amp;"","cadastre o CNPJ em Empresas"))</f>
        <v/>
      </c>
      <c r="H737" s="28" t="str">
        <f aca="false">IF(B737="","",SUBSTITUTE(SUBSTITUTE(SUBSTITUTE(SUBSTITUTE(SUBSTITUTE(SUBSTITUTE(SUBSTITUTE(SUBSTITUTE(SUBSTITUTE(SUBSTITUTE(SUBSTITUTE(SUBSTITUTE(SUBSTITUTE(UPPER(TRIM(B737)),"Á","A"),"À","A"),"Â","A"),"Ã","A"),"É","E"),"Ê","E"),"Í","I"),"Ó","O"),"Ô","O"),"Õ","O"),"Ú","U"),"Ü","U"),"Ç","C"))</f>
        <v/>
      </c>
      <c r="I737" s="28" t="str">
        <f aca="false">IF(C737="","",IF(LEN(SUBSTITUTE(SUBSTITUTE(SUBSTITUTE(SUBSTITUTE(TRIM(C737),"*",""),".",""),"-","")," ",""))=11,MID(SUBSTITUTE(SUBSTITUTE(SUBSTITUTE(SUBSTITUTE(TRIM(C737),"*",""),".",""),"-","")," ",""),4,6),SUBSTITUTE(SUBSTITUTE(SUBSTITUTE(SUBSTITUTE(TRIM(C737),"*",""),".",""),"-","")," ","")))</f>
        <v/>
      </c>
      <c r="J737" s="28" t="str">
        <f aca="false">IF(OR(H737="",I737=""),"",H737&amp;"|"&amp;I737)</f>
        <v/>
      </c>
      <c r="K737" s="19" t="str">
        <f aca="false">IF(H737="","",IF(AND(J737&lt;&gt;"",COUNTIF(Pessoas!$J:$J,J737)&gt;0),"SIM",IF(COUNTIF(Pessoas!$H:$H,H737)&gt;0,"nome igual em Pessoas: confira o CPF","")))</f>
        <v/>
      </c>
      <c r="L737" s="27"/>
      <c r="M737" s="5"/>
    </row>
    <row r="738" customFormat="false" ht="15" hidden="false" customHeight="false" outlineLevel="0" collapsed="false">
      <c r="A738" s="27"/>
      <c r="B738" s="5"/>
      <c r="C738" s="27"/>
      <c r="D738" s="18"/>
      <c r="E738" s="14"/>
      <c r="F738" s="18"/>
      <c r="G738" s="19" t="str">
        <f aca="false">IF(A738="","",IFERROR(INDEX(Empresas!$B:$B,MATCH(A738,Empresas!$A:$A,0))&amp;"","cadastre o CNPJ em Empresas"))</f>
        <v/>
      </c>
      <c r="H738" s="28" t="str">
        <f aca="false">IF(B738="","",SUBSTITUTE(SUBSTITUTE(SUBSTITUTE(SUBSTITUTE(SUBSTITUTE(SUBSTITUTE(SUBSTITUTE(SUBSTITUTE(SUBSTITUTE(SUBSTITUTE(SUBSTITUTE(SUBSTITUTE(SUBSTITUTE(UPPER(TRIM(B738)),"Á","A"),"À","A"),"Â","A"),"Ã","A"),"É","E"),"Ê","E"),"Í","I"),"Ó","O"),"Ô","O"),"Õ","O"),"Ú","U"),"Ü","U"),"Ç","C"))</f>
        <v/>
      </c>
      <c r="I738" s="28" t="str">
        <f aca="false">IF(C738="","",IF(LEN(SUBSTITUTE(SUBSTITUTE(SUBSTITUTE(SUBSTITUTE(TRIM(C738),"*",""),".",""),"-","")," ",""))=11,MID(SUBSTITUTE(SUBSTITUTE(SUBSTITUTE(SUBSTITUTE(TRIM(C738),"*",""),".",""),"-","")," ",""),4,6),SUBSTITUTE(SUBSTITUTE(SUBSTITUTE(SUBSTITUTE(TRIM(C738),"*",""),".",""),"-","")," ","")))</f>
        <v/>
      </c>
      <c r="J738" s="28" t="str">
        <f aca="false">IF(OR(H738="",I738=""),"",H738&amp;"|"&amp;I738)</f>
        <v/>
      </c>
      <c r="K738" s="19" t="str">
        <f aca="false">IF(H738="","",IF(AND(J738&lt;&gt;"",COUNTIF(Pessoas!$J:$J,J738)&gt;0),"SIM",IF(COUNTIF(Pessoas!$H:$H,H738)&gt;0,"nome igual em Pessoas: confira o CPF","")))</f>
        <v/>
      </c>
      <c r="L738" s="27"/>
      <c r="M738" s="5"/>
    </row>
    <row r="739" customFormat="false" ht="15" hidden="false" customHeight="false" outlineLevel="0" collapsed="false">
      <c r="A739" s="27"/>
      <c r="B739" s="5"/>
      <c r="C739" s="27"/>
      <c r="D739" s="18"/>
      <c r="E739" s="14"/>
      <c r="F739" s="18"/>
      <c r="G739" s="19" t="str">
        <f aca="false">IF(A739="","",IFERROR(INDEX(Empresas!$B:$B,MATCH(A739,Empresas!$A:$A,0))&amp;"","cadastre o CNPJ em Empresas"))</f>
        <v/>
      </c>
      <c r="H739" s="28" t="str">
        <f aca="false">IF(B739="","",SUBSTITUTE(SUBSTITUTE(SUBSTITUTE(SUBSTITUTE(SUBSTITUTE(SUBSTITUTE(SUBSTITUTE(SUBSTITUTE(SUBSTITUTE(SUBSTITUTE(SUBSTITUTE(SUBSTITUTE(SUBSTITUTE(UPPER(TRIM(B739)),"Á","A"),"À","A"),"Â","A"),"Ã","A"),"É","E"),"Ê","E"),"Í","I"),"Ó","O"),"Ô","O"),"Õ","O"),"Ú","U"),"Ü","U"),"Ç","C"))</f>
        <v/>
      </c>
      <c r="I739" s="28" t="str">
        <f aca="false">IF(C739="","",IF(LEN(SUBSTITUTE(SUBSTITUTE(SUBSTITUTE(SUBSTITUTE(TRIM(C739),"*",""),".",""),"-","")," ",""))=11,MID(SUBSTITUTE(SUBSTITUTE(SUBSTITUTE(SUBSTITUTE(TRIM(C739),"*",""),".",""),"-","")," ",""),4,6),SUBSTITUTE(SUBSTITUTE(SUBSTITUTE(SUBSTITUTE(TRIM(C739),"*",""),".",""),"-","")," ","")))</f>
        <v/>
      </c>
      <c r="J739" s="28" t="str">
        <f aca="false">IF(OR(H739="",I739=""),"",H739&amp;"|"&amp;I739)</f>
        <v/>
      </c>
      <c r="K739" s="19" t="str">
        <f aca="false">IF(H739="","",IF(AND(J739&lt;&gt;"",COUNTIF(Pessoas!$J:$J,J739)&gt;0),"SIM",IF(COUNTIF(Pessoas!$H:$H,H739)&gt;0,"nome igual em Pessoas: confira o CPF","")))</f>
        <v/>
      </c>
      <c r="L739" s="27"/>
      <c r="M739" s="5"/>
    </row>
    <row r="740" customFormat="false" ht="15" hidden="false" customHeight="false" outlineLevel="0" collapsed="false">
      <c r="A740" s="27"/>
      <c r="B740" s="5"/>
      <c r="C740" s="27"/>
      <c r="D740" s="18"/>
      <c r="E740" s="14"/>
      <c r="F740" s="18"/>
      <c r="G740" s="19" t="str">
        <f aca="false">IF(A740="","",IFERROR(INDEX(Empresas!$B:$B,MATCH(A740,Empresas!$A:$A,0))&amp;"","cadastre o CNPJ em Empresas"))</f>
        <v/>
      </c>
      <c r="H740" s="28" t="str">
        <f aca="false">IF(B740="","",SUBSTITUTE(SUBSTITUTE(SUBSTITUTE(SUBSTITUTE(SUBSTITUTE(SUBSTITUTE(SUBSTITUTE(SUBSTITUTE(SUBSTITUTE(SUBSTITUTE(SUBSTITUTE(SUBSTITUTE(SUBSTITUTE(UPPER(TRIM(B740)),"Á","A"),"À","A"),"Â","A"),"Ã","A"),"É","E"),"Ê","E"),"Í","I"),"Ó","O"),"Ô","O"),"Õ","O"),"Ú","U"),"Ü","U"),"Ç","C"))</f>
        <v/>
      </c>
      <c r="I740" s="28" t="str">
        <f aca="false">IF(C740="","",IF(LEN(SUBSTITUTE(SUBSTITUTE(SUBSTITUTE(SUBSTITUTE(TRIM(C740),"*",""),".",""),"-","")," ",""))=11,MID(SUBSTITUTE(SUBSTITUTE(SUBSTITUTE(SUBSTITUTE(TRIM(C740),"*",""),".",""),"-","")," ",""),4,6),SUBSTITUTE(SUBSTITUTE(SUBSTITUTE(SUBSTITUTE(TRIM(C740),"*",""),".",""),"-","")," ","")))</f>
        <v/>
      </c>
      <c r="J740" s="28" t="str">
        <f aca="false">IF(OR(H740="",I740=""),"",H740&amp;"|"&amp;I740)</f>
        <v/>
      </c>
      <c r="K740" s="19" t="str">
        <f aca="false">IF(H740="","",IF(AND(J740&lt;&gt;"",COUNTIF(Pessoas!$J:$J,J740)&gt;0),"SIM",IF(COUNTIF(Pessoas!$H:$H,H740)&gt;0,"nome igual em Pessoas: confira o CPF","")))</f>
        <v/>
      </c>
      <c r="L740" s="27"/>
      <c r="M740" s="5"/>
    </row>
    <row r="741" customFormat="false" ht="15" hidden="false" customHeight="false" outlineLevel="0" collapsed="false">
      <c r="A741" s="27"/>
      <c r="B741" s="5"/>
      <c r="C741" s="27"/>
      <c r="D741" s="18"/>
      <c r="E741" s="14"/>
      <c r="F741" s="18"/>
      <c r="G741" s="19" t="str">
        <f aca="false">IF(A741="","",IFERROR(INDEX(Empresas!$B:$B,MATCH(A741,Empresas!$A:$A,0))&amp;"","cadastre o CNPJ em Empresas"))</f>
        <v/>
      </c>
      <c r="H741" s="28" t="str">
        <f aca="false">IF(B741="","",SUBSTITUTE(SUBSTITUTE(SUBSTITUTE(SUBSTITUTE(SUBSTITUTE(SUBSTITUTE(SUBSTITUTE(SUBSTITUTE(SUBSTITUTE(SUBSTITUTE(SUBSTITUTE(SUBSTITUTE(SUBSTITUTE(UPPER(TRIM(B741)),"Á","A"),"À","A"),"Â","A"),"Ã","A"),"É","E"),"Ê","E"),"Í","I"),"Ó","O"),"Ô","O"),"Õ","O"),"Ú","U"),"Ü","U"),"Ç","C"))</f>
        <v/>
      </c>
      <c r="I741" s="28" t="str">
        <f aca="false">IF(C741="","",IF(LEN(SUBSTITUTE(SUBSTITUTE(SUBSTITUTE(SUBSTITUTE(TRIM(C741),"*",""),".",""),"-","")," ",""))=11,MID(SUBSTITUTE(SUBSTITUTE(SUBSTITUTE(SUBSTITUTE(TRIM(C741),"*",""),".",""),"-","")," ",""),4,6),SUBSTITUTE(SUBSTITUTE(SUBSTITUTE(SUBSTITUTE(TRIM(C741),"*",""),".",""),"-","")," ","")))</f>
        <v/>
      </c>
      <c r="J741" s="28" t="str">
        <f aca="false">IF(OR(H741="",I741=""),"",H741&amp;"|"&amp;I741)</f>
        <v/>
      </c>
      <c r="K741" s="19" t="str">
        <f aca="false">IF(H741="","",IF(AND(J741&lt;&gt;"",COUNTIF(Pessoas!$J:$J,J741)&gt;0),"SIM",IF(COUNTIF(Pessoas!$H:$H,H741)&gt;0,"nome igual em Pessoas: confira o CPF","")))</f>
        <v/>
      </c>
      <c r="L741" s="27"/>
      <c r="M741" s="5"/>
    </row>
    <row r="742" customFormat="false" ht="15" hidden="false" customHeight="false" outlineLevel="0" collapsed="false">
      <c r="A742" s="27"/>
      <c r="B742" s="5"/>
      <c r="C742" s="27"/>
      <c r="D742" s="18"/>
      <c r="E742" s="14"/>
      <c r="F742" s="18"/>
      <c r="G742" s="19" t="str">
        <f aca="false">IF(A742="","",IFERROR(INDEX(Empresas!$B:$B,MATCH(A742,Empresas!$A:$A,0))&amp;"","cadastre o CNPJ em Empresas"))</f>
        <v/>
      </c>
      <c r="H742" s="28" t="str">
        <f aca="false">IF(B742="","",SUBSTITUTE(SUBSTITUTE(SUBSTITUTE(SUBSTITUTE(SUBSTITUTE(SUBSTITUTE(SUBSTITUTE(SUBSTITUTE(SUBSTITUTE(SUBSTITUTE(SUBSTITUTE(SUBSTITUTE(SUBSTITUTE(UPPER(TRIM(B742)),"Á","A"),"À","A"),"Â","A"),"Ã","A"),"É","E"),"Ê","E"),"Í","I"),"Ó","O"),"Ô","O"),"Õ","O"),"Ú","U"),"Ü","U"),"Ç","C"))</f>
        <v/>
      </c>
      <c r="I742" s="28" t="str">
        <f aca="false">IF(C742="","",IF(LEN(SUBSTITUTE(SUBSTITUTE(SUBSTITUTE(SUBSTITUTE(TRIM(C742),"*",""),".",""),"-","")," ",""))=11,MID(SUBSTITUTE(SUBSTITUTE(SUBSTITUTE(SUBSTITUTE(TRIM(C742),"*",""),".",""),"-","")," ",""),4,6),SUBSTITUTE(SUBSTITUTE(SUBSTITUTE(SUBSTITUTE(TRIM(C742),"*",""),".",""),"-","")," ","")))</f>
        <v/>
      </c>
      <c r="J742" s="28" t="str">
        <f aca="false">IF(OR(H742="",I742=""),"",H742&amp;"|"&amp;I742)</f>
        <v/>
      </c>
      <c r="K742" s="19" t="str">
        <f aca="false">IF(H742="","",IF(AND(J742&lt;&gt;"",COUNTIF(Pessoas!$J:$J,J742)&gt;0),"SIM",IF(COUNTIF(Pessoas!$H:$H,H742)&gt;0,"nome igual em Pessoas: confira o CPF","")))</f>
        <v/>
      </c>
      <c r="L742" s="27"/>
      <c r="M742" s="5"/>
    </row>
    <row r="743" customFormat="false" ht="15" hidden="false" customHeight="false" outlineLevel="0" collapsed="false">
      <c r="A743" s="27"/>
      <c r="B743" s="5"/>
      <c r="C743" s="27"/>
      <c r="D743" s="18"/>
      <c r="E743" s="14"/>
      <c r="F743" s="18"/>
      <c r="G743" s="19" t="str">
        <f aca="false">IF(A743="","",IFERROR(INDEX(Empresas!$B:$B,MATCH(A743,Empresas!$A:$A,0))&amp;"","cadastre o CNPJ em Empresas"))</f>
        <v/>
      </c>
      <c r="H743" s="28" t="str">
        <f aca="false">IF(B743="","",SUBSTITUTE(SUBSTITUTE(SUBSTITUTE(SUBSTITUTE(SUBSTITUTE(SUBSTITUTE(SUBSTITUTE(SUBSTITUTE(SUBSTITUTE(SUBSTITUTE(SUBSTITUTE(SUBSTITUTE(SUBSTITUTE(UPPER(TRIM(B743)),"Á","A"),"À","A"),"Â","A"),"Ã","A"),"É","E"),"Ê","E"),"Í","I"),"Ó","O"),"Ô","O"),"Õ","O"),"Ú","U"),"Ü","U"),"Ç","C"))</f>
        <v/>
      </c>
      <c r="I743" s="28" t="str">
        <f aca="false">IF(C743="","",IF(LEN(SUBSTITUTE(SUBSTITUTE(SUBSTITUTE(SUBSTITUTE(TRIM(C743),"*",""),".",""),"-","")," ",""))=11,MID(SUBSTITUTE(SUBSTITUTE(SUBSTITUTE(SUBSTITUTE(TRIM(C743),"*",""),".",""),"-","")," ",""),4,6),SUBSTITUTE(SUBSTITUTE(SUBSTITUTE(SUBSTITUTE(TRIM(C743),"*",""),".",""),"-","")," ","")))</f>
        <v/>
      </c>
      <c r="J743" s="28" t="str">
        <f aca="false">IF(OR(H743="",I743=""),"",H743&amp;"|"&amp;I743)</f>
        <v/>
      </c>
      <c r="K743" s="19" t="str">
        <f aca="false">IF(H743="","",IF(AND(J743&lt;&gt;"",COUNTIF(Pessoas!$J:$J,J743)&gt;0),"SIM",IF(COUNTIF(Pessoas!$H:$H,H743)&gt;0,"nome igual em Pessoas: confira o CPF","")))</f>
        <v/>
      </c>
      <c r="L743" s="27"/>
      <c r="M743" s="5"/>
    </row>
    <row r="744" customFormat="false" ht="15" hidden="false" customHeight="false" outlineLevel="0" collapsed="false">
      <c r="A744" s="27"/>
      <c r="B744" s="5"/>
      <c r="C744" s="27"/>
      <c r="D744" s="18"/>
      <c r="E744" s="14"/>
      <c r="F744" s="18"/>
      <c r="G744" s="19" t="str">
        <f aca="false">IF(A744="","",IFERROR(INDEX(Empresas!$B:$B,MATCH(A744,Empresas!$A:$A,0))&amp;"","cadastre o CNPJ em Empresas"))</f>
        <v/>
      </c>
      <c r="H744" s="28" t="str">
        <f aca="false">IF(B744="","",SUBSTITUTE(SUBSTITUTE(SUBSTITUTE(SUBSTITUTE(SUBSTITUTE(SUBSTITUTE(SUBSTITUTE(SUBSTITUTE(SUBSTITUTE(SUBSTITUTE(SUBSTITUTE(SUBSTITUTE(SUBSTITUTE(UPPER(TRIM(B744)),"Á","A"),"À","A"),"Â","A"),"Ã","A"),"É","E"),"Ê","E"),"Í","I"),"Ó","O"),"Ô","O"),"Õ","O"),"Ú","U"),"Ü","U"),"Ç","C"))</f>
        <v/>
      </c>
      <c r="I744" s="28" t="str">
        <f aca="false">IF(C744="","",IF(LEN(SUBSTITUTE(SUBSTITUTE(SUBSTITUTE(SUBSTITUTE(TRIM(C744),"*",""),".",""),"-","")," ",""))=11,MID(SUBSTITUTE(SUBSTITUTE(SUBSTITUTE(SUBSTITUTE(TRIM(C744),"*",""),".",""),"-","")," ",""),4,6),SUBSTITUTE(SUBSTITUTE(SUBSTITUTE(SUBSTITUTE(TRIM(C744),"*",""),".",""),"-","")," ","")))</f>
        <v/>
      </c>
      <c r="J744" s="28" t="str">
        <f aca="false">IF(OR(H744="",I744=""),"",H744&amp;"|"&amp;I744)</f>
        <v/>
      </c>
      <c r="K744" s="19" t="str">
        <f aca="false">IF(H744="","",IF(AND(J744&lt;&gt;"",COUNTIF(Pessoas!$J:$J,J744)&gt;0),"SIM",IF(COUNTIF(Pessoas!$H:$H,H744)&gt;0,"nome igual em Pessoas: confira o CPF","")))</f>
        <v/>
      </c>
      <c r="L744" s="27"/>
      <c r="M744" s="5"/>
    </row>
    <row r="745" customFormat="false" ht="15" hidden="false" customHeight="false" outlineLevel="0" collapsed="false">
      <c r="A745" s="27"/>
      <c r="B745" s="5"/>
      <c r="C745" s="27"/>
      <c r="D745" s="18"/>
      <c r="E745" s="14"/>
      <c r="F745" s="18"/>
      <c r="G745" s="19" t="str">
        <f aca="false">IF(A745="","",IFERROR(INDEX(Empresas!$B:$B,MATCH(A745,Empresas!$A:$A,0))&amp;"","cadastre o CNPJ em Empresas"))</f>
        <v/>
      </c>
      <c r="H745" s="28" t="str">
        <f aca="false">IF(B745="","",SUBSTITUTE(SUBSTITUTE(SUBSTITUTE(SUBSTITUTE(SUBSTITUTE(SUBSTITUTE(SUBSTITUTE(SUBSTITUTE(SUBSTITUTE(SUBSTITUTE(SUBSTITUTE(SUBSTITUTE(SUBSTITUTE(UPPER(TRIM(B745)),"Á","A"),"À","A"),"Â","A"),"Ã","A"),"É","E"),"Ê","E"),"Í","I"),"Ó","O"),"Ô","O"),"Õ","O"),"Ú","U"),"Ü","U"),"Ç","C"))</f>
        <v/>
      </c>
      <c r="I745" s="28" t="str">
        <f aca="false">IF(C745="","",IF(LEN(SUBSTITUTE(SUBSTITUTE(SUBSTITUTE(SUBSTITUTE(TRIM(C745),"*",""),".",""),"-","")," ",""))=11,MID(SUBSTITUTE(SUBSTITUTE(SUBSTITUTE(SUBSTITUTE(TRIM(C745),"*",""),".",""),"-","")," ",""),4,6),SUBSTITUTE(SUBSTITUTE(SUBSTITUTE(SUBSTITUTE(TRIM(C745),"*",""),".",""),"-","")," ","")))</f>
        <v/>
      </c>
      <c r="J745" s="28" t="str">
        <f aca="false">IF(OR(H745="",I745=""),"",H745&amp;"|"&amp;I745)</f>
        <v/>
      </c>
      <c r="K745" s="19" t="str">
        <f aca="false">IF(H745="","",IF(AND(J745&lt;&gt;"",COUNTIF(Pessoas!$J:$J,J745)&gt;0),"SIM",IF(COUNTIF(Pessoas!$H:$H,H745)&gt;0,"nome igual em Pessoas: confira o CPF","")))</f>
        <v/>
      </c>
      <c r="L745" s="27"/>
      <c r="M745" s="5"/>
    </row>
    <row r="746" customFormat="false" ht="15" hidden="false" customHeight="false" outlineLevel="0" collapsed="false">
      <c r="A746" s="27"/>
      <c r="B746" s="5"/>
      <c r="C746" s="27"/>
      <c r="D746" s="18"/>
      <c r="E746" s="14"/>
      <c r="F746" s="18"/>
      <c r="G746" s="19" t="str">
        <f aca="false">IF(A746="","",IFERROR(INDEX(Empresas!$B:$B,MATCH(A746,Empresas!$A:$A,0))&amp;"","cadastre o CNPJ em Empresas"))</f>
        <v/>
      </c>
      <c r="H746" s="28" t="str">
        <f aca="false">IF(B746="","",SUBSTITUTE(SUBSTITUTE(SUBSTITUTE(SUBSTITUTE(SUBSTITUTE(SUBSTITUTE(SUBSTITUTE(SUBSTITUTE(SUBSTITUTE(SUBSTITUTE(SUBSTITUTE(SUBSTITUTE(SUBSTITUTE(UPPER(TRIM(B746)),"Á","A"),"À","A"),"Â","A"),"Ã","A"),"É","E"),"Ê","E"),"Í","I"),"Ó","O"),"Ô","O"),"Õ","O"),"Ú","U"),"Ü","U"),"Ç","C"))</f>
        <v/>
      </c>
      <c r="I746" s="28" t="str">
        <f aca="false">IF(C746="","",IF(LEN(SUBSTITUTE(SUBSTITUTE(SUBSTITUTE(SUBSTITUTE(TRIM(C746),"*",""),".",""),"-","")," ",""))=11,MID(SUBSTITUTE(SUBSTITUTE(SUBSTITUTE(SUBSTITUTE(TRIM(C746),"*",""),".",""),"-","")," ",""),4,6),SUBSTITUTE(SUBSTITUTE(SUBSTITUTE(SUBSTITUTE(TRIM(C746),"*",""),".",""),"-","")," ","")))</f>
        <v/>
      </c>
      <c r="J746" s="28" t="str">
        <f aca="false">IF(OR(H746="",I746=""),"",H746&amp;"|"&amp;I746)</f>
        <v/>
      </c>
      <c r="K746" s="19" t="str">
        <f aca="false">IF(H746="","",IF(AND(J746&lt;&gt;"",COUNTIF(Pessoas!$J:$J,J746)&gt;0),"SIM",IF(COUNTIF(Pessoas!$H:$H,H746)&gt;0,"nome igual em Pessoas: confira o CPF","")))</f>
        <v/>
      </c>
      <c r="L746" s="27"/>
      <c r="M746" s="5"/>
    </row>
    <row r="747" customFormat="false" ht="15" hidden="false" customHeight="false" outlineLevel="0" collapsed="false">
      <c r="A747" s="27"/>
      <c r="B747" s="5"/>
      <c r="C747" s="27"/>
      <c r="D747" s="18"/>
      <c r="E747" s="14"/>
      <c r="F747" s="18"/>
      <c r="G747" s="19" t="str">
        <f aca="false">IF(A747="","",IFERROR(INDEX(Empresas!$B:$B,MATCH(A747,Empresas!$A:$A,0))&amp;"","cadastre o CNPJ em Empresas"))</f>
        <v/>
      </c>
      <c r="H747" s="28" t="str">
        <f aca="false">IF(B747="","",SUBSTITUTE(SUBSTITUTE(SUBSTITUTE(SUBSTITUTE(SUBSTITUTE(SUBSTITUTE(SUBSTITUTE(SUBSTITUTE(SUBSTITUTE(SUBSTITUTE(SUBSTITUTE(SUBSTITUTE(SUBSTITUTE(UPPER(TRIM(B747)),"Á","A"),"À","A"),"Â","A"),"Ã","A"),"É","E"),"Ê","E"),"Í","I"),"Ó","O"),"Ô","O"),"Õ","O"),"Ú","U"),"Ü","U"),"Ç","C"))</f>
        <v/>
      </c>
      <c r="I747" s="28" t="str">
        <f aca="false">IF(C747="","",IF(LEN(SUBSTITUTE(SUBSTITUTE(SUBSTITUTE(SUBSTITUTE(TRIM(C747),"*",""),".",""),"-","")," ",""))=11,MID(SUBSTITUTE(SUBSTITUTE(SUBSTITUTE(SUBSTITUTE(TRIM(C747),"*",""),".",""),"-","")," ",""),4,6),SUBSTITUTE(SUBSTITUTE(SUBSTITUTE(SUBSTITUTE(TRIM(C747),"*",""),".",""),"-","")," ","")))</f>
        <v/>
      </c>
      <c r="J747" s="28" t="str">
        <f aca="false">IF(OR(H747="",I747=""),"",H747&amp;"|"&amp;I747)</f>
        <v/>
      </c>
      <c r="K747" s="19" t="str">
        <f aca="false">IF(H747="","",IF(AND(J747&lt;&gt;"",COUNTIF(Pessoas!$J:$J,J747)&gt;0),"SIM",IF(COUNTIF(Pessoas!$H:$H,H747)&gt;0,"nome igual em Pessoas: confira o CPF","")))</f>
        <v/>
      </c>
      <c r="L747" s="27"/>
      <c r="M747" s="5"/>
    </row>
    <row r="748" customFormat="false" ht="15" hidden="false" customHeight="false" outlineLevel="0" collapsed="false">
      <c r="A748" s="27"/>
      <c r="B748" s="5"/>
      <c r="C748" s="27"/>
      <c r="D748" s="18"/>
      <c r="E748" s="14"/>
      <c r="F748" s="18"/>
      <c r="G748" s="19" t="str">
        <f aca="false">IF(A748="","",IFERROR(INDEX(Empresas!$B:$B,MATCH(A748,Empresas!$A:$A,0))&amp;"","cadastre o CNPJ em Empresas"))</f>
        <v/>
      </c>
      <c r="H748" s="28" t="str">
        <f aca="false">IF(B748="","",SUBSTITUTE(SUBSTITUTE(SUBSTITUTE(SUBSTITUTE(SUBSTITUTE(SUBSTITUTE(SUBSTITUTE(SUBSTITUTE(SUBSTITUTE(SUBSTITUTE(SUBSTITUTE(SUBSTITUTE(SUBSTITUTE(UPPER(TRIM(B748)),"Á","A"),"À","A"),"Â","A"),"Ã","A"),"É","E"),"Ê","E"),"Í","I"),"Ó","O"),"Ô","O"),"Õ","O"),"Ú","U"),"Ü","U"),"Ç","C"))</f>
        <v/>
      </c>
      <c r="I748" s="28" t="str">
        <f aca="false">IF(C748="","",IF(LEN(SUBSTITUTE(SUBSTITUTE(SUBSTITUTE(SUBSTITUTE(TRIM(C748),"*",""),".",""),"-","")," ",""))=11,MID(SUBSTITUTE(SUBSTITUTE(SUBSTITUTE(SUBSTITUTE(TRIM(C748),"*",""),".",""),"-","")," ",""),4,6),SUBSTITUTE(SUBSTITUTE(SUBSTITUTE(SUBSTITUTE(TRIM(C748),"*",""),".",""),"-","")," ","")))</f>
        <v/>
      </c>
      <c r="J748" s="28" t="str">
        <f aca="false">IF(OR(H748="",I748=""),"",H748&amp;"|"&amp;I748)</f>
        <v/>
      </c>
      <c r="K748" s="19" t="str">
        <f aca="false">IF(H748="","",IF(AND(J748&lt;&gt;"",COUNTIF(Pessoas!$J:$J,J748)&gt;0),"SIM",IF(COUNTIF(Pessoas!$H:$H,H748)&gt;0,"nome igual em Pessoas: confira o CPF","")))</f>
        <v/>
      </c>
      <c r="L748" s="27"/>
      <c r="M748" s="5"/>
    </row>
    <row r="749" customFormat="false" ht="15" hidden="false" customHeight="false" outlineLevel="0" collapsed="false">
      <c r="A749" s="27"/>
      <c r="B749" s="5"/>
      <c r="C749" s="27"/>
      <c r="D749" s="18"/>
      <c r="E749" s="14"/>
      <c r="F749" s="18"/>
      <c r="G749" s="19" t="str">
        <f aca="false">IF(A749="","",IFERROR(INDEX(Empresas!$B:$B,MATCH(A749,Empresas!$A:$A,0))&amp;"","cadastre o CNPJ em Empresas"))</f>
        <v/>
      </c>
      <c r="H749" s="28" t="str">
        <f aca="false">IF(B749="","",SUBSTITUTE(SUBSTITUTE(SUBSTITUTE(SUBSTITUTE(SUBSTITUTE(SUBSTITUTE(SUBSTITUTE(SUBSTITUTE(SUBSTITUTE(SUBSTITUTE(SUBSTITUTE(SUBSTITUTE(SUBSTITUTE(UPPER(TRIM(B749)),"Á","A"),"À","A"),"Â","A"),"Ã","A"),"É","E"),"Ê","E"),"Í","I"),"Ó","O"),"Ô","O"),"Õ","O"),"Ú","U"),"Ü","U"),"Ç","C"))</f>
        <v/>
      </c>
      <c r="I749" s="28" t="str">
        <f aca="false">IF(C749="","",IF(LEN(SUBSTITUTE(SUBSTITUTE(SUBSTITUTE(SUBSTITUTE(TRIM(C749),"*",""),".",""),"-","")," ",""))=11,MID(SUBSTITUTE(SUBSTITUTE(SUBSTITUTE(SUBSTITUTE(TRIM(C749),"*",""),".",""),"-","")," ",""),4,6),SUBSTITUTE(SUBSTITUTE(SUBSTITUTE(SUBSTITUTE(TRIM(C749),"*",""),".",""),"-","")," ","")))</f>
        <v/>
      </c>
      <c r="J749" s="28" t="str">
        <f aca="false">IF(OR(H749="",I749=""),"",H749&amp;"|"&amp;I749)</f>
        <v/>
      </c>
      <c r="K749" s="19" t="str">
        <f aca="false">IF(H749="","",IF(AND(J749&lt;&gt;"",COUNTIF(Pessoas!$J:$J,J749)&gt;0),"SIM",IF(COUNTIF(Pessoas!$H:$H,H749)&gt;0,"nome igual em Pessoas: confira o CPF","")))</f>
        <v/>
      </c>
      <c r="L749" s="27"/>
      <c r="M749" s="5"/>
    </row>
    <row r="750" customFormat="false" ht="15" hidden="false" customHeight="false" outlineLevel="0" collapsed="false">
      <c r="A750" s="27"/>
      <c r="B750" s="5"/>
      <c r="C750" s="27"/>
      <c r="D750" s="18"/>
      <c r="E750" s="14"/>
      <c r="F750" s="18"/>
      <c r="G750" s="19" t="str">
        <f aca="false">IF(A750="","",IFERROR(INDEX(Empresas!$B:$B,MATCH(A750,Empresas!$A:$A,0))&amp;"","cadastre o CNPJ em Empresas"))</f>
        <v/>
      </c>
      <c r="H750" s="28" t="str">
        <f aca="false">IF(B750="","",SUBSTITUTE(SUBSTITUTE(SUBSTITUTE(SUBSTITUTE(SUBSTITUTE(SUBSTITUTE(SUBSTITUTE(SUBSTITUTE(SUBSTITUTE(SUBSTITUTE(SUBSTITUTE(SUBSTITUTE(SUBSTITUTE(UPPER(TRIM(B750)),"Á","A"),"À","A"),"Â","A"),"Ã","A"),"É","E"),"Ê","E"),"Í","I"),"Ó","O"),"Ô","O"),"Õ","O"),"Ú","U"),"Ü","U"),"Ç","C"))</f>
        <v/>
      </c>
      <c r="I750" s="28" t="str">
        <f aca="false">IF(C750="","",IF(LEN(SUBSTITUTE(SUBSTITUTE(SUBSTITUTE(SUBSTITUTE(TRIM(C750),"*",""),".",""),"-","")," ",""))=11,MID(SUBSTITUTE(SUBSTITUTE(SUBSTITUTE(SUBSTITUTE(TRIM(C750),"*",""),".",""),"-","")," ",""),4,6),SUBSTITUTE(SUBSTITUTE(SUBSTITUTE(SUBSTITUTE(TRIM(C750),"*",""),".",""),"-","")," ","")))</f>
        <v/>
      </c>
      <c r="J750" s="28" t="str">
        <f aca="false">IF(OR(H750="",I750=""),"",H750&amp;"|"&amp;I750)</f>
        <v/>
      </c>
      <c r="K750" s="19" t="str">
        <f aca="false">IF(H750="","",IF(AND(J750&lt;&gt;"",COUNTIF(Pessoas!$J:$J,J750)&gt;0),"SIM",IF(COUNTIF(Pessoas!$H:$H,H750)&gt;0,"nome igual em Pessoas: confira o CPF","")))</f>
        <v/>
      </c>
      <c r="L750" s="27"/>
      <c r="M750" s="5"/>
    </row>
    <row r="751" customFormat="false" ht="15" hidden="false" customHeight="false" outlineLevel="0" collapsed="false">
      <c r="A751" s="27"/>
      <c r="B751" s="5"/>
      <c r="C751" s="27"/>
      <c r="D751" s="18"/>
      <c r="E751" s="14"/>
      <c r="F751" s="18"/>
      <c r="G751" s="19" t="str">
        <f aca="false">IF(A751="","",IFERROR(INDEX(Empresas!$B:$B,MATCH(A751,Empresas!$A:$A,0))&amp;"","cadastre o CNPJ em Empresas"))</f>
        <v/>
      </c>
      <c r="H751" s="28" t="str">
        <f aca="false">IF(B751="","",SUBSTITUTE(SUBSTITUTE(SUBSTITUTE(SUBSTITUTE(SUBSTITUTE(SUBSTITUTE(SUBSTITUTE(SUBSTITUTE(SUBSTITUTE(SUBSTITUTE(SUBSTITUTE(SUBSTITUTE(SUBSTITUTE(UPPER(TRIM(B751)),"Á","A"),"À","A"),"Â","A"),"Ã","A"),"É","E"),"Ê","E"),"Í","I"),"Ó","O"),"Ô","O"),"Õ","O"),"Ú","U"),"Ü","U"),"Ç","C"))</f>
        <v/>
      </c>
      <c r="I751" s="28" t="str">
        <f aca="false">IF(C751="","",IF(LEN(SUBSTITUTE(SUBSTITUTE(SUBSTITUTE(SUBSTITUTE(TRIM(C751),"*",""),".",""),"-","")," ",""))=11,MID(SUBSTITUTE(SUBSTITUTE(SUBSTITUTE(SUBSTITUTE(TRIM(C751),"*",""),".",""),"-","")," ",""),4,6),SUBSTITUTE(SUBSTITUTE(SUBSTITUTE(SUBSTITUTE(TRIM(C751),"*",""),".",""),"-","")," ","")))</f>
        <v/>
      </c>
      <c r="J751" s="28" t="str">
        <f aca="false">IF(OR(H751="",I751=""),"",H751&amp;"|"&amp;I751)</f>
        <v/>
      </c>
      <c r="K751" s="19" t="str">
        <f aca="false">IF(H751="","",IF(AND(J751&lt;&gt;"",COUNTIF(Pessoas!$J:$J,J751)&gt;0),"SIM",IF(COUNTIF(Pessoas!$H:$H,H751)&gt;0,"nome igual em Pessoas: confira o CPF","")))</f>
        <v/>
      </c>
      <c r="L751" s="27"/>
      <c r="M751" s="5"/>
    </row>
    <row r="752" customFormat="false" ht="15" hidden="false" customHeight="false" outlineLevel="0" collapsed="false">
      <c r="A752" s="27"/>
      <c r="B752" s="5"/>
      <c r="C752" s="27"/>
      <c r="D752" s="18"/>
      <c r="E752" s="14"/>
      <c r="F752" s="18"/>
      <c r="G752" s="19" t="str">
        <f aca="false">IF(A752="","",IFERROR(INDEX(Empresas!$B:$B,MATCH(A752,Empresas!$A:$A,0))&amp;"","cadastre o CNPJ em Empresas"))</f>
        <v/>
      </c>
      <c r="H752" s="28" t="str">
        <f aca="false">IF(B752="","",SUBSTITUTE(SUBSTITUTE(SUBSTITUTE(SUBSTITUTE(SUBSTITUTE(SUBSTITUTE(SUBSTITUTE(SUBSTITUTE(SUBSTITUTE(SUBSTITUTE(SUBSTITUTE(SUBSTITUTE(SUBSTITUTE(UPPER(TRIM(B752)),"Á","A"),"À","A"),"Â","A"),"Ã","A"),"É","E"),"Ê","E"),"Í","I"),"Ó","O"),"Ô","O"),"Õ","O"),"Ú","U"),"Ü","U"),"Ç","C"))</f>
        <v/>
      </c>
      <c r="I752" s="28" t="str">
        <f aca="false">IF(C752="","",IF(LEN(SUBSTITUTE(SUBSTITUTE(SUBSTITUTE(SUBSTITUTE(TRIM(C752),"*",""),".",""),"-","")," ",""))=11,MID(SUBSTITUTE(SUBSTITUTE(SUBSTITUTE(SUBSTITUTE(TRIM(C752),"*",""),".",""),"-","")," ",""),4,6),SUBSTITUTE(SUBSTITUTE(SUBSTITUTE(SUBSTITUTE(TRIM(C752),"*",""),".",""),"-","")," ","")))</f>
        <v/>
      </c>
      <c r="J752" s="28" t="str">
        <f aca="false">IF(OR(H752="",I752=""),"",H752&amp;"|"&amp;I752)</f>
        <v/>
      </c>
      <c r="K752" s="19" t="str">
        <f aca="false">IF(H752="","",IF(AND(J752&lt;&gt;"",COUNTIF(Pessoas!$J:$J,J752)&gt;0),"SIM",IF(COUNTIF(Pessoas!$H:$H,H752)&gt;0,"nome igual em Pessoas: confira o CPF","")))</f>
        <v/>
      </c>
      <c r="L752" s="27"/>
      <c r="M752" s="5"/>
    </row>
    <row r="753" customFormat="false" ht="15" hidden="false" customHeight="false" outlineLevel="0" collapsed="false">
      <c r="A753" s="27"/>
      <c r="B753" s="5"/>
      <c r="C753" s="27"/>
      <c r="D753" s="18"/>
      <c r="E753" s="14"/>
      <c r="F753" s="18"/>
      <c r="G753" s="19" t="str">
        <f aca="false">IF(A753="","",IFERROR(INDEX(Empresas!$B:$B,MATCH(A753,Empresas!$A:$A,0))&amp;"","cadastre o CNPJ em Empresas"))</f>
        <v/>
      </c>
      <c r="H753" s="28" t="str">
        <f aca="false">IF(B753="","",SUBSTITUTE(SUBSTITUTE(SUBSTITUTE(SUBSTITUTE(SUBSTITUTE(SUBSTITUTE(SUBSTITUTE(SUBSTITUTE(SUBSTITUTE(SUBSTITUTE(SUBSTITUTE(SUBSTITUTE(SUBSTITUTE(UPPER(TRIM(B753)),"Á","A"),"À","A"),"Â","A"),"Ã","A"),"É","E"),"Ê","E"),"Í","I"),"Ó","O"),"Ô","O"),"Õ","O"),"Ú","U"),"Ü","U"),"Ç","C"))</f>
        <v/>
      </c>
      <c r="I753" s="28" t="str">
        <f aca="false">IF(C753="","",IF(LEN(SUBSTITUTE(SUBSTITUTE(SUBSTITUTE(SUBSTITUTE(TRIM(C753),"*",""),".",""),"-","")," ",""))=11,MID(SUBSTITUTE(SUBSTITUTE(SUBSTITUTE(SUBSTITUTE(TRIM(C753),"*",""),".",""),"-","")," ",""),4,6),SUBSTITUTE(SUBSTITUTE(SUBSTITUTE(SUBSTITUTE(TRIM(C753),"*",""),".",""),"-","")," ","")))</f>
        <v/>
      </c>
      <c r="J753" s="28" t="str">
        <f aca="false">IF(OR(H753="",I753=""),"",H753&amp;"|"&amp;I753)</f>
        <v/>
      </c>
      <c r="K753" s="19" t="str">
        <f aca="false">IF(H753="","",IF(AND(J753&lt;&gt;"",COUNTIF(Pessoas!$J:$J,J753)&gt;0),"SIM",IF(COUNTIF(Pessoas!$H:$H,H753)&gt;0,"nome igual em Pessoas: confira o CPF","")))</f>
        <v/>
      </c>
      <c r="L753" s="27"/>
      <c r="M753" s="5"/>
    </row>
    <row r="754" customFormat="false" ht="15" hidden="false" customHeight="false" outlineLevel="0" collapsed="false">
      <c r="A754" s="27"/>
      <c r="B754" s="5"/>
      <c r="C754" s="27"/>
      <c r="D754" s="18"/>
      <c r="E754" s="14"/>
      <c r="F754" s="18"/>
      <c r="G754" s="19" t="str">
        <f aca="false">IF(A754="","",IFERROR(INDEX(Empresas!$B:$B,MATCH(A754,Empresas!$A:$A,0))&amp;"","cadastre o CNPJ em Empresas"))</f>
        <v/>
      </c>
      <c r="H754" s="28" t="str">
        <f aca="false">IF(B754="","",SUBSTITUTE(SUBSTITUTE(SUBSTITUTE(SUBSTITUTE(SUBSTITUTE(SUBSTITUTE(SUBSTITUTE(SUBSTITUTE(SUBSTITUTE(SUBSTITUTE(SUBSTITUTE(SUBSTITUTE(SUBSTITUTE(UPPER(TRIM(B754)),"Á","A"),"À","A"),"Â","A"),"Ã","A"),"É","E"),"Ê","E"),"Í","I"),"Ó","O"),"Ô","O"),"Õ","O"),"Ú","U"),"Ü","U"),"Ç","C"))</f>
        <v/>
      </c>
      <c r="I754" s="28" t="str">
        <f aca="false">IF(C754="","",IF(LEN(SUBSTITUTE(SUBSTITUTE(SUBSTITUTE(SUBSTITUTE(TRIM(C754),"*",""),".",""),"-","")," ",""))=11,MID(SUBSTITUTE(SUBSTITUTE(SUBSTITUTE(SUBSTITUTE(TRIM(C754),"*",""),".",""),"-","")," ",""),4,6),SUBSTITUTE(SUBSTITUTE(SUBSTITUTE(SUBSTITUTE(TRIM(C754),"*",""),".",""),"-","")," ","")))</f>
        <v/>
      </c>
      <c r="J754" s="28" t="str">
        <f aca="false">IF(OR(H754="",I754=""),"",H754&amp;"|"&amp;I754)</f>
        <v/>
      </c>
      <c r="K754" s="19" t="str">
        <f aca="false">IF(H754="","",IF(AND(J754&lt;&gt;"",COUNTIF(Pessoas!$J:$J,J754)&gt;0),"SIM",IF(COUNTIF(Pessoas!$H:$H,H754)&gt;0,"nome igual em Pessoas: confira o CPF","")))</f>
        <v/>
      </c>
      <c r="L754" s="27"/>
      <c r="M754" s="5"/>
    </row>
    <row r="755" customFormat="false" ht="15" hidden="false" customHeight="false" outlineLevel="0" collapsed="false">
      <c r="A755" s="27"/>
      <c r="B755" s="5"/>
      <c r="C755" s="27"/>
      <c r="D755" s="18"/>
      <c r="E755" s="14"/>
      <c r="F755" s="18"/>
      <c r="G755" s="19" t="str">
        <f aca="false">IF(A755="","",IFERROR(INDEX(Empresas!$B:$B,MATCH(A755,Empresas!$A:$A,0))&amp;"","cadastre o CNPJ em Empresas"))</f>
        <v/>
      </c>
      <c r="H755" s="28" t="str">
        <f aca="false">IF(B755="","",SUBSTITUTE(SUBSTITUTE(SUBSTITUTE(SUBSTITUTE(SUBSTITUTE(SUBSTITUTE(SUBSTITUTE(SUBSTITUTE(SUBSTITUTE(SUBSTITUTE(SUBSTITUTE(SUBSTITUTE(SUBSTITUTE(UPPER(TRIM(B755)),"Á","A"),"À","A"),"Â","A"),"Ã","A"),"É","E"),"Ê","E"),"Í","I"),"Ó","O"),"Ô","O"),"Õ","O"),"Ú","U"),"Ü","U"),"Ç","C"))</f>
        <v/>
      </c>
      <c r="I755" s="28" t="str">
        <f aca="false">IF(C755="","",IF(LEN(SUBSTITUTE(SUBSTITUTE(SUBSTITUTE(SUBSTITUTE(TRIM(C755),"*",""),".",""),"-","")," ",""))=11,MID(SUBSTITUTE(SUBSTITUTE(SUBSTITUTE(SUBSTITUTE(TRIM(C755),"*",""),".",""),"-","")," ",""),4,6),SUBSTITUTE(SUBSTITUTE(SUBSTITUTE(SUBSTITUTE(TRIM(C755),"*",""),".",""),"-","")," ","")))</f>
        <v/>
      </c>
      <c r="J755" s="28" t="str">
        <f aca="false">IF(OR(H755="",I755=""),"",H755&amp;"|"&amp;I755)</f>
        <v/>
      </c>
      <c r="K755" s="19" t="str">
        <f aca="false">IF(H755="","",IF(AND(J755&lt;&gt;"",COUNTIF(Pessoas!$J:$J,J755)&gt;0),"SIM",IF(COUNTIF(Pessoas!$H:$H,H755)&gt;0,"nome igual em Pessoas: confira o CPF","")))</f>
        <v/>
      </c>
      <c r="L755" s="27"/>
      <c r="M755" s="5"/>
    </row>
    <row r="756" customFormat="false" ht="15" hidden="false" customHeight="false" outlineLevel="0" collapsed="false">
      <c r="A756" s="27"/>
      <c r="B756" s="5"/>
      <c r="C756" s="27"/>
      <c r="D756" s="18"/>
      <c r="E756" s="14"/>
      <c r="F756" s="18"/>
      <c r="G756" s="19" t="str">
        <f aca="false">IF(A756="","",IFERROR(INDEX(Empresas!$B:$B,MATCH(A756,Empresas!$A:$A,0))&amp;"","cadastre o CNPJ em Empresas"))</f>
        <v/>
      </c>
      <c r="H756" s="28" t="str">
        <f aca="false">IF(B756="","",SUBSTITUTE(SUBSTITUTE(SUBSTITUTE(SUBSTITUTE(SUBSTITUTE(SUBSTITUTE(SUBSTITUTE(SUBSTITUTE(SUBSTITUTE(SUBSTITUTE(SUBSTITUTE(SUBSTITUTE(SUBSTITUTE(UPPER(TRIM(B756)),"Á","A"),"À","A"),"Â","A"),"Ã","A"),"É","E"),"Ê","E"),"Í","I"),"Ó","O"),"Ô","O"),"Õ","O"),"Ú","U"),"Ü","U"),"Ç","C"))</f>
        <v/>
      </c>
      <c r="I756" s="28" t="str">
        <f aca="false">IF(C756="","",IF(LEN(SUBSTITUTE(SUBSTITUTE(SUBSTITUTE(SUBSTITUTE(TRIM(C756),"*",""),".",""),"-","")," ",""))=11,MID(SUBSTITUTE(SUBSTITUTE(SUBSTITUTE(SUBSTITUTE(TRIM(C756),"*",""),".",""),"-","")," ",""),4,6),SUBSTITUTE(SUBSTITUTE(SUBSTITUTE(SUBSTITUTE(TRIM(C756),"*",""),".",""),"-","")," ","")))</f>
        <v/>
      </c>
      <c r="J756" s="28" t="str">
        <f aca="false">IF(OR(H756="",I756=""),"",H756&amp;"|"&amp;I756)</f>
        <v/>
      </c>
      <c r="K756" s="19" t="str">
        <f aca="false">IF(H756="","",IF(AND(J756&lt;&gt;"",COUNTIF(Pessoas!$J:$J,J756)&gt;0),"SIM",IF(COUNTIF(Pessoas!$H:$H,H756)&gt;0,"nome igual em Pessoas: confira o CPF","")))</f>
        <v/>
      </c>
      <c r="L756" s="27"/>
      <c r="M756" s="5"/>
    </row>
    <row r="757" customFormat="false" ht="15" hidden="false" customHeight="false" outlineLevel="0" collapsed="false">
      <c r="A757" s="27"/>
      <c r="B757" s="5"/>
      <c r="C757" s="27"/>
      <c r="D757" s="18"/>
      <c r="E757" s="14"/>
      <c r="F757" s="18"/>
      <c r="G757" s="19" t="str">
        <f aca="false">IF(A757="","",IFERROR(INDEX(Empresas!$B:$B,MATCH(A757,Empresas!$A:$A,0))&amp;"","cadastre o CNPJ em Empresas"))</f>
        <v/>
      </c>
      <c r="H757" s="28" t="str">
        <f aca="false">IF(B757="","",SUBSTITUTE(SUBSTITUTE(SUBSTITUTE(SUBSTITUTE(SUBSTITUTE(SUBSTITUTE(SUBSTITUTE(SUBSTITUTE(SUBSTITUTE(SUBSTITUTE(SUBSTITUTE(SUBSTITUTE(SUBSTITUTE(UPPER(TRIM(B757)),"Á","A"),"À","A"),"Â","A"),"Ã","A"),"É","E"),"Ê","E"),"Í","I"),"Ó","O"),"Ô","O"),"Õ","O"),"Ú","U"),"Ü","U"),"Ç","C"))</f>
        <v/>
      </c>
      <c r="I757" s="28" t="str">
        <f aca="false">IF(C757="","",IF(LEN(SUBSTITUTE(SUBSTITUTE(SUBSTITUTE(SUBSTITUTE(TRIM(C757),"*",""),".",""),"-","")," ",""))=11,MID(SUBSTITUTE(SUBSTITUTE(SUBSTITUTE(SUBSTITUTE(TRIM(C757),"*",""),".",""),"-","")," ",""),4,6),SUBSTITUTE(SUBSTITUTE(SUBSTITUTE(SUBSTITUTE(TRIM(C757),"*",""),".",""),"-","")," ","")))</f>
        <v/>
      </c>
      <c r="J757" s="28" t="str">
        <f aca="false">IF(OR(H757="",I757=""),"",H757&amp;"|"&amp;I757)</f>
        <v/>
      </c>
      <c r="K757" s="19" t="str">
        <f aca="false">IF(H757="","",IF(AND(J757&lt;&gt;"",COUNTIF(Pessoas!$J:$J,J757)&gt;0),"SIM",IF(COUNTIF(Pessoas!$H:$H,H757)&gt;0,"nome igual em Pessoas: confira o CPF","")))</f>
        <v/>
      </c>
      <c r="L757" s="27"/>
      <c r="M757" s="5"/>
    </row>
    <row r="758" customFormat="false" ht="15" hidden="false" customHeight="false" outlineLevel="0" collapsed="false">
      <c r="A758" s="27"/>
      <c r="B758" s="5"/>
      <c r="C758" s="27"/>
      <c r="D758" s="18"/>
      <c r="E758" s="14"/>
      <c r="F758" s="18"/>
      <c r="G758" s="19" t="str">
        <f aca="false">IF(A758="","",IFERROR(INDEX(Empresas!$B:$B,MATCH(A758,Empresas!$A:$A,0))&amp;"","cadastre o CNPJ em Empresas"))</f>
        <v/>
      </c>
      <c r="H758" s="28" t="str">
        <f aca="false">IF(B758="","",SUBSTITUTE(SUBSTITUTE(SUBSTITUTE(SUBSTITUTE(SUBSTITUTE(SUBSTITUTE(SUBSTITUTE(SUBSTITUTE(SUBSTITUTE(SUBSTITUTE(SUBSTITUTE(SUBSTITUTE(SUBSTITUTE(UPPER(TRIM(B758)),"Á","A"),"À","A"),"Â","A"),"Ã","A"),"É","E"),"Ê","E"),"Í","I"),"Ó","O"),"Ô","O"),"Õ","O"),"Ú","U"),"Ü","U"),"Ç","C"))</f>
        <v/>
      </c>
      <c r="I758" s="28" t="str">
        <f aca="false">IF(C758="","",IF(LEN(SUBSTITUTE(SUBSTITUTE(SUBSTITUTE(SUBSTITUTE(TRIM(C758),"*",""),".",""),"-","")," ",""))=11,MID(SUBSTITUTE(SUBSTITUTE(SUBSTITUTE(SUBSTITUTE(TRIM(C758),"*",""),".",""),"-","")," ",""),4,6),SUBSTITUTE(SUBSTITUTE(SUBSTITUTE(SUBSTITUTE(TRIM(C758),"*",""),".",""),"-","")," ","")))</f>
        <v/>
      </c>
      <c r="J758" s="28" t="str">
        <f aca="false">IF(OR(H758="",I758=""),"",H758&amp;"|"&amp;I758)</f>
        <v/>
      </c>
      <c r="K758" s="19" t="str">
        <f aca="false">IF(H758="","",IF(AND(J758&lt;&gt;"",COUNTIF(Pessoas!$J:$J,J758)&gt;0),"SIM",IF(COUNTIF(Pessoas!$H:$H,H758)&gt;0,"nome igual em Pessoas: confira o CPF","")))</f>
        <v/>
      </c>
      <c r="L758" s="27"/>
      <c r="M758" s="5"/>
    </row>
    <row r="759" customFormat="false" ht="15" hidden="false" customHeight="false" outlineLevel="0" collapsed="false">
      <c r="A759" s="27"/>
      <c r="B759" s="5"/>
      <c r="C759" s="27"/>
      <c r="D759" s="18"/>
      <c r="E759" s="14"/>
      <c r="F759" s="18"/>
      <c r="G759" s="19" t="str">
        <f aca="false">IF(A759="","",IFERROR(INDEX(Empresas!$B:$B,MATCH(A759,Empresas!$A:$A,0))&amp;"","cadastre o CNPJ em Empresas"))</f>
        <v/>
      </c>
      <c r="H759" s="28" t="str">
        <f aca="false">IF(B759="","",SUBSTITUTE(SUBSTITUTE(SUBSTITUTE(SUBSTITUTE(SUBSTITUTE(SUBSTITUTE(SUBSTITUTE(SUBSTITUTE(SUBSTITUTE(SUBSTITUTE(SUBSTITUTE(SUBSTITUTE(SUBSTITUTE(UPPER(TRIM(B759)),"Á","A"),"À","A"),"Â","A"),"Ã","A"),"É","E"),"Ê","E"),"Í","I"),"Ó","O"),"Ô","O"),"Õ","O"),"Ú","U"),"Ü","U"),"Ç","C"))</f>
        <v/>
      </c>
      <c r="I759" s="28" t="str">
        <f aca="false">IF(C759="","",IF(LEN(SUBSTITUTE(SUBSTITUTE(SUBSTITUTE(SUBSTITUTE(TRIM(C759),"*",""),".",""),"-","")," ",""))=11,MID(SUBSTITUTE(SUBSTITUTE(SUBSTITUTE(SUBSTITUTE(TRIM(C759),"*",""),".",""),"-","")," ",""),4,6),SUBSTITUTE(SUBSTITUTE(SUBSTITUTE(SUBSTITUTE(TRIM(C759),"*",""),".",""),"-","")," ","")))</f>
        <v/>
      </c>
      <c r="J759" s="28" t="str">
        <f aca="false">IF(OR(H759="",I759=""),"",H759&amp;"|"&amp;I759)</f>
        <v/>
      </c>
      <c r="K759" s="19" t="str">
        <f aca="false">IF(H759="","",IF(AND(J759&lt;&gt;"",COUNTIF(Pessoas!$J:$J,J759)&gt;0),"SIM",IF(COUNTIF(Pessoas!$H:$H,H759)&gt;0,"nome igual em Pessoas: confira o CPF","")))</f>
        <v/>
      </c>
      <c r="L759" s="27"/>
      <c r="M759" s="5"/>
    </row>
    <row r="760" customFormat="false" ht="15" hidden="false" customHeight="false" outlineLevel="0" collapsed="false">
      <c r="A760" s="27"/>
      <c r="B760" s="5"/>
      <c r="C760" s="27"/>
      <c r="D760" s="18"/>
      <c r="E760" s="14"/>
      <c r="F760" s="18"/>
      <c r="G760" s="19" t="str">
        <f aca="false">IF(A760="","",IFERROR(INDEX(Empresas!$B:$B,MATCH(A760,Empresas!$A:$A,0))&amp;"","cadastre o CNPJ em Empresas"))</f>
        <v/>
      </c>
      <c r="H760" s="28" t="str">
        <f aca="false">IF(B760="","",SUBSTITUTE(SUBSTITUTE(SUBSTITUTE(SUBSTITUTE(SUBSTITUTE(SUBSTITUTE(SUBSTITUTE(SUBSTITUTE(SUBSTITUTE(SUBSTITUTE(SUBSTITUTE(SUBSTITUTE(SUBSTITUTE(UPPER(TRIM(B760)),"Á","A"),"À","A"),"Â","A"),"Ã","A"),"É","E"),"Ê","E"),"Í","I"),"Ó","O"),"Ô","O"),"Õ","O"),"Ú","U"),"Ü","U"),"Ç","C"))</f>
        <v/>
      </c>
      <c r="I760" s="28" t="str">
        <f aca="false">IF(C760="","",IF(LEN(SUBSTITUTE(SUBSTITUTE(SUBSTITUTE(SUBSTITUTE(TRIM(C760),"*",""),".",""),"-","")," ",""))=11,MID(SUBSTITUTE(SUBSTITUTE(SUBSTITUTE(SUBSTITUTE(TRIM(C760),"*",""),".",""),"-","")," ",""),4,6),SUBSTITUTE(SUBSTITUTE(SUBSTITUTE(SUBSTITUTE(TRIM(C760),"*",""),".",""),"-","")," ","")))</f>
        <v/>
      </c>
      <c r="J760" s="28" t="str">
        <f aca="false">IF(OR(H760="",I760=""),"",H760&amp;"|"&amp;I760)</f>
        <v/>
      </c>
      <c r="K760" s="19" t="str">
        <f aca="false">IF(H760="","",IF(AND(J760&lt;&gt;"",COUNTIF(Pessoas!$J:$J,J760)&gt;0),"SIM",IF(COUNTIF(Pessoas!$H:$H,H760)&gt;0,"nome igual em Pessoas: confira o CPF","")))</f>
        <v/>
      </c>
      <c r="L760" s="27"/>
      <c r="M760" s="5"/>
    </row>
    <row r="761" customFormat="false" ht="15" hidden="false" customHeight="false" outlineLevel="0" collapsed="false">
      <c r="A761" s="27"/>
      <c r="B761" s="5"/>
      <c r="C761" s="27"/>
      <c r="D761" s="18"/>
      <c r="E761" s="14"/>
      <c r="F761" s="18"/>
      <c r="G761" s="19" t="str">
        <f aca="false">IF(A761="","",IFERROR(INDEX(Empresas!$B:$B,MATCH(A761,Empresas!$A:$A,0))&amp;"","cadastre o CNPJ em Empresas"))</f>
        <v/>
      </c>
      <c r="H761" s="28" t="str">
        <f aca="false">IF(B761="","",SUBSTITUTE(SUBSTITUTE(SUBSTITUTE(SUBSTITUTE(SUBSTITUTE(SUBSTITUTE(SUBSTITUTE(SUBSTITUTE(SUBSTITUTE(SUBSTITUTE(SUBSTITUTE(SUBSTITUTE(SUBSTITUTE(UPPER(TRIM(B761)),"Á","A"),"À","A"),"Â","A"),"Ã","A"),"É","E"),"Ê","E"),"Í","I"),"Ó","O"),"Ô","O"),"Õ","O"),"Ú","U"),"Ü","U"),"Ç","C"))</f>
        <v/>
      </c>
      <c r="I761" s="28" t="str">
        <f aca="false">IF(C761="","",IF(LEN(SUBSTITUTE(SUBSTITUTE(SUBSTITUTE(SUBSTITUTE(TRIM(C761),"*",""),".",""),"-","")," ",""))=11,MID(SUBSTITUTE(SUBSTITUTE(SUBSTITUTE(SUBSTITUTE(TRIM(C761),"*",""),".",""),"-","")," ",""),4,6),SUBSTITUTE(SUBSTITUTE(SUBSTITUTE(SUBSTITUTE(TRIM(C761),"*",""),".",""),"-","")," ","")))</f>
        <v/>
      </c>
      <c r="J761" s="28" t="str">
        <f aca="false">IF(OR(H761="",I761=""),"",H761&amp;"|"&amp;I761)</f>
        <v/>
      </c>
      <c r="K761" s="19" t="str">
        <f aca="false">IF(H761="","",IF(AND(J761&lt;&gt;"",COUNTIF(Pessoas!$J:$J,J761)&gt;0),"SIM",IF(COUNTIF(Pessoas!$H:$H,H761)&gt;0,"nome igual em Pessoas: confira o CPF","")))</f>
        <v/>
      </c>
      <c r="L761" s="27"/>
      <c r="M761" s="5"/>
    </row>
    <row r="762" customFormat="false" ht="15" hidden="false" customHeight="false" outlineLevel="0" collapsed="false">
      <c r="A762" s="27"/>
      <c r="B762" s="5"/>
      <c r="C762" s="27"/>
      <c r="D762" s="18"/>
      <c r="E762" s="14"/>
      <c r="F762" s="18"/>
      <c r="G762" s="19" t="str">
        <f aca="false">IF(A762="","",IFERROR(INDEX(Empresas!$B:$B,MATCH(A762,Empresas!$A:$A,0))&amp;"","cadastre o CNPJ em Empresas"))</f>
        <v/>
      </c>
      <c r="H762" s="28" t="str">
        <f aca="false">IF(B762="","",SUBSTITUTE(SUBSTITUTE(SUBSTITUTE(SUBSTITUTE(SUBSTITUTE(SUBSTITUTE(SUBSTITUTE(SUBSTITUTE(SUBSTITUTE(SUBSTITUTE(SUBSTITUTE(SUBSTITUTE(SUBSTITUTE(UPPER(TRIM(B762)),"Á","A"),"À","A"),"Â","A"),"Ã","A"),"É","E"),"Ê","E"),"Í","I"),"Ó","O"),"Ô","O"),"Õ","O"),"Ú","U"),"Ü","U"),"Ç","C"))</f>
        <v/>
      </c>
      <c r="I762" s="28" t="str">
        <f aca="false">IF(C762="","",IF(LEN(SUBSTITUTE(SUBSTITUTE(SUBSTITUTE(SUBSTITUTE(TRIM(C762),"*",""),".",""),"-","")," ",""))=11,MID(SUBSTITUTE(SUBSTITUTE(SUBSTITUTE(SUBSTITUTE(TRIM(C762),"*",""),".",""),"-","")," ",""),4,6),SUBSTITUTE(SUBSTITUTE(SUBSTITUTE(SUBSTITUTE(TRIM(C762),"*",""),".",""),"-","")," ","")))</f>
        <v/>
      </c>
      <c r="J762" s="28" t="str">
        <f aca="false">IF(OR(H762="",I762=""),"",H762&amp;"|"&amp;I762)</f>
        <v/>
      </c>
      <c r="K762" s="19" t="str">
        <f aca="false">IF(H762="","",IF(AND(J762&lt;&gt;"",COUNTIF(Pessoas!$J:$J,J762)&gt;0),"SIM",IF(COUNTIF(Pessoas!$H:$H,H762)&gt;0,"nome igual em Pessoas: confira o CPF","")))</f>
        <v/>
      </c>
      <c r="L762" s="27"/>
      <c r="M762" s="5"/>
    </row>
    <row r="763" customFormat="false" ht="15" hidden="false" customHeight="false" outlineLevel="0" collapsed="false">
      <c r="A763" s="27"/>
      <c r="B763" s="5"/>
      <c r="C763" s="27"/>
      <c r="D763" s="18"/>
      <c r="E763" s="14"/>
      <c r="F763" s="18"/>
      <c r="G763" s="19" t="str">
        <f aca="false">IF(A763="","",IFERROR(INDEX(Empresas!$B:$B,MATCH(A763,Empresas!$A:$A,0))&amp;"","cadastre o CNPJ em Empresas"))</f>
        <v/>
      </c>
      <c r="H763" s="28" t="str">
        <f aca="false">IF(B763="","",SUBSTITUTE(SUBSTITUTE(SUBSTITUTE(SUBSTITUTE(SUBSTITUTE(SUBSTITUTE(SUBSTITUTE(SUBSTITUTE(SUBSTITUTE(SUBSTITUTE(SUBSTITUTE(SUBSTITUTE(SUBSTITUTE(UPPER(TRIM(B763)),"Á","A"),"À","A"),"Â","A"),"Ã","A"),"É","E"),"Ê","E"),"Í","I"),"Ó","O"),"Ô","O"),"Õ","O"),"Ú","U"),"Ü","U"),"Ç","C"))</f>
        <v/>
      </c>
      <c r="I763" s="28" t="str">
        <f aca="false">IF(C763="","",IF(LEN(SUBSTITUTE(SUBSTITUTE(SUBSTITUTE(SUBSTITUTE(TRIM(C763),"*",""),".",""),"-","")," ",""))=11,MID(SUBSTITUTE(SUBSTITUTE(SUBSTITUTE(SUBSTITUTE(TRIM(C763),"*",""),".",""),"-","")," ",""),4,6),SUBSTITUTE(SUBSTITUTE(SUBSTITUTE(SUBSTITUTE(TRIM(C763),"*",""),".",""),"-","")," ","")))</f>
        <v/>
      </c>
      <c r="J763" s="28" t="str">
        <f aca="false">IF(OR(H763="",I763=""),"",H763&amp;"|"&amp;I763)</f>
        <v/>
      </c>
      <c r="K763" s="19" t="str">
        <f aca="false">IF(H763="","",IF(AND(J763&lt;&gt;"",COUNTIF(Pessoas!$J:$J,J763)&gt;0),"SIM",IF(COUNTIF(Pessoas!$H:$H,H763)&gt;0,"nome igual em Pessoas: confira o CPF","")))</f>
        <v/>
      </c>
      <c r="L763" s="27"/>
      <c r="M763" s="5"/>
    </row>
    <row r="764" customFormat="false" ht="15" hidden="false" customHeight="false" outlineLevel="0" collapsed="false">
      <c r="A764" s="27"/>
      <c r="B764" s="5"/>
      <c r="C764" s="27"/>
      <c r="D764" s="18"/>
      <c r="E764" s="14"/>
      <c r="F764" s="18"/>
      <c r="G764" s="19" t="str">
        <f aca="false">IF(A764="","",IFERROR(INDEX(Empresas!$B:$B,MATCH(A764,Empresas!$A:$A,0))&amp;"","cadastre o CNPJ em Empresas"))</f>
        <v/>
      </c>
      <c r="H764" s="28" t="str">
        <f aca="false">IF(B764="","",SUBSTITUTE(SUBSTITUTE(SUBSTITUTE(SUBSTITUTE(SUBSTITUTE(SUBSTITUTE(SUBSTITUTE(SUBSTITUTE(SUBSTITUTE(SUBSTITUTE(SUBSTITUTE(SUBSTITUTE(SUBSTITUTE(UPPER(TRIM(B764)),"Á","A"),"À","A"),"Â","A"),"Ã","A"),"É","E"),"Ê","E"),"Í","I"),"Ó","O"),"Ô","O"),"Õ","O"),"Ú","U"),"Ü","U"),"Ç","C"))</f>
        <v/>
      </c>
      <c r="I764" s="28" t="str">
        <f aca="false">IF(C764="","",IF(LEN(SUBSTITUTE(SUBSTITUTE(SUBSTITUTE(SUBSTITUTE(TRIM(C764),"*",""),".",""),"-","")," ",""))=11,MID(SUBSTITUTE(SUBSTITUTE(SUBSTITUTE(SUBSTITUTE(TRIM(C764),"*",""),".",""),"-","")," ",""),4,6),SUBSTITUTE(SUBSTITUTE(SUBSTITUTE(SUBSTITUTE(TRIM(C764),"*",""),".",""),"-","")," ","")))</f>
        <v/>
      </c>
      <c r="J764" s="28" t="str">
        <f aca="false">IF(OR(H764="",I764=""),"",H764&amp;"|"&amp;I764)</f>
        <v/>
      </c>
      <c r="K764" s="19" t="str">
        <f aca="false">IF(H764="","",IF(AND(J764&lt;&gt;"",COUNTIF(Pessoas!$J:$J,J764)&gt;0),"SIM",IF(COUNTIF(Pessoas!$H:$H,H764)&gt;0,"nome igual em Pessoas: confira o CPF","")))</f>
        <v/>
      </c>
      <c r="L764" s="27"/>
      <c r="M764" s="5"/>
    </row>
    <row r="765" customFormat="false" ht="15" hidden="false" customHeight="false" outlineLevel="0" collapsed="false">
      <c r="A765" s="27"/>
      <c r="B765" s="5"/>
      <c r="C765" s="27"/>
      <c r="D765" s="18"/>
      <c r="E765" s="14"/>
      <c r="F765" s="18"/>
      <c r="G765" s="19" t="str">
        <f aca="false">IF(A765="","",IFERROR(INDEX(Empresas!$B:$B,MATCH(A765,Empresas!$A:$A,0))&amp;"","cadastre o CNPJ em Empresas"))</f>
        <v/>
      </c>
      <c r="H765" s="28" t="str">
        <f aca="false">IF(B765="","",SUBSTITUTE(SUBSTITUTE(SUBSTITUTE(SUBSTITUTE(SUBSTITUTE(SUBSTITUTE(SUBSTITUTE(SUBSTITUTE(SUBSTITUTE(SUBSTITUTE(SUBSTITUTE(SUBSTITUTE(SUBSTITUTE(UPPER(TRIM(B765)),"Á","A"),"À","A"),"Â","A"),"Ã","A"),"É","E"),"Ê","E"),"Í","I"),"Ó","O"),"Ô","O"),"Õ","O"),"Ú","U"),"Ü","U"),"Ç","C"))</f>
        <v/>
      </c>
      <c r="I765" s="28" t="str">
        <f aca="false">IF(C765="","",IF(LEN(SUBSTITUTE(SUBSTITUTE(SUBSTITUTE(SUBSTITUTE(TRIM(C765),"*",""),".",""),"-","")," ",""))=11,MID(SUBSTITUTE(SUBSTITUTE(SUBSTITUTE(SUBSTITUTE(TRIM(C765),"*",""),".",""),"-","")," ",""),4,6),SUBSTITUTE(SUBSTITUTE(SUBSTITUTE(SUBSTITUTE(TRIM(C765),"*",""),".",""),"-","")," ","")))</f>
        <v/>
      </c>
      <c r="J765" s="28" t="str">
        <f aca="false">IF(OR(H765="",I765=""),"",H765&amp;"|"&amp;I765)</f>
        <v/>
      </c>
      <c r="K765" s="19" t="str">
        <f aca="false">IF(H765="","",IF(AND(J765&lt;&gt;"",COUNTIF(Pessoas!$J:$J,J765)&gt;0),"SIM",IF(COUNTIF(Pessoas!$H:$H,H765)&gt;0,"nome igual em Pessoas: confira o CPF","")))</f>
        <v/>
      </c>
      <c r="L765" s="27"/>
      <c r="M765" s="5"/>
    </row>
    <row r="766" customFormat="false" ht="15" hidden="false" customHeight="false" outlineLevel="0" collapsed="false">
      <c r="A766" s="27"/>
      <c r="B766" s="5"/>
      <c r="C766" s="27"/>
      <c r="D766" s="18"/>
      <c r="E766" s="14"/>
      <c r="F766" s="18"/>
      <c r="G766" s="19" t="str">
        <f aca="false">IF(A766="","",IFERROR(INDEX(Empresas!$B:$B,MATCH(A766,Empresas!$A:$A,0))&amp;"","cadastre o CNPJ em Empresas"))</f>
        <v/>
      </c>
      <c r="H766" s="28" t="str">
        <f aca="false">IF(B766="","",SUBSTITUTE(SUBSTITUTE(SUBSTITUTE(SUBSTITUTE(SUBSTITUTE(SUBSTITUTE(SUBSTITUTE(SUBSTITUTE(SUBSTITUTE(SUBSTITUTE(SUBSTITUTE(SUBSTITUTE(SUBSTITUTE(UPPER(TRIM(B766)),"Á","A"),"À","A"),"Â","A"),"Ã","A"),"É","E"),"Ê","E"),"Í","I"),"Ó","O"),"Ô","O"),"Õ","O"),"Ú","U"),"Ü","U"),"Ç","C"))</f>
        <v/>
      </c>
      <c r="I766" s="28" t="str">
        <f aca="false">IF(C766="","",IF(LEN(SUBSTITUTE(SUBSTITUTE(SUBSTITUTE(SUBSTITUTE(TRIM(C766),"*",""),".",""),"-","")," ",""))=11,MID(SUBSTITUTE(SUBSTITUTE(SUBSTITUTE(SUBSTITUTE(TRIM(C766),"*",""),".",""),"-","")," ",""),4,6),SUBSTITUTE(SUBSTITUTE(SUBSTITUTE(SUBSTITUTE(TRIM(C766),"*",""),".",""),"-","")," ","")))</f>
        <v/>
      </c>
      <c r="J766" s="28" t="str">
        <f aca="false">IF(OR(H766="",I766=""),"",H766&amp;"|"&amp;I766)</f>
        <v/>
      </c>
      <c r="K766" s="19" t="str">
        <f aca="false">IF(H766="","",IF(AND(J766&lt;&gt;"",COUNTIF(Pessoas!$J:$J,J766)&gt;0),"SIM",IF(COUNTIF(Pessoas!$H:$H,H766)&gt;0,"nome igual em Pessoas: confira o CPF","")))</f>
        <v/>
      </c>
      <c r="L766" s="27"/>
      <c r="M766" s="5"/>
    </row>
    <row r="767" customFormat="false" ht="15" hidden="false" customHeight="false" outlineLevel="0" collapsed="false">
      <c r="A767" s="27"/>
      <c r="B767" s="5"/>
      <c r="C767" s="27"/>
      <c r="D767" s="18"/>
      <c r="E767" s="14"/>
      <c r="F767" s="18"/>
      <c r="G767" s="19" t="str">
        <f aca="false">IF(A767="","",IFERROR(INDEX(Empresas!$B:$B,MATCH(A767,Empresas!$A:$A,0))&amp;"","cadastre o CNPJ em Empresas"))</f>
        <v/>
      </c>
      <c r="H767" s="28" t="str">
        <f aca="false">IF(B767="","",SUBSTITUTE(SUBSTITUTE(SUBSTITUTE(SUBSTITUTE(SUBSTITUTE(SUBSTITUTE(SUBSTITUTE(SUBSTITUTE(SUBSTITUTE(SUBSTITUTE(SUBSTITUTE(SUBSTITUTE(SUBSTITUTE(UPPER(TRIM(B767)),"Á","A"),"À","A"),"Â","A"),"Ã","A"),"É","E"),"Ê","E"),"Í","I"),"Ó","O"),"Ô","O"),"Õ","O"),"Ú","U"),"Ü","U"),"Ç","C"))</f>
        <v/>
      </c>
      <c r="I767" s="28" t="str">
        <f aca="false">IF(C767="","",IF(LEN(SUBSTITUTE(SUBSTITUTE(SUBSTITUTE(SUBSTITUTE(TRIM(C767),"*",""),".",""),"-","")," ",""))=11,MID(SUBSTITUTE(SUBSTITUTE(SUBSTITUTE(SUBSTITUTE(TRIM(C767),"*",""),".",""),"-","")," ",""),4,6),SUBSTITUTE(SUBSTITUTE(SUBSTITUTE(SUBSTITUTE(TRIM(C767),"*",""),".",""),"-","")," ","")))</f>
        <v/>
      </c>
      <c r="J767" s="28" t="str">
        <f aca="false">IF(OR(H767="",I767=""),"",H767&amp;"|"&amp;I767)</f>
        <v/>
      </c>
      <c r="K767" s="19" t="str">
        <f aca="false">IF(H767="","",IF(AND(J767&lt;&gt;"",COUNTIF(Pessoas!$J:$J,J767)&gt;0),"SIM",IF(COUNTIF(Pessoas!$H:$H,H767)&gt;0,"nome igual em Pessoas: confira o CPF","")))</f>
        <v/>
      </c>
      <c r="L767" s="27"/>
      <c r="M767" s="5"/>
    </row>
    <row r="768" customFormat="false" ht="15" hidden="false" customHeight="false" outlineLevel="0" collapsed="false">
      <c r="A768" s="27"/>
      <c r="B768" s="5"/>
      <c r="C768" s="27"/>
      <c r="D768" s="18"/>
      <c r="E768" s="14"/>
      <c r="F768" s="18"/>
      <c r="G768" s="19" t="str">
        <f aca="false">IF(A768="","",IFERROR(INDEX(Empresas!$B:$B,MATCH(A768,Empresas!$A:$A,0))&amp;"","cadastre o CNPJ em Empresas"))</f>
        <v/>
      </c>
      <c r="H768" s="28" t="str">
        <f aca="false">IF(B768="","",SUBSTITUTE(SUBSTITUTE(SUBSTITUTE(SUBSTITUTE(SUBSTITUTE(SUBSTITUTE(SUBSTITUTE(SUBSTITUTE(SUBSTITUTE(SUBSTITUTE(SUBSTITUTE(SUBSTITUTE(SUBSTITUTE(UPPER(TRIM(B768)),"Á","A"),"À","A"),"Â","A"),"Ã","A"),"É","E"),"Ê","E"),"Í","I"),"Ó","O"),"Ô","O"),"Õ","O"),"Ú","U"),"Ü","U"),"Ç","C"))</f>
        <v/>
      </c>
      <c r="I768" s="28" t="str">
        <f aca="false">IF(C768="","",IF(LEN(SUBSTITUTE(SUBSTITUTE(SUBSTITUTE(SUBSTITUTE(TRIM(C768),"*",""),".",""),"-","")," ",""))=11,MID(SUBSTITUTE(SUBSTITUTE(SUBSTITUTE(SUBSTITUTE(TRIM(C768),"*",""),".",""),"-","")," ",""),4,6),SUBSTITUTE(SUBSTITUTE(SUBSTITUTE(SUBSTITUTE(TRIM(C768),"*",""),".",""),"-","")," ","")))</f>
        <v/>
      </c>
      <c r="J768" s="28" t="str">
        <f aca="false">IF(OR(H768="",I768=""),"",H768&amp;"|"&amp;I768)</f>
        <v/>
      </c>
      <c r="K768" s="19" t="str">
        <f aca="false">IF(H768="","",IF(AND(J768&lt;&gt;"",COUNTIF(Pessoas!$J:$J,J768)&gt;0),"SIM",IF(COUNTIF(Pessoas!$H:$H,H768)&gt;0,"nome igual em Pessoas: confira o CPF","")))</f>
        <v/>
      </c>
      <c r="L768" s="27"/>
      <c r="M768" s="5"/>
    </row>
    <row r="769" customFormat="false" ht="15" hidden="false" customHeight="false" outlineLevel="0" collapsed="false">
      <c r="A769" s="27"/>
      <c r="B769" s="5"/>
      <c r="C769" s="27"/>
      <c r="D769" s="18"/>
      <c r="E769" s="14"/>
      <c r="F769" s="18"/>
      <c r="G769" s="19" t="str">
        <f aca="false">IF(A769="","",IFERROR(INDEX(Empresas!$B:$B,MATCH(A769,Empresas!$A:$A,0))&amp;"","cadastre o CNPJ em Empresas"))</f>
        <v/>
      </c>
      <c r="H769" s="28" t="str">
        <f aca="false">IF(B769="","",SUBSTITUTE(SUBSTITUTE(SUBSTITUTE(SUBSTITUTE(SUBSTITUTE(SUBSTITUTE(SUBSTITUTE(SUBSTITUTE(SUBSTITUTE(SUBSTITUTE(SUBSTITUTE(SUBSTITUTE(SUBSTITUTE(UPPER(TRIM(B769)),"Á","A"),"À","A"),"Â","A"),"Ã","A"),"É","E"),"Ê","E"),"Í","I"),"Ó","O"),"Ô","O"),"Õ","O"),"Ú","U"),"Ü","U"),"Ç","C"))</f>
        <v/>
      </c>
      <c r="I769" s="28" t="str">
        <f aca="false">IF(C769="","",IF(LEN(SUBSTITUTE(SUBSTITUTE(SUBSTITUTE(SUBSTITUTE(TRIM(C769),"*",""),".",""),"-","")," ",""))=11,MID(SUBSTITUTE(SUBSTITUTE(SUBSTITUTE(SUBSTITUTE(TRIM(C769),"*",""),".",""),"-","")," ",""),4,6),SUBSTITUTE(SUBSTITUTE(SUBSTITUTE(SUBSTITUTE(TRIM(C769),"*",""),".",""),"-","")," ","")))</f>
        <v/>
      </c>
      <c r="J769" s="28" t="str">
        <f aca="false">IF(OR(H769="",I769=""),"",H769&amp;"|"&amp;I769)</f>
        <v/>
      </c>
      <c r="K769" s="19" t="str">
        <f aca="false">IF(H769="","",IF(AND(J769&lt;&gt;"",COUNTIF(Pessoas!$J:$J,J769)&gt;0),"SIM",IF(COUNTIF(Pessoas!$H:$H,H769)&gt;0,"nome igual em Pessoas: confira o CPF","")))</f>
        <v/>
      </c>
      <c r="L769" s="27"/>
      <c r="M769" s="5"/>
    </row>
    <row r="770" customFormat="false" ht="15" hidden="false" customHeight="false" outlineLevel="0" collapsed="false">
      <c r="A770" s="27"/>
      <c r="B770" s="5"/>
      <c r="C770" s="27"/>
      <c r="D770" s="18"/>
      <c r="E770" s="14"/>
      <c r="F770" s="18"/>
      <c r="G770" s="19" t="str">
        <f aca="false">IF(A770="","",IFERROR(INDEX(Empresas!$B:$B,MATCH(A770,Empresas!$A:$A,0))&amp;"","cadastre o CNPJ em Empresas"))</f>
        <v/>
      </c>
      <c r="H770" s="28" t="str">
        <f aca="false">IF(B770="","",SUBSTITUTE(SUBSTITUTE(SUBSTITUTE(SUBSTITUTE(SUBSTITUTE(SUBSTITUTE(SUBSTITUTE(SUBSTITUTE(SUBSTITUTE(SUBSTITUTE(SUBSTITUTE(SUBSTITUTE(SUBSTITUTE(UPPER(TRIM(B770)),"Á","A"),"À","A"),"Â","A"),"Ã","A"),"É","E"),"Ê","E"),"Í","I"),"Ó","O"),"Ô","O"),"Õ","O"),"Ú","U"),"Ü","U"),"Ç","C"))</f>
        <v/>
      </c>
      <c r="I770" s="28" t="str">
        <f aca="false">IF(C770="","",IF(LEN(SUBSTITUTE(SUBSTITUTE(SUBSTITUTE(SUBSTITUTE(TRIM(C770),"*",""),".",""),"-","")," ",""))=11,MID(SUBSTITUTE(SUBSTITUTE(SUBSTITUTE(SUBSTITUTE(TRIM(C770),"*",""),".",""),"-","")," ",""),4,6),SUBSTITUTE(SUBSTITUTE(SUBSTITUTE(SUBSTITUTE(TRIM(C770),"*",""),".",""),"-","")," ","")))</f>
        <v/>
      </c>
      <c r="J770" s="28" t="str">
        <f aca="false">IF(OR(H770="",I770=""),"",H770&amp;"|"&amp;I770)</f>
        <v/>
      </c>
      <c r="K770" s="19" t="str">
        <f aca="false">IF(H770="","",IF(AND(J770&lt;&gt;"",COUNTIF(Pessoas!$J:$J,J770)&gt;0),"SIM",IF(COUNTIF(Pessoas!$H:$H,H770)&gt;0,"nome igual em Pessoas: confira o CPF","")))</f>
        <v/>
      </c>
      <c r="L770" s="27"/>
      <c r="M770" s="5"/>
    </row>
    <row r="771" customFormat="false" ht="15" hidden="false" customHeight="false" outlineLevel="0" collapsed="false">
      <c r="A771" s="27"/>
      <c r="B771" s="5"/>
      <c r="C771" s="27"/>
      <c r="D771" s="18"/>
      <c r="E771" s="14"/>
      <c r="F771" s="18"/>
      <c r="G771" s="19" t="str">
        <f aca="false">IF(A771="","",IFERROR(INDEX(Empresas!$B:$B,MATCH(A771,Empresas!$A:$A,0))&amp;"","cadastre o CNPJ em Empresas"))</f>
        <v/>
      </c>
      <c r="H771" s="28" t="str">
        <f aca="false">IF(B771="","",SUBSTITUTE(SUBSTITUTE(SUBSTITUTE(SUBSTITUTE(SUBSTITUTE(SUBSTITUTE(SUBSTITUTE(SUBSTITUTE(SUBSTITUTE(SUBSTITUTE(SUBSTITUTE(SUBSTITUTE(SUBSTITUTE(UPPER(TRIM(B771)),"Á","A"),"À","A"),"Â","A"),"Ã","A"),"É","E"),"Ê","E"),"Í","I"),"Ó","O"),"Ô","O"),"Õ","O"),"Ú","U"),"Ü","U"),"Ç","C"))</f>
        <v/>
      </c>
      <c r="I771" s="28" t="str">
        <f aca="false">IF(C771="","",IF(LEN(SUBSTITUTE(SUBSTITUTE(SUBSTITUTE(SUBSTITUTE(TRIM(C771),"*",""),".",""),"-","")," ",""))=11,MID(SUBSTITUTE(SUBSTITUTE(SUBSTITUTE(SUBSTITUTE(TRIM(C771),"*",""),".",""),"-","")," ",""),4,6),SUBSTITUTE(SUBSTITUTE(SUBSTITUTE(SUBSTITUTE(TRIM(C771),"*",""),".",""),"-","")," ","")))</f>
        <v/>
      </c>
      <c r="J771" s="28" t="str">
        <f aca="false">IF(OR(H771="",I771=""),"",H771&amp;"|"&amp;I771)</f>
        <v/>
      </c>
      <c r="K771" s="19" t="str">
        <f aca="false">IF(H771="","",IF(AND(J771&lt;&gt;"",COUNTIF(Pessoas!$J:$J,J771)&gt;0),"SIM",IF(COUNTIF(Pessoas!$H:$H,H771)&gt;0,"nome igual em Pessoas: confira o CPF","")))</f>
        <v/>
      </c>
      <c r="L771" s="27"/>
      <c r="M771" s="5"/>
    </row>
    <row r="772" customFormat="false" ht="15" hidden="false" customHeight="false" outlineLevel="0" collapsed="false">
      <c r="A772" s="27"/>
      <c r="B772" s="5"/>
      <c r="C772" s="27"/>
      <c r="D772" s="18"/>
      <c r="E772" s="14"/>
      <c r="F772" s="18"/>
      <c r="G772" s="19" t="str">
        <f aca="false">IF(A772="","",IFERROR(INDEX(Empresas!$B:$B,MATCH(A772,Empresas!$A:$A,0))&amp;"","cadastre o CNPJ em Empresas"))</f>
        <v/>
      </c>
      <c r="H772" s="28" t="str">
        <f aca="false">IF(B772="","",SUBSTITUTE(SUBSTITUTE(SUBSTITUTE(SUBSTITUTE(SUBSTITUTE(SUBSTITUTE(SUBSTITUTE(SUBSTITUTE(SUBSTITUTE(SUBSTITUTE(SUBSTITUTE(SUBSTITUTE(SUBSTITUTE(UPPER(TRIM(B772)),"Á","A"),"À","A"),"Â","A"),"Ã","A"),"É","E"),"Ê","E"),"Í","I"),"Ó","O"),"Ô","O"),"Õ","O"),"Ú","U"),"Ü","U"),"Ç","C"))</f>
        <v/>
      </c>
      <c r="I772" s="28" t="str">
        <f aca="false">IF(C772="","",IF(LEN(SUBSTITUTE(SUBSTITUTE(SUBSTITUTE(SUBSTITUTE(TRIM(C772),"*",""),".",""),"-","")," ",""))=11,MID(SUBSTITUTE(SUBSTITUTE(SUBSTITUTE(SUBSTITUTE(TRIM(C772),"*",""),".",""),"-","")," ",""),4,6),SUBSTITUTE(SUBSTITUTE(SUBSTITUTE(SUBSTITUTE(TRIM(C772),"*",""),".",""),"-","")," ","")))</f>
        <v/>
      </c>
      <c r="J772" s="28" t="str">
        <f aca="false">IF(OR(H772="",I772=""),"",H772&amp;"|"&amp;I772)</f>
        <v/>
      </c>
      <c r="K772" s="19" t="str">
        <f aca="false">IF(H772="","",IF(AND(J772&lt;&gt;"",COUNTIF(Pessoas!$J:$J,J772)&gt;0),"SIM",IF(COUNTIF(Pessoas!$H:$H,H772)&gt;0,"nome igual em Pessoas: confira o CPF","")))</f>
        <v/>
      </c>
      <c r="L772" s="27"/>
      <c r="M772" s="5"/>
    </row>
    <row r="773" customFormat="false" ht="15" hidden="false" customHeight="false" outlineLevel="0" collapsed="false">
      <c r="A773" s="27"/>
      <c r="B773" s="5"/>
      <c r="C773" s="27"/>
      <c r="D773" s="18"/>
      <c r="E773" s="14"/>
      <c r="F773" s="18"/>
      <c r="G773" s="19" t="str">
        <f aca="false">IF(A773="","",IFERROR(INDEX(Empresas!$B:$B,MATCH(A773,Empresas!$A:$A,0))&amp;"","cadastre o CNPJ em Empresas"))</f>
        <v/>
      </c>
      <c r="H773" s="28" t="str">
        <f aca="false">IF(B773="","",SUBSTITUTE(SUBSTITUTE(SUBSTITUTE(SUBSTITUTE(SUBSTITUTE(SUBSTITUTE(SUBSTITUTE(SUBSTITUTE(SUBSTITUTE(SUBSTITUTE(SUBSTITUTE(SUBSTITUTE(SUBSTITUTE(UPPER(TRIM(B773)),"Á","A"),"À","A"),"Â","A"),"Ã","A"),"É","E"),"Ê","E"),"Í","I"),"Ó","O"),"Ô","O"),"Õ","O"),"Ú","U"),"Ü","U"),"Ç","C"))</f>
        <v/>
      </c>
      <c r="I773" s="28" t="str">
        <f aca="false">IF(C773="","",IF(LEN(SUBSTITUTE(SUBSTITUTE(SUBSTITUTE(SUBSTITUTE(TRIM(C773),"*",""),".",""),"-","")," ",""))=11,MID(SUBSTITUTE(SUBSTITUTE(SUBSTITUTE(SUBSTITUTE(TRIM(C773),"*",""),".",""),"-","")," ",""),4,6),SUBSTITUTE(SUBSTITUTE(SUBSTITUTE(SUBSTITUTE(TRIM(C773),"*",""),".",""),"-","")," ","")))</f>
        <v/>
      </c>
      <c r="J773" s="28" t="str">
        <f aca="false">IF(OR(H773="",I773=""),"",H773&amp;"|"&amp;I773)</f>
        <v/>
      </c>
      <c r="K773" s="19" t="str">
        <f aca="false">IF(H773="","",IF(AND(J773&lt;&gt;"",COUNTIF(Pessoas!$J:$J,J773)&gt;0),"SIM",IF(COUNTIF(Pessoas!$H:$H,H773)&gt;0,"nome igual em Pessoas: confira o CPF","")))</f>
        <v/>
      </c>
      <c r="L773" s="27"/>
      <c r="M773" s="5"/>
    </row>
    <row r="774" customFormat="false" ht="15" hidden="false" customHeight="false" outlineLevel="0" collapsed="false">
      <c r="A774" s="27"/>
      <c r="B774" s="5"/>
      <c r="C774" s="27"/>
      <c r="D774" s="18"/>
      <c r="E774" s="14"/>
      <c r="F774" s="18"/>
      <c r="G774" s="19" t="str">
        <f aca="false">IF(A774="","",IFERROR(INDEX(Empresas!$B:$B,MATCH(A774,Empresas!$A:$A,0))&amp;"","cadastre o CNPJ em Empresas"))</f>
        <v/>
      </c>
      <c r="H774" s="28" t="str">
        <f aca="false">IF(B774="","",SUBSTITUTE(SUBSTITUTE(SUBSTITUTE(SUBSTITUTE(SUBSTITUTE(SUBSTITUTE(SUBSTITUTE(SUBSTITUTE(SUBSTITUTE(SUBSTITUTE(SUBSTITUTE(SUBSTITUTE(SUBSTITUTE(UPPER(TRIM(B774)),"Á","A"),"À","A"),"Â","A"),"Ã","A"),"É","E"),"Ê","E"),"Í","I"),"Ó","O"),"Ô","O"),"Õ","O"),"Ú","U"),"Ü","U"),"Ç","C"))</f>
        <v/>
      </c>
      <c r="I774" s="28" t="str">
        <f aca="false">IF(C774="","",IF(LEN(SUBSTITUTE(SUBSTITUTE(SUBSTITUTE(SUBSTITUTE(TRIM(C774),"*",""),".",""),"-","")," ",""))=11,MID(SUBSTITUTE(SUBSTITUTE(SUBSTITUTE(SUBSTITUTE(TRIM(C774),"*",""),".",""),"-","")," ",""),4,6),SUBSTITUTE(SUBSTITUTE(SUBSTITUTE(SUBSTITUTE(TRIM(C774),"*",""),".",""),"-","")," ","")))</f>
        <v/>
      </c>
      <c r="J774" s="28" t="str">
        <f aca="false">IF(OR(H774="",I774=""),"",H774&amp;"|"&amp;I774)</f>
        <v/>
      </c>
      <c r="K774" s="19" t="str">
        <f aca="false">IF(H774="","",IF(AND(J774&lt;&gt;"",COUNTIF(Pessoas!$J:$J,J774)&gt;0),"SIM",IF(COUNTIF(Pessoas!$H:$H,H774)&gt;0,"nome igual em Pessoas: confira o CPF","")))</f>
        <v/>
      </c>
      <c r="L774" s="27"/>
      <c r="M774" s="5"/>
    </row>
    <row r="775" customFormat="false" ht="15" hidden="false" customHeight="false" outlineLevel="0" collapsed="false">
      <c r="A775" s="27"/>
      <c r="B775" s="5"/>
      <c r="C775" s="27"/>
      <c r="D775" s="18"/>
      <c r="E775" s="14"/>
      <c r="F775" s="18"/>
      <c r="G775" s="19" t="str">
        <f aca="false">IF(A775="","",IFERROR(INDEX(Empresas!$B:$B,MATCH(A775,Empresas!$A:$A,0))&amp;"","cadastre o CNPJ em Empresas"))</f>
        <v/>
      </c>
      <c r="H775" s="28" t="str">
        <f aca="false">IF(B775="","",SUBSTITUTE(SUBSTITUTE(SUBSTITUTE(SUBSTITUTE(SUBSTITUTE(SUBSTITUTE(SUBSTITUTE(SUBSTITUTE(SUBSTITUTE(SUBSTITUTE(SUBSTITUTE(SUBSTITUTE(SUBSTITUTE(UPPER(TRIM(B775)),"Á","A"),"À","A"),"Â","A"),"Ã","A"),"É","E"),"Ê","E"),"Í","I"),"Ó","O"),"Ô","O"),"Õ","O"),"Ú","U"),"Ü","U"),"Ç","C"))</f>
        <v/>
      </c>
      <c r="I775" s="28" t="str">
        <f aca="false">IF(C775="","",IF(LEN(SUBSTITUTE(SUBSTITUTE(SUBSTITUTE(SUBSTITUTE(TRIM(C775),"*",""),".",""),"-","")," ",""))=11,MID(SUBSTITUTE(SUBSTITUTE(SUBSTITUTE(SUBSTITUTE(TRIM(C775),"*",""),".",""),"-","")," ",""),4,6),SUBSTITUTE(SUBSTITUTE(SUBSTITUTE(SUBSTITUTE(TRIM(C775),"*",""),".",""),"-","")," ","")))</f>
        <v/>
      </c>
      <c r="J775" s="28" t="str">
        <f aca="false">IF(OR(H775="",I775=""),"",H775&amp;"|"&amp;I775)</f>
        <v/>
      </c>
      <c r="K775" s="19" t="str">
        <f aca="false">IF(H775="","",IF(AND(J775&lt;&gt;"",COUNTIF(Pessoas!$J:$J,J775)&gt;0),"SIM",IF(COUNTIF(Pessoas!$H:$H,H775)&gt;0,"nome igual em Pessoas: confira o CPF","")))</f>
        <v/>
      </c>
      <c r="L775" s="27"/>
      <c r="M775" s="5"/>
    </row>
    <row r="776" customFormat="false" ht="15" hidden="false" customHeight="false" outlineLevel="0" collapsed="false">
      <c r="A776" s="27"/>
      <c r="B776" s="5"/>
      <c r="C776" s="27"/>
      <c r="D776" s="18"/>
      <c r="E776" s="14"/>
      <c r="F776" s="18"/>
      <c r="G776" s="19" t="str">
        <f aca="false">IF(A776="","",IFERROR(INDEX(Empresas!$B:$B,MATCH(A776,Empresas!$A:$A,0))&amp;"","cadastre o CNPJ em Empresas"))</f>
        <v/>
      </c>
      <c r="H776" s="28" t="str">
        <f aca="false">IF(B776="","",SUBSTITUTE(SUBSTITUTE(SUBSTITUTE(SUBSTITUTE(SUBSTITUTE(SUBSTITUTE(SUBSTITUTE(SUBSTITUTE(SUBSTITUTE(SUBSTITUTE(SUBSTITUTE(SUBSTITUTE(SUBSTITUTE(UPPER(TRIM(B776)),"Á","A"),"À","A"),"Â","A"),"Ã","A"),"É","E"),"Ê","E"),"Í","I"),"Ó","O"),"Ô","O"),"Õ","O"),"Ú","U"),"Ü","U"),"Ç","C"))</f>
        <v/>
      </c>
      <c r="I776" s="28" t="str">
        <f aca="false">IF(C776="","",IF(LEN(SUBSTITUTE(SUBSTITUTE(SUBSTITUTE(SUBSTITUTE(TRIM(C776),"*",""),".",""),"-","")," ",""))=11,MID(SUBSTITUTE(SUBSTITUTE(SUBSTITUTE(SUBSTITUTE(TRIM(C776),"*",""),".",""),"-","")," ",""),4,6),SUBSTITUTE(SUBSTITUTE(SUBSTITUTE(SUBSTITUTE(TRIM(C776),"*",""),".",""),"-","")," ","")))</f>
        <v/>
      </c>
      <c r="J776" s="28" t="str">
        <f aca="false">IF(OR(H776="",I776=""),"",H776&amp;"|"&amp;I776)</f>
        <v/>
      </c>
      <c r="K776" s="19" t="str">
        <f aca="false">IF(H776="","",IF(AND(J776&lt;&gt;"",COUNTIF(Pessoas!$J:$J,J776)&gt;0),"SIM",IF(COUNTIF(Pessoas!$H:$H,H776)&gt;0,"nome igual em Pessoas: confira o CPF","")))</f>
        <v/>
      </c>
      <c r="L776" s="27"/>
      <c r="M776" s="5"/>
    </row>
    <row r="777" customFormat="false" ht="15" hidden="false" customHeight="false" outlineLevel="0" collapsed="false">
      <c r="A777" s="27"/>
      <c r="B777" s="5"/>
      <c r="C777" s="27"/>
      <c r="D777" s="18"/>
      <c r="E777" s="14"/>
      <c r="F777" s="18"/>
      <c r="G777" s="19" t="str">
        <f aca="false">IF(A777="","",IFERROR(INDEX(Empresas!$B:$B,MATCH(A777,Empresas!$A:$A,0))&amp;"","cadastre o CNPJ em Empresas"))</f>
        <v/>
      </c>
      <c r="H777" s="28" t="str">
        <f aca="false">IF(B777="","",SUBSTITUTE(SUBSTITUTE(SUBSTITUTE(SUBSTITUTE(SUBSTITUTE(SUBSTITUTE(SUBSTITUTE(SUBSTITUTE(SUBSTITUTE(SUBSTITUTE(SUBSTITUTE(SUBSTITUTE(SUBSTITUTE(UPPER(TRIM(B777)),"Á","A"),"À","A"),"Â","A"),"Ã","A"),"É","E"),"Ê","E"),"Í","I"),"Ó","O"),"Ô","O"),"Õ","O"),"Ú","U"),"Ü","U"),"Ç","C"))</f>
        <v/>
      </c>
      <c r="I777" s="28" t="str">
        <f aca="false">IF(C777="","",IF(LEN(SUBSTITUTE(SUBSTITUTE(SUBSTITUTE(SUBSTITUTE(TRIM(C777),"*",""),".",""),"-","")," ",""))=11,MID(SUBSTITUTE(SUBSTITUTE(SUBSTITUTE(SUBSTITUTE(TRIM(C777),"*",""),".",""),"-","")," ",""),4,6),SUBSTITUTE(SUBSTITUTE(SUBSTITUTE(SUBSTITUTE(TRIM(C777),"*",""),".",""),"-","")," ","")))</f>
        <v/>
      </c>
      <c r="J777" s="28" t="str">
        <f aca="false">IF(OR(H777="",I777=""),"",H777&amp;"|"&amp;I777)</f>
        <v/>
      </c>
      <c r="K777" s="19" t="str">
        <f aca="false">IF(H777="","",IF(AND(J777&lt;&gt;"",COUNTIF(Pessoas!$J:$J,J777)&gt;0),"SIM",IF(COUNTIF(Pessoas!$H:$H,H777)&gt;0,"nome igual em Pessoas: confira o CPF","")))</f>
        <v/>
      </c>
      <c r="L777" s="27"/>
      <c r="M777" s="5"/>
    </row>
    <row r="778" customFormat="false" ht="15" hidden="false" customHeight="false" outlineLevel="0" collapsed="false">
      <c r="A778" s="27"/>
      <c r="B778" s="5"/>
      <c r="C778" s="27"/>
      <c r="D778" s="18"/>
      <c r="E778" s="14"/>
      <c r="F778" s="18"/>
      <c r="G778" s="19" t="str">
        <f aca="false">IF(A778="","",IFERROR(INDEX(Empresas!$B:$B,MATCH(A778,Empresas!$A:$A,0))&amp;"","cadastre o CNPJ em Empresas"))</f>
        <v/>
      </c>
      <c r="H778" s="28" t="str">
        <f aca="false">IF(B778="","",SUBSTITUTE(SUBSTITUTE(SUBSTITUTE(SUBSTITUTE(SUBSTITUTE(SUBSTITUTE(SUBSTITUTE(SUBSTITUTE(SUBSTITUTE(SUBSTITUTE(SUBSTITUTE(SUBSTITUTE(SUBSTITUTE(UPPER(TRIM(B778)),"Á","A"),"À","A"),"Â","A"),"Ã","A"),"É","E"),"Ê","E"),"Í","I"),"Ó","O"),"Ô","O"),"Õ","O"),"Ú","U"),"Ü","U"),"Ç","C"))</f>
        <v/>
      </c>
      <c r="I778" s="28" t="str">
        <f aca="false">IF(C778="","",IF(LEN(SUBSTITUTE(SUBSTITUTE(SUBSTITUTE(SUBSTITUTE(TRIM(C778),"*",""),".",""),"-","")," ",""))=11,MID(SUBSTITUTE(SUBSTITUTE(SUBSTITUTE(SUBSTITUTE(TRIM(C778),"*",""),".",""),"-","")," ",""),4,6),SUBSTITUTE(SUBSTITUTE(SUBSTITUTE(SUBSTITUTE(TRIM(C778),"*",""),".",""),"-","")," ","")))</f>
        <v/>
      </c>
      <c r="J778" s="28" t="str">
        <f aca="false">IF(OR(H778="",I778=""),"",H778&amp;"|"&amp;I778)</f>
        <v/>
      </c>
      <c r="K778" s="19" t="str">
        <f aca="false">IF(H778="","",IF(AND(J778&lt;&gt;"",COUNTIF(Pessoas!$J:$J,J778)&gt;0),"SIM",IF(COUNTIF(Pessoas!$H:$H,H778)&gt;0,"nome igual em Pessoas: confira o CPF","")))</f>
        <v/>
      </c>
      <c r="L778" s="27"/>
      <c r="M778" s="5"/>
    </row>
    <row r="779" customFormat="false" ht="15" hidden="false" customHeight="false" outlineLevel="0" collapsed="false">
      <c r="A779" s="27"/>
      <c r="B779" s="5"/>
      <c r="C779" s="27"/>
      <c r="D779" s="18"/>
      <c r="E779" s="14"/>
      <c r="F779" s="18"/>
      <c r="G779" s="19" t="str">
        <f aca="false">IF(A779="","",IFERROR(INDEX(Empresas!$B:$B,MATCH(A779,Empresas!$A:$A,0))&amp;"","cadastre o CNPJ em Empresas"))</f>
        <v/>
      </c>
      <c r="H779" s="28" t="str">
        <f aca="false">IF(B779="","",SUBSTITUTE(SUBSTITUTE(SUBSTITUTE(SUBSTITUTE(SUBSTITUTE(SUBSTITUTE(SUBSTITUTE(SUBSTITUTE(SUBSTITUTE(SUBSTITUTE(SUBSTITUTE(SUBSTITUTE(SUBSTITUTE(UPPER(TRIM(B779)),"Á","A"),"À","A"),"Â","A"),"Ã","A"),"É","E"),"Ê","E"),"Í","I"),"Ó","O"),"Ô","O"),"Õ","O"),"Ú","U"),"Ü","U"),"Ç","C"))</f>
        <v/>
      </c>
      <c r="I779" s="28" t="str">
        <f aca="false">IF(C779="","",IF(LEN(SUBSTITUTE(SUBSTITUTE(SUBSTITUTE(SUBSTITUTE(TRIM(C779),"*",""),".",""),"-","")," ",""))=11,MID(SUBSTITUTE(SUBSTITUTE(SUBSTITUTE(SUBSTITUTE(TRIM(C779),"*",""),".",""),"-","")," ",""),4,6),SUBSTITUTE(SUBSTITUTE(SUBSTITUTE(SUBSTITUTE(TRIM(C779),"*",""),".",""),"-","")," ","")))</f>
        <v/>
      </c>
      <c r="J779" s="28" t="str">
        <f aca="false">IF(OR(H779="",I779=""),"",H779&amp;"|"&amp;I779)</f>
        <v/>
      </c>
      <c r="K779" s="19" t="str">
        <f aca="false">IF(H779="","",IF(AND(J779&lt;&gt;"",COUNTIF(Pessoas!$J:$J,J779)&gt;0),"SIM",IF(COUNTIF(Pessoas!$H:$H,H779)&gt;0,"nome igual em Pessoas: confira o CPF","")))</f>
        <v/>
      </c>
      <c r="L779" s="27"/>
      <c r="M779" s="5"/>
    </row>
    <row r="780" customFormat="false" ht="15" hidden="false" customHeight="false" outlineLevel="0" collapsed="false">
      <c r="A780" s="27"/>
      <c r="B780" s="5"/>
      <c r="C780" s="27"/>
      <c r="D780" s="18"/>
      <c r="E780" s="14"/>
      <c r="F780" s="18"/>
      <c r="G780" s="19" t="str">
        <f aca="false">IF(A780="","",IFERROR(INDEX(Empresas!$B:$B,MATCH(A780,Empresas!$A:$A,0))&amp;"","cadastre o CNPJ em Empresas"))</f>
        <v/>
      </c>
      <c r="H780" s="28" t="str">
        <f aca="false">IF(B780="","",SUBSTITUTE(SUBSTITUTE(SUBSTITUTE(SUBSTITUTE(SUBSTITUTE(SUBSTITUTE(SUBSTITUTE(SUBSTITUTE(SUBSTITUTE(SUBSTITUTE(SUBSTITUTE(SUBSTITUTE(SUBSTITUTE(UPPER(TRIM(B780)),"Á","A"),"À","A"),"Â","A"),"Ã","A"),"É","E"),"Ê","E"),"Í","I"),"Ó","O"),"Ô","O"),"Õ","O"),"Ú","U"),"Ü","U"),"Ç","C"))</f>
        <v/>
      </c>
      <c r="I780" s="28" t="str">
        <f aca="false">IF(C780="","",IF(LEN(SUBSTITUTE(SUBSTITUTE(SUBSTITUTE(SUBSTITUTE(TRIM(C780),"*",""),".",""),"-","")," ",""))=11,MID(SUBSTITUTE(SUBSTITUTE(SUBSTITUTE(SUBSTITUTE(TRIM(C780),"*",""),".",""),"-","")," ",""),4,6),SUBSTITUTE(SUBSTITUTE(SUBSTITUTE(SUBSTITUTE(TRIM(C780),"*",""),".",""),"-","")," ","")))</f>
        <v/>
      </c>
      <c r="J780" s="28" t="str">
        <f aca="false">IF(OR(H780="",I780=""),"",H780&amp;"|"&amp;I780)</f>
        <v/>
      </c>
      <c r="K780" s="19" t="str">
        <f aca="false">IF(H780="","",IF(AND(J780&lt;&gt;"",COUNTIF(Pessoas!$J:$J,J780)&gt;0),"SIM",IF(COUNTIF(Pessoas!$H:$H,H780)&gt;0,"nome igual em Pessoas: confira o CPF","")))</f>
        <v/>
      </c>
      <c r="L780" s="27"/>
      <c r="M780" s="5"/>
    </row>
    <row r="781" customFormat="false" ht="15" hidden="false" customHeight="false" outlineLevel="0" collapsed="false">
      <c r="A781" s="27"/>
      <c r="B781" s="5"/>
      <c r="C781" s="27"/>
      <c r="D781" s="18"/>
      <c r="E781" s="14"/>
      <c r="F781" s="18"/>
      <c r="G781" s="19" t="str">
        <f aca="false">IF(A781="","",IFERROR(INDEX(Empresas!$B:$B,MATCH(A781,Empresas!$A:$A,0))&amp;"","cadastre o CNPJ em Empresas"))</f>
        <v/>
      </c>
      <c r="H781" s="28" t="str">
        <f aca="false">IF(B781="","",SUBSTITUTE(SUBSTITUTE(SUBSTITUTE(SUBSTITUTE(SUBSTITUTE(SUBSTITUTE(SUBSTITUTE(SUBSTITUTE(SUBSTITUTE(SUBSTITUTE(SUBSTITUTE(SUBSTITUTE(SUBSTITUTE(UPPER(TRIM(B781)),"Á","A"),"À","A"),"Â","A"),"Ã","A"),"É","E"),"Ê","E"),"Í","I"),"Ó","O"),"Ô","O"),"Õ","O"),"Ú","U"),"Ü","U"),"Ç","C"))</f>
        <v/>
      </c>
      <c r="I781" s="28" t="str">
        <f aca="false">IF(C781="","",IF(LEN(SUBSTITUTE(SUBSTITUTE(SUBSTITUTE(SUBSTITUTE(TRIM(C781),"*",""),".",""),"-","")," ",""))=11,MID(SUBSTITUTE(SUBSTITUTE(SUBSTITUTE(SUBSTITUTE(TRIM(C781),"*",""),".",""),"-","")," ",""),4,6),SUBSTITUTE(SUBSTITUTE(SUBSTITUTE(SUBSTITUTE(TRIM(C781),"*",""),".",""),"-","")," ","")))</f>
        <v/>
      </c>
      <c r="J781" s="28" t="str">
        <f aca="false">IF(OR(H781="",I781=""),"",H781&amp;"|"&amp;I781)</f>
        <v/>
      </c>
      <c r="K781" s="19" t="str">
        <f aca="false">IF(H781="","",IF(AND(J781&lt;&gt;"",COUNTIF(Pessoas!$J:$J,J781)&gt;0),"SIM",IF(COUNTIF(Pessoas!$H:$H,H781)&gt;0,"nome igual em Pessoas: confira o CPF","")))</f>
        <v/>
      </c>
      <c r="L781" s="27"/>
      <c r="M781" s="5"/>
    </row>
    <row r="782" customFormat="false" ht="15" hidden="false" customHeight="false" outlineLevel="0" collapsed="false">
      <c r="A782" s="27"/>
      <c r="B782" s="5"/>
      <c r="C782" s="27"/>
      <c r="D782" s="18"/>
      <c r="E782" s="14"/>
      <c r="F782" s="18"/>
      <c r="G782" s="19" t="str">
        <f aca="false">IF(A782="","",IFERROR(INDEX(Empresas!$B:$B,MATCH(A782,Empresas!$A:$A,0))&amp;"","cadastre o CNPJ em Empresas"))</f>
        <v/>
      </c>
      <c r="H782" s="28" t="str">
        <f aca="false">IF(B782="","",SUBSTITUTE(SUBSTITUTE(SUBSTITUTE(SUBSTITUTE(SUBSTITUTE(SUBSTITUTE(SUBSTITUTE(SUBSTITUTE(SUBSTITUTE(SUBSTITUTE(SUBSTITUTE(SUBSTITUTE(SUBSTITUTE(UPPER(TRIM(B782)),"Á","A"),"À","A"),"Â","A"),"Ã","A"),"É","E"),"Ê","E"),"Í","I"),"Ó","O"),"Ô","O"),"Õ","O"),"Ú","U"),"Ü","U"),"Ç","C"))</f>
        <v/>
      </c>
      <c r="I782" s="28" t="str">
        <f aca="false">IF(C782="","",IF(LEN(SUBSTITUTE(SUBSTITUTE(SUBSTITUTE(SUBSTITUTE(TRIM(C782),"*",""),".",""),"-","")," ",""))=11,MID(SUBSTITUTE(SUBSTITUTE(SUBSTITUTE(SUBSTITUTE(TRIM(C782),"*",""),".",""),"-","")," ",""),4,6),SUBSTITUTE(SUBSTITUTE(SUBSTITUTE(SUBSTITUTE(TRIM(C782),"*",""),".",""),"-","")," ","")))</f>
        <v/>
      </c>
      <c r="J782" s="28" t="str">
        <f aca="false">IF(OR(H782="",I782=""),"",H782&amp;"|"&amp;I782)</f>
        <v/>
      </c>
      <c r="K782" s="19" t="str">
        <f aca="false">IF(H782="","",IF(AND(J782&lt;&gt;"",COUNTIF(Pessoas!$J:$J,J782)&gt;0),"SIM",IF(COUNTIF(Pessoas!$H:$H,H782)&gt;0,"nome igual em Pessoas: confira o CPF","")))</f>
        <v/>
      </c>
      <c r="L782" s="27"/>
      <c r="M782" s="5"/>
    </row>
    <row r="783" customFormat="false" ht="15" hidden="false" customHeight="false" outlineLevel="0" collapsed="false">
      <c r="A783" s="27"/>
      <c r="B783" s="5"/>
      <c r="C783" s="27"/>
      <c r="D783" s="18"/>
      <c r="E783" s="14"/>
      <c r="F783" s="18"/>
      <c r="G783" s="19" t="str">
        <f aca="false">IF(A783="","",IFERROR(INDEX(Empresas!$B:$B,MATCH(A783,Empresas!$A:$A,0))&amp;"","cadastre o CNPJ em Empresas"))</f>
        <v/>
      </c>
      <c r="H783" s="28" t="str">
        <f aca="false">IF(B783="","",SUBSTITUTE(SUBSTITUTE(SUBSTITUTE(SUBSTITUTE(SUBSTITUTE(SUBSTITUTE(SUBSTITUTE(SUBSTITUTE(SUBSTITUTE(SUBSTITUTE(SUBSTITUTE(SUBSTITUTE(SUBSTITUTE(UPPER(TRIM(B783)),"Á","A"),"À","A"),"Â","A"),"Ã","A"),"É","E"),"Ê","E"),"Í","I"),"Ó","O"),"Ô","O"),"Õ","O"),"Ú","U"),"Ü","U"),"Ç","C"))</f>
        <v/>
      </c>
      <c r="I783" s="28" t="str">
        <f aca="false">IF(C783="","",IF(LEN(SUBSTITUTE(SUBSTITUTE(SUBSTITUTE(SUBSTITUTE(TRIM(C783),"*",""),".",""),"-","")," ",""))=11,MID(SUBSTITUTE(SUBSTITUTE(SUBSTITUTE(SUBSTITUTE(TRIM(C783),"*",""),".",""),"-","")," ",""),4,6),SUBSTITUTE(SUBSTITUTE(SUBSTITUTE(SUBSTITUTE(TRIM(C783),"*",""),".",""),"-","")," ","")))</f>
        <v/>
      </c>
      <c r="J783" s="28" t="str">
        <f aca="false">IF(OR(H783="",I783=""),"",H783&amp;"|"&amp;I783)</f>
        <v/>
      </c>
      <c r="K783" s="19" t="str">
        <f aca="false">IF(H783="","",IF(AND(J783&lt;&gt;"",COUNTIF(Pessoas!$J:$J,J783)&gt;0),"SIM",IF(COUNTIF(Pessoas!$H:$H,H783)&gt;0,"nome igual em Pessoas: confira o CPF","")))</f>
        <v/>
      </c>
      <c r="L783" s="27"/>
      <c r="M783" s="5"/>
    </row>
    <row r="784" customFormat="false" ht="15" hidden="false" customHeight="false" outlineLevel="0" collapsed="false">
      <c r="A784" s="27"/>
      <c r="B784" s="5"/>
      <c r="C784" s="27"/>
      <c r="D784" s="18"/>
      <c r="E784" s="14"/>
      <c r="F784" s="18"/>
      <c r="G784" s="19" t="str">
        <f aca="false">IF(A784="","",IFERROR(INDEX(Empresas!$B:$B,MATCH(A784,Empresas!$A:$A,0))&amp;"","cadastre o CNPJ em Empresas"))</f>
        <v/>
      </c>
      <c r="H784" s="28" t="str">
        <f aca="false">IF(B784="","",SUBSTITUTE(SUBSTITUTE(SUBSTITUTE(SUBSTITUTE(SUBSTITUTE(SUBSTITUTE(SUBSTITUTE(SUBSTITUTE(SUBSTITUTE(SUBSTITUTE(SUBSTITUTE(SUBSTITUTE(SUBSTITUTE(UPPER(TRIM(B784)),"Á","A"),"À","A"),"Â","A"),"Ã","A"),"É","E"),"Ê","E"),"Í","I"),"Ó","O"),"Ô","O"),"Õ","O"),"Ú","U"),"Ü","U"),"Ç","C"))</f>
        <v/>
      </c>
      <c r="I784" s="28" t="str">
        <f aca="false">IF(C784="","",IF(LEN(SUBSTITUTE(SUBSTITUTE(SUBSTITUTE(SUBSTITUTE(TRIM(C784),"*",""),".",""),"-","")," ",""))=11,MID(SUBSTITUTE(SUBSTITUTE(SUBSTITUTE(SUBSTITUTE(TRIM(C784),"*",""),".",""),"-","")," ",""),4,6),SUBSTITUTE(SUBSTITUTE(SUBSTITUTE(SUBSTITUTE(TRIM(C784),"*",""),".",""),"-","")," ","")))</f>
        <v/>
      </c>
      <c r="J784" s="28" t="str">
        <f aca="false">IF(OR(H784="",I784=""),"",H784&amp;"|"&amp;I784)</f>
        <v/>
      </c>
      <c r="K784" s="19" t="str">
        <f aca="false">IF(H784="","",IF(AND(J784&lt;&gt;"",COUNTIF(Pessoas!$J:$J,J784)&gt;0),"SIM",IF(COUNTIF(Pessoas!$H:$H,H784)&gt;0,"nome igual em Pessoas: confira o CPF","")))</f>
        <v/>
      </c>
      <c r="L784" s="27"/>
      <c r="M784" s="5"/>
    </row>
    <row r="785" customFormat="false" ht="15" hidden="false" customHeight="false" outlineLevel="0" collapsed="false">
      <c r="A785" s="27"/>
      <c r="B785" s="5"/>
      <c r="C785" s="27"/>
      <c r="D785" s="18"/>
      <c r="E785" s="14"/>
      <c r="F785" s="18"/>
      <c r="G785" s="19" t="str">
        <f aca="false">IF(A785="","",IFERROR(INDEX(Empresas!$B:$B,MATCH(A785,Empresas!$A:$A,0))&amp;"","cadastre o CNPJ em Empresas"))</f>
        <v/>
      </c>
      <c r="H785" s="28" t="str">
        <f aca="false">IF(B785="","",SUBSTITUTE(SUBSTITUTE(SUBSTITUTE(SUBSTITUTE(SUBSTITUTE(SUBSTITUTE(SUBSTITUTE(SUBSTITUTE(SUBSTITUTE(SUBSTITUTE(SUBSTITUTE(SUBSTITUTE(SUBSTITUTE(UPPER(TRIM(B785)),"Á","A"),"À","A"),"Â","A"),"Ã","A"),"É","E"),"Ê","E"),"Í","I"),"Ó","O"),"Ô","O"),"Õ","O"),"Ú","U"),"Ü","U"),"Ç","C"))</f>
        <v/>
      </c>
      <c r="I785" s="28" t="str">
        <f aca="false">IF(C785="","",IF(LEN(SUBSTITUTE(SUBSTITUTE(SUBSTITUTE(SUBSTITUTE(TRIM(C785),"*",""),".",""),"-","")," ",""))=11,MID(SUBSTITUTE(SUBSTITUTE(SUBSTITUTE(SUBSTITUTE(TRIM(C785),"*",""),".",""),"-","")," ",""),4,6),SUBSTITUTE(SUBSTITUTE(SUBSTITUTE(SUBSTITUTE(TRIM(C785),"*",""),".",""),"-","")," ","")))</f>
        <v/>
      </c>
      <c r="J785" s="28" t="str">
        <f aca="false">IF(OR(H785="",I785=""),"",H785&amp;"|"&amp;I785)</f>
        <v/>
      </c>
      <c r="K785" s="19" t="str">
        <f aca="false">IF(H785="","",IF(AND(J785&lt;&gt;"",COUNTIF(Pessoas!$J:$J,J785)&gt;0),"SIM",IF(COUNTIF(Pessoas!$H:$H,H785)&gt;0,"nome igual em Pessoas: confira o CPF","")))</f>
        <v/>
      </c>
      <c r="L785" s="27"/>
      <c r="M785" s="5"/>
    </row>
    <row r="786" customFormat="false" ht="15" hidden="false" customHeight="false" outlineLevel="0" collapsed="false">
      <c r="A786" s="27"/>
      <c r="B786" s="5"/>
      <c r="C786" s="27"/>
      <c r="D786" s="18"/>
      <c r="E786" s="14"/>
      <c r="F786" s="18"/>
      <c r="G786" s="19" t="str">
        <f aca="false">IF(A786="","",IFERROR(INDEX(Empresas!$B:$B,MATCH(A786,Empresas!$A:$A,0))&amp;"","cadastre o CNPJ em Empresas"))</f>
        <v/>
      </c>
      <c r="H786" s="28" t="str">
        <f aca="false">IF(B786="","",SUBSTITUTE(SUBSTITUTE(SUBSTITUTE(SUBSTITUTE(SUBSTITUTE(SUBSTITUTE(SUBSTITUTE(SUBSTITUTE(SUBSTITUTE(SUBSTITUTE(SUBSTITUTE(SUBSTITUTE(SUBSTITUTE(UPPER(TRIM(B786)),"Á","A"),"À","A"),"Â","A"),"Ã","A"),"É","E"),"Ê","E"),"Í","I"),"Ó","O"),"Ô","O"),"Õ","O"),"Ú","U"),"Ü","U"),"Ç","C"))</f>
        <v/>
      </c>
      <c r="I786" s="28" t="str">
        <f aca="false">IF(C786="","",IF(LEN(SUBSTITUTE(SUBSTITUTE(SUBSTITUTE(SUBSTITUTE(TRIM(C786),"*",""),".",""),"-","")," ",""))=11,MID(SUBSTITUTE(SUBSTITUTE(SUBSTITUTE(SUBSTITUTE(TRIM(C786),"*",""),".",""),"-","")," ",""),4,6),SUBSTITUTE(SUBSTITUTE(SUBSTITUTE(SUBSTITUTE(TRIM(C786),"*",""),".",""),"-","")," ","")))</f>
        <v/>
      </c>
      <c r="J786" s="28" t="str">
        <f aca="false">IF(OR(H786="",I786=""),"",H786&amp;"|"&amp;I786)</f>
        <v/>
      </c>
      <c r="K786" s="19" t="str">
        <f aca="false">IF(H786="","",IF(AND(J786&lt;&gt;"",COUNTIF(Pessoas!$J:$J,J786)&gt;0),"SIM",IF(COUNTIF(Pessoas!$H:$H,H786)&gt;0,"nome igual em Pessoas: confira o CPF","")))</f>
        <v/>
      </c>
      <c r="L786" s="27"/>
      <c r="M786" s="5"/>
    </row>
    <row r="787" customFormat="false" ht="15" hidden="false" customHeight="false" outlineLevel="0" collapsed="false">
      <c r="A787" s="27"/>
      <c r="B787" s="5"/>
      <c r="C787" s="27"/>
      <c r="D787" s="18"/>
      <c r="E787" s="14"/>
      <c r="F787" s="18"/>
      <c r="G787" s="19" t="str">
        <f aca="false">IF(A787="","",IFERROR(INDEX(Empresas!$B:$B,MATCH(A787,Empresas!$A:$A,0))&amp;"","cadastre o CNPJ em Empresas"))</f>
        <v/>
      </c>
      <c r="H787" s="28" t="str">
        <f aca="false">IF(B787="","",SUBSTITUTE(SUBSTITUTE(SUBSTITUTE(SUBSTITUTE(SUBSTITUTE(SUBSTITUTE(SUBSTITUTE(SUBSTITUTE(SUBSTITUTE(SUBSTITUTE(SUBSTITUTE(SUBSTITUTE(SUBSTITUTE(UPPER(TRIM(B787)),"Á","A"),"À","A"),"Â","A"),"Ã","A"),"É","E"),"Ê","E"),"Í","I"),"Ó","O"),"Ô","O"),"Õ","O"),"Ú","U"),"Ü","U"),"Ç","C"))</f>
        <v/>
      </c>
      <c r="I787" s="28" t="str">
        <f aca="false">IF(C787="","",IF(LEN(SUBSTITUTE(SUBSTITUTE(SUBSTITUTE(SUBSTITUTE(TRIM(C787),"*",""),".",""),"-","")," ",""))=11,MID(SUBSTITUTE(SUBSTITUTE(SUBSTITUTE(SUBSTITUTE(TRIM(C787),"*",""),".",""),"-","")," ",""),4,6),SUBSTITUTE(SUBSTITUTE(SUBSTITUTE(SUBSTITUTE(TRIM(C787),"*",""),".",""),"-","")," ","")))</f>
        <v/>
      </c>
      <c r="J787" s="28" t="str">
        <f aca="false">IF(OR(H787="",I787=""),"",H787&amp;"|"&amp;I787)</f>
        <v/>
      </c>
      <c r="K787" s="19" t="str">
        <f aca="false">IF(H787="","",IF(AND(J787&lt;&gt;"",COUNTIF(Pessoas!$J:$J,J787)&gt;0),"SIM",IF(COUNTIF(Pessoas!$H:$H,H787)&gt;0,"nome igual em Pessoas: confira o CPF","")))</f>
        <v/>
      </c>
      <c r="L787" s="27"/>
      <c r="M787" s="5"/>
    </row>
    <row r="788" customFormat="false" ht="15" hidden="false" customHeight="false" outlineLevel="0" collapsed="false">
      <c r="A788" s="27"/>
      <c r="B788" s="5"/>
      <c r="C788" s="27"/>
      <c r="D788" s="18"/>
      <c r="E788" s="14"/>
      <c r="F788" s="18"/>
      <c r="G788" s="19" t="str">
        <f aca="false">IF(A788="","",IFERROR(INDEX(Empresas!$B:$B,MATCH(A788,Empresas!$A:$A,0))&amp;"","cadastre o CNPJ em Empresas"))</f>
        <v/>
      </c>
      <c r="H788" s="28" t="str">
        <f aca="false">IF(B788="","",SUBSTITUTE(SUBSTITUTE(SUBSTITUTE(SUBSTITUTE(SUBSTITUTE(SUBSTITUTE(SUBSTITUTE(SUBSTITUTE(SUBSTITUTE(SUBSTITUTE(SUBSTITUTE(SUBSTITUTE(SUBSTITUTE(UPPER(TRIM(B788)),"Á","A"),"À","A"),"Â","A"),"Ã","A"),"É","E"),"Ê","E"),"Í","I"),"Ó","O"),"Ô","O"),"Õ","O"),"Ú","U"),"Ü","U"),"Ç","C"))</f>
        <v/>
      </c>
      <c r="I788" s="28" t="str">
        <f aca="false">IF(C788="","",IF(LEN(SUBSTITUTE(SUBSTITUTE(SUBSTITUTE(SUBSTITUTE(TRIM(C788),"*",""),".",""),"-","")," ",""))=11,MID(SUBSTITUTE(SUBSTITUTE(SUBSTITUTE(SUBSTITUTE(TRIM(C788),"*",""),".",""),"-","")," ",""),4,6),SUBSTITUTE(SUBSTITUTE(SUBSTITUTE(SUBSTITUTE(TRIM(C788),"*",""),".",""),"-","")," ","")))</f>
        <v/>
      </c>
      <c r="J788" s="28" t="str">
        <f aca="false">IF(OR(H788="",I788=""),"",H788&amp;"|"&amp;I788)</f>
        <v/>
      </c>
      <c r="K788" s="19" t="str">
        <f aca="false">IF(H788="","",IF(AND(J788&lt;&gt;"",COUNTIF(Pessoas!$J:$J,J788)&gt;0),"SIM",IF(COUNTIF(Pessoas!$H:$H,H788)&gt;0,"nome igual em Pessoas: confira o CPF","")))</f>
        <v/>
      </c>
      <c r="L788" s="27"/>
      <c r="M788" s="5"/>
    </row>
    <row r="789" customFormat="false" ht="15" hidden="false" customHeight="false" outlineLevel="0" collapsed="false">
      <c r="A789" s="27"/>
      <c r="B789" s="5"/>
      <c r="C789" s="27"/>
      <c r="D789" s="18"/>
      <c r="E789" s="14"/>
      <c r="F789" s="18"/>
      <c r="G789" s="19" t="str">
        <f aca="false">IF(A789="","",IFERROR(INDEX(Empresas!$B:$B,MATCH(A789,Empresas!$A:$A,0))&amp;"","cadastre o CNPJ em Empresas"))</f>
        <v/>
      </c>
      <c r="H789" s="28" t="str">
        <f aca="false">IF(B789="","",SUBSTITUTE(SUBSTITUTE(SUBSTITUTE(SUBSTITUTE(SUBSTITUTE(SUBSTITUTE(SUBSTITUTE(SUBSTITUTE(SUBSTITUTE(SUBSTITUTE(SUBSTITUTE(SUBSTITUTE(SUBSTITUTE(UPPER(TRIM(B789)),"Á","A"),"À","A"),"Â","A"),"Ã","A"),"É","E"),"Ê","E"),"Í","I"),"Ó","O"),"Ô","O"),"Õ","O"),"Ú","U"),"Ü","U"),"Ç","C"))</f>
        <v/>
      </c>
      <c r="I789" s="28" t="str">
        <f aca="false">IF(C789="","",IF(LEN(SUBSTITUTE(SUBSTITUTE(SUBSTITUTE(SUBSTITUTE(TRIM(C789),"*",""),".",""),"-","")," ",""))=11,MID(SUBSTITUTE(SUBSTITUTE(SUBSTITUTE(SUBSTITUTE(TRIM(C789),"*",""),".",""),"-","")," ",""),4,6),SUBSTITUTE(SUBSTITUTE(SUBSTITUTE(SUBSTITUTE(TRIM(C789),"*",""),".",""),"-","")," ","")))</f>
        <v/>
      </c>
      <c r="J789" s="28" t="str">
        <f aca="false">IF(OR(H789="",I789=""),"",H789&amp;"|"&amp;I789)</f>
        <v/>
      </c>
      <c r="K789" s="19" t="str">
        <f aca="false">IF(H789="","",IF(AND(J789&lt;&gt;"",COUNTIF(Pessoas!$J:$J,J789)&gt;0),"SIM",IF(COUNTIF(Pessoas!$H:$H,H789)&gt;0,"nome igual em Pessoas: confira o CPF","")))</f>
        <v/>
      </c>
      <c r="L789" s="27"/>
      <c r="M789" s="5"/>
    </row>
    <row r="790" customFormat="false" ht="15" hidden="false" customHeight="false" outlineLevel="0" collapsed="false">
      <c r="A790" s="27"/>
      <c r="B790" s="5"/>
      <c r="C790" s="27"/>
      <c r="D790" s="18"/>
      <c r="E790" s="14"/>
      <c r="F790" s="18"/>
      <c r="G790" s="19" t="str">
        <f aca="false">IF(A790="","",IFERROR(INDEX(Empresas!$B:$B,MATCH(A790,Empresas!$A:$A,0))&amp;"","cadastre o CNPJ em Empresas"))</f>
        <v/>
      </c>
      <c r="H790" s="28" t="str">
        <f aca="false">IF(B790="","",SUBSTITUTE(SUBSTITUTE(SUBSTITUTE(SUBSTITUTE(SUBSTITUTE(SUBSTITUTE(SUBSTITUTE(SUBSTITUTE(SUBSTITUTE(SUBSTITUTE(SUBSTITUTE(SUBSTITUTE(SUBSTITUTE(UPPER(TRIM(B790)),"Á","A"),"À","A"),"Â","A"),"Ã","A"),"É","E"),"Ê","E"),"Í","I"),"Ó","O"),"Ô","O"),"Õ","O"),"Ú","U"),"Ü","U"),"Ç","C"))</f>
        <v/>
      </c>
      <c r="I790" s="28" t="str">
        <f aca="false">IF(C790="","",IF(LEN(SUBSTITUTE(SUBSTITUTE(SUBSTITUTE(SUBSTITUTE(TRIM(C790),"*",""),".",""),"-","")," ",""))=11,MID(SUBSTITUTE(SUBSTITUTE(SUBSTITUTE(SUBSTITUTE(TRIM(C790),"*",""),".",""),"-","")," ",""),4,6),SUBSTITUTE(SUBSTITUTE(SUBSTITUTE(SUBSTITUTE(TRIM(C790),"*",""),".",""),"-","")," ","")))</f>
        <v/>
      </c>
      <c r="J790" s="28" t="str">
        <f aca="false">IF(OR(H790="",I790=""),"",H790&amp;"|"&amp;I790)</f>
        <v/>
      </c>
      <c r="K790" s="19" t="str">
        <f aca="false">IF(H790="","",IF(AND(J790&lt;&gt;"",COUNTIF(Pessoas!$J:$J,J790)&gt;0),"SIM",IF(COUNTIF(Pessoas!$H:$H,H790)&gt;0,"nome igual em Pessoas: confira o CPF","")))</f>
        <v/>
      </c>
      <c r="L790" s="27"/>
      <c r="M790" s="5"/>
    </row>
    <row r="791" customFormat="false" ht="15" hidden="false" customHeight="false" outlineLevel="0" collapsed="false">
      <c r="A791" s="27"/>
      <c r="B791" s="5"/>
      <c r="C791" s="27"/>
      <c r="D791" s="18"/>
      <c r="E791" s="14"/>
      <c r="F791" s="18"/>
      <c r="G791" s="19" t="str">
        <f aca="false">IF(A791="","",IFERROR(INDEX(Empresas!$B:$B,MATCH(A791,Empresas!$A:$A,0))&amp;"","cadastre o CNPJ em Empresas"))</f>
        <v/>
      </c>
      <c r="H791" s="28" t="str">
        <f aca="false">IF(B791="","",SUBSTITUTE(SUBSTITUTE(SUBSTITUTE(SUBSTITUTE(SUBSTITUTE(SUBSTITUTE(SUBSTITUTE(SUBSTITUTE(SUBSTITUTE(SUBSTITUTE(SUBSTITUTE(SUBSTITUTE(SUBSTITUTE(UPPER(TRIM(B791)),"Á","A"),"À","A"),"Â","A"),"Ã","A"),"É","E"),"Ê","E"),"Í","I"),"Ó","O"),"Ô","O"),"Õ","O"),"Ú","U"),"Ü","U"),"Ç","C"))</f>
        <v/>
      </c>
      <c r="I791" s="28" t="str">
        <f aca="false">IF(C791="","",IF(LEN(SUBSTITUTE(SUBSTITUTE(SUBSTITUTE(SUBSTITUTE(TRIM(C791),"*",""),".",""),"-","")," ",""))=11,MID(SUBSTITUTE(SUBSTITUTE(SUBSTITUTE(SUBSTITUTE(TRIM(C791),"*",""),".",""),"-","")," ",""),4,6),SUBSTITUTE(SUBSTITUTE(SUBSTITUTE(SUBSTITUTE(TRIM(C791),"*",""),".",""),"-","")," ","")))</f>
        <v/>
      </c>
      <c r="J791" s="28" t="str">
        <f aca="false">IF(OR(H791="",I791=""),"",H791&amp;"|"&amp;I791)</f>
        <v/>
      </c>
      <c r="K791" s="19" t="str">
        <f aca="false">IF(H791="","",IF(AND(J791&lt;&gt;"",COUNTIF(Pessoas!$J:$J,J791)&gt;0),"SIM",IF(COUNTIF(Pessoas!$H:$H,H791)&gt;0,"nome igual em Pessoas: confira o CPF","")))</f>
        <v/>
      </c>
      <c r="L791" s="27"/>
      <c r="M791" s="5"/>
    </row>
    <row r="792" customFormat="false" ht="15" hidden="false" customHeight="false" outlineLevel="0" collapsed="false">
      <c r="A792" s="27"/>
      <c r="B792" s="5"/>
      <c r="C792" s="27"/>
      <c r="D792" s="18"/>
      <c r="E792" s="14"/>
      <c r="F792" s="18"/>
      <c r="G792" s="19" t="str">
        <f aca="false">IF(A792="","",IFERROR(INDEX(Empresas!$B:$B,MATCH(A792,Empresas!$A:$A,0))&amp;"","cadastre o CNPJ em Empresas"))</f>
        <v/>
      </c>
      <c r="H792" s="28" t="str">
        <f aca="false">IF(B792="","",SUBSTITUTE(SUBSTITUTE(SUBSTITUTE(SUBSTITUTE(SUBSTITUTE(SUBSTITUTE(SUBSTITUTE(SUBSTITUTE(SUBSTITUTE(SUBSTITUTE(SUBSTITUTE(SUBSTITUTE(SUBSTITUTE(UPPER(TRIM(B792)),"Á","A"),"À","A"),"Â","A"),"Ã","A"),"É","E"),"Ê","E"),"Í","I"),"Ó","O"),"Ô","O"),"Õ","O"),"Ú","U"),"Ü","U"),"Ç","C"))</f>
        <v/>
      </c>
      <c r="I792" s="28" t="str">
        <f aca="false">IF(C792="","",IF(LEN(SUBSTITUTE(SUBSTITUTE(SUBSTITUTE(SUBSTITUTE(TRIM(C792),"*",""),".",""),"-","")," ",""))=11,MID(SUBSTITUTE(SUBSTITUTE(SUBSTITUTE(SUBSTITUTE(TRIM(C792),"*",""),".",""),"-","")," ",""),4,6),SUBSTITUTE(SUBSTITUTE(SUBSTITUTE(SUBSTITUTE(TRIM(C792),"*",""),".",""),"-","")," ","")))</f>
        <v/>
      </c>
      <c r="J792" s="28" t="str">
        <f aca="false">IF(OR(H792="",I792=""),"",H792&amp;"|"&amp;I792)</f>
        <v/>
      </c>
      <c r="K792" s="19" t="str">
        <f aca="false">IF(H792="","",IF(AND(J792&lt;&gt;"",COUNTIF(Pessoas!$J:$J,J792)&gt;0),"SIM",IF(COUNTIF(Pessoas!$H:$H,H792)&gt;0,"nome igual em Pessoas: confira o CPF","")))</f>
        <v/>
      </c>
      <c r="L792" s="27"/>
      <c r="M792" s="5"/>
    </row>
    <row r="793" customFormat="false" ht="15" hidden="false" customHeight="false" outlineLevel="0" collapsed="false">
      <c r="A793" s="27"/>
      <c r="B793" s="5"/>
      <c r="C793" s="27"/>
      <c r="D793" s="18"/>
      <c r="E793" s="14"/>
      <c r="F793" s="18"/>
      <c r="G793" s="19" t="str">
        <f aca="false">IF(A793="","",IFERROR(INDEX(Empresas!$B:$B,MATCH(A793,Empresas!$A:$A,0))&amp;"","cadastre o CNPJ em Empresas"))</f>
        <v/>
      </c>
      <c r="H793" s="28" t="str">
        <f aca="false">IF(B793="","",SUBSTITUTE(SUBSTITUTE(SUBSTITUTE(SUBSTITUTE(SUBSTITUTE(SUBSTITUTE(SUBSTITUTE(SUBSTITUTE(SUBSTITUTE(SUBSTITUTE(SUBSTITUTE(SUBSTITUTE(SUBSTITUTE(UPPER(TRIM(B793)),"Á","A"),"À","A"),"Â","A"),"Ã","A"),"É","E"),"Ê","E"),"Í","I"),"Ó","O"),"Ô","O"),"Õ","O"),"Ú","U"),"Ü","U"),"Ç","C"))</f>
        <v/>
      </c>
      <c r="I793" s="28" t="str">
        <f aca="false">IF(C793="","",IF(LEN(SUBSTITUTE(SUBSTITUTE(SUBSTITUTE(SUBSTITUTE(TRIM(C793),"*",""),".",""),"-","")," ",""))=11,MID(SUBSTITUTE(SUBSTITUTE(SUBSTITUTE(SUBSTITUTE(TRIM(C793),"*",""),".",""),"-","")," ",""),4,6),SUBSTITUTE(SUBSTITUTE(SUBSTITUTE(SUBSTITUTE(TRIM(C793),"*",""),".",""),"-","")," ","")))</f>
        <v/>
      </c>
      <c r="J793" s="28" t="str">
        <f aca="false">IF(OR(H793="",I793=""),"",H793&amp;"|"&amp;I793)</f>
        <v/>
      </c>
      <c r="K793" s="19" t="str">
        <f aca="false">IF(H793="","",IF(AND(J793&lt;&gt;"",COUNTIF(Pessoas!$J:$J,J793)&gt;0),"SIM",IF(COUNTIF(Pessoas!$H:$H,H793)&gt;0,"nome igual em Pessoas: confira o CPF","")))</f>
        <v/>
      </c>
      <c r="L793" s="27"/>
      <c r="M793" s="5"/>
    </row>
    <row r="794" customFormat="false" ht="15" hidden="false" customHeight="false" outlineLevel="0" collapsed="false">
      <c r="A794" s="27"/>
      <c r="B794" s="5"/>
      <c r="C794" s="27"/>
      <c r="D794" s="18"/>
      <c r="E794" s="14"/>
      <c r="F794" s="18"/>
      <c r="G794" s="19" t="str">
        <f aca="false">IF(A794="","",IFERROR(INDEX(Empresas!$B:$B,MATCH(A794,Empresas!$A:$A,0))&amp;"","cadastre o CNPJ em Empresas"))</f>
        <v/>
      </c>
      <c r="H794" s="28" t="str">
        <f aca="false">IF(B794="","",SUBSTITUTE(SUBSTITUTE(SUBSTITUTE(SUBSTITUTE(SUBSTITUTE(SUBSTITUTE(SUBSTITUTE(SUBSTITUTE(SUBSTITUTE(SUBSTITUTE(SUBSTITUTE(SUBSTITUTE(SUBSTITUTE(UPPER(TRIM(B794)),"Á","A"),"À","A"),"Â","A"),"Ã","A"),"É","E"),"Ê","E"),"Í","I"),"Ó","O"),"Ô","O"),"Õ","O"),"Ú","U"),"Ü","U"),"Ç","C"))</f>
        <v/>
      </c>
      <c r="I794" s="28" t="str">
        <f aca="false">IF(C794="","",IF(LEN(SUBSTITUTE(SUBSTITUTE(SUBSTITUTE(SUBSTITUTE(TRIM(C794),"*",""),".",""),"-","")," ",""))=11,MID(SUBSTITUTE(SUBSTITUTE(SUBSTITUTE(SUBSTITUTE(TRIM(C794),"*",""),".",""),"-","")," ",""),4,6),SUBSTITUTE(SUBSTITUTE(SUBSTITUTE(SUBSTITUTE(TRIM(C794),"*",""),".",""),"-","")," ","")))</f>
        <v/>
      </c>
      <c r="J794" s="28" t="str">
        <f aca="false">IF(OR(H794="",I794=""),"",H794&amp;"|"&amp;I794)</f>
        <v/>
      </c>
      <c r="K794" s="19" t="str">
        <f aca="false">IF(H794="","",IF(AND(J794&lt;&gt;"",COUNTIF(Pessoas!$J:$J,J794)&gt;0),"SIM",IF(COUNTIF(Pessoas!$H:$H,H794)&gt;0,"nome igual em Pessoas: confira o CPF","")))</f>
        <v/>
      </c>
      <c r="L794" s="27"/>
      <c r="M794" s="5"/>
    </row>
    <row r="795" customFormat="false" ht="15" hidden="false" customHeight="false" outlineLevel="0" collapsed="false">
      <c r="A795" s="27"/>
      <c r="B795" s="5"/>
      <c r="C795" s="27"/>
      <c r="D795" s="18"/>
      <c r="E795" s="14"/>
      <c r="F795" s="18"/>
      <c r="G795" s="19" t="str">
        <f aca="false">IF(A795="","",IFERROR(INDEX(Empresas!$B:$B,MATCH(A795,Empresas!$A:$A,0))&amp;"","cadastre o CNPJ em Empresas"))</f>
        <v/>
      </c>
      <c r="H795" s="28" t="str">
        <f aca="false">IF(B795="","",SUBSTITUTE(SUBSTITUTE(SUBSTITUTE(SUBSTITUTE(SUBSTITUTE(SUBSTITUTE(SUBSTITUTE(SUBSTITUTE(SUBSTITUTE(SUBSTITUTE(SUBSTITUTE(SUBSTITUTE(SUBSTITUTE(UPPER(TRIM(B795)),"Á","A"),"À","A"),"Â","A"),"Ã","A"),"É","E"),"Ê","E"),"Í","I"),"Ó","O"),"Ô","O"),"Õ","O"),"Ú","U"),"Ü","U"),"Ç","C"))</f>
        <v/>
      </c>
      <c r="I795" s="28" t="str">
        <f aca="false">IF(C795="","",IF(LEN(SUBSTITUTE(SUBSTITUTE(SUBSTITUTE(SUBSTITUTE(TRIM(C795),"*",""),".",""),"-","")," ",""))=11,MID(SUBSTITUTE(SUBSTITUTE(SUBSTITUTE(SUBSTITUTE(TRIM(C795),"*",""),".",""),"-","")," ",""),4,6),SUBSTITUTE(SUBSTITUTE(SUBSTITUTE(SUBSTITUTE(TRIM(C795),"*",""),".",""),"-","")," ","")))</f>
        <v/>
      </c>
      <c r="J795" s="28" t="str">
        <f aca="false">IF(OR(H795="",I795=""),"",H795&amp;"|"&amp;I795)</f>
        <v/>
      </c>
      <c r="K795" s="19" t="str">
        <f aca="false">IF(H795="","",IF(AND(J795&lt;&gt;"",COUNTIF(Pessoas!$J:$J,J795)&gt;0),"SIM",IF(COUNTIF(Pessoas!$H:$H,H795)&gt;0,"nome igual em Pessoas: confira o CPF","")))</f>
        <v/>
      </c>
      <c r="L795" s="27"/>
      <c r="M795" s="5"/>
    </row>
    <row r="796" customFormat="false" ht="15" hidden="false" customHeight="false" outlineLevel="0" collapsed="false">
      <c r="A796" s="27"/>
      <c r="B796" s="5"/>
      <c r="C796" s="27"/>
      <c r="D796" s="18"/>
      <c r="E796" s="14"/>
      <c r="F796" s="18"/>
      <c r="G796" s="19" t="str">
        <f aca="false">IF(A796="","",IFERROR(INDEX(Empresas!$B:$B,MATCH(A796,Empresas!$A:$A,0))&amp;"","cadastre o CNPJ em Empresas"))</f>
        <v/>
      </c>
      <c r="H796" s="28" t="str">
        <f aca="false">IF(B796="","",SUBSTITUTE(SUBSTITUTE(SUBSTITUTE(SUBSTITUTE(SUBSTITUTE(SUBSTITUTE(SUBSTITUTE(SUBSTITUTE(SUBSTITUTE(SUBSTITUTE(SUBSTITUTE(SUBSTITUTE(SUBSTITUTE(UPPER(TRIM(B796)),"Á","A"),"À","A"),"Â","A"),"Ã","A"),"É","E"),"Ê","E"),"Í","I"),"Ó","O"),"Ô","O"),"Õ","O"),"Ú","U"),"Ü","U"),"Ç","C"))</f>
        <v/>
      </c>
      <c r="I796" s="28" t="str">
        <f aca="false">IF(C796="","",IF(LEN(SUBSTITUTE(SUBSTITUTE(SUBSTITUTE(SUBSTITUTE(TRIM(C796),"*",""),".",""),"-","")," ",""))=11,MID(SUBSTITUTE(SUBSTITUTE(SUBSTITUTE(SUBSTITUTE(TRIM(C796),"*",""),".",""),"-","")," ",""),4,6),SUBSTITUTE(SUBSTITUTE(SUBSTITUTE(SUBSTITUTE(TRIM(C796),"*",""),".",""),"-","")," ","")))</f>
        <v/>
      </c>
      <c r="J796" s="28" t="str">
        <f aca="false">IF(OR(H796="",I796=""),"",H796&amp;"|"&amp;I796)</f>
        <v/>
      </c>
      <c r="K796" s="19" t="str">
        <f aca="false">IF(H796="","",IF(AND(J796&lt;&gt;"",COUNTIF(Pessoas!$J:$J,J796)&gt;0),"SIM",IF(COUNTIF(Pessoas!$H:$H,H796)&gt;0,"nome igual em Pessoas: confira o CPF","")))</f>
        <v/>
      </c>
      <c r="L796" s="27"/>
      <c r="M796" s="5"/>
    </row>
    <row r="797" customFormat="false" ht="15" hidden="false" customHeight="false" outlineLevel="0" collapsed="false">
      <c r="A797" s="27"/>
      <c r="B797" s="5"/>
      <c r="C797" s="27"/>
      <c r="D797" s="18"/>
      <c r="E797" s="14"/>
      <c r="F797" s="18"/>
      <c r="G797" s="19" t="str">
        <f aca="false">IF(A797="","",IFERROR(INDEX(Empresas!$B:$B,MATCH(A797,Empresas!$A:$A,0))&amp;"","cadastre o CNPJ em Empresas"))</f>
        <v/>
      </c>
      <c r="H797" s="28" t="str">
        <f aca="false">IF(B797="","",SUBSTITUTE(SUBSTITUTE(SUBSTITUTE(SUBSTITUTE(SUBSTITUTE(SUBSTITUTE(SUBSTITUTE(SUBSTITUTE(SUBSTITUTE(SUBSTITUTE(SUBSTITUTE(SUBSTITUTE(SUBSTITUTE(UPPER(TRIM(B797)),"Á","A"),"À","A"),"Â","A"),"Ã","A"),"É","E"),"Ê","E"),"Í","I"),"Ó","O"),"Ô","O"),"Õ","O"),"Ú","U"),"Ü","U"),"Ç","C"))</f>
        <v/>
      </c>
      <c r="I797" s="28" t="str">
        <f aca="false">IF(C797="","",IF(LEN(SUBSTITUTE(SUBSTITUTE(SUBSTITUTE(SUBSTITUTE(TRIM(C797),"*",""),".",""),"-","")," ",""))=11,MID(SUBSTITUTE(SUBSTITUTE(SUBSTITUTE(SUBSTITUTE(TRIM(C797),"*",""),".",""),"-","")," ",""),4,6),SUBSTITUTE(SUBSTITUTE(SUBSTITUTE(SUBSTITUTE(TRIM(C797),"*",""),".",""),"-","")," ","")))</f>
        <v/>
      </c>
      <c r="J797" s="28" t="str">
        <f aca="false">IF(OR(H797="",I797=""),"",H797&amp;"|"&amp;I797)</f>
        <v/>
      </c>
      <c r="K797" s="19" t="str">
        <f aca="false">IF(H797="","",IF(AND(J797&lt;&gt;"",COUNTIF(Pessoas!$J:$J,J797)&gt;0),"SIM",IF(COUNTIF(Pessoas!$H:$H,H797)&gt;0,"nome igual em Pessoas: confira o CPF","")))</f>
        <v/>
      </c>
      <c r="L797" s="27"/>
      <c r="M797" s="5"/>
    </row>
    <row r="798" customFormat="false" ht="15" hidden="false" customHeight="false" outlineLevel="0" collapsed="false">
      <c r="A798" s="27"/>
      <c r="B798" s="5"/>
      <c r="C798" s="27"/>
      <c r="D798" s="18"/>
      <c r="E798" s="14"/>
      <c r="F798" s="18"/>
      <c r="G798" s="19" t="str">
        <f aca="false">IF(A798="","",IFERROR(INDEX(Empresas!$B:$B,MATCH(A798,Empresas!$A:$A,0))&amp;"","cadastre o CNPJ em Empresas"))</f>
        <v/>
      </c>
      <c r="H798" s="28" t="str">
        <f aca="false">IF(B798="","",SUBSTITUTE(SUBSTITUTE(SUBSTITUTE(SUBSTITUTE(SUBSTITUTE(SUBSTITUTE(SUBSTITUTE(SUBSTITUTE(SUBSTITUTE(SUBSTITUTE(SUBSTITUTE(SUBSTITUTE(SUBSTITUTE(UPPER(TRIM(B798)),"Á","A"),"À","A"),"Â","A"),"Ã","A"),"É","E"),"Ê","E"),"Í","I"),"Ó","O"),"Ô","O"),"Õ","O"),"Ú","U"),"Ü","U"),"Ç","C"))</f>
        <v/>
      </c>
      <c r="I798" s="28" t="str">
        <f aca="false">IF(C798="","",IF(LEN(SUBSTITUTE(SUBSTITUTE(SUBSTITUTE(SUBSTITUTE(TRIM(C798),"*",""),".",""),"-","")," ",""))=11,MID(SUBSTITUTE(SUBSTITUTE(SUBSTITUTE(SUBSTITUTE(TRIM(C798),"*",""),".",""),"-","")," ",""),4,6),SUBSTITUTE(SUBSTITUTE(SUBSTITUTE(SUBSTITUTE(TRIM(C798),"*",""),".",""),"-","")," ","")))</f>
        <v/>
      </c>
      <c r="J798" s="28" t="str">
        <f aca="false">IF(OR(H798="",I798=""),"",H798&amp;"|"&amp;I798)</f>
        <v/>
      </c>
      <c r="K798" s="19" t="str">
        <f aca="false">IF(H798="","",IF(AND(J798&lt;&gt;"",COUNTIF(Pessoas!$J:$J,J798)&gt;0),"SIM",IF(COUNTIF(Pessoas!$H:$H,H798)&gt;0,"nome igual em Pessoas: confira o CPF","")))</f>
        <v/>
      </c>
      <c r="L798" s="27"/>
      <c r="M798" s="5"/>
    </row>
    <row r="799" customFormat="false" ht="15" hidden="false" customHeight="false" outlineLevel="0" collapsed="false">
      <c r="A799" s="27"/>
      <c r="B799" s="5"/>
      <c r="C799" s="27"/>
      <c r="D799" s="18"/>
      <c r="E799" s="14"/>
      <c r="F799" s="18"/>
      <c r="G799" s="19" t="str">
        <f aca="false">IF(A799="","",IFERROR(INDEX(Empresas!$B:$B,MATCH(A799,Empresas!$A:$A,0))&amp;"","cadastre o CNPJ em Empresas"))</f>
        <v/>
      </c>
      <c r="H799" s="28" t="str">
        <f aca="false">IF(B799="","",SUBSTITUTE(SUBSTITUTE(SUBSTITUTE(SUBSTITUTE(SUBSTITUTE(SUBSTITUTE(SUBSTITUTE(SUBSTITUTE(SUBSTITUTE(SUBSTITUTE(SUBSTITUTE(SUBSTITUTE(SUBSTITUTE(UPPER(TRIM(B799)),"Á","A"),"À","A"),"Â","A"),"Ã","A"),"É","E"),"Ê","E"),"Í","I"),"Ó","O"),"Ô","O"),"Õ","O"),"Ú","U"),"Ü","U"),"Ç","C"))</f>
        <v/>
      </c>
      <c r="I799" s="28" t="str">
        <f aca="false">IF(C799="","",IF(LEN(SUBSTITUTE(SUBSTITUTE(SUBSTITUTE(SUBSTITUTE(TRIM(C799),"*",""),".",""),"-","")," ",""))=11,MID(SUBSTITUTE(SUBSTITUTE(SUBSTITUTE(SUBSTITUTE(TRIM(C799),"*",""),".",""),"-","")," ",""),4,6),SUBSTITUTE(SUBSTITUTE(SUBSTITUTE(SUBSTITUTE(TRIM(C799),"*",""),".",""),"-","")," ","")))</f>
        <v/>
      </c>
      <c r="J799" s="28" t="str">
        <f aca="false">IF(OR(H799="",I799=""),"",H799&amp;"|"&amp;I799)</f>
        <v/>
      </c>
      <c r="K799" s="19" t="str">
        <f aca="false">IF(H799="","",IF(AND(J799&lt;&gt;"",COUNTIF(Pessoas!$J:$J,J799)&gt;0),"SIM",IF(COUNTIF(Pessoas!$H:$H,H799)&gt;0,"nome igual em Pessoas: confira o CPF","")))</f>
        <v/>
      </c>
      <c r="L799" s="27"/>
      <c r="M799" s="5"/>
    </row>
    <row r="800" customFormat="false" ht="15" hidden="false" customHeight="false" outlineLevel="0" collapsed="false">
      <c r="A800" s="27"/>
      <c r="B800" s="5"/>
      <c r="C800" s="27"/>
      <c r="D800" s="18"/>
      <c r="E800" s="14"/>
      <c r="F800" s="18"/>
      <c r="G800" s="19" t="str">
        <f aca="false">IF(A800="","",IFERROR(INDEX(Empresas!$B:$B,MATCH(A800,Empresas!$A:$A,0))&amp;"","cadastre o CNPJ em Empresas"))</f>
        <v/>
      </c>
      <c r="H800" s="28" t="str">
        <f aca="false">IF(B800="","",SUBSTITUTE(SUBSTITUTE(SUBSTITUTE(SUBSTITUTE(SUBSTITUTE(SUBSTITUTE(SUBSTITUTE(SUBSTITUTE(SUBSTITUTE(SUBSTITUTE(SUBSTITUTE(SUBSTITUTE(SUBSTITUTE(UPPER(TRIM(B800)),"Á","A"),"À","A"),"Â","A"),"Ã","A"),"É","E"),"Ê","E"),"Í","I"),"Ó","O"),"Ô","O"),"Õ","O"),"Ú","U"),"Ü","U"),"Ç","C"))</f>
        <v/>
      </c>
      <c r="I800" s="28" t="str">
        <f aca="false">IF(C800="","",IF(LEN(SUBSTITUTE(SUBSTITUTE(SUBSTITUTE(SUBSTITUTE(TRIM(C800),"*",""),".",""),"-","")," ",""))=11,MID(SUBSTITUTE(SUBSTITUTE(SUBSTITUTE(SUBSTITUTE(TRIM(C800),"*",""),".",""),"-","")," ",""),4,6),SUBSTITUTE(SUBSTITUTE(SUBSTITUTE(SUBSTITUTE(TRIM(C800),"*",""),".",""),"-","")," ","")))</f>
        <v/>
      </c>
      <c r="J800" s="28" t="str">
        <f aca="false">IF(OR(H800="",I800=""),"",H800&amp;"|"&amp;I800)</f>
        <v/>
      </c>
      <c r="K800" s="19" t="str">
        <f aca="false">IF(H800="","",IF(AND(J800&lt;&gt;"",COUNTIF(Pessoas!$J:$J,J800)&gt;0),"SIM",IF(COUNTIF(Pessoas!$H:$H,H800)&gt;0,"nome igual em Pessoas: confira o CPF","")))</f>
        <v/>
      </c>
      <c r="L800" s="27"/>
      <c r="M800" s="5"/>
    </row>
    <row r="801" customFormat="false" ht="15" hidden="false" customHeight="false" outlineLevel="0" collapsed="false">
      <c r="A801" s="27"/>
      <c r="B801" s="5"/>
      <c r="C801" s="27"/>
      <c r="D801" s="18"/>
      <c r="E801" s="14"/>
      <c r="F801" s="18"/>
      <c r="G801" s="19" t="str">
        <f aca="false">IF(A801="","",IFERROR(INDEX(Empresas!$B:$B,MATCH(A801,Empresas!$A:$A,0))&amp;"","cadastre o CNPJ em Empresas"))</f>
        <v/>
      </c>
      <c r="H801" s="28" t="str">
        <f aca="false">IF(B801="","",SUBSTITUTE(SUBSTITUTE(SUBSTITUTE(SUBSTITUTE(SUBSTITUTE(SUBSTITUTE(SUBSTITUTE(SUBSTITUTE(SUBSTITUTE(SUBSTITUTE(SUBSTITUTE(SUBSTITUTE(SUBSTITUTE(UPPER(TRIM(B801)),"Á","A"),"À","A"),"Â","A"),"Ã","A"),"É","E"),"Ê","E"),"Í","I"),"Ó","O"),"Ô","O"),"Õ","O"),"Ú","U"),"Ü","U"),"Ç","C"))</f>
        <v/>
      </c>
      <c r="I801" s="28" t="str">
        <f aca="false">IF(C801="","",IF(LEN(SUBSTITUTE(SUBSTITUTE(SUBSTITUTE(SUBSTITUTE(TRIM(C801),"*",""),".",""),"-","")," ",""))=11,MID(SUBSTITUTE(SUBSTITUTE(SUBSTITUTE(SUBSTITUTE(TRIM(C801),"*",""),".",""),"-","")," ",""),4,6),SUBSTITUTE(SUBSTITUTE(SUBSTITUTE(SUBSTITUTE(TRIM(C801),"*",""),".",""),"-","")," ","")))</f>
        <v/>
      </c>
      <c r="J801" s="28" t="str">
        <f aca="false">IF(OR(H801="",I801=""),"",H801&amp;"|"&amp;I801)</f>
        <v/>
      </c>
      <c r="K801" s="19" t="str">
        <f aca="false">IF(H801="","",IF(AND(J801&lt;&gt;"",COUNTIF(Pessoas!$J:$J,J801)&gt;0),"SIM",IF(COUNTIF(Pessoas!$H:$H,H801)&gt;0,"nome igual em Pessoas: confira o CPF","")))</f>
        <v/>
      </c>
      <c r="L801" s="27"/>
      <c r="M801" s="5"/>
    </row>
    <row r="802" customFormat="false" ht="15" hidden="false" customHeight="false" outlineLevel="0" collapsed="false">
      <c r="A802" s="27"/>
      <c r="B802" s="5"/>
      <c r="C802" s="27"/>
      <c r="D802" s="18"/>
      <c r="E802" s="14"/>
      <c r="F802" s="18"/>
      <c r="G802" s="19" t="str">
        <f aca="false">IF(A802="","",IFERROR(INDEX(Empresas!$B:$B,MATCH(A802,Empresas!$A:$A,0))&amp;"","cadastre o CNPJ em Empresas"))</f>
        <v/>
      </c>
      <c r="H802" s="28" t="str">
        <f aca="false">IF(B802="","",SUBSTITUTE(SUBSTITUTE(SUBSTITUTE(SUBSTITUTE(SUBSTITUTE(SUBSTITUTE(SUBSTITUTE(SUBSTITUTE(SUBSTITUTE(SUBSTITUTE(SUBSTITUTE(SUBSTITUTE(SUBSTITUTE(UPPER(TRIM(B802)),"Á","A"),"À","A"),"Â","A"),"Ã","A"),"É","E"),"Ê","E"),"Í","I"),"Ó","O"),"Ô","O"),"Õ","O"),"Ú","U"),"Ü","U"),"Ç","C"))</f>
        <v/>
      </c>
      <c r="I802" s="28" t="str">
        <f aca="false">IF(C802="","",IF(LEN(SUBSTITUTE(SUBSTITUTE(SUBSTITUTE(SUBSTITUTE(TRIM(C802),"*",""),".",""),"-","")," ",""))=11,MID(SUBSTITUTE(SUBSTITUTE(SUBSTITUTE(SUBSTITUTE(TRIM(C802),"*",""),".",""),"-","")," ",""),4,6),SUBSTITUTE(SUBSTITUTE(SUBSTITUTE(SUBSTITUTE(TRIM(C802),"*",""),".",""),"-","")," ","")))</f>
        <v/>
      </c>
      <c r="J802" s="28" t="str">
        <f aca="false">IF(OR(H802="",I802=""),"",H802&amp;"|"&amp;I802)</f>
        <v/>
      </c>
      <c r="K802" s="19" t="str">
        <f aca="false">IF(H802="","",IF(AND(J802&lt;&gt;"",COUNTIF(Pessoas!$J:$J,J802)&gt;0),"SIM",IF(COUNTIF(Pessoas!$H:$H,H802)&gt;0,"nome igual em Pessoas: confira o CPF","")))</f>
        <v/>
      </c>
      <c r="L802" s="27"/>
      <c r="M802" s="5"/>
    </row>
    <row r="803" customFormat="false" ht="15" hidden="false" customHeight="false" outlineLevel="0" collapsed="false">
      <c r="A803" s="27"/>
      <c r="B803" s="5"/>
      <c r="C803" s="27"/>
      <c r="D803" s="18"/>
      <c r="E803" s="14"/>
      <c r="F803" s="18"/>
      <c r="G803" s="19" t="str">
        <f aca="false">IF(A803="","",IFERROR(INDEX(Empresas!$B:$B,MATCH(A803,Empresas!$A:$A,0))&amp;"","cadastre o CNPJ em Empresas"))</f>
        <v/>
      </c>
      <c r="H803" s="28" t="str">
        <f aca="false">IF(B803="","",SUBSTITUTE(SUBSTITUTE(SUBSTITUTE(SUBSTITUTE(SUBSTITUTE(SUBSTITUTE(SUBSTITUTE(SUBSTITUTE(SUBSTITUTE(SUBSTITUTE(SUBSTITUTE(SUBSTITUTE(SUBSTITUTE(UPPER(TRIM(B803)),"Á","A"),"À","A"),"Â","A"),"Ã","A"),"É","E"),"Ê","E"),"Í","I"),"Ó","O"),"Ô","O"),"Õ","O"),"Ú","U"),"Ü","U"),"Ç","C"))</f>
        <v/>
      </c>
      <c r="I803" s="28" t="str">
        <f aca="false">IF(C803="","",IF(LEN(SUBSTITUTE(SUBSTITUTE(SUBSTITUTE(SUBSTITUTE(TRIM(C803),"*",""),".",""),"-","")," ",""))=11,MID(SUBSTITUTE(SUBSTITUTE(SUBSTITUTE(SUBSTITUTE(TRIM(C803),"*",""),".",""),"-","")," ",""),4,6),SUBSTITUTE(SUBSTITUTE(SUBSTITUTE(SUBSTITUTE(TRIM(C803),"*",""),".",""),"-","")," ","")))</f>
        <v/>
      </c>
      <c r="J803" s="28" t="str">
        <f aca="false">IF(OR(H803="",I803=""),"",H803&amp;"|"&amp;I803)</f>
        <v/>
      </c>
      <c r="K803" s="19" t="str">
        <f aca="false">IF(H803="","",IF(AND(J803&lt;&gt;"",COUNTIF(Pessoas!$J:$J,J803)&gt;0),"SIM",IF(COUNTIF(Pessoas!$H:$H,H803)&gt;0,"nome igual em Pessoas: confira o CPF","")))</f>
        <v/>
      </c>
      <c r="L803" s="27"/>
      <c r="M803" s="5"/>
    </row>
    <row r="804" customFormat="false" ht="15" hidden="false" customHeight="false" outlineLevel="0" collapsed="false">
      <c r="A804" s="27"/>
      <c r="B804" s="5"/>
      <c r="C804" s="27"/>
      <c r="D804" s="18"/>
      <c r="E804" s="14"/>
      <c r="F804" s="18"/>
      <c r="G804" s="19" t="str">
        <f aca="false">IF(A804="","",IFERROR(INDEX(Empresas!$B:$B,MATCH(A804,Empresas!$A:$A,0))&amp;"","cadastre o CNPJ em Empresas"))</f>
        <v/>
      </c>
      <c r="H804" s="28" t="str">
        <f aca="false">IF(B804="","",SUBSTITUTE(SUBSTITUTE(SUBSTITUTE(SUBSTITUTE(SUBSTITUTE(SUBSTITUTE(SUBSTITUTE(SUBSTITUTE(SUBSTITUTE(SUBSTITUTE(SUBSTITUTE(SUBSTITUTE(SUBSTITUTE(UPPER(TRIM(B804)),"Á","A"),"À","A"),"Â","A"),"Ã","A"),"É","E"),"Ê","E"),"Í","I"),"Ó","O"),"Ô","O"),"Õ","O"),"Ú","U"),"Ü","U"),"Ç","C"))</f>
        <v/>
      </c>
      <c r="I804" s="28" t="str">
        <f aca="false">IF(C804="","",IF(LEN(SUBSTITUTE(SUBSTITUTE(SUBSTITUTE(SUBSTITUTE(TRIM(C804),"*",""),".",""),"-","")," ",""))=11,MID(SUBSTITUTE(SUBSTITUTE(SUBSTITUTE(SUBSTITUTE(TRIM(C804),"*",""),".",""),"-","")," ",""),4,6),SUBSTITUTE(SUBSTITUTE(SUBSTITUTE(SUBSTITUTE(TRIM(C804),"*",""),".",""),"-","")," ","")))</f>
        <v/>
      </c>
      <c r="J804" s="28" t="str">
        <f aca="false">IF(OR(H804="",I804=""),"",H804&amp;"|"&amp;I804)</f>
        <v/>
      </c>
      <c r="K804" s="19" t="str">
        <f aca="false">IF(H804="","",IF(AND(J804&lt;&gt;"",COUNTIF(Pessoas!$J:$J,J804)&gt;0),"SIM",IF(COUNTIF(Pessoas!$H:$H,H804)&gt;0,"nome igual em Pessoas: confira o CPF","")))</f>
        <v/>
      </c>
      <c r="L804" s="27"/>
      <c r="M804" s="5"/>
    </row>
    <row r="805" customFormat="false" ht="15" hidden="false" customHeight="false" outlineLevel="0" collapsed="false">
      <c r="A805" s="27"/>
      <c r="B805" s="5"/>
      <c r="C805" s="27"/>
      <c r="D805" s="18"/>
      <c r="E805" s="14"/>
      <c r="F805" s="18"/>
      <c r="G805" s="19" t="str">
        <f aca="false">IF(A805="","",IFERROR(INDEX(Empresas!$B:$B,MATCH(A805,Empresas!$A:$A,0))&amp;"","cadastre o CNPJ em Empresas"))</f>
        <v/>
      </c>
      <c r="H805" s="28" t="str">
        <f aca="false">IF(B805="","",SUBSTITUTE(SUBSTITUTE(SUBSTITUTE(SUBSTITUTE(SUBSTITUTE(SUBSTITUTE(SUBSTITUTE(SUBSTITUTE(SUBSTITUTE(SUBSTITUTE(SUBSTITUTE(SUBSTITUTE(SUBSTITUTE(UPPER(TRIM(B805)),"Á","A"),"À","A"),"Â","A"),"Ã","A"),"É","E"),"Ê","E"),"Í","I"),"Ó","O"),"Ô","O"),"Õ","O"),"Ú","U"),"Ü","U"),"Ç","C"))</f>
        <v/>
      </c>
      <c r="I805" s="28" t="str">
        <f aca="false">IF(C805="","",IF(LEN(SUBSTITUTE(SUBSTITUTE(SUBSTITUTE(SUBSTITUTE(TRIM(C805),"*",""),".",""),"-","")," ",""))=11,MID(SUBSTITUTE(SUBSTITUTE(SUBSTITUTE(SUBSTITUTE(TRIM(C805),"*",""),".",""),"-","")," ",""),4,6),SUBSTITUTE(SUBSTITUTE(SUBSTITUTE(SUBSTITUTE(TRIM(C805),"*",""),".",""),"-","")," ","")))</f>
        <v/>
      </c>
      <c r="J805" s="28" t="str">
        <f aca="false">IF(OR(H805="",I805=""),"",H805&amp;"|"&amp;I805)</f>
        <v/>
      </c>
      <c r="K805" s="19" t="str">
        <f aca="false">IF(H805="","",IF(AND(J805&lt;&gt;"",COUNTIF(Pessoas!$J:$J,J805)&gt;0),"SIM",IF(COUNTIF(Pessoas!$H:$H,H805)&gt;0,"nome igual em Pessoas: confira o CPF","")))</f>
        <v/>
      </c>
      <c r="L805" s="27"/>
      <c r="M805" s="5"/>
    </row>
    <row r="806" customFormat="false" ht="15" hidden="false" customHeight="false" outlineLevel="0" collapsed="false">
      <c r="A806" s="27"/>
      <c r="B806" s="5"/>
      <c r="C806" s="27"/>
      <c r="D806" s="18"/>
      <c r="E806" s="14"/>
      <c r="F806" s="18"/>
      <c r="G806" s="19" t="str">
        <f aca="false">IF(A806="","",IFERROR(INDEX(Empresas!$B:$B,MATCH(A806,Empresas!$A:$A,0))&amp;"","cadastre o CNPJ em Empresas"))</f>
        <v/>
      </c>
      <c r="H806" s="28" t="str">
        <f aca="false">IF(B806="","",SUBSTITUTE(SUBSTITUTE(SUBSTITUTE(SUBSTITUTE(SUBSTITUTE(SUBSTITUTE(SUBSTITUTE(SUBSTITUTE(SUBSTITUTE(SUBSTITUTE(SUBSTITUTE(SUBSTITUTE(SUBSTITUTE(UPPER(TRIM(B806)),"Á","A"),"À","A"),"Â","A"),"Ã","A"),"É","E"),"Ê","E"),"Í","I"),"Ó","O"),"Ô","O"),"Õ","O"),"Ú","U"),"Ü","U"),"Ç","C"))</f>
        <v/>
      </c>
      <c r="I806" s="28" t="str">
        <f aca="false">IF(C806="","",IF(LEN(SUBSTITUTE(SUBSTITUTE(SUBSTITUTE(SUBSTITUTE(TRIM(C806),"*",""),".",""),"-","")," ",""))=11,MID(SUBSTITUTE(SUBSTITUTE(SUBSTITUTE(SUBSTITUTE(TRIM(C806),"*",""),".",""),"-","")," ",""),4,6),SUBSTITUTE(SUBSTITUTE(SUBSTITUTE(SUBSTITUTE(TRIM(C806),"*",""),".",""),"-","")," ","")))</f>
        <v/>
      </c>
      <c r="J806" s="28" t="str">
        <f aca="false">IF(OR(H806="",I806=""),"",H806&amp;"|"&amp;I806)</f>
        <v/>
      </c>
      <c r="K806" s="19" t="str">
        <f aca="false">IF(H806="","",IF(AND(J806&lt;&gt;"",COUNTIF(Pessoas!$J:$J,J806)&gt;0),"SIM",IF(COUNTIF(Pessoas!$H:$H,H806)&gt;0,"nome igual em Pessoas: confira o CPF","")))</f>
        <v/>
      </c>
      <c r="L806" s="27"/>
      <c r="M806" s="5"/>
    </row>
    <row r="807" customFormat="false" ht="15" hidden="false" customHeight="false" outlineLevel="0" collapsed="false">
      <c r="A807" s="27"/>
      <c r="B807" s="5"/>
      <c r="C807" s="27"/>
      <c r="D807" s="18"/>
      <c r="E807" s="14"/>
      <c r="F807" s="18"/>
      <c r="G807" s="19" t="str">
        <f aca="false">IF(A807="","",IFERROR(INDEX(Empresas!$B:$B,MATCH(A807,Empresas!$A:$A,0))&amp;"","cadastre o CNPJ em Empresas"))</f>
        <v/>
      </c>
      <c r="H807" s="28" t="str">
        <f aca="false">IF(B807="","",SUBSTITUTE(SUBSTITUTE(SUBSTITUTE(SUBSTITUTE(SUBSTITUTE(SUBSTITUTE(SUBSTITUTE(SUBSTITUTE(SUBSTITUTE(SUBSTITUTE(SUBSTITUTE(SUBSTITUTE(SUBSTITUTE(UPPER(TRIM(B807)),"Á","A"),"À","A"),"Â","A"),"Ã","A"),"É","E"),"Ê","E"),"Í","I"),"Ó","O"),"Ô","O"),"Õ","O"),"Ú","U"),"Ü","U"),"Ç","C"))</f>
        <v/>
      </c>
      <c r="I807" s="28" t="str">
        <f aca="false">IF(C807="","",IF(LEN(SUBSTITUTE(SUBSTITUTE(SUBSTITUTE(SUBSTITUTE(TRIM(C807),"*",""),".",""),"-","")," ",""))=11,MID(SUBSTITUTE(SUBSTITUTE(SUBSTITUTE(SUBSTITUTE(TRIM(C807),"*",""),".",""),"-","")," ",""),4,6),SUBSTITUTE(SUBSTITUTE(SUBSTITUTE(SUBSTITUTE(TRIM(C807),"*",""),".",""),"-","")," ","")))</f>
        <v/>
      </c>
      <c r="J807" s="28" t="str">
        <f aca="false">IF(OR(H807="",I807=""),"",H807&amp;"|"&amp;I807)</f>
        <v/>
      </c>
      <c r="K807" s="19" t="str">
        <f aca="false">IF(H807="","",IF(AND(J807&lt;&gt;"",COUNTIF(Pessoas!$J:$J,J807)&gt;0),"SIM",IF(COUNTIF(Pessoas!$H:$H,H807)&gt;0,"nome igual em Pessoas: confira o CPF","")))</f>
        <v/>
      </c>
      <c r="L807" s="27"/>
      <c r="M807" s="5"/>
    </row>
    <row r="808" customFormat="false" ht="15" hidden="false" customHeight="false" outlineLevel="0" collapsed="false">
      <c r="A808" s="27"/>
      <c r="B808" s="5"/>
      <c r="C808" s="27"/>
      <c r="D808" s="18"/>
      <c r="E808" s="14"/>
      <c r="F808" s="18"/>
      <c r="G808" s="19" t="str">
        <f aca="false">IF(A808="","",IFERROR(INDEX(Empresas!$B:$B,MATCH(A808,Empresas!$A:$A,0))&amp;"","cadastre o CNPJ em Empresas"))</f>
        <v/>
      </c>
      <c r="H808" s="28" t="str">
        <f aca="false">IF(B808="","",SUBSTITUTE(SUBSTITUTE(SUBSTITUTE(SUBSTITUTE(SUBSTITUTE(SUBSTITUTE(SUBSTITUTE(SUBSTITUTE(SUBSTITUTE(SUBSTITUTE(SUBSTITUTE(SUBSTITUTE(SUBSTITUTE(UPPER(TRIM(B808)),"Á","A"),"À","A"),"Â","A"),"Ã","A"),"É","E"),"Ê","E"),"Í","I"),"Ó","O"),"Ô","O"),"Õ","O"),"Ú","U"),"Ü","U"),"Ç","C"))</f>
        <v/>
      </c>
      <c r="I808" s="28" t="str">
        <f aca="false">IF(C808="","",IF(LEN(SUBSTITUTE(SUBSTITUTE(SUBSTITUTE(SUBSTITUTE(TRIM(C808),"*",""),".",""),"-","")," ",""))=11,MID(SUBSTITUTE(SUBSTITUTE(SUBSTITUTE(SUBSTITUTE(TRIM(C808),"*",""),".",""),"-","")," ",""),4,6),SUBSTITUTE(SUBSTITUTE(SUBSTITUTE(SUBSTITUTE(TRIM(C808),"*",""),".",""),"-","")," ","")))</f>
        <v/>
      </c>
      <c r="J808" s="28" t="str">
        <f aca="false">IF(OR(H808="",I808=""),"",H808&amp;"|"&amp;I808)</f>
        <v/>
      </c>
      <c r="K808" s="19" t="str">
        <f aca="false">IF(H808="","",IF(AND(J808&lt;&gt;"",COUNTIF(Pessoas!$J:$J,J808)&gt;0),"SIM",IF(COUNTIF(Pessoas!$H:$H,H808)&gt;0,"nome igual em Pessoas: confira o CPF","")))</f>
        <v/>
      </c>
      <c r="L808" s="27"/>
      <c r="M808" s="5"/>
    </row>
    <row r="809" customFormat="false" ht="15" hidden="false" customHeight="false" outlineLevel="0" collapsed="false">
      <c r="A809" s="27"/>
      <c r="B809" s="5"/>
      <c r="C809" s="27"/>
      <c r="D809" s="18"/>
      <c r="E809" s="14"/>
      <c r="F809" s="18"/>
      <c r="G809" s="19" t="str">
        <f aca="false">IF(A809="","",IFERROR(INDEX(Empresas!$B:$B,MATCH(A809,Empresas!$A:$A,0))&amp;"","cadastre o CNPJ em Empresas"))</f>
        <v/>
      </c>
      <c r="H809" s="28" t="str">
        <f aca="false">IF(B809="","",SUBSTITUTE(SUBSTITUTE(SUBSTITUTE(SUBSTITUTE(SUBSTITUTE(SUBSTITUTE(SUBSTITUTE(SUBSTITUTE(SUBSTITUTE(SUBSTITUTE(SUBSTITUTE(SUBSTITUTE(SUBSTITUTE(UPPER(TRIM(B809)),"Á","A"),"À","A"),"Â","A"),"Ã","A"),"É","E"),"Ê","E"),"Í","I"),"Ó","O"),"Ô","O"),"Õ","O"),"Ú","U"),"Ü","U"),"Ç","C"))</f>
        <v/>
      </c>
      <c r="I809" s="28" t="str">
        <f aca="false">IF(C809="","",IF(LEN(SUBSTITUTE(SUBSTITUTE(SUBSTITUTE(SUBSTITUTE(TRIM(C809),"*",""),".",""),"-","")," ",""))=11,MID(SUBSTITUTE(SUBSTITUTE(SUBSTITUTE(SUBSTITUTE(TRIM(C809),"*",""),".",""),"-","")," ",""),4,6),SUBSTITUTE(SUBSTITUTE(SUBSTITUTE(SUBSTITUTE(TRIM(C809),"*",""),".",""),"-","")," ","")))</f>
        <v/>
      </c>
      <c r="J809" s="28" t="str">
        <f aca="false">IF(OR(H809="",I809=""),"",H809&amp;"|"&amp;I809)</f>
        <v/>
      </c>
      <c r="K809" s="19" t="str">
        <f aca="false">IF(H809="","",IF(AND(J809&lt;&gt;"",COUNTIF(Pessoas!$J:$J,J809)&gt;0),"SIM",IF(COUNTIF(Pessoas!$H:$H,H809)&gt;0,"nome igual em Pessoas: confira o CPF","")))</f>
        <v/>
      </c>
      <c r="L809" s="27"/>
      <c r="M809" s="5"/>
    </row>
    <row r="810" customFormat="false" ht="15" hidden="false" customHeight="false" outlineLevel="0" collapsed="false">
      <c r="A810" s="27"/>
      <c r="B810" s="5"/>
      <c r="C810" s="27"/>
      <c r="D810" s="18"/>
      <c r="E810" s="14"/>
      <c r="F810" s="18"/>
      <c r="G810" s="19" t="str">
        <f aca="false">IF(A810="","",IFERROR(INDEX(Empresas!$B:$B,MATCH(A810,Empresas!$A:$A,0))&amp;"","cadastre o CNPJ em Empresas"))</f>
        <v/>
      </c>
      <c r="H810" s="28" t="str">
        <f aca="false">IF(B810="","",SUBSTITUTE(SUBSTITUTE(SUBSTITUTE(SUBSTITUTE(SUBSTITUTE(SUBSTITUTE(SUBSTITUTE(SUBSTITUTE(SUBSTITUTE(SUBSTITUTE(SUBSTITUTE(SUBSTITUTE(SUBSTITUTE(UPPER(TRIM(B810)),"Á","A"),"À","A"),"Â","A"),"Ã","A"),"É","E"),"Ê","E"),"Í","I"),"Ó","O"),"Ô","O"),"Õ","O"),"Ú","U"),"Ü","U"),"Ç","C"))</f>
        <v/>
      </c>
      <c r="I810" s="28" t="str">
        <f aca="false">IF(C810="","",IF(LEN(SUBSTITUTE(SUBSTITUTE(SUBSTITUTE(SUBSTITUTE(TRIM(C810),"*",""),".",""),"-","")," ",""))=11,MID(SUBSTITUTE(SUBSTITUTE(SUBSTITUTE(SUBSTITUTE(TRIM(C810),"*",""),".",""),"-","")," ",""),4,6),SUBSTITUTE(SUBSTITUTE(SUBSTITUTE(SUBSTITUTE(TRIM(C810),"*",""),".",""),"-","")," ","")))</f>
        <v/>
      </c>
      <c r="J810" s="28" t="str">
        <f aca="false">IF(OR(H810="",I810=""),"",H810&amp;"|"&amp;I810)</f>
        <v/>
      </c>
      <c r="K810" s="19" t="str">
        <f aca="false">IF(H810="","",IF(AND(J810&lt;&gt;"",COUNTIF(Pessoas!$J:$J,J810)&gt;0),"SIM",IF(COUNTIF(Pessoas!$H:$H,H810)&gt;0,"nome igual em Pessoas: confira o CPF","")))</f>
        <v/>
      </c>
      <c r="L810" s="27"/>
      <c r="M810" s="5"/>
    </row>
    <row r="811" customFormat="false" ht="15" hidden="false" customHeight="false" outlineLevel="0" collapsed="false">
      <c r="A811" s="27"/>
      <c r="B811" s="5"/>
      <c r="C811" s="27"/>
      <c r="D811" s="18"/>
      <c r="E811" s="14"/>
      <c r="F811" s="18"/>
      <c r="G811" s="19" t="str">
        <f aca="false">IF(A811="","",IFERROR(INDEX(Empresas!$B:$B,MATCH(A811,Empresas!$A:$A,0))&amp;"","cadastre o CNPJ em Empresas"))</f>
        <v/>
      </c>
      <c r="H811" s="28" t="str">
        <f aca="false">IF(B811="","",SUBSTITUTE(SUBSTITUTE(SUBSTITUTE(SUBSTITUTE(SUBSTITUTE(SUBSTITUTE(SUBSTITUTE(SUBSTITUTE(SUBSTITUTE(SUBSTITUTE(SUBSTITUTE(SUBSTITUTE(SUBSTITUTE(UPPER(TRIM(B811)),"Á","A"),"À","A"),"Â","A"),"Ã","A"),"É","E"),"Ê","E"),"Í","I"),"Ó","O"),"Ô","O"),"Õ","O"),"Ú","U"),"Ü","U"),"Ç","C"))</f>
        <v/>
      </c>
      <c r="I811" s="28" t="str">
        <f aca="false">IF(C811="","",IF(LEN(SUBSTITUTE(SUBSTITUTE(SUBSTITUTE(SUBSTITUTE(TRIM(C811),"*",""),".",""),"-","")," ",""))=11,MID(SUBSTITUTE(SUBSTITUTE(SUBSTITUTE(SUBSTITUTE(TRIM(C811),"*",""),".",""),"-","")," ",""),4,6),SUBSTITUTE(SUBSTITUTE(SUBSTITUTE(SUBSTITUTE(TRIM(C811),"*",""),".",""),"-","")," ","")))</f>
        <v/>
      </c>
      <c r="J811" s="28" t="str">
        <f aca="false">IF(OR(H811="",I811=""),"",H811&amp;"|"&amp;I811)</f>
        <v/>
      </c>
      <c r="K811" s="19" t="str">
        <f aca="false">IF(H811="","",IF(AND(J811&lt;&gt;"",COUNTIF(Pessoas!$J:$J,J811)&gt;0),"SIM",IF(COUNTIF(Pessoas!$H:$H,H811)&gt;0,"nome igual em Pessoas: confira o CPF","")))</f>
        <v/>
      </c>
      <c r="L811" s="27"/>
      <c r="M811" s="5"/>
    </row>
    <row r="812" customFormat="false" ht="15" hidden="false" customHeight="false" outlineLevel="0" collapsed="false">
      <c r="A812" s="27"/>
      <c r="B812" s="5"/>
      <c r="C812" s="27"/>
      <c r="D812" s="18"/>
      <c r="E812" s="14"/>
      <c r="F812" s="18"/>
      <c r="G812" s="19" t="str">
        <f aca="false">IF(A812="","",IFERROR(INDEX(Empresas!$B:$B,MATCH(A812,Empresas!$A:$A,0))&amp;"","cadastre o CNPJ em Empresas"))</f>
        <v/>
      </c>
      <c r="H812" s="28" t="str">
        <f aca="false">IF(B812="","",SUBSTITUTE(SUBSTITUTE(SUBSTITUTE(SUBSTITUTE(SUBSTITUTE(SUBSTITUTE(SUBSTITUTE(SUBSTITUTE(SUBSTITUTE(SUBSTITUTE(SUBSTITUTE(SUBSTITUTE(SUBSTITUTE(UPPER(TRIM(B812)),"Á","A"),"À","A"),"Â","A"),"Ã","A"),"É","E"),"Ê","E"),"Í","I"),"Ó","O"),"Ô","O"),"Õ","O"),"Ú","U"),"Ü","U"),"Ç","C"))</f>
        <v/>
      </c>
      <c r="I812" s="28" t="str">
        <f aca="false">IF(C812="","",IF(LEN(SUBSTITUTE(SUBSTITUTE(SUBSTITUTE(SUBSTITUTE(TRIM(C812),"*",""),".",""),"-","")," ",""))=11,MID(SUBSTITUTE(SUBSTITUTE(SUBSTITUTE(SUBSTITUTE(TRIM(C812),"*",""),".",""),"-","")," ",""),4,6),SUBSTITUTE(SUBSTITUTE(SUBSTITUTE(SUBSTITUTE(TRIM(C812),"*",""),".",""),"-","")," ","")))</f>
        <v/>
      </c>
      <c r="J812" s="28" t="str">
        <f aca="false">IF(OR(H812="",I812=""),"",H812&amp;"|"&amp;I812)</f>
        <v/>
      </c>
      <c r="K812" s="19" t="str">
        <f aca="false">IF(H812="","",IF(AND(J812&lt;&gt;"",COUNTIF(Pessoas!$J:$J,J812)&gt;0),"SIM",IF(COUNTIF(Pessoas!$H:$H,H812)&gt;0,"nome igual em Pessoas: confira o CPF","")))</f>
        <v/>
      </c>
      <c r="L812" s="27"/>
      <c r="M812" s="5"/>
    </row>
    <row r="813" customFormat="false" ht="15" hidden="false" customHeight="false" outlineLevel="0" collapsed="false">
      <c r="A813" s="27"/>
      <c r="B813" s="5"/>
      <c r="C813" s="27"/>
      <c r="D813" s="18"/>
      <c r="E813" s="14"/>
      <c r="F813" s="18"/>
      <c r="G813" s="19" t="str">
        <f aca="false">IF(A813="","",IFERROR(INDEX(Empresas!$B:$B,MATCH(A813,Empresas!$A:$A,0))&amp;"","cadastre o CNPJ em Empresas"))</f>
        <v/>
      </c>
      <c r="H813" s="28" t="str">
        <f aca="false">IF(B813="","",SUBSTITUTE(SUBSTITUTE(SUBSTITUTE(SUBSTITUTE(SUBSTITUTE(SUBSTITUTE(SUBSTITUTE(SUBSTITUTE(SUBSTITUTE(SUBSTITUTE(SUBSTITUTE(SUBSTITUTE(SUBSTITUTE(UPPER(TRIM(B813)),"Á","A"),"À","A"),"Â","A"),"Ã","A"),"É","E"),"Ê","E"),"Í","I"),"Ó","O"),"Ô","O"),"Õ","O"),"Ú","U"),"Ü","U"),"Ç","C"))</f>
        <v/>
      </c>
      <c r="I813" s="28" t="str">
        <f aca="false">IF(C813="","",IF(LEN(SUBSTITUTE(SUBSTITUTE(SUBSTITUTE(SUBSTITUTE(TRIM(C813),"*",""),".",""),"-","")," ",""))=11,MID(SUBSTITUTE(SUBSTITUTE(SUBSTITUTE(SUBSTITUTE(TRIM(C813),"*",""),".",""),"-","")," ",""),4,6),SUBSTITUTE(SUBSTITUTE(SUBSTITUTE(SUBSTITUTE(TRIM(C813),"*",""),".",""),"-","")," ","")))</f>
        <v/>
      </c>
      <c r="J813" s="28" t="str">
        <f aca="false">IF(OR(H813="",I813=""),"",H813&amp;"|"&amp;I813)</f>
        <v/>
      </c>
      <c r="K813" s="19" t="str">
        <f aca="false">IF(H813="","",IF(AND(J813&lt;&gt;"",COUNTIF(Pessoas!$J:$J,J813)&gt;0),"SIM",IF(COUNTIF(Pessoas!$H:$H,H813)&gt;0,"nome igual em Pessoas: confira o CPF","")))</f>
        <v/>
      </c>
      <c r="L813" s="27"/>
      <c r="M813" s="5"/>
    </row>
    <row r="814" customFormat="false" ht="15" hidden="false" customHeight="false" outlineLevel="0" collapsed="false">
      <c r="A814" s="27"/>
      <c r="B814" s="5"/>
      <c r="C814" s="27"/>
      <c r="D814" s="18"/>
      <c r="E814" s="14"/>
      <c r="F814" s="18"/>
      <c r="G814" s="19" t="str">
        <f aca="false">IF(A814="","",IFERROR(INDEX(Empresas!$B:$B,MATCH(A814,Empresas!$A:$A,0))&amp;"","cadastre o CNPJ em Empresas"))</f>
        <v/>
      </c>
      <c r="H814" s="28" t="str">
        <f aca="false">IF(B814="","",SUBSTITUTE(SUBSTITUTE(SUBSTITUTE(SUBSTITUTE(SUBSTITUTE(SUBSTITUTE(SUBSTITUTE(SUBSTITUTE(SUBSTITUTE(SUBSTITUTE(SUBSTITUTE(SUBSTITUTE(SUBSTITUTE(UPPER(TRIM(B814)),"Á","A"),"À","A"),"Â","A"),"Ã","A"),"É","E"),"Ê","E"),"Í","I"),"Ó","O"),"Ô","O"),"Õ","O"),"Ú","U"),"Ü","U"),"Ç","C"))</f>
        <v/>
      </c>
      <c r="I814" s="28" t="str">
        <f aca="false">IF(C814="","",IF(LEN(SUBSTITUTE(SUBSTITUTE(SUBSTITUTE(SUBSTITUTE(TRIM(C814),"*",""),".",""),"-","")," ",""))=11,MID(SUBSTITUTE(SUBSTITUTE(SUBSTITUTE(SUBSTITUTE(TRIM(C814),"*",""),".",""),"-","")," ",""),4,6),SUBSTITUTE(SUBSTITUTE(SUBSTITUTE(SUBSTITUTE(TRIM(C814),"*",""),".",""),"-","")," ","")))</f>
        <v/>
      </c>
      <c r="J814" s="28" t="str">
        <f aca="false">IF(OR(H814="",I814=""),"",H814&amp;"|"&amp;I814)</f>
        <v/>
      </c>
      <c r="K814" s="19" t="str">
        <f aca="false">IF(H814="","",IF(AND(J814&lt;&gt;"",COUNTIF(Pessoas!$J:$J,J814)&gt;0),"SIM",IF(COUNTIF(Pessoas!$H:$H,H814)&gt;0,"nome igual em Pessoas: confira o CPF","")))</f>
        <v/>
      </c>
      <c r="L814" s="27"/>
      <c r="M814" s="5"/>
    </row>
    <row r="815" customFormat="false" ht="15" hidden="false" customHeight="false" outlineLevel="0" collapsed="false">
      <c r="A815" s="27"/>
      <c r="B815" s="5"/>
      <c r="C815" s="27"/>
      <c r="D815" s="18"/>
      <c r="E815" s="14"/>
      <c r="F815" s="18"/>
      <c r="G815" s="19" t="str">
        <f aca="false">IF(A815="","",IFERROR(INDEX(Empresas!$B:$B,MATCH(A815,Empresas!$A:$A,0))&amp;"","cadastre o CNPJ em Empresas"))</f>
        <v/>
      </c>
      <c r="H815" s="28" t="str">
        <f aca="false">IF(B815="","",SUBSTITUTE(SUBSTITUTE(SUBSTITUTE(SUBSTITUTE(SUBSTITUTE(SUBSTITUTE(SUBSTITUTE(SUBSTITUTE(SUBSTITUTE(SUBSTITUTE(SUBSTITUTE(SUBSTITUTE(SUBSTITUTE(UPPER(TRIM(B815)),"Á","A"),"À","A"),"Â","A"),"Ã","A"),"É","E"),"Ê","E"),"Í","I"),"Ó","O"),"Ô","O"),"Õ","O"),"Ú","U"),"Ü","U"),"Ç","C"))</f>
        <v/>
      </c>
      <c r="I815" s="28" t="str">
        <f aca="false">IF(C815="","",IF(LEN(SUBSTITUTE(SUBSTITUTE(SUBSTITUTE(SUBSTITUTE(TRIM(C815),"*",""),".",""),"-","")," ",""))=11,MID(SUBSTITUTE(SUBSTITUTE(SUBSTITUTE(SUBSTITUTE(TRIM(C815),"*",""),".",""),"-","")," ",""),4,6),SUBSTITUTE(SUBSTITUTE(SUBSTITUTE(SUBSTITUTE(TRIM(C815),"*",""),".",""),"-","")," ","")))</f>
        <v/>
      </c>
      <c r="J815" s="28" t="str">
        <f aca="false">IF(OR(H815="",I815=""),"",H815&amp;"|"&amp;I815)</f>
        <v/>
      </c>
      <c r="K815" s="19" t="str">
        <f aca="false">IF(H815="","",IF(AND(J815&lt;&gt;"",COUNTIF(Pessoas!$J:$J,J815)&gt;0),"SIM",IF(COUNTIF(Pessoas!$H:$H,H815)&gt;0,"nome igual em Pessoas: confira o CPF","")))</f>
        <v/>
      </c>
      <c r="L815" s="27"/>
      <c r="M815" s="5"/>
    </row>
    <row r="816" customFormat="false" ht="15" hidden="false" customHeight="false" outlineLevel="0" collapsed="false">
      <c r="A816" s="27"/>
      <c r="B816" s="5"/>
      <c r="C816" s="27"/>
      <c r="D816" s="18"/>
      <c r="E816" s="14"/>
      <c r="F816" s="18"/>
      <c r="G816" s="19" t="str">
        <f aca="false">IF(A816="","",IFERROR(INDEX(Empresas!$B:$B,MATCH(A816,Empresas!$A:$A,0))&amp;"","cadastre o CNPJ em Empresas"))</f>
        <v/>
      </c>
      <c r="H816" s="28" t="str">
        <f aca="false">IF(B816="","",SUBSTITUTE(SUBSTITUTE(SUBSTITUTE(SUBSTITUTE(SUBSTITUTE(SUBSTITUTE(SUBSTITUTE(SUBSTITUTE(SUBSTITUTE(SUBSTITUTE(SUBSTITUTE(SUBSTITUTE(SUBSTITUTE(UPPER(TRIM(B816)),"Á","A"),"À","A"),"Â","A"),"Ã","A"),"É","E"),"Ê","E"),"Í","I"),"Ó","O"),"Ô","O"),"Õ","O"),"Ú","U"),"Ü","U"),"Ç","C"))</f>
        <v/>
      </c>
      <c r="I816" s="28" t="str">
        <f aca="false">IF(C816="","",IF(LEN(SUBSTITUTE(SUBSTITUTE(SUBSTITUTE(SUBSTITUTE(TRIM(C816),"*",""),".",""),"-","")," ",""))=11,MID(SUBSTITUTE(SUBSTITUTE(SUBSTITUTE(SUBSTITUTE(TRIM(C816),"*",""),".",""),"-","")," ",""),4,6),SUBSTITUTE(SUBSTITUTE(SUBSTITUTE(SUBSTITUTE(TRIM(C816),"*",""),".",""),"-","")," ","")))</f>
        <v/>
      </c>
      <c r="J816" s="28" t="str">
        <f aca="false">IF(OR(H816="",I816=""),"",H816&amp;"|"&amp;I816)</f>
        <v/>
      </c>
      <c r="K816" s="19" t="str">
        <f aca="false">IF(H816="","",IF(AND(J816&lt;&gt;"",COUNTIF(Pessoas!$J:$J,J816)&gt;0),"SIM",IF(COUNTIF(Pessoas!$H:$H,H816)&gt;0,"nome igual em Pessoas: confira o CPF","")))</f>
        <v/>
      </c>
      <c r="L816" s="27"/>
      <c r="M816" s="5"/>
    </row>
    <row r="817" customFormat="false" ht="15" hidden="false" customHeight="false" outlineLevel="0" collapsed="false">
      <c r="A817" s="27"/>
      <c r="B817" s="5"/>
      <c r="C817" s="27"/>
      <c r="D817" s="18"/>
      <c r="E817" s="14"/>
      <c r="F817" s="18"/>
      <c r="G817" s="19" t="str">
        <f aca="false">IF(A817="","",IFERROR(INDEX(Empresas!$B:$B,MATCH(A817,Empresas!$A:$A,0))&amp;"","cadastre o CNPJ em Empresas"))</f>
        <v/>
      </c>
      <c r="H817" s="28" t="str">
        <f aca="false">IF(B817="","",SUBSTITUTE(SUBSTITUTE(SUBSTITUTE(SUBSTITUTE(SUBSTITUTE(SUBSTITUTE(SUBSTITUTE(SUBSTITUTE(SUBSTITUTE(SUBSTITUTE(SUBSTITUTE(SUBSTITUTE(SUBSTITUTE(UPPER(TRIM(B817)),"Á","A"),"À","A"),"Â","A"),"Ã","A"),"É","E"),"Ê","E"),"Í","I"),"Ó","O"),"Ô","O"),"Õ","O"),"Ú","U"),"Ü","U"),"Ç","C"))</f>
        <v/>
      </c>
      <c r="I817" s="28" t="str">
        <f aca="false">IF(C817="","",IF(LEN(SUBSTITUTE(SUBSTITUTE(SUBSTITUTE(SUBSTITUTE(TRIM(C817),"*",""),".",""),"-","")," ",""))=11,MID(SUBSTITUTE(SUBSTITUTE(SUBSTITUTE(SUBSTITUTE(TRIM(C817),"*",""),".",""),"-","")," ",""),4,6),SUBSTITUTE(SUBSTITUTE(SUBSTITUTE(SUBSTITUTE(TRIM(C817),"*",""),".",""),"-","")," ","")))</f>
        <v/>
      </c>
      <c r="J817" s="28" t="str">
        <f aca="false">IF(OR(H817="",I817=""),"",H817&amp;"|"&amp;I817)</f>
        <v/>
      </c>
      <c r="K817" s="19" t="str">
        <f aca="false">IF(H817="","",IF(AND(J817&lt;&gt;"",COUNTIF(Pessoas!$J:$J,J817)&gt;0),"SIM",IF(COUNTIF(Pessoas!$H:$H,H817)&gt;0,"nome igual em Pessoas: confira o CPF","")))</f>
        <v/>
      </c>
      <c r="L817" s="27"/>
      <c r="M817" s="5"/>
    </row>
    <row r="818" customFormat="false" ht="15" hidden="false" customHeight="false" outlineLevel="0" collapsed="false">
      <c r="A818" s="27"/>
      <c r="B818" s="5"/>
      <c r="C818" s="27"/>
      <c r="D818" s="18"/>
      <c r="E818" s="14"/>
      <c r="F818" s="18"/>
      <c r="G818" s="19" t="str">
        <f aca="false">IF(A818="","",IFERROR(INDEX(Empresas!$B:$B,MATCH(A818,Empresas!$A:$A,0))&amp;"","cadastre o CNPJ em Empresas"))</f>
        <v/>
      </c>
      <c r="H818" s="28" t="str">
        <f aca="false">IF(B818="","",SUBSTITUTE(SUBSTITUTE(SUBSTITUTE(SUBSTITUTE(SUBSTITUTE(SUBSTITUTE(SUBSTITUTE(SUBSTITUTE(SUBSTITUTE(SUBSTITUTE(SUBSTITUTE(SUBSTITUTE(SUBSTITUTE(UPPER(TRIM(B818)),"Á","A"),"À","A"),"Â","A"),"Ã","A"),"É","E"),"Ê","E"),"Í","I"),"Ó","O"),"Ô","O"),"Õ","O"),"Ú","U"),"Ü","U"),"Ç","C"))</f>
        <v/>
      </c>
      <c r="I818" s="28" t="str">
        <f aca="false">IF(C818="","",IF(LEN(SUBSTITUTE(SUBSTITUTE(SUBSTITUTE(SUBSTITUTE(TRIM(C818),"*",""),".",""),"-","")," ",""))=11,MID(SUBSTITUTE(SUBSTITUTE(SUBSTITUTE(SUBSTITUTE(TRIM(C818),"*",""),".",""),"-","")," ",""),4,6),SUBSTITUTE(SUBSTITUTE(SUBSTITUTE(SUBSTITUTE(TRIM(C818),"*",""),".",""),"-","")," ","")))</f>
        <v/>
      </c>
      <c r="J818" s="28" t="str">
        <f aca="false">IF(OR(H818="",I818=""),"",H818&amp;"|"&amp;I818)</f>
        <v/>
      </c>
      <c r="K818" s="19" t="str">
        <f aca="false">IF(H818="","",IF(AND(J818&lt;&gt;"",COUNTIF(Pessoas!$J:$J,J818)&gt;0),"SIM",IF(COUNTIF(Pessoas!$H:$H,H818)&gt;0,"nome igual em Pessoas: confira o CPF","")))</f>
        <v/>
      </c>
      <c r="L818" s="27"/>
      <c r="M818" s="5"/>
    </row>
    <row r="819" customFormat="false" ht="15" hidden="false" customHeight="false" outlineLevel="0" collapsed="false">
      <c r="A819" s="27"/>
      <c r="B819" s="5"/>
      <c r="C819" s="27"/>
      <c r="D819" s="18"/>
      <c r="E819" s="14"/>
      <c r="F819" s="18"/>
      <c r="G819" s="19" t="str">
        <f aca="false">IF(A819="","",IFERROR(INDEX(Empresas!$B:$B,MATCH(A819,Empresas!$A:$A,0))&amp;"","cadastre o CNPJ em Empresas"))</f>
        <v/>
      </c>
      <c r="H819" s="28" t="str">
        <f aca="false">IF(B819="","",SUBSTITUTE(SUBSTITUTE(SUBSTITUTE(SUBSTITUTE(SUBSTITUTE(SUBSTITUTE(SUBSTITUTE(SUBSTITUTE(SUBSTITUTE(SUBSTITUTE(SUBSTITUTE(SUBSTITUTE(SUBSTITUTE(UPPER(TRIM(B819)),"Á","A"),"À","A"),"Â","A"),"Ã","A"),"É","E"),"Ê","E"),"Í","I"),"Ó","O"),"Ô","O"),"Õ","O"),"Ú","U"),"Ü","U"),"Ç","C"))</f>
        <v/>
      </c>
      <c r="I819" s="28" t="str">
        <f aca="false">IF(C819="","",IF(LEN(SUBSTITUTE(SUBSTITUTE(SUBSTITUTE(SUBSTITUTE(TRIM(C819),"*",""),".",""),"-","")," ",""))=11,MID(SUBSTITUTE(SUBSTITUTE(SUBSTITUTE(SUBSTITUTE(TRIM(C819),"*",""),".",""),"-","")," ",""),4,6),SUBSTITUTE(SUBSTITUTE(SUBSTITUTE(SUBSTITUTE(TRIM(C819),"*",""),".",""),"-","")," ","")))</f>
        <v/>
      </c>
      <c r="J819" s="28" t="str">
        <f aca="false">IF(OR(H819="",I819=""),"",H819&amp;"|"&amp;I819)</f>
        <v/>
      </c>
      <c r="K819" s="19" t="str">
        <f aca="false">IF(H819="","",IF(AND(J819&lt;&gt;"",COUNTIF(Pessoas!$J:$J,J819)&gt;0),"SIM",IF(COUNTIF(Pessoas!$H:$H,H819)&gt;0,"nome igual em Pessoas: confira o CPF","")))</f>
        <v/>
      </c>
      <c r="L819" s="27"/>
      <c r="M819" s="5"/>
    </row>
    <row r="820" customFormat="false" ht="15" hidden="false" customHeight="false" outlineLevel="0" collapsed="false">
      <c r="A820" s="27"/>
      <c r="B820" s="5"/>
      <c r="C820" s="27"/>
      <c r="D820" s="18"/>
      <c r="E820" s="14"/>
      <c r="F820" s="18"/>
      <c r="G820" s="19" t="str">
        <f aca="false">IF(A820="","",IFERROR(INDEX(Empresas!$B:$B,MATCH(A820,Empresas!$A:$A,0))&amp;"","cadastre o CNPJ em Empresas"))</f>
        <v/>
      </c>
      <c r="H820" s="28" t="str">
        <f aca="false">IF(B820="","",SUBSTITUTE(SUBSTITUTE(SUBSTITUTE(SUBSTITUTE(SUBSTITUTE(SUBSTITUTE(SUBSTITUTE(SUBSTITUTE(SUBSTITUTE(SUBSTITUTE(SUBSTITUTE(SUBSTITUTE(SUBSTITUTE(UPPER(TRIM(B820)),"Á","A"),"À","A"),"Â","A"),"Ã","A"),"É","E"),"Ê","E"),"Í","I"),"Ó","O"),"Ô","O"),"Õ","O"),"Ú","U"),"Ü","U"),"Ç","C"))</f>
        <v/>
      </c>
      <c r="I820" s="28" t="str">
        <f aca="false">IF(C820="","",IF(LEN(SUBSTITUTE(SUBSTITUTE(SUBSTITUTE(SUBSTITUTE(TRIM(C820),"*",""),".",""),"-","")," ",""))=11,MID(SUBSTITUTE(SUBSTITUTE(SUBSTITUTE(SUBSTITUTE(TRIM(C820),"*",""),".",""),"-","")," ",""),4,6),SUBSTITUTE(SUBSTITUTE(SUBSTITUTE(SUBSTITUTE(TRIM(C820),"*",""),".",""),"-","")," ","")))</f>
        <v/>
      </c>
      <c r="J820" s="28" t="str">
        <f aca="false">IF(OR(H820="",I820=""),"",H820&amp;"|"&amp;I820)</f>
        <v/>
      </c>
      <c r="K820" s="19" t="str">
        <f aca="false">IF(H820="","",IF(AND(J820&lt;&gt;"",COUNTIF(Pessoas!$J:$J,J820)&gt;0),"SIM",IF(COUNTIF(Pessoas!$H:$H,H820)&gt;0,"nome igual em Pessoas: confira o CPF","")))</f>
        <v/>
      </c>
      <c r="L820" s="27"/>
      <c r="M820" s="5"/>
    </row>
    <row r="821" customFormat="false" ht="15" hidden="false" customHeight="false" outlineLevel="0" collapsed="false">
      <c r="A821" s="27"/>
      <c r="B821" s="5"/>
      <c r="C821" s="27"/>
      <c r="D821" s="18"/>
      <c r="E821" s="14"/>
      <c r="F821" s="18"/>
      <c r="G821" s="19" t="str">
        <f aca="false">IF(A821="","",IFERROR(INDEX(Empresas!$B:$B,MATCH(A821,Empresas!$A:$A,0))&amp;"","cadastre o CNPJ em Empresas"))</f>
        <v/>
      </c>
      <c r="H821" s="28" t="str">
        <f aca="false">IF(B821="","",SUBSTITUTE(SUBSTITUTE(SUBSTITUTE(SUBSTITUTE(SUBSTITUTE(SUBSTITUTE(SUBSTITUTE(SUBSTITUTE(SUBSTITUTE(SUBSTITUTE(SUBSTITUTE(SUBSTITUTE(SUBSTITUTE(UPPER(TRIM(B821)),"Á","A"),"À","A"),"Â","A"),"Ã","A"),"É","E"),"Ê","E"),"Í","I"),"Ó","O"),"Ô","O"),"Õ","O"),"Ú","U"),"Ü","U"),"Ç","C"))</f>
        <v/>
      </c>
      <c r="I821" s="28" t="str">
        <f aca="false">IF(C821="","",IF(LEN(SUBSTITUTE(SUBSTITUTE(SUBSTITUTE(SUBSTITUTE(TRIM(C821),"*",""),".",""),"-","")," ",""))=11,MID(SUBSTITUTE(SUBSTITUTE(SUBSTITUTE(SUBSTITUTE(TRIM(C821),"*",""),".",""),"-","")," ",""),4,6),SUBSTITUTE(SUBSTITUTE(SUBSTITUTE(SUBSTITUTE(TRIM(C821),"*",""),".",""),"-","")," ","")))</f>
        <v/>
      </c>
      <c r="J821" s="28" t="str">
        <f aca="false">IF(OR(H821="",I821=""),"",H821&amp;"|"&amp;I821)</f>
        <v/>
      </c>
      <c r="K821" s="19" t="str">
        <f aca="false">IF(H821="","",IF(AND(J821&lt;&gt;"",COUNTIF(Pessoas!$J:$J,J821)&gt;0),"SIM",IF(COUNTIF(Pessoas!$H:$H,H821)&gt;0,"nome igual em Pessoas: confira o CPF","")))</f>
        <v/>
      </c>
      <c r="L821" s="27"/>
      <c r="M821" s="5"/>
    </row>
    <row r="822" customFormat="false" ht="15" hidden="false" customHeight="false" outlineLevel="0" collapsed="false">
      <c r="A822" s="27"/>
      <c r="B822" s="5"/>
      <c r="C822" s="27"/>
      <c r="D822" s="18"/>
      <c r="E822" s="14"/>
      <c r="F822" s="18"/>
      <c r="G822" s="19" t="str">
        <f aca="false">IF(A822="","",IFERROR(INDEX(Empresas!$B:$B,MATCH(A822,Empresas!$A:$A,0))&amp;"","cadastre o CNPJ em Empresas"))</f>
        <v/>
      </c>
      <c r="H822" s="28" t="str">
        <f aca="false">IF(B822="","",SUBSTITUTE(SUBSTITUTE(SUBSTITUTE(SUBSTITUTE(SUBSTITUTE(SUBSTITUTE(SUBSTITUTE(SUBSTITUTE(SUBSTITUTE(SUBSTITUTE(SUBSTITUTE(SUBSTITUTE(SUBSTITUTE(UPPER(TRIM(B822)),"Á","A"),"À","A"),"Â","A"),"Ã","A"),"É","E"),"Ê","E"),"Í","I"),"Ó","O"),"Ô","O"),"Õ","O"),"Ú","U"),"Ü","U"),"Ç","C"))</f>
        <v/>
      </c>
      <c r="I822" s="28" t="str">
        <f aca="false">IF(C822="","",IF(LEN(SUBSTITUTE(SUBSTITUTE(SUBSTITUTE(SUBSTITUTE(TRIM(C822),"*",""),".",""),"-","")," ",""))=11,MID(SUBSTITUTE(SUBSTITUTE(SUBSTITUTE(SUBSTITUTE(TRIM(C822),"*",""),".",""),"-","")," ",""),4,6),SUBSTITUTE(SUBSTITUTE(SUBSTITUTE(SUBSTITUTE(TRIM(C822),"*",""),".",""),"-","")," ","")))</f>
        <v/>
      </c>
      <c r="J822" s="28" t="str">
        <f aca="false">IF(OR(H822="",I822=""),"",H822&amp;"|"&amp;I822)</f>
        <v/>
      </c>
      <c r="K822" s="19" t="str">
        <f aca="false">IF(H822="","",IF(AND(J822&lt;&gt;"",COUNTIF(Pessoas!$J:$J,J822)&gt;0),"SIM",IF(COUNTIF(Pessoas!$H:$H,H822)&gt;0,"nome igual em Pessoas: confira o CPF","")))</f>
        <v/>
      </c>
      <c r="L822" s="27"/>
      <c r="M822" s="5"/>
    </row>
    <row r="823" customFormat="false" ht="15" hidden="false" customHeight="false" outlineLevel="0" collapsed="false">
      <c r="A823" s="27"/>
      <c r="B823" s="5"/>
      <c r="C823" s="27"/>
      <c r="D823" s="18"/>
      <c r="E823" s="14"/>
      <c r="F823" s="18"/>
      <c r="G823" s="19" t="str">
        <f aca="false">IF(A823="","",IFERROR(INDEX(Empresas!$B:$B,MATCH(A823,Empresas!$A:$A,0))&amp;"","cadastre o CNPJ em Empresas"))</f>
        <v/>
      </c>
      <c r="H823" s="28" t="str">
        <f aca="false">IF(B823="","",SUBSTITUTE(SUBSTITUTE(SUBSTITUTE(SUBSTITUTE(SUBSTITUTE(SUBSTITUTE(SUBSTITUTE(SUBSTITUTE(SUBSTITUTE(SUBSTITUTE(SUBSTITUTE(SUBSTITUTE(SUBSTITUTE(UPPER(TRIM(B823)),"Á","A"),"À","A"),"Â","A"),"Ã","A"),"É","E"),"Ê","E"),"Í","I"),"Ó","O"),"Ô","O"),"Õ","O"),"Ú","U"),"Ü","U"),"Ç","C"))</f>
        <v/>
      </c>
      <c r="I823" s="28" t="str">
        <f aca="false">IF(C823="","",IF(LEN(SUBSTITUTE(SUBSTITUTE(SUBSTITUTE(SUBSTITUTE(TRIM(C823),"*",""),".",""),"-","")," ",""))=11,MID(SUBSTITUTE(SUBSTITUTE(SUBSTITUTE(SUBSTITUTE(TRIM(C823),"*",""),".",""),"-","")," ",""),4,6),SUBSTITUTE(SUBSTITUTE(SUBSTITUTE(SUBSTITUTE(TRIM(C823),"*",""),".",""),"-","")," ","")))</f>
        <v/>
      </c>
      <c r="J823" s="28" t="str">
        <f aca="false">IF(OR(H823="",I823=""),"",H823&amp;"|"&amp;I823)</f>
        <v/>
      </c>
      <c r="K823" s="19" t="str">
        <f aca="false">IF(H823="","",IF(AND(J823&lt;&gt;"",COUNTIF(Pessoas!$J:$J,J823)&gt;0),"SIM",IF(COUNTIF(Pessoas!$H:$H,H823)&gt;0,"nome igual em Pessoas: confira o CPF","")))</f>
        <v/>
      </c>
      <c r="L823" s="27"/>
      <c r="M823" s="5"/>
    </row>
    <row r="824" customFormat="false" ht="15" hidden="false" customHeight="false" outlineLevel="0" collapsed="false">
      <c r="A824" s="27"/>
      <c r="B824" s="5"/>
      <c r="C824" s="27"/>
      <c r="D824" s="18"/>
      <c r="E824" s="14"/>
      <c r="F824" s="18"/>
      <c r="G824" s="19" t="str">
        <f aca="false">IF(A824="","",IFERROR(INDEX(Empresas!$B:$B,MATCH(A824,Empresas!$A:$A,0))&amp;"","cadastre o CNPJ em Empresas"))</f>
        <v/>
      </c>
      <c r="H824" s="28" t="str">
        <f aca="false">IF(B824="","",SUBSTITUTE(SUBSTITUTE(SUBSTITUTE(SUBSTITUTE(SUBSTITUTE(SUBSTITUTE(SUBSTITUTE(SUBSTITUTE(SUBSTITUTE(SUBSTITUTE(SUBSTITUTE(SUBSTITUTE(SUBSTITUTE(UPPER(TRIM(B824)),"Á","A"),"À","A"),"Â","A"),"Ã","A"),"É","E"),"Ê","E"),"Í","I"),"Ó","O"),"Ô","O"),"Õ","O"),"Ú","U"),"Ü","U"),"Ç","C"))</f>
        <v/>
      </c>
      <c r="I824" s="28" t="str">
        <f aca="false">IF(C824="","",IF(LEN(SUBSTITUTE(SUBSTITUTE(SUBSTITUTE(SUBSTITUTE(TRIM(C824),"*",""),".",""),"-","")," ",""))=11,MID(SUBSTITUTE(SUBSTITUTE(SUBSTITUTE(SUBSTITUTE(TRIM(C824),"*",""),".",""),"-","")," ",""),4,6),SUBSTITUTE(SUBSTITUTE(SUBSTITUTE(SUBSTITUTE(TRIM(C824),"*",""),".",""),"-","")," ","")))</f>
        <v/>
      </c>
      <c r="J824" s="28" t="str">
        <f aca="false">IF(OR(H824="",I824=""),"",H824&amp;"|"&amp;I824)</f>
        <v/>
      </c>
      <c r="K824" s="19" t="str">
        <f aca="false">IF(H824="","",IF(AND(J824&lt;&gt;"",COUNTIF(Pessoas!$J:$J,J824)&gt;0),"SIM",IF(COUNTIF(Pessoas!$H:$H,H824)&gt;0,"nome igual em Pessoas: confira o CPF","")))</f>
        <v/>
      </c>
      <c r="L824" s="27"/>
      <c r="M824" s="5"/>
    </row>
    <row r="825" customFormat="false" ht="15" hidden="false" customHeight="false" outlineLevel="0" collapsed="false">
      <c r="A825" s="27"/>
      <c r="B825" s="5"/>
      <c r="C825" s="27"/>
      <c r="D825" s="18"/>
      <c r="E825" s="14"/>
      <c r="F825" s="18"/>
      <c r="G825" s="19" t="str">
        <f aca="false">IF(A825="","",IFERROR(INDEX(Empresas!$B:$B,MATCH(A825,Empresas!$A:$A,0))&amp;"","cadastre o CNPJ em Empresas"))</f>
        <v/>
      </c>
      <c r="H825" s="28" t="str">
        <f aca="false">IF(B825="","",SUBSTITUTE(SUBSTITUTE(SUBSTITUTE(SUBSTITUTE(SUBSTITUTE(SUBSTITUTE(SUBSTITUTE(SUBSTITUTE(SUBSTITUTE(SUBSTITUTE(SUBSTITUTE(SUBSTITUTE(SUBSTITUTE(UPPER(TRIM(B825)),"Á","A"),"À","A"),"Â","A"),"Ã","A"),"É","E"),"Ê","E"),"Í","I"),"Ó","O"),"Ô","O"),"Õ","O"),"Ú","U"),"Ü","U"),"Ç","C"))</f>
        <v/>
      </c>
      <c r="I825" s="28" t="str">
        <f aca="false">IF(C825="","",IF(LEN(SUBSTITUTE(SUBSTITUTE(SUBSTITUTE(SUBSTITUTE(TRIM(C825),"*",""),".",""),"-","")," ",""))=11,MID(SUBSTITUTE(SUBSTITUTE(SUBSTITUTE(SUBSTITUTE(TRIM(C825),"*",""),".",""),"-","")," ",""),4,6),SUBSTITUTE(SUBSTITUTE(SUBSTITUTE(SUBSTITUTE(TRIM(C825),"*",""),".",""),"-","")," ","")))</f>
        <v/>
      </c>
      <c r="J825" s="28" t="str">
        <f aca="false">IF(OR(H825="",I825=""),"",H825&amp;"|"&amp;I825)</f>
        <v/>
      </c>
      <c r="K825" s="19" t="str">
        <f aca="false">IF(H825="","",IF(AND(J825&lt;&gt;"",COUNTIF(Pessoas!$J:$J,J825)&gt;0),"SIM",IF(COUNTIF(Pessoas!$H:$H,H825)&gt;0,"nome igual em Pessoas: confira o CPF","")))</f>
        <v/>
      </c>
      <c r="L825" s="27"/>
      <c r="M825" s="5"/>
    </row>
    <row r="826" customFormat="false" ht="15" hidden="false" customHeight="false" outlineLevel="0" collapsed="false">
      <c r="A826" s="27"/>
      <c r="B826" s="5"/>
      <c r="C826" s="27"/>
      <c r="D826" s="18"/>
      <c r="E826" s="14"/>
      <c r="F826" s="18"/>
      <c r="G826" s="19" t="str">
        <f aca="false">IF(A826="","",IFERROR(INDEX(Empresas!$B:$B,MATCH(A826,Empresas!$A:$A,0))&amp;"","cadastre o CNPJ em Empresas"))</f>
        <v/>
      </c>
      <c r="H826" s="28" t="str">
        <f aca="false">IF(B826="","",SUBSTITUTE(SUBSTITUTE(SUBSTITUTE(SUBSTITUTE(SUBSTITUTE(SUBSTITUTE(SUBSTITUTE(SUBSTITUTE(SUBSTITUTE(SUBSTITUTE(SUBSTITUTE(SUBSTITUTE(SUBSTITUTE(UPPER(TRIM(B826)),"Á","A"),"À","A"),"Â","A"),"Ã","A"),"É","E"),"Ê","E"),"Í","I"),"Ó","O"),"Ô","O"),"Õ","O"),"Ú","U"),"Ü","U"),"Ç","C"))</f>
        <v/>
      </c>
      <c r="I826" s="28" t="str">
        <f aca="false">IF(C826="","",IF(LEN(SUBSTITUTE(SUBSTITUTE(SUBSTITUTE(SUBSTITUTE(TRIM(C826),"*",""),".",""),"-","")," ",""))=11,MID(SUBSTITUTE(SUBSTITUTE(SUBSTITUTE(SUBSTITUTE(TRIM(C826),"*",""),".",""),"-","")," ",""),4,6),SUBSTITUTE(SUBSTITUTE(SUBSTITUTE(SUBSTITUTE(TRIM(C826),"*",""),".",""),"-","")," ","")))</f>
        <v/>
      </c>
      <c r="J826" s="28" t="str">
        <f aca="false">IF(OR(H826="",I826=""),"",H826&amp;"|"&amp;I826)</f>
        <v/>
      </c>
      <c r="K826" s="19" t="str">
        <f aca="false">IF(H826="","",IF(AND(J826&lt;&gt;"",COUNTIF(Pessoas!$J:$J,J826)&gt;0),"SIM",IF(COUNTIF(Pessoas!$H:$H,H826)&gt;0,"nome igual em Pessoas: confira o CPF","")))</f>
        <v/>
      </c>
      <c r="L826" s="27"/>
      <c r="M826" s="5"/>
    </row>
    <row r="827" customFormat="false" ht="15" hidden="false" customHeight="false" outlineLevel="0" collapsed="false">
      <c r="A827" s="27"/>
      <c r="B827" s="5"/>
      <c r="C827" s="27"/>
      <c r="D827" s="18"/>
      <c r="E827" s="14"/>
      <c r="F827" s="18"/>
      <c r="G827" s="19" t="str">
        <f aca="false">IF(A827="","",IFERROR(INDEX(Empresas!$B:$B,MATCH(A827,Empresas!$A:$A,0))&amp;"","cadastre o CNPJ em Empresas"))</f>
        <v/>
      </c>
      <c r="H827" s="28" t="str">
        <f aca="false">IF(B827="","",SUBSTITUTE(SUBSTITUTE(SUBSTITUTE(SUBSTITUTE(SUBSTITUTE(SUBSTITUTE(SUBSTITUTE(SUBSTITUTE(SUBSTITUTE(SUBSTITUTE(SUBSTITUTE(SUBSTITUTE(SUBSTITUTE(UPPER(TRIM(B827)),"Á","A"),"À","A"),"Â","A"),"Ã","A"),"É","E"),"Ê","E"),"Í","I"),"Ó","O"),"Ô","O"),"Õ","O"),"Ú","U"),"Ü","U"),"Ç","C"))</f>
        <v/>
      </c>
      <c r="I827" s="28" t="str">
        <f aca="false">IF(C827="","",IF(LEN(SUBSTITUTE(SUBSTITUTE(SUBSTITUTE(SUBSTITUTE(TRIM(C827),"*",""),".",""),"-","")," ",""))=11,MID(SUBSTITUTE(SUBSTITUTE(SUBSTITUTE(SUBSTITUTE(TRIM(C827),"*",""),".",""),"-","")," ",""),4,6),SUBSTITUTE(SUBSTITUTE(SUBSTITUTE(SUBSTITUTE(TRIM(C827),"*",""),".",""),"-","")," ","")))</f>
        <v/>
      </c>
      <c r="J827" s="28" t="str">
        <f aca="false">IF(OR(H827="",I827=""),"",H827&amp;"|"&amp;I827)</f>
        <v/>
      </c>
      <c r="K827" s="19" t="str">
        <f aca="false">IF(H827="","",IF(AND(J827&lt;&gt;"",COUNTIF(Pessoas!$J:$J,J827)&gt;0),"SIM",IF(COUNTIF(Pessoas!$H:$H,H827)&gt;0,"nome igual em Pessoas: confira o CPF","")))</f>
        <v/>
      </c>
      <c r="L827" s="27"/>
      <c r="M827" s="5"/>
    </row>
    <row r="828" customFormat="false" ht="15" hidden="false" customHeight="false" outlineLevel="0" collapsed="false">
      <c r="A828" s="27"/>
      <c r="B828" s="5"/>
      <c r="C828" s="27"/>
      <c r="D828" s="18"/>
      <c r="E828" s="14"/>
      <c r="F828" s="18"/>
      <c r="G828" s="19" t="str">
        <f aca="false">IF(A828="","",IFERROR(INDEX(Empresas!$B:$B,MATCH(A828,Empresas!$A:$A,0))&amp;"","cadastre o CNPJ em Empresas"))</f>
        <v/>
      </c>
      <c r="H828" s="28" t="str">
        <f aca="false">IF(B828="","",SUBSTITUTE(SUBSTITUTE(SUBSTITUTE(SUBSTITUTE(SUBSTITUTE(SUBSTITUTE(SUBSTITUTE(SUBSTITUTE(SUBSTITUTE(SUBSTITUTE(SUBSTITUTE(SUBSTITUTE(SUBSTITUTE(UPPER(TRIM(B828)),"Á","A"),"À","A"),"Â","A"),"Ã","A"),"É","E"),"Ê","E"),"Í","I"),"Ó","O"),"Ô","O"),"Õ","O"),"Ú","U"),"Ü","U"),"Ç","C"))</f>
        <v/>
      </c>
      <c r="I828" s="28" t="str">
        <f aca="false">IF(C828="","",IF(LEN(SUBSTITUTE(SUBSTITUTE(SUBSTITUTE(SUBSTITUTE(TRIM(C828),"*",""),".",""),"-","")," ",""))=11,MID(SUBSTITUTE(SUBSTITUTE(SUBSTITUTE(SUBSTITUTE(TRIM(C828),"*",""),".",""),"-","")," ",""),4,6),SUBSTITUTE(SUBSTITUTE(SUBSTITUTE(SUBSTITUTE(TRIM(C828),"*",""),".",""),"-","")," ","")))</f>
        <v/>
      </c>
      <c r="J828" s="28" t="str">
        <f aca="false">IF(OR(H828="",I828=""),"",H828&amp;"|"&amp;I828)</f>
        <v/>
      </c>
      <c r="K828" s="19" t="str">
        <f aca="false">IF(H828="","",IF(AND(J828&lt;&gt;"",COUNTIF(Pessoas!$J:$J,J828)&gt;0),"SIM",IF(COUNTIF(Pessoas!$H:$H,H828)&gt;0,"nome igual em Pessoas: confira o CPF","")))</f>
        <v/>
      </c>
      <c r="L828" s="27"/>
      <c r="M828" s="5"/>
    </row>
    <row r="829" customFormat="false" ht="15" hidden="false" customHeight="false" outlineLevel="0" collapsed="false">
      <c r="A829" s="27"/>
      <c r="B829" s="5"/>
      <c r="C829" s="27"/>
      <c r="D829" s="18"/>
      <c r="E829" s="14"/>
      <c r="F829" s="18"/>
      <c r="G829" s="19" t="str">
        <f aca="false">IF(A829="","",IFERROR(INDEX(Empresas!$B:$B,MATCH(A829,Empresas!$A:$A,0))&amp;"","cadastre o CNPJ em Empresas"))</f>
        <v/>
      </c>
      <c r="H829" s="28" t="str">
        <f aca="false">IF(B829="","",SUBSTITUTE(SUBSTITUTE(SUBSTITUTE(SUBSTITUTE(SUBSTITUTE(SUBSTITUTE(SUBSTITUTE(SUBSTITUTE(SUBSTITUTE(SUBSTITUTE(SUBSTITUTE(SUBSTITUTE(SUBSTITUTE(UPPER(TRIM(B829)),"Á","A"),"À","A"),"Â","A"),"Ã","A"),"É","E"),"Ê","E"),"Í","I"),"Ó","O"),"Ô","O"),"Õ","O"),"Ú","U"),"Ü","U"),"Ç","C"))</f>
        <v/>
      </c>
      <c r="I829" s="28" t="str">
        <f aca="false">IF(C829="","",IF(LEN(SUBSTITUTE(SUBSTITUTE(SUBSTITUTE(SUBSTITUTE(TRIM(C829),"*",""),".",""),"-","")," ",""))=11,MID(SUBSTITUTE(SUBSTITUTE(SUBSTITUTE(SUBSTITUTE(TRIM(C829),"*",""),".",""),"-","")," ",""),4,6),SUBSTITUTE(SUBSTITUTE(SUBSTITUTE(SUBSTITUTE(TRIM(C829),"*",""),".",""),"-","")," ","")))</f>
        <v/>
      </c>
      <c r="J829" s="28" t="str">
        <f aca="false">IF(OR(H829="",I829=""),"",H829&amp;"|"&amp;I829)</f>
        <v/>
      </c>
      <c r="K829" s="19" t="str">
        <f aca="false">IF(H829="","",IF(AND(J829&lt;&gt;"",COUNTIF(Pessoas!$J:$J,J829)&gt;0),"SIM",IF(COUNTIF(Pessoas!$H:$H,H829)&gt;0,"nome igual em Pessoas: confira o CPF","")))</f>
        <v/>
      </c>
      <c r="L829" s="27"/>
      <c r="M829" s="5"/>
    </row>
    <row r="830" customFormat="false" ht="15" hidden="false" customHeight="false" outlineLevel="0" collapsed="false">
      <c r="A830" s="27"/>
      <c r="B830" s="5"/>
      <c r="C830" s="27"/>
      <c r="D830" s="18"/>
      <c r="E830" s="14"/>
      <c r="F830" s="18"/>
      <c r="G830" s="19" t="str">
        <f aca="false">IF(A830="","",IFERROR(INDEX(Empresas!$B:$B,MATCH(A830,Empresas!$A:$A,0))&amp;"","cadastre o CNPJ em Empresas"))</f>
        <v/>
      </c>
      <c r="H830" s="28" t="str">
        <f aca="false">IF(B830="","",SUBSTITUTE(SUBSTITUTE(SUBSTITUTE(SUBSTITUTE(SUBSTITUTE(SUBSTITUTE(SUBSTITUTE(SUBSTITUTE(SUBSTITUTE(SUBSTITUTE(SUBSTITUTE(SUBSTITUTE(SUBSTITUTE(UPPER(TRIM(B830)),"Á","A"),"À","A"),"Â","A"),"Ã","A"),"É","E"),"Ê","E"),"Í","I"),"Ó","O"),"Ô","O"),"Õ","O"),"Ú","U"),"Ü","U"),"Ç","C"))</f>
        <v/>
      </c>
      <c r="I830" s="28" t="str">
        <f aca="false">IF(C830="","",IF(LEN(SUBSTITUTE(SUBSTITUTE(SUBSTITUTE(SUBSTITUTE(TRIM(C830),"*",""),".",""),"-","")," ",""))=11,MID(SUBSTITUTE(SUBSTITUTE(SUBSTITUTE(SUBSTITUTE(TRIM(C830),"*",""),".",""),"-","")," ",""),4,6),SUBSTITUTE(SUBSTITUTE(SUBSTITUTE(SUBSTITUTE(TRIM(C830),"*",""),".",""),"-","")," ","")))</f>
        <v/>
      </c>
      <c r="J830" s="28" t="str">
        <f aca="false">IF(OR(H830="",I830=""),"",H830&amp;"|"&amp;I830)</f>
        <v/>
      </c>
      <c r="K830" s="19" t="str">
        <f aca="false">IF(H830="","",IF(AND(J830&lt;&gt;"",COUNTIF(Pessoas!$J:$J,J830)&gt;0),"SIM",IF(COUNTIF(Pessoas!$H:$H,H830)&gt;0,"nome igual em Pessoas: confira o CPF","")))</f>
        <v/>
      </c>
      <c r="L830" s="27"/>
      <c r="M830" s="5"/>
    </row>
    <row r="831" customFormat="false" ht="15" hidden="false" customHeight="false" outlineLevel="0" collapsed="false">
      <c r="A831" s="27"/>
      <c r="B831" s="5"/>
      <c r="C831" s="27"/>
      <c r="D831" s="18"/>
      <c r="E831" s="14"/>
      <c r="F831" s="18"/>
      <c r="G831" s="19" t="str">
        <f aca="false">IF(A831="","",IFERROR(INDEX(Empresas!$B:$B,MATCH(A831,Empresas!$A:$A,0))&amp;"","cadastre o CNPJ em Empresas"))</f>
        <v/>
      </c>
      <c r="H831" s="28" t="str">
        <f aca="false">IF(B831="","",SUBSTITUTE(SUBSTITUTE(SUBSTITUTE(SUBSTITUTE(SUBSTITUTE(SUBSTITUTE(SUBSTITUTE(SUBSTITUTE(SUBSTITUTE(SUBSTITUTE(SUBSTITUTE(SUBSTITUTE(SUBSTITUTE(UPPER(TRIM(B831)),"Á","A"),"À","A"),"Â","A"),"Ã","A"),"É","E"),"Ê","E"),"Í","I"),"Ó","O"),"Ô","O"),"Õ","O"),"Ú","U"),"Ü","U"),"Ç","C"))</f>
        <v/>
      </c>
      <c r="I831" s="28" t="str">
        <f aca="false">IF(C831="","",IF(LEN(SUBSTITUTE(SUBSTITUTE(SUBSTITUTE(SUBSTITUTE(TRIM(C831),"*",""),".",""),"-","")," ",""))=11,MID(SUBSTITUTE(SUBSTITUTE(SUBSTITUTE(SUBSTITUTE(TRIM(C831),"*",""),".",""),"-","")," ",""),4,6),SUBSTITUTE(SUBSTITUTE(SUBSTITUTE(SUBSTITUTE(TRIM(C831),"*",""),".",""),"-","")," ","")))</f>
        <v/>
      </c>
      <c r="J831" s="28" t="str">
        <f aca="false">IF(OR(H831="",I831=""),"",H831&amp;"|"&amp;I831)</f>
        <v/>
      </c>
      <c r="K831" s="19" t="str">
        <f aca="false">IF(H831="","",IF(AND(J831&lt;&gt;"",COUNTIF(Pessoas!$J:$J,J831)&gt;0),"SIM",IF(COUNTIF(Pessoas!$H:$H,H831)&gt;0,"nome igual em Pessoas: confira o CPF","")))</f>
        <v/>
      </c>
      <c r="L831" s="27"/>
      <c r="M831" s="5"/>
    </row>
    <row r="832" customFormat="false" ht="15" hidden="false" customHeight="false" outlineLevel="0" collapsed="false">
      <c r="A832" s="27"/>
      <c r="B832" s="5"/>
      <c r="C832" s="27"/>
      <c r="D832" s="18"/>
      <c r="E832" s="14"/>
      <c r="F832" s="18"/>
      <c r="G832" s="19" t="str">
        <f aca="false">IF(A832="","",IFERROR(INDEX(Empresas!$B:$B,MATCH(A832,Empresas!$A:$A,0))&amp;"","cadastre o CNPJ em Empresas"))</f>
        <v/>
      </c>
      <c r="H832" s="28" t="str">
        <f aca="false">IF(B832="","",SUBSTITUTE(SUBSTITUTE(SUBSTITUTE(SUBSTITUTE(SUBSTITUTE(SUBSTITUTE(SUBSTITUTE(SUBSTITUTE(SUBSTITUTE(SUBSTITUTE(SUBSTITUTE(SUBSTITUTE(SUBSTITUTE(UPPER(TRIM(B832)),"Á","A"),"À","A"),"Â","A"),"Ã","A"),"É","E"),"Ê","E"),"Í","I"),"Ó","O"),"Ô","O"),"Õ","O"),"Ú","U"),"Ü","U"),"Ç","C"))</f>
        <v/>
      </c>
      <c r="I832" s="28" t="str">
        <f aca="false">IF(C832="","",IF(LEN(SUBSTITUTE(SUBSTITUTE(SUBSTITUTE(SUBSTITUTE(TRIM(C832),"*",""),".",""),"-","")," ",""))=11,MID(SUBSTITUTE(SUBSTITUTE(SUBSTITUTE(SUBSTITUTE(TRIM(C832),"*",""),".",""),"-","")," ",""),4,6),SUBSTITUTE(SUBSTITUTE(SUBSTITUTE(SUBSTITUTE(TRIM(C832),"*",""),".",""),"-","")," ","")))</f>
        <v/>
      </c>
      <c r="J832" s="28" t="str">
        <f aca="false">IF(OR(H832="",I832=""),"",H832&amp;"|"&amp;I832)</f>
        <v/>
      </c>
      <c r="K832" s="19" t="str">
        <f aca="false">IF(H832="","",IF(AND(J832&lt;&gt;"",COUNTIF(Pessoas!$J:$J,J832)&gt;0),"SIM",IF(COUNTIF(Pessoas!$H:$H,H832)&gt;0,"nome igual em Pessoas: confira o CPF","")))</f>
        <v/>
      </c>
      <c r="L832" s="27"/>
      <c r="M832" s="5"/>
    </row>
    <row r="833" customFormat="false" ht="15" hidden="false" customHeight="false" outlineLevel="0" collapsed="false">
      <c r="A833" s="27"/>
      <c r="B833" s="5"/>
      <c r="C833" s="27"/>
      <c r="D833" s="18"/>
      <c r="E833" s="14"/>
      <c r="F833" s="18"/>
      <c r="G833" s="19" t="str">
        <f aca="false">IF(A833="","",IFERROR(INDEX(Empresas!$B:$B,MATCH(A833,Empresas!$A:$A,0))&amp;"","cadastre o CNPJ em Empresas"))</f>
        <v/>
      </c>
      <c r="H833" s="28" t="str">
        <f aca="false">IF(B833="","",SUBSTITUTE(SUBSTITUTE(SUBSTITUTE(SUBSTITUTE(SUBSTITUTE(SUBSTITUTE(SUBSTITUTE(SUBSTITUTE(SUBSTITUTE(SUBSTITUTE(SUBSTITUTE(SUBSTITUTE(SUBSTITUTE(UPPER(TRIM(B833)),"Á","A"),"À","A"),"Â","A"),"Ã","A"),"É","E"),"Ê","E"),"Í","I"),"Ó","O"),"Ô","O"),"Õ","O"),"Ú","U"),"Ü","U"),"Ç","C"))</f>
        <v/>
      </c>
      <c r="I833" s="28" t="str">
        <f aca="false">IF(C833="","",IF(LEN(SUBSTITUTE(SUBSTITUTE(SUBSTITUTE(SUBSTITUTE(TRIM(C833),"*",""),".",""),"-","")," ",""))=11,MID(SUBSTITUTE(SUBSTITUTE(SUBSTITUTE(SUBSTITUTE(TRIM(C833),"*",""),".",""),"-","")," ",""),4,6),SUBSTITUTE(SUBSTITUTE(SUBSTITUTE(SUBSTITUTE(TRIM(C833),"*",""),".",""),"-","")," ","")))</f>
        <v/>
      </c>
      <c r="J833" s="28" t="str">
        <f aca="false">IF(OR(H833="",I833=""),"",H833&amp;"|"&amp;I833)</f>
        <v/>
      </c>
      <c r="K833" s="19" t="str">
        <f aca="false">IF(H833="","",IF(AND(J833&lt;&gt;"",COUNTIF(Pessoas!$J:$J,J833)&gt;0),"SIM",IF(COUNTIF(Pessoas!$H:$H,H833)&gt;0,"nome igual em Pessoas: confira o CPF","")))</f>
        <v/>
      </c>
      <c r="L833" s="27"/>
      <c r="M833" s="5"/>
    </row>
    <row r="834" customFormat="false" ht="15" hidden="false" customHeight="false" outlineLevel="0" collapsed="false">
      <c r="A834" s="27"/>
      <c r="B834" s="5"/>
      <c r="C834" s="27"/>
      <c r="D834" s="18"/>
      <c r="E834" s="14"/>
      <c r="F834" s="18"/>
      <c r="G834" s="19" t="str">
        <f aca="false">IF(A834="","",IFERROR(INDEX(Empresas!$B:$B,MATCH(A834,Empresas!$A:$A,0))&amp;"","cadastre o CNPJ em Empresas"))</f>
        <v/>
      </c>
      <c r="H834" s="28" t="str">
        <f aca="false">IF(B834="","",SUBSTITUTE(SUBSTITUTE(SUBSTITUTE(SUBSTITUTE(SUBSTITUTE(SUBSTITUTE(SUBSTITUTE(SUBSTITUTE(SUBSTITUTE(SUBSTITUTE(SUBSTITUTE(SUBSTITUTE(SUBSTITUTE(UPPER(TRIM(B834)),"Á","A"),"À","A"),"Â","A"),"Ã","A"),"É","E"),"Ê","E"),"Í","I"),"Ó","O"),"Ô","O"),"Õ","O"),"Ú","U"),"Ü","U"),"Ç","C"))</f>
        <v/>
      </c>
      <c r="I834" s="28" t="str">
        <f aca="false">IF(C834="","",IF(LEN(SUBSTITUTE(SUBSTITUTE(SUBSTITUTE(SUBSTITUTE(TRIM(C834),"*",""),".",""),"-","")," ",""))=11,MID(SUBSTITUTE(SUBSTITUTE(SUBSTITUTE(SUBSTITUTE(TRIM(C834),"*",""),".",""),"-","")," ",""),4,6),SUBSTITUTE(SUBSTITUTE(SUBSTITUTE(SUBSTITUTE(TRIM(C834),"*",""),".",""),"-","")," ","")))</f>
        <v/>
      </c>
      <c r="J834" s="28" t="str">
        <f aca="false">IF(OR(H834="",I834=""),"",H834&amp;"|"&amp;I834)</f>
        <v/>
      </c>
      <c r="K834" s="19" t="str">
        <f aca="false">IF(H834="","",IF(AND(J834&lt;&gt;"",COUNTIF(Pessoas!$J:$J,J834)&gt;0),"SIM",IF(COUNTIF(Pessoas!$H:$H,H834)&gt;0,"nome igual em Pessoas: confira o CPF","")))</f>
        <v/>
      </c>
      <c r="L834" s="27"/>
      <c r="M834" s="5"/>
    </row>
    <row r="835" customFormat="false" ht="15" hidden="false" customHeight="false" outlineLevel="0" collapsed="false">
      <c r="A835" s="27"/>
      <c r="B835" s="5"/>
      <c r="C835" s="27"/>
      <c r="D835" s="18"/>
      <c r="E835" s="14"/>
      <c r="F835" s="18"/>
      <c r="G835" s="19" t="str">
        <f aca="false">IF(A835="","",IFERROR(INDEX(Empresas!$B:$B,MATCH(A835,Empresas!$A:$A,0))&amp;"","cadastre o CNPJ em Empresas"))</f>
        <v/>
      </c>
      <c r="H835" s="28" t="str">
        <f aca="false">IF(B835="","",SUBSTITUTE(SUBSTITUTE(SUBSTITUTE(SUBSTITUTE(SUBSTITUTE(SUBSTITUTE(SUBSTITUTE(SUBSTITUTE(SUBSTITUTE(SUBSTITUTE(SUBSTITUTE(SUBSTITUTE(SUBSTITUTE(UPPER(TRIM(B835)),"Á","A"),"À","A"),"Â","A"),"Ã","A"),"É","E"),"Ê","E"),"Í","I"),"Ó","O"),"Ô","O"),"Õ","O"),"Ú","U"),"Ü","U"),"Ç","C"))</f>
        <v/>
      </c>
      <c r="I835" s="28" t="str">
        <f aca="false">IF(C835="","",IF(LEN(SUBSTITUTE(SUBSTITUTE(SUBSTITUTE(SUBSTITUTE(TRIM(C835),"*",""),".",""),"-","")," ",""))=11,MID(SUBSTITUTE(SUBSTITUTE(SUBSTITUTE(SUBSTITUTE(TRIM(C835),"*",""),".",""),"-","")," ",""),4,6),SUBSTITUTE(SUBSTITUTE(SUBSTITUTE(SUBSTITUTE(TRIM(C835),"*",""),".",""),"-","")," ","")))</f>
        <v/>
      </c>
      <c r="J835" s="28" t="str">
        <f aca="false">IF(OR(H835="",I835=""),"",H835&amp;"|"&amp;I835)</f>
        <v/>
      </c>
      <c r="K835" s="19" t="str">
        <f aca="false">IF(H835="","",IF(AND(J835&lt;&gt;"",COUNTIF(Pessoas!$J:$J,J835)&gt;0),"SIM",IF(COUNTIF(Pessoas!$H:$H,H835)&gt;0,"nome igual em Pessoas: confira o CPF","")))</f>
        <v/>
      </c>
      <c r="L835" s="27"/>
      <c r="M835" s="5"/>
    </row>
    <row r="836" customFormat="false" ht="15" hidden="false" customHeight="false" outlineLevel="0" collapsed="false">
      <c r="A836" s="27"/>
      <c r="B836" s="5"/>
      <c r="C836" s="27"/>
      <c r="D836" s="18"/>
      <c r="E836" s="14"/>
      <c r="F836" s="18"/>
      <c r="G836" s="19" t="str">
        <f aca="false">IF(A836="","",IFERROR(INDEX(Empresas!$B:$B,MATCH(A836,Empresas!$A:$A,0))&amp;"","cadastre o CNPJ em Empresas"))</f>
        <v/>
      </c>
      <c r="H836" s="28" t="str">
        <f aca="false">IF(B836="","",SUBSTITUTE(SUBSTITUTE(SUBSTITUTE(SUBSTITUTE(SUBSTITUTE(SUBSTITUTE(SUBSTITUTE(SUBSTITUTE(SUBSTITUTE(SUBSTITUTE(SUBSTITUTE(SUBSTITUTE(SUBSTITUTE(UPPER(TRIM(B836)),"Á","A"),"À","A"),"Â","A"),"Ã","A"),"É","E"),"Ê","E"),"Í","I"),"Ó","O"),"Ô","O"),"Õ","O"),"Ú","U"),"Ü","U"),"Ç","C"))</f>
        <v/>
      </c>
      <c r="I836" s="28" t="str">
        <f aca="false">IF(C836="","",IF(LEN(SUBSTITUTE(SUBSTITUTE(SUBSTITUTE(SUBSTITUTE(TRIM(C836),"*",""),".",""),"-","")," ",""))=11,MID(SUBSTITUTE(SUBSTITUTE(SUBSTITUTE(SUBSTITUTE(TRIM(C836),"*",""),".",""),"-","")," ",""),4,6),SUBSTITUTE(SUBSTITUTE(SUBSTITUTE(SUBSTITUTE(TRIM(C836),"*",""),".",""),"-","")," ","")))</f>
        <v/>
      </c>
      <c r="J836" s="28" t="str">
        <f aca="false">IF(OR(H836="",I836=""),"",H836&amp;"|"&amp;I836)</f>
        <v/>
      </c>
      <c r="K836" s="19" t="str">
        <f aca="false">IF(H836="","",IF(AND(J836&lt;&gt;"",COUNTIF(Pessoas!$J:$J,J836)&gt;0),"SIM",IF(COUNTIF(Pessoas!$H:$H,H836)&gt;0,"nome igual em Pessoas: confira o CPF","")))</f>
        <v/>
      </c>
      <c r="L836" s="27"/>
      <c r="M836" s="5"/>
    </row>
    <row r="837" customFormat="false" ht="15" hidden="false" customHeight="false" outlineLevel="0" collapsed="false">
      <c r="A837" s="27"/>
      <c r="B837" s="5"/>
      <c r="C837" s="27"/>
      <c r="D837" s="18"/>
      <c r="E837" s="14"/>
      <c r="F837" s="18"/>
      <c r="G837" s="19" t="str">
        <f aca="false">IF(A837="","",IFERROR(INDEX(Empresas!$B:$B,MATCH(A837,Empresas!$A:$A,0))&amp;"","cadastre o CNPJ em Empresas"))</f>
        <v/>
      </c>
      <c r="H837" s="28" t="str">
        <f aca="false">IF(B837="","",SUBSTITUTE(SUBSTITUTE(SUBSTITUTE(SUBSTITUTE(SUBSTITUTE(SUBSTITUTE(SUBSTITUTE(SUBSTITUTE(SUBSTITUTE(SUBSTITUTE(SUBSTITUTE(SUBSTITUTE(SUBSTITUTE(UPPER(TRIM(B837)),"Á","A"),"À","A"),"Â","A"),"Ã","A"),"É","E"),"Ê","E"),"Í","I"),"Ó","O"),"Ô","O"),"Õ","O"),"Ú","U"),"Ü","U"),"Ç","C"))</f>
        <v/>
      </c>
      <c r="I837" s="28" t="str">
        <f aca="false">IF(C837="","",IF(LEN(SUBSTITUTE(SUBSTITUTE(SUBSTITUTE(SUBSTITUTE(TRIM(C837),"*",""),".",""),"-","")," ",""))=11,MID(SUBSTITUTE(SUBSTITUTE(SUBSTITUTE(SUBSTITUTE(TRIM(C837),"*",""),".",""),"-","")," ",""),4,6),SUBSTITUTE(SUBSTITUTE(SUBSTITUTE(SUBSTITUTE(TRIM(C837),"*",""),".",""),"-","")," ","")))</f>
        <v/>
      </c>
      <c r="J837" s="28" t="str">
        <f aca="false">IF(OR(H837="",I837=""),"",H837&amp;"|"&amp;I837)</f>
        <v/>
      </c>
      <c r="K837" s="19" t="str">
        <f aca="false">IF(H837="","",IF(AND(J837&lt;&gt;"",COUNTIF(Pessoas!$J:$J,J837)&gt;0),"SIM",IF(COUNTIF(Pessoas!$H:$H,H837)&gt;0,"nome igual em Pessoas: confira o CPF","")))</f>
        <v/>
      </c>
      <c r="L837" s="27"/>
      <c r="M837" s="5"/>
    </row>
    <row r="838" customFormat="false" ht="15" hidden="false" customHeight="false" outlineLevel="0" collapsed="false">
      <c r="A838" s="27"/>
      <c r="B838" s="5"/>
      <c r="C838" s="27"/>
      <c r="D838" s="18"/>
      <c r="E838" s="14"/>
      <c r="F838" s="18"/>
      <c r="G838" s="19" t="str">
        <f aca="false">IF(A838="","",IFERROR(INDEX(Empresas!$B:$B,MATCH(A838,Empresas!$A:$A,0))&amp;"","cadastre o CNPJ em Empresas"))</f>
        <v/>
      </c>
      <c r="H838" s="28" t="str">
        <f aca="false">IF(B838="","",SUBSTITUTE(SUBSTITUTE(SUBSTITUTE(SUBSTITUTE(SUBSTITUTE(SUBSTITUTE(SUBSTITUTE(SUBSTITUTE(SUBSTITUTE(SUBSTITUTE(SUBSTITUTE(SUBSTITUTE(SUBSTITUTE(UPPER(TRIM(B838)),"Á","A"),"À","A"),"Â","A"),"Ã","A"),"É","E"),"Ê","E"),"Í","I"),"Ó","O"),"Ô","O"),"Õ","O"),"Ú","U"),"Ü","U"),"Ç","C"))</f>
        <v/>
      </c>
      <c r="I838" s="28" t="str">
        <f aca="false">IF(C838="","",IF(LEN(SUBSTITUTE(SUBSTITUTE(SUBSTITUTE(SUBSTITUTE(TRIM(C838),"*",""),".",""),"-","")," ",""))=11,MID(SUBSTITUTE(SUBSTITUTE(SUBSTITUTE(SUBSTITUTE(TRIM(C838),"*",""),".",""),"-","")," ",""),4,6),SUBSTITUTE(SUBSTITUTE(SUBSTITUTE(SUBSTITUTE(TRIM(C838),"*",""),".",""),"-","")," ","")))</f>
        <v/>
      </c>
      <c r="J838" s="28" t="str">
        <f aca="false">IF(OR(H838="",I838=""),"",H838&amp;"|"&amp;I838)</f>
        <v/>
      </c>
      <c r="K838" s="19" t="str">
        <f aca="false">IF(H838="","",IF(AND(J838&lt;&gt;"",COUNTIF(Pessoas!$J:$J,J838)&gt;0),"SIM",IF(COUNTIF(Pessoas!$H:$H,H838)&gt;0,"nome igual em Pessoas: confira o CPF","")))</f>
        <v/>
      </c>
      <c r="L838" s="27"/>
      <c r="M838" s="5"/>
    </row>
    <row r="839" customFormat="false" ht="15" hidden="false" customHeight="false" outlineLevel="0" collapsed="false">
      <c r="A839" s="27"/>
      <c r="B839" s="5"/>
      <c r="C839" s="27"/>
      <c r="D839" s="18"/>
      <c r="E839" s="14"/>
      <c r="F839" s="18"/>
      <c r="G839" s="19" t="str">
        <f aca="false">IF(A839="","",IFERROR(INDEX(Empresas!$B:$B,MATCH(A839,Empresas!$A:$A,0))&amp;"","cadastre o CNPJ em Empresas"))</f>
        <v/>
      </c>
      <c r="H839" s="28" t="str">
        <f aca="false">IF(B839="","",SUBSTITUTE(SUBSTITUTE(SUBSTITUTE(SUBSTITUTE(SUBSTITUTE(SUBSTITUTE(SUBSTITUTE(SUBSTITUTE(SUBSTITUTE(SUBSTITUTE(SUBSTITUTE(SUBSTITUTE(SUBSTITUTE(UPPER(TRIM(B839)),"Á","A"),"À","A"),"Â","A"),"Ã","A"),"É","E"),"Ê","E"),"Í","I"),"Ó","O"),"Ô","O"),"Õ","O"),"Ú","U"),"Ü","U"),"Ç","C"))</f>
        <v/>
      </c>
      <c r="I839" s="28" t="str">
        <f aca="false">IF(C839="","",IF(LEN(SUBSTITUTE(SUBSTITUTE(SUBSTITUTE(SUBSTITUTE(TRIM(C839),"*",""),".",""),"-","")," ",""))=11,MID(SUBSTITUTE(SUBSTITUTE(SUBSTITUTE(SUBSTITUTE(TRIM(C839),"*",""),".",""),"-","")," ",""),4,6),SUBSTITUTE(SUBSTITUTE(SUBSTITUTE(SUBSTITUTE(TRIM(C839),"*",""),".",""),"-","")," ","")))</f>
        <v/>
      </c>
      <c r="J839" s="28" t="str">
        <f aca="false">IF(OR(H839="",I839=""),"",H839&amp;"|"&amp;I839)</f>
        <v/>
      </c>
      <c r="K839" s="19" t="str">
        <f aca="false">IF(H839="","",IF(AND(J839&lt;&gt;"",COUNTIF(Pessoas!$J:$J,J839)&gt;0),"SIM",IF(COUNTIF(Pessoas!$H:$H,H839)&gt;0,"nome igual em Pessoas: confira o CPF","")))</f>
        <v/>
      </c>
      <c r="L839" s="27"/>
      <c r="M839" s="5"/>
    </row>
    <row r="840" customFormat="false" ht="15" hidden="false" customHeight="false" outlineLevel="0" collapsed="false">
      <c r="A840" s="27"/>
      <c r="B840" s="5"/>
      <c r="C840" s="27"/>
      <c r="D840" s="18"/>
      <c r="E840" s="14"/>
      <c r="F840" s="18"/>
      <c r="G840" s="19" t="str">
        <f aca="false">IF(A840="","",IFERROR(INDEX(Empresas!$B:$B,MATCH(A840,Empresas!$A:$A,0))&amp;"","cadastre o CNPJ em Empresas"))</f>
        <v/>
      </c>
      <c r="H840" s="28" t="str">
        <f aca="false">IF(B840="","",SUBSTITUTE(SUBSTITUTE(SUBSTITUTE(SUBSTITUTE(SUBSTITUTE(SUBSTITUTE(SUBSTITUTE(SUBSTITUTE(SUBSTITUTE(SUBSTITUTE(SUBSTITUTE(SUBSTITUTE(SUBSTITUTE(UPPER(TRIM(B840)),"Á","A"),"À","A"),"Â","A"),"Ã","A"),"É","E"),"Ê","E"),"Í","I"),"Ó","O"),"Ô","O"),"Õ","O"),"Ú","U"),"Ü","U"),"Ç","C"))</f>
        <v/>
      </c>
      <c r="I840" s="28" t="str">
        <f aca="false">IF(C840="","",IF(LEN(SUBSTITUTE(SUBSTITUTE(SUBSTITUTE(SUBSTITUTE(TRIM(C840),"*",""),".",""),"-","")," ",""))=11,MID(SUBSTITUTE(SUBSTITUTE(SUBSTITUTE(SUBSTITUTE(TRIM(C840),"*",""),".",""),"-","")," ",""),4,6),SUBSTITUTE(SUBSTITUTE(SUBSTITUTE(SUBSTITUTE(TRIM(C840),"*",""),".",""),"-","")," ","")))</f>
        <v/>
      </c>
      <c r="J840" s="28" t="str">
        <f aca="false">IF(OR(H840="",I840=""),"",H840&amp;"|"&amp;I840)</f>
        <v/>
      </c>
      <c r="K840" s="19" t="str">
        <f aca="false">IF(H840="","",IF(AND(J840&lt;&gt;"",COUNTIF(Pessoas!$J:$J,J840)&gt;0),"SIM",IF(COUNTIF(Pessoas!$H:$H,H840)&gt;0,"nome igual em Pessoas: confira o CPF","")))</f>
        <v/>
      </c>
      <c r="L840" s="27"/>
      <c r="M840" s="5"/>
    </row>
    <row r="841" customFormat="false" ht="15" hidden="false" customHeight="false" outlineLevel="0" collapsed="false">
      <c r="A841" s="27"/>
      <c r="B841" s="5"/>
      <c r="C841" s="27"/>
      <c r="D841" s="18"/>
      <c r="E841" s="14"/>
      <c r="F841" s="18"/>
      <c r="G841" s="19" t="str">
        <f aca="false">IF(A841="","",IFERROR(INDEX(Empresas!$B:$B,MATCH(A841,Empresas!$A:$A,0))&amp;"","cadastre o CNPJ em Empresas"))</f>
        <v/>
      </c>
      <c r="H841" s="28" t="str">
        <f aca="false">IF(B841="","",SUBSTITUTE(SUBSTITUTE(SUBSTITUTE(SUBSTITUTE(SUBSTITUTE(SUBSTITUTE(SUBSTITUTE(SUBSTITUTE(SUBSTITUTE(SUBSTITUTE(SUBSTITUTE(SUBSTITUTE(SUBSTITUTE(UPPER(TRIM(B841)),"Á","A"),"À","A"),"Â","A"),"Ã","A"),"É","E"),"Ê","E"),"Í","I"),"Ó","O"),"Ô","O"),"Õ","O"),"Ú","U"),"Ü","U"),"Ç","C"))</f>
        <v/>
      </c>
      <c r="I841" s="28" t="str">
        <f aca="false">IF(C841="","",IF(LEN(SUBSTITUTE(SUBSTITUTE(SUBSTITUTE(SUBSTITUTE(TRIM(C841),"*",""),".",""),"-","")," ",""))=11,MID(SUBSTITUTE(SUBSTITUTE(SUBSTITUTE(SUBSTITUTE(TRIM(C841),"*",""),".",""),"-","")," ",""),4,6),SUBSTITUTE(SUBSTITUTE(SUBSTITUTE(SUBSTITUTE(TRIM(C841),"*",""),".",""),"-","")," ","")))</f>
        <v/>
      </c>
      <c r="J841" s="28" t="str">
        <f aca="false">IF(OR(H841="",I841=""),"",H841&amp;"|"&amp;I841)</f>
        <v/>
      </c>
      <c r="K841" s="19" t="str">
        <f aca="false">IF(H841="","",IF(AND(J841&lt;&gt;"",COUNTIF(Pessoas!$J:$J,J841)&gt;0),"SIM",IF(COUNTIF(Pessoas!$H:$H,H841)&gt;0,"nome igual em Pessoas: confira o CPF","")))</f>
        <v/>
      </c>
      <c r="L841" s="27"/>
      <c r="M841" s="5"/>
    </row>
    <row r="842" customFormat="false" ht="15" hidden="false" customHeight="false" outlineLevel="0" collapsed="false">
      <c r="A842" s="27"/>
      <c r="B842" s="5"/>
      <c r="C842" s="27"/>
      <c r="D842" s="18"/>
      <c r="E842" s="14"/>
      <c r="F842" s="18"/>
      <c r="G842" s="19" t="str">
        <f aca="false">IF(A842="","",IFERROR(INDEX(Empresas!$B:$B,MATCH(A842,Empresas!$A:$A,0))&amp;"","cadastre o CNPJ em Empresas"))</f>
        <v/>
      </c>
      <c r="H842" s="28" t="str">
        <f aca="false">IF(B842="","",SUBSTITUTE(SUBSTITUTE(SUBSTITUTE(SUBSTITUTE(SUBSTITUTE(SUBSTITUTE(SUBSTITUTE(SUBSTITUTE(SUBSTITUTE(SUBSTITUTE(SUBSTITUTE(SUBSTITUTE(SUBSTITUTE(UPPER(TRIM(B842)),"Á","A"),"À","A"),"Â","A"),"Ã","A"),"É","E"),"Ê","E"),"Í","I"),"Ó","O"),"Ô","O"),"Õ","O"),"Ú","U"),"Ü","U"),"Ç","C"))</f>
        <v/>
      </c>
      <c r="I842" s="28" t="str">
        <f aca="false">IF(C842="","",IF(LEN(SUBSTITUTE(SUBSTITUTE(SUBSTITUTE(SUBSTITUTE(TRIM(C842),"*",""),".",""),"-","")," ",""))=11,MID(SUBSTITUTE(SUBSTITUTE(SUBSTITUTE(SUBSTITUTE(TRIM(C842),"*",""),".",""),"-","")," ",""),4,6),SUBSTITUTE(SUBSTITUTE(SUBSTITUTE(SUBSTITUTE(TRIM(C842),"*",""),".",""),"-","")," ","")))</f>
        <v/>
      </c>
      <c r="J842" s="28" t="str">
        <f aca="false">IF(OR(H842="",I842=""),"",H842&amp;"|"&amp;I842)</f>
        <v/>
      </c>
      <c r="K842" s="19" t="str">
        <f aca="false">IF(H842="","",IF(AND(J842&lt;&gt;"",COUNTIF(Pessoas!$J:$J,J842)&gt;0),"SIM",IF(COUNTIF(Pessoas!$H:$H,H842)&gt;0,"nome igual em Pessoas: confira o CPF","")))</f>
        <v/>
      </c>
      <c r="L842" s="27"/>
      <c r="M842" s="5"/>
    </row>
    <row r="843" customFormat="false" ht="15" hidden="false" customHeight="false" outlineLevel="0" collapsed="false">
      <c r="A843" s="27"/>
      <c r="B843" s="5"/>
      <c r="C843" s="27"/>
      <c r="D843" s="18"/>
      <c r="E843" s="14"/>
      <c r="F843" s="18"/>
      <c r="G843" s="19" t="str">
        <f aca="false">IF(A843="","",IFERROR(INDEX(Empresas!$B:$B,MATCH(A843,Empresas!$A:$A,0))&amp;"","cadastre o CNPJ em Empresas"))</f>
        <v/>
      </c>
      <c r="H843" s="28" t="str">
        <f aca="false">IF(B843="","",SUBSTITUTE(SUBSTITUTE(SUBSTITUTE(SUBSTITUTE(SUBSTITUTE(SUBSTITUTE(SUBSTITUTE(SUBSTITUTE(SUBSTITUTE(SUBSTITUTE(SUBSTITUTE(SUBSTITUTE(SUBSTITUTE(UPPER(TRIM(B843)),"Á","A"),"À","A"),"Â","A"),"Ã","A"),"É","E"),"Ê","E"),"Í","I"),"Ó","O"),"Ô","O"),"Õ","O"),"Ú","U"),"Ü","U"),"Ç","C"))</f>
        <v/>
      </c>
      <c r="I843" s="28" t="str">
        <f aca="false">IF(C843="","",IF(LEN(SUBSTITUTE(SUBSTITUTE(SUBSTITUTE(SUBSTITUTE(TRIM(C843),"*",""),".",""),"-","")," ",""))=11,MID(SUBSTITUTE(SUBSTITUTE(SUBSTITUTE(SUBSTITUTE(TRIM(C843),"*",""),".",""),"-","")," ",""),4,6),SUBSTITUTE(SUBSTITUTE(SUBSTITUTE(SUBSTITUTE(TRIM(C843),"*",""),".",""),"-","")," ","")))</f>
        <v/>
      </c>
      <c r="J843" s="28" t="str">
        <f aca="false">IF(OR(H843="",I843=""),"",H843&amp;"|"&amp;I843)</f>
        <v/>
      </c>
      <c r="K843" s="19" t="str">
        <f aca="false">IF(H843="","",IF(AND(J843&lt;&gt;"",COUNTIF(Pessoas!$J:$J,J843)&gt;0),"SIM",IF(COUNTIF(Pessoas!$H:$H,H843)&gt;0,"nome igual em Pessoas: confira o CPF","")))</f>
        <v/>
      </c>
      <c r="L843" s="27"/>
      <c r="M843" s="5"/>
    </row>
    <row r="844" customFormat="false" ht="15" hidden="false" customHeight="false" outlineLevel="0" collapsed="false">
      <c r="A844" s="27"/>
      <c r="B844" s="5"/>
      <c r="C844" s="27"/>
      <c r="D844" s="18"/>
      <c r="E844" s="14"/>
      <c r="F844" s="18"/>
      <c r="G844" s="19" t="str">
        <f aca="false">IF(A844="","",IFERROR(INDEX(Empresas!$B:$B,MATCH(A844,Empresas!$A:$A,0))&amp;"","cadastre o CNPJ em Empresas"))</f>
        <v/>
      </c>
      <c r="H844" s="28" t="str">
        <f aca="false">IF(B844="","",SUBSTITUTE(SUBSTITUTE(SUBSTITUTE(SUBSTITUTE(SUBSTITUTE(SUBSTITUTE(SUBSTITUTE(SUBSTITUTE(SUBSTITUTE(SUBSTITUTE(SUBSTITUTE(SUBSTITUTE(SUBSTITUTE(UPPER(TRIM(B844)),"Á","A"),"À","A"),"Â","A"),"Ã","A"),"É","E"),"Ê","E"),"Í","I"),"Ó","O"),"Ô","O"),"Õ","O"),"Ú","U"),"Ü","U"),"Ç","C"))</f>
        <v/>
      </c>
      <c r="I844" s="28" t="str">
        <f aca="false">IF(C844="","",IF(LEN(SUBSTITUTE(SUBSTITUTE(SUBSTITUTE(SUBSTITUTE(TRIM(C844),"*",""),".",""),"-","")," ",""))=11,MID(SUBSTITUTE(SUBSTITUTE(SUBSTITUTE(SUBSTITUTE(TRIM(C844),"*",""),".",""),"-","")," ",""),4,6),SUBSTITUTE(SUBSTITUTE(SUBSTITUTE(SUBSTITUTE(TRIM(C844),"*",""),".",""),"-","")," ","")))</f>
        <v/>
      </c>
      <c r="J844" s="28" t="str">
        <f aca="false">IF(OR(H844="",I844=""),"",H844&amp;"|"&amp;I844)</f>
        <v/>
      </c>
      <c r="K844" s="19" t="str">
        <f aca="false">IF(H844="","",IF(AND(J844&lt;&gt;"",COUNTIF(Pessoas!$J:$J,J844)&gt;0),"SIM",IF(COUNTIF(Pessoas!$H:$H,H844)&gt;0,"nome igual em Pessoas: confira o CPF","")))</f>
        <v/>
      </c>
      <c r="L844" s="27"/>
      <c r="M844" s="5"/>
    </row>
    <row r="845" customFormat="false" ht="15" hidden="false" customHeight="false" outlineLevel="0" collapsed="false">
      <c r="A845" s="27"/>
      <c r="B845" s="5"/>
      <c r="C845" s="27"/>
      <c r="D845" s="18"/>
      <c r="E845" s="14"/>
      <c r="F845" s="18"/>
      <c r="G845" s="19" t="str">
        <f aca="false">IF(A845="","",IFERROR(INDEX(Empresas!$B:$B,MATCH(A845,Empresas!$A:$A,0))&amp;"","cadastre o CNPJ em Empresas"))</f>
        <v/>
      </c>
      <c r="H845" s="28" t="str">
        <f aca="false">IF(B845="","",SUBSTITUTE(SUBSTITUTE(SUBSTITUTE(SUBSTITUTE(SUBSTITUTE(SUBSTITUTE(SUBSTITUTE(SUBSTITUTE(SUBSTITUTE(SUBSTITUTE(SUBSTITUTE(SUBSTITUTE(SUBSTITUTE(UPPER(TRIM(B845)),"Á","A"),"À","A"),"Â","A"),"Ã","A"),"É","E"),"Ê","E"),"Í","I"),"Ó","O"),"Ô","O"),"Õ","O"),"Ú","U"),"Ü","U"),"Ç","C"))</f>
        <v/>
      </c>
      <c r="I845" s="28" t="str">
        <f aca="false">IF(C845="","",IF(LEN(SUBSTITUTE(SUBSTITUTE(SUBSTITUTE(SUBSTITUTE(TRIM(C845),"*",""),".",""),"-","")," ",""))=11,MID(SUBSTITUTE(SUBSTITUTE(SUBSTITUTE(SUBSTITUTE(TRIM(C845),"*",""),".",""),"-","")," ",""),4,6),SUBSTITUTE(SUBSTITUTE(SUBSTITUTE(SUBSTITUTE(TRIM(C845),"*",""),".",""),"-","")," ","")))</f>
        <v/>
      </c>
      <c r="J845" s="28" t="str">
        <f aca="false">IF(OR(H845="",I845=""),"",H845&amp;"|"&amp;I845)</f>
        <v/>
      </c>
      <c r="K845" s="19" t="str">
        <f aca="false">IF(H845="","",IF(AND(J845&lt;&gt;"",COUNTIF(Pessoas!$J:$J,J845)&gt;0),"SIM",IF(COUNTIF(Pessoas!$H:$H,H845)&gt;0,"nome igual em Pessoas: confira o CPF","")))</f>
        <v/>
      </c>
      <c r="L845" s="27"/>
      <c r="M845" s="5"/>
    </row>
    <row r="846" customFormat="false" ht="15" hidden="false" customHeight="false" outlineLevel="0" collapsed="false">
      <c r="A846" s="27"/>
      <c r="B846" s="5"/>
      <c r="C846" s="27"/>
      <c r="D846" s="18"/>
      <c r="E846" s="14"/>
      <c r="F846" s="18"/>
      <c r="G846" s="19" t="str">
        <f aca="false">IF(A846="","",IFERROR(INDEX(Empresas!$B:$B,MATCH(A846,Empresas!$A:$A,0))&amp;"","cadastre o CNPJ em Empresas"))</f>
        <v/>
      </c>
      <c r="H846" s="28" t="str">
        <f aca="false">IF(B846="","",SUBSTITUTE(SUBSTITUTE(SUBSTITUTE(SUBSTITUTE(SUBSTITUTE(SUBSTITUTE(SUBSTITUTE(SUBSTITUTE(SUBSTITUTE(SUBSTITUTE(SUBSTITUTE(SUBSTITUTE(SUBSTITUTE(UPPER(TRIM(B846)),"Á","A"),"À","A"),"Â","A"),"Ã","A"),"É","E"),"Ê","E"),"Í","I"),"Ó","O"),"Ô","O"),"Õ","O"),"Ú","U"),"Ü","U"),"Ç","C"))</f>
        <v/>
      </c>
      <c r="I846" s="28" t="str">
        <f aca="false">IF(C846="","",IF(LEN(SUBSTITUTE(SUBSTITUTE(SUBSTITUTE(SUBSTITUTE(TRIM(C846),"*",""),".",""),"-","")," ",""))=11,MID(SUBSTITUTE(SUBSTITUTE(SUBSTITUTE(SUBSTITUTE(TRIM(C846),"*",""),".",""),"-","")," ",""),4,6),SUBSTITUTE(SUBSTITUTE(SUBSTITUTE(SUBSTITUTE(TRIM(C846),"*",""),".",""),"-","")," ","")))</f>
        <v/>
      </c>
      <c r="J846" s="28" t="str">
        <f aca="false">IF(OR(H846="",I846=""),"",H846&amp;"|"&amp;I846)</f>
        <v/>
      </c>
      <c r="K846" s="19" t="str">
        <f aca="false">IF(H846="","",IF(AND(J846&lt;&gt;"",COUNTIF(Pessoas!$J:$J,J846)&gt;0),"SIM",IF(COUNTIF(Pessoas!$H:$H,H846)&gt;0,"nome igual em Pessoas: confira o CPF","")))</f>
        <v/>
      </c>
      <c r="L846" s="27"/>
      <c r="M846" s="5"/>
    </row>
    <row r="847" customFormat="false" ht="15" hidden="false" customHeight="false" outlineLevel="0" collapsed="false">
      <c r="A847" s="27"/>
      <c r="B847" s="5"/>
      <c r="C847" s="27"/>
      <c r="D847" s="18"/>
      <c r="E847" s="14"/>
      <c r="F847" s="18"/>
      <c r="G847" s="19" t="str">
        <f aca="false">IF(A847="","",IFERROR(INDEX(Empresas!$B:$B,MATCH(A847,Empresas!$A:$A,0))&amp;"","cadastre o CNPJ em Empresas"))</f>
        <v/>
      </c>
      <c r="H847" s="28" t="str">
        <f aca="false">IF(B847="","",SUBSTITUTE(SUBSTITUTE(SUBSTITUTE(SUBSTITUTE(SUBSTITUTE(SUBSTITUTE(SUBSTITUTE(SUBSTITUTE(SUBSTITUTE(SUBSTITUTE(SUBSTITUTE(SUBSTITUTE(SUBSTITUTE(UPPER(TRIM(B847)),"Á","A"),"À","A"),"Â","A"),"Ã","A"),"É","E"),"Ê","E"),"Í","I"),"Ó","O"),"Ô","O"),"Õ","O"),"Ú","U"),"Ü","U"),"Ç","C"))</f>
        <v/>
      </c>
      <c r="I847" s="28" t="str">
        <f aca="false">IF(C847="","",IF(LEN(SUBSTITUTE(SUBSTITUTE(SUBSTITUTE(SUBSTITUTE(TRIM(C847),"*",""),".",""),"-","")," ",""))=11,MID(SUBSTITUTE(SUBSTITUTE(SUBSTITUTE(SUBSTITUTE(TRIM(C847),"*",""),".",""),"-","")," ",""),4,6),SUBSTITUTE(SUBSTITUTE(SUBSTITUTE(SUBSTITUTE(TRIM(C847),"*",""),".",""),"-","")," ","")))</f>
        <v/>
      </c>
      <c r="J847" s="28" t="str">
        <f aca="false">IF(OR(H847="",I847=""),"",H847&amp;"|"&amp;I847)</f>
        <v/>
      </c>
      <c r="K847" s="19" t="str">
        <f aca="false">IF(H847="","",IF(AND(J847&lt;&gt;"",COUNTIF(Pessoas!$J:$J,J847)&gt;0),"SIM",IF(COUNTIF(Pessoas!$H:$H,H847)&gt;0,"nome igual em Pessoas: confira o CPF","")))</f>
        <v/>
      </c>
      <c r="L847" s="27"/>
      <c r="M847" s="5"/>
    </row>
    <row r="848" customFormat="false" ht="15" hidden="false" customHeight="false" outlineLevel="0" collapsed="false">
      <c r="A848" s="27"/>
      <c r="B848" s="5"/>
      <c r="C848" s="27"/>
      <c r="D848" s="18"/>
      <c r="E848" s="14"/>
      <c r="F848" s="18"/>
      <c r="G848" s="19" t="str">
        <f aca="false">IF(A848="","",IFERROR(INDEX(Empresas!$B:$B,MATCH(A848,Empresas!$A:$A,0))&amp;"","cadastre o CNPJ em Empresas"))</f>
        <v/>
      </c>
      <c r="H848" s="28" t="str">
        <f aca="false">IF(B848="","",SUBSTITUTE(SUBSTITUTE(SUBSTITUTE(SUBSTITUTE(SUBSTITUTE(SUBSTITUTE(SUBSTITUTE(SUBSTITUTE(SUBSTITUTE(SUBSTITUTE(SUBSTITUTE(SUBSTITUTE(SUBSTITUTE(UPPER(TRIM(B848)),"Á","A"),"À","A"),"Â","A"),"Ã","A"),"É","E"),"Ê","E"),"Í","I"),"Ó","O"),"Ô","O"),"Õ","O"),"Ú","U"),"Ü","U"),"Ç","C"))</f>
        <v/>
      </c>
      <c r="I848" s="28" t="str">
        <f aca="false">IF(C848="","",IF(LEN(SUBSTITUTE(SUBSTITUTE(SUBSTITUTE(SUBSTITUTE(TRIM(C848),"*",""),".",""),"-","")," ",""))=11,MID(SUBSTITUTE(SUBSTITUTE(SUBSTITUTE(SUBSTITUTE(TRIM(C848),"*",""),".",""),"-","")," ",""),4,6),SUBSTITUTE(SUBSTITUTE(SUBSTITUTE(SUBSTITUTE(TRIM(C848),"*",""),".",""),"-","")," ","")))</f>
        <v/>
      </c>
      <c r="J848" s="28" t="str">
        <f aca="false">IF(OR(H848="",I848=""),"",H848&amp;"|"&amp;I848)</f>
        <v/>
      </c>
      <c r="K848" s="19" t="str">
        <f aca="false">IF(H848="","",IF(AND(J848&lt;&gt;"",COUNTIF(Pessoas!$J:$J,J848)&gt;0),"SIM",IF(COUNTIF(Pessoas!$H:$H,H848)&gt;0,"nome igual em Pessoas: confira o CPF","")))</f>
        <v/>
      </c>
      <c r="L848" s="27"/>
      <c r="M848" s="5"/>
    </row>
    <row r="849" customFormat="false" ht="15" hidden="false" customHeight="false" outlineLevel="0" collapsed="false">
      <c r="A849" s="27"/>
      <c r="B849" s="5"/>
      <c r="C849" s="27"/>
      <c r="D849" s="18"/>
      <c r="E849" s="14"/>
      <c r="F849" s="18"/>
      <c r="G849" s="19" t="str">
        <f aca="false">IF(A849="","",IFERROR(INDEX(Empresas!$B:$B,MATCH(A849,Empresas!$A:$A,0))&amp;"","cadastre o CNPJ em Empresas"))</f>
        <v/>
      </c>
      <c r="H849" s="28" t="str">
        <f aca="false">IF(B849="","",SUBSTITUTE(SUBSTITUTE(SUBSTITUTE(SUBSTITUTE(SUBSTITUTE(SUBSTITUTE(SUBSTITUTE(SUBSTITUTE(SUBSTITUTE(SUBSTITUTE(SUBSTITUTE(SUBSTITUTE(SUBSTITUTE(UPPER(TRIM(B849)),"Á","A"),"À","A"),"Â","A"),"Ã","A"),"É","E"),"Ê","E"),"Í","I"),"Ó","O"),"Ô","O"),"Õ","O"),"Ú","U"),"Ü","U"),"Ç","C"))</f>
        <v/>
      </c>
      <c r="I849" s="28" t="str">
        <f aca="false">IF(C849="","",IF(LEN(SUBSTITUTE(SUBSTITUTE(SUBSTITUTE(SUBSTITUTE(TRIM(C849),"*",""),".",""),"-","")," ",""))=11,MID(SUBSTITUTE(SUBSTITUTE(SUBSTITUTE(SUBSTITUTE(TRIM(C849),"*",""),".",""),"-","")," ",""),4,6),SUBSTITUTE(SUBSTITUTE(SUBSTITUTE(SUBSTITUTE(TRIM(C849),"*",""),".",""),"-","")," ","")))</f>
        <v/>
      </c>
      <c r="J849" s="28" t="str">
        <f aca="false">IF(OR(H849="",I849=""),"",H849&amp;"|"&amp;I849)</f>
        <v/>
      </c>
      <c r="K849" s="19" t="str">
        <f aca="false">IF(H849="","",IF(AND(J849&lt;&gt;"",COUNTIF(Pessoas!$J:$J,J849)&gt;0),"SIM",IF(COUNTIF(Pessoas!$H:$H,H849)&gt;0,"nome igual em Pessoas: confira o CPF","")))</f>
        <v/>
      </c>
      <c r="L849" s="27"/>
      <c r="M849" s="5"/>
    </row>
    <row r="850" customFormat="false" ht="15" hidden="false" customHeight="false" outlineLevel="0" collapsed="false">
      <c r="A850" s="27"/>
      <c r="B850" s="5"/>
      <c r="C850" s="27"/>
      <c r="D850" s="18"/>
      <c r="E850" s="14"/>
      <c r="F850" s="18"/>
      <c r="G850" s="19" t="str">
        <f aca="false">IF(A850="","",IFERROR(INDEX(Empresas!$B:$B,MATCH(A850,Empresas!$A:$A,0))&amp;"","cadastre o CNPJ em Empresas"))</f>
        <v/>
      </c>
      <c r="H850" s="28" t="str">
        <f aca="false">IF(B850="","",SUBSTITUTE(SUBSTITUTE(SUBSTITUTE(SUBSTITUTE(SUBSTITUTE(SUBSTITUTE(SUBSTITUTE(SUBSTITUTE(SUBSTITUTE(SUBSTITUTE(SUBSTITUTE(SUBSTITUTE(SUBSTITUTE(UPPER(TRIM(B850)),"Á","A"),"À","A"),"Â","A"),"Ã","A"),"É","E"),"Ê","E"),"Í","I"),"Ó","O"),"Ô","O"),"Õ","O"),"Ú","U"),"Ü","U"),"Ç","C"))</f>
        <v/>
      </c>
      <c r="I850" s="28" t="str">
        <f aca="false">IF(C850="","",IF(LEN(SUBSTITUTE(SUBSTITUTE(SUBSTITUTE(SUBSTITUTE(TRIM(C850),"*",""),".",""),"-","")," ",""))=11,MID(SUBSTITUTE(SUBSTITUTE(SUBSTITUTE(SUBSTITUTE(TRIM(C850),"*",""),".",""),"-","")," ",""),4,6),SUBSTITUTE(SUBSTITUTE(SUBSTITUTE(SUBSTITUTE(TRIM(C850),"*",""),".",""),"-","")," ","")))</f>
        <v/>
      </c>
      <c r="J850" s="28" t="str">
        <f aca="false">IF(OR(H850="",I850=""),"",H850&amp;"|"&amp;I850)</f>
        <v/>
      </c>
      <c r="K850" s="19" t="str">
        <f aca="false">IF(H850="","",IF(AND(J850&lt;&gt;"",COUNTIF(Pessoas!$J:$J,J850)&gt;0),"SIM",IF(COUNTIF(Pessoas!$H:$H,H850)&gt;0,"nome igual em Pessoas: confira o CPF","")))</f>
        <v/>
      </c>
      <c r="L850" s="27"/>
      <c r="M850" s="5"/>
    </row>
    <row r="851" customFormat="false" ht="15" hidden="false" customHeight="false" outlineLevel="0" collapsed="false">
      <c r="A851" s="27"/>
      <c r="B851" s="5"/>
      <c r="C851" s="27"/>
      <c r="D851" s="18"/>
      <c r="E851" s="14"/>
      <c r="F851" s="18"/>
      <c r="G851" s="19" t="str">
        <f aca="false">IF(A851="","",IFERROR(INDEX(Empresas!$B:$B,MATCH(A851,Empresas!$A:$A,0))&amp;"","cadastre o CNPJ em Empresas"))</f>
        <v/>
      </c>
      <c r="H851" s="28" t="str">
        <f aca="false">IF(B851="","",SUBSTITUTE(SUBSTITUTE(SUBSTITUTE(SUBSTITUTE(SUBSTITUTE(SUBSTITUTE(SUBSTITUTE(SUBSTITUTE(SUBSTITUTE(SUBSTITUTE(SUBSTITUTE(SUBSTITUTE(SUBSTITUTE(UPPER(TRIM(B851)),"Á","A"),"À","A"),"Â","A"),"Ã","A"),"É","E"),"Ê","E"),"Í","I"),"Ó","O"),"Ô","O"),"Õ","O"),"Ú","U"),"Ü","U"),"Ç","C"))</f>
        <v/>
      </c>
      <c r="I851" s="28" t="str">
        <f aca="false">IF(C851="","",IF(LEN(SUBSTITUTE(SUBSTITUTE(SUBSTITUTE(SUBSTITUTE(TRIM(C851),"*",""),".",""),"-","")," ",""))=11,MID(SUBSTITUTE(SUBSTITUTE(SUBSTITUTE(SUBSTITUTE(TRIM(C851),"*",""),".",""),"-","")," ",""),4,6),SUBSTITUTE(SUBSTITUTE(SUBSTITUTE(SUBSTITUTE(TRIM(C851),"*",""),".",""),"-","")," ","")))</f>
        <v/>
      </c>
      <c r="J851" s="28" t="str">
        <f aca="false">IF(OR(H851="",I851=""),"",H851&amp;"|"&amp;I851)</f>
        <v/>
      </c>
      <c r="K851" s="19" t="str">
        <f aca="false">IF(H851="","",IF(AND(J851&lt;&gt;"",COUNTIF(Pessoas!$J:$J,J851)&gt;0),"SIM",IF(COUNTIF(Pessoas!$H:$H,H851)&gt;0,"nome igual em Pessoas: confira o CPF","")))</f>
        <v/>
      </c>
      <c r="L851" s="27"/>
      <c r="M851" s="5"/>
    </row>
    <row r="852" customFormat="false" ht="15" hidden="false" customHeight="false" outlineLevel="0" collapsed="false">
      <c r="A852" s="27"/>
      <c r="B852" s="5"/>
      <c r="C852" s="27"/>
      <c r="D852" s="18"/>
      <c r="E852" s="14"/>
      <c r="F852" s="18"/>
      <c r="G852" s="19" t="str">
        <f aca="false">IF(A852="","",IFERROR(INDEX(Empresas!$B:$B,MATCH(A852,Empresas!$A:$A,0))&amp;"","cadastre o CNPJ em Empresas"))</f>
        <v/>
      </c>
      <c r="H852" s="28" t="str">
        <f aca="false">IF(B852="","",SUBSTITUTE(SUBSTITUTE(SUBSTITUTE(SUBSTITUTE(SUBSTITUTE(SUBSTITUTE(SUBSTITUTE(SUBSTITUTE(SUBSTITUTE(SUBSTITUTE(SUBSTITUTE(SUBSTITUTE(SUBSTITUTE(UPPER(TRIM(B852)),"Á","A"),"À","A"),"Â","A"),"Ã","A"),"É","E"),"Ê","E"),"Í","I"),"Ó","O"),"Ô","O"),"Õ","O"),"Ú","U"),"Ü","U"),"Ç","C"))</f>
        <v/>
      </c>
      <c r="I852" s="28" t="str">
        <f aca="false">IF(C852="","",IF(LEN(SUBSTITUTE(SUBSTITUTE(SUBSTITUTE(SUBSTITUTE(TRIM(C852),"*",""),".",""),"-","")," ",""))=11,MID(SUBSTITUTE(SUBSTITUTE(SUBSTITUTE(SUBSTITUTE(TRIM(C852),"*",""),".",""),"-","")," ",""),4,6),SUBSTITUTE(SUBSTITUTE(SUBSTITUTE(SUBSTITUTE(TRIM(C852),"*",""),".",""),"-","")," ","")))</f>
        <v/>
      </c>
      <c r="J852" s="28" t="str">
        <f aca="false">IF(OR(H852="",I852=""),"",H852&amp;"|"&amp;I852)</f>
        <v/>
      </c>
      <c r="K852" s="19" t="str">
        <f aca="false">IF(H852="","",IF(AND(J852&lt;&gt;"",COUNTIF(Pessoas!$J:$J,J852)&gt;0),"SIM",IF(COUNTIF(Pessoas!$H:$H,H852)&gt;0,"nome igual em Pessoas: confira o CPF","")))</f>
        <v/>
      </c>
      <c r="L852" s="27"/>
      <c r="M852" s="5"/>
    </row>
    <row r="853" customFormat="false" ht="15" hidden="false" customHeight="false" outlineLevel="0" collapsed="false">
      <c r="A853" s="27"/>
      <c r="B853" s="5"/>
      <c r="C853" s="27"/>
      <c r="D853" s="18"/>
      <c r="E853" s="14"/>
      <c r="F853" s="18"/>
      <c r="G853" s="19" t="str">
        <f aca="false">IF(A853="","",IFERROR(INDEX(Empresas!$B:$B,MATCH(A853,Empresas!$A:$A,0))&amp;"","cadastre o CNPJ em Empresas"))</f>
        <v/>
      </c>
      <c r="H853" s="28" t="str">
        <f aca="false">IF(B853="","",SUBSTITUTE(SUBSTITUTE(SUBSTITUTE(SUBSTITUTE(SUBSTITUTE(SUBSTITUTE(SUBSTITUTE(SUBSTITUTE(SUBSTITUTE(SUBSTITUTE(SUBSTITUTE(SUBSTITUTE(SUBSTITUTE(UPPER(TRIM(B853)),"Á","A"),"À","A"),"Â","A"),"Ã","A"),"É","E"),"Ê","E"),"Í","I"),"Ó","O"),"Ô","O"),"Õ","O"),"Ú","U"),"Ü","U"),"Ç","C"))</f>
        <v/>
      </c>
      <c r="I853" s="28" t="str">
        <f aca="false">IF(C853="","",IF(LEN(SUBSTITUTE(SUBSTITUTE(SUBSTITUTE(SUBSTITUTE(TRIM(C853),"*",""),".",""),"-","")," ",""))=11,MID(SUBSTITUTE(SUBSTITUTE(SUBSTITUTE(SUBSTITUTE(TRIM(C853),"*",""),".",""),"-","")," ",""),4,6),SUBSTITUTE(SUBSTITUTE(SUBSTITUTE(SUBSTITUTE(TRIM(C853),"*",""),".",""),"-","")," ","")))</f>
        <v/>
      </c>
      <c r="J853" s="28" t="str">
        <f aca="false">IF(OR(H853="",I853=""),"",H853&amp;"|"&amp;I853)</f>
        <v/>
      </c>
      <c r="K853" s="19" t="str">
        <f aca="false">IF(H853="","",IF(AND(J853&lt;&gt;"",COUNTIF(Pessoas!$J:$J,J853)&gt;0),"SIM",IF(COUNTIF(Pessoas!$H:$H,H853)&gt;0,"nome igual em Pessoas: confira o CPF","")))</f>
        <v/>
      </c>
      <c r="L853" s="27"/>
      <c r="M853" s="5"/>
    </row>
    <row r="854" customFormat="false" ht="15" hidden="false" customHeight="false" outlineLevel="0" collapsed="false">
      <c r="A854" s="27"/>
      <c r="B854" s="5"/>
      <c r="C854" s="27"/>
      <c r="D854" s="18"/>
      <c r="E854" s="14"/>
      <c r="F854" s="18"/>
      <c r="G854" s="19" t="str">
        <f aca="false">IF(A854="","",IFERROR(INDEX(Empresas!$B:$B,MATCH(A854,Empresas!$A:$A,0))&amp;"","cadastre o CNPJ em Empresas"))</f>
        <v/>
      </c>
      <c r="H854" s="28" t="str">
        <f aca="false">IF(B854="","",SUBSTITUTE(SUBSTITUTE(SUBSTITUTE(SUBSTITUTE(SUBSTITUTE(SUBSTITUTE(SUBSTITUTE(SUBSTITUTE(SUBSTITUTE(SUBSTITUTE(SUBSTITUTE(SUBSTITUTE(SUBSTITUTE(UPPER(TRIM(B854)),"Á","A"),"À","A"),"Â","A"),"Ã","A"),"É","E"),"Ê","E"),"Í","I"),"Ó","O"),"Ô","O"),"Õ","O"),"Ú","U"),"Ü","U"),"Ç","C"))</f>
        <v/>
      </c>
      <c r="I854" s="28" t="str">
        <f aca="false">IF(C854="","",IF(LEN(SUBSTITUTE(SUBSTITUTE(SUBSTITUTE(SUBSTITUTE(TRIM(C854),"*",""),".",""),"-","")," ",""))=11,MID(SUBSTITUTE(SUBSTITUTE(SUBSTITUTE(SUBSTITUTE(TRIM(C854),"*",""),".",""),"-","")," ",""),4,6),SUBSTITUTE(SUBSTITUTE(SUBSTITUTE(SUBSTITUTE(TRIM(C854),"*",""),".",""),"-","")," ","")))</f>
        <v/>
      </c>
      <c r="J854" s="28" t="str">
        <f aca="false">IF(OR(H854="",I854=""),"",H854&amp;"|"&amp;I854)</f>
        <v/>
      </c>
      <c r="K854" s="19" t="str">
        <f aca="false">IF(H854="","",IF(AND(J854&lt;&gt;"",COUNTIF(Pessoas!$J:$J,J854)&gt;0),"SIM",IF(COUNTIF(Pessoas!$H:$H,H854)&gt;0,"nome igual em Pessoas: confira o CPF","")))</f>
        <v/>
      </c>
      <c r="L854" s="27"/>
      <c r="M854" s="5"/>
    </row>
    <row r="855" customFormat="false" ht="15" hidden="false" customHeight="false" outlineLevel="0" collapsed="false">
      <c r="A855" s="27"/>
      <c r="B855" s="5"/>
      <c r="C855" s="27"/>
      <c r="D855" s="18"/>
      <c r="E855" s="14"/>
      <c r="F855" s="18"/>
      <c r="G855" s="19" t="str">
        <f aca="false">IF(A855="","",IFERROR(INDEX(Empresas!$B:$B,MATCH(A855,Empresas!$A:$A,0))&amp;"","cadastre o CNPJ em Empresas"))</f>
        <v/>
      </c>
      <c r="H855" s="28" t="str">
        <f aca="false">IF(B855="","",SUBSTITUTE(SUBSTITUTE(SUBSTITUTE(SUBSTITUTE(SUBSTITUTE(SUBSTITUTE(SUBSTITUTE(SUBSTITUTE(SUBSTITUTE(SUBSTITUTE(SUBSTITUTE(SUBSTITUTE(SUBSTITUTE(UPPER(TRIM(B855)),"Á","A"),"À","A"),"Â","A"),"Ã","A"),"É","E"),"Ê","E"),"Í","I"),"Ó","O"),"Ô","O"),"Õ","O"),"Ú","U"),"Ü","U"),"Ç","C"))</f>
        <v/>
      </c>
      <c r="I855" s="28" t="str">
        <f aca="false">IF(C855="","",IF(LEN(SUBSTITUTE(SUBSTITUTE(SUBSTITUTE(SUBSTITUTE(TRIM(C855),"*",""),".",""),"-","")," ",""))=11,MID(SUBSTITUTE(SUBSTITUTE(SUBSTITUTE(SUBSTITUTE(TRIM(C855),"*",""),".",""),"-","")," ",""),4,6),SUBSTITUTE(SUBSTITUTE(SUBSTITUTE(SUBSTITUTE(TRIM(C855),"*",""),".",""),"-","")," ","")))</f>
        <v/>
      </c>
      <c r="J855" s="28" t="str">
        <f aca="false">IF(OR(H855="",I855=""),"",H855&amp;"|"&amp;I855)</f>
        <v/>
      </c>
      <c r="K855" s="19" t="str">
        <f aca="false">IF(H855="","",IF(AND(J855&lt;&gt;"",COUNTIF(Pessoas!$J:$J,J855)&gt;0),"SIM",IF(COUNTIF(Pessoas!$H:$H,H855)&gt;0,"nome igual em Pessoas: confira o CPF","")))</f>
        <v/>
      </c>
      <c r="L855" s="27"/>
      <c r="M855" s="5"/>
    </row>
    <row r="856" customFormat="false" ht="15" hidden="false" customHeight="false" outlineLevel="0" collapsed="false">
      <c r="A856" s="27"/>
      <c r="B856" s="5"/>
      <c r="C856" s="27"/>
      <c r="D856" s="18"/>
      <c r="E856" s="14"/>
      <c r="F856" s="18"/>
      <c r="G856" s="19" t="str">
        <f aca="false">IF(A856="","",IFERROR(INDEX(Empresas!$B:$B,MATCH(A856,Empresas!$A:$A,0))&amp;"","cadastre o CNPJ em Empresas"))</f>
        <v/>
      </c>
      <c r="H856" s="28" t="str">
        <f aca="false">IF(B856="","",SUBSTITUTE(SUBSTITUTE(SUBSTITUTE(SUBSTITUTE(SUBSTITUTE(SUBSTITUTE(SUBSTITUTE(SUBSTITUTE(SUBSTITUTE(SUBSTITUTE(SUBSTITUTE(SUBSTITUTE(SUBSTITUTE(UPPER(TRIM(B856)),"Á","A"),"À","A"),"Â","A"),"Ã","A"),"É","E"),"Ê","E"),"Í","I"),"Ó","O"),"Ô","O"),"Õ","O"),"Ú","U"),"Ü","U"),"Ç","C"))</f>
        <v/>
      </c>
      <c r="I856" s="28" t="str">
        <f aca="false">IF(C856="","",IF(LEN(SUBSTITUTE(SUBSTITUTE(SUBSTITUTE(SUBSTITUTE(TRIM(C856),"*",""),".",""),"-","")," ",""))=11,MID(SUBSTITUTE(SUBSTITUTE(SUBSTITUTE(SUBSTITUTE(TRIM(C856),"*",""),".",""),"-","")," ",""),4,6),SUBSTITUTE(SUBSTITUTE(SUBSTITUTE(SUBSTITUTE(TRIM(C856),"*",""),".",""),"-","")," ","")))</f>
        <v/>
      </c>
      <c r="J856" s="28" t="str">
        <f aca="false">IF(OR(H856="",I856=""),"",H856&amp;"|"&amp;I856)</f>
        <v/>
      </c>
      <c r="K856" s="19" t="str">
        <f aca="false">IF(H856="","",IF(AND(J856&lt;&gt;"",COUNTIF(Pessoas!$J:$J,J856)&gt;0),"SIM",IF(COUNTIF(Pessoas!$H:$H,H856)&gt;0,"nome igual em Pessoas: confira o CPF","")))</f>
        <v/>
      </c>
      <c r="L856" s="27"/>
      <c r="M856" s="5"/>
    </row>
    <row r="857" customFormat="false" ht="15" hidden="false" customHeight="false" outlineLevel="0" collapsed="false">
      <c r="A857" s="27"/>
      <c r="B857" s="5"/>
      <c r="C857" s="27"/>
      <c r="D857" s="18"/>
      <c r="E857" s="14"/>
      <c r="F857" s="18"/>
      <c r="G857" s="19" t="str">
        <f aca="false">IF(A857="","",IFERROR(INDEX(Empresas!$B:$B,MATCH(A857,Empresas!$A:$A,0))&amp;"","cadastre o CNPJ em Empresas"))</f>
        <v/>
      </c>
      <c r="H857" s="28" t="str">
        <f aca="false">IF(B857="","",SUBSTITUTE(SUBSTITUTE(SUBSTITUTE(SUBSTITUTE(SUBSTITUTE(SUBSTITUTE(SUBSTITUTE(SUBSTITUTE(SUBSTITUTE(SUBSTITUTE(SUBSTITUTE(SUBSTITUTE(SUBSTITUTE(UPPER(TRIM(B857)),"Á","A"),"À","A"),"Â","A"),"Ã","A"),"É","E"),"Ê","E"),"Í","I"),"Ó","O"),"Ô","O"),"Õ","O"),"Ú","U"),"Ü","U"),"Ç","C"))</f>
        <v/>
      </c>
      <c r="I857" s="28" t="str">
        <f aca="false">IF(C857="","",IF(LEN(SUBSTITUTE(SUBSTITUTE(SUBSTITUTE(SUBSTITUTE(TRIM(C857),"*",""),".",""),"-","")," ",""))=11,MID(SUBSTITUTE(SUBSTITUTE(SUBSTITUTE(SUBSTITUTE(TRIM(C857),"*",""),".",""),"-","")," ",""),4,6),SUBSTITUTE(SUBSTITUTE(SUBSTITUTE(SUBSTITUTE(TRIM(C857),"*",""),".",""),"-","")," ","")))</f>
        <v/>
      </c>
      <c r="J857" s="28" t="str">
        <f aca="false">IF(OR(H857="",I857=""),"",H857&amp;"|"&amp;I857)</f>
        <v/>
      </c>
      <c r="K857" s="19" t="str">
        <f aca="false">IF(H857="","",IF(AND(J857&lt;&gt;"",COUNTIF(Pessoas!$J:$J,J857)&gt;0),"SIM",IF(COUNTIF(Pessoas!$H:$H,H857)&gt;0,"nome igual em Pessoas: confira o CPF","")))</f>
        <v/>
      </c>
      <c r="L857" s="27"/>
      <c r="M857" s="5"/>
    </row>
    <row r="858" customFormat="false" ht="15" hidden="false" customHeight="false" outlineLevel="0" collapsed="false">
      <c r="A858" s="27"/>
      <c r="B858" s="5"/>
      <c r="C858" s="27"/>
      <c r="D858" s="18"/>
      <c r="E858" s="14"/>
      <c r="F858" s="18"/>
      <c r="G858" s="19" t="str">
        <f aca="false">IF(A858="","",IFERROR(INDEX(Empresas!$B:$B,MATCH(A858,Empresas!$A:$A,0))&amp;"","cadastre o CNPJ em Empresas"))</f>
        <v/>
      </c>
      <c r="H858" s="28" t="str">
        <f aca="false">IF(B858="","",SUBSTITUTE(SUBSTITUTE(SUBSTITUTE(SUBSTITUTE(SUBSTITUTE(SUBSTITUTE(SUBSTITUTE(SUBSTITUTE(SUBSTITUTE(SUBSTITUTE(SUBSTITUTE(SUBSTITUTE(SUBSTITUTE(UPPER(TRIM(B858)),"Á","A"),"À","A"),"Â","A"),"Ã","A"),"É","E"),"Ê","E"),"Í","I"),"Ó","O"),"Ô","O"),"Õ","O"),"Ú","U"),"Ü","U"),"Ç","C"))</f>
        <v/>
      </c>
      <c r="I858" s="28" t="str">
        <f aca="false">IF(C858="","",IF(LEN(SUBSTITUTE(SUBSTITUTE(SUBSTITUTE(SUBSTITUTE(TRIM(C858),"*",""),".",""),"-","")," ",""))=11,MID(SUBSTITUTE(SUBSTITUTE(SUBSTITUTE(SUBSTITUTE(TRIM(C858),"*",""),".",""),"-","")," ",""),4,6),SUBSTITUTE(SUBSTITUTE(SUBSTITUTE(SUBSTITUTE(TRIM(C858),"*",""),".",""),"-","")," ","")))</f>
        <v/>
      </c>
      <c r="J858" s="28" t="str">
        <f aca="false">IF(OR(H858="",I858=""),"",H858&amp;"|"&amp;I858)</f>
        <v/>
      </c>
      <c r="K858" s="19" t="str">
        <f aca="false">IF(H858="","",IF(AND(J858&lt;&gt;"",COUNTIF(Pessoas!$J:$J,J858)&gt;0),"SIM",IF(COUNTIF(Pessoas!$H:$H,H858)&gt;0,"nome igual em Pessoas: confira o CPF","")))</f>
        <v/>
      </c>
      <c r="L858" s="27"/>
      <c r="M858" s="5"/>
    </row>
    <row r="859" customFormat="false" ht="15" hidden="false" customHeight="false" outlineLevel="0" collapsed="false">
      <c r="A859" s="27"/>
      <c r="B859" s="5"/>
      <c r="C859" s="27"/>
      <c r="D859" s="18"/>
      <c r="E859" s="14"/>
      <c r="F859" s="18"/>
      <c r="G859" s="19" t="str">
        <f aca="false">IF(A859="","",IFERROR(INDEX(Empresas!$B:$B,MATCH(A859,Empresas!$A:$A,0))&amp;"","cadastre o CNPJ em Empresas"))</f>
        <v/>
      </c>
      <c r="H859" s="28" t="str">
        <f aca="false">IF(B859="","",SUBSTITUTE(SUBSTITUTE(SUBSTITUTE(SUBSTITUTE(SUBSTITUTE(SUBSTITUTE(SUBSTITUTE(SUBSTITUTE(SUBSTITUTE(SUBSTITUTE(SUBSTITUTE(SUBSTITUTE(SUBSTITUTE(UPPER(TRIM(B859)),"Á","A"),"À","A"),"Â","A"),"Ã","A"),"É","E"),"Ê","E"),"Í","I"),"Ó","O"),"Ô","O"),"Õ","O"),"Ú","U"),"Ü","U"),"Ç","C"))</f>
        <v/>
      </c>
      <c r="I859" s="28" t="str">
        <f aca="false">IF(C859="","",IF(LEN(SUBSTITUTE(SUBSTITUTE(SUBSTITUTE(SUBSTITUTE(TRIM(C859),"*",""),".",""),"-","")," ",""))=11,MID(SUBSTITUTE(SUBSTITUTE(SUBSTITUTE(SUBSTITUTE(TRIM(C859),"*",""),".",""),"-","")," ",""),4,6),SUBSTITUTE(SUBSTITUTE(SUBSTITUTE(SUBSTITUTE(TRIM(C859),"*",""),".",""),"-","")," ","")))</f>
        <v/>
      </c>
      <c r="J859" s="28" t="str">
        <f aca="false">IF(OR(H859="",I859=""),"",H859&amp;"|"&amp;I859)</f>
        <v/>
      </c>
      <c r="K859" s="19" t="str">
        <f aca="false">IF(H859="","",IF(AND(J859&lt;&gt;"",COUNTIF(Pessoas!$J:$J,J859)&gt;0),"SIM",IF(COUNTIF(Pessoas!$H:$H,H859)&gt;0,"nome igual em Pessoas: confira o CPF","")))</f>
        <v/>
      </c>
      <c r="L859" s="27"/>
      <c r="M859" s="5"/>
    </row>
    <row r="860" customFormat="false" ht="15" hidden="false" customHeight="false" outlineLevel="0" collapsed="false">
      <c r="A860" s="27"/>
      <c r="B860" s="5"/>
      <c r="C860" s="27"/>
      <c r="D860" s="18"/>
      <c r="E860" s="14"/>
      <c r="F860" s="18"/>
      <c r="G860" s="19" t="str">
        <f aca="false">IF(A860="","",IFERROR(INDEX(Empresas!$B:$B,MATCH(A860,Empresas!$A:$A,0))&amp;"","cadastre o CNPJ em Empresas"))</f>
        <v/>
      </c>
      <c r="H860" s="28" t="str">
        <f aca="false">IF(B860="","",SUBSTITUTE(SUBSTITUTE(SUBSTITUTE(SUBSTITUTE(SUBSTITUTE(SUBSTITUTE(SUBSTITUTE(SUBSTITUTE(SUBSTITUTE(SUBSTITUTE(SUBSTITUTE(SUBSTITUTE(SUBSTITUTE(UPPER(TRIM(B860)),"Á","A"),"À","A"),"Â","A"),"Ã","A"),"É","E"),"Ê","E"),"Í","I"),"Ó","O"),"Ô","O"),"Õ","O"),"Ú","U"),"Ü","U"),"Ç","C"))</f>
        <v/>
      </c>
      <c r="I860" s="28" t="str">
        <f aca="false">IF(C860="","",IF(LEN(SUBSTITUTE(SUBSTITUTE(SUBSTITUTE(SUBSTITUTE(TRIM(C860),"*",""),".",""),"-","")," ",""))=11,MID(SUBSTITUTE(SUBSTITUTE(SUBSTITUTE(SUBSTITUTE(TRIM(C860),"*",""),".",""),"-","")," ",""),4,6),SUBSTITUTE(SUBSTITUTE(SUBSTITUTE(SUBSTITUTE(TRIM(C860),"*",""),".",""),"-","")," ","")))</f>
        <v/>
      </c>
      <c r="J860" s="28" t="str">
        <f aca="false">IF(OR(H860="",I860=""),"",H860&amp;"|"&amp;I860)</f>
        <v/>
      </c>
      <c r="K860" s="19" t="str">
        <f aca="false">IF(H860="","",IF(AND(J860&lt;&gt;"",COUNTIF(Pessoas!$J:$J,J860)&gt;0),"SIM",IF(COUNTIF(Pessoas!$H:$H,H860)&gt;0,"nome igual em Pessoas: confira o CPF","")))</f>
        <v/>
      </c>
      <c r="L860" s="27"/>
      <c r="M860" s="5"/>
    </row>
    <row r="861" customFormat="false" ht="15" hidden="false" customHeight="false" outlineLevel="0" collapsed="false">
      <c r="A861" s="27"/>
      <c r="B861" s="5"/>
      <c r="C861" s="27"/>
      <c r="D861" s="18"/>
      <c r="E861" s="14"/>
      <c r="F861" s="18"/>
      <c r="G861" s="19" t="str">
        <f aca="false">IF(A861="","",IFERROR(INDEX(Empresas!$B:$B,MATCH(A861,Empresas!$A:$A,0))&amp;"","cadastre o CNPJ em Empresas"))</f>
        <v/>
      </c>
      <c r="H861" s="28" t="str">
        <f aca="false">IF(B861="","",SUBSTITUTE(SUBSTITUTE(SUBSTITUTE(SUBSTITUTE(SUBSTITUTE(SUBSTITUTE(SUBSTITUTE(SUBSTITUTE(SUBSTITUTE(SUBSTITUTE(SUBSTITUTE(SUBSTITUTE(SUBSTITUTE(UPPER(TRIM(B861)),"Á","A"),"À","A"),"Â","A"),"Ã","A"),"É","E"),"Ê","E"),"Í","I"),"Ó","O"),"Ô","O"),"Õ","O"),"Ú","U"),"Ü","U"),"Ç","C"))</f>
        <v/>
      </c>
      <c r="I861" s="28" t="str">
        <f aca="false">IF(C861="","",IF(LEN(SUBSTITUTE(SUBSTITUTE(SUBSTITUTE(SUBSTITUTE(TRIM(C861),"*",""),".",""),"-","")," ",""))=11,MID(SUBSTITUTE(SUBSTITUTE(SUBSTITUTE(SUBSTITUTE(TRIM(C861),"*",""),".",""),"-","")," ",""),4,6),SUBSTITUTE(SUBSTITUTE(SUBSTITUTE(SUBSTITUTE(TRIM(C861),"*",""),".",""),"-","")," ","")))</f>
        <v/>
      </c>
      <c r="J861" s="28" t="str">
        <f aca="false">IF(OR(H861="",I861=""),"",H861&amp;"|"&amp;I861)</f>
        <v/>
      </c>
      <c r="K861" s="19" t="str">
        <f aca="false">IF(H861="","",IF(AND(J861&lt;&gt;"",COUNTIF(Pessoas!$J:$J,J861)&gt;0),"SIM",IF(COUNTIF(Pessoas!$H:$H,H861)&gt;0,"nome igual em Pessoas: confira o CPF","")))</f>
        <v/>
      </c>
      <c r="L861" s="27"/>
      <c r="M861" s="5"/>
    </row>
    <row r="862" customFormat="false" ht="15" hidden="false" customHeight="false" outlineLevel="0" collapsed="false">
      <c r="A862" s="27"/>
      <c r="B862" s="5"/>
      <c r="C862" s="27"/>
      <c r="D862" s="18"/>
      <c r="E862" s="14"/>
      <c r="F862" s="18"/>
      <c r="G862" s="19" t="str">
        <f aca="false">IF(A862="","",IFERROR(INDEX(Empresas!$B:$B,MATCH(A862,Empresas!$A:$A,0))&amp;"","cadastre o CNPJ em Empresas"))</f>
        <v/>
      </c>
      <c r="H862" s="28" t="str">
        <f aca="false">IF(B862="","",SUBSTITUTE(SUBSTITUTE(SUBSTITUTE(SUBSTITUTE(SUBSTITUTE(SUBSTITUTE(SUBSTITUTE(SUBSTITUTE(SUBSTITUTE(SUBSTITUTE(SUBSTITUTE(SUBSTITUTE(SUBSTITUTE(UPPER(TRIM(B862)),"Á","A"),"À","A"),"Â","A"),"Ã","A"),"É","E"),"Ê","E"),"Í","I"),"Ó","O"),"Ô","O"),"Õ","O"),"Ú","U"),"Ü","U"),"Ç","C"))</f>
        <v/>
      </c>
      <c r="I862" s="28" t="str">
        <f aca="false">IF(C862="","",IF(LEN(SUBSTITUTE(SUBSTITUTE(SUBSTITUTE(SUBSTITUTE(TRIM(C862),"*",""),".",""),"-","")," ",""))=11,MID(SUBSTITUTE(SUBSTITUTE(SUBSTITUTE(SUBSTITUTE(TRIM(C862),"*",""),".",""),"-","")," ",""),4,6),SUBSTITUTE(SUBSTITUTE(SUBSTITUTE(SUBSTITUTE(TRIM(C862),"*",""),".",""),"-","")," ","")))</f>
        <v/>
      </c>
      <c r="J862" s="28" t="str">
        <f aca="false">IF(OR(H862="",I862=""),"",H862&amp;"|"&amp;I862)</f>
        <v/>
      </c>
      <c r="K862" s="19" t="str">
        <f aca="false">IF(H862="","",IF(AND(J862&lt;&gt;"",COUNTIF(Pessoas!$J:$J,J862)&gt;0),"SIM",IF(COUNTIF(Pessoas!$H:$H,H862)&gt;0,"nome igual em Pessoas: confira o CPF","")))</f>
        <v/>
      </c>
      <c r="L862" s="27"/>
      <c r="M862" s="5"/>
    </row>
    <row r="863" customFormat="false" ht="15" hidden="false" customHeight="false" outlineLevel="0" collapsed="false">
      <c r="A863" s="27"/>
      <c r="B863" s="5"/>
      <c r="C863" s="27"/>
      <c r="D863" s="18"/>
      <c r="E863" s="14"/>
      <c r="F863" s="18"/>
      <c r="G863" s="19" t="str">
        <f aca="false">IF(A863="","",IFERROR(INDEX(Empresas!$B:$B,MATCH(A863,Empresas!$A:$A,0))&amp;"","cadastre o CNPJ em Empresas"))</f>
        <v/>
      </c>
      <c r="H863" s="28" t="str">
        <f aca="false">IF(B863="","",SUBSTITUTE(SUBSTITUTE(SUBSTITUTE(SUBSTITUTE(SUBSTITUTE(SUBSTITUTE(SUBSTITUTE(SUBSTITUTE(SUBSTITUTE(SUBSTITUTE(SUBSTITUTE(SUBSTITUTE(SUBSTITUTE(UPPER(TRIM(B863)),"Á","A"),"À","A"),"Â","A"),"Ã","A"),"É","E"),"Ê","E"),"Í","I"),"Ó","O"),"Ô","O"),"Õ","O"),"Ú","U"),"Ü","U"),"Ç","C"))</f>
        <v/>
      </c>
      <c r="I863" s="28" t="str">
        <f aca="false">IF(C863="","",IF(LEN(SUBSTITUTE(SUBSTITUTE(SUBSTITUTE(SUBSTITUTE(TRIM(C863),"*",""),".",""),"-","")," ",""))=11,MID(SUBSTITUTE(SUBSTITUTE(SUBSTITUTE(SUBSTITUTE(TRIM(C863),"*",""),".",""),"-","")," ",""),4,6),SUBSTITUTE(SUBSTITUTE(SUBSTITUTE(SUBSTITUTE(TRIM(C863),"*",""),".",""),"-","")," ","")))</f>
        <v/>
      </c>
      <c r="J863" s="28" t="str">
        <f aca="false">IF(OR(H863="",I863=""),"",H863&amp;"|"&amp;I863)</f>
        <v/>
      </c>
      <c r="K863" s="19" t="str">
        <f aca="false">IF(H863="","",IF(AND(J863&lt;&gt;"",COUNTIF(Pessoas!$J:$J,J863)&gt;0),"SIM",IF(COUNTIF(Pessoas!$H:$H,H863)&gt;0,"nome igual em Pessoas: confira o CPF","")))</f>
        <v/>
      </c>
      <c r="L863" s="27"/>
      <c r="M863" s="5"/>
    </row>
    <row r="864" customFormat="false" ht="15" hidden="false" customHeight="false" outlineLevel="0" collapsed="false">
      <c r="A864" s="27"/>
      <c r="B864" s="5"/>
      <c r="C864" s="27"/>
      <c r="D864" s="18"/>
      <c r="E864" s="14"/>
      <c r="F864" s="18"/>
      <c r="G864" s="19" t="str">
        <f aca="false">IF(A864="","",IFERROR(INDEX(Empresas!$B:$B,MATCH(A864,Empresas!$A:$A,0))&amp;"","cadastre o CNPJ em Empresas"))</f>
        <v/>
      </c>
      <c r="H864" s="28" t="str">
        <f aca="false">IF(B864="","",SUBSTITUTE(SUBSTITUTE(SUBSTITUTE(SUBSTITUTE(SUBSTITUTE(SUBSTITUTE(SUBSTITUTE(SUBSTITUTE(SUBSTITUTE(SUBSTITUTE(SUBSTITUTE(SUBSTITUTE(SUBSTITUTE(UPPER(TRIM(B864)),"Á","A"),"À","A"),"Â","A"),"Ã","A"),"É","E"),"Ê","E"),"Í","I"),"Ó","O"),"Ô","O"),"Õ","O"),"Ú","U"),"Ü","U"),"Ç","C"))</f>
        <v/>
      </c>
      <c r="I864" s="28" t="str">
        <f aca="false">IF(C864="","",IF(LEN(SUBSTITUTE(SUBSTITUTE(SUBSTITUTE(SUBSTITUTE(TRIM(C864),"*",""),".",""),"-","")," ",""))=11,MID(SUBSTITUTE(SUBSTITUTE(SUBSTITUTE(SUBSTITUTE(TRIM(C864),"*",""),".",""),"-","")," ",""),4,6),SUBSTITUTE(SUBSTITUTE(SUBSTITUTE(SUBSTITUTE(TRIM(C864),"*",""),".",""),"-","")," ","")))</f>
        <v/>
      </c>
      <c r="J864" s="28" t="str">
        <f aca="false">IF(OR(H864="",I864=""),"",H864&amp;"|"&amp;I864)</f>
        <v/>
      </c>
      <c r="K864" s="19" t="str">
        <f aca="false">IF(H864="","",IF(AND(J864&lt;&gt;"",COUNTIF(Pessoas!$J:$J,J864)&gt;0),"SIM",IF(COUNTIF(Pessoas!$H:$H,H864)&gt;0,"nome igual em Pessoas: confira o CPF","")))</f>
        <v/>
      </c>
      <c r="L864" s="27"/>
      <c r="M864" s="5"/>
    </row>
    <row r="865" customFormat="false" ht="15" hidden="false" customHeight="false" outlineLevel="0" collapsed="false">
      <c r="A865" s="27"/>
      <c r="B865" s="5"/>
      <c r="C865" s="27"/>
      <c r="D865" s="18"/>
      <c r="E865" s="14"/>
      <c r="F865" s="18"/>
      <c r="G865" s="19" t="str">
        <f aca="false">IF(A865="","",IFERROR(INDEX(Empresas!$B:$B,MATCH(A865,Empresas!$A:$A,0))&amp;"","cadastre o CNPJ em Empresas"))</f>
        <v/>
      </c>
      <c r="H865" s="28" t="str">
        <f aca="false">IF(B865="","",SUBSTITUTE(SUBSTITUTE(SUBSTITUTE(SUBSTITUTE(SUBSTITUTE(SUBSTITUTE(SUBSTITUTE(SUBSTITUTE(SUBSTITUTE(SUBSTITUTE(SUBSTITUTE(SUBSTITUTE(SUBSTITUTE(UPPER(TRIM(B865)),"Á","A"),"À","A"),"Â","A"),"Ã","A"),"É","E"),"Ê","E"),"Í","I"),"Ó","O"),"Ô","O"),"Õ","O"),"Ú","U"),"Ü","U"),"Ç","C"))</f>
        <v/>
      </c>
      <c r="I865" s="28" t="str">
        <f aca="false">IF(C865="","",IF(LEN(SUBSTITUTE(SUBSTITUTE(SUBSTITUTE(SUBSTITUTE(TRIM(C865),"*",""),".",""),"-","")," ",""))=11,MID(SUBSTITUTE(SUBSTITUTE(SUBSTITUTE(SUBSTITUTE(TRIM(C865),"*",""),".",""),"-","")," ",""),4,6),SUBSTITUTE(SUBSTITUTE(SUBSTITUTE(SUBSTITUTE(TRIM(C865),"*",""),".",""),"-","")," ","")))</f>
        <v/>
      </c>
      <c r="J865" s="28" t="str">
        <f aca="false">IF(OR(H865="",I865=""),"",H865&amp;"|"&amp;I865)</f>
        <v/>
      </c>
      <c r="K865" s="19" t="str">
        <f aca="false">IF(H865="","",IF(AND(J865&lt;&gt;"",COUNTIF(Pessoas!$J:$J,J865)&gt;0),"SIM",IF(COUNTIF(Pessoas!$H:$H,H865)&gt;0,"nome igual em Pessoas: confira o CPF","")))</f>
        <v/>
      </c>
      <c r="L865" s="27"/>
      <c r="M865" s="5"/>
    </row>
    <row r="866" customFormat="false" ht="15" hidden="false" customHeight="false" outlineLevel="0" collapsed="false">
      <c r="A866" s="27"/>
      <c r="B866" s="5"/>
      <c r="C866" s="27"/>
      <c r="D866" s="18"/>
      <c r="E866" s="14"/>
      <c r="F866" s="18"/>
      <c r="G866" s="19" t="str">
        <f aca="false">IF(A866="","",IFERROR(INDEX(Empresas!$B:$B,MATCH(A866,Empresas!$A:$A,0))&amp;"","cadastre o CNPJ em Empresas"))</f>
        <v/>
      </c>
      <c r="H866" s="28" t="str">
        <f aca="false">IF(B866="","",SUBSTITUTE(SUBSTITUTE(SUBSTITUTE(SUBSTITUTE(SUBSTITUTE(SUBSTITUTE(SUBSTITUTE(SUBSTITUTE(SUBSTITUTE(SUBSTITUTE(SUBSTITUTE(SUBSTITUTE(SUBSTITUTE(UPPER(TRIM(B866)),"Á","A"),"À","A"),"Â","A"),"Ã","A"),"É","E"),"Ê","E"),"Í","I"),"Ó","O"),"Ô","O"),"Õ","O"),"Ú","U"),"Ü","U"),"Ç","C"))</f>
        <v/>
      </c>
      <c r="I866" s="28" t="str">
        <f aca="false">IF(C866="","",IF(LEN(SUBSTITUTE(SUBSTITUTE(SUBSTITUTE(SUBSTITUTE(TRIM(C866),"*",""),".",""),"-","")," ",""))=11,MID(SUBSTITUTE(SUBSTITUTE(SUBSTITUTE(SUBSTITUTE(TRIM(C866),"*",""),".",""),"-","")," ",""),4,6),SUBSTITUTE(SUBSTITUTE(SUBSTITUTE(SUBSTITUTE(TRIM(C866),"*",""),".",""),"-","")," ","")))</f>
        <v/>
      </c>
      <c r="J866" s="28" t="str">
        <f aca="false">IF(OR(H866="",I866=""),"",H866&amp;"|"&amp;I866)</f>
        <v/>
      </c>
      <c r="K866" s="19" t="str">
        <f aca="false">IF(H866="","",IF(AND(J866&lt;&gt;"",COUNTIF(Pessoas!$J:$J,J866)&gt;0),"SIM",IF(COUNTIF(Pessoas!$H:$H,H866)&gt;0,"nome igual em Pessoas: confira o CPF","")))</f>
        <v/>
      </c>
      <c r="L866" s="27"/>
      <c r="M866" s="5"/>
    </row>
    <row r="867" customFormat="false" ht="15" hidden="false" customHeight="false" outlineLevel="0" collapsed="false">
      <c r="A867" s="27"/>
      <c r="B867" s="5"/>
      <c r="C867" s="27"/>
      <c r="D867" s="18"/>
      <c r="E867" s="14"/>
      <c r="F867" s="18"/>
      <c r="G867" s="19" t="str">
        <f aca="false">IF(A867="","",IFERROR(INDEX(Empresas!$B:$B,MATCH(A867,Empresas!$A:$A,0))&amp;"","cadastre o CNPJ em Empresas"))</f>
        <v/>
      </c>
      <c r="H867" s="28" t="str">
        <f aca="false">IF(B867="","",SUBSTITUTE(SUBSTITUTE(SUBSTITUTE(SUBSTITUTE(SUBSTITUTE(SUBSTITUTE(SUBSTITUTE(SUBSTITUTE(SUBSTITUTE(SUBSTITUTE(SUBSTITUTE(SUBSTITUTE(SUBSTITUTE(UPPER(TRIM(B867)),"Á","A"),"À","A"),"Â","A"),"Ã","A"),"É","E"),"Ê","E"),"Í","I"),"Ó","O"),"Ô","O"),"Õ","O"),"Ú","U"),"Ü","U"),"Ç","C"))</f>
        <v/>
      </c>
      <c r="I867" s="28" t="str">
        <f aca="false">IF(C867="","",IF(LEN(SUBSTITUTE(SUBSTITUTE(SUBSTITUTE(SUBSTITUTE(TRIM(C867),"*",""),".",""),"-","")," ",""))=11,MID(SUBSTITUTE(SUBSTITUTE(SUBSTITUTE(SUBSTITUTE(TRIM(C867),"*",""),".",""),"-","")," ",""),4,6),SUBSTITUTE(SUBSTITUTE(SUBSTITUTE(SUBSTITUTE(TRIM(C867),"*",""),".",""),"-","")," ","")))</f>
        <v/>
      </c>
      <c r="J867" s="28" t="str">
        <f aca="false">IF(OR(H867="",I867=""),"",H867&amp;"|"&amp;I867)</f>
        <v/>
      </c>
      <c r="K867" s="19" t="str">
        <f aca="false">IF(H867="","",IF(AND(J867&lt;&gt;"",COUNTIF(Pessoas!$J:$J,J867)&gt;0),"SIM",IF(COUNTIF(Pessoas!$H:$H,H867)&gt;0,"nome igual em Pessoas: confira o CPF","")))</f>
        <v/>
      </c>
      <c r="L867" s="27"/>
      <c r="M867" s="5"/>
    </row>
    <row r="868" customFormat="false" ht="15" hidden="false" customHeight="false" outlineLevel="0" collapsed="false">
      <c r="A868" s="27"/>
      <c r="B868" s="5"/>
      <c r="C868" s="27"/>
      <c r="D868" s="18"/>
      <c r="E868" s="14"/>
      <c r="F868" s="18"/>
      <c r="G868" s="19" t="str">
        <f aca="false">IF(A868="","",IFERROR(INDEX(Empresas!$B:$B,MATCH(A868,Empresas!$A:$A,0))&amp;"","cadastre o CNPJ em Empresas"))</f>
        <v/>
      </c>
      <c r="H868" s="28" t="str">
        <f aca="false">IF(B868="","",SUBSTITUTE(SUBSTITUTE(SUBSTITUTE(SUBSTITUTE(SUBSTITUTE(SUBSTITUTE(SUBSTITUTE(SUBSTITUTE(SUBSTITUTE(SUBSTITUTE(SUBSTITUTE(SUBSTITUTE(SUBSTITUTE(UPPER(TRIM(B868)),"Á","A"),"À","A"),"Â","A"),"Ã","A"),"É","E"),"Ê","E"),"Í","I"),"Ó","O"),"Ô","O"),"Õ","O"),"Ú","U"),"Ü","U"),"Ç","C"))</f>
        <v/>
      </c>
      <c r="I868" s="28" t="str">
        <f aca="false">IF(C868="","",IF(LEN(SUBSTITUTE(SUBSTITUTE(SUBSTITUTE(SUBSTITUTE(TRIM(C868),"*",""),".",""),"-","")," ",""))=11,MID(SUBSTITUTE(SUBSTITUTE(SUBSTITUTE(SUBSTITUTE(TRIM(C868),"*",""),".",""),"-","")," ",""),4,6),SUBSTITUTE(SUBSTITUTE(SUBSTITUTE(SUBSTITUTE(TRIM(C868),"*",""),".",""),"-","")," ","")))</f>
        <v/>
      </c>
      <c r="J868" s="28" t="str">
        <f aca="false">IF(OR(H868="",I868=""),"",H868&amp;"|"&amp;I868)</f>
        <v/>
      </c>
      <c r="K868" s="19" t="str">
        <f aca="false">IF(H868="","",IF(AND(J868&lt;&gt;"",COUNTIF(Pessoas!$J:$J,J868)&gt;0),"SIM",IF(COUNTIF(Pessoas!$H:$H,H868)&gt;0,"nome igual em Pessoas: confira o CPF","")))</f>
        <v/>
      </c>
      <c r="L868" s="27"/>
      <c r="M868" s="5"/>
    </row>
    <row r="869" customFormat="false" ht="15" hidden="false" customHeight="false" outlineLevel="0" collapsed="false">
      <c r="A869" s="27"/>
      <c r="B869" s="5"/>
      <c r="C869" s="27"/>
      <c r="D869" s="18"/>
      <c r="E869" s="14"/>
      <c r="F869" s="18"/>
      <c r="G869" s="19" t="str">
        <f aca="false">IF(A869="","",IFERROR(INDEX(Empresas!$B:$B,MATCH(A869,Empresas!$A:$A,0))&amp;"","cadastre o CNPJ em Empresas"))</f>
        <v/>
      </c>
      <c r="H869" s="28" t="str">
        <f aca="false">IF(B869="","",SUBSTITUTE(SUBSTITUTE(SUBSTITUTE(SUBSTITUTE(SUBSTITUTE(SUBSTITUTE(SUBSTITUTE(SUBSTITUTE(SUBSTITUTE(SUBSTITUTE(SUBSTITUTE(SUBSTITUTE(SUBSTITUTE(UPPER(TRIM(B869)),"Á","A"),"À","A"),"Â","A"),"Ã","A"),"É","E"),"Ê","E"),"Í","I"),"Ó","O"),"Ô","O"),"Õ","O"),"Ú","U"),"Ü","U"),"Ç","C"))</f>
        <v/>
      </c>
      <c r="I869" s="28" t="str">
        <f aca="false">IF(C869="","",IF(LEN(SUBSTITUTE(SUBSTITUTE(SUBSTITUTE(SUBSTITUTE(TRIM(C869),"*",""),".",""),"-","")," ",""))=11,MID(SUBSTITUTE(SUBSTITUTE(SUBSTITUTE(SUBSTITUTE(TRIM(C869),"*",""),".",""),"-","")," ",""),4,6),SUBSTITUTE(SUBSTITUTE(SUBSTITUTE(SUBSTITUTE(TRIM(C869),"*",""),".",""),"-","")," ","")))</f>
        <v/>
      </c>
      <c r="J869" s="28" t="str">
        <f aca="false">IF(OR(H869="",I869=""),"",H869&amp;"|"&amp;I869)</f>
        <v/>
      </c>
      <c r="K869" s="19" t="str">
        <f aca="false">IF(H869="","",IF(AND(J869&lt;&gt;"",COUNTIF(Pessoas!$J:$J,J869)&gt;0),"SIM",IF(COUNTIF(Pessoas!$H:$H,H869)&gt;0,"nome igual em Pessoas: confira o CPF","")))</f>
        <v/>
      </c>
      <c r="L869" s="27"/>
      <c r="M869" s="5"/>
    </row>
    <row r="870" customFormat="false" ht="15" hidden="false" customHeight="false" outlineLevel="0" collapsed="false">
      <c r="A870" s="27"/>
      <c r="B870" s="5"/>
      <c r="C870" s="27"/>
      <c r="D870" s="18"/>
      <c r="E870" s="14"/>
      <c r="F870" s="18"/>
      <c r="G870" s="19" t="str">
        <f aca="false">IF(A870="","",IFERROR(INDEX(Empresas!$B:$B,MATCH(A870,Empresas!$A:$A,0))&amp;"","cadastre o CNPJ em Empresas"))</f>
        <v/>
      </c>
      <c r="H870" s="28" t="str">
        <f aca="false">IF(B870="","",SUBSTITUTE(SUBSTITUTE(SUBSTITUTE(SUBSTITUTE(SUBSTITUTE(SUBSTITUTE(SUBSTITUTE(SUBSTITUTE(SUBSTITUTE(SUBSTITUTE(SUBSTITUTE(SUBSTITUTE(SUBSTITUTE(UPPER(TRIM(B870)),"Á","A"),"À","A"),"Â","A"),"Ã","A"),"É","E"),"Ê","E"),"Í","I"),"Ó","O"),"Ô","O"),"Õ","O"),"Ú","U"),"Ü","U"),"Ç","C"))</f>
        <v/>
      </c>
      <c r="I870" s="28" t="str">
        <f aca="false">IF(C870="","",IF(LEN(SUBSTITUTE(SUBSTITUTE(SUBSTITUTE(SUBSTITUTE(TRIM(C870),"*",""),".",""),"-","")," ",""))=11,MID(SUBSTITUTE(SUBSTITUTE(SUBSTITUTE(SUBSTITUTE(TRIM(C870),"*",""),".",""),"-","")," ",""),4,6),SUBSTITUTE(SUBSTITUTE(SUBSTITUTE(SUBSTITUTE(TRIM(C870),"*",""),".",""),"-","")," ","")))</f>
        <v/>
      </c>
      <c r="J870" s="28" t="str">
        <f aca="false">IF(OR(H870="",I870=""),"",H870&amp;"|"&amp;I870)</f>
        <v/>
      </c>
      <c r="K870" s="19" t="str">
        <f aca="false">IF(H870="","",IF(AND(J870&lt;&gt;"",COUNTIF(Pessoas!$J:$J,J870)&gt;0),"SIM",IF(COUNTIF(Pessoas!$H:$H,H870)&gt;0,"nome igual em Pessoas: confira o CPF","")))</f>
        <v/>
      </c>
      <c r="L870" s="27"/>
      <c r="M870" s="5"/>
    </row>
    <row r="871" customFormat="false" ht="15" hidden="false" customHeight="false" outlineLevel="0" collapsed="false">
      <c r="A871" s="27"/>
      <c r="B871" s="5"/>
      <c r="C871" s="27"/>
      <c r="D871" s="18"/>
      <c r="E871" s="14"/>
      <c r="F871" s="18"/>
      <c r="G871" s="19" t="str">
        <f aca="false">IF(A871="","",IFERROR(INDEX(Empresas!$B:$B,MATCH(A871,Empresas!$A:$A,0))&amp;"","cadastre o CNPJ em Empresas"))</f>
        <v/>
      </c>
      <c r="H871" s="28" t="str">
        <f aca="false">IF(B871="","",SUBSTITUTE(SUBSTITUTE(SUBSTITUTE(SUBSTITUTE(SUBSTITUTE(SUBSTITUTE(SUBSTITUTE(SUBSTITUTE(SUBSTITUTE(SUBSTITUTE(SUBSTITUTE(SUBSTITUTE(SUBSTITUTE(UPPER(TRIM(B871)),"Á","A"),"À","A"),"Â","A"),"Ã","A"),"É","E"),"Ê","E"),"Í","I"),"Ó","O"),"Ô","O"),"Õ","O"),"Ú","U"),"Ü","U"),"Ç","C"))</f>
        <v/>
      </c>
      <c r="I871" s="28" t="str">
        <f aca="false">IF(C871="","",IF(LEN(SUBSTITUTE(SUBSTITUTE(SUBSTITUTE(SUBSTITUTE(TRIM(C871),"*",""),".",""),"-","")," ",""))=11,MID(SUBSTITUTE(SUBSTITUTE(SUBSTITUTE(SUBSTITUTE(TRIM(C871),"*",""),".",""),"-","")," ",""),4,6),SUBSTITUTE(SUBSTITUTE(SUBSTITUTE(SUBSTITUTE(TRIM(C871),"*",""),".",""),"-","")," ","")))</f>
        <v/>
      </c>
      <c r="J871" s="28" t="str">
        <f aca="false">IF(OR(H871="",I871=""),"",H871&amp;"|"&amp;I871)</f>
        <v/>
      </c>
      <c r="K871" s="19" t="str">
        <f aca="false">IF(H871="","",IF(AND(J871&lt;&gt;"",COUNTIF(Pessoas!$J:$J,J871)&gt;0),"SIM",IF(COUNTIF(Pessoas!$H:$H,H871)&gt;0,"nome igual em Pessoas: confira o CPF","")))</f>
        <v/>
      </c>
      <c r="L871" s="27"/>
      <c r="M871" s="5"/>
    </row>
    <row r="872" customFormat="false" ht="15" hidden="false" customHeight="false" outlineLevel="0" collapsed="false">
      <c r="A872" s="27"/>
      <c r="B872" s="5"/>
      <c r="C872" s="27"/>
      <c r="D872" s="18"/>
      <c r="E872" s="14"/>
      <c r="F872" s="18"/>
      <c r="G872" s="19" t="str">
        <f aca="false">IF(A872="","",IFERROR(INDEX(Empresas!$B:$B,MATCH(A872,Empresas!$A:$A,0))&amp;"","cadastre o CNPJ em Empresas"))</f>
        <v/>
      </c>
      <c r="H872" s="28" t="str">
        <f aca="false">IF(B872="","",SUBSTITUTE(SUBSTITUTE(SUBSTITUTE(SUBSTITUTE(SUBSTITUTE(SUBSTITUTE(SUBSTITUTE(SUBSTITUTE(SUBSTITUTE(SUBSTITUTE(SUBSTITUTE(SUBSTITUTE(SUBSTITUTE(UPPER(TRIM(B872)),"Á","A"),"À","A"),"Â","A"),"Ã","A"),"É","E"),"Ê","E"),"Í","I"),"Ó","O"),"Ô","O"),"Õ","O"),"Ú","U"),"Ü","U"),"Ç","C"))</f>
        <v/>
      </c>
      <c r="I872" s="28" t="str">
        <f aca="false">IF(C872="","",IF(LEN(SUBSTITUTE(SUBSTITUTE(SUBSTITUTE(SUBSTITUTE(TRIM(C872),"*",""),".",""),"-","")," ",""))=11,MID(SUBSTITUTE(SUBSTITUTE(SUBSTITUTE(SUBSTITUTE(TRIM(C872),"*",""),".",""),"-","")," ",""),4,6),SUBSTITUTE(SUBSTITUTE(SUBSTITUTE(SUBSTITUTE(TRIM(C872),"*",""),".",""),"-","")," ","")))</f>
        <v/>
      </c>
      <c r="J872" s="28" t="str">
        <f aca="false">IF(OR(H872="",I872=""),"",H872&amp;"|"&amp;I872)</f>
        <v/>
      </c>
      <c r="K872" s="19" t="str">
        <f aca="false">IF(H872="","",IF(AND(J872&lt;&gt;"",COUNTIF(Pessoas!$J:$J,J872)&gt;0),"SIM",IF(COUNTIF(Pessoas!$H:$H,H872)&gt;0,"nome igual em Pessoas: confira o CPF","")))</f>
        <v/>
      </c>
      <c r="L872" s="27"/>
      <c r="M872" s="5"/>
    </row>
    <row r="873" customFormat="false" ht="15" hidden="false" customHeight="false" outlineLevel="0" collapsed="false">
      <c r="A873" s="27"/>
      <c r="B873" s="5"/>
      <c r="C873" s="27"/>
      <c r="D873" s="18"/>
      <c r="E873" s="14"/>
      <c r="F873" s="18"/>
      <c r="G873" s="19" t="str">
        <f aca="false">IF(A873="","",IFERROR(INDEX(Empresas!$B:$B,MATCH(A873,Empresas!$A:$A,0))&amp;"","cadastre o CNPJ em Empresas"))</f>
        <v/>
      </c>
      <c r="H873" s="28" t="str">
        <f aca="false">IF(B873="","",SUBSTITUTE(SUBSTITUTE(SUBSTITUTE(SUBSTITUTE(SUBSTITUTE(SUBSTITUTE(SUBSTITUTE(SUBSTITUTE(SUBSTITUTE(SUBSTITUTE(SUBSTITUTE(SUBSTITUTE(SUBSTITUTE(UPPER(TRIM(B873)),"Á","A"),"À","A"),"Â","A"),"Ã","A"),"É","E"),"Ê","E"),"Í","I"),"Ó","O"),"Ô","O"),"Õ","O"),"Ú","U"),"Ü","U"),"Ç","C"))</f>
        <v/>
      </c>
      <c r="I873" s="28" t="str">
        <f aca="false">IF(C873="","",IF(LEN(SUBSTITUTE(SUBSTITUTE(SUBSTITUTE(SUBSTITUTE(TRIM(C873),"*",""),".",""),"-","")," ",""))=11,MID(SUBSTITUTE(SUBSTITUTE(SUBSTITUTE(SUBSTITUTE(TRIM(C873),"*",""),".",""),"-","")," ",""),4,6),SUBSTITUTE(SUBSTITUTE(SUBSTITUTE(SUBSTITUTE(TRIM(C873),"*",""),".",""),"-","")," ","")))</f>
        <v/>
      </c>
      <c r="J873" s="28" t="str">
        <f aca="false">IF(OR(H873="",I873=""),"",H873&amp;"|"&amp;I873)</f>
        <v/>
      </c>
      <c r="K873" s="19" t="str">
        <f aca="false">IF(H873="","",IF(AND(J873&lt;&gt;"",COUNTIF(Pessoas!$J:$J,J873)&gt;0),"SIM",IF(COUNTIF(Pessoas!$H:$H,H873)&gt;0,"nome igual em Pessoas: confira o CPF","")))</f>
        <v/>
      </c>
      <c r="L873" s="27"/>
      <c r="M873" s="5"/>
    </row>
    <row r="874" customFormat="false" ht="15" hidden="false" customHeight="false" outlineLevel="0" collapsed="false">
      <c r="A874" s="27"/>
      <c r="B874" s="5"/>
      <c r="C874" s="27"/>
      <c r="D874" s="18"/>
      <c r="E874" s="14"/>
      <c r="F874" s="18"/>
      <c r="G874" s="19" t="str">
        <f aca="false">IF(A874="","",IFERROR(INDEX(Empresas!$B:$B,MATCH(A874,Empresas!$A:$A,0))&amp;"","cadastre o CNPJ em Empresas"))</f>
        <v/>
      </c>
      <c r="H874" s="28" t="str">
        <f aca="false">IF(B874="","",SUBSTITUTE(SUBSTITUTE(SUBSTITUTE(SUBSTITUTE(SUBSTITUTE(SUBSTITUTE(SUBSTITUTE(SUBSTITUTE(SUBSTITUTE(SUBSTITUTE(SUBSTITUTE(SUBSTITUTE(SUBSTITUTE(UPPER(TRIM(B874)),"Á","A"),"À","A"),"Â","A"),"Ã","A"),"É","E"),"Ê","E"),"Í","I"),"Ó","O"),"Ô","O"),"Õ","O"),"Ú","U"),"Ü","U"),"Ç","C"))</f>
        <v/>
      </c>
      <c r="I874" s="28" t="str">
        <f aca="false">IF(C874="","",IF(LEN(SUBSTITUTE(SUBSTITUTE(SUBSTITUTE(SUBSTITUTE(TRIM(C874),"*",""),".",""),"-","")," ",""))=11,MID(SUBSTITUTE(SUBSTITUTE(SUBSTITUTE(SUBSTITUTE(TRIM(C874),"*",""),".",""),"-","")," ",""),4,6),SUBSTITUTE(SUBSTITUTE(SUBSTITUTE(SUBSTITUTE(TRIM(C874),"*",""),".",""),"-","")," ","")))</f>
        <v/>
      </c>
      <c r="J874" s="28" t="str">
        <f aca="false">IF(OR(H874="",I874=""),"",H874&amp;"|"&amp;I874)</f>
        <v/>
      </c>
      <c r="K874" s="19" t="str">
        <f aca="false">IF(H874="","",IF(AND(J874&lt;&gt;"",COUNTIF(Pessoas!$J:$J,J874)&gt;0),"SIM",IF(COUNTIF(Pessoas!$H:$H,H874)&gt;0,"nome igual em Pessoas: confira o CPF","")))</f>
        <v/>
      </c>
      <c r="L874" s="27"/>
      <c r="M874" s="5"/>
    </row>
    <row r="875" customFormat="false" ht="15" hidden="false" customHeight="false" outlineLevel="0" collapsed="false">
      <c r="A875" s="27"/>
      <c r="B875" s="5"/>
      <c r="C875" s="27"/>
      <c r="D875" s="18"/>
      <c r="E875" s="14"/>
      <c r="F875" s="18"/>
      <c r="G875" s="19" t="str">
        <f aca="false">IF(A875="","",IFERROR(INDEX(Empresas!$B:$B,MATCH(A875,Empresas!$A:$A,0))&amp;"","cadastre o CNPJ em Empresas"))</f>
        <v/>
      </c>
      <c r="H875" s="28" t="str">
        <f aca="false">IF(B875="","",SUBSTITUTE(SUBSTITUTE(SUBSTITUTE(SUBSTITUTE(SUBSTITUTE(SUBSTITUTE(SUBSTITUTE(SUBSTITUTE(SUBSTITUTE(SUBSTITUTE(SUBSTITUTE(SUBSTITUTE(SUBSTITUTE(UPPER(TRIM(B875)),"Á","A"),"À","A"),"Â","A"),"Ã","A"),"É","E"),"Ê","E"),"Í","I"),"Ó","O"),"Ô","O"),"Õ","O"),"Ú","U"),"Ü","U"),"Ç","C"))</f>
        <v/>
      </c>
      <c r="I875" s="28" t="str">
        <f aca="false">IF(C875="","",IF(LEN(SUBSTITUTE(SUBSTITUTE(SUBSTITUTE(SUBSTITUTE(TRIM(C875),"*",""),".",""),"-","")," ",""))=11,MID(SUBSTITUTE(SUBSTITUTE(SUBSTITUTE(SUBSTITUTE(TRIM(C875),"*",""),".",""),"-","")," ",""),4,6),SUBSTITUTE(SUBSTITUTE(SUBSTITUTE(SUBSTITUTE(TRIM(C875),"*",""),".",""),"-","")," ","")))</f>
        <v/>
      </c>
      <c r="J875" s="28" t="str">
        <f aca="false">IF(OR(H875="",I875=""),"",H875&amp;"|"&amp;I875)</f>
        <v/>
      </c>
      <c r="K875" s="19" t="str">
        <f aca="false">IF(H875="","",IF(AND(J875&lt;&gt;"",COUNTIF(Pessoas!$J:$J,J875)&gt;0),"SIM",IF(COUNTIF(Pessoas!$H:$H,H875)&gt;0,"nome igual em Pessoas: confira o CPF","")))</f>
        <v/>
      </c>
      <c r="L875" s="27"/>
      <c r="M875" s="5"/>
    </row>
    <row r="876" customFormat="false" ht="15" hidden="false" customHeight="false" outlineLevel="0" collapsed="false">
      <c r="A876" s="27"/>
      <c r="B876" s="5"/>
      <c r="C876" s="27"/>
      <c r="D876" s="18"/>
      <c r="E876" s="14"/>
      <c r="F876" s="18"/>
      <c r="G876" s="19" t="str">
        <f aca="false">IF(A876="","",IFERROR(INDEX(Empresas!$B:$B,MATCH(A876,Empresas!$A:$A,0))&amp;"","cadastre o CNPJ em Empresas"))</f>
        <v/>
      </c>
      <c r="H876" s="28" t="str">
        <f aca="false">IF(B876="","",SUBSTITUTE(SUBSTITUTE(SUBSTITUTE(SUBSTITUTE(SUBSTITUTE(SUBSTITUTE(SUBSTITUTE(SUBSTITUTE(SUBSTITUTE(SUBSTITUTE(SUBSTITUTE(SUBSTITUTE(SUBSTITUTE(UPPER(TRIM(B876)),"Á","A"),"À","A"),"Â","A"),"Ã","A"),"É","E"),"Ê","E"),"Í","I"),"Ó","O"),"Ô","O"),"Õ","O"),"Ú","U"),"Ü","U"),"Ç","C"))</f>
        <v/>
      </c>
      <c r="I876" s="28" t="str">
        <f aca="false">IF(C876="","",IF(LEN(SUBSTITUTE(SUBSTITUTE(SUBSTITUTE(SUBSTITUTE(TRIM(C876),"*",""),".",""),"-","")," ",""))=11,MID(SUBSTITUTE(SUBSTITUTE(SUBSTITUTE(SUBSTITUTE(TRIM(C876),"*",""),".",""),"-","")," ",""),4,6),SUBSTITUTE(SUBSTITUTE(SUBSTITUTE(SUBSTITUTE(TRIM(C876),"*",""),".",""),"-","")," ","")))</f>
        <v/>
      </c>
      <c r="J876" s="28" t="str">
        <f aca="false">IF(OR(H876="",I876=""),"",H876&amp;"|"&amp;I876)</f>
        <v/>
      </c>
      <c r="K876" s="19" t="str">
        <f aca="false">IF(H876="","",IF(AND(J876&lt;&gt;"",COUNTIF(Pessoas!$J:$J,J876)&gt;0),"SIM",IF(COUNTIF(Pessoas!$H:$H,H876)&gt;0,"nome igual em Pessoas: confira o CPF","")))</f>
        <v/>
      </c>
      <c r="L876" s="27"/>
      <c r="M876" s="5"/>
    </row>
    <row r="877" customFormat="false" ht="15" hidden="false" customHeight="false" outlineLevel="0" collapsed="false">
      <c r="A877" s="27"/>
      <c r="B877" s="5"/>
      <c r="C877" s="27"/>
      <c r="D877" s="18"/>
      <c r="E877" s="14"/>
      <c r="F877" s="18"/>
      <c r="G877" s="19" t="str">
        <f aca="false">IF(A877="","",IFERROR(INDEX(Empresas!$B:$B,MATCH(A877,Empresas!$A:$A,0))&amp;"","cadastre o CNPJ em Empresas"))</f>
        <v/>
      </c>
      <c r="H877" s="28" t="str">
        <f aca="false">IF(B877="","",SUBSTITUTE(SUBSTITUTE(SUBSTITUTE(SUBSTITUTE(SUBSTITUTE(SUBSTITUTE(SUBSTITUTE(SUBSTITUTE(SUBSTITUTE(SUBSTITUTE(SUBSTITUTE(SUBSTITUTE(SUBSTITUTE(UPPER(TRIM(B877)),"Á","A"),"À","A"),"Â","A"),"Ã","A"),"É","E"),"Ê","E"),"Í","I"),"Ó","O"),"Ô","O"),"Õ","O"),"Ú","U"),"Ü","U"),"Ç","C"))</f>
        <v/>
      </c>
      <c r="I877" s="28" t="str">
        <f aca="false">IF(C877="","",IF(LEN(SUBSTITUTE(SUBSTITUTE(SUBSTITUTE(SUBSTITUTE(TRIM(C877),"*",""),".",""),"-","")," ",""))=11,MID(SUBSTITUTE(SUBSTITUTE(SUBSTITUTE(SUBSTITUTE(TRIM(C877),"*",""),".",""),"-","")," ",""),4,6),SUBSTITUTE(SUBSTITUTE(SUBSTITUTE(SUBSTITUTE(TRIM(C877),"*",""),".",""),"-","")," ","")))</f>
        <v/>
      </c>
      <c r="J877" s="28" t="str">
        <f aca="false">IF(OR(H877="",I877=""),"",H877&amp;"|"&amp;I877)</f>
        <v/>
      </c>
      <c r="K877" s="19" t="str">
        <f aca="false">IF(H877="","",IF(AND(J877&lt;&gt;"",COUNTIF(Pessoas!$J:$J,J877)&gt;0),"SIM",IF(COUNTIF(Pessoas!$H:$H,H877)&gt;0,"nome igual em Pessoas: confira o CPF","")))</f>
        <v/>
      </c>
      <c r="L877" s="27"/>
      <c r="M877" s="5"/>
    </row>
    <row r="878" customFormat="false" ht="15" hidden="false" customHeight="false" outlineLevel="0" collapsed="false">
      <c r="A878" s="27"/>
      <c r="B878" s="5"/>
      <c r="C878" s="27"/>
      <c r="D878" s="18"/>
      <c r="E878" s="14"/>
      <c r="F878" s="18"/>
      <c r="G878" s="19" t="str">
        <f aca="false">IF(A878="","",IFERROR(INDEX(Empresas!$B:$B,MATCH(A878,Empresas!$A:$A,0))&amp;"","cadastre o CNPJ em Empresas"))</f>
        <v/>
      </c>
      <c r="H878" s="28" t="str">
        <f aca="false">IF(B878="","",SUBSTITUTE(SUBSTITUTE(SUBSTITUTE(SUBSTITUTE(SUBSTITUTE(SUBSTITUTE(SUBSTITUTE(SUBSTITUTE(SUBSTITUTE(SUBSTITUTE(SUBSTITUTE(SUBSTITUTE(SUBSTITUTE(UPPER(TRIM(B878)),"Á","A"),"À","A"),"Â","A"),"Ã","A"),"É","E"),"Ê","E"),"Í","I"),"Ó","O"),"Ô","O"),"Õ","O"),"Ú","U"),"Ü","U"),"Ç","C"))</f>
        <v/>
      </c>
      <c r="I878" s="28" t="str">
        <f aca="false">IF(C878="","",IF(LEN(SUBSTITUTE(SUBSTITUTE(SUBSTITUTE(SUBSTITUTE(TRIM(C878),"*",""),".",""),"-","")," ",""))=11,MID(SUBSTITUTE(SUBSTITUTE(SUBSTITUTE(SUBSTITUTE(TRIM(C878),"*",""),".",""),"-","")," ",""),4,6),SUBSTITUTE(SUBSTITUTE(SUBSTITUTE(SUBSTITUTE(TRIM(C878),"*",""),".",""),"-","")," ","")))</f>
        <v/>
      </c>
      <c r="J878" s="28" t="str">
        <f aca="false">IF(OR(H878="",I878=""),"",H878&amp;"|"&amp;I878)</f>
        <v/>
      </c>
      <c r="K878" s="19" t="str">
        <f aca="false">IF(H878="","",IF(AND(J878&lt;&gt;"",COUNTIF(Pessoas!$J:$J,J878)&gt;0),"SIM",IF(COUNTIF(Pessoas!$H:$H,H878)&gt;0,"nome igual em Pessoas: confira o CPF","")))</f>
        <v/>
      </c>
      <c r="L878" s="27"/>
      <c r="M878" s="5"/>
    </row>
    <row r="879" customFormat="false" ht="15" hidden="false" customHeight="false" outlineLevel="0" collapsed="false">
      <c r="A879" s="27"/>
      <c r="B879" s="5"/>
      <c r="C879" s="27"/>
      <c r="D879" s="18"/>
      <c r="E879" s="14"/>
      <c r="F879" s="18"/>
      <c r="G879" s="19" t="str">
        <f aca="false">IF(A879="","",IFERROR(INDEX(Empresas!$B:$B,MATCH(A879,Empresas!$A:$A,0))&amp;"","cadastre o CNPJ em Empresas"))</f>
        <v/>
      </c>
      <c r="H879" s="28" t="str">
        <f aca="false">IF(B879="","",SUBSTITUTE(SUBSTITUTE(SUBSTITUTE(SUBSTITUTE(SUBSTITUTE(SUBSTITUTE(SUBSTITUTE(SUBSTITUTE(SUBSTITUTE(SUBSTITUTE(SUBSTITUTE(SUBSTITUTE(SUBSTITUTE(UPPER(TRIM(B879)),"Á","A"),"À","A"),"Â","A"),"Ã","A"),"É","E"),"Ê","E"),"Í","I"),"Ó","O"),"Ô","O"),"Õ","O"),"Ú","U"),"Ü","U"),"Ç","C"))</f>
        <v/>
      </c>
      <c r="I879" s="28" t="str">
        <f aca="false">IF(C879="","",IF(LEN(SUBSTITUTE(SUBSTITUTE(SUBSTITUTE(SUBSTITUTE(TRIM(C879),"*",""),".",""),"-","")," ",""))=11,MID(SUBSTITUTE(SUBSTITUTE(SUBSTITUTE(SUBSTITUTE(TRIM(C879),"*",""),".",""),"-","")," ",""),4,6),SUBSTITUTE(SUBSTITUTE(SUBSTITUTE(SUBSTITUTE(TRIM(C879),"*",""),".",""),"-","")," ","")))</f>
        <v/>
      </c>
      <c r="J879" s="28" t="str">
        <f aca="false">IF(OR(H879="",I879=""),"",H879&amp;"|"&amp;I879)</f>
        <v/>
      </c>
      <c r="K879" s="19" t="str">
        <f aca="false">IF(H879="","",IF(AND(J879&lt;&gt;"",COUNTIF(Pessoas!$J:$J,J879)&gt;0),"SIM",IF(COUNTIF(Pessoas!$H:$H,H879)&gt;0,"nome igual em Pessoas: confira o CPF","")))</f>
        <v/>
      </c>
      <c r="L879" s="27"/>
      <c r="M879" s="5"/>
    </row>
    <row r="880" customFormat="false" ht="15" hidden="false" customHeight="false" outlineLevel="0" collapsed="false">
      <c r="A880" s="27"/>
      <c r="B880" s="5"/>
      <c r="C880" s="27"/>
      <c r="D880" s="18"/>
      <c r="E880" s="14"/>
      <c r="F880" s="18"/>
      <c r="G880" s="19" t="str">
        <f aca="false">IF(A880="","",IFERROR(INDEX(Empresas!$B:$B,MATCH(A880,Empresas!$A:$A,0))&amp;"","cadastre o CNPJ em Empresas"))</f>
        <v/>
      </c>
      <c r="H880" s="28" t="str">
        <f aca="false">IF(B880="","",SUBSTITUTE(SUBSTITUTE(SUBSTITUTE(SUBSTITUTE(SUBSTITUTE(SUBSTITUTE(SUBSTITUTE(SUBSTITUTE(SUBSTITUTE(SUBSTITUTE(SUBSTITUTE(SUBSTITUTE(SUBSTITUTE(UPPER(TRIM(B880)),"Á","A"),"À","A"),"Â","A"),"Ã","A"),"É","E"),"Ê","E"),"Í","I"),"Ó","O"),"Ô","O"),"Õ","O"),"Ú","U"),"Ü","U"),"Ç","C"))</f>
        <v/>
      </c>
      <c r="I880" s="28" t="str">
        <f aca="false">IF(C880="","",IF(LEN(SUBSTITUTE(SUBSTITUTE(SUBSTITUTE(SUBSTITUTE(TRIM(C880),"*",""),".",""),"-","")," ",""))=11,MID(SUBSTITUTE(SUBSTITUTE(SUBSTITUTE(SUBSTITUTE(TRIM(C880),"*",""),".",""),"-","")," ",""),4,6),SUBSTITUTE(SUBSTITUTE(SUBSTITUTE(SUBSTITUTE(TRIM(C880),"*",""),".",""),"-","")," ","")))</f>
        <v/>
      </c>
      <c r="J880" s="28" t="str">
        <f aca="false">IF(OR(H880="",I880=""),"",H880&amp;"|"&amp;I880)</f>
        <v/>
      </c>
      <c r="K880" s="19" t="str">
        <f aca="false">IF(H880="","",IF(AND(J880&lt;&gt;"",COUNTIF(Pessoas!$J:$J,J880)&gt;0),"SIM",IF(COUNTIF(Pessoas!$H:$H,H880)&gt;0,"nome igual em Pessoas: confira o CPF","")))</f>
        <v/>
      </c>
      <c r="L880" s="27"/>
      <c r="M880" s="5"/>
    </row>
    <row r="881" customFormat="false" ht="15" hidden="false" customHeight="false" outlineLevel="0" collapsed="false">
      <c r="A881" s="27"/>
      <c r="B881" s="5"/>
      <c r="C881" s="27"/>
      <c r="D881" s="18"/>
      <c r="E881" s="14"/>
      <c r="F881" s="18"/>
      <c r="G881" s="19" t="str">
        <f aca="false">IF(A881="","",IFERROR(INDEX(Empresas!$B:$B,MATCH(A881,Empresas!$A:$A,0))&amp;"","cadastre o CNPJ em Empresas"))</f>
        <v/>
      </c>
      <c r="H881" s="28" t="str">
        <f aca="false">IF(B881="","",SUBSTITUTE(SUBSTITUTE(SUBSTITUTE(SUBSTITUTE(SUBSTITUTE(SUBSTITUTE(SUBSTITUTE(SUBSTITUTE(SUBSTITUTE(SUBSTITUTE(SUBSTITUTE(SUBSTITUTE(SUBSTITUTE(UPPER(TRIM(B881)),"Á","A"),"À","A"),"Â","A"),"Ã","A"),"É","E"),"Ê","E"),"Í","I"),"Ó","O"),"Ô","O"),"Õ","O"),"Ú","U"),"Ü","U"),"Ç","C"))</f>
        <v/>
      </c>
      <c r="I881" s="28" t="str">
        <f aca="false">IF(C881="","",IF(LEN(SUBSTITUTE(SUBSTITUTE(SUBSTITUTE(SUBSTITUTE(TRIM(C881),"*",""),".",""),"-","")," ",""))=11,MID(SUBSTITUTE(SUBSTITUTE(SUBSTITUTE(SUBSTITUTE(TRIM(C881),"*",""),".",""),"-","")," ",""),4,6),SUBSTITUTE(SUBSTITUTE(SUBSTITUTE(SUBSTITUTE(TRIM(C881),"*",""),".",""),"-","")," ","")))</f>
        <v/>
      </c>
      <c r="J881" s="28" t="str">
        <f aca="false">IF(OR(H881="",I881=""),"",H881&amp;"|"&amp;I881)</f>
        <v/>
      </c>
      <c r="K881" s="19" t="str">
        <f aca="false">IF(H881="","",IF(AND(J881&lt;&gt;"",COUNTIF(Pessoas!$J:$J,J881)&gt;0),"SIM",IF(COUNTIF(Pessoas!$H:$H,H881)&gt;0,"nome igual em Pessoas: confira o CPF","")))</f>
        <v/>
      </c>
      <c r="L881" s="27"/>
      <c r="M881" s="5"/>
    </row>
    <row r="882" customFormat="false" ht="15" hidden="false" customHeight="false" outlineLevel="0" collapsed="false">
      <c r="A882" s="27"/>
      <c r="B882" s="5"/>
      <c r="C882" s="27"/>
      <c r="D882" s="18"/>
      <c r="E882" s="14"/>
      <c r="F882" s="18"/>
      <c r="G882" s="19" t="str">
        <f aca="false">IF(A882="","",IFERROR(INDEX(Empresas!$B:$B,MATCH(A882,Empresas!$A:$A,0))&amp;"","cadastre o CNPJ em Empresas"))</f>
        <v/>
      </c>
      <c r="H882" s="28" t="str">
        <f aca="false">IF(B882="","",SUBSTITUTE(SUBSTITUTE(SUBSTITUTE(SUBSTITUTE(SUBSTITUTE(SUBSTITUTE(SUBSTITUTE(SUBSTITUTE(SUBSTITUTE(SUBSTITUTE(SUBSTITUTE(SUBSTITUTE(SUBSTITUTE(UPPER(TRIM(B882)),"Á","A"),"À","A"),"Â","A"),"Ã","A"),"É","E"),"Ê","E"),"Í","I"),"Ó","O"),"Ô","O"),"Õ","O"),"Ú","U"),"Ü","U"),"Ç","C"))</f>
        <v/>
      </c>
      <c r="I882" s="28" t="str">
        <f aca="false">IF(C882="","",IF(LEN(SUBSTITUTE(SUBSTITUTE(SUBSTITUTE(SUBSTITUTE(TRIM(C882),"*",""),".",""),"-","")," ",""))=11,MID(SUBSTITUTE(SUBSTITUTE(SUBSTITUTE(SUBSTITUTE(TRIM(C882),"*",""),".",""),"-","")," ",""),4,6),SUBSTITUTE(SUBSTITUTE(SUBSTITUTE(SUBSTITUTE(TRIM(C882),"*",""),".",""),"-","")," ","")))</f>
        <v/>
      </c>
      <c r="J882" s="28" t="str">
        <f aca="false">IF(OR(H882="",I882=""),"",H882&amp;"|"&amp;I882)</f>
        <v/>
      </c>
      <c r="K882" s="19" t="str">
        <f aca="false">IF(H882="","",IF(AND(J882&lt;&gt;"",COUNTIF(Pessoas!$J:$J,J882)&gt;0),"SIM",IF(COUNTIF(Pessoas!$H:$H,H882)&gt;0,"nome igual em Pessoas: confira o CPF","")))</f>
        <v/>
      </c>
      <c r="L882" s="27"/>
      <c r="M882" s="5"/>
    </row>
    <row r="883" customFormat="false" ht="15" hidden="false" customHeight="false" outlineLevel="0" collapsed="false">
      <c r="A883" s="27"/>
      <c r="B883" s="5"/>
      <c r="C883" s="27"/>
      <c r="D883" s="18"/>
      <c r="E883" s="14"/>
      <c r="F883" s="18"/>
      <c r="G883" s="19" t="str">
        <f aca="false">IF(A883="","",IFERROR(INDEX(Empresas!$B:$B,MATCH(A883,Empresas!$A:$A,0))&amp;"","cadastre o CNPJ em Empresas"))</f>
        <v/>
      </c>
      <c r="H883" s="28" t="str">
        <f aca="false">IF(B883="","",SUBSTITUTE(SUBSTITUTE(SUBSTITUTE(SUBSTITUTE(SUBSTITUTE(SUBSTITUTE(SUBSTITUTE(SUBSTITUTE(SUBSTITUTE(SUBSTITUTE(SUBSTITUTE(SUBSTITUTE(SUBSTITUTE(UPPER(TRIM(B883)),"Á","A"),"À","A"),"Â","A"),"Ã","A"),"É","E"),"Ê","E"),"Í","I"),"Ó","O"),"Ô","O"),"Õ","O"),"Ú","U"),"Ü","U"),"Ç","C"))</f>
        <v/>
      </c>
      <c r="I883" s="28" t="str">
        <f aca="false">IF(C883="","",IF(LEN(SUBSTITUTE(SUBSTITUTE(SUBSTITUTE(SUBSTITUTE(TRIM(C883),"*",""),".",""),"-","")," ",""))=11,MID(SUBSTITUTE(SUBSTITUTE(SUBSTITUTE(SUBSTITUTE(TRIM(C883),"*",""),".",""),"-","")," ",""),4,6),SUBSTITUTE(SUBSTITUTE(SUBSTITUTE(SUBSTITUTE(TRIM(C883),"*",""),".",""),"-","")," ","")))</f>
        <v/>
      </c>
      <c r="J883" s="28" t="str">
        <f aca="false">IF(OR(H883="",I883=""),"",H883&amp;"|"&amp;I883)</f>
        <v/>
      </c>
      <c r="K883" s="19" t="str">
        <f aca="false">IF(H883="","",IF(AND(J883&lt;&gt;"",COUNTIF(Pessoas!$J:$J,J883)&gt;0),"SIM",IF(COUNTIF(Pessoas!$H:$H,H883)&gt;0,"nome igual em Pessoas: confira o CPF","")))</f>
        <v/>
      </c>
      <c r="L883" s="27"/>
      <c r="M883" s="5"/>
    </row>
    <row r="884" customFormat="false" ht="15" hidden="false" customHeight="false" outlineLevel="0" collapsed="false">
      <c r="A884" s="27"/>
      <c r="B884" s="5"/>
      <c r="C884" s="27"/>
      <c r="D884" s="18"/>
      <c r="E884" s="14"/>
      <c r="F884" s="18"/>
      <c r="G884" s="19" t="str">
        <f aca="false">IF(A884="","",IFERROR(INDEX(Empresas!$B:$B,MATCH(A884,Empresas!$A:$A,0))&amp;"","cadastre o CNPJ em Empresas"))</f>
        <v/>
      </c>
      <c r="H884" s="28" t="str">
        <f aca="false">IF(B884="","",SUBSTITUTE(SUBSTITUTE(SUBSTITUTE(SUBSTITUTE(SUBSTITUTE(SUBSTITUTE(SUBSTITUTE(SUBSTITUTE(SUBSTITUTE(SUBSTITUTE(SUBSTITUTE(SUBSTITUTE(SUBSTITUTE(UPPER(TRIM(B884)),"Á","A"),"À","A"),"Â","A"),"Ã","A"),"É","E"),"Ê","E"),"Í","I"),"Ó","O"),"Ô","O"),"Õ","O"),"Ú","U"),"Ü","U"),"Ç","C"))</f>
        <v/>
      </c>
      <c r="I884" s="28" t="str">
        <f aca="false">IF(C884="","",IF(LEN(SUBSTITUTE(SUBSTITUTE(SUBSTITUTE(SUBSTITUTE(TRIM(C884),"*",""),".",""),"-","")," ",""))=11,MID(SUBSTITUTE(SUBSTITUTE(SUBSTITUTE(SUBSTITUTE(TRIM(C884),"*",""),".",""),"-","")," ",""),4,6),SUBSTITUTE(SUBSTITUTE(SUBSTITUTE(SUBSTITUTE(TRIM(C884),"*",""),".",""),"-","")," ","")))</f>
        <v/>
      </c>
      <c r="J884" s="28" t="str">
        <f aca="false">IF(OR(H884="",I884=""),"",H884&amp;"|"&amp;I884)</f>
        <v/>
      </c>
      <c r="K884" s="19" t="str">
        <f aca="false">IF(H884="","",IF(AND(J884&lt;&gt;"",COUNTIF(Pessoas!$J:$J,J884)&gt;0),"SIM",IF(COUNTIF(Pessoas!$H:$H,H884)&gt;0,"nome igual em Pessoas: confira o CPF","")))</f>
        <v/>
      </c>
      <c r="L884" s="27"/>
      <c r="M884" s="5"/>
    </row>
    <row r="885" customFormat="false" ht="15" hidden="false" customHeight="false" outlineLevel="0" collapsed="false">
      <c r="A885" s="27"/>
      <c r="B885" s="5"/>
      <c r="C885" s="27"/>
      <c r="D885" s="18"/>
      <c r="E885" s="14"/>
      <c r="F885" s="18"/>
      <c r="G885" s="19" t="str">
        <f aca="false">IF(A885="","",IFERROR(INDEX(Empresas!$B:$B,MATCH(A885,Empresas!$A:$A,0))&amp;"","cadastre o CNPJ em Empresas"))</f>
        <v/>
      </c>
      <c r="H885" s="28" t="str">
        <f aca="false">IF(B885="","",SUBSTITUTE(SUBSTITUTE(SUBSTITUTE(SUBSTITUTE(SUBSTITUTE(SUBSTITUTE(SUBSTITUTE(SUBSTITUTE(SUBSTITUTE(SUBSTITUTE(SUBSTITUTE(SUBSTITUTE(SUBSTITUTE(UPPER(TRIM(B885)),"Á","A"),"À","A"),"Â","A"),"Ã","A"),"É","E"),"Ê","E"),"Í","I"),"Ó","O"),"Ô","O"),"Õ","O"),"Ú","U"),"Ü","U"),"Ç","C"))</f>
        <v/>
      </c>
      <c r="I885" s="28" t="str">
        <f aca="false">IF(C885="","",IF(LEN(SUBSTITUTE(SUBSTITUTE(SUBSTITUTE(SUBSTITUTE(TRIM(C885),"*",""),".",""),"-","")," ",""))=11,MID(SUBSTITUTE(SUBSTITUTE(SUBSTITUTE(SUBSTITUTE(TRIM(C885),"*",""),".",""),"-","")," ",""),4,6),SUBSTITUTE(SUBSTITUTE(SUBSTITUTE(SUBSTITUTE(TRIM(C885),"*",""),".",""),"-","")," ","")))</f>
        <v/>
      </c>
      <c r="J885" s="28" t="str">
        <f aca="false">IF(OR(H885="",I885=""),"",H885&amp;"|"&amp;I885)</f>
        <v/>
      </c>
      <c r="K885" s="19" t="str">
        <f aca="false">IF(H885="","",IF(AND(J885&lt;&gt;"",COUNTIF(Pessoas!$J:$J,J885)&gt;0),"SIM",IF(COUNTIF(Pessoas!$H:$H,H885)&gt;0,"nome igual em Pessoas: confira o CPF","")))</f>
        <v/>
      </c>
      <c r="L885" s="27"/>
      <c r="M885" s="5"/>
    </row>
    <row r="886" customFormat="false" ht="15" hidden="false" customHeight="false" outlineLevel="0" collapsed="false">
      <c r="A886" s="27"/>
      <c r="B886" s="5"/>
      <c r="C886" s="27"/>
      <c r="D886" s="18"/>
      <c r="E886" s="14"/>
      <c r="F886" s="18"/>
      <c r="G886" s="19" t="str">
        <f aca="false">IF(A886="","",IFERROR(INDEX(Empresas!$B:$B,MATCH(A886,Empresas!$A:$A,0))&amp;"","cadastre o CNPJ em Empresas"))</f>
        <v/>
      </c>
      <c r="H886" s="28" t="str">
        <f aca="false">IF(B886="","",SUBSTITUTE(SUBSTITUTE(SUBSTITUTE(SUBSTITUTE(SUBSTITUTE(SUBSTITUTE(SUBSTITUTE(SUBSTITUTE(SUBSTITUTE(SUBSTITUTE(SUBSTITUTE(SUBSTITUTE(SUBSTITUTE(UPPER(TRIM(B886)),"Á","A"),"À","A"),"Â","A"),"Ã","A"),"É","E"),"Ê","E"),"Í","I"),"Ó","O"),"Ô","O"),"Õ","O"),"Ú","U"),"Ü","U"),"Ç","C"))</f>
        <v/>
      </c>
      <c r="I886" s="28" t="str">
        <f aca="false">IF(C886="","",IF(LEN(SUBSTITUTE(SUBSTITUTE(SUBSTITUTE(SUBSTITUTE(TRIM(C886),"*",""),".",""),"-","")," ",""))=11,MID(SUBSTITUTE(SUBSTITUTE(SUBSTITUTE(SUBSTITUTE(TRIM(C886),"*",""),".",""),"-","")," ",""),4,6),SUBSTITUTE(SUBSTITUTE(SUBSTITUTE(SUBSTITUTE(TRIM(C886),"*",""),".",""),"-","")," ","")))</f>
        <v/>
      </c>
      <c r="J886" s="28" t="str">
        <f aca="false">IF(OR(H886="",I886=""),"",H886&amp;"|"&amp;I886)</f>
        <v/>
      </c>
      <c r="K886" s="19" t="str">
        <f aca="false">IF(H886="","",IF(AND(J886&lt;&gt;"",COUNTIF(Pessoas!$J:$J,J886)&gt;0),"SIM",IF(COUNTIF(Pessoas!$H:$H,H886)&gt;0,"nome igual em Pessoas: confira o CPF","")))</f>
        <v/>
      </c>
      <c r="L886" s="27"/>
      <c r="M886" s="5"/>
    </row>
    <row r="887" customFormat="false" ht="15" hidden="false" customHeight="false" outlineLevel="0" collapsed="false">
      <c r="A887" s="27"/>
      <c r="B887" s="5"/>
      <c r="C887" s="27"/>
      <c r="D887" s="18"/>
      <c r="E887" s="14"/>
      <c r="F887" s="18"/>
      <c r="G887" s="19" t="str">
        <f aca="false">IF(A887="","",IFERROR(INDEX(Empresas!$B:$B,MATCH(A887,Empresas!$A:$A,0))&amp;"","cadastre o CNPJ em Empresas"))</f>
        <v/>
      </c>
      <c r="H887" s="28" t="str">
        <f aca="false">IF(B887="","",SUBSTITUTE(SUBSTITUTE(SUBSTITUTE(SUBSTITUTE(SUBSTITUTE(SUBSTITUTE(SUBSTITUTE(SUBSTITUTE(SUBSTITUTE(SUBSTITUTE(SUBSTITUTE(SUBSTITUTE(SUBSTITUTE(UPPER(TRIM(B887)),"Á","A"),"À","A"),"Â","A"),"Ã","A"),"É","E"),"Ê","E"),"Í","I"),"Ó","O"),"Ô","O"),"Õ","O"),"Ú","U"),"Ü","U"),"Ç","C"))</f>
        <v/>
      </c>
      <c r="I887" s="28" t="str">
        <f aca="false">IF(C887="","",IF(LEN(SUBSTITUTE(SUBSTITUTE(SUBSTITUTE(SUBSTITUTE(TRIM(C887),"*",""),".",""),"-","")," ",""))=11,MID(SUBSTITUTE(SUBSTITUTE(SUBSTITUTE(SUBSTITUTE(TRIM(C887),"*",""),".",""),"-","")," ",""),4,6),SUBSTITUTE(SUBSTITUTE(SUBSTITUTE(SUBSTITUTE(TRIM(C887),"*",""),".",""),"-","")," ","")))</f>
        <v/>
      </c>
      <c r="J887" s="28" t="str">
        <f aca="false">IF(OR(H887="",I887=""),"",H887&amp;"|"&amp;I887)</f>
        <v/>
      </c>
      <c r="K887" s="19" t="str">
        <f aca="false">IF(H887="","",IF(AND(J887&lt;&gt;"",COUNTIF(Pessoas!$J:$J,J887)&gt;0),"SIM",IF(COUNTIF(Pessoas!$H:$H,H887)&gt;0,"nome igual em Pessoas: confira o CPF","")))</f>
        <v/>
      </c>
      <c r="L887" s="27"/>
      <c r="M887" s="5"/>
    </row>
    <row r="888" customFormat="false" ht="15" hidden="false" customHeight="false" outlineLevel="0" collapsed="false">
      <c r="A888" s="27"/>
      <c r="B888" s="5"/>
      <c r="C888" s="27"/>
      <c r="D888" s="18"/>
      <c r="E888" s="14"/>
      <c r="F888" s="18"/>
      <c r="G888" s="19" t="str">
        <f aca="false">IF(A888="","",IFERROR(INDEX(Empresas!$B:$B,MATCH(A888,Empresas!$A:$A,0))&amp;"","cadastre o CNPJ em Empresas"))</f>
        <v/>
      </c>
      <c r="H888" s="28" t="str">
        <f aca="false">IF(B888="","",SUBSTITUTE(SUBSTITUTE(SUBSTITUTE(SUBSTITUTE(SUBSTITUTE(SUBSTITUTE(SUBSTITUTE(SUBSTITUTE(SUBSTITUTE(SUBSTITUTE(SUBSTITUTE(SUBSTITUTE(SUBSTITUTE(UPPER(TRIM(B888)),"Á","A"),"À","A"),"Â","A"),"Ã","A"),"É","E"),"Ê","E"),"Í","I"),"Ó","O"),"Ô","O"),"Õ","O"),"Ú","U"),"Ü","U"),"Ç","C"))</f>
        <v/>
      </c>
      <c r="I888" s="28" t="str">
        <f aca="false">IF(C888="","",IF(LEN(SUBSTITUTE(SUBSTITUTE(SUBSTITUTE(SUBSTITUTE(TRIM(C888),"*",""),".",""),"-","")," ",""))=11,MID(SUBSTITUTE(SUBSTITUTE(SUBSTITUTE(SUBSTITUTE(TRIM(C888),"*",""),".",""),"-","")," ",""),4,6),SUBSTITUTE(SUBSTITUTE(SUBSTITUTE(SUBSTITUTE(TRIM(C888),"*",""),".",""),"-","")," ","")))</f>
        <v/>
      </c>
      <c r="J888" s="28" t="str">
        <f aca="false">IF(OR(H888="",I888=""),"",H888&amp;"|"&amp;I888)</f>
        <v/>
      </c>
      <c r="K888" s="19" t="str">
        <f aca="false">IF(H888="","",IF(AND(J888&lt;&gt;"",COUNTIF(Pessoas!$J:$J,J888)&gt;0),"SIM",IF(COUNTIF(Pessoas!$H:$H,H888)&gt;0,"nome igual em Pessoas: confira o CPF","")))</f>
        <v/>
      </c>
      <c r="L888" s="27"/>
      <c r="M888" s="5"/>
    </row>
    <row r="889" customFormat="false" ht="15" hidden="false" customHeight="false" outlineLevel="0" collapsed="false">
      <c r="A889" s="27"/>
      <c r="B889" s="5"/>
      <c r="C889" s="27"/>
      <c r="D889" s="18"/>
      <c r="E889" s="14"/>
      <c r="F889" s="18"/>
      <c r="G889" s="19" t="str">
        <f aca="false">IF(A889="","",IFERROR(INDEX(Empresas!$B:$B,MATCH(A889,Empresas!$A:$A,0))&amp;"","cadastre o CNPJ em Empresas"))</f>
        <v/>
      </c>
      <c r="H889" s="28" t="str">
        <f aca="false">IF(B889="","",SUBSTITUTE(SUBSTITUTE(SUBSTITUTE(SUBSTITUTE(SUBSTITUTE(SUBSTITUTE(SUBSTITUTE(SUBSTITUTE(SUBSTITUTE(SUBSTITUTE(SUBSTITUTE(SUBSTITUTE(SUBSTITUTE(UPPER(TRIM(B889)),"Á","A"),"À","A"),"Â","A"),"Ã","A"),"É","E"),"Ê","E"),"Í","I"),"Ó","O"),"Ô","O"),"Õ","O"),"Ú","U"),"Ü","U"),"Ç","C"))</f>
        <v/>
      </c>
      <c r="I889" s="28" t="str">
        <f aca="false">IF(C889="","",IF(LEN(SUBSTITUTE(SUBSTITUTE(SUBSTITUTE(SUBSTITUTE(TRIM(C889),"*",""),".",""),"-","")," ",""))=11,MID(SUBSTITUTE(SUBSTITUTE(SUBSTITUTE(SUBSTITUTE(TRIM(C889),"*",""),".",""),"-","")," ",""),4,6),SUBSTITUTE(SUBSTITUTE(SUBSTITUTE(SUBSTITUTE(TRIM(C889),"*",""),".",""),"-","")," ","")))</f>
        <v/>
      </c>
      <c r="J889" s="28" t="str">
        <f aca="false">IF(OR(H889="",I889=""),"",H889&amp;"|"&amp;I889)</f>
        <v/>
      </c>
      <c r="K889" s="19" t="str">
        <f aca="false">IF(H889="","",IF(AND(J889&lt;&gt;"",COUNTIF(Pessoas!$J:$J,J889)&gt;0),"SIM",IF(COUNTIF(Pessoas!$H:$H,H889)&gt;0,"nome igual em Pessoas: confira o CPF","")))</f>
        <v/>
      </c>
      <c r="L889" s="27"/>
      <c r="M889" s="5"/>
    </row>
    <row r="890" customFormat="false" ht="15" hidden="false" customHeight="false" outlineLevel="0" collapsed="false">
      <c r="A890" s="27"/>
      <c r="B890" s="5"/>
      <c r="C890" s="27"/>
      <c r="D890" s="18"/>
      <c r="E890" s="14"/>
      <c r="F890" s="18"/>
      <c r="G890" s="19" t="str">
        <f aca="false">IF(A890="","",IFERROR(INDEX(Empresas!$B:$B,MATCH(A890,Empresas!$A:$A,0))&amp;"","cadastre o CNPJ em Empresas"))</f>
        <v/>
      </c>
      <c r="H890" s="28" t="str">
        <f aca="false">IF(B890="","",SUBSTITUTE(SUBSTITUTE(SUBSTITUTE(SUBSTITUTE(SUBSTITUTE(SUBSTITUTE(SUBSTITUTE(SUBSTITUTE(SUBSTITUTE(SUBSTITUTE(SUBSTITUTE(SUBSTITUTE(SUBSTITUTE(UPPER(TRIM(B890)),"Á","A"),"À","A"),"Â","A"),"Ã","A"),"É","E"),"Ê","E"),"Í","I"),"Ó","O"),"Ô","O"),"Õ","O"),"Ú","U"),"Ü","U"),"Ç","C"))</f>
        <v/>
      </c>
      <c r="I890" s="28" t="str">
        <f aca="false">IF(C890="","",IF(LEN(SUBSTITUTE(SUBSTITUTE(SUBSTITUTE(SUBSTITUTE(TRIM(C890),"*",""),".",""),"-","")," ",""))=11,MID(SUBSTITUTE(SUBSTITUTE(SUBSTITUTE(SUBSTITUTE(TRIM(C890),"*",""),".",""),"-","")," ",""),4,6),SUBSTITUTE(SUBSTITUTE(SUBSTITUTE(SUBSTITUTE(TRIM(C890),"*",""),".",""),"-","")," ","")))</f>
        <v/>
      </c>
      <c r="J890" s="28" t="str">
        <f aca="false">IF(OR(H890="",I890=""),"",H890&amp;"|"&amp;I890)</f>
        <v/>
      </c>
      <c r="K890" s="19" t="str">
        <f aca="false">IF(H890="","",IF(AND(J890&lt;&gt;"",COUNTIF(Pessoas!$J:$J,J890)&gt;0),"SIM",IF(COUNTIF(Pessoas!$H:$H,H890)&gt;0,"nome igual em Pessoas: confira o CPF","")))</f>
        <v/>
      </c>
      <c r="L890" s="27"/>
      <c r="M890" s="5"/>
    </row>
    <row r="891" customFormat="false" ht="15" hidden="false" customHeight="false" outlineLevel="0" collapsed="false">
      <c r="A891" s="27"/>
      <c r="B891" s="5"/>
      <c r="C891" s="27"/>
      <c r="D891" s="18"/>
      <c r="E891" s="14"/>
      <c r="F891" s="18"/>
      <c r="G891" s="19" t="str">
        <f aca="false">IF(A891="","",IFERROR(INDEX(Empresas!$B:$B,MATCH(A891,Empresas!$A:$A,0))&amp;"","cadastre o CNPJ em Empresas"))</f>
        <v/>
      </c>
      <c r="H891" s="28" t="str">
        <f aca="false">IF(B891="","",SUBSTITUTE(SUBSTITUTE(SUBSTITUTE(SUBSTITUTE(SUBSTITUTE(SUBSTITUTE(SUBSTITUTE(SUBSTITUTE(SUBSTITUTE(SUBSTITUTE(SUBSTITUTE(SUBSTITUTE(SUBSTITUTE(UPPER(TRIM(B891)),"Á","A"),"À","A"),"Â","A"),"Ã","A"),"É","E"),"Ê","E"),"Í","I"),"Ó","O"),"Ô","O"),"Õ","O"),"Ú","U"),"Ü","U"),"Ç","C"))</f>
        <v/>
      </c>
      <c r="I891" s="28" t="str">
        <f aca="false">IF(C891="","",IF(LEN(SUBSTITUTE(SUBSTITUTE(SUBSTITUTE(SUBSTITUTE(TRIM(C891),"*",""),".",""),"-","")," ",""))=11,MID(SUBSTITUTE(SUBSTITUTE(SUBSTITUTE(SUBSTITUTE(TRIM(C891),"*",""),".",""),"-","")," ",""),4,6),SUBSTITUTE(SUBSTITUTE(SUBSTITUTE(SUBSTITUTE(TRIM(C891),"*",""),".",""),"-","")," ","")))</f>
        <v/>
      </c>
      <c r="J891" s="28" t="str">
        <f aca="false">IF(OR(H891="",I891=""),"",H891&amp;"|"&amp;I891)</f>
        <v/>
      </c>
      <c r="K891" s="19" t="str">
        <f aca="false">IF(H891="","",IF(AND(J891&lt;&gt;"",COUNTIF(Pessoas!$J:$J,J891)&gt;0),"SIM",IF(COUNTIF(Pessoas!$H:$H,H891)&gt;0,"nome igual em Pessoas: confira o CPF","")))</f>
        <v/>
      </c>
      <c r="L891" s="27"/>
      <c r="M891" s="5"/>
    </row>
    <row r="892" customFormat="false" ht="15" hidden="false" customHeight="false" outlineLevel="0" collapsed="false">
      <c r="A892" s="27"/>
      <c r="B892" s="5"/>
      <c r="C892" s="27"/>
      <c r="D892" s="18"/>
      <c r="E892" s="14"/>
      <c r="F892" s="18"/>
      <c r="G892" s="19" t="str">
        <f aca="false">IF(A892="","",IFERROR(INDEX(Empresas!$B:$B,MATCH(A892,Empresas!$A:$A,0))&amp;"","cadastre o CNPJ em Empresas"))</f>
        <v/>
      </c>
      <c r="H892" s="28" t="str">
        <f aca="false">IF(B892="","",SUBSTITUTE(SUBSTITUTE(SUBSTITUTE(SUBSTITUTE(SUBSTITUTE(SUBSTITUTE(SUBSTITUTE(SUBSTITUTE(SUBSTITUTE(SUBSTITUTE(SUBSTITUTE(SUBSTITUTE(SUBSTITUTE(UPPER(TRIM(B892)),"Á","A"),"À","A"),"Â","A"),"Ã","A"),"É","E"),"Ê","E"),"Í","I"),"Ó","O"),"Ô","O"),"Õ","O"),"Ú","U"),"Ü","U"),"Ç","C"))</f>
        <v/>
      </c>
      <c r="I892" s="28" t="str">
        <f aca="false">IF(C892="","",IF(LEN(SUBSTITUTE(SUBSTITUTE(SUBSTITUTE(SUBSTITUTE(TRIM(C892),"*",""),".",""),"-","")," ",""))=11,MID(SUBSTITUTE(SUBSTITUTE(SUBSTITUTE(SUBSTITUTE(TRIM(C892),"*",""),".",""),"-","")," ",""),4,6),SUBSTITUTE(SUBSTITUTE(SUBSTITUTE(SUBSTITUTE(TRIM(C892),"*",""),".",""),"-","")," ","")))</f>
        <v/>
      </c>
      <c r="J892" s="28" t="str">
        <f aca="false">IF(OR(H892="",I892=""),"",H892&amp;"|"&amp;I892)</f>
        <v/>
      </c>
      <c r="K892" s="19" t="str">
        <f aca="false">IF(H892="","",IF(AND(J892&lt;&gt;"",COUNTIF(Pessoas!$J:$J,J892)&gt;0),"SIM",IF(COUNTIF(Pessoas!$H:$H,H892)&gt;0,"nome igual em Pessoas: confira o CPF","")))</f>
        <v/>
      </c>
      <c r="L892" s="27"/>
      <c r="M892" s="5"/>
    </row>
    <row r="893" customFormat="false" ht="15" hidden="false" customHeight="false" outlineLevel="0" collapsed="false">
      <c r="A893" s="27"/>
      <c r="B893" s="5"/>
      <c r="C893" s="27"/>
      <c r="D893" s="18"/>
      <c r="E893" s="14"/>
      <c r="F893" s="18"/>
      <c r="G893" s="19" t="str">
        <f aca="false">IF(A893="","",IFERROR(INDEX(Empresas!$B:$B,MATCH(A893,Empresas!$A:$A,0))&amp;"","cadastre o CNPJ em Empresas"))</f>
        <v/>
      </c>
      <c r="H893" s="28" t="str">
        <f aca="false">IF(B893="","",SUBSTITUTE(SUBSTITUTE(SUBSTITUTE(SUBSTITUTE(SUBSTITUTE(SUBSTITUTE(SUBSTITUTE(SUBSTITUTE(SUBSTITUTE(SUBSTITUTE(SUBSTITUTE(SUBSTITUTE(SUBSTITUTE(UPPER(TRIM(B893)),"Á","A"),"À","A"),"Â","A"),"Ã","A"),"É","E"),"Ê","E"),"Í","I"),"Ó","O"),"Ô","O"),"Õ","O"),"Ú","U"),"Ü","U"),"Ç","C"))</f>
        <v/>
      </c>
      <c r="I893" s="28" t="str">
        <f aca="false">IF(C893="","",IF(LEN(SUBSTITUTE(SUBSTITUTE(SUBSTITUTE(SUBSTITUTE(TRIM(C893),"*",""),".",""),"-","")," ",""))=11,MID(SUBSTITUTE(SUBSTITUTE(SUBSTITUTE(SUBSTITUTE(TRIM(C893),"*",""),".",""),"-","")," ",""),4,6),SUBSTITUTE(SUBSTITUTE(SUBSTITUTE(SUBSTITUTE(TRIM(C893),"*",""),".",""),"-","")," ","")))</f>
        <v/>
      </c>
      <c r="J893" s="28" t="str">
        <f aca="false">IF(OR(H893="",I893=""),"",H893&amp;"|"&amp;I893)</f>
        <v/>
      </c>
      <c r="K893" s="19" t="str">
        <f aca="false">IF(H893="","",IF(AND(J893&lt;&gt;"",COUNTIF(Pessoas!$J:$J,J893)&gt;0),"SIM",IF(COUNTIF(Pessoas!$H:$H,H893)&gt;0,"nome igual em Pessoas: confira o CPF","")))</f>
        <v/>
      </c>
      <c r="L893" s="27"/>
      <c r="M893" s="5"/>
    </row>
    <row r="894" customFormat="false" ht="15" hidden="false" customHeight="false" outlineLevel="0" collapsed="false">
      <c r="A894" s="27"/>
      <c r="B894" s="5"/>
      <c r="C894" s="27"/>
      <c r="D894" s="18"/>
      <c r="E894" s="14"/>
      <c r="F894" s="18"/>
      <c r="G894" s="19" t="str">
        <f aca="false">IF(A894="","",IFERROR(INDEX(Empresas!$B:$B,MATCH(A894,Empresas!$A:$A,0))&amp;"","cadastre o CNPJ em Empresas"))</f>
        <v/>
      </c>
      <c r="H894" s="28" t="str">
        <f aca="false">IF(B894="","",SUBSTITUTE(SUBSTITUTE(SUBSTITUTE(SUBSTITUTE(SUBSTITUTE(SUBSTITUTE(SUBSTITUTE(SUBSTITUTE(SUBSTITUTE(SUBSTITUTE(SUBSTITUTE(SUBSTITUTE(SUBSTITUTE(UPPER(TRIM(B894)),"Á","A"),"À","A"),"Â","A"),"Ã","A"),"É","E"),"Ê","E"),"Í","I"),"Ó","O"),"Ô","O"),"Õ","O"),"Ú","U"),"Ü","U"),"Ç","C"))</f>
        <v/>
      </c>
      <c r="I894" s="28" t="str">
        <f aca="false">IF(C894="","",IF(LEN(SUBSTITUTE(SUBSTITUTE(SUBSTITUTE(SUBSTITUTE(TRIM(C894),"*",""),".",""),"-","")," ",""))=11,MID(SUBSTITUTE(SUBSTITUTE(SUBSTITUTE(SUBSTITUTE(TRIM(C894),"*",""),".",""),"-","")," ",""),4,6),SUBSTITUTE(SUBSTITUTE(SUBSTITUTE(SUBSTITUTE(TRIM(C894),"*",""),".",""),"-","")," ","")))</f>
        <v/>
      </c>
      <c r="J894" s="28" t="str">
        <f aca="false">IF(OR(H894="",I894=""),"",H894&amp;"|"&amp;I894)</f>
        <v/>
      </c>
      <c r="K894" s="19" t="str">
        <f aca="false">IF(H894="","",IF(AND(J894&lt;&gt;"",COUNTIF(Pessoas!$J:$J,J894)&gt;0),"SIM",IF(COUNTIF(Pessoas!$H:$H,H894)&gt;0,"nome igual em Pessoas: confira o CPF","")))</f>
        <v/>
      </c>
      <c r="L894" s="27"/>
      <c r="M894" s="5"/>
    </row>
    <row r="895" customFormat="false" ht="15" hidden="false" customHeight="false" outlineLevel="0" collapsed="false">
      <c r="A895" s="27"/>
      <c r="B895" s="5"/>
      <c r="C895" s="27"/>
      <c r="D895" s="18"/>
      <c r="E895" s="14"/>
      <c r="F895" s="18"/>
      <c r="G895" s="19" t="str">
        <f aca="false">IF(A895="","",IFERROR(INDEX(Empresas!$B:$B,MATCH(A895,Empresas!$A:$A,0))&amp;"","cadastre o CNPJ em Empresas"))</f>
        <v/>
      </c>
      <c r="H895" s="28" t="str">
        <f aca="false">IF(B895="","",SUBSTITUTE(SUBSTITUTE(SUBSTITUTE(SUBSTITUTE(SUBSTITUTE(SUBSTITUTE(SUBSTITUTE(SUBSTITUTE(SUBSTITUTE(SUBSTITUTE(SUBSTITUTE(SUBSTITUTE(SUBSTITUTE(UPPER(TRIM(B895)),"Á","A"),"À","A"),"Â","A"),"Ã","A"),"É","E"),"Ê","E"),"Í","I"),"Ó","O"),"Ô","O"),"Õ","O"),"Ú","U"),"Ü","U"),"Ç","C"))</f>
        <v/>
      </c>
      <c r="I895" s="28" t="str">
        <f aca="false">IF(C895="","",IF(LEN(SUBSTITUTE(SUBSTITUTE(SUBSTITUTE(SUBSTITUTE(TRIM(C895),"*",""),".",""),"-","")," ",""))=11,MID(SUBSTITUTE(SUBSTITUTE(SUBSTITUTE(SUBSTITUTE(TRIM(C895),"*",""),".",""),"-","")," ",""),4,6),SUBSTITUTE(SUBSTITUTE(SUBSTITUTE(SUBSTITUTE(TRIM(C895),"*",""),".",""),"-","")," ","")))</f>
        <v/>
      </c>
      <c r="J895" s="28" t="str">
        <f aca="false">IF(OR(H895="",I895=""),"",H895&amp;"|"&amp;I895)</f>
        <v/>
      </c>
      <c r="K895" s="19" t="str">
        <f aca="false">IF(H895="","",IF(AND(J895&lt;&gt;"",COUNTIF(Pessoas!$J:$J,J895)&gt;0),"SIM",IF(COUNTIF(Pessoas!$H:$H,H895)&gt;0,"nome igual em Pessoas: confira o CPF","")))</f>
        <v/>
      </c>
      <c r="L895" s="27"/>
      <c r="M895" s="5"/>
    </row>
    <row r="896" customFormat="false" ht="15" hidden="false" customHeight="false" outlineLevel="0" collapsed="false">
      <c r="A896" s="27"/>
      <c r="B896" s="5"/>
      <c r="C896" s="27"/>
      <c r="D896" s="18"/>
      <c r="E896" s="14"/>
      <c r="F896" s="18"/>
      <c r="G896" s="19" t="str">
        <f aca="false">IF(A896="","",IFERROR(INDEX(Empresas!$B:$B,MATCH(A896,Empresas!$A:$A,0))&amp;"","cadastre o CNPJ em Empresas"))</f>
        <v/>
      </c>
      <c r="H896" s="28" t="str">
        <f aca="false">IF(B896="","",SUBSTITUTE(SUBSTITUTE(SUBSTITUTE(SUBSTITUTE(SUBSTITUTE(SUBSTITUTE(SUBSTITUTE(SUBSTITUTE(SUBSTITUTE(SUBSTITUTE(SUBSTITUTE(SUBSTITUTE(SUBSTITUTE(UPPER(TRIM(B896)),"Á","A"),"À","A"),"Â","A"),"Ã","A"),"É","E"),"Ê","E"),"Í","I"),"Ó","O"),"Ô","O"),"Õ","O"),"Ú","U"),"Ü","U"),"Ç","C"))</f>
        <v/>
      </c>
      <c r="I896" s="28" t="str">
        <f aca="false">IF(C896="","",IF(LEN(SUBSTITUTE(SUBSTITUTE(SUBSTITUTE(SUBSTITUTE(TRIM(C896),"*",""),".",""),"-","")," ",""))=11,MID(SUBSTITUTE(SUBSTITUTE(SUBSTITUTE(SUBSTITUTE(TRIM(C896),"*",""),".",""),"-","")," ",""),4,6),SUBSTITUTE(SUBSTITUTE(SUBSTITUTE(SUBSTITUTE(TRIM(C896),"*",""),".",""),"-","")," ","")))</f>
        <v/>
      </c>
      <c r="J896" s="28" t="str">
        <f aca="false">IF(OR(H896="",I896=""),"",H896&amp;"|"&amp;I896)</f>
        <v/>
      </c>
      <c r="K896" s="19" t="str">
        <f aca="false">IF(H896="","",IF(AND(J896&lt;&gt;"",COUNTIF(Pessoas!$J:$J,J896)&gt;0),"SIM",IF(COUNTIF(Pessoas!$H:$H,H896)&gt;0,"nome igual em Pessoas: confira o CPF","")))</f>
        <v/>
      </c>
      <c r="L896" s="27"/>
      <c r="M896" s="5"/>
    </row>
    <row r="897" customFormat="false" ht="15" hidden="false" customHeight="false" outlineLevel="0" collapsed="false">
      <c r="A897" s="27"/>
      <c r="B897" s="5"/>
      <c r="C897" s="27"/>
      <c r="D897" s="18"/>
      <c r="E897" s="14"/>
      <c r="F897" s="18"/>
      <c r="G897" s="19" t="str">
        <f aca="false">IF(A897="","",IFERROR(INDEX(Empresas!$B:$B,MATCH(A897,Empresas!$A:$A,0))&amp;"","cadastre o CNPJ em Empresas"))</f>
        <v/>
      </c>
      <c r="H897" s="28" t="str">
        <f aca="false">IF(B897="","",SUBSTITUTE(SUBSTITUTE(SUBSTITUTE(SUBSTITUTE(SUBSTITUTE(SUBSTITUTE(SUBSTITUTE(SUBSTITUTE(SUBSTITUTE(SUBSTITUTE(SUBSTITUTE(SUBSTITUTE(SUBSTITUTE(UPPER(TRIM(B897)),"Á","A"),"À","A"),"Â","A"),"Ã","A"),"É","E"),"Ê","E"),"Í","I"),"Ó","O"),"Ô","O"),"Õ","O"),"Ú","U"),"Ü","U"),"Ç","C"))</f>
        <v/>
      </c>
      <c r="I897" s="28" t="str">
        <f aca="false">IF(C897="","",IF(LEN(SUBSTITUTE(SUBSTITUTE(SUBSTITUTE(SUBSTITUTE(TRIM(C897),"*",""),".",""),"-","")," ",""))=11,MID(SUBSTITUTE(SUBSTITUTE(SUBSTITUTE(SUBSTITUTE(TRIM(C897),"*",""),".",""),"-","")," ",""),4,6),SUBSTITUTE(SUBSTITUTE(SUBSTITUTE(SUBSTITUTE(TRIM(C897),"*",""),".",""),"-","")," ","")))</f>
        <v/>
      </c>
      <c r="J897" s="28" t="str">
        <f aca="false">IF(OR(H897="",I897=""),"",H897&amp;"|"&amp;I897)</f>
        <v/>
      </c>
      <c r="K897" s="19" t="str">
        <f aca="false">IF(H897="","",IF(AND(J897&lt;&gt;"",COUNTIF(Pessoas!$J:$J,J897)&gt;0),"SIM",IF(COUNTIF(Pessoas!$H:$H,H897)&gt;0,"nome igual em Pessoas: confira o CPF","")))</f>
        <v/>
      </c>
      <c r="L897" s="27"/>
      <c r="M897" s="5"/>
    </row>
    <row r="898" customFormat="false" ht="15" hidden="false" customHeight="false" outlineLevel="0" collapsed="false">
      <c r="A898" s="27"/>
      <c r="B898" s="5"/>
      <c r="C898" s="27"/>
      <c r="D898" s="18"/>
      <c r="E898" s="14"/>
      <c r="F898" s="18"/>
      <c r="G898" s="19" t="str">
        <f aca="false">IF(A898="","",IFERROR(INDEX(Empresas!$B:$B,MATCH(A898,Empresas!$A:$A,0))&amp;"","cadastre o CNPJ em Empresas"))</f>
        <v/>
      </c>
      <c r="H898" s="28" t="str">
        <f aca="false">IF(B898="","",SUBSTITUTE(SUBSTITUTE(SUBSTITUTE(SUBSTITUTE(SUBSTITUTE(SUBSTITUTE(SUBSTITUTE(SUBSTITUTE(SUBSTITUTE(SUBSTITUTE(SUBSTITUTE(SUBSTITUTE(SUBSTITUTE(UPPER(TRIM(B898)),"Á","A"),"À","A"),"Â","A"),"Ã","A"),"É","E"),"Ê","E"),"Í","I"),"Ó","O"),"Ô","O"),"Õ","O"),"Ú","U"),"Ü","U"),"Ç","C"))</f>
        <v/>
      </c>
      <c r="I898" s="28" t="str">
        <f aca="false">IF(C898="","",IF(LEN(SUBSTITUTE(SUBSTITUTE(SUBSTITUTE(SUBSTITUTE(TRIM(C898),"*",""),".",""),"-","")," ",""))=11,MID(SUBSTITUTE(SUBSTITUTE(SUBSTITUTE(SUBSTITUTE(TRIM(C898),"*",""),".",""),"-","")," ",""),4,6),SUBSTITUTE(SUBSTITUTE(SUBSTITUTE(SUBSTITUTE(TRIM(C898),"*",""),".",""),"-","")," ","")))</f>
        <v/>
      </c>
      <c r="J898" s="28" t="str">
        <f aca="false">IF(OR(H898="",I898=""),"",H898&amp;"|"&amp;I898)</f>
        <v/>
      </c>
      <c r="K898" s="19" t="str">
        <f aca="false">IF(H898="","",IF(AND(J898&lt;&gt;"",COUNTIF(Pessoas!$J:$J,J898)&gt;0),"SIM",IF(COUNTIF(Pessoas!$H:$H,H898)&gt;0,"nome igual em Pessoas: confira o CPF","")))</f>
        <v/>
      </c>
      <c r="L898" s="27"/>
      <c r="M898" s="5"/>
    </row>
    <row r="899" customFormat="false" ht="15" hidden="false" customHeight="false" outlineLevel="0" collapsed="false">
      <c r="A899" s="27"/>
      <c r="B899" s="5"/>
      <c r="C899" s="27"/>
      <c r="D899" s="18"/>
      <c r="E899" s="14"/>
      <c r="F899" s="18"/>
      <c r="G899" s="19" t="str">
        <f aca="false">IF(A899="","",IFERROR(INDEX(Empresas!$B:$B,MATCH(A899,Empresas!$A:$A,0))&amp;"","cadastre o CNPJ em Empresas"))</f>
        <v/>
      </c>
      <c r="H899" s="28" t="str">
        <f aca="false">IF(B899="","",SUBSTITUTE(SUBSTITUTE(SUBSTITUTE(SUBSTITUTE(SUBSTITUTE(SUBSTITUTE(SUBSTITUTE(SUBSTITUTE(SUBSTITUTE(SUBSTITUTE(SUBSTITUTE(SUBSTITUTE(SUBSTITUTE(UPPER(TRIM(B899)),"Á","A"),"À","A"),"Â","A"),"Ã","A"),"É","E"),"Ê","E"),"Í","I"),"Ó","O"),"Ô","O"),"Õ","O"),"Ú","U"),"Ü","U"),"Ç","C"))</f>
        <v/>
      </c>
      <c r="I899" s="28" t="str">
        <f aca="false">IF(C899="","",IF(LEN(SUBSTITUTE(SUBSTITUTE(SUBSTITUTE(SUBSTITUTE(TRIM(C899),"*",""),".",""),"-","")," ",""))=11,MID(SUBSTITUTE(SUBSTITUTE(SUBSTITUTE(SUBSTITUTE(TRIM(C899),"*",""),".",""),"-","")," ",""),4,6),SUBSTITUTE(SUBSTITUTE(SUBSTITUTE(SUBSTITUTE(TRIM(C899),"*",""),".",""),"-","")," ","")))</f>
        <v/>
      </c>
      <c r="J899" s="28" t="str">
        <f aca="false">IF(OR(H899="",I899=""),"",H899&amp;"|"&amp;I899)</f>
        <v/>
      </c>
      <c r="K899" s="19" t="str">
        <f aca="false">IF(H899="","",IF(AND(J899&lt;&gt;"",COUNTIF(Pessoas!$J:$J,J899)&gt;0),"SIM",IF(COUNTIF(Pessoas!$H:$H,H899)&gt;0,"nome igual em Pessoas: confira o CPF","")))</f>
        <v/>
      </c>
      <c r="L899" s="27"/>
      <c r="M899" s="5"/>
    </row>
    <row r="900" customFormat="false" ht="15" hidden="false" customHeight="false" outlineLevel="0" collapsed="false">
      <c r="A900" s="27"/>
      <c r="B900" s="5"/>
      <c r="C900" s="27"/>
      <c r="D900" s="18"/>
      <c r="E900" s="14"/>
      <c r="F900" s="18"/>
      <c r="G900" s="19" t="str">
        <f aca="false">IF(A900="","",IFERROR(INDEX(Empresas!$B:$B,MATCH(A900,Empresas!$A:$A,0))&amp;"","cadastre o CNPJ em Empresas"))</f>
        <v/>
      </c>
      <c r="H900" s="28" t="str">
        <f aca="false">IF(B900="","",SUBSTITUTE(SUBSTITUTE(SUBSTITUTE(SUBSTITUTE(SUBSTITUTE(SUBSTITUTE(SUBSTITUTE(SUBSTITUTE(SUBSTITUTE(SUBSTITUTE(SUBSTITUTE(SUBSTITUTE(SUBSTITUTE(UPPER(TRIM(B900)),"Á","A"),"À","A"),"Â","A"),"Ã","A"),"É","E"),"Ê","E"),"Í","I"),"Ó","O"),"Ô","O"),"Õ","O"),"Ú","U"),"Ü","U"),"Ç","C"))</f>
        <v/>
      </c>
      <c r="I900" s="28" t="str">
        <f aca="false">IF(C900="","",IF(LEN(SUBSTITUTE(SUBSTITUTE(SUBSTITUTE(SUBSTITUTE(TRIM(C900),"*",""),".",""),"-","")," ",""))=11,MID(SUBSTITUTE(SUBSTITUTE(SUBSTITUTE(SUBSTITUTE(TRIM(C900),"*",""),".",""),"-","")," ",""),4,6),SUBSTITUTE(SUBSTITUTE(SUBSTITUTE(SUBSTITUTE(TRIM(C900),"*",""),".",""),"-","")," ","")))</f>
        <v/>
      </c>
      <c r="J900" s="28" t="str">
        <f aca="false">IF(OR(H900="",I900=""),"",H900&amp;"|"&amp;I900)</f>
        <v/>
      </c>
      <c r="K900" s="19" t="str">
        <f aca="false">IF(H900="","",IF(AND(J900&lt;&gt;"",COUNTIF(Pessoas!$J:$J,J900)&gt;0),"SIM",IF(COUNTIF(Pessoas!$H:$H,H900)&gt;0,"nome igual em Pessoas: confira o CPF","")))</f>
        <v/>
      </c>
      <c r="L900" s="27"/>
      <c r="M900" s="5"/>
    </row>
    <row r="901" customFormat="false" ht="15" hidden="false" customHeight="false" outlineLevel="0" collapsed="false">
      <c r="A901" s="27"/>
      <c r="B901" s="5"/>
      <c r="C901" s="27"/>
      <c r="D901" s="18"/>
      <c r="E901" s="14"/>
      <c r="F901" s="18"/>
      <c r="G901" s="19" t="str">
        <f aca="false">IF(A901="","",IFERROR(INDEX(Empresas!$B:$B,MATCH(A901,Empresas!$A:$A,0))&amp;"","cadastre o CNPJ em Empresas"))</f>
        <v/>
      </c>
      <c r="H901" s="28" t="str">
        <f aca="false">IF(B901="","",SUBSTITUTE(SUBSTITUTE(SUBSTITUTE(SUBSTITUTE(SUBSTITUTE(SUBSTITUTE(SUBSTITUTE(SUBSTITUTE(SUBSTITUTE(SUBSTITUTE(SUBSTITUTE(SUBSTITUTE(SUBSTITUTE(UPPER(TRIM(B901)),"Á","A"),"À","A"),"Â","A"),"Ã","A"),"É","E"),"Ê","E"),"Í","I"),"Ó","O"),"Ô","O"),"Õ","O"),"Ú","U"),"Ü","U"),"Ç","C"))</f>
        <v/>
      </c>
      <c r="I901" s="28" t="str">
        <f aca="false">IF(C901="","",IF(LEN(SUBSTITUTE(SUBSTITUTE(SUBSTITUTE(SUBSTITUTE(TRIM(C901),"*",""),".",""),"-","")," ",""))=11,MID(SUBSTITUTE(SUBSTITUTE(SUBSTITUTE(SUBSTITUTE(TRIM(C901),"*",""),".",""),"-","")," ",""),4,6),SUBSTITUTE(SUBSTITUTE(SUBSTITUTE(SUBSTITUTE(TRIM(C901),"*",""),".",""),"-","")," ","")))</f>
        <v/>
      </c>
      <c r="J901" s="28" t="str">
        <f aca="false">IF(OR(H901="",I901=""),"",H901&amp;"|"&amp;I901)</f>
        <v/>
      </c>
      <c r="K901" s="19" t="str">
        <f aca="false">IF(H901="","",IF(AND(J901&lt;&gt;"",COUNTIF(Pessoas!$J:$J,J901)&gt;0),"SIM",IF(COUNTIF(Pessoas!$H:$H,H901)&gt;0,"nome igual em Pessoas: confira o CPF","")))</f>
        <v/>
      </c>
      <c r="L901" s="27"/>
      <c r="M901" s="5"/>
    </row>
    <row r="902" customFormat="false" ht="15" hidden="false" customHeight="false" outlineLevel="0" collapsed="false">
      <c r="A902" s="27"/>
      <c r="B902" s="5"/>
      <c r="C902" s="27"/>
      <c r="D902" s="18"/>
      <c r="E902" s="14"/>
      <c r="F902" s="18"/>
      <c r="G902" s="19" t="str">
        <f aca="false">IF(A902="","",IFERROR(INDEX(Empresas!$B:$B,MATCH(A902,Empresas!$A:$A,0))&amp;"","cadastre o CNPJ em Empresas"))</f>
        <v/>
      </c>
      <c r="H902" s="28" t="str">
        <f aca="false">IF(B902="","",SUBSTITUTE(SUBSTITUTE(SUBSTITUTE(SUBSTITUTE(SUBSTITUTE(SUBSTITUTE(SUBSTITUTE(SUBSTITUTE(SUBSTITUTE(SUBSTITUTE(SUBSTITUTE(SUBSTITUTE(SUBSTITUTE(UPPER(TRIM(B902)),"Á","A"),"À","A"),"Â","A"),"Ã","A"),"É","E"),"Ê","E"),"Í","I"),"Ó","O"),"Ô","O"),"Õ","O"),"Ú","U"),"Ü","U"),"Ç","C"))</f>
        <v/>
      </c>
      <c r="I902" s="28" t="str">
        <f aca="false">IF(C902="","",IF(LEN(SUBSTITUTE(SUBSTITUTE(SUBSTITUTE(SUBSTITUTE(TRIM(C902),"*",""),".",""),"-","")," ",""))=11,MID(SUBSTITUTE(SUBSTITUTE(SUBSTITUTE(SUBSTITUTE(TRIM(C902),"*",""),".",""),"-","")," ",""),4,6),SUBSTITUTE(SUBSTITUTE(SUBSTITUTE(SUBSTITUTE(TRIM(C902),"*",""),".",""),"-","")," ","")))</f>
        <v/>
      </c>
      <c r="J902" s="28" t="str">
        <f aca="false">IF(OR(H902="",I902=""),"",H902&amp;"|"&amp;I902)</f>
        <v/>
      </c>
      <c r="K902" s="19" t="str">
        <f aca="false">IF(H902="","",IF(AND(J902&lt;&gt;"",COUNTIF(Pessoas!$J:$J,J902)&gt;0),"SIM",IF(COUNTIF(Pessoas!$H:$H,H902)&gt;0,"nome igual em Pessoas: confira o CPF","")))</f>
        <v/>
      </c>
      <c r="L902" s="27"/>
      <c r="M902" s="5"/>
    </row>
    <row r="903" customFormat="false" ht="15" hidden="false" customHeight="false" outlineLevel="0" collapsed="false">
      <c r="A903" s="27"/>
      <c r="B903" s="5"/>
      <c r="C903" s="27"/>
      <c r="D903" s="18"/>
      <c r="E903" s="14"/>
      <c r="F903" s="18"/>
      <c r="G903" s="19" t="str">
        <f aca="false">IF(A903="","",IFERROR(INDEX(Empresas!$B:$B,MATCH(A903,Empresas!$A:$A,0))&amp;"","cadastre o CNPJ em Empresas"))</f>
        <v/>
      </c>
      <c r="H903" s="28" t="str">
        <f aca="false">IF(B903="","",SUBSTITUTE(SUBSTITUTE(SUBSTITUTE(SUBSTITUTE(SUBSTITUTE(SUBSTITUTE(SUBSTITUTE(SUBSTITUTE(SUBSTITUTE(SUBSTITUTE(SUBSTITUTE(SUBSTITUTE(SUBSTITUTE(UPPER(TRIM(B903)),"Á","A"),"À","A"),"Â","A"),"Ã","A"),"É","E"),"Ê","E"),"Í","I"),"Ó","O"),"Ô","O"),"Õ","O"),"Ú","U"),"Ü","U"),"Ç","C"))</f>
        <v/>
      </c>
      <c r="I903" s="28" t="str">
        <f aca="false">IF(C903="","",IF(LEN(SUBSTITUTE(SUBSTITUTE(SUBSTITUTE(SUBSTITUTE(TRIM(C903),"*",""),".",""),"-","")," ",""))=11,MID(SUBSTITUTE(SUBSTITUTE(SUBSTITUTE(SUBSTITUTE(TRIM(C903),"*",""),".",""),"-","")," ",""),4,6),SUBSTITUTE(SUBSTITUTE(SUBSTITUTE(SUBSTITUTE(TRIM(C903),"*",""),".",""),"-","")," ","")))</f>
        <v/>
      </c>
      <c r="J903" s="28" t="str">
        <f aca="false">IF(OR(H903="",I903=""),"",H903&amp;"|"&amp;I903)</f>
        <v/>
      </c>
      <c r="K903" s="19" t="str">
        <f aca="false">IF(H903="","",IF(AND(J903&lt;&gt;"",COUNTIF(Pessoas!$J:$J,J903)&gt;0),"SIM",IF(COUNTIF(Pessoas!$H:$H,H903)&gt;0,"nome igual em Pessoas: confira o CPF","")))</f>
        <v/>
      </c>
      <c r="L903" s="27"/>
      <c r="M903" s="5"/>
    </row>
    <row r="904" customFormat="false" ht="15" hidden="false" customHeight="false" outlineLevel="0" collapsed="false">
      <c r="A904" s="27"/>
      <c r="B904" s="5"/>
      <c r="C904" s="27"/>
      <c r="D904" s="18"/>
      <c r="E904" s="14"/>
      <c r="F904" s="18"/>
      <c r="G904" s="19" t="str">
        <f aca="false">IF(A904="","",IFERROR(INDEX(Empresas!$B:$B,MATCH(A904,Empresas!$A:$A,0))&amp;"","cadastre o CNPJ em Empresas"))</f>
        <v/>
      </c>
      <c r="H904" s="28" t="str">
        <f aca="false">IF(B904="","",SUBSTITUTE(SUBSTITUTE(SUBSTITUTE(SUBSTITUTE(SUBSTITUTE(SUBSTITUTE(SUBSTITUTE(SUBSTITUTE(SUBSTITUTE(SUBSTITUTE(SUBSTITUTE(SUBSTITUTE(SUBSTITUTE(UPPER(TRIM(B904)),"Á","A"),"À","A"),"Â","A"),"Ã","A"),"É","E"),"Ê","E"),"Í","I"),"Ó","O"),"Ô","O"),"Õ","O"),"Ú","U"),"Ü","U"),"Ç","C"))</f>
        <v/>
      </c>
      <c r="I904" s="28" t="str">
        <f aca="false">IF(C904="","",IF(LEN(SUBSTITUTE(SUBSTITUTE(SUBSTITUTE(SUBSTITUTE(TRIM(C904),"*",""),".",""),"-","")," ",""))=11,MID(SUBSTITUTE(SUBSTITUTE(SUBSTITUTE(SUBSTITUTE(TRIM(C904),"*",""),".",""),"-","")," ",""),4,6),SUBSTITUTE(SUBSTITUTE(SUBSTITUTE(SUBSTITUTE(TRIM(C904),"*",""),".",""),"-","")," ","")))</f>
        <v/>
      </c>
      <c r="J904" s="28" t="str">
        <f aca="false">IF(OR(H904="",I904=""),"",H904&amp;"|"&amp;I904)</f>
        <v/>
      </c>
      <c r="K904" s="19" t="str">
        <f aca="false">IF(H904="","",IF(AND(J904&lt;&gt;"",COUNTIF(Pessoas!$J:$J,J904)&gt;0),"SIM",IF(COUNTIF(Pessoas!$H:$H,H904)&gt;0,"nome igual em Pessoas: confira o CPF","")))</f>
        <v/>
      </c>
      <c r="L904" s="27"/>
      <c r="M904" s="5"/>
    </row>
    <row r="905" customFormat="false" ht="15" hidden="false" customHeight="false" outlineLevel="0" collapsed="false">
      <c r="A905" s="27"/>
      <c r="B905" s="5"/>
      <c r="C905" s="27"/>
      <c r="D905" s="18"/>
      <c r="E905" s="14"/>
      <c r="F905" s="18"/>
      <c r="G905" s="19" t="str">
        <f aca="false">IF(A905="","",IFERROR(INDEX(Empresas!$B:$B,MATCH(A905,Empresas!$A:$A,0))&amp;"","cadastre o CNPJ em Empresas"))</f>
        <v/>
      </c>
      <c r="H905" s="28" t="str">
        <f aca="false">IF(B905="","",SUBSTITUTE(SUBSTITUTE(SUBSTITUTE(SUBSTITUTE(SUBSTITUTE(SUBSTITUTE(SUBSTITUTE(SUBSTITUTE(SUBSTITUTE(SUBSTITUTE(SUBSTITUTE(SUBSTITUTE(SUBSTITUTE(UPPER(TRIM(B905)),"Á","A"),"À","A"),"Â","A"),"Ã","A"),"É","E"),"Ê","E"),"Í","I"),"Ó","O"),"Ô","O"),"Õ","O"),"Ú","U"),"Ü","U"),"Ç","C"))</f>
        <v/>
      </c>
      <c r="I905" s="28" t="str">
        <f aca="false">IF(C905="","",IF(LEN(SUBSTITUTE(SUBSTITUTE(SUBSTITUTE(SUBSTITUTE(TRIM(C905),"*",""),".",""),"-","")," ",""))=11,MID(SUBSTITUTE(SUBSTITUTE(SUBSTITUTE(SUBSTITUTE(TRIM(C905),"*",""),".",""),"-","")," ",""),4,6),SUBSTITUTE(SUBSTITUTE(SUBSTITUTE(SUBSTITUTE(TRIM(C905),"*",""),".",""),"-","")," ","")))</f>
        <v/>
      </c>
      <c r="J905" s="28" t="str">
        <f aca="false">IF(OR(H905="",I905=""),"",H905&amp;"|"&amp;I905)</f>
        <v/>
      </c>
      <c r="K905" s="19" t="str">
        <f aca="false">IF(H905="","",IF(AND(J905&lt;&gt;"",COUNTIF(Pessoas!$J:$J,J905)&gt;0),"SIM",IF(COUNTIF(Pessoas!$H:$H,H905)&gt;0,"nome igual em Pessoas: confira o CPF","")))</f>
        <v/>
      </c>
      <c r="L905" s="27"/>
      <c r="M905" s="5"/>
    </row>
    <row r="906" customFormat="false" ht="15" hidden="false" customHeight="false" outlineLevel="0" collapsed="false">
      <c r="A906" s="27"/>
      <c r="B906" s="5"/>
      <c r="C906" s="27"/>
      <c r="D906" s="18"/>
      <c r="E906" s="14"/>
      <c r="F906" s="18"/>
      <c r="G906" s="19" t="str">
        <f aca="false">IF(A906="","",IFERROR(INDEX(Empresas!$B:$B,MATCH(A906,Empresas!$A:$A,0))&amp;"","cadastre o CNPJ em Empresas"))</f>
        <v/>
      </c>
      <c r="H906" s="28" t="str">
        <f aca="false">IF(B906="","",SUBSTITUTE(SUBSTITUTE(SUBSTITUTE(SUBSTITUTE(SUBSTITUTE(SUBSTITUTE(SUBSTITUTE(SUBSTITUTE(SUBSTITUTE(SUBSTITUTE(SUBSTITUTE(SUBSTITUTE(SUBSTITUTE(UPPER(TRIM(B906)),"Á","A"),"À","A"),"Â","A"),"Ã","A"),"É","E"),"Ê","E"),"Í","I"),"Ó","O"),"Ô","O"),"Õ","O"),"Ú","U"),"Ü","U"),"Ç","C"))</f>
        <v/>
      </c>
      <c r="I906" s="28" t="str">
        <f aca="false">IF(C906="","",IF(LEN(SUBSTITUTE(SUBSTITUTE(SUBSTITUTE(SUBSTITUTE(TRIM(C906),"*",""),".",""),"-","")," ",""))=11,MID(SUBSTITUTE(SUBSTITUTE(SUBSTITUTE(SUBSTITUTE(TRIM(C906),"*",""),".",""),"-","")," ",""),4,6),SUBSTITUTE(SUBSTITUTE(SUBSTITUTE(SUBSTITUTE(TRIM(C906),"*",""),".",""),"-","")," ","")))</f>
        <v/>
      </c>
      <c r="J906" s="28" t="str">
        <f aca="false">IF(OR(H906="",I906=""),"",H906&amp;"|"&amp;I906)</f>
        <v/>
      </c>
      <c r="K906" s="19" t="str">
        <f aca="false">IF(H906="","",IF(AND(J906&lt;&gt;"",COUNTIF(Pessoas!$J:$J,J906)&gt;0),"SIM",IF(COUNTIF(Pessoas!$H:$H,H906)&gt;0,"nome igual em Pessoas: confira o CPF","")))</f>
        <v/>
      </c>
      <c r="L906" s="27"/>
      <c r="M906" s="5"/>
    </row>
    <row r="907" customFormat="false" ht="15" hidden="false" customHeight="false" outlineLevel="0" collapsed="false">
      <c r="A907" s="27"/>
      <c r="B907" s="5"/>
      <c r="C907" s="27"/>
      <c r="D907" s="18"/>
      <c r="E907" s="14"/>
      <c r="F907" s="18"/>
      <c r="G907" s="19" t="str">
        <f aca="false">IF(A907="","",IFERROR(INDEX(Empresas!$B:$B,MATCH(A907,Empresas!$A:$A,0))&amp;"","cadastre o CNPJ em Empresas"))</f>
        <v/>
      </c>
      <c r="H907" s="28" t="str">
        <f aca="false">IF(B907="","",SUBSTITUTE(SUBSTITUTE(SUBSTITUTE(SUBSTITUTE(SUBSTITUTE(SUBSTITUTE(SUBSTITUTE(SUBSTITUTE(SUBSTITUTE(SUBSTITUTE(SUBSTITUTE(SUBSTITUTE(SUBSTITUTE(UPPER(TRIM(B907)),"Á","A"),"À","A"),"Â","A"),"Ã","A"),"É","E"),"Ê","E"),"Í","I"),"Ó","O"),"Ô","O"),"Õ","O"),"Ú","U"),"Ü","U"),"Ç","C"))</f>
        <v/>
      </c>
      <c r="I907" s="28" t="str">
        <f aca="false">IF(C907="","",IF(LEN(SUBSTITUTE(SUBSTITUTE(SUBSTITUTE(SUBSTITUTE(TRIM(C907),"*",""),".",""),"-","")," ",""))=11,MID(SUBSTITUTE(SUBSTITUTE(SUBSTITUTE(SUBSTITUTE(TRIM(C907),"*",""),".",""),"-","")," ",""),4,6),SUBSTITUTE(SUBSTITUTE(SUBSTITUTE(SUBSTITUTE(TRIM(C907),"*",""),".",""),"-","")," ","")))</f>
        <v/>
      </c>
      <c r="J907" s="28" t="str">
        <f aca="false">IF(OR(H907="",I907=""),"",H907&amp;"|"&amp;I907)</f>
        <v/>
      </c>
      <c r="K907" s="19" t="str">
        <f aca="false">IF(H907="","",IF(AND(J907&lt;&gt;"",COUNTIF(Pessoas!$J:$J,J907)&gt;0),"SIM",IF(COUNTIF(Pessoas!$H:$H,H907)&gt;0,"nome igual em Pessoas: confira o CPF","")))</f>
        <v/>
      </c>
      <c r="L907" s="27"/>
      <c r="M907" s="5"/>
    </row>
    <row r="908" customFormat="false" ht="15" hidden="false" customHeight="false" outlineLevel="0" collapsed="false">
      <c r="A908" s="27"/>
      <c r="B908" s="5"/>
      <c r="C908" s="27"/>
      <c r="D908" s="18"/>
      <c r="E908" s="14"/>
      <c r="F908" s="18"/>
      <c r="G908" s="19" t="str">
        <f aca="false">IF(A908="","",IFERROR(INDEX(Empresas!$B:$B,MATCH(A908,Empresas!$A:$A,0))&amp;"","cadastre o CNPJ em Empresas"))</f>
        <v/>
      </c>
      <c r="H908" s="28" t="str">
        <f aca="false">IF(B908="","",SUBSTITUTE(SUBSTITUTE(SUBSTITUTE(SUBSTITUTE(SUBSTITUTE(SUBSTITUTE(SUBSTITUTE(SUBSTITUTE(SUBSTITUTE(SUBSTITUTE(SUBSTITUTE(SUBSTITUTE(SUBSTITUTE(UPPER(TRIM(B908)),"Á","A"),"À","A"),"Â","A"),"Ã","A"),"É","E"),"Ê","E"),"Í","I"),"Ó","O"),"Ô","O"),"Õ","O"),"Ú","U"),"Ü","U"),"Ç","C"))</f>
        <v/>
      </c>
      <c r="I908" s="28" t="str">
        <f aca="false">IF(C908="","",IF(LEN(SUBSTITUTE(SUBSTITUTE(SUBSTITUTE(SUBSTITUTE(TRIM(C908),"*",""),".",""),"-","")," ",""))=11,MID(SUBSTITUTE(SUBSTITUTE(SUBSTITUTE(SUBSTITUTE(TRIM(C908),"*",""),".",""),"-","")," ",""),4,6),SUBSTITUTE(SUBSTITUTE(SUBSTITUTE(SUBSTITUTE(TRIM(C908),"*",""),".",""),"-","")," ","")))</f>
        <v/>
      </c>
      <c r="J908" s="28" t="str">
        <f aca="false">IF(OR(H908="",I908=""),"",H908&amp;"|"&amp;I908)</f>
        <v/>
      </c>
      <c r="K908" s="19" t="str">
        <f aca="false">IF(H908="","",IF(AND(J908&lt;&gt;"",COUNTIF(Pessoas!$J:$J,J908)&gt;0),"SIM",IF(COUNTIF(Pessoas!$H:$H,H908)&gt;0,"nome igual em Pessoas: confira o CPF","")))</f>
        <v/>
      </c>
      <c r="L908" s="27"/>
      <c r="M908" s="5"/>
    </row>
    <row r="909" customFormat="false" ht="15" hidden="false" customHeight="false" outlineLevel="0" collapsed="false">
      <c r="A909" s="27"/>
      <c r="B909" s="5"/>
      <c r="C909" s="27"/>
      <c r="D909" s="18"/>
      <c r="E909" s="14"/>
      <c r="F909" s="18"/>
      <c r="G909" s="19" t="str">
        <f aca="false">IF(A909="","",IFERROR(INDEX(Empresas!$B:$B,MATCH(A909,Empresas!$A:$A,0))&amp;"","cadastre o CNPJ em Empresas"))</f>
        <v/>
      </c>
      <c r="H909" s="28" t="str">
        <f aca="false">IF(B909="","",SUBSTITUTE(SUBSTITUTE(SUBSTITUTE(SUBSTITUTE(SUBSTITUTE(SUBSTITUTE(SUBSTITUTE(SUBSTITUTE(SUBSTITUTE(SUBSTITUTE(SUBSTITUTE(SUBSTITUTE(SUBSTITUTE(UPPER(TRIM(B909)),"Á","A"),"À","A"),"Â","A"),"Ã","A"),"É","E"),"Ê","E"),"Í","I"),"Ó","O"),"Ô","O"),"Õ","O"),"Ú","U"),"Ü","U"),"Ç","C"))</f>
        <v/>
      </c>
      <c r="I909" s="28" t="str">
        <f aca="false">IF(C909="","",IF(LEN(SUBSTITUTE(SUBSTITUTE(SUBSTITUTE(SUBSTITUTE(TRIM(C909),"*",""),".",""),"-","")," ",""))=11,MID(SUBSTITUTE(SUBSTITUTE(SUBSTITUTE(SUBSTITUTE(TRIM(C909),"*",""),".",""),"-","")," ",""),4,6),SUBSTITUTE(SUBSTITUTE(SUBSTITUTE(SUBSTITUTE(TRIM(C909),"*",""),".",""),"-","")," ","")))</f>
        <v/>
      </c>
      <c r="J909" s="28" t="str">
        <f aca="false">IF(OR(H909="",I909=""),"",H909&amp;"|"&amp;I909)</f>
        <v/>
      </c>
      <c r="K909" s="19" t="str">
        <f aca="false">IF(H909="","",IF(AND(J909&lt;&gt;"",COUNTIF(Pessoas!$J:$J,J909)&gt;0),"SIM",IF(COUNTIF(Pessoas!$H:$H,H909)&gt;0,"nome igual em Pessoas: confira o CPF","")))</f>
        <v/>
      </c>
      <c r="L909" s="27"/>
      <c r="M909" s="5"/>
    </row>
    <row r="910" customFormat="false" ht="15" hidden="false" customHeight="false" outlineLevel="0" collapsed="false">
      <c r="A910" s="27"/>
      <c r="B910" s="5"/>
      <c r="C910" s="27"/>
      <c r="D910" s="18"/>
      <c r="E910" s="14"/>
      <c r="F910" s="18"/>
      <c r="G910" s="19" t="str">
        <f aca="false">IF(A910="","",IFERROR(INDEX(Empresas!$B:$B,MATCH(A910,Empresas!$A:$A,0))&amp;"","cadastre o CNPJ em Empresas"))</f>
        <v/>
      </c>
      <c r="H910" s="28" t="str">
        <f aca="false">IF(B910="","",SUBSTITUTE(SUBSTITUTE(SUBSTITUTE(SUBSTITUTE(SUBSTITUTE(SUBSTITUTE(SUBSTITUTE(SUBSTITUTE(SUBSTITUTE(SUBSTITUTE(SUBSTITUTE(SUBSTITUTE(SUBSTITUTE(UPPER(TRIM(B910)),"Á","A"),"À","A"),"Â","A"),"Ã","A"),"É","E"),"Ê","E"),"Í","I"),"Ó","O"),"Ô","O"),"Õ","O"),"Ú","U"),"Ü","U"),"Ç","C"))</f>
        <v/>
      </c>
      <c r="I910" s="28" t="str">
        <f aca="false">IF(C910="","",IF(LEN(SUBSTITUTE(SUBSTITUTE(SUBSTITUTE(SUBSTITUTE(TRIM(C910),"*",""),".",""),"-","")," ",""))=11,MID(SUBSTITUTE(SUBSTITUTE(SUBSTITUTE(SUBSTITUTE(TRIM(C910),"*",""),".",""),"-","")," ",""),4,6),SUBSTITUTE(SUBSTITUTE(SUBSTITUTE(SUBSTITUTE(TRIM(C910),"*",""),".",""),"-","")," ","")))</f>
        <v/>
      </c>
      <c r="J910" s="28" t="str">
        <f aca="false">IF(OR(H910="",I910=""),"",H910&amp;"|"&amp;I910)</f>
        <v/>
      </c>
      <c r="K910" s="19" t="str">
        <f aca="false">IF(H910="","",IF(AND(J910&lt;&gt;"",COUNTIF(Pessoas!$J:$J,J910)&gt;0),"SIM",IF(COUNTIF(Pessoas!$H:$H,H910)&gt;0,"nome igual em Pessoas: confira o CPF","")))</f>
        <v/>
      </c>
      <c r="L910" s="27"/>
      <c r="M910" s="5"/>
    </row>
    <row r="911" customFormat="false" ht="15" hidden="false" customHeight="false" outlineLevel="0" collapsed="false">
      <c r="A911" s="27"/>
      <c r="B911" s="5"/>
      <c r="C911" s="27"/>
      <c r="D911" s="18"/>
      <c r="E911" s="14"/>
      <c r="F911" s="18"/>
      <c r="G911" s="19" t="str">
        <f aca="false">IF(A911="","",IFERROR(INDEX(Empresas!$B:$B,MATCH(A911,Empresas!$A:$A,0))&amp;"","cadastre o CNPJ em Empresas"))</f>
        <v/>
      </c>
      <c r="H911" s="28" t="str">
        <f aca="false">IF(B911="","",SUBSTITUTE(SUBSTITUTE(SUBSTITUTE(SUBSTITUTE(SUBSTITUTE(SUBSTITUTE(SUBSTITUTE(SUBSTITUTE(SUBSTITUTE(SUBSTITUTE(SUBSTITUTE(SUBSTITUTE(SUBSTITUTE(UPPER(TRIM(B911)),"Á","A"),"À","A"),"Â","A"),"Ã","A"),"É","E"),"Ê","E"),"Í","I"),"Ó","O"),"Ô","O"),"Õ","O"),"Ú","U"),"Ü","U"),"Ç","C"))</f>
        <v/>
      </c>
      <c r="I911" s="28" t="str">
        <f aca="false">IF(C911="","",IF(LEN(SUBSTITUTE(SUBSTITUTE(SUBSTITUTE(SUBSTITUTE(TRIM(C911),"*",""),".",""),"-","")," ",""))=11,MID(SUBSTITUTE(SUBSTITUTE(SUBSTITUTE(SUBSTITUTE(TRIM(C911),"*",""),".",""),"-","")," ",""),4,6),SUBSTITUTE(SUBSTITUTE(SUBSTITUTE(SUBSTITUTE(TRIM(C911),"*",""),".",""),"-","")," ","")))</f>
        <v/>
      </c>
      <c r="J911" s="28" t="str">
        <f aca="false">IF(OR(H911="",I911=""),"",H911&amp;"|"&amp;I911)</f>
        <v/>
      </c>
      <c r="K911" s="19" t="str">
        <f aca="false">IF(H911="","",IF(AND(J911&lt;&gt;"",COUNTIF(Pessoas!$J:$J,J911)&gt;0),"SIM",IF(COUNTIF(Pessoas!$H:$H,H911)&gt;0,"nome igual em Pessoas: confira o CPF","")))</f>
        <v/>
      </c>
      <c r="L911" s="27"/>
      <c r="M911" s="5"/>
    </row>
    <row r="912" customFormat="false" ht="15" hidden="false" customHeight="false" outlineLevel="0" collapsed="false">
      <c r="A912" s="27"/>
      <c r="B912" s="5"/>
      <c r="C912" s="27"/>
      <c r="D912" s="18"/>
      <c r="E912" s="14"/>
      <c r="F912" s="18"/>
      <c r="G912" s="19" t="str">
        <f aca="false">IF(A912="","",IFERROR(INDEX(Empresas!$B:$B,MATCH(A912,Empresas!$A:$A,0))&amp;"","cadastre o CNPJ em Empresas"))</f>
        <v/>
      </c>
      <c r="H912" s="28" t="str">
        <f aca="false">IF(B912="","",SUBSTITUTE(SUBSTITUTE(SUBSTITUTE(SUBSTITUTE(SUBSTITUTE(SUBSTITUTE(SUBSTITUTE(SUBSTITUTE(SUBSTITUTE(SUBSTITUTE(SUBSTITUTE(SUBSTITUTE(SUBSTITUTE(UPPER(TRIM(B912)),"Á","A"),"À","A"),"Â","A"),"Ã","A"),"É","E"),"Ê","E"),"Í","I"),"Ó","O"),"Ô","O"),"Õ","O"),"Ú","U"),"Ü","U"),"Ç","C"))</f>
        <v/>
      </c>
      <c r="I912" s="28" t="str">
        <f aca="false">IF(C912="","",IF(LEN(SUBSTITUTE(SUBSTITUTE(SUBSTITUTE(SUBSTITUTE(TRIM(C912),"*",""),".",""),"-","")," ",""))=11,MID(SUBSTITUTE(SUBSTITUTE(SUBSTITUTE(SUBSTITUTE(TRIM(C912),"*",""),".",""),"-","")," ",""),4,6),SUBSTITUTE(SUBSTITUTE(SUBSTITUTE(SUBSTITUTE(TRIM(C912),"*",""),".",""),"-","")," ","")))</f>
        <v/>
      </c>
      <c r="J912" s="28" t="str">
        <f aca="false">IF(OR(H912="",I912=""),"",H912&amp;"|"&amp;I912)</f>
        <v/>
      </c>
      <c r="K912" s="19" t="str">
        <f aca="false">IF(H912="","",IF(AND(J912&lt;&gt;"",COUNTIF(Pessoas!$J:$J,J912)&gt;0),"SIM",IF(COUNTIF(Pessoas!$H:$H,H912)&gt;0,"nome igual em Pessoas: confira o CPF","")))</f>
        <v/>
      </c>
      <c r="L912" s="27"/>
      <c r="M912" s="5"/>
    </row>
    <row r="913" customFormat="false" ht="15" hidden="false" customHeight="false" outlineLevel="0" collapsed="false">
      <c r="A913" s="27"/>
      <c r="B913" s="5"/>
      <c r="C913" s="27"/>
      <c r="D913" s="18"/>
      <c r="E913" s="14"/>
      <c r="F913" s="18"/>
      <c r="G913" s="19" t="str">
        <f aca="false">IF(A913="","",IFERROR(INDEX(Empresas!$B:$B,MATCH(A913,Empresas!$A:$A,0))&amp;"","cadastre o CNPJ em Empresas"))</f>
        <v/>
      </c>
      <c r="H913" s="28" t="str">
        <f aca="false">IF(B913="","",SUBSTITUTE(SUBSTITUTE(SUBSTITUTE(SUBSTITUTE(SUBSTITUTE(SUBSTITUTE(SUBSTITUTE(SUBSTITUTE(SUBSTITUTE(SUBSTITUTE(SUBSTITUTE(SUBSTITUTE(SUBSTITUTE(UPPER(TRIM(B913)),"Á","A"),"À","A"),"Â","A"),"Ã","A"),"É","E"),"Ê","E"),"Í","I"),"Ó","O"),"Ô","O"),"Õ","O"),"Ú","U"),"Ü","U"),"Ç","C"))</f>
        <v/>
      </c>
      <c r="I913" s="28" t="str">
        <f aca="false">IF(C913="","",IF(LEN(SUBSTITUTE(SUBSTITUTE(SUBSTITUTE(SUBSTITUTE(TRIM(C913),"*",""),".",""),"-","")," ",""))=11,MID(SUBSTITUTE(SUBSTITUTE(SUBSTITUTE(SUBSTITUTE(TRIM(C913),"*",""),".",""),"-","")," ",""),4,6),SUBSTITUTE(SUBSTITUTE(SUBSTITUTE(SUBSTITUTE(TRIM(C913),"*",""),".",""),"-","")," ","")))</f>
        <v/>
      </c>
      <c r="J913" s="28" t="str">
        <f aca="false">IF(OR(H913="",I913=""),"",H913&amp;"|"&amp;I913)</f>
        <v/>
      </c>
      <c r="K913" s="19" t="str">
        <f aca="false">IF(H913="","",IF(AND(J913&lt;&gt;"",COUNTIF(Pessoas!$J:$J,J913)&gt;0),"SIM",IF(COUNTIF(Pessoas!$H:$H,H913)&gt;0,"nome igual em Pessoas: confira o CPF","")))</f>
        <v/>
      </c>
      <c r="L913" s="27"/>
      <c r="M913" s="5"/>
    </row>
    <row r="914" customFormat="false" ht="15" hidden="false" customHeight="false" outlineLevel="0" collapsed="false">
      <c r="A914" s="27"/>
      <c r="B914" s="5"/>
      <c r="C914" s="27"/>
      <c r="D914" s="18"/>
      <c r="E914" s="14"/>
      <c r="F914" s="18"/>
      <c r="G914" s="19" t="str">
        <f aca="false">IF(A914="","",IFERROR(INDEX(Empresas!$B:$B,MATCH(A914,Empresas!$A:$A,0))&amp;"","cadastre o CNPJ em Empresas"))</f>
        <v/>
      </c>
      <c r="H914" s="28" t="str">
        <f aca="false">IF(B914="","",SUBSTITUTE(SUBSTITUTE(SUBSTITUTE(SUBSTITUTE(SUBSTITUTE(SUBSTITUTE(SUBSTITUTE(SUBSTITUTE(SUBSTITUTE(SUBSTITUTE(SUBSTITUTE(SUBSTITUTE(SUBSTITUTE(UPPER(TRIM(B914)),"Á","A"),"À","A"),"Â","A"),"Ã","A"),"É","E"),"Ê","E"),"Í","I"),"Ó","O"),"Ô","O"),"Õ","O"),"Ú","U"),"Ü","U"),"Ç","C"))</f>
        <v/>
      </c>
      <c r="I914" s="28" t="str">
        <f aca="false">IF(C914="","",IF(LEN(SUBSTITUTE(SUBSTITUTE(SUBSTITUTE(SUBSTITUTE(TRIM(C914),"*",""),".",""),"-","")," ",""))=11,MID(SUBSTITUTE(SUBSTITUTE(SUBSTITUTE(SUBSTITUTE(TRIM(C914),"*",""),".",""),"-","")," ",""),4,6),SUBSTITUTE(SUBSTITUTE(SUBSTITUTE(SUBSTITUTE(TRIM(C914),"*",""),".",""),"-","")," ","")))</f>
        <v/>
      </c>
      <c r="J914" s="28" t="str">
        <f aca="false">IF(OR(H914="",I914=""),"",H914&amp;"|"&amp;I914)</f>
        <v/>
      </c>
      <c r="K914" s="19" t="str">
        <f aca="false">IF(H914="","",IF(AND(J914&lt;&gt;"",COUNTIF(Pessoas!$J:$J,J914)&gt;0),"SIM",IF(COUNTIF(Pessoas!$H:$H,H914)&gt;0,"nome igual em Pessoas: confira o CPF","")))</f>
        <v/>
      </c>
      <c r="L914" s="27"/>
      <c r="M914" s="5"/>
    </row>
    <row r="915" customFormat="false" ht="15" hidden="false" customHeight="false" outlineLevel="0" collapsed="false">
      <c r="A915" s="27"/>
      <c r="B915" s="5"/>
      <c r="C915" s="27"/>
      <c r="D915" s="18"/>
      <c r="E915" s="14"/>
      <c r="F915" s="18"/>
      <c r="G915" s="19" t="str">
        <f aca="false">IF(A915="","",IFERROR(INDEX(Empresas!$B:$B,MATCH(A915,Empresas!$A:$A,0))&amp;"","cadastre o CNPJ em Empresas"))</f>
        <v/>
      </c>
      <c r="H915" s="28" t="str">
        <f aca="false">IF(B915="","",SUBSTITUTE(SUBSTITUTE(SUBSTITUTE(SUBSTITUTE(SUBSTITUTE(SUBSTITUTE(SUBSTITUTE(SUBSTITUTE(SUBSTITUTE(SUBSTITUTE(SUBSTITUTE(SUBSTITUTE(SUBSTITUTE(UPPER(TRIM(B915)),"Á","A"),"À","A"),"Â","A"),"Ã","A"),"É","E"),"Ê","E"),"Í","I"),"Ó","O"),"Ô","O"),"Õ","O"),"Ú","U"),"Ü","U"),"Ç","C"))</f>
        <v/>
      </c>
      <c r="I915" s="28" t="str">
        <f aca="false">IF(C915="","",IF(LEN(SUBSTITUTE(SUBSTITUTE(SUBSTITUTE(SUBSTITUTE(TRIM(C915),"*",""),".",""),"-","")," ",""))=11,MID(SUBSTITUTE(SUBSTITUTE(SUBSTITUTE(SUBSTITUTE(TRIM(C915),"*",""),".",""),"-","")," ",""),4,6),SUBSTITUTE(SUBSTITUTE(SUBSTITUTE(SUBSTITUTE(TRIM(C915),"*",""),".",""),"-","")," ","")))</f>
        <v/>
      </c>
      <c r="J915" s="28" t="str">
        <f aca="false">IF(OR(H915="",I915=""),"",H915&amp;"|"&amp;I915)</f>
        <v/>
      </c>
      <c r="K915" s="19" t="str">
        <f aca="false">IF(H915="","",IF(AND(J915&lt;&gt;"",COUNTIF(Pessoas!$J:$J,J915)&gt;0),"SIM",IF(COUNTIF(Pessoas!$H:$H,H915)&gt;0,"nome igual em Pessoas: confira o CPF","")))</f>
        <v/>
      </c>
      <c r="L915" s="27"/>
      <c r="M915" s="5"/>
    </row>
    <row r="916" customFormat="false" ht="15" hidden="false" customHeight="false" outlineLevel="0" collapsed="false">
      <c r="A916" s="27"/>
      <c r="B916" s="5"/>
      <c r="C916" s="27"/>
      <c r="D916" s="18"/>
      <c r="E916" s="14"/>
      <c r="F916" s="18"/>
      <c r="G916" s="19" t="str">
        <f aca="false">IF(A916="","",IFERROR(INDEX(Empresas!$B:$B,MATCH(A916,Empresas!$A:$A,0))&amp;"","cadastre o CNPJ em Empresas"))</f>
        <v/>
      </c>
      <c r="H916" s="28" t="str">
        <f aca="false">IF(B916="","",SUBSTITUTE(SUBSTITUTE(SUBSTITUTE(SUBSTITUTE(SUBSTITUTE(SUBSTITUTE(SUBSTITUTE(SUBSTITUTE(SUBSTITUTE(SUBSTITUTE(SUBSTITUTE(SUBSTITUTE(SUBSTITUTE(UPPER(TRIM(B916)),"Á","A"),"À","A"),"Â","A"),"Ã","A"),"É","E"),"Ê","E"),"Í","I"),"Ó","O"),"Ô","O"),"Õ","O"),"Ú","U"),"Ü","U"),"Ç","C"))</f>
        <v/>
      </c>
      <c r="I916" s="28" t="str">
        <f aca="false">IF(C916="","",IF(LEN(SUBSTITUTE(SUBSTITUTE(SUBSTITUTE(SUBSTITUTE(TRIM(C916),"*",""),".",""),"-","")," ",""))=11,MID(SUBSTITUTE(SUBSTITUTE(SUBSTITUTE(SUBSTITUTE(TRIM(C916),"*",""),".",""),"-","")," ",""),4,6),SUBSTITUTE(SUBSTITUTE(SUBSTITUTE(SUBSTITUTE(TRIM(C916),"*",""),".",""),"-","")," ","")))</f>
        <v/>
      </c>
      <c r="J916" s="28" t="str">
        <f aca="false">IF(OR(H916="",I916=""),"",H916&amp;"|"&amp;I916)</f>
        <v/>
      </c>
      <c r="K916" s="19" t="str">
        <f aca="false">IF(H916="","",IF(AND(J916&lt;&gt;"",COUNTIF(Pessoas!$J:$J,J916)&gt;0),"SIM",IF(COUNTIF(Pessoas!$H:$H,H916)&gt;0,"nome igual em Pessoas: confira o CPF","")))</f>
        <v/>
      </c>
      <c r="L916" s="27"/>
      <c r="M916" s="5"/>
    </row>
    <row r="917" customFormat="false" ht="15" hidden="false" customHeight="false" outlineLevel="0" collapsed="false">
      <c r="A917" s="27"/>
      <c r="B917" s="5"/>
      <c r="C917" s="27"/>
      <c r="D917" s="18"/>
      <c r="E917" s="14"/>
      <c r="F917" s="18"/>
      <c r="G917" s="19" t="str">
        <f aca="false">IF(A917="","",IFERROR(INDEX(Empresas!$B:$B,MATCH(A917,Empresas!$A:$A,0))&amp;"","cadastre o CNPJ em Empresas"))</f>
        <v/>
      </c>
      <c r="H917" s="28" t="str">
        <f aca="false">IF(B917="","",SUBSTITUTE(SUBSTITUTE(SUBSTITUTE(SUBSTITUTE(SUBSTITUTE(SUBSTITUTE(SUBSTITUTE(SUBSTITUTE(SUBSTITUTE(SUBSTITUTE(SUBSTITUTE(SUBSTITUTE(SUBSTITUTE(UPPER(TRIM(B917)),"Á","A"),"À","A"),"Â","A"),"Ã","A"),"É","E"),"Ê","E"),"Í","I"),"Ó","O"),"Ô","O"),"Õ","O"),"Ú","U"),"Ü","U"),"Ç","C"))</f>
        <v/>
      </c>
      <c r="I917" s="28" t="str">
        <f aca="false">IF(C917="","",IF(LEN(SUBSTITUTE(SUBSTITUTE(SUBSTITUTE(SUBSTITUTE(TRIM(C917),"*",""),".",""),"-","")," ",""))=11,MID(SUBSTITUTE(SUBSTITUTE(SUBSTITUTE(SUBSTITUTE(TRIM(C917),"*",""),".",""),"-","")," ",""),4,6),SUBSTITUTE(SUBSTITUTE(SUBSTITUTE(SUBSTITUTE(TRIM(C917),"*",""),".",""),"-","")," ","")))</f>
        <v/>
      </c>
      <c r="J917" s="28" t="str">
        <f aca="false">IF(OR(H917="",I917=""),"",H917&amp;"|"&amp;I917)</f>
        <v/>
      </c>
      <c r="K917" s="19" t="str">
        <f aca="false">IF(H917="","",IF(AND(J917&lt;&gt;"",COUNTIF(Pessoas!$J:$J,J917)&gt;0),"SIM",IF(COUNTIF(Pessoas!$H:$H,H917)&gt;0,"nome igual em Pessoas: confira o CPF","")))</f>
        <v/>
      </c>
      <c r="L917" s="27"/>
      <c r="M917" s="5"/>
    </row>
    <row r="918" customFormat="false" ht="15" hidden="false" customHeight="false" outlineLevel="0" collapsed="false">
      <c r="A918" s="27"/>
      <c r="B918" s="5"/>
      <c r="C918" s="27"/>
      <c r="D918" s="18"/>
      <c r="E918" s="14"/>
      <c r="F918" s="18"/>
      <c r="G918" s="19" t="str">
        <f aca="false">IF(A918="","",IFERROR(INDEX(Empresas!$B:$B,MATCH(A918,Empresas!$A:$A,0))&amp;"","cadastre o CNPJ em Empresas"))</f>
        <v/>
      </c>
      <c r="H918" s="28" t="str">
        <f aca="false">IF(B918="","",SUBSTITUTE(SUBSTITUTE(SUBSTITUTE(SUBSTITUTE(SUBSTITUTE(SUBSTITUTE(SUBSTITUTE(SUBSTITUTE(SUBSTITUTE(SUBSTITUTE(SUBSTITUTE(SUBSTITUTE(SUBSTITUTE(UPPER(TRIM(B918)),"Á","A"),"À","A"),"Â","A"),"Ã","A"),"É","E"),"Ê","E"),"Í","I"),"Ó","O"),"Ô","O"),"Õ","O"),"Ú","U"),"Ü","U"),"Ç","C"))</f>
        <v/>
      </c>
      <c r="I918" s="28" t="str">
        <f aca="false">IF(C918="","",IF(LEN(SUBSTITUTE(SUBSTITUTE(SUBSTITUTE(SUBSTITUTE(TRIM(C918),"*",""),".",""),"-","")," ",""))=11,MID(SUBSTITUTE(SUBSTITUTE(SUBSTITUTE(SUBSTITUTE(TRIM(C918),"*",""),".",""),"-","")," ",""),4,6),SUBSTITUTE(SUBSTITUTE(SUBSTITUTE(SUBSTITUTE(TRIM(C918),"*",""),".",""),"-","")," ","")))</f>
        <v/>
      </c>
      <c r="J918" s="28" t="str">
        <f aca="false">IF(OR(H918="",I918=""),"",H918&amp;"|"&amp;I918)</f>
        <v/>
      </c>
      <c r="K918" s="19" t="str">
        <f aca="false">IF(H918="","",IF(AND(J918&lt;&gt;"",COUNTIF(Pessoas!$J:$J,J918)&gt;0),"SIM",IF(COUNTIF(Pessoas!$H:$H,H918)&gt;0,"nome igual em Pessoas: confira o CPF","")))</f>
        <v/>
      </c>
      <c r="L918" s="27"/>
      <c r="M918" s="5"/>
    </row>
    <row r="919" customFormat="false" ht="15" hidden="false" customHeight="false" outlineLevel="0" collapsed="false">
      <c r="A919" s="27"/>
      <c r="B919" s="5"/>
      <c r="C919" s="27"/>
      <c r="D919" s="18"/>
      <c r="E919" s="14"/>
      <c r="F919" s="18"/>
      <c r="G919" s="19" t="str">
        <f aca="false">IF(A919="","",IFERROR(INDEX(Empresas!$B:$B,MATCH(A919,Empresas!$A:$A,0))&amp;"","cadastre o CNPJ em Empresas"))</f>
        <v/>
      </c>
      <c r="H919" s="28" t="str">
        <f aca="false">IF(B919="","",SUBSTITUTE(SUBSTITUTE(SUBSTITUTE(SUBSTITUTE(SUBSTITUTE(SUBSTITUTE(SUBSTITUTE(SUBSTITUTE(SUBSTITUTE(SUBSTITUTE(SUBSTITUTE(SUBSTITUTE(SUBSTITUTE(UPPER(TRIM(B919)),"Á","A"),"À","A"),"Â","A"),"Ã","A"),"É","E"),"Ê","E"),"Í","I"),"Ó","O"),"Ô","O"),"Õ","O"),"Ú","U"),"Ü","U"),"Ç","C"))</f>
        <v/>
      </c>
      <c r="I919" s="28" t="str">
        <f aca="false">IF(C919="","",IF(LEN(SUBSTITUTE(SUBSTITUTE(SUBSTITUTE(SUBSTITUTE(TRIM(C919),"*",""),".",""),"-","")," ",""))=11,MID(SUBSTITUTE(SUBSTITUTE(SUBSTITUTE(SUBSTITUTE(TRIM(C919),"*",""),".",""),"-","")," ",""),4,6),SUBSTITUTE(SUBSTITUTE(SUBSTITUTE(SUBSTITUTE(TRIM(C919),"*",""),".",""),"-","")," ","")))</f>
        <v/>
      </c>
      <c r="J919" s="28" t="str">
        <f aca="false">IF(OR(H919="",I919=""),"",H919&amp;"|"&amp;I919)</f>
        <v/>
      </c>
      <c r="K919" s="19" t="str">
        <f aca="false">IF(H919="","",IF(AND(J919&lt;&gt;"",COUNTIF(Pessoas!$J:$J,J919)&gt;0),"SIM",IF(COUNTIF(Pessoas!$H:$H,H919)&gt;0,"nome igual em Pessoas: confira o CPF","")))</f>
        <v/>
      </c>
      <c r="L919" s="27"/>
      <c r="M919" s="5"/>
    </row>
    <row r="920" customFormat="false" ht="15" hidden="false" customHeight="false" outlineLevel="0" collapsed="false">
      <c r="A920" s="27"/>
      <c r="B920" s="5"/>
      <c r="C920" s="27"/>
      <c r="D920" s="18"/>
      <c r="E920" s="14"/>
      <c r="F920" s="18"/>
      <c r="G920" s="19" t="str">
        <f aca="false">IF(A920="","",IFERROR(INDEX(Empresas!$B:$B,MATCH(A920,Empresas!$A:$A,0))&amp;"","cadastre o CNPJ em Empresas"))</f>
        <v/>
      </c>
      <c r="H920" s="28" t="str">
        <f aca="false">IF(B920="","",SUBSTITUTE(SUBSTITUTE(SUBSTITUTE(SUBSTITUTE(SUBSTITUTE(SUBSTITUTE(SUBSTITUTE(SUBSTITUTE(SUBSTITUTE(SUBSTITUTE(SUBSTITUTE(SUBSTITUTE(SUBSTITUTE(UPPER(TRIM(B920)),"Á","A"),"À","A"),"Â","A"),"Ã","A"),"É","E"),"Ê","E"),"Í","I"),"Ó","O"),"Ô","O"),"Õ","O"),"Ú","U"),"Ü","U"),"Ç","C"))</f>
        <v/>
      </c>
      <c r="I920" s="28" t="str">
        <f aca="false">IF(C920="","",IF(LEN(SUBSTITUTE(SUBSTITUTE(SUBSTITUTE(SUBSTITUTE(TRIM(C920),"*",""),".",""),"-","")," ",""))=11,MID(SUBSTITUTE(SUBSTITUTE(SUBSTITUTE(SUBSTITUTE(TRIM(C920),"*",""),".",""),"-","")," ",""),4,6),SUBSTITUTE(SUBSTITUTE(SUBSTITUTE(SUBSTITUTE(TRIM(C920),"*",""),".",""),"-","")," ","")))</f>
        <v/>
      </c>
      <c r="J920" s="28" t="str">
        <f aca="false">IF(OR(H920="",I920=""),"",H920&amp;"|"&amp;I920)</f>
        <v/>
      </c>
      <c r="K920" s="19" t="str">
        <f aca="false">IF(H920="","",IF(AND(J920&lt;&gt;"",COUNTIF(Pessoas!$J:$J,J920)&gt;0),"SIM",IF(COUNTIF(Pessoas!$H:$H,H920)&gt;0,"nome igual em Pessoas: confira o CPF","")))</f>
        <v/>
      </c>
      <c r="L920" s="27"/>
      <c r="M920" s="5"/>
    </row>
    <row r="921" customFormat="false" ht="15" hidden="false" customHeight="false" outlineLevel="0" collapsed="false">
      <c r="A921" s="27"/>
      <c r="B921" s="5"/>
      <c r="C921" s="27"/>
      <c r="D921" s="18"/>
      <c r="E921" s="14"/>
      <c r="F921" s="18"/>
      <c r="G921" s="19" t="str">
        <f aca="false">IF(A921="","",IFERROR(INDEX(Empresas!$B:$B,MATCH(A921,Empresas!$A:$A,0))&amp;"","cadastre o CNPJ em Empresas"))</f>
        <v/>
      </c>
      <c r="H921" s="28" t="str">
        <f aca="false">IF(B921="","",SUBSTITUTE(SUBSTITUTE(SUBSTITUTE(SUBSTITUTE(SUBSTITUTE(SUBSTITUTE(SUBSTITUTE(SUBSTITUTE(SUBSTITUTE(SUBSTITUTE(SUBSTITUTE(SUBSTITUTE(SUBSTITUTE(UPPER(TRIM(B921)),"Á","A"),"À","A"),"Â","A"),"Ã","A"),"É","E"),"Ê","E"),"Í","I"),"Ó","O"),"Ô","O"),"Õ","O"),"Ú","U"),"Ü","U"),"Ç","C"))</f>
        <v/>
      </c>
      <c r="I921" s="28" t="str">
        <f aca="false">IF(C921="","",IF(LEN(SUBSTITUTE(SUBSTITUTE(SUBSTITUTE(SUBSTITUTE(TRIM(C921),"*",""),".",""),"-","")," ",""))=11,MID(SUBSTITUTE(SUBSTITUTE(SUBSTITUTE(SUBSTITUTE(TRIM(C921),"*",""),".",""),"-","")," ",""),4,6),SUBSTITUTE(SUBSTITUTE(SUBSTITUTE(SUBSTITUTE(TRIM(C921),"*",""),".",""),"-","")," ","")))</f>
        <v/>
      </c>
      <c r="J921" s="28" t="str">
        <f aca="false">IF(OR(H921="",I921=""),"",H921&amp;"|"&amp;I921)</f>
        <v/>
      </c>
      <c r="K921" s="19" t="str">
        <f aca="false">IF(H921="","",IF(AND(J921&lt;&gt;"",COUNTIF(Pessoas!$J:$J,J921)&gt;0),"SIM",IF(COUNTIF(Pessoas!$H:$H,H921)&gt;0,"nome igual em Pessoas: confira o CPF","")))</f>
        <v/>
      </c>
      <c r="L921" s="27"/>
      <c r="M921" s="5"/>
    </row>
    <row r="922" customFormat="false" ht="15" hidden="false" customHeight="false" outlineLevel="0" collapsed="false">
      <c r="A922" s="27"/>
      <c r="B922" s="5"/>
      <c r="C922" s="27"/>
      <c r="D922" s="18"/>
      <c r="E922" s="14"/>
      <c r="F922" s="18"/>
      <c r="G922" s="19" t="str">
        <f aca="false">IF(A922="","",IFERROR(INDEX(Empresas!$B:$B,MATCH(A922,Empresas!$A:$A,0))&amp;"","cadastre o CNPJ em Empresas"))</f>
        <v/>
      </c>
      <c r="H922" s="28" t="str">
        <f aca="false">IF(B922="","",SUBSTITUTE(SUBSTITUTE(SUBSTITUTE(SUBSTITUTE(SUBSTITUTE(SUBSTITUTE(SUBSTITUTE(SUBSTITUTE(SUBSTITUTE(SUBSTITUTE(SUBSTITUTE(SUBSTITUTE(SUBSTITUTE(UPPER(TRIM(B922)),"Á","A"),"À","A"),"Â","A"),"Ã","A"),"É","E"),"Ê","E"),"Í","I"),"Ó","O"),"Ô","O"),"Õ","O"),"Ú","U"),"Ü","U"),"Ç","C"))</f>
        <v/>
      </c>
      <c r="I922" s="28" t="str">
        <f aca="false">IF(C922="","",IF(LEN(SUBSTITUTE(SUBSTITUTE(SUBSTITUTE(SUBSTITUTE(TRIM(C922),"*",""),".",""),"-","")," ",""))=11,MID(SUBSTITUTE(SUBSTITUTE(SUBSTITUTE(SUBSTITUTE(TRIM(C922),"*",""),".",""),"-","")," ",""),4,6),SUBSTITUTE(SUBSTITUTE(SUBSTITUTE(SUBSTITUTE(TRIM(C922),"*",""),".",""),"-","")," ","")))</f>
        <v/>
      </c>
      <c r="J922" s="28" t="str">
        <f aca="false">IF(OR(H922="",I922=""),"",H922&amp;"|"&amp;I922)</f>
        <v/>
      </c>
      <c r="K922" s="19" t="str">
        <f aca="false">IF(H922="","",IF(AND(J922&lt;&gt;"",COUNTIF(Pessoas!$J:$J,J922)&gt;0),"SIM",IF(COUNTIF(Pessoas!$H:$H,H922)&gt;0,"nome igual em Pessoas: confira o CPF","")))</f>
        <v/>
      </c>
      <c r="L922" s="27"/>
      <c r="M922" s="5"/>
    </row>
    <row r="923" customFormat="false" ht="15" hidden="false" customHeight="false" outlineLevel="0" collapsed="false">
      <c r="A923" s="27"/>
      <c r="B923" s="5"/>
      <c r="C923" s="27"/>
      <c r="D923" s="18"/>
      <c r="E923" s="14"/>
      <c r="F923" s="18"/>
      <c r="G923" s="19" t="str">
        <f aca="false">IF(A923="","",IFERROR(INDEX(Empresas!$B:$B,MATCH(A923,Empresas!$A:$A,0))&amp;"","cadastre o CNPJ em Empresas"))</f>
        <v/>
      </c>
      <c r="H923" s="28" t="str">
        <f aca="false">IF(B923="","",SUBSTITUTE(SUBSTITUTE(SUBSTITUTE(SUBSTITUTE(SUBSTITUTE(SUBSTITUTE(SUBSTITUTE(SUBSTITUTE(SUBSTITUTE(SUBSTITUTE(SUBSTITUTE(SUBSTITUTE(SUBSTITUTE(UPPER(TRIM(B923)),"Á","A"),"À","A"),"Â","A"),"Ã","A"),"É","E"),"Ê","E"),"Í","I"),"Ó","O"),"Ô","O"),"Õ","O"),"Ú","U"),"Ü","U"),"Ç","C"))</f>
        <v/>
      </c>
      <c r="I923" s="28" t="str">
        <f aca="false">IF(C923="","",IF(LEN(SUBSTITUTE(SUBSTITUTE(SUBSTITUTE(SUBSTITUTE(TRIM(C923),"*",""),".",""),"-","")," ",""))=11,MID(SUBSTITUTE(SUBSTITUTE(SUBSTITUTE(SUBSTITUTE(TRIM(C923),"*",""),".",""),"-","")," ",""),4,6),SUBSTITUTE(SUBSTITUTE(SUBSTITUTE(SUBSTITUTE(TRIM(C923),"*",""),".",""),"-","")," ","")))</f>
        <v/>
      </c>
      <c r="J923" s="28" t="str">
        <f aca="false">IF(OR(H923="",I923=""),"",H923&amp;"|"&amp;I923)</f>
        <v/>
      </c>
      <c r="K923" s="19" t="str">
        <f aca="false">IF(H923="","",IF(AND(J923&lt;&gt;"",COUNTIF(Pessoas!$J:$J,J923)&gt;0),"SIM",IF(COUNTIF(Pessoas!$H:$H,H923)&gt;0,"nome igual em Pessoas: confira o CPF","")))</f>
        <v/>
      </c>
      <c r="L923" s="27"/>
      <c r="M923" s="5"/>
    </row>
    <row r="924" customFormat="false" ht="15" hidden="false" customHeight="false" outlineLevel="0" collapsed="false">
      <c r="A924" s="27"/>
      <c r="B924" s="5"/>
      <c r="C924" s="27"/>
      <c r="D924" s="18"/>
      <c r="E924" s="14"/>
      <c r="F924" s="18"/>
      <c r="G924" s="19" t="str">
        <f aca="false">IF(A924="","",IFERROR(INDEX(Empresas!$B:$B,MATCH(A924,Empresas!$A:$A,0))&amp;"","cadastre o CNPJ em Empresas"))</f>
        <v/>
      </c>
      <c r="H924" s="28" t="str">
        <f aca="false">IF(B924="","",SUBSTITUTE(SUBSTITUTE(SUBSTITUTE(SUBSTITUTE(SUBSTITUTE(SUBSTITUTE(SUBSTITUTE(SUBSTITUTE(SUBSTITUTE(SUBSTITUTE(SUBSTITUTE(SUBSTITUTE(SUBSTITUTE(UPPER(TRIM(B924)),"Á","A"),"À","A"),"Â","A"),"Ã","A"),"É","E"),"Ê","E"),"Í","I"),"Ó","O"),"Ô","O"),"Õ","O"),"Ú","U"),"Ü","U"),"Ç","C"))</f>
        <v/>
      </c>
      <c r="I924" s="28" t="str">
        <f aca="false">IF(C924="","",IF(LEN(SUBSTITUTE(SUBSTITUTE(SUBSTITUTE(SUBSTITUTE(TRIM(C924),"*",""),".",""),"-","")," ",""))=11,MID(SUBSTITUTE(SUBSTITUTE(SUBSTITUTE(SUBSTITUTE(TRIM(C924),"*",""),".",""),"-","")," ",""),4,6),SUBSTITUTE(SUBSTITUTE(SUBSTITUTE(SUBSTITUTE(TRIM(C924),"*",""),".",""),"-","")," ","")))</f>
        <v/>
      </c>
      <c r="J924" s="28" t="str">
        <f aca="false">IF(OR(H924="",I924=""),"",H924&amp;"|"&amp;I924)</f>
        <v/>
      </c>
      <c r="K924" s="19" t="str">
        <f aca="false">IF(H924="","",IF(AND(J924&lt;&gt;"",COUNTIF(Pessoas!$J:$J,J924)&gt;0),"SIM",IF(COUNTIF(Pessoas!$H:$H,H924)&gt;0,"nome igual em Pessoas: confira o CPF","")))</f>
        <v/>
      </c>
      <c r="L924" s="27"/>
      <c r="M924" s="5"/>
    </row>
    <row r="925" customFormat="false" ht="15" hidden="false" customHeight="false" outlineLevel="0" collapsed="false">
      <c r="A925" s="27"/>
      <c r="B925" s="5"/>
      <c r="C925" s="27"/>
      <c r="D925" s="18"/>
      <c r="E925" s="14"/>
      <c r="F925" s="18"/>
      <c r="G925" s="19" t="str">
        <f aca="false">IF(A925="","",IFERROR(INDEX(Empresas!$B:$B,MATCH(A925,Empresas!$A:$A,0))&amp;"","cadastre o CNPJ em Empresas"))</f>
        <v/>
      </c>
      <c r="H925" s="28" t="str">
        <f aca="false">IF(B925="","",SUBSTITUTE(SUBSTITUTE(SUBSTITUTE(SUBSTITUTE(SUBSTITUTE(SUBSTITUTE(SUBSTITUTE(SUBSTITUTE(SUBSTITUTE(SUBSTITUTE(SUBSTITUTE(SUBSTITUTE(SUBSTITUTE(UPPER(TRIM(B925)),"Á","A"),"À","A"),"Â","A"),"Ã","A"),"É","E"),"Ê","E"),"Í","I"),"Ó","O"),"Ô","O"),"Õ","O"),"Ú","U"),"Ü","U"),"Ç","C"))</f>
        <v/>
      </c>
      <c r="I925" s="28" t="str">
        <f aca="false">IF(C925="","",IF(LEN(SUBSTITUTE(SUBSTITUTE(SUBSTITUTE(SUBSTITUTE(TRIM(C925),"*",""),".",""),"-","")," ",""))=11,MID(SUBSTITUTE(SUBSTITUTE(SUBSTITUTE(SUBSTITUTE(TRIM(C925),"*",""),".",""),"-","")," ",""),4,6),SUBSTITUTE(SUBSTITUTE(SUBSTITUTE(SUBSTITUTE(TRIM(C925),"*",""),".",""),"-","")," ","")))</f>
        <v/>
      </c>
      <c r="J925" s="28" t="str">
        <f aca="false">IF(OR(H925="",I925=""),"",H925&amp;"|"&amp;I925)</f>
        <v/>
      </c>
      <c r="K925" s="19" t="str">
        <f aca="false">IF(H925="","",IF(AND(J925&lt;&gt;"",COUNTIF(Pessoas!$J:$J,J925)&gt;0),"SIM",IF(COUNTIF(Pessoas!$H:$H,H925)&gt;0,"nome igual em Pessoas: confira o CPF","")))</f>
        <v/>
      </c>
      <c r="L925" s="27"/>
      <c r="M925" s="5"/>
    </row>
    <row r="926" customFormat="false" ht="15" hidden="false" customHeight="false" outlineLevel="0" collapsed="false">
      <c r="A926" s="27"/>
      <c r="B926" s="5"/>
      <c r="C926" s="27"/>
      <c r="D926" s="18"/>
      <c r="E926" s="14"/>
      <c r="F926" s="18"/>
      <c r="G926" s="19" t="str">
        <f aca="false">IF(A926="","",IFERROR(INDEX(Empresas!$B:$B,MATCH(A926,Empresas!$A:$A,0))&amp;"","cadastre o CNPJ em Empresas"))</f>
        <v/>
      </c>
      <c r="H926" s="28" t="str">
        <f aca="false">IF(B926="","",SUBSTITUTE(SUBSTITUTE(SUBSTITUTE(SUBSTITUTE(SUBSTITUTE(SUBSTITUTE(SUBSTITUTE(SUBSTITUTE(SUBSTITUTE(SUBSTITUTE(SUBSTITUTE(SUBSTITUTE(SUBSTITUTE(UPPER(TRIM(B926)),"Á","A"),"À","A"),"Â","A"),"Ã","A"),"É","E"),"Ê","E"),"Í","I"),"Ó","O"),"Ô","O"),"Õ","O"),"Ú","U"),"Ü","U"),"Ç","C"))</f>
        <v/>
      </c>
      <c r="I926" s="28" t="str">
        <f aca="false">IF(C926="","",IF(LEN(SUBSTITUTE(SUBSTITUTE(SUBSTITUTE(SUBSTITUTE(TRIM(C926),"*",""),".",""),"-","")," ",""))=11,MID(SUBSTITUTE(SUBSTITUTE(SUBSTITUTE(SUBSTITUTE(TRIM(C926),"*",""),".",""),"-","")," ",""),4,6),SUBSTITUTE(SUBSTITUTE(SUBSTITUTE(SUBSTITUTE(TRIM(C926),"*",""),".",""),"-","")," ","")))</f>
        <v/>
      </c>
      <c r="J926" s="28" t="str">
        <f aca="false">IF(OR(H926="",I926=""),"",H926&amp;"|"&amp;I926)</f>
        <v/>
      </c>
      <c r="K926" s="19" t="str">
        <f aca="false">IF(H926="","",IF(AND(J926&lt;&gt;"",COUNTIF(Pessoas!$J:$J,J926)&gt;0),"SIM",IF(COUNTIF(Pessoas!$H:$H,H926)&gt;0,"nome igual em Pessoas: confira o CPF","")))</f>
        <v/>
      </c>
      <c r="L926" s="27"/>
      <c r="M926" s="5"/>
    </row>
    <row r="927" customFormat="false" ht="15" hidden="false" customHeight="false" outlineLevel="0" collapsed="false">
      <c r="A927" s="27"/>
      <c r="B927" s="5"/>
      <c r="C927" s="27"/>
      <c r="D927" s="18"/>
      <c r="E927" s="14"/>
      <c r="F927" s="18"/>
      <c r="G927" s="19" t="str">
        <f aca="false">IF(A927="","",IFERROR(INDEX(Empresas!$B:$B,MATCH(A927,Empresas!$A:$A,0))&amp;"","cadastre o CNPJ em Empresas"))</f>
        <v/>
      </c>
      <c r="H927" s="28" t="str">
        <f aca="false">IF(B927="","",SUBSTITUTE(SUBSTITUTE(SUBSTITUTE(SUBSTITUTE(SUBSTITUTE(SUBSTITUTE(SUBSTITUTE(SUBSTITUTE(SUBSTITUTE(SUBSTITUTE(SUBSTITUTE(SUBSTITUTE(SUBSTITUTE(UPPER(TRIM(B927)),"Á","A"),"À","A"),"Â","A"),"Ã","A"),"É","E"),"Ê","E"),"Í","I"),"Ó","O"),"Ô","O"),"Õ","O"),"Ú","U"),"Ü","U"),"Ç","C"))</f>
        <v/>
      </c>
      <c r="I927" s="28" t="str">
        <f aca="false">IF(C927="","",IF(LEN(SUBSTITUTE(SUBSTITUTE(SUBSTITUTE(SUBSTITUTE(TRIM(C927),"*",""),".",""),"-","")," ",""))=11,MID(SUBSTITUTE(SUBSTITUTE(SUBSTITUTE(SUBSTITUTE(TRIM(C927),"*",""),".",""),"-","")," ",""),4,6),SUBSTITUTE(SUBSTITUTE(SUBSTITUTE(SUBSTITUTE(TRIM(C927),"*",""),".",""),"-","")," ","")))</f>
        <v/>
      </c>
      <c r="J927" s="28" t="str">
        <f aca="false">IF(OR(H927="",I927=""),"",H927&amp;"|"&amp;I927)</f>
        <v/>
      </c>
      <c r="K927" s="19" t="str">
        <f aca="false">IF(H927="","",IF(AND(J927&lt;&gt;"",COUNTIF(Pessoas!$J:$J,J927)&gt;0),"SIM",IF(COUNTIF(Pessoas!$H:$H,H927)&gt;0,"nome igual em Pessoas: confira o CPF","")))</f>
        <v/>
      </c>
      <c r="L927" s="27"/>
      <c r="M927" s="5"/>
    </row>
    <row r="928" customFormat="false" ht="15" hidden="false" customHeight="false" outlineLevel="0" collapsed="false">
      <c r="A928" s="27"/>
      <c r="B928" s="5"/>
      <c r="C928" s="27"/>
      <c r="D928" s="18"/>
      <c r="E928" s="14"/>
      <c r="F928" s="18"/>
      <c r="G928" s="19" t="str">
        <f aca="false">IF(A928="","",IFERROR(INDEX(Empresas!$B:$B,MATCH(A928,Empresas!$A:$A,0))&amp;"","cadastre o CNPJ em Empresas"))</f>
        <v/>
      </c>
      <c r="H928" s="28" t="str">
        <f aca="false">IF(B928="","",SUBSTITUTE(SUBSTITUTE(SUBSTITUTE(SUBSTITUTE(SUBSTITUTE(SUBSTITUTE(SUBSTITUTE(SUBSTITUTE(SUBSTITUTE(SUBSTITUTE(SUBSTITUTE(SUBSTITUTE(SUBSTITUTE(UPPER(TRIM(B928)),"Á","A"),"À","A"),"Â","A"),"Ã","A"),"É","E"),"Ê","E"),"Í","I"),"Ó","O"),"Ô","O"),"Õ","O"),"Ú","U"),"Ü","U"),"Ç","C"))</f>
        <v/>
      </c>
      <c r="I928" s="28" t="str">
        <f aca="false">IF(C928="","",IF(LEN(SUBSTITUTE(SUBSTITUTE(SUBSTITUTE(SUBSTITUTE(TRIM(C928),"*",""),".",""),"-","")," ",""))=11,MID(SUBSTITUTE(SUBSTITUTE(SUBSTITUTE(SUBSTITUTE(TRIM(C928),"*",""),".",""),"-","")," ",""),4,6),SUBSTITUTE(SUBSTITUTE(SUBSTITUTE(SUBSTITUTE(TRIM(C928),"*",""),".",""),"-","")," ","")))</f>
        <v/>
      </c>
      <c r="J928" s="28" t="str">
        <f aca="false">IF(OR(H928="",I928=""),"",H928&amp;"|"&amp;I928)</f>
        <v/>
      </c>
      <c r="K928" s="19" t="str">
        <f aca="false">IF(H928="","",IF(AND(J928&lt;&gt;"",COUNTIF(Pessoas!$J:$J,J928)&gt;0),"SIM",IF(COUNTIF(Pessoas!$H:$H,H928)&gt;0,"nome igual em Pessoas: confira o CPF","")))</f>
        <v/>
      </c>
      <c r="L928" s="27"/>
      <c r="M928" s="5"/>
    </row>
    <row r="929" customFormat="false" ht="15" hidden="false" customHeight="false" outlineLevel="0" collapsed="false">
      <c r="A929" s="27"/>
      <c r="B929" s="5"/>
      <c r="C929" s="27"/>
      <c r="D929" s="18"/>
      <c r="E929" s="14"/>
      <c r="F929" s="18"/>
      <c r="G929" s="19" t="str">
        <f aca="false">IF(A929="","",IFERROR(INDEX(Empresas!$B:$B,MATCH(A929,Empresas!$A:$A,0))&amp;"","cadastre o CNPJ em Empresas"))</f>
        <v/>
      </c>
      <c r="H929" s="28" t="str">
        <f aca="false">IF(B929="","",SUBSTITUTE(SUBSTITUTE(SUBSTITUTE(SUBSTITUTE(SUBSTITUTE(SUBSTITUTE(SUBSTITUTE(SUBSTITUTE(SUBSTITUTE(SUBSTITUTE(SUBSTITUTE(SUBSTITUTE(SUBSTITUTE(UPPER(TRIM(B929)),"Á","A"),"À","A"),"Â","A"),"Ã","A"),"É","E"),"Ê","E"),"Í","I"),"Ó","O"),"Ô","O"),"Õ","O"),"Ú","U"),"Ü","U"),"Ç","C"))</f>
        <v/>
      </c>
      <c r="I929" s="28" t="str">
        <f aca="false">IF(C929="","",IF(LEN(SUBSTITUTE(SUBSTITUTE(SUBSTITUTE(SUBSTITUTE(TRIM(C929),"*",""),".",""),"-","")," ",""))=11,MID(SUBSTITUTE(SUBSTITUTE(SUBSTITUTE(SUBSTITUTE(TRIM(C929),"*",""),".",""),"-","")," ",""),4,6),SUBSTITUTE(SUBSTITUTE(SUBSTITUTE(SUBSTITUTE(TRIM(C929),"*",""),".",""),"-","")," ","")))</f>
        <v/>
      </c>
      <c r="J929" s="28" t="str">
        <f aca="false">IF(OR(H929="",I929=""),"",H929&amp;"|"&amp;I929)</f>
        <v/>
      </c>
      <c r="K929" s="19" t="str">
        <f aca="false">IF(H929="","",IF(AND(J929&lt;&gt;"",COUNTIF(Pessoas!$J:$J,J929)&gt;0),"SIM",IF(COUNTIF(Pessoas!$H:$H,H929)&gt;0,"nome igual em Pessoas: confira o CPF","")))</f>
        <v/>
      </c>
      <c r="L929" s="27"/>
      <c r="M929" s="5"/>
    </row>
    <row r="930" customFormat="false" ht="15" hidden="false" customHeight="false" outlineLevel="0" collapsed="false">
      <c r="A930" s="27"/>
      <c r="B930" s="5"/>
      <c r="C930" s="27"/>
      <c r="D930" s="18"/>
      <c r="E930" s="14"/>
      <c r="F930" s="18"/>
      <c r="G930" s="19" t="str">
        <f aca="false">IF(A930="","",IFERROR(INDEX(Empresas!$B:$B,MATCH(A930,Empresas!$A:$A,0))&amp;"","cadastre o CNPJ em Empresas"))</f>
        <v/>
      </c>
      <c r="H930" s="28" t="str">
        <f aca="false">IF(B930="","",SUBSTITUTE(SUBSTITUTE(SUBSTITUTE(SUBSTITUTE(SUBSTITUTE(SUBSTITUTE(SUBSTITUTE(SUBSTITUTE(SUBSTITUTE(SUBSTITUTE(SUBSTITUTE(SUBSTITUTE(SUBSTITUTE(UPPER(TRIM(B930)),"Á","A"),"À","A"),"Â","A"),"Ã","A"),"É","E"),"Ê","E"),"Í","I"),"Ó","O"),"Ô","O"),"Õ","O"),"Ú","U"),"Ü","U"),"Ç","C"))</f>
        <v/>
      </c>
      <c r="I930" s="28" t="str">
        <f aca="false">IF(C930="","",IF(LEN(SUBSTITUTE(SUBSTITUTE(SUBSTITUTE(SUBSTITUTE(TRIM(C930),"*",""),".",""),"-","")," ",""))=11,MID(SUBSTITUTE(SUBSTITUTE(SUBSTITUTE(SUBSTITUTE(TRIM(C930),"*",""),".",""),"-","")," ",""),4,6),SUBSTITUTE(SUBSTITUTE(SUBSTITUTE(SUBSTITUTE(TRIM(C930),"*",""),".",""),"-","")," ","")))</f>
        <v/>
      </c>
      <c r="J930" s="28" t="str">
        <f aca="false">IF(OR(H930="",I930=""),"",H930&amp;"|"&amp;I930)</f>
        <v/>
      </c>
      <c r="K930" s="19" t="str">
        <f aca="false">IF(H930="","",IF(AND(J930&lt;&gt;"",COUNTIF(Pessoas!$J:$J,J930)&gt;0),"SIM",IF(COUNTIF(Pessoas!$H:$H,H930)&gt;0,"nome igual em Pessoas: confira o CPF","")))</f>
        <v/>
      </c>
      <c r="L930" s="27"/>
      <c r="M930" s="5"/>
    </row>
    <row r="931" customFormat="false" ht="15" hidden="false" customHeight="false" outlineLevel="0" collapsed="false">
      <c r="A931" s="27"/>
      <c r="B931" s="5"/>
      <c r="C931" s="27"/>
      <c r="D931" s="18"/>
      <c r="E931" s="14"/>
      <c r="F931" s="18"/>
      <c r="G931" s="19" t="str">
        <f aca="false">IF(A931="","",IFERROR(INDEX(Empresas!$B:$B,MATCH(A931,Empresas!$A:$A,0))&amp;"","cadastre o CNPJ em Empresas"))</f>
        <v/>
      </c>
      <c r="H931" s="28" t="str">
        <f aca="false">IF(B931="","",SUBSTITUTE(SUBSTITUTE(SUBSTITUTE(SUBSTITUTE(SUBSTITUTE(SUBSTITUTE(SUBSTITUTE(SUBSTITUTE(SUBSTITUTE(SUBSTITUTE(SUBSTITUTE(SUBSTITUTE(SUBSTITUTE(UPPER(TRIM(B931)),"Á","A"),"À","A"),"Â","A"),"Ã","A"),"É","E"),"Ê","E"),"Í","I"),"Ó","O"),"Ô","O"),"Õ","O"),"Ú","U"),"Ü","U"),"Ç","C"))</f>
        <v/>
      </c>
      <c r="I931" s="28" t="str">
        <f aca="false">IF(C931="","",IF(LEN(SUBSTITUTE(SUBSTITUTE(SUBSTITUTE(SUBSTITUTE(TRIM(C931),"*",""),".",""),"-","")," ",""))=11,MID(SUBSTITUTE(SUBSTITUTE(SUBSTITUTE(SUBSTITUTE(TRIM(C931),"*",""),".",""),"-","")," ",""),4,6),SUBSTITUTE(SUBSTITUTE(SUBSTITUTE(SUBSTITUTE(TRIM(C931),"*",""),".",""),"-","")," ","")))</f>
        <v/>
      </c>
      <c r="J931" s="28" t="str">
        <f aca="false">IF(OR(H931="",I931=""),"",H931&amp;"|"&amp;I931)</f>
        <v/>
      </c>
      <c r="K931" s="19" t="str">
        <f aca="false">IF(H931="","",IF(AND(J931&lt;&gt;"",COUNTIF(Pessoas!$J:$J,J931)&gt;0),"SIM",IF(COUNTIF(Pessoas!$H:$H,H931)&gt;0,"nome igual em Pessoas: confira o CPF","")))</f>
        <v/>
      </c>
      <c r="L931" s="27"/>
      <c r="M931" s="5"/>
    </row>
    <row r="932" customFormat="false" ht="15" hidden="false" customHeight="false" outlineLevel="0" collapsed="false">
      <c r="A932" s="27"/>
      <c r="B932" s="5"/>
      <c r="C932" s="27"/>
      <c r="D932" s="18"/>
      <c r="E932" s="14"/>
      <c r="F932" s="18"/>
      <c r="G932" s="19" t="str">
        <f aca="false">IF(A932="","",IFERROR(INDEX(Empresas!$B:$B,MATCH(A932,Empresas!$A:$A,0))&amp;"","cadastre o CNPJ em Empresas"))</f>
        <v/>
      </c>
      <c r="H932" s="28" t="str">
        <f aca="false">IF(B932="","",SUBSTITUTE(SUBSTITUTE(SUBSTITUTE(SUBSTITUTE(SUBSTITUTE(SUBSTITUTE(SUBSTITUTE(SUBSTITUTE(SUBSTITUTE(SUBSTITUTE(SUBSTITUTE(SUBSTITUTE(SUBSTITUTE(UPPER(TRIM(B932)),"Á","A"),"À","A"),"Â","A"),"Ã","A"),"É","E"),"Ê","E"),"Í","I"),"Ó","O"),"Ô","O"),"Õ","O"),"Ú","U"),"Ü","U"),"Ç","C"))</f>
        <v/>
      </c>
      <c r="I932" s="28" t="str">
        <f aca="false">IF(C932="","",IF(LEN(SUBSTITUTE(SUBSTITUTE(SUBSTITUTE(SUBSTITUTE(TRIM(C932),"*",""),".",""),"-","")," ",""))=11,MID(SUBSTITUTE(SUBSTITUTE(SUBSTITUTE(SUBSTITUTE(TRIM(C932),"*",""),".",""),"-","")," ",""),4,6),SUBSTITUTE(SUBSTITUTE(SUBSTITUTE(SUBSTITUTE(TRIM(C932),"*",""),".",""),"-","")," ","")))</f>
        <v/>
      </c>
      <c r="J932" s="28" t="str">
        <f aca="false">IF(OR(H932="",I932=""),"",H932&amp;"|"&amp;I932)</f>
        <v/>
      </c>
      <c r="K932" s="19" t="str">
        <f aca="false">IF(H932="","",IF(AND(J932&lt;&gt;"",COUNTIF(Pessoas!$J:$J,J932)&gt;0),"SIM",IF(COUNTIF(Pessoas!$H:$H,H932)&gt;0,"nome igual em Pessoas: confira o CPF","")))</f>
        <v/>
      </c>
      <c r="L932" s="27"/>
      <c r="M932" s="5"/>
    </row>
    <row r="933" customFormat="false" ht="15" hidden="false" customHeight="false" outlineLevel="0" collapsed="false">
      <c r="A933" s="27"/>
      <c r="B933" s="5"/>
      <c r="C933" s="27"/>
      <c r="D933" s="18"/>
      <c r="E933" s="14"/>
      <c r="F933" s="18"/>
      <c r="G933" s="19" t="str">
        <f aca="false">IF(A933="","",IFERROR(INDEX(Empresas!$B:$B,MATCH(A933,Empresas!$A:$A,0))&amp;"","cadastre o CNPJ em Empresas"))</f>
        <v/>
      </c>
      <c r="H933" s="28" t="str">
        <f aca="false">IF(B933="","",SUBSTITUTE(SUBSTITUTE(SUBSTITUTE(SUBSTITUTE(SUBSTITUTE(SUBSTITUTE(SUBSTITUTE(SUBSTITUTE(SUBSTITUTE(SUBSTITUTE(SUBSTITUTE(SUBSTITUTE(SUBSTITUTE(UPPER(TRIM(B933)),"Á","A"),"À","A"),"Â","A"),"Ã","A"),"É","E"),"Ê","E"),"Í","I"),"Ó","O"),"Ô","O"),"Õ","O"),"Ú","U"),"Ü","U"),"Ç","C"))</f>
        <v/>
      </c>
      <c r="I933" s="28" t="str">
        <f aca="false">IF(C933="","",IF(LEN(SUBSTITUTE(SUBSTITUTE(SUBSTITUTE(SUBSTITUTE(TRIM(C933),"*",""),".",""),"-","")," ",""))=11,MID(SUBSTITUTE(SUBSTITUTE(SUBSTITUTE(SUBSTITUTE(TRIM(C933),"*",""),".",""),"-","")," ",""),4,6),SUBSTITUTE(SUBSTITUTE(SUBSTITUTE(SUBSTITUTE(TRIM(C933),"*",""),".",""),"-","")," ","")))</f>
        <v/>
      </c>
      <c r="J933" s="28" t="str">
        <f aca="false">IF(OR(H933="",I933=""),"",H933&amp;"|"&amp;I933)</f>
        <v/>
      </c>
      <c r="K933" s="19" t="str">
        <f aca="false">IF(H933="","",IF(AND(J933&lt;&gt;"",COUNTIF(Pessoas!$J:$J,J933)&gt;0),"SIM",IF(COUNTIF(Pessoas!$H:$H,H933)&gt;0,"nome igual em Pessoas: confira o CPF","")))</f>
        <v/>
      </c>
      <c r="L933" s="27"/>
      <c r="M933" s="5"/>
    </row>
    <row r="934" customFormat="false" ht="15" hidden="false" customHeight="false" outlineLevel="0" collapsed="false">
      <c r="A934" s="27"/>
      <c r="B934" s="5"/>
      <c r="C934" s="27"/>
      <c r="D934" s="18"/>
      <c r="E934" s="14"/>
      <c r="F934" s="18"/>
      <c r="G934" s="19" t="str">
        <f aca="false">IF(A934="","",IFERROR(INDEX(Empresas!$B:$B,MATCH(A934,Empresas!$A:$A,0))&amp;"","cadastre o CNPJ em Empresas"))</f>
        <v/>
      </c>
      <c r="H934" s="28" t="str">
        <f aca="false">IF(B934="","",SUBSTITUTE(SUBSTITUTE(SUBSTITUTE(SUBSTITUTE(SUBSTITUTE(SUBSTITUTE(SUBSTITUTE(SUBSTITUTE(SUBSTITUTE(SUBSTITUTE(SUBSTITUTE(SUBSTITUTE(SUBSTITUTE(UPPER(TRIM(B934)),"Á","A"),"À","A"),"Â","A"),"Ã","A"),"É","E"),"Ê","E"),"Í","I"),"Ó","O"),"Ô","O"),"Õ","O"),"Ú","U"),"Ü","U"),"Ç","C"))</f>
        <v/>
      </c>
      <c r="I934" s="28" t="str">
        <f aca="false">IF(C934="","",IF(LEN(SUBSTITUTE(SUBSTITUTE(SUBSTITUTE(SUBSTITUTE(TRIM(C934),"*",""),".",""),"-","")," ",""))=11,MID(SUBSTITUTE(SUBSTITUTE(SUBSTITUTE(SUBSTITUTE(TRIM(C934),"*",""),".",""),"-","")," ",""),4,6),SUBSTITUTE(SUBSTITUTE(SUBSTITUTE(SUBSTITUTE(TRIM(C934),"*",""),".",""),"-","")," ","")))</f>
        <v/>
      </c>
      <c r="J934" s="28" t="str">
        <f aca="false">IF(OR(H934="",I934=""),"",H934&amp;"|"&amp;I934)</f>
        <v/>
      </c>
      <c r="K934" s="19" t="str">
        <f aca="false">IF(H934="","",IF(AND(J934&lt;&gt;"",COUNTIF(Pessoas!$J:$J,J934)&gt;0),"SIM",IF(COUNTIF(Pessoas!$H:$H,H934)&gt;0,"nome igual em Pessoas: confira o CPF","")))</f>
        <v/>
      </c>
      <c r="L934" s="27"/>
      <c r="M934" s="5"/>
    </row>
    <row r="935" customFormat="false" ht="15" hidden="false" customHeight="false" outlineLevel="0" collapsed="false">
      <c r="A935" s="27"/>
      <c r="B935" s="5"/>
      <c r="C935" s="27"/>
      <c r="D935" s="18"/>
      <c r="E935" s="14"/>
      <c r="F935" s="18"/>
      <c r="G935" s="19" t="str">
        <f aca="false">IF(A935="","",IFERROR(INDEX(Empresas!$B:$B,MATCH(A935,Empresas!$A:$A,0))&amp;"","cadastre o CNPJ em Empresas"))</f>
        <v/>
      </c>
      <c r="H935" s="28" t="str">
        <f aca="false">IF(B935="","",SUBSTITUTE(SUBSTITUTE(SUBSTITUTE(SUBSTITUTE(SUBSTITUTE(SUBSTITUTE(SUBSTITUTE(SUBSTITUTE(SUBSTITUTE(SUBSTITUTE(SUBSTITUTE(SUBSTITUTE(SUBSTITUTE(UPPER(TRIM(B935)),"Á","A"),"À","A"),"Â","A"),"Ã","A"),"É","E"),"Ê","E"),"Í","I"),"Ó","O"),"Ô","O"),"Õ","O"),"Ú","U"),"Ü","U"),"Ç","C"))</f>
        <v/>
      </c>
      <c r="I935" s="28" t="str">
        <f aca="false">IF(C935="","",IF(LEN(SUBSTITUTE(SUBSTITUTE(SUBSTITUTE(SUBSTITUTE(TRIM(C935),"*",""),".",""),"-","")," ",""))=11,MID(SUBSTITUTE(SUBSTITUTE(SUBSTITUTE(SUBSTITUTE(TRIM(C935),"*",""),".",""),"-","")," ",""),4,6),SUBSTITUTE(SUBSTITUTE(SUBSTITUTE(SUBSTITUTE(TRIM(C935),"*",""),".",""),"-","")," ","")))</f>
        <v/>
      </c>
      <c r="J935" s="28" t="str">
        <f aca="false">IF(OR(H935="",I935=""),"",H935&amp;"|"&amp;I935)</f>
        <v/>
      </c>
      <c r="K935" s="19" t="str">
        <f aca="false">IF(H935="","",IF(AND(J935&lt;&gt;"",COUNTIF(Pessoas!$J:$J,J935)&gt;0),"SIM",IF(COUNTIF(Pessoas!$H:$H,H935)&gt;0,"nome igual em Pessoas: confira o CPF","")))</f>
        <v/>
      </c>
      <c r="L935" s="27"/>
      <c r="M935" s="5"/>
    </row>
    <row r="936" customFormat="false" ht="15" hidden="false" customHeight="false" outlineLevel="0" collapsed="false">
      <c r="A936" s="27"/>
      <c r="B936" s="5"/>
      <c r="C936" s="27"/>
      <c r="D936" s="18"/>
      <c r="E936" s="14"/>
      <c r="F936" s="18"/>
      <c r="G936" s="19" t="str">
        <f aca="false">IF(A936="","",IFERROR(INDEX(Empresas!$B:$B,MATCH(A936,Empresas!$A:$A,0))&amp;"","cadastre o CNPJ em Empresas"))</f>
        <v/>
      </c>
      <c r="H936" s="28" t="str">
        <f aca="false">IF(B936="","",SUBSTITUTE(SUBSTITUTE(SUBSTITUTE(SUBSTITUTE(SUBSTITUTE(SUBSTITUTE(SUBSTITUTE(SUBSTITUTE(SUBSTITUTE(SUBSTITUTE(SUBSTITUTE(SUBSTITUTE(SUBSTITUTE(UPPER(TRIM(B936)),"Á","A"),"À","A"),"Â","A"),"Ã","A"),"É","E"),"Ê","E"),"Í","I"),"Ó","O"),"Ô","O"),"Õ","O"),"Ú","U"),"Ü","U"),"Ç","C"))</f>
        <v/>
      </c>
      <c r="I936" s="28" t="str">
        <f aca="false">IF(C936="","",IF(LEN(SUBSTITUTE(SUBSTITUTE(SUBSTITUTE(SUBSTITUTE(TRIM(C936),"*",""),".",""),"-","")," ",""))=11,MID(SUBSTITUTE(SUBSTITUTE(SUBSTITUTE(SUBSTITUTE(TRIM(C936),"*",""),".",""),"-","")," ",""),4,6),SUBSTITUTE(SUBSTITUTE(SUBSTITUTE(SUBSTITUTE(TRIM(C936),"*",""),".",""),"-","")," ","")))</f>
        <v/>
      </c>
      <c r="J936" s="28" t="str">
        <f aca="false">IF(OR(H936="",I936=""),"",H936&amp;"|"&amp;I936)</f>
        <v/>
      </c>
      <c r="K936" s="19" t="str">
        <f aca="false">IF(H936="","",IF(AND(J936&lt;&gt;"",COUNTIF(Pessoas!$J:$J,J936)&gt;0),"SIM",IF(COUNTIF(Pessoas!$H:$H,H936)&gt;0,"nome igual em Pessoas: confira o CPF","")))</f>
        <v/>
      </c>
      <c r="L936" s="27"/>
      <c r="M936" s="5"/>
    </row>
    <row r="937" customFormat="false" ht="15" hidden="false" customHeight="false" outlineLevel="0" collapsed="false">
      <c r="A937" s="27"/>
      <c r="B937" s="5"/>
      <c r="C937" s="27"/>
      <c r="D937" s="18"/>
      <c r="E937" s="14"/>
      <c r="F937" s="18"/>
      <c r="G937" s="19" t="str">
        <f aca="false">IF(A937="","",IFERROR(INDEX(Empresas!$B:$B,MATCH(A937,Empresas!$A:$A,0))&amp;"","cadastre o CNPJ em Empresas"))</f>
        <v/>
      </c>
      <c r="H937" s="28" t="str">
        <f aca="false">IF(B937="","",SUBSTITUTE(SUBSTITUTE(SUBSTITUTE(SUBSTITUTE(SUBSTITUTE(SUBSTITUTE(SUBSTITUTE(SUBSTITUTE(SUBSTITUTE(SUBSTITUTE(SUBSTITUTE(SUBSTITUTE(SUBSTITUTE(UPPER(TRIM(B937)),"Á","A"),"À","A"),"Â","A"),"Ã","A"),"É","E"),"Ê","E"),"Í","I"),"Ó","O"),"Ô","O"),"Õ","O"),"Ú","U"),"Ü","U"),"Ç","C"))</f>
        <v/>
      </c>
      <c r="I937" s="28" t="str">
        <f aca="false">IF(C937="","",IF(LEN(SUBSTITUTE(SUBSTITUTE(SUBSTITUTE(SUBSTITUTE(TRIM(C937),"*",""),".",""),"-","")," ",""))=11,MID(SUBSTITUTE(SUBSTITUTE(SUBSTITUTE(SUBSTITUTE(TRIM(C937),"*",""),".",""),"-","")," ",""),4,6),SUBSTITUTE(SUBSTITUTE(SUBSTITUTE(SUBSTITUTE(TRIM(C937),"*",""),".",""),"-","")," ","")))</f>
        <v/>
      </c>
      <c r="J937" s="28" t="str">
        <f aca="false">IF(OR(H937="",I937=""),"",H937&amp;"|"&amp;I937)</f>
        <v/>
      </c>
      <c r="K937" s="19" t="str">
        <f aca="false">IF(H937="","",IF(AND(J937&lt;&gt;"",COUNTIF(Pessoas!$J:$J,J937)&gt;0),"SIM",IF(COUNTIF(Pessoas!$H:$H,H937)&gt;0,"nome igual em Pessoas: confira o CPF","")))</f>
        <v/>
      </c>
      <c r="L937" s="27"/>
      <c r="M937" s="5"/>
    </row>
    <row r="938" customFormat="false" ht="15" hidden="false" customHeight="false" outlineLevel="0" collapsed="false">
      <c r="A938" s="27"/>
      <c r="B938" s="5"/>
      <c r="C938" s="27"/>
      <c r="D938" s="18"/>
      <c r="E938" s="14"/>
      <c r="F938" s="18"/>
      <c r="G938" s="19" t="str">
        <f aca="false">IF(A938="","",IFERROR(INDEX(Empresas!$B:$B,MATCH(A938,Empresas!$A:$A,0))&amp;"","cadastre o CNPJ em Empresas"))</f>
        <v/>
      </c>
      <c r="H938" s="28" t="str">
        <f aca="false">IF(B938="","",SUBSTITUTE(SUBSTITUTE(SUBSTITUTE(SUBSTITUTE(SUBSTITUTE(SUBSTITUTE(SUBSTITUTE(SUBSTITUTE(SUBSTITUTE(SUBSTITUTE(SUBSTITUTE(SUBSTITUTE(SUBSTITUTE(UPPER(TRIM(B938)),"Á","A"),"À","A"),"Â","A"),"Ã","A"),"É","E"),"Ê","E"),"Í","I"),"Ó","O"),"Ô","O"),"Õ","O"),"Ú","U"),"Ü","U"),"Ç","C"))</f>
        <v/>
      </c>
      <c r="I938" s="28" t="str">
        <f aca="false">IF(C938="","",IF(LEN(SUBSTITUTE(SUBSTITUTE(SUBSTITUTE(SUBSTITUTE(TRIM(C938),"*",""),".",""),"-","")," ",""))=11,MID(SUBSTITUTE(SUBSTITUTE(SUBSTITUTE(SUBSTITUTE(TRIM(C938),"*",""),".",""),"-","")," ",""),4,6),SUBSTITUTE(SUBSTITUTE(SUBSTITUTE(SUBSTITUTE(TRIM(C938),"*",""),".",""),"-","")," ","")))</f>
        <v/>
      </c>
      <c r="J938" s="28" t="str">
        <f aca="false">IF(OR(H938="",I938=""),"",H938&amp;"|"&amp;I938)</f>
        <v/>
      </c>
      <c r="K938" s="19" t="str">
        <f aca="false">IF(H938="","",IF(AND(J938&lt;&gt;"",COUNTIF(Pessoas!$J:$J,J938)&gt;0),"SIM",IF(COUNTIF(Pessoas!$H:$H,H938)&gt;0,"nome igual em Pessoas: confira o CPF","")))</f>
        <v/>
      </c>
      <c r="L938" s="27"/>
      <c r="M938" s="5"/>
    </row>
    <row r="939" customFormat="false" ht="15" hidden="false" customHeight="false" outlineLevel="0" collapsed="false">
      <c r="A939" s="27"/>
      <c r="B939" s="5"/>
      <c r="C939" s="27"/>
      <c r="D939" s="18"/>
      <c r="E939" s="14"/>
      <c r="F939" s="18"/>
      <c r="G939" s="19" t="str">
        <f aca="false">IF(A939="","",IFERROR(INDEX(Empresas!$B:$B,MATCH(A939,Empresas!$A:$A,0))&amp;"","cadastre o CNPJ em Empresas"))</f>
        <v/>
      </c>
      <c r="H939" s="28" t="str">
        <f aca="false">IF(B939="","",SUBSTITUTE(SUBSTITUTE(SUBSTITUTE(SUBSTITUTE(SUBSTITUTE(SUBSTITUTE(SUBSTITUTE(SUBSTITUTE(SUBSTITUTE(SUBSTITUTE(SUBSTITUTE(SUBSTITUTE(SUBSTITUTE(UPPER(TRIM(B939)),"Á","A"),"À","A"),"Â","A"),"Ã","A"),"É","E"),"Ê","E"),"Í","I"),"Ó","O"),"Ô","O"),"Õ","O"),"Ú","U"),"Ü","U"),"Ç","C"))</f>
        <v/>
      </c>
      <c r="I939" s="28" t="str">
        <f aca="false">IF(C939="","",IF(LEN(SUBSTITUTE(SUBSTITUTE(SUBSTITUTE(SUBSTITUTE(TRIM(C939),"*",""),".",""),"-","")," ",""))=11,MID(SUBSTITUTE(SUBSTITUTE(SUBSTITUTE(SUBSTITUTE(TRIM(C939),"*",""),".",""),"-","")," ",""),4,6),SUBSTITUTE(SUBSTITUTE(SUBSTITUTE(SUBSTITUTE(TRIM(C939),"*",""),".",""),"-","")," ","")))</f>
        <v/>
      </c>
      <c r="J939" s="28" t="str">
        <f aca="false">IF(OR(H939="",I939=""),"",H939&amp;"|"&amp;I939)</f>
        <v/>
      </c>
      <c r="K939" s="19" t="str">
        <f aca="false">IF(H939="","",IF(AND(J939&lt;&gt;"",COUNTIF(Pessoas!$J:$J,J939)&gt;0),"SIM",IF(COUNTIF(Pessoas!$H:$H,H939)&gt;0,"nome igual em Pessoas: confira o CPF","")))</f>
        <v/>
      </c>
      <c r="L939" s="27"/>
      <c r="M939" s="5"/>
    </row>
    <row r="940" customFormat="false" ht="15" hidden="false" customHeight="false" outlineLevel="0" collapsed="false">
      <c r="A940" s="27"/>
      <c r="B940" s="5"/>
      <c r="C940" s="27"/>
      <c r="D940" s="18"/>
      <c r="E940" s="14"/>
      <c r="F940" s="18"/>
      <c r="G940" s="19" t="str">
        <f aca="false">IF(A940="","",IFERROR(INDEX(Empresas!$B:$B,MATCH(A940,Empresas!$A:$A,0))&amp;"","cadastre o CNPJ em Empresas"))</f>
        <v/>
      </c>
      <c r="H940" s="28" t="str">
        <f aca="false">IF(B940="","",SUBSTITUTE(SUBSTITUTE(SUBSTITUTE(SUBSTITUTE(SUBSTITUTE(SUBSTITUTE(SUBSTITUTE(SUBSTITUTE(SUBSTITUTE(SUBSTITUTE(SUBSTITUTE(SUBSTITUTE(SUBSTITUTE(UPPER(TRIM(B940)),"Á","A"),"À","A"),"Â","A"),"Ã","A"),"É","E"),"Ê","E"),"Í","I"),"Ó","O"),"Ô","O"),"Õ","O"),"Ú","U"),"Ü","U"),"Ç","C"))</f>
        <v/>
      </c>
      <c r="I940" s="28" t="str">
        <f aca="false">IF(C940="","",IF(LEN(SUBSTITUTE(SUBSTITUTE(SUBSTITUTE(SUBSTITUTE(TRIM(C940),"*",""),".",""),"-","")," ",""))=11,MID(SUBSTITUTE(SUBSTITUTE(SUBSTITUTE(SUBSTITUTE(TRIM(C940),"*",""),".",""),"-","")," ",""),4,6),SUBSTITUTE(SUBSTITUTE(SUBSTITUTE(SUBSTITUTE(TRIM(C940),"*",""),".",""),"-","")," ","")))</f>
        <v/>
      </c>
      <c r="J940" s="28" t="str">
        <f aca="false">IF(OR(H940="",I940=""),"",H940&amp;"|"&amp;I940)</f>
        <v/>
      </c>
      <c r="K940" s="19" t="str">
        <f aca="false">IF(H940="","",IF(AND(J940&lt;&gt;"",COUNTIF(Pessoas!$J:$J,J940)&gt;0),"SIM",IF(COUNTIF(Pessoas!$H:$H,H940)&gt;0,"nome igual em Pessoas: confira o CPF","")))</f>
        <v/>
      </c>
      <c r="L940" s="27"/>
      <c r="M940" s="5"/>
    </row>
    <row r="941" customFormat="false" ht="15" hidden="false" customHeight="false" outlineLevel="0" collapsed="false">
      <c r="A941" s="27"/>
      <c r="B941" s="5"/>
      <c r="C941" s="27"/>
      <c r="D941" s="18"/>
      <c r="E941" s="14"/>
      <c r="F941" s="18"/>
      <c r="G941" s="19" t="str">
        <f aca="false">IF(A941="","",IFERROR(INDEX(Empresas!$B:$B,MATCH(A941,Empresas!$A:$A,0))&amp;"","cadastre o CNPJ em Empresas"))</f>
        <v/>
      </c>
      <c r="H941" s="28" t="str">
        <f aca="false">IF(B941="","",SUBSTITUTE(SUBSTITUTE(SUBSTITUTE(SUBSTITUTE(SUBSTITUTE(SUBSTITUTE(SUBSTITUTE(SUBSTITUTE(SUBSTITUTE(SUBSTITUTE(SUBSTITUTE(SUBSTITUTE(SUBSTITUTE(UPPER(TRIM(B941)),"Á","A"),"À","A"),"Â","A"),"Ã","A"),"É","E"),"Ê","E"),"Í","I"),"Ó","O"),"Ô","O"),"Õ","O"),"Ú","U"),"Ü","U"),"Ç","C"))</f>
        <v/>
      </c>
      <c r="I941" s="28" t="str">
        <f aca="false">IF(C941="","",IF(LEN(SUBSTITUTE(SUBSTITUTE(SUBSTITUTE(SUBSTITUTE(TRIM(C941),"*",""),".",""),"-","")," ",""))=11,MID(SUBSTITUTE(SUBSTITUTE(SUBSTITUTE(SUBSTITUTE(TRIM(C941),"*",""),".",""),"-","")," ",""),4,6),SUBSTITUTE(SUBSTITUTE(SUBSTITUTE(SUBSTITUTE(TRIM(C941),"*",""),".",""),"-","")," ","")))</f>
        <v/>
      </c>
      <c r="J941" s="28" t="str">
        <f aca="false">IF(OR(H941="",I941=""),"",H941&amp;"|"&amp;I941)</f>
        <v/>
      </c>
      <c r="K941" s="19" t="str">
        <f aca="false">IF(H941="","",IF(AND(J941&lt;&gt;"",COUNTIF(Pessoas!$J:$J,J941)&gt;0),"SIM",IF(COUNTIF(Pessoas!$H:$H,H941)&gt;0,"nome igual em Pessoas: confira o CPF","")))</f>
        <v/>
      </c>
      <c r="L941" s="27"/>
      <c r="M941" s="5"/>
    </row>
    <row r="942" customFormat="false" ht="15" hidden="false" customHeight="false" outlineLevel="0" collapsed="false">
      <c r="A942" s="27"/>
      <c r="B942" s="5"/>
      <c r="C942" s="27"/>
      <c r="D942" s="18"/>
      <c r="E942" s="14"/>
      <c r="F942" s="18"/>
      <c r="G942" s="19" t="str">
        <f aca="false">IF(A942="","",IFERROR(INDEX(Empresas!$B:$B,MATCH(A942,Empresas!$A:$A,0))&amp;"","cadastre o CNPJ em Empresas"))</f>
        <v/>
      </c>
      <c r="H942" s="28" t="str">
        <f aca="false">IF(B942="","",SUBSTITUTE(SUBSTITUTE(SUBSTITUTE(SUBSTITUTE(SUBSTITUTE(SUBSTITUTE(SUBSTITUTE(SUBSTITUTE(SUBSTITUTE(SUBSTITUTE(SUBSTITUTE(SUBSTITUTE(SUBSTITUTE(UPPER(TRIM(B942)),"Á","A"),"À","A"),"Â","A"),"Ã","A"),"É","E"),"Ê","E"),"Í","I"),"Ó","O"),"Ô","O"),"Õ","O"),"Ú","U"),"Ü","U"),"Ç","C"))</f>
        <v/>
      </c>
      <c r="I942" s="28" t="str">
        <f aca="false">IF(C942="","",IF(LEN(SUBSTITUTE(SUBSTITUTE(SUBSTITUTE(SUBSTITUTE(TRIM(C942),"*",""),".",""),"-","")," ",""))=11,MID(SUBSTITUTE(SUBSTITUTE(SUBSTITUTE(SUBSTITUTE(TRIM(C942),"*",""),".",""),"-","")," ",""),4,6),SUBSTITUTE(SUBSTITUTE(SUBSTITUTE(SUBSTITUTE(TRIM(C942),"*",""),".",""),"-","")," ","")))</f>
        <v/>
      </c>
      <c r="J942" s="28" t="str">
        <f aca="false">IF(OR(H942="",I942=""),"",H942&amp;"|"&amp;I942)</f>
        <v/>
      </c>
      <c r="K942" s="19" t="str">
        <f aca="false">IF(H942="","",IF(AND(J942&lt;&gt;"",COUNTIF(Pessoas!$J:$J,J942)&gt;0),"SIM",IF(COUNTIF(Pessoas!$H:$H,H942)&gt;0,"nome igual em Pessoas: confira o CPF","")))</f>
        <v/>
      </c>
      <c r="L942" s="27"/>
      <c r="M942" s="5"/>
    </row>
    <row r="943" customFormat="false" ht="15" hidden="false" customHeight="false" outlineLevel="0" collapsed="false">
      <c r="A943" s="27"/>
      <c r="B943" s="5"/>
      <c r="C943" s="27"/>
      <c r="D943" s="18"/>
      <c r="E943" s="14"/>
      <c r="F943" s="18"/>
      <c r="G943" s="19" t="str">
        <f aca="false">IF(A943="","",IFERROR(INDEX(Empresas!$B:$B,MATCH(A943,Empresas!$A:$A,0))&amp;"","cadastre o CNPJ em Empresas"))</f>
        <v/>
      </c>
      <c r="H943" s="28" t="str">
        <f aca="false">IF(B943="","",SUBSTITUTE(SUBSTITUTE(SUBSTITUTE(SUBSTITUTE(SUBSTITUTE(SUBSTITUTE(SUBSTITUTE(SUBSTITUTE(SUBSTITUTE(SUBSTITUTE(SUBSTITUTE(SUBSTITUTE(SUBSTITUTE(UPPER(TRIM(B943)),"Á","A"),"À","A"),"Â","A"),"Ã","A"),"É","E"),"Ê","E"),"Í","I"),"Ó","O"),"Ô","O"),"Õ","O"),"Ú","U"),"Ü","U"),"Ç","C"))</f>
        <v/>
      </c>
      <c r="I943" s="28" t="str">
        <f aca="false">IF(C943="","",IF(LEN(SUBSTITUTE(SUBSTITUTE(SUBSTITUTE(SUBSTITUTE(TRIM(C943),"*",""),".",""),"-","")," ",""))=11,MID(SUBSTITUTE(SUBSTITUTE(SUBSTITUTE(SUBSTITUTE(TRIM(C943),"*",""),".",""),"-","")," ",""),4,6),SUBSTITUTE(SUBSTITUTE(SUBSTITUTE(SUBSTITUTE(TRIM(C943),"*",""),".",""),"-","")," ","")))</f>
        <v/>
      </c>
      <c r="J943" s="28" t="str">
        <f aca="false">IF(OR(H943="",I943=""),"",H943&amp;"|"&amp;I943)</f>
        <v/>
      </c>
      <c r="K943" s="19" t="str">
        <f aca="false">IF(H943="","",IF(AND(J943&lt;&gt;"",COUNTIF(Pessoas!$J:$J,J943)&gt;0),"SIM",IF(COUNTIF(Pessoas!$H:$H,H943)&gt;0,"nome igual em Pessoas: confira o CPF","")))</f>
        <v/>
      </c>
      <c r="L943" s="27"/>
      <c r="M943" s="5"/>
    </row>
    <row r="944" customFormat="false" ht="15" hidden="false" customHeight="false" outlineLevel="0" collapsed="false">
      <c r="A944" s="27"/>
      <c r="B944" s="5"/>
      <c r="C944" s="27"/>
      <c r="D944" s="18"/>
      <c r="E944" s="14"/>
      <c r="F944" s="18"/>
      <c r="G944" s="19" t="str">
        <f aca="false">IF(A944="","",IFERROR(INDEX(Empresas!$B:$B,MATCH(A944,Empresas!$A:$A,0))&amp;"","cadastre o CNPJ em Empresas"))</f>
        <v/>
      </c>
      <c r="H944" s="28" t="str">
        <f aca="false">IF(B944="","",SUBSTITUTE(SUBSTITUTE(SUBSTITUTE(SUBSTITUTE(SUBSTITUTE(SUBSTITUTE(SUBSTITUTE(SUBSTITUTE(SUBSTITUTE(SUBSTITUTE(SUBSTITUTE(SUBSTITUTE(SUBSTITUTE(UPPER(TRIM(B944)),"Á","A"),"À","A"),"Â","A"),"Ã","A"),"É","E"),"Ê","E"),"Í","I"),"Ó","O"),"Ô","O"),"Õ","O"),"Ú","U"),"Ü","U"),"Ç","C"))</f>
        <v/>
      </c>
      <c r="I944" s="28" t="str">
        <f aca="false">IF(C944="","",IF(LEN(SUBSTITUTE(SUBSTITUTE(SUBSTITUTE(SUBSTITUTE(TRIM(C944),"*",""),".",""),"-","")," ",""))=11,MID(SUBSTITUTE(SUBSTITUTE(SUBSTITUTE(SUBSTITUTE(TRIM(C944),"*",""),".",""),"-","")," ",""),4,6),SUBSTITUTE(SUBSTITUTE(SUBSTITUTE(SUBSTITUTE(TRIM(C944),"*",""),".",""),"-","")," ","")))</f>
        <v/>
      </c>
      <c r="J944" s="28" t="str">
        <f aca="false">IF(OR(H944="",I944=""),"",H944&amp;"|"&amp;I944)</f>
        <v/>
      </c>
      <c r="K944" s="19" t="str">
        <f aca="false">IF(H944="","",IF(AND(J944&lt;&gt;"",COUNTIF(Pessoas!$J:$J,J944)&gt;0),"SIM",IF(COUNTIF(Pessoas!$H:$H,H944)&gt;0,"nome igual em Pessoas: confira o CPF","")))</f>
        <v/>
      </c>
      <c r="L944" s="27"/>
      <c r="M944" s="5"/>
    </row>
    <row r="945" customFormat="false" ht="15" hidden="false" customHeight="false" outlineLevel="0" collapsed="false">
      <c r="A945" s="27"/>
      <c r="B945" s="5"/>
      <c r="C945" s="27"/>
      <c r="D945" s="18"/>
      <c r="E945" s="14"/>
      <c r="F945" s="18"/>
      <c r="G945" s="19" t="str">
        <f aca="false">IF(A945="","",IFERROR(INDEX(Empresas!$B:$B,MATCH(A945,Empresas!$A:$A,0))&amp;"","cadastre o CNPJ em Empresas"))</f>
        <v/>
      </c>
      <c r="H945" s="28" t="str">
        <f aca="false">IF(B945="","",SUBSTITUTE(SUBSTITUTE(SUBSTITUTE(SUBSTITUTE(SUBSTITUTE(SUBSTITUTE(SUBSTITUTE(SUBSTITUTE(SUBSTITUTE(SUBSTITUTE(SUBSTITUTE(SUBSTITUTE(SUBSTITUTE(UPPER(TRIM(B945)),"Á","A"),"À","A"),"Â","A"),"Ã","A"),"É","E"),"Ê","E"),"Í","I"),"Ó","O"),"Ô","O"),"Õ","O"),"Ú","U"),"Ü","U"),"Ç","C"))</f>
        <v/>
      </c>
      <c r="I945" s="28" t="str">
        <f aca="false">IF(C945="","",IF(LEN(SUBSTITUTE(SUBSTITUTE(SUBSTITUTE(SUBSTITUTE(TRIM(C945),"*",""),".",""),"-","")," ",""))=11,MID(SUBSTITUTE(SUBSTITUTE(SUBSTITUTE(SUBSTITUTE(TRIM(C945),"*",""),".",""),"-","")," ",""),4,6),SUBSTITUTE(SUBSTITUTE(SUBSTITUTE(SUBSTITUTE(TRIM(C945),"*",""),".",""),"-","")," ","")))</f>
        <v/>
      </c>
      <c r="J945" s="28" t="str">
        <f aca="false">IF(OR(H945="",I945=""),"",H945&amp;"|"&amp;I945)</f>
        <v/>
      </c>
      <c r="K945" s="19" t="str">
        <f aca="false">IF(H945="","",IF(AND(J945&lt;&gt;"",COUNTIF(Pessoas!$J:$J,J945)&gt;0),"SIM",IF(COUNTIF(Pessoas!$H:$H,H945)&gt;0,"nome igual em Pessoas: confira o CPF","")))</f>
        <v/>
      </c>
      <c r="L945" s="27"/>
      <c r="M945" s="5"/>
    </row>
    <row r="946" customFormat="false" ht="15" hidden="false" customHeight="false" outlineLevel="0" collapsed="false">
      <c r="A946" s="27"/>
      <c r="B946" s="5"/>
      <c r="C946" s="27"/>
      <c r="D946" s="18"/>
      <c r="E946" s="14"/>
      <c r="F946" s="18"/>
      <c r="G946" s="19" t="str">
        <f aca="false">IF(A946="","",IFERROR(INDEX(Empresas!$B:$B,MATCH(A946,Empresas!$A:$A,0))&amp;"","cadastre o CNPJ em Empresas"))</f>
        <v/>
      </c>
      <c r="H946" s="28" t="str">
        <f aca="false">IF(B946="","",SUBSTITUTE(SUBSTITUTE(SUBSTITUTE(SUBSTITUTE(SUBSTITUTE(SUBSTITUTE(SUBSTITUTE(SUBSTITUTE(SUBSTITUTE(SUBSTITUTE(SUBSTITUTE(SUBSTITUTE(SUBSTITUTE(UPPER(TRIM(B946)),"Á","A"),"À","A"),"Â","A"),"Ã","A"),"É","E"),"Ê","E"),"Í","I"),"Ó","O"),"Ô","O"),"Õ","O"),"Ú","U"),"Ü","U"),"Ç","C"))</f>
        <v/>
      </c>
      <c r="I946" s="28" t="str">
        <f aca="false">IF(C946="","",IF(LEN(SUBSTITUTE(SUBSTITUTE(SUBSTITUTE(SUBSTITUTE(TRIM(C946),"*",""),".",""),"-","")," ",""))=11,MID(SUBSTITUTE(SUBSTITUTE(SUBSTITUTE(SUBSTITUTE(TRIM(C946),"*",""),".",""),"-","")," ",""),4,6),SUBSTITUTE(SUBSTITUTE(SUBSTITUTE(SUBSTITUTE(TRIM(C946),"*",""),".",""),"-","")," ","")))</f>
        <v/>
      </c>
      <c r="J946" s="28" t="str">
        <f aca="false">IF(OR(H946="",I946=""),"",H946&amp;"|"&amp;I946)</f>
        <v/>
      </c>
      <c r="K946" s="19" t="str">
        <f aca="false">IF(H946="","",IF(AND(J946&lt;&gt;"",COUNTIF(Pessoas!$J:$J,J946)&gt;0),"SIM",IF(COUNTIF(Pessoas!$H:$H,H946)&gt;0,"nome igual em Pessoas: confira o CPF","")))</f>
        <v/>
      </c>
      <c r="L946" s="27"/>
      <c r="M946" s="5"/>
    </row>
    <row r="947" customFormat="false" ht="15" hidden="false" customHeight="false" outlineLevel="0" collapsed="false">
      <c r="A947" s="27"/>
      <c r="B947" s="5"/>
      <c r="C947" s="27"/>
      <c r="D947" s="18"/>
      <c r="E947" s="14"/>
      <c r="F947" s="18"/>
      <c r="G947" s="19" t="str">
        <f aca="false">IF(A947="","",IFERROR(INDEX(Empresas!$B:$B,MATCH(A947,Empresas!$A:$A,0))&amp;"","cadastre o CNPJ em Empresas"))</f>
        <v/>
      </c>
      <c r="H947" s="28" t="str">
        <f aca="false">IF(B947="","",SUBSTITUTE(SUBSTITUTE(SUBSTITUTE(SUBSTITUTE(SUBSTITUTE(SUBSTITUTE(SUBSTITUTE(SUBSTITUTE(SUBSTITUTE(SUBSTITUTE(SUBSTITUTE(SUBSTITUTE(SUBSTITUTE(UPPER(TRIM(B947)),"Á","A"),"À","A"),"Â","A"),"Ã","A"),"É","E"),"Ê","E"),"Í","I"),"Ó","O"),"Ô","O"),"Õ","O"),"Ú","U"),"Ü","U"),"Ç","C"))</f>
        <v/>
      </c>
      <c r="I947" s="28" t="str">
        <f aca="false">IF(C947="","",IF(LEN(SUBSTITUTE(SUBSTITUTE(SUBSTITUTE(SUBSTITUTE(TRIM(C947),"*",""),".",""),"-","")," ",""))=11,MID(SUBSTITUTE(SUBSTITUTE(SUBSTITUTE(SUBSTITUTE(TRIM(C947),"*",""),".",""),"-","")," ",""),4,6),SUBSTITUTE(SUBSTITUTE(SUBSTITUTE(SUBSTITUTE(TRIM(C947),"*",""),".",""),"-","")," ","")))</f>
        <v/>
      </c>
      <c r="J947" s="28" t="str">
        <f aca="false">IF(OR(H947="",I947=""),"",H947&amp;"|"&amp;I947)</f>
        <v/>
      </c>
      <c r="K947" s="19" t="str">
        <f aca="false">IF(H947="","",IF(AND(J947&lt;&gt;"",COUNTIF(Pessoas!$J:$J,J947)&gt;0),"SIM",IF(COUNTIF(Pessoas!$H:$H,H947)&gt;0,"nome igual em Pessoas: confira o CPF","")))</f>
        <v/>
      </c>
      <c r="L947" s="27"/>
      <c r="M947" s="5"/>
    </row>
    <row r="948" customFormat="false" ht="15" hidden="false" customHeight="false" outlineLevel="0" collapsed="false">
      <c r="A948" s="27"/>
      <c r="B948" s="5"/>
      <c r="C948" s="27"/>
      <c r="D948" s="18"/>
      <c r="E948" s="14"/>
      <c r="F948" s="18"/>
      <c r="G948" s="19" t="str">
        <f aca="false">IF(A948="","",IFERROR(INDEX(Empresas!$B:$B,MATCH(A948,Empresas!$A:$A,0))&amp;"","cadastre o CNPJ em Empresas"))</f>
        <v/>
      </c>
      <c r="H948" s="28" t="str">
        <f aca="false">IF(B948="","",SUBSTITUTE(SUBSTITUTE(SUBSTITUTE(SUBSTITUTE(SUBSTITUTE(SUBSTITUTE(SUBSTITUTE(SUBSTITUTE(SUBSTITUTE(SUBSTITUTE(SUBSTITUTE(SUBSTITUTE(SUBSTITUTE(UPPER(TRIM(B948)),"Á","A"),"À","A"),"Â","A"),"Ã","A"),"É","E"),"Ê","E"),"Í","I"),"Ó","O"),"Ô","O"),"Õ","O"),"Ú","U"),"Ü","U"),"Ç","C"))</f>
        <v/>
      </c>
      <c r="I948" s="28" t="str">
        <f aca="false">IF(C948="","",IF(LEN(SUBSTITUTE(SUBSTITUTE(SUBSTITUTE(SUBSTITUTE(TRIM(C948),"*",""),".",""),"-","")," ",""))=11,MID(SUBSTITUTE(SUBSTITUTE(SUBSTITUTE(SUBSTITUTE(TRIM(C948),"*",""),".",""),"-","")," ",""),4,6),SUBSTITUTE(SUBSTITUTE(SUBSTITUTE(SUBSTITUTE(TRIM(C948),"*",""),".",""),"-","")," ","")))</f>
        <v/>
      </c>
      <c r="J948" s="28" t="str">
        <f aca="false">IF(OR(H948="",I948=""),"",H948&amp;"|"&amp;I948)</f>
        <v/>
      </c>
      <c r="K948" s="19" t="str">
        <f aca="false">IF(H948="","",IF(AND(J948&lt;&gt;"",COUNTIF(Pessoas!$J:$J,J948)&gt;0),"SIM",IF(COUNTIF(Pessoas!$H:$H,H948)&gt;0,"nome igual em Pessoas: confira o CPF","")))</f>
        <v/>
      </c>
      <c r="L948" s="27"/>
      <c r="M948" s="5"/>
    </row>
    <row r="949" customFormat="false" ht="15" hidden="false" customHeight="false" outlineLevel="0" collapsed="false">
      <c r="A949" s="27"/>
      <c r="B949" s="5"/>
      <c r="C949" s="27"/>
      <c r="D949" s="18"/>
      <c r="E949" s="14"/>
      <c r="F949" s="18"/>
      <c r="G949" s="19" t="str">
        <f aca="false">IF(A949="","",IFERROR(INDEX(Empresas!$B:$B,MATCH(A949,Empresas!$A:$A,0))&amp;"","cadastre o CNPJ em Empresas"))</f>
        <v/>
      </c>
      <c r="H949" s="28" t="str">
        <f aca="false">IF(B949="","",SUBSTITUTE(SUBSTITUTE(SUBSTITUTE(SUBSTITUTE(SUBSTITUTE(SUBSTITUTE(SUBSTITUTE(SUBSTITUTE(SUBSTITUTE(SUBSTITUTE(SUBSTITUTE(SUBSTITUTE(SUBSTITUTE(UPPER(TRIM(B949)),"Á","A"),"À","A"),"Â","A"),"Ã","A"),"É","E"),"Ê","E"),"Í","I"),"Ó","O"),"Ô","O"),"Õ","O"),"Ú","U"),"Ü","U"),"Ç","C"))</f>
        <v/>
      </c>
      <c r="I949" s="28" t="str">
        <f aca="false">IF(C949="","",IF(LEN(SUBSTITUTE(SUBSTITUTE(SUBSTITUTE(SUBSTITUTE(TRIM(C949),"*",""),".",""),"-","")," ",""))=11,MID(SUBSTITUTE(SUBSTITUTE(SUBSTITUTE(SUBSTITUTE(TRIM(C949),"*",""),".",""),"-","")," ",""),4,6),SUBSTITUTE(SUBSTITUTE(SUBSTITUTE(SUBSTITUTE(TRIM(C949),"*",""),".",""),"-","")," ","")))</f>
        <v/>
      </c>
      <c r="J949" s="28" t="str">
        <f aca="false">IF(OR(H949="",I949=""),"",H949&amp;"|"&amp;I949)</f>
        <v/>
      </c>
      <c r="K949" s="19" t="str">
        <f aca="false">IF(H949="","",IF(AND(J949&lt;&gt;"",COUNTIF(Pessoas!$J:$J,J949)&gt;0),"SIM",IF(COUNTIF(Pessoas!$H:$H,H949)&gt;0,"nome igual em Pessoas: confira o CPF","")))</f>
        <v/>
      </c>
      <c r="L949" s="27"/>
      <c r="M949" s="5"/>
    </row>
    <row r="950" customFormat="false" ht="15" hidden="false" customHeight="false" outlineLevel="0" collapsed="false">
      <c r="A950" s="27"/>
      <c r="B950" s="5"/>
      <c r="C950" s="27"/>
      <c r="D950" s="18"/>
      <c r="E950" s="14"/>
      <c r="F950" s="18"/>
      <c r="G950" s="19" t="str">
        <f aca="false">IF(A950="","",IFERROR(INDEX(Empresas!$B:$B,MATCH(A950,Empresas!$A:$A,0))&amp;"","cadastre o CNPJ em Empresas"))</f>
        <v/>
      </c>
      <c r="H950" s="28" t="str">
        <f aca="false">IF(B950="","",SUBSTITUTE(SUBSTITUTE(SUBSTITUTE(SUBSTITUTE(SUBSTITUTE(SUBSTITUTE(SUBSTITUTE(SUBSTITUTE(SUBSTITUTE(SUBSTITUTE(SUBSTITUTE(SUBSTITUTE(SUBSTITUTE(UPPER(TRIM(B950)),"Á","A"),"À","A"),"Â","A"),"Ã","A"),"É","E"),"Ê","E"),"Í","I"),"Ó","O"),"Ô","O"),"Õ","O"),"Ú","U"),"Ü","U"),"Ç","C"))</f>
        <v/>
      </c>
      <c r="I950" s="28" t="str">
        <f aca="false">IF(C950="","",IF(LEN(SUBSTITUTE(SUBSTITUTE(SUBSTITUTE(SUBSTITUTE(TRIM(C950),"*",""),".",""),"-","")," ",""))=11,MID(SUBSTITUTE(SUBSTITUTE(SUBSTITUTE(SUBSTITUTE(TRIM(C950),"*",""),".",""),"-","")," ",""),4,6),SUBSTITUTE(SUBSTITUTE(SUBSTITUTE(SUBSTITUTE(TRIM(C950),"*",""),".",""),"-","")," ","")))</f>
        <v/>
      </c>
      <c r="J950" s="28" t="str">
        <f aca="false">IF(OR(H950="",I950=""),"",H950&amp;"|"&amp;I950)</f>
        <v/>
      </c>
      <c r="K950" s="19" t="str">
        <f aca="false">IF(H950="","",IF(AND(J950&lt;&gt;"",COUNTIF(Pessoas!$J:$J,J950)&gt;0),"SIM",IF(COUNTIF(Pessoas!$H:$H,H950)&gt;0,"nome igual em Pessoas: confira o CPF","")))</f>
        <v/>
      </c>
      <c r="L950" s="27"/>
      <c r="M950" s="5"/>
    </row>
    <row r="951" customFormat="false" ht="15" hidden="false" customHeight="false" outlineLevel="0" collapsed="false">
      <c r="A951" s="27"/>
      <c r="B951" s="5"/>
      <c r="C951" s="27"/>
      <c r="D951" s="18"/>
      <c r="E951" s="14"/>
      <c r="F951" s="18"/>
      <c r="G951" s="19" t="str">
        <f aca="false">IF(A951="","",IFERROR(INDEX(Empresas!$B:$B,MATCH(A951,Empresas!$A:$A,0))&amp;"","cadastre o CNPJ em Empresas"))</f>
        <v/>
      </c>
      <c r="H951" s="28" t="str">
        <f aca="false">IF(B951="","",SUBSTITUTE(SUBSTITUTE(SUBSTITUTE(SUBSTITUTE(SUBSTITUTE(SUBSTITUTE(SUBSTITUTE(SUBSTITUTE(SUBSTITUTE(SUBSTITUTE(SUBSTITUTE(SUBSTITUTE(SUBSTITUTE(UPPER(TRIM(B951)),"Á","A"),"À","A"),"Â","A"),"Ã","A"),"É","E"),"Ê","E"),"Í","I"),"Ó","O"),"Ô","O"),"Õ","O"),"Ú","U"),"Ü","U"),"Ç","C"))</f>
        <v/>
      </c>
      <c r="I951" s="28" t="str">
        <f aca="false">IF(C951="","",IF(LEN(SUBSTITUTE(SUBSTITUTE(SUBSTITUTE(SUBSTITUTE(TRIM(C951),"*",""),".",""),"-","")," ",""))=11,MID(SUBSTITUTE(SUBSTITUTE(SUBSTITUTE(SUBSTITUTE(TRIM(C951),"*",""),".",""),"-","")," ",""),4,6),SUBSTITUTE(SUBSTITUTE(SUBSTITUTE(SUBSTITUTE(TRIM(C951),"*",""),".",""),"-","")," ","")))</f>
        <v/>
      </c>
      <c r="J951" s="28" t="str">
        <f aca="false">IF(OR(H951="",I951=""),"",H951&amp;"|"&amp;I951)</f>
        <v/>
      </c>
      <c r="K951" s="19" t="str">
        <f aca="false">IF(H951="","",IF(AND(J951&lt;&gt;"",COUNTIF(Pessoas!$J:$J,J951)&gt;0),"SIM",IF(COUNTIF(Pessoas!$H:$H,H951)&gt;0,"nome igual em Pessoas: confira o CPF","")))</f>
        <v/>
      </c>
      <c r="L951" s="27"/>
      <c r="M951" s="5"/>
    </row>
    <row r="952" customFormat="false" ht="15" hidden="false" customHeight="false" outlineLevel="0" collapsed="false">
      <c r="A952" s="27"/>
      <c r="B952" s="5"/>
      <c r="C952" s="27"/>
      <c r="D952" s="18"/>
      <c r="E952" s="14"/>
      <c r="F952" s="18"/>
      <c r="G952" s="19" t="str">
        <f aca="false">IF(A952="","",IFERROR(INDEX(Empresas!$B:$B,MATCH(A952,Empresas!$A:$A,0))&amp;"","cadastre o CNPJ em Empresas"))</f>
        <v/>
      </c>
      <c r="H952" s="28" t="str">
        <f aca="false">IF(B952="","",SUBSTITUTE(SUBSTITUTE(SUBSTITUTE(SUBSTITUTE(SUBSTITUTE(SUBSTITUTE(SUBSTITUTE(SUBSTITUTE(SUBSTITUTE(SUBSTITUTE(SUBSTITUTE(SUBSTITUTE(SUBSTITUTE(UPPER(TRIM(B952)),"Á","A"),"À","A"),"Â","A"),"Ã","A"),"É","E"),"Ê","E"),"Í","I"),"Ó","O"),"Ô","O"),"Õ","O"),"Ú","U"),"Ü","U"),"Ç","C"))</f>
        <v/>
      </c>
      <c r="I952" s="28" t="str">
        <f aca="false">IF(C952="","",IF(LEN(SUBSTITUTE(SUBSTITUTE(SUBSTITUTE(SUBSTITUTE(TRIM(C952),"*",""),".",""),"-","")," ",""))=11,MID(SUBSTITUTE(SUBSTITUTE(SUBSTITUTE(SUBSTITUTE(TRIM(C952),"*",""),".",""),"-","")," ",""),4,6),SUBSTITUTE(SUBSTITUTE(SUBSTITUTE(SUBSTITUTE(TRIM(C952),"*",""),".",""),"-","")," ","")))</f>
        <v/>
      </c>
      <c r="J952" s="28" t="str">
        <f aca="false">IF(OR(H952="",I952=""),"",H952&amp;"|"&amp;I952)</f>
        <v/>
      </c>
      <c r="K952" s="19" t="str">
        <f aca="false">IF(H952="","",IF(AND(J952&lt;&gt;"",COUNTIF(Pessoas!$J:$J,J952)&gt;0),"SIM",IF(COUNTIF(Pessoas!$H:$H,H952)&gt;0,"nome igual em Pessoas: confira o CPF","")))</f>
        <v/>
      </c>
      <c r="L952" s="27"/>
      <c r="M952" s="5"/>
    </row>
    <row r="953" customFormat="false" ht="15" hidden="false" customHeight="false" outlineLevel="0" collapsed="false">
      <c r="A953" s="27"/>
      <c r="B953" s="5"/>
      <c r="C953" s="27"/>
      <c r="D953" s="18"/>
      <c r="E953" s="14"/>
      <c r="F953" s="18"/>
      <c r="G953" s="19" t="str">
        <f aca="false">IF(A953="","",IFERROR(INDEX(Empresas!$B:$B,MATCH(A953,Empresas!$A:$A,0))&amp;"","cadastre o CNPJ em Empresas"))</f>
        <v/>
      </c>
      <c r="H953" s="28" t="str">
        <f aca="false">IF(B953="","",SUBSTITUTE(SUBSTITUTE(SUBSTITUTE(SUBSTITUTE(SUBSTITUTE(SUBSTITUTE(SUBSTITUTE(SUBSTITUTE(SUBSTITUTE(SUBSTITUTE(SUBSTITUTE(SUBSTITUTE(SUBSTITUTE(UPPER(TRIM(B953)),"Á","A"),"À","A"),"Â","A"),"Ã","A"),"É","E"),"Ê","E"),"Í","I"),"Ó","O"),"Ô","O"),"Õ","O"),"Ú","U"),"Ü","U"),"Ç","C"))</f>
        <v/>
      </c>
      <c r="I953" s="28" t="str">
        <f aca="false">IF(C953="","",IF(LEN(SUBSTITUTE(SUBSTITUTE(SUBSTITUTE(SUBSTITUTE(TRIM(C953),"*",""),".",""),"-","")," ",""))=11,MID(SUBSTITUTE(SUBSTITUTE(SUBSTITUTE(SUBSTITUTE(TRIM(C953),"*",""),".",""),"-","")," ",""),4,6),SUBSTITUTE(SUBSTITUTE(SUBSTITUTE(SUBSTITUTE(TRIM(C953),"*",""),".",""),"-","")," ","")))</f>
        <v/>
      </c>
      <c r="J953" s="28" t="str">
        <f aca="false">IF(OR(H953="",I953=""),"",H953&amp;"|"&amp;I953)</f>
        <v/>
      </c>
      <c r="K953" s="19" t="str">
        <f aca="false">IF(H953="","",IF(AND(J953&lt;&gt;"",COUNTIF(Pessoas!$J:$J,J953)&gt;0),"SIM",IF(COUNTIF(Pessoas!$H:$H,H953)&gt;0,"nome igual em Pessoas: confira o CPF","")))</f>
        <v/>
      </c>
      <c r="L953" s="27"/>
      <c r="M953" s="5"/>
    </row>
    <row r="954" customFormat="false" ht="15" hidden="false" customHeight="false" outlineLevel="0" collapsed="false">
      <c r="A954" s="27"/>
      <c r="B954" s="5"/>
      <c r="C954" s="27"/>
      <c r="D954" s="18"/>
      <c r="E954" s="14"/>
      <c r="F954" s="18"/>
      <c r="G954" s="19" t="str">
        <f aca="false">IF(A954="","",IFERROR(INDEX(Empresas!$B:$B,MATCH(A954,Empresas!$A:$A,0))&amp;"","cadastre o CNPJ em Empresas"))</f>
        <v/>
      </c>
      <c r="H954" s="28" t="str">
        <f aca="false">IF(B954="","",SUBSTITUTE(SUBSTITUTE(SUBSTITUTE(SUBSTITUTE(SUBSTITUTE(SUBSTITUTE(SUBSTITUTE(SUBSTITUTE(SUBSTITUTE(SUBSTITUTE(SUBSTITUTE(SUBSTITUTE(SUBSTITUTE(UPPER(TRIM(B954)),"Á","A"),"À","A"),"Â","A"),"Ã","A"),"É","E"),"Ê","E"),"Í","I"),"Ó","O"),"Ô","O"),"Õ","O"),"Ú","U"),"Ü","U"),"Ç","C"))</f>
        <v/>
      </c>
      <c r="I954" s="28" t="str">
        <f aca="false">IF(C954="","",IF(LEN(SUBSTITUTE(SUBSTITUTE(SUBSTITUTE(SUBSTITUTE(TRIM(C954),"*",""),".",""),"-","")," ",""))=11,MID(SUBSTITUTE(SUBSTITUTE(SUBSTITUTE(SUBSTITUTE(TRIM(C954),"*",""),".",""),"-","")," ",""),4,6),SUBSTITUTE(SUBSTITUTE(SUBSTITUTE(SUBSTITUTE(TRIM(C954),"*",""),".",""),"-","")," ","")))</f>
        <v/>
      </c>
      <c r="J954" s="28" t="str">
        <f aca="false">IF(OR(H954="",I954=""),"",H954&amp;"|"&amp;I954)</f>
        <v/>
      </c>
      <c r="K954" s="19" t="str">
        <f aca="false">IF(H954="","",IF(AND(J954&lt;&gt;"",COUNTIF(Pessoas!$J:$J,J954)&gt;0),"SIM",IF(COUNTIF(Pessoas!$H:$H,H954)&gt;0,"nome igual em Pessoas: confira o CPF","")))</f>
        <v/>
      </c>
      <c r="L954" s="27"/>
      <c r="M954" s="5"/>
    </row>
    <row r="955" customFormat="false" ht="15" hidden="false" customHeight="false" outlineLevel="0" collapsed="false">
      <c r="A955" s="27"/>
      <c r="B955" s="5"/>
      <c r="C955" s="27"/>
      <c r="D955" s="18"/>
      <c r="E955" s="14"/>
      <c r="F955" s="18"/>
      <c r="G955" s="19" t="str">
        <f aca="false">IF(A955="","",IFERROR(INDEX(Empresas!$B:$B,MATCH(A955,Empresas!$A:$A,0))&amp;"","cadastre o CNPJ em Empresas"))</f>
        <v/>
      </c>
      <c r="H955" s="28" t="str">
        <f aca="false">IF(B955="","",SUBSTITUTE(SUBSTITUTE(SUBSTITUTE(SUBSTITUTE(SUBSTITUTE(SUBSTITUTE(SUBSTITUTE(SUBSTITUTE(SUBSTITUTE(SUBSTITUTE(SUBSTITUTE(SUBSTITUTE(SUBSTITUTE(UPPER(TRIM(B955)),"Á","A"),"À","A"),"Â","A"),"Ã","A"),"É","E"),"Ê","E"),"Í","I"),"Ó","O"),"Ô","O"),"Õ","O"),"Ú","U"),"Ü","U"),"Ç","C"))</f>
        <v/>
      </c>
      <c r="I955" s="28" t="str">
        <f aca="false">IF(C955="","",IF(LEN(SUBSTITUTE(SUBSTITUTE(SUBSTITUTE(SUBSTITUTE(TRIM(C955),"*",""),".",""),"-","")," ",""))=11,MID(SUBSTITUTE(SUBSTITUTE(SUBSTITUTE(SUBSTITUTE(TRIM(C955),"*",""),".",""),"-","")," ",""),4,6),SUBSTITUTE(SUBSTITUTE(SUBSTITUTE(SUBSTITUTE(TRIM(C955),"*",""),".",""),"-","")," ","")))</f>
        <v/>
      </c>
      <c r="J955" s="28" t="str">
        <f aca="false">IF(OR(H955="",I955=""),"",H955&amp;"|"&amp;I955)</f>
        <v/>
      </c>
      <c r="K955" s="19" t="str">
        <f aca="false">IF(H955="","",IF(AND(J955&lt;&gt;"",COUNTIF(Pessoas!$J:$J,J955)&gt;0),"SIM",IF(COUNTIF(Pessoas!$H:$H,H955)&gt;0,"nome igual em Pessoas: confira o CPF","")))</f>
        <v/>
      </c>
      <c r="L955" s="27"/>
      <c r="M955" s="5"/>
    </row>
    <row r="956" customFormat="false" ht="15" hidden="false" customHeight="false" outlineLevel="0" collapsed="false">
      <c r="A956" s="27"/>
      <c r="B956" s="5"/>
      <c r="C956" s="27"/>
      <c r="D956" s="18"/>
      <c r="E956" s="14"/>
      <c r="F956" s="18"/>
      <c r="G956" s="19" t="str">
        <f aca="false">IF(A956="","",IFERROR(INDEX(Empresas!$B:$B,MATCH(A956,Empresas!$A:$A,0))&amp;"","cadastre o CNPJ em Empresas"))</f>
        <v/>
      </c>
      <c r="H956" s="28" t="str">
        <f aca="false">IF(B956="","",SUBSTITUTE(SUBSTITUTE(SUBSTITUTE(SUBSTITUTE(SUBSTITUTE(SUBSTITUTE(SUBSTITUTE(SUBSTITUTE(SUBSTITUTE(SUBSTITUTE(SUBSTITUTE(SUBSTITUTE(SUBSTITUTE(UPPER(TRIM(B956)),"Á","A"),"À","A"),"Â","A"),"Ã","A"),"É","E"),"Ê","E"),"Í","I"),"Ó","O"),"Ô","O"),"Õ","O"),"Ú","U"),"Ü","U"),"Ç","C"))</f>
        <v/>
      </c>
      <c r="I956" s="28" t="str">
        <f aca="false">IF(C956="","",IF(LEN(SUBSTITUTE(SUBSTITUTE(SUBSTITUTE(SUBSTITUTE(TRIM(C956),"*",""),".",""),"-","")," ",""))=11,MID(SUBSTITUTE(SUBSTITUTE(SUBSTITUTE(SUBSTITUTE(TRIM(C956),"*",""),".",""),"-","")," ",""),4,6),SUBSTITUTE(SUBSTITUTE(SUBSTITUTE(SUBSTITUTE(TRIM(C956),"*",""),".",""),"-","")," ","")))</f>
        <v/>
      </c>
      <c r="J956" s="28" t="str">
        <f aca="false">IF(OR(H956="",I956=""),"",H956&amp;"|"&amp;I956)</f>
        <v/>
      </c>
      <c r="K956" s="19" t="str">
        <f aca="false">IF(H956="","",IF(AND(J956&lt;&gt;"",COUNTIF(Pessoas!$J:$J,J956)&gt;0),"SIM",IF(COUNTIF(Pessoas!$H:$H,H956)&gt;0,"nome igual em Pessoas: confira o CPF","")))</f>
        <v/>
      </c>
      <c r="L956" s="27"/>
      <c r="M956" s="5"/>
    </row>
    <row r="957" customFormat="false" ht="15" hidden="false" customHeight="false" outlineLevel="0" collapsed="false">
      <c r="A957" s="27"/>
      <c r="B957" s="5"/>
      <c r="C957" s="27"/>
      <c r="D957" s="18"/>
      <c r="E957" s="14"/>
      <c r="F957" s="18"/>
      <c r="G957" s="19" t="str">
        <f aca="false">IF(A957="","",IFERROR(INDEX(Empresas!$B:$B,MATCH(A957,Empresas!$A:$A,0))&amp;"","cadastre o CNPJ em Empresas"))</f>
        <v/>
      </c>
      <c r="H957" s="28" t="str">
        <f aca="false">IF(B957="","",SUBSTITUTE(SUBSTITUTE(SUBSTITUTE(SUBSTITUTE(SUBSTITUTE(SUBSTITUTE(SUBSTITUTE(SUBSTITUTE(SUBSTITUTE(SUBSTITUTE(SUBSTITUTE(SUBSTITUTE(SUBSTITUTE(UPPER(TRIM(B957)),"Á","A"),"À","A"),"Â","A"),"Ã","A"),"É","E"),"Ê","E"),"Í","I"),"Ó","O"),"Ô","O"),"Õ","O"),"Ú","U"),"Ü","U"),"Ç","C"))</f>
        <v/>
      </c>
      <c r="I957" s="28" t="str">
        <f aca="false">IF(C957="","",IF(LEN(SUBSTITUTE(SUBSTITUTE(SUBSTITUTE(SUBSTITUTE(TRIM(C957),"*",""),".",""),"-","")," ",""))=11,MID(SUBSTITUTE(SUBSTITUTE(SUBSTITUTE(SUBSTITUTE(TRIM(C957),"*",""),".",""),"-","")," ",""),4,6),SUBSTITUTE(SUBSTITUTE(SUBSTITUTE(SUBSTITUTE(TRIM(C957),"*",""),".",""),"-","")," ","")))</f>
        <v/>
      </c>
      <c r="J957" s="28" t="str">
        <f aca="false">IF(OR(H957="",I957=""),"",H957&amp;"|"&amp;I957)</f>
        <v/>
      </c>
      <c r="K957" s="19" t="str">
        <f aca="false">IF(H957="","",IF(AND(J957&lt;&gt;"",COUNTIF(Pessoas!$J:$J,J957)&gt;0),"SIM",IF(COUNTIF(Pessoas!$H:$H,H957)&gt;0,"nome igual em Pessoas: confira o CPF","")))</f>
        <v/>
      </c>
      <c r="L957" s="27"/>
      <c r="M957" s="5"/>
    </row>
    <row r="958" customFormat="false" ht="15" hidden="false" customHeight="false" outlineLevel="0" collapsed="false">
      <c r="A958" s="27"/>
      <c r="B958" s="5"/>
      <c r="C958" s="27"/>
      <c r="D958" s="18"/>
      <c r="E958" s="14"/>
      <c r="F958" s="18"/>
      <c r="G958" s="19" t="str">
        <f aca="false">IF(A958="","",IFERROR(INDEX(Empresas!$B:$B,MATCH(A958,Empresas!$A:$A,0))&amp;"","cadastre o CNPJ em Empresas"))</f>
        <v/>
      </c>
      <c r="H958" s="28" t="str">
        <f aca="false">IF(B958="","",SUBSTITUTE(SUBSTITUTE(SUBSTITUTE(SUBSTITUTE(SUBSTITUTE(SUBSTITUTE(SUBSTITUTE(SUBSTITUTE(SUBSTITUTE(SUBSTITUTE(SUBSTITUTE(SUBSTITUTE(SUBSTITUTE(UPPER(TRIM(B958)),"Á","A"),"À","A"),"Â","A"),"Ã","A"),"É","E"),"Ê","E"),"Í","I"),"Ó","O"),"Ô","O"),"Õ","O"),"Ú","U"),"Ü","U"),"Ç","C"))</f>
        <v/>
      </c>
      <c r="I958" s="28" t="str">
        <f aca="false">IF(C958="","",IF(LEN(SUBSTITUTE(SUBSTITUTE(SUBSTITUTE(SUBSTITUTE(TRIM(C958),"*",""),".",""),"-","")," ",""))=11,MID(SUBSTITUTE(SUBSTITUTE(SUBSTITUTE(SUBSTITUTE(TRIM(C958),"*",""),".",""),"-","")," ",""),4,6),SUBSTITUTE(SUBSTITUTE(SUBSTITUTE(SUBSTITUTE(TRIM(C958),"*",""),".",""),"-","")," ","")))</f>
        <v/>
      </c>
      <c r="J958" s="28" t="str">
        <f aca="false">IF(OR(H958="",I958=""),"",H958&amp;"|"&amp;I958)</f>
        <v/>
      </c>
      <c r="K958" s="19" t="str">
        <f aca="false">IF(H958="","",IF(AND(J958&lt;&gt;"",COUNTIF(Pessoas!$J:$J,J958)&gt;0),"SIM",IF(COUNTIF(Pessoas!$H:$H,H958)&gt;0,"nome igual em Pessoas: confira o CPF","")))</f>
        <v/>
      </c>
      <c r="L958" s="27"/>
      <c r="M958" s="5"/>
    </row>
    <row r="959" customFormat="false" ht="15" hidden="false" customHeight="false" outlineLevel="0" collapsed="false">
      <c r="A959" s="27"/>
      <c r="B959" s="5"/>
      <c r="C959" s="27"/>
      <c r="D959" s="18"/>
      <c r="E959" s="14"/>
      <c r="F959" s="18"/>
      <c r="G959" s="19" t="str">
        <f aca="false">IF(A959="","",IFERROR(INDEX(Empresas!$B:$B,MATCH(A959,Empresas!$A:$A,0))&amp;"","cadastre o CNPJ em Empresas"))</f>
        <v/>
      </c>
      <c r="H959" s="28" t="str">
        <f aca="false">IF(B959="","",SUBSTITUTE(SUBSTITUTE(SUBSTITUTE(SUBSTITUTE(SUBSTITUTE(SUBSTITUTE(SUBSTITUTE(SUBSTITUTE(SUBSTITUTE(SUBSTITUTE(SUBSTITUTE(SUBSTITUTE(SUBSTITUTE(UPPER(TRIM(B959)),"Á","A"),"À","A"),"Â","A"),"Ã","A"),"É","E"),"Ê","E"),"Í","I"),"Ó","O"),"Ô","O"),"Õ","O"),"Ú","U"),"Ü","U"),"Ç","C"))</f>
        <v/>
      </c>
      <c r="I959" s="28" t="str">
        <f aca="false">IF(C959="","",IF(LEN(SUBSTITUTE(SUBSTITUTE(SUBSTITUTE(SUBSTITUTE(TRIM(C959),"*",""),".",""),"-","")," ",""))=11,MID(SUBSTITUTE(SUBSTITUTE(SUBSTITUTE(SUBSTITUTE(TRIM(C959),"*",""),".",""),"-","")," ",""),4,6),SUBSTITUTE(SUBSTITUTE(SUBSTITUTE(SUBSTITUTE(TRIM(C959),"*",""),".",""),"-","")," ","")))</f>
        <v/>
      </c>
      <c r="J959" s="28" t="str">
        <f aca="false">IF(OR(H959="",I959=""),"",H959&amp;"|"&amp;I959)</f>
        <v/>
      </c>
      <c r="K959" s="19" t="str">
        <f aca="false">IF(H959="","",IF(AND(J959&lt;&gt;"",COUNTIF(Pessoas!$J:$J,J959)&gt;0),"SIM",IF(COUNTIF(Pessoas!$H:$H,H959)&gt;0,"nome igual em Pessoas: confira o CPF","")))</f>
        <v/>
      </c>
      <c r="L959" s="27"/>
      <c r="M959" s="5"/>
    </row>
    <row r="960" customFormat="false" ht="15" hidden="false" customHeight="false" outlineLevel="0" collapsed="false">
      <c r="A960" s="27"/>
      <c r="B960" s="5"/>
      <c r="C960" s="27"/>
      <c r="D960" s="18"/>
      <c r="E960" s="14"/>
      <c r="F960" s="18"/>
      <c r="G960" s="19" t="str">
        <f aca="false">IF(A960="","",IFERROR(INDEX(Empresas!$B:$B,MATCH(A960,Empresas!$A:$A,0))&amp;"","cadastre o CNPJ em Empresas"))</f>
        <v/>
      </c>
      <c r="H960" s="28" t="str">
        <f aca="false">IF(B960="","",SUBSTITUTE(SUBSTITUTE(SUBSTITUTE(SUBSTITUTE(SUBSTITUTE(SUBSTITUTE(SUBSTITUTE(SUBSTITUTE(SUBSTITUTE(SUBSTITUTE(SUBSTITUTE(SUBSTITUTE(SUBSTITUTE(UPPER(TRIM(B960)),"Á","A"),"À","A"),"Â","A"),"Ã","A"),"É","E"),"Ê","E"),"Í","I"),"Ó","O"),"Ô","O"),"Õ","O"),"Ú","U"),"Ü","U"),"Ç","C"))</f>
        <v/>
      </c>
      <c r="I960" s="28" t="str">
        <f aca="false">IF(C960="","",IF(LEN(SUBSTITUTE(SUBSTITUTE(SUBSTITUTE(SUBSTITUTE(TRIM(C960),"*",""),".",""),"-","")," ",""))=11,MID(SUBSTITUTE(SUBSTITUTE(SUBSTITUTE(SUBSTITUTE(TRIM(C960),"*",""),".",""),"-","")," ",""),4,6),SUBSTITUTE(SUBSTITUTE(SUBSTITUTE(SUBSTITUTE(TRIM(C960),"*",""),".",""),"-","")," ","")))</f>
        <v/>
      </c>
      <c r="J960" s="28" t="str">
        <f aca="false">IF(OR(H960="",I960=""),"",H960&amp;"|"&amp;I960)</f>
        <v/>
      </c>
      <c r="K960" s="19" t="str">
        <f aca="false">IF(H960="","",IF(AND(J960&lt;&gt;"",COUNTIF(Pessoas!$J:$J,J960)&gt;0),"SIM",IF(COUNTIF(Pessoas!$H:$H,H960)&gt;0,"nome igual em Pessoas: confira o CPF","")))</f>
        <v/>
      </c>
      <c r="L960" s="27"/>
      <c r="M960" s="5"/>
    </row>
    <row r="961" customFormat="false" ht="15" hidden="false" customHeight="false" outlineLevel="0" collapsed="false">
      <c r="A961" s="27"/>
      <c r="B961" s="5"/>
      <c r="C961" s="27"/>
      <c r="D961" s="18"/>
      <c r="E961" s="14"/>
      <c r="F961" s="18"/>
      <c r="G961" s="19" t="str">
        <f aca="false">IF(A961="","",IFERROR(INDEX(Empresas!$B:$B,MATCH(A961,Empresas!$A:$A,0))&amp;"","cadastre o CNPJ em Empresas"))</f>
        <v/>
      </c>
      <c r="H961" s="28" t="str">
        <f aca="false">IF(B961="","",SUBSTITUTE(SUBSTITUTE(SUBSTITUTE(SUBSTITUTE(SUBSTITUTE(SUBSTITUTE(SUBSTITUTE(SUBSTITUTE(SUBSTITUTE(SUBSTITUTE(SUBSTITUTE(SUBSTITUTE(SUBSTITUTE(UPPER(TRIM(B961)),"Á","A"),"À","A"),"Â","A"),"Ã","A"),"É","E"),"Ê","E"),"Í","I"),"Ó","O"),"Ô","O"),"Õ","O"),"Ú","U"),"Ü","U"),"Ç","C"))</f>
        <v/>
      </c>
      <c r="I961" s="28" t="str">
        <f aca="false">IF(C961="","",IF(LEN(SUBSTITUTE(SUBSTITUTE(SUBSTITUTE(SUBSTITUTE(TRIM(C961),"*",""),".",""),"-","")," ",""))=11,MID(SUBSTITUTE(SUBSTITUTE(SUBSTITUTE(SUBSTITUTE(TRIM(C961),"*",""),".",""),"-","")," ",""),4,6),SUBSTITUTE(SUBSTITUTE(SUBSTITUTE(SUBSTITUTE(TRIM(C961),"*",""),".",""),"-","")," ","")))</f>
        <v/>
      </c>
      <c r="J961" s="28" t="str">
        <f aca="false">IF(OR(H961="",I961=""),"",H961&amp;"|"&amp;I961)</f>
        <v/>
      </c>
      <c r="K961" s="19" t="str">
        <f aca="false">IF(H961="","",IF(AND(J961&lt;&gt;"",COUNTIF(Pessoas!$J:$J,J961)&gt;0),"SIM",IF(COUNTIF(Pessoas!$H:$H,H961)&gt;0,"nome igual em Pessoas: confira o CPF","")))</f>
        <v/>
      </c>
      <c r="L961" s="27"/>
      <c r="M961" s="5"/>
    </row>
    <row r="962" customFormat="false" ht="15" hidden="false" customHeight="false" outlineLevel="0" collapsed="false">
      <c r="A962" s="27"/>
      <c r="B962" s="5"/>
      <c r="C962" s="27"/>
      <c r="D962" s="18"/>
      <c r="E962" s="14"/>
      <c r="F962" s="18"/>
      <c r="G962" s="19" t="str">
        <f aca="false">IF(A962="","",IFERROR(INDEX(Empresas!$B:$B,MATCH(A962,Empresas!$A:$A,0))&amp;"","cadastre o CNPJ em Empresas"))</f>
        <v/>
      </c>
      <c r="H962" s="28" t="str">
        <f aca="false">IF(B962="","",SUBSTITUTE(SUBSTITUTE(SUBSTITUTE(SUBSTITUTE(SUBSTITUTE(SUBSTITUTE(SUBSTITUTE(SUBSTITUTE(SUBSTITUTE(SUBSTITUTE(SUBSTITUTE(SUBSTITUTE(SUBSTITUTE(UPPER(TRIM(B962)),"Á","A"),"À","A"),"Â","A"),"Ã","A"),"É","E"),"Ê","E"),"Í","I"),"Ó","O"),"Ô","O"),"Õ","O"),"Ú","U"),"Ü","U"),"Ç","C"))</f>
        <v/>
      </c>
      <c r="I962" s="28" t="str">
        <f aca="false">IF(C962="","",IF(LEN(SUBSTITUTE(SUBSTITUTE(SUBSTITUTE(SUBSTITUTE(TRIM(C962),"*",""),".",""),"-","")," ",""))=11,MID(SUBSTITUTE(SUBSTITUTE(SUBSTITUTE(SUBSTITUTE(TRIM(C962),"*",""),".",""),"-","")," ",""),4,6),SUBSTITUTE(SUBSTITUTE(SUBSTITUTE(SUBSTITUTE(TRIM(C962),"*",""),".",""),"-","")," ","")))</f>
        <v/>
      </c>
      <c r="J962" s="28" t="str">
        <f aca="false">IF(OR(H962="",I962=""),"",H962&amp;"|"&amp;I962)</f>
        <v/>
      </c>
      <c r="K962" s="19" t="str">
        <f aca="false">IF(H962="","",IF(AND(J962&lt;&gt;"",COUNTIF(Pessoas!$J:$J,J962)&gt;0),"SIM",IF(COUNTIF(Pessoas!$H:$H,H962)&gt;0,"nome igual em Pessoas: confira o CPF","")))</f>
        <v/>
      </c>
      <c r="L962" s="27"/>
      <c r="M962" s="5"/>
    </row>
    <row r="963" customFormat="false" ht="15" hidden="false" customHeight="false" outlineLevel="0" collapsed="false">
      <c r="A963" s="27"/>
      <c r="B963" s="5"/>
      <c r="C963" s="27"/>
      <c r="D963" s="18"/>
      <c r="E963" s="14"/>
      <c r="F963" s="18"/>
      <c r="G963" s="19" t="str">
        <f aca="false">IF(A963="","",IFERROR(INDEX(Empresas!$B:$B,MATCH(A963,Empresas!$A:$A,0))&amp;"","cadastre o CNPJ em Empresas"))</f>
        <v/>
      </c>
      <c r="H963" s="28" t="str">
        <f aca="false">IF(B963="","",SUBSTITUTE(SUBSTITUTE(SUBSTITUTE(SUBSTITUTE(SUBSTITUTE(SUBSTITUTE(SUBSTITUTE(SUBSTITUTE(SUBSTITUTE(SUBSTITUTE(SUBSTITUTE(SUBSTITUTE(SUBSTITUTE(UPPER(TRIM(B963)),"Á","A"),"À","A"),"Â","A"),"Ã","A"),"É","E"),"Ê","E"),"Í","I"),"Ó","O"),"Ô","O"),"Õ","O"),"Ú","U"),"Ü","U"),"Ç","C"))</f>
        <v/>
      </c>
      <c r="I963" s="28" t="str">
        <f aca="false">IF(C963="","",IF(LEN(SUBSTITUTE(SUBSTITUTE(SUBSTITUTE(SUBSTITUTE(TRIM(C963),"*",""),".",""),"-","")," ",""))=11,MID(SUBSTITUTE(SUBSTITUTE(SUBSTITUTE(SUBSTITUTE(TRIM(C963),"*",""),".",""),"-","")," ",""),4,6),SUBSTITUTE(SUBSTITUTE(SUBSTITUTE(SUBSTITUTE(TRIM(C963),"*",""),".",""),"-","")," ","")))</f>
        <v/>
      </c>
      <c r="J963" s="28" t="str">
        <f aca="false">IF(OR(H963="",I963=""),"",H963&amp;"|"&amp;I963)</f>
        <v/>
      </c>
      <c r="K963" s="19" t="str">
        <f aca="false">IF(H963="","",IF(AND(J963&lt;&gt;"",COUNTIF(Pessoas!$J:$J,J963)&gt;0),"SIM",IF(COUNTIF(Pessoas!$H:$H,H963)&gt;0,"nome igual em Pessoas: confira o CPF","")))</f>
        <v/>
      </c>
      <c r="L963" s="27"/>
      <c r="M963" s="5"/>
    </row>
    <row r="964" customFormat="false" ht="15" hidden="false" customHeight="false" outlineLevel="0" collapsed="false">
      <c r="A964" s="27"/>
      <c r="B964" s="5"/>
      <c r="C964" s="27"/>
      <c r="D964" s="18"/>
      <c r="E964" s="14"/>
      <c r="F964" s="18"/>
      <c r="G964" s="19" t="str">
        <f aca="false">IF(A964="","",IFERROR(INDEX(Empresas!$B:$B,MATCH(A964,Empresas!$A:$A,0))&amp;"","cadastre o CNPJ em Empresas"))</f>
        <v/>
      </c>
      <c r="H964" s="28" t="str">
        <f aca="false">IF(B964="","",SUBSTITUTE(SUBSTITUTE(SUBSTITUTE(SUBSTITUTE(SUBSTITUTE(SUBSTITUTE(SUBSTITUTE(SUBSTITUTE(SUBSTITUTE(SUBSTITUTE(SUBSTITUTE(SUBSTITUTE(SUBSTITUTE(UPPER(TRIM(B964)),"Á","A"),"À","A"),"Â","A"),"Ã","A"),"É","E"),"Ê","E"),"Í","I"),"Ó","O"),"Ô","O"),"Õ","O"),"Ú","U"),"Ü","U"),"Ç","C"))</f>
        <v/>
      </c>
      <c r="I964" s="28" t="str">
        <f aca="false">IF(C964="","",IF(LEN(SUBSTITUTE(SUBSTITUTE(SUBSTITUTE(SUBSTITUTE(TRIM(C964),"*",""),".",""),"-","")," ",""))=11,MID(SUBSTITUTE(SUBSTITUTE(SUBSTITUTE(SUBSTITUTE(TRIM(C964),"*",""),".",""),"-","")," ",""),4,6),SUBSTITUTE(SUBSTITUTE(SUBSTITUTE(SUBSTITUTE(TRIM(C964),"*",""),".",""),"-","")," ","")))</f>
        <v/>
      </c>
      <c r="J964" s="28" t="str">
        <f aca="false">IF(OR(H964="",I964=""),"",H964&amp;"|"&amp;I964)</f>
        <v/>
      </c>
      <c r="K964" s="19" t="str">
        <f aca="false">IF(H964="","",IF(AND(J964&lt;&gt;"",COUNTIF(Pessoas!$J:$J,J964)&gt;0),"SIM",IF(COUNTIF(Pessoas!$H:$H,H964)&gt;0,"nome igual em Pessoas: confira o CPF","")))</f>
        <v/>
      </c>
      <c r="L964" s="27"/>
      <c r="M964" s="5"/>
    </row>
    <row r="965" customFormat="false" ht="15" hidden="false" customHeight="false" outlineLevel="0" collapsed="false">
      <c r="A965" s="27"/>
      <c r="B965" s="5"/>
      <c r="C965" s="27"/>
      <c r="D965" s="18"/>
      <c r="E965" s="14"/>
      <c r="F965" s="18"/>
      <c r="G965" s="19" t="str">
        <f aca="false">IF(A965="","",IFERROR(INDEX(Empresas!$B:$B,MATCH(A965,Empresas!$A:$A,0))&amp;"","cadastre o CNPJ em Empresas"))</f>
        <v/>
      </c>
      <c r="H965" s="28" t="str">
        <f aca="false">IF(B965="","",SUBSTITUTE(SUBSTITUTE(SUBSTITUTE(SUBSTITUTE(SUBSTITUTE(SUBSTITUTE(SUBSTITUTE(SUBSTITUTE(SUBSTITUTE(SUBSTITUTE(SUBSTITUTE(SUBSTITUTE(SUBSTITUTE(UPPER(TRIM(B965)),"Á","A"),"À","A"),"Â","A"),"Ã","A"),"É","E"),"Ê","E"),"Í","I"),"Ó","O"),"Ô","O"),"Õ","O"),"Ú","U"),"Ü","U"),"Ç","C"))</f>
        <v/>
      </c>
      <c r="I965" s="28" t="str">
        <f aca="false">IF(C965="","",IF(LEN(SUBSTITUTE(SUBSTITUTE(SUBSTITUTE(SUBSTITUTE(TRIM(C965),"*",""),".",""),"-","")," ",""))=11,MID(SUBSTITUTE(SUBSTITUTE(SUBSTITUTE(SUBSTITUTE(TRIM(C965),"*",""),".",""),"-","")," ",""),4,6),SUBSTITUTE(SUBSTITUTE(SUBSTITUTE(SUBSTITUTE(TRIM(C965),"*",""),".",""),"-","")," ","")))</f>
        <v/>
      </c>
      <c r="J965" s="28" t="str">
        <f aca="false">IF(OR(H965="",I965=""),"",H965&amp;"|"&amp;I965)</f>
        <v/>
      </c>
      <c r="K965" s="19" t="str">
        <f aca="false">IF(H965="","",IF(AND(J965&lt;&gt;"",COUNTIF(Pessoas!$J:$J,J965)&gt;0),"SIM",IF(COUNTIF(Pessoas!$H:$H,H965)&gt;0,"nome igual em Pessoas: confira o CPF","")))</f>
        <v/>
      </c>
      <c r="L965" s="27"/>
      <c r="M965" s="5"/>
    </row>
    <row r="966" customFormat="false" ht="15" hidden="false" customHeight="false" outlineLevel="0" collapsed="false">
      <c r="A966" s="27"/>
      <c r="B966" s="5"/>
      <c r="C966" s="27"/>
      <c r="D966" s="18"/>
      <c r="E966" s="14"/>
      <c r="F966" s="18"/>
      <c r="G966" s="19" t="str">
        <f aca="false">IF(A966="","",IFERROR(INDEX(Empresas!$B:$B,MATCH(A966,Empresas!$A:$A,0))&amp;"","cadastre o CNPJ em Empresas"))</f>
        <v/>
      </c>
      <c r="H966" s="28" t="str">
        <f aca="false">IF(B966="","",SUBSTITUTE(SUBSTITUTE(SUBSTITUTE(SUBSTITUTE(SUBSTITUTE(SUBSTITUTE(SUBSTITUTE(SUBSTITUTE(SUBSTITUTE(SUBSTITUTE(SUBSTITUTE(SUBSTITUTE(SUBSTITUTE(UPPER(TRIM(B966)),"Á","A"),"À","A"),"Â","A"),"Ã","A"),"É","E"),"Ê","E"),"Í","I"),"Ó","O"),"Ô","O"),"Õ","O"),"Ú","U"),"Ü","U"),"Ç","C"))</f>
        <v/>
      </c>
      <c r="I966" s="28" t="str">
        <f aca="false">IF(C966="","",IF(LEN(SUBSTITUTE(SUBSTITUTE(SUBSTITUTE(SUBSTITUTE(TRIM(C966),"*",""),".",""),"-","")," ",""))=11,MID(SUBSTITUTE(SUBSTITUTE(SUBSTITUTE(SUBSTITUTE(TRIM(C966),"*",""),".",""),"-","")," ",""),4,6),SUBSTITUTE(SUBSTITUTE(SUBSTITUTE(SUBSTITUTE(TRIM(C966),"*",""),".",""),"-","")," ","")))</f>
        <v/>
      </c>
      <c r="J966" s="28" t="str">
        <f aca="false">IF(OR(H966="",I966=""),"",H966&amp;"|"&amp;I966)</f>
        <v/>
      </c>
      <c r="K966" s="19" t="str">
        <f aca="false">IF(H966="","",IF(AND(J966&lt;&gt;"",COUNTIF(Pessoas!$J:$J,J966)&gt;0),"SIM",IF(COUNTIF(Pessoas!$H:$H,H966)&gt;0,"nome igual em Pessoas: confira o CPF","")))</f>
        <v/>
      </c>
      <c r="L966" s="27"/>
      <c r="M966" s="5"/>
    </row>
    <row r="967" customFormat="false" ht="15" hidden="false" customHeight="false" outlineLevel="0" collapsed="false">
      <c r="A967" s="27"/>
      <c r="B967" s="5"/>
      <c r="C967" s="27"/>
      <c r="D967" s="18"/>
      <c r="E967" s="14"/>
      <c r="F967" s="18"/>
      <c r="G967" s="19" t="str">
        <f aca="false">IF(A967="","",IFERROR(INDEX(Empresas!$B:$B,MATCH(A967,Empresas!$A:$A,0))&amp;"","cadastre o CNPJ em Empresas"))</f>
        <v/>
      </c>
      <c r="H967" s="28" t="str">
        <f aca="false">IF(B967="","",SUBSTITUTE(SUBSTITUTE(SUBSTITUTE(SUBSTITUTE(SUBSTITUTE(SUBSTITUTE(SUBSTITUTE(SUBSTITUTE(SUBSTITUTE(SUBSTITUTE(SUBSTITUTE(SUBSTITUTE(SUBSTITUTE(UPPER(TRIM(B967)),"Á","A"),"À","A"),"Â","A"),"Ã","A"),"É","E"),"Ê","E"),"Í","I"),"Ó","O"),"Ô","O"),"Õ","O"),"Ú","U"),"Ü","U"),"Ç","C"))</f>
        <v/>
      </c>
      <c r="I967" s="28" t="str">
        <f aca="false">IF(C967="","",IF(LEN(SUBSTITUTE(SUBSTITUTE(SUBSTITUTE(SUBSTITUTE(TRIM(C967),"*",""),".",""),"-","")," ",""))=11,MID(SUBSTITUTE(SUBSTITUTE(SUBSTITUTE(SUBSTITUTE(TRIM(C967),"*",""),".",""),"-","")," ",""),4,6),SUBSTITUTE(SUBSTITUTE(SUBSTITUTE(SUBSTITUTE(TRIM(C967),"*",""),".",""),"-","")," ","")))</f>
        <v/>
      </c>
      <c r="J967" s="28" t="str">
        <f aca="false">IF(OR(H967="",I967=""),"",H967&amp;"|"&amp;I967)</f>
        <v/>
      </c>
      <c r="K967" s="19" t="str">
        <f aca="false">IF(H967="","",IF(AND(J967&lt;&gt;"",COUNTIF(Pessoas!$J:$J,J967)&gt;0),"SIM",IF(COUNTIF(Pessoas!$H:$H,H967)&gt;0,"nome igual em Pessoas: confira o CPF","")))</f>
        <v/>
      </c>
      <c r="L967" s="27"/>
      <c r="M967" s="5"/>
    </row>
    <row r="968" customFormat="false" ht="15" hidden="false" customHeight="false" outlineLevel="0" collapsed="false">
      <c r="A968" s="27"/>
      <c r="B968" s="5"/>
      <c r="C968" s="27"/>
      <c r="D968" s="18"/>
      <c r="E968" s="14"/>
      <c r="F968" s="18"/>
      <c r="G968" s="19" t="str">
        <f aca="false">IF(A968="","",IFERROR(INDEX(Empresas!$B:$B,MATCH(A968,Empresas!$A:$A,0))&amp;"","cadastre o CNPJ em Empresas"))</f>
        <v/>
      </c>
      <c r="H968" s="28" t="str">
        <f aca="false">IF(B968="","",SUBSTITUTE(SUBSTITUTE(SUBSTITUTE(SUBSTITUTE(SUBSTITUTE(SUBSTITUTE(SUBSTITUTE(SUBSTITUTE(SUBSTITUTE(SUBSTITUTE(SUBSTITUTE(SUBSTITUTE(SUBSTITUTE(UPPER(TRIM(B968)),"Á","A"),"À","A"),"Â","A"),"Ã","A"),"É","E"),"Ê","E"),"Í","I"),"Ó","O"),"Ô","O"),"Õ","O"),"Ú","U"),"Ü","U"),"Ç","C"))</f>
        <v/>
      </c>
      <c r="I968" s="28" t="str">
        <f aca="false">IF(C968="","",IF(LEN(SUBSTITUTE(SUBSTITUTE(SUBSTITUTE(SUBSTITUTE(TRIM(C968),"*",""),".",""),"-","")," ",""))=11,MID(SUBSTITUTE(SUBSTITUTE(SUBSTITUTE(SUBSTITUTE(TRIM(C968),"*",""),".",""),"-","")," ",""),4,6),SUBSTITUTE(SUBSTITUTE(SUBSTITUTE(SUBSTITUTE(TRIM(C968),"*",""),".",""),"-","")," ","")))</f>
        <v/>
      </c>
      <c r="J968" s="28" t="str">
        <f aca="false">IF(OR(H968="",I968=""),"",H968&amp;"|"&amp;I968)</f>
        <v/>
      </c>
      <c r="K968" s="19" t="str">
        <f aca="false">IF(H968="","",IF(AND(J968&lt;&gt;"",COUNTIF(Pessoas!$J:$J,J968)&gt;0),"SIM",IF(COUNTIF(Pessoas!$H:$H,H968)&gt;0,"nome igual em Pessoas: confira o CPF","")))</f>
        <v/>
      </c>
      <c r="L968" s="27"/>
      <c r="M968" s="5"/>
    </row>
    <row r="969" customFormat="false" ht="15" hidden="false" customHeight="false" outlineLevel="0" collapsed="false">
      <c r="A969" s="27"/>
      <c r="B969" s="5"/>
      <c r="C969" s="27"/>
      <c r="D969" s="18"/>
      <c r="E969" s="14"/>
      <c r="F969" s="18"/>
      <c r="G969" s="19" t="str">
        <f aca="false">IF(A969="","",IFERROR(INDEX(Empresas!$B:$B,MATCH(A969,Empresas!$A:$A,0))&amp;"","cadastre o CNPJ em Empresas"))</f>
        <v/>
      </c>
      <c r="H969" s="28" t="str">
        <f aca="false">IF(B969="","",SUBSTITUTE(SUBSTITUTE(SUBSTITUTE(SUBSTITUTE(SUBSTITUTE(SUBSTITUTE(SUBSTITUTE(SUBSTITUTE(SUBSTITUTE(SUBSTITUTE(SUBSTITUTE(SUBSTITUTE(SUBSTITUTE(UPPER(TRIM(B969)),"Á","A"),"À","A"),"Â","A"),"Ã","A"),"É","E"),"Ê","E"),"Í","I"),"Ó","O"),"Ô","O"),"Õ","O"),"Ú","U"),"Ü","U"),"Ç","C"))</f>
        <v/>
      </c>
      <c r="I969" s="28" t="str">
        <f aca="false">IF(C969="","",IF(LEN(SUBSTITUTE(SUBSTITUTE(SUBSTITUTE(SUBSTITUTE(TRIM(C969),"*",""),".",""),"-","")," ",""))=11,MID(SUBSTITUTE(SUBSTITUTE(SUBSTITUTE(SUBSTITUTE(TRIM(C969),"*",""),".",""),"-","")," ",""),4,6),SUBSTITUTE(SUBSTITUTE(SUBSTITUTE(SUBSTITUTE(TRIM(C969),"*",""),".",""),"-","")," ","")))</f>
        <v/>
      </c>
      <c r="J969" s="28" t="str">
        <f aca="false">IF(OR(H969="",I969=""),"",H969&amp;"|"&amp;I969)</f>
        <v/>
      </c>
      <c r="K969" s="19" t="str">
        <f aca="false">IF(H969="","",IF(AND(J969&lt;&gt;"",COUNTIF(Pessoas!$J:$J,J969)&gt;0),"SIM",IF(COUNTIF(Pessoas!$H:$H,H969)&gt;0,"nome igual em Pessoas: confira o CPF","")))</f>
        <v/>
      </c>
      <c r="L969" s="27"/>
      <c r="M969" s="5"/>
    </row>
    <row r="970" customFormat="false" ht="15" hidden="false" customHeight="false" outlineLevel="0" collapsed="false">
      <c r="A970" s="27"/>
      <c r="B970" s="5"/>
      <c r="C970" s="27"/>
      <c r="D970" s="18"/>
      <c r="E970" s="14"/>
      <c r="F970" s="18"/>
      <c r="G970" s="19" t="str">
        <f aca="false">IF(A970="","",IFERROR(INDEX(Empresas!$B:$B,MATCH(A970,Empresas!$A:$A,0))&amp;"","cadastre o CNPJ em Empresas"))</f>
        <v/>
      </c>
      <c r="H970" s="28" t="str">
        <f aca="false">IF(B970="","",SUBSTITUTE(SUBSTITUTE(SUBSTITUTE(SUBSTITUTE(SUBSTITUTE(SUBSTITUTE(SUBSTITUTE(SUBSTITUTE(SUBSTITUTE(SUBSTITUTE(SUBSTITUTE(SUBSTITUTE(SUBSTITUTE(UPPER(TRIM(B970)),"Á","A"),"À","A"),"Â","A"),"Ã","A"),"É","E"),"Ê","E"),"Í","I"),"Ó","O"),"Ô","O"),"Õ","O"),"Ú","U"),"Ü","U"),"Ç","C"))</f>
        <v/>
      </c>
      <c r="I970" s="28" t="str">
        <f aca="false">IF(C970="","",IF(LEN(SUBSTITUTE(SUBSTITUTE(SUBSTITUTE(SUBSTITUTE(TRIM(C970),"*",""),".",""),"-","")," ",""))=11,MID(SUBSTITUTE(SUBSTITUTE(SUBSTITUTE(SUBSTITUTE(TRIM(C970),"*",""),".",""),"-","")," ",""),4,6),SUBSTITUTE(SUBSTITUTE(SUBSTITUTE(SUBSTITUTE(TRIM(C970),"*",""),".",""),"-","")," ","")))</f>
        <v/>
      </c>
      <c r="J970" s="28" t="str">
        <f aca="false">IF(OR(H970="",I970=""),"",H970&amp;"|"&amp;I970)</f>
        <v/>
      </c>
      <c r="K970" s="19" t="str">
        <f aca="false">IF(H970="","",IF(AND(J970&lt;&gt;"",COUNTIF(Pessoas!$J:$J,J970)&gt;0),"SIM",IF(COUNTIF(Pessoas!$H:$H,H970)&gt;0,"nome igual em Pessoas: confira o CPF","")))</f>
        <v/>
      </c>
      <c r="L970" s="27"/>
      <c r="M970" s="5"/>
    </row>
    <row r="971" customFormat="false" ht="15" hidden="false" customHeight="false" outlineLevel="0" collapsed="false">
      <c r="A971" s="27"/>
      <c r="B971" s="5"/>
      <c r="C971" s="27"/>
      <c r="D971" s="18"/>
      <c r="E971" s="14"/>
      <c r="F971" s="18"/>
      <c r="G971" s="19" t="str">
        <f aca="false">IF(A971="","",IFERROR(INDEX(Empresas!$B:$B,MATCH(A971,Empresas!$A:$A,0))&amp;"","cadastre o CNPJ em Empresas"))</f>
        <v/>
      </c>
      <c r="H971" s="28" t="str">
        <f aca="false">IF(B971="","",SUBSTITUTE(SUBSTITUTE(SUBSTITUTE(SUBSTITUTE(SUBSTITUTE(SUBSTITUTE(SUBSTITUTE(SUBSTITUTE(SUBSTITUTE(SUBSTITUTE(SUBSTITUTE(SUBSTITUTE(SUBSTITUTE(UPPER(TRIM(B971)),"Á","A"),"À","A"),"Â","A"),"Ã","A"),"É","E"),"Ê","E"),"Í","I"),"Ó","O"),"Ô","O"),"Õ","O"),"Ú","U"),"Ü","U"),"Ç","C"))</f>
        <v/>
      </c>
      <c r="I971" s="28" t="str">
        <f aca="false">IF(C971="","",IF(LEN(SUBSTITUTE(SUBSTITUTE(SUBSTITUTE(SUBSTITUTE(TRIM(C971),"*",""),".",""),"-","")," ",""))=11,MID(SUBSTITUTE(SUBSTITUTE(SUBSTITUTE(SUBSTITUTE(TRIM(C971),"*",""),".",""),"-","")," ",""),4,6),SUBSTITUTE(SUBSTITUTE(SUBSTITUTE(SUBSTITUTE(TRIM(C971),"*",""),".",""),"-","")," ","")))</f>
        <v/>
      </c>
      <c r="J971" s="28" t="str">
        <f aca="false">IF(OR(H971="",I971=""),"",H971&amp;"|"&amp;I971)</f>
        <v/>
      </c>
      <c r="K971" s="19" t="str">
        <f aca="false">IF(H971="","",IF(AND(J971&lt;&gt;"",COUNTIF(Pessoas!$J:$J,J971)&gt;0),"SIM",IF(COUNTIF(Pessoas!$H:$H,H971)&gt;0,"nome igual em Pessoas: confira o CPF","")))</f>
        <v/>
      </c>
      <c r="L971" s="27"/>
      <c r="M971" s="5"/>
    </row>
    <row r="972" customFormat="false" ht="15" hidden="false" customHeight="false" outlineLevel="0" collapsed="false">
      <c r="A972" s="27"/>
      <c r="B972" s="5"/>
      <c r="C972" s="27"/>
      <c r="D972" s="18"/>
      <c r="E972" s="14"/>
      <c r="F972" s="18"/>
      <c r="G972" s="19" t="str">
        <f aca="false">IF(A972="","",IFERROR(INDEX(Empresas!$B:$B,MATCH(A972,Empresas!$A:$A,0))&amp;"","cadastre o CNPJ em Empresas"))</f>
        <v/>
      </c>
      <c r="H972" s="28" t="str">
        <f aca="false">IF(B972="","",SUBSTITUTE(SUBSTITUTE(SUBSTITUTE(SUBSTITUTE(SUBSTITUTE(SUBSTITUTE(SUBSTITUTE(SUBSTITUTE(SUBSTITUTE(SUBSTITUTE(SUBSTITUTE(SUBSTITUTE(SUBSTITUTE(UPPER(TRIM(B972)),"Á","A"),"À","A"),"Â","A"),"Ã","A"),"É","E"),"Ê","E"),"Í","I"),"Ó","O"),"Ô","O"),"Õ","O"),"Ú","U"),"Ü","U"),"Ç","C"))</f>
        <v/>
      </c>
      <c r="I972" s="28" t="str">
        <f aca="false">IF(C972="","",IF(LEN(SUBSTITUTE(SUBSTITUTE(SUBSTITUTE(SUBSTITUTE(TRIM(C972),"*",""),".",""),"-","")," ",""))=11,MID(SUBSTITUTE(SUBSTITUTE(SUBSTITUTE(SUBSTITUTE(TRIM(C972),"*",""),".",""),"-","")," ",""),4,6),SUBSTITUTE(SUBSTITUTE(SUBSTITUTE(SUBSTITUTE(TRIM(C972),"*",""),".",""),"-","")," ","")))</f>
        <v/>
      </c>
      <c r="J972" s="28" t="str">
        <f aca="false">IF(OR(H972="",I972=""),"",H972&amp;"|"&amp;I972)</f>
        <v/>
      </c>
      <c r="K972" s="19" t="str">
        <f aca="false">IF(H972="","",IF(AND(J972&lt;&gt;"",COUNTIF(Pessoas!$J:$J,J972)&gt;0),"SIM",IF(COUNTIF(Pessoas!$H:$H,H972)&gt;0,"nome igual em Pessoas: confira o CPF","")))</f>
        <v/>
      </c>
      <c r="L972" s="27"/>
      <c r="M972" s="5"/>
    </row>
    <row r="973" customFormat="false" ht="15" hidden="false" customHeight="false" outlineLevel="0" collapsed="false">
      <c r="A973" s="27"/>
      <c r="B973" s="5"/>
      <c r="C973" s="27"/>
      <c r="D973" s="18"/>
      <c r="E973" s="14"/>
      <c r="F973" s="18"/>
      <c r="G973" s="19" t="str">
        <f aca="false">IF(A973="","",IFERROR(INDEX(Empresas!$B:$B,MATCH(A973,Empresas!$A:$A,0))&amp;"","cadastre o CNPJ em Empresas"))</f>
        <v/>
      </c>
      <c r="H973" s="28" t="str">
        <f aca="false">IF(B973="","",SUBSTITUTE(SUBSTITUTE(SUBSTITUTE(SUBSTITUTE(SUBSTITUTE(SUBSTITUTE(SUBSTITUTE(SUBSTITUTE(SUBSTITUTE(SUBSTITUTE(SUBSTITUTE(SUBSTITUTE(SUBSTITUTE(UPPER(TRIM(B973)),"Á","A"),"À","A"),"Â","A"),"Ã","A"),"É","E"),"Ê","E"),"Í","I"),"Ó","O"),"Ô","O"),"Õ","O"),"Ú","U"),"Ü","U"),"Ç","C"))</f>
        <v/>
      </c>
      <c r="I973" s="28" t="str">
        <f aca="false">IF(C973="","",IF(LEN(SUBSTITUTE(SUBSTITUTE(SUBSTITUTE(SUBSTITUTE(TRIM(C973),"*",""),".",""),"-","")," ",""))=11,MID(SUBSTITUTE(SUBSTITUTE(SUBSTITUTE(SUBSTITUTE(TRIM(C973),"*",""),".",""),"-","")," ",""),4,6),SUBSTITUTE(SUBSTITUTE(SUBSTITUTE(SUBSTITUTE(TRIM(C973),"*",""),".",""),"-","")," ","")))</f>
        <v/>
      </c>
      <c r="J973" s="28" t="str">
        <f aca="false">IF(OR(H973="",I973=""),"",H973&amp;"|"&amp;I973)</f>
        <v/>
      </c>
      <c r="K973" s="19" t="str">
        <f aca="false">IF(H973="","",IF(AND(J973&lt;&gt;"",COUNTIF(Pessoas!$J:$J,J973)&gt;0),"SIM",IF(COUNTIF(Pessoas!$H:$H,H973)&gt;0,"nome igual em Pessoas: confira o CPF","")))</f>
        <v/>
      </c>
      <c r="L973" s="27"/>
      <c r="M973" s="5"/>
    </row>
    <row r="974" customFormat="false" ht="15" hidden="false" customHeight="false" outlineLevel="0" collapsed="false">
      <c r="A974" s="27"/>
      <c r="B974" s="5"/>
      <c r="C974" s="27"/>
      <c r="D974" s="18"/>
      <c r="E974" s="14"/>
      <c r="F974" s="18"/>
      <c r="G974" s="19" t="str">
        <f aca="false">IF(A974="","",IFERROR(INDEX(Empresas!$B:$B,MATCH(A974,Empresas!$A:$A,0))&amp;"","cadastre o CNPJ em Empresas"))</f>
        <v/>
      </c>
      <c r="H974" s="28" t="str">
        <f aca="false">IF(B974="","",SUBSTITUTE(SUBSTITUTE(SUBSTITUTE(SUBSTITUTE(SUBSTITUTE(SUBSTITUTE(SUBSTITUTE(SUBSTITUTE(SUBSTITUTE(SUBSTITUTE(SUBSTITUTE(SUBSTITUTE(SUBSTITUTE(UPPER(TRIM(B974)),"Á","A"),"À","A"),"Â","A"),"Ã","A"),"É","E"),"Ê","E"),"Í","I"),"Ó","O"),"Ô","O"),"Õ","O"),"Ú","U"),"Ü","U"),"Ç","C"))</f>
        <v/>
      </c>
      <c r="I974" s="28" t="str">
        <f aca="false">IF(C974="","",IF(LEN(SUBSTITUTE(SUBSTITUTE(SUBSTITUTE(SUBSTITUTE(TRIM(C974),"*",""),".",""),"-","")," ",""))=11,MID(SUBSTITUTE(SUBSTITUTE(SUBSTITUTE(SUBSTITUTE(TRIM(C974),"*",""),".",""),"-","")," ",""),4,6),SUBSTITUTE(SUBSTITUTE(SUBSTITUTE(SUBSTITUTE(TRIM(C974),"*",""),".",""),"-","")," ","")))</f>
        <v/>
      </c>
      <c r="J974" s="28" t="str">
        <f aca="false">IF(OR(H974="",I974=""),"",H974&amp;"|"&amp;I974)</f>
        <v/>
      </c>
      <c r="K974" s="19" t="str">
        <f aca="false">IF(H974="","",IF(AND(J974&lt;&gt;"",COUNTIF(Pessoas!$J:$J,J974)&gt;0),"SIM",IF(COUNTIF(Pessoas!$H:$H,H974)&gt;0,"nome igual em Pessoas: confira o CPF","")))</f>
        <v/>
      </c>
      <c r="L974" s="27"/>
      <c r="M974" s="5"/>
    </row>
    <row r="975" customFormat="false" ht="15" hidden="false" customHeight="false" outlineLevel="0" collapsed="false">
      <c r="A975" s="27"/>
      <c r="B975" s="5"/>
      <c r="C975" s="27"/>
      <c r="D975" s="18"/>
      <c r="E975" s="14"/>
      <c r="F975" s="18"/>
      <c r="G975" s="19" t="str">
        <f aca="false">IF(A975="","",IFERROR(INDEX(Empresas!$B:$B,MATCH(A975,Empresas!$A:$A,0))&amp;"","cadastre o CNPJ em Empresas"))</f>
        <v/>
      </c>
      <c r="H975" s="28" t="str">
        <f aca="false">IF(B975="","",SUBSTITUTE(SUBSTITUTE(SUBSTITUTE(SUBSTITUTE(SUBSTITUTE(SUBSTITUTE(SUBSTITUTE(SUBSTITUTE(SUBSTITUTE(SUBSTITUTE(SUBSTITUTE(SUBSTITUTE(SUBSTITUTE(UPPER(TRIM(B975)),"Á","A"),"À","A"),"Â","A"),"Ã","A"),"É","E"),"Ê","E"),"Í","I"),"Ó","O"),"Ô","O"),"Õ","O"),"Ú","U"),"Ü","U"),"Ç","C"))</f>
        <v/>
      </c>
      <c r="I975" s="28" t="str">
        <f aca="false">IF(C975="","",IF(LEN(SUBSTITUTE(SUBSTITUTE(SUBSTITUTE(SUBSTITUTE(TRIM(C975),"*",""),".",""),"-","")," ",""))=11,MID(SUBSTITUTE(SUBSTITUTE(SUBSTITUTE(SUBSTITUTE(TRIM(C975),"*",""),".",""),"-","")," ",""),4,6),SUBSTITUTE(SUBSTITUTE(SUBSTITUTE(SUBSTITUTE(TRIM(C975),"*",""),".",""),"-","")," ","")))</f>
        <v/>
      </c>
      <c r="J975" s="28" t="str">
        <f aca="false">IF(OR(H975="",I975=""),"",H975&amp;"|"&amp;I975)</f>
        <v/>
      </c>
      <c r="K975" s="19" t="str">
        <f aca="false">IF(H975="","",IF(AND(J975&lt;&gt;"",COUNTIF(Pessoas!$J:$J,J975)&gt;0),"SIM",IF(COUNTIF(Pessoas!$H:$H,H975)&gt;0,"nome igual em Pessoas: confira o CPF","")))</f>
        <v/>
      </c>
      <c r="L975" s="27"/>
      <c r="M975" s="5"/>
    </row>
    <row r="976" customFormat="false" ht="15" hidden="false" customHeight="false" outlineLevel="0" collapsed="false">
      <c r="A976" s="27"/>
      <c r="B976" s="5"/>
      <c r="C976" s="27"/>
      <c r="D976" s="18"/>
      <c r="E976" s="14"/>
      <c r="F976" s="18"/>
      <c r="G976" s="19" t="str">
        <f aca="false">IF(A976="","",IFERROR(INDEX(Empresas!$B:$B,MATCH(A976,Empresas!$A:$A,0))&amp;"","cadastre o CNPJ em Empresas"))</f>
        <v/>
      </c>
      <c r="H976" s="28" t="str">
        <f aca="false">IF(B976="","",SUBSTITUTE(SUBSTITUTE(SUBSTITUTE(SUBSTITUTE(SUBSTITUTE(SUBSTITUTE(SUBSTITUTE(SUBSTITUTE(SUBSTITUTE(SUBSTITUTE(SUBSTITUTE(SUBSTITUTE(SUBSTITUTE(UPPER(TRIM(B976)),"Á","A"),"À","A"),"Â","A"),"Ã","A"),"É","E"),"Ê","E"),"Í","I"),"Ó","O"),"Ô","O"),"Õ","O"),"Ú","U"),"Ü","U"),"Ç","C"))</f>
        <v/>
      </c>
      <c r="I976" s="28" t="str">
        <f aca="false">IF(C976="","",IF(LEN(SUBSTITUTE(SUBSTITUTE(SUBSTITUTE(SUBSTITUTE(TRIM(C976),"*",""),".",""),"-","")," ",""))=11,MID(SUBSTITUTE(SUBSTITUTE(SUBSTITUTE(SUBSTITUTE(TRIM(C976),"*",""),".",""),"-","")," ",""),4,6),SUBSTITUTE(SUBSTITUTE(SUBSTITUTE(SUBSTITUTE(TRIM(C976),"*",""),".",""),"-","")," ","")))</f>
        <v/>
      </c>
      <c r="J976" s="28" t="str">
        <f aca="false">IF(OR(H976="",I976=""),"",H976&amp;"|"&amp;I976)</f>
        <v/>
      </c>
      <c r="K976" s="19" t="str">
        <f aca="false">IF(H976="","",IF(AND(J976&lt;&gt;"",COUNTIF(Pessoas!$J:$J,J976)&gt;0),"SIM",IF(COUNTIF(Pessoas!$H:$H,H976)&gt;0,"nome igual em Pessoas: confira o CPF","")))</f>
        <v/>
      </c>
      <c r="L976" s="27"/>
      <c r="M976" s="5"/>
    </row>
    <row r="977" customFormat="false" ht="15" hidden="false" customHeight="false" outlineLevel="0" collapsed="false">
      <c r="A977" s="27"/>
      <c r="B977" s="5"/>
      <c r="C977" s="27"/>
      <c r="D977" s="18"/>
      <c r="E977" s="14"/>
      <c r="F977" s="18"/>
      <c r="G977" s="19" t="str">
        <f aca="false">IF(A977="","",IFERROR(INDEX(Empresas!$B:$B,MATCH(A977,Empresas!$A:$A,0))&amp;"","cadastre o CNPJ em Empresas"))</f>
        <v/>
      </c>
      <c r="H977" s="28" t="str">
        <f aca="false">IF(B977="","",SUBSTITUTE(SUBSTITUTE(SUBSTITUTE(SUBSTITUTE(SUBSTITUTE(SUBSTITUTE(SUBSTITUTE(SUBSTITUTE(SUBSTITUTE(SUBSTITUTE(SUBSTITUTE(SUBSTITUTE(SUBSTITUTE(UPPER(TRIM(B977)),"Á","A"),"À","A"),"Â","A"),"Ã","A"),"É","E"),"Ê","E"),"Í","I"),"Ó","O"),"Ô","O"),"Õ","O"),"Ú","U"),"Ü","U"),"Ç","C"))</f>
        <v/>
      </c>
      <c r="I977" s="28" t="str">
        <f aca="false">IF(C977="","",IF(LEN(SUBSTITUTE(SUBSTITUTE(SUBSTITUTE(SUBSTITUTE(TRIM(C977),"*",""),".",""),"-","")," ",""))=11,MID(SUBSTITUTE(SUBSTITUTE(SUBSTITUTE(SUBSTITUTE(TRIM(C977),"*",""),".",""),"-","")," ",""),4,6),SUBSTITUTE(SUBSTITUTE(SUBSTITUTE(SUBSTITUTE(TRIM(C977),"*",""),".",""),"-","")," ","")))</f>
        <v/>
      </c>
      <c r="J977" s="28" t="str">
        <f aca="false">IF(OR(H977="",I977=""),"",H977&amp;"|"&amp;I977)</f>
        <v/>
      </c>
      <c r="K977" s="19" t="str">
        <f aca="false">IF(H977="","",IF(AND(J977&lt;&gt;"",COUNTIF(Pessoas!$J:$J,J977)&gt;0),"SIM",IF(COUNTIF(Pessoas!$H:$H,H977)&gt;0,"nome igual em Pessoas: confira o CPF","")))</f>
        <v/>
      </c>
      <c r="L977" s="27"/>
      <c r="M977" s="5"/>
    </row>
    <row r="978" customFormat="false" ht="15" hidden="false" customHeight="false" outlineLevel="0" collapsed="false">
      <c r="A978" s="27"/>
      <c r="B978" s="5"/>
      <c r="C978" s="27"/>
      <c r="D978" s="18"/>
      <c r="E978" s="14"/>
      <c r="F978" s="18"/>
      <c r="G978" s="19" t="str">
        <f aca="false">IF(A978="","",IFERROR(INDEX(Empresas!$B:$B,MATCH(A978,Empresas!$A:$A,0))&amp;"","cadastre o CNPJ em Empresas"))</f>
        <v/>
      </c>
      <c r="H978" s="28" t="str">
        <f aca="false">IF(B978="","",SUBSTITUTE(SUBSTITUTE(SUBSTITUTE(SUBSTITUTE(SUBSTITUTE(SUBSTITUTE(SUBSTITUTE(SUBSTITUTE(SUBSTITUTE(SUBSTITUTE(SUBSTITUTE(SUBSTITUTE(SUBSTITUTE(UPPER(TRIM(B978)),"Á","A"),"À","A"),"Â","A"),"Ã","A"),"É","E"),"Ê","E"),"Í","I"),"Ó","O"),"Ô","O"),"Õ","O"),"Ú","U"),"Ü","U"),"Ç","C"))</f>
        <v/>
      </c>
      <c r="I978" s="28" t="str">
        <f aca="false">IF(C978="","",IF(LEN(SUBSTITUTE(SUBSTITUTE(SUBSTITUTE(SUBSTITUTE(TRIM(C978),"*",""),".",""),"-","")," ",""))=11,MID(SUBSTITUTE(SUBSTITUTE(SUBSTITUTE(SUBSTITUTE(TRIM(C978),"*",""),".",""),"-","")," ",""),4,6),SUBSTITUTE(SUBSTITUTE(SUBSTITUTE(SUBSTITUTE(TRIM(C978),"*",""),".",""),"-","")," ","")))</f>
        <v/>
      </c>
      <c r="J978" s="28" t="str">
        <f aca="false">IF(OR(H978="",I978=""),"",H978&amp;"|"&amp;I978)</f>
        <v/>
      </c>
      <c r="K978" s="19" t="str">
        <f aca="false">IF(H978="","",IF(AND(J978&lt;&gt;"",COUNTIF(Pessoas!$J:$J,J978)&gt;0),"SIM",IF(COUNTIF(Pessoas!$H:$H,H978)&gt;0,"nome igual em Pessoas: confira o CPF","")))</f>
        <v/>
      </c>
      <c r="L978" s="27"/>
      <c r="M978" s="5"/>
    </row>
    <row r="979" customFormat="false" ht="15" hidden="false" customHeight="false" outlineLevel="0" collapsed="false">
      <c r="A979" s="27"/>
      <c r="B979" s="5"/>
      <c r="C979" s="27"/>
      <c r="D979" s="18"/>
      <c r="E979" s="14"/>
      <c r="F979" s="18"/>
      <c r="G979" s="19" t="str">
        <f aca="false">IF(A979="","",IFERROR(INDEX(Empresas!$B:$B,MATCH(A979,Empresas!$A:$A,0))&amp;"","cadastre o CNPJ em Empresas"))</f>
        <v/>
      </c>
      <c r="H979" s="28" t="str">
        <f aca="false">IF(B979="","",SUBSTITUTE(SUBSTITUTE(SUBSTITUTE(SUBSTITUTE(SUBSTITUTE(SUBSTITUTE(SUBSTITUTE(SUBSTITUTE(SUBSTITUTE(SUBSTITUTE(SUBSTITUTE(SUBSTITUTE(SUBSTITUTE(UPPER(TRIM(B979)),"Á","A"),"À","A"),"Â","A"),"Ã","A"),"É","E"),"Ê","E"),"Í","I"),"Ó","O"),"Ô","O"),"Õ","O"),"Ú","U"),"Ü","U"),"Ç","C"))</f>
        <v/>
      </c>
      <c r="I979" s="28" t="str">
        <f aca="false">IF(C979="","",IF(LEN(SUBSTITUTE(SUBSTITUTE(SUBSTITUTE(SUBSTITUTE(TRIM(C979),"*",""),".",""),"-","")," ",""))=11,MID(SUBSTITUTE(SUBSTITUTE(SUBSTITUTE(SUBSTITUTE(TRIM(C979),"*",""),".",""),"-","")," ",""),4,6),SUBSTITUTE(SUBSTITUTE(SUBSTITUTE(SUBSTITUTE(TRIM(C979),"*",""),".",""),"-","")," ","")))</f>
        <v/>
      </c>
      <c r="J979" s="28" t="str">
        <f aca="false">IF(OR(H979="",I979=""),"",H979&amp;"|"&amp;I979)</f>
        <v/>
      </c>
      <c r="K979" s="19" t="str">
        <f aca="false">IF(H979="","",IF(AND(J979&lt;&gt;"",COUNTIF(Pessoas!$J:$J,J979)&gt;0),"SIM",IF(COUNTIF(Pessoas!$H:$H,H979)&gt;0,"nome igual em Pessoas: confira o CPF","")))</f>
        <v/>
      </c>
      <c r="L979" s="27"/>
      <c r="M979" s="5"/>
    </row>
    <row r="980" customFormat="false" ht="15" hidden="false" customHeight="false" outlineLevel="0" collapsed="false">
      <c r="A980" s="27"/>
      <c r="B980" s="5"/>
      <c r="C980" s="27"/>
      <c r="D980" s="18"/>
      <c r="E980" s="14"/>
      <c r="F980" s="18"/>
      <c r="G980" s="19" t="str">
        <f aca="false">IF(A980="","",IFERROR(INDEX(Empresas!$B:$B,MATCH(A980,Empresas!$A:$A,0))&amp;"","cadastre o CNPJ em Empresas"))</f>
        <v/>
      </c>
      <c r="H980" s="28" t="str">
        <f aca="false">IF(B980="","",SUBSTITUTE(SUBSTITUTE(SUBSTITUTE(SUBSTITUTE(SUBSTITUTE(SUBSTITUTE(SUBSTITUTE(SUBSTITUTE(SUBSTITUTE(SUBSTITUTE(SUBSTITUTE(SUBSTITUTE(SUBSTITUTE(UPPER(TRIM(B980)),"Á","A"),"À","A"),"Â","A"),"Ã","A"),"É","E"),"Ê","E"),"Í","I"),"Ó","O"),"Ô","O"),"Õ","O"),"Ú","U"),"Ü","U"),"Ç","C"))</f>
        <v/>
      </c>
      <c r="I980" s="28" t="str">
        <f aca="false">IF(C980="","",IF(LEN(SUBSTITUTE(SUBSTITUTE(SUBSTITUTE(SUBSTITUTE(TRIM(C980),"*",""),".",""),"-","")," ",""))=11,MID(SUBSTITUTE(SUBSTITUTE(SUBSTITUTE(SUBSTITUTE(TRIM(C980),"*",""),".",""),"-","")," ",""),4,6),SUBSTITUTE(SUBSTITUTE(SUBSTITUTE(SUBSTITUTE(TRIM(C980),"*",""),".",""),"-","")," ","")))</f>
        <v/>
      </c>
      <c r="J980" s="28" t="str">
        <f aca="false">IF(OR(H980="",I980=""),"",H980&amp;"|"&amp;I980)</f>
        <v/>
      </c>
      <c r="K980" s="19" t="str">
        <f aca="false">IF(H980="","",IF(AND(J980&lt;&gt;"",COUNTIF(Pessoas!$J:$J,J980)&gt;0),"SIM",IF(COUNTIF(Pessoas!$H:$H,H980)&gt;0,"nome igual em Pessoas: confira o CPF","")))</f>
        <v/>
      </c>
      <c r="L980" s="27"/>
      <c r="M980" s="5"/>
    </row>
    <row r="981" customFormat="false" ht="15" hidden="false" customHeight="false" outlineLevel="0" collapsed="false">
      <c r="A981" s="27"/>
      <c r="B981" s="5"/>
      <c r="C981" s="27"/>
      <c r="D981" s="18"/>
      <c r="E981" s="14"/>
      <c r="F981" s="18"/>
      <c r="G981" s="19" t="str">
        <f aca="false">IF(A981="","",IFERROR(INDEX(Empresas!$B:$B,MATCH(A981,Empresas!$A:$A,0))&amp;"","cadastre o CNPJ em Empresas"))</f>
        <v/>
      </c>
      <c r="H981" s="28" t="str">
        <f aca="false">IF(B981="","",SUBSTITUTE(SUBSTITUTE(SUBSTITUTE(SUBSTITUTE(SUBSTITUTE(SUBSTITUTE(SUBSTITUTE(SUBSTITUTE(SUBSTITUTE(SUBSTITUTE(SUBSTITUTE(SUBSTITUTE(SUBSTITUTE(UPPER(TRIM(B981)),"Á","A"),"À","A"),"Â","A"),"Ã","A"),"É","E"),"Ê","E"),"Í","I"),"Ó","O"),"Ô","O"),"Õ","O"),"Ú","U"),"Ü","U"),"Ç","C"))</f>
        <v/>
      </c>
      <c r="I981" s="28" t="str">
        <f aca="false">IF(C981="","",IF(LEN(SUBSTITUTE(SUBSTITUTE(SUBSTITUTE(SUBSTITUTE(TRIM(C981),"*",""),".",""),"-","")," ",""))=11,MID(SUBSTITUTE(SUBSTITUTE(SUBSTITUTE(SUBSTITUTE(TRIM(C981),"*",""),".",""),"-","")," ",""),4,6),SUBSTITUTE(SUBSTITUTE(SUBSTITUTE(SUBSTITUTE(TRIM(C981),"*",""),".",""),"-","")," ","")))</f>
        <v/>
      </c>
      <c r="J981" s="28" t="str">
        <f aca="false">IF(OR(H981="",I981=""),"",H981&amp;"|"&amp;I981)</f>
        <v/>
      </c>
      <c r="K981" s="19" t="str">
        <f aca="false">IF(H981="","",IF(AND(J981&lt;&gt;"",COUNTIF(Pessoas!$J:$J,J981)&gt;0),"SIM",IF(COUNTIF(Pessoas!$H:$H,H981)&gt;0,"nome igual em Pessoas: confira o CPF","")))</f>
        <v/>
      </c>
      <c r="L981" s="27"/>
      <c r="M981" s="5"/>
    </row>
    <row r="982" customFormat="false" ht="15" hidden="false" customHeight="false" outlineLevel="0" collapsed="false">
      <c r="A982" s="27"/>
      <c r="B982" s="5"/>
      <c r="C982" s="27"/>
      <c r="D982" s="18"/>
      <c r="E982" s="14"/>
      <c r="F982" s="18"/>
      <c r="G982" s="19" t="str">
        <f aca="false">IF(A982="","",IFERROR(INDEX(Empresas!$B:$B,MATCH(A982,Empresas!$A:$A,0))&amp;"","cadastre o CNPJ em Empresas"))</f>
        <v/>
      </c>
      <c r="H982" s="28" t="str">
        <f aca="false">IF(B982="","",SUBSTITUTE(SUBSTITUTE(SUBSTITUTE(SUBSTITUTE(SUBSTITUTE(SUBSTITUTE(SUBSTITUTE(SUBSTITUTE(SUBSTITUTE(SUBSTITUTE(SUBSTITUTE(SUBSTITUTE(SUBSTITUTE(UPPER(TRIM(B982)),"Á","A"),"À","A"),"Â","A"),"Ã","A"),"É","E"),"Ê","E"),"Í","I"),"Ó","O"),"Ô","O"),"Õ","O"),"Ú","U"),"Ü","U"),"Ç","C"))</f>
        <v/>
      </c>
      <c r="I982" s="28" t="str">
        <f aca="false">IF(C982="","",IF(LEN(SUBSTITUTE(SUBSTITUTE(SUBSTITUTE(SUBSTITUTE(TRIM(C982),"*",""),".",""),"-","")," ",""))=11,MID(SUBSTITUTE(SUBSTITUTE(SUBSTITUTE(SUBSTITUTE(TRIM(C982),"*",""),".",""),"-","")," ",""),4,6),SUBSTITUTE(SUBSTITUTE(SUBSTITUTE(SUBSTITUTE(TRIM(C982),"*",""),".",""),"-","")," ","")))</f>
        <v/>
      </c>
      <c r="J982" s="28" t="str">
        <f aca="false">IF(OR(H982="",I982=""),"",H982&amp;"|"&amp;I982)</f>
        <v/>
      </c>
      <c r="K982" s="19" t="str">
        <f aca="false">IF(H982="","",IF(AND(J982&lt;&gt;"",COUNTIF(Pessoas!$J:$J,J982)&gt;0),"SIM",IF(COUNTIF(Pessoas!$H:$H,H982)&gt;0,"nome igual em Pessoas: confira o CPF","")))</f>
        <v/>
      </c>
      <c r="L982" s="27"/>
      <c r="M982" s="5"/>
    </row>
    <row r="983" customFormat="false" ht="15" hidden="false" customHeight="false" outlineLevel="0" collapsed="false">
      <c r="A983" s="27"/>
      <c r="B983" s="5"/>
      <c r="C983" s="27"/>
      <c r="D983" s="18"/>
      <c r="E983" s="14"/>
      <c r="F983" s="18"/>
      <c r="G983" s="19" t="str">
        <f aca="false">IF(A983="","",IFERROR(INDEX(Empresas!$B:$B,MATCH(A983,Empresas!$A:$A,0))&amp;"","cadastre o CNPJ em Empresas"))</f>
        <v/>
      </c>
      <c r="H983" s="28" t="str">
        <f aca="false">IF(B983="","",SUBSTITUTE(SUBSTITUTE(SUBSTITUTE(SUBSTITUTE(SUBSTITUTE(SUBSTITUTE(SUBSTITUTE(SUBSTITUTE(SUBSTITUTE(SUBSTITUTE(SUBSTITUTE(SUBSTITUTE(SUBSTITUTE(UPPER(TRIM(B983)),"Á","A"),"À","A"),"Â","A"),"Ã","A"),"É","E"),"Ê","E"),"Í","I"),"Ó","O"),"Ô","O"),"Õ","O"),"Ú","U"),"Ü","U"),"Ç","C"))</f>
        <v/>
      </c>
      <c r="I983" s="28" t="str">
        <f aca="false">IF(C983="","",IF(LEN(SUBSTITUTE(SUBSTITUTE(SUBSTITUTE(SUBSTITUTE(TRIM(C983),"*",""),".",""),"-","")," ",""))=11,MID(SUBSTITUTE(SUBSTITUTE(SUBSTITUTE(SUBSTITUTE(TRIM(C983),"*",""),".",""),"-","")," ",""),4,6),SUBSTITUTE(SUBSTITUTE(SUBSTITUTE(SUBSTITUTE(TRIM(C983),"*",""),".",""),"-","")," ","")))</f>
        <v/>
      </c>
      <c r="J983" s="28" t="str">
        <f aca="false">IF(OR(H983="",I983=""),"",H983&amp;"|"&amp;I983)</f>
        <v/>
      </c>
      <c r="K983" s="19" t="str">
        <f aca="false">IF(H983="","",IF(AND(J983&lt;&gt;"",COUNTIF(Pessoas!$J:$J,J983)&gt;0),"SIM",IF(COUNTIF(Pessoas!$H:$H,H983)&gt;0,"nome igual em Pessoas: confira o CPF","")))</f>
        <v/>
      </c>
      <c r="L983" s="27"/>
      <c r="M983" s="5"/>
    </row>
    <row r="984" customFormat="false" ht="15" hidden="false" customHeight="false" outlineLevel="0" collapsed="false">
      <c r="A984" s="27"/>
      <c r="B984" s="5"/>
      <c r="C984" s="27"/>
      <c r="D984" s="18"/>
      <c r="E984" s="14"/>
      <c r="F984" s="18"/>
      <c r="G984" s="19" t="str">
        <f aca="false">IF(A984="","",IFERROR(INDEX(Empresas!$B:$B,MATCH(A984,Empresas!$A:$A,0))&amp;"","cadastre o CNPJ em Empresas"))</f>
        <v/>
      </c>
      <c r="H984" s="28" t="str">
        <f aca="false">IF(B984="","",SUBSTITUTE(SUBSTITUTE(SUBSTITUTE(SUBSTITUTE(SUBSTITUTE(SUBSTITUTE(SUBSTITUTE(SUBSTITUTE(SUBSTITUTE(SUBSTITUTE(SUBSTITUTE(SUBSTITUTE(SUBSTITUTE(UPPER(TRIM(B984)),"Á","A"),"À","A"),"Â","A"),"Ã","A"),"É","E"),"Ê","E"),"Í","I"),"Ó","O"),"Ô","O"),"Õ","O"),"Ú","U"),"Ü","U"),"Ç","C"))</f>
        <v/>
      </c>
      <c r="I984" s="28" t="str">
        <f aca="false">IF(C984="","",IF(LEN(SUBSTITUTE(SUBSTITUTE(SUBSTITUTE(SUBSTITUTE(TRIM(C984),"*",""),".",""),"-","")," ",""))=11,MID(SUBSTITUTE(SUBSTITUTE(SUBSTITUTE(SUBSTITUTE(TRIM(C984),"*",""),".",""),"-","")," ",""),4,6),SUBSTITUTE(SUBSTITUTE(SUBSTITUTE(SUBSTITUTE(TRIM(C984),"*",""),".",""),"-","")," ","")))</f>
        <v/>
      </c>
      <c r="J984" s="28" t="str">
        <f aca="false">IF(OR(H984="",I984=""),"",H984&amp;"|"&amp;I984)</f>
        <v/>
      </c>
      <c r="K984" s="19" t="str">
        <f aca="false">IF(H984="","",IF(AND(J984&lt;&gt;"",COUNTIF(Pessoas!$J:$J,J984)&gt;0),"SIM",IF(COUNTIF(Pessoas!$H:$H,H984)&gt;0,"nome igual em Pessoas: confira o CPF","")))</f>
        <v/>
      </c>
      <c r="L984" s="27"/>
      <c r="M984" s="5"/>
    </row>
    <row r="985" customFormat="false" ht="15" hidden="false" customHeight="false" outlineLevel="0" collapsed="false">
      <c r="A985" s="27"/>
      <c r="B985" s="5"/>
      <c r="C985" s="27"/>
      <c r="D985" s="18"/>
      <c r="E985" s="14"/>
      <c r="F985" s="18"/>
      <c r="G985" s="19" t="str">
        <f aca="false">IF(A985="","",IFERROR(INDEX(Empresas!$B:$B,MATCH(A985,Empresas!$A:$A,0))&amp;"","cadastre o CNPJ em Empresas"))</f>
        <v/>
      </c>
      <c r="H985" s="28" t="str">
        <f aca="false">IF(B985="","",SUBSTITUTE(SUBSTITUTE(SUBSTITUTE(SUBSTITUTE(SUBSTITUTE(SUBSTITUTE(SUBSTITUTE(SUBSTITUTE(SUBSTITUTE(SUBSTITUTE(SUBSTITUTE(SUBSTITUTE(SUBSTITUTE(UPPER(TRIM(B985)),"Á","A"),"À","A"),"Â","A"),"Ã","A"),"É","E"),"Ê","E"),"Í","I"),"Ó","O"),"Ô","O"),"Õ","O"),"Ú","U"),"Ü","U"),"Ç","C"))</f>
        <v/>
      </c>
      <c r="I985" s="28" t="str">
        <f aca="false">IF(C985="","",IF(LEN(SUBSTITUTE(SUBSTITUTE(SUBSTITUTE(SUBSTITUTE(TRIM(C985),"*",""),".",""),"-","")," ",""))=11,MID(SUBSTITUTE(SUBSTITUTE(SUBSTITUTE(SUBSTITUTE(TRIM(C985),"*",""),".",""),"-","")," ",""),4,6),SUBSTITUTE(SUBSTITUTE(SUBSTITUTE(SUBSTITUTE(TRIM(C985),"*",""),".",""),"-","")," ","")))</f>
        <v/>
      </c>
      <c r="J985" s="28" t="str">
        <f aca="false">IF(OR(H985="",I985=""),"",H985&amp;"|"&amp;I985)</f>
        <v/>
      </c>
      <c r="K985" s="19" t="str">
        <f aca="false">IF(H985="","",IF(AND(J985&lt;&gt;"",COUNTIF(Pessoas!$J:$J,J985)&gt;0),"SIM",IF(COUNTIF(Pessoas!$H:$H,H985)&gt;0,"nome igual em Pessoas: confira o CPF","")))</f>
        <v/>
      </c>
      <c r="L985" s="27"/>
      <c r="M985" s="5"/>
    </row>
    <row r="986" customFormat="false" ht="15" hidden="false" customHeight="false" outlineLevel="0" collapsed="false">
      <c r="A986" s="27"/>
      <c r="B986" s="5"/>
      <c r="C986" s="27"/>
      <c r="D986" s="18"/>
      <c r="E986" s="14"/>
      <c r="F986" s="18"/>
      <c r="G986" s="19" t="str">
        <f aca="false">IF(A986="","",IFERROR(INDEX(Empresas!$B:$B,MATCH(A986,Empresas!$A:$A,0))&amp;"","cadastre o CNPJ em Empresas"))</f>
        <v/>
      </c>
      <c r="H986" s="28" t="str">
        <f aca="false">IF(B986="","",SUBSTITUTE(SUBSTITUTE(SUBSTITUTE(SUBSTITUTE(SUBSTITUTE(SUBSTITUTE(SUBSTITUTE(SUBSTITUTE(SUBSTITUTE(SUBSTITUTE(SUBSTITUTE(SUBSTITUTE(SUBSTITUTE(UPPER(TRIM(B986)),"Á","A"),"À","A"),"Â","A"),"Ã","A"),"É","E"),"Ê","E"),"Í","I"),"Ó","O"),"Ô","O"),"Õ","O"),"Ú","U"),"Ü","U"),"Ç","C"))</f>
        <v/>
      </c>
      <c r="I986" s="28" t="str">
        <f aca="false">IF(C986="","",IF(LEN(SUBSTITUTE(SUBSTITUTE(SUBSTITUTE(SUBSTITUTE(TRIM(C986),"*",""),".",""),"-","")," ",""))=11,MID(SUBSTITUTE(SUBSTITUTE(SUBSTITUTE(SUBSTITUTE(TRIM(C986),"*",""),".",""),"-","")," ",""),4,6),SUBSTITUTE(SUBSTITUTE(SUBSTITUTE(SUBSTITUTE(TRIM(C986),"*",""),".",""),"-","")," ","")))</f>
        <v/>
      </c>
      <c r="J986" s="28" t="str">
        <f aca="false">IF(OR(H986="",I986=""),"",H986&amp;"|"&amp;I986)</f>
        <v/>
      </c>
      <c r="K986" s="19" t="str">
        <f aca="false">IF(H986="","",IF(AND(J986&lt;&gt;"",COUNTIF(Pessoas!$J:$J,J986)&gt;0),"SIM",IF(COUNTIF(Pessoas!$H:$H,H986)&gt;0,"nome igual em Pessoas: confira o CPF","")))</f>
        <v/>
      </c>
      <c r="L986" s="27"/>
      <c r="M986" s="5"/>
    </row>
    <row r="987" customFormat="false" ht="15" hidden="false" customHeight="false" outlineLevel="0" collapsed="false">
      <c r="A987" s="27"/>
      <c r="B987" s="5"/>
      <c r="C987" s="27"/>
      <c r="D987" s="18"/>
      <c r="E987" s="14"/>
      <c r="F987" s="18"/>
      <c r="G987" s="19" t="str">
        <f aca="false">IF(A987="","",IFERROR(INDEX(Empresas!$B:$B,MATCH(A987,Empresas!$A:$A,0))&amp;"","cadastre o CNPJ em Empresas"))</f>
        <v/>
      </c>
      <c r="H987" s="28" t="str">
        <f aca="false">IF(B987="","",SUBSTITUTE(SUBSTITUTE(SUBSTITUTE(SUBSTITUTE(SUBSTITUTE(SUBSTITUTE(SUBSTITUTE(SUBSTITUTE(SUBSTITUTE(SUBSTITUTE(SUBSTITUTE(SUBSTITUTE(SUBSTITUTE(UPPER(TRIM(B987)),"Á","A"),"À","A"),"Â","A"),"Ã","A"),"É","E"),"Ê","E"),"Í","I"),"Ó","O"),"Ô","O"),"Õ","O"),"Ú","U"),"Ü","U"),"Ç","C"))</f>
        <v/>
      </c>
      <c r="I987" s="28" t="str">
        <f aca="false">IF(C987="","",IF(LEN(SUBSTITUTE(SUBSTITUTE(SUBSTITUTE(SUBSTITUTE(TRIM(C987),"*",""),".",""),"-","")," ",""))=11,MID(SUBSTITUTE(SUBSTITUTE(SUBSTITUTE(SUBSTITUTE(TRIM(C987),"*",""),".",""),"-","")," ",""),4,6),SUBSTITUTE(SUBSTITUTE(SUBSTITUTE(SUBSTITUTE(TRIM(C987),"*",""),".",""),"-","")," ","")))</f>
        <v/>
      </c>
      <c r="J987" s="28" t="str">
        <f aca="false">IF(OR(H987="",I987=""),"",H987&amp;"|"&amp;I987)</f>
        <v/>
      </c>
      <c r="K987" s="19" t="str">
        <f aca="false">IF(H987="","",IF(AND(J987&lt;&gt;"",COUNTIF(Pessoas!$J:$J,J987)&gt;0),"SIM",IF(COUNTIF(Pessoas!$H:$H,H987)&gt;0,"nome igual em Pessoas: confira o CPF","")))</f>
        <v/>
      </c>
      <c r="L987" s="27"/>
      <c r="M987" s="5"/>
    </row>
    <row r="988" customFormat="false" ht="15" hidden="false" customHeight="false" outlineLevel="0" collapsed="false">
      <c r="A988" s="27"/>
      <c r="B988" s="5"/>
      <c r="C988" s="27"/>
      <c r="D988" s="18"/>
      <c r="E988" s="14"/>
      <c r="F988" s="18"/>
      <c r="G988" s="19" t="str">
        <f aca="false">IF(A988="","",IFERROR(INDEX(Empresas!$B:$B,MATCH(A988,Empresas!$A:$A,0))&amp;"","cadastre o CNPJ em Empresas"))</f>
        <v/>
      </c>
      <c r="H988" s="28" t="str">
        <f aca="false">IF(B988="","",SUBSTITUTE(SUBSTITUTE(SUBSTITUTE(SUBSTITUTE(SUBSTITUTE(SUBSTITUTE(SUBSTITUTE(SUBSTITUTE(SUBSTITUTE(SUBSTITUTE(SUBSTITUTE(SUBSTITUTE(SUBSTITUTE(UPPER(TRIM(B988)),"Á","A"),"À","A"),"Â","A"),"Ã","A"),"É","E"),"Ê","E"),"Í","I"),"Ó","O"),"Ô","O"),"Õ","O"),"Ú","U"),"Ü","U"),"Ç","C"))</f>
        <v/>
      </c>
      <c r="I988" s="28" t="str">
        <f aca="false">IF(C988="","",IF(LEN(SUBSTITUTE(SUBSTITUTE(SUBSTITUTE(SUBSTITUTE(TRIM(C988),"*",""),".",""),"-","")," ",""))=11,MID(SUBSTITUTE(SUBSTITUTE(SUBSTITUTE(SUBSTITUTE(TRIM(C988),"*",""),".",""),"-","")," ",""),4,6),SUBSTITUTE(SUBSTITUTE(SUBSTITUTE(SUBSTITUTE(TRIM(C988),"*",""),".",""),"-","")," ","")))</f>
        <v/>
      </c>
      <c r="J988" s="28" t="str">
        <f aca="false">IF(OR(H988="",I988=""),"",H988&amp;"|"&amp;I988)</f>
        <v/>
      </c>
      <c r="K988" s="19" t="str">
        <f aca="false">IF(H988="","",IF(AND(J988&lt;&gt;"",COUNTIF(Pessoas!$J:$J,J988)&gt;0),"SIM",IF(COUNTIF(Pessoas!$H:$H,H988)&gt;0,"nome igual em Pessoas: confira o CPF","")))</f>
        <v/>
      </c>
      <c r="L988" s="27"/>
      <c r="M988" s="5"/>
    </row>
    <row r="989" customFormat="false" ht="15" hidden="false" customHeight="false" outlineLevel="0" collapsed="false">
      <c r="A989" s="27"/>
      <c r="B989" s="5"/>
      <c r="C989" s="27"/>
      <c r="D989" s="18"/>
      <c r="E989" s="14"/>
      <c r="F989" s="18"/>
      <c r="G989" s="19" t="str">
        <f aca="false">IF(A989="","",IFERROR(INDEX(Empresas!$B:$B,MATCH(A989,Empresas!$A:$A,0))&amp;"","cadastre o CNPJ em Empresas"))</f>
        <v/>
      </c>
      <c r="H989" s="28" t="str">
        <f aca="false">IF(B989="","",SUBSTITUTE(SUBSTITUTE(SUBSTITUTE(SUBSTITUTE(SUBSTITUTE(SUBSTITUTE(SUBSTITUTE(SUBSTITUTE(SUBSTITUTE(SUBSTITUTE(SUBSTITUTE(SUBSTITUTE(SUBSTITUTE(UPPER(TRIM(B989)),"Á","A"),"À","A"),"Â","A"),"Ã","A"),"É","E"),"Ê","E"),"Í","I"),"Ó","O"),"Ô","O"),"Õ","O"),"Ú","U"),"Ü","U"),"Ç","C"))</f>
        <v/>
      </c>
      <c r="I989" s="28" t="str">
        <f aca="false">IF(C989="","",IF(LEN(SUBSTITUTE(SUBSTITUTE(SUBSTITUTE(SUBSTITUTE(TRIM(C989),"*",""),".",""),"-","")," ",""))=11,MID(SUBSTITUTE(SUBSTITUTE(SUBSTITUTE(SUBSTITUTE(TRIM(C989),"*",""),".",""),"-","")," ",""),4,6),SUBSTITUTE(SUBSTITUTE(SUBSTITUTE(SUBSTITUTE(TRIM(C989),"*",""),".",""),"-","")," ","")))</f>
        <v/>
      </c>
      <c r="J989" s="28" t="str">
        <f aca="false">IF(OR(H989="",I989=""),"",H989&amp;"|"&amp;I989)</f>
        <v/>
      </c>
      <c r="K989" s="19" t="str">
        <f aca="false">IF(H989="","",IF(AND(J989&lt;&gt;"",COUNTIF(Pessoas!$J:$J,J989)&gt;0),"SIM",IF(COUNTIF(Pessoas!$H:$H,H989)&gt;0,"nome igual em Pessoas: confira o CPF","")))</f>
        <v/>
      </c>
      <c r="L989" s="27"/>
      <c r="M989" s="5"/>
    </row>
    <row r="990" customFormat="false" ht="15" hidden="false" customHeight="false" outlineLevel="0" collapsed="false">
      <c r="A990" s="27"/>
      <c r="B990" s="5"/>
      <c r="C990" s="27"/>
      <c r="D990" s="18"/>
      <c r="E990" s="14"/>
      <c r="F990" s="18"/>
      <c r="G990" s="19" t="str">
        <f aca="false">IF(A990="","",IFERROR(INDEX(Empresas!$B:$B,MATCH(A990,Empresas!$A:$A,0))&amp;"","cadastre o CNPJ em Empresas"))</f>
        <v/>
      </c>
      <c r="H990" s="28" t="str">
        <f aca="false">IF(B990="","",SUBSTITUTE(SUBSTITUTE(SUBSTITUTE(SUBSTITUTE(SUBSTITUTE(SUBSTITUTE(SUBSTITUTE(SUBSTITUTE(SUBSTITUTE(SUBSTITUTE(SUBSTITUTE(SUBSTITUTE(SUBSTITUTE(UPPER(TRIM(B990)),"Á","A"),"À","A"),"Â","A"),"Ã","A"),"É","E"),"Ê","E"),"Í","I"),"Ó","O"),"Ô","O"),"Õ","O"),"Ú","U"),"Ü","U"),"Ç","C"))</f>
        <v/>
      </c>
      <c r="I990" s="28" t="str">
        <f aca="false">IF(C990="","",IF(LEN(SUBSTITUTE(SUBSTITUTE(SUBSTITUTE(SUBSTITUTE(TRIM(C990),"*",""),".",""),"-","")," ",""))=11,MID(SUBSTITUTE(SUBSTITUTE(SUBSTITUTE(SUBSTITUTE(TRIM(C990),"*",""),".",""),"-","")," ",""),4,6),SUBSTITUTE(SUBSTITUTE(SUBSTITUTE(SUBSTITUTE(TRIM(C990),"*",""),".",""),"-","")," ","")))</f>
        <v/>
      </c>
      <c r="J990" s="28" t="str">
        <f aca="false">IF(OR(H990="",I990=""),"",H990&amp;"|"&amp;I990)</f>
        <v/>
      </c>
      <c r="K990" s="19" t="str">
        <f aca="false">IF(H990="","",IF(AND(J990&lt;&gt;"",COUNTIF(Pessoas!$J:$J,J990)&gt;0),"SIM",IF(COUNTIF(Pessoas!$H:$H,H990)&gt;0,"nome igual em Pessoas: confira o CPF","")))</f>
        <v/>
      </c>
      <c r="L990" s="27"/>
      <c r="M990" s="5"/>
    </row>
    <row r="991" customFormat="false" ht="15" hidden="false" customHeight="false" outlineLevel="0" collapsed="false">
      <c r="A991" s="27"/>
      <c r="B991" s="5"/>
      <c r="C991" s="27"/>
      <c r="D991" s="18"/>
      <c r="E991" s="14"/>
      <c r="F991" s="18"/>
      <c r="G991" s="19" t="str">
        <f aca="false">IF(A991="","",IFERROR(INDEX(Empresas!$B:$B,MATCH(A991,Empresas!$A:$A,0))&amp;"","cadastre o CNPJ em Empresas"))</f>
        <v/>
      </c>
      <c r="H991" s="28" t="str">
        <f aca="false">IF(B991="","",SUBSTITUTE(SUBSTITUTE(SUBSTITUTE(SUBSTITUTE(SUBSTITUTE(SUBSTITUTE(SUBSTITUTE(SUBSTITUTE(SUBSTITUTE(SUBSTITUTE(SUBSTITUTE(SUBSTITUTE(SUBSTITUTE(UPPER(TRIM(B991)),"Á","A"),"À","A"),"Â","A"),"Ã","A"),"É","E"),"Ê","E"),"Í","I"),"Ó","O"),"Ô","O"),"Õ","O"),"Ú","U"),"Ü","U"),"Ç","C"))</f>
        <v/>
      </c>
      <c r="I991" s="28" t="str">
        <f aca="false">IF(C991="","",IF(LEN(SUBSTITUTE(SUBSTITUTE(SUBSTITUTE(SUBSTITUTE(TRIM(C991),"*",""),".",""),"-","")," ",""))=11,MID(SUBSTITUTE(SUBSTITUTE(SUBSTITUTE(SUBSTITUTE(TRIM(C991),"*",""),".",""),"-","")," ",""),4,6),SUBSTITUTE(SUBSTITUTE(SUBSTITUTE(SUBSTITUTE(TRIM(C991),"*",""),".",""),"-","")," ","")))</f>
        <v/>
      </c>
      <c r="J991" s="28" t="str">
        <f aca="false">IF(OR(H991="",I991=""),"",H991&amp;"|"&amp;I991)</f>
        <v/>
      </c>
      <c r="K991" s="19" t="str">
        <f aca="false">IF(H991="","",IF(AND(J991&lt;&gt;"",COUNTIF(Pessoas!$J:$J,J991)&gt;0),"SIM",IF(COUNTIF(Pessoas!$H:$H,H991)&gt;0,"nome igual em Pessoas: confira o CPF","")))</f>
        <v/>
      </c>
      <c r="L991" s="27"/>
      <c r="M991" s="5"/>
    </row>
    <row r="992" customFormat="false" ht="15" hidden="false" customHeight="false" outlineLevel="0" collapsed="false">
      <c r="A992" s="27"/>
      <c r="B992" s="5"/>
      <c r="C992" s="27"/>
      <c r="D992" s="18"/>
      <c r="E992" s="14"/>
      <c r="F992" s="18"/>
      <c r="G992" s="19" t="str">
        <f aca="false">IF(A992="","",IFERROR(INDEX(Empresas!$B:$B,MATCH(A992,Empresas!$A:$A,0))&amp;"","cadastre o CNPJ em Empresas"))</f>
        <v/>
      </c>
      <c r="H992" s="28" t="str">
        <f aca="false">IF(B992="","",SUBSTITUTE(SUBSTITUTE(SUBSTITUTE(SUBSTITUTE(SUBSTITUTE(SUBSTITUTE(SUBSTITUTE(SUBSTITUTE(SUBSTITUTE(SUBSTITUTE(SUBSTITUTE(SUBSTITUTE(SUBSTITUTE(UPPER(TRIM(B992)),"Á","A"),"À","A"),"Â","A"),"Ã","A"),"É","E"),"Ê","E"),"Í","I"),"Ó","O"),"Ô","O"),"Õ","O"),"Ú","U"),"Ü","U"),"Ç","C"))</f>
        <v/>
      </c>
      <c r="I992" s="28" t="str">
        <f aca="false">IF(C992="","",IF(LEN(SUBSTITUTE(SUBSTITUTE(SUBSTITUTE(SUBSTITUTE(TRIM(C992),"*",""),".",""),"-","")," ",""))=11,MID(SUBSTITUTE(SUBSTITUTE(SUBSTITUTE(SUBSTITUTE(TRIM(C992),"*",""),".",""),"-","")," ",""),4,6),SUBSTITUTE(SUBSTITUTE(SUBSTITUTE(SUBSTITUTE(TRIM(C992),"*",""),".",""),"-","")," ","")))</f>
        <v/>
      </c>
      <c r="J992" s="28" t="str">
        <f aca="false">IF(OR(H992="",I992=""),"",H992&amp;"|"&amp;I992)</f>
        <v/>
      </c>
      <c r="K992" s="19" t="str">
        <f aca="false">IF(H992="","",IF(AND(J992&lt;&gt;"",COUNTIF(Pessoas!$J:$J,J992)&gt;0),"SIM",IF(COUNTIF(Pessoas!$H:$H,H992)&gt;0,"nome igual em Pessoas: confira o CPF","")))</f>
        <v/>
      </c>
      <c r="L992" s="27"/>
      <c r="M992" s="5"/>
    </row>
    <row r="993" customFormat="false" ht="15" hidden="false" customHeight="false" outlineLevel="0" collapsed="false">
      <c r="A993" s="27"/>
      <c r="B993" s="5"/>
      <c r="C993" s="27"/>
      <c r="D993" s="18"/>
      <c r="E993" s="14"/>
      <c r="F993" s="18"/>
      <c r="G993" s="19" t="str">
        <f aca="false">IF(A993="","",IFERROR(INDEX(Empresas!$B:$B,MATCH(A993,Empresas!$A:$A,0))&amp;"","cadastre o CNPJ em Empresas"))</f>
        <v/>
      </c>
      <c r="H993" s="28" t="str">
        <f aca="false">IF(B993="","",SUBSTITUTE(SUBSTITUTE(SUBSTITUTE(SUBSTITUTE(SUBSTITUTE(SUBSTITUTE(SUBSTITUTE(SUBSTITUTE(SUBSTITUTE(SUBSTITUTE(SUBSTITUTE(SUBSTITUTE(SUBSTITUTE(UPPER(TRIM(B993)),"Á","A"),"À","A"),"Â","A"),"Ã","A"),"É","E"),"Ê","E"),"Í","I"),"Ó","O"),"Ô","O"),"Õ","O"),"Ú","U"),"Ü","U"),"Ç","C"))</f>
        <v/>
      </c>
      <c r="I993" s="28" t="str">
        <f aca="false">IF(C993="","",IF(LEN(SUBSTITUTE(SUBSTITUTE(SUBSTITUTE(SUBSTITUTE(TRIM(C993),"*",""),".",""),"-","")," ",""))=11,MID(SUBSTITUTE(SUBSTITUTE(SUBSTITUTE(SUBSTITUTE(TRIM(C993),"*",""),".",""),"-","")," ",""),4,6),SUBSTITUTE(SUBSTITUTE(SUBSTITUTE(SUBSTITUTE(TRIM(C993),"*",""),".",""),"-","")," ","")))</f>
        <v/>
      </c>
      <c r="J993" s="28" t="str">
        <f aca="false">IF(OR(H993="",I993=""),"",H993&amp;"|"&amp;I993)</f>
        <v/>
      </c>
      <c r="K993" s="19" t="str">
        <f aca="false">IF(H993="","",IF(AND(J993&lt;&gt;"",COUNTIF(Pessoas!$J:$J,J993)&gt;0),"SIM",IF(COUNTIF(Pessoas!$H:$H,H993)&gt;0,"nome igual em Pessoas: confira o CPF","")))</f>
        <v/>
      </c>
      <c r="L993" s="27"/>
      <c r="M993" s="5"/>
    </row>
    <row r="994" customFormat="false" ht="15" hidden="false" customHeight="false" outlineLevel="0" collapsed="false">
      <c r="A994" s="27"/>
      <c r="B994" s="5"/>
      <c r="C994" s="27"/>
      <c r="D994" s="18"/>
      <c r="E994" s="14"/>
      <c r="F994" s="18"/>
      <c r="G994" s="19" t="str">
        <f aca="false">IF(A994="","",IFERROR(INDEX(Empresas!$B:$B,MATCH(A994,Empresas!$A:$A,0))&amp;"","cadastre o CNPJ em Empresas"))</f>
        <v/>
      </c>
      <c r="H994" s="28" t="str">
        <f aca="false">IF(B994="","",SUBSTITUTE(SUBSTITUTE(SUBSTITUTE(SUBSTITUTE(SUBSTITUTE(SUBSTITUTE(SUBSTITUTE(SUBSTITUTE(SUBSTITUTE(SUBSTITUTE(SUBSTITUTE(SUBSTITUTE(SUBSTITUTE(UPPER(TRIM(B994)),"Á","A"),"À","A"),"Â","A"),"Ã","A"),"É","E"),"Ê","E"),"Í","I"),"Ó","O"),"Ô","O"),"Õ","O"),"Ú","U"),"Ü","U"),"Ç","C"))</f>
        <v/>
      </c>
      <c r="I994" s="28" t="str">
        <f aca="false">IF(C994="","",IF(LEN(SUBSTITUTE(SUBSTITUTE(SUBSTITUTE(SUBSTITUTE(TRIM(C994),"*",""),".",""),"-","")," ",""))=11,MID(SUBSTITUTE(SUBSTITUTE(SUBSTITUTE(SUBSTITUTE(TRIM(C994),"*",""),".",""),"-","")," ",""),4,6),SUBSTITUTE(SUBSTITUTE(SUBSTITUTE(SUBSTITUTE(TRIM(C994),"*",""),".",""),"-","")," ","")))</f>
        <v/>
      </c>
      <c r="J994" s="28" t="str">
        <f aca="false">IF(OR(H994="",I994=""),"",H994&amp;"|"&amp;I994)</f>
        <v/>
      </c>
      <c r="K994" s="19" t="str">
        <f aca="false">IF(H994="","",IF(AND(J994&lt;&gt;"",COUNTIF(Pessoas!$J:$J,J994)&gt;0),"SIM",IF(COUNTIF(Pessoas!$H:$H,H994)&gt;0,"nome igual em Pessoas: confira o CPF","")))</f>
        <v/>
      </c>
      <c r="L994" s="27"/>
      <c r="M994" s="5"/>
    </row>
    <row r="995" customFormat="false" ht="15" hidden="false" customHeight="false" outlineLevel="0" collapsed="false">
      <c r="A995" s="27"/>
      <c r="B995" s="5"/>
      <c r="C995" s="27"/>
      <c r="D995" s="18"/>
      <c r="E995" s="14"/>
      <c r="F995" s="18"/>
      <c r="G995" s="19" t="str">
        <f aca="false">IF(A995="","",IFERROR(INDEX(Empresas!$B:$B,MATCH(A995,Empresas!$A:$A,0))&amp;"","cadastre o CNPJ em Empresas"))</f>
        <v/>
      </c>
      <c r="H995" s="28" t="str">
        <f aca="false">IF(B995="","",SUBSTITUTE(SUBSTITUTE(SUBSTITUTE(SUBSTITUTE(SUBSTITUTE(SUBSTITUTE(SUBSTITUTE(SUBSTITUTE(SUBSTITUTE(SUBSTITUTE(SUBSTITUTE(SUBSTITUTE(SUBSTITUTE(UPPER(TRIM(B995)),"Á","A"),"À","A"),"Â","A"),"Ã","A"),"É","E"),"Ê","E"),"Í","I"),"Ó","O"),"Ô","O"),"Õ","O"),"Ú","U"),"Ü","U"),"Ç","C"))</f>
        <v/>
      </c>
      <c r="I995" s="28" t="str">
        <f aca="false">IF(C995="","",IF(LEN(SUBSTITUTE(SUBSTITUTE(SUBSTITUTE(SUBSTITUTE(TRIM(C995),"*",""),".",""),"-","")," ",""))=11,MID(SUBSTITUTE(SUBSTITUTE(SUBSTITUTE(SUBSTITUTE(TRIM(C995),"*",""),".",""),"-","")," ",""),4,6),SUBSTITUTE(SUBSTITUTE(SUBSTITUTE(SUBSTITUTE(TRIM(C995),"*",""),".",""),"-","")," ","")))</f>
        <v/>
      </c>
      <c r="J995" s="28" t="str">
        <f aca="false">IF(OR(H995="",I995=""),"",H995&amp;"|"&amp;I995)</f>
        <v/>
      </c>
      <c r="K995" s="19" t="str">
        <f aca="false">IF(H995="","",IF(AND(J995&lt;&gt;"",COUNTIF(Pessoas!$J:$J,J995)&gt;0),"SIM",IF(COUNTIF(Pessoas!$H:$H,H995)&gt;0,"nome igual em Pessoas: confira o CPF","")))</f>
        <v/>
      </c>
      <c r="L995" s="27"/>
      <c r="M995" s="5"/>
    </row>
    <row r="996" customFormat="false" ht="15" hidden="false" customHeight="false" outlineLevel="0" collapsed="false">
      <c r="A996" s="27"/>
      <c r="B996" s="5"/>
      <c r="C996" s="27"/>
      <c r="D996" s="18"/>
      <c r="E996" s="14"/>
      <c r="F996" s="18"/>
      <c r="G996" s="19" t="str">
        <f aca="false">IF(A996="","",IFERROR(INDEX(Empresas!$B:$B,MATCH(A996,Empresas!$A:$A,0))&amp;"","cadastre o CNPJ em Empresas"))</f>
        <v/>
      </c>
      <c r="H996" s="28" t="str">
        <f aca="false">IF(B996="","",SUBSTITUTE(SUBSTITUTE(SUBSTITUTE(SUBSTITUTE(SUBSTITUTE(SUBSTITUTE(SUBSTITUTE(SUBSTITUTE(SUBSTITUTE(SUBSTITUTE(SUBSTITUTE(SUBSTITUTE(SUBSTITUTE(UPPER(TRIM(B996)),"Á","A"),"À","A"),"Â","A"),"Ã","A"),"É","E"),"Ê","E"),"Í","I"),"Ó","O"),"Ô","O"),"Õ","O"),"Ú","U"),"Ü","U"),"Ç","C"))</f>
        <v/>
      </c>
      <c r="I996" s="28" t="str">
        <f aca="false">IF(C996="","",IF(LEN(SUBSTITUTE(SUBSTITUTE(SUBSTITUTE(SUBSTITUTE(TRIM(C996),"*",""),".",""),"-","")," ",""))=11,MID(SUBSTITUTE(SUBSTITUTE(SUBSTITUTE(SUBSTITUTE(TRIM(C996),"*",""),".",""),"-","")," ",""),4,6),SUBSTITUTE(SUBSTITUTE(SUBSTITUTE(SUBSTITUTE(TRIM(C996),"*",""),".",""),"-","")," ","")))</f>
        <v/>
      </c>
      <c r="J996" s="28" t="str">
        <f aca="false">IF(OR(H996="",I996=""),"",H996&amp;"|"&amp;I996)</f>
        <v/>
      </c>
      <c r="K996" s="19" t="str">
        <f aca="false">IF(H996="","",IF(AND(J996&lt;&gt;"",COUNTIF(Pessoas!$J:$J,J996)&gt;0),"SIM",IF(COUNTIF(Pessoas!$H:$H,H996)&gt;0,"nome igual em Pessoas: confira o CPF","")))</f>
        <v/>
      </c>
      <c r="L996" s="27"/>
      <c r="M996" s="5"/>
    </row>
    <row r="997" customFormat="false" ht="15" hidden="false" customHeight="false" outlineLevel="0" collapsed="false">
      <c r="A997" s="27"/>
      <c r="B997" s="5"/>
      <c r="C997" s="27"/>
      <c r="D997" s="18"/>
      <c r="E997" s="14"/>
      <c r="F997" s="18"/>
      <c r="G997" s="19" t="str">
        <f aca="false">IF(A997="","",IFERROR(INDEX(Empresas!$B:$B,MATCH(A997,Empresas!$A:$A,0))&amp;"","cadastre o CNPJ em Empresas"))</f>
        <v/>
      </c>
      <c r="H997" s="28" t="str">
        <f aca="false">IF(B997="","",SUBSTITUTE(SUBSTITUTE(SUBSTITUTE(SUBSTITUTE(SUBSTITUTE(SUBSTITUTE(SUBSTITUTE(SUBSTITUTE(SUBSTITUTE(SUBSTITUTE(SUBSTITUTE(SUBSTITUTE(SUBSTITUTE(UPPER(TRIM(B997)),"Á","A"),"À","A"),"Â","A"),"Ã","A"),"É","E"),"Ê","E"),"Í","I"),"Ó","O"),"Ô","O"),"Õ","O"),"Ú","U"),"Ü","U"),"Ç","C"))</f>
        <v/>
      </c>
      <c r="I997" s="28" t="str">
        <f aca="false">IF(C997="","",IF(LEN(SUBSTITUTE(SUBSTITUTE(SUBSTITUTE(SUBSTITUTE(TRIM(C997),"*",""),".",""),"-","")," ",""))=11,MID(SUBSTITUTE(SUBSTITUTE(SUBSTITUTE(SUBSTITUTE(TRIM(C997),"*",""),".",""),"-","")," ",""),4,6),SUBSTITUTE(SUBSTITUTE(SUBSTITUTE(SUBSTITUTE(TRIM(C997),"*",""),".",""),"-","")," ","")))</f>
        <v/>
      </c>
      <c r="J997" s="28" t="str">
        <f aca="false">IF(OR(H997="",I997=""),"",H997&amp;"|"&amp;I997)</f>
        <v/>
      </c>
      <c r="K997" s="19" t="str">
        <f aca="false">IF(H997="","",IF(AND(J997&lt;&gt;"",COUNTIF(Pessoas!$J:$J,J997)&gt;0),"SIM",IF(COUNTIF(Pessoas!$H:$H,H997)&gt;0,"nome igual em Pessoas: confira o CPF","")))</f>
        <v/>
      </c>
      <c r="L997" s="27"/>
      <c r="M997" s="5"/>
    </row>
    <row r="998" customFormat="false" ht="15" hidden="false" customHeight="false" outlineLevel="0" collapsed="false">
      <c r="A998" s="27"/>
      <c r="B998" s="5"/>
      <c r="C998" s="27"/>
      <c r="D998" s="18"/>
      <c r="E998" s="14"/>
      <c r="F998" s="18"/>
      <c r="G998" s="19" t="str">
        <f aca="false">IF(A998="","",IFERROR(INDEX(Empresas!$B:$B,MATCH(A998,Empresas!$A:$A,0))&amp;"","cadastre o CNPJ em Empresas"))</f>
        <v/>
      </c>
      <c r="H998" s="28" t="str">
        <f aca="false">IF(B998="","",SUBSTITUTE(SUBSTITUTE(SUBSTITUTE(SUBSTITUTE(SUBSTITUTE(SUBSTITUTE(SUBSTITUTE(SUBSTITUTE(SUBSTITUTE(SUBSTITUTE(SUBSTITUTE(SUBSTITUTE(SUBSTITUTE(UPPER(TRIM(B998)),"Á","A"),"À","A"),"Â","A"),"Ã","A"),"É","E"),"Ê","E"),"Í","I"),"Ó","O"),"Ô","O"),"Õ","O"),"Ú","U"),"Ü","U"),"Ç","C"))</f>
        <v/>
      </c>
      <c r="I998" s="28" t="str">
        <f aca="false">IF(C998="","",IF(LEN(SUBSTITUTE(SUBSTITUTE(SUBSTITUTE(SUBSTITUTE(TRIM(C998),"*",""),".",""),"-","")," ",""))=11,MID(SUBSTITUTE(SUBSTITUTE(SUBSTITUTE(SUBSTITUTE(TRIM(C998),"*",""),".",""),"-","")," ",""),4,6),SUBSTITUTE(SUBSTITUTE(SUBSTITUTE(SUBSTITUTE(TRIM(C998),"*",""),".",""),"-","")," ","")))</f>
        <v/>
      </c>
      <c r="J998" s="28" t="str">
        <f aca="false">IF(OR(H998="",I998=""),"",H998&amp;"|"&amp;I998)</f>
        <v/>
      </c>
      <c r="K998" s="19" t="str">
        <f aca="false">IF(H998="","",IF(AND(J998&lt;&gt;"",COUNTIF(Pessoas!$J:$J,J998)&gt;0),"SIM",IF(COUNTIF(Pessoas!$H:$H,H998)&gt;0,"nome igual em Pessoas: confira o CPF","")))</f>
        <v/>
      </c>
      <c r="L998" s="27"/>
      <c r="M998" s="5"/>
    </row>
    <row r="999" customFormat="false" ht="15" hidden="false" customHeight="false" outlineLevel="0" collapsed="false">
      <c r="A999" s="27"/>
      <c r="B999" s="5"/>
      <c r="C999" s="27"/>
      <c r="D999" s="18"/>
      <c r="E999" s="14"/>
      <c r="F999" s="18"/>
      <c r="G999" s="19" t="str">
        <f aca="false">IF(A999="","",IFERROR(INDEX(Empresas!$B:$B,MATCH(A999,Empresas!$A:$A,0))&amp;"","cadastre o CNPJ em Empresas"))</f>
        <v/>
      </c>
      <c r="H999" s="28" t="str">
        <f aca="false">IF(B999="","",SUBSTITUTE(SUBSTITUTE(SUBSTITUTE(SUBSTITUTE(SUBSTITUTE(SUBSTITUTE(SUBSTITUTE(SUBSTITUTE(SUBSTITUTE(SUBSTITUTE(SUBSTITUTE(SUBSTITUTE(SUBSTITUTE(UPPER(TRIM(B999)),"Á","A"),"À","A"),"Â","A"),"Ã","A"),"É","E"),"Ê","E"),"Í","I"),"Ó","O"),"Ô","O"),"Õ","O"),"Ú","U"),"Ü","U"),"Ç","C"))</f>
        <v/>
      </c>
      <c r="I999" s="28" t="str">
        <f aca="false">IF(C999="","",IF(LEN(SUBSTITUTE(SUBSTITUTE(SUBSTITUTE(SUBSTITUTE(TRIM(C999),"*",""),".",""),"-","")," ",""))=11,MID(SUBSTITUTE(SUBSTITUTE(SUBSTITUTE(SUBSTITUTE(TRIM(C999),"*",""),".",""),"-","")," ",""),4,6),SUBSTITUTE(SUBSTITUTE(SUBSTITUTE(SUBSTITUTE(TRIM(C999),"*",""),".",""),"-","")," ","")))</f>
        <v/>
      </c>
      <c r="J999" s="28" t="str">
        <f aca="false">IF(OR(H999="",I999=""),"",H999&amp;"|"&amp;I999)</f>
        <v/>
      </c>
      <c r="K999" s="19" t="str">
        <f aca="false">IF(H999="","",IF(AND(J999&lt;&gt;"",COUNTIF(Pessoas!$J:$J,J999)&gt;0),"SIM",IF(COUNTIF(Pessoas!$H:$H,H999)&gt;0,"nome igual em Pessoas: confira o CPF","")))</f>
        <v/>
      </c>
      <c r="L999" s="27"/>
      <c r="M999" s="5"/>
    </row>
    <row r="1000" customFormat="false" ht="15" hidden="false" customHeight="false" outlineLevel="0" collapsed="false">
      <c r="A1000" s="27"/>
      <c r="B1000" s="5"/>
      <c r="C1000" s="27"/>
      <c r="D1000" s="18"/>
      <c r="E1000" s="14"/>
      <c r="F1000" s="18"/>
      <c r="G1000" s="19" t="str">
        <f aca="false">IF(A1000="","",IFERROR(INDEX(Empresas!$B:$B,MATCH(A1000,Empresas!$A:$A,0))&amp;"","cadastre o CNPJ em Empresas"))</f>
        <v/>
      </c>
      <c r="H1000" s="28" t="str">
        <f aca="false">IF(B1000="","",SUBSTITUTE(SUBSTITUTE(SUBSTITUTE(SUBSTITUTE(SUBSTITUTE(SUBSTITUTE(SUBSTITUTE(SUBSTITUTE(SUBSTITUTE(SUBSTITUTE(SUBSTITUTE(SUBSTITUTE(SUBSTITUTE(UPPER(TRIM(B1000)),"Á","A"),"À","A"),"Â","A"),"Ã","A"),"É","E"),"Ê","E"),"Í","I"),"Ó","O"),"Ô","O"),"Õ","O"),"Ú","U"),"Ü","U"),"Ç","C"))</f>
        <v/>
      </c>
      <c r="I1000" s="28" t="str">
        <f aca="false">IF(C1000="","",IF(LEN(SUBSTITUTE(SUBSTITUTE(SUBSTITUTE(SUBSTITUTE(TRIM(C1000),"*",""),".",""),"-","")," ",""))=11,MID(SUBSTITUTE(SUBSTITUTE(SUBSTITUTE(SUBSTITUTE(TRIM(C1000),"*",""),".",""),"-","")," ",""),4,6),SUBSTITUTE(SUBSTITUTE(SUBSTITUTE(SUBSTITUTE(TRIM(C1000),"*",""),".",""),"-","")," ","")))</f>
        <v/>
      </c>
      <c r="J1000" s="28" t="str">
        <f aca="false">IF(OR(H1000="",I1000=""),"",H1000&amp;"|"&amp;I1000)</f>
        <v/>
      </c>
      <c r="K1000" s="19" t="str">
        <f aca="false">IF(H1000="","",IF(AND(J1000&lt;&gt;"",COUNTIF(Pessoas!$J:$J,J1000)&gt;0),"SIM",IF(COUNTIF(Pessoas!$H:$H,H1000)&gt;0,"nome igual em Pessoas: confira o CPF","")))</f>
        <v/>
      </c>
      <c r="L1000" s="27"/>
      <c r="M1000" s="5"/>
    </row>
    <row r="1001" customFormat="false" ht="15" hidden="false" customHeight="false" outlineLevel="0" collapsed="false">
      <c r="A1001" s="27"/>
      <c r="B1001" s="5"/>
      <c r="C1001" s="27"/>
      <c r="D1001" s="18"/>
      <c r="E1001" s="14"/>
      <c r="F1001" s="18"/>
      <c r="G1001" s="19" t="str">
        <f aca="false">IF(A1001="","",IFERROR(INDEX(Empresas!$B:$B,MATCH(A1001,Empresas!$A:$A,0))&amp;"","cadastre o CNPJ em Empresas"))</f>
        <v/>
      </c>
      <c r="H1001" s="28" t="str">
        <f aca="false">IF(B1001="","",SUBSTITUTE(SUBSTITUTE(SUBSTITUTE(SUBSTITUTE(SUBSTITUTE(SUBSTITUTE(SUBSTITUTE(SUBSTITUTE(SUBSTITUTE(SUBSTITUTE(SUBSTITUTE(SUBSTITUTE(SUBSTITUTE(UPPER(TRIM(B1001)),"Á","A"),"À","A"),"Â","A"),"Ã","A"),"É","E"),"Ê","E"),"Í","I"),"Ó","O"),"Ô","O"),"Õ","O"),"Ú","U"),"Ü","U"),"Ç","C"))</f>
        <v/>
      </c>
      <c r="I1001" s="28" t="str">
        <f aca="false">IF(C1001="","",IF(LEN(SUBSTITUTE(SUBSTITUTE(SUBSTITUTE(SUBSTITUTE(TRIM(C1001),"*",""),".",""),"-","")," ",""))=11,MID(SUBSTITUTE(SUBSTITUTE(SUBSTITUTE(SUBSTITUTE(TRIM(C1001),"*",""),".",""),"-","")," ",""),4,6),SUBSTITUTE(SUBSTITUTE(SUBSTITUTE(SUBSTITUTE(TRIM(C1001),"*",""),".",""),"-","")," ","")))</f>
        <v/>
      </c>
      <c r="J1001" s="28" t="str">
        <f aca="false">IF(OR(H1001="",I1001=""),"",H1001&amp;"|"&amp;I1001)</f>
        <v/>
      </c>
      <c r="K1001" s="19" t="str">
        <f aca="false">IF(H1001="","",IF(AND(J1001&lt;&gt;"",COUNTIF(Pessoas!$J:$J,J1001)&gt;0),"SIM",IF(COUNTIF(Pessoas!$H:$H,H1001)&gt;0,"nome igual em Pessoas: confira o CPF","")))</f>
        <v/>
      </c>
      <c r="L1001" s="27"/>
      <c r="M1001" s="5"/>
    </row>
  </sheetData>
  <autoFilter ref="A1:M1001"/>
  <conditionalFormatting sqref="A2:A1001">
    <cfRule type="expression" priority="2" aboveAverage="0" equalAverage="0" bottom="0" percent="0" rank="0" text="" dxfId="17">
      <formula>AND(A2&lt;&gt;"",LEN(A2)&lt;&gt;14)</formula>
    </cfRule>
  </conditionalFormatting>
  <conditionalFormatting sqref="K2:K1001">
    <cfRule type="expression" priority="3" aboveAverage="0" equalAverage="0" bottom="0" percent="0" rank="0" text="" dxfId="8">
      <formula>K2="SIM"</formula>
    </cfRule>
    <cfRule type="expression" priority="4" aboveAverage="0" equalAverage="0" bottom="0" percent="0" rank="0" text="" dxfId="10">
      <formula>ISNUMBER(SEARCH("confira",K2))</formula>
    </cfRule>
  </conditionalFormatting>
  <dataValidations count="1">
    <dataValidation allowBlank="true" error="Digite o CNPJ como texto, com 14 caracteres, sem pontos, barra ou traço. É a chave de todos os cruzamentos." errorStyle="warning" errorTitle="CNPJ com 14 caracteres" operator="equal" showDropDown="false" showErrorMessage="true" showInputMessage="false" sqref="A2:A1001" type="textLength">
      <formula1>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36"/>
    <col collapsed="false" customWidth="true" hidden="false" outlineLevel="0" max="8" min="8" style="0" width="24"/>
    <col collapsed="false" customWidth="true" hidden="false" outlineLevel="0" max="9" min="9" style="0" width="10"/>
    <col collapsed="false" customWidth="true" hidden="false" outlineLevel="0" max="10" min="10" style="0" width="28"/>
    <col collapsed="false" customWidth="true" hidden="false" outlineLevel="0" max="11" min="11" style="0" width="18"/>
    <col collapsed="false" customWidth="true" hidden="false" outlineLevel="0" max="12" min="12" style="0" width="11"/>
    <col collapsed="false" customWidth="true" hidden="false" outlineLevel="0" max="13" min="13" style="0" width="30"/>
  </cols>
  <sheetData>
    <row r="1" customFormat="false" ht="39.75" hidden="false" customHeight="true" outlineLevel="0" collapsed="false">
      <c r="A1" s="10" t="s">
        <v>402</v>
      </c>
      <c r="B1" s="10" t="s">
        <v>524</v>
      </c>
      <c r="C1" s="10" t="s">
        <v>525</v>
      </c>
      <c r="D1" s="10" t="s">
        <v>382</v>
      </c>
      <c r="E1" s="10" t="s">
        <v>526</v>
      </c>
      <c r="F1" s="10" t="s">
        <v>527</v>
      </c>
      <c r="G1" s="10" t="s">
        <v>528</v>
      </c>
      <c r="H1" s="15" t="s">
        <v>513</v>
      </c>
      <c r="I1" s="15" t="s">
        <v>514</v>
      </c>
      <c r="J1" s="15" t="s">
        <v>515</v>
      </c>
      <c r="K1" s="15" t="s">
        <v>529</v>
      </c>
      <c r="L1" s="10" t="s">
        <v>395</v>
      </c>
      <c r="M1" s="10" t="s">
        <v>138</v>
      </c>
    </row>
    <row r="2" customFormat="false" ht="23.85" hidden="false" customHeight="false" outlineLevel="0" collapsed="false">
      <c r="A2" s="7" t="s">
        <v>173</v>
      </c>
      <c r="B2" s="23" t="s">
        <v>517</v>
      </c>
      <c r="C2" s="7" t="s">
        <v>530</v>
      </c>
      <c r="D2" s="7" t="s">
        <v>431</v>
      </c>
      <c r="E2" s="16" t="n">
        <v>45672</v>
      </c>
      <c r="F2" s="13"/>
      <c r="G2" s="7" t="s">
        <v>531</v>
      </c>
      <c r="H2" s="24" t="str">
        <f aca="false">IF(A2="","",SUBSTITUTE(SUBSTITUTE(SUBSTITUTE(SUBSTITUTE(SUBSTITUTE(SUBSTITUTE(SUBSTITUTE(SUBSTITUTE(SUBSTITUTE(SUBSTITUTE(SUBSTITUTE(SUBSTITUTE(SUBSTITUTE(UPPER(TRIM(A2)),"Á","A"),"À","A"),"Â","A"),"Ã","A"),"É","E"),"Ê","E"),"Í","I"),"Ó","O"),"Ô","O"),"Õ","O"),"Ú","U"),"Ü","U"),"Ç","C"))</f>
        <v>FULANO DE TAL</v>
      </c>
      <c r="I2" s="24" t="str">
        <f aca="false">IF(B2="","",IF(LEN(SUBSTITUTE(SUBSTITUTE(SUBSTITUTE(SUBSTITUTE(TRIM(B2),"*",""),".",""),"-","")," ",""))=11,MID(SUBSTITUTE(SUBSTITUTE(SUBSTITUTE(SUBSTITUTE(TRIM(B2),"*",""),".",""),"-","")," ",""),4,6),SUBSTITUTE(SUBSTITUTE(SUBSTITUTE(SUBSTITUTE(TRIM(B2),"*",""),".",""),"-","")," ","")))</f>
        <v>123456</v>
      </c>
      <c r="J2" s="24" t="str">
        <f aca="false">IF(OR(H2="",I2=""),"",H2&amp;"|"&amp;I2)</f>
        <v>FULANO DE TAL|123456</v>
      </c>
      <c r="K2" s="17" t="n">
        <f aca="false">IF(H2="","",IF(J2&lt;&gt;"",COUNTIF(Socios!$J:$J,J2),IF(COUNTIF(Socios!$H:$H,H2)&gt;0,"nome igual em Socios: confira o CPF","sem CPF: não cruzado")))</f>
        <v>1</v>
      </c>
      <c r="L2" s="23" t="s">
        <v>172</v>
      </c>
      <c r="M2" s="7" t="s">
        <v>167</v>
      </c>
    </row>
    <row r="3" customFormat="false" ht="15" hidden="false" customHeight="false" outlineLevel="0" collapsed="false">
      <c r="A3" s="7" t="s">
        <v>532</v>
      </c>
      <c r="B3" s="23"/>
      <c r="C3" s="7" t="s">
        <v>533</v>
      </c>
      <c r="D3" s="7" t="s">
        <v>431</v>
      </c>
      <c r="E3" s="16" t="n">
        <v>45658</v>
      </c>
      <c r="F3" s="13" t="s">
        <v>534</v>
      </c>
      <c r="G3" s="7" t="s">
        <v>535</v>
      </c>
      <c r="H3" s="24" t="str">
        <f aca="false">IF(A3="","",SUBSTITUTE(SUBSTITUTE(SUBSTITUTE(SUBSTITUTE(SUBSTITUTE(SUBSTITUTE(SUBSTITUTE(SUBSTITUTE(SUBSTITUTE(SUBSTITUTE(SUBSTITUTE(SUBSTITUTE(SUBSTITUTE(UPPER(TRIM(A3)),"Á","A"),"À","A"),"Â","A"),"Ã","A"),"É","E"),"Ê","E"),"Í","I"),"Ó","O"),"Ô","O"),"Õ","O"),"Ú","U"),"Ü","U"),"Ç","C"))</f>
        <v>SICRANO CANDIDATO</v>
      </c>
      <c r="I3" s="24" t="str">
        <f aca="false">IF(B3="","",IF(LEN(SUBSTITUTE(SUBSTITUTE(SUBSTITUTE(SUBSTITUTE(TRIM(B3),"*",""),".",""),"-","")," ",""))=11,MID(SUBSTITUTE(SUBSTITUTE(SUBSTITUTE(SUBSTITUTE(TRIM(B3),"*",""),".",""),"-","")," ",""),4,6),SUBSTITUTE(SUBSTITUTE(SUBSTITUTE(SUBSTITUTE(TRIM(B3),"*",""),".",""),"-","")," ","")))</f>
        <v/>
      </c>
      <c r="J3" s="24" t="str">
        <f aca="false">IF(OR(H3="",I3=""),"",H3&amp;"|"&amp;I3)</f>
        <v/>
      </c>
      <c r="K3" s="17" t="str">
        <f aca="false">IF(H3="","",IF(J3&lt;&gt;"",COUNTIF(Socios!$J:$J,J3),IF(COUNTIF(Socios!$H:$H,H3)&gt;0,"nome igual em Socios: confira o CPF","sem CPF: não cruzado")))</f>
        <v>sem CPF: não cruzado</v>
      </c>
      <c r="L3" s="23" t="s">
        <v>164</v>
      </c>
      <c r="M3" s="7" t="s">
        <v>536</v>
      </c>
    </row>
    <row r="4" customFormat="false" ht="15" hidden="false" customHeight="false" outlineLevel="0" collapsed="false">
      <c r="A4" s="5"/>
      <c r="B4" s="27"/>
      <c r="C4" s="5"/>
      <c r="D4" s="5"/>
      <c r="E4" s="18"/>
      <c r="F4" s="14"/>
      <c r="G4" s="5"/>
      <c r="H4" s="28" t="str">
        <f aca="false">IF(A4="","",SUBSTITUTE(SUBSTITUTE(SUBSTITUTE(SUBSTITUTE(SUBSTITUTE(SUBSTITUTE(SUBSTITUTE(SUBSTITUTE(SUBSTITUTE(SUBSTITUTE(SUBSTITUTE(SUBSTITUTE(SUBSTITUTE(UPPER(TRIM(A4)),"Á","A"),"À","A"),"Â","A"),"Ã","A"),"É","E"),"Ê","E"),"Í","I"),"Ó","O"),"Ô","O"),"Õ","O"),"Ú","U"),"Ü","U"),"Ç","C"))</f>
        <v/>
      </c>
      <c r="I4" s="28" t="str">
        <f aca="false">IF(B4="","",IF(LEN(SUBSTITUTE(SUBSTITUTE(SUBSTITUTE(SUBSTITUTE(TRIM(B4),"*",""),".",""),"-","")," ",""))=11,MID(SUBSTITUTE(SUBSTITUTE(SUBSTITUTE(SUBSTITUTE(TRIM(B4),"*",""),".",""),"-","")," ",""),4,6),SUBSTITUTE(SUBSTITUTE(SUBSTITUTE(SUBSTITUTE(TRIM(B4),"*",""),".",""),"-","")," ","")))</f>
        <v/>
      </c>
      <c r="J4" s="28" t="str">
        <f aca="false">IF(OR(H4="",I4=""),"",H4&amp;"|"&amp;I4)</f>
        <v/>
      </c>
      <c r="K4" s="19" t="str">
        <f aca="false">IF(H4="","",IF(J4&lt;&gt;"",COUNTIF(Socios!$J:$J,J4),IF(COUNTIF(Socios!$H:$H,H4)&gt;0,"nome igual em Socios: confira o CPF","sem CPF: não cruzado")))</f>
        <v/>
      </c>
      <c r="L4" s="27"/>
      <c r="M4" s="5"/>
    </row>
    <row r="5" customFormat="false" ht="15" hidden="false" customHeight="false" outlineLevel="0" collapsed="false">
      <c r="A5" s="5"/>
      <c r="B5" s="27"/>
      <c r="C5" s="5"/>
      <c r="D5" s="5"/>
      <c r="E5" s="18"/>
      <c r="F5" s="14"/>
      <c r="G5" s="5"/>
      <c r="H5" s="28" t="str">
        <f aca="false">IF(A5="","",SUBSTITUTE(SUBSTITUTE(SUBSTITUTE(SUBSTITUTE(SUBSTITUTE(SUBSTITUTE(SUBSTITUTE(SUBSTITUTE(SUBSTITUTE(SUBSTITUTE(SUBSTITUTE(SUBSTITUTE(SUBSTITUTE(UPPER(TRIM(A5)),"Á","A"),"À","A"),"Â","A"),"Ã","A"),"É","E"),"Ê","E"),"Í","I"),"Ó","O"),"Ô","O"),"Õ","O"),"Ú","U"),"Ü","U"),"Ç","C"))</f>
        <v/>
      </c>
      <c r="I5" s="28" t="str">
        <f aca="false">IF(B5="","",IF(LEN(SUBSTITUTE(SUBSTITUTE(SUBSTITUTE(SUBSTITUTE(TRIM(B5),"*",""),".",""),"-","")," ",""))=11,MID(SUBSTITUTE(SUBSTITUTE(SUBSTITUTE(SUBSTITUTE(TRIM(B5),"*",""),".",""),"-","")," ",""),4,6),SUBSTITUTE(SUBSTITUTE(SUBSTITUTE(SUBSTITUTE(TRIM(B5),"*",""),".",""),"-","")," ","")))</f>
        <v/>
      </c>
      <c r="J5" s="28" t="str">
        <f aca="false">IF(OR(H5="",I5=""),"",H5&amp;"|"&amp;I5)</f>
        <v/>
      </c>
      <c r="K5" s="19" t="str">
        <f aca="false">IF(H5="","",IF(J5&lt;&gt;"",COUNTIF(Socios!$J:$J,J5),IF(COUNTIF(Socios!$H:$H,H5)&gt;0,"nome igual em Socios: confira o CPF","sem CPF: não cruzado")))</f>
        <v/>
      </c>
      <c r="L5" s="27"/>
      <c r="M5" s="5"/>
    </row>
    <row r="6" customFormat="false" ht="15" hidden="false" customHeight="false" outlineLevel="0" collapsed="false">
      <c r="A6" s="5"/>
      <c r="B6" s="27"/>
      <c r="C6" s="5"/>
      <c r="D6" s="5"/>
      <c r="E6" s="18"/>
      <c r="F6" s="14"/>
      <c r="G6" s="5"/>
      <c r="H6" s="28" t="str">
        <f aca="false">IF(A6="","",SUBSTITUTE(SUBSTITUTE(SUBSTITUTE(SUBSTITUTE(SUBSTITUTE(SUBSTITUTE(SUBSTITUTE(SUBSTITUTE(SUBSTITUTE(SUBSTITUTE(SUBSTITUTE(SUBSTITUTE(SUBSTITUTE(UPPER(TRIM(A6)),"Á","A"),"À","A"),"Â","A"),"Ã","A"),"É","E"),"Ê","E"),"Í","I"),"Ó","O"),"Ô","O"),"Õ","O"),"Ú","U"),"Ü","U"),"Ç","C"))</f>
        <v/>
      </c>
      <c r="I6" s="28" t="str">
        <f aca="false">IF(B6="","",IF(LEN(SUBSTITUTE(SUBSTITUTE(SUBSTITUTE(SUBSTITUTE(TRIM(B6),"*",""),".",""),"-","")," ",""))=11,MID(SUBSTITUTE(SUBSTITUTE(SUBSTITUTE(SUBSTITUTE(TRIM(B6),"*",""),".",""),"-","")," ",""),4,6),SUBSTITUTE(SUBSTITUTE(SUBSTITUTE(SUBSTITUTE(TRIM(B6),"*",""),".",""),"-","")," ","")))</f>
        <v/>
      </c>
      <c r="J6" s="28" t="str">
        <f aca="false">IF(OR(H6="",I6=""),"",H6&amp;"|"&amp;I6)</f>
        <v/>
      </c>
      <c r="K6" s="19" t="str">
        <f aca="false">IF(H6="","",IF(J6&lt;&gt;"",COUNTIF(Socios!$J:$J,J6),IF(COUNTIF(Socios!$H:$H,H6)&gt;0,"nome igual em Socios: confira o CPF","sem CPF: não cruzado")))</f>
        <v/>
      </c>
      <c r="L6" s="27"/>
      <c r="M6" s="5"/>
    </row>
    <row r="7" customFormat="false" ht="15" hidden="false" customHeight="false" outlineLevel="0" collapsed="false">
      <c r="A7" s="5"/>
      <c r="B7" s="27"/>
      <c r="C7" s="5"/>
      <c r="D7" s="5"/>
      <c r="E7" s="18"/>
      <c r="F7" s="14"/>
      <c r="G7" s="5"/>
      <c r="H7" s="28" t="str">
        <f aca="false">IF(A7="","",SUBSTITUTE(SUBSTITUTE(SUBSTITUTE(SUBSTITUTE(SUBSTITUTE(SUBSTITUTE(SUBSTITUTE(SUBSTITUTE(SUBSTITUTE(SUBSTITUTE(SUBSTITUTE(SUBSTITUTE(SUBSTITUTE(UPPER(TRIM(A7)),"Á","A"),"À","A"),"Â","A"),"Ã","A"),"É","E"),"Ê","E"),"Í","I"),"Ó","O"),"Ô","O"),"Õ","O"),"Ú","U"),"Ü","U"),"Ç","C"))</f>
        <v/>
      </c>
      <c r="I7" s="28" t="str">
        <f aca="false">IF(B7="","",IF(LEN(SUBSTITUTE(SUBSTITUTE(SUBSTITUTE(SUBSTITUTE(TRIM(B7),"*",""),".",""),"-","")," ",""))=11,MID(SUBSTITUTE(SUBSTITUTE(SUBSTITUTE(SUBSTITUTE(TRIM(B7),"*",""),".",""),"-","")," ",""),4,6),SUBSTITUTE(SUBSTITUTE(SUBSTITUTE(SUBSTITUTE(TRIM(B7),"*",""),".",""),"-","")," ","")))</f>
        <v/>
      </c>
      <c r="J7" s="28" t="str">
        <f aca="false">IF(OR(H7="",I7=""),"",H7&amp;"|"&amp;I7)</f>
        <v/>
      </c>
      <c r="K7" s="19" t="str">
        <f aca="false">IF(H7="","",IF(J7&lt;&gt;"",COUNTIF(Socios!$J:$J,J7),IF(COUNTIF(Socios!$H:$H,H7)&gt;0,"nome igual em Socios: confira o CPF","sem CPF: não cruzado")))</f>
        <v/>
      </c>
      <c r="L7" s="27"/>
      <c r="M7" s="5"/>
    </row>
    <row r="8" customFormat="false" ht="15" hidden="false" customHeight="false" outlineLevel="0" collapsed="false">
      <c r="A8" s="5"/>
      <c r="B8" s="27"/>
      <c r="C8" s="5"/>
      <c r="D8" s="5"/>
      <c r="E8" s="18"/>
      <c r="F8" s="14"/>
      <c r="G8" s="5"/>
      <c r="H8" s="28" t="str">
        <f aca="false">IF(A8="","",SUBSTITUTE(SUBSTITUTE(SUBSTITUTE(SUBSTITUTE(SUBSTITUTE(SUBSTITUTE(SUBSTITUTE(SUBSTITUTE(SUBSTITUTE(SUBSTITUTE(SUBSTITUTE(SUBSTITUTE(SUBSTITUTE(UPPER(TRIM(A8)),"Á","A"),"À","A"),"Â","A"),"Ã","A"),"É","E"),"Ê","E"),"Í","I"),"Ó","O"),"Ô","O"),"Õ","O"),"Ú","U"),"Ü","U"),"Ç","C"))</f>
        <v/>
      </c>
      <c r="I8" s="28" t="str">
        <f aca="false">IF(B8="","",IF(LEN(SUBSTITUTE(SUBSTITUTE(SUBSTITUTE(SUBSTITUTE(TRIM(B8),"*",""),".",""),"-","")," ",""))=11,MID(SUBSTITUTE(SUBSTITUTE(SUBSTITUTE(SUBSTITUTE(TRIM(B8),"*",""),".",""),"-","")," ",""),4,6),SUBSTITUTE(SUBSTITUTE(SUBSTITUTE(SUBSTITUTE(TRIM(B8),"*",""),".",""),"-","")," ","")))</f>
        <v/>
      </c>
      <c r="J8" s="28" t="str">
        <f aca="false">IF(OR(H8="",I8=""),"",H8&amp;"|"&amp;I8)</f>
        <v/>
      </c>
      <c r="K8" s="19" t="str">
        <f aca="false">IF(H8="","",IF(J8&lt;&gt;"",COUNTIF(Socios!$J:$J,J8),IF(COUNTIF(Socios!$H:$H,H8)&gt;0,"nome igual em Socios: confira o CPF","sem CPF: não cruzado")))</f>
        <v/>
      </c>
      <c r="L8" s="27"/>
      <c r="M8" s="5"/>
    </row>
    <row r="9" customFormat="false" ht="15" hidden="false" customHeight="false" outlineLevel="0" collapsed="false">
      <c r="A9" s="5"/>
      <c r="B9" s="27"/>
      <c r="C9" s="5"/>
      <c r="D9" s="5"/>
      <c r="E9" s="18"/>
      <c r="F9" s="14"/>
      <c r="G9" s="5"/>
      <c r="H9" s="28" t="str">
        <f aca="false">IF(A9="","",SUBSTITUTE(SUBSTITUTE(SUBSTITUTE(SUBSTITUTE(SUBSTITUTE(SUBSTITUTE(SUBSTITUTE(SUBSTITUTE(SUBSTITUTE(SUBSTITUTE(SUBSTITUTE(SUBSTITUTE(SUBSTITUTE(UPPER(TRIM(A9)),"Á","A"),"À","A"),"Â","A"),"Ã","A"),"É","E"),"Ê","E"),"Í","I"),"Ó","O"),"Ô","O"),"Õ","O"),"Ú","U"),"Ü","U"),"Ç","C"))</f>
        <v/>
      </c>
      <c r="I9" s="28" t="str">
        <f aca="false">IF(B9="","",IF(LEN(SUBSTITUTE(SUBSTITUTE(SUBSTITUTE(SUBSTITUTE(TRIM(B9),"*",""),".",""),"-","")," ",""))=11,MID(SUBSTITUTE(SUBSTITUTE(SUBSTITUTE(SUBSTITUTE(TRIM(B9),"*",""),".",""),"-","")," ",""),4,6),SUBSTITUTE(SUBSTITUTE(SUBSTITUTE(SUBSTITUTE(TRIM(B9),"*",""),".",""),"-","")," ","")))</f>
        <v/>
      </c>
      <c r="J9" s="28" t="str">
        <f aca="false">IF(OR(H9="",I9=""),"",H9&amp;"|"&amp;I9)</f>
        <v/>
      </c>
      <c r="K9" s="19" t="str">
        <f aca="false">IF(H9="","",IF(J9&lt;&gt;"",COUNTIF(Socios!$J:$J,J9),IF(COUNTIF(Socios!$H:$H,H9)&gt;0,"nome igual em Socios: confira o CPF","sem CPF: não cruzado")))</f>
        <v/>
      </c>
      <c r="L9" s="27"/>
      <c r="M9" s="5"/>
    </row>
    <row r="10" customFormat="false" ht="15" hidden="false" customHeight="false" outlineLevel="0" collapsed="false">
      <c r="A10" s="5"/>
      <c r="B10" s="27"/>
      <c r="C10" s="5"/>
      <c r="D10" s="5"/>
      <c r="E10" s="18"/>
      <c r="F10" s="14"/>
      <c r="G10" s="5"/>
      <c r="H10" s="28" t="str">
        <f aca="false">IF(A10="","",SUBSTITUTE(SUBSTITUTE(SUBSTITUTE(SUBSTITUTE(SUBSTITUTE(SUBSTITUTE(SUBSTITUTE(SUBSTITUTE(SUBSTITUTE(SUBSTITUTE(SUBSTITUTE(SUBSTITUTE(SUBSTITUTE(UPPER(TRIM(A10)),"Á","A"),"À","A"),"Â","A"),"Ã","A"),"É","E"),"Ê","E"),"Í","I"),"Ó","O"),"Ô","O"),"Õ","O"),"Ú","U"),"Ü","U"),"Ç","C"))</f>
        <v/>
      </c>
      <c r="I10" s="28" t="str">
        <f aca="false">IF(B10="","",IF(LEN(SUBSTITUTE(SUBSTITUTE(SUBSTITUTE(SUBSTITUTE(TRIM(B10),"*",""),".",""),"-","")," ",""))=11,MID(SUBSTITUTE(SUBSTITUTE(SUBSTITUTE(SUBSTITUTE(TRIM(B10),"*",""),".",""),"-","")," ",""),4,6),SUBSTITUTE(SUBSTITUTE(SUBSTITUTE(SUBSTITUTE(TRIM(B10),"*",""),".",""),"-","")," ","")))</f>
        <v/>
      </c>
      <c r="J10" s="28" t="str">
        <f aca="false">IF(OR(H10="",I10=""),"",H10&amp;"|"&amp;I10)</f>
        <v/>
      </c>
      <c r="K10" s="19" t="str">
        <f aca="false">IF(H10="","",IF(J10&lt;&gt;"",COUNTIF(Socios!$J:$J,J10),IF(COUNTIF(Socios!$H:$H,H10)&gt;0,"nome igual em Socios: confira o CPF","sem CPF: não cruzado")))</f>
        <v/>
      </c>
      <c r="L10" s="27"/>
      <c r="M10" s="5"/>
    </row>
    <row r="11" customFormat="false" ht="15" hidden="false" customHeight="false" outlineLevel="0" collapsed="false">
      <c r="A11" s="5"/>
      <c r="B11" s="27"/>
      <c r="C11" s="5"/>
      <c r="D11" s="5"/>
      <c r="E11" s="18"/>
      <c r="F11" s="14"/>
      <c r="G11" s="5"/>
      <c r="H11" s="28" t="str">
        <f aca="false">IF(A11="","",SUBSTITUTE(SUBSTITUTE(SUBSTITUTE(SUBSTITUTE(SUBSTITUTE(SUBSTITUTE(SUBSTITUTE(SUBSTITUTE(SUBSTITUTE(SUBSTITUTE(SUBSTITUTE(SUBSTITUTE(SUBSTITUTE(UPPER(TRIM(A11)),"Á","A"),"À","A"),"Â","A"),"Ã","A"),"É","E"),"Ê","E"),"Í","I"),"Ó","O"),"Ô","O"),"Õ","O"),"Ú","U"),"Ü","U"),"Ç","C"))</f>
        <v/>
      </c>
      <c r="I11" s="28" t="str">
        <f aca="false">IF(B11="","",IF(LEN(SUBSTITUTE(SUBSTITUTE(SUBSTITUTE(SUBSTITUTE(TRIM(B11),"*",""),".",""),"-","")," ",""))=11,MID(SUBSTITUTE(SUBSTITUTE(SUBSTITUTE(SUBSTITUTE(TRIM(B11),"*",""),".",""),"-","")," ",""),4,6),SUBSTITUTE(SUBSTITUTE(SUBSTITUTE(SUBSTITUTE(TRIM(B11),"*",""),".",""),"-","")," ","")))</f>
        <v/>
      </c>
      <c r="J11" s="28" t="str">
        <f aca="false">IF(OR(H11="",I11=""),"",H11&amp;"|"&amp;I11)</f>
        <v/>
      </c>
      <c r="K11" s="19" t="str">
        <f aca="false">IF(H11="","",IF(J11&lt;&gt;"",COUNTIF(Socios!$J:$J,J11),IF(COUNTIF(Socios!$H:$H,H11)&gt;0,"nome igual em Socios: confira o CPF","sem CPF: não cruzado")))</f>
        <v/>
      </c>
      <c r="L11" s="27"/>
      <c r="M11" s="5"/>
    </row>
    <row r="12" customFormat="false" ht="15" hidden="false" customHeight="false" outlineLevel="0" collapsed="false">
      <c r="A12" s="5"/>
      <c r="B12" s="27"/>
      <c r="C12" s="5"/>
      <c r="D12" s="5"/>
      <c r="E12" s="18"/>
      <c r="F12" s="14"/>
      <c r="G12" s="5"/>
      <c r="H12" s="28" t="str">
        <f aca="false">IF(A12="","",SUBSTITUTE(SUBSTITUTE(SUBSTITUTE(SUBSTITUTE(SUBSTITUTE(SUBSTITUTE(SUBSTITUTE(SUBSTITUTE(SUBSTITUTE(SUBSTITUTE(SUBSTITUTE(SUBSTITUTE(SUBSTITUTE(UPPER(TRIM(A12)),"Á","A"),"À","A"),"Â","A"),"Ã","A"),"É","E"),"Ê","E"),"Í","I"),"Ó","O"),"Ô","O"),"Õ","O"),"Ú","U"),"Ü","U"),"Ç","C"))</f>
        <v/>
      </c>
      <c r="I12" s="28" t="str">
        <f aca="false">IF(B12="","",IF(LEN(SUBSTITUTE(SUBSTITUTE(SUBSTITUTE(SUBSTITUTE(TRIM(B12),"*",""),".",""),"-","")," ",""))=11,MID(SUBSTITUTE(SUBSTITUTE(SUBSTITUTE(SUBSTITUTE(TRIM(B12),"*",""),".",""),"-","")," ",""),4,6),SUBSTITUTE(SUBSTITUTE(SUBSTITUTE(SUBSTITUTE(TRIM(B12),"*",""),".",""),"-","")," ","")))</f>
        <v/>
      </c>
      <c r="J12" s="28" t="str">
        <f aca="false">IF(OR(H12="",I12=""),"",H12&amp;"|"&amp;I12)</f>
        <v/>
      </c>
      <c r="K12" s="19" t="str">
        <f aca="false">IF(H12="","",IF(J12&lt;&gt;"",COUNTIF(Socios!$J:$J,J12),IF(COUNTIF(Socios!$H:$H,H12)&gt;0,"nome igual em Socios: confira o CPF","sem CPF: não cruzado")))</f>
        <v/>
      </c>
      <c r="L12" s="27"/>
      <c r="M12" s="5"/>
    </row>
    <row r="13" customFormat="false" ht="15" hidden="false" customHeight="false" outlineLevel="0" collapsed="false">
      <c r="A13" s="5"/>
      <c r="B13" s="27"/>
      <c r="C13" s="5"/>
      <c r="D13" s="5"/>
      <c r="E13" s="18"/>
      <c r="F13" s="14"/>
      <c r="G13" s="5"/>
      <c r="H13" s="28" t="str">
        <f aca="false">IF(A13="","",SUBSTITUTE(SUBSTITUTE(SUBSTITUTE(SUBSTITUTE(SUBSTITUTE(SUBSTITUTE(SUBSTITUTE(SUBSTITUTE(SUBSTITUTE(SUBSTITUTE(SUBSTITUTE(SUBSTITUTE(SUBSTITUTE(UPPER(TRIM(A13)),"Á","A"),"À","A"),"Â","A"),"Ã","A"),"É","E"),"Ê","E"),"Í","I"),"Ó","O"),"Ô","O"),"Õ","O"),"Ú","U"),"Ü","U"),"Ç","C"))</f>
        <v/>
      </c>
      <c r="I13" s="28" t="str">
        <f aca="false">IF(B13="","",IF(LEN(SUBSTITUTE(SUBSTITUTE(SUBSTITUTE(SUBSTITUTE(TRIM(B13),"*",""),".",""),"-","")," ",""))=11,MID(SUBSTITUTE(SUBSTITUTE(SUBSTITUTE(SUBSTITUTE(TRIM(B13),"*",""),".",""),"-","")," ",""),4,6),SUBSTITUTE(SUBSTITUTE(SUBSTITUTE(SUBSTITUTE(TRIM(B13),"*",""),".",""),"-","")," ","")))</f>
        <v/>
      </c>
      <c r="J13" s="28" t="str">
        <f aca="false">IF(OR(H13="",I13=""),"",H13&amp;"|"&amp;I13)</f>
        <v/>
      </c>
      <c r="K13" s="19" t="str">
        <f aca="false">IF(H13="","",IF(J13&lt;&gt;"",COUNTIF(Socios!$J:$J,J13),IF(COUNTIF(Socios!$H:$H,H13)&gt;0,"nome igual em Socios: confira o CPF","sem CPF: não cruzado")))</f>
        <v/>
      </c>
      <c r="L13" s="27"/>
      <c r="M13" s="5"/>
    </row>
    <row r="14" customFormat="false" ht="15" hidden="false" customHeight="false" outlineLevel="0" collapsed="false">
      <c r="A14" s="5"/>
      <c r="B14" s="27"/>
      <c r="C14" s="5"/>
      <c r="D14" s="5"/>
      <c r="E14" s="18"/>
      <c r="F14" s="14"/>
      <c r="G14" s="5"/>
      <c r="H14" s="28" t="str">
        <f aca="false">IF(A14="","",SUBSTITUTE(SUBSTITUTE(SUBSTITUTE(SUBSTITUTE(SUBSTITUTE(SUBSTITUTE(SUBSTITUTE(SUBSTITUTE(SUBSTITUTE(SUBSTITUTE(SUBSTITUTE(SUBSTITUTE(SUBSTITUTE(UPPER(TRIM(A14)),"Á","A"),"À","A"),"Â","A"),"Ã","A"),"É","E"),"Ê","E"),"Í","I"),"Ó","O"),"Ô","O"),"Õ","O"),"Ú","U"),"Ü","U"),"Ç","C"))</f>
        <v/>
      </c>
      <c r="I14" s="28" t="str">
        <f aca="false">IF(B14="","",IF(LEN(SUBSTITUTE(SUBSTITUTE(SUBSTITUTE(SUBSTITUTE(TRIM(B14),"*",""),".",""),"-","")," ",""))=11,MID(SUBSTITUTE(SUBSTITUTE(SUBSTITUTE(SUBSTITUTE(TRIM(B14),"*",""),".",""),"-","")," ",""),4,6),SUBSTITUTE(SUBSTITUTE(SUBSTITUTE(SUBSTITUTE(TRIM(B14),"*",""),".",""),"-","")," ","")))</f>
        <v/>
      </c>
      <c r="J14" s="28" t="str">
        <f aca="false">IF(OR(H14="",I14=""),"",H14&amp;"|"&amp;I14)</f>
        <v/>
      </c>
      <c r="K14" s="19" t="str">
        <f aca="false">IF(H14="","",IF(J14&lt;&gt;"",COUNTIF(Socios!$J:$J,J14),IF(COUNTIF(Socios!$H:$H,H14)&gt;0,"nome igual em Socios: confira o CPF","sem CPF: não cruzado")))</f>
        <v/>
      </c>
      <c r="L14" s="27"/>
      <c r="M14" s="5"/>
    </row>
    <row r="15" customFormat="false" ht="15" hidden="false" customHeight="false" outlineLevel="0" collapsed="false">
      <c r="A15" s="5"/>
      <c r="B15" s="27"/>
      <c r="C15" s="5"/>
      <c r="D15" s="5"/>
      <c r="E15" s="18"/>
      <c r="F15" s="14"/>
      <c r="G15" s="5"/>
      <c r="H15" s="28" t="str">
        <f aca="false">IF(A15="","",SUBSTITUTE(SUBSTITUTE(SUBSTITUTE(SUBSTITUTE(SUBSTITUTE(SUBSTITUTE(SUBSTITUTE(SUBSTITUTE(SUBSTITUTE(SUBSTITUTE(SUBSTITUTE(SUBSTITUTE(SUBSTITUTE(UPPER(TRIM(A15)),"Á","A"),"À","A"),"Â","A"),"Ã","A"),"É","E"),"Ê","E"),"Í","I"),"Ó","O"),"Ô","O"),"Õ","O"),"Ú","U"),"Ü","U"),"Ç","C"))</f>
        <v/>
      </c>
      <c r="I15" s="28" t="str">
        <f aca="false">IF(B15="","",IF(LEN(SUBSTITUTE(SUBSTITUTE(SUBSTITUTE(SUBSTITUTE(TRIM(B15),"*",""),".",""),"-","")," ",""))=11,MID(SUBSTITUTE(SUBSTITUTE(SUBSTITUTE(SUBSTITUTE(TRIM(B15),"*",""),".",""),"-","")," ",""),4,6),SUBSTITUTE(SUBSTITUTE(SUBSTITUTE(SUBSTITUTE(TRIM(B15),"*",""),".",""),"-","")," ","")))</f>
        <v/>
      </c>
      <c r="J15" s="28" t="str">
        <f aca="false">IF(OR(H15="",I15=""),"",H15&amp;"|"&amp;I15)</f>
        <v/>
      </c>
      <c r="K15" s="19" t="str">
        <f aca="false">IF(H15="","",IF(J15&lt;&gt;"",COUNTIF(Socios!$J:$J,J15),IF(COUNTIF(Socios!$H:$H,H15)&gt;0,"nome igual em Socios: confira o CPF","sem CPF: não cruzado")))</f>
        <v/>
      </c>
      <c r="L15" s="27"/>
      <c r="M15" s="5"/>
    </row>
    <row r="16" customFormat="false" ht="15" hidden="false" customHeight="false" outlineLevel="0" collapsed="false">
      <c r="A16" s="5"/>
      <c r="B16" s="27"/>
      <c r="C16" s="5"/>
      <c r="D16" s="5"/>
      <c r="E16" s="18"/>
      <c r="F16" s="14"/>
      <c r="G16" s="5"/>
      <c r="H16" s="28" t="str">
        <f aca="false">IF(A16="","",SUBSTITUTE(SUBSTITUTE(SUBSTITUTE(SUBSTITUTE(SUBSTITUTE(SUBSTITUTE(SUBSTITUTE(SUBSTITUTE(SUBSTITUTE(SUBSTITUTE(SUBSTITUTE(SUBSTITUTE(SUBSTITUTE(UPPER(TRIM(A16)),"Á","A"),"À","A"),"Â","A"),"Ã","A"),"É","E"),"Ê","E"),"Í","I"),"Ó","O"),"Ô","O"),"Õ","O"),"Ú","U"),"Ü","U"),"Ç","C"))</f>
        <v/>
      </c>
      <c r="I16" s="28" t="str">
        <f aca="false">IF(B16="","",IF(LEN(SUBSTITUTE(SUBSTITUTE(SUBSTITUTE(SUBSTITUTE(TRIM(B16),"*",""),".",""),"-","")," ",""))=11,MID(SUBSTITUTE(SUBSTITUTE(SUBSTITUTE(SUBSTITUTE(TRIM(B16),"*",""),".",""),"-","")," ",""),4,6),SUBSTITUTE(SUBSTITUTE(SUBSTITUTE(SUBSTITUTE(TRIM(B16),"*",""),".",""),"-","")," ","")))</f>
        <v/>
      </c>
      <c r="J16" s="28" t="str">
        <f aca="false">IF(OR(H16="",I16=""),"",H16&amp;"|"&amp;I16)</f>
        <v/>
      </c>
      <c r="K16" s="19" t="str">
        <f aca="false">IF(H16="","",IF(J16&lt;&gt;"",COUNTIF(Socios!$J:$J,J16),IF(COUNTIF(Socios!$H:$H,H16)&gt;0,"nome igual em Socios: confira o CPF","sem CPF: não cruzado")))</f>
        <v/>
      </c>
      <c r="L16" s="27"/>
      <c r="M16" s="5"/>
    </row>
    <row r="17" customFormat="false" ht="15" hidden="false" customHeight="false" outlineLevel="0" collapsed="false">
      <c r="A17" s="5"/>
      <c r="B17" s="27"/>
      <c r="C17" s="5"/>
      <c r="D17" s="5"/>
      <c r="E17" s="18"/>
      <c r="F17" s="14"/>
      <c r="G17" s="5"/>
      <c r="H17" s="28" t="str">
        <f aca="false">IF(A17="","",SUBSTITUTE(SUBSTITUTE(SUBSTITUTE(SUBSTITUTE(SUBSTITUTE(SUBSTITUTE(SUBSTITUTE(SUBSTITUTE(SUBSTITUTE(SUBSTITUTE(SUBSTITUTE(SUBSTITUTE(SUBSTITUTE(UPPER(TRIM(A17)),"Á","A"),"À","A"),"Â","A"),"Ã","A"),"É","E"),"Ê","E"),"Í","I"),"Ó","O"),"Ô","O"),"Õ","O"),"Ú","U"),"Ü","U"),"Ç","C"))</f>
        <v/>
      </c>
      <c r="I17" s="28" t="str">
        <f aca="false">IF(B17="","",IF(LEN(SUBSTITUTE(SUBSTITUTE(SUBSTITUTE(SUBSTITUTE(TRIM(B17),"*",""),".",""),"-","")," ",""))=11,MID(SUBSTITUTE(SUBSTITUTE(SUBSTITUTE(SUBSTITUTE(TRIM(B17),"*",""),".",""),"-","")," ",""),4,6),SUBSTITUTE(SUBSTITUTE(SUBSTITUTE(SUBSTITUTE(TRIM(B17),"*",""),".",""),"-","")," ","")))</f>
        <v/>
      </c>
      <c r="J17" s="28" t="str">
        <f aca="false">IF(OR(H17="",I17=""),"",H17&amp;"|"&amp;I17)</f>
        <v/>
      </c>
      <c r="K17" s="19" t="str">
        <f aca="false">IF(H17="","",IF(J17&lt;&gt;"",COUNTIF(Socios!$J:$J,J17),IF(COUNTIF(Socios!$H:$H,H17)&gt;0,"nome igual em Socios: confira o CPF","sem CPF: não cruzado")))</f>
        <v/>
      </c>
      <c r="L17" s="27"/>
      <c r="M17" s="5"/>
    </row>
    <row r="18" customFormat="false" ht="15" hidden="false" customHeight="false" outlineLevel="0" collapsed="false">
      <c r="A18" s="5"/>
      <c r="B18" s="27"/>
      <c r="C18" s="5"/>
      <c r="D18" s="5"/>
      <c r="E18" s="18"/>
      <c r="F18" s="14"/>
      <c r="G18" s="5"/>
      <c r="H18" s="28" t="str">
        <f aca="false">IF(A18="","",SUBSTITUTE(SUBSTITUTE(SUBSTITUTE(SUBSTITUTE(SUBSTITUTE(SUBSTITUTE(SUBSTITUTE(SUBSTITUTE(SUBSTITUTE(SUBSTITUTE(SUBSTITUTE(SUBSTITUTE(SUBSTITUTE(UPPER(TRIM(A18)),"Á","A"),"À","A"),"Â","A"),"Ã","A"),"É","E"),"Ê","E"),"Í","I"),"Ó","O"),"Ô","O"),"Õ","O"),"Ú","U"),"Ü","U"),"Ç","C"))</f>
        <v/>
      </c>
      <c r="I18" s="28" t="str">
        <f aca="false">IF(B18="","",IF(LEN(SUBSTITUTE(SUBSTITUTE(SUBSTITUTE(SUBSTITUTE(TRIM(B18),"*",""),".",""),"-","")," ",""))=11,MID(SUBSTITUTE(SUBSTITUTE(SUBSTITUTE(SUBSTITUTE(TRIM(B18),"*",""),".",""),"-","")," ",""),4,6),SUBSTITUTE(SUBSTITUTE(SUBSTITUTE(SUBSTITUTE(TRIM(B18),"*",""),".",""),"-","")," ","")))</f>
        <v/>
      </c>
      <c r="J18" s="28" t="str">
        <f aca="false">IF(OR(H18="",I18=""),"",H18&amp;"|"&amp;I18)</f>
        <v/>
      </c>
      <c r="K18" s="19" t="str">
        <f aca="false">IF(H18="","",IF(J18&lt;&gt;"",COUNTIF(Socios!$J:$J,J18),IF(COUNTIF(Socios!$H:$H,H18)&gt;0,"nome igual em Socios: confira o CPF","sem CPF: não cruzado")))</f>
        <v/>
      </c>
      <c r="L18" s="27"/>
      <c r="M18" s="5"/>
    </row>
    <row r="19" customFormat="false" ht="15" hidden="false" customHeight="false" outlineLevel="0" collapsed="false">
      <c r="A19" s="5"/>
      <c r="B19" s="27"/>
      <c r="C19" s="5"/>
      <c r="D19" s="5"/>
      <c r="E19" s="18"/>
      <c r="F19" s="14"/>
      <c r="G19" s="5"/>
      <c r="H19" s="28" t="str">
        <f aca="false">IF(A19="","",SUBSTITUTE(SUBSTITUTE(SUBSTITUTE(SUBSTITUTE(SUBSTITUTE(SUBSTITUTE(SUBSTITUTE(SUBSTITUTE(SUBSTITUTE(SUBSTITUTE(SUBSTITUTE(SUBSTITUTE(SUBSTITUTE(UPPER(TRIM(A19)),"Á","A"),"À","A"),"Â","A"),"Ã","A"),"É","E"),"Ê","E"),"Í","I"),"Ó","O"),"Ô","O"),"Õ","O"),"Ú","U"),"Ü","U"),"Ç","C"))</f>
        <v/>
      </c>
      <c r="I19" s="28" t="str">
        <f aca="false">IF(B19="","",IF(LEN(SUBSTITUTE(SUBSTITUTE(SUBSTITUTE(SUBSTITUTE(TRIM(B19),"*",""),".",""),"-","")," ",""))=11,MID(SUBSTITUTE(SUBSTITUTE(SUBSTITUTE(SUBSTITUTE(TRIM(B19),"*",""),".",""),"-","")," ",""),4,6),SUBSTITUTE(SUBSTITUTE(SUBSTITUTE(SUBSTITUTE(TRIM(B19),"*",""),".",""),"-","")," ","")))</f>
        <v/>
      </c>
      <c r="J19" s="28" t="str">
        <f aca="false">IF(OR(H19="",I19=""),"",H19&amp;"|"&amp;I19)</f>
        <v/>
      </c>
      <c r="K19" s="19" t="str">
        <f aca="false">IF(H19="","",IF(J19&lt;&gt;"",COUNTIF(Socios!$J:$J,J19),IF(COUNTIF(Socios!$H:$H,H19)&gt;0,"nome igual em Socios: confira o CPF","sem CPF: não cruzado")))</f>
        <v/>
      </c>
      <c r="L19" s="27"/>
      <c r="M19" s="5"/>
    </row>
    <row r="20" customFormat="false" ht="15" hidden="false" customHeight="false" outlineLevel="0" collapsed="false">
      <c r="A20" s="5"/>
      <c r="B20" s="27"/>
      <c r="C20" s="5"/>
      <c r="D20" s="5"/>
      <c r="E20" s="18"/>
      <c r="F20" s="14"/>
      <c r="G20" s="5"/>
      <c r="H20" s="28" t="str">
        <f aca="false">IF(A20="","",SUBSTITUTE(SUBSTITUTE(SUBSTITUTE(SUBSTITUTE(SUBSTITUTE(SUBSTITUTE(SUBSTITUTE(SUBSTITUTE(SUBSTITUTE(SUBSTITUTE(SUBSTITUTE(SUBSTITUTE(SUBSTITUTE(UPPER(TRIM(A20)),"Á","A"),"À","A"),"Â","A"),"Ã","A"),"É","E"),"Ê","E"),"Í","I"),"Ó","O"),"Ô","O"),"Õ","O"),"Ú","U"),"Ü","U"),"Ç","C"))</f>
        <v/>
      </c>
      <c r="I20" s="28" t="str">
        <f aca="false">IF(B20="","",IF(LEN(SUBSTITUTE(SUBSTITUTE(SUBSTITUTE(SUBSTITUTE(TRIM(B20),"*",""),".",""),"-","")," ",""))=11,MID(SUBSTITUTE(SUBSTITUTE(SUBSTITUTE(SUBSTITUTE(TRIM(B20),"*",""),".",""),"-","")," ",""),4,6),SUBSTITUTE(SUBSTITUTE(SUBSTITUTE(SUBSTITUTE(TRIM(B20),"*",""),".",""),"-","")," ","")))</f>
        <v/>
      </c>
      <c r="J20" s="28" t="str">
        <f aca="false">IF(OR(H20="",I20=""),"",H20&amp;"|"&amp;I20)</f>
        <v/>
      </c>
      <c r="K20" s="19" t="str">
        <f aca="false">IF(H20="","",IF(J20&lt;&gt;"",COUNTIF(Socios!$J:$J,J20),IF(COUNTIF(Socios!$H:$H,H20)&gt;0,"nome igual em Socios: confira o CPF","sem CPF: não cruzado")))</f>
        <v/>
      </c>
      <c r="L20" s="27"/>
      <c r="M20" s="5"/>
    </row>
    <row r="21" customFormat="false" ht="15" hidden="false" customHeight="false" outlineLevel="0" collapsed="false">
      <c r="A21" s="5"/>
      <c r="B21" s="27"/>
      <c r="C21" s="5"/>
      <c r="D21" s="5"/>
      <c r="E21" s="18"/>
      <c r="F21" s="14"/>
      <c r="G21" s="5"/>
      <c r="H21" s="28" t="str">
        <f aca="false">IF(A21="","",SUBSTITUTE(SUBSTITUTE(SUBSTITUTE(SUBSTITUTE(SUBSTITUTE(SUBSTITUTE(SUBSTITUTE(SUBSTITUTE(SUBSTITUTE(SUBSTITUTE(SUBSTITUTE(SUBSTITUTE(SUBSTITUTE(UPPER(TRIM(A21)),"Á","A"),"À","A"),"Â","A"),"Ã","A"),"É","E"),"Ê","E"),"Í","I"),"Ó","O"),"Ô","O"),"Õ","O"),"Ú","U"),"Ü","U"),"Ç","C"))</f>
        <v/>
      </c>
      <c r="I21" s="28" t="str">
        <f aca="false">IF(B21="","",IF(LEN(SUBSTITUTE(SUBSTITUTE(SUBSTITUTE(SUBSTITUTE(TRIM(B21),"*",""),".",""),"-","")," ",""))=11,MID(SUBSTITUTE(SUBSTITUTE(SUBSTITUTE(SUBSTITUTE(TRIM(B21),"*",""),".",""),"-","")," ",""),4,6),SUBSTITUTE(SUBSTITUTE(SUBSTITUTE(SUBSTITUTE(TRIM(B21),"*",""),".",""),"-","")," ","")))</f>
        <v/>
      </c>
      <c r="J21" s="28" t="str">
        <f aca="false">IF(OR(H21="",I21=""),"",H21&amp;"|"&amp;I21)</f>
        <v/>
      </c>
      <c r="K21" s="19" t="str">
        <f aca="false">IF(H21="","",IF(J21&lt;&gt;"",COUNTIF(Socios!$J:$J,J21),IF(COUNTIF(Socios!$H:$H,H21)&gt;0,"nome igual em Socios: confira o CPF","sem CPF: não cruzado")))</f>
        <v/>
      </c>
      <c r="L21" s="27"/>
      <c r="M21" s="5"/>
    </row>
    <row r="22" customFormat="false" ht="15" hidden="false" customHeight="false" outlineLevel="0" collapsed="false">
      <c r="A22" s="5"/>
      <c r="B22" s="27"/>
      <c r="C22" s="5"/>
      <c r="D22" s="5"/>
      <c r="E22" s="18"/>
      <c r="F22" s="14"/>
      <c r="G22" s="5"/>
      <c r="H22" s="28" t="str">
        <f aca="false">IF(A22="","",SUBSTITUTE(SUBSTITUTE(SUBSTITUTE(SUBSTITUTE(SUBSTITUTE(SUBSTITUTE(SUBSTITUTE(SUBSTITUTE(SUBSTITUTE(SUBSTITUTE(SUBSTITUTE(SUBSTITUTE(SUBSTITUTE(UPPER(TRIM(A22)),"Á","A"),"À","A"),"Â","A"),"Ã","A"),"É","E"),"Ê","E"),"Í","I"),"Ó","O"),"Ô","O"),"Õ","O"),"Ú","U"),"Ü","U"),"Ç","C"))</f>
        <v/>
      </c>
      <c r="I22" s="28" t="str">
        <f aca="false">IF(B22="","",IF(LEN(SUBSTITUTE(SUBSTITUTE(SUBSTITUTE(SUBSTITUTE(TRIM(B22),"*",""),".",""),"-","")," ",""))=11,MID(SUBSTITUTE(SUBSTITUTE(SUBSTITUTE(SUBSTITUTE(TRIM(B22),"*",""),".",""),"-","")," ",""),4,6),SUBSTITUTE(SUBSTITUTE(SUBSTITUTE(SUBSTITUTE(TRIM(B22),"*",""),".",""),"-","")," ","")))</f>
        <v/>
      </c>
      <c r="J22" s="28" t="str">
        <f aca="false">IF(OR(H22="",I22=""),"",H22&amp;"|"&amp;I22)</f>
        <v/>
      </c>
      <c r="K22" s="19" t="str">
        <f aca="false">IF(H22="","",IF(J22&lt;&gt;"",COUNTIF(Socios!$J:$J,J22),IF(COUNTIF(Socios!$H:$H,H22)&gt;0,"nome igual em Socios: confira o CPF","sem CPF: não cruzado")))</f>
        <v/>
      </c>
      <c r="L22" s="27"/>
      <c r="M22" s="5"/>
    </row>
    <row r="23" customFormat="false" ht="15" hidden="false" customHeight="false" outlineLevel="0" collapsed="false">
      <c r="A23" s="5"/>
      <c r="B23" s="27"/>
      <c r="C23" s="5"/>
      <c r="D23" s="5"/>
      <c r="E23" s="18"/>
      <c r="F23" s="14"/>
      <c r="G23" s="5"/>
      <c r="H23" s="28" t="str">
        <f aca="false">IF(A23="","",SUBSTITUTE(SUBSTITUTE(SUBSTITUTE(SUBSTITUTE(SUBSTITUTE(SUBSTITUTE(SUBSTITUTE(SUBSTITUTE(SUBSTITUTE(SUBSTITUTE(SUBSTITUTE(SUBSTITUTE(SUBSTITUTE(UPPER(TRIM(A23)),"Á","A"),"À","A"),"Â","A"),"Ã","A"),"É","E"),"Ê","E"),"Í","I"),"Ó","O"),"Ô","O"),"Õ","O"),"Ú","U"),"Ü","U"),"Ç","C"))</f>
        <v/>
      </c>
      <c r="I23" s="28" t="str">
        <f aca="false">IF(B23="","",IF(LEN(SUBSTITUTE(SUBSTITUTE(SUBSTITUTE(SUBSTITUTE(TRIM(B23),"*",""),".",""),"-","")," ",""))=11,MID(SUBSTITUTE(SUBSTITUTE(SUBSTITUTE(SUBSTITUTE(TRIM(B23),"*",""),".",""),"-","")," ",""),4,6),SUBSTITUTE(SUBSTITUTE(SUBSTITUTE(SUBSTITUTE(TRIM(B23),"*",""),".",""),"-","")," ","")))</f>
        <v/>
      </c>
      <c r="J23" s="28" t="str">
        <f aca="false">IF(OR(H23="",I23=""),"",H23&amp;"|"&amp;I23)</f>
        <v/>
      </c>
      <c r="K23" s="19" t="str">
        <f aca="false">IF(H23="","",IF(J23&lt;&gt;"",COUNTIF(Socios!$J:$J,J23),IF(COUNTIF(Socios!$H:$H,H23)&gt;0,"nome igual em Socios: confira o CPF","sem CPF: não cruzado")))</f>
        <v/>
      </c>
      <c r="L23" s="27"/>
      <c r="M23" s="5"/>
    </row>
    <row r="24" customFormat="false" ht="15" hidden="false" customHeight="false" outlineLevel="0" collapsed="false">
      <c r="A24" s="5"/>
      <c r="B24" s="27"/>
      <c r="C24" s="5"/>
      <c r="D24" s="5"/>
      <c r="E24" s="18"/>
      <c r="F24" s="14"/>
      <c r="G24" s="5"/>
      <c r="H24" s="28" t="str">
        <f aca="false">IF(A24="","",SUBSTITUTE(SUBSTITUTE(SUBSTITUTE(SUBSTITUTE(SUBSTITUTE(SUBSTITUTE(SUBSTITUTE(SUBSTITUTE(SUBSTITUTE(SUBSTITUTE(SUBSTITUTE(SUBSTITUTE(SUBSTITUTE(UPPER(TRIM(A24)),"Á","A"),"À","A"),"Â","A"),"Ã","A"),"É","E"),"Ê","E"),"Í","I"),"Ó","O"),"Ô","O"),"Õ","O"),"Ú","U"),"Ü","U"),"Ç","C"))</f>
        <v/>
      </c>
      <c r="I24" s="28" t="str">
        <f aca="false">IF(B24="","",IF(LEN(SUBSTITUTE(SUBSTITUTE(SUBSTITUTE(SUBSTITUTE(TRIM(B24),"*",""),".",""),"-","")," ",""))=11,MID(SUBSTITUTE(SUBSTITUTE(SUBSTITUTE(SUBSTITUTE(TRIM(B24),"*",""),".",""),"-","")," ",""),4,6),SUBSTITUTE(SUBSTITUTE(SUBSTITUTE(SUBSTITUTE(TRIM(B24),"*",""),".",""),"-","")," ","")))</f>
        <v/>
      </c>
      <c r="J24" s="28" t="str">
        <f aca="false">IF(OR(H24="",I24=""),"",H24&amp;"|"&amp;I24)</f>
        <v/>
      </c>
      <c r="K24" s="19" t="str">
        <f aca="false">IF(H24="","",IF(J24&lt;&gt;"",COUNTIF(Socios!$J:$J,J24),IF(COUNTIF(Socios!$H:$H,H24)&gt;0,"nome igual em Socios: confira o CPF","sem CPF: não cruzado")))</f>
        <v/>
      </c>
      <c r="L24" s="27"/>
      <c r="M24" s="5"/>
    </row>
    <row r="25" customFormat="false" ht="15" hidden="false" customHeight="false" outlineLevel="0" collapsed="false">
      <c r="A25" s="5"/>
      <c r="B25" s="27"/>
      <c r="C25" s="5"/>
      <c r="D25" s="5"/>
      <c r="E25" s="18"/>
      <c r="F25" s="14"/>
      <c r="G25" s="5"/>
      <c r="H25" s="28" t="str">
        <f aca="false">IF(A25="","",SUBSTITUTE(SUBSTITUTE(SUBSTITUTE(SUBSTITUTE(SUBSTITUTE(SUBSTITUTE(SUBSTITUTE(SUBSTITUTE(SUBSTITUTE(SUBSTITUTE(SUBSTITUTE(SUBSTITUTE(SUBSTITUTE(UPPER(TRIM(A25)),"Á","A"),"À","A"),"Â","A"),"Ã","A"),"É","E"),"Ê","E"),"Í","I"),"Ó","O"),"Ô","O"),"Õ","O"),"Ú","U"),"Ü","U"),"Ç","C"))</f>
        <v/>
      </c>
      <c r="I25" s="28" t="str">
        <f aca="false">IF(B25="","",IF(LEN(SUBSTITUTE(SUBSTITUTE(SUBSTITUTE(SUBSTITUTE(TRIM(B25),"*",""),".",""),"-","")," ",""))=11,MID(SUBSTITUTE(SUBSTITUTE(SUBSTITUTE(SUBSTITUTE(TRIM(B25),"*",""),".",""),"-","")," ",""),4,6),SUBSTITUTE(SUBSTITUTE(SUBSTITUTE(SUBSTITUTE(TRIM(B25),"*",""),".",""),"-","")," ","")))</f>
        <v/>
      </c>
      <c r="J25" s="28" t="str">
        <f aca="false">IF(OR(H25="",I25=""),"",H25&amp;"|"&amp;I25)</f>
        <v/>
      </c>
      <c r="K25" s="19" t="str">
        <f aca="false">IF(H25="","",IF(J25&lt;&gt;"",COUNTIF(Socios!$J:$J,J25),IF(COUNTIF(Socios!$H:$H,H25)&gt;0,"nome igual em Socios: confira o CPF","sem CPF: não cruzado")))</f>
        <v/>
      </c>
      <c r="L25" s="27"/>
      <c r="M25" s="5"/>
    </row>
    <row r="26" customFormat="false" ht="15" hidden="false" customHeight="false" outlineLevel="0" collapsed="false">
      <c r="A26" s="5"/>
      <c r="B26" s="27"/>
      <c r="C26" s="5"/>
      <c r="D26" s="5"/>
      <c r="E26" s="18"/>
      <c r="F26" s="14"/>
      <c r="G26" s="5"/>
      <c r="H26" s="28" t="str">
        <f aca="false">IF(A26="","",SUBSTITUTE(SUBSTITUTE(SUBSTITUTE(SUBSTITUTE(SUBSTITUTE(SUBSTITUTE(SUBSTITUTE(SUBSTITUTE(SUBSTITUTE(SUBSTITUTE(SUBSTITUTE(SUBSTITUTE(SUBSTITUTE(UPPER(TRIM(A26)),"Á","A"),"À","A"),"Â","A"),"Ã","A"),"É","E"),"Ê","E"),"Í","I"),"Ó","O"),"Ô","O"),"Õ","O"),"Ú","U"),"Ü","U"),"Ç","C"))</f>
        <v/>
      </c>
      <c r="I26" s="28" t="str">
        <f aca="false">IF(B26="","",IF(LEN(SUBSTITUTE(SUBSTITUTE(SUBSTITUTE(SUBSTITUTE(TRIM(B26),"*",""),".",""),"-","")," ",""))=11,MID(SUBSTITUTE(SUBSTITUTE(SUBSTITUTE(SUBSTITUTE(TRIM(B26),"*",""),".",""),"-","")," ",""),4,6),SUBSTITUTE(SUBSTITUTE(SUBSTITUTE(SUBSTITUTE(TRIM(B26),"*",""),".",""),"-","")," ","")))</f>
        <v/>
      </c>
      <c r="J26" s="28" t="str">
        <f aca="false">IF(OR(H26="",I26=""),"",H26&amp;"|"&amp;I26)</f>
        <v/>
      </c>
      <c r="K26" s="19" t="str">
        <f aca="false">IF(H26="","",IF(J26&lt;&gt;"",COUNTIF(Socios!$J:$J,J26),IF(COUNTIF(Socios!$H:$H,H26)&gt;0,"nome igual em Socios: confira o CPF","sem CPF: não cruzado")))</f>
        <v/>
      </c>
      <c r="L26" s="27"/>
      <c r="M26" s="5"/>
    </row>
    <row r="27" customFormat="false" ht="15" hidden="false" customHeight="false" outlineLevel="0" collapsed="false">
      <c r="A27" s="5"/>
      <c r="B27" s="27"/>
      <c r="C27" s="5"/>
      <c r="D27" s="5"/>
      <c r="E27" s="18"/>
      <c r="F27" s="14"/>
      <c r="G27" s="5"/>
      <c r="H27" s="28" t="str">
        <f aca="false">IF(A27="","",SUBSTITUTE(SUBSTITUTE(SUBSTITUTE(SUBSTITUTE(SUBSTITUTE(SUBSTITUTE(SUBSTITUTE(SUBSTITUTE(SUBSTITUTE(SUBSTITUTE(SUBSTITUTE(SUBSTITUTE(SUBSTITUTE(UPPER(TRIM(A27)),"Á","A"),"À","A"),"Â","A"),"Ã","A"),"É","E"),"Ê","E"),"Í","I"),"Ó","O"),"Ô","O"),"Õ","O"),"Ú","U"),"Ü","U"),"Ç","C"))</f>
        <v/>
      </c>
      <c r="I27" s="28" t="str">
        <f aca="false">IF(B27="","",IF(LEN(SUBSTITUTE(SUBSTITUTE(SUBSTITUTE(SUBSTITUTE(TRIM(B27),"*",""),".",""),"-","")," ",""))=11,MID(SUBSTITUTE(SUBSTITUTE(SUBSTITUTE(SUBSTITUTE(TRIM(B27),"*",""),".",""),"-","")," ",""),4,6),SUBSTITUTE(SUBSTITUTE(SUBSTITUTE(SUBSTITUTE(TRIM(B27),"*",""),".",""),"-","")," ","")))</f>
        <v/>
      </c>
      <c r="J27" s="28" t="str">
        <f aca="false">IF(OR(H27="",I27=""),"",H27&amp;"|"&amp;I27)</f>
        <v/>
      </c>
      <c r="K27" s="19" t="str">
        <f aca="false">IF(H27="","",IF(J27&lt;&gt;"",COUNTIF(Socios!$J:$J,J27),IF(COUNTIF(Socios!$H:$H,H27)&gt;0,"nome igual em Socios: confira o CPF","sem CPF: não cruzado")))</f>
        <v/>
      </c>
      <c r="L27" s="27"/>
      <c r="M27" s="5"/>
    </row>
    <row r="28" customFormat="false" ht="15" hidden="false" customHeight="false" outlineLevel="0" collapsed="false">
      <c r="A28" s="5"/>
      <c r="B28" s="27"/>
      <c r="C28" s="5"/>
      <c r="D28" s="5"/>
      <c r="E28" s="18"/>
      <c r="F28" s="14"/>
      <c r="G28" s="5"/>
      <c r="H28" s="28" t="str">
        <f aca="false">IF(A28="","",SUBSTITUTE(SUBSTITUTE(SUBSTITUTE(SUBSTITUTE(SUBSTITUTE(SUBSTITUTE(SUBSTITUTE(SUBSTITUTE(SUBSTITUTE(SUBSTITUTE(SUBSTITUTE(SUBSTITUTE(SUBSTITUTE(UPPER(TRIM(A28)),"Á","A"),"À","A"),"Â","A"),"Ã","A"),"É","E"),"Ê","E"),"Í","I"),"Ó","O"),"Ô","O"),"Õ","O"),"Ú","U"),"Ü","U"),"Ç","C"))</f>
        <v/>
      </c>
      <c r="I28" s="28" t="str">
        <f aca="false">IF(B28="","",IF(LEN(SUBSTITUTE(SUBSTITUTE(SUBSTITUTE(SUBSTITUTE(TRIM(B28),"*",""),".",""),"-","")," ",""))=11,MID(SUBSTITUTE(SUBSTITUTE(SUBSTITUTE(SUBSTITUTE(TRIM(B28),"*",""),".",""),"-","")," ",""),4,6),SUBSTITUTE(SUBSTITUTE(SUBSTITUTE(SUBSTITUTE(TRIM(B28),"*",""),".",""),"-","")," ","")))</f>
        <v/>
      </c>
      <c r="J28" s="28" t="str">
        <f aca="false">IF(OR(H28="",I28=""),"",H28&amp;"|"&amp;I28)</f>
        <v/>
      </c>
      <c r="K28" s="19" t="str">
        <f aca="false">IF(H28="","",IF(J28&lt;&gt;"",COUNTIF(Socios!$J:$J,J28),IF(COUNTIF(Socios!$H:$H,H28)&gt;0,"nome igual em Socios: confira o CPF","sem CPF: não cruzado")))</f>
        <v/>
      </c>
      <c r="L28" s="27"/>
      <c r="M28" s="5"/>
    </row>
    <row r="29" customFormat="false" ht="15" hidden="false" customHeight="false" outlineLevel="0" collapsed="false">
      <c r="A29" s="5"/>
      <c r="B29" s="27"/>
      <c r="C29" s="5"/>
      <c r="D29" s="5"/>
      <c r="E29" s="18"/>
      <c r="F29" s="14"/>
      <c r="G29" s="5"/>
      <c r="H29" s="28" t="str">
        <f aca="false">IF(A29="","",SUBSTITUTE(SUBSTITUTE(SUBSTITUTE(SUBSTITUTE(SUBSTITUTE(SUBSTITUTE(SUBSTITUTE(SUBSTITUTE(SUBSTITUTE(SUBSTITUTE(SUBSTITUTE(SUBSTITUTE(SUBSTITUTE(UPPER(TRIM(A29)),"Á","A"),"À","A"),"Â","A"),"Ã","A"),"É","E"),"Ê","E"),"Í","I"),"Ó","O"),"Ô","O"),"Õ","O"),"Ú","U"),"Ü","U"),"Ç","C"))</f>
        <v/>
      </c>
      <c r="I29" s="28" t="str">
        <f aca="false">IF(B29="","",IF(LEN(SUBSTITUTE(SUBSTITUTE(SUBSTITUTE(SUBSTITUTE(TRIM(B29),"*",""),".",""),"-","")," ",""))=11,MID(SUBSTITUTE(SUBSTITUTE(SUBSTITUTE(SUBSTITUTE(TRIM(B29),"*",""),".",""),"-","")," ",""),4,6),SUBSTITUTE(SUBSTITUTE(SUBSTITUTE(SUBSTITUTE(TRIM(B29),"*",""),".",""),"-","")," ","")))</f>
        <v/>
      </c>
      <c r="J29" s="28" t="str">
        <f aca="false">IF(OR(H29="",I29=""),"",H29&amp;"|"&amp;I29)</f>
        <v/>
      </c>
      <c r="K29" s="19" t="str">
        <f aca="false">IF(H29="","",IF(J29&lt;&gt;"",COUNTIF(Socios!$J:$J,J29),IF(COUNTIF(Socios!$H:$H,H29)&gt;0,"nome igual em Socios: confira o CPF","sem CPF: não cruzado")))</f>
        <v/>
      </c>
      <c r="L29" s="27"/>
      <c r="M29" s="5"/>
    </row>
    <row r="30" customFormat="false" ht="15" hidden="false" customHeight="false" outlineLevel="0" collapsed="false">
      <c r="A30" s="5"/>
      <c r="B30" s="27"/>
      <c r="C30" s="5"/>
      <c r="D30" s="5"/>
      <c r="E30" s="18"/>
      <c r="F30" s="14"/>
      <c r="G30" s="5"/>
      <c r="H30" s="28" t="str">
        <f aca="false">IF(A30="","",SUBSTITUTE(SUBSTITUTE(SUBSTITUTE(SUBSTITUTE(SUBSTITUTE(SUBSTITUTE(SUBSTITUTE(SUBSTITUTE(SUBSTITUTE(SUBSTITUTE(SUBSTITUTE(SUBSTITUTE(SUBSTITUTE(UPPER(TRIM(A30)),"Á","A"),"À","A"),"Â","A"),"Ã","A"),"É","E"),"Ê","E"),"Í","I"),"Ó","O"),"Ô","O"),"Õ","O"),"Ú","U"),"Ü","U"),"Ç","C"))</f>
        <v/>
      </c>
      <c r="I30" s="28" t="str">
        <f aca="false">IF(B30="","",IF(LEN(SUBSTITUTE(SUBSTITUTE(SUBSTITUTE(SUBSTITUTE(TRIM(B30),"*",""),".",""),"-","")," ",""))=11,MID(SUBSTITUTE(SUBSTITUTE(SUBSTITUTE(SUBSTITUTE(TRIM(B30),"*",""),".",""),"-","")," ",""),4,6),SUBSTITUTE(SUBSTITUTE(SUBSTITUTE(SUBSTITUTE(TRIM(B30),"*",""),".",""),"-","")," ","")))</f>
        <v/>
      </c>
      <c r="J30" s="28" t="str">
        <f aca="false">IF(OR(H30="",I30=""),"",H30&amp;"|"&amp;I30)</f>
        <v/>
      </c>
      <c r="K30" s="19" t="str">
        <f aca="false">IF(H30="","",IF(J30&lt;&gt;"",COUNTIF(Socios!$J:$J,J30),IF(COUNTIF(Socios!$H:$H,H30)&gt;0,"nome igual em Socios: confira o CPF","sem CPF: não cruzado")))</f>
        <v/>
      </c>
      <c r="L30" s="27"/>
      <c r="M30" s="5"/>
    </row>
    <row r="31" customFormat="false" ht="15" hidden="false" customHeight="false" outlineLevel="0" collapsed="false">
      <c r="A31" s="5"/>
      <c r="B31" s="27"/>
      <c r="C31" s="5"/>
      <c r="D31" s="5"/>
      <c r="E31" s="18"/>
      <c r="F31" s="14"/>
      <c r="G31" s="5"/>
      <c r="H31" s="28" t="str">
        <f aca="false">IF(A31="","",SUBSTITUTE(SUBSTITUTE(SUBSTITUTE(SUBSTITUTE(SUBSTITUTE(SUBSTITUTE(SUBSTITUTE(SUBSTITUTE(SUBSTITUTE(SUBSTITUTE(SUBSTITUTE(SUBSTITUTE(SUBSTITUTE(UPPER(TRIM(A31)),"Á","A"),"À","A"),"Â","A"),"Ã","A"),"É","E"),"Ê","E"),"Í","I"),"Ó","O"),"Ô","O"),"Õ","O"),"Ú","U"),"Ü","U"),"Ç","C"))</f>
        <v/>
      </c>
      <c r="I31" s="28" t="str">
        <f aca="false">IF(B31="","",IF(LEN(SUBSTITUTE(SUBSTITUTE(SUBSTITUTE(SUBSTITUTE(TRIM(B31),"*",""),".",""),"-","")," ",""))=11,MID(SUBSTITUTE(SUBSTITUTE(SUBSTITUTE(SUBSTITUTE(TRIM(B31),"*",""),".",""),"-","")," ",""),4,6),SUBSTITUTE(SUBSTITUTE(SUBSTITUTE(SUBSTITUTE(TRIM(B31),"*",""),".",""),"-","")," ","")))</f>
        <v/>
      </c>
      <c r="J31" s="28" t="str">
        <f aca="false">IF(OR(H31="",I31=""),"",H31&amp;"|"&amp;I31)</f>
        <v/>
      </c>
      <c r="K31" s="19" t="str">
        <f aca="false">IF(H31="","",IF(J31&lt;&gt;"",COUNTIF(Socios!$J:$J,J31),IF(COUNTIF(Socios!$H:$H,H31)&gt;0,"nome igual em Socios: confira o CPF","sem CPF: não cruzado")))</f>
        <v/>
      </c>
      <c r="L31" s="27"/>
      <c r="M31" s="5"/>
    </row>
    <row r="32" customFormat="false" ht="15" hidden="false" customHeight="false" outlineLevel="0" collapsed="false">
      <c r="A32" s="5"/>
      <c r="B32" s="27"/>
      <c r="C32" s="5"/>
      <c r="D32" s="5"/>
      <c r="E32" s="18"/>
      <c r="F32" s="14"/>
      <c r="G32" s="5"/>
      <c r="H32" s="28" t="str">
        <f aca="false">IF(A32="","",SUBSTITUTE(SUBSTITUTE(SUBSTITUTE(SUBSTITUTE(SUBSTITUTE(SUBSTITUTE(SUBSTITUTE(SUBSTITUTE(SUBSTITUTE(SUBSTITUTE(SUBSTITUTE(SUBSTITUTE(SUBSTITUTE(UPPER(TRIM(A32)),"Á","A"),"À","A"),"Â","A"),"Ã","A"),"É","E"),"Ê","E"),"Í","I"),"Ó","O"),"Ô","O"),"Õ","O"),"Ú","U"),"Ü","U"),"Ç","C"))</f>
        <v/>
      </c>
      <c r="I32" s="28" t="str">
        <f aca="false">IF(B32="","",IF(LEN(SUBSTITUTE(SUBSTITUTE(SUBSTITUTE(SUBSTITUTE(TRIM(B32),"*",""),".",""),"-","")," ",""))=11,MID(SUBSTITUTE(SUBSTITUTE(SUBSTITUTE(SUBSTITUTE(TRIM(B32),"*",""),".",""),"-","")," ",""),4,6),SUBSTITUTE(SUBSTITUTE(SUBSTITUTE(SUBSTITUTE(TRIM(B32),"*",""),".",""),"-","")," ","")))</f>
        <v/>
      </c>
      <c r="J32" s="28" t="str">
        <f aca="false">IF(OR(H32="",I32=""),"",H32&amp;"|"&amp;I32)</f>
        <v/>
      </c>
      <c r="K32" s="19" t="str">
        <f aca="false">IF(H32="","",IF(J32&lt;&gt;"",COUNTIF(Socios!$J:$J,J32),IF(COUNTIF(Socios!$H:$H,H32)&gt;0,"nome igual em Socios: confira o CPF","sem CPF: não cruzado")))</f>
        <v/>
      </c>
      <c r="L32" s="27"/>
      <c r="M32" s="5"/>
    </row>
    <row r="33" customFormat="false" ht="15" hidden="false" customHeight="false" outlineLevel="0" collapsed="false">
      <c r="A33" s="5"/>
      <c r="B33" s="27"/>
      <c r="C33" s="5"/>
      <c r="D33" s="5"/>
      <c r="E33" s="18"/>
      <c r="F33" s="14"/>
      <c r="G33" s="5"/>
      <c r="H33" s="28" t="str">
        <f aca="false">IF(A33="","",SUBSTITUTE(SUBSTITUTE(SUBSTITUTE(SUBSTITUTE(SUBSTITUTE(SUBSTITUTE(SUBSTITUTE(SUBSTITUTE(SUBSTITUTE(SUBSTITUTE(SUBSTITUTE(SUBSTITUTE(SUBSTITUTE(UPPER(TRIM(A33)),"Á","A"),"À","A"),"Â","A"),"Ã","A"),"É","E"),"Ê","E"),"Í","I"),"Ó","O"),"Ô","O"),"Õ","O"),"Ú","U"),"Ü","U"),"Ç","C"))</f>
        <v/>
      </c>
      <c r="I33" s="28" t="str">
        <f aca="false">IF(B33="","",IF(LEN(SUBSTITUTE(SUBSTITUTE(SUBSTITUTE(SUBSTITUTE(TRIM(B33),"*",""),".",""),"-","")," ",""))=11,MID(SUBSTITUTE(SUBSTITUTE(SUBSTITUTE(SUBSTITUTE(TRIM(B33),"*",""),".",""),"-","")," ",""),4,6),SUBSTITUTE(SUBSTITUTE(SUBSTITUTE(SUBSTITUTE(TRIM(B33),"*",""),".",""),"-","")," ","")))</f>
        <v/>
      </c>
      <c r="J33" s="28" t="str">
        <f aca="false">IF(OR(H33="",I33=""),"",H33&amp;"|"&amp;I33)</f>
        <v/>
      </c>
      <c r="K33" s="19" t="str">
        <f aca="false">IF(H33="","",IF(J33&lt;&gt;"",COUNTIF(Socios!$J:$J,J33),IF(COUNTIF(Socios!$H:$H,H33)&gt;0,"nome igual em Socios: confira o CPF","sem CPF: não cruzado")))</f>
        <v/>
      </c>
      <c r="L33" s="27"/>
      <c r="M33" s="5"/>
    </row>
    <row r="34" customFormat="false" ht="15" hidden="false" customHeight="false" outlineLevel="0" collapsed="false">
      <c r="A34" s="5"/>
      <c r="B34" s="27"/>
      <c r="C34" s="5"/>
      <c r="D34" s="5"/>
      <c r="E34" s="18"/>
      <c r="F34" s="14"/>
      <c r="G34" s="5"/>
      <c r="H34" s="28" t="str">
        <f aca="false">IF(A34="","",SUBSTITUTE(SUBSTITUTE(SUBSTITUTE(SUBSTITUTE(SUBSTITUTE(SUBSTITUTE(SUBSTITUTE(SUBSTITUTE(SUBSTITUTE(SUBSTITUTE(SUBSTITUTE(SUBSTITUTE(SUBSTITUTE(UPPER(TRIM(A34)),"Á","A"),"À","A"),"Â","A"),"Ã","A"),"É","E"),"Ê","E"),"Í","I"),"Ó","O"),"Ô","O"),"Õ","O"),"Ú","U"),"Ü","U"),"Ç","C"))</f>
        <v/>
      </c>
      <c r="I34" s="28" t="str">
        <f aca="false">IF(B34="","",IF(LEN(SUBSTITUTE(SUBSTITUTE(SUBSTITUTE(SUBSTITUTE(TRIM(B34),"*",""),".",""),"-","")," ",""))=11,MID(SUBSTITUTE(SUBSTITUTE(SUBSTITUTE(SUBSTITUTE(TRIM(B34),"*",""),".",""),"-","")," ",""),4,6),SUBSTITUTE(SUBSTITUTE(SUBSTITUTE(SUBSTITUTE(TRIM(B34),"*",""),".",""),"-","")," ","")))</f>
        <v/>
      </c>
      <c r="J34" s="28" t="str">
        <f aca="false">IF(OR(H34="",I34=""),"",H34&amp;"|"&amp;I34)</f>
        <v/>
      </c>
      <c r="K34" s="19" t="str">
        <f aca="false">IF(H34="","",IF(J34&lt;&gt;"",COUNTIF(Socios!$J:$J,J34),IF(COUNTIF(Socios!$H:$H,H34)&gt;0,"nome igual em Socios: confira o CPF","sem CPF: não cruzado")))</f>
        <v/>
      </c>
      <c r="L34" s="27"/>
      <c r="M34" s="5"/>
    </row>
    <row r="35" customFormat="false" ht="15" hidden="false" customHeight="false" outlineLevel="0" collapsed="false">
      <c r="A35" s="5"/>
      <c r="B35" s="27"/>
      <c r="C35" s="5"/>
      <c r="D35" s="5"/>
      <c r="E35" s="18"/>
      <c r="F35" s="14"/>
      <c r="G35" s="5"/>
      <c r="H35" s="28" t="str">
        <f aca="false">IF(A35="","",SUBSTITUTE(SUBSTITUTE(SUBSTITUTE(SUBSTITUTE(SUBSTITUTE(SUBSTITUTE(SUBSTITUTE(SUBSTITUTE(SUBSTITUTE(SUBSTITUTE(SUBSTITUTE(SUBSTITUTE(SUBSTITUTE(UPPER(TRIM(A35)),"Á","A"),"À","A"),"Â","A"),"Ã","A"),"É","E"),"Ê","E"),"Í","I"),"Ó","O"),"Ô","O"),"Õ","O"),"Ú","U"),"Ü","U"),"Ç","C"))</f>
        <v/>
      </c>
      <c r="I35" s="28" t="str">
        <f aca="false">IF(B35="","",IF(LEN(SUBSTITUTE(SUBSTITUTE(SUBSTITUTE(SUBSTITUTE(TRIM(B35),"*",""),".",""),"-","")," ",""))=11,MID(SUBSTITUTE(SUBSTITUTE(SUBSTITUTE(SUBSTITUTE(TRIM(B35),"*",""),".",""),"-","")," ",""),4,6),SUBSTITUTE(SUBSTITUTE(SUBSTITUTE(SUBSTITUTE(TRIM(B35),"*",""),".",""),"-","")," ","")))</f>
        <v/>
      </c>
      <c r="J35" s="28" t="str">
        <f aca="false">IF(OR(H35="",I35=""),"",H35&amp;"|"&amp;I35)</f>
        <v/>
      </c>
      <c r="K35" s="19" t="str">
        <f aca="false">IF(H35="","",IF(J35&lt;&gt;"",COUNTIF(Socios!$J:$J,J35),IF(COUNTIF(Socios!$H:$H,H35)&gt;0,"nome igual em Socios: confira o CPF","sem CPF: não cruzado")))</f>
        <v/>
      </c>
      <c r="L35" s="27"/>
      <c r="M35" s="5"/>
    </row>
    <row r="36" customFormat="false" ht="15" hidden="false" customHeight="false" outlineLevel="0" collapsed="false">
      <c r="A36" s="5"/>
      <c r="B36" s="27"/>
      <c r="C36" s="5"/>
      <c r="D36" s="5"/>
      <c r="E36" s="18"/>
      <c r="F36" s="14"/>
      <c r="G36" s="5"/>
      <c r="H36" s="28" t="str">
        <f aca="false">IF(A36="","",SUBSTITUTE(SUBSTITUTE(SUBSTITUTE(SUBSTITUTE(SUBSTITUTE(SUBSTITUTE(SUBSTITUTE(SUBSTITUTE(SUBSTITUTE(SUBSTITUTE(SUBSTITUTE(SUBSTITUTE(SUBSTITUTE(UPPER(TRIM(A36)),"Á","A"),"À","A"),"Â","A"),"Ã","A"),"É","E"),"Ê","E"),"Í","I"),"Ó","O"),"Ô","O"),"Õ","O"),"Ú","U"),"Ü","U"),"Ç","C"))</f>
        <v/>
      </c>
      <c r="I36" s="28" t="str">
        <f aca="false">IF(B36="","",IF(LEN(SUBSTITUTE(SUBSTITUTE(SUBSTITUTE(SUBSTITUTE(TRIM(B36),"*",""),".",""),"-","")," ",""))=11,MID(SUBSTITUTE(SUBSTITUTE(SUBSTITUTE(SUBSTITUTE(TRIM(B36),"*",""),".",""),"-","")," ",""),4,6),SUBSTITUTE(SUBSTITUTE(SUBSTITUTE(SUBSTITUTE(TRIM(B36),"*",""),".",""),"-","")," ","")))</f>
        <v/>
      </c>
      <c r="J36" s="28" t="str">
        <f aca="false">IF(OR(H36="",I36=""),"",H36&amp;"|"&amp;I36)</f>
        <v/>
      </c>
      <c r="K36" s="19" t="str">
        <f aca="false">IF(H36="","",IF(J36&lt;&gt;"",COUNTIF(Socios!$J:$J,J36),IF(COUNTIF(Socios!$H:$H,H36)&gt;0,"nome igual em Socios: confira o CPF","sem CPF: não cruzado")))</f>
        <v/>
      </c>
      <c r="L36" s="27"/>
      <c r="M36" s="5"/>
    </row>
    <row r="37" customFormat="false" ht="15" hidden="false" customHeight="false" outlineLevel="0" collapsed="false">
      <c r="A37" s="5"/>
      <c r="B37" s="27"/>
      <c r="C37" s="5"/>
      <c r="D37" s="5"/>
      <c r="E37" s="18"/>
      <c r="F37" s="14"/>
      <c r="G37" s="5"/>
      <c r="H37" s="28" t="str">
        <f aca="false">IF(A37="","",SUBSTITUTE(SUBSTITUTE(SUBSTITUTE(SUBSTITUTE(SUBSTITUTE(SUBSTITUTE(SUBSTITUTE(SUBSTITUTE(SUBSTITUTE(SUBSTITUTE(SUBSTITUTE(SUBSTITUTE(SUBSTITUTE(UPPER(TRIM(A37)),"Á","A"),"À","A"),"Â","A"),"Ã","A"),"É","E"),"Ê","E"),"Í","I"),"Ó","O"),"Ô","O"),"Õ","O"),"Ú","U"),"Ü","U"),"Ç","C"))</f>
        <v/>
      </c>
      <c r="I37" s="28" t="str">
        <f aca="false">IF(B37="","",IF(LEN(SUBSTITUTE(SUBSTITUTE(SUBSTITUTE(SUBSTITUTE(TRIM(B37),"*",""),".",""),"-","")," ",""))=11,MID(SUBSTITUTE(SUBSTITUTE(SUBSTITUTE(SUBSTITUTE(TRIM(B37),"*",""),".",""),"-","")," ",""),4,6),SUBSTITUTE(SUBSTITUTE(SUBSTITUTE(SUBSTITUTE(TRIM(B37),"*",""),".",""),"-","")," ","")))</f>
        <v/>
      </c>
      <c r="J37" s="28" t="str">
        <f aca="false">IF(OR(H37="",I37=""),"",H37&amp;"|"&amp;I37)</f>
        <v/>
      </c>
      <c r="K37" s="19" t="str">
        <f aca="false">IF(H37="","",IF(J37&lt;&gt;"",COUNTIF(Socios!$J:$J,J37),IF(COUNTIF(Socios!$H:$H,H37)&gt;0,"nome igual em Socios: confira o CPF","sem CPF: não cruzado")))</f>
        <v/>
      </c>
      <c r="L37" s="27"/>
      <c r="M37" s="5"/>
    </row>
    <row r="38" customFormat="false" ht="15" hidden="false" customHeight="false" outlineLevel="0" collapsed="false">
      <c r="A38" s="5"/>
      <c r="B38" s="27"/>
      <c r="C38" s="5"/>
      <c r="D38" s="5"/>
      <c r="E38" s="18"/>
      <c r="F38" s="14"/>
      <c r="G38" s="5"/>
      <c r="H38" s="28" t="str">
        <f aca="false">IF(A38="","",SUBSTITUTE(SUBSTITUTE(SUBSTITUTE(SUBSTITUTE(SUBSTITUTE(SUBSTITUTE(SUBSTITUTE(SUBSTITUTE(SUBSTITUTE(SUBSTITUTE(SUBSTITUTE(SUBSTITUTE(SUBSTITUTE(UPPER(TRIM(A38)),"Á","A"),"À","A"),"Â","A"),"Ã","A"),"É","E"),"Ê","E"),"Í","I"),"Ó","O"),"Ô","O"),"Õ","O"),"Ú","U"),"Ü","U"),"Ç","C"))</f>
        <v/>
      </c>
      <c r="I38" s="28" t="str">
        <f aca="false">IF(B38="","",IF(LEN(SUBSTITUTE(SUBSTITUTE(SUBSTITUTE(SUBSTITUTE(TRIM(B38),"*",""),".",""),"-","")," ",""))=11,MID(SUBSTITUTE(SUBSTITUTE(SUBSTITUTE(SUBSTITUTE(TRIM(B38),"*",""),".",""),"-","")," ",""),4,6),SUBSTITUTE(SUBSTITUTE(SUBSTITUTE(SUBSTITUTE(TRIM(B38),"*",""),".",""),"-","")," ","")))</f>
        <v/>
      </c>
      <c r="J38" s="28" t="str">
        <f aca="false">IF(OR(H38="",I38=""),"",H38&amp;"|"&amp;I38)</f>
        <v/>
      </c>
      <c r="K38" s="19" t="str">
        <f aca="false">IF(H38="","",IF(J38&lt;&gt;"",COUNTIF(Socios!$J:$J,J38),IF(COUNTIF(Socios!$H:$H,H38)&gt;0,"nome igual em Socios: confira o CPF","sem CPF: não cruzado")))</f>
        <v/>
      </c>
      <c r="L38" s="27"/>
      <c r="M38" s="5"/>
    </row>
    <row r="39" customFormat="false" ht="15" hidden="false" customHeight="false" outlineLevel="0" collapsed="false">
      <c r="A39" s="5"/>
      <c r="B39" s="27"/>
      <c r="C39" s="5"/>
      <c r="D39" s="5"/>
      <c r="E39" s="18"/>
      <c r="F39" s="14"/>
      <c r="G39" s="5"/>
      <c r="H39" s="28" t="str">
        <f aca="false">IF(A39="","",SUBSTITUTE(SUBSTITUTE(SUBSTITUTE(SUBSTITUTE(SUBSTITUTE(SUBSTITUTE(SUBSTITUTE(SUBSTITUTE(SUBSTITUTE(SUBSTITUTE(SUBSTITUTE(SUBSTITUTE(SUBSTITUTE(UPPER(TRIM(A39)),"Á","A"),"À","A"),"Â","A"),"Ã","A"),"É","E"),"Ê","E"),"Í","I"),"Ó","O"),"Ô","O"),"Õ","O"),"Ú","U"),"Ü","U"),"Ç","C"))</f>
        <v/>
      </c>
      <c r="I39" s="28" t="str">
        <f aca="false">IF(B39="","",IF(LEN(SUBSTITUTE(SUBSTITUTE(SUBSTITUTE(SUBSTITUTE(TRIM(B39),"*",""),".",""),"-","")," ",""))=11,MID(SUBSTITUTE(SUBSTITUTE(SUBSTITUTE(SUBSTITUTE(TRIM(B39),"*",""),".",""),"-","")," ",""),4,6),SUBSTITUTE(SUBSTITUTE(SUBSTITUTE(SUBSTITUTE(TRIM(B39),"*",""),".",""),"-","")," ","")))</f>
        <v/>
      </c>
      <c r="J39" s="28" t="str">
        <f aca="false">IF(OR(H39="",I39=""),"",H39&amp;"|"&amp;I39)</f>
        <v/>
      </c>
      <c r="K39" s="19" t="str">
        <f aca="false">IF(H39="","",IF(J39&lt;&gt;"",COUNTIF(Socios!$J:$J,J39),IF(COUNTIF(Socios!$H:$H,H39)&gt;0,"nome igual em Socios: confira o CPF","sem CPF: não cruzado")))</f>
        <v/>
      </c>
      <c r="L39" s="27"/>
      <c r="M39" s="5"/>
    </row>
    <row r="40" customFormat="false" ht="15" hidden="false" customHeight="false" outlineLevel="0" collapsed="false">
      <c r="A40" s="5"/>
      <c r="B40" s="27"/>
      <c r="C40" s="5"/>
      <c r="D40" s="5"/>
      <c r="E40" s="18"/>
      <c r="F40" s="14"/>
      <c r="G40" s="5"/>
      <c r="H40" s="28" t="str">
        <f aca="false">IF(A40="","",SUBSTITUTE(SUBSTITUTE(SUBSTITUTE(SUBSTITUTE(SUBSTITUTE(SUBSTITUTE(SUBSTITUTE(SUBSTITUTE(SUBSTITUTE(SUBSTITUTE(SUBSTITUTE(SUBSTITUTE(SUBSTITUTE(UPPER(TRIM(A40)),"Á","A"),"À","A"),"Â","A"),"Ã","A"),"É","E"),"Ê","E"),"Í","I"),"Ó","O"),"Ô","O"),"Õ","O"),"Ú","U"),"Ü","U"),"Ç","C"))</f>
        <v/>
      </c>
      <c r="I40" s="28" t="str">
        <f aca="false">IF(B40="","",IF(LEN(SUBSTITUTE(SUBSTITUTE(SUBSTITUTE(SUBSTITUTE(TRIM(B40),"*",""),".",""),"-","")," ",""))=11,MID(SUBSTITUTE(SUBSTITUTE(SUBSTITUTE(SUBSTITUTE(TRIM(B40),"*",""),".",""),"-","")," ",""),4,6),SUBSTITUTE(SUBSTITUTE(SUBSTITUTE(SUBSTITUTE(TRIM(B40),"*",""),".",""),"-","")," ","")))</f>
        <v/>
      </c>
      <c r="J40" s="28" t="str">
        <f aca="false">IF(OR(H40="",I40=""),"",H40&amp;"|"&amp;I40)</f>
        <v/>
      </c>
      <c r="K40" s="19" t="str">
        <f aca="false">IF(H40="","",IF(J40&lt;&gt;"",COUNTIF(Socios!$J:$J,J40),IF(COUNTIF(Socios!$H:$H,H40)&gt;0,"nome igual em Socios: confira o CPF","sem CPF: não cruzado")))</f>
        <v/>
      </c>
      <c r="L40" s="27"/>
      <c r="M40" s="5"/>
    </row>
    <row r="41" customFormat="false" ht="15" hidden="false" customHeight="false" outlineLevel="0" collapsed="false">
      <c r="A41" s="5"/>
      <c r="B41" s="27"/>
      <c r="C41" s="5"/>
      <c r="D41" s="5"/>
      <c r="E41" s="18"/>
      <c r="F41" s="14"/>
      <c r="G41" s="5"/>
      <c r="H41" s="28" t="str">
        <f aca="false">IF(A41="","",SUBSTITUTE(SUBSTITUTE(SUBSTITUTE(SUBSTITUTE(SUBSTITUTE(SUBSTITUTE(SUBSTITUTE(SUBSTITUTE(SUBSTITUTE(SUBSTITUTE(SUBSTITUTE(SUBSTITUTE(SUBSTITUTE(UPPER(TRIM(A41)),"Á","A"),"À","A"),"Â","A"),"Ã","A"),"É","E"),"Ê","E"),"Í","I"),"Ó","O"),"Ô","O"),"Õ","O"),"Ú","U"),"Ü","U"),"Ç","C"))</f>
        <v/>
      </c>
      <c r="I41" s="28" t="str">
        <f aca="false">IF(B41="","",IF(LEN(SUBSTITUTE(SUBSTITUTE(SUBSTITUTE(SUBSTITUTE(TRIM(B41),"*",""),".",""),"-","")," ",""))=11,MID(SUBSTITUTE(SUBSTITUTE(SUBSTITUTE(SUBSTITUTE(TRIM(B41),"*",""),".",""),"-","")," ",""),4,6),SUBSTITUTE(SUBSTITUTE(SUBSTITUTE(SUBSTITUTE(TRIM(B41),"*",""),".",""),"-","")," ","")))</f>
        <v/>
      </c>
      <c r="J41" s="28" t="str">
        <f aca="false">IF(OR(H41="",I41=""),"",H41&amp;"|"&amp;I41)</f>
        <v/>
      </c>
      <c r="K41" s="19" t="str">
        <f aca="false">IF(H41="","",IF(J41&lt;&gt;"",COUNTIF(Socios!$J:$J,J41),IF(COUNTIF(Socios!$H:$H,H41)&gt;0,"nome igual em Socios: confira o CPF","sem CPF: não cruzado")))</f>
        <v/>
      </c>
      <c r="L41" s="27"/>
      <c r="M41" s="5"/>
    </row>
    <row r="42" customFormat="false" ht="15" hidden="false" customHeight="false" outlineLevel="0" collapsed="false">
      <c r="A42" s="5"/>
      <c r="B42" s="27"/>
      <c r="C42" s="5"/>
      <c r="D42" s="5"/>
      <c r="E42" s="18"/>
      <c r="F42" s="14"/>
      <c r="G42" s="5"/>
      <c r="H42" s="28" t="str">
        <f aca="false">IF(A42="","",SUBSTITUTE(SUBSTITUTE(SUBSTITUTE(SUBSTITUTE(SUBSTITUTE(SUBSTITUTE(SUBSTITUTE(SUBSTITUTE(SUBSTITUTE(SUBSTITUTE(SUBSTITUTE(SUBSTITUTE(SUBSTITUTE(UPPER(TRIM(A42)),"Á","A"),"À","A"),"Â","A"),"Ã","A"),"É","E"),"Ê","E"),"Í","I"),"Ó","O"),"Ô","O"),"Õ","O"),"Ú","U"),"Ü","U"),"Ç","C"))</f>
        <v/>
      </c>
      <c r="I42" s="28" t="str">
        <f aca="false">IF(B42="","",IF(LEN(SUBSTITUTE(SUBSTITUTE(SUBSTITUTE(SUBSTITUTE(TRIM(B42),"*",""),".",""),"-","")," ",""))=11,MID(SUBSTITUTE(SUBSTITUTE(SUBSTITUTE(SUBSTITUTE(TRIM(B42),"*",""),".",""),"-","")," ",""),4,6),SUBSTITUTE(SUBSTITUTE(SUBSTITUTE(SUBSTITUTE(TRIM(B42),"*",""),".",""),"-","")," ","")))</f>
        <v/>
      </c>
      <c r="J42" s="28" t="str">
        <f aca="false">IF(OR(H42="",I42=""),"",H42&amp;"|"&amp;I42)</f>
        <v/>
      </c>
      <c r="K42" s="19" t="str">
        <f aca="false">IF(H42="","",IF(J42&lt;&gt;"",COUNTIF(Socios!$J:$J,J42),IF(COUNTIF(Socios!$H:$H,H42)&gt;0,"nome igual em Socios: confira o CPF","sem CPF: não cruzado")))</f>
        <v/>
      </c>
      <c r="L42" s="27"/>
      <c r="M42" s="5"/>
    </row>
    <row r="43" customFormat="false" ht="15" hidden="false" customHeight="false" outlineLevel="0" collapsed="false">
      <c r="A43" s="5"/>
      <c r="B43" s="27"/>
      <c r="C43" s="5"/>
      <c r="D43" s="5"/>
      <c r="E43" s="18"/>
      <c r="F43" s="14"/>
      <c r="G43" s="5"/>
      <c r="H43" s="28" t="str">
        <f aca="false">IF(A43="","",SUBSTITUTE(SUBSTITUTE(SUBSTITUTE(SUBSTITUTE(SUBSTITUTE(SUBSTITUTE(SUBSTITUTE(SUBSTITUTE(SUBSTITUTE(SUBSTITUTE(SUBSTITUTE(SUBSTITUTE(SUBSTITUTE(UPPER(TRIM(A43)),"Á","A"),"À","A"),"Â","A"),"Ã","A"),"É","E"),"Ê","E"),"Í","I"),"Ó","O"),"Ô","O"),"Õ","O"),"Ú","U"),"Ü","U"),"Ç","C"))</f>
        <v/>
      </c>
      <c r="I43" s="28" t="str">
        <f aca="false">IF(B43="","",IF(LEN(SUBSTITUTE(SUBSTITUTE(SUBSTITUTE(SUBSTITUTE(TRIM(B43),"*",""),".",""),"-","")," ",""))=11,MID(SUBSTITUTE(SUBSTITUTE(SUBSTITUTE(SUBSTITUTE(TRIM(B43),"*",""),".",""),"-","")," ",""),4,6),SUBSTITUTE(SUBSTITUTE(SUBSTITUTE(SUBSTITUTE(TRIM(B43),"*",""),".",""),"-","")," ","")))</f>
        <v/>
      </c>
      <c r="J43" s="28" t="str">
        <f aca="false">IF(OR(H43="",I43=""),"",H43&amp;"|"&amp;I43)</f>
        <v/>
      </c>
      <c r="K43" s="19" t="str">
        <f aca="false">IF(H43="","",IF(J43&lt;&gt;"",COUNTIF(Socios!$J:$J,J43),IF(COUNTIF(Socios!$H:$H,H43)&gt;0,"nome igual em Socios: confira o CPF","sem CPF: não cruzado")))</f>
        <v/>
      </c>
      <c r="L43" s="27"/>
      <c r="M43" s="5"/>
    </row>
    <row r="44" customFormat="false" ht="15" hidden="false" customHeight="false" outlineLevel="0" collapsed="false">
      <c r="A44" s="5"/>
      <c r="B44" s="27"/>
      <c r="C44" s="5"/>
      <c r="D44" s="5"/>
      <c r="E44" s="18"/>
      <c r="F44" s="14"/>
      <c r="G44" s="5"/>
      <c r="H44" s="28" t="str">
        <f aca="false">IF(A44="","",SUBSTITUTE(SUBSTITUTE(SUBSTITUTE(SUBSTITUTE(SUBSTITUTE(SUBSTITUTE(SUBSTITUTE(SUBSTITUTE(SUBSTITUTE(SUBSTITUTE(SUBSTITUTE(SUBSTITUTE(SUBSTITUTE(UPPER(TRIM(A44)),"Á","A"),"À","A"),"Â","A"),"Ã","A"),"É","E"),"Ê","E"),"Í","I"),"Ó","O"),"Ô","O"),"Õ","O"),"Ú","U"),"Ü","U"),"Ç","C"))</f>
        <v/>
      </c>
      <c r="I44" s="28" t="str">
        <f aca="false">IF(B44="","",IF(LEN(SUBSTITUTE(SUBSTITUTE(SUBSTITUTE(SUBSTITUTE(TRIM(B44),"*",""),".",""),"-","")," ",""))=11,MID(SUBSTITUTE(SUBSTITUTE(SUBSTITUTE(SUBSTITUTE(TRIM(B44),"*",""),".",""),"-","")," ",""),4,6),SUBSTITUTE(SUBSTITUTE(SUBSTITUTE(SUBSTITUTE(TRIM(B44),"*",""),".",""),"-","")," ","")))</f>
        <v/>
      </c>
      <c r="J44" s="28" t="str">
        <f aca="false">IF(OR(H44="",I44=""),"",H44&amp;"|"&amp;I44)</f>
        <v/>
      </c>
      <c r="K44" s="19" t="str">
        <f aca="false">IF(H44="","",IF(J44&lt;&gt;"",COUNTIF(Socios!$J:$J,J44),IF(COUNTIF(Socios!$H:$H,H44)&gt;0,"nome igual em Socios: confira o CPF","sem CPF: não cruzado")))</f>
        <v/>
      </c>
      <c r="L44" s="27"/>
      <c r="M44" s="5"/>
    </row>
    <row r="45" customFormat="false" ht="15" hidden="false" customHeight="false" outlineLevel="0" collapsed="false">
      <c r="A45" s="5"/>
      <c r="B45" s="27"/>
      <c r="C45" s="5"/>
      <c r="D45" s="5"/>
      <c r="E45" s="18"/>
      <c r="F45" s="14"/>
      <c r="G45" s="5"/>
      <c r="H45" s="28" t="str">
        <f aca="false">IF(A45="","",SUBSTITUTE(SUBSTITUTE(SUBSTITUTE(SUBSTITUTE(SUBSTITUTE(SUBSTITUTE(SUBSTITUTE(SUBSTITUTE(SUBSTITUTE(SUBSTITUTE(SUBSTITUTE(SUBSTITUTE(SUBSTITUTE(UPPER(TRIM(A45)),"Á","A"),"À","A"),"Â","A"),"Ã","A"),"É","E"),"Ê","E"),"Í","I"),"Ó","O"),"Ô","O"),"Õ","O"),"Ú","U"),"Ü","U"),"Ç","C"))</f>
        <v/>
      </c>
      <c r="I45" s="28" t="str">
        <f aca="false">IF(B45="","",IF(LEN(SUBSTITUTE(SUBSTITUTE(SUBSTITUTE(SUBSTITUTE(TRIM(B45),"*",""),".",""),"-","")," ",""))=11,MID(SUBSTITUTE(SUBSTITUTE(SUBSTITUTE(SUBSTITUTE(TRIM(B45),"*",""),".",""),"-","")," ",""),4,6),SUBSTITUTE(SUBSTITUTE(SUBSTITUTE(SUBSTITUTE(TRIM(B45),"*",""),".",""),"-","")," ","")))</f>
        <v/>
      </c>
      <c r="J45" s="28" t="str">
        <f aca="false">IF(OR(H45="",I45=""),"",H45&amp;"|"&amp;I45)</f>
        <v/>
      </c>
      <c r="K45" s="19" t="str">
        <f aca="false">IF(H45="","",IF(J45&lt;&gt;"",COUNTIF(Socios!$J:$J,J45),IF(COUNTIF(Socios!$H:$H,H45)&gt;0,"nome igual em Socios: confira o CPF","sem CPF: não cruzado")))</f>
        <v/>
      </c>
      <c r="L45" s="27"/>
      <c r="M45" s="5"/>
    </row>
    <row r="46" customFormat="false" ht="15" hidden="false" customHeight="false" outlineLevel="0" collapsed="false">
      <c r="A46" s="5"/>
      <c r="B46" s="27"/>
      <c r="C46" s="5"/>
      <c r="D46" s="5"/>
      <c r="E46" s="18"/>
      <c r="F46" s="14"/>
      <c r="G46" s="5"/>
      <c r="H46" s="28" t="str">
        <f aca="false">IF(A46="","",SUBSTITUTE(SUBSTITUTE(SUBSTITUTE(SUBSTITUTE(SUBSTITUTE(SUBSTITUTE(SUBSTITUTE(SUBSTITUTE(SUBSTITUTE(SUBSTITUTE(SUBSTITUTE(SUBSTITUTE(SUBSTITUTE(UPPER(TRIM(A46)),"Á","A"),"À","A"),"Â","A"),"Ã","A"),"É","E"),"Ê","E"),"Í","I"),"Ó","O"),"Ô","O"),"Õ","O"),"Ú","U"),"Ü","U"),"Ç","C"))</f>
        <v/>
      </c>
      <c r="I46" s="28" t="str">
        <f aca="false">IF(B46="","",IF(LEN(SUBSTITUTE(SUBSTITUTE(SUBSTITUTE(SUBSTITUTE(TRIM(B46),"*",""),".",""),"-","")," ",""))=11,MID(SUBSTITUTE(SUBSTITUTE(SUBSTITUTE(SUBSTITUTE(TRIM(B46),"*",""),".",""),"-","")," ",""),4,6),SUBSTITUTE(SUBSTITUTE(SUBSTITUTE(SUBSTITUTE(TRIM(B46),"*",""),".",""),"-","")," ","")))</f>
        <v/>
      </c>
      <c r="J46" s="28" t="str">
        <f aca="false">IF(OR(H46="",I46=""),"",H46&amp;"|"&amp;I46)</f>
        <v/>
      </c>
      <c r="K46" s="19" t="str">
        <f aca="false">IF(H46="","",IF(J46&lt;&gt;"",COUNTIF(Socios!$J:$J,J46),IF(COUNTIF(Socios!$H:$H,H46)&gt;0,"nome igual em Socios: confira o CPF","sem CPF: não cruzado")))</f>
        <v/>
      </c>
      <c r="L46" s="27"/>
      <c r="M46" s="5"/>
    </row>
    <row r="47" customFormat="false" ht="15" hidden="false" customHeight="false" outlineLevel="0" collapsed="false">
      <c r="A47" s="5"/>
      <c r="B47" s="27"/>
      <c r="C47" s="5"/>
      <c r="D47" s="5"/>
      <c r="E47" s="18"/>
      <c r="F47" s="14"/>
      <c r="G47" s="5"/>
      <c r="H47" s="28" t="str">
        <f aca="false">IF(A47="","",SUBSTITUTE(SUBSTITUTE(SUBSTITUTE(SUBSTITUTE(SUBSTITUTE(SUBSTITUTE(SUBSTITUTE(SUBSTITUTE(SUBSTITUTE(SUBSTITUTE(SUBSTITUTE(SUBSTITUTE(SUBSTITUTE(UPPER(TRIM(A47)),"Á","A"),"À","A"),"Â","A"),"Ã","A"),"É","E"),"Ê","E"),"Í","I"),"Ó","O"),"Ô","O"),"Õ","O"),"Ú","U"),"Ü","U"),"Ç","C"))</f>
        <v/>
      </c>
      <c r="I47" s="28" t="str">
        <f aca="false">IF(B47="","",IF(LEN(SUBSTITUTE(SUBSTITUTE(SUBSTITUTE(SUBSTITUTE(TRIM(B47),"*",""),".",""),"-","")," ",""))=11,MID(SUBSTITUTE(SUBSTITUTE(SUBSTITUTE(SUBSTITUTE(TRIM(B47),"*",""),".",""),"-","")," ",""),4,6),SUBSTITUTE(SUBSTITUTE(SUBSTITUTE(SUBSTITUTE(TRIM(B47),"*",""),".",""),"-","")," ","")))</f>
        <v/>
      </c>
      <c r="J47" s="28" t="str">
        <f aca="false">IF(OR(H47="",I47=""),"",H47&amp;"|"&amp;I47)</f>
        <v/>
      </c>
      <c r="K47" s="19" t="str">
        <f aca="false">IF(H47="","",IF(J47&lt;&gt;"",COUNTIF(Socios!$J:$J,J47),IF(COUNTIF(Socios!$H:$H,H47)&gt;0,"nome igual em Socios: confira o CPF","sem CPF: não cruzado")))</f>
        <v/>
      </c>
      <c r="L47" s="27"/>
      <c r="M47" s="5"/>
    </row>
    <row r="48" customFormat="false" ht="15" hidden="false" customHeight="false" outlineLevel="0" collapsed="false">
      <c r="A48" s="5"/>
      <c r="B48" s="27"/>
      <c r="C48" s="5"/>
      <c r="D48" s="5"/>
      <c r="E48" s="18"/>
      <c r="F48" s="14"/>
      <c r="G48" s="5"/>
      <c r="H48" s="28" t="str">
        <f aca="false">IF(A48="","",SUBSTITUTE(SUBSTITUTE(SUBSTITUTE(SUBSTITUTE(SUBSTITUTE(SUBSTITUTE(SUBSTITUTE(SUBSTITUTE(SUBSTITUTE(SUBSTITUTE(SUBSTITUTE(SUBSTITUTE(SUBSTITUTE(UPPER(TRIM(A48)),"Á","A"),"À","A"),"Â","A"),"Ã","A"),"É","E"),"Ê","E"),"Í","I"),"Ó","O"),"Ô","O"),"Õ","O"),"Ú","U"),"Ü","U"),"Ç","C"))</f>
        <v/>
      </c>
      <c r="I48" s="28" t="str">
        <f aca="false">IF(B48="","",IF(LEN(SUBSTITUTE(SUBSTITUTE(SUBSTITUTE(SUBSTITUTE(TRIM(B48),"*",""),".",""),"-","")," ",""))=11,MID(SUBSTITUTE(SUBSTITUTE(SUBSTITUTE(SUBSTITUTE(TRIM(B48),"*",""),".",""),"-","")," ",""),4,6),SUBSTITUTE(SUBSTITUTE(SUBSTITUTE(SUBSTITUTE(TRIM(B48),"*",""),".",""),"-","")," ","")))</f>
        <v/>
      </c>
      <c r="J48" s="28" t="str">
        <f aca="false">IF(OR(H48="",I48=""),"",H48&amp;"|"&amp;I48)</f>
        <v/>
      </c>
      <c r="K48" s="19" t="str">
        <f aca="false">IF(H48="","",IF(J48&lt;&gt;"",COUNTIF(Socios!$J:$J,J48),IF(COUNTIF(Socios!$H:$H,H48)&gt;0,"nome igual em Socios: confira o CPF","sem CPF: não cruzado")))</f>
        <v/>
      </c>
      <c r="L48" s="27"/>
      <c r="M48" s="5"/>
    </row>
    <row r="49" customFormat="false" ht="15" hidden="false" customHeight="false" outlineLevel="0" collapsed="false">
      <c r="A49" s="5"/>
      <c r="B49" s="27"/>
      <c r="C49" s="5"/>
      <c r="D49" s="5"/>
      <c r="E49" s="18"/>
      <c r="F49" s="14"/>
      <c r="G49" s="5"/>
      <c r="H49" s="28" t="str">
        <f aca="false">IF(A49="","",SUBSTITUTE(SUBSTITUTE(SUBSTITUTE(SUBSTITUTE(SUBSTITUTE(SUBSTITUTE(SUBSTITUTE(SUBSTITUTE(SUBSTITUTE(SUBSTITUTE(SUBSTITUTE(SUBSTITUTE(SUBSTITUTE(UPPER(TRIM(A49)),"Á","A"),"À","A"),"Â","A"),"Ã","A"),"É","E"),"Ê","E"),"Í","I"),"Ó","O"),"Ô","O"),"Õ","O"),"Ú","U"),"Ü","U"),"Ç","C"))</f>
        <v/>
      </c>
      <c r="I49" s="28" t="str">
        <f aca="false">IF(B49="","",IF(LEN(SUBSTITUTE(SUBSTITUTE(SUBSTITUTE(SUBSTITUTE(TRIM(B49),"*",""),".",""),"-","")," ",""))=11,MID(SUBSTITUTE(SUBSTITUTE(SUBSTITUTE(SUBSTITUTE(TRIM(B49),"*",""),".",""),"-","")," ",""),4,6),SUBSTITUTE(SUBSTITUTE(SUBSTITUTE(SUBSTITUTE(TRIM(B49),"*",""),".",""),"-","")," ","")))</f>
        <v/>
      </c>
      <c r="J49" s="28" t="str">
        <f aca="false">IF(OR(H49="",I49=""),"",H49&amp;"|"&amp;I49)</f>
        <v/>
      </c>
      <c r="K49" s="19" t="str">
        <f aca="false">IF(H49="","",IF(J49&lt;&gt;"",COUNTIF(Socios!$J:$J,J49),IF(COUNTIF(Socios!$H:$H,H49)&gt;0,"nome igual em Socios: confira o CPF","sem CPF: não cruzado")))</f>
        <v/>
      </c>
      <c r="L49" s="27"/>
      <c r="M49" s="5"/>
    </row>
    <row r="50" customFormat="false" ht="15" hidden="false" customHeight="false" outlineLevel="0" collapsed="false">
      <c r="A50" s="5"/>
      <c r="B50" s="27"/>
      <c r="C50" s="5"/>
      <c r="D50" s="5"/>
      <c r="E50" s="18"/>
      <c r="F50" s="14"/>
      <c r="G50" s="5"/>
      <c r="H50" s="28" t="str">
        <f aca="false">IF(A50="","",SUBSTITUTE(SUBSTITUTE(SUBSTITUTE(SUBSTITUTE(SUBSTITUTE(SUBSTITUTE(SUBSTITUTE(SUBSTITUTE(SUBSTITUTE(SUBSTITUTE(SUBSTITUTE(SUBSTITUTE(SUBSTITUTE(UPPER(TRIM(A50)),"Á","A"),"À","A"),"Â","A"),"Ã","A"),"É","E"),"Ê","E"),"Í","I"),"Ó","O"),"Ô","O"),"Õ","O"),"Ú","U"),"Ü","U"),"Ç","C"))</f>
        <v/>
      </c>
      <c r="I50" s="28" t="str">
        <f aca="false">IF(B50="","",IF(LEN(SUBSTITUTE(SUBSTITUTE(SUBSTITUTE(SUBSTITUTE(TRIM(B50),"*",""),".",""),"-","")," ",""))=11,MID(SUBSTITUTE(SUBSTITUTE(SUBSTITUTE(SUBSTITUTE(TRIM(B50),"*",""),".",""),"-","")," ",""),4,6),SUBSTITUTE(SUBSTITUTE(SUBSTITUTE(SUBSTITUTE(TRIM(B50),"*",""),".",""),"-","")," ","")))</f>
        <v/>
      </c>
      <c r="J50" s="28" t="str">
        <f aca="false">IF(OR(H50="",I50=""),"",H50&amp;"|"&amp;I50)</f>
        <v/>
      </c>
      <c r="K50" s="19" t="str">
        <f aca="false">IF(H50="","",IF(J50&lt;&gt;"",COUNTIF(Socios!$J:$J,J50),IF(COUNTIF(Socios!$H:$H,H50)&gt;0,"nome igual em Socios: confira o CPF","sem CPF: não cruzado")))</f>
        <v/>
      </c>
      <c r="L50" s="27"/>
      <c r="M50" s="5"/>
    </row>
    <row r="51" customFormat="false" ht="15" hidden="false" customHeight="false" outlineLevel="0" collapsed="false">
      <c r="A51" s="5"/>
      <c r="B51" s="27"/>
      <c r="C51" s="5"/>
      <c r="D51" s="5"/>
      <c r="E51" s="18"/>
      <c r="F51" s="14"/>
      <c r="G51" s="5"/>
      <c r="H51" s="28" t="str">
        <f aca="false">IF(A51="","",SUBSTITUTE(SUBSTITUTE(SUBSTITUTE(SUBSTITUTE(SUBSTITUTE(SUBSTITUTE(SUBSTITUTE(SUBSTITUTE(SUBSTITUTE(SUBSTITUTE(SUBSTITUTE(SUBSTITUTE(SUBSTITUTE(UPPER(TRIM(A51)),"Á","A"),"À","A"),"Â","A"),"Ã","A"),"É","E"),"Ê","E"),"Í","I"),"Ó","O"),"Ô","O"),"Õ","O"),"Ú","U"),"Ü","U"),"Ç","C"))</f>
        <v/>
      </c>
      <c r="I51" s="28" t="str">
        <f aca="false">IF(B51="","",IF(LEN(SUBSTITUTE(SUBSTITUTE(SUBSTITUTE(SUBSTITUTE(TRIM(B51),"*",""),".",""),"-","")," ",""))=11,MID(SUBSTITUTE(SUBSTITUTE(SUBSTITUTE(SUBSTITUTE(TRIM(B51),"*",""),".",""),"-","")," ",""),4,6),SUBSTITUTE(SUBSTITUTE(SUBSTITUTE(SUBSTITUTE(TRIM(B51),"*",""),".",""),"-","")," ","")))</f>
        <v/>
      </c>
      <c r="J51" s="28" t="str">
        <f aca="false">IF(OR(H51="",I51=""),"",H51&amp;"|"&amp;I51)</f>
        <v/>
      </c>
      <c r="K51" s="19" t="str">
        <f aca="false">IF(H51="","",IF(J51&lt;&gt;"",COUNTIF(Socios!$J:$J,J51),IF(COUNTIF(Socios!$H:$H,H51)&gt;0,"nome igual em Socios: confira o CPF","sem CPF: não cruzado")))</f>
        <v/>
      </c>
      <c r="L51" s="27"/>
      <c r="M51" s="5"/>
    </row>
    <row r="52" customFormat="false" ht="15" hidden="false" customHeight="false" outlineLevel="0" collapsed="false">
      <c r="A52" s="5"/>
      <c r="B52" s="27"/>
      <c r="C52" s="5"/>
      <c r="D52" s="5"/>
      <c r="E52" s="18"/>
      <c r="F52" s="14"/>
      <c r="G52" s="5"/>
      <c r="H52" s="28" t="str">
        <f aca="false">IF(A52="","",SUBSTITUTE(SUBSTITUTE(SUBSTITUTE(SUBSTITUTE(SUBSTITUTE(SUBSTITUTE(SUBSTITUTE(SUBSTITUTE(SUBSTITUTE(SUBSTITUTE(SUBSTITUTE(SUBSTITUTE(SUBSTITUTE(UPPER(TRIM(A52)),"Á","A"),"À","A"),"Â","A"),"Ã","A"),"É","E"),"Ê","E"),"Í","I"),"Ó","O"),"Ô","O"),"Õ","O"),"Ú","U"),"Ü","U"),"Ç","C"))</f>
        <v/>
      </c>
      <c r="I52" s="28" t="str">
        <f aca="false">IF(B52="","",IF(LEN(SUBSTITUTE(SUBSTITUTE(SUBSTITUTE(SUBSTITUTE(TRIM(B52),"*",""),".",""),"-","")," ",""))=11,MID(SUBSTITUTE(SUBSTITUTE(SUBSTITUTE(SUBSTITUTE(TRIM(B52),"*",""),".",""),"-","")," ",""),4,6),SUBSTITUTE(SUBSTITUTE(SUBSTITUTE(SUBSTITUTE(TRIM(B52),"*",""),".",""),"-","")," ","")))</f>
        <v/>
      </c>
      <c r="J52" s="28" t="str">
        <f aca="false">IF(OR(H52="",I52=""),"",H52&amp;"|"&amp;I52)</f>
        <v/>
      </c>
      <c r="K52" s="19" t="str">
        <f aca="false">IF(H52="","",IF(J52&lt;&gt;"",COUNTIF(Socios!$J:$J,J52),IF(COUNTIF(Socios!$H:$H,H52)&gt;0,"nome igual em Socios: confira o CPF","sem CPF: não cruzado")))</f>
        <v/>
      </c>
      <c r="L52" s="27"/>
      <c r="M52" s="5"/>
    </row>
    <row r="53" customFormat="false" ht="15" hidden="false" customHeight="false" outlineLevel="0" collapsed="false">
      <c r="A53" s="5"/>
      <c r="B53" s="27"/>
      <c r="C53" s="5"/>
      <c r="D53" s="5"/>
      <c r="E53" s="18"/>
      <c r="F53" s="14"/>
      <c r="G53" s="5"/>
      <c r="H53" s="28" t="str">
        <f aca="false">IF(A53="","",SUBSTITUTE(SUBSTITUTE(SUBSTITUTE(SUBSTITUTE(SUBSTITUTE(SUBSTITUTE(SUBSTITUTE(SUBSTITUTE(SUBSTITUTE(SUBSTITUTE(SUBSTITUTE(SUBSTITUTE(SUBSTITUTE(UPPER(TRIM(A53)),"Á","A"),"À","A"),"Â","A"),"Ã","A"),"É","E"),"Ê","E"),"Í","I"),"Ó","O"),"Ô","O"),"Õ","O"),"Ú","U"),"Ü","U"),"Ç","C"))</f>
        <v/>
      </c>
      <c r="I53" s="28" t="str">
        <f aca="false">IF(B53="","",IF(LEN(SUBSTITUTE(SUBSTITUTE(SUBSTITUTE(SUBSTITUTE(TRIM(B53),"*",""),".",""),"-","")," ",""))=11,MID(SUBSTITUTE(SUBSTITUTE(SUBSTITUTE(SUBSTITUTE(TRIM(B53),"*",""),".",""),"-","")," ",""),4,6),SUBSTITUTE(SUBSTITUTE(SUBSTITUTE(SUBSTITUTE(TRIM(B53),"*",""),".",""),"-","")," ","")))</f>
        <v/>
      </c>
      <c r="J53" s="28" t="str">
        <f aca="false">IF(OR(H53="",I53=""),"",H53&amp;"|"&amp;I53)</f>
        <v/>
      </c>
      <c r="K53" s="19" t="str">
        <f aca="false">IF(H53="","",IF(J53&lt;&gt;"",COUNTIF(Socios!$J:$J,J53),IF(COUNTIF(Socios!$H:$H,H53)&gt;0,"nome igual em Socios: confira o CPF","sem CPF: não cruzado")))</f>
        <v/>
      </c>
      <c r="L53" s="27"/>
      <c r="M53" s="5"/>
    </row>
    <row r="54" customFormat="false" ht="15" hidden="false" customHeight="false" outlineLevel="0" collapsed="false">
      <c r="A54" s="5"/>
      <c r="B54" s="27"/>
      <c r="C54" s="5"/>
      <c r="D54" s="5"/>
      <c r="E54" s="18"/>
      <c r="F54" s="14"/>
      <c r="G54" s="5"/>
      <c r="H54" s="28" t="str">
        <f aca="false">IF(A54="","",SUBSTITUTE(SUBSTITUTE(SUBSTITUTE(SUBSTITUTE(SUBSTITUTE(SUBSTITUTE(SUBSTITUTE(SUBSTITUTE(SUBSTITUTE(SUBSTITUTE(SUBSTITUTE(SUBSTITUTE(SUBSTITUTE(UPPER(TRIM(A54)),"Á","A"),"À","A"),"Â","A"),"Ã","A"),"É","E"),"Ê","E"),"Í","I"),"Ó","O"),"Ô","O"),"Õ","O"),"Ú","U"),"Ü","U"),"Ç","C"))</f>
        <v/>
      </c>
      <c r="I54" s="28" t="str">
        <f aca="false">IF(B54="","",IF(LEN(SUBSTITUTE(SUBSTITUTE(SUBSTITUTE(SUBSTITUTE(TRIM(B54),"*",""),".",""),"-","")," ",""))=11,MID(SUBSTITUTE(SUBSTITUTE(SUBSTITUTE(SUBSTITUTE(TRIM(B54),"*",""),".",""),"-","")," ",""),4,6),SUBSTITUTE(SUBSTITUTE(SUBSTITUTE(SUBSTITUTE(TRIM(B54),"*",""),".",""),"-","")," ","")))</f>
        <v/>
      </c>
      <c r="J54" s="28" t="str">
        <f aca="false">IF(OR(H54="",I54=""),"",H54&amp;"|"&amp;I54)</f>
        <v/>
      </c>
      <c r="K54" s="19" t="str">
        <f aca="false">IF(H54="","",IF(J54&lt;&gt;"",COUNTIF(Socios!$J:$J,J54),IF(COUNTIF(Socios!$H:$H,H54)&gt;0,"nome igual em Socios: confira o CPF","sem CPF: não cruzado")))</f>
        <v/>
      </c>
      <c r="L54" s="27"/>
      <c r="M54" s="5"/>
    </row>
    <row r="55" customFormat="false" ht="15" hidden="false" customHeight="false" outlineLevel="0" collapsed="false">
      <c r="A55" s="5"/>
      <c r="B55" s="27"/>
      <c r="C55" s="5"/>
      <c r="D55" s="5"/>
      <c r="E55" s="18"/>
      <c r="F55" s="14"/>
      <c r="G55" s="5"/>
      <c r="H55" s="28" t="str">
        <f aca="false">IF(A55="","",SUBSTITUTE(SUBSTITUTE(SUBSTITUTE(SUBSTITUTE(SUBSTITUTE(SUBSTITUTE(SUBSTITUTE(SUBSTITUTE(SUBSTITUTE(SUBSTITUTE(SUBSTITUTE(SUBSTITUTE(SUBSTITUTE(UPPER(TRIM(A55)),"Á","A"),"À","A"),"Â","A"),"Ã","A"),"É","E"),"Ê","E"),"Í","I"),"Ó","O"),"Ô","O"),"Õ","O"),"Ú","U"),"Ü","U"),"Ç","C"))</f>
        <v/>
      </c>
      <c r="I55" s="28" t="str">
        <f aca="false">IF(B55="","",IF(LEN(SUBSTITUTE(SUBSTITUTE(SUBSTITUTE(SUBSTITUTE(TRIM(B55),"*",""),".",""),"-","")," ",""))=11,MID(SUBSTITUTE(SUBSTITUTE(SUBSTITUTE(SUBSTITUTE(TRIM(B55),"*",""),".",""),"-","")," ",""),4,6),SUBSTITUTE(SUBSTITUTE(SUBSTITUTE(SUBSTITUTE(TRIM(B55),"*",""),".",""),"-","")," ","")))</f>
        <v/>
      </c>
      <c r="J55" s="28" t="str">
        <f aca="false">IF(OR(H55="",I55=""),"",H55&amp;"|"&amp;I55)</f>
        <v/>
      </c>
      <c r="K55" s="19" t="str">
        <f aca="false">IF(H55="","",IF(J55&lt;&gt;"",COUNTIF(Socios!$J:$J,J55),IF(COUNTIF(Socios!$H:$H,H55)&gt;0,"nome igual em Socios: confira o CPF","sem CPF: não cruzado")))</f>
        <v/>
      </c>
      <c r="L55" s="27"/>
      <c r="M55" s="5"/>
    </row>
    <row r="56" customFormat="false" ht="15" hidden="false" customHeight="false" outlineLevel="0" collapsed="false">
      <c r="A56" s="5"/>
      <c r="B56" s="27"/>
      <c r="C56" s="5"/>
      <c r="D56" s="5"/>
      <c r="E56" s="18"/>
      <c r="F56" s="14"/>
      <c r="G56" s="5"/>
      <c r="H56" s="28" t="str">
        <f aca="false">IF(A56="","",SUBSTITUTE(SUBSTITUTE(SUBSTITUTE(SUBSTITUTE(SUBSTITUTE(SUBSTITUTE(SUBSTITUTE(SUBSTITUTE(SUBSTITUTE(SUBSTITUTE(SUBSTITUTE(SUBSTITUTE(SUBSTITUTE(UPPER(TRIM(A56)),"Á","A"),"À","A"),"Â","A"),"Ã","A"),"É","E"),"Ê","E"),"Í","I"),"Ó","O"),"Ô","O"),"Õ","O"),"Ú","U"),"Ü","U"),"Ç","C"))</f>
        <v/>
      </c>
      <c r="I56" s="28" t="str">
        <f aca="false">IF(B56="","",IF(LEN(SUBSTITUTE(SUBSTITUTE(SUBSTITUTE(SUBSTITUTE(TRIM(B56),"*",""),".",""),"-","")," ",""))=11,MID(SUBSTITUTE(SUBSTITUTE(SUBSTITUTE(SUBSTITUTE(TRIM(B56),"*",""),".",""),"-","")," ",""),4,6),SUBSTITUTE(SUBSTITUTE(SUBSTITUTE(SUBSTITUTE(TRIM(B56),"*",""),".",""),"-","")," ","")))</f>
        <v/>
      </c>
      <c r="J56" s="28" t="str">
        <f aca="false">IF(OR(H56="",I56=""),"",H56&amp;"|"&amp;I56)</f>
        <v/>
      </c>
      <c r="K56" s="19" t="str">
        <f aca="false">IF(H56="","",IF(J56&lt;&gt;"",COUNTIF(Socios!$J:$J,J56),IF(COUNTIF(Socios!$H:$H,H56)&gt;0,"nome igual em Socios: confira o CPF","sem CPF: não cruzado")))</f>
        <v/>
      </c>
      <c r="L56" s="27"/>
      <c r="M56" s="5"/>
    </row>
    <row r="57" customFormat="false" ht="15" hidden="false" customHeight="false" outlineLevel="0" collapsed="false">
      <c r="A57" s="5"/>
      <c r="B57" s="27"/>
      <c r="C57" s="5"/>
      <c r="D57" s="5"/>
      <c r="E57" s="18"/>
      <c r="F57" s="14"/>
      <c r="G57" s="5"/>
      <c r="H57" s="28" t="str">
        <f aca="false">IF(A57="","",SUBSTITUTE(SUBSTITUTE(SUBSTITUTE(SUBSTITUTE(SUBSTITUTE(SUBSTITUTE(SUBSTITUTE(SUBSTITUTE(SUBSTITUTE(SUBSTITUTE(SUBSTITUTE(SUBSTITUTE(SUBSTITUTE(UPPER(TRIM(A57)),"Á","A"),"À","A"),"Â","A"),"Ã","A"),"É","E"),"Ê","E"),"Í","I"),"Ó","O"),"Ô","O"),"Õ","O"),"Ú","U"),"Ü","U"),"Ç","C"))</f>
        <v/>
      </c>
      <c r="I57" s="28" t="str">
        <f aca="false">IF(B57="","",IF(LEN(SUBSTITUTE(SUBSTITUTE(SUBSTITUTE(SUBSTITUTE(TRIM(B57),"*",""),".",""),"-","")," ",""))=11,MID(SUBSTITUTE(SUBSTITUTE(SUBSTITUTE(SUBSTITUTE(TRIM(B57),"*",""),".",""),"-","")," ",""),4,6),SUBSTITUTE(SUBSTITUTE(SUBSTITUTE(SUBSTITUTE(TRIM(B57),"*",""),".",""),"-","")," ","")))</f>
        <v/>
      </c>
      <c r="J57" s="28" t="str">
        <f aca="false">IF(OR(H57="",I57=""),"",H57&amp;"|"&amp;I57)</f>
        <v/>
      </c>
      <c r="K57" s="19" t="str">
        <f aca="false">IF(H57="","",IF(J57&lt;&gt;"",COUNTIF(Socios!$J:$J,J57),IF(COUNTIF(Socios!$H:$H,H57)&gt;0,"nome igual em Socios: confira o CPF","sem CPF: não cruzado")))</f>
        <v/>
      </c>
      <c r="L57" s="27"/>
      <c r="M57" s="5"/>
    </row>
    <row r="58" customFormat="false" ht="15" hidden="false" customHeight="false" outlineLevel="0" collapsed="false">
      <c r="A58" s="5"/>
      <c r="B58" s="27"/>
      <c r="C58" s="5"/>
      <c r="D58" s="5"/>
      <c r="E58" s="18"/>
      <c r="F58" s="14"/>
      <c r="G58" s="5"/>
      <c r="H58" s="28" t="str">
        <f aca="false">IF(A58="","",SUBSTITUTE(SUBSTITUTE(SUBSTITUTE(SUBSTITUTE(SUBSTITUTE(SUBSTITUTE(SUBSTITUTE(SUBSTITUTE(SUBSTITUTE(SUBSTITUTE(SUBSTITUTE(SUBSTITUTE(SUBSTITUTE(UPPER(TRIM(A58)),"Á","A"),"À","A"),"Â","A"),"Ã","A"),"É","E"),"Ê","E"),"Í","I"),"Ó","O"),"Ô","O"),"Õ","O"),"Ú","U"),"Ü","U"),"Ç","C"))</f>
        <v/>
      </c>
      <c r="I58" s="28" t="str">
        <f aca="false">IF(B58="","",IF(LEN(SUBSTITUTE(SUBSTITUTE(SUBSTITUTE(SUBSTITUTE(TRIM(B58),"*",""),".",""),"-","")," ",""))=11,MID(SUBSTITUTE(SUBSTITUTE(SUBSTITUTE(SUBSTITUTE(TRIM(B58),"*",""),".",""),"-","")," ",""),4,6),SUBSTITUTE(SUBSTITUTE(SUBSTITUTE(SUBSTITUTE(TRIM(B58),"*",""),".",""),"-","")," ","")))</f>
        <v/>
      </c>
      <c r="J58" s="28" t="str">
        <f aca="false">IF(OR(H58="",I58=""),"",H58&amp;"|"&amp;I58)</f>
        <v/>
      </c>
      <c r="K58" s="19" t="str">
        <f aca="false">IF(H58="","",IF(J58&lt;&gt;"",COUNTIF(Socios!$J:$J,J58),IF(COUNTIF(Socios!$H:$H,H58)&gt;0,"nome igual em Socios: confira o CPF","sem CPF: não cruzado")))</f>
        <v/>
      </c>
      <c r="L58" s="27"/>
      <c r="M58" s="5"/>
    </row>
    <row r="59" customFormat="false" ht="15" hidden="false" customHeight="false" outlineLevel="0" collapsed="false">
      <c r="A59" s="5"/>
      <c r="B59" s="27"/>
      <c r="C59" s="5"/>
      <c r="D59" s="5"/>
      <c r="E59" s="18"/>
      <c r="F59" s="14"/>
      <c r="G59" s="5"/>
      <c r="H59" s="28" t="str">
        <f aca="false">IF(A59="","",SUBSTITUTE(SUBSTITUTE(SUBSTITUTE(SUBSTITUTE(SUBSTITUTE(SUBSTITUTE(SUBSTITUTE(SUBSTITUTE(SUBSTITUTE(SUBSTITUTE(SUBSTITUTE(SUBSTITUTE(SUBSTITUTE(UPPER(TRIM(A59)),"Á","A"),"À","A"),"Â","A"),"Ã","A"),"É","E"),"Ê","E"),"Í","I"),"Ó","O"),"Ô","O"),"Õ","O"),"Ú","U"),"Ü","U"),"Ç","C"))</f>
        <v/>
      </c>
      <c r="I59" s="28" t="str">
        <f aca="false">IF(B59="","",IF(LEN(SUBSTITUTE(SUBSTITUTE(SUBSTITUTE(SUBSTITUTE(TRIM(B59),"*",""),".",""),"-","")," ",""))=11,MID(SUBSTITUTE(SUBSTITUTE(SUBSTITUTE(SUBSTITUTE(TRIM(B59),"*",""),".",""),"-","")," ",""),4,6),SUBSTITUTE(SUBSTITUTE(SUBSTITUTE(SUBSTITUTE(TRIM(B59),"*",""),".",""),"-","")," ","")))</f>
        <v/>
      </c>
      <c r="J59" s="28" t="str">
        <f aca="false">IF(OR(H59="",I59=""),"",H59&amp;"|"&amp;I59)</f>
        <v/>
      </c>
      <c r="K59" s="19" t="str">
        <f aca="false">IF(H59="","",IF(J59&lt;&gt;"",COUNTIF(Socios!$J:$J,J59),IF(COUNTIF(Socios!$H:$H,H59)&gt;0,"nome igual em Socios: confira o CPF","sem CPF: não cruzado")))</f>
        <v/>
      </c>
      <c r="L59" s="27"/>
      <c r="M59" s="5"/>
    </row>
    <row r="60" customFormat="false" ht="15" hidden="false" customHeight="false" outlineLevel="0" collapsed="false">
      <c r="A60" s="5"/>
      <c r="B60" s="27"/>
      <c r="C60" s="5"/>
      <c r="D60" s="5"/>
      <c r="E60" s="18"/>
      <c r="F60" s="14"/>
      <c r="G60" s="5"/>
      <c r="H60" s="28" t="str">
        <f aca="false">IF(A60="","",SUBSTITUTE(SUBSTITUTE(SUBSTITUTE(SUBSTITUTE(SUBSTITUTE(SUBSTITUTE(SUBSTITUTE(SUBSTITUTE(SUBSTITUTE(SUBSTITUTE(SUBSTITUTE(SUBSTITUTE(SUBSTITUTE(UPPER(TRIM(A60)),"Á","A"),"À","A"),"Â","A"),"Ã","A"),"É","E"),"Ê","E"),"Í","I"),"Ó","O"),"Ô","O"),"Õ","O"),"Ú","U"),"Ü","U"),"Ç","C"))</f>
        <v/>
      </c>
      <c r="I60" s="28" t="str">
        <f aca="false">IF(B60="","",IF(LEN(SUBSTITUTE(SUBSTITUTE(SUBSTITUTE(SUBSTITUTE(TRIM(B60),"*",""),".",""),"-","")," ",""))=11,MID(SUBSTITUTE(SUBSTITUTE(SUBSTITUTE(SUBSTITUTE(TRIM(B60),"*",""),".",""),"-","")," ",""),4,6),SUBSTITUTE(SUBSTITUTE(SUBSTITUTE(SUBSTITUTE(TRIM(B60),"*",""),".",""),"-","")," ","")))</f>
        <v/>
      </c>
      <c r="J60" s="28" t="str">
        <f aca="false">IF(OR(H60="",I60=""),"",H60&amp;"|"&amp;I60)</f>
        <v/>
      </c>
      <c r="K60" s="19" t="str">
        <f aca="false">IF(H60="","",IF(J60&lt;&gt;"",COUNTIF(Socios!$J:$J,J60),IF(COUNTIF(Socios!$H:$H,H60)&gt;0,"nome igual em Socios: confira o CPF","sem CPF: não cruzado")))</f>
        <v/>
      </c>
      <c r="L60" s="27"/>
      <c r="M60" s="5"/>
    </row>
    <row r="61" customFormat="false" ht="15" hidden="false" customHeight="false" outlineLevel="0" collapsed="false">
      <c r="A61" s="5"/>
      <c r="B61" s="27"/>
      <c r="C61" s="5"/>
      <c r="D61" s="5"/>
      <c r="E61" s="18"/>
      <c r="F61" s="14"/>
      <c r="G61" s="5"/>
      <c r="H61" s="28" t="str">
        <f aca="false">IF(A61="","",SUBSTITUTE(SUBSTITUTE(SUBSTITUTE(SUBSTITUTE(SUBSTITUTE(SUBSTITUTE(SUBSTITUTE(SUBSTITUTE(SUBSTITUTE(SUBSTITUTE(SUBSTITUTE(SUBSTITUTE(SUBSTITUTE(UPPER(TRIM(A61)),"Á","A"),"À","A"),"Â","A"),"Ã","A"),"É","E"),"Ê","E"),"Í","I"),"Ó","O"),"Ô","O"),"Õ","O"),"Ú","U"),"Ü","U"),"Ç","C"))</f>
        <v/>
      </c>
      <c r="I61" s="28" t="str">
        <f aca="false">IF(B61="","",IF(LEN(SUBSTITUTE(SUBSTITUTE(SUBSTITUTE(SUBSTITUTE(TRIM(B61),"*",""),".",""),"-","")," ",""))=11,MID(SUBSTITUTE(SUBSTITUTE(SUBSTITUTE(SUBSTITUTE(TRIM(B61),"*",""),".",""),"-","")," ",""),4,6),SUBSTITUTE(SUBSTITUTE(SUBSTITUTE(SUBSTITUTE(TRIM(B61),"*",""),".",""),"-","")," ","")))</f>
        <v/>
      </c>
      <c r="J61" s="28" t="str">
        <f aca="false">IF(OR(H61="",I61=""),"",H61&amp;"|"&amp;I61)</f>
        <v/>
      </c>
      <c r="K61" s="19" t="str">
        <f aca="false">IF(H61="","",IF(J61&lt;&gt;"",COUNTIF(Socios!$J:$J,J61),IF(COUNTIF(Socios!$H:$H,H61)&gt;0,"nome igual em Socios: confira o CPF","sem CPF: não cruzado")))</f>
        <v/>
      </c>
      <c r="L61" s="27"/>
      <c r="M61" s="5"/>
    </row>
    <row r="62" customFormat="false" ht="15" hidden="false" customHeight="false" outlineLevel="0" collapsed="false">
      <c r="A62" s="5"/>
      <c r="B62" s="27"/>
      <c r="C62" s="5"/>
      <c r="D62" s="5"/>
      <c r="E62" s="18"/>
      <c r="F62" s="14"/>
      <c r="G62" s="5"/>
      <c r="H62" s="28" t="str">
        <f aca="false">IF(A62="","",SUBSTITUTE(SUBSTITUTE(SUBSTITUTE(SUBSTITUTE(SUBSTITUTE(SUBSTITUTE(SUBSTITUTE(SUBSTITUTE(SUBSTITUTE(SUBSTITUTE(SUBSTITUTE(SUBSTITUTE(SUBSTITUTE(UPPER(TRIM(A62)),"Á","A"),"À","A"),"Â","A"),"Ã","A"),"É","E"),"Ê","E"),"Í","I"),"Ó","O"),"Ô","O"),"Õ","O"),"Ú","U"),"Ü","U"),"Ç","C"))</f>
        <v/>
      </c>
      <c r="I62" s="28" t="str">
        <f aca="false">IF(B62="","",IF(LEN(SUBSTITUTE(SUBSTITUTE(SUBSTITUTE(SUBSTITUTE(TRIM(B62),"*",""),".",""),"-","")," ",""))=11,MID(SUBSTITUTE(SUBSTITUTE(SUBSTITUTE(SUBSTITUTE(TRIM(B62),"*",""),".",""),"-","")," ",""),4,6),SUBSTITUTE(SUBSTITUTE(SUBSTITUTE(SUBSTITUTE(TRIM(B62),"*",""),".",""),"-","")," ","")))</f>
        <v/>
      </c>
      <c r="J62" s="28" t="str">
        <f aca="false">IF(OR(H62="",I62=""),"",H62&amp;"|"&amp;I62)</f>
        <v/>
      </c>
      <c r="K62" s="19" t="str">
        <f aca="false">IF(H62="","",IF(J62&lt;&gt;"",COUNTIF(Socios!$J:$J,J62),IF(COUNTIF(Socios!$H:$H,H62)&gt;0,"nome igual em Socios: confira o CPF","sem CPF: não cruzado")))</f>
        <v/>
      </c>
      <c r="L62" s="27"/>
      <c r="M62" s="5"/>
    </row>
    <row r="63" customFormat="false" ht="15" hidden="false" customHeight="false" outlineLevel="0" collapsed="false">
      <c r="A63" s="5"/>
      <c r="B63" s="27"/>
      <c r="C63" s="5"/>
      <c r="D63" s="5"/>
      <c r="E63" s="18"/>
      <c r="F63" s="14"/>
      <c r="G63" s="5"/>
      <c r="H63" s="28" t="str">
        <f aca="false">IF(A63="","",SUBSTITUTE(SUBSTITUTE(SUBSTITUTE(SUBSTITUTE(SUBSTITUTE(SUBSTITUTE(SUBSTITUTE(SUBSTITUTE(SUBSTITUTE(SUBSTITUTE(SUBSTITUTE(SUBSTITUTE(SUBSTITUTE(UPPER(TRIM(A63)),"Á","A"),"À","A"),"Â","A"),"Ã","A"),"É","E"),"Ê","E"),"Í","I"),"Ó","O"),"Ô","O"),"Õ","O"),"Ú","U"),"Ü","U"),"Ç","C"))</f>
        <v/>
      </c>
      <c r="I63" s="28" t="str">
        <f aca="false">IF(B63="","",IF(LEN(SUBSTITUTE(SUBSTITUTE(SUBSTITUTE(SUBSTITUTE(TRIM(B63),"*",""),".",""),"-","")," ",""))=11,MID(SUBSTITUTE(SUBSTITUTE(SUBSTITUTE(SUBSTITUTE(TRIM(B63),"*",""),".",""),"-","")," ",""),4,6),SUBSTITUTE(SUBSTITUTE(SUBSTITUTE(SUBSTITUTE(TRIM(B63),"*",""),".",""),"-","")," ","")))</f>
        <v/>
      </c>
      <c r="J63" s="28" t="str">
        <f aca="false">IF(OR(H63="",I63=""),"",H63&amp;"|"&amp;I63)</f>
        <v/>
      </c>
      <c r="K63" s="19" t="str">
        <f aca="false">IF(H63="","",IF(J63&lt;&gt;"",COUNTIF(Socios!$J:$J,J63),IF(COUNTIF(Socios!$H:$H,H63)&gt;0,"nome igual em Socios: confira o CPF","sem CPF: não cruzado")))</f>
        <v/>
      </c>
      <c r="L63" s="27"/>
      <c r="M63" s="5"/>
    </row>
    <row r="64" customFormat="false" ht="15" hidden="false" customHeight="false" outlineLevel="0" collapsed="false">
      <c r="A64" s="5"/>
      <c r="B64" s="27"/>
      <c r="C64" s="5"/>
      <c r="D64" s="5"/>
      <c r="E64" s="18"/>
      <c r="F64" s="14"/>
      <c r="G64" s="5"/>
      <c r="H64" s="28" t="str">
        <f aca="false">IF(A64="","",SUBSTITUTE(SUBSTITUTE(SUBSTITUTE(SUBSTITUTE(SUBSTITUTE(SUBSTITUTE(SUBSTITUTE(SUBSTITUTE(SUBSTITUTE(SUBSTITUTE(SUBSTITUTE(SUBSTITUTE(SUBSTITUTE(UPPER(TRIM(A64)),"Á","A"),"À","A"),"Â","A"),"Ã","A"),"É","E"),"Ê","E"),"Í","I"),"Ó","O"),"Ô","O"),"Õ","O"),"Ú","U"),"Ü","U"),"Ç","C"))</f>
        <v/>
      </c>
      <c r="I64" s="28" t="str">
        <f aca="false">IF(B64="","",IF(LEN(SUBSTITUTE(SUBSTITUTE(SUBSTITUTE(SUBSTITUTE(TRIM(B64),"*",""),".",""),"-","")," ",""))=11,MID(SUBSTITUTE(SUBSTITUTE(SUBSTITUTE(SUBSTITUTE(TRIM(B64),"*",""),".",""),"-","")," ",""),4,6),SUBSTITUTE(SUBSTITUTE(SUBSTITUTE(SUBSTITUTE(TRIM(B64),"*",""),".",""),"-","")," ","")))</f>
        <v/>
      </c>
      <c r="J64" s="28" t="str">
        <f aca="false">IF(OR(H64="",I64=""),"",H64&amp;"|"&amp;I64)</f>
        <v/>
      </c>
      <c r="K64" s="19" t="str">
        <f aca="false">IF(H64="","",IF(J64&lt;&gt;"",COUNTIF(Socios!$J:$J,J64),IF(COUNTIF(Socios!$H:$H,H64)&gt;0,"nome igual em Socios: confira o CPF","sem CPF: não cruzado")))</f>
        <v/>
      </c>
      <c r="L64" s="27"/>
      <c r="M64" s="5"/>
    </row>
    <row r="65" customFormat="false" ht="15" hidden="false" customHeight="false" outlineLevel="0" collapsed="false">
      <c r="A65" s="5"/>
      <c r="B65" s="27"/>
      <c r="C65" s="5"/>
      <c r="D65" s="5"/>
      <c r="E65" s="18"/>
      <c r="F65" s="14"/>
      <c r="G65" s="5"/>
      <c r="H65" s="28" t="str">
        <f aca="false">IF(A65="","",SUBSTITUTE(SUBSTITUTE(SUBSTITUTE(SUBSTITUTE(SUBSTITUTE(SUBSTITUTE(SUBSTITUTE(SUBSTITUTE(SUBSTITUTE(SUBSTITUTE(SUBSTITUTE(SUBSTITUTE(SUBSTITUTE(UPPER(TRIM(A65)),"Á","A"),"À","A"),"Â","A"),"Ã","A"),"É","E"),"Ê","E"),"Í","I"),"Ó","O"),"Ô","O"),"Õ","O"),"Ú","U"),"Ü","U"),"Ç","C"))</f>
        <v/>
      </c>
      <c r="I65" s="28" t="str">
        <f aca="false">IF(B65="","",IF(LEN(SUBSTITUTE(SUBSTITUTE(SUBSTITUTE(SUBSTITUTE(TRIM(B65),"*",""),".",""),"-","")," ",""))=11,MID(SUBSTITUTE(SUBSTITUTE(SUBSTITUTE(SUBSTITUTE(TRIM(B65),"*",""),".",""),"-","")," ",""),4,6),SUBSTITUTE(SUBSTITUTE(SUBSTITUTE(SUBSTITUTE(TRIM(B65),"*",""),".",""),"-","")," ","")))</f>
        <v/>
      </c>
      <c r="J65" s="28" t="str">
        <f aca="false">IF(OR(H65="",I65=""),"",H65&amp;"|"&amp;I65)</f>
        <v/>
      </c>
      <c r="K65" s="19" t="str">
        <f aca="false">IF(H65="","",IF(J65&lt;&gt;"",COUNTIF(Socios!$J:$J,J65),IF(COUNTIF(Socios!$H:$H,H65)&gt;0,"nome igual em Socios: confira o CPF","sem CPF: não cruzado")))</f>
        <v/>
      </c>
      <c r="L65" s="27"/>
      <c r="M65" s="5"/>
    </row>
    <row r="66" customFormat="false" ht="15" hidden="false" customHeight="false" outlineLevel="0" collapsed="false">
      <c r="A66" s="5"/>
      <c r="B66" s="27"/>
      <c r="C66" s="5"/>
      <c r="D66" s="5"/>
      <c r="E66" s="18"/>
      <c r="F66" s="14"/>
      <c r="G66" s="5"/>
      <c r="H66" s="28" t="str">
        <f aca="false">IF(A66="","",SUBSTITUTE(SUBSTITUTE(SUBSTITUTE(SUBSTITUTE(SUBSTITUTE(SUBSTITUTE(SUBSTITUTE(SUBSTITUTE(SUBSTITUTE(SUBSTITUTE(SUBSTITUTE(SUBSTITUTE(SUBSTITUTE(UPPER(TRIM(A66)),"Á","A"),"À","A"),"Â","A"),"Ã","A"),"É","E"),"Ê","E"),"Í","I"),"Ó","O"),"Ô","O"),"Õ","O"),"Ú","U"),"Ü","U"),"Ç","C"))</f>
        <v/>
      </c>
      <c r="I66" s="28" t="str">
        <f aca="false">IF(B66="","",IF(LEN(SUBSTITUTE(SUBSTITUTE(SUBSTITUTE(SUBSTITUTE(TRIM(B66),"*",""),".",""),"-","")," ",""))=11,MID(SUBSTITUTE(SUBSTITUTE(SUBSTITUTE(SUBSTITUTE(TRIM(B66),"*",""),".",""),"-","")," ",""),4,6),SUBSTITUTE(SUBSTITUTE(SUBSTITUTE(SUBSTITUTE(TRIM(B66),"*",""),".",""),"-","")," ","")))</f>
        <v/>
      </c>
      <c r="J66" s="28" t="str">
        <f aca="false">IF(OR(H66="",I66=""),"",H66&amp;"|"&amp;I66)</f>
        <v/>
      </c>
      <c r="K66" s="19" t="str">
        <f aca="false">IF(H66="","",IF(J66&lt;&gt;"",COUNTIF(Socios!$J:$J,J66),IF(COUNTIF(Socios!$H:$H,H66)&gt;0,"nome igual em Socios: confira o CPF","sem CPF: não cruzado")))</f>
        <v/>
      </c>
      <c r="L66" s="27"/>
      <c r="M66" s="5"/>
    </row>
    <row r="67" customFormat="false" ht="15" hidden="false" customHeight="false" outlineLevel="0" collapsed="false">
      <c r="A67" s="5"/>
      <c r="B67" s="27"/>
      <c r="C67" s="5"/>
      <c r="D67" s="5"/>
      <c r="E67" s="18"/>
      <c r="F67" s="14"/>
      <c r="G67" s="5"/>
      <c r="H67" s="28" t="str">
        <f aca="false">IF(A67="","",SUBSTITUTE(SUBSTITUTE(SUBSTITUTE(SUBSTITUTE(SUBSTITUTE(SUBSTITUTE(SUBSTITUTE(SUBSTITUTE(SUBSTITUTE(SUBSTITUTE(SUBSTITUTE(SUBSTITUTE(SUBSTITUTE(UPPER(TRIM(A67)),"Á","A"),"À","A"),"Â","A"),"Ã","A"),"É","E"),"Ê","E"),"Í","I"),"Ó","O"),"Ô","O"),"Õ","O"),"Ú","U"),"Ü","U"),"Ç","C"))</f>
        <v/>
      </c>
      <c r="I67" s="28" t="str">
        <f aca="false">IF(B67="","",IF(LEN(SUBSTITUTE(SUBSTITUTE(SUBSTITUTE(SUBSTITUTE(TRIM(B67),"*",""),".",""),"-","")," ",""))=11,MID(SUBSTITUTE(SUBSTITUTE(SUBSTITUTE(SUBSTITUTE(TRIM(B67),"*",""),".",""),"-","")," ",""),4,6),SUBSTITUTE(SUBSTITUTE(SUBSTITUTE(SUBSTITUTE(TRIM(B67),"*",""),".",""),"-","")," ","")))</f>
        <v/>
      </c>
      <c r="J67" s="28" t="str">
        <f aca="false">IF(OR(H67="",I67=""),"",H67&amp;"|"&amp;I67)</f>
        <v/>
      </c>
      <c r="K67" s="19" t="str">
        <f aca="false">IF(H67="","",IF(J67&lt;&gt;"",COUNTIF(Socios!$J:$J,J67),IF(COUNTIF(Socios!$H:$H,H67)&gt;0,"nome igual em Socios: confira o CPF","sem CPF: não cruzado")))</f>
        <v/>
      </c>
      <c r="L67" s="27"/>
      <c r="M67" s="5"/>
    </row>
    <row r="68" customFormat="false" ht="15" hidden="false" customHeight="false" outlineLevel="0" collapsed="false">
      <c r="A68" s="5"/>
      <c r="B68" s="27"/>
      <c r="C68" s="5"/>
      <c r="D68" s="5"/>
      <c r="E68" s="18"/>
      <c r="F68" s="14"/>
      <c r="G68" s="5"/>
      <c r="H68" s="28" t="str">
        <f aca="false">IF(A68="","",SUBSTITUTE(SUBSTITUTE(SUBSTITUTE(SUBSTITUTE(SUBSTITUTE(SUBSTITUTE(SUBSTITUTE(SUBSTITUTE(SUBSTITUTE(SUBSTITUTE(SUBSTITUTE(SUBSTITUTE(SUBSTITUTE(UPPER(TRIM(A68)),"Á","A"),"À","A"),"Â","A"),"Ã","A"),"É","E"),"Ê","E"),"Í","I"),"Ó","O"),"Ô","O"),"Õ","O"),"Ú","U"),"Ü","U"),"Ç","C"))</f>
        <v/>
      </c>
      <c r="I68" s="28" t="str">
        <f aca="false">IF(B68="","",IF(LEN(SUBSTITUTE(SUBSTITUTE(SUBSTITUTE(SUBSTITUTE(TRIM(B68),"*",""),".",""),"-","")," ",""))=11,MID(SUBSTITUTE(SUBSTITUTE(SUBSTITUTE(SUBSTITUTE(TRIM(B68),"*",""),".",""),"-","")," ",""),4,6),SUBSTITUTE(SUBSTITUTE(SUBSTITUTE(SUBSTITUTE(TRIM(B68),"*",""),".",""),"-","")," ","")))</f>
        <v/>
      </c>
      <c r="J68" s="28" t="str">
        <f aca="false">IF(OR(H68="",I68=""),"",H68&amp;"|"&amp;I68)</f>
        <v/>
      </c>
      <c r="K68" s="19" t="str">
        <f aca="false">IF(H68="","",IF(J68&lt;&gt;"",COUNTIF(Socios!$J:$J,J68),IF(COUNTIF(Socios!$H:$H,H68)&gt;0,"nome igual em Socios: confira o CPF","sem CPF: não cruzado")))</f>
        <v/>
      </c>
      <c r="L68" s="27"/>
      <c r="M68" s="5"/>
    </row>
    <row r="69" customFormat="false" ht="15" hidden="false" customHeight="false" outlineLevel="0" collapsed="false">
      <c r="A69" s="5"/>
      <c r="B69" s="27"/>
      <c r="C69" s="5"/>
      <c r="D69" s="5"/>
      <c r="E69" s="18"/>
      <c r="F69" s="14"/>
      <c r="G69" s="5"/>
      <c r="H69" s="28" t="str">
        <f aca="false">IF(A69="","",SUBSTITUTE(SUBSTITUTE(SUBSTITUTE(SUBSTITUTE(SUBSTITUTE(SUBSTITUTE(SUBSTITUTE(SUBSTITUTE(SUBSTITUTE(SUBSTITUTE(SUBSTITUTE(SUBSTITUTE(SUBSTITUTE(UPPER(TRIM(A69)),"Á","A"),"À","A"),"Â","A"),"Ã","A"),"É","E"),"Ê","E"),"Í","I"),"Ó","O"),"Ô","O"),"Õ","O"),"Ú","U"),"Ü","U"),"Ç","C"))</f>
        <v/>
      </c>
      <c r="I69" s="28" t="str">
        <f aca="false">IF(B69="","",IF(LEN(SUBSTITUTE(SUBSTITUTE(SUBSTITUTE(SUBSTITUTE(TRIM(B69),"*",""),".",""),"-","")," ",""))=11,MID(SUBSTITUTE(SUBSTITUTE(SUBSTITUTE(SUBSTITUTE(TRIM(B69),"*",""),".",""),"-","")," ",""),4,6),SUBSTITUTE(SUBSTITUTE(SUBSTITUTE(SUBSTITUTE(TRIM(B69),"*",""),".",""),"-","")," ","")))</f>
        <v/>
      </c>
      <c r="J69" s="28" t="str">
        <f aca="false">IF(OR(H69="",I69=""),"",H69&amp;"|"&amp;I69)</f>
        <v/>
      </c>
      <c r="K69" s="19" t="str">
        <f aca="false">IF(H69="","",IF(J69&lt;&gt;"",COUNTIF(Socios!$J:$J,J69),IF(COUNTIF(Socios!$H:$H,H69)&gt;0,"nome igual em Socios: confira o CPF","sem CPF: não cruzado")))</f>
        <v/>
      </c>
      <c r="L69" s="27"/>
      <c r="M69" s="5"/>
    </row>
    <row r="70" customFormat="false" ht="15" hidden="false" customHeight="false" outlineLevel="0" collapsed="false">
      <c r="A70" s="5"/>
      <c r="B70" s="27"/>
      <c r="C70" s="5"/>
      <c r="D70" s="5"/>
      <c r="E70" s="18"/>
      <c r="F70" s="14"/>
      <c r="G70" s="5"/>
      <c r="H70" s="28" t="str">
        <f aca="false">IF(A70="","",SUBSTITUTE(SUBSTITUTE(SUBSTITUTE(SUBSTITUTE(SUBSTITUTE(SUBSTITUTE(SUBSTITUTE(SUBSTITUTE(SUBSTITUTE(SUBSTITUTE(SUBSTITUTE(SUBSTITUTE(SUBSTITUTE(UPPER(TRIM(A70)),"Á","A"),"À","A"),"Â","A"),"Ã","A"),"É","E"),"Ê","E"),"Í","I"),"Ó","O"),"Ô","O"),"Õ","O"),"Ú","U"),"Ü","U"),"Ç","C"))</f>
        <v/>
      </c>
      <c r="I70" s="28" t="str">
        <f aca="false">IF(B70="","",IF(LEN(SUBSTITUTE(SUBSTITUTE(SUBSTITUTE(SUBSTITUTE(TRIM(B70),"*",""),".",""),"-","")," ",""))=11,MID(SUBSTITUTE(SUBSTITUTE(SUBSTITUTE(SUBSTITUTE(TRIM(B70),"*",""),".",""),"-","")," ",""),4,6),SUBSTITUTE(SUBSTITUTE(SUBSTITUTE(SUBSTITUTE(TRIM(B70),"*",""),".",""),"-","")," ","")))</f>
        <v/>
      </c>
      <c r="J70" s="28" t="str">
        <f aca="false">IF(OR(H70="",I70=""),"",H70&amp;"|"&amp;I70)</f>
        <v/>
      </c>
      <c r="K70" s="19" t="str">
        <f aca="false">IF(H70="","",IF(J70&lt;&gt;"",COUNTIF(Socios!$J:$J,J70),IF(COUNTIF(Socios!$H:$H,H70)&gt;0,"nome igual em Socios: confira o CPF","sem CPF: não cruzado")))</f>
        <v/>
      </c>
      <c r="L70" s="27"/>
      <c r="M70" s="5"/>
    </row>
    <row r="71" customFormat="false" ht="15" hidden="false" customHeight="false" outlineLevel="0" collapsed="false">
      <c r="A71" s="5"/>
      <c r="B71" s="27"/>
      <c r="C71" s="5"/>
      <c r="D71" s="5"/>
      <c r="E71" s="18"/>
      <c r="F71" s="14"/>
      <c r="G71" s="5"/>
      <c r="H71" s="28" t="str">
        <f aca="false">IF(A71="","",SUBSTITUTE(SUBSTITUTE(SUBSTITUTE(SUBSTITUTE(SUBSTITUTE(SUBSTITUTE(SUBSTITUTE(SUBSTITUTE(SUBSTITUTE(SUBSTITUTE(SUBSTITUTE(SUBSTITUTE(SUBSTITUTE(UPPER(TRIM(A71)),"Á","A"),"À","A"),"Â","A"),"Ã","A"),"É","E"),"Ê","E"),"Í","I"),"Ó","O"),"Ô","O"),"Õ","O"),"Ú","U"),"Ü","U"),"Ç","C"))</f>
        <v/>
      </c>
      <c r="I71" s="28" t="str">
        <f aca="false">IF(B71="","",IF(LEN(SUBSTITUTE(SUBSTITUTE(SUBSTITUTE(SUBSTITUTE(TRIM(B71),"*",""),".",""),"-","")," ",""))=11,MID(SUBSTITUTE(SUBSTITUTE(SUBSTITUTE(SUBSTITUTE(TRIM(B71),"*",""),".",""),"-","")," ",""),4,6),SUBSTITUTE(SUBSTITUTE(SUBSTITUTE(SUBSTITUTE(TRIM(B71),"*",""),".",""),"-","")," ","")))</f>
        <v/>
      </c>
      <c r="J71" s="28" t="str">
        <f aca="false">IF(OR(H71="",I71=""),"",H71&amp;"|"&amp;I71)</f>
        <v/>
      </c>
      <c r="K71" s="19" t="str">
        <f aca="false">IF(H71="","",IF(J71&lt;&gt;"",COUNTIF(Socios!$J:$J,J71),IF(COUNTIF(Socios!$H:$H,H71)&gt;0,"nome igual em Socios: confira o CPF","sem CPF: não cruzado")))</f>
        <v/>
      </c>
      <c r="L71" s="27"/>
      <c r="M71" s="5"/>
    </row>
    <row r="72" customFormat="false" ht="15" hidden="false" customHeight="false" outlineLevel="0" collapsed="false">
      <c r="A72" s="5"/>
      <c r="B72" s="27"/>
      <c r="C72" s="5"/>
      <c r="D72" s="5"/>
      <c r="E72" s="18"/>
      <c r="F72" s="14"/>
      <c r="G72" s="5"/>
      <c r="H72" s="28" t="str">
        <f aca="false">IF(A72="","",SUBSTITUTE(SUBSTITUTE(SUBSTITUTE(SUBSTITUTE(SUBSTITUTE(SUBSTITUTE(SUBSTITUTE(SUBSTITUTE(SUBSTITUTE(SUBSTITUTE(SUBSTITUTE(SUBSTITUTE(SUBSTITUTE(UPPER(TRIM(A72)),"Á","A"),"À","A"),"Â","A"),"Ã","A"),"É","E"),"Ê","E"),"Í","I"),"Ó","O"),"Ô","O"),"Õ","O"),"Ú","U"),"Ü","U"),"Ç","C"))</f>
        <v/>
      </c>
      <c r="I72" s="28" t="str">
        <f aca="false">IF(B72="","",IF(LEN(SUBSTITUTE(SUBSTITUTE(SUBSTITUTE(SUBSTITUTE(TRIM(B72),"*",""),".",""),"-","")," ",""))=11,MID(SUBSTITUTE(SUBSTITUTE(SUBSTITUTE(SUBSTITUTE(TRIM(B72),"*",""),".",""),"-","")," ",""),4,6),SUBSTITUTE(SUBSTITUTE(SUBSTITUTE(SUBSTITUTE(TRIM(B72),"*",""),".",""),"-","")," ","")))</f>
        <v/>
      </c>
      <c r="J72" s="28" t="str">
        <f aca="false">IF(OR(H72="",I72=""),"",H72&amp;"|"&amp;I72)</f>
        <v/>
      </c>
      <c r="K72" s="19" t="str">
        <f aca="false">IF(H72="","",IF(J72&lt;&gt;"",COUNTIF(Socios!$J:$J,J72),IF(COUNTIF(Socios!$H:$H,H72)&gt;0,"nome igual em Socios: confira o CPF","sem CPF: não cruzado")))</f>
        <v/>
      </c>
      <c r="L72" s="27"/>
      <c r="M72" s="5"/>
    </row>
    <row r="73" customFormat="false" ht="15" hidden="false" customHeight="false" outlineLevel="0" collapsed="false">
      <c r="A73" s="5"/>
      <c r="B73" s="27"/>
      <c r="C73" s="5"/>
      <c r="D73" s="5"/>
      <c r="E73" s="18"/>
      <c r="F73" s="14"/>
      <c r="G73" s="5"/>
      <c r="H73" s="28" t="str">
        <f aca="false">IF(A73="","",SUBSTITUTE(SUBSTITUTE(SUBSTITUTE(SUBSTITUTE(SUBSTITUTE(SUBSTITUTE(SUBSTITUTE(SUBSTITUTE(SUBSTITUTE(SUBSTITUTE(SUBSTITUTE(SUBSTITUTE(SUBSTITUTE(UPPER(TRIM(A73)),"Á","A"),"À","A"),"Â","A"),"Ã","A"),"É","E"),"Ê","E"),"Í","I"),"Ó","O"),"Ô","O"),"Õ","O"),"Ú","U"),"Ü","U"),"Ç","C"))</f>
        <v/>
      </c>
      <c r="I73" s="28" t="str">
        <f aca="false">IF(B73="","",IF(LEN(SUBSTITUTE(SUBSTITUTE(SUBSTITUTE(SUBSTITUTE(TRIM(B73),"*",""),".",""),"-","")," ",""))=11,MID(SUBSTITUTE(SUBSTITUTE(SUBSTITUTE(SUBSTITUTE(TRIM(B73),"*",""),".",""),"-","")," ",""),4,6),SUBSTITUTE(SUBSTITUTE(SUBSTITUTE(SUBSTITUTE(TRIM(B73),"*",""),".",""),"-","")," ","")))</f>
        <v/>
      </c>
      <c r="J73" s="28" t="str">
        <f aca="false">IF(OR(H73="",I73=""),"",H73&amp;"|"&amp;I73)</f>
        <v/>
      </c>
      <c r="K73" s="19" t="str">
        <f aca="false">IF(H73="","",IF(J73&lt;&gt;"",COUNTIF(Socios!$J:$J,J73),IF(COUNTIF(Socios!$H:$H,H73)&gt;0,"nome igual em Socios: confira o CPF","sem CPF: não cruzado")))</f>
        <v/>
      </c>
      <c r="L73" s="27"/>
      <c r="M73" s="5"/>
    </row>
    <row r="74" customFormat="false" ht="15" hidden="false" customHeight="false" outlineLevel="0" collapsed="false">
      <c r="A74" s="5"/>
      <c r="B74" s="27"/>
      <c r="C74" s="5"/>
      <c r="D74" s="5"/>
      <c r="E74" s="18"/>
      <c r="F74" s="14"/>
      <c r="G74" s="5"/>
      <c r="H74" s="28" t="str">
        <f aca="false">IF(A74="","",SUBSTITUTE(SUBSTITUTE(SUBSTITUTE(SUBSTITUTE(SUBSTITUTE(SUBSTITUTE(SUBSTITUTE(SUBSTITUTE(SUBSTITUTE(SUBSTITUTE(SUBSTITUTE(SUBSTITUTE(SUBSTITUTE(UPPER(TRIM(A74)),"Á","A"),"À","A"),"Â","A"),"Ã","A"),"É","E"),"Ê","E"),"Í","I"),"Ó","O"),"Ô","O"),"Õ","O"),"Ú","U"),"Ü","U"),"Ç","C"))</f>
        <v/>
      </c>
      <c r="I74" s="28" t="str">
        <f aca="false">IF(B74="","",IF(LEN(SUBSTITUTE(SUBSTITUTE(SUBSTITUTE(SUBSTITUTE(TRIM(B74),"*",""),".",""),"-","")," ",""))=11,MID(SUBSTITUTE(SUBSTITUTE(SUBSTITUTE(SUBSTITUTE(TRIM(B74),"*",""),".",""),"-","")," ",""),4,6),SUBSTITUTE(SUBSTITUTE(SUBSTITUTE(SUBSTITUTE(TRIM(B74),"*",""),".",""),"-","")," ","")))</f>
        <v/>
      </c>
      <c r="J74" s="28" t="str">
        <f aca="false">IF(OR(H74="",I74=""),"",H74&amp;"|"&amp;I74)</f>
        <v/>
      </c>
      <c r="K74" s="19" t="str">
        <f aca="false">IF(H74="","",IF(J74&lt;&gt;"",COUNTIF(Socios!$J:$J,J74),IF(COUNTIF(Socios!$H:$H,H74)&gt;0,"nome igual em Socios: confira o CPF","sem CPF: não cruzado")))</f>
        <v/>
      </c>
      <c r="L74" s="27"/>
      <c r="M74" s="5"/>
    </row>
    <row r="75" customFormat="false" ht="15" hidden="false" customHeight="false" outlineLevel="0" collapsed="false">
      <c r="A75" s="5"/>
      <c r="B75" s="27"/>
      <c r="C75" s="5"/>
      <c r="D75" s="5"/>
      <c r="E75" s="18"/>
      <c r="F75" s="14"/>
      <c r="G75" s="5"/>
      <c r="H75" s="28" t="str">
        <f aca="false">IF(A75="","",SUBSTITUTE(SUBSTITUTE(SUBSTITUTE(SUBSTITUTE(SUBSTITUTE(SUBSTITUTE(SUBSTITUTE(SUBSTITUTE(SUBSTITUTE(SUBSTITUTE(SUBSTITUTE(SUBSTITUTE(SUBSTITUTE(UPPER(TRIM(A75)),"Á","A"),"À","A"),"Â","A"),"Ã","A"),"É","E"),"Ê","E"),"Í","I"),"Ó","O"),"Ô","O"),"Õ","O"),"Ú","U"),"Ü","U"),"Ç","C"))</f>
        <v/>
      </c>
      <c r="I75" s="28" t="str">
        <f aca="false">IF(B75="","",IF(LEN(SUBSTITUTE(SUBSTITUTE(SUBSTITUTE(SUBSTITUTE(TRIM(B75),"*",""),".",""),"-","")," ",""))=11,MID(SUBSTITUTE(SUBSTITUTE(SUBSTITUTE(SUBSTITUTE(TRIM(B75),"*",""),".",""),"-","")," ",""),4,6),SUBSTITUTE(SUBSTITUTE(SUBSTITUTE(SUBSTITUTE(TRIM(B75),"*",""),".",""),"-","")," ","")))</f>
        <v/>
      </c>
      <c r="J75" s="28" t="str">
        <f aca="false">IF(OR(H75="",I75=""),"",H75&amp;"|"&amp;I75)</f>
        <v/>
      </c>
      <c r="K75" s="19" t="str">
        <f aca="false">IF(H75="","",IF(J75&lt;&gt;"",COUNTIF(Socios!$J:$J,J75),IF(COUNTIF(Socios!$H:$H,H75)&gt;0,"nome igual em Socios: confira o CPF","sem CPF: não cruzado")))</f>
        <v/>
      </c>
      <c r="L75" s="27"/>
      <c r="M75" s="5"/>
    </row>
    <row r="76" customFormat="false" ht="15" hidden="false" customHeight="false" outlineLevel="0" collapsed="false">
      <c r="A76" s="5"/>
      <c r="B76" s="27"/>
      <c r="C76" s="5"/>
      <c r="D76" s="5"/>
      <c r="E76" s="18"/>
      <c r="F76" s="14"/>
      <c r="G76" s="5"/>
      <c r="H76" s="28" t="str">
        <f aca="false">IF(A76="","",SUBSTITUTE(SUBSTITUTE(SUBSTITUTE(SUBSTITUTE(SUBSTITUTE(SUBSTITUTE(SUBSTITUTE(SUBSTITUTE(SUBSTITUTE(SUBSTITUTE(SUBSTITUTE(SUBSTITUTE(SUBSTITUTE(UPPER(TRIM(A76)),"Á","A"),"À","A"),"Â","A"),"Ã","A"),"É","E"),"Ê","E"),"Í","I"),"Ó","O"),"Ô","O"),"Õ","O"),"Ú","U"),"Ü","U"),"Ç","C"))</f>
        <v/>
      </c>
      <c r="I76" s="28" t="str">
        <f aca="false">IF(B76="","",IF(LEN(SUBSTITUTE(SUBSTITUTE(SUBSTITUTE(SUBSTITUTE(TRIM(B76),"*",""),".",""),"-","")," ",""))=11,MID(SUBSTITUTE(SUBSTITUTE(SUBSTITUTE(SUBSTITUTE(TRIM(B76),"*",""),".",""),"-","")," ",""),4,6),SUBSTITUTE(SUBSTITUTE(SUBSTITUTE(SUBSTITUTE(TRIM(B76),"*",""),".",""),"-","")," ","")))</f>
        <v/>
      </c>
      <c r="J76" s="28" t="str">
        <f aca="false">IF(OR(H76="",I76=""),"",H76&amp;"|"&amp;I76)</f>
        <v/>
      </c>
      <c r="K76" s="19" t="str">
        <f aca="false">IF(H76="","",IF(J76&lt;&gt;"",COUNTIF(Socios!$J:$J,J76),IF(COUNTIF(Socios!$H:$H,H76)&gt;0,"nome igual em Socios: confira o CPF","sem CPF: não cruzado")))</f>
        <v/>
      </c>
      <c r="L76" s="27"/>
      <c r="M76" s="5"/>
    </row>
    <row r="77" customFormat="false" ht="15" hidden="false" customHeight="false" outlineLevel="0" collapsed="false">
      <c r="A77" s="5"/>
      <c r="B77" s="27"/>
      <c r="C77" s="5"/>
      <c r="D77" s="5"/>
      <c r="E77" s="18"/>
      <c r="F77" s="14"/>
      <c r="G77" s="5"/>
      <c r="H77" s="28" t="str">
        <f aca="false">IF(A77="","",SUBSTITUTE(SUBSTITUTE(SUBSTITUTE(SUBSTITUTE(SUBSTITUTE(SUBSTITUTE(SUBSTITUTE(SUBSTITUTE(SUBSTITUTE(SUBSTITUTE(SUBSTITUTE(SUBSTITUTE(SUBSTITUTE(UPPER(TRIM(A77)),"Á","A"),"À","A"),"Â","A"),"Ã","A"),"É","E"),"Ê","E"),"Í","I"),"Ó","O"),"Ô","O"),"Õ","O"),"Ú","U"),"Ü","U"),"Ç","C"))</f>
        <v/>
      </c>
      <c r="I77" s="28" t="str">
        <f aca="false">IF(B77="","",IF(LEN(SUBSTITUTE(SUBSTITUTE(SUBSTITUTE(SUBSTITUTE(TRIM(B77),"*",""),".",""),"-","")," ",""))=11,MID(SUBSTITUTE(SUBSTITUTE(SUBSTITUTE(SUBSTITUTE(TRIM(B77),"*",""),".",""),"-","")," ",""),4,6),SUBSTITUTE(SUBSTITUTE(SUBSTITUTE(SUBSTITUTE(TRIM(B77),"*",""),".",""),"-","")," ","")))</f>
        <v/>
      </c>
      <c r="J77" s="28" t="str">
        <f aca="false">IF(OR(H77="",I77=""),"",H77&amp;"|"&amp;I77)</f>
        <v/>
      </c>
      <c r="K77" s="19" t="str">
        <f aca="false">IF(H77="","",IF(J77&lt;&gt;"",COUNTIF(Socios!$J:$J,J77),IF(COUNTIF(Socios!$H:$H,H77)&gt;0,"nome igual em Socios: confira o CPF","sem CPF: não cruzado")))</f>
        <v/>
      </c>
      <c r="L77" s="27"/>
      <c r="M77" s="5"/>
    </row>
    <row r="78" customFormat="false" ht="15" hidden="false" customHeight="false" outlineLevel="0" collapsed="false">
      <c r="A78" s="5"/>
      <c r="B78" s="27"/>
      <c r="C78" s="5"/>
      <c r="D78" s="5"/>
      <c r="E78" s="18"/>
      <c r="F78" s="14"/>
      <c r="G78" s="5"/>
      <c r="H78" s="28" t="str">
        <f aca="false">IF(A78="","",SUBSTITUTE(SUBSTITUTE(SUBSTITUTE(SUBSTITUTE(SUBSTITUTE(SUBSTITUTE(SUBSTITUTE(SUBSTITUTE(SUBSTITUTE(SUBSTITUTE(SUBSTITUTE(SUBSTITUTE(SUBSTITUTE(UPPER(TRIM(A78)),"Á","A"),"À","A"),"Â","A"),"Ã","A"),"É","E"),"Ê","E"),"Í","I"),"Ó","O"),"Ô","O"),"Õ","O"),"Ú","U"),"Ü","U"),"Ç","C"))</f>
        <v/>
      </c>
      <c r="I78" s="28" t="str">
        <f aca="false">IF(B78="","",IF(LEN(SUBSTITUTE(SUBSTITUTE(SUBSTITUTE(SUBSTITUTE(TRIM(B78),"*",""),".",""),"-","")," ",""))=11,MID(SUBSTITUTE(SUBSTITUTE(SUBSTITUTE(SUBSTITUTE(TRIM(B78),"*",""),".",""),"-","")," ",""),4,6),SUBSTITUTE(SUBSTITUTE(SUBSTITUTE(SUBSTITUTE(TRIM(B78),"*",""),".",""),"-","")," ","")))</f>
        <v/>
      </c>
      <c r="J78" s="28" t="str">
        <f aca="false">IF(OR(H78="",I78=""),"",H78&amp;"|"&amp;I78)</f>
        <v/>
      </c>
      <c r="K78" s="19" t="str">
        <f aca="false">IF(H78="","",IF(J78&lt;&gt;"",COUNTIF(Socios!$J:$J,J78),IF(COUNTIF(Socios!$H:$H,H78)&gt;0,"nome igual em Socios: confira o CPF","sem CPF: não cruzado")))</f>
        <v/>
      </c>
      <c r="L78" s="27"/>
      <c r="M78" s="5"/>
    </row>
    <row r="79" customFormat="false" ht="15" hidden="false" customHeight="false" outlineLevel="0" collapsed="false">
      <c r="A79" s="5"/>
      <c r="B79" s="27"/>
      <c r="C79" s="5"/>
      <c r="D79" s="5"/>
      <c r="E79" s="18"/>
      <c r="F79" s="14"/>
      <c r="G79" s="5"/>
      <c r="H79" s="28" t="str">
        <f aca="false">IF(A79="","",SUBSTITUTE(SUBSTITUTE(SUBSTITUTE(SUBSTITUTE(SUBSTITUTE(SUBSTITUTE(SUBSTITUTE(SUBSTITUTE(SUBSTITUTE(SUBSTITUTE(SUBSTITUTE(SUBSTITUTE(SUBSTITUTE(UPPER(TRIM(A79)),"Á","A"),"À","A"),"Â","A"),"Ã","A"),"É","E"),"Ê","E"),"Í","I"),"Ó","O"),"Ô","O"),"Õ","O"),"Ú","U"),"Ü","U"),"Ç","C"))</f>
        <v/>
      </c>
      <c r="I79" s="28" t="str">
        <f aca="false">IF(B79="","",IF(LEN(SUBSTITUTE(SUBSTITUTE(SUBSTITUTE(SUBSTITUTE(TRIM(B79),"*",""),".",""),"-","")," ",""))=11,MID(SUBSTITUTE(SUBSTITUTE(SUBSTITUTE(SUBSTITUTE(TRIM(B79),"*",""),".",""),"-","")," ",""),4,6),SUBSTITUTE(SUBSTITUTE(SUBSTITUTE(SUBSTITUTE(TRIM(B79),"*",""),".",""),"-","")," ","")))</f>
        <v/>
      </c>
      <c r="J79" s="28" t="str">
        <f aca="false">IF(OR(H79="",I79=""),"",H79&amp;"|"&amp;I79)</f>
        <v/>
      </c>
      <c r="K79" s="19" t="str">
        <f aca="false">IF(H79="","",IF(J79&lt;&gt;"",COUNTIF(Socios!$J:$J,J79),IF(COUNTIF(Socios!$H:$H,H79)&gt;0,"nome igual em Socios: confira o CPF","sem CPF: não cruzado")))</f>
        <v/>
      </c>
      <c r="L79" s="27"/>
      <c r="M79" s="5"/>
    </row>
    <row r="80" customFormat="false" ht="15" hidden="false" customHeight="false" outlineLevel="0" collapsed="false">
      <c r="A80" s="5"/>
      <c r="B80" s="27"/>
      <c r="C80" s="5"/>
      <c r="D80" s="5"/>
      <c r="E80" s="18"/>
      <c r="F80" s="14"/>
      <c r="G80" s="5"/>
      <c r="H80" s="28" t="str">
        <f aca="false">IF(A80="","",SUBSTITUTE(SUBSTITUTE(SUBSTITUTE(SUBSTITUTE(SUBSTITUTE(SUBSTITUTE(SUBSTITUTE(SUBSTITUTE(SUBSTITUTE(SUBSTITUTE(SUBSTITUTE(SUBSTITUTE(SUBSTITUTE(UPPER(TRIM(A80)),"Á","A"),"À","A"),"Â","A"),"Ã","A"),"É","E"),"Ê","E"),"Í","I"),"Ó","O"),"Ô","O"),"Õ","O"),"Ú","U"),"Ü","U"),"Ç","C"))</f>
        <v/>
      </c>
      <c r="I80" s="28" t="str">
        <f aca="false">IF(B80="","",IF(LEN(SUBSTITUTE(SUBSTITUTE(SUBSTITUTE(SUBSTITUTE(TRIM(B80),"*",""),".",""),"-","")," ",""))=11,MID(SUBSTITUTE(SUBSTITUTE(SUBSTITUTE(SUBSTITUTE(TRIM(B80),"*",""),".",""),"-","")," ",""),4,6),SUBSTITUTE(SUBSTITUTE(SUBSTITUTE(SUBSTITUTE(TRIM(B80),"*",""),".",""),"-","")," ","")))</f>
        <v/>
      </c>
      <c r="J80" s="28" t="str">
        <f aca="false">IF(OR(H80="",I80=""),"",H80&amp;"|"&amp;I80)</f>
        <v/>
      </c>
      <c r="K80" s="19" t="str">
        <f aca="false">IF(H80="","",IF(J80&lt;&gt;"",COUNTIF(Socios!$J:$J,J80),IF(COUNTIF(Socios!$H:$H,H80)&gt;0,"nome igual em Socios: confira o CPF","sem CPF: não cruzado")))</f>
        <v/>
      </c>
      <c r="L80" s="27"/>
      <c r="M80" s="5"/>
    </row>
    <row r="81" customFormat="false" ht="15" hidden="false" customHeight="false" outlineLevel="0" collapsed="false">
      <c r="A81" s="5"/>
      <c r="B81" s="27"/>
      <c r="C81" s="5"/>
      <c r="D81" s="5"/>
      <c r="E81" s="18"/>
      <c r="F81" s="14"/>
      <c r="G81" s="5"/>
      <c r="H81" s="28" t="str">
        <f aca="false">IF(A81="","",SUBSTITUTE(SUBSTITUTE(SUBSTITUTE(SUBSTITUTE(SUBSTITUTE(SUBSTITUTE(SUBSTITUTE(SUBSTITUTE(SUBSTITUTE(SUBSTITUTE(SUBSTITUTE(SUBSTITUTE(SUBSTITUTE(UPPER(TRIM(A81)),"Á","A"),"À","A"),"Â","A"),"Ã","A"),"É","E"),"Ê","E"),"Í","I"),"Ó","O"),"Ô","O"),"Õ","O"),"Ú","U"),"Ü","U"),"Ç","C"))</f>
        <v/>
      </c>
      <c r="I81" s="28" t="str">
        <f aca="false">IF(B81="","",IF(LEN(SUBSTITUTE(SUBSTITUTE(SUBSTITUTE(SUBSTITUTE(TRIM(B81),"*",""),".",""),"-","")," ",""))=11,MID(SUBSTITUTE(SUBSTITUTE(SUBSTITUTE(SUBSTITUTE(TRIM(B81),"*",""),".",""),"-","")," ",""),4,6),SUBSTITUTE(SUBSTITUTE(SUBSTITUTE(SUBSTITUTE(TRIM(B81),"*",""),".",""),"-","")," ","")))</f>
        <v/>
      </c>
      <c r="J81" s="28" t="str">
        <f aca="false">IF(OR(H81="",I81=""),"",H81&amp;"|"&amp;I81)</f>
        <v/>
      </c>
      <c r="K81" s="19" t="str">
        <f aca="false">IF(H81="","",IF(J81&lt;&gt;"",COUNTIF(Socios!$J:$J,J81),IF(COUNTIF(Socios!$H:$H,H81)&gt;0,"nome igual em Socios: confira o CPF","sem CPF: não cruzado")))</f>
        <v/>
      </c>
      <c r="L81" s="27"/>
      <c r="M81" s="5"/>
    </row>
    <row r="82" customFormat="false" ht="15" hidden="false" customHeight="false" outlineLevel="0" collapsed="false">
      <c r="A82" s="5"/>
      <c r="B82" s="27"/>
      <c r="C82" s="5"/>
      <c r="D82" s="5"/>
      <c r="E82" s="18"/>
      <c r="F82" s="14"/>
      <c r="G82" s="5"/>
      <c r="H82" s="28" t="str">
        <f aca="false">IF(A82="","",SUBSTITUTE(SUBSTITUTE(SUBSTITUTE(SUBSTITUTE(SUBSTITUTE(SUBSTITUTE(SUBSTITUTE(SUBSTITUTE(SUBSTITUTE(SUBSTITUTE(SUBSTITUTE(SUBSTITUTE(SUBSTITUTE(UPPER(TRIM(A82)),"Á","A"),"À","A"),"Â","A"),"Ã","A"),"É","E"),"Ê","E"),"Í","I"),"Ó","O"),"Ô","O"),"Õ","O"),"Ú","U"),"Ü","U"),"Ç","C"))</f>
        <v/>
      </c>
      <c r="I82" s="28" t="str">
        <f aca="false">IF(B82="","",IF(LEN(SUBSTITUTE(SUBSTITUTE(SUBSTITUTE(SUBSTITUTE(TRIM(B82),"*",""),".",""),"-","")," ",""))=11,MID(SUBSTITUTE(SUBSTITUTE(SUBSTITUTE(SUBSTITUTE(TRIM(B82),"*",""),".",""),"-","")," ",""),4,6),SUBSTITUTE(SUBSTITUTE(SUBSTITUTE(SUBSTITUTE(TRIM(B82),"*",""),".",""),"-","")," ","")))</f>
        <v/>
      </c>
      <c r="J82" s="28" t="str">
        <f aca="false">IF(OR(H82="",I82=""),"",H82&amp;"|"&amp;I82)</f>
        <v/>
      </c>
      <c r="K82" s="19" t="str">
        <f aca="false">IF(H82="","",IF(J82&lt;&gt;"",COUNTIF(Socios!$J:$J,J82),IF(COUNTIF(Socios!$H:$H,H82)&gt;0,"nome igual em Socios: confira o CPF","sem CPF: não cruzado")))</f>
        <v/>
      </c>
      <c r="L82" s="27"/>
      <c r="M82" s="5"/>
    </row>
    <row r="83" customFormat="false" ht="15" hidden="false" customHeight="false" outlineLevel="0" collapsed="false">
      <c r="A83" s="5"/>
      <c r="B83" s="27"/>
      <c r="C83" s="5"/>
      <c r="D83" s="5"/>
      <c r="E83" s="18"/>
      <c r="F83" s="14"/>
      <c r="G83" s="5"/>
      <c r="H83" s="28" t="str">
        <f aca="false">IF(A83="","",SUBSTITUTE(SUBSTITUTE(SUBSTITUTE(SUBSTITUTE(SUBSTITUTE(SUBSTITUTE(SUBSTITUTE(SUBSTITUTE(SUBSTITUTE(SUBSTITUTE(SUBSTITUTE(SUBSTITUTE(SUBSTITUTE(UPPER(TRIM(A83)),"Á","A"),"À","A"),"Â","A"),"Ã","A"),"É","E"),"Ê","E"),"Í","I"),"Ó","O"),"Ô","O"),"Õ","O"),"Ú","U"),"Ü","U"),"Ç","C"))</f>
        <v/>
      </c>
      <c r="I83" s="28" t="str">
        <f aca="false">IF(B83="","",IF(LEN(SUBSTITUTE(SUBSTITUTE(SUBSTITUTE(SUBSTITUTE(TRIM(B83),"*",""),".",""),"-","")," ",""))=11,MID(SUBSTITUTE(SUBSTITUTE(SUBSTITUTE(SUBSTITUTE(TRIM(B83),"*",""),".",""),"-","")," ",""),4,6),SUBSTITUTE(SUBSTITUTE(SUBSTITUTE(SUBSTITUTE(TRIM(B83),"*",""),".",""),"-","")," ","")))</f>
        <v/>
      </c>
      <c r="J83" s="28" t="str">
        <f aca="false">IF(OR(H83="",I83=""),"",H83&amp;"|"&amp;I83)</f>
        <v/>
      </c>
      <c r="K83" s="19" t="str">
        <f aca="false">IF(H83="","",IF(J83&lt;&gt;"",COUNTIF(Socios!$J:$J,J83),IF(COUNTIF(Socios!$H:$H,H83)&gt;0,"nome igual em Socios: confira o CPF","sem CPF: não cruzado")))</f>
        <v/>
      </c>
      <c r="L83" s="27"/>
      <c r="M83" s="5"/>
    </row>
    <row r="84" customFormat="false" ht="15" hidden="false" customHeight="false" outlineLevel="0" collapsed="false">
      <c r="A84" s="5"/>
      <c r="B84" s="27"/>
      <c r="C84" s="5"/>
      <c r="D84" s="5"/>
      <c r="E84" s="18"/>
      <c r="F84" s="14"/>
      <c r="G84" s="5"/>
      <c r="H84" s="28" t="str">
        <f aca="false">IF(A84="","",SUBSTITUTE(SUBSTITUTE(SUBSTITUTE(SUBSTITUTE(SUBSTITUTE(SUBSTITUTE(SUBSTITUTE(SUBSTITUTE(SUBSTITUTE(SUBSTITUTE(SUBSTITUTE(SUBSTITUTE(SUBSTITUTE(UPPER(TRIM(A84)),"Á","A"),"À","A"),"Â","A"),"Ã","A"),"É","E"),"Ê","E"),"Í","I"),"Ó","O"),"Ô","O"),"Õ","O"),"Ú","U"),"Ü","U"),"Ç","C"))</f>
        <v/>
      </c>
      <c r="I84" s="28" t="str">
        <f aca="false">IF(B84="","",IF(LEN(SUBSTITUTE(SUBSTITUTE(SUBSTITUTE(SUBSTITUTE(TRIM(B84),"*",""),".",""),"-","")," ",""))=11,MID(SUBSTITUTE(SUBSTITUTE(SUBSTITUTE(SUBSTITUTE(TRIM(B84),"*",""),".",""),"-","")," ",""),4,6),SUBSTITUTE(SUBSTITUTE(SUBSTITUTE(SUBSTITUTE(TRIM(B84),"*",""),".",""),"-","")," ","")))</f>
        <v/>
      </c>
      <c r="J84" s="28" t="str">
        <f aca="false">IF(OR(H84="",I84=""),"",H84&amp;"|"&amp;I84)</f>
        <v/>
      </c>
      <c r="K84" s="19" t="str">
        <f aca="false">IF(H84="","",IF(J84&lt;&gt;"",COUNTIF(Socios!$J:$J,J84),IF(COUNTIF(Socios!$H:$H,H84)&gt;0,"nome igual em Socios: confira o CPF","sem CPF: não cruzado")))</f>
        <v/>
      </c>
      <c r="L84" s="27"/>
      <c r="M84" s="5"/>
    </row>
    <row r="85" customFormat="false" ht="15" hidden="false" customHeight="false" outlineLevel="0" collapsed="false">
      <c r="A85" s="5"/>
      <c r="B85" s="27"/>
      <c r="C85" s="5"/>
      <c r="D85" s="5"/>
      <c r="E85" s="18"/>
      <c r="F85" s="14"/>
      <c r="G85" s="5"/>
      <c r="H85" s="28" t="str">
        <f aca="false">IF(A85="","",SUBSTITUTE(SUBSTITUTE(SUBSTITUTE(SUBSTITUTE(SUBSTITUTE(SUBSTITUTE(SUBSTITUTE(SUBSTITUTE(SUBSTITUTE(SUBSTITUTE(SUBSTITUTE(SUBSTITUTE(SUBSTITUTE(UPPER(TRIM(A85)),"Á","A"),"À","A"),"Â","A"),"Ã","A"),"É","E"),"Ê","E"),"Í","I"),"Ó","O"),"Ô","O"),"Õ","O"),"Ú","U"),"Ü","U"),"Ç","C"))</f>
        <v/>
      </c>
      <c r="I85" s="28" t="str">
        <f aca="false">IF(B85="","",IF(LEN(SUBSTITUTE(SUBSTITUTE(SUBSTITUTE(SUBSTITUTE(TRIM(B85),"*",""),".",""),"-","")," ",""))=11,MID(SUBSTITUTE(SUBSTITUTE(SUBSTITUTE(SUBSTITUTE(TRIM(B85),"*",""),".",""),"-","")," ",""),4,6),SUBSTITUTE(SUBSTITUTE(SUBSTITUTE(SUBSTITUTE(TRIM(B85),"*",""),".",""),"-","")," ","")))</f>
        <v/>
      </c>
      <c r="J85" s="28" t="str">
        <f aca="false">IF(OR(H85="",I85=""),"",H85&amp;"|"&amp;I85)</f>
        <v/>
      </c>
      <c r="K85" s="19" t="str">
        <f aca="false">IF(H85="","",IF(J85&lt;&gt;"",COUNTIF(Socios!$J:$J,J85),IF(COUNTIF(Socios!$H:$H,H85)&gt;0,"nome igual em Socios: confira o CPF","sem CPF: não cruzado")))</f>
        <v/>
      </c>
      <c r="L85" s="27"/>
      <c r="M85" s="5"/>
    </row>
    <row r="86" customFormat="false" ht="15" hidden="false" customHeight="false" outlineLevel="0" collapsed="false">
      <c r="A86" s="5"/>
      <c r="B86" s="27"/>
      <c r="C86" s="5"/>
      <c r="D86" s="5"/>
      <c r="E86" s="18"/>
      <c r="F86" s="14"/>
      <c r="G86" s="5"/>
      <c r="H86" s="28" t="str">
        <f aca="false">IF(A86="","",SUBSTITUTE(SUBSTITUTE(SUBSTITUTE(SUBSTITUTE(SUBSTITUTE(SUBSTITUTE(SUBSTITUTE(SUBSTITUTE(SUBSTITUTE(SUBSTITUTE(SUBSTITUTE(SUBSTITUTE(SUBSTITUTE(UPPER(TRIM(A86)),"Á","A"),"À","A"),"Â","A"),"Ã","A"),"É","E"),"Ê","E"),"Í","I"),"Ó","O"),"Ô","O"),"Õ","O"),"Ú","U"),"Ü","U"),"Ç","C"))</f>
        <v/>
      </c>
      <c r="I86" s="28" t="str">
        <f aca="false">IF(B86="","",IF(LEN(SUBSTITUTE(SUBSTITUTE(SUBSTITUTE(SUBSTITUTE(TRIM(B86),"*",""),".",""),"-","")," ",""))=11,MID(SUBSTITUTE(SUBSTITUTE(SUBSTITUTE(SUBSTITUTE(TRIM(B86),"*",""),".",""),"-","")," ",""),4,6),SUBSTITUTE(SUBSTITUTE(SUBSTITUTE(SUBSTITUTE(TRIM(B86),"*",""),".",""),"-","")," ","")))</f>
        <v/>
      </c>
      <c r="J86" s="28" t="str">
        <f aca="false">IF(OR(H86="",I86=""),"",H86&amp;"|"&amp;I86)</f>
        <v/>
      </c>
      <c r="K86" s="19" t="str">
        <f aca="false">IF(H86="","",IF(J86&lt;&gt;"",COUNTIF(Socios!$J:$J,J86),IF(COUNTIF(Socios!$H:$H,H86)&gt;0,"nome igual em Socios: confira o CPF","sem CPF: não cruzado")))</f>
        <v/>
      </c>
      <c r="L86" s="27"/>
      <c r="M86" s="5"/>
    </row>
    <row r="87" customFormat="false" ht="15" hidden="false" customHeight="false" outlineLevel="0" collapsed="false">
      <c r="A87" s="5"/>
      <c r="B87" s="27"/>
      <c r="C87" s="5"/>
      <c r="D87" s="5"/>
      <c r="E87" s="18"/>
      <c r="F87" s="14"/>
      <c r="G87" s="5"/>
      <c r="H87" s="28" t="str">
        <f aca="false">IF(A87="","",SUBSTITUTE(SUBSTITUTE(SUBSTITUTE(SUBSTITUTE(SUBSTITUTE(SUBSTITUTE(SUBSTITUTE(SUBSTITUTE(SUBSTITUTE(SUBSTITUTE(SUBSTITUTE(SUBSTITUTE(SUBSTITUTE(UPPER(TRIM(A87)),"Á","A"),"À","A"),"Â","A"),"Ã","A"),"É","E"),"Ê","E"),"Í","I"),"Ó","O"),"Ô","O"),"Õ","O"),"Ú","U"),"Ü","U"),"Ç","C"))</f>
        <v/>
      </c>
      <c r="I87" s="28" t="str">
        <f aca="false">IF(B87="","",IF(LEN(SUBSTITUTE(SUBSTITUTE(SUBSTITUTE(SUBSTITUTE(TRIM(B87),"*",""),".",""),"-","")," ",""))=11,MID(SUBSTITUTE(SUBSTITUTE(SUBSTITUTE(SUBSTITUTE(TRIM(B87),"*",""),".",""),"-","")," ",""),4,6),SUBSTITUTE(SUBSTITUTE(SUBSTITUTE(SUBSTITUTE(TRIM(B87),"*",""),".",""),"-","")," ","")))</f>
        <v/>
      </c>
      <c r="J87" s="28" t="str">
        <f aca="false">IF(OR(H87="",I87=""),"",H87&amp;"|"&amp;I87)</f>
        <v/>
      </c>
      <c r="K87" s="19" t="str">
        <f aca="false">IF(H87="","",IF(J87&lt;&gt;"",COUNTIF(Socios!$J:$J,J87),IF(COUNTIF(Socios!$H:$H,H87)&gt;0,"nome igual em Socios: confira o CPF","sem CPF: não cruzado")))</f>
        <v/>
      </c>
      <c r="L87" s="27"/>
      <c r="M87" s="5"/>
    </row>
    <row r="88" customFormat="false" ht="15" hidden="false" customHeight="false" outlineLevel="0" collapsed="false">
      <c r="A88" s="5"/>
      <c r="B88" s="27"/>
      <c r="C88" s="5"/>
      <c r="D88" s="5"/>
      <c r="E88" s="18"/>
      <c r="F88" s="14"/>
      <c r="G88" s="5"/>
      <c r="H88" s="28" t="str">
        <f aca="false">IF(A88="","",SUBSTITUTE(SUBSTITUTE(SUBSTITUTE(SUBSTITUTE(SUBSTITUTE(SUBSTITUTE(SUBSTITUTE(SUBSTITUTE(SUBSTITUTE(SUBSTITUTE(SUBSTITUTE(SUBSTITUTE(SUBSTITUTE(UPPER(TRIM(A88)),"Á","A"),"À","A"),"Â","A"),"Ã","A"),"É","E"),"Ê","E"),"Í","I"),"Ó","O"),"Ô","O"),"Õ","O"),"Ú","U"),"Ü","U"),"Ç","C"))</f>
        <v/>
      </c>
      <c r="I88" s="28" t="str">
        <f aca="false">IF(B88="","",IF(LEN(SUBSTITUTE(SUBSTITUTE(SUBSTITUTE(SUBSTITUTE(TRIM(B88),"*",""),".",""),"-","")," ",""))=11,MID(SUBSTITUTE(SUBSTITUTE(SUBSTITUTE(SUBSTITUTE(TRIM(B88),"*",""),".",""),"-","")," ",""),4,6),SUBSTITUTE(SUBSTITUTE(SUBSTITUTE(SUBSTITUTE(TRIM(B88),"*",""),".",""),"-","")," ","")))</f>
        <v/>
      </c>
      <c r="J88" s="28" t="str">
        <f aca="false">IF(OR(H88="",I88=""),"",H88&amp;"|"&amp;I88)</f>
        <v/>
      </c>
      <c r="K88" s="19" t="str">
        <f aca="false">IF(H88="","",IF(J88&lt;&gt;"",COUNTIF(Socios!$J:$J,J88),IF(COUNTIF(Socios!$H:$H,H88)&gt;0,"nome igual em Socios: confira o CPF","sem CPF: não cruzado")))</f>
        <v/>
      </c>
      <c r="L88" s="27"/>
      <c r="M88" s="5"/>
    </row>
    <row r="89" customFormat="false" ht="15" hidden="false" customHeight="false" outlineLevel="0" collapsed="false">
      <c r="A89" s="5"/>
      <c r="B89" s="27"/>
      <c r="C89" s="5"/>
      <c r="D89" s="5"/>
      <c r="E89" s="18"/>
      <c r="F89" s="14"/>
      <c r="G89" s="5"/>
      <c r="H89" s="28" t="str">
        <f aca="false">IF(A89="","",SUBSTITUTE(SUBSTITUTE(SUBSTITUTE(SUBSTITUTE(SUBSTITUTE(SUBSTITUTE(SUBSTITUTE(SUBSTITUTE(SUBSTITUTE(SUBSTITUTE(SUBSTITUTE(SUBSTITUTE(SUBSTITUTE(UPPER(TRIM(A89)),"Á","A"),"À","A"),"Â","A"),"Ã","A"),"É","E"),"Ê","E"),"Í","I"),"Ó","O"),"Ô","O"),"Õ","O"),"Ú","U"),"Ü","U"),"Ç","C"))</f>
        <v/>
      </c>
      <c r="I89" s="28" t="str">
        <f aca="false">IF(B89="","",IF(LEN(SUBSTITUTE(SUBSTITUTE(SUBSTITUTE(SUBSTITUTE(TRIM(B89),"*",""),".",""),"-","")," ",""))=11,MID(SUBSTITUTE(SUBSTITUTE(SUBSTITUTE(SUBSTITUTE(TRIM(B89),"*",""),".",""),"-","")," ",""),4,6),SUBSTITUTE(SUBSTITUTE(SUBSTITUTE(SUBSTITUTE(TRIM(B89),"*",""),".",""),"-","")," ","")))</f>
        <v/>
      </c>
      <c r="J89" s="28" t="str">
        <f aca="false">IF(OR(H89="",I89=""),"",H89&amp;"|"&amp;I89)</f>
        <v/>
      </c>
      <c r="K89" s="19" t="str">
        <f aca="false">IF(H89="","",IF(J89&lt;&gt;"",COUNTIF(Socios!$J:$J,J89),IF(COUNTIF(Socios!$H:$H,H89)&gt;0,"nome igual em Socios: confira o CPF","sem CPF: não cruzado")))</f>
        <v/>
      </c>
      <c r="L89" s="27"/>
      <c r="M89" s="5"/>
    </row>
    <row r="90" customFormat="false" ht="15" hidden="false" customHeight="false" outlineLevel="0" collapsed="false">
      <c r="A90" s="5"/>
      <c r="B90" s="27"/>
      <c r="C90" s="5"/>
      <c r="D90" s="5"/>
      <c r="E90" s="18"/>
      <c r="F90" s="14"/>
      <c r="G90" s="5"/>
      <c r="H90" s="28" t="str">
        <f aca="false">IF(A90="","",SUBSTITUTE(SUBSTITUTE(SUBSTITUTE(SUBSTITUTE(SUBSTITUTE(SUBSTITUTE(SUBSTITUTE(SUBSTITUTE(SUBSTITUTE(SUBSTITUTE(SUBSTITUTE(SUBSTITUTE(SUBSTITUTE(UPPER(TRIM(A90)),"Á","A"),"À","A"),"Â","A"),"Ã","A"),"É","E"),"Ê","E"),"Í","I"),"Ó","O"),"Ô","O"),"Õ","O"),"Ú","U"),"Ü","U"),"Ç","C"))</f>
        <v/>
      </c>
      <c r="I90" s="28" t="str">
        <f aca="false">IF(B90="","",IF(LEN(SUBSTITUTE(SUBSTITUTE(SUBSTITUTE(SUBSTITUTE(TRIM(B90),"*",""),".",""),"-","")," ",""))=11,MID(SUBSTITUTE(SUBSTITUTE(SUBSTITUTE(SUBSTITUTE(TRIM(B90),"*",""),".",""),"-","")," ",""),4,6),SUBSTITUTE(SUBSTITUTE(SUBSTITUTE(SUBSTITUTE(TRIM(B90),"*",""),".",""),"-","")," ","")))</f>
        <v/>
      </c>
      <c r="J90" s="28" t="str">
        <f aca="false">IF(OR(H90="",I90=""),"",H90&amp;"|"&amp;I90)</f>
        <v/>
      </c>
      <c r="K90" s="19" t="str">
        <f aca="false">IF(H90="","",IF(J90&lt;&gt;"",COUNTIF(Socios!$J:$J,J90),IF(COUNTIF(Socios!$H:$H,H90)&gt;0,"nome igual em Socios: confira o CPF","sem CPF: não cruzado")))</f>
        <v/>
      </c>
      <c r="L90" s="27"/>
      <c r="M90" s="5"/>
    </row>
    <row r="91" customFormat="false" ht="15" hidden="false" customHeight="false" outlineLevel="0" collapsed="false">
      <c r="A91" s="5"/>
      <c r="B91" s="27"/>
      <c r="C91" s="5"/>
      <c r="D91" s="5"/>
      <c r="E91" s="18"/>
      <c r="F91" s="14"/>
      <c r="G91" s="5"/>
      <c r="H91" s="28" t="str">
        <f aca="false">IF(A91="","",SUBSTITUTE(SUBSTITUTE(SUBSTITUTE(SUBSTITUTE(SUBSTITUTE(SUBSTITUTE(SUBSTITUTE(SUBSTITUTE(SUBSTITUTE(SUBSTITUTE(SUBSTITUTE(SUBSTITUTE(SUBSTITUTE(UPPER(TRIM(A91)),"Á","A"),"À","A"),"Â","A"),"Ã","A"),"É","E"),"Ê","E"),"Í","I"),"Ó","O"),"Ô","O"),"Õ","O"),"Ú","U"),"Ü","U"),"Ç","C"))</f>
        <v/>
      </c>
      <c r="I91" s="28" t="str">
        <f aca="false">IF(B91="","",IF(LEN(SUBSTITUTE(SUBSTITUTE(SUBSTITUTE(SUBSTITUTE(TRIM(B91),"*",""),".",""),"-","")," ",""))=11,MID(SUBSTITUTE(SUBSTITUTE(SUBSTITUTE(SUBSTITUTE(TRIM(B91),"*",""),".",""),"-","")," ",""),4,6),SUBSTITUTE(SUBSTITUTE(SUBSTITUTE(SUBSTITUTE(TRIM(B91),"*",""),".",""),"-","")," ","")))</f>
        <v/>
      </c>
      <c r="J91" s="28" t="str">
        <f aca="false">IF(OR(H91="",I91=""),"",H91&amp;"|"&amp;I91)</f>
        <v/>
      </c>
      <c r="K91" s="19" t="str">
        <f aca="false">IF(H91="","",IF(J91&lt;&gt;"",COUNTIF(Socios!$J:$J,J91),IF(COUNTIF(Socios!$H:$H,H91)&gt;0,"nome igual em Socios: confira o CPF","sem CPF: não cruzado")))</f>
        <v/>
      </c>
      <c r="L91" s="27"/>
      <c r="M91" s="5"/>
    </row>
    <row r="92" customFormat="false" ht="15" hidden="false" customHeight="false" outlineLevel="0" collapsed="false">
      <c r="A92" s="5"/>
      <c r="B92" s="27"/>
      <c r="C92" s="5"/>
      <c r="D92" s="5"/>
      <c r="E92" s="18"/>
      <c r="F92" s="14"/>
      <c r="G92" s="5"/>
      <c r="H92" s="28" t="str">
        <f aca="false">IF(A92="","",SUBSTITUTE(SUBSTITUTE(SUBSTITUTE(SUBSTITUTE(SUBSTITUTE(SUBSTITUTE(SUBSTITUTE(SUBSTITUTE(SUBSTITUTE(SUBSTITUTE(SUBSTITUTE(SUBSTITUTE(SUBSTITUTE(UPPER(TRIM(A92)),"Á","A"),"À","A"),"Â","A"),"Ã","A"),"É","E"),"Ê","E"),"Í","I"),"Ó","O"),"Ô","O"),"Õ","O"),"Ú","U"),"Ü","U"),"Ç","C"))</f>
        <v/>
      </c>
      <c r="I92" s="28" t="str">
        <f aca="false">IF(B92="","",IF(LEN(SUBSTITUTE(SUBSTITUTE(SUBSTITUTE(SUBSTITUTE(TRIM(B92),"*",""),".",""),"-","")," ",""))=11,MID(SUBSTITUTE(SUBSTITUTE(SUBSTITUTE(SUBSTITUTE(TRIM(B92),"*",""),".",""),"-","")," ",""),4,6),SUBSTITUTE(SUBSTITUTE(SUBSTITUTE(SUBSTITUTE(TRIM(B92),"*",""),".",""),"-","")," ","")))</f>
        <v/>
      </c>
      <c r="J92" s="28" t="str">
        <f aca="false">IF(OR(H92="",I92=""),"",H92&amp;"|"&amp;I92)</f>
        <v/>
      </c>
      <c r="K92" s="19" t="str">
        <f aca="false">IF(H92="","",IF(J92&lt;&gt;"",COUNTIF(Socios!$J:$J,J92),IF(COUNTIF(Socios!$H:$H,H92)&gt;0,"nome igual em Socios: confira o CPF","sem CPF: não cruzado")))</f>
        <v/>
      </c>
      <c r="L92" s="27"/>
      <c r="M92" s="5"/>
    </row>
    <row r="93" customFormat="false" ht="15" hidden="false" customHeight="false" outlineLevel="0" collapsed="false">
      <c r="A93" s="5"/>
      <c r="B93" s="27"/>
      <c r="C93" s="5"/>
      <c r="D93" s="5"/>
      <c r="E93" s="18"/>
      <c r="F93" s="14"/>
      <c r="G93" s="5"/>
      <c r="H93" s="28" t="str">
        <f aca="false">IF(A93="","",SUBSTITUTE(SUBSTITUTE(SUBSTITUTE(SUBSTITUTE(SUBSTITUTE(SUBSTITUTE(SUBSTITUTE(SUBSTITUTE(SUBSTITUTE(SUBSTITUTE(SUBSTITUTE(SUBSTITUTE(SUBSTITUTE(UPPER(TRIM(A93)),"Á","A"),"À","A"),"Â","A"),"Ã","A"),"É","E"),"Ê","E"),"Í","I"),"Ó","O"),"Ô","O"),"Õ","O"),"Ú","U"),"Ü","U"),"Ç","C"))</f>
        <v/>
      </c>
      <c r="I93" s="28" t="str">
        <f aca="false">IF(B93="","",IF(LEN(SUBSTITUTE(SUBSTITUTE(SUBSTITUTE(SUBSTITUTE(TRIM(B93),"*",""),".",""),"-","")," ",""))=11,MID(SUBSTITUTE(SUBSTITUTE(SUBSTITUTE(SUBSTITUTE(TRIM(B93),"*",""),".",""),"-","")," ",""),4,6),SUBSTITUTE(SUBSTITUTE(SUBSTITUTE(SUBSTITUTE(TRIM(B93),"*",""),".",""),"-","")," ","")))</f>
        <v/>
      </c>
      <c r="J93" s="28" t="str">
        <f aca="false">IF(OR(H93="",I93=""),"",H93&amp;"|"&amp;I93)</f>
        <v/>
      </c>
      <c r="K93" s="19" t="str">
        <f aca="false">IF(H93="","",IF(J93&lt;&gt;"",COUNTIF(Socios!$J:$J,J93),IF(COUNTIF(Socios!$H:$H,H93)&gt;0,"nome igual em Socios: confira o CPF","sem CPF: não cruzado")))</f>
        <v/>
      </c>
      <c r="L93" s="27"/>
      <c r="M93" s="5"/>
    </row>
    <row r="94" customFormat="false" ht="15" hidden="false" customHeight="false" outlineLevel="0" collapsed="false">
      <c r="A94" s="5"/>
      <c r="B94" s="27"/>
      <c r="C94" s="5"/>
      <c r="D94" s="5"/>
      <c r="E94" s="18"/>
      <c r="F94" s="14"/>
      <c r="G94" s="5"/>
      <c r="H94" s="28" t="str">
        <f aca="false">IF(A94="","",SUBSTITUTE(SUBSTITUTE(SUBSTITUTE(SUBSTITUTE(SUBSTITUTE(SUBSTITUTE(SUBSTITUTE(SUBSTITUTE(SUBSTITUTE(SUBSTITUTE(SUBSTITUTE(SUBSTITUTE(SUBSTITUTE(UPPER(TRIM(A94)),"Á","A"),"À","A"),"Â","A"),"Ã","A"),"É","E"),"Ê","E"),"Í","I"),"Ó","O"),"Ô","O"),"Õ","O"),"Ú","U"),"Ü","U"),"Ç","C"))</f>
        <v/>
      </c>
      <c r="I94" s="28" t="str">
        <f aca="false">IF(B94="","",IF(LEN(SUBSTITUTE(SUBSTITUTE(SUBSTITUTE(SUBSTITUTE(TRIM(B94),"*",""),".",""),"-","")," ",""))=11,MID(SUBSTITUTE(SUBSTITUTE(SUBSTITUTE(SUBSTITUTE(TRIM(B94),"*",""),".",""),"-","")," ",""),4,6),SUBSTITUTE(SUBSTITUTE(SUBSTITUTE(SUBSTITUTE(TRIM(B94),"*",""),".",""),"-","")," ","")))</f>
        <v/>
      </c>
      <c r="J94" s="28" t="str">
        <f aca="false">IF(OR(H94="",I94=""),"",H94&amp;"|"&amp;I94)</f>
        <v/>
      </c>
      <c r="K94" s="19" t="str">
        <f aca="false">IF(H94="","",IF(J94&lt;&gt;"",COUNTIF(Socios!$J:$J,J94),IF(COUNTIF(Socios!$H:$H,H94)&gt;0,"nome igual em Socios: confira o CPF","sem CPF: não cruzado")))</f>
        <v/>
      </c>
      <c r="L94" s="27"/>
      <c r="M94" s="5"/>
    </row>
    <row r="95" customFormat="false" ht="15" hidden="false" customHeight="false" outlineLevel="0" collapsed="false">
      <c r="A95" s="5"/>
      <c r="B95" s="27"/>
      <c r="C95" s="5"/>
      <c r="D95" s="5"/>
      <c r="E95" s="18"/>
      <c r="F95" s="14"/>
      <c r="G95" s="5"/>
      <c r="H95" s="28" t="str">
        <f aca="false">IF(A95="","",SUBSTITUTE(SUBSTITUTE(SUBSTITUTE(SUBSTITUTE(SUBSTITUTE(SUBSTITUTE(SUBSTITUTE(SUBSTITUTE(SUBSTITUTE(SUBSTITUTE(SUBSTITUTE(SUBSTITUTE(SUBSTITUTE(UPPER(TRIM(A95)),"Á","A"),"À","A"),"Â","A"),"Ã","A"),"É","E"),"Ê","E"),"Í","I"),"Ó","O"),"Ô","O"),"Õ","O"),"Ú","U"),"Ü","U"),"Ç","C"))</f>
        <v/>
      </c>
      <c r="I95" s="28" t="str">
        <f aca="false">IF(B95="","",IF(LEN(SUBSTITUTE(SUBSTITUTE(SUBSTITUTE(SUBSTITUTE(TRIM(B95),"*",""),".",""),"-","")," ",""))=11,MID(SUBSTITUTE(SUBSTITUTE(SUBSTITUTE(SUBSTITUTE(TRIM(B95),"*",""),".",""),"-","")," ",""),4,6),SUBSTITUTE(SUBSTITUTE(SUBSTITUTE(SUBSTITUTE(TRIM(B95),"*",""),".",""),"-","")," ","")))</f>
        <v/>
      </c>
      <c r="J95" s="28" t="str">
        <f aca="false">IF(OR(H95="",I95=""),"",H95&amp;"|"&amp;I95)</f>
        <v/>
      </c>
      <c r="K95" s="19" t="str">
        <f aca="false">IF(H95="","",IF(J95&lt;&gt;"",COUNTIF(Socios!$J:$J,J95),IF(COUNTIF(Socios!$H:$H,H95)&gt;0,"nome igual em Socios: confira o CPF","sem CPF: não cruzado")))</f>
        <v/>
      </c>
      <c r="L95" s="27"/>
      <c r="M95" s="5"/>
    </row>
    <row r="96" customFormat="false" ht="15" hidden="false" customHeight="false" outlineLevel="0" collapsed="false">
      <c r="A96" s="5"/>
      <c r="B96" s="27"/>
      <c r="C96" s="5"/>
      <c r="D96" s="5"/>
      <c r="E96" s="18"/>
      <c r="F96" s="14"/>
      <c r="G96" s="5"/>
      <c r="H96" s="28" t="str">
        <f aca="false">IF(A96="","",SUBSTITUTE(SUBSTITUTE(SUBSTITUTE(SUBSTITUTE(SUBSTITUTE(SUBSTITUTE(SUBSTITUTE(SUBSTITUTE(SUBSTITUTE(SUBSTITUTE(SUBSTITUTE(SUBSTITUTE(SUBSTITUTE(UPPER(TRIM(A96)),"Á","A"),"À","A"),"Â","A"),"Ã","A"),"É","E"),"Ê","E"),"Í","I"),"Ó","O"),"Ô","O"),"Õ","O"),"Ú","U"),"Ü","U"),"Ç","C"))</f>
        <v/>
      </c>
      <c r="I96" s="28" t="str">
        <f aca="false">IF(B96="","",IF(LEN(SUBSTITUTE(SUBSTITUTE(SUBSTITUTE(SUBSTITUTE(TRIM(B96),"*",""),".",""),"-","")," ",""))=11,MID(SUBSTITUTE(SUBSTITUTE(SUBSTITUTE(SUBSTITUTE(TRIM(B96),"*",""),".",""),"-","")," ",""),4,6),SUBSTITUTE(SUBSTITUTE(SUBSTITUTE(SUBSTITUTE(TRIM(B96),"*",""),".",""),"-","")," ","")))</f>
        <v/>
      </c>
      <c r="J96" s="28" t="str">
        <f aca="false">IF(OR(H96="",I96=""),"",H96&amp;"|"&amp;I96)</f>
        <v/>
      </c>
      <c r="K96" s="19" t="str">
        <f aca="false">IF(H96="","",IF(J96&lt;&gt;"",COUNTIF(Socios!$J:$J,J96),IF(COUNTIF(Socios!$H:$H,H96)&gt;0,"nome igual em Socios: confira o CPF","sem CPF: não cruzado")))</f>
        <v/>
      </c>
      <c r="L96" s="27"/>
      <c r="M96" s="5"/>
    </row>
    <row r="97" customFormat="false" ht="15" hidden="false" customHeight="false" outlineLevel="0" collapsed="false">
      <c r="A97" s="5"/>
      <c r="B97" s="27"/>
      <c r="C97" s="5"/>
      <c r="D97" s="5"/>
      <c r="E97" s="18"/>
      <c r="F97" s="14"/>
      <c r="G97" s="5"/>
      <c r="H97" s="28" t="str">
        <f aca="false">IF(A97="","",SUBSTITUTE(SUBSTITUTE(SUBSTITUTE(SUBSTITUTE(SUBSTITUTE(SUBSTITUTE(SUBSTITUTE(SUBSTITUTE(SUBSTITUTE(SUBSTITUTE(SUBSTITUTE(SUBSTITUTE(SUBSTITUTE(UPPER(TRIM(A97)),"Á","A"),"À","A"),"Â","A"),"Ã","A"),"É","E"),"Ê","E"),"Í","I"),"Ó","O"),"Ô","O"),"Õ","O"),"Ú","U"),"Ü","U"),"Ç","C"))</f>
        <v/>
      </c>
      <c r="I97" s="28" t="str">
        <f aca="false">IF(B97="","",IF(LEN(SUBSTITUTE(SUBSTITUTE(SUBSTITUTE(SUBSTITUTE(TRIM(B97),"*",""),".",""),"-","")," ",""))=11,MID(SUBSTITUTE(SUBSTITUTE(SUBSTITUTE(SUBSTITUTE(TRIM(B97),"*",""),".",""),"-","")," ",""),4,6),SUBSTITUTE(SUBSTITUTE(SUBSTITUTE(SUBSTITUTE(TRIM(B97),"*",""),".",""),"-","")," ","")))</f>
        <v/>
      </c>
      <c r="J97" s="28" t="str">
        <f aca="false">IF(OR(H97="",I97=""),"",H97&amp;"|"&amp;I97)</f>
        <v/>
      </c>
      <c r="K97" s="19" t="str">
        <f aca="false">IF(H97="","",IF(J97&lt;&gt;"",COUNTIF(Socios!$J:$J,J97),IF(COUNTIF(Socios!$H:$H,H97)&gt;0,"nome igual em Socios: confira o CPF","sem CPF: não cruzado")))</f>
        <v/>
      </c>
      <c r="L97" s="27"/>
      <c r="M97" s="5"/>
    </row>
    <row r="98" customFormat="false" ht="15" hidden="false" customHeight="false" outlineLevel="0" collapsed="false">
      <c r="A98" s="5"/>
      <c r="B98" s="27"/>
      <c r="C98" s="5"/>
      <c r="D98" s="5"/>
      <c r="E98" s="18"/>
      <c r="F98" s="14"/>
      <c r="G98" s="5"/>
      <c r="H98" s="28" t="str">
        <f aca="false">IF(A98="","",SUBSTITUTE(SUBSTITUTE(SUBSTITUTE(SUBSTITUTE(SUBSTITUTE(SUBSTITUTE(SUBSTITUTE(SUBSTITUTE(SUBSTITUTE(SUBSTITUTE(SUBSTITUTE(SUBSTITUTE(SUBSTITUTE(UPPER(TRIM(A98)),"Á","A"),"À","A"),"Â","A"),"Ã","A"),"É","E"),"Ê","E"),"Í","I"),"Ó","O"),"Ô","O"),"Õ","O"),"Ú","U"),"Ü","U"),"Ç","C"))</f>
        <v/>
      </c>
      <c r="I98" s="28" t="str">
        <f aca="false">IF(B98="","",IF(LEN(SUBSTITUTE(SUBSTITUTE(SUBSTITUTE(SUBSTITUTE(TRIM(B98),"*",""),".",""),"-","")," ",""))=11,MID(SUBSTITUTE(SUBSTITUTE(SUBSTITUTE(SUBSTITUTE(TRIM(B98),"*",""),".",""),"-","")," ",""),4,6),SUBSTITUTE(SUBSTITUTE(SUBSTITUTE(SUBSTITUTE(TRIM(B98),"*",""),".",""),"-","")," ","")))</f>
        <v/>
      </c>
      <c r="J98" s="28" t="str">
        <f aca="false">IF(OR(H98="",I98=""),"",H98&amp;"|"&amp;I98)</f>
        <v/>
      </c>
      <c r="K98" s="19" t="str">
        <f aca="false">IF(H98="","",IF(J98&lt;&gt;"",COUNTIF(Socios!$J:$J,J98),IF(COUNTIF(Socios!$H:$H,H98)&gt;0,"nome igual em Socios: confira o CPF","sem CPF: não cruzado")))</f>
        <v/>
      </c>
      <c r="L98" s="27"/>
      <c r="M98" s="5"/>
    </row>
    <row r="99" customFormat="false" ht="15" hidden="false" customHeight="false" outlineLevel="0" collapsed="false">
      <c r="A99" s="5"/>
      <c r="B99" s="27"/>
      <c r="C99" s="5"/>
      <c r="D99" s="5"/>
      <c r="E99" s="18"/>
      <c r="F99" s="14"/>
      <c r="G99" s="5"/>
      <c r="H99" s="28" t="str">
        <f aca="false">IF(A99="","",SUBSTITUTE(SUBSTITUTE(SUBSTITUTE(SUBSTITUTE(SUBSTITUTE(SUBSTITUTE(SUBSTITUTE(SUBSTITUTE(SUBSTITUTE(SUBSTITUTE(SUBSTITUTE(SUBSTITUTE(SUBSTITUTE(UPPER(TRIM(A99)),"Á","A"),"À","A"),"Â","A"),"Ã","A"),"É","E"),"Ê","E"),"Í","I"),"Ó","O"),"Ô","O"),"Õ","O"),"Ú","U"),"Ü","U"),"Ç","C"))</f>
        <v/>
      </c>
      <c r="I99" s="28" t="str">
        <f aca="false">IF(B99="","",IF(LEN(SUBSTITUTE(SUBSTITUTE(SUBSTITUTE(SUBSTITUTE(TRIM(B99),"*",""),".",""),"-","")," ",""))=11,MID(SUBSTITUTE(SUBSTITUTE(SUBSTITUTE(SUBSTITUTE(TRIM(B99),"*",""),".",""),"-","")," ",""),4,6),SUBSTITUTE(SUBSTITUTE(SUBSTITUTE(SUBSTITUTE(TRIM(B99),"*",""),".",""),"-","")," ","")))</f>
        <v/>
      </c>
      <c r="J99" s="28" t="str">
        <f aca="false">IF(OR(H99="",I99=""),"",H99&amp;"|"&amp;I99)</f>
        <v/>
      </c>
      <c r="K99" s="19" t="str">
        <f aca="false">IF(H99="","",IF(J99&lt;&gt;"",COUNTIF(Socios!$J:$J,J99),IF(COUNTIF(Socios!$H:$H,H99)&gt;0,"nome igual em Socios: confira o CPF","sem CPF: não cruzado")))</f>
        <v/>
      </c>
      <c r="L99" s="27"/>
      <c r="M99" s="5"/>
    </row>
    <row r="100" customFormat="false" ht="15" hidden="false" customHeight="false" outlineLevel="0" collapsed="false">
      <c r="A100" s="5"/>
      <c r="B100" s="27"/>
      <c r="C100" s="5"/>
      <c r="D100" s="5"/>
      <c r="E100" s="18"/>
      <c r="F100" s="14"/>
      <c r="G100" s="5"/>
      <c r="H100" s="28" t="str">
        <f aca="false">IF(A100="","",SUBSTITUTE(SUBSTITUTE(SUBSTITUTE(SUBSTITUTE(SUBSTITUTE(SUBSTITUTE(SUBSTITUTE(SUBSTITUTE(SUBSTITUTE(SUBSTITUTE(SUBSTITUTE(SUBSTITUTE(SUBSTITUTE(UPPER(TRIM(A100)),"Á","A"),"À","A"),"Â","A"),"Ã","A"),"É","E"),"Ê","E"),"Í","I"),"Ó","O"),"Ô","O"),"Õ","O"),"Ú","U"),"Ü","U"),"Ç","C"))</f>
        <v/>
      </c>
      <c r="I100" s="28" t="str">
        <f aca="false">IF(B100="","",IF(LEN(SUBSTITUTE(SUBSTITUTE(SUBSTITUTE(SUBSTITUTE(TRIM(B100),"*",""),".",""),"-","")," ",""))=11,MID(SUBSTITUTE(SUBSTITUTE(SUBSTITUTE(SUBSTITUTE(TRIM(B100),"*",""),".",""),"-","")," ",""),4,6),SUBSTITUTE(SUBSTITUTE(SUBSTITUTE(SUBSTITUTE(TRIM(B100),"*",""),".",""),"-","")," ","")))</f>
        <v/>
      </c>
      <c r="J100" s="28" t="str">
        <f aca="false">IF(OR(H100="",I100=""),"",H100&amp;"|"&amp;I100)</f>
        <v/>
      </c>
      <c r="K100" s="19" t="str">
        <f aca="false">IF(H100="","",IF(J100&lt;&gt;"",COUNTIF(Socios!$J:$J,J100),IF(COUNTIF(Socios!$H:$H,H100)&gt;0,"nome igual em Socios: confira o CPF","sem CPF: não cruzado")))</f>
        <v/>
      </c>
      <c r="L100" s="27"/>
      <c r="M100" s="5"/>
    </row>
    <row r="101" customFormat="false" ht="15" hidden="false" customHeight="false" outlineLevel="0" collapsed="false">
      <c r="A101" s="5"/>
      <c r="B101" s="27"/>
      <c r="C101" s="5"/>
      <c r="D101" s="5"/>
      <c r="E101" s="18"/>
      <c r="F101" s="14"/>
      <c r="G101" s="5"/>
      <c r="H101" s="28" t="str">
        <f aca="false">IF(A101="","",SUBSTITUTE(SUBSTITUTE(SUBSTITUTE(SUBSTITUTE(SUBSTITUTE(SUBSTITUTE(SUBSTITUTE(SUBSTITUTE(SUBSTITUTE(SUBSTITUTE(SUBSTITUTE(SUBSTITUTE(SUBSTITUTE(UPPER(TRIM(A101)),"Á","A"),"À","A"),"Â","A"),"Ã","A"),"É","E"),"Ê","E"),"Í","I"),"Ó","O"),"Ô","O"),"Õ","O"),"Ú","U"),"Ü","U"),"Ç","C"))</f>
        <v/>
      </c>
      <c r="I101" s="28" t="str">
        <f aca="false">IF(B101="","",IF(LEN(SUBSTITUTE(SUBSTITUTE(SUBSTITUTE(SUBSTITUTE(TRIM(B101),"*",""),".",""),"-","")," ",""))=11,MID(SUBSTITUTE(SUBSTITUTE(SUBSTITUTE(SUBSTITUTE(TRIM(B101),"*",""),".",""),"-","")," ",""),4,6),SUBSTITUTE(SUBSTITUTE(SUBSTITUTE(SUBSTITUTE(TRIM(B101),"*",""),".",""),"-","")," ","")))</f>
        <v/>
      </c>
      <c r="J101" s="28" t="str">
        <f aca="false">IF(OR(H101="",I101=""),"",H101&amp;"|"&amp;I101)</f>
        <v/>
      </c>
      <c r="K101" s="19" t="str">
        <f aca="false">IF(H101="","",IF(J101&lt;&gt;"",COUNTIF(Socios!$J:$J,J101),IF(COUNTIF(Socios!$H:$H,H101)&gt;0,"nome igual em Socios: confira o CPF","sem CPF: não cruzado")))</f>
        <v/>
      </c>
      <c r="L101" s="27"/>
      <c r="M101" s="5"/>
    </row>
    <row r="102" customFormat="false" ht="15" hidden="false" customHeight="false" outlineLevel="0" collapsed="false">
      <c r="A102" s="5"/>
      <c r="B102" s="27"/>
      <c r="C102" s="5"/>
      <c r="D102" s="5"/>
      <c r="E102" s="18"/>
      <c r="F102" s="14"/>
      <c r="G102" s="5"/>
      <c r="H102" s="28" t="str">
        <f aca="false">IF(A102="","",SUBSTITUTE(SUBSTITUTE(SUBSTITUTE(SUBSTITUTE(SUBSTITUTE(SUBSTITUTE(SUBSTITUTE(SUBSTITUTE(SUBSTITUTE(SUBSTITUTE(SUBSTITUTE(SUBSTITUTE(SUBSTITUTE(UPPER(TRIM(A102)),"Á","A"),"À","A"),"Â","A"),"Ã","A"),"É","E"),"Ê","E"),"Í","I"),"Ó","O"),"Ô","O"),"Õ","O"),"Ú","U"),"Ü","U"),"Ç","C"))</f>
        <v/>
      </c>
      <c r="I102" s="28" t="str">
        <f aca="false">IF(B102="","",IF(LEN(SUBSTITUTE(SUBSTITUTE(SUBSTITUTE(SUBSTITUTE(TRIM(B102),"*",""),".",""),"-","")," ",""))=11,MID(SUBSTITUTE(SUBSTITUTE(SUBSTITUTE(SUBSTITUTE(TRIM(B102),"*",""),".",""),"-","")," ",""),4,6),SUBSTITUTE(SUBSTITUTE(SUBSTITUTE(SUBSTITUTE(TRIM(B102),"*",""),".",""),"-","")," ","")))</f>
        <v/>
      </c>
      <c r="J102" s="28" t="str">
        <f aca="false">IF(OR(H102="",I102=""),"",H102&amp;"|"&amp;I102)</f>
        <v/>
      </c>
      <c r="K102" s="19" t="str">
        <f aca="false">IF(H102="","",IF(J102&lt;&gt;"",COUNTIF(Socios!$J:$J,J102),IF(COUNTIF(Socios!$H:$H,H102)&gt;0,"nome igual em Socios: confira o CPF","sem CPF: não cruzado")))</f>
        <v/>
      </c>
      <c r="L102" s="27"/>
      <c r="M102" s="5"/>
    </row>
    <row r="103" customFormat="false" ht="15" hidden="false" customHeight="false" outlineLevel="0" collapsed="false">
      <c r="A103" s="5"/>
      <c r="B103" s="27"/>
      <c r="C103" s="5"/>
      <c r="D103" s="5"/>
      <c r="E103" s="18"/>
      <c r="F103" s="14"/>
      <c r="G103" s="5"/>
      <c r="H103" s="28" t="str">
        <f aca="false">IF(A103="","",SUBSTITUTE(SUBSTITUTE(SUBSTITUTE(SUBSTITUTE(SUBSTITUTE(SUBSTITUTE(SUBSTITUTE(SUBSTITUTE(SUBSTITUTE(SUBSTITUTE(SUBSTITUTE(SUBSTITUTE(SUBSTITUTE(UPPER(TRIM(A103)),"Á","A"),"À","A"),"Â","A"),"Ã","A"),"É","E"),"Ê","E"),"Í","I"),"Ó","O"),"Ô","O"),"Õ","O"),"Ú","U"),"Ü","U"),"Ç","C"))</f>
        <v/>
      </c>
      <c r="I103" s="28" t="str">
        <f aca="false">IF(B103="","",IF(LEN(SUBSTITUTE(SUBSTITUTE(SUBSTITUTE(SUBSTITUTE(TRIM(B103),"*",""),".",""),"-","")," ",""))=11,MID(SUBSTITUTE(SUBSTITUTE(SUBSTITUTE(SUBSTITUTE(TRIM(B103),"*",""),".",""),"-","")," ",""),4,6),SUBSTITUTE(SUBSTITUTE(SUBSTITUTE(SUBSTITUTE(TRIM(B103),"*",""),".",""),"-","")," ","")))</f>
        <v/>
      </c>
      <c r="J103" s="28" t="str">
        <f aca="false">IF(OR(H103="",I103=""),"",H103&amp;"|"&amp;I103)</f>
        <v/>
      </c>
      <c r="K103" s="19" t="str">
        <f aca="false">IF(H103="","",IF(J103&lt;&gt;"",COUNTIF(Socios!$J:$J,J103),IF(COUNTIF(Socios!$H:$H,H103)&gt;0,"nome igual em Socios: confira o CPF","sem CPF: não cruzado")))</f>
        <v/>
      </c>
      <c r="L103" s="27"/>
      <c r="M103" s="5"/>
    </row>
    <row r="104" customFormat="false" ht="15" hidden="false" customHeight="false" outlineLevel="0" collapsed="false">
      <c r="A104" s="5"/>
      <c r="B104" s="27"/>
      <c r="C104" s="5"/>
      <c r="D104" s="5"/>
      <c r="E104" s="18"/>
      <c r="F104" s="14"/>
      <c r="G104" s="5"/>
      <c r="H104" s="28" t="str">
        <f aca="false">IF(A104="","",SUBSTITUTE(SUBSTITUTE(SUBSTITUTE(SUBSTITUTE(SUBSTITUTE(SUBSTITUTE(SUBSTITUTE(SUBSTITUTE(SUBSTITUTE(SUBSTITUTE(SUBSTITUTE(SUBSTITUTE(SUBSTITUTE(UPPER(TRIM(A104)),"Á","A"),"À","A"),"Â","A"),"Ã","A"),"É","E"),"Ê","E"),"Í","I"),"Ó","O"),"Ô","O"),"Õ","O"),"Ú","U"),"Ü","U"),"Ç","C"))</f>
        <v/>
      </c>
      <c r="I104" s="28" t="str">
        <f aca="false">IF(B104="","",IF(LEN(SUBSTITUTE(SUBSTITUTE(SUBSTITUTE(SUBSTITUTE(TRIM(B104),"*",""),".",""),"-","")," ",""))=11,MID(SUBSTITUTE(SUBSTITUTE(SUBSTITUTE(SUBSTITUTE(TRIM(B104),"*",""),".",""),"-","")," ",""),4,6),SUBSTITUTE(SUBSTITUTE(SUBSTITUTE(SUBSTITUTE(TRIM(B104),"*",""),".",""),"-","")," ","")))</f>
        <v/>
      </c>
      <c r="J104" s="28" t="str">
        <f aca="false">IF(OR(H104="",I104=""),"",H104&amp;"|"&amp;I104)</f>
        <v/>
      </c>
      <c r="K104" s="19" t="str">
        <f aca="false">IF(H104="","",IF(J104&lt;&gt;"",COUNTIF(Socios!$J:$J,J104),IF(COUNTIF(Socios!$H:$H,H104)&gt;0,"nome igual em Socios: confira o CPF","sem CPF: não cruzado")))</f>
        <v/>
      </c>
      <c r="L104" s="27"/>
      <c r="M104" s="5"/>
    </row>
    <row r="105" customFormat="false" ht="15" hidden="false" customHeight="false" outlineLevel="0" collapsed="false">
      <c r="A105" s="5"/>
      <c r="B105" s="27"/>
      <c r="C105" s="5"/>
      <c r="D105" s="5"/>
      <c r="E105" s="18"/>
      <c r="F105" s="14"/>
      <c r="G105" s="5"/>
      <c r="H105" s="28" t="str">
        <f aca="false">IF(A105="","",SUBSTITUTE(SUBSTITUTE(SUBSTITUTE(SUBSTITUTE(SUBSTITUTE(SUBSTITUTE(SUBSTITUTE(SUBSTITUTE(SUBSTITUTE(SUBSTITUTE(SUBSTITUTE(SUBSTITUTE(SUBSTITUTE(UPPER(TRIM(A105)),"Á","A"),"À","A"),"Â","A"),"Ã","A"),"É","E"),"Ê","E"),"Í","I"),"Ó","O"),"Ô","O"),"Õ","O"),"Ú","U"),"Ü","U"),"Ç","C"))</f>
        <v/>
      </c>
      <c r="I105" s="28" t="str">
        <f aca="false">IF(B105="","",IF(LEN(SUBSTITUTE(SUBSTITUTE(SUBSTITUTE(SUBSTITUTE(TRIM(B105),"*",""),".",""),"-","")," ",""))=11,MID(SUBSTITUTE(SUBSTITUTE(SUBSTITUTE(SUBSTITUTE(TRIM(B105),"*",""),".",""),"-","")," ",""),4,6),SUBSTITUTE(SUBSTITUTE(SUBSTITUTE(SUBSTITUTE(TRIM(B105),"*",""),".",""),"-","")," ","")))</f>
        <v/>
      </c>
      <c r="J105" s="28" t="str">
        <f aca="false">IF(OR(H105="",I105=""),"",H105&amp;"|"&amp;I105)</f>
        <v/>
      </c>
      <c r="K105" s="19" t="str">
        <f aca="false">IF(H105="","",IF(J105&lt;&gt;"",COUNTIF(Socios!$J:$J,J105),IF(COUNTIF(Socios!$H:$H,H105)&gt;0,"nome igual em Socios: confira o CPF","sem CPF: não cruzado")))</f>
        <v/>
      </c>
      <c r="L105" s="27"/>
      <c r="M105" s="5"/>
    </row>
    <row r="106" customFormat="false" ht="15" hidden="false" customHeight="false" outlineLevel="0" collapsed="false">
      <c r="A106" s="5"/>
      <c r="B106" s="27"/>
      <c r="C106" s="5"/>
      <c r="D106" s="5"/>
      <c r="E106" s="18"/>
      <c r="F106" s="14"/>
      <c r="G106" s="5"/>
      <c r="H106" s="28" t="str">
        <f aca="false">IF(A106="","",SUBSTITUTE(SUBSTITUTE(SUBSTITUTE(SUBSTITUTE(SUBSTITUTE(SUBSTITUTE(SUBSTITUTE(SUBSTITUTE(SUBSTITUTE(SUBSTITUTE(SUBSTITUTE(SUBSTITUTE(SUBSTITUTE(UPPER(TRIM(A106)),"Á","A"),"À","A"),"Â","A"),"Ã","A"),"É","E"),"Ê","E"),"Í","I"),"Ó","O"),"Ô","O"),"Õ","O"),"Ú","U"),"Ü","U"),"Ç","C"))</f>
        <v/>
      </c>
      <c r="I106" s="28" t="str">
        <f aca="false">IF(B106="","",IF(LEN(SUBSTITUTE(SUBSTITUTE(SUBSTITUTE(SUBSTITUTE(TRIM(B106),"*",""),".",""),"-","")," ",""))=11,MID(SUBSTITUTE(SUBSTITUTE(SUBSTITUTE(SUBSTITUTE(TRIM(B106),"*",""),".",""),"-","")," ",""),4,6),SUBSTITUTE(SUBSTITUTE(SUBSTITUTE(SUBSTITUTE(TRIM(B106),"*",""),".",""),"-","")," ","")))</f>
        <v/>
      </c>
      <c r="J106" s="28" t="str">
        <f aca="false">IF(OR(H106="",I106=""),"",H106&amp;"|"&amp;I106)</f>
        <v/>
      </c>
      <c r="K106" s="19" t="str">
        <f aca="false">IF(H106="","",IF(J106&lt;&gt;"",COUNTIF(Socios!$J:$J,J106),IF(COUNTIF(Socios!$H:$H,H106)&gt;0,"nome igual em Socios: confira o CPF","sem CPF: não cruzado")))</f>
        <v/>
      </c>
      <c r="L106" s="27"/>
      <c r="M106" s="5"/>
    </row>
    <row r="107" customFormat="false" ht="15" hidden="false" customHeight="false" outlineLevel="0" collapsed="false">
      <c r="A107" s="5"/>
      <c r="B107" s="27"/>
      <c r="C107" s="5"/>
      <c r="D107" s="5"/>
      <c r="E107" s="18"/>
      <c r="F107" s="14"/>
      <c r="G107" s="5"/>
      <c r="H107" s="28" t="str">
        <f aca="false">IF(A107="","",SUBSTITUTE(SUBSTITUTE(SUBSTITUTE(SUBSTITUTE(SUBSTITUTE(SUBSTITUTE(SUBSTITUTE(SUBSTITUTE(SUBSTITUTE(SUBSTITUTE(SUBSTITUTE(SUBSTITUTE(SUBSTITUTE(UPPER(TRIM(A107)),"Á","A"),"À","A"),"Â","A"),"Ã","A"),"É","E"),"Ê","E"),"Í","I"),"Ó","O"),"Ô","O"),"Õ","O"),"Ú","U"),"Ü","U"),"Ç","C"))</f>
        <v/>
      </c>
      <c r="I107" s="28" t="str">
        <f aca="false">IF(B107="","",IF(LEN(SUBSTITUTE(SUBSTITUTE(SUBSTITUTE(SUBSTITUTE(TRIM(B107),"*",""),".",""),"-","")," ",""))=11,MID(SUBSTITUTE(SUBSTITUTE(SUBSTITUTE(SUBSTITUTE(TRIM(B107),"*",""),".",""),"-","")," ",""),4,6),SUBSTITUTE(SUBSTITUTE(SUBSTITUTE(SUBSTITUTE(TRIM(B107),"*",""),".",""),"-","")," ","")))</f>
        <v/>
      </c>
      <c r="J107" s="28" t="str">
        <f aca="false">IF(OR(H107="",I107=""),"",H107&amp;"|"&amp;I107)</f>
        <v/>
      </c>
      <c r="K107" s="19" t="str">
        <f aca="false">IF(H107="","",IF(J107&lt;&gt;"",COUNTIF(Socios!$J:$J,J107),IF(COUNTIF(Socios!$H:$H,H107)&gt;0,"nome igual em Socios: confira o CPF","sem CPF: não cruzado")))</f>
        <v/>
      </c>
      <c r="L107" s="27"/>
      <c r="M107" s="5"/>
    </row>
    <row r="108" customFormat="false" ht="15" hidden="false" customHeight="false" outlineLevel="0" collapsed="false">
      <c r="A108" s="5"/>
      <c r="B108" s="27"/>
      <c r="C108" s="5"/>
      <c r="D108" s="5"/>
      <c r="E108" s="18"/>
      <c r="F108" s="14"/>
      <c r="G108" s="5"/>
      <c r="H108" s="28" t="str">
        <f aca="false">IF(A108="","",SUBSTITUTE(SUBSTITUTE(SUBSTITUTE(SUBSTITUTE(SUBSTITUTE(SUBSTITUTE(SUBSTITUTE(SUBSTITUTE(SUBSTITUTE(SUBSTITUTE(SUBSTITUTE(SUBSTITUTE(SUBSTITUTE(UPPER(TRIM(A108)),"Á","A"),"À","A"),"Â","A"),"Ã","A"),"É","E"),"Ê","E"),"Í","I"),"Ó","O"),"Ô","O"),"Õ","O"),"Ú","U"),"Ü","U"),"Ç","C"))</f>
        <v/>
      </c>
      <c r="I108" s="28" t="str">
        <f aca="false">IF(B108="","",IF(LEN(SUBSTITUTE(SUBSTITUTE(SUBSTITUTE(SUBSTITUTE(TRIM(B108),"*",""),".",""),"-","")," ",""))=11,MID(SUBSTITUTE(SUBSTITUTE(SUBSTITUTE(SUBSTITUTE(TRIM(B108),"*",""),".",""),"-","")," ",""),4,6),SUBSTITUTE(SUBSTITUTE(SUBSTITUTE(SUBSTITUTE(TRIM(B108),"*",""),".",""),"-","")," ","")))</f>
        <v/>
      </c>
      <c r="J108" s="28" t="str">
        <f aca="false">IF(OR(H108="",I108=""),"",H108&amp;"|"&amp;I108)</f>
        <v/>
      </c>
      <c r="K108" s="19" t="str">
        <f aca="false">IF(H108="","",IF(J108&lt;&gt;"",COUNTIF(Socios!$J:$J,J108),IF(COUNTIF(Socios!$H:$H,H108)&gt;0,"nome igual em Socios: confira o CPF","sem CPF: não cruzado")))</f>
        <v/>
      </c>
      <c r="L108" s="27"/>
      <c r="M108" s="5"/>
    </row>
    <row r="109" customFormat="false" ht="15" hidden="false" customHeight="false" outlineLevel="0" collapsed="false">
      <c r="A109" s="5"/>
      <c r="B109" s="27"/>
      <c r="C109" s="5"/>
      <c r="D109" s="5"/>
      <c r="E109" s="18"/>
      <c r="F109" s="14"/>
      <c r="G109" s="5"/>
      <c r="H109" s="28" t="str">
        <f aca="false">IF(A109="","",SUBSTITUTE(SUBSTITUTE(SUBSTITUTE(SUBSTITUTE(SUBSTITUTE(SUBSTITUTE(SUBSTITUTE(SUBSTITUTE(SUBSTITUTE(SUBSTITUTE(SUBSTITUTE(SUBSTITUTE(SUBSTITUTE(UPPER(TRIM(A109)),"Á","A"),"À","A"),"Â","A"),"Ã","A"),"É","E"),"Ê","E"),"Í","I"),"Ó","O"),"Ô","O"),"Õ","O"),"Ú","U"),"Ü","U"),"Ç","C"))</f>
        <v/>
      </c>
      <c r="I109" s="28" t="str">
        <f aca="false">IF(B109="","",IF(LEN(SUBSTITUTE(SUBSTITUTE(SUBSTITUTE(SUBSTITUTE(TRIM(B109),"*",""),".",""),"-","")," ",""))=11,MID(SUBSTITUTE(SUBSTITUTE(SUBSTITUTE(SUBSTITUTE(TRIM(B109),"*",""),".",""),"-","")," ",""),4,6),SUBSTITUTE(SUBSTITUTE(SUBSTITUTE(SUBSTITUTE(TRIM(B109),"*",""),".",""),"-","")," ","")))</f>
        <v/>
      </c>
      <c r="J109" s="28" t="str">
        <f aca="false">IF(OR(H109="",I109=""),"",H109&amp;"|"&amp;I109)</f>
        <v/>
      </c>
      <c r="K109" s="19" t="str">
        <f aca="false">IF(H109="","",IF(J109&lt;&gt;"",COUNTIF(Socios!$J:$J,J109),IF(COUNTIF(Socios!$H:$H,H109)&gt;0,"nome igual em Socios: confira o CPF","sem CPF: não cruzado")))</f>
        <v/>
      </c>
      <c r="L109" s="27"/>
      <c r="M109" s="5"/>
    </row>
    <row r="110" customFormat="false" ht="15" hidden="false" customHeight="false" outlineLevel="0" collapsed="false">
      <c r="A110" s="5"/>
      <c r="B110" s="27"/>
      <c r="C110" s="5"/>
      <c r="D110" s="5"/>
      <c r="E110" s="18"/>
      <c r="F110" s="14"/>
      <c r="G110" s="5"/>
      <c r="H110" s="28" t="str">
        <f aca="false">IF(A110="","",SUBSTITUTE(SUBSTITUTE(SUBSTITUTE(SUBSTITUTE(SUBSTITUTE(SUBSTITUTE(SUBSTITUTE(SUBSTITUTE(SUBSTITUTE(SUBSTITUTE(SUBSTITUTE(SUBSTITUTE(SUBSTITUTE(UPPER(TRIM(A110)),"Á","A"),"À","A"),"Â","A"),"Ã","A"),"É","E"),"Ê","E"),"Í","I"),"Ó","O"),"Ô","O"),"Õ","O"),"Ú","U"),"Ü","U"),"Ç","C"))</f>
        <v/>
      </c>
      <c r="I110" s="28" t="str">
        <f aca="false">IF(B110="","",IF(LEN(SUBSTITUTE(SUBSTITUTE(SUBSTITUTE(SUBSTITUTE(TRIM(B110),"*",""),".",""),"-","")," ",""))=11,MID(SUBSTITUTE(SUBSTITUTE(SUBSTITUTE(SUBSTITUTE(TRIM(B110),"*",""),".",""),"-","")," ",""),4,6),SUBSTITUTE(SUBSTITUTE(SUBSTITUTE(SUBSTITUTE(TRIM(B110),"*",""),".",""),"-","")," ","")))</f>
        <v/>
      </c>
      <c r="J110" s="28" t="str">
        <f aca="false">IF(OR(H110="",I110=""),"",H110&amp;"|"&amp;I110)</f>
        <v/>
      </c>
      <c r="K110" s="19" t="str">
        <f aca="false">IF(H110="","",IF(J110&lt;&gt;"",COUNTIF(Socios!$J:$J,J110),IF(COUNTIF(Socios!$H:$H,H110)&gt;0,"nome igual em Socios: confira o CPF","sem CPF: não cruzado")))</f>
        <v/>
      </c>
      <c r="L110" s="27"/>
      <c r="M110" s="5"/>
    </row>
    <row r="111" customFormat="false" ht="15" hidden="false" customHeight="false" outlineLevel="0" collapsed="false">
      <c r="A111" s="5"/>
      <c r="B111" s="27"/>
      <c r="C111" s="5"/>
      <c r="D111" s="5"/>
      <c r="E111" s="18"/>
      <c r="F111" s="14"/>
      <c r="G111" s="5"/>
      <c r="H111" s="28" t="str">
        <f aca="false">IF(A111="","",SUBSTITUTE(SUBSTITUTE(SUBSTITUTE(SUBSTITUTE(SUBSTITUTE(SUBSTITUTE(SUBSTITUTE(SUBSTITUTE(SUBSTITUTE(SUBSTITUTE(SUBSTITUTE(SUBSTITUTE(SUBSTITUTE(UPPER(TRIM(A111)),"Á","A"),"À","A"),"Â","A"),"Ã","A"),"É","E"),"Ê","E"),"Í","I"),"Ó","O"),"Ô","O"),"Õ","O"),"Ú","U"),"Ü","U"),"Ç","C"))</f>
        <v/>
      </c>
      <c r="I111" s="28" t="str">
        <f aca="false">IF(B111="","",IF(LEN(SUBSTITUTE(SUBSTITUTE(SUBSTITUTE(SUBSTITUTE(TRIM(B111),"*",""),".",""),"-","")," ",""))=11,MID(SUBSTITUTE(SUBSTITUTE(SUBSTITUTE(SUBSTITUTE(TRIM(B111),"*",""),".",""),"-","")," ",""),4,6),SUBSTITUTE(SUBSTITUTE(SUBSTITUTE(SUBSTITUTE(TRIM(B111),"*",""),".",""),"-","")," ","")))</f>
        <v/>
      </c>
      <c r="J111" s="28" t="str">
        <f aca="false">IF(OR(H111="",I111=""),"",H111&amp;"|"&amp;I111)</f>
        <v/>
      </c>
      <c r="K111" s="19" t="str">
        <f aca="false">IF(H111="","",IF(J111&lt;&gt;"",COUNTIF(Socios!$J:$J,J111),IF(COUNTIF(Socios!$H:$H,H111)&gt;0,"nome igual em Socios: confira o CPF","sem CPF: não cruzado")))</f>
        <v/>
      </c>
      <c r="L111" s="27"/>
      <c r="M111" s="5"/>
    </row>
    <row r="112" customFormat="false" ht="15" hidden="false" customHeight="false" outlineLevel="0" collapsed="false">
      <c r="A112" s="5"/>
      <c r="B112" s="27"/>
      <c r="C112" s="5"/>
      <c r="D112" s="5"/>
      <c r="E112" s="18"/>
      <c r="F112" s="14"/>
      <c r="G112" s="5"/>
      <c r="H112" s="28" t="str">
        <f aca="false">IF(A112="","",SUBSTITUTE(SUBSTITUTE(SUBSTITUTE(SUBSTITUTE(SUBSTITUTE(SUBSTITUTE(SUBSTITUTE(SUBSTITUTE(SUBSTITUTE(SUBSTITUTE(SUBSTITUTE(SUBSTITUTE(SUBSTITUTE(UPPER(TRIM(A112)),"Á","A"),"À","A"),"Â","A"),"Ã","A"),"É","E"),"Ê","E"),"Í","I"),"Ó","O"),"Ô","O"),"Õ","O"),"Ú","U"),"Ü","U"),"Ç","C"))</f>
        <v/>
      </c>
      <c r="I112" s="28" t="str">
        <f aca="false">IF(B112="","",IF(LEN(SUBSTITUTE(SUBSTITUTE(SUBSTITUTE(SUBSTITUTE(TRIM(B112),"*",""),".",""),"-","")," ",""))=11,MID(SUBSTITUTE(SUBSTITUTE(SUBSTITUTE(SUBSTITUTE(TRIM(B112),"*",""),".",""),"-","")," ",""),4,6),SUBSTITUTE(SUBSTITUTE(SUBSTITUTE(SUBSTITUTE(TRIM(B112),"*",""),".",""),"-","")," ","")))</f>
        <v/>
      </c>
      <c r="J112" s="28" t="str">
        <f aca="false">IF(OR(H112="",I112=""),"",H112&amp;"|"&amp;I112)</f>
        <v/>
      </c>
      <c r="K112" s="19" t="str">
        <f aca="false">IF(H112="","",IF(J112&lt;&gt;"",COUNTIF(Socios!$J:$J,J112),IF(COUNTIF(Socios!$H:$H,H112)&gt;0,"nome igual em Socios: confira o CPF","sem CPF: não cruzado")))</f>
        <v/>
      </c>
      <c r="L112" s="27"/>
      <c r="M112" s="5"/>
    </row>
    <row r="113" customFormat="false" ht="15" hidden="false" customHeight="false" outlineLevel="0" collapsed="false">
      <c r="A113" s="5"/>
      <c r="B113" s="27"/>
      <c r="C113" s="5"/>
      <c r="D113" s="5"/>
      <c r="E113" s="18"/>
      <c r="F113" s="14"/>
      <c r="G113" s="5"/>
      <c r="H113" s="28" t="str">
        <f aca="false">IF(A113="","",SUBSTITUTE(SUBSTITUTE(SUBSTITUTE(SUBSTITUTE(SUBSTITUTE(SUBSTITUTE(SUBSTITUTE(SUBSTITUTE(SUBSTITUTE(SUBSTITUTE(SUBSTITUTE(SUBSTITUTE(SUBSTITUTE(UPPER(TRIM(A113)),"Á","A"),"À","A"),"Â","A"),"Ã","A"),"É","E"),"Ê","E"),"Í","I"),"Ó","O"),"Ô","O"),"Õ","O"),"Ú","U"),"Ü","U"),"Ç","C"))</f>
        <v/>
      </c>
      <c r="I113" s="28" t="str">
        <f aca="false">IF(B113="","",IF(LEN(SUBSTITUTE(SUBSTITUTE(SUBSTITUTE(SUBSTITUTE(TRIM(B113),"*",""),".",""),"-","")," ",""))=11,MID(SUBSTITUTE(SUBSTITUTE(SUBSTITUTE(SUBSTITUTE(TRIM(B113),"*",""),".",""),"-","")," ",""),4,6),SUBSTITUTE(SUBSTITUTE(SUBSTITUTE(SUBSTITUTE(TRIM(B113),"*",""),".",""),"-","")," ","")))</f>
        <v/>
      </c>
      <c r="J113" s="28" t="str">
        <f aca="false">IF(OR(H113="",I113=""),"",H113&amp;"|"&amp;I113)</f>
        <v/>
      </c>
      <c r="K113" s="19" t="str">
        <f aca="false">IF(H113="","",IF(J113&lt;&gt;"",COUNTIF(Socios!$J:$J,J113),IF(COUNTIF(Socios!$H:$H,H113)&gt;0,"nome igual em Socios: confira o CPF","sem CPF: não cruzado")))</f>
        <v/>
      </c>
      <c r="L113" s="27"/>
      <c r="M113" s="5"/>
    </row>
    <row r="114" customFormat="false" ht="15" hidden="false" customHeight="false" outlineLevel="0" collapsed="false">
      <c r="A114" s="5"/>
      <c r="B114" s="27"/>
      <c r="C114" s="5"/>
      <c r="D114" s="5"/>
      <c r="E114" s="18"/>
      <c r="F114" s="14"/>
      <c r="G114" s="5"/>
      <c r="H114" s="28" t="str">
        <f aca="false">IF(A114="","",SUBSTITUTE(SUBSTITUTE(SUBSTITUTE(SUBSTITUTE(SUBSTITUTE(SUBSTITUTE(SUBSTITUTE(SUBSTITUTE(SUBSTITUTE(SUBSTITUTE(SUBSTITUTE(SUBSTITUTE(SUBSTITUTE(UPPER(TRIM(A114)),"Á","A"),"À","A"),"Â","A"),"Ã","A"),"É","E"),"Ê","E"),"Í","I"),"Ó","O"),"Ô","O"),"Õ","O"),"Ú","U"),"Ü","U"),"Ç","C"))</f>
        <v/>
      </c>
      <c r="I114" s="28" t="str">
        <f aca="false">IF(B114="","",IF(LEN(SUBSTITUTE(SUBSTITUTE(SUBSTITUTE(SUBSTITUTE(TRIM(B114),"*",""),".",""),"-","")," ",""))=11,MID(SUBSTITUTE(SUBSTITUTE(SUBSTITUTE(SUBSTITUTE(TRIM(B114),"*",""),".",""),"-","")," ",""),4,6),SUBSTITUTE(SUBSTITUTE(SUBSTITUTE(SUBSTITUTE(TRIM(B114),"*",""),".",""),"-","")," ","")))</f>
        <v/>
      </c>
      <c r="J114" s="28" t="str">
        <f aca="false">IF(OR(H114="",I114=""),"",H114&amp;"|"&amp;I114)</f>
        <v/>
      </c>
      <c r="K114" s="19" t="str">
        <f aca="false">IF(H114="","",IF(J114&lt;&gt;"",COUNTIF(Socios!$J:$J,J114),IF(COUNTIF(Socios!$H:$H,H114)&gt;0,"nome igual em Socios: confira o CPF","sem CPF: não cruzado")))</f>
        <v/>
      </c>
      <c r="L114" s="27"/>
      <c r="M114" s="5"/>
    </row>
    <row r="115" customFormat="false" ht="15" hidden="false" customHeight="false" outlineLevel="0" collapsed="false">
      <c r="A115" s="5"/>
      <c r="B115" s="27"/>
      <c r="C115" s="5"/>
      <c r="D115" s="5"/>
      <c r="E115" s="18"/>
      <c r="F115" s="14"/>
      <c r="G115" s="5"/>
      <c r="H115" s="28" t="str">
        <f aca="false">IF(A115="","",SUBSTITUTE(SUBSTITUTE(SUBSTITUTE(SUBSTITUTE(SUBSTITUTE(SUBSTITUTE(SUBSTITUTE(SUBSTITUTE(SUBSTITUTE(SUBSTITUTE(SUBSTITUTE(SUBSTITUTE(SUBSTITUTE(UPPER(TRIM(A115)),"Á","A"),"À","A"),"Â","A"),"Ã","A"),"É","E"),"Ê","E"),"Í","I"),"Ó","O"),"Ô","O"),"Õ","O"),"Ú","U"),"Ü","U"),"Ç","C"))</f>
        <v/>
      </c>
      <c r="I115" s="28" t="str">
        <f aca="false">IF(B115="","",IF(LEN(SUBSTITUTE(SUBSTITUTE(SUBSTITUTE(SUBSTITUTE(TRIM(B115),"*",""),".",""),"-","")," ",""))=11,MID(SUBSTITUTE(SUBSTITUTE(SUBSTITUTE(SUBSTITUTE(TRIM(B115),"*",""),".",""),"-","")," ",""),4,6),SUBSTITUTE(SUBSTITUTE(SUBSTITUTE(SUBSTITUTE(TRIM(B115),"*",""),".",""),"-","")," ","")))</f>
        <v/>
      </c>
      <c r="J115" s="28" t="str">
        <f aca="false">IF(OR(H115="",I115=""),"",H115&amp;"|"&amp;I115)</f>
        <v/>
      </c>
      <c r="K115" s="19" t="str">
        <f aca="false">IF(H115="","",IF(J115&lt;&gt;"",COUNTIF(Socios!$J:$J,J115),IF(COUNTIF(Socios!$H:$H,H115)&gt;0,"nome igual em Socios: confira o CPF","sem CPF: não cruzado")))</f>
        <v/>
      </c>
      <c r="L115" s="27"/>
      <c r="M115" s="5"/>
    </row>
    <row r="116" customFormat="false" ht="15" hidden="false" customHeight="false" outlineLevel="0" collapsed="false">
      <c r="A116" s="5"/>
      <c r="B116" s="27"/>
      <c r="C116" s="5"/>
      <c r="D116" s="5"/>
      <c r="E116" s="18"/>
      <c r="F116" s="14"/>
      <c r="G116" s="5"/>
      <c r="H116" s="28" t="str">
        <f aca="false">IF(A116="","",SUBSTITUTE(SUBSTITUTE(SUBSTITUTE(SUBSTITUTE(SUBSTITUTE(SUBSTITUTE(SUBSTITUTE(SUBSTITUTE(SUBSTITUTE(SUBSTITUTE(SUBSTITUTE(SUBSTITUTE(SUBSTITUTE(UPPER(TRIM(A116)),"Á","A"),"À","A"),"Â","A"),"Ã","A"),"É","E"),"Ê","E"),"Í","I"),"Ó","O"),"Ô","O"),"Õ","O"),"Ú","U"),"Ü","U"),"Ç","C"))</f>
        <v/>
      </c>
      <c r="I116" s="28" t="str">
        <f aca="false">IF(B116="","",IF(LEN(SUBSTITUTE(SUBSTITUTE(SUBSTITUTE(SUBSTITUTE(TRIM(B116),"*",""),".",""),"-","")," ",""))=11,MID(SUBSTITUTE(SUBSTITUTE(SUBSTITUTE(SUBSTITUTE(TRIM(B116),"*",""),".",""),"-","")," ",""),4,6),SUBSTITUTE(SUBSTITUTE(SUBSTITUTE(SUBSTITUTE(TRIM(B116),"*",""),".",""),"-","")," ","")))</f>
        <v/>
      </c>
      <c r="J116" s="28" t="str">
        <f aca="false">IF(OR(H116="",I116=""),"",H116&amp;"|"&amp;I116)</f>
        <v/>
      </c>
      <c r="K116" s="19" t="str">
        <f aca="false">IF(H116="","",IF(J116&lt;&gt;"",COUNTIF(Socios!$J:$J,J116),IF(COUNTIF(Socios!$H:$H,H116)&gt;0,"nome igual em Socios: confira o CPF","sem CPF: não cruzado")))</f>
        <v/>
      </c>
      <c r="L116" s="27"/>
      <c r="M116" s="5"/>
    </row>
    <row r="117" customFormat="false" ht="15" hidden="false" customHeight="false" outlineLevel="0" collapsed="false">
      <c r="A117" s="5"/>
      <c r="B117" s="27"/>
      <c r="C117" s="5"/>
      <c r="D117" s="5"/>
      <c r="E117" s="18"/>
      <c r="F117" s="14"/>
      <c r="G117" s="5"/>
      <c r="H117" s="28" t="str">
        <f aca="false">IF(A117="","",SUBSTITUTE(SUBSTITUTE(SUBSTITUTE(SUBSTITUTE(SUBSTITUTE(SUBSTITUTE(SUBSTITUTE(SUBSTITUTE(SUBSTITUTE(SUBSTITUTE(SUBSTITUTE(SUBSTITUTE(SUBSTITUTE(UPPER(TRIM(A117)),"Á","A"),"À","A"),"Â","A"),"Ã","A"),"É","E"),"Ê","E"),"Í","I"),"Ó","O"),"Ô","O"),"Õ","O"),"Ú","U"),"Ü","U"),"Ç","C"))</f>
        <v/>
      </c>
      <c r="I117" s="28" t="str">
        <f aca="false">IF(B117="","",IF(LEN(SUBSTITUTE(SUBSTITUTE(SUBSTITUTE(SUBSTITUTE(TRIM(B117),"*",""),".",""),"-","")," ",""))=11,MID(SUBSTITUTE(SUBSTITUTE(SUBSTITUTE(SUBSTITUTE(TRIM(B117),"*",""),".",""),"-","")," ",""),4,6),SUBSTITUTE(SUBSTITUTE(SUBSTITUTE(SUBSTITUTE(TRIM(B117),"*",""),".",""),"-","")," ","")))</f>
        <v/>
      </c>
      <c r="J117" s="28" t="str">
        <f aca="false">IF(OR(H117="",I117=""),"",H117&amp;"|"&amp;I117)</f>
        <v/>
      </c>
      <c r="K117" s="19" t="str">
        <f aca="false">IF(H117="","",IF(J117&lt;&gt;"",COUNTIF(Socios!$J:$J,J117),IF(COUNTIF(Socios!$H:$H,H117)&gt;0,"nome igual em Socios: confira o CPF","sem CPF: não cruzado")))</f>
        <v/>
      </c>
      <c r="L117" s="27"/>
      <c r="M117" s="5"/>
    </row>
    <row r="118" customFormat="false" ht="15" hidden="false" customHeight="false" outlineLevel="0" collapsed="false">
      <c r="A118" s="5"/>
      <c r="B118" s="27"/>
      <c r="C118" s="5"/>
      <c r="D118" s="5"/>
      <c r="E118" s="18"/>
      <c r="F118" s="14"/>
      <c r="G118" s="5"/>
      <c r="H118" s="28" t="str">
        <f aca="false">IF(A118="","",SUBSTITUTE(SUBSTITUTE(SUBSTITUTE(SUBSTITUTE(SUBSTITUTE(SUBSTITUTE(SUBSTITUTE(SUBSTITUTE(SUBSTITUTE(SUBSTITUTE(SUBSTITUTE(SUBSTITUTE(SUBSTITUTE(UPPER(TRIM(A118)),"Á","A"),"À","A"),"Â","A"),"Ã","A"),"É","E"),"Ê","E"),"Í","I"),"Ó","O"),"Ô","O"),"Õ","O"),"Ú","U"),"Ü","U"),"Ç","C"))</f>
        <v/>
      </c>
      <c r="I118" s="28" t="str">
        <f aca="false">IF(B118="","",IF(LEN(SUBSTITUTE(SUBSTITUTE(SUBSTITUTE(SUBSTITUTE(TRIM(B118),"*",""),".",""),"-","")," ",""))=11,MID(SUBSTITUTE(SUBSTITUTE(SUBSTITUTE(SUBSTITUTE(TRIM(B118),"*",""),".",""),"-","")," ",""),4,6),SUBSTITUTE(SUBSTITUTE(SUBSTITUTE(SUBSTITUTE(TRIM(B118),"*",""),".",""),"-","")," ","")))</f>
        <v/>
      </c>
      <c r="J118" s="28" t="str">
        <f aca="false">IF(OR(H118="",I118=""),"",H118&amp;"|"&amp;I118)</f>
        <v/>
      </c>
      <c r="K118" s="19" t="str">
        <f aca="false">IF(H118="","",IF(J118&lt;&gt;"",COUNTIF(Socios!$J:$J,J118),IF(COUNTIF(Socios!$H:$H,H118)&gt;0,"nome igual em Socios: confira o CPF","sem CPF: não cruzado")))</f>
        <v/>
      </c>
      <c r="L118" s="27"/>
      <c r="M118" s="5"/>
    </row>
    <row r="119" customFormat="false" ht="15" hidden="false" customHeight="false" outlineLevel="0" collapsed="false">
      <c r="A119" s="5"/>
      <c r="B119" s="27"/>
      <c r="C119" s="5"/>
      <c r="D119" s="5"/>
      <c r="E119" s="18"/>
      <c r="F119" s="14"/>
      <c r="G119" s="5"/>
      <c r="H119" s="28" t="str">
        <f aca="false">IF(A119="","",SUBSTITUTE(SUBSTITUTE(SUBSTITUTE(SUBSTITUTE(SUBSTITUTE(SUBSTITUTE(SUBSTITUTE(SUBSTITUTE(SUBSTITUTE(SUBSTITUTE(SUBSTITUTE(SUBSTITUTE(SUBSTITUTE(UPPER(TRIM(A119)),"Á","A"),"À","A"),"Â","A"),"Ã","A"),"É","E"),"Ê","E"),"Í","I"),"Ó","O"),"Ô","O"),"Õ","O"),"Ú","U"),"Ü","U"),"Ç","C"))</f>
        <v/>
      </c>
      <c r="I119" s="28" t="str">
        <f aca="false">IF(B119="","",IF(LEN(SUBSTITUTE(SUBSTITUTE(SUBSTITUTE(SUBSTITUTE(TRIM(B119),"*",""),".",""),"-","")," ",""))=11,MID(SUBSTITUTE(SUBSTITUTE(SUBSTITUTE(SUBSTITUTE(TRIM(B119),"*",""),".",""),"-","")," ",""),4,6),SUBSTITUTE(SUBSTITUTE(SUBSTITUTE(SUBSTITUTE(TRIM(B119),"*",""),".",""),"-","")," ","")))</f>
        <v/>
      </c>
      <c r="J119" s="28" t="str">
        <f aca="false">IF(OR(H119="",I119=""),"",H119&amp;"|"&amp;I119)</f>
        <v/>
      </c>
      <c r="K119" s="19" t="str">
        <f aca="false">IF(H119="","",IF(J119&lt;&gt;"",COUNTIF(Socios!$J:$J,J119),IF(COUNTIF(Socios!$H:$H,H119)&gt;0,"nome igual em Socios: confira o CPF","sem CPF: não cruzado")))</f>
        <v/>
      </c>
      <c r="L119" s="27"/>
      <c r="M119" s="5"/>
    </row>
    <row r="120" customFormat="false" ht="15" hidden="false" customHeight="false" outlineLevel="0" collapsed="false">
      <c r="A120" s="5"/>
      <c r="B120" s="27"/>
      <c r="C120" s="5"/>
      <c r="D120" s="5"/>
      <c r="E120" s="18"/>
      <c r="F120" s="14"/>
      <c r="G120" s="5"/>
      <c r="H120" s="28" t="str">
        <f aca="false">IF(A120="","",SUBSTITUTE(SUBSTITUTE(SUBSTITUTE(SUBSTITUTE(SUBSTITUTE(SUBSTITUTE(SUBSTITUTE(SUBSTITUTE(SUBSTITUTE(SUBSTITUTE(SUBSTITUTE(SUBSTITUTE(SUBSTITUTE(UPPER(TRIM(A120)),"Á","A"),"À","A"),"Â","A"),"Ã","A"),"É","E"),"Ê","E"),"Í","I"),"Ó","O"),"Ô","O"),"Õ","O"),"Ú","U"),"Ü","U"),"Ç","C"))</f>
        <v/>
      </c>
      <c r="I120" s="28" t="str">
        <f aca="false">IF(B120="","",IF(LEN(SUBSTITUTE(SUBSTITUTE(SUBSTITUTE(SUBSTITUTE(TRIM(B120),"*",""),".",""),"-","")," ",""))=11,MID(SUBSTITUTE(SUBSTITUTE(SUBSTITUTE(SUBSTITUTE(TRIM(B120),"*",""),".",""),"-","")," ",""),4,6),SUBSTITUTE(SUBSTITUTE(SUBSTITUTE(SUBSTITUTE(TRIM(B120),"*",""),".",""),"-","")," ","")))</f>
        <v/>
      </c>
      <c r="J120" s="28" t="str">
        <f aca="false">IF(OR(H120="",I120=""),"",H120&amp;"|"&amp;I120)</f>
        <v/>
      </c>
      <c r="K120" s="19" t="str">
        <f aca="false">IF(H120="","",IF(J120&lt;&gt;"",COUNTIF(Socios!$J:$J,J120),IF(COUNTIF(Socios!$H:$H,H120)&gt;0,"nome igual em Socios: confira o CPF","sem CPF: não cruzado")))</f>
        <v/>
      </c>
      <c r="L120" s="27"/>
      <c r="M120" s="5"/>
    </row>
    <row r="121" customFormat="false" ht="15" hidden="false" customHeight="false" outlineLevel="0" collapsed="false">
      <c r="A121" s="5"/>
      <c r="B121" s="27"/>
      <c r="C121" s="5"/>
      <c r="D121" s="5"/>
      <c r="E121" s="18"/>
      <c r="F121" s="14"/>
      <c r="G121" s="5"/>
      <c r="H121" s="28" t="str">
        <f aca="false">IF(A121="","",SUBSTITUTE(SUBSTITUTE(SUBSTITUTE(SUBSTITUTE(SUBSTITUTE(SUBSTITUTE(SUBSTITUTE(SUBSTITUTE(SUBSTITUTE(SUBSTITUTE(SUBSTITUTE(SUBSTITUTE(SUBSTITUTE(UPPER(TRIM(A121)),"Á","A"),"À","A"),"Â","A"),"Ã","A"),"É","E"),"Ê","E"),"Í","I"),"Ó","O"),"Ô","O"),"Õ","O"),"Ú","U"),"Ü","U"),"Ç","C"))</f>
        <v/>
      </c>
      <c r="I121" s="28" t="str">
        <f aca="false">IF(B121="","",IF(LEN(SUBSTITUTE(SUBSTITUTE(SUBSTITUTE(SUBSTITUTE(TRIM(B121),"*",""),".",""),"-","")," ",""))=11,MID(SUBSTITUTE(SUBSTITUTE(SUBSTITUTE(SUBSTITUTE(TRIM(B121),"*",""),".",""),"-","")," ",""),4,6),SUBSTITUTE(SUBSTITUTE(SUBSTITUTE(SUBSTITUTE(TRIM(B121),"*",""),".",""),"-","")," ","")))</f>
        <v/>
      </c>
      <c r="J121" s="28" t="str">
        <f aca="false">IF(OR(H121="",I121=""),"",H121&amp;"|"&amp;I121)</f>
        <v/>
      </c>
      <c r="K121" s="19" t="str">
        <f aca="false">IF(H121="","",IF(J121&lt;&gt;"",COUNTIF(Socios!$J:$J,J121),IF(COUNTIF(Socios!$H:$H,H121)&gt;0,"nome igual em Socios: confira o CPF","sem CPF: não cruzado")))</f>
        <v/>
      </c>
      <c r="L121" s="27"/>
      <c r="M121" s="5"/>
    </row>
    <row r="122" customFormat="false" ht="15" hidden="false" customHeight="false" outlineLevel="0" collapsed="false">
      <c r="A122" s="5"/>
      <c r="B122" s="27"/>
      <c r="C122" s="5"/>
      <c r="D122" s="5"/>
      <c r="E122" s="18"/>
      <c r="F122" s="14"/>
      <c r="G122" s="5"/>
      <c r="H122" s="28" t="str">
        <f aca="false">IF(A122="","",SUBSTITUTE(SUBSTITUTE(SUBSTITUTE(SUBSTITUTE(SUBSTITUTE(SUBSTITUTE(SUBSTITUTE(SUBSTITUTE(SUBSTITUTE(SUBSTITUTE(SUBSTITUTE(SUBSTITUTE(SUBSTITUTE(UPPER(TRIM(A122)),"Á","A"),"À","A"),"Â","A"),"Ã","A"),"É","E"),"Ê","E"),"Í","I"),"Ó","O"),"Ô","O"),"Õ","O"),"Ú","U"),"Ü","U"),"Ç","C"))</f>
        <v/>
      </c>
      <c r="I122" s="28" t="str">
        <f aca="false">IF(B122="","",IF(LEN(SUBSTITUTE(SUBSTITUTE(SUBSTITUTE(SUBSTITUTE(TRIM(B122),"*",""),".",""),"-","")," ",""))=11,MID(SUBSTITUTE(SUBSTITUTE(SUBSTITUTE(SUBSTITUTE(TRIM(B122),"*",""),".",""),"-","")," ",""),4,6),SUBSTITUTE(SUBSTITUTE(SUBSTITUTE(SUBSTITUTE(TRIM(B122),"*",""),".",""),"-","")," ","")))</f>
        <v/>
      </c>
      <c r="J122" s="28" t="str">
        <f aca="false">IF(OR(H122="",I122=""),"",H122&amp;"|"&amp;I122)</f>
        <v/>
      </c>
      <c r="K122" s="19" t="str">
        <f aca="false">IF(H122="","",IF(J122&lt;&gt;"",COUNTIF(Socios!$J:$J,J122),IF(COUNTIF(Socios!$H:$H,H122)&gt;0,"nome igual em Socios: confira o CPF","sem CPF: não cruzado")))</f>
        <v/>
      </c>
      <c r="L122" s="27"/>
      <c r="M122" s="5"/>
    </row>
    <row r="123" customFormat="false" ht="15" hidden="false" customHeight="false" outlineLevel="0" collapsed="false">
      <c r="A123" s="5"/>
      <c r="B123" s="27"/>
      <c r="C123" s="5"/>
      <c r="D123" s="5"/>
      <c r="E123" s="18"/>
      <c r="F123" s="14"/>
      <c r="G123" s="5"/>
      <c r="H123" s="28" t="str">
        <f aca="false">IF(A123="","",SUBSTITUTE(SUBSTITUTE(SUBSTITUTE(SUBSTITUTE(SUBSTITUTE(SUBSTITUTE(SUBSTITUTE(SUBSTITUTE(SUBSTITUTE(SUBSTITUTE(SUBSTITUTE(SUBSTITUTE(SUBSTITUTE(UPPER(TRIM(A123)),"Á","A"),"À","A"),"Â","A"),"Ã","A"),"É","E"),"Ê","E"),"Í","I"),"Ó","O"),"Ô","O"),"Õ","O"),"Ú","U"),"Ü","U"),"Ç","C"))</f>
        <v/>
      </c>
      <c r="I123" s="28" t="str">
        <f aca="false">IF(B123="","",IF(LEN(SUBSTITUTE(SUBSTITUTE(SUBSTITUTE(SUBSTITUTE(TRIM(B123),"*",""),".",""),"-","")," ",""))=11,MID(SUBSTITUTE(SUBSTITUTE(SUBSTITUTE(SUBSTITUTE(TRIM(B123),"*",""),".",""),"-","")," ",""),4,6),SUBSTITUTE(SUBSTITUTE(SUBSTITUTE(SUBSTITUTE(TRIM(B123),"*",""),".",""),"-","")," ","")))</f>
        <v/>
      </c>
      <c r="J123" s="28" t="str">
        <f aca="false">IF(OR(H123="",I123=""),"",H123&amp;"|"&amp;I123)</f>
        <v/>
      </c>
      <c r="K123" s="19" t="str">
        <f aca="false">IF(H123="","",IF(J123&lt;&gt;"",COUNTIF(Socios!$J:$J,J123),IF(COUNTIF(Socios!$H:$H,H123)&gt;0,"nome igual em Socios: confira o CPF","sem CPF: não cruzado")))</f>
        <v/>
      </c>
      <c r="L123" s="27"/>
      <c r="M123" s="5"/>
    </row>
    <row r="124" customFormat="false" ht="15" hidden="false" customHeight="false" outlineLevel="0" collapsed="false">
      <c r="A124" s="5"/>
      <c r="B124" s="27"/>
      <c r="C124" s="5"/>
      <c r="D124" s="5"/>
      <c r="E124" s="18"/>
      <c r="F124" s="14"/>
      <c r="G124" s="5"/>
      <c r="H124" s="28" t="str">
        <f aca="false">IF(A124="","",SUBSTITUTE(SUBSTITUTE(SUBSTITUTE(SUBSTITUTE(SUBSTITUTE(SUBSTITUTE(SUBSTITUTE(SUBSTITUTE(SUBSTITUTE(SUBSTITUTE(SUBSTITUTE(SUBSTITUTE(SUBSTITUTE(UPPER(TRIM(A124)),"Á","A"),"À","A"),"Â","A"),"Ã","A"),"É","E"),"Ê","E"),"Í","I"),"Ó","O"),"Ô","O"),"Õ","O"),"Ú","U"),"Ü","U"),"Ç","C"))</f>
        <v/>
      </c>
      <c r="I124" s="28" t="str">
        <f aca="false">IF(B124="","",IF(LEN(SUBSTITUTE(SUBSTITUTE(SUBSTITUTE(SUBSTITUTE(TRIM(B124),"*",""),".",""),"-","")," ",""))=11,MID(SUBSTITUTE(SUBSTITUTE(SUBSTITUTE(SUBSTITUTE(TRIM(B124),"*",""),".",""),"-","")," ",""),4,6),SUBSTITUTE(SUBSTITUTE(SUBSTITUTE(SUBSTITUTE(TRIM(B124),"*",""),".",""),"-","")," ","")))</f>
        <v/>
      </c>
      <c r="J124" s="28" t="str">
        <f aca="false">IF(OR(H124="",I124=""),"",H124&amp;"|"&amp;I124)</f>
        <v/>
      </c>
      <c r="K124" s="19" t="str">
        <f aca="false">IF(H124="","",IF(J124&lt;&gt;"",COUNTIF(Socios!$J:$J,J124),IF(COUNTIF(Socios!$H:$H,H124)&gt;0,"nome igual em Socios: confira o CPF","sem CPF: não cruzado")))</f>
        <v/>
      </c>
      <c r="L124" s="27"/>
      <c r="M124" s="5"/>
    </row>
    <row r="125" customFormat="false" ht="15" hidden="false" customHeight="false" outlineLevel="0" collapsed="false">
      <c r="A125" s="5"/>
      <c r="B125" s="27"/>
      <c r="C125" s="5"/>
      <c r="D125" s="5"/>
      <c r="E125" s="18"/>
      <c r="F125" s="14"/>
      <c r="G125" s="5"/>
      <c r="H125" s="28" t="str">
        <f aca="false">IF(A125="","",SUBSTITUTE(SUBSTITUTE(SUBSTITUTE(SUBSTITUTE(SUBSTITUTE(SUBSTITUTE(SUBSTITUTE(SUBSTITUTE(SUBSTITUTE(SUBSTITUTE(SUBSTITUTE(SUBSTITUTE(SUBSTITUTE(UPPER(TRIM(A125)),"Á","A"),"À","A"),"Â","A"),"Ã","A"),"É","E"),"Ê","E"),"Í","I"),"Ó","O"),"Ô","O"),"Õ","O"),"Ú","U"),"Ü","U"),"Ç","C"))</f>
        <v/>
      </c>
      <c r="I125" s="28" t="str">
        <f aca="false">IF(B125="","",IF(LEN(SUBSTITUTE(SUBSTITUTE(SUBSTITUTE(SUBSTITUTE(TRIM(B125),"*",""),".",""),"-","")," ",""))=11,MID(SUBSTITUTE(SUBSTITUTE(SUBSTITUTE(SUBSTITUTE(TRIM(B125),"*",""),".",""),"-","")," ",""),4,6),SUBSTITUTE(SUBSTITUTE(SUBSTITUTE(SUBSTITUTE(TRIM(B125),"*",""),".",""),"-","")," ","")))</f>
        <v/>
      </c>
      <c r="J125" s="28" t="str">
        <f aca="false">IF(OR(H125="",I125=""),"",H125&amp;"|"&amp;I125)</f>
        <v/>
      </c>
      <c r="K125" s="19" t="str">
        <f aca="false">IF(H125="","",IF(J125&lt;&gt;"",COUNTIF(Socios!$J:$J,J125),IF(COUNTIF(Socios!$H:$H,H125)&gt;0,"nome igual em Socios: confira o CPF","sem CPF: não cruzado")))</f>
        <v/>
      </c>
      <c r="L125" s="27"/>
      <c r="M125" s="5"/>
    </row>
    <row r="126" customFormat="false" ht="15" hidden="false" customHeight="false" outlineLevel="0" collapsed="false">
      <c r="A126" s="5"/>
      <c r="B126" s="27"/>
      <c r="C126" s="5"/>
      <c r="D126" s="5"/>
      <c r="E126" s="18"/>
      <c r="F126" s="14"/>
      <c r="G126" s="5"/>
      <c r="H126" s="28" t="str">
        <f aca="false">IF(A126="","",SUBSTITUTE(SUBSTITUTE(SUBSTITUTE(SUBSTITUTE(SUBSTITUTE(SUBSTITUTE(SUBSTITUTE(SUBSTITUTE(SUBSTITUTE(SUBSTITUTE(SUBSTITUTE(SUBSTITUTE(SUBSTITUTE(UPPER(TRIM(A126)),"Á","A"),"À","A"),"Â","A"),"Ã","A"),"É","E"),"Ê","E"),"Í","I"),"Ó","O"),"Ô","O"),"Õ","O"),"Ú","U"),"Ü","U"),"Ç","C"))</f>
        <v/>
      </c>
      <c r="I126" s="28" t="str">
        <f aca="false">IF(B126="","",IF(LEN(SUBSTITUTE(SUBSTITUTE(SUBSTITUTE(SUBSTITUTE(TRIM(B126),"*",""),".",""),"-","")," ",""))=11,MID(SUBSTITUTE(SUBSTITUTE(SUBSTITUTE(SUBSTITUTE(TRIM(B126),"*",""),".",""),"-","")," ",""),4,6),SUBSTITUTE(SUBSTITUTE(SUBSTITUTE(SUBSTITUTE(TRIM(B126),"*",""),".",""),"-","")," ","")))</f>
        <v/>
      </c>
      <c r="J126" s="28" t="str">
        <f aca="false">IF(OR(H126="",I126=""),"",H126&amp;"|"&amp;I126)</f>
        <v/>
      </c>
      <c r="K126" s="19" t="str">
        <f aca="false">IF(H126="","",IF(J126&lt;&gt;"",COUNTIF(Socios!$J:$J,J126),IF(COUNTIF(Socios!$H:$H,H126)&gt;0,"nome igual em Socios: confira o CPF","sem CPF: não cruzado")))</f>
        <v/>
      </c>
      <c r="L126" s="27"/>
      <c r="M126" s="5"/>
    </row>
    <row r="127" customFormat="false" ht="15" hidden="false" customHeight="false" outlineLevel="0" collapsed="false">
      <c r="A127" s="5"/>
      <c r="B127" s="27"/>
      <c r="C127" s="5"/>
      <c r="D127" s="5"/>
      <c r="E127" s="18"/>
      <c r="F127" s="14"/>
      <c r="G127" s="5"/>
      <c r="H127" s="28" t="str">
        <f aca="false">IF(A127="","",SUBSTITUTE(SUBSTITUTE(SUBSTITUTE(SUBSTITUTE(SUBSTITUTE(SUBSTITUTE(SUBSTITUTE(SUBSTITUTE(SUBSTITUTE(SUBSTITUTE(SUBSTITUTE(SUBSTITUTE(SUBSTITUTE(UPPER(TRIM(A127)),"Á","A"),"À","A"),"Â","A"),"Ã","A"),"É","E"),"Ê","E"),"Í","I"),"Ó","O"),"Ô","O"),"Õ","O"),"Ú","U"),"Ü","U"),"Ç","C"))</f>
        <v/>
      </c>
      <c r="I127" s="28" t="str">
        <f aca="false">IF(B127="","",IF(LEN(SUBSTITUTE(SUBSTITUTE(SUBSTITUTE(SUBSTITUTE(TRIM(B127),"*",""),".",""),"-","")," ",""))=11,MID(SUBSTITUTE(SUBSTITUTE(SUBSTITUTE(SUBSTITUTE(TRIM(B127),"*",""),".",""),"-","")," ",""),4,6),SUBSTITUTE(SUBSTITUTE(SUBSTITUTE(SUBSTITUTE(TRIM(B127),"*",""),".",""),"-","")," ","")))</f>
        <v/>
      </c>
      <c r="J127" s="28" t="str">
        <f aca="false">IF(OR(H127="",I127=""),"",H127&amp;"|"&amp;I127)</f>
        <v/>
      </c>
      <c r="K127" s="19" t="str">
        <f aca="false">IF(H127="","",IF(J127&lt;&gt;"",COUNTIF(Socios!$J:$J,J127),IF(COUNTIF(Socios!$H:$H,H127)&gt;0,"nome igual em Socios: confira o CPF","sem CPF: não cruzado")))</f>
        <v/>
      </c>
      <c r="L127" s="27"/>
      <c r="M127" s="5"/>
    </row>
    <row r="128" customFormat="false" ht="15" hidden="false" customHeight="false" outlineLevel="0" collapsed="false">
      <c r="A128" s="5"/>
      <c r="B128" s="27"/>
      <c r="C128" s="5"/>
      <c r="D128" s="5"/>
      <c r="E128" s="18"/>
      <c r="F128" s="14"/>
      <c r="G128" s="5"/>
      <c r="H128" s="28" t="str">
        <f aca="false">IF(A128="","",SUBSTITUTE(SUBSTITUTE(SUBSTITUTE(SUBSTITUTE(SUBSTITUTE(SUBSTITUTE(SUBSTITUTE(SUBSTITUTE(SUBSTITUTE(SUBSTITUTE(SUBSTITUTE(SUBSTITUTE(SUBSTITUTE(UPPER(TRIM(A128)),"Á","A"),"À","A"),"Â","A"),"Ã","A"),"É","E"),"Ê","E"),"Í","I"),"Ó","O"),"Ô","O"),"Õ","O"),"Ú","U"),"Ü","U"),"Ç","C"))</f>
        <v/>
      </c>
      <c r="I128" s="28" t="str">
        <f aca="false">IF(B128="","",IF(LEN(SUBSTITUTE(SUBSTITUTE(SUBSTITUTE(SUBSTITUTE(TRIM(B128),"*",""),".",""),"-","")," ",""))=11,MID(SUBSTITUTE(SUBSTITUTE(SUBSTITUTE(SUBSTITUTE(TRIM(B128),"*",""),".",""),"-","")," ",""),4,6),SUBSTITUTE(SUBSTITUTE(SUBSTITUTE(SUBSTITUTE(TRIM(B128),"*",""),".",""),"-","")," ","")))</f>
        <v/>
      </c>
      <c r="J128" s="28" t="str">
        <f aca="false">IF(OR(H128="",I128=""),"",H128&amp;"|"&amp;I128)</f>
        <v/>
      </c>
      <c r="K128" s="19" t="str">
        <f aca="false">IF(H128="","",IF(J128&lt;&gt;"",COUNTIF(Socios!$J:$J,J128),IF(COUNTIF(Socios!$H:$H,H128)&gt;0,"nome igual em Socios: confira o CPF","sem CPF: não cruzado")))</f>
        <v/>
      </c>
      <c r="L128" s="27"/>
      <c r="M128" s="5"/>
    </row>
    <row r="129" customFormat="false" ht="15" hidden="false" customHeight="false" outlineLevel="0" collapsed="false">
      <c r="A129" s="5"/>
      <c r="B129" s="27"/>
      <c r="C129" s="5"/>
      <c r="D129" s="5"/>
      <c r="E129" s="18"/>
      <c r="F129" s="14"/>
      <c r="G129" s="5"/>
      <c r="H129" s="28" t="str">
        <f aca="false">IF(A129="","",SUBSTITUTE(SUBSTITUTE(SUBSTITUTE(SUBSTITUTE(SUBSTITUTE(SUBSTITUTE(SUBSTITUTE(SUBSTITUTE(SUBSTITUTE(SUBSTITUTE(SUBSTITUTE(SUBSTITUTE(SUBSTITUTE(UPPER(TRIM(A129)),"Á","A"),"À","A"),"Â","A"),"Ã","A"),"É","E"),"Ê","E"),"Í","I"),"Ó","O"),"Ô","O"),"Õ","O"),"Ú","U"),"Ü","U"),"Ç","C"))</f>
        <v/>
      </c>
      <c r="I129" s="28" t="str">
        <f aca="false">IF(B129="","",IF(LEN(SUBSTITUTE(SUBSTITUTE(SUBSTITUTE(SUBSTITUTE(TRIM(B129),"*",""),".",""),"-","")," ",""))=11,MID(SUBSTITUTE(SUBSTITUTE(SUBSTITUTE(SUBSTITUTE(TRIM(B129),"*",""),".",""),"-","")," ",""),4,6),SUBSTITUTE(SUBSTITUTE(SUBSTITUTE(SUBSTITUTE(TRIM(B129),"*",""),".",""),"-","")," ","")))</f>
        <v/>
      </c>
      <c r="J129" s="28" t="str">
        <f aca="false">IF(OR(H129="",I129=""),"",H129&amp;"|"&amp;I129)</f>
        <v/>
      </c>
      <c r="K129" s="19" t="str">
        <f aca="false">IF(H129="","",IF(J129&lt;&gt;"",COUNTIF(Socios!$J:$J,J129),IF(COUNTIF(Socios!$H:$H,H129)&gt;0,"nome igual em Socios: confira o CPF","sem CPF: não cruzado")))</f>
        <v/>
      </c>
      <c r="L129" s="27"/>
      <c r="M129" s="5"/>
    </row>
    <row r="130" customFormat="false" ht="15" hidden="false" customHeight="false" outlineLevel="0" collapsed="false">
      <c r="A130" s="5"/>
      <c r="B130" s="27"/>
      <c r="C130" s="5"/>
      <c r="D130" s="5"/>
      <c r="E130" s="18"/>
      <c r="F130" s="14"/>
      <c r="G130" s="5"/>
      <c r="H130" s="28" t="str">
        <f aca="false">IF(A130="","",SUBSTITUTE(SUBSTITUTE(SUBSTITUTE(SUBSTITUTE(SUBSTITUTE(SUBSTITUTE(SUBSTITUTE(SUBSTITUTE(SUBSTITUTE(SUBSTITUTE(SUBSTITUTE(SUBSTITUTE(SUBSTITUTE(UPPER(TRIM(A130)),"Á","A"),"À","A"),"Â","A"),"Ã","A"),"É","E"),"Ê","E"),"Í","I"),"Ó","O"),"Ô","O"),"Õ","O"),"Ú","U"),"Ü","U"),"Ç","C"))</f>
        <v/>
      </c>
      <c r="I130" s="28" t="str">
        <f aca="false">IF(B130="","",IF(LEN(SUBSTITUTE(SUBSTITUTE(SUBSTITUTE(SUBSTITUTE(TRIM(B130),"*",""),".",""),"-","")," ",""))=11,MID(SUBSTITUTE(SUBSTITUTE(SUBSTITUTE(SUBSTITUTE(TRIM(B130),"*",""),".",""),"-","")," ",""),4,6),SUBSTITUTE(SUBSTITUTE(SUBSTITUTE(SUBSTITUTE(TRIM(B130),"*",""),".",""),"-","")," ","")))</f>
        <v/>
      </c>
      <c r="J130" s="28" t="str">
        <f aca="false">IF(OR(H130="",I130=""),"",H130&amp;"|"&amp;I130)</f>
        <v/>
      </c>
      <c r="K130" s="19" t="str">
        <f aca="false">IF(H130="","",IF(J130&lt;&gt;"",COUNTIF(Socios!$J:$J,J130),IF(COUNTIF(Socios!$H:$H,H130)&gt;0,"nome igual em Socios: confira o CPF","sem CPF: não cruzado")))</f>
        <v/>
      </c>
      <c r="L130" s="27"/>
      <c r="M130" s="5"/>
    </row>
    <row r="131" customFormat="false" ht="15" hidden="false" customHeight="false" outlineLevel="0" collapsed="false">
      <c r="A131" s="5"/>
      <c r="B131" s="27"/>
      <c r="C131" s="5"/>
      <c r="D131" s="5"/>
      <c r="E131" s="18"/>
      <c r="F131" s="14"/>
      <c r="G131" s="5"/>
      <c r="H131" s="28" t="str">
        <f aca="false">IF(A131="","",SUBSTITUTE(SUBSTITUTE(SUBSTITUTE(SUBSTITUTE(SUBSTITUTE(SUBSTITUTE(SUBSTITUTE(SUBSTITUTE(SUBSTITUTE(SUBSTITUTE(SUBSTITUTE(SUBSTITUTE(SUBSTITUTE(UPPER(TRIM(A131)),"Á","A"),"À","A"),"Â","A"),"Ã","A"),"É","E"),"Ê","E"),"Í","I"),"Ó","O"),"Ô","O"),"Õ","O"),"Ú","U"),"Ü","U"),"Ç","C"))</f>
        <v/>
      </c>
      <c r="I131" s="28" t="str">
        <f aca="false">IF(B131="","",IF(LEN(SUBSTITUTE(SUBSTITUTE(SUBSTITUTE(SUBSTITUTE(TRIM(B131),"*",""),".",""),"-","")," ",""))=11,MID(SUBSTITUTE(SUBSTITUTE(SUBSTITUTE(SUBSTITUTE(TRIM(B131),"*",""),".",""),"-","")," ",""),4,6),SUBSTITUTE(SUBSTITUTE(SUBSTITUTE(SUBSTITUTE(TRIM(B131),"*",""),".",""),"-","")," ","")))</f>
        <v/>
      </c>
      <c r="J131" s="28" t="str">
        <f aca="false">IF(OR(H131="",I131=""),"",H131&amp;"|"&amp;I131)</f>
        <v/>
      </c>
      <c r="K131" s="19" t="str">
        <f aca="false">IF(H131="","",IF(J131&lt;&gt;"",COUNTIF(Socios!$J:$J,J131),IF(COUNTIF(Socios!$H:$H,H131)&gt;0,"nome igual em Socios: confira o CPF","sem CPF: não cruzado")))</f>
        <v/>
      </c>
      <c r="L131" s="27"/>
      <c r="M131" s="5"/>
    </row>
    <row r="132" customFormat="false" ht="15" hidden="false" customHeight="false" outlineLevel="0" collapsed="false">
      <c r="A132" s="5"/>
      <c r="B132" s="27"/>
      <c r="C132" s="5"/>
      <c r="D132" s="5"/>
      <c r="E132" s="18"/>
      <c r="F132" s="14"/>
      <c r="G132" s="5"/>
      <c r="H132" s="28" t="str">
        <f aca="false">IF(A132="","",SUBSTITUTE(SUBSTITUTE(SUBSTITUTE(SUBSTITUTE(SUBSTITUTE(SUBSTITUTE(SUBSTITUTE(SUBSTITUTE(SUBSTITUTE(SUBSTITUTE(SUBSTITUTE(SUBSTITUTE(SUBSTITUTE(UPPER(TRIM(A132)),"Á","A"),"À","A"),"Â","A"),"Ã","A"),"É","E"),"Ê","E"),"Í","I"),"Ó","O"),"Ô","O"),"Õ","O"),"Ú","U"),"Ü","U"),"Ç","C"))</f>
        <v/>
      </c>
      <c r="I132" s="28" t="str">
        <f aca="false">IF(B132="","",IF(LEN(SUBSTITUTE(SUBSTITUTE(SUBSTITUTE(SUBSTITUTE(TRIM(B132),"*",""),".",""),"-","")," ",""))=11,MID(SUBSTITUTE(SUBSTITUTE(SUBSTITUTE(SUBSTITUTE(TRIM(B132),"*",""),".",""),"-","")," ",""),4,6),SUBSTITUTE(SUBSTITUTE(SUBSTITUTE(SUBSTITUTE(TRIM(B132),"*",""),".",""),"-","")," ","")))</f>
        <v/>
      </c>
      <c r="J132" s="28" t="str">
        <f aca="false">IF(OR(H132="",I132=""),"",H132&amp;"|"&amp;I132)</f>
        <v/>
      </c>
      <c r="K132" s="19" t="str">
        <f aca="false">IF(H132="","",IF(J132&lt;&gt;"",COUNTIF(Socios!$J:$J,J132),IF(COUNTIF(Socios!$H:$H,H132)&gt;0,"nome igual em Socios: confira o CPF","sem CPF: não cruzado")))</f>
        <v/>
      </c>
      <c r="L132" s="27"/>
      <c r="M132" s="5"/>
    </row>
    <row r="133" customFormat="false" ht="15" hidden="false" customHeight="false" outlineLevel="0" collapsed="false">
      <c r="A133" s="5"/>
      <c r="B133" s="27"/>
      <c r="C133" s="5"/>
      <c r="D133" s="5"/>
      <c r="E133" s="18"/>
      <c r="F133" s="14"/>
      <c r="G133" s="5"/>
      <c r="H133" s="28" t="str">
        <f aca="false">IF(A133="","",SUBSTITUTE(SUBSTITUTE(SUBSTITUTE(SUBSTITUTE(SUBSTITUTE(SUBSTITUTE(SUBSTITUTE(SUBSTITUTE(SUBSTITUTE(SUBSTITUTE(SUBSTITUTE(SUBSTITUTE(SUBSTITUTE(UPPER(TRIM(A133)),"Á","A"),"À","A"),"Â","A"),"Ã","A"),"É","E"),"Ê","E"),"Í","I"),"Ó","O"),"Ô","O"),"Õ","O"),"Ú","U"),"Ü","U"),"Ç","C"))</f>
        <v/>
      </c>
      <c r="I133" s="28" t="str">
        <f aca="false">IF(B133="","",IF(LEN(SUBSTITUTE(SUBSTITUTE(SUBSTITUTE(SUBSTITUTE(TRIM(B133),"*",""),".",""),"-","")," ",""))=11,MID(SUBSTITUTE(SUBSTITUTE(SUBSTITUTE(SUBSTITUTE(TRIM(B133),"*",""),".",""),"-","")," ",""),4,6),SUBSTITUTE(SUBSTITUTE(SUBSTITUTE(SUBSTITUTE(TRIM(B133),"*",""),".",""),"-","")," ","")))</f>
        <v/>
      </c>
      <c r="J133" s="28" t="str">
        <f aca="false">IF(OR(H133="",I133=""),"",H133&amp;"|"&amp;I133)</f>
        <v/>
      </c>
      <c r="K133" s="19" t="str">
        <f aca="false">IF(H133="","",IF(J133&lt;&gt;"",COUNTIF(Socios!$J:$J,J133),IF(COUNTIF(Socios!$H:$H,H133)&gt;0,"nome igual em Socios: confira o CPF","sem CPF: não cruzado")))</f>
        <v/>
      </c>
      <c r="L133" s="27"/>
      <c r="M133" s="5"/>
    </row>
    <row r="134" customFormat="false" ht="15" hidden="false" customHeight="false" outlineLevel="0" collapsed="false">
      <c r="A134" s="5"/>
      <c r="B134" s="27"/>
      <c r="C134" s="5"/>
      <c r="D134" s="5"/>
      <c r="E134" s="18"/>
      <c r="F134" s="14"/>
      <c r="G134" s="5"/>
      <c r="H134" s="28" t="str">
        <f aca="false">IF(A134="","",SUBSTITUTE(SUBSTITUTE(SUBSTITUTE(SUBSTITUTE(SUBSTITUTE(SUBSTITUTE(SUBSTITUTE(SUBSTITUTE(SUBSTITUTE(SUBSTITUTE(SUBSTITUTE(SUBSTITUTE(SUBSTITUTE(UPPER(TRIM(A134)),"Á","A"),"À","A"),"Â","A"),"Ã","A"),"É","E"),"Ê","E"),"Í","I"),"Ó","O"),"Ô","O"),"Õ","O"),"Ú","U"),"Ü","U"),"Ç","C"))</f>
        <v/>
      </c>
      <c r="I134" s="28" t="str">
        <f aca="false">IF(B134="","",IF(LEN(SUBSTITUTE(SUBSTITUTE(SUBSTITUTE(SUBSTITUTE(TRIM(B134),"*",""),".",""),"-","")," ",""))=11,MID(SUBSTITUTE(SUBSTITUTE(SUBSTITUTE(SUBSTITUTE(TRIM(B134),"*",""),".",""),"-","")," ",""),4,6),SUBSTITUTE(SUBSTITUTE(SUBSTITUTE(SUBSTITUTE(TRIM(B134),"*",""),".",""),"-","")," ","")))</f>
        <v/>
      </c>
      <c r="J134" s="28" t="str">
        <f aca="false">IF(OR(H134="",I134=""),"",H134&amp;"|"&amp;I134)</f>
        <v/>
      </c>
      <c r="K134" s="19" t="str">
        <f aca="false">IF(H134="","",IF(J134&lt;&gt;"",COUNTIF(Socios!$J:$J,J134),IF(COUNTIF(Socios!$H:$H,H134)&gt;0,"nome igual em Socios: confira o CPF","sem CPF: não cruzado")))</f>
        <v/>
      </c>
      <c r="L134" s="27"/>
      <c r="M134" s="5"/>
    </row>
    <row r="135" customFormat="false" ht="15" hidden="false" customHeight="false" outlineLevel="0" collapsed="false">
      <c r="A135" s="5"/>
      <c r="B135" s="27"/>
      <c r="C135" s="5"/>
      <c r="D135" s="5"/>
      <c r="E135" s="18"/>
      <c r="F135" s="14"/>
      <c r="G135" s="5"/>
      <c r="H135" s="28" t="str">
        <f aca="false">IF(A135="","",SUBSTITUTE(SUBSTITUTE(SUBSTITUTE(SUBSTITUTE(SUBSTITUTE(SUBSTITUTE(SUBSTITUTE(SUBSTITUTE(SUBSTITUTE(SUBSTITUTE(SUBSTITUTE(SUBSTITUTE(SUBSTITUTE(UPPER(TRIM(A135)),"Á","A"),"À","A"),"Â","A"),"Ã","A"),"É","E"),"Ê","E"),"Í","I"),"Ó","O"),"Ô","O"),"Õ","O"),"Ú","U"),"Ü","U"),"Ç","C"))</f>
        <v/>
      </c>
      <c r="I135" s="28" t="str">
        <f aca="false">IF(B135="","",IF(LEN(SUBSTITUTE(SUBSTITUTE(SUBSTITUTE(SUBSTITUTE(TRIM(B135),"*",""),".",""),"-","")," ",""))=11,MID(SUBSTITUTE(SUBSTITUTE(SUBSTITUTE(SUBSTITUTE(TRIM(B135),"*",""),".",""),"-","")," ",""),4,6),SUBSTITUTE(SUBSTITUTE(SUBSTITUTE(SUBSTITUTE(TRIM(B135),"*",""),".",""),"-","")," ","")))</f>
        <v/>
      </c>
      <c r="J135" s="28" t="str">
        <f aca="false">IF(OR(H135="",I135=""),"",H135&amp;"|"&amp;I135)</f>
        <v/>
      </c>
      <c r="K135" s="19" t="str">
        <f aca="false">IF(H135="","",IF(J135&lt;&gt;"",COUNTIF(Socios!$J:$J,J135),IF(COUNTIF(Socios!$H:$H,H135)&gt;0,"nome igual em Socios: confira o CPF","sem CPF: não cruzado")))</f>
        <v/>
      </c>
      <c r="L135" s="27"/>
      <c r="M135" s="5"/>
    </row>
    <row r="136" customFormat="false" ht="15" hidden="false" customHeight="false" outlineLevel="0" collapsed="false">
      <c r="A136" s="5"/>
      <c r="B136" s="27"/>
      <c r="C136" s="5"/>
      <c r="D136" s="5"/>
      <c r="E136" s="18"/>
      <c r="F136" s="14"/>
      <c r="G136" s="5"/>
      <c r="H136" s="28" t="str">
        <f aca="false">IF(A136="","",SUBSTITUTE(SUBSTITUTE(SUBSTITUTE(SUBSTITUTE(SUBSTITUTE(SUBSTITUTE(SUBSTITUTE(SUBSTITUTE(SUBSTITUTE(SUBSTITUTE(SUBSTITUTE(SUBSTITUTE(SUBSTITUTE(UPPER(TRIM(A136)),"Á","A"),"À","A"),"Â","A"),"Ã","A"),"É","E"),"Ê","E"),"Í","I"),"Ó","O"),"Ô","O"),"Õ","O"),"Ú","U"),"Ü","U"),"Ç","C"))</f>
        <v/>
      </c>
      <c r="I136" s="28" t="str">
        <f aca="false">IF(B136="","",IF(LEN(SUBSTITUTE(SUBSTITUTE(SUBSTITUTE(SUBSTITUTE(TRIM(B136),"*",""),".",""),"-","")," ",""))=11,MID(SUBSTITUTE(SUBSTITUTE(SUBSTITUTE(SUBSTITUTE(TRIM(B136),"*",""),".",""),"-","")," ",""),4,6),SUBSTITUTE(SUBSTITUTE(SUBSTITUTE(SUBSTITUTE(TRIM(B136),"*",""),".",""),"-","")," ","")))</f>
        <v/>
      </c>
      <c r="J136" s="28" t="str">
        <f aca="false">IF(OR(H136="",I136=""),"",H136&amp;"|"&amp;I136)</f>
        <v/>
      </c>
      <c r="K136" s="19" t="str">
        <f aca="false">IF(H136="","",IF(J136&lt;&gt;"",COUNTIF(Socios!$J:$J,J136),IF(COUNTIF(Socios!$H:$H,H136)&gt;0,"nome igual em Socios: confira o CPF","sem CPF: não cruzado")))</f>
        <v/>
      </c>
      <c r="L136" s="27"/>
      <c r="M136" s="5"/>
    </row>
    <row r="137" customFormat="false" ht="15" hidden="false" customHeight="false" outlineLevel="0" collapsed="false">
      <c r="A137" s="5"/>
      <c r="B137" s="27"/>
      <c r="C137" s="5"/>
      <c r="D137" s="5"/>
      <c r="E137" s="18"/>
      <c r="F137" s="14"/>
      <c r="G137" s="5"/>
      <c r="H137" s="28" t="str">
        <f aca="false">IF(A137="","",SUBSTITUTE(SUBSTITUTE(SUBSTITUTE(SUBSTITUTE(SUBSTITUTE(SUBSTITUTE(SUBSTITUTE(SUBSTITUTE(SUBSTITUTE(SUBSTITUTE(SUBSTITUTE(SUBSTITUTE(SUBSTITUTE(UPPER(TRIM(A137)),"Á","A"),"À","A"),"Â","A"),"Ã","A"),"É","E"),"Ê","E"),"Í","I"),"Ó","O"),"Ô","O"),"Õ","O"),"Ú","U"),"Ü","U"),"Ç","C"))</f>
        <v/>
      </c>
      <c r="I137" s="28" t="str">
        <f aca="false">IF(B137="","",IF(LEN(SUBSTITUTE(SUBSTITUTE(SUBSTITUTE(SUBSTITUTE(TRIM(B137),"*",""),".",""),"-","")," ",""))=11,MID(SUBSTITUTE(SUBSTITUTE(SUBSTITUTE(SUBSTITUTE(TRIM(B137),"*",""),".",""),"-","")," ",""),4,6),SUBSTITUTE(SUBSTITUTE(SUBSTITUTE(SUBSTITUTE(TRIM(B137),"*",""),".",""),"-","")," ","")))</f>
        <v/>
      </c>
      <c r="J137" s="28" t="str">
        <f aca="false">IF(OR(H137="",I137=""),"",H137&amp;"|"&amp;I137)</f>
        <v/>
      </c>
      <c r="K137" s="19" t="str">
        <f aca="false">IF(H137="","",IF(J137&lt;&gt;"",COUNTIF(Socios!$J:$J,J137),IF(COUNTIF(Socios!$H:$H,H137)&gt;0,"nome igual em Socios: confira o CPF","sem CPF: não cruzado")))</f>
        <v/>
      </c>
      <c r="L137" s="27"/>
      <c r="M137" s="5"/>
    </row>
    <row r="138" customFormat="false" ht="15" hidden="false" customHeight="false" outlineLevel="0" collapsed="false">
      <c r="A138" s="5"/>
      <c r="B138" s="27"/>
      <c r="C138" s="5"/>
      <c r="D138" s="5"/>
      <c r="E138" s="18"/>
      <c r="F138" s="14"/>
      <c r="G138" s="5"/>
      <c r="H138" s="28" t="str">
        <f aca="false">IF(A138="","",SUBSTITUTE(SUBSTITUTE(SUBSTITUTE(SUBSTITUTE(SUBSTITUTE(SUBSTITUTE(SUBSTITUTE(SUBSTITUTE(SUBSTITUTE(SUBSTITUTE(SUBSTITUTE(SUBSTITUTE(SUBSTITUTE(UPPER(TRIM(A138)),"Á","A"),"À","A"),"Â","A"),"Ã","A"),"É","E"),"Ê","E"),"Í","I"),"Ó","O"),"Ô","O"),"Õ","O"),"Ú","U"),"Ü","U"),"Ç","C"))</f>
        <v/>
      </c>
      <c r="I138" s="28" t="str">
        <f aca="false">IF(B138="","",IF(LEN(SUBSTITUTE(SUBSTITUTE(SUBSTITUTE(SUBSTITUTE(TRIM(B138),"*",""),".",""),"-","")," ",""))=11,MID(SUBSTITUTE(SUBSTITUTE(SUBSTITUTE(SUBSTITUTE(TRIM(B138),"*",""),".",""),"-","")," ",""),4,6),SUBSTITUTE(SUBSTITUTE(SUBSTITUTE(SUBSTITUTE(TRIM(B138),"*",""),".",""),"-","")," ","")))</f>
        <v/>
      </c>
      <c r="J138" s="28" t="str">
        <f aca="false">IF(OR(H138="",I138=""),"",H138&amp;"|"&amp;I138)</f>
        <v/>
      </c>
      <c r="K138" s="19" t="str">
        <f aca="false">IF(H138="","",IF(J138&lt;&gt;"",COUNTIF(Socios!$J:$J,J138),IF(COUNTIF(Socios!$H:$H,H138)&gt;0,"nome igual em Socios: confira o CPF","sem CPF: não cruzado")))</f>
        <v/>
      </c>
      <c r="L138" s="27"/>
      <c r="M138" s="5"/>
    </row>
    <row r="139" customFormat="false" ht="15" hidden="false" customHeight="false" outlineLevel="0" collapsed="false">
      <c r="A139" s="5"/>
      <c r="B139" s="27"/>
      <c r="C139" s="5"/>
      <c r="D139" s="5"/>
      <c r="E139" s="18"/>
      <c r="F139" s="14"/>
      <c r="G139" s="5"/>
      <c r="H139" s="28" t="str">
        <f aca="false">IF(A139="","",SUBSTITUTE(SUBSTITUTE(SUBSTITUTE(SUBSTITUTE(SUBSTITUTE(SUBSTITUTE(SUBSTITUTE(SUBSTITUTE(SUBSTITUTE(SUBSTITUTE(SUBSTITUTE(SUBSTITUTE(SUBSTITUTE(UPPER(TRIM(A139)),"Á","A"),"À","A"),"Â","A"),"Ã","A"),"É","E"),"Ê","E"),"Í","I"),"Ó","O"),"Ô","O"),"Õ","O"),"Ú","U"),"Ü","U"),"Ç","C"))</f>
        <v/>
      </c>
      <c r="I139" s="28" t="str">
        <f aca="false">IF(B139="","",IF(LEN(SUBSTITUTE(SUBSTITUTE(SUBSTITUTE(SUBSTITUTE(TRIM(B139),"*",""),".",""),"-","")," ",""))=11,MID(SUBSTITUTE(SUBSTITUTE(SUBSTITUTE(SUBSTITUTE(TRIM(B139),"*",""),".",""),"-","")," ",""),4,6),SUBSTITUTE(SUBSTITUTE(SUBSTITUTE(SUBSTITUTE(TRIM(B139),"*",""),".",""),"-","")," ","")))</f>
        <v/>
      </c>
      <c r="J139" s="28" t="str">
        <f aca="false">IF(OR(H139="",I139=""),"",H139&amp;"|"&amp;I139)</f>
        <v/>
      </c>
      <c r="K139" s="19" t="str">
        <f aca="false">IF(H139="","",IF(J139&lt;&gt;"",COUNTIF(Socios!$J:$J,J139),IF(COUNTIF(Socios!$H:$H,H139)&gt;0,"nome igual em Socios: confira o CPF","sem CPF: não cruzado")))</f>
        <v/>
      </c>
      <c r="L139" s="27"/>
      <c r="M139" s="5"/>
    </row>
    <row r="140" customFormat="false" ht="15" hidden="false" customHeight="false" outlineLevel="0" collapsed="false">
      <c r="A140" s="5"/>
      <c r="B140" s="27"/>
      <c r="C140" s="5"/>
      <c r="D140" s="5"/>
      <c r="E140" s="18"/>
      <c r="F140" s="14"/>
      <c r="G140" s="5"/>
      <c r="H140" s="28" t="str">
        <f aca="false">IF(A140="","",SUBSTITUTE(SUBSTITUTE(SUBSTITUTE(SUBSTITUTE(SUBSTITUTE(SUBSTITUTE(SUBSTITUTE(SUBSTITUTE(SUBSTITUTE(SUBSTITUTE(SUBSTITUTE(SUBSTITUTE(SUBSTITUTE(UPPER(TRIM(A140)),"Á","A"),"À","A"),"Â","A"),"Ã","A"),"É","E"),"Ê","E"),"Í","I"),"Ó","O"),"Ô","O"),"Õ","O"),"Ú","U"),"Ü","U"),"Ç","C"))</f>
        <v/>
      </c>
      <c r="I140" s="28" t="str">
        <f aca="false">IF(B140="","",IF(LEN(SUBSTITUTE(SUBSTITUTE(SUBSTITUTE(SUBSTITUTE(TRIM(B140),"*",""),".",""),"-","")," ",""))=11,MID(SUBSTITUTE(SUBSTITUTE(SUBSTITUTE(SUBSTITUTE(TRIM(B140),"*",""),".",""),"-","")," ",""),4,6),SUBSTITUTE(SUBSTITUTE(SUBSTITUTE(SUBSTITUTE(TRIM(B140),"*",""),".",""),"-","")," ","")))</f>
        <v/>
      </c>
      <c r="J140" s="28" t="str">
        <f aca="false">IF(OR(H140="",I140=""),"",H140&amp;"|"&amp;I140)</f>
        <v/>
      </c>
      <c r="K140" s="19" t="str">
        <f aca="false">IF(H140="","",IF(J140&lt;&gt;"",COUNTIF(Socios!$J:$J,J140),IF(COUNTIF(Socios!$H:$H,H140)&gt;0,"nome igual em Socios: confira o CPF","sem CPF: não cruzado")))</f>
        <v/>
      </c>
      <c r="L140" s="27"/>
      <c r="M140" s="5"/>
    </row>
    <row r="141" customFormat="false" ht="15" hidden="false" customHeight="false" outlineLevel="0" collapsed="false">
      <c r="A141" s="5"/>
      <c r="B141" s="27"/>
      <c r="C141" s="5"/>
      <c r="D141" s="5"/>
      <c r="E141" s="18"/>
      <c r="F141" s="14"/>
      <c r="G141" s="5"/>
      <c r="H141" s="28" t="str">
        <f aca="false">IF(A141="","",SUBSTITUTE(SUBSTITUTE(SUBSTITUTE(SUBSTITUTE(SUBSTITUTE(SUBSTITUTE(SUBSTITUTE(SUBSTITUTE(SUBSTITUTE(SUBSTITUTE(SUBSTITUTE(SUBSTITUTE(SUBSTITUTE(UPPER(TRIM(A141)),"Á","A"),"À","A"),"Â","A"),"Ã","A"),"É","E"),"Ê","E"),"Í","I"),"Ó","O"),"Ô","O"),"Õ","O"),"Ú","U"),"Ü","U"),"Ç","C"))</f>
        <v/>
      </c>
      <c r="I141" s="28" t="str">
        <f aca="false">IF(B141="","",IF(LEN(SUBSTITUTE(SUBSTITUTE(SUBSTITUTE(SUBSTITUTE(TRIM(B141),"*",""),".",""),"-","")," ",""))=11,MID(SUBSTITUTE(SUBSTITUTE(SUBSTITUTE(SUBSTITUTE(TRIM(B141),"*",""),".",""),"-","")," ",""),4,6),SUBSTITUTE(SUBSTITUTE(SUBSTITUTE(SUBSTITUTE(TRIM(B141),"*",""),".",""),"-","")," ","")))</f>
        <v/>
      </c>
      <c r="J141" s="28" t="str">
        <f aca="false">IF(OR(H141="",I141=""),"",H141&amp;"|"&amp;I141)</f>
        <v/>
      </c>
      <c r="K141" s="19" t="str">
        <f aca="false">IF(H141="","",IF(J141&lt;&gt;"",COUNTIF(Socios!$J:$J,J141),IF(COUNTIF(Socios!$H:$H,H141)&gt;0,"nome igual em Socios: confira o CPF","sem CPF: não cruzado")))</f>
        <v/>
      </c>
      <c r="L141" s="27"/>
      <c r="M141" s="5"/>
    </row>
    <row r="142" customFormat="false" ht="15" hidden="false" customHeight="false" outlineLevel="0" collapsed="false">
      <c r="A142" s="5"/>
      <c r="B142" s="27"/>
      <c r="C142" s="5"/>
      <c r="D142" s="5"/>
      <c r="E142" s="18"/>
      <c r="F142" s="14"/>
      <c r="G142" s="5"/>
      <c r="H142" s="28" t="str">
        <f aca="false">IF(A142="","",SUBSTITUTE(SUBSTITUTE(SUBSTITUTE(SUBSTITUTE(SUBSTITUTE(SUBSTITUTE(SUBSTITUTE(SUBSTITUTE(SUBSTITUTE(SUBSTITUTE(SUBSTITUTE(SUBSTITUTE(SUBSTITUTE(UPPER(TRIM(A142)),"Á","A"),"À","A"),"Â","A"),"Ã","A"),"É","E"),"Ê","E"),"Í","I"),"Ó","O"),"Ô","O"),"Õ","O"),"Ú","U"),"Ü","U"),"Ç","C"))</f>
        <v/>
      </c>
      <c r="I142" s="28" t="str">
        <f aca="false">IF(B142="","",IF(LEN(SUBSTITUTE(SUBSTITUTE(SUBSTITUTE(SUBSTITUTE(TRIM(B142),"*",""),".",""),"-","")," ",""))=11,MID(SUBSTITUTE(SUBSTITUTE(SUBSTITUTE(SUBSTITUTE(TRIM(B142),"*",""),".",""),"-","")," ",""),4,6),SUBSTITUTE(SUBSTITUTE(SUBSTITUTE(SUBSTITUTE(TRIM(B142),"*",""),".",""),"-","")," ","")))</f>
        <v/>
      </c>
      <c r="J142" s="28" t="str">
        <f aca="false">IF(OR(H142="",I142=""),"",H142&amp;"|"&amp;I142)</f>
        <v/>
      </c>
      <c r="K142" s="19" t="str">
        <f aca="false">IF(H142="","",IF(J142&lt;&gt;"",COUNTIF(Socios!$J:$J,J142),IF(COUNTIF(Socios!$H:$H,H142)&gt;0,"nome igual em Socios: confira o CPF","sem CPF: não cruzado")))</f>
        <v/>
      </c>
      <c r="L142" s="27"/>
      <c r="M142" s="5"/>
    </row>
    <row r="143" customFormat="false" ht="15" hidden="false" customHeight="false" outlineLevel="0" collapsed="false">
      <c r="A143" s="5"/>
      <c r="B143" s="27"/>
      <c r="C143" s="5"/>
      <c r="D143" s="5"/>
      <c r="E143" s="18"/>
      <c r="F143" s="14"/>
      <c r="G143" s="5"/>
      <c r="H143" s="28" t="str">
        <f aca="false">IF(A143="","",SUBSTITUTE(SUBSTITUTE(SUBSTITUTE(SUBSTITUTE(SUBSTITUTE(SUBSTITUTE(SUBSTITUTE(SUBSTITUTE(SUBSTITUTE(SUBSTITUTE(SUBSTITUTE(SUBSTITUTE(SUBSTITUTE(UPPER(TRIM(A143)),"Á","A"),"À","A"),"Â","A"),"Ã","A"),"É","E"),"Ê","E"),"Í","I"),"Ó","O"),"Ô","O"),"Õ","O"),"Ú","U"),"Ü","U"),"Ç","C"))</f>
        <v/>
      </c>
      <c r="I143" s="28" t="str">
        <f aca="false">IF(B143="","",IF(LEN(SUBSTITUTE(SUBSTITUTE(SUBSTITUTE(SUBSTITUTE(TRIM(B143),"*",""),".",""),"-","")," ",""))=11,MID(SUBSTITUTE(SUBSTITUTE(SUBSTITUTE(SUBSTITUTE(TRIM(B143),"*",""),".",""),"-","")," ",""),4,6),SUBSTITUTE(SUBSTITUTE(SUBSTITUTE(SUBSTITUTE(TRIM(B143),"*",""),".",""),"-","")," ","")))</f>
        <v/>
      </c>
      <c r="J143" s="28" t="str">
        <f aca="false">IF(OR(H143="",I143=""),"",H143&amp;"|"&amp;I143)</f>
        <v/>
      </c>
      <c r="K143" s="19" t="str">
        <f aca="false">IF(H143="","",IF(J143&lt;&gt;"",COUNTIF(Socios!$J:$J,J143),IF(COUNTIF(Socios!$H:$H,H143)&gt;0,"nome igual em Socios: confira o CPF","sem CPF: não cruzado")))</f>
        <v/>
      </c>
      <c r="L143" s="27"/>
      <c r="M143" s="5"/>
    </row>
    <row r="144" customFormat="false" ht="15" hidden="false" customHeight="false" outlineLevel="0" collapsed="false">
      <c r="A144" s="5"/>
      <c r="B144" s="27"/>
      <c r="C144" s="5"/>
      <c r="D144" s="5"/>
      <c r="E144" s="18"/>
      <c r="F144" s="14"/>
      <c r="G144" s="5"/>
      <c r="H144" s="28" t="str">
        <f aca="false">IF(A144="","",SUBSTITUTE(SUBSTITUTE(SUBSTITUTE(SUBSTITUTE(SUBSTITUTE(SUBSTITUTE(SUBSTITUTE(SUBSTITUTE(SUBSTITUTE(SUBSTITUTE(SUBSTITUTE(SUBSTITUTE(SUBSTITUTE(UPPER(TRIM(A144)),"Á","A"),"À","A"),"Â","A"),"Ã","A"),"É","E"),"Ê","E"),"Í","I"),"Ó","O"),"Ô","O"),"Õ","O"),"Ú","U"),"Ü","U"),"Ç","C"))</f>
        <v/>
      </c>
      <c r="I144" s="28" t="str">
        <f aca="false">IF(B144="","",IF(LEN(SUBSTITUTE(SUBSTITUTE(SUBSTITUTE(SUBSTITUTE(TRIM(B144),"*",""),".",""),"-","")," ",""))=11,MID(SUBSTITUTE(SUBSTITUTE(SUBSTITUTE(SUBSTITUTE(TRIM(B144),"*",""),".",""),"-","")," ",""),4,6),SUBSTITUTE(SUBSTITUTE(SUBSTITUTE(SUBSTITUTE(TRIM(B144),"*",""),".",""),"-","")," ","")))</f>
        <v/>
      </c>
      <c r="J144" s="28" t="str">
        <f aca="false">IF(OR(H144="",I144=""),"",H144&amp;"|"&amp;I144)</f>
        <v/>
      </c>
      <c r="K144" s="19" t="str">
        <f aca="false">IF(H144="","",IF(J144&lt;&gt;"",COUNTIF(Socios!$J:$J,J144),IF(COUNTIF(Socios!$H:$H,H144)&gt;0,"nome igual em Socios: confira o CPF","sem CPF: não cruzado")))</f>
        <v/>
      </c>
      <c r="L144" s="27"/>
      <c r="M144" s="5"/>
    </row>
    <row r="145" customFormat="false" ht="15" hidden="false" customHeight="false" outlineLevel="0" collapsed="false">
      <c r="A145" s="5"/>
      <c r="B145" s="27"/>
      <c r="C145" s="5"/>
      <c r="D145" s="5"/>
      <c r="E145" s="18"/>
      <c r="F145" s="14"/>
      <c r="G145" s="5"/>
      <c r="H145" s="28" t="str">
        <f aca="false">IF(A145="","",SUBSTITUTE(SUBSTITUTE(SUBSTITUTE(SUBSTITUTE(SUBSTITUTE(SUBSTITUTE(SUBSTITUTE(SUBSTITUTE(SUBSTITUTE(SUBSTITUTE(SUBSTITUTE(SUBSTITUTE(SUBSTITUTE(UPPER(TRIM(A145)),"Á","A"),"À","A"),"Â","A"),"Ã","A"),"É","E"),"Ê","E"),"Í","I"),"Ó","O"),"Ô","O"),"Õ","O"),"Ú","U"),"Ü","U"),"Ç","C"))</f>
        <v/>
      </c>
      <c r="I145" s="28" t="str">
        <f aca="false">IF(B145="","",IF(LEN(SUBSTITUTE(SUBSTITUTE(SUBSTITUTE(SUBSTITUTE(TRIM(B145),"*",""),".",""),"-","")," ",""))=11,MID(SUBSTITUTE(SUBSTITUTE(SUBSTITUTE(SUBSTITUTE(TRIM(B145),"*",""),".",""),"-","")," ",""),4,6),SUBSTITUTE(SUBSTITUTE(SUBSTITUTE(SUBSTITUTE(TRIM(B145),"*",""),".",""),"-","")," ","")))</f>
        <v/>
      </c>
      <c r="J145" s="28" t="str">
        <f aca="false">IF(OR(H145="",I145=""),"",H145&amp;"|"&amp;I145)</f>
        <v/>
      </c>
      <c r="K145" s="19" t="str">
        <f aca="false">IF(H145="","",IF(J145&lt;&gt;"",COUNTIF(Socios!$J:$J,J145),IF(COUNTIF(Socios!$H:$H,H145)&gt;0,"nome igual em Socios: confira o CPF","sem CPF: não cruzado")))</f>
        <v/>
      </c>
      <c r="L145" s="27"/>
      <c r="M145" s="5"/>
    </row>
    <row r="146" customFormat="false" ht="15" hidden="false" customHeight="false" outlineLevel="0" collapsed="false">
      <c r="A146" s="5"/>
      <c r="B146" s="27"/>
      <c r="C146" s="5"/>
      <c r="D146" s="5"/>
      <c r="E146" s="18"/>
      <c r="F146" s="14"/>
      <c r="G146" s="5"/>
      <c r="H146" s="28" t="str">
        <f aca="false">IF(A146="","",SUBSTITUTE(SUBSTITUTE(SUBSTITUTE(SUBSTITUTE(SUBSTITUTE(SUBSTITUTE(SUBSTITUTE(SUBSTITUTE(SUBSTITUTE(SUBSTITUTE(SUBSTITUTE(SUBSTITUTE(SUBSTITUTE(UPPER(TRIM(A146)),"Á","A"),"À","A"),"Â","A"),"Ã","A"),"É","E"),"Ê","E"),"Í","I"),"Ó","O"),"Ô","O"),"Õ","O"),"Ú","U"),"Ü","U"),"Ç","C"))</f>
        <v/>
      </c>
      <c r="I146" s="28" t="str">
        <f aca="false">IF(B146="","",IF(LEN(SUBSTITUTE(SUBSTITUTE(SUBSTITUTE(SUBSTITUTE(TRIM(B146),"*",""),".",""),"-","")," ",""))=11,MID(SUBSTITUTE(SUBSTITUTE(SUBSTITUTE(SUBSTITUTE(TRIM(B146),"*",""),".",""),"-","")," ",""),4,6),SUBSTITUTE(SUBSTITUTE(SUBSTITUTE(SUBSTITUTE(TRIM(B146),"*",""),".",""),"-","")," ","")))</f>
        <v/>
      </c>
      <c r="J146" s="28" t="str">
        <f aca="false">IF(OR(H146="",I146=""),"",H146&amp;"|"&amp;I146)</f>
        <v/>
      </c>
      <c r="K146" s="19" t="str">
        <f aca="false">IF(H146="","",IF(J146&lt;&gt;"",COUNTIF(Socios!$J:$J,J146),IF(COUNTIF(Socios!$H:$H,H146)&gt;0,"nome igual em Socios: confira o CPF","sem CPF: não cruzado")))</f>
        <v/>
      </c>
      <c r="L146" s="27"/>
      <c r="M146" s="5"/>
    </row>
    <row r="147" customFormat="false" ht="15" hidden="false" customHeight="false" outlineLevel="0" collapsed="false">
      <c r="A147" s="5"/>
      <c r="B147" s="27"/>
      <c r="C147" s="5"/>
      <c r="D147" s="5"/>
      <c r="E147" s="18"/>
      <c r="F147" s="14"/>
      <c r="G147" s="5"/>
      <c r="H147" s="28" t="str">
        <f aca="false">IF(A147="","",SUBSTITUTE(SUBSTITUTE(SUBSTITUTE(SUBSTITUTE(SUBSTITUTE(SUBSTITUTE(SUBSTITUTE(SUBSTITUTE(SUBSTITUTE(SUBSTITUTE(SUBSTITUTE(SUBSTITUTE(SUBSTITUTE(UPPER(TRIM(A147)),"Á","A"),"À","A"),"Â","A"),"Ã","A"),"É","E"),"Ê","E"),"Í","I"),"Ó","O"),"Ô","O"),"Õ","O"),"Ú","U"),"Ü","U"),"Ç","C"))</f>
        <v/>
      </c>
      <c r="I147" s="28" t="str">
        <f aca="false">IF(B147="","",IF(LEN(SUBSTITUTE(SUBSTITUTE(SUBSTITUTE(SUBSTITUTE(TRIM(B147),"*",""),".",""),"-","")," ",""))=11,MID(SUBSTITUTE(SUBSTITUTE(SUBSTITUTE(SUBSTITUTE(TRIM(B147),"*",""),".",""),"-","")," ",""),4,6),SUBSTITUTE(SUBSTITUTE(SUBSTITUTE(SUBSTITUTE(TRIM(B147),"*",""),".",""),"-","")," ","")))</f>
        <v/>
      </c>
      <c r="J147" s="28" t="str">
        <f aca="false">IF(OR(H147="",I147=""),"",H147&amp;"|"&amp;I147)</f>
        <v/>
      </c>
      <c r="K147" s="19" t="str">
        <f aca="false">IF(H147="","",IF(J147&lt;&gt;"",COUNTIF(Socios!$J:$J,J147),IF(COUNTIF(Socios!$H:$H,H147)&gt;0,"nome igual em Socios: confira o CPF","sem CPF: não cruzado")))</f>
        <v/>
      </c>
      <c r="L147" s="27"/>
      <c r="M147" s="5"/>
    </row>
    <row r="148" customFormat="false" ht="15" hidden="false" customHeight="false" outlineLevel="0" collapsed="false">
      <c r="A148" s="5"/>
      <c r="B148" s="27"/>
      <c r="C148" s="5"/>
      <c r="D148" s="5"/>
      <c r="E148" s="18"/>
      <c r="F148" s="14"/>
      <c r="G148" s="5"/>
      <c r="H148" s="28" t="str">
        <f aca="false">IF(A148="","",SUBSTITUTE(SUBSTITUTE(SUBSTITUTE(SUBSTITUTE(SUBSTITUTE(SUBSTITUTE(SUBSTITUTE(SUBSTITUTE(SUBSTITUTE(SUBSTITUTE(SUBSTITUTE(SUBSTITUTE(SUBSTITUTE(UPPER(TRIM(A148)),"Á","A"),"À","A"),"Â","A"),"Ã","A"),"É","E"),"Ê","E"),"Í","I"),"Ó","O"),"Ô","O"),"Õ","O"),"Ú","U"),"Ü","U"),"Ç","C"))</f>
        <v/>
      </c>
      <c r="I148" s="28" t="str">
        <f aca="false">IF(B148="","",IF(LEN(SUBSTITUTE(SUBSTITUTE(SUBSTITUTE(SUBSTITUTE(TRIM(B148),"*",""),".",""),"-","")," ",""))=11,MID(SUBSTITUTE(SUBSTITUTE(SUBSTITUTE(SUBSTITUTE(TRIM(B148),"*",""),".",""),"-","")," ",""),4,6),SUBSTITUTE(SUBSTITUTE(SUBSTITUTE(SUBSTITUTE(TRIM(B148),"*",""),".",""),"-","")," ","")))</f>
        <v/>
      </c>
      <c r="J148" s="28" t="str">
        <f aca="false">IF(OR(H148="",I148=""),"",H148&amp;"|"&amp;I148)</f>
        <v/>
      </c>
      <c r="K148" s="19" t="str">
        <f aca="false">IF(H148="","",IF(J148&lt;&gt;"",COUNTIF(Socios!$J:$J,J148),IF(COUNTIF(Socios!$H:$H,H148)&gt;0,"nome igual em Socios: confira o CPF","sem CPF: não cruzado")))</f>
        <v/>
      </c>
      <c r="L148" s="27"/>
      <c r="M148" s="5"/>
    </row>
    <row r="149" customFormat="false" ht="15" hidden="false" customHeight="false" outlineLevel="0" collapsed="false">
      <c r="A149" s="5"/>
      <c r="B149" s="27"/>
      <c r="C149" s="5"/>
      <c r="D149" s="5"/>
      <c r="E149" s="18"/>
      <c r="F149" s="14"/>
      <c r="G149" s="5"/>
      <c r="H149" s="28" t="str">
        <f aca="false">IF(A149="","",SUBSTITUTE(SUBSTITUTE(SUBSTITUTE(SUBSTITUTE(SUBSTITUTE(SUBSTITUTE(SUBSTITUTE(SUBSTITUTE(SUBSTITUTE(SUBSTITUTE(SUBSTITUTE(SUBSTITUTE(SUBSTITUTE(UPPER(TRIM(A149)),"Á","A"),"À","A"),"Â","A"),"Ã","A"),"É","E"),"Ê","E"),"Í","I"),"Ó","O"),"Ô","O"),"Õ","O"),"Ú","U"),"Ü","U"),"Ç","C"))</f>
        <v/>
      </c>
      <c r="I149" s="28" t="str">
        <f aca="false">IF(B149="","",IF(LEN(SUBSTITUTE(SUBSTITUTE(SUBSTITUTE(SUBSTITUTE(TRIM(B149),"*",""),".",""),"-","")," ",""))=11,MID(SUBSTITUTE(SUBSTITUTE(SUBSTITUTE(SUBSTITUTE(TRIM(B149),"*",""),".",""),"-","")," ",""),4,6),SUBSTITUTE(SUBSTITUTE(SUBSTITUTE(SUBSTITUTE(TRIM(B149),"*",""),".",""),"-","")," ","")))</f>
        <v/>
      </c>
      <c r="J149" s="28" t="str">
        <f aca="false">IF(OR(H149="",I149=""),"",H149&amp;"|"&amp;I149)</f>
        <v/>
      </c>
      <c r="K149" s="19" t="str">
        <f aca="false">IF(H149="","",IF(J149&lt;&gt;"",COUNTIF(Socios!$J:$J,J149),IF(COUNTIF(Socios!$H:$H,H149)&gt;0,"nome igual em Socios: confira o CPF","sem CPF: não cruzado")))</f>
        <v/>
      </c>
      <c r="L149" s="27"/>
      <c r="M149" s="5"/>
    </row>
    <row r="150" customFormat="false" ht="15" hidden="false" customHeight="false" outlineLevel="0" collapsed="false">
      <c r="A150" s="5"/>
      <c r="B150" s="27"/>
      <c r="C150" s="5"/>
      <c r="D150" s="5"/>
      <c r="E150" s="18"/>
      <c r="F150" s="14"/>
      <c r="G150" s="5"/>
      <c r="H150" s="28" t="str">
        <f aca="false">IF(A150="","",SUBSTITUTE(SUBSTITUTE(SUBSTITUTE(SUBSTITUTE(SUBSTITUTE(SUBSTITUTE(SUBSTITUTE(SUBSTITUTE(SUBSTITUTE(SUBSTITUTE(SUBSTITUTE(SUBSTITUTE(SUBSTITUTE(UPPER(TRIM(A150)),"Á","A"),"À","A"),"Â","A"),"Ã","A"),"É","E"),"Ê","E"),"Í","I"),"Ó","O"),"Ô","O"),"Õ","O"),"Ú","U"),"Ü","U"),"Ç","C"))</f>
        <v/>
      </c>
      <c r="I150" s="28" t="str">
        <f aca="false">IF(B150="","",IF(LEN(SUBSTITUTE(SUBSTITUTE(SUBSTITUTE(SUBSTITUTE(TRIM(B150),"*",""),".",""),"-","")," ",""))=11,MID(SUBSTITUTE(SUBSTITUTE(SUBSTITUTE(SUBSTITUTE(TRIM(B150),"*",""),".",""),"-","")," ",""),4,6),SUBSTITUTE(SUBSTITUTE(SUBSTITUTE(SUBSTITUTE(TRIM(B150),"*",""),".",""),"-","")," ","")))</f>
        <v/>
      </c>
      <c r="J150" s="28" t="str">
        <f aca="false">IF(OR(H150="",I150=""),"",H150&amp;"|"&amp;I150)</f>
        <v/>
      </c>
      <c r="K150" s="19" t="str">
        <f aca="false">IF(H150="","",IF(J150&lt;&gt;"",COUNTIF(Socios!$J:$J,J150),IF(COUNTIF(Socios!$H:$H,H150)&gt;0,"nome igual em Socios: confira o CPF","sem CPF: não cruzado")))</f>
        <v/>
      </c>
      <c r="L150" s="27"/>
      <c r="M150" s="5"/>
    </row>
    <row r="151" customFormat="false" ht="15" hidden="false" customHeight="false" outlineLevel="0" collapsed="false">
      <c r="A151" s="5"/>
      <c r="B151" s="27"/>
      <c r="C151" s="5"/>
      <c r="D151" s="5"/>
      <c r="E151" s="18"/>
      <c r="F151" s="14"/>
      <c r="G151" s="5"/>
      <c r="H151" s="28" t="str">
        <f aca="false">IF(A151="","",SUBSTITUTE(SUBSTITUTE(SUBSTITUTE(SUBSTITUTE(SUBSTITUTE(SUBSTITUTE(SUBSTITUTE(SUBSTITUTE(SUBSTITUTE(SUBSTITUTE(SUBSTITUTE(SUBSTITUTE(SUBSTITUTE(UPPER(TRIM(A151)),"Á","A"),"À","A"),"Â","A"),"Ã","A"),"É","E"),"Ê","E"),"Í","I"),"Ó","O"),"Ô","O"),"Õ","O"),"Ú","U"),"Ü","U"),"Ç","C"))</f>
        <v/>
      </c>
      <c r="I151" s="28" t="str">
        <f aca="false">IF(B151="","",IF(LEN(SUBSTITUTE(SUBSTITUTE(SUBSTITUTE(SUBSTITUTE(TRIM(B151),"*",""),".",""),"-","")," ",""))=11,MID(SUBSTITUTE(SUBSTITUTE(SUBSTITUTE(SUBSTITUTE(TRIM(B151),"*",""),".",""),"-","")," ",""),4,6),SUBSTITUTE(SUBSTITUTE(SUBSTITUTE(SUBSTITUTE(TRIM(B151),"*",""),".",""),"-","")," ","")))</f>
        <v/>
      </c>
      <c r="J151" s="28" t="str">
        <f aca="false">IF(OR(H151="",I151=""),"",H151&amp;"|"&amp;I151)</f>
        <v/>
      </c>
      <c r="K151" s="19" t="str">
        <f aca="false">IF(H151="","",IF(J151&lt;&gt;"",COUNTIF(Socios!$J:$J,J151),IF(COUNTIF(Socios!$H:$H,H151)&gt;0,"nome igual em Socios: confira o CPF","sem CPF: não cruzado")))</f>
        <v/>
      </c>
      <c r="L151" s="27"/>
      <c r="M151" s="5"/>
    </row>
    <row r="152" customFormat="false" ht="15" hidden="false" customHeight="false" outlineLevel="0" collapsed="false">
      <c r="A152" s="5"/>
      <c r="B152" s="27"/>
      <c r="C152" s="5"/>
      <c r="D152" s="5"/>
      <c r="E152" s="18"/>
      <c r="F152" s="14"/>
      <c r="G152" s="5"/>
      <c r="H152" s="28" t="str">
        <f aca="false">IF(A152="","",SUBSTITUTE(SUBSTITUTE(SUBSTITUTE(SUBSTITUTE(SUBSTITUTE(SUBSTITUTE(SUBSTITUTE(SUBSTITUTE(SUBSTITUTE(SUBSTITUTE(SUBSTITUTE(SUBSTITUTE(SUBSTITUTE(UPPER(TRIM(A152)),"Á","A"),"À","A"),"Â","A"),"Ã","A"),"É","E"),"Ê","E"),"Í","I"),"Ó","O"),"Ô","O"),"Õ","O"),"Ú","U"),"Ü","U"),"Ç","C"))</f>
        <v/>
      </c>
      <c r="I152" s="28" t="str">
        <f aca="false">IF(B152="","",IF(LEN(SUBSTITUTE(SUBSTITUTE(SUBSTITUTE(SUBSTITUTE(TRIM(B152),"*",""),".",""),"-","")," ",""))=11,MID(SUBSTITUTE(SUBSTITUTE(SUBSTITUTE(SUBSTITUTE(TRIM(B152),"*",""),".",""),"-","")," ",""),4,6),SUBSTITUTE(SUBSTITUTE(SUBSTITUTE(SUBSTITUTE(TRIM(B152),"*",""),".",""),"-","")," ","")))</f>
        <v/>
      </c>
      <c r="J152" s="28" t="str">
        <f aca="false">IF(OR(H152="",I152=""),"",H152&amp;"|"&amp;I152)</f>
        <v/>
      </c>
      <c r="K152" s="19" t="str">
        <f aca="false">IF(H152="","",IF(J152&lt;&gt;"",COUNTIF(Socios!$J:$J,J152),IF(COUNTIF(Socios!$H:$H,H152)&gt;0,"nome igual em Socios: confira o CPF","sem CPF: não cruzado")))</f>
        <v/>
      </c>
      <c r="L152" s="27"/>
      <c r="M152" s="5"/>
    </row>
    <row r="153" customFormat="false" ht="15" hidden="false" customHeight="false" outlineLevel="0" collapsed="false">
      <c r="A153" s="5"/>
      <c r="B153" s="27"/>
      <c r="C153" s="5"/>
      <c r="D153" s="5"/>
      <c r="E153" s="18"/>
      <c r="F153" s="14"/>
      <c r="G153" s="5"/>
      <c r="H153" s="28" t="str">
        <f aca="false">IF(A153="","",SUBSTITUTE(SUBSTITUTE(SUBSTITUTE(SUBSTITUTE(SUBSTITUTE(SUBSTITUTE(SUBSTITUTE(SUBSTITUTE(SUBSTITUTE(SUBSTITUTE(SUBSTITUTE(SUBSTITUTE(SUBSTITUTE(UPPER(TRIM(A153)),"Á","A"),"À","A"),"Â","A"),"Ã","A"),"É","E"),"Ê","E"),"Í","I"),"Ó","O"),"Ô","O"),"Õ","O"),"Ú","U"),"Ü","U"),"Ç","C"))</f>
        <v/>
      </c>
      <c r="I153" s="28" t="str">
        <f aca="false">IF(B153="","",IF(LEN(SUBSTITUTE(SUBSTITUTE(SUBSTITUTE(SUBSTITUTE(TRIM(B153),"*",""),".",""),"-","")," ",""))=11,MID(SUBSTITUTE(SUBSTITUTE(SUBSTITUTE(SUBSTITUTE(TRIM(B153),"*",""),".",""),"-","")," ",""),4,6),SUBSTITUTE(SUBSTITUTE(SUBSTITUTE(SUBSTITUTE(TRIM(B153),"*",""),".",""),"-","")," ","")))</f>
        <v/>
      </c>
      <c r="J153" s="28" t="str">
        <f aca="false">IF(OR(H153="",I153=""),"",H153&amp;"|"&amp;I153)</f>
        <v/>
      </c>
      <c r="K153" s="19" t="str">
        <f aca="false">IF(H153="","",IF(J153&lt;&gt;"",COUNTIF(Socios!$J:$J,J153),IF(COUNTIF(Socios!$H:$H,H153)&gt;0,"nome igual em Socios: confira o CPF","sem CPF: não cruzado")))</f>
        <v/>
      </c>
      <c r="L153" s="27"/>
      <c r="M153" s="5"/>
    </row>
    <row r="154" customFormat="false" ht="15" hidden="false" customHeight="false" outlineLevel="0" collapsed="false">
      <c r="A154" s="5"/>
      <c r="B154" s="27"/>
      <c r="C154" s="5"/>
      <c r="D154" s="5"/>
      <c r="E154" s="18"/>
      <c r="F154" s="14"/>
      <c r="G154" s="5"/>
      <c r="H154" s="28" t="str">
        <f aca="false">IF(A154="","",SUBSTITUTE(SUBSTITUTE(SUBSTITUTE(SUBSTITUTE(SUBSTITUTE(SUBSTITUTE(SUBSTITUTE(SUBSTITUTE(SUBSTITUTE(SUBSTITUTE(SUBSTITUTE(SUBSTITUTE(SUBSTITUTE(UPPER(TRIM(A154)),"Á","A"),"À","A"),"Â","A"),"Ã","A"),"É","E"),"Ê","E"),"Í","I"),"Ó","O"),"Ô","O"),"Õ","O"),"Ú","U"),"Ü","U"),"Ç","C"))</f>
        <v/>
      </c>
      <c r="I154" s="28" t="str">
        <f aca="false">IF(B154="","",IF(LEN(SUBSTITUTE(SUBSTITUTE(SUBSTITUTE(SUBSTITUTE(TRIM(B154),"*",""),".",""),"-","")," ",""))=11,MID(SUBSTITUTE(SUBSTITUTE(SUBSTITUTE(SUBSTITUTE(TRIM(B154),"*",""),".",""),"-","")," ",""),4,6),SUBSTITUTE(SUBSTITUTE(SUBSTITUTE(SUBSTITUTE(TRIM(B154),"*",""),".",""),"-","")," ","")))</f>
        <v/>
      </c>
      <c r="J154" s="28" t="str">
        <f aca="false">IF(OR(H154="",I154=""),"",H154&amp;"|"&amp;I154)</f>
        <v/>
      </c>
      <c r="K154" s="19" t="str">
        <f aca="false">IF(H154="","",IF(J154&lt;&gt;"",COUNTIF(Socios!$J:$J,J154),IF(COUNTIF(Socios!$H:$H,H154)&gt;0,"nome igual em Socios: confira o CPF","sem CPF: não cruzado")))</f>
        <v/>
      </c>
      <c r="L154" s="27"/>
      <c r="M154" s="5"/>
    </row>
    <row r="155" customFormat="false" ht="15" hidden="false" customHeight="false" outlineLevel="0" collapsed="false">
      <c r="A155" s="5"/>
      <c r="B155" s="27"/>
      <c r="C155" s="5"/>
      <c r="D155" s="5"/>
      <c r="E155" s="18"/>
      <c r="F155" s="14"/>
      <c r="G155" s="5"/>
      <c r="H155" s="28" t="str">
        <f aca="false">IF(A155="","",SUBSTITUTE(SUBSTITUTE(SUBSTITUTE(SUBSTITUTE(SUBSTITUTE(SUBSTITUTE(SUBSTITUTE(SUBSTITUTE(SUBSTITUTE(SUBSTITUTE(SUBSTITUTE(SUBSTITUTE(SUBSTITUTE(UPPER(TRIM(A155)),"Á","A"),"À","A"),"Â","A"),"Ã","A"),"É","E"),"Ê","E"),"Í","I"),"Ó","O"),"Ô","O"),"Õ","O"),"Ú","U"),"Ü","U"),"Ç","C"))</f>
        <v/>
      </c>
      <c r="I155" s="28" t="str">
        <f aca="false">IF(B155="","",IF(LEN(SUBSTITUTE(SUBSTITUTE(SUBSTITUTE(SUBSTITUTE(TRIM(B155),"*",""),".",""),"-","")," ",""))=11,MID(SUBSTITUTE(SUBSTITUTE(SUBSTITUTE(SUBSTITUTE(TRIM(B155),"*",""),".",""),"-","")," ",""),4,6),SUBSTITUTE(SUBSTITUTE(SUBSTITUTE(SUBSTITUTE(TRIM(B155),"*",""),".",""),"-","")," ","")))</f>
        <v/>
      </c>
      <c r="J155" s="28" t="str">
        <f aca="false">IF(OR(H155="",I155=""),"",H155&amp;"|"&amp;I155)</f>
        <v/>
      </c>
      <c r="K155" s="19" t="str">
        <f aca="false">IF(H155="","",IF(J155&lt;&gt;"",COUNTIF(Socios!$J:$J,J155),IF(COUNTIF(Socios!$H:$H,H155)&gt;0,"nome igual em Socios: confira o CPF","sem CPF: não cruzado")))</f>
        <v/>
      </c>
      <c r="L155" s="27"/>
      <c r="M155" s="5"/>
    </row>
    <row r="156" customFormat="false" ht="15" hidden="false" customHeight="false" outlineLevel="0" collapsed="false">
      <c r="A156" s="5"/>
      <c r="B156" s="27"/>
      <c r="C156" s="5"/>
      <c r="D156" s="5"/>
      <c r="E156" s="18"/>
      <c r="F156" s="14"/>
      <c r="G156" s="5"/>
      <c r="H156" s="28" t="str">
        <f aca="false">IF(A156="","",SUBSTITUTE(SUBSTITUTE(SUBSTITUTE(SUBSTITUTE(SUBSTITUTE(SUBSTITUTE(SUBSTITUTE(SUBSTITUTE(SUBSTITUTE(SUBSTITUTE(SUBSTITUTE(SUBSTITUTE(SUBSTITUTE(UPPER(TRIM(A156)),"Á","A"),"À","A"),"Â","A"),"Ã","A"),"É","E"),"Ê","E"),"Í","I"),"Ó","O"),"Ô","O"),"Õ","O"),"Ú","U"),"Ü","U"),"Ç","C"))</f>
        <v/>
      </c>
      <c r="I156" s="28" t="str">
        <f aca="false">IF(B156="","",IF(LEN(SUBSTITUTE(SUBSTITUTE(SUBSTITUTE(SUBSTITUTE(TRIM(B156),"*",""),".",""),"-","")," ",""))=11,MID(SUBSTITUTE(SUBSTITUTE(SUBSTITUTE(SUBSTITUTE(TRIM(B156),"*",""),".",""),"-","")," ",""),4,6),SUBSTITUTE(SUBSTITUTE(SUBSTITUTE(SUBSTITUTE(TRIM(B156),"*",""),".",""),"-","")," ","")))</f>
        <v/>
      </c>
      <c r="J156" s="28" t="str">
        <f aca="false">IF(OR(H156="",I156=""),"",H156&amp;"|"&amp;I156)</f>
        <v/>
      </c>
      <c r="K156" s="19" t="str">
        <f aca="false">IF(H156="","",IF(J156&lt;&gt;"",COUNTIF(Socios!$J:$J,J156),IF(COUNTIF(Socios!$H:$H,H156)&gt;0,"nome igual em Socios: confira o CPF","sem CPF: não cruzado")))</f>
        <v/>
      </c>
      <c r="L156" s="27"/>
      <c r="M156" s="5"/>
    </row>
    <row r="157" customFormat="false" ht="15" hidden="false" customHeight="false" outlineLevel="0" collapsed="false">
      <c r="A157" s="5"/>
      <c r="B157" s="27"/>
      <c r="C157" s="5"/>
      <c r="D157" s="5"/>
      <c r="E157" s="18"/>
      <c r="F157" s="14"/>
      <c r="G157" s="5"/>
      <c r="H157" s="28" t="str">
        <f aca="false">IF(A157="","",SUBSTITUTE(SUBSTITUTE(SUBSTITUTE(SUBSTITUTE(SUBSTITUTE(SUBSTITUTE(SUBSTITUTE(SUBSTITUTE(SUBSTITUTE(SUBSTITUTE(SUBSTITUTE(SUBSTITUTE(SUBSTITUTE(UPPER(TRIM(A157)),"Á","A"),"À","A"),"Â","A"),"Ã","A"),"É","E"),"Ê","E"),"Í","I"),"Ó","O"),"Ô","O"),"Õ","O"),"Ú","U"),"Ü","U"),"Ç","C"))</f>
        <v/>
      </c>
      <c r="I157" s="28" t="str">
        <f aca="false">IF(B157="","",IF(LEN(SUBSTITUTE(SUBSTITUTE(SUBSTITUTE(SUBSTITUTE(TRIM(B157),"*",""),".",""),"-","")," ",""))=11,MID(SUBSTITUTE(SUBSTITUTE(SUBSTITUTE(SUBSTITUTE(TRIM(B157),"*",""),".",""),"-","")," ",""),4,6),SUBSTITUTE(SUBSTITUTE(SUBSTITUTE(SUBSTITUTE(TRIM(B157),"*",""),".",""),"-","")," ","")))</f>
        <v/>
      </c>
      <c r="J157" s="28" t="str">
        <f aca="false">IF(OR(H157="",I157=""),"",H157&amp;"|"&amp;I157)</f>
        <v/>
      </c>
      <c r="K157" s="19" t="str">
        <f aca="false">IF(H157="","",IF(J157&lt;&gt;"",COUNTIF(Socios!$J:$J,J157),IF(COUNTIF(Socios!$H:$H,H157)&gt;0,"nome igual em Socios: confira o CPF","sem CPF: não cruzado")))</f>
        <v/>
      </c>
      <c r="L157" s="27"/>
      <c r="M157" s="5"/>
    </row>
    <row r="158" customFormat="false" ht="15" hidden="false" customHeight="false" outlineLevel="0" collapsed="false">
      <c r="A158" s="5"/>
      <c r="B158" s="27"/>
      <c r="C158" s="5"/>
      <c r="D158" s="5"/>
      <c r="E158" s="18"/>
      <c r="F158" s="14"/>
      <c r="G158" s="5"/>
      <c r="H158" s="28" t="str">
        <f aca="false">IF(A158="","",SUBSTITUTE(SUBSTITUTE(SUBSTITUTE(SUBSTITUTE(SUBSTITUTE(SUBSTITUTE(SUBSTITUTE(SUBSTITUTE(SUBSTITUTE(SUBSTITUTE(SUBSTITUTE(SUBSTITUTE(SUBSTITUTE(UPPER(TRIM(A158)),"Á","A"),"À","A"),"Â","A"),"Ã","A"),"É","E"),"Ê","E"),"Í","I"),"Ó","O"),"Ô","O"),"Õ","O"),"Ú","U"),"Ü","U"),"Ç","C"))</f>
        <v/>
      </c>
      <c r="I158" s="28" t="str">
        <f aca="false">IF(B158="","",IF(LEN(SUBSTITUTE(SUBSTITUTE(SUBSTITUTE(SUBSTITUTE(TRIM(B158),"*",""),".",""),"-","")," ",""))=11,MID(SUBSTITUTE(SUBSTITUTE(SUBSTITUTE(SUBSTITUTE(TRIM(B158),"*",""),".",""),"-","")," ",""),4,6),SUBSTITUTE(SUBSTITUTE(SUBSTITUTE(SUBSTITUTE(TRIM(B158),"*",""),".",""),"-","")," ","")))</f>
        <v/>
      </c>
      <c r="J158" s="28" t="str">
        <f aca="false">IF(OR(H158="",I158=""),"",H158&amp;"|"&amp;I158)</f>
        <v/>
      </c>
      <c r="K158" s="19" t="str">
        <f aca="false">IF(H158="","",IF(J158&lt;&gt;"",COUNTIF(Socios!$J:$J,J158),IF(COUNTIF(Socios!$H:$H,H158)&gt;0,"nome igual em Socios: confira o CPF","sem CPF: não cruzado")))</f>
        <v/>
      </c>
      <c r="L158" s="27"/>
      <c r="M158" s="5"/>
    </row>
    <row r="159" customFormat="false" ht="15" hidden="false" customHeight="false" outlineLevel="0" collapsed="false">
      <c r="A159" s="5"/>
      <c r="B159" s="27"/>
      <c r="C159" s="5"/>
      <c r="D159" s="5"/>
      <c r="E159" s="18"/>
      <c r="F159" s="14"/>
      <c r="G159" s="5"/>
      <c r="H159" s="28" t="str">
        <f aca="false">IF(A159="","",SUBSTITUTE(SUBSTITUTE(SUBSTITUTE(SUBSTITUTE(SUBSTITUTE(SUBSTITUTE(SUBSTITUTE(SUBSTITUTE(SUBSTITUTE(SUBSTITUTE(SUBSTITUTE(SUBSTITUTE(SUBSTITUTE(UPPER(TRIM(A159)),"Á","A"),"À","A"),"Â","A"),"Ã","A"),"É","E"),"Ê","E"),"Í","I"),"Ó","O"),"Ô","O"),"Õ","O"),"Ú","U"),"Ü","U"),"Ç","C"))</f>
        <v/>
      </c>
      <c r="I159" s="28" t="str">
        <f aca="false">IF(B159="","",IF(LEN(SUBSTITUTE(SUBSTITUTE(SUBSTITUTE(SUBSTITUTE(TRIM(B159),"*",""),".",""),"-","")," ",""))=11,MID(SUBSTITUTE(SUBSTITUTE(SUBSTITUTE(SUBSTITUTE(TRIM(B159),"*",""),".",""),"-","")," ",""),4,6),SUBSTITUTE(SUBSTITUTE(SUBSTITUTE(SUBSTITUTE(TRIM(B159),"*",""),".",""),"-","")," ","")))</f>
        <v/>
      </c>
      <c r="J159" s="28" t="str">
        <f aca="false">IF(OR(H159="",I159=""),"",H159&amp;"|"&amp;I159)</f>
        <v/>
      </c>
      <c r="K159" s="19" t="str">
        <f aca="false">IF(H159="","",IF(J159&lt;&gt;"",COUNTIF(Socios!$J:$J,J159),IF(COUNTIF(Socios!$H:$H,H159)&gt;0,"nome igual em Socios: confira o CPF","sem CPF: não cruzado")))</f>
        <v/>
      </c>
      <c r="L159" s="27"/>
      <c r="M159" s="5"/>
    </row>
    <row r="160" customFormat="false" ht="15" hidden="false" customHeight="false" outlineLevel="0" collapsed="false">
      <c r="A160" s="5"/>
      <c r="B160" s="27"/>
      <c r="C160" s="5"/>
      <c r="D160" s="5"/>
      <c r="E160" s="18"/>
      <c r="F160" s="14"/>
      <c r="G160" s="5"/>
      <c r="H160" s="28" t="str">
        <f aca="false">IF(A160="","",SUBSTITUTE(SUBSTITUTE(SUBSTITUTE(SUBSTITUTE(SUBSTITUTE(SUBSTITUTE(SUBSTITUTE(SUBSTITUTE(SUBSTITUTE(SUBSTITUTE(SUBSTITUTE(SUBSTITUTE(SUBSTITUTE(UPPER(TRIM(A160)),"Á","A"),"À","A"),"Â","A"),"Ã","A"),"É","E"),"Ê","E"),"Í","I"),"Ó","O"),"Ô","O"),"Õ","O"),"Ú","U"),"Ü","U"),"Ç","C"))</f>
        <v/>
      </c>
      <c r="I160" s="28" t="str">
        <f aca="false">IF(B160="","",IF(LEN(SUBSTITUTE(SUBSTITUTE(SUBSTITUTE(SUBSTITUTE(TRIM(B160),"*",""),".",""),"-","")," ",""))=11,MID(SUBSTITUTE(SUBSTITUTE(SUBSTITUTE(SUBSTITUTE(TRIM(B160),"*",""),".",""),"-","")," ",""),4,6),SUBSTITUTE(SUBSTITUTE(SUBSTITUTE(SUBSTITUTE(TRIM(B160),"*",""),".",""),"-","")," ","")))</f>
        <v/>
      </c>
      <c r="J160" s="28" t="str">
        <f aca="false">IF(OR(H160="",I160=""),"",H160&amp;"|"&amp;I160)</f>
        <v/>
      </c>
      <c r="K160" s="19" t="str">
        <f aca="false">IF(H160="","",IF(J160&lt;&gt;"",COUNTIF(Socios!$J:$J,J160),IF(COUNTIF(Socios!$H:$H,H160)&gt;0,"nome igual em Socios: confira o CPF","sem CPF: não cruzado")))</f>
        <v/>
      </c>
      <c r="L160" s="27"/>
      <c r="M160" s="5"/>
    </row>
    <row r="161" customFormat="false" ht="15" hidden="false" customHeight="false" outlineLevel="0" collapsed="false">
      <c r="A161" s="5"/>
      <c r="B161" s="27"/>
      <c r="C161" s="5"/>
      <c r="D161" s="5"/>
      <c r="E161" s="18"/>
      <c r="F161" s="14"/>
      <c r="G161" s="5"/>
      <c r="H161" s="28" t="str">
        <f aca="false">IF(A161="","",SUBSTITUTE(SUBSTITUTE(SUBSTITUTE(SUBSTITUTE(SUBSTITUTE(SUBSTITUTE(SUBSTITUTE(SUBSTITUTE(SUBSTITUTE(SUBSTITUTE(SUBSTITUTE(SUBSTITUTE(SUBSTITUTE(UPPER(TRIM(A161)),"Á","A"),"À","A"),"Â","A"),"Ã","A"),"É","E"),"Ê","E"),"Í","I"),"Ó","O"),"Ô","O"),"Õ","O"),"Ú","U"),"Ü","U"),"Ç","C"))</f>
        <v/>
      </c>
      <c r="I161" s="28" t="str">
        <f aca="false">IF(B161="","",IF(LEN(SUBSTITUTE(SUBSTITUTE(SUBSTITUTE(SUBSTITUTE(TRIM(B161),"*",""),".",""),"-","")," ",""))=11,MID(SUBSTITUTE(SUBSTITUTE(SUBSTITUTE(SUBSTITUTE(TRIM(B161),"*",""),".",""),"-","")," ",""),4,6),SUBSTITUTE(SUBSTITUTE(SUBSTITUTE(SUBSTITUTE(TRIM(B161),"*",""),".",""),"-","")," ","")))</f>
        <v/>
      </c>
      <c r="J161" s="28" t="str">
        <f aca="false">IF(OR(H161="",I161=""),"",H161&amp;"|"&amp;I161)</f>
        <v/>
      </c>
      <c r="K161" s="19" t="str">
        <f aca="false">IF(H161="","",IF(J161&lt;&gt;"",COUNTIF(Socios!$J:$J,J161),IF(COUNTIF(Socios!$H:$H,H161)&gt;0,"nome igual em Socios: confira o CPF","sem CPF: não cruzado")))</f>
        <v/>
      </c>
      <c r="L161" s="27"/>
      <c r="M161" s="5"/>
    </row>
    <row r="162" customFormat="false" ht="15" hidden="false" customHeight="false" outlineLevel="0" collapsed="false">
      <c r="A162" s="5"/>
      <c r="B162" s="27"/>
      <c r="C162" s="5"/>
      <c r="D162" s="5"/>
      <c r="E162" s="18"/>
      <c r="F162" s="14"/>
      <c r="G162" s="5"/>
      <c r="H162" s="28" t="str">
        <f aca="false">IF(A162="","",SUBSTITUTE(SUBSTITUTE(SUBSTITUTE(SUBSTITUTE(SUBSTITUTE(SUBSTITUTE(SUBSTITUTE(SUBSTITUTE(SUBSTITUTE(SUBSTITUTE(SUBSTITUTE(SUBSTITUTE(SUBSTITUTE(UPPER(TRIM(A162)),"Á","A"),"À","A"),"Â","A"),"Ã","A"),"É","E"),"Ê","E"),"Í","I"),"Ó","O"),"Ô","O"),"Õ","O"),"Ú","U"),"Ü","U"),"Ç","C"))</f>
        <v/>
      </c>
      <c r="I162" s="28" t="str">
        <f aca="false">IF(B162="","",IF(LEN(SUBSTITUTE(SUBSTITUTE(SUBSTITUTE(SUBSTITUTE(TRIM(B162),"*",""),".",""),"-","")," ",""))=11,MID(SUBSTITUTE(SUBSTITUTE(SUBSTITUTE(SUBSTITUTE(TRIM(B162),"*",""),".",""),"-","")," ",""),4,6),SUBSTITUTE(SUBSTITUTE(SUBSTITUTE(SUBSTITUTE(TRIM(B162),"*",""),".",""),"-","")," ","")))</f>
        <v/>
      </c>
      <c r="J162" s="28" t="str">
        <f aca="false">IF(OR(H162="",I162=""),"",H162&amp;"|"&amp;I162)</f>
        <v/>
      </c>
      <c r="K162" s="19" t="str">
        <f aca="false">IF(H162="","",IF(J162&lt;&gt;"",COUNTIF(Socios!$J:$J,J162),IF(COUNTIF(Socios!$H:$H,H162)&gt;0,"nome igual em Socios: confira o CPF","sem CPF: não cruzado")))</f>
        <v/>
      </c>
      <c r="L162" s="27"/>
      <c r="M162" s="5"/>
    </row>
    <row r="163" customFormat="false" ht="15" hidden="false" customHeight="false" outlineLevel="0" collapsed="false">
      <c r="A163" s="5"/>
      <c r="B163" s="27"/>
      <c r="C163" s="5"/>
      <c r="D163" s="5"/>
      <c r="E163" s="18"/>
      <c r="F163" s="14"/>
      <c r="G163" s="5"/>
      <c r="H163" s="28" t="str">
        <f aca="false">IF(A163="","",SUBSTITUTE(SUBSTITUTE(SUBSTITUTE(SUBSTITUTE(SUBSTITUTE(SUBSTITUTE(SUBSTITUTE(SUBSTITUTE(SUBSTITUTE(SUBSTITUTE(SUBSTITUTE(SUBSTITUTE(SUBSTITUTE(UPPER(TRIM(A163)),"Á","A"),"À","A"),"Â","A"),"Ã","A"),"É","E"),"Ê","E"),"Í","I"),"Ó","O"),"Ô","O"),"Õ","O"),"Ú","U"),"Ü","U"),"Ç","C"))</f>
        <v/>
      </c>
      <c r="I163" s="28" t="str">
        <f aca="false">IF(B163="","",IF(LEN(SUBSTITUTE(SUBSTITUTE(SUBSTITUTE(SUBSTITUTE(TRIM(B163),"*",""),".",""),"-","")," ",""))=11,MID(SUBSTITUTE(SUBSTITUTE(SUBSTITUTE(SUBSTITUTE(TRIM(B163),"*",""),".",""),"-","")," ",""),4,6),SUBSTITUTE(SUBSTITUTE(SUBSTITUTE(SUBSTITUTE(TRIM(B163),"*",""),".",""),"-","")," ","")))</f>
        <v/>
      </c>
      <c r="J163" s="28" t="str">
        <f aca="false">IF(OR(H163="",I163=""),"",H163&amp;"|"&amp;I163)</f>
        <v/>
      </c>
      <c r="K163" s="19" t="str">
        <f aca="false">IF(H163="","",IF(J163&lt;&gt;"",COUNTIF(Socios!$J:$J,J163),IF(COUNTIF(Socios!$H:$H,H163)&gt;0,"nome igual em Socios: confira o CPF","sem CPF: não cruzado")))</f>
        <v/>
      </c>
      <c r="L163" s="27"/>
      <c r="M163" s="5"/>
    </row>
    <row r="164" customFormat="false" ht="15" hidden="false" customHeight="false" outlineLevel="0" collapsed="false">
      <c r="A164" s="5"/>
      <c r="B164" s="27"/>
      <c r="C164" s="5"/>
      <c r="D164" s="5"/>
      <c r="E164" s="18"/>
      <c r="F164" s="14"/>
      <c r="G164" s="5"/>
      <c r="H164" s="28" t="str">
        <f aca="false">IF(A164="","",SUBSTITUTE(SUBSTITUTE(SUBSTITUTE(SUBSTITUTE(SUBSTITUTE(SUBSTITUTE(SUBSTITUTE(SUBSTITUTE(SUBSTITUTE(SUBSTITUTE(SUBSTITUTE(SUBSTITUTE(SUBSTITUTE(UPPER(TRIM(A164)),"Á","A"),"À","A"),"Â","A"),"Ã","A"),"É","E"),"Ê","E"),"Í","I"),"Ó","O"),"Ô","O"),"Õ","O"),"Ú","U"),"Ü","U"),"Ç","C"))</f>
        <v/>
      </c>
      <c r="I164" s="28" t="str">
        <f aca="false">IF(B164="","",IF(LEN(SUBSTITUTE(SUBSTITUTE(SUBSTITUTE(SUBSTITUTE(TRIM(B164),"*",""),".",""),"-","")," ",""))=11,MID(SUBSTITUTE(SUBSTITUTE(SUBSTITUTE(SUBSTITUTE(TRIM(B164),"*",""),".",""),"-","")," ",""),4,6),SUBSTITUTE(SUBSTITUTE(SUBSTITUTE(SUBSTITUTE(TRIM(B164),"*",""),".",""),"-","")," ","")))</f>
        <v/>
      </c>
      <c r="J164" s="28" t="str">
        <f aca="false">IF(OR(H164="",I164=""),"",H164&amp;"|"&amp;I164)</f>
        <v/>
      </c>
      <c r="K164" s="19" t="str">
        <f aca="false">IF(H164="","",IF(J164&lt;&gt;"",COUNTIF(Socios!$J:$J,J164),IF(COUNTIF(Socios!$H:$H,H164)&gt;0,"nome igual em Socios: confira o CPF","sem CPF: não cruzado")))</f>
        <v/>
      </c>
      <c r="L164" s="27"/>
      <c r="M164" s="5"/>
    </row>
    <row r="165" customFormat="false" ht="15" hidden="false" customHeight="false" outlineLevel="0" collapsed="false">
      <c r="A165" s="5"/>
      <c r="B165" s="27"/>
      <c r="C165" s="5"/>
      <c r="D165" s="5"/>
      <c r="E165" s="18"/>
      <c r="F165" s="14"/>
      <c r="G165" s="5"/>
      <c r="H165" s="28" t="str">
        <f aca="false">IF(A165="","",SUBSTITUTE(SUBSTITUTE(SUBSTITUTE(SUBSTITUTE(SUBSTITUTE(SUBSTITUTE(SUBSTITUTE(SUBSTITUTE(SUBSTITUTE(SUBSTITUTE(SUBSTITUTE(SUBSTITUTE(SUBSTITUTE(UPPER(TRIM(A165)),"Á","A"),"À","A"),"Â","A"),"Ã","A"),"É","E"),"Ê","E"),"Í","I"),"Ó","O"),"Ô","O"),"Õ","O"),"Ú","U"),"Ü","U"),"Ç","C"))</f>
        <v/>
      </c>
      <c r="I165" s="28" t="str">
        <f aca="false">IF(B165="","",IF(LEN(SUBSTITUTE(SUBSTITUTE(SUBSTITUTE(SUBSTITUTE(TRIM(B165),"*",""),".",""),"-","")," ",""))=11,MID(SUBSTITUTE(SUBSTITUTE(SUBSTITUTE(SUBSTITUTE(TRIM(B165),"*",""),".",""),"-","")," ",""),4,6),SUBSTITUTE(SUBSTITUTE(SUBSTITUTE(SUBSTITUTE(TRIM(B165),"*",""),".",""),"-","")," ","")))</f>
        <v/>
      </c>
      <c r="J165" s="28" t="str">
        <f aca="false">IF(OR(H165="",I165=""),"",H165&amp;"|"&amp;I165)</f>
        <v/>
      </c>
      <c r="K165" s="19" t="str">
        <f aca="false">IF(H165="","",IF(J165&lt;&gt;"",COUNTIF(Socios!$J:$J,J165),IF(COUNTIF(Socios!$H:$H,H165)&gt;0,"nome igual em Socios: confira o CPF","sem CPF: não cruzado")))</f>
        <v/>
      </c>
      <c r="L165" s="27"/>
      <c r="M165" s="5"/>
    </row>
    <row r="166" customFormat="false" ht="15" hidden="false" customHeight="false" outlineLevel="0" collapsed="false">
      <c r="A166" s="5"/>
      <c r="B166" s="27"/>
      <c r="C166" s="5"/>
      <c r="D166" s="5"/>
      <c r="E166" s="18"/>
      <c r="F166" s="14"/>
      <c r="G166" s="5"/>
      <c r="H166" s="28" t="str">
        <f aca="false">IF(A166="","",SUBSTITUTE(SUBSTITUTE(SUBSTITUTE(SUBSTITUTE(SUBSTITUTE(SUBSTITUTE(SUBSTITUTE(SUBSTITUTE(SUBSTITUTE(SUBSTITUTE(SUBSTITUTE(SUBSTITUTE(SUBSTITUTE(UPPER(TRIM(A166)),"Á","A"),"À","A"),"Â","A"),"Ã","A"),"É","E"),"Ê","E"),"Í","I"),"Ó","O"),"Ô","O"),"Õ","O"),"Ú","U"),"Ü","U"),"Ç","C"))</f>
        <v/>
      </c>
      <c r="I166" s="28" t="str">
        <f aca="false">IF(B166="","",IF(LEN(SUBSTITUTE(SUBSTITUTE(SUBSTITUTE(SUBSTITUTE(TRIM(B166),"*",""),".",""),"-","")," ",""))=11,MID(SUBSTITUTE(SUBSTITUTE(SUBSTITUTE(SUBSTITUTE(TRIM(B166),"*",""),".",""),"-","")," ",""),4,6),SUBSTITUTE(SUBSTITUTE(SUBSTITUTE(SUBSTITUTE(TRIM(B166),"*",""),".",""),"-","")," ","")))</f>
        <v/>
      </c>
      <c r="J166" s="28" t="str">
        <f aca="false">IF(OR(H166="",I166=""),"",H166&amp;"|"&amp;I166)</f>
        <v/>
      </c>
      <c r="K166" s="19" t="str">
        <f aca="false">IF(H166="","",IF(J166&lt;&gt;"",COUNTIF(Socios!$J:$J,J166),IF(COUNTIF(Socios!$H:$H,H166)&gt;0,"nome igual em Socios: confira o CPF","sem CPF: não cruzado")))</f>
        <v/>
      </c>
      <c r="L166" s="27"/>
      <c r="M166" s="5"/>
    </row>
    <row r="167" customFormat="false" ht="15" hidden="false" customHeight="false" outlineLevel="0" collapsed="false">
      <c r="A167" s="5"/>
      <c r="B167" s="27"/>
      <c r="C167" s="5"/>
      <c r="D167" s="5"/>
      <c r="E167" s="18"/>
      <c r="F167" s="14"/>
      <c r="G167" s="5"/>
      <c r="H167" s="28" t="str">
        <f aca="false">IF(A167="","",SUBSTITUTE(SUBSTITUTE(SUBSTITUTE(SUBSTITUTE(SUBSTITUTE(SUBSTITUTE(SUBSTITUTE(SUBSTITUTE(SUBSTITUTE(SUBSTITUTE(SUBSTITUTE(SUBSTITUTE(SUBSTITUTE(UPPER(TRIM(A167)),"Á","A"),"À","A"),"Â","A"),"Ã","A"),"É","E"),"Ê","E"),"Í","I"),"Ó","O"),"Ô","O"),"Õ","O"),"Ú","U"),"Ü","U"),"Ç","C"))</f>
        <v/>
      </c>
      <c r="I167" s="28" t="str">
        <f aca="false">IF(B167="","",IF(LEN(SUBSTITUTE(SUBSTITUTE(SUBSTITUTE(SUBSTITUTE(TRIM(B167),"*",""),".",""),"-","")," ",""))=11,MID(SUBSTITUTE(SUBSTITUTE(SUBSTITUTE(SUBSTITUTE(TRIM(B167),"*",""),".",""),"-","")," ",""),4,6),SUBSTITUTE(SUBSTITUTE(SUBSTITUTE(SUBSTITUTE(TRIM(B167),"*",""),".",""),"-","")," ","")))</f>
        <v/>
      </c>
      <c r="J167" s="28" t="str">
        <f aca="false">IF(OR(H167="",I167=""),"",H167&amp;"|"&amp;I167)</f>
        <v/>
      </c>
      <c r="K167" s="19" t="str">
        <f aca="false">IF(H167="","",IF(J167&lt;&gt;"",COUNTIF(Socios!$J:$J,J167),IF(COUNTIF(Socios!$H:$H,H167)&gt;0,"nome igual em Socios: confira o CPF","sem CPF: não cruzado")))</f>
        <v/>
      </c>
      <c r="L167" s="27"/>
      <c r="M167" s="5"/>
    </row>
    <row r="168" customFormat="false" ht="15" hidden="false" customHeight="false" outlineLevel="0" collapsed="false">
      <c r="A168" s="5"/>
      <c r="B168" s="27"/>
      <c r="C168" s="5"/>
      <c r="D168" s="5"/>
      <c r="E168" s="18"/>
      <c r="F168" s="14"/>
      <c r="G168" s="5"/>
      <c r="H168" s="28" t="str">
        <f aca="false">IF(A168="","",SUBSTITUTE(SUBSTITUTE(SUBSTITUTE(SUBSTITUTE(SUBSTITUTE(SUBSTITUTE(SUBSTITUTE(SUBSTITUTE(SUBSTITUTE(SUBSTITUTE(SUBSTITUTE(SUBSTITUTE(SUBSTITUTE(UPPER(TRIM(A168)),"Á","A"),"À","A"),"Â","A"),"Ã","A"),"É","E"),"Ê","E"),"Í","I"),"Ó","O"),"Ô","O"),"Õ","O"),"Ú","U"),"Ü","U"),"Ç","C"))</f>
        <v/>
      </c>
      <c r="I168" s="28" t="str">
        <f aca="false">IF(B168="","",IF(LEN(SUBSTITUTE(SUBSTITUTE(SUBSTITUTE(SUBSTITUTE(TRIM(B168),"*",""),".",""),"-","")," ",""))=11,MID(SUBSTITUTE(SUBSTITUTE(SUBSTITUTE(SUBSTITUTE(TRIM(B168),"*",""),".",""),"-","")," ",""),4,6),SUBSTITUTE(SUBSTITUTE(SUBSTITUTE(SUBSTITUTE(TRIM(B168),"*",""),".",""),"-","")," ","")))</f>
        <v/>
      </c>
      <c r="J168" s="28" t="str">
        <f aca="false">IF(OR(H168="",I168=""),"",H168&amp;"|"&amp;I168)</f>
        <v/>
      </c>
      <c r="K168" s="19" t="str">
        <f aca="false">IF(H168="","",IF(J168&lt;&gt;"",COUNTIF(Socios!$J:$J,J168),IF(COUNTIF(Socios!$H:$H,H168)&gt;0,"nome igual em Socios: confira o CPF","sem CPF: não cruzado")))</f>
        <v/>
      </c>
      <c r="L168" s="27"/>
      <c r="M168" s="5"/>
    </row>
    <row r="169" customFormat="false" ht="15" hidden="false" customHeight="false" outlineLevel="0" collapsed="false">
      <c r="A169" s="5"/>
      <c r="B169" s="27"/>
      <c r="C169" s="5"/>
      <c r="D169" s="5"/>
      <c r="E169" s="18"/>
      <c r="F169" s="14"/>
      <c r="G169" s="5"/>
      <c r="H169" s="28" t="str">
        <f aca="false">IF(A169="","",SUBSTITUTE(SUBSTITUTE(SUBSTITUTE(SUBSTITUTE(SUBSTITUTE(SUBSTITUTE(SUBSTITUTE(SUBSTITUTE(SUBSTITUTE(SUBSTITUTE(SUBSTITUTE(SUBSTITUTE(SUBSTITUTE(UPPER(TRIM(A169)),"Á","A"),"À","A"),"Â","A"),"Ã","A"),"É","E"),"Ê","E"),"Í","I"),"Ó","O"),"Ô","O"),"Õ","O"),"Ú","U"),"Ü","U"),"Ç","C"))</f>
        <v/>
      </c>
      <c r="I169" s="28" t="str">
        <f aca="false">IF(B169="","",IF(LEN(SUBSTITUTE(SUBSTITUTE(SUBSTITUTE(SUBSTITUTE(TRIM(B169),"*",""),".",""),"-","")," ",""))=11,MID(SUBSTITUTE(SUBSTITUTE(SUBSTITUTE(SUBSTITUTE(TRIM(B169),"*",""),".",""),"-","")," ",""),4,6),SUBSTITUTE(SUBSTITUTE(SUBSTITUTE(SUBSTITUTE(TRIM(B169),"*",""),".",""),"-","")," ","")))</f>
        <v/>
      </c>
      <c r="J169" s="28" t="str">
        <f aca="false">IF(OR(H169="",I169=""),"",H169&amp;"|"&amp;I169)</f>
        <v/>
      </c>
      <c r="K169" s="19" t="str">
        <f aca="false">IF(H169="","",IF(J169&lt;&gt;"",COUNTIF(Socios!$J:$J,J169),IF(COUNTIF(Socios!$H:$H,H169)&gt;0,"nome igual em Socios: confira o CPF","sem CPF: não cruzado")))</f>
        <v/>
      </c>
      <c r="L169" s="27"/>
      <c r="M169" s="5"/>
    </row>
    <row r="170" customFormat="false" ht="15" hidden="false" customHeight="false" outlineLevel="0" collapsed="false">
      <c r="A170" s="5"/>
      <c r="B170" s="27"/>
      <c r="C170" s="5"/>
      <c r="D170" s="5"/>
      <c r="E170" s="18"/>
      <c r="F170" s="14"/>
      <c r="G170" s="5"/>
      <c r="H170" s="28" t="str">
        <f aca="false">IF(A170="","",SUBSTITUTE(SUBSTITUTE(SUBSTITUTE(SUBSTITUTE(SUBSTITUTE(SUBSTITUTE(SUBSTITUTE(SUBSTITUTE(SUBSTITUTE(SUBSTITUTE(SUBSTITUTE(SUBSTITUTE(SUBSTITUTE(UPPER(TRIM(A170)),"Á","A"),"À","A"),"Â","A"),"Ã","A"),"É","E"),"Ê","E"),"Í","I"),"Ó","O"),"Ô","O"),"Õ","O"),"Ú","U"),"Ü","U"),"Ç","C"))</f>
        <v/>
      </c>
      <c r="I170" s="28" t="str">
        <f aca="false">IF(B170="","",IF(LEN(SUBSTITUTE(SUBSTITUTE(SUBSTITUTE(SUBSTITUTE(TRIM(B170),"*",""),".",""),"-","")," ",""))=11,MID(SUBSTITUTE(SUBSTITUTE(SUBSTITUTE(SUBSTITUTE(TRIM(B170),"*",""),".",""),"-","")," ",""),4,6),SUBSTITUTE(SUBSTITUTE(SUBSTITUTE(SUBSTITUTE(TRIM(B170),"*",""),".",""),"-","")," ","")))</f>
        <v/>
      </c>
      <c r="J170" s="28" t="str">
        <f aca="false">IF(OR(H170="",I170=""),"",H170&amp;"|"&amp;I170)</f>
        <v/>
      </c>
      <c r="K170" s="19" t="str">
        <f aca="false">IF(H170="","",IF(J170&lt;&gt;"",COUNTIF(Socios!$J:$J,J170),IF(COUNTIF(Socios!$H:$H,H170)&gt;0,"nome igual em Socios: confira o CPF","sem CPF: não cruzado")))</f>
        <v/>
      </c>
      <c r="L170" s="27"/>
      <c r="M170" s="5"/>
    </row>
    <row r="171" customFormat="false" ht="15" hidden="false" customHeight="false" outlineLevel="0" collapsed="false">
      <c r="A171" s="5"/>
      <c r="B171" s="27"/>
      <c r="C171" s="5"/>
      <c r="D171" s="5"/>
      <c r="E171" s="18"/>
      <c r="F171" s="14"/>
      <c r="G171" s="5"/>
      <c r="H171" s="28" t="str">
        <f aca="false">IF(A171="","",SUBSTITUTE(SUBSTITUTE(SUBSTITUTE(SUBSTITUTE(SUBSTITUTE(SUBSTITUTE(SUBSTITUTE(SUBSTITUTE(SUBSTITUTE(SUBSTITUTE(SUBSTITUTE(SUBSTITUTE(SUBSTITUTE(UPPER(TRIM(A171)),"Á","A"),"À","A"),"Â","A"),"Ã","A"),"É","E"),"Ê","E"),"Í","I"),"Ó","O"),"Ô","O"),"Õ","O"),"Ú","U"),"Ü","U"),"Ç","C"))</f>
        <v/>
      </c>
      <c r="I171" s="28" t="str">
        <f aca="false">IF(B171="","",IF(LEN(SUBSTITUTE(SUBSTITUTE(SUBSTITUTE(SUBSTITUTE(TRIM(B171),"*",""),".",""),"-","")," ",""))=11,MID(SUBSTITUTE(SUBSTITUTE(SUBSTITUTE(SUBSTITUTE(TRIM(B171),"*",""),".",""),"-","")," ",""),4,6),SUBSTITUTE(SUBSTITUTE(SUBSTITUTE(SUBSTITUTE(TRIM(B171),"*",""),".",""),"-","")," ","")))</f>
        <v/>
      </c>
      <c r="J171" s="28" t="str">
        <f aca="false">IF(OR(H171="",I171=""),"",H171&amp;"|"&amp;I171)</f>
        <v/>
      </c>
      <c r="K171" s="19" t="str">
        <f aca="false">IF(H171="","",IF(J171&lt;&gt;"",COUNTIF(Socios!$J:$J,J171),IF(COUNTIF(Socios!$H:$H,H171)&gt;0,"nome igual em Socios: confira o CPF","sem CPF: não cruzado")))</f>
        <v/>
      </c>
      <c r="L171" s="27"/>
      <c r="M171" s="5"/>
    </row>
    <row r="172" customFormat="false" ht="15" hidden="false" customHeight="false" outlineLevel="0" collapsed="false">
      <c r="A172" s="5"/>
      <c r="B172" s="27"/>
      <c r="C172" s="5"/>
      <c r="D172" s="5"/>
      <c r="E172" s="18"/>
      <c r="F172" s="14"/>
      <c r="G172" s="5"/>
      <c r="H172" s="28" t="str">
        <f aca="false">IF(A172="","",SUBSTITUTE(SUBSTITUTE(SUBSTITUTE(SUBSTITUTE(SUBSTITUTE(SUBSTITUTE(SUBSTITUTE(SUBSTITUTE(SUBSTITUTE(SUBSTITUTE(SUBSTITUTE(SUBSTITUTE(SUBSTITUTE(UPPER(TRIM(A172)),"Á","A"),"À","A"),"Â","A"),"Ã","A"),"É","E"),"Ê","E"),"Í","I"),"Ó","O"),"Ô","O"),"Õ","O"),"Ú","U"),"Ü","U"),"Ç","C"))</f>
        <v/>
      </c>
      <c r="I172" s="28" t="str">
        <f aca="false">IF(B172="","",IF(LEN(SUBSTITUTE(SUBSTITUTE(SUBSTITUTE(SUBSTITUTE(TRIM(B172),"*",""),".",""),"-","")," ",""))=11,MID(SUBSTITUTE(SUBSTITUTE(SUBSTITUTE(SUBSTITUTE(TRIM(B172),"*",""),".",""),"-","")," ",""),4,6),SUBSTITUTE(SUBSTITUTE(SUBSTITUTE(SUBSTITUTE(TRIM(B172),"*",""),".",""),"-","")," ","")))</f>
        <v/>
      </c>
      <c r="J172" s="28" t="str">
        <f aca="false">IF(OR(H172="",I172=""),"",H172&amp;"|"&amp;I172)</f>
        <v/>
      </c>
      <c r="K172" s="19" t="str">
        <f aca="false">IF(H172="","",IF(J172&lt;&gt;"",COUNTIF(Socios!$J:$J,J172),IF(COUNTIF(Socios!$H:$H,H172)&gt;0,"nome igual em Socios: confira o CPF","sem CPF: não cruzado")))</f>
        <v/>
      </c>
      <c r="L172" s="27"/>
      <c r="M172" s="5"/>
    </row>
    <row r="173" customFormat="false" ht="15" hidden="false" customHeight="false" outlineLevel="0" collapsed="false">
      <c r="A173" s="5"/>
      <c r="B173" s="27"/>
      <c r="C173" s="5"/>
      <c r="D173" s="5"/>
      <c r="E173" s="18"/>
      <c r="F173" s="14"/>
      <c r="G173" s="5"/>
      <c r="H173" s="28" t="str">
        <f aca="false">IF(A173="","",SUBSTITUTE(SUBSTITUTE(SUBSTITUTE(SUBSTITUTE(SUBSTITUTE(SUBSTITUTE(SUBSTITUTE(SUBSTITUTE(SUBSTITUTE(SUBSTITUTE(SUBSTITUTE(SUBSTITUTE(SUBSTITUTE(UPPER(TRIM(A173)),"Á","A"),"À","A"),"Â","A"),"Ã","A"),"É","E"),"Ê","E"),"Í","I"),"Ó","O"),"Ô","O"),"Õ","O"),"Ú","U"),"Ü","U"),"Ç","C"))</f>
        <v/>
      </c>
      <c r="I173" s="28" t="str">
        <f aca="false">IF(B173="","",IF(LEN(SUBSTITUTE(SUBSTITUTE(SUBSTITUTE(SUBSTITUTE(TRIM(B173),"*",""),".",""),"-","")," ",""))=11,MID(SUBSTITUTE(SUBSTITUTE(SUBSTITUTE(SUBSTITUTE(TRIM(B173),"*",""),".",""),"-","")," ",""),4,6),SUBSTITUTE(SUBSTITUTE(SUBSTITUTE(SUBSTITUTE(TRIM(B173),"*",""),".",""),"-","")," ","")))</f>
        <v/>
      </c>
      <c r="J173" s="28" t="str">
        <f aca="false">IF(OR(H173="",I173=""),"",H173&amp;"|"&amp;I173)</f>
        <v/>
      </c>
      <c r="K173" s="19" t="str">
        <f aca="false">IF(H173="","",IF(J173&lt;&gt;"",COUNTIF(Socios!$J:$J,J173),IF(COUNTIF(Socios!$H:$H,H173)&gt;0,"nome igual em Socios: confira o CPF","sem CPF: não cruzado")))</f>
        <v/>
      </c>
      <c r="L173" s="27"/>
      <c r="M173" s="5"/>
    </row>
    <row r="174" customFormat="false" ht="15" hidden="false" customHeight="false" outlineLevel="0" collapsed="false">
      <c r="A174" s="5"/>
      <c r="B174" s="27"/>
      <c r="C174" s="5"/>
      <c r="D174" s="5"/>
      <c r="E174" s="18"/>
      <c r="F174" s="14"/>
      <c r="G174" s="5"/>
      <c r="H174" s="28" t="str">
        <f aca="false">IF(A174="","",SUBSTITUTE(SUBSTITUTE(SUBSTITUTE(SUBSTITUTE(SUBSTITUTE(SUBSTITUTE(SUBSTITUTE(SUBSTITUTE(SUBSTITUTE(SUBSTITUTE(SUBSTITUTE(SUBSTITUTE(SUBSTITUTE(UPPER(TRIM(A174)),"Á","A"),"À","A"),"Â","A"),"Ã","A"),"É","E"),"Ê","E"),"Í","I"),"Ó","O"),"Ô","O"),"Õ","O"),"Ú","U"),"Ü","U"),"Ç","C"))</f>
        <v/>
      </c>
      <c r="I174" s="28" t="str">
        <f aca="false">IF(B174="","",IF(LEN(SUBSTITUTE(SUBSTITUTE(SUBSTITUTE(SUBSTITUTE(TRIM(B174),"*",""),".",""),"-","")," ",""))=11,MID(SUBSTITUTE(SUBSTITUTE(SUBSTITUTE(SUBSTITUTE(TRIM(B174),"*",""),".",""),"-","")," ",""),4,6),SUBSTITUTE(SUBSTITUTE(SUBSTITUTE(SUBSTITUTE(TRIM(B174),"*",""),".",""),"-","")," ","")))</f>
        <v/>
      </c>
      <c r="J174" s="28" t="str">
        <f aca="false">IF(OR(H174="",I174=""),"",H174&amp;"|"&amp;I174)</f>
        <v/>
      </c>
      <c r="K174" s="19" t="str">
        <f aca="false">IF(H174="","",IF(J174&lt;&gt;"",COUNTIF(Socios!$J:$J,J174),IF(COUNTIF(Socios!$H:$H,H174)&gt;0,"nome igual em Socios: confira o CPF","sem CPF: não cruzado")))</f>
        <v/>
      </c>
      <c r="L174" s="27"/>
      <c r="M174" s="5"/>
    </row>
    <row r="175" customFormat="false" ht="15" hidden="false" customHeight="false" outlineLevel="0" collapsed="false">
      <c r="A175" s="5"/>
      <c r="B175" s="27"/>
      <c r="C175" s="5"/>
      <c r="D175" s="5"/>
      <c r="E175" s="18"/>
      <c r="F175" s="14"/>
      <c r="G175" s="5"/>
      <c r="H175" s="28" t="str">
        <f aca="false">IF(A175="","",SUBSTITUTE(SUBSTITUTE(SUBSTITUTE(SUBSTITUTE(SUBSTITUTE(SUBSTITUTE(SUBSTITUTE(SUBSTITUTE(SUBSTITUTE(SUBSTITUTE(SUBSTITUTE(SUBSTITUTE(SUBSTITUTE(UPPER(TRIM(A175)),"Á","A"),"À","A"),"Â","A"),"Ã","A"),"É","E"),"Ê","E"),"Í","I"),"Ó","O"),"Ô","O"),"Õ","O"),"Ú","U"),"Ü","U"),"Ç","C"))</f>
        <v/>
      </c>
      <c r="I175" s="28" t="str">
        <f aca="false">IF(B175="","",IF(LEN(SUBSTITUTE(SUBSTITUTE(SUBSTITUTE(SUBSTITUTE(TRIM(B175),"*",""),".",""),"-","")," ",""))=11,MID(SUBSTITUTE(SUBSTITUTE(SUBSTITUTE(SUBSTITUTE(TRIM(B175),"*",""),".",""),"-","")," ",""),4,6),SUBSTITUTE(SUBSTITUTE(SUBSTITUTE(SUBSTITUTE(TRIM(B175),"*",""),".",""),"-","")," ","")))</f>
        <v/>
      </c>
      <c r="J175" s="28" t="str">
        <f aca="false">IF(OR(H175="",I175=""),"",H175&amp;"|"&amp;I175)</f>
        <v/>
      </c>
      <c r="K175" s="19" t="str">
        <f aca="false">IF(H175="","",IF(J175&lt;&gt;"",COUNTIF(Socios!$J:$J,J175),IF(COUNTIF(Socios!$H:$H,H175)&gt;0,"nome igual em Socios: confira o CPF","sem CPF: não cruzado")))</f>
        <v/>
      </c>
      <c r="L175" s="27"/>
      <c r="M175" s="5"/>
    </row>
    <row r="176" customFormat="false" ht="15" hidden="false" customHeight="false" outlineLevel="0" collapsed="false">
      <c r="A176" s="5"/>
      <c r="B176" s="27"/>
      <c r="C176" s="5"/>
      <c r="D176" s="5"/>
      <c r="E176" s="18"/>
      <c r="F176" s="14"/>
      <c r="G176" s="5"/>
      <c r="H176" s="28" t="str">
        <f aca="false">IF(A176="","",SUBSTITUTE(SUBSTITUTE(SUBSTITUTE(SUBSTITUTE(SUBSTITUTE(SUBSTITUTE(SUBSTITUTE(SUBSTITUTE(SUBSTITUTE(SUBSTITUTE(SUBSTITUTE(SUBSTITUTE(SUBSTITUTE(UPPER(TRIM(A176)),"Á","A"),"À","A"),"Â","A"),"Ã","A"),"É","E"),"Ê","E"),"Í","I"),"Ó","O"),"Ô","O"),"Õ","O"),"Ú","U"),"Ü","U"),"Ç","C"))</f>
        <v/>
      </c>
      <c r="I176" s="28" t="str">
        <f aca="false">IF(B176="","",IF(LEN(SUBSTITUTE(SUBSTITUTE(SUBSTITUTE(SUBSTITUTE(TRIM(B176),"*",""),".",""),"-","")," ",""))=11,MID(SUBSTITUTE(SUBSTITUTE(SUBSTITUTE(SUBSTITUTE(TRIM(B176),"*",""),".",""),"-","")," ",""),4,6),SUBSTITUTE(SUBSTITUTE(SUBSTITUTE(SUBSTITUTE(TRIM(B176),"*",""),".",""),"-","")," ","")))</f>
        <v/>
      </c>
      <c r="J176" s="28" t="str">
        <f aca="false">IF(OR(H176="",I176=""),"",H176&amp;"|"&amp;I176)</f>
        <v/>
      </c>
      <c r="K176" s="19" t="str">
        <f aca="false">IF(H176="","",IF(J176&lt;&gt;"",COUNTIF(Socios!$J:$J,J176),IF(COUNTIF(Socios!$H:$H,H176)&gt;0,"nome igual em Socios: confira o CPF","sem CPF: não cruzado")))</f>
        <v/>
      </c>
      <c r="L176" s="27"/>
      <c r="M176" s="5"/>
    </row>
    <row r="177" customFormat="false" ht="15" hidden="false" customHeight="false" outlineLevel="0" collapsed="false">
      <c r="A177" s="5"/>
      <c r="B177" s="27"/>
      <c r="C177" s="5"/>
      <c r="D177" s="5"/>
      <c r="E177" s="18"/>
      <c r="F177" s="14"/>
      <c r="G177" s="5"/>
      <c r="H177" s="28" t="str">
        <f aca="false">IF(A177="","",SUBSTITUTE(SUBSTITUTE(SUBSTITUTE(SUBSTITUTE(SUBSTITUTE(SUBSTITUTE(SUBSTITUTE(SUBSTITUTE(SUBSTITUTE(SUBSTITUTE(SUBSTITUTE(SUBSTITUTE(SUBSTITUTE(UPPER(TRIM(A177)),"Á","A"),"À","A"),"Â","A"),"Ã","A"),"É","E"),"Ê","E"),"Í","I"),"Ó","O"),"Ô","O"),"Õ","O"),"Ú","U"),"Ü","U"),"Ç","C"))</f>
        <v/>
      </c>
      <c r="I177" s="28" t="str">
        <f aca="false">IF(B177="","",IF(LEN(SUBSTITUTE(SUBSTITUTE(SUBSTITUTE(SUBSTITUTE(TRIM(B177),"*",""),".",""),"-","")," ",""))=11,MID(SUBSTITUTE(SUBSTITUTE(SUBSTITUTE(SUBSTITUTE(TRIM(B177),"*",""),".",""),"-","")," ",""),4,6),SUBSTITUTE(SUBSTITUTE(SUBSTITUTE(SUBSTITUTE(TRIM(B177),"*",""),".",""),"-","")," ","")))</f>
        <v/>
      </c>
      <c r="J177" s="28" t="str">
        <f aca="false">IF(OR(H177="",I177=""),"",H177&amp;"|"&amp;I177)</f>
        <v/>
      </c>
      <c r="K177" s="19" t="str">
        <f aca="false">IF(H177="","",IF(J177&lt;&gt;"",COUNTIF(Socios!$J:$J,J177),IF(COUNTIF(Socios!$H:$H,H177)&gt;0,"nome igual em Socios: confira o CPF","sem CPF: não cruzado")))</f>
        <v/>
      </c>
      <c r="L177" s="27"/>
      <c r="M177" s="5"/>
    </row>
    <row r="178" customFormat="false" ht="15" hidden="false" customHeight="false" outlineLevel="0" collapsed="false">
      <c r="A178" s="5"/>
      <c r="B178" s="27"/>
      <c r="C178" s="5"/>
      <c r="D178" s="5"/>
      <c r="E178" s="18"/>
      <c r="F178" s="14"/>
      <c r="G178" s="5"/>
      <c r="H178" s="28" t="str">
        <f aca="false">IF(A178="","",SUBSTITUTE(SUBSTITUTE(SUBSTITUTE(SUBSTITUTE(SUBSTITUTE(SUBSTITUTE(SUBSTITUTE(SUBSTITUTE(SUBSTITUTE(SUBSTITUTE(SUBSTITUTE(SUBSTITUTE(SUBSTITUTE(UPPER(TRIM(A178)),"Á","A"),"À","A"),"Â","A"),"Ã","A"),"É","E"),"Ê","E"),"Í","I"),"Ó","O"),"Ô","O"),"Õ","O"),"Ú","U"),"Ü","U"),"Ç","C"))</f>
        <v/>
      </c>
      <c r="I178" s="28" t="str">
        <f aca="false">IF(B178="","",IF(LEN(SUBSTITUTE(SUBSTITUTE(SUBSTITUTE(SUBSTITUTE(TRIM(B178),"*",""),".",""),"-","")," ",""))=11,MID(SUBSTITUTE(SUBSTITUTE(SUBSTITUTE(SUBSTITUTE(TRIM(B178),"*",""),".",""),"-","")," ",""),4,6),SUBSTITUTE(SUBSTITUTE(SUBSTITUTE(SUBSTITUTE(TRIM(B178),"*",""),".",""),"-","")," ","")))</f>
        <v/>
      </c>
      <c r="J178" s="28" t="str">
        <f aca="false">IF(OR(H178="",I178=""),"",H178&amp;"|"&amp;I178)</f>
        <v/>
      </c>
      <c r="K178" s="19" t="str">
        <f aca="false">IF(H178="","",IF(J178&lt;&gt;"",COUNTIF(Socios!$J:$J,J178),IF(COUNTIF(Socios!$H:$H,H178)&gt;0,"nome igual em Socios: confira o CPF","sem CPF: não cruzado")))</f>
        <v/>
      </c>
      <c r="L178" s="27"/>
      <c r="M178" s="5"/>
    </row>
    <row r="179" customFormat="false" ht="15" hidden="false" customHeight="false" outlineLevel="0" collapsed="false">
      <c r="A179" s="5"/>
      <c r="B179" s="27"/>
      <c r="C179" s="5"/>
      <c r="D179" s="5"/>
      <c r="E179" s="18"/>
      <c r="F179" s="14"/>
      <c r="G179" s="5"/>
      <c r="H179" s="28" t="str">
        <f aca="false">IF(A179="","",SUBSTITUTE(SUBSTITUTE(SUBSTITUTE(SUBSTITUTE(SUBSTITUTE(SUBSTITUTE(SUBSTITUTE(SUBSTITUTE(SUBSTITUTE(SUBSTITUTE(SUBSTITUTE(SUBSTITUTE(SUBSTITUTE(UPPER(TRIM(A179)),"Á","A"),"À","A"),"Â","A"),"Ã","A"),"É","E"),"Ê","E"),"Í","I"),"Ó","O"),"Ô","O"),"Õ","O"),"Ú","U"),"Ü","U"),"Ç","C"))</f>
        <v/>
      </c>
      <c r="I179" s="28" t="str">
        <f aca="false">IF(B179="","",IF(LEN(SUBSTITUTE(SUBSTITUTE(SUBSTITUTE(SUBSTITUTE(TRIM(B179),"*",""),".",""),"-","")," ",""))=11,MID(SUBSTITUTE(SUBSTITUTE(SUBSTITUTE(SUBSTITUTE(TRIM(B179),"*",""),".",""),"-","")," ",""),4,6),SUBSTITUTE(SUBSTITUTE(SUBSTITUTE(SUBSTITUTE(TRIM(B179),"*",""),".",""),"-","")," ","")))</f>
        <v/>
      </c>
      <c r="J179" s="28" t="str">
        <f aca="false">IF(OR(H179="",I179=""),"",H179&amp;"|"&amp;I179)</f>
        <v/>
      </c>
      <c r="K179" s="19" t="str">
        <f aca="false">IF(H179="","",IF(J179&lt;&gt;"",COUNTIF(Socios!$J:$J,J179),IF(COUNTIF(Socios!$H:$H,H179)&gt;0,"nome igual em Socios: confira o CPF","sem CPF: não cruzado")))</f>
        <v/>
      </c>
      <c r="L179" s="27"/>
      <c r="M179" s="5"/>
    </row>
    <row r="180" customFormat="false" ht="15" hidden="false" customHeight="false" outlineLevel="0" collapsed="false">
      <c r="A180" s="5"/>
      <c r="B180" s="27"/>
      <c r="C180" s="5"/>
      <c r="D180" s="5"/>
      <c r="E180" s="18"/>
      <c r="F180" s="14"/>
      <c r="G180" s="5"/>
      <c r="H180" s="28" t="str">
        <f aca="false">IF(A180="","",SUBSTITUTE(SUBSTITUTE(SUBSTITUTE(SUBSTITUTE(SUBSTITUTE(SUBSTITUTE(SUBSTITUTE(SUBSTITUTE(SUBSTITUTE(SUBSTITUTE(SUBSTITUTE(SUBSTITUTE(SUBSTITUTE(UPPER(TRIM(A180)),"Á","A"),"À","A"),"Â","A"),"Ã","A"),"É","E"),"Ê","E"),"Í","I"),"Ó","O"),"Ô","O"),"Õ","O"),"Ú","U"),"Ü","U"),"Ç","C"))</f>
        <v/>
      </c>
      <c r="I180" s="28" t="str">
        <f aca="false">IF(B180="","",IF(LEN(SUBSTITUTE(SUBSTITUTE(SUBSTITUTE(SUBSTITUTE(TRIM(B180),"*",""),".",""),"-","")," ",""))=11,MID(SUBSTITUTE(SUBSTITUTE(SUBSTITUTE(SUBSTITUTE(TRIM(B180),"*",""),".",""),"-","")," ",""),4,6),SUBSTITUTE(SUBSTITUTE(SUBSTITUTE(SUBSTITUTE(TRIM(B180),"*",""),".",""),"-","")," ","")))</f>
        <v/>
      </c>
      <c r="J180" s="28" t="str">
        <f aca="false">IF(OR(H180="",I180=""),"",H180&amp;"|"&amp;I180)</f>
        <v/>
      </c>
      <c r="K180" s="19" t="str">
        <f aca="false">IF(H180="","",IF(J180&lt;&gt;"",COUNTIF(Socios!$J:$J,J180),IF(COUNTIF(Socios!$H:$H,H180)&gt;0,"nome igual em Socios: confira o CPF","sem CPF: não cruzado")))</f>
        <v/>
      </c>
      <c r="L180" s="27"/>
      <c r="M180" s="5"/>
    </row>
    <row r="181" customFormat="false" ht="15" hidden="false" customHeight="false" outlineLevel="0" collapsed="false">
      <c r="A181" s="5"/>
      <c r="B181" s="27"/>
      <c r="C181" s="5"/>
      <c r="D181" s="5"/>
      <c r="E181" s="18"/>
      <c r="F181" s="14"/>
      <c r="G181" s="5"/>
      <c r="H181" s="28" t="str">
        <f aca="false">IF(A181="","",SUBSTITUTE(SUBSTITUTE(SUBSTITUTE(SUBSTITUTE(SUBSTITUTE(SUBSTITUTE(SUBSTITUTE(SUBSTITUTE(SUBSTITUTE(SUBSTITUTE(SUBSTITUTE(SUBSTITUTE(SUBSTITUTE(UPPER(TRIM(A181)),"Á","A"),"À","A"),"Â","A"),"Ã","A"),"É","E"),"Ê","E"),"Í","I"),"Ó","O"),"Ô","O"),"Õ","O"),"Ú","U"),"Ü","U"),"Ç","C"))</f>
        <v/>
      </c>
      <c r="I181" s="28" t="str">
        <f aca="false">IF(B181="","",IF(LEN(SUBSTITUTE(SUBSTITUTE(SUBSTITUTE(SUBSTITUTE(TRIM(B181),"*",""),".",""),"-","")," ",""))=11,MID(SUBSTITUTE(SUBSTITUTE(SUBSTITUTE(SUBSTITUTE(TRIM(B181),"*",""),".",""),"-","")," ",""),4,6),SUBSTITUTE(SUBSTITUTE(SUBSTITUTE(SUBSTITUTE(TRIM(B181),"*",""),".",""),"-","")," ","")))</f>
        <v/>
      </c>
      <c r="J181" s="28" t="str">
        <f aca="false">IF(OR(H181="",I181=""),"",H181&amp;"|"&amp;I181)</f>
        <v/>
      </c>
      <c r="K181" s="19" t="str">
        <f aca="false">IF(H181="","",IF(J181&lt;&gt;"",COUNTIF(Socios!$J:$J,J181),IF(COUNTIF(Socios!$H:$H,H181)&gt;0,"nome igual em Socios: confira o CPF","sem CPF: não cruzado")))</f>
        <v/>
      </c>
      <c r="L181" s="27"/>
      <c r="M181" s="5"/>
    </row>
    <row r="182" customFormat="false" ht="15" hidden="false" customHeight="false" outlineLevel="0" collapsed="false">
      <c r="A182" s="5"/>
      <c r="B182" s="27"/>
      <c r="C182" s="5"/>
      <c r="D182" s="5"/>
      <c r="E182" s="18"/>
      <c r="F182" s="14"/>
      <c r="G182" s="5"/>
      <c r="H182" s="28" t="str">
        <f aca="false">IF(A182="","",SUBSTITUTE(SUBSTITUTE(SUBSTITUTE(SUBSTITUTE(SUBSTITUTE(SUBSTITUTE(SUBSTITUTE(SUBSTITUTE(SUBSTITUTE(SUBSTITUTE(SUBSTITUTE(SUBSTITUTE(SUBSTITUTE(UPPER(TRIM(A182)),"Á","A"),"À","A"),"Â","A"),"Ã","A"),"É","E"),"Ê","E"),"Í","I"),"Ó","O"),"Ô","O"),"Õ","O"),"Ú","U"),"Ü","U"),"Ç","C"))</f>
        <v/>
      </c>
      <c r="I182" s="28" t="str">
        <f aca="false">IF(B182="","",IF(LEN(SUBSTITUTE(SUBSTITUTE(SUBSTITUTE(SUBSTITUTE(TRIM(B182),"*",""),".",""),"-","")," ",""))=11,MID(SUBSTITUTE(SUBSTITUTE(SUBSTITUTE(SUBSTITUTE(TRIM(B182),"*",""),".",""),"-","")," ",""),4,6),SUBSTITUTE(SUBSTITUTE(SUBSTITUTE(SUBSTITUTE(TRIM(B182),"*",""),".",""),"-","")," ","")))</f>
        <v/>
      </c>
      <c r="J182" s="28" t="str">
        <f aca="false">IF(OR(H182="",I182=""),"",H182&amp;"|"&amp;I182)</f>
        <v/>
      </c>
      <c r="K182" s="19" t="str">
        <f aca="false">IF(H182="","",IF(J182&lt;&gt;"",COUNTIF(Socios!$J:$J,J182),IF(COUNTIF(Socios!$H:$H,H182)&gt;0,"nome igual em Socios: confira o CPF","sem CPF: não cruzado")))</f>
        <v/>
      </c>
      <c r="L182" s="27"/>
      <c r="M182" s="5"/>
    </row>
    <row r="183" customFormat="false" ht="15" hidden="false" customHeight="false" outlineLevel="0" collapsed="false">
      <c r="A183" s="5"/>
      <c r="B183" s="27"/>
      <c r="C183" s="5"/>
      <c r="D183" s="5"/>
      <c r="E183" s="18"/>
      <c r="F183" s="14"/>
      <c r="G183" s="5"/>
      <c r="H183" s="28" t="str">
        <f aca="false">IF(A183="","",SUBSTITUTE(SUBSTITUTE(SUBSTITUTE(SUBSTITUTE(SUBSTITUTE(SUBSTITUTE(SUBSTITUTE(SUBSTITUTE(SUBSTITUTE(SUBSTITUTE(SUBSTITUTE(SUBSTITUTE(SUBSTITUTE(UPPER(TRIM(A183)),"Á","A"),"À","A"),"Â","A"),"Ã","A"),"É","E"),"Ê","E"),"Í","I"),"Ó","O"),"Ô","O"),"Õ","O"),"Ú","U"),"Ü","U"),"Ç","C"))</f>
        <v/>
      </c>
      <c r="I183" s="28" t="str">
        <f aca="false">IF(B183="","",IF(LEN(SUBSTITUTE(SUBSTITUTE(SUBSTITUTE(SUBSTITUTE(TRIM(B183),"*",""),".",""),"-","")," ",""))=11,MID(SUBSTITUTE(SUBSTITUTE(SUBSTITUTE(SUBSTITUTE(TRIM(B183),"*",""),".",""),"-","")," ",""),4,6),SUBSTITUTE(SUBSTITUTE(SUBSTITUTE(SUBSTITUTE(TRIM(B183),"*",""),".",""),"-","")," ","")))</f>
        <v/>
      </c>
      <c r="J183" s="28" t="str">
        <f aca="false">IF(OR(H183="",I183=""),"",H183&amp;"|"&amp;I183)</f>
        <v/>
      </c>
      <c r="K183" s="19" t="str">
        <f aca="false">IF(H183="","",IF(J183&lt;&gt;"",COUNTIF(Socios!$J:$J,J183),IF(COUNTIF(Socios!$H:$H,H183)&gt;0,"nome igual em Socios: confira o CPF","sem CPF: não cruzado")))</f>
        <v/>
      </c>
      <c r="L183" s="27"/>
      <c r="M183" s="5"/>
    </row>
    <row r="184" customFormat="false" ht="15" hidden="false" customHeight="false" outlineLevel="0" collapsed="false">
      <c r="A184" s="5"/>
      <c r="B184" s="27"/>
      <c r="C184" s="5"/>
      <c r="D184" s="5"/>
      <c r="E184" s="18"/>
      <c r="F184" s="14"/>
      <c r="G184" s="5"/>
      <c r="H184" s="28" t="str">
        <f aca="false">IF(A184="","",SUBSTITUTE(SUBSTITUTE(SUBSTITUTE(SUBSTITUTE(SUBSTITUTE(SUBSTITUTE(SUBSTITUTE(SUBSTITUTE(SUBSTITUTE(SUBSTITUTE(SUBSTITUTE(SUBSTITUTE(SUBSTITUTE(UPPER(TRIM(A184)),"Á","A"),"À","A"),"Â","A"),"Ã","A"),"É","E"),"Ê","E"),"Í","I"),"Ó","O"),"Ô","O"),"Õ","O"),"Ú","U"),"Ü","U"),"Ç","C"))</f>
        <v/>
      </c>
      <c r="I184" s="28" t="str">
        <f aca="false">IF(B184="","",IF(LEN(SUBSTITUTE(SUBSTITUTE(SUBSTITUTE(SUBSTITUTE(TRIM(B184),"*",""),".",""),"-","")," ",""))=11,MID(SUBSTITUTE(SUBSTITUTE(SUBSTITUTE(SUBSTITUTE(TRIM(B184),"*",""),".",""),"-","")," ",""),4,6),SUBSTITUTE(SUBSTITUTE(SUBSTITUTE(SUBSTITUTE(TRIM(B184),"*",""),".",""),"-","")," ","")))</f>
        <v/>
      </c>
      <c r="J184" s="28" t="str">
        <f aca="false">IF(OR(H184="",I184=""),"",H184&amp;"|"&amp;I184)</f>
        <v/>
      </c>
      <c r="K184" s="19" t="str">
        <f aca="false">IF(H184="","",IF(J184&lt;&gt;"",COUNTIF(Socios!$J:$J,J184),IF(COUNTIF(Socios!$H:$H,H184)&gt;0,"nome igual em Socios: confira o CPF","sem CPF: não cruzado")))</f>
        <v/>
      </c>
      <c r="L184" s="27"/>
      <c r="M184" s="5"/>
    </row>
    <row r="185" customFormat="false" ht="15" hidden="false" customHeight="false" outlineLevel="0" collapsed="false">
      <c r="A185" s="5"/>
      <c r="B185" s="27"/>
      <c r="C185" s="5"/>
      <c r="D185" s="5"/>
      <c r="E185" s="18"/>
      <c r="F185" s="14"/>
      <c r="G185" s="5"/>
      <c r="H185" s="28" t="str">
        <f aca="false">IF(A185="","",SUBSTITUTE(SUBSTITUTE(SUBSTITUTE(SUBSTITUTE(SUBSTITUTE(SUBSTITUTE(SUBSTITUTE(SUBSTITUTE(SUBSTITUTE(SUBSTITUTE(SUBSTITUTE(SUBSTITUTE(SUBSTITUTE(UPPER(TRIM(A185)),"Á","A"),"À","A"),"Â","A"),"Ã","A"),"É","E"),"Ê","E"),"Í","I"),"Ó","O"),"Ô","O"),"Õ","O"),"Ú","U"),"Ü","U"),"Ç","C"))</f>
        <v/>
      </c>
      <c r="I185" s="28" t="str">
        <f aca="false">IF(B185="","",IF(LEN(SUBSTITUTE(SUBSTITUTE(SUBSTITUTE(SUBSTITUTE(TRIM(B185),"*",""),".",""),"-","")," ",""))=11,MID(SUBSTITUTE(SUBSTITUTE(SUBSTITUTE(SUBSTITUTE(TRIM(B185),"*",""),".",""),"-","")," ",""),4,6),SUBSTITUTE(SUBSTITUTE(SUBSTITUTE(SUBSTITUTE(TRIM(B185),"*",""),".",""),"-","")," ","")))</f>
        <v/>
      </c>
      <c r="J185" s="28" t="str">
        <f aca="false">IF(OR(H185="",I185=""),"",H185&amp;"|"&amp;I185)</f>
        <v/>
      </c>
      <c r="K185" s="19" t="str">
        <f aca="false">IF(H185="","",IF(J185&lt;&gt;"",COUNTIF(Socios!$J:$J,J185),IF(COUNTIF(Socios!$H:$H,H185)&gt;0,"nome igual em Socios: confira o CPF","sem CPF: não cruzado")))</f>
        <v/>
      </c>
      <c r="L185" s="27"/>
      <c r="M185" s="5"/>
    </row>
    <row r="186" customFormat="false" ht="15" hidden="false" customHeight="false" outlineLevel="0" collapsed="false">
      <c r="A186" s="5"/>
      <c r="B186" s="27"/>
      <c r="C186" s="5"/>
      <c r="D186" s="5"/>
      <c r="E186" s="18"/>
      <c r="F186" s="14"/>
      <c r="G186" s="5"/>
      <c r="H186" s="28" t="str">
        <f aca="false">IF(A186="","",SUBSTITUTE(SUBSTITUTE(SUBSTITUTE(SUBSTITUTE(SUBSTITUTE(SUBSTITUTE(SUBSTITUTE(SUBSTITUTE(SUBSTITUTE(SUBSTITUTE(SUBSTITUTE(SUBSTITUTE(SUBSTITUTE(UPPER(TRIM(A186)),"Á","A"),"À","A"),"Â","A"),"Ã","A"),"É","E"),"Ê","E"),"Í","I"),"Ó","O"),"Ô","O"),"Õ","O"),"Ú","U"),"Ü","U"),"Ç","C"))</f>
        <v/>
      </c>
      <c r="I186" s="28" t="str">
        <f aca="false">IF(B186="","",IF(LEN(SUBSTITUTE(SUBSTITUTE(SUBSTITUTE(SUBSTITUTE(TRIM(B186),"*",""),".",""),"-","")," ",""))=11,MID(SUBSTITUTE(SUBSTITUTE(SUBSTITUTE(SUBSTITUTE(TRIM(B186),"*",""),".",""),"-","")," ",""),4,6),SUBSTITUTE(SUBSTITUTE(SUBSTITUTE(SUBSTITUTE(TRIM(B186),"*",""),".",""),"-","")," ","")))</f>
        <v/>
      </c>
      <c r="J186" s="28" t="str">
        <f aca="false">IF(OR(H186="",I186=""),"",H186&amp;"|"&amp;I186)</f>
        <v/>
      </c>
      <c r="K186" s="19" t="str">
        <f aca="false">IF(H186="","",IF(J186&lt;&gt;"",COUNTIF(Socios!$J:$J,J186),IF(COUNTIF(Socios!$H:$H,H186)&gt;0,"nome igual em Socios: confira o CPF","sem CPF: não cruzado")))</f>
        <v/>
      </c>
      <c r="L186" s="27"/>
      <c r="M186" s="5"/>
    </row>
    <row r="187" customFormat="false" ht="15" hidden="false" customHeight="false" outlineLevel="0" collapsed="false">
      <c r="A187" s="5"/>
      <c r="B187" s="27"/>
      <c r="C187" s="5"/>
      <c r="D187" s="5"/>
      <c r="E187" s="18"/>
      <c r="F187" s="14"/>
      <c r="G187" s="5"/>
      <c r="H187" s="28" t="str">
        <f aca="false">IF(A187="","",SUBSTITUTE(SUBSTITUTE(SUBSTITUTE(SUBSTITUTE(SUBSTITUTE(SUBSTITUTE(SUBSTITUTE(SUBSTITUTE(SUBSTITUTE(SUBSTITUTE(SUBSTITUTE(SUBSTITUTE(SUBSTITUTE(UPPER(TRIM(A187)),"Á","A"),"À","A"),"Â","A"),"Ã","A"),"É","E"),"Ê","E"),"Í","I"),"Ó","O"),"Ô","O"),"Õ","O"),"Ú","U"),"Ü","U"),"Ç","C"))</f>
        <v/>
      </c>
      <c r="I187" s="28" t="str">
        <f aca="false">IF(B187="","",IF(LEN(SUBSTITUTE(SUBSTITUTE(SUBSTITUTE(SUBSTITUTE(TRIM(B187),"*",""),".",""),"-","")," ",""))=11,MID(SUBSTITUTE(SUBSTITUTE(SUBSTITUTE(SUBSTITUTE(TRIM(B187),"*",""),".",""),"-","")," ",""),4,6),SUBSTITUTE(SUBSTITUTE(SUBSTITUTE(SUBSTITUTE(TRIM(B187),"*",""),".",""),"-","")," ","")))</f>
        <v/>
      </c>
      <c r="J187" s="28" t="str">
        <f aca="false">IF(OR(H187="",I187=""),"",H187&amp;"|"&amp;I187)</f>
        <v/>
      </c>
      <c r="K187" s="19" t="str">
        <f aca="false">IF(H187="","",IF(J187&lt;&gt;"",COUNTIF(Socios!$J:$J,J187),IF(COUNTIF(Socios!$H:$H,H187)&gt;0,"nome igual em Socios: confira o CPF","sem CPF: não cruzado")))</f>
        <v/>
      </c>
      <c r="L187" s="27"/>
      <c r="M187" s="5"/>
    </row>
    <row r="188" customFormat="false" ht="15" hidden="false" customHeight="false" outlineLevel="0" collapsed="false">
      <c r="A188" s="5"/>
      <c r="B188" s="27"/>
      <c r="C188" s="5"/>
      <c r="D188" s="5"/>
      <c r="E188" s="18"/>
      <c r="F188" s="14"/>
      <c r="G188" s="5"/>
      <c r="H188" s="28" t="str">
        <f aca="false">IF(A188="","",SUBSTITUTE(SUBSTITUTE(SUBSTITUTE(SUBSTITUTE(SUBSTITUTE(SUBSTITUTE(SUBSTITUTE(SUBSTITUTE(SUBSTITUTE(SUBSTITUTE(SUBSTITUTE(SUBSTITUTE(SUBSTITUTE(UPPER(TRIM(A188)),"Á","A"),"À","A"),"Â","A"),"Ã","A"),"É","E"),"Ê","E"),"Í","I"),"Ó","O"),"Ô","O"),"Õ","O"),"Ú","U"),"Ü","U"),"Ç","C"))</f>
        <v/>
      </c>
      <c r="I188" s="28" t="str">
        <f aca="false">IF(B188="","",IF(LEN(SUBSTITUTE(SUBSTITUTE(SUBSTITUTE(SUBSTITUTE(TRIM(B188),"*",""),".",""),"-","")," ",""))=11,MID(SUBSTITUTE(SUBSTITUTE(SUBSTITUTE(SUBSTITUTE(TRIM(B188),"*",""),".",""),"-","")," ",""),4,6),SUBSTITUTE(SUBSTITUTE(SUBSTITUTE(SUBSTITUTE(TRIM(B188),"*",""),".",""),"-","")," ","")))</f>
        <v/>
      </c>
      <c r="J188" s="28" t="str">
        <f aca="false">IF(OR(H188="",I188=""),"",H188&amp;"|"&amp;I188)</f>
        <v/>
      </c>
      <c r="K188" s="19" t="str">
        <f aca="false">IF(H188="","",IF(J188&lt;&gt;"",COUNTIF(Socios!$J:$J,J188),IF(COUNTIF(Socios!$H:$H,H188)&gt;0,"nome igual em Socios: confira o CPF","sem CPF: não cruzado")))</f>
        <v/>
      </c>
      <c r="L188" s="27"/>
      <c r="M188" s="5"/>
    </row>
    <row r="189" customFormat="false" ht="15" hidden="false" customHeight="false" outlineLevel="0" collapsed="false">
      <c r="A189" s="5"/>
      <c r="B189" s="27"/>
      <c r="C189" s="5"/>
      <c r="D189" s="5"/>
      <c r="E189" s="18"/>
      <c r="F189" s="14"/>
      <c r="G189" s="5"/>
      <c r="H189" s="28" t="str">
        <f aca="false">IF(A189="","",SUBSTITUTE(SUBSTITUTE(SUBSTITUTE(SUBSTITUTE(SUBSTITUTE(SUBSTITUTE(SUBSTITUTE(SUBSTITUTE(SUBSTITUTE(SUBSTITUTE(SUBSTITUTE(SUBSTITUTE(SUBSTITUTE(UPPER(TRIM(A189)),"Á","A"),"À","A"),"Â","A"),"Ã","A"),"É","E"),"Ê","E"),"Í","I"),"Ó","O"),"Ô","O"),"Õ","O"),"Ú","U"),"Ü","U"),"Ç","C"))</f>
        <v/>
      </c>
      <c r="I189" s="28" t="str">
        <f aca="false">IF(B189="","",IF(LEN(SUBSTITUTE(SUBSTITUTE(SUBSTITUTE(SUBSTITUTE(TRIM(B189),"*",""),".",""),"-","")," ",""))=11,MID(SUBSTITUTE(SUBSTITUTE(SUBSTITUTE(SUBSTITUTE(TRIM(B189),"*",""),".",""),"-","")," ",""),4,6),SUBSTITUTE(SUBSTITUTE(SUBSTITUTE(SUBSTITUTE(TRIM(B189),"*",""),".",""),"-","")," ","")))</f>
        <v/>
      </c>
      <c r="J189" s="28" t="str">
        <f aca="false">IF(OR(H189="",I189=""),"",H189&amp;"|"&amp;I189)</f>
        <v/>
      </c>
      <c r="K189" s="19" t="str">
        <f aca="false">IF(H189="","",IF(J189&lt;&gt;"",COUNTIF(Socios!$J:$J,J189),IF(COUNTIF(Socios!$H:$H,H189)&gt;0,"nome igual em Socios: confira o CPF","sem CPF: não cruzado")))</f>
        <v/>
      </c>
      <c r="L189" s="27"/>
      <c r="M189" s="5"/>
    </row>
    <row r="190" customFormat="false" ht="15" hidden="false" customHeight="false" outlineLevel="0" collapsed="false">
      <c r="A190" s="5"/>
      <c r="B190" s="27"/>
      <c r="C190" s="5"/>
      <c r="D190" s="5"/>
      <c r="E190" s="18"/>
      <c r="F190" s="14"/>
      <c r="G190" s="5"/>
      <c r="H190" s="28" t="str">
        <f aca="false">IF(A190="","",SUBSTITUTE(SUBSTITUTE(SUBSTITUTE(SUBSTITUTE(SUBSTITUTE(SUBSTITUTE(SUBSTITUTE(SUBSTITUTE(SUBSTITUTE(SUBSTITUTE(SUBSTITUTE(SUBSTITUTE(SUBSTITUTE(UPPER(TRIM(A190)),"Á","A"),"À","A"),"Â","A"),"Ã","A"),"É","E"),"Ê","E"),"Í","I"),"Ó","O"),"Ô","O"),"Õ","O"),"Ú","U"),"Ü","U"),"Ç","C"))</f>
        <v/>
      </c>
      <c r="I190" s="28" t="str">
        <f aca="false">IF(B190="","",IF(LEN(SUBSTITUTE(SUBSTITUTE(SUBSTITUTE(SUBSTITUTE(TRIM(B190),"*",""),".",""),"-","")," ",""))=11,MID(SUBSTITUTE(SUBSTITUTE(SUBSTITUTE(SUBSTITUTE(TRIM(B190),"*",""),".",""),"-","")," ",""),4,6),SUBSTITUTE(SUBSTITUTE(SUBSTITUTE(SUBSTITUTE(TRIM(B190),"*",""),".",""),"-","")," ","")))</f>
        <v/>
      </c>
      <c r="J190" s="28" t="str">
        <f aca="false">IF(OR(H190="",I190=""),"",H190&amp;"|"&amp;I190)</f>
        <v/>
      </c>
      <c r="K190" s="19" t="str">
        <f aca="false">IF(H190="","",IF(J190&lt;&gt;"",COUNTIF(Socios!$J:$J,J190),IF(COUNTIF(Socios!$H:$H,H190)&gt;0,"nome igual em Socios: confira o CPF","sem CPF: não cruzado")))</f>
        <v/>
      </c>
      <c r="L190" s="27"/>
      <c r="M190" s="5"/>
    </row>
    <row r="191" customFormat="false" ht="15" hidden="false" customHeight="false" outlineLevel="0" collapsed="false">
      <c r="A191" s="5"/>
      <c r="B191" s="27"/>
      <c r="C191" s="5"/>
      <c r="D191" s="5"/>
      <c r="E191" s="18"/>
      <c r="F191" s="14"/>
      <c r="G191" s="5"/>
      <c r="H191" s="28" t="str">
        <f aca="false">IF(A191="","",SUBSTITUTE(SUBSTITUTE(SUBSTITUTE(SUBSTITUTE(SUBSTITUTE(SUBSTITUTE(SUBSTITUTE(SUBSTITUTE(SUBSTITUTE(SUBSTITUTE(SUBSTITUTE(SUBSTITUTE(SUBSTITUTE(UPPER(TRIM(A191)),"Á","A"),"À","A"),"Â","A"),"Ã","A"),"É","E"),"Ê","E"),"Í","I"),"Ó","O"),"Ô","O"),"Õ","O"),"Ú","U"),"Ü","U"),"Ç","C"))</f>
        <v/>
      </c>
      <c r="I191" s="28" t="str">
        <f aca="false">IF(B191="","",IF(LEN(SUBSTITUTE(SUBSTITUTE(SUBSTITUTE(SUBSTITUTE(TRIM(B191),"*",""),".",""),"-","")," ",""))=11,MID(SUBSTITUTE(SUBSTITUTE(SUBSTITUTE(SUBSTITUTE(TRIM(B191),"*",""),".",""),"-","")," ",""),4,6),SUBSTITUTE(SUBSTITUTE(SUBSTITUTE(SUBSTITUTE(TRIM(B191),"*",""),".",""),"-","")," ","")))</f>
        <v/>
      </c>
      <c r="J191" s="28" t="str">
        <f aca="false">IF(OR(H191="",I191=""),"",H191&amp;"|"&amp;I191)</f>
        <v/>
      </c>
      <c r="K191" s="19" t="str">
        <f aca="false">IF(H191="","",IF(J191&lt;&gt;"",COUNTIF(Socios!$J:$J,J191),IF(COUNTIF(Socios!$H:$H,H191)&gt;0,"nome igual em Socios: confira o CPF","sem CPF: não cruzado")))</f>
        <v/>
      </c>
      <c r="L191" s="27"/>
      <c r="M191" s="5"/>
    </row>
    <row r="192" customFormat="false" ht="15" hidden="false" customHeight="false" outlineLevel="0" collapsed="false">
      <c r="A192" s="5"/>
      <c r="B192" s="27"/>
      <c r="C192" s="5"/>
      <c r="D192" s="5"/>
      <c r="E192" s="18"/>
      <c r="F192" s="14"/>
      <c r="G192" s="5"/>
      <c r="H192" s="28" t="str">
        <f aca="false">IF(A192="","",SUBSTITUTE(SUBSTITUTE(SUBSTITUTE(SUBSTITUTE(SUBSTITUTE(SUBSTITUTE(SUBSTITUTE(SUBSTITUTE(SUBSTITUTE(SUBSTITUTE(SUBSTITUTE(SUBSTITUTE(SUBSTITUTE(UPPER(TRIM(A192)),"Á","A"),"À","A"),"Â","A"),"Ã","A"),"É","E"),"Ê","E"),"Í","I"),"Ó","O"),"Ô","O"),"Õ","O"),"Ú","U"),"Ü","U"),"Ç","C"))</f>
        <v/>
      </c>
      <c r="I192" s="28" t="str">
        <f aca="false">IF(B192="","",IF(LEN(SUBSTITUTE(SUBSTITUTE(SUBSTITUTE(SUBSTITUTE(TRIM(B192),"*",""),".",""),"-","")," ",""))=11,MID(SUBSTITUTE(SUBSTITUTE(SUBSTITUTE(SUBSTITUTE(TRIM(B192),"*",""),".",""),"-","")," ",""),4,6),SUBSTITUTE(SUBSTITUTE(SUBSTITUTE(SUBSTITUTE(TRIM(B192),"*",""),".",""),"-","")," ","")))</f>
        <v/>
      </c>
      <c r="J192" s="28" t="str">
        <f aca="false">IF(OR(H192="",I192=""),"",H192&amp;"|"&amp;I192)</f>
        <v/>
      </c>
      <c r="K192" s="19" t="str">
        <f aca="false">IF(H192="","",IF(J192&lt;&gt;"",COUNTIF(Socios!$J:$J,J192),IF(COUNTIF(Socios!$H:$H,H192)&gt;0,"nome igual em Socios: confira o CPF","sem CPF: não cruzado")))</f>
        <v/>
      </c>
      <c r="L192" s="27"/>
      <c r="M192" s="5"/>
    </row>
    <row r="193" customFormat="false" ht="15" hidden="false" customHeight="false" outlineLevel="0" collapsed="false">
      <c r="A193" s="5"/>
      <c r="B193" s="27"/>
      <c r="C193" s="5"/>
      <c r="D193" s="5"/>
      <c r="E193" s="18"/>
      <c r="F193" s="14"/>
      <c r="G193" s="5"/>
      <c r="H193" s="28" t="str">
        <f aca="false">IF(A193="","",SUBSTITUTE(SUBSTITUTE(SUBSTITUTE(SUBSTITUTE(SUBSTITUTE(SUBSTITUTE(SUBSTITUTE(SUBSTITUTE(SUBSTITUTE(SUBSTITUTE(SUBSTITUTE(SUBSTITUTE(SUBSTITUTE(UPPER(TRIM(A193)),"Á","A"),"À","A"),"Â","A"),"Ã","A"),"É","E"),"Ê","E"),"Í","I"),"Ó","O"),"Ô","O"),"Õ","O"),"Ú","U"),"Ü","U"),"Ç","C"))</f>
        <v/>
      </c>
      <c r="I193" s="28" t="str">
        <f aca="false">IF(B193="","",IF(LEN(SUBSTITUTE(SUBSTITUTE(SUBSTITUTE(SUBSTITUTE(TRIM(B193),"*",""),".",""),"-","")," ",""))=11,MID(SUBSTITUTE(SUBSTITUTE(SUBSTITUTE(SUBSTITUTE(TRIM(B193),"*",""),".",""),"-","")," ",""),4,6),SUBSTITUTE(SUBSTITUTE(SUBSTITUTE(SUBSTITUTE(TRIM(B193),"*",""),".",""),"-","")," ","")))</f>
        <v/>
      </c>
      <c r="J193" s="28" t="str">
        <f aca="false">IF(OR(H193="",I193=""),"",H193&amp;"|"&amp;I193)</f>
        <v/>
      </c>
      <c r="K193" s="19" t="str">
        <f aca="false">IF(H193="","",IF(J193&lt;&gt;"",COUNTIF(Socios!$J:$J,J193),IF(COUNTIF(Socios!$H:$H,H193)&gt;0,"nome igual em Socios: confira o CPF","sem CPF: não cruzado")))</f>
        <v/>
      </c>
      <c r="L193" s="27"/>
      <c r="M193" s="5"/>
    </row>
    <row r="194" customFormat="false" ht="15" hidden="false" customHeight="false" outlineLevel="0" collapsed="false">
      <c r="A194" s="5"/>
      <c r="B194" s="27"/>
      <c r="C194" s="5"/>
      <c r="D194" s="5"/>
      <c r="E194" s="18"/>
      <c r="F194" s="14"/>
      <c r="G194" s="5"/>
      <c r="H194" s="28" t="str">
        <f aca="false">IF(A194="","",SUBSTITUTE(SUBSTITUTE(SUBSTITUTE(SUBSTITUTE(SUBSTITUTE(SUBSTITUTE(SUBSTITUTE(SUBSTITUTE(SUBSTITUTE(SUBSTITUTE(SUBSTITUTE(SUBSTITUTE(SUBSTITUTE(UPPER(TRIM(A194)),"Á","A"),"À","A"),"Â","A"),"Ã","A"),"É","E"),"Ê","E"),"Í","I"),"Ó","O"),"Ô","O"),"Õ","O"),"Ú","U"),"Ü","U"),"Ç","C"))</f>
        <v/>
      </c>
      <c r="I194" s="28" t="str">
        <f aca="false">IF(B194="","",IF(LEN(SUBSTITUTE(SUBSTITUTE(SUBSTITUTE(SUBSTITUTE(TRIM(B194),"*",""),".",""),"-","")," ",""))=11,MID(SUBSTITUTE(SUBSTITUTE(SUBSTITUTE(SUBSTITUTE(TRIM(B194),"*",""),".",""),"-","")," ",""),4,6),SUBSTITUTE(SUBSTITUTE(SUBSTITUTE(SUBSTITUTE(TRIM(B194),"*",""),".",""),"-","")," ","")))</f>
        <v/>
      </c>
      <c r="J194" s="28" t="str">
        <f aca="false">IF(OR(H194="",I194=""),"",H194&amp;"|"&amp;I194)</f>
        <v/>
      </c>
      <c r="K194" s="19" t="str">
        <f aca="false">IF(H194="","",IF(J194&lt;&gt;"",COUNTIF(Socios!$J:$J,J194),IF(COUNTIF(Socios!$H:$H,H194)&gt;0,"nome igual em Socios: confira o CPF","sem CPF: não cruzado")))</f>
        <v/>
      </c>
      <c r="L194" s="27"/>
      <c r="M194" s="5"/>
    </row>
    <row r="195" customFormat="false" ht="15" hidden="false" customHeight="false" outlineLevel="0" collapsed="false">
      <c r="A195" s="5"/>
      <c r="B195" s="27"/>
      <c r="C195" s="5"/>
      <c r="D195" s="5"/>
      <c r="E195" s="18"/>
      <c r="F195" s="14"/>
      <c r="G195" s="5"/>
      <c r="H195" s="28" t="str">
        <f aca="false">IF(A195="","",SUBSTITUTE(SUBSTITUTE(SUBSTITUTE(SUBSTITUTE(SUBSTITUTE(SUBSTITUTE(SUBSTITUTE(SUBSTITUTE(SUBSTITUTE(SUBSTITUTE(SUBSTITUTE(SUBSTITUTE(SUBSTITUTE(UPPER(TRIM(A195)),"Á","A"),"À","A"),"Â","A"),"Ã","A"),"É","E"),"Ê","E"),"Í","I"),"Ó","O"),"Ô","O"),"Õ","O"),"Ú","U"),"Ü","U"),"Ç","C"))</f>
        <v/>
      </c>
      <c r="I195" s="28" t="str">
        <f aca="false">IF(B195="","",IF(LEN(SUBSTITUTE(SUBSTITUTE(SUBSTITUTE(SUBSTITUTE(TRIM(B195),"*",""),".",""),"-","")," ",""))=11,MID(SUBSTITUTE(SUBSTITUTE(SUBSTITUTE(SUBSTITUTE(TRIM(B195),"*",""),".",""),"-","")," ",""),4,6),SUBSTITUTE(SUBSTITUTE(SUBSTITUTE(SUBSTITUTE(TRIM(B195),"*",""),".",""),"-","")," ","")))</f>
        <v/>
      </c>
      <c r="J195" s="28" t="str">
        <f aca="false">IF(OR(H195="",I195=""),"",H195&amp;"|"&amp;I195)</f>
        <v/>
      </c>
      <c r="K195" s="19" t="str">
        <f aca="false">IF(H195="","",IF(J195&lt;&gt;"",COUNTIF(Socios!$J:$J,J195),IF(COUNTIF(Socios!$H:$H,H195)&gt;0,"nome igual em Socios: confira o CPF","sem CPF: não cruzado")))</f>
        <v/>
      </c>
      <c r="L195" s="27"/>
      <c r="M195" s="5"/>
    </row>
    <row r="196" customFormat="false" ht="15" hidden="false" customHeight="false" outlineLevel="0" collapsed="false">
      <c r="A196" s="5"/>
      <c r="B196" s="27"/>
      <c r="C196" s="5"/>
      <c r="D196" s="5"/>
      <c r="E196" s="18"/>
      <c r="F196" s="14"/>
      <c r="G196" s="5"/>
      <c r="H196" s="28" t="str">
        <f aca="false">IF(A196="","",SUBSTITUTE(SUBSTITUTE(SUBSTITUTE(SUBSTITUTE(SUBSTITUTE(SUBSTITUTE(SUBSTITUTE(SUBSTITUTE(SUBSTITUTE(SUBSTITUTE(SUBSTITUTE(SUBSTITUTE(SUBSTITUTE(UPPER(TRIM(A196)),"Á","A"),"À","A"),"Â","A"),"Ã","A"),"É","E"),"Ê","E"),"Í","I"),"Ó","O"),"Ô","O"),"Õ","O"),"Ú","U"),"Ü","U"),"Ç","C"))</f>
        <v/>
      </c>
      <c r="I196" s="28" t="str">
        <f aca="false">IF(B196="","",IF(LEN(SUBSTITUTE(SUBSTITUTE(SUBSTITUTE(SUBSTITUTE(TRIM(B196),"*",""),".",""),"-","")," ",""))=11,MID(SUBSTITUTE(SUBSTITUTE(SUBSTITUTE(SUBSTITUTE(TRIM(B196),"*",""),".",""),"-","")," ",""),4,6),SUBSTITUTE(SUBSTITUTE(SUBSTITUTE(SUBSTITUTE(TRIM(B196),"*",""),".",""),"-","")," ","")))</f>
        <v/>
      </c>
      <c r="J196" s="28" t="str">
        <f aca="false">IF(OR(H196="",I196=""),"",H196&amp;"|"&amp;I196)</f>
        <v/>
      </c>
      <c r="K196" s="19" t="str">
        <f aca="false">IF(H196="","",IF(J196&lt;&gt;"",COUNTIF(Socios!$J:$J,J196),IF(COUNTIF(Socios!$H:$H,H196)&gt;0,"nome igual em Socios: confira o CPF","sem CPF: não cruzado")))</f>
        <v/>
      </c>
      <c r="L196" s="27"/>
      <c r="M196" s="5"/>
    </row>
    <row r="197" customFormat="false" ht="15" hidden="false" customHeight="false" outlineLevel="0" collapsed="false">
      <c r="A197" s="5"/>
      <c r="B197" s="27"/>
      <c r="C197" s="5"/>
      <c r="D197" s="5"/>
      <c r="E197" s="18"/>
      <c r="F197" s="14"/>
      <c r="G197" s="5"/>
      <c r="H197" s="28" t="str">
        <f aca="false">IF(A197="","",SUBSTITUTE(SUBSTITUTE(SUBSTITUTE(SUBSTITUTE(SUBSTITUTE(SUBSTITUTE(SUBSTITUTE(SUBSTITUTE(SUBSTITUTE(SUBSTITUTE(SUBSTITUTE(SUBSTITUTE(SUBSTITUTE(UPPER(TRIM(A197)),"Á","A"),"À","A"),"Â","A"),"Ã","A"),"É","E"),"Ê","E"),"Í","I"),"Ó","O"),"Ô","O"),"Õ","O"),"Ú","U"),"Ü","U"),"Ç","C"))</f>
        <v/>
      </c>
      <c r="I197" s="28" t="str">
        <f aca="false">IF(B197="","",IF(LEN(SUBSTITUTE(SUBSTITUTE(SUBSTITUTE(SUBSTITUTE(TRIM(B197),"*",""),".",""),"-","")," ",""))=11,MID(SUBSTITUTE(SUBSTITUTE(SUBSTITUTE(SUBSTITUTE(TRIM(B197),"*",""),".",""),"-","")," ",""),4,6),SUBSTITUTE(SUBSTITUTE(SUBSTITUTE(SUBSTITUTE(TRIM(B197),"*",""),".",""),"-","")," ","")))</f>
        <v/>
      </c>
      <c r="J197" s="28" t="str">
        <f aca="false">IF(OR(H197="",I197=""),"",H197&amp;"|"&amp;I197)</f>
        <v/>
      </c>
      <c r="K197" s="19" t="str">
        <f aca="false">IF(H197="","",IF(J197&lt;&gt;"",COUNTIF(Socios!$J:$J,J197),IF(COUNTIF(Socios!$H:$H,H197)&gt;0,"nome igual em Socios: confira o CPF","sem CPF: não cruzado")))</f>
        <v/>
      </c>
      <c r="L197" s="27"/>
      <c r="M197" s="5"/>
    </row>
    <row r="198" customFormat="false" ht="15" hidden="false" customHeight="false" outlineLevel="0" collapsed="false">
      <c r="A198" s="5"/>
      <c r="B198" s="27"/>
      <c r="C198" s="5"/>
      <c r="D198" s="5"/>
      <c r="E198" s="18"/>
      <c r="F198" s="14"/>
      <c r="G198" s="5"/>
      <c r="H198" s="28" t="str">
        <f aca="false">IF(A198="","",SUBSTITUTE(SUBSTITUTE(SUBSTITUTE(SUBSTITUTE(SUBSTITUTE(SUBSTITUTE(SUBSTITUTE(SUBSTITUTE(SUBSTITUTE(SUBSTITUTE(SUBSTITUTE(SUBSTITUTE(SUBSTITUTE(UPPER(TRIM(A198)),"Á","A"),"À","A"),"Â","A"),"Ã","A"),"É","E"),"Ê","E"),"Í","I"),"Ó","O"),"Ô","O"),"Õ","O"),"Ú","U"),"Ü","U"),"Ç","C"))</f>
        <v/>
      </c>
      <c r="I198" s="28" t="str">
        <f aca="false">IF(B198="","",IF(LEN(SUBSTITUTE(SUBSTITUTE(SUBSTITUTE(SUBSTITUTE(TRIM(B198),"*",""),".",""),"-","")," ",""))=11,MID(SUBSTITUTE(SUBSTITUTE(SUBSTITUTE(SUBSTITUTE(TRIM(B198),"*",""),".",""),"-","")," ",""),4,6),SUBSTITUTE(SUBSTITUTE(SUBSTITUTE(SUBSTITUTE(TRIM(B198),"*",""),".",""),"-","")," ","")))</f>
        <v/>
      </c>
      <c r="J198" s="28" t="str">
        <f aca="false">IF(OR(H198="",I198=""),"",H198&amp;"|"&amp;I198)</f>
        <v/>
      </c>
      <c r="K198" s="19" t="str">
        <f aca="false">IF(H198="","",IF(J198&lt;&gt;"",COUNTIF(Socios!$J:$J,J198),IF(COUNTIF(Socios!$H:$H,H198)&gt;0,"nome igual em Socios: confira o CPF","sem CPF: não cruzado")))</f>
        <v/>
      </c>
      <c r="L198" s="27"/>
      <c r="M198" s="5"/>
    </row>
    <row r="199" customFormat="false" ht="15" hidden="false" customHeight="false" outlineLevel="0" collapsed="false">
      <c r="A199" s="5"/>
      <c r="B199" s="27"/>
      <c r="C199" s="5"/>
      <c r="D199" s="5"/>
      <c r="E199" s="18"/>
      <c r="F199" s="14"/>
      <c r="G199" s="5"/>
      <c r="H199" s="28" t="str">
        <f aca="false">IF(A199="","",SUBSTITUTE(SUBSTITUTE(SUBSTITUTE(SUBSTITUTE(SUBSTITUTE(SUBSTITUTE(SUBSTITUTE(SUBSTITUTE(SUBSTITUTE(SUBSTITUTE(SUBSTITUTE(SUBSTITUTE(SUBSTITUTE(UPPER(TRIM(A199)),"Á","A"),"À","A"),"Â","A"),"Ã","A"),"É","E"),"Ê","E"),"Í","I"),"Ó","O"),"Ô","O"),"Õ","O"),"Ú","U"),"Ü","U"),"Ç","C"))</f>
        <v/>
      </c>
      <c r="I199" s="28" t="str">
        <f aca="false">IF(B199="","",IF(LEN(SUBSTITUTE(SUBSTITUTE(SUBSTITUTE(SUBSTITUTE(TRIM(B199),"*",""),".",""),"-","")," ",""))=11,MID(SUBSTITUTE(SUBSTITUTE(SUBSTITUTE(SUBSTITUTE(TRIM(B199),"*",""),".",""),"-","")," ",""),4,6),SUBSTITUTE(SUBSTITUTE(SUBSTITUTE(SUBSTITUTE(TRIM(B199),"*",""),".",""),"-","")," ","")))</f>
        <v/>
      </c>
      <c r="J199" s="28" t="str">
        <f aca="false">IF(OR(H199="",I199=""),"",H199&amp;"|"&amp;I199)</f>
        <v/>
      </c>
      <c r="K199" s="19" t="str">
        <f aca="false">IF(H199="","",IF(J199&lt;&gt;"",COUNTIF(Socios!$J:$J,J199),IF(COUNTIF(Socios!$H:$H,H199)&gt;0,"nome igual em Socios: confira o CPF","sem CPF: não cruzado")))</f>
        <v/>
      </c>
      <c r="L199" s="27"/>
      <c r="M199" s="5"/>
    </row>
    <row r="200" customFormat="false" ht="15" hidden="false" customHeight="false" outlineLevel="0" collapsed="false">
      <c r="A200" s="5"/>
      <c r="B200" s="27"/>
      <c r="C200" s="5"/>
      <c r="D200" s="5"/>
      <c r="E200" s="18"/>
      <c r="F200" s="14"/>
      <c r="G200" s="5"/>
      <c r="H200" s="28" t="str">
        <f aca="false">IF(A200="","",SUBSTITUTE(SUBSTITUTE(SUBSTITUTE(SUBSTITUTE(SUBSTITUTE(SUBSTITUTE(SUBSTITUTE(SUBSTITUTE(SUBSTITUTE(SUBSTITUTE(SUBSTITUTE(SUBSTITUTE(SUBSTITUTE(UPPER(TRIM(A200)),"Á","A"),"À","A"),"Â","A"),"Ã","A"),"É","E"),"Ê","E"),"Í","I"),"Ó","O"),"Ô","O"),"Õ","O"),"Ú","U"),"Ü","U"),"Ç","C"))</f>
        <v/>
      </c>
      <c r="I200" s="28" t="str">
        <f aca="false">IF(B200="","",IF(LEN(SUBSTITUTE(SUBSTITUTE(SUBSTITUTE(SUBSTITUTE(TRIM(B200),"*",""),".",""),"-","")," ",""))=11,MID(SUBSTITUTE(SUBSTITUTE(SUBSTITUTE(SUBSTITUTE(TRIM(B200),"*",""),".",""),"-","")," ",""),4,6),SUBSTITUTE(SUBSTITUTE(SUBSTITUTE(SUBSTITUTE(TRIM(B200),"*",""),".",""),"-","")," ","")))</f>
        <v/>
      </c>
      <c r="J200" s="28" t="str">
        <f aca="false">IF(OR(H200="",I200=""),"",H200&amp;"|"&amp;I200)</f>
        <v/>
      </c>
      <c r="K200" s="19" t="str">
        <f aca="false">IF(H200="","",IF(J200&lt;&gt;"",COUNTIF(Socios!$J:$J,J200),IF(COUNTIF(Socios!$H:$H,H200)&gt;0,"nome igual em Socios: confira o CPF","sem CPF: não cruzado")))</f>
        <v/>
      </c>
      <c r="L200" s="27"/>
      <c r="M200" s="5"/>
    </row>
    <row r="201" customFormat="false" ht="15" hidden="false" customHeight="false" outlineLevel="0" collapsed="false">
      <c r="A201" s="5"/>
      <c r="B201" s="27"/>
      <c r="C201" s="5"/>
      <c r="D201" s="5"/>
      <c r="E201" s="18"/>
      <c r="F201" s="14"/>
      <c r="G201" s="5"/>
      <c r="H201" s="28" t="str">
        <f aca="false">IF(A201="","",SUBSTITUTE(SUBSTITUTE(SUBSTITUTE(SUBSTITUTE(SUBSTITUTE(SUBSTITUTE(SUBSTITUTE(SUBSTITUTE(SUBSTITUTE(SUBSTITUTE(SUBSTITUTE(SUBSTITUTE(SUBSTITUTE(UPPER(TRIM(A201)),"Á","A"),"À","A"),"Â","A"),"Ã","A"),"É","E"),"Ê","E"),"Í","I"),"Ó","O"),"Ô","O"),"Õ","O"),"Ú","U"),"Ü","U"),"Ç","C"))</f>
        <v/>
      </c>
      <c r="I201" s="28" t="str">
        <f aca="false">IF(B201="","",IF(LEN(SUBSTITUTE(SUBSTITUTE(SUBSTITUTE(SUBSTITUTE(TRIM(B201),"*",""),".",""),"-","")," ",""))=11,MID(SUBSTITUTE(SUBSTITUTE(SUBSTITUTE(SUBSTITUTE(TRIM(B201),"*",""),".",""),"-","")," ",""),4,6),SUBSTITUTE(SUBSTITUTE(SUBSTITUTE(SUBSTITUTE(TRIM(B201),"*",""),".",""),"-","")," ","")))</f>
        <v/>
      </c>
      <c r="J201" s="28" t="str">
        <f aca="false">IF(OR(H201="",I201=""),"",H201&amp;"|"&amp;I201)</f>
        <v/>
      </c>
      <c r="K201" s="19" t="str">
        <f aca="false">IF(H201="","",IF(J201&lt;&gt;"",COUNTIF(Socios!$J:$J,J201),IF(COUNTIF(Socios!$H:$H,H201)&gt;0,"nome igual em Socios: confira o CPF","sem CPF: não cruzado")))</f>
        <v/>
      </c>
      <c r="L201" s="27"/>
      <c r="M201" s="5"/>
    </row>
    <row r="202" customFormat="false" ht="15" hidden="false" customHeight="false" outlineLevel="0" collapsed="false">
      <c r="A202" s="5"/>
      <c r="B202" s="27"/>
      <c r="C202" s="5"/>
      <c r="D202" s="5"/>
      <c r="E202" s="18"/>
      <c r="F202" s="14"/>
      <c r="G202" s="5"/>
      <c r="H202" s="28" t="str">
        <f aca="false">IF(A202="","",SUBSTITUTE(SUBSTITUTE(SUBSTITUTE(SUBSTITUTE(SUBSTITUTE(SUBSTITUTE(SUBSTITUTE(SUBSTITUTE(SUBSTITUTE(SUBSTITUTE(SUBSTITUTE(SUBSTITUTE(SUBSTITUTE(UPPER(TRIM(A202)),"Á","A"),"À","A"),"Â","A"),"Ã","A"),"É","E"),"Ê","E"),"Í","I"),"Ó","O"),"Ô","O"),"Õ","O"),"Ú","U"),"Ü","U"),"Ç","C"))</f>
        <v/>
      </c>
      <c r="I202" s="28" t="str">
        <f aca="false">IF(B202="","",IF(LEN(SUBSTITUTE(SUBSTITUTE(SUBSTITUTE(SUBSTITUTE(TRIM(B202),"*",""),".",""),"-","")," ",""))=11,MID(SUBSTITUTE(SUBSTITUTE(SUBSTITUTE(SUBSTITUTE(TRIM(B202),"*",""),".",""),"-","")," ",""),4,6),SUBSTITUTE(SUBSTITUTE(SUBSTITUTE(SUBSTITUTE(TRIM(B202),"*",""),".",""),"-","")," ","")))</f>
        <v/>
      </c>
      <c r="J202" s="28" t="str">
        <f aca="false">IF(OR(H202="",I202=""),"",H202&amp;"|"&amp;I202)</f>
        <v/>
      </c>
      <c r="K202" s="19" t="str">
        <f aca="false">IF(H202="","",IF(J202&lt;&gt;"",COUNTIF(Socios!$J:$J,J202),IF(COUNTIF(Socios!$H:$H,H202)&gt;0,"nome igual em Socios: confira o CPF","sem CPF: não cruzado")))</f>
        <v/>
      </c>
      <c r="L202" s="27"/>
      <c r="M202" s="5"/>
    </row>
    <row r="203" customFormat="false" ht="15" hidden="false" customHeight="false" outlineLevel="0" collapsed="false">
      <c r="A203" s="5"/>
      <c r="B203" s="27"/>
      <c r="C203" s="5"/>
      <c r="D203" s="5"/>
      <c r="E203" s="18"/>
      <c r="F203" s="14"/>
      <c r="G203" s="5"/>
      <c r="H203" s="28" t="str">
        <f aca="false">IF(A203="","",SUBSTITUTE(SUBSTITUTE(SUBSTITUTE(SUBSTITUTE(SUBSTITUTE(SUBSTITUTE(SUBSTITUTE(SUBSTITUTE(SUBSTITUTE(SUBSTITUTE(SUBSTITUTE(SUBSTITUTE(SUBSTITUTE(UPPER(TRIM(A203)),"Á","A"),"À","A"),"Â","A"),"Ã","A"),"É","E"),"Ê","E"),"Í","I"),"Ó","O"),"Ô","O"),"Õ","O"),"Ú","U"),"Ü","U"),"Ç","C"))</f>
        <v/>
      </c>
      <c r="I203" s="28" t="str">
        <f aca="false">IF(B203="","",IF(LEN(SUBSTITUTE(SUBSTITUTE(SUBSTITUTE(SUBSTITUTE(TRIM(B203),"*",""),".",""),"-","")," ",""))=11,MID(SUBSTITUTE(SUBSTITUTE(SUBSTITUTE(SUBSTITUTE(TRIM(B203),"*",""),".",""),"-","")," ",""),4,6),SUBSTITUTE(SUBSTITUTE(SUBSTITUTE(SUBSTITUTE(TRIM(B203),"*",""),".",""),"-","")," ","")))</f>
        <v/>
      </c>
      <c r="J203" s="28" t="str">
        <f aca="false">IF(OR(H203="",I203=""),"",H203&amp;"|"&amp;I203)</f>
        <v/>
      </c>
      <c r="K203" s="19" t="str">
        <f aca="false">IF(H203="","",IF(J203&lt;&gt;"",COUNTIF(Socios!$J:$J,J203),IF(COUNTIF(Socios!$H:$H,H203)&gt;0,"nome igual em Socios: confira o CPF","sem CPF: não cruzado")))</f>
        <v/>
      </c>
      <c r="L203" s="27"/>
      <c r="M203" s="5"/>
    </row>
    <row r="204" customFormat="false" ht="15" hidden="false" customHeight="false" outlineLevel="0" collapsed="false">
      <c r="A204" s="5"/>
      <c r="B204" s="27"/>
      <c r="C204" s="5"/>
      <c r="D204" s="5"/>
      <c r="E204" s="18"/>
      <c r="F204" s="14"/>
      <c r="G204" s="5"/>
      <c r="H204" s="28" t="str">
        <f aca="false">IF(A204="","",SUBSTITUTE(SUBSTITUTE(SUBSTITUTE(SUBSTITUTE(SUBSTITUTE(SUBSTITUTE(SUBSTITUTE(SUBSTITUTE(SUBSTITUTE(SUBSTITUTE(SUBSTITUTE(SUBSTITUTE(SUBSTITUTE(UPPER(TRIM(A204)),"Á","A"),"À","A"),"Â","A"),"Ã","A"),"É","E"),"Ê","E"),"Í","I"),"Ó","O"),"Ô","O"),"Õ","O"),"Ú","U"),"Ü","U"),"Ç","C"))</f>
        <v/>
      </c>
      <c r="I204" s="28" t="str">
        <f aca="false">IF(B204="","",IF(LEN(SUBSTITUTE(SUBSTITUTE(SUBSTITUTE(SUBSTITUTE(TRIM(B204),"*",""),".",""),"-","")," ",""))=11,MID(SUBSTITUTE(SUBSTITUTE(SUBSTITUTE(SUBSTITUTE(TRIM(B204),"*",""),".",""),"-","")," ",""),4,6),SUBSTITUTE(SUBSTITUTE(SUBSTITUTE(SUBSTITUTE(TRIM(B204),"*",""),".",""),"-","")," ","")))</f>
        <v/>
      </c>
      <c r="J204" s="28" t="str">
        <f aca="false">IF(OR(H204="",I204=""),"",H204&amp;"|"&amp;I204)</f>
        <v/>
      </c>
      <c r="K204" s="19" t="str">
        <f aca="false">IF(H204="","",IF(J204&lt;&gt;"",COUNTIF(Socios!$J:$J,J204),IF(COUNTIF(Socios!$H:$H,H204)&gt;0,"nome igual em Socios: confira o CPF","sem CPF: não cruzado")))</f>
        <v/>
      </c>
      <c r="L204" s="27"/>
      <c r="M204" s="5"/>
    </row>
    <row r="205" customFormat="false" ht="15" hidden="false" customHeight="false" outlineLevel="0" collapsed="false">
      <c r="A205" s="5"/>
      <c r="B205" s="27"/>
      <c r="C205" s="5"/>
      <c r="D205" s="5"/>
      <c r="E205" s="18"/>
      <c r="F205" s="14"/>
      <c r="G205" s="5"/>
      <c r="H205" s="28" t="str">
        <f aca="false">IF(A205="","",SUBSTITUTE(SUBSTITUTE(SUBSTITUTE(SUBSTITUTE(SUBSTITUTE(SUBSTITUTE(SUBSTITUTE(SUBSTITUTE(SUBSTITUTE(SUBSTITUTE(SUBSTITUTE(SUBSTITUTE(SUBSTITUTE(UPPER(TRIM(A205)),"Á","A"),"À","A"),"Â","A"),"Ã","A"),"É","E"),"Ê","E"),"Í","I"),"Ó","O"),"Ô","O"),"Õ","O"),"Ú","U"),"Ü","U"),"Ç","C"))</f>
        <v/>
      </c>
      <c r="I205" s="28" t="str">
        <f aca="false">IF(B205="","",IF(LEN(SUBSTITUTE(SUBSTITUTE(SUBSTITUTE(SUBSTITUTE(TRIM(B205),"*",""),".",""),"-","")," ",""))=11,MID(SUBSTITUTE(SUBSTITUTE(SUBSTITUTE(SUBSTITUTE(TRIM(B205),"*",""),".",""),"-","")," ",""),4,6),SUBSTITUTE(SUBSTITUTE(SUBSTITUTE(SUBSTITUTE(TRIM(B205),"*",""),".",""),"-","")," ","")))</f>
        <v/>
      </c>
      <c r="J205" s="28" t="str">
        <f aca="false">IF(OR(H205="",I205=""),"",H205&amp;"|"&amp;I205)</f>
        <v/>
      </c>
      <c r="K205" s="19" t="str">
        <f aca="false">IF(H205="","",IF(J205&lt;&gt;"",COUNTIF(Socios!$J:$J,J205),IF(COUNTIF(Socios!$H:$H,H205)&gt;0,"nome igual em Socios: confira o CPF","sem CPF: não cruzado")))</f>
        <v/>
      </c>
      <c r="L205" s="27"/>
      <c r="M205" s="5"/>
    </row>
    <row r="206" customFormat="false" ht="15" hidden="false" customHeight="false" outlineLevel="0" collapsed="false">
      <c r="A206" s="5"/>
      <c r="B206" s="27"/>
      <c r="C206" s="5"/>
      <c r="D206" s="5"/>
      <c r="E206" s="18"/>
      <c r="F206" s="14"/>
      <c r="G206" s="5"/>
      <c r="H206" s="28" t="str">
        <f aca="false">IF(A206="","",SUBSTITUTE(SUBSTITUTE(SUBSTITUTE(SUBSTITUTE(SUBSTITUTE(SUBSTITUTE(SUBSTITUTE(SUBSTITUTE(SUBSTITUTE(SUBSTITUTE(SUBSTITUTE(SUBSTITUTE(SUBSTITUTE(UPPER(TRIM(A206)),"Á","A"),"À","A"),"Â","A"),"Ã","A"),"É","E"),"Ê","E"),"Í","I"),"Ó","O"),"Ô","O"),"Õ","O"),"Ú","U"),"Ü","U"),"Ç","C"))</f>
        <v/>
      </c>
      <c r="I206" s="28" t="str">
        <f aca="false">IF(B206="","",IF(LEN(SUBSTITUTE(SUBSTITUTE(SUBSTITUTE(SUBSTITUTE(TRIM(B206),"*",""),".",""),"-","")," ",""))=11,MID(SUBSTITUTE(SUBSTITUTE(SUBSTITUTE(SUBSTITUTE(TRIM(B206),"*",""),".",""),"-","")," ",""),4,6),SUBSTITUTE(SUBSTITUTE(SUBSTITUTE(SUBSTITUTE(TRIM(B206),"*",""),".",""),"-","")," ","")))</f>
        <v/>
      </c>
      <c r="J206" s="28" t="str">
        <f aca="false">IF(OR(H206="",I206=""),"",H206&amp;"|"&amp;I206)</f>
        <v/>
      </c>
      <c r="K206" s="19" t="str">
        <f aca="false">IF(H206="","",IF(J206&lt;&gt;"",COUNTIF(Socios!$J:$J,J206),IF(COUNTIF(Socios!$H:$H,H206)&gt;0,"nome igual em Socios: confira o CPF","sem CPF: não cruzado")))</f>
        <v/>
      </c>
      <c r="L206" s="27"/>
      <c r="M206" s="5"/>
    </row>
    <row r="207" customFormat="false" ht="15" hidden="false" customHeight="false" outlineLevel="0" collapsed="false">
      <c r="A207" s="5"/>
      <c r="B207" s="27"/>
      <c r="C207" s="5"/>
      <c r="D207" s="5"/>
      <c r="E207" s="18"/>
      <c r="F207" s="14"/>
      <c r="G207" s="5"/>
      <c r="H207" s="28" t="str">
        <f aca="false">IF(A207="","",SUBSTITUTE(SUBSTITUTE(SUBSTITUTE(SUBSTITUTE(SUBSTITUTE(SUBSTITUTE(SUBSTITUTE(SUBSTITUTE(SUBSTITUTE(SUBSTITUTE(SUBSTITUTE(SUBSTITUTE(SUBSTITUTE(UPPER(TRIM(A207)),"Á","A"),"À","A"),"Â","A"),"Ã","A"),"É","E"),"Ê","E"),"Í","I"),"Ó","O"),"Ô","O"),"Õ","O"),"Ú","U"),"Ü","U"),"Ç","C"))</f>
        <v/>
      </c>
      <c r="I207" s="28" t="str">
        <f aca="false">IF(B207="","",IF(LEN(SUBSTITUTE(SUBSTITUTE(SUBSTITUTE(SUBSTITUTE(TRIM(B207),"*",""),".",""),"-","")," ",""))=11,MID(SUBSTITUTE(SUBSTITUTE(SUBSTITUTE(SUBSTITUTE(TRIM(B207),"*",""),".",""),"-","")," ",""),4,6),SUBSTITUTE(SUBSTITUTE(SUBSTITUTE(SUBSTITUTE(TRIM(B207),"*",""),".",""),"-","")," ","")))</f>
        <v/>
      </c>
      <c r="J207" s="28" t="str">
        <f aca="false">IF(OR(H207="",I207=""),"",H207&amp;"|"&amp;I207)</f>
        <v/>
      </c>
      <c r="K207" s="19" t="str">
        <f aca="false">IF(H207="","",IF(J207&lt;&gt;"",COUNTIF(Socios!$J:$J,J207),IF(COUNTIF(Socios!$H:$H,H207)&gt;0,"nome igual em Socios: confira o CPF","sem CPF: não cruzado")))</f>
        <v/>
      </c>
      <c r="L207" s="27"/>
      <c r="M207" s="5"/>
    </row>
    <row r="208" customFormat="false" ht="15" hidden="false" customHeight="false" outlineLevel="0" collapsed="false">
      <c r="A208" s="5"/>
      <c r="B208" s="27"/>
      <c r="C208" s="5"/>
      <c r="D208" s="5"/>
      <c r="E208" s="18"/>
      <c r="F208" s="14"/>
      <c r="G208" s="5"/>
      <c r="H208" s="28" t="str">
        <f aca="false">IF(A208="","",SUBSTITUTE(SUBSTITUTE(SUBSTITUTE(SUBSTITUTE(SUBSTITUTE(SUBSTITUTE(SUBSTITUTE(SUBSTITUTE(SUBSTITUTE(SUBSTITUTE(SUBSTITUTE(SUBSTITUTE(SUBSTITUTE(UPPER(TRIM(A208)),"Á","A"),"À","A"),"Â","A"),"Ã","A"),"É","E"),"Ê","E"),"Í","I"),"Ó","O"),"Ô","O"),"Õ","O"),"Ú","U"),"Ü","U"),"Ç","C"))</f>
        <v/>
      </c>
      <c r="I208" s="28" t="str">
        <f aca="false">IF(B208="","",IF(LEN(SUBSTITUTE(SUBSTITUTE(SUBSTITUTE(SUBSTITUTE(TRIM(B208),"*",""),".",""),"-","")," ",""))=11,MID(SUBSTITUTE(SUBSTITUTE(SUBSTITUTE(SUBSTITUTE(TRIM(B208),"*",""),".",""),"-","")," ",""),4,6),SUBSTITUTE(SUBSTITUTE(SUBSTITUTE(SUBSTITUTE(TRIM(B208),"*",""),".",""),"-","")," ","")))</f>
        <v/>
      </c>
      <c r="J208" s="28" t="str">
        <f aca="false">IF(OR(H208="",I208=""),"",H208&amp;"|"&amp;I208)</f>
        <v/>
      </c>
      <c r="K208" s="19" t="str">
        <f aca="false">IF(H208="","",IF(J208&lt;&gt;"",COUNTIF(Socios!$J:$J,J208),IF(COUNTIF(Socios!$H:$H,H208)&gt;0,"nome igual em Socios: confira o CPF","sem CPF: não cruzado")))</f>
        <v/>
      </c>
      <c r="L208" s="27"/>
      <c r="M208" s="5"/>
    </row>
    <row r="209" customFormat="false" ht="15" hidden="false" customHeight="false" outlineLevel="0" collapsed="false">
      <c r="A209" s="5"/>
      <c r="B209" s="27"/>
      <c r="C209" s="5"/>
      <c r="D209" s="5"/>
      <c r="E209" s="18"/>
      <c r="F209" s="14"/>
      <c r="G209" s="5"/>
      <c r="H209" s="28" t="str">
        <f aca="false">IF(A209="","",SUBSTITUTE(SUBSTITUTE(SUBSTITUTE(SUBSTITUTE(SUBSTITUTE(SUBSTITUTE(SUBSTITUTE(SUBSTITUTE(SUBSTITUTE(SUBSTITUTE(SUBSTITUTE(SUBSTITUTE(SUBSTITUTE(UPPER(TRIM(A209)),"Á","A"),"À","A"),"Â","A"),"Ã","A"),"É","E"),"Ê","E"),"Í","I"),"Ó","O"),"Ô","O"),"Õ","O"),"Ú","U"),"Ü","U"),"Ç","C"))</f>
        <v/>
      </c>
      <c r="I209" s="28" t="str">
        <f aca="false">IF(B209="","",IF(LEN(SUBSTITUTE(SUBSTITUTE(SUBSTITUTE(SUBSTITUTE(TRIM(B209),"*",""),".",""),"-","")," ",""))=11,MID(SUBSTITUTE(SUBSTITUTE(SUBSTITUTE(SUBSTITUTE(TRIM(B209),"*",""),".",""),"-","")," ",""),4,6),SUBSTITUTE(SUBSTITUTE(SUBSTITUTE(SUBSTITUTE(TRIM(B209),"*",""),".",""),"-","")," ","")))</f>
        <v/>
      </c>
      <c r="J209" s="28" t="str">
        <f aca="false">IF(OR(H209="",I209=""),"",H209&amp;"|"&amp;I209)</f>
        <v/>
      </c>
      <c r="K209" s="19" t="str">
        <f aca="false">IF(H209="","",IF(J209&lt;&gt;"",COUNTIF(Socios!$J:$J,J209),IF(COUNTIF(Socios!$H:$H,H209)&gt;0,"nome igual em Socios: confira o CPF","sem CPF: não cruzado")))</f>
        <v/>
      </c>
      <c r="L209" s="27"/>
      <c r="M209" s="5"/>
    </row>
    <row r="210" customFormat="false" ht="15" hidden="false" customHeight="false" outlineLevel="0" collapsed="false">
      <c r="A210" s="5"/>
      <c r="B210" s="27"/>
      <c r="C210" s="5"/>
      <c r="D210" s="5"/>
      <c r="E210" s="18"/>
      <c r="F210" s="14"/>
      <c r="G210" s="5"/>
      <c r="H210" s="28" t="str">
        <f aca="false">IF(A210="","",SUBSTITUTE(SUBSTITUTE(SUBSTITUTE(SUBSTITUTE(SUBSTITUTE(SUBSTITUTE(SUBSTITUTE(SUBSTITUTE(SUBSTITUTE(SUBSTITUTE(SUBSTITUTE(SUBSTITUTE(SUBSTITUTE(UPPER(TRIM(A210)),"Á","A"),"À","A"),"Â","A"),"Ã","A"),"É","E"),"Ê","E"),"Í","I"),"Ó","O"),"Ô","O"),"Õ","O"),"Ú","U"),"Ü","U"),"Ç","C"))</f>
        <v/>
      </c>
      <c r="I210" s="28" t="str">
        <f aca="false">IF(B210="","",IF(LEN(SUBSTITUTE(SUBSTITUTE(SUBSTITUTE(SUBSTITUTE(TRIM(B210),"*",""),".",""),"-","")," ",""))=11,MID(SUBSTITUTE(SUBSTITUTE(SUBSTITUTE(SUBSTITUTE(TRIM(B210),"*",""),".",""),"-","")," ",""),4,6),SUBSTITUTE(SUBSTITUTE(SUBSTITUTE(SUBSTITUTE(TRIM(B210),"*",""),".",""),"-","")," ","")))</f>
        <v/>
      </c>
      <c r="J210" s="28" t="str">
        <f aca="false">IF(OR(H210="",I210=""),"",H210&amp;"|"&amp;I210)</f>
        <v/>
      </c>
      <c r="K210" s="19" t="str">
        <f aca="false">IF(H210="","",IF(J210&lt;&gt;"",COUNTIF(Socios!$J:$J,J210),IF(COUNTIF(Socios!$H:$H,H210)&gt;0,"nome igual em Socios: confira o CPF","sem CPF: não cruzado")))</f>
        <v/>
      </c>
      <c r="L210" s="27"/>
      <c r="M210" s="5"/>
    </row>
    <row r="211" customFormat="false" ht="15" hidden="false" customHeight="false" outlineLevel="0" collapsed="false">
      <c r="A211" s="5"/>
      <c r="B211" s="27"/>
      <c r="C211" s="5"/>
      <c r="D211" s="5"/>
      <c r="E211" s="18"/>
      <c r="F211" s="14"/>
      <c r="G211" s="5"/>
      <c r="H211" s="28" t="str">
        <f aca="false">IF(A211="","",SUBSTITUTE(SUBSTITUTE(SUBSTITUTE(SUBSTITUTE(SUBSTITUTE(SUBSTITUTE(SUBSTITUTE(SUBSTITUTE(SUBSTITUTE(SUBSTITUTE(SUBSTITUTE(SUBSTITUTE(SUBSTITUTE(UPPER(TRIM(A211)),"Á","A"),"À","A"),"Â","A"),"Ã","A"),"É","E"),"Ê","E"),"Í","I"),"Ó","O"),"Ô","O"),"Õ","O"),"Ú","U"),"Ü","U"),"Ç","C"))</f>
        <v/>
      </c>
      <c r="I211" s="28" t="str">
        <f aca="false">IF(B211="","",IF(LEN(SUBSTITUTE(SUBSTITUTE(SUBSTITUTE(SUBSTITUTE(TRIM(B211),"*",""),".",""),"-","")," ",""))=11,MID(SUBSTITUTE(SUBSTITUTE(SUBSTITUTE(SUBSTITUTE(TRIM(B211),"*",""),".",""),"-","")," ",""),4,6),SUBSTITUTE(SUBSTITUTE(SUBSTITUTE(SUBSTITUTE(TRIM(B211),"*",""),".",""),"-","")," ","")))</f>
        <v/>
      </c>
      <c r="J211" s="28" t="str">
        <f aca="false">IF(OR(H211="",I211=""),"",H211&amp;"|"&amp;I211)</f>
        <v/>
      </c>
      <c r="K211" s="19" t="str">
        <f aca="false">IF(H211="","",IF(J211&lt;&gt;"",COUNTIF(Socios!$J:$J,J211),IF(COUNTIF(Socios!$H:$H,H211)&gt;0,"nome igual em Socios: confira o CPF","sem CPF: não cruzado")))</f>
        <v/>
      </c>
      <c r="L211" s="27"/>
      <c r="M211" s="5"/>
    </row>
    <row r="212" customFormat="false" ht="15" hidden="false" customHeight="false" outlineLevel="0" collapsed="false">
      <c r="A212" s="5"/>
      <c r="B212" s="27"/>
      <c r="C212" s="5"/>
      <c r="D212" s="5"/>
      <c r="E212" s="18"/>
      <c r="F212" s="14"/>
      <c r="G212" s="5"/>
      <c r="H212" s="28" t="str">
        <f aca="false">IF(A212="","",SUBSTITUTE(SUBSTITUTE(SUBSTITUTE(SUBSTITUTE(SUBSTITUTE(SUBSTITUTE(SUBSTITUTE(SUBSTITUTE(SUBSTITUTE(SUBSTITUTE(SUBSTITUTE(SUBSTITUTE(SUBSTITUTE(UPPER(TRIM(A212)),"Á","A"),"À","A"),"Â","A"),"Ã","A"),"É","E"),"Ê","E"),"Í","I"),"Ó","O"),"Ô","O"),"Õ","O"),"Ú","U"),"Ü","U"),"Ç","C"))</f>
        <v/>
      </c>
      <c r="I212" s="28" t="str">
        <f aca="false">IF(B212="","",IF(LEN(SUBSTITUTE(SUBSTITUTE(SUBSTITUTE(SUBSTITUTE(TRIM(B212),"*",""),".",""),"-","")," ",""))=11,MID(SUBSTITUTE(SUBSTITUTE(SUBSTITUTE(SUBSTITUTE(TRIM(B212),"*",""),".",""),"-","")," ",""),4,6),SUBSTITUTE(SUBSTITUTE(SUBSTITUTE(SUBSTITUTE(TRIM(B212),"*",""),".",""),"-","")," ","")))</f>
        <v/>
      </c>
      <c r="J212" s="28" t="str">
        <f aca="false">IF(OR(H212="",I212=""),"",H212&amp;"|"&amp;I212)</f>
        <v/>
      </c>
      <c r="K212" s="19" t="str">
        <f aca="false">IF(H212="","",IF(J212&lt;&gt;"",COUNTIF(Socios!$J:$J,J212),IF(COUNTIF(Socios!$H:$H,H212)&gt;0,"nome igual em Socios: confira o CPF","sem CPF: não cruzado")))</f>
        <v/>
      </c>
      <c r="L212" s="27"/>
      <c r="M212" s="5"/>
    </row>
    <row r="213" customFormat="false" ht="15" hidden="false" customHeight="false" outlineLevel="0" collapsed="false">
      <c r="A213" s="5"/>
      <c r="B213" s="27"/>
      <c r="C213" s="5"/>
      <c r="D213" s="5"/>
      <c r="E213" s="18"/>
      <c r="F213" s="14"/>
      <c r="G213" s="5"/>
      <c r="H213" s="28" t="str">
        <f aca="false">IF(A213="","",SUBSTITUTE(SUBSTITUTE(SUBSTITUTE(SUBSTITUTE(SUBSTITUTE(SUBSTITUTE(SUBSTITUTE(SUBSTITUTE(SUBSTITUTE(SUBSTITUTE(SUBSTITUTE(SUBSTITUTE(SUBSTITUTE(UPPER(TRIM(A213)),"Á","A"),"À","A"),"Â","A"),"Ã","A"),"É","E"),"Ê","E"),"Í","I"),"Ó","O"),"Ô","O"),"Õ","O"),"Ú","U"),"Ü","U"),"Ç","C"))</f>
        <v/>
      </c>
      <c r="I213" s="28" t="str">
        <f aca="false">IF(B213="","",IF(LEN(SUBSTITUTE(SUBSTITUTE(SUBSTITUTE(SUBSTITUTE(TRIM(B213),"*",""),".",""),"-","")," ",""))=11,MID(SUBSTITUTE(SUBSTITUTE(SUBSTITUTE(SUBSTITUTE(TRIM(B213),"*",""),".",""),"-","")," ",""),4,6),SUBSTITUTE(SUBSTITUTE(SUBSTITUTE(SUBSTITUTE(TRIM(B213),"*",""),".",""),"-","")," ","")))</f>
        <v/>
      </c>
      <c r="J213" s="28" t="str">
        <f aca="false">IF(OR(H213="",I213=""),"",H213&amp;"|"&amp;I213)</f>
        <v/>
      </c>
      <c r="K213" s="19" t="str">
        <f aca="false">IF(H213="","",IF(J213&lt;&gt;"",COUNTIF(Socios!$J:$J,J213),IF(COUNTIF(Socios!$H:$H,H213)&gt;0,"nome igual em Socios: confira o CPF","sem CPF: não cruzado")))</f>
        <v/>
      </c>
      <c r="L213" s="27"/>
      <c r="M213" s="5"/>
    </row>
    <row r="214" customFormat="false" ht="15" hidden="false" customHeight="false" outlineLevel="0" collapsed="false">
      <c r="A214" s="5"/>
      <c r="B214" s="27"/>
      <c r="C214" s="5"/>
      <c r="D214" s="5"/>
      <c r="E214" s="18"/>
      <c r="F214" s="14"/>
      <c r="G214" s="5"/>
      <c r="H214" s="28" t="str">
        <f aca="false">IF(A214="","",SUBSTITUTE(SUBSTITUTE(SUBSTITUTE(SUBSTITUTE(SUBSTITUTE(SUBSTITUTE(SUBSTITUTE(SUBSTITUTE(SUBSTITUTE(SUBSTITUTE(SUBSTITUTE(SUBSTITUTE(SUBSTITUTE(UPPER(TRIM(A214)),"Á","A"),"À","A"),"Â","A"),"Ã","A"),"É","E"),"Ê","E"),"Í","I"),"Ó","O"),"Ô","O"),"Õ","O"),"Ú","U"),"Ü","U"),"Ç","C"))</f>
        <v/>
      </c>
      <c r="I214" s="28" t="str">
        <f aca="false">IF(B214="","",IF(LEN(SUBSTITUTE(SUBSTITUTE(SUBSTITUTE(SUBSTITUTE(TRIM(B214),"*",""),".",""),"-","")," ",""))=11,MID(SUBSTITUTE(SUBSTITUTE(SUBSTITUTE(SUBSTITUTE(TRIM(B214),"*",""),".",""),"-","")," ",""),4,6),SUBSTITUTE(SUBSTITUTE(SUBSTITUTE(SUBSTITUTE(TRIM(B214),"*",""),".",""),"-","")," ","")))</f>
        <v/>
      </c>
      <c r="J214" s="28" t="str">
        <f aca="false">IF(OR(H214="",I214=""),"",H214&amp;"|"&amp;I214)</f>
        <v/>
      </c>
      <c r="K214" s="19" t="str">
        <f aca="false">IF(H214="","",IF(J214&lt;&gt;"",COUNTIF(Socios!$J:$J,J214),IF(COUNTIF(Socios!$H:$H,H214)&gt;0,"nome igual em Socios: confira o CPF","sem CPF: não cruzado")))</f>
        <v/>
      </c>
      <c r="L214" s="27"/>
      <c r="M214" s="5"/>
    </row>
    <row r="215" customFormat="false" ht="15" hidden="false" customHeight="false" outlineLevel="0" collapsed="false">
      <c r="A215" s="5"/>
      <c r="B215" s="27"/>
      <c r="C215" s="5"/>
      <c r="D215" s="5"/>
      <c r="E215" s="18"/>
      <c r="F215" s="14"/>
      <c r="G215" s="5"/>
      <c r="H215" s="28" t="str">
        <f aca="false">IF(A215="","",SUBSTITUTE(SUBSTITUTE(SUBSTITUTE(SUBSTITUTE(SUBSTITUTE(SUBSTITUTE(SUBSTITUTE(SUBSTITUTE(SUBSTITUTE(SUBSTITUTE(SUBSTITUTE(SUBSTITUTE(SUBSTITUTE(UPPER(TRIM(A215)),"Á","A"),"À","A"),"Â","A"),"Ã","A"),"É","E"),"Ê","E"),"Í","I"),"Ó","O"),"Ô","O"),"Õ","O"),"Ú","U"),"Ü","U"),"Ç","C"))</f>
        <v/>
      </c>
      <c r="I215" s="28" t="str">
        <f aca="false">IF(B215="","",IF(LEN(SUBSTITUTE(SUBSTITUTE(SUBSTITUTE(SUBSTITUTE(TRIM(B215),"*",""),".",""),"-","")," ",""))=11,MID(SUBSTITUTE(SUBSTITUTE(SUBSTITUTE(SUBSTITUTE(TRIM(B215),"*",""),".",""),"-","")," ",""),4,6),SUBSTITUTE(SUBSTITUTE(SUBSTITUTE(SUBSTITUTE(TRIM(B215),"*",""),".",""),"-","")," ","")))</f>
        <v/>
      </c>
      <c r="J215" s="28" t="str">
        <f aca="false">IF(OR(H215="",I215=""),"",H215&amp;"|"&amp;I215)</f>
        <v/>
      </c>
      <c r="K215" s="19" t="str">
        <f aca="false">IF(H215="","",IF(J215&lt;&gt;"",COUNTIF(Socios!$J:$J,J215),IF(COUNTIF(Socios!$H:$H,H215)&gt;0,"nome igual em Socios: confira o CPF","sem CPF: não cruzado")))</f>
        <v/>
      </c>
      <c r="L215" s="27"/>
      <c r="M215" s="5"/>
    </row>
    <row r="216" customFormat="false" ht="15" hidden="false" customHeight="false" outlineLevel="0" collapsed="false">
      <c r="A216" s="5"/>
      <c r="B216" s="27"/>
      <c r="C216" s="5"/>
      <c r="D216" s="5"/>
      <c r="E216" s="18"/>
      <c r="F216" s="14"/>
      <c r="G216" s="5"/>
      <c r="H216" s="28" t="str">
        <f aca="false">IF(A216="","",SUBSTITUTE(SUBSTITUTE(SUBSTITUTE(SUBSTITUTE(SUBSTITUTE(SUBSTITUTE(SUBSTITUTE(SUBSTITUTE(SUBSTITUTE(SUBSTITUTE(SUBSTITUTE(SUBSTITUTE(SUBSTITUTE(UPPER(TRIM(A216)),"Á","A"),"À","A"),"Â","A"),"Ã","A"),"É","E"),"Ê","E"),"Í","I"),"Ó","O"),"Ô","O"),"Õ","O"),"Ú","U"),"Ü","U"),"Ç","C"))</f>
        <v/>
      </c>
      <c r="I216" s="28" t="str">
        <f aca="false">IF(B216="","",IF(LEN(SUBSTITUTE(SUBSTITUTE(SUBSTITUTE(SUBSTITUTE(TRIM(B216),"*",""),".",""),"-","")," ",""))=11,MID(SUBSTITUTE(SUBSTITUTE(SUBSTITUTE(SUBSTITUTE(TRIM(B216),"*",""),".",""),"-","")," ",""),4,6),SUBSTITUTE(SUBSTITUTE(SUBSTITUTE(SUBSTITUTE(TRIM(B216),"*",""),".",""),"-","")," ","")))</f>
        <v/>
      </c>
      <c r="J216" s="28" t="str">
        <f aca="false">IF(OR(H216="",I216=""),"",H216&amp;"|"&amp;I216)</f>
        <v/>
      </c>
      <c r="K216" s="19" t="str">
        <f aca="false">IF(H216="","",IF(J216&lt;&gt;"",COUNTIF(Socios!$J:$J,J216),IF(COUNTIF(Socios!$H:$H,H216)&gt;0,"nome igual em Socios: confira o CPF","sem CPF: não cruzado")))</f>
        <v/>
      </c>
      <c r="L216" s="27"/>
      <c r="M216" s="5"/>
    </row>
    <row r="217" customFormat="false" ht="15" hidden="false" customHeight="false" outlineLevel="0" collapsed="false">
      <c r="A217" s="5"/>
      <c r="B217" s="27"/>
      <c r="C217" s="5"/>
      <c r="D217" s="5"/>
      <c r="E217" s="18"/>
      <c r="F217" s="14"/>
      <c r="G217" s="5"/>
      <c r="H217" s="28" t="str">
        <f aca="false">IF(A217="","",SUBSTITUTE(SUBSTITUTE(SUBSTITUTE(SUBSTITUTE(SUBSTITUTE(SUBSTITUTE(SUBSTITUTE(SUBSTITUTE(SUBSTITUTE(SUBSTITUTE(SUBSTITUTE(SUBSTITUTE(SUBSTITUTE(UPPER(TRIM(A217)),"Á","A"),"À","A"),"Â","A"),"Ã","A"),"É","E"),"Ê","E"),"Í","I"),"Ó","O"),"Ô","O"),"Õ","O"),"Ú","U"),"Ü","U"),"Ç","C"))</f>
        <v/>
      </c>
      <c r="I217" s="28" t="str">
        <f aca="false">IF(B217="","",IF(LEN(SUBSTITUTE(SUBSTITUTE(SUBSTITUTE(SUBSTITUTE(TRIM(B217),"*",""),".",""),"-","")," ",""))=11,MID(SUBSTITUTE(SUBSTITUTE(SUBSTITUTE(SUBSTITUTE(TRIM(B217),"*",""),".",""),"-","")," ",""),4,6),SUBSTITUTE(SUBSTITUTE(SUBSTITUTE(SUBSTITUTE(TRIM(B217),"*",""),".",""),"-","")," ","")))</f>
        <v/>
      </c>
      <c r="J217" s="28" t="str">
        <f aca="false">IF(OR(H217="",I217=""),"",H217&amp;"|"&amp;I217)</f>
        <v/>
      </c>
      <c r="K217" s="19" t="str">
        <f aca="false">IF(H217="","",IF(J217&lt;&gt;"",COUNTIF(Socios!$J:$J,J217),IF(COUNTIF(Socios!$H:$H,H217)&gt;0,"nome igual em Socios: confira o CPF","sem CPF: não cruzado")))</f>
        <v/>
      </c>
      <c r="L217" s="27"/>
      <c r="M217" s="5"/>
    </row>
    <row r="218" customFormat="false" ht="15" hidden="false" customHeight="false" outlineLevel="0" collapsed="false">
      <c r="A218" s="5"/>
      <c r="B218" s="27"/>
      <c r="C218" s="5"/>
      <c r="D218" s="5"/>
      <c r="E218" s="18"/>
      <c r="F218" s="14"/>
      <c r="G218" s="5"/>
      <c r="H218" s="28" t="str">
        <f aca="false">IF(A218="","",SUBSTITUTE(SUBSTITUTE(SUBSTITUTE(SUBSTITUTE(SUBSTITUTE(SUBSTITUTE(SUBSTITUTE(SUBSTITUTE(SUBSTITUTE(SUBSTITUTE(SUBSTITUTE(SUBSTITUTE(SUBSTITUTE(UPPER(TRIM(A218)),"Á","A"),"À","A"),"Â","A"),"Ã","A"),"É","E"),"Ê","E"),"Í","I"),"Ó","O"),"Ô","O"),"Õ","O"),"Ú","U"),"Ü","U"),"Ç","C"))</f>
        <v/>
      </c>
      <c r="I218" s="28" t="str">
        <f aca="false">IF(B218="","",IF(LEN(SUBSTITUTE(SUBSTITUTE(SUBSTITUTE(SUBSTITUTE(TRIM(B218),"*",""),".",""),"-","")," ",""))=11,MID(SUBSTITUTE(SUBSTITUTE(SUBSTITUTE(SUBSTITUTE(TRIM(B218),"*",""),".",""),"-","")," ",""),4,6),SUBSTITUTE(SUBSTITUTE(SUBSTITUTE(SUBSTITUTE(TRIM(B218),"*",""),".",""),"-","")," ","")))</f>
        <v/>
      </c>
      <c r="J218" s="28" t="str">
        <f aca="false">IF(OR(H218="",I218=""),"",H218&amp;"|"&amp;I218)</f>
        <v/>
      </c>
      <c r="K218" s="19" t="str">
        <f aca="false">IF(H218="","",IF(J218&lt;&gt;"",COUNTIF(Socios!$J:$J,J218),IF(COUNTIF(Socios!$H:$H,H218)&gt;0,"nome igual em Socios: confira o CPF","sem CPF: não cruzado")))</f>
        <v/>
      </c>
      <c r="L218" s="27"/>
      <c r="M218" s="5"/>
    </row>
    <row r="219" customFormat="false" ht="15" hidden="false" customHeight="false" outlineLevel="0" collapsed="false">
      <c r="A219" s="5"/>
      <c r="B219" s="27"/>
      <c r="C219" s="5"/>
      <c r="D219" s="5"/>
      <c r="E219" s="18"/>
      <c r="F219" s="14"/>
      <c r="G219" s="5"/>
      <c r="H219" s="28" t="str">
        <f aca="false">IF(A219="","",SUBSTITUTE(SUBSTITUTE(SUBSTITUTE(SUBSTITUTE(SUBSTITUTE(SUBSTITUTE(SUBSTITUTE(SUBSTITUTE(SUBSTITUTE(SUBSTITUTE(SUBSTITUTE(SUBSTITUTE(SUBSTITUTE(UPPER(TRIM(A219)),"Á","A"),"À","A"),"Â","A"),"Ã","A"),"É","E"),"Ê","E"),"Í","I"),"Ó","O"),"Ô","O"),"Õ","O"),"Ú","U"),"Ü","U"),"Ç","C"))</f>
        <v/>
      </c>
      <c r="I219" s="28" t="str">
        <f aca="false">IF(B219="","",IF(LEN(SUBSTITUTE(SUBSTITUTE(SUBSTITUTE(SUBSTITUTE(TRIM(B219),"*",""),".",""),"-","")," ",""))=11,MID(SUBSTITUTE(SUBSTITUTE(SUBSTITUTE(SUBSTITUTE(TRIM(B219),"*",""),".",""),"-","")," ",""),4,6),SUBSTITUTE(SUBSTITUTE(SUBSTITUTE(SUBSTITUTE(TRIM(B219),"*",""),".",""),"-","")," ","")))</f>
        <v/>
      </c>
      <c r="J219" s="28" t="str">
        <f aca="false">IF(OR(H219="",I219=""),"",H219&amp;"|"&amp;I219)</f>
        <v/>
      </c>
      <c r="K219" s="19" t="str">
        <f aca="false">IF(H219="","",IF(J219&lt;&gt;"",COUNTIF(Socios!$J:$J,J219),IF(COUNTIF(Socios!$H:$H,H219)&gt;0,"nome igual em Socios: confira o CPF","sem CPF: não cruzado")))</f>
        <v/>
      </c>
      <c r="L219" s="27"/>
      <c r="M219" s="5"/>
    </row>
    <row r="220" customFormat="false" ht="15" hidden="false" customHeight="false" outlineLevel="0" collapsed="false">
      <c r="A220" s="5"/>
      <c r="B220" s="27"/>
      <c r="C220" s="5"/>
      <c r="D220" s="5"/>
      <c r="E220" s="18"/>
      <c r="F220" s="14"/>
      <c r="G220" s="5"/>
      <c r="H220" s="28" t="str">
        <f aca="false">IF(A220="","",SUBSTITUTE(SUBSTITUTE(SUBSTITUTE(SUBSTITUTE(SUBSTITUTE(SUBSTITUTE(SUBSTITUTE(SUBSTITUTE(SUBSTITUTE(SUBSTITUTE(SUBSTITUTE(SUBSTITUTE(SUBSTITUTE(UPPER(TRIM(A220)),"Á","A"),"À","A"),"Â","A"),"Ã","A"),"É","E"),"Ê","E"),"Í","I"),"Ó","O"),"Ô","O"),"Õ","O"),"Ú","U"),"Ü","U"),"Ç","C"))</f>
        <v/>
      </c>
      <c r="I220" s="28" t="str">
        <f aca="false">IF(B220="","",IF(LEN(SUBSTITUTE(SUBSTITUTE(SUBSTITUTE(SUBSTITUTE(TRIM(B220),"*",""),".",""),"-","")," ",""))=11,MID(SUBSTITUTE(SUBSTITUTE(SUBSTITUTE(SUBSTITUTE(TRIM(B220),"*",""),".",""),"-","")," ",""),4,6),SUBSTITUTE(SUBSTITUTE(SUBSTITUTE(SUBSTITUTE(TRIM(B220),"*",""),".",""),"-","")," ","")))</f>
        <v/>
      </c>
      <c r="J220" s="28" t="str">
        <f aca="false">IF(OR(H220="",I220=""),"",H220&amp;"|"&amp;I220)</f>
        <v/>
      </c>
      <c r="K220" s="19" t="str">
        <f aca="false">IF(H220="","",IF(J220&lt;&gt;"",COUNTIF(Socios!$J:$J,J220),IF(COUNTIF(Socios!$H:$H,H220)&gt;0,"nome igual em Socios: confira o CPF","sem CPF: não cruzado")))</f>
        <v/>
      </c>
      <c r="L220" s="27"/>
      <c r="M220" s="5"/>
    </row>
    <row r="221" customFormat="false" ht="15" hidden="false" customHeight="false" outlineLevel="0" collapsed="false">
      <c r="A221" s="5"/>
      <c r="B221" s="27"/>
      <c r="C221" s="5"/>
      <c r="D221" s="5"/>
      <c r="E221" s="18"/>
      <c r="F221" s="14"/>
      <c r="G221" s="5"/>
      <c r="H221" s="28" t="str">
        <f aca="false">IF(A221="","",SUBSTITUTE(SUBSTITUTE(SUBSTITUTE(SUBSTITUTE(SUBSTITUTE(SUBSTITUTE(SUBSTITUTE(SUBSTITUTE(SUBSTITUTE(SUBSTITUTE(SUBSTITUTE(SUBSTITUTE(SUBSTITUTE(UPPER(TRIM(A221)),"Á","A"),"À","A"),"Â","A"),"Ã","A"),"É","E"),"Ê","E"),"Í","I"),"Ó","O"),"Ô","O"),"Õ","O"),"Ú","U"),"Ü","U"),"Ç","C"))</f>
        <v/>
      </c>
      <c r="I221" s="28" t="str">
        <f aca="false">IF(B221="","",IF(LEN(SUBSTITUTE(SUBSTITUTE(SUBSTITUTE(SUBSTITUTE(TRIM(B221),"*",""),".",""),"-","")," ",""))=11,MID(SUBSTITUTE(SUBSTITUTE(SUBSTITUTE(SUBSTITUTE(TRIM(B221),"*",""),".",""),"-","")," ",""),4,6),SUBSTITUTE(SUBSTITUTE(SUBSTITUTE(SUBSTITUTE(TRIM(B221),"*",""),".",""),"-","")," ","")))</f>
        <v/>
      </c>
      <c r="J221" s="28" t="str">
        <f aca="false">IF(OR(H221="",I221=""),"",H221&amp;"|"&amp;I221)</f>
        <v/>
      </c>
      <c r="K221" s="19" t="str">
        <f aca="false">IF(H221="","",IF(J221&lt;&gt;"",COUNTIF(Socios!$J:$J,J221),IF(COUNTIF(Socios!$H:$H,H221)&gt;0,"nome igual em Socios: confira o CPF","sem CPF: não cruzado")))</f>
        <v/>
      </c>
      <c r="L221" s="27"/>
      <c r="M221" s="5"/>
    </row>
    <row r="222" customFormat="false" ht="15" hidden="false" customHeight="false" outlineLevel="0" collapsed="false">
      <c r="A222" s="5"/>
      <c r="B222" s="27"/>
      <c r="C222" s="5"/>
      <c r="D222" s="5"/>
      <c r="E222" s="18"/>
      <c r="F222" s="14"/>
      <c r="G222" s="5"/>
      <c r="H222" s="28" t="str">
        <f aca="false">IF(A222="","",SUBSTITUTE(SUBSTITUTE(SUBSTITUTE(SUBSTITUTE(SUBSTITUTE(SUBSTITUTE(SUBSTITUTE(SUBSTITUTE(SUBSTITUTE(SUBSTITUTE(SUBSTITUTE(SUBSTITUTE(SUBSTITUTE(UPPER(TRIM(A222)),"Á","A"),"À","A"),"Â","A"),"Ã","A"),"É","E"),"Ê","E"),"Í","I"),"Ó","O"),"Ô","O"),"Õ","O"),"Ú","U"),"Ü","U"),"Ç","C"))</f>
        <v/>
      </c>
      <c r="I222" s="28" t="str">
        <f aca="false">IF(B222="","",IF(LEN(SUBSTITUTE(SUBSTITUTE(SUBSTITUTE(SUBSTITUTE(TRIM(B222),"*",""),".",""),"-","")," ",""))=11,MID(SUBSTITUTE(SUBSTITUTE(SUBSTITUTE(SUBSTITUTE(TRIM(B222),"*",""),".",""),"-","")," ",""),4,6),SUBSTITUTE(SUBSTITUTE(SUBSTITUTE(SUBSTITUTE(TRIM(B222),"*",""),".",""),"-","")," ","")))</f>
        <v/>
      </c>
      <c r="J222" s="28" t="str">
        <f aca="false">IF(OR(H222="",I222=""),"",H222&amp;"|"&amp;I222)</f>
        <v/>
      </c>
      <c r="K222" s="19" t="str">
        <f aca="false">IF(H222="","",IF(J222&lt;&gt;"",COUNTIF(Socios!$J:$J,J222),IF(COUNTIF(Socios!$H:$H,H222)&gt;0,"nome igual em Socios: confira o CPF","sem CPF: não cruzado")))</f>
        <v/>
      </c>
      <c r="L222" s="27"/>
      <c r="M222" s="5"/>
    </row>
    <row r="223" customFormat="false" ht="15" hidden="false" customHeight="false" outlineLevel="0" collapsed="false">
      <c r="A223" s="5"/>
      <c r="B223" s="27"/>
      <c r="C223" s="5"/>
      <c r="D223" s="5"/>
      <c r="E223" s="18"/>
      <c r="F223" s="14"/>
      <c r="G223" s="5"/>
      <c r="H223" s="28" t="str">
        <f aca="false">IF(A223="","",SUBSTITUTE(SUBSTITUTE(SUBSTITUTE(SUBSTITUTE(SUBSTITUTE(SUBSTITUTE(SUBSTITUTE(SUBSTITUTE(SUBSTITUTE(SUBSTITUTE(SUBSTITUTE(SUBSTITUTE(SUBSTITUTE(UPPER(TRIM(A223)),"Á","A"),"À","A"),"Â","A"),"Ã","A"),"É","E"),"Ê","E"),"Í","I"),"Ó","O"),"Ô","O"),"Õ","O"),"Ú","U"),"Ü","U"),"Ç","C"))</f>
        <v/>
      </c>
      <c r="I223" s="28" t="str">
        <f aca="false">IF(B223="","",IF(LEN(SUBSTITUTE(SUBSTITUTE(SUBSTITUTE(SUBSTITUTE(TRIM(B223),"*",""),".",""),"-","")," ",""))=11,MID(SUBSTITUTE(SUBSTITUTE(SUBSTITUTE(SUBSTITUTE(TRIM(B223),"*",""),".",""),"-","")," ",""),4,6),SUBSTITUTE(SUBSTITUTE(SUBSTITUTE(SUBSTITUTE(TRIM(B223),"*",""),".",""),"-","")," ","")))</f>
        <v/>
      </c>
      <c r="J223" s="28" t="str">
        <f aca="false">IF(OR(H223="",I223=""),"",H223&amp;"|"&amp;I223)</f>
        <v/>
      </c>
      <c r="K223" s="19" t="str">
        <f aca="false">IF(H223="","",IF(J223&lt;&gt;"",COUNTIF(Socios!$J:$J,J223),IF(COUNTIF(Socios!$H:$H,H223)&gt;0,"nome igual em Socios: confira o CPF","sem CPF: não cruzado")))</f>
        <v/>
      </c>
      <c r="L223" s="27"/>
      <c r="M223" s="5"/>
    </row>
    <row r="224" customFormat="false" ht="15" hidden="false" customHeight="false" outlineLevel="0" collapsed="false">
      <c r="A224" s="5"/>
      <c r="B224" s="27"/>
      <c r="C224" s="5"/>
      <c r="D224" s="5"/>
      <c r="E224" s="18"/>
      <c r="F224" s="14"/>
      <c r="G224" s="5"/>
      <c r="H224" s="28" t="str">
        <f aca="false">IF(A224="","",SUBSTITUTE(SUBSTITUTE(SUBSTITUTE(SUBSTITUTE(SUBSTITUTE(SUBSTITUTE(SUBSTITUTE(SUBSTITUTE(SUBSTITUTE(SUBSTITUTE(SUBSTITUTE(SUBSTITUTE(SUBSTITUTE(UPPER(TRIM(A224)),"Á","A"),"À","A"),"Â","A"),"Ã","A"),"É","E"),"Ê","E"),"Í","I"),"Ó","O"),"Ô","O"),"Õ","O"),"Ú","U"),"Ü","U"),"Ç","C"))</f>
        <v/>
      </c>
      <c r="I224" s="28" t="str">
        <f aca="false">IF(B224="","",IF(LEN(SUBSTITUTE(SUBSTITUTE(SUBSTITUTE(SUBSTITUTE(TRIM(B224),"*",""),".",""),"-","")," ",""))=11,MID(SUBSTITUTE(SUBSTITUTE(SUBSTITUTE(SUBSTITUTE(TRIM(B224),"*",""),".",""),"-","")," ",""),4,6),SUBSTITUTE(SUBSTITUTE(SUBSTITUTE(SUBSTITUTE(TRIM(B224),"*",""),".",""),"-","")," ","")))</f>
        <v/>
      </c>
      <c r="J224" s="28" t="str">
        <f aca="false">IF(OR(H224="",I224=""),"",H224&amp;"|"&amp;I224)</f>
        <v/>
      </c>
      <c r="K224" s="19" t="str">
        <f aca="false">IF(H224="","",IF(J224&lt;&gt;"",COUNTIF(Socios!$J:$J,J224),IF(COUNTIF(Socios!$H:$H,H224)&gt;0,"nome igual em Socios: confira o CPF","sem CPF: não cruzado")))</f>
        <v/>
      </c>
      <c r="L224" s="27"/>
      <c r="M224" s="5"/>
    </row>
    <row r="225" customFormat="false" ht="15" hidden="false" customHeight="false" outlineLevel="0" collapsed="false">
      <c r="A225" s="5"/>
      <c r="B225" s="27"/>
      <c r="C225" s="5"/>
      <c r="D225" s="5"/>
      <c r="E225" s="18"/>
      <c r="F225" s="14"/>
      <c r="G225" s="5"/>
      <c r="H225" s="28" t="str">
        <f aca="false">IF(A225="","",SUBSTITUTE(SUBSTITUTE(SUBSTITUTE(SUBSTITUTE(SUBSTITUTE(SUBSTITUTE(SUBSTITUTE(SUBSTITUTE(SUBSTITUTE(SUBSTITUTE(SUBSTITUTE(SUBSTITUTE(SUBSTITUTE(UPPER(TRIM(A225)),"Á","A"),"À","A"),"Â","A"),"Ã","A"),"É","E"),"Ê","E"),"Í","I"),"Ó","O"),"Ô","O"),"Õ","O"),"Ú","U"),"Ü","U"),"Ç","C"))</f>
        <v/>
      </c>
      <c r="I225" s="28" t="str">
        <f aca="false">IF(B225="","",IF(LEN(SUBSTITUTE(SUBSTITUTE(SUBSTITUTE(SUBSTITUTE(TRIM(B225),"*",""),".",""),"-","")," ",""))=11,MID(SUBSTITUTE(SUBSTITUTE(SUBSTITUTE(SUBSTITUTE(TRIM(B225),"*",""),".",""),"-","")," ",""),4,6),SUBSTITUTE(SUBSTITUTE(SUBSTITUTE(SUBSTITUTE(TRIM(B225),"*",""),".",""),"-","")," ","")))</f>
        <v/>
      </c>
      <c r="J225" s="28" t="str">
        <f aca="false">IF(OR(H225="",I225=""),"",H225&amp;"|"&amp;I225)</f>
        <v/>
      </c>
      <c r="K225" s="19" t="str">
        <f aca="false">IF(H225="","",IF(J225&lt;&gt;"",COUNTIF(Socios!$J:$J,J225),IF(COUNTIF(Socios!$H:$H,H225)&gt;0,"nome igual em Socios: confira o CPF","sem CPF: não cruzado")))</f>
        <v/>
      </c>
      <c r="L225" s="27"/>
      <c r="M225" s="5"/>
    </row>
    <row r="226" customFormat="false" ht="15" hidden="false" customHeight="false" outlineLevel="0" collapsed="false">
      <c r="A226" s="5"/>
      <c r="B226" s="27"/>
      <c r="C226" s="5"/>
      <c r="D226" s="5"/>
      <c r="E226" s="18"/>
      <c r="F226" s="14"/>
      <c r="G226" s="5"/>
      <c r="H226" s="28" t="str">
        <f aca="false">IF(A226="","",SUBSTITUTE(SUBSTITUTE(SUBSTITUTE(SUBSTITUTE(SUBSTITUTE(SUBSTITUTE(SUBSTITUTE(SUBSTITUTE(SUBSTITUTE(SUBSTITUTE(SUBSTITUTE(SUBSTITUTE(SUBSTITUTE(UPPER(TRIM(A226)),"Á","A"),"À","A"),"Â","A"),"Ã","A"),"É","E"),"Ê","E"),"Í","I"),"Ó","O"),"Ô","O"),"Õ","O"),"Ú","U"),"Ü","U"),"Ç","C"))</f>
        <v/>
      </c>
      <c r="I226" s="28" t="str">
        <f aca="false">IF(B226="","",IF(LEN(SUBSTITUTE(SUBSTITUTE(SUBSTITUTE(SUBSTITUTE(TRIM(B226),"*",""),".",""),"-","")," ",""))=11,MID(SUBSTITUTE(SUBSTITUTE(SUBSTITUTE(SUBSTITUTE(TRIM(B226),"*",""),".",""),"-","")," ",""),4,6),SUBSTITUTE(SUBSTITUTE(SUBSTITUTE(SUBSTITUTE(TRIM(B226),"*",""),".",""),"-","")," ","")))</f>
        <v/>
      </c>
      <c r="J226" s="28" t="str">
        <f aca="false">IF(OR(H226="",I226=""),"",H226&amp;"|"&amp;I226)</f>
        <v/>
      </c>
      <c r="K226" s="19" t="str">
        <f aca="false">IF(H226="","",IF(J226&lt;&gt;"",COUNTIF(Socios!$J:$J,J226),IF(COUNTIF(Socios!$H:$H,H226)&gt;0,"nome igual em Socios: confira o CPF","sem CPF: não cruzado")))</f>
        <v/>
      </c>
      <c r="L226" s="27"/>
      <c r="M226" s="5"/>
    </row>
    <row r="227" customFormat="false" ht="15" hidden="false" customHeight="false" outlineLevel="0" collapsed="false">
      <c r="A227" s="5"/>
      <c r="B227" s="27"/>
      <c r="C227" s="5"/>
      <c r="D227" s="5"/>
      <c r="E227" s="18"/>
      <c r="F227" s="14"/>
      <c r="G227" s="5"/>
      <c r="H227" s="28" t="str">
        <f aca="false">IF(A227="","",SUBSTITUTE(SUBSTITUTE(SUBSTITUTE(SUBSTITUTE(SUBSTITUTE(SUBSTITUTE(SUBSTITUTE(SUBSTITUTE(SUBSTITUTE(SUBSTITUTE(SUBSTITUTE(SUBSTITUTE(SUBSTITUTE(UPPER(TRIM(A227)),"Á","A"),"À","A"),"Â","A"),"Ã","A"),"É","E"),"Ê","E"),"Í","I"),"Ó","O"),"Ô","O"),"Õ","O"),"Ú","U"),"Ü","U"),"Ç","C"))</f>
        <v/>
      </c>
      <c r="I227" s="28" t="str">
        <f aca="false">IF(B227="","",IF(LEN(SUBSTITUTE(SUBSTITUTE(SUBSTITUTE(SUBSTITUTE(TRIM(B227),"*",""),".",""),"-","")," ",""))=11,MID(SUBSTITUTE(SUBSTITUTE(SUBSTITUTE(SUBSTITUTE(TRIM(B227),"*",""),".",""),"-","")," ",""),4,6),SUBSTITUTE(SUBSTITUTE(SUBSTITUTE(SUBSTITUTE(TRIM(B227),"*",""),".",""),"-","")," ","")))</f>
        <v/>
      </c>
      <c r="J227" s="28" t="str">
        <f aca="false">IF(OR(H227="",I227=""),"",H227&amp;"|"&amp;I227)</f>
        <v/>
      </c>
      <c r="K227" s="19" t="str">
        <f aca="false">IF(H227="","",IF(J227&lt;&gt;"",COUNTIF(Socios!$J:$J,J227),IF(COUNTIF(Socios!$H:$H,H227)&gt;0,"nome igual em Socios: confira o CPF","sem CPF: não cruzado")))</f>
        <v/>
      </c>
      <c r="L227" s="27"/>
      <c r="M227" s="5"/>
    </row>
    <row r="228" customFormat="false" ht="15" hidden="false" customHeight="false" outlineLevel="0" collapsed="false">
      <c r="A228" s="5"/>
      <c r="B228" s="27"/>
      <c r="C228" s="5"/>
      <c r="D228" s="5"/>
      <c r="E228" s="18"/>
      <c r="F228" s="14"/>
      <c r="G228" s="5"/>
      <c r="H228" s="28" t="str">
        <f aca="false">IF(A228="","",SUBSTITUTE(SUBSTITUTE(SUBSTITUTE(SUBSTITUTE(SUBSTITUTE(SUBSTITUTE(SUBSTITUTE(SUBSTITUTE(SUBSTITUTE(SUBSTITUTE(SUBSTITUTE(SUBSTITUTE(SUBSTITUTE(UPPER(TRIM(A228)),"Á","A"),"À","A"),"Â","A"),"Ã","A"),"É","E"),"Ê","E"),"Í","I"),"Ó","O"),"Ô","O"),"Õ","O"),"Ú","U"),"Ü","U"),"Ç","C"))</f>
        <v/>
      </c>
      <c r="I228" s="28" t="str">
        <f aca="false">IF(B228="","",IF(LEN(SUBSTITUTE(SUBSTITUTE(SUBSTITUTE(SUBSTITUTE(TRIM(B228),"*",""),".",""),"-","")," ",""))=11,MID(SUBSTITUTE(SUBSTITUTE(SUBSTITUTE(SUBSTITUTE(TRIM(B228),"*",""),".",""),"-","")," ",""),4,6),SUBSTITUTE(SUBSTITUTE(SUBSTITUTE(SUBSTITUTE(TRIM(B228),"*",""),".",""),"-","")," ","")))</f>
        <v/>
      </c>
      <c r="J228" s="28" t="str">
        <f aca="false">IF(OR(H228="",I228=""),"",H228&amp;"|"&amp;I228)</f>
        <v/>
      </c>
      <c r="K228" s="19" t="str">
        <f aca="false">IF(H228="","",IF(J228&lt;&gt;"",COUNTIF(Socios!$J:$J,J228),IF(COUNTIF(Socios!$H:$H,H228)&gt;0,"nome igual em Socios: confira o CPF","sem CPF: não cruzado")))</f>
        <v/>
      </c>
      <c r="L228" s="27"/>
      <c r="M228" s="5"/>
    </row>
    <row r="229" customFormat="false" ht="15" hidden="false" customHeight="false" outlineLevel="0" collapsed="false">
      <c r="A229" s="5"/>
      <c r="B229" s="27"/>
      <c r="C229" s="5"/>
      <c r="D229" s="5"/>
      <c r="E229" s="18"/>
      <c r="F229" s="14"/>
      <c r="G229" s="5"/>
      <c r="H229" s="28" t="str">
        <f aca="false">IF(A229="","",SUBSTITUTE(SUBSTITUTE(SUBSTITUTE(SUBSTITUTE(SUBSTITUTE(SUBSTITUTE(SUBSTITUTE(SUBSTITUTE(SUBSTITUTE(SUBSTITUTE(SUBSTITUTE(SUBSTITUTE(SUBSTITUTE(UPPER(TRIM(A229)),"Á","A"),"À","A"),"Â","A"),"Ã","A"),"É","E"),"Ê","E"),"Í","I"),"Ó","O"),"Ô","O"),"Õ","O"),"Ú","U"),"Ü","U"),"Ç","C"))</f>
        <v/>
      </c>
      <c r="I229" s="28" t="str">
        <f aca="false">IF(B229="","",IF(LEN(SUBSTITUTE(SUBSTITUTE(SUBSTITUTE(SUBSTITUTE(TRIM(B229),"*",""),".",""),"-","")," ",""))=11,MID(SUBSTITUTE(SUBSTITUTE(SUBSTITUTE(SUBSTITUTE(TRIM(B229),"*",""),".",""),"-","")," ",""),4,6),SUBSTITUTE(SUBSTITUTE(SUBSTITUTE(SUBSTITUTE(TRIM(B229),"*",""),".",""),"-","")," ","")))</f>
        <v/>
      </c>
      <c r="J229" s="28" t="str">
        <f aca="false">IF(OR(H229="",I229=""),"",H229&amp;"|"&amp;I229)</f>
        <v/>
      </c>
      <c r="K229" s="19" t="str">
        <f aca="false">IF(H229="","",IF(J229&lt;&gt;"",COUNTIF(Socios!$J:$J,J229),IF(COUNTIF(Socios!$H:$H,H229)&gt;0,"nome igual em Socios: confira o CPF","sem CPF: não cruzado")))</f>
        <v/>
      </c>
      <c r="L229" s="27"/>
      <c r="M229" s="5"/>
    </row>
    <row r="230" customFormat="false" ht="15" hidden="false" customHeight="false" outlineLevel="0" collapsed="false">
      <c r="A230" s="5"/>
      <c r="B230" s="27"/>
      <c r="C230" s="5"/>
      <c r="D230" s="5"/>
      <c r="E230" s="18"/>
      <c r="F230" s="14"/>
      <c r="G230" s="5"/>
      <c r="H230" s="28" t="str">
        <f aca="false">IF(A230="","",SUBSTITUTE(SUBSTITUTE(SUBSTITUTE(SUBSTITUTE(SUBSTITUTE(SUBSTITUTE(SUBSTITUTE(SUBSTITUTE(SUBSTITUTE(SUBSTITUTE(SUBSTITUTE(SUBSTITUTE(SUBSTITUTE(UPPER(TRIM(A230)),"Á","A"),"À","A"),"Â","A"),"Ã","A"),"É","E"),"Ê","E"),"Í","I"),"Ó","O"),"Ô","O"),"Õ","O"),"Ú","U"),"Ü","U"),"Ç","C"))</f>
        <v/>
      </c>
      <c r="I230" s="28" t="str">
        <f aca="false">IF(B230="","",IF(LEN(SUBSTITUTE(SUBSTITUTE(SUBSTITUTE(SUBSTITUTE(TRIM(B230),"*",""),".",""),"-","")," ",""))=11,MID(SUBSTITUTE(SUBSTITUTE(SUBSTITUTE(SUBSTITUTE(TRIM(B230),"*",""),".",""),"-","")," ",""),4,6),SUBSTITUTE(SUBSTITUTE(SUBSTITUTE(SUBSTITUTE(TRIM(B230),"*",""),".",""),"-","")," ","")))</f>
        <v/>
      </c>
      <c r="J230" s="28" t="str">
        <f aca="false">IF(OR(H230="",I230=""),"",H230&amp;"|"&amp;I230)</f>
        <v/>
      </c>
      <c r="K230" s="19" t="str">
        <f aca="false">IF(H230="","",IF(J230&lt;&gt;"",COUNTIF(Socios!$J:$J,J230),IF(COUNTIF(Socios!$H:$H,H230)&gt;0,"nome igual em Socios: confira o CPF","sem CPF: não cruzado")))</f>
        <v/>
      </c>
      <c r="L230" s="27"/>
      <c r="M230" s="5"/>
    </row>
    <row r="231" customFormat="false" ht="15" hidden="false" customHeight="false" outlineLevel="0" collapsed="false">
      <c r="A231" s="5"/>
      <c r="B231" s="27"/>
      <c r="C231" s="5"/>
      <c r="D231" s="5"/>
      <c r="E231" s="18"/>
      <c r="F231" s="14"/>
      <c r="G231" s="5"/>
      <c r="H231" s="28" t="str">
        <f aca="false">IF(A231="","",SUBSTITUTE(SUBSTITUTE(SUBSTITUTE(SUBSTITUTE(SUBSTITUTE(SUBSTITUTE(SUBSTITUTE(SUBSTITUTE(SUBSTITUTE(SUBSTITUTE(SUBSTITUTE(SUBSTITUTE(SUBSTITUTE(UPPER(TRIM(A231)),"Á","A"),"À","A"),"Â","A"),"Ã","A"),"É","E"),"Ê","E"),"Í","I"),"Ó","O"),"Ô","O"),"Õ","O"),"Ú","U"),"Ü","U"),"Ç","C"))</f>
        <v/>
      </c>
      <c r="I231" s="28" t="str">
        <f aca="false">IF(B231="","",IF(LEN(SUBSTITUTE(SUBSTITUTE(SUBSTITUTE(SUBSTITUTE(TRIM(B231),"*",""),".",""),"-","")," ",""))=11,MID(SUBSTITUTE(SUBSTITUTE(SUBSTITUTE(SUBSTITUTE(TRIM(B231),"*",""),".",""),"-","")," ",""),4,6),SUBSTITUTE(SUBSTITUTE(SUBSTITUTE(SUBSTITUTE(TRIM(B231),"*",""),".",""),"-","")," ","")))</f>
        <v/>
      </c>
      <c r="J231" s="28" t="str">
        <f aca="false">IF(OR(H231="",I231=""),"",H231&amp;"|"&amp;I231)</f>
        <v/>
      </c>
      <c r="K231" s="19" t="str">
        <f aca="false">IF(H231="","",IF(J231&lt;&gt;"",COUNTIF(Socios!$J:$J,J231),IF(COUNTIF(Socios!$H:$H,H231)&gt;0,"nome igual em Socios: confira o CPF","sem CPF: não cruzado")))</f>
        <v/>
      </c>
      <c r="L231" s="27"/>
      <c r="M231" s="5"/>
    </row>
    <row r="232" customFormat="false" ht="15" hidden="false" customHeight="false" outlineLevel="0" collapsed="false">
      <c r="A232" s="5"/>
      <c r="B232" s="27"/>
      <c r="C232" s="5"/>
      <c r="D232" s="5"/>
      <c r="E232" s="18"/>
      <c r="F232" s="14"/>
      <c r="G232" s="5"/>
      <c r="H232" s="28" t="str">
        <f aca="false">IF(A232="","",SUBSTITUTE(SUBSTITUTE(SUBSTITUTE(SUBSTITUTE(SUBSTITUTE(SUBSTITUTE(SUBSTITUTE(SUBSTITUTE(SUBSTITUTE(SUBSTITUTE(SUBSTITUTE(SUBSTITUTE(SUBSTITUTE(UPPER(TRIM(A232)),"Á","A"),"À","A"),"Â","A"),"Ã","A"),"É","E"),"Ê","E"),"Í","I"),"Ó","O"),"Ô","O"),"Õ","O"),"Ú","U"),"Ü","U"),"Ç","C"))</f>
        <v/>
      </c>
      <c r="I232" s="28" t="str">
        <f aca="false">IF(B232="","",IF(LEN(SUBSTITUTE(SUBSTITUTE(SUBSTITUTE(SUBSTITUTE(TRIM(B232),"*",""),".",""),"-","")," ",""))=11,MID(SUBSTITUTE(SUBSTITUTE(SUBSTITUTE(SUBSTITUTE(TRIM(B232),"*",""),".",""),"-","")," ",""),4,6),SUBSTITUTE(SUBSTITUTE(SUBSTITUTE(SUBSTITUTE(TRIM(B232),"*",""),".",""),"-","")," ","")))</f>
        <v/>
      </c>
      <c r="J232" s="28" t="str">
        <f aca="false">IF(OR(H232="",I232=""),"",H232&amp;"|"&amp;I232)</f>
        <v/>
      </c>
      <c r="K232" s="19" t="str">
        <f aca="false">IF(H232="","",IF(J232&lt;&gt;"",COUNTIF(Socios!$J:$J,J232),IF(COUNTIF(Socios!$H:$H,H232)&gt;0,"nome igual em Socios: confira o CPF","sem CPF: não cruzado")))</f>
        <v/>
      </c>
      <c r="L232" s="27"/>
      <c r="M232" s="5"/>
    </row>
    <row r="233" customFormat="false" ht="15" hidden="false" customHeight="false" outlineLevel="0" collapsed="false">
      <c r="A233" s="5"/>
      <c r="B233" s="27"/>
      <c r="C233" s="5"/>
      <c r="D233" s="5"/>
      <c r="E233" s="18"/>
      <c r="F233" s="14"/>
      <c r="G233" s="5"/>
      <c r="H233" s="28" t="str">
        <f aca="false">IF(A233="","",SUBSTITUTE(SUBSTITUTE(SUBSTITUTE(SUBSTITUTE(SUBSTITUTE(SUBSTITUTE(SUBSTITUTE(SUBSTITUTE(SUBSTITUTE(SUBSTITUTE(SUBSTITUTE(SUBSTITUTE(SUBSTITUTE(UPPER(TRIM(A233)),"Á","A"),"À","A"),"Â","A"),"Ã","A"),"É","E"),"Ê","E"),"Í","I"),"Ó","O"),"Ô","O"),"Õ","O"),"Ú","U"),"Ü","U"),"Ç","C"))</f>
        <v/>
      </c>
      <c r="I233" s="28" t="str">
        <f aca="false">IF(B233="","",IF(LEN(SUBSTITUTE(SUBSTITUTE(SUBSTITUTE(SUBSTITUTE(TRIM(B233),"*",""),".",""),"-","")," ",""))=11,MID(SUBSTITUTE(SUBSTITUTE(SUBSTITUTE(SUBSTITUTE(TRIM(B233),"*",""),".",""),"-","")," ",""),4,6),SUBSTITUTE(SUBSTITUTE(SUBSTITUTE(SUBSTITUTE(TRIM(B233),"*",""),".",""),"-","")," ","")))</f>
        <v/>
      </c>
      <c r="J233" s="28" t="str">
        <f aca="false">IF(OR(H233="",I233=""),"",H233&amp;"|"&amp;I233)</f>
        <v/>
      </c>
      <c r="K233" s="19" t="str">
        <f aca="false">IF(H233="","",IF(J233&lt;&gt;"",COUNTIF(Socios!$J:$J,J233),IF(COUNTIF(Socios!$H:$H,H233)&gt;0,"nome igual em Socios: confira o CPF","sem CPF: não cruzado")))</f>
        <v/>
      </c>
      <c r="L233" s="27"/>
      <c r="M233" s="5"/>
    </row>
    <row r="234" customFormat="false" ht="15" hidden="false" customHeight="false" outlineLevel="0" collapsed="false">
      <c r="A234" s="5"/>
      <c r="B234" s="27"/>
      <c r="C234" s="5"/>
      <c r="D234" s="5"/>
      <c r="E234" s="18"/>
      <c r="F234" s="14"/>
      <c r="G234" s="5"/>
      <c r="H234" s="28" t="str">
        <f aca="false">IF(A234="","",SUBSTITUTE(SUBSTITUTE(SUBSTITUTE(SUBSTITUTE(SUBSTITUTE(SUBSTITUTE(SUBSTITUTE(SUBSTITUTE(SUBSTITUTE(SUBSTITUTE(SUBSTITUTE(SUBSTITUTE(SUBSTITUTE(UPPER(TRIM(A234)),"Á","A"),"À","A"),"Â","A"),"Ã","A"),"É","E"),"Ê","E"),"Í","I"),"Ó","O"),"Ô","O"),"Õ","O"),"Ú","U"),"Ü","U"),"Ç","C"))</f>
        <v/>
      </c>
      <c r="I234" s="28" t="str">
        <f aca="false">IF(B234="","",IF(LEN(SUBSTITUTE(SUBSTITUTE(SUBSTITUTE(SUBSTITUTE(TRIM(B234),"*",""),".",""),"-","")," ",""))=11,MID(SUBSTITUTE(SUBSTITUTE(SUBSTITUTE(SUBSTITUTE(TRIM(B234),"*",""),".",""),"-","")," ",""),4,6),SUBSTITUTE(SUBSTITUTE(SUBSTITUTE(SUBSTITUTE(TRIM(B234),"*",""),".",""),"-","")," ","")))</f>
        <v/>
      </c>
      <c r="J234" s="28" t="str">
        <f aca="false">IF(OR(H234="",I234=""),"",H234&amp;"|"&amp;I234)</f>
        <v/>
      </c>
      <c r="K234" s="19" t="str">
        <f aca="false">IF(H234="","",IF(J234&lt;&gt;"",COUNTIF(Socios!$J:$J,J234),IF(COUNTIF(Socios!$H:$H,H234)&gt;0,"nome igual em Socios: confira o CPF","sem CPF: não cruzado")))</f>
        <v/>
      </c>
      <c r="L234" s="27"/>
      <c r="M234" s="5"/>
    </row>
    <row r="235" customFormat="false" ht="15" hidden="false" customHeight="false" outlineLevel="0" collapsed="false">
      <c r="A235" s="5"/>
      <c r="B235" s="27"/>
      <c r="C235" s="5"/>
      <c r="D235" s="5"/>
      <c r="E235" s="18"/>
      <c r="F235" s="14"/>
      <c r="G235" s="5"/>
      <c r="H235" s="28" t="str">
        <f aca="false">IF(A235="","",SUBSTITUTE(SUBSTITUTE(SUBSTITUTE(SUBSTITUTE(SUBSTITUTE(SUBSTITUTE(SUBSTITUTE(SUBSTITUTE(SUBSTITUTE(SUBSTITUTE(SUBSTITUTE(SUBSTITUTE(SUBSTITUTE(UPPER(TRIM(A235)),"Á","A"),"À","A"),"Â","A"),"Ã","A"),"É","E"),"Ê","E"),"Í","I"),"Ó","O"),"Ô","O"),"Õ","O"),"Ú","U"),"Ü","U"),"Ç","C"))</f>
        <v/>
      </c>
      <c r="I235" s="28" t="str">
        <f aca="false">IF(B235="","",IF(LEN(SUBSTITUTE(SUBSTITUTE(SUBSTITUTE(SUBSTITUTE(TRIM(B235),"*",""),".",""),"-","")," ",""))=11,MID(SUBSTITUTE(SUBSTITUTE(SUBSTITUTE(SUBSTITUTE(TRIM(B235),"*",""),".",""),"-","")," ",""),4,6),SUBSTITUTE(SUBSTITUTE(SUBSTITUTE(SUBSTITUTE(TRIM(B235),"*",""),".",""),"-","")," ","")))</f>
        <v/>
      </c>
      <c r="J235" s="28" t="str">
        <f aca="false">IF(OR(H235="",I235=""),"",H235&amp;"|"&amp;I235)</f>
        <v/>
      </c>
      <c r="K235" s="19" t="str">
        <f aca="false">IF(H235="","",IF(J235&lt;&gt;"",COUNTIF(Socios!$J:$J,J235),IF(COUNTIF(Socios!$H:$H,H235)&gt;0,"nome igual em Socios: confira o CPF","sem CPF: não cruzado")))</f>
        <v/>
      </c>
      <c r="L235" s="27"/>
      <c r="M235" s="5"/>
    </row>
    <row r="236" customFormat="false" ht="15" hidden="false" customHeight="false" outlineLevel="0" collapsed="false">
      <c r="A236" s="5"/>
      <c r="B236" s="27"/>
      <c r="C236" s="5"/>
      <c r="D236" s="5"/>
      <c r="E236" s="18"/>
      <c r="F236" s="14"/>
      <c r="G236" s="5"/>
      <c r="H236" s="28" t="str">
        <f aca="false">IF(A236="","",SUBSTITUTE(SUBSTITUTE(SUBSTITUTE(SUBSTITUTE(SUBSTITUTE(SUBSTITUTE(SUBSTITUTE(SUBSTITUTE(SUBSTITUTE(SUBSTITUTE(SUBSTITUTE(SUBSTITUTE(SUBSTITUTE(UPPER(TRIM(A236)),"Á","A"),"À","A"),"Â","A"),"Ã","A"),"É","E"),"Ê","E"),"Í","I"),"Ó","O"),"Ô","O"),"Õ","O"),"Ú","U"),"Ü","U"),"Ç","C"))</f>
        <v/>
      </c>
      <c r="I236" s="28" t="str">
        <f aca="false">IF(B236="","",IF(LEN(SUBSTITUTE(SUBSTITUTE(SUBSTITUTE(SUBSTITUTE(TRIM(B236),"*",""),".",""),"-","")," ",""))=11,MID(SUBSTITUTE(SUBSTITUTE(SUBSTITUTE(SUBSTITUTE(TRIM(B236),"*",""),".",""),"-","")," ",""),4,6),SUBSTITUTE(SUBSTITUTE(SUBSTITUTE(SUBSTITUTE(TRIM(B236),"*",""),".",""),"-","")," ","")))</f>
        <v/>
      </c>
      <c r="J236" s="28" t="str">
        <f aca="false">IF(OR(H236="",I236=""),"",H236&amp;"|"&amp;I236)</f>
        <v/>
      </c>
      <c r="K236" s="19" t="str">
        <f aca="false">IF(H236="","",IF(J236&lt;&gt;"",COUNTIF(Socios!$J:$J,J236),IF(COUNTIF(Socios!$H:$H,H236)&gt;0,"nome igual em Socios: confira o CPF","sem CPF: não cruzado")))</f>
        <v/>
      </c>
      <c r="L236" s="27"/>
      <c r="M236" s="5"/>
    </row>
    <row r="237" customFormat="false" ht="15" hidden="false" customHeight="false" outlineLevel="0" collapsed="false">
      <c r="A237" s="5"/>
      <c r="B237" s="27"/>
      <c r="C237" s="5"/>
      <c r="D237" s="5"/>
      <c r="E237" s="18"/>
      <c r="F237" s="14"/>
      <c r="G237" s="5"/>
      <c r="H237" s="28" t="str">
        <f aca="false">IF(A237="","",SUBSTITUTE(SUBSTITUTE(SUBSTITUTE(SUBSTITUTE(SUBSTITUTE(SUBSTITUTE(SUBSTITUTE(SUBSTITUTE(SUBSTITUTE(SUBSTITUTE(SUBSTITUTE(SUBSTITUTE(SUBSTITUTE(UPPER(TRIM(A237)),"Á","A"),"À","A"),"Â","A"),"Ã","A"),"É","E"),"Ê","E"),"Í","I"),"Ó","O"),"Ô","O"),"Õ","O"),"Ú","U"),"Ü","U"),"Ç","C"))</f>
        <v/>
      </c>
      <c r="I237" s="28" t="str">
        <f aca="false">IF(B237="","",IF(LEN(SUBSTITUTE(SUBSTITUTE(SUBSTITUTE(SUBSTITUTE(TRIM(B237),"*",""),".",""),"-","")," ",""))=11,MID(SUBSTITUTE(SUBSTITUTE(SUBSTITUTE(SUBSTITUTE(TRIM(B237),"*",""),".",""),"-","")," ",""),4,6),SUBSTITUTE(SUBSTITUTE(SUBSTITUTE(SUBSTITUTE(TRIM(B237),"*",""),".",""),"-","")," ","")))</f>
        <v/>
      </c>
      <c r="J237" s="28" t="str">
        <f aca="false">IF(OR(H237="",I237=""),"",H237&amp;"|"&amp;I237)</f>
        <v/>
      </c>
      <c r="K237" s="19" t="str">
        <f aca="false">IF(H237="","",IF(J237&lt;&gt;"",COUNTIF(Socios!$J:$J,J237),IF(COUNTIF(Socios!$H:$H,H237)&gt;0,"nome igual em Socios: confira o CPF","sem CPF: não cruzado")))</f>
        <v/>
      </c>
      <c r="L237" s="27"/>
      <c r="M237" s="5"/>
    </row>
    <row r="238" customFormat="false" ht="15" hidden="false" customHeight="false" outlineLevel="0" collapsed="false">
      <c r="A238" s="5"/>
      <c r="B238" s="27"/>
      <c r="C238" s="5"/>
      <c r="D238" s="5"/>
      <c r="E238" s="18"/>
      <c r="F238" s="14"/>
      <c r="G238" s="5"/>
      <c r="H238" s="28" t="str">
        <f aca="false">IF(A238="","",SUBSTITUTE(SUBSTITUTE(SUBSTITUTE(SUBSTITUTE(SUBSTITUTE(SUBSTITUTE(SUBSTITUTE(SUBSTITUTE(SUBSTITUTE(SUBSTITUTE(SUBSTITUTE(SUBSTITUTE(SUBSTITUTE(UPPER(TRIM(A238)),"Á","A"),"À","A"),"Â","A"),"Ã","A"),"É","E"),"Ê","E"),"Í","I"),"Ó","O"),"Ô","O"),"Õ","O"),"Ú","U"),"Ü","U"),"Ç","C"))</f>
        <v/>
      </c>
      <c r="I238" s="28" t="str">
        <f aca="false">IF(B238="","",IF(LEN(SUBSTITUTE(SUBSTITUTE(SUBSTITUTE(SUBSTITUTE(TRIM(B238),"*",""),".",""),"-","")," ",""))=11,MID(SUBSTITUTE(SUBSTITUTE(SUBSTITUTE(SUBSTITUTE(TRIM(B238),"*",""),".",""),"-","")," ",""),4,6),SUBSTITUTE(SUBSTITUTE(SUBSTITUTE(SUBSTITUTE(TRIM(B238),"*",""),".",""),"-","")," ","")))</f>
        <v/>
      </c>
      <c r="J238" s="28" t="str">
        <f aca="false">IF(OR(H238="",I238=""),"",H238&amp;"|"&amp;I238)</f>
        <v/>
      </c>
      <c r="K238" s="19" t="str">
        <f aca="false">IF(H238="","",IF(J238&lt;&gt;"",COUNTIF(Socios!$J:$J,J238),IF(COUNTIF(Socios!$H:$H,H238)&gt;0,"nome igual em Socios: confira o CPF","sem CPF: não cruzado")))</f>
        <v/>
      </c>
      <c r="L238" s="27"/>
      <c r="M238" s="5"/>
    </row>
    <row r="239" customFormat="false" ht="15" hidden="false" customHeight="false" outlineLevel="0" collapsed="false">
      <c r="A239" s="5"/>
      <c r="B239" s="27"/>
      <c r="C239" s="5"/>
      <c r="D239" s="5"/>
      <c r="E239" s="18"/>
      <c r="F239" s="14"/>
      <c r="G239" s="5"/>
      <c r="H239" s="28" t="str">
        <f aca="false">IF(A239="","",SUBSTITUTE(SUBSTITUTE(SUBSTITUTE(SUBSTITUTE(SUBSTITUTE(SUBSTITUTE(SUBSTITUTE(SUBSTITUTE(SUBSTITUTE(SUBSTITUTE(SUBSTITUTE(SUBSTITUTE(SUBSTITUTE(UPPER(TRIM(A239)),"Á","A"),"À","A"),"Â","A"),"Ã","A"),"É","E"),"Ê","E"),"Í","I"),"Ó","O"),"Ô","O"),"Õ","O"),"Ú","U"),"Ü","U"),"Ç","C"))</f>
        <v/>
      </c>
      <c r="I239" s="28" t="str">
        <f aca="false">IF(B239="","",IF(LEN(SUBSTITUTE(SUBSTITUTE(SUBSTITUTE(SUBSTITUTE(TRIM(B239),"*",""),".",""),"-","")," ",""))=11,MID(SUBSTITUTE(SUBSTITUTE(SUBSTITUTE(SUBSTITUTE(TRIM(B239),"*",""),".",""),"-","")," ",""),4,6),SUBSTITUTE(SUBSTITUTE(SUBSTITUTE(SUBSTITUTE(TRIM(B239),"*",""),".",""),"-","")," ","")))</f>
        <v/>
      </c>
      <c r="J239" s="28" t="str">
        <f aca="false">IF(OR(H239="",I239=""),"",H239&amp;"|"&amp;I239)</f>
        <v/>
      </c>
      <c r="K239" s="19" t="str">
        <f aca="false">IF(H239="","",IF(J239&lt;&gt;"",COUNTIF(Socios!$J:$J,J239),IF(COUNTIF(Socios!$H:$H,H239)&gt;0,"nome igual em Socios: confira o CPF","sem CPF: não cruzado")))</f>
        <v/>
      </c>
      <c r="L239" s="27"/>
      <c r="M239" s="5"/>
    </row>
    <row r="240" customFormat="false" ht="15" hidden="false" customHeight="false" outlineLevel="0" collapsed="false">
      <c r="A240" s="5"/>
      <c r="B240" s="27"/>
      <c r="C240" s="5"/>
      <c r="D240" s="5"/>
      <c r="E240" s="18"/>
      <c r="F240" s="14"/>
      <c r="G240" s="5"/>
      <c r="H240" s="28" t="str">
        <f aca="false">IF(A240="","",SUBSTITUTE(SUBSTITUTE(SUBSTITUTE(SUBSTITUTE(SUBSTITUTE(SUBSTITUTE(SUBSTITUTE(SUBSTITUTE(SUBSTITUTE(SUBSTITUTE(SUBSTITUTE(SUBSTITUTE(SUBSTITUTE(UPPER(TRIM(A240)),"Á","A"),"À","A"),"Â","A"),"Ã","A"),"É","E"),"Ê","E"),"Í","I"),"Ó","O"),"Ô","O"),"Õ","O"),"Ú","U"),"Ü","U"),"Ç","C"))</f>
        <v/>
      </c>
      <c r="I240" s="28" t="str">
        <f aca="false">IF(B240="","",IF(LEN(SUBSTITUTE(SUBSTITUTE(SUBSTITUTE(SUBSTITUTE(TRIM(B240),"*",""),".",""),"-","")," ",""))=11,MID(SUBSTITUTE(SUBSTITUTE(SUBSTITUTE(SUBSTITUTE(TRIM(B240),"*",""),".",""),"-","")," ",""),4,6),SUBSTITUTE(SUBSTITUTE(SUBSTITUTE(SUBSTITUTE(TRIM(B240),"*",""),".",""),"-","")," ","")))</f>
        <v/>
      </c>
      <c r="J240" s="28" t="str">
        <f aca="false">IF(OR(H240="",I240=""),"",H240&amp;"|"&amp;I240)</f>
        <v/>
      </c>
      <c r="K240" s="19" t="str">
        <f aca="false">IF(H240="","",IF(J240&lt;&gt;"",COUNTIF(Socios!$J:$J,J240),IF(COUNTIF(Socios!$H:$H,H240)&gt;0,"nome igual em Socios: confira o CPF","sem CPF: não cruzado")))</f>
        <v/>
      </c>
      <c r="L240" s="27"/>
      <c r="M240" s="5"/>
    </row>
    <row r="241" customFormat="false" ht="15" hidden="false" customHeight="false" outlineLevel="0" collapsed="false">
      <c r="A241" s="5"/>
      <c r="B241" s="27"/>
      <c r="C241" s="5"/>
      <c r="D241" s="5"/>
      <c r="E241" s="18"/>
      <c r="F241" s="14"/>
      <c r="G241" s="5"/>
      <c r="H241" s="28" t="str">
        <f aca="false">IF(A241="","",SUBSTITUTE(SUBSTITUTE(SUBSTITUTE(SUBSTITUTE(SUBSTITUTE(SUBSTITUTE(SUBSTITUTE(SUBSTITUTE(SUBSTITUTE(SUBSTITUTE(SUBSTITUTE(SUBSTITUTE(SUBSTITUTE(UPPER(TRIM(A241)),"Á","A"),"À","A"),"Â","A"),"Ã","A"),"É","E"),"Ê","E"),"Í","I"),"Ó","O"),"Ô","O"),"Õ","O"),"Ú","U"),"Ü","U"),"Ç","C"))</f>
        <v/>
      </c>
      <c r="I241" s="28" t="str">
        <f aca="false">IF(B241="","",IF(LEN(SUBSTITUTE(SUBSTITUTE(SUBSTITUTE(SUBSTITUTE(TRIM(B241),"*",""),".",""),"-","")," ",""))=11,MID(SUBSTITUTE(SUBSTITUTE(SUBSTITUTE(SUBSTITUTE(TRIM(B241),"*",""),".",""),"-","")," ",""),4,6),SUBSTITUTE(SUBSTITUTE(SUBSTITUTE(SUBSTITUTE(TRIM(B241),"*",""),".",""),"-","")," ","")))</f>
        <v/>
      </c>
      <c r="J241" s="28" t="str">
        <f aca="false">IF(OR(H241="",I241=""),"",H241&amp;"|"&amp;I241)</f>
        <v/>
      </c>
      <c r="K241" s="19" t="str">
        <f aca="false">IF(H241="","",IF(J241&lt;&gt;"",COUNTIF(Socios!$J:$J,J241),IF(COUNTIF(Socios!$H:$H,H241)&gt;0,"nome igual em Socios: confira o CPF","sem CPF: não cruzado")))</f>
        <v/>
      </c>
      <c r="L241" s="27"/>
      <c r="M241" s="5"/>
    </row>
    <row r="242" customFormat="false" ht="15" hidden="false" customHeight="false" outlineLevel="0" collapsed="false">
      <c r="A242" s="5"/>
      <c r="B242" s="27"/>
      <c r="C242" s="5"/>
      <c r="D242" s="5"/>
      <c r="E242" s="18"/>
      <c r="F242" s="14"/>
      <c r="G242" s="5"/>
      <c r="H242" s="28" t="str">
        <f aca="false">IF(A242="","",SUBSTITUTE(SUBSTITUTE(SUBSTITUTE(SUBSTITUTE(SUBSTITUTE(SUBSTITUTE(SUBSTITUTE(SUBSTITUTE(SUBSTITUTE(SUBSTITUTE(SUBSTITUTE(SUBSTITUTE(SUBSTITUTE(UPPER(TRIM(A242)),"Á","A"),"À","A"),"Â","A"),"Ã","A"),"É","E"),"Ê","E"),"Í","I"),"Ó","O"),"Ô","O"),"Õ","O"),"Ú","U"),"Ü","U"),"Ç","C"))</f>
        <v/>
      </c>
      <c r="I242" s="28" t="str">
        <f aca="false">IF(B242="","",IF(LEN(SUBSTITUTE(SUBSTITUTE(SUBSTITUTE(SUBSTITUTE(TRIM(B242),"*",""),".",""),"-","")," ",""))=11,MID(SUBSTITUTE(SUBSTITUTE(SUBSTITUTE(SUBSTITUTE(TRIM(B242),"*",""),".",""),"-","")," ",""),4,6),SUBSTITUTE(SUBSTITUTE(SUBSTITUTE(SUBSTITUTE(TRIM(B242),"*",""),".",""),"-","")," ","")))</f>
        <v/>
      </c>
      <c r="J242" s="28" t="str">
        <f aca="false">IF(OR(H242="",I242=""),"",H242&amp;"|"&amp;I242)</f>
        <v/>
      </c>
      <c r="K242" s="19" t="str">
        <f aca="false">IF(H242="","",IF(J242&lt;&gt;"",COUNTIF(Socios!$J:$J,J242),IF(COUNTIF(Socios!$H:$H,H242)&gt;0,"nome igual em Socios: confira o CPF","sem CPF: não cruzado")))</f>
        <v/>
      </c>
      <c r="L242" s="27"/>
      <c r="M242" s="5"/>
    </row>
    <row r="243" customFormat="false" ht="15" hidden="false" customHeight="false" outlineLevel="0" collapsed="false">
      <c r="A243" s="5"/>
      <c r="B243" s="27"/>
      <c r="C243" s="5"/>
      <c r="D243" s="5"/>
      <c r="E243" s="18"/>
      <c r="F243" s="14"/>
      <c r="G243" s="5"/>
      <c r="H243" s="28" t="str">
        <f aca="false">IF(A243="","",SUBSTITUTE(SUBSTITUTE(SUBSTITUTE(SUBSTITUTE(SUBSTITUTE(SUBSTITUTE(SUBSTITUTE(SUBSTITUTE(SUBSTITUTE(SUBSTITUTE(SUBSTITUTE(SUBSTITUTE(SUBSTITUTE(UPPER(TRIM(A243)),"Á","A"),"À","A"),"Â","A"),"Ã","A"),"É","E"),"Ê","E"),"Í","I"),"Ó","O"),"Ô","O"),"Õ","O"),"Ú","U"),"Ü","U"),"Ç","C"))</f>
        <v/>
      </c>
      <c r="I243" s="28" t="str">
        <f aca="false">IF(B243="","",IF(LEN(SUBSTITUTE(SUBSTITUTE(SUBSTITUTE(SUBSTITUTE(TRIM(B243),"*",""),".",""),"-","")," ",""))=11,MID(SUBSTITUTE(SUBSTITUTE(SUBSTITUTE(SUBSTITUTE(TRIM(B243),"*",""),".",""),"-","")," ",""),4,6),SUBSTITUTE(SUBSTITUTE(SUBSTITUTE(SUBSTITUTE(TRIM(B243),"*",""),".",""),"-","")," ","")))</f>
        <v/>
      </c>
      <c r="J243" s="28" t="str">
        <f aca="false">IF(OR(H243="",I243=""),"",H243&amp;"|"&amp;I243)</f>
        <v/>
      </c>
      <c r="K243" s="19" t="str">
        <f aca="false">IF(H243="","",IF(J243&lt;&gt;"",COUNTIF(Socios!$J:$J,J243),IF(COUNTIF(Socios!$H:$H,H243)&gt;0,"nome igual em Socios: confira o CPF","sem CPF: não cruzado")))</f>
        <v/>
      </c>
      <c r="L243" s="27"/>
      <c r="M243" s="5"/>
    </row>
    <row r="244" customFormat="false" ht="15" hidden="false" customHeight="false" outlineLevel="0" collapsed="false">
      <c r="A244" s="5"/>
      <c r="B244" s="27"/>
      <c r="C244" s="5"/>
      <c r="D244" s="5"/>
      <c r="E244" s="18"/>
      <c r="F244" s="14"/>
      <c r="G244" s="5"/>
      <c r="H244" s="28" t="str">
        <f aca="false">IF(A244="","",SUBSTITUTE(SUBSTITUTE(SUBSTITUTE(SUBSTITUTE(SUBSTITUTE(SUBSTITUTE(SUBSTITUTE(SUBSTITUTE(SUBSTITUTE(SUBSTITUTE(SUBSTITUTE(SUBSTITUTE(SUBSTITUTE(UPPER(TRIM(A244)),"Á","A"),"À","A"),"Â","A"),"Ã","A"),"É","E"),"Ê","E"),"Í","I"),"Ó","O"),"Ô","O"),"Õ","O"),"Ú","U"),"Ü","U"),"Ç","C"))</f>
        <v/>
      </c>
      <c r="I244" s="28" t="str">
        <f aca="false">IF(B244="","",IF(LEN(SUBSTITUTE(SUBSTITUTE(SUBSTITUTE(SUBSTITUTE(TRIM(B244),"*",""),".",""),"-","")," ",""))=11,MID(SUBSTITUTE(SUBSTITUTE(SUBSTITUTE(SUBSTITUTE(TRIM(B244),"*",""),".",""),"-","")," ",""),4,6),SUBSTITUTE(SUBSTITUTE(SUBSTITUTE(SUBSTITUTE(TRIM(B244),"*",""),".",""),"-","")," ","")))</f>
        <v/>
      </c>
      <c r="J244" s="28" t="str">
        <f aca="false">IF(OR(H244="",I244=""),"",H244&amp;"|"&amp;I244)</f>
        <v/>
      </c>
      <c r="K244" s="19" t="str">
        <f aca="false">IF(H244="","",IF(J244&lt;&gt;"",COUNTIF(Socios!$J:$J,J244),IF(COUNTIF(Socios!$H:$H,H244)&gt;0,"nome igual em Socios: confira o CPF","sem CPF: não cruzado")))</f>
        <v/>
      </c>
      <c r="L244" s="27"/>
      <c r="M244" s="5"/>
    </row>
    <row r="245" customFormat="false" ht="15" hidden="false" customHeight="false" outlineLevel="0" collapsed="false">
      <c r="A245" s="5"/>
      <c r="B245" s="27"/>
      <c r="C245" s="5"/>
      <c r="D245" s="5"/>
      <c r="E245" s="18"/>
      <c r="F245" s="14"/>
      <c r="G245" s="5"/>
      <c r="H245" s="28" t="str">
        <f aca="false">IF(A245="","",SUBSTITUTE(SUBSTITUTE(SUBSTITUTE(SUBSTITUTE(SUBSTITUTE(SUBSTITUTE(SUBSTITUTE(SUBSTITUTE(SUBSTITUTE(SUBSTITUTE(SUBSTITUTE(SUBSTITUTE(SUBSTITUTE(UPPER(TRIM(A245)),"Á","A"),"À","A"),"Â","A"),"Ã","A"),"É","E"),"Ê","E"),"Í","I"),"Ó","O"),"Ô","O"),"Õ","O"),"Ú","U"),"Ü","U"),"Ç","C"))</f>
        <v/>
      </c>
      <c r="I245" s="28" t="str">
        <f aca="false">IF(B245="","",IF(LEN(SUBSTITUTE(SUBSTITUTE(SUBSTITUTE(SUBSTITUTE(TRIM(B245),"*",""),".",""),"-","")," ",""))=11,MID(SUBSTITUTE(SUBSTITUTE(SUBSTITUTE(SUBSTITUTE(TRIM(B245),"*",""),".",""),"-","")," ",""),4,6),SUBSTITUTE(SUBSTITUTE(SUBSTITUTE(SUBSTITUTE(TRIM(B245),"*",""),".",""),"-","")," ","")))</f>
        <v/>
      </c>
      <c r="J245" s="28" t="str">
        <f aca="false">IF(OR(H245="",I245=""),"",H245&amp;"|"&amp;I245)</f>
        <v/>
      </c>
      <c r="K245" s="19" t="str">
        <f aca="false">IF(H245="","",IF(J245&lt;&gt;"",COUNTIF(Socios!$J:$J,J245),IF(COUNTIF(Socios!$H:$H,H245)&gt;0,"nome igual em Socios: confira o CPF","sem CPF: não cruzado")))</f>
        <v/>
      </c>
      <c r="L245" s="27"/>
      <c r="M245" s="5"/>
    </row>
    <row r="246" customFormat="false" ht="15" hidden="false" customHeight="false" outlineLevel="0" collapsed="false">
      <c r="A246" s="5"/>
      <c r="B246" s="27"/>
      <c r="C246" s="5"/>
      <c r="D246" s="5"/>
      <c r="E246" s="18"/>
      <c r="F246" s="14"/>
      <c r="G246" s="5"/>
      <c r="H246" s="28" t="str">
        <f aca="false">IF(A246="","",SUBSTITUTE(SUBSTITUTE(SUBSTITUTE(SUBSTITUTE(SUBSTITUTE(SUBSTITUTE(SUBSTITUTE(SUBSTITUTE(SUBSTITUTE(SUBSTITUTE(SUBSTITUTE(SUBSTITUTE(SUBSTITUTE(UPPER(TRIM(A246)),"Á","A"),"À","A"),"Â","A"),"Ã","A"),"É","E"),"Ê","E"),"Í","I"),"Ó","O"),"Ô","O"),"Õ","O"),"Ú","U"),"Ü","U"),"Ç","C"))</f>
        <v/>
      </c>
      <c r="I246" s="28" t="str">
        <f aca="false">IF(B246="","",IF(LEN(SUBSTITUTE(SUBSTITUTE(SUBSTITUTE(SUBSTITUTE(TRIM(B246),"*",""),".",""),"-","")," ",""))=11,MID(SUBSTITUTE(SUBSTITUTE(SUBSTITUTE(SUBSTITUTE(TRIM(B246),"*",""),".",""),"-","")," ",""),4,6),SUBSTITUTE(SUBSTITUTE(SUBSTITUTE(SUBSTITUTE(TRIM(B246),"*",""),".",""),"-","")," ","")))</f>
        <v/>
      </c>
      <c r="J246" s="28" t="str">
        <f aca="false">IF(OR(H246="",I246=""),"",H246&amp;"|"&amp;I246)</f>
        <v/>
      </c>
      <c r="K246" s="19" t="str">
        <f aca="false">IF(H246="","",IF(J246&lt;&gt;"",COUNTIF(Socios!$J:$J,J246),IF(COUNTIF(Socios!$H:$H,H246)&gt;0,"nome igual em Socios: confira o CPF","sem CPF: não cruzado")))</f>
        <v/>
      </c>
      <c r="L246" s="27"/>
      <c r="M246" s="5"/>
    </row>
    <row r="247" customFormat="false" ht="15" hidden="false" customHeight="false" outlineLevel="0" collapsed="false">
      <c r="A247" s="5"/>
      <c r="B247" s="27"/>
      <c r="C247" s="5"/>
      <c r="D247" s="5"/>
      <c r="E247" s="18"/>
      <c r="F247" s="14"/>
      <c r="G247" s="5"/>
      <c r="H247" s="28" t="str">
        <f aca="false">IF(A247="","",SUBSTITUTE(SUBSTITUTE(SUBSTITUTE(SUBSTITUTE(SUBSTITUTE(SUBSTITUTE(SUBSTITUTE(SUBSTITUTE(SUBSTITUTE(SUBSTITUTE(SUBSTITUTE(SUBSTITUTE(SUBSTITUTE(UPPER(TRIM(A247)),"Á","A"),"À","A"),"Â","A"),"Ã","A"),"É","E"),"Ê","E"),"Í","I"),"Ó","O"),"Ô","O"),"Õ","O"),"Ú","U"),"Ü","U"),"Ç","C"))</f>
        <v/>
      </c>
      <c r="I247" s="28" t="str">
        <f aca="false">IF(B247="","",IF(LEN(SUBSTITUTE(SUBSTITUTE(SUBSTITUTE(SUBSTITUTE(TRIM(B247),"*",""),".",""),"-","")," ",""))=11,MID(SUBSTITUTE(SUBSTITUTE(SUBSTITUTE(SUBSTITUTE(TRIM(B247),"*",""),".",""),"-","")," ",""),4,6),SUBSTITUTE(SUBSTITUTE(SUBSTITUTE(SUBSTITUTE(TRIM(B247),"*",""),".",""),"-","")," ","")))</f>
        <v/>
      </c>
      <c r="J247" s="28" t="str">
        <f aca="false">IF(OR(H247="",I247=""),"",H247&amp;"|"&amp;I247)</f>
        <v/>
      </c>
      <c r="K247" s="19" t="str">
        <f aca="false">IF(H247="","",IF(J247&lt;&gt;"",COUNTIF(Socios!$J:$J,J247),IF(COUNTIF(Socios!$H:$H,H247)&gt;0,"nome igual em Socios: confira o CPF","sem CPF: não cruzado")))</f>
        <v/>
      </c>
      <c r="L247" s="27"/>
      <c r="M247" s="5"/>
    </row>
    <row r="248" customFormat="false" ht="15" hidden="false" customHeight="false" outlineLevel="0" collapsed="false">
      <c r="A248" s="5"/>
      <c r="B248" s="27"/>
      <c r="C248" s="5"/>
      <c r="D248" s="5"/>
      <c r="E248" s="18"/>
      <c r="F248" s="14"/>
      <c r="G248" s="5"/>
      <c r="H248" s="28" t="str">
        <f aca="false">IF(A248="","",SUBSTITUTE(SUBSTITUTE(SUBSTITUTE(SUBSTITUTE(SUBSTITUTE(SUBSTITUTE(SUBSTITUTE(SUBSTITUTE(SUBSTITUTE(SUBSTITUTE(SUBSTITUTE(SUBSTITUTE(SUBSTITUTE(UPPER(TRIM(A248)),"Á","A"),"À","A"),"Â","A"),"Ã","A"),"É","E"),"Ê","E"),"Í","I"),"Ó","O"),"Ô","O"),"Õ","O"),"Ú","U"),"Ü","U"),"Ç","C"))</f>
        <v/>
      </c>
      <c r="I248" s="28" t="str">
        <f aca="false">IF(B248="","",IF(LEN(SUBSTITUTE(SUBSTITUTE(SUBSTITUTE(SUBSTITUTE(TRIM(B248),"*",""),".",""),"-","")," ",""))=11,MID(SUBSTITUTE(SUBSTITUTE(SUBSTITUTE(SUBSTITUTE(TRIM(B248),"*",""),".",""),"-","")," ",""),4,6),SUBSTITUTE(SUBSTITUTE(SUBSTITUTE(SUBSTITUTE(TRIM(B248),"*",""),".",""),"-","")," ","")))</f>
        <v/>
      </c>
      <c r="J248" s="28" t="str">
        <f aca="false">IF(OR(H248="",I248=""),"",H248&amp;"|"&amp;I248)</f>
        <v/>
      </c>
      <c r="K248" s="19" t="str">
        <f aca="false">IF(H248="","",IF(J248&lt;&gt;"",COUNTIF(Socios!$J:$J,J248),IF(COUNTIF(Socios!$H:$H,H248)&gt;0,"nome igual em Socios: confira o CPF","sem CPF: não cruzado")))</f>
        <v/>
      </c>
      <c r="L248" s="27"/>
      <c r="M248" s="5"/>
    </row>
    <row r="249" customFormat="false" ht="15" hidden="false" customHeight="false" outlineLevel="0" collapsed="false">
      <c r="A249" s="5"/>
      <c r="B249" s="27"/>
      <c r="C249" s="5"/>
      <c r="D249" s="5"/>
      <c r="E249" s="18"/>
      <c r="F249" s="14"/>
      <c r="G249" s="5"/>
      <c r="H249" s="28" t="str">
        <f aca="false">IF(A249="","",SUBSTITUTE(SUBSTITUTE(SUBSTITUTE(SUBSTITUTE(SUBSTITUTE(SUBSTITUTE(SUBSTITUTE(SUBSTITUTE(SUBSTITUTE(SUBSTITUTE(SUBSTITUTE(SUBSTITUTE(SUBSTITUTE(UPPER(TRIM(A249)),"Á","A"),"À","A"),"Â","A"),"Ã","A"),"É","E"),"Ê","E"),"Í","I"),"Ó","O"),"Ô","O"),"Õ","O"),"Ú","U"),"Ü","U"),"Ç","C"))</f>
        <v/>
      </c>
      <c r="I249" s="28" t="str">
        <f aca="false">IF(B249="","",IF(LEN(SUBSTITUTE(SUBSTITUTE(SUBSTITUTE(SUBSTITUTE(TRIM(B249),"*",""),".",""),"-","")," ",""))=11,MID(SUBSTITUTE(SUBSTITUTE(SUBSTITUTE(SUBSTITUTE(TRIM(B249),"*",""),".",""),"-","")," ",""),4,6),SUBSTITUTE(SUBSTITUTE(SUBSTITUTE(SUBSTITUTE(TRIM(B249),"*",""),".",""),"-","")," ","")))</f>
        <v/>
      </c>
      <c r="J249" s="28" t="str">
        <f aca="false">IF(OR(H249="",I249=""),"",H249&amp;"|"&amp;I249)</f>
        <v/>
      </c>
      <c r="K249" s="19" t="str">
        <f aca="false">IF(H249="","",IF(J249&lt;&gt;"",COUNTIF(Socios!$J:$J,J249),IF(COUNTIF(Socios!$H:$H,H249)&gt;0,"nome igual em Socios: confira o CPF","sem CPF: não cruzado")))</f>
        <v/>
      </c>
      <c r="L249" s="27"/>
      <c r="M249" s="5"/>
    </row>
    <row r="250" customFormat="false" ht="15" hidden="false" customHeight="false" outlineLevel="0" collapsed="false">
      <c r="A250" s="5"/>
      <c r="B250" s="27"/>
      <c r="C250" s="5"/>
      <c r="D250" s="5"/>
      <c r="E250" s="18"/>
      <c r="F250" s="14"/>
      <c r="G250" s="5"/>
      <c r="H250" s="28" t="str">
        <f aca="false">IF(A250="","",SUBSTITUTE(SUBSTITUTE(SUBSTITUTE(SUBSTITUTE(SUBSTITUTE(SUBSTITUTE(SUBSTITUTE(SUBSTITUTE(SUBSTITUTE(SUBSTITUTE(SUBSTITUTE(SUBSTITUTE(SUBSTITUTE(UPPER(TRIM(A250)),"Á","A"),"À","A"),"Â","A"),"Ã","A"),"É","E"),"Ê","E"),"Í","I"),"Ó","O"),"Ô","O"),"Õ","O"),"Ú","U"),"Ü","U"),"Ç","C"))</f>
        <v/>
      </c>
      <c r="I250" s="28" t="str">
        <f aca="false">IF(B250="","",IF(LEN(SUBSTITUTE(SUBSTITUTE(SUBSTITUTE(SUBSTITUTE(TRIM(B250),"*",""),".",""),"-","")," ",""))=11,MID(SUBSTITUTE(SUBSTITUTE(SUBSTITUTE(SUBSTITUTE(TRIM(B250),"*",""),".",""),"-","")," ",""),4,6),SUBSTITUTE(SUBSTITUTE(SUBSTITUTE(SUBSTITUTE(TRIM(B250),"*",""),".",""),"-","")," ","")))</f>
        <v/>
      </c>
      <c r="J250" s="28" t="str">
        <f aca="false">IF(OR(H250="",I250=""),"",H250&amp;"|"&amp;I250)</f>
        <v/>
      </c>
      <c r="K250" s="19" t="str">
        <f aca="false">IF(H250="","",IF(J250&lt;&gt;"",COUNTIF(Socios!$J:$J,J250),IF(COUNTIF(Socios!$H:$H,H250)&gt;0,"nome igual em Socios: confira o CPF","sem CPF: não cruzado")))</f>
        <v/>
      </c>
      <c r="L250" s="27"/>
      <c r="M250" s="5"/>
    </row>
    <row r="251" customFormat="false" ht="15" hidden="false" customHeight="false" outlineLevel="0" collapsed="false">
      <c r="A251" s="5"/>
      <c r="B251" s="27"/>
      <c r="C251" s="5"/>
      <c r="D251" s="5"/>
      <c r="E251" s="18"/>
      <c r="F251" s="14"/>
      <c r="G251" s="5"/>
      <c r="H251" s="28" t="str">
        <f aca="false">IF(A251="","",SUBSTITUTE(SUBSTITUTE(SUBSTITUTE(SUBSTITUTE(SUBSTITUTE(SUBSTITUTE(SUBSTITUTE(SUBSTITUTE(SUBSTITUTE(SUBSTITUTE(SUBSTITUTE(SUBSTITUTE(SUBSTITUTE(UPPER(TRIM(A251)),"Á","A"),"À","A"),"Â","A"),"Ã","A"),"É","E"),"Ê","E"),"Í","I"),"Ó","O"),"Ô","O"),"Õ","O"),"Ú","U"),"Ü","U"),"Ç","C"))</f>
        <v/>
      </c>
      <c r="I251" s="28" t="str">
        <f aca="false">IF(B251="","",IF(LEN(SUBSTITUTE(SUBSTITUTE(SUBSTITUTE(SUBSTITUTE(TRIM(B251),"*",""),".",""),"-","")," ",""))=11,MID(SUBSTITUTE(SUBSTITUTE(SUBSTITUTE(SUBSTITUTE(TRIM(B251),"*",""),".",""),"-","")," ",""),4,6),SUBSTITUTE(SUBSTITUTE(SUBSTITUTE(SUBSTITUTE(TRIM(B251),"*",""),".",""),"-","")," ","")))</f>
        <v/>
      </c>
      <c r="J251" s="28" t="str">
        <f aca="false">IF(OR(H251="",I251=""),"",H251&amp;"|"&amp;I251)</f>
        <v/>
      </c>
      <c r="K251" s="19" t="str">
        <f aca="false">IF(H251="","",IF(J251&lt;&gt;"",COUNTIF(Socios!$J:$J,J251),IF(COUNTIF(Socios!$H:$H,H251)&gt;0,"nome igual em Socios: confira o CPF","sem CPF: não cruzado")))</f>
        <v/>
      </c>
      <c r="L251" s="27"/>
      <c r="M251" s="5"/>
    </row>
    <row r="252" customFormat="false" ht="15" hidden="false" customHeight="false" outlineLevel="0" collapsed="false">
      <c r="A252" s="5"/>
      <c r="B252" s="27"/>
      <c r="C252" s="5"/>
      <c r="D252" s="5"/>
      <c r="E252" s="18"/>
      <c r="F252" s="14"/>
      <c r="G252" s="5"/>
      <c r="H252" s="28" t="str">
        <f aca="false">IF(A252="","",SUBSTITUTE(SUBSTITUTE(SUBSTITUTE(SUBSTITUTE(SUBSTITUTE(SUBSTITUTE(SUBSTITUTE(SUBSTITUTE(SUBSTITUTE(SUBSTITUTE(SUBSTITUTE(SUBSTITUTE(SUBSTITUTE(UPPER(TRIM(A252)),"Á","A"),"À","A"),"Â","A"),"Ã","A"),"É","E"),"Ê","E"),"Í","I"),"Ó","O"),"Ô","O"),"Õ","O"),"Ú","U"),"Ü","U"),"Ç","C"))</f>
        <v/>
      </c>
      <c r="I252" s="28" t="str">
        <f aca="false">IF(B252="","",IF(LEN(SUBSTITUTE(SUBSTITUTE(SUBSTITUTE(SUBSTITUTE(TRIM(B252),"*",""),".",""),"-","")," ",""))=11,MID(SUBSTITUTE(SUBSTITUTE(SUBSTITUTE(SUBSTITUTE(TRIM(B252),"*",""),".",""),"-","")," ",""),4,6),SUBSTITUTE(SUBSTITUTE(SUBSTITUTE(SUBSTITUTE(TRIM(B252),"*",""),".",""),"-","")," ","")))</f>
        <v/>
      </c>
      <c r="J252" s="28" t="str">
        <f aca="false">IF(OR(H252="",I252=""),"",H252&amp;"|"&amp;I252)</f>
        <v/>
      </c>
      <c r="K252" s="19" t="str">
        <f aca="false">IF(H252="","",IF(J252&lt;&gt;"",COUNTIF(Socios!$J:$J,J252),IF(COUNTIF(Socios!$H:$H,H252)&gt;0,"nome igual em Socios: confira o CPF","sem CPF: não cruzado")))</f>
        <v/>
      </c>
      <c r="L252" s="27"/>
      <c r="M252" s="5"/>
    </row>
    <row r="253" customFormat="false" ht="15" hidden="false" customHeight="false" outlineLevel="0" collapsed="false">
      <c r="A253" s="5"/>
      <c r="B253" s="27"/>
      <c r="C253" s="5"/>
      <c r="D253" s="5"/>
      <c r="E253" s="18"/>
      <c r="F253" s="14"/>
      <c r="G253" s="5"/>
      <c r="H253" s="28" t="str">
        <f aca="false">IF(A253="","",SUBSTITUTE(SUBSTITUTE(SUBSTITUTE(SUBSTITUTE(SUBSTITUTE(SUBSTITUTE(SUBSTITUTE(SUBSTITUTE(SUBSTITUTE(SUBSTITUTE(SUBSTITUTE(SUBSTITUTE(SUBSTITUTE(UPPER(TRIM(A253)),"Á","A"),"À","A"),"Â","A"),"Ã","A"),"É","E"),"Ê","E"),"Í","I"),"Ó","O"),"Ô","O"),"Õ","O"),"Ú","U"),"Ü","U"),"Ç","C"))</f>
        <v/>
      </c>
      <c r="I253" s="28" t="str">
        <f aca="false">IF(B253="","",IF(LEN(SUBSTITUTE(SUBSTITUTE(SUBSTITUTE(SUBSTITUTE(TRIM(B253),"*",""),".",""),"-","")," ",""))=11,MID(SUBSTITUTE(SUBSTITUTE(SUBSTITUTE(SUBSTITUTE(TRIM(B253),"*",""),".",""),"-","")," ",""),4,6),SUBSTITUTE(SUBSTITUTE(SUBSTITUTE(SUBSTITUTE(TRIM(B253),"*",""),".",""),"-","")," ","")))</f>
        <v/>
      </c>
      <c r="J253" s="28" t="str">
        <f aca="false">IF(OR(H253="",I253=""),"",H253&amp;"|"&amp;I253)</f>
        <v/>
      </c>
      <c r="K253" s="19" t="str">
        <f aca="false">IF(H253="","",IF(J253&lt;&gt;"",COUNTIF(Socios!$J:$J,J253),IF(COUNTIF(Socios!$H:$H,H253)&gt;0,"nome igual em Socios: confira o CPF","sem CPF: não cruzado")))</f>
        <v/>
      </c>
      <c r="L253" s="27"/>
      <c r="M253" s="5"/>
    </row>
    <row r="254" customFormat="false" ht="15" hidden="false" customHeight="false" outlineLevel="0" collapsed="false">
      <c r="A254" s="5"/>
      <c r="B254" s="27"/>
      <c r="C254" s="5"/>
      <c r="D254" s="5"/>
      <c r="E254" s="18"/>
      <c r="F254" s="14"/>
      <c r="G254" s="5"/>
      <c r="H254" s="28" t="str">
        <f aca="false">IF(A254="","",SUBSTITUTE(SUBSTITUTE(SUBSTITUTE(SUBSTITUTE(SUBSTITUTE(SUBSTITUTE(SUBSTITUTE(SUBSTITUTE(SUBSTITUTE(SUBSTITUTE(SUBSTITUTE(SUBSTITUTE(SUBSTITUTE(UPPER(TRIM(A254)),"Á","A"),"À","A"),"Â","A"),"Ã","A"),"É","E"),"Ê","E"),"Í","I"),"Ó","O"),"Ô","O"),"Õ","O"),"Ú","U"),"Ü","U"),"Ç","C"))</f>
        <v/>
      </c>
      <c r="I254" s="28" t="str">
        <f aca="false">IF(B254="","",IF(LEN(SUBSTITUTE(SUBSTITUTE(SUBSTITUTE(SUBSTITUTE(TRIM(B254),"*",""),".",""),"-","")," ",""))=11,MID(SUBSTITUTE(SUBSTITUTE(SUBSTITUTE(SUBSTITUTE(TRIM(B254),"*",""),".",""),"-","")," ",""),4,6),SUBSTITUTE(SUBSTITUTE(SUBSTITUTE(SUBSTITUTE(TRIM(B254),"*",""),".",""),"-","")," ","")))</f>
        <v/>
      </c>
      <c r="J254" s="28" t="str">
        <f aca="false">IF(OR(H254="",I254=""),"",H254&amp;"|"&amp;I254)</f>
        <v/>
      </c>
      <c r="K254" s="19" t="str">
        <f aca="false">IF(H254="","",IF(J254&lt;&gt;"",COUNTIF(Socios!$J:$J,J254),IF(COUNTIF(Socios!$H:$H,H254)&gt;0,"nome igual em Socios: confira o CPF","sem CPF: não cruzado")))</f>
        <v/>
      </c>
      <c r="L254" s="27"/>
      <c r="M254" s="5"/>
    </row>
    <row r="255" customFormat="false" ht="15" hidden="false" customHeight="false" outlineLevel="0" collapsed="false">
      <c r="A255" s="5"/>
      <c r="B255" s="27"/>
      <c r="C255" s="5"/>
      <c r="D255" s="5"/>
      <c r="E255" s="18"/>
      <c r="F255" s="14"/>
      <c r="G255" s="5"/>
      <c r="H255" s="28" t="str">
        <f aca="false">IF(A255="","",SUBSTITUTE(SUBSTITUTE(SUBSTITUTE(SUBSTITUTE(SUBSTITUTE(SUBSTITUTE(SUBSTITUTE(SUBSTITUTE(SUBSTITUTE(SUBSTITUTE(SUBSTITUTE(SUBSTITUTE(SUBSTITUTE(UPPER(TRIM(A255)),"Á","A"),"À","A"),"Â","A"),"Ã","A"),"É","E"),"Ê","E"),"Í","I"),"Ó","O"),"Ô","O"),"Õ","O"),"Ú","U"),"Ü","U"),"Ç","C"))</f>
        <v/>
      </c>
      <c r="I255" s="28" t="str">
        <f aca="false">IF(B255="","",IF(LEN(SUBSTITUTE(SUBSTITUTE(SUBSTITUTE(SUBSTITUTE(TRIM(B255),"*",""),".",""),"-","")," ",""))=11,MID(SUBSTITUTE(SUBSTITUTE(SUBSTITUTE(SUBSTITUTE(TRIM(B255),"*",""),".",""),"-","")," ",""),4,6),SUBSTITUTE(SUBSTITUTE(SUBSTITUTE(SUBSTITUTE(TRIM(B255),"*",""),".",""),"-","")," ","")))</f>
        <v/>
      </c>
      <c r="J255" s="28" t="str">
        <f aca="false">IF(OR(H255="",I255=""),"",H255&amp;"|"&amp;I255)</f>
        <v/>
      </c>
      <c r="K255" s="19" t="str">
        <f aca="false">IF(H255="","",IF(J255&lt;&gt;"",COUNTIF(Socios!$J:$J,J255),IF(COUNTIF(Socios!$H:$H,H255)&gt;0,"nome igual em Socios: confira o CPF","sem CPF: não cruzado")))</f>
        <v/>
      </c>
      <c r="L255" s="27"/>
      <c r="M255" s="5"/>
    </row>
    <row r="256" customFormat="false" ht="15" hidden="false" customHeight="false" outlineLevel="0" collapsed="false">
      <c r="A256" s="5"/>
      <c r="B256" s="27"/>
      <c r="C256" s="5"/>
      <c r="D256" s="5"/>
      <c r="E256" s="18"/>
      <c r="F256" s="14"/>
      <c r="G256" s="5"/>
      <c r="H256" s="28" t="str">
        <f aca="false">IF(A256="","",SUBSTITUTE(SUBSTITUTE(SUBSTITUTE(SUBSTITUTE(SUBSTITUTE(SUBSTITUTE(SUBSTITUTE(SUBSTITUTE(SUBSTITUTE(SUBSTITUTE(SUBSTITUTE(SUBSTITUTE(SUBSTITUTE(UPPER(TRIM(A256)),"Á","A"),"À","A"),"Â","A"),"Ã","A"),"É","E"),"Ê","E"),"Í","I"),"Ó","O"),"Ô","O"),"Õ","O"),"Ú","U"),"Ü","U"),"Ç","C"))</f>
        <v/>
      </c>
      <c r="I256" s="28" t="str">
        <f aca="false">IF(B256="","",IF(LEN(SUBSTITUTE(SUBSTITUTE(SUBSTITUTE(SUBSTITUTE(TRIM(B256),"*",""),".",""),"-","")," ",""))=11,MID(SUBSTITUTE(SUBSTITUTE(SUBSTITUTE(SUBSTITUTE(TRIM(B256),"*",""),".",""),"-","")," ",""),4,6),SUBSTITUTE(SUBSTITUTE(SUBSTITUTE(SUBSTITUTE(TRIM(B256),"*",""),".",""),"-","")," ","")))</f>
        <v/>
      </c>
      <c r="J256" s="28" t="str">
        <f aca="false">IF(OR(H256="",I256=""),"",H256&amp;"|"&amp;I256)</f>
        <v/>
      </c>
      <c r="K256" s="19" t="str">
        <f aca="false">IF(H256="","",IF(J256&lt;&gt;"",COUNTIF(Socios!$J:$J,J256),IF(COUNTIF(Socios!$H:$H,H256)&gt;0,"nome igual em Socios: confira o CPF","sem CPF: não cruzado")))</f>
        <v/>
      </c>
      <c r="L256" s="27"/>
      <c r="M256" s="5"/>
    </row>
    <row r="257" customFormat="false" ht="15" hidden="false" customHeight="false" outlineLevel="0" collapsed="false">
      <c r="A257" s="5"/>
      <c r="B257" s="27"/>
      <c r="C257" s="5"/>
      <c r="D257" s="5"/>
      <c r="E257" s="18"/>
      <c r="F257" s="14"/>
      <c r="G257" s="5"/>
      <c r="H257" s="28" t="str">
        <f aca="false">IF(A257="","",SUBSTITUTE(SUBSTITUTE(SUBSTITUTE(SUBSTITUTE(SUBSTITUTE(SUBSTITUTE(SUBSTITUTE(SUBSTITUTE(SUBSTITUTE(SUBSTITUTE(SUBSTITUTE(SUBSTITUTE(SUBSTITUTE(UPPER(TRIM(A257)),"Á","A"),"À","A"),"Â","A"),"Ã","A"),"É","E"),"Ê","E"),"Í","I"),"Ó","O"),"Ô","O"),"Õ","O"),"Ú","U"),"Ü","U"),"Ç","C"))</f>
        <v/>
      </c>
      <c r="I257" s="28" t="str">
        <f aca="false">IF(B257="","",IF(LEN(SUBSTITUTE(SUBSTITUTE(SUBSTITUTE(SUBSTITUTE(TRIM(B257),"*",""),".",""),"-","")," ",""))=11,MID(SUBSTITUTE(SUBSTITUTE(SUBSTITUTE(SUBSTITUTE(TRIM(B257),"*",""),".",""),"-","")," ",""),4,6),SUBSTITUTE(SUBSTITUTE(SUBSTITUTE(SUBSTITUTE(TRIM(B257),"*",""),".",""),"-","")," ","")))</f>
        <v/>
      </c>
      <c r="J257" s="28" t="str">
        <f aca="false">IF(OR(H257="",I257=""),"",H257&amp;"|"&amp;I257)</f>
        <v/>
      </c>
      <c r="K257" s="19" t="str">
        <f aca="false">IF(H257="","",IF(J257&lt;&gt;"",COUNTIF(Socios!$J:$J,J257),IF(COUNTIF(Socios!$H:$H,H257)&gt;0,"nome igual em Socios: confira o CPF","sem CPF: não cruzado")))</f>
        <v/>
      </c>
      <c r="L257" s="27"/>
      <c r="M257" s="5"/>
    </row>
    <row r="258" customFormat="false" ht="15" hidden="false" customHeight="false" outlineLevel="0" collapsed="false">
      <c r="A258" s="5"/>
      <c r="B258" s="27"/>
      <c r="C258" s="5"/>
      <c r="D258" s="5"/>
      <c r="E258" s="18"/>
      <c r="F258" s="14"/>
      <c r="G258" s="5"/>
      <c r="H258" s="28" t="str">
        <f aca="false">IF(A258="","",SUBSTITUTE(SUBSTITUTE(SUBSTITUTE(SUBSTITUTE(SUBSTITUTE(SUBSTITUTE(SUBSTITUTE(SUBSTITUTE(SUBSTITUTE(SUBSTITUTE(SUBSTITUTE(SUBSTITUTE(SUBSTITUTE(UPPER(TRIM(A258)),"Á","A"),"À","A"),"Â","A"),"Ã","A"),"É","E"),"Ê","E"),"Í","I"),"Ó","O"),"Ô","O"),"Õ","O"),"Ú","U"),"Ü","U"),"Ç","C"))</f>
        <v/>
      </c>
      <c r="I258" s="28" t="str">
        <f aca="false">IF(B258="","",IF(LEN(SUBSTITUTE(SUBSTITUTE(SUBSTITUTE(SUBSTITUTE(TRIM(B258),"*",""),".",""),"-","")," ",""))=11,MID(SUBSTITUTE(SUBSTITUTE(SUBSTITUTE(SUBSTITUTE(TRIM(B258),"*",""),".",""),"-","")," ",""),4,6),SUBSTITUTE(SUBSTITUTE(SUBSTITUTE(SUBSTITUTE(TRIM(B258),"*",""),".",""),"-","")," ","")))</f>
        <v/>
      </c>
      <c r="J258" s="28" t="str">
        <f aca="false">IF(OR(H258="",I258=""),"",H258&amp;"|"&amp;I258)</f>
        <v/>
      </c>
      <c r="K258" s="19" t="str">
        <f aca="false">IF(H258="","",IF(J258&lt;&gt;"",COUNTIF(Socios!$J:$J,J258),IF(COUNTIF(Socios!$H:$H,H258)&gt;0,"nome igual em Socios: confira o CPF","sem CPF: não cruzado")))</f>
        <v/>
      </c>
      <c r="L258" s="27"/>
      <c r="M258" s="5"/>
    </row>
    <row r="259" customFormat="false" ht="15" hidden="false" customHeight="false" outlineLevel="0" collapsed="false">
      <c r="A259" s="5"/>
      <c r="B259" s="27"/>
      <c r="C259" s="5"/>
      <c r="D259" s="5"/>
      <c r="E259" s="18"/>
      <c r="F259" s="14"/>
      <c r="G259" s="5"/>
      <c r="H259" s="28" t="str">
        <f aca="false">IF(A259="","",SUBSTITUTE(SUBSTITUTE(SUBSTITUTE(SUBSTITUTE(SUBSTITUTE(SUBSTITUTE(SUBSTITUTE(SUBSTITUTE(SUBSTITUTE(SUBSTITUTE(SUBSTITUTE(SUBSTITUTE(SUBSTITUTE(UPPER(TRIM(A259)),"Á","A"),"À","A"),"Â","A"),"Ã","A"),"É","E"),"Ê","E"),"Í","I"),"Ó","O"),"Ô","O"),"Õ","O"),"Ú","U"),"Ü","U"),"Ç","C"))</f>
        <v/>
      </c>
      <c r="I259" s="28" t="str">
        <f aca="false">IF(B259="","",IF(LEN(SUBSTITUTE(SUBSTITUTE(SUBSTITUTE(SUBSTITUTE(TRIM(B259),"*",""),".",""),"-","")," ",""))=11,MID(SUBSTITUTE(SUBSTITUTE(SUBSTITUTE(SUBSTITUTE(TRIM(B259),"*",""),".",""),"-","")," ",""),4,6),SUBSTITUTE(SUBSTITUTE(SUBSTITUTE(SUBSTITUTE(TRIM(B259),"*",""),".",""),"-","")," ","")))</f>
        <v/>
      </c>
      <c r="J259" s="28" t="str">
        <f aca="false">IF(OR(H259="",I259=""),"",H259&amp;"|"&amp;I259)</f>
        <v/>
      </c>
      <c r="K259" s="19" t="str">
        <f aca="false">IF(H259="","",IF(J259&lt;&gt;"",COUNTIF(Socios!$J:$J,J259),IF(COUNTIF(Socios!$H:$H,H259)&gt;0,"nome igual em Socios: confira o CPF","sem CPF: não cruzado")))</f>
        <v/>
      </c>
      <c r="L259" s="27"/>
      <c r="M259" s="5"/>
    </row>
    <row r="260" customFormat="false" ht="15" hidden="false" customHeight="false" outlineLevel="0" collapsed="false">
      <c r="A260" s="5"/>
      <c r="B260" s="27"/>
      <c r="C260" s="5"/>
      <c r="D260" s="5"/>
      <c r="E260" s="18"/>
      <c r="F260" s="14"/>
      <c r="G260" s="5"/>
      <c r="H260" s="28" t="str">
        <f aca="false">IF(A260="","",SUBSTITUTE(SUBSTITUTE(SUBSTITUTE(SUBSTITUTE(SUBSTITUTE(SUBSTITUTE(SUBSTITUTE(SUBSTITUTE(SUBSTITUTE(SUBSTITUTE(SUBSTITUTE(SUBSTITUTE(SUBSTITUTE(UPPER(TRIM(A260)),"Á","A"),"À","A"),"Â","A"),"Ã","A"),"É","E"),"Ê","E"),"Í","I"),"Ó","O"),"Ô","O"),"Õ","O"),"Ú","U"),"Ü","U"),"Ç","C"))</f>
        <v/>
      </c>
      <c r="I260" s="28" t="str">
        <f aca="false">IF(B260="","",IF(LEN(SUBSTITUTE(SUBSTITUTE(SUBSTITUTE(SUBSTITUTE(TRIM(B260),"*",""),".",""),"-","")," ",""))=11,MID(SUBSTITUTE(SUBSTITUTE(SUBSTITUTE(SUBSTITUTE(TRIM(B260),"*",""),".",""),"-","")," ",""),4,6),SUBSTITUTE(SUBSTITUTE(SUBSTITUTE(SUBSTITUTE(TRIM(B260),"*",""),".",""),"-","")," ","")))</f>
        <v/>
      </c>
      <c r="J260" s="28" t="str">
        <f aca="false">IF(OR(H260="",I260=""),"",H260&amp;"|"&amp;I260)</f>
        <v/>
      </c>
      <c r="K260" s="19" t="str">
        <f aca="false">IF(H260="","",IF(J260&lt;&gt;"",COUNTIF(Socios!$J:$J,J260),IF(COUNTIF(Socios!$H:$H,H260)&gt;0,"nome igual em Socios: confira o CPF","sem CPF: não cruzado")))</f>
        <v/>
      </c>
      <c r="L260" s="27"/>
      <c r="M260" s="5"/>
    </row>
    <row r="261" customFormat="false" ht="15" hidden="false" customHeight="false" outlineLevel="0" collapsed="false">
      <c r="A261" s="5"/>
      <c r="B261" s="27"/>
      <c r="C261" s="5"/>
      <c r="D261" s="5"/>
      <c r="E261" s="18"/>
      <c r="F261" s="14"/>
      <c r="G261" s="5"/>
      <c r="H261" s="28" t="str">
        <f aca="false">IF(A261="","",SUBSTITUTE(SUBSTITUTE(SUBSTITUTE(SUBSTITUTE(SUBSTITUTE(SUBSTITUTE(SUBSTITUTE(SUBSTITUTE(SUBSTITUTE(SUBSTITUTE(SUBSTITUTE(SUBSTITUTE(SUBSTITUTE(UPPER(TRIM(A261)),"Á","A"),"À","A"),"Â","A"),"Ã","A"),"É","E"),"Ê","E"),"Í","I"),"Ó","O"),"Ô","O"),"Õ","O"),"Ú","U"),"Ü","U"),"Ç","C"))</f>
        <v/>
      </c>
      <c r="I261" s="28" t="str">
        <f aca="false">IF(B261="","",IF(LEN(SUBSTITUTE(SUBSTITUTE(SUBSTITUTE(SUBSTITUTE(TRIM(B261),"*",""),".",""),"-","")," ",""))=11,MID(SUBSTITUTE(SUBSTITUTE(SUBSTITUTE(SUBSTITUTE(TRIM(B261),"*",""),".",""),"-","")," ",""),4,6),SUBSTITUTE(SUBSTITUTE(SUBSTITUTE(SUBSTITUTE(TRIM(B261),"*",""),".",""),"-","")," ","")))</f>
        <v/>
      </c>
      <c r="J261" s="28" t="str">
        <f aca="false">IF(OR(H261="",I261=""),"",H261&amp;"|"&amp;I261)</f>
        <v/>
      </c>
      <c r="K261" s="19" t="str">
        <f aca="false">IF(H261="","",IF(J261&lt;&gt;"",COUNTIF(Socios!$J:$J,J261),IF(COUNTIF(Socios!$H:$H,H261)&gt;0,"nome igual em Socios: confira o CPF","sem CPF: não cruzado")))</f>
        <v/>
      </c>
      <c r="L261" s="27"/>
      <c r="M261" s="5"/>
    </row>
    <row r="262" customFormat="false" ht="15" hidden="false" customHeight="false" outlineLevel="0" collapsed="false">
      <c r="A262" s="5"/>
      <c r="B262" s="27"/>
      <c r="C262" s="5"/>
      <c r="D262" s="5"/>
      <c r="E262" s="18"/>
      <c r="F262" s="14"/>
      <c r="G262" s="5"/>
      <c r="H262" s="28" t="str">
        <f aca="false">IF(A262="","",SUBSTITUTE(SUBSTITUTE(SUBSTITUTE(SUBSTITUTE(SUBSTITUTE(SUBSTITUTE(SUBSTITUTE(SUBSTITUTE(SUBSTITUTE(SUBSTITUTE(SUBSTITUTE(SUBSTITUTE(SUBSTITUTE(UPPER(TRIM(A262)),"Á","A"),"À","A"),"Â","A"),"Ã","A"),"É","E"),"Ê","E"),"Í","I"),"Ó","O"),"Ô","O"),"Õ","O"),"Ú","U"),"Ü","U"),"Ç","C"))</f>
        <v/>
      </c>
      <c r="I262" s="28" t="str">
        <f aca="false">IF(B262="","",IF(LEN(SUBSTITUTE(SUBSTITUTE(SUBSTITUTE(SUBSTITUTE(TRIM(B262),"*",""),".",""),"-","")," ",""))=11,MID(SUBSTITUTE(SUBSTITUTE(SUBSTITUTE(SUBSTITUTE(TRIM(B262),"*",""),".",""),"-","")," ",""),4,6),SUBSTITUTE(SUBSTITUTE(SUBSTITUTE(SUBSTITUTE(TRIM(B262),"*",""),".",""),"-","")," ","")))</f>
        <v/>
      </c>
      <c r="J262" s="28" t="str">
        <f aca="false">IF(OR(H262="",I262=""),"",H262&amp;"|"&amp;I262)</f>
        <v/>
      </c>
      <c r="K262" s="19" t="str">
        <f aca="false">IF(H262="","",IF(J262&lt;&gt;"",COUNTIF(Socios!$J:$J,J262),IF(COUNTIF(Socios!$H:$H,H262)&gt;0,"nome igual em Socios: confira o CPF","sem CPF: não cruzado")))</f>
        <v/>
      </c>
      <c r="L262" s="27"/>
      <c r="M262" s="5"/>
    </row>
    <row r="263" customFormat="false" ht="15" hidden="false" customHeight="false" outlineLevel="0" collapsed="false">
      <c r="A263" s="5"/>
      <c r="B263" s="27"/>
      <c r="C263" s="5"/>
      <c r="D263" s="5"/>
      <c r="E263" s="18"/>
      <c r="F263" s="14"/>
      <c r="G263" s="5"/>
      <c r="H263" s="28" t="str">
        <f aca="false">IF(A263="","",SUBSTITUTE(SUBSTITUTE(SUBSTITUTE(SUBSTITUTE(SUBSTITUTE(SUBSTITUTE(SUBSTITUTE(SUBSTITUTE(SUBSTITUTE(SUBSTITUTE(SUBSTITUTE(SUBSTITUTE(SUBSTITUTE(UPPER(TRIM(A263)),"Á","A"),"À","A"),"Â","A"),"Ã","A"),"É","E"),"Ê","E"),"Í","I"),"Ó","O"),"Ô","O"),"Õ","O"),"Ú","U"),"Ü","U"),"Ç","C"))</f>
        <v/>
      </c>
      <c r="I263" s="28" t="str">
        <f aca="false">IF(B263="","",IF(LEN(SUBSTITUTE(SUBSTITUTE(SUBSTITUTE(SUBSTITUTE(TRIM(B263),"*",""),".",""),"-","")," ",""))=11,MID(SUBSTITUTE(SUBSTITUTE(SUBSTITUTE(SUBSTITUTE(TRIM(B263),"*",""),".",""),"-","")," ",""),4,6),SUBSTITUTE(SUBSTITUTE(SUBSTITUTE(SUBSTITUTE(TRIM(B263),"*",""),".",""),"-","")," ","")))</f>
        <v/>
      </c>
      <c r="J263" s="28" t="str">
        <f aca="false">IF(OR(H263="",I263=""),"",H263&amp;"|"&amp;I263)</f>
        <v/>
      </c>
      <c r="K263" s="19" t="str">
        <f aca="false">IF(H263="","",IF(J263&lt;&gt;"",COUNTIF(Socios!$J:$J,J263),IF(COUNTIF(Socios!$H:$H,H263)&gt;0,"nome igual em Socios: confira o CPF","sem CPF: não cruzado")))</f>
        <v/>
      </c>
      <c r="L263" s="27"/>
      <c r="M263" s="5"/>
    </row>
    <row r="264" customFormat="false" ht="15" hidden="false" customHeight="false" outlineLevel="0" collapsed="false">
      <c r="A264" s="5"/>
      <c r="B264" s="27"/>
      <c r="C264" s="5"/>
      <c r="D264" s="5"/>
      <c r="E264" s="18"/>
      <c r="F264" s="14"/>
      <c r="G264" s="5"/>
      <c r="H264" s="28" t="str">
        <f aca="false">IF(A264="","",SUBSTITUTE(SUBSTITUTE(SUBSTITUTE(SUBSTITUTE(SUBSTITUTE(SUBSTITUTE(SUBSTITUTE(SUBSTITUTE(SUBSTITUTE(SUBSTITUTE(SUBSTITUTE(SUBSTITUTE(SUBSTITUTE(UPPER(TRIM(A264)),"Á","A"),"À","A"),"Â","A"),"Ã","A"),"É","E"),"Ê","E"),"Í","I"),"Ó","O"),"Ô","O"),"Õ","O"),"Ú","U"),"Ü","U"),"Ç","C"))</f>
        <v/>
      </c>
      <c r="I264" s="28" t="str">
        <f aca="false">IF(B264="","",IF(LEN(SUBSTITUTE(SUBSTITUTE(SUBSTITUTE(SUBSTITUTE(TRIM(B264),"*",""),".",""),"-","")," ",""))=11,MID(SUBSTITUTE(SUBSTITUTE(SUBSTITUTE(SUBSTITUTE(TRIM(B264),"*",""),".",""),"-","")," ",""),4,6),SUBSTITUTE(SUBSTITUTE(SUBSTITUTE(SUBSTITUTE(TRIM(B264),"*",""),".",""),"-","")," ","")))</f>
        <v/>
      </c>
      <c r="J264" s="28" t="str">
        <f aca="false">IF(OR(H264="",I264=""),"",H264&amp;"|"&amp;I264)</f>
        <v/>
      </c>
      <c r="K264" s="19" t="str">
        <f aca="false">IF(H264="","",IF(J264&lt;&gt;"",COUNTIF(Socios!$J:$J,J264),IF(COUNTIF(Socios!$H:$H,H264)&gt;0,"nome igual em Socios: confira o CPF","sem CPF: não cruzado")))</f>
        <v/>
      </c>
      <c r="L264" s="27"/>
      <c r="M264" s="5"/>
    </row>
    <row r="265" customFormat="false" ht="15" hidden="false" customHeight="false" outlineLevel="0" collapsed="false">
      <c r="A265" s="5"/>
      <c r="B265" s="27"/>
      <c r="C265" s="5"/>
      <c r="D265" s="5"/>
      <c r="E265" s="18"/>
      <c r="F265" s="14"/>
      <c r="G265" s="5"/>
      <c r="H265" s="28" t="str">
        <f aca="false">IF(A265="","",SUBSTITUTE(SUBSTITUTE(SUBSTITUTE(SUBSTITUTE(SUBSTITUTE(SUBSTITUTE(SUBSTITUTE(SUBSTITUTE(SUBSTITUTE(SUBSTITUTE(SUBSTITUTE(SUBSTITUTE(SUBSTITUTE(UPPER(TRIM(A265)),"Á","A"),"À","A"),"Â","A"),"Ã","A"),"É","E"),"Ê","E"),"Í","I"),"Ó","O"),"Ô","O"),"Õ","O"),"Ú","U"),"Ü","U"),"Ç","C"))</f>
        <v/>
      </c>
      <c r="I265" s="28" t="str">
        <f aca="false">IF(B265="","",IF(LEN(SUBSTITUTE(SUBSTITUTE(SUBSTITUTE(SUBSTITUTE(TRIM(B265),"*",""),".",""),"-","")," ",""))=11,MID(SUBSTITUTE(SUBSTITUTE(SUBSTITUTE(SUBSTITUTE(TRIM(B265),"*",""),".",""),"-","")," ",""),4,6),SUBSTITUTE(SUBSTITUTE(SUBSTITUTE(SUBSTITUTE(TRIM(B265),"*",""),".",""),"-","")," ","")))</f>
        <v/>
      </c>
      <c r="J265" s="28" t="str">
        <f aca="false">IF(OR(H265="",I265=""),"",H265&amp;"|"&amp;I265)</f>
        <v/>
      </c>
      <c r="K265" s="19" t="str">
        <f aca="false">IF(H265="","",IF(J265&lt;&gt;"",COUNTIF(Socios!$J:$J,J265),IF(COUNTIF(Socios!$H:$H,H265)&gt;0,"nome igual em Socios: confira o CPF","sem CPF: não cruzado")))</f>
        <v/>
      </c>
      <c r="L265" s="27"/>
      <c r="M265" s="5"/>
    </row>
    <row r="266" customFormat="false" ht="15" hidden="false" customHeight="false" outlineLevel="0" collapsed="false">
      <c r="A266" s="5"/>
      <c r="B266" s="27"/>
      <c r="C266" s="5"/>
      <c r="D266" s="5"/>
      <c r="E266" s="18"/>
      <c r="F266" s="14"/>
      <c r="G266" s="5"/>
      <c r="H266" s="28" t="str">
        <f aca="false">IF(A266="","",SUBSTITUTE(SUBSTITUTE(SUBSTITUTE(SUBSTITUTE(SUBSTITUTE(SUBSTITUTE(SUBSTITUTE(SUBSTITUTE(SUBSTITUTE(SUBSTITUTE(SUBSTITUTE(SUBSTITUTE(SUBSTITUTE(UPPER(TRIM(A266)),"Á","A"),"À","A"),"Â","A"),"Ã","A"),"É","E"),"Ê","E"),"Í","I"),"Ó","O"),"Ô","O"),"Õ","O"),"Ú","U"),"Ü","U"),"Ç","C"))</f>
        <v/>
      </c>
      <c r="I266" s="28" t="str">
        <f aca="false">IF(B266="","",IF(LEN(SUBSTITUTE(SUBSTITUTE(SUBSTITUTE(SUBSTITUTE(TRIM(B266),"*",""),".",""),"-","")," ",""))=11,MID(SUBSTITUTE(SUBSTITUTE(SUBSTITUTE(SUBSTITUTE(TRIM(B266),"*",""),".",""),"-","")," ",""),4,6),SUBSTITUTE(SUBSTITUTE(SUBSTITUTE(SUBSTITUTE(TRIM(B266),"*",""),".",""),"-","")," ","")))</f>
        <v/>
      </c>
      <c r="J266" s="28" t="str">
        <f aca="false">IF(OR(H266="",I266=""),"",H266&amp;"|"&amp;I266)</f>
        <v/>
      </c>
      <c r="K266" s="19" t="str">
        <f aca="false">IF(H266="","",IF(J266&lt;&gt;"",COUNTIF(Socios!$J:$J,J266),IF(COUNTIF(Socios!$H:$H,H266)&gt;0,"nome igual em Socios: confira o CPF","sem CPF: não cruzado")))</f>
        <v/>
      </c>
      <c r="L266" s="27"/>
      <c r="M266" s="5"/>
    </row>
    <row r="267" customFormat="false" ht="15" hidden="false" customHeight="false" outlineLevel="0" collapsed="false">
      <c r="A267" s="5"/>
      <c r="B267" s="27"/>
      <c r="C267" s="5"/>
      <c r="D267" s="5"/>
      <c r="E267" s="18"/>
      <c r="F267" s="14"/>
      <c r="G267" s="5"/>
      <c r="H267" s="28" t="str">
        <f aca="false">IF(A267="","",SUBSTITUTE(SUBSTITUTE(SUBSTITUTE(SUBSTITUTE(SUBSTITUTE(SUBSTITUTE(SUBSTITUTE(SUBSTITUTE(SUBSTITUTE(SUBSTITUTE(SUBSTITUTE(SUBSTITUTE(SUBSTITUTE(UPPER(TRIM(A267)),"Á","A"),"À","A"),"Â","A"),"Ã","A"),"É","E"),"Ê","E"),"Í","I"),"Ó","O"),"Ô","O"),"Õ","O"),"Ú","U"),"Ü","U"),"Ç","C"))</f>
        <v/>
      </c>
      <c r="I267" s="28" t="str">
        <f aca="false">IF(B267="","",IF(LEN(SUBSTITUTE(SUBSTITUTE(SUBSTITUTE(SUBSTITUTE(TRIM(B267),"*",""),".",""),"-","")," ",""))=11,MID(SUBSTITUTE(SUBSTITUTE(SUBSTITUTE(SUBSTITUTE(TRIM(B267),"*",""),".",""),"-","")," ",""),4,6),SUBSTITUTE(SUBSTITUTE(SUBSTITUTE(SUBSTITUTE(TRIM(B267),"*",""),".",""),"-","")," ","")))</f>
        <v/>
      </c>
      <c r="J267" s="28" t="str">
        <f aca="false">IF(OR(H267="",I267=""),"",H267&amp;"|"&amp;I267)</f>
        <v/>
      </c>
      <c r="K267" s="19" t="str">
        <f aca="false">IF(H267="","",IF(J267&lt;&gt;"",COUNTIF(Socios!$J:$J,J267),IF(COUNTIF(Socios!$H:$H,H267)&gt;0,"nome igual em Socios: confira o CPF","sem CPF: não cruzado")))</f>
        <v/>
      </c>
      <c r="L267" s="27"/>
      <c r="M267" s="5"/>
    </row>
    <row r="268" customFormat="false" ht="15" hidden="false" customHeight="false" outlineLevel="0" collapsed="false">
      <c r="A268" s="5"/>
      <c r="B268" s="27"/>
      <c r="C268" s="5"/>
      <c r="D268" s="5"/>
      <c r="E268" s="18"/>
      <c r="F268" s="14"/>
      <c r="G268" s="5"/>
      <c r="H268" s="28" t="str">
        <f aca="false">IF(A268="","",SUBSTITUTE(SUBSTITUTE(SUBSTITUTE(SUBSTITUTE(SUBSTITUTE(SUBSTITUTE(SUBSTITUTE(SUBSTITUTE(SUBSTITUTE(SUBSTITUTE(SUBSTITUTE(SUBSTITUTE(SUBSTITUTE(UPPER(TRIM(A268)),"Á","A"),"À","A"),"Â","A"),"Ã","A"),"É","E"),"Ê","E"),"Í","I"),"Ó","O"),"Ô","O"),"Õ","O"),"Ú","U"),"Ü","U"),"Ç","C"))</f>
        <v/>
      </c>
      <c r="I268" s="28" t="str">
        <f aca="false">IF(B268="","",IF(LEN(SUBSTITUTE(SUBSTITUTE(SUBSTITUTE(SUBSTITUTE(TRIM(B268),"*",""),".",""),"-","")," ",""))=11,MID(SUBSTITUTE(SUBSTITUTE(SUBSTITUTE(SUBSTITUTE(TRIM(B268),"*",""),".",""),"-","")," ",""),4,6),SUBSTITUTE(SUBSTITUTE(SUBSTITUTE(SUBSTITUTE(TRIM(B268),"*",""),".",""),"-","")," ","")))</f>
        <v/>
      </c>
      <c r="J268" s="28" t="str">
        <f aca="false">IF(OR(H268="",I268=""),"",H268&amp;"|"&amp;I268)</f>
        <v/>
      </c>
      <c r="K268" s="19" t="str">
        <f aca="false">IF(H268="","",IF(J268&lt;&gt;"",COUNTIF(Socios!$J:$J,J268),IF(COUNTIF(Socios!$H:$H,H268)&gt;0,"nome igual em Socios: confira o CPF","sem CPF: não cruzado")))</f>
        <v/>
      </c>
      <c r="L268" s="27"/>
      <c r="M268" s="5"/>
    </row>
    <row r="269" customFormat="false" ht="15" hidden="false" customHeight="false" outlineLevel="0" collapsed="false">
      <c r="A269" s="5"/>
      <c r="B269" s="27"/>
      <c r="C269" s="5"/>
      <c r="D269" s="5"/>
      <c r="E269" s="18"/>
      <c r="F269" s="14"/>
      <c r="G269" s="5"/>
      <c r="H269" s="28" t="str">
        <f aca="false">IF(A269="","",SUBSTITUTE(SUBSTITUTE(SUBSTITUTE(SUBSTITUTE(SUBSTITUTE(SUBSTITUTE(SUBSTITUTE(SUBSTITUTE(SUBSTITUTE(SUBSTITUTE(SUBSTITUTE(SUBSTITUTE(SUBSTITUTE(UPPER(TRIM(A269)),"Á","A"),"À","A"),"Â","A"),"Ã","A"),"É","E"),"Ê","E"),"Í","I"),"Ó","O"),"Ô","O"),"Õ","O"),"Ú","U"),"Ü","U"),"Ç","C"))</f>
        <v/>
      </c>
      <c r="I269" s="28" t="str">
        <f aca="false">IF(B269="","",IF(LEN(SUBSTITUTE(SUBSTITUTE(SUBSTITUTE(SUBSTITUTE(TRIM(B269),"*",""),".",""),"-","")," ",""))=11,MID(SUBSTITUTE(SUBSTITUTE(SUBSTITUTE(SUBSTITUTE(TRIM(B269),"*",""),".",""),"-","")," ",""),4,6),SUBSTITUTE(SUBSTITUTE(SUBSTITUTE(SUBSTITUTE(TRIM(B269),"*",""),".",""),"-","")," ","")))</f>
        <v/>
      </c>
      <c r="J269" s="28" t="str">
        <f aca="false">IF(OR(H269="",I269=""),"",H269&amp;"|"&amp;I269)</f>
        <v/>
      </c>
      <c r="K269" s="19" t="str">
        <f aca="false">IF(H269="","",IF(J269&lt;&gt;"",COUNTIF(Socios!$J:$J,J269),IF(COUNTIF(Socios!$H:$H,H269)&gt;0,"nome igual em Socios: confira o CPF","sem CPF: não cruzado")))</f>
        <v/>
      </c>
      <c r="L269" s="27"/>
      <c r="M269" s="5"/>
    </row>
    <row r="270" customFormat="false" ht="15" hidden="false" customHeight="false" outlineLevel="0" collapsed="false">
      <c r="A270" s="5"/>
      <c r="B270" s="27"/>
      <c r="C270" s="5"/>
      <c r="D270" s="5"/>
      <c r="E270" s="18"/>
      <c r="F270" s="14"/>
      <c r="G270" s="5"/>
      <c r="H270" s="28" t="str">
        <f aca="false">IF(A270="","",SUBSTITUTE(SUBSTITUTE(SUBSTITUTE(SUBSTITUTE(SUBSTITUTE(SUBSTITUTE(SUBSTITUTE(SUBSTITUTE(SUBSTITUTE(SUBSTITUTE(SUBSTITUTE(SUBSTITUTE(SUBSTITUTE(UPPER(TRIM(A270)),"Á","A"),"À","A"),"Â","A"),"Ã","A"),"É","E"),"Ê","E"),"Í","I"),"Ó","O"),"Ô","O"),"Õ","O"),"Ú","U"),"Ü","U"),"Ç","C"))</f>
        <v/>
      </c>
      <c r="I270" s="28" t="str">
        <f aca="false">IF(B270="","",IF(LEN(SUBSTITUTE(SUBSTITUTE(SUBSTITUTE(SUBSTITUTE(TRIM(B270),"*",""),".",""),"-","")," ",""))=11,MID(SUBSTITUTE(SUBSTITUTE(SUBSTITUTE(SUBSTITUTE(TRIM(B270),"*",""),".",""),"-","")," ",""),4,6),SUBSTITUTE(SUBSTITUTE(SUBSTITUTE(SUBSTITUTE(TRIM(B270),"*",""),".",""),"-","")," ","")))</f>
        <v/>
      </c>
      <c r="J270" s="28" t="str">
        <f aca="false">IF(OR(H270="",I270=""),"",H270&amp;"|"&amp;I270)</f>
        <v/>
      </c>
      <c r="K270" s="19" t="str">
        <f aca="false">IF(H270="","",IF(J270&lt;&gt;"",COUNTIF(Socios!$J:$J,J270),IF(COUNTIF(Socios!$H:$H,H270)&gt;0,"nome igual em Socios: confira o CPF","sem CPF: não cruzado")))</f>
        <v/>
      </c>
      <c r="L270" s="27"/>
      <c r="M270" s="5"/>
    </row>
    <row r="271" customFormat="false" ht="15" hidden="false" customHeight="false" outlineLevel="0" collapsed="false">
      <c r="A271" s="5"/>
      <c r="B271" s="27"/>
      <c r="C271" s="5"/>
      <c r="D271" s="5"/>
      <c r="E271" s="18"/>
      <c r="F271" s="14"/>
      <c r="G271" s="5"/>
      <c r="H271" s="28" t="str">
        <f aca="false">IF(A271="","",SUBSTITUTE(SUBSTITUTE(SUBSTITUTE(SUBSTITUTE(SUBSTITUTE(SUBSTITUTE(SUBSTITUTE(SUBSTITUTE(SUBSTITUTE(SUBSTITUTE(SUBSTITUTE(SUBSTITUTE(SUBSTITUTE(UPPER(TRIM(A271)),"Á","A"),"À","A"),"Â","A"),"Ã","A"),"É","E"),"Ê","E"),"Í","I"),"Ó","O"),"Ô","O"),"Õ","O"),"Ú","U"),"Ü","U"),"Ç","C"))</f>
        <v/>
      </c>
      <c r="I271" s="28" t="str">
        <f aca="false">IF(B271="","",IF(LEN(SUBSTITUTE(SUBSTITUTE(SUBSTITUTE(SUBSTITUTE(TRIM(B271),"*",""),".",""),"-","")," ",""))=11,MID(SUBSTITUTE(SUBSTITUTE(SUBSTITUTE(SUBSTITUTE(TRIM(B271),"*",""),".",""),"-","")," ",""),4,6),SUBSTITUTE(SUBSTITUTE(SUBSTITUTE(SUBSTITUTE(TRIM(B271),"*",""),".",""),"-","")," ","")))</f>
        <v/>
      </c>
      <c r="J271" s="28" t="str">
        <f aca="false">IF(OR(H271="",I271=""),"",H271&amp;"|"&amp;I271)</f>
        <v/>
      </c>
      <c r="K271" s="19" t="str">
        <f aca="false">IF(H271="","",IF(J271&lt;&gt;"",COUNTIF(Socios!$J:$J,J271),IF(COUNTIF(Socios!$H:$H,H271)&gt;0,"nome igual em Socios: confira o CPF","sem CPF: não cruzado")))</f>
        <v/>
      </c>
      <c r="L271" s="27"/>
      <c r="M271" s="5"/>
    </row>
    <row r="272" customFormat="false" ht="15" hidden="false" customHeight="false" outlineLevel="0" collapsed="false">
      <c r="A272" s="5"/>
      <c r="B272" s="27"/>
      <c r="C272" s="5"/>
      <c r="D272" s="5"/>
      <c r="E272" s="18"/>
      <c r="F272" s="14"/>
      <c r="G272" s="5"/>
      <c r="H272" s="28" t="str">
        <f aca="false">IF(A272="","",SUBSTITUTE(SUBSTITUTE(SUBSTITUTE(SUBSTITUTE(SUBSTITUTE(SUBSTITUTE(SUBSTITUTE(SUBSTITUTE(SUBSTITUTE(SUBSTITUTE(SUBSTITUTE(SUBSTITUTE(SUBSTITUTE(UPPER(TRIM(A272)),"Á","A"),"À","A"),"Â","A"),"Ã","A"),"É","E"),"Ê","E"),"Í","I"),"Ó","O"),"Ô","O"),"Õ","O"),"Ú","U"),"Ü","U"),"Ç","C"))</f>
        <v/>
      </c>
      <c r="I272" s="28" t="str">
        <f aca="false">IF(B272="","",IF(LEN(SUBSTITUTE(SUBSTITUTE(SUBSTITUTE(SUBSTITUTE(TRIM(B272),"*",""),".",""),"-","")," ",""))=11,MID(SUBSTITUTE(SUBSTITUTE(SUBSTITUTE(SUBSTITUTE(TRIM(B272),"*",""),".",""),"-","")," ",""),4,6),SUBSTITUTE(SUBSTITUTE(SUBSTITUTE(SUBSTITUTE(TRIM(B272),"*",""),".",""),"-","")," ","")))</f>
        <v/>
      </c>
      <c r="J272" s="28" t="str">
        <f aca="false">IF(OR(H272="",I272=""),"",H272&amp;"|"&amp;I272)</f>
        <v/>
      </c>
      <c r="K272" s="19" t="str">
        <f aca="false">IF(H272="","",IF(J272&lt;&gt;"",COUNTIF(Socios!$J:$J,J272),IF(COUNTIF(Socios!$H:$H,H272)&gt;0,"nome igual em Socios: confira o CPF","sem CPF: não cruzado")))</f>
        <v/>
      </c>
      <c r="L272" s="27"/>
      <c r="M272" s="5"/>
    </row>
    <row r="273" customFormat="false" ht="15" hidden="false" customHeight="false" outlineLevel="0" collapsed="false">
      <c r="A273" s="5"/>
      <c r="B273" s="27"/>
      <c r="C273" s="5"/>
      <c r="D273" s="5"/>
      <c r="E273" s="18"/>
      <c r="F273" s="14"/>
      <c r="G273" s="5"/>
      <c r="H273" s="28" t="str">
        <f aca="false">IF(A273="","",SUBSTITUTE(SUBSTITUTE(SUBSTITUTE(SUBSTITUTE(SUBSTITUTE(SUBSTITUTE(SUBSTITUTE(SUBSTITUTE(SUBSTITUTE(SUBSTITUTE(SUBSTITUTE(SUBSTITUTE(SUBSTITUTE(UPPER(TRIM(A273)),"Á","A"),"À","A"),"Â","A"),"Ã","A"),"É","E"),"Ê","E"),"Í","I"),"Ó","O"),"Ô","O"),"Õ","O"),"Ú","U"),"Ü","U"),"Ç","C"))</f>
        <v/>
      </c>
      <c r="I273" s="28" t="str">
        <f aca="false">IF(B273="","",IF(LEN(SUBSTITUTE(SUBSTITUTE(SUBSTITUTE(SUBSTITUTE(TRIM(B273),"*",""),".",""),"-","")," ",""))=11,MID(SUBSTITUTE(SUBSTITUTE(SUBSTITUTE(SUBSTITUTE(TRIM(B273),"*",""),".",""),"-","")," ",""),4,6),SUBSTITUTE(SUBSTITUTE(SUBSTITUTE(SUBSTITUTE(TRIM(B273),"*",""),".",""),"-","")," ","")))</f>
        <v/>
      </c>
      <c r="J273" s="28" t="str">
        <f aca="false">IF(OR(H273="",I273=""),"",H273&amp;"|"&amp;I273)</f>
        <v/>
      </c>
      <c r="K273" s="19" t="str">
        <f aca="false">IF(H273="","",IF(J273&lt;&gt;"",COUNTIF(Socios!$J:$J,J273),IF(COUNTIF(Socios!$H:$H,H273)&gt;0,"nome igual em Socios: confira o CPF","sem CPF: não cruzado")))</f>
        <v/>
      </c>
      <c r="L273" s="27"/>
      <c r="M273" s="5"/>
    </row>
    <row r="274" customFormat="false" ht="15" hidden="false" customHeight="false" outlineLevel="0" collapsed="false">
      <c r="A274" s="5"/>
      <c r="B274" s="27"/>
      <c r="C274" s="5"/>
      <c r="D274" s="5"/>
      <c r="E274" s="18"/>
      <c r="F274" s="14"/>
      <c r="G274" s="5"/>
      <c r="H274" s="28" t="str">
        <f aca="false">IF(A274="","",SUBSTITUTE(SUBSTITUTE(SUBSTITUTE(SUBSTITUTE(SUBSTITUTE(SUBSTITUTE(SUBSTITUTE(SUBSTITUTE(SUBSTITUTE(SUBSTITUTE(SUBSTITUTE(SUBSTITUTE(SUBSTITUTE(UPPER(TRIM(A274)),"Á","A"),"À","A"),"Â","A"),"Ã","A"),"É","E"),"Ê","E"),"Í","I"),"Ó","O"),"Ô","O"),"Õ","O"),"Ú","U"),"Ü","U"),"Ç","C"))</f>
        <v/>
      </c>
      <c r="I274" s="28" t="str">
        <f aca="false">IF(B274="","",IF(LEN(SUBSTITUTE(SUBSTITUTE(SUBSTITUTE(SUBSTITUTE(TRIM(B274),"*",""),".",""),"-","")," ",""))=11,MID(SUBSTITUTE(SUBSTITUTE(SUBSTITUTE(SUBSTITUTE(TRIM(B274),"*",""),".",""),"-","")," ",""),4,6),SUBSTITUTE(SUBSTITUTE(SUBSTITUTE(SUBSTITUTE(TRIM(B274),"*",""),".",""),"-","")," ","")))</f>
        <v/>
      </c>
      <c r="J274" s="28" t="str">
        <f aca="false">IF(OR(H274="",I274=""),"",H274&amp;"|"&amp;I274)</f>
        <v/>
      </c>
      <c r="K274" s="19" t="str">
        <f aca="false">IF(H274="","",IF(J274&lt;&gt;"",COUNTIF(Socios!$J:$J,J274),IF(COUNTIF(Socios!$H:$H,H274)&gt;0,"nome igual em Socios: confira o CPF","sem CPF: não cruzado")))</f>
        <v/>
      </c>
      <c r="L274" s="27"/>
      <c r="M274" s="5"/>
    </row>
    <row r="275" customFormat="false" ht="15" hidden="false" customHeight="false" outlineLevel="0" collapsed="false">
      <c r="A275" s="5"/>
      <c r="B275" s="27"/>
      <c r="C275" s="5"/>
      <c r="D275" s="5"/>
      <c r="E275" s="18"/>
      <c r="F275" s="14"/>
      <c r="G275" s="5"/>
      <c r="H275" s="28" t="str">
        <f aca="false">IF(A275="","",SUBSTITUTE(SUBSTITUTE(SUBSTITUTE(SUBSTITUTE(SUBSTITUTE(SUBSTITUTE(SUBSTITUTE(SUBSTITUTE(SUBSTITUTE(SUBSTITUTE(SUBSTITUTE(SUBSTITUTE(SUBSTITUTE(UPPER(TRIM(A275)),"Á","A"),"À","A"),"Â","A"),"Ã","A"),"É","E"),"Ê","E"),"Í","I"),"Ó","O"),"Ô","O"),"Õ","O"),"Ú","U"),"Ü","U"),"Ç","C"))</f>
        <v/>
      </c>
      <c r="I275" s="28" t="str">
        <f aca="false">IF(B275="","",IF(LEN(SUBSTITUTE(SUBSTITUTE(SUBSTITUTE(SUBSTITUTE(TRIM(B275),"*",""),".",""),"-","")," ",""))=11,MID(SUBSTITUTE(SUBSTITUTE(SUBSTITUTE(SUBSTITUTE(TRIM(B275),"*",""),".",""),"-","")," ",""),4,6),SUBSTITUTE(SUBSTITUTE(SUBSTITUTE(SUBSTITUTE(TRIM(B275),"*",""),".",""),"-","")," ","")))</f>
        <v/>
      </c>
      <c r="J275" s="28" t="str">
        <f aca="false">IF(OR(H275="",I275=""),"",H275&amp;"|"&amp;I275)</f>
        <v/>
      </c>
      <c r="K275" s="19" t="str">
        <f aca="false">IF(H275="","",IF(J275&lt;&gt;"",COUNTIF(Socios!$J:$J,J275),IF(COUNTIF(Socios!$H:$H,H275)&gt;0,"nome igual em Socios: confira o CPF","sem CPF: não cruzado")))</f>
        <v/>
      </c>
      <c r="L275" s="27"/>
      <c r="M275" s="5"/>
    </row>
    <row r="276" customFormat="false" ht="15" hidden="false" customHeight="false" outlineLevel="0" collapsed="false">
      <c r="A276" s="5"/>
      <c r="B276" s="27"/>
      <c r="C276" s="5"/>
      <c r="D276" s="5"/>
      <c r="E276" s="18"/>
      <c r="F276" s="14"/>
      <c r="G276" s="5"/>
      <c r="H276" s="28" t="str">
        <f aca="false">IF(A276="","",SUBSTITUTE(SUBSTITUTE(SUBSTITUTE(SUBSTITUTE(SUBSTITUTE(SUBSTITUTE(SUBSTITUTE(SUBSTITUTE(SUBSTITUTE(SUBSTITUTE(SUBSTITUTE(SUBSTITUTE(SUBSTITUTE(UPPER(TRIM(A276)),"Á","A"),"À","A"),"Â","A"),"Ã","A"),"É","E"),"Ê","E"),"Í","I"),"Ó","O"),"Ô","O"),"Õ","O"),"Ú","U"),"Ü","U"),"Ç","C"))</f>
        <v/>
      </c>
      <c r="I276" s="28" t="str">
        <f aca="false">IF(B276="","",IF(LEN(SUBSTITUTE(SUBSTITUTE(SUBSTITUTE(SUBSTITUTE(TRIM(B276),"*",""),".",""),"-","")," ",""))=11,MID(SUBSTITUTE(SUBSTITUTE(SUBSTITUTE(SUBSTITUTE(TRIM(B276),"*",""),".",""),"-","")," ",""),4,6),SUBSTITUTE(SUBSTITUTE(SUBSTITUTE(SUBSTITUTE(TRIM(B276),"*",""),".",""),"-","")," ","")))</f>
        <v/>
      </c>
      <c r="J276" s="28" t="str">
        <f aca="false">IF(OR(H276="",I276=""),"",H276&amp;"|"&amp;I276)</f>
        <v/>
      </c>
      <c r="K276" s="19" t="str">
        <f aca="false">IF(H276="","",IF(J276&lt;&gt;"",COUNTIF(Socios!$J:$J,J276),IF(COUNTIF(Socios!$H:$H,H276)&gt;0,"nome igual em Socios: confira o CPF","sem CPF: não cruzado")))</f>
        <v/>
      </c>
      <c r="L276" s="27"/>
      <c r="M276" s="5"/>
    </row>
    <row r="277" customFormat="false" ht="15" hidden="false" customHeight="false" outlineLevel="0" collapsed="false">
      <c r="A277" s="5"/>
      <c r="B277" s="27"/>
      <c r="C277" s="5"/>
      <c r="D277" s="5"/>
      <c r="E277" s="18"/>
      <c r="F277" s="14"/>
      <c r="G277" s="5"/>
      <c r="H277" s="28" t="str">
        <f aca="false">IF(A277="","",SUBSTITUTE(SUBSTITUTE(SUBSTITUTE(SUBSTITUTE(SUBSTITUTE(SUBSTITUTE(SUBSTITUTE(SUBSTITUTE(SUBSTITUTE(SUBSTITUTE(SUBSTITUTE(SUBSTITUTE(SUBSTITUTE(UPPER(TRIM(A277)),"Á","A"),"À","A"),"Â","A"),"Ã","A"),"É","E"),"Ê","E"),"Í","I"),"Ó","O"),"Ô","O"),"Õ","O"),"Ú","U"),"Ü","U"),"Ç","C"))</f>
        <v/>
      </c>
      <c r="I277" s="28" t="str">
        <f aca="false">IF(B277="","",IF(LEN(SUBSTITUTE(SUBSTITUTE(SUBSTITUTE(SUBSTITUTE(TRIM(B277),"*",""),".",""),"-","")," ",""))=11,MID(SUBSTITUTE(SUBSTITUTE(SUBSTITUTE(SUBSTITUTE(TRIM(B277),"*",""),".",""),"-","")," ",""),4,6),SUBSTITUTE(SUBSTITUTE(SUBSTITUTE(SUBSTITUTE(TRIM(B277),"*",""),".",""),"-","")," ","")))</f>
        <v/>
      </c>
      <c r="J277" s="28" t="str">
        <f aca="false">IF(OR(H277="",I277=""),"",H277&amp;"|"&amp;I277)</f>
        <v/>
      </c>
      <c r="K277" s="19" t="str">
        <f aca="false">IF(H277="","",IF(J277&lt;&gt;"",COUNTIF(Socios!$J:$J,J277),IF(COUNTIF(Socios!$H:$H,H277)&gt;0,"nome igual em Socios: confira o CPF","sem CPF: não cruzado")))</f>
        <v/>
      </c>
      <c r="L277" s="27"/>
      <c r="M277" s="5"/>
    </row>
    <row r="278" customFormat="false" ht="15" hidden="false" customHeight="false" outlineLevel="0" collapsed="false">
      <c r="A278" s="5"/>
      <c r="B278" s="27"/>
      <c r="C278" s="5"/>
      <c r="D278" s="5"/>
      <c r="E278" s="18"/>
      <c r="F278" s="14"/>
      <c r="G278" s="5"/>
      <c r="H278" s="28" t="str">
        <f aca="false">IF(A278="","",SUBSTITUTE(SUBSTITUTE(SUBSTITUTE(SUBSTITUTE(SUBSTITUTE(SUBSTITUTE(SUBSTITUTE(SUBSTITUTE(SUBSTITUTE(SUBSTITUTE(SUBSTITUTE(SUBSTITUTE(SUBSTITUTE(UPPER(TRIM(A278)),"Á","A"),"À","A"),"Â","A"),"Ã","A"),"É","E"),"Ê","E"),"Í","I"),"Ó","O"),"Ô","O"),"Õ","O"),"Ú","U"),"Ü","U"),"Ç","C"))</f>
        <v/>
      </c>
      <c r="I278" s="28" t="str">
        <f aca="false">IF(B278="","",IF(LEN(SUBSTITUTE(SUBSTITUTE(SUBSTITUTE(SUBSTITUTE(TRIM(B278),"*",""),".",""),"-","")," ",""))=11,MID(SUBSTITUTE(SUBSTITUTE(SUBSTITUTE(SUBSTITUTE(TRIM(B278),"*",""),".",""),"-","")," ",""),4,6),SUBSTITUTE(SUBSTITUTE(SUBSTITUTE(SUBSTITUTE(TRIM(B278),"*",""),".",""),"-","")," ","")))</f>
        <v/>
      </c>
      <c r="J278" s="28" t="str">
        <f aca="false">IF(OR(H278="",I278=""),"",H278&amp;"|"&amp;I278)</f>
        <v/>
      </c>
      <c r="K278" s="19" t="str">
        <f aca="false">IF(H278="","",IF(J278&lt;&gt;"",COUNTIF(Socios!$J:$J,J278),IF(COUNTIF(Socios!$H:$H,H278)&gt;0,"nome igual em Socios: confira o CPF","sem CPF: não cruzado")))</f>
        <v/>
      </c>
      <c r="L278" s="27"/>
      <c r="M278" s="5"/>
    </row>
    <row r="279" customFormat="false" ht="15" hidden="false" customHeight="false" outlineLevel="0" collapsed="false">
      <c r="A279" s="5"/>
      <c r="B279" s="27"/>
      <c r="C279" s="5"/>
      <c r="D279" s="5"/>
      <c r="E279" s="18"/>
      <c r="F279" s="14"/>
      <c r="G279" s="5"/>
      <c r="H279" s="28" t="str">
        <f aca="false">IF(A279="","",SUBSTITUTE(SUBSTITUTE(SUBSTITUTE(SUBSTITUTE(SUBSTITUTE(SUBSTITUTE(SUBSTITUTE(SUBSTITUTE(SUBSTITUTE(SUBSTITUTE(SUBSTITUTE(SUBSTITUTE(SUBSTITUTE(UPPER(TRIM(A279)),"Á","A"),"À","A"),"Â","A"),"Ã","A"),"É","E"),"Ê","E"),"Í","I"),"Ó","O"),"Ô","O"),"Õ","O"),"Ú","U"),"Ü","U"),"Ç","C"))</f>
        <v/>
      </c>
      <c r="I279" s="28" t="str">
        <f aca="false">IF(B279="","",IF(LEN(SUBSTITUTE(SUBSTITUTE(SUBSTITUTE(SUBSTITUTE(TRIM(B279),"*",""),".",""),"-","")," ",""))=11,MID(SUBSTITUTE(SUBSTITUTE(SUBSTITUTE(SUBSTITUTE(TRIM(B279),"*",""),".",""),"-","")," ",""),4,6),SUBSTITUTE(SUBSTITUTE(SUBSTITUTE(SUBSTITUTE(TRIM(B279),"*",""),".",""),"-","")," ","")))</f>
        <v/>
      </c>
      <c r="J279" s="28" t="str">
        <f aca="false">IF(OR(H279="",I279=""),"",H279&amp;"|"&amp;I279)</f>
        <v/>
      </c>
      <c r="K279" s="19" t="str">
        <f aca="false">IF(H279="","",IF(J279&lt;&gt;"",COUNTIF(Socios!$J:$J,J279),IF(COUNTIF(Socios!$H:$H,H279)&gt;0,"nome igual em Socios: confira o CPF","sem CPF: não cruzado")))</f>
        <v/>
      </c>
      <c r="L279" s="27"/>
      <c r="M279" s="5"/>
    </row>
    <row r="280" customFormat="false" ht="15" hidden="false" customHeight="false" outlineLevel="0" collapsed="false">
      <c r="A280" s="5"/>
      <c r="B280" s="27"/>
      <c r="C280" s="5"/>
      <c r="D280" s="5"/>
      <c r="E280" s="18"/>
      <c r="F280" s="14"/>
      <c r="G280" s="5"/>
      <c r="H280" s="28" t="str">
        <f aca="false">IF(A280="","",SUBSTITUTE(SUBSTITUTE(SUBSTITUTE(SUBSTITUTE(SUBSTITUTE(SUBSTITUTE(SUBSTITUTE(SUBSTITUTE(SUBSTITUTE(SUBSTITUTE(SUBSTITUTE(SUBSTITUTE(SUBSTITUTE(UPPER(TRIM(A280)),"Á","A"),"À","A"),"Â","A"),"Ã","A"),"É","E"),"Ê","E"),"Í","I"),"Ó","O"),"Ô","O"),"Õ","O"),"Ú","U"),"Ü","U"),"Ç","C"))</f>
        <v/>
      </c>
      <c r="I280" s="28" t="str">
        <f aca="false">IF(B280="","",IF(LEN(SUBSTITUTE(SUBSTITUTE(SUBSTITUTE(SUBSTITUTE(TRIM(B280),"*",""),".",""),"-","")," ",""))=11,MID(SUBSTITUTE(SUBSTITUTE(SUBSTITUTE(SUBSTITUTE(TRIM(B280),"*",""),".",""),"-","")," ",""),4,6),SUBSTITUTE(SUBSTITUTE(SUBSTITUTE(SUBSTITUTE(TRIM(B280),"*",""),".",""),"-","")," ","")))</f>
        <v/>
      </c>
      <c r="J280" s="28" t="str">
        <f aca="false">IF(OR(H280="",I280=""),"",H280&amp;"|"&amp;I280)</f>
        <v/>
      </c>
      <c r="K280" s="19" t="str">
        <f aca="false">IF(H280="","",IF(J280&lt;&gt;"",COUNTIF(Socios!$J:$J,J280),IF(COUNTIF(Socios!$H:$H,H280)&gt;0,"nome igual em Socios: confira o CPF","sem CPF: não cruzado")))</f>
        <v/>
      </c>
      <c r="L280" s="27"/>
      <c r="M280" s="5"/>
    </row>
    <row r="281" customFormat="false" ht="15" hidden="false" customHeight="false" outlineLevel="0" collapsed="false">
      <c r="A281" s="5"/>
      <c r="B281" s="27"/>
      <c r="C281" s="5"/>
      <c r="D281" s="5"/>
      <c r="E281" s="18"/>
      <c r="F281" s="14"/>
      <c r="G281" s="5"/>
      <c r="H281" s="28" t="str">
        <f aca="false">IF(A281="","",SUBSTITUTE(SUBSTITUTE(SUBSTITUTE(SUBSTITUTE(SUBSTITUTE(SUBSTITUTE(SUBSTITUTE(SUBSTITUTE(SUBSTITUTE(SUBSTITUTE(SUBSTITUTE(SUBSTITUTE(SUBSTITUTE(UPPER(TRIM(A281)),"Á","A"),"À","A"),"Â","A"),"Ã","A"),"É","E"),"Ê","E"),"Í","I"),"Ó","O"),"Ô","O"),"Õ","O"),"Ú","U"),"Ü","U"),"Ç","C"))</f>
        <v/>
      </c>
      <c r="I281" s="28" t="str">
        <f aca="false">IF(B281="","",IF(LEN(SUBSTITUTE(SUBSTITUTE(SUBSTITUTE(SUBSTITUTE(TRIM(B281),"*",""),".",""),"-","")," ",""))=11,MID(SUBSTITUTE(SUBSTITUTE(SUBSTITUTE(SUBSTITUTE(TRIM(B281),"*",""),".",""),"-","")," ",""),4,6),SUBSTITUTE(SUBSTITUTE(SUBSTITUTE(SUBSTITUTE(TRIM(B281),"*",""),".",""),"-","")," ","")))</f>
        <v/>
      </c>
      <c r="J281" s="28" t="str">
        <f aca="false">IF(OR(H281="",I281=""),"",H281&amp;"|"&amp;I281)</f>
        <v/>
      </c>
      <c r="K281" s="19" t="str">
        <f aca="false">IF(H281="","",IF(J281&lt;&gt;"",COUNTIF(Socios!$J:$J,J281),IF(COUNTIF(Socios!$H:$H,H281)&gt;0,"nome igual em Socios: confira o CPF","sem CPF: não cruzado")))</f>
        <v/>
      </c>
      <c r="L281" s="27"/>
      <c r="M281" s="5"/>
    </row>
    <row r="282" customFormat="false" ht="15" hidden="false" customHeight="false" outlineLevel="0" collapsed="false">
      <c r="A282" s="5"/>
      <c r="B282" s="27"/>
      <c r="C282" s="5"/>
      <c r="D282" s="5"/>
      <c r="E282" s="18"/>
      <c r="F282" s="14"/>
      <c r="G282" s="5"/>
      <c r="H282" s="28" t="str">
        <f aca="false">IF(A282="","",SUBSTITUTE(SUBSTITUTE(SUBSTITUTE(SUBSTITUTE(SUBSTITUTE(SUBSTITUTE(SUBSTITUTE(SUBSTITUTE(SUBSTITUTE(SUBSTITUTE(SUBSTITUTE(SUBSTITUTE(SUBSTITUTE(UPPER(TRIM(A282)),"Á","A"),"À","A"),"Â","A"),"Ã","A"),"É","E"),"Ê","E"),"Í","I"),"Ó","O"),"Ô","O"),"Õ","O"),"Ú","U"),"Ü","U"),"Ç","C"))</f>
        <v/>
      </c>
      <c r="I282" s="28" t="str">
        <f aca="false">IF(B282="","",IF(LEN(SUBSTITUTE(SUBSTITUTE(SUBSTITUTE(SUBSTITUTE(TRIM(B282),"*",""),".",""),"-","")," ",""))=11,MID(SUBSTITUTE(SUBSTITUTE(SUBSTITUTE(SUBSTITUTE(TRIM(B282),"*",""),".",""),"-","")," ",""),4,6),SUBSTITUTE(SUBSTITUTE(SUBSTITUTE(SUBSTITUTE(TRIM(B282),"*",""),".",""),"-","")," ","")))</f>
        <v/>
      </c>
      <c r="J282" s="28" t="str">
        <f aca="false">IF(OR(H282="",I282=""),"",H282&amp;"|"&amp;I282)</f>
        <v/>
      </c>
      <c r="K282" s="19" t="str">
        <f aca="false">IF(H282="","",IF(J282&lt;&gt;"",COUNTIF(Socios!$J:$J,J282),IF(COUNTIF(Socios!$H:$H,H282)&gt;0,"nome igual em Socios: confira o CPF","sem CPF: não cruzado")))</f>
        <v/>
      </c>
      <c r="L282" s="27"/>
      <c r="M282" s="5"/>
    </row>
    <row r="283" customFormat="false" ht="15" hidden="false" customHeight="false" outlineLevel="0" collapsed="false">
      <c r="A283" s="5"/>
      <c r="B283" s="27"/>
      <c r="C283" s="5"/>
      <c r="D283" s="5"/>
      <c r="E283" s="18"/>
      <c r="F283" s="14"/>
      <c r="G283" s="5"/>
      <c r="H283" s="28" t="str">
        <f aca="false">IF(A283="","",SUBSTITUTE(SUBSTITUTE(SUBSTITUTE(SUBSTITUTE(SUBSTITUTE(SUBSTITUTE(SUBSTITUTE(SUBSTITUTE(SUBSTITUTE(SUBSTITUTE(SUBSTITUTE(SUBSTITUTE(SUBSTITUTE(UPPER(TRIM(A283)),"Á","A"),"À","A"),"Â","A"),"Ã","A"),"É","E"),"Ê","E"),"Í","I"),"Ó","O"),"Ô","O"),"Õ","O"),"Ú","U"),"Ü","U"),"Ç","C"))</f>
        <v/>
      </c>
      <c r="I283" s="28" t="str">
        <f aca="false">IF(B283="","",IF(LEN(SUBSTITUTE(SUBSTITUTE(SUBSTITUTE(SUBSTITUTE(TRIM(B283),"*",""),".",""),"-","")," ",""))=11,MID(SUBSTITUTE(SUBSTITUTE(SUBSTITUTE(SUBSTITUTE(TRIM(B283),"*",""),".",""),"-","")," ",""),4,6),SUBSTITUTE(SUBSTITUTE(SUBSTITUTE(SUBSTITUTE(TRIM(B283),"*",""),".",""),"-","")," ","")))</f>
        <v/>
      </c>
      <c r="J283" s="28" t="str">
        <f aca="false">IF(OR(H283="",I283=""),"",H283&amp;"|"&amp;I283)</f>
        <v/>
      </c>
      <c r="K283" s="19" t="str">
        <f aca="false">IF(H283="","",IF(J283&lt;&gt;"",COUNTIF(Socios!$J:$J,J283),IF(COUNTIF(Socios!$H:$H,H283)&gt;0,"nome igual em Socios: confira o CPF","sem CPF: não cruzado")))</f>
        <v/>
      </c>
      <c r="L283" s="27"/>
      <c r="M283" s="5"/>
    </row>
    <row r="284" customFormat="false" ht="15" hidden="false" customHeight="false" outlineLevel="0" collapsed="false">
      <c r="A284" s="5"/>
      <c r="B284" s="27"/>
      <c r="C284" s="5"/>
      <c r="D284" s="5"/>
      <c r="E284" s="18"/>
      <c r="F284" s="14"/>
      <c r="G284" s="5"/>
      <c r="H284" s="28" t="str">
        <f aca="false">IF(A284="","",SUBSTITUTE(SUBSTITUTE(SUBSTITUTE(SUBSTITUTE(SUBSTITUTE(SUBSTITUTE(SUBSTITUTE(SUBSTITUTE(SUBSTITUTE(SUBSTITUTE(SUBSTITUTE(SUBSTITUTE(SUBSTITUTE(UPPER(TRIM(A284)),"Á","A"),"À","A"),"Â","A"),"Ã","A"),"É","E"),"Ê","E"),"Í","I"),"Ó","O"),"Ô","O"),"Õ","O"),"Ú","U"),"Ü","U"),"Ç","C"))</f>
        <v/>
      </c>
      <c r="I284" s="28" t="str">
        <f aca="false">IF(B284="","",IF(LEN(SUBSTITUTE(SUBSTITUTE(SUBSTITUTE(SUBSTITUTE(TRIM(B284),"*",""),".",""),"-","")," ",""))=11,MID(SUBSTITUTE(SUBSTITUTE(SUBSTITUTE(SUBSTITUTE(TRIM(B284),"*",""),".",""),"-","")," ",""),4,6),SUBSTITUTE(SUBSTITUTE(SUBSTITUTE(SUBSTITUTE(TRIM(B284),"*",""),".",""),"-","")," ","")))</f>
        <v/>
      </c>
      <c r="J284" s="28" t="str">
        <f aca="false">IF(OR(H284="",I284=""),"",H284&amp;"|"&amp;I284)</f>
        <v/>
      </c>
      <c r="K284" s="19" t="str">
        <f aca="false">IF(H284="","",IF(J284&lt;&gt;"",COUNTIF(Socios!$J:$J,J284),IF(COUNTIF(Socios!$H:$H,H284)&gt;0,"nome igual em Socios: confira o CPF","sem CPF: não cruzado")))</f>
        <v/>
      </c>
      <c r="L284" s="27"/>
      <c r="M284" s="5"/>
    </row>
    <row r="285" customFormat="false" ht="15" hidden="false" customHeight="false" outlineLevel="0" collapsed="false">
      <c r="A285" s="5"/>
      <c r="B285" s="27"/>
      <c r="C285" s="5"/>
      <c r="D285" s="5"/>
      <c r="E285" s="18"/>
      <c r="F285" s="14"/>
      <c r="G285" s="5"/>
      <c r="H285" s="28" t="str">
        <f aca="false">IF(A285="","",SUBSTITUTE(SUBSTITUTE(SUBSTITUTE(SUBSTITUTE(SUBSTITUTE(SUBSTITUTE(SUBSTITUTE(SUBSTITUTE(SUBSTITUTE(SUBSTITUTE(SUBSTITUTE(SUBSTITUTE(SUBSTITUTE(UPPER(TRIM(A285)),"Á","A"),"À","A"),"Â","A"),"Ã","A"),"É","E"),"Ê","E"),"Í","I"),"Ó","O"),"Ô","O"),"Õ","O"),"Ú","U"),"Ü","U"),"Ç","C"))</f>
        <v/>
      </c>
      <c r="I285" s="28" t="str">
        <f aca="false">IF(B285="","",IF(LEN(SUBSTITUTE(SUBSTITUTE(SUBSTITUTE(SUBSTITUTE(TRIM(B285),"*",""),".",""),"-","")," ",""))=11,MID(SUBSTITUTE(SUBSTITUTE(SUBSTITUTE(SUBSTITUTE(TRIM(B285),"*",""),".",""),"-","")," ",""),4,6),SUBSTITUTE(SUBSTITUTE(SUBSTITUTE(SUBSTITUTE(TRIM(B285),"*",""),".",""),"-","")," ","")))</f>
        <v/>
      </c>
      <c r="J285" s="28" t="str">
        <f aca="false">IF(OR(H285="",I285=""),"",H285&amp;"|"&amp;I285)</f>
        <v/>
      </c>
      <c r="K285" s="19" t="str">
        <f aca="false">IF(H285="","",IF(J285&lt;&gt;"",COUNTIF(Socios!$J:$J,J285),IF(COUNTIF(Socios!$H:$H,H285)&gt;0,"nome igual em Socios: confira o CPF","sem CPF: não cruzado")))</f>
        <v/>
      </c>
      <c r="L285" s="27"/>
      <c r="M285" s="5"/>
    </row>
    <row r="286" customFormat="false" ht="15" hidden="false" customHeight="false" outlineLevel="0" collapsed="false">
      <c r="A286" s="5"/>
      <c r="B286" s="27"/>
      <c r="C286" s="5"/>
      <c r="D286" s="5"/>
      <c r="E286" s="18"/>
      <c r="F286" s="14"/>
      <c r="G286" s="5"/>
      <c r="H286" s="28" t="str">
        <f aca="false">IF(A286="","",SUBSTITUTE(SUBSTITUTE(SUBSTITUTE(SUBSTITUTE(SUBSTITUTE(SUBSTITUTE(SUBSTITUTE(SUBSTITUTE(SUBSTITUTE(SUBSTITUTE(SUBSTITUTE(SUBSTITUTE(SUBSTITUTE(UPPER(TRIM(A286)),"Á","A"),"À","A"),"Â","A"),"Ã","A"),"É","E"),"Ê","E"),"Í","I"),"Ó","O"),"Ô","O"),"Õ","O"),"Ú","U"),"Ü","U"),"Ç","C"))</f>
        <v/>
      </c>
      <c r="I286" s="28" t="str">
        <f aca="false">IF(B286="","",IF(LEN(SUBSTITUTE(SUBSTITUTE(SUBSTITUTE(SUBSTITUTE(TRIM(B286),"*",""),".",""),"-","")," ",""))=11,MID(SUBSTITUTE(SUBSTITUTE(SUBSTITUTE(SUBSTITUTE(TRIM(B286),"*",""),".",""),"-","")," ",""),4,6),SUBSTITUTE(SUBSTITUTE(SUBSTITUTE(SUBSTITUTE(TRIM(B286),"*",""),".",""),"-","")," ","")))</f>
        <v/>
      </c>
      <c r="J286" s="28" t="str">
        <f aca="false">IF(OR(H286="",I286=""),"",H286&amp;"|"&amp;I286)</f>
        <v/>
      </c>
      <c r="K286" s="19" t="str">
        <f aca="false">IF(H286="","",IF(J286&lt;&gt;"",COUNTIF(Socios!$J:$J,J286),IF(COUNTIF(Socios!$H:$H,H286)&gt;0,"nome igual em Socios: confira o CPF","sem CPF: não cruzado")))</f>
        <v/>
      </c>
      <c r="L286" s="27"/>
      <c r="M286" s="5"/>
    </row>
    <row r="287" customFormat="false" ht="15" hidden="false" customHeight="false" outlineLevel="0" collapsed="false">
      <c r="A287" s="5"/>
      <c r="B287" s="27"/>
      <c r="C287" s="5"/>
      <c r="D287" s="5"/>
      <c r="E287" s="18"/>
      <c r="F287" s="14"/>
      <c r="G287" s="5"/>
      <c r="H287" s="28" t="str">
        <f aca="false">IF(A287="","",SUBSTITUTE(SUBSTITUTE(SUBSTITUTE(SUBSTITUTE(SUBSTITUTE(SUBSTITUTE(SUBSTITUTE(SUBSTITUTE(SUBSTITUTE(SUBSTITUTE(SUBSTITUTE(SUBSTITUTE(SUBSTITUTE(UPPER(TRIM(A287)),"Á","A"),"À","A"),"Â","A"),"Ã","A"),"É","E"),"Ê","E"),"Í","I"),"Ó","O"),"Ô","O"),"Õ","O"),"Ú","U"),"Ü","U"),"Ç","C"))</f>
        <v/>
      </c>
      <c r="I287" s="28" t="str">
        <f aca="false">IF(B287="","",IF(LEN(SUBSTITUTE(SUBSTITUTE(SUBSTITUTE(SUBSTITUTE(TRIM(B287),"*",""),".",""),"-","")," ",""))=11,MID(SUBSTITUTE(SUBSTITUTE(SUBSTITUTE(SUBSTITUTE(TRIM(B287),"*",""),".",""),"-","")," ",""),4,6),SUBSTITUTE(SUBSTITUTE(SUBSTITUTE(SUBSTITUTE(TRIM(B287),"*",""),".",""),"-","")," ","")))</f>
        <v/>
      </c>
      <c r="J287" s="28" t="str">
        <f aca="false">IF(OR(H287="",I287=""),"",H287&amp;"|"&amp;I287)</f>
        <v/>
      </c>
      <c r="K287" s="19" t="str">
        <f aca="false">IF(H287="","",IF(J287&lt;&gt;"",COUNTIF(Socios!$J:$J,J287),IF(COUNTIF(Socios!$H:$H,H287)&gt;0,"nome igual em Socios: confira o CPF","sem CPF: não cruzado")))</f>
        <v/>
      </c>
      <c r="L287" s="27"/>
      <c r="M287" s="5"/>
    </row>
    <row r="288" customFormat="false" ht="15" hidden="false" customHeight="false" outlineLevel="0" collapsed="false">
      <c r="A288" s="5"/>
      <c r="B288" s="27"/>
      <c r="C288" s="5"/>
      <c r="D288" s="5"/>
      <c r="E288" s="18"/>
      <c r="F288" s="14"/>
      <c r="G288" s="5"/>
      <c r="H288" s="28" t="str">
        <f aca="false">IF(A288="","",SUBSTITUTE(SUBSTITUTE(SUBSTITUTE(SUBSTITUTE(SUBSTITUTE(SUBSTITUTE(SUBSTITUTE(SUBSTITUTE(SUBSTITUTE(SUBSTITUTE(SUBSTITUTE(SUBSTITUTE(SUBSTITUTE(UPPER(TRIM(A288)),"Á","A"),"À","A"),"Â","A"),"Ã","A"),"É","E"),"Ê","E"),"Í","I"),"Ó","O"),"Ô","O"),"Õ","O"),"Ú","U"),"Ü","U"),"Ç","C"))</f>
        <v/>
      </c>
      <c r="I288" s="28" t="str">
        <f aca="false">IF(B288="","",IF(LEN(SUBSTITUTE(SUBSTITUTE(SUBSTITUTE(SUBSTITUTE(TRIM(B288),"*",""),".",""),"-","")," ",""))=11,MID(SUBSTITUTE(SUBSTITUTE(SUBSTITUTE(SUBSTITUTE(TRIM(B288),"*",""),".",""),"-","")," ",""),4,6),SUBSTITUTE(SUBSTITUTE(SUBSTITUTE(SUBSTITUTE(TRIM(B288),"*",""),".",""),"-","")," ","")))</f>
        <v/>
      </c>
      <c r="J288" s="28" t="str">
        <f aca="false">IF(OR(H288="",I288=""),"",H288&amp;"|"&amp;I288)</f>
        <v/>
      </c>
      <c r="K288" s="19" t="str">
        <f aca="false">IF(H288="","",IF(J288&lt;&gt;"",COUNTIF(Socios!$J:$J,J288),IF(COUNTIF(Socios!$H:$H,H288)&gt;0,"nome igual em Socios: confira o CPF","sem CPF: não cruzado")))</f>
        <v/>
      </c>
      <c r="L288" s="27"/>
      <c r="M288" s="5"/>
    </row>
    <row r="289" customFormat="false" ht="15" hidden="false" customHeight="false" outlineLevel="0" collapsed="false">
      <c r="A289" s="5"/>
      <c r="B289" s="27"/>
      <c r="C289" s="5"/>
      <c r="D289" s="5"/>
      <c r="E289" s="18"/>
      <c r="F289" s="14"/>
      <c r="G289" s="5"/>
      <c r="H289" s="28" t="str">
        <f aca="false">IF(A289="","",SUBSTITUTE(SUBSTITUTE(SUBSTITUTE(SUBSTITUTE(SUBSTITUTE(SUBSTITUTE(SUBSTITUTE(SUBSTITUTE(SUBSTITUTE(SUBSTITUTE(SUBSTITUTE(SUBSTITUTE(SUBSTITUTE(UPPER(TRIM(A289)),"Á","A"),"À","A"),"Â","A"),"Ã","A"),"É","E"),"Ê","E"),"Í","I"),"Ó","O"),"Ô","O"),"Õ","O"),"Ú","U"),"Ü","U"),"Ç","C"))</f>
        <v/>
      </c>
      <c r="I289" s="28" t="str">
        <f aca="false">IF(B289="","",IF(LEN(SUBSTITUTE(SUBSTITUTE(SUBSTITUTE(SUBSTITUTE(TRIM(B289),"*",""),".",""),"-","")," ",""))=11,MID(SUBSTITUTE(SUBSTITUTE(SUBSTITUTE(SUBSTITUTE(TRIM(B289),"*",""),".",""),"-","")," ",""),4,6),SUBSTITUTE(SUBSTITUTE(SUBSTITUTE(SUBSTITUTE(TRIM(B289),"*",""),".",""),"-","")," ","")))</f>
        <v/>
      </c>
      <c r="J289" s="28" t="str">
        <f aca="false">IF(OR(H289="",I289=""),"",H289&amp;"|"&amp;I289)</f>
        <v/>
      </c>
      <c r="K289" s="19" t="str">
        <f aca="false">IF(H289="","",IF(J289&lt;&gt;"",COUNTIF(Socios!$J:$J,J289),IF(COUNTIF(Socios!$H:$H,H289)&gt;0,"nome igual em Socios: confira o CPF","sem CPF: não cruzado")))</f>
        <v/>
      </c>
      <c r="L289" s="27"/>
      <c r="M289" s="5"/>
    </row>
    <row r="290" customFormat="false" ht="15" hidden="false" customHeight="false" outlineLevel="0" collapsed="false">
      <c r="A290" s="5"/>
      <c r="B290" s="27"/>
      <c r="C290" s="5"/>
      <c r="D290" s="5"/>
      <c r="E290" s="18"/>
      <c r="F290" s="14"/>
      <c r="G290" s="5"/>
      <c r="H290" s="28" t="str">
        <f aca="false">IF(A290="","",SUBSTITUTE(SUBSTITUTE(SUBSTITUTE(SUBSTITUTE(SUBSTITUTE(SUBSTITUTE(SUBSTITUTE(SUBSTITUTE(SUBSTITUTE(SUBSTITUTE(SUBSTITUTE(SUBSTITUTE(SUBSTITUTE(UPPER(TRIM(A290)),"Á","A"),"À","A"),"Â","A"),"Ã","A"),"É","E"),"Ê","E"),"Í","I"),"Ó","O"),"Ô","O"),"Õ","O"),"Ú","U"),"Ü","U"),"Ç","C"))</f>
        <v/>
      </c>
      <c r="I290" s="28" t="str">
        <f aca="false">IF(B290="","",IF(LEN(SUBSTITUTE(SUBSTITUTE(SUBSTITUTE(SUBSTITUTE(TRIM(B290),"*",""),".",""),"-","")," ",""))=11,MID(SUBSTITUTE(SUBSTITUTE(SUBSTITUTE(SUBSTITUTE(TRIM(B290),"*",""),".",""),"-","")," ",""),4,6),SUBSTITUTE(SUBSTITUTE(SUBSTITUTE(SUBSTITUTE(TRIM(B290),"*",""),".",""),"-","")," ","")))</f>
        <v/>
      </c>
      <c r="J290" s="28" t="str">
        <f aca="false">IF(OR(H290="",I290=""),"",H290&amp;"|"&amp;I290)</f>
        <v/>
      </c>
      <c r="K290" s="19" t="str">
        <f aca="false">IF(H290="","",IF(J290&lt;&gt;"",COUNTIF(Socios!$J:$J,J290),IF(COUNTIF(Socios!$H:$H,H290)&gt;0,"nome igual em Socios: confira o CPF","sem CPF: não cruzado")))</f>
        <v/>
      </c>
      <c r="L290" s="27"/>
      <c r="M290" s="5"/>
    </row>
    <row r="291" customFormat="false" ht="15" hidden="false" customHeight="false" outlineLevel="0" collapsed="false">
      <c r="A291" s="5"/>
      <c r="B291" s="27"/>
      <c r="C291" s="5"/>
      <c r="D291" s="5"/>
      <c r="E291" s="18"/>
      <c r="F291" s="14"/>
      <c r="G291" s="5"/>
      <c r="H291" s="28" t="str">
        <f aca="false">IF(A291="","",SUBSTITUTE(SUBSTITUTE(SUBSTITUTE(SUBSTITUTE(SUBSTITUTE(SUBSTITUTE(SUBSTITUTE(SUBSTITUTE(SUBSTITUTE(SUBSTITUTE(SUBSTITUTE(SUBSTITUTE(SUBSTITUTE(UPPER(TRIM(A291)),"Á","A"),"À","A"),"Â","A"),"Ã","A"),"É","E"),"Ê","E"),"Í","I"),"Ó","O"),"Ô","O"),"Õ","O"),"Ú","U"),"Ü","U"),"Ç","C"))</f>
        <v/>
      </c>
      <c r="I291" s="28" t="str">
        <f aca="false">IF(B291="","",IF(LEN(SUBSTITUTE(SUBSTITUTE(SUBSTITUTE(SUBSTITUTE(TRIM(B291),"*",""),".",""),"-","")," ",""))=11,MID(SUBSTITUTE(SUBSTITUTE(SUBSTITUTE(SUBSTITUTE(TRIM(B291),"*",""),".",""),"-","")," ",""),4,6),SUBSTITUTE(SUBSTITUTE(SUBSTITUTE(SUBSTITUTE(TRIM(B291),"*",""),".",""),"-","")," ","")))</f>
        <v/>
      </c>
      <c r="J291" s="28" t="str">
        <f aca="false">IF(OR(H291="",I291=""),"",H291&amp;"|"&amp;I291)</f>
        <v/>
      </c>
      <c r="K291" s="19" t="str">
        <f aca="false">IF(H291="","",IF(J291&lt;&gt;"",COUNTIF(Socios!$J:$J,J291),IF(COUNTIF(Socios!$H:$H,H291)&gt;0,"nome igual em Socios: confira o CPF","sem CPF: não cruzado")))</f>
        <v/>
      </c>
      <c r="L291" s="27"/>
      <c r="M291" s="5"/>
    </row>
    <row r="292" customFormat="false" ht="15" hidden="false" customHeight="false" outlineLevel="0" collapsed="false">
      <c r="A292" s="5"/>
      <c r="B292" s="27"/>
      <c r="C292" s="5"/>
      <c r="D292" s="5"/>
      <c r="E292" s="18"/>
      <c r="F292" s="14"/>
      <c r="G292" s="5"/>
      <c r="H292" s="28" t="str">
        <f aca="false">IF(A292="","",SUBSTITUTE(SUBSTITUTE(SUBSTITUTE(SUBSTITUTE(SUBSTITUTE(SUBSTITUTE(SUBSTITUTE(SUBSTITUTE(SUBSTITUTE(SUBSTITUTE(SUBSTITUTE(SUBSTITUTE(SUBSTITUTE(UPPER(TRIM(A292)),"Á","A"),"À","A"),"Â","A"),"Ã","A"),"É","E"),"Ê","E"),"Í","I"),"Ó","O"),"Ô","O"),"Õ","O"),"Ú","U"),"Ü","U"),"Ç","C"))</f>
        <v/>
      </c>
      <c r="I292" s="28" t="str">
        <f aca="false">IF(B292="","",IF(LEN(SUBSTITUTE(SUBSTITUTE(SUBSTITUTE(SUBSTITUTE(TRIM(B292),"*",""),".",""),"-","")," ",""))=11,MID(SUBSTITUTE(SUBSTITUTE(SUBSTITUTE(SUBSTITUTE(TRIM(B292),"*",""),".",""),"-","")," ",""),4,6),SUBSTITUTE(SUBSTITUTE(SUBSTITUTE(SUBSTITUTE(TRIM(B292),"*",""),".",""),"-","")," ","")))</f>
        <v/>
      </c>
      <c r="J292" s="28" t="str">
        <f aca="false">IF(OR(H292="",I292=""),"",H292&amp;"|"&amp;I292)</f>
        <v/>
      </c>
      <c r="K292" s="19" t="str">
        <f aca="false">IF(H292="","",IF(J292&lt;&gt;"",COUNTIF(Socios!$J:$J,J292),IF(COUNTIF(Socios!$H:$H,H292)&gt;0,"nome igual em Socios: confira o CPF","sem CPF: não cruzado")))</f>
        <v/>
      </c>
      <c r="L292" s="27"/>
      <c r="M292" s="5"/>
    </row>
    <row r="293" customFormat="false" ht="15" hidden="false" customHeight="false" outlineLevel="0" collapsed="false">
      <c r="A293" s="5"/>
      <c r="B293" s="27"/>
      <c r="C293" s="5"/>
      <c r="D293" s="5"/>
      <c r="E293" s="18"/>
      <c r="F293" s="14"/>
      <c r="G293" s="5"/>
      <c r="H293" s="28" t="str">
        <f aca="false">IF(A293="","",SUBSTITUTE(SUBSTITUTE(SUBSTITUTE(SUBSTITUTE(SUBSTITUTE(SUBSTITUTE(SUBSTITUTE(SUBSTITUTE(SUBSTITUTE(SUBSTITUTE(SUBSTITUTE(SUBSTITUTE(SUBSTITUTE(UPPER(TRIM(A293)),"Á","A"),"À","A"),"Â","A"),"Ã","A"),"É","E"),"Ê","E"),"Í","I"),"Ó","O"),"Ô","O"),"Õ","O"),"Ú","U"),"Ü","U"),"Ç","C"))</f>
        <v/>
      </c>
      <c r="I293" s="28" t="str">
        <f aca="false">IF(B293="","",IF(LEN(SUBSTITUTE(SUBSTITUTE(SUBSTITUTE(SUBSTITUTE(TRIM(B293),"*",""),".",""),"-","")," ",""))=11,MID(SUBSTITUTE(SUBSTITUTE(SUBSTITUTE(SUBSTITUTE(TRIM(B293),"*",""),".",""),"-","")," ",""),4,6),SUBSTITUTE(SUBSTITUTE(SUBSTITUTE(SUBSTITUTE(TRIM(B293),"*",""),".",""),"-","")," ","")))</f>
        <v/>
      </c>
      <c r="J293" s="28" t="str">
        <f aca="false">IF(OR(H293="",I293=""),"",H293&amp;"|"&amp;I293)</f>
        <v/>
      </c>
      <c r="K293" s="19" t="str">
        <f aca="false">IF(H293="","",IF(J293&lt;&gt;"",COUNTIF(Socios!$J:$J,J293),IF(COUNTIF(Socios!$H:$H,H293)&gt;0,"nome igual em Socios: confira o CPF","sem CPF: não cruzado")))</f>
        <v/>
      </c>
      <c r="L293" s="27"/>
      <c r="M293" s="5"/>
    </row>
    <row r="294" customFormat="false" ht="15" hidden="false" customHeight="false" outlineLevel="0" collapsed="false">
      <c r="A294" s="5"/>
      <c r="B294" s="27"/>
      <c r="C294" s="5"/>
      <c r="D294" s="5"/>
      <c r="E294" s="18"/>
      <c r="F294" s="14"/>
      <c r="G294" s="5"/>
      <c r="H294" s="28" t="str">
        <f aca="false">IF(A294="","",SUBSTITUTE(SUBSTITUTE(SUBSTITUTE(SUBSTITUTE(SUBSTITUTE(SUBSTITUTE(SUBSTITUTE(SUBSTITUTE(SUBSTITUTE(SUBSTITUTE(SUBSTITUTE(SUBSTITUTE(SUBSTITUTE(UPPER(TRIM(A294)),"Á","A"),"À","A"),"Â","A"),"Ã","A"),"É","E"),"Ê","E"),"Í","I"),"Ó","O"),"Ô","O"),"Õ","O"),"Ú","U"),"Ü","U"),"Ç","C"))</f>
        <v/>
      </c>
      <c r="I294" s="28" t="str">
        <f aca="false">IF(B294="","",IF(LEN(SUBSTITUTE(SUBSTITUTE(SUBSTITUTE(SUBSTITUTE(TRIM(B294),"*",""),".",""),"-","")," ",""))=11,MID(SUBSTITUTE(SUBSTITUTE(SUBSTITUTE(SUBSTITUTE(TRIM(B294),"*",""),".",""),"-","")," ",""),4,6),SUBSTITUTE(SUBSTITUTE(SUBSTITUTE(SUBSTITUTE(TRIM(B294),"*",""),".",""),"-","")," ","")))</f>
        <v/>
      </c>
      <c r="J294" s="28" t="str">
        <f aca="false">IF(OR(H294="",I294=""),"",H294&amp;"|"&amp;I294)</f>
        <v/>
      </c>
      <c r="K294" s="19" t="str">
        <f aca="false">IF(H294="","",IF(J294&lt;&gt;"",COUNTIF(Socios!$J:$J,J294),IF(COUNTIF(Socios!$H:$H,H294)&gt;0,"nome igual em Socios: confira o CPF","sem CPF: não cruzado")))</f>
        <v/>
      </c>
      <c r="L294" s="27"/>
      <c r="M294" s="5"/>
    </row>
    <row r="295" customFormat="false" ht="15" hidden="false" customHeight="false" outlineLevel="0" collapsed="false">
      <c r="A295" s="5"/>
      <c r="B295" s="27"/>
      <c r="C295" s="5"/>
      <c r="D295" s="5"/>
      <c r="E295" s="18"/>
      <c r="F295" s="14"/>
      <c r="G295" s="5"/>
      <c r="H295" s="28" t="str">
        <f aca="false">IF(A295="","",SUBSTITUTE(SUBSTITUTE(SUBSTITUTE(SUBSTITUTE(SUBSTITUTE(SUBSTITUTE(SUBSTITUTE(SUBSTITUTE(SUBSTITUTE(SUBSTITUTE(SUBSTITUTE(SUBSTITUTE(SUBSTITUTE(UPPER(TRIM(A295)),"Á","A"),"À","A"),"Â","A"),"Ã","A"),"É","E"),"Ê","E"),"Í","I"),"Ó","O"),"Ô","O"),"Õ","O"),"Ú","U"),"Ü","U"),"Ç","C"))</f>
        <v/>
      </c>
      <c r="I295" s="28" t="str">
        <f aca="false">IF(B295="","",IF(LEN(SUBSTITUTE(SUBSTITUTE(SUBSTITUTE(SUBSTITUTE(TRIM(B295),"*",""),".",""),"-","")," ",""))=11,MID(SUBSTITUTE(SUBSTITUTE(SUBSTITUTE(SUBSTITUTE(TRIM(B295),"*",""),".",""),"-","")," ",""),4,6),SUBSTITUTE(SUBSTITUTE(SUBSTITUTE(SUBSTITUTE(TRIM(B295),"*",""),".",""),"-","")," ","")))</f>
        <v/>
      </c>
      <c r="J295" s="28" t="str">
        <f aca="false">IF(OR(H295="",I295=""),"",H295&amp;"|"&amp;I295)</f>
        <v/>
      </c>
      <c r="K295" s="19" t="str">
        <f aca="false">IF(H295="","",IF(J295&lt;&gt;"",COUNTIF(Socios!$J:$J,J295),IF(COUNTIF(Socios!$H:$H,H295)&gt;0,"nome igual em Socios: confira o CPF","sem CPF: não cruzado")))</f>
        <v/>
      </c>
      <c r="L295" s="27"/>
      <c r="M295" s="5"/>
    </row>
    <row r="296" customFormat="false" ht="15" hidden="false" customHeight="false" outlineLevel="0" collapsed="false">
      <c r="A296" s="5"/>
      <c r="B296" s="27"/>
      <c r="C296" s="5"/>
      <c r="D296" s="5"/>
      <c r="E296" s="18"/>
      <c r="F296" s="14"/>
      <c r="G296" s="5"/>
      <c r="H296" s="28" t="str">
        <f aca="false">IF(A296="","",SUBSTITUTE(SUBSTITUTE(SUBSTITUTE(SUBSTITUTE(SUBSTITUTE(SUBSTITUTE(SUBSTITUTE(SUBSTITUTE(SUBSTITUTE(SUBSTITUTE(SUBSTITUTE(SUBSTITUTE(SUBSTITUTE(UPPER(TRIM(A296)),"Á","A"),"À","A"),"Â","A"),"Ã","A"),"É","E"),"Ê","E"),"Í","I"),"Ó","O"),"Ô","O"),"Õ","O"),"Ú","U"),"Ü","U"),"Ç","C"))</f>
        <v/>
      </c>
      <c r="I296" s="28" t="str">
        <f aca="false">IF(B296="","",IF(LEN(SUBSTITUTE(SUBSTITUTE(SUBSTITUTE(SUBSTITUTE(TRIM(B296),"*",""),".",""),"-","")," ",""))=11,MID(SUBSTITUTE(SUBSTITUTE(SUBSTITUTE(SUBSTITUTE(TRIM(B296),"*",""),".",""),"-","")," ",""),4,6),SUBSTITUTE(SUBSTITUTE(SUBSTITUTE(SUBSTITUTE(TRIM(B296),"*",""),".",""),"-","")," ","")))</f>
        <v/>
      </c>
      <c r="J296" s="28" t="str">
        <f aca="false">IF(OR(H296="",I296=""),"",H296&amp;"|"&amp;I296)</f>
        <v/>
      </c>
      <c r="K296" s="19" t="str">
        <f aca="false">IF(H296="","",IF(J296&lt;&gt;"",COUNTIF(Socios!$J:$J,J296),IF(COUNTIF(Socios!$H:$H,H296)&gt;0,"nome igual em Socios: confira o CPF","sem CPF: não cruzado")))</f>
        <v/>
      </c>
      <c r="L296" s="27"/>
      <c r="M296" s="5"/>
    </row>
    <row r="297" customFormat="false" ht="15" hidden="false" customHeight="false" outlineLevel="0" collapsed="false">
      <c r="A297" s="5"/>
      <c r="B297" s="27"/>
      <c r="C297" s="5"/>
      <c r="D297" s="5"/>
      <c r="E297" s="18"/>
      <c r="F297" s="14"/>
      <c r="G297" s="5"/>
      <c r="H297" s="28" t="str">
        <f aca="false">IF(A297="","",SUBSTITUTE(SUBSTITUTE(SUBSTITUTE(SUBSTITUTE(SUBSTITUTE(SUBSTITUTE(SUBSTITUTE(SUBSTITUTE(SUBSTITUTE(SUBSTITUTE(SUBSTITUTE(SUBSTITUTE(SUBSTITUTE(UPPER(TRIM(A297)),"Á","A"),"À","A"),"Â","A"),"Ã","A"),"É","E"),"Ê","E"),"Í","I"),"Ó","O"),"Ô","O"),"Õ","O"),"Ú","U"),"Ü","U"),"Ç","C"))</f>
        <v/>
      </c>
      <c r="I297" s="28" t="str">
        <f aca="false">IF(B297="","",IF(LEN(SUBSTITUTE(SUBSTITUTE(SUBSTITUTE(SUBSTITUTE(TRIM(B297),"*",""),".",""),"-","")," ",""))=11,MID(SUBSTITUTE(SUBSTITUTE(SUBSTITUTE(SUBSTITUTE(TRIM(B297),"*",""),".",""),"-","")," ",""),4,6),SUBSTITUTE(SUBSTITUTE(SUBSTITUTE(SUBSTITUTE(TRIM(B297),"*",""),".",""),"-","")," ","")))</f>
        <v/>
      </c>
      <c r="J297" s="28" t="str">
        <f aca="false">IF(OR(H297="",I297=""),"",H297&amp;"|"&amp;I297)</f>
        <v/>
      </c>
      <c r="K297" s="19" t="str">
        <f aca="false">IF(H297="","",IF(J297&lt;&gt;"",COUNTIF(Socios!$J:$J,J297),IF(COUNTIF(Socios!$H:$H,H297)&gt;0,"nome igual em Socios: confira o CPF","sem CPF: não cruzado")))</f>
        <v/>
      </c>
      <c r="L297" s="27"/>
      <c r="M297" s="5"/>
    </row>
    <row r="298" customFormat="false" ht="15" hidden="false" customHeight="false" outlineLevel="0" collapsed="false">
      <c r="A298" s="5"/>
      <c r="B298" s="27"/>
      <c r="C298" s="5"/>
      <c r="D298" s="5"/>
      <c r="E298" s="18"/>
      <c r="F298" s="14"/>
      <c r="G298" s="5"/>
      <c r="H298" s="28" t="str">
        <f aca="false">IF(A298="","",SUBSTITUTE(SUBSTITUTE(SUBSTITUTE(SUBSTITUTE(SUBSTITUTE(SUBSTITUTE(SUBSTITUTE(SUBSTITUTE(SUBSTITUTE(SUBSTITUTE(SUBSTITUTE(SUBSTITUTE(SUBSTITUTE(UPPER(TRIM(A298)),"Á","A"),"À","A"),"Â","A"),"Ã","A"),"É","E"),"Ê","E"),"Í","I"),"Ó","O"),"Ô","O"),"Õ","O"),"Ú","U"),"Ü","U"),"Ç","C"))</f>
        <v/>
      </c>
      <c r="I298" s="28" t="str">
        <f aca="false">IF(B298="","",IF(LEN(SUBSTITUTE(SUBSTITUTE(SUBSTITUTE(SUBSTITUTE(TRIM(B298),"*",""),".",""),"-","")," ",""))=11,MID(SUBSTITUTE(SUBSTITUTE(SUBSTITUTE(SUBSTITUTE(TRIM(B298),"*",""),".",""),"-","")," ",""),4,6),SUBSTITUTE(SUBSTITUTE(SUBSTITUTE(SUBSTITUTE(TRIM(B298),"*",""),".",""),"-","")," ","")))</f>
        <v/>
      </c>
      <c r="J298" s="28" t="str">
        <f aca="false">IF(OR(H298="",I298=""),"",H298&amp;"|"&amp;I298)</f>
        <v/>
      </c>
      <c r="K298" s="19" t="str">
        <f aca="false">IF(H298="","",IF(J298&lt;&gt;"",COUNTIF(Socios!$J:$J,J298),IF(COUNTIF(Socios!$H:$H,H298)&gt;0,"nome igual em Socios: confira o CPF","sem CPF: não cruzado")))</f>
        <v/>
      </c>
      <c r="L298" s="27"/>
      <c r="M298" s="5"/>
    </row>
    <row r="299" customFormat="false" ht="15" hidden="false" customHeight="false" outlineLevel="0" collapsed="false">
      <c r="A299" s="5"/>
      <c r="B299" s="27"/>
      <c r="C299" s="5"/>
      <c r="D299" s="5"/>
      <c r="E299" s="18"/>
      <c r="F299" s="14"/>
      <c r="G299" s="5"/>
      <c r="H299" s="28" t="str">
        <f aca="false">IF(A299="","",SUBSTITUTE(SUBSTITUTE(SUBSTITUTE(SUBSTITUTE(SUBSTITUTE(SUBSTITUTE(SUBSTITUTE(SUBSTITUTE(SUBSTITUTE(SUBSTITUTE(SUBSTITUTE(SUBSTITUTE(SUBSTITUTE(UPPER(TRIM(A299)),"Á","A"),"À","A"),"Â","A"),"Ã","A"),"É","E"),"Ê","E"),"Í","I"),"Ó","O"),"Ô","O"),"Õ","O"),"Ú","U"),"Ü","U"),"Ç","C"))</f>
        <v/>
      </c>
      <c r="I299" s="28" t="str">
        <f aca="false">IF(B299="","",IF(LEN(SUBSTITUTE(SUBSTITUTE(SUBSTITUTE(SUBSTITUTE(TRIM(B299),"*",""),".",""),"-","")," ",""))=11,MID(SUBSTITUTE(SUBSTITUTE(SUBSTITUTE(SUBSTITUTE(TRIM(B299),"*",""),".",""),"-","")," ",""),4,6),SUBSTITUTE(SUBSTITUTE(SUBSTITUTE(SUBSTITUTE(TRIM(B299),"*",""),".",""),"-","")," ","")))</f>
        <v/>
      </c>
      <c r="J299" s="28" t="str">
        <f aca="false">IF(OR(H299="",I299=""),"",H299&amp;"|"&amp;I299)</f>
        <v/>
      </c>
      <c r="K299" s="19" t="str">
        <f aca="false">IF(H299="","",IF(J299&lt;&gt;"",COUNTIF(Socios!$J:$J,J299),IF(COUNTIF(Socios!$H:$H,H299)&gt;0,"nome igual em Socios: confira o CPF","sem CPF: não cruzado")))</f>
        <v/>
      </c>
      <c r="L299" s="27"/>
      <c r="M299" s="5"/>
    </row>
    <row r="300" customFormat="false" ht="15" hidden="false" customHeight="false" outlineLevel="0" collapsed="false">
      <c r="A300" s="5"/>
      <c r="B300" s="27"/>
      <c r="C300" s="5"/>
      <c r="D300" s="5"/>
      <c r="E300" s="18"/>
      <c r="F300" s="14"/>
      <c r="G300" s="5"/>
      <c r="H300" s="28" t="str">
        <f aca="false">IF(A300="","",SUBSTITUTE(SUBSTITUTE(SUBSTITUTE(SUBSTITUTE(SUBSTITUTE(SUBSTITUTE(SUBSTITUTE(SUBSTITUTE(SUBSTITUTE(SUBSTITUTE(SUBSTITUTE(SUBSTITUTE(SUBSTITUTE(UPPER(TRIM(A300)),"Á","A"),"À","A"),"Â","A"),"Ã","A"),"É","E"),"Ê","E"),"Í","I"),"Ó","O"),"Ô","O"),"Õ","O"),"Ú","U"),"Ü","U"),"Ç","C"))</f>
        <v/>
      </c>
      <c r="I300" s="28" t="str">
        <f aca="false">IF(B300="","",IF(LEN(SUBSTITUTE(SUBSTITUTE(SUBSTITUTE(SUBSTITUTE(TRIM(B300),"*",""),".",""),"-","")," ",""))=11,MID(SUBSTITUTE(SUBSTITUTE(SUBSTITUTE(SUBSTITUTE(TRIM(B300),"*",""),".",""),"-","")," ",""),4,6),SUBSTITUTE(SUBSTITUTE(SUBSTITUTE(SUBSTITUTE(TRIM(B300),"*",""),".",""),"-","")," ","")))</f>
        <v/>
      </c>
      <c r="J300" s="28" t="str">
        <f aca="false">IF(OR(H300="",I300=""),"",H300&amp;"|"&amp;I300)</f>
        <v/>
      </c>
      <c r="K300" s="19" t="str">
        <f aca="false">IF(H300="","",IF(J300&lt;&gt;"",COUNTIF(Socios!$J:$J,J300),IF(COUNTIF(Socios!$H:$H,H300)&gt;0,"nome igual em Socios: confira o CPF","sem CPF: não cruzado")))</f>
        <v/>
      </c>
      <c r="L300" s="27"/>
      <c r="M300" s="5"/>
    </row>
    <row r="301" customFormat="false" ht="15" hidden="false" customHeight="false" outlineLevel="0" collapsed="false">
      <c r="A301" s="5"/>
      <c r="B301" s="27"/>
      <c r="C301" s="5"/>
      <c r="D301" s="5"/>
      <c r="E301" s="18"/>
      <c r="F301" s="14"/>
      <c r="G301" s="5"/>
      <c r="H301" s="28" t="str">
        <f aca="false">IF(A301="","",SUBSTITUTE(SUBSTITUTE(SUBSTITUTE(SUBSTITUTE(SUBSTITUTE(SUBSTITUTE(SUBSTITUTE(SUBSTITUTE(SUBSTITUTE(SUBSTITUTE(SUBSTITUTE(SUBSTITUTE(SUBSTITUTE(UPPER(TRIM(A301)),"Á","A"),"À","A"),"Â","A"),"Ã","A"),"É","E"),"Ê","E"),"Í","I"),"Ó","O"),"Ô","O"),"Õ","O"),"Ú","U"),"Ü","U"),"Ç","C"))</f>
        <v/>
      </c>
      <c r="I301" s="28" t="str">
        <f aca="false">IF(B301="","",IF(LEN(SUBSTITUTE(SUBSTITUTE(SUBSTITUTE(SUBSTITUTE(TRIM(B301),"*",""),".",""),"-","")," ",""))=11,MID(SUBSTITUTE(SUBSTITUTE(SUBSTITUTE(SUBSTITUTE(TRIM(B301),"*",""),".",""),"-","")," ",""),4,6),SUBSTITUTE(SUBSTITUTE(SUBSTITUTE(SUBSTITUTE(TRIM(B301),"*",""),".",""),"-","")," ","")))</f>
        <v/>
      </c>
      <c r="J301" s="28" t="str">
        <f aca="false">IF(OR(H301="",I301=""),"",H301&amp;"|"&amp;I301)</f>
        <v/>
      </c>
      <c r="K301" s="19" t="str">
        <f aca="false">IF(H301="","",IF(J301&lt;&gt;"",COUNTIF(Socios!$J:$J,J301),IF(COUNTIF(Socios!$H:$H,H301)&gt;0,"nome igual em Socios: confira o CPF","sem CPF: não cruzado")))</f>
        <v/>
      </c>
      <c r="L301" s="27"/>
      <c r="M301" s="5"/>
    </row>
  </sheetData>
  <autoFilter ref="A1:M301"/>
  <conditionalFormatting sqref="K2:K301">
    <cfRule type="expression" priority="2" aboveAverage="0" equalAverage="0" bottom="0" percent="0" rank="0" text="" dxfId="8">
      <formula>AND(ISNUMBER(K2),K2&gt;0)</formula>
    </cfRule>
    <cfRule type="expression" priority="3" aboveAverage="0" equalAverage="0" bottom="0" percent="0" rank="0" text="" dxfId="10">
      <formula>ISNUMBER(SEARCH("confira",K2))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6" min="6" style="0" width="24"/>
    <col collapsed="false" customWidth="true" hidden="false" outlineLevel="0" max="7" min="7" style="0" width="11"/>
    <col collapsed="false" customWidth="true" hidden="false" outlineLevel="0" max="8" min="8" style="0" width="26"/>
    <col collapsed="false" customWidth="true" hidden="false" outlineLevel="0" max="9" min="9" style="0" width="3"/>
    <col collapsed="false" customWidth="true" hidden="false" outlineLevel="0" max="10" min="10" style="0" width="22"/>
    <col collapsed="false" customWidth="true" hidden="false" outlineLevel="0" max="11" min="11" style="0" width="9"/>
    <col collapsed="false" customWidth="true" hidden="false" outlineLevel="0" max="12" min="12" style="0" width="16"/>
    <col collapsed="false" customWidth="true" hidden="false" outlineLevel="0" max="13" min="13" style="0" width="26"/>
    <col collapsed="false" customWidth="true" hidden="false" outlineLevel="0" max="14" min="14" style="0" width="15"/>
    <col collapsed="false" customWidth="true" hidden="false" outlineLevel="0" max="15" min="15" style="0" width="11"/>
    <col collapsed="false" customWidth="true" hidden="false" outlineLevel="0" max="16" min="16" style="0" width="15"/>
    <col collapsed="false" customWidth="true" hidden="false" outlineLevel="0" max="17" min="17" style="0" width="10"/>
    <col collapsed="false" customWidth="true" hidden="false" outlineLevel="0" max="18" min="18" style="0" width="15"/>
    <col collapsed="false" customWidth="true" hidden="false" outlineLevel="0" max="19" min="19" style="0" width="10"/>
  </cols>
  <sheetData>
    <row r="1" customFormat="false" ht="39.75" hidden="false" customHeight="true" outlineLevel="0" collapsed="false">
      <c r="A1" s="10" t="s">
        <v>537</v>
      </c>
      <c r="B1" s="10" t="s">
        <v>538</v>
      </c>
      <c r="C1" s="10" t="s">
        <v>403</v>
      </c>
      <c r="D1" s="10" t="s">
        <v>539</v>
      </c>
      <c r="E1" s="10" t="s">
        <v>540</v>
      </c>
      <c r="F1" s="15" t="s">
        <v>541</v>
      </c>
      <c r="G1" s="10" t="s">
        <v>395</v>
      </c>
      <c r="H1" s="10" t="s">
        <v>138</v>
      </c>
      <c r="J1" s="10" t="s">
        <v>542</v>
      </c>
      <c r="K1" s="10" t="s">
        <v>543</v>
      </c>
      <c r="L1" s="10" t="s">
        <v>544</v>
      </c>
      <c r="M1" s="10" t="s">
        <v>545</v>
      </c>
      <c r="N1" s="10" t="s">
        <v>546</v>
      </c>
      <c r="O1" s="10" t="s">
        <v>395</v>
      </c>
      <c r="P1" s="15" t="s">
        <v>547</v>
      </c>
      <c r="Q1" s="15" t="s">
        <v>548</v>
      </c>
      <c r="R1" s="15" t="s">
        <v>549</v>
      </c>
      <c r="S1" s="15" t="s">
        <v>550</v>
      </c>
    </row>
    <row r="2" customFormat="false" ht="23.85" hidden="false" customHeight="false" outlineLevel="0" collapsed="false">
      <c r="A2" s="23" t="s">
        <v>429</v>
      </c>
      <c r="B2" s="7" t="s">
        <v>551</v>
      </c>
      <c r="C2" s="33" t="n">
        <v>15000</v>
      </c>
      <c r="D2" s="7" t="s">
        <v>430</v>
      </c>
      <c r="E2" s="7" t="s">
        <v>552</v>
      </c>
      <c r="F2" s="17" t="str">
        <f aca="false">IF(A2="","",IF(COUNTIF(Contratos!$A:$A,A2)+COUNTIF(Pagamentos!$A:$A,A2)=0,"não consta","SIM — contratos: "&amp;COUNTIF(Contratos!$A:$A,A2)&amp;"; pagamentos: "&amp;COUNTIF(Pagamentos!$A:$A,A2)))</f>
        <v>SIM — contratos: 1; pagamentos: 1</v>
      </c>
      <c r="G2" s="23" t="s">
        <v>164</v>
      </c>
      <c r="H2" s="7" t="s">
        <v>167</v>
      </c>
      <c r="J2" s="7" t="s">
        <v>532</v>
      </c>
      <c r="K2" s="40" t="n">
        <v>2024</v>
      </c>
      <c r="L2" s="13" t="s">
        <v>533</v>
      </c>
      <c r="M2" s="7" t="s">
        <v>553</v>
      </c>
      <c r="N2" s="33" t="n">
        <v>350000</v>
      </c>
      <c r="O2" s="23" t="s">
        <v>164</v>
      </c>
      <c r="P2" s="38" t="n">
        <f aca="false">IF(OR(J2="",K2=""),"",SUMIFS($N:$N,$J:$J,J2,$K:$K,K2))</f>
        <v>350000</v>
      </c>
      <c r="Q2" s="30" t="str">
        <f aca="false">IF(OR(J2="",K2=""),"",IF(COUNTIFS($J:$J,J2,$K:$K,"&lt;"&amp;K2)=0,"",_xlfn.MAXIFS($K:$K,$J:$J,J2,$K:$K,"&lt;"&amp;K2)))</f>
        <v/>
      </c>
      <c r="R2" s="38" t="str">
        <f aca="false">IF(Q2="","",SUMIFS($N:$N,$J:$J,J2,$K:$K,Q2))</f>
        <v/>
      </c>
      <c r="S2" s="36" t="str">
        <f aca="false">IF(OR(R2="",R2=0,P2=""),"",P2/R2-1)</f>
        <v/>
      </c>
    </row>
    <row r="3" customFormat="false" ht="15" hidden="false" customHeight="false" outlineLevel="0" collapsed="false">
      <c r="A3" s="23" t="s">
        <v>554</v>
      </c>
      <c r="B3" s="7" t="s">
        <v>551</v>
      </c>
      <c r="C3" s="33" t="n">
        <v>8000</v>
      </c>
      <c r="D3" s="7" t="s">
        <v>555</v>
      </c>
      <c r="E3" s="7" t="s">
        <v>556</v>
      </c>
      <c r="F3" s="17" t="str">
        <f aca="false">IF(A3="","",IF(COUNTIF(Contratos!$A:$A,A3)+COUNTIF(Pagamentos!$A:$A,A3)=0,"não consta","SIM — contratos: "&amp;COUNTIF(Contratos!$A:$A,A3)&amp;"; pagamentos: "&amp;COUNTIF(Pagamentos!$A:$A,A3)))</f>
        <v>não consta</v>
      </c>
      <c r="G3" s="23" t="s">
        <v>164</v>
      </c>
      <c r="H3" s="7" t="s">
        <v>167</v>
      </c>
      <c r="J3" s="7" t="s">
        <v>532</v>
      </c>
      <c r="K3" s="40" t="n">
        <v>2026</v>
      </c>
      <c r="L3" s="13" t="s">
        <v>557</v>
      </c>
      <c r="M3" s="7" t="s">
        <v>553</v>
      </c>
      <c r="N3" s="33" t="n">
        <v>350000</v>
      </c>
      <c r="O3" s="23" t="s">
        <v>164</v>
      </c>
      <c r="P3" s="38" t="n">
        <f aca="false">IF(OR(J3="",K3=""),"",SUMIFS($N:$N,$J:$J,J3,$K:$K,K3))</f>
        <v>1550000</v>
      </c>
      <c r="Q3" s="30" t="n">
        <f aca="false">IF(OR(J3="",K3=""),"",IF(COUNTIFS($J:$J,J3,$K:$K,"&lt;"&amp;K3)=0,"",_xlfn.MAXIFS($K:$K,$J:$J,J3,$K:$K,"&lt;"&amp;K3)))</f>
        <v>2024</v>
      </c>
      <c r="R3" s="38" t="n">
        <f aca="false">IF(Q3="","",SUMIFS($N:$N,$J:$J,J3,$K:$K,Q3))</f>
        <v>350000</v>
      </c>
      <c r="S3" s="36" t="n">
        <f aca="false">IF(OR(R3="",R3=0,P3=""),"",P3/R3-1)</f>
        <v>3.42857142857143</v>
      </c>
    </row>
    <row r="4" customFormat="false" ht="23.85" hidden="false" customHeight="false" outlineLevel="0" collapsed="false">
      <c r="A4" s="23" t="s">
        <v>429</v>
      </c>
      <c r="B4" s="7" t="s">
        <v>558</v>
      </c>
      <c r="C4" s="33" t="n">
        <v>22000</v>
      </c>
      <c r="D4" s="7" t="s">
        <v>430</v>
      </c>
      <c r="E4" s="7" t="s">
        <v>559</v>
      </c>
      <c r="F4" s="17" t="str">
        <f aca="false">IF(A4="","",IF(COUNTIF(Contratos!$A:$A,A4)+COUNTIF(Pagamentos!$A:$A,A4)=0,"não consta","SIM — contratos: "&amp;COUNTIF(Contratos!$A:$A,A4)&amp;"; pagamentos: "&amp;COUNTIF(Pagamentos!$A:$A,A4)))</f>
        <v>SIM — contratos: 1; pagamentos: 1</v>
      </c>
      <c r="G4" s="23" t="s">
        <v>164</v>
      </c>
      <c r="H4" s="7" t="s">
        <v>167</v>
      </c>
      <c r="J4" s="7" t="s">
        <v>532</v>
      </c>
      <c r="K4" s="40" t="n">
        <v>2026</v>
      </c>
      <c r="L4" s="13" t="s">
        <v>557</v>
      </c>
      <c r="M4" s="7" t="s">
        <v>560</v>
      </c>
      <c r="N4" s="33" t="n">
        <v>1200000</v>
      </c>
      <c r="O4" s="23" t="s">
        <v>164</v>
      </c>
      <c r="P4" s="38" t="n">
        <f aca="false">IF(OR(J4="",K4=""),"",SUMIFS($N:$N,$J:$J,J4,$K:$K,K4))</f>
        <v>1550000</v>
      </c>
      <c r="Q4" s="30" t="n">
        <f aca="false">IF(OR(J4="",K4=""),"",IF(COUNTIFS($J:$J,J4,$K:$K,"&lt;"&amp;K4)=0,"",_xlfn.MAXIFS($K:$K,$J:$J,J4,$K:$K,"&lt;"&amp;K4)))</f>
        <v>2024</v>
      </c>
      <c r="R4" s="38" t="n">
        <f aca="false">IF(Q4="","",SUMIFS($N:$N,$J:$J,J4,$K:$K,Q4))</f>
        <v>350000</v>
      </c>
      <c r="S4" s="36" t="n">
        <f aca="false">IF(OR(R4="",R4=0,P4=""),"",P4/R4-1)</f>
        <v>3.42857142857143</v>
      </c>
    </row>
    <row r="5" customFormat="false" ht="15" hidden="false" customHeight="false" outlineLevel="0" collapsed="false">
      <c r="A5" s="27"/>
      <c r="B5" s="5"/>
      <c r="C5" s="35"/>
      <c r="D5" s="5"/>
      <c r="E5" s="5"/>
      <c r="F5" s="19" t="str">
        <f aca="false">IF(A5="","",IF(COUNTIF(Contratos!$A:$A,A5)+COUNTIF(Pagamentos!$A:$A,A5)=0,"não consta","SIM — contratos: "&amp;COUNTIF(Contratos!$A:$A,A5)&amp;"; pagamentos: "&amp;COUNTIF(Pagamentos!$A:$A,A5)))</f>
        <v/>
      </c>
      <c r="G5" s="27"/>
      <c r="H5" s="5"/>
      <c r="J5" s="5"/>
      <c r="K5" s="41"/>
      <c r="L5" s="14"/>
      <c r="M5" s="5"/>
      <c r="N5" s="35"/>
      <c r="O5" s="27"/>
      <c r="P5" s="39" t="str">
        <f aca="false">IF(OR(J5="",K5=""),"",SUMIFS($N:$N,$J:$J,J5,$K:$K,K5))</f>
        <v/>
      </c>
      <c r="Q5" s="32" t="str">
        <f aca="false">IF(OR(J5="",K5=""),"",IF(COUNTIFS($J:$J,J5,$K:$K,"&lt;"&amp;K5)=0,"",_xlfn.MAXIFS($K:$K,$J:$J,J5,$K:$K,"&lt;"&amp;K5)))</f>
        <v/>
      </c>
      <c r="R5" s="39" t="str">
        <f aca="false">IF(Q5="","",SUMIFS($N:$N,$J:$J,J5,$K:$K,Q5))</f>
        <v/>
      </c>
      <c r="S5" s="37" t="str">
        <f aca="false">IF(OR(R5="",R5=0,P5=""),"",P5/R5-1)</f>
        <v/>
      </c>
    </row>
    <row r="6" customFormat="false" ht="15" hidden="false" customHeight="false" outlineLevel="0" collapsed="false">
      <c r="A6" s="27"/>
      <c r="B6" s="5"/>
      <c r="C6" s="35"/>
      <c r="D6" s="5"/>
      <c r="E6" s="5"/>
      <c r="F6" s="19" t="str">
        <f aca="false">IF(A6="","",IF(COUNTIF(Contratos!$A:$A,A6)+COUNTIF(Pagamentos!$A:$A,A6)=0,"não consta","SIM — contratos: "&amp;COUNTIF(Contratos!$A:$A,A6)&amp;"; pagamentos: "&amp;COUNTIF(Pagamentos!$A:$A,A6)))</f>
        <v/>
      </c>
      <c r="G6" s="27"/>
      <c r="H6" s="5"/>
      <c r="J6" s="5"/>
      <c r="K6" s="41"/>
      <c r="L6" s="14"/>
      <c r="M6" s="5"/>
      <c r="N6" s="35"/>
      <c r="O6" s="27"/>
      <c r="P6" s="39" t="str">
        <f aca="false">IF(OR(J6="",K6=""),"",SUMIFS($N:$N,$J:$J,J6,$K:$K,K6))</f>
        <v/>
      </c>
      <c r="Q6" s="32" t="str">
        <f aca="false">IF(OR(J6="",K6=""),"",IF(COUNTIFS($J:$J,J6,$K:$K,"&lt;"&amp;K6)=0,"",_xlfn.MAXIFS($K:$K,$J:$J,J6,$K:$K,"&lt;"&amp;K6)))</f>
        <v/>
      </c>
      <c r="R6" s="39" t="str">
        <f aca="false">IF(Q6="","",SUMIFS($N:$N,$J:$J,J6,$K:$K,Q6))</f>
        <v/>
      </c>
      <c r="S6" s="37" t="str">
        <f aca="false">IF(OR(R6="",R6=0,P6=""),"",P6/R6-1)</f>
        <v/>
      </c>
    </row>
    <row r="7" customFormat="false" ht="15" hidden="false" customHeight="false" outlineLevel="0" collapsed="false">
      <c r="A7" s="27"/>
      <c r="B7" s="5"/>
      <c r="C7" s="35"/>
      <c r="D7" s="5"/>
      <c r="E7" s="5"/>
      <c r="F7" s="19" t="str">
        <f aca="false">IF(A7="","",IF(COUNTIF(Contratos!$A:$A,A7)+COUNTIF(Pagamentos!$A:$A,A7)=0,"não consta","SIM — contratos: "&amp;COUNTIF(Contratos!$A:$A,A7)&amp;"; pagamentos: "&amp;COUNTIF(Pagamentos!$A:$A,A7)))</f>
        <v/>
      </c>
      <c r="G7" s="27"/>
      <c r="H7" s="5"/>
      <c r="J7" s="5"/>
      <c r="K7" s="41"/>
      <c r="L7" s="14"/>
      <c r="M7" s="5"/>
      <c r="N7" s="35"/>
      <c r="O7" s="27"/>
      <c r="P7" s="39" t="str">
        <f aca="false">IF(OR(J7="",K7=""),"",SUMIFS($N:$N,$J:$J,J7,$K:$K,K7))</f>
        <v/>
      </c>
      <c r="Q7" s="32" t="str">
        <f aca="false">IF(OR(J7="",K7=""),"",IF(COUNTIFS($J:$J,J7,$K:$K,"&lt;"&amp;K7)=0,"",_xlfn.MAXIFS($K:$K,$J:$J,J7,$K:$K,"&lt;"&amp;K7)))</f>
        <v/>
      </c>
      <c r="R7" s="39" t="str">
        <f aca="false">IF(Q7="","",SUMIFS($N:$N,$J:$J,J7,$K:$K,Q7))</f>
        <v/>
      </c>
      <c r="S7" s="37" t="str">
        <f aca="false">IF(OR(R7="",R7=0,P7=""),"",P7/R7-1)</f>
        <v/>
      </c>
    </row>
    <row r="8" customFormat="false" ht="15" hidden="false" customHeight="false" outlineLevel="0" collapsed="false">
      <c r="A8" s="27"/>
      <c r="B8" s="5"/>
      <c r="C8" s="35"/>
      <c r="D8" s="5"/>
      <c r="E8" s="5"/>
      <c r="F8" s="19" t="str">
        <f aca="false">IF(A8="","",IF(COUNTIF(Contratos!$A:$A,A8)+COUNTIF(Pagamentos!$A:$A,A8)=0,"não consta","SIM — contratos: "&amp;COUNTIF(Contratos!$A:$A,A8)&amp;"; pagamentos: "&amp;COUNTIF(Pagamentos!$A:$A,A8)))</f>
        <v/>
      </c>
      <c r="G8" s="27"/>
      <c r="H8" s="5"/>
      <c r="J8" s="5"/>
      <c r="K8" s="41"/>
      <c r="L8" s="14"/>
      <c r="M8" s="5"/>
      <c r="N8" s="35"/>
      <c r="O8" s="27"/>
      <c r="P8" s="39" t="str">
        <f aca="false">IF(OR(J8="",K8=""),"",SUMIFS($N:$N,$J:$J,J8,$K:$K,K8))</f>
        <v/>
      </c>
      <c r="Q8" s="32" t="str">
        <f aca="false">IF(OR(J8="",K8=""),"",IF(COUNTIFS($J:$J,J8,$K:$K,"&lt;"&amp;K8)=0,"",_xlfn.MAXIFS($K:$K,$J:$J,J8,$K:$K,"&lt;"&amp;K8)))</f>
        <v/>
      </c>
      <c r="R8" s="39" t="str">
        <f aca="false">IF(Q8="","",SUMIFS($N:$N,$J:$J,J8,$K:$K,Q8))</f>
        <v/>
      </c>
      <c r="S8" s="37" t="str">
        <f aca="false">IF(OR(R8="",R8=0,P8=""),"",P8/R8-1)</f>
        <v/>
      </c>
    </row>
    <row r="9" customFormat="false" ht="15" hidden="false" customHeight="false" outlineLevel="0" collapsed="false">
      <c r="A9" s="27"/>
      <c r="B9" s="5"/>
      <c r="C9" s="35"/>
      <c r="D9" s="5"/>
      <c r="E9" s="5"/>
      <c r="F9" s="19" t="str">
        <f aca="false">IF(A9="","",IF(COUNTIF(Contratos!$A:$A,A9)+COUNTIF(Pagamentos!$A:$A,A9)=0,"não consta","SIM — contratos: "&amp;COUNTIF(Contratos!$A:$A,A9)&amp;"; pagamentos: "&amp;COUNTIF(Pagamentos!$A:$A,A9)))</f>
        <v/>
      </c>
      <c r="G9" s="27"/>
      <c r="H9" s="5"/>
      <c r="J9" s="5"/>
      <c r="K9" s="41"/>
      <c r="L9" s="14"/>
      <c r="M9" s="5"/>
      <c r="N9" s="35"/>
      <c r="O9" s="27"/>
      <c r="P9" s="39" t="str">
        <f aca="false">IF(OR(J9="",K9=""),"",SUMIFS($N:$N,$J:$J,J9,$K:$K,K9))</f>
        <v/>
      </c>
      <c r="Q9" s="32" t="str">
        <f aca="false">IF(OR(J9="",K9=""),"",IF(COUNTIFS($J:$J,J9,$K:$K,"&lt;"&amp;K9)=0,"",_xlfn.MAXIFS($K:$K,$J:$J,J9,$K:$K,"&lt;"&amp;K9)))</f>
        <v/>
      </c>
      <c r="R9" s="39" t="str">
        <f aca="false">IF(Q9="","",SUMIFS($N:$N,$J:$J,J9,$K:$K,Q9))</f>
        <v/>
      </c>
      <c r="S9" s="37" t="str">
        <f aca="false">IF(OR(R9="",R9=0,P9=""),"",P9/R9-1)</f>
        <v/>
      </c>
    </row>
    <row r="10" customFormat="false" ht="15" hidden="false" customHeight="false" outlineLevel="0" collapsed="false">
      <c r="A10" s="27"/>
      <c r="B10" s="5"/>
      <c r="C10" s="35"/>
      <c r="D10" s="5"/>
      <c r="E10" s="5"/>
      <c r="F10" s="19" t="str">
        <f aca="false">IF(A10="","",IF(COUNTIF(Contratos!$A:$A,A10)+COUNTIF(Pagamentos!$A:$A,A10)=0,"não consta","SIM — contratos: "&amp;COUNTIF(Contratos!$A:$A,A10)&amp;"; pagamentos: "&amp;COUNTIF(Pagamentos!$A:$A,A10)))</f>
        <v/>
      </c>
      <c r="G10" s="27"/>
      <c r="H10" s="5"/>
      <c r="J10" s="5"/>
      <c r="K10" s="41"/>
      <c r="L10" s="14"/>
      <c r="M10" s="5"/>
      <c r="N10" s="35"/>
      <c r="O10" s="27"/>
      <c r="P10" s="39" t="str">
        <f aca="false">IF(OR(J10="",K10=""),"",SUMIFS($N:$N,$J:$J,J10,$K:$K,K10))</f>
        <v/>
      </c>
      <c r="Q10" s="32" t="str">
        <f aca="false">IF(OR(J10="",K10=""),"",IF(COUNTIFS($J:$J,J10,$K:$K,"&lt;"&amp;K10)=0,"",_xlfn.MAXIFS($K:$K,$J:$J,J10,$K:$K,"&lt;"&amp;K10)))</f>
        <v/>
      </c>
      <c r="R10" s="39" t="str">
        <f aca="false">IF(Q10="","",SUMIFS($N:$N,$J:$J,J10,$K:$K,Q10))</f>
        <v/>
      </c>
      <c r="S10" s="37" t="str">
        <f aca="false">IF(OR(R10="",R10=0,P10=""),"",P10/R10-1)</f>
        <v/>
      </c>
    </row>
    <row r="11" customFormat="false" ht="15" hidden="false" customHeight="false" outlineLevel="0" collapsed="false">
      <c r="A11" s="27"/>
      <c r="B11" s="5"/>
      <c r="C11" s="35"/>
      <c r="D11" s="5"/>
      <c r="E11" s="5"/>
      <c r="F11" s="19" t="str">
        <f aca="false">IF(A11="","",IF(COUNTIF(Contratos!$A:$A,A11)+COUNTIF(Pagamentos!$A:$A,A11)=0,"não consta","SIM — contratos: "&amp;COUNTIF(Contratos!$A:$A,A11)&amp;"; pagamentos: "&amp;COUNTIF(Pagamentos!$A:$A,A11)))</f>
        <v/>
      </c>
      <c r="G11" s="27"/>
      <c r="H11" s="5"/>
      <c r="J11" s="5"/>
      <c r="K11" s="41"/>
      <c r="L11" s="14"/>
      <c r="M11" s="5"/>
      <c r="N11" s="35"/>
      <c r="O11" s="27"/>
      <c r="P11" s="39" t="str">
        <f aca="false">IF(OR(J11="",K11=""),"",SUMIFS($N:$N,$J:$J,J11,$K:$K,K11))</f>
        <v/>
      </c>
      <c r="Q11" s="32" t="str">
        <f aca="false">IF(OR(J11="",K11=""),"",IF(COUNTIFS($J:$J,J11,$K:$K,"&lt;"&amp;K11)=0,"",_xlfn.MAXIFS($K:$K,$J:$J,J11,$K:$K,"&lt;"&amp;K11)))</f>
        <v/>
      </c>
      <c r="R11" s="39" t="str">
        <f aca="false">IF(Q11="","",SUMIFS($N:$N,$J:$J,J11,$K:$K,Q11))</f>
        <v/>
      </c>
      <c r="S11" s="37" t="str">
        <f aca="false">IF(OR(R11="",R11=0,P11=""),"",P11/R11-1)</f>
        <v/>
      </c>
    </row>
    <row r="12" customFormat="false" ht="15" hidden="false" customHeight="false" outlineLevel="0" collapsed="false">
      <c r="A12" s="27"/>
      <c r="B12" s="5"/>
      <c r="C12" s="35"/>
      <c r="D12" s="5"/>
      <c r="E12" s="5"/>
      <c r="F12" s="19" t="str">
        <f aca="false">IF(A12="","",IF(COUNTIF(Contratos!$A:$A,A12)+COUNTIF(Pagamentos!$A:$A,A12)=0,"não consta","SIM — contratos: "&amp;COUNTIF(Contratos!$A:$A,A12)&amp;"; pagamentos: "&amp;COUNTIF(Pagamentos!$A:$A,A12)))</f>
        <v/>
      </c>
      <c r="G12" s="27"/>
      <c r="H12" s="5"/>
      <c r="J12" s="5"/>
      <c r="K12" s="41"/>
      <c r="L12" s="14"/>
      <c r="M12" s="5"/>
      <c r="N12" s="35"/>
      <c r="O12" s="27"/>
      <c r="P12" s="39" t="str">
        <f aca="false">IF(OR(J12="",K12=""),"",SUMIFS($N:$N,$J:$J,J12,$K:$K,K12))</f>
        <v/>
      </c>
      <c r="Q12" s="32" t="str">
        <f aca="false">IF(OR(J12="",K12=""),"",IF(COUNTIFS($J:$J,J12,$K:$K,"&lt;"&amp;K12)=0,"",_xlfn.MAXIFS($K:$K,$J:$J,J12,$K:$K,"&lt;"&amp;K12)))</f>
        <v/>
      </c>
      <c r="R12" s="39" t="str">
        <f aca="false">IF(Q12="","",SUMIFS($N:$N,$J:$J,J12,$K:$K,Q12))</f>
        <v/>
      </c>
      <c r="S12" s="37" t="str">
        <f aca="false">IF(OR(R12="",R12=0,P12=""),"",P12/R12-1)</f>
        <v/>
      </c>
    </row>
    <row r="13" customFormat="false" ht="15" hidden="false" customHeight="false" outlineLevel="0" collapsed="false">
      <c r="A13" s="27"/>
      <c r="B13" s="5"/>
      <c r="C13" s="35"/>
      <c r="D13" s="5"/>
      <c r="E13" s="5"/>
      <c r="F13" s="19" t="str">
        <f aca="false">IF(A13="","",IF(COUNTIF(Contratos!$A:$A,A13)+COUNTIF(Pagamentos!$A:$A,A13)=0,"não consta","SIM — contratos: "&amp;COUNTIF(Contratos!$A:$A,A13)&amp;"; pagamentos: "&amp;COUNTIF(Pagamentos!$A:$A,A13)))</f>
        <v/>
      </c>
      <c r="G13" s="27"/>
      <c r="H13" s="5"/>
      <c r="J13" s="5"/>
      <c r="K13" s="41"/>
      <c r="L13" s="14"/>
      <c r="M13" s="5"/>
      <c r="N13" s="35"/>
      <c r="O13" s="27"/>
      <c r="P13" s="39" t="str">
        <f aca="false">IF(OR(J13="",K13=""),"",SUMIFS($N:$N,$J:$J,J13,$K:$K,K13))</f>
        <v/>
      </c>
      <c r="Q13" s="32" t="str">
        <f aca="false">IF(OR(J13="",K13=""),"",IF(COUNTIFS($J:$J,J13,$K:$K,"&lt;"&amp;K13)=0,"",_xlfn.MAXIFS($K:$K,$J:$J,J13,$K:$K,"&lt;"&amp;K13)))</f>
        <v/>
      </c>
      <c r="R13" s="39" t="str">
        <f aca="false">IF(Q13="","",SUMIFS($N:$N,$J:$J,J13,$K:$K,Q13))</f>
        <v/>
      </c>
      <c r="S13" s="37" t="str">
        <f aca="false">IF(OR(R13="",R13=0,P13=""),"",P13/R13-1)</f>
        <v/>
      </c>
    </row>
    <row r="14" customFormat="false" ht="15" hidden="false" customHeight="false" outlineLevel="0" collapsed="false">
      <c r="A14" s="27"/>
      <c r="B14" s="5"/>
      <c r="C14" s="35"/>
      <c r="D14" s="5"/>
      <c r="E14" s="5"/>
      <c r="F14" s="19" t="str">
        <f aca="false">IF(A14="","",IF(COUNTIF(Contratos!$A:$A,A14)+COUNTIF(Pagamentos!$A:$A,A14)=0,"não consta","SIM — contratos: "&amp;COUNTIF(Contratos!$A:$A,A14)&amp;"; pagamentos: "&amp;COUNTIF(Pagamentos!$A:$A,A14)))</f>
        <v/>
      </c>
      <c r="G14" s="27"/>
      <c r="H14" s="5"/>
      <c r="J14" s="5"/>
      <c r="K14" s="41"/>
      <c r="L14" s="14"/>
      <c r="M14" s="5"/>
      <c r="N14" s="35"/>
      <c r="O14" s="27"/>
      <c r="P14" s="39" t="str">
        <f aca="false">IF(OR(J14="",K14=""),"",SUMIFS($N:$N,$J:$J,J14,$K:$K,K14))</f>
        <v/>
      </c>
      <c r="Q14" s="32" t="str">
        <f aca="false">IF(OR(J14="",K14=""),"",IF(COUNTIFS($J:$J,J14,$K:$K,"&lt;"&amp;K14)=0,"",_xlfn.MAXIFS($K:$K,$J:$J,J14,$K:$K,"&lt;"&amp;K14)))</f>
        <v/>
      </c>
      <c r="R14" s="39" t="str">
        <f aca="false">IF(Q14="","",SUMIFS($N:$N,$J:$J,J14,$K:$K,Q14))</f>
        <v/>
      </c>
      <c r="S14" s="37" t="str">
        <f aca="false">IF(OR(R14="",R14=0,P14=""),"",P14/R14-1)</f>
        <v/>
      </c>
    </row>
    <row r="15" customFormat="false" ht="15" hidden="false" customHeight="false" outlineLevel="0" collapsed="false">
      <c r="A15" s="27"/>
      <c r="B15" s="5"/>
      <c r="C15" s="35"/>
      <c r="D15" s="5"/>
      <c r="E15" s="5"/>
      <c r="F15" s="19" t="str">
        <f aca="false">IF(A15="","",IF(COUNTIF(Contratos!$A:$A,A15)+COUNTIF(Pagamentos!$A:$A,A15)=0,"não consta","SIM — contratos: "&amp;COUNTIF(Contratos!$A:$A,A15)&amp;"; pagamentos: "&amp;COUNTIF(Pagamentos!$A:$A,A15)))</f>
        <v/>
      </c>
      <c r="G15" s="27"/>
      <c r="H15" s="5"/>
      <c r="J15" s="5"/>
      <c r="K15" s="41"/>
      <c r="L15" s="14"/>
      <c r="M15" s="5"/>
      <c r="N15" s="35"/>
      <c r="O15" s="27"/>
      <c r="P15" s="39" t="str">
        <f aca="false">IF(OR(J15="",K15=""),"",SUMIFS($N:$N,$J:$J,J15,$K:$K,K15))</f>
        <v/>
      </c>
      <c r="Q15" s="32" t="str">
        <f aca="false">IF(OR(J15="",K15=""),"",IF(COUNTIFS($J:$J,J15,$K:$K,"&lt;"&amp;K15)=0,"",_xlfn.MAXIFS($K:$K,$J:$J,J15,$K:$K,"&lt;"&amp;K15)))</f>
        <v/>
      </c>
      <c r="R15" s="39" t="str">
        <f aca="false">IF(Q15="","",SUMIFS($N:$N,$J:$J,J15,$K:$K,Q15))</f>
        <v/>
      </c>
      <c r="S15" s="37" t="str">
        <f aca="false">IF(OR(R15="",R15=0,P15=""),"",P15/R15-1)</f>
        <v/>
      </c>
    </row>
    <row r="16" customFormat="false" ht="15" hidden="false" customHeight="false" outlineLevel="0" collapsed="false">
      <c r="A16" s="27"/>
      <c r="B16" s="5"/>
      <c r="C16" s="35"/>
      <c r="D16" s="5"/>
      <c r="E16" s="5"/>
      <c r="F16" s="19" t="str">
        <f aca="false">IF(A16="","",IF(COUNTIF(Contratos!$A:$A,A16)+COUNTIF(Pagamentos!$A:$A,A16)=0,"não consta","SIM — contratos: "&amp;COUNTIF(Contratos!$A:$A,A16)&amp;"; pagamentos: "&amp;COUNTIF(Pagamentos!$A:$A,A16)))</f>
        <v/>
      </c>
      <c r="G16" s="27"/>
      <c r="H16" s="5"/>
      <c r="J16" s="5"/>
      <c r="K16" s="41"/>
      <c r="L16" s="14"/>
      <c r="M16" s="5"/>
      <c r="N16" s="35"/>
      <c r="O16" s="27"/>
      <c r="P16" s="39" t="str">
        <f aca="false">IF(OR(J16="",K16=""),"",SUMIFS($N:$N,$J:$J,J16,$K:$K,K16))</f>
        <v/>
      </c>
      <c r="Q16" s="32" t="str">
        <f aca="false">IF(OR(J16="",K16=""),"",IF(COUNTIFS($J:$J,J16,$K:$K,"&lt;"&amp;K16)=0,"",_xlfn.MAXIFS($K:$K,$J:$J,J16,$K:$K,"&lt;"&amp;K16)))</f>
        <v/>
      </c>
      <c r="R16" s="39" t="str">
        <f aca="false">IF(Q16="","",SUMIFS($N:$N,$J:$J,J16,$K:$K,Q16))</f>
        <v/>
      </c>
      <c r="S16" s="37" t="str">
        <f aca="false">IF(OR(R16="",R16=0,P16=""),"",P16/R16-1)</f>
        <v/>
      </c>
    </row>
    <row r="17" customFormat="false" ht="15" hidden="false" customHeight="false" outlineLevel="0" collapsed="false">
      <c r="A17" s="27"/>
      <c r="B17" s="5"/>
      <c r="C17" s="35"/>
      <c r="D17" s="5"/>
      <c r="E17" s="5"/>
      <c r="F17" s="19" t="str">
        <f aca="false">IF(A17="","",IF(COUNTIF(Contratos!$A:$A,A17)+COUNTIF(Pagamentos!$A:$A,A17)=0,"não consta","SIM — contratos: "&amp;COUNTIF(Contratos!$A:$A,A17)&amp;"; pagamentos: "&amp;COUNTIF(Pagamentos!$A:$A,A17)))</f>
        <v/>
      </c>
      <c r="G17" s="27"/>
      <c r="H17" s="5"/>
      <c r="J17" s="5"/>
      <c r="K17" s="41"/>
      <c r="L17" s="14"/>
      <c r="M17" s="5"/>
      <c r="N17" s="35"/>
      <c r="O17" s="27"/>
      <c r="P17" s="39" t="str">
        <f aca="false">IF(OR(J17="",K17=""),"",SUMIFS($N:$N,$J:$J,J17,$K:$K,K17))</f>
        <v/>
      </c>
      <c r="Q17" s="32" t="str">
        <f aca="false">IF(OR(J17="",K17=""),"",IF(COUNTIFS($J:$J,J17,$K:$K,"&lt;"&amp;K17)=0,"",_xlfn.MAXIFS($K:$K,$J:$J,J17,$K:$K,"&lt;"&amp;K17)))</f>
        <v/>
      </c>
      <c r="R17" s="39" t="str">
        <f aca="false">IF(Q17="","",SUMIFS($N:$N,$J:$J,J17,$K:$K,Q17))</f>
        <v/>
      </c>
      <c r="S17" s="37" t="str">
        <f aca="false">IF(OR(R17="",R17=0,P17=""),"",P17/R17-1)</f>
        <v/>
      </c>
    </row>
    <row r="18" customFormat="false" ht="15" hidden="false" customHeight="false" outlineLevel="0" collapsed="false">
      <c r="A18" s="27"/>
      <c r="B18" s="5"/>
      <c r="C18" s="35"/>
      <c r="D18" s="5"/>
      <c r="E18" s="5"/>
      <c r="F18" s="19" t="str">
        <f aca="false">IF(A18="","",IF(COUNTIF(Contratos!$A:$A,A18)+COUNTIF(Pagamentos!$A:$A,A18)=0,"não consta","SIM — contratos: "&amp;COUNTIF(Contratos!$A:$A,A18)&amp;"; pagamentos: "&amp;COUNTIF(Pagamentos!$A:$A,A18)))</f>
        <v/>
      </c>
      <c r="G18" s="27"/>
      <c r="H18" s="5"/>
      <c r="J18" s="5"/>
      <c r="K18" s="41"/>
      <c r="L18" s="14"/>
      <c r="M18" s="5"/>
      <c r="N18" s="35"/>
      <c r="O18" s="27"/>
      <c r="P18" s="39" t="str">
        <f aca="false">IF(OR(J18="",K18=""),"",SUMIFS($N:$N,$J:$J,J18,$K:$K,K18))</f>
        <v/>
      </c>
      <c r="Q18" s="32" t="str">
        <f aca="false">IF(OR(J18="",K18=""),"",IF(COUNTIFS($J:$J,J18,$K:$K,"&lt;"&amp;K18)=0,"",_xlfn.MAXIFS($K:$K,$J:$J,J18,$K:$K,"&lt;"&amp;K18)))</f>
        <v/>
      </c>
      <c r="R18" s="39" t="str">
        <f aca="false">IF(Q18="","",SUMIFS($N:$N,$J:$J,J18,$K:$K,Q18))</f>
        <v/>
      </c>
      <c r="S18" s="37" t="str">
        <f aca="false">IF(OR(R18="",R18=0,P18=""),"",P18/R18-1)</f>
        <v/>
      </c>
    </row>
    <row r="19" customFormat="false" ht="15" hidden="false" customHeight="false" outlineLevel="0" collapsed="false">
      <c r="A19" s="27"/>
      <c r="B19" s="5"/>
      <c r="C19" s="35"/>
      <c r="D19" s="5"/>
      <c r="E19" s="5"/>
      <c r="F19" s="19" t="str">
        <f aca="false">IF(A19="","",IF(COUNTIF(Contratos!$A:$A,A19)+COUNTIF(Pagamentos!$A:$A,A19)=0,"não consta","SIM — contratos: "&amp;COUNTIF(Contratos!$A:$A,A19)&amp;"; pagamentos: "&amp;COUNTIF(Pagamentos!$A:$A,A19)))</f>
        <v/>
      </c>
      <c r="G19" s="27"/>
      <c r="H19" s="5"/>
      <c r="J19" s="5"/>
      <c r="K19" s="41"/>
      <c r="L19" s="14"/>
      <c r="M19" s="5"/>
      <c r="N19" s="35"/>
      <c r="O19" s="27"/>
      <c r="P19" s="39" t="str">
        <f aca="false">IF(OR(J19="",K19=""),"",SUMIFS($N:$N,$J:$J,J19,$K:$K,K19))</f>
        <v/>
      </c>
      <c r="Q19" s="32" t="str">
        <f aca="false">IF(OR(J19="",K19=""),"",IF(COUNTIFS($J:$J,J19,$K:$K,"&lt;"&amp;K19)=0,"",_xlfn.MAXIFS($K:$K,$J:$J,J19,$K:$K,"&lt;"&amp;K19)))</f>
        <v/>
      </c>
      <c r="R19" s="39" t="str">
        <f aca="false">IF(Q19="","",SUMIFS($N:$N,$J:$J,J19,$K:$K,Q19))</f>
        <v/>
      </c>
      <c r="S19" s="37" t="str">
        <f aca="false">IF(OR(R19="",R19=0,P19=""),"",P19/R19-1)</f>
        <v/>
      </c>
    </row>
    <row r="20" customFormat="false" ht="15" hidden="false" customHeight="false" outlineLevel="0" collapsed="false">
      <c r="A20" s="27"/>
      <c r="B20" s="5"/>
      <c r="C20" s="35"/>
      <c r="D20" s="5"/>
      <c r="E20" s="5"/>
      <c r="F20" s="19" t="str">
        <f aca="false">IF(A20="","",IF(COUNTIF(Contratos!$A:$A,A20)+COUNTIF(Pagamentos!$A:$A,A20)=0,"não consta","SIM — contratos: "&amp;COUNTIF(Contratos!$A:$A,A20)&amp;"; pagamentos: "&amp;COUNTIF(Pagamentos!$A:$A,A20)))</f>
        <v/>
      </c>
      <c r="G20" s="27"/>
      <c r="H20" s="5"/>
      <c r="J20" s="5"/>
      <c r="K20" s="41"/>
      <c r="L20" s="14"/>
      <c r="M20" s="5"/>
      <c r="N20" s="35"/>
      <c r="O20" s="27"/>
      <c r="P20" s="39" t="str">
        <f aca="false">IF(OR(J20="",K20=""),"",SUMIFS($N:$N,$J:$J,J20,$K:$K,K20))</f>
        <v/>
      </c>
      <c r="Q20" s="32" t="str">
        <f aca="false">IF(OR(J20="",K20=""),"",IF(COUNTIFS($J:$J,J20,$K:$K,"&lt;"&amp;K20)=0,"",_xlfn.MAXIFS($K:$K,$J:$J,J20,$K:$K,"&lt;"&amp;K20)))</f>
        <v/>
      </c>
      <c r="R20" s="39" t="str">
        <f aca="false">IF(Q20="","",SUMIFS($N:$N,$J:$J,J20,$K:$K,Q20))</f>
        <v/>
      </c>
      <c r="S20" s="37" t="str">
        <f aca="false">IF(OR(R20="",R20=0,P20=""),"",P20/R20-1)</f>
        <v/>
      </c>
    </row>
    <row r="21" customFormat="false" ht="15" hidden="false" customHeight="false" outlineLevel="0" collapsed="false">
      <c r="A21" s="27"/>
      <c r="B21" s="5"/>
      <c r="C21" s="35"/>
      <c r="D21" s="5"/>
      <c r="E21" s="5"/>
      <c r="F21" s="19" t="str">
        <f aca="false">IF(A21="","",IF(COUNTIF(Contratos!$A:$A,A21)+COUNTIF(Pagamentos!$A:$A,A21)=0,"não consta","SIM — contratos: "&amp;COUNTIF(Contratos!$A:$A,A21)&amp;"; pagamentos: "&amp;COUNTIF(Pagamentos!$A:$A,A21)))</f>
        <v/>
      </c>
      <c r="G21" s="27"/>
      <c r="H21" s="5"/>
      <c r="J21" s="5"/>
      <c r="K21" s="41"/>
      <c r="L21" s="14"/>
      <c r="M21" s="5"/>
      <c r="N21" s="35"/>
      <c r="O21" s="27"/>
      <c r="P21" s="39" t="str">
        <f aca="false">IF(OR(J21="",K21=""),"",SUMIFS($N:$N,$J:$J,J21,$K:$K,K21))</f>
        <v/>
      </c>
      <c r="Q21" s="32" t="str">
        <f aca="false">IF(OR(J21="",K21=""),"",IF(COUNTIFS($J:$J,J21,$K:$K,"&lt;"&amp;K21)=0,"",_xlfn.MAXIFS($K:$K,$J:$J,J21,$K:$K,"&lt;"&amp;K21)))</f>
        <v/>
      </c>
      <c r="R21" s="39" t="str">
        <f aca="false">IF(Q21="","",SUMIFS($N:$N,$J:$J,J21,$K:$K,Q21))</f>
        <v/>
      </c>
      <c r="S21" s="37" t="str">
        <f aca="false">IF(OR(R21="",R21=0,P21=""),"",P21/R21-1)</f>
        <v/>
      </c>
    </row>
    <row r="22" customFormat="false" ht="15" hidden="false" customHeight="false" outlineLevel="0" collapsed="false">
      <c r="A22" s="27"/>
      <c r="B22" s="5"/>
      <c r="C22" s="35"/>
      <c r="D22" s="5"/>
      <c r="E22" s="5"/>
      <c r="F22" s="19" t="str">
        <f aca="false">IF(A22="","",IF(COUNTIF(Contratos!$A:$A,A22)+COUNTIF(Pagamentos!$A:$A,A22)=0,"não consta","SIM — contratos: "&amp;COUNTIF(Contratos!$A:$A,A22)&amp;"; pagamentos: "&amp;COUNTIF(Pagamentos!$A:$A,A22)))</f>
        <v/>
      </c>
      <c r="G22" s="27"/>
      <c r="H22" s="5"/>
      <c r="J22" s="5"/>
      <c r="K22" s="41"/>
      <c r="L22" s="14"/>
      <c r="M22" s="5"/>
      <c r="N22" s="35"/>
      <c r="O22" s="27"/>
      <c r="P22" s="39" t="str">
        <f aca="false">IF(OR(J22="",K22=""),"",SUMIFS($N:$N,$J:$J,J22,$K:$K,K22))</f>
        <v/>
      </c>
      <c r="Q22" s="32" t="str">
        <f aca="false">IF(OR(J22="",K22=""),"",IF(COUNTIFS($J:$J,J22,$K:$K,"&lt;"&amp;K22)=0,"",_xlfn.MAXIFS($K:$K,$J:$J,J22,$K:$K,"&lt;"&amp;K22)))</f>
        <v/>
      </c>
      <c r="R22" s="39" t="str">
        <f aca="false">IF(Q22="","",SUMIFS($N:$N,$J:$J,J22,$K:$K,Q22))</f>
        <v/>
      </c>
      <c r="S22" s="37" t="str">
        <f aca="false">IF(OR(R22="",R22=0,P22=""),"",P22/R22-1)</f>
        <v/>
      </c>
    </row>
    <row r="23" customFormat="false" ht="15" hidden="false" customHeight="false" outlineLevel="0" collapsed="false">
      <c r="A23" s="27"/>
      <c r="B23" s="5"/>
      <c r="C23" s="35"/>
      <c r="D23" s="5"/>
      <c r="E23" s="5"/>
      <c r="F23" s="19" t="str">
        <f aca="false">IF(A23="","",IF(COUNTIF(Contratos!$A:$A,A23)+COUNTIF(Pagamentos!$A:$A,A23)=0,"não consta","SIM — contratos: "&amp;COUNTIF(Contratos!$A:$A,A23)&amp;"; pagamentos: "&amp;COUNTIF(Pagamentos!$A:$A,A23)))</f>
        <v/>
      </c>
      <c r="G23" s="27"/>
      <c r="H23" s="5"/>
      <c r="J23" s="5"/>
      <c r="K23" s="41"/>
      <c r="L23" s="14"/>
      <c r="M23" s="5"/>
      <c r="N23" s="35"/>
      <c r="O23" s="27"/>
      <c r="P23" s="39" t="str">
        <f aca="false">IF(OR(J23="",K23=""),"",SUMIFS($N:$N,$J:$J,J23,$K:$K,K23))</f>
        <v/>
      </c>
      <c r="Q23" s="32" t="str">
        <f aca="false">IF(OR(J23="",K23=""),"",IF(COUNTIFS($J:$J,J23,$K:$K,"&lt;"&amp;K23)=0,"",_xlfn.MAXIFS($K:$K,$J:$J,J23,$K:$K,"&lt;"&amp;K23)))</f>
        <v/>
      </c>
      <c r="R23" s="39" t="str">
        <f aca="false">IF(Q23="","",SUMIFS($N:$N,$J:$J,J23,$K:$K,Q23))</f>
        <v/>
      </c>
      <c r="S23" s="37" t="str">
        <f aca="false">IF(OR(R23="",R23=0,P23=""),"",P23/R23-1)</f>
        <v/>
      </c>
    </row>
    <row r="24" customFormat="false" ht="15" hidden="false" customHeight="false" outlineLevel="0" collapsed="false">
      <c r="A24" s="27"/>
      <c r="B24" s="5"/>
      <c r="C24" s="35"/>
      <c r="D24" s="5"/>
      <c r="E24" s="5"/>
      <c r="F24" s="19" t="str">
        <f aca="false">IF(A24="","",IF(COUNTIF(Contratos!$A:$A,A24)+COUNTIF(Pagamentos!$A:$A,A24)=0,"não consta","SIM — contratos: "&amp;COUNTIF(Contratos!$A:$A,A24)&amp;"; pagamentos: "&amp;COUNTIF(Pagamentos!$A:$A,A24)))</f>
        <v/>
      </c>
      <c r="G24" s="27"/>
      <c r="H24" s="5"/>
      <c r="J24" s="5"/>
      <c r="K24" s="41"/>
      <c r="L24" s="14"/>
      <c r="M24" s="5"/>
      <c r="N24" s="35"/>
      <c r="O24" s="27"/>
      <c r="P24" s="39" t="str">
        <f aca="false">IF(OR(J24="",K24=""),"",SUMIFS($N:$N,$J:$J,J24,$K:$K,K24))</f>
        <v/>
      </c>
      <c r="Q24" s="32" t="str">
        <f aca="false">IF(OR(J24="",K24=""),"",IF(COUNTIFS($J:$J,J24,$K:$K,"&lt;"&amp;K24)=0,"",_xlfn.MAXIFS($K:$K,$J:$J,J24,$K:$K,"&lt;"&amp;K24)))</f>
        <v/>
      </c>
      <c r="R24" s="39" t="str">
        <f aca="false">IF(Q24="","",SUMIFS($N:$N,$J:$J,J24,$K:$K,Q24))</f>
        <v/>
      </c>
      <c r="S24" s="37" t="str">
        <f aca="false">IF(OR(R24="",R24=0,P24=""),"",P24/R24-1)</f>
        <v/>
      </c>
    </row>
    <row r="25" customFormat="false" ht="15" hidden="false" customHeight="false" outlineLevel="0" collapsed="false">
      <c r="A25" s="27"/>
      <c r="B25" s="5"/>
      <c r="C25" s="35"/>
      <c r="D25" s="5"/>
      <c r="E25" s="5"/>
      <c r="F25" s="19" t="str">
        <f aca="false">IF(A25="","",IF(COUNTIF(Contratos!$A:$A,A25)+COUNTIF(Pagamentos!$A:$A,A25)=0,"não consta","SIM — contratos: "&amp;COUNTIF(Contratos!$A:$A,A25)&amp;"; pagamentos: "&amp;COUNTIF(Pagamentos!$A:$A,A25)))</f>
        <v/>
      </c>
      <c r="G25" s="27"/>
      <c r="H25" s="5"/>
      <c r="J25" s="5"/>
      <c r="K25" s="41"/>
      <c r="L25" s="14"/>
      <c r="M25" s="5"/>
      <c r="N25" s="35"/>
      <c r="O25" s="27"/>
      <c r="P25" s="39" t="str">
        <f aca="false">IF(OR(J25="",K25=""),"",SUMIFS($N:$N,$J:$J,J25,$K:$K,K25))</f>
        <v/>
      </c>
      <c r="Q25" s="32" t="str">
        <f aca="false">IF(OR(J25="",K25=""),"",IF(COUNTIFS($J:$J,J25,$K:$K,"&lt;"&amp;K25)=0,"",_xlfn.MAXIFS($K:$K,$J:$J,J25,$K:$K,"&lt;"&amp;K25)))</f>
        <v/>
      </c>
      <c r="R25" s="39" t="str">
        <f aca="false">IF(Q25="","",SUMIFS($N:$N,$J:$J,J25,$K:$K,Q25))</f>
        <v/>
      </c>
      <c r="S25" s="37" t="str">
        <f aca="false">IF(OR(R25="",R25=0,P25=""),"",P25/R25-1)</f>
        <v/>
      </c>
    </row>
    <row r="26" customFormat="false" ht="15" hidden="false" customHeight="false" outlineLevel="0" collapsed="false">
      <c r="A26" s="27"/>
      <c r="B26" s="5"/>
      <c r="C26" s="35"/>
      <c r="D26" s="5"/>
      <c r="E26" s="5"/>
      <c r="F26" s="19" t="str">
        <f aca="false">IF(A26="","",IF(COUNTIF(Contratos!$A:$A,A26)+COUNTIF(Pagamentos!$A:$A,A26)=0,"não consta","SIM — contratos: "&amp;COUNTIF(Contratos!$A:$A,A26)&amp;"; pagamentos: "&amp;COUNTIF(Pagamentos!$A:$A,A26)))</f>
        <v/>
      </c>
      <c r="G26" s="27"/>
      <c r="H26" s="5"/>
      <c r="J26" s="5"/>
      <c r="K26" s="41"/>
      <c r="L26" s="14"/>
      <c r="M26" s="5"/>
      <c r="N26" s="35"/>
      <c r="O26" s="27"/>
      <c r="P26" s="39" t="str">
        <f aca="false">IF(OR(J26="",K26=""),"",SUMIFS($N:$N,$J:$J,J26,$K:$K,K26))</f>
        <v/>
      </c>
      <c r="Q26" s="32" t="str">
        <f aca="false">IF(OR(J26="",K26=""),"",IF(COUNTIFS($J:$J,J26,$K:$K,"&lt;"&amp;K26)=0,"",_xlfn.MAXIFS($K:$K,$J:$J,J26,$K:$K,"&lt;"&amp;K26)))</f>
        <v/>
      </c>
      <c r="R26" s="39" t="str">
        <f aca="false">IF(Q26="","",SUMIFS($N:$N,$J:$J,J26,$K:$K,Q26))</f>
        <v/>
      </c>
      <c r="S26" s="37" t="str">
        <f aca="false">IF(OR(R26="",R26=0,P26=""),"",P26/R26-1)</f>
        <v/>
      </c>
    </row>
    <row r="27" customFormat="false" ht="15" hidden="false" customHeight="false" outlineLevel="0" collapsed="false">
      <c r="A27" s="27"/>
      <c r="B27" s="5"/>
      <c r="C27" s="35"/>
      <c r="D27" s="5"/>
      <c r="E27" s="5"/>
      <c r="F27" s="19" t="str">
        <f aca="false">IF(A27="","",IF(COUNTIF(Contratos!$A:$A,A27)+COUNTIF(Pagamentos!$A:$A,A27)=0,"não consta","SIM — contratos: "&amp;COUNTIF(Contratos!$A:$A,A27)&amp;"; pagamentos: "&amp;COUNTIF(Pagamentos!$A:$A,A27)))</f>
        <v/>
      </c>
      <c r="G27" s="27"/>
      <c r="H27" s="5"/>
      <c r="J27" s="5"/>
      <c r="K27" s="41"/>
      <c r="L27" s="14"/>
      <c r="M27" s="5"/>
      <c r="N27" s="35"/>
      <c r="O27" s="27"/>
      <c r="P27" s="39" t="str">
        <f aca="false">IF(OR(J27="",K27=""),"",SUMIFS($N:$N,$J:$J,J27,$K:$K,K27))</f>
        <v/>
      </c>
      <c r="Q27" s="32" t="str">
        <f aca="false">IF(OR(J27="",K27=""),"",IF(COUNTIFS($J:$J,J27,$K:$K,"&lt;"&amp;K27)=0,"",_xlfn.MAXIFS($K:$K,$J:$J,J27,$K:$K,"&lt;"&amp;K27)))</f>
        <v/>
      </c>
      <c r="R27" s="39" t="str">
        <f aca="false">IF(Q27="","",SUMIFS($N:$N,$J:$J,J27,$K:$K,Q27))</f>
        <v/>
      </c>
      <c r="S27" s="37" t="str">
        <f aca="false">IF(OR(R27="",R27=0,P27=""),"",P27/R27-1)</f>
        <v/>
      </c>
    </row>
    <row r="28" customFormat="false" ht="15" hidden="false" customHeight="false" outlineLevel="0" collapsed="false">
      <c r="A28" s="27"/>
      <c r="B28" s="5"/>
      <c r="C28" s="35"/>
      <c r="D28" s="5"/>
      <c r="E28" s="5"/>
      <c r="F28" s="19" t="str">
        <f aca="false">IF(A28="","",IF(COUNTIF(Contratos!$A:$A,A28)+COUNTIF(Pagamentos!$A:$A,A28)=0,"não consta","SIM — contratos: "&amp;COUNTIF(Contratos!$A:$A,A28)&amp;"; pagamentos: "&amp;COUNTIF(Pagamentos!$A:$A,A28)))</f>
        <v/>
      </c>
      <c r="G28" s="27"/>
      <c r="H28" s="5"/>
      <c r="J28" s="5"/>
      <c r="K28" s="41"/>
      <c r="L28" s="14"/>
      <c r="M28" s="5"/>
      <c r="N28" s="35"/>
      <c r="O28" s="27"/>
      <c r="P28" s="39" t="str">
        <f aca="false">IF(OR(J28="",K28=""),"",SUMIFS($N:$N,$J:$J,J28,$K:$K,K28))</f>
        <v/>
      </c>
      <c r="Q28" s="32" t="str">
        <f aca="false">IF(OR(J28="",K28=""),"",IF(COUNTIFS($J:$J,J28,$K:$K,"&lt;"&amp;K28)=0,"",_xlfn.MAXIFS($K:$K,$J:$J,J28,$K:$K,"&lt;"&amp;K28)))</f>
        <v/>
      </c>
      <c r="R28" s="39" t="str">
        <f aca="false">IF(Q28="","",SUMIFS($N:$N,$J:$J,J28,$K:$K,Q28))</f>
        <v/>
      </c>
      <c r="S28" s="37" t="str">
        <f aca="false">IF(OR(R28="",R28=0,P28=""),"",P28/R28-1)</f>
        <v/>
      </c>
    </row>
    <row r="29" customFormat="false" ht="15" hidden="false" customHeight="false" outlineLevel="0" collapsed="false">
      <c r="A29" s="27"/>
      <c r="B29" s="5"/>
      <c r="C29" s="35"/>
      <c r="D29" s="5"/>
      <c r="E29" s="5"/>
      <c r="F29" s="19" t="str">
        <f aca="false">IF(A29="","",IF(COUNTIF(Contratos!$A:$A,A29)+COUNTIF(Pagamentos!$A:$A,A29)=0,"não consta","SIM — contratos: "&amp;COUNTIF(Contratos!$A:$A,A29)&amp;"; pagamentos: "&amp;COUNTIF(Pagamentos!$A:$A,A29)))</f>
        <v/>
      </c>
      <c r="G29" s="27"/>
      <c r="H29" s="5"/>
      <c r="J29" s="5"/>
      <c r="K29" s="41"/>
      <c r="L29" s="14"/>
      <c r="M29" s="5"/>
      <c r="N29" s="35"/>
      <c r="O29" s="27"/>
      <c r="P29" s="39" t="str">
        <f aca="false">IF(OR(J29="",K29=""),"",SUMIFS($N:$N,$J:$J,J29,$K:$K,K29))</f>
        <v/>
      </c>
      <c r="Q29" s="32" t="str">
        <f aca="false">IF(OR(J29="",K29=""),"",IF(COUNTIFS($J:$J,J29,$K:$K,"&lt;"&amp;K29)=0,"",_xlfn.MAXIFS($K:$K,$J:$J,J29,$K:$K,"&lt;"&amp;K29)))</f>
        <v/>
      </c>
      <c r="R29" s="39" t="str">
        <f aca="false">IF(Q29="","",SUMIFS($N:$N,$J:$J,J29,$K:$K,Q29))</f>
        <v/>
      </c>
      <c r="S29" s="37" t="str">
        <f aca="false">IF(OR(R29="",R29=0,P29=""),"",P29/R29-1)</f>
        <v/>
      </c>
    </row>
    <row r="30" customFormat="false" ht="15" hidden="false" customHeight="false" outlineLevel="0" collapsed="false">
      <c r="A30" s="27"/>
      <c r="B30" s="5"/>
      <c r="C30" s="35"/>
      <c r="D30" s="5"/>
      <c r="E30" s="5"/>
      <c r="F30" s="19" t="str">
        <f aca="false">IF(A30="","",IF(COUNTIF(Contratos!$A:$A,A30)+COUNTIF(Pagamentos!$A:$A,A30)=0,"não consta","SIM — contratos: "&amp;COUNTIF(Contratos!$A:$A,A30)&amp;"; pagamentos: "&amp;COUNTIF(Pagamentos!$A:$A,A30)))</f>
        <v/>
      </c>
      <c r="G30" s="27"/>
      <c r="H30" s="5"/>
      <c r="J30" s="5"/>
      <c r="K30" s="41"/>
      <c r="L30" s="14"/>
      <c r="M30" s="5"/>
      <c r="N30" s="35"/>
      <c r="O30" s="27"/>
      <c r="P30" s="39" t="str">
        <f aca="false">IF(OR(J30="",K30=""),"",SUMIFS($N:$N,$J:$J,J30,$K:$K,K30))</f>
        <v/>
      </c>
      <c r="Q30" s="32" t="str">
        <f aca="false">IF(OR(J30="",K30=""),"",IF(COUNTIFS($J:$J,J30,$K:$K,"&lt;"&amp;K30)=0,"",_xlfn.MAXIFS($K:$K,$J:$J,J30,$K:$K,"&lt;"&amp;K30)))</f>
        <v/>
      </c>
      <c r="R30" s="39" t="str">
        <f aca="false">IF(Q30="","",SUMIFS($N:$N,$J:$J,J30,$K:$K,Q30))</f>
        <v/>
      </c>
      <c r="S30" s="37" t="str">
        <f aca="false">IF(OR(R30="",R30=0,P30=""),"",P30/R30-1)</f>
        <v/>
      </c>
    </row>
    <row r="31" customFormat="false" ht="15" hidden="false" customHeight="false" outlineLevel="0" collapsed="false">
      <c r="A31" s="27"/>
      <c r="B31" s="5"/>
      <c r="C31" s="35"/>
      <c r="D31" s="5"/>
      <c r="E31" s="5"/>
      <c r="F31" s="19" t="str">
        <f aca="false">IF(A31="","",IF(COUNTIF(Contratos!$A:$A,A31)+COUNTIF(Pagamentos!$A:$A,A31)=0,"não consta","SIM — contratos: "&amp;COUNTIF(Contratos!$A:$A,A31)&amp;"; pagamentos: "&amp;COUNTIF(Pagamentos!$A:$A,A31)))</f>
        <v/>
      </c>
      <c r="G31" s="27"/>
      <c r="H31" s="5"/>
      <c r="J31" s="5"/>
      <c r="K31" s="41"/>
      <c r="L31" s="14"/>
      <c r="M31" s="5"/>
      <c r="N31" s="35"/>
      <c r="O31" s="27"/>
      <c r="P31" s="39" t="str">
        <f aca="false">IF(OR(J31="",K31=""),"",SUMIFS($N:$N,$J:$J,J31,$K:$K,K31))</f>
        <v/>
      </c>
      <c r="Q31" s="32" t="str">
        <f aca="false">IF(OR(J31="",K31=""),"",IF(COUNTIFS($J:$J,J31,$K:$K,"&lt;"&amp;K31)=0,"",_xlfn.MAXIFS($K:$K,$J:$J,J31,$K:$K,"&lt;"&amp;K31)))</f>
        <v/>
      </c>
      <c r="R31" s="39" t="str">
        <f aca="false">IF(Q31="","",SUMIFS($N:$N,$J:$J,J31,$K:$K,Q31))</f>
        <v/>
      </c>
      <c r="S31" s="37" t="str">
        <f aca="false">IF(OR(R31="",R31=0,P31=""),"",P31/R31-1)</f>
        <v/>
      </c>
    </row>
    <row r="32" customFormat="false" ht="15" hidden="false" customHeight="false" outlineLevel="0" collapsed="false">
      <c r="A32" s="27"/>
      <c r="B32" s="5"/>
      <c r="C32" s="35"/>
      <c r="D32" s="5"/>
      <c r="E32" s="5"/>
      <c r="F32" s="19" t="str">
        <f aca="false">IF(A32="","",IF(COUNTIF(Contratos!$A:$A,A32)+COUNTIF(Pagamentos!$A:$A,A32)=0,"não consta","SIM — contratos: "&amp;COUNTIF(Contratos!$A:$A,A32)&amp;"; pagamentos: "&amp;COUNTIF(Pagamentos!$A:$A,A32)))</f>
        <v/>
      </c>
      <c r="G32" s="27"/>
      <c r="H32" s="5"/>
      <c r="J32" s="5"/>
      <c r="K32" s="41"/>
      <c r="L32" s="14"/>
      <c r="M32" s="5"/>
      <c r="N32" s="35"/>
      <c r="O32" s="27"/>
      <c r="P32" s="39" t="str">
        <f aca="false">IF(OR(J32="",K32=""),"",SUMIFS($N:$N,$J:$J,J32,$K:$K,K32))</f>
        <v/>
      </c>
      <c r="Q32" s="32" t="str">
        <f aca="false">IF(OR(J32="",K32=""),"",IF(COUNTIFS($J:$J,J32,$K:$K,"&lt;"&amp;K32)=0,"",_xlfn.MAXIFS($K:$K,$J:$J,J32,$K:$K,"&lt;"&amp;K32)))</f>
        <v/>
      </c>
      <c r="R32" s="39" t="str">
        <f aca="false">IF(Q32="","",SUMIFS($N:$N,$J:$J,J32,$K:$K,Q32))</f>
        <v/>
      </c>
      <c r="S32" s="37" t="str">
        <f aca="false">IF(OR(R32="",R32=0,P32=""),"",P32/R32-1)</f>
        <v/>
      </c>
    </row>
    <row r="33" customFormat="false" ht="15" hidden="false" customHeight="false" outlineLevel="0" collapsed="false">
      <c r="A33" s="27"/>
      <c r="B33" s="5"/>
      <c r="C33" s="35"/>
      <c r="D33" s="5"/>
      <c r="E33" s="5"/>
      <c r="F33" s="19" t="str">
        <f aca="false">IF(A33="","",IF(COUNTIF(Contratos!$A:$A,A33)+COUNTIF(Pagamentos!$A:$A,A33)=0,"não consta","SIM — contratos: "&amp;COUNTIF(Contratos!$A:$A,A33)&amp;"; pagamentos: "&amp;COUNTIF(Pagamentos!$A:$A,A33)))</f>
        <v/>
      </c>
      <c r="G33" s="27"/>
      <c r="H33" s="5"/>
      <c r="J33" s="5"/>
      <c r="K33" s="41"/>
      <c r="L33" s="14"/>
      <c r="M33" s="5"/>
      <c r="N33" s="35"/>
      <c r="O33" s="27"/>
      <c r="P33" s="39" t="str">
        <f aca="false">IF(OR(J33="",K33=""),"",SUMIFS($N:$N,$J:$J,J33,$K:$K,K33))</f>
        <v/>
      </c>
      <c r="Q33" s="32" t="str">
        <f aca="false">IF(OR(J33="",K33=""),"",IF(COUNTIFS($J:$J,J33,$K:$K,"&lt;"&amp;K33)=0,"",_xlfn.MAXIFS($K:$K,$J:$J,J33,$K:$K,"&lt;"&amp;K33)))</f>
        <v/>
      </c>
      <c r="R33" s="39" t="str">
        <f aca="false">IF(Q33="","",SUMIFS($N:$N,$J:$J,J33,$K:$K,Q33))</f>
        <v/>
      </c>
      <c r="S33" s="37" t="str">
        <f aca="false">IF(OR(R33="",R33=0,P33=""),"",P33/R33-1)</f>
        <v/>
      </c>
    </row>
    <row r="34" customFormat="false" ht="15" hidden="false" customHeight="false" outlineLevel="0" collapsed="false">
      <c r="A34" s="27"/>
      <c r="B34" s="5"/>
      <c r="C34" s="35"/>
      <c r="D34" s="5"/>
      <c r="E34" s="5"/>
      <c r="F34" s="19" t="str">
        <f aca="false">IF(A34="","",IF(COUNTIF(Contratos!$A:$A,A34)+COUNTIF(Pagamentos!$A:$A,A34)=0,"não consta","SIM — contratos: "&amp;COUNTIF(Contratos!$A:$A,A34)&amp;"; pagamentos: "&amp;COUNTIF(Pagamentos!$A:$A,A34)))</f>
        <v/>
      </c>
      <c r="G34" s="27"/>
      <c r="H34" s="5"/>
      <c r="J34" s="5"/>
      <c r="K34" s="41"/>
      <c r="L34" s="14"/>
      <c r="M34" s="5"/>
      <c r="N34" s="35"/>
      <c r="O34" s="27"/>
      <c r="P34" s="39" t="str">
        <f aca="false">IF(OR(J34="",K34=""),"",SUMIFS($N:$N,$J:$J,J34,$K:$K,K34))</f>
        <v/>
      </c>
      <c r="Q34" s="32" t="str">
        <f aca="false">IF(OR(J34="",K34=""),"",IF(COUNTIFS($J:$J,J34,$K:$K,"&lt;"&amp;K34)=0,"",_xlfn.MAXIFS($K:$K,$J:$J,J34,$K:$K,"&lt;"&amp;K34)))</f>
        <v/>
      </c>
      <c r="R34" s="39" t="str">
        <f aca="false">IF(Q34="","",SUMIFS($N:$N,$J:$J,J34,$K:$K,Q34))</f>
        <v/>
      </c>
      <c r="S34" s="37" t="str">
        <f aca="false">IF(OR(R34="",R34=0,P34=""),"",P34/R34-1)</f>
        <v/>
      </c>
    </row>
    <row r="35" customFormat="false" ht="15" hidden="false" customHeight="false" outlineLevel="0" collapsed="false">
      <c r="A35" s="27"/>
      <c r="B35" s="5"/>
      <c r="C35" s="35"/>
      <c r="D35" s="5"/>
      <c r="E35" s="5"/>
      <c r="F35" s="19" t="str">
        <f aca="false">IF(A35="","",IF(COUNTIF(Contratos!$A:$A,A35)+COUNTIF(Pagamentos!$A:$A,A35)=0,"não consta","SIM — contratos: "&amp;COUNTIF(Contratos!$A:$A,A35)&amp;"; pagamentos: "&amp;COUNTIF(Pagamentos!$A:$A,A35)))</f>
        <v/>
      </c>
      <c r="G35" s="27"/>
      <c r="H35" s="5"/>
      <c r="J35" s="5"/>
      <c r="K35" s="41"/>
      <c r="L35" s="14"/>
      <c r="M35" s="5"/>
      <c r="N35" s="35"/>
      <c r="O35" s="27"/>
      <c r="P35" s="39" t="str">
        <f aca="false">IF(OR(J35="",K35=""),"",SUMIFS($N:$N,$J:$J,J35,$K:$K,K35))</f>
        <v/>
      </c>
      <c r="Q35" s="32" t="str">
        <f aca="false">IF(OR(J35="",K35=""),"",IF(COUNTIFS($J:$J,J35,$K:$K,"&lt;"&amp;K35)=0,"",_xlfn.MAXIFS($K:$K,$J:$J,J35,$K:$K,"&lt;"&amp;K35)))</f>
        <v/>
      </c>
      <c r="R35" s="39" t="str">
        <f aca="false">IF(Q35="","",SUMIFS($N:$N,$J:$J,J35,$K:$K,Q35))</f>
        <v/>
      </c>
      <c r="S35" s="37" t="str">
        <f aca="false">IF(OR(R35="",R35=0,P35=""),"",P35/R35-1)</f>
        <v/>
      </c>
    </row>
    <row r="36" customFormat="false" ht="15" hidden="false" customHeight="false" outlineLevel="0" collapsed="false">
      <c r="A36" s="27"/>
      <c r="B36" s="5"/>
      <c r="C36" s="35"/>
      <c r="D36" s="5"/>
      <c r="E36" s="5"/>
      <c r="F36" s="19" t="str">
        <f aca="false">IF(A36="","",IF(COUNTIF(Contratos!$A:$A,A36)+COUNTIF(Pagamentos!$A:$A,A36)=0,"não consta","SIM — contratos: "&amp;COUNTIF(Contratos!$A:$A,A36)&amp;"; pagamentos: "&amp;COUNTIF(Pagamentos!$A:$A,A36)))</f>
        <v/>
      </c>
      <c r="G36" s="27"/>
      <c r="H36" s="5"/>
      <c r="J36" s="5"/>
      <c r="K36" s="41"/>
      <c r="L36" s="14"/>
      <c r="M36" s="5"/>
      <c r="N36" s="35"/>
      <c r="O36" s="27"/>
      <c r="P36" s="39" t="str">
        <f aca="false">IF(OR(J36="",K36=""),"",SUMIFS($N:$N,$J:$J,J36,$K:$K,K36))</f>
        <v/>
      </c>
      <c r="Q36" s="32" t="str">
        <f aca="false">IF(OR(J36="",K36=""),"",IF(COUNTIFS($J:$J,J36,$K:$K,"&lt;"&amp;K36)=0,"",_xlfn.MAXIFS($K:$K,$J:$J,J36,$K:$K,"&lt;"&amp;K36)))</f>
        <v/>
      </c>
      <c r="R36" s="39" t="str">
        <f aca="false">IF(Q36="","",SUMIFS($N:$N,$J:$J,J36,$K:$K,Q36))</f>
        <v/>
      </c>
      <c r="S36" s="37" t="str">
        <f aca="false">IF(OR(R36="",R36=0,P36=""),"",P36/R36-1)</f>
        <v/>
      </c>
    </row>
    <row r="37" customFormat="false" ht="15" hidden="false" customHeight="false" outlineLevel="0" collapsed="false">
      <c r="A37" s="27"/>
      <c r="B37" s="5"/>
      <c r="C37" s="35"/>
      <c r="D37" s="5"/>
      <c r="E37" s="5"/>
      <c r="F37" s="19" t="str">
        <f aca="false">IF(A37="","",IF(COUNTIF(Contratos!$A:$A,A37)+COUNTIF(Pagamentos!$A:$A,A37)=0,"não consta","SIM — contratos: "&amp;COUNTIF(Contratos!$A:$A,A37)&amp;"; pagamentos: "&amp;COUNTIF(Pagamentos!$A:$A,A37)))</f>
        <v/>
      </c>
      <c r="G37" s="27"/>
      <c r="H37" s="5"/>
      <c r="J37" s="5"/>
      <c r="K37" s="41"/>
      <c r="L37" s="14"/>
      <c r="M37" s="5"/>
      <c r="N37" s="35"/>
      <c r="O37" s="27"/>
      <c r="P37" s="39" t="str">
        <f aca="false">IF(OR(J37="",K37=""),"",SUMIFS($N:$N,$J:$J,J37,$K:$K,K37))</f>
        <v/>
      </c>
      <c r="Q37" s="32" t="str">
        <f aca="false">IF(OR(J37="",K37=""),"",IF(COUNTIFS($J:$J,J37,$K:$K,"&lt;"&amp;K37)=0,"",_xlfn.MAXIFS($K:$K,$J:$J,J37,$K:$K,"&lt;"&amp;K37)))</f>
        <v/>
      </c>
      <c r="R37" s="39" t="str">
        <f aca="false">IF(Q37="","",SUMIFS($N:$N,$J:$J,J37,$K:$K,Q37))</f>
        <v/>
      </c>
      <c r="S37" s="37" t="str">
        <f aca="false">IF(OR(R37="",R37=0,P37=""),"",P37/R37-1)</f>
        <v/>
      </c>
    </row>
    <row r="38" customFormat="false" ht="15" hidden="false" customHeight="false" outlineLevel="0" collapsed="false">
      <c r="A38" s="27"/>
      <c r="B38" s="5"/>
      <c r="C38" s="35"/>
      <c r="D38" s="5"/>
      <c r="E38" s="5"/>
      <c r="F38" s="19" t="str">
        <f aca="false">IF(A38="","",IF(COUNTIF(Contratos!$A:$A,A38)+COUNTIF(Pagamentos!$A:$A,A38)=0,"não consta","SIM — contratos: "&amp;COUNTIF(Contratos!$A:$A,A38)&amp;"; pagamentos: "&amp;COUNTIF(Pagamentos!$A:$A,A38)))</f>
        <v/>
      </c>
      <c r="G38" s="27"/>
      <c r="H38" s="5"/>
      <c r="J38" s="5"/>
      <c r="K38" s="41"/>
      <c r="L38" s="14"/>
      <c r="M38" s="5"/>
      <c r="N38" s="35"/>
      <c r="O38" s="27"/>
      <c r="P38" s="39" t="str">
        <f aca="false">IF(OR(J38="",K38=""),"",SUMIFS($N:$N,$J:$J,J38,$K:$K,K38))</f>
        <v/>
      </c>
      <c r="Q38" s="32" t="str">
        <f aca="false">IF(OR(J38="",K38=""),"",IF(COUNTIFS($J:$J,J38,$K:$K,"&lt;"&amp;K38)=0,"",_xlfn.MAXIFS($K:$K,$J:$J,J38,$K:$K,"&lt;"&amp;K38)))</f>
        <v/>
      </c>
      <c r="R38" s="39" t="str">
        <f aca="false">IF(Q38="","",SUMIFS($N:$N,$J:$J,J38,$K:$K,Q38))</f>
        <v/>
      </c>
      <c r="S38" s="37" t="str">
        <f aca="false">IF(OR(R38="",R38=0,P38=""),"",P38/R38-1)</f>
        <v/>
      </c>
    </row>
    <row r="39" customFormat="false" ht="15" hidden="false" customHeight="false" outlineLevel="0" collapsed="false">
      <c r="A39" s="27"/>
      <c r="B39" s="5"/>
      <c r="C39" s="35"/>
      <c r="D39" s="5"/>
      <c r="E39" s="5"/>
      <c r="F39" s="19" t="str">
        <f aca="false">IF(A39="","",IF(COUNTIF(Contratos!$A:$A,A39)+COUNTIF(Pagamentos!$A:$A,A39)=0,"não consta","SIM — contratos: "&amp;COUNTIF(Contratos!$A:$A,A39)&amp;"; pagamentos: "&amp;COUNTIF(Pagamentos!$A:$A,A39)))</f>
        <v/>
      </c>
      <c r="G39" s="27"/>
      <c r="H39" s="5"/>
      <c r="J39" s="5"/>
      <c r="K39" s="41"/>
      <c r="L39" s="14"/>
      <c r="M39" s="5"/>
      <c r="N39" s="35"/>
      <c r="O39" s="27"/>
      <c r="P39" s="39" t="str">
        <f aca="false">IF(OR(J39="",K39=""),"",SUMIFS($N:$N,$J:$J,J39,$K:$K,K39))</f>
        <v/>
      </c>
      <c r="Q39" s="32" t="str">
        <f aca="false">IF(OR(J39="",K39=""),"",IF(COUNTIFS($J:$J,J39,$K:$K,"&lt;"&amp;K39)=0,"",_xlfn.MAXIFS($K:$K,$J:$J,J39,$K:$K,"&lt;"&amp;K39)))</f>
        <v/>
      </c>
      <c r="R39" s="39" t="str">
        <f aca="false">IF(Q39="","",SUMIFS($N:$N,$J:$J,J39,$K:$K,Q39))</f>
        <v/>
      </c>
      <c r="S39" s="37" t="str">
        <f aca="false">IF(OR(R39="",R39=0,P39=""),"",P39/R39-1)</f>
        <v/>
      </c>
    </row>
    <row r="40" customFormat="false" ht="15" hidden="false" customHeight="false" outlineLevel="0" collapsed="false">
      <c r="A40" s="27"/>
      <c r="B40" s="5"/>
      <c r="C40" s="35"/>
      <c r="D40" s="5"/>
      <c r="E40" s="5"/>
      <c r="F40" s="19" t="str">
        <f aca="false">IF(A40="","",IF(COUNTIF(Contratos!$A:$A,A40)+COUNTIF(Pagamentos!$A:$A,A40)=0,"não consta","SIM — contratos: "&amp;COUNTIF(Contratos!$A:$A,A40)&amp;"; pagamentos: "&amp;COUNTIF(Pagamentos!$A:$A,A40)))</f>
        <v/>
      </c>
      <c r="G40" s="27"/>
      <c r="H40" s="5"/>
      <c r="J40" s="5"/>
      <c r="K40" s="41"/>
      <c r="L40" s="14"/>
      <c r="M40" s="5"/>
      <c r="N40" s="35"/>
      <c r="O40" s="27"/>
      <c r="P40" s="39" t="str">
        <f aca="false">IF(OR(J40="",K40=""),"",SUMIFS($N:$N,$J:$J,J40,$K:$K,K40))</f>
        <v/>
      </c>
      <c r="Q40" s="32" t="str">
        <f aca="false">IF(OR(J40="",K40=""),"",IF(COUNTIFS($J:$J,J40,$K:$K,"&lt;"&amp;K40)=0,"",_xlfn.MAXIFS($K:$K,$J:$J,J40,$K:$K,"&lt;"&amp;K40)))</f>
        <v/>
      </c>
      <c r="R40" s="39" t="str">
        <f aca="false">IF(Q40="","",SUMIFS($N:$N,$J:$J,J40,$K:$K,Q40))</f>
        <v/>
      </c>
      <c r="S40" s="37" t="str">
        <f aca="false">IF(OR(R40="",R40=0,P40=""),"",P40/R40-1)</f>
        <v/>
      </c>
    </row>
    <row r="41" customFormat="false" ht="15" hidden="false" customHeight="false" outlineLevel="0" collapsed="false">
      <c r="A41" s="27"/>
      <c r="B41" s="5"/>
      <c r="C41" s="35"/>
      <c r="D41" s="5"/>
      <c r="E41" s="5"/>
      <c r="F41" s="19" t="str">
        <f aca="false">IF(A41="","",IF(COUNTIF(Contratos!$A:$A,A41)+COUNTIF(Pagamentos!$A:$A,A41)=0,"não consta","SIM — contratos: "&amp;COUNTIF(Contratos!$A:$A,A41)&amp;"; pagamentos: "&amp;COUNTIF(Pagamentos!$A:$A,A41)))</f>
        <v/>
      </c>
      <c r="G41" s="27"/>
      <c r="H41" s="5"/>
      <c r="J41" s="5"/>
      <c r="K41" s="41"/>
      <c r="L41" s="14"/>
      <c r="M41" s="5"/>
      <c r="N41" s="35"/>
      <c r="O41" s="27"/>
      <c r="P41" s="39" t="str">
        <f aca="false">IF(OR(J41="",K41=""),"",SUMIFS($N:$N,$J:$J,J41,$K:$K,K41))</f>
        <v/>
      </c>
      <c r="Q41" s="32" t="str">
        <f aca="false">IF(OR(J41="",K41=""),"",IF(COUNTIFS($J:$J,J41,$K:$K,"&lt;"&amp;K41)=0,"",_xlfn.MAXIFS($K:$K,$J:$J,J41,$K:$K,"&lt;"&amp;K41)))</f>
        <v/>
      </c>
      <c r="R41" s="39" t="str">
        <f aca="false">IF(Q41="","",SUMIFS($N:$N,$J:$J,J41,$K:$K,Q41))</f>
        <v/>
      </c>
      <c r="S41" s="37" t="str">
        <f aca="false">IF(OR(R41="",R41=0,P41=""),"",P41/R41-1)</f>
        <v/>
      </c>
    </row>
    <row r="42" customFormat="false" ht="15" hidden="false" customHeight="false" outlineLevel="0" collapsed="false">
      <c r="A42" s="27"/>
      <c r="B42" s="5"/>
      <c r="C42" s="35"/>
      <c r="D42" s="5"/>
      <c r="E42" s="5"/>
      <c r="F42" s="19" t="str">
        <f aca="false">IF(A42="","",IF(COUNTIF(Contratos!$A:$A,A42)+COUNTIF(Pagamentos!$A:$A,A42)=0,"não consta","SIM — contratos: "&amp;COUNTIF(Contratos!$A:$A,A42)&amp;"; pagamentos: "&amp;COUNTIF(Pagamentos!$A:$A,A42)))</f>
        <v/>
      </c>
      <c r="G42" s="27"/>
      <c r="H42" s="5"/>
      <c r="J42" s="5"/>
      <c r="K42" s="41"/>
      <c r="L42" s="14"/>
      <c r="M42" s="5"/>
      <c r="N42" s="35"/>
      <c r="O42" s="27"/>
      <c r="P42" s="39" t="str">
        <f aca="false">IF(OR(J42="",K42=""),"",SUMIFS($N:$N,$J:$J,J42,$K:$K,K42))</f>
        <v/>
      </c>
      <c r="Q42" s="32" t="str">
        <f aca="false">IF(OR(J42="",K42=""),"",IF(COUNTIFS($J:$J,J42,$K:$K,"&lt;"&amp;K42)=0,"",_xlfn.MAXIFS($K:$K,$J:$J,J42,$K:$K,"&lt;"&amp;K42)))</f>
        <v/>
      </c>
      <c r="R42" s="39" t="str">
        <f aca="false">IF(Q42="","",SUMIFS($N:$N,$J:$J,J42,$K:$K,Q42))</f>
        <v/>
      </c>
      <c r="S42" s="37" t="str">
        <f aca="false">IF(OR(R42="",R42=0,P42=""),"",P42/R42-1)</f>
        <v/>
      </c>
    </row>
    <row r="43" customFormat="false" ht="15" hidden="false" customHeight="false" outlineLevel="0" collapsed="false">
      <c r="A43" s="27"/>
      <c r="B43" s="5"/>
      <c r="C43" s="35"/>
      <c r="D43" s="5"/>
      <c r="E43" s="5"/>
      <c r="F43" s="19" t="str">
        <f aca="false">IF(A43="","",IF(COUNTIF(Contratos!$A:$A,A43)+COUNTIF(Pagamentos!$A:$A,A43)=0,"não consta","SIM — contratos: "&amp;COUNTIF(Contratos!$A:$A,A43)&amp;"; pagamentos: "&amp;COUNTIF(Pagamentos!$A:$A,A43)))</f>
        <v/>
      </c>
      <c r="G43" s="27"/>
      <c r="H43" s="5"/>
      <c r="J43" s="5"/>
      <c r="K43" s="41"/>
      <c r="L43" s="14"/>
      <c r="M43" s="5"/>
      <c r="N43" s="35"/>
      <c r="O43" s="27"/>
      <c r="P43" s="39" t="str">
        <f aca="false">IF(OR(J43="",K43=""),"",SUMIFS($N:$N,$J:$J,J43,$K:$K,K43))</f>
        <v/>
      </c>
      <c r="Q43" s="32" t="str">
        <f aca="false">IF(OR(J43="",K43=""),"",IF(COUNTIFS($J:$J,J43,$K:$K,"&lt;"&amp;K43)=0,"",_xlfn.MAXIFS($K:$K,$J:$J,J43,$K:$K,"&lt;"&amp;K43)))</f>
        <v/>
      </c>
      <c r="R43" s="39" t="str">
        <f aca="false">IF(Q43="","",SUMIFS($N:$N,$J:$J,J43,$K:$K,Q43))</f>
        <v/>
      </c>
      <c r="S43" s="37" t="str">
        <f aca="false">IF(OR(R43="",R43=0,P43=""),"",P43/R43-1)</f>
        <v/>
      </c>
    </row>
    <row r="44" customFormat="false" ht="15" hidden="false" customHeight="false" outlineLevel="0" collapsed="false">
      <c r="A44" s="27"/>
      <c r="B44" s="5"/>
      <c r="C44" s="35"/>
      <c r="D44" s="5"/>
      <c r="E44" s="5"/>
      <c r="F44" s="19" t="str">
        <f aca="false">IF(A44="","",IF(COUNTIF(Contratos!$A:$A,A44)+COUNTIF(Pagamentos!$A:$A,A44)=0,"não consta","SIM — contratos: "&amp;COUNTIF(Contratos!$A:$A,A44)&amp;"; pagamentos: "&amp;COUNTIF(Pagamentos!$A:$A,A44)))</f>
        <v/>
      </c>
      <c r="G44" s="27"/>
      <c r="H44" s="5"/>
      <c r="J44" s="5"/>
      <c r="K44" s="41"/>
      <c r="L44" s="14"/>
      <c r="M44" s="5"/>
      <c r="N44" s="35"/>
      <c r="O44" s="27"/>
      <c r="P44" s="39" t="str">
        <f aca="false">IF(OR(J44="",K44=""),"",SUMIFS($N:$N,$J:$J,J44,$K:$K,K44))</f>
        <v/>
      </c>
      <c r="Q44" s="32" t="str">
        <f aca="false">IF(OR(J44="",K44=""),"",IF(COUNTIFS($J:$J,J44,$K:$K,"&lt;"&amp;K44)=0,"",_xlfn.MAXIFS($K:$K,$J:$J,J44,$K:$K,"&lt;"&amp;K44)))</f>
        <v/>
      </c>
      <c r="R44" s="39" t="str">
        <f aca="false">IF(Q44="","",SUMIFS($N:$N,$J:$J,J44,$K:$K,Q44))</f>
        <v/>
      </c>
      <c r="S44" s="37" t="str">
        <f aca="false">IF(OR(R44="",R44=0,P44=""),"",P44/R44-1)</f>
        <v/>
      </c>
    </row>
    <row r="45" customFormat="false" ht="15" hidden="false" customHeight="false" outlineLevel="0" collapsed="false">
      <c r="A45" s="27"/>
      <c r="B45" s="5"/>
      <c r="C45" s="35"/>
      <c r="D45" s="5"/>
      <c r="E45" s="5"/>
      <c r="F45" s="19" t="str">
        <f aca="false">IF(A45="","",IF(COUNTIF(Contratos!$A:$A,A45)+COUNTIF(Pagamentos!$A:$A,A45)=0,"não consta","SIM — contratos: "&amp;COUNTIF(Contratos!$A:$A,A45)&amp;"; pagamentos: "&amp;COUNTIF(Pagamentos!$A:$A,A45)))</f>
        <v/>
      </c>
      <c r="G45" s="27"/>
      <c r="H45" s="5"/>
      <c r="J45" s="5"/>
      <c r="K45" s="41"/>
      <c r="L45" s="14"/>
      <c r="M45" s="5"/>
      <c r="N45" s="35"/>
      <c r="O45" s="27"/>
      <c r="P45" s="39" t="str">
        <f aca="false">IF(OR(J45="",K45=""),"",SUMIFS($N:$N,$J:$J,J45,$K:$K,K45))</f>
        <v/>
      </c>
      <c r="Q45" s="32" t="str">
        <f aca="false">IF(OR(J45="",K45=""),"",IF(COUNTIFS($J:$J,J45,$K:$K,"&lt;"&amp;K45)=0,"",_xlfn.MAXIFS($K:$K,$J:$J,J45,$K:$K,"&lt;"&amp;K45)))</f>
        <v/>
      </c>
      <c r="R45" s="39" t="str">
        <f aca="false">IF(Q45="","",SUMIFS($N:$N,$J:$J,J45,$K:$K,Q45))</f>
        <v/>
      </c>
      <c r="S45" s="37" t="str">
        <f aca="false">IF(OR(R45="",R45=0,P45=""),"",P45/R45-1)</f>
        <v/>
      </c>
    </row>
    <row r="46" customFormat="false" ht="15" hidden="false" customHeight="false" outlineLevel="0" collapsed="false">
      <c r="A46" s="27"/>
      <c r="B46" s="5"/>
      <c r="C46" s="35"/>
      <c r="D46" s="5"/>
      <c r="E46" s="5"/>
      <c r="F46" s="19" t="str">
        <f aca="false">IF(A46="","",IF(COUNTIF(Contratos!$A:$A,A46)+COUNTIF(Pagamentos!$A:$A,A46)=0,"não consta","SIM — contratos: "&amp;COUNTIF(Contratos!$A:$A,A46)&amp;"; pagamentos: "&amp;COUNTIF(Pagamentos!$A:$A,A46)))</f>
        <v/>
      </c>
      <c r="G46" s="27"/>
      <c r="H46" s="5"/>
      <c r="J46" s="5"/>
      <c r="K46" s="41"/>
      <c r="L46" s="14"/>
      <c r="M46" s="5"/>
      <c r="N46" s="35"/>
      <c r="O46" s="27"/>
      <c r="P46" s="39" t="str">
        <f aca="false">IF(OR(J46="",K46=""),"",SUMIFS($N:$N,$J:$J,J46,$K:$K,K46))</f>
        <v/>
      </c>
      <c r="Q46" s="32" t="str">
        <f aca="false">IF(OR(J46="",K46=""),"",IF(COUNTIFS($J:$J,J46,$K:$K,"&lt;"&amp;K46)=0,"",_xlfn.MAXIFS($K:$K,$J:$J,J46,$K:$K,"&lt;"&amp;K46)))</f>
        <v/>
      </c>
      <c r="R46" s="39" t="str">
        <f aca="false">IF(Q46="","",SUMIFS($N:$N,$J:$J,J46,$K:$K,Q46))</f>
        <v/>
      </c>
      <c r="S46" s="37" t="str">
        <f aca="false">IF(OR(R46="",R46=0,P46=""),"",P46/R46-1)</f>
        <v/>
      </c>
    </row>
    <row r="47" customFormat="false" ht="15" hidden="false" customHeight="false" outlineLevel="0" collapsed="false">
      <c r="A47" s="27"/>
      <c r="B47" s="5"/>
      <c r="C47" s="35"/>
      <c r="D47" s="5"/>
      <c r="E47" s="5"/>
      <c r="F47" s="19" t="str">
        <f aca="false">IF(A47="","",IF(COUNTIF(Contratos!$A:$A,A47)+COUNTIF(Pagamentos!$A:$A,A47)=0,"não consta","SIM — contratos: "&amp;COUNTIF(Contratos!$A:$A,A47)&amp;"; pagamentos: "&amp;COUNTIF(Pagamentos!$A:$A,A47)))</f>
        <v/>
      </c>
      <c r="G47" s="27"/>
      <c r="H47" s="5"/>
      <c r="J47" s="5"/>
      <c r="K47" s="41"/>
      <c r="L47" s="14"/>
      <c r="M47" s="5"/>
      <c r="N47" s="35"/>
      <c r="O47" s="27"/>
      <c r="P47" s="39" t="str">
        <f aca="false">IF(OR(J47="",K47=""),"",SUMIFS($N:$N,$J:$J,J47,$K:$K,K47))</f>
        <v/>
      </c>
      <c r="Q47" s="32" t="str">
        <f aca="false">IF(OR(J47="",K47=""),"",IF(COUNTIFS($J:$J,J47,$K:$K,"&lt;"&amp;K47)=0,"",_xlfn.MAXIFS($K:$K,$J:$J,J47,$K:$K,"&lt;"&amp;K47)))</f>
        <v/>
      </c>
      <c r="R47" s="39" t="str">
        <f aca="false">IF(Q47="","",SUMIFS($N:$N,$J:$J,J47,$K:$K,Q47))</f>
        <v/>
      </c>
      <c r="S47" s="37" t="str">
        <f aca="false">IF(OR(R47="",R47=0,P47=""),"",P47/R47-1)</f>
        <v/>
      </c>
    </row>
    <row r="48" customFormat="false" ht="15" hidden="false" customHeight="false" outlineLevel="0" collapsed="false">
      <c r="A48" s="27"/>
      <c r="B48" s="5"/>
      <c r="C48" s="35"/>
      <c r="D48" s="5"/>
      <c r="E48" s="5"/>
      <c r="F48" s="19" t="str">
        <f aca="false">IF(A48="","",IF(COUNTIF(Contratos!$A:$A,A48)+COUNTIF(Pagamentos!$A:$A,A48)=0,"não consta","SIM — contratos: "&amp;COUNTIF(Contratos!$A:$A,A48)&amp;"; pagamentos: "&amp;COUNTIF(Pagamentos!$A:$A,A48)))</f>
        <v/>
      </c>
      <c r="G48" s="27"/>
      <c r="H48" s="5"/>
      <c r="J48" s="5"/>
      <c r="K48" s="41"/>
      <c r="L48" s="14"/>
      <c r="M48" s="5"/>
      <c r="N48" s="35"/>
      <c r="O48" s="27"/>
      <c r="P48" s="39" t="str">
        <f aca="false">IF(OR(J48="",K48=""),"",SUMIFS($N:$N,$J:$J,J48,$K:$K,K48))</f>
        <v/>
      </c>
      <c r="Q48" s="32" t="str">
        <f aca="false">IF(OR(J48="",K48=""),"",IF(COUNTIFS($J:$J,J48,$K:$K,"&lt;"&amp;K48)=0,"",_xlfn.MAXIFS($K:$K,$J:$J,J48,$K:$K,"&lt;"&amp;K48)))</f>
        <v/>
      </c>
      <c r="R48" s="39" t="str">
        <f aca="false">IF(Q48="","",SUMIFS($N:$N,$J:$J,J48,$K:$K,Q48))</f>
        <v/>
      </c>
      <c r="S48" s="37" t="str">
        <f aca="false">IF(OR(R48="",R48=0,P48=""),"",P48/R48-1)</f>
        <v/>
      </c>
    </row>
    <row r="49" customFormat="false" ht="15" hidden="false" customHeight="false" outlineLevel="0" collapsed="false">
      <c r="A49" s="27"/>
      <c r="B49" s="5"/>
      <c r="C49" s="35"/>
      <c r="D49" s="5"/>
      <c r="E49" s="5"/>
      <c r="F49" s="19" t="str">
        <f aca="false">IF(A49="","",IF(COUNTIF(Contratos!$A:$A,A49)+COUNTIF(Pagamentos!$A:$A,A49)=0,"não consta","SIM — contratos: "&amp;COUNTIF(Contratos!$A:$A,A49)&amp;"; pagamentos: "&amp;COUNTIF(Pagamentos!$A:$A,A49)))</f>
        <v/>
      </c>
      <c r="G49" s="27"/>
      <c r="H49" s="5"/>
      <c r="J49" s="5"/>
      <c r="K49" s="41"/>
      <c r="L49" s="14"/>
      <c r="M49" s="5"/>
      <c r="N49" s="35"/>
      <c r="O49" s="27"/>
      <c r="P49" s="39" t="str">
        <f aca="false">IF(OR(J49="",K49=""),"",SUMIFS($N:$N,$J:$J,J49,$K:$K,K49))</f>
        <v/>
      </c>
      <c r="Q49" s="32" t="str">
        <f aca="false">IF(OR(J49="",K49=""),"",IF(COUNTIFS($J:$J,J49,$K:$K,"&lt;"&amp;K49)=0,"",_xlfn.MAXIFS($K:$K,$J:$J,J49,$K:$K,"&lt;"&amp;K49)))</f>
        <v/>
      </c>
      <c r="R49" s="39" t="str">
        <f aca="false">IF(Q49="","",SUMIFS($N:$N,$J:$J,J49,$K:$K,Q49))</f>
        <v/>
      </c>
      <c r="S49" s="37" t="str">
        <f aca="false">IF(OR(R49="",R49=0,P49=""),"",P49/R49-1)</f>
        <v/>
      </c>
    </row>
    <row r="50" customFormat="false" ht="15" hidden="false" customHeight="false" outlineLevel="0" collapsed="false">
      <c r="A50" s="27"/>
      <c r="B50" s="5"/>
      <c r="C50" s="35"/>
      <c r="D50" s="5"/>
      <c r="E50" s="5"/>
      <c r="F50" s="19" t="str">
        <f aca="false">IF(A50="","",IF(COUNTIF(Contratos!$A:$A,A50)+COUNTIF(Pagamentos!$A:$A,A50)=0,"não consta","SIM — contratos: "&amp;COUNTIF(Contratos!$A:$A,A50)&amp;"; pagamentos: "&amp;COUNTIF(Pagamentos!$A:$A,A50)))</f>
        <v/>
      </c>
      <c r="G50" s="27"/>
      <c r="H50" s="5"/>
      <c r="J50" s="5"/>
      <c r="K50" s="41"/>
      <c r="L50" s="14"/>
      <c r="M50" s="5"/>
      <c r="N50" s="35"/>
      <c r="O50" s="27"/>
      <c r="P50" s="39" t="str">
        <f aca="false">IF(OR(J50="",K50=""),"",SUMIFS($N:$N,$J:$J,J50,$K:$K,K50))</f>
        <v/>
      </c>
      <c r="Q50" s="32" t="str">
        <f aca="false">IF(OR(J50="",K50=""),"",IF(COUNTIFS($J:$J,J50,$K:$K,"&lt;"&amp;K50)=0,"",_xlfn.MAXIFS($K:$K,$J:$J,J50,$K:$K,"&lt;"&amp;K50)))</f>
        <v/>
      </c>
      <c r="R50" s="39" t="str">
        <f aca="false">IF(Q50="","",SUMIFS($N:$N,$J:$J,J50,$K:$K,Q50))</f>
        <v/>
      </c>
      <c r="S50" s="37" t="str">
        <f aca="false">IF(OR(R50="",R50=0,P50=""),"",P50/R50-1)</f>
        <v/>
      </c>
    </row>
    <row r="51" customFormat="false" ht="15" hidden="false" customHeight="false" outlineLevel="0" collapsed="false">
      <c r="A51" s="27"/>
      <c r="B51" s="5"/>
      <c r="C51" s="35"/>
      <c r="D51" s="5"/>
      <c r="E51" s="5"/>
      <c r="F51" s="19" t="str">
        <f aca="false">IF(A51="","",IF(COUNTIF(Contratos!$A:$A,A51)+COUNTIF(Pagamentos!$A:$A,A51)=0,"não consta","SIM — contratos: "&amp;COUNTIF(Contratos!$A:$A,A51)&amp;"; pagamentos: "&amp;COUNTIF(Pagamentos!$A:$A,A51)))</f>
        <v/>
      </c>
      <c r="G51" s="27"/>
      <c r="H51" s="5"/>
      <c r="J51" s="5"/>
      <c r="K51" s="41"/>
      <c r="L51" s="14"/>
      <c r="M51" s="5"/>
      <c r="N51" s="35"/>
      <c r="O51" s="27"/>
      <c r="P51" s="39" t="str">
        <f aca="false">IF(OR(J51="",K51=""),"",SUMIFS($N:$N,$J:$J,J51,$K:$K,K51))</f>
        <v/>
      </c>
      <c r="Q51" s="32" t="str">
        <f aca="false">IF(OR(J51="",K51=""),"",IF(COUNTIFS($J:$J,J51,$K:$K,"&lt;"&amp;K51)=0,"",_xlfn.MAXIFS($K:$K,$J:$J,J51,$K:$K,"&lt;"&amp;K51)))</f>
        <v/>
      </c>
      <c r="R51" s="39" t="str">
        <f aca="false">IF(Q51="","",SUMIFS($N:$N,$J:$J,J51,$K:$K,Q51))</f>
        <v/>
      </c>
      <c r="S51" s="37" t="str">
        <f aca="false">IF(OR(R51="",R51=0,P51=""),"",P51/R51-1)</f>
        <v/>
      </c>
    </row>
    <row r="52" customFormat="false" ht="15" hidden="false" customHeight="false" outlineLevel="0" collapsed="false">
      <c r="A52" s="27"/>
      <c r="B52" s="5"/>
      <c r="C52" s="35"/>
      <c r="D52" s="5"/>
      <c r="E52" s="5"/>
      <c r="F52" s="19" t="str">
        <f aca="false">IF(A52="","",IF(COUNTIF(Contratos!$A:$A,A52)+COUNTIF(Pagamentos!$A:$A,A52)=0,"não consta","SIM — contratos: "&amp;COUNTIF(Contratos!$A:$A,A52)&amp;"; pagamentos: "&amp;COUNTIF(Pagamentos!$A:$A,A52)))</f>
        <v/>
      </c>
      <c r="G52" s="27"/>
      <c r="H52" s="5"/>
      <c r="J52" s="5"/>
      <c r="K52" s="41"/>
      <c r="L52" s="14"/>
      <c r="M52" s="5"/>
      <c r="N52" s="35"/>
      <c r="O52" s="27"/>
      <c r="P52" s="39" t="str">
        <f aca="false">IF(OR(J52="",K52=""),"",SUMIFS($N:$N,$J:$J,J52,$K:$K,K52))</f>
        <v/>
      </c>
      <c r="Q52" s="32" t="str">
        <f aca="false">IF(OR(J52="",K52=""),"",IF(COUNTIFS($J:$J,J52,$K:$K,"&lt;"&amp;K52)=0,"",_xlfn.MAXIFS($K:$K,$J:$J,J52,$K:$K,"&lt;"&amp;K52)))</f>
        <v/>
      </c>
      <c r="R52" s="39" t="str">
        <f aca="false">IF(Q52="","",SUMIFS($N:$N,$J:$J,J52,$K:$K,Q52))</f>
        <v/>
      </c>
      <c r="S52" s="37" t="str">
        <f aca="false">IF(OR(R52="",R52=0,P52=""),"",P52/R52-1)</f>
        <v/>
      </c>
    </row>
    <row r="53" customFormat="false" ht="15" hidden="false" customHeight="false" outlineLevel="0" collapsed="false">
      <c r="A53" s="27"/>
      <c r="B53" s="5"/>
      <c r="C53" s="35"/>
      <c r="D53" s="5"/>
      <c r="E53" s="5"/>
      <c r="F53" s="19" t="str">
        <f aca="false">IF(A53="","",IF(COUNTIF(Contratos!$A:$A,A53)+COUNTIF(Pagamentos!$A:$A,A53)=0,"não consta","SIM — contratos: "&amp;COUNTIF(Contratos!$A:$A,A53)&amp;"; pagamentos: "&amp;COUNTIF(Pagamentos!$A:$A,A53)))</f>
        <v/>
      </c>
      <c r="G53" s="27"/>
      <c r="H53" s="5"/>
      <c r="J53" s="5"/>
      <c r="K53" s="41"/>
      <c r="L53" s="14"/>
      <c r="M53" s="5"/>
      <c r="N53" s="35"/>
      <c r="O53" s="27"/>
      <c r="P53" s="39" t="str">
        <f aca="false">IF(OR(J53="",K53=""),"",SUMIFS($N:$N,$J:$J,J53,$K:$K,K53))</f>
        <v/>
      </c>
      <c r="Q53" s="32" t="str">
        <f aca="false">IF(OR(J53="",K53=""),"",IF(COUNTIFS($J:$J,J53,$K:$K,"&lt;"&amp;K53)=0,"",_xlfn.MAXIFS($K:$K,$J:$J,J53,$K:$K,"&lt;"&amp;K53)))</f>
        <v/>
      </c>
      <c r="R53" s="39" t="str">
        <f aca="false">IF(Q53="","",SUMIFS($N:$N,$J:$J,J53,$K:$K,Q53))</f>
        <v/>
      </c>
      <c r="S53" s="37" t="str">
        <f aca="false">IF(OR(R53="",R53=0,P53=""),"",P53/R53-1)</f>
        <v/>
      </c>
    </row>
    <row r="54" customFormat="false" ht="15" hidden="false" customHeight="false" outlineLevel="0" collapsed="false">
      <c r="A54" s="27"/>
      <c r="B54" s="5"/>
      <c r="C54" s="35"/>
      <c r="D54" s="5"/>
      <c r="E54" s="5"/>
      <c r="F54" s="19" t="str">
        <f aca="false">IF(A54="","",IF(COUNTIF(Contratos!$A:$A,A54)+COUNTIF(Pagamentos!$A:$A,A54)=0,"não consta","SIM — contratos: "&amp;COUNTIF(Contratos!$A:$A,A54)&amp;"; pagamentos: "&amp;COUNTIF(Pagamentos!$A:$A,A54)))</f>
        <v/>
      </c>
      <c r="G54" s="27"/>
      <c r="H54" s="5"/>
      <c r="J54" s="5"/>
      <c r="K54" s="41"/>
      <c r="L54" s="14"/>
      <c r="M54" s="5"/>
      <c r="N54" s="35"/>
      <c r="O54" s="27"/>
      <c r="P54" s="39" t="str">
        <f aca="false">IF(OR(J54="",K54=""),"",SUMIFS($N:$N,$J:$J,J54,$K:$K,K54))</f>
        <v/>
      </c>
      <c r="Q54" s="32" t="str">
        <f aca="false">IF(OR(J54="",K54=""),"",IF(COUNTIFS($J:$J,J54,$K:$K,"&lt;"&amp;K54)=0,"",_xlfn.MAXIFS($K:$K,$J:$J,J54,$K:$K,"&lt;"&amp;K54)))</f>
        <v/>
      </c>
      <c r="R54" s="39" t="str">
        <f aca="false">IF(Q54="","",SUMIFS($N:$N,$J:$J,J54,$K:$K,Q54))</f>
        <v/>
      </c>
      <c r="S54" s="37" t="str">
        <f aca="false">IF(OR(R54="",R54=0,P54=""),"",P54/R54-1)</f>
        <v/>
      </c>
    </row>
    <row r="55" customFormat="false" ht="15" hidden="false" customHeight="false" outlineLevel="0" collapsed="false">
      <c r="A55" s="27"/>
      <c r="B55" s="5"/>
      <c r="C55" s="35"/>
      <c r="D55" s="5"/>
      <c r="E55" s="5"/>
      <c r="F55" s="19" t="str">
        <f aca="false">IF(A55="","",IF(COUNTIF(Contratos!$A:$A,A55)+COUNTIF(Pagamentos!$A:$A,A55)=0,"não consta","SIM — contratos: "&amp;COUNTIF(Contratos!$A:$A,A55)&amp;"; pagamentos: "&amp;COUNTIF(Pagamentos!$A:$A,A55)))</f>
        <v/>
      </c>
      <c r="G55" s="27"/>
      <c r="H55" s="5"/>
      <c r="J55" s="5"/>
      <c r="K55" s="41"/>
      <c r="L55" s="14"/>
      <c r="M55" s="5"/>
      <c r="N55" s="35"/>
      <c r="O55" s="27"/>
      <c r="P55" s="39" t="str">
        <f aca="false">IF(OR(J55="",K55=""),"",SUMIFS($N:$N,$J:$J,J55,$K:$K,K55))</f>
        <v/>
      </c>
      <c r="Q55" s="32" t="str">
        <f aca="false">IF(OR(J55="",K55=""),"",IF(COUNTIFS($J:$J,J55,$K:$K,"&lt;"&amp;K55)=0,"",_xlfn.MAXIFS($K:$K,$J:$J,J55,$K:$K,"&lt;"&amp;K55)))</f>
        <v/>
      </c>
      <c r="R55" s="39" t="str">
        <f aca="false">IF(Q55="","",SUMIFS($N:$N,$J:$J,J55,$K:$K,Q55))</f>
        <v/>
      </c>
      <c r="S55" s="37" t="str">
        <f aca="false">IF(OR(R55="",R55=0,P55=""),"",P55/R55-1)</f>
        <v/>
      </c>
    </row>
    <row r="56" customFormat="false" ht="15" hidden="false" customHeight="false" outlineLevel="0" collapsed="false">
      <c r="A56" s="27"/>
      <c r="B56" s="5"/>
      <c r="C56" s="35"/>
      <c r="D56" s="5"/>
      <c r="E56" s="5"/>
      <c r="F56" s="19" t="str">
        <f aca="false">IF(A56="","",IF(COUNTIF(Contratos!$A:$A,A56)+COUNTIF(Pagamentos!$A:$A,A56)=0,"não consta","SIM — contratos: "&amp;COUNTIF(Contratos!$A:$A,A56)&amp;"; pagamentos: "&amp;COUNTIF(Pagamentos!$A:$A,A56)))</f>
        <v/>
      </c>
      <c r="G56" s="27"/>
      <c r="H56" s="5"/>
      <c r="J56" s="5"/>
      <c r="K56" s="41"/>
      <c r="L56" s="14"/>
      <c r="M56" s="5"/>
      <c r="N56" s="35"/>
      <c r="O56" s="27"/>
      <c r="P56" s="39" t="str">
        <f aca="false">IF(OR(J56="",K56=""),"",SUMIFS($N:$N,$J:$J,J56,$K:$K,K56))</f>
        <v/>
      </c>
      <c r="Q56" s="32" t="str">
        <f aca="false">IF(OR(J56="",K56=""),"",IF(COUNTIFS($J:$J,J56,$K:$K,"&lt;"&amp;K56)=0,"",_xlfn.MAXIFS($K:$K,$J:$J,J56,$K:$K,"&lt;"&amp;K56)))</f>
        <v/>
      </c>
      <c r="R56" s="39" t="str">
        <f aca="false">IF(Q56="","",SUMIFS($N:$N,$J:$J,J56,$K:$K,Q56))</f>
        <v/>
      </c>
      <c r="S56" s="37" t="str">
        <f aca="false">IF(OR(R56="",R56=0,P56=""),"",P56/R56-1)</f>
        <v/>
      </c>
    </row>
    <row r="57" customFormat="false" ht="15" hidden="false" customHeight="false" outlineLevel="0" collapsed="false">
      <c r="A57" s="27"/>
      <c r="B57" s="5"/>
      <c r="C57" s="35"/>
      <c r="D57" s="5"/>
      <c r="E57" s="5"/>
      <c r="F57" s="19" t="str">
        <f aca="false">IF(A57="","",IF(COUNTIF(Contratos!$A:$A,A57)+COUNTIF(Pagamentos!$A:$A,A57)=0,"não consta","SIM — contratos: "&amp;COUNTIF(Contratos!$A:$A,A57)&amp;"; pagamentos: "&amp;COUNTIF(Pagamentos!$A:$A,A57)))</f>
        <v/>
      </c>
      <c r="G57" s="27"/>
      <c r="H57" s="5"/>
      <c r="J57" s="5"/>
      <c r="K57" s="41"/>
      <c r="L57" s="14"/>
      <c r="M57" s="5"/>
      <c r="N57" s="35"/>
      <c r="O57" s="27"/>
      <c r="P57" s="39" t="str">
        <f aca="false">IF(OR(J57="",K57=""),"",SUMIFS($N:$N,$J:$J,J57,$K:$K,K57))</f>
        <v/>
      </c>
      <c r="Q57" s="32" t="str">
        <f aca="false">IF(OR(J57="",K57=""),"",IF(COUNTIFS($J:$J,J57,$K:$K,"&lt;"&amp;K57)=0,"",_xlfn.MAXIFS($K:$K,$J:$J,J57,$K:$K,"&lt;"&amp;K57)))</f>
        <v/>
      </c>
      <c r="R57" s="39" t="str">
        <f aca="false">IF(Q57="","",SUMIFS($N:$N,$J:$J,J57,$K:$K,Q57))</f>
        <v/>
      </c>
      <c r="S57" s="37" t="str">
        <f aca="false">IF(OR(R57="",R57=0,P57=""),"",P57/R57-1)</f>
        <v/>
      </c>
    </row>
    <row r="58" customFormat="false" ht="15" hidden="false" customHeight="false" outlineLevel="0" collapsed="false">
      <c r="A58" s="27"/>
      <c r="B58" s="5"/>
      <c r="C58" s="35"/>
      <c r="D58" s="5"/>
      <c r="E58" s="5"/>
      <c r="F58" s="19" t="str">
        <f aca="false">IF(A58="","",IF(COUNTIF(Contratos!$A:$A,A58)+COUNTIF(Pagamentos!$A:$A,A58)=0,"não consta","SIM — contratos: "&amp;COUNTIF(Contratos!$A:$A,A58)&amp;"; pagamentos: "&amp;COUNTIF(Pagamentos!$A:$A,A58)))</f>
        <v/>
      </c>
      <c r="G58" s="27"/>
      <c r="H58" s="5"/>
      <c r="J58" s="5"/>
      <c r="K58" s="41"/>
      <c r="L58" s="14"/>
      <c r="M58" s="5"/>
      <c r="N58" s="35"/>
      <c r="O58" s="27"/>
      <c r="P58" s="39" t="str">
        <f aca="false">IF(OR(J58="",K58=""),"",SUMIFS($N:$N,$J:$J,J58,$K:$K,K58))</f>
        <v/>
      </c>
      <c r="Q58" s="32" t="str">
        <f aca="false">IF(OR(J58="",K58=""),"",IF(COUNTIFS($J:$J,J58,$K:$K,"&lt;"&amp;K58)=0,"",_xlfn.MAXIFS($K:$K,$J:$J,J58,$K:$K,"&lt;"&amp;K58)))</f>
        <v/>
      </c>
      <c r="R58" s="39" t="str">
        <f aca="false">IF(Q58="","",SUMIFS($N:$N,$J:$J,J58,$K:$K,Q58))</f>
        <v/>
      </c>
      <c r="S58" s="37" t="str">
        <f aca="false">IF(OR(R58="",R58=0,P58=""),"",P58/R58-1)</f>
        <v/>
      </c>
    </row>
    <row r="59" customFormat="false" ht="15" hidden="false" customHeight="false" outlineLevel="0" collapsed="false">
      <c r="A59" s="27"/>
      <c r="B59" s="5"/>
      <c r="C59" s="35"/>
      <c r="D59" s="5"/>
      <c r="E59" s="5"/>
      <c r="F59" s="19" t="str">
        <f aca="false">IF(A59="","",IF(COUNTIF(Contratos!$A:$A,A59)+COUNTIF(Pagamentos!$A:$A,A59)=0,"não consta","SIM — contratos: "&amp;COUNTIF(Contratos!$A:$A,A59)&amp;"; pagamentos: "&amp;COUNTIF(Pagamentos!$A:$A,A59)))</f>
        <v/>
      </c>
      <c r="G59" s="27"/>
      <c r="H59" s="5"/>
      <c r="J59" s="5"/>
      <c r="K59" s="41"/>
      <c r="L59" s="14"/>
      <c r="M59" s="5"/>
      <c r="N59" s="35"/>
      <c r="O59" s="27"/>
      <c r="P59" s="39" t="str">
        <f aca="false">IF(OR(J59="",K59=""),"",SUMIFS($N:$N,$J:$J,J59,$K:$K,K59))</f>
        <v/>
      </c>
      <c r="Q59" s="32" t="str">
        <f aca="false">IF(OR(J59="",K59=""),"",IF(COUNTIFS($J:$J,J59,$K:$K,"&lt;"&amp;K59)=0,"",_xlfn.MAXIFS($K:$K,$J:$J,J59,$K:$K,"&lt;"&amp;K59)))</f>
        <v/>
      </c>
      <c r="R59" s="39" t="str">
        <f aca="false">IF(Q59="","",SUMIFS($N:$N,$J:$J,J59,$K:$K,Q59))</f>
        <v/>
      </c>
      <c r="S59" s="37" t="str">
        <f aca="false">IF(OR(R59="",R59=0,P59=""),"",P59/R59-1)</f>
        <v/>
      </c>
    </row>
    <row r="60" customFormat="false" ht="15" hidden="false" customHeight="false" outlineLevel="0" collapsed="false">
      <c r="A60" s="27"/>
      <c r="B60" s="5"/>
      <c r="C60" s="35"/>
      <c r="D60" s="5"/>
      <c r="E60" s="5"/>
      <c r="F60" s="19" t="str">
        <f aca="false">IF(A60="","",IF(COUNTIF(Contratos!$A:$A,A60)+COUNTIF(Pagamentos!$A:$A,A60)=0,"não consta","SIM — contratos: "&amp;COUNTIF(Contratos!$A:$A,A60)&amp;"; pagamentos: "&amp;COUNTIF(Pagamentos!$A:$A,A60)))</f>
        <v/>
      </c>
      <c r="G60" s="27"/>
      <c r="H60" s="5"/>
      <c r="J60" s="5"/>
      <c r="K60" s="41"/>
      <c r="L60" s="14"/>
      <c r="M60" s="5"/>
      <c r="N60" s="35"/>
      <c r="O60" s="27"/>
      <c r="P60" s="39" t="str">
        <f aca="false">IF(OR(J60="",K60=""),"",SUMIFS($N:$N,$J:$J,J60,$K:$K,K60))</f>
        <v/>
      </c>
      <c r="Q60" s="32" t="str">
        <f aca="false">IF(OR(J60="",K60=""),"",IF(COUNTIFS($J:$J,J60,$K:$K,"&lt;"&amp;K60)=0,"",_xlfn.MAXIFS($K:$K,$J:$J,J60,$K:$K,"&lt;"&amp;K60)))</f>
        <v/>
      </c>
      <c r="R60" s="39" t="str">
        <f aca="false">IF(Q60="","",SUMIFS($N:$N,$J:$J,J60,$K:$K,Q60))</f>
        <v/>
      </c>
      <c r="S60" s="37" t="str">
        <f aca="false">IF(OR(R60="",R60=0,P60=""),"",P60/R60-1)</f>
        <v/>
      </c>
    </row>
    <row r="61" customFormat="false" ht="15" hidden="false" customHeight="false" outlineLevel="0" collapsed="false">
      <c r="A61" s="27"/>
      <c r="B61" s="5"/>
      <c r="C61" s="35"/>
      <c r="D61" s="5"/>
      <c r="E61" s="5"/>
      <c r="F61" s="19" t="str">
        <f aca="false">IF(A61="","",IF(COUNTIF(Contratos!$A:$A,A61)+COUNTIF(Pagamentos!$A:$A,A61)=0,"não consta","SIM — contratos: "&amp;COUNTIF(Contratos!$A:$A,A61)&amp;"; pagamentos: "&amp;COUNTIF(Pagamentos!$A:$A,A61)))</f>
        <v/>
      </c>
      <c r="G61" s="27"/>
      <c r="H61" s="5"/>
      <c r="J61" s="5"/>
      <c r="K61" s="41"/>
      <c r="L61" s="14"/>
      <c r="M61" s="5"/>
      <c r="N61" s="35"/>
      <c r="O61" s="27"/>
      <c r="P61" s="39" t="str">
        <f aca="false">IF(OR(J61="",K61=""),"",SUMIFS($N:$N,$J:$J,J61,$K:$K,K61))</f>
        <v/>
      </c>
      <c r="Q61" s="32" t="str">
        <f aca="false">IF(OR(J61="",K61=""),"",IF(COUNTIFS($J:$J,J61,$K:$K,"&lt;"&amp;K61)=0,"",_xlfn.MAXIFS($K:$K,$J:$J,J61,$K:$K,"&lt;"&amp;K61)))</f>
        <v/>
      </c>
      <c r="R61" s="39" t="str">
        <f aca="false">IF(Q61="","",SUMIFS($N:$N,$J:$J,J61,$K:$K,Q61))</f>
        <v/>
      </c>
      <c r="S61" s="37" t="str">
        <f aca="false">IF(OR(R61="",R61=0,P61=""),"",P61/R61-1)</f>
        <v/>
      </c>
    </row>
    <row r="62" customFormat="false" ht="15" hidden="false" customHeight="false" outlineLevel="0" collapsed="false">
      <c r="A62" s="27"/>
      <c r="B62" s="5"/>
      <c r="C62" s="35"/>
      <c r="D62" s="5"/>
      <c r="E62" s="5"/>
      <c r="F62" s="19" t="str">
        <f aca="false">IF(A62="","",IF(COUNTIF(Contratos!$A:$A,A62)+COUNTIF(Pagamentos!$A:$A,A62)=0,"não consta","SIM — contratos: "&amp;COUNTIF(Contratos!$A:$A,A62)&amp;"; pagamentos: "&amp;COUNTIF(Pagamentos!$A:$A,A62)))</f>
        <v/>
      </c>
      <c r="G62" s="27"/>
      <c r="H62" s="5"/>
      <c r="J62" s="5"/>
      <c r="K62" s="41"/>
      <c r="L62" s="14"/>
      <c r="M62" s="5"/>
      <c r="N62" s="35"/>
      <c r="O62" s="27"/>
      <c r="P62" s="39" t="str">
        <f aca="false">IF(OR(J62="",K62=""),"",SUMIFS($N:$N,$J:$J,J62,$K:$K,K62))</f>
        <v/>
      </c>
      <c r="Q62" s="32" t="str">
        <f aca="false">IF(OR(J62="",K62=""),"",IF(COUNTIFS($J:$J,J62,$K:$K,"&lt;"&amp;K62)=0,"",_xlfn.MAXIFS($K:$K,$J:$J,J62,$K:$K,"&lt;"&amp;K62)))</f>
        <v/>
      </c>
      <c r="R62" s="39" t="str">
        <f aca="false">IF(Q62="","",SUMIFS($N:$N,$J:$J,J62,$K:$K,Q62))</f>
        <v/>
      </c>
      <c r="S62" s="37" t="str">
        <f aca="false">IF(OR(R62="",R62=0,P62=""),"",P62/R62-1)</f>
        <v/>
      </c>
    </row>
    <row r="63" customFormat="false" ht="15" hidden="false" customHeight="false" outlineLevel="0" collapsed="false">
      <c r="A63" s="27"/>
      <c r="B63" s="5"/>
      <c r="C63" s="35"/>
      <c r="D63" s="5"/>
      <c r="E63" s="5"/>
      <c r="F63" s="19" t="str">
        <f aca="false">IF(A63="","",IF(COUNTIF(Contratos!$A:$A,A63)+COUNTIF(Pagamentos!$A:$A,A63)=0,"não consta","SIM — contratos: "&amp;COUNTIF(Contratos!$A:$A,A63)&amp;"; pagamentos: "&amp;COUNTIF(Pagamentos!$A:$A,A63)))</f>
        <v/>
      </c>
      <c r="G63" s="27"/>
      <c r="H63" s="5"/>
      <c r="J63" s="5"/>
      <c r="K63" s="41"/>
      <c r="L63" s="14"/>
      <c r="M63" s="5"/>
      <c r="N63" s="35"/>
      <c r="O63" s="27"/>
      <c r="P63" s="39" t="str">
        <f aca="false">IF(OR(J63="",K63=""),"",SUMIFS($N:$N,$J:$J,J63,$K:$K,K63))</f>
        <v/>
      </c>
      <c r="Q63" s="32" t="str">
        <f aca="false">IF(OR(J63="",K63=""),"",IF(COUNTIFS($J:$J,J63,$K:$K,"&lt;"&amp;K63)=0,"",_xlfn.MAXIFS($K:$K,$J:$J,J63,$K:$K,"&lt;"&amp;K63)))</f>
        <v/>
      </c>
      <c r="R63" s="39" t="str">
        <f aca="false">IF(Q63="","",SUMIFS($N:$N,$J:$J,J63,$K:$K,Q63))</f>
        <v/>
      </c>
      <c r="S63" s="37" t="str">
        <f aca="false">IF(OR(R63="",R63=0,P63=""),"",P63/R63-1)</f>
        <v/>
      </c>
    </row>
    <row r="64" customFormat="false" ht="15" hidden="false" customHeight="false" outlineLevel="0" collapsed="false">
      <c r="A64" s="27"/>
      <c r="B64" s="5"/>
      <c r="C64" s="35"/>
      <c r="D64" s="5"/>
      <c r="E64" s="5"/>
      <c r="F64" s="19" t="str">
        <f aca="false">IF(A64="","",IF(COUNTIF(Contratos!$A:$A,A64)+COUNTIF(Pagamentos!$A:$A,A64)=0,"não consta","SIM — contratos: "&amp;COUNTIF(Contratos!$A:$A,A64)&amp;"; pagamentos: "&amp;COUNTIF(Pagamentos!$A:$A,A64)))</f>
        <v/>
      </c>
      <c r="G64" s="27"/>
      <c r="H64" s="5"/>
      <c r="J64" s="5"/>
      <c r="K64" s="41"/>
      <c r="L64" s="14"/>
      <c r="M64" s="5"/>
      <c r="N64" s="35"/>
      <c r="O64" s="27"/>
      <c r="P64" s="39" t="str">
        <f aca="false">IF(OR(J64="",K64=""),"",SUMIFS($N:$N,$J:$J,J64,$K:$K,K64))</f>
        <v/>
      </c>
      <c r="Q64" s="32" t="str">
        <f aca="false">IF(OR(J64="",K64=""),"",IF(COUNTIFS($J:$J,J64,$K:$K,"&lt;"&amp;K64)=0,"",_xlfn.MAXIFS($K:$K,$J:$J,J64,$K:$K,"&lt;"&amp;K64)))</f>
        <v/>
      </c>
      <c r="R64" s="39" t="str">
        <f aca="false">IF(Q64="","",SUMIFS($N:$N,$J:$J,J64,$K:$K,Q64))</f>
        <v/>
      </c>
      <c r="S64" s="37" t="str">
        <f aca="false">IF(OR(R64="",R64=0,P64=""),"",P64/R64-1)</f>
        <v/>
      </c>
    </row>
    <row r="65" customFormat="false" ht="15" hidden="false" customHeight="false" outlineLevel="0" collapsed="false">
      <c r="A65" s="27"/>
      <c r="B65" s="5"/>
      <c r="C65" s="35"/>
      <c r="D65" s="5"/>
      <c r="E65" s="5"/>
      <c r="F65" s="19" t="str">
        <f aca="false">IF(A65="","",IF(COUNTIF(Contratos!$A:$A,A65)+COUNTIF(Pagamentos!$A:$A,A65)=0,"não consta","SIM — contratos: "&amp;COUNTIF(Contratos!$A:$A,A65)&amp;"; pagamentos: "&amp;COUNTIF(Pagamentos!$A:$A,A65)))</f>
        <v/>
      </c>
      <c r="G65" s="27"/>
      <c r="H65" s="5"/>
      <c r="J65" s="5"/>
      <c r="K65" s="41"/>
      <c r="L65" s="14"/>
      <c r="M65" s="5"/>
      <c r="N65" s="35"/>
      <c r="O65" s="27"/>
      <c r="P65" s="39" t="str">
        <f aca="false">IF(OR(J65="",K65=""),"",SUMIFS($N:$N,$J:$J,J65,$K:$K,K65))</f>
        <v/>
      </c>
      <c r="Q65" s="32" t="str">
        <f aca="false">IF(OR(J65="",K65=""),"",IF(COUNTIFS($J:$J,J65,$K:$K,"&lt;"&amp;K65)=0,"",_xlfn.MAXIFS($K:$K,$J:$J,J65,$K:$K,"&lt;"&amp;K65)))</f>
        <v/>
      </c>
      <c r="R65" s="39" t="str">
        <f aca="false">IF(Q65="","",SUMIFS($N:$N,$J:$J,J65,$K:$K,Q65))</f>
        <v/>
      </c>
      <c r="S65" s="37" t="str">
        <f aca="false">IF(OR(R65="",R65=0,P65=""),"",P65/R65-1)</f>
        <v/>
      </c>
    </row>
    <row r="66" customFormat="false" ht="15" hidden="false" customHeight="false" outlineLevel="0" collapsed="false">
      <c r="A66" s="27"/>
      <c r="B66" s="5"/>
      <c r="C66" s="35"/>
      <c r="D66" s="5"/>
      <c r="E66" s="5"/>
      <c r="F66" s="19" t="str">
        <f aca="false">IF(A66="","",IF(COUNTIF(Contratos!$A:$A,A66)+COUNTIF(Pagamentos!$A:$A,A66)=0,"não consta","SIM — contratos: "&amp;COUNTIF(Contratos!$A:$A,A66)&amp;"; pagamentos: "&amp;COUNTIF(Pagamentos!$A:$A,A66)))</f>
        <v/>
      </c>
      <c r="G66" s="27"/>
      <c r="H66" s="5"/>
      <c r="J66" s="5"/>
      <c r="K66" s="41"/>
      <c r="L66" s="14"/>
      <c r="M66" s="5"/>
      <c r="N66" s="35"/>
      <c r="O66" s="27"/>
      <c r="P66" s="39" t="str">
        <f aca="false">IF(OR(J66="",K66=""),"",SUMIFS($N:$N,$J:$J,J66,$K:$K,K66))</f>
        <v/>
      </c>
      <c r="Q66" s="32" t="str">
        <f aca="false">IF(OR(J66="",K66=""),"",IF(COUNTIFS($J:$J,J66,$K:$K,"&lt;"&amp;K66)=0,"",_xlfn.MAXIFS($K:$K,$J:$J,J66,$K:$K,"&lt;"&amp;K66)))</f>
        <v/>
      </c>
      <c r="R66" s="39" t="str">
        <f aca="false">IF(Q66="","",SUMIFS($N:$N,$J:$J,J66,$K:$K,Q66))</f>
        <v/>
      </c>
      <c r="S66" s="37" t="str">
        <f aca="false">IF(OR(R66="",R66=0,P66=""),"",P66/R66-1)</f>
        <v/>
      </c>
    </row>
    <row r="67" customFormat="false" ht="15" hidden="false" customHeight="false" outlineLevel="0" collapsed="false">
      <c r="A67" s="27"/>
      <c r="B67" s="5"/>
      <c r="C67" s="35"/>
      <c r="D67" s="5"/>
      <c r="E67" s="5"/>
      <c r="F67" s="19" t="str">
        <f aca="false">IF(A67="","",IF(COUNTIF(Contratos!$A:$A,A67)+COUNTIF(Pagamentos!$A:$A,A67)=0,"não consta","SIM — contratos: "&amp;COUNTIF(Contratos!$A:$A,A67)&amp;"; pagamentos: "&amp;COUNTIF(Pagamentos!$A:$A,A67)))</f>
        <v/>
      </c>
      <c r="G67" s="27"/>
      <c r="H67" s="5"/>
      <c r="J67" s="5"/>
      <c r="K67" s="41"/>
      <c r="L67" s="14"/>
      <c r="M67" s="5"/>
      <c r="N67" s="35"/>
      <c r="O67" s="27"/>
      <c r="P67" s="39" t="str">
        <f aca="false">IF(OR(J67="",K67=""),"",SUMIFS($N:$N,$J:$J,J67,$K:$K,K67))</f>
        <v/>
      </c>
      <c r="Q67" s="32" t="str">
        <f aca="false">IF(OR(J67="",K67=""),"",IF(COUNTIFS($J:$J,J67,$K:$K,"&lt;"&amp;K67)=0,"",_xlfn.MAXIFS($K:$K,$J:$J,J67,$K:$K,"&lt;"&amp;K67)))</f>
        <v/>
      </c>
      <c r="R67" s="39" t="str">
        <f aca="false">IF(Q67="","",SUMIFS($N:$N,$J:$J,J67,$K:$K,Q67))</f>
        <v/>
      </c>
      <c r="S67" s="37" t="str">
        <f aca="false">IF(OR(R67="",R67=0,P67=""),"",P67/R67-1)</f>
        <v/>
      </c>
    </row>
    <row r="68" customFormat="false" ht="15" hidden="false" customHeight="false" outlineLevel="0" collapsed="false">
      <c r="A68" s="27"/>
      <c r="B68" s="5"/>
      <c r="C68" s="35"/>
      <c r="D68" s="5"/>
      <c r="E68" s="5"/>
      <c r="F68" s="19" t="str">
        <f aca="false">IF(A68="","",IF(COUNTIF(Contratos!$A:$A,A68)+COUNTIF(Pagamentos!$A:$A,A68)=0,"não consta","SIM — contratos: "&amp;COUNTIF(Contratos!$A:$A,A68)&amp;"; pagamentos: "&amp;COUNTIF(Pagamentos!$A:$A,A68)))</f>
        <v/>
      </c>
      <c r="G68" s="27"/>
      <c r="H68" s="5"/>
      <c r="J68" s="5"/>
      <c r="K68" s="41"/>
      <c r="L68" s="14"/>
      <c r="M68" s="5"/>
      <c r="N68" s="35"/>
      <c r="O68" s="27"/>
      <c r="P68" s="39" t="str">
        <f aca="false">IF(OR(J68="",K68=""),"",SUMIFS($N:$N,$J:$J,J68,$K:$K,K68))</f>
        <v/>
      </c>
      <c r="Q68" s="32" t="str">
        <f aca="false">IF(OR(J68="",K68=""),"",IF(COUNTIFS($J:$J,J68,$K:$K,"&lt;"&amp;K68)=0,"",_xlfn.MAXIFS($K:$K,$J:$J,J68,$K:$K,"&lt;"&amp;K68)))</f>
        <v/>
      </c>
      <c r="R68" s="39" t="str">
        <f aca="false">IF(Q68="","",SUMIFS($N:$N,$J:$J,J68,$K:$K,Q68))</f>
        <v/>
      </c>
      <c r="S68" s="37" t="str">
        <f aca="false">IF(OR(R68="",R68=0,P68=""),"",P68/R68-1)</f>
        <v/>
      </c>
    </row>
    <row r="69" customFormat="false" ht="15" hidden="false" customHeight="false" outlineLevel="0" collapsed="false">
      <c r="A69" s="27"/>
      <c r="B69" s="5"/>
      <c r="C69" s="35"/>
      <c r="D69" s="5"/>
      <c r="E69" s="5"/>
      <c r="F69" s="19" t="str">
        <f aca="false">IF(A69="","",IF(COUNTIF(Contratos!$A:$A,A69)+COUNTIF(Pagamentos!$A:$A,A69)=0,"não consta","SIM — contratos: "&amp;COUNTIF(Contratos!$A:$A,A69)&amp;"; pagamentos: "&amp;COUNTIF(Pagamentos!$A:$A,A69)))</f>
        <v/>
      </c>
      <c r="G69" s="27"/>
      <c r="H69" s="5"/>
      <c r="J69" s="5"/>
      <c r="K69" s="41"/>
      <c r="L69" s="14"/>
      <c r="M69" s="5"/>
      <c r="N69" s="35"/>
      <c r="O69" s="27"/>
      <c r="P69" s="39" t="str">
        <f aca="false">IF(OR(J69="",K69=""),"",SUMIFS($N:$N,$J:$J,J69,$K:$K,K69))</f>
        <v/>
      </c>
      <c r="Q69" s="32" t="str">
        <f aca="false">IF(OR(J69="",K69=""),"",IF(COUNTIFS($J:$J,J69,$K:$K,"&lt;"&amp;K69)=0,"",_xlfn.MAXIFS($K:$K,$J:$J,J69,$K:$K,"&lt;"&amp;K69)))</f>
        <v/>
      </c>
      <c r="R69" s="39" t="str">
        <f aca="false">IF(Q69="","",SUMIFS($N:$N,$J:$J,J69,$K:$K,Q69))</f>
        <v/>
      </c>
      <c r="S69" s="37" t="str">
        <f aca="false">IF(OR(R69="",R69=0,P69=""),"",P69/R69-1)</f>
        <v/>
      </c>
    </row>
    <row r="70" customFormat="false" ht="15" hidden="false" customHeight="false" outlineLevel="0" collapsed="false">
      <c r="A70" s="27"/>
      <c r="B70" s="5"/>
      <c r="C70" s="35"/>
      <c r="D70" s="5"/>
      <c r="E70" s="5"/>
      <c r="F70" s="19" t="str">
        <f aca="false">IF(A70="","",IF(COUNTIF(Contratos!$A:$A,A70)+COUNTIF(Pagamentos!$A:$A,A70)=0,"não consta","SIM — contratos: "&amp;COUNTIF(Contratos!$A:$A,A70)&amp;"; pagamentos: "&amp;COUNTIF(Pagamentos!$A:$A,A70)))</f>
        <v/>
      </c>
      <c r="G70" s="27"/>
      <c r="H70" s="5"/>
      <c r="J70" s="5"/>
      <c r="K70" s="41"/>
      <c r="L70" s="14"/>
      <c r="M70" s="5"/>
      <c r="N70" s="35"/>
      <c r="O70" s="27"/>
      <c r="P70" s="39" t="str">
        <f aca="false">IF(OR(J70="",K70=""),"",SUMIFS($N:$N,$J:$J,J70,$K:$K,K70))</f>
        <v/>
      </c>
      <c r="Q70" s="32" t="str">
        <f aca="false">IF(OR(J70="",K70=""),"",IF(COUNTIFS($J:$J,J70,$K:$K,"&lt;"&amp;K70)=0,"",_xlfn.MAXIFS($K:$K,$J:$J,J70,$K:$K,"&lt;"&amp;K70)))</f>
        <v/>
      </c>
      <c r="R70" s="39" t="str">
        <f aca="false">IF(Q70="","",SUMIFS($N:$N,$J:$J,J70,$K:$K,Q70))</f>
        <v/>
      </c>
      <c r="S70" s="37" t="str">
        <f aca="false">IF(OR(R70="",R70=0,P70=""),"",P70/R70-1)</f>
        <v/>
      </c>
    </row>
    <row r="71" customFormat="false" ht="15" hidden="false" customHeight="false" outlineLevel="0" collapsed="false">
      <c r="A71" s="27"/>
      <c r="B71" s="5"/>
      <c r="C71" s="35"/>
      <c r="D71" s="5"/>
      <c r="E71" s="5"/>
      <c r="F71" s="19" t="str">
        <f aca="false">IF(A71="","",IF(COUNTIF(Contratos!$A:$A,A71)+COUNTIF(Pagamentos!$A:$A,A71)=0,"não consta","SIM — contratos: "&amp;COUNTIF(Contratos!$A:$A,A71)&amp;"; pagamentos: "&amp;COUNTIF(Pagamentos!$A:$A,A71)))</f>
        <v/>
      </c>
      <c r="G71" s="27"/>
      <c r="H71" s="5"/>
      <c r="J71" s="5"/>
      <c r="K71" s="41"/>
      <c r="L71" s="14"/>
      <c r="M71" s="5"/>
      <c r="N71" s="35"/>
      <c r="O71" s="27"/>
      <c r="P71" s="39" t="str">
        <f aca="false">IF(OR(J71="",K71=""),"",SUMIFS($N:$N,$J:$J,J71,$K:$K,K71))</f>
        <v/>
      </c>
      <c r="Q71" s="32" t="str">
        <f aca="false">IF(OR(J71="",K71=""),"",IF(COUNTIFS($J:$J,J71,$K:$K,"&lt;"&amp;K71)=0,"",_xlfn.MAXIFS($K:$K,$J:$J,J71,$K:$K,"&lt;"&amp;K71)))</f>
        <v/>
      </c>
      <c r="R71" s="39" t="str">
        <f aca="false">IF(Q71="","",SUMIFS($N:$N,$J:$J,J71,$K:$K,Q71))</f>
        <v/>
      </c>
      <c r="S71" s="37" t="str">
        <f aca="false">IF(OR(R71="",R71=0,P71=""),"",P71/R71-1)</f>
        <v/>
      </c>
    </row>
    <row r="72" customFormat="false" ht="15" hidden="false" customHeight="false" outlineLevel="0" collapsed="false">
      <c r="A72" s="27"/>
      <c r="B72" s="5"/>
      <c r="C72" s="35"/>
      <c r="D72" s="5"/>
      <c r="E72" s="5"/>
      <c r="F72" s="19" t="str">
        <f aca="false">IF(A72="","",IF(COUNTIF(Contratos!$A:$A,A72)+COUNTIF(Pagamentos!$A:$A,A72)=0,"não consta","SIM — contratos: "&amp;COUNTIF(Contratos!$A:$A,A72)&amp;"; pagamentos: "&amp;COUNTIF(Pagamentos!$A:$A,A72)))</f>
        <v/>
      </c>
      <c r="G72" s="27"/>
      <c r="H72" s="5"/>
      <c r="J72" s="5"/>
      <c r="K72" s="41"/>
      <c r="L72" s="14"/>
      <c r="M72" s="5"/>
      <c r="N72" s="35"/>
      <c r="O72" s="27"/>
      <c r="P72" s="39" t="str">
        <f aca="false">IF(OR(J72="",K72=""),"",SUMIFS($N:$N,$J:$J,J72,$K:$K,K72))</f>
        <v/>
      </c>
      <c r="Q72" s="32" t="str">
        <f aca="false">IF(OR(J72="",K72=""),"",IF(COUNTIFS($J:$J,J72,$K:$K,"&lt;"&amp;K72)=0,"",_xlfn.MAXIFS($K:$K,$J:$J,J72,$K:$K,"&lt;"&amp;K72)))</f>
        <v/>
      </c>
      <c r="R72" s="39" t="str">
        <f aca="false">IF(Q72="","",SUMIFS($N:$N,$J:$J,J72,$K:$K,Q72))</f>
        <v/>
      </c>
      <c r="S72" s="37" t="str">
        <f aca="false">IF(OR(R72="",R72=0,P72=""),"",P72/R72-1)</f>
        <v/>
      </c>
    </row>
    <row r="73" customFormat="false" ht="15" hidden="false" customHeight="false" outlineLevel="0" collapsed="false">
      <c r="A73" s="27"/>
      <c r="B73" s="5"/>
      <c r="C73" s="35"/>
      <c r="D73" s="5"/>
      <c r="E73" s="5"/>
      <c r="F73" s="19" t="str">
        <f aca="false">IF(A73="","",IF(COUNTIF(Contratos!$A:$A,A73)+COUNTIF(Pagamentos!$A:$A,A73)=0,"não consta","SIM — contratos: "&amp;COUNTIF(Contratos!$A:$A,A73)&amp;"; pagamentos: "&amp;COUNTIF(Pagamentos!$A:$A,A73)))</f>
        <v/>
      </c>
      <c r="G73" s="27"/>
      <c r="H73" s="5"/>
      <c r="J73" s="5"/>
      <c r="K73" s="41"/>
      <c r="L73" s="14"/>
      <c r="M73" s="5"/>
      <c r="N73" s="35"/>
      <c r="O73" s="27"/>
      <c r="P73" s="39" t="str">
        <f aca="false">IF(OR(J73="",K73=""),"",SUMIFS($N:$N,$J:$J,J73,$K:$K,K73))</f>
        <v/>
      </c>
      <c r="Q73" s="32" t="str">
        <f aca="false">IF(OR(J73="",K73=""),"",IF(COUNTIFS($J:$J,J73,$K:$K,"&lt;"&amp;K73)=0,"",_xlfn.MAXIFS($K:$K,$J:$J,J73,$K:$K,"&lt;"&amp;K73)))</f>
        <v/>
      </c>
      <c r="R73" s="39" t="str">
        <f aca="false">IF(Q73="","",SUMIFS($N:$N,$J:$J,J73,$K:$K,Q73))</f>
        <v/>
      </c>
      <c r="S73" s="37" t="str">
        <f aca="false">IF(OR(R73="",R73=0,P73=""),"",P73/R73-1)</f>
        <v/>
      </c>
    </row>
    <row r="74" customFormat="false" ht="15" hidden="false" customHeight="false" outlineLevel="0" collapsed="false">
      <c r="A74" s="27"/>
      <c r="B74" s="5"/>
      <c r="C74" s="35"/>
      <c r="D74" s="5"/>
      <c r="E74" s="5"/>
      <c r="F74" s="19" t="str">
        <f aca="false">IF(A74="","",IF(COUNTIF(Contratos!$A:$A,A74)+COUNTIF(Pagamentos!$A:$A,A74)=0,"não consta","SIM — contratos: "&amp;COUNTIF(Contratos!$A:$A,A74)&amp;"; pagamentos: "&amp;COUNTIF(Pagamentos!$A:$A,A74)))</f>
        <v/>
      </c>
      <c r="G74" s="27"/>
      <c r="H74" s="5"/>
      <c r="J74" s="5"/>
      <c r="K74" s="41"/>
      <c r="L74" s="14"/>
      <c r="M74" s="5"/>
      <c r="N74" s="35"/>
      <c r="O74" s="27"/>
      <c r="P74" s="39" t="str">
        <f aca="false">IF(OR(J74="",K74=""),"",SUMIFS($N:$N,$J:$J,J74,$K:$K,K74))</f>
        <v/>
      </c>
      <c r="Q74" s="32" t="str">
        <f aca="false">IF(OR(J74="",K74=""),"",IF(COUNTIFS($J:$J,J74,$K:$K,"&lt;"&amp;K74)=0,"",_xlfn.MAXIFS($K:$K,$J:$J,J74,$K:$K,"&lt;"&amp;K74)))</f>
        <v/>
      </c>
      <c r="R74" s="39" t="str">
        <f aca="false">IF(Q74="","",SUMIFS($N:$N,$J:$J,J74,$K:$K,Q74))</f>
        <v/>
      </c>
      <c r="S74" s="37" t="str">
        <f aca="false">IF(OR(R74="",R74=0,P74=""),"",P74/R74-1)</f>
        <v/>
      </c>
    </row>
    <row r="75" customFormat="false" ht="15" hidden="false" customHeight="false" outlineLevel="0" collapsed="false">
      <c r="A75" s="27"/>
      <c r="B75" s="5"/>
      <c r="C75" s="35"/>
      <c r="D75" s="5"/>
      <c r="E75" s="5"/>
      <c r="F75" s="19" t="str">
        <f aca="false">IF(A75="","",IF(COUNTIF(Contratos!$A:$A,A75)+COUNTIF(Pagamentos!$A:$A,A75)=0,"não consta","SIM — contratos: "&amp;COUNTIF(Contratos!$A:$A,A75)&amp;"; pagamentos: "&amp;COUNTIF(Pagamentos!$A:$A,A75)))</f>
        <v/>
      </c>
      <c r="G75" s="27"/>
      <c r="H75" s="5"/>
      <c r="J75" s="5"/>
      <c r="K75" s="41"/>
      <c r="L75" s="14"/>
      <c r="M75" s="5"/>
      <c r="N75" s="35"/>
      <c r="O75" s="27"/>
      <c r="P75" s="39" t="str">
        <f aca="false">IF(OR(J75="",K75=""),"",SUMIFS($N:$N,$J:$J,J75,$K:$K,K75))</f>
        <v/>
      </c>
      <c r="Q75" s="32" t="str">
        <f aca="false">IF(OR(J75="",K75=""),"",IF(COUNTIFS($J:$J,J75,$K:$K,"&lt;"&amp;K75)=0,"",_xlfn.MAXIFS($K:$K,$J:$J,J75,$K:$K,"&lt;"&amp;K75)))</f>
        <v/>
      </c>
      <c r="R75" s="39" t="str">
        <f aca="false">IF(Q75="","",SUMIFS($N:$N,$J:$J,J75,$K:$K,Q75))</f>
        <v/>
      </c>
      <c r="S75" s="37" t="str">
        <f aca="false">IF(OR(R75="",R75=0,P75=""),"",P75/R75-1)</f>
        <v/>
      </c>
    </row>
    <row r="76" customFormat="false" ht="15" hidden="false" customHeight="false" outlineLevel="0" collapsed="false">
      <c r="A76" s="27"/>
      <c r="B76" s="5"/>
      <c r="C76" s="35"/>
      <c r="D76" s="5"/>
      <c r="E76" s="5"/>
      <c r="F76" s="19" t="str">
        <f aca="false">IF(A76="","",IF(COUNTIF(Contratos!$A:$A,A76)+COUNTIF(Pagamentos!$A:$A,A76)=0,"não consta","SIM — contratos: "&amp;COUNTIF(Contratos!$A:$A,A76)&amp;"; pagamentos: "&amp;COUNTIF(Pagamentos!$A:$A,A76)))</f>
        <v/>
      </c>
      <c r="G76" s="27"/>
      <c r="H76" s="5"/>
      <c r="J76" s="5"/>
      <c r="K76" s="41"/>
      <c r="L76" s="14"/>
      <c r="M76" s="5"/>
      <c r="N76" s="35"/>
      <c r="O76" s="27"/>
      <c r="P76" s="39" t="str">
        <f aca="false">IF(OR(J76="",K76=""),"",SUMIFS($N:$N,$J:$J,J76,$K:$K,K76))</f>
        <v/>
      </c>
      <c r="Q76" s="32" t="str">
        <f aca="false">IF(OR(J76="",K76=""),"",IF(COUNTIFS($J:$J,J76,$K:$K,"&lt;"&amp;K76)=0,"",_xlfn.MAXIFS($K:$K,$J:$J,J76,$K:$K,"&lt;"&amp;K76)))</f>
        <v/>
      </c>
      <c r="R76" s="39" t="str">
        <f aca="false">IF(Q76="","",SUMIFS($N:$N,$J:$J,J76,$K:$K,Q76))</f>
        <v/>
      </c>
      <c r="S76" s="37" t="str">
        <f aca="false">IF(OR(R76="",R76=0,P76=""),"",P76/R76-1)</f>
        <v/>
      </c>
    </row>
    <row r="77" customFormat="false" ht="15" hidden="false" customHeight="false" outlineLevel="0" collapsed="false">
      <c r="A77" s="27"/>
      <c r="B77" s="5"/>
      <c r="C77" s="35"/>
      <c r="D77" s="5"/>
      <c r="E77" s="5"/>
      <c r="F77" s="19" t="str">
        <f aca="false">IF(A77="","",IF(COUNTIF(Contratos!$A:$A,A77)+COUNTIF(Pagamentos!$A:$A,A77)=0,"não consta","SIM — contratos: "&amp;COUNTIF(Contratos!$A:$A,A77)&amp;"; pagamentos: "&amp;COUNTIF(Pagamentos!$A:$A,A77)))</f>
        <v/>
      </c>
      <c r="G77" s="27"/>
      <c r="H77" s="5"/>
      <c r="J77" s="5"/>
      <c r="K77" s="41"/>
      <c r="L77" s="14"/>
      <c r="M77" s="5"/>
      <c r="N77" s="35"/>
      <c r="O77" s="27"/>
      <c r="P77" s="39" t="str">
        <f aca="false">IF(OR(J77="",K77=""),"",SUMIFS($N:$N,$J:$J,J77,$K:$K,K77))</f>
        <v/>
      </c>
      <c r="Q77" s="32" t="str">
        <f aca="false">IF(OR(J77="",K77=""),"",IF(COUNTIFS($J:$J,J77,$K:$K,"&lt;"&amp;K77)=0,"",_xlfn.MAXIFS($K:$K,$J:$J,J77,$K:$K,"&lt;"&amp;K77)))</f>
        <v/>
      </c>
      <c r="R77" s="39" t="str">
        <f aca="false">IF(Q77="","",SUMIFS($N:$N,$J:$J,J77,$K:$K,Q77))</f>
        <v/>
      </c>
      <c r="S77" s="37" t="str">
        <f aca="false">IF(OR(R77="",R77=0,P77=""),"",P77/R77-1)</f>
        <v/>
      </c>
    </row>
    <row r="78" customFormat="false" ht="15" hidden="false" customHeight="false" outlineLevel="0" collapsed="false">
      <c r="A78" s="27"/>
      <c r="B78" s="5"/>
      <c r="C78" s="35"/>
      <c r="D78" s="5"/>
      <c r="E78" s="5"/>
      <c r="F78" s="19" t="str">
        <f aca="false">IF(A78="","",IF(COUNTIF(Contratos!$A:$A,A78)+COUNTIF(Pagamentos!$A:$A,A78)=0,"não consta","SIM — contratos: "&amp;COUNTIF(Contratos!$A:$A,A78)&amp;"; pagamentos: "&amp;COUNTIF(Pagamentos!$A:$A,A78)))</f>
        <v/>
      </c>
      <c r="G78" s="27"/>
      <c r="H78" s="5"/>
      <c r="J78" s="5"/>
      <c r="K78" s="41"/>
      <c r="L78" s="14"/>
      <c r="M78" s="5"/>
      <c r="N78" s="35"/>
      <c r="O78" s="27"/>
      <c r="P78" s="39" t="str">
        <f aca="false">IF(OR(J78="",K78=""),"",SUMIFS($N:$N,$J:$J,J78,$K:$K,K78))</f>
        <v/>
      </c>
      <c r="Q78" s="32" t="str">
        <f aca="false">IF(OR(J78="",K78=""),"",IF(COUNTIFS($J:$J,J78,$K:$K,"&lt;"&amp;K78)=0,"",_xlfn.MAXIFS($K:$K,$J:$J,J78,$K:$K,"&lt;"&amp;K78)))</f>
        <v/>
      </c>
      <c r="R78" s="39" t="str">
        <f aca="false">IF(Q78="","",SUMIFS($N:$N,$J:$J,J78,$K:$K,Q78))</f>
        <v/>
      </c>
      <c r="S78" s="37" t="str">
        <f aca="false">IF(OR(R78="",R78=0,P78=""),"",P78/R78-1)</f>
        <v/>
      </c>
    </row>
    <row r="79" customFormat="false" ht="15" hidden="false" customHeight="false" outlineLevel="0" collapsed="false">
      <c r="A79" s="27"/>
      <c r="B79" s="5"/>
      <c r="C79" s="35"/>
      <c r="D79" s="5"/>
      <c r="E79" s="5"/>
      <c r="F79" s="19" t="str">
        <f aca="false">IF(A79="","",IF(COUNTIF(Contratos!$A:$A,A79)+COUNTIF(Pagamentos!$A:$A,A79)=0,"não consta","SIM — contratos: "&amp;COUNTIF(Contratos!$A:$A,A79)&amp;"; pagamentos: "&amp;COUNTIF(Pagamentos!$A:$A,A79)))</f>
        <v/>
      </c>
      <c r="G79" s="27"/>
      <c r="H79" s="5"/>
      <c r="J79" s="5"/>
      <c r="K79" s="41"/>
      <c r="L79" s="14"/>
      <c r="M79" s="5"/>
      <c r="N79" s="35"/>
      <c r="O79" s="27"/>
      <c r="P79" s="39" t="str">
        <f aca="false">IF(OR(J79="",K79=""),"",SUMIFS($N:$N,$J:$J,J79,$K:$K,K79))</f>
        <v/>
      </c>
      <c r="Q79" s="32" t="str">
        <f aca="false">IF(OR(J79="",K79=""),"",IF(COUNTIFS($J:$J,J79,$K:$K,"&lt;"&amp;K79)=0,"",_xlfn.MAXIFS($K:$K,$J:$J,J79,$K:$K,"&lt;"&amp;K79)))</f>
        <v/>
      </c>
      <c r="R79" s="39" t="str">
        <f aca="false">IF(Q79="","",SUMIFS($N:$N,$J:$J,J79,$K:$K,Q79))</f>
        <v/>
      </c>
      <c r="S79" s="37" t="str">
        <f aca="false">IF(OR(R79="",R79=0,P79=""),"",P79/R79-1)</f>
        <v/>
      </c>
    </row>
    <row r="80" customFormat="false" ht="15" hidden="false" customHeight="false" outlineLevel="0" collapsed="false">
      <c r="A80" s="27"/>
      <c r="B80" s="5"/>
      <c r="C80" s="35"/>
      <c r="D80" s="5"/>
      <c r="E80" s="5"/>
      <c r="F80" s="19" t="str">
        <f aca="false">IF(A80="","",IF(COUNTIF(Contratos!$A:$A,A80)+COUNTIF(Pagamentos!$A:$A,A80)=0,"não consta","SIM — contratos: "&amp;COUNTIF(Contratos!$A:$A,A80)&amp;"; pagamentos: "&amp;COUNTIF(Pagamentos!$A:$A,A80)))</f>
        <v/>
      </c>
      <c r="G80" s="27"/>
      <c r="H80" s="5"/>
      <c r="J80" s="5"/>
      <c r="K80" s="41"/>
      <c r="L80" s="14"/>
      <c r="M80" s="5"/>
      <c r="N80" s="35"/>
      <c r="O80" s="27"/>
      <c r="P80" s="39" t="str">
        <f aca="false">IF(OR(J80="",K80=""),"",SUMIFS($N:$N,$J:$J,J80,$K:$K,K80))</f>
        <v/>
      </c>
      <c r="Q80" s="32" t="str">
        <f aca="false">IF(OR(J80="",K80=""),"",IF(COUNTIFS($J:$J,J80,$K:$K,"&lt;"&amp;K80)=0,"",_xlfn.MAXIFS($K:$K,$J:$J,J80,$K:$K,"&lt;"&amp;K80)))</f>
        <v/>
      </c>
      <c r="R80" s="39" t="str">
        <f aca="false">IF(Q80="","",SUMIFS($N:$N,$J:$J,J80,$K:$K,Q80))</f>
        <v/>
      </c>
      <c r="S80" s="37" t="str">
        <f aca="false">IF(OR(R80="",R80=0,P80=""),"",P80/R80-1)</f>
        <v/>
      </c>
    </row>
    <row r="81" customFormat="false" ht="15" hidden="false" customHeight="false" outlineLevel="0" collapsed="false">
      <c r="A81" s="27"/>
      <c r="B81" s="5"/>
      <c r="C81" s="35"/>
      <c r="D81" s="5"/>
      <c r="E81" s="5"/>
      <c r="F81" s="19" t="str">
        <f aca="false">IF(A81="","",IF(COUNTIF(Contratos!$A:$A,A81)+COUNTIF(Pagamentos!$A:$A,A81)=0,"não consta","SIM — contratos: "&amp;COUNTIF(Contratos!$A:$A,A81)&amp;"; pagamentos: "&amp;COUNTIF(Pagamentos!$A:$A,A81)))</f>
        <v/>
      </c>
      <c r="G81" s="27"/>
      <c r="H81" s="5"/>
      <c r="J81" s="5"/>
      <c r="K81" s="41"/>
      <c r="L81" s="14"/>
      <c r="M81" s="5"/>
      <c r="N81" s="35"/>
      <c r="O81" s="27"/>
      <c r="P81" s="39" t="str">
        <f aca="false">IF(OR(J81="",K81=""),"",SUMIFS($N:$N,$J:$J,J81,$K:$K,K81))</f>
        <v/>
      </c>
      <c r="Q81" s="32" t="str">
        <f aca="false">IF(OR(J81="",K81=""),"",IF(COUNTIFS($J:$J,J81,$K:$K,"&lt;"&amp;K81)=0,"",_xlfn.MAXIFS($K:$K,$J:$J,J81,$K:$K,"&lt;"&amp;K81)))</f>
        <v/>
      </c>
      <c r="R81" s="39" t="str">
        <f aca="false">IF(Q81="","",SUMIFS($N:$N,$J:$J,J81,$K:$K,Q81))</f>
        <v/>
      </c>
      <c r="S81" s="37" t="str">
        <f aca="false">IF(OR(R81="",R81=0,P81=""),"",P81/R81-1)</f>
        <v/>
      </c>
    </row>
    <row r="82" customFormat="false" ht="15" hidden="false" customHeight="false" outlineLevel="0" collapsed="false">
      <c r="A82" s="27"/>
      <c r="B82" s="5"/>
      <c r="C82" s="35"/>
      <c r="D82" s="5"/>
      <c r="E82" s="5"/>
      <c r="F82" s="19" t="str">
        <f aca="false">IF(A82="","",IF(COUNTIF(Contratos!$A:$A,A82)+COUNTIF(Pagamentos!$A:$A,A82)=0,"não consta","SIM — contratos: "&amp;COUNTIF(Contratos!$A:$A,A82)&amp;"; pagamentos: "&amp;COUNTIF(Pagamentos!$A:$A,A82)))</f>
        <v/>
      </c>
      <c r="G82" s="27"/>
      <c r="H82" s="5"/>
      <c r="J82" s="5"/>
      <c r="K82" s="41"/>
      <c r="L82" s="14"/>
      <c r="M82" s="5"/>
      <c r="N82" s="35"/>
      <c r="O82" s="27"/>
      <c r="P82" s="39" t="str">
        <f aca="false">IF(OR(J82="",K82=""),"",SUMIFS($N:$N,$J:$J,J82,$K:$K,K82))</f>
        <v/>
      </c>
      <c r="Q82" s="32" t="str">
        <f aca="false">IF(OR(J82="",K82=""),"",IF(COUNTIFS($J:$J,J82,$K:$K,"&lt;"&amp;K82)=0,"",_xlfn.MAXIFS($K:$K,$J:$J,J82,$K:$K,"&lt;"&amp;K82)))</f>
        <v/>
      </c>
      <c r="R82" s="39" t="str">
        <f aca="false">IF(Q82="","",SUMIFS($N:$N,$J:$J,J82,$K:$K,Q82))</f>
        <v/>
      </c>
      <c r="S82" s="37" t="str">
        <f aca="false">IF(OR(R82="",R82=0,P82=""),"",P82/R82-1)</f>
        <v/>
      </c>
    </row>
    <row r="83" customFormat="false" ht="15" hidden="false" customHeight="false" outlineLevel="0" collapsed="false">
      <c r="A83" s="27"/>
      <c r="B83" s="5"/>
      <c r="C83" s="35"/>
      <c r="D83" s="5"/>
      <c r="E83" s="5"/>
      <c r="F83" s="19" t="str">
        <f aca="false">IF(A83="","",IF(COUNTIF(Contratos!$A:$A,A83)+COUNTIF(Pagamentos!$A:$A,A83)=0,"não consta","SIM — contratos: "&amp;COUNTIF(Contratos!$A:$A,A83)&amp;"; pagamentos: "&amp;COUNTIF(Pagamentos!$A:$A,A83)))</f>
        <v/>
      </c>
      <c r="G83" s="27"/>
      <c r="H83" s="5"/>
      <c r="J83" s="5"/>
      <c r="K83" s="41"/>
      <c r="L83" s="14"/>
      <c r="M83" s="5"/>
      <c r="N83" s="35"/>
      <c r="O83" s="27"/>
      <c r="P83" s="39" t="str">
        <f aca="false">IF(OR(J83="",K83=""),"",SUMIFS($N:$N,$J:$J,J83,$K:$K,K83))</f>
        <v/>
      </c>
      <c r="Q83" s="32" t="str">
        <f aca="false">IF(OR(J83="",K83=""),"",IF(COUNTIFS($J:$J,J83,$K:$K,"&lt;"&amp;K83)=0,"",_xlfn.MAXIFS($K:$K,$J:$J,J83,$K:$K,"&lt;"&amp;K83)))</f>
        <v/>
      </c>
      <c r="R83" s="39" t="str">
        <f aca="false">IF(Q83="","",SUMIFS($N:$N,$J:$J,J83,$K:$K,Q83))</f>
        <v/>
      </c>
      <c r="S83" s="37" t="str">
        <f aca="false">IF(OR(R83="",R83=0,P83=""),"",P83/R83-1)</f>
        <v/>
      </c>
    </row>
    <row r="84" customFormat="false" ht="15" hidden="false" customHeight="false" outlineLevel="0" collapsed="false">
      <c r="A84" s="27"/>
      <c r="B84" s="5"/>
      <c r="C84" s="35"/>
      <c r="D84" s="5"/>
      <c r="E84" s="5"/>
      <c r="F84" s="19" t="str">
        <f aca="false">IF(A84="","",IF(COUNTIF(Contratos!$A:$A,A84)+COUNTIF(Pagamentos!$A:$A,A84)=0,"não consta","SIM — contratos: "&amp;COUNTIF(Contratos!$A:$A,A84)&amp;"; pagamentos: "&amp;COUNTIF(Pagamentos!$A:$A,A84)))</f>
        <v/>
      </c>
      <c r="G84" s="27"/>
      <c r="H84" s="5"/>
      <c r="J84" s="5"/>
      <c r="K84" s="41"/>
      <c r="L84" s="14"/>
      <c r="M84" s="5"/>
      <c r="N84" s="35"/>
      <c r="O84" s="27"/>
      <c r="P84" s="39" t="str">
        <f aca="false">IF(OR(J84="",K84=""),"",SUMIFS($N:$N,$J:$J,J84,$K:$K,K84))</f>
        <v/>
      </c>
      <c r="Q84" s="32" t="str">
        <f aca="false">IF(OR(J84="",K84=""),"",IF(COUNTIFS($J:$J,J84,$K:$K,"&lt;"&amp;K84)=0,"",_xlfn.MAXIFS($K:$K,$J:$J,J84,$K:$K,"&lt;"&amp;K84)))</f>
        <v/>
      </c>
      <c r="R84" s="39" t="str">
        <f aca="false">IF(Q84="","",SUMIFS($N:$N,$J:$J,J84,$K:$K,Q84))</f>
        <v/>
      </c>
      <c r="S84" s="37" t="str">
        <f aca="false">IF(OR(R84="",R84=0,P84=""),"",P84/R84-1)</f>
        <v/>
      </c>
    </row>
    <row r="85" customFormat="false" ht="15" hidden="false" customHeight="false" outlineLevel="0" collapsed="false">
      <c r="A85" s="27"/>
      <c r="B85" s="5"/>
      <c r="C85" s="35"/>
      <c r="D85" s="5"/>
      <c r="E85" s="5"/>
      <c r="F85" s="19" t="str">
        <f aca="false">IF(A85="","",IF(COUNTIF(Contratos!$A:$A,A85)+COUNTIF(Pagamentos!$A:$A,A85)=0,"não consta","SIM — contratos: "&amp;COUNTIF(Contratos!$A:$A,A85)&amp;"; pagamentos: "&amp;COUNTIF(Pagamentos!$A:$A,A85)))</f>
        <v/>
      </c>
      <c r="G85" s="27"/>
      <c r="H85" s="5"/>
      <c r="J85" s="5"/>
      <c r="K85" s="41"/>
      <c r="L85" s="14"/>
      <c r="M85" s="5"/>
      <c r="N85" s="35"/>
      <c r="O85" s="27"/>
      <c r="P85" s="39" t="str">
        <f aca="false">IF(OR(J85="",K85=""),"",SUMIFS($N:$N,$J:$J,J85,$K:$K,K85))</f>
        <v/>
      </c>
      <c r="Q85" s="32" t="str">
        <f aca="false">IF(OR(J85="",K85=""),"",IF(COUNTIFS($J:$J,J85,$K:$K,"&lt;"&amp;K85)=0,"",_xlfn.MAXIFS($K:$K,$J:$J,J85,$K:$K,"&lt;"&amp;K85)))</f>
        <v/>
      </c>
      <c r="R85" s="39" t="str">
        <f aca="false">IF(Q85="","",SUMIFS($N:$N,$J:$J,J85,$K:$K,Q85))</f>
        <v/>
      </c>
      <c r="S85" s="37" t="str">
        <f aca="false">IF(OR(R85="",R85=0,P85=""),"",P85/R85-1)</f>
        <v/>
      </c>
    </row>
    <row r="86" customFormat="false" ht="15" hidden="false" customHeight="false" outlineLevel="0" collapsed="false">
      <c r="A86" s="27"/>
      <c r="B86" s="5"/>
      <c r="C86" s="35"/>
      <c r="D86" s="5"/>
      <c r="E86" s="5"/>
      <c r="F86" s="19" t="str">
        <f aca="false">IF(A86="","",IF(COUNTIF(Contratos!$A:$A,A86)+COUNTIF(Pagamentos!$A:$A,A86)=0,"não consta","SIM — contratos: "&amp;COUNTIF(Contratos!$A:$A,A86)&amp;"; pagamentos: "&amp;COUNTIF(Pagamentos!$A:$A,A86)))</f>
        <v/>
      </c>
      <c r="G86" s="27"/>
      <c r="H86" s="5"/>
      <c r="J86" s="5"/>
      <c r="K86" s="41"/>
      <c r="L86" s="14"/>
      <c r="M86" s="5"/>
      <c r="N86" s="35"/>
      <c r="O86" s="27"/>
      <c r="P86" s="39" t="str">
        <f aca="false">IF(OR(J86="",K86=""),"",SUMIFS($N:$N,$J:$J,J86,$K:$K,K86))</f>
        <v/>
      </c>
      <c r="Q86" s="32" t="str">
        <f aca="false">IF(OR(J86="",K86=""),"",IF(COUNTIFS($J:$J,J86,$K:$K,"&lt;"&amp;K86)=0,"",_xlfn.MAXIFS($K:$K,$J:$J,J86,$K:$K,"&lt;"&amp;K86)))</f>
        <v/>
      </c>
      <c r="R86" s="39" t="str">
        <f aca="false">IF(Q86="","",SUMIFS($N:$N,$J:$J,J86,$K:$K,Q86))</f>
        <v/>
      </c>
      <c r="S86" s="37" t="str">
        <f aca="false">IF(OR(R86="",R86=0,P86=""),"",P86/R86-1)</f>
        <v/>
      </c>
    </row>
    <row r="87" customFormat="false" ht="15" hidden="false" customHeight="false" outlineLevel="0" collapsed="false">
      <c r="A87" s="27"/>
      <c r="B87" s="5"/>
      <c r="C87" s="35"/>
      <c r="D87" s="5"/>
      <c r="E87" s="5"/>
      <c r="F87" s="19" t="str">
        <f aca="false">IF(A87="","",IF(COUNTIF(Contratos!$A:$A,A87)+COUNTIF(Pagamentos!$A:$A,A87)=0,"não consta","SIM — contratos: "&amp;COUNTIF(Contratos!$A:$A,A87)&amp;"; pagamentos: "&amp;COUNTIF(Pagamentos!$A:$A,A87)))</f>
        <v/>
      </c>
      <c r="G87" s="27"/>
      <c r="H87" s="5"/>
      <c r="J87" s="5"/>
      <c r="K87" s="41"/>
      <c r="L87" s="14"/>
      <c r="M87" s="5"/>
      <c r="N87" s="35"/>
      <c r="O87" s="27"/>
      <c r="P87" s="39" t="str">
        <f aca="false">IF(OR(J87="",K87=""),"",SUMIFS($N:$N,$J:$J,J87,$K:$K,K87))</f>
        <v/>
      </c>
      <c r="Q87" s="32" t="str">
        <f aca="false">IF(OR(J87="",K87=""),"",IF(COUNTIFS($J:$J,J87,$K:$K,"&lt;"&amp;K87)=0,"",_xlfn.MAXIFS($K:$K,$J:$J,J87,$K:$K,"&lt;"&amp;K87)))</f>
        <v/>
      </c>
      <c r="R87" s="39" t="str">
        <f aca="false">IF(Q87="","",SUMIFS($N:$N,$J:$J,J87,$K:$K,Q87))</f>
        <v/>
      </c>
      <c r="S87" s="37" t="str">
        <f aca="false">IF(OR(R87="",R87=0,P87=""),"",P87/R87-1)</f>
        <v/>
      </c>
    </row>
    <row r="88" customFormat="false" ht="15" hidden="false" customHeight="false" outlineLevel="0" collapsed="false">
      <c r="A88" s="27"/>
      <c r="B88" s="5"/>
      <c r="C88" s="35"/>
      <c r="D88" s="5"/>
      <c r="E88" s="5"/>
      <c r="F88" s="19" t="str">
        <f aca="false">IF(A88="","",IF(COUNTIF(Contratos!$A:$A,A88)+COUNTIF(Pagamentos!$A:$A,A88)=0,"não consta","SIM — contratos: "&amp;COUNTIF(Contratos!$A:$A,A88)&amp;"; pagamentos: "&amp;COUNTIF(Pagamentos!$A:$A,A88)))</f>
        <v/>
      </c>
      <c r="G88" s="27"/>
      <c r="H88" s="5"/>
      <c r="J88" s="5"/>
      <c r="K88" s="41"/>
      <c r="L88" s="14"/>
      <c r="M88" s="5"/>
      <c r="N88" s="35"/>
      <c r="O88" s="27"/>
      <c r="P88" s="39" t="str">
        <f aca="false">IF(OR(J88="",K88=""),"",SUMIFS($N:$N,$J:$J,J88,$K:$K,K88))</f>
        <v/>
      </c>
      <c r="Q88" s="32" t="str">
        <f aca="false">IF(OR(J88="",K88=""),"",IF(COUNTIFS($J:$J,J88,$K:$K,"&lt;"&amp;K88)=0,"",_xlfn.MAXIFS($K:$K,$J:$J,J88,$K:$K,"&lt;"&amp;K88)))</f>
        <v/>
      </c>
      <c r="R88" s="39" t="str">
        <f aca="false">IF(Q88="","",SUMIFS($N:$N,$J:$J,J88,$K:$K,Q88))</f>
        <v/>
      </c>
      <c r="S88" s="37" t="str">
        <f aca="false">IF(OR(R88="",R88=0,P88=""),"",P88/R88-1)</f>
        <v/>
      </c>
    </row>
    <row r="89" customFormat="false" ht="15" hidden="false" customHeight="false" outlineLevel="0" collapsed="false">
      <c r="A89" s="27"/>
      <c r="B89" s="5"/>
      <c r="C89" s="35"/>
      <c r="D89" s="5"/>
      <c r="E89" s="5"/>
      <c r="F89" s="19" t="str">
        <f aca="false">IF(A89="","",IF(COUNTIF(Contratos!$A:$A,A89)+COUNTIF(Pagamentos!$A:$A,A89)=0,"não consta","SIM — contratos: "&amp;COUNTIF(Contratos!$A:$A,A89)&amp;"; pagamentos: "&amp;COUNTIF(Pagamentos!$A:$A,A89)))</f>
        <v/>
      </c>
      <c r="G89" s="27"/>
      <c r="H89" s="5"/>
      <c r="J89" s="5"/>
      <c r="K89" s="41"/>
      <c r="L89" s="14"/>
      <c r="M89" s="5"/>
      <c r="N89" s="35"/>
      <c r="O89" s="27"/>
      <c r="P89" s="39" t="str">
        <f aca="false">IF(OR(J89="",K89=""),"",SUMIFS($N:$N,$J:$J,J89,$K:$K,K89))</f>
        <v/>
      </c>
      <c r="Q89" s="32" t="str">
        <f aca="false">IF(OR(J89="",K89=""),"",IF(COUNTIFS($J:$J,J89,$K:$K,"&lt;"&amp;K89)=0,"",_xlfn.MAXIFS($K:$K,$J:$J,J89,$K:$K,"&lt;"&amp;K89)))</f>
        <v/>
      </c>
      <c r="R89" s="39" t="str">
        <f aca="false">IF(Q89="","",SUMIFS($N:$N,$J:$J,J89,$K:$K,Q89))</f>
        <v/>
      </c>
      <c r="S89" s="37" t="str">
        <f aca="false">IF(OR(R89="",R89=0,P89=""),"",P89/R89-1)</f>
        <v/>
      </c>
    </row>
    <row r="90" customFormat="false" ht="15" hidden="false" customHeight="false" outlineLevel="0" collapsed="false">
      <c r="A90" s="27"/>
      <c r="B90" s="5"/>
      <c r="C90" s="35"/>
      <c r="D90" s="5"/>
      <c r="E90" s="5"/>
      <c r="F90" s="19" t="str">
        <f aca="false">IF(A90="","",IF(COUNTIF(Contratos!$A:$A,A90)+COUNTIF(Pagamentos!$A:$A,A90)=0,"não consta","SIM — contratos: "&amp;COUNTIF(Contratos!$A:$A,A90)&amp;"; pagamentos: "&amp;COUNTIF(Pagamentos!$A:$A,A90)))</f>
        <v/>
      </c>
      <c r="G90" s="27"/>
      <c r="H90" s="5"/>
      <c r="J90" s="5"/>
      <c r="K90" s="41"/>
      <c r="L90" s="14"/>
      <c r="M90" s="5"/>
      <c r="N90" s="35"/>
      <c r="O90" s="27"/>
      <c r="P90" s="39" t="str">
        <f aca="false">IF(OR(J90="",K90=""),"",SUMIFS($N:$N,$J:$J,J90,$K:$K,K90))</f>
        <v/>
      </c>
      <c r="Q90" s="32" t="str">
        <f aca="false">IF(OR(J90="",K90=""),"",IF(COUNTIFS($J:$J,J90,$K:$K,"&lt;"&amp;K90)=0,"",_xlfn.MAXIFS($K:$K,$J:$J,J90,$K:$K,"&lt;"&amp;K90)))</f>
        <v/>
      </c>
      <c r="R90" s="39" t="str">
        <f aca="false">IF(Q90="","",SUMIFS($N:$N,$J:$J,J90,$K:$K,Q90))</f>
        <v/>
      </c>
      <c r="S90" s="37" t="str">
        <f aca="false">IF(OR(R90="",R90=0,P90=""),"",P90/R90-1)</f>
        <v/>
      </c>
    </row>
    <row r="91" customFormat="false" ht="15" hidden="false" customHeight="false" outlineLevel="0" collapsed="false">
      <c r="A91" s="27"/>
      <c r="B91" s="5"/>
      <c r="C91" s="35"/>
      <c r="D91" s="5"/>
      <c r="E91" s="5"/>
      <c r="F91" s="19" t="str">
        <f aca="false">IF(A91="","",IF(COUNTIF(Contratos!$A:$A,A91)+COUNTIF(Pagamentos!$A:$A,A91)=0,"não consta","SIM — contratos: "&amp;COUNTIF(Contratos!$A:$A,A91)&amp;"; pagamentos: "&amp;COUNTIF(Pagamentos!$A:$A,A91)))</f>
        <v/>
      </c>
      <c r="G91" s="27"/>
      <c r="H91" s="5"/>
      <c r="J91" s="5"/>
      <c r="K91" s="41"/>
      <c r="L91" s="14"/>
      <c r="M91" s="5"/>
      <c r="N91" s="35"/>
      <c r="O91" s="27"/>
      <c r="P91" s="39" t="str">
        <f aca="false">IF(OR(J91="",K91=""),"",SUMIFS($N:$N,$J:$J,J91,$K:$K,K91))</f>
        <v/>
      </c>
      <c r="Q91" s="32" t="str">
        <f aca="false">IF(OR(J91="",K91=""),"",IF(COUNTIFS($J:$J,J91,$K:$K,"&lt;"&amp;K91)=0,"",_xlfn.MAXIFS($K:$K,$J:$J,J91,$K:$K,"&lt;"&amp;K91)))</f>
        <v/>
      </c>
      <c r="R91" s="39" t="str">
        <f aca="false">IF(Q91="","",SUMIFS($N:$N,$J:$J,J91,$K:$K,Q91))</f>
        <v/>
      </c>
      <c r="S91" s="37" t="str">
        <f aca="false">IF(OR(R91="",R91=0,P91=""),"",P91/R91-1)</f>
        <v/>
      </c>
    </row>
    <row r="92" customFormat="false" ht="15" hidden="false" customHeight="false" outlineLevel="0" collapsed="false">
      <c r="A92" s="27"/>
      <c r="B92" s="5"/>
      <c r="C92" s="35"/>
      <c r="D92" s="5"/>
      <c r="E92" s="5"/>
      <c r="F92" s="19" t="str">
        <f aca="false">IF(A92="","",IF(COUNTIF(Contratos!$A:$A,A92)+COUNTIF(Pagamentos!$A:$A,A92)=0,"não consta","SIM — contratos: "&amp;COUNTIF(Contratos!$A:$A,A92)&amp;"; pagamentos: "&amp;COUNTIF(Pagamentos!$A:$A,A92)))</f>
        <v/>
      </c>
      <c r="G92" s="27"/>
      <c r="H92" s="5"/>
      <c r="J92" s="5"/>
      <c r="K92" s="41"/>
      <c r="L92" s="14"/>
      <c r="M92" s="5"/>
      <c r="N92" s="35"/>
      <c r="O92" s="27"/>
      <c r="P92" s="39" t="str">
        <f aca="false">IF(OR(J92="",K92=""),"",SUMIFS($N:$N,$J:$J,J92,$K:$K,K92))</f>
        <v/>
      </c>
      <c r="Q92" s="32" t="str">
        <f aca="false">IF(OR(J92="",K92=""),"",IF(COUNTIFS($J:$J,J92,$K:$K,"&lt;"&amp;K92)=0,"",_xlfn.MAXIFS($K:$K,$J:$J,J92,$K:$K,"&lt;"&amp;K92)))</f>
        <v/>
      </c>
      <c r="R92" s="39" t="str">
        <f aca="false">IF(Q92="","",SUMIFS($N:$N,$J:$J,J92,$K:$K,Q92))</f>
        <v/>
      </c>
      <c r="S92" s="37" t="str">
        <f aca="false">IF(OR(R92="",R92=0,P92=""),"",P92/R92-1)</f>
        <v/>
      </c>
    </row>
    <row r="93" customFormat="false" ht="15" hidden="false" customHeight="false" outlineLevel="0" collapsed="false">
      <c r="A93" s="27"/>
      <c r="B93" s="5"/>
      <c r="C93" s="35"/>
      <c r="D93" s="5"/>
      <c r="E93" s="5"/>
      <c r="F93" s="19" t="str">
        <f aca="false">IF(A93="","",IF(COUNTIF(Contratos!$A:$A,A93)+COUNTIF(Pagamentos!$A:$A,A93)=0,"não consta","SIM — contratos: "&amp;COUNTIF(Contratos!$A:$A,A93)&amp;"; pagamentos: "&amp;COUNTIF(Pagamentos!$A:$A,A93)))</f>
        <v/>
      </c>
      <c r="G93" s="27"/>
      <c r="H93" s="5"/>
      <c r="J93" s="5"/>
      <c r="K93" s="41"/>
      <c r="L93" s="14"/>
      <c r="M93" s="5"/>
      <c r="N93" s="35"/>
      <c r="O93" s="27"/>
      <c r="P93" s="39" t="str">
        <f aca="false">IF(OR(J93="",K93=""),"",SUMIFS($N:$N,$J:$J,J93,$K:$K,K93))</f>
        <v/>
      </c>
      <c r="Q93" s="32" t="str">
        <f aca="false">IF(OR(J93="",K93=""),"",IF(COUNTIFS($J:$J,J93,$K:$K,"&lt;"&amp;K93)=0,"",_xlfn.MAXIFS($K:$K,$J:$J,J93,$K:$K,"&lt;"&amp;K93)))</f>
        <v/>
      </c>
      <c r="R93" s="39" t="str">
        <f aca="false">IF(Q93="","",SUMIFS($N:$N,$J:$J,J93,$K:$K,Q93))</f>
        <v/>
      </c>
      <c r="S93" s="37" t="str">
        <f aca="false">IF(OR(R93="",R93=0,P93=""),"",P93/R93-1)</f>
        <v/>
      </c>
    </row>
    <row r="94" customFormat="false" ht="15" hidden="false" customHeight="false" outlineLevel="0" collapsed="false">
      <c r="A94" s="27"/>
      <c r="B94" s="5"/>
      <c r="C94" s="35"/>
      <c r="D94" s="5"/>
      <c r="E94" s="5"/>
      <c r="F94" s="19" t="str">
        <f aca="false">IF(A94="","",IF(COUNTIF(Contratos!$A:$A,A94)+COUNTIF(Pagamentos!$A:$A,A94)=0,"não consta","SIM — contratos: "&amp;COUNTIF(Contratos!$A:$A,A94)&amp;"; pagamentos: "&amp;COUNTIF(Pagamentos!$A:$A,A94)))</f>
        <v/>
      </c>
      <c r="G94" s="27"/>
      <c r="H94" s="5"/>
      <c r="J94" s="5"/>
      <c r="K94" s="41"/>
      <c r="L94" s="14"/>
      <c r="M94" s="5"/>
      <c r="N94" s="35"/>
      <c r="O94" s="27"/>
      <c r="P94" s="39" t="str">
        <f aca="false">IF(OR(J94="",K94=""),"",SUMIFS($N:$N,$J:$J,J94,$K:$K,K94))</f>
        <v/>
      </c>
      <c r="Q94" s="32" t="str">
        <f aca="false">IF(OR(J94="",K94=""),"",IF(COUNTIFS($J:$J,J94,$K:$K,"&lt;"&amp;K94)=0,"",_xlfn.MAXIFS($K:$K,$J:$J,J94,$K:$K,"&lt;"&amp;K94)))</f>
        <v/>
      </c>
      <c r="R94" s="39" t="str">
        <f aca="false">IF(Q94="","",SUMIFS($N:$N,$J:$J,J94,$K:$K,Q94))</f>
        <v/>
      </c>
      <c r="S94" s="37" t="str">
        <f aca="false">IF(OR(R94="",R94=0,P94=""),"",P94/R94-1)</f>
        <v/>
      </c>
    </row>
    <row r="95" customFormat="false" ht="15" hidden="false" customHeight="false" outlineLevel="0" collapsed="false">
      <c r="A95" s="27"/>
      <c r="B95" s="5"/>
      <c r="C95" s="35"/>
      <c r="D95" s="5"/>
      <c r="E95" s="5"/>
      <c r="F95" s="19" t="str">
        <f aca="false">IF(A95="","",IF(COUNTIF(Contratos!$A:$A,A95)+COUNTIF(Pagamentos!$A:$A,A95)=0,"não consta","SIM — contratos: "&amp;COUNTIF(Contratos!$A:$A,A95)&amp;"; pagamentos: "&amp;COUNTIF(Pagamentos!$A:$A,A95)))</f>
        <v/>
      </c>
      <c r="G95" s="27"/>
      <c r="H95" s="5"/>
      <c r="J95" s="5"/>
      <c r="K95" s="41"/>
      <c r="L95" s="14"/>
      <c r="M95" s="5"/>
      <c r="N95" s="35"/>
      <c r="O95" s="27"/>
      <c r="P95" s="39" t="str">
        <f aca="false">IF(OR(J95="",K95=""),"",SUMIFS($N:$N,$J:$J,J95,$K:$K,K95))</f>
        <v/>
      </c>
      <c r="Q95" s="32" t="str">
        <f aca="false">IF(OR(J95="",K95=""),"",IF(COUNTIFS($J:$J,J95,$K:$K,"&lt;"&amp;K95)=0,"",_xlfn.MAXIFS($K:$K,$J:$J,J95,$K:$K,"&lt;"&amp;K95)))</f>
        <v/>
      </c>
      <c r="R95" s="39" t="str">
        <f aca="false">IF(Q95="","",SUMIFS($N:$N,$J:$J,J95,$K:$K,Q95))</f>
        <v/>
      </c>
      <c r="S95" s="37" t="str">
        <f aca="false">IF(OR(R95="",R95=0,P95=""),"",P95/R95-1)</f>
        <v/>
      </c>
    </row>
    <row r="96" customFormat="false" ht="15" hidden="false" customHeight="false" outlineLevel="0" collapsed="false">
      <c r="A96" s="27"/>
      <c r="B96" s="5"/>
      <c r="C96" s="35"/>
      <c r="D96" s="5"/>
      <c r="E96" s="5"/>
      <c r="F96" s="19" t="str">
        <f aca="false">IF(A96="","",IF(COUNTIF(Contratos!$A:$A,A96)+COUNTIF(Pagamentos!$A:$A,A96)=0,"não consta","SIM — contratos: "&amp;COUNTIF(Contratos!$A:$A,A96)&amp;"; pagamentos: "&amp;COUNTIF(Pagamentos!$A:$A,A96)))</f>
        <v/>
      </c>
      <c r="G96" s="27"/>
      <c r="H96" s="5"/>
      <c r="J96" s="5"/>
      <c r="K96" s="41"/>
      <c r="L96" s="14"/>
      <c r="M96" s="5"/>
      <c r="N96" s="35"/>
      <c r="O96" s="27"/>
      <c r="P96" s="39" t="str">
        <f aca="false">IF(OR(J96="",K96=""),"",SUMIFS($N:$N,$J:$J,J96,$K:$K,K96))</f>
        <v/>
      </c>
      <c r="Q96" s="32" t="str">
        <f aca="false">IF(OR(J96="",K96=""),"",IF(COUNTIFS($J:$J,J96,$K:$K,"&lt;"&amp;K96)=0,"",_xlfn.MAXIFS($K:$K,$J:$J,J96,$K:$K,"&lt;"&amp;K96)))</f>
        <v/>
      </c>
      <c r="R96" s="39" t="str">
        <f aca="false">IF(Q96="","",SUMIFS($N:$N,$J:$J,J96,$K:$K,Q96))</f>
        <v/>
      </c>
      <c r="S96" s="37" t="str">
        <f aca="false">IF(OR(R96="",R96=0,P96=""),"",P96/R96-1)</f>
        <v/>
      </c>
    </row>
    <row r="97" customFormat="false" ht="15" hidden="false" customHeight="false" outlineLevel="0" collapsed="false">
      <c r="A97" s="27"/>
      <c r="B97" s="5"/>
      <c r="C97" s="35"/>
      <c r="D97" s="5"/>
      <c r="E97" s="5"/>
      <c r="F97" s="19" t="str">
        <f aca="false">IF(A97="","",IF(COUNTIF(Contratos!$A:$A,A97)+COUNTIF(Pagamentos!$A:$A,A97)=0,"não consta","SIM — contratos: "&amp;COUNTIF(Contratos!$A:$A,A97)&amp;"; pagamentos: "&amp;COUNTIF(Pagamentos!$A:$A,A97)))</f>
        <v/>
      </c>
      <c r="G97" s="27"/>
      <c r="H97" s="5"/>
      <c r="J97" s="5"/>
      <c r="K97" s="41"/>
      <c r="L97" s="14"/>
      <c r="M97" s="5"/>
      <c r="N97" s="35"/>
      <c r="O97" s="27"/>
      <c r="P97" s="39" t="str">
        <f aca="false">IF(OR(J97="",K97=""),"",SUMIFS($N:$N,$J:$J,J97,$K:$K,K97))</f>
        <v/>
      </c>
      <c r="Q97" s="32" t="str">
        <f aca="false">IF(OR(J97="",K97=""),"",IF(COUNTIFS($J:$J,J97,$K:$K,"&lt;"&amp;K97)=0,"",_xlfn.MAXIFS($K:$K,$J:$J,J97,$K:$K,"&lt;"&amp;K97)))</f>
        <v/>
      </c>
      <c r="R97" s="39" t="str">
        <f aca="false">IF(Q97="","",SUMIFS($N:$N,$J:$J,J97,$K:$K,Q97))</f>
        <v/>
      </c>
      <c r="S97" s="37" t="str">
        <f aca="false">IF(OR(R97="",R97=0,P97=""),"",P97/R97-1)</f>
        <v/>
      </c>
    </row>
    <row r="98" customFormat="false" ht="15" hidden="false" customHeight="false" outlineLevel="0" collapsed="false">
      <c r="A98" s="27"/>
      <c r="B98" s="5"/>
      <c r="C98" s="35"/>
      <c r="D98" s="5"/>
      <c r="E98" s="5"/>
      <c r="F98" s="19" t="str">
        <f aca="false">IF(A98="","",IF(COUNTIF(Contratos!$A:$A,A98)+COUNTIF(Pagamentos!$A:$A,A98)=0,"não consta","SIM — contratos: "&amp;COUNTIF(Contratos!$A:$A,A98)&amp;"; pagamentos: "&amp;COUNTIF(Pagamentos!$A:$A,A98)))</f>
        <v/>
      </c>
      <c r="G98" s="27"/>
      <c r="H98" s="5"/>
      <c r="J98" s="5"/>
      <c r="K98" s="41"/>
      <c r="L98" s="14"/>
      <c r="M98" s="5"/>
      <c r="N98" s="35"/>
      <c r="O98" s="27"/>
      <c r="P98" s="39" t="str">
        <f aca="false">IF(OR(J98="",K98=""),"",SUMIFS($N:$N,$J:$J,J98,$K:$K,K98))</f>
        <v/>
      </c>
      <c r="Q98" s="32" t="str">
        <f aca="false">IF(OR(J98="",K98=""),"",IF(COUNTIFS($J:$J,J98,$K:$K,"&lt;"&amp;K98)=0,"",_xlfn.MAXIFS($K:$K,$J:$J,J98,$K:$K,"&lt;"&amp;K98)))</f>
        <v/>
      </c>
      <c r="R98" s="39" t="str">
        <f aca="false">IF(Q98="","",SUMIFS($N:$N,$J:$J,J98,$K:$K,Q98))</f>
        <v/>
      </c>
      <c r="S98" s="37" t="str">
        <f aca="false">IF(OR(R98="",R98=0,P98=""),"",P98/R98-1)</f>
        <v/>
      </c>
    </row>
    <row r="99" customFormat="false" ht="15" hidden="false" customHeight="false" outlineLevel="0" collapsed="false">
      <c r="A99" s="27"/>
      <c r="B99" s="5"/>
      <c r="C99" s="35"/>
      <c r="D99" s="5"/>
      <c r="E99" s="5"/>
      <c r="F99" s="19" t="str">
        <f aca="false">IF(A99="","",IF(COUNTIF(Contratos!$A:$A,A99)+COUNTIF(Pagamentos!$A:$A,A99)=0,"não consta","SIM — contratos: "&amp;COUNTIF(Contratos!$A:$A,A99)&amp;"; pagamentos: "&amp;COUNTIF(Pagamentos!$A:$A,A99)))</f>
        <v/>
      </c>
      <c r="G99" s="27"/>
      <c r="H99" s="5"/>
      <c r="J99" s="5"/>
      <c r="K99" s="41"/>
      <c r="L99" s="14"/>
      <c r="M99" s="5"/>
      <c r="N99" s="35"/>
      <c r="O99" s="27"/>
      <c r="P99" s="39" t="str">
        <f aca="false">IF(OR(J99="",K99=""),"",SUMIFS($N:$N,$J:$J,J99,$K:$K,K99))</f>
        <v/>
      </c>
      <c r="Q99" s="32" t="str">
        <f aca="false">IF(OR(J99="",K99=""),"",IF(COUNTIFS($J:$J,J99,$K:$K,"&lt;"&amp;K99)=0,"",_xlfn.MAXIFS($K:$K,$J:$J,J99,$K:$K,"&lt;"&amp;K99)))</f>
        <v/>
      </c>
      <c r="R99" s="39" t="str">
        <f aca="false">IF(Q99="","",SUMIFS($N:$N,$J:$J,J99,$K:$K,Q99))</f>
        <v/>
      </c>
      <c r="S99" s="37" t="str">
        <f aca="false">IF(OR(R99="",R99=0,P99=""),"",P99/R99-1)</f>
        <v/>
      </c>
    </row>
    <row r="100" customFormat="false" ht="15" hidden="false" customHeight="false" outlineLevel="0" collapsed="false">
      <c r="A100" s="27"/>
      <c r="B100" s="5"/>
      <c r="C100" s="35"/>
      <c r="D100" s="5"/>
      <c r="E100" s="5"/>
      <c r="F100" s="19" t="str">
        <f aca="false">IF(A100="","",IF(COUNTIF(Contratos!$A:$A,A100)+COUNTIF(Pagamentos!$A:$A,A100)=0,"não consta","SIM — contratos: "&amp;COUNTIF(Contratos!$A:$A,A100)&amp;"; pagamentos: "&amp;COUNTIF(Pagamentos!$A:$A,A100)))</f>
        <v/>
      </c>
      <c r="G100" s="27"/>
      <c r="H100" s="5"/>
      <c r="J100" s="5"/>
      <c r="K100" s="41"/>
      <c r="L100" s="14"/>
      <c r="M100" s="5"/>
      <c r="N100" s="35"/>
      <c r="O100" s="27"/>
      <c r="P100" s="39" t="str">
        <f aca="false">IF(OR(J100="",K100=""),"",SUMIFS($N:$N,$J:$J,J100,$K:$K,K100))</f>
        <v/>
      </c>
      <c r="Q100" s="32" t="str">
        <f aca="false">IF(OR(J100="",K100=""),"",IF(COUNTIFS($J:$J,J100,$K:$K,"&lt;"&amp;K100)=0,"",_xlfn.MAXIFS($K:$K,$J:$J,J100,$K:$K,"&lt;"&amp;K100)))</f>
        <v/>
      </c>
      <c r="R100" s="39" t="str">
        <f aca="false">IF(Q100="","",SUMIFS($N:$N,$J:$J,J100,$K:$K,Q100))</f>
        <v/>
      </c>
      <c r="S100" s="37" t="str">
        <f aca="false">IF(OR(R100="",R100=0,P100=""),"",P100/R100-1)</f>
        <v/>
      </c>
    </row>
    <row r="101" customFormat="false" ht="15" hidden="false" customHeight="false" outlineLevel="0" collapsed="false">
      <c r="A101" s="27"/>
      <c r="B101" s="5"/>
      <c r="C101" s="35"/>
      <c r="D101" s="5"/>
      <c r="E101" s="5"/>
      <c r="F101" s="19" t="str">
        <f aca="false">IF(A101="","",IF(COUNTIF(Contratos!$A:$A,A101)+COUNTIF(Pagamentos!$A:$A,A101)=0,"não consta","SIM — contratos: "&amp;COUNTIF(Contratos!$A:$A,A101)&amp;"; pagamentos: "&amp;COUNTIF(Pagamentos!$A:$A,A101)))</f>
        <v/>
      </c>
      <c r="G101" s="27"/>
      <c r="H101" s="5"/>
      <c r="J101" s="5"/>
      <c r="K101" s="41"/>
      <c r="L101" s="14"/>
      <c r="M101" s="5"/>
      <c r="N101" s="35"/>
      <c r="O101" s="27"/>
      <c r="P101" s="39" t="str">
        <f aca="false">IF(OR(J101="",K101=""),"",SUMIFS($N:$N,$J:$J,J101,$K:$K,K101))</f>
        <v/>
      </c>
      <c r="Q101" s="32" t="str">
        <f aca="false">IF(OR(J101="",K101=""),"",IF(COUNTIFS($J:$J,J101,$K:$K,"&lt;"&amp;K101)=0,"",_xlfn.MAXIFS($K:$K,$J:$J,J101,$K:$K,"&lt;"&amp;K101)))</f>
        <v/>
      </c>
      <c r="R101" s="39" t="str">
        <f aca="false">IF(Q101="","",SUMIFS($N:$N,$J:$J,J101,$K:$K,Q101))</f>
        <v/>
      </c>
      <c r="S101" s="37" t="str">
        <f aca="false">IF(OR(R101="",R101=0,P101=""),"",P101/R101-1)</f>
        <v/>
      </c>
    </row>
    <row r="102" customFormat="false" ht="15" hidden="false" customHeight="false" outlineLevel="0" collapsed="false">
      <c r="A102" s="27"/>
      <c r="B102" s="5"/>
      <c r="C102" s="35"/>
      <c r="D102" s="5"/>
      <c r="E102" s="5"/>
      <c r="F102" s="19" t="str">
        <f aca="false">IF(A102="","",IF(COUNTIF(Contratos!$A:$A,A102)+COUNTIF(Pagamentos!$A:$A,A102)=0,"não consta","SIM — contratos: "&amp;COUNTIF(Contratos!$A:$A,A102)&amp;"; pagamentos: "&amp;COUNTIF(Pagamentos!$A:$A,A102)))</f>
        <v/>
      </c>
      <c r="G102" s="27"/>
      <c r="H102" s="5"/>
      <c r="J102" s="5"/>
      <c r="K102" s="41"/>
      <c r="L102" s="14"/>
      <c r="M102" s="5"/>
      <c r="N102" s="35"/>
      <c r="O102" s="27"/>
      <c r="P102" s="39" t="str">
        <f aca="false">IF(OR(J102="",K102=""),"",SUMIFS($N:$N,$J:$J,J102,$K:$K,K102))</f>
        <v/>
      </c>
      <c r="Q102" s="32" t="str">
        <f aca="false">IF(OR(J102="",K102=""),"",IF(COUNTIFS($J:$J,J102,$K:$K,"&lt;"&amp;K102)=0,"",_xlfn.MAXIFS($K:$K,$J:$J,J102,$K:$K,"&lt;"&amp;K102)))</f>
        <v/>
      </c>
      <c r="R102" s="39" t="str">
        <f aca="false">IF(Q102="","",SUMIFS($N:$N,$J:$J,J102,$K:$K,Q102))</f>
        <v/>
      </c>
      <c r="S102" s="37" t="str">
        <f aca="false">IF(OR(R102="",R102=0,P102=""),"",P102/R102-1)</f>
        <v/>
      </c>
    </row>
    <row r="103" customFormat="false" ht="15" hidden="false" customHeight="false" outlineLevel="0" collapsed="false">
      <c r="A103" s="27"/>
      <c r="B103" s="5"/>
      <c r="C103" s="35"/>
      <c r="D103" s="5"/>
      <c r="E103" s="5"/>
      <c r="F103" s="19" t="str">
        <f aca="false">IF(A103="","",IF(COUNTIF(Contratos!$A:$A,A103)+COUNTIF(Pagamentos!$A:$A,A103)=0,"não consta","SIM — contratos: "&amp;COUNTIF(Contratos!$A:$A,A103)&amp;"; pagamentos: "&amp;COUNTIF(Pagamentos!$A:$A,A103)))</f>
        <v/>
      </c>
      <c r="G103" s="27"/>
      <c r="H103" s="5"/>
      <c r="J103" s="5"/>
      <c r="K103" s="41"/>
      <c r="L103" s="14"/>
      <c r="M103" s="5"/>
      <c r="N103" s="35"/>
      <c r="O103" s="27"/>
      <c r="P103" s="39" t="str">
        <f aca="false">IF(OR(J103="",K103=""),"",SUMIFS($N:$N,$J:$J,J103,$K:$K,K103))</f>
        <v/>
      </c>
      <c r="Q103" s="32" t="str">
        <f aca="false">IF(OR(J103="",K103=""),"",IF(COUNTIFS($J:$J,J103,$K:$K,"&lt;"&amp;K103)=0,"",_xlfn.MAXIFS($K:$K,$J:$J,J103,$K:$K,"&lt;"&amp;K103)))</f>
        <v/>
      </c>
      <c r="R103" s="39" t="str">
        <f aca="false">IF(Q103="","",SUMIFS($N:$N,$J:$J,J103,$K:$K,Q103))</f>
        <v/>
      </c>
      <c r="S103" s="37" t="str">
        <f aca="false">IF(OR(R103="",R103=0,P103=""),"",P103/R103-1)</f>
        <v/>
      </c>
    </row>
    <row r="104" customFormat="false" ht="15" hidden="false" customHeight="false" outlineLevel="0" collapsed="false">
      <c r="A104" s="27"/>
      <c r="B104" s="5"/>
      <c r="C104" s="35"/>
      <c r="D104" s="5"/>
      <c r="E104" s="5"/>
      <c r="F104" s="19" t="str">
        <f aca="false">IF(A104="","",IF(COUNTIF(Contratos!$A:$A,A104)+COUNTIF(Pagamentos!$A:$A,A104)=0,"não consta","SIM — contratos: "&amp;COUNTIF(Contratos!$A:$A,A104)&amp;"; pagamentos: "&amp;COUNTIF(Pagamentos!$A:$A,A104)))</f>
        <v/>
      </c>
      <c r="G104" s="27"/>
      <c r="H104" s="5"/>
      <c r="J104" s="5"/>
      <c r="K104" s="41"/>
      <c r="L104" s="14"/>
      <c r="M104" s="5"/>
      <c r="N104" s="35"/>
      <c r="O104" s="27"/>
      <c r="P104" s="39" t="str">
        <f aca="false">IF(OR(J104="",K104=""),"",SUMIFS($N:$N,$J:$J,J104,$K:$K,K104))</f>
        <v/>
      </c>
      <c r="Q104" s="32" t="str">
        <f aca="false">IF(OR(J104="",K104=""),"",IF(COUNTIFS($J:$J,J104,$K:$K,"&lt;"&amp;K104)=0,"",_xlfn.MAXIFS($K:$K,$J:$J,J104,$K:$K,"&lt;"&amp;K104)))</f>
        <v/>
      </c>
      <c r="R104" s="39" t="str">
        <f aca="false">IF(Q104="","",SUMIFS($N:$N,$J:$J,J104,$K:$K,Q104))</f>
        <v/>
      </c>
      <c r="S104" s="37" t="str">
        <f aca="false">IF(OR(R104="",R104=0,P104=""),"",P104/R104-1)</f>
        <v/>
      </c>
    </row>
    <row r="105" customFormat="false" ht="15" hidden="false" customHeight="false" outlineLevel="0" collapsed="false">
      <c r="A105" s="27"/>
      <c r="B105" s="5"/>
      <c r="C105" s="35"/>
      <c r="D105" s="5"/>
      <c r="E105" s="5"/>
      <c r="F105" s="19" t="str">
        <f aca="false">IF(A105="","",IF(COUNTIF(Contratos!$A:$A,A105)+COUNTIF(Pagamentos!$A:$A,A105)=0,"não consta","SIM — contratos: "&amp;COUNTIF(Contratos!$A:$A,A105)&amp;"; pagamentos: "&amp;COUNTIF(Pagamentos!$A:$A,A105)))</f>
        <v/>
      </c>
      <c r="G105" s="27"/>
      <c r="H105" s="5"/>
      <c r="J105" s="5"/>
      <c r="K105" s="41"/>
      <c r="L105" s="14"/>
      <c r="M105" s="5"/>
      <c r="N105" s="35"/>
      <c r="O105" s="27"/>
      <c r="P105" s="39" t="str">
        <f aca="false">IF(OR(J105="",K105=""),"",SUMIFS($N:$N,$J:$J,J105,$K:$K,K105))</f>
        <v/>
      </c>
      <c r="Q105" s="32" t="str">
        <f aca="false">IF(OR(J105="",K105=""),"",IF(COUNTIFS($J:$J,J105,$K:$K,"&lt;"&amp;K105)=0,"",_xlfn.MAXIFS($K:$K,$J:$J,J105,$K:$K,"&lt;"&amp;K105)))</f>
        <v/>
      </c>
      <c r="R105" s="39" t="str">
        <f aca="false">IF(Q105="","",SUMIFS($N:$N,$J:$J,J105,$K:$K,Q105))</f>
        <v/>
      </c>
      <c r="S105" s="37" t="str">
        <f aca="false">IF(OR(R105="",R105=0,P105=""),"",P105/R105-1)</f>
        <v/>
      </c>
    </row>
    <row r="106" customFormat="false" ht="15" hidden="false" customHeight="false" outlineLevel="0" collapsed="false">
      <c r="A106" s="27"/>
      <c r="B106" s="5"/>
      <c r="C106" s="35"/>
      <c r="D106" s="5"/>
      <c r="E106" s="5"/>
      <c r="F106" s="19" t="str">
        <f aca="false">IF(A106="","",IF(COUNTIF(Contratos!$A:$A,A106)+COUNTIF(Pagamentos!$A:$A,A106)=0,"não consta","SIM — contratos: "&amp;COUNTIF(Contratos!$A:$A,A106)&amp;"; pagamentos: "&amp;COUNTIF(Pagamentos!$A:$A,A106)))</f>
        <v/>
      </c>
      <c r="G106" s="27"/>
      <c r="H106" s="5"/>
      <c r="J106" s="5"/>
      <c r="K106" s="41"/>
      <c r="L106" s="14"/>
      <c r="M106" s="5"/>
      <c r="N106" s="35"/>
      <c r="O106" s="27"/>
      <c r="P106" s="39" t="str">
        <f aca="false">IF(OR(J106="",K106=""),"",SUMIFS($N:$N,$J:$J,J106,$K:$K,K106))</f>
        <v/>
      </c>
      <c r="Q106" s="32" t="str">
        <f aca="false">IF(OR(J106="",K106=""),"",IF(COUNTIFS($J:$J,J106,$K:$K,"&lt;"&amp;K106)=0,"",_xlfn.MAXIFS($K:$K,$J:$J,J106,$K:$K,"&lt;"&amp;K106)))</f>
        <v/>
      </c>
      <c r="R106" s="39" t="str">
        <f aca="false">IF(Q106="","",SUMIFS($N:$N,$J:$J,J106,$K:$K,Q106))</f>
        <v/>
      </c>
      <c r="S106" s="37" t="str">
        <f aca="false">IF(OR(R106="",R106=0,P106=""),"",P106/R106-1)</f>
        <v/>
      </c>
    </row>
    <row r="107" customFormat="false" ht="15" hidden="false" customHeight="false" outlineLevel="0" collapsed="false">
      <c r="A107" s="27"/>
      <c r="B107" s="5"/>
      <c r="C107" s="35"/>
      <c r="D107" s="5"/>
      <c r="E107" s="5"/>
      <c r="F107" s="19" t="str">
        <f aca="false">IF(A107="","",IF(COUNTIF(Contratos!$A:$A,A107)+COUNTIF(Pagamentos!$A:$A,A107)=0,"não consta","SIM — contratos: "&amp;COUNTIF(Contratos!$A:$A,A107)&amp;"; pagamentos: "&amp;COUNTIF(Pagamentos!$A:$A,A107)))</f>
        <v/>
      </c>
      <c r="G107" s="27"/>
      <c r="H107" s="5"/>
      <c r="J107" s="5"/>
      <c r="K107" s="41"/>
      <c r="L107" s="14"/>
      <c r="M107" s="5"/>
      <c r="N107" s="35"/>
      <c r="O107" s="27"/>
      <c r="P107" s="39" t="str">
        <f aca="false">IF(OR(J107="",K107=""),"",SUMIFS($N:$N,$J:$J,J107,$K:$K,K107))</f>
        <v/>
      </c>
      <c r="Q107" s="32" t="str">
        <f aca="false">IF(OR(J107="",K107=""),"",IF(COUNTIFS($J:$J,J107,$K:$K,"&lt;"&amp;K107)=0,"",_xlfn.MAXIFS($K:$K,$J:$J,J107,$K:$K,"&lt;"&amp;K107)))</f>
        <v/>
      </c>
      <c r="R107" s="39" t="str">
        <f aca="false">IF(Q107="","",SUMIFS($N:$N,$J:$J,J107,$K:$K,Q107))</f>
        <v/>
      </c>
      <c r="S107" s="37" t="str">
        <f aca="false">IF(OR(R107="",R107=0,P107=""),"",P107/R107-1)</f>
        <v/>
      </c>
    </row>
    <row r="108" customFormat="false" ht="15" hidden="false" customHeight="false" outlineLevel="0" collapsed="false">
      <c r="A108" s="27"/>
      <c r="B108" s="5"/>
      <c r="C108" s="35"/>
      <c r="D108" s="5"/>
      <c r="E108" s="5"/>
      <c r="F108" s="19" t="str">
        <f aca="false">IF(A108="","",IF(COUNTIF(Contratos!$A:$A,A108)+COUNTIF(Pagamentos!$A:$A,A108)=0,"não consta","SIM — contratos: "&amp;COUNTIF(Contratos!$A:$A,A108)&amp;"; pagamentos: "&amp;COUNTIF(Pagamentos!$A:$A,A108)))</f>
        <v/>
      </c>
      <c r="G108" s="27"/>
      <c r="H108" s="5"/>
      <c r="J108" s="5"/>
      <c r="K108" s="41"/>
      <c r="L108" s="14"/>
      <c r="M108" s="5"/>
      <c r="N108" s="35"/>
      <c r="O108" s="27"/>
      <c r="P108" s="39" t="str">
        <f aca="false">IF(OR(J108="",K108=""),"",SUMIFS($N:$N,$J:$J,J108,$K:$K,K108))</f>
        <v/>
      </c>
      <c r="Q108" s="32" t="str">
        <f aca="false">IF(OR(J108="",K108=""),"",IF(COUNTIFS($J:$J,J108,$K:$K,"&lt;"&amp;K108)=0,"",_xlfn.MAXIFS($K:$K,$J:$J,J108,$K:$K,"&lt;"&amp;K108)))</f>
        <v/>
      </c>
      <c r="R108" s="39" t="str">
        <f aca="false">IF(Q108="","",SUMIFS($N:$N,$J:$J,J108,$K:$K,Q108))</f>
        <v/>
      </c>
      <c r="S108" s="37" t="str">
        <f aca="false">IF(OR(R108="",R108=0,P108=""),"",P108/R108-1)</f>
        <v/>
      </c>
    </row>
    <row r="109" customFormat="false" ht="15" hidden="false" customHeight="false" outlineLevel="0" collapsed="false">
      <c r="A109" s="27"/>
      <c r="B109" s="5"/>
      <c r="C109" s="35"/>
      <c r="D109" s="5"/>
      <c r="E109" s="5"/>
      <c r="F109" s="19" t="str">
        <f aca="false">IF(A109="","",IF(COUNTIF(Contratos!$A:$A,A109)+COUNTIF(Pagamentos!$A:$A,A109)=0,"não consta","SIM — contratos: "&amp;COUNTIF(Contratos!$A:$A,A109)&amp;"; pagamentos: "&amp;COUNTIF(Pagamentos!$A:$A,A109)))</f>
        <v/>
      </c>
      <c r="G109" s="27"/>
      <c r="H109" s="5"/>
      <c r="J109" s="5"/>
      <c r="K109" s="41"/>
      <c r="L109" s="14"/>
      <c r="M109" s="5"/>
      <c r="N109" s="35"/>
      <c r="O109" s="27"/>
      <c r="P109" s="39" t="str">
        <f aca="false">IF(OR(J109="",K109=""),"",SUMIFS($N:$N,$J:$J,J109,$K:$K,K109))</f>
        <v/>
      </c>
      <c r="Q109" s="32" t="str">
        <f aca="false">IF(OR(J109="",K109=""),"",IF(COUNTIFS($J:$J,J109,$K:$K,"&lt;"&amp;K109)=0,"",_xlfn.MAXIFS($K:$K,$J:$J,J109,$K:$K,"&lt;"&amp;K109)))</f>
        <v/>
      </c>
      <c r="R109" s="39" t="str">
        <f aca="false">IF(Q109="","",SUMIFS($N:$N,$J:$J,J109,$K:$K,Q109))</f>
        <v/>
      </c>
      <c r="S109" s="37" t="str">
        <f aca="false">IF(OR(R109="",R109=0,P109=""),"",P109/R109-1)</f>
        <v/>
      </c>
    </row>
    <row r="110" customFormat="false" ht="15" hidden="false" customHeight="false" outlineLevel="0" collapsed="false">
      <c r="A110" s="27"/>
      <c r="B110" s="5"/>
      <c r="C110" s="35"/>
      <c r="D110" s="5"/>
      <c r="E110" s="5"/>
      <c r="F110" s="19" t="str">
        <f aca="false">IF(A110="","",IF(COUNTIF(Contratos!$A:$A,A110)+COUNTIF(Pagamentos!$A:$A,A110)=0,"não consta","SIM — contratos: "&amp;COUNTIF(Contratos!$A:$A,A110)&amp;"; pagamentos: "&amp;COUNTIF(Pagamentos!$A:$A,A110)))</f>
        <v/>
      </c>
      <c r="G110" s="27"/>
      <c r="H110" s="5"/>
      <c r="J110" s="5"/>
      <c r="K110" s="41"/>
      <c r="L110" s="14"/>
      <c r="M110" s="5"/>
      <c r="N110" s="35"/>
      <c r="O110" s="27"/>
      <c r="P110" s="39" t="str">
        <f aca="false">IF(OR(J110="",K110=""),"",SUMIFS($N:$N,$J:$J,J110,$K:$K,K110))</f>
        <v/>
      </c>
      <c r="Q110" s="32" t="str">
        <f aca="false">IF(OR(J110="",K110=""),"",IF(COUNTIFS($J:$J,J110,$K:$K,"&lt;"&amp;K110)=0,"",_xlfn.MAXIFS($K:$K,$J:$J,J110,$K:$K,"&lt;"&amp;K110)))</f>
        <v/>
      </c>
      <c r="R110" s="39" t="str">
        <f aca="false">IF(Q110="","",SUMIFS($N:$N,$J:$J,J110,$K:$K,Q110))</f>
        <v/>
      </c>
      <c r="S110" s="37" t="str">
        <f aca="false">IF(OR(R110="",R110=0,P110=""),"",P110/R110-1)</f>
        <v/>
      </c>
    </row>
    <row r="111" customFormat="false" ht="15" hidden="false" customHeight="false" outlineLevel="0" collapsed="false">
      <c r="A111" s="27"/>
      <c r="B111" s="5"/>
      <c r="C111" s="35"/>
      <c r="D111" s="5"/>
      <c r="E111" s="5"/>
      <c r="F111" s="19" t="str">
        <f aca="false">IF(A111="","",IF(COUNTIF(Contratos!$A:$A,A111)+COUNTIF(Pagamentos!$A:$A,A111)=0,"não consta","SIM — contratos: "&amp;COUNTIF(Contratos!$A:$A,A111)&amp;"; pagamentos: "&amp;COUNTIF(Pagamentos!$A:$A,A111)))</f>
        <v/>
      </c>
      <c r="G111" s="27"/>
      <c r="H111" s="5"/>
      <c r="J111" s="5"/>
      <c r="K111" s="41"/>
      <c r="L111" s="14"/>
      <c r="M111" s="5"/>
      <c r="N111" s="35"/>
      <c r="O111" s="27"/>
      <c r="P111" s="39" t="str">
        <f aca="false">IF(OR(J111="",K111=""),"",SUMIFS($N:$N,$J:$J,J111,$K:$K,K111))</f>
        <v/>
      </c>
      <c r="Q111" s="32" t="str">
        <f aca="false">IF(OR(J111="",K111=""),"",IF(COUNTIFS($J:$J,J111,$K:$K,"&lt;"&amp;K111)=0,"",_xlfn.MAXIFS($K:$K,$J:$J,J111,$K:$K,"&lt;"&amp;K111)))</f>
        <v/>
      </c>
      <c r="R111" s="39" t="str">
        <f aca="false">IF(Q111="","",SUMIFS($N:$N,$J:$J,J111,$K:$K,Q111))</f>
        <v/>
      </c>
      <c r="S111" s="37" t="str">
        <f aca="false">IF(OR(R111="",R111=0,P111=""),"",P111/R111-1)</f>
        <v/>
      </c>
    </row>
    <row r="112" customFormat="false" ht="15" hidden="false" customHeight="false" outlineLevel="0" collapsed="false">
      <c r="A112" s="27"/>
      <c r="B112" s="5"/>
      <c r="C112" s="35"/>
      <c r="D112" s="5"/>
      <c r="E112" s="5"/>
      <c r="F112" s="19" t="str">
        <f aca="false">IF(A112="","",IF(COUNTIF(Contratos!$A:$A,A112)+COUNTIF(Pagamentos!$A:$A,A112)=0,"não consta","SIM — contratos: "&amp;COUNTIF(Contratos!$A:$A,A112)&amp;"; pagamentos: "&amp;COUNTIF(Pagamentos!$A:$A,A112)))</f>
        <v/>
      </c>
      <c r="G112" s="27"/>
      <c r="H112" s="5"/>
      <c r="J112" s="5"/>
      <c r="K112" s="41"/>
      <c r="L112" s="14"/>
      <c r="M112" s="5"/>
      <c r="N112" s="35"/>
      <c r="O112" s="27"/>
      <c r="P112" s="39" t="str">
        <f aca="false">IF(OR(J112="",K112=""),"",SUMIFS($N:$N,$J:$J,J112,$K:$K,K112))</f>
        <v/>
      </c>
      <c r="Q112" s="32" t="str">
        <f aca="false">IF(OR(J112="",K112=""),"",IF(COUNTIFS($J:$J,J112,$K:$K,"&lt;"&amp;K112)=0,"",_xlfn.MAXIFS($K:$K,$J:$J,J112,$K:$K,"&lt;"&amp;K112)))</f>
        <v/>
      </c>
      <c r="R112" s="39" t="str">
        <f aca="false">IF(Q112="","",SUMIFS($N:$N,$J:$J,J112,$K:$K,Q112))</f>
        <v/>
      </c>
      <c r="S112" s="37" t="str">
        <f aca="false">IF(OR(R112="",R112=0,P112=""),"",P112/R112-1)</f>
        <v/>
      </c>
    </row>
    <row r="113" customFormat="false" ht="15" hidden="false" customHeight="false" outlineLevel="0" collapsed="false">
      <c r="A113" s="27"/>
      <c r="B113" s="5"/>
      <c r="C113" s="35"/>
      <c r="D113" s="5"/>
      <c r="E113" s="5"/>
      <c r="F113" s="19" t="str">
        <f aca="false">IF(A113="","",IF(COUNTIF(Contratos!$A:$A,A113)+COUNTIF(Pagamentos!$A:$A,A113)=0,"não consta","SIM — contratos: "&amp;COUNTIF(Contratos!$A:$A,A113)&amp;"; pagamentos: "&amp;COUNTIF(Pagamentos!$A:$A,A113)))</f>
        <v/>
      </c>
      <c r="G113" s="27"/>
      <c r="H113" s="5"/>
      <c r="J113" s="5"/>
      <c r="K113" s="41"/>
      <c r="L113" s="14"/>
      <c r="M113" s="5"/>
      <c r="N113" s="35"/>
      <c r="O113" s="27"/>
      <c r="P113" s="39" t="str">
        <f aca="false">IF(OR(J113="",K113=""),"",SUMIFS($N:$N,$J:$J,J113,$K:$K,K113))</f>
        <v/>
      </c>
      <c r="Q113" s="32" t="str">
        <f aca="false">IF(OR(J113="",K113=""),"",IF(COUNTIFS($J:$J,J113,$K:$K,"&lt;"&amp;K113)=0,"",_xlfn.MAXIFS($K:$K,$J:$J,J113,$K:$K,"&lt;"&amp;K113)))</f>
        <v/>
      </c>
      <c r="R113" s="39" t="str">
        <f aca="false">IF(Q113="","",SUMIFS($N:$N,$J:$J,J113,$K:$K,Q113))</f>
        <v/>
      </c>
      <c r="S113" s="37" t="str">
        <f aca="false">IF(OR(R113="",R113=0,P113=""),"",P113/R113-1)</f>
        <v/>
      </c>
    </row>
    <row r="114" customFormat="false" ht="15" hidden="false" customHeight="false" outlineLevel="0" collapsed="false">
      <c r="A114" s="27"/>
      <c r="B114" s="5"/>
      <c r="C114" s="35"/>
      <c r="D114" s="5"/>
      <c r="E114" s="5"/>
      <c r="F114" s="19" t="str">
        <f aca="false">IF(A114="","",IF(COUNTIF(Contratos!$A:$A,A114)+COUNTIF(Pagamentos!$A:$A,A114)=0,"não consta","SIM — contratos: "&amp;COUNTIF(Contratos!$A:$A,A114)&amp;"; pagamentos: "&amp;COUNTIF(Pagamentos!$A:$A,A114)))</f>
        <v/>
      </c>
      <c r="G114" s="27"/>
      <c r="H114" s="5"/>
      <c r="J114" s="5"/>
      <c r="K114" s="41"/>
      <c r="L114" s="14"/>
      <c r="M114" s="5"/>
      <c r="N114" s="35"/>
      <c r="O114" s="27"/>
      <c r="P114" s="39" t="str">
        <f aca="false">IF(OR(J114="",K114=""),"",SUMIFS($N:$N,$J:$J,J114,$K:$K,K114))</f>
        <v/>
      </c>
      <c r="Q114" s="32" t="str">
        <f aca="false">IF(OR(J114="",K114=""),"",IF(COUNTIFS($J:$J,J114,$K:$K,"&lt;"&amp;K114)=0,"",_xlfn.MAXIFS($K:$K,$J:$J,J114,$K:$K,"&lt;"&amp;K114)))</f>
        <v/>
      </c>
      <c r="R114" s="39" t="str">
        <f aca="false">IF(Q114="","",SUMIFS($N:$N,$J:$J,J114,$K:$K,Q114))</f>
        <v/>
      </c>
      <c r="S114" s="37" t="str">
        <f aca="false">IF(OR(R114="",R114=0,P114=""),"",P114/R114-1)</f>
        <v/>
      </c>
    </row>
    <row r="115" customFormat="false" ht="15" hidden="false" customHeight="false" outlineLevel="0" collapsed="false">
      <c r="A115" s="27"/>
      <c r="B115" s="5"/>
      <c r="C115" s="35"/>
      <c r="D115" s="5"/>
      <c r="E115" s="5"/>
      <c r="F115" s="19" t="str">
        <f aca="false">IF(A115="","",IF(COUNTIF(Contratos!$A:$A,A115)+COUNTIF(Pagamentos!$A:$A,A115)=0,"não consta","SIM — contratos: "&amp;COUNTIF(Contratos!$A:$A,A115)&amp;"; pagamentos: "&amp;COUNTIF(Pagamentos!$A:$A,A115)))</f>
        <v/>
      </c>
      <c r="G115" s="27"/>
      <c r="H115" s="5"/>
      <c r="J115" s="5"/>
      <c r="K115" s="41"/>
      <c r="L115" s="14"/>
      <c r="M115" s="5"/>
      <c r="N115" s="35"/>
      <c r="O115" s="27"/>
      <c r="P115" s="39" t="str">
        <f aca="false">IF(OR(J115="",K115=""),"",SUMIFS($N:$N,$J:$J,J115,$K:$K,K115))</f>
        <v/>
      </c>
      <c r="Q115" s="32" t="str">
        <f aca="false">IF(OR(J115="",K115=""),"",IF(COUNTIFS($J:$J,J115,$K:$K,"&lt;"&amp;K115)=0,"",_xlfn.MAXIFS($K:$K,$J:$J,J115,$K:$K,"&lt;"&amp;K115)))</f>
        <v/>
      </c>
      <c r="R115" s="39" t="str">
        <f aca="false">IF(Q115="","",SUMIFS($N:$N,$J:$J,J115,$K:$K,Q115))</f>
        <v/>
      </c>
      <c r="S115" s="37" t="str">
        <f aca="false">IF(OR(R115="",R115=0,P115=""),"",P115/R115-1)</f>
        <v/>
      </c>
    </row>
    <row r="116" customFormat="false" ht="15" hidden="false" customHeight="false" outlineLevel="0" collapsed="false">
      <c r="A116" s="27"/>
      <c r="B116" s="5"/>
      <c r="C116" s="35"/>
      <c r="D116" s="5"/>
      <c r="E116" s="5"/>
      <c r="F116" s="19" t="str">
        <f aca="false">IF(A116="","",IF(COUNTIF(Contratos!$A:$A,A116)+COUNTIF(Pagamentos!$A:$A,A116)=0,"não consta","SIM — contratos: "&amp;COUNTIF(Contratos!$A:$A,A116)&amp;"; pagamentos: "&amp;COUNTIF(Pagamentos!$A:$A,A116)))</f>
        <v/>
      </c>
      <c r="G116" s="27"/>
      <c r="H116" s="5"/>
      <c r="J116" s="5"/>
      <c r="K116" s="41"/>
      <c r="L116" s="14"/>
      <c r="M116" s="5"/>
      <c r="N116" s="35"/>
      <c r="O116" s="27"/>
      <c r="P116" s="39" t="str">
        <f aca="false">IF(OR(J116="",K116=""),"",SUMIFS($N:$N,$J:$J,J116,$K:$K,K116))</f>
        <v/>
      </c>
      <c r="Q116" s="32" t="str">
        <f aca="false">IF(OR(J116="",K116=""),"",IF(COUNTIFS($J:$J,J116,$K:$K,"&lt;"&amp;K116)=0,"",_xlfn.MAXIFS($K:$K,$J:$J,J116,$K:$K,"&lt;"&amp;K116)))</f>
        <v/>
      </c>
      <c r="R116" s="39" t="str">
        <f aca="false">IF(Q116="","",SUMIFS($N:$N,$J:$J,J116,$K:$K,Q116))</f>
        <v/>
      </c>
      <c r="S116" s="37" t="str">
        <f aca="false">IF(OR(R116="",R116=0,P116=""),"",P116/R116-1)</f>
        <v/>
      </c>
    </row>
    <row r="117" customFormat="false" ht="15" hidden="false" customHeight="false" outlineLevel="0" collapsed="false">
      <c r="A117" s="27"/>
      <c r="B117" s="5"/>
      <c r="C117" s="35"/>
      <c r="D117" s="5"/>
      <c r="E117" s="5"/>
      <c r="F117" s="19" t="str">
        <f aca="false">IF(A117="","",IF(COUNTIF(Contratos!$A:$A,A117)+COUNTIF(Pagamentos!$A:$A,A117)=0,"não consta","SIM — contratos: "&amp;COUNTIF(Contratos!$A:$A,A117)&amp;"; pagamentos: "&amp;COUNTIF(Pagamentos!$A:$A,A117)))</f>
        <v/>
      </c>
      <c r="G117" s="27"/>
      <c r="H117" s="5"/>
      <c r="J117" s="5"/>
      <c r="K117" s="41"/>
      <c r="L117" s="14"/>
      <c r="M117" s="5"/>
      <c r="N117" s="35"/>
      <c r="O117" s="27"/>
      <c r="P117" s="39" t="str">
        <f aca="false">IF(OR(J117="",K117=""),"",SUMIFS($N:$N,$J:$J,J117,$K:$K,K117))</f>
        <v/>
      </c>
      <c r="Q117" s="32" t="str">
        <f aca="false">IF(OR(J117="",K117=""),"",IF(COUNTIFS($J:$J,J117,$K:$K,"&lt;"&amp;K117)=0,"",_xlfn.MAXIFS($K:$K,$J:$J,J117,$K:$K,"&lt;"&amp;K117)))</f>
        <v/>
      </c>
      <c r="R117" s="39" t="str">
        <f aca="false">IF(Q117="","",SUMIFS($N:$N,$J:$J,J117,$K:$K,Q117))</f>
        <v/>
      </c>
      <c r="S117" s="37" t="str">
        <f aca="false">IF(OR(R117="",R117=0,P117=""),"",P117/R117-1)</f>
        <v/>
      </c>
    </row>
    <row r="118" customFormat="false" ht="15" hidden="false" customHeight="false" outlineLevel="0" collapsed="false">
      <c r="A118" s="27"/>
      <c r="B118" s="5"/>
      <c r="C118" s="35"/>
      <c r="D118" s="5"/>
      <c r="E118" s="5"/>
      <c r="F118" s="19" t="str">
        <f aca="false">IF(A118="","",IF(COUNTIF(Contratos!$A:$A,A118)+COUNTIF(Pagamentos!$A:$A,A118)=0,"não consta","SIM — contratos: "&amp;COUNTIF(Contratos!$A:$A,A118)&amp;"; pagamentos: "&amp;COUNTIF(Pagamentos!$A:$A,A118)))</f>
        <v/>
      </c>
      <c r="G118" s="27"/>
      <c r="H118" s="5"/>
      <c r="J118" s="5"/>
      <c r="K118" s="41"/>
      <c r="L118" s="14"/>
      <c r="M118" s="5"/>
      <c r="N118" s="35"/>
      <c r="O118" s="27"/>
      <c r="P118" s="39" t="str">
        <f aca="false">IF(OR(J118="",K118=""),"",SUMIFS($N:$N,$J:$J,J118,$K:$K,K118))</f>
        <v/>
      </c>
      <c r="Q118" s="32" t="str">
        <f aca="false">IF(OR(J118="",K118=""),"",IF(COUNTIFS($J:$J,J118,$K:$K,"&lt;"&amp;K118)=0,"",_xlfn.MAXIFS($K:$K,$J:$J,J118,$K:$K,"&lt;"&amp;K118)))</f>
        <v/>
      </c>
      <c r="R118" s="39" t="str">
        <f aca="false">IF(Q118="","",SUMIFS($N:$N,$J:$J,J118,$K:$K,Q118))</f>
        <v/>
      </c>
      <c r="S118" s="37" t="str">
        <f aca="false">IF(OR(R118="",R118=0,P118=""),"",P118/R118-1)</f>
        <v/>
      </c>
    </row>
    <row r="119" customFormat="false" ht="15" hidden="false" customHeight="false" outlineLevel="0" collapsed="false">
      <c r="A119" s="27"/>
      <c r="B119" s="5"/>
      <c r="C119" s="35"/>
      <c r="D119" s="5"/>
      <c r="E119" s="5"/>
      <c r="F119" s="19" t="str">
        <f aca="false">IF(A119="","",IF(COUNTIF(Contratos!$A:$A,A119)+COUNTIF(Pagamentos!$A:$A,A119)=0,"não consta","SIM — contratos: "&amp;COUNTIF(Contratos!$A:$A,A119)&amp;"; pagamentos: "&amp;COUNTIF(Pagamentos!$A:$A,A119)))</f>
        <v/>
      </c>
      <c r="G119" s="27"/>
      <c r="H119" s="5"/>
      <c r="J119" s="5"/>
      <c r="K119" s="41"/>
      <c r="L119" s="14"/>
      <c r="M119" s="5"/>
      <c r="N119" s="35"/>
      <c r="O119" s="27"/>
      <c r="P119" s="39" t="str">
        <f aca="false">IF(OR(J119="",K119=""),"",SUMIFS($N:$N,$J:$J,J119,$K:$K,K119))</f>
        <v/>
      </c>
      <c r="Q119" s="32" t="str">
        <f aca="false">IF(OR(J119="",K119=""),"",IF(COUNTIFS($J:$J,J119,$K:$K,"&lt;"&amp;K119)=0,"",_xlfn.MAXIFS($K:$K,$J:$J,J119,$K:$K,"&lt;"&amp;K119)))</f>
        <v/>
      </c>
      <c r="R119" s="39" t="str">
        <f aca="false">IF(Q119="","",SUMIFS($N:$N,$J:$J,J119,$K:$K,Q119))</f>
        <v/>
      </c>
      <c r="S119" s="37" t="str">
        <f aca="false">IF(OR(R119="",R119=0,P119=""),"",P119/R119-1)</f>
        <v/>
      </c>
    </row>
    <row r="120" customFormat="false" ht="15" hidden="false" customHeight="false" outlineLevel="0" collapsed="false">
      <c r="A120" s="27"/>
      <c r="B120" s="5"/>
      <c r="C120" s="35"/>
      <c r="D120" s="5"/>
      <c r="E120" s="5"/>
      <c r="F120" s="19" t="str">
        <f aca="false">IF(A120="","",IF(COUNTIF(Contratos!$A:$A,A120)+COUNTIF(Pagamentos!$A:$A,A120)=0,"não consta","SIM — contratos: "&amp;COUNTIF(Contratos!$A:$A,A120)&amp;"; pagamentos: "&amp;COUNTIF(Pagamentos!$A:$A,A120)))</f>
        <v/>
      </c>
      <c r="G120" s="27"/>
      <c r="H120" s="5"/>
      <c r="J120" s="5"/>
      <c r="K120" s="41"/>
      <c r="L120" s="14"/>
      <c r="M120" s="5"/>
      <c r="N120" s="35"/>
      <c r="O120" s="27"/>
      <c r="P120" s="39" t="str">
        <f aca="false">IF(OR(J120="",K120=""),"",SUMIFS($N:$N,$J:$J,J120,$K:$K,K120))</f>
        <v/>
      </c>
      <c r="Q120" s="32" t="str">
        <f aca="false">IF(OR(J120="",K120=""),"",IF(COUNTIFS($J:$J,J120,$K:$K,"&lt;"&amp;K120)=0,"",_xlfn.MAXIFS($K:$K,$J:$J,J120,$K:$K,"&lt;"&amp;K120)))</f>
        <v/>
      </c>
      <c r="R120" s="39" t="str">
        <f aca="false">IF(Q120="","",SUMIFS($N:$N,$J:$J,J120,$K:$K,Q120))</f>
        <v/>
      </c>
      <c r="S120" s="37" t="str">
        <f aca="false">IF(OR(R120="",R120=0,P120=""),"",P120/R120-1)</f>
        <v/>
      </c>
    </row>
    <row r="121" customFormat="false" ht="15" hidden="false" customHeight="false" outlineLevel="0" collapsed="false">
      <c r="A121" s="27"/>
      <c r="B121" s="5"/>
      <c r="C121" s="35"/>
      <c r="D121" s="5"/>
      <c r="E121" s="5"/>
      <c r="F121" s="19" t="str">
        <f aca="false">IF(A121="","",IF(COUNTIF(Contratos!$A:$A,A121)+COUNTIF(Pagamentos!$A:$A,A121)=0,"não consta","SIM — contratos: "&amp;COUNTIF(Contratos!$A:$A,A121)&amp;"; pagamentos: "&amp;COUNTIF(Pagamentos!$A:$A,A121)))</f>
        <v/>
      </c>
      <c r="G121" s="27"/>
      <c r="H121" s="5"/>
      <c r="J121" s="5"/>
      <c r="K121" s="41"/>
      <c r="L121" s="14"/>
      <c r="M121" s="5"/>
      <c r="N121" s="35"/>
      <c r="O121" s="27"/>
      <c r="P121" s="39" t="str">
        <f aca="false">IF(OR(J121="",K121=""),"",SUMIFS($N:$N,$J:$J,J121,$K:$K,K121))</f>
        <v/>
      </c>
      <c r="Q121" s="32" t="str">
        <f aca="false">IF(OR(J121="",K121=""),"",IF(COUNTIFS($J:$J,J121,$K:$K,"&lt;"&amp;K121)=0,"",_xlfn.MAXIFS($K:$K,$J:$J,J121,$K:$K,"&lt;"&amp;K121)))</f>
        <v/>
      </c>
      <c r="R121" s="39" t="str">
        <f aca="false">IF(Q121="","",SUMIFS($N:$N,$J:$J,J121,$K:$K,Q121))</f>
        <v/>
      </c>
      <c r="S121" s="37" t="str">
        <f aca="false">IF(OR(R121="",R121=0,P121=""),"",P121/R121-1)</f>
        <v/>
      </c>
    </row>
    <row r="122" customFormat="false" ht="15" hidden="false" customHeight="false" outlineLevel="0" collapsed="false">
      <c r="A122" s="27"/>
      <c r="B122" s="5"/>
      <c r="C122" s="35"/>
      <c r="D122" s="5"/>
      <c r="E122" s="5"/>
      <c r="F122" s="19" t="str">
        <f aca="false">IF(A122="","",IF(COUNTIF(Contratos!$A:$A,A122)+COUNTIF(Pagamentos!$A:$A,A122)=0,"não consta","SIM — contratos: "&amp;COUNTIF(Contratos!$A:$A,A122)&amp;"; pagamentos: "&amp;COUNTIF(Pagamentos!$A:$A,A122)))</f>
        <v/>
      </c>
      <c r="G122" s="27"/>
      <c r="H122" s="5"/>
      <c r="J122" s="5"/>
      <c r="K122" s="41"/>
      <c r="L122" s="14"/>
      <c r="M122" s="5"/>
      <c r="N122" s="35"/>
      <c r="O122" s="27"/>
      <c r="P122" s="39" t="str">
        <f aca="false">IF(OR(J122="",K122=""),"",SUMIFS($N:$N,$J:$J,J122,$K:$K,K122))</f>
        <v/>
      </c>
      <c r="Q122" s="32" t="str">
        <f aca="false">IF(OR(J122="",K122=""),"",IF(COUNTIFS($J:$J,J122,$K:$K,"&lt;"&amp;K122)=0,"",_xlfn.MAXIFS($K:$K,$J:$J,J122,$K:$K,"&lt;"&amp;K122)))</f>
        <v/>
      </c>
      <c r="R122" s="39" t="str">
        <f aca="false">IF(Q122="","",SUMIFS($N:$N,$J:$J,J122,$K:$K,Q122))</f>
        <v/>
      </c>
      <c r="S122" s="37" t="str">
        <f aca="false">IF(OR(R122="",R122=0,P122=""),"",P122/R122-1)</f>
        <v/>
      </c>
    </row>
    <row r="123" customFormat="false" ht="15" hidden="false" customHeight="false" outlineLevel="0" collapsed="false">
      <c r="A123" s="27"/>
      <c r="B123" s="5"/>
      <c r="C123" s="35"/>
      <c r="D123" s="5"/>
      <c r="E123" s="5"/>
      <c r="F123" s="19" t="str">
        <f aca="false">IF(A123="","",IF(COUNTIF(Contratos!$A:$A,A123)+COUNTIF(Pagamentos!$A:$A,A123)=0,"não consta","SIM — contratos: "&amp;COUNTIF(Contratos!$A:$A,A123)&amp;"; pagamentos: "&amp;COUNTIF(Pagamentos!$A:$A,A123)))</f>
        <v/>
      </c>
      <c r="G123" s="27"/>
      <c r="H123" s="5"/>
      <c r="J123" s="5"/>
      <c r="K123" s="41"/>
      <c r="L123" s="14"/>
      <c r="M123" s="5"/>
      <c r="N123" s="35"/>
      <c r="O123" s="27"/>
      <c r="P123" s="39" t="str">
        <f aca="false">IF(OR(J123="",K123=""),"",SUMIFS($N:$N,$J:$J,J123,$K:$K,K123))</f>
        <v/>
      </c>
      <c r="Q123" s="32" t="str">
        <f aca="false">IF(OR(J123="",K123=""),"",IF(COUNTIFS($J:$J,J123,$K:$K,"&lt;"&amp;K123)=0,"",_xlfn.MAXIFS($K:$K,$J:$J,J123,$K:$K,"&lt;"&amp;K123)))</f>
        <v/>
      </c>
      <c r="R123" s="39" t="str">
        <f aca="false">IF(Q123="","",SUMIFS($N:$N,$J:$J,J123,$K:$K,Q123))</f>
        <v/>
      </c>
      <c r="S123" s="37" t="str">
        <f aca="false">IF(OR(R123="",R123=0,P123=""),"",P123/R123-1)</f>
        <v/>
      </c>
    </row>
    <row r="124" customFormat="false" ht="15" hidden="false" customHeight="false" outlineLevel="0" collapsed="false">
      <c r="A124" s="27"/>
      <c r="B124" s="5"/>
      <c r="C124" s="35"/>
      <c r="D124" s="5"/>
      <c r="E124" s="5"/>
      <c r="F124" s="19" t="str">
        <f aca="false">IF(A124="","",IF(COUNTIF(Contratos!$A:$A,A124)+COUNTIF(Pagamentos!$A:$A,A124)=0,"não consta","SIM — contratos: "&amp;COUNTIF(Contratos!$A:$A,A124)&amp;"; pagamentos: "&amp;COUNTIF(Pagamentos!$A:$A,A124)))</f>
        <v/>
      </c>
      <c r="G124" s="27"/>
      <c r="H124" s="5"/>
      <c r="J124" s="5"/>
      <c r="K124" s="41"/>
      <c r="L124" s="14"/>
      <c r="M124" s="5"/>
      <c r="N124" s="35"/>
      <c r="O124" s="27"/>
      <c r="P124" s="39" t="str">
        <f aca="false">IF(OR(J124="",K124=""),"",SUMIFS($N:$N,$J:$J,J124,$K:$K,K124))</f>
        <v/>
      </c>
      <c r="Q124" s="32" t="str">
        <f aca="false">IF(OR(J124="",K124=""),"",IF(COUNTIFS($J:$J,J124,$K:$K,"&lt;"&amp;K124)=0,"",_xlfn.MAXIFS($K:$K,$J:$J,J124,$K:$K,"&lt;"&amp;K124)))</f>
        <v/>
      </c>
      <c r="R124" s="39" t="str">
        <f aca="false">IF(Q124="","",SUMIFS($N:$N,$J:$J,J124,$K:$K,Q124))</f>
        <v/>
      </c>
      <c r="S124" s="37" t="str">
        <f aca="false">IF(OR(R124="",R124=0,P124=""),"",P124/R124-1)</f>
        <v/>
      </c>
    </row>
    <row r="125" customFormat="false" ht="15" hidden="false" customHeight="false" outlineLevel="0" collapsed="false">
      <c r="A125" s="27"/>
      <c r="B125" s="5"/>
      <c r="C125" s="35"/>
      <c r="D125" s="5"/>
      <c r="E125" s="5"/>
      <c r="F125" s="19" t="str">
        <f aca="false">IF(A125="","",IF(COUNTIF(Contratos!$A:$A,A125)+COUNTIF(Pagamentos!$A:$A,A125)=0,"não consta","SIM — contratos: "&amp;COUNTIF(Contratos!$A:$A,A125)&amp;"; pagamentos: "&amp;COUNTIF(Pagamentos!$A:$A,A125)))</f>
        <v/>
      </c>
      <c r="G125" s="27"/>
      <c r="H125" s="5"/>
      <c r="J125" s="5"/>
      <c r="K125" s="41"/>
      <c r="L125" s="14"/>
      <c r="M125" s="5"/>
      <c r="N125" s="35"/>
      <c r="O125" s="27"/>
      <c r="P125" s="39" t="str">
        <f aca="false">IF(OR(J125="",K125=""),"",SUMIFS($N:$N,$J:$J,J125,$K:$K,K125))</f>
        <v/>
      </c>
      <c r="Q125" s="32" t="str">
        <f aca="false">IF(OR(J125="",K125=""),"",IF(COUNTIFS($J:$J,J125,$K:$K,"&lt;"&amp;K125)=0,"",_xlfn.MAXIFS($K:$K,$J:$J,J125,$K:$K,"&lt;"&amp;K125)))</f>
        <v/>
      </c>
      <c r="R125" s="39" t="str">
        <f aca="false">IF(Q125="","",SUMIFS($N:$N,$J:$J,J125,$K:$K,Q125))</f>
        <v/>
      </c>
      <c r="S125" s="37" t="str">
        <f aca="false">IF(OR(R125="",R125=0,P125=""),"",P125/R125-1)</f>
        <v/>
      </c>
    </row>
    <row r="126" customFormat="false" ht="15" hidden="false" customHeight="false" outlineLevel="0" collapsed="false">
      <c r="A126" s="27"/>
      <c r="B126" s="5"/>
      <c r="C126" s="35"/>
      <c r="D126" s="5"/>
      <c r="E126" s="5"/>
      <c r="F126" s="19" t="str">
        <f aca="false">IF(A126="","",IF(COUNTIF(Contratos!$A:$A,A126)+COUNTIF(Pagamentos!$A:$A,A126)=0,"não consta","SIM — contratos: "&amp;COUNTIF(Contratos!$A:$A,A126)&amp;"; pagamentos: "&amp;COUNTIF(Pagamentos!$A:$A,A126)))</f>
        <v/>
      </c>
      <c r="G126" s="27"/>
      <c r="H126" s="5"/>
      <c r="J126" s="5"/>
      <c r="K126" s="41"/>
      <c r="L126" s="14"/>
      <c r="M126" s="5"/>
      <c r="N126" s="35"/>
      <c r="O126" s="27"/>
      <c r="P126" s="39" t="str">
        <f aca="false">IF(OR(J126="",K126=""),"",SUMIFS($N:$N,$J:$J,J126,$K:$K,K126))</f>
        <v/>
      </c>
      <c r="Q126" s="32" t="str">
        <f aca="false">IF(OR(J126="",K126=""),"",IF(COUNTIFS($J:$J,J126,$K:$K,"&lt;"&amp;K126)=0,"",_xlfn.MAXIFS($K:$K,$J:$J,J126,$K:$K,"&lt;"&amp;K126)))</f>
        <v/>
      </c>
      <c r="R126" s="39" t="str">
        <f aca="false">IF(Q126="","",SUMIFS($N:$N,$J:$J,J126,$K:$K,Q126))</f>
        <v/>
      </c>
      <c r="S126" s="37" t="str">
        <f aca="false">IF(OR(R126="",R126=0,P126=""),"",P126/R126-1)</f>
        <v/>
      </c>
    </row>
    <row r="127" customFormat="false" ht="15" hidden="false" customHeight="false" outlineLevel="0" collapsed="false">
      <c r="A127" s="27"/>
      <c r="B127" s="5"/>
      <c r="C127" s="35"/>
      <c r="D127" s="5"/>
      <c r="E127" s="5"/>
      <c r="F127" s="19" t="str">
        <f aca="false">IF(A127="","",IF(COUNTIF(Contratos!$A:$A,A127)+COUNTIF(Pagamentos!$A:$A,A127)=0,"não consta","SIM — contratos: "&amp;COUNTIF(Contratos!$A:$A,A127)&amp;"; pagamentos: "&amp;COUNTIF(Pagamentos!$A:$A,A127)))</f>
        <v/>
      </c>
      <c r="G127" s="27"/>
      <c r="H127" s="5"/>
      <c r="J127" s="5"/>
      <c r="K127" s="41"/>
      <c r="L127" s="14"/>
      <c r="M127" s="5"/>
      <c r="N127" s="35"/>
      <c r="O127" s="27"/>
      <c r="P127" s="39" t="str">
        <f aca="false">IF(OR(J127="",K127=""),"",SUMIFS($N:$N,$J:$J,J127,$K:$K,K127))</f>
        <v/>
      </c>
      <c r="Q127" s="32" t="str">
        <f aca="false">IF(OR(J127="",K127=""),"",IF(COUNTIFS($J:$J,J127,$K:$K,"&lt;"&amp;K127)=0,"",_xlfn.MAXIFS($K:$K,$J:$J,J127,$K:$K,"&lt;"&amp;K127)))</f>
        <v/>
      </c>
      <c r="R127" s="39" t="str">
        <f aca="false">IF(Q127="","",SUMIFS($N:$N,$J:$J,J127,$K:$K,Q127))</f>
        <v/>
      </c>
      <c r="S127" s="37" t="str">
        <f aca="false">IF(OR(R127="",R127=0,P127=""),"",P127/R127-1)</f>
        <v/>
      </c>
    </row>
    <row r="128" customFormat="false" ht="15" hidden="false" customHeight="false" outlineLevel="0" collapsed="false">
      <c r="A128" s="27"/>
      <c r="B128" s="5"/>
      <c r="C128" s="35"/>
      <c r="D128" s="5"/>
      <c r="E128" s="5"/>
      <c r="F128" s="19" t="str">
        <f aca="false">IF(A128="","",IF(COUNTIF(Contratos!$A:$A,A128)+COUNTIF(Pagamentos!$A:$A,A128)=0,"não consta","SIM — contratos: "&amp;COUNTIF(Contratos!$A:$A,A128)&amp;"; pagamentos: "&amp;COUNTIF(Pagamentos!$A:$A,A128)))</f>
        <v/>
      </c>
      <c r="G128" s="27"/>
      <c r="H128" s="5"/>
      <c r="J128" s="5"/>
      <c r="K128" s="41"/>
      <c r="L128" s="14"/>
      <c r="M128" s="5"/>
      <c r="N128" s="35"/>
      <c r="O128" s="27"/>
      <c r="P128" s="39" t="str">
        <f aca="false">IF(OR(J128="",K128=""),"",SUMIFS($N:$N,$J:$J,J128,$K:$K,K128))</f>
        <v/>
      </c>
      <c r="Q128" s="32" t="str">
        <f aca="false">IF(OR(J128="",K128=""),"",IF(COUNTIFS($J:$J,J128,$K:$K,"&lt;"&amp;K128)=0,"",_xlfn.MAXIFS($K:$K,$J:$J,J128,$K:$K,"&lt;"&amp;K128)))</f>
        <v/>
      </c>
      <c r="R128" s="39" t="str">
        <f aca="false">IF(Q128="","",SUMIFS($N:$N,$J:$J,J128,$K:$K,Q128))</f>
        <v/>
      </c>
      <c r="S128" s="37" t="str">
        <f aca="false">IF(OR(R128="",R128=0,P128=""),"",P128/R128-1)</f>
        <v/>
      </c>
    </row>
    <row r="129" customFormat="false" ht="15" hidden="false" customHeight="false" outlineLevel="0" collapsed="false">
      <c r="A129" s="27"/>
      <c r="B129" s="5"/>
      <c r="C129" s="35"/>
      <c r="D129" s="5"/>
      <c r="E129" s="5"/>
      <c r="F129" s="19" t="str">
        <f aca="false">IF(A129="","",IF(COUNTIF(Contratos!$A:$A,A129)+COUNTIF(Pagamentos!$A:$A,A129)=0,"não consta","SIM — contratos: "&amp;COUNTIF(Contratos!$A:$A,A129)&amp;"; pagamentos: "&amp;COUNTIF(Pagamentos!$A:$A,A129)))</f>
        <v/>
      </c>
      <c r="G129" s="27"/>
      <c r="H129" s="5"/>
      <c r="J129" s="5"/>
      <c r="K129" s="41"/>
      <c r="L129" s="14"/>
      <c r="M129" s="5"/>
      <c r="N129" s="35"/>
      <c r="O129" s="27"/>
      <c r="P129" s="39" t="str">
        <f aca="false">IF(OR(J129="",K129=""),"",SUMIFS($N:$N,$J:$J,J129,$K:$K,K129))</f>
        <v/>
      </c>
      <c r="Q129" s="32" t="str">
        <f aca="false">IF(OR(J129="",K129=""),"",IF(COUNTIFS($J:$J,J129,$K:$K,"&lt;"&amp;K129)=0,"",_xlfn.MAXIFS($K:$K,$J:$J,J129,$K:$K,"&lt;"&amp;K129)))</f>
        <v/>
      </c>
      <c r="R129" s="39" t="str">
        <f aca="false">IF(Q129="","",SUMIFS($N:$N,$J:$J,J129,$K:$K,Q129))</f>
        <v/>
      </c>
      <c r="S129" s="37" t="str">
        <f aca="false">IF(OR(R129="",R129=0,P129=""),"",P129/R129-1)</f>
        <v/>
      </c>
    </row>
    <row r="130" customFormat="false" ht="15" hidden="false" customHeight="false" outlineLevel="0" collapsed="false">
      <c r="A130" s="27"/>
      <c r="B130" s="5"/>
      <c r="C130" s="35"/>
      <c r="D130" s="5"/>
      <c r="E130" s="5"/>
      <c r="F130" s="19" t="str">
        <f aca="false">IF(A130="","",IF(COUNTIF(Contratos!$A:$A,A130)+COUNTIF(Pagamentos!$A:$A,A130)=0,"não consta","SIM — contratos: "&amp;COUNTIF(Contratos!$A:$A,A130)&amp;"; pagamentos: "&amp;COUNTIF(Pagamentos!$A:$A,A130)))</f>
        <v/>
      </c>
      <c r="G130" s="27"/>
      <c r="H130" s="5"/>
      <c r="J130" s="5"/>
      <c r="K130" s="41"/>
      <c r="L130" s="14"/>
      <c r="M130" s="5"/>
      <c r="N130" s="35"/>
      <c r="O130" s="27"/>
      <c r="P130" s="39" t="str">
        <f aca="false">IF(OR(J130="",K130=""),"",SUMIFS($N:$N,$J:$J,J130,$K:$K,K130))</f>
        <v/>
      </c>
      <c r="Q130" s="32" t="str">
        <f aca="false">IF(OR(J130="",K130=""),"",IF(COUNTIFS($J:$J,J130,$K:$K,"&lt;"&amp;K130)=0,"",_xlfn.MAXIFS($K:$K,$J:$J,J130,$K:$K,"&lt;"&amp;K130)))</f>
        <v/>
      </c>
      <c r="R130" s="39" t="str">
        <f aca="false">IF(Q130="","",SUMIFS($N:$N,$J:$J,J130,$K:$K,Q130))</f>
        <v/>
      </c>
      <c r="S130" s="37" t="str">
        <f aca="false">IF(OR(R130="",R130=0,P130=""),"",P130/R130-1)</f>
        <v/>
      </c>
    </row>
    <row r="131" customFormat="false" ht="15" hidden="false" customHeight="false" outlineLevel="0" collapsed="false">
      <c r="A131" s="27"/>
      <c r="B131" s="5"/>
      <c r="C131" s="35"/>
      <c r="D131" s="5"/>
      <c r="E131" s="5"/>
      <c r="F131" s="19" t="str">
        <f aca="false">IF(A131="","",IF(COUNTIF(Contratos!$A:$A,A131)+COUNTIF(Pagamentos!$A:$A,A131)=0,"não consta","SIM — contratos: "&amp;COUNTIF(Contratos!$A:$A,A131)&amp;"; pagamentos: "&amp;COUNTIF(Pagamentos!$A:$A,A131)))</f>
        <v/>
      </c>
      <c r="G131" s="27"/>
      <c r="H131" s="5"/>
      <c r="J131" s="5"/>
      <c r="K131" s="41"/>
      <c r="L131" s="14"/>
      <c r="M131" s="5"/>
      <c r="N131" s="35"/>
      <c r="O131" s="27"/>
      <c r="P131" s="39" t="str">
        <f aca="false">IF(OR(J131="",K131=""),"",SUMIFS($N:$N,$J:$J,J131,$K:$K,K131))</f>
        <v/>
      </c>
      <c r="Q131" s="32" t="str">
        <f aca="false">IF(OR(J131="",K131=""),"",IF(COUNTIFS($J:$J,J131,$K:$K,"&lt;"&amp;K131)=0,"",_xlfn.MAXIFS($K:$K,$J:$J,J131,$K:$K,"&lt;"&amp;K131)))</f>
        <v/>
      </c>
      <c r="R131" s="39" t="str">
        <f aca="false">IF(Q131="","",SUMIFS($N:$N,$J:$J,J131,$K:$K,Q131))</f>
        <v/>
      </c>
      <c r="S131" s="37" t="str">
        <f aca="false">IF(OR(R131="",R131=0,P131=""),"",P131/R131-1)</f>
        <v/>
      </c>
    </row>
    <row r="132" customFormat="false" ht="15" hidden="false" customHeight="false" outlineLevel="0" collapsed="false">
      <c r="A132" s="27"/>
      <c r="B132" s="5"/>
      <c r="C132" s="35"/>
      <c r="D132" s="5"/>
      <c r="E132" s="5"/>
      <c r="F132" s="19" t="str">
        <f aca="false">IF(A132="","",IF(COUNTIF(Contratos!$A:$A,A132)+COUNTIF(Pagamentos!$A:$A,A132)=0,"não consta","SIM — contratos: "&amp;COUNTIF(Contratos!$A:$A,A132)&amp;"; pagamentos: "&amp;COUNTIF(Pagamentos!$A:$A,A132)))</f>
        <v/>
      </c>
      <c r="G132" s="27"/>
      <c r="H132" s="5"/>
      <c r="J132" s="5"/>
      <c r="K132" s="41"/>
      <c r="L132" s="14"/>
      <c r="M132" s="5"/>
      <c r="N132" s="35"/>
      <c r="O132" s="27"/>
      <c r="P132" s="39" t="str">
        <f aca="false">IF(OR(J132="",K132=""),"",SUMIFS($N:$N,$J:$J,J132,$K:$K,K132))</f>
        <v/>
      </c>
      <c r="Q132" s="32" t="str">
        <f aca="false">IF(OR(J132="",K132=""),"",IF(COUNTIFS($J:$J,J132,$K:$K,"&lt;"&amp;K132)=0,"",_xlfn.MAXIFS($K:$K,$J:$J,J132,$K:$K,"&lt;"&amp;K132)))</f>
        <v/>
      </c>
      <c r="R132" s="39" t="str">
        <f aca="false">IF(Q132="","",SUMIFS($N:$N,$J:$J,J132,$K:$K,Q132))</f>
        <v/>
      </c>
      <c r="S132" s="37" t="str">
        <f aca="false">IF(OR(R132="",R132=0,P132=""),"",P132/R132-1)</f>
        <v/>
      </c>
    </row>
    <row r="133" customFormat="false" ht="15" hidden="false" customHeight="false" outlineLevel="0" collapsed="false">
      <c r="A133" s="27"/>
      <c r="B133" s="5"/>
      <c r="C133" s="35"/>
      <c r="D133" s="5"/>
      <c r="E133" s="5"/>
      <c r="F133" s="19" t="str">
        <f aca="false">IF(A133="","",IF(COUNTIF(Contratos!$A:$A,A133)+COUNTIF(Pagamentos!$A:$A,A133)=0,"não consta","SIM — contratos: "&amp;COUNTIF(Contratos!$A:$A,A133)&amp;"; pagamentos: "&amp;COUNTIF(Pagamentos!$A:$A,A133)))</f>
        <v/>
      </c>
      <c r="G133" s="27"/>
      <c r="H133" s="5"/>
      <c r="J133" s="5"/>
      <c r="K133" s="41"/>
      <c r="L133" s="14"/>
      <c r="M133" s="5"/>
      <c r="N133" s="35"/>
      <c r="O133" s="27"/>
      <c r="P133" s="39" t="str">
        <f aca="false">IF(OR(J133="",K133=""),"",SUMIFS($N:$N,$J:$J,J133,$K:$K,K133))</f>
        <v/>
      </c>
      <c r="Q133" s="32" t="str">
        <f aca="false">IF(OR(J133="",K133=""),"",IF(COUNTIFS($J:$J,J133,$K:$K,"&lt;"&amp;K133)=0,"",_xlfn.MAXIFS($K:$K,$J:$J,J133,$K:$K,"&lt;"&amp;K133)))</f>
        <v/>
      </c>
      <c r="R133" s="39" t="str">
        <f aca="false">IF(Q133="","",SUMIFS($N:$N,$J:$J,J133,$K:$K,Q133))</f>
        <v/>
      </c>
      <c r="S133" s="37" t="str">
        <f aca="false">IF(OR(R133="",R133=0,P133=""),"",P133/R133-1)</f>
        <v/>
      </c>
    </row>
    <row r="134" customFormat="false" ht="15" hidden="false" customHeight="false" outlineLevel="0" collapsed="false">
      <c r="A134" s="27"/>
      <c r="B134" s="5"/>
      <c r="C134" s="35"/>
      <c r="D134" s="5"/>
      <c r="E134" s="5"/>
      <c r="F134" s="19" t="str">
        <f aca="false">IF(A134="","",IF(COUNTIF(Contratos!$A:$A,A134)+COUNTIF(Pagamentos!$A:$A,A134)=0,"não consta","SIM — contratos: "&amp;COUNTIF(Contratos!$A:$A,A134)&amp;"; pagamentos: "&amp;COUNTIF(Pagamentos!$A:$A,A134)))</f>
        <v/>
      </c>
      <c r="G134" s="27"/>
      <c r="H134" s="5"/>
      <c r="J134" s="5"/>
      <c r="K134" s="41"/>
      <c r="L134" s="14"/>
      <c r="M134" s="5"/>
      <c r="N134" s="35"/>
      <c r="O134" s="27"/>
      <c r="P134" s="39" t="str">
        <f aca="false">IF(OR(J134="",K134=""),"",SUMIFS($N:$N,$J:$J,J134,$K:$K,K134))</f>
        <v/>
      </c>
      <c r="Q134" s="32" t="str">
        <f aca="false">IF(OR(J134="",K134=""),"",IF(COUNTIFS($J:$J,J134,$K:$K,"&lt;"&amp;K134)=0,"",_xlfn.MAXIFS($K:$K,$J:$J,J134,$K:$K,"&lt;"&amp;K134)))</f>
        <v/>
      </c>
      <c r="R134" s="39" t="str">
        <f aca="false">IF(Q134="","",SUMIFS($N:$N,$J:$J,J134,$K:$K,Q134))</f>
        <v/>
      </c>
      <c r="S134" s="37" t="str">
        <f aca="false">IF(OR(R134="",R134=0,P134=""),"",P134/R134-1)</f>
        <v/>
      </c>
    </row>
    <row r="135" customFormat="false" ht="15" hidden="false" customHeight="false" outlineLevel="0" collapsed="false">
      <c r="A135" s="27"/>
      <c r="B135" s="5"/>
      <c r="C135" s="35"/>
      <c r="D135" s="5"/>
      <c r="E135" s="5"/>
      <c r="F135" s="19" t="str">
        <f aca="false">IF(A135="","",IF(COUNTIF(Contratos!$A:$A,A135)+COUNTIF(Pagamentos!$A:$A,A135)=0,"não consta","SIM — contratos: "&amp;COUNTIF(Contratos!$A:$A,A135)&amp;"; pagamentos: "&amp;COUNTIF(Pagamentos!$A:$A,A135)))</f>
        <v/>
      </c>
      <c r="G135" s="27"/>
      <c r="H135" s="5"/>
      <c r="J135" s="5"/>
      <c r="K135" s="41"/>
      <c r="L135" s="14"/>
      <c r="M135" s="5"/>
      <c r="N135" s="35"/>
      <c r="O135" s="27"/>
      <c r="P135" s="39" t="str">
        <f aca="false">IF(OR(J135="",K135=""),"",SUMIFS($N:$N,$J:$J,J135,$K:$K,K135))</f>
        <v/>
      </c>
      <c r="Q135" s="32" t="str">
        <f aca="false">IF(OR(J135="",K135=""),"",IF(COUNTIFS($J:$J,J135,$K:$K,"&lt;"&amp;K135)=0,"",_xlfn.MAXIFS($K:$K,$J:$J,J135,$K:$K,"&lt;"&amp;K135)))</f>
        <v/>
      </c>
      <c r="R135" s="39" t="str">
        <f aca="false">IF(Q135="","",SUMIFS($N:$N,$J:$J,J135,$K:$K,Q135))</f>
        <v/>
      </c>
      <c r="S135" s="37" t="str">
        <f aca="false">IF(OR(R135="",R135=0,P135=""),"",P135/R135-1)</f>
        <v/>
      </c>
    </row>
    <row r="136" customFormat="false" ht="15" hidden="false" customHeight="false" outlineLevel="0" collapsed="false">
      <c r="A136" s="27"/>
      <c r="B136" s="5"/>
      <c r="C136" s="35"/>
      <c r="D136" s="5"/>
      <c r="E136" s="5"/>
      <c r="F136" s="19" t="str">
        <f aca="false">IF(A136="","",IF(COUNTIF(Contratos!$A:$A,A136)+COUNTIF(Pagamentos!$A:$A,A136)=0,"não consta","SIM — contratos: "&amp;COUNTIF(Contratos!$A:$A,A136)&amp;"; pagamentos: "&amp;COUNTIF(Pagamentos!$A:$A,A136)))</f>
        <v/>
      </c>
      <c r="G136" s="27"/>
      <c r="H136" s="5"/>
      <c r="J136" s="5"/>
      <c r="K136" s="41"/>
      <c r="L136" s="14"/>
      <c r="M136" s="5"/>
      <c r="N136" s="35"/>
      <c r="O136" s="27"/>
      <c r="P136" s="39" t="str">
        <f aca="false">IF(OR(J136="",K136=""),"",SUMIFS($N:$N,$J:$J,J136,$K:$K,K136))</f>
        <v/>
      </c>
      <c r="Q136" s="32" t="str">
        <f aca="false">IF(OR(J136="",K136=""),"",IF(COUNTIFS($J:$J,J136,$K:$K,"&lt;"&amp;K136)=0,"",_xlfn.MAXIFS($K:$K,$J:$J,J136,$K:$K,"&lt;"&amp;K136)))</f>
        <v/>
      </c>
      <c r="R136" s="39" t="str">
        <f aca="false">IF(Q136="","",SUMIFS($N:$N,$J:$J,J136,$K:$K,Q136))</f>
        <v/>
      </c>
      <c r="S136" s="37" t="str">
        <f aca="false">IF(OR(R136="",R136=0,P136=""),"",P136/R136-1)</f>
        <v/>
      </c>
    </row>
    <row r="137" customFormat="false" ht="15" hidden="false" customHeight="false" outlineLevel="0" collapsed="false">
      <c r="A137" s="27"/>
      <c r="B137" s="5"/>
      <c r="C137" s="35"/>
      <c r="D137" s="5"/>
      <c r="E137" s="5"/>
      <c r="F137" s="19" t="str">
        <f aca="false">IF(A137="","",IF(COUNTIF(Contratos!$A:$A,A137)+COUNTIF(Pagamentos!$A:$A,A137)=0,"não consta","SIM — contratos: "&amp;COUNTIF(Contratos!$A:$A,A137)&amp;"; pagamentos: "&amp;COUNTIF(Pagamentos!$A:$A,A137)))</f>
        <v/>
      </c>
      <c r="G137" s="27"/>
      <c r="H137" s="5"/>
      <c r="J137" s="5"/>
      <c r="K137" s="41"/>
      <c r="L137" s="14"/>
      <c r="M137" s="5"/>
      <c r="N137" s="35"/>
      <c r="O137" s="27"/>
      <c r="P137" s="39" t="str">
        <f aca="false">IF(OR(J137="",K137=""),"",SUMIFS($N:$N,$J:$J,J137,$K:$K,K137))</f>
        <v/>
      </c>
      <c r="Q137" s="32" t="str">
        <f aca="false">IF(OR(J137="",K137=""),"",IF(COUNTIFS($J:$J,J137,$K:$K,"&lt;"&amp;K137)=0,"",_xlfn.MAXIFS($K:$K,$J:$J,J137,$K:$K,"&lt;"&amp;K137)))</f>
        <v/>
      </c>
      <c r="R137" s="39" t="str">
        <f aca="false">IF(Q137="","",SUMIFS($N:$N,$J:$J,J137,$K:$K,Q137))</f>
        <v/>
      </c>
      <c r="S137" s="37" t="str">
        <f aca="false">IF(OR(R137="",R137=0,P137=""),"",P137/R137-1)</f>
        <v/>
      </c>
    </row>
    <row r="138" customFormat="false" ht="15" hidden="false" customHeight="false" outlineLevel="0" collapsed="false">
      <c r="A138" s="27"/>
      <c r="B138" s="5"/>
      <c r="C138" s="35"/>
      <c r="D138" s="5"/>
      <c r="E138" s="5"/>
      <c r="F138" s="19" t="str">
        <f aca="false">IF(A138="","",IF(COUNTIF(Contratos!$A:$A,A138)+COUNTIF(Pagamentos!$A:$A,A138)=0,"não consta","SIM — contratos: "&amp;COUNTIF(Contratos!$A:$A,A138)&amp;"; pagamentos: "&amp;COUNTIF(Pagamentos!$A:$A,A138)))</f>
        <v/>
      </c>
      <c r="G138" s="27"/>
      <c r="H138" s="5"/>
      <c r="J138" s="5"/>
      <c r="K138" s="41"/>
      <c r="L138" s="14"/>
      <c r="M138" s="5"/>
      <c r="N138" s="35"/>
      <c r="O138" s="27"/>
      <c r="P138" s="39" t="str">
        <f aca="false">IF(OR(J138="",K138=""),"",SUMIFS($N:$N,$J:$J,J138,$K:$K,K138))</f>
        <v/>
      </c>
      <c r="Q138" s="32" t="str">
        <f aca="false">IF(OR(J138="",K138=""),"",IF(COUNTIFS($J:$J,J138,$K:$K,"&lt;"&amp;K138)=0,"",_xlfn.MAXIFS($K:$K,$J:$J,J138,$K:$K,"&lt;"&amp;K138)))</f>
        <v/>
      </c>
      <c r="R138" s="39" t="str">
        <f aca="false">IF(Q138="","",SUMIFS($N:$N,$J:$J,J138,$K:$K,Q138))</f>
        <v/>
      </c>
      <c r="S138" s="37" t="str">
        <f aca="false">IF(OR(R138="",R138=0,P138=""),"",P138/R138-1)</f>
        <v/>
      </c>
    </row>
    <row r="139" customFormat="false" ht="15" hidden="false" customHeight="false" outlineLevel="0" collapsed="false">
      <c r="A139" s="27"/>
      <c r="B139" s="5"/>
      <c r="C139" s="35"/>
      <c r="D139" s="5"/>
      <c r="E139" s="5"/>
      <c r="F139" s="19" t="str">
        <f aca="false">IF(A139="","",IF(COUNTIF(Contratos!$A:$A,A139)+COUNTIF(Pagamentos!$A:$A,A139)=0,"não consta","SIM — contratos: "&amp;COUNTIF(Contratos!$A:$A,A139)&amp;"; pagamentos: "&amp;COUNTIF(Pagamentos!$A:$A,A139)))</f>
        <v/>
      </c>
      <c r="G139" s="27"/>
      <c r="H139" s="5"/>
      <c r="J139" s="5"/>
      <c r="K139" s="41"/>
      <c r="L139" s="14"/>
      <c r="M139" s="5"/>
      <c r="N139" s="35"/>
      <c r="O139" s="27"/>
      <c r="P139" s="39" t="str">
        <f aca="false">IF(OR(J139="",K139=""),"",SUMIFS($N:$N,$J:$J,J139,$K:$K,K139))</f>
        <v/>
      </c>
      <c r="Q139" s="32" t="str">
        <f aca="false">IF(OR(J139="",K139=""),"",IF(COUNTIFS($J:$J,J139,$K:$K,"&lt;"&amp;K139)=0,"",_xlfn.MAXIFS($K:$K,$J:$J,J139,$K:$K,"&lt;"&amp;K139)))</f>
        <v/>
      </c>
      <c r="R139" s="39" t="str">
        <f aca="false">IF(Q139="","",SUMIFS($N:$N,$J:$J,J139,$K:$K,Q139))</f>
        <v/>
      </c>
      <c r="S139" s="37" t="str">
        <f aca="false">IF(OR(R139="",R139=0,P139=""),"",P139/R139-1)</f>
        <v/>
      </c>
    </row>
    <row r="140" customFormat="false" ht="15" hidden="false" customHeight="false" outlineLevel="0" collapsed="false">
      <c r="A140" s="27"/>
      <c r="B140" s="5"/>
      <c r="C140" s="35"/>
      <c r="D140" s="5"/>
      <c r="E140" s="5"/>
      <c r="F140" s="19" t="str">
        <f aca="false">IF(A140="","",IF(COUNTIF(Contratos!$A:$A,A140)+COUNTIF(Pagamentos!$A:$A,A140)=0,"não consta","SIM — contratos: "&amp;COUNTIF(Contratos!$A:$A,A140)&amp;"; pagamentos: "&amp;COUNTIF(Pagamentos!$A:$A,A140)))</f>
        <v/>
      </c>
      <c r="G140" s="27"/>
      <c r="H140" s="5"/>
      <c r="J140" s="5"/>
      <c r="K140" s="41"/>
      <c r="L140" s="14"/>
      <c r="M140" s="5"/>
      <c r="N140" s="35"/>
      <c r="O140" s="27"/>
      <c r="P140" s="39" t="str">
        <f aca="false">IF(OR(J140="",K140=""),"",SUMIFS($N:$N,$J:$J,J140,$K:$K,K140))</f>
        <v/>
      </c>
      <c r="Q140" s="32" t="str">
        <f aca="false">IF(OR(J140="",K140=""),"",IF(COUNTIFS($J:$J,J140,$K:$K,"&lt;"&amp;K140)=0,"",_xlfn.MAXIFS($K:$K,$J:$J,J140,$K:$K,"&lt;"&amp;K140)))</f>
        <v/>
      </c>
      <c r="R140" s="39" t="str">
        <f aca="false">IF(Q140="","",SUMIFS($N:$N,$J:$J,J140,$K:$K,Q140))</f>
        <v/>
      </c>
      <c r="S140" s="37" t="str">
        <f aca="false">IF(OR(R140="",R140=0,P140=""),"",P140/R140-1)</f>
        <v/>
      </c>
    </row>
    <row r="141" customFormat="false" ht="15" hidden="false" customHeight="false" outlineLevel="0" collapsed="false">
      <c r="A141" s="27"/>
      <c r="B141" s="5"/>
      <c r="C141" s="35"/>
      <c r="D141" s="5"/>
      <c r="E141" s="5"/>
      <c r="F141" s="19" t="str">
        <f aca="false">IF(A141="","",IF(COUNTIF(Contratos!$A:$A,A141)+COUNTIF(Pagamentos!$A:$A,A141)=0,"não consta","SIM — contratos: "&amp;COUNTIF(Contratos!$A:$A,A141)&amp;"; pagamentos: "&amp;COUNTIF(Pagamentos!$A:$A,A141)))</f>
        <v/>
      </c>
      <c r="G141" s="27"/>
      <c r="H141" s="5"/>
      <c r="J141" s="5"/>
      <c r="K141" s="41"/>
      <c r="L141" s="14"/>
      <c r="M141" s="5"/>
      <c r="N141" s="35"/>
      <c r="O141" s="27"/>
      <c r="P141" s="39" t="str">
        <f aca="false">IF(OR(J141="",K141=""),"",SUMIFS($N:$N,$J:$J,J141,$K:$K,K141))</f>
        <v/>
      </c>
      <c r="Q141" s="32" t="str">
        <f aca="false">IF(OR(J141="",K141=""),"",IF(COUNTIFS($J:$J,J141,$K:$K,"&lt;"&amp;K141)=0,"",_xlfn.MAXIFS($K:$K,$J:$J,J141,$K:$K,"&lt;"&amp;K141)))</f>
        <v/>
      </c>
      <c r="R141" s="39" t="str">
        <f aca="false">IF(Q141="","",SUMIFS($N:$N,$J:$J,J141,$K:$K,Q141))</f>
        <v/>
      </c>
      <c r="S141" s="37" t="str">
        <f aca="false">IF(OR(R141="",R141=0,P141=""),"",P141/R141-1)</f>
        <v/>
      </c>
    </row>
    <row r="142" customFormat="false" ht="15" hidden="false" customHeight="false" outlineLevel="0" collapsed="false">
      <c r="A142" s="27"/>
      <c r="B142" s="5"/>
      <c r="C142" s="35"/>
      <c r="D142" s="5"/>
      <c r="E142" s="5"/>
      <c r="F142" s="19" t="str">
        <f aca="false">IF(A142="","",IF(COUNTIF(Contratos!$A:$A,A142)+COUNTIF(Pagamentos!$A:$A,A142)=0,"não consta","SIM — contratos: "&amp;COUNTIF(Contratos!$A:$A,A142)&amp;"; pagamentos: "&amp;COUNTIF(Pagamentos!$A:$A,A142)))</f>
        <v/>
      </c>
      <c r="G142" s="27"/>
      <c r="H142" s="5"/>
      <c r="J142" s="5"/>
      <c r="K142" s="41"/>
      <c r="L142" s="14"/>
      <c r="M142" s="5"/>
      <c r="N142" s="35"/>
      <c r="O142" s="27"/>
      <c r="P142" s="39" t="str">
        <f aca="false">IF(OR(J142="",K142=""),"",SUMIFS($N:$N,$J:$J,J142,$K:$K,K142))</f>
        <v/>
      </c>
      <c r="Q142" s="32" t="str">
        <f aca="false">IF(OR(J142="",K142=""),"",IF(COUNTIFS($J:$J,J142,$K:$K,"&lt;"&amp;K142)=0,"",_xlfn.MAXIFS($K:$K,$J:$J,J142,$K:$K,"&lt;"&amp;K142)))</f>
        <v/>
      </c>
      <c r="R142" s="39" t="str">
        <f aca="false">IF(Q142="","",SUMIFS($N:$N,$J:$J,J142,$K:$K,Q142))</f>
        <v/>
      </c>
      <c r="S142" s="37" t="str">
        <f aca="false">IF(OR(R142="",R142=0,P142=""),"",P142/R142-1)</f>
        <v/>
      </c>
    </row>
    <row r="143" customFormat="false" ht="15" hidden="false" customHeight="false" outlineLevel="0" collapsed="false">
      <c r="A143" s="27"/>
      <c r="B143" s="5"/>
      <c r="C143" s="35"/>
      <c r="D143" s="5"/>
      <c r="E143" s="5"/>
      <c r="F143" s="19" t="str">
        <f aca="false">IF(A143="","",IF(COUNTIF(Contratos!$A:$A,A143)+COUNTIF(Pagamentos!$A:$A,A143)=0,"não consta","SIM — contratos: "&amp;COUNTIF(Contratos!$A:$A,A143)&amp;"; pagamentos: "&amp;COUNTIF(Pagamentos!$A:$A,A143)))</f>
        <v/>
      </c>
      <c r="G143" s="27"/>
      <c r="H143" s="5"/>
      <c r="J143" s="5"/>
      <c r="K143" s="41"/>
      <c r="L143" s="14"/>
      <c r="M143" s="5"/>
      <c r="N143" s="35"/>
      <c r="O143" s="27"/>
      <c r="P143" s="39" t="str">
        <f aca="false">IF(OR(J143="",K143=""),"",SUMIFS($N:$N,$J:$J,J143,$K:$K,K143))</f>
        <v/>
      </c>
      <c r="Q143" s="32" t="str">
        <f aca="false">IF(OR(J143="",K143=""),"",IF(COUNTIFS($J:$J,J143,$K:$K,"&lt;"&amp;K143)=0,"",_xlfn.MAXIFS($K:$K,$J:$J,J143,$K:$K,"&lt;"&amp;K143)))</f>
        <v/>
      </c>
      <c r="R143" s="39" t="str">
        <f aca="false">IF(Q143="","",SUMIFS($N:$N,$J:$J,J143,$K:$K,Q143))</f>
        <v/>
      </c>
      <c r="S143" s="37" t="str">
        <f aca="false">IF(OR(R143="",R143=0,P143=""),"",P143/R143-1)</f>
        <v/>
      </c>
    </row>
    <row r="144" customFormat="false" ht="15" hidden="false" customHeight="false" outlineLevel="0" collapsed="false">
      <c r="A144" s="27"/>
      <c r="B144" s="5"/>
      <c r="C144" s="35"/>
      <c r="D144" s="5"/>
      <c r="E144" s="5"/>
      <c r="F144" s="19" t="str">
        <f aca="false">IF(A144="","",IF(COUNTIF(Contratos!$A:$A,A144)+COUNTIF(Pagamentos!$A:$A,A144)=0,"não consta","SIM — contratos: "&amp;COUNTIF(Contratos!$A:$A,A144)&amp;"; pagamentos: "&amp;COUNTIF(Pagamentos!$A:$A,A144)))</f>
        <v/>
      </c>
      <c r="G144" s="27"/>
      <c r="H144" s="5"/>
      <c r="J144" s="5"/>
      <c r="K144" s="41"/>
      <c r="L144" s="14"/>
      <c r="M144" s="5"/>
      <c r="N144" s="35"/>
      <c r="O144" s="27"/>
      <c r="P144" s="39" t="str">
        <f aca="false">IF(OR(J144="",K144=""),"",SUMIFS($N:$N,$J:$J,J144,$K:$K,K144))</f>
        <v/>
      </c>
      <c r="Q144" s="32" t="str">
        <f aca="false">IF(OR(J144="",K144=""),"",IF(COUNTIFS($J:$J,J144,$K:$K,"&lt;"&amp;K144)=0,"",_xlfn.MAXIFS($K:$K,$J:$J,J144,$K:$K,"&lt;"&amp;K144)))</f>
        <v/>
      </c>
      <c r="R144" s="39" t="str">
        <f aca="false">IF(Q144="","",SUMIFS($N:$N,$J:$J,J144,$K:$K,Q144))</f>
        <v/>
      </c>
      <c r="S144" s="37" t="str">
        <f aca="false">IF(OR(R144="",R144=0,P144=""),"",P144/R144-1)</f>
        <v/>
      </c>
    </row>
    <row r="145" customFormat="false" ht="15" hidden="false" customHeight="false" outlineLevel="0" collapsed="false">
      <c r="A145" s="27"/>
      <c r="B145" s="5"/>
      <c r="C145" s="35"/>
      <c r="D145" s="5"/>
      <c r="E145" s="5"/>
      <c r="F145" s="19" t="str">
        <f aca="false">IF(A145="","",IF(COUNTIF(Contratos!$A:$A,A145)+COUNTIF(Pagamentos!$A:$A,A145)=0,"não consta","SIM — contratos: "&amp;COUNTIF(Contratos!$A:$A,A145)&amp;"; pagamentos: "&amp;COUNTIF(Pagamentos!$A:$A,A145)))</f>
        <v/>
      </c>
      <c r="G145" s="27"/>
      <c r="H145" s="5"/>
      <c r="J145" s="5"/>
      <c r="K145" s="41"/>
      <c r="L145" s="14"/>
      <c r="M145" s="5"/>
      <c r="N145" s="35"/>
      <c r="O145" s="27"/>
      <c r="P145" s="39" t="str">
        <f aca="false">IF(OR(J145="",K145=""),"",SUMIFS($N:$N,$J:$J,J145,$K:$K,K145))</f>
        <v/>
      </c>
      <c r="Q145" s="32" t="str">
        <f aca="false">IF(OR(J145="",K145=""),"",IF(COUNTIFS($J:$J,J145,$K:$K,"&lt;"&amp;K145)=0,"",_xlfn.MAXIFS($K:$K,$J:$J,J145,$K:$K,"&lt;"&amp;K145)))</f>
        <v/>
      </c>
      <c r="R145" s="39" t="str">
        <f aca="false">IF(Q145="","",SUMIFS($N:$N,$J:$J,J145,$K:$K,Q145))</f>
        <v/>
      </c>
      <c r="S145" s="37" t="str">
        <f aca="false">IF(OR(R145="",R145=0,P145=""),"",P145/R145-1)</f>
        <v/>
      </c>
    </row>
    <row r="146" customFormat="false" ht="15" hidden="false" customHeight="false" outlineLevel="0" collapsed="false">
      <c r="A146" s="27"/>
      <c r="B146" s="5"/>
      <c r="C146" s="35"/>
      <c r="D146" s="5"/>
      <c r="E146" s="5"/>
      <c r="F146" s="19" t="str">
        <f aca="false">IF(A146="","",IF(COUNTIF(Contratos!$A:$A,A146)+COUNTIF(Pagamentos!$A:$A,A146)=0,"não consta","SIM — contratos: "&amp;COUNTIF(Contratos!$A:$A,A146)&amp;"; pagamentos: "&amp;COUNTIF(Pagamentos!$A:$A,A146)))</f>
        <v/>
      </c>
      <c r="G146" s="27"/>
      <c r="H146" s="5"/>
      <c r="J146" s="5"/>
      <c r="K146" s="41"/>
      <c r="L146" s="14"/>
      <c r="M146" s="5"/>
      <c r="N146" s="35"/>
      <c r="O146" s="27"/>
      <c r="P146" s="39" t="str">
        <f aca="false">IF(OR(J146="",K146=""),"",SUMIFS($N:$N,$J:$J,J146,$K:$K,K146))</f>
        <v/>
      </c>
      <c r="Q146" s="32" t="str">
        <f aca="false">IF(OR(J146="",K146=""),"",IF(COUNTIFS($J:$J,J146,$K:$K,"&lt;"&amp;K146)=0,"",_xlfn.MAXIFS($K:$K,$J:$J,J146,$K:$K,"&lt;"&amp;K146)))</f>
        <v/>
      </c>
      <c r="R146" s="39" t="str">
        <f aca="false">IF(Q146="","",SUMIFS($N:$N,$J:$J,J146,$K:$K,Q146))</f>
        <v/>
      </c>
      <c r="S146" s="37" t="str">
        <f aca="false">IF(OR(R146="",R146=0,P146=""),"",P146/R146-1)</f>
        <v/>
      </c>
    </row>
    <row r="147" customFormat="false" ht="15" hidden="false" customHeight="false" outlineLevel="0" collapsed="false">
      <c r="A147" s="27"/>
      <c r="B147" s="5"/>
      <c r="C147" s="35"/>
      <c r="D147" s="5"/>
      <c r="E147" s="5"/>
      <c r="F147" s="19" t="str">
        <f aca="false">IF(A147="","",IF(COUNTIF(Contratos!$A:$A,A147)+COUNTIF(Pagamentos!$A:$A,A147)=0,"não consta","SIM — contratos: "&amp;COUNTIF(Contratos!$A:$A,A147)&amp;"; pagamentos: "&amp;COUNTIF(Pagamentos!$A:$A,A147)))</f>
        <v/>
      </c>
      <c r="G147" s="27"/>
      <c r="H147" s="5"/>
      <c r="J147" s="5"/>
      <c r="K147" s="41"/>
      <c r="L147" s="14"/>
      <c r="M147" s="5"/>
      <c r="N147" s="35"/>
      <c r="O147" s="27"/>
      <c r="P147" s="39" t="str">
        <f aca="false">IF(OR(J147="",K147=""),"",SUMIFS($N:$N,$J:$J,J147,$K:$K,K147))</f>
        <v/>
      </c>
      <c r="Q147" s="32" t="str">
        <f aca="false">IF(OR(J147="",K147=""),"",IF(COUNTIFS($J:$J,J147,$K:$K,"&lt;"&amp;K147)=0,"",_xlfn.MAXIFS($K:$K,$J:$J,J147,$K:$K,"&lt;"&amp;K147)))</f>
        <v/>
      </c>
      <c r="R147" s="39" t="str">
        <f aca="false">IF(Q147="","",SUMIFS($N:$N,$J:$J,J147,$K:$K,Q147))</f>
        <v/>
      </c>
      <c r="S147" s="37" t="str">
        <f aca="false">IF(OR(R147="",R147=0,P147=""),"",P147/R147-1)</f>
        <v/>
      </c>
    </row>
    <row r="148" customFormat="false" ht="15" hidden="false" customHeight="false" outlineLevel="0" collapsed="false">
      <c r="A148" s="27"/>
      <c r="B148" s="5"/>
      <c r="C148" s="35"/>
      <c r="D148" s="5"/>
      <c r="E148" s="5"/>
      <c r="F148" s="19" t="str">
        <f aca="false">IF(A148="","",IF(COUNTIF(Contratos!$A:$A,A148)+COUNTIF(Pagamentos!$A:$A,A148)=0,"não consta","SIM — contratos: "&amp;COUNTIF(Contratos!$A:$A,A148)&amp;"; pagamentos: "&amp;COUNTIF(Pagamentos!$A:$A,A148)))</f>
        <v/>
      </c>
      <c r="G148" s="27"/>
      <c r="H148" s="5"/>
      <c r="J148" s="5"/>
      <c r="K148" s="41"/>
      <c r="L148" s="14"/>
      <c r="M148" s="5"/>
      <c r="N148" s="35"/>
      <c r="O148" s="27"/>
      <c r="P148" s="39" t="str">
        <f aca="false">IF(OR(J148="",K148=""),"",SUMIFS($N:$N,$J:$J,J148,$K:$K,K148))</f>
        <v/>
      </c>
      <c r="Q148" s="32" t="str">
        <f aca="false">IF(OR(J148="",K148=""),"",IF(COUNTIFS($J:$J,J148,$K:$K,"&lt;"&amp;K148)=0,"",_xlfn.MAXIFS($K:$K,$J:$J,J148,$K:$K,"&lt;"&amp;K148)))</f>
        <v/>
      </c>
      <c r="R148" s="39" t="str">
        <f aca="false">IF(Q148="","",SUMIFS($N:$N,$J:$J,J148,$K:$K,Q148))</f>
        <v/>
      </c>
      <c r="S148" s="37" t="str">
        <f aca="false">IF(OR(R148="",R148=0,P148=""),"",P148/R148-1)</f>
        <v/>
      </c>
    </row>
    <row r="149" customFormat="false" ht="15" hidden="false" customHeight="false" outlineLevel="0" collapsed="false">
      <c r="A149" s="27"/>
      <c r="B149" s="5"/>
      <c r="C149" s="35"/>
      <c r="D149" s="5"/>
      <c r="E149" s="5"/>
      <c r="F149" s="19" t="str">
        <f aca="false">IF(A149="","",IF(COUNTIF(Contratos!$A:$A,A149)+COUNTIF(Pagamentos!$A:$A,A149)=0,"não consta","SIM — contratos: "&amp;COUNTIF(Contratos!$A:$A,A149)&amp;"; pagamentos: "&amp;COUNTIF(Pagamentos!$A:$A,A149)))</f>
        <v/>
      </c>
      <c r="G149" s="27"/>
      <c r="H149" s="5"/>
      <c r="J149" s="5"/>
      <c r="K149" s="41"/>
      <c r="L149" s="14"/>
      <c r="M149" s="5"/>
      <c r="N149" s="35"/>
      <c r="O149" s="27"/>
      <c r="P149" s="39" t="str">
        <f aca="false">IF(OR(J149="",K149=""),"",SUMIFS($N:$N,$J:$J,J149,$K:$K,K149))</f>
        <v/>
      </c>
      <c r="Q149" s="32" t="str">
        <f aca="false">IF(OR(J149="",K149=""),"",IF(COUNTIFS($J:$J,J149,$K:$K,"&lt;"&amp;K149)=0,"",_xlfn.MAXIFS($K:$K,$J:$J,J149,$K:$K,"&lt;"&amp;K149)))</f>
        <v/>
      </c>
      <c r="R149" s="39" t="str">
        <f aca="false">IF(Q149="","",SUMIFS($N:$N,$J:$J,J149,$K:$K,Q149))</f>
        <v/>
      </c>
      <c r="S149" s="37" t="str">
        <f aca="false">IF(OR(R149="",R149=0,P149=""),"",P149/R149-1)</f>
        <v/>
      </c>
    </row>
    <row r="150" customFormat="false" ht="15" hidden="false" customHeight="false" outlineLevel="0" collapsed="false">
      <c r="A150" s="27"/>
      <c r="B150" s="5"/>
      <c r="C150" s="35"/>
      <c r="D150" s="5"/>
      <c r="E150" s="5"/>
      <c r="F150" s="19" t="str">
        <f aca="false">IF(A150="","",IF(COUNTIF(Contratos!$A:$A,A150)+COUNTIF(Pagamentos!$A:$A,A150)=0,"não consta","SIM — contratos: "&amp;COUNTIF(Contratos!$A:$A,A150)&amp;"; pagamentos: "&amp;COUNTIF(Pagamentos!$A:$A,A150)))</f>
        <v/>
      </c>
      <c r="G150" s="27"/>
      <c r="H150" s="5"/>
      <c r="J150" s="5"/>
      <c r="K150" s="41"/>
      <c r="L150" s="14"/>
      <c r="M150" s="5"/>
      <c r="N150" s="35"/>
      <c r="O150" s="27"/>
      <c r="P150" s="39" t="str">
        <f aca="false">IF(OR(J150="",K150=""),"",SUMIFS($N:$N,$J:$J,J150,$K:$K,K150))</f>
        <v/>
      </c>
      <c r="Q150" s="32" t="str">
        <f aca="false">IF(OR(J150="",K150=""),"",IF(COUNTIFS($J:$J,J150,$K:$K,"&lt;"&amp;K150)=0,"",_xlfn.MAXIFS($K:$K,$J:$J,J150,$K:$K,"&lt;"&amp;K150)))</f>
        <v/>
      </c>
      <c r="R150" s="39" t="str">
        <f aca="false">IF(Q150="","",SUMIFS($N:$N,$J:$J,J150,$K:$K,Q150))</f>
        <v/>
      </c>
      <c r="S150" s="37" t="str">
        <f aca="false">IF(OR(R150="",R150=0,P150=""),"",P150/R150-1)</f>
        <v/>
      </c>
    </row>
    <row r="151" customFormat="false" ht="15" hidden="false" customHeight="false" outlineLevel="0" collapsed="false">
      <c r="A151" s="27"/>
      <c r="B151" s="5"/>
      <c r="C151" s="35"/>
      <c r="D151" s="5"/>
      <c r="E151" s="5"/>
      <c r="F151" s="19" t="str">
        <f aca="false">IF(A151="","",IF(COUNTIF(Contratos!$A:$A,A151)+COUNTIF(Pagamentos!$A:$A,A151)=0,"não consta","SIM — contratos: "&amp;COUNTIF(Contratos!$A:$A,A151)&amp;"; pagamentos: "&amp;COUNTIF(Pagamentos!$A:$A,A151)))</f>
        <v/>
      </c>
      <c r="G151" s="27"/>
      <c r="H151" s="5"/>
      <c r="J151" s="5"/>
      <c r="K151" s="41"/>
      <c r="L151" s="14"/>
      <c r="M151" s="5"/>
      <c r="N151" s="35"/>
      <c r="O151" s="27"/>
      <c r="P151" s="39" t="str">
        <f aca="false">IF(OR(J151="",K151=""),"",SUMIFS($N:$N,$J:$J,J151,$K:$K,K151))</f>
        <v/>
      </c>
      <c r="Q151" s="32" t="str">
        <f aca="false">IF(OR(J151="",K151=""),"",IF(COUNTIFS($J:$J,J151,$K:$K,"&lt;"&amp;K151)=0,"",_xlfn.MAXIFS($K:$K,$J:$J,J151,$K:$K,"&lt;"&amp;K151)))</f>
        <v/>
      </c>
      <c r="R151" s="39" t="str">
        <f aca="false">IF(Q151="","",SUMIFS($N:$N,$J:$J,J151,$K:$K,Q151))</f>
        <v/>
      </c>
      <c r="S151" s="37" t="str">
        <f aca="false">IF(OR(R151="",R151=0,P151=""),"",P151/R151-1)</f>
        <v/>
      </c>
    </row>
    <row r="152" customFormat="false" ht="15" hidden="false" customHeight="false" outlineLevel="0" collapsed="false">
      <c r="A152" s="27"/>
      <c r="B152" s="5"/>
      <c r="C152" s="35"/>
      <c r="D152" s="5"/>
      <c r="E152" s="5"/>
      <c r="F152" s="19" t="str">
        <f aca="false">IF(A152="","",IF(COUNTIF(Contratos!$A:$A,A152)+COUNTIF(Pagamentos!$A:$A,A152)=0,"não consta","SIM — contratos: "&amp;COUNTIF(Contratos!$A:$A,A152)&amp;"; pagamentos: "&amp;COUNTIF(Pagamentos!$A:$A,A152)))</f>
        <v/>
      </c>
      <c r="G152" s="27"/>
      <c r="H152" s="5"/>
      <c r="J152" s="5"/>
      <c r="K152" s="41"/>
      <c r="L152" s="14"/>
      <c r="M152" s="5"/>
      <c r="N152" s="35"/>
      <c r="O152" s="27"/>
      <c r="P152" s="39" t="str">
        <f aca="false">IF(OR(J152="",K152=""),"",SUMIFS($N:$N,$J:$J,J152,$K:$K,K152))</f>
        <v/>
      </c>
      <c r="Q152" s="32" t="str">
        <f aca="false">IF(OR(J152="",K152=""),"",IF(COUNTIFS($J:$J,J152,$K:$K,"&lt;"&amp;K152)=0,"",_xlfn.MAXIFS($K:$K,$J:$J,J152,$K:$K,"&lt;"&amp;K152)))</f>
        <v/>
      </c>
      <c r="R152" s="39" t="str">
        <f aca="false">IF(Q152="","",SUMIFS($N:$N,$J:$J,J152,$K:$K,Q152))</f>
        <v/>
      </c>
      <c r="S152" s="37" t="str">
        <f aca="false">IF(OR(R152="",R152=0,P152=""),"",P152/R152-1)</f>
        <v/>
      </c>
    </row>
    <row r="153" customFormat="false" ht="15" hidden="false" customHeight="false" outlineLevel="0" collapsed="false">
      <c r="A153" s="27"/>
      <c r="B153" s="5"/>
      <c r="C153" s="35"/>
      <c r="D153" s="5"/>
      <c r="E153" s="5"/>
      <c r="F153" s="19" t="str">
        <f aca="false">IF(A153="","",IF(COUNTIF(Contratos!$A:$A,A153)+COUNTIF(Pagamentos!$A:$A,A153)=0,"não consta","SIM — contratos: "&amp;COUNTIF(Contratos!$A:$A,A153)&amp;"; pagamentos: "&amp;COUNTIF(Pagamentos!$A:$A,A153)))</f>
        <v/>
      </c>
      <c r="G153" s="27"/>
      <c r="H153" s="5"/>
      <c r="J153" s="5"/>
      <c r="K153" s="41"/>
      <c r="L153" s="14"/>
      <c r="M153" s="5"/>
      <c r="N153" s="35"/>
      <c r="O153" s="27"/>
      <c r="P153" s="39" t="str">
        <f aca="false">IF(OR(J153="",K153=""),"",SUMIFS($N:$N,$J:$J,J153,$K:$K,K153))</f>
        <v/>
      </c>
      <c r="Q153" s="32" t="str">
        <f aca="false">IF(OR(J153="",K153=""),"",IF(COUNTIFS($J:$J,J153,$K:$K,"&lt;"&amp;K153)=0,"",_xlfn.MAXIFS($K:$K,$J:$J,J153,$K:$K,"&lt;"&amp;K153)))</f>
        <v/>
      </c>
      <c r="R153" s="39" t="str">
        <f aca="false">IF(Q153="","",SUMIFS($N:$N,$J:$J,J153,$K:$K,Q153))</f>
        <v/>
      </c>
      <c r="S153" s="37" t="str">
        <f aca="false">IF(OR(R153="",R153=0,P153=""),"",P153/R153-1)</f>
        <v/>
      </c>
    </row>
    <row r="154" customFormat="false" ht="15" hidden="false" customHeight="false" outlineLevel="0" collapsed="false">
      <c r="A154" s="27"/>
      <c r="B154" s="5"/>
      <c r="C154" s="35"/>
      <c r="D154" s="5"/>
      <c r="E154" s="5"/>
      <c r="F154" s="19" t="str">
        <f aca="false">IF(A154="","",IF(COUNTIF(Contratos!$A:$A,A154)+COUNTIF(Pagamentos!$A:$A,A154)=0,"não consta","SIM — contratos: "&amp;COUNTIF(Contratos!$A:$A,A154)&amp;"; pagamentos: "&amp;COUNTIF(Pagamentos!$A:$A,A154)))</f>
        <v/>
      </c>
      <c r="G154" s="27"/>
      <c r="H154" s="5"/>
      <c r="J154" s="5"/>
      <c r="K154" s="41"/>
      <c r="L154" s="14"/>
      <c r="M154" s="5"/>
      <c r="N154" s="35"/>
      <c r="O154" s="27"/>
      <c r="P154" s="39" t="str">
        <f aca="false">IF(OR(J154="",K154=""),"",SUMIFS($N:$N,$J:$J,J154,$K:$K,K154))</f>
        <v/>
      </c>
      <c r="Q154" s="32" t="str">
        <f aca="false">IF(OR(J154="",K154=""),"",IF(COUNTIFS($J:$J,J154,$K:$K,"&lt;"&amp;K154)=0,"",_xlfn.MAXIFS($K:$K,$J:$J,J154,$K:$K,"&lt;"&amp;K154)))</f>
        <v/>
      </c>
      <c r="R154" s="39" t="str">
        <f aca="false">IF(Q154="","",SUMIFS($N:$N,$J:$J,J154,$K:$K,Q154))</f>
        <v/>
      </c>
      <c r="S154" s="37" t="str">
        <f aca="false">IF(OR(R154="",R154=0,P154=""),"",P154/R154-1)</f>
        <v/>
      </c>
    </row>
    <row r="155" customFormat="false" ht="15" hidden="false" customHeight="false" outlineLevel="0" collapsed="false">
      <c r="A155" s="27"/>
      <c r="B155" s="5"/>
      <c r="C155" s="35"/>
      <c r="D155" s="5"/>
      <c r="E155" s="5"/>
      <c r="F155" s="19" t="str">
        <f aca="false">IF(A155="","",IF(COUNTIF(Contratos!$A:$A,A155)+COUNTIF(Pagamentos!$A:$A,A155)=0,"não consta","SIM — contratos: "&amp;COUNTIF(Contratos!$A:$A,A155)&amp;"; pagamentos: "&amp;COUNTIF(Pagamentos!$A:$A,A155)))</f>
        <v/>
      </c>
      <c r="G155" s="27"/>
      <c r="H155" s="5"/>
      <c r="J155" s="5"/>
      <c r="K155" s="41"/>
      <c r="L155" s="14"/>
      <c r="M155" s="5"/>
      <c r="N155" s="35"/>
      <c r="O155" s="27"/>
      <c r="P155" s="39" t="str">
        <f aca="false">IF(OR(J155="",K155=""),"",SUMIFS($N:$N,$J:$J,J155,$K:$K,K155))</f>
        <v/>
      </c>
      <c r="Q155" s="32" t="str">
        <f aca="false">IF(OR(J155="",K155=""),"",IF(COUNTIFS($J:$J,J155,$K:$K,"&lt;"&amp;K155)=0,"",_xlfn.MAXIFS($K:$K,$J:$J,J155,$K:$K,"&lt;"&amp;K155)))</f>
        <v/>
      </c>
      <c r="R155" s="39" t="str">
        <f aca="false">IF(Q155="","",SUMIFS($N:$N,$J:$J,J155,$K:$K,Q155))</f>
        <v/>
      </c>
      <c r="S155" s="37" t="str">
        <f aca="false">IF(OR(R155="",R155=0,P155=""),"",P155/R155-1)</f>
        <v/>
      </c>
    </row>
    <row r="156" customFormat="false" ht="15" hidden="false" customHeight="false" outlineLevel="0" collapsed="false">
      <c r="A156" s="27"/>
      <c r="B156" s="5"/>
      <c r="C156" s="35"/>
      <c r="D156" s="5"/>
      <c r="E156" s="5"/>
      <c r="F156" s="19" t="str">
        <f aca="false">IF(A156="","",IF(COUNTIF(Contratos!$A:$A,A156)+COUNTIF(Pagamentos!$A:$A,A156)=0,"não consta","SIM — contratos: "&amp;COUNTIF(Contratos!$A:$A,A156)&amp;"; pagamentos: "&amp;COUNTIF(Pagamentos!$A:$A,A156)))</f>
        <v/>
      </c>
      <c r="G156" s="27"/>
      <c r="H156" s="5"/>
      <c r="J156" s="5"/>
      <c r="K156" s="41"/>
      <c r="L156" s="14"/>
      <c r="M156" s="5"/>
      <c r="N156" s="35"/>
      <c r="O156" s="27"/>
      <c r="P156" s="39" t="str">
        <f aca="false">IF(OR(J156="",K156=""),"",SUMIFS($N:$N,$J:$J,J156,$K:$K,K156))</f>
        <v/>
      </c>
      <c r="Q156" s="32" t="str">
        <f aca="false">IF(OR(J156="",K156=""),"",IF(COUNTIFS($J:$J,J156,$K:$K,"&lt;"&amp;K156)=0,"",_xlfn.MAXIFS($K:$K,$J:$J,J156,$K:$K,"&lt;"&amp;K156)))</f>
        <v/>
      </c>
      <c r="R156" s="39" t="str">
        <f aca="false">IF(Q156="","",SUMIFS($N:$N,$J:$J,J156,$K:$K,Q156))</f>
        <v/>
      </c>
      <c r="S156" s="37" t="str">
        <f aca="false">IF(OR(R156="",R156=0,P156=""),"",P156/R156-1)</f>
        <v/>
      </c>
    </row>
    <row r="157" customFormat="false" ht="15" hidden="false" customHeight="false" outlineLevel="0" collapsed="false">
      <c r="A157" s="27"/>
      <c r="B157" s="5"/>
      <c r="C157" s="35"/>
      <c r="D157" s="5"/>
      <c r="E157" s="5"/>
      <c r="F157" s="19" t="str">
        <f aca="false">IF(A157="","",IF(COUNTIF(Contratos!$A:$A,A157)+COUNTIF(Pagamentos!$A:$A,A157)=0,"não consta","SIM — contratos: "&amp;COUNTIF(Contratos!$A:$A,A157)&amp;"; pagamentos: "&amp;COUNTIF(Pagamentos!$A:$A,A157)))</f>
        <v/>
      </c>
      <c r="G157" s="27"/>
      <c r="H157" s="5"/>
      <c r="J157" s="5"/>
      <c r="K157" s="41"/>
      <c r="L157" s="14"/>
      <c r="M157" s="5"/>
      <c r="N157" s="35"/>
      <c r="O157" s="27"/>
      <c r="P157" s="39" t="str">
        <f aca="false">IF(OR(J157="",K157=""),"",SUMIFS($N:$N,$J:$J,J157,$K:$K,K157))</f>
        <v/>
      </c>
      <c r="Q157" s="32" t="str">
        <f aca="false">IF(OR(J157="",K157=""),"",IF(COUNTIFS($J:$J,J157,$K:$K,"&lt;"&amp;K157)=0,"",_xlfn.MAXIFS($K:$K,$J:$J,J157,$K:$K,"&lt;"&amp;K157)))</f>
        <v/>
      </c>
      <c r="R157" s="39" t="str">
        <f aca="false">IF(Q157="","",SUMIFS($N:$N,$J:$J,J157,$K:$K,Q157))</f>
        <v/>
      </c>
      <c r="S157" s="37" t="str">
        <f aca="false">IF(OR(R157="",R157=0,P157=""),"",P157/R157-1)</f>
        <v/>
      </c>
    </row>
    <row r="158" customFormat="false" ht="15" hidden="false" customHeight="false" outlineLevel="0" collapsed="false">
      <c r="A158" s="27"/>
      <c r="B158" s="5"/>
      <c r="C158" s="35"/>
      <c r="D158" s="5"/>
      <c r="E158" s="5"/>
      <c r="F158" s="19" t="str">
        <f aca="false">IF(A158="","",IF(COUNTIF(Contratos!$A:$A,A158)+COUNTIF(Pagamentos!$A:$A,A158)=0,"não consta","SIM — contratos: "&amp;COUNTIF(Contratos!$A:$A,A158)&amp;"; pagamentos: "&amp;COUNTIF(Pagamentos!$A:$A,A158)))</f>
        <v/>
      </c>
      <c r="G158" s="27"/>
      <c r="H158" s="5"/>
      <c r="J158" s="5"/>
      <c r="K158" s="41"/>
      <c r="L158" s="14"/>
      <c r="M158" s="5"/>
      <c r="N158" s="35"/>
      <c r="O158" s="27"/>
      <c r="P158" s="39" t="str">
        <f aca="false">IF(OR(J158="",K158=""),"",SUMIFS($N:$N,$J:$J,J158,$K:$K,K158))</f>
        <v/>
      </c>
      <c r="Q158" s="32" t="str">
        <f aca="false">IF(OR(J158="",K158=""),"",IF(COUNTIFS($J:$J,J158,$K:$K,"&lt;"&amp;K158)=0,"",_xlfn.MAXIFS($K:$K,$J:$J,J158,$K:$K,"&lt;"&amp;K158)))</f>
        <v/>
      </c>
      <c r="R158" s="39" t="str">
        <f aca="false">IF(Q158="","",SUMIFS($N:$N,$J:$J,J158,$K:$K,Q158))</f>
        <v/>
      </c>
      <c r="S158" s="37" t="str">
        <f aca="false">IF(OR(R158="",R158=0,P158=""),"",P158/R158-1)</f>
        <v/>
      </c>
    </row>
    <row r="159" customFormat="false" ht="15" hidden="false" customHeight="false" outlineLevel="0" collapsed="false">
      <c r="A159" s="27"/>
      <c r="B159" s="5"/>
      <c r="C159" s="35"/>
      <c r="D159" s="5"/>
      <c r="E159" s="5"/>
      <c r="F159" s="19" t="str">
        <f aca="false">IF(A159="","",IF(COUNTIF(Contratos!$A:$A,A159)+COUNTIF(Pagamentos!$A:$A,A159)=0,"não consta","SIM — contratos: "&amp;COUNTIF(Contratos!$A:$A,A159)&amp;"; pagamentos: "&amp;COUNTIF(Pagamentos!$A:$A,A159)))</f>
        <v/>
      </c>
      <c r="G159" s="27"/>
      <c r="H159" s="5"/>
      <c r="J159" s="5"/>
      <c r="K159" s="41"/>
      <c r="L159" s="14"/>
      <c r="M159" s="5"/>
      <c r="N159" s="35"/>
      <c r="O159" s="27"/>
      <c r="P159" s="39" t="str">
        <f aca="false">IF(OR(J159="",K159=""),"",SUMIFS($N:$N,$J:$J,J159,$K:$K,K159))</f>
        <v/>
      </c>
      <c r="Q159" s="32" t="str">
        <f aca="false">IF(OR(J159="",K159=""),"",IF(COUNTIFS($J:$J,J159,$K:$K,"&lt;"&amp;K159)=0,"",_xlfn.MAXIFS($K:$K,$J:$J,J159,$K:$K,"&lt;"&amp;K159)))</f>
        <v/>
      </c>
      <c r="R159" s="39" t="str">
        <f aca="false">IF(Q159="","",SUMIFS($N:$N,$J:$J,J159,$K:$K,Q159))</f>
        <v/>
      </c>
      <c r="S159" s="37" t="str">
        <f aca="false">IF(OR(R159="",R159=0,P159=""),"",P159/R159-1)</f>
        <v/>
      </c>
    </row>
    <row r="160" customFormat="false" ht="15" hidden="false" customHeight="false" outlineLevel="0" collapsed="false">
      <c r="A160" s="27"/>
      <c r="B160" s="5"/>
      <c r="C160" s="35"/>
      <c r="D160" s="5"/>
      <c r="E160" s="5"/>
      <c r="F160" s="19" t="str">
        <f aca="false">IF(A160="","",IF(COUNTIF(Contratos!$A:$A,A160)+COUNTIF(Pagamentos!$A:$A,A160)=0,"não consta","SIM — contratos: "&amp;COUNTIF(Contratos!$A:$A,A160)&amp;"; pagamentos: "&amp;COUNTIF(Pagamentos!$A:$A,A160)))</f>
        <v/>
      </c>
      <c r="G160" s="27"/>
      <c r="H160" s="5"/>
      <c r="J160" s="5"/>
      <c r="K160" s="41"/>
      <c r="L160" s="14"/>
      <c r="M160" s="5"/>
      <c r="N160" s="35"/>
      <c r="O160" s="27"/>
      <c r="P160" s="39" t="str">
        <f aca="false">IF(OR(J160="",K160=""),"",SUMIFS($N:$N,$J:$J,J160,$K:$K,K160))</f>
        <v/>
      </c>
      <c r="Q160" s="32" t="str">
        <f aca="false">IF(OR(J160="",K160=""),"",IF(COUNTIFS($J:$J,J160,$K:$K,"&lt;"&amp;K160)=0,"",_xlfn.MAXIFS($K:$K,$J:$J,J160,$K:$K,"&lt;"&amp;K160)))</f>
        <v/>
      </c>
      <c r="R160" s="39" t="str">
        <f aca="false">IF(Q160="","",SUMIFS($N:$N,$J:$J,J160,$K:$K,Q160))</f>
        <v/>
      </c>
      <c r="S160" s="37" t="str">
        <f aca="false">IF(OR(R160="",R160=0,P160=""),"",P160/R160-1)</f>
        <v/>
      </c>
    </row>
    <row r="161" customFormat="false" ht="15" hidden="false" customHeight="false" outlineLevel="0" collapsed="false">
      <c r="A161" s="27"/>
      <c r="B161" s="5"/>
      <c r="C161" s="35"/>
      <c r="D161" s="5"/>
      <c r="E161" s="5"/>
      <c r="F161" s="19" t="str">
        <f aca="false">IF(A161="","",IF(COUNTIF(Contratos!$A:$A,A161)+COUNTIF(Pagamentos!$A:$A,A161)=0,"não consta","SIM — contratos: "&amp;COUNTIF(Contratos!$A:$A,A161)&amp;"; pagamentos: "&amp;COUNTIF(Pagamentos!$A:$A,A161)))</f>
        <v/>
      </c>
      <c r="G161" s="27"/>
      <c r="H161" s="5"/>
      <c r="J161" s="5"/>
      <c r="K161" s="41"/>
      <c r="L161" s="14"/>
      <c r="M161" s="5"/>
      <c r="N161" s="35"/>
      <c r="O161" s="27"/>
      <c r="P161" s="39" t="str">
        <f aca="false">IF(OR(J161="",K161=""),"",SUMIFS($N:$N,$J:$J,J161,$K:$K,K161))</f>
        <v/>
      </c>
      <c r="Q161" s="32" t="str">
        <f aca="false">IF(OR(J161="",K161=""),"",IF(COUNTIFS($J:$J,J161,$K:$K,"&lt;"&amp;K161)=0,"",_xlfn.MAXIFS($K:$K,$J:$J,J161,$K:$K,"&lt;"&amp;K161)))</f>
        <v/>
      </c>
      <c r="R161" s="39" t="str">
        <f aca="false">IF(Q161="","",SUMIFS($N:$N,$J:$J,J161,$K:$K,Q161))</f>
        <v/>
      </c>
      <c r="S161" s="37" t="str">
        <f aca="false">IF(OR(R161="",R161=0,P161=""),"",P161/R161-1)</f>
        <v/>
      </c>
    </row>
    <row r="162" customFormat="false" ht="15" hidden="false" customHeight="false" outlineLevel="0" collapsed="false">
      <c r="A162" s="27"/>
      <c r="B162" s="5"/>
      <c r="C162" s="35"/>
      <c r="D162" s="5"/>
      <c r="E162" s="5"/>
      <c r="F162" s="19" t="str">
        <f aca="false">IF(A162="","",IF(COUNTIF(Contratos!$A:$A,A162)+COUNTIF(Pagamentos!$A:$A,A162)=0,"não consta","SIM — contratos: "&amp;COUNTIF(Contratos!$A:$A,A162)&amp;"; pagamentos: "&amp;COUNTIF(Pagamentos!$A:$A,A162)))</f>
        <v/>
      </c>
      <c r="G162" s="27"/>
      <c r="H162" s="5"/>
      <c r="J162" s="5"/>
      <c r="K162" s="41"/>
      <c r="L162" s="14"/>
      <c r="M162" s="5"/>
      <c r="N162" s="35"/>
      <c r="O162" s="27"/>
      <c r="P162" s="39" t="str">
        <f aca="false">IF(OR(J162="",K162=""),"",SUMIFS($N:$N,$J:$J,J162,$K:$K,K162))</f>
        <v/>
      </c>
      <c r="Q162" s="32" t="str">
        <f aca="false">IF(OR(J162="",K162=""),"",IF(COUNTIFS($J:$J,J162,$K:$K,"&lt;"&amp;K162)=0,"",_xlfn.MAXIFS($K:$K,$J:$J,J162,$K:$K,"&lt;"&amp;K162)))</f>
        <v/>
      </c>
      <c r="R162" s="39" t="str">
        <f aca="false">IF(Q162="","",SUMIFS($N:$N,$J:$J,J162,$K:$K,Q162))</f>
        <v/>
      </c>
      <c r="S162" s="37" t="str">
        <f aca="false">IF(OR(R162="",R162=0,P162=""),"",P162/R162-1)</f>
        <v/>
      </c>
    </row>
    <row r="163" customFormat="false" ht="15" hidden="false" customHeight="false" outlineLevel="0" collapsed="false">
      <c r="A163" s="27"/>
      <c r="B163" s="5"/>
      <c r="C163" s="35"/>
      <c r="D163" s="5"/>
      <c r="E163" s="5"/>
      <c r="F163" s="19" t="str">
        <f aca="false">IF(A163="","",IF(COUNTIF(Contratos!$A:$A,A163)+COUNTIF(Pagamentos!$A:$A,A163)=0,"não consta","SIM — contratos: "&amp;COUNTIF(Contratos!$A:$A,A163)&amp;"; pagamentos: "&amp;COUNTIF(Pagamentos!$A:$A,A163)))</f>
        <v/>
      </c>
      <c r="G163" s="27"/>
      <c r="H163" s="5"/>
      <c r="J163" s="5"/>
      <c r="K163" s="41"/>
      <c r="L163" s="14"/>
      <c r="M163" s="5"/>
      <c r="N163" s="35"/>
      <c r="O163" s="27"/>
      <c r="P163" s="39" t="str">
        <f aca="false">IF(OR(J163="",K163=""),"",SUMIFS($N:$N,$J:$J,J163,$K:$K,K163))</f>
        <v/>
      </c>
      <c r="Q163" s="32" t="str">
        <f aca="false">IF(OR(J163="",K163=""),"",IF(COUNTIFS($J:$J,J163,$K:$K,"&lt;"&amp;K163)=0,"",_xlfn.MAXIFS($K:$K,$J:$J,J163,$K:$K,"&lt;"&amp;K163)))</f>
        <v/>
      </c>
      <c r="R163" s="39" t="str">
        <f aca="false">IF(Q163="","",SUMIFS($N:$N,$J:$J,J163,$K:$K,Q163))</f>
        <v/>
      </c>
      <c r="S163" s="37" t="str">
        <f aca="false">IF(OR(R163="",R163=0,P163=""),"",P163/R163-1)</f>
        <v/>
      </c>
    </row>
    <row r="164" customFormat="false" ht="15" hidden="false" customHeight="false" outlineLevel="0" collapsed="false">
      <c r="A164" s="27"/>
      <c r="B164" s="5"/>
      <c r="C164" s="35"/>
      <c r="D164" s="5"/>
      <c r="E164" s="5"/>
      <c r="F164" s="19" t="str">
        <f aca="false">IF(A164="","",IF(COUNTIF(Contratos!$A:$A,A164)+COUNTIF(Pagamentos!$A:$A,A164)=0,"não consta","SIM — contratos: "&amp;COUNTIF(Contratos!$A:$A,A164)&amp;"; pagamentos: "&amp;COUNTIF(Pagamentos!$A:$A,A164)))</f>
        <v/>
      </c>
      <c r="G164" s="27"/>
      <c r="H164" s="5"/>
      <c r="J164" s="5"/>
      <c r="K164" s="41"/>
      <c r="L164" s="14"/>
      <c r="M164" s="5"/>
      <c r="N164" s="35"/>
      <c r="O164" s="27"/>
      <c r="P164" s="39" t="str">
        <f aca="false">IF(OR(J164="",K164=""),"",SUMIFS($N:$N,$J:$J,J164,$K:$K,K164))</f>
        <v/>
      </c>
      <c r="Q164" s="32" t="str">
        <f aca="false">IF(OR(J164="",K164=""),"",IF(COUNTIFS($J:$J,J164,$K:$K,"&lt;"&amp;K164)=0,"",_xlfn.MAXIFS($K:$K,$J:$J,J164,$K:$K,"&lt;"&amp;K164)))</f>
        <v/>
      </c>
      <c r="R164" s="39" t="str">
        <f aca="false">IF(Q164="","",SUMIFS($N:$N,$J:$J,J164,$K:$K,Q164))</f>
        <v/>
      </c>
      <c r="S164" s="37" t="str">
        <f aca="false">IF(OR(R164="",R164=0,P164=""),"",P164/R164-1)</f>
        <v/>
      </c>
    </row>
    <row r="165" customFormat="false" ht="15" hidden="false" customHeight="false" outlineLevel="0" collapsed="false">
      <c r="A165" s="27"/>
      <c r="B165" s="5"/>
      <c r="C165" s="35"/>
      <c r="D165" s="5"/>
      <c r="E165" s="5"/>
      <c r="F165" s="19" t="str">
        <f aca="false">IF(A165="","",IF(COUNTIF(Contratos!$A:$A,A165)+COUNTIF(Pagamentos!$A:$A,A165)=0,"não consta","SIM — contratos: "&amp;COUNTIF(Contratos!$A:$A,A165)&amp;"; pagamentos: "&amp;COUNTIF(Pagamentos!$A:$A,A165)))</f>
        <v/>
      </c>
      <c r="G165" s="27"/>
      <c r="H165" s="5"/>
      <c r="J165" s="5"/>
      <c r="K165" s="41"/>
      <c r="L165" s="14"/>
      <c r="M165" s="5"/>
      <c r="N165" s="35"/>
      <c r="O165" s="27"/>
      <c r="P165" s="39" t="str">
        <f aca="false">IF(OR(J165="",K165=""),"",SUMIFS($N:$N,$J:$J,J165,$K:$K,K165))</f>
        <v/>
      </c>
      <c r="Q165" s="32" t="str">
        <f aca="false">IF(OR(J165="",K165=""),"",IF(COUNTIFS($J:$J,J165,$K:$K,"&lt;"&amp;K165)=0,"",_xlfn.MAXIFS($K:$K,$J:$J,J165,$K:$K,"&lt;"&amp;K165)))</f>
        <v/>
      </c>
      <c r="R165" s="39" t="str">
        <f aca="false">IF(Q165="","",SUMIFS($N:$N,$J:$J,J165,$K:$K,Q165))</f>
        <v/>
      </c>
      <c r="S165" s="37" t="str">
        <f aca="false">IF(OR(R165="",R165=0,P165=""),"",P165/R165-1)</f>
        <v/>
      </c>
    </row>
    <row r="166" customFormat="false" ht="15" hidden="false" customHeight="false" outlineLevel="0" collapsed="false">
      <c r="A166" s="27"/>
      <c r="B166" s="5"/>
      <c r="C166" s="35"/>
      <c r="D166" s="5"/>
      <c r="E166" s="5"/>
      <c r="F166" s="19" t="str">
        <f aca="false">IF(A166="","",IF(COUNTIF(Contratos!$A:$A,A166)+COUNTIF(Pagamentos!$A:$A,A166)=0,"não consta","SIM — contratos: "&amp;COUNTIF(Contratos!$A:$A,A166)&amp;"; pagamentos: "&amp;COUNTIF(Pagamentos!$A:$A,A166)))</f>
        <v/>
      </c>
      <c r="G166" s="27"/>
      <c r="H166" s="5"/>
      <c r="J166" s="5"/>
      <c r="K166" s="41"/>
      <c r="L166" s="14"/>
      <c r="M166" s="5"/>
      <c r="N166" s="35"/>
      <c r="O166" s="27"/>
      <c r="P166" s="39" t="str">
        <f aca="false">IF(OR(J166="",K166=""),"",SUMIFS($N:$N,$J:$J,J166,$K:$K,K166))</f>
        <v/>
      </c>
      <c r="Q166" s="32" t="str">
        <f aca="false">IF(OR(J166="",K166=""),"",IF(COUNTIFS($J:$J,J166,$K:$K,"&lt;"&amp;K166)=0,"",_xlfn.MAXIFS($K:$K,$J:$J,J166,$K:$K,"&lt;"&amp;K166)))</f>
        <v/>
      </c>
      <c r="R166" s="39" t="str">
        <f aca="false">IF(Q166="","",SUMIFS($N:$N,$J:$J,J166,$K:$K,Q166))</f>
        <v/>
      </c>
      <c r="S166" s="37" t="str">
        <f aca="false">IF(OR(R166="",R166=0,P166=""),"",P166/R166-1)</f>
        <v/>
      </c>
    </row>
    <row r="167" customFormat="false" ht="15" hidden="false" customHeight="false" outlineLevel="0" collapsed="false">
      <c r="A167" s="27"/>
      <c r="B167" s="5"/>
      <c r="C167" s="35"/>
      <c r="D167" s="5"/>
      <c r="E167" s="5"/>
      <c r="F167" s="19" t="str">
        <f aca="false">IF(A167="","",IF(COUNTIF(Contratos!$A:$A,A167)+COUNTIF(Pagamentos!$A:$A,A167)=0,"não consta","SIM — contratos: "&amp;COUNTIF(Contratos!$A:$A,A167)&amp;"; pagamentos: "&amp;COUNTIF(Pagamentos!$A:$A,A167)))</f>
        <v/>
      </c>
      <c r="G167" s="27"/>
      <c r="H167" s="5"/>
      <c r="J167" s="5"/>
      <c r="K167" s="41"/>
      <c r="L167" s="14"/>
      <c r="M167" s="5"/>
      <c r="N167" s="35"/>
      <c r="O167" s="27"/>
      <c r="P167" s="39" t="str">
        <f aca="false">IF(OR(J167="",K167=""),"",SUMIFS($N:$N,$J:$J,J167,$K:$K,K167))</f>
        <v/>
      </c>
      <c r="Q167" s="32" t="str">
        <f aca="false">IF(OR(J167="",K167=""),"",IF(COUNTIFS($J:$J,J167,$K:$K,"&lt;"&amp;K167)=0,"",_xlfn.MAXIFS($K:$K,$J:$J,J167,$K:$K,"&lt;"&amp;K167)))</f>
        <v/>
      </c>
      <c r="R167" s="39" t="str">
        <f aca="false">IF(Q167="","",SUMIFS($N:$N,$J:$J,J167,$K:$K,Q167))</f>
        <v/>
      </c>
      <c r="S167" s="37" t="str">
        <f aca="false">IF(OR(R167="",R167=0,P167=""),"",P167/R167-1)</f>
        <v/>
      </c>
    </row>
    <row r="168" customFormat="false" ht="15" hidden="false" customHeight="false" outlineLevel="0" collapsed="false">
      <c r="A168" s="27"/>
      <c r="B168" s="5"/>
      <c r="C168" s="35"/>
      <c r="D168" s="5"/>
      <c r="E168" s="5"/>
      <c r="F168" s="19" t="str">
        <f aca="false">IF(A168="","",IF(COUNTIF(Contratos!$A:$A,A168)+COUNTIF(Pagamentos!$A:$A,A168)=0,"não consta","SIM — contratos: "&amp;COUNTIF(Contratos!$A:$A,A168)&amp;"; pagamentos: "&amp;COUNTIF(Pagamentos!$A:$A,A168)))</f>
        <v/>
      </c>
      <c r="G168" s="27"/>
      <c r="H168" s="5"/>
      <c r="J168" s="5"/>
      <c r="K168" s="41"/>
      <c r="L168" s="14"/>
      <c r="M168" s="5"/>
      <c r="N168" s="35"/>
      <c r="O168" s="27"/>
      <c r="P168" s="39" t="str">
        <f aca="false">IF(OR(J168="",K168=""),"",SUMIFS($N:$N,$J:$J,J168,$K:$K,K168))</f>
        <v/>
      </c>
      <c r="Q168" s="32" t="str">
        <f aca="false">IF(OR(J168="",K168=""),"",IF(COUNTIFS($J:$J,J168,$K:$K,"&lt;"&amp;K168)=0,"",_xlfn.MAXIFS($K:$K,$J:$J,J168,$K:$K,"&lt;"&amp;K168)))</f>
        <v/>
      </c>
      <c r="R168" s="39" t="str">
        <f aca="false">IF(Q168="","",SUMIFS($N:$N,$J:$J,J168,$K:$K,Q168))</f>
        <v/>
      </c>
      <c r="S168" s="37" t="str">
        <f aca="false">IF(OR(R168="",R168=0,P168=""),"",P168/R168-1)</f>
        <v/>
      </c>
    </row>
    <row r="169" customFormat="false" ht="15" hidden="false" customHeight="false" outlineLevel="0" collapsed="false">
      <c r="A169" s="27"/>
      <c r="B169" s="5"/>
      <c r="C169" s="35"/>
      <c r="D169" s="5"/>
      <c r="E169" s="5"/>
      <c r="F169" s="19" t="str">
        <f aca="false">IF(A169="","",IF(COUNTIF(Contratos!$A:$A,A169)+COUNTIF(Pagamentos!$A:$A,A169)=0,"não consta","SIM — contratos: "&amp;COUNTIF(Contratos!$A:$A,A169)&amp;"; pagamentos: "&amp;COUNTIF(Pagamentos!$A:$A,A169)))</f>
        <v/>
      </c>
      <c r="G169" s="27"/>
      <c r="H169" s="5"/>
      <c r="J169" s="5"/>
      <c r="K169" s="41"/>
      <c r="L169" s="14"/>
      <c r="M169" s="5"/>
      <c r="N169" s="35"/>
      <c r="O169" s="27"/>
      <c r="P169" s="39" t="str">
        <f aca="false">IF(OR(J169="",K169=""),"",SUMIFS($N:$N,$J:$J,J169,$K:$K,K169))</f>
        <v/>
      </c>
      <c r="Q169" s="32" t="str">
        <f aca="false">IF(OR(J169="",K169=""),"",IF(COUNTIFS($J:$J,J169,$K:$K,"&lt;"&amp;K169)=0,"",_xlfn.MAXIFS($K:$K,$J:$J,J169,$K:$K,"&lt;"&amp;K169)))</f>
        <v/>
      </c>
      <c r="R169" s="39" t="str">
        <f aca="false">IF(Q169="","",SUMIFS($N:$N,$J:$J,J169,$K:$K,Q169))</f>
        <v/>
      </c>
      <c r="S169" s="37" t="str">
        <f aca="false">IF(OR(R169="",R169=0,P169=""),"",P169/R169-1)</f>
        <v/>
      </c>
    </row>
    <row r="170" customFormat="false" ht="15" hidden="false" customHeight="false" outlineLevel="0" collapsed="false">
      <c r="A170" s="27"/>
      <c r="B170" s="5"/>
      <c r="C170" s="35"/>
      <c r="D170" s="5"/>
      <c r="E170" s="5"/>
      <c r="F170" s="19" t="str">
        <f aca="false">IF(A170="","",IF(COUNTIF(Contratos!$A:$A,A170)+COUNTIF(Pagamentos!$A:$A,A170)=0,"não consta","SIM — contratos: "&amp;COUNTIF(Contratos!$A:$A,A170)&amp;"; pagamentos: "&amp;COUNTIF(Pagamentos!$A:$A,A170)))</f>
        <v/>
      </c>
      <c r="G170" s="27"/>
      <c r="H170" s="5"/>
      <c r="J170" s="5"/>
      <c r="K170" s="41"/>
      <c r="L170" s="14"/>
      <c r="M170" s="5"/>
      <c r="N170" s="35"/>
      <c r="O170" s="27"/>
      <c r="P170" s="39" t="str">
        <f aca="false">IF(OR(J170="",K170=""),"",SUMIFS($N:$N,$J:$J,J170,$K:$K,K170))</f>
        <v/>
      </c>
      <c r="Q170" s="32" t="str">
        <f aca="false">IF(OR(J170="",K170=""),"",IF(COUNTIFS($J:$J,J170,$K:$K,"&lt;"&amp;K170)=0,"",_xlfn.MAXIFS($K:$K,$J:$J,J170,$K:$K,"&lt;"&amp;K170)))</f>
        <v/>
      </c>
      <c r="R170" s="39" t="str">
        <f aca="false">IF(Q170="","",SUMIFS($N:$N,$J:$J,J170,$K:$K,Q170))</f>
        <v/>
      </c>
      <c r="S170" s="37" t="str">
        <f aca="false">IF(OR(R170="",R170=0,P170=""),"",P170/R170-1)</f>
        <v/>
      </c>
    </row>
    <row r="171" customFormat="false" ht="15" hidden="false" customHeight="false" outlineLevel="0" collapsed="false">
      <c r="A171" s="27"/>
      <c r="B171" s="5"/>
      <c r="C171" s="35"/>
      <c r="D171" s="5"/>
      <c r="E171" s="5"/>
      <c r="F171" s="19" t="str">
        <f aca="false">IF(A171="","",IF(COUNTIF(Contratos!$A:$A,A171)+COUNTIF(Pagamentos!$A:$A,A171)=0,"não consta","SIM — contratos: "&amp;COUNTIF(Contratos!$A:$A,A171)&amp;"; pagamentos: "&amp;COUNTIF(Pagamentos!$A:$A,A171)))</f>
        <v/>
      </c>
      <c r="G171" s="27"/>
      <c r="H171" s="5"/>
      <c r="J171" s="5"/>
      <c r="K171" s="41"/>
      <c r="L171" s="14"/>
      <c r="M171" s="5"/>
      <c r="N171" s="35"/>
      <c r="O171" s="27"/>
      <c r="P171" s="39" t="str">
        <f aca="false">IF(OR(J171="",K171=""),"",SUMIFS($N:$N,$J:$J,J171,$K:$K,K171))</f>
        <v/>
      </c>
      <c r="Q171" s="32" t="str">
        <f aca="false">IF(OR(J171="",K171=""),"",IF(COUNTIFS($J:$J,J171,$K:$K,"&lt;"&amp;K171)=0,"",_xlfn.MAXIFS($K:$K,$J:$J,J171,$K:$K,"&lt;"&amp;K171)))</f>
        <v/>
      </c>
      <c r="R171" s="39" t="str">
        <f aca="false">IF(Q171="","",SUMIFS($N:$N,$J:$J,J171,$K:$K,Q171))</f>
        <v/>
      </c>
      <c r="S171" s="37" t="str">
        <f aca="false">IF(OR(R171="",R171=0,P171=""),"",P171/R171-1)</f>
        <v/>
      </c>
    </row>
    <row r="172" customFormat="false" ht="15" hidden="false" customHeight="false" outlineLevel="0" collapsed="false">
      <c r="A172" s="27"/>
      <c r="B172" s="5"/>
      <c r="C172" s="35"/>
      <c r="D172" s="5"/>
      <c r="E172" s="5"/>
      <c r="F172" s="19" t="str">
        <f aca="false">IF(A172="","",IF(COUNTIF(Contratos!$A:$A,A172)+COUNTIF(Pagamentos!$A:$A,A172)=0,"não consta","SIM — contratos: "&amp;COUNTIF(Contratos!$A:$A,A172)&amp;"; pagamentos: "&amp;COUNTIF(Pagamentos!$A:$A,A172)))</f>
        <v/>
      </c>
      <c r="G172" s="27"/>
      <c r="H172" s="5"/>
      <c r="J172" s="5"/>
      <c r="K172" s="41"/>
      <c r="L172" s="14"/>
      <c r="M172" s="5"/>
      <c r="N172" s="35"/>
      <c r="O172" s="27"/>
      <c r="P172" s="39" t="str">
        <f aca="false">IF(OR(J172="",K172=""),"",SUMIFS($N:$N,$J:$J,J172,$K:$K,K172))</f>
        <v/>
      </c>
      <c r="Q172" s="32" t="str">
        <f aca="false">IF(OR(J172="",K172=""),"",IF(COUNTIFS($J:$J,J172,$K:$K,"&lt;"&amp;K172)=0,"",_xlfn.MAXIFS($K:$K,$J:$J,J172,$K:$K,"&lt;"&amp;K172)))</f>
        <v/>
      </c>
      <c r="R172" s="39" t="str">
        <f aca="false">IF(Q172="","",SUMIFS($N:$N,$J:$J,J172,$K:$K,Q172))</f>
        <v/>
      </c>
      <c r="S172" s="37" t="str">
        <f aca="false">IF(OR(R172="",R172=0,P172=""),"",P172/R172-1)</f>
        <v/>
      </c>
    </row>
    <row r="173" customFormat="false" ht="15" hidden="false" customHeight="false" outlineLevel="0" collapsed="false">
      <c r="A173" s="27"/>
      <c r="B173" s="5"/>
      <c r="C173" s="35"/>
      <c r="D173" s="5"/>
      <c r="E173" s="5"/>
      <c r="F173" s="19" t="str">
        <f aca="false">IF(A173="","",IF(COUNTIF(Contratos!$A:$A,A173)+COUNTIF(Pagamentos!$A:$A,A173)=0,"não consta","SIM — contratos: "&amp;COUNTIF(Contratos!$A:$A,A173)&amp;"; pagamentos: "&amp;COUNTIF(Pagamentos!$A:$A,A173)))</f>
        <v/>
      </c>
      <c r="G173" s="27"/>
      <c r="H173" s="5"/>
      <c r="J173" s="5"/>
      <c r="K173" s="41"/>
      <c r="L173" s="14"/>
      <c r="M173" s="5"/>
      <c r="N173" s="35"/>
      <c r="O173" s="27"/>
      <c r="P173" s="39" t="str">
        <f aca="false">IF(OR(J173="",K173=""),"",SUMIFS($N:$N,$J:$J,J173,$K:$K,K173))</f>
        <v/>
      </c>
      <c r="Q173" s="32" t="str">
        <f aca="false">IF(OR(J173="",K173=""),"",IF(COUNTIFS($J:$J,J173,$K:$K,"&lt;"&amp;K173)=0,"",_xlfn.MAXIFS($K:$K,$J:$J,J173,$K:$K,"&lt;"&amp;K173)))</f>
        <v/>
      </c>
      <c r="R173" s="39" t="str">
        <f aca="false">IF(Q173="","",SUMIFS($N:$N,$J:$J,J173,$K:$K,Q173))</f>
        <v/>
      </c>
      <c r="S173" s="37" t="str">
        <f aca="false">IF(OR(R173="",R173=0,P173=""),"",P173/R173-1)</f>
        <v/>
      </c>
    </row>
    <row r="174" customFormat="false" ht="15" hidden="false" customHeight="false" outlineLevel="0" collapsed="false">
      <c r="A174" s="27"/>
      <c r="B174" s="5"/>
      <c r="C174" s="35"/>
      <c r="D174" s="5"/>
      <c r="E174" s="5"/>
      <c r="F174" s="19" t="str">
        <f aca="false">IF(A174="","",IF(COUNTIF(Contratos!$A:$A,A174)+COUNTIF(Pagamentos!$A:$A,A174)=0,"não consta","SIM — contratos: "&amp;COUNTIF(Contratos!$A:$A,A174)&amp;"; pagamentos: "&amp;COUNTIF(Pagamentos!$A:$A,A174)))</f>
        <v/>
      </c>
      <c r="G174" s="27"/>
      <c r="H174" s="5"/>
      <c r="J174" s="5"/>
      <c r="K174" s="41"/>
      <c r="L174" s="14"/>
      <c r="M174" s="5"/>
      <c r="N174" s="35"/>
      <c r="O174" s="27"/>
      <c r="P174" s="39" t="str">
        <f aca="false">IF(OR(J174="",K174=""),"",SUMIFS($N:$N,$J:$J,J174,$K:$K,K174))</f>
        <v/>
      </c>
      <c r="Q174" s="32" t="str">
        <f aca="false">IF(OR(J174="",K174=""),"",IF(COUNTIFS($J:$J,J174,$K:$K,"&lt;"&amp;K174)=0,"",_xlfn.MAXIFS($K:$K,$J:$J,J174,$K:$K,"&lt;"&amp;K174)))</f>
        <v/>
      </c>
      <c r="R174" s="39" t="str">
        <f aca="false">IF(Q174="","",SUMIFS($N:$N,$J:$J,J174,$K:$K,Q174))</f>
        <v/>
      </c>
      <c r="S174" s="37" t="str">
        <f aca="false">IF(OR(R174="",R174=0,P174=""),"",P174/R174-1)</f>
        <v/>
      </c>
    </row>
    <row r="175" customFormat="false" ht="15" hidden="false" customHeight="false" outlineLevel="0" collapsed="false">
      <c r="A175" s="27"/>
      <c r="B175" s="5"/>
      <c r="C175" s="35"/>
      <c r="D175" s="5"/>
      <c r="E175" s="5"/>
      <c r="F175" s="19" t="str">
        <f aca="false">IF(A175="","",IF(COUNTIF(Contratos!$A:$A,A175)+COUNTIF(Pagamentos!$A:$A,A175)=0,"não consta","SIM — contratos: "&amp;COUNTIF(Contratos!$A:$A,A175)&amp;"; pagamentos: "&amp;COUNTIF(Pagamentos!$A:$A,A175)))</f>
        <v/>
      </c>
      <c r="G175" s="27"/>
      <c r="H175" s="5"/>
      <c r="J175" s="5"/>
      <c r="K175" s="41"/>
      <c r="L175" s="14"/>
      <c r="M175" s="5"/>
      <c r="N175" s="35"/>
      <c r="O175" s="27"/>
      <c r="P175" s="39" t="str">
        <f aca="false">IF(OR(J175="",K175=""),"",SUMIFS($N:$N,$J:$J,J175,$K:$K,K175))</f>
        <v/>
      </c>
      <c r="Q175" s="32" t="str">
        <f aca="false">IF(OR(J175="",K175=""),"",IF(COUNTIFS($J:$J,J175,$K:$K,"&lt;"&amp;K175)=0,"",_xlfn.MAXIFS($K:$K,$J:$J,J175,$K:$K,"&lt;"&amp;K175)))</f>
        <v/>
      </c>
      <c r="R175" s="39" t="str">
        <f aca="false">IF(Q175="","",SUMIFS($N:$N,$J:$J,J175,$K:$K,Q175))</f>
        <v/>
      </c>
      <c r="S175" s="37" t="str">
        <f aca="false">IF(OR(R175="",R175=0,P175=""),"",P175/R175-1)</f>
        <v/>
      </c>
    </row>
    <row r="176" customFormat="false" ht="15" hidden="false" customHeight="false" outlineLevel="0" collapsed="false">
      <c r="A176" s="27"/>
      <c r="B176" s="5"/>
      <c r="C176" s="35"/>
      <c r="D176" s="5"/>
      <c r="E176" s="5"/>
      <c r="F176" s="19" t="str">
        <f aca="false">IF(A176="","",IF(COUNTIF(Contratos!$A:$A,A176)+COUNTIF(Pagamentos!$A:$A,A176)=0,"não consta","SIM — contratos: "&amp;COUNTIF(Contratos!$A:$A,A176)&amp;"; pagamentos: "&amp;COUNTIF(Pagamentos!$A:$A,A176)))</f>
        <v/>
      </c>
      <c r="G176" s="27"/>
      <c r="H176" s="5"/>
      <c r="J176" s="5"/>
      <c r="K176" s="41"/>
      <c r="L176" s="14"/>
      <c r="M176" s="5"/>
      <c r="N176" s="35"/>
      <c r="O176" s="27"/>
      <c r="P176" s="39" t="str">
        <f aca="false">IF(OR(J176="",K176=""),"",SUMIFS($N:$N,$J:$J,J176,$K:$K,K176))</f>
        <v/>
      </c>
      <c r="Q176" s="32" t="str">
        <f aca="false">IF(OR(J176="",K176=""),"",IF(COUNTIFS($J:$J,J176,$K:$K,"&lt;"&amp;K176)=0,"",_xlfn.MAXIFS($K:$K,$J:$J,J176,$K:$K,"&lt;"&amp;K176)))</f>
        <v/>
      </c>
      <c r="R176" s="39" t="str">
        <f aca="false">IF(Q176="","",SUMIFS($N:$N,$J:$J,J176,$K:$K,Q176))</f>
        <v/>
      </c>
      <c r="S176" s="37" t="str">
        <f aca="false">IF(OR(R176="",R176=0,P176=""),"",P176/R176-1)</f>
        <v/>
      </c>
    </row>
    <row r="177" customFormat="false" ht="15" hidden="false" customHeight="false" outlineLevel="0" collapsed="false">
      <c r="A177" s="27"/>
      <c r="B177" s="5"/>
      <c r="C177" s="35"/>
      <c r="D177" s="5"/>
      <c r="E177" s="5"/>
      <c r="F177" s="19" t="str">
        <f aca="false">IF(A177="","",IF(COUNTIF(Contratos!$A:$A,A177)+COUNTIF(Pagamentos!$A:$A,A177)=0,"não consta","SIM — contratos: "&amp;COUNTIF(Contratos!$A:$A,A177)&amp;"; pagamentos: "&amp;COUNTIF(Pagamentos!$A:$A,A177)))</f>
        <v/>
      </c>
      <c r="G177" s="27"/>
      <c r="H177" s="5"/>
      <c r="J177" s="5"/>
      <c r="K177" s="41"/>
      <c r="L177" s="14"/>
      <c r="M177" s="5"/>
      <c r="N177" s="35"/>
      <c r="O177" s="27"/>
      <c r="P177" s="39" t="str">
        <f aca="false">IF(OR(J177="",K177=""),"",SUMIFS($N:$N,$J:$J,J177,$K:$K,K177))</f>
        <v/>
      </c>
      <c r="Q177" s="32" t="str">
        <f aca="false">IF(OR(J177="",K177=""),"",IF(COUNTIFS($J:$J,J177,$K:$K,"&lt;"&amp;K177)=0,"",_xlfn.MAXIFS($K:$K,$J:$J,J177,$K:$K,"&lt;"&amp;K177)))</f>
        <v/>
      </c>
      <c r="R177" s="39" t="str">
        <f aca="false">IF(Q177="","",SUMIFS($N:$N,$J:$J,J177,$K:$K,Q177))</f>
        <v/>
      </c>
      <c r="S177" s="37" t="str">
        <f aca="false">IF(OR(R177="",R177=0,P177=""),"",P177/R177-1)</f>
        <v/>
      </c>
    </row>
    <row r="178" customFormat="false" ht="15" hidden="false" customHeight="false" outlineLevel="0" collapsed="false">
      <c r="A178" s="27"/>
      <c r="B178" s="5"/>
      <c r="C178" s="35"/>
      <c r="D178" s="5"/>
      <c r="E178" s="5"/>
      <c r="F178" s="19" t="str">
        <f aca="false">IF(A178="","",IF(COUNTIF(Contratos!$A:$A,A178)+COUNTIF(Pagamentos!$A:$A,A178)=0,"não consta","SIM — contratos: "&amp;COUNTIF(Contratos!$A:$A,A178)&amp;"; pagamentos: "&amp;COUNTIF(Pagamentos!$A:$A,A178)))</f>
        <v/>
      </c>
      <c r="G178" s="27"/>
      <c r="H178" s="5"/>
      <c r="J178" s="5"/>
      <c r="K178" s="41"/>
      <c r="L178" s="14"/>
      <c r="M178" s="5"/>
      <c r="N178" s="35"/>
      <c r="O178" s="27"/>
      <c r="P178" s="39" t="str">
        <f aca="false">IF(OR(J178="",K178=""),"",SUMIFS($N:$N,$J:$J,J178,$K:$K,K178))</f>
        <v/>
      </c>
      <c r="Q178" s="32" t="str">
        <f aca="false">IF(OR(J178="",K178=""),"",IF(COUNTIFS($J:$J,J178,$K:$K,"&lt;"&amp;K178)=0,"",_xlfn.MAXIFS($K:$K,$J:$J,J178,$K:$K,"&lt;"&amp;K178)))</f>
        <v/>
      </c>
      <c r="R178" s="39" t="str">
        <f aca="false">IF(Q178="","",SUMIFS($N:$N,$J:$J,J178,$K:$K,Q178))</f>
        <v/>
      </c>
      <c r="S178" s="37" t="str">
        <f aca="false">IF(OR(R178="",R178=0,P178=""),"",P178/R178-1)</f>
        <v/>
      </c>
    </row>
    <row r="179" customFormat="false" ht="15" hidden="false" customHeight="false" outlineLevel="0" collapsed="false">
      <c r="A179" s="27"/>
      <c r="B179" s="5"/>
      <c r="C179" s="35"/>
      <c r="D179" s="5"/>
      <c r="E179" s="5"/>
      <c r="F179" s="19" t="str">
        <f aca="false">IF(A179="","",IF(COUNTIF(Contratos!$A:$A,A179)+COUNTIF(Pagamentos!$A:$A,A179)=0,"não consta","SIM — contratos: "&amp;COUNTIF(Contratos!$A:$A,A179)&amp;"; pagamentos: "&amp;COUNTIF(Pagamentos!$A:$A,A179)))</f>
        <v/>
      </c>
      <c r="G179" s="27"/>
      <c r="H179" s="5"/>
      <c r="J179" s="5"/>
      <c r="K179" s="41"/>
      <c r="L179" s="14"/>
      <c r="M179" s="5"/>
      <c r="N179" s="35"/>
      <c r="O179" s="27"/>
      <c r="P179" s="39" t="str">
        <f aca="false">IF(OR(J179="",K179=""),"",SUMIFS($N:$N,$J:$J,J179,$K:$K,K179))</f>
        <v/>
      </c>
      <c r="Q179" s="32" t="str">
        <f aca="false">IF(OR(J179="",K179=""),"",IF(COUNTIFS($J:$J,J179,$K:$K,"&lt;"&amp;K179)=0,"",_xlfn.MAXIFS($K:$K,$J:$J,J179,$K:$K,"&lt;"&amp;K179)))</f>
        <v/>
      </c>
      <c r="R179" s="39" t="str">
        <f aca="false">IF(Q179="","",SUMIFS($N:$N,$J:$J,J179,$K:$K,Q179))</f>
        <v/>
      </c>
      <c r="S179" s="37" t="str">
        <f aca="false">IF(OR(R179="",R179=0,P179=""),"",P179/R179-1)</f>
        <v/>
      </c>
    </row>
    <row r="180" customFormat="false" ht="15" hidden="false" customHeight="false" outlineLevel="0" collapsed="false">
      <c r="A180" s="27"/>
      <c r="B180" s="5"/>
      <c r="C180" s="35"/>
      <c r="D180" s="5"/>
      <c r="E180" s="5"/>
      <c r="F180" s="19" t="str">
        <f aca="false">IF(A180="","",IF(COUNTIF(Contratos!$A:$A,A180)+COUNTIF(Pagamentos!$A:$A,A180)=0,"não consta","SIM — contratos: "&amp;COUNTIF(Contratos!$A:$A,A180)&amp;"; pagamentos: "&amp;COUNTIF(Pagamentos!$A:$A,A180)))</f>
        <v/>
      </c>
      <c r="G180" s="27"/>
      <c r="H180" s="5"/>
      <c r="J180" s="5"/>
      <c r="K180" s="41"/>
      <c r="L180" s="14"/>
      <c r="M180" s="5"/>
      <c r="N180" s="35"/>
      <c r="O180" s="27"/>
      <c r="P180" s="39" t="str">
        <f aca="false">IF(OR(J180="",K180=""),"",SUMIFS($N:$N,$J:$J,J180,$K:$K,K180))</f>
        <v/>
      </c>
      <c r="Q180" s="32" t="str">
        <f aca="false">IF(OR(J180="",K180=""),"",IF(COUNTIFS($J:$J,J180,$K:$K,"&lt;"&amp;K180)=0,"",_xlfn.MAXIFS($K:$K,$J:$J,J180,$K:$K,"&lt;"&amp;K180)))</f>
        <v/>
      </c>
      <c r="R180" s="39" t="str">
        <f aca="false">IF(Q180="","",SUMIFS($N:$N,$J:$J,J180,$K:$K,Q180))</f>
        <v/>
      </c>
      <c r="S180" s="37" t="str">
        <f aca="false">IF(OR(R180="",R180=0,P180=""),"",P180/R180-1)</f>
        <v/>
      </c>
    </row>
    <row r="181" customFormat="false" ht="15" hidden="false" customHeight="false" outlineLevel="0" collapsed="false">
      <c r="A181" s="27"/>
      <c r="B181" s="5"/>
      <c r="C181" s="35"/>
      <c r="D181" s="5"/>
      <c r="E181" s="5"/>
      <c r="F181" s="19" t="str">
        <f aca="false">IF(A181="","",IF(COUNTIF(Contratos!$A:$A,A181)+COUNTIF(Pagamentos!$A:$A,A181)=0,"não consta","SIM — contratos: "&amp;COUNTIF(Contratos!$A:$A,A181)&amp;"; pagamentos: "&amp;COUNTIF(Pagamentos!$A:$A,A181)))</f>
        <v/>
      </c>
      <c r="G181" s="27"/>
      <c r="H181" s="5"/>
      <c r="J181" s="5"/>
      <c r="K181" s="41"/>
      <c r="L181" s="14"/>
      <c r="M181" s="5"/>
      <c r="N181" s="35"/>
      <c r="O181" s="27"/>
      <c r="P181" s="39" t="str">
        <f aca="false">IF(OR(J181="",K181=""),"",SUMIFS($N:$N,$J:$J,J181,$K:$K,K181))</f>
        <v/>
      </c>
      <c r="Q181" s="32" t="str">
        <f aca="false">IF(OR(J181="",K181=""),"",IF(COUNTIFS($J:$J,J181,$K:$K,"&lt;"&amp;K181)=0,"",_xlfn.MAXIFS($K:$K,$J:$J,J181,$K:$K,"&lt;"&amp;K181)))</f>
        <v/>
      </c>
      <c r="R181" s="39" t="str">
        <f aca="false">IF(Q181="","",SUMIFS($N:$N,$J:$J,J181,$K:$K,Q181))</f>
        <v/>
      </c>
      <c r="S181" s="37" t="str">
        <f aca="false">IF(OR(R181="",R181=0,P181=""),"",P181/R181-1)</f>
        <v/>
      </c>
    </row>
    <row r="182" customFormat="false" ht="15" hidden="false" customHeight="false" outlineLevel="0" collapsed="false">
      <c r="A182" s="27"/>
      <c r="B182" s="5"/>
      <c r="C182" s="35"/>
      <c r="D182" s="5"/>
      <c r="E182" s="5"/>
      <c r="F182" s="19" t="str">
        <f aca="false">IF(A182="","",IF(COUNTIF(Contratos!$A:$A,A182)+COUNTIF(Pagamentos!$A:$A,A182)=0,"não consta","SIM — contratos: "&amp;COUNTIF(Contratos!$A:$A,A182)&amp;"; pagamentos: "&amp;COUNTIF(Pagamentos!$A:$A,A182)))</f>
        <v/>
      </c>
      <c r="G182" s="27"/>
      <c r="H182" s="5"/>
      <c r="J182" s="5"/>
      <c r="K182" s="41"/>
      <c r="L182" s="14"/>
      <c r="M182" s="5"/>
      <c r="N182" s="35"/>
      <c r="O182" s="27"/>
      <c r="P182" s="39" t="str">
        <f aca="false">IF(OR(J182="",K182=""),"",SUMIFS($N:$N,$J:$J,J182,$K:$K,K182))</f>
        <v/>
      </c>
      <c r="Q182" s="32" t="str">
        <f aca="false">IF(OR(J182="",K182=""),"",IF(COUNTIFS($J:$J,J182,$K:$K,"&lt;"&amp;K182)=0,"",_xlfn.MAXIFS($K:$K,$J:$J,J182,$K:$K,"&lt;"&amp;K182)))</f>
        <v/>
      </c>
      <c r="R182" s="39" t="str">
        <f aca="false">IF(Q182="","",SUMIFS($N:$N,$J:$J,J182,$K:$K,Q182))</f>
        <v/>
      </c>
      <c r="S182" s="37" t="str">
        <f aca="false">IF(OR(R182="",R182=0,P182=""),"",P182/R182-1)</f>
        <v/>
      </c>
    </row>
    <row r="183" customFormat="false" ht="15" hidden="false" customHeight="false" outlineLevel="0" collapsed="false">
      <c r="A183" s="27"/>
      <c r="B183" s="5"/>
      <c r="C183" s="35"/>
      <c r="D183" s="5"/>
      <c r="E183" s="5"/>
      <c r="F183" s="19" t="str">
        <f aca="false">IF(A183="","",IF(COUNTIF(Contratos!$A:$A,A183)+COUNTIF(Pagamentos!$A:$A,A183)=0,"não consta","SIM — contratos: "&amp;COUNTIF(Contratos!$A:$A,A183)&amp;"; pagamentos: "&amp;COUNTIF(Pagamentos!$A:$A,A183)))</f>
        <v/>
      </c>
      <c r="G183" s="27"/>
      <c r="H183" s="5"/>
      <c r="J183" s="5"/>
      <c r="K183" s="41"/>
      <c r="L183" s="14"/>
      <c r="M183" s="5"/>
      <c r="N183" s="35"/>
      <c r="O183" s="27"/>
      <c r="P183" s="39" t="str">
        <f aca="false">IF(OR(J183="",K183=""),"",SUMIFS($N:$N,$J:$J,J183,$K:$K,K183))</f>
        <v/>
      </c>
      <c r="Q183" s="32" t="str">
        <f aca="false">IF(OR(J183="",K183=""),"",IF(COUNTIFS($J:$J,J183,$K:$K,"&lt;"&amp;K183)=0,"",_xlfn.MAXIFS($K:$K,$J:$J,J183,$K:$K,"&lt;"&amp;K183)))</f>
        <v/>
      </c>
      <c r="R183" s="39" t="str">
        <f aca="false">IF(Q183="","",SUMIFS($N:$N,$J:$J,J183,$K:$K,Q183))</f>
        <v/>
      </c>
      <c r="S183" s="37" t="str">
        <f aca="false">IF(OR(R183="",R183=0,P183=""),"",P183/R183-1)</f>
        <v/>
      </c>
    </row>
    <row r="184" customFormat="false" ht="15" hidden="false" customHeight="false" outlineLevel="0" collapsed="false">
      <c r="A184" s="27"/>
      <c r="B184" s="5"/>
      <c r="C184" s="35"/>
      <c r="D184" s="5"/>
      <c r="E184" s="5"/>
      <c r="F184" s="19" t="str">
        <f aca="false">IF(A184="","",IF(COUNTIF(Contratos!$A:$A,A184)+COUNTIF(Pagamentos!$A:$A,A184)=0,"não consta","SIM — contratos: "&amp;COUNTIF(Contratos!$A:$A,A184)&amp;"; pagamentos: "&amp;COUNTIF(Pagamentos!$A:$A,A184)))</f>
        <v/>
      </c>
      <c r="G184" s="27"/>
      <c r="H184" s="5"/>
      <c r="J184" s="5"/>
      <c r="K184" s="41"/>
      <c r="L184" s="14"/>
      <c r="M184" s="5"/>
      <c r="N184" s="35"/>
      <c r="O184" s="27"/>
      <c r="P184" s="39" t="str">
        <f aca="false">IF(OR(J184="",K184=""),"",SUMIFS($N:$N,$J:$J,J184,$K:$K,K184))</f>
        <v/>
      </c>
      <c r="Q184" s="32" t="str">
        <f aca="false">IF(OR(J184="",K184=""),"",IF(COUNTIFS($J:$J,J184,$K:$K,"&lt;"&amp;K184)=0,"",_xlfn.MAXIFS($K:$K,$J:$J,J184,$K:$K,"&lt;"&amp;K184)))</f>
        <v/>
      </c>
      <c r="R184" s="39" t="str">
        <f aca="false">IF(Q184="","",SUMIFS($N:$N,$J:$J,J184,$K:$K,Q184))</f>
        <v/>
      </c>
      <c r="S184" s="37" t="str">
        <f aca="false">IF(OR(R184="",R184=0,P184=""),"",P184/R184-1)</f>
        <v/>
      </c>
    </row>
    <row r="185" customFormat="false" ht="15" hidden="false" customHeight="false" outlineLevel="0" collapsed="false">
      <c r="A185" s="27"/>
      <c r="B185" s="5"/>
      <c r="C185" s="35"/>
      <c r="D185" s="5"/>
      <c r="E185" s="5"/>
      <c r="F185" s="19" t="str">
        <f aca="false">IF(A185="","",IF(COUNTIF(Contratos!$A:$A,A185)+COUNTIF(Pagamentos!$A:$A,A185)=0,"não consta","SIM — contratos: "&amp;COUNTIF(Contratos!$A:$A,A185)&amp;"; pagamentos: "&amp;COUNTIF(Pagamentos!$A:$A,A185)))</f>
        <v/>
      </c>
      <c r="G185" s="27"/>
      <c r="H185" s="5"/>
      <c r="J185" s="5"/>
      <c r="K185" s="41"/>
      <c r="L185" s="14"/>
      <c r="M185" s="5"/>
      <c r="N185" s="35"/>
      <c r="O185" s="27"/>
      <c r="P185" s="39" t="str">
        <f aca="false">IF(OR(J185="",K185=""),"",SUMIFS($N:$N,$J:$J,J185,$K:$K,K185))</f>
        <v/>
      </c>
      <c r="Q185" s="32" t="str">
        <f aca="false">IF(OR(J185="",K185=""),"",IF(COUNTIFS($J:$J,J185,$K:$K,"&lt;"&amp;K185)=0,"",_xlfn.MAXIFS($K:$K,$J:$J,J185,$K:$K,"&lt;"&amp;K185)))</f>
        <v/>
      </c>
      <c r="R185" s="39" t="str">
        <f aca="false">IF(Q185="","",SUMIFS($N:$N,$J:$J,J185,$K:$K,Q185))</f>
        <v/>
      </c>
      <c r="S185" s="37" t="str">
        <f aca="false">IF(OR(R185="",R185=0,P185=""),"",P185/R185-1)</f>
        <v/>
      </c>
    </row>
    <row r="186" customFormat="false" ht="15" hidden="false" customHeight="false" outlineLevel="0" collapsed="false">
      <c r="A186" s="27"/>
      <c r="B186" s="5"/>
      <c r="C186" s="35"/>
      <c r="D186" s="5"/>
      <c r="E186" s="5"/>
      <c r="F186" s="19" t="str">
        <f aca="false">IF(A186="","",IF(COUNTIF(Contratos!$A:$A,A186)+COUNTIF(Pagamentos!$A:$A,A186)=0,"não consta","SIM — contratos: "&amp;COUNTIF(Contratos!$A:$A,A186)&amp;"; pagamentos: "&amp;COUNTIF(Pagamentos!$A:$A,A186)))</f>
        <v/>
      </c>
      <c r="G186" s="27"/>
      <c r="H186" s="5"/>
      <c r="J186" s="5"/>
      <c r="K186" s="41"/>
      <c r="L186" s="14"/>
      <c r="M186" s="5"/>
      <c r="N186" s="35"/>
      <c r="O186" s="27"/>
      <c r="P186" s="39" t="str">
        <f aca="false">IF(OR(J186="",K186=""),"",SUMIFS($N:$N,$J:$J,J186,$K:$K,K186))</f>
        <v/>
      </c>
      <c r="Q186" s="32" t="str">
        <f aca="false">IF(OR(J186="",K186=""),"",IF(COUNTIFS($J:$J,J186,$K:$K,"&lt;"&amp;K186)=0,"",_xlfn.MAXIFS($K:$K,$J:$J,J186,$K:$K,"&lt;"&amp;K186)))</f>
        <v/>
      </c>
      <c r="R186" s="39" t="str">
        <f aca="false">IF(Q186="","",SUMIFS($N:$N,$J:$J,J186,$K:$K,Q186))</f>
        <v/>
      </c>
      <c r="S186" s="37" t="str">
        <f aca="false">IF(OR(R186="",R186=0,P186=""),"",P186/R186-1)</f>
        <v/>
      </c>
    </row>
    <row r="187" customFormat="false" ht="15" hidden="false" customHeight="false" outlineLevel="0" collapsed="false">
      <c r="A187" s="27"/>
      <c r="B187" s="5"/>
      <c r="C187" s="35"/>
      <c r="D187" s="5"/>
      <c r="E187" s="5"/>
      <c r="F187" s="19" t="str">
        <f aca="false">IF(A187="","",IF(COUNTIF(Contratos!$A:$A,A187)+COUNTIF(Pagamentos!$A:$A,A187)=0,"não consta","SIM — contratos: "&amp;COUNTIF(Contratos!$A:$A,A187)&amp;"; pagamentos: "&amp;COUNTIF(Pagamentos!$A:$A,A187)))</f>
        <v/>
      </c>
      <c r="G187" s="27"/>
      <c r="H187" s="5"/>
      <c r="J187" s="5"/>
      <c r="K187" s="41"/>
      <c r="L187" s="14"/>
      <c r="M187" s="5"/>
      <c r="N187" s="35"/>
      <c r="O187" s="27"/>
      <c r="P187" s="39" t="str">
        <f aca="false">IF(OR(J187="",K187=""),"",SUMIFS($N:$N,$J:$J,J187,$K:$K,K187))</f>
        <v/>
      </c>
      <c r="Q187" s="32" t="str">
        <f aca="false">IF(OR(J187="",K187=""),"",IF(COUNTIFS($J:$J,J187,$K:$K,"&lt;"&amp;K187)=0,"",_xlfn.MAXIFS($K:$K,$J:$J,J187,$K:$K,"&lt;"&amp;K187)))</f>
        <v/>
      </c>
      <c r="R187" s="39" t="str">
        <f aca="false">IF(Q187="","",SUMIFS($N:$N,$J:$J,J187,$K:$K,Q187))</f>
        <v/>
      </c>
      <c r="S187" s="37" t="str">
        <f aca="false">IF(OR(R187="",R187=0,P187=""),"",P187/R187-1)</f>
        <v/>
      </c>
    </row>
    <row r="188" customFormat="false" ht="15" hidden="false" customHeight="false" outlineLevel="0" collapsed="false">
      <c r="A188" s="27"/>
      <c r="B188" s="5"/>
      <c r="C188" s="35"/>
      <c r="D188" s="5"/>
      <c r="E188" s="5"/>
      <c r="F188" s="19" t="str">
        <f aca="false">IF(A188="","",IF(COUNTIF(Contratos!$A:$A,A188)+COUNTIF(Pagamentos!$A:$A,A188)=0,"não consta","SIM — contratos: "&amp;COUNTIF(Contratos!$A:$A,A188)&amp;"; pagamentos: "&amp;COUNTIF(Pagamentos!$A:$A,A188)))</f>
        <v/>
      </c>
      <c r="G188" s="27"/>
      <c r="H188" s="5"/>
      <c r="J188" s="5"/>
      <c r="K188" s="41"/>
      <c r="L188" s="14"/>
      <c r="M188" s="5"/>
      <c r="N188" s="35"/>
      <c r="O188" s="27"/>
      <c r="P188" s="39" t="str">
        <f aca="false">IF(OR(J188="",K188=""),"",SUMIFS($N:$N,$J:$J,J188,$K:$K,K188))</f>
        <v/>
      </c>
      <c r="Q188" s="32" t="str">
        <f aca="false">IF(OR(J188="",K188=""),"",IF(COUNTIFS($J:$J,J188,$K:$K,"&lt;"&amp;K188)=0,"",_xlfn.MAXIFS($K:$K,$J:$J,J188,$K:$K,"&lt;"&amp;K188)))</f>
        <v/>
      </c>
      <c r="R188" s="39" t="str">
        <f aca="false">IF(Q188="","",SUMIFS($N:$N,$J:$J,J188,$K:$K,Q188))</f>
        <v/>
      </c>
      <c r="S188" s="37" t="str">
        <f aca="false">IF(OR(R188="",R188=0,P188=""),"",P188/R188-1)</f>
        <v/>
      </c>
    </row>
    <row r="189" customFormat="false" ht="15" hidden="false" customHeight="false" outlineLevel="0" collapsed="false">
      <c r="A189" s="27"/>
      <c r="B189" s="5"/>
      <c r="C189" s="35"/>
      <c r="D189" s="5"/>
      <c r="E189" s="5"/>
      <c r="F189" s="19" t="str">
        <f aca="false">IF(A189="","",IF(COUNTIF(Contratos!$A:$A,A189)+COUNTIF(Pagamentos!$A:$A,A189)=0,"não consta","SIM — contratos: "&amp;COUNTIF(Contratos!$A:$A,A189)&amp;"; pagamentos: "&amp;COUNTIF(Pagamentos!$A:$A,A189)))</f>
        <v/>
      </c>
      <c r="G189" s="27"/>
      <c r="H189" s="5"/>
      <c r="J189" s="5"/>
      <c r="K189" s="41"/>
      <c r="L189" s="14"/>
      <c r="M189" s="5"/>
      <c r="N189" s="35"/>
      <c r="O189" s="27"/>
      <c r="P189" s="39" t="str">
        <f aca="false">IF(OR(J189="",K189=""),"",SUMIFS($N:$N,$J:$J,J189,$K:$K,K189))</f>
        <v/>
      </c>
      <c r="Q189" s="32" t="str">
        <f aca="false">IF(OR(J189="",K189=""),"",IF(COUNTIFS($J:$J,J189,$K:$K,"&lt;"&amp;K189)=0,"",_xlfn.MAXIFS($K:$K,$J:$J,J189,$K:$K,"&lt;"&amp;K189)))</f>
        <v/>
      </c>
      <c r="R189" s="39" t="str">
        <f aca="false">IF(Q189="","",SUMIFS($N:$N,$J:$J,J189,$K:$K,Q189))</f>
        <v/>
      </c>
      <c r="S189" s="37" t="str">
        <f aca="false">IF(OR(R189="",R189=0,P189=""),"",P189/R189-1)</f>
        <v/>
      </c>
    </row>
    <row r="190" customFormat="false" ht="15" hidden="false" customHeight="false" outlineLevel="0" collapsed="false">
      <c r="A190" s="27"/>
      <c r="B190" s="5"/>
      <c r="C190" s="35"/>
      <c r="D190" s="5"/>
      <c r="E190" s="5"/>
      <c r="F190" s="19" t="str">
        <f aca="false">IF(A190="","",IF(COUNTIF(Contratos!$A:$A,A190)+COUNTIF(Pagamentos!$A:$A,A190)=0,"não consta","SIM — contratos: "&amp;COUNTIF(Contratos!$A:$A,A190)&amp;"; pagamentos: "&amp;COUNTIF(Pagamentos!$A:$A,A190)))</f>
        <v/>
      </c>
      <c r="G190" s="27"/>
      <c r="H190" s="5"/>
      <c r="J190" s="5"/>
      <c r="K190" s="41"/>
      <c r="L190" s="14"/>
      <c r="M190" s="5"/>
      <c r="N190" s="35"/>
      <c r="O190" s="27"/>
      <c r="P190" s="39" t="str">
        <f aca="false">IF(OR(J190="",K190=""),"",SUMIFS($N:$N,$J:$J,J190,$K:$K,K190))</f>
        <v/>
      </c>
      <c r="Q190" s="32" t="str">
        <f aca="false">IF(OR(J190="",K190=""),"",IF(COUNTIFS($J:$J,J190,$K:$K,"&lt;"&amp;K190)=0,"",_xlfn.MAXIFS($K:$K,$J:$J,J190,$K:$K,"&lt;"&amp;K190)))</f>
        <v/>
      </c>
      <c r="R190" s="39" t="str">
        <f aca="false">IF(Q190="","",SUMIFS($N:$N,$J:$J,J190,$K:$K,Q190))</f>
        <v/>
      </c>
      <c r="S190" s="37" t="str">
        <f aca="false">IF(OR(R190="",R190=0,P190=""),"",P190/R190-1)</f>
        <v/>
      </c>
    </row>
    <row r="191" customFormat="false" ht="15" hidden="false" customHeight="false" outlineLevel="0" collapsed="false">
      <c r="A191" s="27"/>
      <c r="B191" s="5"/>
      <c r="C191" s="35"/>
      <c r="D191" s="5"/>
      <c r="E191" s="5"/>
      <c r="F191" s="19" t="str">
        <f aca="false">IF(A191="","",IF(COUNTIF(Contratos!$A:$A,A191)+COUNTIF(Pagamentos!$A:$A,A191)=0,"não consta","SIM — contratos: "&amp;COUNTIF(Contratos!$A:$A,A191)&amp;"; pagamentos: "&amp;COUNTIF(Pagamentos!$A:$A,A191)))</f>
        <v/>
      </c>
      <c r="G191" s="27"/>
      <c r="H191" s="5"/>
      <c r="J191" s="5"/>
      <c r="K191" s="41"/>
      <c r="L191" s="14"/>
      <c r="M191" s="5"/>
      <c r="N191" s="35"/>
      <c r="O191" s="27"/>
      <c r="P191" s="39" t="str">
        <f aca="false">IF(OR(J191="",K191=""),"",SUMIFS($N:$N,$J:$J,J191,$K:$K,K191))</f>
        <v/>
      </c>
      <c r="Q191" s="32" t="str">
        <f aca="false">IF(OR(J191="",K191=""),"",IF(COUNTIFS($J:$J,J191,$K:$K,"&lt;"&amp;K191)=0,"",_xlfn.MAXIFS($K:$K,$J:$J,J191,$K:$K,"&lt;"&amp;K191)))</f>
        <v/>
      </c>
      <c r="R191" s="39" t="str">
        <f aca="false">IF(Q191="","",SUMIFS($N:$N,$J:$J,J191,$K:$K,Q191))</f>
        <v/>
      </c>
      <c r="S191" s="37" t="str">
        <f aca="false">IF(OR(R191="",R191=0,P191=""),"",P191/R191-1)</f>
        <v/>
      </c>
    </row>
    <row r="192" customFormat="false" ht="15" hidden="false" customHeight="false" outlineLevel="0" collapsed="false">
      <c r="A192" s="27"/>
      <c r="B192" s="5"/>
      <c r="C192" s="35"/>
      <c r="D192" s="5"/>
      <c r="E192" s="5"/>
      <c r="F192" s="19" t="str">
        <f aca="false">IF(A192="","",IF(COUNTIF(Contratos!$A:$A,A192)+COUNTIF(Pagamentos!$A:$A,A192)=0,"não consta","SIM — contratos: "&amp;COUNTIF(Contratos!$A:$A,A192)&amp;"; pagamentos: "&amp;COUNTIF(Pagamentos!$A:$A,A192)))</f>
        <v/>
      </c>
      <c r="G192" s="27"/>
      <c r="H192" s="5"/>
      <c r="J192" s="5"/>
      <c r="K192" s="41"/>
      <c r="L192" s="14"/>
      <c r="M192" s="5"/>
      <c r="N192" s="35"/>
      <c r="O192" s="27"/>
      <c r="P192" s="39" t="str">
        <f aca="false">IF(OR(J192="",K192=""),"",SUMIFS($N:$N,$J:$J,J192,$K:$K,K192))</f>
        <v/>
      </c>
      <c r="Q192" s="32" t="str">
        <f aca="false">IF(OR(J192="",K192=""),"",IF(COUNTIFS($J:$J,J192,$K:$K,"&lt;"&amp;K192)=0,"",_xlfn.MAXIFS($K:$K,$J:$J,J192,$K:$K,"&lt;"&amp;K192)))</f>
        <v/>
      </c>
      <c r="R192" s="39" t="str">
        <f aca="false">IF(Q192="","",SUMIFS($N:$N,$J:$J,J192,$K:$K,Q192))</f>
        <v/>
      </c>
      <c r="S192" s="37" t="str">
        <f aca="false">IF(OR(R192="",R192=0,P192=""),"",P192/R192-1)</f>
        <v/>
      </c>
    </row>
    <row r="193" customFormat="false" ht="15" hidden="false" customHeight="false" outlineLevel="0" collapsed="false">
      <c r="A193" s="27"/>
      <c r="B193" s="5"/>
      <c r="C193" s="35"/>
      <c r="D193" s="5"/>
      <c r="E193" s="5"/>
      <c r="F193" s="19" t="str">
        <f aca="false">IF(A193="","",IF(COUNTIF(Contratos!$A:$A,A193)+COUNTIF(Pagamentos!$A:$A,A193)=0,"não consta","SIM — contratos: "&amp;COUNTIF(Contratos!$A:$A,A193)&amp;"; pagamentos: "&amp;COUNTIF(Pagamentos!$A:$A,A193)))</f>
        <v/>
      </c>
      <c r="G193" s="27"/>
      <c r="H193" s="5"/>
      <c r="J193" s="5"/>
      <c r="K193" s="41"/>
      <c r="L193" s="14"/>
      <c r="M193" s="5"/>
      <c r="N193" s="35"/>
      <c r="O193" s="27"/>
      <c r="P193" s="39" t="str">
        <f aca="false">IF(OR(J193="",K193=""),"",SUMIFS($N:$N,$J:$J,J193,$K:$K,K193))</f>
        <v/>
      </c>
      <c r="Q193" s="32" t="str">
        <f aca="false">IF(OR(J193="",K193=""),"",IF(COUNTIFS($J:$J,J193,$K:$K,"&lt;"&amp;K193)=0,"",_xlfn.MAXIFS($K:$K,$J:$J,J193,$K:$K,"&lt;"&amp;K193)))</f>
        <v/>
      </c>
      <c r="R193" s="39" t="str">
        <f aca="false">IF(Q193="","",SUMIFS($N:$N,$J:$J,J193,$K:$K,Q193))</f>
        <v/>
      </c>
      <c r="S193" s="37" t="str">
        <f aca="false">IF(OR(R193="",R193=0,P193=""),"",P193/R193-1)</f>
        <v/>
      </c>
    </row>
    <row r="194" customFormat="false" ht="15" hidden="false" customHeight="false" outlineLevel="0" collapsed="false">
      <c r="A194" s="27"/>
      <c r="B194" s="5"/>
      <c r="C194" s="35"/>
      <c r="D194" s="5"/>
      <c r="E194" s="5"/>
      <c r="F194" s="19" t="str">
        <f aca="false">IF(A194="","",IF(COUNTIF(Contratos!$A:$A,A194)+COUNTIF(Pagamentos!$A:$A,A194)=0,"não consta","SIM — contratos: "&amp;COUNTIF(Contratos!$A:$A,A194)&amp;"; pagamentos: "&amp;COUNTIF(Pagamentos!$A:$A,A194)))</f>
        <v/>
      </c>
      <c r="G194" s="27"/>
      <c r="H194" s="5"/>
      <c r="J194" s="5"/>
      <c r="K194" s="41"/>
      <c r="L194" s="14"/>
      <c r="M194" s="5"/>
      <c r="N194" s="35"/>
      <c r="O194" s="27"/>
      <c r="P194" s="39" t="str">
        <f aca="false">IF(OR(J194="",K194=""),"",SUMIFS($N:$N,$J:$J,J194,$K:$K,K194))</f>
        <v/>
      </c>
      <c r="Q194" s="32" t="str">
        <f aca="false">IF(OR(J194="",K194=""),"",IF(COUNTIFS($J:$J,J194,$K:$K,"&lt;"&amp;K194)=0,"",_xlfn.MAXIFS($K:$K,$J:$J,J194,$K:$K,"&lt;"&amp;K194)))</f>
        <v/>
      </c>
      <c r="R194" s="39" t="str">
        <f aca="false">IF(Q194="","",SUMIFS($N:$N,$J:$J,J194,$K:$K,Q194))</f>
        <v/>
      </c>
      <c r="S194" s="37" t="str">
        <f aca="false">IF(OR(R194="",R194=0,P194=""),"",P194/R194-1)</f>
        <v/>
      </c>
    </row>
    <row r="195" customFormat="false" ht="15" hidden="false" customHeight="false" outlineLevel="0" collapsed="false">
      <c r="A195" s="27"/>
      <c r="B195" s="5"/>
      <c r="C195" s="35"/>
      <c r="D195" s="5"/>
      <c r="E195" s="5"/>
      <c r="F195" s="19" t="str">
        <f aca="false">IF(A195="","",IF(COUNTIF(Contratos!$A:$A,A195)+COUNTIF(Pagamentos!$A:$A,A195)=0,"não consta","SIM — contratos: "&amp;COUNTIF(Contratos!$A:$A,A195)&amp;"; pagamentos: "&amp;COUNTIF(Pagamentos!$A:$A,A195)))</f>
        <v/>
      </c>
      <c r="G195" s="27"/>
      <c r="H195" s="5"/>
      <c r="J195" s="5"/>
      <c r="K195" s="41"/>
      <c r="L195" s="14"/>
      <c r="M195" s="5"/>
      <c r="N195" s="35"/>
      <c r="O195" s="27"/>
      <c r="P195" s="39" t="str">
        <f aca="false">IF(OR(J195="",K195=""),"",SUMIFS($N:$N,$J:$J,J195,$K:$K,K195))</f>
        <v/>
      </c>
      <c r="Q195" s="32" t="str">
        <f aca="false">IF(OR(J195="",K195=""),"",IF(COUNTIFS($J:$J,J195,$K:$K,"&lt;"&amp;K195)=0,"",_xlfn.MAXIFS($K:$K,$J:$J,J195,$K:$K,"&lt;"&amp;K195)))</f>
        <v/>
      </c>
      <c r="R195" s="39" t="str">
        <f aca="false">IF(Q195="","",SUMIFS($N:$N,$J:$J,J195,$K:$K,Q195))</f>
        <v/>
      </c>
      <c r="S195" s="37" t="str">
        <f aca="false">IF(OR(R195="",R195=0,P195=""),"",P195/R195-1)</f>
        <v/>
      </c>
    </row>
    <row r="196" customFormat="false" ht="15" hidden="false" customHeight="false" outlineLevel="0" collapsed="false">
      <c r="A196" s="27"/>
      <c r="B196" s="5"/>
      <c r="C196" s="35"/>
      <c r="D196" s="5"/>
      <c r="E196" s="5"/>
      <c r="F196" s="19" t="str">
        <f aca="false">IF(A196="","",IF(COUNTIF(Contratos!$A:$A,A196)+COUNTIF(Pagamentos!$A:$A,A196)=0,"não consta","SIM — contratos: "&amp;COUNTIF(Contratos!$A:$A,A196)&amp;"; pagamentos: "&amp;COUNTIF(Pagamentos!$A:$A,A196)))</f>
        <v/>
      </c>
      <c r="G196" s="27"/>
      <c r="H196" s="5"/>
      <c r="J196" s="5"/>
      <c r="K196" s="41"/>
      <c r="L196" s="14"/>
      <c r="M196" s="5"/>
      <c r="N196" s="35"/>
      <c r="O196" s="27"/>
      <c r="P196" s="39" t="str">
        <f aca="false">IF(OR(J196="",K196=""),"",SUMIFS($N:$N,$J:$J,J196,$K:$K,K196))</f>
        <v/>
      </c>
      <c r="Q196" s="32" t="str">
        <f aca="false">IF(OR(J196="",K196=""),"",IF(COUNTIFS($J:$J,J196,$K:$K,"&lt;"&amp;K196)=0,"",_xlfn.MAXIFS($K:$K,$J:$J,J196,$K:$K,"&lt;"&amp;K196)))</f>
        <v/>
      </c>
      <c r="R196" s="39" t="str">
        <f aca="false">IF(Q196="","",SUMIFS($N:$N,$J:$J,J196,$K:$K,Q196))</f>
        <v/>
      </c>
      <c r="S196" s="37" t="str">
        <f aca="false">IF(OR(R196="",R196=0,P196=""),"",P196/R196-1)</f>
        <v/>
      </c>
    </row>
    <row r="197" customFormat="false" ht="15" hidden="false" customHeight="false" outlineLevel="0" collapsed="false">
      <c r="A197" s="27"/>
      <c r="B197" s="5"/>
      <c r="C197" s="35"/>
      <c r="D197" s="5"/>
      <c r="E197" s="5"/>
      <c r="F197" s="19" t="str">
        <f aca="false">IF(A197="","",IF(COUNTIF(Contratos!$A:$A,A197)+COUNTIF(Pagamentos!$A:$A,A197)=0,"não consta","SIM — contratos: "&amp;COUNTIF(Contratos!$A:$A,A197)&amp;"; pagamentos: "&amp;COUNTIF(Pagamentos!$A:$A,A197)))</f>
        <v/>
      </c>
      <c r="G197" s="27"/>
      <c r="H197" s="5"/>
      <c r="J197" s="5"/>
      <c r="K197" s="41"/>
      <c r="L197" s="14"/>
      <c r="M197" s="5"/>
      <c r="N197" s="35"/>
      <c r="O197" s="27"/>
      <c r="P197" s="39" t="str">
        <f aca="false">IF(OR(J197="",K197=""),"",SUMIFS($N:$N,$J:$J,J197,$K:$K,K197))</f>
        <v/>
      </c>
      <c r="Q197" s="32" t="str">
        <f aca="false">IF(OR(J197="",K197=""),"",IF(COUNTIFS($J:$J,J197,$K:$K,"&lt;"&amp;K197)=0,"",_xlfn.MAXIFS($K:$K,$J:$J,J197,$K:$K,"&lt;"&amp;K197)))</f>
        <v/>
      </c>
      <c r="R197" s="39" t="str">
        <f aca="false">IF(Q197="","",SUMIFS($N:$N,$J:$J,J197,$K:$K,Q197))</f>
        <v/>
      </c>
      <c r="S197" s="37" t="str">
        <f aca="false">IF(OR(R197="",R197=0,P197=""),"",P197/R197-1)</f>
        <v/>
      </c>
    </row>
    <row r="198" customFormat="false" ht="15" hidden="false" customHeight="false" outlineLevel="0" collapsed="false">
      <c r="A198" s="27"/>
      <c r="B198" s="5"/>
      <c r="C198" s="35"/>
      <c r="D198" s="5"/>
      <c r="E198" s="5"/>
      <c r="F198" s="19" t="str">
        <f aca="false">IF(A198="","",IF(COUNTIF(Contratos!$A:$A,A198)+COUNTIF(Pagamentos!$A:$A,A198)=0,"não consta","SIM — contratos: "&amp;COUNTIF(Contratos!$A:$A,A198)&amp;"; pagamentos: "&amp;COUNTIF(Pagamentos!$A:$A,A198)))</f>
        <v/>
      </c>
      <c r="G198" s="27"/>
      <c r="H198" s="5"/>
      <c r="J198" s="5"/>
      <c r="K198" s="41"/>
      <c r="L198" s="14"/>
      <c r="M198" s="5"/>
      <c r="N198" s="35"/>
      <c r="O198" s="27"/>
      <c r="P198" s="39" t="str">
        <f aca="false">IF(OR(J198="",K198=""),"",SUMIFS($N:$N,$J:$J,J198,$K:$K,K198))</f>
        <v/>
      </c>
      <c r="Q198" s="32" t="str">
        <f aca="false">IF(OR(J198="",K198=""),"",IF(COUNTIFS($J:$J,J198,$K:$K,"&lt;"&amp;K198)=0,"",_xlfn.MAXIFS($K:$K,$J:$J,J198,$K:$K,"&lt;"&amp;K198)))</f>
        <v/>
      </c>
      <c r="R198" s="39" t="str">
        <f aca="false">IF(Q198="","",SUMIFS($N:$N,$J:$J,J198,$K:$K,Q198))</f>
        <v/>
      </c>
      <c r="S198" s="37" t="str">
        <f aca="false">IF(OR(R198="",R198=0,P198=""),"",P198/R198-1)</f>
        <v/>
      </c>
    </row>
    <row r="199" customFormat="false" ht="15" hidden="false" customHeight="false" outlineLevel="0" collapsed="false">
      <c r="A199" s="27"/>
      <c r="B199" s="5"/>
      <c r="C199" s="35"/>
      <c r="D199" s="5"/>
      <c r="E199" s="5"/>
      <c r="F199" s="19" t="str">
        <f aca="false">IF(A199="","",IF(COUNTIF(Contratos!$A:$A,A199)+COUNTIF(Pagamentos!$A:$A,A199)=0,"não consta","SIM — contratos: "&amp;COUNTIF(Contratos!$A:$A,A199)&amp;"; pagamentos: "&amp;COUNTIF(Pagamentos!$A:$A,A199)))</f>
        <v/>
      </c>
      <c r="G199" s="27"/>
      <c r="H199" s="5"/>
      <c r="J199" s="5"/>
      <c r="K199" s="41"/>
      <c r="L199" s="14"/>
      <c r="M199" s="5"/>
      <c r="N199" s="35"/>
      <c r="O199" s="27"/>
      <c r="P199" s="39" t="str">
        <f aca="false">IF(OR(J199="",K199=""),"",SUMIFS($N:$N,$J:$J,J199,$K:$K,K199))</f>
        <v/>
      </c>
      <c r="Q199" s="32" t="str">
        <f aca="false">IF(OR(J199="",K199=""),"",IF(COUNTIFS($J:$J,J199,$K:$K,"&lt;"&amp;K199)=0,"",_xlfn.MAXIFS($K:$K,$J:$J,J199,$K:$K,"&lt;"&amp;K199)))</f>
        <v/>
      </c>
      <c r="R199" s="39" t="str">
        <f aca="false">IF(Q199="","",SUMIFS($N:$N,$J:$J,J199,$K:$K,Q199))</f>
        <v/>
      </c>
      <c r="S199" s="37" t="str">
        <f aca="false">IF(OR(R199="",R199=0,P199=""),"",P199/R199-1)</f>
        <v/>
      </c>
    </row>
    <row r="200" customFormat="false" ht="15" hidden="false" customHeight="false" outlineLevel="0" collapsed="false">
      <c r="A200" s="27"/>
      <c r="B200" s="5"/>
      <c r="C200" s="35"/>
      <c r="D200" s="5"/>
      <c r="E200" s="5"/>
      <c r="F200" s="19" t="str">
        <f aca="false">IF(A200="","",IF(COUNTIF(Contratos!$A:$A,A200)+COUNTIF(Pagamentos!$A:$A,A200)=0,"não consta","SIM — contratos: "&amp;COUNTIF(Contratos!$A:$A,A200)&amp;"; pagamentos: "&amp;COUNTIF(Pagamentos!$A:$A,A200)))</f>
        <v/>
      </c>
      <c r="G200" s="27"/>
      <c r="H200" s="5"/>
      <c r="J200" s="5"/>
      <c r="K200" s="41"/>
      <c r="L200" s="14"/>
      <c r="M200" s="5"/>
      <c r="N200" s="35"/>
      <c r="O200" s="27"/>
      <c r="P200" s="39" t="str">
        <f aca="false">IF(OR(J200="",K200=""),"",SUMIFS($N:$N,$J:$J,J200,$K:$K,K200))</f>
        <v/>
      </c>
      <c r="Q200" s="32" t="str">
        <f aca="false">IF(OR(J200="",K200=""),"",IF(COUNTIFS($J:$J,J200,$K:$K,"&lt;"&amp;K200)=0,"",_xlfn.MAXIFS($K:$K,$J:$J,J200,$K:$K,"&lt;"&amp;K200)))</f>
        <v/>
      </c>
      <c r="R200" s="39" t="str">
        <f aca="false">IF(Q200="","",SUMIFS($N:$N,$J:$J,J200,$K:$K,Q200))</f>
        <v/>
      </c>
      <c r="S200" s="37" t="str">
        <f aca="false">IF(OR(R200="",R200=0,P200=""),"",P200/R200-1)</f>
        <v/>
      </c>
    </row>
    <row r="201" customFormat="false" ht="15" hidden="false" customHeight="false" outlineLevel="0" collapsed="false">
      <c r="A201" s="27"/>
      <c r="B201" s="5"/>
      <c r="C201" s="35"/>
      <c r="D201" s="5"/>
      <c r="E201" s="5"/>
      <c r="F201" s="19" t="str">
        <f aca="false">IF(A201="","",IF(COUNTIF(Contratos!$A:$A,A201)+COUNTIF(Pagamentos!$A:$A,A201)=0,"não consta","SIM — contratos: "&amp;COUNTIF(Contratos!$A:$A,A201)&amp;"; pagamentos: "&amp;COUNTIF(Pagamentos!$A:$A,A201)))</f>
        <v/>
      </c>
      <c r="G201" s="27"/>
      <c r="H201" s="5"/>
      <c r="J201" s="5"/>
      <c r="K201" s="41"/>
      <c r="L201" s="14"/>
      <c r="M201" s="5"/>
      <c r="N201" s="35"/>
      <c r="O201" s="27"/>
      <c r="P201" s="39" t="str">
        <f aca="false">IF(OR(J201="",K201=""),"",SUMIFS($N:$N,$J:$J,J201,$K:$K,K201))</f>
        <v/>
      </c>
      <c r="Q201" s="32" t="str">
        <f aca="false">IF(OR(J201="",K201=""),"",IF(COUNTIFS($J:$J,J201,$K:$K,"&lt;"&amp;K201)=0,"",_xlfn.MAXIFS($K:$K,$J:$J,J201,$K:$K,"&lt;"&amp;K201)))</f>
        <v/>
      </c>
      <c r="R201" s="39" t="str">
        <f aca="false">IF(Q201="","",SUMIFS($N:$N,$J:$J,J201,$K:$K,Q201))</f>
        <v/>
      </c>
      <c r="S201" s="37" t="str">
        <f aca="false">IF(OR(R201="",R201=0,P201=""),"",P201/R201-1)</f>
        <v/>
      </c>
    </row>
    <row r="202" customFormat="false" ht="15" hidden="false" customHeight="false" outlineLevel="0" collapsed="false">
      <c r="A202" s="27"/>
      <c r="B202" s="5"/>
      <c r="C202" s="35"/>
      <c r="D202" s="5"/>
      <c r="E202" s="5"/>
      <c r="F202" s="19" t="str">
        <f aca="false">IF(A202="","",IF(COUNTIF(Contratos!$A:$A,A202)+COUNTIF(Pagamentos!$A:$A,A202)=0,"não consta","SIM — contratos: "&amp;COUNTIF(Contratos!$A:$A,A202)&amp;"; pagamentos: "&amp;COUNTIF(Pagamentos!$A:$A,A202)))</f>
        <v/>
      </c>
      <c r="G202" s="27"/>
      <c r="H202" s="5"/>
      <c r="J202" s="5"/>
      <c r="K202" s="41"/>
      <c r="L202" s="14"/>
      <c r="M202" s="5"/>
      <c r="N202" s="35"/>
      <c r="O202" s="27"/>
      <c r="P202" s="39" t="str">
        <f aca="false">IF(OR(J202="",K202=""),"",SUMIFS($N:$N,$J:$J,J202,$K:$K,K202))</f>
        <v/>
      </c>
      <c r="Q202" s="32" t="str">
        <f aca="false">IF(OR(J202="",K202=""),"",IF(COUNTIFS($J:$J,J202,$K:$K,"&lt;"&amp;K202)=0,"",_xlfn.MAXIFS($K:$K,$J:$J,J202,$K:$K,"&lt;"&amp;K202)))</f>
        <v/>
      </c>
      <c r="R202" s="39" t="str">
        <f aca="false">IF(Q202="","",SUMIFS($N:$N,$J:$J,J202,$K:$K,Q202))</f>
        <v/>
      </c>
      <c r="S202" s="37" t="str">
        <f aca="false">IF(OR(R202="",R202=0,P202=""),"",P202/R202-1)</f>
        <v/>
      </c>
    </row>
    <row r="203" customFormat="false" ht="15" hidden="false" customHeight="false" outlineLevel="0" collapsed="false">
      <c r="A203" s="27"/>
      <c r="B203" s="5"/>
      <c r="C203" s="35"/>
      <c r="D203" s="5"/>
      <c r="E203" s="5"/>
      <c r="F203" s="19" t="str">
        <f aca="false">IF(A203="","",IF(COUNTIF(Contratos!$A:$A,A203)+COUNTIF(Pagamentos!$A:$A,A203)=0,"não consta","SIM — contratos: "&amp;COUNTIF(Contratos!$A:$A,A203)&amp;"; pagamentos: "&amp;COUNTIF(Pagamentos!$A:$A,A203)))</f>
        <v/>
      </c>
      <c r="G203" s="27"/>
      <c r="H203" s="5"/>
      <c r="J203" s="5"/>
      <c r="K203" s="41"/>
      <c r="L203" s="14"/>
      <c r="M203" s="5"/>
      <c r="N203" s="35"/>
      <c r="O203" s="27"/>
      <c r="P203" s="39" t="str">
        <f aca="false">IF(OR(J203="",K203=""),"",SUMIFS($N:$N,$J:$J,J203,$K:$K,K203))</f>
        <v/>
      </c>
      <c r="Q203" s="32" t="str">
        <f aca="false">IF(OR(J203="",K203=""),"",IF(COUNTIFS($J:$J,J203,$K:$K,"&lt;"&amp;K203)=0,"",_xlfn.MAXIFS($K:$K,$J:$J,J203,$K:$K,"&lt;"&amp;K203)))</f>
        <v/>
      </c>
      <c r="R203" s="39" t="str">
        <f aca="false">IF(Q203="","",SUMIFS($N:$N,$J:$J,J203,$K:$K,Q203))</f>
        <v/>
      </c>
      <c r="S203" s="37" t="str">
        <f aca="false">IF(OR(R203="",R203=0,P203=""),"",P203/R203-1)</f>
        <v/>
      </c>
    </row>
    <row r="204" customFormat="false" ht="15" hidden="false" customHeight="false" outlineLevel="0" collapsed="false">
      <c r="A204" s="27"/>
      <c r="B204" s="5"/>
      <c r="C204" s="35"/>
      <c r="D204" s="5"/>
      <c r="E204" s="5"/>
      <c r="F204" s="19" t="str">
        <f aca="false">IF(A204="","",IF(COUNTIF(Contratos!$A:$A,A204)+COUNTIF(Pagamentos!$A:$A,A204)=0,"não consta","SIM — contratos: "&amp;COUNTIF(Contratos!$A:$A,A204)&amp;"; pagamentos: "&amp;COUNTIF(Pagamentos!$A:$A,A204)))</f>
        <v/>
      </c>
      <c r="G204" s="27"/>
      <c r="H204" s="5"/>
      <c r="J204" s="5"/>
      <c r="K204" s="41"/>
      <c r="L204" s="14"/>
      <c r="M204" s="5"/>
      <c r="N204" s="35"/>
      <c r="O204" s="27"/>
      <c r="P204" s="39" t="str">
        <f aca="false">IF(OR(J204="",K204=""),"",SUMIFS($N:$N,$J:$J,J204,$K:$K,K204))</f>
        <v/>
      </c>
      <c r="Q204" s="32" t="str">
        <f aca="false">IF(OR(J204="",K204=""),"",IF(COUNTIFS($J:$J,J204,$K:$K,"&lt;"&amp;K204)=0,"",_xlfn.MAXIFS($K:$K,$J:$J,J204,$K:$K,"&lt;"&amp;K204)))</f>
        <v/>
      </c>
      <c r="R204" s="39" t="str">
        <f aca="false">IF(Q204="","",SUMIFS($N:$N,$J:$J,J204,$K:$K,Q204))</f>
        <v/>
      </c>
      <c r="S204" s="37" t="str">
        <f aca="false">IF(OR(R204="",R204=0,P204=""),"",P204/R204-1)</f>
        <v/>
      </c>
    </row>
    <row r="205" customFormat="false" ht="15" hidden="false" customHeight="false" outlineLevel="0" collapsed="false">
      <c r="A205" s="27"/>
      <c r="B205" s="5"/>
      <c r="C205" s="35"/>
      <c r="D205" s="5"/>
      <c r="E205" s="5"/>
      <c r="F205" s="19" t="str">
        <f aca="false">IF(A205="","",IF(COUNTIF(Contratos!$A:$A,A205)+COUNTIF(Pagamentos!$A:$A,A205)=0,"não consta","SIM — contratos: "&amp;COUNTIF(Contratos!$A:$A,A205)&amp;"; pagamentos: "&amp;COUNTIF(Pagamentos!$A:$A,A205)))</f>
        <v/>
      </c>
      <c r="G205" s="27"/>
      <c r="H205" s="5"/>
      <c r="J205" s="5"/>
      <c r="K205" s="41"/>
      <c r="L205" s="14"/>
      <c r="M205" s="5"/>
      <c r="N205" s="35"/>
      <c r="O205" s="27"/>
      <c r="P205" s="39" t="str">
        <f aca="false">IF(OR(J205="",K205=""),"",SUMIFS($N:$N,$J:$J,J205,$K:$K,K205))</f>
        <v/>
      </c>
      <c r="Q205" s="32" t="str">
        <f aca="false">IF(OR(J205="",K205=""),"",IF(COUNTIFS($J:$J,J205,$K:$K,"&lt;"&amp;K205)=0,"",_xlfn.MAXIFS($K:$K,$J:$J,J205,$K:$K,"&lt;"&amp;K205)))</f>
        <v/>
      </c>
      <c r="R205" s="39" t="str">
        <f aca="false">IF(Q205="","",SUMIFS($N:$N,$J:$J,J205,$K:$K,Q205))</f>
        <v/>
      </c>
      <c r="S205" s="37" t="str">
        <f aca="false">IF(OR(R205="",R205=0,P205=""),"",P205/R205-1)</f>
        <v/>
      </c>
    </row>
    <row r="206" customFormat="false" ht="15" hidden="false" customHeight="false" outlineLevel="0" collapsed="false">
      <c r="A206" s="27"/>
      <c r="B206" s="5"/>
      <c r="C206" s="35"/>
      <c r="D206" s="5"/>
      <c r="E206" s="5"/>
      <c r="F206" s="19" t="str">
        <f aca="false">IF(A206="","",IF(COUNTIF(Contratos!$A:$A,A206)+COUNTIF(Pagamentos!$A:$A,A206)=0,"não consta","SIM — contratos: "&amp;COUNTIF(Contratos!$A:$A,A206)&amp;"; pagamentos: "&amp;COUNTIF(Pagamentos!$A:$A,A206)))</f>
        <v/>
      </c>
      <c r="G206" s="27"/>
      <c r="H206" s="5"/>
      <c r="J206" s="5"/>
      <c r="K206" s="41"/>
      <c r="L206" s="14"/>
      <c r="M206" s="5"/>
      <c r="N206" s="35"/>
      <c r="O206" s="27"/>
      <c r="P206" s="39" t="str">
        <f aca="false">IF(OR(J206="",K206=""),"",SUMIFS($N:$N,$J:$J,J206,$K:$K,K206))</f>
        <v/>
      </c>
      <c r="Q206" s="32" t="str">
        <f aca="false">IF(OR(J206="",K206=""),"",IF(COUNTIFS($J:$J,J206,$K:$K,"&lt;"&amp;K206)=0,"",_xlfn.MAXIFS($K:$K,$J:$J,J206,$K:$K,"&lt;"&amp;K206)))</f>
        <v/>
      </c>
      <c r="R206" s="39" t="str">
        <f aca="false">IF(Q206="","",SUMIFS($N:$N,$J:$J,J206,$K:$K,Q206))</f>
        <v/>
      </c>
      <c r="S206" s="37" t="str">
        <f aca="false">IF(OR(R206="",R206=0,P206=""),"",P206/R206-1)</f>
        <v/>
      </c>
    </row>
    <row r="207" customFormat="false" ht="15" hidden="false" customHeight="false" outlineLevel="0" collapsed="false">
      <c r="A207" s="27"/>
      <c r="B207" s="5"/>
      <c r="C207" s="35"/>
      <c r="D207" s="5"/>
      <c r="E207" s="5"/>
      <c r="F207" s="19" t="str">
        <f aca="false">IF(A207="","",IF(COUNTIF(Contratos!$A:$A,A207)+COUNTIF(Pagamentos!$A:$A,A207)=0,"não consta","SIM — contratos: "&amp;COUNTIF(Contratos!$A:$A,A207)&amp;"; pagamentos: "&amp;COUNTIF(Pagamentos!$A:$A,A207)))</f>
        <v/>
      </c>
      <c r="G207" s="27"/>
      <c r="H207" s="5"/>
      <c r="J207" s="5"/>
      <c r="K207" s="41"/>
      <c r="L207" s="14"/>
      <c r="M207" s="5"/>
      <c r="N207" s="35"/>
      <c r="O207" s="27"/>
      <c r="P207" s="39" t="str">
        <f aca="false">IF(OR(J207="",K207=""),"",SUMIFS($N:$N,$J:$J,J207,$K:$K,K207))</f>
        <v/>
      </c>
      <c r="Q207" s="32" t="str">
        <f aca="false">IF(OR(J207="",K207=""),"",IF(COUNTIFS($J:$J,J207,$K:$K,"&lt;"&amp;K207)=0,"",_xlfn.MAXIFS($K:$K,$J:$J,J207,$K:$K,"&lt;"&amp;K207)))</f>
        <v/>
      </c>
      <c r="R207" s="39" t="str">
        <f aca="false">IF(Q207="","",SUMIFS($N:$N,$J:$J,J207,$K:$K,Q207))</f>
        <v/>
      </c>
      <c r="S207" s="37" t="str">
        <f aca="false">IF(OR(R207="",R207=0,P207=""),"",P207/R207-1)</f>
        <v/>
      </c>
    </row>
    <row r="208" customFormat="false" ht="15" hidden="false" customHeight="false" outlineLevel="0" collapsed="false">
      <c r="A208" s="27"/>
      <c r="B208" s="5"/>
      <c r="C208" s="35"/>
      <c r="D208" s="5"/>
      <c r="E208" s="5"/>
      <c r="F208" s="19" t="str">
        <f aca="false">IF(A208="","",IF(COUNTIF(Contratos!$A:$A,A208)+COUNTIF(Pagamentos!$A:$A,A208)=0,"não consta","SIM — contratos: "&amp;COUNTIF(Contratos!$A:$A,A208)&amp;"; pagamentos: "&amp;COUNTIF(Pagamentos!$A:$A,A208)))</f>
        <v/>
      </c>
      <c r="G208" s="27"/>
      <c r="H208" s="5"/>
      <c r="J208" s="5"/>
      <c r="K208" s="41"/>
      <c r="L208" s="14"/>
      <c r="M208" s="5"/>
      <c r="N208" s="35"/>
      <c r="O208" s="27"/>
      <c r="P208" s="39" t="str">
        <f aca="false">IF(OR(J208="",K208=""),"",SUMIFS($N:$N,$J:$J,J208,$K:$K,K208))</f>
        <v/>
      </c>
      <c r="Q208" s="32" t="str">
        <f aca="false">IF(OR(J208="",K208=""),"",IF(COUNTIFS($J:$J,J208,$K:$K,"&lt;"&amp;K208)=0,"",_xlfn.MAXIFS($K:$K,$J:$J,J208,$K:$K,"&lt;"&amp;K208)))</f>
        <v/>
      </c>
      <c r="R208" s="39" t="str">
        <f aca="false">IF(Q208="","",SUMIFS($N:$N,$J:$J,J208,$K:$K,Q208))</f>
        <v/>
      </c>
      <c r="S208" s="37" t="str">
        <f aca="false">IF(OR(R208="",R208=0,P208=""),"",P208/R208-1)</f>
        <v/>
      </c>
    </row>
    <row r="209" customFormat="false" ht="15" hidden="false" customHeight="false" outlineLevel="0" collapsed="false">
      <c r="A209" s="27"/>
      <c r="B209" s="5"/>
      <c r="C209" s="35"/>
      <c r="D209" s="5"/>
      <c r="E209" s="5"/>
      <c r="F209" s="19" t="str">
        <f aca="false">IF(A209="","",IF(COUNTIF(Contratos!$A:$A,A209)+COUNTIF(Pagamentos!$A:$A,A209)=0,"não consta","SIM — contratos: "&amp;COUNTIF(Contratos!$A:$A,A209)&amp;"; pagamentos: "&amp;COUNTIF(Pagamentos!$A:$A,A209)))</f>
        <v/>
      </c>
      <c r="G209" s="27"/>
      <c r="H209" s="5"/>
      <c r="J209" s="5"/>
      <c r="K209" s="41"/>
      <c r="L209" s="14"/>
      <c r="M209" s="5"/>
      <c r="N209" s="35"/>
      <c r="O209" s="27"/>
      <c r="P209" s="39" t="str">
        <f aca="false">IF(OR(J209="",K209=""),"",SUMIFS($N:$N,$J:$J,J209,$K:$K,K209))</f>
        <v/>
      </c>
      <c r="Q209" s="32" t="str">
        <f aca="false">IF(OR(J209="",K209=""),"",IF(COUNTIFS($J:$J,J209,$K:$K,"&lt;"&amp;K209)=0,"",_xlfn.MAXIFS($K:$K,$J:$J,J209,$K:$K,"&lt;"&amp;K209)))</f>
        <v/>
      </c>
      <c r="R209" s="39" t="str">
        <f aca="false">IF(Q209="","",SUMIFS($N:$N,$J:$J,J209,$K:$K,Q209))</f>
        <v/>
      </c>
      <c r="S209" s="37" t="str">
        <f aca="false">IF(OR(R209="",R209=0,P209=""),"",P209/R209-1)</f>
        <v/>
      </c>
    </row>
    <row r="210" customFormat="false" ht="15" hidden="false" customHeight="false" outlineLevel="0" collapsed="false">
      <c r="A210" s="27"/>
      <c r="B210" s="5"/>
      <c r="C210" s="35"/>
      <c r="D210" s="5"/>
      <c r="E210" s="5"/>
      <c r="F210" s="19" t="str">
        <f aca="false">IF(A210="","",IF(COUNTIF(Contratos!$A:$A,A210)+COUNTIF(Pagamentos!$A:$A,A210)=0,"não consta","SIM — contratos: "&amp;COUNTIF(Contratos!$A:$A,A210)&amp;"; pagamentos: "&amp;COUNTIF(Pagamentos!$A:$A,A210)))</f>
        <v/>
      </c>
      <c r="G210" s="27"/>
      <c r="H210" s="5"/>
      <c r="J210" s="5"/>
      <c r="K210" s="41"/>
      <c r="L210" s="14"/>
      <c r="M210" s="5"/>
      <c r="N210" s="35"/>
      <c r="O210" s="27"/>
      <c r="P210" s="39" t="str">
        <f aca="false">IF(OR(J210="",K210=""),"",SUMIFS($N:$N,$J:$J,J210,$K:$K,K210))</f>
        <v/>
      </c>
      <c r="Q210" s="32" t="str">
        <f aca="false">IF(OR(J210="",K210=""),"",IF(COUNTIFS($J:$J,J210,$K:$K,"&lt;"&amp;K210)=0,"",_xlfn.MAXIFS($K:$K,$J:$J,J210,$K:$K,"&lt;"&amp;K210)))</f>
        <v/>
      </c>
      <c r="R210" s="39" t="str">
        <f aca="false">IF(Q210="","",SUMIFS($N:$N,$J:$J,J210,$K:$K,Q210))</f>
        <v/>
      </c>
      <c r="S210" s="37" t="str">
        <f aca="false">IF(OR(R210="",R210=0,P210=""),"",P210/R210-1)</f>
        <v/>
      </c>
    </row>
    <row r="211" customFormat="false" ht="15" hidden="false" customHeight="false" outlineLevel="0" collapsed="false">
      <c r="A211" s="27"/>
      <c r="B211" s="5"/>
      <c r="C211" s="35"/>
      <c r="D211" s="5"/>
      <c r="E211" s="5"/>
      <c r="F211" s="19" t="str">
        <f aca="false">IF(A211="","",IF(COUNTIF(Contratos!$A:$A,A211)+COUNTIF(Pagamentos!$A:$A,A211)=0,"não consta","SIM — contratos: "&amp;COUNTIF(Contratos!$A:$A,A211)&amp;"; pagamentos: "&amp;COUNTIF(Pagamentos!$A:$A,A211)))</f>
        <v/>
      </c>
      <c r="G211" s="27"/>
      <c r="H211" s="5"/>
      <c r="J211" s="5"/>
      <c r="K211" s="41"/>
      <c r="L211" s="14"/>
      <c r="M211" s="5"/>
      <c r="N211" s="35"/>
      <c r="O211" s="27"/>
      <c r="P211" s="39" t="str">
        <f aca="false">IF(OR(J211="",K211=""),"",SUMIFS($N:$N,$J:$J,J211,$K:$K,K211))</f>
        <v/>
      </c>
      <c r="Q211" s="32" t="str">
        <f aca="false">IF(OR(J211="",K211=""),"",IF(COUNTIFS($J:$J,J211,$K:$K,"&lt;"&amp;K211)=0,"",_xlfn.MAXIFS($K:$K,$J:$J,J211,$K:$K,"&lt;"&amp;K211)))</f>
        <v/>
      </c>
      <c r="R211" s="39" t="str">
        <f aca="false">IF(Q211="","",SUMIFS($N:$N,$J:$J,J211,$K:$K,Q211))</f>
        <v/>
      </c>
      <c r="S211" s="37" t="str">
        <f aca="false">IF(OR(R211="",R211=0,P211=""),"",P211/R211-1)</f>
        <v/>
      </c>
    </row>
    <row r="212" customFormat="false" ht="15" hidden="false" customHeight="false" outlineLevel="0" collapsed="false">
      <c r="A212" s="27"/>
      <c r="B212" s="5"/>
      <c r="C212" s="35"/>
      <c r="D212" s="5"/>
      <c r="E212" s="5"/>
      <c r="F212" s="19" t="str">
        <f aca="false">IF(A212="","",IF(COUNTIF(Contratos!$A:$A,A212)+COUNTIF(Pagamentos!$A:$A,A212)=0,"não consta","SIM — contratos: "&amp;COUNTIF(Contratos!$A:$A,A212)&amp;"; pagamentos: "&amp;COUNTIF(Pagamentos!$A:$A,A212)))</f>
        <v/>
      </c>
      <c r="G212" s="27"/>
      <c r="H212" s="5"/>
      <c r="J212" s="5"/>
      <c r="K212" s="41"/>
      <c r="L212" s="14"/>
      <c r="M212" s="5"/>
      <c r="N212" s="35"/>
      <c r="O212" s="27"/>
      <c r="P212" s="39" t="str">
        <f aca="false">IF(OR(J212="",K212=""),"",SUMIFS($N:$N,$J:$J,J212,$K:$K,K212))</f>
        <v/>
      </c>
      <c r="Q212" s="32" t="str">
        <f aca="false">IF(OR(J212="",K212=""),"",IF(COUNTIFS($J:$J,J212,$K:$K,"&lt;"&amp;K212)=0,"",_xlfn.MAXIFS($K:$K,$J:$J,J212,$K:$K,"&lt;"&amp;K212)))</f>
        <v/>
      </c>
      <c r="R212" s="39" t="str">
        <f aca="false">IF(Q212="","",SUMIFS($N:$N,$J:$J,J212,$K:$K,Q212))</f>
        <v/>
      </c>
      <c r="S212" s="37" t="str">
        <f aca="false">IF(OR(R212="",R212=0,P212=""),"",P212/R212-1)</f>
        <v/>
      </c>
    </row>
    <row r="213" customFormat="false" ht="15" hidden="false" customHeight="false" outlineLevel="0" collapsed="false">
      <c r="A213" s="27"/>
      <c r="B213" s="5"/>
      <c r="C213" s="35"/>
      <c r="D213" s="5"/>
      <c r="E213" s="5"/>
      <c r="F213" s="19" t="str">
        <f aca="false">IF(A213="","",IF(COUNTIF(Contratos!$A:$A,A213)+COUNTIF(Pagamentos!$A:$A,A213)=0,"não consta","SIM — contratos: "&amp;COUNTIF(Contratos!$A:$A,A213)&amp;"; pagamentos: "&amp;COUNTIF(Pagamentos!$A:$A,A213)))</f>
        <v/>
      </c>
      <c r="G213" s="27"/>
      <c r="H213" s="5"/>
      <c r="J213" s="5"/>
      <c r="K213" s="41"/>
      <c r="L213" s="14"/>
      <c r="M213" s="5"/>
      <c r="N213" s="35"/>
      <c r="O213" s="27"/>
      <c r="P213" s="39" t="str">
        <f aca="false">IF(OR(J213="",K213=""),"",SUMIFS($N:$N,$J:$J,J213,$K:$K,K213))</f>
        <v/>
      </c>
      <c r="Q213" s="32" t="str">
        <f aca="false">IF(OR(J213="",K213=""),"",IF(COUNTIFS($J:$J,J213,$K:$K,"&lt;"&amp;K213)=0,"",_xlfn.MAXIFS($K:$K,$J:$J,J213,$K:$K,"&lt;"&amp;K213)))</f>
        <v/>
      </c>
      <c r="R213" s="39" t="str">
        <f aca="false">IF(Q213="","",SUMIFS($N:$N,$J:$J,J213,$K:$K,Q213))</f>
        <v/>
      </c>
      <c r="S213" s="37" t="str">
        <f aca="false">IF(OR(R213="",R213=0,P213=""),"",P213/R213-1)</f>
        <v/>
      </c>
    </row>
    <row r="214" customFormat="false" ht="15" hidden="false" customHeight="false" outlineLevel="0" collapsed="false">
      <c r="A214" s="27"/>
      <c r="B214" s="5"/>
      <c r="C214" s="35"/>
      <c r="D214" s="5"/>
      <c r="E214" s="5"/>
      <c r="F214" s="19" t="str">
        <f aca="false">IF(A214="","",IF(COUNTIF(Contratos!$A:$A,A214)+COUNTIF(Pagamentos!$A:$A,A214)=0,"não consta","SIM — contratos: "&amp;COUNTIF(Contratos!$A:$A,A214)&amp;"; pagamentos: "&amp;COUNTIF(Pagamentos!$A:$A,A214)))</f>
        <v/>
      </c>
      <c r="G214" s="27"/>
      <c r="H214" s="5"/>
      <c r="J214" s="5"/>
      <c r="K214" s="41"/>
      <c r="L214" s="14"/>
      <c r="M214" s="5"/>
      <c r="N214" s="35"/>
      <c r="O214" s="27"/>
      <c r="P214" s="39" t="str">
        <f aca="false">IF(OR(J214="",K214=""),"",SUMIFS($N:$N,$J:$J,J214,$K:$K,K214))</f>
        <v/>
      </c>
      <c r="Q214" s="32" t="str">
        <f aca="false">IF(OR(J214="",K214=""),"",IF(COUNTIFS($J:$J,J214,$K:$K,"&lt;"&amp;K214)=0,"",_xlfn.MAXIFS($K:$K,$J:$J,J214,$K:$K,"&lt;"&amp;K214)))</f>
        <v/>
      </c>
      <c r="R214" s="39" t="str">
        <f aca="false">IF(Q214="","",SUMIFS($N:$N,$J:$J,J214,$K:$K,Q214))</f>
        <v/>
      </c>
      <c r="S214" s="37" t="str">
        <f aca="false">IF(OR(R214="",R214=0,P214=""),"",P214/R214-1)</f>
        <v/>
      </c>
    </row>
    <row r="215" customFormat="false" ht="15" hidden="false" customHeight="false" outlineLevel="0" collapsed="false">
      <c r="A215" s="27"/>
      <c r="B215" s="5"/>
      <c r="C215" s="35"/>
      <c r="D215" s="5"/>
      <c r="E215" s="5"/>
      <c r="F215" s="19" t="str">
        <f aca="false">IF(A215="","",IF(COUNTIF(Contratos!$A:$A,A215)+COUNTIF(Pagamentos!$A:$A,A215)=0,"não consta","SIM — contratos: "&amp;COUNTIF(Contratos!$A:$A,A215)&amp;"; pagamentos: "&amp;COUNTIF(Pagamentos!$A:$A,A215)))</f>
        <v/>
      </c>
      <c r="G215" s="27"/>
      <c r="H215" s="5"/>
      <c r="J215" s="5"/>
      <c r="K215" s="41"/>
      <c r="L215" s="14"/>
      <c r="M215" s="5"/>
      <c r="N215" s="35"/>
      <c r="O215" s="27"/>
      <c r="P215" s="39" t="str">
        <f aca="false">IF(OR(J215="",K215=""),"",SUMIFS($N:$N,$J:$J,J215,$K:$K,K215))</f>
        <v/>
      </c>
      <c r="Q215" s="32" t="str">
        <f aca="false">IF(OR(J215="",K215=""),"",IF(COUNTIFS($J:$J,J215,$K:$K,"&lt;"&amp;K215)=0,"",_xlfn.MAXIFS($K:$K,$J:$J,J215,$K:$K,"&lt;"&amp;K215)))</f>
        <v/>
      </c>
      <c r="R215" s="39" t="str">
        <f aca="false">IF(Q215="","",SUMIFS($N:$N,$J:$J,J215,$K:$K,Q215))</f>
        <v/>
      </c>
      <c r="S215" s="37" t="str">
        <f aca="false">IF(OR(R215="",R215=0,P215=""),"",P215/R215-1)</f>
        <v/>
      </c>
    </row>
    <row r="216" customFormat="false" ht="15" hidden="false" customHeight="false" outlineLevel="0" collapsed="false">
      <c r="A216" s="27"/>
      <c r="B216" s="5"/>
      <c r="C216" s="35"/>
      <c r="D216" s="5"/>
      <c r="E216" s="5"/>
      <c r="F216" s="19" t="str">
        <f aca="false">IF(A216="","",IF(COUNTIF(Contratos!$A:$A,A216)+COUNTIF(Pagamentos!$A:$A,A216)=0,"não consta","SIM — contratos: "&amp;COUNTIF(Contratos!$A:$A,A216)&amp;"; pagamentos: "&amp;COUNTIF(Pagamentos!$A:$A,A216)))</f>
        <v/>
      </c>
      <c r="G216" s="27"/>
      <c r="H216" s="5"/>
      <c r="J216" s="5"/>
      <c r="K216" s="41"/>
      <c r="L216" s="14"/>
      <c r="M216" s="5"/>
      <c r="N216" s="35"/>
      <c r="O216" s="27"/>
      <c r="P216" s="39" t="str">
        <f aca="false">IF(OR(J216="",K216=""),"",SUMIFS($N:$N,$J:$J,J216,$K:$K,K216))</f>
        <v/>
      </c>
      <c r="Q216" s="32" t="str">
        <f aca="false">IF(OR(J216="",K216=""),"",IF(COUNTIFS($J:$J,J216,$K:$K,"&lt;"&amp;K216)=0,"",_xlfn.MAXIFS($K:$K,$J:$J,J216,$K:$K,"&lt;"&amp;K216)))</f>
        <v/>
      </c>
      <c r="R216" s="39" t="str">
        <f aca="false">IF(Q216="","",SUMIFS($N:$N,$J:$J,J216,$K:$K,Q216))</f>
        <v/>
      </c>
      <c r="S216" s="37" t="str">
        <f aca="false">IF(OR(R216="",R216=0,P216=""),"",P216/R216-1)</f>
        <v/>
      </c>
    </row>
    <row r="217" customFormat="false" ht="15" hidden="false" customHeight="false" outlineLevel="0" collapsed="false">
      <c r="A217" s="27"/>
      <c r="B217" s="5"/>
      <c r="C217" s="35"/>
      <c r="D217" s="5"/>
      <c r="E217" s="5"/>
      <c r="F217" s="19" t="str">
        <f aca="false">IF(A217="","",IF(COUNTIF(Contratos!$A:$A,A217)+COUNTIF(Pagamentos!$A:$A,A217)=0,"não consta","SIM — contratos: "&amp;COUNTIF(Contratos!$A:$A,A217)&amp;"; pagamentos: "&amp;COUNTIF(Pagamentos!$A:$A,A217)))</f>
        <v/>
      </c>
      <c r="G217" s="27"/>
      <c r="H217" s="5"/>
      <c r="J217" s="5"/>
      <c r="K217" s="41"/>
      <c r="L217" s="14"/>
      <c r="M217" s="5"/>
      <c r="N217" s="35"/>
      <c r="O217" s="27"/>
      <c r="P217" s="39" t="str">
        <f aca="false">IF(OR(J217="",K217=""),"",SUMIFS($N:$N,$J:$J,J217,$K:$K,K217))</f>
        <v/>
      </c>
      <c r="Q217" s="32" t="str">
        <f aca="false">IF(OR(J217="",K217=""),"",IF(COUNTIFS($J:$J,J217,$K:$K,"&lt;"&amp;K217)=0,"",_xlfn.MAXIFS($K:$K,$J:$J,J217,$K:$K,"&lt;"&amp;K217)))</f>
        <v/>
      </c>
      <c r="R217" s="39" t="str">
        <f aca="false">IF(Q217="","",SUMIFS($N:$N,$J:$J,J217,$K:$K,Q217))</f>
        <v/>
      </c>
      <c r="S217" s="37" t="str">
        <f aca="false">IF(OR(R217="",R217=0,P217=""),"",P217/R217-1)</f>
        <v/>
      </c>
    </row>
    <row r="218" customFormat="false" ht="15" hidden="false" customHeight="false" outlineLevel="0" collapsed="false">
      <c r="A218" s="27"/>
      <c r="B218" s="5"/>
      <c r="C218" s="35"/>
      <c r="D218" s="5"/>
      <c r="E218" s="5"/>
      <c r="F218" s="19" t="str">
        <f aca="false">IF(A218="","",IF(COUNTIF(Contratos!$A:$A,A218)+COUNTIF(Pagamentos!$A:$A,A218)=0,"não consta","SIM — contratos: "&amp;COUNTIF(Contratos!$A:$A,A218)&amp;"; pagamentos: "&amp;COUNTIF(Pagamentos!$A:$A,A218)))</f>
        <v/>
      </c>
      <c r="G218" s="27"/>
      <c r="H218" s="5"/>
      <c r="J218" s="5"/>
      <c r="K218" s="41"/>
      <c r="L218" s="14"/>
      <c r="M218" s="5"/>
      <c r="N218" s="35"/>
      <c r="O218" s="27"/>
      <c r="P218" s="39" t="str">
        <f aca="false">IF(OR(J218="",K218=""),"",SUMIFS($N:$N,$J:$J,J218,$K:$K,K218))</f>
        <v/>
      </c>
      <c r="Q218" s="32" t="str">
        <f aca="false">IF(OR(J218="",K218=""),"",IF(COUNTIFS($J:$J,J218,$K:$K,"&lt;"&amp;K218)=0,"",_xlfn.MAXIFS($K:$K,$J:$J,J218,$K:$K,"&lt;"&amp;K218)))</f>
        <v/>
      </c>
      <c r="R218" s="39" t="str">
        <f aca="false">IF(Q218="","",SUMIFS($N:$N,$J:$J,J218,$K:$K,Q218))</f>
        <v/>
      </c>
      <c r="S218" s="37" t="str">
        <f aca="false">IF(OR(R218="",R218=0,P218=""),"",P218/R218-1)</f>
        <v/>
      </c>
    </row>
    <row r="219" customFormat="false" ht="15" hidden="false" customHeight="false" outlineLevel="0" collapsed="false">
      <c r="A219" s="27"/>
      <c r="B219" s="5"/>
      <c r="C219" s="35"/>
      <c r="D219" s="5"/>
      <c r="E219" s="5"/>
      <c r="F219" s="19" t="str">
        <f aca="false">IF(A219="","",IF(COUNTIF(Contratos!$A:$A,A219)+COUNTIF(Pagamentos!$A:$A,A219)=0,"não consta","SIM — contratos: "&amp;COUNTIF(Contratos!$A:$A,A219)&amp;"; pagamentos: "&amp;COUNTIF(Pagamentos!$A:$A,A219)))</f>
        <v/>
      </c>
      <c r="G219" s="27"/>
      <c r="H219" s="5"/>
      <c r="J219" s="5"/>
      <c r="K219" s="41"/>
      <c r="L219" s="14"/>
      <c r="M219" s="5"/>
      <c r="N219" s="35"/>
      <c r="O219" s="27"/>
      <c r="P219" s="39" t="str">
        <f aca="false">IF(OR(J219="",K219=""),"",SUMIFS($N:$N,$J:$J,J219,$K:$K,K219))</f>
        <v/>
      </c>
      <c r="Q219" s="32" t="str">
        <f aca="false">IF(OR(J219="",K219=""),"",IF(COUNTIFS($J:$J,J219,$K:$K,"&lt;"&amp;K219)=0,"",_xlfn.MAXIFS($K:$K,$J:$J,J219,$K:$K,"&lt;"&amp;K219)))</f>
        <v/>
      </c>
      <c r="R219" s="39" t="str">
        <f aca="false">IF(Q219="","",SUMIFS($N:$N,$J:$J,J219,$K:$K,Q219))</f>
        <v/>
      </c>
      <c r="S219" s="37" t="str">
        <f aca="false">IF(OR(R219="",R219=0,P219=""),"",P219/R219-1)</f>
        <v/>
      </c>
    </row>
    <row r="220" customFormat="false" ht="15" hidden="false" customHeight="false" outlineLevel="0" collapsed="false">
      <c r="A220" s="27"/>
      <c r="B220" s="5"/>
      <c r="C220" s="35"/>
      <c r="D220" s="5"/>
      <c r="E220" s="5"/>
      <c r="F220" s="19" t="str">
        <f aca="false">IF(A220="","",IF(COUNTIF(Contratos!$A:$A,A220)+COUNTIF(Pagamentos!$A:$A,A220)=0,"não consta","SIM — contratos: "&amp;COUNTIF(Contratos!$A:$A,A220)&amp;"; pagamentos: "&amp;COUNTIF(Pagamentos!$A:$A,A220)))</f>
        <v/>
      </c>
      <c r="G220" s="27"/>
      <c r="H220" s="5"/>
      <c r="J220" s="5"/>
      <c r="K220" s="41"/>
      <c r="L220" s="14"/>
      <c r="M220" s="5"/>
      <c r="N220" s="35"/>
      <c r="O220" s="27"/>
      <c r="P220" s="39" t="str">
        <f aca="false">IF(OR(J220="",K220=""),"",SUMIFS($N:$N,$J:$J,J220,$K:$K,K220))</f>
        <v/>
      </c>
      <c r="Q220" s="32" t="str">
        <f aca="false">IF(OR(J220="",K220=""),"",IF(COUNTIFS($J:$J,J220,$K:$K,"&lt;"&amp;K220)=0,"",_xlfn.MAXIFS($K:$K,$J:$J,J220,$K:$K,"&lt;"&amp;K220)))</f>
        <v/>
      </c>
      <c r="R220" s="39" t="str">
        <f aca="false">IF(Q220="","",SUMIFS($N:$N,$J:$J,J220,$K:$K,Q220))</f>
        <v/>
      </c>
      <c r="S220" s="37" t="str">
        <f aca="false">IF(OR(R220="",R220=0,P220=""),"",P220/R220-1)</f>
        <v/>
      </c>
    </row>
    <row r="221" customFormat="false" ht="15" hidden="false" customHeight="false" outlineLevel="0" collapsed="false">
      <c r="A221" s="27"/>
      <c r="B221" s="5"/>
      <c r="C221" s="35"/>
      <c r="D221" s="5"/>
      <c r="E221" s="5"/>
      <c r="F221" s="19" t="str">
        <f aca="false">IF(A221="","",IF(COUNTIF(Contratos!$A:$A,A221)+COUNTIF(Pagamentos!$A:$A,A221)=0,"não consta","SIM — contratos: "&amp;COUNTIF(Contratos!$A:$A,A221)&amp;"; pagamentos: "&amp;COUNTIF(Pagamentos!$A:$A,A221)))</f>
        <v/>
      </c>
      <c r="G221" s="27"/>
      <c r="H221" s="5"/>
      <c r="J221" s="5"/>
      <c r="K221" s="41"/>
      <c r="L221" s="14"/>
      <c r="M221" s="5"/>
      <c r="N221" s="35"/>
      <c r="O221" s="27"/>
      <c r="P221" s="39" t="str">
        <f aca="false">IF(OR(J221="",K221=""),"",SUMIFS($N:$N,$J:$J,J221,$K:$K,K221))</f>
        <v/>
      </c>
      <c r="Q221" s="32" t="str">
        <f aca="false">IF(OR(J221="",K221=""),"",IF(COUNTIFS($J:$J,J221,$K:$K,"&lt;"&amp;K221)=0,"",_xlfn.MAXIFS($K:$K,$J:$J,J221,$K:$K,"&lt;"&amp;K221)))</f>
        <v/>
      </c>
      <c r="R221" s="39" t="str">
        <f aca="false">IF(Q221="","",SUMIFS($N:$N,$J:$J,J221,$K:$K,Q221))</f>
        <v/>
      </c>
      <c r="S221" s="37" t="str">
        <f aca="false">IF(OR(R221="",R221=0,P221=""),"",P221/R221-1)</f>
        <v/>
      </c>
    </row>
    <row r="222" customFormat="false" ht="15" hidden="false" customHeight="false" outlineLevel="0" collapsed="false">
      <c r="A222" s="27"/>
      <c r="B222" s="5"/>
      <c r="C222" s="35"/>
      <c r="D222" s="5"/>
      <c r="E222" s="5"/>
      <c r="F222" s="19" t="str">
        <f aca="false">IF(A222="","",IF(COUNTIF(Contratos!$A:$A,A222)+COUNTIF(Pagamentos!$A:$A,A222)=0,"não consta","SIM — contratos: "&amp;COUNTIF(Contratos!$A:$A,A222)&amp;"; pagamentos: "&amp;COUNTIF(Pagamentos!$A:$A,A222)))</f>
        <v/>
      </c>
      <c r="G222" s="27"/>
      <c r="H222" s="5"/>
      <c r="J222" s="5"/>
      <c r="K222" s="41"/>
      <c r="L222" s="14"/>
      <c r="M222" s="5"/>
      <c r="N222" s="35"/>
      <c r="O222" s="27"/>
      <c r="P222" s="39" t="str">
        <f aca="false">IF(OR(J222="",K222=""),"",SUMIFS($N:$N,$J:$J,J222,$K:$K,K222))</f>
        <v/>
      </c>
      <c r="Q222" s="32" t="str">
        <f aca="false">IF(OR(J222="",K222=""),"",IF(COUNTIFS($J:$J,J222,$K:$K,"&lt;"&amp;K222)=0,"",_xlfn.MAXIFS($K:$K,$J:$J,J222,$K:$K,"&lt;"&amp;K222)))</f>
        <v/>
      </c>
      <c r="R222" s="39" t="str">
        <f aca="false">IF(Q222="","",SUMIFS($N:$N,$J:$J,J222,$K:$K,Q222))</f>
        <v/>
      </c>
      <c r="S222" s="37" t="str">
        <f aca="false">IF(OR(R222="",R222=0,P222=""),"",P222/R222-1)</f>
        <v/>
      </c>
    </row>
    <row r="223" customFormat="false" ht="15" hidden="false" customHeight="false" outlineLevel="0" collapsed="false">
      <c r="A223" s="27"/>
      <c r="B223" s="5"/>
      <c r="C223" s="35"/>
      <c r="D223" s="5"/>
      <c r="E223" s="5"/>
      <c r="F223" s="19" t="str">
        <f aca="false">IF(A223="","",IF(COUNTIF(Contratos!$A:$A,A223)+COUNTIF(Pagamentos!$A:$A,A223)=0,"não consta","SIM — contratos: "&amp;COUNTIF(Contratos!$A:$A,A223)&amp;"; pagamentos: "&amp;COUNTIF(Pagamentos!$A:$A,A223)))</f>
        <v/>
      </c>
      <c r="G223" s="27"/>
      <c r="H223" s="5"/>
      <c r="J223" s="5"/>
      <c r="K223" s="41"/>
      <c r="L223" s="14"/>
      <c r="M223" s="5"/>
      <c r="N223" s="35"/>
      <c r="O223" s="27"/>
      <c r="P223" s="39" t="str">
        <f aca="false">IF(OR(J223="",K223=""),"",SUMIFS($N:$N,$J:$J,J223,$K:$K,K223))</f>
        <v/>
      </c>
      <c r="Q223" s="32" t="str">
        <f aca="false">IF(OR(J223="",K223=""),"",IF(COUNTIFS($J:$J,J223,$K:$K,"&lt;"&amp;K223)=0,"",_xlfn.MAXIFS($K:$K,$J:$J,J223,$K:$K,"&lt;"&amp;K223)))</f>
        <v/>
      </c>
      <c r="R223" s="39" t="str">
        <f aca="false">IF(Q223="","",SUMIFS($N:$N,$J:$J,J223,$K:$K,Q223))</f>
        <v/>
      </c>
      <c r="S223" s="37" t="str">
        <f aca="false">IF(OR(R223="",R223=0,P223=""),"",P223/R223-1)</f>
        <v/>
      </c>
    </row>
    <row r="224" customFormat="false" ht="15" hidden="false" customHeight="false" outlineLevel="0" collapsed="false">
      <c r="A224" s="27"/>
      <c r="B224" s="5"/>
      <c r="C224" s="35"/>
      <c r="D224" s="5"/>
      <c r="E224" s="5"/>
      <c r="F224" s="19" t="str">
        <f aca="false">IF(A224="","",IF(COUNTIF(Contratos!$A:$A,A224)+COUNTIF(Pagamentos!$A:$A,A224)=0,"não consta","SIM — contratos: "&amp;COUNTIF(Contratos!$A:$A,A224)&amp;"; pagamentos: "&amp;COUNTIF(Pagamentos!$A:$A,A224)))</f>
        <v/>
      </c>
      <c r="G224" s="27"/>
      <c r="H224" s="5"/>
      <c r="J224" s="5"/>
      <c r="K224" s="41"/>
      <c r="L224" s="14"/>
      <c r="M224" s="5"/>
      <c r="N224" s="35"/>
      <c r="O224" s="27"/>
      <c r="P224" s="39" t="str">
        <f aca="false">IF(OR(J224="",K224=""),"",SUMIFS($N:$N,$J:$J,J224,$K:$K,K224))</f>
        <v/>
      </c>
      <c r="Q224" s="32" t="str">
        <f aca="false">IF(OR(J224="",K224=""),"",IF(COUNTIFS($J:$J,J224,$K:$K,"&lt;"&amp;K224)=0,"",_xlfn.MAXIFS($K:$K,$J:$J,J224,$K:$K,"&lt;"&amp;K224)))</f>
        <v/>
      </c>
      <c r="R224" s="39" t="str">
        <f aca="false">IF(Q224="","",SUMIFS($N:$N,$J:$J,J224,$K:$K,Q224))</f>
        <v/>
      </c>
      <c r="S224" s="37" t="str">
        <f aca="false">IF(OR(R224="",R224=0,P224=""),"",P224/R224-1)</f>
        <v/>
      </c>
    </row>
    <row r="225" customFormat="false" ht="15" hidden="false" customHeight="false" outlineLevel="0" collapsed="false">
      <c r="A225" s="27"/>
      <c r="B225" s="5"/>
      <c r="C225" s="35"/>
      <c r="D225" s="5"/>
      <c r="E225" s="5"/>
      <c r="F225" s="19" t="str">
        <f aca="false">IF(A225="","",IF(COUNTIF(Contratos!$A:$A,A225)+COUNTIF(Pagamentos!$A:$A,A225)=0,"não consta","SIM — contratos: "&amp;COUNTIF(Contratos!$A:$A,A225)&amp;"; pagamentos: "&amp;COUNTIF(Pagamentos!$A:$A,A225)))</f>
        <v/>
      </c>
      <c r="G225" s="27"/>
      <c r="H225" s="5"/>
      <c r="J225" s="5"/>
      <c r="K225" s="41"/>
      <c r="L225" s="14"/>
      <c r="M225" s="5"/>
      <c r="N225" s="35"/>
      <c r="O225" s="27"/>
      <c r="P225" s="39" t="str">
        <f aca="false">IF(OR(J225="",K225=""),"",SUMIFS($N:$N,$J:$J,J225,$K:$K,K225))</f>
        <v/>
      </c>
      <c r="Q225" s="32" t="str">
        <f aca="false">IF(OR(J225="",K225=""),"",IF(COUNTIFS($J:$J,J225,$K:$K,"&lt;"&amp;K225)=0,"",_xlfn.MAXIFS($K:$K,$J:$J,J225,$K:$K,"&lt;"&amp;K225)))</f>
        <v/>
      </c>
      <c r="R225" s="39" t="str">
        <f aca="false">IF(Q225="","",SUMIFS($N:$N,$J:$J,J225,$K:$K,Q225))</f>
        <v/>
      </c>
      <c r="S225" s="37" t="str">
        <f aca="false">IF(OR(R225="",R225=0,P225=""),"",P225/R225-1)</f>
        <v/>
      </c>
    </row>
    <row r="226" customFormat="false" ht="15" hidden="false" customHeight="false" outlineLevel="0" collapsed="false">
      <c r="A226" s="27"/>
      <c r="B226" s="5"/>
      <c r="C226" s="35"/>
      <c r="D226" s="5"/>
      <c r="E226" s="5"/>
      <c r="F226" s="19" t="str">
        <f aca="false">IF(A226="","",IF(COUNTIF(Contratos!$A:$A,A226)+COUNTIF(Pagamentos!$A:$A,A226)=0,"não consta","SIM — contratos: "&amp;COUNTIF(Contratos!$A:$A,A226)&amp;"; pagamentos: "&amp;COUNTIF(Pagamentos!$A:$A,A226)))</f>
        <v/>
      </c>
      <c r="G226" s="27"/>
      <c r="H226" s="5"/>
      <c r="J226" s="5"/>
      <c r="K226" s="41"/>
      <c r="L226" s="14"/>
      <c r="M226" s="5"/>
      <c r="N226" s="35"/>
      <c r="O226" s="27"/>
      <c r="P226" s="39" t="str">
        <f aca="false">IF(OR(J226="",K226=""),"",SUMIFS($N:$N,$J:$J,J226,$K:$K,K226))</f>
        <v/>
      </c>
      <c r="Q226" s="32" t="str">
        <f aca="false">IF(OR(J226="",K226=""),"",IF(COUNTIFS($J:$J,J226,$K:$K,"&lt;"&amp;K226)=0,"",_xlfn.MAXIFS($K:$K,$J:$J,J226,$K:$K,"&lt;"&amp;K226)))</f>
        <v/>
      </c>
      <c r="R226" s="39" t="str">
        <f aca="false">IF(Q226="","",SUMIFS($N:$N,$J:$J,J226,$K:$K,Q226))</f>
        <v/>
      </c>
      <c r="S226" s="37" t="str">
        <f aca="false">IF(OR(R226="",R226=0,P226=""),"",P226/R226-1)</f>
        <v/>
      </c>
    </row>
    <row r="227" customFormat="false" ht="15" hidden="false" customHeight="false" outlineLevel="0" collapsed="false">
      <c r="A227" s="27"/>
      <c r="B227" s="5"/>
      <c r="C227" s="35"/>
      <c r="D227" s="5"/>
      <c r="E227" s="5"/>
      <c r="F227" s="19" t="str">
        <f aca="false">IF(A227="","",IF(COUNTIF(Contratos!$A:$A,A227)+COUNTIF(Pagamentos!$A:$A,A227)=0,"não consta","SIM — contratos: "&amp;COUNTIF(Contratos!$A:$A,A227)&amp;"; pagamentos: "&amp;COUNTIF(Pagamentos!$A:$A,A227)))</f>
        <v/>
      </c>
      <c r="G227" s="27"/>
      <c r="H227" s="5"/>
      <c r="J227" s="5"/>
      <c r="K227" s="41"/>
      <c r="L227" s="14"/>
      <c r="M227" s="5"/>
      <c r="N227" s="35"/>
      <c r="O227" s="27"/>
      <c r="P227" s="39" t="str">
        <f aca="false">IF(OR(J227="",K227=""),"",SUMIFS($N:$N,$J:$J,J227,$K:$K,K227))</f>
        <v/>
      </c>
      <c r="Q227" s="32" t="str">
        <f aca="false">IF(OR(J227="",K227=""),"",IF(COUNTIFS($J:$J,J227,$K:$K,"&lt;"&amp;K227)=0,"",_xlfn.MAXIFS($K:$K,$J:$J,J227,$K:$K,"&lt;"&amp;K227)))</f>
        <v/>
      </c>
      <c r="R227" s="39" t="str">
        <f aca="false">IF(Q227="","",SUMIFS($N:$N,$J:$J,J227,$K:$K,Q227))</f>
        <v/>
      </c>
      <c r="S227" s="37" t="str">
        <f aca="false">IF(OR(R227="",R227=0,P227=""),"",P227/R227-1)</f>
        <v/>
      </c>
    </row>
    <row r="228" customFormat="false" ht="15" hidden="false" customHeight="false" outlineLevel="0" collapsed="false">
      <c r="A228" s="27"/>
      <c r="B228" s="5"/>
      <c r="C228" s="35"/>
      <c r="D228" s="5"/>
      <c r="E228" s="5"/>
      <c r="F228" s="19" t="str">
        <f aca="false">IF(A228="","",IF(COUNTIF(Contratos!$A:$A,A228)+COUNTIF(Pagamentos!$A:$A,A228)=0,"não consta","SIM — contratos: "&amp;COUNTIF(Contratos!$A:$A,A228)&amp;"; pagamentos: "&amp;COUNTIF(Pagamentos!$A:$A,A228)))</f>
        <v/>
      </c>
      <c r="G228" s="27"/>
      <c r="H228" s="5"/>
      <c r="J228" s="5"/>
      <c r="K228" s="41"/>
      <c r="L228" s="14"/>
      <c r="M228" s="5"/>
      <c r="N228" s="35"/>
      <c r="O228" s="27"/>
      <c r="P228" s="39" t="str">
        <f aca="false">IF(OR(J228="",K228=""),"",SUMIFS($N:$N,$J:$J,J228,$K:$K,K228))</f>
        <v/>
      </c>
      <c r="Q228" s="32" t="str">
        <f aca="false">IF(OR(J228="",K228=""),"",IF(COUNTIFS($J:$J,J228,$K:$K,"&lt;"&amp;K228)=0,"",_xlfn.MAXIFS($K:$K,$J:$J,J228,$K:$K,"&lt;"&amp;K228)))</f>
        <v/>
      </c>
      <c r="R228" s="39" t="str">
        <f aca="false">IF(Q228="","",SUMIFS($N:$N,$J:$J,J228,$K:$K,Q228))</f>
        <v/>
      </c>
      <c r="S228" s="37" t="str">
        <f aca="false">IF(OR(R228="",R228=0,P228=""),"",P228/R228-1)</f>
        <v/>
      </c>
    </row>
    <row r="229" customFormat="false" ht="15" hidden="false" customHeight="false" outlineLevel="0" collapsed="false">
      <c r="A229" s="27"/>
      <c r="B229" s="5"/>
      <c r="C229" s="35"/>
      <c r="D229" s="5"/>
      <c r="E229" s="5"/>
      <c r="F229" s="19" t="str">
        <f aca="false">IF(A229="","",IF(COUNTIF(Contratos!$A:$A,A229)+COUNTIF(Pagamentos!$A:$A,A229)=0,"não consta","SIM — contratos: "&amp;COUNTIF(Contratos!$A:$A,A229)&amp;"; pagamentos: "&amp;COUNTIF(Pagamentos!$A:$A,A229)))</f>
        <v/>
      </c>
      <c r="G229" s="27"/>
      <c r="H229" s="5"/>
      <c r="J229" s="5"/>
      <c r="K229" s="41"/>
      <c r="L229" s="14"/>
      <c r="M229" s="5"/>
      <c r="N229" s="35"/>
      <c r="O229" s="27"/>
      <c r="P229" s="39" t="str">
        <f aca="false">IF(OR(J229="",K229=""),"",SUMIFS($N:$N,$J:$J,J229,$K:$K,K229))</f>
        <v/>
      </c>
      <c r="Q229" s="32" t="str">
        <f aca="false">IF(OR(J229="",K229=""),"",IF(COUNTIFS($J:$J,J229,$K:$K,"&lt;"&amp;K229)=0,"",_xlfn.MAXIFS($K:$K,$J:$J,J229,$K:$K,"&lt;"&amp;K229)))</f>
        <v/>
      </c>
      <c r="R229" s="39" t="str">
        <f aca="false">IF(Q229="","",SUMIFS($N:$N,$J:$J,J229,$K:$K,Q229))</f>
        <v/>
      </c>
      <c r="S229" s="37" t="str">
        <f aca="false">IF(OR(R229="",R229=0,P229=""),"",P229/R229-1)</f>
        <v/>
      </c>
    </row>
    <row r="230" customFormat="false" ht="15" hidden="false" customHeight="false" outlineLevel="0" collapsed="false">
      <c r="A230" s="27"/>
      <c r="B230" s="5"/>
      <c r="C230" s="35"/>
      <c r="D230" s="5"/>
      <c r="E230" s="5"/>
      <c r="F230" s="19" t="str">
        <f aca="false">IF(A230="","",IF(COUNTIF(Contratos!$A:$A,A230)+COUNTIF(Pagamentos!$A:$A,A230)=0,"não consta","SIM — contratos: "&amp;COUNTIF(Contratos!$A:$A,A230)&amp;"; pagamentos: "&amp;COUNTIF(Pagamentos!$A:$A,A230)))</f>
        <v/>
      </c>
      <c r="G230" s="27"/>
      <c r="H230" s="5"/>
      <c r="J230" s="5"/>
      <c r="K230" s="41"/>
      <c r="L230" s="14"/>
      <c r="M230" s="5"/>
      <c r="N230" s="35"/>
      <c r="O230" s="27"/>
      <c r="P230" s="39" t="str">
        <f aca="false">IF(OR(J230="",K230=""),"",SUMIFS($N:$N,$J:$J,J230,$K:$K,K230))</f>
        <v/>
      </c>
      <c r="Q230" s="32" t="str">
        <f aca="false">IF(OR(J230="",K230=""),"",IF(COUNTIFS($J:$J,J230,$K:$K,"&lt;"&amp;K230)=0,"",_xlfn.MAXIFS($K:$K,$J:$J,J230,$K:$K,"&lt;"&amp;K230)))</f>
        <v/>
      </c>
      <c r="R230" s="39" t="str">
        <f aca="false">IF(Q230="","",SUMIFS($N:$N,$J:$J,J230,$K:$K,Q230))</f>
        <v/>
      </c>
      <c r="S230" s="37" t="str">
        <f aca="false">IF(OR(R230="",R230=0,P230=""),"",P230/R230-1)</f>
        <v/>
      </c>
    </row>
    <row r="231" customFormat="false" ht="15" hidden="false" customHeight="false" outlineLevel="0" collapsed="false">
      <c r="A231" s="27"/>
      <c r="B231" s="5"/>
      <c r="C231" s="35"/>
      <c r="D231" s="5"/>
      <c r="E231" s="5"/>
      <c r="F231" s="19" t="str">
        <f aca="false">IF(A231="","",IF(COUNTIF(Contratos!$A:$A,A231)+COUNTIF(Pagamentos!$A:$A,A231)=0,"não consta","SIM — contratos: "&amp;COUNTIF(Contratos!$A:$A,A231)&amp;"; pagamentos: "&amp;COUNTIF(Pagamentos!$A:$A,A231)))</f>
        <v/>
      </c>
      <c r="G231" s="27"/>
      <c r="H231" s="5"/>
      <c r="J231" s="5"/>
      <c r="K231" s="41"/>
      <c r="L231" s="14"/>
      <c r="M231" s="5"/>
      <c r="N231" s="35"/>
      <c r="O231" s="27"/>
      <c r="P231" s="39" t="str">
        <f aca="false">IF(OR(J231="",K231=""),"",SUMIFS($N:$N,$J:$J,J231,$K:$K,K231))</f>
        <v/>
      </c>
      <c r="Q231" s="32" t="str">
        <f aca="false">IF(OR(J231="",K231=""),"",IF(COUNTIFS($J:$J,J231,$K:$K,"&lt;"&amp;K231)=0,"",_xlfn.MAXIFS($K:$K,$J:$J,J231,$K:$K,"&lt;"&amp;K231)))</f>
        <v/>
      </c>
      <c r="R231" s="39" t="str">
        <f aca="false">IF(Q231="","",SUMIFS($N:$N,$J:$J,J231,$K:$K,Q231))</f>
        <v/>
      </c>
      <c r="S231" s="37" t="str">
        <f aca="false">IF(OR(R231="",R231=0,P231=""),"",P231/R231-1)</f>
        <v/>
      </c>
    </row>
    <row r="232" customFormat="false" ht="15" hidden="false" customHeight="false" outlineLevel="0" collapsed="false">
      <c r="A232" s="27"/>
      <c r="B232" s="5"/>
      <c r="C232" s="35"/>
      <c r="D232" s="5"/>
      <c r="E232" s="5"/>
      <c r="F232" s="19" t="str">
        <f aca="false">IF(A232="","",IF(COUNTIF(Contratos!$A:$A,A232)+COUNTIF(Pagamentos!$A:$A,A232)=0,"não consta","SIM — contratos: "&amp;COUNTIF(Contratos!$A:$A,A232)&amp;"; pagamentos: "&amp;COUNTIF(Pagamentos!$A:$A,A232)))</f>
        <v/>
      </c>
      <c r="G232" s="27"/>
      <c r="H232" s="5"/>
      <c r="J232" s="5"/>
      <c r="K232" s="41"/>
      <c r="L232" s="14"/>
      <c r="M232" s="5"/>
      <c r="N232" s="35"/>
      <c r="O232" s="27"/>
      <c r="P232" s="39" t="str">
        <f aca="false">IF(OR(J232="",K232=""),"",SUMIFS($N:$N,$J:$J,J232,$K:$K,K232))</f>
        <v/>
      </c>
      <c r="Q232" s="32" t="str">
        <f aca="false">IF(OR(J232="",K232=""),"",IF(COUNTIFS($J:$J,J232,$K:$K,"&lt;"&amp;K232)=0,"",_xlfn.MAXIFS($K:$K,$J:$J,J232,$K:$K,"&lt;"&amp;K232)))</f>
        <v/>
      </c>
      <c r="R232" s="39" t="str">
        <f aca="false">IF(Q232="","",SUMIFS($N:$N,$J:$J,J232,$K:$K,Q232))</f>
        <v/>
      </c>
      <c r="S232" s="37" t="str">
        <f aca="false">IF(OR(R232="",R232=0,P232=""),"",P232/R232-1)</f>
        <v/>
      </c>
    </row>
    <row r="233" customFormat="false" ht="15" hidden="false" customHeight="false" outlineLevel="0" collapsed="false">
      <c r="A233" s="27"/>
      <c r="B233" s="5"/>
      <c r="C233" s="35"/>
      <c r="D233" s="5"/>
      <c r="E233" s="5"/>
      <c r="F233" s="19" t="str">
        <f aca="false">IF(A233="","",IF(COUNTIF(Contratos!$A:$A,A233)+COUNTIF(Pagamentos!$A:$A,A233)=0,"não consta","SIM — contratos: "&amp;COUNTIF(Contratos!$A:$A,A233)&amp;"; pagamentos: "&amp;COUNTIF(Pagamentos!$A:$A,A233)))</f>
        <v/>
      </c>
      <c r="G233" s="27"/>
      <c r="H233" s="5"/>
      <c r="J233" s="5"/>
      <c r="K233" s="41"/>
      <c r="L233" s="14"/>
      <c r="M233" s="5"/>
      <c r="N233" s="35"/>
      <c r="O233" s="27"/>
      <c r="P233" s="39" t="str">
        <f aca="false">IF(OR(J233="",K233=""),"",SUMIFS($N:$N,$J:$J,J233,$K:$K,K233))</f>
        <v/>
      </c>
      <c r="Q233" s="32" t="str">
        <f aca="false">IF(OR(J233="",K233=""),"",IF(COUNTIFS($J:$J,J233,$K:$K,"&lt;"&amp;K233)=0,"",_xlfn.MAXIFS($K:$K,$J:$J,J233,$K:$K,"&lt;"&amp;K233)))</f>
        <v/>
      </c>
      <c r="R233" s="39" t="str">
        <f aca="false">IF(Q233="","",SUMIFS($N:$N,$J:$J,J233,$K:$K,Q233))</f>
        <v/>
      </c>
      <c r="S233" s="37" t="str">
        <f aca="false">IF(OR(R233="",R233=0,P233=""),"",P233/R233-1)</f>
        <v/>
      </c>
    </row>
    <row r="234" customFormat="false" ht="15" hidden="false" customHeight="false" outlineLevel="0" collapsed="false">
      <c r="A234" s="27"/>
      <c r="B234" s="5"/>
      <c r="C234" s="35"/>
      <c r="D234" s="5"/>
      <c r="E234" s="5"/>
      <c r="F234" s="19" t="str">
        <f aca="false">IF(A234="","",IF(COUNTIF(Contratos!$A:$A,A234)+COUNTIF(Pagamentos!$A:$A,A234)=0,"não consta","SIM — contratos: "&amp;COUNTIF(Contratos!$A:$A,A234)&amp;"; pagamentos: "&amp;COUNTIF(Pagamentos!$A:$A,A234)))</f>
        <v/>
      </c>
      <c r="G234" s="27"/>
      <c r="H234" s="5"/>
      <c r="J234" s="5"/>
      <c r="K234" s="41"/>
      <c r="L234" s="14"/>
      <c r="M234" s="5"/>
      <c r="N234" s="35"/>
      <c r="O234" s="27"/>
      <c r="P234" s="39" t="str">
        <f aca="false">IF(OR(J234="",K234=""),"",SUMIFS($N:$N,$J:$J,J234,$K:$K,K234))</f>
        <v/>
      </c>
      <c r="Q234" s="32" t="str">
        <f aca="false">IF(OR(J234="",K234=""),"",IF(COUNTIFS($J:$J,J234,$K:$K,"&lt;"&amp;K234)=0,"",_xlfn.MAXIFS($K:$K,$J:$J,J234,$K:$K,"&lt;"&amp;K234)))</f>
        <v/>
      </c>
      <c r="R234" s="39" t="str">
        <f aca="false">IF(Q234="","",SUMIFS($N:$N,$J:$J,J234,$K:$K,Q234))</f>
        <v/>
      </c>
      <c r="S234" s="37" t="str">
        <f aca="false">IF(OR(R234="",R234=0,P234=""),"",P234/R234-1)</f>
        <v/>
      </c>
    </row>
    <row r="235" customFormat="false" ht="15" hidden="false" customHeight="false" outlineLevel="0" collapsed="false">
      <c r="A235" s="27"/>
      <c r="B235" s="5"/>
      <c r="C235" s="35"/>
      <c r="D235" s="5"/>
      <c r="E235" s="5"/>
      <c r="F235" s="19" t="str">
        <f aca="false">IF(A235="","",IF(COUNTIF(Contratos!$A:$A,A235)+COUNTIF(Pagamentos!$A:$A,A235)=0,"não consta","SIM — contratos: "&amp;COUNTIF(Contratos!$A:$A,A235)&amp;"; pagamentos: "&amp;COUNTIF(Pagamentos!$A:$A,A235)))</f>
        <v/>
      </c>
      <c r="G235" s="27"/>
      <c r="H235" s="5"/>
      <c r="J235" s="5"/>
      <c r="K235" s="41"/>
      <c r="L235" s="14"/>
      <c r="M235" s="5"/>
      <c r="N235" s="35"/>
      <c r="O235" s="27"/>
      <c r="P235" s="39" t="str">
        <f aca="false">IF(OR(J235="",K235=""),"",SUMIFS($N:$N,$J:$J,J235,$K:$K,K235))</f>
        <v/>
      </c>
      <c r="Q235" s="32" t="str">
        <f aca="false">IF(OR(J235="",K235=""),"",IF(COUNTIFS($J:$J,J235,$K:$K,"&lt;"&amp;K235)=0,"",_xlfn.MAXIFS($K:$K,$J:$J,J235,$K:$K,"&lt;"&amp;K235)))</f>
        <v/>
      </c>
      <c r="R235" s="39" t="str">
        <f aca="false">IF(Q235="","",SUMIFS($N:$N,$J:$J,J235,$K:$K,Q235))</f>
        <v/>
      </c>
      <c r="S235" s="37" t="str">
        <f aca="false">IF(OR(R235="",R235=0,P235=""),"",P235/R235-1)</f>
        <v/>
      </c>
    </row>
    <row r="236" customFormat="false" ht="15" hidden="false" customHeight="false" outlineLevel="0" collapsed="false">
      <c r="A236" s="27"/>
      <c r="B236" s="5"/>
      <c r="C236" s="35"/>
      <c r="D236" s="5"/>
      <c r="E236" s="5"/>
      <c r="F236" s="19" t="str">
        <f aca="false">IF(A236="","",IF(COUNTIF(Contratos!$A:$A,A236)+COUNTIF(Pagamentos!$A:$A,A236)=0,"não consta","SIM — contratos: "&amp;COUNTIF(Contratos!$A:$A,A236)&amp;"; pagamentos: "&amp;COUNTIF(Pagamentos!$A:$A,A236)))</f>
        <v/>
      </c>
      <c r="G236" s="27"/>
      <c r="H236" s="5"/>
      <c r="J236" s="5"/>
      <c r="K236" s="41"/>
      <c r="L236" s="14"/>
      <c r="M236" s="5"/>
      <c r="N236" s="35"/>
      <c r="O236" s="27"/>
      <c r="P236" s="39" t="str">
        <f aca="false">IF(OR(J236="",K236=""),"",SUMIFS($N:$N,$J:$J,J236,$K:$K,K236))</f>
        <v/>
      </c>
      <c r="Q236" s="32" t="str">
        <f aca="false">IF(OR(J236="",K236=""),"",IF(COUNTIFS($J:$J,J236,$K:$K,"&lt;"&amp;K236)=0,"",_xlfn.MAXIFS($K:$K,$J:$J,J236,$K:$K,"&lt;"&amp;K236)))</f>
        <v/>
      </c>
      <c r="R236" s="39" t="str">
        <f aca="false">IF(Q236="","",SUMIFS($N:$N,$J:$J,J236,$K:$K,Q236))</f>
        <v/>
      </c>
      <c r="S236" s="37" t="str">
        <f aca="false">IF(OR(R236="",R236=0,P236=""),"",P236/R236-1)</f>
        <v/>
      </c>
    </row>
    <row r="237" customFormat="false" ht="15" hidden="false" customHeight="false" outlineLevel="0" collapsed="false">
      <c r="A237" s="27"/>
      <c r="B237" s="5"/>
      <c r="C237" s="35"/>
      <c r="D237" s="5"/>
      <c r="E237" s="5"/>
      <c r="F237" s="19" t="str">
        <f aca="false">IF(A237="","",IF(COUNTIF(Contratos!$A:$A,A237)+COUNTIF(Pagamentos!$A:$A,A237)=0,"não consta","SIM — contratos: "&amp;COUNTIF(Contratos!$A:$A,A237)&amp;"; pagamentos: "&amp;COUNTIF(Pagamentos!$A:$A,A237)))</f>
        <v/>
      </c>
      <c r="G237" s="27"/>
      <c r="H237" s="5"/>
      <c r="J237" s="5"/>
      <c r="K237" s="41"/>
      <c r="L237" s="14"/>
      <c r="M237" s="5"/>
      <c r="N237" s="35"/>
      <c r="O237" s="27"/>
      <c r="P237" s="39" t="str">
        <f aca="false">IF(OR(J237="",K237=""),"",SUMIFS($N:$N,$J:$J,J237,$K:$K,K237))</f>
        <v/>
      </c>
      <c r="Q237" s="32" t="str">
        <f aca="false">IF(OR(J237="",K237=""),"",IF(COUNTIFS($J:$J,J237,$K:$K,"&lt;"&amp;K237)=0,"",_xlfn.MAXIFS($K:$K,$J:$J,J237,$K:$K,"&lt;"&amp;K237)))</f>
        <v/>
      </c>
      <c r="R237" s="39" t="str">
        <f aca="false">IF(Q237="","",SUMIFS($N:$N,$J:$J,J237,$K:$K,Q237))</f>
        <v/>
      </c>
      <c r="S237" s="37" t="str">
        <f aca="false">IF(OR(R237="",R237=0,P237=""),"",P237/R237-1)</f>
        <v/>
      </c>
    </row>
    <row r="238" customFormat="false" ht="15" hidden="false" customHeight="false" outlineLevel="0" collapsed="false">
      <c r="A238" s="27"/>
      <c r="B238" s="5"/>
      <c r="C238" s="35"/>
      <c r="D238" s="5"/>
      <c r="E238" s="5"/>
      <c r="F238" s="19" t="str">
        <f aca="false">IF(A238="","",IF(COUNTIF(Contratos!$A:$A,A238)+COUNTIF(Pagamentos!$A:$A,A238)=0,"não consta","SIM — contratos: "&amp;COUNTIF(Contratos!$A:$A,A238)&amp;"; pagamentos: "&amp;COUNTIF(Pagamentos!$A:$A,A238)))</f>
        <v/>
      </c>
      <c r="G238" s="27"/>
      <c r="H238" s="5"/>
      <c r="J238" s="5"/>
      <c r="K238" s="41"/>
      <c r="L238" s="14"/>
      <c r="M238" s="5"/>
      <c r="N238" s="35"/>
      <c r="O238" s="27"/>
      <c r="P238" s="39" t="str">
        <f aca="false">IF(OR(J238="",K238=""),"",SUMIFS($N:$N,$J:$J,J238,$K:$K,K238))</f>
        <v/>
      </c>
      <c r="Q238" s="32" t="str">
        <f aca="false">IF(OR(J238="",K238=""),"",IF(COUNTIFS($J:$J,J238,$K:$K,"&lt;"&amp;K238)=0,"",_xlfn.MAXIFS($K:$K,$J:$J,J238,$K:$K,"&lt;"&amp;K238)))</f>
        <v/>
      </c>
      <c r="R238" s="39" t="str">
        <f aca="false">IF(Q238="","",SUMIFS($N:$N,$J:$J,J238,$K:$K,Q238))</f>
        <v/>
      </c>
      <c r="S238" s="37" t="str">
        <f aca="false">IF(OR(R238="",R238=0,P238=""),"",P238/R238-1)</f>
        <v/>
      </c>
    </row>
    <row r="239" customFormat="false" ht="15" hidden="false" customHeight="false" outlineLevel="0" collapsed="false">
      <c r="A239" s="27"/>
      <c r="B239" s="5"/>
      <c r="C239" s="35"/>
      <c r="D239" s="5"/>
      <c r="E239" s="5"/>
      <c r="F239" s="19" t="str">
        <f aca="false">IF(A239="","",IF(COUNTIF(Contratos!$A:$A,A239)+COUNTIF(Pagamentos!$A:$A,A239)=0,"não consta","SIM — contratos: "&amp;COUNTIF(Contratos!$A:$A,A239)&amp;"; pagamentos: "&amp;COUNTIF(Pagamentos!$A:$A,A239)))</f>
        <v/>
      </c>
      <c r="G239" s="27"/>
      <c r="H239" s="5"/>
      <c r="J239" s="5"/>
      <c r="K239" s="41"/>
      <c r="L239" s="14"/>
      <c r="M239" s="5"/>
      <c r="N239" s="35"/>
      <c r="O239" s="27"/>
      <c r="P239" s="39" t="str">
        <f aca="false">IF(OR(J239="",K239=""),"",SUMIFS($N:$N,$J:$J,J239,$K:$K,K239))</f>
        <v/>
      </c>
      <c r="Q239" s="32" t="str">
        <f aca="false">IF(OR(J239="",K239=""),"",IF(COUNTIFS($J:$J,J239,$K:$K,"&lt;"&amp;K239)=0,"",_xlfn.MAXIFS($K:$K,$J:$J,J239,$K:$K,"&lt;"&amp;K239)))</f>
        <v/>
      </c>
      <c r="R239" s="39" t="str">
        <f aca="false">IF(Q239="","",SUMIFS($N:$N,$J:$J,J239,$K:$K,Q239))</f>
        <v/>
      </c>
      <c r="S239" s="37" t="str">
        <f aca="false">IF(OR(R239="",R239=0,P239=""),"",P239/R239-1)</f>
        <v/>
      </c>
    </row>
    <row r="240" customFormat="false" ht="15" hidden="false" customHeight="false" outlineLevel="0" collapsed="false">
      <c r="A240" s="27"/>
      <c r="B240" s="5"/>
      <c r="C240" s="35"/>
      <c r="D240" s="5"/>
      <c r="E240" s="5"/>
      <c r="F240" s="19" t="str">
        <f aca="false">IF(A240="","",IF(COUNTIF(Contratos!$A:$A,A240)+COUNTIF(Pagamentos!$A:$A,A240)=0,"não consta","SIM — contratos: "&amp;COUNTIF(Contratos!$A:$A,A240)&amp;"; pagamentos: "&amp;COUNTIF(Pagamentos!$A:$A,A240)))</f>
        <v/>
      </c>
      <c r="G240" s="27"/>
      <c r="H240" s="5"/>
      <c r="J240" s="5"/>
      <c r="K240" s="41"/>
      <c r="L240" s="14"/>
      <c r="M240" s="5"/>
      <c r="N240" s="35"/>
      <c r="O240" s="27"/>
      <c r="P240" s="39" t="str">
        <f aca="false">IF(OR(J240="",K240=""),"",SUMIFS($N:$N,$J:$J,J240,$K:$K,K240))</f>
        <v/>
      </c>
      <c r="Q240" s="32" t="str">
        <f aca="false">IF(OR(J240="",K240=""),"",IF(COUNTIFS($J:$J,J240,$K:$K,"&lt;"&amp;K240)=0,"",_xlfn.MAXIFS($K:$K,$J:$J,J240,$K:$K,"&lt;"&amp;K240)))</f>
        <v/>
      </c>
      <c r="R240" s="39" t="str">
        <f aca="false">IF(Q240="","",SUMIFS($N:$N,$J:$J,J240,$K:$K,Q240))</f>
        <v/>
      </c>
      <c r="S240" s="37" t="str">
        <f aca="false">IF(OR(R240="",R240=0,P240=""),"",P240/R240-1)</f>
        <v/>
      </c>
    </row>
    <row r="241" customFormat="false" ht="15" hidden="false" customHeight="false" outlineLevel="0" collapsed="false">
      <c r="A241" s="27"/>
      <c r="B241" s="5"/>
      <c r="C241" s="35"/>
      <c r="D241" s="5"/>
      <c r="E241" s="5"/>
      <c r="F241" s="19" t="str">
        <f aca="false">IF(A241="","",IF(COUNTIF(Contratos!$A:$A,A241)+COUNTIF(Pagamentos!$A:$A,A241)=0,"não consta","SIM — contratos: "&amp;COUNTIF(Contratos!$A:$A,A241)&amp;"; pagamentos: "&amp;COUNTIF(Pagamentos!$A:$A,A241)))</f>
        <v/>
      </c>
      <c r="G241" s="27"/>
      <c r="H241" s="5"/>
      <c r="J241" s="5"/>
      <c r="K241" s="41"/>
      <c r="L241" s="14"/>
      <c r="M241" s="5"/>
      <c r="N241" s="35"/>
      <c r="O241" s="27"/>
      <c r="P241" s="39" t="str">
        <f aca="false">IF(OR(J241="",K241=""),"",SUMIFS($N:$N,$J:$J,J241,$K:$K,K241))</f>
        <v/>
      </c>
      <c r="Q241" s="32" t="str">
        <f aca="false">IF(OR(J241="",K241=""),"",IF(COUNTIFS($J:$J,J241,$K:$K,"&lt;"&amp;K241)=0,"",_xlfn.MAXIFS($K:$K,$J:$J,J241,$K:$K,"&lt;"&amp;K241)))</f>
        <v/>
      </c>
      <c r="R241" s="39" t="str">
        <f aca="false">IF(Q241="","",SUMIFS($N:$N,$J:$J,J241,$K:$K,Q241))</f>
        <v/>
      </c>
      <c r="S241" s="37" t="str">
        <f aca="false">IF(OR(R241="",R241=0,P241=""),"",P241/R241-1)</f>
        <v/>
      </c>
    </row>
    <row r="242" customFormat="false" ht="15" hidden="false" customHeight="false" outlineLevel="0" collapsed="false">
      <c r="A242" s="27"/>
      <c r="B242" s="5"/>
      <c r="C242" s="35"/>
      <c r="D242" s="5"/>
      <c r="E242" s="5"/>
      <c r="F242" s="19" t="str">
        <f aca="false">IF(A242="","",IF(COUNTIF(Contratos!$A:$A,A242)+COUNTIF(Pagamentos!$A:$A,A242)=0,"não consta","SIM — contratos: "&amp;COUNTIF(Contratos!$A:$A,A242)&amp;"; pagamentos: "&amp;COUNTIF(Pagamentos!$A:$A,A242)))</f>
        <v/>
      </c>
      <c r="G242" s="27"/>
      <c r="H242" s="5"/>
      <c r="J242" s="5"/>
      <c r="K242" s="41"/>
      <c r="L242" s="14"/>
      <c r="M242" s="5"/>
      <c r="N242" s="35"/>
      <c r="O242" s="27"/>
      <c r="P242" s="39" t="str">
        <f aca="false">IF(OR(J242="",K242=""),"",SUMIFS($N:$N,$J:$J,J242,$K:$K,K242))</f>
        <v/>
      </c>
      <c r="Q242" s="32" t="str">
        <f aca="false">IF(OR(J242="",K242=""),"",IF(COUNTIFS($J:$J,J242,$K:$K,"&lt;"&amp;K242)=0,"",_xlfn.MAXIFS($K:$K,$J:$J,J242,$K:$K,"&lt;"&amp;K242)))</f>
        <v/>
      </c>
      <c r="R242" s="39" t="str">
        <f aca="false">IF(Q242="","",SUMIFS($N:$N,$J:$J,J242,$K:$K,Q242))</f>
        <v/>
      </c>
      <c r="S242" s="37" t="str">
        <f aca="false">IF(OR(R242="",R242=0,P242=""),"",P242/R242-1)</f>
        <v/>
      </c>
    </row>
    <row r="243" customFormat="false" ht="15" hidden="false" customHeight="false" outlineLevel="0" collapsed="false">
      <c r="A243" s="27"/>
      <c r="B243" s="5"/>
      <c r="C243" s="35"/>
      <c r="D243" s="5"/>
      <c r="E243" s="5"/>
      <c r="F243" s="19" t="str">
        <f aca="false">IF(A243="","",IF(COUNTIF(Contratos!$A:$A,A243)+COUNTIF(Pagamentos!$A:$A,A243)=0,"não consta","SIM — contratos: "&amp;COUNTIF(Contratos!$A:$A,A243)&amp;"; pagamentos: "&amp;COUNTIF(Pagamentos!$A:$A,A243)))</f>
        <v/>
      </c>
      <c r="G243" s="27"/>
      <c r="H243" s="5"/>
      <c r="J243" s="5"/>
      <c r="K243" s="41"/>
      <c r="L243" s="14"/>
      <c r="M243" s="5"/>
      <c r="N243" s="35"/>
      <c r="O243" s="27"/>
      <c r="P243" s="39" t="str">
        <f aca="false">IF(OR(J243="",K243=""),"",SUMIFS($N:$N,$J:$J,J243,$K:$K,K243))</f>
        <v/>
      </c>
      <c r="Q243" s="32" t="str">
        <f aca="false">IF(OR(J243="",K243=""),"",IF(COUNTIFS($J:$J,J243,$K:$K,"&lt;"&amp;K243)=0,"",_xlfn.MAXIFS($K:$K,$J:$J,J243,$K:$K,"&lt;"&amp;K243)))</f>
        <v/>
      </c>
      <c r="R243" s="39" t="str">
        <f aca="false">IF(Q243="","",SUMIFS($N:$N,$J:$J,J243,$K:$K,Q243))</f>
        <v/>
      </c>
      <c r="S243" s="37" t="str">
        <f aca="false">IF(OR(R243="",R243=0,P243=""),"",P243/R243-1)</f>
        <v/>
      </c>
    </row>
    <row r="244" customFormat="false" ht="15" hidden="false" customHeight="false" outlineLevel="0" collapsed="false">
      <c r="A244" s="27"/>
      <c r="B244" s="5"/>
      <c r="C244" s="35"/>
      <c r="D244" s="5"/>
      <c r="E244" s="5"/>
      <c r="F244" s="19" t="str">
        <f aca="false">IF(A244="","",IF(COUNTIF(Contratos!$A:$A,A244)+COUNTIF(Pagamentos!$A:$A,A244)=0,"não consta","SIM — contratos: "&amp;COUNTIF(Contratos!$A:$A,A244)&amp;"; pagamentos: "&amp;COUNTIF(Pagamentos!$A:$A,A244)))</f>
        <v/>
      </c>
      <c r="G244" s="27"/>
      <c r="H244" s="5"/>
      <c r="J244" s="5"/>
      <c r="K244" s="41"/>
      <c r="L244" s="14"/>
      <c r="M244" s="5"/>
      <c r="N244" s="35"/>
      <c r="O244" s="27"/>
      <c r="P244" s="39" t="str">
        <f aca="false">IF(OR(J244="",K244=""),"",SUMIFS($N:$N,$J:$J,J244,$K:$K,K244))</f>
        <v/>
      </c>
      <c r="Q244" s="32" t="str">
        <f aca="false">IF(OR(J244="",K244=""),"",IF(COUNTIFS($J:$J,J244,$K:$K,"&lt;"&amp;K244)=0,"",_xlfn.MAXIFS($K:$K,$J:$J,J244,$K:$K,"&lt;"&amp;K244)))</f>
        <v/>
      </c>
      <c r="R244" s="39" t="str">
        <f aca="false">IF(Q244="","",SUMIFS($N:$N,$J:$J,J244,$K:$K,Q244))</f>
        <v/>
      </c>
      <c r="S244" s="37" t="str">
        <f aca="false">IF(OR(R244="",R244=0,P244=""),"",P244/R244-1)</f>
        <v/>
      </c>
    </row>
    <row r="245" customFormat="false" ht="15" hidden="false" customHeight="false" outlineLevel="0" collapsed="false">
      <c r="A245" s="27"/>
      <c r="B245" s="5"/>
      <c r="C245" s="35"/>
      <c r="D245" s="5"/>
      <c r="E245" s="5"/>
      <c r="F245" s="19" t="str">
        <f aca="false">IF(A245="","",IF(COUNTIF(Contratos!$A:$A,A245)+COUNTIF(Pagamentos!$A:$A,A245)=0,"não consta","SIM — contratos: "&amp;COUNTIF(Contratos!$A:$A,A245)&amp;"; pagamentos: "&amp;COUNTIF(Pagamentos!$A:$A,A245)))</f>
        <v/>
      </c>
      <c r="G245" s="27"/>
      <c r="H245" s="5"/>
      <c r="J245" s="5"/>
      <c r="K245" s="41"/>
      <c r="L245" s="14"/>
      <c r="M245" s="5"/>
      <c r="N245" s="35"/>
      <c r="O245" s="27"/>
      <c r="P245" s="39" t="str">
        <f aca="false">IF(OR(J245="",K245=""),"",SUMIFS($N:$N,$J:$J,J245,$K:$K,K245))</f>
        <v/>
      </c>
      <c r="Q245" s="32" t="str">
        <f aca="false">IF(OR(J245="",K245=""),"",IF(COUNTIFS($J:$J,J245,$K:$K,"&lt;"&amp;K245)=0,"",_xlfn.MAXIFS($K:$K,$J:$J,J245,$K:$K,"&lt;"&amp;K245)))</f>
        <v/>
      </c>
      <c r="R245" s="39" t="str">
        <f aca="false">IF(Q245="","",SUMIFS($N:$N,$J:$J,J245,$K:$K,Q245))</f>
        <v/>
      </c>
      <c r="S245" s="37" t="str">
        <f aca="false">IF(OR(R245="",R245=0,P245=""),"",P245/R245-1)</f>
        <v/>
      </c>
    </row>
    <row r="246" customFormat="false" ht="15" hidden="false" customHeight="false" outlineLevel="0" collapsed="false">
      <c r="A246" s="27"/>
      <c r="B246" s="5"/>
      <c r="C246" s="35"/>
      <c r="D246" s="5"/>
      <c r="E246" s="5"/>
      <c r="F246" s="19" t="str">
        <f aca="false">IF(A246="","",IF(COUNTIF(Contratos!$A:$A,A246)+COUNTIF(Pagamentos!$A:$A,A246)=0,"não consta","SIM — contratos: "&amp;COUNTIF(Contratos!$A:$A,A246)&amp;"; pagamentos: "&amp;COUNTIF(Pagamentos!$A:$A,A246)))</f>
        <v/>
      </c>
      <c r="G246" s="27"/>
      <c r="H246" s="5"/>
      <c r="J246" s="5"/>
      <c r="K246" s="41"/>
      <c r="L246" s="14"/>
      <c r="M246" s="5"/>
      <c r="N246" s="35"/>
      <c r="O246" s="27"/>
      <c r="P246" s="39" t="str">
        <f aca="false">IF(OR(J246="",K246=""),"",SUMIFS($N:$N,$J:$J,J246,$K:$K,K246))</f>
        <v/>
      </c>
      <c r="Q246" s="32" t="str">
        <f aca="false">IF(OR(J246="",K246=""),"",IF(COUNTIFS($J:$J,J246,$K:$K,"&lt;"&amp;K246)=0,"",_xlfn.MAXIFS($K:$K,$J:$J,J246,$K:$K,"&lt;"&amp;K246)))</f>
        <v/>
      </c>
      <c r="R246" s="39" t="str">
        <f aca="false">IF(Q246="","",SUMIFS($N:$N,$J:$J,J246,$K:$K,Q246))</f>
        <v/>
      </c>
      <c r="S246" s="37" t="str">
        <f aca="false">IF(OR(R246="",R246=0,P246=""),"",P246/R246-1)</f>
        <v/>
      </c>
    </row>
    <row r="247" customFormat="false" ht="15" hidden="false" customHeight="false" outlineLevel="0" collapsed="false">
      <c r="A247" s="27"/>
      <c r="B247" s="5"/>
      <c r="C247" s="35"/>
      <c r="D247" s="5"/>
      <c r="E247" s="5"/>
      <c r="F247" s="19" t="str">
        <f aca="false">IF(A247="","",IF(COUNTIF(Contratos!$A:$A,A247)+COUNTIF(Pagamentos!$A:$A,A247)=0,"não consta","SIM — contratos: "&amp;COUNTIF(Contratos!$A:$A,A247)&amp;"; pagamentos: "&amp;COUNTIF(Pagamentos!$A:$A,A247)))</f>
        <v/>
      </c>
      <c r="G247" s="27"/>
      <c r="H247" s="5"/>
      <c r="J247" s="5"/>
      <c r="K247" s="41"/>
      <c r="L247" s="14"/>
      <c r="M247" s="5"/>
      <c r="N247" s="35"/>
      <c r="O247" s="27"/>
      <c r="P247" s="39" t="str">
        <f aca="false">IF(OR(J247="",K247=""),"",SUMIFS($N:$N,$J:$J,J247,$K:$K,K247))</f>
        <v/>
      </c>
      <c r="Q247" s="32" t="str">
        <f aca="false">IF(OR(J247="",K247=""),"",IF(COUNTIFS($J:$J,J247,$K:$K,"&lt;"&amp;K247)=0,"",_xlfn.MAXIFS($K:$K,$J:$J,J247,$K:$K,"&lt;"&amp;K247)))</f>
        <v/>
      </c>
      <c r="R247" s="39" t="str">
        <f aca="false">IF(Q247="","",SUMIFS($N:$N,$J:$J,J247,$K:$K,Q247))</f>
        <v/>
      </c>
      <c r="S247" s="37" t="str">
        <f aca="false">IF(OR(R247="",R247=0,P247=""),"",P247/R247-1)</f>
        <v/>
      </c>
    </row>
    <row r="248" customFormat="false" ht="15" hidden="false" customHeight="false" outlineLevel="0" collapsed="false">
      <c r="A248" s="27"/>
      <c r="B248" s="5"/>
      <c r="C248" s="35"/>
      <c r="D248" s="5"/>
      <c r="E248" s="5"/>
      <c r="F248" s="19" t="str">
        <f aca="false">IF(A248="","",IF(COUNTIF(Contratos!$A:$A,A248)+COUNTIF(Pagamentos!$A:$A,A248)=0,"não consta","SIM — contratos: "&amp;COUNTIF(Contratos!$A:$A,A248)&amp;"; pagamentos: "&amp;COUNTIF(Pagamentos!$A:$A,A248)))</f>
        <v/>
      </c>
      <c r="G248" s="27"/>
      <c r="H248" s="5"/>
      <c r="J248" s="5"/>
      <c r="K248" s="41"/>
      <c r="L248" s="14"/>
      <c r="M248" s="5"/>
      <c r="N248" s="35"/>
      <c r="O248" s="27"/>
      <c r="P248" s="39" t="str">
        <f aca="false">IF(OR(J248="",K248=""),"",SUMIFS($N:$N,$J:$J,J248,$K:$K,K248))</f>
        <v/>
      </c>
      <c r="Q248" s="32" t="str">
        <f aca="false">IF(OR(J248="",K248=""),"",IF(COUNTIFS($J:$J,J248,$K:$K,"&lt;"&amp;K248)=0,"",_xlfn.MAXIFS($K:$K,$J:$J,J248,$K:$K,"&lt;"&amp;K248)))</f>
        <v/>
      </c>
      <c r="R248" s="39" t="str">
        <f aca="false">IF(Q248="","",SUMIFS($N:$N,$J:$J,J248,$K:$K,Q248))</f>
        <v/>
      </c>
      <c r="S248" s="37" t="str">
        <f aca="false">IF(OR(R248="",R248=0,P248=""),"",P248/R248-1)</f>
        <v/>
      </c>
    </row>
    <row r="249" customFormat="false" ht="15" hidden="false" customHeight="false" outlineLevel="0" collapsed="false">
      <c r="A249" s="27"/>
      <c r="B249" s="5"/>
      <c r="C249" s="35"/>
      <c r="D249" s="5"/>
      <c r="E249" s="5"/>
      <c r="F249" s="19" t="str">
        <f aca="false">IF(A249="","",IF(COUNTIF(Contratos!$A:$A,A249)+COUNTIF(Pagamentos!$A:$A,A249)=0,"não consta","SIM — contratos: "&amp;COUNTIF(Contratos!$A:$A,A249)&amp;"; pagamentos: "&amp;COUNTIF(Pagamentos!$A:$A,A249)))</f>
        <v/>
      </c>
      <c r="G249" s="27"/>
      <c r="H249" s="5"/>
      <c r="J249" s="5"/>
      <c r="K249" s="41"/>
      <c r="L249" s="14"/>
      <c r="M249" s="5"/>
      <c r="N249" s="35"/>
      <c r="O249" s="27"/>
      <c r="P249" s="39" t="str">
        <f aca="false">IF(OR(J249="",K249=""),"",SUMIFS($N:$N,$J:$J,J249,$K:$K,K249))</f>
        <v/>
      </c>
      <c r="Q249" s="32" t="str">
        <f aca="false">IF(OR(J249="",K249=""),"",IF(COUNTIFS($J:$J,J249,$K:$K,"&lt;"&amp;K249)=0,"",_xlfn.MAXIFS($K:$K,$J:$J,J249,$K:$K,"&lt;"&amp;K249)))</f>
        <v/>
      </c>
      <c r="R249" s="39" t="str">
        <f aca="false">IF(Q249="","",SUMIFS($N:$N,$J:$J,J249,$K:$K,Q249))</f>
        <v/>
      </c>
      <c r="S249" s="37" t="str">
        <f aca="false">IF(OR(R249="",R249=0,P249=""),"",P249/R249-1)</f>
        <v/>
      </c>
    </row>
    <row r="250" customFormat="false" ht="15" hidden="false" customHeight="false" outlineLevel="0" collapsed="false">
      <c r="A250" s="27"/>
      <c r="B250" s="5"/>
      <c r="C250" s="35"/>
      <c r="D250" s="5"/>
      <c r="E250" s="5"/>
      <c r="F250" s="19" t="str">
        <f aca="false">IF(A250="","",IF(COUNTIF(Contratos!$A:$A,A250)+COUNTIF(Pagamentos!$A:$A,A250)=0,"não consta","SIM — contratos: "&amp;COUNTIF(Contratos!$A:$A,A250)&amp;"; pagamentos: "&amp;COUNTIF(Pagamentos!$A:$A,A250)))</f>
        <v/>
      </c>
      <c r="G250" s="27"/>
      <c r="H250" s="5"/>
      <c r="J250" s="5"/>
      <c r="K250" s="41"/>
      <c r="L250" s="14"/>
      <c r="M250" s="5"/>
      <c r="N250" s="35"/>
      <c r="O250" s="27"/>
      <c r="P250" s="39" t="str">
        <f aca="false">IF(OR(J250="",K250=""),"",SUMIFS($N:$N,$J:$J,J250,$K:$K,K250))</f>
        <v/>
      </c>
      <c r="Q250" s="32" t="str">
        <f aca="false">IF(OR(J250="",K250=""),"",IF(COUNTIFS($J:$J,J250,$K:$K,"&lt;"&amp;K250)=0,"",_xlfn.MAXIFS($K:$K,$J:$J,J250,$K:$K,"&lt;"&amp;K250)))</f>
        <v/>
      </c>
      <c r="R250" s="39" t="str">
        <f aca="false">IF(Q250="","",SUMIFS($N:$N,$J:$J,J250,$K:$K,Q250))</f>
        <v/>
      </c>
      <c r="S250" s="37" t="str">
        <f aca="false">IF(OR(R250="",R250=0,P250=""),"",P250/R250-1)</f>
        <v/>
      </c>
    </row>
    <row r="251" customFormat="false" ht="15" hidden="false" customHeight="false" outlineLevel="0" collapsed="false">
      <c r="A251" s="27"/>
      <c r="B251" s="5"/>
      <c r="C251" s="35"/>
      <c r="D251" s="5"/>
      <c r="E251" s="5"/>
      <c r="F251" s="19" t="str">
        <f aca="false">IF(A251="","",IF(COUNTIF(Contratos!$A:$A,A251)+COUNTIF(Pagamentos!$A:$A,A251)=0,"não consta","SIM — contratos: "&amp;COUNTIF(Contratos!$A:$A,A251)&amp;"; pagamentos: "&amp;COUNTIF(Pagamentos!$A:$A,A251)))</f>
        <v/>
      </c>
      <c r="G251" s="27"/>
      <c r="H251" s="5"/>
      <c r="J251" s="5"/>
      <c r="K251" s="41"/>
      <c r="L251" s="14"/>
      <c r="M251" s="5"/>
      <c r="N251" s="35"/>
      <c r="O251" s="27"/>
      <c r="P251" s="39" t="str">
        <f aca="false">IF(OR(J251="",K251=""),"",SUMIFS($N:$N,$J:$J,J251,$K:$K,K251))</f>
        <v/>
      </c>
      <c r="Q251" s="32" t="str">
        <f aca="false">IF(OR(J251="",K251=""),"",IF(COUNTIFS($J:$J,J251,$K:$K,"&lt;"&amp;K251)=0,"",_xlfn.MAXIFS($K:$K,$J:$J,J251,$K:$K,"&lt;"&amp;K251)))</f>
        <v/>
      </c>
      <c r="R251" s="39" t="str">
        <f aca="false">IF(Q251="","",SUMIFS($N:$N,$J:$J,J251,$K:$K,Q251))</f>
        <v/>
      </c>
      <c r="S251" s="37" t="str">
        <f aca="false">IF(OR(R251="",R251=0,P251=""),"",P251/R251-1)</f>
        <v/>
      </c>
    </row>
    <row r="252" customFormat="false" ht="15" hidden="false" customHeight="false" outlineLevel="0" collapsed="false">
      <c r="A252" s="27"/>
      <c r="B252" s="5"/>
      <c r="C252" s="35"/>
      <c r="D252" s="5"/>
      <c r="E252" s="5"/>
      <c r="F252" s="19" t="str">
        <f aca="false">IF(A252="","",IF(COUNTIF(Contratos!$A:$A,A252)+COUNTIF(Pagamentos!$A:$A,A252)=0,"não consta","SIM — contratos: "&amp;COUNTIF(Contratos!$A:$A,A252)&amp;"; pagamentos: "&amp;COUNTIF(Pagamentos!$A:$A,A252)))</f>
        <v/>
      </c>
      <c r="G252" s="27"/>
      <c r="H252" s="5"/>
      <c r="J252" s="5"/>
      <c r="K252" s="41"/>
      <c r="L252" s="14"/>
      <c r="M252" s="5"/>
      <c r="N252" s="35"/>
      <c r="O252" s="27"/>
      <c r="P252" s="39" t="str">
        <f aca="false">IF(OR(J252="",K252=""),"",SUMIFS($N:$N,$J:$J,J252,$K:$K,K252))</f>
        <v/>
      </c>
      <c r="Q252" s="32" t="str">
        <f aca="false">IF(OR(J252="",K252=""),"",IF(COUNTIFS($J:$J,J252,$K:$K,"&lt;"&amp;K252)=0,"",_xlfn.MAXIFS($K:$K,$J:$J,J252,$K:$K,"&lt;"&amp;K252)))</f>
        <v/>
      </c>
      <c r="R252" s="39" t="str">
        <f aca="false">IF(Q252="","",SUMIFS($N:$N,$J:$J,J252,$K:$K,Q252))</f>
        <v/>
      </c>
      <c r="S252" s="37" t="str">
        <f aca="false">IF(OR(R252="",R252=0,P252=""),"",P252/R252-1)</f>
        <v/>
      </c>
    </row>
    <row r="253" customFormat="false" ht="15" hidden="false" customHeight="false" outlineLevel="0" collapsed="false">
      <c r="A253" s="27"/>
      <c r="B253" s="5"/>
      <c r="C253" s="35"/>
      <c r="D253" s="5"/>
      <c r="E253" s="5"/>
      <c r="F253" s="19" t="str">
        <f aca="false">IF(A253="","",IF(COUNTIF(Contratos!$A:$A,A253)+COUNTIF(Pagamentos!$A:$A,A253)=0,"não consta","SIM — contratos: "&amp;COUNTIF(Contratos!$A:$A,A253)&amp;"; pagamentos: "&amp;COUNTIF(Pagamentos!$A:$A,A253)))</f>
        <v/>
      </c>
      <c r="G253" s="27"/>
      <c r="H253" s="5"/>
      <c r="J253" s="5"/>
      <c r="K253" s="41"/>
      <c r="L253" s="14"/>
      <c r="M253" s="5"/>
      <c r="N253" s="35"/>
      <c r="O253" s="27"/>
      <c r="P253" s="39" t="str">
        <f aca="false">IF(OR(J253="",K253=""),"",SUMIFS($N:$N,$J:$J,J253,$K:$K,K253))</f>
        <v/>
      </c>
      <c r="Q253" s="32" t="str">
        <f aca="false">IF(OR(J253="",K253=""),"",IF(COUNTIFS($J:$J,J253,$K:$K,"&lt;"&amp;K253)=0,"",_xlfn.MAXIFS($K:$K,$J:$J,J253,$K:$K,"&lt;"&amp;K253)))</f>
        <v/>
      </c>
      <c r="R253" s="39" t="str">
        <f aca="false">IF(Q253="","",SUMIFS($N:$N,$J:$J,J253,$K:$K,Q253))</f>
        <v/>
      </c>
      <c r="S253" s="37" t="str">
        <f aca="false">IF(OR(R253="",R253=0,P253=""),"",P253/R253-1)</f>
        <v/>
      </c>
    </row>
    <row r="254" customFormat="false" ht="15" hidden="false" customHeight="false" outlineLevel="0" collapsed="false">
      <c r="A254" s="27"/>
      <c r="B254" s="5"/>
      <c r="C254" s="35"/>
      <c r="D254" s="5"/>
      <c r="E254" s="5"/>
      <c r="F254" s="19" t="str">
        <f aca="false">IF(A254="","",IF(COUNTIF(Contratos!$A:$A,A254)+COUNTIF(Pagamentos!$A:$A,A254)=0,"não consta","SIM — contratos: "&amp;COUNTIF(Contratos!$A:$A,A254)&amp;"; pagamentos: "&amp;COUNTIF(Pagamentos!$A:$A,A254)))</f>
        <v/>
      </c>
      <c r="G254" s="27"/>
      <c r="H254" s="5"/>
      <c r="J254" s="5"/>
      <c r="K254" s="41"/>
      <c r="L254" s="14"/>
      <c r="M254" s="5"/>
      <c r="N254" s="35"/>
      <c r="O254" s="27"/>
      <c r="P254" s="39" t="str">
        <f aca="false">IF(OR(J254="",K254=""),"",SUMIFS($N:$N,$J:$J,J254,$K:$K,K254))</f>
        <v/>
      </c>
      <c r="Q254" s="32" t="str">
        <f aca="false">IF(OR(J254="",K254=""),"",IF(COUNTIFS($J:$J,J254,$K:$K,"&lt;"&amp;K254)=0,"",_xlfn.MAXIFS($K:$K,$J:$J,J254,$K:$K,"&lt;"&amp;K254)))</f>
        <v/>
      </c>
      <c r="R254" s="39" t="str">
        <f aca="false">IF(Q254="","",SUMIFS($N:$N,$J:$J,J254,$K:$K,Q254))</f>
        <v/>
      </c>
      <c r="S254" s="37" t="str">
        <f aca="false">IF(OR(R254="",R254=0,P254=""),"",P254/R254-1)</f>
        <v/>
      </c>
    </row>
    <row r="255" customFormat="false" ht="15" hidden="false" customHeight="false" outlineLevel="0" collapsed="false">
      <c r="A255" s="27"/>
      <c r="B255" s="5"/>
      <c r="C255" s="35"/>
      <c r="D255" s="5"/>
      <c r="E255" s="5"/>
      <c r="F255" s="19" t="str">
        <f aca="false">IF(A255="","",IF(COUNTIF(Contratos!$A:$A,A255)+COUNTIF(Pagamentos!$A:$A,A255)=0,"não consta","SIM — contratos: "&amp;COUNTIF(Contratos!$A:$A,A255)&amp;"; pagamentos: "&amp;COUNTIF(Pagamentos!$A:$A,A255)))</f>
        <v/>
      </c>
      <c r="G255" s="27"/>
      <c r="H255" s="5"/>
      <c r="J255" s="5"/>
      <c r="K255" s="41"/>
      <c r="L255" s="14"/>
      <c r="M255" s="5"/>
      <c r="N255" s="35"/>
      <c r="O255" s="27"/>
      <c r="P255" s="39" t="str">
        <f aca="false">IF(OR(J255="",K255=""),"",SUMIFS($N:$N,$J:$J,J255,$K:$K,K255))</f>
        <v/>
      </c>
      <c r="Q255" s="32" t="str">
        <f aca="false">IF(OR(J255="",K255=""),"",IF(COUNTIFS($J:$J,J255,$K:$K,"&lt;"&amp;K255)=0,"",_xlfn.MAXIFS($K:$K,$J:$J,J255,$K:$K,"&lt;"&amp;K255)))</f>
        <v/>
      </c>
      <c r="R255" s="39" t="str">
        <f aca="false">IF(Q255="","",SUMIFS($N:$N,$J:$J,J255,$K:$K,Q255))</f>
        <v/>
      </c>
      <c r="S255" s="37" t="str">
        <f aca="false">IF(OR(R255="",R255=0,P255=""),"",P255/R255-1)</f>
        <v/>
      </c>
    </row>
    <row r="256" customFormat="false" ht="15" hidden="false" customHeight="false" outlineLevel="0" collapsed="false">
      <c r="A256" s="27"/>
      <c r="B256" s="5"/>
      <c r="C256" s="35"/>
      <c r="D256" s="5"/>
      <c r="E256" s="5"/>
      <c r="F256" s="19" t="str">
        <f aca="false">IF(A256="","",IF(COUNTIF(Contratos!$A:$A,A256)+COUNTIF(Pagamentos!$A:$A,A256)=0,"não consta","SIM — contratos: "&amp;COUNTIF(Contratos!$A:$A,A256)&amp;"; pagamentos: "&amp;COUNTIF(Pagamentos!$A:$A,A256)))</f>
        <v/>
      </c>
      <c r="G256" s="27"/>
      <c r="H256" s="5"/>
      <c r="J256" s="5"/>
      <c r="K256" s="41"/>
      <c r="L256" s="14"/>
      <c r="M256" s="5"/>
      <c r="N256" s="35"/>
      <c r="O256" s="27"/>
      <c r="P256" s="39" t="str">
        <f aca="false">IF(OR(J256="",K256=""),"",SUMIFS($N:$N,$J:$J,J256,$K:$K,K256))</f>
        <v/>
      </c>
      <c r="Q256" s="32" t="str">
        <f aca="false">IF(OR(J256="",K256=""),"",IF(COUNTIFS($J:$J,J256,$K:$K,"&lt;"&amp;K256)=0,"",_xlfn.MAXIFS($K:$K,$J:$J,J256,$K:$K,"&lt;"&amp;K256)))</f>
        <v/>
      </c>
      <c r="R256" s="39" t="str">
        <f aca="false">IF(Q256="","",SUMIFS($N:$N,$J:$J,J256,$K:$K,Q256))</f>
        <v/>
      </c>
      <c r="S256" s="37" t="str">
        <f aca="false">IF(OR(R256="",R256=0,P256=""),"",P256/R256-1)</f>
        <v/>
      </c>
    </row>
    <row r="257" customFormat="false" ht="15" hidden="false" customHeight="false" outlineLevel="0" collapsed="false">
      <c r="A257" s="27"/>
      <c r="B257" s="5"/>
      <c r="C257" s="35"/>
      <c r="D257" s="5"/>
      <c r="E257" s="5"/>
      <c r="F257" s="19" t="str">
        <f aca="false">IF(A257="","",IF(COUNTIF(Contratos!$A:$A,A257)+COUNTIF(Pagamentos!$A:$A,A257)=0,"não consta","SIM — contratos: "&amp;COUNTIF(Contratos!$A:$A,A257)&amp;"; pagamentos: "&amp;COUNTIF(Pagamentos!$A:$A,A257)))</f>
        <v/>
      </c>
      <c r="G257" s="27"/>
      <c r="H257" s="5"/>
      <c r="J257" s="5"/>
      <c r="K257" s="41"/>
      <c r="L257" s="14"/>
      <c r="M257" s="5"/>
      <c r="N257" s="35"/>
      <c r="O257" s="27"/>
      <c r="P257" s="39" t="str">
        <f aca="false">IF(OR(J257="",K257=""),"",SUMIFS($N:$N,$J:$J,J257,$K:$K,K257))</f>
        <v/>
      </c>
      <c r="Q257" s="32" t="str">
        <f aca="false">IF(OR(J257="",K257=""),"",IF(COUNTIFS($J:$J,J257,$K:$K,"&lt;"&amp;K257)=0,"",_xlfn.MAXIFS($K:$K,$J:$J,J257,$K:$K,"&lt;"&amp;K257)))</f>
        <v/>
      </c>
      <c r="R257" s="39" t="str">
        <f aca="false">IF(Q257="","",SUMIFS($N:$N,$J:$J,J257,$K:$K,Q257))</f>
        <v/>
      </c>
      <c r="S257" s="37" t="str">
        <f aca="false">IF(OR(R257="",R257=0,P257=""),"",P257/R257-1)</f>
        <v/>
      </c>
    </row>
    <row r="258" customFormat="false" ht="15" hidden="false" customHeight="false" outlineLevel="0" collapsed="false">
      <c r="A258" s="27"/>
      <c r="B258" s="5"/>
      <c r="C258" s="35"/>
      <c r="D258" s="5"/>
      <c r="E258" s="5"/>
      <c r="F258" s="19" t="str">
        <f aca="false">IF(A258="","",IF(COUNTIF(Contratos!$A:$A,A258)+COUNTIF(Pagamentos!$A:$A,A258)=0,"não consta","SIM — contratos: "&amp;COUNTIF(Contratos!$A:$A,A258)&amp;"; pagamentos: "&amp;COUNTIF(Pagamentos!$A:$A,A258)))</f>
        <v/>
      </c>
      <c r="G258" s="27"/>
      <c r="H258" s="5"/>
      <c r="J258" s="5"/>
      <c r="K258" s="41"/>
      <c r="L258" s="14"/>
      <c r="M258" s="5"/>
      <c r="N258" s="35"/>
      <c r="O258" s="27"/>
      <c r="P258" s="39" t="str">
        <f aca="false">IF(OR(J258="",K258=""),"",SUMIFS($N:$N,$J:$J,J258,$K:$K,K258))</f>
        <v/>
      </c>
      <c r="Q258" s="32" t="str">
        <f aca="false">IF(OR(J258="",K258=""),"",IF(COUNTIFS($J:$J,J258,$K:$K,"&lt;"&amp;K258)=0,"",_xlfn.MAXIFS($K:$K,$J:$J,J258,$K:$K,"&lt;"&amp;K258)))</f>
        <v/>
      </c>
      <c r="R258" s="39" t="str">
        <f aca="false">IF(Q258="","",SUMIFS($N:$N,$J:$J,J258,$K:$K,Q258))</f>
        <v/>
      </c>
      <c r="S258" s="37" t="str">
        <f aca="false">IF(OR(R258="",R258=0,P258=""),"",P258/R258-1)</f>
        <v/>
      </c>
    </row>
    <row r="259" customFormat="false" ht="15" hidden="false" customHeight="false" outlineLevel="0" collapsed="false">
      <c r="A259" s="27"/>
      <c r="B259" s="5"/>
      <c r="C259" s="35"/>
      <c r="D259" s="5"/>
      <c r="E259" s="5"/>
      <c r="F259" s="19" t="str">
        <f aca="false">IF(A259="","",IF(COUNTIF(Contratos!$A:$A,A259)+COUNTIF(Pagamentos!$A:$A,A259)=0,"não consta","SIM — contratos: "&amp;COUNTIF(Contratos!$A:$A,A259)&amp;"; pagamentos: "&amp;COUNTIF(Pagamentos!$A:$A,A259)))</f>
        <v/>
      </c>
      <c r="G259" s="27"/>
      <c r="H259" s="5"/>
      <c r="J259" s="5"/>
      <c r="K259" s="41"/>
      <c r="L259" s="14"/>
      <c r="M259" s="5"/>
      <c r="N259" s="35"/>
      <c r="O259" s="27"/>
      <c r="P259" s="39" t="str">
        <f aca="false">IF(OR(J259="",K259=""),"",SUMIFS($N:$N,$J:$J,J259,$K:$K,K259))</f>
        <v/>
      </c>
      <c r="Q259" s="32" t="str">
        <f aca="false">IF(OR(J259="",K259=""),"",IF(COUNTIFS($J:$J,J259,$K:$K,"&lt;"&amp;K259)=0,"",_xlfn.MAXIFS($K:$K,$J:$J,J259,$K:$K,"&lt;"&amp;K259)))</f>
        <v/>
      </c>
      <c r="R259" s="39" t="str">
        <f aca="false">IF(Q259="","",SUMIFS($N:$N,$J:$J,J259,$K:$K,Q259))</f>
        <v/>
      </c>
      <c r="S259" s="37" t="str">
        <f aca="false">IF(OR(R259="",R259=0,P259=""),"",P259/R259-1)</f>
        <v/>
      </c>
    </row>
    <row r="260" customFormat="false" ht="15" hidden="false" customHeight="false" outlineLevel="0" collapsed="false">
      <c r="A260" s="27"/>
      <c r="B260" s="5"/>
      <c r="C260" s="35"/>
      <c r="D260" s="5"/>
      <c r="E260" s="5"/>
      <c r="F260" s="19" t="str">
        <f aca="false">IF(A260="","",IF(COUNTIF(Contratos!$A:$A,A260)+COUNTIF(Pagamentos!$A:$A,A260)=0,"não consta","SIM — contratos: "&amp;COUNTIF(Contratos!$A:$A,A260)&amp;"; pagamentos: "&amp;COUNTIF(Pagamentos!$A:$A,A260)))</f>
        <v/>
      </c>
      <c r="G260" s="27"/>
      <c r="H260" s="5"/>
      <c r="J260" s="5"/>
      <c r="K260" s="41"/>
      <c r="L260" s="14"/>
      <c r="M260" s="5"/>
      <c r="N260" s="35"/>
      <c r="O260" s="27"/>
      <c r="P260" s="39" t="str">
        <f aca="false">IF(OR(J260="",K260=""),"",SUMIFS($N:$N,$J:$J,J260,$K:$K,K260))</f>
        <v/>
      </c>
      <c r="Q260" s="32" t="str">
        <f aca="false">IF(OR(J260="",K260=""),"",IF(COUNTIFS($J:$J,J260,$K:$K,"&lt;"&amp;K260)=0,"",_xlfn.MAXIFS($K:$K,$J:$J,J260,$K:$K,"&lt;"&amp;K260)))</f>
        <v/>
      </c>
      <c r="R260" s="39" t="str">
        <f aca="false">IF(Q260="","",SUMIFS($N:$N,$J:$J,J260,$K:$K,Q260))</f>
        <v/>
      </c>
      <c r="S260" s="37" t="str">
        <f aca="false">IF(OR(R260="",R260=0,P260=""),"",P260/R260-1)</f>
        <v/>
      </c>
    </row>
    <row r="261" customFormat="false" ht="15" hidden="false" customHeight="false" outlineLevel="0" collapsed="false">
      <c r="A261" s="27"/>
      <c r="B261" s="5"/>
      <c r="C261" s="35"/>
      <c r="D261" s="5"/>
      <c r="E261" s="5"/>
      <c r="F261" s="19" t="str">
        <f aca="false">IF(A261="","",IF(COUNTIF(Contratos!$A:$A,A261)+COUNTIF(Pagamentos!$A:$A,A261)=0,"não consta","SIM — contratos: "&amp;COUNTIF(Contratos!$A:$A,A261)&amp;"; pagamentos: "&amp;COUNTIF(Pagamentos!$A:$A,A261)))</f>
        <v/>
      </c>
      <c r="G261" s="27"/>
      <c r="H261" s="5"/>
      <c r="J261" s="5"/>
      <c r="K261" s="41"/>
      <c r="L261" s="14"/>
      <c r="M261" s="5"/>
      <c r="N261" s="35"/>
      <c r="O261" s="27"/>
      <c r="P261" s="39" t="str">
        <f aca="false">IF(OR(J261="",K261=""),"",SUMIFS($N:$N,$J:$J,J261,$K:$K,K261))</f>
        <v/>
      </c>
      <c r="Q261" s="32" t="str">
        <f aca="false">IF(OR(J261="",K261=""),"",IF(COUNTIFS($J:$J,J261,$K:$K,"&lt;"&amp;K261)=0,"",_xlfn.MAXIFS($K:$K,$J:$J,J261,$K:$K,"&lt;"&amp;K261)))</f>
        <v/>
      </c>
      <c r="R261" s="39" t="str">
        <f aca="false">IF(Q261="","",SUMIFS($N:$N,$J:$J,J261,$K:$K,Q261))</f>
        <v/>
      </c>
      <c r="S261" s="37" t="str">
        <f aca="false">IF(OR(R261="",R261=0,P261=""),"",P261/R261-1)</f>
        <v/>
      </c>
    </row>
    <row r="262" customFormat="false" ht="15" hidden="false" customHeight="false" outlineLevel="0" collapsed="false">
      <c r="A262" s="27"/>
      <c r="B262" s="5"/>
      <c r="C262" s="35"/>
      <c r="D262" s="5"/>
      <c r="E262" s="5"/>
      <c r="F262" s="19" t="str">
        <f aca="false">IF(A262="","",IF(COUNTIF(Contratos!$A:$A,A262)+COUNTIF(Pagamentos!$A:$A,A262)=0,"não consta","SIM — contratos: "&amp;COUNTIF(Contratos!$A:$A,A262)&amp;"; pagamentos: "&amp;COUNTIF(Pagamentos!$A:$A,A262)))</f>
        <v/>
      </c>
      <c r="G262" s="27"/>
      <c r="H262" s="5"/>
      <c r="J262" s="5"/>
      <c r="K262" s="41"/>
      <c r="L262" s="14"/>
      <c r="M262" s="5"/>
      <c r="N262" s="35"/>
      <c r="O262" s="27"/>
      <c r="P262" s="39" t="str">
        <f aca="false">IF(OR(J262="",K262=""),"",SUMIFS($N:$N,$J:$J,J262,$K:$K,K262))</f>
        <v/>
      </c>
      <c r="Q262" s="32" t="str">
        <f aca="false">IF(OR(J262="",K262=""),"",IF(COUNTIFS($J:$J,J262,$K:$K,"&lt;"&amp;K262)=0,"",_xlfn.MAXIFS($K:$K,$J:$J,J262,$K:$K,"&lt;"&amp;K262)))</f>
        <v/>
      </c>
      <c r="R262" s="39" t="str">
        <f aca="false">IF(Q262="","",SUMIFS($N:$N,$J:$J,J262,$K:$K,Q262))</f>
        <v/>
      </c>
      <c r="S262" s="37" t="str">
        <f aca="false">IF(OR(R262="",R262=0,P262=""),"",P262/R262-1)</f>
        <v/>
      </c>
    </row>
    <row r="263" customFormat="false" ht="15" hidden="false" customHeight="false" outlineLevel="0" collapsed="false">
      <c r="A263" s="27"/>
      <c r="B263" s="5"/>
      <c r="C263" s="35"/>
      <c r="D263" s="5"/>
      <c r="E263" s="5"/>
      <c r="F263" s="19" t="str">
        <f aca="false">IF(A263="","",IF(COUNTIF(Contratos!$A:$A,A263)+COUNTIF(Pagamentos!$A:$A,A263)=0,"não consta","SIM — contratos: "&amp;COUNTIF(Contratos!$A:$A,A263)&amp;"; pagamentos: "&amp;COUNTIF(Pagamentos!$A:$A,A263)))</f>
        <v/>
      </c>
      <c r="G263" s="27"/>
      <c r="H263" s="5"/>
      <c r="J263" s="5"/>
      <c r="K263" s="41"/>
      <c r="L263" s="14"/>
      <c r="M263" s="5"/>
      <c r="N263" s="35"/>
      <c r="O263" s="27"/>
      <c r="P263" s="39" t="str">
        <f aca="false">IF(OR(J263="",K263=""),"",SUMIFS($N:$N,$J:$J,J263,$K:$K,K263))</f>
        <v/>
      </c>
      <c r="Q263" s="32" t="str">
        <f aca="false">IF(OR(J263="",K263=""),"",IF(COUNTIFS($J:$J,J263,$K:$K,"&lt;"&amp;K263)=0,"",_xlfn.MAXIFS($K:$K,$J:$J,J263,$K:$K,"&lt;"&amp;K263)))</f>
        <v/>
      </c>
      <c r="R263" s="39" t="str">
        <f aca="false">IF(Q263="","",SUMIFS($N:$N,$J:$J,J263,$K:$K,Q263))</f>
        <v/>
      </c>
      <c r="S263" s="37" t="str">
        <f aca="false">IF(OR(R263="",R263=0,P263=""),"",P263/R263-1)</f>
        <v/>
      </c>
    </row>
    <row r="264" customFormat="false" ht="15" hidden="false" customHeight="false" outlineLevel="0" collapsed="false">
      <c r="A264" s="27"/>
      <c r="B264" s="5"/>
      <c r="C264" s="35"/>
      <c r="D264" s="5"/>
      <c r="E264" s="5"/>
      <c r="F264" s="19" t="str">
        <f aca="false">IF(A264="","",IF(COUNTIF(Contratos!$A:$A,A264)+COUNTIF(Pagamentos!$A:$A,A264)=0,"não consta","SIM — contratos: "&amp;COUNTIF(Contratos!$A:$A,A264)&amp;"; pagamentos: "&amp;COUNTIF(Pagamentos!$A:$A,A264)))</f>
        <v/>
      </c>
      <c r="G264" s="27"/>
      <c r="H264" s="5"/>
      <c r="J264" s="5"/>
      <c r="K264" s="41"/>
      <c r="L264" s="14"/>
      <c r="M264" s="5"/>
      <c r="N264" s="35"/>
      <c r="O264" s="27"/>
      <c r="P264" s="39" t="str">
        <f aca="false">IF(OR(J264="",K264=""),"",SUMIFS($N:$N,$J:$J,J264,$K:$K,K264))</f>
        <v/>
      </c>
      <c r="Q264" s="32" t="str">
        <f aca="false">IF(OR(J264="",K264=""),"",IF(COUNTIFS($J:$J,J264,$K:$K,"&lt;"&amp;K264)=0,"",_xlfn.MAXIFS($K:$K,$J:$J,J264,$K:$K,"&lt;"&amp;K264)))</f>
        <v/>
      </c>
      <c r="R264" s="39" t="str">
        <f aca="false">IF(Q264="","",SUMIFS($N:$N,$J:$J,J264,$K:$K,Q264))</f>
        <v/>
      </c>
      <c r="S264" s="37" t="str">
        <f aca="false">IF(OR(R264="",R264=0,P264=""),"",P264/R264-1)</f>
        <v/>
      </c>
    </row>
    <row r="265" customFormat="false" ht="15" hidden="false" customHeight="false" outlineLevel="0" collapsed="false">
      <c r="A265" s="27"/>
      <c r="B265" s="5"/>
      <c r="C265" s="35"/>
      <c r="D265" s="5"/>
      <c r="E265" s="5"/>
      <c r="F265" s="19" t="str">
        <f aca="false">IF(A265="","",IF(COUNTIF(Contratos!$A:$A,A265)+COUNTIF(Pagamentos!$A:$A,A265)=0,"não consta","SIM — contratos: "&amp;COUNTIF(Contratos!$A:$A,A265)&amp;"; pagamentos: "&amp;COUNTIF(Pagamentos!$A:$A,A265)))</f>
        <v/>
      </c>
      <c r="G265" s="27"/>
      <c r="H265" s="5"/>
      <c r="J265" s="5"/>
      <c r="K265" s="41"/>
      <c r="L265" s="14"/>
      <c r="M265" s="5"/>
      <c r="N265" s="35"/>
      <c r="O265" s="27"/>
      <c r="P265" s="39" t="str">
        <f aca="false">IF(OR(J265="",K265=""),"",SUMIFS($N:$N,$J:$J,J265,$K:$K,K265))</f>
        <v/>
      </c>
      <c r="Q265" s="32" t="str">
        <f aca="false">IF(OR(J265="",K265=""),"",IF(COUNTIFS($J:$J,J265,$K:$K,"&lt;"&amp;K265)=0,"",_xlfn.MAXIFS($K:$K,$J:$J,J265,$K:$K,"&lt;"&amp;K265)))</f>
        <v/>
      </c>
      <c r="R265" s="39" t="str">
        <f aca="false">IF(Q265="","",SUMIFS($N:$N,$J:$J,J265,$K:$K,Q265))</f>
        <v/>
      </c>
      <c r="S265" s="37" t="str">
        <f aca="false">IF(OR(R265="",R265=0,P265=""),"",P265/R265-1)</f>
        <v/>
      </c>
    </row>
    <row r="266" customFormat="false" ht="15" hidden="false" customHeight="false" outlineLevel="0" collapsed="false">
      <c r="A266" s="27"/>
      <c r="B266" s="5"/>
      <c r="C266" s="35"/>
      <c r="D266" s="5"/>
      <c r="E266" s="5"/>
      <c r="F266" s="19" t="str">
        <f aca="false">IF(A266="","",IF(COUNTIF(Contratos!$A:$A,A266)+COUNTIF(Pagamentos!$A:$A,A266)=0,"não consta","SIM — contratos: "&amp;COUNTIF(Contratos!$A:$A,A266)&amp;"; pagamentos: "&amp;COUNTIF(Pagamentos!$A:$A,A266)))</f>
        <v/>
      </c>
      <c r="G266" s="27"/>
      <c r="H266" s="5"/>
      <c r="J266" s="5"/>
      <c r="K266" s="41"/>
      <c r="L266" s="14"/>
      <c r="M266" s="5"/>
      <c r="N266" s="35"/>
      <c r="O266" s="27"/>
      <c r="P266" s="39" t="str">
        <f aca="false">IF(OR(J266="",K266=""),"",SUMIFS($N:$N,$J:$J,J266,$K:$K,K266))</f>
        <v/>
      </c>
      <c r="Q266" s="32" t="str">
        <f aca="false">IF(OR(J266="",K266=""),"",IF(COUNTIFS($J:$J,J266,$K:$K,"&lt;"&amp;K266)=0,"",_xlfn.MAXIFS($K:$K,$J:$J,J266,$K:$K,"&lt;"&amp;K266)))</f>
        <v/>
      </c>
      <c r="R266" s="39" t="str">
        <f aca="false">IF(Q266="","",SUMIFS($N:$N,$J:$J,J266,$K:$K,Q266))</f>
        <v/>
      </c>
      <c r="S266" s="37" t="str">
        <f aca="false">IF(OR(R266="",R266=0,P266=""),"",P266/R266-1)</f>
        <v/>
      </c>
    </row>
    <row r="267" customFormat="false" ht="15" hidden="false" customHeight="false" outlineLevel="0" collapsed="false">
      <c r="A267" s="27"/>
      <c r="B267" s="5"/>
      <c r="C267" s="35"/>
      <c r="D267" s="5"/>
      <c r="E267" s="5"/>
      <c r="F267" s="19" t="str">
        <f aca="false">IF(A267="","",IF(COUNTIF(Contratos!$A:$A,A267)+COUNTIF(Pagamentos!$A:$A,A267)=0,"não consta","SIM — contratos: "&amp;COUNTIF(Contratos!$A:$A,A267)&amp;"; pagamentos: "&amp;COUNTIF(Pagamentos!$A:$A,A267)))</f>
        <v/>
      </c>
      <c r="G267" s="27"/>
      <c r="H267" s="5"/>
      <c r="J267" s="5"/>
      <c r="K267" s="41"/>
      <c r="L267" s="14"/>
      <c r="M267" s="5"/>
      <c r="N267" s="35"/>
      <c r="O267" s="27"/>
      <c r="P267" s="39" t="str">
        <f aca="false">IF(OR(J267="",K267=""),"",SUMIFS($N:$N,$J:$J,J267,$K:$K,K267))</f>
        <v/>
      </c>
      <c r="Q267" s="32" t="str">
        <f aca="false">IF(OR(J267="",K267=""),"",IF(COUNTIFS($J:$J,J267,$K:$K,"&lt;"&amp;K267)=0,"",_xlfn.MAXIFS($K:$K,$J:$J,J267,$K:$K,"&lt;"&amp;K267)))</f>
        <v/>
      </c>
      <c r="R267" s="39" t="str">
        <f aca="false">IF(Q267="","",SUMIFS($N:$N,$J:$J,J267,$K:$K,Q267))</f>
        <v/>
      </c>
      <c r="S267" s="37" t="str">
        <f aca="false">IF(OR(R267="",R267=0,P267=""),"",P267/R267-1)</f>
        <v/>
      </c>
    </row>
    <row r="268" customFormat="false" ht="15" hidden="false" customHeight="false" outlineLevel="0" collapsed="false">
      <c r="A268" s="27"/>
      <c r="B268" s="5"/>
      <c r="C268" s="35"/>
      <c r="D268" s="5"/>
      <c r="E268" s="5"/>
      <c r="F268" s="19" t="str">
        <f aca="false">IF(A268="","",IF(COUNTIF(Contratos!$A:$A,A268)+COUNTIF(Pagamentos!$A:$A,A268)=0,"não consta","SIM — contratos: "&amp;COUNTIF(Contratos!$A:$A,A268)&amp;"; pagamentos: "&amp;COUNTIF(Pagamentos!$A:$A,A268)))</f>
        <v/>
      </c>
      <c r="G268" s="27"/>
      <c r="H268" s="5"/>
      <c r="J268" s="5"/>
      <c r="K268" s="41"/>
      <c r="L268" s="14"/>
      <c r="M268" s="5"/>
      <c r="N268" s="35"/>
      <c r="O268" s="27"/>
      <c r="P268" s="39" t="str">
        <f aca="false">IF(OR(J268="",K268=""),"",SUMIFS($N:$N,$J:$J,J268,$K:$K,K268))</f>
        <v/>
      </c>
      <c r="Q268" s="32" t="str">
        <f aca="false">IF(OR(J268="",K268=""),"",IF(COUNTIFS($J:$J,J268,$K:$K,"&lt;"&amp;K268)=0,"",_xlfn.MAXIFS($K:$K,$J:$J,J268,$K:$K,"&lt;"&amp;K268)))</f>
        <v/>
      </c>
      <c r="R268" s="39" t="str">
        <f aca="false">IF(Q268="","",SUMIFS($N:$N,$J:$J,J268,$K:$K,Q268))</f>
        <v/>
      </c>
      <c r="S268" s="37" t="str">
        <f aca="false">IF(OR(R268="",R268=0,P268=""),"",P268/R268-1)</f>
        <v/>
      </c>
    </row>
    <row r="269" customFormat="false" ht="15" hidden="false" customHeight="false" outlineLevel="0" collapsed="false">
      <c r="A269" s="27"/>
      <c r="B269" s="5"/>
      <c r="C269" s="35"/>
      <c r="D269" s="5"/>
      <c r="E269" s="5"/>
      <c r="F269" s="19" t="str">
        <f aca="false">IF(A269="","",IF(COUNTIF(Contratos!$A:$A,A269)+COUNTIF(Pagamentos!$A:$A,A269)=0,"não consta","SIM — contratos: "&amp;COUNTIF(Contratos!$A:$A,A269)&amp;"; pagamentos: "&amp;COUNTIF(Pagamentos!$A:$A,A269)))</f>
        <v/>
      </c>
      <c r="G269" s="27"/>
      <c r="H269" s="5"/>
      <c r="J269" s="5"/>
      <c r="K269" s="41"/>
      <c r="L269" s="14"/>
      <c r="M269" s="5"/>
      <c r="N269" s="35"/>
      <c r="O269" s="27"/>
      <c r="P269" s="39" t="str">
        <f aca="false">IF(OR(J269="",K269=""),"",SUMIFS($N:$N,$J:$J,J269,$K:$K,K269))</f>
        <v/>
      </c>
      <c r="Q269" s="32" t="str">
        <f aca="false">IF(OR(J269="",K269=""),"",IF(COUNTIFS($J:$J,J269,$K:$K,"&lt;"&amp;K269)=0,"",_xlfn.MAXIFS($K:$K,$J:$J,J269,$K:$K,"&lt;"&amp;K269)))</f>
        <v/>
      </c>
      <c r="R269" s="39" t="str">
        <f aca="false">IF(Q269="","",SUMIFS($N:$N,$J:$J,J269,$K:$K,Q269))</f>
        <v/>
      </c>
      <c r="S269" s="37" t="str">
        <f aca="false">IF(OR(R269="",R269=0,P269=""),"",P269/R269-1)</f>
        <v/>
      </c>
    </row>
    <row r="270" customFormat="false" ht="15" hidden="false" customHeight="false" outlineLevel="0" collapsed="false">
      <c r="A270" s="27"/>
      <c r="B270" s="5"/>
      <c r="C270" s="35"/>
      <c r="D270" s="5"/>
      <c r="E270" s="5"/>
      <c r="F270" s="19" t="str">
        <f aca="false">IF(A270="","",IF(COUNTIF(Contratos!$A:$A,A270)+COUNTIF(Pagamentos!$A:$A,A270)=0,"não consta","SIM — contratos: "&amp;COUNTIF(Contratos!$A:$A,A270)&amp;"; pagamentos: "&amp;COUNTIF(Pagamentos!$A:$A,A270)))</f>
        <v/>
      </c>
      <c r="G270" s="27"/>
      <c r="H270" s="5"/>
      <c r="J270" s="5"/>
      <c r="K270" s="41"/>
      <c r="L270" s="14"/>
      <c r="M270" s="5"/>
      <c r="N270" s="35"/>
      <c r="O270" s="27"/>
      <c r="P270" s="39" t="str">
        <f aca="false">IF(OR(J270="",K270=""),"",SUMIFS($N:$N,$J:$J,J270,$K:$K,K270))</f>
        <v/>
      </c>
      <c r="Q270" s="32" t="str">
        <f aca="false">IF(OR(J270="",K270=""),"",IF(COUNTIFS($J:$J,J270,$K:$K,"&lt;"&amp;K270)=0,"",_xlfn.MAXIFS($K:$K,$J:$J,J270,$K:$K,"&lt;"&amp;K270)))</f>
        <v/>
      </c>
      <c r="R270" s="39" t="str">
        <f aca="false">IF(Q270="","",SUMIFS($N:$N,$J:$J,J270,$K:$K,Q270))</f>
        <v/>
      </c>
      <c r="S270" s="37" t="str">
        <f aca="false">IF(OR(R270="",R270=0,P270=""),"",P270/R270-1)</f>
        <v/>
      </c>
    </row>
    <row r="271" customFormat="false" ht="15" hidden="false" customHeight="false" outlineLevel="0" collapsed="false">
      <c r="A271" s="27"/>
      <c r="B271" s="5"/>
      <c r="C271" s="35"/>
      <c r="D271" s="5"/>
      <c r="E271" s="5"/>
      <c r="F271" s="19" t="str">
        <f aca="false">IF(A271="","",IF(COUNTIF(Contratos!$A:$A,A271)+COUNTIF(Pagamentos!$A:$A,A271)=0,"não consta","SIM — contratos: "&amp;COUNTIF(Contratos!$A:$A,A271)&amp;"; pagamentos: "&amp;COUNTIF(Pagamentos!$A:$A,A271)))</f>
        <v/>
      </c>
      <c r="G271" s="27"/>
      <c r="H271" s="5"/>
      <c r="J271" s="5"/>
      <c r="K271" s="41"/>
      <c r="L271" s="14"/>
      <c r="M271" s="5"/>
      <c r="N271" s="35"/>
      <c r="O271" s="27"/>
      <c r="P271" s="39" t="str">
        <f aca="false">IF(OR(J271="",K271=""),"",SUMIFS($N:$N,$J:$J,J271,$K:$K,K271))</f>
        <v/>
      </c>
      <c r="Q271" s="32" t="str">
        <f aca="false">IF(OR(J271="",K271=""),"",IF(COUNTIFS($J:$J,J271,$K:$K,"&lt;"&amp;K271)=0,"",_xlfn.MAXIFS($K:$K,$J:$J,J271,$K:$K,"&lt;"&amp;K271)))</f>
        <v/>
      </c>
      <c r="R271" s="39" t="str">
        <f aca="false">IF(Q271="","",SUMIFS($N:$N,$J:$J,J271,$K:$K,Q271))</f>
        <v/>
      </c>
      <c r="S271" s="37" t="str">
        <f aca="false">IF(OR(R271="",R271=0,P271=""),"",P271/R271-1)</f>
        <v/>
      </c>
    </row>
    <row r="272" customFormat="false" ht="15" hidden="false" customHeight="false" outlineLevel="0" collapsed="false">
      <c r="A272" s="27"/>
      <c r="B272" s="5"/>
      <c r="C272" s="35"/>
      <c r="D272" s="5"/>
      <c r="E272" s="5"/>
      <c r="F272" s="19" t="str">
        <f aca="false">IF(A272="","",IF(COUNTIF(Contratos!$A:$A,A272)+COUNTIF(Pagamentos!$A:$A,A272)=0,"não consta","SIM — contratos: "&amp;COUNTIF(Contratos!$A:$A,A272)&amp;"; pagamentos: "&amp;COUNTIF(Pagamentos!$A:$A,A272)))</f>
        <v/>
      </c>
      <c r="G272" s="27"/>
      <c r="H272" s="5"/>
      <c r="J272" s="5"/>
      <c r="K272" s="41"/>
      <c r="L272" s="14"/>
      <c r="M272" s="5"/>
      <c r="N272" s="35"/>
      <c r="O272" s="27"/>
      <c r="P272" s="39" t="str">
        <f aca="false">IF(OR(J272="",K272=""),"",SUMIFS($N:$N,$J:$J,J272,$K:$K,K272))</f>
        <v/>
      </c>
      <c r="Q272" s="32" t="str">
        <f aca="false">IF(OR(J272="",K272=""),"",IF(COUNTIFS($J:$J,J272,$K:$K,"&lt;"&amp;K272)=0,"",_xlfn.MAXIFS($K:$K,$J:$J,J272,$K:$K,"&lt;"&amp;K272)))</f>
        <v/>
      </c>
      <c r="R272" s="39" t="str">
        <f aca="false">IF(Q272="","",SUMIFS($N:$N,$J:$J,J272,$K:$K,Q272))</f>
        <v/>
      </c>
      <c r="S272" s="37" t="str">
        <f aca="false">IF(OR(R272="",R272=0,P272=""),"",P272/R272-1)</f>
        <v/>
      </c>
    </row>
    <row r="273" customFormat="false" ht="15" hidden="false" customHeight="false" outlineLevel="0" collapsed="false">
      <c r="A273" s="27"/>
      <c r="B273" s="5"/>
      <c r="C273" s="35"/>
      <c r="D273" s="5"/>
      <c r="E273" s="5"/>
      <c r="F273" s="19" t="str">
        <f aca="false">IF(A273="","",IF(COUNTIF(Contratos!$A:$A,A273)+COUNTIF(Pagamentos!$A:$A,A273)=0,"não consta","SIM — contratos: "&amp;COUNTIF(Contratos!$A:$A,A273)&amp;"; pagamentos: "&amp;COUNTIF(Pagamentos!$A:$A,A273)))</f>
        <v/>
      </c>
      <c r="G273" s="27"/>
      <c r="H273" s="5"/>
      <c r="J273" s="5"/>
      <c r="K273" s="41"/>
      <c r="L273" s="14"/>
      <c r="M273" s="5"/>
      <c r="N273" s="35"/>
      <c r="O273" s="27"/>
      <c r="P273" s="39" t="str">
        <f aca="false">IF(OR(J273="",K273=""),"",SUMIFS($N:$N,$J:$J,J273,$K:$K,K273))</f>
        <v/>
      </c>
      <c r="Q273" s="32" t="str">
        <f aca="false">IF(OR(J273="",K273=""),"",IF(COUNTIFS($J:$J,J273,$K:$K,"&lt;"&amp;K273)=0,"",_xlfn.MAXIFS($K:$K,$J:$J,J273,$K:$K,"&lt;"&amp;K273)))</f>
        <v/>
      </c>
      <c r="R273" s="39" t="str">
        <f aca="false">IF(Q273="","",SUMIFS($N:$N,$J:$J,J273,$K:$K,Q273))</f>
        <v/>
      </c>
      <c r="S273" s="37" t="str">
        <f aca="false">IF(OR(R273="",R273=0,P273=""),"",P273/R273-1)</f>
        <v/>
      </c>
    </row>
    <row r="274" customFormat="false" ht="15" hidden="false" customHeight="false" outlineLevel="0" collapsed="false">
      <c r="A274" s="27"/>
      <c r="B274" s="5"/>
      <c r="C274" s="35"/>
      <c r="D274" s="5"/>
      <c r="E274" s="5"/>
      <c r="F274" s="19" t="str">
        <f aca="false">IF(A274="","",IF(COUNTIF(Contratos!$A:$A,A274)+COUNTIF(Pagamentos!$A:$A,A274)=0,"não consta","SIM — contratos: "&amp;COUNTIF(Contratos!$A:$A,A274)&amp;"; pagamentos: "&amp;COUNTIF(Pagamentos!$A:$A,A274)))</f>
        <v/>
      </c>
      <c r="G274" s="27"/>
      <c r="H274" s="5"/>
      <c r="J274" s="5"/>
      <c r="K274" s="41"/>
      <c r="L274" s="14"/>
      <c r="M274" s="5"/>
      <c r="N274" s="35"/>
      <c r="O274" s="27"/>
      <c r="P274" s="39" t="str">
        <f aca="false">IF(OR(J274="",K274=""),"",SUMIFS($N:$N,$J:$J,J274,$K:$K,K274))</f>
        <v/>
      </c>
      <c r="Q274" s="32" t="str">
        <f aca="false">IF(OR(J274="",K274=""),"",IF(COUNTIFS($J:$J,J274,$K:$K,"&lt;"&amp;K274)=0,"",_xlfn.MAXIFS($K:$K,$J:$J,J274,$K:$K,"&lt;"&amp;K274)))</f>
        <v/>
      </c>
      <c r="R274" s="39" t="str">
        <f aca="false">IF(Q274="","",SUMIFS($N:$N,$J:$J,J274,$K:$K,Q274))</f>
        <v/>
      </c>
      <c r="S274" s="37" t="str">
        <f aca="false">IF(OR(R274="",R274=0,P274=""),"",P274/R274-1)</f>
        <v/>
      </c>
    </row>
    <row r="275" customFormat="false" ht="15" hidden="false" customHeight="false" outlineLevel="0" collapsed="false">
      <c r="A275" s="27"/>
      <c r="B275" s="5"/>
      <c r="C275" s="35"/>
      <c r="D275" s="5"/>
      <c r="E275" s="5"/>
      <c r="F275" s="19" t="str">
        <f aca="false">IF(A275="","",IF(COUNTIF(Contratos!$A:$A,A275)+COUNTIF(Pagamentos!$A:$A,A275)=0,"não consta","SIM — contratos: "&amp;COUNTIF(Contratos!$A:$A,A275)&amp;"; pagamentos: "&amp;COUNTIF(Pagamentos!$A:$A,A275)))</f>
        <v/>
      </c>
      <c r="G275" s="27"/>
      <c r="H275" s="5"/>
      <c r="J275" s="5"/>
      <c r="K275" s="41"/>
      <c r="L275" s="14"/>
      <c r="M275" s="5"/>
      <c r="N275" s="35"/>
      <c r="O275" s="27"/>
      <c r="P275" s="39" t="str">
        <f aca="false">IF(OR(J275="",K275=""),"",SUMIFS($N:$N,$J:$J,J275,$K:$K,K275))</f>
        <v/>
      </c>
      <c r="Q275" s="32" t="str">
        <f aca="false">IF(OR(J275="",K275=""),"",IF(COUNTIFS($J:$J,J275,$K:$K,"&lt;"&amp;K275)=0,"",_xlfn.MAXIFS($K:$K,$J:$J,J275,$K:$K,"&lt;"&amp;K275)))</f>
        <v/>
      </c>
      <c r="R275" s="39" t="str">
        <f aca="false">IF(Q275="","",SUMIFS($N:$N,$J:$J,J275,$K:$K,Q275))</f>
        <v/>
      </c>
      <c r="S275" s="37" t="str">
        <f aca="false">IF(OR(R275="",R275=0,P275=""),"",P275/R275-1)</f>
        <v/>
      </c>
    </row>
    <row r="276" customFormat="false" ht="15" hidden="false" customHeight="false" outlineLevel="0" collapsed="false">
      <c r="A276" s="27"/>
      <c r="B276" s="5"/>
      <c r="C276" s="35"/>
      <c r="D276" s="5"/>
      <c r="E276" s="5"/>
      <c r="F276" s="19" t="str">
        <f aca="false">IF(A276="","",IF(COUNTIF(Contratos!$A:$A,A276)+COUNTIF(Pagamentos!$A:$A,A276)=0,"não consta","SIM — contratos: "&amp;COUNTIF(Contratos!$A:$A,A276)&amp;"; pagamentos: "&amp;COUNTIF(Pagamentos!$A:$A,A276)))</f>
        <v/>
      </c>
      <c r="G276" s="27"/>
      <c r="H276" s="5"/>
      <c r="J276" s="5"/>
      <c r="K276" s="41"/>
      <c r="L276" s="14"/>
      <c r="M276" s="5"/>
      <c r="N276" s="35"/>
      <c r="O276" s="27"/>
      <c r="P276" s="39" t="str">
        <f aca="false">IF(OR(J276="",K276=""),"",SUMIFS($N:$N,$J:$J,J276,$K:$K,K276))</f>
        <v/>
      </c>
      <c r="Q276" s="32" t="str">
        <f aca="false">IF(OR(J276="",K276=""),"",IF(COUNTIFS($J:$J,J276,$K:$K,"&lt;"&amp;K276)=0,"",_xlfn.MAXIFS($K:$K,$J:$J,J276,$K:$K,"&lt;"&amp;K276)))</f>
        <v/>
      </c>
      <c r="R276" s="39" t="str">
        <f aca="false">IF(Q276="","",SUMIFS($N:$N,$J:$J,J276,$K:$K,Q276))</f>
        <v/>
      </c>
      <c r="S276" s="37" t="str">
        <f aca="false">IF(OR(R276="",R276=0,P276=""),"",P276/R276-1)</f>
        <v/>
      </c>
    </row>
    <row r="277" customFormat="false" ht="15" hidden="false" customHeight="false" outlineLevel="0" collapsed="false">
      <c r="A277" s="27"/>
      <c r="B277" s="5"/>
      <c r="C277" s="35"/>
      <c r="D277" s="5"/>
      <c r="E277" s="5"/>
      <c r="F277" s="19" t="str">
        <f aca="false">IF(A277="","",IF(COUNTIF(Contratos!$A:$A,A277)+COUNTIF(Pagamentos!$A:$A,A277)=0,"não consta","SIM — contratos: "&amp;COUNTIF(Contratos!$A:$A,A277)&amp;"; pagamentos: "&amp;COUNTIF(Pagamentos!$A:$A,A277)))</f>
        <v/>
      </c>
      <c r="G277" s="27"/>
      <c r="H277" s="5"/>
      <c r="J277" s="5"/>
      <c r="K277" s="41"/>
      <c r="L277" s="14"/>
      <c r="M277" s="5"/>
      <c r="N277" s="35"/>
      <c r="O277" s="27"/>
      <c r="P277" s="39" t="str">
        <f aca="false">IF(OR(J277="",K277=""),"",SUMIFS($N:$N,$J:$J,J277,$K:$K,K277))</f>
        <v/>
      </c>
      <c r="Q277" s="32" t="str">
        <f aca="false">IF(OR(J277="",K277=""),"",IF(COUNTIFS($J:$J,J277,$K:$K,"&lt;"&amp;K277)=0,"",_xlfn.MAXIFS($K:$K,$J:$J,J277,$K:$K,"&lt;"&amp;K277)))</f>
        <v/>
      </c>
      <c r="R277" s="39" t="str">
        <f aca="false">IF(Q277="","",SUMIFS($N:$N,$J:$J,J277,$K:$K,Q277))</f>
        <v/>
      </c>
      <c r="S277" s="37" t="str">
        <f aca="false">IF(OR(R277="",R277=0,P277=""),"",P277/R277-1)</f>
        <v/>
      </c>
    </row>
    <row r="278" customFormat="false" ht="15" hidden="false" customHeight="false" outlineLevel="0" collapsed="false">
      <c r="A278" s="27"/>
      <c r="B278" s="5"/>
      <c r="C278" s="35"/>
      <c r="D278" s="5"/>
      <c r="E278" s="5"/>
      <c r="F278" s="19" t="str">
        <f aca="false">IF(A278="","",IF(COUNTIF(Contratos!$A:$A,A278)+COUNTIF(Pagamentos!$A:$A,A278)=0,"não consta","SIM — contratos: "&amp;COUNTIF(Contratos!$A:$A,A278)&amp;"; pagamentos: "&amp;COUNTIF(Pagamentos!$A:$A,A278)))</f>
        <v/>
      </c>
      <c r="G278" s="27"/>
      <c r="H278" s="5"/>
      <c r="J278" s="5"/>
      <c r="K278" s="41"/>
      <c r="L278" s="14"/>
      <c r="M278" s="5"/>
      <c r="N278" s="35"/>
      <c r="O278" s="27"/>
      <c r="P278" s="39" t="str">
        <f aca="false">IF(OR(J278="",K278=""),"",SUMIFS($N:$N,$J:$J,J278,$K:$K,K278))</f>
        <v/>
      </c>
      <c r="Q278" s="32" t="str">
        <f aca="false">IF(OR(J278="",K278=""),"",IF(COUNTIFS($J:$J,J278,$K:$K,"&lt;"&amp;K278)=0,"",_xlfn.MAXIFS($K:$K,$J:$J,J278,$K:$K,"&lt;"&amp;K278)))</f>
        <v/>
      </c>
      <c r="R278" s="39" t="str">
        <f aca="false">IF(Q278="","",SUMIFS($N:$N,$J:$J,J278,$K:$K,Q278))</f>
        <v/>
      </c>
      <c r="S278" s="37" t="str">
        <f aca="false">IF(OR(R278="",R278=0,P278=""),"",P278/R278-1)</f>
        <v/>
      </c>
    </row>
    <row r="279" customFormat="false" ht="15" hidden="false" customHeight="false" outlineLevel="0" collapsed="false">
      <c r="A279" s="27"/>
      <c r="B279" s="5"/>
      <c r="C279" s="35"/>
      <c r="D279" s="5"/>
      <c r="E279" s="5"/>
      <c r="F279" s="19" t="str">
        <f aca="false">IF(A279="","",IF(COUNTIF(Contratos!$A:$A,A279)+COUNTIF(Pagamentos!$A:$A,A279)=0,"não consta","SIM — contratos: "&amp;COUNTIF(Contratos!$A:$A,A279)&amp;"; pagamentos: "&amp;COUNTIF(Pagamentos!$A:$A,A279)))</f>
        <v/>
      </c>
      <c r="G279" s="27"/>
      <c r="H279" s="5"/>
      <c r="J279" s="5"/>
      <c r="K279" s="41"/>
      <c r="L279" s="14"/>
      <c r="M279" s="5"/>
      <c r="N279" s="35"/>
      <c r="O279" s="27"/>
      <c r="P279" s="39" t="str">
        <f aca="false">IF(OR(J279="",K279=""),"",SUMIFS($N:$N,$J:$J,J279,$K:$K,K279))</f>
        <v/>
      </c>
      <c r="Q279" s="32" t="str">
        <f aca="false">IF(OR(J279="",K279=""),"",IF(COUNTIFS($J:$J,J279,$K:$K,"&lt;"&amp;K279)=0,"",_xlfn.MAXIFS($K:$K,$J:$J,J279,$K:$K,"&lt;"&amp;K279)))</f>
        <v/>
      </c>
      <c r="R279" s="39" t="str">
        <f aca="false">IF(Q279="","",SUMIFS($N:$N,$J:$J,J279,$K:$K,Q279))</f>
        <v/>
      </c>
      <c r="S279" s="37" t="str">
        <f aca="false">IF(OR(R279="",R279=0,P279=""),"",P279/R279-1)</f>
        <v/>
      </c>
    </row>
    <row r="280" customFormat="false" ht="15" hidden="false" customHeight="false" outlineLevel="0" collapsed="false">
      <c r="A280" s="27"/>
      <c r="B280" s="5"/>
      <c r="C280" s="35"/>
      <c r="D280" s="5"/>
      <c r="E280" s="5"/>
      <c r="F280" s="19" t="str">
        <f aca="false">IF(A280="","",IF(COUNTIF(Contratos!$A:$A,A280)+COUNTIF(Pagamentos!$A:$A,A280)=0,"não consta","SIM — contratos: "&amp;COUNTIF(Contratos!$A:$A,A280)&amp;"; pagamentos: "&amp;COUNTIF(Pagamentos!$A:$A,A280)))</f>
        <v/>
      </c>
      <c r="G280" s="27"/>
      <c r="H280" s="5"/>
      <c r="J280" s="5"/>
      <c r="K280" s="41"/>
      <c r="L280" s="14"/>
      <c r="M280" s="5"/>
      <c r="N280" s="35"/>
      <c r="O280" s="27"/>
      <c r="P280" s="39" t="str">
        <f aca="false">IF(OR(J280="",K280=""),"",SUMIFS($N:$N,$J:$J,J280,$K:$K,K280))</f>
        <v/>
      </c>
      <c r="Q280" s="32" t="str">
        <f aca="false">IF(OR(J280="",K280=""),"",IF(COUNTIFS($J:$J,J280,$K:$K,"&lt;"&amp;K280)=0,"",_xlfn.MAXIFS($K:$K,$J:$J,J280,$K:$K,"&lt;"&amp;K280)))</f>
        <v/>
      </c>
      <c r="R280" s="39" t="str">
        <f aca="false">IF(Q280="","",SUMIFS($N:$N,$J:$J,J280,$K:$K,Q280))</f>
        <v/>
      </c>
      <c r="S280" s="37" t="str">
        <f aca="false">IF(OR(R280="",R280=0,P280=""),"",P280/R280-1)</f>
        <v/>
      </c>
    </row>
    <row r="281" customFormat="false" ht="15" hidden="false" customHeight="false" outlineLevel="0" collapsed="false">
      <c r="A281" s="27"/>
      <c r="B281" s="5"/>
      <c r="C281" s="35"/>
      <c r="D281" s="5"/>
      <c r="E281" s="5"/>
      <c r="F281" s="19" t="str">
        <f aca="false">IF(A281="","",IF(COUNTIF(Contratos!$A:$A,A281)+COUNTIF(Pagamentos!$A:$A,A281)=0,"não consta","SIM — contratos: "&amp;COUNTIF(Contratos!$A:$A,A281)&amp;"; pagamentos: "&amp;COUNTIF(Pagamentos!$A:$A,A281)))</f>
        <v/>
      </c>
      <c r="G281" s="27"/>
      <c r="H281" s="5"/>
      <c r="J281" s="5"/>
      <c r="K281" s="41"/>
      <c r="L281" s="14"/>
      <c r="M281" s="5"/>
      <c r="N281" s="35"/>
      <c r="O281" s="27"/>
      <c r="P281" s="39" t="str">
        <f aca="false">IF(OR(J281="",K281=""),"",SUMIFS($N:$N,$J:$J,J281,$K:$K,K281))</f>
        <v/>
      </c>
      <c r="Q281" s="32" t="str">
        <f aca="false">IF(OR(J281="",K281=""),"",IF(COUNTIFS($J:$J,J281,$K:$K,"&lt;"&amp;K281)=0,"",_xlfn.MAXIFS($K:$K,$J:$J,J281,$K:$K,"&lt;"&amp;K281)))</f>
        <v/>
      </c>
      <c r="R281" s="39" t="str">
        <f aca="false">IF(Q281="","",SUMIFS($N:$N,$J:$J,J281,$K:$K,Q281))</f>
        <v/>
      </c>
      <c r="S281" s="37" t="str">
        <f aca="false">IF(OR(R281="",R281=0,P281=""),"",P281/R281-1)</f>
        <v/>
      </c>
    </row>
    <row r="282" customFormat="false" ht="15" hidden="false" customHeight="false" outlineLevel="0" collapsed="false">
      <c r="A282" s="27"/>
      <c r="B282" s="5"/>
      <c r="C282" s="35"/>
      <c r="D282" s="5"/>
      <c r="E282" s="5"/>
      <c r="F282" s="19" t="str">
        <f aca="false">IF(A282="","",IF(COUNTIF(Contratos!$A:$A,A282)+COUNTIF(Pagamentos!$A:$A,A282)=0,"não consta","SIM — contratos: "&amp;COUNTIF(Contratos!$A:$A,A282)&amp;"; pagamentos: "&amp;COUNTIF(Pagamentos!$A:$A,A282)))</f>
        <v/>
      </c>
      <c r="G282" s="27"/>
      <c r="H282" s="5"/>
      <c r="J282" s="5"/>
      <c r="K282" s="41"/>
      <c r="L282" s="14"/>
      <c r="M282" s="5"/>
      <c r="N282" s="35"/>
      <c r="O282" s="27"/>
      <c r="P282" s="39" t="str">
        <f aca="false">IF(OR(J282="",K282=""),"",SUMIFS($N:$N,$J:$J,J282,$K:$K,K282))</f>
        <v/>
      </c>
      <c r="Q282" s="32" t="str">
        <f aca="false">IF(OR(J282="",K282=""),"",IF(COUNTIFS($J:$J,J282,$K:$K,"&lt;"&amp;K282)=0,"",_xlfn.MAXIFS($K:$K,$J:$J,J282,$K:$K,"&lt;"&amp;K282)))</f>
        <v/>
      </c>
      <c r="R282" s="39" t="str">
        <f aca="false">IF(Q282="","",SUMIFS($N:$N,$J:$J,J282,$K:$K,Q282))</f>
        <v/>
      </c>
      <c r="S282" s="37" t="str">
        <f aca="false">IF(OR(R282="",R282=0,P282=""),"",P282/R282-1)</f>
        <v/>
      </c>
    </row>
    <row r="283" customFormat="false" ht="15" hidden="false" customHeight="false" outlineLevel="0" collapsed="false">
      <c r="A283" s="27"/>
      <c r="B283" s="5"/>
      <c r="C283" s="35"/>
      <c r="D283" s="5"/>
      <c r="E283" s="5"/>
      <c r="F283" s="19" t="str">
        <f aca="false">IF(A283="","",IF(COUNTIF(Contratos!$A:$A,A283)+COUNTIF(Pagamentos!$A:$A,A283)=0,"não consta","SIM — contratos: "&amp;COUNTIF(Contratos!$A:$A,A283)&amp;"; pagamentos: "&amp;COUNTIF(Pagamentos!$A:$A,A283)))</f>
        <v/>
      </c>
      <c r="G283" s="27"/>
      <c r="H283" s="5"/>
      <c r="J283" s="5"/>
      <c r="K283" s="41"/>
      <c r="L283" s="14"/>
      <c r="M283" s="5"/>
      <c r="N283" s="35"/>
      <c r="O283" s="27"/>
      <c r="P283" s="39" t="str">
        <f aca="false">IF(OR(J283="",K283=""),"",SUMIFS($N:$N,$J:$J,J283,$K:$K,K283))</f>
        <v/>
      </c>
      <c r="Q283" s="32" t="str">
        <f aca="false">IF(OR(J283="",K283=""),"",IF(COUNTIFS($J:$J,J283,$K:$K,"&lt;"&amp;K283)=0,"",_xlfn.MAXIFS($K:$K,$J:$J,J283,$K:$K,"&lt;"&amp;K283)))</f>
        <v/>
      </c>
      <c r="R283" s="39" t="str">
        <f aca="false">IF(Q283="","",SUMIFS($N:$N,$J:$J,J283,$K:$K,Q283))</f>
        <v/>
      </c>
      <c r="S283" s="37" t="str">
        <f aca="false">IF(OR(R283="",R283=0,P283=""),"",P283/R283-1)</f>
        <v/>
      </c>
    </row>
    <row r="284" customFormat="false" ht="15" hidden="false" customHeight="false" outlineLevel="0" collapsed="false">
      <c r="A284" s="27"/>
      <c r="B284" s="5"/>
      <c r="C284" s="35"/>
      <c r="D284" s="5"/>
      <c r="E284" s="5"/>
      <c r="F284" s="19" t="str">
        <f aca="false">IF(A284="","",IF(COUNTIF(Contratos!$A:$A,A284)+COUNTIF(Pagamentos!$A:$A,A284)=0,"não consta","SIM — contratos: "&amp;COUNTIF(Contratos!$A:$A,A284)&amp;"; pagamentos: "&amp;COUNTIF(Pagamentos!$A:$A,A284)))</f>
        <v/>
      </c>
      <c r="G284" s="27"/>
      <c r="H284" s="5"/>
      <c r="J284" s="5"/>
      <c r="K284" s="41"/>
      <c r="L284" s="14"/>
      <c r="M284" s="5"/>
      <c r="N284" s="35"/>
      <c r="O284" s="27"/>
      <c r="P284" s="39" t="str">
        <f aca="false">IF(OR(J284="",K284=""),"",SUMIFS($N:$N,$J:$J,J284,$K:$K,K284))</f>
        <v/>
      </c>
      <c r="Q284" s="32" t="str">
        <f aca="false">IF(OR(J284="",K284=""),"",IF(COUNTIFS($J:$J,J284,$K:$K,"&lt;"&amp;K284)=0,"",_xlfn.MAXIFS($K:$K,$J:$J,J284,$K:$K,"&lt;"&amp;K284)))</f>
        <v/>
      </c>
      <c r="R284" s="39" t="str">
        <f aca="false">IF(Q284="","",SUMIFS($N:$N,$J:$J,J284,$K:$K,Q284))</f>
        <v/>
      </c>
      <c r="S284" s="37" t="str">
        <f aca="false">IF(OR(R284="",R284=0,P284=""),"",P284/R284-1)</f>
        <v/>
      </c>
    </row>
    <row r="285" customFormat="false" ht="15" hidden="false" customHeight="false" outlineLevel="0" collapsed="false">
      <c r="A285" s="27"/>
      <c r="B285" s="5"/>
      <c r="C285" s="35"/>
      <c r="D285" s="5"/>
      <c r="E285" s="5"/>
      <c r="F285" s="19" t="str">
        <f aca="false">IF(A285="","",IF(COUNTIF(Contratos!$A:$A,A285)+COUNTIF(Pagamentos!$A:$A,A285)=0,"não consta","SIM — contratos: "&amp;COUNTIF(Contratos!$A:$A,A285)&amp;"; pagamentos: "&amp;COUNTIF(Pagamentos!$A:$A,A285)))</f>
        <v/>
      </c>
      <c r="G285" s="27"/>
      <c r="H285" s="5"/>
      <c r="J285" s="5"/>
      <c r="K285" s="41"/>
      <c r="L285" s="14"/>
      <c r="M285" s="5"/>
      <c r="N285" s="35"/>
      <c r="O285" s="27"/>
      <c r="P285" s="39" t="str">
        <f aca="false">IF(OR(J285="",K285=""),"",SUMIFS($N:$N,$J:$J,J285,$K:$K,K285))</f>
        <v/>
      </c>
      <c r="Q285" s="32" t="str">
        <f aca="false">IF(OR(J285="",K285=""),"",IF(COUNTIFS($J:$J,J285,$K:$K,"&lt;"&amp;K285)=0,"",_xlfn.MAXIFS($K:$K,$J:$J,J285,$K:$K,"&lt;"&amp;K285)))</f>
        <v/>
      </c>
      <c r="R285" s="39" t="str">
        <f aca="false">IF(Q285="","",SUMIFS($N:$N,$J:$J,J285,$K:$K,Q285))</f>
        <v/>
      </c>
      <c r="S285" s="37" t="str">
        <f aca="false">IF(OR(R285="",R285=0,P285=""),"",P285/R285-1)</f>
        <v/>
      </c>
    </row>
    <row r="286" customFormat="false" ht="15" hidden="false" customHeight="false" outlineLevel="0" collapsed="false">
      <c r="A286" s="27"/>
      <c r="B286" s="5"/>
      <c r="C286" s="35"/>
      <c r="D286" s="5"/>
      <c r="E286" s="5"/>
      <c r="F286" s="19" t="str">
        <f aca="false">IF(A286="","",IF(COUNTIF(Contratos!$A:$A,A286)+COUNTIF(Pagamentos!$A:$A,A286)=0,"não consta","SIM — contratos: "&amp;COUNTIF(Contratos!$A:$A,A286)&amp;"; pagamentos: "&amp;COUNTIF(Pagamentos!$A:$A,A286)))</f>
        <v/>
      </c>
      <c r="G286" s="27"/>
      <c r="H286" s="5"/>
      <c r="J286" s="5"/>
      <c r="K286" s="41"/>
      <c r="L286" s="14"/>
      <c r="M286" s="5"/>
      <c r="N286" s="35"/>
      <c r="O286" s="27"/>
      <c r="P286" s="39" t="str">
        <f aca="false">IF(OR(J286="",K286=""),"",SUMIFS($N:$N,$J:$J,J286,$K:$K,K286))</f>
        <v/>
      </c>
      <c r="Q286" s="32" t="str">
        <f aca="false">IF(OR(J286="",K286=""),"",IF(COUNTIFS($J:$J,J286,$K:$K,"&lt;"&amp;K286)=0,"",_xlfn.MAXIFS($K:$K,$J:$J,J286,$K:$K,"&lt;"&amp;K286)))</f>
        <v/>
      </c>
      <c r="R286" s="39" t="str">
        <f aca="false">IF(Q286="","",SUMIFS($N:$N,$J:$J,J286,$K:$K,Q286))</f>
        <v/>
      </c>
      <c r="S286" s="37" t="str">
        <f aca="false">IF(OR(R286="",R286=0,P286=""),"",P286/R286-1)</f>
        <v/>
      </c>
    </row>
    <row r="287" customFormat="false" ht="15" hidden="false" customHeight="false" outlineLevel="0" collapsed="false">
      <c r="A287" s="27"/>
      <c r="B287" s="5"/>
      <c r="C287" s="35"/>
      <c r="D287" s="5"/>
      <c r="E287" s="5"/>
      <c r="F287" s="19" t="str">
        <f aca="false">IF(A287="","",IF(COUNTIF(Contratos!$A:$A,A287)+COUNTIF(Pagamentos!$A:$A,A287)=0,"não consta","SIM — contratos: "&amp;COUNTIF(Contratos!$A:$A,A287)&amp;"; pagamentos: "&amp;COUNTIF(Pagamentos!$A:$A,A287)))</f>
        <v/>
      </c>
      <c r="G287" s="27"/>
      <c r="H287" s="5"/>
      <c r="J287" s="5"/>
      <c r="K287" s="41"/>
      <c r="L287" s="14"/>
      <c r="M287" s="5"/>
      <c r="N287" s="35"/>
      <c r="O287" s="27"/>
      <c r="P287" s="39" t="str">
        <f aca="false">IF(OR(J287="",K287=""),"",SUMIFS($N:$N,$J:$J,J287,$K:$K,K287))</f>
        <v/>
      </c>
      <c r="Q287" s="32" t="str">
        <f aca="false">IF(OR(J287="",K287=""),"",IF(COUNTIFS($J:$J,J287,$K:$K,"&lt;"&amp;K287)=0,"",_xlfn.MAXIFS($K:$K,$J:$J,J287,$K:$K,"&lt;"&amp;K287)))</f>
        <v/>
      </c>
      <c r="R287" s="39" t="str">
        <f aca="false">IF(Q287="","",SUMIFS($N:$N,$J:$J,J287,$K:$K,Q287))</f>
        <v/>
      </c>
      <c r="S287" s="37" t="str">
        <f aca="false">IF(OR(R287="",R287=0,P287=""),"",P287/R287-1)</f>
        <v/>
      </c>
    </row>
    <row r="288" customFormat="false" ht="15" hidden="false" customHeight="false" outlineLevel="0" collapsed="false">
      <c r="A288" s="27"/>
      <c r="B288" s="5"/>
      <c r="C288" s="35"/>
      <c r="D288" s="5"/>
      <c r="E288" s="5"/>
      <c r="F288" s="19" t="str">
        <f aca="false">IF(A288="","",IF(COUNTIF(Contratos!$A:$A,A288)+COUNTIF(Pagamentos!$A:$A,A288)=0,"não consta","SIM — contratos: "&amp;COUNTIF(Contratos!$A:$A,A288)&amp;"; pagamentos: "&amp;COUNTIF(Pagamentos!$A:$A,A288)))</f>
        <v/>
      </c>
      <c r="G288" s="27"/>
      <c r="H288" s="5"/>
      <c r="J288" s="5"/>
      <c r="K288" s="41"/>
      <c r="L288" s="14"/>
      <c r="M288" s="5"/>
      <c r="N288" s="35"/>
      <c r="O288" s="27"/>
      <c r="P288" s="39" t="str">
        <f aca="false">IF(OR(J288="",K288=""),"",SUMIFS($N:$N,$J:$J,J288,$K:$K,K288))</f>
        <v/>
      </c>
      <c r="Q288" s="32" t="str">
        <f aca="false">IF(OR(J288="",K288=""),"",IF(COUNTIFS($J:$J,J288,$K:$K,"&lt;"&amp;K288)=0,"",_xlfn.MAXIFS($K:$K,$J:$J,J288,$K:$K,"&lt;"&amp;K288)))</f>
        <v/>
      </c>
      <c r="R288" s="39" t="str">
        <f aca="false">IF(Q288="","",SUMIFS($N:$N,$J:$J,J288,$K:$K,Q288))</f>
        <v/>
      </c>
      <c r="S288" s="37" t="str">
        <f aca="false">IF(OR(R288="",R288=0,P288=""),"",P288/R288-1)</f>
        <v/>
      </c>
    </row>
    <row r="289" customFormat="false" ht="15" hidden="false" customHeight="false" outlineLevel="0" collapsed="false">
      <c r="A289" s="27"/>
      <c r="B289" s="5"/>
      <c r="C289" s="35"/>
      <c r="D289" s="5"/>
      <c r="E289" s="5"/>
      <c r="F289" s="19" t="str">
        <f aca="false">IF(A289="","",IF(COUNTIF(Contratos!$A:$A,A289)+COUNTIF(Pagamentos!$A:$A,A289)=0,"não consta","SIM — contratos: "&amp;COUNTIF(Contratos!$A:$A,A289)&amp;"; pagamentos: "&amp;COUNTIF(Pagamentos!$A:$A,A289)))</f>
        <v/>
      </c>
      <c r="G289" s="27"/>
      <c r="H289" s="5"/>
      <c r="J289" s="5"/>
      <c r="K289" s="41"/>
      <c r="L289" s="14"/>
      <c r="M289" s="5"/>
      <c r="N289" s="35"/>
      <c r="O289" s="27"/>
      <c r="P289" s="39" t="str">
        <f aca="false">IF(OR(J289="",K289=""),"",SUMIFS($N:$N,$J:$J,J289,$K:$K,K289))</f>
        <v/>
      </c>
      <c r="Q289" s="32" t="str">
        <f aca="false">IF(OR(J289="",K289=""),"",IF(COUNTIFS($J:$J,J289,$K:$K,"&lt;"&amp;K289)=0,"",_xlfn.MAXIFS($K:$K,$J:$J,J289,$K:$K,"&lt;"&amp;K289)))</f>
        <v/>
      </c>
      <c r="R289" s="39" t="str">
        <f aca="false">IF(Q289="","",SUMIFS($N:$N,$J:$J,J289,$K:$K,Q289))</f>
        <v/>
      </c>
      <c r="S289" s="37" t="str">
        <f aca="false">IF(OR(R289="",R289=0,P289=""),"",P289/R289-1)</f>
        <v/>
      </c>
    </row>
    <row r="290" customFormat="false" ht="15" hidden="false" customHeight="false" outlineLevel="0" collapsed="false">
      <c r="A290" s="27"/>
      <c r="B290" s="5"/>
      <c r="C290" s="35"/>
      <c r="D290" s="5"/>
      <c r="E290" s="5"/>
      <c r="F290" s="19" t="str">
        <f aca="false">IF(A290="","",IF(COUNTIF(Contratos!$A:$A,A290)+COUNTIF(Pagamentos!$A:$A,A290)=0,"não consta","SIM — contratos: "&amp;COUNTIF(Contratos!$A:$A,A290)&amp;"; pagamentos: "&amp;COUNTIF(Pagamentos!$A:$A,A290)))</f>
        <v/>
      </c>
      <c r="G290" s="27"/>
      <c r="H290" s="5"/>
      <c r="J290" s="5"/>
      <c r="K290" s="41"/>
      <c r="L290" s="14"/>
      <c r="M290" s="5"/>
      <c r="N290" s="35"/>
      <c r="O290" s="27"/>
      <c r="P290" s="39" t="str">
        <f aca="false">IF(OR(J290="",K290=""),"",SUMIFS($N:$N,$J:$J,J290,$K:$K,K290))</f>
        <v/>
      </c>
      <c r="Q290" s="32" t="str">
        <f aca="false">IF(OR(J290="",K290=""),"",IF(COUNTIFS($J:$J,J290,$K:$K,"&lt;"&amp;K290)=0,"",_xlfn.MAXIFS($K:$K,$J:$J,J290,$K:$K,"&lt;"&amp;K290)))</f>
        <v/>
      </c>
      <c r="R290" s="39" t="str">
        <f aca="false">IF(Q290="","",SUMIFS($N:$N,$J:$J,J290,$K:$K,Q290))</f>
        <v/>
      </c>
      <c r="S290" s="37" t="str">
        <f aca="false">IF(OR(R290="",R290=0,P290=""),"",P290/R290-1)</f>
        <v/>
      </c>
    </row>
    <row r="291" customFormat="false" ht="15" hidden="false" customHeight="false" outlineLevel="0" collapsed="false">
      <c r="A291" s="27"/>
      <c r="B291" s="5"/>
      <c r="C291" s="35"/>
      <c r="D291" s="5"/>
      <c r="E291" s="5"/>
      <c r="F291" s="19" t="str">
        <f aca="false">IF(A291="","",IF(COUNTIF(Contratos!$A:$A,A291)+COUNTIF(Pagamentos!$A:$A,A291)=0,"não consta","SIM — contratos: "&amp;COUNTIF(Contratos!$A:$A,A291)&amp;"; pagamentos: "&amp;COUNTIF(Pagamentos!$A:$A,A291)))</f>
        <v/>
      </c>
      <c r="G291" s="27"/>
      <c r="H291" s="5"/>
      <c r="J291" s="5"/>
      <c r="K291" s="41"/>
      <c r="L291" s="14"/>
      <c r="M291" s="5"/>
      <c r="N291" s="35"/>
      <c r="O291" s="27"/>
      <c r="P291" s="39" t="str">
        <f aca="false">IF(OR(J291="",K291=""),"",SUMIFS($N:$N,$J:$J,J291,$K:$K,K291))</f>
        <v/>
      </c>
      <c r="Q291" s="32" t="str">
        <f aca="false">IF(OR(J291="",K291=""),"",IF(COUNTIFS($J:$J,J291,$K:$K,"&lt;"&amp;K291)=0,"",_xlfn.MAXIFS($K:$K,$J:$J,J291,$K:$K,"&lt;"&amp;K291)))</f>
        <v/>
      </c>
      <c r="R291" s="39" t="str">
        <f aca="false">IF(Q291="","",SUMIFS($N:$N,$J:$J,J291,$K:$K,Q291))</f>
        <v/>
      </c>
      <c r="S291" s="37" t="str">
        <f aca="false">IF(OR(R291="",R291=0,P291=""),"",P291/R291-1)</f>
        <v/>
      </c>
    </row>
    <row r="292" customFormat="false" ht="15" hidden="false" customHeight="false" outlineLevel="0" collapsed="false">
      <c r="A292" s="27"/>
      <c r="B292" s="5"/>
      <c r="C292" s="35"/>
      <c r="D292" s="5"/>
      <c r="E292" s="5"/>
      <c r="F292" s="19" t="str">
        <f aca="false">IF(A292="","",IF(COUNTIF(Contratos!$A:$A,A292)+COUNTIF(Pagamentos!$A:$A,A292)=0,"não consta","SIM — contratos: "&amp;COUNTIF(Contratos!$A:$A,A292)&amp;"; pagamentos: "&amp;COUNTIF(Pagamentos!$A:$A,A292)))</f>
        <v/>
      </c>
      <c r="G292" s="27"/>
      <c r="H292" s="5"/>
      <c r="J292" s="5"/>
      <c r="K292" s="41"/>
      <c r="L292" s="14"/>
      <c r="M292" s="5"/>
      <c r="N292" s="35"/>
      <c r="O292" s="27"/>
      <c r="P292" s="39" t="str">
        <f aca="false">IF(OR(J292="",K292=""),"",SUMIFS($N:$N,$J:$J,J292,$K:$K,K292))</f>
        <v/>
      </c>
      <c r="Q292" s="32" t="str">
        <f aca="false">IF(OR(J292="",K292=""),"",IF(COUNTIFS($J:$J,J292,$K:$K,"&lt;"&amp;K292)=0,"",_xlfn.MAXIFS($K:$K,$J:$J,J292,$K:$K,"&lt;"&amp;K292)))</f>
        <v/>
      </c>
      <c r="R292" s="39" t="str">
        <f aca="false">IF(Q292="","",SUMIFS($N:$N,$J:$J,J292,$K:$K,Q292))</f>
        <v/>
      </c>
      <c r="S292" s="37" t="str">
        <f aca="false">IF(OR(R292="",R292=0,P292=""),"",P292/R292-1)</f>
        <v/>
      </c>
    </row>
    <row r="293" customFormat="false" ht="15" hidden="false" customHeight="false" outlineLevel="0" collapsed="false">
      <c r="A293" s="27"/>
      <c r="B293" s="5"/>
      <c r="C293" s="35"/>
      <c r="D293" s="5"/>
      <c r="E293" s="5"/>
      <c r="F293" s="19" t="str">
        <f aca="false">IF(A293="","",IF(COUNTIF(Contratos!$A:$A,A293)+COUNTIF(Pagamentos!$A:$A,A293)=0,"não consta","SIM — contratos: "&amp;COUNTIF(Contratos!$A:$A,A293)&amp;"; pagamentos: "&amp;COUNTIF(Pagamentos!$A:$A,A293)))</f>
        <v/>
      </c>
      <c r="G293" s="27"/>
      <c r="H293" s="5"/>
      <c r="J293" s="5"/>
      <c r="K293" s="41"/>
      <c r="L293" s="14"/>
      <c r="M293" s="5"/>
      <c r="N293" s="35"/>
      <c r="O293" s="27"/>
      <c r="P293" s="39" t="str">
        <f aca="false">IF(OR(J293="",K293=""),"",SUMIFS($N:$N,$J:$J,J293,$K:$K,K293))</f>
        <v/>
      </c>
      <c r="Q293" s="32" t="str">
        <f aca="false">IF(OR(J293="",K293=""),"",IF(COUNTIFS($J:$J,J293,$K:$K,"&lt;"&amp;K293)=0,"",_xlfn.MAXIFS($K:$K,$J:$J,J293,$K:$K,"&lt;"&amp;K293)))</f>
        <v/>
      </c>
      <c r="R293" s="39" t="str">
        <f aca="false">IF(Q293="","",SUMIFS($N:$N,$J:$J,J293,$K:$K,Q293))</f>
        <v/>
      </c>
      <c r="S293" s="37" t="str">
        <f aca="false">IF(OR(R293="",R293=0,P293=""),"",P293/R293-1)</f>
        <v/>
      </c>
    </row>
    <row r="294" customFormat="false" ht="15" hidden="false" customHeight="false" outlineLevel="0" collapsed="false">
      <c r="A294" s="27"/>
      <c r="B294" s="5"/>
      <c r="C294" s="35"/>
      <c r="D294" s="5"/>
      <c r="E294" s="5"/>
      <c r="F294" s="19" t="str">
        <f aca="false">IF(A294="","",IF(COUNTIF(Contratos!$A:$A,A294)+COUNTIF(Pagamentos!$A:$A,A294)=0,"não consta","SIM — contratos: "&amp;COUNTIF(Contratos!$A:$A,A294)&amp;"; pagamentos: "&amp;COUNTIF(Pagamentos!$A:$A,A294)))</f>
        <v/>
      </c>
      <c r="G294" s="27"/>
      <c r="H294" s="5"/>
      <c r="J294" s="5"/>
      <c r="K294" s="41"/>
      <c r="L294" s="14"/>
      <c r="M294" s="5"/>
      <c r="N294" s="35"/>
      <c r="O294" s="27"/>
      <c r="P294" s="39" t="str">
        <f aca="false">IF(OR(J294="",K294=""),"",SUMIFS($N:$N,$J:$J,J294,$K:$K,K294))</f>
        <v/>
      </c>
      <c r="Q294" s="32" t="str">
        <f aca="false">IF(OR(J294="",K294=""),"",IF(COUNTIFS($J:$J,J294,$K:$K,"&lt;"&amp;K294)=0,"",_xlfn.MAXIFS($K:$K,$J:$J,J294,$K:$K,"&lt;"&amp;K294)))</f>
        <v/>
      </c>
      <c r="R294" s="39" t="str">
        <f aca="false">IF(Q294="","",SUMIFS($N:$N,$J:$J,J294,$K:$K,Q294))</f>
        <v/>
      </c>
      <c r="S294" s="37" t="str">
        <f aca="false">IF(OR(R294="",R294=0,P294=""),"",P294/R294-1)</f>
        <v/>
      </c>
    </row>
    <row r="295" customFormat="false" ht="15" hidden="false" customHeight="false" outlineLevel="0" collapsed="false">
      <c r="A295" s="27"/>
      <c r="B295" s="5"/>
      <c r="C295" s="35"/>
      <c r="D295" s="5"/>
      <c r="E295" s="5"/>
      <c r="F295" s="19" t="str">
        <f aca="false">IF(A295="","",IF(COUNTIF(Contratos!$A:$A,A295)+COUNTIF(Pagamentos!$A:$A,A295)=0,"não consta","SIM — contratos: "&amp;COUNTIF(Contratos!$A:$A,A295)&amp;"; pagamentos: "&amp;COUNTIF(Pagamentos!$A:$A,A295)))</f>
        <v/>
      </c>
      <c r="G295" s="27"/>
      <c r="H295" s="5"/>
      <c r="J295" s="5"/>
      <c r="K295" s="41"/>
      <c r="L295" s="14"/>
      <c r="M295" s="5"/>
      <c r="N295" s="35"/>
      <c r="O295" s="27"/>
      <c r="P295" s="39" t="str">
        <f aca="false">IF(OR(J295="",K295=""),"",SUMIFS($N:$N,$J:$J,J295,$K:$K,K295))</f>
        <v/>
      </c>
      <c r="Q295" s="32" t="str">
        <f aca="false">IF(OR(J295="",K295=""),"",IF(COUNTIFS($J:$J,J295,$K:$K,"&lt;"&amp;K295)=0,"",_xlfn.MAXIFS($K:$K,$J:$J,J295,$K:$K,"&lt;"&amp;K295)))</f>
        <v/>
      </c>
      <c r="R295" s="39" t="str">
        <f aca="false">IF(Q295="","",SUMIFS($N:$N,$J:$J,J295,$K:$K,Q295))</f>
        <v/>
      </c>
      <c r="S295" s="37" t="str">
        <f aca="false">IF(OR(R295="",R295=0,P295=""),"",P295/R295-1)</f>
        <v/>
      </c>
    </row>
    <row r="296" customFormat="false" ht="15" hidden="false" customHeight="false" outlineLevel="0" collapsed="false">
      <c r="A296" s="27"/>
      <c r="B296" s="5"/>
      <c r="C296" s="35"/>
      <c r="D296" s="5"/>
      <c r="E296" s="5"/>
      <c r="F296" s="19" t="str">
        <f aca="false">IF(A296="","",IF(COUNTIF(Contratos!$A:$A,A296)+COUNTIF(Pagamentos!$A:$A,A296)=0,"não consta","SIM — contratos: "&amp;COUNTIF(Contratos!$A:$A,A296)&amp;"; pagamentos: "&amp;COUNTIF(Pagamentos!$A:$A,A296)))</f>
        <v/>
      </c>
      <c r="G296" s="27"/>
      <c r="H296" s="5"/>
      <c r="J296" s="5"/>
      <c r="K296" s="41"/>
      <c r="L296" s="14"/>
      <c r="M296" s="5"/>
      <c r="N296" s="35"/>
      <c r="O296" s="27"/>
      <c r="P296" s="39" t="str">
        <f aca="false">IF(OR(J296="",K296=""),"",SUMIFS($N:$N,$J:$J,J296,$K:$K,K296))</f>
        <v/>
      </c>
      <c r="Q296" s="32" t="str">
        <f aca="false">IF(OR(J296="",K296=""),"",IF(COUNTIFS($J:$J,J296,$K:$K,"&lt;"&amp;K296)=0,"",_xlfn.MAXIFS($K:$K,$J:$J,J296,$K:$K,"&lt;"&amp;K296)))</f>
        <v/>
      </c>
      <c r="R296" s="39" t="str">
        <f aca="false">IF(Q296="","",SUMIFS($N:$N,$J:$J,J296,$K:$K,Q296))</f>
        <v/>
      </c>
      <c r="S296" s="37" t="str">
        <f aca="false">IF(OR(R296="",R296=0,P296=""),"",P296/R296-1)</f>
        <v/>
      </c>
    </row>
    <row r="297" customFormat="false" ht="15" hidden="false" customHeight="false" outlineLevel="0" collapsed="false">
      <c r="A297" s="27"/>
      <c r="B297" s="5"/>
      <c r="C297" s="35"/>
      <c r="D297" s="5"/>
      <c r="E297" s="5"/>
      <c r="F297" s="19" t="str">
        <f aca="false">IF(A297="","",IF(COUNTIF(Contratos!$A:$A,A297)+COUNTIF(Pagamentos!$A:$A,A297)=0,"não consta","SIM — contratos: "&amp;COUNTIF(Contratos!$A:$A,A297)&amp;"; pagamentos: "&amp;COUNTIF(Pagamentos!$A:$A,A297)))</f>
        <v/>
      </c>
      <c r="G297" s="27"/>
      <c r="H297" s="5"/>
      <c r="J297" s="5"/>
      <c r="K297" s="41"/>
      <c r="L297" s="14"/>
      <c r="M297" s="5"/>
      <c r="N297" s="35"/>
      <c r="O297" s="27"/>
      <c r="P297" s="39" t="str">
        <f aca="false">IF(OR(J297="",K297=""),"",SUMIFS($N:$N,$J:$J,J297,$K:$K,K297))</f>
        <v/>
      </c>
      <c r="Q297" s="32" t="str">
        <f aca="false">IF(OR(J297="",K297=""),"",IF(COUNTIFS($J:$J,J297,$K:$K,"&lt;"&amp;K297)=0,"",_xlfn.MAXIFS($K:$K,$J:$J,J297,$K:$K,"&lt;"&amp;K297)))</f>
        <v/>
      </c>
      <c r="R297" s="39" t="str">
        <f aca="false">IF(Q297="","",SUMIFS($N:$N,$J:$J,J297,$K:$K,Q297))</f>
        <v/>
      </c>
      <c r="S297" s="37" t="str">
        <f aca="false">IF(OR(R297="",R297=0,P297=""),"",P297/R297-1)</f>
        <v/>
      </c>
    </row>
    <row r="298" customFormat="false" ht="15" hidden="false" customHeight="false" outlineLevel="0" collapsed="false">
      <c r="A298" s="27"/>
      <c r="B298" s="5"/>
      <c r="C298" s="35"/>
      <c r="D298" s="5"/>
      <c r="E298" s="5"/>
      <c r="F298" s="19" t="str">
        <f aca="false">IF(A298="","",IF(COUNTIF(Contratos!$A:$A,A298)+COUNTIF(Pagamentos!$A:$A,A298)=0,"não consta","SIM — contratos: "&amp;COUNTIF(Contratos!$A:$A,A298)&amp;"; pagamentos: "&amp;COUNTIF(Pagamentos!$A:$A,A298)))</f>
        <v/>
      </c>
      <c r="G298" s="27"/>
      <c r="H298" s="5"/>
      <c r="J298" s="5"/>
      <c r="K298" s="41"/>
      <c r="L298" s="14"/>
      <c r="M298" s="5"/>
      <c r="N298" s="35"/>
      <c r="O298" s="27"/>
      <c r="P298" s="39" t="str">
        <f aca="false">IF(OR(J298="",K298=""),"",SUMIFS($N:$N,$J:$J,J298,$K:$K,K298))</f>
        <v/>
      </c>
      <c r="Q298" s="32" t="str">
        <f aca="false">IF(OR(J298="",K298=""),"",IF(COUNTIFS($J:$J,J298,$K:$K,"&lt;"&amp;K298)=0,"",_xlfn.MAXIFS($K:$K,$J:$J,J298,$K:$K,"&lt;"&amp;K298)))</f>
        <v/>
      </c>
      <c r="R298" s="39" t="str">
        <f aca="false">IF(Q298="","",SUMIFS($N:$N,$J:$J,J298,$K:$K,Q298))</f>
        <v/>
      </c>
      <c r="S298" s="37" t="str">
        <f aca="false">IF(OR(R298="",R298=0,P298=""),"",P298/R298-1)</f>
        <v/>
      </c>
    </row>
    <row r="299" customFormat="false" ht="15" hidden="false" customHeight="false" outlineLevel="0" collapsed="false">
      <c r="A299" s="27"/>
      <c r="B299" s="5"/>
      <c r="C299" s="35"/>
      <c r="D299" s="5"/>
      <c r="E299" s="5"/>
      <c r="F299" s="19" t="str">
        <f aca="false">IF(A299="","",IF(COUNTIF(Contratos!$A:$A,A299)+COUNTIF(Pagamentos!$A:$A,A299)=0,"não consta","SIM — contratos: "&amp;COUNTIF(Contratos!$A:$A,A299)&amp;"; pagamentos: "&amp;COUNTIF(Pagamentos!$A:$A,A299)))</f>
        <v/>
      </c>
      <c r="G299" s="27"/>
      <c r="H299" s="5"/>
      <c r="J299" s="5"/>
      <c r="K299" s="41"/>
      <c r="L299" s="14"/>
      <c r="M299" s="5"/>
      <c r="N299" s="35"/>
      <c r="O299" s="27"/>
      <c r="P299" s="39" t="str">
        <f aca="false">IF(OR(J299="",K299=""),"",SUMIFS($N:$N,$J:$J,J299,$K:$K,K299))</f>
        <v/>
      </c>
      <c r="Q299" s="32" t="str">
        <f aca="false">IF(OR(J299="",K299=""),"",IF(COUNTIFS($J:$J,J299,$K:$K,"&lt;"&amp;K299)=0,"",_xlfn.MAXIFS($K:$K,$J:$J,J299,$K:$K,"&lt;"&amp;K299)))</f>
        <v/>
      </c>
      <c r="R299" s="39" t="str">
        <f aca="false">IF(Q299="","",SUMIFS($N:$N,$J:$J,J299,$K:$K,Q299))</f>
        <v/>
      </c>
      <c r="S299" s="37" t="str">
        <f aca="false">IF(OR(R299="",R299=0,P299=""),"",P299/R299-1)</f>
        <v/>
      </c>
    </row>
    <row r="300" customFormat="false" ht="15" hidden="false" customHeight="false" outlineLevel="0" collapsed="false">
      <c r="A300" s="27"/>
      <c r="B300" s="5"/>
      <c r="C300" s="35"/>
      <c r="D300" s="5"/>
      <c r="E300" s="5"/>
      <c r="F300" s="19" t="str">
        <f aca="false">IF(A300="","",IF(COUNTIF(Contratos!$A:$A,A300)+COUNTIF(Pagamentos!$A:$A,A300)=0,"não consta","SIM — contratos: "&amp;COUNTIF(Contratos!$A:$A,A300)&amp;"; pagamentos: "&amp;COUNTIF(Pagamentos!$A:$A,A300)))</f>
        <v/>
      </c>
      <c r="G300" s="27"/>
      <c r="H300" s="5"/>
      <c r="J300" s="5"/>
      <c r="K300" s="41"/>
      <c r="L300" s="14"/>
      <c r="M300" s="5"/>
      <c r="N300" s="35"/>
      <c r="O300" s="27"/>
      <c r="P300" s="39" t="str">
        <f aca="false">IF(OR(J300="",K300=""),"",SUMIFS($N:$N,$J:$J,J300,$K:$K,K300))</f>
        <v/>
      </c>
      <c r="Q300" s="32" t="str">
        <f aca="false">IF(OR(J300="",K300=""),"",IF(COUNTIFS($J:$J,J300,$K:$K,"&lt;"&amp;K300)=0,"",_xlfn.MAXIFS($K:$K,$J:$J,J300,$K:$K,"&lt;"&amp;K300)))</f>
        <v/>
      </c>
      <c r="R300" s="39" t="str">
        <f aca="false">IF(Q300="","",SUMIFS($N:$N,$J:$J,J300,$K:$K,Q300))</f>
        <v/>
      </c>
      <c r="S300" s="37" t="str">
        <f aca="false">IF(OR(R300="",R300=0,P300=""),"",P300/R300-1)</f>
        <v/>
      </c>
    </row>
    <row r="301" customFormat="false" ht="15" hidden="false" customHeight="false" outlineLevel="0" collapsed="false">
      <c r="A301" s="27"/>
      <c r="B301" s="5"/>
      <c r="C301" s="35"/>
      <c r="D301" s="5"/>
      <c r="E301" s="5"/>
      <c r="F301" s="19" t="str">
        <f aca="false">IF(A301="","",IF(COUNTIF(Contratos!$A:$A,A301)+COUNTIF(Pagamentos!$A:$A,A301)=0,"não consta","SIM — contratos: "&amp;COUNTIF(Contratos!$A:$A,A301)&amp;"; pagamentos: "&amp;COUNTIF(Pagamentos!$A:$A,A301)))</f>
        <v/>
      </c>
      <c r="G301" s="27"/>
      <c r="H301" s="5"/>
      <c r="J301" s="5"/>
      <c r="K301" s="41"/>
      <c r="L301" s="14"/>
      <c r="M301" s="5"/>
      <c r="N301" s="35"/>
      <c r="O301" s="27"/>
      <c r="P301" s="39" t="str">
        <f aca="false">IF(OR(J301="",K301=""),"",SUMIFS($N:$N,$J:$J,J301,$K:$K,K301))</f>
        <v/>
      </c>
      <c r="Q301" s="32" t="str">
        <f aca="false">IF(OR(J301="",K301=""),"",IF(COUNTIFS($J:$J,J301,$K:$K,"&lt;"&amp;K301)=0,"",_xlfn.MAXIFS($K:$K,$J:$J,J301,$K:$K,"&lt;"&amp;K301)))</f>
        <v/>
      </c>
      <c r="R301" s="39" t="str">
        <f aca="false">IF(Q301="","",SUMIFS($N:$N,$J:$J,J301,$K:$K,Q301))</f>
        <v/>
      </c>
      <c r="S301" s="37" t="str">
        <f aca="false">IF(OR(R301="",R301=0,P301=""),"",P301/R301-1)</f>
        <v/>
      </c>
    </row>
    <row r="302" customFormat="false" ht="15" hidden="false" customHeight="false" outlineLevel="0" collapsed="false">
      <c r="A302" s="27"/>
      <c r="B302" s="5"/>
      <c r="C302" s="35"/>
      <c r="D302" s="5"/>
      <c r="E302" s="5"/>
      <c r="F302" s="19" t="str">
        <f aca="false">IF(A302="","",IF(COUNTIF(Contratos!$A:$A,A302)+COUNTIF(Pagamentos!$A:$A,A302)=0,"não consta","SIM — contratos: "&amp;COUNTIF(Contratos!$A:$A,A302)&amp;"; pagamentos: "&amp;COUNTIF(Pagamentos!$A:$A,A302)))</f>
        <v/>
      </c>
      <c r="G302" s="27"/>
      <c r="H302" s="5"/>
      <c r="J302" s="5"/>
      <c r="K302" s="41"/>
      <c r="L302" s="14"/>
      <c r="M302" s="5"/>
      <c r="N302" s="35"/>
      <c r="O302" s="27"/>
      <c r="P302" s="39" t="str">
        <f aca="false">IF(OR(J302="",K302=""),"",SUMIFS($N:$N,$J:$J,J302,$K:$K,K302))</f>
        <v/>
      </c>
      <c r="Q302" s="32" t="str">
        <f aca="false">IF(OR(J302="",K302=""),"",IF(COUNTIFS($J:$J,J302,$K:$K,"&lt;"&amp;K302)=0,"",_xlfn.MAXIFS($K:$K,$J:$J,J302,$K:$K,"&lt;"&amp;K302)))</f>
        <v/>
      </c>
      <c r="R302" s="39" t="str">
        <f aca="false">IF(Q302="","",SUMIFS($N:$N,$J:$J,J302,$K:$K,Q302))</f>
        <v/>
      </c>
      <c r="S302" s="37" t="str">
        <f aca="false">IF(OR(R302="",R302=0,P302=""),"",P302/R302-1)</f>
        <v/>
      </c>
    </row>
    <row r="303" customFormat="false" ht="15" hidden="false" customHeight="false" outlineLevel="0" collapsed="false">
      <c r="A303" s="27"/>
      <c r="B303" s="5"/>
      <c r="C303" s="35"/>
      <c r="D303" s="5"/>
      <c r="E303" s="5"/>
      <c r="F303" s="19" t="str">
        <f aca="false">IF(A303="","",IF(COUNTIF(Contratos!$A:$A,A303)+COUNTIF(Pagamentos!$A:$A,A303)=0,"não consta","SIM — contratos: "&amp;COUNTIF(Contratos!$A:$A,A303)&amp;"; pagamentos: "&amp;COUNTIF(Pagamentos!$A:$A,A303)))</f>
        <v/>
      </c>
      <c r="G303" s="27"/>
      <c r="H303" s="5"/>
      <c r="J303" s="5"/>
      <c r="K303" s="41"/>
      <c r="L303" s="14"/>
      <c r="M303" s="5"/>
      <c r="N303" s="35"/>
      <c r="O303" s="27"/>
      <c r="P303" s="39" t="str">
        <f aca="false">IF(OR(J303="",K303=""),"",SUMIFS($N:$N,$J:$J,J303,$K:$K,K303))</f>
        <v/>
      </c>
      <c r="Q303" s="32" t="str">
        <f aca="false">IF(OR(J303="",K303=""),"",IF(COUNTIFS($J:$J,J303,$K:$K,"&lt;"&amp;K303)=0,"",_xlfn.MAXIFS($K:$K,$J:$J,J303,$K:$K,"&lt;"&amp;K303)))</f>
        <v/>
      </c>
      <c r="R303" s="39" t="str">
        <f aca="false">IF(Q303="","",SUMIFS($N:$N,$J:$J,J303,$K:$K,Q303))</f>
        <v/>
      </c>
      <c r="S303" s="37" t="str">
        <f aca="false">IF(OR(R303="",R303=0,P303=""),"",P303/R303-1)</f>
        <v/>
      </c>
    </row>
    <row r="304" customFormat="false" ht="15" hidden="false" customHeight="false" outlineLevel="0" collapsed="false">
      <c r="A304" s="27"/>
      <c r="B304" s="5"/>
      <c r="C304" s="35"/>
      <c r="D304" s="5"/>
      <c r="E304" s="5"/>
      <c r="F304" s="19" t="str">
        <f aca="false">IF(A304="","",IF(COUNTIF(Contratos!$A:$A,A304)+COUNTIF(Pagamentos!$A:$A,A304)=0,"não consta","SIM — contratos: "&amp;COUNTIF(Contratos!$A:$A,A304)&amp;"; pagamentos: "&amp;COUNTIF(Pagamentos!$A:$A,A304)))</f>
        <v/>
      </c>
      <c r="G304" s="27"/>
      <c r="H304" s="5"/>
      <c r="J304" s="5"/>
      <c r="K304" s="41"/>
      <c r="L304" s="14"/>
      <c r="M304" s="5"/>
      <c r="N304" s="35"/>
      <c r="O304" s="27"/>
      <c r="P304" s="39" t="str">
        <f aca="false">IF(OR(J304="",K304=""),"",SUMIFS($N:$N,$J:$J,J304,$K:$K,K304))</f>
        <v/>
      </c>
      <c r="Q304" s="32" t="str">
        <f aca="false">IF(OR(J304="",K304=""),"",IF(COUNTIFS($J:$J,J304,$K:$K,"&lt;"&amp;K304)=0,"",_xlfn.MAXIFS($K:$K,$J:$J,J304,$K:$K,"&lt;"&amp;K304)))</f>
        <v/>
      </c>
      <c r="R304" s="39" t="str">
        <f aca="false">IF(Q304="","",SUMIFS($N:$N,$J:$J,J304,$K:$K,Q304))</f>
        <v/>
      </c>
      <c r="S304" s="37" t="str">
        <f aca="false">IF(OR(R304="",R304=0,P304=""),"",P304/R304-1)</f>
        <v/>
      </c>
    </row>
    <row r="305" customFormat="false" ht="15" hidden="false" customHeight="false" outlineLevel="0" collapsed="false">
      <c r="A305" s="27"/>
      <c r="B305" s="5"/>
      <c r="C305" s="35"/>
      <c r="D305" s="5"/>
      <c r="E305" s="5"/>
      <c r="F305" s="19" t="str">
        <f aca="false">IF(A305="","",IF(COUNTIF(Contratos!$A:$A,A305)+COUNTIF(Pagamentos!$A:$A,A305)=0,"não consta","SIM — contratos: "&amp;COUNTIF(Contratos!$A:$A,A305)&amp;"; pagamentos: "&amp;COUNTIF(Pagamentos!$A:$A,A305)))</f>
        <v/>
      </c>
      <c r="G305" s="27"/>
      <c r="H305" s="5"/>
      <c r="J305" s="5"/>
      <c r="K305" s="41"/>
      <c r="L305" s="14"/>
      <c r="M305" s="5"/>
      <c r="N305" s="35"/>
      <c r="O305" s="27"/>
      <c r="P305" s="39" t="str">
        <f aca="false">IF(OR(J305="",K305=""),"",SUMIFS($N:$N,$J:$J,J305,$K:$K,K305))</f>
        <v/>
      </c>
      <c r="Q305" s="32" t="str">
        <f aca="false">IF(OR(J305="",K305=""),"",IF(COUNTIFS($J:$J,J305,$K:$K,"&lt;"&amp;K305)=0,"",_xlfn.MAXIFS($K:$K,$J:$J,J305,$K:$K,"&lt;"&amp;K305)))</f>
        <v/>
      </c>
      <c r="R305" s="39" t="str">
        <f aca="false">IF(Q305="","",SUMIFS($N:$N,$J:$J,J305,$K:$K,Q305))</f>
        <v/>
      </c>
      <c r="S305" s="37" t="str">
        <f aca="false">IF(OR(R305="",R305=0,P305=""),"",P305/R305-1)</f>
        <v/>
      </c>
    </row>
    <row r="306" customFormat="false" ht="15" hidden="false" customHeight="false" outlineLevel="0" collapsed="false">
      <c r="A306" s="27"/>
      <c r="B306" s="5"/>
      <c r="C306" s="35"/>
      <c r="D306" s="5"/>
      <c r="E306" s="5"/>
      <c r="F306" s="19" t="str">
        <f aca="false">IF(A306="","",IF(COUNTIF(Contratos!$A:$A,A306)+COUNTIF(Pagamentos!$A:$A,A306)=0,"não consta","SIM — contratos: "&amp;COUNTIF(Contratos!$A:$A,A306)&amp;"; pagamentos: "&amp;COUNTIF(Pagamentos!$A:$A,A306)))</f>
        <v/>
      </c>
      <c r="G306" s="27"/>
      <c r="H306" s="5"/>
      <c r="J306" s="5"/>
      <c r="K306" s="41"/>
      <c r="L306" s="14"/>
      <c r="M306" s="5"/>
      <c r="N306" s="35"/>
      <c r="O306" s="27"/>
      <c r="P306" s="39" t="str">
        <f aca="false">IF(OR(J306="",K306=""),"",SUMIFS($N:$N,$J:$J,J306,$K:$K,K306))</f>
        <v/>
      </c>
      <c r="Q306" s="32" t="str">
        <f aca="false">IF(OR(J306="",K306=""),"",IF(COUNTIFS($J:$J,J306,$K:$K,"&lt;"&amp;K306)=0,"",_xlfn.MAXIFS($K:$K,$J:$J,J306,$K:$K,"&lt;"&amp;K306)))</f>
        <v/>
      </c>
      <c r="R306" s="39" t="str">
        <f aca="false">IF(Q306="","",SUMIFS($N:$N,$J:$J,J306,$K:$K,Q306))</f>
        <v/>
      </c>
      <c r="S306" s="37" t="str">
        <f aca="false">IF(OR(R306="",R306=0,P306=""),"",P306/R306-1)</f>
        <v/>
      </c>
    </row>
    <row r="307" customFormat="false" ht="15" hidden="false" customHeight="false" outlineLevel="0" collapsed="false">
      <c r="A307" s="27"/>
      <c r="B307" s="5"/>
      <c r="C307" s="35"/>
      <c r="D307" s="5"/>
      <c r="E307" s="5"/>
      <c r="F307" s="19" t="str">
        <f aca="false">IF(A307="","",IF(COUNTIF(Contratos!$A:$A,A307)+COUNTIF(Pagamentos!$A:$A,A307)=0,"não consta","SIM — contratos: "&amp;COUNTIF(Contratos!$A:$A,A307)&amp;"; pagamentos: "&amp;COUNTIF(Pagamentos!$A:$A,A307)))</f>
        <v/>
      </c>
      <c r="G307" s="27"/>
      <c r="H307" s="5"/>
      <c r="J307" s="5"/>
      <c r="K307" s="41"/>
      <c r="L307" s="14"/>
      <c r="M307" s="5"/>
      <c r="N307" s="35"/>
      <c r="O307" s="27"/>
      <c r="P307" s="39" t="str">
        <f aca="false">IF(OR(J307="",K307=""),"",SUMIFS($N:$N,$J:$J,J307,$K:$K,K307))</f>
        <v/>
      </c>
      <c r="Q307" s="32" t="str">
        <f aca="false">IF(OR(J307="",K307=""),"",IF(COUNTIFS($J:$J,J307,$K:$K,"&lt;"&amp;K307)=0,"",_xlfn.MAXIFS($K:$K,$J:$J,J307,$K:$K,"&lt;"&amp;K307)))</f>
        <v/>
      </c>
      <c r="R307" s="39" t="str">
        <f aca="false">IF(Q307="","",SUMIFS($N:$N,$J:$J,J307,$K:$K,Q307))</f>
        <v/>
      </c>
      <c r="S307" s="37" t="str">
        <f aca="false">IF(OR(R307="",R307=0,P307=""),"",P307/R307-1)</f>
        <v/>
      </c>
    </row>
    <row r="308" customFormat="false" ht="15" hidden="false" customHeight="false" outlineLevel="0" collapsed="false">
      <c r="A308" s="27"/>
      <c r="B308" s="5"/>
      <c r="C308" s="35"/>
      <c r="D308" s="5"/>
      <c r="E308" s="5"/>
      <c r="F308" s="19" t="str">
        <f aca="false">IF(A308="","",IF(COUNTIF(Contratos!$A:$A,A308)+COUNTIF(Pagamentos!$A:$A,A308)=0,"não consta","SIM — contratos: "&amp;COUNTIF(Contratos!$A:$A,A308)&amp;"; pagamentos: "&amp;COUNTIF(Pagamentos!$A:$A,A308)))</f>
        <v/>
      </c>
      <c r="G308" s="27"/>
      <c r="H308" s="5"/>
      <c r="J308" s="5"/>
      <c r="K308" s="41"/>
      <c r="L308" s="14"/>
      <c r="M308" s="5"/>
      <c r="N308" s="35"/>
      <c r="O308" s="27"/>
      <c r="P308" s="39" t="str">
        <f aca="false">IF(OR(J308="",K308=""),"",SUMIFS($N:$N,$J:$J,J308,$K:$K,K308))</f>
        <v/>
      </c>
      <c r="Q308" s="32" t="str">
        <f aca="false">IF(OR(J308="",K308=""),"",IF(COUNTIFS($J:$J,J308,$K:$K,"&lt;"&amp;K308)=0,"",_xlfn.MAXIFS($K:$K,$J:$J,J308,$K:$K,"&lt;"&amp;K308)))</f>
        <v/>
      </c>
      <c r="R308" s="39" t="str">
        <f aca="false">IF(Q308="","",SUMIFS($N:$N,$J:$J,J308,$K:$K,Q308))</f>
        <v/>
      </c>
      <c r="S308" s="37" t="str">
        <f aca="false">IF(OR(R308="",R308=0,P308=""),"",P308/R308-1)</f>
        <v/>
      </c>
    </row>
    <row r="309" customFormat="false" ht="15" hidden="false" customHeight="false" outlineLevel="0" collapsed="false">
      <c r="A309" s="27"/>
      <c r="B309" s="5"/>
      <c r="C309" s="35"/>
      <c r="D309" s="5"/>
      <c r="E309" s="5"/>
      <c r="F309" s="19" t="str">
        <f aca="false">IF(A309="","",IF(COUNTIF(Contratos!$A:$A,A309)+COUNTIF(Pagamentos!$A:$A,A309)=0,"não consta","SIM — contratos: "&amp;COUNTIF(Contratos!$A:$A,A309)&amp;"; pagamentos: "&amp;COUNTIF(Pagamentos!$A:$A,A309)))</f>
        <v/>
      </c>
      <c r="G309" s="27"/>
      <c r="H309" s="5"/>
      <c r="J309" s="5"/>
      <c r="K309" s="41"/>
      <c r="L309" s="14"/>
      <c r="M309" s="5"/>
      <c r="N309" s="35"/>
      <c r="O309" s="27"/>
      <c r="P309" s="39" t="str">
        <f aca="false">IF(OR(J309="",K309=""),"",SUMIFS($N:$N,$J:$J,J309,$K:$K,K309))</f>
        <v/>
      </c>
      <c r="Q309" s="32" t="str">
        <f aca="false">IF(OR(J309="",K309=""),"",IF(COUNTIFS($J:$J,J309,$K:$K,"&lt;"&amp;K309)=0,"",_xlfn.MAXIFS($K:$K,$J:$J,J309,$K:$K,"&lt;"&amp;K309)))</f>
        <v/>
      </c>
      <c r="R309" s="39" t="str">
        <f aca="false">IF(Q309="","",SUMIFS($N:$N,$J:$J,J309,$K:$K,Q309))</f>
        <v/>
      </c>
      <c r="S309" s="37" t="str">
        <f aca="false">IF(OR(R309="",R309=0,P309=""),"",P309/R309-1)</f>
        <v/>
      </c>
    </row>
    <row r="310" customFormat="false" ht="15" hidden="false" customHeight="false" outlineLevel="0" collapsed="false">
      <c r="A310" s="27"/>
      <c r="B310" s="5"/>
      <c r="C310" s="35"/>
      <c r="D310" s="5"/>
      <c r="E310" s="5"/>
      <c r="F310" s="19" t="str">
        <f aca="false">IF(A310="","",IF(COUNTIF(Contratos!$A:$A,A310)+COUNTIF(Pagamentos!$A:$A,A310)=0,"não consta","SIM — contratos: "&amp;COUNTIF(Contratos!$A:$A,A310)&amp;"; pagamentos: "&amp;COUNTIF(Pagamentos!$A:$A,A310)))</f>
        <v/>
      </c>
      <c r="G310" s="27"/>
      <c r="H310" s="5"/>
      <c r="J310" s="5"/>
      <c r="K310" s="41"/>
      <c r="L310" s="14"/>
      <c r="M310" s="5"/>
      <c r="N310" s="35"/>
      <c r="O310" s="27"/>
      <c r="P310" s="39" t="str">
        <f aca="false">IF(OR(J310="",K310=""),"",SUMIFS($N:$N,$J:$J,J310,$K:$K,K310))</f>
        <v/>
      </c>
      <c r="Q310" s="32" t="str">
        <f aca="false">IF(OR(J310="",K310=""),"",IF(COUNTIFS($J:$J,J310,$K:$K,"&lt;"&amp;K310)=0,"",_xlfn.MAXIFS($K:$K,$J:$J,J310,$K:$K,"&lt;"&amp;K310)))</f>
        <v/>
      </c>
      <c r="R310" s="39" t="str">
        <f aca="false">IF(Q310="","",SUMIFS($N:$N,$J:$J,J310,$K:$K,Q310))</f>
        <v/>
      </c>
      <c r="S310" s="37" t="str">
        <f aca="false">IF(OR(R310="",R310=0,P310=""),"",P310/R310-1)</f>
        <v/>
      </c>
    </row>
    <row r="311" customFormat="false" ht="15" hidden="false" customHeight="false" outlineLevel="0" collapsed="false">
      <c r="A311" s="27"/>
      <c r="B311" s="5"/>
      <c r="C311" s="35"/>
      <c r="D311" s="5"/>
      <c r="E311" s="5"/>
      <c r="F311" s="19" t="str">
        <f aca="false">IF(A311="","",IF(COUNTIF(Contratos!$A:$A,A311)+COUNTIF(Pagamentos!$A:$A,A311)=0,"não consta","SIM — contratos: "&amp;COUNTIF(Contratos!$A:$A,A311)&amp;"; pagamentos: "&amp;COUNTIF(Pagamentos!$A:$A,A311)))</f>
        <v/>
      </c>
      <c r="G311" s="27"/>
      <c r="H311" s="5"/>
      <c r="J311" s="5"/>
      <c r="K311" s="41"/>
      <c r="L311" s="14"/>
      <c r="M311" s="5"/>
      <c r="N311" s="35"/>
      <c r="O311" s="27"/>
      <c r="P311" s="39" t="str">
        <f aca="false">IF(OR(J311="",K311=""),"",SUMIFS($N:$N,$J:$J,J311,$K:$K,K311))</f>
        <v/>
      </c>
      <c r="Q311" s="32" t="str">
        <f aca="false">IF(OR(J311="",K311=""),"",IF(COUNTIFS($J:$J,J311,$K:$K,"&lt;"&amp;K311)=0,"",_xlfn.MAXIFS($K:$K,$J:$J,J311,$K:$K,"&lt;"&amp;K311)))</f>
        <v/>
      </c>
      <c r="R311" s="39" t="str">
        <f aca="false">IF(Q311="","",SUMIFS($N:$N,$J:$J,J311,$K:$K,Q311))</f>
        <v/>
      </c>
      <c r="S311" s="37" t="str">
        <f aca="false">IF(OR(R311="",R311=0,P311=""),"",P311/R311-1)</f>
        <v/>
      </c>
    </row>
    <row r="312" customFormat="false" ht="15" hidden="false" customHeight="false" outlineLevel="0" collapsed="false">
      <c r="A312" s="27"/>
      <c r="B312" s="5"/>
      <c r="C312" s="35"/>
      <c r="D312" s="5"/>
      <c r="E312" s="5"/>
      <c r="F312" s="19" t="str">
        <f aca="false">IF(A312="","",IF(COUNTIF(Contratos!$A:$A,A312)+COUNTIF(Pagamentos!$A:$A,A312)=0,"não consta","SIM — contratos: "&amp;COUNTIF(Contratos!$A:$A,A312)&amp;"; pagamentos: "&amp;COUNTIF(Pagamentos!$A:$A,A312)))</f>
        <v/>
      </c>
      <c r="G312" s="27"/>
      <c r="H312" s="5"/>
      <c r="J312" s="5"/>
      <c r="K312" s="41"/>
      <c r="L312" s="14"/>
      <c r="M312" s="5"/>
      <c r="N312" s="35"/>
      <c r="O312" s="27"/>
      <c r="P312" s="39" t="str">
        <f aca="false">IF(OR(J312="",K312=""),"",SUMIFS($N:$N,$J:$J,J312,$K:$K,K312))</f>
        <v/>
      </c>
      <c r="Q312" s="32" t="str">
        <f aca="false">IF(OR(J312="",K312=""),"",IF(COUNTIFS($J:$J,J312,$K:$K,"&lt;"&amp;K312)=0,"",_xlfn.MAXIFS($K:$K,$J:$J,J312,$K:$K,"&lt;"&amp;K312)))</f>
        <v/>
      </c>
      <c r="R312" s="39" t="str">
        <f aca="false">IF(Q312="","",SUMIFS($N:$N,$J:$J,J312,$K:$K,Q312))</f>
        <v/>
      </c>
      <c r="S312" s="37" t="str">
        <f aca="false">IF(OR(R312="",R312=0,P312=""),"",P312/R312-1)</f>
        <v/>
      </c>
    </row>
    <row r="313" customFormat="false" ht="15" hidden="false" customHeight="false" outlineLevel="0" collapsed="false">
      <c r="A313" s="27"/>
      <c r="B313" s="5"/>
      <c r="C313" s="35"/>
      <c r="D313" s="5"/>
      <c r="E313" s="5"/>
      <c r="F313" s="19" t="str">
        <f aca="false">IF(A313="","",IF(COUNTIF(Contratos!$A:$A,A313)+COUNTIF(Pagamentos!$A:$A,A313)=0,"não consta","SIM — contratos: "&amp;COUNTIF(Contratos!$A:$A,A313)&amp;"; pagamentos: "&amp;COUNTIF(Pagamentos!$A:$A,A313)))</f>
        <v/>
      </c>
      <c r="G313" s="27"/>
      <c r="H313" s="5"/>
      <c r="J313" s="5"/>
      <c r="K313" s="41"/>
      <c r="L313" s="14"/>
      <c r="M313" s="5"/>
      <c r="N313" s="35"/>
      <c r="O313" s="27"/>
      <c r="P313" s="39" t="str">
        <f aca="false">IF(OR(J313="",K313=""),"",SUMIFS($N:$N,$J:$J,J313,$K:$K,K313))</f>
        <v/>
      </c>
      <c r="Q313" s="32" t="str">
        <f aca="false">IF(OR(J313="",K313=""),"",IF(COUNTIFS($J:$J,J313,$K:$K,"&lt;"&amp;K313)=0,"",_xlfn.MAXIFS($K:$K,$J:$J,J313,$K:$K,"&lt;"&amp;K313)))</f>
        <v/>
      </c>
      <c r="R313" s="39" t="str">
        <f aca="false">IF(Q313="","",SUMIFS($N:$N,$J:$J,J313,$K:$K,Q313))</f>
        <v/>
      </c>
      <c r="S313" s="37" t="str">
        <f aca="false">IF(OR(R313="",R313=0,P313=""),"",P313/R313-1)</f>
        <v/>
      </c>
    </row>
    <row r="314" customFormat="false" ht="15" hidden="false" customHeight="false" outlineLevel="0" collapsed="false">
      <c r="A314" s="27"/>
      <c r="B314" s="5"/>
      <c r="C314" s="35"/>
      <c r="D314" s="5"/>
      <c r="E314" s="5"/>
      <c r="F314" s="19" t="str">
        <f aca="false">IF(A314="","",IF(COUNTIF(Contratos!$A:$A,A314)+COUNTIF(Pagamentos!$A:$A,A314)=0,"não consta","SIM — contratos: "&amp;COUNTIF(Contratos!$A:$A,A314)&amp;"; pagamentos: "&amp;COUNTIF(Pagamentos!$A:$A,A314)))</f>
        <v/>
      </c>
      <c r="G314" s="27"/>
      <c r="H314" s="5"/>
      <c r="J314" s="5"/>
      <c r="K314" s="41"/>
      <c r="L314" s="14"/>
      <c r="M314" s="5"/>
      <c r="N314" s="35"/>
      <c r="O314" s="27"/>
      <c r="P314" s="39" t="str">
        <f aca="false">IF(OR(J314="",K314=""),"",SUMIFS($N:$N,$J:$J,J314,$K:$K,K314))</f>
        <v/>
      </c>
      <c r="Q314" s="32" t="str">
        <f aca="false">IF(OR(J314="",K314=""),"",IF(COUNTIFS($J:$J,J314,$K:$K,"&lt;"&amp;K314)=0,"",_xlfn.MAXIFS($K:$K,$J:$J,J314,$K:$K,"&lt;"&amp;K314)))</f>
        <v/>
      </c>
      <c r="R314" s="39" t="str">
        <f aca="false">IF(Q314="","",SUMIFS($N:$N,$J:$J,J314,$K:$K,Q314))</f>
        <v/>
      </c>
      <c r="S314" s="37" t="str">
        <f aca="false">IF(OR(R314="",R314=0,P314=""),"",P314/R314-1)</f>
        <v/>
      </c>
    </row>
    <row r="315" customFormat="false" ht="15" hidden="false" customHeight="false" outlineLevel="0" collapsed="false">
      <c r="A315" s="27"/>
      <c r="B315" s="5"/>
      <c r="C315" s="35"/>
      <c r="D315" s="5"/>
      <c r="E315" s="5"/>
      <c r="F315" s="19" t="str">
        <f aca="false">IF(A315="","",IF(COUNTIF(Contratos!$A:$A,A315)+COUNTIF(Pagamentos!$A:$A,A315)=0,"não consta","SIM — contratos: "&amp;COUNTIF(Contratos!$A:$A,A315)&amp;"; pagamentos: "&amp;COUNTIF(Pagamentos!$A:$A,A315)))</f>
        <v/>
      </c>
      <c r="G315" s="27"/>
      <c r="H315" s="5"/>
      <c r="J315" s="5"/>
      <c r="K315" s="41"/>
      <c r="L315" s="14"/>
      <c r="M315" s="5"/>
      <c r="N315" s="35"/>
      <c r="O315" s="27"/>
      <c r="P315" s="39" t="str">
        <f aca="false">IF(OR(J315="",K315=""),"",SUMIFS($N:$N,$J:$J,J315,$K:$K,K315))</f>
        <v/>
      </c>
      <c r="Q315" s="32" t="str">
        <f aca="false">IF(OR(J315="",K315=""),"",IF(COUNTIFS($J:$J,J315,$K:$K,"&lt;"&amp;K315)=0,"",_xlfn.MAXIFS($K:$K,$J:$J,J315,$K:$K,"&lt;"&amp;K315)))</f>
        <v/>
      </c>
      <c r="R315" s="39" t="str">
        <f aca="false">IF(Q315="","",SUMIFS($N:$N,$J:$J,J315,$K:$K,Q315))</f>
        <v/>
      </c>
      <c r="S315" s="37" t="str">
        <f aca="false">IF(OR(R315="",R315=0,P315=""),"",P315/R315-1)</f>
        <v/>
      </c>
    </row>
    <row r="316" customFormat="false" ht="15" hidden="false" customHeight="false" outlineLevel="0" collapsed="false">
      <c r="A316" s="27"/>
      <c r="B316" s="5"/>
      <c r="C316" s="35"/>
      <c r="D316" s="5"/>
      <c r="E316" s="5"/>
      <c r="F316" s="19" t="str">
        <f aca="false">IF(A316="","",IF(COUNTIF(Contratos!$A:$A,A316)+COUNTIF(Pagamentos!$A:$A,A316)=0,"não consta","SIM — contratos: "&amp;COUNTIF(Contratos!$A:$A,A316)&amp;"; pagamentos: "&amp;COUNTIF(Pagamentos!$A:$A,A316)))</f>
        <v/>
      </c>
      <c r="G316" s="27"/>
      <c r="H316" s="5"/>
      <c r="J316" s="5"/>
      <c r="K316" s="41"/>
      <c r="L316" s="14"/>
      <c r="M316" s="5"/>
      <c r="N316" s="35"/>
      <c r="O316" s="27"/>
      <c r="P316" s="39" t="str">
        <f aca="false">IF(OR(J316="",K316=""),"",SUMIFS($N:$N,$J:$J,J316,$K:$K,K316))</f>
        <v/>
      </c>
      <c r="Q316" s="32" t="str">
        <f aca="false">IF(OR(J316="",K316=""),"",IF(COUNTIFS($J:$J,J316,$K:$K,"&lt;"&amp;K316)=0,"",_xlfn.MAXIFS($K:$K,$J:$J,J316,$K:$K,"&lt;"&amp;K316)))</f>
        <v/>
      </c>
      <c r="R316" s="39" t="str">
        <f aca="false">IF(Q316="","",SUMIFS($N:$N,$J:$J,J316,$K:$K,Q316))</f>
        <v/>
      </c>
      <c r="S316" s="37" t="str">
        <f aca="false">IF(OR(R316="",R316=0,P316=""),"",P316/R316-1)</f>
        <v/>
      </c>
    </row>
    <row r="317" customFormat="false" ht="15" hidden="false" customHeight="false" outlineLevel="0" collapsed="false">
      <c r="A317" s="27"/>
      <c r="B317" s="5"/>
      <c r="C317" s="35"/>
      <c r="D317" s="5"/>
      <c r="E317" s="5"/>
      <c r="F317" s="19" t="str">
        <f aca="false">IF(A317="","",IF(COUNTIF(Contratos!$A:$A,A317)+COUNTIF(Pagamentos!$A:$A,A317)=0,"não consta","SIM — contratos: "&amp;COUNTIF(Contratos!$A:$A,A317)&amp;"; pagamentos: "&amp;COUNTIF(Pagamentos!$A:$A,A317)))</f>
        <v/>
      </c>
      <c r="G317" s="27"/>
      <c r="H317" s="5"/>
      <c r="J317" s="5"/>
      <c r="K317" s="41"/>
      <c r="L317" s="14"/>
      <c r="M317" s="5"/>
      <c r="N317" s="35"/>
      <c r="O317" s="27"/>
      <c r="P317" s="39" t="str">
        <f aca="false">IF(OR(J317="",K317=""),"",SUMIFS($N:$N,$J:$J,J317,$K:$K,K317))</f>
        <v/>
      </c>
      <c r="Q317" s="32" t="str">
        <f aca="false">IF(OR(J317="",K317=""),"",IF(COUNTIFS($J:$J,J317,$K:$K,"&lt;"&amp;K317)=0,"",_xlfn.MAXIFS($K:$K,$J:$J,J317,$K:$K,"&lt;"&amp;K317)))</f>
        <v/>
      </c>
      <c r="R317" s="39" t="str">
        <f aca="false">IF(Q317="","",SUMIFS($N:$N,$J:$J,J317,$K:$K,Q317))</f>
        <v/>
      </c>
      <c r="S317" s="37" t="str">
        <f aca="false">IF(OR(R317="",R317=0,P317=""),"",P317/R317-1)</f>
        <v/>
      </c>
    </row>
    <row r="318" customFormat="false" ht="15" hidden="false" customHeight="false" outlineLevel="0" collapsed="false">
      <c r="A318" s="27"/>
      <c r="B318" s="5"/>
      <c r="C318" s="35"/>
      <c r="D318" s="5"/>
      <c r="E318" s="5"/>
      <c r="F318" s="19" t="str">
        <f aca="false">IF(A318="","",IF(COUNTIF(Contratos!$A:$A,A318)+COUNTIF(Pagamentos!$A:$A,A318)=0,"não consta","SIM — contratos: "&amp;COUNTIF(Contratos!$A:$A,A318)&amp;"; pagamentos: "&amp;COUNTIF(Pagamentos!$A:$A,A318)))</f>
        <v/>
      </c>
      <c r="G318" s="27"/>
      <c r="H318" s="5"/>
      <c r="J318" s="5"/>
      <c r="K318" s="41"/>
      <c r="L318" s="14"/>
      <c r="M318" s="5"/>
      <c r="N318" s="35"/>
      <c r="O318" s="27"/>
      <c r="P318" s="39" t="str">
        <f aca="false">IF(OR(J318="",K318=""),"",SUMIFS($N:$N,$J:$J,J318,$K:$K,K318))</f>
        <v/>
      </c>
      <c r="Q318" s="32" t="str">
        <f aca="false">IF(OR(J318="",K318=""),"",IF(COUNTIFS($J:$J,J318,$K:$K,"&lt;"&amp;K318)=0,"",_xlfn.MAXIFS($K:$K,$J:$J,J318,$K:$K,"&lt;"&amp;K318)))</f>
        <v/>
      </c>
      <c r="R318" s="39" t="str">
        <f aca="false">IF(Q318="","",SUMIFS($N:$N,$J:$J,J318,$K:$K,Q318))</f>
        <v/>
      </c>
      <c r="S318" s="37" t="str">
        <f aca="false">IF(OR(R318="",R318=0,P318=""),"",P318/R318-1)</f>
        <v/>
      </c>
    </row>
    <row r="319" customFormat="false" ht="15" hidden="false" customHeight="false" outlineLevel="0" collapsed="false">
      <c r="A319" s="27"/>
      <c r="B319" s="5"/>
      <c r="C319" s="35"/>
      <c r="D319" s="5"/>
      <c r="E319" s="5"/>
      <c r="F319" s="19" t="str">
        <f aca="false">IF(A319="","",IF(COUNTIF(Contratos!$A:$A,A319)+COUNTIF(Pagamentos!$A:$A,A319)=0,"não consta","SIM — contratos: "&amp;COUNTIF(Contratos!$A:$A,A319)&amp;"; pagamentos: "&amp;COUNTIF(Pagamentos!$A:$A,A319)))</f>
        <v/>
      </c>
      <c r="G319" s="27"/>
      <c r="H319" s="5"/>
      <c r="J319" s="5"/>
      <c r="K319" s="41"/>
      <c r="L319" s="14"/>
      <c r="M319" s="5"/>
      <c r="N319" s="35"/>
      <c r="O319" s="27"/>
      <c r="P319" s="39" t="str">
        <f aca="false">IF(OR(J319="",K319=""),"",SUMIFS($N:$N,$J:$J,J319,$K:$K,K319))</f>
        <v/>
      </c>
      <c r="Q319" s="32" t="str">
        <f aca="false">IF(OR(J319="",K319=""),"",IF(COUNTIFS($J:$J,J319,$K:$K,"&lt;"&amp;K319)=0,"",_xlfn.MAXIFS($K:$K,$J:$J,J319,$K:$K,"&lt;"&amp;K319)))</f>
        <v/>
      </c>
      <c r="R319" s="39" t="str">
        <f aca="false">IF(Q319="","",SUMIFS($N:$N,$J:$J,J319,$K:$K,Q319))</f>
        <v/>
      </c>
      <c r="S319" s="37" t="str">
        <f aca="false">IF(OR(R319="",R319=0,P319=""),"",P319/R319-1)</f>
        <v/>
      </c>
    </row>
    <row r="320" customFormat="false" ht="15" hidden="false" customHeight="false" outlineLevel="0" collapsed="false">
      <c r="A320" s="27"/>
      <c r="B320" s="5"/>
      <c r="C320" s="35"/>
      <c r="D320" s="5"/>
      <c r="E320" s="5"/>
      <c r="F320" s="19" t="str">
        <f aca="false">IF(A320="","",IF(COUNTIF(Contratos!$A:$A,A320)+COUNTIF(Pagamentos!$A:$A,A320)=0,"não consta","SIM — contratos: "&amp;COUNTIF(Contratos!$A:$A,A320)&amp;"; pagamentos: "&amp;COUNTIF(Pagamentos!$A:$A,A320)))</f>
        <v/>
      </c>
      <c r="G320" s="27"/>
      <c r="H320" s="5"/>
      <c r="J320" s="5"/>
      <c r="K320" s="41"/>
      <c r="L320" s="14"/>
      <c r="M320" s="5"/>
      <c r="N320" s="35"/>
      <c r="O320" s="27"/>
      <c r="P320" s="39" t="str">
        <f aca="false">IF(OR(J320="",K320=""),"",SUMIFS($N:$N,$J:$J,J320,$K:$K,K320))</f>
        <v/>
      </c>
      <c r="Q320" s="32" t="str">
        <f aca="false">IF(OR(J320="",K320=""),"",IF(COUNTIFS($J:$J,J320,$K:$K,"&lt;"&amp;K320)=0,"",_xlfn.MAXIFS($K:$K,$J:$J,J320,$K:$K,"&lt;"&amp;K320)))</f>
        <v/>
      </c>
      <c r="R320" s="39" t="str">
        <f aca="false">IF(Q320="","",SUMIFS($N:$N,$J:$J,J320,$K:$K,Q320))</f>
        <v/>
      </c>
      <c r="S320" s="37" t="str">
        <f aca="false">IF(OR(R320="",R320=0,P320=""),"",P320/R320-1)</f>
        <v/>
      </c>
    </row>
    <row r="321" customFormat="false" ht="15" hidden="false" customHeight="false" outlineLevel="0" collapsed="false">
      <c r="A321" s="27"/>
      <c r="B321" s="5"/>
      <c r="C321" s="35"/>
      <c r="D321" s="5"/>
      <c r="E321" s="5"/>
      <c r="F321" s="19" t="str">
        <f aca="false">IF(A321="","",IF(COUNTIF(Contratos!$A:$A,A321)+COUNTIF(Pagamentos!$A:$A,A321)=0,"não consta","SIM — contratos: "&amp;COUNTIF(Contratos!$A:$A,A321)&amp;"; pagamentos: "&amp;COUNTIF(Pagamentos!$A:$A,A321)))</f>
        <v/>
      </c>
      <c r="G321" s="27"/>
      <c r="H321" s="5"/>
      <c r="J321" s="5"/>
      <c r="K321" s="41"/>
      <c r="L321" s="14"/>
      <c r="M321" s="5"/>
      <c r="N321" s="35"/>
      <c r="O321" s="27"/>
      <c r="P321" s="39" t="str">
        <f aca="false">IF(OR(J321="",K321=""),"",SUMIFS($N:$N,$J:$J,J321,$K:$K,K321))</f>
        <v/>
      </c>
      <c r="Q321" s="32" t="str">
        <f aca="false">IF(OR(J321="",K321=""),"",IF(COUNTIFS($J:$J,J321,$K:$K,"&lt;"&amp;K321)=0,"",_xlfn.MAXIFS($K:$K,$J:$J,J321,$K:$K,"&lt;"&amp;K321)))</f>
        <v/>
      </c>
      <c r="R321" s="39" t="str">
        <f aca="false">IF(Q321="","",SUMIFS($N:$N,$J:$J,J321,$K:$K,Q321))</f>
        <v/>
      </c>
      <c r="S321" s="37" t="str">
        <f aca="false">IF(OR(R321="",R321=0,P321=""),"",P321/R321-1)</f>
        <v/>
      </c>
    </row>
    <row r="322" customFormat="false" ht="15" hidden="false" customHeight="false" outlineLevel="0" collapsed="false">
      <c r="A322" s="27"/>
      <c r="B322" s="5"/>
      <c r="C322" s="35"/>
      <c r="D322" s="5"/>
      <c r="E322" s="5"/>
      <c r="F322" s="19" t="str">
        <f aca="false">IF(A322="","",IF(COUNTIF(Contratos!$A:$A,A322)+COUNTIF(Pagamentos!$A:$A,A322)=0,"não consta","SIM — contratos: "&amp;COUNTIF(Contratos!$A:$A,A322)&amp;"; pagamentos: "&amp;COUNTIF(Pagamentos!$A:$A,A322)))</f>
        <v/>
      </c>
      <c r="G322" s="27"/>
      <c r="H322" s="5"/>
      <c r="J322" s="5"/>
      <c r="K322" s="41"/>
      <c r="L322" s="14"/>
      <c r="M322" s="5"/>
      <c r="N322" s="35"/>
      <c r="O322" s="27"/>
      <c r="P322" s="39" t="str">
        <f aca="false">IF(OR(J322="",K322=""),"",SUMIFS($N:$N,$J:$J,J322,$K:$K,K322))</f>
        <v/>
      </c>
      <c r="Q322" s="32" t="str">
        <f aca="false">IF(OR(J322="",K322=""),"",IF(COUNTIFS($J:$J,J322,$K:$K,"&lt;"&amp;K322)=0,"",_xlfn.MAXIFS($K:$K,$J:$J,J322,$K:$K,"&lt;"&amp;K322)))</f>
        <v/>
      </c>
      <c r="R322" s="39" t="str">
        <f aca="false">IF(Q322="","",SUMIFS($N:$N,$J:$J,J322,$K:$K,Q322))</f>
        <v/>
      </c>
      <c r="S322" s="37" t="str">
        <f aca="false">IF(OR(R322="",R322=0,P322=""),"",P322/R322-1)</f>
        <v/>
      </c>
    </row>
    <row r="323" customFormat="false" ht="15" hidden="false" customHeight="false" outlineLevel="0" collapsed="false">
      <c r="A323" s="27"/>
      <c r="B323" s="5"/>
      <c r="C323" s="35"/>
      <c r="D323" s="5"/>
      <c r="E323" s="5"/>
      <c r="F323" s="19" t="str">
        <f aca="false">IF(A323="","",IF(COUNTIF(Contratos!$A:$A,A323)+COUNTIF(Pagamentos!$A:$A,A323)=0,"não consta","SIM — contratos: "&amp;COUNTIF(Contratos!$A:$A,A323)&amp;"; pagamentos: "&amp;COUNTIF(Pagamentos!$A:$A,A323)))</f>
        <v/>
      </c>
      <c r="G323" s="27"/>
      <c r="H323" s="5"/>
      <c r="J323" s="5"/>
      <c r="K323" s="41"/>
      <c r="L323" s="14"/>
      <c r="M323" s="5"/>
      <c r="N323" s="35"/>
      <c r="O323" s="27"/>
      <c r="P323" s="39" t="str">
        <f aca="false">IF(OR(J323="",K323=""),"",SUMIFS($N:$N,$J:$J,J323,$K:$K,K323))</f>
        <v/>
      </c>
      <c r="Q323" s="32" t="str">
        <f aca="false">IF(OR(J323="",K323=""),"",IF(COUNTIFS($J:$J,J323,$K:$K,"&lt;"&amp;K323)=0,"",_xlfn.MAXIFS($K:$K,$J:$J,J323,$K:$K,"&lt;"&amp;K323)))</f>
        <v/>
      </c>
      <c r="R323" s="39" t="str">
        <f aca="false">IF(Q323="","",SUMIFS($N:$N,$J:$J,J323,$K:$K,Q323))</f>
        <v/>
      </c>
      <c r="S323" s="37" t="str">
        <f aca="false">IF(OR(R323="",R323=0,P323=""),"",P323/R323-1)</f>
        <v/>
      </c>
    </row>
    <row r="324" customFormat="false" ht="15" hidden="false" customHeight="false" outlineLevel="0" collapsed="false">
      <c r="A324" s="27"/>
      <c r="B324" s="5"/>
      <c r="C324" s="35"/>
      <c r="D324" s="5"/>
      <c r="E324" s="5"/>
      <c r="F324" s="19" t="str">
        <f aca="false">IF(A324="","",IF(COUNTIF(Contratos!$A:$A,A324)+COUNTIF(Pagamentos!$A:$A,A324)=0,"não consta","SIM — contratos: "&amp;COUNTIF(Contratos!$A:$A,A324)&amp;"; pagamentos: "&amp;COUNTIF(Pagamentos!$A:$A,A324)))</f>
        <v/>
      </c>
      <c r="G324" s="27"/>
      <c r="H324" s="5"/>
      <c r="J324" s="5"/>
      <c r="K324" s="41"/>
      <c r="L324" s="14"/>
      <c r="M324" s="5"/>
      <c r="N324" s="35"/>
      <c r="O324" s="27"/>
      <c r="P324" s="39" t="str">
        <f aca="false">IF(OR(J324="",K324=""),"",SUMIFS($N:$N,$J:$J,J324,$K:$K,K324))</f>
        <v/>
      </c>
      <c r="Q324" s="32" t="str">
        <f aca="false">IF(OR(J324="",K324=""),"",IF(COUNTIFS($J:$J,J324,$K:$K,"&lt;"&amp;K324)=0,"",_xlfn.MAXIFS($K:$K,$J:$J,J324,$K:$K,"&lt;"&amp;K324)))</f>
        <v/>
      </c>
      <c r="R324" s="39" t="str">
        <f aca="false">IF(Q324="","",SUMIFS($N:$N,$J:$J,J324,$K:$K,Q324))</f>
        <v/>
      </c>
      <c r="S324" s="37" t="str">
        <f aca="false">IF(OR(R324="",R324=0,P324=""),"",P324/R324-1)</f>
        <v/>
      </c>
    </row>
    <row r="325" customFormat="false" ht="15" hidden="false" customHeight="false" outlineLevel="0" collapsed="false">
      <c r="A325" s="27"/>
      <c r="B325" s="5"/>
      <c r="C325" s="35"/>
      <c r="D325" s="5"/>
      <c r="E325" s="5"/>
      <c r="F325" s="19" t="str">
        <f aca="false">IF(A325="","",IF(COUNTIF(Contratos!$A:$A,A325)+COUNTIF(Pagamentos!$A:$A,A325)=0,"não consta","SIM — contratos: "&amp;COUNTIF(Contratos!$A:$A,A325)&amp;"; pagamentos: "&amp;COUNTIF(Pagamentos!$A:$A,A325)))</f>
        <v/>
      </c>
      <c r="G325" s="27"/>
      <c r="H325" s="5"/>
      <c r="J325" s="5"/>
      <c r="K325" s="41"/>
      <c r="L325" s="14"/>
      <c r="M325" s="5"/>
      <c r="N325" s="35"/>
      <c r="O325" s="27"/>
      <c r="P325" s="39" t="str">
        <f aca="false">IF(OR(J325="",K325=""),"",SUMIFS($N:$N,$J:$J,J325,$K:$K,K325))</f>
        <v/>
      </c>
      <c r="Q325" s="32" t="str">
        <f aca="false">IF(OR(J325="",K325=""),"",IF(COUNTIFS($J:$J,J325,$K:$K,"&lt;"&amp;K325)=0,"",_xlfn.MAXIFS($K:$K,$J:$J,J325,$K:$K,"&lt;"&amp;K325)))</f>
        <v/>
      </c>
      <c r="R325" s="39" t="str">
        <f aca="false">IF(Q325="","",SUMIFS($N:$N,$J:$J,J325,$K:$K,Q325))</f>
        <v/>
      </c>
      <c r="S325" s="37" t="str">
        <f aca="false">IF(OR(R325="",R325=0,P325=""),"",P325/R325-1)</f>
        <v/>
      </c>
    </row>
    <row r="326" customFormat="false" ht="15" hidden="false" customHeight="false" outlineLevel="0" collapsed="false">
      <c r="A326" s="27"/>
      <c r="B326" s="5"/>
      <c r="C326" s="35"/>
      <c r="D326" s="5"/>
      <c r="E326" s="5"/>
      <c r="F326" s="19" t="str">
        <f aca="false">IF(A326="","",IF(COUNTIF(Contratos!$A:$A,A326)+COUNTIF(Pagamentos!$A:$A,A326)=0,"não consta","SIM — contratos: "&amp;COUNTIF(Contratos!$A:$A,A326)&amp;"; pagamentos: "&amp;COUNTIF(Pagamentos!$A:$A,A326)))</f>
        <v/>
      </c>
      <c r="G326" s="27"/>
      <c r="H326" s="5"/>
      <c r="J326" s="5"/>
      <c r="K326" s="41"/>
      <c r="L326" s="14"/>
      <c r="M326" s="5"/>
      <c r="N326" s="35"/>
      <c r="O326" s="27"/>
      <c r="P326" s="39" t="str">
        <f aca="false">IF(OR(J326="",K326=""),"",SUMIFS($N:$N,$J:$J,J326,$K:$K,K326))</f>
        <v/>
      </c>
      <c r="Q326" s="32" t="str">
        <f aca="false">IF(OR(J326="",K326=""),"",IF(COUNTIFS($J:$J,J326,$K:$K,"&lt;"&amp;K326)=0,"",_xlfn.MAXIFS($K:$K,$J:$J,J326,$K:$K,"&lt;"&amp;K326)))</f>
        <v/>
      </c>
      <c r="R326" s="39" t="str">
        <f aca="false">IF(Q326="","",SUMIFS($N:$N,$J:$J,J326,$K:$K,Q326))</f>
        <v/>
      </c>
      <c r="S326" s="37" t="str">
        <f aca="false">IF(OR(R326="",R326=0,P326=""),"",P326/R326-1)</f>
        <v/>
      </c>
    </row>
    <row r="327" customFormat="false" ht="15" hidden="false" customHeight="false" outlineLevel="0" collapsed="false">
      <c r="A327" s="27"/>
      <c r="B327" s="5"/>
      <c r="C327" s="35"/>
      <c r="D327" s="5"/>
      <c r="E327" s="5"/>
      <c r="F327" s="19" t="str">
        <f aca="false">IF(A327="","",IF(COUNTIF(Contratos!$A:$A,A327)+COUNTIF(Pagamentos!$A:$A,A327)=0,"não consta","SIM — contratos: "&amp;COUNTIF(Contratos!$A:$A,A327)&amp;"; pagamentos: "&amp;COUNTIF(Pagamentos!$A:$A,A327)))</f>
        <v/>
      </c>
      <c r="G327" s="27"/>
      <c r="H327" s="5"/>
      <c r="J327" s="5"/>
      <c r="K327" s="41"/>
      <c r="L327" s="14"/>
      <c r="M327" s="5"/>
      <c r="N327" s="35"/>
      <c r="O327" s="27"/>
      <c r="P327" s="39" t="str">
        <f aca="false">IF(OR(J327="",K327=""),"",SUMIFS($N:$N,$J:$J,J327,$K:$K,K327))</f>
        <v/>
      </c>
      <c r="Q327" s="32" t="str">
        <f aca="false">IF(OR(J327="",K327=""),"",IF(COUNTIFS($J:$J,J327,$K:$K,"&lt;"&amp;K327)=0,"",_xlfn.MAXIFS($K:$K,$J:$J,J327,$K:$K,"&lt;"&amp;K327)))</f>
        <v/>
      </c>
      <c r="R327" s="39" t="str">
        <f aca="false">IF(Q327="","",SUMIFS($N:$N,$J:$J,J327,$K:$K,Q327))</f>
        <v/>
      </c>
      <c r="S327" s="37" t="str">
        <f aca="false">IF(OR(R327="",R327=0,P327=""),"",P327/R327-1)</f>
        <v/>
      </c>
    </row>
    <row r="328" customFormat="false" ht="15" hidden="false" customHeight="false" outlineLevel="0" collapsed="false">
      <c r="A328" s="27"/>
      <c r="B328" s="5"/>
      <c r="C328" s="35"/>
      <c r="D328" s="5"/>
      <c r="E328" s="5"/>
      <c r="F328" s="19" t="str">
        <f aca="false">IF(A328="","",IF(COUNTIF(Contratos!$A:$A,A328)+COUNTIF(Pagamentos!$A:$A,A328)=0,"não consta","SIM — contratos: "&amp;COUNTIF(Contratos!$A:$A,A328)&amp;"; pagamentos: "&amp;COUNTIF(Pagamentos!$A:$A,A328)))</f>
        <v/>
      </c>
      <c r="G328" s="27"/>
      <c r="H328" s="5"/>
      <c r="J328" s="5"/>
      <c r="K328" s="41"/>
      <c r="L328" s="14"/>
      <c r="M328" s="5"/>
      <c r="N328" s="35"/>
      <c r="O328" s="27"/>
      <c r="P328" s="39" t="str">
        <f aca="false">IF(OR(J328="",K328=""),"",SUMIFS($N:$N,$J:$J,J328,$K:$K,K328))</f>
        <v/>
      </c>
      <c r="Q328" s="32" t="str">
        <f aca="false">IF(OR(J328="",K328=""),"",IF(COUNTIFS($J:$J,J328,$K:$K,"&lt;"&amp;K328)=0,"",_xlfn.MAXIFS($K:$K,$J:$J,J328,$K:$K,"&lt;"&amp;K328)))</f>
        <v/>
      </c>
      <c r="R328" s="39" t="str">
        <f aca="false">IF(Q328="","",SUMIFS($N:$N,$J:$J,J328,$K:$K,Q328))</f>
        <v/>
      </c>
      <c r="S328" s="37" t="str">
        <f aca="false">IF(OR(R328="",R328=0,P328=""),"",P328/R328-1)</f>
        <v/>
      </c>
    </row>
    <row r="329" customFormat="false" ht="15" hidden="false" customHeight="false" outlineLevel="0" collapsed="false">
      <c r="A329" s="27"/>
      <c r="B329" s="5"/>
      <c r="C329" s="35"/>
      <c r="D329" s="5"/>
      <c r="E329" s="5"/>
      <c r="F329" s="19" t="str">
        <f aca="false">IF(A329="","",IF(COUNTIF(Contratos!$A:$A,A329)+COUNTIF(Pagamentos!$A:$A,A329)=0,"não consta","SIM — contratos: "&amp;COUNTIF(Contratos!$A:$A,A329)&amp;"; pagamentos: "&amp;COUNTIF(Pagamentos!$A:$A,A329)))</f>
        <v/>
      </c>
      <c r="G329" s="27"/>
      <c r="H329" s="5"/>
      <c r="J329" s="5"/>
      <c r="K329" s="41"/>
      <c r="L329" s="14"/>
      <c r="M329" s="5"/>
      <c r="N329" s="35"/>
      <c r="O329" s="27"/>
      <c r="P329" s="39" t="str">
        <f aca="false">IF(OR(J329="",K329=""),"",SUMIFS($N:$N,$J:$J,J329,$K:$K,K329))</f>
        <v/>
      </c>
      <c r="Q329" s="32" t="str">
        <f aca="false">IF(OR(J329="",K329=""),"",IF(COUNTIFS($J:$J,J329,$K:$K,"&lt;"&amp;K329)=0,"",_xlfn.MAXIFS($K:$K,$J:$J,J329,$K:$K,"&lt;"&amp;K329)))</f>
        <v/>
      </c>
      <c r="R329" s="39" t="str">
        <f aca="false">IF(Q329="","",SUMIFS($N:$N,$J:$J,J329,$K:$K,Q329))</f>
        <v/>
      </c>
      <c r="S329" s="37" t="str">
        <f aca="false">IF(OR(R329="",R329=0,P329=""),"",P329/R329-1)</f>
        <v/>
      </c>
    </row>
    <row r="330" customFormat="false" ht="15" hidden="false" customHeight="false" outlineLevel="0" collapsed="false">
      <c r="A330" s="27"/>
      <c r="B330" s="5"/>
      <c r="C330" s="35"/>
      <c r="D330" s="5"/>
      <c r="E330" s="5"/>
      <c r="F330" s="19" t="str">
        <f aca="false">IF(A330="","",IF(COUNTIF(Contratos!$A:$A,A330)+COUNTIF(Pagamentos!$A:$A,A330)=0,"não consta","SIM — contratos: "&amp;COUNTIF(Contratos!$A:$A,A330)&amp;"; pagamentos: "&amp;COUNTIF(Pagamentos!$A:$A,A330)))</f>
        <v/>
      </c>
      <c r="G330" s="27"/>
      <c r="H330" s="5"/>
      <c r="J330" s="5"/>
      <c r="K330" s="41"/>
      <c r="L330" s="14"/>
      <c r="M330" s="5"/>
      <c r="N330" s="35"/>
      <c r="O330" s="27"/>
      <c r="P330" s="39" t="str">
        <f aca="false">IF(OR(J330="",K330=""),"",SUMIFS($N:$N,$J:$J,J330,$K:$K,K330))</f>
        <v/>
      </c>
      <c r="Q330" s="32" t="str">
        <f aca="false">IF(OR(J330="",K330=""),"",IF(COUNTIFS($J:$J,J330,$K:$K,"&lt;"&amp;K330)=0,"",_xlfn.MAXIFS($K:$K,$J:$J,J330,$K:$K,"&lt;"&amp;K330)))</f>
        <v/>
      </c>
      <c r="R330" s="39" t="str">
        <f aca="false">IF(Q330="","",SUMIFS($N:$N,$J:$J,J330,$K:$K,Q330))</f>
        <v/>
      </c>
      <c r="S330" s="37" t="str">
        <f aca="false">IF(OR(R330="",R330=0,P330=""),"",P330/R330-1)</f>
        <v/>
      </c>
    </row>
    <row r="331" customFormat="false" ht="15" hidden="false" customHeight="false" outlineLevel="0" collapsed="false">
      <c r="A331" s="27"/>
      <c r="B331" s="5"/>
      <c r="C331" s="35"/>
      <c r="D331" s="5"/>
      <c r="E331" s="5"/>
      <c r="F331" s="19" t="str">
        <f aca="false">IF(A331="","",IF(COUNTIF(Contratos!$A:$A,A331)+COUNTIF(Pagamentos!$A:$A,A331)=0,"não consta","SIM — contratos: "&amp;COUNTIF(Contratos!$A:$A,A331)&amp;"; pagamentos: "&amp;COUNTIF(Pagamentos!$A:$A,A331)))</f>
        <v/>
      </c>
      <c r="G331" s="27"/>
      <c r="H331" s="5"/>
      <c r="J331" s="5"/>
      <c r="K331" s="41"/>
      <c r="L331" s="14"/>
      <c r="M331" s="5"/>
      <c r="N331" s="35"/>
      <c r="O331" s="27"/>
      <c r="P331" s="39" t="str">
        <f aca="false">IF(OR(J331="",K331=""),"",SUMIFS($N:$N,$J:$J,J331,$K:$K,K331))</f>
        <v/>
      </c>
      <c r="Q331" s="32" t="str">
        <f aca="false">IF(OR(J331="",K331=""),"",IF(COUNTIFS($J:$J,J331,$K:$K,"&lt;"&amp;K331)=0,"",_xlfn.MAXIFS($K:$K,$J:$J,J331,$K:$K,"&lt;"&amp;K331)))</f>
        <v/>
      </c>
      <c r="R331" s="39" t="str">
        <f aca="false">IF(Q331="","",SUMIFS($N:$N,$J:$J,J331,$K:$K,Q331))</f>
        <v/>
      </c>
      <c r="S331" s="37" t="str">
        <f aca="false">IF(OR(R331="",R331=0,P331=""),"",P331/R331-1)</f>
        <v/>
      </c>
    </row>
    <row r="332" customFormat="false" ht="15" hidden="false" customHeight="false" outlineLevel="0" collapsed="false">
      <c r="A332" s="27"/>
      <c r="B332" s="5"/>
      <c r="C332" s="35"/>
      <c r="D332" s="5"/>
      <c r="E332" s="5"/>
      <c r="F332" s="19" t="str">
        <f aca="false">IF(A332="","",IF(COUNTIF(Contratos!$A:$A,A332)+COUNTIF(Pagamentos!$A:$A,A332)=0,"não consta","SIM — contratos: "&amp;COUNTIF(Contratos!$A:$A,A332)&amp;"; pagamentos: "&amp;COUNTIF(Pagamentos!$A:$A,A332)))</f>
        <v/>
      </c>
      <c r="G332" s="27"/>
      <c r="H332" s="5"/>
      <c r="J332" s="5"/>
      <c r="K332" s="41"/>
      <c r="L332" s="14"/>
      <c r="M332" s="5"/>
      <c r="N332" s="35"/>
      <c r="O332" s="27"/>
      <c r="P332" s="39" t="str">
        <f aca="false">IF(OR(J332="",K332=""),"",SUMIFS($N:$N,$J:$J,J332,$K:$K,K332))</f>
        <v/>
      </c>
      <c r="Q332" s="32" t="str">
        <f aca="false">IF(OR(J332="",K332=""),"",IF(COUNTIFS($J:$J,J332,$K:$K,"&lt;"&amp;K332)=0,"",_xlfn.MAXIFS($K:$K,$J:$J,J332,$K:$K,"&lt;"&amp;K332)))</f>
        <v/>
      </c>
      <c r="R332" s="39" t="str">
        <f aca="false">IF(Q332="","",SUMIFS($N:$N,$J:$J,J332,$K:$K,Q332))</f>
        <v/>
      </c>
      <c r="S332" s="37" t="str">
        <f aca="false">IF(OR(R332="",R332=0,P332=""),"",P332/R332-1)</f>
        <v/>
      </c>
    </row>
    <row r="333" customFormat="false" ht="15" hidden="false" customHeight="false" outlineLevel="0" collapsed="false">
      <c r="A333" s="27"/>
      <c r="B333" s="5"/>
      <c r="C333" s="35"/>
      <c r="D333" s="5"/>
      <c r="E333" s="5"/>
      <c r="F333" s="19" t="str">
        <f aca="false">IF(A333="","",IF(COUNTIF(Contratos!$A:$A,A333)+COUNTIF(Pagamentos!$A:$A,A333)=0,"não consta","SIM — contratos: "&amp;COUNTIF(Contratos!$A:$A,A333)&amp;"; pagamentos: "&amp;COUNTIF(Pagamentos!$A:$A,A333)))</f>
        <v/>
      </c>
      <c r="G333" s="27"/>
      <c r="H333" s="5"/>
      <c r="J333" s="5"/>
      <c r="K333" s="41"/>
      <c r="L333" s="14"/>
      <c r="M333" s="5"/>
      <c r="N333" s="35"/>
      <c r="O333" s="27"/>
      <c r="P333" s="39" t="str">
        <f aca="false">IF(OR(J333="",K333=""),"",SUMIFS($N:$N,$J:$J,J333,$K:$K,K333))</f>
        <v/>
      </c>
      <c r="Q333" s="32" t="str">
        <f aca="false">IF(OR(J333="",K333=""),"",IF(COUNTIFS($J:$J,J333,$K:$K,"&lt;"&amp;K333)=0,"",_xlfn.MAXIFS($K:$K,$J:$J,J333,$K:$K,"&lt;"&amp;K333)))</f>
        <v/>
      </c>
      <c r="R333" s="39" t="str">
        <f aca="false">IF(Q333="","",SUMIFS($N:$N,$J:$J,J333,$K:$K,Q333))</f>
        <v/>
      </c>
      <c r="S333" s="37" t="str">
        <f aca="false">IF(OR(R333="",R333=0,P333=""),"",P333/R333-1)</f>
        <v/>
      </c>
    </row>
    <row r="334" customFormat="false" ht="15" hidden="false" customHeight="false" outlineLevel="0" collapsed="false">
      <c r="A334" s="27"/>
      <c r="B334" s="5"/>
      <c r="C334" s="35"/>
      <c r="D334" s="5"/>
      <c r="E334" s="5"/>
      <c r="F334" s="19" t="str">
        <f aca="false">IF(A334="","",IF(COUNTIF(Contratos!$A:$A,A334)+COUNTIF(Pagamentos!$A:$A,A334)=0,"não consta","SIM — contratos: "&amp;COUNTIF(Contratos!$A:$A,A334)&amp;"; pagamentos: "&amp;COUNTIF(Pagamentos!$A:$A,A334)))</f>
        <v/>
      </c>
      <c r="G334" s="27"/>
      <c r="H334" s="5"/>
      <c r="J334" s="5"/>
      <c r="K334" s="41"/>
      <c r="L334" s="14"/>
      <c r="M334" s="5"/>
      <c r="N334" s="35"/>
      <c r="O334" s="27"/>
      <c r="P334" s="39" t="str">
        <f aca="false">IF(OR(J334="",K334=""),"",SUMIFS($N:$N,$J:$J,J334,$K:$K,K334))</f>
        <v/>
      </c>
      <c r="Q334" s="32" t="str">
        <f aca="false">IF(OR(J334="",K334=""),"",IF(COUNTIFS($J:$J,J334,$K:$K,"&lt;"&amp;K334)=0,"",_xlfn.MAXIFS($K:$K,$J:$J,J334,$K:$K,"&lt;"&amp;K334)))</f>
        <v/>
      </c>
      <c r="R334" s="39" t="str">
        <f aca="false">IF(Q334="","",SUMIFS($N:$N,$J:$J,J334,$K:$K,Q334))</f>
        <v/>
      </c>
      <c r="S334" s="37" t="str">
        <f aca="false">IF(OR(R334="",R334=0,P334=""),"",P334/R334-1)</f>
        <v/>
      </c>
    </row>
    <row r="335" customFormat="false" ht="15" hidden="false" customHeight="false" outlineLevel="0" collapsed="false">
      <c r="A335" s="27"/>
      <c r="B335" s="5"/>
      <c r="C335" s="35"/>
      <c r="D335" s="5"/>
      <c r="E335" s="5"/>
      <c r="F335" s="19" t="str">
        <f aca="false">IF(A335="","",IF(COUNTIF(Contratos!$A:$A,A335)+COUNTIF(Pagamentos!$A:$A,A335)=0,"não consta","SIM — contratos: "&amp;COUNTIF(Contratos!$A:$A,A335)&amp;"; pagamentos: "&amp;COUNTIF(Pagamentos!$A:$A,A335)))</f>
        <v/>
      </c>
      <c r="G335" s="27"/>
      <c r="H335" s="5"/>
      <c r="J335" s="5"/>
      <c r="K335" s="41"/>
      <c r="L335" s="14"/>
      <c r="M335" s="5"/>
      <c r="N335" s="35"/>
      <c r="O335" s="27"/>
      <c r="P335" s="39" t="str">
        <f aca="false">IF(OR(J335="",K335=""),"",SUMIFS($N:$N,$J:$J,J335,$K:$K,K335))</f>
        <v/>
      </c>
      <c r="Q335" s="32" t="str">
        <f aca="false">IF(OR(J335="",K335=""),"",IF(COUNTIFS($J:$J,J335,$K:$K,"&lt;"&amp;K335)=0,"",_xlfn.MAXIFS($K:$K,$J:$J,J335,$K:$K,"&lt;"&amp;K335)))</f>
        <v/>
      </c>
      <c r="R335" s="39" t="str">
        <f aca="false">IF(Q335="","",SUMIFS($N:$N,$J:$J,J335,$K:$K,Q335))</f>
        <v/>
      </c>
      <c r="S335" s="37" t="str">
        <f aca="false">IF(OR(R335="",R335=0,P335=""),"",P335/R335-1)</f>
        <v/>
      </c>
    </row>
    <row r="336" customFormat="false" ht="15" hidden="false" customHeight="false" outlineLevel="0" collapsed="false">
      <c r="A336" s="27"/>
      <c r="B336" s="5"/>
      <c r="C336" s="35"/>
      <c r="D336" s="5"/>
      <c r="E336" s="5"/>
      <c r="F336" s="19" t="str">
        <f aca="false">IF(A336="","",IF(COUNTIF(Contratos!$A:$A,A336)+COUNTIF(Pagamentos!$A:$A,A336)=0,"não consta","SIM — contratos: "&amp;COUNTIF(Contratos!$A:$A,A336)&amp;"; pagamentos: "&amp;COUNTIF(Pagamentos!$A:$A,A336)))</f>
        <v/>
      </c>
      <c r="G336" s="27"/>
      <c r="H336" s="5"/>
      <c r="J336" s="5"/>
      <c r="K336" s="41"/>
      <c r="L336" s="14"/>
      <c r="M336" s="5"/>
      <c r="N336" s="35"/>
      <c r="O336" s="27"/>
      <c r="P336" s="39" t="str">
        <f aca="false">IF(OR(J336="",K336=""),"",SUMIFS($N:$N,$J:$J,J336,$K:$K,K336))</f>
        <v/>
      </c>
      <c r="Q336" s="32" t="str">
        <f aca="false">IF(OR(J336="",K336=""),"",IF(COUNTIFS($J:$J,J336,$K:$K,"&lt;"&amp;K336)=0,"",_xlfn.MAXIFS($K:$K,$J:$J,J336,$K:$K,"&lt;"&amp;K336)))</f>
        <v/>
      </c>
      <c r="R336" s="39" t="str">
        <f aca="false">IF(Q336="","",SUMIFS($N:$N,$J:$J,J336,$K:$K,Q336))</f>
        <v/>
      </c>
      <c r="S336" s="37" t="str">
        <f aca="false">IF(OR(R336="",R336=0,P336=""),"",P336/R336-1)</f>
        <v/>
      </c>
    </row>
    <row r="337" customFormat="false" ht="15" hidden="false" customHeight="false" outlineLevel="0" collapsed="false">
      <c r="A337" s="27"/>
      <c r="B337" s="5"/>
      <c r="C337" s="35"/>
      <c r="D337" s="5"/>
      <c r="E337" s="5"/>
      <c r="F337" s="19" t="str">
        <f aca="false">IF(A337="","",IF(COUNTIF(Contratos!$A:$A,A337)+COUNTIF(Pagamentos!$A:$A,A337)=0,"não consta","SIM — contratos: "&amp;COUNTIF(Contratos!$A:$A,A337)&amp;"; pagamentos: "&amp;COUNTIF(Pagamentos!$A:$A,A337)))</f>
        <v/>
      </c>
      <c r="G337" s="27"/>
      <c r="H337" s="5"/>
      <c r="J337" s="5"/>
      <c r="K337" s="41"/>
      <c r="L337" s="14"/>
      <c r="M337" s="5"/>
      <c r="N337" s="35"/>
      <c r="O337" s="27"/>
      <c r="P337" s="39" t="str">
        <f aca="false">IF(OR(J337="",K337=""),"",SUMIFS($N:$N,$J:$J,J337,$K:$K,K337))</f>
        <v/>
      </c>
      <c r="Q337" s="32" t="str">
        <f aca="false">IF(OR(J337="",K337=""),"",IF(COUNTIFS($J:$J,J337,$K:$K,"&lt;"&amp;K337)=0,"",_xlfn.MAXIFS($K:$K,$J:$J,J337,$K:$K,"&lt;"&amp;K337)))</f>
        <v/>
      </c>
      <c r="R337" s="39" t="str">
        <f aca="false">IF(Q337="","",SUMIFS($N:$N,$J:$J,J337,$K:$K,Q337))</f>
        <v/>
      </c>
      <c r="S337" s="37" t="str">
        <f aca="false">IF(OR(R337="",R337=0,P337=""),"",P337/R337-1)</f>
        <v/>
      </c>
    </row>
    <row r="338" customFormat="false" ht="15" hidden="false" customHeight="false" outlineLevel="0" collapsed="false">
      <c r="A338" s="27"/>
      <c r="B338" s="5"/>
      <c r="C338" s="35"/>
      <c r="D338" s="5"/>
      <c r="E338" s="5"/>
      <c r="F338" s="19" t="str">
        <f aca="false">IF(A338="","",IF(COUNTIF(Contratos!$A:$A,A338)+COUNTIF(Pagamentos!$A:$A,A338)=0,"não consta","SIM — contratos: "&amp;COUNTIF(Contratos!$A:$A,A338)&amp;"; pagamentos: "&amp;COUNTIF(Pagamentos!$A:$A,A338)))</f>
        <v/>
      </c>
      <c r="G338" s="27"/>
      <c r="H338" s="5"/>
      <c r="J338" s="5"/>
      <c r="K338" s="41"/>
      <c r="L338" s="14"/>
      <c r="M338" s="5"/>
      <c r="N338" s="35"/>
      <c r="O338" s="27"/>
      <c r="P338" s="39" t="str">
        <f aca="false">IF(OR(J338="",K338=""),"",SUMIFS($N:$N,$J:$J,J338,$K:$K,K338))</f>
        <v/>
      </c>
      <c r="Q338" s="32" t="str">
        <f aca="false">IF(OR(J338="",K338=""),"",IF(COUNTIFS($J:$J,J338,$K:$K,"&lt;"&amp;K338)=0,"",_xlfn.MAXIFS($K:$K,$J:$J,J338,$K:$K,"&lt;"&amp;K338)))</f>
        <v/>
      </c>
      <c r="R338" s="39" t="str">
        <f aca="false">IF(Q338="","",SUMIFS($N:$N,$J:$J,J338,$K:$K,Q338))</f>
        <v/>
      </c>
      <c r="S338" s="37" t="str">
        <f aca="false">IF(OR(R338="",R338=0,P338=""),"",P338/R338-1)</f>
        <v/>
      </c>
    </row>
    <row r="339" customFormat="false" ht="15" hidden="false" customHeight="false" outlineLevel="0" collapsed="false">
      <c r="A339" s="27"/>
      <c r="B339" s="5"/>
      <c r="C339" s="35"/>
      <c r="D339" s="5"/>
      <c r="E339" s="5"/>
      <c r="F339" s="19" t="str">
        <f aca="false">IF(A339="","",IF(COUNTIF(Contratos!$A:$A,A339)+COUNTIF(Pagamentos!$A:$A,A339)=0,"não consta","SIM — contratos: "&amp;COUNTIF(Contratos!$A:$A,A339)&amp;"; pagamentos: "&amp;COUNTIF(Pagamentos!$A:$A,A339)))</f>
        <v/>
      </c>
      <c r="G339" s="27"/>
      <c r="H339" s="5"/>
      <c r="J339" s="5"/>
      <c r="K339" s="41"/>
      <c r="L339" s="14"/>
      <c r="M339" s="5"/>
      <c r="N339" s="35"/>
      <c r="O339" s="27"/>
      <c r="P339" s="39" t="str">
        <f aca="false">IF(OR(J339="",K339=""),"",SUMIFS($N:$N,$J:$J,J339,$K:$K,K339))</f>
        <v/>
      </c>
      <c r="Q339" s="32" t="str">
        <f aca="false">IF(OR(J339="",K339=""),"",IF(COUNTIFS($J:$J,J339,$K:$K,"&lt;"&amp;K339)=0,"",_xlfn.MAXIFS($K:$K,$J:$J,J339,$K:$K,"&lt;"&amp;K339)))</f>
        <v/>
      </c>
      <c r="R339" s="39" t="str">
        <f aca="false">IF(Q339="","",SUMIFS($N:$N,$J:$J,J339,$K:$K,Q339))</f>
        <v/>
      </c>
      <c r="S339" s="37" t="str">
        <f aca="false">IF(OR(R339="",R339=0,P339=""),"",P339/R339-1)</f>
        <v/>
      </c>
    </row>
    <row r="340" customFormat="false" ht="15" hidden="false" customHeight="false" outlineLevel="0" collapsed="false">
      <c r="A340" s="27"/>
      <c r="B340" s="5"/>
      <c r="C340" s="35"/>
      <c r="D340" s="5"/>
      <c r="E340" s="5"/>
      <c r="F340" s="19" t="str">
        <f aca="false">IF(A340="","",IF(COUNTIF(Contratos!$A:$A,A340)+COUNTIF(Pagamentos!$A:$A,A340)=0,"não consta","SIM — contratos: "&amp;COUNTIF(Contratos!$A:$A,A340)&amp;"; pagamentos: "&amp;COUNTIF(Pagamentos!$A:$A,A340)))</f>
        <v/>
      </c>
      <c r="G340" s="27"/>
      <c r="H340" s="5"/>
      <c r="J340" s="5"/>
      <c r="K340" s="41"/>
      <c r="L340" s="14"/>
      <c r="M340" s="5"/>
      <c r="N340" s="35"/>
      <c r="O340" s="27"/>
      <c r="P340" s="39" t="str">
        <f aca="false">IF(OR(J340="",K340=""),"",SUMIFS($N:$N,$J:$J,J340,$K:$K,K340))</f>
        <v/>
      </c>
      <c r="Q340" s="32" t="str">
        <f aca="false">IF(OR(J340="",K340=""),"",IF(COUNTIFS($J:$J,J340,$K:$K,"&lt;"&amp;K340)=0,"",_xlfn.MAXIFS($K:$K,$J:$J,J340,$K:$K,"&lt;"&amp;K340)))</f>
        <v/>
      </c>
      <c r="R340" s="39" t="str">
        <f aca="false">IF(Q340="","",SUMIFS($N:$N,$J:$J,J340,$K:$K,Q340))</f>
        <v/>
      </c>
      <c r="S340" s="37" t="str">
        <f aca="false">IF(OR(R340="",R340=0,P340=""),"",P340/R340-1)</f>
        <v/>
      </c>
    </row>
    <row r="341" customFormat="false" ht="15" hidden="false" customHeight="false" outlineLevel="0" collapsed="false">
      <c r="A341" s="27"/>
      <c r="B341" s="5"/>
      <c r="C341" s="35"/>
      <c r="D341" s="5"/>
      <c r="E341" s="5"/>
      <c r="F341" s="19" t="str">
        <f aca="false">IF(A341="","",IF(COUNTIF(Contratos!$A:$A,A341)+COUNTIF(Pagamentos!$A:$A,A341)=0,"não consta","SIM — contratos: "&amp;COUNTIF(Contratos!$A:$A,A341)&amp;"; pagamentos: "&amp;COUNTIF(Pagamentos!$A:$A,A341)))</f>
        <v/>
      </c>
      <c r="G341" s="27"/>
      <c r="H341" s="5"/>
      <c r="J341" s="5"/>
      <c r="K341" s="41"/>
      <c r="L341" s="14"/>
      <c r="M341" s="5"/>
      <c r="N341" s="35"/>
      <c r="O341" s="27"/>
      <c r="P341" s="39" t="str">
        <f aca="false">IF(OR(J341="",K341=""),"",SUMIFS($N:$N,$J:$J,J341,$K:$K,K341))</f>
        <v/>
      </c>
      <c r="Q341" s="32" t="str">
        <f aca="false">IF(OR(J341="",K341=""),"",IF(COUNTIFS($J:$J,J341,$K:$K,"&lt;"&amp;K341)=0,"",_xlfn.MAXIFS($K:$K,$J:$J,J341,$K:$K,"&lt;"&amp;K341)))</f>
        <v/>
      </c>
      <c r="R341" s="39" t="str">
        <f aca="false">IF(Q341="","",SUMIFS($N:$N,$J:$J,J341,$K:$K,Q341))</f>
        <v/>
      </c>
      <c r="S341" s="37" t="str">
        <f aca="false">IF(OR(R341="",R341=0,P341=""),"",P341/R341-1)</f>
        <v/>
      </c>
    </row>
    <row r="342" customFormat="false" ht="15" hidden="false" customHeight="false" outlineLevel="0" collapsed="false">
      <c r="A342" s="27"/>
      <c r="B342" s="5"/>
      <c r="C342" s="35"/>
      <c r="D342" s="5"/>
      <c r="E342" s="5"/>
      <c r="F342" s="19" t="str">
        <f aca="false">IF(A342="","",IF(COUNTIF(Contratos!$A:$A,A342)+COUNTIF(Pagamentos!$A:$A,A342)=0,"não consta","SIM — contratos: "&amp;COUNTIF(Contratos!$A:$A,A342)&amp;"; pagamentos: "&amp;COUNTIF(Pagamentos!$A:$A,A342)))</f>
        <v/>
      </c>
      <c r="G342" s="27"/>
      <c r="H342" s="5"/>
      <c r="J342" s="5"/>
      <c r="K342" s="41"/>
      <c r="L342" s="14"/>
      <c r="M342" s="5"/>
      <c r="N342" s="35"/>
      <c r="O342" s="27"/>
      <c r="P342" s="39" t="str">
        <f aca="false">IF(OR(J342="",K342=""),"",SUMIFS($N:$N,$J:$J,J342,$K:$K,K342))</f>
        <v/>
      </c>
      <c r="Q342" s="32" t="str">
        <f aca="false">IF(OR(J342="",K342=""),"",IF(COUNTIFS($J:$J,J342,$K:$K,"&lt;"&amp;K342)=0,"",_xlfn.MAXIFS($K:$K,$J:$J,J342,$K:$K,"&lt;"&amp;K342)))</f>
        <v/>
      </c>
      <c r="R342" s="39" t="str">
        <f aca="false">IF(Q342="","",SUMIFS($N:$N,$J:$J,J342,$K:$K,Q342))</f>
        <v/>
      </c>
      <c r="S342" s="37" t="str">
        <f aca="false">IF(OR(R342="",R342=0,P342=""),"",P342/R342-1)</f>
        <v/>
      </c>
    </row>
    <row r="343" customFormat="false" ht="15" hidden="false" customHeight="false" outlineLevel="0" collapsed="false">
      <c r="A343" s="27"/>
      <c r="B343" s="5"/>
      <c r="C343" s="35"/>
      <c r="D343" s="5"/>
      <c r="E343" s="5"/>
      <c r="F343" s="19" t="str">
        <f aca="false">IF(A343="","",IF(COUNTIF(Contratos!$A:$A,A343)+COUNTIF(Pagamentos!$A:$A,A343)=0,"não consta","SIM — contratos: "&amp;COUNTIF(Contratos!$A:$A,A343)&amp;"; pagamentos: "&amp;COUNTIF(Pagamentos!$A:$A,A343)))</f>
        <v/>
      </c>
      <c r="G343" s="27"/>
      <c r="H343" s="5"/>
      <c r="J343" s="5"/>
      <c r="K343" s="41"/>
      <c r="L343" s="14"/>
      <c r="M343" s="5"/>
      <c r="N343" s="35"/>
      <c r="O343" s="27"/>
      <c r="P343" s="39" t="str">
        <f aca="false">IF(OR(J343="",K343=""),"",SUMIFS($N:$N,$J:$J,J343,$K:$K,K343))</f>
        <v/>
      </c>
      <c r="Q343" s="32" t="str">
        <f aca="false">IF(OR(J343="",K343=""),"",IF(COUNTIFS($J:$J,J343,$K:$K,"&lt;"&amp;K343)=0,"",_xlfn.MAXIFS($K:$K,$J:$J,J343,$K:$K,"&lt;"&amp;K343)))</f>
        <v/>
      </c>
      <c r="R343" s="39" t="str">
        <f aca="false">IF(Q343="","",SUMIFS($N:$N,$J:$J,J343,$K:$K,Q343))</f>
        <v/>
      </c>
      <c r="S343" s="37" t="str">
        <f aca="false">IF(OR(R343="",R343=0,P343=""),"",P343/R343-1)</f>
        <v/>
      </c>
    </row>
    <row r="344" customFormat="false" ht="15" hidden="false" customHeight="false" outlineLevel="0" collapsed="false">
      <c r="A344" s="27"/>
      <c r="B344" s="5"/>
      <c r="C344" s="35"/>
      <c r="D344" s="5"/>
      <c r="E344" s="5"/>
      <c r="F344" s="19" t="str">
        <f aca="false">IF(A344="","",IF(COUNTIF(Contratos!$A:$A,A344)+COUNTIF(Pagamentos!$A:$A,A344)=0,"não consta","SIM — contratos: "&amp;COUNTIF(Contratos!$A:$A,A344)&amp;"; pagamentos: "&amp;COUNTIF(Pagamentos!$A:$A,A344)))</f>
        <v/>
      </c>
      <c r="G344" s="27"/>
      <c r="H344" s="5"/>
      <c r="J344" s="5"/>
      <c r="K344" s="41"/>
      <c r="L344" s="14"/>
      <c r="M344" s="5"/>
      <c r="N344" s="35"/>
      <c r="O344" s="27"/>
      <c r="P344" s="39" t="str">
        <f aca="false">IF(OR(J344="",K344=""),"",SUMIFS($N:$N,$J:$J,J344,$K:$K,K344))</f>
        <v/>
      </c>
      <c r="Q344" s="32" t="str">
        <f aca="false">IF(OR(J344="",K344=""),"",IF(COUNTIFS($J:$J,J344,$K:$K,"&lt;"&amp;K344)=0,"",_xlfn.MAXIFS($K:$K,$J:$J,J344,$K:$K,"&lt;"&amp;K344)))</f>
        <v/>
      </c>
      <c r="R344" s="39" t="str">
        <f aca="false">IF(Q344="","",SUMIFS($N:$N,$J:$J,J344,$K:$K,Q344))</f>
        <v/>
      </c>
      <c r="S344" s="37" t="str">
        <f aca="false">IF(OR(R344="",R344=0,P344=""),"",P344/R344-1)</f>
        <v/>
      </c>
    </row>
    <row r="345" customFormat="false" ht="15" hidden="false" customHeight="false" outlineLevel="0" collapsed="false">
      <c r="A345" s="27"/>
      <c r="B345" s="5"/>
      <c r="C345" s="35"/>
      <c r="D345" s="5"/>
      <c r="E345" s="5"/>
      <c r="F345" s="19" t="str">
        <f aca="false">IF(A345="","",IF(COUNTIF(Contratos!$A:$A,A345)+COUNTIF(Pagamentos!$A:$A,A345)=0,"não consta","SIM — contratos: "&amp;COUNTIF(Contratos!$A:$A,A345)&amp;"; pagamentos: "&amp;COUNTIF(Pagamentos!$A:$A,A345)))</f>
        <v/>
      </c>
      <c r="G345" s="27"/>
      <c r="H345" s="5"/>
      <c r="J345" s="5"/>
      <c r="K345" s="41"/>
      <c r="L345" s="14"/>
      <c r="M345" s="5"/>
      <c r="N345" s="35"/>
      <c r="O345" s="27"/>
      <c r="P345" s="39" t="str">
        <f aca="false">IF(OR(J345="",K345=""),"",SUMIFS($N:$N,$J:$J,J345,$K:$K,K345))</f>
        <v/>
      </c>
      <c r="Q345" s="32" t="str">
        <f aca="false">IF(OR(J345="",K345=""),"",IF(COUNTIFS($J:$J,J345,$K:$K,"&lt;"&amp;K345)=0,"",_xlfn.MAXIFS($K:$K,$J:$J,J345,$K:$K,"&lt;"&amp;K345)))</f>
        <v/>
      </c>
      <c r="R345" s="39" t="str">
        <f aca="false">IF(Q345="","",SUMIFS($N:$N,$J:$J,J345,$K:$K,Q345))</f>
        <v/>
      </c>
      <c r="S345" s="37" t="str">
        <f aca="false">IF(OR(R345="",R345=0,P345=""),"",P345/R345-1)</f>
        <v/>
      </c>
    </row>
    <row r="346" customFormat="false" ht="15" hidden="false" customHeight="false" outlineLevel="0" collapsed="false">
      <c r="A346" s="27"/>
      <c r="B346" s="5"/>
      <c r="C346" s="35"/>
      <c r="D346" s="5"/>
      <c r="E346" s="5"/>
      <c r="F346" s="19" t="str">
        <f aca="false">IF(A346="","",IF(COUNTIF(Contratos!$A:$A,A346)+COUNTIF(Pagamentos!$A:$A,A346)=0,"não consta","SIM — contratos: "&amp;COUNTIF(Contratos!$A:$A,A346)&amp;"; pagamentos: "&amp;COUNTIF(Pagamentos!$A:$A,A346)))</f>
        <v/>
      </c>
      <c r="G346" s="27"/>
      <c r="H346" s="5"/>
      <c r="J346" s="5"/>
      <c r="K346" s="41"/>
      <c r="L346" s="14"/>
      <c r="M346" s="5"/>
      <c r="N346" s="35"/>
      <c r="O346" s="27"/>
      <c r="P346" s="39" t="str">
        <f aca="false">IF(OR(J346="",K346=""),"",SUMIFS($N:$N,$J:$J,J346,$K:$K,K346))</f>
        <v/>
      </c>
      <c r="Q346" s="32" t="str">
        <f aca="false">IF(OR(J346="",K346=""),"",IF(COUNTIFS($J:$J,J346,$K:$K,"&lt;"&amp;K346)=0,"",_xlfn.MAXIFS($K:$K,$J:$J,J346,$K:$K,"&lt;"&amp;K346)))</f>
        <v/>
      </c>
      <c r="R346" s="39" t="str">
        <f aca="false">IF(Q346="","",SUMIFS($N:$N,$J:$J,J346,$K:$K,Q346))</f>
        <v/>
      </c>
      <c r="S346" s="37" t="str">
        <f aca="false">IF(OR(R346="",R346=0,P346=""),"",P346/R346-1)</f>
        <v/>
      </c>
    </row>
    <row r="347" customFormat="false" ht="15" hidden="false" customHeight="false" outlineLevel="0" collapsed="false">
      <c r="A347" s="27"/>
      <c r="B347" s="5"/>
      <c r="C347" s="35"/>
      <c r="D347" s="5"/>
      <c r="E347" s="5"/>
      <c r="F347" s="19" t="str">
        <f aca="false">IF(A347="","",IF(COUNTIF(Contratos!$A:$A,A347)+COUNTIF(Pagamentos!$A:$A,A347)=0,"não consta","SIM — contratos: "&amp;COUNTIF(Contratos!$A:$A,A347)&amp;"; pagamentos: "&amp;COUNTIF(Pagamentos!$A:$A,A347)))</f>
        <v/>
      </c>
      <c r="G347" s="27"/>
      <c r="H347" s="5"/>
      <c r="J347" s="5"/>
      <c r="K347" s="41"/>
      <c r="L347" s="14"/>
      <c r="M347" s="5"/>
      <c r="N347" s="35"/>
      <c r="O347" s="27"/>
      <c r="P347" s="39" t="str">
        <f aca="false">IF(OR(J347="",K347=""),"",SUMIFS($N:$N,$J:$J,J347,$K:$K,K347))</f>
        <v/>
      </c>
      <c r="Q347" s="32" t="str">
        <f aca="false">IF(OR(J347="",K347=""),"",IF(COUNTIFS($J:$J,J347,$K:$K,"&lt;"&amp;K347)=0,"",_xlfn.MAXIFS($K:$K,$J:$J,J347,$K:$K,"&lt;"&amp;K347)))</f>
        <v/>
      </c>
      <c r="R347" s="39" t="str">
        <f aca="false">IF(Q347="","",SUMIFS($N:$N,$J:$J,J347,$K:$K,Q347))</f>
        <v/>
      </c>
      <c r="S347" s="37" t="str">
        <f aca="false">IF(OR(R347="",R347=0,P347=""),"",P347/R347-1)</f>
        <v/>
      </c>
    </row>
    <row r="348" customFormat="false" ht="15" hidden="false" customHeight="false" outlineLevel="0" collapsed="false">
      <c r="A348" s="27"/>
      <c r="B348" s="5"/>
      <c r="C348" s="35"/>
      <c r="D348" s="5"/>
      <c r="E348" s="5"/>
      <c r="F348" s="19" t="str">
        <f aca="false">IF(A348="","",IF(COUNTIF(Contratos!$A:$A,A348)+COUNTIF(Pagamentos!$A:$A,A348)=0,"não consta","SIM — contratos: "&amp;COUNTIF(Contratos!$A:$A,A348)&amp;"; pagamentos: "&amp;COUNTIF(Pagamentos!$A:$A,A348)))</f>
        <v/>
      </c>
      <c r="G348" s="27"/>
      <c r="H348" s="5"/>
      <c r="J348" s="5"/>
      <c r="K348" s="41"/>
      <c r="L348" s="14"/>
      <c r="M348" s="5"/>
      <c r="N348" s="35"/>
      <c r="O348" s="27"/>
      <c r="P348" s="39" t="str">
        <f aca="false">IF(OR(J348="",K348=""),"",SUMIFS($N:$N,$J:$J,J348,$K:$K,K348))</f>
        <v/>
      </c>
      <c r="Q348" s="32" t="str">
        <f aca="false">IF(OR(J348="",K348=""),"",IF(COUNTIFS($J:$J,J348,$K:$K,"&lt;"&amp;K348)=0,"",_xlfn.MAXIFS($K:$K,$J:$J,J348,$K:$K,"&lt;"&amp;K348)))</f>
        <v/>
      </c>
      <c r="R348" s="39" t="str">
        <f aca="false">IF(Q348="","",SUMIFS($N:$N,$J:$J,J348,$K:$K,Q348))</f>
        <v/>
      </c>
      <c r="S348" s="37" t="str">
        <f aca="false">IF(OR(R348="",R348=0,P348=""),"",P348/R348-1)</f>
        <v/>
      </c>
    </row>
    <row r="349" customFormat="false" ht="15" hidden="false" customHeight="false" outlineLevel="0" collapsed="false">
      <c r="A349" s="27"/>
      <c r="B349" s="5"/>
      <c r="C349" s="35"/>
      <c r="D349" s="5"/>
      <c r="E349" s="5"/>
      <c r="F349" s="19" t="str">
        <f aca="false">IF(A349="","",IF(COUNTIF(Contratos!$A:$A,A349)+COUNTIF(Pagamentos!$A:$A,A349)=0,"não consta","SIM — contratos: "&amp;COUNTIF(Contratos!$A:$A,A349)&amp;"; pagamentos: "&amp;COUNTIF(Pagamentos!$A:$A,A349)))</f>
        <v/>
      </c>
      <c r="G349" s="27"/>
      <c r="H349" s="5"/>
      <c r="J349" s="5"/>
      <c r="K349" s="41"/>
      <c r="L349" s="14"/>
      <c r="M349" s="5"/>
      <c r="N349" s="35"/>
      <c r="O349" s="27"/>
      <c r="P349" s="39" t="str">
        <f aca="false">IF(OR(J349="",K349=""),"",SUMIFS($N:$N,$J:$J,J349,$K:$K,K349))</f>
        <v/>
      </c>
      <c r="Q349" s="32" t="str">
        <f aca="false">IF(OR(J349="",K349=""),"",IF(COUNTIFS($J:$J,J349,$K:$K,"&lt;"&amp;K349)=0,"",_xlfn.MAXIFS($K:$K,$J:$J,J349,$K:$K,"&lt;"&amp;K349)))</f>
        <v/>
      </c>
      <c r="R349" s="39" t="str">
        <f aca="false">IF(Q349="","",SUMIFS($N:$N,$J:$J,J349,$K:$K,Q349))</f>
        <v/>
      </c>
      <c r="S349" s="37" t="str">
        <f aca="false">IF(OR(R349="",R349=0,P349=""),"",P349/R349-1)</f>
        <v/>
      </c>
    </row>
    <row r="350" customFormat="false" ht="15" hidden="false" customHeight="false" outlineLevel="0" collapsed="false">
      <c r="A350" s="27"/>
      <c r="B350" s="5"/>
      <c r="C350" s="35"/>
      <c r="D350" s="5"/>
      <c r="E350" s="5"/>
      <c r="F350" s="19" t="str">
        <f aca="false">IF(A350="","",IF(COUNTIF(Contratos!$A:$A,A350)+COUNTIF(Pagamentos!$A:$A,A350)=0,"não consta","SIM — contratos: "&amp;COUNTIF(Contratos!$A:$A,A350)&amp;"; pagamentos: "&amp;COUNTIF(Pagamentos!$A:$A,A350)))</f>
        <v/>
      </c>
      <c r="G350" s="27"/>
      <c r="H350" s="5"/>
      <c r="J350" s="5"/>
      <c r="K350" s="41"/>
      <c r="L350" s="14"/>
      <c r="M350" s="5"/>
      <c r="N350" s="35"/>
      <c r="O350" s="27"/>
      <c r="P350" s="39" t="str">
        <f aca="false">IF(OR(J350="",K350=""),"",SUMIFS($N:$N,$J:$J,J350,$K:$K,K350))</f>
        <v/>
      </c>
      <c r="Q350" s="32" t="str">
        <f aca="false">IF(OR(J350="",K350=""),"",IF(COUNTIFS($J:$J,J350,$K:$K,"&lt;"&amp;K350)=0,"",_xlfn.MAXIFS($K:$K,$J:$J,J350,$K:$K,"&lt;"&amp;K350)))</f>
        <v/>
      </c>
      <c r="R350" s="39" t="str">
        <f aca="false">IF(Q350="","",SUMIFS($N:$N,$J:$J,J350,$K:$K,Q350))</f>
        <v/>
      </c>
      <c r="S350" s="37" t="str">
        <f aca="false">IF(OR(R350="",R350=0,P350=""),"",P350/R350-1)</f>
        <v/>
      </c>
    </row>
    <row r="351" customFormat="false" ht="15" hidden="false" customHeight="false" outlineLevel="0" collapsed="false">
      <c r="A351" s="27"/>
      <c r="B351" s="5"/>
      <c r="C351" s="35"/>
      <c r="D351" s="5"/>
      <c r="E351" s="5"/>
      <c r="F351" s="19" t="str">
        <f aca="false">IF(A351="","",IF(COUNTIF(Contratos!$A:$A,A351)+COUNTIF(Pagamentos!$A:$A,A351)=0,"não consta","SIM — contratos: "&amp;COUNTIF(Contratos!$A:$A,A351)&amp;"; pagamentos: "&amp;COUNTIF(Pagamentos!$A:$A,A351)))</f>
        <v/>
      </c>
      <c r="G351" s="27"/>
      <c r="H351" s="5"/>
      <c r="J351" s="5"/>
      <c r="K351" s="41"/>
      <c r="L351" s="14"/>
      <c r="M351" s="5"/>
      <c r="N351" s="35"/>
      <c r="O351" s="27"/>
      <c r="P351" s="39" t="str">
        <f aca="false">IF(OR(J351="",K351=""),"",SUMIFS($N:$N,$J:$J,J351,$K:$K,K351))</f>
        <v/>
      </c>
      <c r="Q351" s="32" t="str">
        <f aca="false">IF(OR(J351="",K351=""),"",IF(COUNTIFS($J:$J,J351,$K:$K,"&lt;"&amp;K351)=0,"",_xlfn.MAXIFS($K:$K,$J:$J,J351,$K:$K,"&lt;"&amp;K351)))</f>
        <v/>
      </c>
      <c r="R351" s="39" t="str">
        <f aca="false">IF(Q351="","",SUMIFS($N:$N,$J:$J,J351,$K:$K,Q351))</f>
        <v/>
      </c>
      <c r="S351" s="37" t="str">
        <f aca="false">IF(OR(R351="",R351=0,P351=""),"",P351/R351-1)</f>
        <v/>
      </c>
    </row>
    <row r="352" customFormat="false" ht="15" hidden="false" customHeight="false" outlineLevel="0" collapsed="false">
      <c r="A352" s="27"/>
      <c r="B352" s="5"/>
      <c r="C352" s="35"/>
      <c r="D352" s="5"/>
      <c r="E352" s="5"/>
      <c r="F352" s="19" t="str">
        <f aca="false">IF(A352="","",IF(COUNTIF(Contratos!$A:$A,A352)+COUNTIF(Pagamentos!$A:$A,A352)=0,"não consta","SIM — contratos: "&amp;COUNTIF(Contratos!$A:$A,A352)&amp;"; pagamentos: "&amp;COUNTIF(Pagamentos!$A:$A,A352)))</f>
        <v/>
      </c>
      <c r="G352" s="27"/>
      <c r="H352" s="5"/>
      <c r="J352" s="5"/>
      <c r="K352" s="41"/>
      <c r="L352" s="14"/>
      <c r="M352" s="5"/>
      <c r="N352" s="35"/>
      <c r="O352" s="27"/>
      <c r="P352" s="39" t="str">
        <f aca="false">IF(OR(J352="",K352=""),"",SUMIFS($N:$N,$J:$J,J352,$K:$K,K352))</f>
        <v/>
      </c>
      <c r="Q352" s="32" t="str">
        <f aca="false">IF(OR(J352="",K352=""),"",IF(COUNTIFS($J:$J,J352,$K:$K,"&lt;"&amp;K352)=0,"",_xlfn.MAXIFS($K:$K,$J:$J,J352,$K:$K,"&lt;"&amp;K352)))</f>
        <v/>
      </c>
      <c r="R352" s="39" t="str">
        <f aca="false">IF(Q352="","",SUMIFS($N:$N,$J:$J,J352,$K:$K,Q352))</f>
        <v/>
      </c>
      <c r="S352" s="37" t="str">
        <f aca="false">IF(OR(R352="",R352=0,P352=""),"",P352/R352-1)</f>
        <v/>
      </c>
    </row>
    <row r="353" customFormat="false" ht="15" hidden="false" customHeight="false" outlineLevel="0" collapsed="false">
      <c r="A353" s="27"/>
      <c r="B353" s="5"/>
      <c r="C353" s="35"/>
      <c r="D353" s="5"/>
      <c r="E353" s="5"/>
      <c r="F353" s="19" t="str">
        <f aca="false">IF(A353="","",IF(COUNTIF(Contratos!$A:$A,A353)+COUNTIF(Pagamentos!$A:$A,A353)=0,"não consta","SIM — contratos: "&amp;COUNTIF(Contratos!$A:$A,A353)&amp;"; pagamentos: "&amp;COUNTIF(Pagamentos!$A:$A,A353)))</f>
        <v/>
      </c>
      <c r="G353" s="27"/>
      <c r="H353" s="5"/>
      <c r="J353" s="5"/>
      <c r="K353" s="41"/>
      <c r="L353" s="14"/>
      <c r="M353" s="5"/>
      <c r="N353" s="35"/>
      <c r="O353" s="27"/>
      <c r="P353" s="39" t="str">
        <f aca="false">IF(OR(J353="",K353=""),"",SUMIFS($N:$N,$J:$J,J353,$K:$K,K353))</f>
        <v/>
      </c>
      <c r="Q353" s="32" t="str">
        <f aca="false">IF(OR(J353="",K353=""),"",IF(COUNTIFS($J:$J,J353,$K:$K,"&lt;"&amp;K353)=0,"",_xlfn.MAXIFS($K:$K,$J:$J,J353,$K:$K,"&lt;"&amp;K353)))</f>
        <v/>
      </c>
      <c r="R353" s="39" t="str">
        <f aca="false">IF(Q353="","",SUMIFS($N:$N,$J:$J,J353,$K:$K,Q353))</f>
        <v/>
      </c>
      <c r="S353" s="37" t="str">
        <f aca="false">IF(OR(R353="",R353=0,P353=""),"",P353/R353-1)</f>
        <v/>
      </c>
    </row>
    <row r="354" customFormat="false" ht="15" hidden="false" customHeight="false" outlineLevel="0" collapsed="false">
      <c r="A354" s="27"/>
      <c r="B354" s="5"/>
      <c r="C354" s="35"/>
      <c r="D354" s="5"/>
      <c r="E354" s="5"/>
      <c r="F354" s="19" t="str">
        <f aca="false">IF(A354="","",IF(COUNTIF(Contratos!$A:$A,A354)+COUNTIF(Pagamentos!$A:$A,A354)=0,"não consta","SIM — contratos: "&amp;COUNTIF(Contratos!$A:$A,A354)&amp;"; pagamentos: "&amp;COUNTIF(Pagamentos!$A:$A,A354)))</f>
        <v/>
      </c>
      <c r="G354" s="27"/>
      <c r="H354" s="5"/>
      <c r="J354" s="5"/>
      <c r="K354" s="41"/>
      <c r="L354" s="14"/>
      <c r="M354" s="5"/>
      <c r="N354" s="35"/>
      <c r="O354" s="27"/>
      <c r="P354" s="39" t="str">
        <f aca="false">IF(OR(J354="",K354=""),"",SUMIFS($N:$N,$J:$J,J354,$K:$K,K354))</f>
        <v/>
      </c>
      <c r="Q354" s="32" t="str">
        <f aca="false">IF(OR(J354="",K354=""),"",IF(COUNTIFS($J:$J,J354,$K:$K,"&lt;"&amp;K354)=0,"",_xlfn.MAXIFS($K:$K,$J:$J,J354,$K:$K,"&lt;"&amp;K354)))</f>
        <v/>
      </c>
      <c r="R354" s="39" t="str">
        <f aca="false">IF(Q354="","",SUMIFS($N:$N,$J:$J,J354,$K:$K,Q354))</f>
        <v/>
      </c>
      <c r="S354" s="37" t="str">
        <f aca="false">IF(OR(R354="",R354=0,P354=""),"",P354/R354-1)</f>
        <v/>
      </c>
    </row>
    <row r="355" customFormat="false" ht="15" hidden="false" customHeight="false" outlineLevel="0" collapsed="false">
      <c r="A355" s="27"/>
      <c r="B355" s="5"/>
      <c r="C355" s="35"/>
      <c r="D355" s="5"/>
      <c r="E355" s="5"/>
      <c r="F355" s="19" t="str">
        <f aca="false">IF(A355="","",IF(COUNTIF(Contratos!$A:$A,A355)+COUNTIF(Pagamentos!$A:$A,A355)=0,"não consta","SIM — contratos: "&amp;COUNTIF(Contratos!$A:$A,A355)&amp;"; pagamentos: "&amp;COUNTIF(Pagamentos!$A:$A,A355)))</f>
        <v/>
      </c>
      <c r="G355" s="27"/>
      <c r="H355" s="5"/>
      <c r="J355" s="5"/>
      <c r="K355" s="41"/>
      <c r="L355" s="14"/>
      <c r="M355" s="5"/>
      <c r="N355" s="35"/>
      <c r="O355" s="27"/>
      <c r="P355" s="39" t="str">
        <f aca="false">IF(OR(J355="",K355=""),"",SUMIFS($N:$N,$J:$J,J355,$K:$K,K355))</f>
        <v/>
      </c>
      <c r="Q355" s="32" t="str">
        <f aca="false">IF(OR(J355="",K355=""),"",IF(COUNTIFS($J:$J,J355,$K:$K,"&lt;"&amp;K355)=0,"",_xlfn.MAXIFS($K:$K,$J:$J,J355,$K:$K,"&lt;"&amp;K355)))</f>
        <v/>
      </c>
      <c r="R355" s="39" t="str">
        <f aca="false">IF(Q355="","",SUMIFS($N:$N,$J:$J,J355,$K:$K,Q355))</f>
        <v/>
      </c>
      <c r="S355" s="37" t="str">
        <f aca="false">IF(OR(R355="",R355=0,P355=""),"",P355/R355-1)</f>
        <v/>
      </c>
    </row>
    <row r="356" customFormat="false" ht="15" hidden="false" customHeight="false" outlineLevel="0" collapsed="false">
      <c r="A356" s="27"/>
      <c r="B356" s="5"/>
      <c r="C356" s="35"/>
      <c r="D356" s="5"/>
      <c r="E356" s="5"/>
      <c r="F356" s="19" t="str">
        <f aca="false">IF(A356="","",IF(COUNTIF(Contratos!$A:$A,A356)+COUNTIF(Pagamentos!$A:$A,A356)=0,"não consta","SIM — contratos: "&amp;COUNTIF(Contratos!$A:$A,A356)&amp;"; pagamentos: "&amp;COUNTIF(Pagamentos!$A:$A,A356)))</f>
        <v/>
      </c>
      <c r="G356" s="27"/>
      <c r="H356" s="5"/>
      <c r="J356" s="5"/>
      <c r="K356" s="41"/>
      <c r="L356" s="14"/>
      <c r="M356" s="5"/>
      <c r="N356" s="35"/>
      <c r="O356" s="27"/>
      <c r="P356" s="39" t="str">
        <f aca="false">IF(OR(J356="",K356=""),"",SUMIFS($N:$N,$J:$J,J356,$K:$K,K356))</f>
        <v/>
      </c>
      <c r="Q356" s="32" t="str">
        <f aca="false">IF(OR(J356="",K356=""),"",IF(COUNTIFS($J:$J,J356,$K:$K,"&lt;"&amp;K356)=0,"",_xlfn.MAXIFS($K:$K,$J:$J,J356,$K:$K,"&lt;"&amp;K356)))</f>
        <v/>
      </c>
      <c r="R356" s="39" t="str">
        <f aca="false">IF(Q356="","",SUMIFS($N:$N,$J:$J,J356,$K:$K,Q356))</f>
        <v/>
      </c>
      <c r="S356" s="37" t="str">
        <f aca="false">IF(OR(R356="",R356=0,P356=""),"",P356/R356-1)</f>
        <v/>
      </c>
    </row>
    <row r="357" customFormat="false" ht="15" hidden="false" customHeight="false" outlineLevel="0" collapsed="false">
      <c r="A357" s="27"/>
      <c r="B357" s="5"/>
      <c r="C357" s="35"/>
      <c r="D357" s="5"/>
      <c r="E357" s="5"/>
      <c r="F357" s="19" t="str">
        <f aca="false">IF(A357="","",IF(COUNTIF(Contratos!$A:$A,A357)+COUNTIF(Pagamentos!$A:$A,A357)=0,"não consta","SIM — contratos: "&amp;COUNTIF(Contratos!$A:$A,A357)&amp;"; pagamentos: "&amp;COUNTIF(Pagamentos!$A:$A,A357)))</f>
        <v/>
      </c>
      <c r="G357" s="27"/>
      <c r="H357" s="5"/>
      <c r="J357" s="5"/>
      <c r="K357" s="41"/>
      <c r="L357" s="14"/>
      <c r="M357" s="5"/>
      <c r="N357" s="35"/>
      <c r="O357" s="27"/>
      <c r="P357" s="39" t="str">
        <f aca="false">IF(OR(J357="",K357=""),"",SUMIFS($N:$N,$J:$J,J357,$K:$K,K357))</f>
        <v/>
      </c>
      <c r="Q357" s="32" t="str">
        <f aca="false">IF(OR(J357="",K357=""),"",IF(COUNTIFS($J:$J,J357,$K:$K,"&lt;"&amp;K357)=0,"",_xlfn.MAXIFS($K:$K,$J:$J,J357,$K:$K,"&lt;"&amp;K357)))</f>
        <v/>
      </c>
      <c r="R357" s="39" t="str">
        <f aca="false">IF(Q357="","",SUMIFS($N:$N,$J:$J,J357,$K:$K,Q357))</f>
        <v/>
      </c>
      <c r="S357" s="37" t="str">
        <f aca="false">IF(OR(R357="",R357=0,P357=""),"",P357/R357-1)</f>
        <v/>
      </c>
    </row>
    <row r="358" customFormat="false" ht="15" hidden="false" customHeight="false" outlineLevel="0" collapsed="false">
      <c r="A358" s="27"/>
      <c r="B358" s="5"/>
      <c r="C358" s="35"/>
      <c r="D358" s="5"/>
      <c r="E358" s="5"/>
      <c r="F358" s="19" t="str">
        <f aca="false">IF(A358="","",IF(COUNTIF(Contratos!$A:$A,A358)+COUNTIF(Pagamentos!$A:$A,A358)=0,"não consta","SIM — contratos: "&amp;COUNTIF(Contratos!$A:$A,A358)&amp;"; pagamentos: "&amp;COUNTIF(Pagamentos!$A:$A,A358)))</f>
        <v/>
      </c>
      <c r="G358" s="27"/>
      <c r="H358" s="5"/>
      <c r="J358" s="5"/>
      <c r="K358" s="41"/>
      <c r="L358" s="14"/>
      <c r="M358" s="5"/>
      <c r="N358" s="35"/>
      <c r="O358" s="27"/>
      <c r="P358" s="39" t="str">
        <f aca="false">IF(OR(J358="",K358=""),"",SUMIFS($N:$N,$J:$J,J358,$K:$K,K358))</f>
        <v/>
      </c>
      <c r="Q358" s="32" t="str">
        <f aca="false">IF(OR(J358="",K358=""),"",IF(COUNTIFS($J:$J,J358,$K:$K,"&lt;"&amp;K358)=0,"",_xlfn.MAXIFS($K:$K,$J:$J,J358,$K:$K,"&lt;"&amp;K358)))</f>
        <v/>
      </c>
      <c r="R358" s="39" t="str">
        <f aca="false">IF(Q358="","",SUMIFS($N:$N,$J:$J,J358,$K:$K,Q358))</f>
        <v/>
      </c>
      <c r="S358" s="37" t="str">
        <f aca="false">IF(OR(R358="",R358=0,P358=""),"",P358/R358-1)</f>
        <v/>
      </c>
    </row>
    <row r="359" customFormat="false" ht="15" hidden="false" customHeight="false" outlineLevel="0" collapsed="false">
      <c r="A359" s="27"/>
      <c r="B359" s="5"/>
      <c r="C359" s="35"/>
      <c r="D359" s="5"/>
      <c r="E359" s="5"/>
      <c r="F359" s="19" t="str">
        <f aca="false">IF(A359="","",IF(COUNTIF(Contratos!$A:$A,A359)+COUNTIF(Pagamentos!$A:$A,A359)=0,"não consta","SIM — contratos: "&amp;COUNTIF(Contratos!$A:$A,A359)&amp;"; pagamentos: "&amp;COUNTIF(Pagamentos!$A:$A,A359)))</f>
        <v/>
      </c>
      <c r="G359" s="27"/>
      <c r="H359" s="5"/>
      <c r="J359" s="5"/>
      <c r="K359" s="41"/>
      <c r="L359" s="14"/>
      <c r="M359" s="5"/>
      <c r="N359" s="35"/>
      <c r="O359" s="27"/>
      <c r="P359" s="39" t="str">
        <f aca="false">IF(OR(J359="",K359=""),"",SUMIFS($N:$N,$J:$J,J359,$K:$K,K359))</f>
        <v/>
      </c>
      <c r="Q359" s="32" t="str">
        <f aca="false">IF(OR(J359="",K359=""),"",IF(COUNTIFS($J:$J,J359,$K:$K,"&lt;"&amp;K359)=0,"",_xlfn.MAXIFS($K:$K,$J:$J,J359,$K:$K,"&lt;"&amp;K359)))</f>
        <v/>
      </c>
      <c r="R359" s="39" t="str">
        <f aca="false">IF(Q359="","",SUMIFS($N:$N,$J:$J,J359,$K:$K,Q359))</f>
        <v/>
      </c>
      <c r="S359" s="37" t="str">
        <f aca="false">IF(OR(R359="",R359=0,P359=""),"",P359/R359-1)</f>
        <v/>
      </c>
    </row>
    <row r="360" customFormat="false" ht="15" hidden="false" customHeight="false" outlineLevel="0" collapsed="false">
      <c r="A360" s="27"/>
      <c r="B360" s="5"/>
      <c r="C360" s="35"/>
      <c r="D360" s="5"/>
      <c r="E360" s="5"/>
      <c r="F360" s="19" t="str">
        <f aca="false">IF(A360="","",IF(COUNTIF(Contratos!$A:$A,A360)+COUNTIF(Pagamentos!$A:$A,A360)=0,"não consta","SIM — contratos: "&amp;COUNTIF(Contratos!$A:$A,A360)&amp;"; pagamentos: "&amp;COUNTIF(Pagamentos!$A:$A,A360)))</f>
        <v/>
      </c>
      <c r="G360" s="27"/>
      <c r="H360" s="5"/>
      <c r="J360" s="5"/>
      <c r="K360" s="41"/>
      <c r="L360" s="14"/>
      <c r="M360" s="5"/>
      <c r="N360" s="35"/>
      <c r="O360" s="27"/>
      <c r="P360" s="39" t="str">
        <f aca="false">IF(OR(J360="",K360=""),"",SUMIFS($N:$N,$J:$J,J360,$K:$K,K360))</f>
        <v/>
      </c>
      <c r="Q360" s="32" t="str">
        <f aca="false">IF(OR(J360="",K360=""),"",IF(COUNTIFS($J:$J,J360,$K:$K,"&lt;"&amp;K360)=0,"",_xlfn.MAXIFS($K:$K,$J:$J,J360,$K:$K,"&lt;"&amp;K360)))</f>
        <v/>
      </c>
      <c r="R360" s="39" t="str">
        <f aca="false">IF(Q360="","",SUMIFS($N:$N,$J:$J,J360,$K:$K,Q360))</f>
        <v/>
      </c>
      <c r="S360" s="37" t="str">
        <f aca="false">IF(OR(R360="",R360=0,P360=""),"",P360/R360-1)</f>
        <v/>
      </c>
    </row>
    <row r="361" customFormat="false" ht="15" hidden="false" customHeight="false" outlineLevel="0" collapsed="false">
      <c r="A361" s="27"/>
      <c r="B361" s="5"/>
      <c r="C361" s="35"/>
      <c r="D361" s="5"/>
      <c r="E361" s="5"/>
      <c r="F361" s="19" t="str">
        <f aca="false">IF(A361="","",IF(COUNTIF(Contratos!$A:$A,A361)+COUNTIF(Pagamentos!$A:$A,A361)=0,"não consta","SIM — contratos: "&amp;COUNTIF(Contratos!$A:$A,A361)&amp;"; pagamentos: "&amp;COUNTIF(Pagamentos!$A:$A,A361)))</f>
        <v/>
      </c>
      <c r="G361" s="27"/>
      <c r="H361" s="5"/>
      <c r="J361" s="5"/>
      <c r="K361" s="41"/>
      <c r="L361" s="14"/>
      <c r="M361" s="5"/>
      <c r="N361" s="35"/>
      <c r="O361" s="27"/>
      <c r="P361" s="39" t="str">
        <f aca="false">IF(OR(J361="",K361=""),"",SUMIFS($N:$N,$J:$J,J361,$K:$K,K361))</f>
        <v/>
      </c>
      <c r="Q361" s="32" t="str">
        <f aca="false">IF(OR(J361="",K361=""),"",IF(COUNTIFS($J:$J,J361,$K:$K,"&lt;"&amp;K361)=0,"",_xlfn.MAXIFS($K:$K,$J:$J,J361,$K:$K,"&lt;"&amp;K361)))</f>
        <v/>
      </c>
      <c r="R361" s="39" t="str">
        <f aca="false">IF(Q361="","",SUMIFS($N:$N,$J:$J,J361,$K:$K,Q361))</f>
        <v/>
      </c>
      <c r="S361" s="37" t="str">
        <f aca="false">IF(OR(R361="",R361=0,P361=""),"",P361/R361-1)</f>
        <v/>
      </c>
    </row>
    <row r="362" customFormat="false" ht="15" hidden="false" customHeight="false" outlineLevel="0" collapsed="false">
      <c r="A362" s="27"/>
      <c r="B362" s="5"/>
      <c r="C362" s="35"/>
      <c r="D362" s="5"/>
      <c r="E362" s="5"/>
      <c r="F362" s="19" t="str">
        <f aca="false">IF(A362="","",IF(COUNTIF(Contratos!$A:$A,A362)+COUNTIF(Pagamentos!$A:$A,A362)=0,"não consta","SIM — contratos: "&amp;COUNTIF(Contratos!$A:$A,A362)&amp;"; pagamentos: "&amp;COUNTIF(Pagamentos!$A:$A,A362)))</f>
        <v/>
      </c>
      <c r="G362" s="27"/>
      <c r="H362" s="5"/>
      <c r="J362" s="5"/>
      <c r="K362" s="41"/>
      <c r="L362" s="14"/>
      <c r="M362" s="5"/>
      <c r="N362" s="35"/>
      <c r="O362" s="27"/>
      <c r="P362" s="39" t="str">
        <f aca="false">IF(OR(J362="",K362=""),"",SUMIFS($N:$N,$J:$J,J362,$K:$K,K362))</f>
        <v/>
      </c>
      <c r="Q362" s="32" t="str">
        <f aca="false">IF(OR(J362="",K362=""),"",IF(COUNTIFS($J:$J,J362,$K:$K,"&lt;"&amp;K362)=0,"",_xlfn.MAXIFS($K:$K,$J:$J,J362,$K:$K,"&lt;"&amp;K362)))</f>
        <v/>
      </c>
      <c r="R362" s="39" t="str">
        <f aca="false">IF(Q362="","",SUMIFS($N:$N,$J:$J,J362,$K:$K,Q362))</f>
        <v/>
      </c>
      <c r="S362" s="37" t="str">
        <f aca="false">IF(OR(R362="",R362=0,P362=""),"",P362/R362-1)</f>
        <v/>
      </c>
    </row>
    <row r="363" customFormat="false" ht="15" hidden="false" customHeight="false" outlineLevel="0" collapsed="false">
      <c r="A363" s="27"/>
      <c r="B363" s="5"/>
      <c r="C363" s="35"/>
      <c r="D363" s="5"/>
      <c r="E363" s="5"/>
      <c r="F363" s="19" t="str">
        <f aca="false">IF(A363="","",IF(COUNTIF(Contratos!$A:$A,A363)+COUNTIF(Pagamentos!$A:$A,A363)=0,"não consta","SIM — contratos: "&amp;COUNTIF(Contratos!$A:$A,A363)&amp;"; pagamentos: "&amp;COUNTIF(Pagamentos!$A:$A,A363)))</f>
        <v/>
      </c>
      <c r="G363" s="27"/>
      <c r="H363" s="5"/>
      <c r="J363" s="5"/>
      <c r="K363" s="41"/>
      <c r="L363" s="14"/>
      <c r="M363" s="5"/>
      <c r="N363" s="35"/>
      <c r="O363" s="27"/>
      <c r="P363" s="39" t="str">
        <f aca="false">IF(OR(J363="",K363=""),"",SUMIFS($N:$N,$J:$J,J363,$K:$K,K363))</f>
        <v/>
      </c>
      <c r="Q363" s="32" t="str">
        <f aca="false">IF(OR(J363="",K363=""),"",IF(COUNTIFS($J:$J,J363,$K:$K,"&lt;"&amp;K363)=0,"",_xlfn.MAXIFS($K:$K,$J:$J,J363,$K:$K,"&lt;"&amp;K363)))</f>
        <v/>
      </c>
      <c r="R363" s="39" t="str">
        <f aca="false">IF(Q363="","",SUMIFS($N:$N,$J:$J,J363,$K:$K,Q363))</f>
        <v/>
      </c>
      <c r="S363" s="37" t="str">
        <f aca="false">IF(OR(R363="",R363=0,P363=""),"",P363/R363-1)</f>
        <v/>
      </c>
    </row>
    <row r="364" customFormat="false" ht="15" hidden="false" customHeight="false" outlineLevel="0" collapsed="false">
      <c r="A364" s="27"/>
      <c r="B364" s="5"/>
      <c r="C364" s="35"/>
      <c r="D364" s="5"/>
      <c r="E364" s="5"/>
      <c r="F364" s="19" t="str">
        <f aca="false">IF(A364="","",IF(COUNTIF(Contratos!$A:$A,A364)+COUNTIF(Pagamentos!$A:$A,A364)=0,"não consta","SIM — contratos: "&amp;COUNTIF(Contratos!$A:$A,A364)&amp;"; pagamentos: "&amp;COUNTIF(Pagamentos!$A:$A,A364)))</f>
        <v/>
      </c>
      <c r="G364" s="27"/>
      <c r="H364" s="5"/>
      <c r="J364" s="5"/>
      <c r="K364" s="41"/>
      <c r="L364" s="14"/>
      <c r="M364" s="5"/>
      <c r="N364" s="35"/>
      <c r="O364" s="27"/>
      <c r="P364" s="39" t="str">
        <f aca="false">IF(OR(J364="",K364=""),"",SUMIFS($N:$N,$J:$J,J364,$K:$K,K364))</f>
        <v/>
      </c>
      <c r="Q364" s="32" t="str">
        <f aca="false">IF(OR(J364="",K364=""),"",IF(COUNTIFS($J:$J,J364,$K:$K,"&lt;"&amp;K364)=0,"",_xlfn.MAXIFS($K:$K,$J:$J,J364,$K:$K,"&lt;"&amp;K364)))</f>
        <v/>
      </c>
      <c r="R364" s="39" t="str">
        <f aca="false">IF(Q364="","",SUMIFS($N:$N,$J:$J,J364,$K:$K,Q364))</f>
        <v/>
      </c>
      <c r="S364" s="37" t="str">
        <f aca="false">IF(OR(R364="",R364=0,P364=""),"",P364/R364-1)</f>
        <v/>
      </c>
    </row>
    <row r="365" customFormat="false" ht="15" hidden="false" customHeight="false" outlineLevel="0" collapsed="false">
      <c r="A365" s="27"/>
      <c r="B365" s="5"/>
      <c r="C365" s="35"/>
      <c r="D365" s="5"/>
      <c r="E365" s="5"/>
      <c r="F365" s="19" t="str">
        <f aca="false">IF(A365="","",IF(COUNTIF(Contratos!$A:$A,A365)+COUNTIF(Pagamentos!$A:$A,A365)=0,"não consta","SIM — contratos: "&amp;COUNTIF(Contratos!$A:$A,A365)&amp;"; pagamentos: "&amp;COUNTIF(Pagamentos!$A:$A,A365)))</f>
        <v/>
      </c>
      <c r="G365" s="27"/>
      <c r="H365" s="5"/>
      <c r="J365" s="5"/>
      <c r="K365" s="41"/>
      <c r="L365" s="14"/>
      <c r="M365" s="5"/>
      <c r="N365" s="35"/>
      <c r="O365" s="27"/>
      <c r="P365" s="39" t="str">
        <f aca="false">IF(OR(J365="",K365=""),"",SUMIFS($N:$N,$J:$J,J365,$K:$K,K365))</f>
        <v/>
      </c>
      <c r="Q365" s="32" t="str">
        <f aca="false">IF(OR(J365="",K365=""),"",IF(COUNTIFS($J:$J,J365,$K:$K,"&lt;"&amp;K365)=0,"",_xlfn.MAXIFS($K:$K,$J:$J,J365,$K:$K,"&lt;"&amp;K365)))</f>
        <v/>
      </c>
      <c r="R365" s="39" t="str">
        <f aca="false">IF(Q365="","",SUMIFS($N:$N,$J:$J,J365,$K:$K,Q365))</f>
        <v/>
      </c>
      <c r="S365" s="37" t="str">
        <f aca="false">IF(OR(R365="",R365=0,P365=""),"",P365/R365-1)</f>
        <v/>
      </c>
    </row>
    <row r="366" customFormat="false" ht="15" hidden="false" customHeight="false" outlineLevel="0" collapsed="false">
      <c r="A366" s="27"/>
      <c r="B366" s="5"/>
      <c r="C366" s="35"/>
      <c r="D366" s="5"/>
      <c r="E366" s="5"/>
      <c r="F366" s="19" t="str">
        <f aca="false">IF(A366="","",IF(COUNTIF(Contratos!$A:$A,A366)+COUNTIF(Pagamentos!$A:$A,A366)=0,"não consta","SIM — contratos: "&amp;COUNTIF(Contratos!$A:$A,A366)&amp;"; pagamentos: "&amp;COUNTIF(Pagamentos!$A:$A,A366)))</f>
        <v/>
      </c>
      <c r="G366" s="27"/>
      <c r="H366" s="5"/>
      <c r="J366" s="5"/>
      <c r="K366" s="41"/>
      <c r="L366" s="14"/>
      <c r="M366" s="5"/>
      <c r="N366" s="35"/>
      <c r="O366" s="27"/>
      <c r="P366" s="39" t="str">
        <f aca="false">IF(OR(J366="",K366=""),"",SUMIFS($N:$N,$J:$J,J366,$K:$K,K366))</f>
        <v/>
      </c>
      <c r="Q366" s="32" t="str">
        <f aca="false">IF(OR(J366="",K366=""),"",IF(COUNTIFS($J:$J,J366,$K:$K,"&lt;"&amp;K366)=0,"",_xlfn.MAXIFS($K:$K,$J:$J,J366,$K:$K,"&lt;"&amp;K366)))</f>
        <v/>
      </c>
      <c r="R366" s="39" t="str">
        <f aca="false">IF(Q366="","",SUMIFS($N:$N,$J:$J,J366,$K:$K,Q366))</f>
        <v/>
      </c>
      <c r="S366" s="37" t="str">
        <f aca="false">IF(OR(R366="",R366=0,P366=""),"",P366/R366-1)</f>
        <v/>
      </c>
    </row>
    <row r="367" customFormat="false" ht="15" hidden="false" customHeight="false" outlineLevel="0" collapsed="false">
      <c r="A367" s="27"/>
      <c r="B367" s="5"/>
      <c r="C367" s="35"/>
      <c r="D367" s="5"/>
      <c r="E367" s="5"/>
      <c r="F367" s="19" t="str">
        <f aca="false">IF(A367="","",IF(COUNTIF(Contratos!$A:$A,A367)+COUNTIF(Pagamentos!$A:$A,A367)=0,"não consta","SIM — contratos: "&amp;COUNTIF(Contratos!$A:$A,A367)&amp;"; pagamentos: "&amp;COUNTIF(Pagamentos!$A:$A,A367)))</f>
        <v/>
      </c>
      <c r="G367" s="27"/>
      <c r="H367" s="5"/>
      <c r="J367" s="5"/>
      <c r="K367" s="41"/>
      <c r="L367" s="14"/>
      <c r="M367" s="5"/>
      <c r="N367" s="35"/>
      <c r="O367" s="27"/>
      <c r="P367" s="39" t="str">
        <f aca="false">IF(OR(J367="",K367=""),"",SUMIFS($N:$N,$J:$J,J367,$K:$K,K367))</f>
        <v/>
      </c>
      <c r="Q367" s="32" t="str">
        <f aca="false">IF(OR(J367="",K367=""),"",IF(COUNTIFS($J:$J,J367,$K:$K,"&lt;"&amp;K367)=0,"",_xlfn.MAXIFS($K:$K,$J:$J,J367,$K:$K,"&lt;"&amp;K367)))</f>
        <v/>
      </c>
      <c r="R367" s="39" t="str">
        <f aca="false">IF(Q367="","",SUMIFS($N:$N,$J:$J,J367,$K:$K,Q367))</f>
        <v/>
      </c>
      <c r="S367" s="37" t="str">
        <f aca="false">IF(OR(R367="",R367=0,P367=""),"",P367/R367-1)</f>
        <v/>
      </c>
    </row>
    <row r="368" customFormat="false" ht="15" hidden="false" customHeight="false" outlineLevel="0" collapsed="false">
      <c r="A368" s="27"/>
      <c r="B368" s="5"/>
      <c r="C368" s="35"/>
      <c r="D368" s="5"/>
      <c r="E368" s="5"/>
      <c r="F368" s="19" t="str">
        <f aca="false">IF(A368="","",IF(COUNTIF(Contratos!$A:$A,A368)+COUNTIF(Pagamentos!$A:$A,A368)=0,"não consta","SIM — contratos: "&amp;COUNTIF(Contratos!$A:$A,A368)&amp;"; pagamentos: "&amp;COUNTIF(Pagamentos!$A:$A,A368)))</f>
        <v/>
      </c>
      <c r="G368" s="27"/>
      <c r="H368" s="5"/>
      <c r="J368" s="5"/>
      <c r="K368" s="41"/>
      <c r="L368" s="14"/>
      <c r="M368" s="5"/>
      <c r="N368" s="35"/>
      <c r="O368" s="27"/>
      <c r="P368" s="39" t="str">
        <f aca="false">IF(OR(J368="",K368=""),"",SUMIFS($N:$N,$J:$J,J368,$K:$K,K368))</f>
        <v/>
      </c>
      <c r="Q368" s="32" t="str">
        <f aca="false">IF(OR(J368="",K368=""),"",IF(COUNTIFS($J:$J,J368,$K:$K,"&lt;"&amp;K368)=0,"",_xlfn.MAXIFS($K:$K,$J:$J,J368,$K:$K,"&lt;"&amp;K368)))</f>
        <v/>
      </c>
      <c r="R368" s="39" t="str">
        <f aca="false">IF(Q368="","",SUMIFS($N:$N,$J:$J,J368,$K:$K,Q368))</f>
        <v/>
      </c>
      <c r="S368" s="37" t="str">
        <f aca="false">IF(OR(R368="",R368=0,P368=""),"",P368/R368-1)</f>
        <v/>
      </c>
    </row>
    <row r="369" customFormat="false" ht="15" hidden="false" customHeight="false" outlineLevel="0" collapsed="false">
      <c r="A369" s="27"/>
      <c r="B369" s="5"/>
      <c r="C369" s="35"/>
      <c r="D369" s="5"/>
      <c r="E369" s="5"/>
      <c r="F369" s="19" t="str">
        <f aca="false">IF(A369="","",IF(COUNTIF(Contratos!$A:$A,A369)+COUNTIF(Pagamentos!$A:$A,A369)=0,"não consta","SIM — contratos: "&amp;COUNTIF(Contratos!$A:$A,A369)&amp;"; pagamentos: "&amp;COUNTIF(Pagamentos!$A:$A,A369)))</f>
        <v/>
      </c>
      <c r="G369" s="27"/>
      <c r="H369" s="5"/>
      <c r="J369" s="5"/>
      <c r="K369" s="41"/>
      <c r="L369" s="14"/>
      <c r="M369" s="5"/>
      <c r="N369" s="35"/>
      <c r="O369" s="27"/>
      <c r="P369" s="39" t="str">
        <f aca="false">IF(OR(J369="",K369=""),"",SUMIFS($N:$N,$J:$J,J369,$K:$K,K369))</f>
        <v/>
      </c>
      <c r="Q369" s="32" t="str">
        <f aca="false">IF(OR(J369="",K369=""),"",IF(COUNTIFS($J:$J,J369,$K:$K,"&lt;"&amp;K369)=0,"",_xlfn.MAXIFS($K:$K,$J:$J,J369,$K:$K,"&lt;"&amp;K369)))</f>
        <v/>
      </c>
      <c r="R369" s="39" t="str">
        <f aca="false">IF(Q369="","",SUMIFS($N:$N,$J:$J,J369,$K:$K,Q369))</f>
        <v/>
      </c>
      <c r="S369" s="37" t="str">
        <f aca="false">IF(OR(R369="",R369=0,P369=""),"",P369/R369-1)</f>
        <v/>
      </c>
    </row>
    <row r="370" customFormat="false" ht="15" hidden="false" customHeight="false" outlineLevel="0" collapsed="false">
      <c r="A370" s="27"/>
      <c r="B370" s="5"/>
      <c r="C370" s="35"/>
      <c r="D370" s="5"/>
      <c r="E370" s="5"/>
      <c r="F370" s="19" t="str">
        <f aca="false">IF(A370="","",IF(COUNTIF(Contratos!$A:$A,A370)+COUNTIF(Pagamentos!$A:$A,A370)=0,"não consta","SIM — contratos: "&amp;COUNTIF(Contratos!$A:$A,A370)&amp;"; pagamentos: "&amp;COUNTIF(Pagamentos!$A:$A,A370)))</f>
        <v/>
      </c>
      <c r="G370" s="27"/>
      <c r="H370" s="5"/>
      <c r="J370" s="5"/>
      <c r="K370" s="41"/>
      <c r="L370" s="14"/>
      <c r="M370" s="5"/>
      <c r="N370" s="35"/>
      <c r="O370" s="27"/>
      <c r="P370" s="39" t="str">
        <f aca="false">IF(OR(J370="",K370=""),"",SUMIFS($N:$N,$J:$J,J370,$K:$K,K370))</f>
        <v/>
      </c>
      <c r="Q370" s="32" t="str">
        <f aca="false">IF(OR(J370="",K370=""),"",IF(COUNTIFS($J:$J,J370,$K:$K,"&lt;"&amp;K370)=0,"",_xlfn.MAXIFS($K:$K,$J:$J,J370,$K:$K,"&lt;"&amp;K370)))</f>
        <v/>
      </c>
      <c r="R370" s="39" t="str">
        <f aca="false">IF(Q370="","",SUMIFS($N:$N,$J:$J,J370,$K:$K,Q370))</f>
        <v/>
      </c>
      <c r="S370" s="37" t="str">
        <f aca="false">IF(OR(R370="",R370=0,P370=""),"",P370/R370-1)</f>
        <v/>
      </c>
    </row>
    <row r="371" customFormat="false" ht="15" hidden="false" customHeight="false" outlineLevel="0" collapsed="false">
      <c r="A371" s="27"/>
      <c r="B371" s="5"/>
      <c r="C371" s="35"/>
      <c r="D371" s="5"/>
      <c r="E371" s="5"/>
      <c r="F371" s="19" t="str">
        <f aca="false">IF(A371="","",IF(COUNTIF(Contratos!$A:$A,A371)+COUNTIF(Pagamentos!$A:$A,A371)=0,"não consta","SIM — contratos: "&amp;COUNTIF(Contratos!$A:$A,A371)&amp;"; pagamentos: "&amp;COUNTIF(Pagamentos!$A:$A,A371)))</f>
        <v/>
      </c>
      <c r="G371" s="27"/>
      <c r="H371" s="5"/>
      <c r="J371" s="5"/>
      <c r="K371" s="41"/>
      <c r="L371" s="14"/>
      <c r="M371" s="5"/>
      <c r="N371" s="35"/>
      <c r="O371" s="27"/>
      <c r="P371" s="39" t="str">
        <f aca="false">IF(OR(J371="",K371=""),"",SUMIFS($N:$N,$J:$J,J371,$K:$K,K371))</f>
        <v/>
      </c>
      <c r="Q371" s="32" t="str">
        <f aca="false">IF(OR(J371="",K371=""),"",IF(COUNTIFS($J:$J,J371,$K:$K,"&lt;"&amp;K371)=0,"",_xlfn.MAXIFS($K:$K,$J:$J,J371,$K:$K,"&lt;"&amp;K371)))</f>
        <v/>
      </c>
      <c r="R371" s="39" t="str">
        <f aca="false">IF(Q371="","",SUMIFS($N:$N,$J:$J,J371,$K:$K,Q371))</f>
        <v/>
      </c>
      <c r="S371" s="37" t="str">
        <f aca="false">IF(OR(R371="",R371=0,P371=""),"",P371/R371-1)</f>
        <v/>
      </c>
    </row>
    <row r="372" customFormat="false" ht="15" hidden="false" customHeight="false" outlineLevel="0" collapsed="false">
      <c r="A372" s="27"/>
      <c r="B372" s="5"/>
      <c r="C372" s="35"/>
      <c r="D372" s="5"/>
      <c r="E372" s="5"/>
      <c r="F372" s="19" t="str">
        <f aca="false">IF(A372="","",IF(COUNTIF(Contratos!$A:$A,A372)+COUNTIF(Pagamentos!$A:$A,A372)=0,"não consta","SIM — contratos: "&amp;COUNTIF(Contratos!$A:$A,A372)&amp;"; pagamentos: "&amp;COUNTIF(Pagamentos!$A:$A,A372)))</f>
        <v/>
      </c>
      <c r="G372" s="27"/>
      <c r="H372" s="5"/>
      <c r="J372" s="5"/>
      <c r="K372" s="41"/>
      <c r="L372" s="14"/>
      <c r="M372" s="5"/>
      <c r="N372" s="35"/>
      <c r="O372" s="27"/>
      <c r="P372" s="39" t="str">
        <f aca="false">IF(OR(J372="",K372=""),"",SUMIFS($N:$N,$J:$J,J372,$K:$K,K372))</f>
        <v/>
      </c>
      <c r="Q372" s="32" t="str">
        <f aca="false">IF(OR(J372="",K372=""),"",IF(COUNTIFS($J:$J,J372,$K:$K,"&lt;"&amp;K372)=0,"",_xlfn.MAXIFS($K:$K,$J:$J,J372,$K:$K,"&lt;"&amp;K372)))</f>
        <v/>
      </c>
      <c r="R372" s="39" t="str">
        <f aca="false">IF(Q372="","",SUMIFS($N:$N,$J:$J,J372,$K:$K,Q372))</f>
        <v/>
      </c>
      <c r="S372" s="37" t="str">
        <f aca="false">IF(OR(R372="",R372=0,P372=""),"",P372/R372-1)</f>
        <v/>
      </c>
    </row>
    <row r="373" customFormat="false" ht="15" hidden="false" customHeight="false" outlineLevel="0" collapsed="false">
      <c r="A373" s="27"/>
      <c r="B373" s="5"/>
      <c r="C373" s="35"/>
      <c r="D373" s="5"/>
      <c r="E373" s="5"/>
      <c r="F373" s="19" t="str">
        <f aca="false">IF(A373="","",IF(COUNTIF(Contratos!$A:$A,A373)+COUNTIF(Pagamentos!$A:$A,A373)=0,"não consta","SIM — contratos: "&amp;COUNTIF(Contratos!$A:$A,A373)&amp;"; pagamentos: "&amp;COUNTIF(Pagamentos!$A:$A,A373)))</f>
        <v/>
      </c>
      <c r="G373" s="27"/>
      <c r="H373" s="5"/>
      <c r="J373" s="5"/>
      <c r="K373" s="41"/>
      <c r="L373" s="14"/>
      <c r="M373" s="5"/>
      <c r="N373" s="35"/>
      <c r="O373" s="27"/>
      <c r="P373" s="39" t="str">
        <f aca="false">IF(OR(J373="",K373=""),"",SUMIFS($N:$N,$J:$J,J373,$K:$K,K373))</f>
        <v/>
      </c>
      <c r="Q373" s="32" t="str">
        <f aca="false">IF(OR(J373="",K373=""),"",IF(COUNTIFS($J:$J,J373,$K:$K,"&lt;"&amp;K373)=0,"",_xlfn.MAXIFS($K:$K,$J:$J,J373,$K:$K,"&lt;"&amp;K373)))</f>
        <v/>
      </c>
      <c r="R373" s="39" t="str">
        <f aca="false">IF(Q373="","",SUMIFS($N:$N,$J:$J,J373,$K:$K,Q373))</f>
        <v/>
      </c>
      <c r="S373" s="37" t="str">
        <f aca="false">IF(OR(R373="",R373=0,P373=""),"",P373/R373-1)</f>
        <v/>
      </c>
    </row>
    <row r="374" customFormat="false" ht="15" hidden="false" customHeight="false" outlineLevel="0" collapsed="false">
      <c r="A374" s="27"/>
      <c r="B374" s="5"/>
      <c r="C374" s="35"/>
      <c r="D374" s="5"/>
      <c r="E374" s="5"/>
      <c r="F374" s="19" t="str">
        <f aca="false">IF(A374="","",IF(COUNTIF(Contratos!$A:$A,A374)+COUNTIF(Pagamentos!$A:$A,A374)=0,"não consta","SIM — contratos: "&amp;COUNTIF(Contratos!$A:$A,A374)&amp;"; pagamentos: "&amp;COUNTIF(Pagamentos!$A:$A,A374)))</f>
        <v/>
      </c>
      <c r="G374" s="27"/>
      <c r="H374" s="5"/>
      <c r="J374" s="5"/>
      <c r="K374" s="41"/>
      <c r="L374" s="14"/>
      <c r="M374" s="5"/>
      <c r="N374" s="35"/>
      <c r="O374" s="27"/>
      <c r="P374" s="39" t="str">
        <f aca="false">IF(OR(J374="",K374=""),"",SUMIFS($N:$N,$J:$J,J374,$K:$K,K374))</f>
        <v/>
      </c>
      <c r="Q374" s="32" t="str">
        <f aca="false">IF(OR(J374="",K374=""),"",IF(COUNTIFS($J:$J,J374,$K:$K,"&lt;"&amp;K374)=0,"",_xlfn.MAXIFS($K:$K,$J:$J,J374,$K:$K,"&lt;"&amp;K374)))</f>
        <v/>
      </c>
      <c r="R374" s="39" t="str">
        <f aca="false">IF(Q374="","",SUMIFS($N:$N,$J:$J,J374,$K:$K,Q374))</f>
        <v/>
      </c>
      <c r="S374" s="37" t="str">
        <f aca="false">IF(OR(R374="",R374=0,P374=""),"",P374/R374-1)</f>
        <v/>
      </c>
    </row>
    <row r="375" customFormat="false" ht="15" hidden="false" customHeight="false" outlineLevel="0" collapsed="false">
      <c r="A375" s="27"/>
      <c r="B375" s="5"/>
      <c r="C375" s="35"/>
      <c r="D375" s="5"/>
      <c r="E375" s="5"/>
      <c r="F375" s="19" t="str">
        <f aca="false">IF(A375="","",IF(COUNTIF(Contratos!$A:$A,A375)+COUNTIF(Pagamentos!$A:$A,A375)=0,"não consta","SIM — contratos: "&amp;COUNTIF(Contratos!$A:$A,A375)&amp;"; pagamentos: "&amp;COUNTIF(Pagamentos!$A:$A,A375)))</f>
        <v/>
      </c>
      <c r="G375" s="27"/>
      <c r="H375" s="5"/>
      <c r="J375" s="5"/>
      <c r="K375" s="41"/>
      <c r="L375" s="14"/>
      <c r="M375" s="5"/>
      <c r="N375" s="35"/>
      <c r="O375" s="27"/>
      <c r="P375" s="39" t="str">
        <f aca="false">IF(OR(J375="",K375=""),"",SUMIFS($N:$N,$J:$J,J375,$K:$K,K375))</f>
        <v/>
      </c>
      <c r="Q375" s="32" t="str">
        <f aca="false">IF(OR(J375="",K375=""),"",IF(COUNTIFS($J:$J,J375,$K:$K,"&lt;"&amp;K375)=0,"",_xlfn.MAXIFS($K:$K,$J:$J,J375,$K:$K,"&lt;"&amp;K375)))</f>
        <v/>
      </c>
      <c r="R375" s="39" t="str">
        <f aca="false">IF(Q375="","",SUMIFS($N:$N,$J:$J,J375,$K:$K,Q375))</f>
        <v/>
      </c>
      <c r="S375" s="37" t="str">
        <f aca="false">IF(OR(R375="",R375=0,P375=""),"",P375/R375-1)</f>
        <v/>
      </c>
    </row>
    <row r="376" customFormat="false" ht="15" hidden="false" customHeight="false" outlineLevel="0" collapsed="false">
      <c r="A376" s="27"/>
      <c r="B376" s="5"/>
      <c r="C376" s="35"/>
      <c r="D376" s="5"/>
      <c r="E376" s="5"/>
      <c r="F376" s="19" t="str">
        <f aca="false">IF(A376="","",IF(COUNTIF(Contratos!$A:$A,A376)+COUNTIF(Pagamentos!$A:$A,A376)=0,"não consta","SIM — contratos: "&amp;COUNTIF(Contratos!$A:$A,A376)&amp;"; pagamentos: "&amp;COUNTIF(Pagamentos!$A:$A,A376)))</f>
        <v/>
      </c>
      <c r="G376" s="27"/>
      <c r="H376" s="5"/>
      <c r="J376" s="5"/>
      <c r="K376" s="41"/>
      <c r="L376" s="14"/>
      <c r="M376" s="5"/>
      <c r="N376" s="35"/>
      <c r="O376" s="27"/>
      <c r="P376" s="39" t="str">
        <f aca="false">IF(OR(J376="",K376=""),"",SUMIFS($N:$N,$J:$J,J376,$K:$K,K376))</f>
        <v/>
      </c>
      <c r="Q376" s="32" t="str">
        <f aca="false">IF(OR(J376="",K376=""),"",IF(COUNTIFS($J:$J,J376,$K:$K,"&lt;"&amp;K376)=0,"",_xlfn.MAXIFS($K:$K,$J:$J,J376,$K:$K,"&lt;"&amp;K376)))</f>
        <v/>
      </c>
      <c r="R376" s="39" t="str">
        <f aca="false">IF(Q376="","",SUMIFS($N:$N,$J:$J,J376,$K:$K,Q376))</f>
        <v/>
      </c>
      <c r="S376" s="37" t="str">
        <f aca="false">IF(OR(R376="",R376=0,P376=""),"",P376/R376-1)</f>
        <v/>
      </c>
    </row>
    <row r="377" customFormat="false" ht="15" hidden="false" customHeight="false" outlineLevel="0" collapsed="false">
      <c r="A377" s="27"/>
      <c r="B377" s="5"/>
      <c r="C377" s="35"/>
      <c r="D377" s="5"/>
      <c r="E377" s="5"/>
      <c r="F377" s="19" t="str">
        <f aca="false">IF(A377="","",IF(COUNTIF(Contratos!$A:$A,A377)+COUNTIF(Pagamentos!$A:$A,A377)=0,"não consta","SIM — contratos: "&amp;COUNTIF(Contratos!$A:$A,A377)&amp;"; pagamentos: "&amp;COUNTIF(Pagamentos!$A:$A,A377)))</f>
        <v/>
      </c>
      <c r="G377" s="27"/>
      <c r="H377" s="5"/>
      <c r="J377" s="5"/>
      <c r="K377" s="41"/>
      <c r="L377" s="14"/>
      <c r="M377" s="5"/>
      <c r="N377" s="35"/>
      <c r="O377" s="27"/>
      <c r="P377" s="39" t="str">
        <f aca="false">IF(OR(J377="",K377=""),"",SUMIFS($N:$N,$J:$J,J377,$K:$K,K377))</f>
        <v/>
      </c>
      <c r="Q377" s="32" t="str">
        <f aca="false">IF(OR(J377="",K377=""),"",IF(COUNTIFS($J:$J,J377,$K:$K,"&lt;"&amp;K377)=0,"",_xlfn.MAXIFS($K:$K,$J:$J,J377,$K:$K,"&lt;"&amp;K377)))</f>
        <v/>
      </c>
      <c r="R377" s="39" t="str">
        <f aca="false">IF(Q377="","",SUMIFS($N:$N,$J:$J,J377,$K:$K,Q377))</f>
        <v/>
      </c>
      <c r="S377" s="37" t="str">
        <f aca="false">IF(OR(R377="",R377=0,P377=""),"",P377/R377-1)</f>
        <v/>
      </c>
    </row>
    <row r="378" customFormat="false" ht="15" hidden="false" customHeight="false" outlineLevel="0" collapsed="false">
      <c r="A378" s="27"/>
      <c r="B378" s="5"/>
      <c r="C378" s="35"/>
      <c r="D378" s="5"/>
      <c r="E378" s="5"/>
      <c r="F378" s="19" t="str">
        <f aca="false">IF(A378="","",IF(COUNTIF(Contratos!$A:$A,A378)+COUNTIF(Pagamentos!$A:$A,A378)=0,"não consta","SIM — contratos: "&amp;COUNTIF(Contratos!$A:$A,A378)&amp;"; pagamentos: "&amp;COUNTIF(Pagamentos!$A:$A,A378)))</f>
        <v/>
      </c>
      <c r="G378" s="27"/>
      <c r="H378" s="5"/>
      <c r="J378" s="5"/>
      <c r="K378" s="41"/>
      <c r="L378" s="14"/>
      <c r="M378" s="5"/>
      <c r="N378" s="35"/>
      <c r="O378" s="27"/>
      <c r="P378" s="39" t="str">
        <f aca="false">IF(OR(J378="",K378=""),"",SUMIFS($N:$N,$J:$J,J378,$K:$K,K378))</f>
        <v/>
      </c>
      <c r="Q378" s="32" t="str">
        <f aca="false">IF(OR(J378="",K378=""),"",IF(COUNTIFS($J:$J,J378,$K:$K,"&lt;"&amp;K378)=0,"",_xlfn.MAXIFS($K:$K,$J:$J,J378,$K:$K,"&lt;"&amp;K378)))</f>
        <v/>
      </c>
      <c r="R378" s="39" t="str">
        <f aca="false">IF(Q378="","",SUMIFS($N:$N,$J:$J,J378,$K:$K,Q378))</f>
        <v/>
      </c>
      <c r="S378" s="37" t="str">
        <f aca="false">IF(OR(R378="",R378=0,P378=""),"",P378/R378-1)</f>
        <v/>
      </c>
    </row>
    <row r="379" customFormat="false" ht="15" hidden="false" customHeight="false" outlineLevel="0" collapsed="false">
      <c r="A379" s="27"/>
      <c r="B379" s="5"/>
      <c r="C379" s="35"/>
      <c r="D379" s="5"/>
      <c r="E379" s="5"/>
      <c r="F379" s="19" t="str">
        <f aca="false">IF(A379="","",IF(COUNTIF(Contratos!$A:$A,A379)+COUNTIF(Pagamentos!$A:$A,A379)=0,"não consta","SIM — contratos: "&amp;COUNTIF(Contratos!$A:$A,A379)&amp;"; pagamentos: "&amp;COUNTIF(Pagamentos!$A:$A,A379)))</f>
        <v/>
      </c>
      <c r="G379" s="27"/>
      <c r="H379" s="5"/>
      <c r="J379" s="5"/>
      <c r="K379" s="41"/>
      <c r="L379" s="14"/>
      <c r="M379" s="5"/>
      <c r="N379" s="35"/>
      <c r="O379" s="27"/>
      <c r="P379" s="39" t="str">
        <f aca="false">IF(OR(J379="",K379=""),"",SUMIFS($N:$N,$J:$J,J379,$K:$K,K379))</f>
        <v/>
      </c>
      <c r="Q379" s="32" t="str">
        <f aca="false">IF(OR(J379="",K379=""),"",IF(COUNTIFS($J:$J,J379,$K:$K,"&lt;"&amp;K379)=0,"",_xlfn.MAXIFS($K:$K,$J:$J,J379,$K:$K,"&lt;"&amp;K379)))</f>
        <v/>
      </c>
      <c r="R379" s="39" t="str">
        <f aca="false">IF(Q379="","",SUMIFS($N:$N,$J:$J,J379,$K:$K,Q379))</f>
        <v/>
      </c>
      <c r="S379" s="37" t="str">
        <f aca="false">IF(OR(R379="",R379=0,P379=""),"",P379/R379-1)</f>
        <v/>
      </c>
    </row>
    <row r="380" customFormat="false" ht="15" hidden="false" customHeight="false" outlineLevel="0" collapsed="false">
      <c r="A380" s="27"/>
      <c r="B380" s="5"/>
      <c r="C380" s="35"/>
      <c r="D380" s="5"/>
      <c r="E380" s="5"/>
      <c r="F380" s="19" t="str">
        <f aca="false">IF(A380="","",IF(COUNTIF(Contratos!$A:$A,A380)+COUNTIF(Pagamentos!$A:$A,A380)=0,"não consta","SIM — contratos: "&amp;COUNTIF(Contratos!$A:$A,A380)&amp;"; pagamentos: "&amp;COUNTIF(Pagamentos!$A:$A,A380)))</f>
        <v/>
      </c>
      <c r="G380" s="27"/>
      <c r="H380" s="5"/>
      <c r="J380" s="5"/>
      <c r="K380" s="41"/>
      <c r="L380" s="14"/>
      <c r="M380" s="5"/>
      <c r="N380" s="35"/>
      <c r="O380" s="27"/>
      <c r="P380" s="39" t="str">
        <f aca="false">IF(OR(J380="",K380=""),"",SUMIFS($N:$N,$J:$J,J380,$K:$K,K380))</f>
        <v/>
      </c>
      <c r="Q380" s="32" t="str">
        <f aca="false">IF(OR(J380="",K380=""),"",IF(COUNTIFS($J:$J,J380,$K:$K,"&lt;"&amp;K380)=0,"",_xlfn.MAXIFS($K:$K,$J:$J,J380,$K:$K,"&lt;"&amp;K380)))</f>
        <v/>
      </c>
      <c r="R380" s="39" t="str">
        <f aca="false">IF(Q380="","",SUMIFS($N:$N,$J:$J,J380,$K:$K,Q380))</f>
        <v/>
      </c>
      <c r="S380" s="37" t="str">
        <f aca="false">IF(OR(R380="",R380=0,P380=""),"",P380/R380-1)</f>
        <v/>
      </c>
    </row>
    <row r="381" customFormat="false" ht="15" hidden="false" customHeight="false" outlineLevel="0" collapsed="false">
      <c r="A381" s="27"/>
      <c r="B381" s="5"/>
      <c r="C381" s="35"/>
      <c r="D381" s="5"/>
      <c r="E381" s="5"/>
      <c r="F381" s="19" t="str">
        <f aca="false">IF(A381="","",IF(COUNTIF(Contratos!$A:$A,A381)+COUNTIF(Pagamentos!$A:$A,A381)=0,"não consta","SIM — contratos: "&amp;COUNTIF(Contratos!$A:$A,A381)&amp;"; pagamentos: "&amp;COUNTIF(Pagamentos!$A:$A,A381)))</f>
        <v/>
      </c>
      <c r="G381" s="27"/>
      <c r="H381" s="5"/>
      <c r="J381" s="5"/>
      <c r="K381" s="41"/>
      <c r="L381" s="14"/>
      <c r="M381" s="5"/>
      <c r="N381" s="35"/>
      <c r="O381" s="27"/>
      <c r="P381" s="39" t="str">
        <f aca="false">IF(OR(J381="",K381=""),"",SUMIFS($N:$N,$J:$J,J381,$K:$K,K381))</f>
        <v/>
      </c>
      <c r="Q381" s="32" t="str">
        <f aca="false">IF(OR(J381="",K381=""),"",IF(COUNTIFS($J:$J,J381,$K:$K,"&lt;"&amp;K381)=0,"",_xlfn.MAXIFS($K:$K,$J:$J,J381,$K:$K,"&lt;"&amp;K381)))</f>
        <v/>
      </c>
      <c r="R381" s="39" t="str">
        <f aca="false">IF(Q381="","",SUMIFS($N:$N,$J:$J,J381,$K:$K,Q381))</f>
        <v/>
      </c>
      <c r="S381" s="37" t="str">
        <f aca="false">IF(OR(R381="",R381=0,P381=""),"",P381/R381-1)</f>
        <v/>
      </c>
    </row>
    <row r="382" customFormat="false" ht="15" hidden="false" customHeight="false" outlineLevel="0" collapsed="false">
      <c r="A382" s="27"/>
      <c r="B382" s="5"/>
      <c r="C382" s="35"/>
      <c r="D382" s="5"/>
      <c r="E382" s="5"/>
      <c r="F382" s="19" t="str">
        <f aca="false">IF(A382="","",IF(COUNTIF(Contratos!$A:$A,A382)+COUNTIF(Pagamentos!$A:$A,A382)=0,"não consta","SIM — contratos: "&amp;COUNTIF(Contratos!$A:$A,A382)&amp;"; pagamentos: "&amp;COUNTIF(Pagamentos!$A:$A,A382)))</f>
        <v/>
      </c>
      <c r="G382" s="27"/>
      <c r="H382" s="5"/>
      <c r="J382" s="5"/>
      <c r="K382" s="41"/>
      <c r="L382" s="14"/>
      <c r="M382" s="5"/>
      <c r="N382" s="35"/>
      <c r="O382" s="27"/>
      <c r="P382" s="39" t="str">
        <f aca="false">IF(OR(J382="",K382=""),"",SUMIFS($N:$N,$J:$J,J382,$K:$K,K382))</f>
        <v/>
      </c>
      <c r="Q382" s="32" t="str">
        <f aca="false">IF(OR(J382="",K382=""),"",IF(COUNTIFS($J:$J,J382,$K:$K,"&lt;"&amp;K382)=0,"",_xlfn.MAXIFS($K:$K,$J:$J,J382,$K:$K,"&lt;"&amp;K382)))</f>
        <v/>
      </c>
      <c r="R382" s="39" t="str">
        <f aca="false">IF(Q382="","",SUMIFS($N:$N,$J:$J,J382,$K:$K,Q382))</f>
        <v/>
      </c>
      <c r="S382" s="37" t="str">
        <f aca="false">IF(OR(R382="",R382=0,P382=""),"",P382/R382-1)</f>
        <v/>
      </c>
    </row>
    <row r="383" customFormat="false" ht="15" hidden="false" customHeight="false" outlineLevel="0" collapsed="false">
      <c r="A383" s="27"/>
      <c r="B383" s="5"/>
      <c r="C383" s="35"/>
      <c r="D383" s="5"/>
      <c r="E383" s="5"/>
      <c r="F383" s="19" t="str">
        <f aca="false">IF(A383="","",IF(COUNTIF(Contratos!$A:$A,A383)+COUNTIF(Pagamentos!$A:$A,A383)=0,"não consta","SIM — contratos: "&amp;COUNTIF(Contratos!$A:$A,A383)&amp;"; pagamentos: "&amp;COUNTIF(Pagamentos!$A:$A,A383)))</f>
        <v/>
      </c>
      <c r="G383" s="27"/>
      <c r="H383" s="5"/>
      <c r="J383" s="5"/>
      <c r="K383" s="41"/>
      <c r="L383" s="14"/>
      <c r="M383" s="5"/>
      <c r="N383" s="35"/>
      <c r="O383" s="27"/>
      <c r="P383" s="39" t="str">
        <f aca="false">IF(OR(J383="",K383=""),"",SUMIFS($N:$N,$J:$J,J383,$K:$K,K383))</f>
        <v/>
      </c>
      <c r="Q383" s="32" t="str">
        <f aca="false">IF(OR(J383="",K383=""),"",IF(COUNTIFS($J:$J,J383,$K:$K,"&lt;"&amp;K383)=0,"",_xlfn.MAXIFS($K:$K,$J:$J,J383,$K:$K,"&lt;"&amp;K383)))</f>
        <v/>
      </c>
      <c r="R383" s="39" t="str">
        <f aca="false">IF(Q383="","",SUMIFS($N:$N,$J:$J,J383,$K:$K,Q383))</f>
        <v/>
      </c>
      <c r="S383" s="37" t="str">
        <f aca="false">IF(OR(R383="",R383=0,P383=""),"",P383/R383-1)</f>
        <v/>
      </c>
    </row>
    <row r="384" customFormat="false" ht="15" hidden="false" customHeight="false" outlineLevel="0" collapsed="false">
      <c r="A384" s="27"/>
      <c r="B384" s="5"/>
      <c r="C384" s="35"/>
      <c r="D384" s="5"/>
      <c r="E384" s="5"/>
      <c r="F384" s="19" t="str">
        <f aca="false">IF(A384="","",IF(COUNTIF(Contratos!$A:$A,A384)+COUNTIF(Pagamentos!$A:$A,A384)=0,"não consta","SIM — contratos: "&amp;COUNTIF(Contratos!$A:$A,A384)&amp;"; pagamentos: "&amp;COUNTIF(Pagamentos!$A:$A,A384)))</f>
        <v/>
      </c>
      <c r="G384" s="27"/>
      <c r="H384" s="5"/>
      <c r="J384" s="5"/>
      <c r="K384" s="41"/>
      <c r="L384" s="14"/>
      <c r="M384" s="5"/>
      <c r="N384" s="35"/>
      <c r="O384" s="27"/>
      <c r="P384" s="39" t="str">
        <f aca="false">IF(OR(J384="",K384=""),"",SUMIFS($N:$N,$J:$J,J384,$K:$K,K384))</f>
        <v/>
      </c>
      <c r="Q384" s="32" t="str">
        <f aca="false">IF(OR(J384="",K384=""),"",IF(COUNTIFS($J:$J,J384,$K:$K,"&lt;"&amp;K384)=0,"",_xlfn.MAXIFS($K:$K,$J:$J,J384,$K:$K,"&lt;"&amp;K384)))</f>
        <v/>
      </c>
      <c r="R384" s="39" t="str">
        <f aca="false">IF(Q384="","",SUMIFS($N:$N,$J:$J,J384,$K:$K,Q384))</f>
        <v/>
      </c>
      <c r="S384" s="37" t="str">
        <f aca="false">IF(OR(R384="",R384=0,P384=""),"",P384/R384-1)</f>
        <v/>
      </c>
    </row>
    <row r="385" customFormat="false" ht="15" hidden="false" customHeight="false" outlineLevel="0" collapsed="false">
      <c r="A385" s="27"/>
      <c r="B385" s="5"/>
      <c r="C385" s="35"/>
      <c r="D385" s="5"/>
      <c r="E385" s="5"/>
      <c r="F385" s="19" t="str">
        <f aca="false">IF(A385="","",IF(COUNTIF(Contratos!$A:$A,A385)+COUNTIF(Pagamentos!$A:$A,A385)=0,"não consta","SIM — contratos: "&amp;COUNTIF(Contratos!$A:$A,A385)&amp;"; pagamentos: "&amp;COUNTIF(Pagamentos!$A:$A,A385)))</f>
        <v/>
      </c>
      <c r="G385" s="27"/>
      <c r="H385" s="5"/>
      <c r="J385" s="5"/>
      <c r="K385" s="41"/>
      <c r="L385" s="14"/>
      <c r="M385" s="5"/>
      <c r="N385" s="35"/>
      <c r="O385" s="27"/>
      <c r="P385" s="39" t="str">
        <f aca="false">IF(OR(J385="",K385=""),"",SUMIFS($N:$N,$J:$J,J385,$K:$K,K385))</f>
        <v/>
      </c>
      <c r="Q385" s="32" t="str">
        <f aca="false">IF(OR(J385="",K385=""),"",IF(COUNTIFS($J:$J,J385,$K:$K,"&lt;"&amp;K385)=0,"",_xlfn.MAXIFS($K:$K,$J:$J,J385,$K:$K,"&lt;"&amp;K385)))</f>
        <v/>
      </c>
      <c r="R385" s="39" t="str">
        <f aca="false">IF(Q385="","",SUMIFS($N:$N,$J:$J,J385,$K:$K,Q385))</f>
        <v/>
      </c>
      <c r="S385" s="37" t="str">
        <f aca="false">IF(OR(R385="",R385=0,P385=""),"",P385/R385-1)</f>
        <v/>
      </c>
    </row>
    <row r="386" customFormat="false" ht="15" hidden="false" customHeight="false" outlineLevel="0" collapsed="false">
      <c r="A386" s="27"/>
      <c r="B386" s="5"/>
      <c r="C386" s="35"/>
      <c r="D386" s="5"/>
      <c r="E386" s="5"/>
      <c r="F386" s="19" t="str">
        <f aca="false">IF(A386="","",IF(COUNTIF(Contratos!$A:$A,A386)+COUNTIF(Pagamentos!$A:$A,A386)=0,"não consta","SIM — contratos: "&amp;COUNTIF(Contratos!$A:$A,A386)&amp;"; pagamentos: "&amp;COUNTIF(Pagamentos!$A:$A,A386)))</f>
        <v/>
      </c>
      <c r="G386" s="27"/>
      <c r="H386" s="5"/>
      <c r="J386" s="5"/>
      <c r="K386" s="41"/>
      <c r="L386" s="14"/>
      <c r="M386" s="5"/>
      <c r="N386" s="35"/>
      <c r="O386" s="27"/>
      <c r="P386" s="39" t="str">
        <f aca="false">IF(OR(J386="",K386=""),"",SUMIFS($N:$N,$J:$J,J386,$K:$K,K386))</f>
        <v/>
      </c>
      <c r="Q386" s="32" t="str">
        <f aca="false">IF(OR(J386="",K386=""),"",IF(COUNTIFS($J:$J,J386,$K:$K,"&lt;"&amp;K386)=0,"",_xlfn.MAXIFS($K:$K,$J:$J,J386,$K:$K,"&lt;"&amp;K386)))</f>
        <v/>
      </c>
      <c r="R386" s="39" t="str">
        <f aca="false">IF(Q386="","",SUMIFS($N:$N,$J:$J,J386,$K:$K,Q386))</f>
        <v/>
      </c>
      <c r="S386" s="37" t="str">
        <f aca="false">IF(OR(R386="",R386=0,P386=""),"",P386/R386-1)</f>
        <v/>
      </c>
    </row>
    <row r="387" customFormat="false" ht="15" hidden="false" customHeight="false" outlineLevel="0" collapsed="false">
      <c r="A387" s="27"/>
      <c r="B387" s="5"/>
      <c r="C387" s="35"/>
      <c r="D387" s="5"/>
      <c r="E387" s="5"/>
      <c r="F387" s="19" t="str">
        <f aca="false">IF(A387="","",IF(COUNTIF(Contratos!$A:$A,A387)+COUNTIF(Pagamentos!$A:$A,A387)=0,"não consta","SIM — contratos: "&amp;COUNTIF(Contratos!$A:$A,A387)&amp;"; pagamentos: "&amp;COUNTIF(Pagamentos!$A:$A,A387)))</f>
        <v/>
      </c>
      <c r="G387" s="27"/>
      <c r="H387" s="5"/>
      <c r="J387" s="5"/>
      <c r="K387" s="41"/>
      <c r="L387" s="14"/>
      <c r="M387" s="5"/>
      <c r="N387" s="35"/>
      <c r="O387" s="27"/>
      <c r="P387" s="39" t="str">
        <f aca="false">IF(OR(J387="",K387=""),"",SUMIFS($N:$N,$J:$J,J387,$K:$K,K387))</f>
        <v/>
      </c>
      <c r="Q387" s="32" t="str">
        <f aca="false">IF(OR(J387="",K387=""),"",IF(COUNTIFS($J:$J,J387,$K:$K,"&lt;"&amp;K387)=0,"",_xlfn.MAXIFS($K:$K,$J:$J,J387,$K:$K,"&lt;"&amp;K387)))</f>
        <v/>
      </c>
      <c r="R387" s="39" t="str">
        <f aca="false">IF(Q387="","",SUMIFS($N:$N,$J:$J,J387,$K:$K,Q387))</f>
        <v/>
      </c>
      <c r="S387" s="37" t="str">
        <f aca="false">IF(OR(R387="",R387=0,P387=""),"",P387/R387-1)</f>
        <v/>
      </c>
    </row>
    <row r="388" customFormat="false" ht="15" hidden="false" customHeight="false" outlineLevel="0" collapsed="false">
      <c r="A388" s="27"/>
      <c r="B388" s="5"/>
      <c r="C388" s="35"/>
      <c r="D388" s="5"/>
      <c r="E388" s="5"/>
      <c r="F388" s="19" t="str">
        <f aca="false">IF(A388="","",IF(COUNTIF(Contratos!$A:$A,A388)+COUNTIF(Pagamentos!$A:$A,A388)=0,"não consta","SIM — contratos: "&amp;COUNTIF(Contratos!$A:$A,A388)&amp;"; pagamentos: "&amp;COUNTIF(Pagamentos!$A:$A,A388)))</f>
        <v/>
      </c>
      <c r="G388" s="27"/>
      <c r="H388" s="5"/>
      <c r="J388" s="5"/>
      <c r="K388" s="41"/>
      <c r="L388" s="14"/>
      <c r="M388" s="5"/>
      <c r="N388" s="35"/>
      <c r="O388" s="27"/>
      <c r="P388" s="39" t="str">
        <f aca="false">IF(OR(J388="",K388=""),"",SUMIFS($N:$N,$J:$J,J388,$K:$K,K388))</f>
        <v/>
      </c>
      <c r="Q388" s="32" t="str">
        <f aca="false">IF(OR(J388="",K388=""),"",IF(COUNTIFS($J:$J,J388,$K:$K,"&lt;"&amp;K388)=0,"",_xlfn.MAXIFS($K:$K,$J:$J,J388,$K:$K,"&lt;"&amp;K388)))</f>
        <v/>
      </c>
      <c r="R388" s="39" t="str">
        <f aca="false">IF(Q388="","",SUMIFS($N:$N,$J:$J,J388,$K:$K,Q388))</f>
        <v/>
      </c>
      <c r="S388" s="37" t="str">
        <f aca="false">IF(OR(R388="",R388=0,P388=""),"",P388/R388-1)</f>
        <v/>
      </c>
    </row>
    <row r="389" customFormat="false" ht="15" hidden="false" customHeight="false" outlineLevel="0" collapsed="false">
      <c r="A389" s="27"/>
      <c r="B389" s="5"/>
      <c r="C389" s="35"/>
      <c r="D389" s="5"/>
      <c r="E389" s="5"/>
      <c r="F389" s="19" t="str">
        <f aca="false">IF(A389="","",IF(COUNTIF(Contratos!$A:$A,A389)+COUNTIF(Pagamentos!$A:$A,A389)=0,"não consta","SIM — contratos: "&amp;COUNTIF(Contratos!$A:$A,A389)&amp;"; pagamentos: "&amp;COUNTIF(Pagamentos!$A:$A,A389)))</f>
        <v/>
      </c>
      <c r="G389" s="27"/>
      <c r="H389" s="5"/>
      <c r="J389" s="5"/>
      <c r="K389" s="41"/>
      <c r="L389" s="14"/>
      <c r="M389" s="5"/>
      <c r="N389" s="35"/>
      <c r="O389" s="27"/>
      <c r="P389" s="39" t="str">
        <f aca="false">IF(OR(J389="",K389=""),"",SUMIFS($N:$N,$J:$J,J389,$K:$K,K389))</f>
        <v/>
      </c>
      <c r="Q389" s="32" t="str">
        <f aca="false">IF(OR(J389="",K389=""),"",IF(COUNTIFS($J:$J,J389,$K:$K,"&lt;"&amp;K389)=0,"",_xlfn.MAXIFS($K:$K,$J:$J,J389,$K:$K,"&lt;"&amp;K389)))</f>
        <v/>
      </c>
      <c r="R389" s="39" t="str">
        <f aca="false">IF(Q389="","",SUMIFS($N:$N,$J:$J,J389,$K:$K,Q389))</f>
        <v/>
      </c>
      <c r="S389" s="37" t="str">
        <f aca="false">IF(OR(R389="",R389=0,P389=""),"",P389/R389-1)</f>
        <v/>
      </c>
    </row>
    <row r="390" customFormat="false" ht="15" hidden="false" customHeight="false" outlineLevel="0" collapsed="false">
      <c r="A390" s="27"/>
      <c r="B390" s="5"/>
      <c r="C390" s="35"/>
      <c r="D390" s="5"/>
      <c r="E390" s="5"/>
      <c r="F390" s="19" t="str">
        <f aca="false">IF(A390="","",IF(COUNTIF(Contratos!$A:$A,A390)+COUNTIF(Pagamentos!$A:$A,A390)=0,"não consta","SIM — contratos: "&amp;COUNTIF(Contratos!$A:$A,A390)&amp;"; pagamentos: "&amp;COUNTIF(Pagamentos!$A:$A,A390)))</f>
        <v/>
      </c>
      <c r="G390" s="27"/>
      <c r="H390" s="5"/>
      <c r="J390" s="5"/>
      <c r="K390" s="41"/>
      <c r="L390" s="14"/>
      <c r="M390" s="5"/>
      <c r="N390" s="35"/>
      <c r="O390" s="27"/>
      <c r="P390" s="39" t="str">
        <f aca="false">IF(OR(J390="",K390=""),"",SUMIFS($N:$N,$J:$J,J390,$K:$K,K390))</f>
        <v/>
      </c>
      <c r="Q390" s="32" t="str">
        <f aca="false">IF(OR(J390="",K390=""),"",IF(COUNTIFS($J:$J,J390,$K:$K,"&lt;"&amp;K390)=0,"",_xlfn.MAXIFS($K:$K,$J:$J,J390,$K:$K,"&lt;"&amp;K390)))</f>
        <v/>
      </c>
      <c r="R390" s="39" t="str">
        <f aca="false">IF(Q390="","",SUMIFS($N:$N,$J:$J,J390,$K:$K,Q390))</f>
        <v/>
      </c>
      <c r="S390" s="37" t="str">
        <f aca="false">IF(OR(R390="",R390=0,P390=""),"",P390/R390-1)</f>
        <v/>
      </c>
    </row>
    <row r="391" customFormat="false" ht="15" hidden="false" customHeight="false" outlineLevel="0" collapsed="false">
      <c r="A391" s="27"/>
      <c r="B391" s="5"/>
      <c r="C391" s="35"/>
      <c r="D391" s="5"/>
      <c r="E391" s="5"/>
      <c r="F391" s="19" t="str">
        <f aca="false">IF(A391="","",IF(COUNTIF(Contratos!$A:$A,A391)+COUNTIF(Pagamentos!$A:$A,A391)=0,"não consta","SIM — contratos: "&amp;COUNTIF(Contratos!$A:$A,A391)&amp;"; pagamentos: "&amp;COUNTIF(Pagamentos!$A:$A,A391)))</f>
        <v/>
      </c>
      <c r="G391" s="27"/>
      <c r="H391" s="5"/>
      <c r="J391" s="5"/>
      <c r="K391" s="41"/>
      <c r="L391" s="14"/>
      <c r="M391" s="5"/>
      <c r="N391" s="35"/>
      <c r="O391" s="27"/>
      <c r="P391" s="39" t="str">
        <f aca="false">IF(OR(J391="",K391=""),"",SUMIFS($N:$N,$J:$J,J391,$K:$K,K391))</f>
        <v/>
      </c>
      <c r="Q391" s="32" t="str">
        <f aca="false">IF(OR(J391="",K391=""),"",IF(COUNTIFS($J:$J,J391,$K:$K,"&lt;"&amp;K391)=0,"",_xlfn.MAXIFS($K:$K,$J:$J,J391,$K:$K,"&lt;"&amp;K391)))</f>
        <v/>
      </c>
      <c r="R391" s="39" t="str">
        <f aca="false">IF(Q391="","",SUMIFS($N:$N,$J:$J,J391,$K:$K,Q391))</f>
        <v/>
      </c>
      <c r="S391" s="37" t="str">
        <f aca="false">IF(OR(R391="",R391=0,P391=""),"",P391/R391-1)</f>
        <v/>
      </c>
    </row>
    <row r="392" customFormat="false" ht="15" hidden="false" customHeight="false" outlineLevel="0" collapsed="false">
      <c r="A392" s="27"/>
      <c r="B392" s="5"/>
      <c r="C392" s="35"/>
      <c r="D392" s="5"/>
      <c r="E392" s="5"/>
      <c r="F392" s="19" t="str">
        <f aca="false">IF(A392="","",IF(COUNTIF(Contratos!$A:$A,A392)+COUNTIF(Pagamentos!$A:$A,A392)=0,"não consta","SIM — contratos: "&amp;COUNTIF(Contratos!$A:$A,A392)&amp;"; pagamentos: "&amp;COUNTIF(Pagamentos!$A:$A,A392)))</f>
        <v/>
      </c>
      <c r="G392" s="27"/>
      <c r="H392" s="5"/>
      <c r="J392" s="5"/>
      <c r="K392" s="41"/>
      <c r="L392" s="14"/>
      <c r="M392" s="5"/>
      <c r="N392" s="35"/>
      <c r="O392" s="27"/>
      <c r="P392" s="39" t="str">
        <f aca="false">IF(OR(J392="",K392=""),"",SUMIFS($N:$N,$J:$J,J392,$K:$K,K392))</f>
        <v/>
      </c>
      <c r="Q392" s="32" t="str">
        <f aca="false">IF(OR(J392="",K392=""),"",IF(COUNTIFS($J:$J,J392,$K:$K,"&lt;"&amp;K392)=0,"",_xlfn.MAXIFS($K:$K,$J:$J,J392,$K:$K,"&lt;"&amp;K392)))</f>
        <v/>
      </c>
      <c r="R392" s="39" t="str">
        <f aca="false">IF(Q392="","",SUMIFS($N:$N,$J:$J,J392,$K:$K,Q392))</f>
        <v/>
      </c>
      <c r="S392" s="37" t="str">
        <f aca="false">IF(OR(R392="",R392=0,P392=""),"",P392/R392-1)</f>
        <v/>
      </c>
    </row>
    <row r="393" customFormat="false" ht="15" hidden="false" customHeight="false" outlineLevel="0" collapsed="false">
      <c r="A393" s="27"/>
      <c r="B393" s="5"/>
      <c r="C393" s="35"/>
      <c r="D393" s="5"/>
      <c r="E393" s="5"/>
      <c r="F393" s="19" t="str">
        <f aca="false">IF(A393="","",IF(COUNTIF(Contratos!$A:$A,A393)+COUNTIF(Pagamentos!$A:$A,A393)=0,"não consta","SIM — contratos: "&amp;COUNTIF(Contratos!$A:$A,A393)&amp;"; pagamentos: "&amp;COUNTIF(Pagamentos!$A:$A,A393)))</f>
        <v/>
      </c>
      <c r="G393" s="27"/>
      <c r="H393" s="5"/>
      <c r="J393" s="5"/>
      <c r="K393" s="41"/>
      <c r="L393" s="14"/>
      <c r="M393" s="5"/>
      <c r="N393" s="35"/>
      <c r="O393" s="27"/>
      <c r="P393" s="39" t="str">
        <f aca="false">IF(OR(J393="",K393=""),"",SUMIFS($N:$N,$J:$J,J393,$K:$K,K393))</f>
        <v/>
      </c>
      <c r="Q393" s="32" t="str">
        <f aca="false">IF(OR(J393="",K393=""),"",IF(COUNTIFS($J:$J,J393,$K:$K,"&lt;"&amp;K393)=0,"",_xlfn.MAXIFS($K:$K,$J:$J,J393,$K:$K,"&lt;"&amp;K393)))</f>
        <v/>
      </c>
      <c r="R393" s="39" t="str">
        <f aca="false">IF(Q393="","",SUMIFS($N:$N,$J:$J,J393,$K:$K,Q393))</f>
        <v/>
      </c>
      <c r="S393" s="37" t="str">
        <f aca="false">IF(OR(R393="",R393=0,P393=""),"",P393/R393-1)</f>
        <v/>
      </c>
    </row>
    <row r="394" customFormat="false" ht="15" hidden="false" customHeight="false" outlineLevel="0" collapsed="false">
      <c r="A394" s="27"/>
      <c r="B394" s="5"/>
      <c r="C394" s="35"/>
      <c r="D394" s="5"/>
      <c r="E394" s="5"/>
      <c r="F394" s="19" t="str">
        <f aca="false">IF(A394="","",IF(COUNTIF(Contratos!$A:$A,A394)+COUNTIF(Pagamentos!$A:$A,A394)=0,"não consta","SIM — contratos: "&amp;COUNTIF(Contratos!$A:$A,A394)&amp;"; pagamentos: "&amp;COUNTIF(Pagamentos!$A:$A,A394)))</f>
        <v/>
      </c>
      <c r="G394" s="27"/>
      <c r="H394" s="5"/>
      <c r="J394" s="5"/>
      <c r="K394" s="41"/>
      <c r="L394" s="14"/>
      <c r="M394" s="5"/>
      <c r="N394" s="35"/>
      <c r="O394" s="27"/>
      <c r="P394" s="39" t="str">
        <f aca="false">IF(OR(J394="",K394=""),"",SUMIFS($N:$N,$J:$J,J394,$K:$K,K394))</f>
        <v/>
      </c>
      <c r="Q394" s="32" t="str">
        <f aca="false">IF(OR(J394="",K394=""),"",IF(COUNTIFS($J:$J,J394,$K:$K,"&lt;"&amp;K394)=0,"",_xlfn.MAXIFS($K:$K,$J:$J,J394,$K:$K,"&lt;"&amp;K394)))</f>
        <v/>
      </c>
      <c r="R394" s="39" t="str">
        <f aca="false">IF(Q394="","",SUMIFS($N:$N,$J:$J,J394,$K:$K,Q394))</f>
        <v/>
      </c>
      <c r="S394" s="37" t="str">
        <f aca="false">IF(OR(R394="",R394=0,P394=""),"",P394/R394-1)</f>
        <v/>
      </c>
    </row>
    <row r="395" customFormat="false" ht="15" hidden="false" customHeight="false" outlineLevel="0" collapsed="false">
      <c r="A395" s="27"/>
      <c r="B395" s="5"/>
      <c r="C395" s="35"/>
      <c r="D395" s="5"/>
      <c r="E395" s="5"/>
      <c r="F395" s="19" t="str">
        <f aca="false">IF(A395="","",IF(COUNTIF(Contratos!$A:$A,A395)+COUNTIF(Pagamentos!$A:$A,A395)=0,"não consta","SIM — contratos: "&amp;COUNTIF(Contratos!$A:$A,A395)&amp;"; pagamentos: "&amp;COUNTIF(Pagamentos!$A:$A,A395)))</f>
        <v/>
      </c>
      <c r="G395" s="27"/>
      <c r="H395" s="5"/>
      <c r="J395" s="5"/>
      <c r="K395" s="41"/>
      <c r="L395" s="14"/>
      <c r="M395" s="5"/>
      <c r="N395" s="35"/>
      <c r="O395" s="27"/>
      <c r="P395" s="39" t="str">
        <f aca="false">IF(OR(J395="",K395=""),"",SUMIFS($N:$N,$J:$J,J395,$K:$K,K395))</f>
        <v/>
      </c>
      <c r="Q395" s="32" t="str">
        <f aca="false">IF(OR(J395="",K395=""),"",IF(COUNTIFS($J:$J,J395,$K:$K,"&lt;"&amp;K395)=0,"",_xlfn.MAXIFS($K:$K,$J:$J,J395,$K:$K,"&lt;"&amp;K395)))</f>
        <v/>
      </c>
      <c r="R395" s="39" t="str">
        <f aca="false">IF(Q395="","",SUMIFS($N:$N,$J:$J,J395,$K:$K,Q395))</f>
        <v/>
      </c>
      <c r="S395" s="37" t="str">
        <f aca="false">IF(OR(R395="",R395=0,P395=""),"",P395/R395-1)</f>
        <v/>
      </c>
    </row>
    <row r="396" customFormat="false" ht="15" hidden="false" customHeight="false" outlineLevel="0" collapsed="false">
      <c r="A396" s="27"/>
      <c r="B396" s="5"/>
      <c r="C396" s="35"/>
      <c r="D396" s="5"/>
      <c r="E396" s="5"/>
      <c r="F396" s="19" t="str">
        <f aca="false">IF(A396="","",IF(COUNTIF(Contratos!$A:$A,A396)+COUNTIF(Pagamentos!$A:$A,A396)=0,"não consta","SIM — contratos: "&amp;COUNTIF(Contratos!$A:$A,A396)&amp;"; pagamentos: "&amp;COUNTIF(Pagamentos!$A:$A,A396)))</f>
        <v/>
      </c>
      <c r="G396" s="27"/>
      <c r="H396" s="5"/>
      <c r="J396" s="5"/>
      <c r="K396" s="41"/>
      <c r="L396" s="14"/>
      <c r="M396" s="5"/>
      <c r="N396" s="35"/>
      <c r="O396" s="27"/>
      <c r="P396" s="39" t="str">
        <f aca="false">IF(OR(J396="",K396=""),"",SUMIFS($N:$N,$J:$J,J396,$K:$K,K396))</f>
        <v/>
      </c>
      <c r="Q396" s="32" t="str">
        <f aca="false">IF(OR(J396="",K396=""),"",IF(COUNTIFS($J:$J,J396,$K:$K,"&lt;"&amp;K396)=0,"",_xlfn.MAXIFS($K:$K,$J:$J,J396,$K:$K,"&lt;"&amp;K396)))</f>
        <v/>
      </c>
      <c r="R396" s="39" t="str">
        <f aca="false">IF(Q396="","",SUMIFS($N:$N,$J:$J,J396,$K:$K,Q396))</f>
        <v/>
      </c>
      <c r="S396" s="37" t="str">
        <f aca="false">IF(OR(R396="",R396=0,P396=""),"",P396/R396-1)</f>
        <v/>
      </c>
    </row>
    <row r="397" customFormat="false" ht="15" hidden="false" customHeight="false" outlineLevel="0" collapsed="false">
      <c r="A397" s="27"/>
      <c r="B397" s="5"/>
      <c r="C397" s="35"/>
      <c r="D397" s="5"/>
      <c r="E397" s="5"/>
      <c r="F397" s="19" t="str">
        <f aca="false">IF(A397="","",IF(COUNTIF(Contratos!$A:$A,A397)+COUNTIF(Pagamentos!$A:$A,A397)=0,"não consta","SIM — contratos: "&amp;COUNTIF(Contratos!$A:$A,A397)&amp;"; pagamentos: "&amp;COUNTIF(Pagamentos!$A:$A,A397)))</f>
        <v/>
      </c>
      <c r="G397" s="27"/>
      <c r="H397" s="5"/>
      <c r="J397" s="5"/>
      <c r="K397" s="41"/>
      <c r="L397" s="14"/>
      <c r="M397" s="5"/>
      <c r="N397" s="35"/>
      <c r="O397" s="27"/>
      <c r="P397" s="39" t="str">
        <f aca="false">IF(OR(J397="",K397=""),"",SUMIFS($N:$N,$J:$J,J397,$K:$K,K397))</f>
        <v/>
      </c>
      <c r="Q397" s="32" t="str">
        <f aca="false">IF(OR(J397="",K397=""),"",IF(COUNTIFS($J:$J,J397,$K:$K,"&lt;"&amp;K397)=0,"",_xlfn.MAXIFS($K:$K,$J:$J,J397,$K:$K,"&lt;"&amp;K397)))</f>
        <v/>
      </c>
      <c r="R397" s="39" t="str">
        <f aca="false">IF(Q397="","",SUMIFS($N:$N,$J:$J,J397,$K:$K,Q397))</f>
        <v/>
      </c>
      <c r="S397" s="37" t="str">
        <f aca="false">IF(OR(R397="",R397=0,P397=""),"",P397/R397-1)</f>
        <v/>
      </c>
    </row>
    <row r="398" customFormat="false" ht="15" hidden="false" customHeight="false" outlineLevel="0" collapsed="false">
      <c r="A398" s="27"/>
      <c r="B398" s="5"/>
      <c r="C398" s="35"/>
      <c r="D398" s="5"/>
      <c r="E398" s="5"/>
      <c r="F398" s="19" t="str">
        <f aca="false">IF(A398="","",IF(COUNTIF(Contratos!$A:$A,A398)+COUNTIF(Pagamentos!$A:$A,A398)=0,"não consta","SIM — contratos: "&amp;COUNTIF(Contratos!$A:$A,A398)&amp;"; pagamentos: "&amp;COUNTIF(Pagamentos!$A:$A,A398)))</f>
        <v/>
      </c>
      <c r="G398" s="27"/>
      <c r="H398" s="5"/>
      <c r="J398" s="5"/>
      <c r="K398" s="41"/>
      <c r="L398" s="14"/>
      <c r="M398" s="5"/>
      <c r="N398" s="35"/>
      <c r="O398" s="27"/>
      <c r="P398" s="39" t="str">
        <f aca="false">IF(OR(J398="",K398=""),"",SUMIFS($N:$N,$J:$J,J398,$K:$K,K398))</f>
        <v/>
      </c>
      <c r="Q398" s="32" t="str">
        <f aca="false">IF(OR(J398="",K398=""),"",IF(COUNTIFS($J:$J,J398,$K:$K,"&lt;"&amp;K398)=0,"",_xlfn.MAXIFS($K:$K,$J:$J,J398,$K:$K,"&lt;"&amp;K398)))</f>
        <v/>
      </c>
      <c r="R398" s="39" t="str">
        <f aca="false">IF(Q398="","",SUMIFS($N:$N,$J:$J,J398,$K:$K,Q398))</f>
        <v/>
      </c>
      <c r="S398" s="37" t="str">
        <f aca="false">IF(OR(R398="",R398=0,P398=""),"",P398/R398-1)</f>
        <v/>
      </c>
    </row>
    <row r="399" customFormat="false" ht="15" hidden="false" customHeight="false" outlineLevel="0" collapsed="false">
      <c r="A399" s="27"/>
      <c r="B399" s="5"/>
      <c r="C399" s="35"/>
      <c r="D399" s="5"/>
      <c r="E399" s="5"/>
      <c r="F399" s="19" t="str">
        <f aca="false">IF(A399="","",IF(COUNTIF(Contratos!$A:$A,A399)+COUNTIF(Pagamentos!$A:$A,A399)=0,"não consta","SIM — contratos: "&amp;COUNTIF(Contratos!$A:$A,A399)&amp;"; pagamentos: "&amp;COUNTIF(Pagamentos!$A:$A,A399)))</f>
        <v/>
      </c>
      <c r="G399" s="27"/>
      <c r="H399" s="5"/>
      <c r="J399" s="5"/>
      <c r="K399" s="41"/>
      <c r="L399" s="14"/>
      <c r="M399" s="5"/>
      <c r="N399" s="35"/>
      <c r="O399" s="27"/>
      <c r="P399" s="39" t="str">
        <f aca="false">IF(OR(J399="",K399=""),"",SUMIFS($N:$N,$J:$J,J399,$K:$K,K399))</f>
        <v/>
      </c>
      <c r="Q399" s="32" t="str">
        <f aca="false">IF(OR(J399="",K399=""),"",IF(COUNTIFS($J:$J,J399,$K:$K,"&lt;"&amp;K399)=0,"",_xlfn.MAXIFS($K:$K,$J:$J,J399,$K:$K,"&lt;"&amp;K399)))</f>
        <v/>
      </c>
      <c r="R399" s="39" t="str">
        <f aca="false">IF(Q399="","",SUMIFS($N:$N,$J:$J,J399,$K:$K,Q399))</f>
        <v/>
      </c>
      <c r="S399" s="37" t="str">
        <f aca="false">IF(OR(R399="",R399=0,P399=""),"",P399/R399-1)</f>
        <v/>
      </c>
    </row>
    <row r="400" customFormat="false" ht="15" hidden="false" customHeight="false" outlineLevel="0" collapsed="false">
      <c r="A400" s="27"/>
      <c r="B400" s="5"/>
      <c r="C400" s="35"/>
      <c r="D400" s="5"/>
      <c r="E400" s="5"/>
      <c r="F400" s="19" t="str">
        <f aca="false">IF(A400="","",IF(COUNTIF(Contratos!$A:$A,A400)+COUNTIF(Pagamentos!$A:$A,A400)=0,"não consta","SIM — contratos: "&amp;COUNTIF(Contratos!$A:$A,A400)&amp;"; pagamentos: "&amp;COUNTIF(Pagamentos!$A:$A,A400)))</f>
        <v/>
      </c>
      <c r="G400" s="27"/>
      <c r="H400" s="5"/>
      <c r="J400" s="5"/>
      <c r="K400" s="41"/>
      <c r="L400" s="14"/>
      <c r="M400" s="5"/>
      <c r="N400" s="35"/>
      <c r="O400" s="27"/>
      <c r="P400" s="39" t="str">
        <f aca="false">IF(OR(J400="",K400=""),"",SUMIFS($N:$N,$J:$J,J400,$K:$K,K400))</f>
        <v/>
      </c>
      <c r="Q400" s="32" t="str">
        <f aca="false">IF(OR(J400="",K400=""),"",IF(COUNTIFS($J:$J,J400,$K:$K,"&lt;"&amp;K400)=0,"",_xlfn.MAXIFS($K:$K,$J:$J,J400,$K:$K,"&lt;"&amp;K400)))</f>
        <v/>
      </c>
      <c r="R400" s="39" t="str">
        <f aca="false">IF(Q400="","",SUMIFS($N:$N,$J:$J,J400,$K:$K,Q400))</f>
        <v/>
      </c>
      <c r="S400" s="37" t="str">
        <f aca="false">IF(OR(R400="",R400=0,P400=""),"",P400/R400-1)</f>
        <v/>
      </c>
    </row>
    <row r="401" customFormat="false" ht="15" hidden="false" customHeight="false" outlineLevel="0" collapsed="false">
      <c r="A401" s="27"/>
      <c r="B401" s="5"/>
      <c r="C401" s="35"/>
      <c r="D401" s="5"/>
      <c r="E401" s="5"/>
      <c r="F401" s="19" t="str">
        <f aca="false">IF(A401="","",IF(COUNTIF(Contratos!$A:$A,A401)+COUNTIF(Pagamentos!$A:$A,A401)=0,"não consta","SIM — contratos: "&amp;COUNTIF(Contratos!$A:$A,A401)&amp;"; pagamentos: "&amp;COUNTIF(Pagamentos!$A:$A,A401)))</f>
        <v/>
      </c>
      <c r="G401" s="27"/>
      <c r="H401" s="5"/>
      <c r="J401" s="5"/>
      <c r="K401" s="41"/>
      <c r="L401" s="14"/>
      <c r="M401" s="5"/>
      <c r="N401" s="35"/>
      <c r="O401" s="27"/>
      <c r="P401" s="39" t="str">
        <f aca="false">IF(OR(J401="",K401=""),"",SUMIFS($N:$N,$J:$J,J401,$K:$K,K401))</f>
        <v/>
      </c>
      <c r="Q401" s="32" t="str">
        <f aca="false">IF(OR(J401="",K401=""),"",IF(COUNTIFS($J:$J,J401,$K:$K,"&lt;"&amp;K401)=0,"",_xlfn.MAXIFS($K:$K,$J:$J,J401,$K:$K,"&lt;"&amp;K401)))</f>
        <v/>
      </c>
      <c r="R401" s="39" t="str">
        <f aca="false">IF(Q401="","",SUMIFS($N:$N,$J:$J,J401,$K:$K,Q401))</f>
        <v/>
      </c>
      <c r="S401" s="37" t="str">
        <f aca="false">IF(OR(R401="",R401=0,P401=""),"",P401/R401-1)</f>
        <v/>
      </c>
    </row>
    <row r="402" customFormat="false" ht="15" hidden="false" customHeight="false" outlineLevel="0" collapsed="false">
      <c r="A402" s="27"/>
      <c r="B402" s="5"/>
      <c r="C402" s="35"/>
      <c r="D402" s="5"/>
      <c r="E402" s="5"/>
      <c r="F402" s="19" t="str">
        <f aca="false">IF(A402="","",IF(COUNTIF(Contratos!$A:$A,A402)+COUNTIF(Pagamentos!$A:$A,A402)=0,"não consta","SIM — contratos: "&amp;COUNTIF(Contratos!$A:$A,A402)&amp;"; pagamentos: "&amp;COUNTIF(Pagamentos!$A:$A,A402)))</f>
        <v/>
      </c>
      <c r="G402" s="27"/>
      <c r="H402" s="5"/>
      <c r="J402" s="5"/>
      <c r="K402" s="41"/>
      <c r="L402" s="14"/>
      <c r="M402" s="5"/>
      <c r="N402" s="35"/>
      <c r="O402" s="27"/>
      <c r="P402" s="39" t="str">
        <f aca="false">IF(OR(J402="",K402=""),"",SUMIFS($N:$N,$J:$J,J402,$K:$K,K402))</f>
        <v/>
      </c>
      <c r="Q402" s="32" t="str">
        <f aca="false">IF(OR(J402="",K402=""),"",IF(COUNTIFS($J:$J,J402,$K:$K,"&lt;"&amp;K402)=0,"",_xlfn.MAXIFS($K:$K,$J:$J,J402,$K:$K,"&lt;"&amp;K402)))</f>
        <v/>
      </c>
      <c r="R402" s="39" t="str">
        <f aca="false">IF(Q402="","",SUMIFS($N:$N,$J:$J,J402,$K:$K,Q402))</f>
        <v/>
      </c>
      <c r="S402" s="37" t="str">
        <f aca="false">IF(OR(R402="",R402=0,P402=""),"",P402/R402-1)</f>
        <v/>
      </c>
    </row>
    <row r="403" customFormat="false" ht="15" hidden="false" customHeight="false" outlineLevel="0" collapsed="false">
      <c r="A403" s="27"/>
      <c r="B403" s="5"/>
      <c r="C403" s="35"/>
      <c r="D403" s="5"/>
      <c r="E403" s="5"/>
      <c r="F403" s="19" t="str">
        <f aca="false">IF(A403="","",IF(COUNTIF(Contratos!$A:$A,A403)+COUNTIF(Pagamentos!$A:$A,A403)=0,"não consta","SIM — contratos: "&amp;COUNTIF(Contratos!$A:$A,A403)&amp;"; pagamentos: "&amp;COUNTIF(Pagamentos!$A:$A,A403)))</f>
        <v/>
      </c>
      <c r="G403" s="27"/>
      <c r="H403" s="5"/>
      <c r="J403" s="5"/>
      <c r="K403" s="41"/>
      <c r="L403" s="14"/>
      <c r="M403" s="5"/>
      <c r="N403" s="35"/>
      <c r="O403" s="27"/>
      <c r="P403" s="39" t="str">
        <f aca="false">IF(OR(J403="",K403=""),"",SUMIFS($N:$N,$J:$J,J403,$K:$K,K403))</f>
        <v/>
      </c>
      <c r="Q403" s="32" t="str">
        <f aca="false">IF(OR(J403="",K403=""),"",IF(COUNTIFS($J:$J,J403,$K:$K,"&lt;"&amp;K403)=0,"",_xlfn.MAXIFS($K:$K,$J:$J,J403,$K:$K,"&lt;"&amp;K403)))</f>
        <v/>
      </c>
      <c r="R403" s="39" t="str">
        <f aca="false">IF(Q403="","",SUMIFS($N:$N,$J:$J,J403,$K:$K,Q403))</f>
        <v/>
      </c>
      <c r="S403" s="37" t="str">
        <f aca="false">IF(OR(R403="",R403=0,P403=""),"",P403/R403-1)</f>
        <v/>
      </c>
    </row>
    <row r="404" customFormat="false" ht="15" hidden="false" customHeight="false" outlineLevel="0" collapsed="false">
      <c r="A404" s="27"/>
      <c r="B404" s="5"/>
      <c r="C404" s="35"/>
      <c r="D404" s="5"/>
      <c r="E404" s="5"/>
      <c r="F404" s="19" t="str">
        <f aca="false">IF(A404="","",IF(COUNTIF(Contratos!$A:$A,A404)+COUNTIF(Pagamentos!$A:$A,A404)=0,"não consta","SIM — contratos: "&amp;COUNTIF(Contratos!$A:$A,A404)&amp;"; pagamentos: "&amp;COUNTIF(Pagamentos!$A:$A,A404)))</f>
        <v/>
      </c>
      <c r="G404" s="27"/>
      <c r="H404" s="5"/>
      <c r="J404" s="5"/>
      <c r="K404" s="41"/>
      <c r="L404" s="14"/>
      <c r="M404" s="5"/>
      <c r="N404" s="35"/>
      <c r="O404" s="27"/>
      <c r="P404" s="39" t="str">
        <f aca="false">IF(OR(J404="",K404=""),"",SUMIFS($N:$N,$J:$J,J404,$K:$K,K404))</f>
        <v/>
      </c>
      <c r="Q404" s="32" t="str">
        <f aca="false">IF(OR(J404="",K404=""),"",IF(COUNTIFS($J:$J,J404,$K:$K,"&lt;"&amp;K404)=0,"",_xlfn.MAXIFS($K:$K,$J:$J,J404,$K:$K,"&lt;"&amp;K404)))</f>
        <v/>
      </c>
      <c r="R404" s="39" t="str">
        <f aca="false">IF(Q404="","",SUMIFS($N:$N,$J:$J,J404,$K:$K,Q404))</f>
        <v/>
      </c>
      <c r="S404" s="37" t="str">
        <f aca="false">IF(OR(R404="",R404=0,P404=""),"",P404/R404-1)</f>
        <v/>
      </c>
    </row>
    <row r="405" customFormat="false" ht="15" hidden="false" customHeight="false" outlineLevel="0" collapsed="false">
      <c r="A405" s="27"/>
      <c r="B405" s="5"/>
      <c r="C405" s="35"/>
      <c r="D405" s="5"/>
      <c r="E405" s="5"/>
      <c r="F405" s="19" t="str">
        <f aca="false">IF(A405="","",IF(COUNTIF(Contratos!$A:$A,A405)+COUNTIF(Pagamentos!$A:$A,A405)=0,"não consta","SIM — contratos: "&amp;COUNTIF(Contratos!$A:$A,A405)&amp;"; pagamentos: "&amp;COUNTIF(Pagamentos!$A:$A,A405)))</f>
        <v/>
      </c>
      <c r="G405" s="27"/>
      <c r="H405" s="5"/>
      <c r="J405" s="5"/>
      <c r="K405" s="41"/>
      <c r="L405" s="14"/>
      <c r="M405" s="5"/>
      <c r="N405" s="35"/>
      <c r="O405" s="27"/>
      <c r="P405" s="39" t="str">
        <f aca="false">IF(OR(J405="",K405=""),"",SUMIFS($N:$N,$J:$J,J405,$K:$K,K405))</f>
        <v/>
      </c>
      <c r="Q405" s="32" t="str">
        <f aca="false">IF(OR(J405="",K405=""),"",IF(COUNTIFS($J:$J,J405,$K:$K,"&lt;"&amp;K405)=0,"",_xlfn.MAXIFS($K:$K,$J:$J,J405,$K:$K,"&lt;"&amp;K405)))</f>
        <v/>
      </c>
      <c r="R405" s="39" t="str">
        <f aca="false">IF(Q405="","",SUMIFS($N:$N,$J:$J,J405,$K:$K,Q405))</f>
        <v/>
      </c>
      <c r="S405" s="37" t="str">
        <f aca="false">IF(OR(R405="",R405=0,P405=""),"",P405/R405-1)</f>
        <v/>
      </c>
    </row>
    <row r="406" customFormat="false" ht="15" hidden="false" customHeight="false" outlineLevel="0" collapsed="false">
      <c r="A406" s="27"/>
      <c r="B406" s="5"/>
      <c r="C406" s="35"/>
      <c r="D406" s="5"/>
      <c r="E406" s="5"/>
      <c r="F406" s="19" t="str">
        <f aca="false">IF(A406="","",IF(COUNTIF(Contratos!$A:$A,A406)+COUNTIF(Pagamentos!$A:$A,A406)=0,"não consta","SIM — contratos: "&amp;COUNTIF(Contratos!$A:$A,A406)&amp;"; pagamentos: "&amp;COUNTIF(Pagamentos!$A:$A,A406)))</f>
        <v/>
      </c>
      <c r="G406" s="27"/>
      <c r="H406" s="5"/>
      <c r="J406" s="5"/>
      <c r="K406" s="41"/>
      <c r="L406" s="14"/>
      <c r="M406" s="5"/>
      <c r="N406" s="35"/>
      <c r="O406" s="27"/>
      <c r="P406" s="39" t="str">
        <f aca="false">IF(OR(J406="",K406=""),"",SUMIFS($N:$N,$J:$J,J406,$K:$K,K406))</f>
        <v/>
      </c>
      <c r="Q406" s="32" t="str">
        <f aca="false">IF(OR(J406="",K406=""),"",IF(COUNTIFS($J:$J,J406,$K:$K,"&lt;"&amp;K406)=0,"",_xlfn.MAXIFS($K:$K,$J:$J,J406,$K:$K,"&lt;"&amp;K406)))</f>
        <v/>
      </c>
      <c r="R406" s="39" t="str">
        <f aca="false">IF(Q406="","",SUMIFS($N:$N,$J:$J,J406,$K:$K,Q406))</f>
        <v/>
      </c>
      <c r="S406" s="37" t="str">
        <f aca="false">IF(OR(R406="",R406=0,P406=""),"",P406/R406-1)</f>
        <v/>
      </c>
    </row>
    <row r="407" customFormat="false" ht="15" hidden="false" customHeight="false" outlineLevel="0" collapsed="false">
      <c r="A407" s="27"/>
      <c r="B407" s="5"/>
      <c r="C407" s="35"/>
      <c r="D407" s="5"/>
      <c r="E407" s="5"/>
      <c r="F407" s="19" t="str">
        <f aca="false">IF(A407="","",IF(COUNTIF(Contratos!$A:$A,A407)+COUNTIF(Pagamentos!$A:$A,A407)=0,"não consta","SIM — contratos: "&amp;COUNTIF(Contratos!$A:$A,A407)&amp;"; pagamentos: "&amp;COUNTIF(Pagamentos!$A:$A,A407)))</f>
        <v/>
      </c>
      <c r="G407" s="27"/>
      <c r="H407" s="5"/>
      <c r="J407" s="5"/>
      <c r="K407" s="41"/>
      <c r="L407" s="14"/>
      <c r="M407" s="5"/>
      <c r="N407" s="35"/>
      <c r="O407" s="27"/>
      <c r="P407" s="39" t="str">
        <f aca="false">IF(OR(J407="",K407=""),"",SUMIFS($N:$N,$J:$J,J407,$K:$K,K407))</f>
        <v/>
      </c>
      <c r="Q407" s="32" t="str">
        <f aca="false">IF(OR(J407="",K407=""),"",IF(COUNTIFS($J:$J,J407,$K:$K,"&lt;"&amp;K407)=0,"",_xlfn.MAXIFS($K:$K,$J:$J,J407,$K:$K,"&lt;"&amp;K407)))</f>
        <v/>
      </c>
      <c r="R407" s="39" t="str">
        <f aca="false">IF(Q407="","",SUMIFS($N:$N,$J:$J,J407,$K:$K,Q407))</f>
        <v/>
      </c>
      <c r="S407" s="37" t="str">
        <f aca="false">IF(OR(R407="",R407=0,P407=""),"",P407/R407-1)</f>
        <v/>
      </c>
    </row>
    <row r="408" customFormat="false" ht="15" hidden="false" customHeight="false" outlineLevel="0" collapsed="false">
      <c r="A408" s="27"/>
      <c r="B408" s="5"/>
      <c r="C408" s="35"/>
      <c r="D408" s="5"/>
      <c r="E408" s="5"/>
      <c r="F408" s="19" t="str">
        <f aca="false">IF(A408="","",IF(COUNTIF(Contratos!$A:$A,A408)+COUNTIF(Pagamentos!$A:$A,A408)=0,"não consta","SIM — contratos: "&amp;COUNTIF(Contratos!$A:$A,A408)&amp;"; pagamentos: "&amp;COUNTIF(Pagamentos!$A:$A,A408)))</f>
        <v/>
      </c>
      <c r="G408" s="27"/>
      <c r="H408" s="5"/>
      <c r="J408" s="5"/>
      <c r="K408" s="41"/>
      <c r="L408" s="14"/>
      <c r="M408" s="5"/>
      <c r="N408" s="35"/>
      <c r="O408" s="27"/>
      <c r="P408" s="39" t="str">
        <f aca="false">IF(OR(J408="",K408=""),"",SUMIFS($N:$N,$J:$J,J408,$K:$K,K408))</f>
        <v/>
      </c>
      <c r="Q408" s="32" t="str">
        <f aca="false">IF(OR(J408="",K408=""),"",IF(COUNTIFS($J:$J,J408,$K:$K,"&lt;"&amp;K408)=0,"",_xlfn.MAXIFS($K:$K,$J:$J,J408,$K:$K,"&lt;"&amp;K408)))</f>
        <v/>
      </c>
      <c r="R408" s="39" t="str">
        <f aca="false">IF(Q408="","",SUMIFS($N:$N,$J:$J,J408,$K:$K,Q408))</f>
        <v/>
      </c>
      <c r="S408" s="37" t="str">
        <f aca="false">IF(OR(R408="",R408=0,P408=""),"",P408/R408-1)</f>
        <v/>
      </c>
    </row>
    <row r="409" customFormat="false" ht="15" hidden="false" customHeight="false" outlineLevel="0" collapsed="false">
      <c r="A409" s="27"/>
      <c r="B409" s="5"/>
      <c r="C409" s="35"/>
      <c r="D409" s="5"/>
      <c r="E409" s="5"/>
      <c r="F409" s="19" t="str">
        <f aca="false">IF(A409="","",IF(COUNTIF(Contratos!$A:$A,A409)+COUNTIF(Pagamentos!$A:$A,A409)=0,"não consta","SIM — contratos: "&amp;COUNTIF(Contratos!$A:$A,A409)&amp;"; pagamentos: "&amp;COUNTIF(Pagamentos!$A:$A,A409)))</f>
        <v/>
      </c>
      <c r="G409" s="27"/>
      <c r="H409" s="5"/>
      <c r="J409" s="5"/>
      <c r="K409" s="41"/>
      <c r="L409" s="14"/>
      <c r="M409" s="5"/>
      <c r="N409" s="35"/>
      <c r="O409" s="27"/>
      <c r="P409" s="39" t="str">
        <f aca="false">IF(OR(J409="",K409=""),"",SUMIFS($N:$N,$J:$J,J409,$K:$K,K409))</f>
        <v/>
      </c>
      <c r="Q409" s="32" t="str">
        <f aca="false">IF(OR(J409="",K409=""),"",IF(COUNTIFS($J:$J,J409,$K:$K,"&lt;"&amp;K409)=0,"",_xlfn.MAXIFS($K:$K,$J:$J,J409,$K:$K,"&lt;"&amp;K409)))</f>
        <v/>
      </c>
      <c r="R409" s="39" t="str">
        <f aca="false">IF(Q409="","",SUMIFS($N:$N,$J:$J,J409,$K:$K,Q409))</f>
        <v/>
      </c>
      <c r="S409" s="37" t="str">
        <f aca="false">IF(OR(R409="",R409=0,P409=""),"",P409/R409-1)</f>
        <v/>
      </c>
    </row>
    <row r="410" customFormat="false" ht="15" hidden="false" customHeight="false" outlineLevel="0" collapsed="false">
      <c r="A410" s="27"/>
      <c r="B410" s="5"/>
      <c r="C410" s="35"/>
      <c r="D410" s="5"/>
      <c r="E410" s="5"/>
      <c r="F410" s="19" t="str">
        <f aca="false">IF(A410="","",IF(COUNTIF(Contratos!$A:$A,A410)+COUNTIF(Pagamentos!$A:$A,A410)=0,"não consta","SIM — contratos: "&amp;COUNTIF(Contratos!$A:$A,A410)&amp;"; pagamentos: "&amp;COUNTIF(Pagamentos!$A:$A,A410)))</f>
        <v/>
      </c>
      <c r="G410" s="27"/>
      <c r="H410" s="5"/>
      <c r="J410" s="5"/>
      <c r="K410" s="41"/>
      <c r="L410" s="14"/>
      <c r="M410" s="5"/>
      <c r="N410" s="35"/>
      <c r="O410" s="27"/>
      <c r="P410" s="39" t="str">
        <f aca="false">IF(OR(J410="",K410=""),"",SUMIFS($N:$N,$J:$J,J410,$K:$K,K410))</f>
        <v/>
      </c>
      <c r="Q410" s="32" t="str">
        <f aca="false">IF(OR(J410="",K410=""),"",IF(COUNTIFS($J:$J,J410,$K:$K,"&lt;"&amp;K410)=0,"",_xlfn.MAXIFS($K:$K,$J:$J,J410,$K:$K,"&lt;"&amp;K410)))</f>
        <v/>
      </c>
      <c r="R410" s="39" t="str">
        <f aca="false">IF(Q410="","",SUMIFS($N:$N,$J:$J,J410,$K:$K,Q410))</f>
        <v/>
      </c>
      <c r="S410" s="37" t="str">
        <f aca="false">IF(OR(R410="",R410=0,P410=""),"",P410/R410-1)</f>
        <v/>
      </c>
    </row>
    <row r="411" customFormat="false" ht="15" hidden="false" customHeight="false" outlineLevel="0" collapsed="false">
      <c r="A411" s="27"/>
      <c r="B411" s="5"/>
      <c r="C411" s="35"/>
      <c r="D411" s="5"/>
      <c r="E411" s="5"/>
      <c r="F411" s="19" t="str">
        <f aca="false">IF(A411="","",IF(COUNTIF(Contratos!$A:$A,A411)+COUNTIF(Pagamentos!$A:$A,A411)=0,"não consta","SIM — contratos: "&amp;COUNTIF(Contratos!$A:$A,A411)&amp;"; pagamentos: "&amp;COUNTIF(Pagamentos!$A:$A,A411)))</f>
        <v/>
      </c>
      <c r="G411" s="27"/>
      <c r="H411" s="5"/>
      <c r="J411" s="5"/>
      <c r="K411" s="41"/>
      <c r="L411" s="14"/>
      <c r="M411" s="5"/>
      <c r="N411" s="35"/>
      <c r="O411" s="27"/>
      <c r="P411" s="39" t="str">
        <f aca="false">IF(OR(J411="",K411=""),"",SUMIFS($N:$N,$J:$J,J411,$K:$K,K411))</f>
        <v/>
      </c>
      <c r="Q411" s="32" t="str">
        <f aca="false">IF(OR(J411="",K411=""),"",IF(COUNTIFS($J:$J,J411,$K:$K,"&lt;"&amp;K411)=0,"",_xlfn.MAXIFS($K:$K,$J:$J,J411,$K:$K,"&lt;"&amp;K411)))</f>
        <v/>
      </c>
      <c r="R411" s="39" t="str">
        <f aca="false">IF(Q411="","",SUMIFS($N:$N,$J:$J,J411,$K:$K,Q411))</f>
        <v/>
      </c>
      <c r="S411" s="37" t="str">
        <f aca="false">IF(OR(R411="",R411=0,P411=""),"",P411/R411-1)</f>
        <v/>
      </c>
    </row>
    <row r="412" customFormat="false" ht="15" hidden="false" customHeight="false" outlineLevel="0" collapsed="false">
      <c r="A412" s="27"/>
      <c r="B412" s="5"/>
      <c r="C412" s="35"/>
      <c r="D412" s="5"/>
      <c r="E412" s="5"/>
      <c r="F412" s="19" t="str">
        <f aca="false">IF(A412="","",IF(COUNTIF(Contratos!$A:$A,A412)+COUNTIF(Pagamentos!$A:$A,A412)=0,"não consta","SIM — contratos: "&amp;COUNTIF(Contratos!$A:$A,A412)&amp;"; pagamentos: "&amp;COUNTIF(Pagamentos!$A:$A,A412)))</f>
        <v/>
      </c>
      <c r="G412" s="27"/>
      <c r="H412" s="5"/>
      <c r="J412" s="5"/>
      <c r="K412" s="41"/>
      <c r="L412" s="14"/>
      <c r="M412" s="5"/>
      <c r="N412" s="35"/>
      <c r="O412" s="27"/>
      <c r="P412" s="39" t="str">
        <f aca="false">IF(OR(J412="",K412=""),"",SUMIFS($N:$N,$J:$J,J412,$K:$K,K412))</f>
        <v/>
      </c>
      <c r="Q412" s="32" t="str">
        <f aca="false">IF(OR(J412="",K412=""),"",IF(COUNTIFS($J:$J,J412,$K:$K,"&lt;"&amp;K412)=0,"",_xlfn.MAXIFS($K:$K,$J:$J,J412,$K:$K,"&lt;"&amp;K412)))</f>
        <v/>
      </c>
      <c r="R412" s="39" t="str">
        <f aca="false">IF(Q412="","",SUMIFS($N:$N,$J:$J,J412,$K:$K,Q412))</f>
        <v/>
      </c>
      <c r="S412" s="37" t="str">
        <f aca="false">IF(OR(R412="",R412=0,P412=""),"",P412/R412-1)</f>
        <v/>
      </c>
    </row>
    <row r="413" customFormat="false" ht="15" hidden="false" customHeight="false" outlineLevel="0" collapsed="false">
      <c r="A413" s="27"/>
      <c r="B413" s="5"/>
      <c r="C413" s="35"/>
      <c r="D413" s="5"/>
      <c r="E413" s="5"/>
      <c r="F413" s="19" t="str">
        <f aca="false">IF(A413="","",IF(COUNTIF(Contratos!$A:$A,A413)+COUNTIF(Pagamentos!$A:$A,A413)=0,"não consta","SIM — contratos: "&amp;COUNTIF(Contratos!$A:$A,A413)&amp;"; pagamentos: "&amp;COUNTIF(Pagamentos!$A:$A,A413)))</f>
        <v/>
      </c>
      <c r="G413" s="27"/>
      <c r="H413" s="5"/>
      <c r="J413" s="5"/>
      <c r="K413" s="41"/>
      <c r="L413" s="14"/>
      <c r="M413" s="5"/>
      <c r="N413" s="35"/>
      <c r="O413" s="27"/>
      <c r="P413" s="39" t="str">
        <f aca="false">IF(OR(J413="",K413=""),"",SUMIFS($N:$N,$J:$J,J413,$K:$K,K413))</f>
        <v/>
      </c>
      <c r="Q413" s="32" t="str">
        <f aca="false">IF(OR(J413="",K413=""),"",IF(COUNTIFS($J:$J,J413,$K:$K,"&lt;"&amp;K413)=0,"",_xlfn.MAXIFS($K:$K,$J:$J,J413,$K:$K,"&lt;"&amp;K413)))</f>
        <v/>
      </c>
      <c r="R413" s="39" t="str">
        <f aca="false">IF(Q413="","",SUMIFS($N:$N,$J:$J,J413,$K:$K,Q413))</f>
        <v/>
      </c>
      <c r="S413" s="37" t="str">
        <f aca="false">IF(OR(R413="",R413=0,P413=""),"",P413/R413-1)</f>
        <v/>
      </c>
    </row>
    <row r="414" customFormat="false" ht="15" hidden="false" customHeight="false" outlineLevel="0" collapsed="false">
      <c r="A414" s="27"/>
      <c r="B414" s="5"/>
      <c r="C414" s="35"/>
      <c r="D414" s="5"/>
      <c r="E414" s="5"/>
      <c r="F414" s="19" t="str">
        <f aca="false">IF(A414="","",IF(COUNTIF(Contratos!$A:$A,A414)+COUNTIF(Pagamentos!$A:$A,A414)=0,"não consta","SIM — contratos: "&amp;COUNTIF(Contratos!$A:$A,A414)&amp;"; pagamentos: "&amp;COUNTIF(Pagamentos!$A:$A,A414)))</f>
        <v/>
      </c>
      <c r="G414" s="27"/>
      <c r="H414" s="5"/>
      <c r="J414" s="5"/>
      <c r="K414" s="41"/>
      <c r="L414" s="14"/>
      <c r="M414" s="5"/>
      <c r="N414" s="35"/>
      <c r="O414" s="27"/>
      <c r="P414" s="39" t="str">
        <f aca="false">IF(OR(J414="",K414=""),"",SUMIFS($N:$N,$J:$J,J414,$K:$K,K414))</f>
        <v/>
      </c>
      <c r="Q414" s="32" t="str">
        <f aca="false">IF(OR(J414="",K414=""),"",IF(COUNTIFS($J:$J,J414,$K:$K,"&lt;"&amp;K414)=0,"",_xlfn.MAXIFS($K:$K,$J:$J,J414,$K:$K,"&lt;"&amp;K414)))</f>
        <v/>
      </c>
      <c r="R414" s="39" t="str">
        <f aca="false">IF(Q414="","",SUMIFS($N:$N,$J:$J,J414,$K:$K,Q414))</f>
        <v/>
      </c>
      <c r="S414" s="37" t="str">
        <f aca="false">IF(OR(R414="",R414=0,P414=""),"",P414/R414-1)</f>
        <v/>
      </c>
    </row>
    <row r="415" customFormat="false" ht="15" hidden="false" customHeight="false" outlineLevel="0" collapsed="false">
      <c r="A415" s="27"/>
      <c r="B415" s="5"/>
      <c r="C415" s="35"/>
      <c r="D415" s="5"/>
      <c r="E415" s="5"/>
      <c r="F415" s="19" t="str">
        <f aca="false">IF(A415="","",IF(COUNTIF(Contratos!$A:$A,A415)+COUNTIF(Pagamentos!$A:$A,A415)=0,"não consta","SIM — contratos: "&amp;COUNTIF(Contratos!$A:$A,A415)&amp;"; pagamentos: "&amp;COUNTIF(Pagamentos!$A:$A,A415)))</f>
        <v/>
      </c>
      <c r="G415" s="27"/>
      <c r="H415" s="5"/>
      <c r="J415" s="5"/>
      <c r="K415" s="41"/>
      <c r="L415" s="14"/>
      <c r="M415" s="5"/>
      <c r="N415" s="35"/>
      <c r="O415" s="27"/>
      <c r="P415" s="39" t="str">
        <f aca="false">IF(OR(J415="",K415=""),"",SUMIFS($N:$N,$J:$J,J415,$K:$K,K415))</f>
        <v/>
      </c>
      <c r="Q415" s="32" t="str">
        <f aca="false">IF(OR(J415="",K415=""),"",IF(COUNTIFS($J:$J,J415,$K:$K,"&lt;"&amp;K415)=0,"",_xlfn.MAXIFS($K:$K,$J:$J,J415,$K:$K,"&lt;"&amp;K415)))</f>
        <v/>
      </c>
      <c r="R415" s="39" t="str">
        <f aca="false">IF(Q415="","",SUMIFS($N:$N,$J:$J,J415,$K:$K,Q415))</f>
        <v/>
      </c>
      <c r="S415" s="37" t="str">
        <f aca="false">IF(OR(R415="",R415=0,P415=""),"",P415/R415-1)</f>
        <v/>
      </c>
    </row>
    <row r="416" customFormat="false" ht="15" hidden="false" customHeight="false" outlineLevel="0" collapsed="false">
      <c r="A416" s="27"/>
      <c r="B416" s="5"/>
      <c r="C416" s="35"/>
      <c r="D416" s="5"/>
      <c r="E416" s="5"/>
      <c r="F416" s="19" t="str">
        <f aca="false">IF(A416="","",IF(COUNTIF(Contratos!$A:$A,A416)+COUNTIF(Pagamentos!$A:$A,A416)=0,"não consta","SIM — contratos: "&amp;COUNTIF(Contratos!$A:$A,A416)&amp;"; pagamentos: "&amp;COUNTIF(Pagamentos!$A:$A,A416)))</f>
        <v/>
      </c>
      <c r="G416" s="27"/>
      <c r="H416" s="5"/>
      <c r="J416" s="5"/>
      <c r="K416" s="41"/>
      <c r="L416" s="14"/>
      <c r="M416" s="5"/>
      <c r="N416" s="35"/>
      <c r="O416" s="27"/>
      <c r="P416" s="39" t="str">
        <f aca="false">IF(OR(J416="",K416=""),"",SUMIFS($N:$N,$J:$J,J416,$K:$K,K416))</f>
        <v/>
      </c>
      <c r="Q416" s="32" t="str">
        <f aca="false">IF(OR(J416="",K416=""),"",IF(COUNTIFS($J:$J,J416,$K:$K,"&lt;"&amp;K416)=0,"",_xlfn.MAXIFS($K:$K,$J:$J,J416,$K:$K,"&lt;"&amp;K416)))</f>
        <v/>
      </c>
      <c r="R416" s="39" t="str">
        <f aca="false">IF(Q416="","",SUMIFS($N:$N,$J:$J,J416,$K:$K,Q416))</f>
        <v/>
      </c>
      <c r="S416" s="37" t="str">
        <f aca="false">IF(OR(R416="",R416=0,P416=""),"",P416/R416-1)</f>
        <v/>
      </c>
    </row>
    <row r="417" customFormat="false" ht="15" hidden="false" customHeight="false" outlineLevel="0" collapsed="false">
      <c r="A417" s="27"/>
      <c r="B417" s="5"/>
      <c r="C417" s="35"/>
      <c r="D417" s="5"/>
      <c r="E417" s="5"/>
      <c r="F417" s="19" t="str">
        <f aca="false">IF(A417="","",IF(COUNTIF(Contratos!$A:$A,A417)+COUNTIF(Pagamentos!$A:$A,A417)=0,"não consta","SIM — contratos: "&amp;COUNTIF(Contratos!$A:$A,A417)&amp;"; pagamentos: "&amp;COUNTIF(Pagamentos!$A:$A,A417)))</f>
        <v/>
      </c>
      <c r="G417" s="27"/>
      <c r="H417" s="5"/>
      <c r="J417" s="5"/>
      <c r="K417" s="41"/>
      <c r="L417" s="14"/>
      <c r="M417" s="5"/>
      <c r="N417" s="35"/>
      <c r="O417" s="27"/>
      <c r="P417" s="39" t="str">
        <f aca="false">IF(OR(J417="",K417=""),"",SUMIFS($N:$N,$J:$J,J417,$K:$K,K417))</f>
        <v/>
      </c>
      <c r="Q417" s="32" t="str">
        <f aca="false">IF(OR(J417="",K417=""),"",IF(COUNTIFS($J:$J,J417,$K:$K,"&lt;"&amp;K417)=0,"",_xlfn.MAXIFS($K:$K,$J:$J,J417,$K:$K,"&lt;"&amp;K417)))</f>
        <v/>
      </c>
      <c r="R417" s="39" t="str">
        <f aca="false">IF(Q417="","",SUMIFS($N:$N,$J:$J,J417,$K:$K,Q417))</f>
        <v/>
      </c>
      <c r="S417" s="37" t="str">
        <f aca="false">IF(OR(R417="",R417=0,P417=""),"",P417/R417-1)</f>
        <v/>
      </c>
    </row>
    <row r="418" customFormat="false" ht="15" hidden="false" customHeight="false" outlineLevel="0" collapsed="false">
      <c r="A418" s="27"/>
      <c r="B418" s="5"/>
      <c r="C418" s="35"/>
      <c r="D418" s="5"/>
      <c r="E418" s="5"/>
      <c r="F418" s="19" t="str">
        <f aca="false">IF(A418="","",IF(COUNTIF(Contratos!$A:$A,A418)+COUNTIF(Pagamentos!$A:$A,A418)=0,"não consta","SIM — contratos: "&amp;COUNTIF(Contratos!$A:$A,A418)&amp;"; pagamentos: "&amp;COUNTIF(Pagamentos!$A:$A,A418)))</f>
        <v/>
      </c>
      <c r="G418" s="27"/>
      <c r="H418" s="5"/>
      <c r="J418" s="5"/>
      <c r="K418" s="41"/>
      <c r="L418" s="14"/>
      <c r="M418" s="5"/>
      <c r="N418" s="35"/>
      <c r="O418" s="27"/>
      <c r="P418" s="39" t="str">
        <f aca="false">IF(OR(J418="",K418=""),"",SUMIFS($N:$N,$J:$J,J418,$K:$K,K418))</f>
        <v/>
      </c>
      <c r="Q418" s="32" t="str">
        <f aca="false">IF(OR(J418="",K418=""),"",IF(COUNTIFS($J:$J,J418,$K:$K,"&lt;"&amp;K418)=0,"",_xlfn.MAXIFS($K:$K,$J:$J,J418,$K:$K,"&lt;"&amp;K418)))</f>
        <v/>
      </c>
      <c r="R418" s="39" t="str">
        <f aca="false">IF(Q418="","",SUMIFS($N:$N,$J:$J,J418,$K:$K,Q418))</f>
        <v/>
      </c>
      <c r="S418" s="37" t="str">
        <f aca="false">IF(OR(R418="",R418=0,P418=""),"",P418/R418-1)</f>
        <v/>
      </c>
    </row>
    <row r="419" customFormat="false" ht="15" hidden="false" customHeight="false" outlineLevel="0" collapsed="false">
      <c r="A419" s="27"/>
      <c r="B419" s="5"/>
      <c r="C419" s="35"/>
      <c r="D419" s="5"/>
      <c r="E419" s="5"/>
      <c r="F419" s="19" t="str">
        <f aca="false">IF(A419="","",IF(COUNTIF(Contratos!$A:$A,A419)+COUNTIF(Pagamentos!$A:$A,A419)=0,"não consta","SIM — contratos: "&amp;COUNTIF(Contratos!$A:$A,A419)&amp;"; pagamentos: "&amp;COUNTIF(Pagamentos!$A:$A,A419)))</f>
        <v/>
      </c>
      <c r="G419" s="27"/>
      <c r="H419" s="5"/>
      <c r="J419" s="5"/>
      <c r="K419" s="41"/>
      <c r="L419" s="14"/>
      <c r="M419" s="5"/>
      <c r="N419" s="35"/>
      <c r="O419" s="27"/>
      <c r="P419" s="39" t="str">
        <f aca="false">IF(OR(J419="",K419=""),"",SUMIFS($N:$N,$J:$J,J419,$K:$K,K419))</f>
        <v/>
      </c>
      <c r="Q419" s="32" t="str">
        <f aca="false">IF(OR(J419="",K419=""),"",IF(COUNTIFS($J:$J,J419,$K:$K,"&lt;"&amp;K419)=0,"",_xlfn.MAXIFS($K:$K,$J:$J,J419,$K:$K,"&lt;"&amp;K419)))</f>
        <v/>
      </c>
      <c r="R419" s="39" t="str">
        <f aca="false">IF(Q419="","",SUMIFS($N:$N,$J:$J,J419,$K:$K,Q419))</f>
        <v/>
      </c>
      <c r="S419" s="37" t="str">
        <f aca="false">IF(OR(R419="",R419=0,P419=""),"",P419/R419-1)</f>
        <v/>
      </c>
    </row>
    <row r="420" customFormat="false" ht="15" hidden="false" customHeight="false" outlineLevel="0" collapsed="false">
      <c r="A420" s="27"/>
      <c r="B420" s="5"/>
      <c r="C420" s="35"/>
      <c r="D420" s="5"/>
      <c r="E420" s="5"/>
      <c r="F420" s="19" t="str">
        <f aca="false">IF(A420="","",IF(COUNTIF(Contratos!$A:$A,A420)+COUNTIF(Pagamentos!$A:$A,A420)=0,"não consta","SIM — contratos: "&amp;COUNTIF(Contratos!$A:$A,A420)&amp;"; pagamentos: "&amp;COUNTIF(Pagamentos!$A:$A,A420)))</f>
        <v/>
      </c>
      <c r="G420" s="27"/>
      <c r="H420" s="5"/>
      <c r="J420" s="5"/>
      <c r="K420" s="41"/>
      <c r="L420" s="14"/>
      <c r="M420" s="5"/>
      <c r="N420" s="35"/>
      <c r="O420" s="27"/>
      <c r="P420" s="39" t="str">
        <f aca="false">IF(OR(J420="",K420=""),"",SUMIFS($N:$N,$J:$J,J420,$K:$K,K420))</f>
        <v/>
      </c>
      <c r="Q420" s="32" t="str">
        <f aca="false">IF(OR(J420="",K420=""),"",IF(COUNTIFS($J:$J,J420,$K:$K,"&lt;"&amp;K420)=0,"",_xlfn.MAXIFS($K:$K,$J:$J,J420,$K:$K,"&lt;"&amp;K420)))</f>
        <v/>
      </c>
      <c r="R420" s="39" t="str">
        <f aca="false">IF(Q420="","",SUMIFS($N:$N,$J:$J,J420,$K:$K,Q420))</f>
        <v/>
      </c>
      <c r="S420" s="37" t="str">
        <f aca="false">IF(OR(R420="",R420=0,P420=""),"",P420/R420-1)</f>
        <v/>
      </c>
    </row>
    <row r="421" customFormat="false" ht="15" hidden="false" customHeight="false" outlineLevel="0" collapsed="false">
      <c r="A421" s="27"/>
      <c r="B421" s="5"/>
      <c r="C421" s="35"/>
      <c r="D421" s="5"/>
      <c r="E421" s="5"/>
      <c r="F421" s="19" t="str">
        <f aca="false">IF(A421="","",IF(COUNTIF(Contratos!$A:$A,A421)+COUNTIF(Pagamentos!$A:$A,A421)=0,"não consta","SIM — contratos: "&amp;COUNTIF(Contratos!$A:$A,A421)&amp;"; pagamentos: "&amp;COUNTIF(Pagamentos!$A:$A,A421)))</f>
        <v/>
      </c>
      <c r="G421" s="27"/>
      <c r="H421" s="5"/>
      <c r="J421" s="5"/>
      <c r="K421" s="41"/>
      <c r="L421" s="14"/>
      <c r="M421" s="5"/>
      <c r="N421" s="35"/>
      <c r="O421" s="27"/>
      <c r="P421" s="39" t="str">
        <f aca="false">IF(OR(J421="",K421=""),"",SUMIFS($N:$N,$J:$J,J421,$K:$K,K421))</f>
        <v/>
      </c>
      <c r="Q421" s="32" t="str">
        <f aca="false">IF(OR(J421="",K421=""),"",IF(COUNTIFS($J:$J,J421,$K:$K,"&lt;"&amp;K421)=0,"",_xlfn.MAXIFS($K:$K,$J:$J,J421,$K:$K,"&lt;"&amp;K421)))</f>
        <v/>
      </c>
      <c r="R421" s="39" t="str">
        <f aca="false">IF(Q421="","",SUMIFS($N:$N,$J:$J,J421,$K:$K,Q421))</f>
        <v/>
      </c>
      <c r="S421" s="37" t="str">
        <f aca="false">IF(OR(R421="",R421=0,P421=""),"",P421/R421-1)</f>
        <v/>
      </c>
    </row>
    <row r="422" customFormat="false" ht="15" hidden="false" customHeight="false" outlineLevel="0" collapsed="false">
      <c r="A422" s="27"/>
      <c r="B422" s="5"/>
      <c r="C422" s="35"/>
      <c r="D422" s="5"/>
      <c r="E422" s="5"/>
      <c r="F422" s="19" t="str">
        <f aca="false">IF(A422="","",IF(COUNTIF(Contratos!$A:$A,A422)+COUNTIF(Pagamentos!$A:$A,A422)=0,"não consta","SIM — contratos: "&amp;COUNTIF(Contratos!$A:$A,A422)&amp;"; pagamentos: "&amp;COUNTIF(Pagamentos!$A:$A,A422)))</f>
        <v/>
      </c>
      <c r="G422" s="27"/>
      <c r="H422" s="5"/>
      <c r="J422" s="5"/>
      <c r="K422" s="41"/>
      <c r="L422" s="14"/>
      <c r="M422" s="5"/>
      <c r="N422" s="35"/>
      <c r="O422" s="27"/>
      <c r="P422" s="39" t="str">
        <f aca="false">IF(OR(J422="",K422=""),"",SUMIFS($N:$N,$J:$J,J422,$K:$K,K422))</f>
        <v/>
      </c>
      <c r="Q422" s="32" t="str">
        <f aca="false">IF(OR(J422="",K422=""),"",IF(COUNTIFS($J:$J,J422,$K:$K,"&lt;"&amp;K422)=0,"",_xlfn.MAXIFS($K:$K,$J:$J,J422,$K:$K,"&lt;"&amp;K422)))</f>
        <v/>
      </c>
      <c r="R422" s="39" t="str">
        <f aca="false">IF(Q422="","",SUMIFS($N:$N,$J:$J,J422,$K:$K,Q422))</f>
        <v/>
      </c>
      <c r="S422" s="37" t="str">
        <f aca="false">IF(OR(R422="",R422=0,P422=""),"",P422/R422-1)</f>
        <v/>
      </c>
    </row>
    <row r="423" customFormat="false" ht="15" hidden="false" customHeight="false" outlineLevel="0" collapsed="false">
      <c r="A423" s="27"/>
      <c r="B423" s="5"/>
      <c r="C423" s="35"/>
      <c r="D423" s="5"/>
      <c r="E423" s="5"/>
      <c r="F423" s="19" t="str">
        <f aca="false">IF(A423="","",IF(COUNTIF(Contratos!$A:$A,A423)+COUNTIF(Pagamentos!$A:$A,A423)=0,"não consta","SIM — contratos: "&amp;COUNTIF(Contratos!$A:$A,A423)&amp;"; pagamentos: "&amp;COUNTIF(Pagamentos!$A:$A,A423)))</f>
        <v/>
      </c>
      <c r="G423" s="27"/>
      <c r="H423" s="5"/>
      <c r="J423" s="5"/>
      <c r="K423" s="41"/>
      <c r="L423" s="14"/>
      <c r="M423" s="5"/>
      <c r="N423" s="35"/>
      <c r="O423" s="27"/>
      <c r="P423" s="39" t="str">
        <f aca="false">IF(OR(J423="",K423=""),"",SUMIFS($N:$N,$J:$J,J423,$K:$K,K423))</f>
        <v/>
      </c>
      <c r="Q423" s="32" t="str">
        <f aca="false">IF(OR(J423="",K423=""),"",IF(COUNTIFS($J:$J,J423,$K:$K,"&lt;"&amp;K423)=0,"",_xlfn.MAXIFS($K:$K,$J:$J,J423,$K:$K,"&lt;"&amp;K423)))</f>
        <v/>
      </c>
      <c r="R423" s="39" t="str">
        <f aca="false">IF(Q423="","",SUMIFS($N:$N,$J:$J,J423,$K:$K,Q423))</f>
        <v/>
      </c>
      <c r="S423" s="37" t="str">
        <f aca="false">IF(OR(R423="",R423=0,P423=""),"",P423/R423-1)</f>
        <v/>
      </c>
    </row>
    <row r="424" customFormat="false" ht="15" hidden="false" customHeight="false" outlineLevel="0" collapsed="false">
      <c r="A424" s="27"/>
      <c r="B424" s="5"/>
      <c r="C424" s="35"/>
      <c r="D424" s="5"/>
      <c r="E424" s="5"/>
      <c r="F424" s="19" t="str">
        <f aca="false">IF(A424="","",IF(COUNTIF(Contratos!$A:$A,A424)+COUNTIF(Pagamentos!$A:$A,A424)=0,"não consta","SIM — contratos: "&amp;COUNTIF(Contratos!$A:$A,A424)&amp;"; pagamentos: "&amp;COUNTIF(Pagamentos!$A:$A,A424)))</f>
        <v/>
      </c>
      <c r="G424" s="27"/>
      <c r="H424" s="5"/>
      <c r="J424" s="5"/>
      <c r="K424" s="41"/>
      <c r="L424" s="14"/>
      <c r="M424" s="5"/>
      <c r="N424" s="35"/>
      <c r="O424" s="27"/>
      <c r="P424" s="39" t="str">
        <f aca="false">IF(OR(J424="",K424=""),"",SUMIFS($N:$N,$J:$J,J424,$K:$K,K424))</f>
        <v/>
      </c>
      <c r="Q424" s="32" t="str">
        <f aca="false">IF(OR(J424="",K424=""),"",IF(COUNTIFS($J:$J,J424,$K:$K,"&lt;"&amp;K424)=0,"",_xlfn.MAXIFS($K:$K,$J:$J,J424,$K:$K,"&lt;"&amp;K424)))</f>
        <v/>
      </c>
      <c r="R424" s="39" t="str">
        <f aca="false">IF(Q424="","",SUMIFS($N:$N,$J:$J,J424,$K:$K,Q424))</f>
        <v/>
      </c>
      <c r="S424" s="37" t="str">
        <f aca="false">IF(OR(R424="",R424=0,P424=""),"",P424/R424-1)</f>
        <v/>
      </c>
    </row>
    <row r="425" customFormat="false" ht="15" hidden="false" customHeight="false" outlineLevel="0" collapsed="false">
      <c r="A425" s="27"/>
      <c r="B425" s="5"/>
      <c r="C425" s="35"/>
      <c r="D425" s="5"/>
      <c r="E425" s="5"/>
      <c r="F425" s="19" t="str">
        <f aca="false">IF(A425="","",IF(COUNTIF(Contratos!$A:$A,A425)+COUNTIF(Pagamentos!$A:$A,A425)=0,"não consta","SIM — contratos: "&amp;COUNTIF(Contratos!$A:$A,A425)&amp;"; pagamentos: "&amp;COUNTIF(Pagamentos!$A:$A,A425)))</f>
        <v/>
      </c>
      <c r="G425" s="27"/>
      <c r="H425" s="5"/>
      <c r="J425" s="5"/>
      <c r="K425" s="41"/>
      <c r="L425" s="14"/>
      <c r="M425" s="5"/>
      <c r="N425" s="35"/>
      <c r="O425" s="27"/>
      <c r="P425" s="39" t="str">
        <f aca="false">IF(OR(J425="",K425=""),"",SUMIFS($N:$N,$J:$J,J425,$K:$K,K425))</f>
        <v/>
      </c>
      <c r="Q425" s="32" t="str">
        <f aca="false">IF(OR(J425="",K425=""),"",IF(COUNTIFS($J:$J,J425,$K:$K,"&lt;"&amp;K425)=0,"",_xlfn.MAXIFS($K:$K,$J:$J,J425,$K:$K,"&lt;"&amp;K425)))</f>
        <v/>
      </c>
      <c r="R425" s="39" t="str">
        <f aca="false">IF(Q425="","",SUMIFS($N:$N,$J:$J,J425,$K:$K,Q425))</f>
        <v/>
      </c>
      <c r="S425" s="37" t="str">
        <f aca="false">IF(OR(R425="",R425=0,P425=""),"",P425/R425-1)</f>
        <v/>
      </c>
    </row>
    <row r="426" customFormat="false" ht="15" hidden="false" customHeight="false" outlineLevel="0" collapsed="false">
      <c r="A426" s="27"/>
      <c r="B426" s="5"/>
      <c r="C426" s="35"/>
      <c r="D426" s="5"/>
      <c r="E426" s="5"/>
      <c r="F426" s="19" t="str">
        <f aca="false">IF(A426="","",IF(COUNTIF(Contratos!$A:$A,A426)+COUNTIF(Pagamentos!$A:$A,A426)=0,"não consta","SIM — contratos: "&amp;COUNTIF(Contratos!$A:$A,A426)&amp;"; pagamentos: "&amp;COUNTIF(Pagamentos!$A:$A,A426)))</f>
        <v/>
      </c>
      <c r="G426" s="27"/>
      <c r="H426" s="5"/>
      <c r="J426" s="5"/>
      <c r="K426" s="41"/>
      <c r="L426" s="14"/>
      <c r="M426" s="5"/>
      <c r="N426" s="35"/>
      <c r="O426" s="27"/>
      <c r="P426" s="39" t="str">
        <f aca="false">IF(OR(J426="",K426=""),"",SUMIFS($N:$N,$J:$J,J426,$K:$K,K426))</f>
        <v/>
      </c>
      <c r="Q426" s="32" t="str">
        <f aca="false">IF(OR(J426="",K426=""),"",IF(COUNTIFS($J:$J,J426,$K:$K,"&lt;"&amp;K426)=0,"",_xlfn.MAXIFS($K:$K,$J:$J,J426,$K:$K,"&lt;"&amp;K426)))</f>
        <v/>
      </c>
      <c r="R426" s="39" t="str">
        <f aca="false">IF(Q426="","",SUMIFS($N:$N,$J:$J,J426,$K:$K,Q426))</f>
        <v/>
      </c>
      <c r="S426" s="37" t="str">
        <f aca="false">IF(OR(R426="",R426=0,P426=""),"",P426/R426-1)</f>
        <v/>
      </c>
    </row>
    <row r="427" customFormat="false" ht="15" hidden="false" customHeight="false" outlineLevel="0" collapsed="false">
      <c r="A427" s="27"/>
      <c r="B427" s="5"/>
      <c r="C427" s="35"/>
      <c r="D427" s="5"/>
      <c r="E427" s="5"/>
      <c r="F427" s="19" t="str">
        <f aca="false">IF(A427="","",IF(COUNTIF(Contratos!$A:$A,A427)+COUNTIF(Pagamentos!$A:$A,A427)=0,"não consta","SIM — contratos: "&amp;COUNTIF(Contratos!$A:$A,A427)&amp;"; pagamentos: "&amp;COUNTIF(Pagamentos!$A:$A,A427)))</f>
        <v/>
      </c>
      <c r="G427" s="27"/>
      <c r="H427" s="5"/>
      <c r="J427" s="5"/>
      <c r="K427" s="41"/>
      <c r="L427" s="14"/>
      <c r="M427" s="5"/>
      <c r="N427" s="35"/>
      <c r="O427" s="27"/>
      <c r="P427" s="39" t="str">
        <f aca="false">IF(OR(J427="",K427=""),"",SUMIFS($N:$N,$J:$J,J427,$K:$K,K427))</f>
        <v/>
      </c>
      <c r="Q427" s="32" t="str">
        <f aca="false">IF(OR(J427="",K427=""),"",IF(COUNTIFS($J:$J,J427,$K:$K,"&lt;"&amp;K427)=0,"",_xlfn.MAXIFS($K:$K,$J:$J,J427,$K:$K,"&lt;"&amp;K427)))</f>
        <v/>
      </c>
      <c r="R427" s="39" t="str">
        <f aca="false">IF(Q427="","",SUMIFS($N:$N,$J:$J,J427,$K:$K,Q427))</f>
        <v/>
      </c>
      <c r="S427" s="37" t="str">
        <f aca="false">IF(OR(R427="",R427=0,P427=""),"",P427/R427-1)</f>
        <v/>
      </c>
    </row>
    <row r="428" customFormat="false" ht="15" hidden="false" customHeight="false" outlineLevel="0" collapsed="false">
      <c r="A428" s="27"/>
      <c r="B428" s="5"/>
      <c r="C428" s="35"/>
      <c r="D428" s="5"/>
      <c r="E428" s="5"/>
      <c r="F428" s="19" t="str">
        <f aca="false">IF(A428="","",IF(COUNTIF(Contratos!$A:$A,A428)+COUNTIF(Pagamentos!$A:$A,A428)=0,"não consta","SIM — contratos: "&amp;COUNTIF(Contratos!$A:$A,A428)&amp;"; pagamentos: "&amp;COUNTIF(Pagamentos!$A:$A,A428)))</f>
        <v/>
      </c>
      <c r="G428" s="27"/>
      <c r="H428" s="5"/>
      <c r="J428" s="5"/>
      <c r="K428" s="41"/>
      <c r="L428" s="14"/>
      <c r="M428" s="5"/>
      <c r="N428" s="35"/>
      <c r="O428" s="27"/>
      <c r="P428" s="39" t="str">
        <f aca="false">IF(OR(J428="",K428=""),"",SUMIFS($N:$N,$J:$J,J428,$K:$K,K428))</f>
        <v/>
      </c>
      <c r="Q428" s="32" t="str">
        <f aca="false">IF(OR(J428="",K428=""),"",IF(COUNTIFS($J:$J,J428,$K:$K,"&lt;"&amp;K428)=0,"",_xlfn.MAXIFS($K:$K,$J:$J,J428,$K:$K,"&lt;"&amp;K428)))</f>
        <v/>
      </c>
      <c r="R428" s="39" t="str">
        <f aca="false">IF(Q428="","",SUMIFS($N:$N,$J:$J,J428,$K:$K,Q428))</f>
        <v/>
      </c>
      <c r="S428" s="37" t="str">
        <f aca="false">IF(OR(R428="",R428=0,P428=""),"",P428/R428-1)</f>
        <v/>
      </c>
    </row>
    <row r="429" customFormat="false" ht="15" hidden="false" customHeight="false" outlineLevel="0" collapsed="false">
      <c r="A429" s="27"/>
      <c r="B429" s="5"/>
      <c r="C429" s="35"/>
      <c r="D429" s="5"/>
      <c r="E429" s="5"/>
      <c r="F429" s="19" t="str">
        <f aca="false">IF(A429="","",IF(COUNTIF(Contratos!$A:$A,A429)+COUNTIF(Pagamentos!$A:$A,A429)=0,"não consta","SIM — contratos: "&amp;COUNTIF(Contratos!$A:$A,A429)&amp;"; pagamentos: "&amp;COUNTIF(Pagamentos!$A:$A,A429)))</f>
        <v/>
      </c>
      <c r="G429" s="27"/>
      <c r="H429" s="5"/>
      <c r="J429" s="5"/>
      <c r="K429" s="41"/>
      <c r="L429" s="14"/>
      <c r="M429" s="5"/>
      <c r="N429" s="35"/>
      <c r="O429" s="27"/>
      <c r="P429" s="39" t="str">
        <f aca="false">IF(OR(J429="",K429=""),"",SUMIFS($N:$N,$J:$J,J429,$K:$K,K429))</f>
        <v/>
      </c>
      <c r="Q429" s="32" t="str">
        <f aca="false">IF(OR(J429="",K429=""),"",IF(COUNTIFS($J:$J,J429,$K:$K,"&lt;"&amp;K429)=0,"",_xlfn.MAXIFS($K:$K,$J:$J,J429,$K:$K,"&lt;"&amp;K429)))</f>
        <v/>
      </c>
      <c r="R429" s="39" t="str">
        <f aca="false">IF(Q429="","",SUMIFS($N:$N,$J:$J,J429,$K:$K,Q429))</f>
        <v/>
      </c>
      <c r="S429" s="37" t="str">
        <f aca="false">IF(OR(R429="",R429=0,P429=""),"",P429/R429-1)</f>
        <v/>
      </c>
    </row>
    <row r="430" customFormat="false" ht="15" hidden="false" customHeight="false" outlineLevel="0" collapsed="false">
      <c r="A430" s="27"/>
      <c r="B430" s="5"/>
      <c r="C430" s="35"/>
      <c r="D430" s="5"/>
      <c r="E430" s="5"/>
      <c r="F430" s="19" t="str">
        <f aca="false">IF(A430="","",IF(COUNTIF(Contratos!$A:$A,A430)+COUNTIF(Pagamentos!$A:$A,A430)=0,"não consta","SIM — contratos: "&amp;COUNTIF(Contratos!$A:$A,A430)&amp;"; pagamentos: "&amp;COUNTIF(Pagamentos!$A:$A,A430)))</f>
        <v/>
      </c>
      <c r="G430" s="27"/>
      <c r="H430" s="5"/>
      <c r="J430" s="5"/>
      <c r="K430" s="41"/>
      <c r="L430" s="14"/>
      <c r="M430" s="5"/>
      <c r="N430" s="35"/>
      <c r="O430" s="27"/>
      <c r="P430" s="39" t="str">
        <f aca="false">IF(OR(J430="",K430=""),"",SUMIFS($N:$N,$J:$J,J430,$K:$K,K430))</f>
        <v/>
      </c>
      <c r="Q430" s="32" t="str">
        <f aca="false">IF(OR(J430="",K430=""),"",IF(COUNTIFS($J:$J,J430,$K:$K,"&lt;"&amp;K430)=0,"",_xlfn.MAXIFS($K:$K,$J:$J,J430,$K:$K,"&lt;"&amp;K430)))</f>
        <v/>
      </c>
      <c r="R430" s="39" t="str">
        <f aca="false">IF(Q430="","",SUMIFS($N:$N,$J:$J,J430,$K:$K,Q430))</f>
        <v/>
      </c>
      <c r="S430" s="37" t="str">
        <f aca="false">IF(OR(R430="",R430=0,P430=""),"",P430/R430-1)</f>
        <v/>
      </c>
    </row>
    <row r="431" customFormat="false" ht="15" hidden="false" customHeight="false" outlineLevel="0" collapsed="false">
      <c r="A431" s="27"/>
      <c r="B431" s="5"/>
      <c r="C431" s="35"/>
      <c r="D431" s="5"/>
      <c r="E431" s="5"/>
      <c r="F431" s="19" t="str">
        <f aca="false">IF(A431="","",IF(COUNTIF(Contratos!$A:$A,A431)+COUNTIF(Pagamentos!$A:$A,A431)=0,"não consta","SIM — contratos: "&amp;COUNTIF(Contratos!$A:$A,A431)&amp;"; pagamentos: "&amp;COUNTIF(Pagamentos!$A:$A,A431)))</f>
        <v/>
      </c>
      <c r="G431" s="27"/>
      <c r="H431" s="5"/>
      <c r="J431" s="5"/>
      <c r="K431" s="41"/>
      <c r="L431" s="14"/>
      <c r="M431" s="5"/>
      <c r="N431" s="35"/>
      <c r="O431" s="27"/>
      <c r="P431" s="39" t="str">
        <f aca="false">IF(OR(J431="",K431=""),"",SUMIFS($N:$N,$J:$J,J431,$K:$K,K431))</f>
        <v/>
      </c>
      <c r="Q431" s="32" t="str">
        <f aca="false">IF(OR(J431="",K431=""),"",IF(COUNTIFS($J:$J,J431,$K:$K,"&lt;"&amp;K431)=0,"",_xlfn.MAXIFS($K:$K,$J:$J,J431,$K:$K,"&lt;"&amp;K431)))</f>
        <v/>
      </c>
      <c r="R431" s="39" t="str">
        <f aca="false">IF(Q431="","",SUMIFS($N:$N,$J:$J,J431,$K:$K,Q431))</f>
        <v/>
      </c>
      <c r="S431" s="37" t="str">
        <f aca="false">IF(OR(R431="",R431=0,P431=""),"",P431/R431-1)</f>
        <v/>
      </c>
    </row>
    <row r="432" customFormat="false" ht="15" hidden="false" customHeight="false" outlineLevel="0" collapsed="false">
      <c r="A432" s="27"/>
      <c r="B432" s="5"/>
      <c r="C432" s="35"/>
      <c r="D432" s="5"/>
      <c r="E432" s="5"/>
      <c r="F432" s="19" t="str">
        <f aca="false">IF(A432="","",IF(COUNTIF(Contratos!$A:$A,A432)+COUNTIF(Pagamentos!$A:$A,A432)=0,"não consta","SIM — contratos: "&amp;COUNTIF(Contratos!$A:$A,A432)&amp;"; pagamentos: "&amp;COUNTIF(Pagamentos!$A:$A,A432)))</f>
        <v/>
      </c>
      <c r="G432" s="27"/>
      <c r="H432" s="5"/>
      <c r="J432" s="5"/>
      <c r="K432" s="41"/>
      <c r="L432" s="14"/>
      <c r="M432" s="5"/>
      <c r="N432" s="35"/>
      <c r="O432" s="27"/>
      <c r="P432" s="39" t="str">
        <f aca="false">IF(OR(J432="",K432=""),"",SUMIFS($N:$N,$J:$J,J432,$K:$K,K432))</f>
        <v/>
      </c>
      <c r="Q432" s="32" t="str">
        <f aca="false">IF(OR(J432="",K432=""),"",IF(COUNTIFS($J:$J,J432,$K:$K,"&lt;"&amp;K432)=0,"",_xlfn.MAXIFS($K:$K,$J:$J,J432,$K:$K,"&lt;"&amp;K432)))</f>
        <v/>
      </c>
      <c r="R432" s="39" t="str">
        <f aca="false">IF(Q432="","",SUMIFS($N:$N,$J:$J,J432,$K:$K,Q432))</f>
        <v/>
      </c>
      <c r="S432" s="37" t="str">
        <f aca="false">IF(OR(R432="",R432=0,P432=""),"",P432/R432-1)</f>
        <v/>
      </c>
    </row>
    <row r="433" customFormat="false" ht="15" hidden="false" customHeight="false" outlineLevel="0" collapsed="false">
      <c r="A433" s="27"/>
      <c r="B433" s="5"/>
      <c r="C433" s="35"/>
      <c r="D433" s="5"/>
      <c r="E433" s="5"/>
      <c r="F433" s="19" t="str">
        <f aca="false">IF(A433="","",IF(COUNTIF(Contratos!$A:$A,A433)+COUNTIF(Pagamentos!$A:$A,A433)=0,"não consta","SIM — contratos: "&amp;COUNTIF(Contratos!$A:$A,A433)&amp;"; pagamentos: "&amp;COUNTIF(Pagamentos!$A:$A,A433)))</f>
        <v/>
      </c>
      <c r="G433" s="27"/>
      <c r="H433" s="5"/>
      <c r="J433" s="5"/>
      <c r="K433" s="41"/>
      <c r="L433" s="14"/>
      <c r="M433" s="5"/>
      <c r="N433" s="35"/>
      <c r="O433" s="27"/>
      <c r="P433" s="39" t="str">
        <f aca="false">IF(OR(J433="",K433=""),"",SUMIFS($N:$N,$J:$J,J433,$K:$K,K433))</f>
        <v/>
      </c>
      <c r="Q433" s="32" t="str">
        <f aca="false">IF(OR(J433="",K433=""),"",IF(COUNTIFS($J:$J,J433,$K:$K,"&lt;"&amp;K433)=0,"",_xlfn.MAXIFS($K:$K,$J:$J,J433,$K:$K,"&lt;"&amp;K433)))</f>
        <v/>
      </c>
      <c r="R433" s="39" t="str">
        <f aca="false">IF(Q433="","",SUMIFS($N:$N,$J:$J,J433,$K:$K,Q433))</f>
        <v/>
      </c>
      <c r="S433" s="37" t="str">
        <f aca="false">IF(OR(R433="",R433=0,P433=""),"",P433/R433-1)</f>
        <v/>
      </c>
    </row>
    <row r="434" customFormat="false" ht="15" hidden="false" customHeight="false" outlineLevel="0" collapsed="false">
      <c r="A434" s="27"/>
      <c r="B434" s="5"/>
      <c r="C434" s="35"/>
      <c r="D434" s="5"/>
      <c r="E434" s="5"/>
      <c r="F434" s="19" t="str">
        <f aca="false">IF(A434="","",IF(COUNTIF(Contratos!$A:$A,A434)+COUNTIF(Pagamentos!$A:$A,A434)=0,"não consta","SIM — contratos: "&amp;COUNTIF(Contratos!$A:$A,A434)&amp;"; pagamentos: "&amp;COUNTIF(Pagamentos!$A:$A,A434)))</f>
        <v/>
      </c>
      <c r="G434" s="27"/>
      <c r="H434" s="5"/>
      <c r="J434" s="5"/>
      <c r="K434" s="41"/>
      <c r="L434" s="14"/>
      <c r="M434" s="5"/>
      <c r="N434" s="35"/>
      <c r="O434" s="27"/>
      <c r="P434" s="39" t="str">
        <f aca="false">IF(OR(J434="",K434=""),"",SUMIFS($N:$N,$J:$J,J434,$K:$K,K434))</f>
        <v/>
      </c>
      <c r="Q434" s="32" t="str">
        <f aca="false">IF(OR(J434="",K434=""),"",IF(COUNTIFS($J:$J,J434,$K:$K,"&lt;"&amp;K434)=0,"",_xlfn.MAXIFS($K:$K,$J:$J,J434,$K:$K,"&lt;"&amp;K434)))</f>
        <v/>
      </c>
      <c r="R434" s="39" t="str">
        <f aca="false">IF(Q434="","",SUMIFS($N:$N,$J:$J,J434,$K:$K,Q434))</f>
        <v/>
      </c>
      <c r="S434" s="37" t="str">
        <f aca="false">IF(OR(R434="",R434=0,P434=""),"",P434/R434-1)</f>
        <v/>
      </c>
    </row>
    <row r="435" customFormat="false" ht="15" hidden="false" customHeight="false" outlineLevel="0" collapsed="false">
      <c r="A435" s="27"/>
      <c r="B435" s="5"/>
      <c r="C435" s="35"/>
      <c r="D435" s="5"/>
      <c r="E435" s="5"/>
      <c r="F435" s="19" t="str">
        <f aca="false">IF(A435="","",IF(COUNTIF(Contratos!$A:$A,A435)+COUNTIF(Pagamentos!$A:$A,A435)=0,"não consta","SIM — contratos: "&amp;COUNTIF(Contratos!$A:$A,A435)&amp;"; pagamentos: "&amp;COUNTIF(Pagamentos!$A:$A,A435)))</f>
        <v/>
      </c>
      <c r="G435" s="27"/>
      <c r="H435" s="5"/>
      <c r="J435" s="5"/>
      <c r="K435" s="41"/>
      <c r="L435" s="14"/>
      <c r="M435" s="5"/>
      <c r="N435" s="35"/>
      <c r="O435" s="27"/>
      <c r="P435" s="39" t="str">
        <f aca="false">IF(OR(J435="",K435=""),"",SUMIFS($N:$N,$J:$J,J435,$K:$K,K435))</f>
        <v/>
      </c>
      <c r="Q435" s="32" t="str">
        <f aca="false">IF(OR(J435="",K435=""),"",IF(COUNTIFS($J:$J,J435,$K:$K,"&lt;"&amp;K435)=0,"",_xlfn.MAXIFS($K:$K,$J:$J,J435,$K:$K,"&lt;"&amp;K435)))</f>
        <v/>
      </c>
      <c r="R435" s="39" t="str">
        <f aca="false">IF(Q435="","",SUMIFS($N:$N,$J:$J,J435,$K:$K,Q435))</f>
        <v/>
      </c>
      <c r="S435" s="37" t="str">
        <f aca="false">IF(OR(R435="",R435=0,P435=""),"",P435/R435-1)</f>
        <v/>
      </c>
    </row>
    <row r="436" customFormat="false" ht="15" hidden="false" customHeight="false" outlineLevel="0" collapsed="false">
      <c r="A436" s="27"/>
      <c r="B436" s="5"/>
      <c r="C436" s="35"/>
      <c r="D436" s="5"/>
      <c r="E436" s="5"/>
      <c r="F436" s="19" t="str">
        <f aca="false">IF(A436="","",IF(COUNTIF(Contratos!$A:$A,A436)+COUNTIF(Pagamentos!$A:$A,A436)=0,"não consta","SIM — contratos: "&amp;COUNTIF(Contratos!$A:$A,A436)&amp;"; pagamentos: "&amp;COUNTIF(Pagamentos!$A:$A,A436)))</f>
        <v/>
      </c>
      <c r="G436" s="27"/>
      <c r="H436" s="5"/>
      <c r="J436" s="5"/>
      <c r="K436" s="41"/>
      <c r="L436" s="14"/>
      <c r="M436" s="5"/>
      <c r="N436" s="35"/>
      <c r="O436" s="27"/>
      <c r="P436" s="39" t="str">
        <f aca="false">IF(OR(J436="",K436=""),"",SUMIFS($N:$N,$J:$J,J436,$K:$K,K436))</f>
        <v/>
      </c>
      <c r="Q436" s="32" t="str">
        <f aca="false">IF(OR(J436="",K436=""),"",IF(COUNTIFS($J:$J,J436,$K:$K,"&lt;"&amp;K436)=0,"",_xlfn.MAXIFS($K:$K,$J:$J,J436,$K:$K,"&lt;"&amp;K436)))</f>
        <v/>
      </c>
      <c r="R436" s="39" t="str">
        <f aca="false">IF(Q436="","",SUMIFS($N:$N,$J:$J,J436,$K:$K,Q436))</f>
        <v/>
      </c>
      <c r="S436" s="37" t="str">
        <f aca="false">IF(OR(R436="",R436=0,P436=""),"",P436/R436-1)</f>
        <v/>
      </c>
    </row>
    <row r="437" customFormat="false" ht="15" hidden="false" customHeight="false" outlineLevel="0" collapsed="false">
      <c r="A437" s="27"/>
      <c r="B437" s="5"/>
      <c r="C437" s="35"/>
      <c r="D437" s="5"/>
      <c r="E437" s="5"/>
      <c r="F437" s="19" t="str">
        <f aca="false">IF(A437="","",IF(COUNTIF(Contratos!$A:$A,A437)+COUNTIF(Pagamentos!$A:$A,A437)=0,"não consta","SIM — contratos: "&amp;COUNTIF(Contratos!$A:$A,A437)&amp;"; pagamentos: "&amp;COUNTIF(Pagamentos!$A:$A,A437)))</f>
        <v/>
      </c>
      <c r="G437" s="27"/>
      <c r="H437" s="5"/>
      <c r="J437" s="5"/>
      <c r="K437" s="41"/>
      <c r="L437" s="14"/>
      <c r="M437" s="5"/>
      <c r="N437" s="35"/>
      <c r="O437" s="27"/>
      <c r="P437" s="39" t="str">
        <f aca="false">IF(OR(J437="",K437=""),"",SUMIFS($N:$N,$J:$J,J437,$K:$K,K437))</f>
        <v/>
      </c>
      <c r="Q437" s="32" t="str">
        <f aca="false">IF(OR(J437="",K437=""),"",IF(COUNTIFS($J:$J,J437,$K:$K,"&lt;"&amp;K437)=0,"",_xlfn.MAXIFS($K:$K,$J:$J,J437,$K:$K,"&lt;"&amp;K437)))</f>
        <v/>
      </c>
      <c r="R437" s="39" t="str">
        <f aca="false">IF(Q437="","",SUMIFS($N:$N,$J:$J,J437,$K:$K,Q437))</f>
        <v/>
      </c>
      <c r="S437" s="37" t="str">
        <f aca="false">IF(OR(R437="",R437=0,P437=""),"",P437/R437-1)</f>
        <v/>
      </c>
    </row>
    <row r="438" customFormat="false" ht="15" hidden="false" customHeight="false" outlineLevel="0" collapsed="false">
      <c r="A438" s="27"/>
      <c r="B438" s="5"/>
      <c r="C438" s="35"/>
      <c r="D438" s="5"/>
      <c r="E438" s="5"/>
      <c r="F438" s="19" t="str">
        <f aca="false">IF(A438="","",IF(COUNTIF(Contratos!$A:$A,A438)+COUNTIF(Pagamentos!$A:$A,A438)=0,"não consta","SIM — contratos: "&amp;COUNTIF(Contratos!$A:$A,A438)&amp;"; pagamentos: "&amp;COUNTIF(Pagamentos!$A:$A,A438)))</f>
        <v/>
      </c>
      <c r="G438" s="27"/>
      <c r="H438" s="5"/>
      <c r="J438" s="5"/>
      <c r="K438" s="41"/>
      <c r="L438" s="14"/>
      <c r="M438" s="5"/>
      <c r="N438" s="35"/>
      <c r="O438" s="27"/>
      <c r="P438" s="39" t="str">
        <f aca="false">IF(OR(J438="",K438=""),"",SUMIFS($N:$N,$J:$J,J438,$K:$K,K438))</f>
        <v/>
      </c>
      <c r="Q438" s="32" t="str">
        <f aca="false">IF(OR(J438="",K438=""),"",IF(COUNTIFS($J:$J,J438,$K:$K,"&lt;"&amp;K438)=0,"",_xlfn.MAXIFS($K:$K,$J:$J,J438,$K:$K,"&lt;"&amp;K438)))</f>
        <v/>
      </c>
      <c r="R438" s="39" t="str">
        <f aca="false">IF(Q438="","",SUMIFS($N:$N,$J:$J,J438,$K:$K,Q438))</f>
        <v/>
      </c>
      <c r="S438" s="37" t="str">
        <f aca="false">IF(OR(R438="",R438=0,P438=""),"",P438/R438-1)</f>
        <v/>
      </c>
    </row>
    <row r="439" customFormat="false" ht="15" hidden="false" customHeight="false" outlineLevel="0" collapsed="false">
      <c r="A439" s="27"/>
      <c r="B439" s="5"/>
      <c r="C439" s="35"/>
      <c r="D439" s="5"/>
      <c r="E439" s="5"/>
      <c r="F439" s="19" t="str">
        <f aca="false">IF(A439="","",IF(COUNTIF(Contratos!$A:$A,A439)+COUNTIF(Pagamentos!$A:$A,A439)=0,"não consta","SIM — contratos: "&amp;COUNTIF(Contratos!$A:$A,A439)&amp;"; pagamentos: "&amp;COUNTIF(Pagamentos!$A:$A,A439)))</f>
        <v/>
      </c>
      <c r="G439" s="27"/>
      <c r="H439" s="5"/>
      <c r="J439" s="5"/>
      <c r="K439" s="41"/>
      <c r="L439" s="14"/>
      <c r="M439" s="5"/>
      <c r="N439" s="35"/>
      <c r="O439" s="27"/>
      <c r="P439" s="39" t="str">
        <f aca="false">IF(OR(J439="",K439=""),"",SUMIFS($N:$N,$J:$J,J439,$K:$K,K439))</f>
        <v/>
      </c>
      <c r="Q439" s="32" t="str">
        <f aca="false">IF(OR(J439="",K439=""),"",IF(COUNTIFS($J:$J,J439,$K:$K,"&lt;"&amp;K439)=0,"",_xlfn.MAXIFS($K:$K,$J:$J,J439,$K:$K,"&lt;"&amp;K439)))</f>
        <v/>
      </c>
      <c r="R439" s="39" t="str">
        <f aca="false">IF(Q439="","",SUMIFS($N:$N,$J:$J,J439,$K:$K,Q439))</f>
        <v/>
      </c>
      <c r="S439" s="37" t="str">
        <f aca="false">IF(OR(R439="",R439=0,P439=""),"",P439/R439-1)</f>
        <v/>
      </c>
    </row>
    <row r="440" customFormat="false" ht="15" hidden="false" customHeight="false" outlineLevel="0" collapsed="false">
      <c r="A440" s="27"/>
      <c r="B440" s="5"/>
      <c r="C440" s="35"/>
      <c r="D440" s="5"/>
      <c r="E440" s="5"/>
      <c r="F440" s="19" t="str">
        <f aca="false">IF(A440="","",IF(COUNTIF(Contratos!$A:$A,A440)+COUNTIF(Pagamentos!$A:$A,A440)=0,"não consta","SIM — contratos: "&amp;COUNTIF(Contratos!$A:$A,A440)&amp;"; pagamentos: "&amp;COUNTIF(Pagamentos!$A:$A,A440)))</f>
        <v/>
      </c>
      <c r="G440" s="27"/>
      <c r="H440" s="5"/>
      <c r="J440" s="5"/>
      <c r="K440" s="41"/>
      <c r="L440" s="14"/>
      <c r="M440" s="5"/>
      <c r="N440" s="35"/>
      <c r="O440" s="27"/>
      <c r="P440" s="39" t="str">
        <f aca="false">IF(OR(J440="",K440=""),"",SUMIFS($N:$N,$J:$J,J440,$K:$K,K440))</f>
        <v/>
      </c>
      <c r="Q440" s="32" t="str">
        <f aca="false">IF(OR(J440="",K440=""),"",IF(COUNTIFS($J:$J,J440,$K:$K,"&lt;"&amp;K440)=0,"",_xlfn.MAXIFS($K:$K,$J:$J,J440,$K:$K,"&lt;"&amp;K440)))</f>
        <v/>
      </c>
      <c r="R440" s="39" t="str">
        <f aca="false">IF(Q440="","",SUMIFS($N:$N,$J:$J,J440,$K:$K,Q440))</f>
        <v/>
      </c>
      <c r="S440" s="37" t="str">
        <f aca="false">IF(OR(R440="",R440=0,P440=""),"",P440/R440-1)</f>
        <v/>
      </c>
    </row>
    <row r="441" customFormat="false" ht="15" hidden="false" customHeight="false" outlineLevel="0" collapsed="false">
      <c r="A441" s="27"/>
      <c r="B441" s="5"/>
      <c r="C441" s="35"/>
      <c r="D441" s="5"/>
      <c r="E441" s="5"/>
      <c r="F441" s="19" t="str">
        <f aca="false">IF(A441="","",IF(COUNTIF(Contratos!$A:$A,A441)+COUNTIF(Pagamentos!$A:$A,A441)=0,"não consta","SIM — contratos: "&amp;COUNTIF(Contratos!$A:$A,A441)&amp;"; pagamentos: "&amp;COUNTIF(Pagamentos!$A:$A,A441)))</f>
        <v/>
      </c>
      <c r="G441" s="27"/>
      <c r="H441" s="5"/>
      <c r="J441" s="5"/>
      <c r="K441" s="41"/>
      <c r="L441" s="14"/>
      <c r="M441" s="5"/>
      <c r="N441" s="35"/>
      <c r="O441" s="27"/>
      <c r="P441" s="39" t="str">
        <f aca="false">IF(OR(J441="",K441=""),"",SUMIFS($N:$N,$J:$J,J441,$K:$K,K441))</f>
        <v/>
      </c>
      <c r="Q441" s="32" t="str">
        <f aca="false">IF(OR(J441="",K441=""),"",IF(COUNTIFS($J:$J,J441,$K:$K,"&lt;"&amp;K441)=0,"",_xlfn.MAXIFS($K:$K,$J:$J,J441,$K:$K,"&lt;"&amp;K441)))</f>
        <v/>
      </c>
      <c r="R441" s="39" t="str">
        <f aca="false">IF(Q441="","",SUMIFS($N:$N,$J:$J,J441,$K:$K,Q441))</f>
        <v/>
      </c>
      <c r="S441" s="37" t="str">
        <f aca="false">IF(OR(R441="",R441=0,P441=""),"",P441/R441-1)</f>
        <v/>
      </c>
    </row>
    <row r="442" customFormat="false" ht="15" hidden="false" customHeight="false" outlineLevel="0" collapsed="false">
      <c r="A442" s="27"/>
      <c r="B442" s="5"/>
      <c r="C442" s="35"/>
      <c r="D442" s="5"/>
      <c r="E442" s="5"/>
      <c r="F442" s="19" t="str">
        <f aca="false">IF(A442="","",IF(COUNTIF(Contratos!$A:$A,A442)+COUNTIF(Pagamentos!$A:$A,A442)=0,"não consta","SIM — contratos: "&amp;COUNTIF(Contratos!$A:$A,A442)&amp;"; pagamentos: "&amp;COUNTIF(Pagamentos!$A:$A,A442)))</f>
        <v/>
      </c>
      <c r="G442" s="27"/>
      <c r="H442" s="5"/>
      <c r="J442" s="5"/>
      <c r="K442" s="41"/>
      <c r="L442" s="14"/>
      <c r="M442" s="5"/>
      <c r="N442" s="35"/>
      <c r="O442" s="27"/>
      <c r="P442" s="39" t="str">
        <f aca="false">IF(OR(J442="",K442=""),"",SUMIFS($N:$N,$J:$J,J442,$K:$K,K442))</f>
        <v/>
      </c>
      <c r="Q442" s="32" t="str">
        <f aca="false">IF(OR(J442="",K442=""),"",IF(COUNTIFS($J:$J,J442,$K:$K,"&lt;"&amp;K442)=0,"",_xlfn.MAXIFS($K:$K,$J:$J,J442,$K:$K,"&lt;"&amp;K442)))</f>
        <v/>
      </c>
      <c r="R442" s="39" t="str">
        <f aca="false">IF(Q442="","",SUMIFS($N:$N,$J:$J,J442,$K:$K,Q442))</f>
        <v/>
      </c>
      <c r="S442" s="37" t="str">
        <f aca="false">IF(OR(R442="",R442=0,P442=""),"",P442/R442-1)</f>
        <v/>
      </c>
    </row>
    <row r="443" customFormat="false" ht="15" hidden="false" customHeight="false" outlineLevel="0" collapsed="false">
      <c r="A443" s="27"/>
      <c r="B443" s="5"/>
      <c r="C443" s="35"/>
      <c r="D443" s="5"/>
      <c r="E443" s="5"/>
      <c r="F443" s="19" t="str">
        <f aca="false">IF(A443="","",IF(COUNTIF(Contratos!$A:$A,A443)+COUNTIF(Pagamentos!$A:$A,A443)=0,"não consta","SIM — contratos: "&amp;COUNTIF(Contratos!$A:$A,A443)&amp;"; pagamentos: "&amp;COUNTIF(Pagamentos!$A:$A,A443)))</f>
        <v/>
      </c>
      <c r="G443" s="27"/>
      <c r="H443" s="5"/>
      <c r="J443" s="5"/>
      <c r="K443" s="41"/>
      <c r="L443" s="14"/>
      <c r="M443" s="5"/>
      <c r="N443" s="35"/>
      <c r="O443" s="27"/>
      <c r="P443" s="39" t="str">
        <f aca="false">IF(OR(J443="",K443=""),"",SUMIFS($N:$N,$J:$J,J443,$K:$K,K443))</f>
        <v/>
      </c>
      <c r="Q443" s="32" t="str">
        <f aca="false">IF(OR(J443="",K443=""),"",IF(COUNTIFS($J:$J,J443,$K:$K,"&lt;"&amp;K443)=0,"",_xlfn.MAXIFS($K:$K,$J:$J,J443,$K:$K,"&lt;"&amp;K443)))</f>
        <v/>
      </c>
      <c r="R443" s="39" t="str">
        <f aca="false">IF(Q443="","",SUMIFS($N:$N,$J:$J,J443,$K:$K,Q443))</f>
        <v/>
      </c>
      <c r="S443" s="37" t="str">
        <f aca="false">IF(OR(R443="",R443=0,P443=""),"",P443/R443-1)</f>
        <v/>
      </c>
    </row>
    <row r="444" customFormat="false" ht="15" hidden="false" customHeight="false" outlineLevel="0" collapsed="false">
      <c r="A444" s="27"/>
      <c r="B444" s="5"/>
      <c r="C444" s="35"/>
      <c r="D444" s="5"/>
      <c r="E444" s="5"/>
      <c r="F444" s="19" t="str">
        <f aca="false">IF(A444="","",IF(COUNTIF(Contratos!$A:$A,A444)+COUNTIF(Pagamentos!$A:$A,A444)=0,"não consta","SIM — contratos: "&amp;COUNTIF(Contratos!$A:$A,A444)&amp;"; pagamentos: "&amp;COUNTIF(Pagamentos!$A:$A,A444)))</f>
        <v/>
      </c>
      <c r="G444" s="27"/>
      <c r="H444" s="5"/>
      <c r="J444" s="5"/>
      <c r="K444" s="41"/>
      <c r="L444" s="14"/>
      <c r="M444" s="5"/>
      <c r="N444" s="35"/>
      <c r="O444" s="27"/>
      <c r="P444" s="39" t="str">
        <f aca="false">IF(OR(J444="",K444=""),"",SUMIFS($N:$N,$J:$J,J444,$K:$K,K444))</f>
        <v/>
      </c>
      <c r="Q444" s="32" t="str">
        <f aca="false">IF(OR(J444="",K444=""),"",IF(COUNTIFS($J:$J,J444,$K:$K,"&lt;"&amp;K444)=0,"",_xlfn.MAXIFS($K:$K,$J:$J,J444,$K:$K,"&lt;"&amp;K444)))</f>
        <v/>
      </c>
      <c r="R444" s="39" t="str">
        <f aca="false">IF(Q444="","",SUMIFS($N:$N,$J:$J,J444,$K:$K,Q444))</f>
        <v/>
      </c>
      <c r="S444" s="37" t="str">
        <f aca="false">IF(OR(R444="",R444=0,P444=""),"",P444/R444-1)</f>
        <v/>
      </c>
    </row>
    <row r="445" customFormat="false" ht="15" hidden="false" customHeight="false" outlineLevel="0" collapsed="false">
      <c r="A445" s="27"/>
      <c r="B445" s="5"/>
      <c r="C445" s="35"/>
      <c r="D445" s="5"/>
      <c r="E445" s="5"/>
      <c r="F445" s="19" t="str">
        <f aca="false">IF(A445="","",IF(COUNTIF(Contratos!$A:$A,A445)+COUNTIF(Pagamentos!$A:$A,A445)=0,"não consta","SIM — contratos: "&amp;COUNTIF(Contratos!$A:$A,A445)&amp;"; pagamentos: "&amp;COUNTIF(Pagamentos!$A:$A,A445)))</f>
        <v/>
      </c>
      <c r="G445" s="27"/>
      <c r="H445" s="5"/>
      <c r="J445" s="5"/>
      <c r="K445" s="41"/>
      <c r="L445" s="14"/>
      <c r="M445" s="5"/>
      <c r="N445" s="35"/>
      <c r="O445" s="27"/>
      <c r="P445" s="39" t="str">
        <f aca="false">IF(OR(J445="",K445=""),"",SUMIFS($N:$N,$J:$J,J445,$K:$K,K445))</f>
        <v/>
      </c>
      <c r="Q445" s="32" t="str">
        <f aca="false">IF(OR(J445="",K445=""),"",IF(COUNTIFS($J:$J,J445,$K:$K,"&lt;"&amp;K445)=0,"",_xlfn.MAXIFS($K:$K,$J:$J,J445,$K:$K,"&lt;"&amp;K445)))</f>
        <v/>
      </c>
      <c r="R445" s="39" t="str">
        <f aca="false">IF(Q445="","",SUMIFS($N:$N,$J:$J,J445,$K:$K,Q445))</f>
        <v/>
      </c>
      <c r="S445" s="37" t="str">
        <f aca="false">IF(OR(R445="",R445=0,P445=""),"",P445/R445-1)</f>
        <v/>
      </c>
    </row>
    <row r="446" customFormat="false" ht="15" hidden="false" customHeight="false" outlineLevel="0" collapsed="false">
      <c r="A446" s="27"/>
      <c r="B446" s="5"/>
      <c r="C446" s="35"/>
      <c r="D446" s="5"/>
      <c r="E446" s="5"/>
      <c r="F446" s="19" t="str">
        <f aca="false">IF(A446="","",IF(COUNTIF(Contratos!$A:$A,A446)+COUNTIF(Pagamentos!$A:$A,A446)=0,"não consta","SIM — contratos: "&amp;COUNTIF(Contratos!$A:$A,A446)&amp;"; pagamentos: "&amp;COUNTIF(Pagamentos!$A:$A,A446)))</f>
        <v/>
      </c>
      <c r="G446" s="27"/>
      <c r="H446" s="5"/>
      <c r="J446" s="5"/>
      <c r="K446" s="41"/>
      <c r="L446" s="14"/>
      <c r="M446" s="5"/>
      <c r="N446" s="35"/>
      <c r="O446" s="27"/>
      <c r="P446" s="39" t="str">
        <f aca="false">IF(OR(J446="",K446=""),"",SUMIFS($N:$N,$J:$J,J446,$K:$K,K446))</f>
        <v/>
      </c>
      <c r="Q446" s="32" t="str">
        <f aca="false">IF(OR(J446="",K446=""),"",IF(COUNTIFS($J:$J,J446,$K:$K,"&lt;"&amp;K446)=0,"",_xlfn.MAXIFS($K:$K,$J:$J,J446,$K:$K,"&lt;"&amp;K446)))</f>
        <v/>
      </c>
      <c r="R446" s="39" t="str">
        <f aca="false">IF(Q446="","",SUMIFS($N:$N,$J:$J,J446,$K:$K,Q446))</f>
        <v/>
      </c>
      <c r="S446" s="37" t="str">
        <f aca="false">IF(OR(R446="",R446=0,P446=""),"",P446/R446-1)</f>
        <v/>
      </c>
    </row>
    <row r="447" customFormat="false" ht="15" hidden="false" customHeight="false" outlineLevel="0" collapsed="false">
      <c r="A447" s="27"/>
      <c r="B447" s="5"/>
      <c r="C447" s="35"/>
      <c r="D447" s="5"/>
      <c r="E447" s="5"/>
      <c r="F447" s="19" t="str">
        <f aca="false">IF(A447="","",IF(COUNTIF(Contratos!$A:$A,A447)+COUNTIF(Pagamentos!$A:$A,A447)=0,"não consta","SIM — contratos: "&amp;COUNTIF(Contratos!$A:$A,A447)&amp;"; pagamentos: "&amp;COUNTIF(Pagamentos!$A:$A,A447)))</f>
        <v/>
      </c>
      <c r="G447" s="27"/>
      <c r="H447" s="5"/>
      <c r="J447" s="5"/>
      <c r="K447" s="41"/>
      <c r="L447" s="14"/>
      <c r="M447" s="5"/>
      <c r="N447" s="35"/>
      <c r="O447" s="27"/>
      <c r="P447" s="39" t="str">
        <f aca="false">IF(OR(J447="",K447=""),"",SUMIFS($N:$N,$J:$J,J447,$K:$K,K447))</f>
        <v/>
      </c>
      <c r="Q447" s="32" t="str">
        <f aca="false">IF(OR(J447="",K447=""),"",IF(COUNTIFS($J:$J,J447,$K:$K,"&lt;"&amp;K447)=0,"",_xlfn.MAXIFS($K:$K,$J:$J,J447,$K:$K,"&lt;"&amp;K447)))</f>
        <v/>
      </c>
      <c r="R447" s="39" t="str">
        <f aca="false">IF(Q447="","",SUMIFS($N:$N,$J:$J,J447,$K:$K,Q447))</f>
        <v/>
      </c>
      <c r="S447" s="37" t="str">
        <f aca="false">IF(OR(R447="",R447=0,P447=""),"",P447/R447-1)</f>
        <v/>
      </c>
    </row>
    <row r="448" customFormat="false" ht="15" hidden="false" customHeight="false" outlineLevel="0" collapsed="false">
      <c r="A448" s="27"/>
      <c r="B448" s="5"/>
      <c r="C448" s="35"/>
      <c r="D448" s="5"/>
      <c r="E448" s="5"/>
      <c r="F448" s="19" t="str">
        <f aca="false">IF(A448="","",IF(COUNTIF(Contratos!$A:$A,A448)+COUNTIF(Pagamentos!$A:$A,A448)=0,"não consta","SIM — contratos: "&amp;COUNTIF(Contratos!$A:$A,A448)&amp;"; pagamentos: "&amp;COUNTIF(Pagamentos!$A:$A,A448)))</f>
        <v/>
      </c>
      <c r="G448" s="27"/>
      <c r="H448" s="5"/>
      <c r="J448" s="5"/>
      <c r="K448" s="41"/>
      <c r="L448" s="14"/>
      <c r="M448" s="5"/>
      <c r="N448" s="35"/>
      <c r="O448" s="27"/>
      <c r="P448" s="39" t="str">
        <f aca="false">IF(OR(J448="",K448=""),"",SUMIFS($N:$N,$J:$J,J448,$K:$K,K448))</f>
        <v/>
      </c>
      <c r="Q448" s="32" t="str">
        <f aca="false">IF(OR(J448="",K448=""),"",IF(COUNTIFS($J:$J,J448,$K:$K,"&lt;"&amp;K448)=0,"",_xlfn.MAXIFS($K:$K,$J:$J,J448,$K:$K,"&lt;"&amp;K448)))</f>
        <v/>
      </c>
      <c r="R448" s="39" t="str">
        <f aca="false">IF(Q448="","",SUMIFS($N:$N,$J:$J,J448,$K:$K,Q448))</f>
        <v/>
      </c>
      <c r="S448" s="37" t="str">
        <f aca="false">IF(OR(R448="",R448=0,P448=""),"",P448/R448-1)</f>
        <v/>
      </c>
    </row>
    <row r="449" customFormat="false" ht="15" hidden="false" customHeight="false" outlineLevel="0" collapsed="false">
      <c r="A449" s="27"/>
      <c r="B449" s="5"/>
      <c r="C449" s="35"/>
      <c r="D449" s="5"/>
      <c r="E449" s="5"/>
      <c r="F449" s="19" t="str">
        <f aca="false">IF(A449="","",IF(COUNTIF(Contratos!$A:$A,A449)+COUNTIF(Pagamentos!$A:$A,A449)=0,"não consta","SIM — contratos: "&amp;COUNTIF(Contratos!$A:$A,A449)&amp;"; pagamentos: "&amp;COUNTIF(Pagamentos!$A:$A,A449)))</f>
        <v/>
      </c>
      <c r="G449" s="27"/>
      <c r="H449" s="5"/>
      <c r="J449" s="5"/>
      <c r="K449" s="41"/>
      <c r="L449" s="14"/>
      <c r="M449" s="5"/>
      <c r="N449" s="35"/>
      <c r="O449" s="27"/>
      <c r="P449" s="39" t="str">
        <f aca="false">IF(OR(J449="",K449=""),"",SUMIFS($N:$N,$J:$J,J449,$K:$K,K449))</f>
        <v/>
      </c>
      <c r="Q449" s="32" t="str">
        <f aca="false">IF(OR(J449="",K449=""),"",IF(COUNTIFS($J:$J,J449,$K:$K,"&lt;"&amp;K449)=0,"",_xlfn.MAXIFS($K:$K,$J:$J,J449,$K:$K,"&lt;"&amp;K449)))</f>
        <v/>
      </c>
      <c r="R449" s="39" t="str">
        <f aca="false">IF(Q449="","",SUMIFS($N:$N,$J:$J,J449,$K:$K,Q449))</f>
        <v/>
      </c>
      <c r="S449" s="37" t="str">
        <f aca="false">IF(OR(R449="",R449=0,P449=""),"",P449/R449-1)</f>
        <v/>
      </c>
    </row>
    <row r="450" customFormat="false" ht="15" hidden="false" customHeight="false" outlineLevel="0" collapsed="false">
      <c r="A450" s="27"/>
      <c r="B450" s="5"/>
      <c r="C450" s="35"/>
      <c r="D450" s="5"/>
      <c r="E450" s="5"/>
      <c r="F450" s="19" t="str">
        <f aca="false">IF(A450="","",IF(COUNTIF(Contratos!$A:$A,A450)+COUNTIF(Pagamentos!$A:$A,A450)=0,"não consta","SIM — contratos: "&amp;COUNTIF(Contratos!$A:$A,A450)&amp;"; pagamentos: "&amp;COUNTIF(Pagamentos!$A:$A,A450)))</f>
        <v/>
      </c>
      <c r="G450" s="27"/>
      <c r="H450" s="5"/>
      <c r="J450" s="5"/>
      <c r="K450" s="41"/>
      <c r="L450" s="14"/>
      <c r="M450" s="5"/>
      <c r="N450" s="35"/>
      <c r="O450" s="27"/>
      <c r="P450" s="39" t="str">
        <f aca="false">IF(OR(J450="",K450=""),"",SUMIFS($N:$N,$J:$J,J450,$K:$K,K450))</f>
        <v/>
      </c>
      <c r="Q450" s="32" t="str">
        <f aca="false">IF(OR(J450="",K450=""),"",IF(COUNTIFS($J:$J,J450,$K:$K,"&lt;"&amp;K450)=0,"",_xlfn.MAXIFS($K:$K,$J:$J,J450,$K:$K,"&lt;"&amp;K450)))</f>
        <v/>
      </c>
      <c r="R450" s="39" t="str">
        <f aca="false">IF(Q450="","",SUMIFS($N:$N,$J:$J,J450,$K:$K,Q450))</f>
        <v/>
      </c>
      <c r="S450" s="37" t="str">
        <f aca="false">IF(OR(R450="",R450=0,P450=""),"",P450/R450-1)</f>
        <v/>
      </c>
    </row>
    <row r="451" customFormat="false" ht="15" hidden="false" customHeight="false" outlineLevel="0" collapsed="false">
      <c r="A451" s="27"/>
      <c r="B451" s="5"/>
      <c r="C451" s="35"/>
      <c r="D451" s="5"/>
      <c r="E451" s="5"/>
      <c r="F451" s="19" t="str">
        <f aca="false">IF(A451="","",IF(COUNTIF(Contratos!$A:$A,A451)+COUNTIF(Pagamentos!$A:$A,A451)=0,"não consta","SIM — contratos: "&amp;COUNTIF(Contratos!$A:$A,A451)&amp;"; pagamentos: "&amp;COUNTIF(Pagamentos!$A:$A,A451)))</f>
        <v/>
      </c>
      <c r="G451" s="27"/>
      <c r="H451" s="5"/>
      <c r="J451" s="5"/>
      <c r="K451" s="41"/>
      <c r="L451" s="14"/>
      <c r="M451" s="5"/>
      <c r="N451" s="35"/>
      <c r="O451" s="27"/>
      <c r="P451" s="39" t="str">
        <f aca="false">IF(OR(J451="",K451=""),"",SUMIFS($N:$N,$J:$J,J451,$K:$K,K451))</f>
        <v/>
      </c>
      <c r="Q451" s="32" t="str">
        <f aca="false">IF(OR(J451="",K451=""),"",IF(COUNTIFS($J:$J,J451,$K:$K,"&lt;"&amp;K451)=0,"",_xlfn.MAXIFS($K:$K,$J:$J,J451,$K:$K,"&lt;"&amp;K451)))</f>
        <v/>
      </c>
      <c r="R451" s="39" t="str">
        <f aca="false">IF(Q451="","",SUMIFS($N:$N,$J:$J,J451,$K:$K,Q451))</f>
        <v/>
      </c>
      <c r="S451" s="37" t="str">
        <f aca="false">IF(OR(R451="",R451=0,P451=""),"",P451/R451-1)</f>
        <v/>
      </c>
    </row>
    <row r="452" customFormat="false" ht="15" hidden="false" customHeight="false" outlineLevel="0" collapsed="false">
      <c r="A452" s="27"/>
      <c r="B452" s="5"/>
      <c r="C452" s="35"/>
      <c r="D452" s="5"/>
      <c r="E452" s="5"/>
      <c r="F452" s="19" t="str">
        <f aca="false">IF(A452="","",IF(COUNTIF(Contratos!$A:$A,A452)+COUNTIF(Pagamentos!$A:$A,A452)=0,"não consta","SIM — contratos: "&amp;COUNTIF(Contratos!$A:$A,A452)&amp;"; pagamentos: "&amp;COUNTIF(Pagamentos!$A:$A,A452)))</f>
        <v/>
      </c>
      <c r="G452" s="27"/>
      <c r="H452" s="5"/>
      <c r="J452" s="5"/>
      <c r="K452" s="41"/>
      <c r="L452" s="14"/>
      <c r="M452" s="5"/>
      <c r="N452" s="35"/>
      <c r="O452" s="27"/>
      <c r="P452" s="39" t="str">
        <f aca="false">IF(OR(J452="",K452=""),"",SUMIFS($N:$N,$J:$J,J452,$K:$K,K452))</f>
        <v/>
      </c>
      <c r="Q452" s="32" t="str">
        <f aca="false">IF(OR(J452="",K452=""),"",IF(COUNTIFS($J:$J,J452,$K:$K,"&lt;"&amp;K452)=0,"",_xlfn.MAXIFS($K:$K,$J:$J,J452,$K:$K,"&lt;"&amp;K452)))</f>
        <v/>
      </c>
      <c r="R452" s="39" t="str">
        <f aca="false">IF(Q452="","",SUMIFS($N:$N,$J:$J,J452,$K:$K,Q452))</f>
        <v/>
      </c>
      <c r="S452" s="37" t="str">
        <f aca="false">IF(OR(R452="",R452=0,P452=""),"",P452/R452-1)</f>
        <v/>
      </c>
    </row>
    <row r="453" customFormat="false" ht="15" hidden="false" customHeight="false" outlineLevel="0" collapsed="false">
      <c r="A453" s="27"/>
      <c r="B453" s="5"/>
      <c r="C453" s="35"/>
      <c r="D453" s="5"/>
      <c r="E453" s="5"/>
      <c r="F453" s="19" t="str">
        <f aca="false">IF(A453="","",IF(COUNTIF(Contratos!$A:$A,A453)+COUNTIF(Pagamentos!$A:$A,A453)=0,"não consta","SIM — contratos: "&amp;COUNTIF(Contratos!$A:$A,A453)&amp;"; pagamentos: "&amp;COUNTIF(Pagamentos!$A:$A,A453)))</f>
        <v/>
      </c>
      <c r="G453" s="27"/>
      <c r="H453" s="5"/>
      <c r="J453" s="5"/>
      <c r="K453" s="41"/>
      <c r="L453" s="14"/>
      <c r="M453" s="5"/>
      <c r="N453" s="35"/>
      <c r="O453" s="27"/>
      <c r="P453" s="39" t="str">
        <f aca="false">IF(OR(J453="",K453=""),"",SUMIFS($N:$N,$J:$J,J453,$K:$K,K453))</f>
        <v/>
      </c>
      <c r="Q453" s="32" t="str">
        <f aca="false">IF(OR(J453="",K453=""),"",IF(COUNTIFS($J:$J,J453,$K:$K,"&lt;"&amp;K453)=0,"",_xlfn.MAXIFS($K:$K,$J:$J,J453,$K:$K,"&lt;"&amp;K453)))</f>
        <v/>
      </c>
      <c r="R453" s="39" t="str">
        <f aca="false">IF(Q453="","",SUMIFS($N:$N,$J:$J,J453,$K:$K,Q453))</f>
        <v/>
      </c>
      <c r="S453" s="37" t="str">
        <f aca="false">IF(OR(R453="",R453=0,P453=""),"",P453/R453-1)</f>
        <v/>
      </c>
    </row>
    <row r="454" customFormat="false" ht="15" hidden="false" customHeight="false" outlineLevel="0" collapsed="false">
      <c r="A454" s="27"/>
      <c r="B454" s="5"/>
      <c r="C454" s="35"/>
      <c r="D454" s="5"/>
      <c r="E454" s="5"/>
      <c r="F454" s="19" t="str">
        <f aca="false">IF(A454="","",IF(COUNTIF(Contratos!$A:$A,A454)+COUNTIF(Pagamentos!$A:$A,A454)=0,"não consta","SIM — contratos: "&amp;COUNTIF(Contratos!$A:$A,A454)&amp;"; pagamentos: "&amp;COUNTIF(Pagamentos!$A:$A,A454)))</f>
        <v/>
      </c>
      <c r="G454" s="27"/>
      <c r="H454" s="5"/>
      <c r="J454" s="5"/>
      <c r="K454" s="41"/>
      <c r="L454" s="14"/>
      <c r="M454" s="5"/>
      <c r="N454" s="35"/>
      <c r="O454" s="27"/>
      <c r="P454" s="39" t="str">
        <f aca="false">IF(OR(J454="",K454=""),"",SUMIFS($N:$N,$J:$J,J454,$K:$K,K454))</f>
        <v/>
      </c>
      <c r="Q454" s="32" t="str">
        <f aca="false">IF(OR(J454="",K454=""),"",IF(COUNTIFS($J:$J,J454,$K:$K,"&lt;"&amp;K454)=0,"",_xlfn.MAXIFS($K:$K,$J:$J,J454,$K:$K,"&lt;"&amp;K454)))</f>
        <v/>
      </c>
      <c r="R454" s="39" t="str">
        <f aca="false">IF(Q454="","",SUMIFS($N:$N,$J:$J,J454,$K:$K,Q454))</f>
        <v/>
      </c>
      <c r="S454" s="37" t="str">
        <f aca="false">IF(OR(R454="",R454=0,P454=""),"",P454/R454-1)</f>
        <v/>
      </c>
    </row>
    <row r="455" customFormat="false" ht="15" hidden="false" customHeight="false" outlineLevel="0" collapsed="false">
      <c r="A455" s="27"/>
      <c r="B455" s="5"/>
      <c r="C455" s="35"/>
      <c r="D455" s="5"/>
      <c r="E455" s="5"/>
      <c r="F455" s="19" t="str">
        <f aca="false">IF(A455="","",IF(COUNTIF(Contratos!$A:$A,A455)+COUNTIF(Pagamentos!$A:$A,A455)=0,"não consta","SIM — contratos: "&amp;COUNTIF(Contratos!$A:$A,A455)&amp;"; pagamentos: "&amp;COUNTIF(Pagamentos!$A:$A,A455)))</f>
        <v/>
      </c>
      <c r="G455" s="27"/>
      <c r="H455" s="5"/>
      <c r="J455" s="5"/>
      <c r="K455" s="41"/>
      <c r="L455" s="14"/>
      <c r="M455" s="5"/>
      <c r="N455" s="35"/>
      <c r="O455" s="27"/>
      <c r="P455" s="39" t="str">
        <f aca="false">IF(OR(J455="",K455=""),"",SUMIFS($N:$N,$J:$J,J455,$K:$K,K455))</f>
        <v/>
      </c>
      <c r="Q455" s="32" t="str">
        <f aca="false">IF(OR(J455="",K455=""),"",IF(COUNTIFS($J:$J,J455,$K:$K,"&lt;"&amp;K455)=0,"",_xlfn.MAXIFS($K:$K,$J:$J,J455,$K:$K,"&lt;"&amp;K455)))</f>
        <v/>
      </c>
      <c r="R455" s="39" t="str">
        <f aca="false">IF(Q455="","",SUMIFS($N:$N,$J:$J,J455,$K:$K,Q455))</f>
        <v/>
      </c>
      <c r="S455" s="37" t="str">
        <f aca="false">IF(OR(R455="",R455=0,P455=""),"",P455/R455-1)</f>
        <v/>
      </c>
    </row>
    <row r="456" customFormat="false" ht="15" hidden="false" customHeight="false" outlineLevel="0" collapsed="false">
      <c r="A456" s="27"/>
      <c r="B456" s="5"/>
      <c r="C456" s="35"/>
      <c r="D456" s="5"/>
      <c r="E456" s="5"/>
      <c r="F456" s="19" t="str">
        <f aca="false">IF(A456="","",IF(COUNTIF(Contratos!$A:$A,A456)+COUNTIF(Pagamentos!$A:$A,A456)=0,"não consta","SIM — contratos: "&amp;COUNTIF(Contratos!$A:$A,A456)&amp;"; pagamentos: "&amp;COUNTIF(Pagamentos!$A:$A,A456)))</f>
        <v/>
      </c>
      <c r="G456" s="27"/>
      <c r="H456" s="5"/>
      <c r="J456" s="5"/>
      <c r="K456" s="41"/>
      <c r="L456" s="14"/>
      <c r="M456" s="5"/>
      <c r="N456" s="35"/>
      <c r="O456" s="27"/>
      <c r="P456" s="39" t="str">
        <f aca="false">IF(OR(J456="",K456=""),"",SUMIFS($N:$N,$J:$J,J456,$K:$K,K456))</f>
        <v/>
      </c>
      <c r="Q456" s="32" t="str">
        <f aca="false">IF(OR(J456="",K456=""),"",IF(COUNTIFS($J:$J,J456,$K:$K,"&lt;"&amp;K456)=0,"",_xlfn.MAXIFS($K:$K,$J:$J,J456,$K:$K,"&lt;"&amp;K456)))</f>
        <v/>
      </c>
      <c r="R456" s="39" t="str">
        <f aca="false">IF(Q456="","",SUMIFS($N:$N,$J:$J,J456,$K:$K,Q456))</f>
        <v/>
      </c>
      <c r="S456" s="37" t="str">
        <f aca="false">IF(OR(R456="",R456=0,P456=""),"",P456/R456-1)</f>
        <v/>
      </c>
    </row>
    <row r="457" customFormat="false" ht="15" hidden="false" customHeight="false" outlineLevel="0" collapsed="false">
      <c r="A457" s="27"/>
      <c r="B457" s="5"/>
      <c r="C457" s="35"/>
      <c r="D457" s="5"/>
      <c r="E457" s="5"/>
      <c r="F457" s="19" t="str">
        <f aca="false">IF(A457="","",IF(COUNTIF(Contratos!$A:$A,A457)+COUNTIF(Pagamentos!$A:$A,A457)=0,"não consta","SIM — contratos: "&amp;COUNTIF(Contratos!$A:$A,A457)&amp;"; pagamentos: "&amp;COUNTIF(Pagamentos!$A:$A,A457)))</f>
        <v/>
      </c>
      <c r="G457" s="27"/>
      <c r="H457" s="5"/>
      <c r="J457" s="5"/>
      <c r="K457" s="41"/>
      <c r="L457" s="14"/>
      <c r="M457" s="5"/>
      <c r="N457" s="35"/>
      <c r="O457" s="27"/>
      <c r="P457" s="39" t="str">
        <f aca="false">IF(OR(J457="",K457=""),"",SUMIFS($N:$N,$J:$J,J457,$K:$K,K457))</f>
        <v/>
      </c>
      <c r="Q457" s="32" t="str">
        <f aca="false">IF(OR(J457="",K457=""),"",IF(COUNTIFS($J:$J,J457,$K:$K,"&lt;"&amp;K457)=0,"",_xlfn.MAXIFS($K:$K,$J:$J,J457,$K:$K,"&lt;"&amp;K457)))</f>
        <v/>
      </c>
      <c r="R457" s="39" t="str">
        <f aca="false">IF(Q457="","",SUMIFS($N:$N,$J:$J,J457,$K:$K,Q457))</f>
        <v/>
      </c>
      <c r="S457" s="37" t="str">
        <f aca="false">IF(OR(R457="",R457=0,P457=""),"",P457/R457-1)</f>
        <v/>
      </c>
    </row>
    <row r="458" customFormat="false" ht="15" hidden="false" customHeight="false" outlineLevel="0" collapsed="false">
      <c r="A458" s="27"/>
      <c r="B458" s="5"/>
      <c r="C458" s="35"/>
      <c r="D458" s="5"/>
      <c r="E458" s="5"/>
      <c r="F458" s="19" t="str">
        <f aca="false">IF(A458="","",IF(COUNTIF(Contratos!$A:$A,A458)+COUNTIF(Pagamentos!$A:$A,A458)=0,"não consta","SIM — contratos: "&amp;COUNTIF(Contratos!$A:$A,A458)&amp;"; pagamentos: "&amp;COUNTIF(Pagamentos!$A:$A,A458)))</f>
        <v/>
      </c>
      <c r="G458" s="27"/>
      <c r="H458" s="5"/>
      <c r="J458" s="5"/>
      <c r="K458" s="41"/>
      <c r="L458" s="14"/>
      <c r="M458" s="5"/>
      <c r="N458" s="35"/>
      <c r="O458" s="27"/>
      <c r="P458" s="39" t="str">
        <f aca="false">IF(OR(J458="",K458=""),"",SUMIFS($N:$N,$J:$J,J458,$K:$K,K458))</f>
        <v/>
      </c>
      <c r="Q458" s="32" t="str">
        <f aca="false">IF(OR(J458="",K458=""),"",IF(COUNTIFS($J:$J,J458,$K:$K,"&lt;"&amp;K458)=0,"",_xlfn.MAXIFS($K:$K,$J:$J,J458,$K:$K,"&lt;"&amp;K458)))</f>
        <v/>
      </c>
      <c r="R458" s="39" t="str">
        <f aca="false">IF(Q458="","",SUMIFS($N:$N,$J:$J,J458,$K:$K,Q458))</f>
        <v/>
      </c>
      <c r="S458" s="37" t="str">
        <f aca="false">IF(OR(R458="",R458=0,P458=""),"",P458/R458-1)</f>
        <v/>
      </c>
    </row>
    <row r="459" customFormat="false" ht="15" hidden="false" customHeight="false" outlineLevel="0" collapsed="false">
      <c r="A459" s="27"/>
      <c r="B459" s="5"/>
      <c r="C459" s="35"/>
      <c r="D459" s="5"/>
      <c r="E459" s="5"/>
      <c r="F459" s="19" t="str">
        <f aca="false">IF(A459="","",IF(COUNTIF(Contratos!$A:$A,A459)+COUNTIF(Pagamentos!$A:$A,A459)=0,"não consta","SIM — contratos: "&amp;COUNTIF(Contratos!$A:$A,A459)&amp;"; pagamentos: "&amp;COUNTIF(Pagamentos!$A:$A,A459)))</f>
        <v/>
      </c>
      <c r="G459" s="27"/>
      <c r="H459" s="5"/>
      <c r="J459" s="5"/>
      <c r="K459" s="41"/>
      <c r="L459" s="14"/>
      <c r="M459" s="5"/>
      <c r="N459" s="35"/>
      <c r="O459" s="27"/>
      <c r="P459" s="39" t="str">
        <f aca="false">IF(OR(J459="",K459=""),"",SUMIFS($N:$N,$J:$J,J459,$K:$K,K459))</f>
        <v/>
      </c>
      <c r="Q459" s="32" t="str">
        <f aca="false">IF(OR(J459="",K459=""),"",IF(COUNTIFS($J:$J,J459,$K:$K,"&lt;"&amp;K459)=0,"",_xlfn.MAXIFS($K:$K,$J:$J,J459,$K:$K,"&lt;"&amp;K459)))</f>
        <v/>
      </c>
      <c r="R459" s="39" t="str">
        <f aca="false">IF(Q459="","",SUMIFS($N:$N,$J:$J,J459,$K:$K,Q459))</f>
        <v/>
      </c>
      <c r="S459" s="37" t="str">
        <f aca="false">IF(OR(R459="",R459=0,P459=""),"",P459/R459-1)</f>
        <v/>
      </c>
    </row>
    <row r="460" customFormat="false" ht="15" hidden="false" customHeight="false" outlineLevel="0" collapsed="false">
      <c r="A460" s="27"/>
      <c r="B460" s="5"/>
      <c r="C460" s="35"/>
      <c r="D460" s="5"/>
      <c r="E460" s="5"/>
      <c r="F460" s="19" t="str">
        <f aca="false">IF(A460="","",IF(COUNTIF(Contratos!$A:$A,A460)+COUNTIF(Pagamentos!$A:$A,A460)=0,"não consta","SIM — contratos: "&amp;COUNTIF(Contratos!$A:$A,A460)&amp;"; pagamentos: "&amp;COUNTIF(Pagamentos!$A:$A,A460)))</f>
        <v/>
      </c>
      <c r="G460" s="27"/>
      <c r="H460" s="5"/>
      <c r="J460" s="5"/>
      <c r="K460" s="41"/>
      <c r="L460" s="14"/>
      <c r="M460" s="5"/>
      <c r="N460" s="35"/>
      <c r="O460" s="27"/>
      <c r="P460" s="39" t="str">
        <f aca="false">IF(OR(J460="",K460=""),"",SUMIFS($N:$N,$J:$J,J460,$K:$K,K460))</f>
        <v/>
      </c>
      <c r="Q460" s="32" t="str">
        <f aca="false">IF(OR(J460="",K460=""),"",IF(COUNTIFS($J:$J,J460,$K:$K,"&lt;"&amp;K460)=0,"",_xlfn.MAXIFS($K:$K,$J:$J,J460,$K:$K,"&lt;"&amp;K460)))</f>
        <v/>
      </c>
      <c r="R460" s="39" t="str">
        <f aca="false">IF(Q460="","",SUMIFS($N:$N,$J:$J,J460,$K:$K,Q460))</f>
        <v/>
      </c>
      <c r="S460" s="37" t="str">
        <f aca="false">IF(OR(R460="",R460=0,P460=""),"",P460/R460-1)</f>
        <v/>
      </c>
    </row>
    <row r="461" customFormat="false" ht="15" hidden="false" customHeight="false" outlineLevel="0" collapsed="false">
      <c r="A461" s="27"/>
      <c r="B461" s="5"/>
      <c r="C461" s="35"/>
      <c r="D461" s="5"/>
      <c r="E461" s="5"/>
      <c r="F461" s="19" t="str">
        <f aca="false">IF(A461="","",IF(COUNTIF(Contratos!$A:$A,A461)+COUNTIF(Pagamentos!$A:$A,A461)=0,"não consta","SIM — contratos: "&amp;COUNTIF(Contratos!$A:$A,A461)&amp;"; pagamentos: "&amp;COUNTIF(Pagamentos!$A:$A,A461)))</f>
        <v/>
      </c>
      <c r="G461" s="27"/>
      <c r="H461" s="5"/>
      <c r="J461" s="5"/>
      <c r="K461" s="41"/>
      <c r="L461" s="14"/>
      <c r="M461" s="5"/>
      <c r="N461" s="35"/>
      <c r="O461" s="27"/>
      <c r="P461" s="39" t="str">
        <f aca="false">IF(OR(J461="",K461=""),"",SUMIFS($N:$N,$J:$J,J461,$K:$K,K461))</f>
        <v/>
      </c>
      <c r="Q461" s="32" t="str">
        <f aca="false">IF(OR(J461="",K461=""),"",IF(COUNTIFS($J:$J,J461,$K:$K,"&lt;"&amp;K461)=0,"",_xlfn.MAXIFS($K:$K,$J:$J,J461,$K:$K,"&lt;"&amp;K461)))</f>
        <v/>
      </c>
      <c r="R461" s="39" t="str">
        <f aca="false">IF(Q461="","",SUMIFS($N:$N,$J:$J,J461,$K:$K,Q461))</f>
        <v/>
      </c>
      <c r="S461" s="37" t="str">
        <f aca="false">IF(OR(R461="",R461=0,P461=""),"",P461/R461-1)</f>
        <v/>
      </c>
    </row>
    <row r="462" customFormat="false" ht="15" hidden="false" customHeight="false" outlineLevel="0" collapsed="false">
      <c r="A462" s="27"/>
      <c r="B462" s="5"/>
      <c r="C462" s="35"/>
      <c r="D462" s="5"/>
      <c r="E462" s="5"/>
      <c r="F462" s="19" t="str">
        <f aca="false">IF(A462="","",IF(COUNTIF(Contratos!$A:$A,A462)+COUNTIF(Pagamentos!$A:$A,A462)=0,"não consta","SIM — contratos: "&amp;COUNTIF(Contratos!$A:$A,A462)&amp;"; pagamentos: "&amp;COUNTIF(Pagamentos!$A:$A,A462)))</f>
        <v/>
      </c>
      <c r="G462" s="27"/>
      <c r="H462" s="5"/>
      <c r="J462" s="5"/>
      <c r="K462" s="41"/>
      <c r="L462" s="14"/>
      <c r="M462" s="5"/>
      <c r="N462" s="35"/>
      <c r="O462" s="27"/>
      <c r="P462" s="39" t="str">
        <f aca="false">IF(OR(J462="",K462=""),"",SUMIFS($N:$N,$J:$J,J462,$K:$K,K462))</f>
        <v/>
      </c>
      <c r="Q462" s="32" t="str">
        <f aca="false">IF(OR(J462="",K462=""),"",IF(COUNTIFS($J:$J,J462,$K:$K,"&lt;"&amp;K462)=0,"",_xlfn.MAXIFS($K:$K,$J:$J,J462,$K:$K,"&lt;"&amp;K462)))</f>
        <v/>
      </c>
      <c r="R462" s="39" t="str">
        <f aca="false">IF(Q462="","",SUMIFS($N:$N,$J:$J,J462,$K:$K,Q462))</f>
        <v/>
      </c>
      <c r="S462" s="37" t="str">
        <f aca="false">IF(OR(R462="",R462=0,P462=""),"",P462/R462-1)</f>
        <v/>
      </c>
    </row>
    <row r="463" customFormat="false" ht="15" hidden="false" customHeight="false" outlineLevel="0" collapsed="false">
      <c r="A463" s="27"/>
      <c r="B463" s="5"/>
      <c r="C463" s="35"/>
      <c r="D463" s="5"/>
      <c r="E463" s="5"/>
      <c r="F463" s="19" t="str">
        <f aca="false">IF(A463="","",IF(COUNTIF(Contratos!$A:$A,A463)+COUNTIF(Pagamentos!$A:$A,A463)=0,"não consta","SIM — contratos: "&amp;COUNTIF(Contratos!$A:$A,A463)&amp;"; pagamentos: "&amp;COUNTIF(Pagamentos!$A:$A,A463)))</f>
        <v/>
      </c>
      <c r="G463" s="27"/>
      <c r="H463" s="5"/>
      <c r="J463" s="5"/>
      <c r="K463" s="41"/>
      <c r="L463" s="14"/>
      <c r="M463" s="5"/>
      <c r="N463" s="35"/>
      <c r="O463" s="27"/>
      <c r="P463" s="39" t="str">
        <f aca="false">IF(OR(J463="",K463=""),"",SUMIFS($N:$N,$J:$J,J463,$K:$K,K463))</f>
        <v/>
      </c>
      <c r="Q463" s="32" t="str">
        <f aca="false">IF(OR(J463="",K463=""),"",IF(COUNTIFS($J:$J,J463,$K:$K,"&lt;"&amp;K463)=0,"",_xlfn.MAXIFS($K:$K,$J:$J,J463,$K:$K,"&lt;"&amp;K463)))</f>
        <v/>
      </c>
      <c r="R463" s="39" t="str">
        <f aca="false">IF(Q463="","",SUMIFS($N:$N,$J:$J,J463,$K:$K,Q463))</f>
        <v/>
      </c>
      <c r="S463" s="37" t="str">
        <f aca="false">IF(OR(R463="",R463=0,P463=""),"",P463/R463-1)</f>
        <v/>
      </c>
    </row>
    <row r="464" customFormat="false" ht="15" hidden="false" customHeight="false" outlineLevel="0" collapsed="false">
      <c r="A464" s="27"/>
      <c r="B464" s="5"/>
      <c r="C464" s="35"/>
      <c r="D464" s="5"/>
      <c r="E464" s="5"/>
      <c r="F464" s="19" t="str">
        <f aca="false">IF(A464="","",IF(COUNTIF(Contratos!$A:$A,A464)+COUNTIF(Pagamentos!$A:$A,A464)=0,"não consta","SIM — contratos: "&amp;COUNTIF(Contratos!$A:$A,A464)&amp;"; pagamentos: "&amp;COUNTIF(Pagamentos!$A:$A,A464)))</f>
        <v/>
      </c>
      <c r="G464" s="27"/>
      <c r="H464" s="5"/>
      <c r="J464" s="5"/>
      <c r="K464" s="41"/>
      <c r="L464" s="14"/>
      <c r="M464" s="5"/>
      <c r="N464" s="35"/>
      <c r="O464" s="27"/>
      <c r="P464" s="39" t="str">
        <f aca="false">IF(OR(J464="",K464=""),"",SUMIFS($N:$N,$J:$J,J464,$K:$K,K464))</f>
        <v/>
      </c>
      <c r="Q464" s="32" t="str">
        <f aca="false">IF(OR(J464="",K464=""),"",IF(COUNTIFS($J:$J,J464,$K:$K,"&lt;"&amp;K464)=0,"",_xlfn.MAXIFS($K:$K,$J:$J,J464,$K:$K,"&lt;"&amp;K464)))</f>
        <v/>
      </c>
      <c r="R464" s="39" t="str">
        <f aca="false">IF(Q464="","",SUMIFS($N:$N,$J:$J,J464,$K:$K,Q464))</f>
        <v/>
      </c>
      <c r="S464" s="37" t="str">
        <f aca="false">IF(OR(R464="",R464=0,P464=""),"",P464/R464-1)</f>
        <v/>
      </c>
    </row>
    <row r="465" customFormat="false" ht="15" hidden="false" customHeight="false" outlineLevel="0" collapsed="false">
      <c r="A465" s="27"/>
      <c r="B465" s="5"/>
      <c r="C465" s="35"/>
      <c r="D465" s="5"/>
      <c r="E465" s="5"/>
      <c r="F465" s="19" t="str">
        <f aca="false">IF(A465="","",IF(COUNTIF(Contratos!$A:$A,A465)+COUNTIF(Pagamentos!$A:$A,A465)=0,"não consta","SIM — contratos: "&amp;COUNTIF(Contratos!$A:$A,A465)&amp;"; pagamentos: "&amp;COUNTIF(Pagamentos!$A:$A,A465)))</f>
        <v/>
      </c>
      <c r="G465" s="27"/>
      <c r="H465" s="5"/>
      <c r="J465" s="5"/>
      <c r="K465" s="41"/>
      <c r="L465" s="14"/>
      <c r="M465" s="5"/>
      <c r="N465" s="35"/>
      <c r="O465" s="27"/>
      <c r="P465" s="39" t="str">
        <f aca="false">IF(OR(J465="",K465=""),"",SUMIFS($N:$N,$J:$J,J465,$K:$K,K465))</f>
        <v/>
      </c>
      <c r="Q465" s="32" t="str">
        <f aca="false">IF(OR(J465="",K465=""),"",IF(COUNTIFS($J:$J,J465,$K:$K,"&lt;"&amp;K465)=0,"",_xlfn.MAXIFS($K:$K,$J:$J,J465,$K:$K,"&lt;"&amp;K465)))</f>
        <v/>
      </c>
      <c r="R465" s="39" t="str">
        <f aca="false">IF(Q465="","",SUMIFS($N:$N,$J:$J,J465,$K:$K,Q465))</f>
        <v/>
      </c>
      <c r="S465" s="37" t="str">
        <f aca="false">IF(OR(R465="",R465=0,P465=""),"",P465/R465-1)</f>
        <v/>
      </c>
    </row>
    <row r="466" customFormat="false" ht="15" hidden="false" customHeight="false" outlineLevel="0" collapsed="false">
      <c r="A466" s="27"/>
      <c r="B466" s="5"/>
      <c r="C466" s="35"/>
      <c r="D466" s="5"/>
      <c r="E466" s="5"/>
      <c r="F466" s="19" t="str">
        <f aca="false">IF(A466="","",IF(COUNTIF(Contratos!$A:$A,A466)+COUNTIF(Pagamentos!$A:$A,A466)=0,"não consta","SIM — contratos: "&amp;COUNTIF(Contratos!$A:$A,A466)&amp;"; pagamentos: "&amp;COUNTIF(Pagamentos!$A:$A,A466)))</f>
        <v/>
      </c>
      <c r="G466" s="27"/>
      <c r="H466" s="5"/>
      <c r="J466" s="5"/>
      <c r="K466" s="41"/>
      <c r="L466" s="14"/>
      <c r="M466" s="5"/>
      <c r="N466" s="35"/>
      <c r="O466" s="27"/>
      <c r="P466" s="39" t="str">
        <f aca="false">IF(OR(J466="",K466=""),"",SUMIFS($N:$N,$J:$J,J466,$K:$K,K466))</f>
        <v/>
      </c>
      <c r="Q466" s="32" t="str">
        <f aca="false">IF(OR(J466="",K466=""),"",IF(COUNTIFS($J:$J,J466,$K:$K,"&lt;"&amp;K466)=0,"",_xlfn.MAXIFS($K:$K,$J:$J,J466,$K:$K,"&lt;"&amp;K466)))</f>
        <v/>
      </c>
      <c r="R466" s="39" t="str">
        <f aca="false">IF(Q466="","",SUMIFS($N:$N,$J:$J,J466,$K:$K,Q466))</f>
        <v/>
      </c>
      <c r="S466" s="37" t="str">
        <f aca="false">IF(OR(R466="",R466=0,P466=""),"",P466/R466-1)</f>
        <v/>
      </c>
    </row>
    <row r="467" customFormat="false" ht="15" hidden="false" customHeight="false" outlineLevel="0" collapsed="false">
      <c r="A467" s="27"/>
      <c r="B467" s="5"/>
      <c r="C467" s="35"/>
      <c r="D467" s="5"/>
      <c r="E467" s="5"/>
      <c r="F467" s="19" t="str">
        <f aca="false">IF(A467="","",IF(COUNTIF(Contratos!$A:$A,A467)+COUNTIF(Pagamentos!$A:$A,A467)=0,"não consta","SIM — contratos: "&amp;COUNTIF(Contratos!$A:$A,A467)&amp;"; pagamentos: "&amp;COUNTIF(Pagamentos!$A:$A,A467)))</f>
        <v/>
      </c>
      <c r="G467" s="27"/>
      <c r="H467" s="5"/>
      <c r="J467" s="5"/>
      <c r="K467" s="41"/>
      <c r="L467" s="14"/>
      <c r="M467" s="5"/>
      <c r="N467" s="35"/>
      <c r="O467" s="27"/>
      <c r="P467" s="39" t="str">
        <f aca="false">IF(OR(J467="",K467=""),"",SUMIFS($N:$N,$J:$J,J467,$K:$K,K467))</f>
        <v/>
      </c>
      <c r="Q467" s="32" t="str">
        <f aca="false">IF(OR(J467="",K467=""),"",IF(COUNTIFS($J:$J,J467,$K:$K,"&lt;"&amp;K467)=0,"",_xlfn.MAXIFS($K:$K,$J:$J,J467,$K:$K,"&lt;"&amp;K467)))</f>
        <v/>
      </c>
      <c r="R467" s="39" t="str">
        <f aca="false">IF(Q467="","",SUMIFS($N:$N,$J:$J,J467,$K:$K,Q467))</f>
        <v/>
      </c>
      <c r="S467" s="37" t="str">
        <f aca="false">IF(OR(R467="",R467=0,P467=""),"",P467/R467-1)</f>
        <v/>
      </c>
    </row>
    <row r="468" customFormat="false" ht="15" hidden="false" customHeight="false" outlineLevel="0" collapsed="false">
      <c r="A468" s="27"/>
      <c r="B468" s="5"/>
      <c r="C468" s="35"/>
      <c r="D468" s="5"/>
      <c r="E468" s="5"/>
      <c r="F468" s="19" t="str">
        <f aca="false">IF(A468="","",IF(COUNTIF(Contratos!$A:$A,A468)+COUNTIF(Pagamentos!$A:$A,A468)=0,"não consta","SIM — contratos: "&amp;COUNTIF(Contratos!$A:$A,A468)&amp;"; pagamentos: "&amp;COUNTIF(Pagamentos!$A:$A,A468)))</f>
        <v/>
      </c>
      <c r="G468" s="27"/>
      <c r="H468" s="5"/>
      <c r="J468" s="5"/>
      <c r="K468" s="41"/>
      <c r="L468" s="14"/>
      <c r="M468" s="5"/>
      <c r="N468" s="35"/>
      <c r="O468" s="27"/>
      <c r="P468" s="39" t="str">
        <f aca="false">IF(OR(J468="",K468=""),"",SUMIFS($N:$N,$J:$J,J468,$K:$K,K468))</f>
        <v/>
      </c>
      <c r="Q468" s="32" t="str">
        <f aca="false">IF(OR(J468="",K468=""),"",IF(COUNTIFS($J:$J,J468,$K:$K,"&lt;"&amp;K468)=0,"",_xlfn.MAXIFS($K:$K,$J:$J,J468,$K:$K,"&lt;"&amp;K468)))</f>
        <v/>
      </c>
      <c r="R468" s="39" t="str">
        <f aca="false">IF(Q468="","",SUMIFS($N:$N,$J:$J,J468,$K:$K,Q468))</f>
        <v/>
      </c>
      <c r="S468" s="37" t="str">
        <f aca="false">IF(OR(R468="",R468=0,P468=""),"",P468/R468-1)</f>
        <v/>
      </c>
    </row>
    <row r="469" customFormat="false" ht="15" hidden="false" customHeight="false" outlineLevel="0" collapsed="false">
      <c r="A469" s="27"/>
      <c r="B469" s="5"/>
      <c r="C469" s="35"/>
      <c r="D469" s="5"/>
      <c r="E469" s="5"/>
      <c r="F469" s="19" t="str">
        <f aca="false">IF(A469="","",IF(COUNTIF(Contratos!$A:$A,A469)+COUNTIF(Pagamentos!$A:$A,A469)=0,"não consta","SIM — contratos: "&amp;COUNTIF(Contratos!$A:$A,A469)&amp;"; pagamentos: "&amp;COUNTIF(Pagamentos!$A:$A,A469)))</f>
        <v/>
      </c>
      <c r="G469" s="27"/>
      <c r="H469" s="5"/>
      <c r="J469" s="5"/>
      <c r="K469" s="41"/>
      <c r="L469" s="14"/>
      <c r="M469" s="5"/>
      <c r="N469" s="35"/>
      <c r="O469" s="27"/>
      <c r="P469" s="39" t="str">
        <f aca="false">IF(OR(J469="",K469=""),"",SUMIFS($N:$N,$J:$J,J469,$K:$K,K469))</f>
        <v/>
      </c>
      <c r="Q469" s="32" t="str">
        <f aca="false">IF(OR(J469="",K469=""),"",IF(COUNTIFS($J:$J,J469,$K:$K,"&lt;"&amp;K469)=0,"",_xlfn.MAXIFS($K:$K,$J:$J,J469,$K:$K,"&lt;"&amp;K469)))</f>
        <v/>
      </c>
      <c r="R469" s="39" t="str">
        <f aca="false">IF(Q469="","",SUMIFS($N:$N,$J:$J,J469,$K:$K,Q469))</f>
        <v/>
      </c>
      <c r="S469" s="37" t="str">
        <f aca="false">IF(OR(R469="",R469=0,P469=""),"",P469/R469-1)</f>
        <v/>
      </c>
    </row>
    <row r="470" customFormat="false" ht="15" hidden="false" customHeight="false" outlineLevel="0" collapsed="false">
      <c r="A470" s="27"/>
      <c r="B470" s="5"/>
      <c r="C470" s="35"/>
      <c r="D470" s="5"/>
      <c r="E470" s="5"/>
      <c r="F470" s="19" t="str">
        <f aca="false">IF(A470="","",IF(COUNTIF(Contratos!$A:$A,A470)+COUNTIF(Pagamentos!$A:$A,A470)=0,"não consta","SIM — contratos: "&amp;COUNTIF(Contratos!$A:$A,A470)&amp;"; pagamentos: "&amp;COUNTIF(Pagamentos!$A:$A,A470)))</f>
        <v/>
      </c>
      <c r="G470" s="27"/>
      <c r="H470" s="5"/>
      <c r="J470" s="5"/>
      <c r="K470" s="41"/>
      <c r="L470" s="14"/>
      <c r="M470" s="5"/>
      <c r="N470" s="35"/>
      <c r="O470" s="27"/>
      <c r="P470" s="39" t="str">
        <f aca="false">IF(OR(J470="",K470=""),"",SUMIFS($N:$N,$J:$J,J470,$K:$K,K470))</f>
        <v/>
      </c>
      <c r="Q470" s="32" t="str">
        <f aca="false">IF(OR(J470="",K470=""),"",IF(COUNTIFS($J:$J,J470,$K:$K,"&lt;"&amp;K470)=0,"",_xlfn.MAXIFS($K:$K,$J:$J,J470,$K:$K,"&lt;"&amp;K470)))</f>
        <v/>
      </c>
      <c r="R470" s="39" t="str">
        <f aca="false">IF(Q470="","",SUMIFS($N:$N,$J:$J,J470,$K:$K,Q470))</f>
        <v/>
      </c>
      <c r="S470" s="37" t="str">
        <f aca="false">IF(OR(R470="",R470=0,P470=""),"",P470/R470-1)</f>
        <v/>
      </c>
    </row>
    <row r="471" customFormat="false" ht="15" hidden="false" customHeight="false" outlineLevel="0" collapsed="false">
      <c r="A471" s="27"/>
      <c r="B471" s="5"/>
      <c r="C471" s="35"/>
      <c r="D471" s="5"/>
      <c r="E471" s="5"/>
      <c r="F471" s="19" t="str">
        <f aca="false">IF(A471="","",IF(COUNTIF(Contratos!$A:$A,A471)+COUNTIF(Pagamentos!$A:$A,A471)=0,"não consta","SIM — contratos: "&amp;COUNTIF(Contratos!$A:$A,A471)&amp;"; pagamentos: "&amp;COUNTIF(Pagamentos!$A:$A,A471)))</f>
        <v/>
      </c>
      <c r="G471" s="27"/>
      <c r="H471" s="5"/>
      <c r="J471" s="5"/>
      <c r="K471" s="41"/>
      <c r="L471" s="14"/>
      <c r="M471" s="5"/>
      <c r="N471" s="35"/>
      <c r="O471" s="27"/>
      <c r="P471" s="39" t="str">
        <f aca="false">IF(OR(J471="",K471=""),"",SUMIFS($N:$N,$J:$J,J471,$K:$K,K471))</f>
        <v/>
      </c>
      <c r="Q471" s="32" t="str">
        <f aca="false">IF(OR(J471="",K471=""),"",IF(COUNTIFS($J:$J,J471,$K:$K,"&lt;"&amp;K471)=0,"",_xlfn.MAXIFS($K:$K,$J:$J,J471,$K:$K,"&lt;"&amp;K471)))</f>
        <v/>
      </c>
      <c r="R471" s="39" t="str">
        <f aca="false">IF(Q471="","",SUMIFS($N:$N,$J:$J,J471,$K:$K,Q471))</f>
        <v/>
      </c>
      <c r="S471" s="37" t="str">
        <f aca="false">IF(OR(R471="",R471=0,P471=""),"",P471/R471-1)</f>
        <v/>
      </c>
    </row>
    <row r="472" customFormat="false" ht="15" hidden="false" customHeight="false" outlineLevel="0" collapsed="false">
      <c r="A472" s="27"/>
      <c r="B472" s="5"/>
      <c r="C472" s="35"/>
      <c r="D472" s="5"/>
      <c r="E472" s="5"/>
      <c r="F472" s="19" t="str">
        <f aca="false">IF(A472="","",IF(COUNTIF(Contratos!$A:$A,A472)+COUNTIF(Pagamentos!$A:$A,A472)=0,"não consta","SIM — contratos: "&amp;COUNTIF(Contratos!$A:$A,A472)&amp;"; pagamentos: "&amp;COUNTIF(Pagamentos!$A:$A,A472)))</f>
        <v/>
      </c>
      <c r="G472" s="27"/>
      <c r="H472" s="5"/>
      <c r="J472" s="5"/>
      <c r="K472" s="41"/>
      <c r="L472" s="14"/>
      <c r="M472" s="5"/>
      <c r="N472" s="35"/>
      <c r="O472" s="27"/>
      <c r="P472" s="39" t="str">
        <f aca="false">IF(OR(J472="",K472=""),"",SUMIFS($N:$N,$J:$J,J472,$K:$K,K472))</f>
        <v/>
      </c>
      <c r="Q472" s="32" t="str">
        <f aca="false">IF(OR(J472="",K472=""),"",IF(COUNTIFS($J:$J,J472,$K:$K,"&lt;"&amp;K472)=0,"",_xlfn.MAXIFS($K:$K,$J:$J,J472,$K:$K,"&lt;"&amp;K472)))</f>
        <v/>
      </c>
      <c r="R472" s="39" t="str">
        <f aca="false">IF(Q472="","",SUMIFS($N:$N,$J:$J,J472,$K:$K,Q472))</f>
        <v/>
      </c>
      <c r="S472" s="37" t="str">
        <f aca="false">IF(OR(R472="",R472=0,P472=""),"",P472/R472-1)</f>
        <v/>
      </c>
    </row>
    <row r="473" customFormat="false" ht="15" hidden="false" customHeight="false" outlineLevel="0" collapsed="false">
      <c r="A473" s="27"/>
      <c r="B473" s="5"/>
      <c r="C473" s="35"/>
      <c r="D473" s="5"/>
      <c r="E473" s="5"/>
      <c r="F473" s="19" t="str">
        <f aca="false">IF(A473="","",IF(COUNTIF(Contratos!$A:$A,A473)+COUNTIF(Pagamentos!$A:$A,A473)=0,"não consta","SIM — contratos: "&amp;COUNTIF(Contratos!$A:$A,A473)&amp;"; pagamentos: "&amp;COUNTIF(Pagamentos!$A:$A,A473)))</f>
        <v/>
      </c>
      <c r="G473" s="27"/>
      <c r="H473" s="5"/>
      <c r="J473" s="5"/>
      <c r="K473" s="41"/>
      <c r="L473" s="14"/>
      <c r="M473" s="5"/>
      <c r="N473" s="35"/>
      <c r="O473" s="27"/>
      <c r="P473" s="39" t="str">
        <f aca="false">IF(OR(J473="",K473=""),"",SUMIFS($N:$N,$J:$J,J473,$K:$K,K473))</f>
        <v/>
      </c>
      <c r="Q473" s="32" t="str">
        <f aca="false">IF(OR(J473="",K473=""),"",IF(COUNTIFS($J:$J,J473,$K:$K,"&lt;"&amp;K473)=0,"",_xlfn.MAXIFS($K:$K,$J:$J,J473,$K:$K,"&lt;"&amp;K473)))</f>
        <v/>
      </c>
      <c r="R473" s="39" t="str">
        <f aca="false">IF(Q473="","",SUMIFS($N:$N,$J:$J,J473,$K:$K,Q473))</f>
        <v/>
      </c>
      <c r="S473" s="37" t="str">
        <f aca="false">IF(OR(R473="",R473=0,P473=""),"",P473/R473-1)</f>
        <v/>
      </c>
    </row>
    <row r="474" customFormat="false" ht="15" hidden="false" customHeight="false" outlineLevel="0" collapsed="false">
      <c r="A474" s="27"/>
      <c r="B474" s="5"/>
      <c r="C474" s="35"/>
      <c r="D474" s="5"/>
      <c r="E474" s="5"/>
      <c r="F474" s="19" t="str">
        <f aca="false">IF(A474="","",IF(COUNTIF(Contratos!$A:$A,A474)+COUNTIF(Pagamentos!$A:$A,A474)=0,"não consta","SIM — contratos: "&amp;COUNTIF(Contratos!$A:$A,A474)&amp;"; pagamentos: "&amp;COUNTIF(Pagamentos!$A:$A,A474)))</f>
        <v/>
      </c>
      <c r="G474" s="27"/>
      <c r="H474" s="5"/>
      <c r="J474" s="5"/>
      <c r="K474" s="41"/>
      <c r="L474" s="14"/>
      <c r="M474" s="5"/>
      <c r="N474" s="35"/>
      <c r="O474" s="27"/>
      <c r="P474" s="39" t="str">
        <f aca="false">IF(OR(J474="",K474=""),"",SUMIFS($N:$N,$J:$J,J474,$K:$K,K474))</f>
        <v/>
      </c>
      <c r="Q474" s="32" t="str">
        <f aca="false">IF(OR(J474="",K474=""),"",IF(COUNTIFS($J:$J,J474,$K:$K,"&lt;"&amp;K474)=0,"",_xlfn.MAXIFS($K:$K,$J:$J,J474,$K:$K,"&lt;"&amp;K474)))</f>
        <v/>
      </c>
      <c r="R474" s="39" t="str">
        <f aca="false">IF(Q474="","",SUMIFS($N:$N,$J:$J,J474,$K:$K,Q474))</f>
        <v/>
      </c>
      <c r="S474" s="37" t="str">
        <f aca="false">IF(OR(R474="",R474=0,P474=""),"",P474/R474-1)</f>
        <v/>
      </c>
    </row>
    <row r="475" customFormat="false" ht="15" hidden="false" customHeight="false" outlineLevel="0" collapsed="false">
      <c r="A475" s="27"/>
      <c r="B475" s="5"/>
      <c r="C475" s="35"/>
      <c r="D475" s="5"/>
      <c r="E475" s="5"/>
      <c r="F475" s="19" t="str">
        <f aca="false">IF(A475="","",IF(COUNTIF(Contratos!$A:$A,A475)+COUNTIF(Pagamentos!$A:$A,A475)=0,"não consta","SIM — contratos: "&amp;COUNTIF(Contratos!$A:$A,A475)&amp;"; pagamentos: "&amp;COUNTIF(Pagamentos!$A:$A,A475)))</f>
        <v/>
      </c>
      <c r="G475" s="27"/>
      <c r="H475" s="5"/>
      <c r="J475" s="5"/>
      <c r="K475" s="41"/>
      <c r="L475" s="14"/>
      <c r="M475" s="5"/>
      <c r="N475" s="35"/>
      <c r="O475" s="27"/>
      <c r="P475" s="39" t="str">
        <f aca="false">IF(OR(J475="",K475=""),"",SUMIFS($N:$N,$J:$J,J475,$K:$K,K475))</f>
        <v/>
      </c>
      <c r="Q475" s="32" t="str">
        <f aca="false">IF(OR(J475="",K475=""),"",IF(COUNTIFS($J:$J,J475,$K:$K,"&lt;"&amp;K475)=0,"",_xlfn.MAXIFS($K:$K,$J:$J,J475,$K:$K,"&lt;"&amp;K475)))</f>
        <v/>
      </c>
      <c r="R475" s="39" t="str">
        <f aca="false">IF(Q475="","",SUMIFS($N:$N,$J:$J,J475,$K:$K,Q475))</f>
        <v/>
      </c>
      <c r="S475" s="37" t="str">
        <f aca="false">IF(OR(R475="",R475=0,P475=""),"",P475/R475-1)</f>
        <v/>
      </c>
    </row>
    <row r="476" customFormat="false" ht="15" hidden="false" customHeight="false" outlineLevel="0" collapsed="false">
      <c r="A476" s="27"/>
      <c r="B476" s="5"/>
      <c r="C476" s="35"/>
      <c r="D476" s="5"/>
      <c r="E476" s="5"/>
      <c r="F476" s="19" t="str">
        <f aca="false">IF(A476="","",IF(COUNTIF(Contratos!$A:$A,A476)+COUNTIF(Pagamentos!$A:$A,A476)=0,"não consta","SIM — contratos: "&amp;COUNTIF(Contratos!$A:$A,A476)&amp;"; pagamentos: "&amp;COUNTIF(Pagamentos!$A:$A,A476)))</f>
        <v/>
      </c>
      <c r="G476" s="27"/>
      <c r="H476" s="5"/>
      <c r="J476" s="5"/>
      <c r="K476" s="41"/>
      <c r="L476" s="14"/>
      <c r="M476" s="5"/>
      <c r="N476" s="35"/>
      <c r="O476" s="27"/>
      <c r="P476" s="39" t="str">
        <f aca="false">IF(OR(J476="",K476=""),"",SUMIFS($N:$N,$J:$J,J476,$K:$K,K476))</f>
        <v/>
      </c>
      <c r="Q476" s="32" t="str">
        <f aca="false">IF(OR(J476="",K476=""),"",IF(COUNTIFS($J:$J,J476,$K:$K,"&lt;"&amp;K476)=0,"",_xlfn.MAXIFS($K:$K,$J:$J,J476,$K:$K,"&lt;"&amp;K476)))</f>
        <v/>
      </c>
      <c r="R476" s="39" t="str">
        <f aca="false">IF(Q476="","",SUMIFS($N:$N,$J:$J,J476,$K:$K,Q476))</f>
        <v/>
      </c>
      <c r="S476" s="37" t="str">
        <f aca="false">IF(OR(R476="",R476=0,P476=""),"",P476/R476-1)</f>
        <v/>
      </c>
    </row>
    <row r="477" customFormat="false" ht="15" hidden="false" customHeight="false" outlineLevel="0" collapsed="false">
      <c r="A477" s="27"/>
      <c r="B477" s="5"/>
      <c r="C477" s="35"/>
      <c r="D477" s="5"/>
      <c r="E477" s="5"/>
      <c r="F477" s="19" t="str">
        <f aca="false">IF(A477="","",IF(COUNTIF(Contratos!$A:$A,A477)+COUNTIF(Pagamentos!$A:$A,A477)=0,"não consta","SIM — contratos: "&amp;COUNTIF(Contratos!$A:$A,A477)&amp;"; pagamentos: "&amp;COUNTIF(Pagamentos!$A:$A,A477)))</f>
        <v/>
      </c>
      <c r="G477" s="27"/>
      <c r="H477" s="5"/>
      <c r="J477" s="5"/>
      <c r="K477" s="41"/>
      <c r="L477" s="14"/>
      <c r="M477" s="5"/>
      <c r="N477" s="35"/>
      <c r="O477" s="27"/>
      <c r="P477" s="39" t="str">
        <f aca="false">IF(OR(J477="",K477=""),"",SUMIFS($N:$N,$J:$J,J477,$K:$K,K477))</f>
        <v/>
      </c>
      <c r="Q477" s="32" t="str">
        <f aca="false">IF(OR(J477="",K477=""),"",IF(COUNTIFS($J:$J,J477,$K:$K,"&lt;"&amp;K477)=0,"",_xlfn.MAXIFS($K:$K,$J:$J,J477,$K:$K,"&lt;"&amp;K477)))</f>
        <v/>
      </c>
      <c r="R477" s="39" t="str">
        <f aca="false">IF(Q477="","",SUMIFS($N:$N,$J:$J,J477,$K:$K,Q477))</f>
        <v/>
      </c>
      <c r="S477" s="37" t="str">
        <f aca="false">IF(OR(R477="",R477=0,P477=""),"",P477/R477-1)</f>
        <v/>
      </c>
    </row>
    <row r="478" customFormat="false" ht="15" hidden="false" customHeight="false" outlineLevel="0" collapsed="false">
      <c r="A478" s="27"/>
      <c r="B478" s="5"/>
      <c r="C478" s="35"/>
      <c r="D478" s="5"/>
      <c r="E478" s="5"/>
      <c r="F478" s="19" t="str">
        <f aca="false">IF(A478="","",IF(COUNTIF(Contratos!$A:$A,A478)+COUNTIF(Pagamentos!$A:$A,A478)=0,"não consta","SIM — contratos: "&amp;COUNTIF(Contratos!$A:$A,A478)&amp;"; pagamentos: "&amp;COUNTIF(Pagamentos!$A:$A,A478)))</f>
        <v/>
      </c>
      <c r="G478" s="27"/>
      <c r="H478" s="5"/>
      <c r="J478" s="5"/>
      <c r="K478" s="41"/>
      <c r="L478" s="14"/>
      <c r="M478" s="5"/>
      <c r="N478" s="35"/>
      <c r="O478" s="27"/>
      <c r="P478" s="39" t="str">
        <f aca="false">IF(OR(J478="",K478=""),"",SUMIFS($N:$N,$J:$J,J478,$K:$K,K478))</f>
        <v/>
      </c>
      <c r="Q478" s="32" t="str">
        <f aca="false">IF(OR(J478="",K478=""),"",IF(COUNTIFS($J:$J,J478,$K:$K,"&lt;"&amp;K478)=0,"",_xlfn.MAXIFS($K:$K,$J:$J,J478,$K:$K,"&lt;"&amp;K478)))</f>
        <v/>
      </c>
      <c r="R478" s="39" t="str">
        <f aca="false">IF(Q478="","",SUMIFS($N:$N,$J:$J,J478,$K:$K,Q478))</f>
        <v/>
      </c>
      <c r="S478" s="37" t="str">
        <f aca="false">IF(OR(R478="",R478=0,P478=""),"",P478/R478-1)</f>
        <v/>
      </c>
    </row>
    <row r="479" customFormat="false" ht="15" hidden="false" customHeight="false" outlineLevel="0" collapsed="false">
      <c r="A479" s="27"/>
      <c r="B479" s="5"/>
      <c r="C479" s="35"/>
      <c r="D479" s="5"/>
      <c r="E479" s="5"/>
      <c r="F479" s="19" t="str">
        <f aca="false">IF(A479="","",IF(COUNTIF(Contratos!$A:$A,A479)+COUNTIF(Pagamentos!$A:$A,A479)=0,"não consta","SIM — contratos: "&amp;COUNTIF(Contratos!$A:$A,A479)&amp;"; pagamentos: "&amp;COUNTIF(Pagamentos!$A:$A,A479)))</f>
        <v/>
      </c>
      <c r="G479" s="27"/>
      <c r="H479" s="5"/>
      <c r="J479" s="5"/>
      <c r="K479" s="41"/>
      <c r="L479" s="14"/>
      <c r="M479" s="5"/>
      <c r="N479" s="35"/>
      <c r="O479" s="27"/>
      <c r="P479" s="39" t="str">
        <f aca="false">IF(OR(J479="",K479=""),"",SUMIFS($N:$N,$J:$J,J479,$K:$K,K479))</f>
        <v/>
      </c>
      <c r="Q479" s="32" t="str">
        <f aca="false">IF(OR(J479="",K479=""),"",IF(COUNTIFS($J:$J,J479,$K:$K,"&lt;"&amp;K479)=0,"",_xlfn.MAXIFS($K:$K,$J:$J,J479,$K:$K,"&lt;"&amp;K479)))</f>
        <v/>
      </c>
      <c r="R479" s="39" t="str">
        <f aca="false">IF(Q479="","",SUMIFS($N:$N,$J:$J,J479,$K:$K,Q479))</f>
        <v/>
      </c>
      <c r="S479" s="37" t="str">
        <f aca="false">IF(OR(R479="",R479=0,P479=""),"",P479/R479-1)</f>
        <v/>
      </c>
    </row>
    <row r="480" customFormat="false" ht="15" hidden="false" customHeight="false" outlineLevel="0" collapsed="false">
      <c r="A480" s="27"/>
      <c r="B480" s="5"/>
      <c r="C480" s="35"/>
      <c r="D480" s="5"/>
      <c r="E480" s="5"/>
      <c r="F480" s="19" t="str">
        <f aca="false">IF(A480="","",IF(COUNTIF(Contratos!$A:$A,A480)+COUNTIF(Pagamentos!$A:$A,A480)=0,"não consta","SIM — contratos: "&amp;COUNTIF(Contratos!$A:$A,A480)&amp;"; pagamentos: "&amp;COUNTIF(Pagamentos!$A:$A,A480)))</f>
        <v/>
      </c>
      <c r="G480" s="27"/>
      <c r="H480" s="5"/>
      <c r="J480" s="5"/>
      <c r="K480" s="41"/>
      <c r="L480" s="14"/>
      <c r="M480" s="5"/>
      <c r="N480" s="35"/>
      <c r="O480" s="27"/>
      <c r="P480" s="39" t="str">
        <f aca="false">IF(OR(J480="",K480=""),"",SUMIFS($N:$N,$J:$J,J480,$K:$K,K480))</f>
        <v/>
      </c>
      <c r="Q480" s="32" t="str">
        <f aca="false">IF(OR(J480="",K480=""),"",IF(COUNTIFS($J:$J,J480,$K:$K,"&lt;"&amp;K480)=0,"",_xlfn.MAXIFS($K:$K,$J:$J,J480,$K:$K,"&lt;"&amp;K480)))</f>
        <v/>
      </c>
      <c r="R480" s="39" t="str">
        <f aca="false">IF(Q480="","",SUMIFS($N:$N,$J:$J,J480,$K:$K,Q480))</f>
        <v/>
      </c>
      <c r="S480" s="37" t="str">
        <f aca="false">IF(OR(R480="",R480=0,P480=""),"",P480/R480-1)</f>
        <v/>
      </c>
    </row>
    <row r="481" customFormat="false" ht="15" hidden="false" customHeight="false" outlineLevel="0" collapsed="false">
      <c r="A481" s="27"/>
      <c r="B481" s="5"/>
      <c r="C481" s="35"/>
      <c r="D481" s="5"/>
      <c r="E481" s="5"/>
      <c r="F481" s="19" t="str">
        <f aca="false">IF(A481="","",IF(COUNTIF(Contratos!$A:$A,A481)+COUNTIF(Pagamentos!$A:$A,A481)=0,"não consta","SIM — contratos: "&amp;COUNTIF(Contratos!$A:$A,A481)&amp;"; pagamentos: "&amp;COUNTIF(Pagamentos!$A:$A,A481)))</f>
        <v/>
      </c>
      <c r="G481" s="27"/>
      <c r="H481" s="5"/>
      <c r="J481" s="5"/>
      <c r="K481" s="41"/>
      <c r="L481" s="14"/>
      <c r="M481" s="5"/>
      <c r="N481" s="35"/>
      <c r="O481" s="27"/>
      <c r="P481" s="39" t="str">
        <f aca="false">IF(OR(J481="",K481=""),"",SUMIFS($N:$N,$J:$J,J481,$K:$K,K481))</f>
        <v/>
      </c>
      <c r="Q481" s="32" t="str">
        <f aca="false">IF(OR(J481="",K481=""),"",IF(COUNTIFS($J:$J,J481,$K:$K,"&lt;"&amp;K481)=0,"",_xlfn.MAXIFS($K:$K,$J:$J,J481,$K:$K,"&lt;"&amp;K481)))</f>
        <v/>
      </c>
      <c r="R481" s="39" t="str">
        <f aca="false">IF(Q481="","",SUMIFS($N:$N,$J:$J,J481,$K:$K,Q481))</f>
        <v/>
      </c>
      <c r="S481" s="37" t="str">
        <f aca="false">IF(OR(R481="",R481=0,P481=""),"",P481/R481-1)</f>
        <v/>
      </c>
    </row>
    <row r="482" customFormat="false" ht="15" hidden="false" customHeight="false" outlineLevel="0" collapsed="false">
      <c r="A482" s="27"/>
      <c r="B482" s="5"/>
      <c r="C482" s="35"/>
      <c r="D482" s="5"/>
      <c r="E482" s="5"/>
      <c r="F482" s="19" t="str">
        <f aca="false">IF(A482="","",IF(COUNTIF(Contratos!$A:$A,A482)+COUNTIF(Pagamentos!$A:$A,A482)=0,"não consta","SIM — contratos: "&amp;COUNTIF(Contratos!$A:$A,A482)&amp;"; pagamentos: "&amp;COUNTIF(Pagamentos!$A:$A,A482)))</f>
        <v/>
      </c>
      <c r="G482" s="27"/>
      <c r="H482" s="5"/>
      <c r="J482" s="5"/>
      <c r="K482" s="41"/>
      <c r="L482" s="14"/>
      <c r="M482" s="5"/>
      <c r="N482" s="35"/>
      <c r="O482" s="27"/>
      <c r="P482" s="39" t="str">
        <f aca="false">IF(OR(J482="",K482=""),"",SUMIFS($N:$N,$J:$J,J482,$K:$K,K482))</f>
        <v/>
      </c>
      <c r="Q482" s="32" t="str">
        <f aca="false">IF(OR(J482="",K482=""),"",IF(COUNTIFS($J:$J,J482,$K:$K,"&lt;"&amp;K482)=0,"",_xlfn.MAXIFS($K:$K,$J:$J,J482,$K:$K,"&lt;"&amp;K482)))</f>
        <v/>
      </c>
      <c r="R482" s="39" t="str">
        <f aca="false">IF(Q482="","",SUMIFS($N:$N,$J:$J,J482,$K:$K,Q482))</f>
        <v/>
      </c>
      <c r="S482" s="37" t="str">
        <f aca="false">IF(OR(R482="",R482=0,P482=""),"",P482/R482-1)</f>
        <v/>
      </c>
    </row>
    <row r="483" customFormat="false" ht="15" hidden="false" customHeight="false" outlineLevel="0" collapsed="false">
      <c r="A483" s="27"/>
      <c r="B483" s="5"/>
      <c r="C483" s="35"/>
      <c r="D483" s="5"/>
      <c r="E483" s="5"/>
      <c r="F483" s="19" t="str">
        <f aca="false">IF(A483="","",IF(COUNTIF(Contratos!$A:$A,A483)+COUNTIF(Pagamentos!$A:$A,A483)=0,"não consta","SIM — contratos: "&amp;COUNTIF(Contratos!$A:$A,A483)&amp;"; pagamentos: "&amp;COUNTIF(Pagamentos!$A:$A,A483)))</f>
        <v/>
      </c>
      <c r="G483" s="27"/>
      <c r="H483" s="5"/>
      <c r="J483" s="5"/>
      <c r="K483" s="41"/>
      <c r="L483" s="14"/>
      <c r="M483" s="5"/>
      <c r="N483" s="35"/>
      <c r="O483" s="27"/>
      <c r="P483" s="39" t="str">
        <f aca="false">IF(OR(J483="",K483=""),"",SUMIFS($N:$N,$J:$J,J483,$K:$K,K483))</f>
        <v/>
      </c>
      <c r="Q483" s="32" t="str">
        <f aca="false">IF(OR(J483="",K483=""),"",IF(COUNTIFS($J:$J,J483,$K:$K,"&lt;"&amp;K483)=0,"",_xlfn.MAXIFS($K:$K,$J:$J,J483,$K:$K,"&lt;"&amp;K483)))</f>
        <v/>
      </c>
      <c r="R483" s="39" t="str">
        <f aca="false">IF(Q483="","",SUMIFS($N:$N,$J:$J,J483,$K:$K,Q483))</f>
        <v/>
      </c>
      <c r="S483" s="37" t="str">
        <f aca="false">IF(OR(R483="",R483=0,P483=""),"",P483/R483-1)</f>
        <v/>
      </c>
    </row>
    <row r="484" customFormat="false" ht="15" hidden="false" customHeight="false" outlineLevel="0" collapsed="false">
      <c r="A484" s="27"/>
      <c r="B484" s="5"/>
      <c r="C484" s="35"/>
      <c r="D484" s="5"/>
      <c r="E484" s="5"/>
      <c r="F484" s="19" t="str">
        <f aca="false">IF(A484="","",IF(COUNTIF(Contratos!$A:$A,A484)+COUNTIF(Pagamentos!$A:$A,A484)=0,"não consta","SIM — contratos: "&amp;COUNTIF(Contratos!$A:$A,A484)&amp;"; pagamentos: "&amp;COUNTIF(Pagamentos!$A:$A,A484)))</f>
        <v/>
      </c>
      <c r="G484" s="27"/>
      <c r="H484" s="5"/>
      <c r="J484" s="5"/>
      <c r="K484" s="41"/>
      <c r="L484" s="14"/>
      <c r="M484" s="5"/>
      <c r="N484" s="35"/>
      <c r="O484" s="27"/>
      <c r="P484" s="39" t="str">
        <f aca="false">IF(OR(J484="",K484=""),"",SUMIFS($N:$N,$J:$J,J484,$K:$K,K484))</f>
        <v/>
      </c>
      <c r="Q484" s="32" t="str">
        <f aca="false">IF(OR(J484="",K484=""),"",IF(COUNTIFS($J:$J,J484,$K:$K,"&lt;"&amp;K484)=0,"",_xlfn.MAXIFS($K:$K,$J:$J,J484,$K:$K,"&lt;"&amp;K484)))</f>
        <v/>
      </c>
      <c r="R484" s="39" t="str">
        <f aca="false">IF(Q484="","",SUMIFS($N:$N,$J:$J,J484,$K:$K,Q484))</f>
        <v/>
      </c>
      <c r="S484" s="37" t="str">
        <f aca="false">IF(OR(R484="",R484=0,P484=""),"",P484/R484-1)</f>
        <v/>
      </c>
    </row>
    <row r="485" customFormat="false" ht="15" hidden="false" customHeight="false" outlineLevel="0" collapsed="false">
      <c r="A485" s="27"/>
      <c r="B485" s="5"/>
      <c r="C485" s="35"/>
      <c r="D485" s="5"/>
      <c r="E485" s="5"/>
      <c r="F485" s="19" t="str">
        <f aca="false">IF(A485="","",IF(COUNTIF(Contratos!$A:$A,A485)+COUNTIF(Pagamentos!$A:$A,A485)=0,"não consta","SIM — contratos: "&amp;COUNTIF(Contratos!$A:$A,A485)&amp;"; pagamentos: "&amp;COUNTIF(Pagamentos!$A:$A,A485)))</f>
        <v/>
      </c>
      <c r="G485" s="27"/>
      <c r="H485" s="5"/>
      <c r="J485" s="5"/>
      <c r="K485" s="41"/>
      <c r="L485" s="14"/>
      <c r="M485" s="5"/>
      <c r="N485" s="35"/>
      <c r="O485" s="27"/>
      <c r="P485" s="39" t="str">
        <f aca="false">IF(OR(J485="",K485=""),"",SUMIFS($N:$N,$J:$J,J485,$K:$K,K485))</f>
        <v/>
      </c>
      <c r="Q485" s="32" t="str">
        <f aca="false">IF(OR(J485="",K485=""),"",IF(COUNTIFS($J:$J,J485,$K:$K,"&lt;"&amp;K485)=0,"",_xlfn.MAXIFS($K:$K,$J:$J,J485,$K:$K,"&lt;"&amp;K485)))</f>
        <v/>
      </c>
      <c r="R485" s="39" t="str">
        <f aca="false">IF(Q485="","",SUMIFS($N:$N,$J:$J,J485,$K:$K,Q485))</f>
        <v/>
      </c>
      <c r="S485" s="37" t="str">
        <f aca="false">IF(OR(R485="",R485=0,P485=""),"",P485/R485-1)</f>
        <v/>
      </c>
    </row>
    <row r="486" customFormat="false" ht="15" hidden="false" customHeight="false" outlineLevel="0" collapsed="false">
      <c r="A486" s="27"/>
      <c r="B486" s="5"/>
      <c r="C486" s="35"/>
      <c r="D486" s="5"/>
      <c r="E486" s="5"/>
      <c r="F486" s="19" t="str">
        <f aca="false">IF(A486="","",IF(COUNTIF(Contratos!$A:$A,A486)+COUNTIF(Pagamentos!$A:$A,A486)=0,"não consta","SIM — contratos: "&amp;COUNTIF(Contratos!$A:$A,A486)&amp;"; pagamentos: "&amp;COUNTIF(Pagamentos!$A:$A,A486)))</f>
        <v/>
      </c>
      <c r="G486" s="27"/>
      <c r="H486" s="5"/>
      <c r="J486" s="5"/>
      <c r="K486" s="41"/>
      <c r="L486" s="14"/>
      <c r="M486" s="5"/>
      <c r="N486" s="35"/>
      <c r="O486" s="27"/>
      <c r="P486" s="39" t="str">
        <f aca="false">IF(OR(J486="",K486=""),"",SUMIFS($N:$N,$J:$J,J486,$K:$K,K486))</f>
        <v/>
      </c>
      <c r="Q486" s="32" t="str">
        <f aca="false">IF(OR(J486="",K486=""),"",IF(COUNTIFS($J:$J,J486,$K:$K,"&lt;"&amp;K486)=0,"",_xlfn.MAXIFS($K:$K,$J:$J,J486,$K:$K,"&lt;"&amp;K486)))</f>
        <v/>
      </c>
      <c r="R486" s="39" t="str">
        <f aca="false">IF(Q486="","",SUMIFS($N:$N,$J:$J,J486,$K:$K,Q486))</f>
        <v/>
      </c>
      <c r="S486" s="37" t="str">
        <f aca="false">IF(OR(R486="",R486=0,P486=""),"",P486/R486-1)</f>
        <v/>
      </c>
    </row>
    <row r="487" customFormat="false" ht="15" hidden="false" customHeight="false" outlineLevel="0" collapsed="false">
      <c r="A487" s="27"/>
      <c r="B487" s="5"/>
      <c r="C487" s="35"/>
      <c r="D487" s="5"/>
      <c r="E487" s="5"/>
      <c r="F487" s="19" t="str">
        <f aca="false">IF(A487="","",IF(COUNTIF(Contratos!$A:$A,A487)+COUNTIF(Pagamentos!$A:$A,A487)=0,"não consta","SIM — contratos: "&amp;COUNTIF(Contratos!$A:$A,A487)&amp;"; pagamentos: "&amp;COUNTIF(Pagamentos!$A:$A,A487)))</f>
        <v/>
      </c>
      <c r="G487" s="27"/>
      <c r="H487" s="5"/>
      <c r="J487" s="5"/>
      <c r="K487" s="41"/>
      <c r="L487" s="14"/>
      <c r="M487" s="5"/>
      <c r="N487" s="35"/>
      <c r="O487" s="27"/>
      <c r="P487" s="39" t="str">
        <f aca="false">IF(OR(J487="",K487=""),"",SUMIFS($N:$N,$J:$J,J487,$K:$K,K487))</f>
        <v/>
      </c>
      <c r="Q487" s="32" t="str">
        <f aca="false">IF(OR(J487="",K487=""),"",IF(COUNTIFS($J:$J,J487,$K:$K,"&lt;"&amp;K487)=0,"",_xlfn.MAXIFS($K:$K,$J:$J,J487,$K:$K,"&lt;"&amp;K487)))</f>
        <v/>
      </c>
      <c r="R487" s="39" t="str">
        <f aca="false">IF(Q487="","",SUMIFS($N:$N,$J:$J,J487,$K:$K,Q487))</f>
        <v/>
      </c>
      <c r="S487" s="37" t="str">
        <f aca="false">IF(OR(R487="",R487=0,P487=""),"",P487/R487-1)</f>
        <v/>
      </c>
    </row>
    <row r="488" customFormat="false" ht="15" hidden="false" customHeight="false" outlineLevel="0" collapsed="false">
      <c r="A488" s="27"/>
      <c r="B488" s="5"/>
      <c r="C488" s="35"/>
      <c r="D488" s="5"/>
      <c r="E488" s="5"/>
      <c r="F488" s="19" t="str">
        <f aca="false">IF(A488="","",IF(COUNTIF(Contratos!$A:$A,A488)+COUNTIF(Pagamentos!$A:$A,A488)=0,"não consta","SIM — contratos: "&amp;COUNTIF(Contratos!$A:$A,A488)&amp;"; pagamentos: "&amp;COUNTIF(Pagamentos!$A:$A,A488)))</f>
        <v/>
      </c>
      <c r="G488" s="27"/>
      <c r="H488" s="5"/>
      <c r="J488" s="5"/>
      <c r="K488" s="41"/>
      <c r="L488" s="14"/>
      <c r="M488" s="5"/>
      <c r="N488" s="35"/>
      <c r="O488" s="27"/>
      <c r="P488" s="39" t="str">
        <f aca="false">IF(OR(J488="",K488=""),"",SUMIFS($N:$N,$J:$J,J488,$K:$K,K488))</f>
        <v/>
      </c>
      <c r="Q488" s="32" t="str">
        <f aca="false">IF(OR(J488="",K488=""),"",IF(COUNTIFS($J:$J,J488,$K:$K,"&lt;"&amp;K488)=0,"",_xlfn.MAXIFS($K:$K,$J:$J,J488,$K:$K,"&lt;"&amp;K488)))</f>
        <v/>
      </c>
      <c r="R488" s="39" t="str">
        <f aca="false">IF(Q488="","",SUMIFS($N:$N,$J:$J,J488,$K:$K,Q488))</f>
        <v/>
      </c>
      <c r="S488" s="37" t="str">
        <f aca="false">IF(OR(R488="",R488=0,P488=""),"",P488/R488-1)</f>
        <v/>
      </c>
    </row>
    <row r="489" customFormat="false" ht="15" hidden="false" customHeight="false" outlineLevel="0" collapsed="false">
      <c r="A489" s="27"/>
      <c r="B489" s="5"/>
      <c r="C489" s="35"/>
      <c r="D489" s="5"/>
      <c r="E489" s="5"/>
      <c r="F489" s="19" t="str">
        <f aca="false">IF(A489="","",IF(COUNTIF(Contratos!$A:$A,A489)+COUNTIF(Pagamentos!$A:$A,A489)=0,"não consta","SIM — contratos: "&amp;COUNTIF(Contratos!$A:$A,A489)&amp;"; pagamentos: "&amp;COUNTIF(Pagamentos!$A:$A,A489)))</f>
        <v/>
      </c>
      <c r="G489" s="27"/>
      <c r="H489" s="5"/>
      <c r="J489" s="5"/>
      <c r="K489" s="41"/>
      <c r="L489" s="14"/>
      <c r="M489" s="5"/>
      <c r="N489" s="35"/>
      <c r="O489" s="27"/>
      <c r="P489" s="39" t="str">
        <f aca="false">IF(OR(J489="",K489=""),"",SUMIFS($N:$N,$J:$J,J489,$K:$K,K489))</f>
        <v/>
      </c>
      <c r="Q489" s="32" t="str">
        <f aca="false">IF(OR(J489="",K489=""),"",IF(COUNTIFS($J:$J,J489,$K:$K,"&lt;"&amp;K489)=0,"",_xlfn.MAXIFS($K:$K,$J:$J,J489,$K:$K,"&lt;"&amp;K489)))</f>
        <v/>
      </c>
      <c r="R489" s="39" t="str">
        <f aca="false">IF(Q489="","",SUMIFS($N:$N,$J:$J,J489,$K:$K,Q489))</f>
        <v/>
      </c>
      <c r="S489" s="37" t="str">
        <f aca="false">IF(OR(R489="",R489=0,P489=""),"",P489/R489-1)</f>
        <v/>
      </c>
    </row>
    <row r="490" customFormat="false" ht="15" hidden="false" customHeight="false" outlineLevel="0" collapsed="false">
      <c r="A490" s="27"/>
      <c r="B490" s="5"/>
      <c r="C490" s="35"/>
      <c r="D490" s="5"/>
      <c r="E490" s="5"/>
      <c r="F490" s="19" t="str">
        <f aca="false">IF(A490="","",IF(COUNTIF(Contratos!$A:$A,A490)+COUNTIF(Pagamentos!$A:$A,A490)=0,"não consta","SIM — contratos: "&amp;COUNTIF(Contratos!$A:$A,A490)&amp;"; pagamentos: "&amp;COUNTIF(Pagamentos!$A:$A,A490)))</f>
        <v/>
      </c>
      <c r="G490" s="27"/>
      <c r="H490" s="5"/>
      <c r="J490" s="5"/>
      <c r="K490" s="41"/>
      <c r="L490" s="14"/>
      <c r="M490" s="5"/>
      <c r="N490" s="35"/>
      <c r="O490" s="27"/>
      <c r="P490" s="39" t="str">
        <f aca="false">IF(OR(J490="",K490=""),"",SUMIFS($N:$N,$J:$J,J490,$K:$K,K490))</f>
        <v/>
      </c>
      <c r="Q490" s="32" t="str">
        <f aca="false">IF(OR(J490="",K490=""),"",IF(COUNTIFS($J:$J,J490,$K:$K,"&lt;"&amp;K490)=0,"",_xlfn.MAXIFS($K:$K,$J:$J,J490,$K:$K,"&lt;"&amp;K490)))</f>
        <v/>
      </c>
      <c r="R490" s="39" t="str">
        <f aca="false">IF(Q490="","",SUMIFS($N:$N,$J:$J,J490,$K:$K,Q490))</f>
        <v/>
      </c>
      <c r="S490" s="37" t="str">
        <f aca="false">IF(OR(R490="",R490=0,P490=""),"",P490/R490-1)</f>
        <v/>
      </c>
    </row>
    <row r="491" customFormat="false" ht="15" hidden="false" customHeight="false" outlineLevel="0" collapsed="false">
      <c r="A491" s="27"/>
      <c r="B491" s="5"/>
      <c r="C491" s="35"/>
      <c r="D491" s="5"/>
      <c r="E491" s="5"/>
      <c r="F491" s="19" t="str">
        <f aca="false">IF(A491="","",IF(COUNTIF(Contratos!$A:$A,A491)+COUNTIF(Pagamentos!$A:$A,A491)=0,"não consta","SIM — contratos: "&amp;COUNTIF(Contratos!$A:$A,A491)&amp;"; pagamentos: "&amp;COUNTIF(Pagamentos!$A:$A,A491)))</f>
        <v/>
      </c>
      <c r="G491" s="27"/>
      <c r="H491" s="5"/>
      <c r="J491" s="5"/>
      <c r="K491" s="41"/>
      <c r="L491" s="14"/>
      <c r="M491" s="5"/>
      <c r="N491" s="35"/>
      <c r="O491" s="27"/>
      <c r="P491" s="39" t="str">
        <f aca="false">IF(OR(J491="",K491=""),"",SUMIFS($N:$N,$J:$J,J491,$K:$K,K491))</f>
        <v/>
      </c>
      <c r="Q491" s="32" t="str">
        <f aca="false">IF(OR(J491="",K491=""),"",IF(COUNTIFS($J:$J,J491,$K:$K,"&lt;"&amp;K491)=0,"",_xlfn.MAXIFS($K:$K,$J:$J,J491,$K:$K,"&lt;"&amp;K491)))</f>
        <v/>
      </c>
      <c r="R491" s="39" t="str">
        <f aca="false">IF(Q491="","",SUMIFS($N:$N,$J:$J,J491,$K:$K,Q491))</f>
        <v/>
      </c>
      <c r="S491" s="37" t="str">
        <f aca="false">IF(OR(R491="",R491=0,P491=""),"",P491/R491-1)</f>
        <v/>
      </c>
    </row>
    <row r="492" customFormat="false" ht="15" hidden="false" customHeight="false" outlineLevel="0" collapsed="false">
      <c r="A492" s="27"/>
      <c r="B492" s="5"/>
      <c r="C492" s="35"/>
      <c r="D492" s="5"/>
      <c r="E492" s="5"/>
      <c r="F492" s="19" t="str">
        <f aca="false">IF(A492="","",IF(COUNTIF(Contratos!$A:$A,A492)+COUNTIF(Pagamentos!$A:$A,A492)=0,"não consta","SIM — contratos: "&amp;COUNTIF(Contratos!$A:$A,A492)&amp;"; pagamentos: "&amp;COUNTIF(Pagamentos!$A:$A,A492)))</f>
        <v/>
      </c>
      <c r="G492" s="27"/>
      <c r="H492" s="5"/>
      <c r="J492" s="5"/>
      <c r="K492" s="41"/>
      <c r="L492" s="14"/>
      <c r="M492" s="5"/>
      <c r="N492" s="35"/>
      <c r="O492" s="27"/>
      <c r="P492" s="39" t="str">
        <f aca="false">IF(OR(J492="",K492=""),"",SUMIFS($N:$N,$J:$J,J492,$K:$K,K492))</f>
        <v/>
      </c>
      <c r="Q492" s="32" t="str">
        <f aca="false">IF(OR(J492="",K492=""),"",IF(COUNTIFS($J:$J,J492,$K:$K,"&lt;"&amp;K492)=0,"",_xlfn.MAXIFS($K:$K,$J:$J,J492,$K:$K,"&lt;"&amp;K492)))</f>
        <v/>
      </c>
      <c r="R492" s="39" t="str">
        <f aca="false">IF(Q492="","",SUMIFS($N:$N,$J:$J,J492,$K:$K,Q492))</f>
        <v/>
      </c>
      <c r="S492" s="37" t="str">
        <f aca="false">IF(OR(R492="",R492=0,P492=""),"",P492/R492-1)</f>
        <v/>
      </c>
    </row>
    <row r="493" customFormat="false" ht="15" hidden="false" customHeight="false" outlineLevel="0" collapsed="false">
      <c r="A493" s="27"/>
      <c r="B493" s="5"/>
      <c r="C493" s="35"/>
      <c r="D493" s="5"/>
      <c r="E493" s="5"/>
      <c r="F493" s="19" t="str">
        <f aca="false">IF(A493="","",IF(COUNTIF(Contratos!$A:$A,A493)+COUNTIF(Pagamentos!$A:$A,A493)=0,"não consta","SIM — contratos: "&amp;COUNTIF(Contratos!$A:$A,A493)&amp;"; pagamentos: "&amp;COUNTIF(Pagamentos!$A:$A,A493)))</f>
        <v/>
      </c>
      <c r="G493" s="27"/>
      <c r="H493" s="5"/>
      <c r="J493" s="5"/>
      <c r="K493" s="41"/>
      <c r="L493" s="14"/>
      <c r="M493" s="5"/>
      <c r="N493" s="35"/>
      <c r="O493" s="27"/>
      <c r="P493" s="39" t="str">
        <f aca="false">IF(OR(J493="",K493=""),"",SUMIFS($N:$N,$J:$J,J493,$K:$K,K493))</f>
        <v/>
      </c>
      <c r="Q493" s="32" t="str">
        <f aca="false">IF(OR(J493="",K493=""),"",IF(COUNTIFS($J:$J,J493,$K:$K,"&lt;"&amp;K493)=0,"",_xlfn.MAXIFS($K:$K,$J:$J,J493,$K:$K,"&lt;"&amp;K493)))</f>
        <v/>
      </c>
      <c r="R493" s="39" t="str">
        <f aca="false">IF(Q493="","",SUMIFS($N:$N,$J:$J,J493,$K:$K,Q493))</f>
        <v/>
      </c>
      <c r="S493" s="37" t="str">
        <f aca="false">IF(OR(R493="",R493=0,P493=""),"",P493/R493-1)</f>
        <v/>
      </c>
    </row>
    <row r="494" customFormat="false" ht="15" hidden="false" customHeight="false" outlineLevel="0" collapsed="false">
      <c r="A494" s="27"/>
      <c r="B494" s="5"/>
      <c r="C494" s="35"/>
      <c r="D494" s="5"/>
      <c r="E494" s="5"/>
      <c r="F494" s="19" t="str">
        <f aca="false">IF(A494="","",IF(COUNTIF(Contratos!$A:$A,A494)+COUNTIF(Pagamentos!$A:$A,A494)=0,"não consta","SIM — contratos: "&amp;COUNTIF(Contratos!$A:$A,A494)&amp;"; pagamentos: "&amp;COUNTIF(Pagamentos!$A:$A,A494)))</f>
        <v/>
      </c>
      <c r="G494" s="27"/>
      <c r="H494" s="5"/>
      <c r="J494" s="5"/>
      <c r="K494" s="41"/>
      <c r="L494" s="14"/>
      <c r="M494" s="5"/>
      <c r="N494" s="35"/>
      <c r="O494" s="27"/>
      <c r="P494" s="39" t="str">
        <f aca="false">IF(OR(J494="",K494=""),"",SUMIFS($N:$N,$J:$J,J494,$K:$K,K494))</f>
        <v/>
      </c>
      <c r="Q494" s="32" t="str">
        <f aca="false">IF(OR(J494="",K494=""),"",IF(COUNTIFS($J:$J,J494,$K:$K,"&lt;"&amp;K494)=0,"",_xlfn.MAXIFS($K:$K,$J:$J,J494,$K:$K,"&lt;"&amp;K494)))</f>
        <v/>
      </c>
      <c r="R494" s="39" t="str">
        <f aca="false">IF(Q494="","",SUMIFS($N:$N,$J:$J,J494,$K:$K,Q494))</f>
        <v/>
      </c>
      <c r="S494" s="37" t="str">
        <f aca="false">IF(OR(R494="",R494=0,P494=""),"",P494/R494-1)</f>
        <v/>
      </c>
    </row>
    <row r="495" customFormat="false" ht="15" hidden="false" customHeight="false" outlineLevel="0" collapsed="false">
      <c r="A495" s="27"/>
      <c r="B495" s="5"/>
      <c r="C495" s="35"/>
      <c r="D495" s="5"/>
      <c r="E495" s="5"/>
      <c r="F495" s="19" t="str">
        <f aca="false">IF(A495="","",IF(COUNTIF(Contratos!$A:$A,A495)+COUNTIF(Pagamentos!$A:$A,A495)=0,"não consta","SIM — contratos: "&amp;COUNTIF(Contratos!$A:$A,A495)&amp;"; pagamentos: "&amp;COUNTIF(Pagamentos!$A:$A,A495)))</f>
        <v/>
      </c>
      <c r="G495" s="27"/>
      <c r="H495" s="5"/>
      <c r="J495" s="5"/>
      <c r="K495" s="41"/>
      <c r="L495" s="14"/>
      <c r="M495" s="5"/>
      <c r="N495" s="35"/>
      <c r="O495" s="27"/>
      <c r="P495" s="39" t="str">
        <f aca="false">IF(OR(J495="",K495=""),"",SUMIFS($N:$N,$J:$J,J495,$K:$K,K495))</f>
        <v/>
      </c>
      <c r="Q495" s="32" t="str">
        <f aca="false">IF(OR(J495="",K495=""),"",IF(COUNTIFS($J:$J,J495,$K:$K,"&lt;"&amp;K495)=0,"",_xlfn.MAXIFS($K:$K,$J:$J,J495,$K:$K,"&lt;"&amp;K495)))</f>
        <v/>
      </c>
      <c r="R495" s="39" t="str">
        <f aca="false">IF(Q495="","",SUMIFS($N:$N,$J:$J,J495,$K:$K,Q495))</f>
        <v/>
      </c>
      <c r="S495" s="37" t="str">
        <f aca="false">IF(OR(R495="",R495=0,P495=""),"",P495/R495-1)</f>
        <v/>
      </c>
    </row>
    <row r="496" customFormat="false" ht="15" hidden="false" customHeight="false" outlineLevel="0" collapsed="false">
      <c r="A496" s="27"/>
      <c r="B496" s="5"/>
      <c r="C496" s="35"/>
      <c r="D496" s="5"/>
      <c r="E496" s="5"/>
      <c r="F496" s="19" t="str">
        <f aca="false">IF(A496="","",IF(COUNTIF(Contratos!$A:$A,A496)+COUNTIF(Pagamentos!$A:$A,A496)=0,"não consta","SIM — contratos: "&amp;COUNTIF(Contratos!$A:$A,A496)&amp;"; pagamentos: "&amp;COUNTIF(Pagamentos!$A:$A,A496)))</f>
        <v/>
      </c>
      <c r="G496" s="27"/>
      <c r="H496" s="5"/>
      <c r="J496" s="5"/>
      <c r="K496" s="41"/>
      <c r="L496" s="14"/>
      <c r="M496" s="5"/>
      <c r="N496" s="35"/>
      <c r="O496" s="27"/>
      <c r="P496" s="39" t="str">
        <f aca="false">IF(OR(J496="",K496=""),"",SUMIFS($N:$N,$J:$J,J496,$K:$K,K496))</f>
        <v/>
      </c>
      <c r="Q496" s="32" t="str">
        <f aca="false">IF(OR(J496="",K496=""),"",IF(COUNTIFS($J:$J,J496,$K:$K,"&lt;"&amp;K496)=0,"",_xlfn.MAXIFS($K:$K,$J:$J,J496,$K:$K,"&lt;"&amp;K496)))</f>
        <v/>
      </c>
      <c r="R496" s="39" t="str">
        <f aca="false">IF(Q496="","",SUMIFS($N:$N,$J:$J,J496,$K:$K,Q496))</f>
        <v/>
      </c>
      <c r="S496" s="37" t="str">
        <f aca="false">IF(OR(R496="",R496=0,P496=""),"",P496/R496-1)</f>
        <v/>
      </c>
    </row>
    <row r="497" customFormat="false" ht="15" hidden="false" customHeight="false" outlineLevel="0" collapsed="false">
      <c r="A497" s="27"/>
      <c r="B497" s="5"/>
      <c r="C497" s="35"/>
      <c r="D497" s="5"/>
      <c r="E497" s="5"/>
      <c r="F497" s="19" t="str">
        <f aca="false">IF(A497="","",IF(COUNTIF(Contratos!$A:$A,A497)+COUNTIF(Pagamentos!$A:$A,A497)=0,"não consta","SIM — contratos: "&amp;COUNTIF(Contratos!$A:$A,A497)&amp;"; pagamentos: "&amp;COUNTIF(Pagamentos!$A:$A,A497)))</f>
        <v/>
      </c>
      <c r="G497" s="27"/>
      <c r="H497" s="5"/>
      <c r="J497" s="5"/>
      <c r="K497" s="41"/>
      <c r="L497" s="14"/>
      <c r="M497" s="5"/>
      <c r="N497" s="35"/>
      <c r="O497" s="27"/>
      <c r="P497" s="39" t="str">
        <f aca="false">IF(OR(J497="",K497=""),"",SUMIFS($N:$N,$J:$J,J497,$K:$K,K497))</f>
        <v/>
      </c>
      <c r="Q497" s="32" t="str">
        <f aca="false">IF(OR(J497="",K497=""),"",IF(COUNTIFS($J:$J,J497,$K:$K,"&lt;"&amp;K497)=0,"",_xlfn.MAXIFS($K:$K,$J:$J,J497,$K:$K,"&lt;"&amp;K497)))</f>
        <v/>
      </c>
      <c r="R497" s="39" t="str">
        <f aca="false">IF(Q497="","",SUMIFS($N:$N,$J:$J,J497,$K:$K,Q497))</f>
        <v/>
      </c>
      <c r="S497" s="37" t="str">
        <f aca="false">IF(OR(R497="",R497=0,P497=""),"",P497/R497-1)</f>
        <v/>
      </c>
    </row>
    <row r="498" customFormat="false" ht="15" hidden="false" customHeight="false" outlineLevel="0" collapsed="false">
      <c r="A498" s="27"/>
      <c r="B498" s="5"/>
      <c r="C498" s="35"/>
      <c r="D498" s="5"/>
      <c r="E498" s="5"/>
      <c r="F498" s="19" t="str">
        <f aca="false">IF(A498="","",IF(COUNTIF(Contratos!$A:$A,A498)+COUNTIF(Pagamentos!$A:$A,A498)=0,"não consta","SIM — contratos: "&amp;COUNTIF(Contratos!$A:$A,A498)&amp;"; pagamentos: "&amp;COUNTIF(Pagamentos!$A:$A,A498)))</f>
        <v/>
      </c>
      <c r="G498" s="27"/>
      <c r="H498" s="5"/>
      <c r="J498" s="5"/>
      <c r="K498" s="41"/>
      <c r="L498" s="14"/>
      <c r="M498" s="5"/>
      <c r="N498" s="35"/>
      <c r="O498" s="27"/>
      <c r="P498" s="39" t="str">
        <f aca="false">IF(OR(J498="",K498=""),"",SUMIFS($N:$N,$J:$J,J498,$K:$K,K498))</f>
        <v/>
      </c>
      <c r="Q498" s="32" t="str">
        <f aca="false">IF(OR(J498="",K498=""),"",IF(COUNTIFS($J:$J,J498,$K:$K,"&lt;"&amp;K498)=0,"",_xlfn.MAXIFS($K:$K,$J:$J,J498,$K:$K,"&lt;"&amp;K498)))</f>
        <v/>
      </c>
      <c r="R498" s="39" t="str">
        <f aca="false">IF(Q498="","",SUMIFS($N:$N,$J:$J,J498,$K:$K,Q498))</f>
        <v/>
      </c>
      <c r="S498" s="37" t="str">
        <f aca="false">IF(OR(R498="",R498=0,P498=""),"",P498/R498-1)</f>
        <v/>
      </c>
    </row>
    <row r="499" customFormat="false" ht="15" hidden="false" customHeight="false" outlineLevel="0" collapsed="false">
      <c r="A499" s="27"/>
      <c r="B499" s="5"/>
      <c r="C499" s="35"/>
      <c r="D499" s="5"/>
      <c r="E499" s="5"/>
      <c r="F499" s="19" t="str">
        <f aca="false">IF(A499="","",IF(COUNTIF(Contratos!$A:$A,A499)+COUNTIF(Pagamentos!$A:$A,A499)=0,"não consta","SIM — contratos: "&amp;COUNTIF(Contratos!$A:$A,A499)&amp;"; pagamentos: "&amp;COUNTIF(Pagamentos!$A:$A,A499)))</f>
        <v/>
      </c>
      <c r="G499" s="27"/>
      <c r="H499" s="5"/>
      <c r="J499" s="5"/>
      <c r="K499" s="41"/>
      <c r="L499" s="14"/>
      <c r="M499" s="5"/>
      <c r="N499" s="35"/>
      <c r="O499" s="27"/>
      <c r="P499" s="39" t="str">
        <f aca="false">IF(OR(J499="",K499=""),"",SUMIFS($N:$N,$J:$J,J499,$K:$K,K499))</f>
        <v/>
      </c>
      <c r="Q499" s="32" t="str">
        <f aca="false">IF(OR(J499="",K499=""),"",IF(COUNTIFS($J:$J,J499,$K:$K,"&lt;"&amp;K499)=0,"",_xlfn.MAXIFS($K:$K,$J:$J,J499,$K:$K,"&lt;"&amp;K499)))</f>
        <v/>
      </c>
      <c r="R499" s="39" t="str">
        <f aca="false">IF(Q499="","",SUMIFS($N:$N,$J:$J,J499,$K:$K,Q499))</f>
        <v/>
      </c>
      <c r="S499" s="37" t="str">
        <f aca="false">IF(OR(R499="",R499=0,P499=""),"",P499/R499-1)</f>
        <v/>
      </c>
    </row>
    <row r="500" customFormat="false" ht="15" hidden="false" customHeight="false" outlineLevel="0" collapsed="false">
      <c r="A500" s="27"/>
      <c r="B500" s="5"/>
      <c r="C500" s="35"/>
      <c r="D500" s="5"/>
      <c r="E500" s="5"/>
      <c r="F500" s="19" t="str">
        <f aca="false">IF(A500="","",IF(COUNTIF(Contratos!$A:$A,A500)+COUNTIF(Pagamentos!$A:$A,A500)=0,"não consta","SIM — contratos: "&amp;COUNTIF(Contratos!$A:$A,A500)&amp;"; pagamentos: "&amp;COUNTIF(Pagamentos!$A:$A,A500)))</f>
        <v/>
      </c>
      <c r="G500" s="27"/>
      <c r="H500" s="5"/>
      <c r="J500" s="5"/>
      <c r="K500" s="41"/>
      <c r="L500" s="14"/>
      <c r="M500" s="5"/>
      <c r="N500" s="35"/>
      <c r="O500" s="27"/>
      <c r="P500" s="39" t="str">
        <f aca="false">IF(OR(J500="",K500=""),"",SUMIFS($N:$N,$J:$J,J500,$K:$K,K500))</f>
        <v/>
      </c>
      <c r="Q500" s="32" t="str">
        <f aca="false">IF(OR(J500="",K500=""),"",IF(COUNTIFS($J:$J,J500,$K:$K,"&lt;"&amp;K500)=0,"",_xlfn.MAXIFS($K:$K,$J:$J,J500,$K:$K,"&lt;"&amp;K500)))</f>
        <v/>
      </c>
      <c r="R500" s="39" t="str">
        <f aca="false">IF(Q500="","",SUMIFS($N:$N,$J:$J,J500,$K:$K,Q500))</f>
        <v/>
      </c>
      <c r="S500" s="37" t="str">
        <f aca="false">IF(OR(R500="",R500=0,P500=""),"",P500/R500-1)</f>
        <v/>
      </c>
    </row>
    <row r="501" customFormat="false" ht="15" hidden="false" customHeight="false" outlineLevel="0" collapsed="false">
      <c r="A501" s="27"/>
      <c r="B501" s="5"/>
      <c r="C501" s="35"/>
      <c r="D501" s="5"/>
      <c r="E501" s="5"/>
      <c r="F501" s="19" t="str">
        <f aca="false">IF(A501="","",IF(COUNTIF(Contratos!$A:$A,A501)+COUNTIF(Pagamentos!$A:$A,A501)=0,"não consta","SIM — contratos: "&amp;COUNTIF(Contratos!$A:$A,A501)&amp;"; pagamentos: "&amp;COUNTIF(Pagamentos!$A:$A,A501)))</f>
        <v/>
      </c>
      <c r="G501" s="27"/>
      <c r="H501" s="5"/>
      <c r="J501" s="5"/>
      <c r="K501" s="41"/>
      <c r="L501" s="14"/>
      <c r="M501" s="5"/>
      <c r="N501" s="35"/>
      <c r="O501" s="27"/>
      <c r="P501" s="39" t="str">
        <f aca="false">IF(OR(J501="",K501=""),"",SUMIFS($N:$N,$J:$J,J501,$K:$K,K501))</f>
        <v/>
      </c>
      <c r="Q501" s="32" t="str">
        <f aca="false">IF(OR(J501="",K501=""),"",IF(COUNTIFS($J:$J,J501,$K:$K,"&lt;"&amp;K501)=0,"",_xlfn.MAXIFS($K:$K,$J:$J,J501,$K:$K,"&lt;"&amp;K501)))</f>
        <v/>
      </c>
      <c r="R501" s="39" t="str">
        <f aca="false">IF(Q501="","",SUMIFS($N:$N,$J:$J,J501,$K:$K,Q501))</f>
        <v/>
      </c>
      <c r="S501" s="37" t="str">
        <f aca="false">IF(OR(R501="",R501=0,P501=""),"",P501/R501-1)</f>
        <v/>
      </c>
    </row>
  </sheetData>
  <conditionalFormatting sqref="A2:A501">
    <cfRule type="expression" priority="2" aboveAverage="0" equalAverage="0" bottom="0" percent="0" rank="0" text="" dxfId="17">
      <formula>AND(A2&lt;&gt;"",LEN(A2)&lt;&gt;14)</formula>
    </cfRule>
  </conditionalFormatting>
  <conditionalFormatting sqref="F2:F501">
    <cfRule type="expression" priority="3" aboveAverage="0" equalAverage="0" bottom="0" percent="0" rank="0" text="" dxfId="8">
      <formula>LEFT(F2,3)="SIM"</formula>
    </cfRule>
  </conditionalFormatting>
  <dataValidations count="1">
    <dataValidation allowBlank="true" error="Digite o CNPJ como texto, com 14 caracteres, sem pontos, barra ou traço. É a chave de todos os cruzamentos." errorStyle="warning" errorTitle="CNPJ com 14 caracteres" operator="equal" showDropDown="false" showErrorMessage="true" showInputMessage="false" sqref="A2:A501" type="textLength">
      <formula1>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30"/>
    <col collapsed="false" customWidth="true" hidden="false" outlineLevel="0" max="4" min="4" style="0" width="36"/>
    <col collapsed="false" customWidth="true" hidden="false" outlineLevel="0" max="5" min="5" style="0" width="44"/>
    <col collapsed="false" customWidth="true" hidden="false" outlineLevel="0" max="6" min="6" style="0" width="22"/>
    <col collapsed="false" customWidth="true" hidden="false" outlineLevel="0" max="7" min="7" style="0" width="26"/>
    <col collapsed="false" customWidth="true" hidden="false" outlineLevel="0" max="8" min="8" style="0" width="22"/>
    <col collapsed="false" customWidth="true" hidden="false" outlineLevel="0" max="9" min="9" style="0" width="12"/>
    <col collapsed="false" customWidth="true" hidden="false" outlineLevel="0" max="10" min="10" style="0" width="26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39.75" hidden="false" customHeight="true" outlineLevel="0" collapsed="false">
      <c r="A1" s="10" t="s">
        <v>561</v>
      </c>
      <c r="B1" s="10" t="s">
        <v>562</v>
      </c>
      <c r="C1" s="10" t="s">
        <v>404</v>
      </c>
      <c r="D1" s="10" t="s">
        <v>563</v>
      </c>
      <c r="E1" s="15" t="s">
        <v>564</v>
      </c>
      <c r="F1" s="10" t="s">
        <v>565</v>
      </c>
      <c r="G1" s="10" t="s">
        <v>566</v>
      </c>
      <c r="H1" s="10" t="s">
        <v>567</v>
      </c>
      <c r="I1" s="10" t="s">
        <v>568</v>
      </c>
      <c r="J1" s="10" t="s">
        <v>157</v>
      </c>
      <c r="K1" s="10" t="s">
        <v>395</v>
      </c>
      <c r="L1" s="10" t="s">
        <v>138</v>
      </c>
    </row>
    <row r="2" customFormat="false" ht="23.85" hidden="false" customHeight="false" outlineLevel="0" collapsed="false">
      <c r="A2" s="23" t="s">
        <v>292</v>
      </c>
      <c r="B2" s="7" t="s">
        <v>569</v>
      </c>
      <c r="C2" s="7" t="s">
        <v>570</v>
      </c>
      <c r="D2" s="7" t="s">
        <v>571</v>
      </c>
      <c r="E2" s="17" t="str">
        <f aca="false">IF(C2="","",IFERROR(INDEX(Listas!$S:$S,MATCH(C2,Listas!$R:$R,0)),""))</f>
        <v>é réu em ação de improbidade administrativa, que é cível, não criminal</v>
      </c>
      <c r="F2" s="7" t="s">
        <v>379</v>
      </c>
      <c r="G2" s="7" t="s">
        <v>572</v>
      </c>
      <c r="H2" s="7" t="s">
        <v>183</v>
      </c>
      <c r="I2" s="16" t="n">
        <v>46154</v>
      </c>
      <c r="J2" s="7"/>
      <c r="K2" s="23" t="s">
        <v>198</v>
      </c>
      <c r="L2" s="7" t="s">
        <v>573</v>
      </c>
    </row>
    <row r="3" customFormat="false" ht="23.85" hidden="false" customHeight="false" outlineLevel="0" collapsed="false">
      <c r="A3" s="23" t="s">
        <v>337</v>
      </c>
      <c r="B3" s="7" t="s">
        <v>574</v>
      </c>
      <c r="C3" s="7" t="s">
        <v>575</v>
      </c>
      <c r="D3" s="7" t="s">
        <v>576</v>
      </c>
      <c r="E3" s="17" t="str">
        <f aca="false">IF(C3="","",IFERROR(INDEX(Listas!$S:$S,MATCH(C3,Listas!$R:$R,0)),""))</f>
        <v>o [TCU ou TCE] apontou [achado] em auditoria, no processo [número]; é apontamento de controle, não condenação</v>
      </c>
      <c r="F3" s="7" t="s">
        <v>577</v>
      </c>
      <c r="G3" s="7" t="s">
        <v>578</v>
      </c>
      <c r="H3" s="7" t="s">
        <v>370</v>
      </c>
      <c r="I3" s="16" t="n">
        <v>46266</v>
      </c>
      <c r="J3" s="7"/>
      <c r="K3" s="23" t="s">
        <v>339</v>
      </c>
      <c r="L3" s="7" t="s">
        <v>573</v>
      </c>
    </row>
    <row r="4" customFormat="false" ht="15" hidden="false" customHeight="false" outlineLevel="0" collapsed="false">
      <c r="A4" s="27"/>
      <c r="B4" s="5"/>
      <c r="C4" s="5"/>
      <c r="D4" s="5"/>
      <c r="E4" s="19" t="str">
        <f aca="false">IF(C4="","",IFERROR(INDEX(Listas!$S:$S,MATCH(C4,Listas!$R:$R,0)),""))</f>
        <v/>
      </c>
      <c r="F4" s="5"/>
      <c r="G4" s="5"/>
      <c r="H4" s="5"/>
      <c r="I4" s="18"/>
      <c r="J4" s="5"/>
      <c r="K4" s="27"/>
      <c r="L4" s="5"/>
    </row>
    <row r="5" customFormat="false" ht="15" hidden="false" customHeight="false" outlineLevel="0" collapsed="false">
      <c r="A5" s="27"/>
      <c r="B5" s="5"/>
      <c r="C5" s="5"/>
      <c r="D5" s="5"/>
      <c r="E5" s="19" t="str">
        <f aca="false">IF(C5="","",IFERROR(INDEX(Listas!$S:$S,MATCH(C5,Listas!$R:$R,0)),""))</f>
        <v/>
      </c>
      <c r="F5" s="5"/>
      <c r="G5" s="5"/>
      <c r="H5" s="5"/>
      <c r="I5" s="18"/>
      <c r="J5" s="5"/>
      <c r="K5" s="27"/>
      <c r="L5" s="5"/>
    </row>
    <row r="6" customFormat="false" ht="15" hidden="false" customHeight="false" outlineLevel="0" collapsed="false">
      <c r="A6" s="27"/>
      <c r="B6" s="5"/>
      <c r="C6" s="5"/>
      <c r="D6" s="5"/>
      <c r="E6" s="19" t="str">
        <f aca="false">IF(C6="","",IFERROR(INDEX(Listas!$S:$S,MATCH(C6,Listas!$R:$R,0)),""))</f>
        <v/>
      </c>
      <c r="F6" s="5"/>
      <c r="G6" s="5"/>
      <c r="H6" s="5"/>
      <c r="I6" s="18"/>
      <c r="J6" s="5"/>
      <c r="K6" s="27"/>
      <c r="L6" s="5"/>
    </row>
    <row r="7" customFormat="false" ht="15" hidden="false" customHeight="false" outlineLevel="0" collapsed="false">
      <c r="A7" s="27"/>
      <c r="B7" s="5"/>
      <c r="C7" s="5"/>
      <c r="D7" s="5"/>
      <c r="E7" s="19" t="str">
        <f aca="false">IF(C7="","",IFERROR(INDEX(Listas!$S:$S,MATCH(C7,Listas!$R:$R,0)),""))</f>
        <v/>
      </c>
      <c r="F7" s="5"/>
      <c r="G7" s="5"/>
      <c r="H7" s="5"/>
      <c r="I7" s="18"/>
      <c r="J7" s="5"/>
      <c r="K7" s="27"/>
      <c r="L7" s="5"/>
    </row>
    <row r="8" customFormat="false" ht="15" hidden="false" customHeight="false" outlineLevel="0" collapsed="false">
      <c r="A8" s="27"/>
      <c r="B8" s="5"/>
      <c r="C8" s="5"/>
      <c r="D8" s="5"/>
      <c r="E8" s="19" t="str">
        <f aca="false">IF(C8="","",IFERROR(INDEX(Listas!$S:$S,MATCH(C8,Listas!$R:$R,0)),""))</f>
        <v/>
      </c>
      <c r="F8" s="5"/>
      <c r="G8" s="5"/>
      <c r="H8" s="5"/>
      <c r="I8" s="18"/>
      <c r="J8" s="5"/>
      <c r="K8" s="27"/>
      <c r="L8" s="5"/>
    </row>
    <row r="9" customFormat="false" ht="15" hidden="false" customHeight="false" outlineLevel="0" collapsed="false">
      <c r="A9" s="27"/>
      <c r="B9" s="5"/>
      <c r="C9" s="5"/>
      <c r="D9" s="5"/>
      <c r="E9" s="19" t="str">
        <f aca="false">IF(C9="","",IFERROR(INDEX(Listas!$S:$S,MATCH(C9,Listas!$R:$R,0)),""))</f>
        <v/>
      </c>
      <c r="F9" s="5"/>
      <c r="G9" s="5"/>
      <c r="H9" s="5"/>
      <c r="I9" s="18"/>
      <c r="J9" s="5"/>
      <c r="K9" s="27"/>
      <c r="L9" s="5"/>
    </row>
    <row r="10" customFormat="false" ht="15" hidden="false" customHeight="false" outlineLevel="0" collapsed="false">
      <c r="A10" s="27"/>
      <c r="B10" s="5"/>
      <c r="C10" s="5"/>
      <c r="D10" s="5"/>
      <c r="E10" s="19" t="str">
        <f aca="false">IF(C10="","",IFERROR(INDEX(Listas!$S:$S,MATCH(C10,Listas!$R:$R,0)),""))</f>
        <v/>
      </c>
      <c r="F10" s="5"/>
      <c r="G10" s="5"/>
      <c r="H10" s="5"/>
      <c r="I10" s="18"/>
      <c r="J10" s="5"/>
      <c r="K10" s="27"/>
      <c r="L10" s="5"/>
    </row>
    <row r="11" customFormat="false" ht="15" hidden="false" customHeight="false" outlineLevel="0" collapsed="false">
      <c r="A11" s="27"/>
      <c r="B11" s="5"/>
      <c r="C11" s="5"/>
      <c r="D11" s="5"/>
      <c r="E11" s="19" t="str">
        <f aca="false">IF(C11="","",IFERROR(INDEX(Listas!$S:$S,MATCH(C11,Listas!$R:$R,0)),""))</f>
        <v/>
      </c>
      <c r="F11" s="5"/>
      <c r="G11" s="5"/>
      <c r="H11" s="5"/>
      <c r="I11" s="18"/>
      <c r="J11" s="5"/>
      <c r="K11" s="27"/>
      <c r="L11" s="5"/>
    </row>
    <row r="12" customFormat="false" ht="15" hidden="false" customHeight="false" outlineLevel="0" collapsed="false">
      <c r="A12" s="27"/>
      <c r="B12" s="5"/>
      <c r="C12" s="5"/>
      <c r="D12" s="5"/>
      <c r="E12" s="19" t="str">
        <f aca="false">IF(C12="","",IFERROR(INDEX(Listas!$S:$S,MATCH(C12,Listas!$R:$R,0)),""))</f>
        <v/>
      </c>
      <c r="F12" s="5"/>
      <c r="G12" s="5"/>
      <c r="H12" s="5"/>
      <c r="I12" s="18"/>
      <c r="J12" s="5"/>
      <c r="K12" s="27"/>
      <c r="L12" s="5"/>
    </row>
    <row r="13" customFormat="false" ht="15" hidden="false" customHeight="false" outlineLevel="0" collapsed="false">
      <c r="A13" s="27"/>
      <c r="B13" s="5"/>
      <c r="C13" s="5"/>
      <c r="D13" s="5"/>
      <c r="E13" s="19" t="str">
        <f aca="false">IF(C13="","",IFERROR(INDEX(Listas!$S:$S,MATCH(C13,Listas!$R:$R,0)),""))</f>
        <v/>
      </c>
      <c r="F13" s="5"/>
      <c r="G13" s="5"/>
      <c r="H13" s="5"/>
      <c r="I13" s="18"/>
      <c r="J13" s="5"/>
      <c r="K13" s="27"/>
      <c r="L13" s="5"/>
    </row>
    <row r="14" customFormat="false" ht="15" hidden="false" customHeight="false" outlineLevel="0" collapsed="false">
      <c r="A14" s="27"/>
      <c r="B14" s="5"/>
      <c r="C14" s="5"/>
      <c r="D14" s="5"/>
      <c r="E14" s="19" t="str">
        <f aca="false">IF(C14="","",IFERROR(INDEX(Listas!$S:$S,MATCH(C14,Listas!$R:$R,0)),""))</f>
        <v/>
      </c>
      <c r="F14" s="5"/>
      <c r="G14" s="5"/>
      <c r="H14" s="5"/>
      <c r="I14" s="18"/>
      <c r="J14" s="5"/>
      <c r="K14" s="27"/>
      <c r="L14" s="5"/>
    </row>
    <row r="15" customFormat="false" ht="15" hidden="false" customHeight="false" outlineLevel="0" collapsed="false">
      <c r="A15" s="27"/>
      <c r="B15" s="5"/>
      <c r="C15" s="5"/>
      <c r="D15" s="5"/>
      <c r="E15" s="19" t="str">
        <f aca="false">IF(C15="","",IFERROR(INDEX(Listas!$S:$S,MATCH(C15,Listas!$R:$R,0)),""))</f>
        <v/>
      </c>
      <c r="F15" s="5"/>
      <c r="G15" s="5"/>
      <c r="H15" s="5"/>
      <c r="I15" s="18"/>
      <c r="J15" s="5"/>
      <c r="K15" s="27"/>
      <c r="L15" s="5"/>
    </row>
    <row r="16" customFormat="false" ht="15" hidden="false" customHeight="false" outlineLevel="0" collapsed="false">
      <c r="A16" s="27"/>
      <c r="B16" s="5"/>
      <c r="C16" s="5"/>
      <c r="D16" s="5"/>
      <c r="E16" s="19" t="str">
        <f aca="false">IF(C16="","",IFERROR(INDEX(Listas!$S:$S,MATCH(C16,Listas!$R:$R,0)),""))</f>
        <v/>
      </c>
      <c r="F16" s="5"/>
      <c r="G16" s="5"/>
      <c r="H16" s="5"/>
      <c r="I16" s="18"/>
      <c r="J16" s="5"/>
      <c r="K16" s="27"/>
      <c r="L16" s="5"/>
    </row>
    <row r="17" customFormat="false" ht="15" hidden="false" customHeight="false" outlineLevel="0" collapsed="false">
      <c r="A17" s="27"/>
      <c r="B17" s="5"/>
      <c r="C17" s="5"/>
      <c r="D17" s="5"/>
      <c r="E17" s="19" t="str">
        <f aca="false">IF(C17="","",IFERROR(INDEX(Listas!$S:$S,MATCH(C17,Listas!$R:$R,0)),""))</f>
        <v/>
      </c>
      <c r="F17" s="5"/>
      <c r="G17" s="5"/>
      <c r="H17" s="5"/>
      <c r="I17" s="18"/>
      <c r="J17" s="5"/>
      <c r="K17" s="27"/>
      <c r="L17" s="5"/>
    </row>
    <row r="18" customFormat="false" ht="15" hidden="false" customHeight="false" outlineLevel="0" collapsed="false">
      <c r="A18" s="27"/>
      <c r="B18" s="5"/>
      <c r="C18" s="5"/>
      <c r="D18" s="5"/>
      <c r="E18" s="19" t="str">
        <f aca="false">IF(C18="","",IFERROR(INDEX(Listas!$S:$S,MATCH(C18,Listas!$R:$R,0)),""))</f>
        <v/>
      </c>
      <c r="F18" s="5"/>
      <c r="G18" s="5"/>
      <c r="H18" s="5"/>
      <c r="I18" s="18"/>
      <c r="J18" s="5"/>
      <c r="K18" s="27"/>
      <c r="L18" s="5"/>
    </row>
    <row r="19" customFormat="false" ht="15" hidden="false" customHeight="false" outlineLevel="0" collapsed="false">
      <c r="A19" s="27"/>
      <c r="B19" s="5"/>
      <c r="C19" s="5"/>
      <c r="D19" s="5"/>
      <c r="E19" s="19" t="str">
        <f aca="false">IF(C19="","",IFERROR(INDEX(Listas!$S:$S,MATCH(C19,Listas!$R:$R,0)),""))</f>
        <v/>
      </c>
      <c r="F19" s="5"/>
      <c r="G19" s="5"/>
      <c r="H19" s="5"/>
      <c r="I19" s="18"/>
      <c r="J19" s="5"/>
      <c r="K19" s="27"/>
      <c r="L19" s="5"/>
    </row>
    <row r="20" customFormat="false" ht="15" hidden="false" customHeight="false" outlineLevel="0" collapsed="false">
      <c r="A20" s="27"/>
      <c r="B20" s="5"/>
      <c r="C20" s="5"/>
      <c r="D20" s="5"/>
      <c r="E20" s="19" t="str">
        <f aca="false">IF(C20="","",IFERROR(INDEX(Listas!$S:$S,MATCH(C20,Listas!$R:$R,0)),""))</f>
        <v/>
      </c>
      <c r="F20" s="5"/>
      <c r="G20" s="5"/>
      <c r="H20" s="5"/>
      <c r="I20" s="18"/>
      <c r="J20" s="5"/>
      <c r="K20" s="27"/>
      <c r="L20" s="5"/>
    </row>
    <row r="21" customFormat="false" ht="15" hidden="false" customHeight="false" outlineLevel="0" collapsed="false">
      <c r="A21" s="27"/>
      <c r="B21" s="5"/>
      <c r="C21" s="5"/>
      <c r="D21" s="5"/>
      <c r="E21" s="19" t="str">
        <f aca="false">IF(C21="","",IFERROR(INDEX(Listas!$S:$S,MATCH(C21,Listas!$R:$R,0)),""))</f>
        <v/>
      </c>
      <c r="F21" s="5"/>
      <c r="G21" s="5"/>
      <c r="H21" s="5"/>
      <c r="I21" s="18"/>
      <c r="J21" s="5"/>
      <c r="K21" s="27"/>
      <c r="L21" s="5"/>
    </row>
    <row r="22" customFormat="false" ht="15" hidden="false" customHeight="false" outlineLevel="0" collapsed="false">
      <c r="A22" s="27"/>
      <c r="B22" s="5"/>
      <c r="C22" s="5"/>
      <c r="D22" s="5"/>
      <c r="E22" s="19" t="str">
        <f aca="false">IF(C22="","",IFERROR(INDEX(Listas!$S:$S,MATCH(C22,Listas!$R:$R,0)),""))</f>
        <v/>
      </c>
      <c r="F22" s="5"/>
      <c r="G22" s="5"/>
      <c r="H22" s="5"/>
      <c r="I22" s="18"/>
      <c r="J22" s="5"/>
      <c r="K22" s="27"/>
      <c r="L22" s="5"/>
    </row>
    <row r="23" customFormat="false" ht="15" hidden="false" customHeight="false" outlineLevel="0" collapsed="false">
      <c r="A23" s="27"/>
      <c r="B23" s="5"/>
      <c r="C23" s="5"/>
      <c r="D23" s="5"/>
      <c r="E23" s="19" t="str">
        <f aca="false">IF(C23="","",IFERROR(INDEX(Listas!$S:$S,MATCH(C23,Listas!$R:$R,0)),""))</f>
        <v/>
      </c>
      <c r="F23" s="5"/>
      <c r="G23" s="5"/>
      <c r="H23" s="5"/>
      <c r="I23" s="18"/>
      <c r="J23" s="5"/>
      <c r="K23" s="27"/>
      <c r="L23" s="5"/>
    </row>
    <row r="24" customFormat="false" ht="15" hidden="false" customHeight="false" outlineLevel="0" collapsed="false">
      <c r="A24" s="27"/>
      <c r="B24" s="5"/>
      <c r="C24" s="5"/>
      <c r="D24" s="5"/>
      <c r="E24" s="19" t="str">
        <f aca="false">IF(C24="","",IFERROR(INDEX(Listas!$S:$S,MATCH(C24,Listas!$R:$R,0)),""))</f>
        <v/>
      </c>
      <c r="F24" s="5"/>
      <c r="G24" s="5"/>
      <c r="H24" s="5"/>
      <c r="I24" s="18"/>
      <c r="J24" s="5"/>
      <c r="K24" s="27"/>
      <c r="L24" s="5"/>
    </row>
    <row r="25" customFormat="false" ht="15" hidden="false" customHeight="false" outlineLevel="0" collapsed="false">
      <c r="A25" s="27"/>
      <c r="B25" s="5"/>
      <c r="C25" s="5"/>
      <c r="D25" s="5"/>
      <c r="E25" s="19" t="str">
        <f aca="false">IF(C25="","",IFERROR(INDEX(Listas!$S:$S,MATCH(C25,Listas!$R:$R,0)),""))</f>
        <v/>
      </c>
      <c r="F25" s="5"/>
      <c r="G25" s="5"/>
      <c r="H25" s="5"/>
      <c r="I25" s="18"/>
      <c r="J25" s="5"/>
      <c r="K25" s="27"/>
      <c r="L25" s="5"/>
    </row>
    <row r="26" customFormat="false" ht="15" hidden="false" customHeight="false" outlineLevel="0" collapsed="false">
      <c r="A26" s="27"/>
      <c r="B26" s="5"/>
      <c r="C26" s="5"/>
      <c r="D26" s="5"/>
      <c r="E26" s="19" t="str">
        <f aca="false">IF(C26="","",IFERROR(INDEX(Listas!$S:$S,MATCH(C26,Listas!$R:$R,0)),""))</f>
        <v/>
      </c>
      <c r="F26" s="5"/>
      <c r="G26" s="5"/>
      <c r="H26" s="5"/>
      <c r="I26" s="18"/>
      <c r="J26" s="5"/>
      <c r="K26" s="27"/>
      <c r="L26" s="5"/>
    </row>
    <row r="27" customFormat="false" ht="15" hidden="false" customHeight="false" outlineLevel="0" collapsed="false">
      <c r="A27" s="27"/>
      <c r="B27" s="5"/>
      <c r="C27" s="5"/>
      <c r="D27" s="5"/>
      <c r="E27" s="19" t="str">
        <f aca="false">IF(C27="","",IFERROR(INDEX(Listas!$S:$S,MATCH(C27,Listas!$R:$R,0)),""))</f>
        <v/>
      </c>
      <c r="F27" s="5"/>
      <c r="G27" s="5"/>
      <c r="H27" s="5"/>
      <c r="I27" s="18"/>
      <c r="J27" s="5"/>
      <c r="K27" s="27"/>
      <c r="L27" s="5"/>
    </row>
    <row r="28" customFormat="false" ht="15" hidden="false" customHeight="false" outlineLevel="0" collapsed="false">
      <c r="A28" s="27"/>
      <c r="B28" s="5"/>
      <c r="C28" s="5"/>
      <c r="D28" s="5"/>
      <c r="E28" s="19" t="str">
        <f aca="false">IF(C28="","",IFERROR(INDEX(Listas!$S:$S,MATCH(C28,Listas!$R:$R,0)),""))</f>
        <v/>
      </c>
      <c r="F28" s="5"/>
      <c r="G28" s="5"/>
      <c r="H28" s="5"/>
      <c r="I28" s="18"/>
      <c r="J28" s="5"/>
      <c r="K28" s="27"/>
      <c r="L28" s="5"/>
    </row>
    <row r="29" customFormat="false" ht="15" hidden="false" customHeight="false" outlineLevel="0" collapsed="false">
      <c r="A29" s="27"/>
      <c r="B29" s="5"/>
      <c r="C29" s="5"/>
      <c r="D29" s="5"/>
      <c r="E29" s="19" t="str">
        <f aca="false">IF(C29="","",IFERROR(INDEX(Listas!$S:$S,MATCH(C29,Listas!$R:$R,0)),""))</f>
        <v/>
      </c>
      <c r="F29" s="5"/>
      <c r="G29" s="5"/>
      <c r="H29" s="5"/>
      <c r="I29" s="18"/>
      <c r="J29" s="5"/>
      <c r="K29" s="27"/>
      <c r="L29" s="5"/>
    </row>
    <row r="30" customFormat="false" ht="15" hidden="false" customHeight="false" outlineLevel="0" collapsed="false">
      <c r="A30" s="27"/>
      <c r="B30" s="5"/>
      <c r="C30" s="5"/>
      <c r="D30" s="5"/>
      <c r="E30" s="19" t="str">
        <f aca="false">IF(C30="","",IFERROR(INDEX(Listas!$S:$S,MATCH(C30,Listas!$R:$R,0)),""))</f>
        <v/>
      </c>
      <c r="F30" s="5"/>
      <c r="G30" s="5"/>
      <c r="H30" s="5"/>
      <c r="I30" s="18"/>
      <c r="J30" s="5"/>
      <c r="K30" s="27"/>
      <c r="L30" s="5"/>
    </row>
    <row r="31" customFormat="false" ht="15" hidden="false" customHeight="false" outlineLevel="0" collapsed="false">
      <c r="A31" s="27"/>
      <c r="B31" s="5"/>
      <c r="C31" s="5"/>
      <c r="D31" s="5"/>
      <c r="E31" s="19" t="str">
        <f aca="false">IF(C31="","",IFERROR(INDEX(Listas!$S:$S,MATCH(C31,Listas!$R:$R,0)),""))</f>
        <v/>
      </c>
      <c r="F31" s="5"/>
      <c r="G31" s="5"/>
      <c r="H31" s="5"/>
      <c r="I31" s="18"/>
      <c r="J31" s="5"/>
      <c r="K31" s="27"/>
      <c r="L31" s="5"/>
    </row>
    <row r="32" customFormat="false" ht="15" hidden="false" customHeight="false" outlineLevel="0" collapsed="false">
      <c r="A32" s="27"/>
      <c r="B32" s="5"/>
      <c r="C32" s="5"/>
      <c r="D32" s="5"/>
      <c r="E32" s="19" t="str">
        <f aca="false">IF(C32="","",IFERROR(INDEX(Listas!$S:$S,MATCH(C32,Listas!$R:$R,0)),""))</f>
        <v/>
      </c>
      <c r="F32" s="5"/>
      <c r="G32" s="5"/>
      <c r="H32" s="5"/>
      <c r="I32" s="18"/>
      <c r="J32" s="5"/>
      <c r="K32" s="27"/>
      <c r="L32" s="5"/>
    </row>
    <row r="33" customFormat="false" ht="15" hidden="false" customHeight="false" outlineLevel="0" collapsed="false">
      <c r="A33" s="27"/>
      <c r="B33" s="5"/>
      <c r="C33" s="5"/>
      <c r="D33" s="5"/>
      <c r="E33" s="19" t="str">
        <f aca="false">IF(C33="","",IFERROR(INDEX(Listas!$S:$S,MATCH(C33,Listas!$R:$R,0)),""))</f>
        <v/>
      </c>
      <c r="F33" s="5"/>
      <c r="G33" s="5"/>
      <c r="H33" s="5"/>
      <c r="I33" s="18"/>
      <c r="J33" s="5"/>
      <c r="K33" s="27"/>
      <c r="L33" s="5"/>
    </row>
    <row r="34" customFormat="false" ht="15" hidden="false" customHeight="false" outlineLevel="0" collapsed="false">
      <c r="A34" s="27"/>
      <c r="B34" s="5"/>
      <c r="C34" s="5"/>
      <c r="D34" s="5"/>
      <c r="E34" s="19" t="str">
        <f aca="false">IF(C34="","",IFERROR(INDEX(Listas!$S:$S,MATCH(C34,Listas!$R:$R,0)),""))</f>
        <v/>
      </c>
      <c r="F34" s="5"/>
      <c r="G34" s="5"/>
      <c r="H34" s="5"/>
      <c r="I34" s="18"/>
      <c r="J34" s="5"/>
      <c r="K34" s="27"/>
      <c r="L34" s="5"/>
    </row>
    <row r="35" customFormat="false" ht="15" hidden="false" customHeight="false" outlineLevel="0" collapsed="false">
      <c r="A35" s="27"/>
      <c r="B35" s="5"/>
      <c r="C35" s="5"/>
      <c r="D35" s="5"/>
      <c r="E35" s="19" t="str">
        <f aca="false">IF(C35="","",IFERROR(INDEX(Listas!$S:$S,MATCH(C35,Listas!$R:$R,0)),""))</f>
        <v/>
      </c>
      <c r="F35" s="5"/>
      <c r="G35" s="5"/>
      <c r="H35" s="5"/>
      <c r="I35" s="18"/>
      <c r="J35" s="5"/>
      <c r="K35" s="27"/>
      <c r="L35" s="5"/>
    </row>
    <row r="36" customFormat="false" ht="15" hidden="false" customHeight="false" outlineLevel="0" collapsed="false">
      <c r="A36" s="27"/>
      <c r="B36" s="5"/>
      <c r="C36" s="5"/>
      <c r="D36" s="5"/>
      <c r="E36" s="19" t="str">
        <f aca="false">IF(C36="","",IFERROR(INDEX(Listas!$S:$S,MATCH(C36,Listas!$R:$R,0)),""))</f>
        <v/>
      </c>
      <c r="F36" s="5"/>
      <c r="G36" s="5"/>
      <c r="H36" s="5"/>
      <c r="I36" s="18"/>
      <c r="J36" s="5"/>
      <c r="K36" s="27"/>
      <c r="L36" s="5"/>
    </row>
    <row r="37" customFormat="false" ht="15" hidden="false" customHeight="false" outlineLevel="0" collapsed="false">
      <c r="A37" s="27"/>
      <c r="B37" s="5"/>
      <c r="C37" s="5"/>
      <c r="D37" s="5"/>
      <c r="E37" s="19" t="str">
        <f aca="false">IF(C37="","",IFERROR(INDEX(Listas!$S:$S,MATCH(C37,Listas!$R:$R,0)),""))</f>
        <v/>
      </c>
      <c r="F37" s="5"/>
      <c r="G37" s="5"/>
      <c r="H37" s="5"/>
      <c r="I37" s="18"/>
      <c r="J37" s="5"/>
      <c r="K37" s="27"/>
      <c r="L37" s="5"/>
    </row>
    <row r="38" customFormat="false" ht="15" hidden="false" customHeight="false" outlineLevel="0" collapsed="false">
      <c r="A38" s="27"/>
      <c r="B38" s="5"/>
      <c r="C38" s="5"/>
      <c r="D38" s="5"/>
      <c r="E38" s="19" t="str">
        <f aca="false">IF(C38="","",IFERROR(INDEX(Listas!$S:$S,MATCH(C38,Listas!$R:$R,0)),""))</f>
        <v/>
      </c>
      <c r="F38" s="5"/>
      <c r="G38" s="5"/>
      <c r="H38" s="5"/>
      <c r="I38" s="18"/>
      <c r="J38" s="5"/>
      <c r="K38" s="27"/>
      <c r="L38" s="5"/>
    </row>
    <row r="39" customFormat="false" ht="15" hidden="false" customHeight="false" outlineLevel="0" collapsed="false">
      <c r="A39" s="27"/>
      <c r="B39" s="5"/>
      <c r="C39" s="5"/>
      <c r="D39" s="5"/>
      <c r="E39" s="19" t="str">
        <f aca="false">IF(C39="","",IFERROR(INDEX(Listas!$S:$S,MATCH(C39,Listas!$R:$R,0)),""))</f>
        <v/>
      </c>
      <c r="F39" s="5"/>
      <c r="G39" s="5"/>
      <c r="H39" s="5"/>
      <c r="I39" s="18"/>
      <c r="J39" s="5"/>
      <c r="K39" s="27"/>
      <c r="L39" s="5"/>
    </row>
    <row r="40" customFormat="false" ht="15" hidden="false" customHeight="false" outlineLevel="0" collapsed="false">
      <c r="A40" s="27"/>
      <c r="B40" s="5"/>
      <c r="C40" s="5"/>
      <c r="D40" s="5"/>
      <c r="E40" s="19" t="str">
        <f aca="false">IF(C40="","",IFERROR(INDEX(Listas!$S:$S,MATCH(C40,Listas!$R:$R,0)),""))</f>
        <v/>
      </c>
      <c r="F40" s="5"/>
      <c r="G40" s="5"/>
      <c r="H40" s="5"/>
      <c r="I40" s="18"/>
      <c r="J40" s="5"/>
      <c r="K40" s="27"/>
      <c r="L40" s="5"/>
    </row>
    <row r="41" customFormat="false" ht="15" hidden="false" customHeight="false" outlineLevel="0" collapsed="false">
      <c r="A41" s="27"/>
      <c r="B41" s="5"/>
      <c r="C41" s="5"/>
      <c r="D41" s="5"/>
      <c r="E41" s="19" t="str">
        <f aca="false">IF(C41="","",IFERROR(INDEX(Listas!$S:$S,MATCH(C41,Listas!$R:$R,0)),""))</f>
        <v/>
      </c>
      <c r="F41" s="5"/>
      <c r="G41" s="5"/>
      <c r="H41" s="5"/>
      <c r="I41" s="18"/>
      <c r="J41" s="5"/>
      <c r="K41" s="27"/>
      <c r="L41" s="5"/>
    </row>
    <row r="42" customFormat="false" ht="15" hidden="false" customHeight="false" outlineLevel="0" collapsed="false">
      <c r="A42" s="27"/>
      <c r="B42" s="5"/>
      <c r="C42" s="5"/>
      <c r="D42" s="5"/>
      <c r="E42" s="19" t="str">
        <f aca="false">IF(C42="","",IFERROR(INDEX(Listas!$S:$S,MATCH(C42,Listas!$R:$R,0)),""))</f>
        <v/>
      </c>
      <c r="F42" s="5"/>
      <c r="G42" s="5"/>
      <c r="H42" s="5"/>
      <c r="I42" s="18"/>
      <c r="J42" s="5"/>
      <c r="K42" s="27"/>
      <c r="L42" s="5"/>
    </row>
    <row r="43" customFormat="false" ht="15" hidden="false" customHeight="false" outlineLevel="0" collapsed="false">
      <c r="A43" s="27"/>
      <c r="B43" s="5"/>
      <c r="C43" s="5"/>
      <c r="D43" s="5"/>
      <c r="E43" s="19" t="str">
        <f aca="false">IF(C43="","",IFERROR(INDEX(Listas!$S:$S,MATCH(C43,Listas!$R:$R,0)),""))</f>
        <v/>
      </c>
      <c r="F43" s="5"/>
      <c r="G43" s="5"/>
      <c r="H43" s="5"/>
      <c r="I43" s="18"/>
      <c r="J43" s="5"/>
      <c r="K43" s="27"/>
      <c r="L43" s="5"/>
    </row>
    <row r="44" customFormat="false" ht="15" hidden="false" customHeight="false" outlineLevel="0" collapsed="false">
      <c r="A44" s="27"/>
      <c r="B44" s="5"/>
      <c r="C44" s="5"/>
      <c r="D44" s="5"/>
      <c r="E44" s="19" t="str">
        <f aca="false">IF(C44="","",IFERROR(INDEX(Listas!$S:$S,MATCH(C44,Listas!$R:$R,0)),""))</f>
        <v/>
      </c>
      <c r="F44" s="5"/>
      <c r="G44" s="5"/>
      <c r="H44" s="5"/>
      <c r="I44" s="18"/>
      <c r="J44" s="5"/>
      <c r="K44" s="27"/>
      <c r="L44" s="5"/>
    </row>
    <row r="45" customFormat="false" ht="15" hidden="false" customHeight="false" outlineLevel="0" collapsed="false">
      <c r="A45" s="27"/>
      <c r="B45" s="5"/>
      <c r="C45" s="5"/>
      <c r="D45" s="5"/>
      <c r="E45" s="19" t="str">
        <f aca="false">IF(C45="","",IFERROR(INDEX(Listas!$S:$S,MATCH(C45,Listas!$R:$R,0)),""))</f>
        <v/>
      </c>
      <c r="F45" s="5"/>
      <c r="G45" s="5"/>
      <c r="H45" s="5"/>
      <c r="I45" s="18"/>
      <c r="J45" s="5"/>
      <c r="K45" s="27"/>
      <c r="L45" s="5"/>
    </row>
    <row r="46" customFormat="false" ht="15" hidden="false" customHeight="false" outlineLevel="0" collapsed="false">
      <c r="A46" s="27"/>
      <c r="B46" s="5"/>
      <c r="C46" s="5"/>
      <c r="D46" s="5"/>
      <c r="E46" s="19" t="str">
        <f aca="false">IF(C46="","",IFERROR(INDEX(Listas!$S:$S,MATCH(C46,Listas!$R:$R,0)),""))</f>
        <v/>
      </c>
      <c r="F46" s="5"/>
      <c r="G46" s="5"/>
      <c r="H46" s="5"/>
      <c r="I46" s="18"/>
      <c r="J46" s="5"/>
      <c r="K46" s="27"/>
      <c r="L46" s="5"/>
    </row>
    <row r="47" customFormat="false" ht="15" hidden="false" customHeight="false" outlineLevel="0" collapsed="false">
      <c r="A47" s="27"/>
      <c r="B47" s="5"/>
      <c r="C47" s="5"/>
      <c r="D47" s="5"/>
      <c r="E47" s="19" t="str">
        <f aca="false">IF(C47="","",IFERROR(INDEX(Listas!$S:$S,MATCH(C47,Listas!$R:$R,0)),""))</f>
        <v/>
      </c>
      <c r="F47" s="5"/>
      <c r="G47" s="5"/>
      <c r="H47" s="5"/>
      <c r="I47" s="18"/>
      <c r="J47" s="5"/>
      <c r="K47" s="27"/>
      <c r="L47" s="5"/>
    </row>
    <row r="48" customFormat="false" ht="15" hidden="false" customHeight="false" outlineLevel="0" collapsed="false">
      <c r="A48" s="27"/>
      <c r="B48" s="5"/>
      <c r="C48" s="5"/>
      <c r="D48" s="5"/>
      <c r="E48" s="19" t="str">
        <f aca="false">IF(C48="","",IFERROR(INDEX(Listas!$S:$S,MATCH(C48,Listas!$R:$R,0)),""))</f>
        <v/>
      </c>
      <c r="F48" s="5"/>
      <c r="G48" s="5"/>
      <c r="H48" s="5"/>
      <c r="I48" s="18"/>
      <c r="J48" s="5"/>
      <c r="K48" s="27"/>
      <c r="L48" s="5"/>
    </row>
    <row r="49" customFormat="false" ht="15" hidden="false" customHeight="false" outlineLevel="0" collapsed="false">
      <c r="A49" s="27"/>
      <c r="B49" s="5"/>
      <c r="C49" s="5"/>
      <c r="D49" s="5"/>
      <c r="E49" s="19" t="str">
        <f aca="false">IF(C49="","",IFERROR(INDEX(Listas!$S:$S,MATCH(C49,Listas!$R:$R,0)),""))</f>
        <v/>
      </c>
      <c r="F49" s="5"/>
      <c r="G49" s="5"/>
      <c r="H49" s="5"/>
      <c r="I49" s="18"/>
      <c r="J49" s="5"/>
      <c r="K49" s="27"/>
      <c r="L49" s="5"/>
    </row>
    <row r="50" customFormat="false" ht="15" hidden="false" customHeight="false" outlineLevel="0" collapsed="false">
      <c r="A50" s="27"/>
      <c r="B50" s="5"/>
      <c r="C50" s="5"/>
      <c r="D50" s="5"/>
      <c r="E50" s="19" t="str">
        <f aca="false">IF(C50="","",IFERROR(INDEX(Listas!$S:$S,MATCH(C50,Listas!$R:$R,0)),""))</f>
        <v/>
      </c>
      <c r="F50" s="5"/>
      <c r="G50" s="5"/>
      <c r="H50" s="5"/>
      <c r="I50" s="18"/>
      <c r="J50" s="5"/>
      <c r="K50" s="27"/>
      <c r="L50" s="5"/>
    </row>
    <row r="51" customFormat="false" ht="15" hidden="false" customHeight="false" outlineLevel="0" collapsed="false">
      <c r="A51" s="27"/>
      <c r="B51" s="5"/>
      <c r="C51" s="5"/>
      <c r="D51" s="5"/>
      <c r="E51" s="19" t="str">
        <f aca="false">IF(C51="","",IFERROR(INDEX(Listas!$S:$S,MATCH(C51,Listas!$R:$R,0)),""))</f>
        <v/>
      </c>
      <c r="F51" s="5"/>
      <c r="G51" s="5"/>
      <c r="H51" s="5"/>
      <c r="I51" s="18"/>
      <c r="J51" s="5"/>
      <c r="K51" s="27"/>
      <c r="L51" s="5"/>
    </row>
    <row r="52" customFormat="false" ht="15" hidden="false" customHeight="false" outlineLevel="0" collapsed="false">
      <c r="A52" s="27"/>
      <c r="B52" s="5"/>
      <c r="C52" s="5"/>
      <c r="D52" s="5"/>
      <c r="E52" s="19" t="str">
        <f aca="false">IF(C52="","",IFERROR(INDEX(Listas!$S:$S,MATCH(C52,Listas!$R:$R,0)),""))</f>
        <v/>
      </c>
      <c r="F52" s="5"/>
      <c r="G52" s="5"/>
      <c r="H52" s="5"/>
      <c r="I52" s="18"/>
      <c r="J52" s="5"/>
      <c r="K52" s="27"/>
      <c r="L52" s="5"/>
    </row>
    <row r="53" customFormat="false" ht="15" hidden="false" customHeight="false" outlineLevel="0" collapsed="false">
      <c r="A53" s="27"/>
      <c r="B53" s="5"/>
      <c r="C53" s="5"/>
      <c r="D53" s="5"/>
      <c r="E53" s="19" t="str">
        <f aca="false">IF(C53="","",IFERROR(INDEX(Listas!$S:$S,MATCH(C53,Listas!$R:$R,0)),""))</f>
        <v/>
      </c>
      <c r="F53" s="5"/>
      <c r="G53" s="5"/>
      <c r="H53" s="5"/>
      <c r="I53" s="18"/>
      <c r="J53" s="5"/>
      <c r="K53" s="27"/>
      <c r="L53" s="5"/>
    </row>
    <row r="54" customFormat="false" ht="15" hidden="false" customHeight="false" outlineLevel="0" collapsed="false">
      <c r="A54" s="27"/>
      <c r="B54" s="5"/>
      <c r="C54" s="5"/>
      <c r="D54" s="5"/>
      <c r="E54" s="19" t="str">
        <f aca="false">IF(C54="","",IFERROR(INDEX(Listas!$S:$S,MATCH(C54,Listas!$R:$R,0)),""))</f>
        <v/>
      </c>
      <c r="F54" s="5"/>
      <c r="G54" s="5"/>
      <c r="H54" s="5"/>
      <c r="I54" s="18"/>
      <c r="J54" s="5"/>
      <c r="K54" s="27"/>
      <c r="L54" s="5"/>
    </row>
    <row r="55" customFormat="false" ht="15" hidden="false" customHeight="false" outlineLevel="0" collapsed="false">
      <c r="A55" s="27"/>
      <c r="B55" s="5"/>
      <c r="C55" s="5"/>
      <c r="D55" s="5"/>
      <c r="E55" s="19" t="str">
        <f aca="false">IF(C55="","",IFERROR(INDEX(Listas!$S:$S,MATCH(C55,Listas!$R:$R,0)),""))</f>
        <v/>
      </c>
      <c r="F55" s="5"/>
      <c r="G55" s="5"/>
      <c r="H55" s="5"/>
      <c r="I55" s="18"/>
      <c r="J55" s="5"/>
      <c r="K55" s="27"/>
      <c r="L55" s="5"/>
    </row>
    <row r="56" customFormat="false" ht="15" hidden="false" customHeight="false" outlineLevel="0" collapsed="false">
      <c r="A56" s="27"/>
      <c r="B56" s="5"/>
      <c r="C56" s="5"/>
      <c r="D56" s="5"/>
      <c r="E56" s="19" t="str">
        <f aca="false">IF(C56="","",IFERROR(INDEX(Listas!$S:$S,MATCH(C56,Listas!$R:$R,0)),""))</f>
        <v/>
      </c>
      <c r="F56" s="5"/>
      <c r="G56" s="5"/>
      <c r="H56" s="5"/>
      <c r="I56" s="18"/>
      <c r="J56" s="5"/>
      <c r="K56" s="27"/>
      <c r="L56" s="5"/>
    </row>
    <row r="57" customFormat="false" ht="15" hidden="false" customHeight="false" outlineLevel="0" collapsed="false">
      <c r="A57" s="27"/>
      <c r="B57" s="5"/>
      <c r="C57" s="5"/>
      <c r="D57" s="5"/>
      <c r="E57" s="19" t="str">
        <f aca="false">IF(C57="","",IFERROR(INDEX(Listas!$S:$S,MATCH(C57,Listas!$R:$R,0)),""))</f>
        <v/>
      </c>
      <c r="F57" s="5"/>
      <c r="G57" s="5"/>
      <c r="H57" s="5"/>
      <c r="I57" s="18"/>
      <c r="J57" s="5"/>
      <c r="K57" s="27"/>
      <c r="L57" s="5"/>
    </row>
    <row r="58" customFormat="false" ht="15" hidden="false" customHeight="false" outlineLevel="0" collapsed="false">
      <c r="A58" s="27"/>
      <c r="B58" s="5"/>
      <c r="C58" s="5"/>
      <c r="D58" s="5"/>
      <c r="E58" s="19" t="str">
        <f aca="false">IF(C58="","",IFERROR(INDEX(Listas!$S:$S,MATCH(C58,Listas!$R:$R,0)),""))</f>
        <v/>
      </c>
      <c r="F58" s="5"/>
      <c r="G58" s="5"/>
      <c r="H58" s="5"/>
      <c r="I58" s="18"/>
      <c r="J58" s="5"/>
      <c r="K58" s="27"/>
      <c r="L58" s="5"/>
    </row>
    <row r="59" customFormat="false" ht="15" hidden="false" customHeight="false" outlineLevel="0" collapsed="false">
      <c r="A59" s="27"/>
      <c r="B59" s="5"/>
      <c r="C59" s="5"/>
      <c r="D59" s="5"/>
      <c r="E59" s="19" t="str">
        <f aca="false">IF(C59="","",IFERROR(INDEX(Listas!$S:$S,MATCH(C59,Listas!$R:$R,0)),""))</f>
        <v/>
      </c>
      <c r="F59" s="5"/>
      <c r="G59" s="5"/>
      <c r="H59" s="5"/>
      <c r="I59" s="18"/>
      <c r="J59" s="5"/>
      <c r="K59" s="27"/>
      <c r="L59" s="5"/>
    </row>
    <row r="60" customFormat="false" ht="15" hidden="false" customHeight="false" outlineLevel="0" collapsed="false">
      <c r="A60" s="27"/>
      <c r="B60" s="5"/>
      <c r="C60" s="5"/>
      <c r="D60" s="5"/>
      <c r="E60" s="19" t="str">
        <f aca="false">IF(C60="","",IFERROR(INDEX(Listas!$S:$S,MATCH(C60,Listas!$R:$R,0)),""))</f>
        <v/>
      </c>
      <c r="F60" s="5"/>
      <c r="G60" s="5"/>
      <c r="H60" s="5"/>
      <c r="I60" s="18"/>
      <c r="J60" s="5"/>
      <c r="K60" s="27"/>
      <c r="L60" s="5"/>
    </row>
    <row r="61" customFormat="false" ht="15" hidden="false" customHeight="false" outlineLevel="0" collapsed="false">
      <c r="A61" s="27"/>
      <c r="B61" s="5"/>
      <c r="C61" s="5"/>
      <c r="D61" s="5"/>
      <c r="E61" s="19" t="str">
        <f aca="false">IF(C61="","",IFERROR(INDEX(Listas!$S:$S,MATCH(C61,Listas!$R:$R,0)),""))</f>
        <v/>
      </c>
      <c r="F61" s="5"/>
      <c r="G61" s="5"/>
      <c r="H61" s="5"/>
      <c r="I61" s="18"/>
      <c r="J61" s="5"/>
      <c r="K61" s="27"/>
      <c r="L61" s="5"/>
    </row>
    <row r="62" customFormat="false" ht="15" hidden="false" customHeight="false" outlineLevel="0" collapsed="false">
      <c r="A62" s="27"/>
      <c r="B62" s="5"/>
      <c r="C62" s="5"/>
      <c r="D62" s="5"/>
      <c r="E62" s="19" t="str">
        <f aca="false">IF(C62="","",IFERROR(INDEX(Listas!$S:$S,MATCH(C62,Listas!$R:$R,0)),""))</f>
        <v/>
      </c>
      <c r="F62" s="5"/>
      <c r="G62" s="5"/>
      <c r="H62" s="5"/>
      <c r="I62" s="18"/>
      <c r="J62" s="5"/>
      <c r="K62" s="27"/>
      <c r="L62" s="5"/>
    </row>
    <row r="63" customFormat="false" ht="15" hidden="false" customHeight="false" outlineLevel="0" collapsed="false">
      <c r="A63" s="27"/>
      <c r="B63" s="5"/>
      <c r="C63" s="5"/>
      <c r="D63" s="5"/>
      <c r="E63" s="19" t="str">
        <f aca="false">IF(C63="","",IFERROR(INDEX(Listas!$S:$S,MATCH(C63,Listas!$R:$R,0)),""))</f>
        <v/>
      </c>
      <c r="F63" s="5"/>
      <c r="G63" s="5"/>
      <c r="H63" s="5"/>
      <c r="I63" s="18"/>
      <c r="J63" s="5"/>
      <c r="K63" s="27"/>
      <c r="L63" s="5"/>
    </row>
    <row r="64" customFormat="false" ht="15" hidden="false" customHeight="false" outlineLevel="0" collapsed="false">
      <c r="A64" s="27"/>
      <c r="B64" s="5"/>
      <c r="C64" s="5"/>
      <c r="D64" s="5"/>
      <c r="E64" s="19" t="str">
        <f aca="false">IF(C64="","",IFERROR(INDEX(Listas!$S:$S,MATCH(C64,Listas!$R:$R,0)),""))</f>
        <v/>
      </c>
      <c r="F64" s="5"/>
      <c r="G64" s="5"/>
      <c r="H64" s="5"/>
      <c r="I64" s="18"/>
      <c r="J64" s="5"/>
      <c r="K64" s="27"/>
      <c r="L64" s="5"/>
    </row>
    <row r="65" customFormat="false" ht="15" hidden="false" customHeight="false" outlineLevel="0" collapsed="false">
      <c r="A65" s="27"/>
      <c r="B65" s="5"/>
      <c r="C65" s="5"/>
      <c r="D65" s="5"/>
      <c r="E65" s="19" t="str">
        <f aca="false">IF(C65="","",IFERROR(INDEX(Listas!$S:$S,MATCH(C65,Listas!$R:$R,0)),""))</f>
        <v/>
      </c>
      <c r="F65" s="5"/>
      <c r="G65" s="5"/>
      <c r="H65" s="5"/>
      <c r="I65" s="18"/>
      <c r="J65" s="5"/>
      <c r="K65" s="27"/>
      <c r="L65" s="5"/>
    </row>
    <row r="66" customFormat="false" ht="15" hidden="false" customHeight="false" outlineLevel="0" collapsed="false">
      <c r="A66" s="27"/>
      <c r="B66" s="5"/>
      <c r="C66" s="5"/>
      <c r="D66" s="5"/>
      <c r="E66" s="19" t="str">
        <f aca="false">IF(C66="","",IFERROR(INDEX(Listas!$S:$S,MATCH(C66,Listas!$R:$R,0)),""))</f>
        <v/>
      </c>
      <c r="F66" s="5"/>
      <c r="G66" s="5"/>
      <c r="H66" s="5"/>
      <c r="I66" s="18"/>
      <c r="J66" s="5"/>
      <c r="K66" s="27"/>
      <c r="L66" s="5"/>
    </row>
    <row r="67" customFormat="false" ht="15" hidden="false" customHeight="false" outlineLevel="0" collapsed="false">
      <c r="A67" s="27"/>
      <c r="B67" s="5"/>
      <c r="C67" s="5"/>
      <c r="D67" s="5"/>
      <c r="E67" s="19" t="str">
        <f aca="false">IF(C67="","",IFERROR(INDEX(Listas!$S:$S,MATCH(C67,Listas!$R:$R,0)),""))</f>
        <v/>
      </c>
      <c r="F67" s="5"/>
      <c r="G67" s="5"/>
      <c r="H67" s="5"/>
      <c r="I67" s="18"/>
      <c r="J67" s="5"/>
      <c r="K67" s="27"/>
      <c r="L67" s="5"/>
    </row>
    <row r="68" customFormat="false" ht="15" hidden="false" customHeight="false" outlineLevel="0" collapsed="false">
      <c r="A68" s="27"/>
      <c r="B68" s="5"/>
      <c r="C68" s="5"/>
      <c r="D68" s="5"/>
      <c r="E68" s="19" t="str">
        <f aca="false">IF(C68="","",IFERROR(INDEX(Listas!$S:$S,MATCH(C68,Listas!$R:$R,0)),""))</f>
        <v/>
      </c>
      <c r="F68" s="5"/>
      <c r="G68" s="5"/>
      <c r="H68" s="5"/>
      <c r="I68" s="18"/>
      <c r="J68" s="5"/>
      <c r="K68" s="27"/>
      <c r="L68" s="5"/>
    </row>
    <row r="69" customFormat="false" ht="15" hidden="false" customHeight="false" outlineLevel="0" collapsed="false">
      <c r="A69" s="27"/>
      <c r="B69" s="5"/>
      <c r="C69" s="5"/>
      <c r="D69" s="5"/>
      <c r="E69" s="19" t="str">
        <f aca="false">IF(C69="","",IFERROR(INDEX(Listas!$S:$S,MATCH(C69,Listas!$R:$R,0)),""))</f>
        <v/>
      </c>
      <c r="F69" s="5"/>
      <c r="G69" s="5"/>
      <c r="H69" s="5"/>
      <c r="I69" s="18"/>
      <c r="J69" s="5"/>
      <c r="K69" s="27"/>
      <c r="L69" s="5"/>
    </row>
    <row r="70" customFormat="false" ht="15" hidden="false" customHeight="false" outlineLevel="0" collapsed="false">
      <c r="A70" s="27"/>
      <c r="B70" s="5"/>
      <c r="C70" s="5"/>
      <c r="D70" s="5"/>
      <c r="E70" s="19" t="str">
        <f aca="false">IF(C70="","",IFERROR(INDEX(Listas!$S:$S,MATCH(C70,Listas!$R:$R,0)),""))</f>
        <v/>
      </c>
      <c r="F70" s="5"/>
      <c r="G70" s="5"/>
      <c r="H70" s="5"/>
      <c r="I70" s="18"/>
      <c r="J70" s="5"/>
      <c r="K70" s="27"/>
      <c r="L70" s="5"/>
    </row>
    <row r="71" customFormat="false" ht="15" hidden="false" customHeight="false" outlineLevel="0" collapsed="false">
      <c r="A71" s="27"/>
      <c r="B71" s="5"/>
      <c r="C71" s="5"/>
      <c r="D71" s="5"/>
      <c r="E71" s="19" t="str">
        <f aca="false">IF(C71="","",IFERROR(INDEX(Listas!$S:$S,MATCH(C71,Listas!$R:$R,0)),""))</f>
        <v/>
      </c>
      <c r="F71" s="5"/>
      <c r="G71" s="5"/>
      <c r="H71" s="5"/>
      <c r="I71" s="18"/>
      <c r="J71" s="5"/>
      <c r="K71" s="27"/>
      <c r="L71" s="5"/>
    </row>
    <row r="72" customFormat="false" ht="15" hidden="false" customHeight="false" outlineLevel="0" collapsed="false">
      <c r="A72" s="27"/>
      <c r="B72" s="5"/>
      <c r="C72" s="5"/>
      <c r="D72" s="5"/>
      <c r="E72" s="19" t="str">
        <f aca="false">IF(C72="","",IFERROR(INDEX(Listas!$S:$S,MATCH(C72,Listas!$R:$R,0)),""))</f>
        <v/>
      </c>
      <c r="F72" s="5"/>
      <c r="G72" s="5"/>
      <c r="H72" s="5"/>
      <c r="I72" s="18"/>
      <c r="J72" s="5"/>
      <c r="K72" s="27"/>
      <c r="L72" s="5"/>
    </row>
    <row r="73" customFormat="false" ht="15" hidden="false" customHeight="false" outlineLevel="0" collapsed="false">
      <c r="A73" s="27"/>
      <c r="B73" s="5"/>
      <c r="C73" s="5"/>
      <c r="D73" s="5"/>
      <c r="E73" s="19" t="str">
        <f aca="false">IF(C73="","",IFERROR(INDEX(Listas!$S:$S,MATCH(C73,Listas!$R:$R,0)),""))</f>
        <v/>
      </c>
      <c r="F73" s="5"/>
      <c r="G73" s="5"/>
      <c r="H73" s="5"/>
      <c r="I73" s="18"/>
      <c r="J73" s="5"/>
      <c r="K73" s="27"/>
      <c r="L73" s="5"/>
    </row>
    <row r="74" customFormat="false" ht="15" hidden="false" customHeight="false" outlineLevel="0" collapsed="false">
      <c r="A74" s="27"/>
      <c r="B74" s="5"/>
      <c r="C74" s="5"/>
      <c r="D74" s="5"/>
      <c r="E74" s="19" t="str">
        <f aca="false">IF(C74="","",IFERROR(INDEX(Listas!$S:$S,MATCH(C74,Listas!$R:$R,0)),""))</f>
        <v/>
      </c>
      <c r="F74" s="5"/>
      <c r="G74" s="5"/>
      <c r="H74" s="5"/>
      <c r="I74" s="18"/>
      <c r="J74" s="5"/>
      <c r="K74" s="27"/>
      <c r="L74" s="5"/>
    </row>
    <row r="75" customFormat="false" ht="15" hidden="false" customHeight="false" outlineLevel="0" collapsed="false">
      <c r="A75" s="27"/>
      <c r="B75" s="5"/>
      <c r="C75" s="5"/>
      <c r="D75" s="5"/>
      <c r="E75" s="19" t="str">
        <f aca="false">IF(C75="","",IFERROR(INDEX(Listas!$S:$S,MATCH(C75,Listas!$R:$R,0)),""))</f>
        <v/>
      </c>
      <c r="F75" s="5"/>
      <c r="G75" s="5"/>
      <c r="H75" s="5"/>
      <c r="I75" s="18"/>
      <c r="J75" s="5"/>
      <c r="K75" s="27"/>
      <c r="L75" s="5"/>
    </row>
    <row r="76" customFormat="false" ht="15" hidden="false" customHeight="false" outlineLevel="0" collapsed="false">
      <c r="A76" s="27"/>
      <c r="B76" s="5"/>
      <c r="C76" s="5"/>
      <c r="D76" s="5"/>
      <c r="E76" s="19" t="str">
        <f aca="false">IF(C76="","",IFERROR(INDEX(Listas!$S:$S,MATCH(C76,Listas!$R:$R,0)),""))</f>
        <v/>
      </c>
      <c r="F76" s="5"/>
      <c r="G76" s="5"/>
      <c r="H76" s="5"/>
      <c r="I76" s="18"/>
      <c r="J76" s="5"/>
      <c r="K76" s="27"/>
      <c r="L76" s="5"/>
    </row>
    <row r="77" customFormat="false" ht="15" hidden="false" customHeight="false" outlineLevel="0" collapsed="false">
      <c r="A77" s="27"/>
      <c r="B77" s="5"/>
      <c r="C77" s="5"/>
      <c r="D77" s="5"/>
      <c r="E77" s="19" t="str">
        <f aca="false">IF(C77="","",IFERROR(INDEX(Listas!$S:$S,MATCH(C77,Listas!$R:$R,0)),""))</f>
        <v/>
      </c>
      <c r="F77" s="5"/>
      <c r="G77" s="5"/>
      <c r="H77" s="5"/>
      <c r="I77" s="18"/>
      <c r="J77" s="5"/>
      <c r="K77" s="27"/>
      <c r="L77" s="5"/>
    </row>
    <row r="78" customFormat="false" ht="15" hidden="false" customHeight="false" outlineLevel="0" collapsed="false">
      <c r="A78" s="27"/>
      <c r="B78" s="5"/>
      <c r="C78" s="5"/>
      <c r="D78" s="5"/>
      <c r="E78" s="19" t="str">
        <f aca="false">IF(C78="","",IFERROR(INDEX(Listas!$S:$S,MATCH(C78,Listas!$R:$R,0)),""))</f>
        <v/>
      </c>
      <c r="F78" s="5"/>
      <c r="G78" s="5"/>
      <c r="H78" s="5"/>
      <c r="I78" s="18"/>
      <c r="J78" s="5"/>
      <c r="K78" s="27"/>
      <c r="L78" s="5"/>
    </row>
    <row r="79" customFormat="false" ht="15" hidden="false" customHeight="false" outlineLevel="0" collapsed="false">
      <c r="A79" s="27"/>
      <c r="B79" s="5"/>
      <c r="C79" s="5"/>
      <c r="D79" s="5"/>
      <c r="E79" s="19" t="str">
        <f aca="false">IF(C79="","",IFERROR(INDEX(Listas!$S:$S,MATCH(C79,Listas!$R:$R,0)),""))</f>
        <v/>
      </c>
      <c r="F79" s="5"/>
      <c r="G79" s="5"/>
      <c r="H79" s="5"/>
      <c r="I79" s="18"/>
      <c r="J79" s="5"/>
      <c r="K79" s="27"/>
      <c r="L79" s="5"/>
    </row>
    <row r="80" customFormat="false" ht="15" hidden="false" customHeight="false" outlineLevel="0" collapsed="false">
      <c r="A80" s="27"/>
      <c r="B80" s="5"/>
      <c r="C80" s="5"/>
      <c r="D80" s="5"/>
      <c r="E80" s="19" t="str">
        <f aca="false">IF(C80="","",IFERROR(INDEX(Listas!$S:$S,MATCH(C80,Listas!$R:$R,0)),""))</f>
        <v/>
      </c>
      <c r="F80" s="5"/>
      <c r="G80" s="5"/>
      <c r="H80" s="5"/>
      <c r="I80" s="18"/>
      <c r="J80" s="5"/>
      <c r="K80" s="27"/>
      <c r="L80" s="5"/>
    </row>
    <row r="81" customFormat="false" ht="15" hidden="false" customHeight="false" outlineLevel="0" collapsed="false">
      <c r="A81" s="27"/>
      <c r="B81" s="5"/>
      <c r="C81" s="5"/>
      <c r="D81" s="5"/>
      <c r="E81" s="19" t="str">
        <f aca="false">IF(C81="","",IFERROR(INDEX(Listas!$S:$S,MATCH(C81,Listas!$R:$R,0)),""))</f>
        <v/>
      </c>
      <c r="F81" s="5"/>
      <c r="G81" s="5"/>
      <c r="H81" s="5"/>
      <c r="I81" s="18"/>
      <c r="J81" s="5"/>
      <c r="K81" s="27"/>
      <c r="L81" s="5"/>
    </row>
    <row r="82" customFormat="false" ht="15" hidden="false" customHeight="false" outlineLevel="0" collapsed="false">
      <c r="A82" s="27"/>
      <c r="B82" s="5"/>
      <c r="C82" s="5"/>
      <c r="D82" s="5"/>
      <c r="E82" s="19" t="str">
        <f aca="false">IF(C82="","",IFERROR(INDEX(Listas!$S:$S,MATCH(C82,Listas!$R:$R,0)),""))</f>
        <v/>
      </c>
      <c r="F82" s="5"/>
      <c r="G82" s="5"/>
      <c r="H82" s="5"/>
      <c r="I82" s="18"/>
      <c r="J82" s="5"/>
      <c r="K82" s="27"/>
      <c r="L82" s="5"/>
    </row>
    <row r="83" customFormat="false" ht="15" hidden="false" customHeight="false" outlineLevel="0" collapsed="false">
      <c r="A83" s="27"/>
      <c r="B83" s="5"/>
      <c r="C83" s="5"/>
      <c r="D83" s="5"/>
      <c r="E83" s="19" t="str">
        <f aca="false">IF(C83="","",IFERROR(INDEX(Listas!$S:$S,MATCH(C83,Listas!$R:$R,0)),""))</f>
        <v/>
      </c>
      <c r="F83" s="5"/>
      <c r="G83" s="5"/>
      <c r="H83" s="5"/>
      <c r="I83" s="18"/>
      <c r="J83" s="5"/>
      <c r="K83" s="27"/>
      <c r="L83" s="5"/>
    </row>
    <row r="84" customFormat="false" ht="15" hidden="false" customHeight="false" outlineLevel="0" collapsed="false">
      <c r="A84" s="27"/>
      <c r="B84" s="5"/>
      <c r="C84" s="5"/>
      <c r="D84" s="5"/>
      <c r="E84" s="19" t="str">
        <f aca="false">IF(C84="","",IFERROR(INDEX(Listas!$S:$S,MATCH(C84,Listas!$R:$R,0)),""))</f>
        <v/>
      </c>
      <c r="F84" s="5"/>
      <c r="G84" s="5"/>
      <c r="H84" s="5"/>
      <c r="I84" s="18"/>
      <c r="J84" s="5"/>
      <c r="K84" s="27"/>
      <c r="L84" s="5"/>
    </row>
    <row r="85" customFormat="false" ht="15" hidden="false" customHeight="false" outlineLevel="0" collapsed="false">
      <c r="A85" s="27"/>
      <c r="B85" s="5"/>
      <c r="C85" s="5"/>
      <c r="D85" s="5"/>
      <c r="E85" s="19" t="str">
        <f aca="false">IF(C85="","",IFERROR(INDEX(Listas!$S:$S,MATCH(C85,Listas!$R:$R,0)),""))</f>
        <v/>
      </c>
      <c r="F85" s="5"/>
      <c r="G85" s="5"/>
      <c r="H85" s="5"/>
      <c r="I85" s="18"/>
      <c r="J85" s="5"/>
      <c r="K85" s="27"/>
      <c r="L85" s="5"/>
    </row>
    <row r="86" customFormat="false" ht="15" hidden="false" customHeight="false" outlineLevel="0" collapsed="false">
      <c r="A86" s="27"/>
      <c r="B86" s="5"/>
      <c r="C86" s="5"/>
      <c r="D86" s="5"/>
      <c r="E86" s="19" t="str">
        <f aca="false">IF(C86="","",IFERROR(INDEX(Listas!$S:$S,MATCH(C86,Listas!$R:$R,0)),""))</f>
        <v/>
      </c>
      <c r="F86" s="5"/>
      <c r="G86" s="5"/>
      <c r="H86" s="5"/>
      <c r="I86" s="18"/>
      <c r="J86" s="5"/>
      <c r="K86" s="27"/>
      <c r="L86" s="5"/>
    </row>
    <row r="87" customFormat="false" ht="15" hidden="false" customHeight="false" outlineLevel="0" collapsed="false">
      <c r="A87" s="27"/>
      <c r="B87" s="5"/>
      <c r="C87" s="5"/>
      <c r="D87" s="5"/>
      <c r="E87" s="19" t="str">
        <f aca="false">IF(C87="","",IFERROR(INDEX(Listas!$S:$S,MATCH(C87,Listas!$R:$R,0)),""))</f>
        <v/>
      </c>
      <c r="F87" s="5"/>
      <c r="G87" s="5"/>
      <c r="H87" s="5"/>
      <c r="I87" s="18"/>
      <c r="J87" s="5"/>
      <c r="K87" s="27"/>
      <c r="L87" s="5"/>
    </row>
    <row r="88" customFormat="false" ht="15" hidden="false" customHeight="false" outlineLevel="0" collapsed="false">
      <c r="A88" s="27"/>
      <c r="B88" s="5"/>
      <c r="C88" s="5"/>
      <c r="D88" s="5"/>
      <c r="E88" s="19" t="str">
        <f aca="false">IF(C88="","",IFERROR(INDEX(Listas!$S:$S,MATCH(C88,Listas!$R:$R,0)),""))</f>
        <v/>
      </c>
      <c r="F88" s="5"/>
      <c r="G88" s="5"/>
      <c r="H88" s="5"/>
      <c r="I88" s="18"/>
      <c r="J88" s="5"/>
      <c r="K88" s="27"/>
      <c r="L88" s="5"/>
    </row>
    <row r="89" customFormat="false" ht="15" hidden="false" customHeight="false" outlineLevel="0" collapsed="false">
      <c r="A89" s="27"/>
      <c r="B89" s="5"/>
      <c r="C89" s="5"/>
      <c r="D89" s="5"/>
      <c r="E89" s="19" t="str">
        <f aca="false">IF(C89="","",IFERROR(INDEX(Listas!$S:$S,MATCH(C89,Listas!$R:$R,0)),""))</f>
        <v/>
      </c>
      <c r="F89" s="5"/>
      <c r="G89" s="5"/>
      <c r="H89" s="5"/>
      <c r="I89" s="18"/>
      <c r="J89" s="5"/>
      <c r="K89" s="27"/>
      <c r="L89" s="5"/>
    </row>
    <row r="90" customFormat="false" ht="15" hidden="false" customHeight="false" outlineLevel="0" collapsed="false">
      <c r="A90" s="27"/>
      <c r="B90" s="5"/>
      <c r="C90" s="5"/>
      <c r="D90" s="5"/>
      <c r="E90" s="19" t="str">
        <f aca="false">IF(C90="","",IFERROR(INDEX(Listas!$S:$S,MATCH(C90,Listas!$R:$R,0)),""))</f>
        <v/>
      </c>
      <c r="F90" s="5"/>
      <c r="G90" s="5"/>
      <c r="H90" s="5"/>
      <c r="I90" s="18"/>
      <c r="J90" s="5"/>
      <c r="K90" s="27"/>
      <c r="L90" s="5"/>
    </row>
    <row r="91" customFormat="false" ht="15" hidden="false" customHeight="false" outlineLevel="0" collapsed="false">
      <c r="A91" s="27"/>
      <c r="B91" s="5"/>
      <c r="C91" s="5"/>
      <c r="D91" s="5"/>
      <c r="E91" s="19" t="str">
        <f aca="false">IF(C91="","",IFERROR(INDEX(Listas!$S:$S,MATCH(C91,Listas!$R:$R,0)),""))</f>
        <v/>
      </c>
      <c r="F91" s="5"/>
      <c r="G91" s="5"/>
      <c r="H91" s="5"/>
      <c r="I91" s="18"/>
      <c r="J91" s="5"/>
      <c r="K91" s="27"/>
      <c r="L91" s="5"/>
    </row>
    <row r="92" customFormat="false" ht="15" hidden="false" customHeight="false" outlineLevel="0" collapsed="false">
      <c r="A92" s="27"/>
      <c r="B92" s="5"/>
      <c r="C92" s="5"/>
      <c r="D92" s="5"/>
      <c r="E92" s="19" t="str">
        <f aca="false">IF(C92="","",IFERROR(INDEX(Listas!$S:$S,MATCH(C92,Listas!$R:$R,0)),""))</f>
        <v/>
      </c>
      <c r="F92" s="5"/>
      <c r="G92" s="5"/>
      <c r="H92" s="5"/>
      <c r="I92" s="18"/>
      <c r="J92" s="5"/>
      <c r="K92" s="27"/>
      <c r="L92" s="5"/>
    </row>
    <row r="93" customFormat="false" ht="15" hidden="false" customHeight="false" outlineLevel="0" collapsed="false">
      <c r="A93" s="27"/>
      <c r="B93" s="5"/>
      <c r="C93" s="5"/>
      <c r="D93" s="5"/>
      <c r="E93" s="19" t="str">
        <f aca="false">IF(C93="","",IFERROR(INDEX(Listas!$S:$S,MATCH(C93,Listas!$R:$R,0)),""))</f>
        <v/>
      </c>
      <c r="F93" s="5"/>
      <c r="G93" s="5"/>
      <c r="H93" s="5"/>
      <c r="I93" s="18"/>
      <c r="J93" s="5"/>
      <c r="K93" s="27"/>
      <c r="L93" s="5"/>
    </row>
    <row r="94" customFormat="false" ht="15" hidden="false" customHeight="false" outlineLevel="0" collapsed="false">
      <c r="A94" s="27"/>
      <c r="B94" s="5"/>
      <c r="C94" s="5"/>
      <c r="D94" s="5"/>
      <c r="E94" s="19" t="str">
        <f aca="false">IF(C94="","",IFERROR(INDEX(Listas!$S:$S,MATCH(C94,Listas!$R:$R,0)),""))</f>
        <v/>
      </c>
      <c r="F94" s="5"/>
      <c r="G94" s="5"/>
      <c r="H94" s="5"/>
      <c r="I94" s="18"/>
      <c r="J94" s="5"/>
      <c r="K94" s="27"/>
      <c r="L94" s="5"/>
    </row>
    <row r="95" customFormat="false" ht="15" hidden="false" customHeight="false" outlineLevel="0" collapsed="false">
      <c r="A95" s="27"/>
      <c r="B95" s="5"/>
      <c r="C95" s="5"/>
      <c r="D95" s="5"/>
      <c r="E95" s="19" t="str">
        <f aca="false">IF(C95="","",IFERROR(INDEX(Listas!$S:$S,MATCH(C95,Listas!$R:$R,0)),""))</f>
        <v/>
      </c>
      <c r="F95" s="5"/>
      <c r="G95" s="5"/>
      <c r="H95" s="5"/>
      <c r="I95" s="18"/>
      <c r="J95" s="5"/>
      <c r="K95" s="27"/>
      <c r="L95" s="5"/>
    </row>
    <row r="96" customFormat="false" ht="15" hidden="false" customHeight="false" outlineLevel="0" collapsed="false">
      <c r="A96" s="27"/>
      <c r="B96" s="5"/>
      <c r="C96" s="5"/>
      <c r="D96" s="5"/>
      <c r="E96" s="19" t="str">
        <f aca="false">IF(C96="","",IFERROR(INDEX(Listas!$S:$S,MATCH(C96,Listas!$R:$R,0)),""))</f>
        <v/>
      </c>
      <c r="F96" s="5"/>
      <c r="G96" s="5"/>
      <c r="H96" s="5"/>
      <c r="I96" s="18"/>
      <c r="J96" s="5"/>
      <c r="K96" s="27"/>
      <c r="L96" s="5"/>
    </row>
    <row r="97" customFormat="false" ht="15" hidden="false" customHeight="false" outlineLevel="0" collapsed="false">
      <c r="A97" s="27"/>
      <c r="B97" s="5"/>
      <c r="C97" s="5"/>
      <c r="D97" s="5"/>
      <c r="E97" s="19" t="str">
        <f aca="false">IF(C97="","",IFERROR(INDEX(Listas!$S:$S,MATCH(C97,Listas!$R:$R,0)),""))</f>
        <v/>
      </c>
      <c r="F97" s="5"/>
      <c r="G97" s="5"/>
      <c r="H97" s="5"/>
      <c r="I97" s="18"/>
      <c r="J97" s="5"/>
      <c r="K97" s="27"/>
      <c r="L97" s="5"/>
    </row>
    <row r="98" customFormat="false" ht="15" hidden="false" customHeight="false" outlineLevel="0" collapsed="false">
      <c r="A98" s="27"/>
      <c r="B98" s="5"/>
      <c r="C98" s="5"/>
      <c r="D98" s="5"/>
      <c r="E98" s="19" t="str">
        <f aca="false">IF(C98="","",IFERROR(INDEX(Listas!$S:$S,MATCH(C98,Listas!$R:$R,0)),""))</f>
        <v/>
      </c>
      <c r="F98" s="5"/>
      <c r="G98" s="5"/>
      <c r="H98" s="5"/>
      <c r="I98" s="18"/>
      <c r="J98" s="5"/>
      <c r="K98" s="27"/>
      <c r="L98" s="5"/>
    </row>
    <row r="99" customFormat="false" ht="15" hidden="false" customHeight="false" outlineLevel="0" collapsed="false">
      <c r="A99" s="27"/>
      <c r="B99" s="5"/>
      <c r="C99" s="5"/>
      <c r="D99" s="5"/>
      <c r="E99" s="19" t="str">
        <f aca="false">IF(C99="","",IFERROR(INDEX(Listas!$S:$S,MATCH(C99,Listas!$R:$R,0)),""))</f>
        <v/>
      </c>
      <c r="F99" s="5"/>
      <c r="G99" s="5"/>
      <c r="H99" s="5"/>
      <c r="I99" s="18"/>
      <c r="J99" s="5"/>
      <c r="K99" s="27"/>
      <c r="L99" s="5"/>
    </row>
    <row r="100" customFormat="false" ht="15" hidden="false" customHeight="false" outlineLevel="0" collapsed="false">
      <c r="A100" s="27"/>
      <c r="B100" s="5"/>
      <c r="C100" s="5"/>
      <c r="D100" s="5"/>
      <c r="E100" s="19" t="str">
        <f aca="false">IF(C100="","",IFERROR(INDEX(Listas!$S:$S,MATCH(C100,Listas!$R:$R,0)),""))</f>
        <v/>
      </c>
      <c r="F100" s="5"/>
      <c r="G100" s="5"/>
      <c r="H100" s="5"/>
      <c r="I100" s="18"/>
      <c r="J100" s="5"/>
      <c r="K100" s="27"/>
      <c r="L100" s="5"/>
    </row>
    <row r="101" customFormat="false" ht="15" hidden="false" customHeight="false" outlineLevel="0" collapsed="false">
      <c r="A101" s="27"/>
      <c r="B101" s="5"/>
      <c r="C101" s="5"/>
      <c r="D101" s="5"/>
      <c r="E101" s="19" t="str">
        <f aca="false">IF(C101="","",IFERROR(INDEX(Listas!$S:$S,MATCH(C101,Listas!$R:$R,0)),""))</f>
        <v/>
      </c>
      <c r="F101" s="5"/>
      <c r="G101" s="5"/>
      <c r="H101" s="5"/>
      <c r="I101" s="18"/>
      <c r="J101" s="5"/>
      <c r="K101" s="27"/>
      <c r="L101" s="5"/>
    </row>
    <row r="102" customFormat="false" ht="15" hidden="false" customHeight="false" outlineLevel="0" collapsed="false">
      <c r="A102" s="27"/>
      <c r="B102" s="5"/>
      <c r="C102" s="5"/>
      <c r="D102" s="5"/>
      <c r="E102" s="19" t="str">
        <f aca="false">IF(C102="","",IFERROR(INDEX(Listas!$S:$S,MATCH(C102,Listas!$R:$R,0)),""))</f>
        <v/>
      </c>
      <c r="F102" s="5"/>
      <c r="G102" s="5"/>
      <c r="H102" s="5"/>
      <c r="I102" s="18"/>
      <c r="J102" s="5"/>
      <c r="K102" s="27"/>
      <c r="L102" s="5"/>
    </row>
    <row r="103" customFormat="false" ht="15" hidden="false" customHeight="false" outlineLevel="0" collapsed="false">
      <c r="A103" s="27"/>
      <c r="B103" s="5"/>
      <c r="C103" s="5"/>
      <c r="D103" s="5"/>
      <c r="E103" s="19" t="str">
        <f aca="false">IF(C103="","",IFERROR(INDEX(Listas!$S:$S,MATCH(C103,Listas!$R:$R,0)),""))</f>
        <v/>
      </c>
      <c r="F103" s="5"/>
      <c r="G103" s="5"/>
      <c r="H103" s="5"/>
      <c r="I103" s="18"/>
      <c r="J103" s="5"/>
      <c r="K103" s="27"/>
      <c r="L103" s="5"/>
    </row>
    <row r="104" customFormat="false" ht="15" hidden="false" customHeight="false" outlineLevel="0" collapsed="false">
      <c r="A104" s="27"/>
      <c r="B104" s="5"/>
      <c r="C104" s="5"/>
      <c r="D104" s="5"/>
      <c r="E104" s="19" t="str">
        <f aca="false">IF(C104="","",IFERROR(INDEX(Listas!$S:$S,MATCH(C104,Listas!$R:$R,0)),""))</f>
        <v/>
      </c>
      <c r="F104" s="5"/>
      <c r="G104" s="5"/>
      <c r="H104" s="5"/>
      <c r="I104" s="18"/>
      <c r="J104" s="5"/>
      <c r="K104" s="27"/>
      <c r="L104" s="5"/>
    </row>
    <row r="105" customFormat="false" ht="15" hidden="false" customHeight="false" outlineLevel="0" collapsed="false">
      <c r="A105" s="27"/>
      <c r="B105" s="5"/>
      <c r="C105" s="5"/>
      <c r="D105" s="5"/>
      <c r="E105" s="19" t="str">
        <f aca="false">IF(C105="","",IFERROR(INDEX(Listas!$S:$S,MATCH(C105,Listas!$R:$R,0)),""))</f>
        <v/>
      </c>
      <c r="F105" s="5"/>
      <c r="G105" s="5"/>
      <c r="H105" s="5"/>
      <c r="I105" s="18"/>
      <c r="J105" s="5"/>
      <c r="K105" s="27"/>
      <c r="L105" s="5"/>
    </row>
    <row r="106" customFormat="false" ht="15" hidden="false" customHeight="false" outlineLevel="0" collapsed="false">
      <c r="A106" s="27"/>
      <c r="B106" s="5"/>
      <c r="C106" s="5"/>
      <c r="D106" s="5"/>
      <c r="E106" s="19" t="str">
        <f aca="false">IF(C106="","",IFERROR(INDEX(Listas!$S:$S,MATCH(C106,Listas!$R:$R,0)),""))</f>
        <v/>
      </c>
      <c r="F106" s="5"/>
      <c r="G106" s="5"/>
      <c r="H106" s="5"/>
      <c r="I106" s="18"/>
      <c r="J106" s="5"/>
      <c r="K106" s="27"/>
      <c r="L106" s="5"/>
    </row>
    <row r="107" customFormat="false" ht="15" hidden="false" customHeight="false" outlineLevel="0" collapsed="false">
      <c r="A107" s="27"/>
      <c r="B107" s="5"/>
      <c r="C107" s="5"/>
      <c r="D107" s="5"/>
      <c r="E107" s="19" t="str">
        <f aca="false">IF(C107="","",IFERROR(INDEX(Listas!$S:$S,MATCH(C107,Listas!$R:$R,0)),""))</f>
        <v/>
      </c>
      <c r="F107" s="5"/>
      <c r="G107" s="5"/>
      <c r="H107" s="5"/>
      <c r="I107" s="18"/>
      <c r="J107" s="5"/>
      <c r="K107" s="27"/>
      <c r="L107" s="5"/>
    </row>
    <row r="108" customFormat="false" ht="15" hidden="false" customHeight="false" outlineLevel="0" collapsed="false">
      <c r="A108" s="27"/>
      <c r="B108" s="5"/>
      <c r="C108" s="5"/>
      <c r="D108" s="5"/>
      <c r="E108" s="19" t="str">
        <f aca="false">IF(C108="","",IFERROR(INDEX(Listas!$S:$S,MATCH(C108,Listas!$R:$R,0)),""))</f>
        <v/>
      </c>
      <c r="F108" s="5"/>
      <c r="G108" s="5"/>
      <c r="H108" s="5"/>
      <c r="I108" s="18"/>
      <c r="J108" s="5"/>
      <c r="K108" s="27"/>
      <c r="L108" s="5"/>
    </row>
    <row r="109" customFormat="false" ht="15" hidden="false" customHeight="false" outlineLevel="0" collapsed="false">
      <c r="A109" s="27"/>
      <c r="B109" s="5"/>
      <c r="C109" s="5"/>
      <c r="D109" s="5"/>
      <c r="E109" s="19" t="str">
        <f aca="false">IF(C109="","",IFERROR(INDEX(Listas!$S:$S,MATCH(C109,Listas!$R:$R,0)),""))</f>
        <v/>
      </c>
      <c r="F109" s="5"/>
      <c r="G109" s="5"/>
      <c r="H109" s="5"/>
      <c r="I109" s="18"/>
      <c r="J109" s="5"/>
      <c r="K109" s="27"/>
      <c r="L109" s="5"/>
    </row>
    <row r="110" customFormat="false" ht="15" hidden="false" customHeight="false" outlineLevel="0" collapsed="false">
      <c r="A110" s="27"/>
      <c r="B110" s="5"/>
      <c r="C110" s="5"/>
      <c r="D110" s="5"/>
      <c r="E110" s="19" t="str">
        <f aca="false">IF(C110="","",IFERROR(INDEX(Listas!$S:$S,MATCH(C110,Listas!$R:$R,0)),""))</f>
        <v/>
      </c>
      <c r="F110" s="5"/>
      <c r="G110" s="5"/>
      <c r="H110" s="5"/>
      <c r="I110" s="18"/>
      <c r="J110" s="5"/>
      <c r="K110" s="27"/>
      <c r="L110" s="5"/>
    </row>
    <row r="111" customFormat="false" ht="15" hidden="false" customHeight="false" outlineLevel="0" collapsed="false">
      <c r="A111" s="27"/>
      <c r="B111" s="5"/>
      <c r="C111" s="5"/>
      <c r="D111" s="5"/>
      <c r="E111" s="19" t="str">
        <f aca="false">IF(C111="","",IFERROR(INDEX(Listas!$S:$S,MATCH(C111,Listas!$R:$R,0)),""))</f>
        <v/>
      </c>
      <c r="F111" s="5"/>
      <c r="G111" s="5"/>
      <c r="H111" s="5"/>
      <c r="I111" s="18"/>
      <c r="J111" s="5"/>
      <c r="K111" s="27"/>
      <c r="L111" s="5"/>
    </row>
    <row r="112" customFormat="false" ht="15" hidden="false" customHeight="false" outlineLevel="0" collapsed="false">
      <c r="A112" s="27"/>
      <c r="B112" s="5"/>
      <c r="C112" s="5"/>
      <c r="D112" s="5"/>
      <c r="E112" s="19" t="str">
        <f aca="false">IF(C112="","",IFERROR(INDEX(Listas!$S:$S,MATCH(C112,Listas!$R:$R,0)),""))</f>
        <v/>
      </c>
      <c r="F112" s="5"/>
      <c r="G112" s="5"/>
      <c r="H112" s="5"/>
      <c r="I112" s="18"/>
      <c r="J112" s="5"/>
      <c r="K112" s="27"/>
      <c r="L112" s="5"/>
    </row>
    <row r="113" customFormat="false" ht="15" hidden="false" customHeight="false" outlineLevel="0" collapsed="false">
      <c r="A113" s="27"/>
      <c r="B113" s="5"/>
      <c r="C113" s="5"/>
      <c r="D113" s="5"/>
      <c r="E113" s="19" t="str">
        <f aca="false">IF(C113="","",IFERROR(INDEX(Listas!$S:$S,MATCH(C113,Listas!$R:$R,0)),""))</f>
        <v/>
      </c>
      <c r="F113" s="5"/>
      <c r="G113" s="5"/>
      <c r="H113" s="5"/>
      <c r="I113" s="18"/>
      <c r="J113" s="5"/>
      <c r="K113" s="27"/>
      <c r="L113" s="5"/>
    </row>
    <row r="114" customFormat="false" ht="15" hidden="false" customHeight="false" outlineLevel="0" collapsed="false">
      <c r="A114" s="27"/>
      <c r="B114" s="5"/>
      <c r="C114" s="5"/>
      <c r="D114" s="5"/>
      <c r="E114" s="19" t="str">
        <f aca="false">IF(C114="","",IFERROR(INDEX(Listas!$S:$S,MATCH(C114,Listas!$R:$R,0)),""))</f>
        <v/>
      </c>
      <c r="F114" s="5"/>
      <c r="G114" s="5"/>
      <c r="H114" s="5"/>
      <c r="I114" s="18"/>
      <c r="J114" s="5"/>
      <c r="K114" s="27"/>
      <c r="L114" s="5"/>
    </row>
    <row r="115" customFormat="false" ht="15" hidden="false" customHeight="false" outlineLevel="0" collapsed="false">
      <c r="A115" s="27"/>
      <c r="B115" s="5"/>
      <c r="C115" s="5"/>
      <c r="D115" s="5"/>
      <c r="E115" s="19" t="str">
        <f aca="false">IF(C115="","",IFERROR(INDEX(Listas!$S:$S,MATCH(C115,Listas!$R:$R,0)),""))</f>
        <v/>
      </c>
      <c r="F115" s="5"/>
      <c r="G115" s="5"/>
      <c r="H115" s="5"/>
      <c r="I115" s="18"/>
      <c r="J115" s="5"/>
      <c r="K115" s="27"/>
      <c r="L115" s="5"/>
    </row>
    <row r="116" customFormat="false" ht="15" hidden="false" customHeight="false" outlineLevel="0" collapsed="false">
      <c r="A116" s="27"/>
      <c r="B116" s="5"/>
      <c r="C116" s="5"/>
      <c r="D116" s="5"/>
      <c r="E116" s="19" t="str">
        <f aca="false">IF(C116="","",IFERROR(INDEX(Listas!$S:$S,MATCH(C116,Listas!$R:$R,0)),""))</f>
        <v/>
      </c>
      <c r="F116" s="5"/>
      <c r="G116" s="5"/>
      <c r="H116" s="5"/>
      <c r="I116" s="18"/>
      <c r="J116" s="5"/>
      <c r="K116" s="27"/>
      <c r="L116" s="5"/>
    </row>
    <row r="117" customFormat="false" ht="15" hidden="false" customHeight="false" outlineLevel="0" collapsed="false">
      <c r="A117" s="27"/>
      <c r="B117" s="5"/>
      <c r="C117" s="5"/>
      <c r="D117" s="5"/>
      <c r="E117" s="19" t="str">
        <f aca="false">IF(C117="","",IFERROR(INDEX(Listas!$S:$S,MATCH(C117,Listas!$R:$R,0)),""))</f>
        <v/>
      </c>
      <c r="F117" s="5"/>
      <c r="G117" s="5"/>
      <c r="H117" s="5"/>
      <c r="I117" s="18"/>
      <c r="J117" s="5"/>
      <c r="K117" s="27"/>
      <c r="L117" s="5"/>
    </row>
    <row r="118" customFormat="false" ht="15" hidden="false" customHeight="false" outlineLevel="0" collapsed="false">
      <c r="A118" s="27"/>
      <c r="B118" s="5"/>
      <c r="C118" s="5"/>
      <c r="D118" s="5"/>
      <c r="E118" s="19" t="str">
        <f aca="false">IF(C118="","",IFERROR(INDEX(Listas!$S:$S,MATCH(C118,Listas!$R:$R,0)),""))</f>
        <v/>
      </c>
      <c r="F118" s="5"/>
      <c r="G118" s="5"/>
      <c r="H118" s="5"/>
      <c r="I118" s="18"/>
      <c r="J118" s="5"/>
      <c r="K118" s="27"/>
      <c r="L118" s="5"/>
    </row>
    <row r="119" customFormat="false" ht="15" hidden="false" customHeight="false" outlineLevel="0" collapsed="false">
      <c r="A119" s="27"/>
      <c r="B119" s="5"/>
      <c r="C119" s="5"/>
      <c r="D119" s="5"/>
      <c r="E119" s="19" t="str">
        <f aca="false">IF(C119="","",IFERROR(INDEX(Listas!$S:$S,MATCH(C119,Listas!$R:$R,0)),""))</f>
        <v/>
      </c>
      <c r="F119" s="5"/>
      <c r="G119" s="5"/>
      <c r="H119" s="5"/>
      <c r="I119" s="18"/>
      <c r="J119" s="5"/>
      <c r="K119" s="27"/>
      <c r="L119" s="5"/>
    </row>
    <row r="120" customFormat="false" ht="15" hidden="false" customHeight="false" outlineLevel="0" collapsed="false">
      <c r="A120" s="27"/>
      <c r="B120" s="5"/>
      <c r="C120" s="5"/>
      <c r="D120" s="5"/>
      <c r="E120" s="19" t="str">
        <f aca="false">IF(C120="","",IFERROR(INDEX(Listas!$S:$S,MATCH(C120,Listas!$R:$R,0)),""))</f>
        <v/>
      </c>
      <c r="F120" s="5"/>
      <c r="G120" s="5"/>
      <c r="H120" s="5"/>
      <c r="I120" s="18"/>
      <c r="J120" s="5"/>
      <c r="K120" s="27"/>
      <c r="L120" s="5"/>
    </row>
    <row r="121" customFormat="false" ht="15" hidden="false" customHeight="false" outlineLevel="0" collapsed="false">
      <c r="A121" s="27"/>
      <c r="B121" s="5"/>
      <c r="C121" s="5"/>
      <c r="D121" s="5"/>
      <c r="E121" s="19" t="str">
        <f aca="false">IF(C121="","",IFERROR(INDEX(Listas!$S:$S,MATCH(C121,Listas!$R:$R,0)),""))</f>
        <v/>
      </c>
      <c r="F121" s="5"/>
      <c r="G121" s="5"/>
      <c r="H121" s="5"/>
      <c r="I121" s="18"/>
      <c r="J121" s="5"/>
      <c r="K121" s="27"/>
      <c r="L121" s="5"/>
    </row>
    <row r="122" customFormat="false" ht="15" hidden="false" customHeight="false" outlineLevel="0" collapsed="false">
      <c r="A122" s="27"/>
      <c r="B122" s="5"/>
      <c r="C122" s="5"/>
      <c r="D122" s="5"/>
      <c r="E122" s="19" t="str">
        <f aca="false">IF(C122="","",IFERROR(INDEX(Listas!$S:$S,MATCH(C122,Listas!$R:$R,0)),""))</f>
        <v/>
      </c>
      <c r="F122" s="5"/>
      <c r="G122" s="5"/>
      <c r="H122" s="5"/>
      <c r="I122" s="18"/>
      <c r="J122" s="5"/>
      <c r="K122" s="27"/>
      <c r="L122" s="5"/>
    </row>
    <row r="123" customFormat="false" ht="15" hidden="false" customHeight="false" outlineLevel="0" collapsed="false">
      <c r="A123" s="27"/>
      <c r="B123" s="5"/>
      <c r="C123" s="5"/>
      <c r="D123" s="5"/>
      <c r="E123" s="19" t="str">
        <f aca="false">IF(C123="","",IFERROR(INDEX(Listas!$S:$S,MATCH(C123,Listas!$R:$R,0)),""))</f>
        <v/>
      </c>
      <c r="F123" s="5"/>
      <c r="G123" s="5"/>
      <c r="H123" s="5"/>
      <c r="I123" s="18"/>
      <c r="J123" s="5"/>
      <c r="K123" s="27"/>
      <c r="L123" s="5"/>
    </row>
    <row r="124" customFormat="false" ht="15" hidden="false" customHeight="false" outlineLevel="0" collapsed="false">
      <c r="A124" s="27"/>
      <c r="B124" s="5"/>
      <c r="C124" s="5"/>
      <c r="D124" s="5"/>
      <c r="E124" s="19" t="str">
        <f aca="false">IF(C124="","",IFERROR(INDEX(Listas!$S:$S,MATCH(C124,Listas!$R:$R,0)),""))</f>
        <v/>
      </c>
      <c r="F124" s="5"/>
      <c r="G124" s="5"/>
      <c r="H124" s="5"/>
      <c r="I124" s="18"/>
      <c r="J124" s="5"/>
      <c r="K124" s="27"/>
      <c r="L124" s="5"/>
    </row>
    <row r="125" customFormat="false" ht="15" hidden="false" customHeight="false" outlineLevel="0" collapsed="false">
      <c r="A125" s="27"/>
      <c r="B125" s="5"/>
      <c r="C125" s="5"/>
      <c r="D125" s="5"/>
      <c r="E125" s="19" t="str">
        <f aca="false">IF(C125="","",IFERROR(INDEX(Listas!$S:$S,MATCH(C125,Listas!$R:$R,0)),""))</f>
        <v/>
      </c>
      <c r="F125" s="5"/>
      <c r="G125" s="5"/>
      <c r="H125" s="5"/>
      <c r="I125" s="18"/>
      <c r="J125" s="5"/>
      <c r="K125" s="27"/>
      <c r="L125" s="5"/>
    </row>
    <row r="126" customFormat="false" ht="15" hidden="false" customHeight="false" outlineLevel="0" collapsed="false">
      <c r="A126" s="27"/>
      <c r="B126" s="5"/>
      <c r="C126" s="5"/>
      <c r="D126" s="5"/>
      <c r="E126" s="19" t="str">
        <f aca="false">IF(C126="","",IFERROR(INDEX(Listas!$S:$S,MATCH(C126,Listas!$R:$R,0)),""))</f>
        <v/>
      </c>
      <c r="F126" s="5"/>
      <c r="G126" s="5"/>
      <c r="H126" s="5"/>
      <c r="I126" s="18"/>
      <c r="J126" s="5"/>
      <c r="K126" s="27"/>
      <c r="L126" s="5"/>
    </row>
    <row r="127" customFormat="false" ht="15" hidden="false" customHeight="false" outlineLevel="0" collapsed="false">
      <c r="A127" s="27"/>
      <c r="B127" s="5"/>
      <c r="C127" s="5"/>
      <c r="D127" s="5"/>
      <c r="E127" s="19" t="str">
        <f aca="false">IF(C127="","",IFERROR(INDEX(Listas!$S:$S,MATCH(C127,Listas!$R:$R,0)),""))</f>
        <v/>
      </c>
      <c r="F127" s="5"/>
      <c r="G127" s="5"/>
      <c r="H127" s="5"/>
      <c r="I127" s="18"/>
      <c r="J127" s="5"/>
      <c r="K127" s="27"/>
      <c r="L127" s="5"/>
    </row>
    <row r="128" customFormat="false" ht="15" hidden="false" customHeight="false" outlineLevel="0" collapsed="false">
      <c r="A128" s="27"/>
      <c r="B128" s="5"/>
      <c r="C128" s="5"/>
      <c r="D128" s="5"/>
      <c r="E128" s="19" t="str">
        <f aca="false">IF(C128="","",IFERROR(INDEX(Listas!$S:$S,MATCH(C128,Listas!$R:$R,0)),""))</f>
        <v/>
      </c>
      <c r="F128" s="5"/>
      <c r="G128" s="5"/>
      <c r="H128" s="5"/>
      <c r="I128" s="18"/>
      <c r="J128" s="5"/>
      <c r="K128" s="27"/>
      <c r="L128" s="5"/>
    </row>
    <row r="129" customFormat="false" ht="15" hidden="false" customHeight="false" outlineLevel="0" collapsed="false">
      <c r="A129" s="27"/>
      <c r="B129" s="5"/>
      <c r="C129" s="5"/>
      <c r="D129" s="5"/>
      <c r="E129" s="19" t="str">
        <f aca="false">IF(C129="","",IFERROR(INDEX(Listas!$S:$S,MATCH(C129,Listas!$R:$R,0)),""))</f>
        <v/>
      </c>
      <c r="F129" s="5"/>
      <c r="G129" s="5"/>
      <c r="H129" s="5"/>
      <c r="I129" s="18"/>
      <c r="J129" s="5"/>
      <c r="K129" s="27"/>
      <c r="L129" s="5"/>
    </row>
    <row r="130" customFormat="false" ht="15" hidden="false" customHeight="false" outlineLevel="0" collapsed="false">
      <c r="A130" s="27"/>
      <c r="B130" s="5"/>
      <c r="C130" s="5"/>
      <c r="D130" s="5"/>
      <c r="E130" s="19" t="str">
        <f aca="false">IF(C130="","",IFERROR(INDEX(Listas!$S:$S,MATCH(C130,Listas!$R:$R,0)),""))</f>
        <v/>
      </c>
      <c r="F130" s="5"/>
      <c r="G130" s="5"/>
      <c r="H130" s="5"/>
      <c r="I130" s="18"/>
      <c r="J130" s="5"/>
      <c r="K130" s="27"/>
      <c r="L130" s="5"/>
    </row>
    <row r="131" customFormat="false" ht="15" hidden="false" customHeight="false" outlineLevel="0" collapsed="false">
      <c r="A131" s="27"/>
      <c r="B131" s="5"/>
      <c r="C131" s="5"/>
      <c r="D131" s="5"/>
      <c r="E131" s="19" t="str">
        <f aca="false">IF(C131="","",IFERROR(INDEX(Listas!$S:$S,MATCH(C131,Listas!$R:$R,0)),""))</f>
        <v/>
      </c>
      <c r="F131" s="5"/>
      <c r="G131" s="5"/>
      <c r="H131" s="5"/>
      <c r="I131" s="18"/>
      <c r="J131" s="5"/>
      <c r="K131" s="27"/>
      <c r="L131" s="5"/>
    </row>
    <row r="132" customFormat="false" ht="15" hidden="false" customHeight="false" outlineLevel="0" collapsed="false">
      <c r="A132" s="27"/>
      <c r="B132" s="5"/>
      <c r="C132" s="5"/>
      <c r="D132" s="5"/>
      <c r="E132" s="19" t="str">
        <f aca="false">IF(C132="","",IFERROR(INDEX(Listas!$S:$S,MATCH(C132,Listas!$R:$R,0)),""))</f>
        <v/>
      </c>
      <c r="F132" s="5"/>
      <c r="G132" s="5"/>
      <c r="H132" s="5"/>
      <c r="I132" s="18"/>
      <c r="J132" s="5"/>
      <c r="K132" s="27"/>
      <c r="L132" s="5"/>
    </row>
    <row r="133" customFormat="false" ht="15" hidden="false" customHeight="false" outlineLevel="0" collapsed="false">
      <c r="A133" s="27"/>
      <c r="B133" s="5"/>
      <c r="C133" s="5"/>
      <c r="D133" s="5"/>
      <c r="E133" s="19" t="str">
        <f aca="false">IF(C133="","",IFERROR(INDEX(Listas!$S:$S,MATCH(C133,Listas!$R:$R,0)),""))</f>
        <v/>
      </c>
      <c r="F133" s="5"/>
      <c r="G133" s="5"/>
      <c r="H133" s="5"/>
      <c r="I133" s="18"/>
      <c r="J133" s="5"/>
      <c r="K133" s="27"/>
      <c r="L133" s="5"/>
    </row>
    <row r="134" customFormat="false" ht="15" hidden="false" customHeight="false" outlineLevel="0" collapsed="false">
      <c r="A134" s="27"/>
      <c r="B134" s="5"/>
      <c r="C134" s="5"/>
      <c r="D134" s="5"/>
      <c r="E134" s="19" t="str">
        <f aca="false">IF(C134="","",IFERROR(INDEX(Listas!$S:$S,MATCH(C134,Listas!$R:$R,0)),""))</f>
        <v/>
      </c>
      <c r="F134" s="5"/>
      <c r="G134" s="5"/>
      <c r="H134" s="5"/>
      <c r="I134" s="18"/>
      <c r="J134" s="5"/>
      <c r="K134" s="27"/>
      <c r="L134" s="5"/>
    </row>
    <row r="135" customFormat="false" ht="15" hidden="false" customHeight="false" outlineLevel="0" collapsed="false">
      <c r="A135" s="27"/>
      <c r="B135" s="5"/>
      <c r="C135" s="5"/>
      <c r="D135" s="5"/>
      <c r="E135" s="19" t="str">
        <f aca="false">IF(C135="","",IFERROR(INDEX(Listas!$S:$S,MATCH(C135,Listas!$R:$R,0)),""))</f>
        <v/>
      </c>
      <c r="F135" s="5"/>
      <c r="G135" s="5"/>
      <c r="H135" s="5"/>
      <c r="I135" s="18"/>
      <c r="J135" s="5"/>
      <c r="K135" s="27"/>
      <c r="L135" s="5"/>
    </row>
    <row r="136" customFormat="false" ht="15" hidden="false" customHeight="false" outlineLevel="0" collapsed="false">
      <c r="A136" s="27"/>
      <c r="B136" s="5"/>
      <c r="C136" s="5"/>
      <c r="D136" s="5"/>
      <c r="E136" s="19" t="str">
        <f aca="false">IF(C136="","",IFERROR(INDEX(Listas!$S:$S,MATCH(C136,Listas!$R:$R,0)),""))</f>
        <v/>
      </c>
      <c r="F136" s="5"/>
      <c r="G136" s="5"/>
      <c r="H136" s="5"/>
      <c r="I136" s="18"/>
      <c r="J136" s="5"/>
      <c r="K136" s="27"/>
      <c r="L136" s="5"/>
    </row>
    <row r="137" customFormat="false" ht="15" hidden="false" customHeight="false" outlineLevel="0" collapsed="false">
      <c r="A137" s="27"/>
      <c r="B137" s="5"/>
      <c r="C137" s="5"/>
      <c r="D137" s="5"/>
      <c r="E137" s="19" t="str">
        <f aca="false">IF(C137="","",IFERROR(INDEX(Listas!$S:$S,MATCH(C137,Listas!$R:$R,0)),""))</f>
        <v/>
      </c>
      <c r="F137" s="5"/>
      <c r="G137" s="5"/>
      <c r="H137" s="5"/>
      <c r="I137" s="18"/>
      <c r="J137" s="5"/>
      <c r="K137" s="27"/>
      <c r="L137" s="5"/>
    </row>
    <row r="138" customFormat="false" ht="15" hidden="false" customHeight="false" outlineLevel="0" collapsed="false">
      <c r="A138" s="27"/>
      <c r="B138" s="5"/>
      <c r="C138" s="5"/>
      <c r="D138" s="5"/>
      <c r="E138" s="19" t="str">
        <f aca="false">IF(C138="","",IFERROR(INDEX(Listas!$S:$S,MATCH(C138,Listas!$R:$R,0)),""))</f>
        <v/>
      </c>
      <c r="F138" s="5"/>
      <c r="G138" s="5"/>
      <c r="H138" s="5"/>
      <c r="I138" s="18"/>
      <c r="J138" s="5"/>
      <c r="K138" s="27"/>
      <c r="L138" s="5"/>
    </row>
    <row r="139" customFormat="false" ht="15" hidden="false" customHeight="false" outlineLevel="0" collapsed="false">
      <c r="A139" s="27"/>
      <c r="B139" s="5"/>
      <c r="C139" s="5"/>
      <c r="D139" s="5"/>
      <c r="E139" s="19" t="str">
        <f aca="false">IF(C139="","",IFERROR(INDEX(Listas!$S:$S,MATCH(C139,Listas!$R:$R,0)),""))</f>
        <v/>
      </c>
      <c r="F139" s="5"/>
      <c r="G139" s="5"/>
      <c r="H139" s="5"/>
      <c r="I139" s="18"/>
      <c r="J139" s="5"/>
      <c r="K139" s="27"/>
      <c r="L139" s="5"/>
    </row>
    <row r="140" customFormat="false" ht="15" hidden="false" customHeight="false" outlineLevel="0" collapsed="false">
      <c r="A140" s="27"/>
      <c r="B140" s="5"/>
      <c r="C140" s="5"/>
      <c r="D140" s="5"/>
      <c r="E140" s="19" t="str">
        <f aca="false">IF(C140="","",IFERROR(INDEX(Listas!$S:$S,MATCH(C140,Listas!$R:$R,0)),""))</f>
        <v/>
      </c>
      <c r="F140" s="5"/>
      <c r="G140" s="5"/>
      <c r="H140" s="5"/>
      <c r="I140" s="18"/>
      <c r="J140" s="5"/>
      <c r="K140" s="27"/>
      <c r="L140" s="5"/>
    </row>
    <row r="141" customFormat="false" ht="15" hidden="false" customHeight="false" outlineLevel="0" collapsed="false">
      <c r="A141" s="27"/>
      <c r="B141" s="5"/>
      <c r="C141" s="5"/>
      <c r="D141" s="5"/>
      <c r="E141" s="19" t="str">
        <f aca="false">IF(C141="","",IFERROR(INDEX(Listas!$S:$S,MATCH(C141,Listas!$R:$R,0)),""))</f>
        <v/>
      </c>
      <c r="F141" s="5"/>
      <c r="G141" s="5"/>
      <c r="H141" s="5"/>
      <c r="I141" s="18"/>
      <c r="J141" s="5"/>
      <c r="K141" s="27"/>
      <c r="L141" s="5"/>
    </row>
    <row r="142" customFormat="false" ht="15" hidden="false" customHeight="false" outlineLevel="0" collapsed="false">
      <c r="A142" s="27"/>
      <c r="B142" s="5"/>
      <c r="C142" s="5"/>
      <c r="D142" s="5"/>
      <c r="E142" s="19" t="str">
        <f aca="false">IF(C142="","",IFERROR(INDEX(Listas!$S:$S,MATCH(C142,Listas!$R:$R,0)),""))</f>
        <v/>
      </c>
      <c r="F142" s="5"/>
      <c r="G142" s="5"/>
      <c r="H142" s="5"/>
      <c r="I142" s="18"/>
      <c r="J142" s="5"/>
      <c r="K142" s="27"/>
      <c r="L142" s="5"/>
    </row>
    <row r="143" customFormat="false" ht="15" hidden="false" customHeight="false" outlineLevel="0" collapsed="false">
      <c r="A143" s="27"/>
      <c r="B143" s="5"/>
      <c r="C143" s="5"/>
      <c r="D143" s="5"/>
      <c r="E143" s="19" t="str">
        <f aca="false">IF(C143="","",IFERROR(INDEX(Listas!$S:$S,MATCH(C143,Listas!$R:$R,0)),""))</f>
        <v/>
      </c>
      <c r="F143" s="5"/>
      <c r="G143" s="5"/>
      <c r="H143" s="5"/>
      <c r="I143" s="18"/>
      <c r="J143" s="5"/>
      <c r="K143" s="27"/>
      <c r="L143" s="5"/>
    </row>
    <row r="144" customFormat="false" ht="15" hidden="false" customHeight="false" outlineLevel="0" collapsed="false">
      <c r="A144" s="27"/>
      <c r="B144" s="5"/>
      <c r="C144" s="5"/>
      <c r="D144" s="5"/>
      <c r="E144" s="19" t="str">
        <f aca="false">IF(C144="","",IFERROR(INDEX(Listas!$S:$S,MATCH(C144,Listas!$R:$R,0)),""))</f>
        <v/>
      </c>
      <c r="F144" s="5"/>
      <c r="G144" s="5"/>
      <c r="H144" s="5"/>
      <c r="I144" s="18"/>
      <c r="J144" s="5"/>
      <c r="K144" s="27"/>
      <c r="L144" s="5"/>
    </row>
    <row r="145" customFormat="false" ht="15" hidden="false" customHeight="false" outlineLevel="0" collapsed="false">
      <c r="A145" s="27"/>
      <c r="B145" s="5"/>
      <c r="C145" s="5"/>
      <c r="D145" s="5"/>
      <c r="E145" s="19" t="str">
        <f aca="false">IF(C145="","",IFERROR(INDEX(Listas!$S:$S,MATCH(C145,Listas!$R:$R,0)),""))</f>
        <v/>
      </c>
      <c r="F145" s="5"/>
      <c r="G145" s="5"/>
      <c r="H145" s="5"/>
      <c r="I145" s="18"/>
      <c r="J145" s="5"/>
      <c r="K145" s="27"/>
      <c r="L145" s="5"/>
    </row>
    <row r="146" customFormat="false" ht="15" hidden="false" customHeight="false" outlineLevel="0" collapsed="false">
      <c r="A146" s="27"/>
      <c r="B146" s="5"/>
      <c r="C146" s="5"/>
      <c r="D146" s="5"/>
      <c r="E146" s="19" t="str">
        <f aca="false">IF(C146="","",IFERROR(INDEX(Listas!$S:$S,MATCH(C146,Listas!$R:$R,0)),""))</f>
        <v/>
      </c>
      <c r="F146" s="5"/>
      <c r="G146" s="5"/>
      <c r="H146" s="5"/>
      <c r="I146" s="18"/>
      <c r="J146" s="5"/>
      <c r="K146" s="27"/>
      <c r="L146" s="5"/>
    </row>
    <row r="147" customFormat="false" ht="15" hidden="false" customHeight="false" outlineLevel="0" collapsed="false">
      <c r="A147" s="27"/>
      <c r="B147" s="5"/>
      <c r="C147" s="5"/>
      <c r="D147" s="5"/>
      <c r="E147" s="19" t="str">
        <f aca="false">IF(C147="","",IFERROR(INDEX(Listas!$S:$S,MATCH(C147,Listas!$R:$R,0)),""))</f>
        <v/>
      </c>
      <c r="F147" s="5"/>
      <c r="G147" s="5"/>
      <c r="H147" s="5"/>
      <c r="I147" s="18"/>
      <c r="J147" s="5"/>
      <c r="K147" s="27"/>
      <c r="L147" s="5"/>
    </row>
    <row r="148" customFormat="false" ht="15" hidden="false" customHeight="false" outlineLevel="0" collapsed="false">
      <c r="A148" s="27"/>
      <c r="B148" s="5"/>
      <c r="C148" s="5"/>
      <c r="D148" s="5"/>
      <c r="E148" s="19" t="str">
        <f aca="false">IF(C148="","",IFERROR(INDEX(Listas!$S:$S,MATCH(C148,Listas!$R:$R,0)),""))</f>
        <v/>
      </c>
      <c r="F148" s="5"/>
      <c r="G148" s="5"/>
      <c r="H148" s="5"/>
      <c r="I148" s="18"/>
      <c r="J148" s="5"/>
      <c r="K148" s="27"/>
      <c r="L148" s="5"/>
    </row>
    <row r="149" customFormat="false" ht="15" hidden="false" customHeight="false" outlineLevel="0" collapsed="false">
      <c r="A149" s="27"/>
      <c r="B149" s="5"/>
      <c r="C149" s="5"/>
      <c r="D149" s="5"/>
      <c r="E149" s="19" t="str">
        <f aca="false">IF(C149="","",IFERROR(INDEX(Listas!$S:$S,MATCH(C149,Listas!$R:$R,0)),""))</f>
        <v/>
      </c>
      <c r="F149" s="5"/>
      <c r="G149" s="5"/>
      <c r="H149" s="5"/>
      <c r="I149" s="18"/>
      <c r="J149" s="5"/>
      <c r="K149" s="27"/>
      <c r="L149" s="5"/>
    </row>
    <row r="150" customFormat="false" ht="15" hidden="false" customHeight="false" outlineLevel="0" collapsed="false">
      <c r="A150" s="27"/>
      <c r="B150" s="5"/>
      <c r="C150" s="5"/>
      <c r="D150" s="5"/>
      <c r="E150" s="19" t="str">
        <f aca="false">IF(C150="","",IFERROR(INDEX(Listas!$S:$S,MATCH(C150,Listas!$R:$R,0)),""))</f>
        <v/>
      </c>
      <c r="F150" s="5"/>
      <c r="G150" s="5"/>
      <c r="H150" s="5"/>
      <c r="I150" s="18"/>
      <c r="J150" s="5"/>
      <c r="K150" s="27"/>
      <c r="L150" s="5"/>
    </row>
    <row r="151" customFormat="false" ht="15" hidden="false" customHeight="false" outlineLevel="0" collapsed="false">
      <c r="A151" s="27"/>
      <c r="B151" s="5"/>
      <c r="C151" s="5"/>
      <c r="D151" s="5"/>
      <c r="E151" s="19" t="str">
        <f aca="false">IF(C151="","",IFERROR(INDEX(Listas!$S:$S,MATCH(C151,Listas!$R:$R,0)),""))</f>
        <v/>
      </c>
      <c r="F151" s="5"/>
      <c r="G151" s="5"/>
      <c r="H151" s="5"/>
      <c r="I151" s="18"/>
      <c r="J151" s="5"/>
      <c r="K151" s="27"/>
      <c r="L151" s="5"/>
    </row>
    <row r="152" customFormat="false" ht="15" hidden="false" customHeight="false" outlineLevel="0" collapsed="false">
      <c r="A152" s="27"/>
      <c r="B152" s="5"/>
      <c r="C152" s="5"/>
      <c r="D152" s="5"/>
      <c r="E152" s="19" t="str">
        <f aca="false">IF(C152="","",IFERROR(INDEX(Listas!$S:$S,MATCH(C152,Listas!$R:$R,0)),""))</f>
        <v/>
      </c>
      <c r="F152" s="5"/>
      <c r="G152" s="5"/>
      <c r="H152" s="5"/>
      <c r="I152" s="18"/>
      <c r="J152" s="5"/>
      <c r="K152" s="27"/>
      <c r="L152" s="5"/>
    </row>
    <row r="153" customFormat="false" ht="15" hidden="false" customHeight="false" outlineLevel="0" collapsed="false">
      <c r="A153" s="27"/>
      <c r="B153" s="5"/>
      <c r="C153" s="5"/>
      <c r="D153" s="5"/>
      <c r="E153" s="19" t="str">
        <f aca="false">IF(C153="","",IFERROR(INDEX(Listas!$S:$S,MATCH(C153,Listas!$R:$R,0)),""))</f>
        <v/>
      </c>
      <c r="F153" s="5"/>
      <c r="G153" s="5"/>
      <c r="H153" s="5"/>
      <c r="I153" s="18"/>
      <c r="J153" s="5"/>
      <c r="K153" s="27"/>
      <c r="L153" s="5"/>
    </row>
    <row r="154" customFormat="false" ht="15" hidden="false" customHeight="false" outlineLevel="0" collapsed="false">
      <c r="A154" s="27"/>
      <c r="B154" s="5"/>
      <c r="C154" s="5"/>
      <c r="D154" s="5"/>
      <c r="E154" s="19" t="str">
        <f aca="false">IF(C154="","",IFERROR(INDEX(Listas!$S:$S,MATCH(C154,Listas!$R:$R,0)),""))</f>
        <v/>
      </c>
      <c r="F154" s="5"/>
      <c r="G154" s="5"/>
      <c r="H154" s="5"/>
      <c r="I154" s="18"/>
      <c r="J154" s="5"/>
      <c r="K154" s="27"/>
      <c r="L154" s="5"/>
    </row>
    <row r="155" customFormat="false" ht="15" hidden="false" customHeight="false" outlineLevel="0" collapsed="false">
      <c r="A155" s="27"/>
      <c r="B155" s="5"/>
      <c r="C155" s="5"/>
      <c r="D155" s="5"/>
      <c r="E155" s="19" t="str">
        <f aca="false">IF(C155="","",IFERROR(INDEX(Listas!$S:$S,MATCH(C155,Listas!$R:$R,0)),""))</f>
        <v/>
      </c>
      <c r="F155" s="5"/>
      <c r="G155" s="5"/>
      <c r="H155" s="5"/>
      <c r="I155" s="18"/>
      <c r="J155" s="5"/>
      <c r="K155" s="27"/>
      <c r="L155" s="5"/>
    </row>
    <row r="156" customFormat="false" ht="15" hidden="false" customHeight="false" outlineLevel="0" collapsed="false">
      <c r="A156" s="27"/>
      <c r="B156" s="5"/>
      <c r="C156" s="5"/>
      <c r="D156" s="5"/>
      <c r="E156" s="19" t="str">
        <f aca="false">IF(C156="","",IFERROR(INDEX(Listas!$S:$S,MATCH(C156,Listas!$R:$R,0)),""))</f>
        <v/>
      </c>
      <c r="F156" s="5"/>
      <c r="G156" s="5"/>
      <c r="H156" s="5"/>
      <c r="I156" s="18"/>
      <c r="J156" s="5"/>
      <c r="K156" s="27"/>
      <c r="L156" s="5"/>
    </row>
    <row r="157" customFormat="false" ht="15" hidden="false" customHeight="false" outlineLevel="0" collapsed="false">
      <c r="A157" s="27"/>
      <c r="B157" s="5"/>
      <c r="C157" s="5"/>
      <c r="D157" s="5"/>
      <c r="E157" s="19" t="str">
        <f aca="false">IF(C157="","",IFERROR(INDEX(Listas!$S:$S,MATCH(C157,Listas!$R:$R,0)),""))</f>
        <v/>
      </c>
      <c r="F157" s="5"/>
      <c r="G157" s="5"/>
      <c r="H157" s="5"/>
      <c r="I157" s="18"/>
      <c r="J157" s="5"/>
      <c r="K157" s="27"/>
      <c r="L157" s="5"/>
    </row>
    <row r="158" customFormat="false" ht="15" hidden="false" customHeight="false" outlineLevel="0" collapsed="false">
      <c r="A158" s="27"/>
      <c r="B158" s="5"/>
      <c r="C158" s="5"/>
      <c r="D158" s="5"/>
      <c r="E158" s="19" t="str">
        <f aca="false">IF(C158="","",IFERROR(INDEX(Listas!$S:$S,MATCH(C158,Listas!$R:$R,0)),""))</f>
        <v/>
      </c>
      <c r="F158" s="5"/>
      <c r="G158" s="5"/>
      <c r="H158" s="5"/>
      <c r="I158" s="18"/>
      <c r="J158" s="5"/>
      <c r="K158" s="27"/>
      <c r="L158" s="5"/>
    </row>
    <row r="159" customFormat="false" ht="15" hidden="false" customHeight="false" outlineLevel="0" collapsed="false">
      <c r="A159" s="27"/>
      <c r="B159" s="5"/>
      <c r="C159" s="5"/>
      <c r="D159" s="5"/>
      <c r="E159" s="19" t="str">
        <f aca="false">IF(C159="","",IFERROR(INDEX(Listas!$S:$S,MATCH(C159,Listas!$R:$R,0)),""))</f>
        <v/>
      </c>
      <c r="F159" s="5"/>
      <c r="G159" s="5"/>
      <c r="H159" s="5"/>
      <c r="I159" s="18"/>
      <c r="J159" s="5"/>
      <c r="K159" s="27"/>
      <c r="L159" s="5"/>
    </row>
    <row r="160" customFormat="false" ht="15" hidden="false" customHeight="false" outlineLevel="0" collapsed="false">
      <c r="A160" s="27"/>
      <c r="B160" s="5"/>
      <c r="C160" s="5"/>
      <c r="D160" s="5"/>
      <c r="E160" s="19" t="str">
        <f aca="false">IF(C160="","",IFERROR(INDEX(Listas!$S:$S,MATCH(C160,Listas!$R:$R,0)),""))</f>
        <v/>
      </c>
      <c r="F160" s="5"/>
      <c r="G160" s="5"/>
      <c r="H160" s="5"/>
      <c r="I160" s="18"/>
      <c r="J160" s="5"/>
      <c r="K160" s="27"/>
      <c r="L160" s="5"/>
    </row>
    <row r="161" customFormat="false" ht="15" hidden="false" customHeight="false" outlineLevel="0" collapsed="false">
      <c r="A161" s="27"/>
      <c r="B161" s="5"/>
      <c r="C161" s="5"/>
      <c r="D161" s="5"/>
      <c r="E161" s="19" t="str">
        <f aca="false">IF(C161="","",IFERROR(INDEX(Listas!$S:$S,MATCH(C161,Listas!$R:$R,0)),""))</f>
        <v/>
      </c>
      <c r="F161" s="5"/>
      <c r="G161" s="5"/>
      <c r="H161" s="5"/>
      <c r="I161" s="18"/>
      <c r="J161" s="5"/>
      <c r="K161" s="27"/>
      <c r="L161" s="5"/>
    </row>
    <row r="162" customFormat="false" ht="15" hidden="false" customHeight="false" outlineLevel="0" collapsed="false">
      <c r="A162" s="27"/>
      <c r="B162" s="5"/>
      <c r="C162" s="5"/>
      <c r="D162" s="5"/>
      <c r="E162" s="19" t="str">
        <f aca="false">IF(C162="","",IFERROR(INDEX(Listas!$S:$S,MATCH(C162,Listas!$R:$R,0)),""))</f>
        <v/>
      </c>
      <c r="F162" s="5"/>
      <c r="G162" s="5"/>
      <c r="H162" s="5"/>
      <c r="I162" s="18"/>
      <c r="J162" s="5"/>
      <c r="K162" s="27"/>
      <c r="L162" s="5"/>
    </row>
    <row r="163" customFormat="false" ht="15" hidden="false" customHeight="false" outlineLevel="0" collapsed="false">
      <c r="A163" s="27"/>
      <c r="B163" s="5"/>
      <c r="C163" s="5"/>
      <c r="D163" s="5"/>
      <c r="E163" s="19" t="str">
        <f aca="false">IF(C163="","",IFERROR(INDEX(Listas!$S:$S,MATCH(C163,Listas!$R:$R,0)),""))</f>
        <v/>
      </c>
      <c r="F163" s="5"/>
      <c r="G163" s="5"/>
      <c r="H163" s="5"/>
      <c r="I163" s="18"/>
      <c r="J163" s="5"/>
      <c r="K163" s="27"/>
      <c r="L163" s="5"/>
    </row>
    <row r="164" customFormat="false" ht="15" hidden="false" customHeight="false" outlineLevel="0" collapsed="false">
      <c r="A164" s="27"/>
      <c r="B164" s="5"/>
      <c r="C164" s="5"/>
      <c r="D164" s="5"/>
      <c r="E164" s="19" t="str">
        <f aca="false">IF(C164="","",IFERROR(INDEX(Listas!$S:$S,MATCH(C164,Listas!$R:$R,0)),""))</f>
        <v/>
      </c>
      <c r="F164" s="5"/>
      <c r="G164" s="5"/>
      <c r="H164" s="5"/>
      <c r="I164" s="18"/>
      <c r="J164" s="5"/>
      <c r="K164" s="27"/>
      <c r="L164" s="5"/>
    </row>
    <row r="165" customFormat="false" ht="15" hidden="false" customHeight="false" outlineLevel="0" collapsed="false">
      <c r="A165" s="27"/>
      <c r="B165" s="5"/>
      <c r="C165" s="5"/>
      <c r="D165" s="5"/>
      <c r="E165" s="19" t="str">
        <f aca="false">IF(C165="","",IFERROR(INDEX(Listas!$S:$S,MATCH(C165,Listas!$R:$R,0)),""))</f>
        <v/>
      </c>
      <c r="F165" s="5"/>
      <c r="G165" s="5"/>
      <c r="H165" s="5"/>
      <c r="I165" s="18"/>
      <c r="J165" s="5"/>
      <c r="K165" s="27"/>
      <c r="L165" s="5"/>
    </row>
    <row r="166" customFormat="false" ht="15" hidden="false" customHeight="false" outlineLevel="0" collapsed="false">
      <c r="A166" s="27"/>
      <c r="B166" s="5"/>
      <c r="C166" s="5"/>
      <c r="D166" s="5"/>
      <c r="E166" s="19" t="str">
        <f aca="false">IF(C166="","",IFERROR(INDEX(Listas!$S:$S,MATCH(C166,Listas!$R:$R,0)),""))</f>
        <v/>
      </c>
      <c r="F166" s="5"/>
      <c r="G166" s="5"/>
      <c r="H166" s="5"/>
      <c r="I166" s="18"/>
      <c r="J166" s="5"/>
      <c r="K166" s="27"/>
      <c r="L166" s="5"/>
    </row>
    <row r="167" customFormat="false" ht="15" hidden="false" customHeight="false" outlineLevel="0" collapsed="false">
      <c r="A167" s="27"/>
      <c r="B167" s="5"/>
      <c r="C167" s="5"/>
      <c r="D167" s="5"/>
      <c r="E167" s="19" t="str">
        <f aca="false">IF(C167="","",IFERROR(INDEX(Listas!$S:$S,MATCH(C167,Listas!$R:$R,0)),""))</f>
        <v/>
      </c>
      <c r="F167" s="5"/>
      <c r="G167" s="5"/>
      <c r="H167" s="5"/>
      <c r="I167" s="18"/>
      <c r="J167" s="5"/>
      <c r="K167" s="27"/>
      <c r="L167" s="5"/>
    </row>
    <row r="168" customFormat="false" ht="15" hidden="false" customHeight="false" outlineLevel="0" collapsed="false">
      <c r="A168" s="27"/>
      <c r="B168" s="5"/>
      <c r="C168" s="5"/>
      <c r="D168" s="5"/>
      <c r="E168" s="19" t="str">
        <f aca="false">IF(C168="","",IFERROR(INDEX(Listas!$S:$S,MATCH(C168,Listas!$R:$R,0)),""))</f>
        <v/>
      </c>
      <c r="F168" s="5"/>
      <c r="G168" s="5"/>
      <c r="H168" s="5"/>
      <c r="I168" s="18"/>
      <c r="J168" s="5"/>
      <c r="K168" s="27"/>
      <c r="L168" s="5"/>
    </row>
    <row r="169" customFormat="false" ht="15" hidden="false" customHeight="false" outlineLevel="0" collapsed="false">
      <c r="A169" s="27"/>
      <c r="B169" s="5"/>
      <c r="C169" s="5"/>
      <c r="D169" s="5"/>
      <c r="E169" s="19" t="str">
        <f aca="false">IF(C169="","",IFERROR(INDEX(Listas!$S:$S,MATCH(C169,Listas!$R:$R,0)),""))</f>
        <v/>
      </c>
      <c r="F169" s="5"/>
      <c r="G169" s="5"/>
      <c r="H169" s="5"/>
      <c r="I169" s="18"/>
      <c r="J169" s="5"/>
      <c r="K169" s="27"/>
      <c r="L169" s="5"/>
    </row>
    <row r="170" customFormat="false" ht="15" hidden="false" customHeight="false" outlineLevel="0" collapsed="false">
      <c r="A170" s="27"/>
      <c r="B170" s="5"/>
      <c r="C170" s="5"/>
      <c r="D170" s="5"/>
      <c r="E170" s="19" t="str">
        <f aca="false">IF(C170="","",IFERROR(INDEX(Listas!$S:$S,MATCH(C170,Listas!$R:$R,0)),""))</f>
        <v/>
      </c>
      <c r="F170" s="5"/>
      <c r="G170" s="5"/>
      <c r="H170" s="5"/>
      <c r="I170" s="18"/>
      <c r="J170" s="5"/>
      <c r="K170" s="27"/>
      <c r="L170" s="5"/>
    </row>
    <row r="171" customFormat="false" ht="15" hidden="false" customHeight="false" outlineLevel="0" collapsed="false">
      <c r="A171" s="27"/>
      <c r="B171" s="5"/>
      <c r="C171" s="5"/>
      <c r="D171" s="5"/>
      <c r="E171" s="19" t="str">
        <f aca="false">IF(C171="","",IFERROR(INDEX(Listas!$S:$S,MATCH(C171,Listas!$R:$R,0)),""))</f>
        <v/>
      </c>
      <c r="F171" s="5"/>
      <c r="G171" s="5"/>
      <c r="H171" s="5"/>
      <c r="I171" s="18"/>
      <c r="J171" s="5"/>
      <c r="K171" s="27"/>
      <c r="L171" s="5"/>
    </row>
    <row r="172" customFormat="false" ht="15" hidden="false" customHeight="false" outlineLevel="0" collapsed="false">
      <c r="A172" s="27"/>
      <c r="B172" s="5"/>
      <c r="C172" s="5"/>
      <c r="D172" s="5"/>
      <c r="E172" s="19" t="str">
        <f aca="false">IF(C172="","",IFERROR(INDEX(Listas!$S:$S,MATCH(C172,Listas!$R:$R,0)),""))</f>
        <v/>
      </c>
      <c r="F172" s="5"/>
      <c r="G172" s="5"/>
      <c r="H172" s="5"/>
      <c r="I172" s="18"/>
      <c r="J172" s="5"/>
      <c r="K172" s="27"/>
      <c r="L172" s="5"/>
    </row>
    <row r="173" customFormat="false" ht="15" hidden="false" customHeight="false" outlineLevel="0" collapsed="false">
      <c r="A173" s="27"/>
      <c r="B173" s="5"/>
      <c r="C173" s="5"/>
      <c r="D173" s="5"/>
      <c r="E173" s="19" t="str">
        <f aca="false">IF(C173="","",IFERROR(INDEX(Listas!$S:$S,MATCH(C173,Listas!$R:$R,0)),""))</f>
        <v/>
      </c>
      <c r="F173" s="5"/>
      <c r="G173" s="5"/>
      <c r="H173" s="5"/>
      <c r="I173" s="18"/>
      <c r="J173" s="5"/>
      <c r="K173" s="27"/>
      <c r="L173" s="5"/>
    </row>
    <row r="174" customFormat="false" ht="15" hidden="false" customHeight="false" outlineLevel="0" collapsed="false">
      <c r="A174" s="27"/>
      <c r="B174" s="5"/>
      <c r="C174" s="5"/>
      <c r="D174" s="5"/>
      <c r="E174" s="19" t="str">
        <f aca="false">IF(C174="","",IFERROR(INDEX(Listas!$S:$S,MATCH(C174,Listas!$R:$R,0)),""))</f>
        <v/>
      </c>
      <c r="F174" s="5"/>
      <c r="G174" s="5"/>
      <c r="H174" s="5"/>
      <c r="I174" s="18"/>
      <c r="J174" s="5"/>
      <c r="K174" s="27"/>
      <c r="L174" s="5"/>
    </row>
    <row r="175" customFormat="false" ht="15" hidden="false" customHeight="false" outlineLevel="0" collapsed="false">
      <c r="A175" s="27"/>
      <c r="B175" s="5"/>
      <c r="C175" s="5"/>
      <c r="D175" s="5"/>
      <c r="E175" s="19" t="str">
        <f aca="false">IF(C175="","",IFERROR(INDEX(Listas!$S:$S,MATCH(C175,Listas!$R:$R,0)),""))</f>
        <v/>
      </c>
      <c r="F175" s="5"/>
      <c r="G175" s="5"/>
      <c r="H175" s="5"/>
      <c r="I175" s="18"/>
      <c r="J175" s="5"/>
      <c r="K175" s="27"/>
      <c r="L175" s="5"/>
    </row>
    <row r="176" customFormat="false" ht="15" hidden="false" customHeight="false" outlineLevel="0" collapsed="false">
      <c r="A176" s="27"/>
      <c r="B176" s="5"/>
      <c r="C176" s="5"/>
      <c r="D176" s="5"/>
      <c r="E176" s="19" t="str">
        <f aca="false">IF(C176="","",IFERROR(INDEX(Listas!$S:$S,MATCH(C176,Listas!$R:$R,0)),""))</f>
        <v/>
      </c>
      <c r="F176" s="5"/>
      <c r="G176" s="5"/>
      <c r="H176" s="5"/>
      <c r="I176" s="18"/>
      <c r="J176" s="5"/>
      <c r="K176" s="27"/>
      <c r="L176" s="5"/>
    </row>
    <row r="177" customFormat="false" ht="15" hidden="false" customHeight="false" outlineLevel="0" collapsed="false">
      <c r="A177" s="27"/>
      <c r="B177" s="5"/>
      <c r="C177" s="5"/>
      <c r="D177" s="5"/>
      <c r="E177" s="19" t="str">
        <f aca="false">IF(C177="","",IFERROR(INDEX(Listas!$S:$S,MATCH(C177,Listas!$R:$R,0)),""))</f>
        <v/>
      </c>
      <c r="F177" s="5"/>
      <c r="G177" s="5"/>
      <c r="H177" s="5"/>
      <c r="I177" s="18"/>
      <c r="J177" s="5"/>
      <c r="K177" s="27"/>
      <c r="L177" s="5"/>
    </row>
    <row r="178" customFormat="false" ht="15" hidden="false" customHeight="false" outlineLevel="0" collapsed="false">
      <c r="A178" s="27"/>
      <c r="B178" s="5"/>
      <c r="C178" s="5"/>
      <c r="D178" s="5"/>
      <c r="E178" s="19" t="str">
        <f aca="false">IF(C178="","",IFERROR(INDEX(Listas!$S:$S,MATCH(C178,Listas!$R:$R,0)),""))</f>
        <v/>
      </c>
      <c r="F178" s="5"/>
      <c r="G178" s="5"/>
      <c r="H178" s="5"/>
      <c r="I178" s="18"/>
      <c r="J178" s="5"/>
      <c r="K178" s="27"/>
      <c r="L178" s="5"/>
    </row>
    <row r="179" customFormat="false" ht="15" hidden="false" customHeight="false" outlineLevel="0" collapsed="false">
      <c r="A179" s="27"/>
      <c r="B179" s="5"/>
      <c r="C179" s="5"/>
      <c r="D179" s="5"/>
      <c r="E179" s="19" t="str">
        <f aca="false">IF(C179="","",IFERROR(INDEX(Listas!$S:$S,MATCH(C179,Listas!$R:$R,0)),""))</f>
        <v/>
      </c>
      <c r="F179" s="5"/>
      <c r="G179" s="5"/>
      <c r="H179" s="5"/>
      <c r="I179" s="18"/>
      <c r="J179" s="5"/>
      <c r="K179" s="27"/>
      <c r="L179" s="5"/>
    </row>
    <row r="180" customFormat="false" ht="15" hidden="false" customHeight="false" outlineLevel="0" collapsed="false">
      <c r="A180" s="27"/>
      <c r="B180" s="5"/>
      <c r="C180" s="5"/>
      <c r="D180" s="5"/>
      <c r="E180" s="19" t="str">
        <f aca="false">IF(C180="","",IFERROR(INDEX(Listas!$S:$S,MATCH(C180,Listas!$R:$R,0)),""))</f>
        <v/>
      </c>
      <c r="F180" s="5"/>
      <c r="G180" s="5"/>
      <c r="H180" s="5"/>
      <c r="I180" s="18"/>
      <c r="J180" s="5"/>
      <c r="K180" s="27"/>
      <c r="L180" s="5"/>
    </row>
    <row r="181" customFormat="false" ht="15" hidden="false" customHeight="false" outlineLevel="0" collapsed="false">
      <c r="A181" s="27"/>
      <c r="B181" s="5"/>
      <c r="C181" s="5"/>
      <c r="D181" s="5"/>
      <c r="E181" s="19" t="str">
        <f aca="false">IF(C181="","",IFERROR(INDEX(Listas!$S:$S,MATCH(C181,Listas!$R:$R,0)),""))</f>
        <v/>
      </c>
      <c r="F181" s="5"/>
      <c r="G181" s="5"/>
      <c r="H181" s="5"/>
      <c r="I181" s="18"/>
      <c r="J181" s="5"/>
      <c r="K181" s="27"/>
      <c r="L181" s="5"/>
    </row>
    <row r="182" customFormat="false" ht="15" hidden="false" customHeight="false" outlineLevel="0" collapsed="false">
      <c r="A182" s="27"/>
      <c r="B182" s="5"/>
      <c r="C182" s="5"/>
      <c r="D182" s="5"/>
      <c r="E182" s="19" t="str">
        <f aca="false">IF(C182="","",IFERROR(INDEX(Listas!$S:$S,MATCH(C182,Listas!$R:$R,0)),""))</f>
        <v/>
      </c>
      <c r="F182" s="5"/>
      <c r="G182" s="5"/>
      <c r="H182" s="5"/>
      <c r="I182" s="18"/>
      <c r="J182" s="5"/>
      <c r="K182" s="27"/>
      <c r="L182" s="5"/>
    </row>
    <row r="183" customFormat="false" ht="15" hidden="false" customHeight="false" outlineLevel="0" collapsed="false">
      <c r="A183" s="27"/>
      <c r="B183" s="5"/>
      <c r="C183" s="5"/>
      <c r="D183" s="5"/>
      <c r="E183" s="19" t="str">
        <f aca="false">IF(C183="","",IFERROR(INDEX(Listas!$S:$S,MATCH(C183,Listas!$R:$R,0)),""))</f>
        <v/>
      </c>
      <c r="F183" s="5"/>
      <c r="G183" s="5"/>
      <c r="H183" s="5"/>
      <c r="I183" s="18"/>
      <c r="J183" s="5"/>
      <c r="K183" s="27"/>
      <c r="L183" s="5"/>
    </row>
    <row r="184" customFormat="false" ht="15" hidden="false" customHeight="false" outlineLevel="0" collapsed="false">
      <c r="A184" s="27"/>
      <c r="B184" s="5"/>
      <c r="C184" s="5"/>
      <c r="D184" s="5"/>
      <c r="E184" s="19" t="str">
        <f aca="false">IF(C184="","",IFERROR(INDEX(Listas!$S:$S,MATCH(C184,Listas!$R:$R,0)),""))</f>
        <v/>
      </c>
      <c r="F184" s="5"/>
      <c r="G184" s="5"/>
      <c r="H184" s="5"/>
      <c r="I184" s="18"/>
      <c r="J184" s="5"/>
      <c r="K184" s="27"/>
      <c r="L184" s="5"/>
    </row>
    <row r="185" customFormat="false" ht="15" hidden="false" customHeight="false" outlineLevel="0" collapsed="false">
      <c r="A185" s="27"/>
      <c r="B185" s="5"/>
      <c r="C185" s="5"/>
      <c r="D185" s="5"/>
      <c r="E185" s="19" t="str">
        <f aca="false">IF(C185="","",IFERROR(INDEX(Listas!$S:$S,MATCH(C185,Listas!$R:$R,0)),""))</f>
        <v/>
      </c>
      <c r="F185" s="5"/>
      <c r="G185" s="5"/>
      <c r="H185" s="5"/>
      <c r="I185" s="18"/>
      <c r="J185" s="5"/>
      <c r="K185" s="27"/>
      <c r="L185" s="5"/>
    </row>
    <row r="186" customFormat="false" ht="15" hidden="false" customHeight="false" outlineLevel="0" collapsed="false">
      <c r="A186" s="27"/>
      <c r="B186" s="5"/>
      <c r="C186" s="5"/>
      <c r="D186" s="5"/>
      <c r="E186" s="19" t="str">
        <f aca="false">IF(C186="","",IFERROR(INDEX(Listas!$S:$S,MATCH(C186,Listas!$R:$R,0)),""))</f>
        <v/>
      </c>
      <c r="F186" s="5"/>
      <c r="G186" s="5"/>
      <c r="H186" s="5"/>
      <c r="I186" s="18"/>
      <c r="J186" s="5"/>
      <c r="K186" s="27"/>
      <c r="L186" s="5"/>
    </row>
    <row r="187" customFormat="false" ht="15" hidden="false" customHeight="false" outlineLevel="0" collapsed="false">
      <c r="A187" s="27"/>
      <c r="B187" s="5"/>
      <c r="C187" s="5"/>
      <c r="D187" s="5"/>
      <c r="E187" s="19" t="str">
        <f aca="false">IF(C187="","",IFERROR(INDEX(Listas!$S:$S,MATCH(C187,Listas!$R:$R,0)),""))</f>
        <v/>
      </c>
      <c r="F187" s="5"/>
      <c r="G187" s="5"/>
      <c r="H187" s="5"/>
      <c r="I187" s="18"/>
      <c r="J187" s="5"/>
      <c r="K187" s="27"/>
      <c r="L187" s="5"/>
    </row>
    <row r="188" customFormat="false" ht="15" hidden="false" customHeight="false" outlineLevel="0" collapsed="false">
      <c r="A188" s="27"/>
      <c r="B188" s="5"/>
      <c r="C188" s="5"/>
      <c r="D188" s="5"/>
      <c r="E188" s="19" t="str">
        <f aca="false">IF(C188="","",IFERROR(INDEX(Listas!$S:$S,MATCH(C188,Listas!$R:$R,0)),""))</f>
        <v/>
      </c>
      <c r="F188" s="5"/>
      <c r="G188" s="5"/>
      <c r="H188" s="5"/>
      <c r="I188" s="18"/>
      <c r="J188" s="5"/>
      <c r="K188" s="27"/>
      <c r="L188" s="5"/>
    </row>
    <row r="189" customFormat="false" ht="15" hidden="false" customHeight="false" outlineLevel="0" collapsed="false">
      <c r="A189" s="27"/>
      <c r="B189" s="5"/>
      <c r="C189" s="5"/>
      <c r="D189" s="5"/>
      <c r="E189" s="19" t="str">
        <f aca="false">IF(C189="","",IFERROR(INDEX(Listas!$S:$S,MATCH(C189,Listas!$R:$R,0)),""))</f>
        <v/>
      </c>
      <c r="F189" s="5"/>
      <c r="G189" s="5"/>
      <c r="H189" s="5"/>
      <c r="I189" s="18"/>
      <c r="J189" s="5"/>
      <c r="K189" s="27"/>
      <c r="L189" s="5"/>
    </row>
    <row r="190" customFormat="false" ht="15" hidden="false" customHeight="false" outlineLevel="0" collapsed="false">
      <c r="A190" s="27"/>
      <c r="B190" s="5"/>
      <c r="C190" s="5"/>
      <c r="D190" s="5"/>
      <c r="E190" s="19" t="str">
        <f aca="false">IF(C190="","",IFERROR(INDEX(Listas!$S:$S,MATCH(C190,Listas!$R:$R,0)),""))</f>
        <v/>
      </c>
      <c r="F190" s="5"/>
      <c r="G190" s="5"/>
      <c r="H190" s="5"/>
      <c r="I190" s="18"/>
      <c r="J190" s="5"/>
      <c r="K190" s="27"/>
      <c r="L190" s="5"/>
    </row>
    <row r="191" customFormat="false" ht="15" hidden="false" customHeight="false" outlineLevel="0" collapsed="false">
      <c r="A191" s="27"/>
      <c r="B191" s="5"/>
      <c r="C191" s="5"/>
      <c r="D191" s="5"/>
      <c r="E191" s="19" t="str">
        <f aca="false">IF(C191="","",IFERROR(INDEX(Listas!$S:$S,MATCH(C191,Listas!$R:$R,0)),""))</f>
        <v/>
      </c>
      <c r="F191" s="5"/>
      <c r="G191" s="5"/>
      <c r="H191" s="5"/>
      <c r="I191" s="18"/>
      <c r="J191" s="5"/>
      <c r="K191" s="27"/>
      <c r="L191" s="5"/>
    </row>
    <row r="192" customFormat="false" ht="15" hidden="false" customHeight="false" outlineLevel="0" collapsed="false">
      <c r="A192" s="27"/>
      <c r="B192" s="5"/>
      <c r="C192" s="5"/>
      <c r="D192" s="5"/>
      <c r="E192" s="19" t="str">
        <f aca="false">IF(C192="","",IFERROR(INDEX(Listas!$S:$S,MATCH(C192,Listas!$R:$R,0)),""))</f>
        <v/>
      </c>
      <c r="F192" s="5"/>
      <c r="G192" s="5"/>
      <c r="H192" s="5"/>
      <c r="I192" s="18"/>
      <c r="J192" s="5"/>
      <c r="K192" s="27"/>
      <c r="L192" s="5"/>
    </row>
    <row r="193" customFormat="false" ht="15" hidden="false" customHeight="false" outlineLevel="0" collapsed="false">
      <c r="A193" s="27"/>
      <c r="B193" s="5"/>
      <c r="C193" s="5"/>
      <c r="D193" s="5"/>
      <c r="E193" s="19" t="str">
        <f aca="false">IF(C193="","",IFERROR(INDEX(Listas!$S:$S,MATCH(C193,Listas!$R:$R,0)),""))</f>
        <v/>
      </c>
      <c r="F193" s="5"/>
      <c r="G193" s="5"/>
      <c r="H193" s="5"/>
      <c r="I193" s="18"/>
      <c r="J193" s="5"/>
      <c r="K193" s="27"/>
      <c r="L193" s="5"/>
    </row>
    <row r="194" customFormat="false" ht="15" hidden="false" customHeight="false" outlineLevel="0" collapsed="false">
      <c r="A194" s="27"/>
      <c r="B194" s="5"/>
      <c r="C194" s="5"/>
      <c r="D194" s="5"/>
      <c r="E194" s="19" t="str">
        <f aca="false">IF(C194="","",IFERROR(INDEX(Listas!$S:$S,MATCH(C194,Listas!$R:$R,0)),""))</f>
        <v/>
      </c>
      <c r="F194" s="5"/>
      <c r="G194" s="5"/>
      <c r="H194" s="5"/>
      <c r="I194" s="18"/>
      <c r="J194" s="5"/>
      <c r="K194" s="27"/>
      <c r="L194" s="5"/>
    </row>
    <row r="195" customFormat="false" ht="15" hidden="false" customHeight="false" outlineLevel="0" collapsed="false">
      <c r="A195" s="27"/>
      <c r="B195" s="5"/>
      <c r="C195" s="5"/>
      <c r="D195" s="5"/>
      <c r="E195" s="19" t="str">
        <f aca="false">IF(C195="","",IFERROR(INDEX(Listas!$S:$S,MATCH(C195,Listas!$R:$R,0)),""))</f>
        <v/>
      </c>
      <c r="F195" s="5"/>
      <c r="G195" s="5"/>
      <c r="H195" s="5"/>
      <c r="I195" s="18"/>
      <c r="J195" s="5"/>
      <c r="K195" s="27"/>
      <c r="L195" s="5"/>
    </row>
    <row r="196" customFormat="false" ht="15" hidden="false" customHeight="false" outlineLevel="0" collapsed="false">
      <c r="A196" s="27"/>
      <c r="B196" s="5"/>
      <c r="C196" s="5"/>
      <c r="D196" s="5"/>
      <c r="E196" s="19" t="str">
        <f aca="false">IF(C196="","",IFERROR(INDEX(Listas!$S:$S,MATCH(C196,Listas!$R:$R,0)),""))</f>
        <v/>
      </c>
      <c r="F196" s="5"/>
      <c r="G196" s="5"/>
      <c r="H196" s="5"/>
      <c r="I196" s="18"/>
      <c r="J196" s="5"/>
      <c r="K196" s="27"/>
      <c r="L196" s="5"/>
    </row>
    <row r="197" customFormat="false" ht="15" hidden="false" customHeight="false" outlineLevel="0" collapsed="false">
      <c r="A197" s="27"/>
      <c r="B197" s="5"/>
      <c r="C197" s="5"/>
      <c r="D197" s="5"/>
      <c r="E197" s="19" t="str">
        <f aca="false">IF(C197="","",IFERROR(INDEX(Listas!$S:$S,MATCH(C197,Listas!$R:$R,0)),""))</f>
        <v/>
      </c>
      <c r="F197" s="5"/>
      <c r="G197" s="5"/>
      <c r="H197" s="5"/>
      <c r="I197" s="18"/>
      <c r="J197" s="5"/>
      <c r="K197" s="27"/>
      <c r="L197" s="5"/>
    </row>
    <row r="198" customFormat="false" ht="15" hidden="false" customHeight="false" outlineLevel="0" collapsed="false">
      <c r="A198" s="27"/>
      <c r="B198" s="5"/>
      <c r="C198" s="5"/>
      <c r="D198" s="5"/>
      <c r="E198" s="19" t="str">
        <f aca="false">IF(C198="","",IFERROR(INDEX(Listas!$S:$S,MATCH(C198,Listas!$R:$R,0)),""))</f>
        <v/>
      </c>
      <c r="F198" s="5"/>
      <c r="G198" s="5"/>
      <c r="H198" s="5"/>
      <c r="I198" s="18"/>
      <c r="J198" s="5"/>
      <c r="K198" s="27"/>
      <c r="L198" s="5"/>
    </row>
    <row r="199" customFormat="false" ht="15" hidden="false" customHeight="false" outlineLevel="0" collapsed="false">
      <c r="A199" s="27"/>
      <c r="B199" s="5"/>
      <c r="C199" s="5"/>
      <c r="D199" s="5"/>
      <c r="E199" s="19" t="str">
        <f aca="false">IF(C199="","",IFERROR(INDEX(Listas!$S:$S,MATCH(C199,Listas!$R:$R,0)),""))</f>
        <v/>
      </c>
      <c r="F199" s="5"/>
      <c r="G199" s="5"/>
      <c r="H199" s="5"/>
      <c r="I199" s="18"/>
      <c r="J199" s="5"/>
      <c r="K199" s="27"/>
      <c r="L199" s="5"/>
    </row>
    <row r="200" customFormat="false" ht="15" hidden="false" customHeight="false" outlineLevel="0" collapsed="false">
      <c r="A200" s="27"/>
      <c r="B200" s="5"/>
      <c r="C200" s="5"/>
      <c r="D200" s="5"/>
      <c r="E200" s="19" t="str">
        <f aca="false">IF(C200="","",IFERROR(INDEX(Listas!$S:$S,MATCH(C200,Listas!$R:$R,0)),""))</f>
        <v/>
      </c>
      <c r="F200" s="5"/>
      <c r="G200" s="5"/>
      <c r="H200" s="5"/>
      <c r="I200" s="18"/>
      <c r="J200" s="5"/>
      <c r="K200" s="27"/>
      <c r="L200" s="5"/>
    </row>
    <row r="201" customFormat="false" ht="15" hidden="false" customHeight="false" outlineLevel="0" collapsed="false">
      <c r="A201" s="27"/>
      <c r="B201" s="5"/>
      <c r="C201" s="5"/>
      <c r="D201" s="5"/>
      <c r="E201" s="19" t="str">
        <f aca="false">IF(C201="","",IFERROR(INDEX(Listas!$S:$S,MATCH(C201,Listas!$R:$R,0)),""))</f>
        <v/>
      </c>
      <c r="F201" s="5"/>
      <c r="G201" s="5"/>
      <c r="H201" s="5"/>
      <c r="I201" s="18"/>
      <c r="J201" s="5"/>
      <c r="K201" s="27"/>
      <c r="L201" s="5"/>
    </row>
  </sheetData>
  <autoFilter ref="A1:L201"/>
  <dataValidations count="1">
    <dataValidation allowBlank="true" error="Escolha uma opção da lista (as opções estão na aba Listas)." errorStyle="stop" operator="between" showDropDown="false" showErrorMessage="false" showInputMessage="false" sqref="C2:C201" type="list">
      <formula1>Listas!$R$2:$R$19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5" min="5" style="0" width="17"/>
    <col collapsed="false" customWidth="true" hidden="false" outlineLevel="0" max="6" min="6" style="0" width="24"/>
    <col collapsed="false" customWidth="true" hidden="false" outlineLevel="0" max="7" min="7" style="0" width="28"/>
    <col collapsed="false" customWidth="true" hidden="false" outlineLevel="0" max="8" min="8" style="0" width="34"/>
    <col collapsed="false" customWidth="true" hidden="false" outlineLevel="0" max="9" min="9" style="0" width="11"/>
    <col collapsed="false" customWidth="true" hidden="false" outlineLevel="0" max="10" min="10" style="0" width="30"/>
  </cols>
  <sheetData>
    <row r="1" customFormat="false" ht="39.75" hidden="false" customHeight="true" outlineLevel="0" collapsed="false">
      <c r="A1" s="10" t="s">
        <v>579</v>
      </c>
      <c r="B1" s="10" t="s">
        <v>580</v>
      </c>
      <c r="C1" s="10" t="s">
        <v>581</v>
      </c>
      <c r="D1" s="10" t="s">
        <v>582</v>
      </c>
      <c r="E1" s="10" t="s">
        <v>583</v>
      </c>
      <c r="F1" s="10" t="s">
        <v>584</v>
      </c>
      <c r="G1" s="10" t="s">
        <v>585</v>
      </c>
      <c r="H1" s="10" t="s">
        <v>586</v>
      </c>
      <c r="I1" s="10" t="s">
        <v>395</v>
      </c>
      <c r="J1" s="10" t="s">
        <v>138</v>
      </c>
    </row>
    <row r="2" customFormat="false" ht="15" hidden="false" customHeight="false" outlineLevel="0" collapsed="false">
      <c r="A2" s="7" t="s">
        <v>587</v>
      </c>
      <c r="B2" s="7" t="s">
        <v>588</v>
      </c>
      <c r="C2" s="7" t="s">
        <v>589</v>
      </c>
      <c r="D2" s="7" t="s">
        <v>590</v>
      </c>
      <c r="E2" s="23" t="s">
        <v>591</v>
      </c>
      <c r="F2" s="7" t="s">
        <v>592</v>
      </c>
      <c r="G2" s="7" t="s">
        <v>593</v>
      </c>
      <c r="H2" s="7" t="s">
        <v>594</v>
      </c>
      <c r="I2" s="23" t="s">
        <v>331</v>
      </c>
      <c r="J2" s="7" t="s">
        <v>167</v>
      </c>
    </row>
    <row r="3" customFormat="false" ht="23.85" hidden="false" customHeight="false" outlineLevel="0" collapsed="false">
      <c r="A3" s="7" t="s">
        <v>595</v>
      </c>
      <c r="B3" s="7" t="s">
        <v>596</v>
      </c>
      <c r="C3" s="7" t="s">
        <v>597</v>
      </c>
      <c r="D3" s="7" t="s">
        <v>598</v>
      </c>
      <c r="E3" s="23"/>
      <c r="F3" s="7"/>
      <c r="G3" s="7" t="s">
        <v>599</v>
      </c>
      <c r="H3" s="7" t="s">
        <v>600</v>
      </c>
      <c r="I3" s="23" t="s">
        <v>345</v>
      </c>
      <c r="J3" s="7" t="s">
        <v>167</v>
      </c>
    </row>
    <row r="4" customFormat="false" ht="15" hidden="false" customHeight="false" outlineLevel="0" collapsed="false">
      <c r="A4" s="5"/>
      <c r="B4" s="5"/>
      <c r="C4" s="5"/>
      <c r="D4" s="5"/>
      <c r="E4" s="27"/>
      <c r="F4" s="5"/>
      <c r="G4" s="5"/>
      <c r="H4" s="5"/>
      <c r="I4" s="27"/>
      <c r="J4" s="5"/>
    </row>
    <row r="5" customFormat="false" ht="15" hidden="false" customHeight="false" outlineLevel="0" collapsed="false">
      <c r="A5" s="5"/>
      <c r="B5" s="5"/>
      <c r="C5" s="5"/>
      <c r="D5" s="5"/>
      <c r="E5" s="27"/>
      <c r="F5" s="5"/>
      <c r="G5" s="5"/>
      <c r="H5" s="5"/>
      <c r="I5" s="27"/>
      <c r="J5" s="5"/>
    </row>
    <row r="6" customFormat="false" ht="15" hidden="false" customHeight="false" outlineLevel="0" collapsed="false">
      <c r="A6" s="5"/>
      <c r="B6" s="5"/>
      <c r="C6" s="5"/>
      <c r="D6" s="5"/>
      <c r="E6" s="27"/>
      <c r="F6" s="5"/>
      <c r="G6" s="5"/>
      <c r="H6" s="5"/>
      <c r="I6" s="27"/>
      <c r="J6" s="5"/>
    </row>
    <row r="7" customFormat="false" ht="15" hidden="false" customHeight="false" outlineLevel="0" collapsed="false">
      <c r="A7" s="5"/>
      <c r="B7" s="5"/>
      <c r="C7" s="5"/>
      <c r="D7" s="5"/>
      <c r="E7" s="27"/>
      <c r="F7" s="5"/>
      <c r="G7" s="5"/>
      <c r="H7" s="5"/>
      <c r="I7" s="27"/>
      <c r="J7" s="5"/>
    </row>
    <row r="8" customFormat="false" ht="15" hidden="false" customHeight="false" outlineLevel="0" collapsed="false">
      <c r="A8" s="5"/>
      <c r="B8" s="5"/>
      <c r="C8" s="5"/>
      <c r="D8" s="5"/>
      <c r="E8" s="27"/>
      <c r="F8" s="5"/>
      <c r="G8" s="5"/>
      <c r="H8" s="5"/>
      <c r="I8" s="27"/>
      <c r="J8" s="5"/>
    </row>
    <row r="9" customFormat="false" ht="15" hidden="false" customHeight="false" outlineLevel="0" collapsed="false">
      <c r="A9" s="5"/>
      <c r="B9" s="5"/>
      <c r="C9" s="5"/>
      <c r="D9" s="5"/>
      <c r="E9" s="27"/>
      <c r="F9" s="5"/>
      <c r="G9" s="5"/>
      <c r="H9" s="5"/>
      <c r="I9" s="27"/>
      <c r="J9" s="5"/>
    </row>
    <row r="10" customFormat="false" ht="15" hidden="false" customHeight="false" outlineLevel="0" collapsed="false">
      <c r="A10" s="5"/>
      <c r="B10" s="5"/>
      <c r="C10" s="5"/>
      <c r="D10" s="5"/>
      <c r="E10" s="27"/>
      <c r="F10" s="5"/>
      <c r="G10" s="5"/>
      <c r="H10" s="5"/>
      <c r="I10" s="27"/>
      <c r="J10" s="5"/>
    </row>
    <row r="11" customFormat="false" ht="15" hidden="false" customHeight="false" outlineLevel="0" collapsed="false">
      <c r="A11" s="5"/>
      <c r="B11" s="5"/>
      <c r="C11" s="5"/>
      <c r="D11" s="5"/>
      <c r="E11" s="27"/>
      <c r="F11" s="5"/>
      <c r="G11" s="5"/>
      <c r="H11" s="5"/>
      <c r="I11" s="27"/>
      <c r="J11" s="5"/>
    </row>
    <row r="12" customFormat="false" ht="15" hidden="false" customHeight="false" outlineLevel="0" collapsed="false">
      <c r="A12" s="5"/>
      <c r="B12" s="5"/>
      <c r="C12" s="5"/>
      <c r="D12" s="5"/>
      <c r="E12" s="27"/>
      <c r="F12" s="5"/>
      <c r="G12" s="5"/>
      <c r="H12" s="5"/>
      <c r="I12" s="27"/>
      <c r="J12" s="5"/>
    </row>
    <row r="13" customFormat="false" ht="15" hidden="false" customHeight="false" outlineLevel="0" collapsed="false">
      <c r="A13" s="5"/>
      <c r="B13" s="5"/>
      <c r="C13" s="5"/>
      <c r="D13" s="5"/>
      <c r="E13" s="27"/>
      <c r="F13" s="5"/>
      <c r="G13" s="5"/>
      <c r="H13" s="5"/>
      <c r="I13" s="27"/>
      <c r="J13" s="5"/>
    </row>
    <row r="14" customFormat="false" ht="15" hidden="false" customHeight="false" outlineLevel="0" collapsed="false">
      <c r="A14" s="5"/>
      <c r="B14" s="5"/>
      <c r="C14" s="5"/>
      <c r="D14" s="5"/>
      <c r="E14" s="27"/>
      <c r="F14" s="5"/>
      <c r="G14" s="5"/>
      <c r="H14" s="5"/>
      <c r="I14" s="27"/>
      <c r="J14" s="5"/>
    </row>
    <row r="15" customFormat="false" ht="15" hidden="false" customHeight="false" outlineLevel="0" collapsed="false">
      <c r="A15" s="5"/>
      <c r="B15" s="5"/>
      <c r="C15" s="5"/>
      <c r="D15" s="5"/>
      <c r="E15" s="27"/>
      <c r="F15" s="5"/>
      <c r="G15" s="5"/>
      <c r="H15" s="5"/>
      <c r="I15" s="27"/>
      <c r="J15" s="5"/>
    </row>
    <row r="16" customFormat="false" ht="15" hidden="false" customHeight="false" outlineLevel="0" collapsed="false">
      <c r="A16" s="5"/>
      <c r="B16" s="5"/>
      <c r="C16" s="5"/>
      <c r="D16" s="5"/>
      <c r="E16" s="27"/>
      <c r="F16" s="5"/>
      <c r="G16" s="5"/>
      <c r="H16" s="5"/>
      <c r="I16" s="27"/>
      <c r="J16" s="5"/>
    </row>
    <row r="17" customFormat="false" ht="15" hidden="false" customHeight="false" outlineLevel="0" collapsed="false">
      <c r="A17" s="5"/>
      <c r="B17" s="5"/>
      <c r="C17" s="5"/>
      <c r="D17" s="5"/>
      <c r="E17" s="27"/>
      <c r="F17" s="5"/>
      <c r="G17" s="5"/>
      <c r="H17" s="5"/>
      <c r="I17" s="27"/>
      <c r="J17" s="5"/>
    </row>
    <row r="18" customFormat="false" ht="15" hidden="false" customHeight="false" outlineLevel="0" collapsed="false">
      <c r="A18" s="5"/>
      <c r="B18" s="5"/>
      <c r="C18" s="5"/>
      <c r="D18" s="5"/>
      <c r="E18" s="27"/>
      <c r="F18" s="5"/>
      <c r="G18" s="5"/>
      <c r="H18" s="5"/>
      <c r="I18" s="27"/>
      <c r="J18" s="5"/>
    </row>
    <row r="19" customFormat="false" ht="15" hidden="false" customHeight="false" outlineLevel="0" collapsed="false">
      <c r="A19" s="5"/>
      <c r="B19" s="5"/>
      <c r="C19" s="5"/>
      <c r="D19" s="5"/>
      <c r="E19" s="27"/>
      <c r="F19" s="5"/>
      <c r="G19" s="5"/>
      <c r="H19" s="5"/>
      <c r="I19" s="27"/>
      <c r="J19" s="5"/>
    </row>
    <row r="20" customFormat="false" ht="15" hidden="false" customHeight="false" outlineLevel="0" collapsed="false">
      <c r="A20" s="5"/>
      <c r="B20" s="5"/>
      <c r="C20" s="5"/>
      <c r="D20" s="5"/>
      <c r="E20" s="27"/>
      <c r="F20" s="5"/>
      <c r="G20" s="5"/>
      <c r="H20" s="5"/>
      <c r="I20" s="27"/>
      <c r="J20" s="5"/>
    </row>
    <row r="21" customFormat="false" ht="15" hidden="false" customHeight="false" outlineLevel="0" collapsed="false">
      <c r="A21" s="5"/>
      <c r="B21" s="5"/>
      <c r="C21" s="5"/>
      <c r="D21" s="5"/>
      <c r="E21" s="27"/>
      <c r="F21" s="5"/>
      <c r="G21" s="5"/>
      <c r="H21" s="5"/>
      <c r="I21" s="27"/>
      <c r="J21" s="5"/>
    </row>
    <row r="22" customFormat="false" ht="15" hidden="false" customHeight="false" outlineLevel="0" collapsed="false">
      <c r="A22" s="5"/>
      <c r="B22" s="5"/>
      <c r="C22" s="5"/>
      <c r="D22" s="5"/>
      <c r="E22" s="27"/>
      <c r="F22" s="5"/>
      <c r="G22" s="5"/>
      <c r="H22" s="5"/>
      <c r="I22" s="27"/>
      <c r="J22" s="5"/>
    </row>
    <row r="23" customFormat="false" ht="15" hidden="false" customHeight="false" outlineLevel="0" collapsed="false">
      <c r="A23" s="5"/>
      <c r="B23" s="5"/>
      <c r="C23" s="5"/>
      <c r="D23" s="5"/>
      <c r="E23" s="27"/>
      <c r="F23" s="5"/>
      <c r="G23" s="5"/>
      <c r="H23" s="5"/>
      <c r="I23" s="27"/>
      <c r="J23" s="5"/>
    </row>
    <row r="24" customFormat="false" ht="15" hidden="false" customHeight="false" outlineLevel="0" collapsed="false">
      <c r="A24" s="5"/>
      <c r="B24" s="5"/>
      <c r="C24" s="5"/>
      <c r="D24" s="5"/>
      <c r="E24" s="27"/>
      <c r="F24" s="5"/>
      <c r="G24" s="5"/>
      <c r="H24" s="5"/>
      <c r="I24" s="27"/>
      <c r="J24" s="5"/>
    </row>
    <row r="25" customFormat="false" ht="15" hidden="false" customHeight="false" outlineLevel="0" collapsed="false">
      <c r="A25" s="5"/>
      <c r="B25" s="5"/>
      <c r="C25" s="5"/>
      <c r="D25" s="5"/>
      <c r="E25" s="27"/>
      <c r="F25" s="5"/>
      <c r="G25" s="5"/>
      <c r="H25" s="5"/>
      <c r="I25" s="27"/>
      <c r="J25" s="5"/>
    </row>
    <row r="26" customFormat="false" ht="15" hidden="false" customHeight="false" outlineLevel="0" collapsed="false">
      <c r="A26" s="5"/>
      <c r="B26" s="5"/>
      <c r="C26" s="5"/>
      <c r="D26" s="5"/>
      <c r="E26" s="27"/>
      <c r="F26" s="5"/>
      <c r="G26" s="5"/>
      <c r="H26" s="5"/>
      <c r="I26" s="27"/>
      <c r="J26" s="5"/>
    </row>
    <row r="27" customFormat="false" ht="15" hidden="false" customHeight="false" outlineLevel="0" collapsed="false">
      <c r="A27" s="5"/>
      <c r="B27" s="5"/>
      <c r="C27" s="5"/>
      <c r="D27" s="5"/>
      <c r="E27" s="27"/>
      <c r="F27" s="5"/>
      <c r="G27" s="5"/>
      <c r="H27" s="5"/>
      <c r="I27" s="27"/>
      <c r="J27" s="5"/>
    </row>
    <row r="28" customFormat="false" ht="15" hidden="false" customHeight="false" outlineLevel="0" collapsed="false">
      <c r="A28" s="5"/>
      <c r="B28" s="5"/>
      <c r="C28" s="5"/>
      <c r="D28" s="5"/>
      <c r="E28" s="27"/>
      <c r="F28" s="5"/>
      <c r="G28" s="5"/>
      <c r="H28" s="5"/>
      <c r="I28" s="27"/>
      <c r="J28" s="5"/>
    </row>
    <row r="29" customFormat="false" ht="15" hidden="false" customHeight="false" outlineLevel="0" collapsed="false">
      <c r="A29" s="5"/>
      <c r="B29" s="5"/>
      <c r="C29" s="5"/>
      <c r="D29" s="5"/>
      <c r="E29" s="27"/>
      <c r="F29" s="5"/>
      <c r="G29" s="5"/>
      <c r="H29" s="5"/>
      <c r="I29" s="27"/>
      <c r="J29" s="5"/>
    </row>
    <row r="30" customFormat="false" ht="15" hidden="false" customHeight="false" outlineLevel="0" collapsed="false">
      <c r="A30" s="5"/>
      <c r="B30" s="5"/>
      <c r="C30" s="5"/>
      <c r="D30" s="5"/>
      <c r="E30" s="27"/>
      <c r="F30" s="5"/>
      <c r="G30" s="5"/>
      <c r="H30" s="5"/>
      <c r="I30" s="27"/>
      <c r="J30" s="5"/>
    </row>
    <row r="31" customFormat="false" ht="15" hidden="false" customHeight="false" outlineLevel="0" collapsed="false">
      <c r="A31" s="5"/>
      <c r="B31" s="5"/>
      <c r="C31" s="5"/>
      <c r="D31" s="5"/>
      <c r="E31" s="27"/>
      <c r="F31" s="5"/>
      <c r="G31" s="5"/>
      <c r="H31" s="5"/>
      <c r="I31" s="27"/>
      <c r="J31" s="5"/>
    </row>
    <row r="32" customFormat="false" ht="15" hidden="false" customHeight="false" outlineLevel="0" collapsed="false">
      <c r="A32" s="5"/>
      <c r="B32" s="5"/>
      <c r="C32" s="5"/>
      <c r="D32" s="5"/>
      <c r="E32" s="27"/>
      <c r="F32" s="5"/>
      <c r="G32" s="5"/>
      <c r="H32" s="5"/>
      <c r="I32" s="27"/>
      <c r="J32" s="5"/>
    </row>
    <row r="33" customFormat="false" ht="15" hidden="false" customHeight="false" outlineLevel="0" collapsed="false">
      <c r="A33" s="5"/>
      <c r="B33" s="5"/>
      <c r="C33" s="5"/>
      <c r="D33" s="5"/>
      <c r="E33" s="27"/>
      <c r="F33" s="5"/>
      <c r="G33" s="5"/>
      <c r="H33" s="5"/>
      <c r="I33" s="27"/>
      <c r="J33" s="5"/>
    </row>
    <row r="34" customFormat="false" ht="15" hidden="false" customHeight="false" outlineLevel="0" collapsed="false">
      <c r="A34" s="5"/>
      <c r="B34" s="5"/>
      <c r="C34" s="5"/>
      <c r="D34" s="5"/>
      <c r="E34" s="27"/>
      <c r="F34" s="5"/>
      <c r="G34" s="5"/>
      <c r="H34" s="5"/>
      <c r="I34" s="27"/>
      <c r="J34" s="5"/>
    </row>
    <row r="35" customFormat="false" ht="15" hidden="false" customHeight="false" outlineLevel="0" collapsed="false">
      <c r="A35" s="5"/>
      <c r="B35" s="5"/>
      <c r="C35" s="5"/>
      <c r="D35" s="5"/>
      <c r="E35" s="27"/>
      <c r="F35" s="5"/>
      <c r="G35" s="5"/>
      <c r="H35" s="5"/>
      <c r="I35" s="27"/>
      <c r="J35" s="5"/>
    </row>
    <row r="36" customFormat="false" ht="15" hidden="false" customHeight="false" outlineLevel="0" collapsed="false">
      <c r="A36" s="5"/>
      <c r="B36" s="5"/>
      <c r="C36" s="5"/>
      <c r="D36" s="5"/>
      <c r="E36" s="27"/>
      <c r="F36" s="5"/>
      <c r="G36" s="5"/>
      <c r="H36" s="5"/>
      <c r="I36" s="27"/>
      <c r="J36" s="5"/>
    </row>
    <row r="37" customFormat="false" ht="15" hidden="false" customHeight="false" outlineLevel="0" collapsed="false">
      <c r="A37" s="5"/>
      <c r="B37" s="5"/>
      <c r="C37" s="5"/>
      <c r="D37" s="5"/>
      <c r="E37" s="27"/>
      <c r="F37" s="5"/>
      <c r="G37" s="5"/>
      <c r="H37" s="5"/>
      <c r="I37" s="27"/>
      <c r="J37" s="5"/>
    </row>
    <row r="38" customFormat="false" ht="15" hidden="false" customHeight="false" outlineLevel="0" collapsed="false">
      <c r="A38" s="5"/>
      <c r="B38" s="5"/>
      <c r="C38" s="5"/>
      <c r="D38" s="5"/>
      <c r="E38" s="27"/>
      <c r="F38" s="5"/>
      <c r="G38" s="5"/>
      <c r="H38" s="5"/>
      <c r="I38" s="27"/>
      <c r="J38" s="5"/>
    </row>
    <row r="39" customFormat="false" ht="15" hidden="false" customHeight="false" outlineLevel="0" collapsed="false">
      <c r="A39" s="5"/>
      <c r="B39" s="5"/>
      <c r="C39" s="5"/>
      <c r="D39" s="5"/>
      <c r="E39" s="27"/>
      <c r="F39" s="5"/>
      <c r="G39" s="5"/>
      <c r="H39" s="5"/>
      <c r="I39" s="27"/>
      <c r="J39" s="5"/>
    </row>
    <row r="40" customFormat="false" ht="15" hidden="false" customHeight="false" outlineLevel="0" collapsed="false">
      <c r="A40" s="5"/>
      <c r="B40" s="5"/>
      <c r="C40" s="5"/>
      <c r="D40" s="5"/>
      <c r="E40" s="27"/>
      <c r="F40" s="5"/>
      <c r="G40" s="5"/>
      <c r="H40" s="5"/>
      <c r="I40" s="27"/>
      <c r="J40" s="5"/>
    </row>
    <row r="41" customFormat="false" ht="15" hidden="false" customHeight="false" outlineLevel="0" collapsed="false">
      <c r="A41" s="5"/>
      <c r="B41" s="5"/>
      <c r="C41" s="5"/>
      <c r="D41" s="5"/>
      <c r="E41" s="27"/>
      <c r="F41" s="5"/>
      <c r="G41" s="5"/>
      <c r="H41" s="5"/>
      <c r="I41" s="27"/>
      <c r="J41" s="5"/>
    </row>
    <row r="42" customFormat="false" ht="15" hidden="false" customHeight="false" outlineLevel="0" collapsed="false">
      <c r="A42" s="5"/>
      <c r="B42" s="5"/>
      <c r="C42" s="5"/>
      <c r="D42" s="5"/>
      <c r="E42" s="27"/>
      <c r="F42" s="5"/>
      <c r="G42" s="5"/>
      <c r="H42" s="5"/>
      <c r="I42" s="27"/>
      <c r="J42" s="5"/>
    </row>
    <row r="43" customFormat="false" ht="15" hidden="false" customHeight="false" outlineLevel="0" collapsed="false">
      <c r="A43" s="5"/>
      <c r="B43" s="5"/>
      <c r="C43" s="5"/>
      <c r="D43" s="5"/>
      <c r="E43" s="27"/>
      <c r="F43" s="5"/>
      <c r="G43" s="5"/>
      <c r="H43" s="5"/>
      <c r="I43" s="27"/>
      <c r="J43" s="5"/>
    </row>
    <row r="44" customFormat="false" ht="15" hidden="false" customHeight="false" outlineLevel="0" collapsed="false">
      <c r="A44" s="5"/>
      <c r="B44" s="5"/>
      <c r="C44" s="5"/>
      <c r="D44" s="5"/>
      <c r="E44" s="27"/>
      <c r="F44" s="5"/>
      <c r="G44" s="5"/>
      <c r="H44" s="5"/>
      <c r="I44" s="27"/>
      <c r="J44" s="5"/>
    </row>
    <row r="45" customFormat="false" ht="15" hidden="false" customHeight="false" outlineLevel="0" collapsed="false">
      <c r="A45" s="5"/>
      <c r="B45" s="5"/>
      <c r="C45" s="5"/>
      <c r="D45" s="5"/>
      <c r="E45" s="27"/>
      <c r="F45" s="5"/>
      <c r="G45" s="5"/>
      <c r="H45" s="5"/>
      <c r="I45" s="27"/>
      <c r="J45" s="5"/>
    </row>
    <row r="46" customFormat="false" ht="15" hidden="false" customHeight="false" outlineLevel="0" collapsed="false">
      <c r="A46" s="5"/>
      <c r="B46" s="5"/>
      <c r="C46" s="5"/>
      <c r="D46" s="5"/>
      <c r="E46" s="27"/>
      <c r="F46" s="5"/>
      <c r="G46" s="5"/>
      <c r="H46" s="5"/>
      <c r="I46" s="27"/>
      <c r="J46" s="5"/>
    </row>
    <row r="47" customFormat="false" ht="15" hidden="false" customHeight="false" outlineLevel="0" collapsed="false">
      <c r="A47" s="5"/>
      <c r="B47" s="5"/>
      <c r="C47" s="5"/>
      <c r="D47" s="5"/>
      <c r="E47" s="27"/>
      <c r="F47" s="5"/>
      <c r="G47" s="5"/>
      <c r="H47" s="5"/>
      <c r="I47" s="27"/>
      <c r="J47" s="5"/>
    </row>
    <row r="48" customFormat="false" ht="15" hidden="false" customHeight="false" outlineLevel="0" collapsed="false">
      <c r="A48" s="5"/>
      <c r="B48" s="5"/>
      <c r="C48" s="5"/>
      <c r="D48" s="5"/>
      <c r="E48" s="27"/>
      <c r="F48" s="5"/>
      <c r="G48" s="5"/>
      <c r="H48" s="5"/>
      <c r="I48" s="27"/>
      <c r="J48" s="5"/>
    </row>
    <row r="49" customFormat="false" ht="15" hidden="false" customHeight="false" outlineLevel="0" collapsed="false">
      <c r="A49" s="5"/>
      <c r="B49" s="5"/>
      <c r="C49" s="5"/>
      <c r="D49" s="5"/>
      <c r="E49" s="27"/>
      <c r="F49" s="5"/>
      <c r="G49" s="5"/>
      <c r="H49" s="5"/>
      <c r="I49" s="27"/>
      <c r="J49" s="5"/>
    </row>
    <row r="50" customFormat="false" ht="15" hidden="false" customHeight="false" outlineLevel="0" collapsed="false">
      <c r="A50" s="5"/>
      <c r="B50" s="5"/>
      <c r="C50" s="5"/>
      <c r="D50" s="5"/>
      <c r="E50" s="27"/>
      <c r="F50" s="5"/>
      <c r="G50" s="5"/>
      <c r="H50" s="5"/>
      <c r="I50" s="27"/>
      <c r="J50" s="5"/>
    </row>
    <row r="51" customFormat="false" ht="15" hidden="false" customHeight="false" outlineLevel="0" collapsed="false">
      <c r="A51" s="5"/>
      <c r="B51" s="5"/>
      <c r="C51" s="5"/>
      <c r="D51" s="5"/>
      <c r="E51" s="27"/>
      <c r="F51" s="5"/>
      <c r="G51" s="5"/>
      <c r="H51" s="5"/>
      <c r="I51" s="27"/>
      <c r="J51" s="5"/>
    </row>
    <row r="52" customFormat="false" ht="15" hidden="false" customHeight="false" outlineLevel="0" collapsed="false">
      <c r="A52" s="5"/>
      <c r="B52" s="5"/>
      <c r="C52" s="5"/>
      <c r="D52" s="5"/>
      <c r="E52" s="27"/>
      <c r="F52" s="5"/>
      <c r="G52" s="5"/>
      <c r="H52" s="5"/>
      <c r="I52" s="27"/>
      <c r="J52" s="5"/>
    </row>
    <row r="53" customFormat="false" ht="15" hidden="false" customHeight="false" outlineLevel="0" collapsed="false">
      <c r="A53" s="5"/>
      <c r="B53" s="5"/>
      <c r="C53" s="5"/>
      <c r="D53" s="5"/>
      <c r="E53" s="27"/>
      <c r="F53" s="5"/>
      <c r="G53" s="5"/>
      <c r="H53" s="5"/>
      <c r="I53" s="27"/>
      <c r="J53" s="5"/>
    </row>
    <row r="54" customFormat="false" ht="15" hidden="false" customHeight="false" outlineLevel="0" collapsed="false">
      <c r="A54" s="5"/>
      <c r="B54" s="5"/>
      <c r="C54" s="5"/>
      <c r="D54" s="5"/>
      <c r="E54" s="27"/>
      <c r="F54" s="5"/>
      <c r="G54" s="5"/>
      <c r="H54" s="5"/>
      <c r="I54" s="27"/>
      <c r="J54" s="5"/>
    </row>
    <row r="55" customFormat="false" ht="15" hidden="false" customHeight="false" outlineLevel="0" collapsed="false">
      <c r="A55" s="5"/>
      <c r="B55" s="5"/>
      <c r="C55" s="5"/>
      <c r="D55" s="5"/>
      <c r="E55" s="27"/>
      <c r="F55" s="5"/>
      <c r="G55" s="5"/>
      <c r="H55" s="5"/>
      <c r="I55" s="27"/>
      <c r="J55" s="5"/>
    </row>
    <row r="56" customFormat="false" ht="15" hidden="false" customHeight="false" outlineLevel="0" collapsed="false">
      <c r="A56" s="5"/>
      <c r="B56" s="5"/>
      <c r="C56" s="5"/>
      <c r="D56" s="5"/>
      <c r="E56" s="27"/>
      <c r="F56" s="5"/>
      <c r="G56" s="5"/>
      <c r="H56" s="5"/>
      <c r="I56" s="27"/>
      <c r="J56" s="5"/>
    </row>
    <row r="57" customFormat="false" ht="15" hidden="false" customHeight="false" outlineLevel="0" collapsed="false">
      <c r="A57" s="5"/>
      <c r="B57" s="5"/>
      <c r="C57" s="5"/>
      <c r="D57" s="5"/>
      <c r="E57" s="27"/>
      <c r="F57" s="5"/>
      <c r="G57" s="5"/>
      <c r="H57" s="5"/>
      <c r="I57" s="27"/>
      <c r="J57" s="5"/>
    </row>
    <row r="58" customFormat="false" ht="15" hidden="false" customHeight="false" outlineLevel="0" collapsed="false">
      <c r="A58" s="5"/>
      <c r="B58" s="5"/>
      <c r="C58" s="5"/>
      <c r="D58" s="5"/>
      <c r="E58" s="27"/>
      <c r="F58" s="5"/>
      <c r="G58" s="5"/>
      <c r="H58" s="5"/>
      <c r="I58" s="27"/>
      <c r="J58" s="5"/>
    </row>
    <row r="59" customFormat="false" ht="15" hidden="false" customHeight="false" outlineLevel="0" collapsed="false">
      <c r="A59" s="5"/>
      <c r="B59" s="5"/>
      <c r="C59" s="5"/>
      <c r="D59" s="5"/>
      <c r="E59" s="27"/>
      <c r="F59" s="5"/>
      <c r="G59" s="5"/>
      <c r="H59" s="5"/>
      <c r="I59" s="27"/>
      <c r="J59" s="5"/>
    </row>
    <row r="60" customFormat="false" ht="15" hidden="false" customHeight="false" outlineLevel="0" collapsed="false">
      <c r="A60" s="5"/>
      <c r="B60" s="5"/>
      <c r="C60" s="5"/>
      <c r="D60" s="5"/>
      <c r="E60" s="27"/>
      <c r="F60" s="5"/>
      <c r="G60" s="5"/>
      <c r="H60" s="5"/>
      <c r="I60" s="27"/>
      <c r="J60" s="5"/>
    </row>
    <row r="61" customFormat="false" ht="15" hidden="false" customHeight="false" outlineLevel="0" collapsed="false">
      <c r="A61" s="5"/>
      <c r="B61" s="5"/>
      <c r="C61" s="5"/>
      <c r="D61" s="5"/>
      <c r="E61" s="27"/>
      <c r="F61" s="5"/>
      <c r="G61" s="5"/>
      <c r="H61" s="5"/>
      <c r="I61" s="27"/>
      <c r="J61" s="5"/>
    </row>
    <row r="62" customFormat="false" ht="15" hidden="false" customHeight="false" outlineLevel="0" collapsed="false">
      <c r="A62" s="5"/>
      <c r="B62" s="5"/>
      <c r="C62" s="5"/>
      <c r="D62" s="5"/>
      <c r="E62" s="27"/>
      <c r="F62" s="5"/>
      <c r="G62" s="5"/>
      <c r="H62" s="5"/>
      <c r="I62" s="27"/>
      <c r="J62" s="5"/>
    </row>
    <row r="63" customFormat="false" ht="15" hidden="false" customHeight="false" outlineLevel="0" collapsed="false">
      <c r="A63" s="5"/>
      <c r="B63" s="5"/>
      <c r="C63" s="5"/>
      <c r="D63" s="5"/>
      <c r="E63" s="27"/>
      <c r="F63" s="5"/>
      <c r="G63" s="5"/>
      <c r="H63" s="5"/>
      <c r="I63" s="27"/>
      <c r="J63" s="5"/>
    </row>
    <row r="64" customFormat="false" ht="15" hidden="false" customHeight="false" outlineLevel="0" collapsed="false">
      <c r="A64" s="5"/>
      <c r="B64" s="5"/>
      <c r="C64" s="5"/>
      <c r="D64" s="5"/>
      <c r="E64" s="27"/>
      <c r="F64" s="5"/>
      <c r="G64" s="5"/>
      <c r="H64" s="5"/>
      <c r="I64" s="27"/>
      <c r="J64" s="5"/>
    </row>
    <row r="65" customFormat="false" ht="15" hidden="false" customHeight="false" outlineLevel="0" collapsed="false">
      <c r="A65" s="5"/>
      <c r="B65" s="5"/>
      <c r="C65" s="5"/>
      <c r="D65" s="5"/>
      <c r="E65" s="27"/>
      <c r="F65" s="5"/>
      <c r="G65" s="5"/>
      <c r="H65" s="5"/>
      <c r="I65" s="27"/>
      <c r="J65" s="5"/>
    </row>
    <row r="66" customFormat="false" ht="15" hidden="false" customHeight="false" outlineLevel="0" collapsed="false">
      <c r="A66" s="5"/>
      <c r="B66" s="5"/>
      <c r="C66" s="5"/>
      <c r="D66" s="5"/>
      <c r="E66" s="27"/>
      <c r="F66" s="5"/>
      <c r="G66" s="5"/>
      <c r="H66" s="5"/>
      <c r="I66" s="27"/>
      <c r="J66" s="5"/>
    </row>
    <row r="67" customFormat="false" ht="15" hidden="false" customHeight="false" outlineLevel="0" collapsed="false">
      <c r="A67" s="5"/>
      <c r="B67" s="5"/>
      <c r="C67" s="5"/>
      <c r="D67" s="5"/>
      <c r="E67" s="27"/>
      <c r="F67" s="5"/>
      <c r="G67" s="5"/>
      <c r="H67" s="5"/>
      <c r="I67" s="27"/>
      <c r="J67" s="5"/>
    </row>
    <row r="68" customFormat="false" ht="15" hidden="false" customHeight="false" outlineLevel="0" collapsed="false">
      <c r="A68" s="5"/>
      <c r="B68" s="5"/>
      <c r="C68" s="5"/>
      <c r="D68" s="5"/>
      <c r="E68" s="27"/>
      <c r="F68" s="5"/>
      <c r="G68" s="5"/>
      <c r="H68" s="5"/>
      <c r="I68" s="27"/>
      <c r="J68" s="5"/>
    </row>
    <row r="69" customFormat="false" ht="15" hidden="false" customHeight="false" outlineLevel="0" collapsed="false">
      <c r="A69" s="5"/>
      <c r="B69" s="5"/>
      <c r="C69" s="5"/>
      <c r="D69" s="5"/>
      <c r="E69" s="27"/>
      <c r="F69" s="5"/>
      <c r="G69" s="5"/>
      <c r="H69" s="5"/>
      <c r="I69" s="27"/>
      <c r="J69" s="5"/>
    </row>
    <row r="70" customFormat="false" ht="15" hidden="false" customHeight="false" outlineLevel="0" collapsed="false">
      <c r="A70" s="5"/>
      <c r="B70" s="5"/>
      <c r="C70" s="5"/>
      <c r="D70" s="5"/>
      <c r="E70" s="27"/>
      <c r="F70" s="5"/>
      <c r="G70" s="5"/>
      <c r="H70" s="5"/>
      <c r="I70" s="27"/>
      <c r="J70" s="5"/>
    </row>
    <row r="71" customFormat="false" ht="15" hidden="false" customHeight="false" outlineLevel="0" collapsed="false">
      <c r="A71" s="5"/>
      <c r="B71" s="5"/>
      <c r="C71" s="5"/>
      <c r="D71" s="5"/>
      <c r="E71" s="27"/>
      <c r="F71" s="5"/>
      <c r="G71" s="5"/>
      <c r="H71" s="5"/>
      <c r="I71" s="27"/>
      <c r="J71" s="5"/>
    </row>
    <row r="72" customFormat="false" ht="15" hidden="false" customHeight="false" outlineLevel="0" collapsed="false">
      <c r="A72" s="5"/>
      <c r="B72" s="5"/>
      <c r="C72" s="5"/>
      <c r="D72" s="5"/>
      <c r="E72" s="27"/>
      <c r="F72" s="5"/>
      <c r="G72" s="5"/>
      <c r="H72" s="5"/>
      <c r="I72" s="27"/>
      <c r="J72" s="5"/>
    </row>
    <row r="73" customFormat="false" ht="15" hidden="false" customHeight="false" outlineLevel="0" collapsed="false">
      <c r="A73" s="5"/>
      <c r="B73" s="5"/>
      <c r="C73" s="5"/>
      <c r="D73" s="5"/>
      <c r="E73" s="27"/>
      <c r="F73" s="5"/>
      <c r="G73" s="5"/>
      <c r="H73" s="5"/>
      <c r="I73" s="27"/>
      <c r="J73" s="5"/>
    </row>
    <row r="74" customFormat="false" ht="15" hidden="false" customHeight="false" outlineLevel="0" collapsed="false">
      <c r="A74" s="5"/>
      <c r="B74" s="5"/>
      <c r="C74" s="5"/>
      <c r="D74" s="5"/>
      <c r="E74" s="27"/>
      <c r="F74" s="5"/>
      <c r="G74" s="5"/>
      <c r="H74" s="5"/>
      <c r="I74" s="27"/>
      <c r="J74" s="5"/>
    </row>
    <row r="75" customFormat="false" ht="15" hidden="false" customHeight="false" outlineLevel="0" collapsed="false">
      <c r="A75" s="5"/>
      <c r="B75" s="5"/>
      <c r="C75" s="5"/>
      <c r="D75" s="5"/>
      <c r="E75" s="27"/>
      <c r="F75" s="5"/>
      <c r="G75" s="5"/>
      <c r="H75" s="5"/>
      <c r="I75" s="27"/>
      <c r="J75" s="5"/>
    </row>
    <row r="76" customFormat="false" ht="15" hidden="false" customHeight="false" outlineLevel="0" collapsed="false">
      <c r="A76" s="5"/>
      <c r="B76" s="5"/>
      <c r="C76" s="5"/>
      <c r="D76" s="5"/>
      <c r="E76" s="27"/>
      <c r="F76" s="5"/>
      <c r="G76" s="5"/>
      <c r="H76" s="5"/>
      <c r="I76" s="27"/>
      <c r="J76" s="5"/>
    </row>
    <row r="77" customFormat="false" ht="15" hidden="false" customHeight="false" outlineLevel="0" collapsed="false">
      <c r="A77" s="5"/>
      <c r="B77" s="5"/>
      <c r="C77" s="5"/>
      <c r="D77" s="5"/>
      <c r="E77" s="27"/>
      <c r="F77" s="5"/>
      <c r="G77" s="5"/>
      <c r="H77" s="5"/>
      <c r="I77" s="27"/>
      <c r="J77" s="5"/>
    </row>
    <row r="78" customFormat="false" ht="15" hidden="false" customHeight="false" outlineLevel="0" collapsed="false">
      <c r="A78" s="5"/>
      <c r="B78" s="5"/>
      <c r="C78" s="5"/>
      <c r="D78" s="5"/>
      <c r="E78" s="27"/>
      <c r="F78" s="5"/>
      <c r="G78" s="5"/>
      <c r="H78" s="5"/>
      <c r="I78" s="27"/>
      <c r="J78" s="5"/>
    </row>
    <row r="79" customFormat="false" ht="15" hidden="false" customHeight="false" outlineLevel="0" collapsed="false">
      <c r="A79" s="5"/>
      <c r="B79" s="5"/>
      <c r="C79" s="5"/>
      <c r="D79" s="5"/>
      <c r="E79" s="27"/>
      <c r="F79" s="5"/>
      <c r="G79" s="5"/>
      <c r="H79" s="5"/>
      <c r="I79" s="27"/>
      <c r="J79" s="5"/>
    </row>
    <row r="80" customFormat="false" ht="15" hidden="false" customHeight="false" outlineLevel="0" collapsed="false">
      <c r="A80" s="5"/>
      <c r="B80" s="5"/>
      <c r="C80" s="5"/>
      <c r="D80" s="5"/>
      <c r="E80" s="27"/>
      <c r="F80" s="5"/>
      <c r="G80" s="5"/>
      <c r="H80" s="5"/>
      <c r="I80" s="27"/>
      <c r="J80" s="5"/>
    </row>
    <row r="81" customFormat="false" ht="15" hidden="false" customHeight="false" outlineLevel="0" collapsed="false">
      <c r="A81" s="5"/>
      <c r="B81" s="5"/>
      <c r="C81" s="5"/>
      <c r="D81" s="5"/>
      <c r="E81" s="27"/>
      <c r="F81" s="5"/>
      <c r="G81" s="5"/>
      <c r="H81" s="5"/>
      <c r="I81" s="27"/>
      <c r="J81" s="5"/>
    </row>
    <row r="82" customFormat="false" ht="15" hidden="false" customHeight="false" outlineLevel="0" collapsed="false">
      <c r="A82" s="5"/>
      <c r="B82" s="5"/>
      <c r="C82" s="5"/>
      <c r="D82" s="5"/>
      <c r="E82" s="27"/>
      <c r="F82" s="5"/>
      <c r="G82" s="5"/>
      <c r="H82" s="5"/>
      <c r="I82" s="27"/>
      <c r="J82" s="5"/>
    </row>
    <row r="83" customFormat="false" ht="15" hidden="false" customHeight="false" outlineLevel="0" collapsed="false">
      <c r="A83" s="5"/>
      <c r="B83" s="5"/>
      <c r="C83" s="5"/>
      <c r="D83" s="5"/>
      <c r="E83" s="27"/>
      <c r="F83" s="5"/>
      <c r="G83" s="5"/>
      <c r="H83" s="5"/>
      <c r="I83" s="27"/>
      <c r="J83" s="5"/>
    </row>
    <row r="84" customFormat="false" ht="15" hidden="false" customHeight="false" outlineLevel="0" collapsed="false">
      <c r="A84" s="5"/>
      <c r="B84" s="5"/>
      <c r="C84" s="5"/>
      <c r="D84" s="5"/>
      <c r="E84" s="27"/>
      <c r="F84" s="5"/>
      <c r="G84" s="5"/>
      <c r="H84" s="5"/>
      <c r="I84" s="27"/>
      <c r="J84" s="5"/>
    </row>
    <row r="85" customFormat="false" ht="15" hidden="false" customHeight="false" outlineLevel="0" collapsed="false">
      <c r="A85" s="5"/>
      <c r="B85" s="5"/>
      <c r="C85" s="5"/>
      <c r="D85" s="5"/>
      <c r="E85" s="27"/>
      <c r="F85" s="5"/>
      <c r="G85" s="5"/>
      <c r="H85" s="5"/>
      <c r="I85" s="27"/>
      <c r="J85" s="5"/>
    </row>
    <row r="86" customFormat="false" ht="15" hidden="false" customHeight="false" outlineLevel="0" collapsed="false">
      <c r="A86" s="5"/>
      <c r="B86" s="5"/>
      <c r="C86" s="5"/>
      <c r="D86" s="5"/>
      <c r="E86" s="27"/>
      <c r="F86" s="5"/>
      <c r="G86" s="5"/>
      <c r="H86" s="5"/>
      <c r="I86" s="27"/>
      <c r="J86" s="5"/>
    </row>
    <row r="87" customFormat="false" ht="15" hidden="false" customHeight="false" outlineLevel="0" collapsed="false">
      <c r="A87" s="5"/>
      <c r="B87" s="5"/>
      <c r="C87" s="5"/>
      <c r="D87" s="5"/>
      <c r="E87" s="27"/>
      <c r="F87" s="5"/>
      <c r="G87" s="5"/>
      <c r="H87" s="5"/>
      <c r="I87" s="27"/>
      <c r="J87" s="5"/>
    </row>
    <row r="88" customFormat="false" ht="15" hidden="false" customHeight="false" outlineLevel="0" collapsed="false">
      <c r="A88" s="5"/>
      <c r="B88" s="5"/>
      <c r="C88" s="5"/>
      <c r="D88" s="5"/>
      <c r="E88" s="27"/>
      <c r="F88" s="5"/>
      <c r="G88" s="5"/>
      <c r="H88" s="5"/>
      <c r="I88" s="27"/>
      <c r="J88" s="5"/>
    </row>
    <row r="89" customFormat="false" ht="15" hidden="false" customHeight="false" outlineLevel="0" collapsed="false">
      <c r="A89" s="5"/>
      <c r="B89" s="5"/>
      <c r="C89" s="5"/>
      <c r="D89" s="5"/>
      <c r="E89" s="27"/>
      <c r="F89" s="5"/>
      <c r="G89" s="5"/>
      <c r="H89" s="5"/>
      <c r="I89" s="27"/>
      <c r="J89" s="5"/>
    </row>
    <row r="90" customFormat="false" ht="15" hidden="false" customHeight="false" outlineLevel="0" collapsed="false">
      <c r="A90" s="5"/>
      <c r="B90" s="5"/>
      <c r="C90" s="5"/>
      <c r="D90" s="5"/>
      <c r="E90" s="27"/>
      <c r="F90" s="5"/>
      <c r="G90" s="5"/>
      <c r="H90" s="5"/>
      <c r="I90" s="27"/>
      <c r="J90" s="5"/>
    </row>
    <row r="91" customFormat="false" ht="15" hidden="false" customHeight="false" outlineLevel="0" collapsed="false">
      <c r="A91" s="5"/>
      <c r="B91" s="5"/>
      <c r="C91" s="5"/>
      <c r="D91" s="5"/>
      <c r="E91" s="27"/>
      <c r="F91" s="5"/>
      <c r="G91" s="5"/>
      <c r="H91" s="5"/>
      <c r="I91" s="27"/>
      <c r="J91" s="5"/>
    </row>
    <row r="92" customFormat="false" ht="15" hidden="false" customHeight="false" outlineLevel="0" collapsed="false">
      <c r="A92" s="5"/>
      <c r="B92" s="5"/>
      <c r="C92" s="5"/>
      <c r="D92" s="5"/>
      <c r="E92" s="27"/>
      <c r="F92" s="5"/>
      <c r="G92" s="5"/>
      <c r="H92" s="5"/>
      <c r="I92" s="27"/>
      <c r="J92" s="5"/>
    </row>
    <row r="93" customFormat="false" ht="15" hidden="false" customHeight="false" outlineLevel="0" collapsed="false">
      <c r="A93" s="5"/>
      <c r="B93" s="5"/>
      <c r="C93" s="5"/>
      <c r="D93" s="5"/>
      <c r="E93" s="27"/>
      <c r="F93" s="5"/>
      <c r="G93" s="5"/>
      <c r="H93" s="5"/>
      <c r="I93" s="27"/>
      <c r="J93" s="5"/>
    </row>
    <row r="94" customFormat="false" ht="15" hidden="false" customHeight="false" outlineLevel="0" collapsed="false">
      <c r="A94" s="5"/>
      <c r="B94" s="5"/>
      <c r="C94" s="5"/>
      <c r="D94" s="5"/>
      <c r="E94" s="27"/>
      <c r="F94" s="5"/>
      <c r="G94" s="5"/>
      <c r="H94" s="5"/>
      <c r="I94" s="27"/>
      <c r="J94" s="5"/>
    </row>
    <row r="95" customFormat="false" ht="15" hidden="false" customHeight="false" outlineLevel="0" collapsed="false">
      <c r="A95" s="5"/>
      <c r="B95" s="5"/>
      <c r="C95" s="5"/>
      <c r="D95" s="5"/>
      <c r="E95" s="27"/>
      <c r="F95" s="5"/>
      <c r="G95" s="5"/>
      <c r="H95" s="5"/>
      <c r="I95" s="27"/>
      <c r="J95" s="5"/>
    </row>
    <row r="96" customFormat="false" ht="15" hidden="false" customHeight="false" outlineLevel="0" collapsed="false">
      <c r="A96" s="5"/>
      <c r="B96" s="5"/>
      <c r="C96" s="5"/>
      <c r="D96" s="5"/>
      <c r="E96" s="27"/>
      <c r="F96" s="5"/>
      <c r="G96" s="5"/>
      <c r="H96" s="5"/>
      <c r="I96" s="27"/>
      <c r="J96" s="5"/>
    </row>
    <row r="97" customFormat="false" ht="15" hidden="false" customHeight="false" outlineLevel="0" collapsed="false">
      <c r="A97" s="5"/>
      <c r="B97" s="5"/>
      <c r="C97" s="5"/>
      <c r="D97" s="5"/>
      <c r="E97" s="27"/>
      <c r="F97" s="5"/>
      <c r="G97" s="5"/>
      <c r="H97" s="5"/>
      <c r="I97" s="27"/>
      <c r="J97" s="5"/>
    </row>
    <row r="98" customFormat="false" ht="15" hidden="false" customHeight="false" outlineLevel="0" collapsed="false">
      <c r="A98" s="5"/>
      <c r="B98" s="5"/>
      <c r="C98" s="5"/>
      <c r="D98" s="5"/>
      <c r="E98" s="27"/>
      <c r="F98" s="5"/>
      <c r="G98" s="5"/>
      <c r="H98" s="5"/>
      <c r="I98" s="27"/>
      <c r="J98" s="5"/>
    </row>
    <row r="99" customFormat="false" ht="15" hidden="false" customHeight="false" outlineLevel="0" collapsed="false">
      <c r="A99" s="5"/>
      <c r="B99" s="5"/>
      <c r="C99" s="5"/>
      <c r="D99" s="5"/>
      <c r="E99" s="27"/>
      <c r="F99" s="5"/>
      <c r="G99" s="5"/>
      <c r="H99" s="5"/>
      <c r="I99" s="27"/>
      <c r="J99" s="5"/>
    </row>
    <row r="100" customFormat="false" ht="15" hidden="false" customHeight="false" outlineLevel="0" collapsed="false">
      <c r="A100" s="5"/>
      <c r="B100" s="5"/>
      <c r="C100" s="5"/>
      <c r="D100" s="5"/>
      <c r="E100" s="27"/>
      <c r="F100" s="5"/>
      <c r="G100" s="5"/>
      <c r="H100" s="5"/>
      <c r="I100" s="27"/>
      <c r="J100" s="5"/>
    </row>
    <row r="101" customFormat="false" ht="15" hidden="false" customHeight="false" outlineLevel="0" collapsed="false">
      <c r="A101" s="5"/>
      <c r="B101" s="5"/>
      <c r="C101" s="5"/>
      <c r="D101" s="5"/>
      <c r="E101" s="27"/>
      <c r="F101" s="5"/>
      <c r="G101" s="5"/>
      <c r="H101" s="5"/>
      <c r="I101" s="27"/>
      <c r="J101" s="5"/>
    </row>
  </sheetData>
  <autoFilter ref="A1:J101"/>
  <conditionalFormatting sqref="E2:E101">
    <cfRule type="expression" priority="2" aboveAverage="0" equalAverage="0" bottom="0" percent="0" rank="0" text="" dxfId="17">
      <formula>AND(E2&lt;&gt;"",LEN(E2)&lt;&gt;14)</formula>
    </cfRule>
  </conditionalFormatting>
  <dataValidations count="1">
    <dataValidation allowBlank="true" error="Digite o CNPJ como texto, com 14 caracteres, sem pontos, barra ou traço. É a chave de todos os cruzamentos." errorStyle="warning" errorTitle="CNPJ com 14 caracteres" operator="equal" showDropDown="false" showErrorMessage="true" showInputMessage="false" sqref="E2:E101" type="textLength">
      <formula1>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30"/>
    <col collapsed="false" customWidth="true" hidden="false" outlineLevel="0" max="8" min="8" style="0" width="12"/>
    <col collapsed="false" customWidth="true" hidden="false" outlineLevel="0" max="9" min="9" style="0" width="22"/>
    <col collapsed="false" customWidth="true" hidden="false" outlineLevel="0" max="10" min="10" style="0" width="30"/>
    <col collapsed="false" customWidth="true" hidden="false" outlineLevel="0" max="11" min="11" style="0" width="11"/>
    <col collapsed="false" customWidth="true" hidden="false" outlineLevel="0" max="12" min="12" style="0" width="30"/>
    <col collapsed="false" customWidth="true" hidden="false" outlineLevel="0" max="13" min="13" style="0" width="3"/>
    <col collapsed="false" customWidth="true" hidden="false" outlineLevel="0" max="14" min="14" style="0" width="22"/>
    <col collapsed="false" customWidth="true" hidden="false" outlineLevel="0" max="15" min="15" style="0" width="44"/>
  </cols>
  <sheetData>
    <row r="1" customFormat="false" ht="39.75" hidden="false" customHeight="true" outlineLevel="0" collapsed="false">
      <c r="A1" s="10" t="s">
        <v>402</v>
      </c>
      <c r="B1" s="10" t="s">
        <v>601</v>
      </c>
      <c r="C1" s="10" t="s">
        <v>157</v>
      </c>
      <c r="D1" s="10" t="s">
        <v>602</v>
      </c>
      <c r="E1" s="10" t="s">
        <v>256</v>
      </c>
      <c r="F1" s="10" t="s">
        <v>603</v>
      </c>
      <c r="G1" s="15" t="s">
        <v>604</v>
      </c>
      <c r="H1" s="10" t="s">
        <v>605</v>
      </c>
      <c r="I1" s="10" t="s">
        <v>606</v>
      </c>
      <c r="J1" s="10" t="s">
        <v>607</v>
      </c>
      <c r="K1" s="10" t="s">
        <v>395</v>
      </c>
      <c r="L1" s="10" t="s">
        <v>138</v>
      </c>
    </row>
    <row r="2" customFormat="false" ht="23.85" hidden="false" customHeight="false" outlineLevel="0" collapsed="false">
      <c r="A2" s="7" t="s">
        <v>608</v>
      </c>
      <c r="B2" s="13" t="s">
        <v>609</v>
      </c>
      <c r="C2" s="7" t="s">
        <v>610</v>
      </c>
      <c r="D2" s="16" t="n">
        <v>42430</v>
      </c>
      <c r="E2" s="7" t="s">
        <v>611</v>
      </c>
      <c r="F2" s="7" t="s">
        <v>612</v>
      </c>
      <c r="G2" s="17" t="str">
        <f aca="false">IF(F2="","",IF(F2="Cidadão comum","NÃO — monitorar a vida de cidadão comum não é apuração (OSINT 6.7)",IF(F2="Empresa","Só o que for público e ligado à pauta","Sim: perfil público, sobre o cargo ou a pauta")))</f>
        <v>Sim: perfil público, sobre o cargo ou a pauta</v>
      </c>
      <c r="H2" s="13" t="s">
        <v>613</v>
      </c>
      <c r="I2" s="7" t="s">
        <v>614</v>
      </c>
      <c r="J2" s="7" t="s">
        <v>615</v>
      </c>
      <c r="K2" s="23" t="s">
        <v>345</v>
      </c>
      <c r="L2" s="7" t="s">
        <v>167</v>
      </c>
    </row>
    <row r="3" customFormat="false" ht="23.85" hidden="false" customHeight="false" outlineLevel="0" collapsed="false">
      <c r="A3" s="7" t="s">
        <v>302</v>
      </c>
      <c r="B3" s="13" t="s">
        <v>616</v>
      </c>
      <c r="C3" s="7" t="s">
        <v>617</v>
      </c>
      <c r="D3" s="16" t="n">
        <v>41031</v>
      </c>
      <c r="E3" s="7"/>
      <c r="F3" s="7" t="s">
        <v>618</v>
      </c>
      <c r="G3" s="17" t="str">
        <f aca="false">IF(F3="","",IF(F3="Cidadão comum","NÃO — monitorar a vida de cidadão comum não é apuração (OSINT 6.7)",IF(F3="Empresa","Só o que for público e ligado à pauta","Sim: perfil público, sobre o cargo ou a pauta")))</f>
        <v>Sim: perfil público, sobre o cargo ou a pauta</v>
      </c>
      <c r="H3" s="13" t="s">
        <v>613</v>
      </c>
      <c r="I3" s="7" t="s">
        <v>619</v>
      </c>
      <c r="J3" s="7"/>
      <c r="K3" s="23" t="s">
        <v>345</v>
      </c>
      <c r="L3" s="7" t="s">
        <v>167</v>
      </c>
    </row>
    <row r="4" customFormat="false" ht="23.85" hidden="false" customHeight="false" outlineLevel="0" collapsed="false">
      <c r="A4" s="7" t="s">
        <v>620</v>
      </c>
      <c r="B4" s="13" t="s">
        <v>609</v>
      </c>
      <c r="C4" s="7"/>
      <c r="D4" s="16"/>
      <c r="E4" s="7"/>
      <c r="F4" s="7" t="s">
        <v>621</v>
      </c>
      <c r="G4" s="17" t="str">
        <f aca="false">IF(F4="","",IF(F4="Cidadão comum","NÃO — monitorar a vida de cidadão comum não é apuração (OSINT 6.7)",IF(F4="Empresa","Só o que for público e ligado à pauta","Sim: perfil público, sobre o cargo ou a pauta")))</f>
        <v>NÃO — monitorar a vida de cidadão comum não é apuração (OSINT 6.7)</v>
      </c>
      <c r="H4" s="13"/>
      <c r="I4" s="7"/>
      <c r="J4" s="7"/>
      <c r="K4" s="23"/>
      <c r="L4" s="7" t="s">
        <v>622</v>
      </c>
    </row>
    <row r="5" customFormat="false" ht="15" hidden="false" customHeight="false" outlineLevel="0" collapsed="false">
      <c r="A5" s="5"/>
      <c r="B5" s="14"/>
      <c r="C5" s="5"/>
      <c r="D5" s="18"/>
      <c r="E5" s="5"/>
      <c r="F5" s="5"/>
      <c r="G5" s="19" t="str">
        <f aca="false">IF(F5="","",IF(F5="Cidadão comum","NÃO — monitorar a vida de cidadão comum não é apuração (OSINT 6.7)",IF(F5="Empresa","Só o que for público e ligado à pauta","Sim: perfil público, sobre o cargo ou a pauta")))</f>
        <v/>
      </c>
      <c r="H5" s="14"/>
      <c r="I5" s="5"/>
      <c r="J5" s="5"/>
      <c r="K5" s="27"/>
      <c r="L5" s="5"/>
      <c r="N5" s="10" t="s">
        <v>623</v>
      </c>
      <c r="O5" s="10" t="s">
        <v>624</v>
      </c>
    </row>
    <row r="6" customFormat="false" ht="15" hidden="false" customHeight="false" outlineLevel="0" collapsed="false">
      <c r="A6" s="5"/>
      <c r="B6" s="14"/>
      <c r="C6" s="5"/>
      <c r="D6" s="18"/>
      <c r="E6" s="5"/>
      <c r="F6" s="5"/>
      <c r="G6" s="19" t="str">
        <f aca="false">IF(F6="","",IF(F6="Cidadão comum","NÃO — monitorar a vida de cidadão comum não é apuração (OSINT 6.7)",IF(F6="Empresa","Só o que for público e ligado à pauta","Sim: perfil público, sobre o cargo ou a pauta")))</f>
        <v/>
      </c>
      <c r="H6" s="14"/>
      <c r="I6" s="5"/>
      <c r="J6" s="5"/>
      <c r="K6" s="27"/>
      <c r="L6" s="5"/>
      <c r="N6" s="42" t="s">
        <v>625</v>
      </c>
      <c r="O6" s="7" t="s">
        <v>626</v>
      </c>
    </row>
    <row r="7" customFormat="false" ht="15" hidden="false" customHeight="false" outlineLevel="0" collapsed="false">
      <c r="A7" s="5"/>
      <c r="B7" s="14"/>
      <c r="C7" s="5"/>
      <c r="D7" s="18"/>
      <c r="E7" s="5"/>
      <c r="F7" s="5"/>
      <c r="G7" s="19" t="str">
        <f aca="false">IF(F7="","",IF(F7="Cidadão comum","NÃO — monitorar a vida de cidadão comum não é apuração (OSINT 6.7)",IF(F7="Empresa","Só o que for público e ligado à pauta","Sim: perfil público, sobre o cargo ou a pauta")))</f>
        <v/>
      </c>
      <c r="H7" s="14"/>
      <c r="I7" s="5"/>
      <c r="J7" s="5"/>
      <c r="K7" s="27"/>
      <c r="L7" s="5"/>
      <c r="N7" s="42" t="s">
        <v>627</v>
      </c>
      <c r="O7" s="7" t="s">
        <v>628</v>
      </c>
    </row>
    <row r="8" customFormat="false" ht="15" hidden="false" customHeight="false" outlineLevel="0" collapsed="false">
      <c r="A8" s="5"/>
      <c r="B8" s="14"/>
      <c r="C8" s="5"/>
      <c r="D8" s="18"/>
      <c r="E8" s="5"/>
      <c r="F8" s="5"/>
      <c r="G8" s="19" t="str">
        <f aca="false">IF(F8="","",IF(F8="Cidadão comum","NÃO — monitorar a vida de cidadão comum não é apuração (OSINT 6.7)",IF(F8="Empresa","Só o que for público e ligado à pauta","Sim: perfil público, sobre o cargo ou a pauta")))</f>
        <v/>
      </c>
      <c r="H8" s="14"/>
      <c r="I8" s="5"/>
      <c r="J8" s="5"/>
      <c r="K8" s="27"/>
      <c r="L8" s="5"/>
      <c r="N8" s="42" t="s">
        <v>629</v>
      </c>
      <c r="O8" s="7" t="s">
        <v>630</v>
      </c>
    </row>
    <row r="9" customFormat="false" ht="15" hidden="false" customHeight="false" outlineLevel="0" collapsed="false">
      <c r="A9" s="5"/>
      <c r="B9" s="14"/>
      <c r="C9" s="5"/>
      <c r="D9" s="18"/>
      <c r="E9" s="5"/>
      <c r="F9" s="5"/>
      <c r="G9" s="19" t="str">
        <f aca="false">IF(F9="","",IF(F9="Cidadão comum","NÃO — monitorar a vida de cidadão comum não é apuração (OSINT 6.7)",IF(F9="Empresa","Só o que for público e ligado à pauta","Sim: perfil público, sobre o cargo ou a pauta")))</f>
        <v/>
      </c>
      <c r="H9" s="14"/>
      <c r="I9" s="5"/>
      <c r="J9" s="5"/>
      <c r="K9" s="27"/>
      <c r="L9" s="5"/>
    </row>
    <row r="10" customFormat="false" ht="15" hidden="false" customHeight="false" outlineLevel="0" collapsed="false">
      <c r="A10" s="5"/>
      <c r="B10" s="14"/>
      <c r="C10" s="5"/>
      <c r="D10" s="18"/>
      <c r="E10" s="5"/>
      <c r="F10" s="5"/>
      <c r="G10" s="19" t="str">
        <f aca="false">IF(F10="","",IF(F10="Cidadão comum","NÃO — monitorar a vida de cidadão comum não é apuração (OSINT 6.7)",IF(F10="Empresa","Só o que for público e ligado à pauta","Sim: perfil público, sobre o cargo ou a pauta")))</f>
        <v/>
      </c>
      <c r="H10" s="14"/>
      <c r="I10" s="5"/>
      <c r="J10" s="5"/>
      <c r="K10" s="27"/>
      <c r="L10" s="5"/>
    </row>
    <row r="11" customFormat="false" ht="15" hidden="false" customHeight="false" outlineLevel="0" collapsed="false">
      <c r="A11" s="5"/>
      <c r="B11" s="14"/>
      <c r="C11" s="5"/>
      <c r="D11" s="18"/>
      <c r="E11" s="5"/>
      <c r="F11" s="5"/>
      <c r="G11" s="19" t="str">
        <f aca="false">IF(F11="","",IF(F11="Cidadão comum","NÃO — monitorar a vida de cidadão comum não é apuração (OSINT 6.7)",IF(F11="Empresa","Só o que for público e ligado à pauta","Sim: perfil público, sobre o cargo ou a pauta")))</f>
        <v/>
      </c>
      <c r="H11" s="14"/>
      <c r="I11" s="5"/>
      <c r="J11" s="5"/>
      <c r="K11" s="27"/>
      <c r="L11" s="5"/>
    </row>
    <row r="12" customFormat="false" ht="15" hidden="false" customHeight="false" outlineLevel="0" collapsed="false">
      <c r="A12" s="5"/>
      <c r="B12" s="14"/>
      <c r="C12" s="5"/>
      <c r="D12" s="18"/>
      <c r="E12" s="5"/>
      <c r="F12" s="5"/>
      <c r="G12" s="19" t="str">
        <f aca="false">IF(F12="","",IF(F12="Cidadão comum","NÃO — monitorar a vida de cidadão comum não é apuração (OSINT 6.7)",IF(F12="Empresa","Só o que for público e ligado à pauta","Sim: perfil público, sobre o cargo ou a pauta")))</f>
        <v/>
      </c>
      <c r="H12" s="14"/>
      <c r="I12" s="5"/>
      <c r="J12" s="5"/>
      <c r="K12" s="27"/>
      <c r="L12" s="5"/>
    </row>
    <row r="13" customFormat="false" ht="15" hidden="false" customHeight="false" outlineLevel="0" collapsed="false">
      <c r="A13" s="5"/>
      <c r="B13" s="14"/>
      <c r="C13" s="5"/>
      <c r="D13" s="18"/>
      <c r="E13" s="5"/>
      <c r="F13" s="5"/>
      <c r="G13" s="19" t="str">
        <f aca="false">IF(F13="","",IF(F13="Cidadão comum","NÃO — monitorar a vida de cidadão comum não é apuração (OSINT 6.7)",IF(F13="Empresa","Só o que for público e ligado à pauta","Sim: perfil público, sobre o cargo ou a pauta")))</f>
        <v/>
      </c>
      <c r="H13" s="14"/>
      <c r="I13" s="5"/>
      <c r="J13" s="5"/>
      <c r="K13" s="27"/>
      <c r="L13" s="5"/>
    </row>
    <row r="14" customFormat="false" ht="15" hidden="false" customHeight="false" outlineLevel="0" collapsed="false">
      <c r="A14" s="5"/>
      <c r="B14" s="14"/>
      <c r="C14" s="5"/>
      <c r="D14" s="18"/>
      <c r="E14" s="5"/>
      <c r="F14" s="5"/>
      <c r="G14" s="19" t="str">
        <f aca="false">IF(F14="","",IF(F14="Cidadão comum","NÃO — monitorar a vida de cidadão comum não é apuração (OSINT 6.7)",IF(F14="Empresa","Só o que for público e ligado à pauta","Sim: perfil público, sobre o cargo ou a pauta")))</f>
        <v/>
      </c>
      <c r="H14" s="14"/>
      <c r="I14" s="5"/>
      <c r="J14" s="5"/>
      <c r="K14" s="27"/>
      <c r="L14" s="5"/>
    </row>
    <row r="15" customFormat="false" ht="15" hidden="false" customHeight="false" outlineLevel="0" collapsed="false">
      <c r="A15" s="5"/>
      <c r="B15" s="14"/>
      <c r="C15" s="5"/>
      <c r="D15" s="18"/>
      <c r="E15" s="5"/>
      <c r="F15" s="5"/>
      <c r="G15" s="19" t="str">
        <f aca="false">IF(F15="","",IF(F15="Cidadão comum","NÃO — monitorar a vida de cidadão comum não é apuração (OSINT 6.7)",IF(F15="Empresa","Só o que for público e ligado à pauta","Sim: perfil público, sobre o cargo ou a pauta")))</f>
        <v/>
      </c>
      <c r="H15" s="14"/>
      <c r="I15" s="5"/>
      <c r="J15" s="5"/>
      <c r="K15" s="27"/>
      <c r="L15" s="5"/>
    </row>
    <row r="16" customFormat="false" ht="15" hidden="false" customHeight="false" outlineLevel="0" collapsed="false">
      <c r="A16" s="5"/>
      <c r="B16" s="14"/>
      <c r="C16" s="5"/>
      <c r="D16" s="18"/>
      <c r="E16" s="5"/>
      <c r="F16" s="5"/>
      <c r="G16" s="19" t="str">
        <f aca="false">IF(F16="","",IF(F16="Cidadão comum","NÃO — monitorar a vida de cidadão comum não é apuração (OSINT 6.7)",IF(F16="Empresa","Só o que for público e ligado à pauta","Sim: perfil público, sobre o cargo ou a pauta")))</f>
        <v/>
      </c>
      <c r="H16" s="14"/>
      <c r="I16" s="5"/>
      <c r="J16" s="5"/>
      <c r="K16" s="27"/>
      <c r="L16" s="5"/>
    </row>
    <row r="17" customFormat="false" ht="15" hidden="false" customHeight="false" outlineLevel="0" collapsed="false">
      <c r="A17" s="5"/>
      <c r="B17" s="14"/>
      <c r="C17" s="5"/>
      <c r="D17" s="18"/>
      <c r="E17" s="5"/>
      <c r="F17" s="5"/>
      <c r="G17" s="19" t="str">
        <f aca="false">IF(F17="","",IF(F17="Cidadão comum","NÃO — monitorar a vida de cidadão comum não é apuração (OSINT 6.7)",IF(F17="Empresa","Só o que for público e ligado à pauta","Sim: perfil público, sobre o cargo ou a pauta")))</f>
        <v/>
      </c>
      <c r="H17" s="14"/>
      <c r="I17" s="5"/>
      <c r="J17" s="5"/>
      <c r="K17" s="27"/>
      <c r="L17" s="5"/>
    </row>
    <row r="18" customFormat="false" ht="15" hidden="false" customHeight="false" outlineLevel="0" collapsed="false">
      <c r="A18" s="5"/>
      <c r="B18" s="14"/>
      <c r="C18" s="5"/>
      <c r="D18" s="18"/>
      <c r="E18" s="5"/>
      <c r="F18" s="5"/>
      <c r="G18" s="19" t="str">
        <f aca="false">IF(F18="","",IF(F18="Cidadão comum","NÃO — monitorar a vida de cidadão comum não é apuração (OSINT 6.7)",IF(F18="Empresa","Só o que for público e ligado à pauta","Sim: perfil público, sobre o cargo ou a pauta")))</f>
        <v/>
      </c>
      <c r="H18" s="14"/>
      <c r="I18" s="5"/>
      <c r="J18" s="5"/>
      <c r="K18" s="27"/>
      <c r="L18" s="5"/>
    </row>
    <row r="19" customFormat="false" ht="15" hidden="false" customHeight="false" outlineLevel="0" collapsed="false">
      <c r="A19" s="5"/>
      <c r="B19" s="14"/>
      <c r="C19" s="5"/>
      <c r="D19" s="18"/>
      <c r="E19" s="5"/>
      <c r="F19" s="5"/>
      <c r="G19" s="19" t="str">
        <f aca="false">IF(F19="","",IF(F19="Cidadão comum","NÃO — monitorar a vida de cidadão comum não é apuração (OSINT 6.7)",IF(F19="Empresa","Só o que for público e ligado à pauta","Sim: perfil público, sobre o cargo ou a pauta")))</f>
        <v/>
      </c>
      <c r="H19" s="14"/>
      <c r="I19" s="5"/>
      <c r="J19" s="5"/>
      <c r="K19" s="27"/>
      <c r="L19" s="5"/>
    </row>
    <row r="20" customFormat="false" ht="15" hidden="false" customHeight="false" outlineLevel="0" collapsed="false">
      <c r="A20" s="5"/>
      <c r="B20" s="14"/>
      <c r="C20" s="5"/>
      <c r="D20" s="18"/>
      <c r="E20" s="5"/>
      <c r="F20" s="5"/>
      <c r="G20" s="19" t="str">
        <f aca="false">IF(F20="","",IF(F20="Cidadão comum","NÃO — monitorar a vida de cidadão comum não é apuração (OSINT 6.7)",IF(F20="Empresa","Só o que for público e ligado à pauta","Sim: perfil público, sobre o cargo ou a pauta")))</f>
        <v/>
      </c>
      <c r="H20" s="14"/>
      <c r="I20" s="5"/>
      <c r="J20" s="5"/>
      <c r="K20" s="27"/>
      <c r="L20" s="5"/>
    </row>
    <row r="21" customFormat="false" ht="15" hidden="false" customHeight="false" outlineLevel="0" collapsed="false">
      <c r="A21" s="5"/>
      <c r="B21" s="14"/>
      <c r="C21" s="5"/>
      <c r="D21" s="18"/>
      <c r="E21" s="5"/>
      <c r="F21" s="5"/>
      <c r="G21" s="19" t="str">
        <f aca="false">IF(F21="","",IF(F21="Cidadão comum","NÃO — monitorar a vida de cidadão comum não é apuração (OSINT 6.7)",IF(F21="Empresa","Só o que for público e ligado à pauta","Sim: perfil público, sobre o cargo ou a pauta")))</f>
        <v/>
      </c>
      <c r="H21" s="14"/>
      <c r="I21" s="5"/>
      <c r="J21" s="5"/>
      <c r="K21" s="27"/>
      <c r="L21" s="5"/>
    </row>
    <row r="22" customFormat="false" ht="15" hidden="false" customHeight="false" outlineLevel="0" collapsed="false">
      <c r="A22" s="5"/>
      <c r="B22" s="14"/>
      <c r="C22" s="5"/>
      <c r="D22" s="18"/>
      <c r="E22" s="5"/>
      <c r="F22" s="5"/>
      <c r="G22" s="19" t="str">
        <f aca="false">IF(F22="","",IF(F22="Cidadão comum","NÃO — monitorar a vida de cidadão comum não é apuração (OSINT 6.7)",IF(F22="Empresa","Só o que for público e ligado à pauta","Sim: perfil público, sobre o cargo ou a pauta")))</f>
        <v/>
      </c>
      <c r="H22" s="14"/>
      <c r="I22" s="5"/>
      <c r="J22" s="5"/>
      <c r="K22" s="27"/>
      <c r="L22" s="5"/>
    </row>
    <row r="23" customFormat="false" ht="15" hidden="false" customHeight="false" outlineLevel="0" collapsed="false">
      <c r="A23" s="5"/>
      <c r="B23" s="14"/>
      <c r="C23" s="5"/>
      <c r="D23" s="18"/>
      <c r="E23" s="5"/>
      <c r="F23" s="5"/>
      <c r="G23" s="19" t="str">
        <f aca="false">IF(F23="","",IF(F23="Cidadão comum","NÃO — monitorar a vida de cidadão comum não é apuração (OSINT 6.7)",IF(F23="Empresa","Só o que for público e ligado à pauta","Sim: perfil público, sobre o cargo ou a pauta")))</f>
        <v/>
      </c>
      <c r="H23" s="14"/>
      <c r="I23" s="5"/>
      <c r="J23" s="5"/>
      <c r="K23" s="27"/>
      <c r="L23" s="5"/>
    </row>
    <row r="24" customFormat="false" ht="15" hidden="false" customHeight="false" outlineLevel="0" collapsed="false">
      <c r="A24" s="5"/>
      <c r="B24" s="14"/>
      <c r="C24" s="5"/>
      <c r="D24" s="18"/>
      <c r="E24" s="5"/>
      <c r="F24" s="5"/>
      <c r="G24" s="19" t="str">
        <f aca="false">IF(F24="","",IF(F24="Cidadão comum","NÃO — monitorar a vida de cidadão comum não é apuração (OSINT 6.7)",IF(F24="Empresa","Só o que for público e ligado à pauta","Sim: perfil público, sobre o cargo ou a pauta")))</f>
        <v/>
      </c>
      <c r="H24" s="14"/>
      <c r="I24" s="5"/>
      <c r="J24" s="5"/>
      <c r="K24" s="27"/>
      <c r="L24" s="5"/>
    </row>
    <row r="25" customFormat="false" ht="15" hidden="false" customHeight="false" outlineLevel="0" collapsed="false">
      <c r="A25" s="5"/>
      <c r="B25" s="14"/>
      <c r="C25" s="5"/>
      <c r="D25" s="18"/>
      <c r="E25" s="5"/>
      <c r="F25" s="5"/>
      <c r="G25" s="19" t="str">
        <f aca="false">IF(F25="","",IF(F25="Cidadão comum","NÃO — monitorar a vida de cidadão comum não é apuração (OSINT 6.7)",IF(F25="Empresa","Só o que for público e ligado à pauta","Sim: perfil público, sobre o cargo ou a pauta")))</f>
        <v/>
      </c>
      <c r="H25" s="14"/>
      <c r="I25" s="5"/>
      <c r="J25" s="5"/>
      <c r="K25" s="27"/>
      <c r="L25" s="5"/>
    </row>
    <row r="26" customFormat="false" ht="15" hidden="false" customHeight="false" outlineLevel="0" collapsed="false">
      <c r="A26" s="5"/>
      <c r="B26" s="14"/>
      <c r="C26" s="5"/>
      <c r="D26" s="18"/>
      <c r="E26" s="5"/>
      <c r="F26" s="5"/>
      <c r="G26" s="19" t="str">
        <f aca="false">IF(F26="","",IF(F26="Cidadão comum","NÃO — monitorar a vida de cidadão comum não é apuração (OSINT 6.7)",IF(F26="Empresa","Só o que for público e ligado à pauta","Sim: perfil público, sobre o cargo ou a pauta")))</f>
        <v/>
      </c>
      <c r="H26" s="14"/>
      <c r="I26" s="5"/>
      <c r="J26" s="5"/>
      <c r="K26" s="27"/>
      <c r="L26" s="5"/>
    </row>
    <row r="27" customFormat="false" ht="15" hidden="false" customHeight="false" outlineLevel="0" collapsed="false">
      <c r="A27" s="5"/>
      <c r="B27" s="14"/>
      <c r="C27" s="5"/>
      <c r="D27" s="18"/>
      <c r="E27" s="5"/>
      <c r="F27" s="5"/>
      <c r="G27" s="19" t="str">
        <f aca="false">IF(F27="","",IF(F27="Cidadão comum","NÃO — monitorar a vida de cidadão comum não é apuração (OSINT 6.7)",IF(F27="Empresa","Só o que for público e ligado à pauta","Sim: perfil público, sobre o cargo ou a pauta")))</f>
        <v/>
      </c>
      <c r="H27" s="14"/>
      <c r="I27" s="5"/>
      <c r="J27" s="5"/>
      <c r="K27" s="27"/>
      <c r="L27" s="5"/>
    </row>
    <row r="28" customFormat="false" ht="15" hidden="false" customHeight="false" outlineLevel="0" collapsed="false">
      <c r="A28" s="5"/>
      <c r="B28" s="14"/>
      <c r="C28" s="5"/>
      <c r="D28" s="18"/>
      <c r="E28" s="5"/>
      <c r="F28" s="5"/>
      <c r="G28" s="19" t="str">
        <f aca="false">IF(F28="","",IF(F28="Cidadão comum","NÃO — monitorar a vida de cidadão comum não é apuração (OSINT 6.7)",IF(F28="Empresa","Só o que for público e ligado à pauta","Sim: perfil público, sobre o cargo ou a pauta")))</f>
        <v/>
      </c>
      <c r="H28" s="14"/>
      <c r="I28" s="5"/>
      <c r="J28" s="5"/>
      <c r="K28" s="27"/>
      <c r="L28" s="5"/>
    </row>
    <row r="29" customFormat="false" ht="15" hidden="false" customHeight="false" outlineLevel="0" collapsed="false">
      <c r="A29" s="5"/>
      <c r="B29" s="14"/>
      <c r="C29" s="5"/>
      <c r="D29" s="18"/>
      <c r="E29" s="5"/>
      <c r="F29" s="5"/>
      <c r="G29" s="19" t="str">
        <f aca="false">IF(F29="","",IF(F29="Cidadão comum","NÃO — monitorar a vida de cidadão comum não é apuração (OSINT 6.7)",IF(F29="Empresa","Só o que for público e ligado à pauta","Sim: perfil público, sobre o cargo ou a pauta")))</f>
        <v/>
      </c>
      <c r="H29" s="14"/>
      <c r="I29" s="5"/>
      <c r="J29" s="5"/>
      <c r="K29" s="27"/>
      <c r="L29" s="5"/>
    </row>
    <row r="30" customFormat="false" ht="15" hidden="false" customHeight="false" outlineLevel="0" collapsed="false">
      <c r="A30" s="5"/>
      <c r="B30" s="14"/>
      <c r="C30" s="5"/>
      <c r="D30" s="18"/>
      <c r="E30" s="5"/>
      <c r="F30" s="5"/>
      <c r="G30" s="19" t="str">
        <f aca="false">IF(F30="","",IF(F30="Cidadão comum","NÃO — monitorar a vida de cidadão comum não é apuração (OSINT 6.7)",IF(F30="Empresa","Só o que for público e ligado à pauta","Sim: perfil público, sobre o cargo ou a pauta")))</f>
        <v/>
      </c>
      <c r="H30" s="14"/>
      <c r="I30" s="5"/>
      <c r="J30" s="5"/>
      <c r="K30" s="27"/>
      <c r="L30" s="5"/>
    </row>
    <row r="31" customFormat="false" ht="15" hidden="false" customHeight="false" outlineLevel="0" collapsed="false">
      <c r="A31" s="5"/>
      <c r="B31" s="14"/>
      <c r="C31" s="5"/>
      <c r="D31" s="18"/>
      <c r="E31" s="5"/>
      <c r="F31" s="5"/>
      <c r="G31" s="19" t="str">
        <f aca="false">IF(F31="","",IF(F31="Cidadão comum","NÃO — monitorar a vida de cidadão comum não é apuração (OSINT 6.7)",IF(F31="Empresa","Só o que for público e ligado à pauta","Sim: perfil público, sobre o cargo ou a pauta")))</f>
        <v/>
      </c>
      <c r="H31" s="14"/>
      <c r="I31" s="5"/>
      <c r="J31" s="5"/>
      <c r="K31" s="27"/>
      <c r="L31" s="5"/>
    </row>
    <row r="32" customFormat="false" ht="15" hidden="false" customHeight="false" outlineLevel="0" collapsed="false">
      <c r="A32" s="5"/>
      <c r="B32" s="14"/>
      <c r="C32" s="5"/>
      <c r="D32" s="18"/>
      <c r="E32" s="5"/>
      <c r="F32" s="5"/>
      <c r="G32" s="19" t="str">
        <f aca="false">IF(F32="","",IF(F32="Cidadão comum","NÃO — monitorar a vida de cidadão comum não é apuração (OSINT 6.7)",IF(F32="Empresa","Só o que for público e ligado à pauta","Sim: perfil público, sobre o cargo ou a pauta")))</f>
        <v/>
      </c>
      <c r="H32" s="14"/>
      <c r="I32" s="5"/>
      <c r="J32" s="5"/>
      <c r="K32" s="27"/>
      <c r="L32" s="5"/>
    </row>
    <row r="33" customFormat="false" ht="15" hidden="false" customHeight="false" outlineLevel="0" collapsed="false">
      <c r="A33" s="5"/>
      <c r="B33" s="14"/>
      <c r="C33" s="5"/>
      <c r="D33" s="18"/>
      <c r="E33" s="5"/>
      <c r="F33" s="5"/>
      <c r="G33" s="19" t="str">
        <f aca="false">IF(F33="","",IF(F33="Cidadão comum","NÃO — monitorar a vida de cidadão comum não é apuração (OSINT 6.7)",IF(F33="Empresa","Só o que for público e ligado à pauta","Sim: perfil público, sobre o cargo ou a pauta")))</f>
        <v/>
      </c>
      <c r="H33" s="14"/>
      <c r="I33" s="5"/>
      <c r="J33" s="5"/>
      <c r="K33" s="27"/>
      <c r="L33" s="5"/>
    </row>
    <row r="34" customFormat="false" ht="15" hidden="false" customHeight="false" outlineLevel="0" collapsed="false">
      <c r="A34" s="5"/>
      <c r="B34" s="14"/>
      <c r="C34" s="5"/>
      <c r="D34" s="18"/>
      <c r="E34" s="5"/>
      <c r="F34" s="5"/>
      <c r="G34" s="19" t="str">
        <f aca="false">IF(F34="","",IF(F34="Cidadão comum","NÃO — monitorar a vida de cidadão comum não é apuração (OSINT 6.7)",IF(F34="Empresa","Só o que for público e ligado à pauta","Sim: perfil público, sobre o cargo ou a pauta")))</f>
        <v/>
      </c>
      <c r="H34" s="14"/>
      <c r="I34" s="5"/>
      <c r="J34" s="5"/>
      <c r="K34" s="27"/>
      <c r="L34" s="5"/>
    </row>
    <row r="35" customFormat="false" ht="15" hidden="false" customHeight="false" outlineLevel="0" collapsed="false">
      <c r="A35" s="5"/>
      <c r="B35" s="14"/>
      <c r="C35" s="5"/>
      <c r="D35" s="18"/>
      <c r="E35" s="5"/>
      <c r="F35" s="5"/>
      <c r="G35" s="19" t="str">
        <f aca="false">IF(F35="","",IF(F35="Cidadão comum","NÃO — monitorar a vida de cidadão comum não é apuração (OSINT 6.7)",IF(F35="Empresa","Só o que for público e ligado à pauta","Sim: perfil público, sobre o cargo ou a pauta")))</f>
        <v/>
      </c>
      <c r="H35" s="14"/>
      <c r="I35" s="5"/>
      <c r="J35" s="5"/>
      <c r="K35" s="27"/>
      <c r="L35" s="5"/>
    </row>
    <row r="36" customFormat="false" ht="15" hidden="false" customHeight="false" outlineLevel="0" collapsed="false">
      <c r="A36" s="5"/>
      <c r="B36" s="14"/>
      <c r="C36" s="5"/>
      <c r="D36" s="18"/>
      <c r="E36" s="5"/>
      <c r="F36" s="5"/>
      <c r="G36" s="19" t="str">
        <f aca="false">IF(F36="","",IF(F36="Cidadão comum","NÃO — monitorar a vida de cidadão comum não é apuração (OSINT 6.7)",IF(F36="Empresa","Só o que for público e ligado à pauta","Sim: perfil público, sobre o cargo ou a pauta")))</f>
        <v/>
      </c>
      <c r="H36" s="14"/>
      <c r="I36" s="5"/>
      <c r="J36" s="5"/>
      <c r="K36" s="27"/>
      <c r="L36" s="5"/>
    </row>
    <row r="37" customFormat="false" ht="15" hidden="false" customHeight="false" outlineLevel="0" collapsed="false">
      <c r="A37" s="5"/>
      <c r="B37" s="14"/>
      <c r="C37" s="5"/>
      <c r="D37" s="18"/>
      <c r="E37" s="5"/>
      <c r="F37" s="5"/>
      <c r="G37" s="19" t="str">
        <f aca="false">IF(F37="","",IF(F37="Cidadão comum","NÃO — monitorar a vida de cidadão comum não é apuração (OSINT 6.7)",IF(F37="Empresa","Só o que for público e ligado à pauta","Sim: perfil público, sobre o cargo ou a pauta")))</f>
        <v/>
      </c>
      <c r="H37" s="14"/>
      <c r="I37" s="5"/>
      <c r="J37" s="5"/>
      <c r="K37" s="27"/>
      <c r="L37" s="5"/>
    </row>
    <row r="38" customFormat="false" ht="15" hidden="false" customHeight="false" outlineLevel="0" collapsed="false">
      <c r="A38" s="5"/>
      <c r="B38" s="14"/>
      <c r="C38" s="5"/>
      <c r="D38" s="18"/>
      <c r="E38" s="5"/>
      <c r="F38" s="5"/>
      <c r="G38" s="19" t="str">
        <f aca="false">IF(F38="","",IF(F38="Cidadão comum","NÃO — monitorar a vida de cidadão comum não é apuração (OSINT 6.7)",IF(F38="Empresa","Só o que for público e ligado à pauta","Sim: perfil público, sobre o cargo ou a pauta")))</f>
        <v/>
      </c>
      <c r="H38" s="14"/>
      <c r="I38" s="5"/>
      <c r="J38" s="5"/>
      <c r="K38" s="27"/>
      <c r="L38" s="5"/>
    </row>
    <row r="39" customFormat="false" ht="15" hidden="false" customHeight="false" outlineLevel="0" collapsed="false">
      <c r="A39" s="5"/>
      <c r="B39" s="14"/>
      <c r="C39" s="5"/>
      <c r="D39" s="18"/>
      <c r="E39" s="5"/>
      <c r="F39" s="5"/>
      <c r="G39" s="19" t="str">
        <f aca="false">IF(F39="","",IF(F39="Cidadão comum","NÃO — monitorar a vida de cidadão comum não é apuração (OSINT 6.7)",IF(F39="Empresa","Só o que for público e ligado à pauta","Sim: perfil público, sobre o cargo ou a pauta")))</f>
        <v/>
      </c>
      <c r="H39" s="14"/>
      <c r="I39" s="5"/>
      <c r="J39" s="5"/>
      <c r="K39" s="27"/>
      <c r="L39" s="5"/>
    </row>
    <row r="40" customFormat="false" ht="15" hidden="false" customHeight="false" outlineLevel="0" collapsed="false">
      <c r="A40" s="5"/>
      <c r="B40" s="14"/>
      <c r="C40" s="5"/>
      <c r="D40" s="18"/>
      <c r="E40" s="5"/>
      <c r="F40" s="5"/>
      <c r="G40" s="19" t="str">
        <f aca="false">IF(F40="","",IF(F40="Cidadão comum","NÃO — monitorar a vida de cidadão comum não é apuração (OSINT 6.7)",IF(F40="Empresa","Só o que for público e ligado à pauta","Sim: perfil público, sobre o cargo ou a pauta")))</f>
        <v/>
      </c>
      <c r="H40" s="14"/>
      <c r="I40" s="5"/>
      <c r="J40" s="5"/>
      <c r="K40" s="27"/>
      <c r="L40" s="5"/>
    </row>
    <row r="41" customFormat="false" ht="15" hidden="false" customHeight="false" outlineLevel="0" collapsed="false">
      <c r="A41" s="5"/>
      <c r="B41" s="14"/>
      <c r="C41" s="5"/>
      <c r="D41" s="18"/>
      <c r="E41" s="5"/>
      <c r="F41" s="5"/>
      <c r="G41" s="19" t="str">
        <f aca="false">IF(F41="","",IF(F41="Cidadão comum","NÃO — monitorar a vida de cidadão comum não é apuração (OSINT 6.7)",IF(F41="Empresa","Só o que for público e ligado à pauta","Sim: perfil público, sobre o cargo ou a pauta")))</f>
        <v/>
      </c>
      <c r="H41" s="14"/>
      <c r="I41" s="5"/>
      <c r="J41" s="5"/>
      <c r="K41" s="27"/>
      <c r="L41" s="5"/>
    </row>
    <row r="42" customFormat="false" ht="15" hidden="false" customHeight="false" outlineLevel="0" collapsed="false">
      <c r="A42" s="5"/>
      <c r="B42" s="14"/>
      <c r="C42" s="5"/>
      <c r="D42" s="18"/>
      <c r="E42" s="5"/>
      <c r="F42" s="5"/>
      <c r="G42" s="19" t="str">
        <f aca="false">IF(F42="","",IF(F42="Cidadão comum","NÃO — monitorar a vida de cidadão comum não é apuração (OSINT 6.7)",IF(F42="Empresa","Só o que for público e ligado à pauta","Sim: perfil público, sobre o cargo ou a pauta")))</f>
        <v/>
      </c>
      <c r="H42" s="14"/>
      <c r="I42" s="5"/>
      <c r="J42" s="5"/>
      <c r="K42" s="27"/>
      <c r="L42" s="5"/>
    </row>
    <row r="43" customFormat="false" ht="15" hidden="false" customHeight="false" outlineLevel="0" collapsed="false">
      <c r="A43" s="5"/>
      <c r="B43" s="14"/>
      <c r="C43" s="5"/>
      <c r="D43" s="18"/>
      <c r="E43" s="5"/>
      <c r="F43" s="5"/>
      <c r="G43" s="19" t="str">
        <f aca="false">IF(F43="","",IF(F43="Cidadão comum","NÃO — monitorar a vida de cidadão comum não é apuração (OSINT 6.7)",IF(F43="Empresa","Só o que for público e ligado à pauta","Sim: perfil público, sobre o cargo ou a pauta")))</f>
        <v/>
      </c>
      <c r="H43" s="14"/>
      <c r="I43" s="5"/>
      <c r="J43" s="5"/>
      <c r="K43" s="27"/>
      <c r="L43" s="5"/>
    </row>
    <row r="44" customFormat="false" ht="15" hidden="false" customHeight="false" outlineLevel="0" collapsed="false">
      <c r="A44" s="5"/>
      <c r="B44" s="14"/>
      <c r="C44" s="5"/>
      <c r="D44" s="18"/>
      <c r="E44" s="5"/>
      <c r="F44" s="5"/>
      <c r="G44" s="19" t="str">
        <f aca="false">IF(F44="","",IF(F44="Cidadão comum","NÃO — monitorar a vida de cidadão comum não é apuração (OSINT 6.7)",IF(F44="Empresa","Só o que for público e ligado à pauta","Sim: perfil público, sobre o cargo ou a pauta")))</f>
        <v/>
      </c>
      <c r="H44" s="14"/>
      <c r="I44" s="5"/>
      <c r="J44" s="5"/>
      <c r="K44" s="27"/>
      <c r="L44" s="5"/>
    </row>
    <row r="45" customFormat="false" ht="15" hidden="false" customHeight="false" outlineLevel="0" collapsed="false">
      <c r="A45" s="5"/>
      <c r="B45" s="14"/>
      <c r="C45" s="5"/>
      <c r="D45" s="18"/>
      <c r="E45" s="5"/>
      <c r="F45" s="5"/>
      <c r="G45" s="19" t="str">
        <f aca="false">IF(F45="","",IF(F45="Cidadão comum","NÃO — monitorar a vida de cidadão comum não é apuração (OSINT 6.7)",IF(F45="Empresa","Só o que for público e ligado à pauta","Sim: perfil público, sobre o cargo ou a pauta")))</f>
        <v/>
      </c>
      <c r="H45" s="14"/>
      <c r="I45" s="5"/>
      <c r="J45" s="5"/>
      <c r="K45" s="27"/>
      <c r="L45" s="5"/>
    </row>
    <row r="46" customFormat="false" ht="15" hidden="false" customHeight="false" outlineLevel="0" collapsed="false">
      <c r="A46" s="5"/>
      <c r="B46" s="14"/>
      <c r="C46" s="5"/>
      <c r="D46" s="18"/>
      <c r="E46" s="5"/>
      <c r="F46" s="5"/>
      <c r="G46" s="19" t="str">
        <f aca="false">IF(F46="","",IF(F46="Cidadão comum","NÃO — monitorar a vida de cidadão comum não é apuração (OSINT 6.7)",IF(F46="Empresa","Só o que for público e ligado à pauta","Sim: perfil público, sobre o cargo ou a pauta")))</f>
        <v/>
      </c>
      <c r="H46" s="14"/>
      <c r="I46" s="5"/>
      <c r="J46" s="5"/>
      <c r="K46" s="27"/>
      <c r="L46" s="5"/>
    </row>
    <row r="47" customFormat="false" ht="15" hidden="false" customHeight="false" outlineLevel="0" collapsed="false">
      <c r="A47" s="5"/>
      <c r="B47" s="14"/>
      <c r="C47" s="5"/>
      <c r="D47" s="18"/>
      <c r="E47" s="5"/>
      <c r="F47" s="5"/>
      <c r="G47" s="19" t="str">
        <f aca="false">IF(F47="","",IF(F47="Cidadão comum","NÃO — monitorar a vida de cidadão comum não é apuração (OSINT 6.7)",IF(F47="Empresa","Só o que for público e ligado à pauta","Sim: perfil público, sobre o cargo ou a pauta")))</f>
        <v/>
      </c>
      <c r="H47" s="14"/>
      <c r="I47" s="5"/>
      <c r="J47" s="5"/>
      <c r="K47" s="27"/>
      <c r="L47" s="5"/>
    </row>
    <row r="48" customFormat="false" ht="15" hidden="false" customHeight="false" outlineLevel="0" collapsed="false">
      <c r="A48" s="5"/>
      <c r="B48" s="14"/>
      <c r="C48" s="5"/>
      <c r="D48" s="18"/>
      <c r="E48" s="5"/>
      <c r="F48" s="5"/>
      <c r="G48" s="19" t="str">
        <f aca="false">IF(F48="","",IF(F48="Cidadão comum","NÃO — monitorar a vida de cidadão comum não é apuração (OSINT 6.7)",IF(F48="Empresa","Só o que for público e ligado à pauta","Sim: perfil público, sobre o cargo ou a pauta")))</f>
        <v/>
      </c>
      <c r="H48" s="14"/>
      <c r="I48" s="5"/>
      <c r="J48" s="5"/>
      <c r="K48" s="27"/>
      <c r="L48" s="5"/>
    </row>
    <row r="49" customFormat="false" ht="15" hidden="false" customHeight="false" outlineLevel="0" collapsed="false">
      <c r="A49" s="5"/>
      <c r="B49" s="14"/>
      <c r="C49" s="5"/>
      <c r="D49" s="18"/>
      <c r="E49" s="5"/>
      <c r="F49" s="5"/>
      <c r="G49" s="19" t="str">
        <f aca="false">IF(F49="","",IF(F49="Cidadão comum","NÃO — monitorar a vida de cidadão comum não é apuração (OSINT 6.7)",IF(F49="Empresa","Só o que for público e ligado à pauta","Sim: perfil público, sobre o cargo ou a pauta")))</f>
        <v/>
      </c>
      <c r="H49" s="14"/>
      <c r="I49" s="5"/>
      <c r="J49" s="5"/>
      <c r="K49" s="27"/>
      <c r="L49" s="5"/>
    </row>
    <row r="50" customFormat="false" ht="15" hidden="false" customHeight="false" outlineLevel="0" collapsed="false">
      <c r="A50" s="5"/>
      <c r="B50" s="14"/>
      <c r="C50" s="5"/>
      <c r="D50" s="18"/>
      <c r="E50" s="5"/>
      <c r="F50" s="5"/>
      <c r="G50" s="19" t="str">
        <f aca="false">IF(F50="","",IF(F50="Cidadão comum","NÃO — monitorar a vida de cidadão comum não é apuração (OSINT 6.7)",IF(F50="Empresa","Só o que for público e ligado à pauta","Sim: perfil público, sobre o cargo ou a pauta")))</f>
        <v/>
      </c>
      <c r="H50" s="14"/>
      <c r="I50" s="5"/>
      <c r="J50" s="5"/>
      <c r="K50" s="27"/>
      <c r="L50" s="5"/>
    </row>
    <row r="51" customFormat="false" ht="15" hidden="false" customHeight="false" outlineLevel="0" collapsed="false">
      <c r="A51" s="5"/>
      <c r="B51" s="14"/>
      <c r="C51" s="5"/>
      <c r="D51" s="18"/>
      <c r="E51" s="5"/>
      <c r="F51" s="5"/>
      <c r="G51" s="19" t="str">
        <f aca="false">IF(F51="","",IF(F51="Cidadão comum","NÃO — monitorar a vida de cidadão comum não é apuração (OSINT 6.7)",IF(F51="Empresa","Só o que for público e ligado à pauta","Sim: perfil público, sobre o cargo ou a pauta")))</f>
        <v/>
      </c>
      <c r="H51" s="14"/>
      <c r="I51" s="5"/>
      <c r="J51" s="5"/>
      <c r="K51" s="27"/>
      <c r="L51" s="5"/>
    </row>
    <row r="52" customFormat="false" ht="15" hidden="false" customHeight="false" outlineLevel="0" collapsed="false">
      <c r="A52" s="5"/>
      <c r="B52" s="14"/>
      <c r="C52" s="5"/>
      <c r="D52" s="18"/>
      <c r="E52" s="5"/>
      <c r="F52" s="5"/>
      <c r="G52" s="19" t="str">
        <f aca="false">IF(F52="","",IF(F52="Cidadão comum","NÃO — monitorar a vida de cidadão comum não é apuração (OSINT 6.7)",IF(F52="Empresa","Só o que for público e ligado à pauta","Sim: perfil público, sobre o cargo ou a pauta")))</f>
        <v/>
      </c>
      <c r="H52" s="14"/>
      <c r="I52" s="5"/>
      <c r="J52" s="5"/>
      <c r="K52" s="27"/>
      <c r="L52" s="5"/>
    </row>
    <row r="53" customFormat="false" ht="15" hidden="false" customHeight="false" outlineLevel="0" collapsed="false">
      <c r="A53" s="5"/>
      <c r="B53" s="14"/>
      <c r="C53" s="5"/>
      <c r="D53" s="18"/>
      <c r="E53" s="5"/>
      <c r="F53" s="5"/>
      <c r="G53" s="19" t="str">
        <f aca="false">IF(F53="","",IF(F53="Cidadão comum","NÃO — monitorar a vida de cidadão comum não é apuração (OSINT 6.7)",IF(F53="Empresa","Só o que for público e ligado à pauta","Sim: perfil público, sobre o cargo ou a pauta")))</f>
        <v/>
      </c>
      <c r="H53" s="14"/>
      <c r="I53" s="5"/>
      <c r="J53" s="5"/>
      <c r="K53" s="27"/>
      <c r="L53" s="5"/>
    </row>
    <row r="54" customFormat="false" ht="15" hidden="false" customHeight="false" outlineLevel="0" collapsed="false">
      <c r="A54" s="5"/>
      <c r="B54" s="14"/>
      <c r="C54" s="5"/>
      <c r="D54" s="18"/>
      <c r="E54" s="5"/>
      <c r="F54" s="5"/>
      <c r="G54" s="19" t="str">
        <f aca="false">IF(F54="","",IF(F54="Cidadão comum","NÃO — monitorar a vida de cidadão comum não é apuração (OSINT 6.7)",IF(F54="Empresa","Só o que for público e ligado à pauta","Sim: perfil público, sobre o cargo ou a pauta")))</f>
        <v/>
      </c>
      <c r="H54" s="14"/>
      <c r="I54" s="5"/>
      <c r="J54" s="5"/>
      <c r="K54" s="27"/>
      <c r="L54" s="5"/>
    </row>
    <row r="55" customFormat="false" ht="15" hidden="false" customHeight="false" outlineLevel="0" collapsed="false">
      <c r="A55" s="5"/>
      <c r="B55" s="14"/>
      <c r="C55" s="5"/>
      <c r="D55" s="18"/>
      <c r="E55" s="5"/>
      <c r="F55" s="5"/>
      <c r="G55" s="19" t="str">
        <f aca="false">IF(F55="","",IF(F55="Cidadão comum","NÃO — monitorar a vida de cidadão comum não é apuração (OSINT 6.7)",IF(F55="Empresa","Só o que for público e ligado à pauta","Sim: perfil público, sobre o cargo ou a pauta")))</f>
        <v/>
      </c>
      <c r="H55" s="14"/>
      <c r="I55" s="5"/>
      <c r="J55" s="5"/>
      <c r="K55" s="27"/>
      <c r="L55" s="5"/>
    </row>
    <row r="56" customFormat="false" ht="15" hidden="false" customHeight="false" outlineLevel="0" collapsed="false">
      <c r="A56" s="5"/>
      <c r="B56" s="14"/>
      <c r="C56" s="5"/>
      <c r="D56" s="18"/>
      <c r="E56" s="5"/>
      <c r="F56" s="5"/>
      <c r="G56" s="19" t="str">
        <f aca="false">IF(F56="","",IF(F56="Cidadão comum","NÃO — monitorar a vida de cidadão comum não é apuração (OSINT 6.7)",IF(F56="Empresa","Só o que for público e ligado à pauta","Sim: perfil público, sobre o cargo ou a pauta")))</f>
        <v/>
      </c>
      <c r="H56" s="14"/>
      <c r="I56" s="5"/>
      <c r="J56" s="5"/>
      <c r="K56" s="27"/>
      <c r="L56" s="5"/>
    </row>
    <row r="57" customFormat="false" ht="15" hidden="false" customHeight="false" outlineLevel="0" collapsed="false">
      <c r="A57" s="5"/>
      <c r="B57" s="14"/>
      <c r="C57" s="5"/>
      <c r="D57" s="18"/>
      <c r="E57" s="5"/>
      <c r="F57" s="5"/>
      <c r="G57" s="19" t="str">
        <f aca="false">IF(F57="","",IF(F57="Cidadão comum","NÃO — monitorar a vida de cidadão comum não é apuração (OSINT 6.7)",IF(F57="Empresa","Só o que for público e ligado à pauta","Sim: perfil público, sobre o cargo ou a pauta")))</f>
        <v/>
      </c>
      <c r="H57" s="14"/>
      <c r="I57" s="5"/>
      <c r="J57" s="5"/>
      <c r="K57" s="27"/>
      <c r="L57" s="5"/>
    </row>
    <row r="58" customFormat="false" ht="15" hidden="false" customHeight="false" outlineLevel="0" collapsed="false">
      <c r="A58" s="5"/>
      <c r="B58" s="14"/>
      <c r="C58" s="5"/>
      <c r="D58" s="18"/>
      <c r="E58" s="5"/>
      <c r="F58" s="5"/>
      <c r="G58" s="19" t="str">
        <f aca="false">IF(F58="","",IF(F58="Cidadão comum","NÃO — monitorar a vida de cidadão comum não é apuração (OSINT 6.7)",IF(F58="Empresa","Só o que for público e ligado à pauta","Sim: perfil público, sobre o cargo ou a pauta")))</f>
        <v/>
      </c>
      <c r="H58" s="14"/>
      <c r="I58" s="5"/>
      <c r="J58" s="5"/>
      <c r="K58" s="27"/>
      <c r="L58" s="5"/>
    </row>
    <row r="59" customFormat="false" ht="15" hidden="false" customHeight="false" outlineLevel="0" collapsed="false">
      <c r="A59" s="5"/>
      <c r="B59" s="14"/>
      <c r="C59" s="5"/>
      <c r="D59" s="18"/>
      <c r="E59" s="5"/>
      <c r="F59" s="5"/>
      <c r="G59" s="19" t="str">
        <f aca="false">IF(F59="","",IF(F59="Cidadão comum","NÃO — monitorar a vida de cidadão comum não é apuração (OSINT 6.7)",IF(F59="Empresa","Só o que for público e ligado à pauta","Sim: perfil público, sobre o cargo ou a pauta")))</f>
        <v/>
      </c>
      <c r="H59" s="14"/>
      <c r="I59" s="5"/>
      <c r="J59" s="5"/>
      <c r="K59" s="27"/>
      <c r="L59" s="5"/>
    </row>
    <row r="60" customFormat="false" ht="15" hidden="false" customHeight="false" outlineLevel="0" collapsed="false">
      <c r="A60" s="5"/>
      <c r="B60" s="14"/>
      <c r="C60" s="5"/>
      <c r="D60" s="18"/>
      <c r="E60" s="5"/>
      <c r="F60" s="5"/>
      <c r="G60" s="19" t="str">
        <f aca="false">IF(F60="","",IF(F60="Cidadão comum","NÃO — monitorar a vida de cidadão comum não é apuração (OSINT 6.7)",IF(F60="Empresa","Só o que for público e ligado à pauta","Sim: perfil público, sobre o cargo ou a pauta")))</f>
        <v/>
      </c>
      <c r="H60" s="14"/>
      <c r="I60" s="5"/>
      <c r="J60" s="5"/>
      <c r="K60" s="27"/>
      <c r="L60" s="5"/>
    </row>
    <row r="61" customFormat="false" ht="15" hidden="false" customHeight="false" outlineLevel="0" collapsed="false">
      <c r="A61" s="5"/>
      <c r="B61" s="14"/>
      <c r="C61" s="5"/>
      <c r="D61" s="18"/>
      <c r="E61" s="5"/>
      <c r="F61" s="5"/>
      <c r="G61" s="19" t="str">
        <f aca="false">IF(F61="","",IF(F61="Cidadão comum","NÃO — monitorar a vida de cidadão comum não é apuração (OSINT 6.7)",IF(F61="Empresa","Só o que for público e ligado à pauta","Sim: perfil público, sobre o cargo ou a pauta")))</f>
        <v/>
      </c>
      <c r="H61" s="14"/>
      <c r="I61" s="5"/>
      <c r="J61" s="5"/>
      <c r="K61" s="27"/>
      <c r="L61" s="5"/>
    </row>
    <row r="62" customFormat="false" ht="15" hidden="false" customHeight="false" outlineLevel="0" collapsed="false">
      <c r="A62" s="5"/>
      <c r="B62" s="14"/>
      <c r="C62" s="5"/>
      <c r="D62" s="18"/>
      <c r="E62" s="5"/>
      <c r="F62" s="5"/>
      <c r="G62" s="19" t="str">
        <f aca="false">IF(F62="","",IF(F62="Cidadão comum","NÃO — monitorar a vida de cidadão comum não é apuração (OSINT 6.7)",IF(F62="Empresa","Só o que for público e ligado à pauta","Sim: perfil público, sobre o cargo ou a pauta")))</f>
        <v/>
      </c>
      <c r="H62" s="14"/>
      <c r="I62" s="5"/>
      <c r="J62" s="5"/>
      <c r="K62" s="27"/>
      <c r="L62" s="5"/>
    </row>
    <row r="63" customFormat="false" ht="15" hidden="false" customHeight="false" outlineLevel="0" collapsed="false">
      <c r="A63" s="5"/>
      <c r="B63" s="14"/>
      <c r="C63" s="5"/>
      <c r="D63" s="18"/>
      <c r="E63" s="5"/>
      <c r="F63" s="5"/>
      <c r="G63" s="19" t="str">
        <f aca="false">IF(F63="","",IF(F63="Cidadão comum","NÃO — monitorar a vida de cidadão comum não é apuração (OSINT 6.7)",IF(F63="Empresa","Só o que for público e ligado à pauta","Sim: perfil público, sobre o cargo ou a pauta")))</f>
        <v/>
      </c>
      <c r="H63" s="14"/>
      <c r="I63" s="5"/>
      <c r="J63" s="5"/>
      <c r="K63" s="27"/>
      <c r="L63" s="5"/>
    </row>
    <row r="64" customFormat="false" ht="15" hidden="false" customHeight="false" outlineLevel="0" collapsed="false">
      <c r="A64" s="5"/>
      <c r="B64" s="14"/>
      <c r="C64" s="5"/>
      <c r="D64" s="18"/>
      <c r="E64" s="5"/>
      <c r="F64" s="5"/>
      <c r="G64" s="19" t="str">
        <f aca="false">IF(F64="","",IF(F64="Cidadão comum","NÃO — monitorar a vida de cidadão comum não é apuração (OSINT 6.7)",IF(F64="Empresa","Só o que for público e ligado à pauta","Sim: perfil público, sobre o cargo ou a pauta")))</f>
        <v/>
      </c>
      <c r="H64" s="14"/>
      <c r="I64" s="5"/>
      <c r="J64" s="5"/>
      <c r="K64" s="27"/>
      <c r="L64" s="5"/>
    </row>
    <row r="65" customFormat="false" ht="15" hidden="false" customHeight="false" outlineLevel="0" collapsed="false">
      <c r="A65" s="5"/>
      <c r="B65" s="14"/>
      <c r="C65" s="5"/>
      <c r="D65" s="18"/>
      <c r="E65" s="5"/>
      <c r="F65" s="5"/>
      <c r="G65" s="19" t="str">
        <f aca="false">IF(F65="","",IF(F65="Cidadão comum","NÃO — monitorar a vida de cidadão comum não é apuração (OSINT 6.7)",IF(F65="Empresa","Só o que for público e ligado à pauta","Sim: perfil público, sobre o cargo ou a pauta")))</f>
        <v/>
      </c>
      <c r="H65" s="14"/>
      <c r="I65" s="5"/>
      <c r="J65" s="5"/>
      <c r="K65" s="27"/>
      <c r="L65" s="5"/>
    </row>
    <row r="66" customFormat="false" ht="15" hidden="false" customHeight="false" outlineLevel="0" collapsed="false">
      <c r="A66" s="5"/>
      <c r="B66" s="14"/>
      <c r="C66" s="5"/>
      <c r="D66" s="18"/>
      <c r="E66" s="5"/>
      <c r="F66" s="5"/>
      <c r="G66" s="19" t="str">
        <f aca="false">IF(F66="","",IF(F66="Cidadão comum","NÃO — monitorar a vida de cidadão comum não é apuração (OSINT 6.7)",IF(F66="Empresa","Só o que for público e ligado à pauta","Sim: perfil público, sobre o cargo ou a pauta")))</f>
        <v/>
      </c>
      <c r="H66" s="14"/>
      <c r="I66" s="5"/>
      <c r="J66" s="5"/>
      <c r="K66" s="27"/>
      <c r="L66" s="5"/>
    </row>
    <row r="67" customFormat="false" ht="15" hidden="false" customHeight="false" outlineLevel="0" collapsed="false">
      <c r="A67" s="5"/>
      <c r="B67" s="14"/>
      <c r="C67" s="5"/>
      <c r="D67" s="18"/>
      <c r="E67" s="5"/>
      <c r="F67" s="5"/>
      <c r="G67" s="19" t="str">
        <f aca="false">IF(F67="","",IF(F67="Cidadão comum","NÃO — monitorar a vida de cidadão comum não é apuração (OSINT 6.7)",IF(F67="Empresa","Só o que for público e ligado à pauta","Sim: perfil público, sobre o cargo ou a pauta")))</f>
        <v/>
      </c>
      <c r="H67" s="14"/>
      <c r="I67" s="5"/>
      <c r="J67" s="5"/>
      <c r="K67" s="27"/>
      <c r="L67" s="5"/>
    </row>
    <row r="68" customFormat="false" ht="15" hidden="false" customHeight="false" outlineLevel="0" collapsed="false">
      <c r="A68" s="5"/>
      <c r="B68" s="14"/>
      <c r="C68" s="5"/>
      <c r="D68" s="18"/>
      <c r="E68" s="5"/>
      <c r="F68" s="5"/>
      <c r="G68" s="19" t="str">
        <f aca="false">IF(F68="","",IF(F68="Cidadão comum","NÃO — monitorar a vida de cidadão comum não é apuração (OSINT 6.7)",IF(F68="Empresa","Só o que for público e ligado à pauta","Sim: perfil público, sobre o cargo ou a pauta")))</f>
        <v/>
      </c>
      <c r="H68" s="14"/>
      <c r="I68" s="5"/>
      <c r="J68" s="5"/>
      <c r="K68" s="27"/>
      <c r="L68" s="5"/>
    </row>
    <row r="69" customFormat="false" ht="15" hidden="false" customHeight="false" outlineLevel="0" collapsed="false">
      <c r="A69" s="5"/>
      <c r="B69" s="14"/>
      <c r="C69" s="5"/>
      <c r="D69" s="18"/>
      <c r="E69" s="5"/>
      <c r="F69" s="5"/>
      <c r="G69" s="19" t="str">
        <f aca="false">IF(F69="","",IF(F69="Cidadão comum","NÃO — monitorar a vida de cidadão comum não é apuração (OSINT 6.7)",IF(F69="Empresa","Só o que for público e ligado à pauta","Sim: perfil público, sobre o cargo ou a pauta")))</f>
        <v/>
      </c>
      <c r="H69" s="14"/>
      <c r="I69" s="5"/>
      <c r="J69" s="5"/>
      <c r="K69" s="27"/>
      <c r="L69" s="5"/>
    </row>
    <row r="70" customFormat="false" ht="15" hidden="false" customHeight="false" outlineLevel="0" collapsed="false">
      <c r="A70" s="5"/>
      <c r="B70" s="14"/>
      <c r="C70" s="5"/>
      <c r="D70" s="18"/>
      <c r="E70" s="5"/>
      <c r="F70" s="5"/>
      <c r="G70" s="19" t="str">
        <f aca="false">IF(F70="","",IF(F70="Cidadão comum","NÃO — monitorar a vida de cidadão comum não é apuração (OSINT 6.7)",IF(F70="Empresa","Só o que for público e ligado à pauta","Sim: perfil público, sobre o cargo ou a pauta")))</f>
        <v/>
      </c>
      <c r="H70" s="14"/>
      <c r="I70" s="5"/>
      <c r="J70" s="5"/>
      <c r="K70" s="27"/>
      <c r="L70" s="5"/>
    </row>
    <row r="71" customFormat="false" ht="15" hidden="false" customHeight="false" outlineLevel="0" collapsed="false">
      <c r="A71" s="5"/>
      <c r="B71" s="14"/>
      <c r="C71" s="5"/>
      <c r="D71" s="18"/>
      <c r="E71" s="5"/>
      <c r="F71" s="5"/>
      <c r="G71" s="19" t="str">
        <f aca="false">IF(F71="","",IF(F71="Cidadão comum","NÃO — monitorar a vida de cidadão comum não é apuração (OSINT 6.7)",IF(F71="Empresa","Só o que for público e ligado à pauta","Sim: perfil público, sobre o cargo ou a pauta")))</f>
        <v/>
      </c>
      <c r="H71" s="14"/>
      <c r="I71" s="5"/>
      <c r="J71" s="5"/>
      <c r="K71" s="27"/>
      <c r="L71" s="5"/>
    </row>
    <row r="72" customFormat="false" ht="15" hidden="false" customHeight="false" outlineLevel="0" collapsed="false">
      <c r="A72" s="5"/>
      <c r="B72" s="14"/>
      <c r="C72" s="5"/>
      <c r="D72" s="18"/>
      <c r="E72" s="5"/>
      <c r="F72" s="5"/>
      <c r="G72" s="19" t="str">
        <f aca="false">IF(F72="","",IF(F72="Cidadão comum","NÃO — monitorar a vida de cidadão comum não é apuração (OSINT 6.7)",IF(F72="Empresa","Só o que for público e ligado à pauta","Sim: perfil público, sobre o cargo ou a pauta")))</f>
        <v/>
      </c>
      <c r="H72" s="14"/>
      <c r="I72" s="5"/>
      <c r="J72" s="5"/>
      <c r="K72" s="27"/>
      <c r="L72" s="5"/>
    </row>
    <row r="73" customFormat="false" ht="15" hidden="false" customHeight="false" outlineLevel="0" collapsed="false">
      <c r="A73" s="5"/>
      <c r="B73" s="14"/>
      <c r="C73" s="5"/>
      <c r="D73" s="18"/>
      <c r="E73" s="5"/>
      <c r="F73" s="5"/>
      <c r="G73" s="19" t="str">
        <f aca="false">IF(F73="","",IF(F73="Cidadão comum","NÃO — monitorar a vida de cidadão comum não é apuração (OSINT 6.7)",IF(F73="Empresa","Só o que for público e ligado à pauta","Sim: perfil público, sobre o cargo ou a pauta")))</f>
        <v/>
      </c>
      <c r="H73" s="14"/>
      <c r="I73" s="5"/>
      <c r="J73" s="5"/>
      <c r="K73" s="27"/>
      <c r="L73" s="5"/>
    </row>
    <row r="74" customFormat="false" ht="15" hidden="false" customHeight="false" outlineLevel="0" collapsed="false">
      <c r="A74" s="5"/>
      <c r="B74" s="14"/>
      <c r="C74" s="5"/>
      <c r="D74" s="18"/>
      <c r="E74" s="5"/>
      <c r="F74" s="5"/>
      <c r="G74" s="19" t="str">
        <f aca="false">IF(F74="","",IF(F74="Cidadão comum","NÃO — monitorar a vida de cidadão comum não é apuração (OSINT 6.7)",IF(F74="Empresa","Só o que for público e ligado à pauta","Sim: perfil público, sobre o cargo ou a pauta")))</f>
        <v/>
      </c>
      <c r="H74" s="14"/>
      <c r="I74" s="5"/>
      <c r="J74" s="5"/>
      <c r="K74" s="27"/>
      <c r="L74" s="5"/>
    </row>
    <row r="75" customFormat="false" ht="15" hidden="false" customHeight="false" outlineLevel="0" collapsed="false">
      <c r="A75" s="5"/>
      <c r="B75" s="14"/>
      <c r="C75" s="5"/>
      <c r="D75" s="18"/>
      <c r="E75" s="5"/>
      <c r="F75" s="5"/>
      <c r="G75" s="19" t="str">
        <f aca="false">IF(F75="","",IF(F75="Cidadão comum","NÃO — monitorar a vida de cidadão comum não é apuração (OSINT 6.7)",IF(F75="Empresa","Só o que for público e ligado à pauta","Sim: perfil público, sobre o cargo ou a pauta")))</f>
        <v/>
      </c>
      <c r="H75" s="14"/>
      <c r="I75" s="5"/>
      <c r="J75" s="5"/>
      <c r="K75" s="27"/>
      <c r="L75" s="5"/>
    </row>
    <row r="76" customFormat="false" ht="15" hidden="false" customHeight="false" outlineLevel="0" collapsed="false">
      <c r="A76" s="5"/>
      <c r="B76" s="14"/>
      <c r="C76" s="5"/>
      <c r="D76" s="18"/>
      <c r="E76" s="5"/>
      <c r="F76" s="5"/>
      <c r="G76" s="19" t="str">
        <f aca="false">IF(F76="","",IF(F76="Cidadão comum","NÃO — monitorar a vida de cidadão comum não é apuração (OSINT 6.7)",IF(F76="Empresa","Só o que for público e ligado à pauta","Sim: perfil público, sobre o cargo ou a pauta")))</f>
        <v/>
      </c>
      <c r="H76" s="14"/>
      <c r="I76" s="5"/>
      <c r="J76" s="5"/>
      <c r="K76" s="27"/>
      <c r="L76" s="5"/>
    </row>
    <row r="77" customFormat="false" ht="15" hidden="false" customHeight="false" outlineLevel="0" collapsed="false">
      <c r="A77" s="5"/>
      <c r="B77" s="14"/>
      <c r="C77" s="5"/>
      <c r="D77" s="18"/>
      <c r="E77" s="5"/>
      <c r="F77" s="5"/>
      <c r="G77" s="19" t="str">
        <f aca="false">IF(F77="","",IF(F77="Cidadão comum","NÃO — monitorar a vida de cidadão comum não é apuração (OSINT 6.7)",IF(F77="Empresa","Só o que for público e ligado à pauta","Sim: perfil público, sobre o cargo ou a pauta")))</f>
        <v/>
      </c>
      <c r="H77" s="14"/>
      <c r="I77" s="5"/>
      <c r="J77" s="5"/>
      <c r="K77" s="27"/>
      <c r="L77" s="5"/>
    </row>
    <row r="78" customFormat="false" ht="15" hidden="false" customHeight="false" outlineLevel="0" collapsed="false">
      <c r="A78" s="5"/>
      <c r="B78" s="14"/>
      <c r="C78" s="5"/>
      <c r="D78" s="18"/>
      <c r="E78" s="5"/>
      <c r="F78" s="5"/>
      <c r="G78" s="19" t="str">
        <f aca="false">IF(F78="","",IF(F78="Cidadão comum","NÃO — monitorar a vida de cidadão comum não é apuração (OSINT 6.7)",IF(F78="Empresa","Só o que for público e ligado à pauta","Sim: perfil público, sobre o cargo ou a pauta")))</f>
        <v/>
      </c>
      <c r="H78" s="14"/>
      <c r="I78" s="5"/>
      <c r="J78" s="5"/>
      <c r="K78" s="27"/>
      <c r="L78" s="5"/>
    </row>
    <row r="79" customFormat="false" ht="15" hidden="false" customHeight="false" outlineLevel="0" collapsed="false">
      <c r="A79" s="5"/>
      <c r="B79" s="14"/>
      <c r="C79" s="5"/>
      <c r="D79" s="18"/>
      <c r="E79" s="5"/>
      <c r="F79" s="5"/>
      <c r="G79" s="19" t="str">
        <f aca="false">IF(F79="","",IF(F79="Cidadão comum","NÃO — monitorar a vida de cidadão comum não é apuração (OSINT 6.7)",IF(F79="Empresa","Só o que for público e ligado à pauta","Sim: perfil público, sobre o cargo ou a pauta")))</f>
        <v/>
      </c>
      <c r="H79" s="14"/>
      <c r="I79" s="5"/>
      <c r="J79" s="5"/>
      <c r="K79" s="27"/>
      <c r="L79" s="5"/>
    </row>
    <row r="80" customFormat="false" ht="15" hidden="false" customHeight="false" outlineLevel="0" collapsed="false">
      <c r="A80" s="5"/>
      <c r="B80" s="14"/>
      <c r="C80" s="5"/>
      <c r="D80" s="18"/>
      <c r="E80" s="5"/>
      <c r="F80" s="5"/>
      <c r="G80" s="19" t="str">
        <f aca="false">IF(F80="","",IF(F80="Cidadão comum","NÃO — monitorar a vida de cidadão comum não é apuração (OSINT 6.7)",IF(F80="Empresa","Só o que for público e ligado à pauta","Sim: perfil público, sobre o cargo ou a pauta")))</f>
        <v/>
      </c>
      <c r="H80" s="14"/>
      <c r="I80" s="5"/>
      <c r="J80" s="5"/>
      <c r="K80" s="27"/>
      <c r="L80" s="5"/>
    </row>
    <row r="81" customFormat="false" ht="15" hidden="false" customHeight="false" outlineLevel="0" collapsed="false">
      <c r="A81" s="5"/>
      <c r="B81" s="14"/>
      <c r="C81" s="5"/>
      <c r="D81" s="18"/>
      <c r="E81" s="5"/>
      <c r="F81" s="5"/>
      <c r="G81" s="19" t="str">
        <f aca="false">IF(F81="","",IF(F81="Cidadão comum","NÃO — monitorar a vida de cidadão comum não é apuração (OSINT 6.7)",IF(F81="Empresa","Só o que for público e ligado à pauta","Sim: perfil público, sobre o cargo ou a pauta")))</f>
        <v/>
      </c>
      <c r="H81" s="14"/>
      <c r="I81" s="5"/>
      <c r="J81" s="5"/>
      <c r="K81" s="27"/>
      <c r="L81" s="5"/>
    </row>
    <row r="82" customFormat="false" ht="15" hidden="false" customHeight="false" outlineLevel="0" collapsed="false">
      <c r="A82" s="5"/>
      <c r="B82" s="14"/>
      <c r="C82" s="5"/>
      <c r="D82" s="18"/>
      <c r="E82" s="5"/>
      <c r="F82" s="5"/>
      <c r="G82" s="19" t="str">
        <f aca="false">IF(F82="","",IF(F82="Cidadão comum","NÃO — monitorar a vida de cidadão comum não é apuração (OSINT 6.7)",IF(F82="Empresa","Só o que for público e ligado à pauta","Sim: perfil público, sobre o cargo ou a pauta")))</f>
        <v/>
      </c>
      <c r="H82" s="14"/>
      <c r="I82" s="5"/>
      <c r="J82" s="5"/>
      <c r="K82" s="27"/>
      <c r="L82" s="5"/>
    </row>
    <row r="83" customFormat="false" ht="15" hidden="false" customHeight="false" outlineLevel="0" collapsed="false">
      <c r="A83" s="5"/>
      <c r="B83" s="14"/>
      <c r="C83" s="5"/>
      <c r="D83" s="18"/>
      <c r="E83" s="5"/>
      <c r="F83" s="5"/>
      <c r="G83" s="19" t="str">
        <f aca="false">IF(F83="","",IF(F83="Cidadão comum","NÃO — monitorar a vida de cidadão comum não é apuração (OSINT 6.7)",IF(F83="Empresa","Só o que for público e ligado à pauta","Sim: perfil público, sobre o cargo ou a pauta")))</f>
        <v/>
      </c>
      <c r="H83" s="14"/>
      <c r="I83" s="5"/>
      <c r="J83" s="5"/>
      <c r="K83" s="27"/>
      <c r="L83" s="5"/>
    </row>
    <row r="84" customFormat="false" ht="15" hidden="false" customHeight="false" outlineLevel="0" collapsed="false">
      <c r="A84" s="5"/>
      <c r="B84" s="14"/>
      <c r="C84" s="5"/>
      <c r="D84" s="18"/>
      <c r="E84" s="5"/>
      <c r="F84" s="5"/>
      <c r="G84" s="19" t="str">
        <f aca="false">IF(F84="","",IF(F84="Cidadão comum","NÃO — monitorar a vida de cidadão comum não é apuração (OSINT 6.7)",IF(F84="Empresa","Só o que for público e ligado à pauta","Sim: perfil público, sobre o cargo ou a pauta")))</f>
        <v/>
      </c>
      <c r="H84" s="14"/>
      <c r="I84" s="5"/>
      <c r="J84" s="5"/>
      <c r="K84" s="27"/>
      <c r="L84" s="5"/>
    </row>
    <row r="85" customFormat="false" ht="15" hidden="false" customHeight="false" outlineLevel="0" collapsed="false">
      <c r="A85" s="5"/>
      <c r="B85" s="14"/>
      <c r="C85" s="5"/>
      <c r="D85" s="18"/>
      <c r="E85" s="5"/>
      <c r="F85" s="5"/>
      <c r="G85" s="19" t="str">
        <f aca="false">IF(F85="","",IF(F85="Cidadão comum","NÃO — monitorar a vida de cidadão comum não é apuração (OSINT 6.7)",IF(F85="Empresa","Só o que for público e ligado à pauta","Sim: perfil público, sobre o cargo ou a pauta")))</f>
        <v/>
      </c>
      <c r="H85" s="14"/>
      <c r="I85" s="5"/>
      <c r="J85" s="5"/>
      <c r="K85" s="27"/>
      <c r="L85" s="5"/>
    </row>
    <row r="86" customFormat="false" ht="15" hidden="false" customHeight="false" outlineLevel="0" collapsed="false">
      <c r="A86" s="5"/>
      <c r="B86" s="14"/>
      <c r="C86" s="5"/>
      <c r="D86" s="18"/>
      <c r="E86" s="5"/>
      <c r="F86" s="5"/>
      <c r="G86" s="19" t="str">
        <f aca="false">IF(F86="","",IF(F86="Cidadão comum","NÃO — monitorar a vida de cidadão comum não é apuração (OSINT 6.7)",IF(F86="Empresa","Só o que for público e ligado à pauta","Sim: perfil público, sobre o cargo ou a pauta")))</f>
        <v/>
      </c>
      <c r="H86" s="14"/>
      <c r="I86" s="5"/>
      <c r="J86" s="5"/>
      <c r="K86" s="27"/>
      <c r="L86" s="5"/>
    </row>
    <row r="87" customFormat="false" ht="15" hidden="false" customHeight="false" outlineLevel="0" collapsed="false">
      <c r="A87" s="5"/>
      <c r="B87" s="14"/>
      <c r="C87" s="5"/>
      <c r="D87" s="18"/>
      <c r="E87" s="5"/>
      <c r="F87" s="5"/>
      <c r="G87" s="19" t="str">
        <f aca="false">IF(F87="","",IF(F87="Cidadão comum","NÃO — monitorar a vida de cidadão comum não é apuração (OSINT 6.7)",IF(F87="Empresa","Só o que for público e ligado à pauta","Sim: perfil público, sobre o cargo ou a pauta")))</f>
        <v/>
      </c>
      <c r="H87" s="14"/>
      <c r="I87" s="5"/>
      <c r="J87" s="5"/>
      <c r="K87" s="27"/>
      <c r="L87" s="5"/>
    </row>
    <row r="88" customFormat="false" ht="15" hidden="false" customHeight="false" outlineLevel="0" collapsed="false">
      <c r="A88" s="5"/>
      <c r="B88" s="14"/>
      <c r="C88" s="5"/>
      <c r="D88" s="18"/>
      <c r="E88" s="5"/>
      <c r="F88" s="5"/>
      <c r="G88" s="19" t="str">
        <f aca="false">IF(F88="","",IF(F88="Cidadão comum","NÃO — monitorar a vida de cidadão comum não é apuração (OSINT 6.7)",IF(F88="Empresa","Só o que for público e ligado à pauta","Sim: perfil público, sobre o cargo ou a pauta")))</f>
        <v/>
      </c>
      <c r="H88" s="14"/>
      <c r="I88" s="5"/>
      <c r="J88" s="5"/>
      <c r="K88" s="27"/>
      <c r="L88" s="5"/>
    </row>
    <row r="89" customFormat="false" ht="15" hidden="false" customHeight="false" outlineLevel="0" collapsed="false">
      <c r="A89" s="5"/>
      <c r="B89" s="14"/>
      <c r="C89" s="5"/>
      <c r="D89" s="18"/>
      <c r="E89" s="5"/>
      <c r="F89" s="5"/>
      <c r="G89" s="19" t="str">
        <f aca="false">IF(F89="","",IF(F89="Cidadão comum","NÃO — monitorar a vida de cidadão comum não é apuração (OSINT 6.7)",IF(F89="Empresa","Só o que for público e ligado à pauta","Sim: perfil público, sobre o cargo ou a pauta")))</f>
        <v/>
      </c>
      <c r="H89" s="14"/>
      <c r="I89" s="5"/>
      <c r="J89" s="5"/>
      <c r="K89" s="27"/>
      <c r="L89" s="5"/>
    </row>
    <row r="90" customFormat="false" ht="15" hidden="false" customHeight="false" outlineLevel="0" collapsed="false">
      <c r="A90" s="5"/>
      <c r="B90" s="14"/>
      <c r="C90" s="5"/>
      <c r="D90" s="18"/>
      <c r="E90" s="5"/>
      <c r="F90" s="5"/>
      <c r="G90" s="19" t="str">
        <f aca="false">IF(F90="","",IF(F90="Cidadão comum","NÃO — monitorar a vida de cidadão comum não é apuração (OSINT 6.7)",IF(F90="Empresa","Só o que for público e ligado à pauta","Sim: perfil público, sobre o cargo ou a pauta")))</f>
        <v/>
      </c>
      <c r="H90" s="14"/>
      <c r="I90" s="5"/>
      <c r="J90" s="5"/>
      <c r="K90" s="27"/>
      <c r="L90" s="5"/>
    </row>
    <row r="91" customFormat="false" ht="15" hidden="false" customHeight="false" outlineLevel="0" collapsed="false">
      <c r="A91" s="5"/>
      <c r="B91" s="14"/>
      <c r="C91" s="5"/>
      <c r="D91" s="18"/>
      <c r="E91" s="5"/>
      <c r="F91" s="5"/>
      <c r="G91" s="19" t="str">
        <f aca="false">IF(F91="","",IF(F91="Cidadão comum","NÃO — monitorar a vida de cidadão comum não é apuração (OSINT 6.7)",IF(F91="Empresa","Só o que for público e ligado à pauta","Sim: perfil público, sobre o cargo ou a pauta")))</f>
        <v/>
      </c>
      <c r="H91" s="14"/>
      <c r="I91" s="5"/>
      <c r="J91" s="5"/>
      <c r="K91" s="27"/>
      <c r="L91" s="5"/>
    </row>
    <row r="92" customFormat="false" ht="15" hidden="false" customHeight="false" outlineLevel="0" collapsed="false">
      <c r="A92" s="5"/>
      <c r="B92" s="14"/>
      <c r="C92" s="5"/>
      <c r="D92" s="18"/>
      <c r="E92" s="5"/>
      <c r="F92" s="5"/>
      <c r="G92" s="19" t="str">
        <f aca="false">IF(F92="","",IF(F92="Cidadão comum","NÃO — monitorar a vida de cidadão comum não é apuração (OSINT 6.7)",IF(F92="Empresa","Só o que for público e ligado à pauta","Sim: perfil público, sobre o cargo ou a pauta")))</f>
        <v/>
      </c>
      <c r="H92" s="14"/>
      <c r="I92" s="5"/>
      <c r="J92" s="5"/>
      <c r="K92" s="27"/>
      <c r="L92" s="5"/>
    </row>
    <row r="93" customFormat="false" ht="15" hidden="false" customHeight="false" outlineLevel="0" collapsed="false">
      <c r="A93" s="5"/>
      <c r="B93" s="14"/>
      <c r="C93" s="5"/>
      <c r="D93" s="18"/>
      <c r="E93" s="5"/>
      <c r="F93" s="5"/>
      <c r="G93" s="19" t="str">
        <f aca="false">IF(F93="","",IF(F93="Cidadão comum","NÃO — monitorar a vida de cidadão comum não é apuração (OSINT 6.7)",IF(F93="Empresa","Só o que for público e ligado à pauta","Sim: perfil público, sobre o cargo ou a pauta")))</f>
        <v/>
      </c>
      <c r="H93" s="14"/>
      <c r="I93" s="5"/>
      <c r="J93" s="5"/>
      <c r="K93" s="27"/>
      <c r="L93" s="5"/>
    </row>
    <row r="94" customFormat="false" ht="15" hidden="false" customHeight="false" outlineLevel="0" collapsed="false">
      <c r="A94" s="5"/>
      <c r="B94" s="14"/>
      <c r="C94" s="5"/>
      <c r="D94" s="18"/>
      <c r="E94" s="5"/>
      <c r="F94" s="5"/>
      <c r="G94" s="19" t="str">
        <f aca="false">IF(F94="","",IF(F94="Cidadão comum","NÃO — monitorar a vida de cidadão comum não é apuração (OSINT 6.7)",IF(F94="Empresa","Só o que for público e ligado à pauta","Sim: perfil público, sobre o cargo ou a pauta")))</f>
        <v/>
      </c>
      <c r="H94" s="14"/>
      <c r="I94" s="5"/>
      <c r="J94" s="5"/>
      <c r="K94" s="27"/>
      <c r="L94" s="5"/>
    </row>
    <row r="95" customFormat="false" ht="15" hidden="false" customHeight="false" outlineLevel="0" collapsed="false">
      <c r="A95" s="5"/>
      <c r="B95" s="14"/>
      <c r="C95" s="5"/>
      <c r="D95" s="18"/>
      <c r="E95" s="5"/>
      <c r="F95" s="5"/>
      <c r="G95" s="19" t="str">
        <f aca="false">IF(F95="","",IF(F95="Cidadão comum","NÃO — monitorar a vida de cidadão comum não é apuração (OSINT 6.7)",IF(F95="Empresa","Só o que for público e ligado à pauta","Sim: perfil público, sobre o cargo ou a pauta")))</f>
        <v/>
      </c>
      <c r="H95" s="14"/>
      <c r="I95" s="5"/>
      <c r="J95" s="5"/>
      <c r="K95" s="27"/>
      <c r="L95" s="5"/>
    </row>
    <row r="96" customFormat="false" ht="15" hidden="false" customHeight="false" outlineLevel="0" collapsed="false">
      <c r="A96" s="5"/>
      <c r="B96" s="14"/>
      <c r="C96" s="5"/>
      <c r="D96" s="18"/>
      <c r="E96" s="5"/>
      <c r="F96" s="5"/>
      <c r="G96" s="19" t="str">
        <f aca="false">IF(F96="","",IF(F96="Cidadão comum","NÃO — monitorar a vida de cidadão comum não é apuração (OSINT 6.7)",IF(F96="Empresa","Só o que for público e ligado à pauta","Sim: perfil público, sobre o cargo ou a pauta")))</f>
        <v/>
      </c>
      <c r="H96" s="14"/>
      <c r="I96" s="5"/>
      <c r="J96" s="5"/>
      <c r="K96" s="27"/>
      <c r="L96" s="5"/>
    </row>
    <row r="97" customFormat="false" ht="15" hidden="false" customHeight="false" outlineLevel="0" collapsed="false">
      <c r="A97" s="5"/>
      <c r="B97" s="14"/>
      <c r="C97" s="5"/>
      <c r="D97" s="18"/>
      <c r="E97" s="5"/>
      <c r="F97" s="5"/>
      <c r="G97" s="19" t="str">
        <f aca="false">IF(F97="","",IF(F97="Cidadão comum","NÃO — monitorar a vida de cidadão comum não é apuração (OSINT 6.7)",IF(F97="Empresa","Só o que for público e ligado à pauta","Sim: perfil público, sobre o cargo ou a pauta")))</f>
        <v/>
      </c>
      <c r="H97" s="14"/>
      <c r="I97" s="5"/>
      <c r="J97" s="5"/>
      <c r="K97" s="27"/>
      <c r="L97" s="5"/>
    </row>
    <row r="98" customFormat="false" ht="15" hidden="false" customHeight="false" outlineLevel="0" collapsed="false">
      <c r="A98" s="5"/>
      <c r="B98" s="14"/>
      <c r="C98" s="5"/>
      <c r="D98" s="18"/>
      <c r="E98" s="5"/>
      <c r="F98" s="5"/>
      <c r="G98" s="19" t="str">
        <f aca="false">IF(F98="","",IF(F98="Cidadão comum","NÃO — monitorar a vida de cidadão comum não é apuração (OSINT 6.7)",IF(F98="Empresa","Só o que for público e ligado à pauta","Sim: perfil público, sobre o cargo ou a pauta")))</f>
        <v/>
      </c>
      <c r="H98" s="14"/>
      <c r="I98" s="5"/>
      <c r="J98" s="5"/>
      <c r="K98" s="27"/>
      <c r="L98" s="5"/>
    </row>
    <row r="99" customFormat="false" ht="15" hidden="false" customHeight="false" outlineLevel="0" collapsed="false">
      <c r="A99" s="5"/>
      <c r="B99" s="14"/>
      <c r="C99" s="5"/>
      <c r="D99" s="18"/>
      <c r="E99" s="5"/>
      <c r="F99" s="5"/>
      <c r="G99" s="19" t="str">
        <f aca="false">IF(F99="","",IF(F99="Cidadão comum","NÃO — monitorar a vida de cidadão comum não é apuração (OSINT 6.7)",IF(F99="Empresa","Só o que for público e ligado à pauta","Sim: perfil público, sobre o cargo ou a pauta")))</f>
        <v/>
      </c>
      <c r="H99" s="14"/>
      <c r="I99" s="5"/>
      <c r="J99" s="5"/>
      <c r="K99" s="27"/>
      <c r="L99" s="5"/>
    </row>
    <row r="100" customFormat="false" ht="15" hidden="false" customHeight="false" outlineLevel="0" collapsed="false">
      <c r="A100" s="5"/>
      <c r="B100" s="14"/>
      <c r="C100" s="5"/>
      <c r="D100" s="18"/>
      <c r="E100" s="5"/>
      <c r="F100" s="5"/>
      <c r="G100" s="19" t="str">
        <f aca="false">IF(F100="","",IF(F100="Cidadão comum","NÃO — monitorar a vida de cidadão comum não é apuração (OSINT 6.7)",IF(F100="Empresa","Só o que for público e ligado à pauta","Sim: perfil público, sobre o cargo ou a pauta")))</f>
        <v/>
      </c>
      <c r="H100" s="14"/>
      <c r="I100" s="5"/>
      <c r="J100" s="5"/>
      <c r="K100" s="27"/>
      <c r="L100" s="5"/>
    </row>
    <row r="101" customFormat="false" ht="15" hidden="false" customHeight="false" outlineLevel="0" collapsed="false">
      <c r="A101" s="5"/>
      <c r="B101" s="14"/>
      <c r="C101" s="5"/>
      <c r="D101" s="18"/>
      <c r="E101" s="5"/>
      <c r="F101" s="5"/>
      <c r="G101" s="19" t="str">
        <f aca="false">IF(F101="","",IF(F101="Cidadão comum","NÃO — monitorar a vida de cidadão comum não é apuração (OSINT 6.7)",IF(F101="Empresa","Só o que for público e ligado à pauta","Sim: perfil público, sobre o cargo ou a pauta")))</f>
        <v/>
      </c>
      <c r="H101" s="14"/>
      <c r="I101" s="5"/>
      <c r="J101" s="5"/>
      <c r="K101" s="27"/>
      <c r="L101" s="5"/>
    </row>
    <row r="102" customFormat="false" ht="15" hidden="false" customHeight="false" outlineLevel="0" collapsed="false">
      <c r="A102" s="5"/>
      <c r="B102" s="14"/>
      <c r="C102" s="5"/>
      <c r="D102" s="18"/>
      <c r="E102" s="5"/>
      <c r="F102" s="5"/>
      <c r="G102" s="19" t="str">
        <f aca="false">IF(F102="","",IF(F102="Cidadão comum","NÃO — monitorar a vida de cidadão comum não é apuração (OSINT 6.7)",IF(F102="Empresa","Só o que for público e ligado à pauta","Sim: perfil público, sobre o cargo ou a pauta")))</f>
        <v/>
      </c>
      <c r="H102" s="14"/>
      <c r="I102" s="5"/>
      <c r="J102" s="5"/>
      <c r="K102" s="27"/>
      <c r="L102" s="5"/>
    </row>
    <row r="103" customFormat="false" ht="15" hidden="false" customHeight="false" outlineLevel="0" collapsed="false">
      <c r="A103" s="5"/>
      <c r="B103" s="14"/>
      <c r="C103" s="5"/>
      <c r="D103" s="18"/>
      <c r="E103" s="5"/>
      <c r="F103" s="5"/>
      <c r="G103" s="19" t="str">
        <f aca="false">IF(F103="","",IF(F103="Cidadão comum","NÃO — monitorar a vida de cidadão comum não é apuração (OSINT 6.7)",IF(F103="Empresa","Só o que for público e ligado à pauta","Sim: perfil público, sobre o cargo ou a pauta")))</f>
        <v/>
      </c>
      <c r="H103" s="14"/>
      <c r="I103" s="5"/>
      <c r="J103" s="5"/>
      <c r="K103" s="27"/>
      <c r="L103" s="5"/>
    </row>
    <row r="104" customFormat="false" ht="15" hidden="false" customHeight="false" outlineLevel="0" collapsed="false">
      <c r="A104" s="5"/>
      <c r="B104" s="14"/>
      <c r="C104" s="5"/>
      <c r="D104" s="18"/>
      <c r="E104" s="5"/>
      <c r="F104" s="5"/>
      <c r="G104" s="19" t="str">
        <f aca="false">IF(F104="","",IF(F104="Cidadão comum","NÃO — monitorar a vida de cidadão comum não é apuração (OSINT 6.7)",IF(F104="Empresa","Só o que for público e ligado à pauta","Sim: perfil público, sobre o cargo ou a pauta")))</f>
        <v/>
      </c>
      <c r="H104" s="14"/>
      <c r="I104" s="5"/>
      <c r="J104" s="5"/>
      <c r="K104" s="27"/>
      <c r="L104" s="5"/>
    </row>
    <row r="105" customFormat="false" ht="15" hidden="false" customHeight="false" outlineLevel="0" collapsed="false">
      <c r="A105" s="5"/>
      <c r="B105" s="14"/>
      <c r="C105" s="5"/>
      <c r="D105" s="18"/>
      <c r="E105" s="5"/>
      <c r="F105" s="5"/>
      <c r="G105" s="19" t="str">
        <f aca="false">IF(F105="","",IF(F105="Cidadão comum","NÃO — monitorar a vida de cidadão comum não é apuração (OSINT 6.7)",IF(F105="Empresa","Só o que for público e ligado à pauta","Sim: perfil público, sobre o cargo ou a pauta")))</f>
        <v/>
      </c>
      <c r="H105" s="14"/>
      <c r="I105" s="5"/>
      <c r="J105" s="5"/>
      <c r="K105" s="27"/>
      <c r="L105" s="5"/>
    </row>
    <row r="106" customFormat="false" ht="15" hidden="false" customHeight="false" outlineLevel="0" collapsed="false">
      <c r="A106" s="5"/>
      <c r="B106" s="14"/>
      <c r="C106" s="5"/>
      <c r="D106" s="18"/>
      <c r="E106" s="5"/>
      <c r="F106" s="5"/>
      <c r="G106" s="19" t="str">
        <f aca="false">IF(F106="","",IF(F106="Cidadão comum","NÃO — monitorar a vida de cidadão comum não é apuração (OSINT 6.7)",IF(F106="Empresa","Só o que for público e ligado à pauta","Sim: perfil público, sobre o cargo ou a pauta")))</f>
        <v/>
      </c>
      <c r="H106" s="14"/>
      <c r="I106" s="5"/>
      <c r="J106" s="5"/>
      <c r="K106" s="27"/>
      <c r="L106" s="5"/>
    </row>
    <row r="107" customFormat="false" ht="15" hidden="false" customHeight="false" outlineLevel="0" collapsed="false">
      <c r="A107" s="5"/>
      <c r="B107" s="14"/>
      <c r="C107" s="5"/>
      <c r="D107" s="18"/>
      <c r="E107" s="5"/>
      <c r="F107" s="5"/>
      <c r="G107" s="19" t="str">
        <f aca="false">IF(F107="","",IF(F107="Cidadão comum","NÃO — monitorar a vida de cidadão comum não é apuração (OSINT 6.7)",IF(F107="Empresa","Só o que for público e ligado à pauta","Sim: perfil público, sobre o cargo ou a pauta")))</f>
        <v/>
      </c>
      <c r="H107" s="14"/>
      <c r="I107" s="5"/>
      <c r="J107" s="5"/>
      <c r="K107" s="27"/>
      <c r="L107" s="5"/>
    </row>
    <row r="108" customFormat="false" ht="15" hidden="false" customHeight="false" outlineLevel="0" collapsed="false">
      <c r="A108" s="5"/>
      <c r="B108" s="14"/>
      <c r="C108" s="5"/>
      <c r="D108" s="18"/>
      <c r="E108" s="5"/>
      <c r="F108" s="5"/>
      <c r="G108" s="19" t="str">
        <f aca="false">IF(F108="","",IF(F108="Cidadão comum","NÃO — monitorar a vida de cidadão comum não é apuração (OSINT 6.7)",IF(F108="Empresa","Só o que for público e ligado à pauta","Sim: perfil público, sobre o cargo ou a pauta")))</f>
        <v/>
      </c>
      <c r="H108" s="14"/>
      <c r="I108" s="5"/>
      <c r="J108" s="5"/>
      <c r="K108" s="27"/>
      <c r="L108" s="5"/>
    </row>
    <row r="109" customFormat="false" ht="15" hidden="false" customHeight="false" outlineLevel="0" collapsed="false">
      <c r="A109" s="5"/>
      <c r="B109" s="14"/>
      <c r="C109" s="5"/>
      <c r="D109" s="18"/>
      <c r="E109" s="5"/>
      <c r="F109" s="5"/>
      <c r="G109" s="19" t="str">
        <f aca="false">IF(F109="","",IF(F109="Cidadão comum","NÃO — monitorar a vida de cidadão comum não é apuração (OSINT 6.7)",IF(F109="Empresa","Só o que for público e ligado à pauta","Sim: perfil público, sobre o cargo ou a pauta")))</f>
        <v/>
      </c>
      <c r="H109" s="14"/>
      <c r="I109" s="5"/>
      <c r="J109" s="5"/>
      <c r="K109" s="27"/>
      <c r="L109" s="5"/>
    </row>
    <row r="110" customFormat="false" ht="15" hidden="false" customHeight="false" outlineLevel="0" collapsed="false">
      <c r="A110" s="5"/>
      <c r="B110" s="14"/>
      <c r="C110" s="5"/>
      <c r="D110" s="18"/>
      <c r="E110" s="5"/>
      <c r="F110" s="5"/>
      <c r="G110" s="19" t="str">
        <f aca="false">IF(F110="","",IF(F110="Cidadão comum","NÃO — monitorar a vida de cidadão comum não é apuração (OSINT 6.7)",IF(F110="Empresa","Só o que for público e ligado à pauta","Sim: perfil público, sobre o cargo ou a pauta")))</f>
        <v/>
      </c>
      <c r="H110" s="14"/>
      <c r="I110" s="5"/>
      <c r="J110" s="5"/>
      <c r="K110" s="27"/>
      <c r="L110" s="5"/>
    </row>
    <row r="111" customFormat="false" ht="15" hidden="false" customHeight="false" outlineLevel="0" collapsed="false">
      <c r="A111" s="5"/>
      <c r="B111" s="14"/>
      <c r="C111" s="5"/>
      <c r="D111" s="18"/>
      <c r="E111" s="5"/>
      <c r="F111" s="5"/>
      <c r="G111" s="19" t="str">
        <f aca="false">IF(F111="","",IF(F111="Cidadão comum","NÃO — monitorar a vida de cidadão comum não é apuração (OSINT 6.7)",IF(F111="Empresa","Só o que for público e ligado à pauta","Sim: perfil público, sobre o cargo ou a pauta")))</f>
        <v/>
      </c>
      <c r="H111" s="14"/>
      <c r="I111" s="5"/>
      <c r="J111" s="5"/>
      <c r="K111" s="27"/>
      <c r="L111" s="5"/>
    </row>
    <row r="112" customFormat="false" ht="15" hidden="false" customHeight="false" outlineLevel="0" collapsed="false">
      <c r="A112" s="5"/>
      <c r="B112" s="14"/>
      <c r="C112" s="5"/>
      <c r="D112" s="18"/>
      <c r="E112" s="5"/>
      <c r="F112" s="5"/>
      <c r="G112" s="19" t="str">
        <f aca="false">IF(F112="","",IF(F112="Cidadão comum","NÃO — monitorar a vida de cidadão comum não é apuração (OSINT 6.7)",IF(F112="Empresa","Só o que for público e ligado à pauta","Sim: perfil público, sobre o cargo ou a pauta")))</f>
        <v/>
      </c>
      <c r="H112" s="14"/>
      <c r="I112" s="5"/>
      <c r="J112" s="5"/>
      <c r="K112" s="27"/>
      <c r="L112" s="5"/>
    </row>
    <row r="113" customFormat="false" ht="15" hidden="false" customHeight="false" outlineLevel="0" collapsed="false">
      <c r="A113" s="5"/>
      <c r="B113" s="14"/>
      <c r="C113" s="5"/>
      <c r="D113" s="18"/>
      <c r="E113" s="5"/>
      <c r="F113" s="5"/>
      <c r="G113" s="19" t="str">
        <f aca="false">IF(F113="","",IF(F113="Cidadão comum","NÃO — monitorar a vida de cidadão comum não é apuração (OSINT 6.7)",IF(F113="Empresa","Só o que for público e ligado à pauta","Sim: perfil público, sobre o cargo ou a pauta")))</f>
        <v/>
      </c>
      <c r="H113" s="14"/>
      <c r="I113" s="5"/>
      <c r="J113" s="5"/>
      <c r="K113" s="27"/>
      <c r="L113" s="5"/>
    </row>
    <row r="114" customFormat="false" ht="15" hidden="false" customHeight="false" outlineLevel="0" collapsed="false">
      <c r="A114" s="5"/>
      <c r="B114" s="14"/>
      <c r="C114" s="5"/>
      <c r="D114" s="18"/>
      <c r="E114" s="5"/>
      <c r="F114" s="5"/>
      <c r="G114" s="19" t="str">
        <f aca="false">IF(F114="","",IF(F114="Cidadão comum","NÃO — monitorar a vida de cidadão comum não é apuração (OSINT 6.7)",IF(F114="Empresa","Só o que for público e ligado à pauta","Sim: perfil público, sobre o cargo ou a pauta")))</f>
        <v/>
      </c>
      <c r="H114" s="14"/>
      <c r="I114" s="5"/>
      <c r="J114" s="5"/>
      <c r="K114" s="27"/>
      <c r="L114" s="5"/>
    </row>
    <row r="115" customFormat="false" ht="15" hidden="false" customHeight="false" outlineLevel="0" collapsed="false">
      <c r="A115" s="5"/>
      <c r="B115" s="14"/>
      <c r="C115" s="5"/>
      <c r="D115" s="18"/>
      <c r="E115" s="5"/>
      <c r="F115" s="5"/>
      <c r="G115" s="19" t="str">
        <f aca="false">IF(F115="","",IF(F115="Cidadão comum","NÃO — monitorar a vida de cidadão comum não é apuração (OSINT 6.7)",IF(F115="Empresa","Só o que for público e ligado à pauta","Sim: perfil público, sobre o cargo ou a pauta")))</f>
        <v/>
      </c>
      <c r="H115" s="14"/>
      <c r="I115" s="5"/>
      <c r="J115" s="5"/>
      <c r="K115" s="27"/>
      <c r="L115" s="5"/>
    </row>
    <row r="116" customFormat="false" ht="15" hidden="false" customHeight="false" outlineLevel="0" collapsed="false">
      <c r="A116" s="5"/>
      <c r="B116" s="14"/>
      <c r="C116" s="5"/>
      <c r="D116" s="18"/>
      <c r="E116" s="5"/>
      <c r="F116" s="5"/>
      <c r="G116" s="19" t="str">
        <f aca="false">IF(F116="","",IF(F116="Cidadão comum","NÃO — monitorar a vida de cidadão comum não é apuração (OSINT 6.7)",IF(F116="Empresa","Só o que for público e ligado à pauta","Sim: perfil público, sobre o cargo ou a pauta")))</f>
        <v/>
      </c>
      <c r="H116" s="14"/>
      <c r="I116" s="5"/>
      <c r="J116" s="5"/>
      <c r="K116" s="27"/>
      <c r="L116" s="5"/>
    </row>
    <row r="117" customFormat="false" ht="15" hidden="false" customHeight="false" outlineLevel="0" collapsed="false">
      <c r="A117" s="5"/>
      <c r="B117" s="14"/>
      <c r="C117" s="5"/>
      <c r="D117" s="18"/>
      <c r="E117" s="5"/>
      <c r="F117" s="5"/>
      <c r="G117" s="19" t="str">
        <f aca="false">IF(F117="","",IF(F117="Cidadão comum","NÃO — monitorar a vida de cidadão comum não é apuração (OSINT 6.7)",IF(F117="Empresa","Só o que for público e ligado à pauta","Sim: perfil público, sobre o cargo ou a pauta")))</f>
        <v/>
      </c>
      <c r="H117" s="14"/>
      <c r="I117" s="5"/>
      <c r="J117" s="5"/>
      <c r="K117" s="27"/>
      <c r="L117" s="5"/>
    </row>
    <row r="118" customFormat="false" ht="15" hidden="false" customHeight="false" outlineLevel="0" collapsed="false">
      <c r="A118" s="5"/>
      <c r="B118" s="14"/>
      <c r="C118" s="5"/>
      <c r="D118" s="18"/>
      <c r="E118" s="5"/>
      <c r="F118" s="5"/>
      <c r="G118" s="19" t="str">
        <f aca="false">IF(F118="","",IF(F118="Cidadão comum","NÃO — monitorar a vida de cidadão comum não é apuração (OSINT 6.7)",IF(F118="Empresa","Só o que for público e ligado à pauta","Sim: perfil público, sobre o cargo ou a pauta")))</f>
        <v/>
      </c>
      <c r="H118" s="14"/>
      <c r="I118" s="5"/>
      <c r="J118" s="5"/>
      <c r="K118" s="27"/>
      <c r="L118" s="5"/>
    </row>
    <row r="119" customFormat="false" ht="15" hidden="false" customHeight="false" outlineLevel="0" collapsed="false">
      <c r="A119" s="5"/>
      <c r="B119" s="14"/>
      <c r="C119" s="5"/>
      <c r="D119" s="18"/>
      <c r="E119" s="5"/>
      <c r="F119" s="5"/>
      <c r="G119" s="19" t="str">
        <f aca="false">IF(F119="","",IF(F119="Cidadão comum","NÃO — monitorar a vida de cidadão comum não é apuração (OSINT 6.7)",IF(F119="Empresa","Só o que for público e ligado à pauta","Sim: perfil público, sobre o cargo ou a pauta")))</f>
        <v/>
      </c>
      <c r="H119" s="14"/>
      <c r="I119" s="5"/>
      <c r="J119" s="5"/>
      <c r="K119" s="27"/>
      <c r="L119" s="5"/>
    </row>
    <row r="120" customFormat="false" ht="15" hidden="false" customHeight="false" outlineLevel="0" collapsed="false">
      <c r="A120" s="5"/>
      <c r="B120" s="14"/>
      <c r="C120" s="5"/>
      <c r="D120" s="18"/>
      <c r="E120" s="5"/>
      <c r="F120" s="5"/>
      <c r="G120" s="19" t="str">
        <f aca="false">IF(F120="","",IF(F120="Cidadão comum","NÃO — monitorar a vida de cidadão comum não é apuração (OSINT 6.7)",IF(F120="Empresa","Só o que for público e ligado à pauta","Sim: perfil público, sobre o cargo ou a pauta")))</f>
        <v/>
      </c>
      <c r="H120" s="14"/>
      <c r="I120" s="5"/>
      <c r="J120" s="5"/>
      <c r="K120" s="27"/>
      <c r="L120" s="5"/>
    </row>
    <row r="121" customFormat="false" ht="15" hidden="false" customHeight="false" outlineLevel="0" collapsed="false">
      <c r="A121" s="5"/>
      <c r="B121" s="14"/>
      <c r="C121" s="5"/>
      <c r="D121" s="18"/>
      <c r="E121" s="5"/>
      <c r="F121" s="5"/>
      <c r="G121" s="19" t="str">
        <f aca="false">IF(F121="","",IF(F121="Cidadão comum","NÃO — monitorar a vida de cidadão comum não é apuração (OSINT 6.7)",IF(F121="Empresa","Só o que for público e ligado à pauta","Sim: perfil público, sobre o cargo ou a pauta")))</f>
        <v/>
      </c>
      <c r="H121" s="14"/>
      <c r="I121" s="5"/>
      <c r="J121" s="5"/>
      <c r="K121" s="27"/>
      <c r="L121" s="5"/>
    </row>
    <row r="122" customFormat="false" ht="15" hidden="false" customHeight="false" outlineLevel="0" collapsed="false">
      <c r="A122" s="5"/>
      <c r="B122" s="14"/>
      <c r="C122" s="5"/>
      <c r="D122" s="18"/>
      <c r="E122" s="5"/>
      <c r="F122" s="5"/>
      <c r="G122" s="19" t="str">
        <f aca="false">IF(F122="","",IF(F122="Cidadão comum","NÃO — monitorar a vida de cidadão comum não é apuração (OSINT 6.7)",IF(F122="Empresa","Só o que for público e ligado à pauta","Sim: perfil público, sobre o cargo ou a pauta")))</f>
        <v/>
      </c>
      <c r="H122" s="14"/>
      <c r="I122" s="5"/>
      <c r="J122" s="5"/>
      <c r="K122" s="27"/>
      <c r="L122" s="5"/>
    </row>
    <row r="123" customFormat="false" ht="15" hidden="false" customHeight="false" outlineLevel="0" collapsed="false">
      <c r="A123" s="5"/>
      <c r="B123" s="14"/>
      <c r="C123" s="5"/>
      <c r="D123" s="18"/>
      <c r="E123" s="5"/>
      <c r="F123" s="5"/>
      <c r="G123" s="19" t="str">
        <f aca="false">IF(F123="","",IF(F123="Cidadão comum","NÃO — monitorar a vida de cidadão comum não é apuração (OSINT 6.7)",IF(F123="Empresa","Só o que for público e ligado à pauta","Sim: perfil público, sobre o cargo ou a pauta")))</f>
        <v/>
      </c>
      <c r="H123" s="14"/>
      <c r="I123" s="5"/>
      <c r="J123" s="5"/>
      <c r="K123" s="27"/>
      <c r="L123" s="5"/>
    </row>
    <row r="124" customFormat="false" ht="15" hidden="false" customHeight="false" outlineLevel="0" collapsed="false">
      <c r="A124" s="5"/>
      <c r="B124" s="14"/>
      <c r="C124" s="5"/>
      <c r="D124" s="18"/>
      <c r="E124" s="5"/>
      <c r="F124" s="5"/>
      <c r="G124" s="19" t="str">
        <f aca="false">IF(F124="","",IF(F124="Cidadão comum","NÃO — monitorar a vida de cidadão comum não é apuração (OSINT 6.7)",IF(F124="Empresa","Só o que for público e ligado à pauta","Sim: perfil público, sobre o cargo ou a pauta")))</f>
        <v/>
      </c>
      <c r="H124" s="14"/>
      <c r="I124" s="5"/>
      <c r="J124" s="5"/>
      <c r="K124" s="27"/>
      <c r="L124" s="5"/>
    </row>
    <row r="125" customFormat="false" ht="15" hidden="false" customHeight="false" outlineLevel="0" collapsed="false">
      <c r="A125" s="5"/>
      <c r="B125" s="14"/>
      <c r="C125" s="5"/>
      <c r="D125" s="18"/>
      <c r="E125" s="5"/>
      <c r="F125" s="5"/>
      <c r="G125" s="19" t="str">
        <f aca="false">IF(F125="","",IF(F125="Cidadão comum","NÃO — monitorar a vida de cidadão comum não é apuração (OSINT 6.7)",IF(F125="Empresa","Só o que for público e ligado à pauta","Sim: perfil público, sobre o cargo ou a pauta")))</f>
        <v/>
      </c>
      <c r="H125" s="14"/>
      <c r="I125" s="5"/>
      <c r="J125" s="5"/>
      <c r="K125" s="27"/>
      <c r="L125" s="5"/>
    </row>
    <row r="126" customFormat="false" ht="15" hidden="false" customHeight="false" outlineLevel="0" collapsed="false">
      <c r="A126" s="5"/>
      <c r="B126" s="14"/>
      <c r="C126" s="5"/>
      <c r="D126" s="18"/>
      <c r="E126" s="5"/>
      <c r="F126" s="5"/>
      <c r="G126" s="19" t="str">
        <f aca="false">IF(F126="","",IF(F126="Cidadão comum","NÃO — monitorar a vida de cidadão comum não é apuração (OSINT 6.7)",IF(F126="Empresa","Só o que for público e ligado à pauta","Sim: perfil público, sobre o cargo ou a pauta")))</f>
        <v/>
      </c>
      <c r="H126" s="14"/>
      <c r="I126" s="5"/>
      <c r="J126" s="5"/>
      <c r="K126" s="27"/>
      <c r="L126" s="5"/>
    </row>
    <row r="127" customFormat="false" ht="15" hidden="false" customHeight="false" outlineLevel="0" collapsed="false">
      <c r="A127" s="5"/>
      <c r="B127" s="14"/>
      <c r="C127" s="5"/>
      <c r="D127" s="18"/>
      <c r="E127" s="5"/>
      <c r="F127" s="5"/>
      <c r="G127" s="19" t="str">
        <f aca="false">IF(F127="","",IF(F127="Cidadão comum","NÃO — monitorar a vida de cidadão comum não é apuração (OSINT 6.7)",IF(F127="Empresa","Só o que for público e ligado à pauta","Sim: perfil público, sobre o cargo ou a pauta")))</f>
        <v/>
      </c>
      <c r="H127" s="14"/>
      <c r="I127" s="5"/>
      <c r="J127" s="5"/>
      <c r="K127" s="27"/>
      <c r="L127" s="5"/>
    </row>
    <row r="128" customFormat="false" ht="15" hidden="false" customHeight="false" outlineLevel="0" collapsed="false">
      <c r="A128" s="5"/>
      <c r="B128" s="14"/>
      <c r="C128" s="5"/>
      <c r="D128" s="18"/>
      <c r="E128" s="5"/>
      <c r="F128" s="5"/>
      <c r="G128" s="19" t="str">
        <f aca="false">IF(F128="","",IF(F128="Cidadão comum","NÃO — monitorar a vida de cidadão comum não é apuração (OSINT 6.7)",IF(F128="Empresa","Só o que for público e ligado à pauta","Sim: perfil público, sobre o cargo ou a pauta")))</f>
        <v/>
      </c>
      <c r="H128" s="14"/>
      <c r="I128" s="5"/>
      <c r="J128" s="5"/>
      <c r="K128" s="27"/>
      <c r="L128" s="5"/>
    </row>
    <row r="129" customFormat="false" ht="15" hidden="false" customHeight="false" outlineLevel="0" collapsed="false">
      <c r="A129" s="5"/>
      <c r="B129" s="14"/>
      <c r="C129" s="5"/>
      <c r="D129" s="18"/>
      <c r="E129" s="5"/>
      <c r="F129" s="5"/>
      <c r="G129" s="19" t="str">
        <f aca="false">IF(F129="","",IF(F129="Cidadão comum","NÃO — monitorar a vida de cidadão comum não é apuração (OSINT 6.7)",IF(F129="Empresa","Só o que for público e ligado à pauta","Sim: perfil público, sobre o cargo ou a pauta")))</f>
        <v/>
      </c>
      <c r="H129" s="14"/>
      <c r="I129" s="5"/>
      <c r="J129" s="5"/>
      <c r="K129" s="27"/>
      <c r="L129" s="5"/>
    </row>
    <row r="130" customFormat="false" ht="15" hidden="false" customHeight="false" outlineLevel="0" collapsed="false">
      <c r="A130" s="5"/>
      <c r="B130" s="14"/>
      <c r="C130" s="5"/>
      <c r="D130" s="18"/>
      <c r="E130" s="5"/>
      <c r="F130" s="5"/>
      <c r="G130" s="19" t="str">
        <f aca="false">IF(F130="","",IF(F130="Cidadão comum","NÃO — monitorar a vida de cidadão comum não é apuração (OSINT 6.7)",IF(F130="Empresa","Só o que for público e ligado à pauta","Sim: perfil público, sobre o cargo ou a pauta")))</f>
        <v/>
      </c>
      <c r="H130" s="14"/>
      <c r="I130" s="5"/>
      <c r="J130" s="5"/>
      <c r="K130" s="27"/>
      <c r="L130" s="5"/>
    </row>
    <row r="131" customFormat="false" ht="15" hidden="false" customHeight="false" outlineLevel="0" collapsed="false">
      <c r="A131" s="5"/>
      <c r="B131" s="14"/>
      <c r="C131" s="5"/>
      <c r="D131" s="18"/>
      <c r="E131" s="5"/>
      <c r="F131" s="5"/>
      <c r="G131" s="19" t="str">
        <f aca="false">IF(F131="","",IF(F131="Cidadão comum","NÃO — monitorar a vida de cidadão comum não é apuração (OSINT 6.7)",IF(F131="Empresa","Só o que for público e ligado à pauta","Sim: perfil público, sobre o cargo ou a pauta")))</f>
        <v/>
      </c>
      <c r="H131" s="14"/>
      <c r="I131" s="5"/>
      <c r="J131" s="5"/>
      <c r="K131" s="27"/>
      <c r="L131" s="5"/>
    </row>
    <row r="132" customFormat="false" ht="15" hidden="false" customHeight="false" outlineLevel="0" collapsed="false">
      <c r="A132" s="5"/>
      <c r="B132" s="14"/>
      <c r="C132" s="5"/>
      <c r="D132" s="18"/>
      <c r="E132" s="5"/>
      <c r="F132" s="5"/>
      <c r="G132" s="19" t="str">
        <f aca="false">IF(F132="","",IF(F132="Cidadão comum","NÃO — monitorar a vida de cidadão comum não é apuração (OSINT 6.7)",IF(F132="Empresa","Só o que for público e ligado à pauta","Sim: perfil público, sobre o cargo ou a pauta")))</f>
        <v/>
      </c>
      <c r="H132" s="14"/>
      <c r="I132" s="5"/>
      <c r="J132" s="5"/>
      <c r="K132" s="27"/>
      <c r="L132" s="5"/>
    </row>
    <row r="133" customFormat="false" ht="15" hidden="false" customHeight="false" outlineLevel="0" collapsed="false">
      <c r="A133" s="5"/>
      <c r="B133" s="14"/>
      <c r="C133" s="5"/>
      <c r="D133" s="18"/>
      <c r="E133" s="5"/>
      <c r="F133" s="5"/>
      <c r="G133" s="19" t="str">
        <f aca="false">IF(F133="","",IF(F133="Cidadão comum","NÃO — monitorar a vida de cidadão comum não é apuração (OSINT 6.7)",IF(F133="Empresa","Só o que for público e ligado à pauta","Sim: perfil público, sobre o cargo ou a pauta")))</f>
        <v/>
      </c>
      <c r="H133" s="14"/>
      <c r="I133" s="5"/>
      <c r="J133" s="5"/>
      <c r="K133" s="27"/>
      <c r="L133" s="5"/>
    </row>
    <row r="134" customFormat="false" ht="15" hidden="false" customHeight="false" outlineLevel="0" collapsed="false">
      <c r="A134" s="5"/>
      <c r="B134" s="14"/>
      <c r="C134" s="5"/>
      <c r="D134" s="18"/>
      <c r="E134" s="5"/>
      <c r="F134" s="5"/>
      <c r="G134" s="19" t="str">
        <f aca="false">IF(F134="","",IF(F134="Cidadão comum","NÃO — monitorar a vida de cidadão comum não é apuração (OSINT 6.7)",IF(F134="Empresa","Só o que for público e ligado à pauta","Sim: perfil público, sobre o cargo ou a pauta")))</f>
        <v/>
      </c>
      <c r="H134" s="14"/>
      <c r="I134" s="5"/>
      <c r="J134" s="5"/>
      <c r="K134" s="27"/>
      <c r="L134" s="5"/>
    </row>
    <row r="135" customFormat="false" ht="15" hidden="false" customHeight="false" outlineLevel="0" collapsed="false">
      <c r="A135" s="5"/>
      <c r="B135" s="14"/>
      <c r="C135" s="5"/>
      <c r="D135" s="18"/>
      <c r="E135" s="5"/>
      <c r="F135" s="5"/>
      <c r="G135" s="19" t="str">
        <f aca="false">IF(F135="","",IF(F135="Cidadão comum","NÃO — monitorar a vida de cidadão comum não é apuração (OSINT 6.7)",IF(F135="Empresa","Só o que for público e ligado à pauta","Sim: perfil público, sobre o cargo ou a pauta")))</f>
        <v/>
      </c>
      <c r="H135" s="14"/>
      <c r="I135" s="5"/>
      <c r="J135" s="5"/>
      <c r="K135" s="27"/>
      <c r="L135" s="5"/>
    </row>
    <row r="136" customFormat="false" ht="15" hidden="false" customHeight="false" outlineLevel="0" collapsed="false">
      <c r="A136" s="5"/>
      <c r="B136" s="14"/>
      <c r="C136" s="5"/>
      <c r="D136" s="18"/>
      <c r="E136" s="5"/>
      <c r="F136" s="5"/>
      <c r="G136" s="19" t="str">
        <f aca="false">IF(F136="","",IF(F136="Cidadão comum","NÃO — monitorar a vida de cidadão comum não é apuração (OSINT 6.7)",IF(F136="Empresa","Só o que for público e ligado à pauta","Sim: perfil público, sobre o cargo ou a pauta")))</f>
        <v/>
      </c>
      <c r="H136" s="14"/>
      <c r="I136" s="5"/>
      <c r="J136" s="5"/>
      <c r="K136" s="27"/>
      <c r="L136" s="5"/>
    </row>
    <row r="137" customFormat="false" ht="15" hidden="false" customHeight="false" outlineLevel="0" collapsed="false">
      <c r="A137" s="5"/>
      <c r="B137" s="14"/>
      <c r="C137" s="5"/>
      <c r="D137" s="18"/>
      <c r="E137" s="5"/>
      <c r="F137" s="5"/>
      <c r="G137" s="19" t="str">
        <f aca="false">IF(F137="","",IF(F137="Cidadão comum","NÃO — monitorar a vida de cidadão comum não é apuração (OSINT 6.7)",IF(F137="Empresa","Só o que for público e ligado à pauta","Sim: perfil público, sobre o cargo ou a pauta")))</f>
        <v/>
      </c>
      <c r="H137" s="14"/>
      <c r="I137" s="5"/>
      <c r="J137" s="5"/>
      <c r="K137" s="27"/>
      <c r="L137" s="5"/>
    </row>
    <row r="138" customFormat="false" ht="15" hidden="false" customHeight="false" outlineLevel="0" collapsed="false">
      <c r="A138" s="5"/>
      <c r="B138" s="14"/>
      <c r="C138" s="5"/>
      <c r="D138" s="18"/>
      <c r="E138" s="5"/>
      <c r="F138" s="5"/>
      <c r="G138" s="19" t="str">
        <f aca="false">IF(F138="","",IF(F138="Cidadão comum","NÃO — monitorar a vida de cidadão comum não é apuração (OSINT 6.7)",IF(F138="Empresa","Só o que for público e ligado à pauta","Sim: perfil público, sobre o cargo ou a pauta")))</f>
        <v/>
      </c>
      <c r="H138" s="14"/>
      <c r="I138" s="5"/>
      <c r="J138" s="5"/>
      <c r="K138" s="27"/>
      <c r="L138" s="5"/>
    </row>
    <row r="139" customFormat="false" ht="15" hidden="false" customHeight="false" outlineLevel="0" collapsed="false">
      <c r="A139" s="5"/>
      <c r="B139" s="14"/>
      <c r="C139" s="5"/>
      <c r="D139" s="18"/>
      <c r="E139" s="5"/>
      <c r="F139" s="5"/>
      <c r="G139" s="19" t="str">
        <f aca="false">IF(F139="","",IF(F139="Cidadão comum","NÃO — monitorar a vida de cidadão comum não é apuração (OSINT 6.7)",IF(F139="Empresa","Só o que for público e ligado à pauta","Sim: perfil público, sobre o cargo ou a pauta")))</f>
        <v/>
      </c>
      <c r="H139" s="14"/>
      <c r="I139" s="5"/>
      <c r="J139" s="5"/>
      <c r="K139" s="27"/>
      <c r="L139" s="5"/>
    </row>
    <row r="140" customFormat="false" ht="15" hidden="false" customHeight="false" outlineLevel="0" collapsed="false">
      <c r="A140" s="5"/>
      <c r="B140" s="14"/>
      <c r="C140" s="5"/>
      <c r="D140" s="18"/>
      <c r="E140" s="5"/>
      <c r="F140" s="5"/>
      <c r="G140" s="19" t="str">
        <f aca="false">IF(F140="","",IF(F140="Cidadão comum","NÃO — monitorar a vida de cidadão comum não é apuração (OSINT 6.7)",IF(F140="Empresa","Só o que for público e ligado à pauta","Sim: perfil público, sobre o cargo ou a pauta")))</f>
        <v/>
      </c>
      <c r="H140" s="14"/>
      <c r="I140" s="5"/>
      <c r="J140" s="5"/>
      <c r="K140" s="27"/>
      <c r="L140" s="5"/>
    </row>
    <row r="141" customFormat="false" ht="15" hidden="false" customHeight="false" outlineLevel="0" collapsed="false">
      <c r="A141" s="5"/>
      <c r="B141" s="14"/>
      <c r="C141" s="5"/>
      <c r="D141" s="18"/>
      <c r="E141" s="5"/>
      <c r="F141" s="5"/>
      <c r="G141" s="19" t="str">
        <f aca="false">IF(F141="","",IF(F141="Cidadão comum","NÃO — monitorar a vida de cidadão comum não é apuração (OSINT 6.7)",IF(F141="Empresa","Só o que for público e ligado à pauta","Sim: perfil público, sobre o cargo ou a pauta")))</f>
        <v/>
      </c>
      <c r="H141" s="14"/>
      <c r="I141" s="5"/>
      <c r="J141" s="5"/>
      <c r="K141" s="27"/>
      <c r="L141" s="5"/>
    </row>
    <row r="142" customFormat="false" ht="15" hidden="false" customHeight="false" outlineLevel="0" collapsed="false">
      <c r="A142" s="5"/>
      <c r="B142" s="14"/>
      <c r="C142" s="5"/>
      <c r="D142" s="18"/>
      <c r="E142" s="5"/>
      <c r="F142" s="5"/>
      <c r="G142" s="19" t="str">
        <f aca="false">IF(F142="","",IF(F142="Cidadão comum","NÃO — monitorar a vida de cidadão comum não é apuração (OSINT 6.7)",IF(F142="Empresa","Só o que for público e ligado à pauta","Sim: perfil público, sobre o cargo ou a pauta")))</f>
        <v/>
      </c>
      <c r="H142" s="14"/>
      <c r="I142" s="5"/>
      <c r="J142" s="5"/>
      <c r="K142" s="27"/>
      <c r="L142" s="5"/>
    </row>
    <row r="143" customFormat="false" ht="15" hidden="false" customHeight="false" outlineLevel="0" collapsed="false">
      <c r="A143" s="5"/>
      <c r="B143" s="14"/>
      <c r="C143" s="5"/>
      <c r="D143" s="18"/>
      <c r="E143" s="5"/>
      <c r="F143" s="5"/>
      <c r="G143" s="19" t="str">
        <f aca="false">IF(F143="","",IF(F143="Cidadão comum","NÃO — monitorar a vida de cidadão comum não é apuração (OSINT 6.7)",IF(F143="Empresa","Só o que for público e ligado à pauta","Sim: perfil público, sobre o cargo ou a pauta")))</f>
        <v/>
      </c>
      <c r="H143" s="14"/>
      <c r="I143" s="5"/>
      <c r="J143" s="5"/>
      <c r="K143" s="27"/>
      <c r="L143" s="5"/>
    </row>
    <row r="144" customFormat="false" ht="15" hidden="false" customHeight="false" outlineLevel="0" collapsed="false">
      <c r="A144" s="5"/>
      <c r="B144" s="14"/>
      <c r="C144" s="5"/>
      <c r="D144" s="18"/>
      <c r="E144" s="5"/>
      <c r="F144" s="5"/>
      <c r="G144" s="19" t="str">
        <f aca="false">IF(F144="","",IF(F144="Cidadão comum","NÃO — monitorar a vida de cidadão comum não é apuração (OSINT 6.7)",IF(F144="Empresa","Só o que for público e ligado à pauta","Sim: perfil público, sobre o cargo ou a pauta")))</f>
        <v/>
      </c>
      <c r="H144" s="14"/>
      <c r="I144" s="5"/>
      <c r="J144" s="5"/>
      <c r="K144" s="27"/>
      <c r="L144" s="5"/>
    </row>
    <row r="145" customFormat="false" ht="15" hidden="false" customHeight="false" outlineLevel="0" collapsed="false">
      <c r="A145" s="5"/>
      <c r="B145" s="14"/>
      <c r="C145" s="5"/>
      <c r="D145" s="18"/>
      <c r="E145" s="5"/>
      <c r="F145" s="5"/>
      <c r="G145" s="19" t="str">
        <f aca="false">IF(F145="","",IF(F145="Cidadão comum","NÃO — monitorar a vida de cidadão comum não é apuração (OSINT 6.7)",IF(F145="Empresa","Só o que for público e ligado à pauta","Sim: perfil público, sobre o cargo ou a pauta")))</f>
        <v/>
      </c>
      <c r="H145" s="14"/>
      <c r="I145" s="5"/>
      <c r="J145" s="5"/>
      <c r="K145" s="27"/>
      <c r="L145" s="5"/>
    </row>
    <row r="146" customFormat="false" ht="15" hidden="false" customHeight="false" outlineLevel="0" collapsed="false">
      <c r="A146" s="5"/>
      <c r="B146" s="14"/>
      <c r="C146" s="5"/>
      <c r="D146" s="18"/>
      <c r="E146" s="5"/>
      <c r="F146" s="5"/>
      <c r="G146" s="19" t="str">
        <f aca="false">IF(F146="","",IF(F146="Cidadão comum","NÃO — monitorar a vida de cidadão comum não é apuração (OSINT 6.7)",IF(F146="Empresa","Só o que for público e ligado à pauta","Sim: perfil público, sobre o cargo ou a pauta")))</f>
        <v/>
      </c>
      <c r="H146" s="14"/>
      <c r="I146" s="5"/>
      <c r="J146" s="5"/>
      <c r="K146" s="27"/>
      <c r="L146" s="5"/>
    </row>
    <row r="147" customFormat="false" ht="15" hidden="false" customHeight="false" outlineLevel="0" collapsed="false">
      <c r="A147" s="5"/>
      <c r="B147" s="14"/>
      <c r="C147" s="5"/>
      <c r="D147" s="18"/>
      <c r="E147" s="5"/>
      <c r="F147" s="5"/>
      <c r="G147" s="19" t="str">
        <f aca="false">IF(F147="","",IF(F147="Cidadão comum","NÃO — monitorar a vida de cidadão comum não é apuração (OSINT 6.7)",IF(F147="Empresa","Só o que for público e ligado à pauta","Sim: perfil público, sobre o cargo ou a pauta")))</f>
        <v/>
      </c>
      <c r="H147" s="14"/>
      <c r="I147" s="5"/>
      <c r="J147" s="5"/>
      <c r="K147" s="27"/>
      <c r="L147" s="5"/>
    </row>
    <row r="148" customFormat="false" ht="15" hidden="false" customHeight="false" outlineLevel="0" collapsed="false">
      <c r="A148" s="5"/>
      <c r="B148" s="14"/>
      <c r="C148" s="5"/>
      <c r="D148" s="18"/>
      <c r="E148" s="5"/>
      <c r="F148" s="5"/>
      <c r="G148" s="19" t="str">
        <f aca="false">IF(F148="","",IF(F148="Cidadão comum","NÃO — monitorar a vida de cidadão comum não é apuração (OSINT 6.7)",IF(F148="Empresa","Só o que for público e ligado à pauta","Sim: perfil público, sobre o cargo ou a pauta")))</f>
        <v/>
      </c>
      <c r="H148" s="14"/>
      <c r="I148" s="5"/>
      <c r="J148" s="5"/>
      <c r="K148" s="27"/>
      <c r="L148" s="5"/>
    </row>
    <row r="149" customFormat="false" ht="15" hidden="false" customHeight="false" outlineLevel="0" collapsed="false">
      <c r="A149" s="5"/>
      <c r="B149" s="14"/>
      <c r="C149" s="5"/>
      <c r="D149" s="18"/>
      <c r="E149" s="5"/>
      <c r="F149" s="5"/>
      <c r="G149" s="19" t="str">
        <f aca="false">IF(F149="","",IF(F149="Cidadão comum","NÃO — monitorar a vida de cidadão comum não é apuração (OSINT 6.7)",IF(F149="Empresa","Só o que for público e ligado à pauta","Sim: perfil público, sobre o cargo ou a pauta")))</f>
        <v/>
      </c>
      <c r="H149" s="14"/>
      <c r="I149" s="5"/>
      <c r="J149" s="5"/>
      <c r="K149" s="27"/>
      <c r="L149" s="5"/>
    </row>
    <row r="150" customFormat="false" ht="15" hidden="false" customHeight="false" outlineLevel="0" collapsed="false">
      <c r="A150" s="5"/>
      <c r="B150" s="14"/>
      <c r="C150" s="5"/>
      <c r="D150" s="18"/>
      <c r="E150" s="5"/>
      <c r="F150" s="5"/>
      <c r="G150" s="19" t="str">
        <f aca="false">IF(F150="","",IF(F150="Cidadão comum","NÃO — monitorar a vida de cidadão comum não é apuração (OSINT 6.7)",IF(F150="Empresa","Só o que for público e ligado à pauta","Sim: perfil público, sobre o cargo ou a pauta")))</f>
        <v/>
      </c>
      <c r="H150" s="14"/>
      <c r="I150" s="5"/>
      <c r="J150" s="5"/>
      <c r="K150" s="27"/>
      <c r="L150" s="5"/>
    </row>
    <row r="151" customFormat="false" ht="15" hidden="false" customHeight="false" outlineLevel="0" collapsed="false">
      <c r="A151" s="5"/>
      <c r="B151" s="14"/>
      <c r="C151" s="5"/>
      <c r="D151" s="18"/>
      <c r="E151" s="5"/>
      <c r="F151" s="5"/>
      <c r="G151" s="19" t="str">
        <f aca="false">IF(F151="","",IF(F151="Cidadão comum","NÃO — monitorar a vida de cidadão comum não é apuração (OSINT 6.7)",IF(F151="Empresa","Só o que for público e ligado à pauta","Sim: perfil público, sobre o cargo ou a pauta")))</f>
        <v/>
      </c>
      <c r="H151" s="14"/>
      <c r="I151" s="5"/>
      <c r="J151" s="5"/>
      <c r="K151" s="27"/>
      <c r="L151" s="5"/>
    </row>
    <row r="152" customFormat="false" ht="15" hidden="false" customHeight="false" outlineLevel="0" collapsed="false">
      <c r="A152" s="5"/>
      <c r="B152" s="14"/>
      <c r="C152" s="5"/>
      <c r="D152" s="18"/>
      <c r="E152" s="5"/>
      <c r="F152" s="5"/>
      <c r="G152" s="19" t="str">
        <f aca="false">IF(F152="","",IF(F152="Cidadão comum","NÃO — monitorar a vida de cidadão comum não é apuração (OSINT 6.7)",IF(F152="Empresa","Só o que for público e ligado à pauta","Sim: perfil público, sobre o cargo ou a pauta")))</f>
        <v/>
      </c>
      <c r="H152" s="14"/>
      <c r="I152" s="5"/>
      <c r="J152" s="5"/>
      <c r="K152" s="27"/>
      <c r="L152" s="5"/>
    </row>
    <row r="153" customFormat="false" ht="15" hidden="false" customHeight="false" outlineLevel="0" collapsed="false">
      <c r="A153" s="5"/>
      <c r="B153" s="14"/>
      <c r="C153" s="5"/>
      <c r="D153" s="18"/>
      <c r="E153" s="5"/>
      <c r="F153" s="5"/>
      <c r="G153" s="19" t="str">
        <f aca="false">IF(F153="","",IF(F153="Cidadão comum","NÃO — monitorar a vida de cidadão comum não é apuração (OSINT 6.7)",IF(F153="Empresa","Só o que for público e ligado à pauta","Sim: perfil público, sobre o cargo ou a pauta")))</f>
        <v/>
      </c>
      <c r="H153" s="14"/>
      <c r="I153" s="5"/>
      <c r="J153" s="5"/>
      <c r="K153" s="27"/>
      <c r="L153" s="5"/>
    </row>
    <row r="154" customFormat="false" ht="15" hidden="false" customHeight="false" outlineLevel="0" collapsed="false">
      <c r="A154" s="5"/>
      <c r="B154" s="14"/>
      <c r="C154" s="5"/>
      <c r="D154" s="18"/>
      <c r="E154" s="5"/>
      <c r="F154" s="5"/>
      <c r="G154" s="19" t="str">
        <f aca="false">IF(F154="","",IF(F154="Cidadão comum","NÃO — monitorar a vida de cidadão comum não é apuração (OSINT 6.7)",IF(F154="Empresa","Só o que for público e ligado à pauta","Sim: perfil público, sobre o cargo ou a pauta")))</f>
        <v/>
      </c>
      <c r="H154" s="14"/>
      <c r="I154" s="5"/>
      <c r="J154" s="5"/>
      <c r="K154" s="27"/>
      <c r="L154" s="5"/>
    </row>
    <row r="155" customFormat="false" ht="15" hidden="false" customHeight="false" outlineLevel="0" collapsed="false">
      <c r="A155" s="5"/>
      <c r="B155" s="14"/>
      <c r="C155" s="5"/>
      <c r="D155" s="18"/>
      <c r="E155" s="5"/>
      <c r="F155" s="5"/>
      <c r="G155" s="19" t="str">
        <f aca="false">IF(F155="","",IF(F155="Cidadão comum","NÃO — monitorar a vida de cidadão comum não é apuração (OSINT 6.7)",IF(F155="Empresa","Só o que for público e ligado à pauta","Sim: perfil público, sobre o cargo ou a pauta")))</f>
        <v/>
      </c>
      <c r="H155" s="14"/>
      <c r="I155" s="5"/>
      <c r="J155" s="5"/>
      <c r="K155" s="27"/>
      <c r="L155" s="5"/>
    </row>
    <row r="156" customFormat="false" ht="15" hidden="false" customHeight="false" outlineLevel="0" collapsed="false">
      <c r="A156" s="5"/>
      <c r="B156" s="14"/>
      <c r="C156" s="5"/>
      <c r="D156" s="18"/>
      <c r="E156" s="5"/>
      <c r="F156" s="5"/>
      <c r="G156" s="19" t="str">
        <f aca="false">IF(F156="","",IF(F156="Cidadão comum","NÃO — monitorar a vida de cidadão comum não é apuração (OSINT 6.7)",IF(F156="Empresa","Só o que for público e ligado à pauta","Sim: perfil público, sobre o cargo ou a pauta")))</f>
        <v/>
      </c>
      <c r="H156" s="14"/>
      <c r="I156" s="5"/>
      <c r="J156" s="5"/>
      <c r="K156" s="27"/>
      <c r="L156" s="5"/>
    </row>
    <row r="157" customFormat="false" ht="15" hidden="false" customHeight="false" outlineLevel="0" collapsed="false">
      <c r="A157" s="5"/>
      <c r="B157" s="14"/>
      <c r="C157" s="5"/>
      <c r="D157" s="18"/>
      <c r="E157" s="5"/>
      <c r="F157" s="5"/>
      <c r="G157" s="19" t="str">
        <f aca="false">IF(F157="","",IF(F157="Cidadão comum","NÃO — monitorar a vida de cidadão comum não é apuração (OSINT 6.7)",IF(F157="Empresa","Só o que for público e ligado à pauta","Sim: perfil público, sobre o cargo ou a pauta")))</f>
        <v/>
      </c>
      <c r="H157" s="14"/>
      <c r="I157" s="5"/>
      <c r="J157" s="5"/>
      <c r="K157" s="27"/>
      <c r="L157" s="5"/>
    </row>
    <row r="158" customFormat="false" ht="15" hidden="false" customHeight="false" outlineLevel="0" collapsed="false">
      <c r="A158" s="5"/>
      <c r="B158" s="14"/>
      <c r="C158" s="5"/>
      <c r="D158" s="18"/>
      <c r="E158" s="5"/>
      <c r="F158" s="5"/>
      <c r="G158" s="19" t="str">
        <f aca="false">IF(F158="","",IF(F158="Cidadão comum","NÃO — monitorar a vida de cidadão comum não é apuração (OSINT 6.7)",IF(F158="Empresa","Só o que for público e ligado à pauta","Sim: perfil público, sobre o cargo ou a pauta")))</f>
        <v/>
      </c>
      <c r="H158" s="14"/>
      <c r="I158" s="5"/>
      <c r="J158" s="5"/>
      <c r="K158" s="27"/>
      <c r="L158" s="5"/>
    </row>
    <row r="159" customFormat="false" ht="15" hidden="false" customHeight="false" outlineLevel="0" collapsed="false">
      <c r="A159" s="5"/>
      <c r="B159" s="14"/>
      <c r="C159" s="5"/>
      <c r="D159" s="18"/>
      <c r="E159" s="5"/>
      <c r="F159" s="5"/>
      <c r="G159" s="19" t="str">
        <f aca="false">IF(F159="","",IF(F159="Cidadão comum","NÃO — monitorar a vida de cidadão comum não é apuração (OSINT 6.7)",IF(F159="Empresa","Só o que for público e ligado à pauta","Sim: perfil público, sobre o cargo ou a pauta")))</f>
        <v/>
      </c>
      <c r="H159" s="14"/>
      <c r="I159" s="5"/>
      <c r="J159" s="5"/>
      <c r="K159" s="27"/>
      <c r="L159" s="5"/>
    </row>
    <row r="160" customFormat="false" ht="15" hidden="false" customHeight="false" outlineLevel="0" collapsed="false">
      <c r="A160" s="5"/>
      <c r="B160" s="14"/>
      <c r="C160" s="5"/>
      <c r="D160" s="18"/>
      <c r="E160" s="5"/>
      <c r="F160" s="5"/>
      <c r="G160" s="19" t="str">
        <f aca="false">IF(F160="","",IF(F160="Cidadão comum","NÃO — monitorar a vida de cidadão comum não é apuração (OSINT 6.7)",IF(F160="Empresa","Só o que for público e ligado à pauta","Sim: perfil público, sobre o cargo ou a pauta")))</f>
        <v/>
      </c>
      <c r="H160" s="14"/>
      <c r="I160" s="5"/>
      <c r="J160" s="5"/>
      <c r="K160" s="27"/>
      <c r="L160" s="5"/>
    </row>
    <row r="161" customFormat="false" ht="15" hidden="false" customHeight="false" outlineLevel="0" collapsed="false">
      <c r="A161" s="5"/>
      <c r="B161" s="14"/>
      <c r="C161" s="5"/>
      <c r="D161" s="18"/>
      <c r="E161" s="5"/>
      <c r="F161" s="5"/>
      <c r="G161" s="19" t="str">
        <f aca="false">IF(F161="","",IF(F161="Cidadão comum","NÃO — monitorar a vida de cidadão comum não é apuração (OSINT 6.7)",IF(F161="Empresa","Só o que for público e ligado à pauta","Sim: perfil público, sobre o cargo ou a pauta")))</f>
        <v/>
      </c>
      <c r="H161" s="14"/>
      <c r="I161" s="5"/>
      <c r="J161" s="5"/>
      <c r="K161" s="27"/>
      <c r="L161" s="5"/>
    </row>
    <row r="162" customFormat="false" ht="15" hidden="false" customHeight="false" outlineLevel="0" collapsed="false">
      <c r="A162" s="5"/>
      <c r="B162" s="14"/>
      <c r="C162" s="5"/>
      <c r="D162" s="18"/>
      <c r="E162" s="5"/>
      <c r="F162" s="5"/>
      <c r="G162" s="19" t="str">
        <f aca="false">IF(F162="","",IF(F162="Cidadão comum","NÃO — monitorar a vida de cidadão comum não é apuração (OSINT 6.7)",IF(F162="Empresa","Só o que for público e ligado à pauta","Sim: perfil público, sobre o cargo ou a pauta")))</f>
        <v/>
      </c>
      <c r="H162" s="14"/>
      <c r="I162" s="5"/>
      <c r="J162" s="5"/>
      <c r="K162" s="27"/>
      <c r="L162" s="5"/>
    </row>
    <row r="163" customFormat="false" ht="15" hidden="false" customHeight="false" outlineLevel="0" collapsed="false">
      <c r="A163" s="5"/>
      <c r="B163" s="14"/>
      <c r="C163" s="5"/>
      <c r="D163" s="18"/>
      <c r="E163" s="5"/>
      <c r="F163" s="5"/>
      <c r="G163" s="19" t="str">
        <f aca="false">IF(F163="","",IF(F163="Cidadão comum","NÃO — monitorar a vida de cidadão comum não é apuração (OSINT 6.7)",IF(F163="Empresa","Só o que for público e ligado à pauta","Sim: perfil público, sobre o cargo ou a pauta")))</f>
        <v/>
      </c>
      <c r="H163" s="14"/>
      <c r="I163" s="5"/>
      <c r="J163" s="5"/>
      <c r="K163" s="27"/>
      <c r="L163" s="5"/>
    </row>
    <row r="164" customFormat="false" ht="15" hidden="false" customHeight="false" outlineLevel="0" collapsed="false">
      <c r="A164" s="5"/>
      <c r="B164" s="14"/>
      <c r="C164" s="5"/>
      <c r="D164" s="18"/>
      <c r="E164" s="5"/>
      <c r="F164" s="5"/>
      <c r="G164" s="19" t="str">
        <f aca="false">IF(F164="","",IF(F164="Cidadão comum","NÃO — monitorar a vida de cidadão comum não é apuração (OSINT 6.7)",IF(F164="Empresa","Só o que for público e ligado à pauta","Sim: perfil público, sobre o cargo ou a pauta")))</f>
        <v/>
      </c>
      <c r="H164" s="14"/>
      <c r="I164" s="5"/>
      <c r="J164" s="5"/>
      <c r="K164" s="27"/>
      <c r="L164" s="5"/>
    </row>
    <row r="165" customFormat="false" ht="15" hidden="false" customHeight="false" outlineLevel="0" collapsed="false">
      <c r="A165" s="5"/>
      <c r="B165" s="14"/>
      <c r="C165" s="5"/>
      <c r="D165" s="18"/>
      <c r="E165" s="5"/>
      <c r="F165" s="5"/>
      <c r="G165" s="19" t="str">
        <f aca="false">IF(F165="","",IF(F165="Cidadão comum","NÃO — monitorar a vida de cidadão comum não é apuração (OSINT 6.7)",IF(F165="Empresa","Só o que for público e ligado à pauta","Sim: perfil público, sobre o cargo ou a pauta")))</f>
        <v/>
      </c>
      <c r="H165" s="14"/>
      <c r="I165" s="5"/>
      <c r="J165" s="5"/>
      <c r="K165" s="27"/>
      <c r="L165" s="5"/>
    </row>
    <row r="166" customFormat="false" ht="15" hidden="false" customHeight="false" outlineLevel="0" collapsed="false">
      <c r="A166" s="5"/>
      <c r="B166" s="14"/>
      <c r="C166" s="5"/>
      <c r="D166" s="18"/>
      <c r="E166" s="5"/>
      <c r="F166" s="5"/>
      <c r="G166" s="19" t="str">
        <f aca="false">IF(F166="","",IF(F166="Cidadão comum","NÃO — monitorar a vida de cidadão comum não é apuração (OSINT 6.7)",IF(F166="Empresa","Só o que for público e ligado à pauta","Sim: perfil público, sobre o cargo ou a pauta")))</f>
        <v/>
      </c>
      <c r="H166" s="14"/>
      <c r="I166" s="5"/>
      <c r="J166" s="5"/>
      <c r="K166" s="27"/>
      <c r="L166" s="5"/>
    </row>
    <row r="167" customFormat="false" ht="15" hidden="false" customHeight="false" outlineLevel="0" collapsed="false">
      <c r="A167" s="5"/>
      <c r="B167" s="14"/>
      <c r="C167" s="5"/>
      <c r="D167" s="18"/>
      <c r="E167" s="5"/>
      <c r="F167" s="5"/>
      <c r="G167" s="19" t="str">
        <f aca="false">IF(F167="","",IF(F167="Cidadão comum","NÃO — monitorar a vida de cidadão comum não é apuração (OSINT 6.7)",IF(F167="Empresa","Só o que for público e ligado à pauta","Sim: perfil público, sobre o cargo ou a pauta")))</f>
        <v/>
      </c>
      <c r="H167" s="14"/>
      <c r="I167" s="5"/>
      <c r="J167" s="5"/>
      <c r="K167" s="27"/>
      <c r="L167" s="5"/>
    </row>
    <row r="168" customFormat="false" ht="15" hidden="false" customHeight="false" outlineLevel="0" collapsed="false">
      <c r="A168" s="5"/>
      <c r="B168" s="14"/>
      <c r="C168" s="5"/>
      <c r="D168" s="18"/>
      <c r="E168" s="5"/>
      <c r="F168" s="5"/>
      <c r="G168" s="19" t="str">
        <f aca="false">IF(F168="","",IF(F168="Cidadão comum","NÃO — monitorar a vida de cidadão comum não é apuração (OSINT 6.7)",IF(F168="Empresa","Só o que for público e ligado à pauta","Sim: perfil público, sobre o cargo ou a pauta")))</f>
        <v/>
      </c>
      <c r="H168" s="14"/>
      <c r="I168" s="5"/>
      <c r="J168" s="5"/>
      <c r="K168" s="27"/>
      <c r="L168" s="5"/>
    </row>
    <row r="169" customFormat="false" ht="15" hidden="false" customHeight="false" outlineLevel="0" collapsed="false">
      <c r="A169" s="5"/>
      <c r="B169" s="14"/>
      <c r="C169" s="5"/>
      <c r="D169" s="18"/>
      <c r="E169" s="5"/>
      <c r="F169" s="5"/>
      <c r="G169" s="19" t="str">
        <f aca="false">IF(F169="","",IF(F169="Cidadão comum","NÃO — monitorar a vida de cidadão comum não é apuração (OSINT 6.7)",IF(F169="Empresa","Só o que for público e ligado à pauta","Sim: perfil público, sobre o cargo ou a pauta")))</f>
        <v/>
      </c>
      <c r="H169" s="14"/>
      <c r="I169" s="5"/>
      <c r="J169" s="5"/>
      <c r="K169" s="27"/>
      <c r="L169" s="5"/>
    </row>
    <row r="170" customFormat="false" ht="15" hidden="false" customHeight="false" outlineLevel="0" collapsed="false">
      <c r="A170" s="5"/>
      <c r="B170" s="14"/>
      <c r="C170" s="5"/>
      <c r="D170" s="18"/>
      <c r="E170" s="5"/>
      <c r="F170" s="5"/>
      <c r="G170" s="19" t="str">
        <f aca="false">IF(F170="","",IF(F170="Cidadão comum","NÃO — monitorar a vida de cidadão comum não é apuração (OSINT 6.7)",IF(F170="Empresa","Só o que for público e ligado à pauta","Sim: perfil público, sobre o cargo ou a pauta")))</f>
        <v/>
      </c>
      <c r="H170" s="14"/>
      <c r="I170" s="5"/>
      <c r="J170" s="5"/>
      <c r="K170" s="27"/>
      <c r="L170" s="5"/>
    </row>
    <row r="171" customFormat="false" ht="15" hidden="false" customHeight="false" outlineLevel="0" collapsed="false">
      <c r="A171" s="5"/>
      <c r="B171" s="14"/>
      <c r="C171" s="5"/>
      <c r="D171" s="18"/>
      <c r="E171" s="5"/>
      <c r="F171" s="5"/>
      <c r="G171" s="19" t="str">
        <f aca="false">IF(F171="","",IF(F171="Cidadão comum","NÃO — monitorar a vida de cidadão comum não é apuração (OSINT 6.7)",IF(F171="Empresa","Só o que for público e ligado à pauta","Sim: perfil público, sobre o cargo ou a pauta")))</f>
        <v/>
      </c>
      <c r="H171" s="14"/>
      <c r="I171" s="5"/>
      <c r="J171" s="5"/>
      <c r="K171" s="27"/>
      <c r="L171" s="5"/>
    </row>
    <row r="172" customFormat="false" ht="15" hidden="false" customHeight="false" outlineLevel="0" collapsed="false">
      <c r="A172" s="5"/>
      <c r="B172" s="14"/>
      <c r="C172" s="5"/>
      <c r="D172" s="18"/>
      <c r="E172" s="5"/>
      <c r="F172" s="5"/>
      <c r="G172" s="19" t="str">
        <f aca="false">IF(F172="","",IF(F172="Cidadão comum","NÃO — monitorar a vida de cidadão comum não é apuração (OSINT 6.7)",IF(F172="Empresa","Só o que for público e ligado à pauta","Sim: perfil público, sobre o cargo ou a pauta")))</f>
        <v/>
      </c>
      <c r="H172" s="14"/>
      <c r="I172" s="5"/>
      <c r="J172" s="5"/>
      <c r="K172" s="27"/>
      <c r="L172" s="5"/>
    </row>
    <row r="173" customFormat="false" ht="15" hidden="false" customHeight="false" outlineLevel="0" collapsed="false">
      <c r="A173" s="5"/>
      <c r="B173" s="14"/>
      <c r="C173" s="5"/>
      <c r="D173" s="18"/>
      <c r="E173" s="5"/>
      <c r="F173" s="5"/>
      <c r="G173" s="19" t="str">
        <f aca="false">IF(F173="","",IF(F173="Cidadão comum","NÃO — monitorar a vida de cidadão comum não é apuração (OSINT 6.7)",IF(F173="Empresa","Só o que for público e ligado à pauta","Sim: perfil público, sobre o cargo ou a pauta")))</f>
        <v/>
      </c>
      <c r="H173" s="14"/>
      <c r="I173" s="5"/>
      <c r="J173" s="5"/>
      <c r="K173" s="27"/>
      <c r="L173" s="5"/>
    </row>
    <row r="174" customFormat="false" ht="15" hidden="false" customHeight="false" outlineLevel="0" collapsed="false">
      <c r="A174" s="5"/>
      <c r="B174" s="14"/>
      <c r="C174" s="5"/>
      <c r="D174" s="18"/>
      <c r="E174" s="5"/>
      <c r="F174" s="5"/>
      <c r="G174" s="19" t="str">
        <f aca="false">IF(F174="","",IF(F174="Cidadão comum","NÃO — monitorar a vida de cidadão comum não é apuração (OSINT 6.7)",IF(F174="Empresa","Só o que for público e ligado à pauta","Sim: perfil público, sobre o cargo ou a pauta")))</f>
        <v/>
      </c>
      <c r="H174" s="14"/>
      <c r="I174" s="5"/>
      <c r="J174" s="5"/>
      <c r="K174" s="27"/>
      <c r="L174" s="5"/>
    </row>
    <row r="175" customFormat="false" ht="15" hidden="false" customHeight="false" outlineLevel="0" collapsed="false">
      <c r="A175" s="5"/>
      <c r="B175" s="14"/>
      <c r="C175" s="5"/>
      <c r="D175" s="18"/>
      <c r="E175" s="5"/>
      <c r="F175" s="5"/>
      <c r="G175" s="19" t="str">
        <f aca="false">IF(F175="","",IF(F175="Cidadão comum","NÃO — monitorar a vida de cidadão comum não é apuração (OSINT 6.7)",IF(F175="Empresa","Só o que for público e ligado à pauta","Sim: perfil público, sobre o cargo ou a pauta")))</f>
        <v/>
      </c>
      <c r="H175" s="14"/>
      <c r="I175" s="5"/>
      <c r="J175" s="5"/>
      <c r="K175" s="27"/>
      <c r="L175" s="5"/>
    </row>
    <row r="176" customFormat="false" ht="15" hidden="false" customHeight="false" outlineLevel="0" collapsed="false">
      <c r="A176" s="5"/>
      <c r="B176" s="14"/>
      <c r="C176" s="5"/>
      <c r="D176" s="18"/>
      <c r="E176" s="5"/>
      <c r="F176" s="5"/>
      <c r="G176" s="19" t="str">
        <f aca="false">IF(F176="","",IF(F176="Cidadão comum","NÃO — monitorar a vida de cidadão comum não é apuração (OSINT 6.7)",IF(F176="Empresa","Só o que for público e ligado à pauta","Sim: perfil público, sobre o cargo ou a pauta")))</f>
        <v/>
      </c>
      <c r="H176" s="14"/>
      <c r="I176" s="5"/>
      <c r="J176" s="5"/>
      <c r="K176" s="27"/>
      <c r="L176" s="5"/>
    </row>
    <row r="177" customFormat="false" ht="15" hidden="false" customHeight="false" outlineLevel="0" collapsed="false">
      <c r="A177" s="5"/>
      <c r="B177" s="14"/>
      <c r="C177" s="5"/>
      <c r="D177" s="18"/>
      <c r="E177" s="5"/>
      <c r="F177" s="5"/>
      <c r="G177" s="19" t="str">
        <f aca="false">IF(F177="","",IF(F177="Cidadão comum","NÃO — monitorar a vida de cidadão comum não é apuração (OSINT 6.7)",IF(F177="Empresa","Só o que for público e ligado à pauta","Sim: perfil público, sobre o cargo ou a pauta")))</f>
        <v/>
      </c>
      <c r="H177" s="14"/>
      <c r="I177" s="5"/>
      <c r="J177" s="5"/>
      <c r="K177" s="27"/>
      <c r="L177" s="5"/>
    </row>
    <row r="178" customFormat="false" ht="15" hidden="false" customHeight="false" outlineLevel="0" collapsed="false">
      <c r="A178" s="5"/>
      <c r="B178" s="14"/>
      <c r="C178" s="5"/>
      <c r="D178" s="18"/>
      <c r="E178" s="5"/>
      <c r="F178" s="5"/>
      <c r="G178" s="19" t="str">
        <f aca="false">IF(F178="","",IF(F178="Cidadão comum","NÃO — monitorar a vida de cidadão comum não é apuração (OSINT 6.7)",IF(F178="Empresa","Só o que for público e ligado à pauta","Sim: perfil público, sobre o cargo ou a pauta")))</f>
        <v/>
      </c>
      <c r="H178" s="14"/>
      <c r="I178" s="5"/>
      <c r="J178" s="5"/>
      <c r="K178" s="27"/>
      <c r="L178" s="5"/>
    </row>
    <row r="179" customFormat="false" ht="15" hidden="false" customHeight="false" outlineLevel="0" collapsed="false">
      <c r="A179" s="5"/>
      <c r="B179" s="14"/>
      <c r="C179" s="5"/>
      <c r="D179" s="18"/>
      <c r="E179" s="5"/>
      <c r="F179" s="5"/>
      <c r="G179" s="19" t="str">
        <f aca="false">IF(F179="","",IF(F179="Cidadão comum","NÃO — monitorar a vida de cidadão comum não é apuração (OSINT 6.7)",IF(F179="Empresa","Só o que for público e ligado à pauta","Sim: perfil público, sobre o cargo ou a pauta")))</f>
        <v/>
      </c>
      <c r="H179" s="14"/>
      <c r="I179" s="5"/>
      <c r="J179" s="5"/>
      <c r="K179" s="27"/>
      <c r="L179" s="5"/>
    </row>
    <row r="180" customFormat="false" ht="15" hidden="false" customHeight="false" outlineLevel="0" collapsed="false">
      <c r="A180" s="5"/>
      <c r="B180" s="14"/>
      <c r="C180" s="5"/>
      <c r="D180" s="18"/>
      <c r="E180" s="5"/>
      <c r="F180" s="5"/>
      <c r="G180" s="19" t="str">
        <f aca="false">IF(F180="","",IF(F180="Cidadão comum","NÃO — monitorar a vida de cidadão comum não é apuração (OSINT 6.7)",IF(F180="Empresa","Só o que for público e ligado à pauta","Sim: perfil público, sobre o cargo ou a pauta")))</f>
        <v/>
      </c>
      <c r="H180" s="14"/>
      <c r="I180" s="5"/>
      <c r="J180" s="5"/>
      <c r="K180" s="27"/>
      <c r="L180" s="5"/>
    </row>
    <row r="181" customFormat="false" ht="15" hidden="false" customHeight="false" outlineLevel="0" collapsed="false">
      <c r="A181" s="5"/>
      <c r="B181" s="14"/>
      <c r="C181" s="5"/>
      <c r="D181" s="18"/>
      <c r="E181" s="5"/>
      <c r="F181" s="5"/>
      <c r="G181" s="19" t="str">
        <f aca="false">IF(F181="","",IF(F181="Cidadão comum","NÃO — monitorar a vida de cidadão comum não é apuração (OSINT 6.7)",IF(F181="Empresa","Só o que for público e ligado à pauta","Sim: perfil público, sobre o cargo ou a pauta")))</f>
        <v/>
      </c>
      <c r="H181" s="14"/>
      <c r="I181" s="5"/>
      <c r="J181" s="5"/>
      <c r="K181" s="27"/>
      <c r="L181" s="5"/>
    </row>
    <row r="182" customFormat="false" ht="15" hidden="false" customHeight="false" outlineLevel="0" collapsed="false">
      <c r="A182" s="5"/>
      <c r="B182" s="14"/>
      <c r="C182" s="5"/>
      <c r="D182" s="18"/>
      <c r="E182" s="5"/>
      <c r="F182" s="5"/>
      <c r="G182" s="19" t="str">
        <f aca="false">IF(F182="","",IF(F182="Cidadão comum","NÃO — monitorar a vida de cidadão comum não é apuração (OSINT 6.7)",IF(F182="Empresa","Só o que for público e ligado à pauta","Sim: perfil público, sobre o cargo ou a pauta")))</f>
        <v/>
      </c>
      <c r="H182" s="14"/>
      <c r="I182" s="5"/>
      <c r="J182" s="5"/>
      <c r="K182" s="27"/>
      <c r="L182" s="5"/>
    </row>
    <row r="183" customFormat="false" ht="15" hidden="false" customHeight="false" outlineLevel="0" collapsed="false">
      <c r="A183" s="5"/>
      <c r="B183" s="14"/>
      <c r="C183" s="5"/>
      <c r="D183" s="18"/>
      <c r="E183" s="5"/>
      <c r="F183" s="5"/>
      <c r="G183" s="19" t="str">
        <f aca="false">IF(F183="","",IF(F183="Cidadão comum","NÃO — monitorar a vida de cidadão comum não é apuração (OSINT 6.7)",IF(F183="Empresa","Só o que for público e ligado à pauta","Sim: perfil público, sobre o cargo ou a pauta")))</f>
        <v/>
      </c>
      <c r="H183" s="14"/>
      <c r="I183" s="5"/>
      <c r="J183" s="5"/>
      <c r="K183" s="27"/>
      <c r="L183" s="5"/>
    </row>
    <row r="184" customFormat="false" ht="15" hidden="false" customHeight="false" outlineLevel="0" collapsed="false">
      <c r="A184" s="5"/>
      <c r="B184" s="14"/>
      <c r="C184" s="5"/>
      <c r="D184" s="18"/>
      <c r="E184" s="5"/>
      <c r="F184" s="5"/>
      <c r="G184" s="19" t="str">
        <f aca="false">IF(F184="","",IF(F184="Cidadão comum","NÃO — monitorar a vida de cidadão comum não é apuração (OSINT 6.7)",IF(F184="Empresa","Só o que for público e ligado à pauta","Sim: perfil público, sobre o cargo ou a pauta")))</f>
        <v/>
      </c>
      <c r="H184" s="14"/>
      <c r="I184" s="5"/>
      <c r="J184" s="5"/>
      <c r="K184" s="27"/>
      <c r="L184" s="5"/>
    </row>
    <row r="185" customFormat="false" ht="15" hidden="false" customHeight="false" outlineLevel="0" collapsed="false">
      <c r="A185" s="5"/>
      <c r="B185" s="14"/>
      <c r="C185" s="5"/>
      <c r="D185" s="18"/>
      <c r="E185" s="5"/>
      <c r="F185" s="5"/>
      <c r="G185" s="19" t="str">
        <f aca="false">IF(F185="","",IF(F185="Cidadão comum","NÃO — monitorar a vida de cidadão comum não é apuração (OSINT 6.7)",IF(F185="Empresa","Só o que for público e ligado à pauta","Sim: perfil público, sobre o cargo ou a pauta")))</f>
        <v/>
      </c>
      <c r="H185" s="14"/>
      <c r="I185" s="5"/>
      <c r="J185" s="5"/>
      <c r="K185" s="27"/>
      <c r="L185" s="5"/>
    </row>
    <row r="186" customFormat="false" ht="15" hidden="false" customHeight="false" outlineLevel="0" collapsed="false">
      <c r="A186" s="5"/>
      <c r="B186" s="14"/>
      <c r="C186" s="5"/>
      <c r="D186" s="18"/>
      <c r="E186" s="5"/>
      <c r="F186" s="5"/>
      <c r="G186" s="19" t="str">
        <f aca="false">IF(F186="","",IF(F186="Cidadão comum","NÃO — monitorar a vida de cidadão comum não é apuração (OSINT 6.7)",IF(F186="Empresa","Só o que for público e ligado à pauta","Sim: perfil público, sobre o cargo ou a pauta")))</f>
        <v/>
      </c>
      <c r="H186" s="14"/>
      <c r="I186" s="5"/>
      <c r="J186" s="5"/>
      <c r="K186" s="27"/>
      <c r="L186" s="5"/>
    </row>
    <row r="187" customFormat="false" ht="15" hidden="false" customHeight="false" outlineLevel="0" collapsed="false">
      <c r="A187" s="5"/>
      <c r="B187" s="14"/>
      <c r="C187" s="5"/>
      <c r="D187" s="18"/>
      <c r="E187" s="5"/>
      <c r="F187" s="5"/>
      <c r="G187" s="19" t="str">
        <f aca="false">IF(F187="","",IF(F187="Cidadão comum","NÃO — monitorar a vida de cidadão comum não é apuração (OSINT 6.7)",IF(F187="Empresa","Só o que for público e ligado à pauta","Sim: perfil público, sobre o cargo ou a pauta")))</f>
        <v/>
      </c>
      <c r="H187" s="14"/>
      <c r="I187" s="5"/>
      <c r="J187" s="5"/>
      <c r="K187" s="27"/>
      <c r="L187" s="5"/>
    </row>
    <row r="188" customFormat="false" ht="15" hidden="false" customHeight="false" outlineLevel="0" collapsed="false">
      <c r="A188" s="5"/>
      <c r="B188" s="14"/>
      <c r="C188" s="5"/>
      <c r="D188" s="18"/>
      <c r="E188" s="5"/>
      <c r="F188" s="5"/>
      <c r="G188" s="19" t="str">
        <f aca="false">IF(F188="","",IF(F188="Cidadão comum","NÃO — monitorar a vida de cidadão comum não é apuração (OSINT 6.7)",IF(F188="Empresa","Só o que for público e ligado à pauta","Sim: perfil público, sobre o cargo ou a pauta")))</f>
        <v/>
      </c>
      <c r="H188" s="14"/>
      <c r="I188" s="5"/>
      <c r="J188" s="5"/>
      <c r="K188" s="27"/>
      <c r="L188" s="5"/>
    </row>
    <row r="189" customFormat="false" ht="15" hidden="false" customHeight="false" outlineLevel="0" collapsed="false">
      <c r="A189" s="5"/>
      <c r="B189" s="14"/>
      <c r="C189" s="5"/>
      <c r="D189" s="18"/>
      <c r="E189" s="5"/>
      <c r="F189" s="5"/>
      <c r="G189" s="19" t="str">
        <f aca="false">IF(F189="","",IF(F189="Cidadão comum","NÃO — monitorar a vida de cidadão comum não é apuração (OSINT 6.7)",IF(F189="Empresa","Só o que for público e ligado à pauta","Sim: perfil público, sobre o cargo ou a pauta")))</f>
        <v/>
      </c>
      <c r="H189" s="14"/>
      <c r="I189" s="5"/>
      <c r="J189" s="5"/>
      <c r="K189" s="27"/>
      <c r="L189" s="5"/>
    </row>
    <row r="190" customFormat="false" ht="15" hidden="false" customHeight="false" outlineLevel="0" collapsed="false">
      <c r="A190" s="5"/>
      <c r="B190" s="14"/>
      <c r="C190" s="5"/>
      <c r="D190" s="18"/>
      <c r="E190" s="5"/>
      <c r="F190" s="5"/>
      <c r="G190" s="19" t="str">
        <f aca="false">IF(F190="","",IF(F190="Cidadão comum","NÃO — monitorar a vida de cidadão comum não é apuração (OSINT 6.7)",IF(F190="Empresa","Só o que for público e ligado à pauta","Sim: perfil público, sobre o cargo ou a pauta")))</f>
        <v/>
      </c>
      <c r="H190" s="14"/>
      <c r="I190" s="5"/>
      <c r="J190" s="5"/>
      <c r="K190" s="27"/>
      <c r="L190" s="5"/>
    </row>
    <row r="191" customFormat="false" ht="15" hidden="false" customHeight="false" outlineLevel="0" collapsed="false">
      <c r="A191" s="5"/>
      <c r="B191" s="14"/>
      <c r="C191" s="5"/>
      <c r="D191" s="18"/>
      <c r="E191" s="5"/>
      <c r="F191" s="5"/>
      <c r="G191" s="19" t="str">
        <f aca="false">IF(F191="","",IF(F191="Cidadão comum","NÃO — monitorar a vida de cidadão comum não é apuração (OSINT 6.7)",IF(F191="Empresa","Só o que for público e ligado à pauta","Sim: perfil público, sobre o cargo ou a pauta")))</f>
        <v/>
      </c>
      <c r="H191" s="14"/>
      <c r="I191" s="5"/>
      <c r="J191" s="5"/>
      <c r="K191" s="27"/>
      <c r="L191" s="5"/>
    </row>
    <row r="192" customFormat="false" ht="15" hidden="false" customHeight="false" outlineLevel="0" collapsed="false">
      <c r="A192" s="5"/>
      <c r="B192" s="14"/>
      <c r="C192" s="5"/>
      <c r="D192" s="18"/>
      <c r="E192" s="5"/>
      <c r="F192" s="5"/>
      <c r="G192" s="19" t="str">
        <f aca="false">IF(F192="","",IF(F192="Cidadão comum","NÃO — monitorar a vida de cidadão comum não é apuração (OSINT 6.7)",IF(F192="Empresa","Só o que for público e ligado à pauta","Sim: perfil público, sobre o cargo ou a pauta")))</f>
        <v/>
      </c>
      <c r="H192" s="14"/>
      <c r="I192" s="5"/>
      <c r="J192" s="5"/>
      <c r="K192" s="27"/>
      <c r="L192" s="5"/>
    </row>
    <row r="193" customFormat="false" ht="15" hidden="false" customHeight="false" outlineLevel="0" collapsed="false">
      <c r="A193" s="5"/>
      <c r="B193" s="14"/>
      <c r="C193" s="5"/>
      <c r="D193" s="18"/>
      <c r="E193" s="5"/>
      <c r="F193" s="5"/>
      <c r="G193" s="19" t="str">
        <f aca="false">IF(F193="","",IF(F193="Cidadão comum","NÃO — monitorar a vida de cidadão comum não é apuração (OSINT 6.7)",IF(F193="Empresa","Só o que for público e ligado à pauta","Sim: perfil público, sobre o cargo ou a pauta")))</f>
        <v/>
      </c>
      <c r="H193" s="14"/>
      <c r="I193" s="5"/>
      <c r="J193" s="5"/>
      <c r="K193" s="27"/>
      <c r="L193" s="5"/>
    </row>
    <row r="194" customFormat="false" ht="15" hidden="false" customHeight="false" outlineLevel="0" collapsed="false">
      <c r="A194" s="5"/>
      <c r="B194" s="14"/>
      <c r="C194" s="5"/>
      <c r="D194" s="18"/>
      <c r="E194" s="5"/>
      <c r="F194" s="5"/>
      <c r="G194" s="19" t="str">
        <f aca="false">IF(F194="","",IF(F194="Cidadão comum","NÃO — monitorar a vida de cidadão comum não é apuração (OSINT 6.7)",IF(F194="Empresa","Só o que for público e ligado à pauta","Sim: perfil público, sobre o cargo ou a pauta")))</f>
        <v/>
      </c>
      <c r="H194" s="14"/>
      <c r="I194" s="5"/>
      <c r="J194" s="5"/>
      <c r="K194" s="27"/>
      <c r="L194" s="5"/>
    </row>
    <row r="195" customFormat="false" ht="15" hidden="false" customHeight="false" outlineLevel="0" collapsed="false">
      <c r="A195" s="5"/>
      <c r="B195" s="14"/>
      <c r="C195" s="5"/>
      <c r="D195" s="18"/>
      <c r="E195" s="5"/>
      <c r="F195" s="5"/>
      <c r="G195" s="19" t="str">
        <f aca="false">IF(F195="","",IF(F195="Cidadão comum","NÃO — monitorar a vida de cidadão comum não é apuração (OSINT 6.7)",IF(F195="Empresa","Só o que for público e ligado à pauta","Sim: perfil público, sobre o cargo ou a pauta")))</f>
        <v/>
      </c>
      <c r="H195" s="14"/>
      <c r="I195" s="5"/>
      <c r="J195" s="5"/>
      <c r="K195" s="27"/>
      <c r="L195" s="5"/>
    </row>
    <row r="196" customFormat="false" ht="15" hidden="false" customHeight="false" outlineLevel="0" collapsed="false">
      <c r="A196" s="5"/>
      <c r="B196" s="14"/>
      <c r="C196" s="5"/>
      <c r="D196" s="18"/>
      <c r="E196" s="5"/>
      <c r="F196" s="5"/>
      <c r="G196" s="19" t="str">
        <f aca="false">IF(F196="","",IF(F196="Cidadão comum","NÃO — monitorar a vida de cidadão comum não é apuração (OSINT 6.7)",IF(F196="Empresa","Só o que for público e ligado à pauta","Sim: perfil público, sobre o cargo ou a pauta")))</f>
        <v/>
      </c>
      <c r="H196" s="14"/>
      <c r="I196" s="5"/>
      <c r="J196" s="5"/>
      <c r="K196" s="27"/>
      <c r="L196" s="5"/>
    </row>
    <row r="197" customFormat="false" ht="15" hidden="false" customHeight="false" outlineLevel="0" collapsed="false">
      <c r="A197" s="5"/>
      <c r="B197" s="14"/>
      <c r="C197" s="5"/>
      <c r="D197" s="18"/>
      <c r="E197" s="5"/>
      <c r="F197" s="5"/>
      <c r="G197" s="19" t="str">
        <f aca="false">IF(F197="","",IF(F197="Cidadão comum","NÃO — monitorar a vida de cidadão comum não é apuração (OSINT 6.7)",IF(F197="Empresa","Só o que for público e ligado à pauta","Sim: perfil público, sobre o cargo ou a pauta")))</f>
        <v/>
      </c>
      <c r="H197" s="14"/>
      <c r="I197" s="5"/>
      <c r="J197" s="5"/>
      <c r="K197" s="27"/>
      <c r="L197" s="5"/>
    </row>
    <row r="198" customFormat="false" ht="15" hidden="false" customHeight="false" outlineLevel="0" collapsed="false">
      <c r="A198" s="5"/>
      <c r="B198" s="14"/>
      <c r="C198" s="5"/>
      <c r="D198" s="18"/>
      <c r="E198" s="5"/>
      <c r="F198" s="5"/>
      <c r="G198" s="19" t="str">
        <f aca="false">IF(F198="","",IF(F198="Cidadão comum","NÃO — monitorar a vida de cidadão comum não é apuração (OSINT 6.7)",IF(F198="Empresa","Só o que for público e ligado à pauta","Sim: perfil público, sobre o cargo ou a pauta")))</f>
        <v/>
      </c>
      <c r="H198" s="14"/>
      <c r="I198" s="5"/>
      <c r="J198" s="5"/>
      <c r="K198" s="27"/>
      <c r="L198" s="5"/>
    </row>
    <row r="199" customFormat="false" ht="15" hidden="false" customHeight="false" outlineLevel="0" collapsed="false">
      <c r="A199" s="5"/>
      <c r="B199" s="14"/>
      <c r="C199" s="5"/>
      <c r="D199" s="18"/>
      <c r="E199" s="5"/>
      <c r="F199" s="5"/>
      <c r="G199" s="19" t="str">
        <f aca="false">IF(F199="","",IF(F199="Cidadão comum","NÃO — monitorar a vida de cidadão comum não é apuração (OSINT 6.7)",IF(F199="Empresa","Só o que for público e ligado à pauta","Sim: perfil público, sobre o cargo ou a pauta")))</f>
        <v/>
      </c>
      <c r="H199" s="14"/>
      <c r="I199" s="5"/>
      <c r="J199" s="5"/>
      <c r="K199" s="27"/>
      <c r="L199" s="5"/>
    </row>
    <row r="200" customFormat="false" ht="15" hidden="false" customHeight="false" outlineLevel="0" collapsed="false">
      <c r="A200" s="5"/>
      <c r="B200" s="14"/>
      <c r="C200" s="5"/>
      <c r="D200" s="18"/>
      <c r="E200" s="5"/>
      <c r="F200" s="5"/>
      <c r="G200" s="19" t="str">
        <f aca="false">IF(F200="","",IF(F200="Cidadão comum","NÃO — monitorar a vida de cidadão comum não é apuração (OSINT 6.7)",IF(F200="Empresa","Só o que for público e ligado à pauta","Sim: perfil público, sobre o cargo ou a pauta")))</f>
        <v/>
      </c>
      <c r="H200" s="14"/>
      <c r="I200" s="5"/>
      <c r="J200" s="5"/>
      <c r="K200" s="27"/>
      <c r="L200" s="5"/>
    </row>
    <row r="201" customFormat="false" ht="15" hidden="false" customHeight="false" outlineLevel="0" collapsed="false">
      <c r="A201" s="5"/>
      <c r="B201" s="14"/>
      <c r="C201" s="5"/>
      <c r="D201" s="18"/>
      <c r="E201" s="5"/>
      <c r="F201" s="5"/>
      <c r="G201" s="19" t="str">
        <f aca="false">IF(F201="","",IF(F201="Cidadão comum","NÃO — monitorar a vida de cidadão comum não é apuração (OSINT 6.7)",IF(F201="Empresa","Só o que for público e ligado à pauta","Sim: perfil público, sobre o cargo ou a pauta")))</f>
        <v/>
      </c>
      <c r="H201" s="14"/>
      <c r="I201" s="5"/>
      <c r="J201" s="5"/>
      <c r="K201" s="27"/>
      <c r="L201" s="5"/>
    </row>
  </sheetData>
  <conditionalFormatting sqref="G2:G201">
    <cfRule type="expression" priority="2" aboveAverage="0" equalAverage="0" bottom="0" percent="0" rank="0" text="" dxfId="8">
      <formula>LEFT(G2,3)="NÃO"</formula>
    </cfRule>
  </conditionalFormatting>
  <dataValidations count="1">
    <dataValidation allowBlank="true" error="Escolha uma opção da lista (as opções estão na aba Listas)." errorStyle="stop" operator="between" showDropDown="false" showErrorMessage="false" showInputMessage="false" sqref="F2:F201" type="list">
      <formula1>Listas!$Q$2:$Q$5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7" min="1" style="0" width="24"/>
    <col collapsed="false" customWidth="true" hidden="false" outlineLevel="0" max="18" min="18" style="0" width="40"/>
    <col collapsed="false" customWidth="true" hidden="false" outlineLevel="0" max="19" min="19" style="0" width="70"/>
  </cols>
  <sheetData>
    <row r="1" customFormat="false" ht="39.75" hidden="false" customHeight="true" outlineLevel="0" collapsed="false">
      <c r="A1" s="10" t="s">
        <v>631</v>
      </c>
      <c r="B1" s="10" t="s">
        <v>632</v>
      </c>
      <c r="C1" s="10" t="s">
        <v>633</v>
      </c>
      <c r="D1" s="10" t="s">
        <v>383</v>
      </c>
      <c r="E1" s="10" t="s">
        <v>634</v>
      </c>
      <c r="F1" s="10" t="s">
        <v>635</v>
      </c>
      <c r="G1" s="10" t="s">
        <v>636</v>
      </c>
      <c r="H1" s="10" t="s">
        <v>437</v>
      </c>
      <c r="I1" s="10" t="s">
        <v>637</v>
      </c>
      <c r="J1" s="10" t="s">
        <v>638</v>
      </c>
      <c r="K1" s="10" t="s">
        <v>639</v>
      </c>
      <c r="L1" s="10" t="s">
        <v>461</v>
      </c>
      <c r="M1" s="10" t="s">
        <v>367</v>
      </c>
      <c r="N1" s="10" t="s">
        <v>640</v>
      </c>
      <c r="O1" s="10" t="s">
        <v>348</v>
      </c>
      <c r="P1" s="10" t="s">
        <v>641</v>
      </c>
      <c r="Q1" s="10" t="s">
        <v>603</v>
      </c>
      <c r="R1" s="10" t="s">
        <v>642</v>
      </c>
      <c r="S1" s="10" t="s">
        <v>643</v>
      </c>
    </row>
    <row r="2" customFormat="false" ht="23.85" hidden="false" customHeight="false" outlineLevel="0" collapsed="false">
      <c r="A2" s="43" t="s">
        <v>269</v>
      </c>
      <c r="B2" s="43" t="s">
        <v>644</v>
      </c>
      <c r="C2" s="43" t="s">
        <v>154</v>
      </c>
      <c r="D2" s="43" t="s">
        <v>396</v>
      </c>
      <c r="E2" s="43" t="s">
        <v>142</v>
      </c>
      <c r="F2" s="43" t="s">
        <v>645</v>
      </c>
      <c r="G2" s="43" t="s">
        <v>397</v>
      </c>
      <c r="H2" s="43" t="s">
        <v>457</v>
      </c>
      <c r="I2" s="43" t="s">
        <v>416</v>
      </c>
      <c r="J2" s="43" t="s">
        <v>471</v>
      </c>
      <c r="K2" s="43" t="s">
        <v>470</v>
      </c>
      <c r="L2" s="43" t="s">
        <v>469</v>
      </c>
      <c r="M2" s="43" t="s">
        <v>142</v>
      </c>
      <c r="N2" s="43" t="s">
        <v>235</v>
      </c>
      <c r="O2" s="43" t="s">
        <v>646</v>
      </c>
      <c r="P2" s="43" t="s">
        <v>238</v>
      </c>
      <c r="Q2" s="43" t="s">
        <v>618</v>
      </c>
      <c r="R2" s="5" t="s">
        <v>647</v>
      </c>
      <c r="S2" s="5" t="s">
        <v>648</v>
      </c>
    </row>
    <row r="3" customFormat="false" ht="15" hidden="false" customHeight="false" outlineLevel="0" collapsed="false">
      <c r="A3" s="43" t="s">
        <v>649</v>
      </c>
      <c r="B3" s="43" t="s">
        <v>184</v>
      </c>
      <c r="C3" s="43" t="s">
        <v>650</v>
      </c>
      <c r="D3" s="43" t="s">
        <v>651</v>
      </c>
      <c r="E3" s="43" t="s">
        <v>141</v>
      </c>
      <c r="F3" s="43" t="s">
        <v>399</v>
      </c>
      <c r="G3" s="43" t="s">
        <v>652</v>
      </c>
      <c r="H3" s="43" t="s">
        <v>453</v>
      </c>
      <c r="I3" s="43" t="s">
        <v>653</v>
      </c>
      <c r="J3" s="43" t="s">
        <v>654</v>
      </c>
      <c r="K3" s="43" t="s">
        <v>655</v>
      </c>
      <c r="L3" s="43" t="s">
        <v>656</v>
      </c>
      <c r="M3" s="43" t="s">
        <v>141</v>
      </c>
      <c r="N3" s="43" t="s">
        <v>230</v>
      </c>
      <c r="O3" s="43" t="s">
        <v>353</v>
      </c>
      <c r="P3" s="43" t="s">
        <v>229</v>
      </c>
      <c r="Q3" s="43" t="s">
        <v>612</v>
      </c>
      <c r="R3" s="5" t="s">
        <v>657</v>
      </c>
      <c r="S3" s="5" t="s">
        <v>658</v>
      </c>
    </row>
    <row r="4" customFormat="false" ht="15" hidden="false" customHeight="false" outlineLevel="0" collapsed="false">
      <c r="A4" s="43" t="s">
        <v>263</v>
      </c>
      <c r="B4" s="43" t="s">
        <v>179</v>
      </c>
      <c r="C4" s="43" t="s">
        <v>188</v>
      </c>
      <c r="D4" s="43" t="s">
        <v>398</v>
      </c>
      <c r="F4" s="43" t="s">
        <v>659</v>
      </c>
      <c r="G4" s="43" t="s">
        <v>660</v>
      </c>
      <c r="H4" s="43" t="s">
        <v>661</v>
      </c>
      <c r="I4" s="43" t="s">
        <v>195</v>
      </c>
      <c r="J4" s="43" t="s">
        <v>662</v>
      </c>
      <c r="K4" s="43" t="s">
        <v>663</v>
      </c>
      <c r="L4" s="43" t="s">
        <v>664</v>
      </c>
      <c r="M4" s="43" t="s">
        <v>375</v>
      </c>
      <c r="N4" s="43" t="s">
        <v>242</v>
      </c>
      <c r="O4" s="43" t="s">
        <v>357</v>
      </c>
      <c r="P4" s="43" t="s">
        <v>665</v>
      </c>
      <c r="Q4" s="43" t="s">
        <v>184</v>
      </c>
      <c r="R4" s="5" t="s">
        <v>666</v>
      </c>
      <c r="S4" s="5" t="s">
        <v>667</v>
      </c>
    </row>
    <row r="5" customFormat="false" ht="15" hidden="false" customHeight="false" outlineLevel="0" collapsed="false">
      <c r="A5" s="43" t="s">
        <v>300</v>
      </c>
      <c r="B5" s="43" t="s">
        <v>195</v>
      </c>
      <c r="G5" s="43" t="s">
        <v>668</v>
      </c>
      <c r="H5" s="43" t="s">
        <v>669</v>
      </c>
      <c r="J5" s="43" t="s">
        <v>670</v>
      </c>
      <c r="L5" s="43" t="s">
        <v>671</v>
      </c>
      <c r="M5" s="43" t="s">
        <v>377</v>
      </c>
      <c r="P5" s="43" t="s">
        <v>234</v>
      </c>
      <c r="Q5" s="43" t="s">
        <v>621</v>
      </c>
      <c r="R5" s="5" t="s">
        <v>672</v>
      </c>
      <c r="S5" s="5" t="s">
        <v>673</v>
      </c>
    </row>
    <row r="6" customFormat="false" ht="15" hidden="false" customHeight="false" outlineLevel="0" collapsed="false">
      <c r="A6" s="43" t="s">
        <v>311</v>
      </c>
      <c r="B6" s="43" t="s">
        <v>674</v>
      </c>
      <c r="G6" s="43" t="s">
        <v>675</v>
      </c>
      <c r="H6" s="43" t="s">
        <v>676</v>
      </c>
      <c r="L6" s="43" t="s">
        <v>677</v>
      </c>
      <c r="R6" s="5" t="s">
        <v>678</v>
      </c>
      <c r="S6" s="5" t="s">
        <v>679</v>
      </c>
    </row>
    <row r="7" customFormat="false" ht="15" hidden="false" customHeight="false" outlineLevel="0" collapsed="false">
      <c r="A7" s="43" t="s">
        <v>680</v>
      </c>
      <c r="B7" s="43" t="s">
        <v>174</v>
      </c>
      <c r="G7" s="43" t="s">
        <v>681</v>
      </c>
      <c r="H7" s="43" t="s">
        <v>450</v>
      </c>
      <c r="L7" s="43" t="s">
        <v>473</v>
      </c>
      <c r="R7" s="5" t="s">
        <v>682</v>
      </c>
      <c r="S7" s="5" t="s">
        <v>683</v>
      </c>
    </row>
    <row r="8" customFormat="false" ht="15" hidden="false" customHeight="false" outlineLevel="0" collapsed="false">
      <c r="A8" s="43" t="s">
        <v>332</v>
      </c>
      <c r="B8" s="43" t="s">
        <v>166</v>
      </c>
      <c r="H8" s="43" t="s">
        <v>684</v>
      </c>
      <c r="R8" s="5" t="s">
        <v>685</v>
      </c>
      <c r="S8" s="5" t="s">
        <v>686</v>
      </c>
    </row>
    <row r="9" customFormat="false" ht="15" hidden="false" customHeight="false" outlineLevel="0" collapsed="false">
      <c r="A9" s="43" t="s">
        <v>687</v>
      </c>
      <c r="B9" s="43" t="s">
        <v>688</v>
      </c>
      <c r="H9" s="43" t="s">
        <v>689</v>
      </c>
      <c r="R9" s="5" t="s">
        <v>690</v>
      </c>
      <c r="S9" s="5" t="s">
        <v>691</v>
      </c>
    </row>
    <row r="10" customFormat="false" ht="15" hidden="false" customHeight="false" outlineLevel="0" collapsed="false">
      <c r="A10" s="43" t="s">
        <v>692</v>
      </c>
      <c r="B10" s="43" t="s">
        <v>199</v>
      </c>
      <c r="H10" s="43" t="s">
        <v>693</v>
      </c>
      <c r="R10" s="5" t="s">
        <v>694</v>
      </c>
      <c r="S10" s="5" t="s">
        <v>695</v>
      </c>
    </row>
    <row r="11" customFormat="false" ht="15" hidden="false" customHeight="false" outlineLevel="0" collapsed="false">
      <c r="A11" s="43" t="s">
        <v>204</v>
      </c>
      <c r="B11" s="43" t="s">
        <v>696</v>
      </c>
      <c r="H11" s="43" t="s">
        <v>697</v>
      </c>
      <c r="R11" s="5" t="s">
        <v>698</v>
      </c>
      <c r="S11" s="5" t="s">
        <v>699</v>
      </c>
    </row>
    <row r="12" customFormat="false" ht="15" hidden="false" customHeight="false" outlineLevel="0" collapsed="false">
      <c r="A12" s="43" t="s">
        <v>700</v>
      </c>
      <c r="B12" s="43" t="s">
        <v>701</v>
      </c>
      <c r="H12" s="43" t="s">
        <v>677</v>
      </c>
      <c r="R12" s="5" t="s">
        <v>702</v>
      </c>
      <c r="S12" s="5" t="s">
        <v>703</v>
      </c>
    </row>
    <row r="13" customFormat="false" ht="15" hidden="false" customHeight="false" outlineLevel="0" collapsed="false">
      <c r="A13" s="43" t="s">
        <v>704</v>
      </c>
      <c r="B13" s="43" t="s">
        <v>705</v>
      </c>
      <c r="R13" s="5" t="s">
        <v>706</v>
      </c>
      <c r="S13" s="5" t="s">
        <v>707</v>
      </c>
    </row>
    <row r="14" customFormat="false" ht="15" hidden="false" customHeight="false" outlineLevel="0" collapsed="false">
      <c r="A14" s="43" t="s">
        <v>315</v>
      </c>
      <c r="B14" s="43" t="s">
        <v>708</v>
      </c>
      <c r="R14" s="5" t="s">
        <v>570</v>
      </c>
      <c r="S14" s="5" t="s">
        <v>709</v>
      </c>
    </row>
    <row r="15" customFormat="false" ht="15" hidden="false" customHeight="false" outlineLevel="0" collapsed="false">
      <c r="A15" s="43" t="s">
        <v>710</v>
      </c>
      <c r="B15" s="43" t="s">
        <v>300</v>
      </c>
      <c r="R15" s="5" t="s">
        <v>711</v>
      </c>
      <c r="S15" s="5" t="s">
        <v>712</v>
      </c>
    </row>
    <row r="16" customFormat="false" ht="23.85" hidden="false" customHeight="false" outlineLevel="0" collapsed="false">
      <c r="A16" s="43" t="s">
        <v>713</v>
      </c>
      <c r="B16" s="43" t="s">
        <v>204</v>
      </c>
      <c r="R16" s="5" t="s">
        <v>575</v>
      </c>
      <c r="S16" s="5" t="s">
        <v>714</v>
      </c>
    </row>
    <row r="17" customFormat="false" ht="23.85" hidden="false" customHeight="false" outlineLevel="0" collapsed="false">
      <c r="A17" s="43" t="s">
        <v>670</v>
      </c>
      <c r="B17" s="43" t="s">
        <v>715</v>
      </c>
      <c r="R17" s="5" t="s">
        <v>716</v>
      </c>
      <c r="S17" s="5" t="s">
        <v>717</v>
      </c>
    </row>
    <row r="18" customFormat="false" ht="23.85" hidden="false" customHeight="false" outlineLevel="0" collapsed="false">
      <c r="B18" s="43" t="s">
        <v>670</v>
      </c>
      <c r="R18" s="5" t="s">
        <v>718</v>
      </c>
      <c r="S18" s="5" t="s">
        <v>719</v>
      </c>
    </row>
    <row r="19" customFormat="false" ht="15" hidden="false" customHeight="false" outlineLevel="0" collapsed="false">
      <c r="R19" s="5" t="s">
        <v>720</v>
      </c>
      <c r="S19" s="5" t="s">
        <v>721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2026-09-30T23:23:14Z</dcterms:created>
  <dc:creator>Jornalismo Investigativo na Prática</dc:creator>
  <dc:description/>
  <dc:language>pt-BR</dc:language>
  <cp:lastModifiedBy/>
  <dcterms:modified xsi:type="dcterms:W3CDTF">2026-09-30T23:23:21Z</dcterms:modified>
  <cp:revision>0</cp:revision>
  <dc:subject/>
  <dc:title>Planilha de cruzamento — Jornalismo Investigativo na Prática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